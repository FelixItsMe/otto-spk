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kuliah\skripsi\data\"/>
    </mc:Choice>
  </mc:AlternateContent>
  <xr:revisionPtr revIDLastSave="0" documentId="13_ncr:1_{3FE8385B-AAF1-46AA-A1CB-2C58829AA61E}" xr6:coauthVersionLast="47" xr6:coauthVersionMax="47" xr10:uidLastSave="{00000000-0000-0000-0000-000000000000}"/>
  <bookViews>
    <workbookView xWindow="-120" yWindow="-120" windowWidth="29040" windowHeight="15720" activeTab="11" xr2:uid="{73F05153-56D6-4A93-81C9-C2572CA19BDD}"/>
  </bookViews>
  <sheets>
    <sheet name="Januari" sheetId="1" r:id="rId1"/>
    <sheet name="Februari" sheetId="2" r:id="rId2"/>
    <sheet name="Maret" sheetId="3" r:id="rId3"/>
    <sheet name="April" sheetId="4" r:id="rId4"/>
    <sheet name="Mei" sheetId="5" r:id="rId5"/>
    <sheet name="Juni" sheetId="6" r:id="rId6"/>
    <sheet name="Juli" sheetId="7" r:id="rId7"/>
    <sheet name="Agustus" sheetId="8" r:id="rId8"/>
    <sheet name="September" sheetId="9" r:id="rId9"/>
    <sheet name="Oktober" sheetId="10" r:id="rId10"/>
    <sheet name="November" sheetId="11" r:id="rId11"/>
    <sheet name="Desember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7" i="9" l="1"/>
  <c r="G47" i="9"/>
  <c r="I47" i="9"/>
  <c r="F10" i="12"/>
  <c r="G10" i="12"/>
  <c r="I10" i="12"/>
  <c r="F18" i="12"/>
  <c r="G18" i="12"/>
  <c r="I18" i="12"/>
  <c r="F38" i="9"/>
  <c r="G38" i="9"/>
  <c r="I38" i="9"/>
  <c r="F57" i="2"/>
  <c r="G57" i="2"/>
  <c r="I57" i="2"/>
  <c r="F26" i="11"/>
  <c r="G26" i="11"/>
  <c r="I26" i="11"/>
  <c r="F27" i="11"/>
  <c r="G27" i="11"/>
  <c r="I27" i="11"/>
  <c r="F29" i="11"/>
  <c r="G29" i="11"/>
  <c r="I29" i="11"/>
  <c r="I3" i="8"/>
  <c r="G3" i="8"/>
  <c r="F3" i="8"/>
  <c r="I25" i="12"/>
  <c r="G25" i="12"/>
  <c r="F25" i="12"/>
  <c r="F39" i="12"/>
  <c r="G39" i="12"/>
  <c r="I39" i="12"/>
  <c r="F7" i="6"/>
  <c r="G7" i="6"/>
  <c r="I7" i="6"/>
  <c r="F29" i="12"/>
  <c r="G29" i="12"/>
  <c r="I29" i="12"/>
  <c r="I24" i="7"/>
  <c r="G24" i="7"/>
  <c r="F24" i="7"/>
  <c r="F49" i="7"/>
  <c r="G49" i="7"/>
  <c r="I49" i="7"/>
  <c r="I54" i="11"/>
  <c r="G54" i="11"/>
  <c r="F54" i="11"/>
  <c r="I58" i="12"/>
  <c r="G58" i="12"/>
  <c r="F58" i="12"/>
  <c r="F57" i="11"/>
  <c r="G57" i="11"/>
  <c r="I57" i="11"/>
  <c r="F46" i="11"/>
  <c r="G46" i="11"/>
  <c r="I46" i="11"/>
  <c r="F50" i="12"/>
  <c r="G50" i="12"/>
  <c r="I50" i="12"/>
  <c r="F47" i="11"/>
  <c r="G47" i="11"/>
  <c r="I47" i="11"/>
  <c r="F2" i="12"/>
  <c r="G2" i="12"/>
  <c r="I2" i="12"/>
  <c r="F46" i="12"/>
  <c r="G46" i="12"/>
  <c r="I46" i="12"/>
  <c r="F7" i="8"/>
  <c r="G7" i="8"/>
  <c r="I7" i="8"/>
  <c r="I41" i="12"/>
  <c r="G41" i="12"/>
  <c r="F41" i="12"/>
  <c r="I49" i="12"/>
  <c r="G49" i="12"/>
  <c r="F49" i="12"/>
  <c r="F13" i="12"/>
  <c r="G13" i="12"/>
  <c r="I13" i="12"/>
  <c r="F22" i="12"/>
  <c r="G22" i="12"/>
  <c r="I22" i="12"/>
  <c r="F53" i="11"/>
  <c r="G53" i="11"/>
  <c r="I53" i="11"/>
  <c r="I48" i="11"/>
  <c r="G48" i="11"/>
  <c r="F48" i="11"/>
  <c r="F25" i="10"/>
  <c r="G25" i="10"/>
  <c r="I25" i="10"/>
  <c r="F42" i="5"/>
  <c r="G42" i="5"/>
  <c r="I42" i="5"/>
  <c r="F16" i="11"/>
  <c r="G16" i="11"/>
  <c r="I16" i="11"/>
  <c r="I52" i="12"/>
  <c r="G52" i="12"/>
  <c r="F52" i="12"/>
  <c r="I34" i="12"/>
  <c r="G34" i="12"/>
  <c r="F34" i="12"/>
  <c r="F29" i="10"/>
  <c r="G29" i="10"/>
  <c r="I29" i="10"/>
  <c r="I40" i="11"/>
  <c r="G40" i="11"/>
  <c r="F40" i="11"/>
  <c r="I37" i="12"/>
  <c r="G37" i="12"/>
  <c r="F37" i="12"/>
  <c r="I21" i="12"/>
  <c r="G21" i="12"/>
  <c r="F21" i="12"/>
  <c r="F39" i="7"/>
  <c r="G39" i="7"/>
  <c r="I39" i="7"/>
  <c r="I57" i="12"/>
  <c r="G57" i="12"/>
  <c r="F57" i="12"/>
  <c r="F11" i="12"/>
  <c r="G11" i="12"/>
  <c r="I11" i="12"/>
  <c r="F5" i="7"/>
  <c r="G5" i="7"/>
  <c r="I5" i="7"/>
  <c r="F51" i="10"/>
  <c r="G51" i="10"/>
  <c r="I51" i="10"/>
  <c r="F55" i="10"/>
  <c r="G55" i="10"/>
  <c r="I55" i="10"/>
  <c r="F11" i="9"/>
  <c r="G11" i="9"/>
  <c r="I11" i="9"/>
  <c r="F30" i="1"/>
  <c r="G30" i="1"/>
  <c r="I30" i="1"/>
  <c r="I57" i="1"/>
  <c r="G57" i="1"/>
  <c r="F57" i="1"/>
  <c r="F49" i="9"/>
  <c r="G49" i="9"/>
  <c r="I49" i="9"/>
  <c r="F43" i="12"/>
  <c r="G43" i="12"/>
  <c r="I43" i="12"/>
  <c r="F55" i="12"/>
  <c r="G55" i="12"/>
  <c r="I55" i="12"/>
  <c r="I17" i="12"/>
  <c r="G17" i="12"/>
  <c r="F17" i="12"/>
  <c r="F26" i="6"/>
  <c r="G26" i="6"/>
  <c r="I26" i="6"/>
  <c r="F58" i="11"/>
  <c r="G58" i="11"/>
  <c r="I58" i="11"/>
  <c r="F23" i="11"/>
  <c r="G23" i="11"/>
  <c r="I23" i="11"/>
  <c r="F27" i="9"/>
  <c r="G27" i="9"/>
  <c r="I27" i="9"/>
  <c r="F20" i="11"/>
  <c r="G20" i="11"/>
  <c r="I20" i="11"/>
  <c r="F8" i="12"/>
  <c r="G8" i="12"/>
  <c r="I8" i="12"/>
  <c r="F3" i="11"/>
  <c r="G3" i="11"/>
  <c r="I3" i="11"/>
  <c r="F56" i="9"/>
  <c r="G56" i="9"/>
  <c r="I56" i="9"/>
  <c r="F48" i="2"/>
  <c r="G48" i="2"/>
  <c r="I48" i="2"/>
  <c r="I15" i="12"/>
  <c r="G15" i="12"/>
  <c r="F15" i="12"/>
  <c r="I51" i="11"/>
  <c r="G51" i="11"/>
  <c r="F51" i="11"/>
  <c r="F14" i="7"/>
  <c r="G14" i="7"/>
  <c r="I14" i="7"/>
  <c r="F40" i="12"/>
  <c r="G40" i="12"/>
  <c r="I40" i="12"/>
  <c r="I12" i="12"/>
  <c r="G12" i="12"/>
  <c r="F12" i="12"/>
  <c r="F44" i="11"/>
  <c r="G44" i="11"/>
  <c r="I44" i="11"/>
  <c r="F7" i="11"/>
  <c r="G7" i="11"/>
  <c r="I7" i="11"/>
  <c r="F8" i="10"/>
  <c r="G8" i="10"/>
  <c r="I8" i="10"/>
  <c r="F18" i="10"/>
  <c r="G18" i="10"/>
  <c r="I18" i="10"/>
  <c r="I24" i="11"/>
  <c r="G24" i="11"/>
  <c r="F24" i="11"/>
  <c r="F47" i="12"/>
  <c r="G47" i="12"/>
  <c r="I47" i="12"/>
  <c r="F27" i="12"/>
  <c r="G27" i="12"/>
  <c r="I27" i="12"/>
  <c r="F41" i="11"/>
  <c r="G41" i="11"/>
  <c r="I41" i="11"/>
  <c r="F48" i="1"/>
  <c r="G48" i="1"/>
  <c r="I48" i="1"/>
  <c r="F40" i="10"/>
  <c r="G40" i="10"/>
  <c r="I40" i="10"/>
  <c r="F54" i="12"/>
  <c r="G54" i="12"/>
  <c r="I54" i="12"/>
  <c r="I16" i="10"/>
  <c r="G16" i="10"/>
  <c r="F16" i="10"/>
  <c r="I2" i="9"/>
  <c r="G2" i="9"/>
  <c r="F2" i="9"/>
  <c r="F41" i="4"/>
  <c r="G41" i="4"/>
  <c r="I41" i="4"/>
  <c r="I12" i="10"/>
  <c r="G12" i="10"/>
  <c r="F12" i="10"/>
  <c r="F43" i="10"/>
  <c r="G43" i="10"/>
  <c r="I43" i="10"/>
  <c r="F22" i="7"/>
  <c r="G22" i="7"/>
  <c r="I22" i="7"/>
  <c r="F28" i="4"/>
  <c r="G28" i="4"/>
  <c r="I28" i="4"/>
  <c r="I42" i="9"/>
  <c r="G42" i="9"/>
  <c r="F42" i="9"/>
  <c r="F10" i="6"/>
  <c r="G10" i="6"/>
  <c r="I10" i="6"/>
  <c r="F36" i="4"/>
  <c r="G36" i="4"/>
  <c r="I36" i="4"/>
  <c r="I26" i="9"/>
  <c r="G26" i="9"/>
  <c r="F26" i="9"/>
  <c r="F19" i="6"/>
  <c r="G19" i="6"/>
  <c r="I19" i="6"/>
  <c r="F11" i="10"/>
  <c r="G11" i="10"/>
  <c r="I11" i="10"/>
  <c r="F39" i="9"/>
  <c r="G39" i="9"/>
  <c r="I39" i="9"/>
  <c r="F37" i="8"/>
  <c r="G37" i="8"/>
  <c r="I37" i="8"/>
  <c r="I22" i="6"/>
  <c r="G22" i="6"/>
  <c r="F22" i="6"/>
  <c r="I52" i="11"/>
  <c r="G52" i="11"/>
  <c r="F52" i="11"/>
  <c r="F45" i="1"/>
  <c r="G45" i="1"/>
  <c r="I45" i="1"/>
  <c r="I35" i="10"/>
  <c r="G35" i="10"/>
  <c r="F35" i="10"/>
  <c r="F17" i="9"/>
  <c r="G17" i="9"/>
  <c r="I17" i="9"/>
  <c r="I56" i="11"/>
  <c r="G56" i="11"/>
  <c r="F56" i="11"/>
  <c r="I35" i="2"/>
  <c r="G35" i="2"/>
  <c r="F35" i="2"/>
  <c r="I58" i="8"/>
  <c r="G58" i="8"/>
  <c r="F58" i="8"/>
  <c r="F11" i="1"/>
  <c r="G11" i="1"/>
  <c r="I11" i="1"/>
  <c r="I30" i="9"/>
  <c r="G30" i="9"/>
  <c r="F30" i="9"/>
  <c r="I3" i="6"/>
  <c r="G3" i="6"/>
  <c r="F3" i="6"/>
  <c r="F30" i="10"/>
  <c r="G30" i="10"/>
  <c r="I30" i="10"/>
  <c r="I39" i="8"/>
  <c r="G39" i="8"/>
  <c r="F39" i="8"/>
  <c r="I46" i="10"/>
  <c r="G46" i="10"/>
  <c r="F46" i="10"/>
  <c r="F27" i="8"/>
  <c r="G27" i="8"/>
  <c r="I27" i="8"/>
  <c r="F13" i="9"/>
  <c r="G13" i="9"/>
  <c r="I13" i="9"/>
  <c r="F33" i="11"/>
  <c r="G33" i="11"/>
  <c r="I33" i="11"/>
  <c r="F10" i="9"/>
  <c r="G10" i="9"/>
  <c r="I10" i="9"/>
  <c r="F24" i="4"/>
  <c r="G24" i="4"/>
  <c r="I24" i="4"/>
  <c r="I26" i="5"/>
  <c r="G26" i="5"/>
  <c r="F26" i="5"/>
  <c r="F38" i="11"/>
  <c r="G38" i="11"/>
  <c r="I38" i="11"/>
  <c r="F50" i="8"/>
  <c r="G50" i="8"/>
  <c r="I50" i="8"/>
  <c r="I17" i="1"/>
  <c r="G17" i="1"/>
  <c r="F17" i="1"/>
  <c r="F39" i="1"/>
  <c r="G39" i="1"/>
  <c r="I39" i="1"/>
  <c r="F56" i="2"/>
  <c r="G56" i="2"/>
  <c r="I56" i="2"/>
  <c r="F54" i="8"/>
  <c r="G54" i="8"/>
  <c r="I54" i="8"/>
  <c r="F42" i="6"/>
  <c r="G42" i="6"/>
  <c r="I42" i="6"/>
  <c r="F13" i="7"/>
  <c r="G13" i="7"/>
  <c r="I13" i="7"/>
  <c r="F17" i="10"/>
  <c r="G17" i="10"/>
  <c r="I17" i="10"/>
  <c r="I27" i="5"/>
  <c r="G27" i="5"/>
  <c r="F27" i="5"/>
  <c r="F51" i="1"/>
  <c r="G51" i="1"/>
  <c r="I51" i="1"/>
  <c r="F54" i="1"/>
  <c r="G54" i="1"/>
  <c r="I54" i="1"/>
  <c r="F34" i="5"/>
  <c r="G34" i="5"/>
  <c r="I34" i="5"/>
  <c r="F9" i="11"/>
  <c r="G9" i="11"/>
  <c r="I9" i="11"/>
  <c r="I34" i="2"/>
  <c r="G34" i="2"/>
  <c r="F34" i="2"/>
  <c r="F51" i="2"/>
  <c r="G51" i="2"/>
  <c r="I51" i="2"/>
  <c r="I33" i="3"/>
  <c r="G33" i="3"/>
  <c r="F33" i="3"/>
  <c r="F34" i="4"/>
  <c r="G34" i="4"/>
  <c r="I34" i="4"/>
  <c r="F29" i="3"/>
  <c r="G29" i="3"/>
  <c r="I29" i="3"/>
  <c r="I9" i="6"/>
  <c r="G9" i="6"/>
  <c r="F9" i="6"/>
  <c r="F12" i="1"/>
  <c r="G12" i="1"/>
  <c r="I12" i="1"/>
  <c r="I2" i="1"/>
  <c r="G2" i="1"/>
  <c r="F2" i="1"/>
  <c r="I40" i="9"/>
  <c r="G40" i="9"/>
  <c r="F40" i="9"/>
  <c r="F3" i="9"/>
  <c r="G3" i="9"/>
  <c r="I3" i="9"/>
  <c r="F18" i="9"/>
  <c r="G18" i="9"/>
  <c r="I18" i="9"/>
  <c r="I28" i="8"/>
  <c r="G28" i="8"/>
  <c r="F28" i="8"/>
  <c r="I24" i="8"/>
  <c r="G24" i="8"/>
  <c r="F24" i="8"/>
  <c r="F51" i="6"/>
  <c r="G51" i="6"/>
  <c r="I51" i="6"/>
  <c r="F31" i="12"/>
  <c r="G31" i="12"/>
  <c r="I31" i="12"/>
  <c r="F19" i="12"/>
  <c r="G19" i="12"/>
  <c r="I19" i="12"/>
  <c r="I5" i="12"/>
  <c r="G5" i="12"/>
  <c r="F5" i="12"/>
  <c r="F50" i="4"/>
  <c r="G50" i="4"/>
  <c r="I50" i="4"/>
  <c r="F22" i="11"/>
  <c r="G22" i="11"/>
  <c r="I22" i="11"/>
  <c r="F21" i="8"/>
  <c r="G21" i="8"/>
  <c r="I21" i="8"/>
  <c r="F30" i="11"/>
  <c r="G30" i="11"/>
  <c r="I30" i="11"/>
  <c r="F47" i="10"/>
  <c r="G47" i="10"/>
  <c r="I47" i="10"/>
  <c r="F2" i="7"/>
  <c r="G2" i="7"/>
  <c r="I2" i="7"/>
  <c r="F17" i="8"/>
  <c r="G17" i="8"/>
  <c r="I17" i="8"/>
  <c r="I53" i="12"/>
  <c r="G53" i="12"/>
  <c r="F53" i="12"/>
  <c r="I9" i="12"/>
  <c r="G9" i="12"/>
  <c r="F9" i="12"/>
  <c r="I36" i="12"/>
  <c r="G36" i="12"/>
  <c r="F36" i="12"/>
  <c r="F28" i="12"/>
  <c r="G28" i="12"/>
  <c r="I28" i="12"/>
  <c r="F23" i="10"/>
  <c r="G23" i="10"/>
  <c r="I23" i="10"/>
  <c r="F45" i="11"/>
  <c r="G45" i="11"/>
  <c r="I45" i="11"/>
  <c r="F15" i="11"/>
  <c r="G15" i="11"/>
  <c r="I15" i="11"/>
  <c r="F45" i="2"/>
  <c r="G45" i="2"/>
  <c r="I45" i="2"/>
  <c r="F26" i="3"/>
  <c r="G26" i="3"/>
  <c r="I26" i="3"/>
  <c r="F52" i="6"/>
  <c r="G52" i="6"/>
  <c r="I52" i="6"/>
  <c r="F42" i="12"/>
  <c r="G42" i="12"/>
  <c r="I42" i="12"/>
  <c r="F35" i="12"/>
  <c r="G35" i="12"/>
  <c r="I35" i="12"/>
  <c r="F14" i="12"/>
  <c r="G14" i="12"/>
  <c r="I14" i="12"/>
  <c r="I6" i="12"/>
  <c r="G6" i="12"/>
  <c r="F6" i="12"/>
  <c r="F41" i="9"/>
  <c r="G41" i="9"/>
  <c r="I41" i="9"/>
  <c r="F10" i="4"/>
  <c r="G10" i="4"/>
  <c r="I10" i="4"/>
  <c r="F10" i="10"/>
  <c r="G10" i="10"/>
  <c r="I10" i="10"/>
  <c r="F49" i="11"/>
  <c r="G49" i="11"/>
  <c r="I49" i="11"/>
  <c r="F50" i="11"/>
  <c r="G50" i="11"/>
  <c r="I50" i="11"/>
  <c r="I18" i="11"/>
  <c r="G18" i="11"/>
  <c r="F18" i="11"/>
  <c r="I16" i="1"/>
  <c r="G16" i="1"/>
  <c r="F16" i="1"/>
  <c r="I45" i="8"/>
  <c r="G45" i="8"/>
  <c r="F45" i="8"/>
  <c r="F9" i="7"/>
  <c r="G9" i="7"/>
  <c r="I9" i="7"/>
  <c r="F44" i="12"/>
  <c r="G44" i="12"/>
  <c r="I44" i="12"/>
  <c r="I24" i="12"/>
  <c r="G24" i="12"/>
  <c r="F24" i="12"/>
  <c r="F35" i="9"/>
  <c r="G35" i="9"/>
  <c r="I35" i="9"/>
  <c r="F35" i="11"/>
  <c r="G35" i="11"/>
  <c r="I35" i="11"/>
  <c r="F2" i="11"/>
  <c r="G2" i="11"/>
  <c r="I2" i="11"/>
  <c r="F22" i="10"/>
  <c r="G22" i="10"/>
  <c r="I22" i="10"/>
  <c r="I21" i="11"/>
  <c r="G21" i="11"/>
  <c r="F21" i="11"/>
  <c r="F48" i="4"/>
  <c r="G48" i="4"/>
  <c r="I48" i="4"/>
  <c r="I48" i="12"/>
  <c r="G48" i="12"/>
  <c r="F48" i="12"/>
  <c r="I14" i="9"/>
  <c r="G14" i="9"/>
  <c r="F14" i="9"/>
  <c r="I34" i="10"/>
  <c r="G34" i="10"/>
  <c r="F34" i="10"/>
  <c r="F24" i="9"/>
  <c r="G24" i="9"/>
  <c r="I24" i="9"/>
  <c r="F42" i="11"/>
  <c r="G42" i="11"/>
  <c r="I42" i="11"/>
  <c r="F56" i="10"/>
  <c r="G56" i="10"/>
  <c r="I56" i="10"/>
  <c r="F37" i="9"/>
  <c r="G37" i="9"/>
  <c r="I37" i="9"/>
  <c r="I28" i="9"/>
  <c r="G28" i="9"/>
  <c r="F28" i="9"/>
  <c r="I16" i="8"/>
  <c r="G16" i="8"/>
  <c r="F16" i="8"/>
  <c r="I6" i="5"/>
  <c r="G6" i="5"/>
  <c r="F6" i="5"/>
  <c r="F10" i="5"/>
  <c r="G10" i="5"/>
  <c r="I10" i="5"/>
  <c r="I12" i="8"/>
  <c r="G12" i="8"/>
  <c r="F12" i="8"/>
  <c r="F44" i="3"/>
  <c r="G44" i="3"/>
  <c r="I44" i="3"/>
  <c r="F27" i="10"/>
  <c r="G27" i="10"/>
  <c r="I27" i="10"/>
  <c r="F23" i="2"/>
  <c r="G23" i="2"/>
  <c r="I23" i="2"/>
  <c r="F4" i="9"/>
  <c r="G4" i="9"/>
  <c r="I4" i="9"/>
  <c r="I43" i="8"/>
  <c r="G43" i="8"/>
  <c r="F43" i="8"/>
  <c r="F10" i="3"/>
  <c r="G10" i="3"/>
  <c r="I10" i="3"/>
  <c r="F48" i="7"/>
  <c r="G48" i="7"/>
  <c r="I48" i="7"/>
  <c r="F3" i="1"/>
  <c r="G3" i="1"/>
  <c r="I3" i="1"/>
  <c r="F44" i="10"/>
  <c r="G44" i="10"/>
  <c r="I44" i="10"/>
  <c r="F43" i="7"/>
  <c r="G43" i="7"/>
  <c r="I43" i="7"/>
  <c r="F9" i="3"/>
  <c r="G9" i="3"/>
  <c r="I9" i="3"/>
  <c r="I58" i="7"/>
  <c r="G58" i="7"/>
  <c r="F58" i="7"/>
  <c r="F42" i="3"/>
  <c r="G42" i="3"/>
  <c r="I42" i="3"/>
  <c r="F7" i="9"/>
  <c r="G7" i="9"/>
  <c r="I7" i="9"/>
  <c r="F50" i="9"/>
  <c r="G50" i="9"/>
  <c r="I50" i="9"/>
  <c r="I56" i="8"/>
  <c r="G56" i="8"/>
  <c r="F56" i="8"/>
  <c r="F47" i="1"/>
  <c r="G47" i="1"/>
  <c r="I47" i="1"/>
  <c r="F13" i="11"/>
  <c r="G13" i="11"/>
  <c r="I13" i="11"/>
  <c r="F45" i="7"/>
  <c r="G45" i="7"/>
  <c r="I45" i="7"/>
  <c r="F30" i="7"/>
  <c r="G30" i="7"/>
  <c r="I30" i="7"/>
  <c r="F6" i="11"/>
  <c r="G6" i="11"/>
  <c r="I6" i="11"/>
  <c r="F21" i="5"/>
  <c r="G21" i="5"/>
  <c r="I21" i="5"/>
  <c r="F6" i="7"/>
  <c r="G6" i="7"/>
  <c r="I6" i="7"/>
  <c r="I49" i="2"/>
  <c r="G49" i="2"/>
  <c r="F49" i="2"/>
  <c r="F12" i="4"/>
  <c r="G12" i="4"/>
  <c r="I12" i="4"/>
  <c r="I7" i="10"/>
  <c r="G7" i="10"/>
  <c r="F7" i="10"/>
  <c r="I7" i="7"/>
  <c r="G7" i="7"/>
  <c r="F7" i="7"/>
  <c r="F19" i="9"/>
  <c r="G19" i="9"/>
  <c r="I19" i="9"/>
  <c r="I14" i="10"/>
  <c r="G14" i="10"/>
  <c r="F14" i="10"/>
  <c r="F30" i="5"/>
  <c r="G30" i="5"/>
  <c r="I30" i="5"/>
  <c r="I7" i="2"/>
  <c r="G7" i="2"/>
  <c r="F7" i="2"/>
  <c r="I30" i="12"/>
  <c r="G30" i="12"/>
  <c r="F30" i="12"/>
  <c r="I33" i="12"/>
  <c r="G33" i="12"/>
  <c r="F33" i="12"/>
  <c r="I3" i="12"/>
  <c r="G3" i="12"/>
  <c r="F3" i="12"/>
  <c r="I26" i="12"/>
  <c r="G26" i="12"/>
  <c r="F26" i="12"/>
  <c r="I25" i="11"/>
  <c r="G25" i="11"/>
  <c r="F25" i="11"/>
  <c r="I37" i="7"/>
  <c r="G37" i="7"/>
  <c r="F37" i="7"/>
  <c r="I54" i="4"/>
  <c r="G54" i="4"/>
  <c r="F54" i="4"/>
  <c r="I45" i="3"/>
  <c r="G45" i="3"/>
  <c r="F45" i="3"/>
  <c r="I34" i="11"/>
  <c r="G34" i="11"/>
  <c r="F34" i="11"/>
  <c r="F31" i="10"/>
  <c r="G31" i="10"/>
  <c r="I31" i="10"/>
  <c r="F4" i="10"/>
  <c r="G4" i="10"/>
  <c r="I4" i="10"/>
  <c r="I20" i="2"/>
  <c r="G20" i="2"/>
  <c r="F20" i="2"/>
  <c r="F2" i="10"/>
  <c r="G2" i="10"/>
  <c r="I2" i="10"/>
  <c r="I20" i="9"/>
  <c r="G20" i="9"/>
  <c r="F20" i="9"/>
  <c r="F29" i="8"/>
  <c r="G29" i="8"/>
  <c r="I29" i="8"/>
  <c r="F53" i="5"/>
  <c r="G53" i="5"/>
  <c r="I53" i="5"/>
  <c r="F3" i="10"/>
  <c r="G3" i="10"/>
  <c r="I3" i="10"/>
  <c r="F52" i="9"/>
  <c r="G52" i="9"/>
  <c r="I52" i="9"/>
  <c r="F11" i="4"/>
  <c r="G11" i="4"/>
  <c r="I11" i="4"/>
  <c r="F46" i="8"/>
  <c r="G46" i="8"/>
  <c r="I46" i="8"/>
  <c r="I20" i="12"/>
  <c r="G20" i="12"/>
  <c r="F20" i="12"/>
  <c r="F32" i="12"/>
  <c r="G32" i="12"/>
  <c r="I32" i="12"/>
  <c r="I38" i="12"/>
  <c r="G38" i="12"/>
  <c r="F38" i="12"/>
  <c r="F28" i="11"/>
  <c r="G28" i="11"/>
  <c r="I28" i="11"/>
  <c r="I13" i="10"/>
  <c r="G13" i="10"/>
  <c r="F13" i="10"/>
  <c r="F22" i="2"/>
  <c r="G22" i="2"/>
  <c r="I22" i="2"/>
  <c r="F36" i="11"/>
  <c r="G36" i="11"/>
  <c r="I36" i="11"/>
  <c r="F42" i="10"/>
  <c r="G42" i="10"/>
  <c r="I42" i="10"/>
  <c r="I49" i="8"/>
  <c r="G49" i="8"/>
  <c r="F49" i="8"/>
  <c r="F13" i="6"/>
  <c r="G13" i="6"/>
  <c r="I13" i="6"/>
  <c r="F8" i="9"/>
  <c r="G8" i="9"/>
  <c r="I8" i="9"/>
  <c r="F36" i="9"/>
  <c r="G36" i="9"/>
  <c r="I36" i="9"/>
  <c r="I33" i="9"/>
  <c r="G33" i="9"/>
  <c r="F33" i="9"/>
  <c r="I39" i="5"/>
  <c r="G39" i="5"/>
  <c r="F39" i="5"/>
  <c r="F45" i="12"/>
  <c r="G45" i="12"/>
  <c r="I45" i="12"/>
  <c r="I16" i="12"/>
  <c r="G16" i="12"/>
  <c r="F16" i="12"/>
  <c r="F23" i="12"/>
  <c r="G23" i="12"/>
  <c r="I23" i="12"/>
  <c r="I4" i="12"/>
  <c r="G4" i="12"/>
  <c r="F4" i="12"/>
  <c r="F47" i="8"/>
  <c r="G47" i="8"/>
  <c r="I47" i="8"/>
  <c r="F44" i="9"/>
  <c r="G44" i="9"/>
  <c r="I44" i="9"/>
  <c r="I55" i="9"/>
  <c r="G55" i="9"/>
  <c r="F55" i="9"/>
  <c r="F39" i="11"/>
  <c r="G39" i="11"/>
  <c r="I39" i="11"/>
  <c r="F15" i="10"/>
  <c r="G15" i="10"/>
  <c r="I15" i="10"/>
  <c r="F32" i="11"/>
  <c r="G32" i="11"/>
  <c r="I32" i="11"/>
  <c r="F29" i="4"/>
  <c r="G29" i="4"/>
  <c r="I29" i="4"/>
  <c r="F39" i="2"/>
  <c r="G39" i="2"/>
  <c r="I39" i="2"/>
  <c r="F20" i="7"/>
  <c r="G20" i="7"/>
  <c r="I20" i="7"/>
  <c r="I32" i="10"/>
  <c r="G32" i="10"/>
  <c r="F32" i="10"/>
  <c r="I28" i="10"/>
  <c r="G28" i="10"/>
  <c r="F28" i="10"/>
  <c r="F18" i="3"/>
  <c r="G18" i="3"/>
  <c r="I18" i="3"/>
  <c r="I34" i="3"/>
  <c r="G34" i="3"/>
  <c r="F34" i="3"/>
  <c r="AV57" i="12"/>
  <c r="AE57" i="12"/>
  <c r="M57" i="12"/>
  <c r="K57" i="12"/>
  <c r="L57" i="12"/>
  <c r="BD57" i="12"/>
  <c r="D57" i="12"/>
  <c r="R57" i="12"/>
  <c r="E57" i="12"/>
  <c r="AF57" i="12"/>
  <c r="J57" i="12"/>
  <c r="AH57" i="12"/>
  <c r="AY57" i="12"/>
  <c r="AI57" i="12"/>
  <c r="AO57" i="12"/>
  <c r="BC57" i="12"/>
  <c r="T57" i="12"/>
  <c r="AG57" i="12"/>
  <c r="AK57" i="12"/>
  <c r="BE57" i="12"/>
  <c r="Q57" i="12"/>
  <c r="AD57" i="12"/>
  <c r="X57" i="12"/>
  <c r="AW57" i="12"/>
  <c r="AS57" i="12"/>
  <c r="AP57" i="12"/>
  <c r="AR57" i="12"/>
  <c r="AU57" i="12"/>
  <c r="AM57" i="12"/>
  <c r="AQ57" i="12"/>
  <c r="U57" i="12"/>
  <c r="AC57" i="12"/>
  <c r="S57" i="12"/>
  <c r="O57" i="12"/>
  <c r="Y57" i="12"/>
  <c r="C57" i="12"/>
  <c r="BB57" i="12"/>
  <c r="N57" i="12"/>
  <c r="AX57" i="12"/>
  <c r="AZ57" i="12"/>
  <c r="AT57" i="12"/>
  <c r="W57" i="12"/>
  <c r="AB57" i="12"/>
  <c r="AL57" i="12"/>
  <c r="BF57" i="12"/>
  <c r="Z57" i="12"/>
  <c r="P57" i="12"/>
  <c r="AN57" i="12"/>
  <c r="BA57" i="12"/>
  <c r="H57" i="12"/>
  <c r="V57" i="12"/>
  <c r="AA57" i="12"/>
  <c r="B57" i="12"/>
  <c r="AJ57" i="12"/>
  <c r="AW56" i="12"/>
  <c r="R56" i="12"/>
  <c r="AE56" i="12"/>
  <c r="AJ56" i="12"/>
  <c r="N56" i="12"/>
  <c r="D56" i="12"/>
  <c r="Z56" i="12"/>
  <c r="Q56" i="12"/>
  <c r="M56" i="12"/>
  <c r="W56" i="12"/>
  <c r="U56" i="12"/>
  <c r="AR56" i="12"/>
  <c r="AQ56" i="12"/>
  <c r="X56" i="12"/>
  <c r="AB56" i="12"/>
  <c r="H56" i="12"/>
  <c r="AO56" i="12"/>
  <c r="BD56" i="12"/>
  <c r="AH56" i="12"/>
  <c r="BB56" i="12"/>
  <c r="C56" i="12"/>
  <c r="J56" i="12"/>
  <c r="AI56" i="12"/>
  <c r="AC56" i="12"/>
  <c r="AZ56" i="12"/>
  <c r="AT56" i="12"/>
  <c r="AU56" i="12"/>
  <c r="AS56" i="12"/>
  <c r="Y56" i="12"/>
  <c r="BA56" i="12"/>
  <c r="E56" i="12"/>
  <c r="BF56" i="12"/>
  <c r="AM56" i="12"/>
  <c r="AX56" i="12"/>
  <c r="AL56" i="12"/>
  <c r="T56" i="12"/>
  <c r="P56" i="12"/>
  <c r="BC56" i="12"/>
  <c r="O56" i="12"/>
  <c r="L56" i="12"/>
  <c r="AG56" i="12"/>
  <c r="AV56" i="12"/>
  <c r="AN56" i="12"/>
  <c r="AA56" i="12"/>
  <c r="AY56" i="12"/>
  <c r="AF56" i="12"/>
  <c r="AK56" i="12"/>
  <c r="K56" i="12"/>
  <c r="AD56" i="12"/>
  <c r="V56" i="12"/>
  <c r="AP56" i="12"/>
  <c r="BE56" i="12"/>
  <c r="S56" i="12"/>
  <c r="M55" i="12"/>
  <c r="AV55" i="12"/>
  <c r="AB55" i="12"/>
  <c r="AT55" i="12"/>
  <c r="T55" i="12"/>
  <c r="AM55" i="12"/>
  <c r="AG55" i="12"/>
  <c r="AF55" i="12"/>
  <c r="P55" i="12"/>
  <c r="AS55" i="12"/>
  <c r="Z55" i="12"/>
  <c r="V55" i="12"/>
  <c r="AO55" i="12"/>
  <c r="X55" i="12"/>
  <c r="N55" i="12"/>
  <c r="D55" i="12"/>
  <c r="AQ55" i="12"/>
  <c r="AA55" i="12"/>
  <c r="R55" i="12"/>
  <c r="AR55" i="12"/>
  <c r="Q55" i="12"/>
  <c r="AC55" i="12"/>
  <c r="AD55" i="12"/>
  <c r="BD55" i="12"/>
  <c r="Y55" i="12"/>
  <c r="AJ55" i="12"/>
  <c r="AP55" i="12"/>
  <c r="AN55" i="12"/>
  <c r="L55" i="12"/>
  <c r="AK55" i="12"/>
  <c r="K55" i="12"/>
  <c r="BE55" i="12"/>
  <c r="U55" i="12"/>
  <c r="J55" i="12"/>
  <c r="E55" i="12"/>
  <c r="AE55" i="12"/>
  <c r="BF55" i="12"/>
  <c r="AZ55" i="12"/>
  <c r="BC55" i="12"/>
  <c r="AX55" i="12"/>
  <c r="H55" i="12"/>
  <c r="AY55" i="12"/>
  <c r="BB55" i="12"/>
  <c r="W55" i="12"/>
  <c r="AL55" i="12"/>
  <c r="O55" i="12"/>
  <c r="BA55" i="12"/>
  <c r="C55" i="12"/>
  <c r="AI55" i="12"/>
  <c r="S55" i="12"/>
  <c r="AU55" i="12"/>
  <c r="AH55" i="12"/>
  <c r="B55" i="12"/>
  <c r="AW55" i="12"/>
  <c r="AG54" i="12"/>
  <c r="AN54" i="12"/>
  <c r="BD54" i="12"/>
  <c r="S54" i="12"/>
  <c r="O54" i="12"/>
  <c r="AI54" i="12"/>
  <c r="P54" i="12"/>
  <c r="AY54" i="12"/>
  <c r="BF54" i="12"/>
  <c r="AP54" i="12"/>
  <c r="L54" i="12"/>
  <c r="BA54" i="12"/>
  <c r="AF54" i="12"/>
  <c r="H54" i="12"/>
  <c r="AO54" i="12"/>
  <c r="AM54" i="12"/>
  <c r="M54" i="12"/>
  <c r="AH54" i="12"/>
  <c r="AT54" i="12"/>
  <c r="V54" i="12"/>
  <c r="BC54" i="12"/>
  <c r="N54" i="12"/>
  <c r="E54" i="12"/>
  <c r="AD54" i="12"/>
  <c r="U54" i="12"/>
  <c r="AS54" i="12"/>
  <c r="AQ54" i="12"/>
  <c r="AC54" i="12"/>
  <c r="D54" i="12"/>
  <c r="AB54" i="12"/>
  <c r="BB54" i="12"/>
  <c r="AK54" i="12"/>
  <c r="T54" i="12"/>
  <c r="X54" i="12"/>
  <c r="AL54" i="12"/>
  <c r="AX54" i="12"/>
  <c r="Z54" i="12"/>
  <c r="BE54" i="12"/>
  <c r="K54" i="12"/>
  <c r="AJ54" i="12"/>
  <c r="AR54" i="12"/>
  <c r="AV54" i="12"/>
  <c r="C54" i="12"/>
  <c r="AW54" i="12"/>
  <c r="J54" i="12"/>
  <c r="AE54" i="12"/>
  <c r="Y54" i="12"/>
  <c r="AU54" i="12"/>
  <c r="AZ54" i="12"/>
  <c r="R54" i="12"/>
  <c r="AA54" i="12"/>
  <c r="W54" i="12"/>
  <c r="B54" i="12"/>
  <c r="Q54" i="12"/>
  <c r="P53" i="12"/>
  <c r="AW53" i="12"/>
  <c r="AA53" i="12"/>
  <c r="AY53" i="12"/>
  <c r="Z53" i="12"/>
  <c r="R53" i="12"/>
  <c r="AP53" i="12"/>
  <c r="AU53" i="12"/>
  <c r="AS53" i="12"/>
  <c r="AR53" i="12"/>
  <c r="N53" i="12"/>
  <c r="Q53" i="12"/>
  <c r="AB53" i="12"/>
  <c r="AK53" i="12"/>
  <c r="AF53" i="12"/>
  <c r="U53" i="12"/>
  <c r="O53" i="12"/>
  <c r="M53" i="12"/>
  <c r="AT53" i="12"/>
  <c r="AC53" i="12"/>
  <c r="BF53" i="12"/>
  <c r="K53" i="12"/>
  <c r="L53" i="12"/>
  <c r="AZ53" i="12"/>
  <c r="AV53" i="12"/>
  <c r="T53" i="12"/>
  <c r="AQ53" i="12"/>
  <c r="H53" i="12"/>
  <c r="BE53" i="12"/>
  <c r="AI53" i="12"/>
  <c r="D53" i="12"/>
  <c r="BD53" i="12"/>
  <c r="BC53" i="12"/>
  <c r="AD53" i="12"/>
  <c r="BB53" i="12"/>
  <c r="AM53" i="12"/>
  <c r="C53" i="12"/>
  <c r="BA53" i="12"/>
  <c r="E53" i="12"/>
  <c r="X53" i="12"/>
  <c r="AN53" i="12"/>
  <c r="W53" i="12"/>
  <c r="V53" i="12"/>
  <c r="Y53" i="12"/>
  <c r="AH53" i="12"/>
  <c r="AX53" i="12"/>
  <c r="AJ53" i="12"/>
  <c r="AE53" i="12"/>
  <c r="AO53" i="12"/>
  <c r="AG53" i="12"/>
  <c r="J53" i="12"/>
  <c r="S53" i="12"/>
  <c r="B53" i="12"/>
  <c r="AL53" i="12"/>
  <c r="W52" i="12"/>
  <c r="V52" i="12"/>
  <c r="AN52" i="12"/>
  <c r="AB52" i="12"/>
  <c r="AS52" i="12"/>
  <c r="P52" i="12"/>
  <c r="BD52" i="12"/>
  <c r="AM52" i="12"/>
  <c r="Y52" i="12"/>
  <c r="AF52" i="12"/>
  <c r="L52" i="12"/>
  <c r="Q52" i="12"/>
  <c r="AG52" i="12"/>
  <c r="Z52" i="12"/>
  <c r="X52" i="12"/>
  <c r="AV52" i="12"/>
  <c r="S52" i="12"/>
  <c r="AP52" i="12"/>
  <c r="BF52" i="12"/>
  <c r="T52" i="12"/>
  <c r="BE52" i="12"/>
  <c r="AK52" i="12"/>
  <c r="O52" i="12"/>
  <c r="AC52" i="12"/>
  <c r="AX52" i="12"/>
  <c r="AO52" i="12"/>
  <c r="BA52" i="12"/>
  <c r="M52" i="12"/>
  <c r="E52" i="12"/>
  <c r="AR52" i="12"/>
  <c r="AY52" i="12"/>
  <c r="AE52" i="12"/>
  <c r="AH52" i="12"/>
  <c r="AD52" i="12"/>
  <c r="BC52" i="12"/>
  <c r="AL52" i="12"/>
  <c r="AT52" i="12"/>
  <c r="U52" i="12"/>
  <c r="AU52" i="12"/>
  <c r="AZ52" i="12"/>
  <c r="C52" i="12"/>
  <c r="D52" i="12"/>
  <c r="J52" i="12"/>
  <c r="N52" i="12"/>
  <c r="AI52" i="12"/>
  <c r="H52" i="12"/>
  <c r="K52" i="12"/>
  <c r="R52" i="12"/>
  <c r="AJ52" i="12"/>
  <c r="BB52" i="12"/>
  <c r="AQ52" i="12"/>
  <c r="AW52" i="12"/>
  <c r="B52" i="12"/>
  <c r="AA52" i="12"/>
  <c r="BC51" i="12"/>
  <c r="X51" i="12"/>
  <c r="BB51" i="12"/>
  <c r="AN51" i="12"/>
  <c r="AK51" i="12"/>
  <c r="AV51" i="12"/>
  <c r="K51" i="12"/>
  <c r="BD51" i="12"/>
  <c r="AW51" i="12"/>
  <c r="W51" i="12"/>
  <c r="AJ51" i="12"/>
  <c r="BF51" i="12"/>
  <c r="AQ51" i="12"/>
  <c r="D51" i="12"/>
  <c r="Y51" i="12"/>
  <c r="AS51" i="12"/>
  <c r="P51" i="12"/>
  <c r="U51" i="12"/>
  <c r="R51" i="12"/>
  <c r="V51" i="12"/>
  <c r="AM51" i="12"/>
  <c r="AP51" i="12"/>
  <c r="N51" i="12"/>
  <c r="AY51" i="12"/>
  <c r="C51" i="12"/>
  <c r="AH51" i="12"/>
  <c r="AG51" i="12"/>
  <c r="AO51" i="12"/>
  <c r="AE51" i="12"/>
  <c r="AI51" i="12"/>
  <c r="AD51" i="12"/>
  <c r="O51" i="12"/>
  <c r="M51" i="12"/>
  <c r="AZ51" i="12"/>
  <c r="H51" i="12"/>
  <c r="BE51" i="12"/>
  <c r="AF51" i="12"/>
  <c r="BA51" i="12"/>
  <c r="AU51" i="12"/>
  <c r="E51" i="12"/>
  <c r="AB51" i="12"/>
  <c r="L51" i="12"/>
  <c r="AL51" i="12"/>
  <c r="AX51" i="12"/>
  <c r="AR51" i="12"/>
  <c r="T51" i="12"/>
  <c r="AC51" i="12"/>
  <c r="AA51" i="12"/>
  <c r="AT51" i="12"/>
  <c r="Z51" i="12"/>
  <c r="J51" i="12"/>
  <c r="S51" i="12"/>
  <c r="Q51" i="12"/>
  <c r="S50" i="12"/>
  <c r="Q50" i="12"/>
  <c r="N50" i="12"/>
  <c r="M50" i="12"/>
  <c r="W50" i="12"/>
  <c r="BB50" i="12"/>
  <c r="AD50" i="12"/>
  <c r="AB50" i="12"/>
  <c r="X50" i="12"/>
  <c r="AK50" i="12"/>
  <c r="L50" i="12"/>
  <c r="BA50" i="12"/>
  <c r="E50" i="12"/>
  <c r="AV50" i="12"/>
  <c r="AQ50" i="12"/>
  <c r="U50" i="12"/>
  <c r="T50" i="12"/>
  <c r="D50" i="12"/>
  <c r="AX50" i="12"/>
  <c r="AY50" i="12"/>
  <c r="AJ50" i="12"/>
  <c r="AP50" i="12"/>
  <c r="AG50" i="12"/>
  <c r="AI50" i="12"/>
  <c r="P50" i="12"/>
  <c r="V50" i="12"/>
  <c r="AW50" i="12"/>
  <c r="AE50" i="12"/>
  <c r="BE50" i="12"/>
  <c r="AR50" i="12"/>
  <c r="AF50" i="12"/>
  <c r="O50" i="12"/>
  <c r="BF50" i="12"/>
  <c r="J50" i="12"/>
  <c r="AA50" i="12"/>
  <c r="AT50" i="12"/>
  <c r="Z50" i="12"/>
  <c r="AC50" i="12"/>
  <c r="AM50" i="12"/>
  <c r="AZ50" i="12"/>
  <c r="AO50" i="12"/>
  <c r="K50" i="12"/>
  <c r="H50" i="12"/>
  <c r="C50" i="12"/>
  <c r="BD50" i="12"/>
  <c r="AH50" i="12"/>
  <c r="AS50" i="12"/>
  <c r="AL50" i="12"/>
  <c r="BC50" i="12"/>
  <c r="R50" i="12"/>
  <c r="Y50" i="12"/>
  <c r="AN50" i="12"/>
  <c r="B50" i="12"/>
  <c r="AU50" i="12"/>
  <c r="AZ48" i="12"/>
  <c r="X48" i="12"/>
  <c r="AO48" i="12"/>
  <c r="Y48" i="12"/>
  <c r="AD48" i="12"/>
  <c r="AN48" i="12"/>
  <c r="AC48" i="12"/>
  <c r="Z48" i="12"/>
  <c r="AP48" i="12"/>
  <c r="AF48" i="12"/>
  <c r="AK48" i="12"/>
  <c r="AJ48" i="12"/>
  <c r="AM48" i="12"/>
  <c r="C48" i="12"/>
  <c r="M48" i="12"/>
  <c r="R48" i="12"/>
  <c r="W48" i="12"/>
  <c r="AL48" i="12"/>
  <c r="V48" i="12"/>
  <c r="Q48" i="12"/>
  <c r="BC48" i="12"/>
  <c r="AX48" i="12"/>
  <c r="N48" i="12"/>
  <c r="BB48" i="12"/>
  <c r="D48" i="12"/>
  <c r="AV48" i="12"/>
  <c r="E48" i="12"/>
  <c r="AR48" i="12"/>
  <c r="P48" i="12"/>
  <c r="AA48" i="12"/>
  <c r="AU48" i="12"/>
  <c r="BD48" i="12"/>
  <c r="BE48" i="12"/>
  <c r="J48" i="12"/>
  <c r="O48" i="12"/>
  <c r="BA48" i="12"/>
  <c r="BF48" i="12"/>
  <c r="AT48" i="12"/>
  <c r="S48" i="12"/>
  <c r="T48" i="12"/>
  <c r="AH48" i="12"/>
  <c r="AE48" i="12"/>
  <c r="U48" i="12"/>
  <c r="AS48" i="12"/>
  <c r="AI48" i="12"/>
  <c r="AY48" i="12"/>
  <c r="L48" i="12"/>
  <c r="AB48" i="12"/>
  <c r="AG48" i="12"/>
  <c r="AW48" i="12"/>
  <c r="K48" i="12"/>
  <c r="H48" i="12"/>
  <c r="B48" i="12"/>
  <c r="AQ48" i="12"/>
  <c r="Y47" i="12"/>
  <c r="AG47" i="12"/>
  <c r="P47" i="12"/>
  <c r="E47" i="12"/>
  <c r="BC47" i="12"/>
  <c r="O47" i="12"/>
  <c r="BD47" i="12"/>
  <c r="AH47" i="12"/>
  <c r="AK47" i="12"/>
  <c r="Z47" i="12"/>
  <c r="Q47" i="12"/>
  <c r="U47" i="12"/>
  <c r="AJ47" i="12"/>
  <c r="AE47" i="12"/>
  <c r="AD47" i="12"/>
  <c r="AX47" i="12"/>
  <c r="D47" i="12"/>
  <c r="AU47" i="12"/>
  <c r="AI47" i="12"/>
  <c r="R47" i="12"/>
  <c r="J47" i="12"/>
  <c r="W47" i="12"/>
  <c r="AP47" i="12"/>
  <c r="AC47" i="12"/>
  <c r="AM47" i="12"/>
  <c r="H47" i="12"/>
  <c r="M47" i="12"/>
  <c r="AL47" i="12"/>
  <c r="AY47" i="12"/>
  <c r="V47" i="12"/>
  <c r="BB47" i="12"/>
  <c r="BF47" i="12"/>
  <c r="AB47" i="12"/>
  <c r="C47" i="12"/>
  <c r="AO47" i="12"/>
  <c r="AT47" i="12"/>
  <c r="S47" i="12"/>
  <c r="AR47" i="12"/>
  <c r="AN47" i="12"/>
  <c r="AQ47" i="12"/>
  <c r="N47" i="12"/>
  <c r="BE47" i="12"/>
  <c r="AA47" i="12"/>
  <c r="AF47" i="12"/>
  <c r="BA47" i="12"/>
  <c r="AV47" i="12"/>
  <c r="AS47" i="12"/>
  <c r="L47" i="12"/>
  <c r="T47" i="12"/>
  <c r="X47" i="12"/>
  <c r="AW47" i="12"/>
  <c r="AZ47" i="12"/>
  <c r="B47" i="12"/>
  <c r="K47" i="12"/>
  <c r="AW46" i="12"/>
  <c r="M46" i="12"/>
  <c r="Z46" i="12"/>
  <c r="AV46" i="12"/>
  <c r="AB46" i="12"/>
  <c r="AS46" i="12"/>
  <c r="AE46" i="12"/>
  <c r="AQ46" i="12"/>
  <c r="AH46" i="12"/>
  <c r="BA46" i="12"/>
  <c r="AD46" i="12"/>
  <c r="Q46" i="12"/>
  <c r="R46" i="12"/>
  <c r="AX46" i="12"/>
  <c r="L46" i="12"/>
  <c r="AU46" i="12"/>
  <c r="AG46" i="12"/>
  <c r="BB46" i="12"/>
  <c r="AO46" i="12"/>
  <c r="P46" i="12"/>
  <c r="AL46" i="12"/>
  <c r="BF46" i="12"/>
  <c r="N46" i="12"/>
  <c r="AY46" i="12"/>
  <c r="AF46" i="12"/>
  <c r="BC46" i="12"/>
  <c r="V46" i="12"/>
  <c r="AR46" i="12"/>
  <c r="O46" i="12"/>
  <c r="BE46" i="12"/>
  <c r="AJ46" i="12"/>
  <c r="AC46" i="12"/>
  <c r="H46" i="12"/>
  <c r="AA46" i="12"/>
  <c r="AN46" i="12"/>
  <c r="W46" i="12"/>
  <c r="AI46" i="12"/>
  <c r="X46" i="12"/>
  <c r="BD46" i="12"/>
  <c r="AP46" i="12"/>
  <c r="T46" i="12"/>
  <c r="E46" i="12"/>
  <c r="Y46" i="12"/>
  <c r="K46" i="12"/>
  <c r="AM46" i="12"/>
  <c r="S46" i="12"/>
  <c r="C46" i="12"/>
  <c r="U46" i="12"/>
  <c r="AK46" i="12"/>
  <c r="AZ46" i="12"/>
  <c r="D46" i="12"/>
  <c r="J46" i="12"/>
  <c r="B46" i="12"/>
  <c r="AT46" i="12"/>
  <c r="BB45" i="12"/>
  <c r="AL45" i="12"/>
  <c r="H45" i="12"/>
  <c r="E45" i="12"/>
  <c r="AK45" i="12"/>
  <c r="C45" i="12"/>
  <c r="AN45" i="12"/>
  <c r="AC45" i="12"/>
  <c r="D45" i="12"/>
  <c r="AI45" i="12"/>
  <c r="R45" i="12"/>
  <c r="Z45" i="12"/>
  <c r="O45" i="12"/>
  <c r="AQ45" i="12"/>
  <c r="AG45" i="12"/>
  <c r="AS45" i="12"/>
  <c r="BE45" i="12"/>
  <c r="AB45" i="12"/>
  <c r="Q45" i="12"/>
  <c r="K45" i="12"/>
  <c r="P45" i="12"/>
  <c r="N45" i="12"/>
  <c r="AA45" i="12"/>
  <c r="AZ45" i="12"/>
  <c r="AR45" i="12"/>
  <c r="J45" i="12"/>
  <c r="AW45" i="12"/>
  <c r="M45" i="12"/>
  <c r="AV45" i="12"/>
  <c r="AY45" i="12"/>
  <c r="V45" i="12"/>
  <c r="BD45" i="12"/>
  <c r="AF45" i="12"/>
  <c r="L45" i="12"/>
  <c r="S45" i="12"/>
  <c r="AX45" i="12"/>
  <c r="U45" i="12"/>
  <c r="AT45" i="12"/>
  <c r="W45" i="12"/>
  <c r="AD45" i="12"/>
  <c r="AH45" i="12"/>
  <c r="AP45" i="12"/>
  <c r="AU45" i="12"/>
  <c r="Y45" i="12"/>
  <c r="BC45" i="12"/>
  <c r="AM45" i="12"/>
  <c r="BF45" i="12"/>
  <c r="T45" i="12"/>
  <c r="X45" i="12"/>
  <c r="AE45" i="12"/>
  <c r="AJ45" i="12"/>
  <c r="BA45" i="12"/>
  <c r="B45" i="12"/>
  <c r="AO45" i="12"/>
  <c r="AT44" i="12"/>
  <c r="AM44" i="12"/>
  <c r="V44" i="12"/>
  <c r="W44" i="12"/>
  <c r="AE44" i="12"/>
  <c r="K44" i="12"/>
  <c r="AO44" i="12"/>
  <c r="AS44" i="12"/>
  <c r="Q44" i="12"/>
  <c r="AG44" i="12"/>
  <c r="J44" i="12"/>
  <c r="AA44" i="12"/>
  <c r="U44" i="12"/>
  <c r="AY44" i="12"/>
  <c r="AH44" i="12"/>
  <c r="AU44" i="12"/>
  <c r="R44" i="12"/>
  <c r="AB44" i="12"/>
  <c r="AW44" i="12"/>
  <c r="AK44" i="12"/>
  <c r="Y44" i="12"/>
  <c r="AJ44" i="12"/>
  <c r="AR44" i="12"/>
  <c r="AD44" i="12"/>
  <c r="E44" i="12"/>
  <c r="AQ44" i="12"/>
  <c r="BB44" i="12"/>
  <c r="BD44" i="12"/>
  <c r="T44" i="12"/>
  <c r="O44" i="12"/>
  <c r="L44" i="12"/>
  <c r="AP44" i="12"/>
  <c r="AN44" i="12"/>
  <c r="S44" i="12"/>
  <c r="Z44" i="12"/>
  <c r="X44" i="12"/>
  <c r="AL44" i="12"/>
  <c r="BA44" i="12"/>
  <c r="H44" i="12"/>
  <c r="AI44" i="12"/>
  <c r="AZ44" i="12"/>
  <c r="AX44" i="12"/>
  <c r="N44" i="12"/>
  <c r="BF44" i="12"/>
  <c r="P44" i="12"/>
  <c r="D44" i="12"/>
  <c r="BE44" i="12"/>
  <c r="AV44" i="12"/>
  <c r="AF44" i="12"/>
  <c r="M44" i="12"/>
  <c r="AC44" i="12"/>
  <c r="C44" i="12"/>
  <c r="B44" i="12"/>
  <c r="BC44" i="12"/>
  <c r="AW43" i="12"/>
  <c r="V43" i="12"/>
  <c r="L43" i="12"/>
  <c r="BD43" i="12"/>
  <c r="AM43" i="12"/>
  <c r="P43" i="12"/>
  <c r="N43" i="12"/>
  <c r="AL43" i="12"/>
  <c r="BB43" i="12"/>
  <c r="H43" i="12"/>
  <c r="AQ43" i="12"/>
  <c r="Z43" i="12"/>
  <c r="X43" i="12"/>
  <c r="BA43" i="12"/>
  <c r="O43" i="12"/>
  <c r="AR43" i="12"/>
  <c r="J43" i="12"/>
  <c r="Q43" i="12"/>
  <c r="BC43" i="12"/>
  <c r="AC43" i="12"/>
  <c r="AX43" i="12"/>
  <c r="AV43" i="12"/>
  <c r="AS43" i="12"/>
  <c r="AH43" i="12"/>
  <c r="U43" i="12"/>
  <c r="AF43" i="12"/>
  <c r="AE43" i="12"/>
  <c r="E43" i="12"/>
  <c r="T43" i="12"/>
  <c r="M43" i="12"/>
  <c r="AU43" i="12"/>
  <c r="BF43" i="12"/>
  <c r="S43" i="12"/>
  <c r="AB43" i="12"/>
  <c r="AT43" i="12"/>
  <c r="Y43" i="12"/>
  <c r="AA43" i="12"/>
  <c r="AK43" i="12"/>
  <c r="AG43" i="12"/>
  <c r="C43" i="12"/>
  <c r="AO43" i="12"/>
  <c r="AP43" i="12"/>
  <c r="BE43" i="12"/>
  <c r="AD43" i="12"/>
  <c r="AJ43" i="12"/>
  <c r="K43" i="12"/>
  <c r="AN43" i="12"/>
  <c r="D43" i="12"/>
  <c r="AI43" i="12"/>
  <c r="AY43" i="12"/>
  <c r="W43" i="12"/>
  <c r="AZ43" i="12"/>
  <c r="B43" i="12"/>
  <c r="R43" i="12"/>
  <c r="AB42" i="12"/>
  <c r="K42" i="12"/>
  <c r="AU42" i="12"/>
  <c r="AK42" i="12"/>
  <c r="U42" i="12"/>
  <c r="D42" i="12"/>
  <c r="BD42" i="12"/>
  <c r="S42" i="12"/>
  <c r="C42" i="12"/>
  <c r="AR42" i="12"/>
  <c r="O42" i="12"/>
  <c r="BE42" i="12"/>
  <c r="AM42" i="12"/>
  <c r="AE42" i="12"/>
  <c r="AL42" i="12"/>
  <c r="R42" i="12"/>
  <c r="Q42" i="12"/>
  <c r="BB42" i="12"/>
  <c r="AV42" i="12"/>
  <c r="AT42" i="12"/>
  <c r="AC42" i="12"/>
  <c r="AW42" i="12"/>
  <c r="AQ42" i="12"/>
  <c r="L42" i="12"/>
  <c r="M42" i="12"/>
  <c r="AS42" i="12"/>
  <c r="AY42" i="12"/>
  <c r="AJ42" i="12"/>
  <c r="AI42" i="12"/>
  <c r="N42" i="12"/>
  <c r="AH42" i="12"/>
  <c r="AP42" i="12"/>
  <c r="BC42" i="12"/>
  <c r="AF42" i="12"/>
  <c r="Z42" i="12"/>
  <c r="AG42" i="12"/>
  <c r="W42" i="12"/>
  <c r="J42" i="12"/>
  <c r="H42" i="12"/>
  <c r="AO42" i="12"/>
  <c r="Y42" i="12"/>
  <c r="AD42" i="12"/>
  <c r="V42" i="12"/>
  <c r="X42" i="12"/>
  <c r="AA42" i="12"/>
  <c r="BA42" i="12"/>
  <c r="E42" i="12"/>
  <c r="AX42" i="12"/>
  <c r="AZ42" i="12"/>
  <c r="BF42" i="12"/>
  <c r="AN42" i="12"/>
  <c r="P42" i="12"/>
  <c r="B42" i="12"/>
  <c r="T42" i="12"/>
  <c r="AU41" i="12"/>
  <c r="W41" i="12"/>
  <c r="AT41" i="12"/>
  <c r="BC41" i="12"/>
  <c r="AB41" i="12"/>
  <c r="AY41" i="12"/>
  <c r="AI41" i="12"/>
  <c r="J41" i="12"/>
  <c r="L41" i="12"/>
  <c r="V41" i="12"/>
  <c r="K41" i="12"/>
  <c r="O41" i="12"/>
  <c r="AA41" i="12"/>
  <c r="AW41" i="12"/>
  <c r="N41" i="12"/>
  <c r="S41" i="12"/>
  <c r="H41" i="12"/>
  <c r="C41" i="12"/>
  <c r="AS41" i="12"/>
  <c r="AZ41" i="12"/>
  <c r="E41" i="12"/>
  <c r="AK41" i="12"/>
  <c r="AL41" i="12"/>
  <c r="BA41" i="12"/>
  <c r="AN41" i="12"/>
  <c r="U41" i="12"/>
  <c r="Z41" i="12"/>
  <c r="Q41" i="12"/>
  <c r="AJ41" i="12"/>
  <c r="BF41" i="12"/>
  <c r="AE41" i="12"/>
  <c r="T41" i="12"/>
  <c r="Y41" i="12"/>
  <c r="AD41" i="12"/>
  <c r="R41" i="12"/>
  <c r="AQ41" i="12"/>
  <c r="AR41" i="12"/>
  <c r="AF41" i="12"/>
  <c r="M41" i="12"/>
  <c r="X41" i="12"/>
  <c r="BB41" i="12"/>
  <c r="AH41" i="12"/>
  <c r="AO41" i="12"/>
  <c r="AV41" i="12"/>
  <c r="AX41" i="12"/>
  <c r="BE41" i="12"/>
  <c r="D41" i="12"/>
  <c r="AG41" i="12"/>
  <c r="AC41" i="12"/>
  <c r="AP41" i="12"/>
  <c r="P41" i="12"/>
  <c r="BD41" i="12"/>
  <c r="B41" i="12"/>
  <c r="AM41" i="12"/>
  <c r="AZ40" i="12"/>
  <c r="Y40" i="12"/>
  <c r="T40" i="12"/>
  <c r="W40" i="12"/>
  <c r="AQ40" i="12"/>
  <c r="O40" i="12"/>
  <c r="AL40" i="12"/>
  <c r="Q40" i="12"/>
  <c r="AM40" i="12"/>
  <c r="V40" i="12"/>
  <c r="E40" i="12"/>
  <c r="BD40" i="12"/>
  <c r="AN40" i="12"/>
  <c r="Z40" i="12"/>
  <c r="AY40" i="12"/>
  <c r="AV40" i="12"/>
  <c r="AW40" i="12"/>
  <c r="X40" i="12"/>
  <c r="K40" i="12"/>
  <c r="C40" i="12"/>
  <c r="AJ40" i="12"/>
  <c r="AP40" i="12"/>
  <c r="U40" i="12"/>
  <c r="S40" i="12"/>
  <c r="AH40" i="12"/>
  <c r="AA40" i="12"/>
  <c r="BC40" i="12"/>
  <c r="AK40" i="12"/>
  <c r="J40" i="12"/>
  <c r="D40" i="12"/>
  <c r="AE40" i="12"/>
  <c r="BA40" i="12"/>
  <c r="AT40" i="12"/>
  <c r="H40" i="12"/>
  <c r="AS40" i="12"/>
  <c r="AX40" i="12"/>
  <c r="AO40" i="12"/>
  <c r="AR40" i="12"/>
  <c r="BF40" i="12"/>
  <c r="P40" i="12"/>
  <c r="AI40" i="12"/>
  <c r="AB40" i="12"/>
  <c r="R40" i="12"/>
  <c r="N40" i="12"/>
  <c r="AG40" i="12"/>
  <c r="L40" i="12"/>
  <c r="BB40" i="12"/>
  <c r="AU40" i="12"/>
  <c r="AD40" i="12"/>
  <c r="BE40" i="12"/>
  <c r="AF40" i="12"/>
  <c r="M40" i="12"/>
  <c r="B40" i="12"/>
  <c r="AC40" i="12"/>
  <c r="M39" i="12"/>
  <c r="BE39" i="12"/>
  <c r="H39" i="12"/>
  <c r="AP39" i="12"/>
  <c r="AV39" i="12"/>
  <c r="C39" i="12"/>
  <c r="AD39" i="12"/>
  <c r="N39" i="12"/>
  <c r="U39" i="12"/>
  <c r="P39" i="12"/>
  <c r="AK39" i="12"/>
  <c r="BD39" i="12"/>
  <c r="AJ39" i="12"/>
  <c r="AR39" i="12"/>
  <c r="E39" i="12"/>
  <c r="AT39" i="12"/>
  <c r="Q39" i="12"/>
  <c r="AM39" i="12"/>
  <c r="Z39" i="12"/>
  <c r="R39" i="12"/>
  <c r="O39" i="12"/>
  <c r="BF39" i="12"/>
  <c r="AH39" i="12"/>
  <c r="J39" i="12"/>
  <c r="BA39" i="12"/>
  <c r="AZ39" i="12"/>
  <c r="AI39" i="12"/>
  <c r="AC39" i="12"/>
  <c r="AY39" i="12"/>
  <c r="AU39" i="12"/>
  <c r="L39" i="12"/>
  <c r="AL39" i="12"/>
  <c r="AQ39" i="12"/>
  <c r="AS39" i="12"/>
  <c r="D39" i="12"/>
  <c r="AE39" i="12"/>
  <c r="AB39" i="12"/>
  <c r="AG39" i="12"/>
  <c r="AA39" i="12"/>
  <c r="AO39" i="12"/>
  <c r="AF39" i="12"/>
  <c r="K39" i="12"/>
  <c r="Y39" i="12"/>
  <c r="BC39" i="12"/>
  <c r="V39" i="12"/>
  <c r="X39" i="12"/>
  <c r="BB39" i="12"/>
  <c r="AN39" i="12"/>
  <c r="AX39" i="12"/>
  <c r="AW39" i="12"/>
  <c r="T39" i="12"/>
  <c r="W39" i="12"/>
  <c r="B39" i="12"/>
  <c r="S39" i="12"/>
  <c r="AQ38" i="12"/>
  <c r="AP38" i="12"/>
  <c r="BA38" i="12"/>
  <c r="AO38" i="12"/>
  <c r="AL38" i="12"/>
  <c r="AS38" i="12"/>
  <c r="AF38" i="12"/>
  <c r="BB38" i="12"/>
  <c r="S38" i="12"/>
  <c r="E38" i="12"/>
  <c r="U38" i="12"/>
  <c r="BF38" i="12"/>
  <c r="T38" i="12"/>
  <c r="BC38" i="12"/>
  <c r="AM38" i="12"/>
  <c r="V38" i="12"/>
  <c r="W38" i="12"/>
  <c r="AX38" i="12"/>
  <c r="AU38" i="12"/>
  <c r="AD38" i="12"/>
  <c r="P38" i="12"/>
  <c r="N38" i="12"/>
  <c r="AA38" i="12"/>
  <c r="AI38" i="12"/>
  <c r="BE38" i="12"/>
  <c r="M38" i="12"/>
  <c r="Q38" i="12"/>
  <c r="AN38" i="12"/>
  <c r="BD38" i="12"/>
  <c r="AJ38" i="12"/>
  <c r="X38" i="12"/>
  <c r="O38" i="12"/>
  <c r="AB38" i="12"/>
  <c r="AW38" i="12"/>
  <c r="K38" i="12"/>
  <c r="Z38" i="12"/>
  <c r="J38" i="12"/>
  <c r="AT38" i="12"/>
  <c r="AV38" i="12"/>
  <c r="H38" i="12"/>
  <c r="AZ38" i="12"/>
  <c r="D38" i="12"/>
  <c r="L38" i="12"/>
  <c r="AK38" i="12"/>
  <c r="R38" i="12"/>
  <c r="Y38" i="12"/>
  <c r="AG38" i="12"/>
  <c r="AY38" i="12"/>
  <c r="C38" i="12"/>
  <c r="AE38" i="12"/>
  <c r="AH38" i="12"/>
  <c r="AR38" i="12"/>
  <c r="B38" i="12"/>
  <c r="AC38" i="12"/>
  <c r="AE37" i="12"/>
  <c r="K37" i="12"/>
  <c r="BF37" i="12"/>
  <c r="J37" i="12"/>
  <c r="D37" i="12"/>
  <c r="AI37" i="12"/>
  <c r="AS37" i="12"/>
  <c r="AQ37" i="12"/>
  <c r="H37" i="12"/>
  <c r="W37" i="12"/>
  <c r="AF37" i="12"/>
  <c r="AY37" i="12"/>
  <c r="AC37" i="12"/>
  <c r="AO37" i="12"/>
  <c r="AD37" i="12"/>
  <c r="AK37" i="12"/>
  <c r="AB37" i="12"/>
  <c r="R37" i="12"/>
  <c r="BD37" i="12"/>
  <c r="Z37" i="12"/>
  <c r="AA37" i="12"/>
  <c r="Q37" i="12"/>
  <c r="Y37" i="12"/>
  <c r="AH37" i="12"/>
  <c r="U37" i="12"/>
  <c r="X37" i="12"/>
  <c r="AV37" i="12"/>
  <c r="P37" i="12"/>
  <c r="T37" i="12"/>
  <c r="AX37" i="12"/>
  <c r="AN37" i="12"/>
  <c r="AU37" i="12"/>
  <c r="AW37" i="12"/>
  <c r="BE37" i="12"/>
  <c r="V37" i="12"/>
  <c r="S37" i="12"/>
  <c r="O37" i="12"/>
  <c r="E37" i="12"/>
  <c r="AR37" i="12"/>
  <c r="AJ37" i="12"/>
  <c r="AT37" i="12"/>
  <c r="BA37" i="12"/>
  <c r="BC37" i="12"/>
  <c r="AZ37" i="12"/>
  <c r="AP37" i="12"/>
  <c r="M37" i="12"/>
  <c r="AG37" i="12"/>
  <c r="C37" i="12"/>
  <c r="L37" i="12"/>
  <c r="AM37" i="12"/>
  <c r="N37" i="12"/>
  <c r="AL37" i="12"/>
  <c r="B37" i="12"/>
  <c r="BB37" i="12"/>
  <c r="AC36" i="12"/>
  <c r="L36" i="12"/>
  <c r="K36" i="12"/>
  <c r="AD36" i="12"/>
  <c r="BF36" i="12"/>
  <c r="Z36" i="12"/>
  <c r="BA36" i="12"/>
  <c r="AX36" i="12"/>
  <c r="BE36" i="12"/>
  <c r="AF36" i="12"/>
  <c r="P36" i="12"/>
  <c r="AA36" i="12"/>
  <c r="E36" i="12"/>
  <c r="H36" i="12"/>
  <c r="AT36" i="12"/>
  <c r="AS36" i="12"/>
  <c r="BC36" i="12"/>
  <c r="AE36" i="12"/>
  <c r="AJ36" i="12"/>
  <c r="BB36" i="12"/>
  <c r="Q36" i="12"/>
  <c r="Y36" i="12"/>
  <c r="AP36" i="12"/>
  <c r="X36" i="12"/>
  <c r="T36" i="12"/>
  <c r="W36" i="12"/>
  <c r="V36" i="12"/>
  <c r="AM36" i="12"/>
  <c r="AW36" i="12"/>
  <c r="J36" i="12"/>
  <c r="AZ36" i="12"/>
  <c r="AR36" i="12"/>
  <c r="AG36" i="12"/>
  <c r="D36" i="12"/>
  <c r="AO36" i="12"/>
  <c r="M36" i="12"/>
  <c r="AQ36" i="12"/>
  <c r="C36" i="12"/>
  <c r="AV36" i="12"/>
  <c r="U36" i="12"/>
  <c r="AL36" i="12"/>
  <c r="AB36" i="12"/>
  <c r="N36" i="12"/>
  <c r="AN36" i="12"/>
  <c r="BD36" i="12"/>
  <c r="S36" i="12"/>
  <c r="AI36" i="12"/>
  <c r="AK36" i="12"/>
  <c r="AU36" i="12"/>
  <c r="AH36" i="12"/>
  <c r="R36" i="12"/>
  <c r="O36" i="12"/>
  <c r="B36" i="12"/>
  <c r="AY36" i="12"/>
  <c r="AD35" i="12"/>
  <c r="BA35" i="12"/>
  <c r="BF35" i="12"/>
  <c r="AJ35" i="12"/>
  <c r="H35" i="12"/>
  <c r="AS35" i="12"/>
  <c r="BB35" i="12"/>
  <c r="AU35" i="12"/>
  <c r="AW35" i="12"/>
  <c r="AP35" i="12"/>
  <c r="D35" i="12"/>
  <c r="AN35" i="12"/>
  <c r="BE35" i="12"/>
  <c r="C35" i="12"/>
  <c r="O35" i="12"/>
  <c r="AG35" i="12"/>
  <c r="N35" i="12"/>
  <c r="E35" i="12"/>
  <c r="AT35" i="12"/>
  <c r="W35" i="12"/>
  <c r="BD35" i="12"/>
  <c r="T35" i="12"/>
  <c r="AV35" i="12"/>
  <c r="Y35" i="12"/>
  <c r="AR35" i="12"/>
  <c r="L35" i="12"/>
  <c r="AY35" i="12"/>
  <c r="P35" i="12"/>
  <c r="AL35" i="12"/>
  <c r="AH35" i="12"/>
  <c r="AQ35" i="12"/>
  <c r="AK35" i="12"/>
  <c r="Q35" i="12"/>
  <c r="M35" i="12"/>
  <c r="AE35" i="12"/>
  <c r="BC35" i="12"/>
  <c r="V35" i="12"/>
  <c r="Z35" i="12"/>
  <c r="AO35" i="12"/>
  <c r="K35" i="12"/>
  <c r="S35" i="12"/>
  <c r="AC35" i="12"/>
  <c r="AZ35" i="12"/>
  <c r="AB35" i="12"/>
  <c r="U35" i="12"/>
  <c r="AM35" i="12"/>
  <c r="AI35" i="12"/>
  <c r="AX35" i="12"/>
  <c r="X35" i="12"/>
  <c r="AF35" i="12"/>
  <c r="R35" i="12"/>
  <c r="AA35" i="12"/>
  <c r="B35" i="12"/>
  <c r="J35" i="12"/>
  <c r="B56" i="12"/>
  <c r="I56" i="12"/>
  <c r="G56" i="12"/>
  <c r="F56" i="12"/>
  <c r="AX34" i="12"/>
  <c r="AF34" i="12"/>
  <c r="H34" i="12"/>
  <c r="X34" i="12"/>
  <c r="W34" i="12"/>
  <c r="R34" i="12"/>
  <c r="BA34" i="12"/>
  <c r="BD34" i="12"/>
  <c r="C34" i="12"/>
  <c r="AJ34" i="12"/>
  <c r="AI34" i="12"/>
  <c r="Q34" i="12"/>
  <c r="AU34" i="12"/>
  <c r="Y34" i="12"/>
  <c r="V34" i="12"/>
  <c r="U34" i="12"/>
  <c r="AD34" i="12"/>
  <c r="AN34" i="12"/>
  <c r="BE34" i="12"/>
  <c r="AH34" i="12"/>
  <c r="L34" i="12"/>
  <c r="M34" i="12"/>
  <c r="AR34" i="12"/>
  <c r="AT34" i="12"/>
  <c r="E34" i="12"/>
  <c r="T34" i="12"/>
  <c r="BC34" i="12"/>
  <c r="Z34" i="12"/>
  <c r="AZ34" i="12"/>
  <c r="AP34" i="12"/>
  <c r="AS34" i="12"/>
  <c r="J34" i="12"/>
  <c r="O34" i="12"/>
  <c r="AY34" i="12"/>
  <c r="BB34" i="12"/>
  <c r="AV34" i="12"/>
  <c r="AL34" i="12"/>
  <c r="AQ34" i="12"/>
  <c r="N34" i="12"/>
  <c r="AO34" i="12"/>
  <c r="AW34" i="12"/>
  <c r="AA34" i="12"/>
  <c r="S34" i="12"/>
  <c r="AE34" i="12"/>
  <c r="AK34" i="12"/>
  <c r="K34" i="12"/>
  <c r="AM34" i="12"/>
  <c r="AC34" i="12"/>
  <c r="AG34" i="12"/>
  <c r="BF34" i="12"/>
  <c r="P34" i="12"/>
  <c r="AB34" i="12"/>
  <c r="B34" i="12"/>
  <c r="D34" i="12"/>
  <c r="AB33" i="12"/>
  <c r="E33" i="12"/>
  <c r="AF33" i="12"/>
  <c r="AA33" i="12"/>
  <c r="N33" i="12"/>
  <c r="H33" i="12"/>
  <c r="AT33" i="12"/>
  <c r="V33" i="12"/>
  <c r="O33" i="12"/>
  <c r="AW33" i="12"/>
  <c r="BF33" i="12"/>
  <c r="AM33" i="12"/>
  <c r="U33" i="12"/>
  <c r="M33" i="12"/>
  <c r="AI33" i="12"/>
  <c r="BE33" i="12"/>
  <c r="Y33" i="12"/>
  <c r="AE33" i="12"/>
  <c r="X33" i="12"/>
  <c r="W33" i="12"/>
  <c r="AZ33" i="12"/>
  <c r="AS33" i="12"/>
  <c r="AR33" i="12"/>
  <c r="AJ33" i="12"/>
  <c r="AK33" i="12"/>
  <c r="T33" i="12"/>
  <c r="AH33" i="12"/>
  <c r="D33" i="12"/>
  <c r="AN33" i="12"/>
  <c r="AY33" i="12"/>
  <c r="AP33" i="12"/>
  <c r="BD33" i="12"/>
  <c r="J33" i="12"/>
  <c r="BB33" i="12"/>
  <c r="P33" i="12"/>
  <c r="L33" i="12"/>
  <c r="AG33" i="12"/>
  <c r="AX33" i="12"/>
  <c r="AU33" i="12"/>
  <c r="AC33" i="12"/>
  <c r="AQ33" i="12"/>
  <c r="C33" i="12"/>
  <c r="R33" i="12"/>
  <c r="AD33" i="12"/>
  <c r="AL33" i="12"/>
  <c r="Q33" i="12"/>
  <c r="AV33" i="12"/>
  <c r="S33" i="12"/>
  <c r="AO33" i="12"/>
  <c r="BC33" i="12"/>
  <c r="BA33" i="12"/>
  <c r="K33" i="12"/>
  <c r="B33" i="12"/>
  <c r="Z33" i="12"/>
  <c r="AG31" i="12"/>
  <c r="J31" i="12"/>
  <c r="V31" i="12"/>
  <c r="W31" i="12"/>
  <c r="AQ31" i="12"/>
  <c r="O31" i="12"/>
  <c r="M31" i="12"/>
  <c r="AE31" i="12"/>
  <c r="AF31" i="12"/>
  <c r="AV31" i="12"/>
  <c r="AW31" i="12"/>
  <c r="AA31" i="12"/>
  <c r="C31" i="12"/>
  <c r="BA31" i="12"/>
  <c r="AJ31" i="12"/>
  <c r="AD31" i="12"/>
  <c r="X31" i="12"/>
  <c r="N31" i="12"/>
  <c r="BE31" i="12"/>
  <c r="AH31" i="12"/>
  <c r="AZ31" i="12"/>
  <c r="AY31" i="12"/>
  <c r="BD31" i="12"/>
  <c r="AU31" i="12"/>
  <c r="L31" i="12"/>
  <c r="AC31" i="12"/>
  <c r="S31" i="12"/>
  <c r="D31" i="12"/>
  <c r="P31" i="12"/>
  <c r="AS31" i="12"/>
  <c r="E31" i="12"/>
  <c r="AB31" i="12"/>
  <c r="AO31" i="12"/>
  <c r="K31" i="12"/>
  <c r="AN31" i="12"/>
  <c r="AM31" i="12"/>
  <c r="Z31" i="12"/>
  <c r="BF31" i="12"/>
  <c r="Y31" i="12"/>
  <c r="R31" i="12"/>
  <c r="AI31" i="12"/>
  <c r="AX31" i="12"/>
  <c r="BB31" i="12"/>
  <c r="AK31" i="12"/>
  <c r="AR31" i="12"/>
  <c r="AT31" i="12"/>
  <c r="Q31" i="12"/>
  <c r="H31" i="12"/>
  <c r="U31" i="12"/>
  <c r="AL31" i="12"/>
  <c r="BC31" i="12"/>
  <c r="AP31" i="12"/>
  <c r="B31" i="12"/>
  <c r="T31" i="12"/>
  <c r="AL30" i="12"/>
  <c r="V30" i="12"/>
  <c r="BC30" i="12"/>
  <c r="AK30" i="12"/>
  <c r="AF30" i="12"/>
  <c r="T30" i="12"/>
  <c r="BA30" i="12"/>
  <c r="AO30" i="12"/>
  <c r="AM30" i="12"/>
  <c r="C30" i="12"/>
  <c r="S30" i="12"/>
  <c r="AW30" i="12"/>
  <c r="AH30" i="12"/>
  <c r="AX30" i="12"/>
  <c r="Q30" i="12"/>
  <c r="R30" i="12"/>
  <c r="M30" i="12"/>
  <c r="W30" i="12"/>
  <c r="BD30" i="12"/>
  <c r="AZ30" i="12"/>
  <c r="Z30" i="12"/>
  <c r="AE30" i="12"/>
  <c r="Y30" i="12"/>
  <c r="AC30" i="12"/>
  <c r="X30" i="12"/>
  <c r="BF30" i="12"/>
  <c r="AP30" i="12"/>
  <c r="AA30" i="12"/>
  <c r="AD30" i="12"/>
  <c r="L30" i="12"/>
  <c r="AT30" i="12"/>
  <c r="AV30" i="12"/>
  <c r="AR30" i="12"/>
  <c r="AB30" i="12"/>
  <c r="H30" i="12"/>
  <c r="AU30" i="12"/>
  <c r="AJ30" i="12"/>
  <c r="AQ30" i="12"/>
  <c r="AI30" i="12"/>
  <c r="BE30" i="12"/>
  <c r="BB30" i="12"/>
  <c r="K30" i="12"/>
  <c r="P30" i="12"/>
  <c r="AN30" i="12"/>
  <c r="U30" i="12"/>
  <c r="J30" i="12"/>
  <c r="O30" i="12"/>
  <c r="E30" i="12"/>
  <c r="AG30" i="12"/>
  <c r="AS30" i="12"/>
  <c r="AY30" i="12"/>
  <c r="D30" i="12"/>
  <c r="B30" i="12"/>
  <c r="N30" i="12"/>
  <c r="B51" i="12"/>
  <c r="I51" i="12"/>
  <c r="G51" i="12"/>
  <c r="F51" i="12"/>
  <c r="AE29" i="12"/>
  <c r="AI29" i="12"/>
  <c r="S29" i="12"/>
  <c r="AD29" i="12"/>
  <c r="BF29" i="12"/>
  <c r="BE29" i="12"/>
  <c r="AR29" i="12"/>
  <c r="D29" i="12"/>
  <c r="AV29" i="12"/>
  <c r="AJ29" i="12"/>
  <c r="AH29" i="12"/>
  <c r="AG29" i="12"/>
  <c r="E29" i="12"/>
  <c r="AN29" i="12"/>
  <c r="V29" i="12"/>
  <c r="O29" i="12"/>
  <c r="AT29" i="12"/>
  <c r="N29" i="12"/>
  <c r="W29" i="12"/>
  <c r="AQ29" i="12"/>
  <c r="R29" i="12"/>
  <c r="AY29" i="12"/>
  <c r="P29" i="12"/>
  <c r="U29" i="12"/>
  <c r="M29" i="12"/>
  <c r="AO29" i="12"/>
  <c r="BD29" i="12"/>
  <c r="T29" i="12"/>
  <c r="BB29" i="12"/>
  <c r="AF29" i="12"/>
  <c r="AM29" i="12"/>
  <c r="Q29" i="12"/>
  <c r="L29" i="12"/>
  <c r="AB29" i="12"/>
  <c r="AX29" i="12"/>
  <c r="AA29" i="12"/>
  <c r="AC29" i="12"/>
  <c r="Y29" i="12"/>
  <c r="AS29" i="12"/>
  <c r="X29" i="12"/>
  <c r="K29" i="12"/>
  <c r="J29" i="12"/>
  <c r="BC29" i="12"/>
  <c r="Z29" i="12"/>
  <c r="C29" i="12"/>
  <c r="BA29" i="12"/>
  <c r="AU29" i="12"/>
  <c r="H29" i="12"/>
  <c r="AL29" i="12"/>
  <c r="AZ29" i="12"/>
  <c r="AP29" i="12"/>
  <c r="AK29" i="12"/>
  <c r="B29" i="12"/>
  <c r="AW29" i="12"/>
  <c r="AY28" i="12"/>
  <c r="AF28" i="12"/>
  <c r="N28" i="12"/>
  <c r="Z28" i="12"/>
  <c r="AB28" i="12"/>
  <c r="AM28" i="12"/>
  <c r="Y28" i="12"/>
  <c r="BF28" i="12"/>
  <c r="T28" i="12"/>
  <c r="AU28" i="12"/>
  <c r="BA28" i="12"/>
  <c r="U28" i="12"/>
  <c r="V28" i="12"/>
  <c r="AZ28" i="12"/>
  <c r="H28" i="12"/>
  <c r="AQ28" i="12"/>
  <c r="BC28" i="12"/>
  <c r="AC28" i="12"/>
  <c r="AJ28" i="12"/>
  <c r="K28" i="12"/>
  <c r="AI28" i="12"/>
  <c r="BE28" i="12"/>
  <c r="AD28" i="12"/>
  <c r="AH28" i="12"/>
  <c r="E28" i="12"/>
  <c r="AO28" i="12"/>
  <c r="C28" i="12"/>
  <c r="P28" i="12"/>
  <c r="J28" i="12"/>
  <c r="S28" i="12"/>
  <c r="BD28" i="12"/>
  <c r="BB28" i="12"/>
  <c r="D28" i="12"/>
  <c r="AE28" i="12"/>
  <c r="AT28" i="12"/>
  <c r="AN28" i="12"/>
  <c r="AP28" i="12"/>
  <c r="AS28" i="12"/>
  <c r="X28" i="12"/>
  <c r="AL28" i="12"/>
  <c r="AR28" i="12"/>
  <c r="W28" i="12"/>
  <c r="Q28" i="12"/>
  <c r="AW28" i="12"/>
  <c r="AG28" i="12"/>
  <c r="M28" i="12"/>
  <c r="AV28" i="12"/>
  <c r="O28" i="12"/>
  <c r="AK28" i="12"/>
  <c r="R28" i="12"/>
  <c r="AX28" i="12"/>
  <c r="L28" i="12"/>
  <c r="B28" i="12"/>
  <c r="AA28" i="12"/>
  <c r="BB27" i="12"/>
  <c r="AQ27" i="12"/>
  <c r="P27" i="12"/>
  <c r="AR27" i="12"/>
  <c r="AP27" i="12"/>
  <c r="BC27" i="12"/>
  <c r="AD27" i="12"/>
  <c r="E27" i="12"/>
  <c r="AJ27" i="12"/>
  <c r="L27" i="12"/>
  <c r="S27" i="12"/>
  <c r="AC27" i="12"/>
  <c r="BF27" i="12"/>
  <c r="AB27" i="12"/>
  <c r="AA27" i="12"/>
  <c r="AK27" i="12"/>
  <c r="M27" i="12"/>
  <c r="AH27" i="12"/>
  <c r="AG27" i="12"/>
  <c r="AE27" i="12"/>
  <c r="AO27" i="12"/>
  <c r="N27" i="12"/>
  <c r="AS27" i="12"/>
  <c r="T27" i="12"/>
  <c r="BD27" i="12"/>
  <c r="AW27" i="12"/>
  <c r="AL27" i="12"/>
  <c r="R27" i="12"/>
  <c r="X27" i="12"/>
  <c r="Y27" i="12"/>
  <c r="BA27" i="12"/>
  <c r="AZ27" i="12"/>
  <c r="AI27" i="12"/>
  <c r="K27" i="12"/>
  <c r="O27" i="12"/>
  <c r="AY27" i="12"/>
  <c r="AX27" i="12"/>
  <c r="AU27" i="12"/>
  <c r="W27" i="12"/>
  <c r="J27" i="12"/>
  <c r="Z27" i="12"/>
  <c r="Q27" i="12"/>
  <c r="V27" i="12"/>
  <c r="AN27" i="12"/>
  <c r="D27" i="12"/>
  <c r="AV27" i="12"/>
  <c r="AT27" i="12"/>
  <c r="H27" i="12"/>
  <c r="C27" i="12"/>
  <c r="AF27" i="12"/>
  <c r="U27" i="12"/>
  <c r="AM27" i="12"/>
  <c r="B27" i="12"/>
  <c r="BE27" i="12"/>
  <c r="AJ26" i="12"/>
  <c r="AV26" i="12"/>
  <c r="AU26" i="12"/>
  <c r="AW26" i="12"/>
  <c r="H26" i="12"/>
  <c r="T26" i="12"/>
  <c r="AR26" i="12"/>
  <c r="O26" i="12"/>
  <c r="L26" i="12"/>
  <c r="AS26" i="12"/>
  <c r="S26" i="12"/>
  <c r="AH26" i="12"/>
  <c r="W26" i="12"/>
  <c r="E26" i="12"/>
  <c r="BA26" i="12"/>
  <c r="AZ26" i="12"/>
  <c r="J26" i="12"/>
  <c r="AL26" i="12"/>
  <c r="BE26" i="12"/>
  <c r="D26" i="12"/>
  <c r="AO26" i="12"/>
  <c r="AI26" i="12"/>
  <c r="Y26" i="12"/>
  <c r="C26" i="12"/>
  <c r="AE26" i="12"/>
  <c r="BC26" i="12"/>
  <c r="AK26" i="12"/>
  <c r="AD26" i="12"/>
  <c r="BD26" i="12"/>
  <c r="AC26" i="12"/>
  <c r="BF26" i="12"/>
  <c r="AF26" i="12"/>
  <c r="AB26" i="12"/>
  <c r="K26" i="12"/>
  <c r="AN26" i="12"/>
  <c r="AP26" i="12"/>
  <c r="AX26" i="12"/>
  <c r="AT26" i="12"/>
  <c r="Z26" i="12"/>
  <c r="AA26" i="12"/>
  <c r="Q26" i="12"/>
  <c r="BB26" i="12"/>
  <c r="V26" i="12"/>
  <c r="U26" i="12"/>
  <c r="R26" i="12"/>
  <c r="X26" i="12"/>
  <c r="P26" i="12"/>
  <c r="AY26" i="12"/>
  <c r="AQ26" i="12"/>
  <c r="N26" i="12"/>
  <c r="AG26" i="12"/>
  <c r="AM26" i="12"/>
  <c r="B26" i="12"/>
  <c r="M26" i="12"/>
  <c r="AP25" i="12"/>
  <c r="T25" i="12"/>
  <c r="AY25" i="12"/>
  <c r="BA25" i="12"/>
  <c r="AB25" i="12"/>
  <c r="O25" i="12"/>
  <c r="Y25" i="12"/>
  <c r="AS25" i="12"/>
  <c r="AI25" i="12"/>
  <c r="S25" i="12"/>
  <c r="AE25" i="12"/>
  <c r="E25" i="12"/>
  <c r="AZ25" i="12"/>
  <c r="Q25" i="12"/>
  <c r="C25" i="12"/>
  <c r="M25" i="12"/>
  <c r="U25" i="12"/>
  <c r="AA25" i="12"/>
  <c r="BB25" i="12"/>
  <c r="AG25" i="12"/>
  <c r="AJ25" i="12"/>
  <c r="J25" i="12"/>
  <c r="P25" i="12"/>
  <c r="AR25" i="12"/>
  <c r="AT25" i="12"/>
  <c r="AQ25" i="12"/>
  <c r="AH25" i="12"/>
  <c r="BD25" i="12"/>
  <c r="AO25" i="12"/>
  <c r="V25" i="12"/>
  <c r="AD25" i="12"/>
  <c r="AL25" i="12"/>
  <c r="D25" i="12"/>
  <c r="AF25" i="12"/>
  <c r="AK25" i="12"/>
  <c r="BE25" i="12"/>
  <c r="Z25" i="12"/>
  <c r="L25" i="12"/>
  <c r="AM25" i="12"/>
  <c r="W25" i="12"/>
  <c r="AX25" i="12"/>
  <c r="X25" i="12"/>
  <c r="AW25" i="12"/>
  <c r="K25" i="12"/>
  <c r="R25" i="12"/>
  <c r="H25" i="12"/>
  <c r="AV25" i="12"/>
  <c r="BF25" i="12"/>
  <c r="BC25" i="12"/>
  <c r="N25" i="12"/>
  <c r="AN25" i="12"/>
  <c r="AC25" i="12"/>
  <c r="B25" i="12"/>
  <c r="AU25" i="12"/>
  <c r="AQ24" i="12"/>
  <c r="AA24" i="12"/>
  <c r="W24" i="12"/>
  <c r="AO24" i="12"/>
  <c r="BB24" i="12"/>
  <c r="AZ24" i="12"/>
  <c r="E24" i="12"/>
  <c r="BF24" i="12"/>
  <c r="AT24" i="12"/>
  <c r="BA24" i="12"/>
  <c r="T24" i="12"/>
  <c r="AS24" i="12"/>
  <c r="K24" i="12"/>
  <c r="V24" i="12"/>
  <c r="AJ24" i="12"/>
  <c r="AN24" i="12"/>
  <c r="AY24" i="12"/>
  <c r="Q24" i="12"/>
  <c r="O24" i="12"/>
  <c r="D24" i="12"/>
  <c r="AD24" i="12"/>
  <c r="BC24" i="12"/>
  <c r="X24" i="12"/>
  <c r="J24" i="12"/>
  <c r="U24" i="12"/>
  <c r="AG24" i="12"/>
  <c r="H24" i="12"/>
  <c r="AF24" i="12"/>
  <c r="S24" i="12"/>
  <c r="C24" i="12"/>
  <c r="BD24" i="12"/>
  <c r="AH24" i="12"/>
  <c r="AM24" i="12"/>
  <c r="AP24" i="12"/>
  <c r="M24" i="12"/>
  <c r="AX24" i="12"/>
  <c r="AR24" i="12"/>
  <c r="AL24" i="12"/>
  <c r="R24" i="12"/>
  <c r="AK24" i="12"/>
  <c r="AW24" i="12"/>
  <c r="AE24" i="12"/>
  <c r="BE24" i="12"/>
  <c r="AV24" i="12"/>
  <c r="AC24" i="12"/>
  <c r="AB24" i="12"/>
  <c r="AI24" i="12"/>
  <c r="P24" i="12"/>
  <c r="Z24" i="12"/>
  <c r="L24" i="12"/>
  <c r="N24" i="12"/>
  <c r="AU24" i="12"/>
  <c r="B24" i="12"/>
  <c r="Y24" i="12"/>
  <c r="U23" i="12"/>
  <c r="E23" i="12"/>
  <c r="V23" i="12"/>
  <c r="L23" i="12"/>
  <c r="D23" i="12"/>
  <c r="C23" i="12"/>
  <c r="AA23" i="12"/>
  <c r="AT23" i="12"/>
  <c r="M23" i="12"/>
  <c r="AB23" i="12"/>
  <c r="AI23" i="12"/>
  <c r="R23" i="12"/>
  <c r="X23" i="12"/>
  <c r="BC23" i="12"/>
  <c r="AV23" i="12"/>
  <c r="AU23" i="12"/>
  <c r="AP23" i="12"/>
  <c r="BE23" i="12"/>
  <c r="Q23" i="12"/>
  <c r="AM23" i="12"/>
  <c r="O23" i="12"/>
  <c r="BA23" i="12"/>
  <c r="AE23" i="12"/>
  <c r="AD23" i="12"/>
  <c r="AK23" i="12"/>
  <c r="AC23" i="12"/>
  <c r="AZ23" i="12"/>
  <c r="N23" i="12"/>
  <c r="K23" i="12"/>
  <c r="AJ23" i="12"/>
  <c r="J23" i="12"/>
  <c r="BD23" i="12"/>
  <c r="AR23" i="12"/>
  <c r="AH23" i="12"/>
  <c r="BB23" i="12"/>
  <c r="Z23" i="12"/>
  <c r="AG23" i="12"/>
  <c r="AY23" i="12"/>
  <c r="Y23" i="12"/>
  <c r="AF23" i="12"/>
  <c r="AW23" i="12"/>
  <c r="AQ23" i="12"/>
  <c r="AL23" i="12"/>
  <c r="AX23" i="12"/>
  <c r="H23" i="12"/>
  <c r="AO23" i="12"/>
  <c r="W23" i="12"/>
  <c r="BF23" i="12"/>
  <c r="P23" i="12"/>
  <c r="T23" i="12"/>
  <c r="AN23" i="12"/>
  <c r="AS23" i="12"/>
  <c r="B23" i="12"/>
  <c r="S23" i="12"/>
  <c r="AN22" i="12"/>
  <c r="T22" i="12"/>
  <c r="Y22" i="12"/>
  <c r="AG22" i="12"/>
  <c r="BF22" i="12"/>
  <c r="AT22" i="12"/>
  <c r="H22" i="12"/>
  <c r="AK22" i="12"/>
  <c r="K22" i="12"/>
  <c r="AP22" i="12"/>
  <c r="E22" i="12"/>
  <c r="AS22" i="12"/>
  <c r="AQ22" i="12"/>
  <c r="J22" i="12"/>
  <c r="AY22" i="12"/>
  <c r="C22" i="12"/>
  <c r="AI22" i="12"/>
  <c r="AD22" i="12"/>
  <c r="AC22" i="12"/>
  <c r="AW22" i="12"/>
  <c r="BE22" i="12"/>
  <c r="AE22" i="12"/>
  <c r="AB22" i="12"/>
  <c r="M22" i="12"/>
  <c r="BD22" i="12"/>
  <c r="AR22" i="12"/>
  <c r="AJ22" i="12"/>
  <c r="AA22" i="12"/>
  <c r="L22" i="12"/>
  <c r="AM22" i="12"/>
  <c r="BC22" i="12"/>
  <c r="S22" i="12"/>
  <c r="BA22" i="12"/>
  <c r="AZ22" i="12"/>
  <c r="Q22" i="12"/>
  <c r="Z22" i="12"/>
  <c r="AH22" i="12"/>
  <c r="AX22" i="12"/>
  <c r="AO22" i="12"/>
  <c r="N22" i="12"/>
  <c r="D22" i="12"/>
  <c r="V22" i="12"/>
  <c r="AL22" i="12"/>
  <c r="AF22" i="12"/>
  <c r="X22" i="12"/>
  <c r="U22" i="12"/>
  <c r="P22" i="12"/>
  <c r="O22" i="12"/>
  <c r="AU22" i="12"/>
  <c r="BB22" i="12"/>
  <c r="AV22" i="12"/>
  <c r="W22" i="12"/>
  <c r="B22" i="12"/>
  <c r="R22" i="12"/>
  <c r="U21" i="12"/>
  <c r="AU21" i="12"/>
  <c r="K21" i="12"/>
  <c r="R21" i="12"/>
  <c r="AS21" i="12"/>
  <c r="Q21" i="12"/>
  <c r="BB21" i="12"/>
  <c r="AD21" i="12"/>
  <c r="W21" i="12"/>
  <c r="AT21" i="12"/>
  <c r="AM21" i="12"/>
  <c r="S21" i="12"/>
  <c r="AE21" i="12"/>
  <c r="BF21" i="12"/>
  <c r="AX21" i="12"/>
  <c r="O21" i="12"/>
  <c r="AG21" i="12"/>
  <c r="AR21" i="12"/>
  <c r="BE21" i="12"/>
  <c r="N21" i="12"/>
  <c r="AF21" i="12"/>
  <c r="AZ21" i="12"/>
  <c r="L21" i="12"/>
  <c r="Y21" i="12"/>
  <c r="AL21" i="12"/>
  <c r="AK21" i="12"/>
  <c r="H21" i="12"/>
  <c r="E21" i="12"/>
  <c r="T21" i="12"/>
  <c r="AI21" i="12"/>
  <c r="AN21" i="12"/>
  <c r="C21" i="12"/>
  <c r="J21" i="12"/>
  <c r="AC21" i="12"/>
  <c r="BA21" i="12"/>
  <c r="Z21" i="12"/>
  <c r="AA21" i="12"/>
  <c r="AJ21" i="12"/>
  <c r="X21" i="12"/>
  <c r="D21" i="12"/>
  <c r="P21" i="12"/>
  <c r="AY21" i="12"/>
  <c r="AB21" i="12"/>
  <c r="AH21" i="12"/>
  <c r="AW21" i="12"/>
  <c r="AQ21" i="12"/>
  <c r="BC21" i="12"/>
  <c r="M21" i="12"/>
  <c r="V21" i="12"/>
  <c r="AP21" i="12"/>
  <c r="BD21" i="12"/>
  <c r="AV21" i="12"/>
  <c r="B21" i="12"/>
  <c r="AO21" i="12"/>
  <c r="AT20" i="12"/>
  <c r="K20" i="12"/>
  <c r="BE20" i="12"/>
  <c r="BC20" i="12"/>
  <c r="H20" i="12"/>
  <c r="L20" i="12"/>
  <c r="BB20" i="12"/>
  <c r="AG20" i="12"/>
  <c r="M20" i="12"/>
  <c r="AF20" i="12"/>
  <c r="AC20" i="12"/>
  <c r="AL20" i="12"/>
  <c r="AQ20" i="12"/>
  <c r="Z20" i="12"/>
  <c r="P20" i="12"/>
  <c r="AH20" i="12"/>
  <c r="AP20" i="12"/>
  <c r="E20" i="12"/>
  <c r="AX20" i="12"/>
  <c r="R20" i="12"/>
  <c r="AE20" i="12"/>
  <c r="AN20" i="12"/>
  <c r="AD20" i="12"/>
  <c r="AA20" i="12"/>
  <c r="S20" i="12"/>
  <c r="X20" i="12"/>
  <c r="Q20" i="12"/>
  <c r="N20" i="12"/>
  <c r="W20" i="12"/>
  <c r="AV20" i="12"/>
  <c r="AU20" i="12"/>
  <c r="AW20" i="12"/>
  <c r="AK20" i="12"/>
  <c r="AB20" i="12"/>
  <c r="J20" i="12"/>
  <c r="AS20" i="12"/>
  <c r="AJ20" i="12"/>
  <c r="T20" i="12"/>
  <c r="D20" i="12"/>
  <c r="AO20" i="12"/>
  <c r="C20" i="12"/>
  <c r="Y20" i="12"/>
  <c r="AR20" i="12"/>
  <c r="AI20" i="12"/>
  <c r="BD20" i="12"/>
  <c r="BA20" i="12"/>
  <c r="AZ20" i="12"/>
  <c r="AM20" i="12"/>
  <c r="U20" i="12"/>
  <c r="O20" i="12"/>
  <c r="V20" i="12"/>
  <c r="AY20" i="12"/>
  <c r="B20" i="12"/>
  <c r="BF20" i="12"/>
  <c r="BC19" i="12"/>
  <c r="X19" i="12"/>
  <c r="Z19" i="12"/>
  <c r="AN19" i="12"/>
  <c r="AS19" i="12"/>
  <c r="AU19" i="12"/>
  <c r="AP19" i="12"/>
  <c r="L19" i="12"/>
  <c r="AY19" i="12"/>
  <c r="K19" i="12"/>
  <c r="U19" i="12"/>
  <c r="AD19" i="12"/>
  <c r="AT19" i="12"/>
  <c r="AB19" i="12"/>
  <c r="AQ19" i="12"/>
  <c r="V19" i="12"/>
  <c r="C19" i="12"/>
  <c r="AM19" i="12"/>
  <c r="J19" i="12"/>
  <c r="AL19" i="12"/>
  <c r="AK19" i="12"/>
  <c r="BE19" i="12"/>
  <c r="AG19" i="12"/>
  <c r="AO19" i="12"/>
  <c r="BA19" i="12"/>
  <c r="W19" i="12"/>
  <c r="O19" i="12"/>
  <c r="AC19" i="12"/>
  <c r="T19" i="12"/>
  <c r="AV19" i="12"/>
  <c r="E19" i="12"/>
  <c r="S19" i="12"/>
  <c r="AE19" i="12"/>
  <c r="AR19" i="12"/>
  <c r="R19" i="12"/>
  <c r="N19" i="12"/>
  <c r="M19" i="12"/>
  <c r="P19" i="12"/>
  <c r="BB19" i="12"/>
  <c r="H19" i="12"/>
  <c r="Q19" i="12"/>
  <c r="Y19" i="12"/>
  <c r="AZ19" i="12"/>
  <c r="AJ19" i="12"/>
  <c r="BF19" i="12"/>
  <c r="AW19" i="12"/>
  <c r="AA19" i="12"/>
  <c r="AI19" i="12"/>
  <c r="BD19" i="12"/>
  <c r="AF19" i="12"/>
  <c r="D19" i="12"/>
  <c r="AH19" i="12"/>
  <c r="B19" i="12"/>
  <c r="AX19" i="12"/>
  <c r="AX18" i="12"/>
  <c r="AH18" i="12"/>
  <c r="AI18" i="12"/>
  <c r="AS18" i="12"/>
  <c r="K18" i="12"/>
  <c r="BE18" i="12"/>
  <c r="AW18" i="12"/>
  <c r="AV18" i="12"/>
  <c r="M18" i="12"/>
  <c r="AF18" i="12"/>
  <c r="AP18" i="12"/>
  <c r="AO18" i="12"/>
  <c r="J18" i="12"/>
  <c r="AN18" i="12"/>
  <c r="H18" i="12"/>
  <c r="AT18" i="12"/>
  <c r="R18" i="12"/>
  <c r="AQ18" i="12"/>
  <c r="T18" i="12"/>
  <c r="BC18" i="12"/>
  <c r="AA18" i="12"/>
  <c r="AL18" i="12"/>
  <c r="BD18" i="12"/>
  <c r="AE18" i="12"/>
  <c r="D18" i="12"/>
  <c r="E18" i="12"/>
  <c r="U18" i="12"/>
  <c r="BB18" i="12"/>
  <c r="AU18" i="12"/>
  <c r="AK18" i="12"/>
  <c r="W18" i="12"/>
  <c r="AY18" i="12"/>
  <c r="Z18" i="12"/>
  <c r="O18" i="12"/>
  <c r="BA18" i="12"/>
  <c r="BF18" i="12"/>
  <c r="Y18" i="12"/>
  <c r="AJ18" i="12"/>
  <c r="AZ18" i="12"/>
  <c r="N18" i="12"/>
  <c r="X18" i="12"/>
  <c r="C18" i="12"/>
  <c r="L18" i="12"/>
  <c r="AR18" i="12"/>
  <c r="AG18" i="12"/>
  <c r="AD18" i="12"/>
  <c r="V18" i="12"/>
  <c r="P18" i="12"/>
  <c r="AC18" i="12"/>
  <c r="S18" i="12"/>
  <c r="AM18" i="12"/>
  <c r="AB18" i="12"/>
  <c r="B18" i="12"/>
  <c r="Q18" i="12"/>
  <c r="E17" i="12"/>
  <c r="V17" i="12"/>
  <c r="AV17" i="12"/>
  <c r="W17" i="12"/>
  <c r="AB17" i="12"/>
  <c r="BE17" i="12"/>
  <c r="AM17" i="12"/>
  <c r="BC17" i="12"/>
  <c r="X17" i="12"/>
  <c r="R17" i="12"/>
  <c r="BA17" i="12"/>
  <c r="BB17" i="12"/>
  <c r="AX17" i="12"/>
  <c r="AQ17" i="12"/>
  <c r="AZ17" i="12"/>
  <c r="AD17" i="12"/>
  <c r="AF17" i="12"/>
  <c r="AJ17" i="12"/>
  <c r="L17" i="12"/>
  <c r="N17" i="12"/>
  <c r="AY17" i="12"/>
  <c r="AK17" i="12"/>
  <c r="AE17" i="12"/>
  <c r="AI17" i="12"/>
  <c r="J17" i="12"/>
  <c r="AH17" i="12"/>
  <c r="T17" i="12"/>
  <c r="D17" i="12"/>
  <c r="AA17" i="12"/>
  <c r="C17" i="12"/>
  <c r="K17" i="12"/>
  <c r="AG17" i="12"/>
  <c r="AO17" i="12"/>
  <c r="U17" i="12"/>
  <c r="AR17" i="12"/>
  <c r="BF17" i="12"/>
  <c r="AN17" i="12"/>
  <c r="AP17" i="12"/>
  <c r="AC17" i="12"/>
  <c r="AL17" i="12"/>
  <c r="Z17" i="12"/>
  <c r="AT17" i="12"/>
  <c r="Q17" i="12"/>
  <c r="M17" i="12"/>
  <c r="Y17" i="12"/>
  <c r="AS17" i="12"/>
  <c r="P17" i="12"/>
  <c r="H17" i="12"/>
  <c r="S17" i="12"/>
  <c r="AW17" i="12"/>
  <c r="BD17" i="12"/>
  <c r="AU17" i="12"/>
  <c r="B17" i="12"/>
  <c r="O17" i="12"/>
  <c r="N16" i="12"/>
  <c r="BE16" i="12"/>
  <c r="AH16" i="12"/>
  <c r="AV16" i="12"/>
  <c r="H16" i="12"/>
  <c r="AZ16" i="12"/>
  <c r="AO16" i="12"/>
  <c r="O16" i="12"/>
  <c r="AE16" i="12"/>
  <c r="M16" i="12"/>
  <c r="U16" i="12"/>
  <c r="AF16" i="12"/>
  <c r="AN16" i="12"/>
  <c r="BF16" i="12"/>
  <c r="V16" i="12"/>
  <c r="L16" i="12"/>
  <c r="D16" i="12"/>
  <c r="J16" i="12"/>
  <c r="AW16" i="12"/>
  <c r="BA16" i="12"/>
  <c r="BC16" i="12"/>
  <c r="AM16" i="12"/>
  <c r="AD16" i="12"/>
  <c r="AA16" i="12"/>
  <c r="BB16" i="12"/>
  <c r="Z16" i="12"/>
  <c r="AC16" i="12"/>
  <c r="BD16" i="12"/>
  <c r="AG16" i="12"/>
  <c r="AS16" i="12"/>
  <c r="S16" i="12"/>
  <c r="AB16" i="12"/>
  <c r="Q16" i="12"/>
  <c r="K16" i="12"/>
  <c r="AQ16" i="12"/>
  <c r="AT16" i="12"/>
  <c r="P16" i="12"/>
  <c r="E16" i="12"/>
  <c r="AP16" i="12"/>
  <c r="Y16" i="12"/>
  <c r="AY16" i="12"/>
  <c r="W16" i="12"/>
  <c r="AR16" i="12"/>
  <c r="AX16" i="12"/>
  <c r="AL16" i="12"/>
  <c r="AJ16" i="12"/>
  <c r="X16" i="12"/>
  <c r="R16" i="12"/>
  <c r="AK16" i="12"/>
  <c r="T16" i="12"/>
  <c r="C16" i="12"/>
  <c r="AU16" i="12"/>
  <c r="B16" i="12"/>
  <c r="AI16" i="12"/>
  <c r="J15" i="12"/>
  <c r="E15" i="12"/>
  <c r="AV15" i="12"/>
  <c r="AQ15" i="12"/>
  <c r="BF15" i="12"/>
  <c r="R15" i="12"/>
  <c r="W15" i="12"/>
  <c r="AN15" i="12"/>
  <c r="AO15" i="12"/>
  <c r="X15" i="12"/>
  <c r="Q15" i="12"/>
  <c r="S15" i="12"/>
  <c r="BB15" i="12"/>
  <c r="T15" i="12"/>
  <c r="P15" i="12"/>
  <c r="AE15" i="12"/>
  <c r="K15" i="12"/>
  <c r="Y15" i="12"/>
  <c r="AT15" i="12"/>
  <c r="AR15" i="12"/>
  <c r="H15" i="12"/>
  <c r="AS15" i="12"/>
  <c r="AI15" i="12"/>
  <c r="U15" i="12"/>
  <c r="AG15" i="12"/>
  <c r="D15" i="12"/>
  <c r="AF15" i="12"/>
  <c r="AM15" i="12"/>
  <c r="BD15" i="12"/>
  <c r="AC15" i="12"/>
  <c r="N15" i="12"/>
  <c r="AD15" i="12"/>
  <c r="M15" i="12"/>
  <c r="AJ15" i="12"/>
  <c r="AB15" i="12"/>
  <c r="L15" i="12"/>
  <c r="BC15" i="12"/>
  <c r="AA15" i="12"/>
  <c r="AL15" i="12"/>
  <c r="O15" i="12"/>
  <c r="Z15" i="12"/>
  <c r="AK15" i="12"/>
  <c r="AP15" i="12"/>
  <c r="BE15" i="12"/>
  <c r="C15" i="12"/>
  <c r="AW15" i="12"/>
  <c r="BA15" i="12"/>
  <c r="AY15" i="12"/>
  <c r="V15" i="12"/>
  <c r="AZ15" i="12"/>
  <c r="AH15" i="12"/>
  <c r="AU15" i="12"/>
  <c r="B15" i="12"/>
  <c r="AX15" i="12"/>
  <c r="O14" i="12"/>
  <c r="L14" i="12"/>
  <c r="BF14" i="12"/>
  <c r="AK14" i="12"/>
  <c r="BB14" i="12"/>
  <c r="Y14" i="12"/>
  <c r="AO14" i="12"/>
  <c r="P14" i="12"/>
  <c r="U14" i="12"/>
  <c r="C14" i="12"/>
  <c r="M14" i="12"/>
  <c r="AX14" i="12"/>
  <c r="AW14" i="12"/>
  <c r="K14" i="12"/>
  <c r="AJ14" i="12"/>
  <c r="Q14" i="12"/>
  <c r="AL14" i="12"/>
  <c r="BD14" i="12"/>
  <c r="AR14" i="12"/>
  <c r="AT14" i="12"/>
  <c r="Z14" i="12"/>
  <c r="AP14" i="12"/>
  <c r="BE14" i="12"/>
  <c r="T14" i="12"/>
  <c r="AN14" i="12"/>
  <c r="S14" i="12"/>
  <c r="AG14" i="12"/>
  <c r="R14" i="12"/>
  <c r="W14" i="12"/>
  <c r="E14" i="12"/>
  <c r="AY14" i="12"/>
  <c r="BC14" i="12"/>
  <c r="AI14" i="12"/>
  <c r="AH14" i="12"/>
  <c r="D14" i="12"/>
  <c r="N14" i="12"/>
  <c r="AF14" i="12"/>
  <c r="BA14" i="12"/>
  <c r="AD14" i="12"/>
  <c r="V14" i="12"/>
  <c r="AB14" i="12"/>
  <c r="AE14" i="12"/>
  <c r="AZ14" i="12"/>
  <c r="AA14" i="12"/>
  <c r="AV14" i="12"/>
  <c r="AC14" i="12"/>
  <c r="AS14" i="12"/>
  <c r="J14" i="12"/>
  <c r="X14" i="12"/>
  <c r="AM14" i="12"/>
  <c r="AQ14" i="12"/>
  <c r="AU14" i="12"/>
  <c r="B14" i="12"/>
  <c r="H14" i="12"/>
  <c r="AQ13" i="12"/>
  <c r="AP13" i="12"/>
  <c r="V13" i="12"/>
  <c r="AI13" i="12"/>
  <c r="Z13" i="12"/>
  <c r="AS13" i="12"/>
  <c r="C13" i="12"/>
  <c r="AA13" i="12"/>
  <c r="BD13" i="12"/>
  <c r="AT13" i="12"/>
  <c r="AF13" i="12"/>
  <c r="AY13" i="12"/>
  <c r="S13" i="12"/>
  <c r="M13" i="12"/>
  <c r="BE13" i="12"/>
  <c r="AK13" i="12"/>
  <c r="L13" i="12"/>
  <c r="D13" i="12"/>
  <c r="AB13" i="12"/>
  <c r="AX13" i="12"/>
  <c r="BC13" i="12"/>
  <c r="AH13" i="12"/>
  <c r="U13" i="12"/>
  <c r="AU13" i="12"/>
  <c r="T13" i="12"/>
  <c r="AD13" i="12"/>
  <c r="Q13" i="12"/>
  <c r="K13" i="12"/>
  <c r="H13" i="12"/>
  <c r="AW13" i="12"/>
  <c r="AV13" i="12"/>
  <c r="AC13" i="12"/>
  <c r="Y13" i="12"/>
  <c r="J13" i="12"/>
  <c r="BB13" i="12"/>
  <c r="X13" i="12"/>
  <c r="AM13" i="12"/>
  <c r="BA13" i="12"/>
  <c r="P13" i="12"/>
  <c r="BF13" i="12"/>
  <c r="AG13" i="12"/>
  <c r="R13" i="12"/>
  <c r="AJ13" i="12"/>
  <c r="W13" i="12"/>
  <c r="AE13" i="12"/>
  <c r="AL13" i="12"/>
  <c r="E13" i="12"/>
  <c r="O13" i="12"/>
  <c r="N13" i="12"/>
  <c r="AR13" i="12"/>
  <c r="AZ13" i="12"/>
  <c r="AN13" i="12"/>
  <c r="B13" i="12"/>
  <c r="AO13" i="12"/>
  <c r="AH12" i="12"/>
  <c r="AR12" i="12"/>
  <c r="AD12" i="12"/>
  <c r="AW12" i="12"/>
  <c r="AK12" i="12"/>
  <c r="P12" i="12"/>
  <c r="C12" i="12"/>
  <c r="BC12" i="12"/>
  <c r="R12" i="12"/>
  <c r="BB12" i="12"/>
  <c r="AZ12" i="12"/>
  <c r="H12" i="12"/>
  <c r="AV12" i="12"/>
  <c r="BE12" i="12"/>
  <c r="AE12" i="12"/>
  <c r="AC12" i="12"/>
  <c r="N12" i="12"/>
  <c r="AY12" i="12"/>
  <c r="M12" i="12"/>
  <c r="Z12" i="12"/>
  <c r="AU12" i="12"/>
  <c r="AX12" i="12"/>
  <c r="Y12" i="12"/>
  <c r="AB12" i="12"/>
  <c r="AI12" i="12"/>
  <c r="J12" i="12"/>
  <c r="K12" i="12"/>
  <c r="E12" i="12"/>
  <c r="AS12" i="12"/>
  <c r="BD12" i="12"/>
  <c r="AG12" i="12"/>
  <c r="AP12" i="12"/>
  <c r="AO12" i="12"/>
  <c r="AN12" i="12"/>
  <c r="BF12" i="12"/>
  <c r="X12" i="12"/>
  <c r="AF12" i="12"/>
  <c r="AL12" i="12"/>
  <c r="D12" i="12"/>
  <c r="U12" i="12"/>
  <c r="AM12" i="12"/>
  <c r="L12" i="12"/>
  <c r="W12" i="12"/>
  <c r="T12" i="12"/>
  <c r="AJ12" i="12"/>
  <c r="AQ12" i="12"/>
  <c r="AT12" i="12"/>
  <c r="BA12" i="12"/>
  <c r="Q12" i="12"/>
  <c r="AA12" i="12"/>
  <c r="V12" i="12"/>
  <c r="S12" i="12"/>
  <c r="B12" i="12"/>
  <c r="O12" i="12"/>
  <c r="T11" i="12"/>
  <c r="D11" i="12"/>
  <c r="AG11" i="12"/>
  <c r="AY11" i="12"/>
  <c r="W11" i="12"/>
  <c r="E11" i="12"/>
  <c r="R11" i="12"/>
  <c r="AE11" i="12"/>
  <c r="AZ11" i="12"/>
  <c r="BE11" i="12"/>
  <c r="AO11" i="12"/>
  <c r="AH11" i="12"/>
  <c r="AI11" i="12"/>
  <c r="AC11" i="12"/>
  <c r="C11" i="12"/>
  <c r="AJ11" i="12"/>
  <c r="AF11" i="12"/>
  <c r="AW11" i="12"/>
  <c r="N11" i="12"/>
  <c r="BF11" i="12"/>
  <c r="M11" i="12"/>
  <c r="K11" i="12"/>
  <c r="AM11" i="12"/>
  <c r="J11" i="12"/>
  <c r="BA11" i="12"/>
  <c r="O11" i="12"/>
  <c r="AD11" i="12"/>
  <c r="AK11" i="12"/>
  <c r="AB11" i="12"/>
  <c r="U11" i="12"/>
  <c r="X11" i="12"/>
  <c r="AT11" i="12"/>
  <c r="AX11" i="12"/>
  <c r="Z11" i="12"/>
  <c r="V11" i="12"/>
  <c r="AN11" i="12"/>
  <c r="AV11" i="12"/>
  <c r="S11" i="12"/>
  <c r="P11" i="12"/>
  <c r="AL11" i="12"/>
  <c r="AU11" i="12"/>
  <c r="Q11" i="12"/>
  <c r="BD11" i="12"/>
  <c r="L11" i="12"/>
  <c r="AA11" i="12"/>
  <c r="BC11" i="12"/>
  <c r="AR11" i="12"/>
  <c r="H11" i="12"/>
  <c r="Y11" i="12"/>
  <c r="AQ11" i="12"/>
  <c r="AS11" i="12"/>
  <c r="BB11" i="12"/>
  <c r="B11" i="12"/>
  <c r="AP11" i="12"/>
  <c r="AX10" i="12"/>
  <c r="AA10" i="12"/>
  <c r="BB10" i="12"/>
  <c r="V10" i="12"/>
  <c r="W10" i="12"/>
  <c r="BD10" i="12"/>
  <c r="AM10" i="12"/>
  <c r="AG10" i="12"/>
  <c r="E10" i="12"/>
  <c r="AE10" i="12"/>
  <c r="T10" i="12"/>
  <c r="K10" i="12"/>
  <c r="L10" i="12"/>
  <c r="AQ10" i="12"/>
  <c r="D10" i="12"/>
  <c r="AZ10" i="12"/>
  <c r="BA10" i="12"/>
  <c r="S10" i="12"/>
  <c r="AT10" i="12"/>
  <c r="AV10" i="12"/>
  <c r="J10" i="12"/>
  <c r="R10" i="12"/>
  <c r="AR10" i="12"/>
  <c r="AU10" i="12"/>
  <c r="X10" i="12"/>
  <c r="AO10" i="12"/>
  <c r="AW10" i="12"/>
  <c r="AL10" i="12"/>
  <c r="AD10" i="12"/>
  <c r="BE10" i="12"/>
  <c r="AK10" i="12"/>
  <c r="N10" i="12"/>
  <c r="AF10" i="12"/>
  <c r="AJ10" i="12"/>
  <c r="BC10" i="12"/>
  <c r="AS10" i="12"/>
  <c r="AI10" i="12"/>
  <c r="M10" i="12"/>
  <c r="U10" i="12"/>
  <c r="AH10" i="12"/>
  <c r="AC10" i="12"/>
  <c r="C10" i="12"/>
  <c r="Q10" i="12"/>
  <c r="H10" i="12"/>
  <c r="BF10" i="12"/>
  <c r="Y10" i="12"/>
  <c r="P10" i="12"/>
  <c r="AP10" i="12"/>
  <c r="AY10" i="12"/>
  <c r="AN10" i="12"/>
  <c r="Z10" i="12"/>
  <c r="AB10" i="12"/>
  <c r="B10" i="12"/>
  <c r="O10" i="12"/>
  <c r="AV9" i="12"/>
  <c r="T9" i="12"/>
  <c r="R9" i="12"/>
  <c r="AX9" i="12"/>
  <c r="BD9" i="12"/>
  <c r="BF9" i="12"/>
  <c r="Y9" i="12"/>
  <c r="AW9" i="12"/>
  <c r="BA9" i="12"/>
  <c r="AL9" i="12"/>
  <c r="AA9" i="12"/>
  <c r="Z9" i="12"/>
  <c r="BC9" i="12"/>
  <c r="AB9" i="12"/>
  <c r="BB9" i="12"/>
  <c r="V9" i="12"/>
  <c r="P9" i="12"/>
  <c r="AY9" i="12"/>
  <c r="BE9" i="12"/>
  <c r="AI9" i="12"/>
  <c r="AH9" i="12"/>
  <c r="S9" i="12"/>
  <c r="AG9" i="12"/>
  <c r="C9" i="12"/>
  <c r="AF9" i="12"/>
  <c r="N9" i="12"/>
  <c r="AE9" i="12"/>
  <c r="AN9" i="12"/>
  <c r="AD9" i="12"/>
  <c r="AQ9" i="12"/>
  <c r="M9" i="12"/>
  <c r="X9" i="12"/>
  <c r="K9" i="12"/>
  <c r="AP9" i="12"/>
  <c r="AR9" i="12"/>
  <c r="U9" i="12"/>
  <c r="J9" i="12"/>
  <c r="Q9" i="12"/>
  <c r="AZ9" i="12"/>
  <c r="AO9" i="12"/>
  <c r="AU9" i="12"/>
  <c r="AC9" i="12"/>
  <c r="AK9" i="12"/>
  <c r="AT9" i="12"/>
  <c r="H9" i="12"/>
  <c r="AM9" i="12"/>
  <c r="O9" i="12"/>
  <c r="L9" i="12"/>
  <c r="E9" i="12"/>
  <c r="W9" i="12"/>
  <c r="AJ9" i="12"/>
  <c r="AS9" i="12"/>
  <c r="B9" i="12"/>
  <c r="D9" i="12"/>
  <c r="J8" i="12"/>
  <c r="AK8" i="12"/>
  <c r="AP8" i="12"/>
  <c r="O8" i="12"/>
  <c r="M8" i="12"/>
  <c r="K8" i="12"/>
  <c r="AN8" i="12"/>
  <c r="N8" i="12"/>
  <c r="AQ8" i="12"/>
  <c r="AO8" i="12"/>
  <c r="T8" i="12"/>
  <c r="BA8" i="12"/>
  <c r="AL8" i="12"/>
  <c r="AV8" i="12"/>
  <c r="AW8" i="12"/>
  <c r="AR8" i="12"/>
  <c r="AB8" i="12"/>
  <c r="AD8" i="12"/>
  <c r="C8" i="12"/>
  <c r="H8" i="12"/>
  <c r="BD8" i="12"/>
  <c r="AY8" i="12"/>
  <c r="BC8" i="12"/>
  <c r="AA8" i="12"/>
  <c r="AI8" i="12"/>
  <c r="AX8" i="12"/>
  <c r="Q8" i="12"/>
  <c r="Z8" i="12"/>
  <c r="BE8" i="12"/>
  <c r="AF8" i="12"/>
  <c r="E8" i="12"/>
  <c r="Y8" i="12"/>
  <c r="P8" i="12"/>
  <c r="AZ8" i="12"/>
  <c r="X8" i="12"/>
  <c r="AU8" i="12"/>
  <c r="AC8" i="12"/>
  <c r="W8" i="12"/>
  <c r="AE8" i="12"/>
  <c r="V8" i="12"/>
  <c r="D8" i="12"/>
  <c r="L8" i="12"/>
  <c r="BB8" i="12"/>
  <c r="S8" i="12"/>
  <c r="U8" i="12"/>
  <c r="AT8" i="12"/>
  <c r="AJ8" i="12"/>
  <c r="BF8" i="12"/>
  <c r="R8" i="12"/>
  <c r="AH8" i="12"/>
  <c r="AM8" i="12"/>
  <c r="AS8" i="12"/>
  <c r="B8" i="12"/>
  <c r="AG8" i="12"/>
  <c r="BC7" i="12"/>
  <c r="N7" i="12"/>
  <c r="AO7" i="12"/>
  <c r="AX7" i="12"/>
  <c r="Q7" i="12"/>
  <c r="AY7" i="12"/>
  <c r="U7" i="12"/>
  <c r="AR7" i="12"/>
  <c r="Z7" i="12"/>
  <c r="T7" i="12"/>
  <c r="AK7" i="12"/>
  <c r="P7" i="12"/>
  <c r="S7" i="12"/>
  <c r="AC7" i="12"/>
  <c r="AA7" i="12"/>
  <c r="C7" i="12"/>
  <c r="BD7" i="12"/>
  <c r="BB7" i="12"/>
  <c r="BA7" i="12"/>
  <c r="AZ7" i="12"/>
  <c r="AW7" i="12"/>
  <c r="AE7" i="12"/>
  <c r="V7" i="12"/>
  <c r="AU7" i="12"/>
  <c r="M7" i="12"/>
  <c r="BE7" i="12"/>
  <c r="AT7" i="12"/>
  <c r="L7" i="12"/>
  <c r="E7" i="12"/>
  <c r="AS7" i="12"/>
  <c r="AD7" i="12"/>
  <c r="AL7" i="12"/>
  <c r="K7" i="12"/>
  <c r="R7" i="12"/>
  <c r="AI7" i="12"/>
  <c r="BF7" i="12"/>
  <c r="J7" i="12"/>
  <c r="AJ7" i="12"/>
  <c r="AG7" i="12"/>
  <c r="Y7" i="12"/>
  <c r="AP7" i="12"/>
  <c r="AH7" i="12"/>
  <c r="W7" i="12"/>
  <c r="AN7" i="12"/>
  <c r="AM7" i="12"/>
  <c r="AF7" i="12"/>
  <c r="AB7" i="12"/>
  <c r="X7" i="12"/>
  <c r="O7" i="12"/>
  <c r="D7" i="12"/>
  <c r="H7" i="12"/>
  <c r="AQ7" i="12"/>
  <c r="AV7" i="12"/>
  <c r="AN5" i="12"/>
  <c r="R5" i="12"/>
  <c r="T5" i="12"/>
  <c r="AA5" i="12"/>
  <c r="AI5" i="12"/>
  <c r="S5" i="12"/>
  <c r="BE5" i="12"/>
  <c r="Y5" i="12"/>
  <c r="BF5" i="12"/>
  <c r="K5" i="12"/>
  <c r="AQ5" i="12"/>
  <c r="H5" i="12"/>
  <c r="AJ5" i="12"/>
  <c r="AD5" i="12"/>
  <c r="AC5" i="12"/>
  <c r="AB5" i="12"/>
  <c r="AP5" i="12"/>
  <c r="V5" i="12"/>
  <c r="Z5" i="12"/>
  <c r="AY5" i="12"/>
  <c r="N5" i="12"/>
  <c r="AX5" i="12"/>
  <c r="AS5" i="12"/>
  <c r="AW5" i="12"/>
  <c r="AV5" i="12"/>
  <c r="U5" i="12"/>
  <c r="AO5" i="12"/>
  <c r="AU5" i="12"/>
  <c r="BC5" i="12"/>
  <c r="E5" i="12"/>
  <c r="X5" i="12"/>
  <c r="AH5" i="12"/>
  <c r="AF5" i="12"/>
  <c r="Q5" i="12"/>
  <c r="D5" i="12"/>
  <c r="P5" i="12"/>
  <c r="AZ5" i="12"/>
  <c r="AE5" i="12"/>
  <c r="O5" i="12"/>
  <c r="AG5" i="12"/>
  <c r="C5" i="12"/>
  <c r="J5" i="12"/>
  <c r="AR5" i="12"/>
  <c r="AL5" i="12"/>
  <c r="AM5" i="12"/>
  <c r="AT5" i="12"/>
  <c r="M5" i="12"/>
  <c r="W5" i="12"/>
  <c r="L5" i="12"/>
  <c r="BD5" i="12"/>
  <c r="BA5" i="12"/>
  <c r="AK5" i="12"/>
  <c r="B5" i="12"/>
  <c r="BB5" i="12"/>
  <c r="E4" i="12"/>
  <c r="O4" i="12"/>
  <c r="BA4" i="12"/>
  <c r="S4" i="12"/>
  <c r="C4" i="12"/>
  <c r="AE4" i="12"/>
  <c r="AA4" i="12"/>
  <c r="W4" i="12"/>
  <c r="AV4" i="12"/>
  <c r="AF4" i="12"/>
  <c r="P4" i="12"/>
  <c r="M4" i="12"/>
  <c r="AM4" i="12"/>
  <c r="AL4" i="12"/>
  <c r="X4" i="12"/>
  <c r="AN4" i="12"/>
  <c r="AI4" i="12"/>
  <c r="AP4" i="12"/>
  <c r="L4" i="12"/>
  <c r="V4" i="12"/>
  <c r="AX4" i="12"/>
  <c r="R4" i="12"/>
  <c r="AD4" i="12"/>
  <c r="BD4" i="12"/>
  <c r="AG4" i="12"/>
  <c r="AO4" i="12"/>
  <c r="BE4" i="12"/>
  <c r="AU4" i="12"/>
  <c r="AC4" i="12"/>
  <c r="AT4" i="12"/>
  <c r="H4" i="12"/>
  <c r="AS4" i="12"/>
  <c r="AZ4" i="12"/>
  <c r="BB4" i="12"/>
  <c r="AR4" i="12"/>
  <c r="AJ4" i="12"/>
  <c r="AB4" i="12"/>
  <c r="AQ4" i="12"/>
  <c r="K4" i="12"/>
  <c r="AK4" i="12"/>
  <c r="U4" i="12"/>
  <c r="T4" i="12"/>
  <c r="AH4" i="12"/>
  <c r="Z4" i="12"/>
  <c r="Q4" i="12"/>
  <c r="D4" i="12"/>
  <c r="J4" i="12"/>
  <c r="Y4" i="12"/>
  <c r="N4" i="12"/>
  <c r="AY4" i="12"/>
  <c r="BC4" i="12"/>
  <c r="BF4" i="12"/>
  <c r="B4" i="12"/>
  <c r="AW4" i="12"/>
  <c r="O3" i="12"/>
  <c r="AR3" i="12"/>
  <c r="AB3" i="12"/>
  <c r="N3" i="12"/>
  <c r="L3" i="12"/>
  <c r="AP3" i="12"/>
  <c r="S3" i="12"/>
  <c r="W3" i="12"/>
  <c r="P3" i="12"/>
  <c r="AT3" i="12"/>
  <c r="V3" i="12"/>
  <c r="AY3" i="12"/>
  <c r="AL3" i="12"/>
  <c r="T3" i="12"/>
  <c r="AN3" i="12"/>
  <c r="AQ3" i="12"/>
  <c r="AI3" i="12"/>
  <c r="E3" i="12"/>
  <c r="AU3" i="12"/>
  <c r="U3" i="12"/>
  <c r="AJ3" i="12"/>
  <c r="AS3" i="12"/>
  <c r="AH3" i="12"/>
  <c r="D3" i="12"/>
  <c r="AC3" i="12"/>
  <c r="X3" i="12"/>
  <c r="M3" i="12"/>
  <c r="BA3" i="12"/>
  <c r="BE3" i="12"/>
  <c r="C3" i="12"/>
  <c r="K3" i="12"/>
  <c r="AO3" i="12"/>
  <c r="AA3" i="12"/>
  <c r="AZ3" i="12"/>
  <c r="Y3" i="12"/>
  <c r="BC3" i="12"/>
  <c r="AV3" i="12"/>
  <c r="AX3" i="12"/>
  <c r="Z3" i="12"/>
  <c r="J3" i="12"/>
  <c r="BB3" i="12"/>
  <c r="AE3" i="12"/>
  <c r="AG3" i="12"/>
  <c r="AM3" i="12"/>
  <c r="AW3" i="12"/>
  <c r="BF3" i="12"/>
  <c r="AK3" i="12"/>
  <c r="AD3" i="12"/>
  <c r="AF3" i="12"/>
  <c r="R3" i="12"/>
  <c r="H3" i="12"/>
  <c r="BD3" i="12"/>
  <c r="B3" i="12"/>
  <c r="Q3" i="12"/>
  <c r="AG2" i="12"/>
  <c r="AJ2" i="12"/>
  <c r="AL2" i="12"/>
  <c r="Y2" i="12"/>
  <c r="AT2" i="12"/>
  <c r="D2" i="12"/>
  <c r="C2" i="12"/>
  <c r="AR2" i="12"/>
  <c r="AQ2" i="12"/>
  <c r="N2" i="12"/>
  <c r="AA2" i="12"/>
  <c r="H2" i="12"/>
  <c r="BF2" i="12"/>
  <c r="L2" i="12"/>
  <c r="AC2" i="12"/>
  <c r="Z2" i="12"/>
  <c r="O2" i="12"/>
  <c r="V2" i="12"/>
  <c r="AZ2" i="12"/>
  <c r="BA2" i="12"/>
  <c r="X2" i="12"/>
  <c r="U2" i="12"/>
  <c r="AY2" i="12"/>
  <c r="R2" i="12"/>
  <c r="W2" i="12"/>
  <c r="AU2" i="12"/>
  <c r="AW2" i="12"/>
  <c r="AB2" i="12"/>
  <c r="P2" i="12"/>
  <c r="AI2" i="12"/>
  <c r="AV2" i="12"/>
  <c r="M2" i="12"/>
  <c r="AP2" i="12"/>
  <c r="BD2" i="12"/>
  <c r="AN2" i="12"/>
  <c r="BB2" i="12"/>
  <c r="AF2" i="12"/>
  <c r="AM2" i="12"/>
  <c r="BC2" i="12"/>
  <c r="Q2" i="12"/>
  <c r="AK2" i="12"/>
  <c r="K2" i="12"/>
  <c r="T2" i="12"/>
  <c r="AO2" i="12"/>
  <c r="E2" i="12"/>
  <c r="AE2" i="12"/>
  <c r="S2" i="12"/>
  <c r="AX2" i="12"/>
  <c r="J2" i="12"/>
  <c r="AD2" i="12"/>
  <c r="AH2" i="12"/>
  <c r="BE2" i="12"/>
  <c r="B2" i="12"/>
  <c r="AS2" i="12"/>
  <c r="H49" i="12"/>
  <c r="AU49" i="12"/>
  <c r="AW49" i="12"/>
  <c r="W49" i="12"/>
  <c r="K49" i="12"/>
  <c r="P49" i="12"/>
  <c r="AR49" i="12"/>
  <c r="AA49" i="12"/>
  <c r="J49" i="12"/>
  <c r="BD49" i="12"/>
  <c r="AX49" i="12"/>
  <c r="AM49" i="12"/>
  <c r="BE49" i="12"/>
  <c r="AE49" i="12"/>
  <c r="Y49" i="12"/>
  <c r="BB49" i="12"/>
  <c r="AY49" i="12"/>
  <c r="Q49" i="12"/>
  <c r="V49" i="12"/>
  <c r="N49" i="12"/>
  <c r="E49" i="12"/>
  <c r="BF49" i="12"/>
  <c r="U49" i="12"/>
  <c r="L49" i="12"/>
  <c r="BC49" i="12"/>
  <c r="AB49" i="12"/>
  <c r="AN49" i="12"/>
  <c r="R49" i="12"/>
  <c r="AT49" i="12"/>
  <c r="AV49" i="12"/>
  <c r="C49" i="12"/>
  <c r="M49" i="12"/>
  <c r="O49" i="12"/>
  <c r="X49" i="12"/>
  <c r="AS49" i="12"/>
  <c r="AP49" i="12"/>
  <c r="AQ49" i="12"/>
  <c r="AO49" i="12"/>
  <c r="AK49" i="12"/>
  <c r="S49" i="12"/>
  <c r="AH49" i="12"/>
  <c r="AL49" i="12"/>
  <c r="AD49" i="12"/>
  <c r="AJ49" i="12"/>
  <c r="D49" i="12"/>
  <c r="Z49" i="12"/>
  <c r="AG49" i="12"/>
  <c r="AZ49" i="12"/>
  <c r="BA49" i="12"/>
  <c r="AF49" i="12"/>
  <c r="AI49" i="12"/>
  <c r="T49" i="12"/>
  <c r="B49" i="12"/>
  <c r="AC49" i="12"/>
  <c r="BC32" i="12"/>
  <c r="AF32" i="12"/>
  <c r="C32" i="12"/>
  <c r="R32" i="12"/>
  <c r="BE32" i="12"/>
  <c r="AN32" i="12"/>
  <c r="AL32" i="12"/>
  <c r="AB32" i="12"/>
  <c r="AR32" i="12"/>
  <c r="U32" i="12"/>
  <c r="AY32" i="12"/>
  <c r="S32" i="12"/>
  <c r="Q32" i="12"/>
  <c r="AO32" i="12"/>
  <c r="BD32" i="12"/>
  <c r="BB32" i="12"/>
  <c r="AM32" i="12"/>
  <c r="P32" i="12"/>
  <c r="V32" i="12"/>
  <c r="O32" i="12"/>
  <c r="E32" i="12"/>
  <c r="L32" i="12"/>
  <c r="AT32" i="12"/>
  <c r="AV32" i="12"/>
  <c r="W32" i="12"/>
  <c r="K32" i="12"/>
  <c r="AS32" i="12"/>
  <c r="AX32" i="12"/>
  <c r="BF32" i="12"/>
  <c r="AH32" i="12"/>
  <c r="T32" i="12"/>
  <c r="AC32" i="12"/>
  <c r="AG32" i="12"/>
  <c r="AK32" i="12"/>
  <c r="D32" i="12"/>
  <c r="M32" i="12"/>
  <c r="AD32" i="12"/>
  <c r="Z32" i="12"/>
  <c r="AI32" i="12"/>
  <c r="AU32" i="12"/>
  <c r="AQ32" i="12"/>
  <c r="AA32" i="12"/>
  <c r="BA32" i="12"/>
  <c r="AE32" i="12"/>
  <c r="AP32" i="12"/>
  <c r="X32" i="12"/>
  <c r="AZ32" i="12"/>
  <c r="Y32" i="12"/>
  <c r="AJ32" i="12"/>
  <c r="N32" i="12"/>
  <c r="H32" i="12"/>
  <c r="J32" i="12"/>
  <c r="B32" i="12"/>
  <c r="AW32" i="12"/>
  <c r="P6" i="12"/>
  <c r="AJ6" i="12"/>
  <c r="AZ6" i="12"/>
  <c r="AK6" i="12"/>
  <c r="AB6" i="12"/>
  <c r="S6" i="12"/>
  <c r="AY6" i="12"/>
  <c r="AP6" i="12"/>
  <c r="AQ6" i="12"/>
  <c r="X6" i="12"/>
  <c r="L6" i="12"/>
  <c r="K6" i="12"/>
  <c r="Z6" i="12"/>
  <c r="W6" i="12"/>
  <c r="U6" i="12"/>
  <c r="E6" i="12"/>
  <c r="Q6" i="12"/>
  <c r="AL6" i="12"/>
  <c r="AT6" i="12"/>
  <c r="D6" i="12"/>
  <c r="AD6" i="12"/>
  <c r="AI6" i="12"/>
  <c r="N6" i="12"/>
  <c r="C6" i="12"/>
  <c r="BD6" i="12"/>
  <c r="AF6" i="12"/>
  <c r="AA6" i="12"/>
  <c r="M6" i="12"/>
  <c r="AH6" i="12"/>
  <c r="BA6" i="12"/>
  <c r="Y6" i="12"/>
  <c r="R6" i="12"/>
  <c r="AC6" i="12"/>
  <c r="V6" i="12"/>
  <c r="AW6" i="12"/>
  <c r="H6" i="12"/>
  <c r="T6" i="12"/>
  <c r="AG6" i="12"/>
  <c r="AR6" i="12"/>
  <c r="BE6" i="12"/>
  <c r="BC6" i="12"/>
  <c r="AO6" i="12"/>
  <c r="BF6" i="12"/>
  <c r="O6" i="12"/>
  <c r="AN6" i="12"/>
  <c r="AV6" i="12"/>
  <c r="AX6" i="12"/>
  <c r="BB6" i="12"/>
  <c r="J6" i="12"/>
  <c r="AU6" i="12"/>
  <c r="AE6" i="12"/>
  <c r="AM6" i="12"/>
  <c r="B6" i="12"/>
  <c r="AS6" i="12"/>
  <c r="B7" i="12"/>
  <c r="I7" i="12"/>
  <c r="G7" i="12"/>
  <c r="F7" i="12"/>
  <c r="AO58" i="12"/>
  <c r="AY58" i="12"/>
  <c r="E58" i="12"/>
  <c r="AV58" i="12"/>
  <c r="BD58" i="12"/>
  <c r="AJ58" i="12"/>
  <c r="AL58" i="12"/>
  <c r="Y58" i="12"/>
  <c r="AB58" i="12"/>
  <c r="BE58" i="12"/>
  <c r="L58" i="12"/>
  <c r="AD58" i="12"/>
  <c r="M58" i="12"/>
  <c r="AM58" i="12"/>
  <c r="BF58" i="12"/>
  <c r="J58" i="12"/>
  <c r="X58" i="12"/>
  <c r="AX58" i="12"/>
  <c r="W58" i="12"/>
  <c r="T58" i="12"/>
  <c r="AI58" i="12"/>
  <c r="AK58" i="12"/>
  <c r="AN58" i="12"/>
  <c r="AE58" i="12"/>
  <c r="AG58" i="12"/>
  <c r="BA58" i="12"/>
  <c r="C58" i="12"/>
  <c r="H58" i="12"/>
  <c r="AC58" i="12"/>
  <c r="AW58" i="12"/>
  <c r="V58" i="12"/>
  <c r="BC58" i="12"/>
  <c r="R58" i="12"/>
  <c r="S58" i="12"/>
  <c r="AR58" i="12"/>
  <c r="AZ58" i="12"/>
  <c r="AQ58" i="12"/>
  <c r="P58" i="12"/>
  <c r="D58" i="12"/>
  <c r="AH58" i="12"/>
  <c r="AT58" i="12"/>
  <c r="AA58" i="12"/>
  <c r="BB58" i="12"/>
  <c r="AU58" i="12"/>
  <c r="U58" i="12"/>
  <c r="AP58" i="12"/>
  <c r="AF58" i="12"/>
  <c r="N58" i="12"/>
  <c r="Q58" i="12"/>
  <c r="Z58" i="12"/>
  <c r="K58" i="12"/>
  <c r="AS58" i="12"/>
  <c r="B58" i="12"/>
  <c r="O58" i="12"/>
  <c r="BD21" i="11"/>
  <c r="AX21" i="11"/>
  <c r="H21" i="11"/>
  <c r="BB21" i="11"/>
  <c r="AE21" i="11"/>
  <c r="T21" i="11"/>
  <c r="O21" i="11"/>
  <c r="AQ21" i="11"/>
  <c r="J21" i="11"/>
  <c r="AW21" i="11"/>
  <c r="D21" i="11"/>
  <c r="U21" i="11"/>
  <c r="AF21" i="11"/>
  <c r="AB21" i="11"/>
  <c r="AT21" i="11"/>
  <c r="AS21" i="11"/>
  <c r="AG21" i="11"/>
  <c r="BE21" i="11"/>
  <c r="Q21" i="11"/>
  <c r="AO21" i="11"/>
  <c r="AR21" i="11"/>
  <c r="W21" i="11"/>
  <c r="V21" i="11"/>
  <c r="BF21" i="11"/>
  <c r="AK21" i="11"/>
  <c r="AP21" i="11"/>
  <c r="M21" i="11"/>
  <c r="Y21" i="11"/>
  <c r="AM21" i="11"/>
  <c r="AD21" i="11"/>
  <c r="P21" i="11"/>
  <c r="AA21" i="11"/>
  <c r="BA21" i="11"/>
  <c r="AC21" i="11"/>
  <c r="AU21" i="11"/>
  <c r="AV21" i="11"/>
  <c r="C21" i="11"/>
  <c r="L21" i="11"/>
  <c r="E21" i="11"/>
  <c r="Z21" i="11"/>
  <c r="AL21" i="11"/>
  <c r="S21" i="11"/>
  <c r="AY21" i="11"/>
  <c r="BC21" i="11"/>
  <c r="AI21" i="11"/>
  <c r="X21" i="11"/>
  <c r="R21" i="11"/>
  <c r="AN21" i="11"/>
  <c r="N21" i="11"/>
  <c r="AH21" i="11"/>
  <c r="AZ21" i="11"/>
  <c r="K21" i="11"/>
  <c r="B21" i="11"/>
  <c r="AJ21" i="11"/>
  <c r="AV39" i="11"/>
  <c r="AD39" i="11"/>
  <c r="AX39" i="11"/>
  <c r="BD39" i="11"/>
  <c r="C39" i="11"/>
  <c r="AK39" i="11"/>
  <c r="Q39" i="11"/>
  <c r="AS39" i="11"/>
  <c r="R39" i="11"/>
  <c r="BF39" i="11"/>
  <c r="AP39" i="11"/>
  <c r="P39" i="11"/>
  <c r="AG39" i="11"/>
  <c r="AL39" i="11"/>
  <c r="K39" i="11"/>
  <c r="J39" i="11"/>
  <c r="AH39" i="11"/>
  <c r="T39" i="11"/>
  <c r="Z39" i="11"/>
  <c r="U39" i="11"/>
  <c r="E39" i="11"/>
  <c r="BE39" i="11"/>
  <c r="M39" i="11"/>
  <c r="N39" i="11"/>
  <c r="AE39" i="11"/>
  <c r="AJ39" i="11"/>
  <c r="S39" i="11"/>
  <c r="BC39" i="11"/>
  <c r="V39" i="11"/>
  <c r="AR39" i="11"/>
  <c r="AZ39" i="11"/>
  <c r="AT39" i="11"/>
  <c r="AQ39" i="11"/>
  <c r="AB39" i="11"/>
  <c r="L39" i="11"/>
  <c r="AI39" i="11"/>
  <c r="O39" i="11"/>
  <c r="AA39" i="11"/>
  <c r="AU39" i="11"/>
  <c r="AC39" i="11"/>
  <c r="AF39" i="11"/>
  <c r="W39" i="11"/>
  <c r="Y39" i="11"/>
  <c r="AW39" i="11"/>
  <c r="D39" i="11"/>
  <c r="BA39" i="11"/>
  <c r="AO39" i="11"/>
  <c r="AN39" i="11"/>
  <c r="H39" i="11"/>
  <c r="X39" i="11"/>
  <c r="AM39" i="11"/>
  <c r="BB39" i="11"/>
  <c r="B39" i="11"/>
  <c r="AY39" i="11"/>
  <c r="L49" i="11"/>
  <c r="N49" i="11"/>
  <c r="AX49" i="11"/>
  <c r="BB49" i="11"/>
  <c r="AJ49" i="11"/>
  <c r="BE49" i="11"/>
  <c r="X49" i="11"/>
  <c r="AN49" i="11"/>
  <c r="AQ49" i="11"/>
  <c r="Q49" i="11"/>
  <c r="AR49" i="11"/>
  <c r="C49" i="11"/>
  <c r="AP49" i="11"/>
  <c r="AD49" i="11"/>
  <c r="AW49" i="11"/>
  <c r="AC49" i="11"/>
  <c r="T49" i="11"/>
  <c r="R49" i="11"/>
  <c r="E49" i="11"/>
  <c r="O49" i="11"/>
  <c r="H49" i="11"/>
  <c r="AA49" i="11"/>
  <c r="AF49" i="11"/>
  <c r="K49" i="11"/>
  <c r="V49" i="11"/>
  <c r="BD49" i="11"/>
  <c r="AO49" i="11"/>
  <c r="AV49" i="11"/>
  <c r="M49" i="11"/>
  <c r="S49" i="11"/>
  <c r="AK49" i="11"/>
  <c r="AB49" i="11"/>
  <c r="AS49" i="11"/>
  <c r="BA49" i="11"/>
  <c r="AZ49" i="11"/>
  <c r="AU49" i="11"/>
  <c r="BC49" i="11"/>
  <c r="AT49" i="11"/>
  <c r="AM49" i="11"/>
  <c r="U49" i="11"/>
  <c r="W49" i="11"/>
  <c r="D49" i="11"/>
  <c r="J49" i="11"/>
  <c r="Z49" i="11"/>
  <c r="BF49" i="11"/>
  <c r="AE49" i="11"/>
  <c r="AY49" i="11"/>
  <c r="AG49" i="11"/>
  <c r="AH49" i="11"/>
  <c r="AL49" i="11"/>
  <c r="AI49" i="11"/>
  <c r="Y49" i="11"/>
  <c r="B49" i="11"/>
  <c r="P49" i="11"/>
  <c r="AG13" i="7"/>
  <c r="BA13" i="7"/>
  <c r="AV13" i="7"/>
  <c r="S13" i="7"/>
  <c r="AI13" i="7"/>
  <c r="AD13" i="7"/>
  <c r="BB13" i="7"/>
  <c r="AK13" i="7"/>
  <c r="K13" i="7"/>
  <c r="AM13" i="7"/>
  <c r="AZ13" i="7"/>
  <c r="R13" i="7"/>
  <c r="Q13" i="7"/>
  <c r="T13" i="7"/>
  <c r="N13" i="7"/>
  <c r="AX13" i="7"/>
  <c r="J13" i="7"/>
  <c r="Z13" i="7"/>
  <c r="BE13" i="7"/>
  <c r="U13" i="7"/>
  <c r="V13" i="7"/>
  <c r="AO13" i="7"/>
  <c r="AF13" i="7"/>
  <c r="M13" i="7"/>
  <c r="BC13" i="7"/>
  <c r="H13" i="7"/>
  <c r="AB13" i="7"/>
  <c r="AS13" i="7"/>
  <c r="AH13" i="7"/>
  <c r="AJ13" i="7"/>
  <c r="AT13" i="7"/>
  <c r="AE13" i="7"/>
  <c r="AP13" i="7"/>
  <c r="AN13" i="7"/>
  <c r="P13" i="7"/>
  <c r="AL13" i="7"/>
  <c r="X13" i="7"/>
  <c r="Y13" i="7"/>
  <c r="AC13" i="7"/>
  <c r="O13" i="7"/>
  <c r="D13" i="7"/>
  <c r="AQ13" i="7"/>
  <c r="L13" i="7"/>
  <c r="AR13" i="7"/>
  <c r="AU13" i="7"/>
  <c r="BF13" i="7"/>
  <c r="AA13" i="7"/>
  <c r="AW13" i="7"/>
  <c r="C13" i="7"/>
  <c r="AY13" i="7"/>
  <c r="E13" i="7"/>
  <c r="W13" i="7"/>
  <c r="B13" i="7"/>
  <c r="BD13" i="7"/>
  <c r="AP58" i="8"/>
  <c r="N58" i="8"/>
  <c r="R58" i="8"/>
  <c r="AT58" i="8"/>
  <c r="AD58" i="8"/>
  <c r="O58" i="8"/>
  <c r="AA58" i="8"/>
  <c r="BC58" i="8"/>
  <c r="AZ58" i="8"/>
  <c r="V58" i="8"/>
  <c r="AF58" i="8"/>
  <c r="S58" i="8"/>
  <c r="H58" i="8"/>
  <c r="D58" i="8"/>
  <c r="X58" i="8"/>
  <c r="AB58" i="8"/>
  <c r="AW58" i="8"/>
  <c r="BF58" i="8"/>
  <c r="AR58" i="8"/>
  <c r="M58" i="8"/>
  <c r="AX58" i="8"/>
  <c r="AO58" i="8"/>
  <c r="AQ58" i="8"/>
  <c r="AG58" i="8"/>
  <c r="AV58" i="8"/>
  <c r="BE58" i="8"/>
  <c r="BD58" i="8"/>
  <c r="AU58" i="8"/>
  <c r="E58" i="8"/>
  <c r="BB58" i="8"/>
  <c r="AE58" i="8"/>
  <c r="K58" i="8"/>
  <c r="AM58" i="8"/>
  <c r="AJ58" i="8"/>
  <c r="W58" i="8"/>
  <c r="AK58" i="8"/>
  <c r="AN58" i="8"/>
  <c r="U58" i="8"/>
  <c r="L58" i="8"/>
  <c r="Z58" i="8"/>
  <c r="J58" i="8"/>
  <c r="T58" i="8"/>
  <c r="P58" i="8"/>
  <c r="AI58" i="8"/>
  <c r="BA58" i="8"/>
  <c r="Q58" i="8"/>
  <c r="AH58" i="8"/>
  <c r="AY58" i="8"/>
  <c r="C58" i="8"/>
  <c r="Y58" i="8"/>
  <c r="AC58" i="8"/>
  <c r="AL58" i="8"/>
  <c r="B58" i="8"/>
  <c r="AS58" i="8"/>
  <c r="AD30" i="11"/>
  <c r="T30" i="11"/>
  <c r="AW30" i="11"/>
  <c r="Q30" i="11"/>
  <c r="AF30" i="11"/>
  <c r="BC30" i="11"/>
  <c r="D30" i="11"/>
  <c r="BE30" i="11"/>
  <c r="M30" i="11"/>
  <c r="BF30" i="11"/>
  <c r="AY30" i="11"/>
  <c r="V30" i="11"/>
  <c r="AK30" i="11"/>
  <c r="H30" i="11"/>
  <c r="BD30" i="11"/>
  <c r="AL30" i="11"/>
  <c r="AI30" i="11"/>
  <c r="AC30" i="11"/>
  <c r="Y30" i="11"/>
  <c r="AS30" i="11"/>
  <c r="K30" i="11"/>
  <c r="Z30" i="11"/>
  <c r="E30" i="11"/>
  <c r="AP30" i="11"/>
  <c r="AA30" i="11"/>
  <c r="AE30" i="11"/>
  <c r="S30" i="11"/>
  <c r="AX30" i="11"/>
  <c r="U30" i="11"/>
  <c r="P30" i="11"/>
  <c r="AG30" i="11"/>
  <c r="BB30" i="11"/>
  <c r="X30" i="11"/>
  <c r="J30" i="11"/>
  <c r="AV30" i="11"/>
  <c r="AR30" i="11"/>
  <c r="L30" i="11"/>
  <c r="AQ30" i="11"/>
  <c r="C30" i="11"/>
  <c r="W30" i="11"/>
  <c r="AH30" i="11"/>
  <c r="AZ30" i="11"/>
  <c r="N30" i="11"/>
  <c r="AJ30" i="11"/>
  <c r="AO30" i="11"/>
  <c r="O30" i="11"/>
  <c r="R30" i="11"/>
  <c r="AU30" i="11"/>
  <c r="BA30" i="11"/>
  <c r="AN30" i="11"/>
  <c r="AT30" i="11"/>
  <c r="AM30" i="11"/>
  <c r="B30" i="11"/>
  <c r="AB30" i="11"/>
  <c r="I21" i="7"/>
  <c r="G21" i="7"/>
  <c r="F21" i="7"/>
  <c r="AW58" i="11"/>
  <c r="AX58" i="11"/>
  <c r="P58" i="11"/>
  <c r="O58" i="11"/>
  <c r="AD58" i="11"/>
  <c r="S58" i="11"/>
  <c r="D58" i="11"/>
  <c r="AF58" i="11"/>
  <c r="AO58" i="11"/>
  <c r="AB58" i="11"/>
  <c r="AI58" i="11"/>
  <c r="AS58" i="11"/>
  <c r="AR58" i="11"/>
  <c r="U58" i="11"/>
  <c r="BE58" i="11"/>
  <c r="V58" i="11"/>
  <c r="E58" i="11"/>
  <c r="L58" i="11"/>
  <c r="M58" i="11"/>
  <c r="AE58" i="11"/>
  <c r="N58" i="11"/>
  <c r="AY58" i="11"/>
  <c r="T58" i="11"/>
  <c r="AC58" i="11"/>
  <c r="J58" i="11"/>
  <c r="AL58" i="11"/>
  <c r="AZ58" i="11"/>
  <c r="K58" i="11"/>
  <c r="AG58" i="11"/>
  <c r="C58" i="11"/>
  <c r="AV58" i="11"/>
  <c r="AN58" i="11"/>
  <c r="AJ58" i="11"/>
  <c r="Y58" i="11"/>
  <c r="BC58" i="11"/>
  <c r="H58" i="11"/>
  <c r="AU58" i="11"/>
  <c r="AH58" i="11"/>
  <c r="W58" i="11"/>
  <c r="BA58" i="11"/>
  <c r="Q58" i="11"/>
  <c r="Z58" i="11"/>
  <c r="AQ58" i="11"/>
  <c r="AA58" i="11"/>
  <c r="R58" i="11"/>
  <c r="BB58" i="11"/>
  <c r="AT58" i="11"/>
  <c r="AM58" i="11"/>
  <c r="AP58" i="11"/>
  <c r="BD58" i="11"/>
  <c r="X58" i="11"/>
  <c r="BF58" i="11"/>
  <c r="B58" i="11"/>
  <c r="AK58" i="11"/>
  <c r="Q57" i="11"/>
  <c r="AV57" i="11"/>
  <c r="AS57" i="11"/>
  <c r="L57" i="11"/>
  <c r="Z57" i="11"/>
  <c r="AQ57" i="11"/>
  <c r="C57" i="11"/>
  <c r="AR57" i="11"/>
  <c r="O57" i="11"/>
  <c r="AI57" i="11"/>
  <c r="N57" i="11"/>
  <c r="AY57" i="11"/>
  <c r="AC57" i="11"/>
  <c r="H57" i="11"/>
  <c r="BE57" i="11"/>
  <c r="AA57" i="11"/>
  <c r="D57" i="11"/>
  <c r="BA57" i="11"/>
  <c r="P57" i="11"/>
  <c r="AN57" i="11"/>
  <c r="BB57" i="11"/>
  <c r="R57" i="11"/>
  <c r="AP57" i="11"/>
  <c r="J57" i="11"/>
  <c r="AL57" i="11"/>
  <c r="AT57" i="11"/>
  <c r="AE57" i="11"/>
  <c r="AB57" i="11"/>
  <c r="W57" i="11"/>
  <c r="AU57" i="11"/>
  <c r="AK57" i="11"/>
  <c r="AZ57" i="11"/>
  <c r="S57" i="11"/>
  <c r="Y57" i="11"/>
  <c r="V57" i="11"/>
  <c r="AX57" i="11"/>
  <c r="AM57" i="11"/>
  <c r="AW57" i="11"/>
  <c r="E57" i="11"/>
  <c r="BD57" i="11"/>
  <c r="K57" i="11"/>
  <c r="BC57" i="11"/>
  <c r="AD57" i="11"/>
  <c r="BF57" i="11"/>
  <c r="AH57" i="11"/>
  <c r="AO57" i="11"/>
  <c r="X57" i="11"/>
  <c r="AF57" i="11"/>
  <c r="AG57" i="11"/>
  <c r="T57" i="11"/>
  <c r="AJ57" i="11"/>
  <c r="M57" i="11"/>
  <c r="B57" i="11"/>
  <c r="U57" i="11"/>
  <c r="AJ56" i="11"/>
  <c r="W56" i="11"/>
  <c r="BC56" i="11"/>
  <c r="BF56" i="11"/>
  <c r="K56" i="11"/>
  <c r="AM56" i="11"/>
  <c r="BB56" i="11"/>
  <c r="M56" i="11"/>
  <c r="AW56" i="11"/>
  <c r="AG56" i="11"/>
  <c r="H56" i="11"/>
  <c r="Z56" i="11"/>
  <c r="AF56" i="11"/>
  <c r="AD56" i="11"/>
  <c r="AC56" i="11"/>
  <c r="X56" i="11"/>
  <c r="O56" i="11"/>
  <c r="BE56" i="11"/>
  <c r="AU56" i="11"/>
  <c r="J56" i="11"/>
  <c r="AS56" i="11"/>
  <c r="P56" i="11"/>
  <c r="AN56" i="11"/>
  <c r="AE56" i="11"/>
  <c r="R56" i="11"/>
  <c r="E56" i="11"/>
  <c r="AY56" i="11"/>
  <c r="S56" i="11"/>
  <c r="V56" i="11"/>
  <c r="AA56" i="11"/>
  <c r="U56" i="11"/>
  <c r="AH56" i="11"/>
  <c r="D56" i="11"/>
  <c r="AQ56" i="11"/>
  <c r="C56" i="11"/>
  <c r="AT56" i="11"/>
  <c r="Q56" i="11"/>
  <c r="AB56" i="11"/>
  <c r="AZ56" i="11"/>
  <c r="AV56" i="11"/>
  <c r="L56" i="11"/>
  <c r="AL56" i="11"/>
  <c r="N56" i="11"/>
  <c r="AK56" i="11"/>
  <c r="Y56" i="11"/>
  <c r="BA56" i="11"/>
  <c r="AI56" i="11"/>
  <c r="BD56" i="11"/>
  <c r="AO56" i="11"/>
  <c r="AR56" i="11"/>
  <c r="AX56" i="11"/>
  <c r="T56" i="11"/>
  <c r="B56" i="11"/>
  <c r="AP56" i="11"/>
  <c r="D55" i="11"/>
  <c r="AJ55" i="11"/>
  <c r="H55" i="11"/>
  <c r="AF55" i="11"/>
  <c r="AG55" i="11"/>
  <c r="BF55" i="11"/>
  <c r="AS55" i="11"/>
  <c r="BC55" i="11"/>
  <c r="AH55" i="11"/>
  <c r="AW55" i="11"/>
  <c r="K55" i="11"/>
  <c r="T55" i="11"/>
  <c r="AQ55" i="11"/>
  <c r="AX55" i="11"/>
  <c r="U55" i="11"/>
  <c r="N55" i="11"/>
  <c r="AL55" i="11"/>
  <c r="Y55" i="11"/>
  <c r="AN55" i="11"/>
  <c r="E55" i="11"/>
  <c r="C55" i="11"/>
  <c r="AP55" i="11"/>
  <c r="AY55" i="11"/>
  <c r="AD55" i="11"/>
  <c r="AC55" i="11"/>
  <c r="AA55" i="11"/>
  <c r="AK55" i="11"/>
  <c r="X55" i="11"/>
  <c r="V55" i="11"/>
  <c r="M55" i="11"/>
  <c r="AV55" i="11"/>
  <c r="AU55" i="11"/>
  <c r="L55" i="11"/>
  <c r="Z55" i="11"/>
  <c r="AM55" i="11"/>
  <c r="BB55" i="11"/>
  <c r="AR55" i="11"/>
  <c r="W55" i="11"/>
  <c r="AI55" i="11"/>
  <c r="AT55" i="11"/>
  <c r="AO55" i="11"/>
  <c r="AB55" i="11"/>
  <c r="BD55" i="11"/>
  <c r="BA55" i="11"/>
  <c r="Q55" i="11"/>
  <c r="AZ55" i="11"/>
  <c r="R55" i="11"/>
  <c r="S55" i="11"/>
  <c r="BE55" i="11"/>
  <c r="AE55" i="11"/>
  <c r="J55" i="11"/>
  <c r="O55" i="11"/>
  <c r="P55" i="11"/>
  <c r="U53" i="11"/>
  <c r="AG53" i="11"/>
  <c r="AO53" i="11"/>
  <c r="AR53" i="11"/>
  <c r="BD53" i="11"/>
  <c r="AH53" i="11"/>
  <c r="R53" i="11"/>
  <c r="L53" i="11"/>
  <c r="AJ53" i="11"/>
  <c r="AE53" i="11"/>
  <c r="AX53" i="11"/>
  <c r="AI53" i="11"/>
  <c r="AW53" i="11"/>
  <c r="P53" i="11"/>
  <c r="S53" i="11"/>
  <c r="AC53" i="11"/>
  <c r="Q53" i="11"/>
  <c r="J53" i="11"/>
  <c r="X53" i="11"/>
  <c r="Z53" i="11"/>
  <c r="BF53" i="11"/>
  <c r="AB53" i="11"/>
  <c r="AU53" i="11"/>
  <c r="AQ53" i="11"/>
  <c r="AK53" i="11"/>
  <c r="K53" i="11"/>
  <c r="AS53" i="11"/>
  <c r="V53" i="11"/>
  <c r="Y53" i="11"/>
  <c r="N53" i="11"/>
  <c r="AM53" i="11"/>
  <c r="T53" i="11"/>
  <c r="AV53" i="11"/>
  <c r="E53" i="11"/>
  <c r="AL53" i="11"/>
  <c r="AY53" i="11"/>
  <c r="W53" i="11"/>
  <c r="BE53" i="11"/>
  <c r="M53" i="11"/>
  <c r="AP53" i="11"/>
  <c r="AT53" i="11"/>
  <c r="C53" i="11"/>
  <c r="AD53" i="11"/>
  <c r="AN53" i="11"/>
  <c r="O53" i="11"/>
  <c r="AZ53" i="11"/>
  <c r="AA53" i="11"/>
  <c r="BC53" i="11"/>
  <c r="BA53" i="11"/>
  <c r="H53" i="11"/>
  <c r="AF53" i="11"/>
  <c r="BB53" i="11"/>
  <c r="B53" i="11"/>
  <c r="D53" i="11"/>
  <c r="BD52" i="11"/>
  <c r="T52" i="11"/>
  <c r="BA52" i="11"/>
  <c r="BE52" i="11"/>
  <c r="BF52" i="11"/>
  <c r="AY52" i="11"/>
  <c r="Y52" i="11"/>
  <c r="N52" i="11"/>
  <c r="K52" i="11"/>
  <c r="AU52" i="11"/>
  <c r="S52" i="11"/>
  <c r="AD52" i="11"/>
  <c r="O52" i="11"/>
  <c r="AA52" i="11"/>
  <c r="AE52" i="11"/>
  <c r="AX52" i="11"/>
  <c r="AM52" i="11"/>
  <c r="X52" i="11"/>
  <c r="AK52" i="11"/>
  <c r="AN52" i="11"/>
  <c r="AG52" i="11"/>
  <c r="AS52" i="11"/>
  <c r="AV52" i="11"/>
  <c r="AF52" i="11"/>
  <c r="AC52" i="11"/>
  <c r="AT52" i="11"/>
  <c r="AW52" i="11"/>
  <c r="W52" i="11"/>
  <c r="AZ52" i="11"/>
  <c r="AL52" i="11"/>
  <c r="AQ52" i="11"/>
  <c r="E52" i="11"/>
  <c r="Q52" i="11"/>
  <c r="AP52" i="11"/>
  <c r="M52" i="11"/>
  <c r="C52" i="11"/>
  <c r="L52" i="11"/>
  <c r="AO52" i="11"/>
  <c r="H52" i="11"/>
  <c r="BB52" i="11"/>
  <c r="AJ52" i="11"/>
  <c r="D52" i="11"/>
  <c r="R52" i="11"/>
  <c r="V52" i="11"/>
  <c r="AH52" i="11"/>
  <c r="Z52" i="11"/>
  <c r="AI52" i="11"/>
  <c r="AB52" i="11"/>
  <c r="BC52" i="11"/>
  <c r="P52" i="11"/>
  <c r="AR52" i="11"/>
  <c r="J52" i="11"/>
  <c r="B52" i="11"/>
  <c r="U52" i="11"/>
  <c r="BA50" i="11"/>
  <c r="V50" i="11"/>
  <c r="AK50" i="11"/>
  <c r="Y50" i="11"/>
  <c r="AH50" i="11"/>
  <c r="H50" i="11"/>
  <c r="T50" i="11"/>
  <c r="Q50" i="11"/>
  <c r="C50" i="11"/>
  <c r="AC50" i="11"/>
  <c r="AO50" i="11"/>
  <c r="D50" i="11"/>
  <c r="P50" i="11"/>
  <c r="AD50" i="11"/>
  <c r="S50" i="11"/>
  <c r="AM50" i="11"/>
  <c r="AU50" i="11"/>
  <c r="AR50" i="11"/>
  <c r="AJ50" i="11"/>
  <c r="R50" i="11"/>
  <c r="AS50" i="11"/>
  <c r="BB50" i="11"/>
  <c r="AP50" i="11"/>
  <c r="AY50" i="11"/>
  <c r="BC50" i="11"/>
  <c r="AW50" i="11"/>
  <c r="AZ50" i="11"/>
  <c r="AG50" i="11"/>
  <c r="U50" i="11"/>
  <c r="X50" i="11"/>
  <c r="AB50" i="11"/>
  <c r="AI50" i="11"/>
  <c r="BD50" i="11"/>
  <c r="AN50" i="11"/>
  <c r="J50" i="11"/>
  <c r="AE50" i="11"/>
  <c r="AT50" i="11"/>
  <c r="BF50" i="11"/>
  <c r="K50" i="11"/>
  <c r="AV50" i="11"/>
  <c r="BE50" i="11"/>
  <c r="AQ50" i="11"/>
  <c r="AA50" i="11"/>
  <c r="AF50" i="11"/>
  <c r="AX50" i="11"/>
  <c r="L50" i="11"/>
  <c r="N50" i="11"/>
  <c r="M50" i="11"/>
  <c r="Z50" i="11"/>
  <c r="O50" i="11"/>
  <c r="AL50" i="11"/>
  <c r="E50" i="11"/>
  <c r="B50" i="11"/>
  <c r="W50" i="11"/>
  <c r="AG48" i="11"/>
  <c r="AZ48" i="11"/>
  <c r="V48" i="11"/>
  <c r="AT48" i="11"/>
  <c r="AM48" i="11"/>
  <c r="Y48" i="11"/>
  <c r="P48" i="11"/>
  <c r="W48" i="11"/>
  <c r="BC48" i="11"/>
  <c r="BB48" i="11"/>
  <c r="AW48" i="11"/>
  <c r="H48" i="11"/>
  <c r="U48" i="11"/>
  <c r="E48" i="11"/>
  <c r="T48" i="11"/>
  <c r="AH48" i="11"/>
  <c r="Q48" i="11"/>
  <c r="J48" i="11"/>
  <c r="AL48" i="11"/>
  <c r="BA48" i="11"/>
  <c r="R48" i="11"/>
  <c r="AU48" i="11"/>
  <c r="S48" i="11"/>
  <c r="AQ48" i="11"/>
  <c r="C48" i="11"/>
  <c r="Z48" i="11"/>
  <c r="BD48" i="11"/>
  <c r="N48" i="11"/>
  <c r="AI48" i="11"/>
  <c r="D48" i="11"/>
  <c r="BF48" i="11"/>
  <c r="AX48" i="11"/>
  <c r="AB48" i="11"/>
  <c r="AD48" i="11"/>
  <c r="AK48" i="11"/>
  <c r="AC48" i="11"/>
  <c r="AN48" i="11"/>
  <c r="AV48" i="11"/>
  <c r="AJ48" i="11"/>
  <c r="AO48" i="11"/>
  <c r="M48" i="11"/>
  <c r="AF48" i="11"/>
  <c r="AY48" i="11"/>
  <c r="O48" i="11"/>
  <c r="AA48" i="11"/>
  <c r="K48" i="11"/>
  <c r="X48" i="11"/>
  <c r="L48" i="11"/>
  <c r="BE48" i="11"/>
  <c r="AS48" i="11"/>
  <c r="AR48" i="11"/>
  <c r="AE48" i="11"/>
  <c r="B48" i="11"/>
  <c r="AP48" i="11"/>
  <c r="AK47" i="11"/>
  <c r="N47" i="11"/>
  <c r="AG47" i="11"/>
  <c r="W47" i="11"/>
  <c r="AV47" i="11"/>
  <c r="AY47" i="11"/>
  <c r="BE47" i="11"/>
  <c r="AS47" i="11"/>
  <c r="S47" i="11"/>
  <c r="AN47" i="11"/>
  <c r="R47" i="11"/>
  <c r="Z47" i="11"/>
  <c r="AH47" i="11"/>
  <c r="AZ47" i="11"/>
  <c r="AI47" i="11"/>
  <c r="AQ47" i="11"/>
  <c r="AM47" i="11"/>
  <c r="BC47" i="11"/>
  <c r="AR47" i="11"/>
  <c r="AF47" i="11"/>
  <c r="AU47" i="11"/>
  <c r="O47" i="11"/>
  <c r="AJ47" i="11"/>
  <c r="AO47" i="11"/>
  <c r="Y47" i="11"/>
  <c r="AE47" i="11"/>
  <c r="T47" i="11"/>
  <c r="P47" i="11"/>
  <c r="BA47" i="11"/>
  <c r="C47" i="11"/>
  <c r="X47" i="11"/>
  <c r="AD47" i="11"/>
  <c r="H47" i="11"/>
  <c r="BF47" i="11"/>
  <c r="U47" i="11"/>
  <c r="AB47" i="11"/>
  <c r="D47" i="11"/>
  <c r="BB47" i="11"/>
  <c r="K47" i="11"/>
  <c r="Q47" i="11"/>
  <c r="AL47" i="11"/>
  <c r="AW47" i="11"/>
  <c r="V47" i="11"/>
  <c r="L47" i="11"/>
  <c r="AT47" i="11"/>
  <c r="AP47" i="11"/>
  <c r="J47" i="11"/>
  <c r="AC47" i="11"/>
  <c r="E47" i="11"/>
  <c r="BD47" i="11"/>
  <c r="AX47" i="11"/>
  <c r="M47" i="11"/>
  <c r="B47" i="11"/>
  <c r="AA47" i="11"/>
  <c r="Z45" i="11"/>
  <c r="AZ45" i="11"/>
  <c r="AI45" i="11"/>
  <c r="V45" i="11"/>
  <c r="P45" i="11"/>
  <c r="BB45" i="11"/>
  <c r="AL45" i="11"/>
  <c r="H45" i="11"/>
  <c r="AT45" i="11"/>
  <c r="AW45" i="11"/>
  <c r="AY45" i="11"/>
  <c r="M45" i="11"/>
  <c r="L45" i="11"/>
  <c r="W45" i="11"/>
  <c r="AK45" i="11"/>
  <c r="AA45" i="11"/>
  <c r="BC45" i="11"/>
  <c r="AV45" i="11"/>
  <c r="AB45" i="11"/>
  <c r="Y45" i="11"/>
  <c r="AP45" i="11"/>
  <c r="AS45" i="11"/>
  <c r="AU45" i="11"/>
  <c r="AM45" i="11"/>
  <c r="R45" i="11"/>
  <c r="BF45" i="11"/>
  <c r="AR45" i="11"/>
  <c r="AN45" i="11"/>
  <c r="BE45" i="11"/>
  <c r="AQ45" i="11"/>
  <c r="O45" i="11"/>
  <c r="AX45" i="11"/>
  <c r="AG45" i="11"/>
  <c r="AD45" i="11"/>
  <c r="D45" i="11"/>
  <c r="K45" i="11"/>
  <c r="AF45" i="11"/>
  <c r="J45" i="11"/>
  <c r="AE45" i="11"/>
  <c r="AJ45" i="11"/>
  <c r="BA45" i="11"/>
  <c r="BD45" i="11"/>
  <c r="Q45" i="11"/>
  <c r="E45" i="11"/>
  <c r="C45" i="11"/>
  <c r="U45" i="11"/>
  <c r="N45" i="11"/>
  <c r="AC45" i="11"/>
  <c r="T45" i="11"/>
  <c r="X45" i="11"/>
  <c r="AO45" i="11"/>
  <c r="AH45" i="11"/>
  <c r="B45" i="11"/>
  <c r="S45" i="11"/>
  <c r="Q44" i="11"/>
  <c r="AG44" i="11"/>
  <c r="AB44" i="11"/>
  <c r="X44" i="11"/>
  <c r="J44" i="11"/>
  <c r="AJ44" i="11"/>
  <c r="AW44" i="11"/>
  <c r="AE44" i="11"/>
  <c r="V44" i="11"/>
  <c r="BD44" i="11"/>
  <c r="AK44" i="11"/>
  <c r="BF44" i="11"/>
  <c r="S44" i="11"/>
  <c r="M44" i="11"/>
  <c r="AH44" i="11"/>
  <c r="C44" i="11"/>
  <c r="AC44" i="11"/>
  <c r="AV44" i="11"/>
  <c r="AF44" i="11"/>
  <c r="H44" i="11"/>
  <c r="BC44" i="11"/>
  <c r="AD44" i="11"/>
  <c r="AT44" i="11"/>
  <c r="Y44" i="11"/>
  <c r="AN44" i="11"/>
  <c r="AU44" i="11"/>
  <c r="W44" i="11"/>
  <c r="K44" i="11"/>
  <c r="Z44" i="11"/>
  <c r="AP44" i="11"/>
  <c r="O44" i="11"/>
  <c r="BA44" i="11"/>
  <c r="AS44" i="11"/>
  <c r="AI44" i="11"/>
  <c r="N44" i="11"/>
  <c r="T44" i="11"/>
  <c r="AA44" i="11"/>
  <c r="AZ44" i="11"/>
  <c r="AR44" i="11"/>
  <c r="P44" i="11"/>
  <c r="L44" i="11"/>
  <c r="AX44" i="11"/>
  <c r="R44" i="11"/>
  <c r="AO44" i="11"/>
  <c r="AY44" i="11"/>
  <c r="AM44" i="11"/>
  <c r="AQ44" i="11"/>
  <c r="BE44" i="11"/>
  <c r="E44" i="11"/>
  <c r="D44" i="11"/>
  <c r="U44" i="11"/>
  <c r="BB44" i="11"/>
  <c r="B44" i="11"/>
  <c r="AL44" i="11"/>
  <c r="C42" i="11"/>
  <c r="AP42" i="11"/>
  <c r="BB42" i="11"/>
  <c r="AL42" i="11"/>
  <c r="V42" i="11"/>
  <c r="AM42" i="11"/>
  <c r="AQ42" i="11"/>
  <c r="Y42" i="11"/>
  <c r="AK42" i="11"/>
  <c r="BD42" i="11"/>
  <c r="AD42" i="11"/>
  <c r="Q42" i="11"/>
  <c r="E42" i="11"/>
  <c r="R42" i="11"/>
  <c r="T42" i="11"/>
  <c r="L42" i="11"/>
  <c r="BE42" i="11"/>
  <c r="BC42" i="11"/>
  <c r="J42" i="11"/>
  <c r="AV42" i="11"/>
  <c r="AU42" i="11"/>
  <c r="S42" i="11"/>
  <c r="BF42" i="11"/>
  <c r="AO42" i="11"/>
  <c r="O42" i="11"/>
  <c r="D42" i="11"/>
  <c r="AS42" i="11"/>
  <c r="AN42" i="11"/>
  <c r="AB42" i="11"/>
  <c r="M42" i="11"/>
  <c r="AW42" i="11"/>
  <c r="AT42" i="11"/>
  <c r="H42" i="11"/>
  <c r="Z42" i="11"/>
  <c r="AI42" i="11"/>
  <c r="N42" i="11"/>
  <c r="AH42" i="11"/>
  <c r="AY42" i="11"/>
  <c r="X42" i="11"/>
  <c r="AX42" i="11"/>
  <c r="AJ42" i="11"/>
  <c r="W42" i="11"/>
  <c r="AF42" i="11"/>
  <c r="U42" i="11"/>
  <c r="BA42" i="11"/>
  <c r="AZ42" i="11"/>
  <c r="AR42" i="11"/>
  <c r="AA42" i="11"/>
  <c r="AC42" i="11"/>
  <c r="P42" i="11"/>
  <c r="K42" i="11"/>
  <c r="AE42" i="11"/>
  <c r="B42" i="11"/>
  <c r="AG42" i="11"/>
  <c r="AZ41" i="11"/>
  <c r="Q41" i="11"/>
  <c r="AT41" i="11"/>
  <c r="U41" i="11"/>
  <c r="T41" i="11"/>
  <c r="BA41" i="11"/>
  <c r="AP41" i="11"/>
  <c r="V41" i="11"/>
  <c r="AM41" i="11"/>
  <c r="BC41" i="11"/>
  <c r="AO41" i="11"/>
  <c r="BD41" i="11"/>
  <c r="AR41" i="11"/>
  <c r="AD41" i="11"/>
  <c r="AV41" i="11"/>
  <c r="AI41" i="11"/>
  <c r="AS41" i="11"/>
  <c r="Z41" i="11"/>
  <c r="D41" i="11"/>
  <c r="X41" i="11"/>
  <c r="E41" i="11"/>
  <c r="AJ41" i="11"/>
  <c r="AW41" i="11"/>
  <c r="C41" i="11"/>
  <c r="AX41" i="11"/>
  <c r="AY41" i="11"/>
  <c r="Y41" i="11"/>
  <c r="BF41" i="11"/>
  <c r="N41" i="11"/>
  <c r="H41" i="11"/>
  <c r="AF41" i="11"/>
  <c r="AA41" i="11"/>
  <c r="AH41" i="11"/>
  <c r="M41" i="11"/>
  <c r="AN41" i="11"/>
  <c r="AE41" i="11"/>
  <c r="AG41" i="11"/>
  <c r="S41" i="11"/>
  <c r="J41" i="11"/>
  <c r="AK41" i="11"/>
  <c r="O41" i="11"/>
  <c r="W41" i="11"/>
  <c r="AU41" i="11"/>
  <c r="AQ41" i="11"/>
  <c r="L41" i="11"/>
  <c r="R41" i="11"/>
  <c r="P41" i="11"/>
  <c r="K41" i="11"/>
  <c r="AL41" i="11"/>
  <c r="BB41" i="11"/>
  <c r="BE41" i="11"/>
  <c r="AC41" i="11"/>
  <c r="B41" i="11"/>
  <c r="AB41" i="11"/>
  <c r="AU38" i="11"/>
  <c r="BA38" i="11"/>
  <c r="H38" i="11"/>
  <c r="AP38" i="11"/>
  <c r="AT38" i="11"/>
  <c r="V38" i="11"/>
  <c r="U38" i="11"/>
  <c r="BF38" i="11"/>
  <c r="AN38" i="11"/>
  <c r="AV38" i="11"/>
  <c r="E38" i="11"/>
  <c r="W38" i="11"/>
  <c r="L38" i="11"/>
  <c r="AR38" i="11"/>
  <c r="T38" i="11"/>
  <c r="AE38" i="11"/>
  <c r="C38" i="11"/>
  <c r="BD38" i="11"/>
  <c r="AI38" i="11"/>
  <c r="N38" i="11"/>
  <c r="O38" i="11"/>
  <c r="AW38" i="11"/>
  <c r="AY38" i="11"/>
  <c r="AX38" i="11"/>
  <c r="BE38" i="11"/>
  <c r="AB38" i="11"/>
  <c r="R38" i="11"/>
  <c r="J38" i="11"/>
  <c r="Q38" i="11"/>
  <c r="P38" i="11"/>
  <c r="D38" i="11"/>
  <c r="M38" i="11"/>
  <c r="K38" i="11"/>
  <c r="AH38" i="11"/>
  <c r="AA38" i="11"/>
  <c r="AM38" i="11"/>
  <c r="AQ38" i="11"/>
  <c r="Z38" i="11"/>
  <c r="AO38" i="11"/>
  <c r="AZ38" i="11"/>
  <c r="Y38" i="11"/>
  <c r="BB38" i="11"/>
  <c r="AC38" i="11"/>
  <c r="AL38" i="11"/>
  <c r="AF38" i="11"/>
  <c r="BC38" i="11"/>
  <c r="AG38" i="11"/>
  <c r="X38" i="11"/>
  <c r="AK38" i="11"/>
  <c r="AS38" i="11"/>
  <c r="AJ38" i="11"/>
  <c r="AD38" i="11"/>
  <c r="B38" i="11"/>
  <c r="S38" i="11"/>
  <c r="BB37" i="11"/>
  <c r="P37" i="11"/>
  <c r="L37" i="11"/>
  <c r="N37" i="11"/>
  <c r="AB37" i="11"/>
  <c r="AH37" i="11"/>
  <c r="AJ37" i="11"/>
  <c r="Z37" i="11"/>
  <c r="AA37" i="11"/>
  <c r="E37" i="11"/>
  <c r="BA37" i="11"/>
  <c r="AE37" i="11"/>
  <c r="BC37" i="11"/>
  <c r="AS37" i="11"/>
  <c r="C37" i="11"/>
  <c r="AK37" i="11"/>
  <c r="AM37" i="11"/>
  <c r="AG37" i="11"/>
  <c r="O37" i="11"/>
  <c r="U37" i="11"/>
  <c r="AL37" i="11"/>
  <c r="AP37" i="11"/>
  <c r="M37" i="11"/>
  <c r="AN37" i="11"/>
  <c r="J37" i="11"/>
  <c r="AI37" i="11"/>
  <c r="Y37" i="11"/>
  <c r="H37" i="11"/>
  <c r="T37" i="11"/>
  <c r="R37" i="11"/>
  <c r="AX37" i="11"/>
  <c r="Q37" i="11"/>
  <c r="AU37" i="11"/>
  <c r="D37" i="11"/>
  <c r="AC37" i="11"/>
  <c r="AR37" i="11"/>
  <c r="AY37" i="11"/>
  <c r="AO37" i="11"/>
  <c r="AZ37" i="11"/>
  <c r="K37" i="11"/>
  <c r="BF37" i="11"/>
  <c r="V37" i="11"/>
  <c r="X37" i="11"/>
  <c r="AD37" i="11"/>
  <c r="BE37" i="11"/>
  <c r="BD37" i="11"/>
  <c r="AW37" i="11"/>
  <c r="W37" i="11"/>
  <c r="AQ37" i="11"/>
  <c r="AV37" i="11"/>
  <c r="AF37" i="11"/>
  <c r="AT37" i="11"/>
  <c r="S37" i="11"/>
  <c r="AK31" i="11"/>
  <c r="N31" i="11"/>
  <c r="AM31" i="11"/>
  <c r="E31" i="11"/>
  <c r="Z31" i="11"/>
  <c r="H31" i="11"/>
  <c r="AD31" i="11"/>
  <c r="AT31" i="11"/>
  <c r="D31" i="11"/>
  <c r="AE31" i="11"/>
  <c r="BB31" i="11"/>
  <c r="AI31" i="11"/>
  <c r="M31" i="11"/>
  <c r="AU31" i="11"/>
  <c r="BC31" i="11"/>
  <c r="Y31" i="11"/>
  <c r="V31" i="11"/>
  <c r="BE31" i="11"/>
  <c r="AR31" i="11"/>
  <c r="Q31" i="11"/>
  <c r="AG31" i="11"/>
  <c r="AQ31" i="11"/>
  <c r="O31" i="11"/>
  <c r="AL31" i="11"/>
  <c r="L31" i="11"/>
  <c r="AP31" i="11"/>
  <c r="AO31" i="11"/>
  <c r="K31" i="11"/>
  <c r="AJ31" i="11"/>
  <c r="C31" i="11"/>
  <c r="AW31" i="11"/>
  <c r="AH31" i="11"/>
  <c r="T31" i="11"/>
  <c r="S31" i="11"/>
  <c r="AN31" i="11"/>
  <c r="AX31" i="11"/>
  <c r="J31" i="11"/>
  <c r="AV31" i="11"/>
  <c r="AF31" i="11"/>
  <c r="P31" i="11"/>
  <c r="AC31" i="11"/>
  <c r="AB31" i="11"/>
  <c r="AA31" i="11"/>
  <c r="R31" i="11"/>
  <c r="AY31" i="11"/>
  <c r="U31" i="11"/>
  <c r="AS31" i="11"/>
  <c r="BF31" i="11"/>
  <c r="X31" i="11"/>
  <c r="W31" i="11"/>
  <c r="BA31" i="11"/>
  <c r="BD31" i="11"/>
  <c r="AZ31" i="11"/>
  <c r="AT3" i="6"/>
  <c r="C3" i="6"/>
  <c r="U3" i="6"/>
  <c r="P3" i="6"/>
  <c r="H3" i="6"/>
  <c r="AN3" i="6"/>
  <c r="AW3" i="6"/>
  <c r="AC3" i="6"/>
  <c r="AI3" i="6"/>
  <c r="BA3" i="6"/>
  <c r="AU3" i="6"/>
  <c r="AL3" i="6"/>
  <c r="AR3" i="6"/>
  <c r="AF3" i="6"/>
  <c r="AE3" i="6"/>
  <c r="S3" i="6"/>
  <c r="O3" i="6"/>
  <c r="Z3" i="6"/>
  <c r="AB3" i="6"/>
  <c r="BF3" i="6"/>
  <c r="AZ3" i="6"/>
  <c r="J3" i="6"/>
  <c r="BB3" i="6"/>
  <c r="M3" i="6"/>
  <c r="AH3" i="6"/>
  <c r="E3" i="6"/>
  <c r="AY3" i="6"/>
  <c r="L3" i="6"/>
  <c r="AK3" i="6"/>
  <c r="R3" i="6"/>
  <c r="AQ3" i="6"/>
  <c r="BC3" i="6"/>
  <c r="AX3" i="6"/>
  <c r="AJ3" i="6"/>
  <c r="BD3" i="6"/>
  <c r="AA3" i="6"/>
  <c r="N3" i="6"/>
  <c r="AG3" i="6"/>
  <c r="Q3" i="6"/>
  <c r="AV3" i="6"/>
  <c r="AD3" i="6"/>
  <c r="K3" i="6"/>
  <c r="D3" i="6"/>
  <c r="AS3" i="6"/>
  <c r="V3" i="6"/>
  <c r="BE3" i="6"/>
  <c r="X3" i="6"/>
  <c r="T3" i="6"/>
  <c r="W3" i="6"/>
  <c r="AO3" i="6"/>
  <c r="AM3" i="6"/>
  <c r="Y3" i="6"/>
  <c r="B3" i="6"/>
  <c r="AP3" i="6"/>
  <c r="Z12" i="9"/>
  <c r="AU12" i="9"/>
  <c r="L12" i="9"/>
  <c r="O12" i="9"/>
  <c r="Y12" i="9"/>
  <c r="AK12" i="9"/>
  <c r="AH12" i="9"/>
  <c r="K12" i="9"/>
  <c r="J12" i="9"/>
  <c r="AL12" i="9"/>
  <c r="C12" i="9"/>
  <c r="AW12" i="9"/>
  <c r="AY12" i="9"/>
  <c r="AF12" i="9"/>
  <c r="N12" i="9"/>
  <c r="U12" i="9"/>
  <c r="AG12" i="9"/>
  <c r="BC12" i="9"/>
  <c r="X12" i="9"/>
  <c r="V12" i="9"/>
  <c r="BD12" i="9"/>
  <c r="P12" i="9"/>
  <c r="BF12" i="9"/>
  <c r="AA12" i="9"/>
  <c r="AC12" i="9"/>
  <c r="BA12" i="9"/>
  <c r="H12" i="9"/>
  <c r="R12" i="9"/>
  <c r="AP12" i="9"/>
  <c r="AT12" i="9"/>
  <c r="AX12" i="9"/>
  <c r="W12" i="9"/>
  <c r="M12" i="9"/>
  <c r="BB12" i="9"/>
  <c r="AM12" i="9"/>
  <c r="AS12" i="9"/>
  <c r="AZ12" i="9"/>
  <c r="D12" i="9"/>
  <c r="AQ12" i="9"/>
  <c r="BE12" i="9"/>
  <c r="AD12" i="9"/>
  <c r="Q12" i="9"/>
  <c r="AR12" i="9"/>
  <c r="AE12" i="9"/>
  <c r="AJ12" i="9"/>
  <c r="AI12" i="9"/>
  <c r="AV12" i="9"/>
  <c r="AN12" i="9"/>
  <c r="E12" i="9"/>
  <c r="S12" i="9"/>
  <c r="T12" i="9"/>
  <c r="AB12" i="9"/>
  <c r="AO12" i="9"/>
  <c r="X22" i="11"/>
  <c r="AZ22" i="11"/>
  <c r="AC22" i="11"/>
  <c r="AA22" i="11"/>
  <c r="M22" i="11"/>
  <c r="T22" i="11"/>
  <c r="AJ22" i="11"/>
  <c r="O22" i="11"/>
  <c r="Y22" i="11"/>
  <c r="BF22" i="11"/>
  <c r="AB22" i="11"/>
  <c r="E22" i="11"/>
  <c r="AD22" i="11"/>
  <c r="L22" i="11"/>
  <c r="AN22" i="11"/>
  <c r="AF22" i="11"/>
  <c r="K22" i="11"/>
  <c r="AV22" i="11"/>
  <c r="AY22" i="11"/>
  <c r="BA22" i="11"/>
  <c r="BD22" i="11"/>
  <c r="AU22" i="11"/>
  <c r="BE22" i="11"/>
  <c r="D22" i="11"/>
  <c r="U22" i="11"/>
  <c r="AI22" i="11"/>
  <c r="W22" i="11"/>
  <c r="AH22" i="11"/>
  <c r="S22" i="11"/>
  <c r="AL22" i="11"/>
  <c r="AG22" i="11"/>
  <c r="AX22" i="11"/>
  <c r="AW22" i="11"/>
  <c r="AR22" i="11"/>
  <c r="AS22" i="11"/>
  <c r="AK22" i="11"/>
  <c r="V22" i="11"/>
  <c r="Z22" i="11"/>
  <c r="AE22" i="11"/>
  <c r="AM22" i="11"/>
  <c r="N22" i="11"/>
  <c r="BB22" i="11"/>
  <c r="Q22" i="11"/>
  <c r="AQ22" i="11"/>
  <c r="AO22" i="11"/>
  <c r="C22" i="11"/>
  <c r="P22" i="11"/>
  <c r="AT22" i="11"/>
  <c r="BC22" i="11"/>
  <c r="H22" i="11"/>
  <c r="R22" i="11"/>
  <c r="AP22" i="11"/>
  <c r="B22" i="11"/>
  <c r="J22" i="11"/>
  <c r="AB45" i="8"/>
  <c r="E45" i="8"/>
  <c r="BE45" i="8"/>
  <c r="AC45" i="8"/>
  <c r="P45" i="8"/>
  <c r="AW45" i="8"/>
  <c r="S45" i="8"/>
  <c r="BC45" i="8"/>
  <c r="AQ45" i="8"/>
  <c r="W45" i="8"/>
  <c r="AG45" i="8"/>
  <c r="U45" i="8"/>
  <c r="AZ45" i="8"/>
  <c r="BA45" i="8"/>
  <c r="M45" i="8"/>
  <c r="X45" i="8"/>
  <c r="AE45" i="8"/>
  <c r="D45" i="8"/>
  <c r="AV45" i="8"/>
  <c r="AM45" i="8"/>
  <c r="T45" i="8"/>
  <c r="AI45" i="8"/>
  <c r="AA45" i="8"/>
  <c r="AK45" i="8"/>
  <c r="K45" i="8"/>
  <c r="AD45" i="8"/>
  <c r="N45" i="8"/>
  <c r="AF45" i="8"/>
  <c r="Y45" i="8"/>
  <c r="AY45" i="8"/>
  <c r="AX45" i="8"/>
  <c r="J45" i="8"/>
  <c r="AS45" i="8"/>
  <c r="R45" i="8"/>
  <c r="Z45" i="8"/>
  <c r="O45" i="8"/>
  <c r="BB45" i="8"/>
  <c r="C45" i="8"/>
  <c r="AU45" i="8"/>
  <c r="BD45" i="8"/>
  <c r="Q45" i="8"/>
  <c r="AN45" i="8"/>
  <c r="L45" i="8"/>
  <c r="AJ45" i="8"/>
  <c r="AP45" i="8"/>
  <c r="H45" i="8"/>
  <c r="BF45" i="8"/>
  <c r="AH45" i="8"/>
  <c r="AR45" i="8"/>
  <c r="V45" i="8"/>
  <c r="AO45" i="8"/>
  <c r="AT45" i="8"/>
  <c r="B45" i="8"/>
  <c r="AL45" i="8"/>
  <c r="I8" i="11"/>
  <c r="G8" i="11"/>
  <c r="F8" i="11"/>
  <c r="AJ55" i="10"/>
  <c r="BA55" i="10"/>
  <c r="AL55" i="10"/>
  <c r="L55" i="10"/>
  <c r="W55" i="10"/>
  <c r="AX55" i="10"/>
  <c r="N55" i="10"/>
  <c r="H55" i="10"/>
  <c r="BD55" i="10"/>
  <c r="AR55" i="10"/>
  <c r="AD55" i="10"/>
  <c r="O55" i="10"/>
  <c r="BE55" i="10"/>
  <c r="AO55" i="10"/>
  <c r="D55" i="10"/>
  <c r="S55" i="10"/>
  <c r="M55" i="10"/>
  <c r="AG55" i="10"/>
  <c r="AH55" i="10"/>
  <c r="AP55" i="10"/>
  <c r="P55" i="10"/>
  <c r="BC55" i="10"/>
  <c r="Z55" i="10"/>
  <c r="AE55" i="10"/>
  <c r="AV55" i="10"/>
  <c r="AU55" i="10"/>
  <c r="AB55" i="10"/>
  <c r="AM55" i="10"/>
  <c r="V55" i="10"/>
  <c r="AI55" i="10"/>
  <c r="AN55" i="10"/>
  <c r="AF55" i="10"/>
  <c r="AK55" i="10"/>
  <c r="AW55" i="10"/>
  <c r="AC55" i="10"/>
  <c r="AQ55" i="10"/>
  <c r="AA55" i="10"/>
  <c r="C55" i="10"/>
  <c r="K55" i="10"/>
  <c r="AY55" i="10"/>
  <c r="AZ55" i="10"/>
  <c r="Q55" i="10"/>
  <c r="BF55" i="10"/>
  <c r="AS55" i="10"/>
  <c r="U55" i="10"/>
  <c r="E55" i="10"/>
  <c r="AT55" i="10"/>
  <c r="X55" i="10"/>
  <c r="J55" i="10"/>
  <c r="BB55" i="10"/>
  <c r="Y55" i="10"/>
  <c r="R55" i="10"/>
  <c r="B55" i="10"/>
  <c r="T55" i="10"/>
  <c r="I48" i="9"/>
  <c r="G48" i="9"/>
  <c r="F48" i="9"/>
  <c r="D3" i="11"/>
  <c r="AN3" i="11"/>
  <c r="BF3" i="11"/>
  <c r="W3" i="11"/>
  <c r="BB3" i="11"/>
  <c r="AF3" i="11"/>
  <c r="AR3" i="11"/>
  <c r="T3" i="11"/>
  <c r="AV3" i="11"/>
  <c r="AC3" i="11"/>
  <c r="AP3" i="11"/>
  <c r="BE3" i="11"/>
  <c r="N3" i="11"/>
  <c r="AG3" i="11"/>
  <c r="Q3" i="11"/>
  <c r="AA3" i="11"/>
  <c r="H3" i="11"/>
  <c r="AL3" i="11"/>
  <c r="E3" i="11"/>
  <c r="S3" i="11"/>
  <c r="AJ3" i="11"/>
  <c r="R3" i="11"/>
  <c r="X3" i="11"/>
  <c r="AQ3" i="11"/>
  <c r="AU3" i="11"/>
  <c r="C3" i="11"/>
  <c r="AB3" i="11"/>
  <c r="L3" i="11"/>
  <c r="AK3" i="11"/>
  <c r="AO3" i="11"/>
  <c r="AX3" i="11"/>
  <c r="J3" i="11"/>
  <c r="U3" i="11"/>
  <c r="AW3" i="11"/>
  <c r="AM3" i="11"/>
  <c r="AZ3" i="11"/>
  <c r="AH3" i="11"/>
  <c r="P3" i="11"/>
  <c r="Y3" i="11"/>
  <c r="V3" i="11"/>
  <c r="AI3" i="11"/>
  <c r="BA3" i="11"/>
  <c r="K3" i="11"/>
  <c r="AD3" i="11"/>
  <c r="AY3" i="11"/>
  <c r="AT3" i="11"/>
  <c r="BC3" i="11"/>
  <c r="AE3" i="11"/>
  <c r="AS3" i="11"/>
  <c r="O3" i="11"/>
  <c r="Z3" i="11"/>
  <c r="M3" i="11"/>
  <c r="B3" i="11"/>
  <c r="BD3" i="11"/>
  <c r="B31" i="11"/>
  <c r="I31" i="11"/>
  <c r="G31" i="11"/>
  <c r="F31" i="11"/>
  <c r="P25" i="11"/>
  <c r="K25" i="11"/>
  <c r="AN25" i="11"/>
  <c r="Z25" i="11"/>
  <c r="AA25" i="11"/>
  <c r="AL25" i="11"/>
  <c r="AT25" i="11"/>
  <c r="U25" i="11"/>
  <c r="AS25" i="11"/>
  <c r="AG25" i="11"/>
  <c r="BB25" i="11"/>
  <c r="AI25" i="11"/>
  <c r="AY25" i="11"/>
  <c r="H25" i="11"/>
  <c r="Q25" i="11"/>
  <c r="AU25" i="11"/>
  <c r="AZ25" i="11"/>
  <c r="AX25" i="11"/>
  <c r="W25" i="11"/>
  <c r="BA25" i="11"/>
  <c r="L25" i="11"/>
  <c r="AF25" i="11"/>
  <c r="T25" i="11"/>
  <c r="E25" i="11"/>
  <c r="AK25" i="11"/>
  <c r="S25" i="11"/>
  <c r="AC25" i="11"/>
  <c r="M25" i="11"/>
  <c r="AQ25" i="11"/>
  <c r="AJ25" i="11"/>
  <c r="X25" i="11"/>
  <c r="R25" i="11"/>
  <c r="D25" i="11"/>
  <c r="AH25" i="11"/>
  <c r="AB25" i="11"/>
  <c r="Y25" i="11"/>
  <c r="AO25" i="11"/>
  <c r="N25" i="11"/>
  <c r="AW25" i="11"/>
  <c r="AV25" i="11"/>
  <c r="AE25" i="11"/>
  <c r="V25" i="11"/>
  <c r="AR25" i="11"/>
  <c r="BE25" i="11"/>
  <c r="AD25" i="11"/>
  <c r="C25" i="11"/>
  <c r="J25" i="11"/>
  <c r="BD25" i="11"/>
  <c r="AM25" i="11"/>
  <c r="AP25" i="11"/>
  <c r="O25" i="11"/>
  <c r="BC25" i="11"/>
  <c r="B25" i="11"/>
  <c r="BF25" i="11"/>
  <c r="K30" i="1"/>
  <c r="M30" i="1"/>
  <c r="AR30" i="1"/>
  <c r="AB30" i="1"/>
  <c r="AD30" i="1"/>
  <c r="AK30" i="1"/>
  <c r="V30" i="1"/>
  <c r="P30" i="1"/>
  <c r="BE30" i="1"/>
  <c r="AC30" i="1"/>
  <c r="O30" i="1"/>
  <c r="BD30" i="1"/>
  <c r="AG30" i="1"/>
  <c r="AI30" i="1"/>
  <c r="H30" i="1"/>
  <c r="AY30" i="1"/>
  <c r="BA30" i="1"/>
  <c r="C30" i="1"/>
  <c r="AX30" i="1"/>
  <c r="AV30" i="1"/>
  <c r="Y30" i="1"/>
  <c r="AF30" i="1"/>
  <c r="AH30" i="1"/>
  <c r="R30" i="1"/>
  <c r="X30" i="1"/>
  <c r="S30" i="1"/>
  <c r="N30" i="1"/>
  <c r="AJ30" i="1"/>
  <c r="Z30" i="1"/>
  <c r="U30" i="1"/>
  <c r="AA30" i="1"/>
  <c r="AS30" i="1"/>
  <c r="AL30" i="1"/>
  <c r="BF30" i="1"/>
  <c r="AN30" i="1"/>
  <c r="T30" i="1"/>
  <c r="AQ30" i="1"/>
  <c r="J30" i="1"/>
  <c r="AW30" i="1"/>
  <c r="D30" i="1"/>
  <c r="Q30" i="1"/>
  <c r="AM30" i="1"/>
  <c r="AU30" i="1"/>
  <c r="AT30" i="1"/>
  <c r="E30" i="1"/>
  <c r="AO30" i="1"/>
  <c r="AP30" i="1"/>
  <c r="AE30" i="1"/>
  <c r="BC30" i="1"/>
  <c r="BB30" i="1"/>
  <c r="L30" i="1"/>
  <c r="W30" i="1"/>
  <c r="B30" i="1"/>
  <c r="AZ30" i="1"/>
  <c r="AU14" i="7"/>
  <c r="R14" i="7"/>
  <c r="AB14" i="7"/>
  <c r="BF14" i="7"/>
  <c r="BD14" i="7"/>
  <c r="V14" i="7"/>
  <c r="AD14" i="7"/>
  <c r="AK14" i="7"/>
  <c r="K14" i="7"/>
  <c r="AJ14" i="7"/>
  <c r="AA14" i="7"/>
  <c r="BA14" i="7"/>
  <c r="BB14" i="7"/>
  <c r="S14" i="7"/>
  <c r="BC14" i="7"/>
  <c r="M14" i="7"/>
  <c r="T14" i="7"/>
  <c r="AQ14" i="7"/>
  <c r="Q14" i="7"/>
  <c r="J14" i="7"/>
  <c r="AH14" i="7"/>
  <c r="X14" i="7"/>
  <c r="L14" i="7"/>
  <c r="C14" i="7"/>
  <c r="AZ14" i="7"/>
  <c r="AE14" i="7"/>
  <c r="AV14" i="7"/>
  <c r="AI14" i="7"/>
  <c r="AG14" i="7"/>
  <c r="AC14" i="7"/>
  <c r="N14" i="7"/>
  <c r="AX14" i="7"/>
  <c r="AT14" i="7"/>
  <c r="W14" i="7"/>
  <c r="AR14" i="7"/>
  <c r="Z14" i="7"/>
  <c r="AF14" i="7"/>
  <c r="H14" i="7"/>
  <c r="AS14" i="7"/>
  <c r="AY14" i="7"/>
  <c r="P14" i="7"/>
  <c r="U14" i="7"/>
  <c r="BE14" i="7"/>
  <c r="Y14" i="7"/>
  <c r="AP14" i="7"/>
  <c r="AN14" i="7"/>
  <c r="D14" i="7"/>
  <c r="AL14" i="7"/>
  <c r="O14" i="7"/>
  <c r="AW14" i="7"/>
  <c r="AO14" i="7"/>
  <c r="E14" i="7"/>
  <c r="B14" i="7"/>
  <c r="AM14" i="7"/>
  <c r="AA8" i="11"/>
  <c r="AE8" i="11"/>
  <c r="J8" i="11"/>
  <c r="U8" i="11"/>
  <c r="AU8" i="11"/>
  <c r="AY8" i="11"/>
  <c r="AL8" i="11"/>
  <c r="X8" i="11"/>
  <c r="AN8" i="11"/>
  <c r="AO8" i="11"/>
  <c r="D8" i="11"/>
  <c r="AZ8" i="11"/>
  <c r="BE8" i="11"/>
  <c r="R8" i="11"/>
  <c r="AP8" i="11"/>
  <c r="AS8" i="11"/>
  <c r="T8" i="11"/>
  <c r="Z8" i="11"/>
  <c r="BA8" i="11"/>
  <c r="AM8" i="11"/>
  <c r="AI8" i="11"/>
  <c r="AF8" i="11"/>
  <c r="BD8" i="11"/>
  <c r="AJ8" i="11"/>
  <c r="H8" i="11"/>
  <c r="AT8" i="11"/>
  <c r="AD8" i="11"/>
  <c r="Y8" i="11"/>
  <c r="S8" i="11"/>
  <c r="O8" i="11"/>
  <c r="AR8" i="11"/>
  <c r="AV8" i="11"/>
  <c r="AB8" i="11"/>
  <c r="M8" i="11"/>
  <c r="V8" i="11"/>
  <c r="AW8" i="11"/>
  <c r="AQ8" i="11"/>
  <c r="K8" i="11"/>
  <c r="E8" i="11"/>
  <c r="C8" i="11"/>
  <c r="P8" i="11"/>
  <c r="L8" i="11"/>
  <c r="BB8" i="11"/>
  <c r="Q8" i="11"/>
  <c r="W8" i="11"/>
  <c r="AK8" i="11"/>
  <c r="BF8" i="11"/>
  <c r="AX8" i="11"/>
  <c r="BC8" i="11"/>
  <c r="N8" i="11"/>
  <c r="AC8" i="11"/>
  <c r="AG8" i="11"/>
  <c r="B8" i="11"/>
  <c r="AH8" i="11"/>
  <c r="AG48" i="9"/>
  <c r="AI48" i="9"/>
  <c r="BE48" i="9"/>
  <c r="V48" i="9"/>
  <c r="BB48" i="9"/>
  <c r="Z48" i="9"/>
  <c r="AL48" i="9"/>
  <c r="AW48" i="9"/>
  <c r="AN48" i="9"/>
  <c r="AH48" i="9"/>
  <c r="AR48" i="9"/>
  <c r="O48" i="9"/>
  <c r="E48" i="9"/>
  <c r="N48" i="9"/>
  <c r="AS48" i="9"/>
  <c r="AP48" i="9"/>
  <c r="AA48" i="9"/>
  <c r="BF48" i="9"/>
  <c r="R48" i="9"/>
  <c r="AY48" i="9"/>
  <c r="Q48" i="9"/>
  <c r="U48" i="9"/>
  <c r="J48" i="9"/>
  <c r="AC48" i="9"/>
  <c r="AZ48" i="9"/>
  <c r="BA48" i="9"/>
  <c r="AU48" i="9"/>
  <c r="X48" i="9"/>
  <c r="T48" i="9"/>
  <c r="P48" i="9"/>
  <c r="BD48" i="9"/>
  <c r="AO48" i="9"/>
  <c r="AF48" i="9"/>
  <c r="AT48" i="9"/>
  <c r="M48" i="9"/>
  <c r="W48" i="9"/>
  <c r="AX48" i="9"/>
  <c r="AB48" i="9"/>
  <c r="AM48" i="9"/>
  <c r="S48" i="9"/>
  <c r="AQ48" i="9"/>
  <c r="D48" i="9"/>
  <c r="H48" i="9"/>
  <c r="AE48" i="9"/>
  <c r="L48" i="9"/>
  <c r="AK48" i="9"/>
  <c r="BC48" i="9"/>
  <c r="AJ48" i="9"/>
  <c r="AV48" i="9"/>
  <c r="Y48" i="9"/>
  <c r="C48" i="9"/>
  <c r="K48" i="9"/>
  <c r="B48" i="9"/>
  <c r="AD48" i="9"/>
  <c r="AC24" i="11"/>
  <c r="C24" i="11"/>
  <c r="T24" i="11"/>
  <c r="AT24" i="11"/>
  <c r="E24" i="11"/>
  <c r="AI24" i="11"/>
  <c r="AJ24" i="11"/>
  <c r="AV24" i="11"/>
  <c r="BF24" i="11"/>
  <c r="BB24" i="11"/>
  <c r="W24" i="11"/>
  <c r="R24" i="11"/>
  <c r="Z24" i="11"/>
  <c r="L24" i="11"/>
  <c r="AO24" i="11"/>
  <c r="P24" i="11"/>
  <c r="AE24" i="11"/>
  <c r="AZ24" i="11"/>
  <c r="AY24" i="11"/>
  <c r="Y24" i="11"/>
  <c r="U24" i="11"/>
  <c r="AQ24" i="11"/>
  <c r="M24" i="11"/>
  <c r="K24" i="11"/>
  <c r="AK24" i="11"/>
  <c r="N24" i="11"/>
  <c r="AM24" i="11"/>
  <c r="BE24" i="11"/>
  <c r="AF24" i="11"/>
  <c r="D24" i="11"/>
  <c r="AN24" i="11"/>
  <c r="S24" i="11"/>
  <c r="AH24" i="11"/>
  <c r="AS24" i="11"/>
  <c r="J24" i="11"/>
  <c r="AB24" i="11"/>
  <c r="BD24" i="11"/>
  <c r="AP24" i="11"/>
  <c r="O24" i="11"/>
  <c r="BA24" i="11"/>
  <c r="AG24" i="11"/>
  <c r="Q24" i="11"/>
  <c r="X24" i="11"/>
  <c r="AU24" i="11"/>
  <c r="AX24" i="11"/>
  <c r="AR24" i="11"/>
  <c r="AL24" i="11"/>
  <c r="BC24" i="11"/>
  <c r="AW24" i="11"/>
  <c r="V24" i="11"/>
  <c r="H24" i="11"/>
  <c r="AA24" i="11"/>
  <c r="B24" i="11"/>
  <c r="AD24" i="11"/>
  <c r="BC42" i="9"/>
  <c r="AQ42" i="9"/>
  <c r="BF42" i="9"/>
  <c r="S42" i="9"/>
  <c r="Z42" i="9"/>
  <c r="AN42" i="9"/>
  <c r="AP42" i="9"/>
  <c r="AK42" i="9"/>
  <c r="AI42" i="9"/>
  <c r="J42" i="9"/>
  <c r="K42" i="9"/>
  <c r="AV42" i="9"/>
  <c r="AC42" i="9"/>
  <c r="BD42" i="9"/>
  <c r="BA42" i="9"/>
  <c r="AT42" i="9"/>
  <c r="AZ42" i="9"/>
  <c r="AY42" i="9"/>
  <c r="AH42" i="9"/>
  <c r="AL42" i="9"/>
  <c r="AG42" i="9"/>
  <c r="W42" i="9"/>
  <c r="AF42" i="9"/>
  <c r="AA42" i="9"/>
  <c r="E42" i="9"/>
  <c r="U42" i="9"/>
  <c r="M42" i="9"/>
  <c r="AE42" i="9"/>
  <c r="AU42" i="9"/>
  <c r="N42" i="9"/>
  <c r="AR42" i="9"/>
  <c r="R42" i="9"/>
  <c r="BE42" i="9"/>
  <c r="AD42" i="9"/>
  <c r="Y42" i="9"/>
  <c r="AW42" i="9"/>
  <c r="AJ42" i="9"/>
  <c r="C42" i="9"/>
  <c r="BB42" i="9"/>
  <c r="AB42" i="9"/>
  <c r="V42" i="9"/>
  <c r="AO42" i="9"/>
  <c r="AX42" i="9"/>
  <c r="X42" i="9"/>
  <c r="D42" i="9"/>
  <c r="P42" i="9"/>
  <c r="AS42" i="9"/>
  <c r="AM42" i="9"/>
  <c r="T42" i="9"/>
  <c r="Q42" i="9"/>
  <c r="O42" i="9"/>
  <c r="H42" i="9"/>
  <c r="B42" i="9"/>
  <c r="L42" i="9"/>
  <c r="N11" i="1"/>
  <c r="V11" i="1"/>
  <c r="AJ11" i="1"/>
  <c r="R11" i="1"/>
  <c r="AI11" i="1"/>
  <c r="AH11" i="1"/>
  <c r="AF11" i="1"/>
  <c r="AL11" i="1"/>
  <c r="T11" i="1"/>
  <c r="J11" i="1"/>
  <c r="AP11" i="1"/>
  <c r="AU11" i="1"/>
  <c r="AV11" i="1"/>
  <c r="Z11" i="1"/>
  <c r="BD11" i="1"/>
  <c r="AS11" i="1"/>
  <c r="D11" i="1"/>
  <c r="BF11" i="1"/>
  <c r="K11" i="1"/>
  <c r="AY11" i="1"/>
  <c r="AX11" i="1"/>
  <c r="X11" i="1"/>
  <c r="H11" i="1"/>
  <c r="E11" i="1"/>
  <c r="AO11" i="1"/>
  <c r="AB11" i="1"/>
  <c r="AM11" i="1"/>
  <c r="P11" i="1"/>
  <c r="M11" i="1"/>
  <c r="AQ11" i="1"/>
  <c r="BE11" i="1"/>
  <c r="S11" i="1"/>
  <c r="W11" i="1"/>
  <c r="O11" i="1"/>
  <c r="AA11" i="1"/>
  <c r="AG11" i="1"/>
  <c r="L11" i="1"/>
  <c r="AR11" i="1"/>
  <c r="Q11" i="1"/>
  <c r="Y11" i="1"/>
  <c r="AW11" i="1"/>
  <c r="U11" i="1"/>
  <c r="BA11" i="1"/>
  <c r="BC11" i="1"/>
  <c r="AT11" i="1"/>
  <c r="AZ11" i="1"/>
  <c r="C11" i="1"/>
  <c r="AK11" i="1"/>
  <c r="AE11" i="1"/>
  <c r="AD11" i="1"/>
  <c r="AN11" i="1"/>
  <c r="BB11" i="1"/>
  <c r="B11" i="1"/>
  <c r="AC11" i="1"/>
  <c r="M48" i="10"/>
  <c r="AO48" i="10"/>
  <c r="AQ48" i="10"/>
  <c r="D48" i="10"/>
  <c r="BC48" i="10"/>
  <c r="BB48" i="10"/>
  <c r="E48" i="10"/>
  <c r="AE48" i="10"/>
  <c r="AM48" i="10"/>
  <c r="AG48" i="10"/>
  <c r="K48" i="10"/>
  <c r="AB48" i="10"/>
  <c r="AT48" i="10"/>
  <c r="AL48" i="10"/>
  <c r="BD48" i="10"/>
  <c r="BA48" i="10"/>
  <c r="AK48" i="10"/>
  <c r="AX48" i="10"/>
  <c r="Q48" i="10"/>
  <c r="L48" i="10"/>
  <c r="BE48" i="10"/>
  <c r="AW48" i="10"/>
  <c r="AD48" i="10"/>
  <c r="Y48" i="10"/>
  <c r="AI48" i="10"/>
  <c r="AH48" i="10"/>
  <c r="AY48" i="10"/>
  <c r="AF48" i="10"/>
  <c r="O48" i="10"/>
  <c r="C48" i="10"/>
  <c r="AP48" i="10"/>
  <c r="R48" i="10"/>
  <c r="P48" i="10"/>
  <c r="AN48" i="10"/>
  <c r="Z48" i="10"/>
  <c r="T48" i="10"/>
  <c r="H48" i="10"/>
  <c r="V48" i="10"/>
  <c r="J48" i="10"/>
  <c r="AV48" i="10"/>
  <c r="AJ48" i="10"/>
  <c r="X48" i="10"/>
  <c r="W48" i="10"/>
  <c r="N48" i="10"/>
  <c r="AS48" i="10"/>
  <c r="S48" i="10"/>
  <c r="AU48" i="10"/>
  <c r="AC48" i="10"/>
  <c r="AA48" i="10"/>
  <c r="AR48" i="10"/>
  <c r="BF48" i="10"/>
  <c r="U48" i="10"/>
  <c r="AZ48" i="10"/>
  <c r="BE57" i="1"/>
  <c r="AE57" i="1"/>
  <c r="AC57" i="1"/>
  <c r="BB57" i="1"/>
  <c r="AW57" i="1"/>
  <c r="AK57" i="1"/>
  <c r="AO57" i="1"/>
  <c r="AY57" i="1"/>
  <c r="Y57" i="1"/>
  <c r="E57" i="1"/>
  <c r="N57" i="1"/>
  <c r="AV57" i="1"/>
  <c r="AX57" i="1"/>
  <c r="AL57" i="1"/>
  <c r="AP57" i="1"/>
  <c r="AS57" i="1"/>
  <c r="V57" i="1"/>
  <c r="BD57" i="1"/>
  <c r="D57" i="1"/>
  <c r="AD57" i="1"/>
  <c r="H57" i="1"/>
  <c r="O57" i="1"/>
  <c r="AZ57" i="1"/>
  <c r="T57" i="1"/>
  <c r="AB57" i="1"/>
  <c r="AF57" i="1"/>
  <c r="BF57" i="1"/>
  <c r="BC57" i="1"/>
  <c r="AA57" i="1"/>
  <c r="BA57" i="1"/>
  <c r="AU57" i="1"/>
  <c r="X57" i="1"/>
  <c r="AN57" i="1"/>
  <c r="AH57" i="1"/>
  <c r="L57" i="1"/>
  <c r="AJ57" i="1"/>
  <c r="K57" i="1"/>
  <c r="AG57" i="1"/>
  <c r="C57" i="1"/>
  <c r="AR57" i="1"/>
  <c r="P57" i="1"/>
  <c r="Q57" i="1"/>
  <c r="AI57" i="1"/>
  <c r="S57" i="1"/>
  <c r="AT57" i="1"/>
  <c r="AM57" i="1"/>
  <c r="R57" i="1"/>
  <c r="J57" i="1"/>
  <c r="Z57" i="1"/>
  <c r="AQ57" i="1"/>
  <c r="M57" i="1"/>
  <c r="W57" i="1"/>
  <c r="B57" i="1"/>
  <c r="U57" i="1"/>
  <c r="S55" i="9"/>
  <c r="AR55" i="9"/>
  <c r="BE55" i="9"/>
  <c r="AM55" i="9"/>
  <c r="BA55" i="9"/>
  <c r="BB55" i="9"/>
  <c r="AN55" i="9"/>
  <c r="BD55" i="9"/>
  <c r="AT55" i="9"/>
  <c r="AG55" i="9"/>
  <c r="BC55" i="9"/>
  <c r="Y55" i="9"/>
  <c r="AQ55" i="9"/>
  <c r="V55" i="9"/>
  <c r="AC55" i="9"/>
  <c r="K55" i="9"/>
  <c r="AI55" i="9"/>
  <c r="D55" i="9"/>
  <c r="J55" i="9"/>
  <c r="AO55" i="9"/>
  <c r="T55" i="9"/>
  <c r="X55" i="9"/>
  <c r="AY55" i="9"/>
  <c r="AJ55" i="9"/>
  <c r="BF55" i="9"/>
  <c r="AF55" i="9"/>
  <c r="AX55" i="9"/>
  <c r="Q55" i="9"/>
  <c r="W55" i="9"/>
  <c r="AU55" i="9"/>
  <c r="AL55" i="9"/>
  <c r="AH55" i="9"/>
  <c r="C55" i="9"/>
  <c r="U55" i="9"/>
  <c r="H55" i="9"/>
  <c r="Z55" i="9"/>
  <c r="AE55" i="9"/>
  <c r="P55" i="9"/>
  <c r="L55" i="9"/>
  <c r="AZ55" i="9"/>
  <c r="N55" i="9"/>
  <c r="AK55" i="9"/>
  <c r="M55" i="9"/>
  <c r="AA55" i="9"/>
  <c r="AD55" i="9"/>
  <c r="AP55" i="9"/>
  <c r="E55" i="9"/>
  <c r="R55" i="9"/>
  <c r="AV55" i="9"/>
  <c r="AW55" i="9"/>
  <c r="AS55" i="9"/>
  <c r="AB55" i="9"/>
  <c r="B55" i="9"/>
  <c r="O55" i="9"/>
  <c r="AW35" i="2"/>
  <c r="BC35" i="2"/>
  <c r="L35" i="2"/>
  <c r="AM35" i="2"/>
  <c r="AE35" i="2"/>
  <c r="N35" i="2"/>
  <c r="K35" i="2"/>
  <c r="AR35" i="2"/>
  <c r="BB35" i="2"/>
  <c r="AQ35" i="2"/>
  <c r="BF35" i="2"/>
  <c r="D35" i="2"/>
  <c r="M35" i="2"/>
  <c r="P35" i="2"/>
  <c r="AL35" i="2"/>
  <c r="AF35" i="2"/>
  <c r="AZ35" i="2"/>
  <c r="V35" i="2"/>
  <c r="AX35" i="2"/>
  <c r="W35" i="2"/>
  <c r="AY35" i="2"/>
  <c r="BA35" i="2"/>
  <c r="BD35" i="2"/>
  <c r="AB35" i="2"/>
  <c r="S35" i="2"/>
  <c r="E35" i="2"/>
  <c r="X35" i="2"/>
  <c r="AU35" i="2"/>
  <c r="AK35" i="2"/>
  <c r="AN35" i="2"/>
  <c r="AO35" i="2"/>
  <c r="H35" i="2"/>
  <c r="AC35" i="2"/>
  <c r="AD35" i="2"/>
  <c r="Y35" i="2"/>
  <c r="Z35" i="2"/>
  <c r="R35" i="2"/>
  <c r="AV35" i="2"/>
  <c r="J35" i="2"/>
  <c r="T35" i="2"/>
  <c r="C35" i="2"/>
  <c r="AT35" i="2"/>
  <c r="AS35" i="2"/>
  <c r="AA35" i="2"/>
  <c r="AJ35" i="2"/>
  <c r="AP35" i="2"/>
  <c r="O35" i="2"/>
  <c r="AI35" i="2"/>
  <c r="U35" i="2"/>
  <c r="BE35" i="2"/>
  <c r="AH35" i="2"/>
  <c r="Q35" i="2"/>
  <c r="B35" i="2"/>
  <c r="AG35" i="2"/>
  <c r="D35" i="10"/>
  <c r="AH35" i="10"/>
  <c r="AM35" i="10"/>
  <c r="AC35" i="10"/>
  <c r="T35" i="10"/>
  <c r="N35" i="10"/>
  <c r="X35" i="10"/>
  <c r="BE35" i="10"/>
  <c r="U35" i="10"/>
  <c r="L35" i="10"/>
  <c r="AP35" i="10"/>
  <c r="AI35" i="10"/>
  <c r="AG35" i="10"/>
  <c r="BC35" i="10"/>
  <c r="AS35" i="10"/>
  <c r="AJ35" i="10"/>
  <c r="Z35" i="10"/>
  <c r="C35" i="10"/>
  <c r="AO35" i="10"/>
  <c r="M35" i="10"/>
  <c r="BF35" i="10"/>
  <c r="AD35" i="10"/>
  <c r="AA35" i="10"/>
  <c r="AR35" i="10"/>
  <c r="Q35" i="10"/>
  <c r="AF35" i="10"/>
  <c r="AT35" i="10"/>
  <c r="AE35" i="10"/>
  <c r="BB35" i="10"/>
  <c r="Y35" i="10"/>
  <c r="O35" i="10"/>
  <c r="AU35" i="10"/>
  <c r="V35" i="10"/>
  <c r="BD35" i="10"/>
  <c r="AN35" i="10"/>
  <c r="AL35" i="10"/>
  <c r="AZ35" i="10"/>
  <c r="H35" i="10"/>
  <c r="AX35" i="10"/>
  <c r="W35" i="10"/>
  <c r="E35" i="10"/>
  <c r="BA35" i="10"/>
  <c r="K35" i="10"/>
  <c r="AY35" i="10"/>
  <c r="AB35" i="10"/>
  <c r="AK35" i="10"/>
  <c r="AQ35" i="10"/>
  <c r="AV35" i="10"/>
  <c r="P35" i="10"/>
  <c r="R35" i="10"/>
  <c r="S35" i="10"/>
  <c r="AW35" i="10"/>
  <c r="B35" i="10"/>
  <c r="J35" i="10"/>
  <c r="AL40" i="11"/>
  <c r="AQ40" i="11"/>
  <c r="AY40" i="11"/>
  <c r="BD40" i="11"/>
  <c r="BF40" i="11"/>
  <c r="AM40" i="11"/>
  <c r="Z40" i="11"/>
  <c r="L40" i="11"/>
  <c r="C40" i="11"/>
  <c r="AW40" i="11"/>
  <c r="AB40" i="11"/>
  <c r="U40" i="11"/>
  <c r="AJ40" i="11"/>
  <c r="V40" i="11"/>
  <c r="J40" i="11"/>
  <c r="Y40" i="11"/>
  <c r="AZ40" i="11"/>
  <c r="R40" i="11"/>
  <c r="AU40" i="11"/>
  <c r="AX40" i="11"/>
  <c r="AV40" i="11"/>
  <c r="BC40" i="11"/>
  <c r="AC40" i="11"/>
  <c r="AP40" i="11"/>
  <c r="X40" i="11"/>
  <c r="AO40" i="11"/>
  <c r="AH40" i="11"/>
  <c r="N40" i="11"/>
  <c r="M40" i="11"/>
  <c r="O40" i="11"/>
  <c r="BB40" i="11"/>
  <c r="AN40" i="11"/>
  <c r="AS40" i="11"/>
  <c r="AE40" i="11"/>
  <c r="E40" i="11"/>
  <c r="K40" i="11"/>
  <c r="AI40" i="11"/>
  <c r="Q40" i="11"/>
  <c r="T40" i="11"/>
  <c r="H40" i="11"/>
  <c r="BA40" i="11"/>
  <c r="AR40" i="11"/>
  <c r="S40" i="11"/>
  <c r="AG40" i="11"/>
  <c r="AK40" i="11"/>
  <c r="BE40" i="11"/>
  <c r="P40" i="11"/>
  <c r="AF40" i="11"/>
  <c r="D40" i="11"/>
  <c r="AD40" i="11"/>
  <c r="W40" i="11"/>
  <c r="AT40" i="11"/>
  <c r="B40" i="11"/>
  <c r="AA40" i="11"/>
  <c r="AZ7" i="11"/>
  <c r="Y7" i="11"/>
  <c r="M7" i="11"/>
  <c r="X7" i="11"/>
  <c r="E7" i="11"/>
  <c r="Q7" i="11"/>
  <c r="R7" i="11"/>
  <c r="D7" i="11"/>
  <c r="AY7" i="11"/>
  <c r="AI7" i="11"/>
  <c r="AB7" i="11"/>
  <c r="BC7" i="11"/>
  <c r="Z7" i="11"/>
  <c r="P7" i="11"/>
  <c r="AX7" i="11"/>
  <c r="BF7" i="11"/>
  <c r="AU7" i="11"/>
  <c r="BD7" i="11"/>
  <c r="N7" i="11"/>
  <c r="O7" i="11"/>
  <c r="AT7" i="11"/>
  <c r="AL7" i="11"/>
  <c r="H7" i="11"/>
  <c r="V7" i="11"/>
  <c r="AR7" i="11"/>
  <c r="AH7" i="11"/>
  <c r="K7" i="11"/>
  <c r="AW7" i="11"/>
  <c r="AS7" i="11"/>
  <c r="J7" i="11"/>
  <c r="AD7" i="11"/>
  <c r="C7" i="11"/>
  <c r="L7" i="11"/>
  <c r="AM7" i="11"/>
  <c r="AQ7" i="11"/>
  <c r="U7" i="11"/>
  <c r="AE7" i="11"/>
  <c r="AF7" i="11"/>
  <c r="BE7" i="11"/>
  <c r="T7" i="11"/>
  <c r="AC7" i="11"/>
  <c r="AP7" i="11"/>
  <c r="AG7" i="11"/>
  <c r="AK7" i="11"/>
  <c r="BA7" i="11"/>
  <c r="AV7" i="11"/>
  <c r="AN7" i="11"/>
  <c r="AO7" i="11"/>
  <c r="W7" i="11"/>
  <c r="AJ7" i="11"/>
  <c r="BB7" i="11"/>
  <c r="S7" i="11"/>
  <c r="B7" i="11"/>
  <c r="AA7" i="11"/>
  <c r="AA23" i="11"/>
  <c r="W23" i="11"/>
  <c r="U23" i="11"/>
  <c r="AJ23" i="11"/>
  <c r="N23" i="11"/>
  <c r="AE23" i="11"/>
  <c r="H23" i="11"/>
  <c r="AY23" i="11"/>
  <c r="AW23" i="11"/>
  <c r="AG23" i="11"/>
  <c r="AS23" i="11"/>
  <c r="J23" i="11"/>
  <c r="D23" i="11"/>
  <c r="AL23" i="11"/>
  <c r="AB23" i="11"/>
  <c r="AC23" i="11"/>
  <c r="AM23" i="11"/>
  <c r="AI23" i="11"/>
  <c r="R23" i="11"/>
  <c r="AU23" i="11"/>
  <c r="AV23" i="11"/>
  <c r="T23" i="11"/>
  <c r="M23" i="11"/>
  <c r="AN23" i="11"/>
  <c r="BD23" i="11"/>
  <c r="S23" i="11"/>
  <c r="O23" i="11"/>
  <c r="BB23" i="11"/>
  <c r="AQ23" i="11"/>
  <c r="C23" i="11"/>
  <c r="X23" i="11"/>
  <c r="AT23" i="11"/>
  <c r="AX23" i="11"/>
  <c r="BF23" i="11"/>
  <c r="AR23" i="11"/>
  <c r="AO23" i="11"/>
  <c r="AK23" i="11"/>
  <c r="V23" i="11"/>
  <c r="Y23" i="11"/>
  <c r="BE23" i="11"/>
  <c r="BA23" i="11"/>
  <c r="P23" i="11"/>
  <c r="Q23" i="11"/>
  <c r="Z23" i="11"/>
  <c r="E23" i="11"/>
  <c r="AF23" i="11"/>
  <c r="L23" i="11"/>
  <c r="BC23" i="11"/>
  <c r="K23" i="11"/>
  <c r="AD23" i="11"/>
  <c r="AP23" i="11"/>
  <c r="AH23" i="11"/>
  <c r="B23" i="11"/>
  <c r="AZ23" i="11"/>
  <c r="AB37" i="7"/>
  <c r="E37" i="7"/>
  <c r="AJ37" i="7"/>
  <c r="AU37" i="7"/>
  <c r="AQ37" i="7"/>
  <c r="AL37" i="7"/>
  <c r="J37" i="7"/>
  <c r="AE37" i="7"/>
  <c r="AR37" i="7"/>
  <c r="C37" i="7"/>
  <c r="AV37" i="7"/>
  <c r="L37" i="7"/>
  <c r="BA37" i="7"/>
  <c r="O37" i="7"/>
  <c r="AW37" i="7"/>
  <c r="BB37" i="7"/>
  <c r="X37" i="7"/>
  <c r="T37" i="7"/>
  <c r="AP37" i="7"/>
  <c r="P37" i="7"/>
  <c r="Q37" i="7"/>
  <c r="BD37" i="7"/>
  <c r="AM37" i="7"/>
  <c r="H37" i="7"/>
  <c r="BE37" i="7"/>
  <c r="N37" i="7"/>
  <c r="S37" i="7"/>
  <c r="BF37" i="7"/>
  <c r="AK37" i="7"/>
  <c r="BC37" i="7"/>
  <c r="R37" i="7"/>
  <c r="K37" i="7"/>
  <c r="AC37" i="7"/>
  <c r="AO37" i="7"/>
  <c r="D37" i="7"/>
  <c r="AX37" i="7"/>
  <c r="AN37" i="7"/>
  <c r="AH37" i="7"/>
  <c r="U37" i="7"/>
  <c r="AG37" i="7"/>
  <c r="AA37" i="7"/>
  <c r="Y37" i="7"/>
  <c r="AY37" i="7"/>
  <c r="V37" i="7"/>
  <c r="AS37" i="7"/>
  <c r="AZ37" i="7"/>
  <c r="W37" i="7"/>
  <c r="AI37" i="7"/>
  <c r="AT37" i="7"/>
  <c r="Z37" i="7"/>
  <c r="AD37" i="7"/>
  <c r="M37" i="7"/>
  <c r="B37" i="7"/>
  <c r="AF37" i="7"/>
  <c r="I10" i="11"/>
  <c r="G10" i="11"/>
  <c r="F10" i="11"/>
  <c r="AC56" i="9"/>
  <c r="BD56" i="9"/>
  <c r="K56" i="9"/>
  <c r="Y56" i="9"/>
  <c r="AE56" i="9"/>
  <c r="AN56" i="9"/>
  <c r="AG56" i="9"/>
  <c r="AX56" i="9"/>
  <c r="M56" i="9"/>
  <c r="AT56" i="9"/>
  <c r="AZ56" i="9"/>
  <c r="AR56" i="9"/>
  <c r="S56" i="9"/>
  <c r="T56" i="9"/>
  <c r="U56" i="9"/>
  <c r="AW56" i="9"/>
  <c r="X56" i="9"/>
  <c r="D56" i="9"/>
  <c r="AM56" i="9"/>
  <c r="P56" i="9"/>
  <c r="N56" i="9"/>
  <c r="BA56" i="9"/>
  <c r="Q56" i="9"/>
  <c r="AF56" i="9"/>
  <c r="AP56" i="9"/>
  <c r="AJ56" i="9"/>
  <c r="AK56" i="9"/>
  <c r="AB56" i="9"/>
  <c r="Z56" i="9"/>
  <c r="AS56" i="9"/>
  <c r="V56" i="9"/>
  <c r="AO56" i="9"/>
  <c r="H56" i="9"/>
  <c r="BC56" i="9"/>
  <c r="AQ56" i="9"/>
  <c r="BF56" i="9"/>
  <c r="AH56" i="9"/>
  <c r="AD56" i="9"/>
  <c r="W56" i="9"/>
  <c r="AA56" i="9"/>
  <c r="AL56" i="9"/>
  <c r="AV56" i="9"/>
  <c r="J56" i="9"/>
  <c r="C56" i="9"/>
  <c r="L56" i="9"/>
  <c r="AI56" i="9"/>
  <c r="E56" i="9"/>
  <c r="R56" i="9"/>
  <c r="AY56" i="9"/>
  <c r="O56" i="9"/>
  <c r="BE56" i="9"/>
  <c r="BB56" i="9"/>
  <c r="B56" i="9"/>
  <c r="AU56" i="9"/>
  <c r="C16" i="10"/>
  <c r="AJ16" i="10"/>
  <c r="AM16" i="10"/>
  <c r="AC16" i="10"/>
  <c r="BE16" i="10"/>
  <c r="E16" i="10"/>
  <c r="AA16" i="10"/>
  <c r="BB16" i="10"/>
  <c r="AZ16" i="10"/>
  <c r="AL16" i="10"/>
  <c r="Q16" i="10"/>
  <c r="D16" i="10"/>
  <c r="AW16" i="10"/>
  <c r="BD16" i="10"/>
  <c r="BC16" i="10"/>
  <c r="S16" i="10"/>
  <c r="AP16" i="10"/>
  <c r="Y16" i="10"/>
  <c r="BF16" i="10"/>
  <c r="AQ16" i="10"/>
  <c r="R16" i="10"/>
  <c r="K16" i="10"/>
  <c r="T16" i="10"/>
  <c r="W16" i="10"/>
  <c r="L16" i="10"/>
  <c r="AV16" i="10"/>
  <c r="H16" i="10"/>
  <c r="V16" i="10"/>
  <c r="BA16" i="10"/>
  <c r="AB16" i="10"/>
  <c r="AG16" i="10"/>
  <c r="X16" i="10"/>
  <c r="O16" i="10"/>
  <c r="AO16" i="10"/>
  <c r="J16" i="10"/>
  <c r="AF16" i="10"/>
  <c r="AE16" i="10"/>
  <c r="Z16" i="10"/>
  <c r="AN16" i="10"/>
  <c r="M16" i="10"/>
  <c r="AX16" i="10"/>
  <c r="AR16" i="10"/>
  <c r="AK16" i="10"/>
  <c r="AY16" i="10"/>
  <c r="P16" i="10"/>
  <c r="U16" i="10"/>
  <c r="AD16" i="10"/>
  <c r="AH16" i="10"/>
  <c r="AT16" i="10"/>
  <c r="AI16" i="10"/>
  <c r="N16" i="10"/>
  <c r="AS16" i="10"/>
  <c r="B16" i="10"/>
  <c r="AU16" i="10"/>
  <c r="Y27" i="9"/>
  <c r="AX27" i="9"/>
  <c r="Z27" i="9"/>
  <c r="K27" i="9"/>
  <c r="BD27" i="9"/>
  <c r="M27" i="9"/>
  <c r="R27" i="9"/>
  <c r="AP27" i="9"/>
  <c r="AI27" i="9"/>
  <c r="AF27" i="9"/>
  <c r="O27" i="9"/>
  <c r="P27" i="9"/>
  <c r="AN27" i="9"/>
  <c r="H27" i="9"/>
  <c r="AZ27" i="9"/>
  <c r="AR27" i="9"/>
  <c r="BA27" i="9"/>
  <c r="C27" i="9"/>
  <c r="V27" i="9"/>
  <c r="D27" i="9"/>
  <c r="AV27" i="9"/>
  <c r="AC27" i="9"/>
  <c r="BB27" i="9"/>
  <c r="U27" i="9"/>
  <c r="Q27" i="9"/>
  <c r="AO27" i="9"/>
  <c r="L27" i="9"/>
  <c r="AD27" i="9"/>
  <c r="X27" i="9"/>
  <c r="AQ27" i="9"/>
  <c r="AE27" i="9"/>
  <c r="AJ27" i="9"/>
  <c r="W27" i="9"/>
  <c r="T27" i="9"/>
  <c r="AS27" i="9"/>
  <c r="N27" i="9"/>
  <c r="BF27" i="9"/>
  <c r="E27" i="9"/>
  <c r="AU27" i="9"/>
  <c r="AG27" i="9"/>
  <c r="BE27" i="9"/>
  <c r="AM27" i="9"/>
  <c r="AB27" i="9"/>
  <c r="AK27" i="9"/>
  <c r="AL27" i="9"/>
  <c r="AT27" i="9"/>
  <c r="AH27" i="9"/>
  <c r="J27" i="9"/>
  <c r="AW27" i="9"/>
  <c r="AY27" i="9"/>
  <c r="BC27" i="9"/>
  <c r="S27" i="9"/>
  <c r="B27" i="9"/>
  <c r="AA27" i="9"/>
  <c r="AR7" i="6"/>
  <c r="AE7" i="6"/>
  <c r="AM7" i="6"/>
  <c r="V7" i="6"/>
  <c r="AZ7" i="6"/>
  <c r="K7" i="6"/>
  <c r="AN7" i="6"/>
  <c r="O7" i="6"/>
  <c r="AD7" i="6"/>
  <c r="BB7" i="6"/>
  <c r="Q7" i="6"/>
  <c r="Z7" i="6"/>
  <c r="AO7" i="6"/>
  <c r="L7" i="6"/>
  <c r="AK7" i="6"/>
  <c r="P7" i="6"/>
  <c r="AL7" i="6"/>
  <c r="J7" i="6"/>
  <c r="R7" i="6"/>
  <c r="S7" i="6"/>
  <c r="Y7" i="6"/>
  <c r="X7" i="6"/>
  <c r="M7" i="6"/>
  <c r="D7" i="6"/>
  <c r="AS7" i="6"/>
  <c r="BA7" i="6"/>
  <c r="AQ7" i="6"/>
  <c r="AB7" i="6"/>
  <c r="AH7" i="6"/>
  <c r="AT7" i="6"/>
  <c r="AG7" i="6"/>
  <c r="AV7" i="6"/>
  <c r="E7" i="6"/>
  <c r="N7" i="6"/>
  <c r="AJ7" i="6"/>
  <c r="AY7" i="6"/>
  <c r="BE7" i="6"/>
  <c r="AF7" i="6"/>
  <c r="T7" i="6"/>
  <c r="C7" i="6"/>
  <c r="BC7" i="6"/>
  <c r="AU7" i="6"/>
  <c r="BF7" i="6"/>
  <c r="W7" i="6"/>
  <c r="AI7" i="6"/>
  <c r="AX7" i="6"/>
  <c r="U7" i="6"/>
  <c r="BD7" i="6"/>
  <c r="AP7" i="6"/>
  <c r="AC7" i="6"/>
  <c r="AA7" i="6"/>
  <c r="AW7" i="6"/>
  <c r="B7" i="6"/>
  <c r="H7" i="6"/>
  <c r="B48" i="10"/>
  <c r="I48" i="10"/>
  <c r="G48" i="10"/>
  <c r="F48" i="10"/>
  <c r="BA8" i="10"/>
  <c r="X8" i="10"/>
  <c r="L8" i="10"/>
  <c r="D8" i="10"/>
  <c r="P8" i="10"/>
  <c r="E8" i="10"/>
  <c r="M8" i="10"/>
  <c r="AC8" i="10"/>
  <c r="BF8" i="10"/>
  <c r="AE8" i="10"/>
  <c r="AX8" i="10"/>
  <c r="K8" i="10"/>
  <c r="N8" i="10"/>
  <c r="AV8" i="10"/>
  <c r="AO8" i="10"/>
  <c r="AN8" i="10"/>
  <c r="T8" i="10"/>
  <c r="C8" i="10"/>
  <c r="BD8" i="10"/>
  <c r="AY8" i="10"/>
  <c r="AK8" i="10"/>
  <c r="AU8" i="10"/>
  <c r="AJ8" i="10"/>
  <c r="AF8" i="10"/>
  <c r="AM8" i="10"/>
  <c r="AB8" i="10"/>
  <c r="W8" i="10"/>
  <c r="BE8" i="10"/>
  <c r="BB8" i="10"/>
  <c r="AD8" i="10"/>
  <c r="V8" i="10"/>
  <c r="AQ8" i="10"/>
  <c r="AI8" i="10"/>
  <c r="H8" i="10"/>
  <c r="O8" i="10"/>
  <c r="Z8" i="10"/>
  <c r="AR8" i="10"/>
  <c r="AS8" i="10"/>
  <c r="J8" i="10"/>
  <c r="AZ8" i="10"/>
  <c r="AL8" i="10"/>
  <c r="S8" i="10"/>
  <c r="AP8" i="10"/>
  <c r="Q8" i="10"/>
  <c r="U8" i="10"/>
  <c r="AT8" i="10"/>
  <c r="AA8" i="10"/>
  <c r="R8" i="10"/>
  <c r="BC8" i="10"/>
  <c r="AG8" i="10"/>
  <c r="Y8" i="10"/>
  <c r="AH8" i="10"/>
  <c r="B8" i="10"/>
  <c r="AW8" i="10"/>
  <c r="AT23" i="10"/>
  <c r="AL23" i="10"/>
  <c r="AK23" i="10"/>
  <c r="X23" i="10"/>
  <c r="AD23" i="10"/>
  <c r="BE23" i="10"/>
  <c r="AG23" i="10"/>
  <c r="R23" i="10"/>
  <c r="AU23" i="10"/>
  <c r="O23" i="10"/>
  <c r="AH23" i="10"/>
  <c r="W23" i="10"/>
  <c r="AO23" i="10"/>
  <c r="Y23" i="10"/>
  <c r="AB23" i="10"/>
  <c r="AQ23" i="10"/>
  <c r="C23" i="10"/>
  <c r="AJ23" i="10"/>
  <c r="AS23" i="10"/>
  <c r="N23" i="10"/>
  <c r="BC23" i="10"/>
  <c r="AR23" i="10"/>
  <c r="AP23" i="10"/>
  <c r="AC23" i="10"/>
  <c r="L23" i="10"/>
  <c r="AM23" i="10"/>
  <c r="BA23" i="10"/>
  <c r="J23" i="10"/>
  <c r="K23" i="10"/>
  <c r="Q23" i="10"/>
  <c r="T23" i="10"/>
  <c r="AF23" i="10"/>
  <c r="AI23" i="10"/>
  <c r="BF23" i="10"/>
  <c r="AW23" i="10"/>
  <c r="BD23" i="10"/>
  <c r="E23" i="10"/>
  <c r="AZ23" i="10"/>
  <c r="Z23" i="10"/>
  <c r="AX23" i="10"/>
  <c r="V23" i="10"/>
  <c r="AY23" i="10"/>
  <c r="AE23" i="10"/>
  <c r="U23" i="10"/>
  <c r="AN23" i="10"/>
  <c r="P23" i="10"/>
  <c r="D23" i="10"/>
  <c r="AV23" i="10"/>
  <c r="M23" i="10"/>
  <c r="S23" i="10"/>
  <c r="H23" i="10"/>
  <c r="AA23" i="10"/>
  <c r="B23" i="10"/>
  <c r="BB23" i="10"/>
  <c r="M47" i="8"/>
  <c r="AJ47" i="8"/>
  <c r="BF47" i="8"/>
  <c r="AW47" i="8"/>
  <c r="L47" i="8"/>
  <c r="AK47" i="8"/>
  <c r="J47" i="8"/>
  <c r="X47" i="8"/>
  <c r="W47" i="8"/>
  <c r="AI47" i="8"/>
  <c r="P47" i="8"/>
  <c r="C47" i="8"/>
  <c r="AD47" i="8"/>
  <c r="H47" i="8"/>
  <c r="D47" i="8"/>
  <c r="AG47" i="8"/>
  <c r="AF47" i="8"/>
  <c r="BB47" i="8"/>
  <c r="Q47" i="8"/>
  <c r="AY47" i="8"/>
  <c r="AE47" i="8"/>
  <c r="AP47" i="8"/>
  <c r="AV47" i="8"/>
  <c r="AR47" i="8"/>
  <c r="AA47" i="8"/>
  <c r="V47" i="8"/>
  <c r="E47" i="8"/>
  <c r="O47" i="8"/>
  <c r="AU47" i="8"/>
  <c r="T47" i="8"/>
  <c r="AB47" i="8"/>
  <c r="S47" i="8"/>
  <c r="BE47" i="8"/>
  <c r="N47" i="8"/>
  <c r="K47" i="8"/>
  <c r="BC47" i="8"/>
  <c r="AT47" i="8"/>
  <c r="AM47" i="8"/>
  <c r="AO47" i="8"/>
  <c r="AL47" i="8"/>
  <c r="Y47" i="8"/>
  <c r="BA47" i="8"/>
  <c r="AS47" i="8"/>
  <c r="R47" i="8"/>
  <c r="U47" i="8"/>
  <c r="Z47" i="8"/>
  <c r="AQ47" i="8"/>
  <c r="AH47" i="8"/>
  <c r="AX47" i="8"/>
  <c r="AN47" i="8"/>
  <c r="AZ47" i="8"/>
  <c r="BD47" i="8"/>
  <c r="B47" i="8"/>
  <c r="AC47" i="8"/>
  <c r="I17" i="11"/>
  <c r="G17" i="11"/>
  <c r="F17" i="11"/>
  <c r="AU57" i="2"/>
  <c r="AR57" i="2"/>
  <c r="AT57" i="2"/>
  <c r="AJ57" i="2"/>
  <c r="AH57" i="2"/>
  <c r="AM57" i="2"/>
  <c r="BB57" i="2"/>
  <c r="AS57" i="2"/>
  <c r="AV57" i="2"/>
  <c r="AK57" i="2"/>
  <c r="N57" i="2"/>
  <c r="S57" i="2"/>
  <c r="AE57" i="2"/>
  <c r="BC57" i="2"/>
  <c r="P57" i="2"/>
  <c r="AZ57" i="2"/>
  <c r="O57" i="2"/>
  <c r="AO57" i="2"/>
  <c r="AF57" i="2"/>
  <c r="BD57" i="2"/>
  <c r="Q57" i="2"/>
  <c r="M57" i="2"/>
  <c r="T57" i="2"/>
  <c r="AA57" i="2"/>
  <c r="BE57" i="2"/>
  <c r="AI57" i="2"/>
  <c r="AX57" i="2"/>
  <c r="AQ57" i="2"/>
  <c r="R57" i="2"/>
  <c r="V57" i="2"/>
  <c r="BA57" i="2"/>
  <c r="D57" i="2"/>
  <c r="AW57" i="2"/>
  <c r="AB57" i="2"/>
  <c r="BF57" i="2"/>
  <c r="K57" i="2"/>
  <c r="AN57" i="2"/>
  <c r="AD57" i="2"/>
  <c r="AY57" i="2"/>
  <c r="AG57" i="2"/>
  <c r="J57" i="2"/>
  <c r="E57" i="2"/>
  <c r="Y57" i="2"/>
  <c r="AP57" i="2"/>
  <c r="H57" i="2"/>
  <c r="L57" i="2"/>
  <c r="AC57" i="2"/>
  <c r="Z57" i="2"/>
  <c r="W57" i="2"/>
  <c r="U57" i="2"/>
  <c r="AL57" i="2"/>
  <c r="C57" i="2"/>
  <c r="B57" i="2"/>
  <c r="X57" i="2"/>
  <c r="AU58" i="1"/>
  <c r="AM58" i="1"/>
  <c r="AI58" i="1"/>
  <c r="BD58" i="1"/>
  <c r="J58" i="1"/>
  <c r="V58" i="1"/>
  <c r="E58" i="1"/>
  <c r="Q58" i="1"/>
  <c r="Z58" i="1"/>
  <c r="N58" i="1"/>
  <c r="Y58" i="1"/>
  <c r="AE58" i="1"/>
  <c r="BC58" i="1"/>
  <c r="AJ58" i="1"/>
  <c r="AR58" i="1"/>
  <c r="AO58" i="1"/>
  <c r="BE58" i="1"/>
  <c r="BF58" i="1"/>
  <c r="AG58" i="1"/>
  <c r="AT58" i="1"/>
  <c r="AN58" i="1"/>
  <c r="P58" i="1"/>
  <c r="AS58" i="1"/>
  <c r="R58" i="1"/>
  <c r="O58" i="1"/>
  <c r="AD58" i="1"/>
  <c r="AC58" i="1"/>
  <c r="AP58" i="1"/>
  <c r="M58" i="1"/>
  <c r="AV58" i="1"/>
  <c r="AY58" i="1"/>
  <c r="AB58" i="1"/>
  <c r="AX58" i="1"/>
  <c r="C58" i="1"/>
  <c r="AA58" i="1"/>
  <c r="S58" i="1"/>
  <c r="AF58" i="1"/>
  <c r="X58" i="1"/>
  <c r="AL58" i="1"/>
  <c r="AQ58" i="1"/>
  <c r="W58" i="1"/>
  <c r="D58" i="1"/>
  <c r="L58" i="1"/>
  <c r="BA58" i="1"/>
  <c r="AZ58" i="1"/>
  <c r="AW58" i="1"/>
  <c r="AH58" i="1"/>
  <c r="K58" i="1"/>
  <c r="AK58" i="1"/>
  <c r="U58" i="1"/>
  <c r="H58" i="1"/>
  <c r="T58" i="1"/>
  <c r="BB58" i="1"/>
  <c r="S36" i="11"/>
  <c r="M36" i="11"/>
  <c r="AT36" i="11"/>
  <c r="AM36" i="11"/>
  <c r="AA36" i="11"/>
  <c r="BC36" i="11"/>
  <c r="AL36" i="11"/>
  <c r="BF36" i="11"/>
  <c r="W36" i="11"/>
  <c r="AV36" i="11"/>
  <c r="R36" i="11"/>
  <c r="AR36" i="11"/>
  <c r="AF36" i="11"/>
  <c r="AW36" i="11"/>
  <c r="AD36" i="11"/>
  <c r="BE36" i="11"/>
  <c r="E36" i="11"/>
  <c r="AS36" i="11"/>
  <c r="T36" i="11"/>
  <c r="L36" i="11"/>
  <c r="AB36" i="11"/>
  <c r="U36" i="11"/>
  <c r="AQ36" i="11"/>
  <c r="BB36" i="11"/>
  <c r="H36" i="11"/>
  <c r="AN36" i="11"/>
  <c r="AH36" i="11"/>
  <c r="Q36" i="11"/>
  <c r="AC36" i="11"/>
  <c r="C36" i="11"/>
  <c r="V36" i="11"/>
  <c r="AG36" i="11"/>
  <c r="N36" i="11"/>
  <c r="X36" i="11"/>
  <c r="Z36" i="11"/>
  <c r="K36" i="11"/>
  <c r="AE36" i="11"/>
  <c r="AU36" i="11"/>
  <c r="D36" i="11"/>
  <c r="BD36" i="11"/>
  <c r="AZ36" i="11"/>
  <c r="Y36" i="11"/>
  <c r="AY36" i="11"/>
  <c r="AK36" i="11"/>
  <c r="O36" i="11"/>
  <c r="AO36" i="11"/>
  <c r="J36" i="11"/>
  <c r="AJ36" i="11"/>
  <c r="AP36" i="11"/>
  <c r="P36" i="11"/>
  <c r="AI36" i="11"/>
  <c r="AX36" i="11"/>
  <c r="B36" i="11"/>
  <c r="BA36" i="11"/>
  <c r="AG35" i="11"/>
  <c r="AE35" i="11"/>
  <c r="Y35" i="11"/>
  <c r="BB35" i="11"/>
  <c r="O35" i="11"/>
  <c r="AT35" i="11"/>
  <c r="AW35" i="11"/>
  <c r="D35" i="11"/>
  <c r="N35" i="11"/>
  <c r="T35" i="11"/>
  <c r="L35" i="11"/>
  <c r="AX35" i="11"/>
  <c r="AD35" i="11"/>
  <c r="AU35" i="11"/>
  <c r="X35" i="11"/>
  <c r="V35" i="11"/>
  <c r="BC35" i="11"/>
  <c r="M35" i="11"/>
  <c r="AY35" i="11"/>
  <c r="AQ35" i="11"/>
  <c r="E35" i="11"/>
  <c r="BE35" i="11"/>
  <c r="AN35" i="11"/>
  <c r="AB35" i="11"/>
  <c r="AR35" i="11"/>
  <c r="H35" i="11"/>
  <c r="K35" i="11"/>
  <c r="AM35" i="11"/>
  <c r="AO35" i="11"/>
  <c r="AJ35" i="11"/>
  <c r="BF35" i="11"/>
  <c r="AH35" i="11"/>
  <c r="AP35" i="11"/>
  <c r="C35" i="11"/>
  <c r="Q35" i="11"/>
  <c r="AK35" i="11"/>
  <c r="AC35" i="11"/>
  <c r="AL35" i="11"/>
  <c r="BD35" i="11"/>
  <c r="AF35" i="11"/>
  <c r="AZ35" i="11"/>
  <c r="R35" i="11"/>
  <c r="BA35" i="11"/>
  <c r="P35" i="11"/>
  <c r="AV35" i="11"/>
  <c r="S35" i="11"/>
  <c r="U35" i="11"/>
  <c r="AI35" i="11"/>
  <c r="W35" i="11"/>
  <c r="AA35" i="11"/>
  <c r="J35" i="11"/>
  <c r="AS35" i="11"/>
  <c r="B35" i="11"/>
  <c r="Z35" i="11"/>
  <c r="R34" i="11"/>
  <c r="U34" i="11"/>
  <c r="AQ34" i="11"/>
  <c r="AL34" i="11"/>
  <c r="Y34" i="11"/>
  <c r="X34" i="11"/>
  <c r="E34" i="11"/>
  <c r="AN34" i="11"/>
  <c r="AZ34" i="11"/>
  <c r="BD34" i="11"/>
  <c r="V34" i="11"/>
  <c r="H34" i="11"/>
  <c r="S34" i="11"/>
  <c r="BE34" i="11"/>
  <c r="AG34" i="11"/>
  <c r="Z34" i="11"/>
  <c r="BA34" i="11"/>
  <c r="AF34" i="11"/>
  <c r="AU34" i="11"/>
  <c r="P34" i="11"/>
  <c r="AR34" i="11"/>
  <c r="AW34" i="11"/>
  <c r="O34" i="11"/>
  <c r="T34" i="11"/>
  <c r="AS34" i="11"/>
  <c r="BB34" i="11"/>
  <c r="W34" i="11"/>
  <c r="K34" i="11"/>
  <c r="AM34" i="11"/>
  <c r="Q34" i="11"/>
  <c r="AD34" i="11"/>
  <c r="AC34" i="11"/>
  <c r="AX34" i="11"/>
  <c r="AH34" i="11"/>
  <c r="M34" i="11"/>
  <c r="AT34" i="11"/>
  <c r="AJ34" i="11"/>
  <c r="J34" i="11"/>
  <c r="AP34" i="11"/>
  <c r="AO34" i="11"/>
  <c r="L34" i="11"/>
  <c r="N34" i="11"/>
  <c r="BF34" i="11"/>
  <c r="BC34" i="11"/>
  <c r="C34" i="11"/>
  <c r="AE34" i="11"/>
  <c r="AB34" i="11"/>
  <c r="AI34" i="11"/>
  <c r="AK34" i="11"/>
  <c r="AA34" i="11"/>
  <c r="AY34" i="11"/>
  <c r="D34" i="11"/>
  <c r="B34" i="11"/>
  <c r="AV34" i="11"/>
  <c r="X33" i="11"/>
  <c r="AX33" i="11"/>
  <c r="AE33" i="11"/>
  <c r="BA33" i="11"/>
  <c r="T33" i="11"/>
  <c r="BF33" i="11"/>
  <c r="AR33" i="11"/>
  <c r="AL33" i="11"/>
  <c r="AF33" i="11"/>
  <c r="Y33" i="11"/>
  <c r="AP33" i="11"/>
  <c r="AB33" i="11"/>
  <c r="H33" i="11"/>
  <c r="AJ33" i="11"/>
  <c r="AU33" i="11"/>
  <c r="D33" i="11"/>
  <c r="AH33" i="11"/>
  <c r="AN33" i="11"/>
  <c r="E33" i="11"/>
  <c r="BD33" i="11"/>
  <c r="AQ33" i="11"/>
  <c r="R33" i="11"/>
  <c r="BE33" i="11"/>
  <c r="O33" i="11"/>
  <c r="AY33" i="11"/>
  <c r="M33" i="11"/>
  <c r="L33" i="11"/>
  <c r="AZ33" i="11"/>
  <c r="AG33" i="11"/>
  <c r="AO33" i="11"/>
  <c r="AD33" i="11"/>
  <c r="AS33" i="11"/>
  <c r="C33" i="11"/>
  <c r="BC33" i="11"/>
  <c r="U33" i="11"/>
  <c r="AC33" i="11"/>
  <c r="AM33" i="11"/>
  <c r="V33" i="11"/>
  <c r="W33" i="11"/>
  <c r="Q33" i="11"/>
  <c r="Z33" i="11"/>
  <c r="S33" i="11"/>
  <c r="AA33" i="11"/>
  <c r="AK33" i="11"/>
  <c r="AW33" i="11"/>
  <c r="AI33" i="11"/>
  <c r="AV33" i="11"/>
  <c r="BB33" i="11"/>
  <c r="J33" i="11"/>
  <c r="P33" i="11"/>
  <c r="N33" i="11"/>
  <c r="AT33" i="11"/>
  <c r="B33" i="11"/>
  <c r="K33" i="11"/>
  <c r="AJ54" i="11"/>
  <c r="AD54" i="11"/>
  <c r="BD54" i="11"/>
  <c r="U54" i="11"/>
  <c r="K54" i="11"/>
  <c r="AL54" i="11"/>
  <c r="AV54" i="11"/>
  <c r="BC54" i="11"/>
  <c r="AY54" i="11"/>
  <c r="AU54" i="11"/>
  <c r="BA54" i="11"/>
  <c r="AC54" i="11"/>
  <c r="BE54" i="11"/>
  <c r="AA54" i="11"/>
  <c r="AP54" i="11"/>
  <c r="AI54" i="11"/>
  <c r="AK54" i="11"/>
  <c r="Y54" i="11"/>
  <c r="V54" i="11"/>
  <c r="X54" i="11"/>
  <c r="Q54" i="11"/>
  <c r="L54" i="11"/>
  <c r="AF54" i="11"/>
  <c r="AX54" i="11"/>
  <c r="C54" i="11"/>
  <c r="AQ54" i="11"/>
  <c r="AZ54" i="11"/>
  <c r="T54" i="11"/>
  <c r="N54" i="11"/>
  <c r="Z54" i="11"/>
  <c r="AR54" i="11"/>
  <c r="H54" i="11"/>
  <c r="AM54" i="11"/>
  <c r="S54" i="11"/>
  <c r="O54" i="11"/>
  <c r="E54" i="11"/>
  <c r="J54" i="11"/>
  <c r="AG54" i="11"/>
  <c r="AS54" i="11"/>
  <c r="R54" i="11"/>
  <c r="P54" i="11"/>
  <c r="BF54" i="11"/>
  <c r="BB54" i="11"/>
  <c r="W54" i="11"/>
  <c r="AO54" i="11"/>
  <c r="AB54" i="11"/>
  <c r="AH54" i="11"/>
  <c r="AW54" i="11"/>
  <c r="M54" i="11"/>
  <c r="D54" i="11"/>
  <c r="AT54" i="11"/>
  <c r="AN54" i="11"/>
  <c r="B54" i="11"/>
  <c r="AE54" i="11"/>
  <c r="T29" i="11"/>
  <c r="L29" i="11"/>
  <c r="M29" i="11"/>
  <c r="AE29" i="11"/>
  <c r="AJ29" i="11"/>
  <c r="Z29" i="11"/>
  <c r="BA29" i="11"/>
  <c r="AH29" i="11"/>
  <c r="AG29" i="11"/>
  <c r="X29" i="11"/>
  <c r="P29" i="11"/>
  <c r="R29" i="11"/>
  <c r="O29" i="11"/>
  <c r="AC29" i="11"/>
  <c r="J29" i="11"/>
  <c r="BB29" i="11"/>
  <c r="AO29" i="11"/>
  <c r="V29" i="11"/>
  <c r="E29" i="11"/>
  <c r="AA29" i="11"/>
  <c r="AQ29" i="11"/>
  <c r="D29" i="11"/>
  <c r="AW29" i="11"/>
  <c r="H29" i="11"/>
  <c r="AU29" i="11"/>
  <c r="AK29" i="11"/>
  <c r="AV29" i="11"/>
  <c r="AX29" i="11"/>
  <c r="AI29" i="11"/>
  <c r="S29" i="11"/>
  <c r="BC29" i="11"/>
  <c r="AD29" i="11"/>
  <c r="AF29" i="11"/>
  <c r="AS29" i="11"/>
  <c r="AN29" i="11"/>
  <c r="BF29" i="11"/>
  <c r="AY29" i="11"/>
  <c r="K29" i="11"/>
  <c r="C29" i="11"/>
  <c r="AZ29" i="11"/>
  <c r="AB29" i="11"/>
  <c r="AT29" i="11"/>
  <c r="AL29" i="11"/>
  <c r="BE29" i="11"/>
  <c r="W29" i="11"/>
  <c r="AM29" i="11"/>
  <c r="AP29" i="11"/>
  <c r="Q29" i="11"/>
  <c r="BD29" i="11"/>
  <c r="Y29" i="11"/>
  <c r="U29" i="11"/>
  <c r="N29" i="11"/>
  <c r="B29" i="11"/>
  <c r="AR29" i="11"/>
  <c r="Q17" i="11"/>
  <c r="J17" i="11"/>
  <c r="AB17" i="11"/>
  <c r="BC17" i="11"/>
  <c r="W17" i="11"/>
  <c r="AG17" i="11"/>
  <c r="AF17" i="11"/>
  <c r="BA17" i="11"/>
  <c r="BD17" i="11"/>
  <c r="V17" i="11"/>
  <c r="AY17" i="11"/>
  <c r="AT17" i="11"/>
  <c r="N17" i="11"/>
  <c r="AR17" i="11"/>
  <c r="AS17" i="11"/>
  <c r="Z17" i="11"/>
  <c r="T17" i="11"/>
  <c r="H17" i="11"/>
  <c r="C17" i="11"/>
  <c r="BE17" i="11"/>
  <c r="L17" i="11"/>
  <c r="BB17" i="11"/>
  <c r="AD17" i="11"/>
  <c r="K17" i="11"/>
  <c r="AH17" i="11"/>
  <c r="AI17" i="11"/>
  <c r="AL17" i="11"/>
  <c r="AU17" i="11"/>
  <c r="AP17" i="11"/>
  <c r="AX17" i="11"/>
  <c r="P17" i="11"/>
  <c r="AE17" i="11"/>
  <c r="AO17" i="11"/>
  <c r="AZ17" i="11"/>
  <c r="S17" i="11"/>
  <c r="E17" i="11"/>
  <c r="AM17" i="11"/>
  <c r="R17" i="11"/>
  <c r="D17" i="11"/>
  <c r="AV17" i="11"/>
  <c r="AQ17" i="11"/>
  <c r="Y17" i="11"/>
  <c r="AN17" i="11"/>
  <c r="X17" i="11"/>
  <c r="M17" i="11"/>
  <c r="AK17" i="11"/>
  <c r="O17" i="11"/>
  <c r="AA17" i="11"/>
  <c r="U17" i="11"/>
  <c r="BF17" i="11"/>
  <c r="AC17" i="11"/>
  <c r="AJ17" i="11"/>
  <c r="B17" i="11"/>
  <c r="AW17" i="11"/>
  <c r="AA48" i="1"/>
  <c r="S48" i="1"/>
  <c r="W48" i="1"/>
  <c r="AH48" i="1"/>
  <c r="D48" i="1"/>
  <c r="H48" i="1"/>
  <c r="AX48" i="1"/>
  <c r="AF48" i="1"/>
  <c r="AJ48" i="1"/>
  <c r="BB48" i="1"/>
  <c r="Z48" i="1"/>
  <c r="BC48" i="1"/>
  <c r="AG48" i="1"/>
  <c r="AL48" i="1"/>
  <c r="P48" i="1"/>
  <c r="AP48" i="1"/>
  <c r="L48" i="1"/>
  <c r="AT48" i="1"/>
  <c r="AE48" i="1"/>
  <c r="AK48" i="1"/>
  <c r="X48" i="1"/>
  <c r="M48" i="1"/>
  <c r="AV48" i="1"/>
  <c r="AU48" i="1"/>
  <c r="N48" i="1"/>
  <c r="AY48" i="1"/>
  <c r="Y48" i="1"/>
  <c r="O48" i="1"/>
  <c r="K48" i="1"/>
  <c r="AI48" i="1"/>
  <c r="AB48" i="1"/>
  <c r="BA48" i="1"/>
  <c r="AM48" i="1"/>
  <c r="AR48" i="1"/>
  <c r="C48" i="1"/>
  <c r="E48" i="1"/>
  <c r="AS48" i="1"/>
  <c r="AO48" i="1"/>
  <c r="AC48" i="1"/>
  <c r="AN48" i="1"/>
  <c r="V48" i="1"/>
  <c r="BD48" i="1"/>
  <c r="R48" i="1"/>
  <c r="AQ48" i="1"/>
  <c r="AW48" i="1"/>
  <c r="BF48" i="1"/>
  <c r="J48" i="1"/>
  <c r="AZ48" i="1"/>
  <c r="BE48" i="1"/>
  <c r="T48" i="1"/>
  <c r="Q48" i="1"/>
  <c r="U48" i="1"/>
  <c r="B48" i="1"/>
  <c r="AD48" i="1"/>
  <c r="AD41" i="9"/>
  <c r="AF41" i="9"/>
  <c r="K41" i="9"/>
  <c r="AZ41" i="9"/>
  <c r="BC41" i="9"/>
  <c r="AG41" i="9"/>
  <c r="R41" i="9"/>
  <c r="BA41" i="9"/>
  <c r="AK41" i="9"/>
  <c r="AW41" i="9"/>
  <c r="AO41" i="9"/>
  <c r="W41" i="9"/>
  <c r="AA41" i="9"/>
  <c r="E41" i="9"/>
  <c r="M41" i="9"/>
  <c r="AH41" i="9"/>
  <c r="D41" i="9"/>
  <c r="T41" i="9"/>
  <c r="AC41" i="9"/>
  <c r="AL41" i="9"/>
  <c r="BF41" i="9"/>
  <c r="O41" i="9"/>
  <c r="P41" i="9"/>
  <c r="AB41" i="9"/>
  <c r="AU41" i="9"/>
  <c r="C41" i="9"/>
  <c r="V41" i="9"/>
  <c r="S41" i="9"/>
  <c r="L41" i="9"/>
  <c r="J41" i="9"/>
  <c r="N41" i="9"/>
  <c r="BE41" i="9"/>
  <c r="AY41" i="9"/>
  <c r="H41" i="9"/>
  <c r="Z41" i="9"/>
  <c r="AJ41" i="9"/>
  <c r="AQ41" i="9"/>
  <c r="AS41" i="9"/>
  <c r="AR41" i="9"/>
  <c r="AN41" i="9"/>
  <c r="BB41" i="9"/>
  <c r="AM41" i="9"/>
  <c r="U41" i="9"/>
  <c r="AI41" i="9"/>
  <c r="AX41" i="9"/>
  <c r="AV41" i="9"/>
  <c r="Q41" i="9"/>
  <c r="AT41" i="9"/>
  <c r="Y41" i="9"/>
  <c r="BD41" i="9"/>
  <c r="AE41" i="9"/>
  <c r="AP41" i="9"/>
  <c r="B41" i="9"/>
  <c r="X41" i="9"/>
  <c r="BB44" i="9"/>
  <c r="AB44" i="9"/>
  <c r="R44" i="9"/>
  <c r="Q44" i="9"/>
  <c r="BD44" i="9"/>
  <c r="U44" i="9"/>
  <c r="AX44" i="9"/>
  <c r="AZ44" i="9"/>
  <c r="AE44" i="9"/>
  <c r="K44" i="9"/>
  <c r="D44" i="9"/>
  <c r="V44" i="9"/>
  <c r="BF44" i="9"/>
  <c r="M44" i="9"/>
  <c r="AP44" i="9"/>
  <c r="AM44" i="9"/>
  <c r="E44" i="9"/>
  <c r="AH44" i="9"/>
  <c r="L44" i="9"/>
  <c r="S44" i="9"/>
  <c r="AF44" i="9"/>
  <c r="W44" i="9"/>
  <c r="BA44" i="9"/>
  <c r="AK44" i="9"/>
  <c r="AW44" i="9"/>
  <c r="BC44" i="9"/>
  <c r="AT44" i="9"/>
  <c r="BE44" i="9"/>
  <c r="N44" i="9"/>
  <c r="AA44" i="9"/>
  <c r="Z44" i="9"/>
  <c r="AO44" i="9"/>
  <c r="AR44" i="9"/>
  <c r="J44" i="9"/>
  <c r="AY44" i="9"/>
  <c r="X44" i="9"/>
  <c r="H44" i="9"/>
  <c r="AS44" i="9"/>
  <c r="C44" i="9"/>
  <c r="AN44" i="9"/>
  <c r="AI44" i="9"/>
  <c r="AQ44" i="9"/>
  <c r="AJ44" i="9"/>
  <c r="T44" i="9"/>
  <c r="AG44" i="9"/>
  <c r="P44" i="9"/>
  <c r="AU44" i="9"/>
  <c r="AL44" i="9"/>
  <c r="Y44" i="9"/>
  <c r="AC44" i="9"/>
  <c r="AV44" i="9"/>
  <c r="O44" i="9"/>
  <c r="B44" i="9"/>
  <c r="AD44" i="9"/>
  <c r="H12" i="10"/>
  <c r="E12" i="10"/>
  <c r="BD12" i="10"/>
  <c r="U12" i="10"/>
  <c r="R12" i="10"/>
  <c r="AS12" i="10"/>
  <c r="BF12" i="10"/>
  <c r="AG12" i="10"/>
  <c r="AE12" i="10"/>
  <c r="W12" i="10"/>
  <c r="AL12" i="10"/>
  <c r="AQ12" i="10"/>
  <c r="AY12" i="10"/>
  <c r="AB12" i="10"/>
  <c r="AJ12" i="10"/>
  <c r="AV12" i="10"/>
  <c r="AF12" i="10"/>
  <c r="BC12" i="10"/>
  <c r="BB12" i="10"/>
  <c r="AW12" i="10"/>
  <c r="AM12" i="10"/>
  <c r="AT12" i="10"/>
  <c r="J12" i="10"/>
  <c r="AI12" i="10"/>
  <c r="X12" i="10"/>
  <c r="AC12" i="10"/>
  <c r="AX12" i="10"/>
  <c r="Y12" i="10"/>
  <c r="AA12" i="10"/>
  <c r="V12" i="10"/>
  <c r="K12" i="10"/>
  <c r="D12" i="10"/>
  <c r="AZ12" i="10"/>
  <c r="AH12" i="10"/>
  <c r="AP12" i="10"/>
  <c r="AN12" i="10"/>
  <c r="AR12" i="10"/>
  <c r="BE12" i="10"/>
  <c r="L12" i="10"/>
  <c r="M12" i="10"/>
  <c r="N12" i="10"/>
  <c r="AO12" i="10"/>
  <c r="P12" i="10"/>
  <c r="BA12" i="10"/>
  <c r="AK12" i="10"/>
  <c r="Z12" i="10"/>
  <c r="AD12" i="10"/>
  <c r="S12" i="10"/>
  <c r="AU12" i="10"/>
  <c r="Q12" i="10"/>
  <c r="C12" i="10"/>
  <c r="T12" i="10"/>
  <c r="B12" i="10"/>
  <c r="O12" i="10"/>
  <c r="Z2" i="9"/>
  <c r="Y2" i="9"/>
  <c r="BF2" i="9"/>
  <c r="AO2" i="9"/>
  <c r="AJ2" i="9"/>
  <c r="D2" i="9"/>
  <c r="BB2" i="9"/>
  <c r="AU2" i="9"/>
  <c r="U2" i="9"/>
  <c r="O2" i="9"/>
  <c r="T2" i="9"/>
  <c r="L2" i="9"/>
  <c r="C2" i="9"/>
  <c r="V2" i="9"/>
  <c r="BE2" i="9"/>
  <c r="BA2" i="9"/>
  <c r="AY2" i="9"/>
  <c r="J2" i="9"/>
  <c r="AL2" i="9"/>
  <c r="AW2" i="9"/>
  <c r="AM2" i="9"/>
  <c r="AR2" i="9"/>
  <c r="AQ2" i="9"/>
  <c r="AZ2" i="9"/>
  <c r="AG2" i="9"/>
  <c r="AA2" i="9"/>
  <c r="AH2" i="9"/>
  <c r="AC2" i="9"/>
  <c r="K2" i="9"/>
  <c r="AF2" i="9"/>
  <c r="AB2" i="9"/>
  <c r="AN2" i="9"/>
  <c r="N2" i="9"/>
  <c r="AE2" i="9"/>
  <c r="AD2" i="9"/>
  <c r="H2" i="9"/>
  <c r="R2" i="9"/>
  <c r="BD2" i="9"/>
  <c r="Q2" i="9"/>
  <c r="BC2" i="9"/>
  <c r="AV2" i="9"/>
  <c r="AX2" i="9"/>
  <c r="M2" i="9"/>
  <c r="E2" i="9"/>
  <c r="P2" i="9"/>
  <c r="S2" i="9"/>
  <c r="W2" i="9"/>
  <c r="AS2" i="9"/>
  <c r="AK2" i="9"/>
  <c r="AP2" i="9"/>
  <c r="X2" i="9"/>
  <c r="AI2" i="9"/>
  <c r="B2" i="9"/>
  <c r="AT2" i="9"/>
  <c r="S20" i="11"/>
  <c r="C20" i="11"/>
  <c r="Q20" i="11"/>
  <c r="X20" i="11"/>
  <c r="D20" i="11"/>
  <c r="O20" i="11"/>
  <c r="BF20" i="11"/>
  <c r="U20" i="11"/>
  <c r="AM20" i="11"/>
  <c r="BD20" i="11"/>
  <c r="AI20" i="11"/>
  <c r="AG20" i="11"/>
  <c r="BE20" i="11"/>
  <c r="AE20" i="11"/>
  <c r="AN20" i="11"/>
  <c r="AD20" i="11"/>
  <c r="AQ20" i="11"/>
  <c r="E20" i="11"/>
  <c r="AH20" i="11"/>
  <c r="P20" i="11"/>
  <c r="BB20" i="11"/>
  <c r="BA20" i="11"/>
  <c r="AR20" i="11"/>
  <c r="AK20" i="11"/>
  <c r="AB20" i="11"/>
  <c r="AJ20" i="11"/>
  <c r="AZ20" i="11"/>
  <c r="T20" i="11"/>
  <c r="AO20" i="11"/>
  <c r="J20" i="11"/>
  <c r="H20" i="11"/>
  <c r="AY20" i="11"/>
  <c r="AA20" i="11"/>
  <c r="AL20" i="11"/>
  <c r="Y20" i="11"/>
  <c r="BC20" i="11"/>
  <c r="AX20" i="11"/>
  <c r="M20" i="11"/>
  <c r="L20" i="11"/>
  <c r="AW20" i="11"/>
  <c r="V20" i="11"/>
  <c r="W20" i="11"/>
  <c r="AS20" i="11"/>
  <c r="AT20" i="11"/>
  <c r="Z20" i="11"/>
  <c r="K20" i="11"/>
  <c r="AC20" i="11"/>
  <c r="AP20" i="11"/>
  <c r="AV20" i="11"/>
  <c r="AF20" i="11"/>
  <c r="N20" i="11"/>
  <c r="R20" i="11"/>
  <c r="B20" i="11"/>
  <c r="AU20" i="11"/>
  <c r="K50" i="4"/>
  <c r="W50" i="4"/>
  <c r="S50" i="4"/>
  <c r="Y50" i="4"/>
  <c r="C50" i="4"/>
  <c r="AL50" i="4"/>
  <c r="AX50" i="4"/>
  <c r="T50" i="4"/>
  <c r="AM50" i="4"/>
  <c r="AJ50" i="4"/>
  <c r="AB50" i="4"/>
  <c r="AW50" i="4"/>
  <c r="AQ50" i="4"/>
  <c r="BE50" i="4"/>
  <c r="AS50" i="4"/>
  <c r="Z50" i="4"/>
  <c r="V50" i="4"/>
  <c r="M50" i="4"/>
  <c r="AT50" i="4"/>
  <c r="Q50" i="4"/>
  <c r="AR50" i="4"/>
  <c r="X50" i="4"/>
  <c r="J50" i="4"/>
  <c r="L50" i="4"/>
  <c r="P50" i="4"/>
  <c r="R50" i="4"/>
  <c r="BD50" i="4"/>
  <c r="O50" i="4"/>
  <c r="AV50" i="4"/>
  <c r="BF50" i="4"/>
  <c r="AI50" i="4"/>
  <c r="N50" i="4"/>
  <c r="AY50" i="4"/>
  <c r="AG50" i="4"/>
  <c r="AZ50" i="4"/>
  <c r="AO50" i="4"/>
  <c r="AC50" i="4"/>
  <c r="D50" i="4"/>
  <c r="AF50" i="4"/>
  <c r="BC50" i="4"/>
  <c r="U50" i="4"/>
  <c r="AH50" i="4"/>
  <c r="AE50" i="4"/>
  <c r="AK50" i="4"/>
  <c r="BA50" i="4"/>
  <c r="AD50" i="4"/>
  <c r="BB50" i="4"/>
  <c r="AP50" i="4"/>
  <c r="AN50" i="4"/>
  <c r="E50" i="4"/>
  <c r="AU50" i="4"/>
  <c r="AA50" i="4"/>
  <c r="B50" i="4"/>
  <c r="H50" i="4"/>
  <c r="R14" i="9"/>
  <c r="AA14" i="9"/>
  <c r="K14" i="9"/>
  <c r="W14" i="9"/>
  <c r="Y14" i="9"/>
  <c r="BA14" i="9"/>
  <c r="AX14" i="9"/>
  <c r="AM14" i="9"/>
  <c r="BD14" i="9"/>
  <c r="BC14" i="9"/>
  <c r="AT14" i="9"/>
  <c r="X14" i="9"/>
  <c r="AS14" i="9"/>
  <c r="E14" i="9"/>
  <c r="V14" i="9"/>
  <c r="L14" i="9"/>
  <c r="AU14" i="9"/>
  <c r="BF14" i="9"/>
  <c r="Q14" i="9"/>
  <c r="AV14" i="9"/>
  <c r="AR14" i="9"/>
  <c r="AI14" i="9"/>
  <c r="T14" i="9"/>
  <c r="AJ14" i="9"/>
  <c r="U14" i="9"/>
  <c r="AB14" i="9"/>
  <c r="AD14" i="9"/>
  <c r="AF14" i="9"/>
  <c r="AG14" i="9"/>
  <c r="M14" i="9"/>
  <c r="AE14" i="9"/>
  <c r="BE14" i="9"/>
  <c r="Z14" i="9"/>
  <c r="D14" i="9"/>
  <c r="C14" i="9"/>
  <c r="N14" i="9"/>
  <c r="J14" i="9"/>
  <c r="AQ14" i="9"/>
  <c r="O14" i="9"/>
  <c r="AO14" i="9"/>
  <c r="AY14" i="9"/>
  <c r="AZ14" i="9"/>
  <c r="AH14" i="9"/>
  <c r="AC14" i="9"/>
  <c r="AN14" i="9"/>
  <c r="BB14" i="9"/>
  <c r="AP14" i="9"/>
  <c r="P14" i="9"/>
  <c r="AW14" i="9"/>
  <c r="AL14" i="9"/>
  <c r="AK14" i="9"/>
  <c r="S14" i="9"/>
  <c r="B14" i="9"/>
  <c r="H14" i="9"/>
  <c r="AS5" i="7"/>
  <c r="M5" i="7"/>
  <c r="AH5" i="7"/>
  <c r="AD5" i="7"/>
  <c r="K5" i="7"/>
  <c r="AT5" i="7"/>
  <c r="W5" i="7"/>
  <c r="AB5" i="7"/>
  <c r="BC5" i="7"/>
  <c r="J5" i="7"/>
  <c r="L5" i="7"/>
  <c r="R5" i="7"/>
  <c r="U5" i="7"/>
  <c r="Z5" i="7"/>
  <c r="H5" i="7"/>
  <c r="O5" i="7"/>
  <c r="AN5" i="7"/>
  <c r="AX5" i="7"/>
  <c r="BF5" i="7"/>
  <c r="AR5" i="7"/>
  <c r="X5" i="7"/>
  <c r="Y5" i="7"/>
  <c r="Q5" i="7"/>
  <c r="D5" i="7"/>
  <c r="AO5" i="7"/>
  <c r="BA5" i="7"/>
  <c r="AG5" i="7"/>
  <c r="AI5" i="7"/>
  <c r="N5" i="7"/>
  <c r="AE5" i="7"/>
  <c r="BB5" i="7"/>
  <c r="BD5" i="7"/>
  <c r="E5" i="7"/>
  <c r="P5" i="7"/>
  <c r="AQ5" i="7"/>
  <c r="AZ5" i="7"/>
  <c r="AY5" i="7"/>
  <c r="BE5" i="7"/>
  <c r="T5" i="7"/>
  <c r="AC5" i="7"/>
  <c r="AA5" i="7"/>
  <c r="S5" i="7"/>
  <c r="AM5" i="7"/>
  <c r="AV5" i="7"/>
  <c r="AK5" i="7"/>
  <c r="V5" i="7"/>
  <c r="AW5" i="7"/>
  <c r="AF5" i="7"/>
  <c r="C5" i="7"/>
  <c r="AP5" i="7"/>
  <c r="AU5" i="7"/>
  <c r="AJ5" i="7"/>
  <c r="B5" i="7"/>
  <c r="AL5" i="7"/>
  <c r="S29" i="10"/>
  <c r="M29" i="10"/>
  <c r="AF29" i="10"/>
  <c r="AP29" i="10"/>
  <c r="AA29" i="10"/>
  <c r="AL29" i="10"/>
  <c r="T29" i="10"/>
  <c r="AR29" i="10"/>
  <c r="AB29" i="10"/>
  <c r="H29" i="10"/>
  <c r="W29" i="10"/>
  <c r="AO29" i="10"/>
  <c r="BB29" i="10"/>
  <c r="AY29" i="10"/>
  <c r="J29" i="10"/>
  <c r="R29" i="10"/>
  <c r="AZ29" i="10"/>
  <c r="P29" i="10"/>
  <c r="AI29" i="10"/>
  <c r="AC29" i="10"/>
  <c r="AK29" i="10"/>
  <c r="K29" i="10"/>
  <c r="AD29" i="10"/>
  <c r="U29" i="10"/>
  <c r="AQ29" i="10"/>
  <c r="AV29" i="10"/>
  <c r="BF29" i="10"/>
  <c r="BA29" i="10"/>
  <c r="AW29" i="10"/>
  <c r="AM29" i="10"/>
  <c r="L29" i="10"/>
  <c r="AG29" i="10"/>
  <c r="Q29" i="10"/>
  <c r="AH29" i="10"/>
  <c r="D29" i="10"/>
  <c r="N29" i="10"/>
  <c r="V29" i="10"/>
  <c r="E29" i="10"/>
  <c r="Z29" i="10"/>
  <c r="BC29" i="10"/>
  <c r="AS29" i="10"/>
  <c r="AU29" i="10"/>
  <c r="AT29" i="10"/>
  <c r="AE29" i="10"/>
  <c r="AN29" i="10"/>
  <c r="Y29" i="10"/>
  <c r="O29" i="10"/>
  <c r="BD29" i="10"/>
  <c r="AJ29" i="10"/>
  <c r="BE29" i="10"/>
  <c r="X29" i="10"/>
  <c r="AX29" i="10"/>
  <c r="B29" i="10"/>
  <c r="C29" i="10"/>
  <c r="AF26" i="6"/>
  <c r="BC26" i="6"/>
  <c r="AC26" i="6"/>
  <c r="AS26" i="6"/>
  <c r="AK26" i="6"/>
  <c r="AQ26" i="6"/>
  <c r="N26" i="6"/>
  <c r="O26" i="6"/>
  <c r="AV26" i="6"/>
  <c r="AH26" i="6"/>
  <c r="AB26" i="6"/>
  <c r="J26" i="6"/>
  <c r="AA26" i="6"/>
  <c r="L26" i="6"/>
  <c r="AG26" i="6"/>
  <c r="BF26" i="6"/>
  <c r="C26" i="6"/>
  <c r="BE26" i="6"/>
  <c r="AY26" i="6"/>
  <c r="AU26" i="6"/>
  <c r="BD26" i="6"/>
  <c r="P26" i="6"/>
  <c r="M26" i="6"/>
  <c r="AX26" i="6"/>
  <c r="AP26" i="6"/>
  <c r="AM26" i="6"/>
  <c r="AR26" i="6"/>
  <c r="X26" i="6"/>
  <c r="E26" i="6"/>
  <c r="BA26" i="6"/>
  <c r="AT26" i="6"/>
  <c r="AW26" i="6"/>
  <c r="Y26" i="6"/>
  <c r="AZ26" i="6"/>
  <c r="H26" i="6"/>
  <c r="R26" i="6"/>
  <c r="AI26" i="6"/>
  <c r="V26" i="6"/>
  <c r="AL26" i="6"/>
  <c r="AE26" i="6"/>
  <c r="Q26" i="6"/>
  <c r="K26" i="6"/>
  <c r="AJ26" i="6"/>
  <c r="D26" i="6"/>
  <c r="Z26" i="6"/>
  <c r="AD26" i="6"/>
  <c r="U26" i="6"/>
  <c r="S26" i="6"/>
  <c r="AO26" i="6"/>
  <c r="BB26" i="6"/>
  <c r="AN26" i="6"/>
  <c r="T26" i="6"/>
  <c r="B26" i="6"/>
  <c r="W26" i="6"/>
  <c r="J48" i="2"/>
  <c r="AO48" i="2"/>
  <c r="P48" i="2"/>
  <c r="AQ48" i="2"/>
  <c r="D48" i="2"/>
  <c r="L48" i="2"/>
  <c r="AC48" i="2"/>
  <c r="H48" i="2"/>
  <c r="BE48" i="2"/>
  <c r="BB48" i="2"/>
  <c r="C48" i="2"/>
  <c r="M48" i="2"/>
  <c r="AH48" i="2"/>
  <c r="AV48" i="2"/>
  <c r="AS48" i="2"/>
  <c r="AW48" i="2"/>
  <c r="AU48" i="2"/>
  <c r="AE48" i="2"/>
  <c r="AI48" i="2"/>
  <c r="R48" i="2"/>
  <c r="AT48" i="2"/>
  <c r="BA48" i="2"/>
  <c r="K48" i="2"/>
  <c r="AF48" i="2"/>
  <c r="Z48" i="2"/>
  <c r="AK48" i="2"/>
  <c r="Y48" i="2"/>
  <c r="AL48" i="2"/>
  <c r="Q48" i="2"/>
  <c r="AN48" i="2"/>
  <c r="AD48" i="2"/>
  <c r="AR48" i="2"/>
  <c r="E48" i="2"/>
  <c r="U48" i="2"/>
  <c r="AZ48" i="2"/>
  <c r="AY48" i="2"/>
  <c r="N48" i="2"/>
  <c r="BF48" i="2"/>
  <c r="S48" i="2"/>
  <c r="AA48" i="2"/>
  <c r="O48" i="2"/>
  <c r="AB48" i="2"/>
  <c r="T48" i="2"/>
  <c r="AX48" i="2"/>
  <c r="AJ48" i="2"/>
  <c r="AM48" i="2"/>
  <c r="X48" i="2"/>
  <c r="W48" i="2"/>
  <c r="BC48" i="2"/>
  <c r="AP48" i="2"/>
  <c r="BD48" i="2"/>
  <c r="V48" i="2"/>
  <c r="B48" i="2"/>
  <c r="AG48" i="2"/>
  <c r="E26" i="11"/>
  <c r="AA26" i="11"/>
  <c r="AC26" i="11"/>
  <c r="AD26" i="11"/>
  <c r="Z26" i="11"/>
  <c r="AH26" i="11"/>
  <c r="AS26" i="11"/>
  <c r="AK26" i="11"/>
  <c r="AG26" i="11"/>
  <c r="K26" i="11"/>
  <c r="C26" i="11"/>
  <c r="AU26" i="11"/>
  <c r="AN26" i="11"/>
  <c r="L26" i="11"/>
  <c r="AB26" i="11"/>
  <c r="AT26" i="11"/>
  <c r="AZ26" i="11"/>
  <c r="AE26" i="11"/>
  <c r="J26" i="11"/>
  <c r="AV26" i="11"/>
  <c r="U26" i="11"/>
  <c r="W26" i="11"/>
  <c r="BD26" i="11"/>
  <c r="AY26" i="11"/>
  <c r="BE26" i="11"/>
  <c r="AW26" i="11"/>
  <c r="AR26" i="11"/>
  <c r="S26" i="11"/>
  <c r="M26" i="11"/>
  <c r="Y26" i="11"/>
  <c r="AP26" i="11"/>
  <c r="AF26" i="11"/>
  <c r="BF26" i="11"/>
  <c r="BB26" i="11"/>
  <c r="AL26" i="11"/>
  <c r="V26" i="11"/>
  <c r="AI26" i="11"/>
  <c r="O26" i="11"/>
  <c r="AJ26" i="11"/>
  <c r="AM26" i="11"/>
  <c r="AX26" i="11"/>
  <c r="AQ26" i="11"/>
  <c r="P26" i="11"/>
  <c r="T26" i="11"/>
  <c r="Q26" i="11"/>
  <c r="AO26" i="11"/>
  <c r="BC26" i="11"/>
  <c r="R26" i="11"/>
  <c r="X26" i="11"/>
  <c r="D26" i="11"/>
  <c r="N26" i="11"/>
  <c r="H26" i="11"/>
  <c r="B26" i="11"/>
  <c r="BA26" i="11"/>
  <c r="AT51" i="10"/>
  <c r="M51" i="10"/>
  <c r="AK51" i="10"/>
  <c r="AC51" i="10"/>
  <c r="AO51" i="10"/>
  <c r="AL51" i="10"/>
  <c r="BB51" i="10"/>
  <c r="AB51" i="10"/>
  <c r="D51" i="10"/>
  <c r="BE51" i="10"/>
  <c r="AU51" i="10"/>
  <c r="AF51" i="10"/>
  <c r="AG51" i="10"/>
  <c r="AE51" i="10"/>
  <c r="Z51" i="10"/>
  <c r="U51" i="10"/>
  <c r="AX51" i="10"/>
  <c r="BC51" i="10"/>
  <c r="AW51" i="10"/>
  <c r="S51" i="10"/>
  <c r="AN51" i="10"/>
  <c r="L51" i="10"/>
  <c r="R51" i="10"/>
  <c r="J51" i="10"/>
  <c r="X51" i="10"/>
  <c r="Y51" i="10"/>
  <c r="W51" i="10"/>
  <c r="Q51" i="10"/>
  <c r="T51" i="10"/>
  <c r="AP51" i="10"/>
  <c r="AH51" i="10"/>
  <c r="AD51" i="10"/>
  <c r="AJ51" i="10"/>
  <c r="AA51" i="10"/>
  <c r="K51" i="10"/>
  <c r="H51" i="10"/>
  <c r="BD51" i="10"/>
  <c r="AS51" i="10"/>
  <c r="AR51" i="10"/>
  <c r="O51" i="10"/>
  <c r="AY51" i="10"/>
  <c r="AZ51" i="10"/>
  <c r="BF51" i="10"/>
  <c r="V51" i="10"/>
  <c r="AM51" i="10"/>
  <c r="BA51" i="10"/>
  <c r="AQ51" i="10"/>
  <c r="AI51" i="10"/>
  <c r="P51" i="10"/>
  <c r="E51" i="10"/>
  <c r="AV51" i="10"/>
  <c r="N51" i="10"/>
  <c r="B51" i="10"/>
  <c r="C51" i="10"/>
  <c r="BD38" i="9"/>
  <c r="S38" i="9"/>
  <c r="L38" i="9"/>
  <c r="AU38" i="9"/>
  <c r="BC38" i="9"/>
  <c r="C38" i="9"/>
  <c r="AT38" i="9"/>
  <c r="AK38" i="9"/>
  <c r="AV38" i="9"/>
  <c r="AP38" i="9"/>
  <c r="AC38" i="9"/>
  <c r="N38" i="9"/>
  <c r="BF38" i="9"/>
  <c r="D38" i="9"/>
  <c r="U38" i="9"/>
  <c r="AN38" i="9"/>
  <c r="AA38" i="9"/>
  <c r="AQ38" i="9"/>
  <c r="AW38" i="9"/>
  <c r="AH38" i="9"/>
  <c r="K38" i="9"/>
  <c r="AR38" i="9"/>
  <c r="AD38" i="9"/>
  <c r="AF38" i="9"/>
  <c r="E38" i="9"/>
  <c r="P38" i="9"/>
  <c r="R38" i="9"/>
  <c r="AY38" i="9"/>
  <c r="W38" i="9"/>
  <c r="M38" i="9"/>
  <c r="BE38" i="9"/>
  <c r="AM38" i="9"/>
  <c r="AZ38" i="9"/>
  <c r="O38" i="9"/>
  <c r="Z38" i="9"/>
  <c r="AG38" i="9"/>
  <c r="T38" i="9"/>
  <c r="AO38" i="9"/>
  <c r="AI38" i="9"/>
  <c r="Y38" i="9"/>
  <c r="BB38" i="9"/>
  <c r="AE38" i="9"/>
  <c r="AL38" i="9"/>
  <c r="V38" i="9"/>
  <c r="X38" i="9"/>
  <c r="H38" i="9"/>
  <c r="J38" i="9"/>
  <c r="AB38" i="9"/>
  <c r="Q38" i="9"/>
  <c r="BA38" i="9"/>
  <c r="AJ38" i="9"/>
  <c r="AS38" i="9"/>
  <c r="B38" i="9"/>
  <c r="AX38" i="9"/>
  <c r="R15" i="11"/>
  <c r="BF15" i="11"/>
  <c r="W15" i="11"/>
  <c r="H15" i="11"/>
  <c r="Y15" i="11"/>
  <c r="AZ15" i="11"/>
  <c r="X15" i="11"/>
  <c r="T15" i="11"/>
  <c r="AL15" i="11"/>
  <c r="V15" i="11"/>
  <c r="AE15" i="11"/>
  <c r="AV15" i="11"/>
  <c r="D15" i="11"/>
  <c r="AM15" i="11"/>
  <c r="AC15" i="11"/>
  <c r="AF15" i="11"/>
  <c r="AT15" i="11"/>
  <c r="M15" i="11"/>
  <c r="Z15" i="11"/>
  <c r="U15" i="11"/>
  <c r="AY15" i="11"/>
  <c r="Q15" i="11"/>
  <c r="BA15" i="11"/>
  <c r="AO15" i="11"/>
  <c r="AP15" i="11"/>
  <c r="AH15" i="11"/>
  <c r="J15" i="11"/>
  <c r="AN15" i="11"/>
  <c r="K15" i="11"/>
  <c r="AA15" i="11"/>
  <c r="AR15" i="11"/>
  <c r="L15" i="11"/>
  <c r="O15" i="11"/>
  <c r="AJ15" i="11"/>
  <c r="N15" i="11"/>
  <c r="AG15" i="11"/>
  <c r="AI15" i="11"/>
  <c r="C15" i="11"/>
  <c r="AB15" i="11"/>
  <c r="AS15" i="11"/>
  <c r="P15" i="11"/>
  <c r="BC15" i="11"/>
  <c r="AQ15" i="11"/>
  <c r="BB15" i="11"/>
  <c r="AK15" i="11"/>
  <c r="AX15" i="11"/>
  <c r="S15" i="11"/>
  <c r="BD15" i="11"/>
  <c r="AW15" i="11"/>
  <c r="AU15" i="11"/>
  <c r="BE15" i="11"/>
  <c r="AD15" i="11"/>
  <c r="B15" i="11"/>
  <c r="E15" i="11"/>
  <c r="AP6" i="9"/>
  <c r="M6" i="9"/>
  <c r="BA6" i="9"/>
  <c r="BD6" i="9"/>
  <c r="AC6" i="9"/>
  <c r="AD6" i="9"/>
  <c r="AI6" i="9"/>
  <c r="P6" i="9"/>
  <c r="AV6" i="9"/>
  <c r="AY6" i="9"/>
  <c r="R6" i="9"/>
  <c r="C6" i="9"/>
  <c r="AM6" i="9"/>
  <c r="N6" i="9"/>
  <c r="BE6" i="9"/>
  <c r="AL6" i="9"/>
  <c r="AT6" i="9"/>
  <c r="Y6" i="9"/>
  <c r="H6" i="9"/>
  <c r="D6" i="9"/>
  <c r="AB6" i="9"/>
  <c r="O6" i="9"/>
  <c r="W6" i="9"/>
  <c r="U6" i="9"/>
  <c r="AJ6" i="9"/>
  <c r="BB6" i="9"/>
  <c r="AS6" i="9"/>
  <c r="AR6" i="9"/>
  <c r="AN6" i="9"/>
  <c r="BC6" i="9"/>
  <c r="AF6" i="9"/>
  <c r="T6" i="9"/>
  <c r="AO6" i="9"/>
  <c r="AQ6" i="9"/>
  <c r="AH6" i="9"/>
  <c r="J6" i="9"/>
  <c r="K6" i="9"/>
  <c r="Z6" i="9"/>
  <c r="L6" i="9"/>
  <c r="AG6" i="9"/>
  <c r="V6" i="9"/>
  <c r="E6" i="9"/>
  <c r="AU6" i="9"/>
  <c r="AK6" i="9"/>
  <c r="AZ6" i="9"/>
  <c r="AX6" i="9"/>
  <c r="S6" i="9"/>
  <c r="X6" i="9"/>
  <c r="AW6" i="9"/>
  <c r="BF6" i="9"/>
  <c r="Q6" i="9"/>
  <c r="AE6" i="9"/>
  <c r="AA6" i="9"/>
  <c r="H28" i="11"/>
  <c r="AS28" i="11"/>
  <c r="O28" i="11"/>
  <c r="AH28" i="11"/>
  <c r="BB28" i="11"/>
  <c r="AG28" i="11"/>
  <c r="AM28" i="11"/>
  <c r="AU28" i="11"/>
  <c r="BD28" i="11"/>
  <c r="AZ28" i="11"/>
  <c r="X28" i="11"/>
  <c r="P28" i="11"/>
  <c r="V28" i="11"/>
  <c r="S28" i="11"/>
  <c r="E28" i="11"/>
  <c r="AE28" i="11"/>
  <c r="R28" i="11"/>
  <c r="AC28" i="11"/>
  <c r="AD28" i="11"/>
  <c r="L28" i="11"/>
  <c r="T28" i="11"/>
  <c r="C28" i="11"/>
  <c r="AQ28" i="11"/>
  <c r="AT28" i="11"/>
  <c r="BC28" i="11"/>
  <c r="AA28" i="11"/>
  <c r="Y28" i="11"/>
  <c r="W28" i="11"/>
  <c r="AP28" i="11"/>
  <c r="Q28" i="11"/>
  <c r="BA28" i="11"/>
  <c r="Z28" i="11"/>
  <c r="AF28" i="11"/>
  <c r="J28" i="11"/>
  <c r="K28" i="11"/>
  <c r="AY28" i="11"/>
  <c r="AI28" i="11"/>
  <c r="AB28" i="11"/>
  <c r="AJ28" i="11"/>
  <c r="BE28" i="11"/>
  <c r="AL28" i="11"/>
  <c r="AR28" i="11"/>
  <c r="M28" i="11"/>
  <c r="D28" i="11"/>
  <c r="AW28" i="11"/>
  <c r="BF28" i="11"/>
  <c r="U28" i="11"/>
  <c r="AV28" i="11"/>
  <c r="AN28" i="11"/>
  <c r="N28" i="11"/>
  <c r="AK28" i="11"/>
  <c r="AX28" i="11"/>
  <c r="B28" i="11"/>
  <c r="AO28" i="11"/>
  <c r="E27" i="11"/>
  <c r="Q27" i="11"/>
  <c r="AS27" i="11"/>
  <c r="V27" i="11"/>
  <c r="AK27" i="11"/>
  <c r="S27" i="11"/>
  <c r="BB27" i="11"/>
  <c r="AM27" i="11"/>
  <c r="BE27" i="11"/>
  <c r="W27" i="11"/>
  <c r="H27" i="11"/>
  <c r="AA27" i="11"/>
  <c r="U27" i="11"/>
  <c r="AQ27" i="11"/>
  <c r="BD27" i="11"/>
  <c r="K27" i="11"/>
  <c r="AT27" i="11"/>
  <c r="AH27" i="11"/>
  <c r="AL27" i="11"/>
  <c r="BC27" i="11"/>
  <c r="AB27" i="11"/>
  <c r="R27" i="11"/>
  <c r="AU27" i="11"/>
  <c r="AN27" i="11"/>
  <c r="BF27" i="11"/>
  <c r="AC27" i="11"/>
  <c r="D27" i="11"/>
  <c r="X27" i="11"/>
  <c r="AJ27" i="11"/>
  <c r="AG27" i="11"/>
  <c r="T27" i="11"/>
  <c r="L27" i="11"/>
  <c r="AW27" i="11"/>
  <c r="BA27" i="11"/>
  <c r="AP27" i="11"/>
  <c r="Z27" i="11"/>
  <c r="AY27" i="11"/>
  <c r="O27" i="11"/>
  <c r="N27" i="11"/>
  <c r="AI27" i="11"/>
  <c r="AF27" i="11"/>
  <c r="M27" i="11"/>
  <c r="AO27" i="11"/>
  <c r="AX27" i="11"/>
  <c r="C27" i="11"/>
  <c r="AD27" i="11"/>
  <c r="P27" i="11"/>
  <c r="AE27" i="11"/>
  <c r="J27" i="11"/>
  <c r="AR27" i="11"/>
  <c r="AZ27" i="11"/>
  <c r="Y27" i="11"/>
  <c r="B27" i="11"/>
  <c r="AV27" i="11"/>
  <c r="AT51" i="11"/>
  <c r="BC51" i="11"/>
  <c r="U51" i="11"/>
  <c r="AR51" i="11"/>
  <c r="Z51" i="11"/>
  <c r="AB51" i="11"/>
  <c r="P51" i="11"/>
  <c r="M51" i="11"/>
  <c r="AX51" i="11"/>
  <c r="AH51" i="11"/>
  <c r="Y51" i="11"/>
  <c r="AF51" i="11"/>
  <c r="AK51" i="11"/>
  <c r="AU51" i="11"/>
  <c r="AG51" i="11"/>
  <c r="AM51" i="11"/>
  <c r="E51" i="11"/>
  <c r="O51" i="11"/>
  <c r="BF51" i="11"/>
  <c r="AS51" i="11"/>
  <c r="AA51" i="11"/>
  <c r="Q51" i="11"/>
  <c r="BE51" i="11"/>
  <c r="AN51" i="11"/>
  <c r="H51" i="11"/>
  <c r="AC51" i="11"/>
  <c r="W51" i="11"/>
  <c r="BB51" i="11"/>
  <c r="J51" i="11"/>
  <c r="S51" i="11"/>
  <c r="L51" i="11"/>
  <c r="X51" i="11"/>
  <c r="BD51" i="11"/>
  <c r="AO51" i="11"/>
  <c r="N51" i="11"/>
  <c r="C51" i="11"/>
  <c r="T51" i="11"/>
  <c r="BA51" i="11"/>
  <c r="R51" i="11"/>
  <c r="D51" i="11"/>
  <c r="AL51" i="11"/>
  <c r="AY51" i="11"/>
  <c r="K51" i="11"/>
  <c r="AP51" i="11"/>
  <c r="AJ51" i="11"/>
  <c r="AD51" i="11"/>
  <c r="V51" i="11"/>
  <c r="AQ51" i="11"/>
  <c r="AZ51" i="11"/>
  <c r="AE51" i="11"/>
  <c r="AI51" i="11"/>
  <c r="AV51" i="11"/>
  <c r="B51" i="11"/>
  <c r="AW51" i="11"/>
  <c r="E46" i="11"/>
  <c r="AE46" i="11"/>
  <c r="P46" i="11"/>
  <c r="R46" i="11"/>
  <c r="Q46" i="11"/>
  <c r="AA46" i="11"/>
  <c r="L46" i="11"/>
  <c r="AX46" i="11"/>
  <c r="BB46" i="11"/>
  <c r="AT46" i="11"/>
  <c r="AH46" i="11"/>
  <c r="H46" i="11"/>
  <c r="O46" i="11"/>
  <c r="N46" i="11"/>
  <c r="M46" i="11"/>
  <c r="V46" i="11"/>
  <c r="AG46" i="11"/>
  <c r="AZ46" i="11"/>
  <c r="AF46" i="11"/>
  <c r="AR46" i="11"/>
  <c r="AQ46" i="11"/>
  <c r="S46" i="11"/>
  <c r="Y46" i="11"/>
  <c r="AP46" i="11"/>
  <c r="AM46" i="11"/>
  <c r="AJ46" i="11"/>
  <c r="Z46" i="11"/>
  <c r="C46" i="11"/>
  <c r="AN46" i="11"/>
  <c r="AU46" i="11"/>
  <c r="BA46" i="11"/>
  <c r="U46" i="11"/>
  <c r="X46" i="11"/>
  <c r="D46" i="11"/>
  <c r="AD46" i="11"/>
  <c r="AB46" i="11"/>
  <c r="AL46" i="11"/>
  <c r="AO46" i="11"/>
  <c r="BF46" i="11"/>
  <c r="AK46" i="11"/>
  <c r="K46" i="11"/>
  <c r="AS46" i="11"/>
  <c r="AC46" i="11"/>
  <c r="T46" i="11"/>
  <c r="AY46" i="11"/>
  <c r="J46" i="11"/>
  <c r="BD46" i="11"/>
  <c r="AI46" i="11"/>
  <c r="BC46" i="11"/>
  <c r="AV46" i="11"/>
  <c r="BE46" i="11"/>
  <c r="W46" i="11"/>
  <c r="B46" i="11"/>
  <c r="AW46" i="11"/>
  <c r="BF19" i="11"/>
  <c r="AK19" i="11"/>
  <c r="AB19" i="11"/>
  <c r="AS19" i="11"/>
  <c r="X19" i="11"/>
  <c r="AZ19" i="11"/>
  <c r="AL19" i="11"/>
  <c r="R19" i="11"/>
  <c r="AG19" i="11"/>
  <c r="Y19" i="11"/>
  <c r="Q19" i="11"/>
  <c r="AI19" i="11"/>
  <c r="AD19" i="11"/>
  <c r="M19" i="11"/>
  <c r="AV19" i="11"/>
  <c r="J19" i="11"/>
  <c r="AT19" i="11"/>
  <c r="V19" i="11"/>
  <c r="W19" i="11"/>
  <c r="AP19" i="11"/>
  <c r="BE19" i="11"/>
  <c r="AJ19" i="11"/>
  <c r="AM19" i="11"/>
  <c r="BD19" i="11"/>
  <c r="U19" i="11"/>
  <c r="AC19" i="11"/>
  <c r="AA19" i="11"/>
  <c r="L19" i="11"/>
  <c r="AN19" i="11"/>
  <c r="C19" i="11"/>
  <c r="AW19" i="11"/>
  <c r="AX19" i="11"/>
  <c r="AR19" i="11"/>
  <c r="O19" i="11"/>
  <c r="H19" i="11"/>
  <c r="Z19" i="11"/>
  <c r="BA19" i="11"/>
  <c r="N19" i="11"/>
  <c r="P19" i="11"/>
  <c r="AY19" i="11"/>
  <c r="AE19" i="11"/>
  <c r="D19" i="11"/>
  <c r="T19" i="11"/>
  <c r="BC19" i="11"/>
  <c r="AO19" i="11"/>
  <c r="S19" i="11"/>
  <c r="K19" i="11"/>
  <c r="AF19" i="11"/>
  <c r="BB19" i="11"/>
  <c r="AH19" i="11"/>
  <c r="E19" i="11"/>
  <c r="AU19" i="11"/>
  <c r="AQ19" i="11"/>
  <c r="AQ18" i="11"/>
  <c r="M18" i="11"/>
  <c r="N18" i="11"/>
  <c r="AI18" i="11"/>
  <c r="Z18" i="11"/>
  <c r="U18" i="11"/>
  <c r="AE18" i="11"/>
  <c r="AK18" i="11"/>
  <c r="S18" i="11"/>
  <c r="AN18" i="11"/>
  <c r="H18" i="11"/>
  <c r="T18" i="11"/>
  <c r="AL18" i="11"/>
  <c r="Q18" i="11"/>
  <c r="AO18" i="11"/>
  <c r="AU18" i="11"/>
  <c r="AG18" i="11"/>
  <c r="O18" i="11"/>
  <c r="J18" i="11"/>
  <c r="AD18" i="11"/>
  <c r="AY18" i="11"/>
  <c r="AP18" i="11"/>
  <c r="C18" i="11"/>
  <c r="AA18" i="11"/>
  <c r="V18" i="11"/>
  <c r="BA18" i="11"/>
  <c r="P18" i="11"/>
  <c r="K18" i="11"/>
  <c r="AF18" i="11"/>
  <c r="R18" i="11"/>
  <c r="AB18" i="11"/>
  <c r="AZ18" i="11"/>
  <c r="AW18" i="11"/>
  <c r="AH18" i="11"/>
  <c r="AT18" i="11"/>
  <c r="BC18" i="11"/>
  <c r="AJ18" i="11"/>
  <c r="D18" i="11"/>
  <c r="Y18" i="11"/>
  <c r="AM18" i="11"/>
  <c r="BD18" i="11"/>
  <c r="L18" i="11"/>
  <c r="W18" i="11"/>
  <c r="AS18" i="11"/>
  <c r="AV18" i="11"/>
  <c r="AC18" i="11"/>
  <c r="AR18" i="11"/>
  <c r="BB18" i="11"/>
  <c r="BF18" i="11"/>
  <c r="AX18" i="11"/>
  <c r="BE18" i="11"/>
  <c r="X18" i="11"/>
  <c r="B18" i="11"/>
  <c r="E18" i="11"/>
  <c r="AB16" i="11"/>
  <c r="P16" i="11"/>
  <c r="AZ16" i="11"/>
  <c r="E16" i="11"/>
  <c r="N16" i="11"/>
  <c r="BD16" i="11"/>
  <c r="D16" i="11"/>
  <c r="Y16" i="11"/>
  <c r="R16" i="11"/>
  <c r="H16" i="11"/>
  <c r="AQ16" i="11"/>
  <c r="AE16" i="11"/>
  <c r="O16" i="11"/>
  <c r="BF16" i="11"/>
  <c r="AY16" i="11"/>
  <c r="M16" i="11"/>
  <c r="AT16" i="11"/>
  <c r="U16" i="11"/>
  <c r="AG16" i="11"/>
  <c r="Z16" i="11"/>
  <c r="Q16" i="11"/>
  <c r="AU16" i="11"/>
  <c r="AO16" i="11"/>
  <c r="V16" i="11"/>
  <c r="BA16" i="11"/>
  <c r="AN16" i="11"/>
  <c r="J16" i="11"/>
  <c r="AI16" i="11"/>
  <c r="BE16" i="11"/>
  <c r="BC16" i="11"/>
  <c r="C16" i="11"/>
  <c r="S16" i="11"/>
  <c r="AA16" i="11"/>
  <c r="AM16" i="11"/>
  <c r="AX16" i="11"/>
  <c r="AK16" i="11"/>
  <c r="AC16" i="11"/>
  <c r="AS16" i="11"/>
  <c r="AJ16" i="11"/>
  <c r="AP16" i="11"/>
  <c r="X16" i="11"/>
  <c r="AD16" i="11"/>
  <c r="T16" i="11"/>
  <c r="L16" i="11"/>
  <c r="AF16" i="11"/>
  <c r="BB16" i="11"/>
  <c r="AV16" i="11"/>
  <c r="AR16" i="11"/>
  <c r="AH16" i="11"/>
  <c r="AL16" i="11"/>
  <c r="K16" i="11"/>
  <c r="W16" i="11"/>
  <c r="B16" i="11"/>
  <c r="AW16" i="11"/>
  <c r="R16" i="1"/>
  <c r="AK16" i="1"/>
  <c r="AV16" i="1"/>
  <c r="C16" i="1"/>
  <c r="AL16" i="1"/>
  <c r="AO16" i="1"/>
  <c r="AU16" i="1"/>
  <c r="K16" i="1"/>
  <c r="AJ16" i="1"/>
  <c r="AQ16" i="1"/>
  <c r="AI16" i="1"/>
  <c r="AR16" i="1"/>
  <c r="AG16" i="1"/>
  <c r="Z16" i="1"/>
  <c r="L16" i="1"/>
  <c r="BA16" i="1"/>
  <c r="BB16" i="1"/>
  <c r="V16" i="1"/>
  <c r="Q16" i="1"/>
  <c r="AW16" i="1"/>
  <c r="H16" i="1"/>
  <c r="AC16" i="1"/>
  <c r="AH16" i="1"/>
  <c r="AE16" i="1"/>
  <c r="W16" i="1"/>
  <c r="E16" i="1"/>
  <c r="X16" i="1"/>
  <c r="AN16" i="1"/>
  <c r="T16" i="1"/>
  <c r="AA16" i="1"/>
  <c r="AP16" i="1"/>
  <c r="AY16" i="1"/>
  <c r="O16" i="1"/>
  <c r="S16" i="1"/>
  <c r="AF16" i="1"/>
  <c r="M16" i="1"/>
  <c r="BF16" i="1"/>
  <c r="AZ16" i="1"/>
  <c r="BE16" i="1"/>
  <c r="AM16" i="1"/>
  <c r="D16" i="1"/>
  <c r="AX16" i="1"/>
  <c r="AD16" i="1"/>
  <c r="Y16" i="1"/>
  <c r="AS16" i="1"/>
  <c r="AT16" i="1"/>
  <c r="BC16" i="1"/>
  <c r="J16" i="1"/>
  <c r="BD16" i="1"/>
  <c r="P16" i="1"/>
  <c r="N16" i="1"/>
  <c r="U16" i="1"/>
  <c r="B16" i="1"/>
  <c r="AB16" i="1"/>
  <c r="AW22" i="10"/>
  <c r="Q22" i="10"/>
  <c r="D22" i="10"/>
  <c r="AA22" i="10"/>
  <c r="Z22" i="10"/>
  <c r="AX22" i="10"/>
  <c r="S22" i="10"/>
  <c r="W22" i="10"/>
  <c r="AU22" i="10"/>
  <c r="AH22" i="10"/>
  <c r="X22" i="10"/>
  <c r="BA22" i="10"/>
  <c r="AK22" i="10"/>
  <c r="R22" i="10"/>
  <c r="N22" i="10"/>
  <c r="AS22" i="10"/>
  <c r="K22" i="10"/>
  <c r="V22" i="10"/>
  <c r="AI22" i="10"/>
  <c r="AJ22" i="10"/>
  <c r="AT22" i="10"/>
  <c r="AR22" i="10"/>
  <c r="U22" i="10"/>
  <c r="BB22" i="10"/>
  <c r="AZ22" i="10"/>
  <c r="Y22" i="10"/>
  <c r="T22" i="10"/>
  <c r="AL22" i="10"/>
  <c r="BC22" i="10"/>
  <c r="L22" i="10"/>
  <c r="AP22" i="10"/>
  <c r="AM22" i="10"/>
  <c r="AN22" i="10"/>
  <c r="M22" i="10"/>
  <c r="BE22" i="10"/>
  <c r="H22" i="10"/>
  <c r="P22" i="10"/>
  <c r="AO22" i="10"/>
  <c r="O22" i="10"/>
  <c r="J22" i="10"/>
  <c r="E22" i="10"/>
  <c r="C22" i="10"/>
  <c r="AY22" i="10"/>
  <c r="AG22" i="10"/>
  <c r="AD22" i="10"/>
  <c r="AQ22" i="10"/>
  <c r="AF22" i="10"/>
  <c r="AE22" i="10"/>
  <c r="AB22" i="10"/>
  <c r="AC22" i="10"/>
  <c r="AV22" i="10"/>
  <c r="BD22" i="10"/>
  <c r="B22" i="10"/>
  <c r="BF22" i="10"/>
  <c r="AO39" i="1"/>
  <c r="BF39" i="1"/>
  <c r="AB39" i="1"/>
  <c r="K39" i="1"/>
  <c r="AN39" i="1"/>
  <c r="AY39" i="1"/>
  <c r="AQ39" i="1"/>
  <c r="AM39" i="1"/>
  <c r="AZ39" i="1"/>
  <c r="AS39" i="1"/>
  <c r="M39" i="1"/>
  <c r="AH39" i="1"/>
  <c r="AJ39" i="1"/>
  <c r="S39" i="1"/>
  <c r="Q39" i="1"/>
  <c r="AD39" i="1"/>
  <c r="J39" i="1"/>
  <c r="BC39" i="1"/>
  <c r="Y39" i="1"/>
  <c r="X39" i="1"/>
  <c r="E39" i="1"/>
  <c r="C39" i="1"/>
  <c r="BA39" i="1"/>
  <c r="AU39" i="1"/>
  <c r="O39" i="1"/>
  <c r="Z39" i="1"/>
  <c r="N39" i="1"/>
  <c r="T39" i="1"/>
  <c r="AL39" i="1"/>
  <c r="P39" i="1"/>
  <c r="BD39" i="1"/>
  <c r="AI39" i="1"/>
  <c r="AR39" i="1"/>
  <c r="BE39" i="1"/>
  <c r="AT39" i="1"/>
  <c r="D39" i="1"/>
  <c r="U39" i="1"/>
  <c r="AV39" i="1"/>
  <c r="AX39" i="1"/>
  <c r="W39" i="1"/>
  <c r="AF39" i="1"/>
  <c r="AG39" i="1"/>
  <c r="L39" i="1"/>
  <c r="AW39" i="1"/>
  <c r="V39" i="1"/>
  <c r="AA39" i="1"/>
  <c r="R39" i="1"/>
  <c r="AP39" i="1"/>
  <c r="BB39" i="1"/>
  <c r="AE39" i="1"/>
  <c r="H39" i="1"/>
  <c r="AC39" i="1"/>
  <c r="B39" i="1"/>
  <c r="AK39" i="1"/>
  <c r="L9" i="11"/>
  <c r="AM9" i="11"/>
  <c r="AD9" i="11"/>
  <c r="AQ9" i="11"/>
  <c r="AE9" i="11"/>
  <c r="BA9" i="11"/>
  <c r="AG9" i="11"/>
  <c r="E9" i="11"/>
  <c r="AU9" i="11"/>
  <c r="BC9" i="11"/>
  <c r="P9" i="11"/>
  <c r="AR9" i="11"/>
  <c r="H9" i="11"/>
  <c r="AL9" i="11"/>
  <c r="AB9" i="11"/>
  <c r="AY9" i="11"/>
  <c r="AH9" i="11"/>
  <c r="R9" i="11"/>
  <c r="K9" i="11"/>
  <c r="O9" i="11"/>
  <c r="Q9" i="11"/>
  <c r="C9" i="11"/>
  <c r="D9" i="11"/>
  <c r="AS9" i="11"/>
  <c r="AT9" i="11"/>
  <c r="BD9" i="11"/>
  <c r="N9" i="11"/>
  <c r="U9" i="11"/>
  <c r="V9" i="11"/>
  <c r="AX9" i="11"/>
  <c r="M9" i="11"/>
  <c r="AF9" i="11"/>
  <c r="AJ9" i="11"/>
  <c r="X9" i="11"/>
  <c r="J9" i="11"/>
  <c r="AA9" i="11"/>
  <c r="AN9" i="11"/>
  <c r="AW9" i="11"/>
  <c r="W9" i="11"/>
  <c r="AI9" i="11"/>
  <c r="AC9" i="11"/>
  <c r="Y9" i="11"/>
  <c r="BF9" i="11"/>
  <c r="AV9" i="11"/>
  <c r="AP9" i="11"/>
  <c r="BB9" i="11"/>
  <c r="S9" i="11"/>
  <c r="BE9" i="11"/>
  <c r="Z9" i="11"/>
  <c r="AO9" i="11"/>
  <c r="AK9" i="11"/>
  <c r="T9" i="11"/>
  <c r="B9" i="11"/>
  <c r="AZ9" i="11"/>
  <c r="AC26" i="5"/>
  <c r="AU26" i="5"/>
  <c r="AY26" i="5"/>
  <c r="AT26" i="5"/>
  <c r="AN26" i="5"/>
  <c r="R26" i="5"/>
  <c r="D26" i="5"/>
  <c r="AO26" i="5"/>
  <c r="Z26" i="5"/>
  <c r="BB26" i="5"/>
  <c r="N26" i="5"/>
  <c r="U26" i="5"/>
  <c r="AE26" i="5"/>
  <c r="AV26" i="5"/>
  <c r="T26" i="5"/>
  <c r="AG26" i="5"/>
  <c r="V26" i="5"/>
  <c r="P26" i="5"/>
  <c r="AH26" i="5"/>
  <c r="AX26" i="5"/>
  <c r="Y26" i="5"/>
  <c r="AK26" i="5"/>
  <c r="K26" i="5"/>
  <c r="AS26" i="5"/>
  <c r="AP26" i="5"/>
  <c r="AJ26" i="5"/>
  <c r="H26" i="5"/>
  <c r="AD26" i="5"/>
  <c r="AQ26" i="5"/>
  <c r="C26" i="5"/>
  <c r="X26" i="5"/>
  <c r="AZ26" i="5"/>
  <c r="BF26" i="5"/>
  <c r="AM26" i="5"/>
  <c r="Q26" i="5"/>
  <c r="J26" i="5"/>
  <c r="AR26" i="5"/>
  <c r="E26" i="5"/>
  <c r="AB26" i="5"/>
  <c r="W26" i="5"/>
  <c r="AI26" i="5"/>
  <c r="M26" i="5"/>
  <c r="AL26" i="5"/>
  <c r="S26" i="5"/>
  <c r="O26" i="5"/>
  <c r="BA26" i="5"/>
  <c r="BD26" i="5"/>
  <c r="L26" i="5"/>
  <c r="BC26" i="5"/>
  <c r="AA26" i="5"/>
  <c r="AF26" i="5"/>
  <c r="AW26" i="5"/>
  <c r="B26" i="5"/>
  <c r="BE26" i="5"/>
  <c r="I46" i="5"/>
  <c r="G46" i="5"/>
  <c r="F46" i="5"/>
  <c r="AF42" i="10"/>
  <c r="AY42" i="10"/>
  <c r="AK42" i="10"/>
  <c r="AP42" i="10"/>
  <c r="R42" i="10"/>
  <c r="C42" i="10"/>
  <c r="AC42" i="10"/>
  <c r="N42" i="10"/>
  <c r="L42" i="10"/>
  <c r="T42" i="10"/>
  <c r="BD42" i="10"/>
  <c r="AV42" i="10"/>
  <c r="BA42" i="10"/>
  <c r="AG42" i="10"/>
  <c r="AJ42" i="10"/>
  <c r="J42" i="10"/>
  <c r="AE42" i="10"/>
  <c r="BE42" i="10"/>
  <c r="AA42" i="10"/>
  <c r="AW42" i="10"/>
  <c r="AD42" i="10"/>
  <c r="AB42" i="10"/>
  <c r="W42" i="10"/>
  <c r="V42" i="10"/>
  <c r="AI42" i="10"/>
  <c r="AR42" i="10"/>
  <c r="AH42" i="10"/>
  <c r="P42" i="10"/>
  <c r="AZ42" i="10"/>
  <c r="BF42" i="10"/>
  <c r="Y42" i="10"/>
  <c r="H42" i="10"/>
  <c r="K42" i="10"/>
  <c r="AU42" i="10"/>
  <c r="AT42" i="10"/>
  <c r="BB42" i="10"/>
  <c r="U42" i="10"/>
  <c r="AO42" i="10"/>
  <c r="AQ42" i="10"/>
  <c r="BC42" i="10"/>
  <c r="Q42" i="10"/>
  <c r="M42" i="10"/>
  <c r="S42" i="10"/>
  <c r="Z42" i="10"/>
  <c r="O42" i="10"/>
  <c r="AM42" i="10"/>
  <c r="AX42" i="10"/>
  <c r="AL42" i="10"/>
  <c r="D42" i="10"/>
  <c r="E42" i="10"/>
  <c r="AN42" i="10"/>
  <c r="X42" i="10"/>
  <c r="B42" i="10"/>
  <c r="AS42" i="10"/>
  <c r="AJ24" i="7"/>
  <c r="K24" i="7"/>
  <c r="U24" i="7"/>
  <c r="Y24" i="7"/>
  <c r="AH24" i="7"/>
  <c r="AF24" i="7"/>
  <c r="Q24" i="7"/>
  <c r="AA24" i="7"/>
  <c r="BB24" i="7"/>
  <c r="AL24" i="7"/>
  <c r="AS24" i="7"/>
  <c r="AC24" i="7"/>
  <c r="T24" i="7"/>
  <c r="AX24" i="7"/>
  <c r="V24" i="7"/>
  <c r="W24" i="7"/>
  <c r="N24" i="7"/>
  <c r="P24" i="7"/>
  <c r="AZ24" i="7"/>
  <c r="L24" i="7"/>
  <c r="O24" i="7"/>
  <c r="H24" i="7"/>
  <c r="AO24" i="7"/>
  <c r="BC24" i="7"/>
  <c r="X24" i="7"/>
  <c r="AW24" i="7"/>
  <c r="S24" i="7"/>
  <c r="AK24" i="7"/>
  <c r="AV24" i="7"/>
  <c r="E24" i="7"/>
  <c r="AB24" i="7"/>
  <c r="AP24" i="7"/>
  <c r="AR24" i="7"/>
  <c r="AD24" i="7"/>
  <c r="R24" i="7"/>
  <c r="AM24" i="7"/>
  <c r="AI24" i="7"/>
  <c r="Z24" i="7"/>
  <c r="BE24" i="7"/>
  <c r="AE24" i="7"/>
  <c r="AY24" i="7"/>
  <c r="M24" i="7"/>
  <c r="C24" i="7"/>
  <c r="AG24" i="7"/>
  <c r="D24" i="7"/>
  <c r="BF24" i="7"/>
  <c r="BD24" i="7"/>
  <c r="AT24" i="7"/>
  <c r="AN24" i="7"/>
  <c r="BA24" i="7"/>
  <c r="J24" i="7"/>
  <c r="AU24" i="7"/>
  <c r="B24" i="7"/>
  <c r="AQ24" i="7"/>
  <c r="N30" i="10"/>
  <c r="D30" i="10"/>
  <c r="O30" i="10"/>
  <c r="S30" i="10"/>
  <c r="AJ30" i="10"/>
  <c r="AA30" i="10"/>
  <c r="AI30" i="10"/>
  <c r="AL30" i="10"/>
  <c r="AN30" i="10"/>
  <c r="Z30" i="10"/>
  <c r="AC30" i="10"/>
  <c r="E30" i="10"/>
  <c r="AE30" i="10"/>
  <c r="AZ30" i="10"/>
  <c r="U30" i="10"/>
  <c r="X30" i="10"/>
  <c r="AU30" i="10"/>
  <c r="AK30" i="10"/>
  <c r="BF30" i="10"/>
  <c r="W30" i="10"/>
  <c r="AG30" i="10"/>
  <c r="BA30" i="10"/>
  <c r="T30" i="10"/>
  <c r="AD30" i="10"/>
  <c r="AB30" i="10"/>
  <c r="V30" i="10"/>
  <c r="AX30" i="10"/>
  <c r="R30" i="10"/>
  <c r="AR30" i="10"/>
  <c r="AS30" i="10"/>
  <c r="M30" i="10"/>
  <c r="AP30" i="10"/>
  <c r="L30" i="10"/>
  <c r="AQ30" i="10"/>
  <c r="C30" i="10"/>
  <c r="H30" i="10"/>
  <c r="AO30" i="10"/>
  <c r="AV30" i="10"/>
  <c r="AH30" i="10"/>
  <c r="BE30" i="10"/>
  <c r="AW30" i="10"/>
  <c r="BC30" i="10"/>
  <c r="AM30" i="10"/>
  <c r="J30" i="10"/>
  <c r="AY30" i="10"/>
  <c r="BB30" i="10"/>
  <c r="Q30" i="10"/>
  <c r="Y30" i="10"/>
  <c r="AT30" i="10"/>
  <c r="K30" i="10"/>
  <c r="P30" i="10"/>
  <c r="BD30" i="10"/>
  <c r="B30" i="10"/>
  <c r="AF30" i="10"/>
  <c r="S47" i="9"/>
  <c r="C47" i="9"/>
  <c r="E47" i="9"/>
  <c r="D47" i="9"/>
  <c r="AC47" i="9"/>
  <c r="J47" i="9"/>
  <c r="U47" i="9"/>
  <c r="H47" i="9"/>
  <c r="AP47" i="9"/>
  <c r="AO47" i="9"/>
  <c r="AQ47" i="9"/>
  <c r="AY47" i="9"/>
  <c r="L47" i="9"/>
  <c r="AL47" i="9"/>
  <c r="M47" i="9"/>
  <c r="P47" i="9"/>
  <c r="AV47" i="9"/>
  <c r="AM47" i="9"/>
  <c r="AJ47" i="9"/>
  <c r="AW47" i="9"/>
  <c r="AI47" i="9"/>
  <c r="T47" i="9"/>
  <c r="BD47" i="9"/>
  <c r="BF47" i="9"/>
  <c r="BB47" i="9"/>
  <c r="O47" i="9"/>
  <c r="AX47" i="9"/>
  <c r="AK47" i="9"/>
  <c r="AZ47" i="9"/>
  <c r="R47" i="9"/>
  <c r="AG47" i="9"/>
  <c r="BC47" i="9"/>
  <c r="AS47" i="9"/>
  <c r="AF47" i="9"/>
  <c r="AU47" i="9"/>
  <c r="AA47" i="9"/>
  <c r="AD47" i="9"/>
  <c r="V47" i="9"/>
  <c r="BE47" i="9"/>
  <c r="N47" i="9"/>
  <c r="AE47" i="9"/>
  <c r="AB47" i="9"/>
  <c r="AR47" i="9"/>
  <c r="W47" i="9"/>
  <c r="Z47" i="9"/>
  <c r="AH47" i="9"/>
  <c r="Y47" i="9"/>
  <c r="AN47" i="9"/>
  <c r="AT47" i="9"/>
  <c r="BA47" i="9"/>
  <c r="K47" i="9"/>
  <c r="X47" i="9"/>
  <c r="B47" i="9"/>
  <c r="Q47" i="9"/>
  <c r="B37" i="11"/>
  <c r="I37" i="11"/>
  <c r="G37" i="11"/>
  <c r="F37" i="11"/>
  <c r="AO21" i="7"/>
  <c r="AB21" i="7"/>
  <c r="U21" i="7"/>
  <c r="AF21" i="7"/>
  <c r="AI21" i="7"/>
  <c r="BB21" i="7"/>
  <c r="X21" i="7"/>
  <c r="AV21" i="7"/>
  <c r="AU21" i="7"/>
  <c r="O21" i="7"/>
  <c r="BF21" i="7"/>
  <c r="AX21" i="7"/>
  <c r="T21" i="7"/>
  <c r="AR21" i="7"/>
  <c r="AQ21" i="7"/>
  <c r="Z21" i="7"/>
  <c r="AE21" i="7"/>
  <c r="E21" i="7"/>
  <c r="AS21" i="7"/>
  <c r="AJ21" i="7"/>
  <c r="BC21" i="7"/>
  <c r="AZ21" i="7"/>
  <c r="AW21" i="7"/>
  <c r="P21" i="7"/>
  <c r="AG21" i="7"/>
  <c r="K21" i="7"/>
  <c r="AA21" i="7"/>
  <c r="D21" i="7"/>
  <c r="Y21" i="7"/>
  <c r="C21" i="7"/>
  <c r="AP21" i="7"/>
  <c r="AK21" i="7"/>
  <c r="AT21" i="7"/>
  <c r="S21" i="7"/>
  <c r="H21" i="7"/>
  <c r="BE21" i="7"/>
  <c r="AY21" i="7"/>
  <c r="AC21" i="7"/>
  <c r="N21" i="7"/>
  <c r="R21" i="7"/>
  <c r="V21" i="7"/>
  <c r="AL21" i="7"/>
  <c r="BA21" i="7"/>
  <c r="J21" i="7"/>
  <c r="AH21" i="7"/>
  <c r="AD21" i="7"/>
  <c r="W21" i="7"/>
  <c r="BD21" i="7"/>
  <c r="AN21" i="7"/>
  <c r="AM21" i="7"/>
  <c r="Q21" i="7"/>
  <c r="L21" i="7"/>
  <c r="B21" i="7"/>
  <c r="M21" i="7"/>
  <c r="AJ42" i="5"/>
  <c r="J42" i="5"/>
  <c r="AY42" i="5"/>
  <c r="E42" i="5"/>
  <c r="AH42" i="5"/>
  <c r="AI42" i="5"/>
  <c r="X42" i="5"/>
  <c r="AT42" i="5"/>
  <c r="BB42" i="5"/>
  <c r="AM42" i="5"/>
  <c r="AC42" i="5"/>
  <c r="S42" i="5"/>
  <c r="BE42" i="5"/>
  <c r="W42" i="5"/>
  <c r="M42" i="5"/>
  <c r="BD42" i="5"/>
  <c r="L42" i="5"/>
  <c r="AU42" i="5"/>
  <c r="P42" i="5"/>
  <c r="N42" i="5"/>
  <c r="AO42" i="5"/>
  <c r="T42" i="5"/>
  <c r="K42" i="5"/>
  <c r="AE42" i="5"/>
  <c r="C42" i="5"/>
  <c r="AS42" i="5"/>
  <c r="O42" i="5"/>
  <c r="AW42" i="5"/>
  <c r="AG42" i="5"/>
  <c r="BC42" i="5"/>
  <c r="AZ42" i="5"/>
  <c r="D42" i="5"/>
  <c r="AA42" i="5"/>
  <c r="Q42" i="5"/>
  <c r="Y42" i="5"/>
  <c r="BF42" i="5"/>
  <c r="AX42" i="5"/>
  <c r="Z42" i="5"/>
  <c r="H42" i="5"/>
  <c r="AV42" i="5"/>
  <c r="AL42" i="5"/>
  <c r="AD42" i="5"/>
  <c r="V42" i="5"/>
  <c r="AB42" i="5"/>
  <c r="AR42" i="5"/>
  <c r="R42" i="5"/>
  <c r="AK42" i="5"/>
  <c r="AN42" i="5"/>
  <c r="AF42" i="5"/>
  <c r="U42" i="5"/>
  <c r="BA42" i="5"/>
  <c r="AP42" i="5"/>
  <c r="B42" i="5"/>
  <c r="AQ42" i="5"/>
  <c r="AR13" i="11"/>
  <c r="H13" i="11"/>
  <c r="N13" i="11"/>
  <c r="AH13" i="11"/>
  <c r="Q13" i="11"/>
  <c r="V13" i="11"/>
  <c r="AY13" i="11"/>
  <c r="AM13" i="11"/>
  <c r="AN13" i="11"/>
  <c r="AK13" i="11"/>
  <c r="AG13" i="11"/>
  <c r="S13" i="11"/>
  <c r="AZ13" i="11"/>
  <c r="K13" i="11"/>
  <c r="AP13" i="11"/>
  <c r="AB13" i="11"/>
  <c r="AQ13" i="11"/>
  <c r="AS13" i="11"/>
  <c r="AX13" i="11"/>
  <c r="AJ13" i="11"/>
  <c r="J13" i="11"/>
  <c r="AT13" i="11"/>
  <c r="E13" i="11"/>
  <c r="AI13" i="11"/>
  <c r="AA13" i="11"/>
  <c r="BA13" i="11"/>
  <c r="L13" i="11"/>
  <c r="BC13" i="11"/>
  <c r="BE13" i="11"/>
  <c r="AW13" i="11"/>
  <c r="D13" i="11"/>
  <c r="AO13" i="11"/>
  <c r="Z13" i="11"/>
  <c r="AV13" i="11"/>
  <c r="M13" i="11"/>
  <c r="BD13" i="11"/>
  <c r="C13" i="11"/>
  <c r="BF13" i="11"/>
  <c r="Y13" i="11"/>
  <c r="AL13" i="11"/>
  <c r="P13" i="11"/>
  <c r="R13" i="11"/>
  <c r="O13" i="11"/>
  <c r="AC13" i="11"/>
  <c r="X13" i="11"/>
  <c r="T13" i="11"/>
  <c r="W13" i="11"/>
  <c r="AU13" i="11"/>
  <c r="U13" i="11"/>
  <c r="AD13" i="11"/>
  <c r="AF13" i="11"/>
  <c r="BB13" i="11"/>
  <c r="B13" i="11"/>
  <c r="AE13" i="11"/>
  <c r="R10" i="11"/>
  <c r="P10" i="11"/>
  <c r="AR10" i="11"/>
  <c r="AN10" i="11"/>
  <c r="J10" i="11"/>
  <c r="K10" i="11"/>
  <c r="BD10" i="11"/>
  <c r="AI10" i="11"/>
  <c r="AA10" i="11"/>
  <c r="AT10" i="11"/>
  <c r="W10" i="11"/>
  <c r="AB10" i="11"/>
  <c r="BE10" i="11"/>
  <c r="AE10" i="11"/>
  <c r="U10" i="11"/>
  <c r="BC10" i="11"/>
  <c r="E10" i="11"/>
  <c r="AS10" i="11"/>
  <c r="Z10" i="11"/>
  <c r="BA10" i="11"/>
  <c r="Q10" i="11"/>
  <c r="BF10" i="11"/>
  <c r="AQ10" i="11"/>
  <c r="AZ10" i="11"/>
  <c r="AM10" i="11"/>
  <c r="AX10" i="11"/>
  <c r="X10" i="11"/>
  <c r="AJ10" i="11"/>
  <c r="BB10" i="11"/>
  <c r="C10" i="11"/>
  <c r="AV10" i="11"/>
  <c r="AP10" i="11"/>
  <c r="AK10" i="11"/>
  <c r="AU10" i="11"/>
  <c r="AW10" i="11"/>
  <c r="T10" i="11"/>
  <c r="N10" i="11"/>
  <c r="AC10" i="11"/>
  <c r="S10" i="11"/>
  <c r="AY10" i="11"/>
  <c r="AH10" i="11"/>
  <c r="M10" i="11"/>
  <c r="L10" i="11"/>
  <c r="Y10" i="11"/>
  <c r="AF10" i="11"/>
  <c r="H10" i="11"/>
  <c r="D10" i="11"/>
  <c r="AG10" i="11"/>
  <c r="AD10" i="11"/>
  <c r="AO10" i="11"/>
  <c r="O10" i="11"/>
  <c r="V10" i="11"/>
  <c r="B10" i="11"/>
  <c r="AL10" i="11"/>
  <c r="AY6" i="11"/>
  <c r="BE6" i="11"/>
  <c r="AR6" i="11"/>
  <c r="D6" i="11"/>
  <c r="H6" i="11"/>
  <c r="Q6" i="11"/>
  <c r="AK6" i="11"/>
  <c r="X6" i="11"/>
  <c r="AE6" i="11"/>
  <c r="M6" i="11"/>
  <c r="AQ6" i="11"/>
  <c r="AP6" i="11"/>
  <c r="AI6" i="11"/>
  <c r="BC6" i="11"/>
  <c r="AN6" i="11"/>
  <c r="V6" i="11"/>
  <c r="Y6" i="11"/>
  <c r="AZ6" i="11"/>
  <c r="O6" i="11"/>
  <c r="AV6" i="11"/>
  <c r="T6" i="11"/>
  <c r="BB6" i="11"/>
  <c r="AM6" i="11"/>
  <c r="BD6" i="11"/>
  <c r="J6" i="11"/>
  <c r="AC6" i="11"/>
  <c r="AO6" i="11"/>
  <c r="K6" i="11"/>
  <c r="AT6" i="11"/>
  <c r="R6" i="11"/>
  <c r="L6" i="11"/>
  <c r="BA6" i="11"/>
  <c r="AA6" i="11"/>
  <c r="AX6" i="11"/>
  <c r="P6" i="11"/>
  <c r="AF6" i="11"/>
  <c r="Z6" i="11"/>
  <c r="AL6" i="11"/>
  <c r="AD6" i="11"/>
  <c r="AH6" i="11"/>
  <c r="U6" i="11"/>
  <c r="E6" i="11"/>
  <c r="W6" i="11"/>
  <c r="AU6" i="11"/>
  <c r="AW6" i="11"/>
  <c r="N6" i="11"/>
  <c r="AB6" i="11"/>
  <c r="AJ6" i="11"/>
  <c r="AG6" i="11"/>
  <c r="S6" i="11"/>
  <c r="C6" i="11"/>
  <c r="BF6" i="11"/>
  <c r="B6" i="11"/>
  <c r="AS6" i="11"/>
  <c r="AJ2" i="11"/>
  <c r="AC2" i="11"/>
  <c r="AX2" i="11"/>
  <c r="AR2" i="11"/>
  <c r="V2" i="11"/>
  <c r="T2" i="11"/>
  <c r="D2" i="11"/>
  <c r="AS2" i="11"/>
  <c r="BC2" i="11"/>
  <c r="Y2" i="11"/>
  <c r="M2" i="11"/>
  <c r="J2" i="11"/>
  <c r="AF2" i="11"/>
  <c r="AU2" i="11"/>
  <c r="Z2" i="11"/>
  <c r="AY2" i="11"/>
  <c r="AV2" i="11"/>
  <c r="AE2" i="11"/>
  <c r="R2" i="11"/>
  <c r="AL2" i="11"/>
  <c r="U2" i="11"/>
  <c r="Q2" i="11"/>
  <c r="AW2" i="11"/>
  <c r="K2" i="11"/>
  <c r="L2" i="11"/>
  <c r="AZ2" i="11"/>
  <c r="AH2" i="11"/>
  <c r="AB2" i="11"/>
  <c r="BE2" i="11"/>
  <c r="AG2" i="11"/>
  <c r="AA2" i="11"/>
  <c r="S2" i="11"/>
  <c r="X2" i="11"/>
  <c r="AD2" i="11"/>
  <c r="AO2" i="11"/>
  <c r="C2" i="11"/>
  <c r="AN2" i="11"/>
  <c r="AQ2" i="11"/>
  <c r="BA2" i="11"/>
  <c r="AP2" i="11"/>
  <c r="BD2" i="11"/>
  <c r="BF2" i="11"/>
  <c r="P2" i="11"/>
  <c r="AT2" i="11"/>
  <c r="BB2" i="11"/>
  <c r="H2" i="11"/>
  <c r="AM2" i="11"/>
  <c r="E2" i="11"/>
  <c r="W2" i="11"/>
  <c r="AI2" i="11"/>
  <c r="AK2" i="11"/>
  <c r="O2" i="11"/>
  <c r="B2" i="11"/>
  <c r="N2" i="11"/>
  <c r="AE24" i="10"/>
  <c r="AV24" i="10"/>
  <c r="AC24" i="10"/>
  <c r="AA24" i="10"/>
  <c r="AH24" i="10"/>
  <c r="J24" i="10"/>
  <c r="H24" i="10"/>
  <c r="Y24" i="10"/>
  <c r="AR24" i="10"/>
  <c r="R24" i="10"/>
  <c r="BA24" i="10"/>
  <c r="E24" i="10"/>
  <c r="BB24" i="10"/>
  <c r="AK24" i="10"/>
  <c r="AI24" i="10"/>
  <c r="AT24" i="10"/>
  <c r="BE24" i="10"/>
  <c r="AX24" i="10"/>
  <c r="AQ24" i="10"/>
  <c r="W24" i="10"/>
  <c r="AO24" i="10"/>
  <c r="BC24" i="10"/>
  <c r="Z24" i="10"/>
  <c r="AB24" i="10"/>
  <c r="T24" i="10"/>
  <c r="AL24" i="10"/>
  <c r="AU24" i="10"/>
  <c r="AD24" i="10"/>
  <c r="AG24" i="10"/>
  <c r="AS24" i="10"/>
  <c r="Q24" i="10"/>
  <c r="BF24" i="10"/>
  <c r="AP24" i="10"/>
  <c r="AM24" i="10"/>
  <c r="AF24" i="10"/>
  <c r="AY24" i="10"/>
  <c r="P24" i="10"/>
  <c r="V24" i="10"/>
  <c r="AN24" i="10"/>
  <c r="O24" i="10"/>
  <c r="BD24" i="10"/>
  <c r="X24" i="10"/>
  <c r="M24" i="10"/>
  <c r="S24" i="10"/>
  <c r="U24" i="10"/>
  <c r="C24" i="10"/>
  <c r="L24" i="10"/>
  <c r="AJ24" i="10"/>
  <c r="AW24" i="10"/>
  <c r="D24" i="10"/>
  <c r="K24" i="10"/>
  <c r="N24" i="10"/>
  <c r="AZ24" i="10"/>
  <c r="AN52" i="10"/>
  <c r="AI52" i="10"/>
  <c r="BE52" i="10"/>
  <c r="N52" i="10"/>
  <c r="AW52" i="10"/>
  <c r="AE52" i="10"/>
  <c r="AG52" i="10"/>
  <c r="AQ52" i="10"/>
  <c r="AU52" i="10"/>
  <c r="AK52" i="10"/>
  <c r="AA52" i="10"/>
  <c r="AJ52" i="10"/>
  <c r="AH52" i="10"/>
  <c r="AL52" i="10"/>
  <c r="AM52" i="10"/>
  <c r="AD52" i="10"/>
  <c r="AB52" i="10"/>
  <c r="C52" i="10"/>
  <c r="D52" i="10"/>
  <c r="R52" i="10"/>
  <c r="S52" i="10"/>
  <c r="W52" i="10"/>
  <c r="P52" i="10"/>
  <c r="M52" i="10"/>
  <c r="AZ52" i="10"/>
  <c r="AV52" i="10"/>
  <c r="Q52" i="10"/>
  <c r="Y52" i="10"/>
  <c r="BB52" i="10"/>
  <c r="BA52" i="10"/>
  <c r="U52" i="10"/>
  <c r="BF52" i="10"/>
  <c r="T52" i="10"/>
  <c r="AT52" i="10"/>
  <c r="AO52" i="10"/>
  <c r="AR52" i="10"/>
  <c r="BC52" i="10"/>
  <c r="V52" i="10"/>
  <c r="Z52" i="10"/>
  <c r="AP52" i="10"/>
  <c r="K52" i="10"/>
  <c r="H52" i="10"/>
  <c r="BD52" i="10"/>
  <c r="X52" i="10"/>
  <c r="AF52" i="10"/>
  <c r="E52" i="10"/>
  <c r="O52" i="10"/>
  <c r="AS52" i="10"/>
  <c r="L52" i="10"/>
  <c r="J52" i="10"/>
  <c r="AY52" i="10"/>
  <c r="AX52" i="10"/>
  <c r="AC52" i="10"/>
  <c r="AR39" i="8"/>
  <c r="AG39" i="8"/>
  <c r="BB39" i="8"/>
  <c r="T39" i="8"/>
  <c r="O39" i="8"/>
  <c r="AF39" i="8"/>
  <c r="AP39" i="8"/>
  <c r="J39" i="8"/>
  <c r="AC39" i="8"/>
  <c r="BC39" i="8"/>
  <c r="K39" i="8"/>
  <c r="AW39" i="8"/>
  <c r="R39" i="8"/>
  <c r="Z39" i="8"/>
  <c r="BA39" i="8"/>
  <c r="W39" i="8"/>
  <c r="AX39" i="8"/>
  <c r="AH39" i="8"/>
  <c r="P39" i="8"/>
  <c r="AD39" i="8"/>
  <c r="AJ39" i="8"/>
  <c r="H39" i="8"/>
  <c r="BE39" i="8"/>
  <c r="N39" i="8"/>
  <c r="S39" i="8"/>
  <c r="AN39" i="8"/>
  <c r="AK39" i="8"/>
  <c r="AE39" i="8"/>
  <c r="AA39" i="8"/>
  <c r="X39" i="8"/>
  <c r="AB39" i="8"/>
  <c r="AY39" i="8"/>
  <c r="E39" i="8"/>
  <c r="AO39" i="8"/>
  <c r="D39" i="8"/>
  <c r="U39" i="8"/>
  <c r="AS39" i="8"/>
  <c r="AQ39" i="8"/>
  <c r="Y39" i="8"/>
  <c r="AL39" i="8"/>
  <c r="AI39" i="8"/>
  <c r="M39" i="8"/>
  <c r="AT39" i="8"/>
  <c r="V39" i="8"/>
  <c r="AU39" i="8"/>
  <c r="AV39" i="8"/>
  <c r="Q39" i="8"/>
  <c r="C39" i="8"/>
  <c r="L39" i="8"/>
  <c r="AM39" i="8"/>
  <c r="BD39" i="8"/>
  <c r="BF39" i="8"/>
  <c r="B39" i="8"/>
  <c r="AZ39" i="8"/>
  <c r="AC27" i="8"/>
  <c r="E27" i="8"/>
  <c r="Q27" i="8"/>
  <c r="AH27" i="8"/>
  <c r="AZ27" i="8"/>
  <c r="AX27" i="8"/>
  <c r="AY27" i="8"/>
  <c r="J27" i="8"/>
  <c r="AS27" i="8"/>
  <c r="AI27" i="8"/>
  <c r="AE27" i="8"/>
  <c r="BD27" i="8"/>
  <c r="AA27" i="8"/>
  <c r="U27" i="8"/>
  <c r="AO27" i="8"/>
  <c r="AM27" i="8"/>
  <c r="T27" i="8"/>
  <c r="H27" i="8"/>
  <c r="AJ27" i="8"/>
  <c r="AD27" i="8"/>
  <c r="AU27" i="8"/>
  <c r="O27" i="8"/>
  <c r="AQ27" i="8"/>
  <c r="K27" i="8"/>
  <c r="BA27" i="8"/>
  <c r="Z27" i="8"/>
  <c r="AB27" i="8"/>
  <c r="AV27" i="8"/>
  <c r="C27" i="8"/>
  <c r="P27" i="8"/>
  <c r="Y27" i="8"/>
  <c r="L27" i="8"/>
  <c r="BF27" i="8"/>
  <c r="X27" i="8"/>
  <c r="BE27" i="8"/>
  <c r="BC27" i="8"/>
  <c r="AR27" i="8"/>
  <c r="AG27" i="8"/>
  <c r="D27" i="8"/>
  <c r="W27" i="8"/>
  <c r="AL27" i="8"/>
  <c r="M27" i="8"/>
  <c r="S27" i="8"/>
  <c r="AF27" i="8"/>
  <c r="AK27" i="8"/>
  <c r="AW27" i="8"/>
  <c r="AT27" i="8"/>
  <c r="R27" i="8"/>
  <c r="N27" i="8"/>
  <c r="AN27" i="8"/>
  <c r="V27" i="8"/>
  <c r="AP27" i="8"/>
  <c r="B27" i="8"/>
  <c r="BB27" i="8"/>
  <c r="I54" i="9"/>
  <c r="G54" i="9"/>
  <c r="F54" i="9"/>
  <c r="I53" i="7"/>
  <c r="G53" i="7"/>
  <c r="F53" i="7"/>
  <c r="BA29" i="9"/>
  <c r="R29" i="9"/>
  <c r="AC29" i="9"/>
  <c r="AE29" i="9"/>
  <c r="AB29" i="9"/>
  <c r="BE29" i="9"/>
  <c r="AN29" i="9"/>
  <c r="K29" i="9"/>
  <c r="BD29" i="9"/>
  <c r="AJ29" i="9"/>
  <c r="AD29" i="9"/>
  <c r="AV29" i="9"/>
  <c r="AU29" i="9"/>
  <c r="J29" i="9"/>
  <c r="AL29" i="9"/>
  <c r="T29" i="9"/>
  <c r="AY29" i="9"/>
  <c r="C29" i="9"/>
  <c r="AQ29" i="9"/>
  <c r="H29" i="9"/>
  <c r="AG29" i="9"/>
  <c r="AW29" i="9"/>
  <c r="AA29" i="9"/>
  <c r="M29" i="9"/>
  <c r="Z29" i="9"/>
  <c r="V29" i="9"/>
  <c r="AT29" i="9"/>
  <c r="AZ29" i="9"/>
  <c r="AI29" i="9"/>
  <c r="O29" i="9"/>
  <c r="BB29" i="9"/>
  <c r="Q29" i="9"/>
  <c r="N29" i="9"/>
  <c r="P29" i="9"/>
  <c r="L29" i="9"/>
  <c r="AM29" i="9"/>
  <c r="AK29" i="9"/>
  <c r="AP29" i="9"/>
  <c r="D29" i="9"/>
  <c r="AX29" i="9"/>
  <c r="AR29" i="9"/>
  <c r="S29" i="9"/>
  <c r="AO29" i="9"/>
  <c r="BF29" i="9"/>
  <c r="AS29" i="9"/>
  <c r="W29" i="9"/>
  <c r="Y29" i="9"/>
  <c r="E29" i="9"/>
  <c r="X29" i="9"/>
  <c r="BC29" i="9"/>
  <c r="AH29" i="9"/>
  <c r="U29" i="9"/>
  <c r="AF29" i="9"/>
  <c r="F58" i="9"/>
  <c r="G58" i="9"/>
  <c r="I58" i="9"/>
  <c r="AX5" i="11"/>
  <c r="AC5" i="11"/>
  <c r="T5" i="11"/>
  <c r="AH5" i="11"/>
  <c r="AK5" i="11"/>
  <c r="Q5" i="11"/>
  <c r="X5" i="11"/>
  <c r="U5" i="11"/>
  <c r="BA5" i="11"/>
  <c r="AS5" i="11"/>
  <c r="AJ5" i="11"/>
  <c r="BD5" i="11"/>
  <c r="AZ5" i="11"/>
  <c r="BC5" i="11"/>
  <c r="AY5" i="11"/>
  <c r="AO5" i="11"/>
  <c r="AI5" i="11"/>
  <c r="AG5" i="11"/>
  <c r="Z5" i="11"/>
  <c r="AW5" i="11"/>
  <c r="C5" i="11"/>
  <c r="AF5" i="11"/>
  <c r="H5" i="11"/>
  <c r="AR5" i="11"/>
  <c r="W5" i="11"/>
  <c r="Y5" i="11"/>
  <c r="J5" i="11"/>
  <c r="L5" i="11"/>
  <c r="AE5" i="11"/>
  <c r="AP5" i="11"/>
  <c r="AT5" i="11"/>
  <c r="AD5" i="11"/>
  <c r="AL5" i="11"/>
  <c r="E5" i="11"/>
  <c r="AV5" i="11"/>
  <c r="M5" i="11"/>
  <c r="P5" i="11"/>
  <c r="AM5" i="11"/>
  <c r="AQ5" i="11"/>
  <c r="O5" i="11"/>
  <c r="V5" i="11"/>
  <c r="AU5" i="11"/>
  <c r="K5" i="11"/>
  <c r="BF5" i="11"/>
  <c r="AB5" i="11"/>
  <c r="R5" i="11"/>
  <c r="D5" i="11"/>
  <c r="AA5" i="11"/>
  <c r="BE5" i="11"/>
  <c r="S5" i="11"/>
  <c r="BB5" i="11"/>
  <c r="AN5" i="11"/>
  <c r="N5" i="11"/>
  <c r="I3" i="2"/>
  <c r="G3" i="2"/>
  <c r="F3" i="2"/>
  <c r="I22" i="9"/>
  <c r="G22" i="9"/>
  <c r="F22" i="9"/>
  <c r="B19" i="11"/>
  <c r="I19" i="11"/>
  <c r="G19" i="11"/>
  <c r="F19" i="11"/>
  <c r="B12" i="9"/>
  <c r="I12" i="9"/>
  <c r="G12" i="9"/>
  <c r="F12" i="9"/>
  <c r="B58" i="1"/>
  <c r="I58" i="1"/>
  <c r="G58" i="1"/>
  <c r="F58" i="1"/>
  <c r="I48" i="8"/>
  <c r="G48" i="8"/>
  <c r="F48" i="8"/>
  <c r="I31" i="4"/>
  <c r="G31" i="4"/>
  <c r="F31" i="4"/>
  <c r="I4" i="1"/>
  <c r="G4" i="1"/>
  <c r="F4" i="1"/>
  <c r="F15" i="8"/>
  <c r="G15" i="8"/>
  <c r="I15" i="8"/>
  <c r="F28" i="3"/>
  <c r="G28" i="3"/>
  <c r="I28" i="3"/>
  <c r="F5" i="8"/>
  <c r="G5" i="8"/>
  <c r="I5" i="8"/>
  <c r="F50" i="5"/>
  <c r="G50" i="5"/>
  <c r="I50" i="5"/>
  <c r="AO32" i="11"/>
  <c r="R32" i="11"/>
  <c r="AM32" i="11"/>
  <c r="AC32" i="11"/>
  <c r="AP32" i="11"/>
  <c r="AQ32" i="11"/>
  <c r="N32" i="11"/>
  <c r="BD32" i="11"/>
  <c r="C32" i="11"/>
  <c r="AK32" i="11"/>
  <c r="AL32" i="11"/>
  <c r="W32" i="11"/>
  <c r="S32" i="11"/>
  <c r="L32" i="11"/>
  <c r="AJ32" i="11"/>
  <c r="E32" i="11"/>
  <c r="P32" i="11"/>
  <c r="BC32" i="11"/>
  <c r="AS32" i="11"/>
  <c r="AG32" i="11"/>
  <c r="Z32" i="11"/>
  <c r="V32" i="11"/>
  <c r="AF32" i="11"/>
  <c r="AX32" i="11"/>
  <c r="M32" i="11"/>
  <c r="D32" i="11"/>
  <c r="BB32" i="11"/>
  <c r="AZ32" i="11"/>
  <c r="BE32" i="11"/>
  <c r="Y32" i="11"/>
  <c r="AV32" i="11"/>
  <c r="AE32" i="11"/>
  <c r="K32" i="11"/>
  <c r="H32" i="11"/>
  <c r="BA32" i="11"/>
  <c r="X32" i="11"/>
  <c r="J32" i="11"/>
  <c r="AN32" i="11"/>
  <c r="AU32" i="11"/>
  <c r="O32" i="11"/>
  <c r="BF32" i="11"/>
  <c r="AA32" i="11"/>
  <c r="Q32" i="11"/>
  <c r="AD32" i="11"/>
  <c r="T32" i="11"/>
  <c r="AT32" i="11"/>
  <c r="AR32" i="11"/>
  <c r="U32" i="11"/>
  <c r="AB32" i="11"/>
  <c r="AY32" i="11"/>
  <c r="AH32" i="11"/>
  <c r="AW32" i="11"/>
  <c r="B32" i="11"/>
  <c r="AI32" i="11"/>
  <c r="F6" i="9"/>
  <c r="B6" i="9"/>
  <c r="I6" i="9"/>
  <c r="G6" i="9"/>
  <c r="F26" i="10"/>
  <c r="G26" i="10"/>
  <c r="I26" i="10"/>
  <c r="AC11" i="11"/>
  <c r="L11" i="11"/>
  <c r="AH11" i="11"/>
  <c r="T11" i="11"/>
  <c r="D11" i="11"/>
  <c r="AZ11" i="11"/>
  <c r="AP11" i="11"/>
  <c r="AM11" i="11"/>
  <c r="W11" i="11"/>
  <c r="AS11" i="11"/>
  <c r="AW11" i="11"/>
  <c r="AJ11" i="11"/>
  <c r="AX11" i="11"/>
  <c r="Z11" i="11"/>
  <c r="BC11" i="11"/>
  <c r="AE11" i="11"/>
  <c r="C11" i="11"/>
  <c r="O11" i="11"/>
  <c r="AR11" i="11"/>
  <c r="AA11" i="11"/>
  <c r="Y11" i="11"/>
  <c r="U11" i="11"/>
  <c r="R11" i="11"/>
  <c r="J11" i="11"/>
  <c r="BD11" i="11"/>
  <c r="Q11" i="11"/>
  <c r="BB11" i="11"/>
  <c r="E11" i="11"/>
  <c r="BA11" i="11"/>
  <c r="AI11" i="11"/>
  <c r="AQ11" i="11"/>
  <c r="AF11" i="11"/>
  <c r="AG11" i="11"/>
  <c r="AT11" i="11"/>
  <c r="N11" i="11"/>
  <c r="H11" i="11"/>
  <c r="K11" i="11"/>
  <c r="AV11" i="11"/>
  <c r="V11" i="11"/>
  <c r="AN11" i="11"/>
  <c r="AB11" i="11"/>
  <c r="AY11" i="11"/>
  <c r="AK11" i="11"/>
  <c r="AU11" i="11"/>
  <c r="X11" i="11"/>
  <c r="BF11" i="11"/>
  <c r="S11" i="11"/>
  <c r="AD11" i="11"/>
  <c r="AL11" i="11"/>
  <c r="BE11" i="11"/>
  <c r="AO11" i="11"/>
  <c r="M11" i="11"/>
  <c r="P11" i="11"/>
  <c r="F46" i="7"/>
  <c r="G46" i="7"/>
  <c r="I46" i="7"/>
  <c r="I46" i="9"/>
  <c r="G46" i="9"/>
  <c r="F46" i="9"/>
  <c r="AI35" i="7"/>
  <c r="Q35" i="7"/>
  <c r="BF35" i="7"/>
  <c r="AU35" i="7"/>
  <c r="BC35" i="7"/>
  <c r="H35" i="7"/>
  <c r="AL35" i="7"/>
  <c r="M35" i="7"/>
  <c r="AF35" i="7"/>
  <c r="AS35" i="7"/>
  <c r="L35" i="7"/>
  <c r="AA35" i="7"/>
  <c r="BA35" i="7"/>
  <c r="AT35" i="7"/>
  <c r="AN35" i="7"/>
  <c r="BD35" i="7"/>
  <c r="D35" i="7"/>
  <c r="AY35" i="7"/>
  <c r="AH35" i="7"/>
  <c r="R35" i="7"/>
  <c r="AJ35" i="7"/>
  <c r="AE35" i="7"/>
  <c r="AK35" i="7"/>
  <c r="AP35" i="7"/>
  <c r="BE35" i="7"/>
  <c r="V35" i="7"/>
  <c r="AQ35" i="7"/>
  <c r="AW35" i="7"/>
  <c r="AV35" i="7"/>
  <c r="AG35" i="7"/>
  <c r="K35" i="7"/>
  <c r="O35" i="7"/>
  <c r="BB35" i="7"/>
  <c r="AB35" i="7"/>
  <c r="S35" i="7"/>
  <c r="Z35" i="7"/>
  <c r="U35" i="7"/>
  <c r="AC35" i="7"/>
  <c r="AZ35" i="7"/>
  <c r="AR35" i="7"/>
  <c r="X35" i="7"/>
  <c r="J35" i="7"/>
  <c r="AD35" i="7"/>
  <c r="T35" i="7"/>
  <c r="N35" i="7"/>
  <c r="Y35" i="7"/>
  <c r="C35" i="7"/>
  <c r="AO35" i="7"/>
  <c r="AX35" i="7"/>
  <c r="E35" i="7"/>
  <c r="W35" i="7"/>
  <c r="AM35" i="7"/>
  <c r="P35" i="7"/>
  <c r="F35" i="1"/>
  <c r="G35" i="1"/>
  <c r="I35" i="1"/>
  <c r="I40" i="8"/>
  <c r="G40" i="8"/>
  <c r="F40" i="8"/>
  <c r="F36" i="10"/>
  <c r="G36" i="10"/>
  <c r="I36" i="10"/>
  <c r="I14" i="11"/>
  <c r="G14" i="11"/>
  <c r="F14" i="11"/>
  <c r="F52" i="2"/>
  <c r="G52" i="2"/>
  <c r="I52" i="2"/>
  <c r="F8" i="4"/>
  <c r="G8" i="4"/>
  <c r="I8" i="4"/>
  <c r="AT10" i="4"/>
  <c r="AW10" i="4"/>
  <c r="AN10" i="4"/>
  <c r="AX10" i="4"/>
  <c r="H10" i="4"/>
  <c r="E10" i="4"/>
  <c r="BE10" i="4"/>
  <c r="AY10" i="4"/>
  <c r="U10" i="4"/>
  <c r="Q10" i="4"/>
  <c r="AA10" i="4"/>
  <c r="R10" i="4"/>
  <c r="AC10" i="4"/>
  <c r="AD10" i="4"/>
  <c r="X10" i="4"/>
  <c r="C10" i="4"/>
  <c r="P10" i="4"/>
  <c r="BB10" i="4"/>
  <c r="AK10" i="4"/>
  <c r="AV10" i="4"/>
  <c r="K10" i="4"/>
  <c r="O10" i="4"/>
  <c r="Y10" i="4"/>
  <c r="S10" i="4"/>
  <c r="AO10" i="4"/>
  <c r="AQ10" i="4"/>
  <c r="BC10" i="4"/>
  <c r="AR10" i="4"/>
  <c r="BF10" i="4"/>
  <c r="AZ10" i="4"/>
  <c r="D10" i="4"/>
  <c r="J10" i="4"/>
  <c r="AI10" i="4"/>
  <c r="AH10" i="4"/>
  <c r="AF10" i="4"/>
  <c r="AB10" i="4"/>
  <c r="AU10" i="4"/>
  <c r="T10" i="4"/>
  <c r="AL10" i="4"/>
  <c r="M10" i="4"/>
  <c r="AS10" i="4"/>
  <c r="AG10" i="4"/>
  <c r="AM10" i="4"/>
  <c r="W10" i="4"/>
  <c r="BD10" i="4"/>
  <c r="L10" i="4"/>
  <c r="BA10" i="4"/>
  <c r="AE10" i="4"/>
  <c r="AP10" i="4"/>
  <c r="V10" i="4"/>
  <c r="AJ10" i="4"/>
  <c r="Z10" i="4"/>
  <c r="B10" i="4"/>
  <c r="N10" i="4"/>
  <c r="AR34" i="10"/>
  <c r="AC34" i="10"/>
  <c r="AL34" i="10"/>
  <c r="AK34" i="10"/>
  <c r="BA34" i="10"/>
  <c r="U34" i="10"/>
  <c r="AF34" i="10"/>
  <c r="AU34" i="10"/>
  <c r="O34" i="10"/>
  <c r="D34" i="10"/>
  <c r="AP34" i="10"/>
  <c r="V34" i="10"/>
  <c r="AW34" i="10"/>
  <c r="T34" i="10"/>
  <c r="AA34" i="10"/>
  <c r="AE34" i="10"/>
  <c r="M34" i="10"/>
  <c r="BF34" i="10"/>
  <c r="R34" i="10"/>
  <c r="J34" i="10"/>
  <c r="K34" i="10"/>
  <c r="BC34" i="10"/>
  <c r="AH34" i="10"/>
  <c r="AV34" i="10"/>
  <c r="S34" i="10"/>
  <c r="Y34" i="10"/>
  <c r="E34" i="10"/>
  <c r="W34" i="10"/>
  <c r="AG34" i="10"/>
  <c r="BD34" i="10"/>
  <c r="AM34" i="10"/>
  <c r="Z34" i="10"/>
  <c r="AT34" i="10"/>
  <c r="N34" i="10"/>
  <c r="AZ34" i="10"/>
  <c r="AQ34" i="10"/>
  <c r="AD34" i="10"/>
  <c r="AI34" i="10"/>
  <c r="AN34" i="10"/>
  <c r="AX34" i="10"/>
  <c r="Q34" i="10"/>
  <c r="C34" i="10"/>
  <c r="P34" i="10"/>
  <c r="BE34" i="10"/>
  <c r="AO34" i="10"/>
  <c r="AJ34" i="10"/>
  <c r="AY34" i="10"/>
  <c r="H34" i="10"/>
  <c r="BB34" i="10"/>
  <c r="X34" i="10"/>
  <c r="L34" i="10"/>
  <c r="AS34" i="10"/>
  <c r="B34" i="10"/>
  <c r="AB34" i="10"/>
  <c r="AU3" i="8"/>
  <c r="AQ3" i="8"/>
  <c r="Y3" i="8"/>
  <c r="W3" i="8"/>
  <c r="AW3" i="8"/>
  <c r="C3" i="8"/>
  <c r="AZ3" i="8"/>
  <c r="AD3" i="8"/>
  <c r="N3" i="8"/>
  <c r="M3" i="8"/>
  <c r="O3" i="8"/>
  <c r="AI3" i="8"/>
  <c r="AA3" i="8"/>
  <c r="AX3" i="8"/>
  <c r="P3" i="8"/>
  <c r="AG3" i="8"/>
  <c r="T3" i="8"/>
  <c r="L3" i="8"/>
  <c r="AK3" i="8"/>
  <c r="H3" i="8"/>
  <c r="BC3" i="8"/>
  <c r="AN3" i="8"/>
  <c r="AB3" i="8"/>
  <c r="X3" i="8"/>
  <c r="AR3" i="8"/>
  <c r="BE3" i="8"/>
  <c r="D3" i="8"/>
  <c r="AJ3" i="8"/>
  <c r="AF3" i="8"/>
  <c r="Q3" i="8"/>
  <c r="BA3" i="8"/>
  <c r="R3" i="8"/>
  <c r="BF3" i="8"/>
  <c r="AC3" i="8"/>
  <c r="AL3" i="8"/>
  <c r="AP3" i="8"/>
  <c r="S3" i="8"/>
  <c r="AV3" i="8"/>
  <c r="U3" i="8"/>
  <c r="Z3" i="8"/>
  <c r="BB3" i="8"/>
  <c r="J3" i="8"/>
  <c r="AO3" i="8"/>
  <c r="K3" i="8"/>
  <c r="AE3" i="8"/>
  <c r="AH3" i="8"/>
  <c r="BD3" i="8"/>
  <c r="AY3" i="8"/>
  <c r="AT3" i="8"/>
  <c r="E3" i="8"/>
  <c r="AM3" i="8"/>
  <c r="AS3" i="8"/>
  <c r="B3" i="8"/>
  <c r="V3" i="8"/>
  <c r="H7" i="8"/>
  <c r="AR7" i="8"/>
  <c r="AS7" i="8"/>
  <c r="U7" i="8"/>
  <c r="BC7" i="8"/>
  <c r="O7" i="8"/>
  <c r="AQ7" i="8"/>
  <c r="AO7" i="8"/>
  <c r="AH7" i="8"/>
  <c r="W7" i="8"/>
  <c r="BF7" i="8"/>
  <c r="AZ7" i="8"/>
  <c r="AD7" i="8"/>
  <c r="L7" i="8"/>
  <c r="X7" i="8"/>
  <c r="P7" i="8"/>
  <c r="C7" i="8"/>
  <c r="AV7" i="8"/>
  <c r="AY7" i="8"/>
  <c r="Y7" i="8"/>
  <c r="M7" i="8"/>
  <c r="N7" i="8"/>
  <c r="AP7" i="8"/>
  <c r="AW7" i="8"/>
  <c r="AU7" i="8"/>
  <c r="K7" i="8"/>
  <c r="E7" i="8"/>
  <c r="D7" i="8"/>
  <c r="AN7" i="8"/>
  <c r="Z7" i="8"/>
  <c r="AC7" i="8"/>
  <c r="AK7" i="8"/>
  <c r="S7" i="8"/>
  <c r="AG7" i="8"/>
  <c r="AE7" i="8"/>
  <c r="V7" i="8"/>
  <c r="T7" i="8"/>
  <c r="AJ7" i="8"/>
  <c r="AT7" i="8"/>
  <c r="BA7" i="8"/>
  <c r="AI7" i="8"/>
  <c r="AA7" i="8"/>
  <c r="BD7" i="8"/>
  <c r="R7" i="8"/>
  <c r="AM7" i="8"/>
  <c r="Q7" i="8"/>
  <c r="BE7" i="8"/>
  <c r="J7" i="8"/>
  <c r="BB7" i="8"/>
  <c r="AB7" i="8"/>
  <c r="AF7" i="8"/>
  <c r="AL7" i="8"/>
  <c r="B7" i="8"/>
  <c r="AX7" i="8"/>
  <c r="AC45" i="3"/>
  <c r="T45" i="3"/>
  <c r="AX45" i="3"/>
  <c r="R45" i="3"/>
  <c r="S45" i="3"/>
  <c r="U45" i="3"/>
  <c r="AD45" i="3"/>
  <c r="AF45" i="3"/>
  <c r="J45" i="3"/>
  <c r="AG45" i="3"/>
  <c r="Y45" i="3"/>
  <c r="D45" i="3"/>
  <c r="Z45" i="3"/>
  <c r="AY45" i="3"/>
  <c r="AM45" i="3"/>
  <c r="AA45" i="3"/>
  <c r="AU45" i="3"/>
  <c r="O45" i="3"/>
  <c r="BE45" i="3"/>
  <c r="Q45" i="3"/>
  <c r="AH45" i="3"/>
  <c r="M45" i="3"/>
  <c r="H45" i="3"/>
  <c r="AI45" i="3"/>
  <c r="AN45" i="3"/>
  <c r="AK45" i="3"/>
  <c r="L45" i="3"/>
  <c r="AO45" i="3"/>
  <c r="AL45" i="3"/>
  <c r="BB45" i="3"/>
  <c r="X45" i="3"/>
  <c r="P45" i="3"/>
  <c r="BC45" i="3"/>
  <c r="AB45" i="3"/>
  <c r="BA45" i="3"/>
  <c r="BF45" i="3"/>
  <c r="BD45" i="3"/>
  <c r="K45" i="3"/>
  <c r="AQ45" i="3"/>
  <c r="E45" i="3"/>
  <c r="AJ45" i="3"/>
  <c r="AV45" i="3"/>
  <c r="AP45" i="3"/>
  <c r="AS45" i="3"/>
  <c r="AT45" i="3"/>
  <c r="AW45" i="3"/>
  <c r="AE45" i="3"/>
  <c r="C45" i="3"/>
  <c r="W45" i="3"/>
  <c r="AZ45" i="3"/>
  <c r="AR45" i="3"/>
  <c r="V45" i="3"/>
  <c r="B45" i="3"/>
  <c r="N45" i="3"/>
  <c r="AJ13" i="9"/>
  <c r="AA13" i="9"/>
  <c r="X13" i="9"/>
  <c r="J13" i="9"/>
  <c r="E13" i="9"/>
  <c r="AS13" i="9"/>
  <c r="Y13" i="9"/>
  <c r="AH13" i="9"/>
  <c r="Z13" i="9"/>
  <c r="R13" i="9"/>
  <c r="AN13" i="9"/>
  <c r="N13" i="9"/>
  <c r="AG13" i="9"/>
  <c r="AK13" i="9"/>
  <c r="BB13" i="9"/>
  <c r="AU13" i="9"/>
  <c r="AP13" i="9"/>
  <c r="AL13" i="9"/>
  <c r="BA13" i="9"/>
  <c r="AF13" i="9"/>
  <c r="AD13" i="9"/>
  <c r="U13" i="9"/>
  <c r="AR13" i="9"/>
  <c r="M13" i="9"/>
  <c r="BD13" i="9"/>
  <c r="P13" i="9"/>
  <c r="AE13" i="9"/>
  <c r="AW13" i="9"/>
  <c r="AO13" i="9"/>
  <c r="AC13" i="9"/>
  <c r="AB13" i="9"/>
  <c r="T13" i="9"/>
  <c r="C13" i="9"/>
  <c r="V13" i="9"/>
  <c r="W13" i="9"/>
  <c r="BE13" i="9"/>
  <c r="AX13" i="9"/>
  <c r="AY13" i="9"/>
  <c r="K13" i="9"/>
  <c r="BF13" i="9"/>
  <c r="BC13" i="9"/>
  <c r="O13" i="9"/>
  <c r="AM13" i="9"/>
  <c r="AT13" i="9"/>
  <c r="AI13" i="9"/>
  <c r="H13" i="9"/>
  <c r="D13" i="9"/>
  <c r="L13" i="9"/>
  <c r="AZ13" i="9"/>
  <c r="AQ13" i="9"/>
  <c r="S13" i="9"/>
  <c r="AV13" i="9"/>
  <c r="B13" i="9"/>
  <c r="Q13" i="9"/>
  <c r="B55" i="11"/>
  <c r="I55" i="11"/>
  <c r="G55" i="11"/>
  <c r="F55" i="11"/>
  <c r="Z13" i="10"/>
  <c r="M13" i="10"/>
  <c r="AR13" i="10"/>
  <c r="AU13" i="10"/>
  <c r="AJ13" i="10"/>
  <c r="AM13" i="10"/>
  <c r="AW13" i="10"/>
  <c r="BD13" i="10"/>
  <c r="L13" i="10"/>
  <c r="T13" i="10"/>
  <c r="C13" i="10"/>
  <c r="AC13" i="10"/>
  <c r="AG13" i="10"/>
  <c r="Q13" i="10"/>
  <c r="H13" i="10"/>
  <c r="X13" i="10"/>
  <c r="K13" i="10"/>
  <c r="AD13" i="10"/>
  <c r="AN13" i="10"/>
  <c r="P13" i="10"/>
  <c r="W13" i="10"/>
  <c r="U13" i="10"/>
  <c r="BA13" i="10"/>
  <c r="D13" i="10"/>
  <c r="BB13" i="10"/>
  <c r="BE13" i="10"/>
  <c r="J13" i="10"/>
  <c r="S13" i="10"/>
  <c r="AZ13" i="10"/>
  <c r="AF13" i="10"/>
  <c r="AT13" i="10"/>
  <c r="O13" i="10"/>
  <c r="BF13" i="10"/>
  <c r="N13" i="10"/>
  <c r="BC13" i="10"/>
  <c r="V13" i="10"/>
  <c r="AO13" i="10"/>
  <c r="AH13" i="10"/>
  <c r="AX13" i="10"/>
  <c r="AB13" i="10"/>
  <c r="AP13" i="10"/>
  <c r="E13" i="10"/>
  <c r="AA13" i="10"/>
  <c r="AV13" i="10"/>
  <c r="AY13" i="10"/>
  <c r="AS13" i="10"/>
  <c r="Y13" i="10"/>
  <c r="AQ13" i="10"/>
  <c r="AE13" i="10"/>
  <c r="AK13" i="10"/>
  <c r="AI13" i="10"/>
  <c r="R13" i="10"/>
  <c r="B13" i="10"/>
  <c r="AL13" i="10"/>
  <c r="AU15" i="9"/>
  <c r="AC15" i="9"/>
  <c r="E15" i="9"/>
  <c r="AL15" i="9"/>
  <c r="AP15" i="9"/>
  <c r="AD15" i="9"/>
  <c r="AK15" i="9"/>
  <c r="K15" i="9"/>
  <c r="AF15" i="9"/>
  <c r="AW15" i="9"/>
  <c r="S15" i="9"/>
  <c r="Z15" i="9"/>
  <c r="AG15" i="9"/>
  <c r="C15" i="9"/>
  <c r="BD15" i="9"/>
  <c r="AN15" i="9"/>
  <c r="AB15" i="9"/>
  <c r="O15" i="9"/>
  <c r="AX15" i="9"/>
  <c r="BC15" i="9"/>
  <c r="T15" i="9"/>
  <c r="AZ15" i="9"/>
  <c r="D15" i="9"/>
  <c r="BA15" i="9"/>
  <c r="N15" i="9"/>
  <c r="AS15" i="9"/>
  <c r="V15" i="9"/>
  <c r="BB15" i="9"/>
  <c r="Y15" i="9"/>
  <c r="AI15" i="9"/>
  <c r="AR15" i="9"/>
  <c r="AV15" i="9"/>
  <c r="U15" i="9"/>
  <c r="H15" i="9"/>
  <c r="AE15" i="9"/>
  <c r="AM15" i="9"/>
  <c r="J15" i="9"/>
  <c r="AA15" i="9"/>
  <c r="AH15" i="9"/>
  <c r="AO15" i="9"/>
  <c r="R15" i="9"/>
  <c r="W15" i="9"/>
  <c r="AJ15" i="9"/>
  <c r="BF15" i="9"/>
  <c r="AQ15" i="9"/>
  <c r="M15" i="9"/>
  <c r="X15" i="9"/>
  <c r="AT15" i="9"/>
  <c r="AY15" i="9"/>
  <c r="BE15" i="9"/>
  <c r="L15" i="9"/>
  <c r="P15" i="9"/>
  <c r="Q15" i="9"/>
  <c r="AE54" i="9"/>
  <c r="C54" i="9"/>
  <c r="AI54" i="9"/>
  <c r="T54" i="9"/>
  <c r="AR54" i="9"/>
  <c r="AM54" i="9"/>
  <c r="AZ54" i="9"/>
  <c r="AG54" i="9"/>
  <c r="AJ54" i="9"/>
  <c r="BD54" i="9"/>
  <c r="S54" i="9"/>
  <c r="U54" i="9"/>
  <c r="P54" i="9"/>
  <c r="AC54" i="9"/>
  <c r="R54" i="9"/>
  <c r="AL54" i="9"/>
  <c r="D54" i="9"/>
  <c r="BF54" i="9"/>
  <c r="O54" i="9"/>
  <c r="Z54" i="9"/>
  <c r="AD54" i="9"/>
  <c r="J54" i="9"/>
  <c r="AN54" i="9"/>
  <c r="AP54" i="9"/>
  <c r="Y54" i="9"/>
  <c r="AY54" i="9"/>
  <c r="AV54" i="9"/>
  <c r="AX54" i="9"/>
  <c r="BC54" i="9"/>
  <c r="AS54" i="9"/>
  <c r="Q54" i="9"/>
  <c r="H54" i="9"/>
  <c r="AU54" i="9"/>
  <c r="AT54" i="9"/>
  <c r="X54" i="9"/>
  <c r="K54" i="9"/>
  <c r="BB54" i="9"/>
  <c r="AK54" i="9"/>
  <c r="M54" i="9"/>
  <c r="V54" i="9"/>
  <c r="AA54" i="9"/>
  <c r="AB54" i="9"/>
  <c r="AO54" i="9"/>
  <c r="N54" i="9"/>
  <c r="E54" i="9"/>
  <c r="W54" i="9"/>
  <c r="BA54" i="9"/>
  <c r="AF54" i="9"/>
  <c r="AQ54" i="9"/>
  <c r="AH54" i="9"/>
  <c r="L54" i="9"/>
  <c r="AW54" i="9"/>
  <c r="B54" i="9"/>
  <c r="BE54" i="9"/>
  <c r="AD46" i="10"/>
  <c r="Q46" i="10"/>
  <c r="V46" i="10"/>
  <c r="U46" i="10"/>
  <c r="L46" i="10"/>
  <c r="Y46" i="10"/>
  <c r="X46" i="10"/>
  <c r="J46" i="10"/>
  <c r="M46" i="10"/>
  <c r="D46" i="10"/>
  <c r="BD46" i="10"/>
  <c r="AF46" i="10"/>
  <c r="AO46" i="10"/>
  <c r="AZ46" i="10"/>
  <c r="P46" i="10"/>
  <c r="N46" i="10"/>
  <c r="AN46" i="10"/>
  <c r="AC46" i="10"/>
  <c r="R46" i="10"/>
  <c r="W46" i="10"/>
  <c r="Z46" i="10"/>
  <c r="BE46" i="10"/>
  <c r="AE46" i="10"/>
  <c r="AB46" i="10"/>
  <c r="AR46" i="10"/>
  <c r="AP46" i="10"/>
  <c r="AM46" i="10"/>
  <c r="AA46" i="10"/>
  <c r="AI46" i="10"/>
  <c r="C46" i="10"/>
  <c r="AT46" i="10"/>
  <c r="AS46" i="10"/>
  <c r="BC46" i="10"/>
  <c r="AL46" i="10"/>
  <c r="AJ46" i="10"/>
  <c r="AQ46" i="10"/>
  <c r="AX46" i="10"/>
  <c r="O46" i="10"/>
  <c r="H46" i="10"/>
  <c r="BF46" i="10"/>
  <c r="AV46" i="10"/>
  <c r="AG46" i="10"/>
  <c r="BA46" i="10"/>
  <c r="AK46" i="10"/>
  <c r="AU46" i="10"/>
  <c r="AW46" i="10"/>
  <c r="S46" i="10"/>
  <c r="BB46" i="10"/>
  <c r="AY46" i="10"/>
  <c r="T46" i="10"/>
  <c r="E46" i="10"/>
  <c r="K46" i="10"/>
  <c r="B46" i="10"/>
  <c r="AH46" i="10"/>
  <c r="AM45" i="10"/>
  <c r="AI45" i="10"/>
  <c r="AT45" i="10"/>
  <c r="Y45" i="10"/>
  <c r="AW45" i="10"/>
  <c r="AG45" i="10"/>
  <c r="V45" i="10"/>
  <c r="AE45" i="10"/>
  <c r="BC45" i="10"/>
  <c r="AC45" i="10"/>
  <c r="N45" i="10"/>
  <c r="C45" i="10"/>
  <c r="AB45" i="10"/>
  <c r="AS45" i="10"/>
  <c r="AQ45" i="10"/>
  <c r="AJ45" i="10"/>
  <c r="H45" i="10"/>
  <c r="AD45" i="10"/>
  <c r="L45" i="10"/>
  <c r="AZ45" i="10"/>
  <c r="T45" i="10"/>
  <c r="D45" i="10"/>
  <c r="AO45" i="10"/>
  <c r="AR45" i="10"/>
  <c r="AL45" i="10"/>
  <c r="AH45" i="10"/>
  <c r="AU45" i="10"/>
  <c r="AF45" i="10"/>
  <c r="X45" i="10"/>
  <c r="AP45" i="10"/>
  <c r="U45" i="10"/>
  <c r="AA45" i="10"/>
  <c r="W45" i="10"/>
  <c r="P45" i="10"/>
  <c r="BB45" i="10"/>
  <c r="J45" i="10"/>
  <c r="BF45" i="10"/>
  <c r="AX45" i="10"/>
  <c r="Z45" i="10"/>
  <c r="BE45" i="10"/>
  <c r="AN45" i="10"/>
  <c r="S45" i="10"/>
  <c r="AK45" i="10"/>
  <c r="AY45" i="10"/>
  <c r="BA45" i="10"/>
  <c r="K45" i="10"/>
  <c r="O45" i="10"/>
  <c r="Q45" i="10"/>
  <c r="AV45" i="10"/>
  <c r="BD45" i="10"/>
  <c r="R45" i="10"/>
  <c r="E45" i="10"/>
  <c r="M45" i="10"/>
  <c r="AW43" i="10"/>
  <c r="AT43" i="10"/>
  <c r="U43" i="10"/>
  <c r="AA43" i="10"/>
  <c r="T43" i="10"/>
  <c r="Z43" i="10"/>
  <c r="AP43" i="10"/>
  <c r="P43" i="10"/>
  <c r="AL43" i="10"/>
  <c r="N43" i="10"/>
  <c r="K43" i="10"/>
  <c r="C43" i="10"/>
  <c r="AZ43" i="10"/>
  <c r="W43" i="10"/>
  <c r="AE43" i="10"/>
  <c r="BD43" i="10"/>
  <c r="AN43" i="10"/>
  <c r="V43" i="10"/>
  <c r="AR43" i="10"/>
  <c r="R43" i="10"/>
  <c r="H43" i="10"/>
  <c r="AB43" i="10"/>
  <c r="AG43" i="10"/>
  <c r="J43" i="10"/>
  <c r="AK43" i="10"/>
  <c r="L43" i="10"/>
  <c r="M43" i="10"/>
  <c r="BA43" i="10"/>
  <c r="O43" i="10"/>
  <c r="Y43" i="10"/>
  <c r="AU43" i="10"/>
  <c r="AY43" i="10"/>
  <c r="AO43" i="10"/>
  <c r="E43" i="10"/>
  <c r="AQ43" i="10"/>
  <c r="AX43" i="10"/>
  <c r="X43" i="10"/>
  <c r="S43" i="10"/>
  <c r="AM43" i="10"/>
  <c r="AV43" i="10"/>
  <c r="BF43" i="10"/>
  <c r="AJ43" i="10"/>
  <c r="D43" i="10"/>
  <c r="AI43" i="10"/>
  <c r="BC43" i="10"/>
  <c r="AC43" i="10"/>
  <c r="BE43" i="10"/>
  <c r="BB43" i="10"/>
  <c r="AS43" i="10"/>
  <c r="AD43" i="10"/>
  <c r="Q43" i="10"/>
  <c r="AH43" i="10"/>
  <c r="B43" i="10"/>
  <c r="AF43" i="10"/>
  <c r="AF41" i="10"/>
  <c r="AP41" i="10"/>
  <c r="BB41" i="10"/>
  <c r="AX41" i="10"/>
  <c r="M41" i="10"/>
  <c r="W41" i="10"/>
  <c r="H41" i="10"/>
  <c r="AR41" i="10"/>
  <c r="AN41" i="10"/>
  <c r="Y41" i="10"/>
  <c r="V41" i="10"/>
  <c r="AH41" i="10"/>
  <c r="AD41" i="10"/>
  <c r="BA41" i="10"/>
  <c r="AV41" i="10"/>
  <c r="E41" i="10"/>
  <c r="AG41" i="10"/>
  <c r="AU41" i="10"/>
  <c r="AK41" i="10"/>
  <c r="L41" i="10"/>
  <c r="AE41" i="10"/>
  <c r="AB41" i="10"/>
  <c r="BE41" i="10"/>
  <c r="AC41" i="10"/>
  <c r="D41" i="10"/>
  <c r="AL41" i="10"/>
  <c r="AI41" i="10"/>
  <c r="Z41" i="10"/>
  <c r="AZ41" i="10"/>
  <c r="AY41" i="10"/>
  <c r="O41" i="10"/>
  <c r="J41" i="10"/>
  <c r="AO41" i="10"/>
  <c r="AT41" i="10"/>
  <c r="AS41" i="10"/>
  <c r="K41" i="10"/>
  <c r="AW41" i="10"/>
  <c r="AJ41" i="10"/>
  <c r="AQ41" i="10"/>
  <c r="BC41" i="10"/>
  <c r="BF41" i="10"/>
  <c r="P41" i="10"/>
  <c r="AM41" i="10"/>
  <c r="BD41" i="10"/>
  <c r="Q41" i="10"/>
  <c r="U41" i="10"/>
  <c r="T41" i="10"/>
  <c r="N41" i="10"/>
  <c r="X41" i="10"/>
  <c r="C41" i="10"/>
  <c r="R41" i="10"/>
  <c r="S41" i="10"/>
  <c r="AA41" i="10"/>
  <c r="P17" i="10"/>
  <c r="AU17" i="10"/>
  <c r="O17" i="10"/>
  <c r="X17" i="10"/>
  <c r="H17" i="10"/>
  <c r="R17" i="10"/>
  <c r="E17" i="10"/>
  <c r="AW17" i="10"/>
  <c r="AF17" i="10"/>
  <c r="Q17" i="10"/>
  <c r="AA17" i="10"/>
  <c r="AQ17" i="10"/>
  <c r="Z17" i="10"/>
  <c r="BC17" i="10"/>
  <c r="AV17" i="10"/>
  <c r="AK17" i="10"/>
  <c r="AL17" i="10"/>
  <c r="AI17" i="10"/>
  <c r="V17" i="10"/>
  <c r="AE17" i="10"/>
  <c r="AO17" i="10"/>
  <c r="AT17" i="10"/>
  <c r="BA17" i="10"/>
  <c r="AY17" i="10"/>
  <c r="L17" i="10"/>
  <c r="BD17" i="10"/>
  <c r="AP17" i="10"/>
  <c r="AR17" i="10"/>
  <c r="AD17" i="10"/>
  <c r="AC17" i="10"/>
  <c r="AZ17" i="10"/>
  <c r="AB17" i="10"/>
  <c r="C17" i="10"/>
  <c r="BB17" i="10"/>
  <c r="AX17" i="10"/>
  <c r="J17" i="10"/>
  <c r="S17" i="10"/>
  <c r="Y17" i="10"/>
  <c r="W17" i="10"/>
  <c r="BF17" i="10"/>
  <c r="AN17" i="10"/>
  <c r="U17" i="10"/>
  <c r="BE17" i="10"/>
  <c r="K17" i="10"/>
  <c r="AG17" i="10"/>
  <c r="T17" i="10"/>
  <c r="AJ17" i="10"/>
  <c r="AM17" i="10"/>
  <c r="D17" i="10"/>
  <c r="AH17" i="10"/>
  <c r="M17" i="10"/>
  <c r="AS17" i="10"/>
  <c r="B17" i="10"/>
  <c r="N17" i="10"/>
  <c r="R31" i="10"/>
  <c r="U31" i="10"/>
  <c r="AV31" i="10"/>
  <c r="AN31" i="10"/>
  <c r="BD31" i="10"/>
  <c r="AB31" i="10"/>
  <c r="BC31" i="10"/>
  <c r="AZ31" i="10"/>
  <c r="O31" i="10"/>
  <c r="T31" i="10"/>
  <c r="H31" i="10"/>
  <c r="AK31" i="10"/>
  <c r="AH31" i="10"/>
  <c r="AP31" i="10"/>
  <c r="AC31" i="10"/>
  <c r="K31" i="10"/>
  <c r="C31" i="10"/>
  <c r="S31" i="10"/>
  <c r="AD31" i="10"/>
  <c r="AA31" i="10"/>
  <c r="BB31" i="10"/>
  <c r="AW31" i="10"/>
  <c r="BE31" i="10"/>
  <c r="AO31" i="10"/>
  <c r="AE31" i="10"/>
  <c r="J31" i="10"/>
  <c r="AL31" i="10"/>
  <c r="X31" i="10"/>
  <c r="E31" i="10"/>
  <c r="AG31" i="10"/>
  <c r="V31" i="10"/>
  <c r="D31" i="10"/>
  <c r="AM31" i="10"/>
  <c r="AJ31" i="10"/>
  <c r="BF31" i="10"/>
  <c r="AT31" i="10"/>
  <c r="AX31" i="10"/>
  <c r="AI31" i="10"/>
  <c r="P31" i="10"/>
  <c r="AQ31" i="10"/>
  <c r="AR31" i="10"/>
  <c r="Q31" i="10"/>
  <c r="BA31" i="10"/>
  <c r="AU31" i="10"/>
  <c r="AF31" i="10"/>
  <c r="AY31" i="10"/>
  <c r="AS31" i="10"/>
  <c r="W31" i="10"/>
  <c r="M31" i="10"/>
  <c r="Z31" i="10"/>
  <c r="L31" i="10"/>
  <c r="Y31" i="10"/>
  <c r="B31" i="10"/>
  <c r="N31" i="10"/>
  <c r="AW22" i="2"/>
  <c r="AE22" i="2"/>
  <c r="X22" i="2"/>
  <c r="P22" i="2"/>
  <c r="T22" i="2"/>
  <c r="N22" i="2"/>
  <c r="AM22" i="2"/>
  <c r="Q22" i="2"/>
  <c r="AP22" i="2"/>
  <c r="AR22" i="2"/>
  <c r="AO22" i="2"/>
  <c r="C22" i="2"/>
  <c r="AA22" i="2"/>
  <c r="W22" i="2"/>
  <c r="V22" i="2"/>
  <c r="BD22" i="2"/>
  <c r="AQ22" i="2"/>
  <c r="AH22" i="2"/>
  <c r="M22" i="2"/>
  <c r="AD22" i="2"/>
  <c r="AY22" i="2"/>
  <c r="BA22" i="2"/>
  <c r="L22" i="2"/>
  <c r="K22" i="2"/>
  <c r="U22" i="2"/>
  <c r="BC22" i="2"/>
  <c r="AK22" i="2"/>
  <c r="AU22" i="2"/>
  <c r="AL22" i="2"/>
  <c r="AX22" i="2"/>
  <c r="Y22" i="2"/>
  <c r="AI22" i="2"/>
  <c r="R22" i="2"/>
  <c r="BE22" i="2"/>
  <c r="AF22" i="2"/>
  <c r="J22" i="2"/>
  <c r="H22" i="2"/>
  <c r="AJ22" i="2"/>
  <c r="O22" i="2"/>
  <c r="E22" i="2"/>
  <c r="AB22" i="2"/>
  <c r="D22" i="2"/>
  <c r="S22" i="2"/>
  <c r="AT22" i="2"/>
  <c r="AS22" i="2"/>
  <c r="Z22" i="2"/>
  <c r="BB22" i="2"/>
  <c r="AC22" i="2"/>
  <c r="AG22" i="2"/>
  <c r="AZ22" i="2"/>
  <c r="AN22" i="2"/>
  <c r="BF22" i="2"/>
  <c r="B22" i="2"/>
  <c r="AV22" i="2"/>
  <c r="AU35" i="9"/>
  <c r="AF35" i="9"/>
  <c r="S35" i="9"/>
  <c r="AV35" i="9"/>
  <c r="AJ35" i="9"/>
  <c r="V35" i="9"/>
  <c r="AI35" i="9"/>
  <c r="AM35" i="9"/>
  <c r="AN35" i="9"/>
  <c r="AG35" i="9"/>
  <c r="AS35" i="9"/>
  <c r="X35" i="9"/>
  <c r="J35" i="9"/>
  <c r="AC35" i="9"/>
  <c r="BC35" i="9"/>
  <c r="R35" i="9"/>
  <c r="O35" i="9"/>
  <c r="Z35" i="9"/>
  <c r="AP35" i="9"/>
  <c r="AW35" i="9"/>
  <c r="AO35" i="9"/>
  <c r="W35" i="9"/>
  <c r="AQ35" i="9"/>
  <c r="L35" i="9"/>
  <c r="AE35" i="9"/>
  <c r="AA35" i="9"/>
  <c r="BF35" i="9"/>
  <c r="D35" i="9"/>
  <c r="AB35" i="9"/>
  <c r="P35" i="9"/>
  <c r="M35" i="9"/>
  <c r="AL35" i="9"/>
  <c r="AZ35" i="9"/>
  <c r="AK35" i="9"/>
  <c r="K35" i="9"/>
  <c r="AX35" i="9"/>
  <c r="BA35" i="9"/>
  <c r="C35" i="9"/>
  <c r="BB35" i="9"/>
  <c r="BE35" i="9"/>
  <c r="AR35" i="9"/>
  <c r="AH35" i="9"/>
  <c r="T35" i="9"/>
  <c r="AT35" i="9"/>
  <c r="E35" i="9"/>
  <c r="Q35" i="9"/>
  <c r="U35" i="9"/>
  <c r="N35" i="9"/>
  <c r="H35" i="9"/>
  <c r="BD35" i="9"/>
  <c r="AY35" i="9"/>
  <c r="AD35" i="9"/>
  <c r="B35" i="9"/>
  <c r="Y35" i="9"/>
  <c r="B29" i="9"/>
  <c r="I29" i="9"/>
  <c r="G29" i="9"/>
  <c r="F29" i="9"/>
  <c r="F24" i="10"/>
  <c r="B24" i="10"/>
  <c r="I24" i="10"/>
  <c r="G24" i="10"/>
  <c r="I57" i="10"/>
  <c r="G57" i="10"/>
  <c r="F57" i="10"/>
  <c r="F5" i="3"/>
  <c r="G5" i="3"/>
  <c r="I5" i="3"/>
  <c r="C49" i="10"/>
  <c r="AR49" i="10"/>
  <c r="AY49" i="10"/>
  <c r="AB49" i="10"/>
  <c r="BE49" i="10"/>
  <c r="O49" i="10"/>
  <c r="AG49" i="10"/>
  <c r="K49" i="10"/>
  <c r="AQ49" i="10"/>
  <c r="R49" i="10"/>
  <c r="AE49" i="10"/>
  <c r="AL49" i="10"/>
  <c r="X49" i="10"/>
  <c r="P49" i="10"/>
  <c r="L49" i="10"/>
  <c r="AU49" i="10"/>
  <c r="E49" i="10"/>
  <c r="N49" i="10"/>
  <c r="U49" i="10"/>
  <c r="H49" i="10"/>
  <c r="W49" i="10"/>
  <c r="D49" i="10"/>
  <c r="AA49" i="10"/>
  <c r="BC49" i="10"/>
  <c r="AM49" i="10"/>
  <c r="AO49" i="10"/>
  <c r="AW49" i="10"/>
  <c r="AZ49" i="10"/>
  <c r="Z49" i="10"/>
  <c r="Y49" i="10"/>
  <c r="BB49" i="10"/>
  <c r="AV49" i="10"/>
  <c r="BF49" i="10"/>
  <c r="Q49" i="10"/>
  <c r="AS49" i="10"/>
  <c r="AN49" i="10"/>
  <c r="AF49" i="10"/>
  <c r="AP49" i="10"/>
  <c r="AC49" i="10"/>
  <c r="BD49" i="10"/>
  <c r="BA49" i="10"/>
  <c r="V49" i="10"/>
  <c r="AH49" i="10"/>
  <c r="AK49" i="10"/>
  <c r="AX49" i="10"/>
  <c r="T49" i="10"/>
  <c r="AD49" i="10"/>
  <c r="M49" i="10"/>
  <c r="S49" i="10"/>
  <c r="J49" i="10"/>
  <c r="AI49" i="10"/>
  <c r="AT49" i="10"/>
  <c r="AJ49" i="10"/>
  <c r="I21" i="4"/>
  <c r="G21" i="4"/>
  <c r="F21" i="4"/>
  <c r="F38" i="7"/>
  <c r="G38" i="7"/>
  <c r="I38" i="7"/>
  <c r="I37" i="2"/>
  <c r="G37" i="2"/>
  <c r="F37" i="2"/>
  <c r="I13" i="5"/>
  <c r="G13" i="5"/>
  <c r="F13" i="5"/>
  <c r="V39" i="7"/>
  <c r="AP39" i="7"/>
  <c r="AN39" i="7"/>
  <c r="T39" i="7"/>
  <c r="BF39" i="7"/>
  <c r="D39" i="7"/>
  <c r="AF39" i="7"/>
  <c r="H39" i="7"/>
  <c r="AH39" i="7"/>
  <c r="AJ39" i="7"/>
  <c r="W39" i="7"/>
  <c r="AM39" i="7"/>
  <c r="N39" i="7"/>
  <c r="AA39" i="7"/>
  <c r="L39" i="7"/>
  <c r="R39" i="7"/>
  <c r="C39" i="7"/>
  <c r="AZ39" i="7"/>
  <c r="AR39" i="7"/>
  <c r="AI39" i="7"/>
  <c r="J39" i="7"/>
  <c r="AY39" i="7"/>
  <c r="AS39" i="7"/>
  <c r="AB39" i="7"/>
  <c r="P39" i="7"/>
  <c r="AU39" i="7"/>
  <c r="M39" i="7"/>
  <c r="Z39" i="7"/>
  <c r="Q39" i="7"/>
  <c r="AL39" i="7"/>
  <c r="BD39" i="7"/>
  <c r="O39" i="7"/>
  <c r="AW39" i="7"/>
  <c r="Y39" i="7"/>
  <c r="AG39" i="7"/>
  <c r="AX39" i="7"/>
  <c r="AC39" i="7"/>
  <c r="AK39" i="7"/>
  <c r="BB39" i="7"/>
  <c r="BE39" i="7"/>
  <c r="AQ39" i="7"/>
  <c r="E39" i="7"/>
  <c r="U39" i="7"/>
  <c r="AE39" i="7"/>
  <c r="X39" i="7"/>
  <c r="S39" i="7"/>
  <c r="AT39" i="7"/>
  <c r="AV39" i="7"/>
  <c r="BC39" i="7"/>
  <c r="AO39" i="7"/>
  <c r="K39" i="7"/>
  <c r="AD39" i="7"/>
  <c r="B39" i="7"/>
  <c r="BA39" i="7"/>
  <c r="C26" i="9"/>
  <c r="U26" i="9"/>
  <c r="X26" i="9"/>
  <c r="AP26" i="9"/>
  <c r="AI26" i="9"/>
  <c r="BF26" i="9"/>
  <c r="P26" i="9"/>
  <c r="T26" i="9"/>
  <c r="AS26" i="9"/>
  <c r="E26" i="9"/>
  <c r="K26" i="9"/>
  <c r="AQ26" i="9"/>
  <c r="AC26" i="9"/>
  <c r="AW26" i="9"/>
  <c r="AM26" i="9"/>
  <c r="AJ26" i="9"/>
  <c r="AF26" i="9"/>
  <c r="AE26" i="9"/>
  <c r="H26" i="9"/>
  <c r="AG26" i="9"/>
  <c r="BC26" i="9"/>
  <c r="AO26" i="9"/>
  <c r="Z26" i="9"/>
  <c r="V26" i="9"/>
  <c r="O26" i="9"/>
  <c r="BD26" i="9"/>
  <c r="L26" i="9"/>
  <c r="AA26" i="9"/>
  <c r="AY26" i="9"/>
  <c r="AT26" i="9"/>
  <c r="AU26" i="9"/>
  <c r="D26" i="9"/>
  <c r="Q26" i="9"/>
  <c r="J26" i="9"/>
  <c r="AL26" i="9"/>
  <c r="S26" i="9"/>
  <c r="AZ26" i="9"/>
  <c r="Y26" i="9"/>
  <c r="AD26" i="9"/>
  <c r="AN26" i="9"/>
  <c r="AB26" i="9"/>
  <c r="AX26" i="9"/>
  <c r="AK26" i="9"/>
  <c r="R26" i="9"/>
  <c r="W26" i="9"/>
  <c r="N26" i="9"/>
  <c r="AV26" i="9"/>
  <c r="BB26" i="9"/>
  <c r="BA26" i="9"/>
  <c r="AR26" i="9"/>
  <c r="M26" i="9"/>
  <c r="BE26" i="9"/>
  <c r="B26" i="9"/>
  <c r="AH26" i="9"/>
  <c r="Y54" i="4"/>
  <c r="AR54" i="4"/>
  <c r="X54" i="4"/>
  <c r="AL54" i="4"/>
  <c r="AB54" i="4"/>
  <c r="J54" i="4"/>
  <c r="S54" i="4"/>
  <c r="AZ54" i="4"/>
  <c r="AQ54" i="4"/>
  <c r="K54" i="4"/>
  <c r="U54" i="4"/>
  <c r="T54" i="4"/>
  <c r="AJ54" i="4"/>
  <c r="BB54" i="4"/>
  <c r="AC54" i="4"/>
  <c r="BA54" i="4"/>
  <c r="AX54" i="4"/>
  <c r="D54" i="4"/>
  <c r="Z54" i="4"/>
  <c r="V54" i="4"/>
  <c r="AK54" i="4"/>
  <c r="N54" i="4"/>
  <c r="H54" i="4"/>
  <c r="AV54" i="4"/>
  <c r="AP54" i="4"/>
  <c r="BC54" i="4"/>
  <c r="AE54" i="4"/>
  <c r="C54" i="4"/>
  <c r="AN54" i="4"/>
  <c r="BE54" i="4"/>
  <c r="AU54" i="4"/>
  <c r="AS54" i="4"/>
  <c r="AT54" i="4"/>
  <c r="E54" i="4"/>
  <c r="AM54" i="4"/>
  <c r="AH54" i="4"/>
  <c r="P54" i="4"/>
  <c r="BD54" i="4"/>
  <c r="AI54" i="4"/>
  <c r="M54" i="4"/>
  <c r="AA54" i="4"/>
  <c r="AG54" i="4"/>
  <c r="W54" i="4"/>
  <c r="AF54" i="4"/>
  <c r="AY54" i="4"/>
  <c r="R54" i="4"/>
  <c r="AD54" i="4"/>
  <c r="BF54" i="4"/>
  <c r="AW54" i="4"/>
  <c r="AO54" i="4"/>
  <c r="L54" i="4"/>
  <c r="Q54" i="4"/>
  <c r="B54" i="4"/>
  <c r="O54" i="4"/>
  <c r="O10" i="6"/>
  <c r="AT10" i="6"/>
  <c r="AL10" i="6"/>
  <c r="S10" i="6"/>
  <c r="AG10" i="6"/>
  <c r="AB10" i="6"/>
  <c r="D10" i="6"/>
  <c r="BB10" i="6"/>
  <c r="AJ10" i="6"/>
  <c r="AZ10" i="6"/>
  <c r="X10" i="6"/>
  <c r="AN10" i="6"/>
  <c r="AX10" i="6"/>
  <c r="BC10" i="6"/>
  <c r="AC10" i="6"/>
  <c r="AF10" i="6"/>
  <c r="J10" i="6"/>
  <c r="AM10" i="6"/>
  <c r="AY10" i="6"/>
  <c r="AW10" i="6"/>
  <c r="W10" i="6"/>
  <c r="AP10" i="6"/>
  <c r="AR10" i="6"/>
  <c r="L10" i="6"/>
  <c r="AS10" i="6"/>
  <c r="AD10" i="6"/>
  <c r="AK10" i="6"/>
  <c r="C10" i="6"/>
  <c r="E10" i="6"/>
  <c r="BA10" i="6"/>
  <c r="BE10" i="6"/>
  <c r="AI10" i="6"/>
  <c r="AV10" i="6"/>
  <c r="AA10" i="6"/>
  <c r="M10" i="6"/>
  <c r="T10" i="6"/>
  <c r="Y10" i="6"/>
  <c r="N10" i="6"/>
  <c r="U10" i="6"/>
  <c r="AH10" i="6"/>
  <c r="Z10" i="6"/>
  <c r="V10" i="6"/>
  <c r="K10" i="6"/>
  <c r="AE10" i="6"/>
  <c r="AQ10" i="6"/>
  <c r="AO10" i="6"/>
  <c r="BF10" i="6"/>
  <c r="H10" i="6"/>
  <c r="BD10" i="6"/>
  <c r="Q10" i="6"/>
  <c r="R10" i="6"/>
  <c r="AU10" i="6"/>
  <c r="B10" i="6"/>
  <c r="P10" i="6"/>
  <c r="AT26" i="10"/>
  <c r="AQ26" i="10"/>
  <c r="AB26" i="10"/>
  <c r="AF26" i="10"/>
  <c r="AO26" i="10"/>
  <c r="AA26" i="10"/>
  <c r="AX26" i="10"/>
  <c r="X26" i="10"/>
  <c r="AR26" i="10"/>
  <c r="BB26" i="10"/>
  <c r="AE26" i="10"/>
  <c r="AV26" i="10"/>
  <c r="L26" i="10"/>
  <c r="D26" i="10"/>
  <c r="T26" i="10"/>
  <c r="Z26" i="10"/>
  <c r="BC26" i="10"/>
  <c r="P26" i="10"/>
  <c r="BD26" i="10"/>
  <c r="V26" i="10"/>
  <c r="AC26" i="10"/>
  <c r="K26" i="10"/>
  <c r="W26" i="10"/>
  <c r="BE26" i="10"/>
  <c r="AS26" i="10"/>
  <c r="BF26" i="10"/>
  <c r="AD26" i="10"/>
  <c r="Y26" i="10"/>
  <c r="AN26" i="10"/>
  <c r="O26" i="10"/>
  <c r="AP26" i="10"/>
  <c r="C26" i="10"/>
  <c r="M26" i="10"/>
  <c r="R26" i="10"/>
  <c r="S26" i="10"/>
  <c r="AY26" i="10"/>
  <c r="AZ26" i="10"/>
  <c r="E26" i="10"/>
  <c r="AK26" i="10"/>
  <c r="AU26" i="10"/>
  <c r="AM26" i="10"/>
  <c r="AI26" i="10"/>
  <c r="H26" i="10"/>
  <c r="AG26" i="10"/>
  <c r="AW26" i="10"/>
  <c r="BA26" i="10"/>
  <c r="U26" i="10"/>
  <c r="N26" i="10"/>
  <c r="AH26" i="10"/>
  <c r="J26" i="10"/>
  <c r="AJ26" i="10"/>
  <c r="AL26" i="10"/>
  <c r="B26" i="10"/>
  <c r="Q26" i="10"/>
  <c r="AQ4" i="1"/>
  <c r="AT4" i="1"/>
  <c r="BB4" i="1"/>
  <c r="BF4" i="1"/>
  <c r="O4" i="1"/>
  <c r="N4" i="1"/>
  <c r="AW4" i="1"/>
  <c r="BE4" i="1"/>
  <c r="AH4" i="1"/>
  <c r="AY4" i="1"/>
  <c r="AI4" i="1"/>
  <c r="AR4" i="1"/>
  <c r="AE4" i="1"/>
  <c r="M4" i="1"/>
  <c r="Q4" i="1"/>
  <c r="C4" i="1"/>
  <c r="BA4" i="1"/>
  <c r="L4" i="1"/>
  <c r="BD4" i="1"/>
  <c r="AL4" i="1"/>
  <c r="H4" i="1"/>
  <c r="AG4" i="1"/>
  <c r="R4" i="1"/>
  <c r="X4" i="1"/>
  <c r="AO4" i="1"/>
  <c r="J4" i="1"/>
  <c r="AU4" i="1"/>
  <c r="AP4" i="1"/>
  <c r="AJ4" i="1"/>
  <c r="D4" i="1"/>
  <c r="AD4" i="1"/>
  <c r="E4" i="1"/>
  <c r="AN4" i="1"/>
  <c r="AX4" i="1"/>
  <c r="P4" i="1"/>
  <c r="AS4" i="1"/>
  <c r="K4" i="1"/>
  <c r="BC4" i="1"/>
  <c r="Y4" i="1"/>
  <c r="AA4" i="1"/>
  <c r="S4" i="1"/>
  <c r="AK4" i="1"/>
  <c r="U4" i="1"/>
  <c r="AZ4" i="1"/>
  <c r="AM4" i="1"/>
  <c r="AV4" i="1"/>
  <c r="Z4" i="1"/>
  <c r="W4" i="1"/>
  <c r="AB4" i="1"/>
  <c r="AF4" i="1"/>
  <c r="AC4" i="1"/>
  <c r="T4" i="1"/>
  <c r="B4" i="1"/>
  <c r="V4" i="1"/>
  <c r="N53" i="7"/>
  <c r="AA53" i="7"/>
  <c r="AJ53" i="7"/>
  <c r="AY53" i="7"/>
  <c r="AW53" i="7"/>
  <c r="AR53" i="7"/>
  <c r="AD53" i="7"/>
  <c r="J53" i="7"/>
  <c r="X53" i="7"/>
  <c r="AP53" i="7"/>
  <c r="AI53" i="7"/>
  <c r="Q53" i="7"/>
  <c r="AU53" i="7"/>
  <c r="K53" i="7"/>
  <c r="W53" i="7"/>
  <c r="S53" i="7"/>
  <c r="AZ53" i="7"/>
  <c r="P53" i="7"/>
  <c r="BF53" i="7"/>
  <c r="AV53" i="7"/>
  <c r="T53" i="7"/>
  <c r="U53" i="7"/>
  <c r="AG53" i="7"/>
  <c r="R53" i="7"/>
  <c r="Y53" i="7"/>
  <c r="Z53" i="7"/>
  <c r="AK53" i="7"/>
  <c r="AX53" i="7"/>
  <c r="M53" i="7"/>
  <c r="AO53" i="7"/>
  <c r="BC53" i="7"/>
  <c r="L53" i="7"/>
  <c r="D53" i="7"/>
  <c r="O53" i="7"/>
  <c r="AB53" i="7"/>
  <c r="AM53" i="7"/>
  <c r="AH53" i="7"/>
  <c r="BB53" i="7"/>
  <c r="AC53" i="7"/>
  <c r="AE53" i="7"/>
  <c r="AL53" i="7"/>
  <c r="H53" i="7"/>
  <c r="AT53" i="7"/>
  <c r="E53" i="7"/>
  <c r="BE53" i="7"/>
  <c r="AQ53" i="7"/>
  <c r="AS53" i="7"/>
  <c r="C53" i="7"/>
  <c r="BD53" i="7"/>
  <c r="AN53" i="7"/>
  <c r="V53" i="7"/>
  <c r="BA53" i="7"/>
  <c r="B53" i="7"/>
  <c r="AF53" i="7"/>
  <c r="I55" i="8"/>
  <c r="G55" i="8"/>
  <c r="F55" i="8"/>
  <c r="V46" i="9"/>
  <c r="S46" i="9"/>
  <c r="AB46" i="9"/>
  <c r="D46" i="9"/>
  <c r="H46" i="9"/>
  <c r="AY46" i="9"/>
  <c r="BB46" i="9"/>
  <c r="AP46" i="9"/>
  <c r="AI46" i="9"/>
  <c r="AF46" i="9"/>
  <c r="AL46" i="9"/>
  <c r="BD46" i="9"/>
  <c r="T46" i="9"/>
  <c r="P46" i="9"/>
  <c r="AT46" i="9"/>
  <c r="AU46" i="9"/>
  <c r="Y46" i="9"/>
  <c r="AA46" i="9"/>
  <c r="AM46" i="9"/>
  <c r="BC46" i="9"/>
  <c r="AK46" i="9"/>
  <c r="BA46" i="9"/>
  <c r="AR46" i="9"/>
  <c r="AO46" i="9"/>
  <c r="J46" i="9"/>
  <c r="O46" i="9"/>
  <c r="AS46" i="9"/>
  <c r="E46" i="9"/>
  <c r="M46" i="9"/>
  <c r="AX46" i="9"/>
  <c r="W46" i="9"/>
  <c r="N46" i="9"/>
  <c r="AZ46" i="9"/>
  <c r="K46" i="9"/>
  <c r="AE46" i="9"/>
  <c r="AV46" i="9"/>
  <c r="Z46" i="9"/>
  <c r="AQ46" i="9"/>
  <c r="L46" i="9"/>
  <c r="AN46" i="9"/>
  <c r="AW46" i="9"/>
  <c r="AD46" i="9"/>
  <c r="U46" i="9"/>
  <c r="C46" i="9"/>
  <c r="BF46" i="9"/>
  <c r="AH46" i="9"/>
  <c r="X46" i="9"/>
  <c r="AJ46" i="9"/>
  <c r="R46" i="9"/>
  <c r="AG46" i="9"/>
  <c r="Q46" i="9"/>
  <c r="BE46" i="9"/>
  <c r="B46" i="9"/>
  <c r="AC46" i="9"/>
  <c r="BE27" i="5"/>
  <c r="Y27" i="5"/>
  <c r="AW27" i="5"/>
  <c r="AE27" i="5"/>
  <c r="P27" i="5"/>
  <c r="BF27" i="5"/>
  <c r="N27" i="5"/>
  <c r="AT27" i="5"/>
  <c r="J27" i="5"/>
  <c r="O27" i="5"/>
  <c r="S27" i="5"/>
  <c r="D27" i="5"/>
  <c r="AN27" i="5"/>
  <c r="AH27" i="5"/>
  <c r="AX27" i="5"/>
  <c r="AI27" i="5"/>
  <c r="AD27" i="5"/>
  <c r="K27" i="5"/>
  <c r="AB27" i="5"/>
  <c r="AS27" i="5"/>
  <c r="AO27" i="5"/>
  <c r="V27" i="5"/>
  <c r="AP27" i="5"/>
  <c r="AQ27" i="5"/>
  <c r="AM27" i="5"/>
  <c r="Z27" i="5"/>
  <c r="X27" i="5"/>
  <c r="BB27" i="5"/>
  <c r="AR27" i="5"/>
  <c r="AU27" i="5"/>
  <c r="AG27" i="5"/>
  <c r="BD27" i="5"/>
  <c r="AA27" i="5"/>
  <c r="U27" i="5"/>
  <c r="AZ27" i="5"/>
  <c r="BA27" i="5"/>
  <c r="W27" i="5"/>
  <c r="C27" i="5"/>
  <c r="R27" i="5"/>
  <c r="AV27" i="5"/>
  <c r="AL27" i="5"/>
  <c r="AY27" i="5"/>
  <c r="AK27" i="5"/>
  <c r="AF27" i="5"/>
  <c r="L27" i="5"/>
  <c r="E27" i="5"/>
  <c r="AJ27" i="5"/>
  <c r="H27" i="5"/>
  <c r="AC27" i="5"/>
  <c r="BC27" i="5"/>
  <c r="T27" i="5"/>
  <c r="Q27" i="5"/>
  <c r="B27" i="5"/>
  <c r="M27" i="5"/>
  <c r="AQ49" i="8"/>
  <c r="Q49" i="8"/>
  <c r="L49" i="8"/>
  <c r="AO49" i="8"/>
  <c r="BB49" i="8"/>
  <c r="AI49" i="8"/>
  <c r="AV49" i="8"/>
  <c r="O49" i="8"/>
  <c r="H49" i="8"/>
  <c r="AB49" i="8"/>
  <c r="AH49" i="8"/>
  <c r="AT49" i="8"/>
  <c r="AW49" i="8"/>
  <c r="Y49" i="8"/>
  <c r="K49" i="8"/>
  <c r="W49" i="8"/>
  <c r="J49" i="8"/>
  <c r="AA49" i="8"/>
  <c r="BE49" i="8"/>
  <c r="AZ49" i="8"/>
  <c r="AL49" i="8"/>
  <c r="AP49" i="8"/>
  <c r="AN49" i="8"/>
  <c r="AX49" i="8"/>
  <c r="AD49" i="8"/>
  <c r="AG49" i="8"/>
  <c r="U49" i="8"/>
  <c r="AY49" i="8"/>
  <c r="AK49" i="8"/>
  <c r="AR49" i="8"/>
  <c r="N49" i="8"/>
  <c r="R49" i="8"/>
  <c r="BA49" i="8"/>
  <c r="AF49" i="8"/>
  <c r="D49" i="8"/>
  <c r="T49" i="8"/>
  <c r="E49" i="8"/>
  <c r="AJ49" i="8"/>
  <c r="X49" i="8"/>
  <c r="AC49" i="8"/>
  <c r="AM49" i="8"/>
  <c r="Z49" i="8"/>
  <c r="M49" i="8"/>
  <c r="AE49" i="8"/>
  <c r="P49" i="8"/>
  <c r="AS49" i="8"/>
  <c r="BC49" i="8"/>
  <c r="S49" i="8"/>
  <c r="C49" i="8"/>
  <c r="BF49" i="8"/>
  <c r="AU49" i="8"/>
  <c r="V49" i="8"/>
  <c r="B49" i="8"/>
  <c r="BD49" i="8"/>
  <c r="N32" i="10"/>
  <c r="AS32" i="10"/>
  <c r="BB32" i="10"/>
  <c r="BE32" i="10"/>
  <c r="D32" i="10"/>
  <c r="Y32" i="10"/>
  <c r="AR32" i="10"/>
  <c r="BC32" i="10"/>
  <c r="V32" i="10"/>
  <c r="AP32" i="10"/>
  <c r="Z32" i="10"/>
  <c r="AB32" i="10"/>
  <c r="T32" i="10"/>
  <c r="BA32" i="10"/>
  <c r="K32" i="10"/>
  <c r="AH32" i="10"/>
  <c r="AK32" i="10"/>
  <c r="AD32" i="10"/>
  <c r="AX32" i="10"/>
  <c r="AA32" i="10"/>
  <c r="AC32" i="10"/>
  <c r="AN32" i="10"/>
  <c r="S32" i="10"/>
  <c r="AI32" i="10"/>
  <c r="Q32" i="10"/>
  <c r="AO32" i="10"/>
  <c r="BF32" i="10"/>
  <c r="AT32" i="10"/>
  <c r="BD32" i="10"/>
  <c r="AQ32" i="10"/>
  <c r="AL32" i="10"/>
  <c r="AV32" i="10"/>
  <c r="E32" i="10"/>
  <c r="W32" i="10"/>
  <c r="H32" i="10"/>
  <c r="M32" i="10"/>
  <c r="AU32" i="10"/>
  <c r="U32" i="10"/>
  <c r="AZ32" i="10"/>
  <c r="J32" i="10"/>
  <c r="AF32" i="10"/>
  <c r="P32" i="10"/>
  <c r="AY32" i="10"/>
  <c r="AM32" i="10"/>
  <c r="AW32" i="10"/>
  <c r="O32" i="10"/>
  <c r="AJ32" i="10"/>
  <c r="C32" i="10"/>
  <c r="X32" i="10"/>
  <c r="AG32" i="10"/>
  <c r="R32" i="10"/>
  <c r="L32" i="10"/>
  <c r="B32" i="10"/>
  <c r="AE32" i="10"/>
  <c r="AE57" i="10"/>
  <c r="BD57" i="10"/>
  <c r="Y57" i="10"/>
  <c r="D57" i="10"/>
  <c r="BB57" i="10"/>
  <c r="AY57" i="10"/>
  <c r="AO57" i="10"/>
  <c r="C57" i="10"/>
  <c r="O57" i="10"/>
  <c r="N57" i="10"/>
  <c r="X57" i="10"/>
  <c r="AP57" i="10"/>
  <c r="Q57" i="10"/>
  <c r="L57" i="10"/>
  <c r="J57" i="10"/>
  <c r="AC57" i="10"/>
  <c r="AF57" i="10"/>
  <c r="H57" i="10"/>
  <c r="AH57" i="10"/>
  <c r="AR57" i="10"/>
  <c r="BE57" i="10"/>
  <c r="AN57" i="10"/>
  <c r="Z57" i="10"/>
  <c r="AZ57" i="10"/>
  <c r="AX57" i="10"/>
  <c r="AD57" i="10"/>
  <c r="P57" i="10"/>
  <c r="AK57" i="10"/>
  <c r="T57" i="10"/>
  <c r="AS57" i="10"/>
  <c r="E57" i="10"/>
  <c r="R57" i="10"/>
  <c r="AJ57" i="10"/>
  <c r="V57" i="10"/>
  <c r="AI57" i="10"/>
  <c r="BA57" i="10"/>
  <c r="BC57" i="10"/>
  <c r="AV57" i="10"/>
  <c r="K57" i="10"/>
  <c r="U57" i="10"/>
  <c r="S57" i="10"/>
  <c r="M57" i="10"/>
  <c r="AU57" i="10"/>
  <c r="AA57" i="10"/>
  <c r="AL57" i="10"/>
  <c r="W57" i="10"/>
  <c r="AM57" i="10"/>
  <c r="AB57" i="10"/>
  <c r="AG57" i="10"/>
  <c r="AT57" i="10"/>
  <c r="BF57" i="10"/>
  <c r="AW57" i="10"/>
  <c r="B57" i="10"/>
  <c r="AQ57" i="10"/>
  <c r="BE25" i="10"/>
  <c r="AW25" i="10"/>
  <c r="Q25" i="10"/>
  <c r="AL25" i="10"/>
  <c r="AR25" i="10"/>
  <c r="Y25" i="10"/>
  <c r="S25" i="10"/>
  <c r="BA25" i="10"/>
  <c r="O25" i="10"/>
  <c r="AE25" i="10"/>
  <c r="AJ25" i="10"/>
  <c r="AQ25" i="10"/>
  <c r="E25" i="10"/>
  <c r="BF25" i="10"/>
  <c r="W25" i="10"/>
  <c r="AF25" i="10"/>
  <c r="AX25" i="10"/>
  <c r="K25" i="10"/>
  <c r="AS25" i="10"/>
  <c r="L25" i="10"/>
  <c r="AH25" i="10"/>
  <c r="AZ25" i="10"/>
  <c r="AT25" i="10"/>
  <c r="AU25" i="10"/>
  <c r="AD25" i="10"/>
  <c r="AN25" i="10"/>
  <c r="AA25" i="10"/>
  <c r="AP25" i="10"/>
  <c r="BB25" i="10"/>
  <c r="X25" i="10"/>
  <c r="BC25" i="10"/>
  <c r="AC25" i="10"/>
  <c r="R25" i="10"/>
  <c r="AI25" i="10"/>
  <c r="AO25" i="10"/>
  <c r="H25" i="10"/>
  <c r="Z25" i="10"/>
  <c r="J25" i="10"/>
  <c r="P25" i="10"/>
  <c r="C25" i="10"/>
  <c r="AV25" i="10"/>
  <c r="AG25" i="10"/>
  <c r="AK25" i="10"/>
  <c r="AB25" i="10"/>
  <c r="V25" i="10"/>
  <c r="N25" i="10"/>
  <c r="D25" i="10"/>
  <c r="BD25" i="10"/>
  <c r="T25" i="10"/>
  <c r="AM25" i="10"/>
  <c r="AY25" i="10"/>
  <c r="M25" i="10"/>
  <c r="B25" i="10"/>
  <c r="U25" i="10"/>
  <c r="AE14" i="10"/>
  <c r="Q14" i="10"/>
  <c r="X14" i="10"/>
  <c r="C14" i="10"/>
  <c r="AF14" i="10"/>
  <c r="AH14" i="10"/>
  <c r="W14" i="10"/>
  <c r="AL14" i="10"/>
  <c r="AC14" i="10"/>
  <c r="Z14" i="10"/>
  <c r="R14" i="10"/>
  <c r="Y14" i="10"/>
  <c r="AM14" i="10"/>
  <c r="AQ14" i="10"/>
  <c r="AG14" i="10"/>
  <c r="AI14" i="10"/>
  <c r="AT14" i="10"/>
  <c r="J14" i="10"/>
  <c r="AX14" i="10"/>
  <c r="P14" i="10"/>
  <c r="AK14" i="10"/>
  <c r="AW14" i="10"/>
  <c r="AN14" i="10"/>
  <c r="AV14" i="10"/>
  <c r="AO14" i="10"/>
  <c r="AZ14" i="10"/>
  <c r="AJ14" i="10"/>
  <c r="AD14" i="10"/>
  <c r="N14" i="10"/>
  <c r="BD14" i="10"/>
  <c r="BB14" i="10"/>
  <c r="O14" i="10"/>
  <c r="U14" i="10"/>
  <c r="V14" i="10"/>
  <c r="E14" i="10"/>
  <c r="AR14" i="10"/>
  <c r="L14" i="10"/>
  <c r="AP14" i="10"/>
  <c r="BA14" i="10"/>
  <c r="S14" i="10"/>
  <c r="K14" i="10"/>
  <c r="D14" i="10"/>
  <c r="AU14" i="10"/>
  <c r="AB14" i="10"/>
  <c r="M14" i="10"/>
  <c r="BF14" i="10"/>
  <c r="BC14" i="10"/>
  <c r="T14" i="10"/>
  <c r="AS14" i="10"/>
  <c r="AA14" i="10"/>
  <c r="BE14" i="10"/>
  <c r="H14" i="10"/>
  <c r="B14" i="10"/>
  <c r="AY14" i="10"/>
  <c r="M15" i="10"/>
  <c r="AG15" i="10"/>
  <c r="L15" i="10"/>
  <c r="V15" i="10"/>
  <c r="AP15" i="10"/>
  <c r="D15" i="10"/>
  <c r="BF15" i="10"/>
  <c r="U15" i="10"/>
  <c r="N15" i="10"/>
  <c r="AA15" i="10"/>
  <c r="AN15" i="10"/>
  <c r="J15" i="10"/>
  <c r="AJ15" i="10"/>
  <c r="BC15" i="10"/>
  <c r="X15" i="10"/>
  <c r="P15" i="10"/>
  <c r="BD15" i="10"/>
  <c r="T15" i="10"/>
  <c r="AO15" i="10"/>
  <c r="C15" i="10"/>
  <c r="AT15" i="10"/>
  <c r="BA15" i="10"/>
  <c r="O15" i="10"/>
  <c r="AD15" i="10"/>
  <c r="AR15" i="10"/>
  <c r="AF15" i="10"/>
  <c r="BE15" i="10"/>
  <c r="S15" i="10"/>
  <c r="AS15" i="10"/>
  <c r="H15" i="10"/>
  <c r="W15" i="10"/>
  <c r="AL15" i="10"/>
  <c r="AB15" i="10"/>
  <c r="AQ15" i="10"/>
  <c r="AH15" i="10"/>
  <c r="AM15" i="10"/>
  <c r="Y15" i="10"/>
  <c r="AY15" i="10"/>
  <c r="AV15" i="10"/>
  <c r="E15" i="10"/>
  <c r="Q15" i="10"/>
  <c r="AX15" i="10"/>
  <c r="BB15" i="10"/>
  <c r="AE15" i="10"/>
  <c r="Z15" i="10"/>
  <c r="AZ15" i="10"/>
  <c r="AW15" i="10"/>
  <c r="R15" i="10"/>
  <c r="AI15" i="10"/>
  <c r="AU15" i="10"/>
  <c r="K15" i="10"/>
  <c r="AK15" i="10"/>
  <c r="B15" i="10"/>
  <c r="AC15" i="10"/>
  <c r="E11" i="10"/>
  <c r="AD11" i="10"/>
  <c r="BD11" i="10"/>
  <c r="BF11" i="10"/>
  <c r="AN11" i="10"/>
  <c r="Y11" i="10"/>
  <c r="AG11" i="10"/>
  <c r="AM11" i="10"/>
  <c r="J11" i="10"/>
  <c r="AW11" i="10"/>
  <c r="V11" i="10"/>
  <c r="AF11" i="10"/>
  <c r="R11" i="10"/>
  <c r="T11" i="10"/>
  <c r="L11" i="10"/>
  <c r="AE11" i="10"/>
  <c r="AL11" i="10"/>
  <c r="BC11" i="10"/>
  <c r="AS11" i="10"/>
  <c r="AI11" i="10"/>
  <c r="W11" i="10"/>
  <c r="AT11" i="10"/>
  <c r="AX11" i="10"/>
  <c r="AR11" i="10"/>
  <c r="O11" i="10"/>
  <c r="P11" i="10"/>
  <c r="N11" i="10"/>
  <c r="Q11" i="10"/>
  <c r="BE11" i="10"/>
  <c r="C11" i="10"/>
  <c r="BA11" i="10"/>
  <c r="BB11" i="10"/>
  <c r="X11" i="10"/>
  <c r="AO11" i="10"/>
  <c r="U11" i="10"/>
  <c r="H11" i="10"/>
  <c r="AA11" i="10"/>
  <c r="AU11" i="10"/>
  <c r="AP11" i="10"/>
  <c r="K11" i="10"/>
  <c r="M11" i="10"/>
  <c r="AY11" i="10"/>
  <c r="D11" i="10"/>
  <c r="AH11" i="10"/>
  <c r="AJ11" i="10"/>
  <c r="AB11" i="10"/>
  <c r="AQ11" i="10"/>
  <c r="AK11" i="10"/>
  <c r="S11" i="10"/>
  <c r="AC11" i="10"/>
  <c r="AZ11" i="10"/>
  <c r="AV11" i="10"/>
  <c r="B11" i="10"/>
  <c r="Z11" i="10"/>
  <c r="AT10" i="10"/>
  <c r="U10" i="10"/>
  <c r="J10" i="10"/>
  <c r="V10" i="10"/>
  <c r="Y10" i="10"/>
  <c r="M10" i="10"/>
  <c r="BF10" i="10"/>
  <c r="BA10" i="10"/>
  <c r="AU10" i="10"/>
  <c r="BB10" i="10"/>
  <c r="P10" i="10"/>
  <c r="N10" i="10"/>
  <c r="Q10" i="10"/>
  <c r="AF10" i="10"/>
  <c r="Z10" i="10"/>
  <c r="AO10" i="10"/>
  <c r="K10" i="10"/>
  <c r="H10" i="10"/>
  <c r="AH10" i="10"/>
  <c r="AR10" i="10"/>
  <c r="AB10" i="10"/>
  <c r="S10" i="10"/>
  <c r="R10" i="10"/>
  <c r="AM10" i="10"/>
  <c r="AV10" i="10"/>
  <c r="AQ10" i="10"/>
  <c r="AK10" i="10"/>
  <c r="AP10" i="10"/>
  <c r="AX10" i="10"/>
  <c r="AJ10" i="10"/>
  <c r="AG10" i="10"/>
  <c r="AI10" i="10"/>
  <c r="AZ10" i="10"/>
  <c r="AN10" i="10"/>
  <c r="C10" i="10"/>
  <c r="E10" i="10"/>
  <c r="L10" i="10"/>
  <c r="X10" i="10"/>
  <c r="AS10" i="10"/>
  <c r="AY10" i="10"/>
  <c r="D10" i="10"/>
  <c r="BE10" i="10"/>
  <c r="AC10" i="10"/>
  <c r="AE10" i="10"/>
  <c r="AW10" i="10"/>
  <c r="AD10" i="10"/>
  <c r="W10" i="10"/>
  <c r="BC10" i="10"/>
  <c r="AA10" i="10"/>
  <c r="AL10" i="10"/>
  <c r="BD10" i="10"/>
  <c r="T10" i="10"/>
  <c r="B10" i="10"/>
  <c r="O10" i="10"/>
  <c r="D44" i="10"/>
  <c r="K44" i="10"/>
  <c r="AT44" i="10"/>
  <c r="U44" i="10"/>
  <c r="E44" i="10"/>
  <c r="AK44" i="10"/>
  <c r="AI44" i="10"/>
  <c r="L44" i="10"/>
  <c r="J44" i="10"/>
  <c r="T44" i="10"/>
  <c r="AV44" i="10"/>
  <c r="AA44" i="10"/>
  <c r="Z44" i="10"/>
  <c r="AE44" i="10"/>
  <c r="AS44" i="10"/>
  <c r="Q44" i="10"/>
  <c r="AY44" i="10"/>
  <c r="Y44" i="10"/>
  <c r="C44" i="10"/>
  <c r="AP44" i="10"/>
  <c r="AQ44" i="10"/>
  <c r="S44" i="10"/>
  <c r="BF44" i="10"/>
  <c r="R44" i="10"/>
  <c r="AC44" i="10"/>
  <c r="O44" i="10"/>
  <c r="W44" i="10"/>
  <c r="H44" i="10"/>
  <c r="AW44" i="10"/>
  <c r="AO44" i="10"/>
  <c r="AL44" i="10"/>
  <c r="BE44" i="10"/>
  <c r="X44" i="10"/>
  <c r="AM44" i="10"/>
  <c r="AB44" i="10"/>
  <c r="AU44" i="10"/>
  <c r="AF44" i="10"/>
  <c r="V44" i="10"/>
  <c r="AX44" i="10"/>
  <c r="AG44" i="10"/>
  <c r="AD44" i="10"/>
  <c r="BC44" i="10"/>
  <c r="AR44" i="10"/>
  <c r="M44" i="10"/>
  <c r="P44" i="10"/>
  <c r="AJ44" i="10"/>
  <c r="BB44" i="10"/>
  <c r="N44" i="10"/>
  <c r="AZ44" i="10"/>
  <c r="BD44" i="10"/>
  <c r="AH44" i="10"/>
  <c r="BA44" i="10"/>
  <c r="B44" i="10"/>
  <c r="AN44" i="10"/>
  <c r="AC7" i="10"/>
  <c r="AN7" i="10"/>
  <c r="AS7" i="10"/>
  <c r="BF7" i="10"/>
  <c r="AD7" i="10"/>
  <c r="M7" i="10"/>
  <c r="BD7" i="10"/>
  <c r="V7" i="10"/>
  <c r="AE7" i="10"/>
  <c r="AI7" i="10"/>
  <c r="AZ7" i="10"/>
  <c r="X7" i="10"/>
  <c r="AL7" i="10"/>
  <c r="AO7" i="10"/>
  <c r="L7" i="10"/>
  <c r="AX7" i="10"/>
  <c r="BE7" i="10"/>
  <c r="AY7" i="10"/>
  <c r="R7" i="10"/>
  <c r="Q7" i="10"/>
  <c r="AR7" i="10"/>
  <c r="AT7" i="10"/>
  <c r="AQ7" i="10"/>
  <c r="T7" i="10"/>
  <c r="AK7" i="10"/>
  <c r="BA7" i="10"/>
  <c r="D7" i="10"/>
  <c r="AW7" i="10"/>
  <c r="Y7" i="10"/>
  <c r="S7" i="10"/>
  <c r="U7" i="10"/>
  <c r="H7" i="10"/>
  <c r="AP7" i="10"/>
  <c r="AM7" i="10"/>
  <c r="AJ7" i="10"/>
  <c r="W7" i="10"/>
  <c r="K7" i="10"/>
  <c r="AF7" i="10"/>
  <c r="BC7" i="10"/>
  <c r="AU7" i="10"/>
  <c r="BB7" i="10"/>
  <c r="E7" i="10"/>
  <c r="AB7" i="10"/>
  <c r="J7" i="10"/>
  <c r="AA7" i="10"/>
  <c r="N7" i="10"/>
  <c r="AV7" i="10"/>
  <c r="P7" i="10"/>
  <c r="AH7" i="10"/>
  <c r="O7" i="10"/>
  <c r="Z7" i="10"/>
  <c r="AG7" i="10"/>
  <c r="B7" i="10"/>
  <c r="C7" i="10"/>
  <c r="BD56" i="2"/>
  <c r="AR56" i="2"/>
  <c r="AP56" i="2"/>
  <c r="Y56" i="2"/>
  <c r="T56" i="2"/>
  <c r="H56" i="2"/>
  <c r="Q56" i="2"/>
  <c r="R56" i="2"/>
  <c r="AF56" i="2"/>
  <c r="Z56" i="2"/>
  <c r="W56" i="2"/>
  <c r="AX56" i="2"/>
  <c r="U56" i="2"/>
  <c r="V56" i="2"/>
  <c r="BC56" i="2"/>
  <c r="M56" i="2"/>
  <c r="AC56" i="2"/>
  <c r="D56" i="2"/>
  <c r="BB56" i="2"/>
  <c r="AL56" i="2"/>
  <c r="AJ56" i="2"/>
  <c r="K56" i="2"/>
  <c r="C56" i="2"/>
  <c r="AT56" i="2"/>
  <c r="BE56" i="2"/>
  <c r="J56" i="2"/>
  <c r="AV56" i="2"/>
  <c r="P56" i="2"/>
  <c r="AI56" i="2"/>
  <c r="N56" i="2"/>
  <c r="AW56" i="2"/>
  <c r="AS56" i="2"/>
  <c r="AE56" i="2"/>
  <c r="AU56" i="2"/>
  <c r="AQ56" i="2"/>
  <c r="E56" i="2"/>
  <c r="O56" i="2"/>
  <c r="X56" i="2"/>
  <c r="BA56" i="2"/>
  <c r="AZ56" i="2"/>
  <c r="AK56" i="2"/>
  <c r="AG56" i="2"/>
  <c r="AO56" i="2"/>
  <c r="AN56" i="2"/>
  <c r="AY56" i="2"/>
  <c r="AA56" i="2"/>
  <c r="AB56" i="2"/>
  <c r="L56" i="2"/>
  <c r="AH56" i="2"/>
  <c r="S56" i="2"/>
  <c r="AD56" i="2"/>
  <c r="BF56" i="2"/>
  <c r="B56" i="2"/>
  <c r="AM56" i="2"/>
  <c r="D4" i="10"/>
  <c r="L4" i="10"/>
  <c r="AM4" i="10"/>
  <c r="AP4" i="10"/>
  <c r="N4" i="10"/>
  <c r="AU4" i="10"/>
  <c r="AS4" i="10"/>
  <c r="AF4" i="10"/>
  <c r="AL4" i="10"/>
  <c r="Z4" i="10"/>
  <c r="BC4" i="10"/>
  <c r="K4" i="10"/>
  <c r="BD4" i="10"/>
  <c r="AD4" i="10"/>
  <c r="AJ4" i="10"/>
  <c r="Q4" i="10"/>
  <c r="AQ4" i="10"/>
  <c r="V4" i="10"/>
  <c r="E4" i="10"/>
  <c r="AV4" i="10"/>
  <c r="O4" i="10"/>
  <c r="J4" i="10"/>
  <c r="BF4" i="10"/>
  <c r="AA4" i="10"/>
  <c r="AX4" i="10"/>
  <c r="U4" i="10"/>
  <c r="AB4" i="10"/>
  <c r="AZ4" i="10"/>
  <c r="P4" i="10"/>
  <c r="BB4" i="10"/>
  <c r="AE4" i="10"/>
  <c r="R4" i="10"/>
  <c r="AC4" i="10"/>
  <c r="AK4" i="10"/>
  <c r="C4" i="10"/>
  <c r="AH4" i="10"/>
  <c r="AI4" i="10"/>
  <c r="Y4" i="10"/>
  <c r="AR4" i="10"/>
  <c r="S4" i="10"/>
  <c r="AW4" i="10"/>
  <c r="AY4" i="10"/>
  <c r="BA4" i="10"/>
  <c r="W4" i="10"/>
  <c r="AO4" i="10"/>
  <c r="BE4" i="10"/>
  <c r="M4" i="10"/>
  <c r="AN4" i="10"/>
  <c r="T4" i="10"/>
  <c r="X4" i="10"/>
  <c r="H4" i="10"/>
  <c r="AT4" i="10"/>
  <c r="B4" i="10"/>
  <c r="AG4" i="10"/>
  <c r="O28" i="8"/>
  <c r="AQ28" i="8"/>
  <c r="BE28" i="8"/>
  <c r="AE28" i="8"/>
  <c r="AF28" i="8"/>
  <c r="AX28" i="8"/>
  <c r="AB28" i="8"/>
  <c r="AO28" i="8"/>
  <c r="BD28" i="8"/>
  <c r="AK28" i="8"/>
  <c r="V28" i="8"/>
  <c r="K28" i="8"/>
  <c r="AW28" i="8"/>
  <c r="AI28" i="8"/>
  <c r="BF28" i="8"/>
  <c r="AL28" i="8"/>
  <c r="X28" i="8"/>
  <c r="AD28" i="8"/>
  <c r="L28" i="8"/>
  <c r="M28" i="8"/>
  <c r="J28" i="8"/>
  <c r="AZ28" i="8"/>
  <c r="AU28" i="8"/>
  <c r="Y28" i="8"/>
  <c r="AA28" i="8"/>
  <c r="P28" i="8"/>
  <c r="T28" i="8"/>
  <c r="U28" i="8"/>
  <c r="AJ28" i="8"/>
  <c r="N28" i="8"/>
  <c r="AP28" i="8"/>
  <c r="S28" i="8"/>
  <c r="AY28" i="8"/>
  <c r="Q28" i="8"/>
  <c r="E28" i="8"/>
  <c r="BB28" i="8"/>
  <c r="W28" i="8"/>
  <c r="AV28" i="8"/>
  <c r="AG28" i="8"/>
  <c r="D28" i="8"/>
  <c r="BC28" i="8"/>
  <c r="AS28" i="8"/>
  <c r="AH28" i="8"/>
  <c r="C28" i="8"/>
  <c r="AT28" i="8"/>
  <c r="BA28" i="8"/>
  <c r="AC28" i="8"/>
  <c r="AN28" i="8"/>
  <c r="AM28" i="8"/>
  <c r="Z28" i="8"/>
  <c r="R28" i="8"/>
  <c r="AR28" i="8"/>
  <c r="B28" i="8"/>
  <c r="H28" i="8"/>
  <c r="AI3" i="10"/>
  <c r="L3" i="10"/>
  <c r="T3" i="10"/>
  <c r="AV3" i="10"/>
  <c r="AB3" i="10"/>
  <c r="AG3" i="10"/>
  <c r="AT3" i="10"/>
  <c r="Y3" i="10"/>
  <c r="H3" i="10"/>
  <c r="AM3" i="10"/>
  <c r="AR3" i="10"/>
  <c r="AO3" i="10"/>
  <c r="U3" i="10"/>
  <c r="AA3" i="10"/>
  <c r="C3" i="10"/>
  <c r="J3" i="10"/>
  <c r="AU3" i="10"/>
  <c r="AJ3" i="10"/>
  <c r="BD3" i="10"/>
  <c r="S3" i="10"/>
  <c r="AD3" i="10"/>
  <c r="AN3" i="10"/>
  <c r="AY3" i="10"/>
  <c r="BE3" i="10"/>
  <c r="N3" i="10"/>
  <c r="AX3" i="10"/>
  <c r="AZ3" i="10"/>
  <c r="AQ3" i="10"/>
  <c r="R3" i="10"/>
  <c r="AS3" i="10"/>
  <c r="O3" i="10"/>
  <c r="BB3" i="10"/>
  <c r="AW3" i="10"/>
  <c r="Z3" i="10"/>
  <c r="V3" i="10"/>
  <c r="K3" i="10"/>
  <c r="P3" i="10"/>
  <c r="AC3" i="10"/>
  <c r="BF3" i="10"/>
  <c r="E3" i="10"/>
  <c r="M3" i="10"/>
  <c r="X3" i="10"/>
  <c r="AF3" i="10"/>
  <c r="BA3" i="10"/>
  <c r="AK3" i="10"/>
  <c r="D3" i="10"/>
  <c r="BC3" i="10"/>
  <c r="W3" i="10"/>
  <c r="AP3" i="10"/>
  <c r="AE3" i="10"/>
  <c r="Q3" i="10"/>
  <c r="AL3" i="10"/>
  <c r="B3" i="10"/>
  <c r="AH3" i="10"/>
  <c r="AY29" i="4"/>
  <c r="AL29" i="4"/>
  <c r="BB29" i="4"/>
  <c r="AF29" i="4"/>
  <c r="V29" i="4"/>
  <c r="Q29" i="4"/>
  <c r="T29" i="4"/>
  <c r="AR29" i="4"/>
  <c r="J29" i="4"/>
  <c r="AW29" i="4"/>
  <c r="BF29" i="4"/>
  <c r="AN29" i="4"/>
  <c r="L29" i="4"/>
  <c r="AV29" i="4"/>
  <c r="AU29" i="4"/>
  <c r="H29" i="4"/>
  <c r="K29" i="4"/>
  <c r="AA29" i="4"/>
  <c r="Y29" i="4"/>
  <c r="S29" i="4"/>
  <c r="AD29" i="4"/>
  <c r="E29" i="4"/>
  <c r="BA29" i="4"/>
  <c r="M29" i="4"/>
  <c r="W29" i="4"/>
  <c r="BC29" i="4"/>
  <c r="AC29" i="4"/>
  <c r="AO29" i="4"/>
  <c r="AK29" i="4"/>
  <c r="BD29" i="4"/>
  <c r="AM29" i="4"/>
  <c r="U29" i="4"/>
  <c r="AQ29" i="4"/>
  <c r="AT29" i="4"/>
  <c r="AZ29" i="4"/>
  <c r="P29" i="4"/>
  <c r="BE29" i="4"/>
  <c r="AX29" i="4"/>
  <c r="AP29" i="4"/>
  <c r="Z29" i="4"/>
  <c r="AE29" i="4"/>
  <c r="C29" i="4"/>
  <c r="N29" i="4"/>
  <c r="AH29" i="4"/>
  <c r="D29" i="4"/>
  <c r="R29" i="4"/>
  <c r="AJ29" i="4"/>
  <c r="AB29" i="4"/>
  <c r="AS29" i="4"/>
  <c r="AI29" i="4"/>
  <c r="O29" i="4"/>
  <c r="X29" i="4"/>
  <c r="B29" i="4"/>
  <c r="AG29" i="4"/>
  <c r="BD58" i="9"/>
  <c r="Z58" i="9"/>
  <c r="AI58" i="9"/>
  <c r="AU58" i="9"/>
  <c r="AS58" i="9"/>
  <c r="AV58" i="9"/>
  <c r="AD58" i="9"/>
  <c r="K58" i="9"/>
  <c r="AW58" i="9"/>
  <c r="AH58" i="9"/>
  <c r="AL58" i="9"/>
  <c r="AG58" i="9"/>
  <c r="AX58" i="9"/>
  <c r="S58" i="9"/>
  <c r="N58" i="9"/>
  <c r="AN58" i="9"/>
  <c r="AF58" i="9"/>
  <c r="AB58" i="9"/>
  <c r="R58" i="9"/>
  <c r="V58" i="9"/>
  <c r="T58" i="9"/>
  <c r="BC58" i="9"/>
  <c r="O58" i="9"/>
  <c r="AR58" i="9"/>
  <c r="AJ58" i="9"/>
  <c r="L58" i="9"/>
  <c r="AZ58" i="9"/>
  <c r="M58" i="9"/>
  <c r="Q58" i="9"/>
  <c r="AY58" i="9"/>
  <c r="BE58" i="9"/>
  <c r="BA58" i="9"/>
  <c r="AO58" i="9"/>
  <c r="Y58" i="9"/>
  <c r="AQ58" i="9"/>
  <c r="AT58" i="9"/>
  <c r="D58" i="9"/>
  <c r="AA58" i="9"/>
  <c r="P58" i="9"/>
  <c r="AP58" i="9"/>
  <c r="AM58" i="9"/>
  <c r="AK58" i="9"/>
  <c r="U58" i="9"/>
  <c r="BF58" i="9"/>
  <c r="AE58" i="9"/>
  <c r="BB58" i="9"/>
  <c r="E58" i="9"/>
  <c r="AC58" i="9"/>
  <c r="C58" i="9"/>
  <c r="W58" i="9"/>
  <c r="J58" i="9"/>
  <c r="H58" i="9"/>
  <c r="B58" i="9"/>
  <c r="X58" i="9"/>
  <c r="H49" i="7"/>
  <c r="AH49" i="7"/>
  <c r="AU49" i="7"/>
  <c r="AV49" i="7"/>
  <c r="BA49" i="7"/>
  <c r="AT49" i="7"/>
  <c r="AN49" i="7"/>
  <c r="AJ49" i="7"/>
  <c r="P49" i="7"/>
  <c r="AF49" i="7"/>
  <c r="R49" i="7"/>
  <c r="AX49" i="7"/>
  <c r="Z49" i="7"/>
  <c r="AD49" i="7"/>
  <c r="AO49" i="7"/>
  <c r="U49" i="7"/>
  <c r="BF49" i="7"/>
  <c r="Y49" i="7"/>
  <c r="AS49" i="7"/>
  <c r="AB49" i="7"/>
  <c r="O49" i="7"/>
  <c r="S49" i="7"/>
  <c r="D49" i="7"/>
  <c r="T49" i="7"/>
  <c r="BE49" i="7"/>
  <c r="AL49" i="7"/>
  <c r="AP49" i="7"/>
  <c r="X49" i="7"/>
  <c r="Q49" i="7"/>
  <c r="AR49" i="7"/>
  <c r="AW49" i="7"/>
  <c r="M49" i="7"/>
  <c r="BB49" i="7"/>
  <c r="K49" i="7"/>
  <c r="AI49" i="7"/>
  <c r="E49" i="7"/>
  <c r="BD49" i="7"/>
  <c r="AE49" i="7"/>
  <c r="W49" i="7"/>
  <c r="V49" i="7"/>
  <c r="N49" i="7"/>
  <c r="AK49" i="7"/>
  <c r="AY49" i="7"/>
  <c r="AG49" i="7"/>
  <c r="AQ49" i="7"/>
  <c r="J49" i="7"/>
  <c r="AM49" i="7"/>
  <c r="AZ49" i="7"/>
  <c r="L49" i="7"/>
  <c r="BC49" i="7"/>
  <c r="C49" i="7"/>
  <c r="AC49" i="7"/>
  <c r="B49" i="7"/>
  <c r="AA49" i="7"/>
  <c r="AO39" i="9"/>
  <c r="AA39" i="9"/>
  <c r="E39" i="9"/>
  <c r="AR39" i="9"/>
  <c r="AV39" i="9"/>
  <c r="BB39" i="9"/>
  <c r="AY39" i="9"/>
  <c r="U39" i="9"/>
  <c r="H39" i="9"/>
  <c r="BF39" i="9"/>
  <c r="T39" i="9"/>
  <c r="S39" i="9"/>
  <c r="AN39" i="9"/>
  <c r="N39" i="9"/>
  <c r="AT39" i="9"/>
  <c r="AW39" i="9"/>
  <c r="D39" i="9"/>
  <c r="M39" i="9"/>
  <c r="AQ39" i="9"/>
  <c r="L39" i="9"/>
  <c r="AF39" i="9"/>
  <c r="AL39" i="9"/>
  <c r="AZ39" i="9"/>
  <c r="AI39" i="9"/>
  <c r="AG39" i="9"/>
  <c r="O39" i="9"/>
  <c r="BE39" i="9"/>
  <c r="BA39" i="9"/>
  <c r="AE39" i="9"/>
  <c r="BD39" i="9"/>
  <c r="C39" i="9"/>
  <c r="AJ39" i="9"/>
  <c r="Z39" i="9"/>
  <c r="AM39" i="9"/>
  <c r="AD39" i="9"/>
  <c r="R39" i="9"/>
  <c r="AK39" i="9"/>
  <c r="AH39" i="9"/>
  <c r="AX39" i="9"/>
  <c r="P39" i="9"/>
  <c r="AC39" i="9"/>
  <c r="AB39" i="9"/>
  <c r="V39" i="9"/>
  <c r="K39" i="9"/>
  <c r="AP39" i="9"/>
  <c r="Y39" i="9"/>
  <c r="AS39" i="9"/>
  <c r="Q39" i="9"/>
  <c r="AU39" i="9"/>
  <c r="J39" i="9"/>
  <c r="BC39" i="9"/>
  <c r="W39" i="9"/>
  <c r="B39" i="9"/>
  <c r="X39" i="9"/>
  <c r="AP36" i="4"/>
  <c r="W36" i="4"/>
  <c r="X36" i="4"/>
  <c r="AL36" i="4"/>
  <c r="Q36" i="4"/>
  <c r="K36" i="4"/>
  <c r="T36" i="4"/>
  <c r="AR36" i="4"/>
  <c r="S36" i="4"/>
  <c r="AT36" i="4"/>
  <c r="U36" i="4"/>
  <c r="M36" i="4"/>
  <c r="N36" i="4"/>
  <c r="BC36" i="4"/>
  <c r="AG36" i="4"/>
  <c r="AQ36" i="4"/>
  <c r="AS36" i="4"/>
  <c r="L36" i="4"/>
  <c r="AK36" i="4"/>
  <c r="AC36" i="4"/>
  <c r="D36" i="4"/>
  <c r="AU36" i="4"/>
  <c r="AH36" i="4"/>
  <c r="BF36" i="4"/>
  <c r="H36" i="4"/>
  <c r="AW36" i="4"/>
  <c r="AB36" i="4"/>
  <c r="AY36" i="4"/>
  <c r="AE36" i="4"/>
  <c r="AA36" i="4"/>
  <c r="AZ36" i="4"/>
  <c r="BE36" i="4"/>
  <c r="AN36" i="4"/>
  <c r="R36" i="4"/>
  <c r="O36" i="4"/>
  <c r="BA36" i="4"/>
  <c r="Y36" i="4"/>
  <c r="AF36" i="4"/>
  <c r="AD36" i="4"/>
  <c r="BD36" i="4"/>
  <c r="AI36" i="4"/>
  <c r="E36" i="4"/>
  <c r="AM36" i="4"/>
  <c r="AV36" i="4"/>
  <c r="AO36" i="4"/>
  <c r="J36" i="4"/>
  <c r="AX36" i="4"/>
  <c r="BB36" i="4"/>
  <c r="V36" i="4"/>
  <c r="C36" i="4"/>
  <c r="Z36" i="4"/>
  <c r="AJ36" i="4"/>
  <c r="B36" i="4"/>
  <c r="P36" i="4"/>
  <c r="B11" i="11"/>
  <c r="I11" i="11"/>
  <c r="G11" i="11"/>
  <c r="F11" i="11"/>
  <c r="AT21" i="8"/>
  <c r="K21" i="8"/>
  <c r="AI21" i="8"/>
  <c r="C21" i="8"/>
  <c r="BC21" i="8"/>
  <c r="AM21" i="8"/>
  <c r="AR21" i="8"/>
  <c r="AA21" i="8"/>
  <c r="U21" i="8"/>
  <c r="R21" i="8"/>
  <c r="AN21" i="8"/>
  <c r="S21" i="8"/>
  <c r="X21" i="8"/>
  <c r="AH21" i="8"/>
  <c r="T21" i="8"/>
  <c r="AX21" i="8"/>
  <c r="AY21" i="8"/>
  <c r="E21" i="8"/>
  <c r="BD21" i="8"/>
  <c r="BB21" i="8"/>
  <c r="AB21" i="8"/>
  <c r="AD21" i="8"/>
  <c r="AK21" i="8"/>
  <c r="Z21" i="8"/>
  <c r="AJ21" i="8"/>
  <c r="D21" i="8"/>
  <c r="V21" i="8"/>
  <c r="L21" i="8"/>
  <c r="BF21" i="8"/>
  <c r="AQ21" i="8"/>
  <c r="AV21" i="8"/>
  <c r="AC21" i="8"/>
  <c r="AF21" i="8"/>
  <c r="M21" i="8"/>
  <c r="BE21" i="8"/>
  <c r="AL21" i="8"/>
  <c r="AE21" i="8"/>
  <c r="P21" i="8"/>
  <c r="Q21" i="8"/>
  <c r="AP21" i="8"/>
  <c r="H21" i="8"/>
  <c r="AZ21" i="8"/>
  <c r="O21" i="8"/>
  <c r="AU21" i="8"/>
  <c r="AW21" i="8"/>
  <c r="AS21" i="8"/>
  <c r="J21" i="8"/>
  <c r="BA21" i="8"/>
  <c r="AO21" i="8"/>
  <c r="N21" i="8"/>
  <c r="AG21" i="8"/>
  <c r="W21" i="8"/>
  <c r="B21" i="8"/>
  <c r="Y21" i="8"/>
  <c r="AU17" i="9"/>
  <c r="P17" i="9"/>
  <c r="AM17" i="9"/>
  <c r="AS17" i="9"/>
  <c r="AO17" i="9"/>
  <c r="W17" i="9"/>
  <c r="Q17" i="9"/>
  <c r="N17" i="9"/>
  <c r="BA17" i="9"/>
  <c r="J17" i="9"/>
  <c r="M17" i="9"/>
  <c r="S17" i="9"/>
  <c r="BE17" i="9"/>
  <c r="O17" i="9"/>
  <c r="AW17" i="9"/>
  <c r="X17" i="9"/>
  <c r="V17" i="9"/>
  <c r="BF17" i="9"/>
  <c r="AH17" i="9"/>
  <c r="BC17" i="9"/>
  <c r="AN17" i="9"/>
  <c r="H17" i="9"/>
  <c r="AF17" i="9"/>
  <c r="BB17" i="9"/>
  <c r="K17" i="9"/>
  <c r="Y17" i="9"/>
  <c r="Z17" i="9"/>
  <c r="R17" i="9"/>
  <c r="AG17" i="9"/>
  <c r="AC17" i="9"/>
  <c r="AY17" i="9"/>
  <c r="AP17" i="9"/>
  <c r="U17" i="9"/>
  <c r="AZ17" i="9"/>
  <c r="AD17" i="9"/>
  <c r="AL17" i="9"/>
  <c r="AA17" i="9"/>
  <c r="AX17" i="9"/>
  <c r="T17" i="9"/>
  <c r="D17" i="9"/>
  <c r="AK17" i="9"/>
  <c r="AR17" i="9"/>
  <c r="E17" i="9"/>
  <c r="AQ17" i="9"/>
  <c r="BD17" i="9"/>
  <c r="AI17" i="9"/>
  <c r="AT17" i="9"/>
  <c r="AV17" i="9"/>
  <c r="AE17" i="9"/>
  <c r="L17" i="9"/>
  <c r="AJ17" i="9"/>
  <c r="C17" i="9"/>
  <c r="B17" i="9"/>
  <c r="AB17" i="9"/>
  <c r="B45" i="10"/>
  <c r="I45" i="10"/>
  <c r="G45" i="10"/>
  <c r="F45" i="10"/>
  <c r="Y20" i="2"/>
  <c r="AY20" i="2"/>
  <c r="S20" i="2"/>
  <c r="BF20" i="2"/>
  <c r="K20" i="2"/>
  <c r="AB20" i="2"/>
  <c r="Q20" i="2"/>
  <c r="AG20" i="2"/>
  <c r="J20" i="2"/>
  <c r="AO20" i="2"/>
  <c r="AA20" i="2"/>
  <c r="M20" i="2"/>
  <c r="AJ20" i="2"/>
  <c r="D20" i="2"/>
  <c r="AS20" i="2"/>
  <c r="AP20" i="2"/>
  <c r="W20" i="2"/>
  <c r="AD20" i="2"/>
  <c r="AM20" i="2"/>
  <c r="AV20" i="2"/>
  <c r="AQ20" i="2"/>
  <c r="N20" i="2"/>
  <c r="BE20" i="2"/>
  <c r="AC20" i="2"/>
  <c r="L20" i="2"/>
  <c r="E20" i="2"/>
  <c r="BC20" i="2"/>
  <c r="AU20" i="2"/>
  <c r="P20" i="2"/>
  <c r="U20" i="2"/>
  <c r="AW20" i="2"/>
  <c r="AT20" i="2"/>
  <c r="V20" i="2"/>
  <c r="BD20" i="2"/>
  <c r="AL20" i="2"/>
  <c r="AX20" i="2"/>
  <c r="X20" i="2"/>
  <c r="BB20" i="2"/>
  <c r="AZ20" i="2"/>
  <c r="C20" i="2"/>
  <c r="R20" i="2"/>
  <c r="AN20" i="2"/>
  <c r="AI20" i="2"/>
  <c r="AK20" i="2"/>
  <c r="BA20" i="2"/>
  <c r="AR20" i="2"/>
  <c r="O20" i="2"/>
  <c r="AF20" i="2"/>
  <c r="AH20" i="2"/>
  <c r="H20" i="2"/>
  <c r="AE20" i="2"/>
  <c r="Z20" i="2"/>
  <c r="B20" i="2"/>
  <c r="T20" i="2"/>
  <c r="AN6" i="7"/>
  <c r="AM6" i="7"/>
  <c r="AG6" i="7"/>
  <c r="BA6" i="7"/>
  <c r="Y6" i="7"/>
  <c r="AE6" i="7"/>
  <c r="U6" i="7"/>
  <c r="J6" i="7"/>
  <c r="AZ6" i="7"/>
  <c r="W6" i="7"/>
  <c r="AX6" i="7"/>
  <c r="BE6" i="7"/>
  <c r="AK6" i="7"/>
  <c r="Q6" i="7"/>
  <c r="N6" i="7"/>
  <c r="AI6" i="7"/>
  <c r="AP6" i="7"/>
  <c r="AB6" i="7"/>
  <c r="P6" i="7"/>
  <c r="AS6" i="7"/>
  <c r="BD6" i="7"/>
  <c r="X6" i="7"/>
  <c r="BB6" i="7"/>
  <c r="S6" i="7"/>
  <c r="BC6" i="7"/>
  <c r="T6" i="7"/>
  <c r="AF6" i="7"/>
  <c r="C6" i="7"/>
  <c r="Z6" i="7"/>
  <c r="AV6" i="7"/>
  <c r="E6" i="7"/>
  <c r="AL6" i="7"/>
  <c r="V6" i="7"/>
  <c r="AC6" i="7"/>
  <c r="D6" i="7"/>
  <c r="AO6" i="7"/>
  <c r="AR6" i="7"/>
  <c r="O6" i="7"/>
  <c r="H6" i="7"/>
  <c r="K6" i="7"/>
  <c r="AT6" i="7"/>
  <c r="AU6" i="7"/>
  <c r="BF6" i="7"/>
  <c r="M6" i="7"/>
  <c r="AY6" i="7"/>
  <c r="AJ6" i="7"/>
  <c r="AD6" i="7"/>
  <c r="AH6" i="7"/>
  <c r="AQ6" i="7"/>
  <c r="R6" i="7"/>
  <c r="AA6" i="7"/>
  <c r="L6" i="7"/>
  <c r="B6" i="7"/>
  <c r="AW6" i="7"/>
  <c r="AY49" i="2"/>
  <c r="AZ49" i="2"/>
  <c r="AH49" i="2"/>
  <c r="S49" i="2"/>
  <c r="BF49" i="2"/>
  <c r="AC49" i="2"/>
  <c r="M49" i="2"/>
  <c r="AX49" i="2"/>
  <c r="T49" i="2"/>
  <c r="AN49" i="2"/>
  <c r="AL49" i="2"/>
  <c r="Y49" i="2"/>
  <c r="D49" i="2"/>
  <c r="K49" i="2"/>
  <c r="P49" i="2"/>
  <c r="AW49" i="2"/>
  <c r="H49" i="2"/>
  <c r="AA49" i="2"/>
  <c r="AG49" i="2"/>
  <c r="AF49" i="2"/>
  <c r="Q49" i="2"/>
  <c r="AP49" i="2"/>
  <c r="AQ49" i="2"/>
  <c r="BB49" i="2"/>
  <c r="AK49" i="2"/>
  <c r="V49" i="2"/>
  <c r="AE49" i="2"/>
  <c r="N49" i="2"/>
  <c r="BE49" i="2"/>
  <c r="AR49" i="2"/>
  <c r="AI49" i="2"/>
  <c r="AM49" i="2"/>
  <c r="AU49" i="2"/>
  <c r="O49" i="2"/>
  <c r="AB49" i="2"/>
  <c r="L49" i="2"/>
  <c r="AJ49" i="2"/>
  <c r="Z49" i="2"/>
  <c r="AO49" i="2"/>
  <c r="AD49" i="2"/>
  <c r="U49" i="2"/>
  <c r="AV49" i="2"/>
  <c r="AT49" i="2"/>
  <c r="R49" i="2"/>
  <c r="BD49" i="2"/>
  <c r="C49" i="2"/>
  <c r="X49" i="2"/>
  <c r="AS49" i="2"/>
  <c r="E49" i="2"/>
  <c r="J49" i="2"/>
  <c r="BA49" i="2"/>
  <c r="BC49" i="2"/>
  <c r="B49" i="2"/>
  <c r="W49" i="2"/>
  <c r="P22" i="6"/>
  <c r="AM22" i="6"/>
  <c r="L22" i="6"/>
  <c r="AF22" i="6"/>
  <c r="M22" i="6"/>
  <c r="Z22" i="6"/>
  <c r="AS22" i="6"/>
  <c r="AZ22" i="6"/>
  <c r="AA22" i="6"/>
  <c r="AE22" i="6"/>
  <c r="C22" i="6"/>
  <c r="AP22" i="6"/>
  <c r="T22" i="6"/>
  <c r="AN22" i="6"/>
  <c r="AY22" i="6"/>
  <c r="AO22" i="6"/>
  <c r="AJ22" i="6"/>
  <c r="AT22" i="6"/>
  <c r="J22" i="6"/>
  <c r="AC22" i="6"/>
  <c r="AH22" i="6"/>
  <c r="AL22" i="6"/>
  <c r="BF22" i="6"/>
  <c r="AI22" i="6"/>
  <c r="AW22" i="6"/>
  <c r="E22" i="6"/>
  <c r="Y22" i="6"/>
  <c r="AK22" i="6"/>
  <c r="BB22" i="6"/>
  <c r="O22" i="6"/>
  <c r="W22" i="6"/>
  <c r="BE22" i="6"/>
  <c r="AX22" i="6"/>
  <c r="AG22" i="6"/>
  <c r="BD22" i="6"/>
  <c r="AR22" i="6"/>
  <c r="D22" i="6"/>
  <c r="K22" i="6"/>
  <c r="R22" i="6"/>
  <c r="AB22" i="6"/>
  <c r="BA22" i="6"/>
  <c r="S22" i="6"/>
  <c r="BC22" i="6"/>
  <c r="AQ22" i="6"/>
  <c r="X22" i="6"/>
  <c r="V22" i="6"/>
  <c r="U22" i="6"/>
  <c r="H22" i="6"/>
  <c r="AV22" i="6"/>
  <c r="AD22" i="6"/>
  <c r="AU22" i="6"/>
  <c r="N22" i="6"/>
  <c r="B22" i="6"/>
  <c r="Q22" i="6"/>
  <c r="BD46" i="7"/>
  <c r="AX46" i="7"/>
  <c r="AN46" i="7"/>
  <c r="Y46" i="7"/>
  <c r="BC46" i="7"/>
  <c r="AW46" i="7"/>
  <c r="AD46" i="7"/>
  <c r="AP46" i="7"/>
  <c r="BA46" i="7"/>
  <c r="AM46" i="7"/>
  <c r="AF46" i="7"/>
  <c r="AR46" i="7"/>
  <c r="AS46" i="7"/>
  <c r="AU46" i="7"/>
  <c r="AT46" i="7"/>
  <c r="E46" i="7"/>
  <c r="P46" i="7"/>
  <c r="AQ46" i="7"/>
  <c r="Z46" i="7"/>
  <c r="AY46" i="7"/>
  <c r="AZ46" i="7"/>
  <c r="J46" i="7"/>
  <c r="W46" i="7"/>
  <c r="BB46" i="7"/>
  <c r="AL46" i="7"/>
  <c r="AG46" i="7"/>
  <c r="N46" i="7"/>
  <c r="AJ46" i="7"/>
  <c r="AB46" i="7"/>
  <c r="Q46" i="7"/>
  <c r="BF46" i="7"/>
  <c r="AH46" i="7"/>
  <c r="AA46" i="7"/>
  <c r="S46" i="7"/>
  <c r="U46" i="7"/>
  <c r="L46" i="7"/>
  <c r="M46" i="7"/>
  <c r="AK46" i="7"/>
  <c r="AO46" i="7"/>
  <c r="AC46" i="7"/>
  <c r="D46" i="7"/>
  <c r="K46" i="7"/>
  <c r="T46" i="7"/>
  <c r="AI46" i="7"/>
  <c r="H46" i="7"/>
  <c r="C46" i="7"/>
  <c r="X46" i="7"/>
  <c r="AV46" i="7"/>
  <c r="O46" i="7"/>
  <c r="BE46" i="7"/>
  <c r="R46" i="7"/>
  <c r="AE46" i="7"/>
  <c r="B46" i="7"/>
  <c r="V46" i="7"/>
  <c r="U46" i="5"/>
  <c r="AF46" i="5"/>
  <c r="BC46" i="5"/>
  <c r="AU46" i="5"/>
  <c r="AT46" i="5"/>
  <c r="AL46" i="5"/>
  <c r="AX46" i="5"/>
  <c r="L46" i="5"/>
  <c r="BA46" i="5"/>
  <c r="D46" i="5"/>
  <c r="AW46" i="5"/>
  <c r="BF46" i="5"/>
  <c r="BB46" i="5"/>
  <c r="AE46" i="5"/>
  <c r="AC46" i="5"/>
  <c r="AB46" i="5"/>
  <c r="K46" i="5"/>
  <c r="AJ46" i="5"/>
  <c r="C46" i="5"/>
  <c r="R46" i="5"/>
  <c r="AI46" i="5"/>
  <c r="S46" i="5"/>
  <c r="AN46" i="5"/>
  <c r="AZ46" i="5"/>
  <c r="AQ46" i="5"/>
  <c r="AP46" i="5"/>
  <c r="H46" i="5"/>
  <c r="W46" i="5"/>
  <c r="P46" i="5"/>
  <c r="O46" i="5"/>
  <c r="M46" i="5"/>
  <c r="Z46" i="5"/>
  <c r="AS46" i="5"/>
  <c r="Q46" i="5"/>
  <c r="AO46" i="5"/>
  <c r="AH46" i="5"/>
  <c r="AY46" i="5"/>
  <c r="BE46" i="5"/>
  <c r="AM46" i="5"/>
  <c r="N46" i="5"/>
  <c r="AA46" i="5"/>
  <c r="X46" i="5"/>
  <c r="AR46" i="5"/>
  <c r="AD46" i="5"/>
  <c r="AK46" i="5"/>
  <c r="AV46" i="5"/>
  <c r="T46" i="5"/>
  <c r="Y46" i="5"/>
  <c r="V46" i="5"/>
  <c r="E46" i="5"/>
  <c r="J46" i="5"/>
  <c r="AG46" i="5"/>
  <c r="B46" i="5"/>
  <c r="BD46" i="5"/>
  <c r="BD55" i="8"/>
  <c r="AJ55" i="8"/>
  <c r="AB55" i="8"/>
  <c r="L55" i="8"/>
  <c r="E55" i="8"/>
  <c r="S55" i="8"/>
  <c r="Z55" i="8"/>
  <c r="AE55" i="8"/>
  <c r="AM55" i="8"/>
  <c r="AK55" i="8"/>
  <c r="P55" i="8"/>
  <c r="AR55" i="8"/>
  <c r="U55" i="8"/>
  <c r="AD55" i="8"/>
  <c r="R55" i="8"/>
  <c r="AQ55" i="8"/>
  <c r="J55" i="8"/>
  <c r="V55" i="8"/>
  <c r="AW55" i="8"/>
  <c r="AN55" i="8"/>
  <c r="X55" i="8"/>
  <c r="C55" i="8"/>
  <c r="H55" i="8"/>
  <c r="N55" i="8"/>
  <c r="AG55" i="8"/>
  <c r="AA55" i="8"/>
  <c r="Q55" i="8"/>
  <c r="AF55" i="8"/>
  <c r="AI55" i="8"/>
  <c r="BE55" i="8"/>
  <c r="M55" i="8"/>
  <c r="AH55" i="8"/>
  <c r="AP55" i="8"/>
  <c r="AX55" i="8"/>
  <c r="AS55" i="8"/>
  <c r="AT55" i="8"/>
  <c r="AV55" i="8"/>
  <c r="AZ55" i="8"/>
  <c r="T55" i="8"/>
  <c r="AU55" i="8"/>
  <c r="BB55" i="8"/>
  <c r="O55" i="8"/>
  <c r="Y55" i="8"/>
  <c r="BC55" i="8"/>
  <c r="K55" i="8"/>
  <c r="AC55" i="8"/>
  <c r="AO55" i="8"/>
  <c r="D55" i="8"/>
  <c r="BF55" i="8"/>
  <c r="W55" i="8"/>
  <c r="AL55" i="8"/>
  <c r="AY55" i="8"/>
  <c r="B55" i="8"/>
  <c r="BA55" i="8"/>
  <c r="AK31" i="4"/>
  <c r="AM31" i="4"/>
  <c r="D31" i="4"/>
  <c r="AR31" i="4"/>
  <c r="K31" i="4"/>
  <c r="Y31" i="4"/>
  <c r="BE31" i="4"/>
  <c r="AL31" i="4"/>
  <c r="AW31" i="4"/>
  <c r="O31" i="4"/>
  <c r="H31" i="4"/>
  <c r="BD31" i="4"/>
  <c r="BF31" i="4"/>
  <c r="AA31" i="4"/>
  <c r="AI31" i="4"/>
  <c r="V31" i="4"/>
  <c r="P31" i="4"/>
  <c r="AS31" i="4"/>
  <c r="M31" i="4"/>
  <c r="R31" i="4"/>
  <c r="Q31" i="4"/>
  <c r="AU31" i="4"/>
  <c r="AD31" i="4"/>
  <c r="AO31" i="4"/>
  <c r="C31" i="4"/>
  <c r="AT31" i="4"/>
  <c r="E31" i="4"/>
  <c r="N31" i="4"/>
  <c r="BC31" i="4"/>
  <c r="AV31" i="4"/>
  <c r="AZ31" i="4"/>
  <c r="U31" i="4"/>
  <c r="AG31" i="4"/>
  <c r="AF31" i="4"/>
  <c r="S31" i="4"/>
  <c r="Z31" i="4"/>
  <c r="AC31" i="4"/>
  <c r="BB31" i="4"/>
  <c r="L31" i="4"/>
  <c r="AY31" i="4"/>
  <c r="AH31" i="4"/>
  <c r="AE31" i="4"/>
  <c r="AP31" i="4"/>
  <c r="T31" i="4"/>
  <c r="AX31" i="4"/>
  <c r="AJ31" i="4"/>
  <c r="AN31" i="4"/>
  <c r="AB31" i="4"/>
  <c r="W31" i="4"/>
  <c r="J31" i="4"/>
  <c r="AQ31" i="4"/>
  <c r="X31" i="4"/>
  <c r="B31" i="4"/>
  <c r="BA31" i="4"/>
  <c r="BD45" i="2"/>
  <c r="AC45" i="2"/>
  <c r="AH45" i="2"/>
  <c r="AI45" i="2"/>
  <c r="AT45" i="2"/>
  <c r="AS45" i="2"/>
  <c r="AE45" i="2"/>
  <c r="R45" i="2"/>
  <c r="M45" i="2"/>
  <c r="W45" i="2"/>
  <c r="AK45" i="2"/>
  <c r="AG45" i="2"/>
  <c r="X45" i="2"/>
  <c r="U45" i="2"/>
  <c r="C45" i="2"/>
  <c r="AR45" i="2"/>
  <c r="D45" i="2"/>
  <c r="J45" i="2"/>
  <c r="N45" i="2"/>
  <c r="AF45" i="2"/>
  <c r="Y45" i="2"/>
  <c r="L45" i="2"/>
  <c r="AY45" i="2"/>
  <c r="AX45" i="2"/>
  <c r="AA45" i="2"/>
  <c r="AB45" i="2"/>
  <c r="AZ45" i="2"/>
  <c r="BB45" i="2"/>
  <c r="BF45" i="2"/>
  <c r="BC45" i="2"/>
  <c r="AJ45" i="2"/>
  <c r="AL45" i="2"/>
  <c r="AV45" i="2"/>
  <c r="P45" i="2"/>
  <c r="E45" i="2"/>
  <c r="AP45" i="2"/>
  <c r="V45" i="2"/>
  <c r="H45" i="2"/>
  <c r="BA45" i="2"/>
  <c r="Z45" i="2"/>
  <c r="AD45" i="2"/>
  <c r="AU45" i="2"/>
  <c r="AN45" i="2"/>
  <c r="AO45" i="2"/>
  <c r="S45" i="2"/>
  <c r="AW45" i="2"/>
  <c r="T45" i="2"/>
  <c r="K45" i="2"/>
  <c r="BE45" i="2"/>
  <c r="Q45" i="2"/>
  <c r="AM45" i="2"/>
  <c r="AQ45" i="2"/>
  <c r="B45" i="2"/>
  <c r="O45" i="2"/>
  <c r="X15" i="7"/>
  <c r="AM15" i="7"/>
  <c r="AB15" i="7"/>
  <c r="AE15" i="7"/>
  <c r="Q15" i="7"/>
  <c r="BF15" i="7"/>
  <c r="AH15" i="7"/>
  <c r="BA15" i="7"/>
  <c r="Z15" i="7"/>
  <c r="AW15" i="7"/>
  <c r="AY15" i="7"/>
  <c r="AC15" i="7"/>
  <c r="AA15" i="7"/>
  <c r="N15" i="7"/>
  <c r="H15" i="7"/>
  <c r="AT15" i="7"/>
  <c r="T15" i="7"/>
  <c r="C15" i="7"/>
  <c r="O15" i="7"/>
  <c r="BD15" i="7"/>
  <c r="E15" i="7"/>
  <c r="V15" i="7"/>
  <c r="K15" i="7"/>
  <c r="U15" i="7"/>
  <c r="AD15" i="7"/>
  <c r="AU15" i="7"/>
  <c r="AK15" i="7"/>
  <c r="AO15" i="7"/>
  <c r="AR15" i="7"/>
  <c r="M15" i="7"/>
  <c r="J15" i="7"/>
  <c r="Y15" i="7"/>
  <c r="P15" i="7"/>
  <c r="BE15" i="7"/>
  <c r="L15" i="7"/>
  <c r="AG15" i="7"/>
  <c r="D15" i="7"/>
  <c r="AV15" i="7"/>
  <c r="R15" i="7"/>
  <c r="AP15" i="7"/>
  <c r="S15" i="7"/>
  <c r="AZ15" i="7"/>
  <c r="BC15" i="7"/>
  <c r="AS15" i="7"/>
  <c r="AJ15" i="7"/>
  <c r="BB15" i="7"/>
  <c r="AF15" i="7"/>
  <c r="AI15" i="7"/>
  <c r="AX15" i="7"/>
  <c r="W15" i="7"/>
  <c r="AQ15" i="7"/>
  <c r="AN15" i="7"/>
  <c r="AL15" i="7"/>
  <c r="B35" i="7"/>
  <c r="I35" i="7"/>
  <c r="G35" i="7"/>
  <c r="F35" i="7"/>
  <c r="B15" i="7"/>
  <c r="I15" i="7"/>
  <c r="G15" i="7"/>
  <c r="F15" i="7"/>
  <c r="B15" i="9"/>
  <c r="I15" i="9"/>
  <c r="G15" i="9"/>
  <c r="F15" i="9"/>
  <c r="F49" i="10"/>
  <c r="B49" i="10"/>
  <c r="I49" i="10"/>
  <c r="G49" i="10"/>
  <c r="B5" i="11"/>
  <c r="I5" i="11"/>
  <c r="G5" i="11"/>
  <c r="F5" i="11"/>
  <c r="I20" i="8"/>
  <c r="G20" i="8"/>
  <c r="F20" i="8"/>
  <c r="I15" i="3"/>
  <c r="G15" i="3"/>
  <c r="F15" i="3"/>
  <c r="F25" i="9"/>
  <c r="G25" i="9"/>
  <c r="I25" i="9"/>
  <c r="AB39" i="10"/>
  <c r="E39" i="10"/>
  <c r="Z39" i="10"/>
  <c r="J39" i="10"/>
  <c r="BC39" i="10"/>
  <c r="BB39" i="10"/>
  <c r="N39" i="10"/>
  <c r="AX39" i="10"/>
  <c r="C39" i="10"/>
  <c r="AY39" i="10"/>
  <c r="BD39" i="10"/>
  <c r="AF39" i="10"/>
  <c r="AP39" i="10"/>
  <c r="O39" i="10"/>
  <c r="V39" i="10"/>
  <c r="AR39" i="10"/>
  <c r="Y39" i="10"/>
  <c r="S39" i="10"/>
  <c r="AQ39" i="10"/>
  <c r="X39" i="10"/>
  <c r="AE39" i="10"/>
  <c r="AA39" i="10"/>
  <c r="AO39" i="10"/>
  <c r="R39" i="10"/>
  <c r="AV39" i="10"/>
  <c r="BE39" i="10"/>
  <c r="H39" i="10"/>
  <c r="D39" i="10"/>
  <c r="AG39" i="10"/>
  <c r="AU39" i="10"/>
  <c r="BF39" i="10"/>
  <c r="K39" i="10"/>
  <c r="AI39" i="10"/>
  <c r="AJ39" i="10"/>
  <c r="AW39" i="10"/>
  <c r="T39" i="10"/>
  <c r="AD39" i="10"/>
  <c r="L39" i="10"/>
  <c r="AK39" i="10"/>
  <c r="BA39" i="10"/>
  <c r="AL39" i="10"/>
  <c r="AN39" i="10"/>
  <c r="W39" i="10"/>
  <c r="AM39" i="10"/>
  <c r="AC39" i="10"/>
  <c r="M39" i="10"/>
  <c r="P39" i="10"/>
  <c r="AS39" i="10"/>
  <c r="AZ39" i="10"/>
  <c r="U39" i="10"/>
  <c r="AT39" i="10"/>
  <c r="AH39" i="10"/>
  <c r="Q39" i="10"/>
  <c r="F31" i="3"/>
  <c r="G31" i="3"/>
  <c r="I31" i="3"/>
  <c r="F46" i="1"/>
  <c r="G46" i="1"/>
  <c r="I46" i="1"/>
  <c r="F31" i="2"/>
  <c r="G31" i="2"/>
  <c r="I31" i="2"/>
  <c r="AL49" i="9"/>
  <c r="K49" i="9"/>
  <c r="X49" i="9"/>
  <c r="AW49" i="9"/>
  <c r="O49" i="9"/>
  <c r="AD49" i="9"/>
  <c r="L49" i="9"/>
  <c r="T49" i="9"/>
  <c r="AX49" i="9"/>
  <c r="AN49" i="9"/>
  <c r="BD49" i="9"/>
  <c r="AC49" i="9"/>
  <c r="S49" i="9"/>
  <c r="AV49" i="9"/>
  <c r="AY49" i="9"/>
  <c r="AE49" i="9"/>
  <c r="AU49" i="9"/>
  <c r="AI49" i="9"/>
  <c r="AR49" i="9"/>
  <c r="Y49" i="9"/>
  <c r="AH49" i="9"/>
  <c r="AB49" i="9"/>
  <c r="AG49" i="9"/>
  <c r="AA49" i="9"/>
  <c r="AK49" i="9"/>
  <c r="N49" i="9"/>
  <c r="BA49" i="9"/>
  <c r="W49" i="9"/>
  <c r="Q49" i="9"/>
  <c r="AO49" i="9"/>
  <c r="AT49" i="9"/>
  <c r="BB49" i="9"/>
  <c r="AQ49" i="9"/>
  <c r="C49" i="9"/>
  <c r="BF49" i="9"/>
  <c r="V49" i="9"/>
  <c r="BC49" i="9"/>
  <c r="AS49" i="9"/>
  <c r="E49" i="9"/>
  <c r="AJ49" i="9"/>
  <c r="AF49" i="9"/>
  <c r="AM49" i="9"/>
  <c r="J49" i="9"/>
  <c r="AZ49" i="9"/>
  <c r="R49" i="9"/>
  <c r="D49" i="9"/>
  <c r="H49" i="9"/>
  <c r="Z49" i="9"/>
  <c r="AP49" i="9"/>
  <c r="BE49" i="9"/>
  <c r="P49" i="9"/>
  <c r="U49" i="9"/>
  <c r="B49" i="9"/>
  <c r="M49" i="9"/>
  <c r="F52" i="10"/>
  <c r="B52" i="10"/>
  <c r="I52" i="10"/>
  <c r="G52" i="10"/>
  <c r="AA27" i="10"/>
  <c r="AU27" i="10"/>
  <c r="Y27" i="10"/>
  <c r="K27" i="10"/>
  <c r="AY27" i="10"/>
  <c r="AT27" i="10"/>
  <c r="AB27" i="10"/>
  <c r="AG27" i="10"/>
  <c r="AH27" i="10"/>
  <c r="AC27" i="10"/>
  <c r="AR27" i="10"/>
  <c r="BA27" i="10"/>
  <c r="M27" i="10"/>
  <c r="AD27" i="10"/>
  <c r="N27" i="10"/>
  <c r="Q27" i="10"/>
  <c r="D27" i="10"/>
  <c r="AJ27" i="10"/>
  <c r="AP27" i="10"/>
  <c r="AE27" i="10"/>
  <c r="P27" i="10"/>
  <c r="AV27" i="10"/>
  <c r="O27" i="10"/>
  <c r="AL27" i="10"/>
  <c r="AI27" i="10"/>
  <c r="BC27" i="10"/>
  <c r="Z27" i="10"/>
  <c r="AX27" i="10"/>
  <c r="R27" i="10"/>
  <c r="AF27" i="10"/>
  <c r="BF27" i="10"/>
  <c r="AW27" i="10"/>
  <c r="BD27" i="10"/>
  <c r="AS27" i="10"/>
  <c r="U27" i="10"/>
  <c r="J27" i="10"/>
  <c r="C27" i="10"/>
  <c r="L27" i="10"/>
  <c r="S27" i="10"/>
  <c r="H27" i="10"/>
  <c r="BE27" i="10"/>
  <c r="V27" i="10"/>
  <c r="E27" i="10"/>
  <c r="AK27" i="10"/>
  <c r="AO27" i="10"/>
  <c r="T27" i="10"/>
  <c r="X27" i="10"/>
  <c r="AN27" i="10"/>
  <c r="W27" i="10"/>
  <c r="BB27" i="10"/>
  <c r="AQ27" i="10"/>
  <c r="AZ27" i="10"/>
  <c r="B27" i="10"/>
  <c r="AM27" i="10"/>
  <c r="F20" i="3"/>
  <c r="G20" i="3"/>
  <c r="I20" i="3"/>
  <c r="F4" i="4"/>
  <c r="G4" i="4"/>
  <c r="I4" i="4"/>
  <c r="B39" i="10"/>
  <c r="I39" i="10"/>
  <c r="G39" i="10"/>
  <c r="F39" i="10"/>
  <c r="I38" i="8"/>
  <c r="G38" i="8"/>
  <c r="F38" i="8"/>
  <c r="F35" i="6"/>
  <c r="G35" i="6"/>
  <c r="I35" i="6"/>
  <c r="F48" i="3"/>
  <c r="G48" i="3"/>
  <c r="I48" i="3"/>
  <c r="F25" i="5"/>
  <c r="G25" i="5"/>
  <c r="I25" i="5"/>
  <c r="F51" i="8"/>
  <c r="G51" i="8"/>
  <c r="I51" i="8"/>
  <c r="I54" i="6"/>
  <c r="G54" i="6"/>
  <c r="F54" i="6"/>
  <c r="I5" i="6"/>
  <c r="G5" i="6"/>
  <c r="F5" i="6"/>
  <c r="I44" i="4"/>
  <c r="G44" i="4"/>
  <c r="F44" i="4"/>
  <c r="F2" i="5"/>
  <c r="G2" i="5"/>
  <c r="I2" i="5"/>
  <c r="BC30" i="9"/>
  <c r="R30" i="9"/>
  <c r="M30" i="9"/>
  <c r="Z30" i="9"/>
  <c r="J30" i="9"/>
  <c r="E30" i="9"/>
  <c r="D30" i="9"/>
  <c r="AJ30" i="9"/>
  <c r="AK30" i="9"/>
  <c r="AQ30" i="9"/>
  <c r="W30" i="9"/>
  <c r="X30" i="9"/>
  <c r="AX30" i="9"/>
  <c r="AR30" i="9"/>
  <c r="BE30" i="9"/>
  <c r="K30" i="9"/>
  <c r="S30" i="9"/>
  <c r="AP30" i="9"/>
  <c r="T30" i="9"/>
  <c r="C30" i="9"/>
  <c r="AT30" i="9"/>
  <c r="AF30" i="9"/>
  <c r="P30" i="9"/>
  <c r="AO30" i="9"/>
  <c r="BB30" i="9"/>
  <c r="AN30" i="9"/>
  <c r="AD30" i="9"/>
  <c r="AC30" i="9"/>
  <c r="AE30" i="9"/>
  <c r="AB30" i="9"/>
  <c r="Y30" i="9"/>
  <c r="AY30" i="9"/>
  <c r="AL30" i="9"/>
  <c r="AZ30" i="9"/>
  <c r="AW30" i="9"/>
  <c r="BA30" i="9"/>
  <c r="AU30" i="9"/>
  <c r="AH30" i="9"/>
  <c r="Q30" i="9"/>
  <c r="BD30" i="9"/>
  <c r="BF30" i="9"/>
  <c r="AI30" i="9"/>
  <c r="L30" i="9"/>
  <c r="V30" i="9"/>
  <c r="H30" i="9"/>
  <c r="O30" i="9"/>
  <c r="AA30" i="9"/>
  <c r="U30" i="9"/>
  <c r="N30" i="9"/>
  <c r="AG30" i="9"/>
  <c r="AS30" i="9"/>
  <c r="AM30" i="9"/>
  <c r="B30" i="9"/>
  <c r="AV30" i="9"/>
  <c r="Y39" i="2"/>
  <c r="AT39" i="2"/>
  <c r="BE39" i="2"/>
  <c r="AB39" i="2"/>
  <c r="X39" i="2"/>
  <c r="L39" i="2"/>
  <c r="V39" i="2"/>
  <c r="AI39" i="2"/>
  <c r="AF39" i="2"/>
  <c r="BA39" i="2"/>
  <c r="AL39" i="2"/>
  <c r="AM39" i="2"/>
  <c r="BB39" i="2"/>
  <c r="D39" i="2"/>
  <c r="AV39" i="2"/>
  <c r="P39" i="2"/>
  <c r="R39" i="2"/>
  <c r="BC39" i="2"/>
  <c r="N39" i="2"/>
  <c r="S39" i="2"/>
  <c r="AC39" i="2"/>
  <c r="M39" i="2"/>
  <c r="AU39" i="2"/>
  <c r="BF39" i="2"/>
  <c r="AH39" i="2"/>
  <c r="AW39" i="2"/>
  <c r="AY39" i="2"/>
  <c r="AJ39" i="2"/>
  <c r="Q39" i="2"/>
  <c r="AR39" i="2"/>
  <c r="AZ39" i="2"/>
  <c r="AQ39" i="2"/>
  <c r="O39" i="2"/>
  <c r="AK39" i="2"/>
  <c r="AX39" i="2"/>
  <c r="E39" i="2"/>
  <c r="BD39" i="2"/>
  <c r="AS39" i="2"/>
  <c r="Z39" i="2"/>
  <c r="AO39" i="2"/>
  <c r="J39" i="2"/>
  <c r="K39" i="2"/>
  <c r="AP39" i="2"/>
  <c r="AD39" i="2"/>
  <c r="H39" i="2"/>
  <c r="T39" i="2"/>
  <c r="W39" i="2"/>
  <c r="AG39" i="2"/>
  <c r="AN39" i="2"/>
  <c r="AE39" i="2"/>
  <c r="U39" i="2"/>
  <c r="AA39" i="2"/>
  <c r="B39" i="2"/>
  <c r="C39" i="2"/>
  <c r="AG54" i="1"/>
  <c r="X54" i="1"/>
  <c r="AY54" i="1"/>
  <c r="AA54" i="1"/>
  <c r="BD54" i="1"/>
  <c r="AU54" i="1"/>
  <c r="U54" i="1"/>
  <c r="AQ54" i="1"/>
  <c r="W54" i="1"/>
  <c r="AF54" i="1"/>
  <c r="AX54" i="1"/>
  <c r="BE54" i="1"/>
  <c r="AI54" i="1"/>
  <c r="AE54" i="1"/>
  <c r="Q54" i="1"/>
  <c r="BC54" i="1"/>
  <c r="AJ54" i="1"/>
  <c r="AK54" i="1"/>
  <c r="AW54" i="1"/>
  <c r="AL54" i="1"/>
  <c r="J54" i="1"/>
  <c r="AH54" i="1"/>
  <c r="T54" i="1"/>
  <c r="H54" i="1"/>
  <c r="L54" i="1"/>
  <c r="R54" i="1"/>
  <c r="AZ54" i="1"/>
  <c r="AT54" i="1"/>
  <c r="BF54" i="1"/>
  <c r="Y54" i="1"/>
  <c r="AM54" i="1"/>
  <c r="AS54" i="1"/>
  <c r="BB54" i="1"/>
  <c r="D54" i="1"/>
  <c r="BA54" i="1"/>
  <c r="AC54" i="1"/>
  <c r="S54" i="1"/>
  <c r="AP54" i="1"/>
  <c r="E54" i="1"/>
  <c r="AO54" i="1"/>
  <c r="V54" i="1"/>
  <c r="P54" i="1"/>
  <c r="AR54" i="1"/>
  <c r="M54" i="1"/>
  <c r="K54" i="1"/>
  <c r="C54" i="1"/>
  <c r="O54" i="1"/>
  <c r="AV54" i="1"/>
  <c r="N54" i="1"/>
  <c r="AB54" i="1"/>
  <c r="AD54" i="1"/>
  <c r="AN54" i="1"/>
  <c r="B54" i="1"/>
  <c r="Z54" i="1"/>
  <c r="M10" i="9"/>
  <c r="AC10" i="9"/>
  <c r="W10" i="9"/>
  <c r="AJ10" i="9"/>
  <c r="BB10" i="9"/>
  <c r="AT10" i="9"/>
  <c r="Q10" i="9"/>
  <c r="L10" i="9"/>
  <c r="AR10" i="9"/>
  <c r="BE10" i="9"/>
  <c r="BF10" i="9"/>
  <c r="AY10" i="9"/>
  <c r="S10" i="9"/>
  <c r="AQ10" i="9"/>
  <c r="AF10" i="9"/>
  <c r="H10" i="9"/>
  <c r="J10" i="9"/>
  <c r="AG10" i="9"/>
  <c r="AH10" i="9"/>
  <c r="AK10" i="9"/>
  <c r="P10" i="9"/>
  <c r="E10" i="9"/>
  <c r="T10" i="9"/>
  <c r="AP10" i="9"/>
  <c r="AZ10" i="9"/>
  <c r="AU10" i="9"/>
  <c r="AN10" i="9"/>
  <c r="BA10" i="9"/>
  <c r="X10" i="9"/>
  <c r="AL10" i="9"/>
  <c r="BD10" i="9"/>
  <c r="C10" i="9"/>
  <c r="AS10" i="9"/>
  <c r="Z10" i="9"/>
  <c r="AO10" i="9"/>
  <c r="AE10" i="9"/>
  <c r="Y10" i="9"/>
  <c r="AB10" i="9"/>
  <c r="AA10" i="9"/>
  <c r="U10" i="9"/>
  <c r="R10" i="9"/>
  <c r="AV10" i="9"/>
  <c r="K10" i="9"/>
  <c r="D10" i="9"/>
  <c r="AM10" i="9"/>
  <c r="AW10" i="9"/>
  <c r="AD10" i="9"/>
  <c r="N10" i="9"/>
  <c r="AI10" i="9"/>
  <c r="V10" i="9"/>
  <c r="BC10" i="9"/>
  <c r="O10" i="9"/>
  <c r="B10" i="9"/>
  <c r="AX10" i="9"/>
  <c r="AL40" i="8"/>
  <c r="M40" i="8"/>
  <c r="X40" i="8"/>
  <c r="BC40" i="8"/>
  <c r="BA40" i="8"/>
  <c r="Q40" i="8"/>
  <c r="O40" i="8"/>
  <c r="R40" i="8"/>
  <c r="AJ40" i="8"/>
  <c r="AP40" i="8"/>
  <c r="AI40" i="8"/>
  <c r="H40" i="8"/>
  <c r="U40" i="8"/>
  <c r="AQ40" i="8"/>
  <c r="AB40" i="8"/>
  <c r="AT40" i="8"/>
  <c r="AC40" i="8"/>
  <c r="W40" i="8"/>
  <c r="AR40" i="8"/>
  <c r="K40" i="8"/>
  <c r="E40" i="8"/>
  <c r="AS40" i="8"/>
  <c r="BD40" i="8"/>
  <c r="J40" i="8"/>
  <c r="BB40" i="8"/>
  <c r="AX40" i="8"/>
  <c r="D40" i="8"/>
  <c r="AO40" i="8"/>
  <c r="P40" i="8"/>
  <c r="S40" i="8"/>
  <c r="L40" i="8"/>
  <c r="N40" i="8"/>
  <c r="BE40" i="8"/>
  <c r="AV40" i="8"/>
  <c r="AE40" i="8"/>
  <c r="AM40" i="8"/>
  <c r="AG40" i="8"/>
  <c r="AH40" i="8"/>
  <c r="AK40" i="8"/>
  <c r="AW40" i="8"/>
  <c r="Y40" i="8"/>
  <c r="AY40" i="8"/>
  <c r="T40" i="8"/>
  <c r="AU40" i="8"/>
  <c r="C40" i="8"/>
  <c r="AZ40" i="8"/>
  <c r="Z40" i="8"/>
  <c r="AA40" i="8"/>
  <c r="AN40" i="8"/>
  <c r="AF40" i="8"/>
  <c r="V40" i="8"/>
  <c r="BF40" i="8"/>
  <c r="B40" i="8"/>
  <c r="AD40" i="8"/>
  <c r="D37" i="9"/>
  <c r="BA37" i="9"/>
  <c r="AC37" i="9"/>
  <c r="AZ37" i="9"/>
  <c r="AJ37" i="9"/>
  <c r="AM37" i="9"/>
  <c r="AF37" i="9"/>
  <c r="X37" i="9"/>
  <c r="AD37" i="9"/>
  <c r="BE37" i="9"/>
  <c r="AO37" i="9"/>
  <c r="AB37" i="9"/>
  <c r="T37" i="9"/>
  <c r="AU37" i="9"/>
  <c r="U37" i="9"/>
  <c r="L37" i="9"/>
  <c r="AX37" i="9"/>
  <c r="AV37" i="9"/>
  <c r="M37" i="9"/>
  <c r="AA37" i="9"/>
  <c r="AQ37" i="9"/>
  <c r="C37" i="9"/>
  <c r="J37" i="9"/>
  <c r="AP37" i="9"/>
  <c r="Q37" i="9"/>
  <c r="AI37" i="9"/>
  <c r="H37" i="9"/>
  <c r="AK37" i="9"/>
  <c r="Z37" i="9"/>
  <c r="BB37" i="9"/>
  <c r="AT37" i="9"/>
  <c r="K37" i="9"/>
  <c r="BC37" i="9"/>
  <c r="AN37" i="9"/>
  <c r="BD37" i="9"/>
  <c r="AR37" i="9"/>
  <c r="AL37" i="9"/>
  <c r="AE37" i="9"/>
  <c r="BF37" i="9"/>
  <c r="S37" i="9"/>
  <c r="AY37" i="9"/>
  <c r="P37" i="9"/>
  <c r="N37" i="9"/>
  <c r="O37" i="9"/>
  <c r="R37" i="9"/>
  <c r="AS37" i="9"/>
  <c r="W37" i="9"/>
  <c r="AH37" i="9"/>
  <c r="AG37" i="9"/>
  <c r="V37" i="9"/>
  <c r="AW37" i="9"/>
  <c r="Y37" i="9"/>
  <c r="B37" i="9"/>
  <c r="E37" i="9"/>
  <c r="AM24" i="9"/>
  <c r="R24" i="9"/>
  <c r="AB24" i="9"/>
  <c r="AC24" i="9"/>
  <c r="E24" i="9"/>
  <c r="X24" i="9"/>
  <c r="Y24" i="9"/>
  <c r="AA24" i="9"/>
  <c r="BA24" i="9"/>
  <c r="Q24" i="9"/>
  <c r="H24" i="9"/>
  <c r="C24" i="9"/>
  <c r="Z24" i="9"/>
  <c r="AO24" i="9"/>
  <c r="BE24" i="9"/>
  <c r="AL24" i="9"/>
  <c r="AY24" i="9"/>
  <c r="S24" i="9"/>
  <c r="AV24" i="9"/>
  <c r="AE24" i="9"/>
  <c r="AK24" i="9"/>
  <c r="M24" i="9"/>
  <c r="AG24" i="9"/>
  <c r="AZ24" i="9"/>
  <c r="AI24" i="9"/>
  <c r="BB24" i="9"/>
  <c r="AP24" i="9"/>
  <c r="AD24" i="9"/>
  <c r="N24" i="9"/>
  <c r="AJ24" i="9"/>
  <c r="V24" i="9"/>
  <c r="AW24" i="9"/>
  <c r="K24" i="9"/>
  <c r="AF24" i="9"/>
  <c r="AQ24" i="9"/>
  <c r="AS24" i="9"/>
  <c r="BC24" i="9"/>
  <c r="BD24" i="9"/>
  <c r="AU24" i="9"/>
  <c r="AT24" i="9"/>
  <c r="AN24" i="9"/>
  <c r="T24" i="9"/>
  <c r="U24" i="9"/>
  <c r="O24" i="9"/>
  <c r="W24" i="9"/>
  <c r="J24" i="9"/>
  <c r="BF24" i="9"/>
  <c r="D24" i="9"/>
  <c r="L24" i="9"/>
  <c r="AH24" i="9"/>
  <c r="AR24" i="9"/>
  <c r="P24" i="9"/>
  <c r="B24" i="9"/>
  <c r="AX24" i="9"/>
  <c r="Z47" i="10"/>
  <c r="Q47" i="10"/>
  <c r="V47" i="10"/>
  <c r="U47" i="10"/>
  <c r="L47" i="10"/>
  <c r="AD47" i="10"/>
  <c r="AN47" i="10"/>
  <c r="AC47" i="10"/>
  <c r="O47" i="10"/>
  <c r="AU47" i="10"/>
  <c r="AW47" i="10"/>
  <c r="K47" i="10"/>
  <c r="E47" i="10"/>
  <c r="AI47" i="10"/>
  <c r="J47" i="10"/>
  <c r="C47" i="10"/>
  <c r="Y47" i="10"/>
  <c r="BF47" i="10"/>
  <c r="AT47" i="10"/>
  <c r="BB47" i="10"/>
  <c r="AB47" i="10"/>
  <c r="M47" i="10"/>
  <c r="BC47" i="10"/>
  <c r="P47" i="10"/>
  <c r="N47" i="10"/>
  <c r="AR47" i="10"/>
  <c r="AP47" i="10"/>
  <c r="X47" i="10"/>
  <c r="W47" i="10"/>
  <c r="BE47" i="10"/>
  <c r="AG47" i="10"/>
  <c r="AF47" i="10"/>
  <c r="AJ47" i="10"/>
  <c r="AM47" i="10"/>
  <c r="AL47" i="10"/>
  <c r="AV47" i="10"/>
  <c r="AE47" i="10"/>
  <c r="AA47" i="10"/>
  <c r="AQ47" i="10"/>
  <c r="BD47" i="10"/>
  <c r="BA47" i="10"/>
  <c r="R47" i="10"/>
  <c r="T47" i="10"/>
  <c r="AZ47" i="10"/>
  <c r="AK47" i="10"/>
  <c r="D47" i="10"/>
  <c r="AX47" i="10"/>
  <c r="H47" i="10"/>
  <c r="AS47" i="10"/>
  <c r="S47" i="10"/>
  <c r="AH47" i="10"/>
  <c r="AO47" i="10"/>
  <c r="B47" i="10"/>
  <c r="AY47" i="10"/>
  <c r="AW35" i="1"/>
  <c r="S35" i="1"/>
  <c r="AM35" i="1"/>
  <c r="AT35" i="1"/>
  <c r="AQ35" i="1"/>
  <c r="AO35" i="1"/>
  <c r="E35" i="1"/>
  <c r="AE35" i="1"/>
  <c r="U35" i="1"/>
  <c r="K35" i="1"/>
  <c r="X35" i="1"/>
  <c r="N35" i="1"/>
  <c r="AK35" i="1"/>
  <c r="AB35" i="1"/>
  <c r="V35" i="1"/>
  <c r="AH35" i="1"/>
  <c r="AX35" i="1"/>
  <c r="T35" i="1"/>
  <c r="BD35" i="1"/>
  <c r="AA35" i="1"/>
  <c r="AI35" i="1"/>
  <c r="AD35" i="1"/>
  <c r="AZ35" i="1"/>
  <c r="AN35" i="1"/>
  <c r="AG35" i="1"/>
  <c r="AY35" i="1"/>
  <c r="D35" i="1"/>
  <c r="AS35" i="1"/>
  <c r="W35" i="1"/>
  <c r="R35" i="1"/>
  <c r="Q35" i="1"/>
  <c r="P35" i="1"/>
  <c r="AC35" i="1"/>
  <c r="AV35" i="1"/>
  <c r="BB35" i="1"/>
  <c r="AU35" i="1"/>
  <c r="J35" i="1"/>
  <c r="Y35" i="1"/>
  <c r="AL35" i="1"/>
  <c r="AF35" i="1"/>
  <c r="BC35" i="1"/>
  <c r="M35" i="1"/>
  <c r="O35" i="1"/>
  <c r="AJ35" i="1"/>
  <c r="BA35" i="1"/>
  <c r="H35" i="1"/>
  <c r="C35" i="1"/>
  <c r="BF35" i="1"/>
  <c r="L35" i="1"/>
  <c r="Z35" i="1"/>
  <c r="AR35" i="1"/>
  <c r="BE35" i="1"/>
  <c r="B35" i="1"/>
  <c r="AP35" i="1"/>
  <c r="D9" i="7"/>
  <c r="Q9" i="7"/>
  <c r="T9" i="7"/>
  <c r="BA9" i="7"/>
  <c r="AT9" i="7"/>
  <c r="AK9" i="7"/>
  <c r="AG9" i="7"/>
  <c r="AS9" i="7"/>
  <c r="X9" i="7"/>
  <c r="H9" i="7"/>
  <c r="AP9" i="7"/>
  <c r="N9" i="7"/>
  <c r="AO9" i="7"/>
  <c r="BF9" i="7"/>
  <c r="C9" i="7"/>
  <c r="AY9" i="7"/>
  <c r="AR9" i="7"/>
  <c r="P9" i="7"/>
  <c r="BC9" i="7"/>
  <c r="AL9" i="7"/>
  <c r="BD9" i="7"/>
  <c r="AZ9" i="7"/>
  <c r="AB9" i="7"/>
  <c r="AW9" i="7"/>
  <c r="AD9" i="7"/>
  <c r="AV9" i="7"/>
  <c r="AU9" i="7"/>
  <c r="AA9" i="7"/>
  <c r="AH9" i="7"/>
  <c r="R9" i="7"/>
  <c r="AQ9" i="7"/>
  <c r="AI9" i="7"/>
  <c r="U9" i="7"/>
  <c r="E9" i="7"/>
  <c r="M9" i="7"/>
  <c r="AC9" i="7"/>
  <c r="J9" i="7"/>
  <c r="AJ9" i="7"/>
  <c r="Y9" i="7"/>
  <c r="Z9" i="7"/>
  <c r="K9" i="7"/>
  <c r="BE9" i="7"/>
  <c r="V9" i="7"/>
  <c r="W9" i="7"/>
  <c r="AM9" i="7"/>
  <c r="AE9" i="7"/>
  <c r="L9" i="7"/>
  <c r="S9" i="7"/>
  <c r="BB9" i="7"/>
  <c r="AF9" i="7"/>
  <c r="AN9" i="7"/>
  <c r="O9" i="7"/>
  <c r="B9" i="7"/>
  <c r="AX9" i="7"/>
  <c r="AT25" i="9"/>
  <c r="AA25" i="9"/>
  <c r="BC25" i="9"/>
  <c r="V25" i="9"/>
  <c r="AG25" i="9"/>
  <c r="E25" i="9"/>
  <c r="AD25" i="9"/>
  <c r="S25" i="9"/>
  <c r="AP25" i="9"/>
  <c r="AM25" i="9"/>
  <c r="L25" i="9"/>
  <c r="AN25" i="9"/>
  <c r="Z25" i="9"/>
  <c r="AL25" i="9"/>
  <c r="AI25" i="9"/>
  <c r="T25" i="9"/>
  <c r="H25" i="9"/>
  <c r="AW25" i="9"/>
  <c r="AS25" i="9"/>
  <c r="AX25" i="9"/>
  <c r="W25" i="9"/>
  <c r="AR25" i="9"/>
  <c r="AB25" i="9"/>
  <c r="C25" i="9"/>
  <c r="P25" i="9"/>
  <c r="R25" i="9"/>
  <c r="J25" i="9"/>
  <c r="BE25" i="9"/>
  <c r="AE25" i="9"/>
  <c r="AO25" i="9"/>
  <c r="AY25" i="9"/>
  <c r="Q25" i="9"/>
  <c r="BA25" i="9"/>
  <c r="AJ25" i="9"/>
  <c r="N25" i="9"/>
  <c r="AU25" i="9"/>
  <c r="AK25" i="9"/>
  <c r="BF25" i="9"/>
  <c r="U25" i="9"/>
  <c r="D25" i="9"/>
  <c r="AC25" i="9"/>
  <c r="O25" i="9"/>
  <c r="X25" i="9"/>
  <c r="AH25" i="9"/>
  <c r="K25" i="9"/>
  <c r="Y25" i="9"/>
  <c r="AZ25" i="9"/>
  <c r="M25" i="9"/>
  <c r="BB25" i="9"/>
  <c r="BD25" i="9"/>
  <c r="AQ25" i="9"/>
  <c r="AF25" i="9"/>
  <c r="B25" i="9"/>
  <c r="AV25" i="9"/>
  <c r="AI22" i="9"/>
  <c r="AY22" i="9"/>
  <c r="L22" i="9"/>
  <c r="AG22" i="9"/>
  <c r="BC22" i="9"/>
  <c r="D22" i="9"/>
  <c r="AF22" i="9"/>
  <c r="Y22" i="9"/>
  <c r="J22" i="9"/>
  <c r="H22" i="9"/>
  <c r="Z22" i="9"/>
  <c r="C22" i="9"/>
  <c r="AA22" i="9"/>
  <c r="K22" i="9"/>
  <c r="Q22" i="9"/>
  <c r="BA22" i="9"/>
  <c r="AN22" i="9"/>
  <c r="V22" i="9"/>
  <c r="AQ22" i="9"/>
  <c r="W22" i="9"/>
  <c r="AJ22" i="9"/>
  <c r="N22" i="9"/>
  <c r="AK22" i="9"/>
  <c r="U22" i="9"/>
  <c r="AW22" i="9"/>
  <c r="X22" i="9"/>
  <c r="AS22" i="9"/>
  <c r="AD22" i="9"/>
  <c r="AB22" i="9"/>
  <c r="AT22" i="9"/>
  <c r="AE22" i="9"/>
  <c r="AU22" i="9"/>
  <c r="BF22" i="9"/>
  <c r="AV22" i="9"/>
  <c r="AL22" i="9"/>
  <c r="E22" i="9"/>
  <c r="BD22" i="9"/>
  <c r="AO22" i="9"/>
  <c r="AR22" i="9"/>
  <c r="AH22" i="9"/>
  <c r="AZ22" i="9"/>
  <c r="AX22" i="9"/>
  <c r="AC22" i="9"/>
  <c r="T22" i="9"/>
  <c r="R22" i="9"/>
  <c r="AP22" i="9"/>
  <c r="P22" i="9"/>
  <c r="S22" i="9"/>
  <c r="BE22" i="9"/>
  <c r="M22" i="9"/>
  <c r="BB22" i="9"/>
  <c r="AM22" i="9"/>
  <c r="B22" i="9"/>
  <c r="O22" i="9"/>
  <c r="AN3" i="1"/>
  <c r="AX3" i="1"/>
  <c r="BF3" i="1"/>
  <c r="AH3" i="1"/>
  <c r="AM3" i="1"/>
  <c r="BA3" i="1"/>
  <c r="AA3" i="1"/>
  <c r="P3" i="1"/>
  <c r="AQ3" i="1"/>
  <c r="W3" i="1"/>
  <c r="AU3" i="1"/>
  <c r="AE3" i="1"/>
  <c r="D3" i="1"/>
  <c r="M3" i="1"/>
  <c r="AL3" i="1"/>
  <c r="S3" i="1"/>
  <c r="U3" i="1"/>
  <c r="AD3" i="1"/>
  <c r="AC3" i="1"/>
  <c r="T3" i="1"/>
  <c r="E3" i="1"/>
  <c r="AR3" i="1"/>
  <c r="AG3" i="1"/>
  <c r="AT3" i="1"/>
  <c r="J3" i="1"/>
  <c r="AY3" i="1"/>
  <c r="Y3" i="1"/>
  <c r="AB3" i="1"/>
  <c r="R3" i="1"/>
  <c r="AS3" i="1"/>
  <c r="BC3" i="1"/>
  <c r="X3" i="1"/>
  <c r="BE3" i="1"/>
  <c r="AZ3" i="1"/>
  <c r="AJ3" i="1"/>
  <c r="AO3" i="1"/>
  <c r="O3" i="1"/>
  <c r="N3" i="1"/>
  <c r="AF3" i="1"/>
  <c r="L3" i="1"/>
  <c r="K3" i="1"/>
  <c r="C3" i="1"/>
  <c r="AW3" i="1"/>
  <c r="Z3" i="1"/>
  <c r="AP3" i="1"/>
  <c r="BD3" i="1"/>
  <c r="BB3" i="1"/>
  <c r="AI3" i="1"/>
  <c r="AV3" i="1"/>
  <c r="H3" i="1"/>
  <c r="AK3" i="1"/>
  <c r="V3" i="1"/>
  <c r="B3" i="1"/>
  <c r="Q3" i="1"/>
  <c r="N37" i="8"/>
  <c r="AF37" i="8"/>
  <c r="AL37" i="8"/>
  <c r="AN37" i="8"/>
  <c r="AT37" i="8"/>
  <c r="R37" i="8"/>
  <c r="AR37" i="8"/>
  <c r="O37" i="8"/>
  <c r="P37" i="8"/>
  <c r="D37" i="8"/>
  <c r="Q37" i="8"/>
  <c r="K37" i="8"/>
  <c r="BD37" i="8"/>
  <c r="X37" i="8"/>
  <c r="E37" i="8"/>
  <c r="J37" i="8"/>
  <c r="AI37" i="8"/>
  <c r="BF37" i="8"/>
  <c r="AY37" i="8"/>
  <c r="AK37" i="8"/>
  <c r="BA37" i="8"/>
  <c r="AC37" i="8"/>
  <c r="AW37" i="8"/>
  <c r="AH37" i="8"/>
  <c r="AO37" i="8"/>
  <c r="V37" i="8"/>
  <c r="AJ37" i="8"/>
  <c r="AP37" i="8"/>
  <c r="AQ37" i="8"/>
  <c r="AG37" i="8"/>
  <c r="BC37" i="8"/>
  <c r="AZ37" i="8"/>
  <c r="M37" i="8"/>
  <c r="AD37" i="8"/>
  <c r="Y37" i="8"/>
  <c r="L37" i="8"/>
  <c r="AB37" i="8"/>
  <c r="U37" i="8"/>
  <c r="AA37" i="8"/>
  <c r="BE37" i="8"/>
  <c r="C37" i="8"/>
  <c r="S37" i="8"/>
  <c r="AU37" i="8"/>
  <c r="AM37" i="8"/>
  <c r="AV37" i="8"/>
  <c r="Z37" i="8"/>
  <c r="H37" i="8"/>
  <c r="AS37" i="8"/>
  <c r="BB37" i="8"/>
  <c r="W37" i="8"/>
  <c r="T37" i="8"/>
  <c r="AX37" i="8"/>
  <c r="B37" i="8"/>
  <c r="AE37" i="8"/>
  <c r="AR56" i="10"/>
  <c r="C56" i="10"/>
  <c r="AT56" i="10"/>
  <c r="AE56" i="10"/>
  <c r="BA56" i="10"/>
  <c r="AD56" i="10"/>
  <c r="BE56" i="10"/>
  <c r="T56" i="10"/>
  <c r="P56" i="10"/>
  <c r="Q56" i="10"/>
  <c r="AH56" i="10"/>
  <c r="S56" i="10"/>
  <c r="D56" i="10"/>
  <c r="AI56" i="10"/>
  <c r="O56" i="10"/>
  <c r="AJ56" i="10"/>
  <c r="AU56" i="10"/>
  <c r="R56" i="10"/>
  <c r="L56" i="10"/>
  <c r="AK56" i="10"/>
  <c r="BC56" i="10"/>
  <c r="E56" i="10"/>
  <c r="V56" i="10"/>
  <c r="AC56" i="10"/>
  <c r="BD56" i="10"/>
  <c r="W56" i="10"/>
  <c r="AQ56" i="10"/>
  <c r="K56" i="10"/>
  <c r="Z56" i="10"/>
  <c r="AY56" i="10"/>
  <c r="AZ56" i="10"/>
  <c r="N56" i="10"/>
  <c r="AF56" i="10"/>
  <c r="AL56" i="10"/>
  <c r="AP56" i="10"/>
  <c r="BF56" i="10"/>
  <c r="M56" i="10"/>
  <c r="BB56" i="10"/>
  <c r="AW56" i="10"/>
  <c r="H56" i="10"/>
  <c r="AO56" i="10"/>
  <c r="AX56" i="10"/>
  <c r="AG56" i="10"/>
  <c r="AV56" i="10"/>
  <c r="X56" i="10"/>
  <c r="AM56" i="10"/>
  <c r="Y56" i="10"/>
  <c r="AB56" i="10"/>
  <c r="J56" i="10"/>
  <c r="AS56" i="10"/>
  <c r="AA56" i="10"/>
  <c r="AN56" i="10"/>
  <c r="B56" i="10"/>
  <c r="U56" i="10"/>
  <c r="AO48" i="8"/>
  <c r="M48" i="8"/>
  <c r="BE48" i="8"/>
  <c r="AX48" i="8"/>
  <c r="AP48" i="8"/>
  <c r="C48" i="8"/>
  <c r="AH48" i="8"/>
  <c r="AW48" i="8"/>
  <c r="AV48" i="8"/>
  <c r="AQ48" i="8"/>
  <c r="BF48" i="8"/>
  <c r="S48" i="8"/>
  <c r="AA48" i="8"/>
  <c r="R48" i="8"/>
  <c r="BD48" i="8"/>
  <c r="D48" i="8"/>
  <c r="AT48" i="8"/>
  <c r="L48" i="8"/>
  <c r="AK48" i="8"/>
  <c r="AG48" i="8"/>
  <c r="T48" i="8"/>
  <c r="AB48" i="8"/>
  <c r="X48" i="8"/>
  <c r="AF48" i="8"/>
  <c r="U48" i="8"/>
  <c r="J48" i="8"/>
  <c r="AI48" i="8"/>
  <c r="V48" i="8"/>
  <c r="W48" i="8"/>
  <c r="P48" i="8"/>
  <c r="BB48" i="8"/>
  <c r="Z48" i="8"/>
  <c r="E48" i="8"/>
  <c r="BC48" i="8"/>
  <c r="AZ48" i="8"/>
  <c r="Y48" i="8"/>
  <c r="AM48" i="8"/>
  <c r="AL48" i="8"/>
  <c r="AE48" i="8"/>
  <c r="AY48" i="8"/>
  <c r="AR48" i="8"/>
  <c r="N48" i="8"/>
  <c r="AC48" i="8"/>
  <c r="H48" i="8"/>
  <c r="Q48" i="8"/>
  <c r="BA48" i="8"/>
  <c r="AU48" i="8"/>
  <c r="K48" i="8"/>
  <c r="O48" i="8"/>
  <c r="AS48" i="8"/>
  <c r="AD48" i="8"/>
  <c r="AN48" i="8"/>
  <c r="B48" i="8"/>
  <c r="AJ48" i="8"/>
  <c r="AJ22" i="7"/>
  <c r="R22" i="7"/>
  <c r="U22" i="7"/>
  <c r="BB22" i="7"/>
  <c r="BE22" i="7"/>
  <c r="K22" i="7"/>
  <c r="AR22" i="7"/>
  <c r="AB22" i="7"/>
  <c r="AX22" i="7"/>
  <c r="C22" i="7"/>
  <c r="AD22" i="7"/>
  <c r="L22" i="7"/>
  <c r="W22" i="7"/>
  <c r="M22" i="7"/>
  <c r="AE22" i="7"/>
  <c r="J22" i="7"/>
  <c r="BF22" i="7"/>
  <c r="BA22" i="7"/>
  <c r="AZ22" i="7"/>
  <c r="AK22" i="7"/>
  <c r="AC22" i="7"/>
  <c r="Q22" i="7"/>
  <c r="AA22" i="7"/>
  <c r="AT22" i="7"/>
  <c r="V22" i="7"/>
  <c r="AO22" i="7"/>
  <c r="AL22" i="7"/>
  <c r="AF22" i="7"/>
  <c r="AI22" i="7"/>
  <c r="T22" i="7"/>
  <c r="D22" i="7"/>
  <c r="Y22" i="7"/>
  <c r="AV22" i="7"/>
  <c r="AU22" i="7"/>
  <c r="AY22" i="7"/>
  <c r="BC22" i="7"/>
  <c r="H22" i="7"/>
  <c r="Z22" i="7"/>
  <c r="AP22" i="7"/>
  <c r="AH22" i="7"/>
  <c r="AQ22" i="7"/>
  <c r="P22" i="7"/>
  <c r="S22" i="7"/>
  <c r="AG22" i="7"/>
  <c r="AS22" i="7"/>
  <c r="E22" i="7"/>
  <c r="O22" i="7"/>
  <c r="AW22" i="7"/>
  <c r="BD22" i="7"/>
  <c r="AM22" i="7"/>
  <c r="AN22" i="7"/>
  <c r="X22" i="7"/>
  <c r="B22" i="7"/>
  <c r="N22" i="7"/>
  <c r="O3" i="9"/>
  <c r="BD3" i="9"/>
  <c r="BA3" i="9"/>
  <c r="AR3" i="9"/>
  <c r="AS3" i="9"/>
  <c r="J3" i="9"/>
  <c r="AM3" i="9"/>
  <c r="AC3" i="9"/>
  <c r="AE3" i="9"/>
  <c r="AK3" i="9"/>
  <c r="M3" i="9"/>
  <c r="AF3" i="9"/>
  <c r="T3" i="9"/>
  <c r="AT3" i="9"/>
  <c r="Q3" i="9"/>
  <c r="AJ3" i="9"/>
  <c r="E3" i="9"/>
  <c r="K3" i="9"/>
  <c r="AN3" i="9"/>
  <c r="Y3" i="9"/>
  <c r="AP3" i="9"/>
  <c r="H3" i="9"/>
  <c r="C3" i="9"/>
  <c r="N3" i="9"/>
  <c r="BE3" i="9"/>
  <c r="L3" i="9"/>
  <c r="S3" i="9"/>
  <c r="X3" i="9"/>
  <c r="BC3" i="9"/>
  <c r="Z3" i="9"/>
  <c r="D3" i="9"/>
  <c r="AL3" i="9"/>
  <c r="AH3" i="9"/>
  <c r="AV3" i="9"/>
  <c r="AI3" i="9"/>
  <c r="AU3" i="9"/>
  <c r="AQ3" i="9"/>
  <c r="BB3" i="9"/>
  <c r="AA3" i="9"/>
  <c r="AG3" i="9"/>
  <c r="AZ3" i="9"/>
  <c r="BF3" i="9"/>
  <c r="P3" i="9"/>
  <c r="AO3" i="9"/>
  <c r="R3" i="9"/>
  <c r="AB3" i="9"/>
  <c r="AD3" i="9"/>
  <c r="AW3" i="9"/>
  <c r="U3" i="9"/>
  <c r="V3" i="9"/>
  <c r="AY3" i="9"/>
  <c r="AX3" i="9"/>
  <c r="B3" i="9"/>
  <c r="W3" i="9"/>
  <c r="BD36" i="9"/>
  <c r="Q36" i="9"/>
  <c r="AG36" i="9"/>
  <c r="AH36" i="9"/>
  <c r="AL36" i="9"/>
  <c r="AD36" i="9"/>
  <c r="AV36" i="9"/>
  <c r="R36" i="9"/>
  <c r="AB36" i="9"/>
  <c r="U36" i="9"/>
  <c r="L36" i="9"/>
  <c r="BB36" i="9"/>
  <c r="BC36" i="9"/>
  <c r="Z36" i="9"/>
  <c r="AZ36" i="9"/>
  <c r="AE36" i="9"/>
  <c r="AA36" i="9"/>
  <c r="AK36" i="9"/>
  <c r="AY36" i="9"/>
  <c r="E36" i="9"/>
  <c r="O36" i="9"/>
  <c r="AJ36" i="9"/>
  <c r="C36" i="9"/>
  <c r="N36" i="9"/>
  <c r="AQ36" i="9"/>
  <c r="AI36" i="9"/>
  <c r="AU36" i="9"/>
  <c r="AR36" i="9"/>
  <c r="AM36" i="9"/>
  <c r="AF36" i="9"/>
  <c r="BF36" i="9"/>
  <c r="Y36" i="9"/>
  <c r="X36" i="9"/>
  <c r="AS36" i="9"/>
  <c r="H36" i="9"/>
  <c r="BE36" i="9"/>
  <c r="D36" i="9"/>
  <c r="V36" i="9"/>
  <c r="P36" i="9"/>
  <c r="AP36" i="9"/>
  <c r="J36" i="9"/>
  <c r="W36" i="9"/>
  <c r="S36" i="9"/>
  <c r="AO36" i="9"/>
  <c r="AW36" i="9"/>
  <c r="K36" i="9"/>
  <c r="AT36" i="9"/>
  <c r="AC36" i="9"/>
  <c r="AN36" i="9"/>
  <c r="AX36" i="9"/>
  <c r="T36" i="9"/>
  <c r="BA36" i="9"/>
  <c r="B36" i="9"/>
  <c r="M36" i="9"/>
  <c r="Q58" i="7"/>
  <c r="AR58" i="7"/>
  <c r="AA58" i="7"/>
  <c r="AH58" i="7"/>
  <c r="AP58" i="7"/>
  <c r="C58" i="7"/>
  <c r="AO58" i="7"/>
  <c r="AM58" i="7"/>
  <c r="BA58" i="7"/>
  <c r="AE58" i="7"/>
  <c r="V58" i="7"/>
  <c r="K58" i="7"/>
  <c r="BE58" i="7"/>
  <c r="AY58" i="7"/>
  <c r="BD58" i="7"/>
  <c r="O58" i="7"/>
  <c r="Z58" i="7"/>
  <c r="AJ58" i="7"/>
  <c r="AD58" i="7"/>
  <c r="H58" i="7"/>
  <c r="AN58" i="7"/>
  <c r="AB58" i="7"/>
  <c r="AZ58" i="7"/>
  <c r="AK58" i="7"/>
  <c r="X58" i="7"/>
  <c r="AG58" i="7"/>
  <c r="AS58" i="7"/>
  <c r="AW58" i="7"/>
  <c r="L58" i="7"/>
  <c r="S58" i="7"/>
  <c r="P58" i="7"/>
  <c r="AV58" i="7"/>
  <c r="Y58" i="7"/>
  <c r="AF58" i="7"/>
  <c r="R58" i="7"/>
  <c r="AL58" i="7"/>
  <c r="BB58" i="7"/>
  <c r="AC58" i="7"/>
  <c r="E58" i="7"/>
  <c r="D58" i="7"/>
  <c r="U58" i="7"/>
  <c r="BC58" i="7"/>
  <c r="AQ58" i="7"/>
  <c r="T58" i="7"/>
  <c r="M58" i="7"/>
  <c r="N58" i="7"/>
  <c r="AX58" i="7"/>
  <c r="BF58" i="7"/>
  <c r="AU58" i="7"/>
  <c r="AI58" i="7"/>
  <c r="AT58" i="7"/>
  <c r="J58" i="7"/>
  <c r="B58" i="7"/>
  <c r="W58" i="7"/>
  <c r="AL28" i="10"/>
  <c r="AK28" i="10"/>
  <c r="AX28" i="10"/>
  <c r="T28" i="10"/>
  <c r="AP28" i="10"/>
  <c r="U28" i="10"/>
  <c r="AM28" i="10"/>
  <c r="AE28" i="10"/>
  <c r="AN28" i="10"/>
  <c r="AH28" i="10"/>
  <c r="W28" i="10"/>
  <c r="AV28" i="10"/>
  <c r="AI28" i="10"/>
  <c r="Y28" i="10"/>
  <c r="AO28" i="10"/>
  <c r="BB28" i="10"/>
  <c r="AT28" i="10"/>
  <c r="AR28" i="10"/>
  <c r="X28" i="10"/>
  <c r="Q28" i="10"/>
  <c r="AD28" i="10"/>
  <c r="BC28" i="10"/>
  <c r="AF28" i="10"/>
  <c r="AZ28" i="10"/>
  <c r="V28" i="10"/>
  <c r="BF28" i="10"/>
  <c r="AS28" i="10"/>
  <c r="S28" i="10"/>
  <c r="P28" i="10"/>
  <c r="C28" i="10"/>
  <c r="BA28" i="10"/>
  <c r="AU28" i="10"/>
  <c r="BE28" i="10"/>
  <c r="O28" i="10"/>
  <c r="AB28" i="10"/>
  <c r="AC28" i="10"/>
  <c r="K28" i="10"/>
  <c r="AQ28" i="10"/>
  <c r="AY28" i="10"/>
  <c r="AG28" i="10"/>
  <c r="N28" i="10"/>
  <c r="L28" i="10"/>
  <c r="J28" i="10"/>
  <c r="M28" i="10"/>
  <c r="BD28" i="10"/>
  <c r="D28" i="10"/>
  <c r="R28" i="10"/>
  <c r="E28" i="10"/>
  <c r="AW28" i="10"/>
  <c r="H28" i="10"/>
  <c r="AA28" i="10"/>
  <c r="Z28" i="10"/>
  <c r="B28" i="10"/>
  <c r="AJ28" i="10"/>
  <c r="AA11" i="9"/>
  <c r="AT11" i="9"/>
  <c r="H11" i="9"/>
  <c r="BF11" i="9"/>
  <c r="N11" i="9"/>
  <c r="D11" i="9"/>
  <c r="V11" i="9"/>
  <c r="C11" i="9"/>
  <c r="BA11" i="9"/>
  <c r="Y11" i="9"/>
  <c r="AM11" i="9"/>
  <c r="K11" i="9"/>
  <c r="AK11" i="9"/>
  <c r="BD11" i="9"/>
  <c r="J11" i="9"/>
  <c r="U11" i="9"/>
  <c r="AD11" i="9"/>
  <c r="AG11" i="9"/>
  <c r="Q11" i="9"/>
  <c r="BC11" i="9"/>
  <c r="AR11" i="9"/>
  <c r="AZ11" i="9"/>
  <c r="AQ11" i="9"/>
  <c r="AS11" i="9"/>
  <c r="AV11" i="9"/>
  <c r="AY11" i="9"/>
  <c r="L11" i="9"/>
  <c r="AP11" i="9"/>
  <c r="AJ11" i="9"/>
  <c r="AU11" i="9"/>
  <c r="T11" i="9"/>
  <c r="AI11" i="9"/>
  <c r="AE11" i="9"/>
  <c r="AN11" i="9"/>
  <c r="AW11" i="9"/>
  <c r="AO11" i="9"/>
  <c r="AF11" i="9"/>
  <c r="W11" i="9"/>
  <c r="S11" i="9"/>
  <c r="BB11" i="9"/>
  <c r="M11" i="9"/>
  <c r="AH11" i="9"/>
  <c r="O11" i="9"/>
  <c r="AX11" i="9"/>
  <c r="AL11" i="9"/>
  <c r="BE11" i="9"/>
  <c r="P11" i="9"/>
  <c r="AC11" i="9"/>
  <c r="AB11" i="9"/>
  <c r="X11" i="9"/>
  <c r="E11" i="9"/>
  <c r="Z11" i="9"/>
  <c r="B11" i="9"/>
  <c r="R11" i="9"/>
  <c r="AL40" i="10"/>
  <c r="P40" i="10"/>
  <c r="AF40" i="10"/>
  <c r="AC40" i="10"/>
  <c r="AH40" i="10"/>
  <c r="H40" i="10"/>
  <c r="Y40" i="10"/>
  <c r="L40" i="10"/>
  <c r="AQ40" i="10"/>
  <c r="AM40" i="10"/>
  <c r="AD40" i="10"/>
  <c r="AB40" i="10"/>
  <c r="AG40" i="10"/>
  <c r="O40" i="10"/>
  <c r="W40" i="10"/>
  <c r="AS40" i="10"/>
  <c r="AO40" i="10"/>
  <c r="Z40" i="10"/>
  <c r="BB40" i="10"/>
  <c r="BC40" i="10"/>
  <c r="N40" i="10"/>
  <c r="AR40" i="10"/>
  <c r="BF40" i="10"/>
  <c r="BD40" i="10"/>
  <c r="AJ40" i="10"/>
  <c r="AW40" i="10"/>
  <c r="E40" i="10"/>
  <c r="U40" i="10"/>
  <c r="X40" i="10"/>
  <c r="AU40" i="10"/>
  <c r="AZ40" i="10"/>
  <c r="AI40" i="10"/>
  <c r="AP40" i="10"/>
  <c r="BE40" i="10"/>
  <c r="D40" i="10"/>
  <c r="R40" i="10"/>
  <c r="BA40" i="10"/>
  <c r="AK40" i="10"/>
  <c r="AN40" i="10"/>
  <c r="J40" i="10"/>
  <c r="AX40" i="10"/>
  <c r="C40" i="10"/>
  <c r="AY40" i="10"/>
  <c r="AV40" i="10"/>
  <c r="AA40" i="10"/>
  <c r="K40" i="10"/>
  <c r="AE40" i="10"/>
  <c r="T40" i="10"/>
  <c r="S40" i="10"/>
  <c r="AT40" i="10"/>
  <c r="Q40" i="10"/>
  <c r="M40" i="10"/>
  <c r="B40" i="10"/>
  <c r="V40" i="10"/>
  <c r="AU8" i="9"/>
  <c r="AS8" i="9"/>
  <c r="BB8" i="9"/>
  <c r="AT8" i="9"/>
  <c r="AB8" i="9"/>
  <c r="V8" i="9"/>
  <c r="L8" i="9"/>
  <c r="BA8" i="9"/>
  <c r="AQ8" i="9"/>
  <c r="AO8" i="9"/>
  <c r="AW8" i="9"/>
  <c r="BD8" i="9"/>
  <c r="AP8" i="9"/>
  <c r="AA8" i="9"/>
  <c r="X8" i="9"/>
  <c r="AJ8" i="9"/>
  <c r="AR8" i="9"/>
  <c r="Z8" i="9"/>
  <c r="AN8" i="9"/>
  <c r="AX8" i="9"/>
  <c r="AL8" i="9"/>
  <c r="S8" i="9"/>
  <c r="K8" i="9"/>
  <c r="U8" i="9"/>
  <c r="AC8" i="9"/>
  <c r="C8" i="9"/>
  <c r="Y8" i="9"/>
  <c r="AE8" i="9"/>
  <c r="Q8" i="9"/>
  <c r="AD8" i="9"/>
  <c r="D8" i="9"/>
  <c r="AH8" i="9"/>
  <c r="AK8" i="9"/>
  <c r="AG8" i="9"/>
  <c r="P8" i="9"/>
  <c r="AZ8" i="9"/>
  <c r="O8" i="9"/>
  <c r="BE8" i="9"/>
  <c r="R8" i="9"/>
  <c r="M8" i="9"/>
  <c r="BF8" i="9"/>
  <c r="N8" i="9"/>
  <c r="BC8" i="9"/>
  <c r="AY8" i="9"/>
  <c r="J8" i="9"/>
  <c r="AF8" i="9"/>
  <c r="H8" i="9"/>
  <c r="W8" i="9"/>
  <c r="AI8" i="9"/>
  <c r="AV8" i="9"/>
  <c r="AM8" i="9"/>
  <c r="E8" i="9"/>
  <c r="B8" i="9"/>
  <c r="T8" i="9"/>
  <c r="S21" i="9"/>
  <c r="AB21" i="9"/>
  <c r="AQ21" i="9"/>
  <c r="O21" i="9"/>
  <c r="N21" i="9"/>
  <c r="Q21" i="9"/>
  <c r="AH21" i="9"/>
  <c r="AC21" i="9"/>
  <c r="BA21" i="9"/>
  <c r="BD21" i="9"/>
  <c r="AA21" i="9"/>
  <c r="BF21" i="9"/>
  <c r="K21" i="9"/>
  <c r="AL21" i="9"/>
  <c r="R21" i="9"/>
  <c r="AK21" i="9"/>
  <c r="BE21" i="9"/>
  <c r="AI21" i="9"/>
  <c r="AP21" i="9"/>
  <c r="P21" i="9"/>
  <c r="T21" i="9"/>
  <c r="W21" i="9"/>
  <c r="Z21" i="9"/>
  <c r="X21" i="9"/>
  <c r="V21" i="9"/>
  <c r="AN21" i="9"/>
  <c r="AW21" i="9"/>
  <c r="Y21" i="9"/>
  <c r="AZ21" i="9"/>
  <c r="AJ21" i="9"/>
  <c r="M21" i="9"/>
  <c r="BC21" i="9"/>
  <c r="C21" i="9"/>
  <c r="L21" i="9"/>
  <c r="AV21" i="9"/>
  <c r="H21" i="9"/>
  <c r="AD21" i="9"/>
  <c r="E21" i="9"/>
  <c r="AU21" i="9"/>
  <c r="AS21" i="9"/>
  <c r="AR21" i="9"/>
  <c r="BB21" i="9"/>
  <c r="U21" i="9"/>
  <c r="AY21" i="9"/>
  <c r="J21" i="9"/>
  <c r="AO21" i="9"/>
  <c r="AE21" i="9"/>
  <c r="AF21" i="9"/>
  <c r="AX21" i="9"/>
  <c r="AG21" i="9"/>
  <c r="AM21" i="9"/>
  <c r="AT21" i="9"/>
  <c r="D21" i="9"/>
  <c r="W20" i="8"/>
  <c r="AS20" i="8"/>
  <c r="AB20" i="8"/>
  <c r="AK20" i="8"/>
  <c r="AL20" i="8"/>
  <c r="AJ20" i="8"/>
  <c r="AM20" i="8"/>
  <c r="AN20" i="8"/>
  <c r="AZ20" i="8"/>
  <c r="J20" i="8"/>
  <c r="BC20" i="8"/>
  <c r="L20" i="8"/>
  <c r="AE20" i="8"/>
  <c r="AC20" i="8"/>
  <c r="O20" i="8"/>
  <c r="P20" i="8"/>
  <c r="M20" i="8"/>
  <c r="AU20" i="8"/>
  <c r="R20" i="8"/>
  <c r="AH20" i="8"/>
  <c r="BA20" i="8"/>
  <c r="X20" i="8"/>
  <c r="T20" i="8"/>
  <c r="BD20" i="8"/>
  <c r="AQ20" i="8"/>
  <c r="V20" i="8"/>
  <c r="AG20" i="8"/>
  <c r="BF20" i="8"/>
  <c r="AF20" i="8"/>
  <c r="AD20" i="8"/>
  <c r="Y20" i="8"/>
  <c r="Z20" i="8"/>
  <c r="AP20" i="8"/>
  <c r="AO20" i="8"/>
  <c r="H20" i="8"/>
  <c r="D20" i="8"/>
  <c r="AX20" i="8"/>
  <c r="AW20" i="8"/>
  <c r="K20" i="8"/>
  <c r="E20" i="8"/>
  <c r="BE20" i="8"/>
  <c r="N20" i="8"/>
  <c r="AV20" i="8"/>
  <c r="U20" i="8"/>
  <c r="BB20" i="8"/>
  <c r="AY20" i="8"/>
  <c r="C20" i="8"/>
  <c r="AR20" i="8"/>
  <c r="Q20" i="8"/>
  <c r="AA20" i="8"/>
  <c r="S20" i="8"/>
  <c r="AI20" i="8"/>
  <c r="B20" i="8"/>
  <c r="AT20" i="8"/>
  <c r="AR18" i="10"/>
  <c r="AX18" i="10"/>
  <c r="Z18" i="10"/>
  <c r="W18" i="10"/>
  <c r="AS18" i="10"/>
  <c r="H18" i="10"/>
  <c r="T18" i="10"/>
  <c r="AN18" i="10"/>
  <c r="BF18" i="10"/>
  <c r="AC18" i="10"/>
  <c r="J18" i="10"/>
  <c r="AW18" i="10"/>
  <c r="AT18" i="10"/>
  <c r="D18" i="10"/>
  <c r="BA18" i="10"/>
  <c r="R18" i="10"/>
  <c r="U18" i="10"/>
  <c r="AD18" i="10"/>
  <c r="BB18" i="10"/>
  <c r="AY18" i="10"/>
  <c r="BD18" i="10"/>
  <c r="N18" i="10"/>
  <c r="AA18" i="10"/>
  <c r="AP18" i="10"/>
  <c r="AH18" i="10"/>
  <c r="X18" i="10"/>
  <c r="AV18" i="10"/>
  <c r="AJ18" i="10"/>
  <c r="BC18" i="10"/>
  <c r="P18" i="10"/>
  <c r="AF18" i="10"/>
  <c r="AU18" i="10"/>
  <c r="AM18" i="10"/>
  <c r="AQ18" i="10"/>
  <c r="AE18" i="10"/>
  <c r="Y18" i="10"/>
  <c r="C18" i="10"/>
  <c r="BE18" i="10"/>
  <c r="V18" i="10"/>
  <c r="Q18" i="10"/>
  <c r="AL18" i="10"/>
  <c r="AG18" i="10"/>
  <c r="M18" i="10"/>
  <c r="L18" i="10"/>
  <c r="AI18" i="10"/>
  <c r="O18" i="10"/>
  <c r="AK18" i="10"/>
  <c r="K18" i="10"/>
  <c r="S18" i="10"/>
  <c r="AB18" i="10"/>
  <c r="AO18" i="10"/>
  <c r="AZ18" i="10"/>
  <c r="B18" i="10"/>
  <c r="E18" i="10"/>
  <c r="AS5" i="9"/>
  <c r="AW5" i="9"/>
  <c r="AG5" i="9"/>
  <c r="AT5" i="9"/>
  <c r="J5" i="9"/>
  <c r="AD5" i="9"/>
  <c r="W5" i="9"/>
  <c r="AB5" i="9"/>
  <c r="AN5" i="9"/>
  <c r="L5" i="9"/>
  <c r="AC5" i="9"/>
  <c r="T5" i="9"/>
  <c r="BA5" i="9"/>
  <c r="U5" i="9"/>
  <c r="AA5" i="9"/>
  <c r="S5" i="9"/>
  <c r="Q5" i="9"/>
  <c r="AY5" i="9"/>
  <c r="K5" i="9"/>
  <c r="C5" i="9"/>
  <c r="AE5" i="9"/>
  <c r="H5" i="9"/>
  <c r="AK5" i="9"/>
  <c r="X5" i="9"/>
  <c r="AJ5" i="9"/>
  <c r="N5" i="9"/>
  <c r="E5" i="9"/>
  <c r="Y5" i="9"/>
  <c r="AP5" i="9"/>
  <c r="BE5" i="9"/>
  <c r="AV5" i="9"/>
  <c r="BC5" i="9"/>
  <c r="D5" i="9"/>
  <c r="AU5" i="9"/>
  <c r="P5" i="9"/>
  <c r="BD5" i="9"/>
  <c r="V5" i="9"/>
  <c r="BF5" i="9"/>
  <c r="Z5" i="9"/>
  <c r="AI5" i="9"/>
  <c r="AQ5" i="9"/>
  <c r="AF5" i="9"/>
  <c r="AM5" i="9"/>
  <c r="AX5" i="9"/>
  <c r="AR5" i="9"/>
  <c r="AZ5" i="9"/>
  <c r="AL5" i="9"/>
  <c r="AO5" i="9"/>
  <c r="AH5" i="9"/>
  <c r="BB5" i="9"/>
  <c r="R5" i="9"/>
  <c r="M5" i="9"/>
  <c r="O5" i="9"/>
  <c r="AN29" i="3"/>
  <c r="J29" i="3"/>
  <c r="BF29" i="3"/>
  <c r="AJ29" i="3"/>
  <c r="AQ29" i="3"/>
  <c r="AD29" i="3"/>
  <c r="BD29" i="3"/>
  <c r="X29" i="3"/>
  <c r="L29" i="3"/>
  <c r="O29" i="3"/>
  <c r="U29" i="3"/>
  <c r="K29" i="3"/>
  <c r="AZ29" i="3"/>
  <c r="BE29" i="3"/>
  <c r="AS29" i="3"/>
  <c r="H29" i="3"/>
  <c r="M29" i="3"/>
  <c r="AG29" i="3"/>
  <c r="AT29" i="3"/>
  <c r="P29" i="3"/>
  <c r="AK29" i="3"/>
  <c r="AP29" i="3"/>
  <c r="AU29" i="3"/>
  <c r="Q29" i="3"/>
  <c r="AM29" i="3"/>
  <c r="D29" i="3"/>
  <c r="AA29" i="3"/>
  <c r="C29" i="3"/>
  <c r="BC29" i="3"/>
  <c r="AW29" i="3"/>
  <c r="Z29" i="3"/>
  <c r="AV29" i="3"/>
  <c r="AL29" i="3"/>
  <c r="E29" i="3"/>
  <c r="AR29" i="3"/>
  <c r="W29" i="3"/>
  <c r="V29" i="3"/>
  <c r="AB29" i="3"/>
  <c r="AC29" i="3"/>
  <c r="BB29" i="3"/>
  <c r="Y29" i="3"/>
  <c r="AX29" i="3"/>
  <c r="S29" i="3"/>
  <c r="AE29" i="3"/>
  <c r="AY29" i="3"/>
  <c r="T29" i="3"/>
  <c r="AO29" i="3"/>
  <c r="AI29" i="3"/>
  <c r="BA29" i="3"/>
  <c r="AH29" i="3"/>
  <c r="R29" i="3"/>
  <c r="N29" i="3"/>
  <c r="B29" i="3"/>
  <c r="AF29" i="3"/>
  <c r="Y4" i="4"/>
  <c r="AX4" i="4"/>
  <c r="AO4" i="4"/>
  <c r="AI4" i="4"/>
  <c r="K4" i="4"/>
  <c r="AS4" i="4"/>
  <c r="L4" i="4"/>
  <c r="S4" i="4"/>
  <c r="BD4" i="4"/>
  <c r="T4" i="4"/>
  <c r="J4" i="4"/>
  <c r="AH4" i="4"/>
  <c r="AA4" i="4"/>
  <c r="C4" i="4"/>
  <c r="AK4" i="4"/>
  <c r="AL4" i="4"/>
  <c r="BC4" i="4"/>
  <c r="BF4" i="4"/>
  <c r="BB4" i="4"/>
  <c r="BE4" i="4"/>
  <c r="M4" i="4"/>
  <c r="H4" i="4"/>
  <c r="W4" i="4"/>
  <c r="AT4" i="4"/>
  <c r="Z4" i="4"/>
  <c r="X4" i="4"/>
  <c r="AM4" i="4"/>
  <c r="AZ4" i="4"/>
  <c r="U4" i="4"/>
  <c r="O4" i="4"/>
  <c r="N4" i="4"/>
  <c r="AF4" i="4"/>
  <c r="P4" i="4"/>
  <c r="R4" i="4"/>
  <c r="AY4" i="4"/>
  <c r="AG4" i="4"/>
  <c r="AD4" i="4"/>
  <c r="E4" i="4"/>
  <c r="AU4" i="4"/>
  <c r="AP4" i="4"/>
  <c r="AJ4" i="4"/>
  <c r="AQ4" i="4"/>
  <c r="V4" i="4"/>
  <c r="BA4" i="4"/>
  <c r="AV4" i="4"/>
  <c r="AN4" i="4"/>
  <c r="AC4" i="4"/>
  <c r="D4" i="4"/>
  <c r="AB4" i="4"/>
  <c r="AW4" i="4"/>
  <c r="AE4" i="4"/>
  <c r="Q4" i="4"/>
  <c r="B4" i="4"/>
  <c r="AR4" i="4"/>
  <c r="N2" i="7"/>
  <c r="AS2" i="7"/>
  <c r="AN2" i="7"/>
  <c r="AR2" i="7"/>
  <c r="O2" i="7"/>
  <c r="P2" i="7"/>
  <c r="Z2" i="7"/>
  <c r="R2" i="7"/>
  <c r="M2" i="7"/>
  <c r="Y2" i="7"/>
  <c r="C2" i="7"/>
  <c r="E2" i="7"/>
  <c r="K2" i="7"/>
  <c r="L2" i="7"/>
  <c r="T2" i="7"/>
  <c r="AK2" i="7"/>
  <c r="AC2" i="7"/>
  <c r="Q2" i="7"/>
  <c r="AU2" i="7"/>
  <c r="AD2" i="7"/>
  <c r="AG2" i="7"/>
  <c r="AF2" i="7"/>
  <c r="AL2" i="7"/>
  <c r="W2" i="7"/>
  <c r="AH2" i="7"/>
  <c r="AB2" i="7"/>
  <c r="AA2" i="7"/>
  <c r="BD2" i="7"/>
  <c r="AX2" i="7"/>
  <c r="AO2" i="7"/>
  <c r="D2" i="7"/>
  <c r="S2" i="7"/>
  <c r="AM2" i="7"/>
  <c r="AW2" i="7"/>
  <c r="AZ2" i="7"/>
  <c r="AT2" i="7"/>
  <c r="X2" i="7"/>
  <c r="BC2" i="7"/>
  <c r="BF2" i="7"/>
  <c r="AP2" i="7"/>
  <c r="AJ2" i="7"/>
  <c r="AQ2" i="7"/>
  <c r="BA2" i="7"/>
  <c r="BE2" i="7"/>
  <c r="U2" i="7"/>
  <c r="AI2" i="7"/>
  <c r="BB2" i="7"/>
  <c r="V2" i="7"/>
  <c r="H2" i="7"/>
  <c r="AE2" i="7"/>
  <c r="AY2" i="7"/>
  <c r="AV2" i="7"/>
  <c r="B2" i="7"/>
  <c r="J2" i="7"/>
  <c r="AA17" i="1"/>
  <c r="BF17" i="1"/>
  <c r="AK17" i="1"/>
  <c r="X17" i="1"/>
  <c r="Y17" i="1"/>
  <c r="AX17" i="1"/>
  <c r="L17" i="1"/>
  <c r="V17" i="1"/>
  <c r="BD17" i="1"/>
  <c r="BE17" i="1"/>
  <c r="AJ17" i="1"/>
  <c r="P17" i="1"/>
  <c r="AD17" i="1"/>
  <c r="AB17" i="1"/>
  <c r="AC17" i="1"/>
  <c r="U17" i="1"/>
  <c r="AM17" i="1"/>
  <c r="BC17" i="1"/>
  <c r="R17" i="1"/>
  <c r="K17" i="1"/>
  <c r="AY17" i="1"/>
  <c r="AS17" i="1"/>
  <c r="S17" i="1"/>
  <c r="AP17" i="1"/>
  <c r="AE17" i="1"/>
  <c r="AT17" i="1"/>
  <c r="C17" i="1"/>
  <c r="T17" i="1"/>
  <c r="J17" i="1"/>
  <c r="D17" i="1"/>
  <c r="M17" i="1"/>
  <c r="AH17" i="1"/>
  <c r="BB17" i="1"/>
  <c r="AF17" i="1"/>
  <c r="AN17" i="1"/>
  <c r="AL17" i="1"/>
  <c r="Z17" i="1"/>
  <c r="E17" i="1"/>
  <c r="BA17" i="1"/>
  <c r="O17" i="1"/>
  <c r="AI17" i="1"/>
  <c r="H17" i="1"/>
  <c r="N17" i="1"/>
  <c r="W17" i="1"/>
  <c r="AZ17" i="1"/>
  <c r="Q17" i="1"/>
  <c r="AU17" i="1"/>
  <c r="AR17" i="1"/>
  <c r="AG17" i="1"/>
  <c r="AO17" i="1"/>
  <c r="AV17" i="1"/>
  <c r="AQ17" i="1"/>
  <c r="B17" i="1"/>
  <c r="AW17" i="1"/>
  <c r="AW20" i="9"/>
  <c r="AN20" i="9"/>
  <c r="AF20" i="9"/>
  <c r="AI20" i="9"/>
  <c r="L20" i="9"/>
  <c r="AX20" i="9"/>
  <c r="AC20" i="9"/>
  <c r="N20" i="9"/>
  <c r="AD20" i="9"/>
  <c r="AV20" i="9"/>
  <c r="Q20" i="9"/>
  <c r="AK20" i="9"/>
  <c r="U20" i="9"/>
  <c r="AQ20" i="9"/>
  <c r="S20" i="9"/>
  <c r="P20" i="9"/>
  <c r="AJ20" i="9"/>
  <c r="BD20" i="9"/>
  <c r="AU20" i="9"/>
  <c r="AH20" i="9"/>
  <c r="W20" i="9"/>
  <c r="BF20" i="9"/>
  <c r="Y20" i="9"/>
  <c r="R20" i="9"/>
  <c r="AA20" i="9"/>
  <c r="M20" i="9"/>
  <c r="C20" i="9"/>
  <c r="D20" i="9"/>
  <c r="J20" i="9"/>
  <c r="V20" i="9"/>
  <c r="AY20" i="9"/>
  <c r="AZ20" i="9"/>
  <c r="AO20" i="9"/>
  <c r="AL20" i="9"/>
  <c r="E20" i="9"/>
  <c r="AS20" i="9"/>
  <c r="BA20" i="9"/>
  <c r="BE20" i="9"/>
  <c r="BB20" i="9"/>
  <c r="AP20" i="9"/>
  <c r="AG20" i="9"/>
  <c r="AR20" i="9"/>
  <c r="K20" i="9"/>
  <c r="O20" i="9"/>
  <c r="BC20" i="9"/>
  <c r="X20" i="9"/>
  <c r="AB20" i="9"/>
  <c r="T20" i="9"/>
  <c r="AT20" i="9"/>
  <c r="H20" i="9"/>
  <c r="AE20" i="9"/>
  <c r="Z20" i="9"/>
  <c r="B20" i="9"/>
  <c r="AM20" i="9"/>
  <c r="AI3" i="2"/>
  <c r="O3" i="2"/>
  <c r="U3" i="2"/>
  <c r="E3" i="2"/>
  <c r="AY3" i="2"/>
  <c r="AE3" i="2"/>
  <c r="L3" i="2"/>
  <c r="BE3" i="2"/>
  <c r="AZ3" i="2"/>
  <c r="M3" i="2"/>
  <c r="AW3" i="2"/>
  <c r="BC3" i="2"/>
  <c r="Q3" i="2"/>
  <c r="X3" i="2"/>
  <c r="V3" i="2"/>
  <c r="Z3" i="2"/>
  <c r="AN3" i="2"/>
  <c r="BB3" i="2"/>
  <c r="AL3" i="2"/>
  <c r="AQ3" i="2"/>
  <c r="AA3" i="2"/>
  <c r="P3" i="2"/>
  <c r="C3" i="2"/>
  <c r="K3" i="2"/>
  <c r="AD3" i="2"/>
  <c r="AB3" i="2"/>
  <c r="AJ3" i="2"/>
  <c r="H3" i="2"/>
  <c r="S3" i="2"/>
  <c r="J3" i="2"/>
  <c r="T3" i="2"/>
  <c r="Y3" i="2"/>
  <c r="AV3" i="2"/>
  <c r="AK3" i="2"/>
  <c r="AH3" i="2"/>
  <c r="AM3" i="2"/>
  <c r="AG3" i="2"/>
  <c r="AF3" i="2"/>
  <c r="AS3" i="2"/>
  <c r="W3" i="2"/>
  <c r="AO3" i="2"/>
  <c r="D3" i="2"/>
  <c r="BD3" i="2"/>
  <c r="BF3" i="2"/>
  <c r="AP3" i="2"/>
  <c r="AX3" i="2"/>
  <c r="BA3" i="2"/>
  <c r="AU3" i="2"/>
  <c r="AC3" i="2"/>
  <c r="R3" i="2"/>
  <c r="AR3" i="2"/>
  <c r="AT3" i="2"/>
  <c r="B3" i="2"/>
  <c r="N3" i="2"/>
  <c r="F58" i="5"/>
  <c r="G58" i="5"/>
  <c r="I58" i="5"/>
  <c r="I13" i="1"/>
  <c r="G13" i="1"/>
  <c r="F13" i="1"/>
  <c r="BE52" i="9"/>
  <c r="AB52" i="9"/>
  <c r="M52" i="9"/>
  <c r="AX52" i="9"/>
  <c r="E52" i="9"/>
  <c r="BF52" i="9"/>
  <c r="D52" i="9"/>
  <c r="N52" i="9"/>
  <c r="O52" i="9"/>
  <c r="AE52" i="9"/>
  <c r="AO52" i="9"/>
  <c r="R52" i="9"/>
  <c r="V52" i="9"/>
  <c r="Z52" i="9"/>
  <c r="AK52" i="9"/>
  <c r="AT52" i="9"/>
  <c r="AM52" i="9"/>
  <c r="U52" i="9"/>
  <c r="AQ52" i="9"/>
  <c r="J52" i="9"/>
  <c r="S52" i="9"/>
  <c r="AV52" i="9"/>
  <c r="AZ52" i="9"/>
  <c r="AG52" i="9"/>
  <c r="T52" i="9"/>
  <c r="AA52" i="9"/>
  <c r="BA52" i="9"/>
  <c r="AD52" i="9"/>
  <c r="Y52" i="9"/>
  <c r="Q52" i="9"/>
  <c r="AH52" i="9"/>
  <c r="AW52" i="9"/>
  <c r="AF52" i="9"/>
  <c r="L52" i="9"/>
  <c r="AJ52" i="9"/>
  <c r="BB52" i="9"/>
  <c r="AN52" i="9"/>
  <c r="AY52" i="9"/>
  <c r="AS52" i="9"/>
  <c r="BC52" i="9"/>
  <c r="AU52" i="9"/>
  <c r="BD52" i="9"/>
  <c r="AI52" i="9"/>
  <c r="H52" i="9"/>
  <c r="K52" i="9"/>
  <c r="AL52" i="9"/>
  <c r="X52" i="9"/>
  <c r="AP52" i="9"/>
  <c r="AC52" i="9"/>
  <c r="W52" i="9"/>
  <c r="C52" i="9"/>
  <c r="AR52" i="9"/>
  <c r="B52" i="9"/>
  <c r="P52" i="9"/>
  <c r="F41" i="7"/>
  <c r="G41" i="7"/>
  <c r="I41" i="7"/>
  <c r="F33" i="7"/>
  <c r="G33" i="7"/>
  <c r="I33" i="7"/>
  <c r="I53" i="8"/>
  <c r="G53" i="8"/>
  <c r="F53" i="8"/>
  <c r="F44" i="6"/>
  <c r="G44" i="6"/>
  <c r="I44" i="6"/>
  <c r="AL58" i="10"/>
  <c r="BA58" i="10"/>
  <c r="AX58" i="10"/>
  <c r="AF58" i="10"/>
  <c r="AK58" i="10"/>
  <c r="AT58" i="10"/>
  <c r="AQ58" i="10"/>
  <c r="AC58" i="10"/>
  <c r="BF58" i="10"/>
  <c r="AA58" i="10"/>
  <c r="Q58" i="10"/>
  <c r="BB58" i="10"/>
  <c r="AM58" i="10"/>
  <c r="AD58" i="10"/>
  <c r="BE58" i="10"/>
  <c r="AV58" i="10"/>
  <c r="O58" i="10"/>
  <c r="AN58" i="10"/>
  <c r="D58" i="10"/>
  <c r="K58" i="10"/>
  <c r="L58" i="10"/>
  <c r="AI58" i="10"/>
  <c r="AR58" i="10"/>
  <c r="P58" i="10"/>
  <c r="R58" i="10"/>
  <c r="AB58" i="10"/>
  <c r="X58" i="10"/>
  <c r="AJ58" i="10"/>
  <c r="AO58" i="10"/>
  <c r="BD58" i="10"/>
  <c r="BC58" i="10"/>
  <c r="Z58" i="10"/>
  <c r="M58" i="10"/>
  <c r="N58" i="10"/>
  <c r="U58" i="10"/>
  <c r="AG58" i="10"/>
  <c r="AW58" i="10"/>
  <c r="S58" i="10"/>
  <c r="E58" i="10"/>
  <c r="AU58" i="10"/>
  <c r="Y58" i="10"/>
  <c r="AS58" i="10"/>
  <c r="W58" i="10"/>
  <c r="AH58" i="10"/>
  <c r="AP58" i="10"/>
  <c r="V58" i="10"/>
  <c r="C58" i="10"/>
  <c r="H58" i="10"/>
  <c r="AE58" i="10"/>
  <c r="T58" i="10"/>
  <c r="AY58" i="10"/>
  <c r="J58" i="10"/>
  <c r="AZ58" i="10"/>
  <c r="F39" i="4"/>
  <c r="G39" i="4"/>
  <c r="I39" i="4"/>
  <c r="I37" i="10"/>
  <c r="G37" i="10"/>
  <c r="F37" i="10"/>
  <c r="F35" i="5"/>
  <c r="G35" i="5"/>
  <c r="I35" i="5"/>
  <c r="F33" i="10"/>
  <c r="G33" i="10"/>
  <c r="I33" i="10"/>
  <c r="I6" i="8"/>
  <c r="G6" i="8"/>
  <c r="F6" i="8"/>
  <c r="F25" i="1"/>
  <c r="G25" i="1"/>
  <c r="I25" i="1"/>
  <c r="F42" i="7"/>
  <c r="G42" i="7"/>
  <c r="I42" i="7"/>
  <c r="X9" i="10"/>
  <c r="AN9" i="10"/>
  <c r="Z9" i="10"/>
  <c r="AD9" i="10"/>
  <c r="D9" i="10"/>
  <c r="AI9" i="10"/>
  <c r="AS9" i="10"/>
  <c r="U9" i="10"/>
  <c r="AP9" i="10"/>
  <c r="P9" i="10"/>
  <c r="N9" i="10"/>
  <c r="AL9" i="10"/>
  <c r="AY9" i="10"/>
  <c r="BF9" i="10"/>
  <c r="AK9" i="10"/>
  <c r="W9" i="10"/>
  <c r="T9" i="10"/>
  <c r="S9" i="10"/>
  <c r="AO9" i="10"/>
  <c r="AW9" i="10"/>
  <c r="Y9" i="10"/>
  <c r="J9" i="10"/>
  <c r="AX9" i="10"/>
  <c r="BB9" i="10"/>
  <c r="Q9" i="10"/>
  <c r="C9" i="10"/>
  <c r="AT9" i="10"/>
  <c r="AU9" i="10"/>
  <c r="AG9" i="10"/>
  <c r="AZ9" i="10"/>
  <c r="V9" i="10"/>
  <c r="BA9" i="10"/>
  <c r="O9" i="10"/>
  <c r="R9" i="10"/>
  <c r="BD9" i="10"/>
  <c r="M9" i="10"/>
  <c r="AH9" i="10"/>
  <c r="AB9" i="10"/>
  <c r="K9" i="10"/>
  <c r="AA9" i="10"/>
  <c r="AC9" i="10"/>
  <c r="E9" i="10"/>
  <c r="AM9" i="10"/>
  <c r="L9" i="10"/>
  <c r="AQ9" i="10"/>
  <c r="H9" i="10"/>
  <c r="AV9" i="10"/>
  <c r="AR9" i="10"/>
  <c r="AE9" i="10"/>
  <c r="BC9" i="10"/>
  <c r="AJ9" i="10"/>
  <c r="BE9" i="10"/>
  <c r="AF9" i="10"/>
  <c r="AC4" i="9"/>
  <c r="AW4" i="9"/>
  <c r="AL4" i="9"/>
  <c r="AJ4" i="9"/>
  <c r="O4" i="9"/>
  <c r="AI4" i="9"/>
  <c r="AG4" i="9"/>
  <c r="E4" i="9"/>
  <c r="Q4" i="9"/>
  <c r="AV4" i="9"/>
  <c r="AY4" i="9"/>
  <c r="AD4" i="9"/>
  <c r="AU4" i="9"/>
  <c r="S4" i="9"/>
  <c r="BE4" i="9"/>
  <c r="X4" i="9"/>
  <c r="U4" i="9"/>
  <c r="AE4" i="9"/>
  <c r="BA4" i="9"/>
  <c r="BD4" i="9"/>
  <c r="AF4" i="9"/>
  <c r="AB4" i="9"/>
  <c r="AR4" i="9"/>
  <c r="Z4" i="9"/>
  <c r="AP4" i="9"/>
  <c r="L4" i="9"/>
  <c r="V4" i="9"/>
  <c r="AM4" i="9"/>
  <c r="R4" i="9"/>
  <c r="D4" i="9"/>
  <c r="AX4" i="9"/>
  <c r="AN4" i="9"/>
  <c r="AO4" i="9"/>
  <c r="AK4" i="9"/>
  <c r="AT4" i="9"/>
  <c r="Y4" i="9"/>
  <c r="P4" i="9"/>
  <c r="BF4" i="9"/>
  <c r="W4" i="9"/>
  <c r="M4" i="9"/>
  <c r="AH4" i="9"/>
  <c r="AS4" i="9"/>
  <c r="N4" i="9"/>
  <c r="J4" i="9"/>
  <c r="K4" i="9"/>
  <c r="H4" i="9"/>
  <c r="C4" i="9"/>
  <c r="AQ4" i="9"/>
  <c r="AA4" i="9"/>
  <c r="BC4" i="9"/>
  <c r="T4" i="9"/>
  <c r="BB4" i="9"/>
  <c r="B4" i="9"/>
  <c r="AZ4" i="9"/>
  <c r="I14" i="3"/>
  <c r="G14" i="3"/>
  <c r="F14" i="3"/>
  <c r="O19" i="6"/>
  <c r="M19" i="6"/>
  <c r="AR19" i="6"/>
  <c r="BF19" i="6"/>
  <c r="BD19" i="6"/>
  <c r="Q19" i="6"/>
  <c r="AV19" i="6"/>
  <c r="AB19" i="6"/>
  <c r="Z19" i="6"/>
  <c r="AE19" i="6"/>
  <c r="L19" i="6"/>
  <c r="T19" i="6"/>
  <c r="AF19" i="6"/>
  <c r="E19" i="6"/>
  <c r="P19" i="6"/>
  <c r="AC19" i="6"/>
  <c r="AU19" i="6"/>
  <c r="BA19" i="6"/>
  <c r="AW19" i="6"/>
  <c r="J19" i="6"/>
  <c r="BC19" i="6"/>
  <c r="AM19" i="6"/>
  <c r="AP19" i="6"/>
  <c r="U19" i="6"/>
  <c r="AY19" i="6"/>
  <c r="AI19" i="6"/>
  <c r="C19" i="6"/>
  <c r="N19" i="6"/>
  <c r="D19" i="6"/>
  <c r="AA19" i="6"/>
  <c r="R19" i="6"/>
  <c r="X19" i="6"/>
  <c r="AT19" i="6"/>
  <c r="Y19" i="6"/>
  <c r="AK19" i="6"/>
  <c r="AX19" i="6"/>
  <c r="AN19" i="6"/>
  <c r="BE19" i="6"/>
  <c r="K19" i="6"/>
  <c r="V19" i="6"/>
  <c r="AS19" i="6"/>
  <c r="BB19" i="6"/>
  <c r="AD19" i="6"/>
  <c r="W19" i="6"/>
  <c r="AH19" i="6"/>
  <c r="AO19" i="6"/>
  <c r="AQ19" i="6"/>
  <c r="S19" i="6"/>
  <c r="AG19" i="6"/>
  <c r="AL19" i="6"/>
  <c r="AZ19" i="6"/>
  <c r="H19" i="6"/>
  <c r="B19" i="6"/>
  <c r="AJ19" i="6"/>
  <c r="I9" i="2"/>
  <c r="G9" i="2"/>
  <c r="F9" i="2"/>
  <c r="I33" i="1"/>
  <c r="G33" i="1"/>
  <c r="F33" i="1"/>
  <c r="I38" i="3"/>
  <c r="G38" i="3"/>
  <c r="F38" i="3"/>
  <c r="F47" i="4"/>
  <c r="G47" i="4"/>
  <c r="I47" i="4"/>
  <c r="F27" i="7"/>
  <c r="G27" i="7"/>
  <c r="I27" i="7"/>
  <c r="B9" i="10"/>
  <c r="I9" i="10"/>
  <c r="G9" i="10"/>
  <c r="F9" i="10"/>
  <c r="AW57" i="8"/>
  <c r="AF57" i="8"/>
  <c r="AN57" i="8"/>
  <c r="AG57" i="8"/>
  <c r="S57" i="8"/>
  <c r="BA57" i="8"/>
  <c r="E57" i="8"/>
  <c r="N57" i="8"/>
  <c r="P57" i="8"/>
  <c r="BD57" i="8"/>
  <c r="AV57" i="8"/>
  <c r="Z57" i="8"/>
  <c r="X57" i="8"/>
  <c r="H57" i="8"/>
  <c r="O57" i="8"/>
  <c r="AO57" i="8"/>
  <c r="AS57" i="8"/>
  <c r="AX57" i="8"/>
  <c r="AE57" i="8"/>
  <c r="V57" i="8"/>
  <c r="AU57" i="8"/>
  <c r="AZ57" i="8"/>
  <c r="AY57" i="8"/>
  <c r="Q57" i="8"/>
  <c r="AQ57" i="8"/>
  <c r="AR57" i="8"/>
  <c r="AB57" i="8"/>
  <c r="R57" i="8"/>
  <c r="Y57" i="8"/>
  <c r="AM57" i="8"/>
  <c r="AI57" i="8"/>
  <c r="AK57" i="8"/>
  <c r="K57" i="8"/>
  <c r="D57" i="8"/>
  <c r="W57" i="8"/>
  <c r="M57" i="8"/>
  <c r="C57" i="8"/>
  <c r="L57" i="8"/>
  <c r="AL57" i="8"/>
  <c r="J57" i="8"/>
  <c r="AC57" i="8"/>
  <c r="BF57" i="8"/>
  <c r="AD57" i="8"/>
  <c r="BE57" i="8"/>
  <c r="U57" i="8"/>
  <c r="BB57" i="8"/>
  <c r="AT57" i="8"/>
  <c r="BC57" i="8"/>
  <c r="AJ57" i="8"/>
  <c r="AP57" i="8"/>
  <c r="AA57" i="8"/>
  <c r="T57" i="8"/>
  <c r="AH57" i="8"/>
  <c r="I47" i="3"/>
  <c r="G47" i="3"/>
  <c r="F47" i="3"/>
  <c r="F54" i="3"/>
  <c r="G54" i="3"/>
  <c r="I54" i="3"/>
  <c r="F41" i="8"/>
  <c r="G41" i="8"/>
  <c r="I41" i="8"/>
  <c r="F20" i="5"/>
  <c r="G20" i="5"/>
  <c r="I20" i="5"/>
  <c r="I32" i="7"/>
  <c r="G32" i="7"/>
  <c r="F32" i="7"/>
  <c r="I30" i="6"/>
  <c r="G30" i="6"/>
  <c r="F30" i="6"/>
  <c r="F41" i="3"/>
  <c r="G41" i="3"/>
  <c r="I41" i="3"/>
  <c r="AF12" i="4"/>
  <c r="AH12" i="4"/>
  <c r="AN12" i="4"/>
  <c r="AJ12" i="4"/>
  <c r="AI12" i="4"/>
  <c r="E12" i="4"/>
  <c r="V12" i="4"/>
  <c r="AB12" i="4"/>
  <c r="R12" i="4"/>
  <c r="AV12" i="4"/>
  <c r="M12" i="4"/>
  <c r="BF12" i="4"/>
  <c r="S12" i="4"/>
  <c r="O12" i="4"/>
  <c r="BD12" i="4"/>
  <c r="AW12" i="4"/>
  <c r="D12" i="4"/>
  <c r="AY12" i="4"/>
  <c r="AR12" i="4"/>
  <c r="H12" i="4"/>
  <c r="AC12" i="4"/>
  <c r="C12" i="4"/>
  <c r="Z12" i="4"/>
  <c r="AO12" i="4"/>
  <c r="U12" i="4"/>
  <c r="BB12" i="4"/>
  <c r="J12" i="4"/>
  <c r="AM12" i="4"/>
  <c r="W12" i="4"/>
  <c r="Y12" i="4"/>
  <c r="AQ12" i="4"/>
  <c r="K12" i="4"/>
  <c r="L12" i="4"/>
  <c r="AA12" i="4"/>
  <c r="AD12" i="4"/>
  <c r="T12" i="4"/>
  <c r="P12" i="4"/>
  <c r="AP12" i="4"/>
  <c r="BC12" i="4"/>
  <c r="AL12" i="4"/>
  <c r="AT12" i="4"/>
  <c r="BA12" i="4"/>
  <c r="AX12" i="4"/>
  <c r="AU12" i="4"/>
  <c r="AG12" i="4"/>
  <c r="AZ12" i="4"/>
  <c r="AK12" i="4"/>
  <c r="AS12" i="4"/>
  <c r="X12" i="4"/>
  <c r="BE12" i="4"/>
  <c r="N12" i="4"/>
  <c r="Q12" i="4"/>
  <c r="B12" i="4"/>
  <c r="AE12" i="4"/>
  <c r="S13" i="6"/>
  <c r="BA13" i="6"/>
  <c r="AE13" i="6"/>
  <c r="AI13" i="6"/>
  <c r="AV13" i="6"/>
  <c r="AF13" i="6"/>
  <c r="J13" i="6"/>
  <c r="AO13" i="6"/>
  <c r="K13" i="6"/>
  <c r="AP13" i="6"/>
  <c r="L13" i="6"/>
  <c r="O13" i="6"/>
  <c r="AU13" i="6"/>
  <c r="Q13" i="6"/>
  <c r="X13" i="6"/>
  <c r="AJ13" i="6"/>
  <c r="BF13" i="6"/>
  <c r="V13" i="6"/>
  <c r="M13" i="6"/>
  <c r="AQ13" i="6"/>
  <c r="E13" i="6"/>
  <c r="AX13" i="6"/>
  <c r="AD13" i="6"/>
  <c r="AR13" i="6"/>
  <c r="AW13" i="6"/>
  <c r="AZ13" i="6"/>
  <c r="AL13" i="6"/>
  <c r="C13" i="6"/>
  <c r="AT13" i="6"/>
  <c r="AN13" i="6"/>
  <c r="Y13" i="6"/>
  <c r="R13" i="6"/>
  <c r="AH13" i="6"/>
  <c r="T13" i="6"/>
  <c r="AY13" i="6"/>
  <c r="AB13" i="6"/>
  <c r="BB13" i="6"/>
  <c r="AG13" i="6"/>
  <c r="U13" i="6"/>
  <c r="BD13" i="6"/>
  <c r="BE13" i="6"/>
  <c r="AC13" i="6"/>
  <c r="D13" i="6"/>
  <c r="AS13" i="6"/>
  <c r="H13" i="6"/>
  <c r="AK13" i="6"/>
  <c r="AM13" i="6"/>
  <c r="AA13" i="6"/>
  <c r="W13" i="6"/>
  <c r="N13" i="6"/>
  <c r="BC13" i="6"/>
  <c r="P13" i="6"/>
  <c r="B13" i="6"/>
  <c r="Z13" i="6"/>
  <c r="N41" i="4"/>
  <c r="AZ41" i="4"/>
  <c r="BB41" i="4"/>
  <c r="AM41" i="4"/>
  <c r="O41" i="4"/>
  <c r="D41" i="4"/>
  <c r="BD41" i="4"/>
  <c r="Y41" i="4"/>
  <c r="V41" i="4"/>
  <c r="AA41" i="4"/>
  <c r="H41" i="4"/>
  <c r="C41" i="4"/>
  <c r="AJ41" i="4"/>
  <c r="AV41" i="4"/>
  <c r="K41" i="4"/>
  <c r="AX41" i="4"/>
  <c r="S41" i="4"/>
  <c r="X41" i="4"/>
  <c r="AI41" i="4"/>
  <c r="AL41" i="4"/>
  <c r="AK41" i="4"/>
  <c r="AR41" i="4"/>
  <c r="AY41" i="4"/>
  <c r="P41" i="4"/>
  <c r="E41" i="4"/>
  <c r="AC41" i="4"/>
  <c r="AW41" i="4"/>
  <c r="R41" i="4"/>
  <c r="L41" i="4"/>
  <c r="U41" i="4"/>
  <c r="AB41" i="4"/>
  <c r="AD41" i="4"/>
  <c r="AN41" i="4"/>
  <c r="W41" i="4"/>
  <c r="AF41" i="4"/>
  <c r="AE41" i="4"/>
  <c r="Q41" i="4"/>
  <c r="J41" i="4"/>
  <c r="AG41" i="4"/>
  <c r="AQ41" i="4"/>
  <c r="AH41" i="4"/>
  <c r="T41" i="4"/>
  <c r="AS41" i="4"/>
  <c r="M41" i="4"/>
  <c r="BC41" i="4"/>
  <c r="AO41" i="4"/>
  <c r="BE41" i="4"/>
  <c r="AU41" i="4"/>
  <c r="BF41" i="4"/>
  <c r="Z41" i="4"/>
  <c r="AP41" i="4"/>
  <c r="BA41" i="4"/>
  <c r="B41" i="4"/>
  <c r="AT41" i="4"/>
  <c r="AH25" i="7"/>
  <c r="AN25" i="7"/>
  <c r="AC25" i="7"/>
  <c r="X25" i="7"/>
  <c r="P25" i="7"/>
  <c r="T25" i="7"/>
  <c r="AK25" i="7"/>
  <c r="AI25" i="7"/>
  <c r="AS25" i="7"/>
  <c r="AR25" i="7"/>
  <c r="M25" i="7"/>
  <c r="AD25" i="7"/>
  <c r="BE25" i="7"/>
  <c r="K25" i="7"/>
  <c r="AY25" i="7"/>
  <c r="L25" i="7"/>
  <c r="AG25" i="7"/>
  <c r="BF25" i="7"/>
  <c r="BD25" i="7"/>
  <c r="AB25" i="7"/>
  <c r="BC25" i="7"/>
  <c r="Q25" i="7"/>
  <c r="D25" i="7"/>
  <c r="AE25" i="7"/>
  <c r="Y25" i="7"/>
  <c r="AZ25" i="7"/>
  <c r="BA25" i="7"/>
  <c r="H25" i="7"/>
  <c r="S25" i="7"/>
  <c r="AM25" i="7"/>
  <c r="U25" i="7"/>
  <c r="AQ25" i="7"/>
  <c r="AL25" i="7"/>
  <c r="C25" i="7"/>
  <c r="AX25" i="7"/>
  <c r="E25" i="7"/>
  <c r="AJ25" i="7"/>
  <c r="R25" i="7"/>
  <c r="AA25" i="7"/>
  <c r="J25" i="7"/>
  <c r="O25" i="7"/>
  <c r="AU25" i="7"/>
  <c r="AO25" i="7"/>
  <c r="AF25" i="7"/>
  <c r="AP25" i="7"/>
  <c r="BB25" i="7"/>
  <c r="W25" i="7"/>
  <c r="AT25" i="7"/>
  <c r="Z25" i="7"/>
  <c r="V25" i="7"/>
  <c r="N25" i="7"/>
  <c r="AW25" i="7"/>
  <c r="AV25" i="7"/>
  <c r="L15" i="3"/>
  <c r="X15" i="3"/>
  <c r="BC15" i="3"/>
  <c r="AM15" i="3"/>
  <c r="BE15" i="3"/>
  <c r="C15" i="3"/>
  <c r="AF15" i="3"/>
  <c r="AB15" i="3"/>
  <c r="AG15" i="3"/>
  <c r="AA15" i="3"/>
  <c r="M15" i="3"/>
  <c r="U15" i="3"/>
  <c r="AL15" i="3"/>
  <c r="N15" i="3"/>
  <c r="AK15" i="3"/>
  <c r="AW15" i="3"/>
  <c r="AR15" i="3"/>
  <c r="Y15" i="3"/>
  <c r="AY15" i="3"/>
  <c r="V15" i="3"/>
  <c r="AI15" i="3"/>
  <c r="T15" i="3"/>
  <c r="AC15" i="3"/>
  <c r="J15" i="3"/>
  <c r="AX15" i="3"/>
  <c r="D15" i="3"/>
  <c r="H15" i="3"/>
  <c r="AP15" i="3"/>
  <c r="AT15" i="3"/>
  <c r="AO15" i="3"/>
  <c r="Z15" i="3"/>
  <c r="AJ15" i="3"/>
  <c r="K15" i="3"/>
  <c r="AU15" i="3"/>
  <c r="AS15" i="3"/>
  <c r="R15" i="3"/>
  <c r="E15" i="3"/>
  <c r="AQ15" i="3"/>
  <c r="BB15" i="3"/>
  <c r="AZ15" i="3"/>
  <c r="AN15" i="3"/>
  <c r="P15" i="3"/>
  <c r="S15" i="3"/>
  <c r="W15" i="3"/>
  <c r="BA15" i="3"/>
  <c r="BF15" i="3"/>
  <c r="AD15" i="3"/>
  <c r="AH15" i="3"/>
  <c r="Q15" i="3"/>
  <c r="AV15" i="3"/>
  <c r="AE15" i="3"/>
  <c r="O15" i="3"/>
  <c r="B15" i="3"/>
  <c r="BD15" i="3"/>
  <c r="B41" i="10"/>
  <c r="I41" i="10"/>
  <c r="G41" i="10"/>
  <c r="F41" i="10"/>
  <c r="AF47" i="1"/>
  <c r="AK47" i="1"/>
  <c r="AG47" i="1"/>
  <c r="AW47" i="1"/>
  <c r="V47" i="1"/>
  <c r="AN47" i="1"/>
  <c r="E47" i="1"/>
  <c r="Z47" i="1"/>
  <c r="AZ47" i="1"/>
  <c r="AJ47" i="1"/>
  <c r="AB47" i="1"/>
  <c r="O47" i="1"/>
  <c r="R47" i="1"/>
  <c r="L47" i="1"/>
  <c r="AL47" i="1"/>
  <c r="AO47" i="1"/>
  <c r="AE47" i="1"/>
  <c r="BC47" i="1"/>
  <c r="X47" i="1"/>
  <c r="AV47" i="1"/>
  <c r="U47" i="1"/>
  <c r="AR47" i="1"/>
  <c r="AS47" i="1"/>
  <c r="AT47" i="1"/>
  <c r="BE47" i="1"/>
  <c r="C47" i="1"/>
  <c r="Q47" i="1"/>
  <c r="AU47" i="1"/>
  <c r="D47" i="1"/>
  <c r="N47" i="1"/>
  <c r="BD47" i="1"/>
  <c r="AD47" i="1"/>
  <c r="K47" i="1"/>
  <c r="AC47" i="1"/>
  <c r="AP47" i="1"/>
  <c r="AI47" i="1"/>
  <c r="AA47" i="1"/>
  <c r="BA47" i="1"/>
  <c r="AX47" i="1"/>
  <c r="T47" i="1"/>
  <c r="BF47" i="1"/>
  <c r="AH47" i="1"/>
  <c r="M47" i="1"/>
  <c r="H47" i="1"/>
  <c r="AM47" i="1"/>
  <c r="J47" i="1"/>
  <c r="P47" i="1"/>
  <c r="W47" i="1"/>
  <c r="AQ47" i="1"/>
  <c r="S47" i="1"/>
  <c r="Y47" i="1"/>
  <c r="AY47" i="1"/>
  <c r="B47" i="1"/>
  <c r="BB47" i="1"/>
  <c r="W40" i="9"/>
  <c r="AJ40" i="9"/>
  <c r="D40" i="9"/>
  <c r="P40" i="9"/>
  <c r="C40" i="9"/>
  <c r="AK40" i="9"/>
  <c r="AE40" i="9"/>
  <c r="T40" i="9"/>
  <c r="AN40" i="9"/>
  <c r="AA40" i="9"/>
  <c r="N40" i="9"/>
  <c r="R40" i="9"/>
  <c r="O40" i="9"/>
  <c r="AQ40" i="9"/>
  <c r="J40" i="9"/>
  <c r="H40" i="9"/>
  <c r="BF40" i="9"/>
  <c r="AR40" i="9"/>
  <c r="Q40" i="9"/>
  <c r="V40" i="9"/>
  <c r="BE40" i="9"/>
  <c r="AY40" i="9"/>
  <c r="Z40" i="9"/>
  <c r="BD40" i="9"/>
  <c r="AS40" i="9"/>
  <c r="AZ40" i="9"/>
  <c r="BB40" i="9"/>
  <c r="AU40" i="9"/>
  <c r="BA40" i="9"/>
  <c r="AM40" i="9"/>
  <c r="AO40" i="9"/>
  <c r="X40" i="9"/>
  <c r="AB40" i="9"/>
  <c r="BC40" i="9"/>
  <c r="AC40" i="9"/>
  <c r="Y40" i="9"/>
  <c r="L40" i="9"/>
  <c r="E40" i="9"/>
  <c r="AI40" i="9"/>
  <c r="K40" i="9"/>
  <c r="M40" i="9"/>
  <c r="AP40" i="9"/>
  <c r="S40" i="9"/>
  <c r="AT40" i="9"/>
  <c r="AX40" i="9"/>
  <c r="AG40" i="9"/>
  <c r="U40" i="9"/>
  <c r="AD40" i="9"/>
  <c r="AL40" i="9"/>
  <c r="AW40" i="9"/>
  <c r="AF40" i="9"/>
  <c r="AV40" i="9"/>
  <c r="B40" i="9"/>
  <c r="AH40" i="9"/>
  <c r="AJ5" i="3"/>
  <c r="BD5" i="3"/>
  <c r="AD5" i="3"/>
  <c r="D5" i="3"/>
  <c r="AC5" i="3"/>
  <c r="AL5" i="3"/>
  <c r="BF5" i="3"/>
  <c r="C5" i="3"/>
  <c r="AF5" i="3"/>
  <c r="Y5" i="3"/>
  <c r="AG5" i="3"/>
  <c r="AN5" i="3"/>
  <c r="X5" i="3"/>
  <c r="AV5" i="3"/>
  <c r="AY5" i="3"/>
  <c r="L5" i="3"/>
  <c r="T5" i="3"/>
  <c r="AZ5" i="3"/>
  <c r="AR5" i="3"/>
  <c r="AS5" i="3"/>
  <c r="N5" i="3"/>
  <c r="BB5" i="3"/>
  <c r="U5" i="3"/>
  <c r="AT5" i="3"/>
  <c r="AM5" i="3"/>
  <c r="R5" i="3"/>
  <c r="AE5" i="3"/>
  <c r="Q5" i="3"/>
  <c r="AH5" i="3"/>
  <c r="V5" i="3"/>
  <c r="AK5" i="3"/>
  <c r="Z5" i="3"/>
  <c r="AI5" i="3"/>
  <c r="AW5" i="3"/>
  <c r="AQ5" i="3"/>
  <c r="K5" i="3"/>
  <c r="AB5" i="3"/>
  <c r="W5" i="3"/>
  <c r="BA5" i="3"/>
  <c r="J5" i="3"/>
  <c r="AX5" i="3"/>
  <c r="M5" i="3"/>
  <c r="AU5" i="3"/>
  <c r="E5" i="3"/>
  <c r="AP5" i="3"/>
  <c r="BC5" i="3"/>
  <c r="AA5" i="3"/>
  <c r="BE5" i="3"/>
  <c r="O5" i="3"/>
  <c r="S5" i="3"/>
  <c r="P5" i="3"/>
  <c r="H5" i="3"/>
  <c r="B5" i="3"/>
  <c r="AO5" i="3"/>
  <c r="BD21" i="5"/>
  <c r="AV21" i="5"/>
  <c r="AP21" i="5"/>
  <c r="Z21" i="5"/>
  <c r="X21" i="5"/>
  <c r="O21" i="5"/>
  <c r="AJ21" i="5"/>
  <c r="AN21" i="5"/>
  <c r="BA21" i="5"/>
  <c r="AZ21" i="5"/>
  <c r="AC21" i="5"/>
  <c r="J21" i="5"/>
  <c r="BE21" i="5"/>
  <c r="AA21" i="5"/>
  <c r="BB21" i="5"/>
  <c r="N21" i="5"/>
  <c r="C21" i="5"/>
  <c r="P21" i="5"/>
  <c r="T21" i="5"/>
  <c r="AH21" i="5"/>
  <c r="BF21" i="5"/>
  <c r="AQ21" i="5"/>
  <c r="AY21" i="5"/>
  <c r="AI21" i="5"/>
  <c r="BC21" i="5"/>
  <c r="AB21" i="5"/>
  <c r="V21" i="5"/>
  <c r="AR21" i="5"/>
  <c r="U21" i="5"/>
  <c r="R21" i="5"/>
  <c r="AX21" i="5"/>
  <c r="S21" i="5"/>
  <c r="AS21" i="5"/>
  <c r="AF21" i="5"/>
  <c r="Y21" i="5"/>
  <c r="AU21" i="5"/>
  <c r="M21" i="5"/>
  <c r="E21" i="5"/>
  <c r="AK21" i="5"/>
  <c r="AM21" i="5"/>
  <c r="AD21" i="5"/>
  <c r="AT21" i="5"/>
  <c r="W21" i="5"/>
  <c r="D21" i="5"/>
  <c r="AG21" i="5"/>
  <c r="K21" i="5"/>
  <c r="AE21" i="5"/>
  <c r="L21" i="5"/>
  <c r="AO21" i="5"/>
  <c r="AL21" i="5"/>
  <c r="Q21" i="5"/>
  <c r="H21" i="5"/>
  <c r="B21" i="5"/>
  <c r="AW21" i="5"/>
  <c r="U20" i="7"/>
  <c r="AH20" i="7"/>
  <c r="P20" i="7"/>
  <c r="L20" i="7"/>
  <c r="AG20" i="7"/>
  <c r="M20" i="7"/>
  <c r="AU20" i="7"/>
  <c r="BB20" i="7"/>
  <c r="AD20" i="7"/>
  <c r="AS20" i="7"/>
  <c r="AF20" i="7"/>
  <c r="BA20" i="7"/>
  <c r="E20" i="7"/>
  <c r="AJ20" i="7"/>
  <c r="AT20" i="7"/>
  <c r="V20" i="7"/>
  <c r="T20" i="7"/>
  <c r="AN20" i="7"/>
  <c r="AY20" i="7"/>
  <c r="D20" i="7"/>
  <c r="AC20" i="7"/>
  <c r="AI20" i="7"/>
  <c r="J20" i="7"/>
  <c r="O20" i="7"/>
  <c r="Z20" i="7"/>
  <c r="X20" i="7"/>
  <c r="AB20" i="7"/>
  <c r="AL20" i="7"/>
  <c r="BD20" i="7"/>
  <c r="Y20" i="7"/>
  <c r="BC20" i="7"/>
  <c r="R20" i="7"/>
  <c r="AP20" i="7"/>
  <c r="AM20" i="7"/>
  <c r="AW20" i="7"/>
  <c r="AA20" i="7"/>
  <c r="H20" i="7"/>
  <c r="AZ20" i="7"/>
  <c r="AK20" i="7"/>
  <c r="C20" i="7"/>
  <c r="Q20" i="7"/>
  <c r="AR20" i="7"/>
  <c r="AV20" i="7"/>
  <c r="BE20" i="7"/>
  <c r="AX20" i="7"/>
  <c r="AQ20" i="7"/>
  <c r="K20" i="7"/>
  <c r="N20" i="7"/>
  <c r="AE20" i="7"/>
  <c r="AO20" i="7"/>
  <c r="BF20" i="7"/>
  <c r="W20" i="7"/>
  <c r="B20" i="7"/>
  <c r="S20" i="7"/>
  <c r="F38" i="10"/>
  <c r="G38" i="10"/>
  <c r="I38" i="10"/>
  <c r="F7" i="3"/>
  <c r="G7" i="3"/>
  <c r="I7" i="3"/>
  <c r="BF7" i="9"/>
  <c r="P7" i="9"/>
  <c r="C7" i="9"/>
  <c r="AW7" i="9"/>
  <c r="R7" i="9"/>
  <c r="AT7" i="9"/>
  <c r="AO7" i="9"/>
  <c r="M7" i="9"/>
  <c r="T7" i="9"/>
  <c r="D7" i="9"/>
  <c r="AM7" i="9"/>
  <c r="L7" i="9"/>
  <c r="Z7" i="9"/>
  <c r="AP7" i="9"/>
  <c r="BB7" i="9"/>
  <c r="U7" i="9"/>
  <c r="AS7" i="9"/>
  <c r="BD7" i="9"/>
  <c r="AX7" i="9"/>
  <c r="N7" i="9"/>
  <c r="Y7" i="9"/>
  <c r="AD7" i="9"/>
  <c r="AL7" i="9"/>
  <c r="AV7" i="9"/>
  <c r="AF7" i="9"/>
  <c r="X7" i="9"/>
  <c r="S7" i="9"/>
  <c r="AC7" i="9"/>
  <c r="BC7" i="9"/>
  <c r="AR7" i="9"/>
  <c r="E7" i="9"/>
  <c r="AZ7" i="9"/>
  <c r="AU7" i="9"/>
  <c r="AB7" i="9"/>
  <c r="BA7" i="9"/>
  <c r="AK7" i="9"/>
  <c r="V7" i="9"/>
  <c r="AE7" i="9"/>
  <c r="W7" i="9"/>
  <c r="BE7" i="9"/>
  <c r="J7" i="9"/>
  <c r="Q7" i="9"/>
  <c r="AJ7" i="9"/>
  <c r="AG7" i="9"/>
  <c r="O7" i="9"/>
  <c r="AQ7" i="9"/>
  <c r="AH7" i="9"/>
  <c r="AN7" i="9"/>
  <c r="AY7" i="9"/>
  <c r="K7" i="9"/>
  <c r="AA7" i="9"/>
  <c r="B7" i="9"/>
  <c r="AI7" i="9"/>
  <c r="F9" i="9"/>
  <c r="G9" i="9"/>
  <c r="I9" i="9"/>
  <c r="I53" i="4"/>
  <c r="G53" i="4"/>
  <c r="F53" i="4"/>
  <c r="I42" i="8"/>
  <c r="G42" i="8"/>
  <c r="F42" i="8"/>
  <c r="I14" i="5"/>
  <c r="G14" i="5"/>
  <c r="F14" i="5"/>
  <c r="I46" i="4"/>
  <c r="G46" i="4"/>
  <c r="F46" i="4"/>
  <c r="I43" i="3"/>
  <c r="G43" i="3"/>
  <c r="F43" i="3"/>
  <c r="B25" i="7"/>
  <c r="I25" i="7"/>
  <c r="G25" i="7"/>
  <c r="F25" i="7"/>
  <c r="AC42" i="3"/>
  <c r="AS42" i="3"/>
  <c r="AZ42" i="3"/>
  <c r="AL42" i="3"/>
  <c r="V42" i="3"/>
  <c r="Y42" i="3"/>
  <c r="R42" i="3"/>
  <c r="AP42" i="3"/>
  <c r="BA42" i="3"/>
  <c r="H42" i="3"/>
  <c r="AX42" i="3"/>
  <c r="AM42" i="3"/>
  <c r="S42" i="3"/>
  <c r="AV42" i="3"/>
  <c r="BF42" i="3"/>
  <c r="O42" i="3"/>
  <c r="K42" i="3"/>
  <c r="Q42" i="3"/>
  <c r="BD42" i="3"/>
  <c r="AK42" i="3"/>
  <c r="AY42" i="3"/>
  <c r="AA42" i="3"/>
  <c r="AU42" i="3"/>
  <c r="BE42" i="3"/>
  <c r="AJ42" i="3"/>
  <c r="AT42" i="3"/>
  <c r="D42" i="3"/>
  <c r="AW42" i="3"/>
  <c r="AD42" i="3"/>
  <c r="E42" i="3"/>
  <c r="AB42" i="3"/>
  <c r="BC42" i="3"/>
  <c r="BB42" i="3"/>
  <c r="AO42" i="3"/>
  <c r="AQ42" i="3"/>
  <c r="AI42" i="3"/>
  <c r="J42" i="3"/>
  <c r="X42" i="3"/>
  <c r="P42" i="3"/>
  <c r="AN42" i="3"/>
  <c r="AG42" i="3"/>
  <c r="M42" i="3"/>
  <c r="T42" i="3"/>
  <c r="AR42" i="3"/>
  <c r="C42" i="3"/>
  <c r="Z42" i="3"/>
  <c r="U42" i="3"/>
  <c r="AE42" i="3"/>
  <c r="W42" i="3"/>
  <c r="AH42" i="3"/>
  <c r="AF42" i="3"/>
  <c r="L42" i="3"/>
  <c r="B42" i="3"/>
  <c r="N42" i="3"/>
  <c r="H2" i="10"/>
  <c r="O2" i="10"/>
  <c r="N2" i="10"/>
  <c r="AX2" i="10"/>
  <c r="AK2" i="10"/>
  <c r="R2" i="10"/>
  <c r="AC2" i="10"/>
  <c r="BE2" i="10"/>
  <c r="S2" i="10"/>
  <c r="AO2" i="10"/>
  <c r="L2" i="10"/>
  <c r="Q2" i="10"/>
  <c r="AZ2" i="10"/>
  <c r="AW2" i="10"/>
  <c r="Z2" i="10"/>
  <c r="K2" i="10"/>
  <c r="AM2" i="10"/>
  <c r="BC2" i="10"/>
  <c r="AA2" i="10"/>
  <c r="AH2" i="10"/>
  <c r="AJ2" i="10"/>
  <c r="AR2" i="10"/>
  <c r="BB2" i="10"/>
  <c r="BD2" i="10"/>
  <c r="E2" i="10"/>
  <c r="AY2" i="10"/>
  <c r="Y2" i="10"/>
  <c r="AE2" i="10"/>
  <c r="AB2" i="10"/>
  <c r="AI2" i="10"/>
  <c r="W2" i="10"/>
  <c r="AU2" i="10"/>
  <c r="AS2" i="10"/>
  <c r="AG2" i="10"/>
  <c r="AP2" i="10"/>
  <c r="AL2" i="10"/>
  <c r="U2" i="10"/>
  <c r="BA2" i="10"/>
  <c r="C2" i="10"/>
  <c r="V2" i="10"/>
  <c r="AQ2" i="10"/>
  <c r="AF2" i="10"/>
  <c r="AD2" i="10"/>
  <c r="J2" i="10"/>
  <c r="D2" i="10"/>
  <c r="BF2" i="10"/>
  <c r="T2" i="10"/>
  <c r="AT2" i="10"/>
  <c r="P2" i="10"/>
  <c r="AN2" i="10"/>
  <c r="AV2" i="10"/>
  <c r="X2" i="10"/>
  <c r="B2" i="10"/>
  <c r="M2" i="10"/>
  <c r="AS28" i="9"/>
  <c r="AP28" i="9"/>
  <c r="Y28" i="9"/>
  <c r="AJ28" i="9"/>
  <c r="AL28" i="9"/>
  <c r="AC28" i="9"/>
  <c r="Z28" i="9"/>
  <c r="AK28" i="9"/>
  <c r="R28" i="9"/>
  <c r="AO28" i="9"/>
  <c r="AD28" i="9"/>
  <c r="AQ28" i="9"/>
  <c r="C28" i="9"/>
  <c r="J28" i="9"/>
  <c r="BC28" i="9"/>
  <c r="BB28" i="9"/>
  <c r="H28" i="9"/>
  <c r="N28" i="9"/>
  <c r="D28" i="9"/>
  <c r="E28" i="9"/>
  <c r="S28" i="9"/>
  <c r="AU28" i="9"/>
  <c r="AZ28" i="9"/>
  <c r="K28" i="9"/>
  <c r="Q28" i="9"/>
  <c r="AA28" i="9"/>
  <c r="AY28" i="9"/>
  <c r="AW28" i="9"/>
  <c r="AE28" i="9"/>
  <c r="AG28" i="9"/>
  <c r="U28" i="9"/>
  <c r="AV28" i="9"/>
  <c r="AF28" i="9"/>
  <c r="AI28" i="9"/>
  <c r="BF28" i="9"/>
  <c r="AT28" i="9"/>
  <c r="V28" i="9"/>
  <c r="W28" i="9"/>
  <c r="AX28" i="9"/>
  <c r="BD28" i="9"/>
  <c r="AB28" i="9"/>
  <c r="T28" i="9"/>
  <c r="P28" i="9"/>
  <c r="AR28" i="9"/>
  <c r="X28" i="9"/>
  <c r="M28" i="9"/>
  <c r="AM28" i="9"/>
  <c r="O28" i="9"/>
  <c r="AN28" i="9"/>
  <c r="BE28" i="9"/>
  <c r="BA28" i="9"/>
  <c r="L28" i="9"/>
  <c r="B28" i="9"/>
  <c r="AH28" i="9"/>
  <c r="N28" i="4"/>
  <c r="BE28" i="4"/>
  <c r="AK28" i="4"/>
  <c r="C28" i="4"/>
  <c r="AU28" i="4"/>
  <c r="S28" i="4"/>
  <c r="AA28" i="4"/>
  <c r="AO28" i="4"/>
  <c r="V28" i="4"/>
  <c r="R28" i="4"/>
  <c r="AI28" i="4"/>
  <c r="Z28" i="4"/>
  <c r="U28" i="4"/>
  <c r="E28" i="4"/>
  <c r="P28" i="4"/>
  <c r="D28" i="4"/>
  <c r="AD28" i="4"/>
  <c r="AZ28" i="4"/>
  <c r="AT28" i="4"/>
  <c r="AJ28" i="4"/>
  <c r="AM28" i="4"/>
  <c r="AP28" i="4"/>
  <c r="AB28" i="4"/>
  <c r="BB28" i="4"/>
  <c r="L28" i="4"/>
  <c r="T28" i="4"/>
  <c r="AW28" i="4"/>
  <c r="Y28" i="4"/>
  <c r="BF28" i="4"/>
  <c r="M28" i="4"/>
  <c r="AN28" i="4"/>
  <c r="H28" i="4"/>
  <c r="AY28" i="4"/>
  <c r="AE28" i="4"/>
  <c r="AC28" i="4"/>
  <c r="AF28" i="4"/>
  <c r="AR28" i="4"/>
  <c r="AQ28" i="4"/>
  <c r="Q28" i="4"/>
  <c r="J28" i="4"/>
  <c r="AS28" i="4"/>
  <c r="AH28" i="4"/>
  <c r="O28" i="4"/>
  <c r="W28" i="4"/>
  <c r="AV28" i="4"/>
  <c r="K28" i="4"/>
  <c r="AX28" i="4"/>
  <c r="AG28" i="4"/>
  <c r="BC28" i="4"/>
  <c r="AL28" i="4"/>
  <c r="BA28" i="4"/>
  <c r="X28" i="4"/>
  <c r="B28" i="4"/>
  <c r="BD28" i="4"/>
  <c r="AT24" i="4"/>
  <c r="C24" i="4"/>
  <c r="R24" i="4"/>
  <c r="BE24" i="4"/>
  <c r="T24" i="4"/>
  <c r="AM24" i="4"/>
  <c r="AE24" i="4"/>
  <c r="AN24" i="4"/>
  <c r="AI24" i="4"/>
  <c r="AC24" i="4"/>
  <c r="Y24" i="4"/>
  <c r="BB24" i="4"/>
  <c r="AZ24" i="4"/>
  <c r="AW24" i="4"/>
  <c r="P24" i="4"/>
  <c r="AY24" i="4"/>
  <c r="AS24" i="4"/>
  <c r="AH24" i="4"/>
  <c r="BC24" i="4"/>
  <c r="E24" i="4"/>
  <c r="AO24" i="4"/>
  <c r="U24" i="4"/>
  <c r="AX24" i="4"/>
  <c r="V24" i="4"/>
  <c r="AG24" i="4"/>
  <c r="BD24" i="4"/>
  <c r="AR24" i="4"/>
  <c r="H24" i="4"/>
  <c r="K24" i="4"/>
  <c r="AQ24" i="4"/>
  <c r="N24" i="4"/>
  <c r="D24" i="4"/>
  <c r="BA24" i="4"/>
  <c r="AV24" i="4"/>
  <c r="L24" i="4"/>
  <c r="X24" i="4"/>
  <c r="AU24" i="4"/>
  <c r="AK24" i="4"/>
  <c r="AJ24" i="4"/>
  <c r="BF24" i="4"/>
  <c r="AP24" i="4"/>
  <c r="J24" i="4"/>
  <c r="W24" i="4"/>
  <c r="S24" i="4"/>
  <c r="M24" i="4"/>
  <c r="AB24" i="4"/>
  <c r="AL24" i="4"/>
  <c r="AF24" i="4"/>
  <c r="Z24" i="4"/>
  <c r="AA24" i="4"/>
  <c r="AD24" i="4"/>
  <c r="Q24" i="4"/>
  <c r="B24" i="4"/>
  <c r="O24" i="4"/>
  <c r="E54" i="8"/>
  <c r="AF54" i="8"/>
  <c r="AZ54" i="8"/>
  <c r="L54" i="8"/>
  <c r="BC54" i="8"/>
  <c r="D54" i="8"/>
  <c r="AJ54" i="8"/>
  <c r="Y54" i="8"/>
  <c r="Z54" i="8"/>
  <c r="AB54" i="8"/>
  <c r="AW54" i="8"/>
  <c r="AG54" i="8"/>
  <c r="W54" i="8"/>
  <c r="AT54" i="8"/>
  <c r="C54" i="8"/>
  <c r="BD54" i="8"/>
  <c r="BE54" i="8"/>
  <c r="AH54" i="8"/>
  <c r="J54" i="8"/>
  <c r="M54" i="8"/>
  <c r="S54" i="8"/>
  <c r="AR54" i="8"/>
  <c r="P54" i="8"/>
  <c r="AN54" i="8"/>
  <c r="AQ54" i="8"/>
  <c r="K54" i="8"/>
  <c r="V54" i="8"/>
  <c r="AI54" i="8"/>
  <c r="AX54" i="8"/>
  <c r="AC54" i="8"/>
  <c r="H54" i="8"/>
  <c r="AV54" i="8"/>
  <c r="O54" i="8"/>
  <c r="U54" i="8"/>
  <c r="AU54" i="8"/>
  <c r="AL54" i="8"/>
  <c r="Q54" i="8"/>
  <c r="AO54" i="8"/>
  <c r="AS54" i="8"/>
  <c r="BF54" i="8"/>
  <c r="AP54" i="8"/>
  <c r="AA54" i="8"/>
  <c r="N54" i="8"/>
  <c r="AD54" i="8"/>
  <c r="AY54" i="8"/>
  <c r="X54" i="8"/>
  <c r="AK54" i="8"/>
  <c r="R54" i="8"/>
  <c r="BB54" i="8"/>
  <c r="AM54" i="8"/>
  <c r="T54" i="8"/>
  <c r="BA54" i="8"/>
  <c r="B54" i="8"/>
  <c r="AE54" i="8"/>
  <c r="Y27" i="7"/>
  <c r="AX27" i="7"/>
  <c r="AE27" i="7"/>
  <c r="AM27" i="7"/>
  <c r="T27" i="7"/>
  <c r="E27" i="7"/>
  <c r="W27" i="7"/>
  <c r="AH27" i="7"/>
  <c r="Q27" i="7"/>
  <c r="H27" i="7"/>
  <c r="BB27" i="7"/>
  <c r="O27" i="7"/>
  <c r="AF27" i="7"/>
  <c r="U27" i="7"/>
  <c r="AY27" i="7"/>
  <c r="AI27" i="7"/>
  <c r="BD27" i="7"/>
  <c r="S27" i="7"/>
  <c r="BC27" i="7"/>
  <c r="AA27" i="7"/>
  <c r="BA27" i="7"/>
  <c r="AN27" i="7"/>
  <c r="AV27" i="7"/>
  <c r="AS27" i="7"/>
  <c r="AC27" i="7"/>
  <c r="AQ27" i="7"/>
  <c r="AG27" i="7"/>
  <c r="AU27" i="7"/>
  <c r="J27" i="7"/>
  <c r="AO27" i="7"/>
  <c r="AT27" i="7"/>
  <c r="M27" i="7"/>
  <c r="V27" i="7"/>
  <c r="BE27" i="7"/>
  <c r="P27" i="7"/>
  <c r="AK27" i="7"/>
  <c r="BF27" i="7"/>
  <c r="AR27" i="7"/>
  <c r="N27" i="7"/>
  <c r="K27" i="7"/>
  <c r="AP27" i="7"/>
  <c r="AB27" i="7"/>
  <c r="D27" i="7"/>
  <c r="C27" i="7"/>
  <c r="AJ27" i="7"/>
  <c r="AZ27" i="7"/>
  <c r="AW27" i="7"/>
  <c r="AD27" i="7"/>
  <c r="AL27" i="7"/>
  <c r="R27" i="7"/>
  <c r="L27" i="7"/>
  <c r="Z27" i="7"/>
  <c r="B27" i="7"/>
  <c r="X27" i="7"/>
  <c r="T21" i="4"/>
  <c r="BD21" i="4"/>
  <c r="AL21" i="4"/>
  <c r="AS21" i="4"/>
  <c r="Z21" i="4"/>
  <c r="R21" i="4"/>
  <c r="AU21" i="4"/>
  <c r="AT21" i="4"/>
  <c r="O21" i="4"/>
  <c r="BF21" i="4"/>
  <c r="AB21" i="4"/>
  <c r="AX21" i="4"/>
  <c r="W21" i="4"/>
  <c r="D21" i="4"/>
  <c r="M21" i="4"/>
  <c r="AG21" i="4"/>
  <c r="AH21" i="4"/>
  <c r="AW21" i="4"/>
  <c r="Q21" i="4"/>
  <c r="V21" i="4"/>
  <c r="AI21" i="4"/>
  <c r="J21" i="4"/>
  <c r="AJ21" i="4"/>
  <c r="AQ21" i="4"/>
  <c r="C21" i="4"/>
  <c r="AO21" i="4"/>
  <c r="AE21" i="4"/>
  <c r="AP21" i="4"/>
  <c r="H21" i="4"/>
  <c r="E21" i="4"/>
  <c r="AA21" i="4"/>
  <c r="U21" i="4"/>
  <c r="AR21" i="4"/>
  <c r="BE21" i="4"/>
  <c r="P21" i="4"/>
  <c r="AZ21" i="4"/>
  <c r="AV21" i="4"/>
  <c r="AC21" i="4"/>
  <c r="BA21" i="4"/>
  <c r="AD21" i="4"/>
  <c r="AN21" i="4"/>
  <c r="AK21" i="4"/>
  <c r="X21" i="4"/>
  <c r="L21" i="4"/>
  <c r="BB21" i="4"/>
  <c r="K21" i="4"/>
  <c r="N21" i="4"/>
  <c r="AM21" i="4"/>
  <c r="AY21" i="4"/>
  <c r="BC21" i="4"/>
  <c r="S21" i="4"/>
  <c r="AF21" i="4"/>
  <c r="B21" i="4"/>
  <c r="Y21" i="4"/>
  <c r="S24" i="8"/>
  <c r="AV24" i="8"/>
  <c r="Y24" i="8"/>
  <c r="AJ24" i="8"/>
  <c r="AQ24" i="8"/>
  <c r="AU24" i="8"/>
  <c r="C24" i="8"/>
  <c r="AN24" i="8"/>
  <c r="AC24" i="8"/>
  <c r="J24" i="8"/>
  <c r="Z24" i="8"/>
  <c r="U24" i="8"/>
  <c r="AH24" i="8"/>
  <c r="P24" i="8"/>
  <c r="AY24" i="8"/>
  <c r="AW24" i="8"/>
  <c r="AS24" i="8"/>
  <c r="BC24" i="8"/>
  <c r="BA24" i="8"/>
  <c r="BE24" i="8"/>
  <c r="AI24" i="8"/>
  <c r="AB24" i="8"/>
  <c r="BD24" i="8"/>
  <c r="W24" i="8"/>
  <c r="AL24" i="8"/>
  <c r="V24" i="8"/>
  <c r="L24" i="8"/>
  <c r="R24" i="8"/>
  <c r="D24" i="8"/>
  <c r="BF24" i="8"/>
  <c r="E24" i="8"/>
  <c r="AD24" i="8"/>
  <c r="AA24" i="8"/>
  <c r="M24" i="8"/>
  <c r="AT24" i="8"/>
  <c r="AF24" i="8"/>
  <c r="AG24" i="8"/>
  <c r="Q24" i="8"/>
  <c r="K24" i="8"/>
  <c r="O24" i="8"/>
  <c r="N24" i="8"/>
  <c r="AP24" i="8"/>
  <c r="AM24" i="8"/>
  <c r="AO24" i="8"/>
  <c r="AZ24" i="8"/>
  <c r="T24" i="8"/>
  <c r="AE24" i="8"/>
  <c r="X24" i="8"/>
  <c r="BB24" i="8"/>
  <c r="AX24" i="8"/>
  <c r="H24" i="8"/>
  <c r="AR24" i="8"/>
  <c r="B24" i="8"/>
  <c r="AK24" i="8"/>
  <c r="B57" i="8"/>
  <c r="I57" i="8"/>
  <c r="G57" i="8"/>
  <c r="F57" i="8"/>
  <c r="H6" i="8"/>
  <c r="BB6" i="8"/>
  <c r="AZ6" i="8"/>
  <c r="N6" i="8"/>
  <c r="AK6" i="8"/>
  <c r="AC6" i="8"/>
  <c r="AT6" i="8"/>
  <c r="X6" i="8"/>
  <c r="AL6" i="8"/>
  <c r="AH6" i="8"/>
  <c r="Y6" i="8"/>
  <c r="AI6" i="8"/>
  <c r="BD6" i="8"/>
  <c r="AD6" i="8"/>
  <c r="AM6" i="8"/>
  <c r="AB6" i="8"/>
  <c r="AP6" i="8"/>
  <c r="BC6" i="8"/>
  <c r="AR6" i="8"/>
  <c r="V6" i="8"/>
  <c r="AQ6" i="8"/>
  <c r="AY6" i="8"/>
  <c r="P6" i="8"/>
  <c r="BF6" i="8"/>
  <c r="T6" i="8"/>
  <c r="R6" i="8"/>
  <c r="AA6" i="8"/>
  <c r="W6" i="8"/>
  <c r="AN6" i="8"/>
  <c r="AJ6" i="8"/>
  <c r="D6" i="8"/>
  <c r="AW6" i="8"/>
  <c r="J6" i="8"/>
  <c r="Z6" i="8"/>
  <c r="M6" i="8"/>
  <c r="O6" i="8"/>
  <c r="E6" i="8"/>
  <c r="U6" i="8"/>
  <c r="K6" i="8"/>
  <c r="AX6" i="8"/>
  <c r="C6" i="8"/>
  <c r="AG6" i="8"/>
  <c r="AU6" i="8"/>
  <c r="L6" i="8"/>
  <c r="BE6" i="8"/>
  <c r="BA6" i="8"/>
  <c r="Q6" i="8"/>
  <c r="S6" i="8"/>
  <c r="AV6" i="8"/>
  <c r="AE6" i="8"/>
  <c r="AO6" i="8"/>
  <c r="AF6" i="8"/>
  <c r="B6" i="8"/>
  <c r="AS6" i="8"/>
  <c r="AM14" i="8"/>
  <c r="AY14" i="8"/>
  <c r="AR14" i="8"/>
  <c r="J14" i="8"/>
  <c r="AP14" i="8"/>
  <c r="AO14" i="8"/>
  <c r="AH14" i="8"/>
  <c r="AD14" i="8"/>
  <c r="BD14" i="8"/>
  <c r="R14" i="8"/>
  <c r="AX14" i="8"/>
  <c r="AL14" i="8"/>
  <c r="AV14" i="8"/>
  <c r="X14" i="8"/>
  <c r="S14" i="8"/>
  <c r="L14" i="8"/>
  <c r="AS14" i="8"/>
  <c r="BE14" i="8"/>
  <c r="BA14" i="8"/>
  <c r="AW14" i="8"/>
  <c r="H14" i="8"/>
  <c r="P14" i="8"/>
  <c r="Q14" i="8"/>
  <c r="V14" i="8"/>
  <c r="BF14" i="8"/>
  <c r="U14" i="8"/>
  <c r="AG14" i="8"/>
  <c r="AK14" i="8"/>
  <c r="N14" i="8"/>
  <c r="AN14" i="8"/>
  <c r="AB14" i="8"/>
  <c r="AA14" i="8"/>
  <c r="E14" i="8"/>
  <c r="Y14" i="8"/>
  <c r="AU14" i="8"/>
  <c r="BB14" i="8"/>
  <c r="K14" i="8"/>
  <c r="W14" i="8"/>
  <c r="T14" i="8"/>
  <c r="C14" i="8"/>
  <c r="AZ14" i="8"/>
  <c r="AC14" i="8"/>
  <c r="AF14" i="8"/>
  <c r="BC14" i="8"/>
  <c r="AT14" i="8"/>
  <c r="AJ14" i="8"/>
  <c r="D14" i="8"/>
  <c r="O14" i="8"/>
  <c r="AI14" i="8"/>
  <c r="AQ14" i="8"/>
  <c r="M14" i="8"/>
  <c r="Z14" i="8"/>
  <c r="AE14" i="8"/>
  <c r="AE28" i="7"/>
  <c r="Z28" i="7"/>
  <c r="BB28" i="7"/>
  <c r="AJ28" i="7"/>
  <c r="C28" i="7"/>
  <c r="AX28" i="7"/>
  <c r="D28" i="7"/>
  <c r="N28" i="7"/>
  <c r="V28" i="7"/>
  <c r="BC28" i="7"/>
  <c r="AS28" i="7"/>
  <c r="AM28" i="7"/>
  <c r="R28" i="7"/>
  <c r="AK28" i="7"/>
  <c r="AY28" i="7"/>
  <c r="AR28" i="7"/>
  <c r="AD28" i="7"/>
  <c r="X28" i="7"/>
  <c r="AQ28" i="7"/>
  <c r="BD28" i="7"/>
  <c r="BF28" i="7"/>
  <c r="S28" i="7"/>
  <c r="K28" i="7"/>
  <c r="AV28" i="7"/>
  <c r="H28" i="7"/>
  <c r="AA28" i="7"/>
  <c r="AT28" i="7"/>
  <c r="AG28" i="7"/>
  <c r="BA28" i="7"/>
  <c r="AH28" i="7"/>
  <c r="W28" i="7"/>
  <c r="U28" i="7"/>
  <c r="Y28" i="7"/>
  <c r="AF28" i="7"/>
  <c r="BE28" i="7"/>
  <c r="O28" i="7"/>
  <c r="T28" i="7"/>
  <c r="AI28" i="7"/>
  <c r="AN28" i="7"/>
  <c r="AL28" i="7"/>
  <c r="J28" i="7"/>
  <c r="P28" i="7"/>
  <c r="AB28" i="7"/>
  <c r="AW28" i="7"/>
  <c r="L28" i="7"/>
  <c r="M28" i="7"/>
  <c r="AZ28" i="7"/>
  <c r="AU28" i="7"/>
  <c r="E28" i="7"/>
  <c r="Q28" i="7"/>
  <c r="AO28" i="7"/>
  <c r="AP28" i="7"/>
  <c r="AC28" i="7"/>
  <c r="S15" i="8"/>
  <c r="N15" i="8"/>
  <c r="Y15" i="8"/>
  <c r="W15" i="8"/>
  <c r="AY15" i="8"/>
  <c r="H15" i="8"/>
  <c r="L15" i="8"/>
  <c r="BB15" i="8"/>
  <c r="U15" i="8"/>
  <c r="AK15" i="8"/>
  <c r="BD15" i="8"/>
  <c r="BF15" i="8"/>
  <c r="T15" i="8"/>
  <c r="AT15" i="8"/>
  <c r="D15" i="8"/>
  <c r="O15" i="8"/>
  <c r="V15" i="8"/>
  <c r="BC15" i="8"/>
  <c r="AQ15" i="8"/>
  <c r="AZ15" i="8"/>
  <c r="AD15" i="8"/>
  <c r="AG15" i="8"/>
  <c r="J15" i="8"/>
  <c r="AV15" i="8"/>
  <c r="BA15" i="8"/>
  <c r="P15" i="8"/>
  <c r="AX15" i="8"/>
  <c r="AW15" i="8"/>
  <c r="AO15" i="8"/>
  <c r="C15" i="8"/>
  <c r="AU15" i="8"/>
  <c r="AB15" i="8"/>
  <c r="BE15" i="8"/>
  <c r="R15" i="8"/>
  <c r="AJ15" i="8"/>
  <c r="AP15" i="8"/>
  <c r="AC15" i="8"/>
  <c r="AN15" i="8"/>
  <c r="K15" i="8"/>
  <c r="AH15" i="8"/>
  <c r="AS15" i="8"/>
  <c r="X15" i="8"/>
  <c r="AE15" i="8"/>
  <c r="Q15" i="8"/>
  <c r="E15" i="8"/>
  <c r="AL15" i="8"/>
  <c r="AF15" i="8"/>
  <c r="M15" i="8"/>
  <c r="AM15" i="8"/>
  <c r="AI15" i="8"/>
  <c r="Z15" i="8"/>
  <c r="AR15" i="8"/>
  <c r="B15" i="8"/>
  <c r="AA15" i="8"/>
  <c r="AL13" i="1"/>
  <c r="D13" i="1"/>
  <c r="AT13" i="1"/>
  <c r="X13" i="1"/>
  <c r="AQ13" i="1"/>
  <c r="L13" i="1"/>
  <c r="AR13" i="1"/>
  <c r="AG13" i="1"/>
  <c r="W13" i="1"/>
  <c r="Z13" i="1"/>
  <c r="AI13" i="1"/>
  <c r="BB13" i="1"/>
  <c r="M13" i="1"/>
  <c r="AU13" i="1"/>
  <c r="K13" i="1"/>
  <c r="AY13" i="1"/>
  <c r="AA13" i="1"/>
  <c r="BD13" i="1"/>
  <c r="Y13" i="1"/>
  <c r="AZ13" i="1"/>
  <c r="P13" i="1"/>
  <c r="AW13" i="1"/>
  <c r="AN13" i="1"/>
  <c r="AS13" i="1"/>
  <c r="E13" i="1"/>
  <c r="BE13" i="1"/>
  <c r="AC13" i="1"/>
  <c r="U13" i="1"/>
  <c r="AX13" i="1"/>
  <c r="AO13" i="1"/>
  <c r="T13" i="1"/>
  <c r="AB13" i="1"/>
  <c r="BA13" i="1"/>
  <c r="BF13" i="1"/>
  <c r="AK13" i="1"/>
  <c r="AE13" i="1"/>
  <c r="N13" i="1"/>
  <c r="R13" i="1"/>
  <c r="AD13" i="1"/>
  <c r="H13" i="1"/>
  <c r="V13" i="1"/>
  <c r="C13" i="1"/>
  <c r="Q13" i="1"/>
  <c r="AH13" i="1"/>
  <c r="J13" i="1"/>
  <c r="AJ13" i="1"/>
  <c r="AV13" i="1"/>
  <c r="AP13" i="1"/>
  <c r="S13" i="1"/>
  <c r="BC13" i="1"/>
  <c r="O13" i="1"/>
  <c r="AF13" i="1"/>
  <c r="B13" i="1"/>
  <c r="AM13" i="1"/>
  <c r="AE38" i="7"/>
  <c r="AU38" i="7"/>
  <c r="O38" i="7"/>
  <c r="H38" i="7"/>
  <c r="BE38" i="7"/>
  <c r="BA38" i="7"/>
  <c r="AR38" i="7"/>
  <c r="D38" i="7"/>
  <c r="AM38" i="7"/>
  <c r="AV38" i="7"/>
  <c r="U38" i="7"/>
  <c r="K38" i="7"/>
  <c r="N38" i="7"/>
  <c r="S38" i="7"/>
  <c r="Z38" i="7"/>
  <c r="AH38" i="7"/>
  <c r="J38" i="7"/>
  <c r="AT38" i="7"/>
  <c r="AZ38" i="7"/>
  <c r="BF38" i="7"/>
  <c r="AG38" i="7"/>
  <c r="AS38" i="7"/>
  <c r="AC38" i="7"/>
  <c r="T38" i="7"/>
  <c r="AL38" i="7"/>
  <c r="BB38" i="7"/>
  <c r="BC38" i="7"/>
  <c r="AO38" i="7"/>
  <c r="AN38" i="7"/>
  <c r="C38" i="7"/>
  <c r="AW38" i="7"/>
  <c r="P38" i="7"/>
  <c r="BD38" i="7"/>
  <c r="AY38" i="7"/>
  <c r="AA38" i="7"/>
  <c r="V38" i="7"/>
  <c r="Q38" i="7"/>
  <c r="AF38" i="7"/>
  <c r="X38" i="7"/>
  <c r="AB38" i="7"/>
  <c r="AI38" i="7"/>
  <c r="AJ38" i="7"/>
  <c r="AQ38" i="7"/>
  <c r="E38" i="7"/>
  <c r="AK38" i="7"/>
  <c r="W38" i="7"/>
  <c r="AX38" i="7"/>
  <c r="M38" i="7"/>
  <c r="AD38" i="7"/>
  <c r="L38" i="7"/>
  <c r="AP38" i="7"/>
  <c r="Y38" i="7"/>
  <c r="B38" i="7"/>
  <c r="R38" i="7"/>
  <c r="AI43" i="8"/>
  <c r="Q43" i="8"/>
  <c r="V43" i="8"/>
  <c r="BE43" i="8"/>
  <c r="AC43" i="8"/>
  <c r="BD43" i="8"/>
  <c r="AF43" i="8"/>
  <c r="AD43" i="8"/>
  <c r="P43" i="8"/>
  <c r="AG43" i="8"/>
  <c r="X43" i="8"/>
  <c r="AY43" i="8"/>
  <c r="BB43" i="8"/>
  <c r="AE43" i="8"/>
  <c r="AO43" i="8"/>
  <c r="C43" i="8"/>
  <c r="K43" i="8"/>
  <c r="AS43" i="8"/>
  <c r="T43" i="8"/>
  <c r="AL43" i="8"/>
  <c r="AZ43" i="8"/>
  <c r="AX43" i="8"/>
  <c r="U43" i="8"/>
  <c r="AM43" i="8"/>
  <c r="AA43" i="8"/>
  <c r="R43" i="8"/>
  <c r="AT43" i="8"/>
  <c r="D43" i="8"/>
  <c r="N43" i="8"/>
  <c r="AW43" i="8"/>
  <c r="AH43" i="8"/>
  <c r="BF43" i="8"/>
  <c r="AK43" i="8"/>
  <c r="AU43" i="8"/>
  <c r="BA43" i="8"/>
  <c r="AP43" i="8"/>
  <c r="O43" i="8"/>
  <c r="W43" i="8"/>
  <c r="S43" i="8"/>
  <c r="Z43" i="8"/>
  <c r="AQ43" i="8"/>
  <c r="AR43" i="8"/>
  <c r="AN43" i="8"/>
  <c r="AV43" i="8"/>
  <c r="Y43" i="8"/>
  <c r="BC43" i="8"/>
  <c r="M43" i="8"/>
  <c r="AJ43" i="8"/>
  <c r="L43" i="8"/>
  <c r="AB43" i="8"/>
  <c r="E43" i="8"/>
  <c r="J43" i="8"/>
  <c r="B43" i="8"/>
  <c r="H43" i="8"/>
  <c r="AV56" i="8"/>
  <c r="AT56" i="8"/>
  <c r="AN56" i="8"/>
  <c r="X56" i="8"/>
  <c r="V56" i="8"/>
  <c r="AA56" i="8"/>
  <c r="AY56" i="8"/>
  <c r="AB56" i="8"/>
  <c r="AS56" i="8"/>
  <c r="AH56" i="8"/>
  <c r="O56" i="8"/>
  <c r="U56" i="8"/>
  <c r="K56" i="8"/>
  <c r="Q56" i="8"/>
  <c r="AK56" i="8"/>
  <c r="AW56" i="8"/>
  <c r="BA56" i="8"/>
  <c r="AQ56" i="8"/>
  <c r="AU56" i="8"/>
  <c r="BC56" i="8"/>
  <c r="P56" i="8"/>
  <c r="Y56" i="8"/>
  <c r="AL56" i="8"/>
  <c r="AI56" i="8"/>
  <c r="T56" i="8"/>
  <c r="AX56" i="8"/>
  <c r="AM56" i="8"/>
  <c r="AP56" i="8"/>
  <c r="AD56" i="8"/>
  <c r="AO56" i="8"/>
  <c r="BB56" i="8"/>
  <c r="AE56" i="8"/>
  <c r="Z56" i="8"/>
  <c r="W56" i="8"/>
  <c r="J56" i="8"/>
  <c r="N56" i="8"/>
  <c r="BE56" i="8"/>
  <c r="AC56" i="8"/>
  <c r="AR56" i="8"/>
  <c r="S56" i="8"/>
  <c r="E56" i="8"/>
  <c r="H56" i="8"/>
  <c r="AZ56" i="8"/>
  <c r="D56" i="8"/>
  <c r="AG56" i="8"/>
  <c r="BF56" i="8"/>
  <c r="L56" i="8"/>
  <c r="BD56" i="8"/>
  <c r="AJ56" i="8"/>
  <c r="R56" i="8"/>
  <c r="M56" i="8"/>
  <c r="C56" i="8"/>
  <c r="B56" i="8"/>
  <c r="AF56" i="8"/>
  <c r="AV28" i="3"/>
  <c r="AR28" i="3"/>
  <c r="AB28" i="3"/>
  <c r="AX28" i="3"/>
  <c r="M28" i="3"/>
  <c r="AD28" i="3"/>
  <c r="AL28" i="3"/>
  <c r="V28" i="3"/>
  <c r="BA28" i="3"/>
  <c r="E28" i="3"/>
  <c r="AO28" i="3"/>
  <c r="BF28" i="3"/>
  <c r="AK28" i="3"/>
  <c r="AT28" i="3"/>
  <c r="U28" i="3"/>
  <c r="AC28" i="3"/>
  <c r="AY28" i="3"/>
  <c r="AP28" i="3"/>
  <c r="AS28" i="3"/>
  <c r="AH28" i="3"/>
  <c r="T28" i="3"/>
  <c r="X28" i="3"/>
  <c r="AN28" i="3"/>
  <c r="AQ28" i="3"/>
  <c r="H28" i="3"/>
  <c r="N28" i="3"/>
  <c r="BB28" i="3"/>
  <c r="Y28" i="3"/>
  <c r="C28" i="3"/>
  <c r="AI28" i="3"/>
  <c r="L28" i="3"/>
  <c r="AU28" i="3"/>
  <c r="Z28" i="3"/>
  <c r="P28" i="3"/>
  <c r="W28" i="3"/>
  <c r="AM28" i="3"/>
  <c r="AZ28" i="3"/>
  <c r="D28" i="3"/>
  <c r="R28" i="3"/>
  <c r="S28" i="3"/>
  <c r="AA28" i="3"/>
  <c r="AW28" i="3"/>
  <c r="BD28" i="3"/>
  <c r="AF28" i="3"/>
  <c r="BE28" i="3"/>
  <c r="BC28" i="3"/>
  <c r="O28" i="3"/>
  <c r="Q28" i="3"/>
  <c r="AG28" i="3"/>
  <c r="J28" i="3"/>
  <c r="AJ28" i="3"/>
  <c r="AE28" i="3"/>
  <c r="B28" i="3"/>
  <c r="K28" i="3"/>
  <c r="S16" i="7"/>
  <c r="AM16" i="7"/>
  <c r="AF16" i="7"/>
  <c r="O16" i="7"/>
  <c r="BB16" i="7"/>
  <c r="M16" i="7"/>
  <c r="Z16" i="7"/>
  <c r="AN16" i="7"/>
  <c r="BF16" i="7"/>
  <c r="BA16" i="7"/>
  <c r="X16" i="7"/>
  <c r="AP16" i="7"/>
  <c r="AB16" i="7"/>
  <c r="AO16" i="7"/>
  <c r="BE16" i="7"/>
  <c r="AK16" i="7"/>
  <c r="AJ16" i="7"/>
  <c r="AS16" i="7"/>
  <c r="AW16" i="7"/>
  <c r="AT16" i="7"/>
  <c r="AI16" i="7"/>
  <c r="W16" i="7"/>
  <c r="N16" i="7"/>
  <c r="R16" i="7"/>
  <c r="AX16" i="7"/>
  <c r="BD16" i="7"/>
  <c r="K16" i="7"/>
  <c r="J16" i="7"/>
  <c r="H16" i="7"/>
  <c r="P16" i="7"/>
  <c r="AD16" i="7"/>
  <c r="V16" i="7"/>
  <c r="C16" i="7"/>
  <c r="AG16" i="7"/>
  <c r="AE16" i="7"/>
  <c r="AZ16" i="7"/>
  <c r="AH16" i="7"/>
  <c r="AC16" i="7"/>
  <c r="AU16" i="7"/>
  <c r="AV16" i="7"/>
  <c r="D16" i="7"/>
  <c r="L16" i="7"/>
  <c r="E16" i="7"/>
  <c r="Q16" i="7"/>
  <c r="T16" i="7"/>
  <c r="AQ16" i="7"/>
  <c r="AY16" i="7"/>
  <c r="AL16" i="7"/>
  <c r="AR16" i="7"/>
  <c r="U16" i="7"/>
  <c r="AA16" i="7"/>
  <c r="Y16" i="7"/>
  <c r="BC16" i="7"/>
  <c r="AV31" i="9"/>
  <c r="AT31" i="9"/>
  <c r="N31" i="9"/>
  <c r="AP31" i="9"/>
  <c r="D31" i="9"/>
  <c r="R31" i="9"/>
  <c r="C31" i="9"/>
  <c r="O31" i="9"/>
  <c r="AX31" i="9"/>
  <c r="AK31" i="9"/>
  <c r="S31" i="9"/>
  <c r="AW31" i="9"/>
  <c r="W31" i="9"/>
  <c r="AD31" i="9"/>
  <c r="P31" i="9"/>
  <c r="AL31" i="9"/>
  <c r="L31" i="9"/>
  <c r="BC31" i="9"/>
  <c r="Q31" i="9"/>
  <c r="AJ31" i="9"/>
  <c r="E31" i="9"/>
  <c r="AF31" i="9"/>
  <c r="AZ31" i="9"/>
  <c r="AU31" i="9"/>
  <c r="AE31" i="9"/>
  <c r="AB31" i="9"/>
  <c r="J31" i="9"/>
  <c r="AO31" i="9"/>
  <c r="BE31" i="9"/>
  <c r="Z31" i="9"/>
  <c r="K31" i="9"/>
  <c r="BD31" i="9"/>
  <c r="U31" i="9"/>
  <c r="Y31" i="9"/>
  <c r="AN31" i="9"/>
  <c r="T31" i="9"/>
  <c r="AR31" i="9"/>
  <c r="AA31" i="9"/>
  <c r="AI31" i="9"/>
  <c r="AM31" i="9"/>
  <c r="BB31" i="9"/>
  <c r="AY31" i="9"/>
  <c r="BA31" i="9"/>
  <c r="AS31" i="9"/>
  <c r="V31" i="9"/>
  <c r="AG31" i="9"/>
  <c r="H31" i="9"/>
  <c r="AH31" i="9"/>
  <c r="X31" i="9"/>
  <c r="AC31" i="9"/>
  <c r="AQ31" i="9"/>
  <c r="BF31" i="9"/>
  <c r="M31" i="9"/>
  <c r="W34" i="7"/>
  <c r="E34" i="7"/>
  <c r="L34" i="7"/>
  <c r="BB34" i="7"/>
  <c r="AW34" i="7"/>
  <c r="BA34" i="7"/>
  <c r="P34" i="7"/>
  <c r="AO34" i="7"/>
  <c r="AQ34" i="7"/>
  <c r="Y34" i="7"/>
  <c r="R34" i="7"/>
  <c r="N34" i="7"/>
  <c r="K34" i="7"/>
  <c r="S34" i="7"/>
  <c r="AF34" i="7"/>
  <c r="AJ34" i="7"/>
  <c r="Q34" i="7"/>
  <c r="BD34" i="7"/>
  <c r="AH34" i="7"/>
  <c r="AV34" i="7"/>
  <c r="AS34" i="7"/>
  <c r="X34" i="7"/>
  <c r="BE34" i="7"/>
  <c r="AE34" i="7"/>
  <c r="U34" i="7"/>
  <c r="AD34" i="7"/>
  <c r="AB34" i="7"/>
  <c r="T34" i="7"/>
  <c r="C34" i="7"/>
  <c r="O34" i="7"/>
  <c r="AX34" i="7"/>
  <c r="AY34" i="7"/>
  <c r="AI34" i="7"/>
  <c r="BF34" i="7"/>
  <c r="J34" i="7"/>
  <c r="AT34" i="7"/>
  <c r="AZ34" i="7"/>
  <c r="H34" i="7"/>
  <c r="BC34" i="7"/>
  <c r="AL34" i="7"/>
  <c r="AP34" i="7"/>
  <c r="AK34" i="7"/>
  <c r="AU34" i="7"/>
  <c r="AA34" i="7"/>
  <c r="AN34" i="7"/>
  <c r="Z34" i="7"/>
  <c r="AG34" i="7"/>
  <c r="M34" i="7"/>
  <c r="AR34" i="7"/>
  <c r="AM34" i="7"/>
  <c r="V34" i="7"/>
  <c r="D34" i="7"/>
  <c r="AC34" i="7"/>
  <c r="AH37" i="10"/>
  <c r="BB37" i="10"/>
  <c r="D37" i="10"/>
  <c r="AV37" i="10"/>
  <c r="S37" i="10"/>
  <c r="AJ37" i="10"/>
  <c r="AL37" i="10"/>
  <c r="Z37" i="10"/>
  <c r="AS37" i="10"/>
  <c r="AE37" i="10"/>
  <c r="AT37" i="10"/>
  <c r="O37" i="10"/>
  <c r="AK37" i="10"/>
  <c r="Y37" i="10"/>
  <c r="AC37" i="10"/>
  <c r="AO37" i="10"/>
  <c r="AP37" i="10"/>
  <c r="AR37" i="10"/>
  <c r="X37" i="10"/>
  <c r="AB37" i="10"/>
  <c r="R37" i="10"/>
  <c r="E37" i="10"/>
  <c r="AW37" i="10"/>
  <c r="N37" i="10"/>
  <c r="AF37" i="10"/>
  <c r="BE37" i="10"/>
  <c r="P37" i="10"/>
  <c r="AA37" i="10"/>
  <c r="K37" i="10"/>
  <c r="AX37" i="10"/>
  <c r="W37" i="10"/>
  <c r="H37" i="10"/>
  <c r="Q37" i="10"/>
  <c r="AD37" i="10"/>
  <c r="L37" i="10"/>
  <c r="BF37" i="10"/>
  <c r="BC37" i="10"/>
  <c r="T37" i="10"/>
  <c r="AG37" i="10"/>
  <c r="AN37" i="10"/>
  <c r="BD37" i="10"/>
  <c r="AI37" i="10"/>
  <c r="J37" i="10"/>
  <c r="AM37" i="10"/>
  <c r="AZ37" i="10"/>
  <c r="AQ37" i="10"/>
  <c r="U37" i="10"/>
  <c r="BA37" i="10"/>
  <c r="AY37" i="10"/>
  <c r="M37" i="10"/>
  <c r="C37" i="10"/>
  <c r="V37" i="10"/>
  <c r="B37" i="10"/>
  <c r="AU37" i="10"/>
  <c r="Q50" i="9"/>
  <c r="M50" i="9"/>
  <c r="Z50" i="9"/>
  <c r="AU50" i="9"/>
  <c r="T50" i="9"/>
  <c r="W50" i="9"/>
  <c r="BC50" i="9"/>
  <c r="H50" i="9"/>
  <c r="AT50" i="9"/>
  <c r="R50" i="9"/>
  <c r="AD50" i="9"/>
  <c r="AQ50" i="9"/>
  <c r="BF50" i="9"/>
  <c r="AS50" i="9"/>
  <c r="J50" i="9"/>
  <c r="AC50" i="9"/>
  <c r="BB50" i="9"/>
  <c r="O50" i="9"/>
  <c r="AW50" i="9"/>
  <c r="Y50" i="9"/>
  <c r="AZ50" i="9"/>
  <c r="P50" i="9"/>
  <c r="AJ50" i="9"/>
  <c r="AG50" i="9"/>
  <c r="BD50" i="9"/>
  <c r="AA50" i="9"/>
  <c r="L50" i="9"/>
  <c r="C50" i="9"/>
  <c r="AL50" i="9"/>
  <c r="N50" i="9"/>
  <c r="U50" i="9"/>
  <c r="AB50" i="9"/>
  <c r="K50" i="9"/>
  <c r="AI50" i="9"/>
  <c r="AP50" i="9"/>
  <c r="AX50" i="9"/>
  <c r="AF50" i="9"/>
  <c r="AH50" i="9"/>
  <c r="AM50" i="9"/>
  <c r="AK50" i="9"/>
  <c r="AY50" i="9"/>
  <c r="S50" i="9"/>
  <c r="BA50" i="9"/>
  <c r="AV50" i="9"/>
  <c r="BE50" i="9"/>
  <c r="V50" i="9"/>
  <c r="AN50" i="9"/>
  <c r="AO50" i="9"/>
  <c r="AR50" i="9"/>
  <c r="AE50" i="9"/>
  <c r="X50" i="9"/>
  <c r="E50" i="9"/>
  <c r="B50" i="9"/>
  <c r="D50" i="9"/>
  <c r="K45" i="9"/>
  <c r="Y45" i="9"/>
  <c r="AA45" i="9"/>
  <c r="AN45" i="9"/>
  <c r="AD45" i="9"/>
  <c r="AU45" i="9"/>
  <c r="AK45" i="9"/>
  <c r="AI45" i="9"/>
  <c r="R45" i="9"/>
  <c r="T45" i="9"/>
  <c r="C45" i="9"/>
  <c r="BE45" i="9"/>
  <c r="J45" i="9"/>
  <c r="Z45" i="9"/>
  <c r="AW45" i="9"/>
  <c r="U45" i="9"/>
  <c r="AS45" i="9"/>
  <c r="N45" i="9"/>
  <c r="Q45" i="9"/>
  <c r="AQ45" i="9"/>
  <c r="D45" i="9"/>
  <c r="E45" i="9"/>
  <c r="AO45" i="9"/>
  <c r="M45" i="9"/>
  <c r="X45" i="9"/>
  <c r="S45" i="9"/>
  <c r="O45" i="9"/>
  <c r="BD45" i="9"/>
  <c r="AE45" i="9"/>
  <c r="BF45" i="9"/>
  <c r="AR45" i="9"/>
  <c r="AJ45" i="9"/>
  <c r="AH45" i="9"/>
  <c r="AZ45" i="9"/>
  <c r="AY45" i="9"/>
  <c r="AC45" i="9"/>
  <c r="V45" i="9"/>
  <c r="P45" i="9"/>
  <c r="BC45" i="9"/>
  <c r="BB45" i="9"/>
  <c r="AB45" i="9"/>
  <c r="AP45" i="9"/>
  <c r="AF45" i="9"/>
  <c r="AL45" i="9"/>
  <c r="AM45" i="9"/>
  <c r="AX45" i="9"/>
  <c r="W45" i="9"/>
  <c r="AG45" i="9"/>
  <c r="H45" i="9"/>
  <c r="AT45" i="9"/>
  <c r="BA45" i="9"/>
  <c r="L45" i="9"/>
  <c r="AV45" i="9"/>
  <c r="U53" i="8"/>
  <c r="AA53" i="8"/>
  <c r="X53" i="8"/>
  <c r="BD53" i="8"/>
  <c r="AV53" i="8"/>
  <c r="V53" i="8"/>
  <c r="AN53" i="8"/>
  <c r="AP53" i="8"/>
  <c r="W53" i="8"/>
  <c r="R53" i="8"/>
  <c r="J53" i="8"/>
  <c r="AF53" i="8"/>
  <c r="H53" i="8"/>
  <c r="AB53" i="8"/>
  <c r="E53" i="8"/>
  <c r="AD53" i="8"/>
  <c r="Z53" i="8"/>
  <c r="L53" i="8"/>
  <c r="AM53" i="8"/>
  <c r="AC53" i="8"/>
  <c r="N53" i="8"/>
  <c r="AJ53" i="8"/>
  <c r="K53" i="8"/>
  <c r="P53" i="8"/>
  <c r="AH53" i="8"/>
  <c r="AY53" i="8"/>
  <c r="Q53" i="8"/>
  <c r="BE53" i="8"/>
  <c r="BB53" i="8"/>
  <c r="BC53" i="8"/>
  <c r="Y53" i="8"/>
  <c r="AE53" i="8"/>
  <c r="AR53" i="8"/>
  <c r="AI53" i="8"/>
  <c r="AX53" i="8"/>
  <c r="O53" i="8"/>
  <c r="AZ53" i="8"/>
  <c r="BA53" i="8"/>
  <c r="AG53" i="8"/>
  <c r="D53" i="8"/>
  <c r="T53" i="8"/>
  <c r="AO53" i="8"/>
  <c r="AU53" i="8"/>
  <c r="AK53" i="8"/>
  <c r="S53" i="8"/>
  <c r="AL53" i="8"/>
  <c r="AS53" i="8"/>
  <c r="M53" i="8"/>
  <c r="BF53" i="8"/>
  <c r="C53" i="8"/>
  <c r="AT53" i="8"/>
  <c r="AQ53" i="8"/>
  <c r="B53" i="8"/>
  <c r="AW53" i="8"/>
  <c r="AD7" i="3"/>
  <c r="O7" i="3"/>
  <c r="T7" i="3"/>
  <c r="AH7" i="3"/>
  <c r="BE7" i="3"/>
  <c r="AG7" i="3"/>
  <c r="M7" i="3"/>
  <c r="V7" i="3"/>
  <c r="AV7" i="3"/>
  <c r="AF7" i="3"/>
  <c r="Z7" i="3"/>
  <c r="AQ7" i="3"/>
  <c r="X7" i="3"/>
  <c r="AT7" i="3"/>
  <c r="C7" i="3"/>
  <c r="BD7" i="3"/>
  <c r="BF7" i="3"/>
  <c r="AC7" i="3"/>
  <c r="BB7" i="3"/>
  <c r="U7" i="3"/>
  <c r="W7" i="3"/>
  <c r="P7" i="3"/>
  <c r="K7" i="3"/>
  <c r="AL7" i="3"/>
  <c r="AY7" i="3"/>
  <c r="AN7" i="3"/>
  <c r="AS7" i="3"/>
  <c r="AZ7" i="3"/>
  <c r="BA7" i="3"/>
  <c r="S7" i="3"/>
  <c r="AJ7" i="3"/>
  <c r="R7" i="3"/>
  <c r="AU7" i="3"/>
  <c r="AI7" i="3"/>
  <c r="AB7" i="3"/>
  <c r="E7" i="3"/>
  <c r="AW7" i="3"/>
  <c r="Q7" i="3"/>
  <c r="D7" i="3"/>
  <c r="AE7" i="3"/>
  <c r="BC7" i="3"/>
  <c r="L7" i="3"/>
  <c r="AP7" i="3"/>
  <c r="AO7" i="3"/>
  <c r="AM7" i="3"/>
  <c r="AK7" i="3"/>
  <c r="AA7" i="3"/>
  <c r="N7" i="3"/>
  <c r="AX7" i="3"/>
  <c r="AR7" i="3"/>
  <c r="J7" i="3"/>
  <c r="Y7" i="3"/>
  <c r="B7" i="3"/>
  <c r="H7" i="3"/>
  <c r="B5" i="9"/>
  <c r="I5" i="9"/>
  <c r="G5" i="9"/>
  <c r="F5" i="9"/>
  <c r="S54" i="3"/>
  <c r="T54" i="3"/>
  <c r="BE54" i="3"/>
  <c r="H54" i="3"/>
  <c r="V54" i="3"/>
  <c r="AQ54" i="3"/>
  <c r="R54" i="3"/>
  <c r="M54" i="3"/>
  <c r="L54" i="3"/>
  <c r="AS54" i="3"/>
  <c r="X54" i="3"/>
  <c r="AU54" i="3"/>
  <c r="AJ54" i="3"/>
  <c r="O54" i="3"/>
  <c r="AE54" i="3"/>
  <c r="AV54" i="3"/>
  <c r="AD54" i="3"/>
  <c r="AL54" i="3"/>
  <c r="BF54" i="3"/>
  <c r="AB54" i="3"/>
  <c r="U54" i="3"/>
  <c r="AM54" i="3"/>
  <c r="N54" i="3"/>
  <c r="AI54" i="3"/>
  <c r="K54" i="3"/>
  <c r="AO54" i="3"/>
  <c r="AN54" i="3"/>
  <c r="AY54" i="3"/>
  <c r="P54" i="3"/>
  <c r="AX54" i="3"/>
  <c r="AR54" i="3"/>
  <c r="J54" i="3"/>
  <c r="BC54" i="3"/>
  <c r="AK54" i="3"/>
  <c r="AC54" i="3"/>
  <c r="Z54" i="3"/>
  <c r="AZ54" i="3"/>
  <c r="D54" i="3"/>
  <c r="AG54" i="3"/>
  <c r="AF54" i="3"/>
  <c r="AA54" i="3"/>
  <c r="AW54" i="3"/>
  <c r="BD54" i="3"/>
  <c r="Y54" i="3"/>
  <c r="W54" i="3"/>
  <c r="AT54" i="3"/>
  <c r="C54" i="3"/>
  <c r="Q54" i="3"/>
  <c r="E54" i="3"/>
  <c r="AH54" i="3"/>
  <c r="AP54" i="3"/>
  <c r="BB54" i="3"/>
  <c r="B54" i="3"/>
  <c r="BA54" i="3"/>
  <c r="F11" i="2"/>
  <c r="G11" i="2"/>
  <c r="I11" i="2"/>
  <c r="F57" i="3"/>
  <c r="G57" i="3"/>
  <c r="I57" i="3"/>
  <c r="I32" i="9"/>
  <c r="G32" i="9"/>
  <c r="F32" i="9"/>
  <c r="B34" i="7"/>
  <c r="I34" i="7"/>
  <c r="G34" i="7"/>
  <c r="F34" i="7"/>
  <c r="AZ41" i="8"/>
  <c r="AI41" i="8"/>
  <c r="AC41" i="8"/>
  <c r="AP41" i="8"/>
  <c r="L41" i="8"/>
  <c r="AT41" i="8"/>
  <c r="BB41" i="8"/>
  <c r="BC41" i="8"/>
  <c r="Y41" i="8"/>
  <c r="N41" i="8"/>
  <c r="C41" i="8"/>
  <c r="M41" i="8"/>
  <c r="R41" i="8"/>
  <c r="AR41" i="8"/>
  <c r="Z41" i="8"/>
  <c r="AE41" i="8"/>
  <c r="V41" i="8"/>
  <c r="O41" i="8"/>
  <c r="AV41" i="8"/>
  <c r="P41" i="8"/>
  <c r="AB41" i="8"/>
  <c r="H41" i="8"/>
  <c r="AX41" i="8"/>
  <c r="AW41" i="8"/>
  <c r="AF41" i="8"/>
  <c r="X41" i="8"/>
  <c r="BE41" i="8"/>
  <c r="U41" i="8"/>
  <c r="BF41" i="8"/>
  <c r="AH41" i="8"/>
  <c r="AU41" i="8"/>
  <c r="AK41" i="8"/>
  <c r="W41" i="8"/>
  <c r="AD41" i="8"/>
  <c r="AG41" i="8"/>
  <c r="AM41" i="8"/>
  <c r="Q41" i="8"/>
  <c r="AA41" i="8"/>
  <c r="AY41" i="8"/>
  <c r="AS41" i="8"/>
  <c r="S41" i="8"/>
  <c r="AL41" i="8"/>
  <c r="J41" i="8"/>
  <c r="T41" i="8"/>
  <c r="BA41" i="8"/>
  <c r="AJ41" i="8"/>
  <c r="D41" i="8"/>
  <c r="AQ41" i="8"/>
  <c r="AO41" i="8"/>
  <c r="AN41" i="8"/>
  <c r="K41" i="8"/>
  <c r="BD41" i="8"/>
  <c r="B41" i="8"/>
  <c r="E41" i="8"/>
  <c r="I8" i="8"/>
  <c r="G8" i="8"/>
  <c r="F8" i="8"/>
  <c r="I32" i="5"/>
  <c r="G32" i="5"/>
  <c r="F32" i="5"/>
  <c r="F29" i="7"/>
  <c r="G29" i="7"/>
  <c r="I29" i="7"/>
  <c r="F14" i="8"/>
  <c r="B14" i="8"/>
  <c r="I14" i="8"/>
  <c r="G14" i="8"/>
  <c r="F12" i="2"/>
  <c r="G12" i="2"/>
  <c r="I12" i="2"/>
  <c r="I52" i="7"/>
  <c r="G52" i="7"/>
  <c r="F52" i="7"/>
  <c r="B28" i="7"/>
  <c r="I28" i="7"/>
  <c r="G28" i="7"/>
  <c r="F28" i="7"/>
  <c r="AJ4" i="11"/>
  <c r="BD4" i="11"/>
  <c r="AQ4" i="11"/>
  <c r="M4" i="11"/>
  <c r="E4" i="11"/>
  <c r="AK4" i="11"/>
  <c r="T4" i="11"/>
  <c r="U4" i="11"/>
  <c r="BF4" i="11"/>
  <c r="AF4" i="11"/>
  <c r="R4" i="11"/>
  <c r="Q4" i="11"/>
  <c r="AB4" i="11"/>
  <c r="V4" i="11"/>
  <c r="C4" i="11"/>
  <c r="AT4" i="11"/>
  <c r="AX4" i="11"/>
  <c r="AY4" i="11"/>
  <c r="BC4" i="11"/>
  <c r="AV4" i="11"/>
  <c r="W4" i="11"/>
  <c r="H4" i="11"/>
  <c r="O4" i="11"/>
  <c r="AR4" i="11"/>
  <c r="X4" i="11"/>
  <c r="AP4" i="11"/>
  <c r="AO4" i="11"/>
  <c r="AS4" i="11"/>
  <c r="AD4" i="11"/>
  <c r="Y4" i="11"/>
  <c r="AH4" i="11"/>
  <c r="D4" i="11"/>
  <c r="AN4" i="11"/>
  <c r="AC4" i="11"/>
  <c r="J4" i="11"/>
  <c r="AZ4" i="11"/>
  <c r="K4" i="11"/>
  <c r="BA4" i="11"/>
  <c r="BE4" i="11"/>
  <c r="BB4" i="11"/>
  <c r="AE4" i="11"/>
  <c r="AA4" i="11"/>
  <c r="AM4" i="11"/>
  <c r="Z4" i="11"/>
  <c r="P4" i="11"/>
  <c r="AW4" i="11"/>
  <c r="L4" i="11"/>
  <c r="AU4" i="11"/>
  <c r="AG4" i="11"/>
  <c r="AI4" i="11"/>
  <c r="N4" i="11"/>
  <c r="AL4" i="11"/>
  <c r="S4" i="11"/>
  <c r="AZ8" i="7"/>
  <c r="AG8" i="7"/>
  <c r="Q8" i="7"/>
  <c r="AH8" i="7"/>
  <c r="AO8" i="7"/>
  <c r="BE8" i="7"/>
  <c r="AJ8" i="7"/>
  <c r="AX8" i="7"/>
  <c r="AK8" i="7"/>
  <c r="AN8" i="7"/>
  <c r="AD8" i="7"/>
  <c r="AU8" i="7"/>
  <c r="BF8" i="7"/>
  <c r="T8" i="7"/>
  <c r="AC8" i="7"/>
  <c r="X8" i="7"/>
  <c r="BD8" i="7"/>
  <c r="D8" i="7"/>
  <c r="E8" i="7"/>
  <c r="N8" i="7"/>
  <c r="AI8" i="7"/>
  <c r="AF8" i="7"/>
  <c r="AR8" i="7"/>
  <c r="R8" i="7"/>
  <c r="AT8" i="7"/>
  <c r="AQ8" i="7"/>
  <c r="AL8" i="7"/>
  <c r="Z8" i="7"/>
  <c r="P8" i="7"/>
  <c r="BA8" i="7"/>
  <c r="AW8" i="7"/>
  <c r="S8" i="7"/>
  <c r="AY8" i="7"/>
  <c r="W8" i="7"/>
  <c r="AS8" i="7"/>
  <c r="AB8" i="7"/>
  <c r="J8" i="7"/>
  <c r="AM8" i="7"/>
  <c r="AE8" i="7"/>
  <c r="C8" i="7"/>
  <c r="Y8" i="7"/>
  <c r="M8" i="7"/>
  <c r="AV8" i="7"/>
  <c r="O8" i="7"/>
  <c r="K8" i="7"/>
  <c r="V8" i="7"/>
  <c r="AP8" i="7"/>
  <c r="BC8" i="7"/>
  <c r="BB8" i="7"/>
  <c r="H8" i="7"/>
  <c r="L8" i="7"/>
  <c r="AA8" i="7"/>
  <c r="U8" i="7"/>
  <c r="I55" i="4"/>
  <c r="G55" i="4"/>
  <c r="F55" i="4"/>
  <c r="X54" i="10"/>
  <c r="V54" i="10"/>
  <c r="AP54" i="10"/>
  <c r="AY54" i="10"/>
  <c r="AE54" i="10"/>
  <c r="K54" i="10"/>
  <c r="AC54" i="10"/>
  <c r="AQ54" i="10"/>
  <c r="AW54" i="10"/>
  <c r="T54" i="10"/>
  <c r="M54" i="10"/>
  <c r="BF54" i="10"/>
  <c r="AX54" i="10"/>
  <c r="AD54" i="10"/>
  <c r="J54" i="10"/>
  <c r="D54" i="10"/>
  <c r="R54" i="10"/>
  <c r="AO54" i="10"/>
  <c r="C54" i="10"/>
  <c r="AG54" i="10"/>
  <c r="AT54" i="10"/>
  <c r="AH54" i="10"/>
  <c r="AM54" i="10"/>
  <c r="E54" i="10"/>
  <c r="BE54" i="10"/>
  <c r="BC54" i="10"/>
  <c r="BA54" i="10"/>
  <c r="N54" i="10"/>
  <c r="O54" i="10"/>
  <c r="AV54" i="10"/>
  <c r="S54" i="10"/>
  <c r="AU54" i="10"/>
  <c r="AJ54" i="10"/>
  <c r="AL54" i="10"/>
  <c r="AR54" i="10"/>
  <c r="AN54" i="10"/>
  <c r="AK54" i="10"/>
  <c r="BD54" i="10"/>
  <c r="BB54" i="10"/>
  <c r="AZ54" i="10"/>
  <c r="Y54" i="10"/>
  <c r="U54" i="10"/>
  <c r="Z54" i="10"/>
  <c r="L54" i="10"/>
  <c r="H54" i="10"/>
  <c r="AS54" i="10"/>
  <c r="AI54" i="10"/>
  <c r="W54" i="10"/>
  <c r="AB54" i="10"/>
  <c r="AA54" i="10"/>
  <c r="AF54" i="10"/>
  <c r="Q54" i="10"/>
  <c r="P54" i="10"/>
  <c r="I14" i="4"/>
  <c r="G14" i="4"/>
  <c r="F14" i="4"/>
  <c r="I54" i="7"/>
  <c r="G54" i="7"/>
  <c r="F54" i="7"/>
  <c r="I10" i="7"/>
  <c r="G10" i="7"/>
  <c r="F10" i="7"/>
  <c r="I19" i="8"/>
  <c r="G19" i="8"/>
  <c r="F19" i="8"/>
  <c r="F6" i="10"/>
  <c r="G6" i="10"/>
  <c r="I6" i="10"/>
  <c r="AF12" i="11"/>
  <c r="R12" i="11"/>
  <c r="AD12" i="11"/>
  <c r="AZ12" i="11"/>
  <c r="H12" i="11"/>
  <c r="AJ12" i="11"/>
  <c r="O12" i="11"/>
  <c r="AO12" i="11"/>
  <c r="AY12" i="11"/>
  <c r="AH12" i="11"/>
  <c r="L12" i="11"/>
  <c r="AL12" i="11"/>
  <c r="AP12" i="11"/>
  <c r="AK12" i="11"/>
  <c r="V12" i="11"/>
  <c r="BE12" i="11"/>
  <c r="AX12" i="11"/>
  <c r="BA12" i="11"/>
  <c r="W12" i="11"/>
  <c r="D12" i="11"/>
  <c r="Y12" i="11"/>
  <c r="AT12" i="11"/>
  <c r="BD12" i="11"/>
  <c r="AN12" i="11"/>
  <c r="T12" i="11"/>
  <c r="AR12" i="11"/>
  <c r="AS12" i="11"/>
  <c r="X12" i="11"/>
  <c r="K12" i="11"/>
  <c r="M12" i="11"/>
  <c r="AE12" i="11"/>
  <c r="AG12" i="11"/>
  <c r="Z12" i="11"/>
  <c r="BC12" i="11"/>
  <c r="S12" i="11"/>
  <c r="Q12" i="11"/>
  <c r="N12" i="11"/>
  <c r="AQ12" i="11"/>
  <c r="AI12" i="11"/>
  <c r="AW12" i="11"/>
  <c r="C12" i="11"/>
  <c r="P12" i="11"/>
  <c r="AV12" i="11"/>
  <c r="AU12" i="11"/>
  <c r="BF12" i="11"/>
  <c r="AC12" i="11"/>
  <c r="U12" i="11"/>
  <c r="J12" i="11"/>
  <c r="AM12" i="11"/>
  <c r="AA12" i="11"/>
  <c r="BB12" i="11"/>
  <c r="E12" i="11"/>
  <c r="AB12" i="11"/>
  <c r="I17" i="4"/>
  <c r="G17" i="4"/>
  <c r="F17" i="4"/>
  <c r="I56" i="7"/>
  <c r="G56" i="7"/>
  <c r="F56" i="7"/>
  <c r="F22" i="1"/>
  <c r="G22" i="1"/>
  <c r="I22" i="1"/>
  <c r="X31" i="8"/>
  <c r="AP31" i="8"/>
  <c r="AV31" i="8"/>
  <c r="AK31" i="8"/>
  <c r="AT31" i="8"/>
  <c r="BA31" i="8"/>
  <c r="T31" i="8"/>
  <c r="C31" i="8"/>
  <c r="L31" i="8"/>
  <c r="V31" i="8"/>
  <c r="AW31" i="8"/>
  <c r="AS31" i="8"/>
  <c r="E31" i="8"/>
  <c r="Z31" i="8"/>
  <c r="D31" i="8"/>
  <c r="S31" i="8"/>
  <c r="BC31" i="8"/>
  <c r="R31" i="8"/>
  <c r="AI31" i="8"/>
  <c r="AQ31" i="8"/>
  <c r="J31" i="8"/>
  <c r="M31" i="8"/>
  <c r="AZ31" i="8"/>
  <c r="AB31" i="8"/>
  <c r="AM31" i="8"/>
  <c r="AX31" i="8"/>
  <c r="O31" i="8"/>
  <c r="AA31" i="8"/>
  <c r="BB31" i="8"/>
  <c r="AY31" i="8"/>
  <c r="AD31" i="8"/>
  <c r="N31" i="8"/>
  <c r="AO31" i="8"/>
  <c r="AE31" i="8"/>
  <c r="H31" i="8"/>
  <c r="BE31" i="8"/>
  <c r="W31" i="8"/>
  <c r="AN31" i="8"/>
  <c r="Y31" i="8"/>
  <c r="AF31" i="8"/>
  <c r="Q31" i="8"/>
  <c r="BF31" i="8"/>
  <c r="AU31" i="8"/>
  <c r="AG31" i="8"/>
  <c r="K31" i="8"/>
  <c r="BD31" i="8"/>
  <c r="AL31" i="8"/>
  <c r="AC31" i="8"/>
  <c r="AJ31" i="8"/>
  <c r="AH31" i="8"/>
  <c r="P31" i="8"/>
  <c r="AR31" i="8"/>
  <c r="U31" i="8"/>
  <c r="B4" i="11"/>
  <c r="I4" i="11"/>
  <c r="G4" i="11"/>
  <c r="F4" i="11"/>
  <c r="F19" i="10"/>
  <c r="G19" i="10"/>
  <c r="I19" i="10"/>
  <c r="B8" i="7"/>
  <c r="I8" i="7"/>
  <c r="G8" i="7"/>
  <c r="F8" i="7"/>
  <c r="AB20" i="10"/>
  <c r="AV20" i="10"/>
  <c r="AC20" i="10"/>
  <c r="AM20" i="10"/>
  <c r="Y20" i="10"/>
  <c r="AJ20" i="10"/>
  <c r="BD20" i="10"/>
  <c r="AF20" i="10"/>
  <c r="R20" i="10"/>
  <c r="X20" i="10"/>
  <c r="AS20" i="10"/>
  <c r="K20" i="10"/>
  <c r="H20" i="10"/>
  <c r="AI20" i="10"/>
  <c r="AP20" i="10"/>
  <c r="J20" i="10"/>
  <c r="BE20" i="10"/>
  <c r="P20" i="10"/>
  <c r="W20" i="10"/>
  <c r="Q20" i="10"/>
  <c r="D20" i="10"/>
  <c r="AL20" i="10"/>
  <c r="S20" i="10"/>
  <c r="AH20" i="10"/>
  <c r="O20" i="10"/>
  <c r="BA20" i="10"/>
  <c r="AK20" i="10"/>
  <c r="L20" i="10"/>
  <c r="AE20" i="10"/>
  <c r="AD20" i="10"/>
  <c r="E20" i="10"/>
  <c r="AT20" i="10"/>
  <c r="AG20" i="10"/>
  <c r="AN20" i="10"/>
  <c r="BF20" i="10"/>
  <c r="M20" i="10"/>
  <c r="BB20" i="10"/>
  <c r="N20" i="10"/>
  <c r="AW20" i="10"/>
  <c r="V20" i="10"/>
  <c r="U20" i="10"/>
  <c r="T20" i="10"/>
  <c r="AU20" i="10"/>
  <c r="AY20" i="10"/>
  <c r="AZ20" i="10"/>
  <c r="C20" i="10"/>
  <c r="AX20" i="10"/>
  <c r="AR20" i="10"/>
  <c r="Z20" i="10"/>
  <c r="AA20" i="10"/>
  <c r="AO20" i="10"/>
  <c r="BC20" i="10"/>
  <c r="AQ20" i="10"/>
  <c r="I56" i="5"/>
  <c r="G56" i="5"/>
  <c r="F56" i="5"/>
  <c r="AH53" i="9"/>
  <c r="BF53" i="9"/>
  <c r="N53" i="9"/>
  <c r="AZ53" i="9"/>
  <c r="AR53" i="9"/>
  <c r="BB53" i="9"/>
  <c r="K53" i="9"/>
  <c r="AA53" i="9"/>
  <c r="V53" i="9"/>
  <c r="P53" i="9"/>
  <c r="E53" i="9"/>
  <c r="T53" i="9"/>
  <c r="D53" i="9"/>
  <c r="O53" i="9"/>
  <c r="AE53" i="9"/>
  <c r="R53" i="9"/>
  <c r="AD53" i="9"/>
  <c r="AI53" i="9"/>
  <c r="AY53" i="9"/>
  <c r="L53" i="9"/>
  <c r="AM53" i="9"/>
  <c r="S53" i="9"/>
  <c r="AG53" i="9"/>
  <c r="M53" i="9"/>
  <c r="AQ53" i="9"/>
  <c r="AW53" i="9"/>
  <c r="AB53" i="9"/>
  <c r="AT53" i="9"/>
  <c r="AS53" i="9"/>
  <c r="AL53" i="9"/>
  <c r="J53" i="9"/>
  <c r="BE53" i="9"/>
  <c r="H53" i="9"/>
  <c r="AU53" i="9"/>
  <c r="Q53" i="9"/>
  <c r="AP53" i="9"/>
  <c r="AC53" i="9"/>
  <c r="AV53" i="9"/>
  <c r="Y53" i="9"/>
  <c r="AX53" i="9"/>
  <c r="AO53" i="9"/>
  <c r="BA53" i="9"/>
  <c r="BD53" i="9"/>
  <c r="W53" i="9"/>
  <c r="AK53" i="9"/>
  <c r="AF53" i="9"/>
  <c r="X53" i="9"/>
  <c r="BC53" i="9"/>
  <c r="AJ53" i="9"/>
  <c r="C53" i="9"/>
  <c r="AN53" i="9"/>
  <c r="Z53" i="9"/>
  <c r="U53" i="9"/>
  <c r="B54" i="10"/>
  <c r="I54" i="10"/>
  <c r="G54" i="10"/>
  <c r="F54" i="10"/>
  <c r="F31" i="1"/>
  <c r="G31" i="1"/>
  <c r="I31" i="1"/>
  <c r="I45" i="4"/>
  <c r="G45" i="4"/>
  <c r="F45" i="4"/>
  <c r="Z10" i="8"/>
  <c r="AI10" i="8"/>
  <c r="AZ10" i="8"/>
  <c r="O10" i="8"/>
  <c r="BE10" i="8"/>
  <c r="AP10" i="8"/>
  <c r="E10" i="8"/>
  <c r="J10" i="8"/>
  <c r="BA10" i="8"/>
  <c r="W10" i="8"/>
  <c r="AT10" i="8"/>
  <c r="C10" i="8"/>
  <c r="N10" i="8"/>
  <c r="AL10" i="8"/>
  <c r="AB10" i="8"/>
  <c r="Q10" i="8"/>
  <c r="AK10" i="8"/>
  <c r="AH10" i="8"/>
  <c r="BC10" i="8"/>
  <c r="AE10" i="8"/>
  <c r="V10" i="8"/>
  <c r="BB10" i="8"/>
  <c r="AF10" i="8"/>
  <c r="H10" i="8"/>
  <c r="X10" i="8"/>
  <c r="AG10" i="8"/>
  <c r="BF10" i="8"/>
  <c r="K10" i="8"/>
  <c r="AQ10" i="8"/>
  <c r="AD10" i="8"/>
  <c r="M10" i="8"/>
  <c r="AU10" i="8"/>
  <c r="AS10" i="8"/>
  <c r="D10" i="8"/>
  <c r="AA10" i="8"/>
  <c r="BD10" i="8"/>
  <c r="AX10" i="8"/>
  <c r="AY10" i="8"/>
  <c r="AC10" i="8"/>
  <c r="AV10" i="8"/>
  <c r="AR10" i="8"/>
  <c r="AW10" i="8"/>
  <c r="AM10" i="8"/>
  <c r="L10" i="8"/>
  <c r="P10" i="8"/>
  <c r="T10" i="8"/>
  <c r="AJ10" i="8"/>
  <c r="Y10" i="8"/>
  <c r="AN10" i="8"/>
  <c r="AO10" i="8"/>
  <c r="R10" i="8"/>
  <c r="S10" i="8"/>
  <c r="U10" i="8"/>
  <c r="I50" i="10"/>
  <c r="G50" i="10"/>
  <c r="F50" i="10"/>
  <c r="I47" i="7"/>
  <c r="G47" i="7"/>
  <c r="F47" i="7"/>
  <c r="B58" i="10"/>
  <c r="I58" i="10"/>
  <c r="G58" i="10"/>
  <c r="F58" i="10"/>
  <c r="F13" i="8"/>
  <c r="G13" i="8"/>
  <c r="I13" i="8"/>
  <c r="F31" i="9"/>
  <c r="B31" i="9"/>
  <c r="I31" i="9"/>
  <c r="G31" i="9"/>
  <c r="F11" i="8"/>
  <c r="G11" i="8"/>
  <c r="I11" i="8"/>
  <c r="F40" i="7"/>
  <c r="G40" i="7"/>
  <c r="I40" i="7"/>
  <c r="F57" i="9"/>
  <c r="G57" i="9"/>
  <c r="I57" i="9"/>
  <c r="I43" i="2"/>
  <c r="G43" i="2"/>
  <c r="F43" i="2"/>
  <c r="F53" i="10"/>
  <c r="G53" i="10"/>
  <c r="I53" i="10"/>
  <c r="F43" i="11"/>
  <c r="G43" i="11"/>
  <c r="I43" i="11"/>
  <c r="I39" i="3"/>
  <c r="G39" i="3"/>
  <c r="F39" i="3"/>
  <c r="B45" i="9"/>
  <c r="I45" i="9"/>
  <c r="G45" i="9"/>
  <c r="F45" i="9"/>
  <c r="AT12" i="2"/>
  <c r="O12" i="2"/>
  <c r="K12" i="2"/>
  <c r="L12" i="2"/>
  <c r="D12" i="2"/>
  <c r="AP12" i="2"/>
  <c r="H12" i="2"/>
  <c r="AB12" i="2"/>
  <c r="AO12" i="2"/>
  <c r="AM12" i="2"/>
  <c r="AS12" i="2"/>
  <c r="AR12" i="2"/>
  <c r="C12" i="2"/>
  <c r="AZ12" i="2"/>
  <c r="BB12" i="2"/>
  <c r="BD12" i="2"/>
  <c r="BC12" i="2"/>
  <c r="AN12" i="2"/>
  <c r="S12" i="2"/>
  <c r="E12" i="2"/>
  <c r="X12" i="2"/>
  <c r="AK12" i="2"/>
  <c r="R12" i="2"/>
  <c r="BA12" i="2"/>
  <c r="P12" i="2"/>
  <c r="AE12" i="2"/>
  <c r="T12" i="2"/>
  <c r="V12" i="2"/>
  <c r="AU12" i="2"/>
  <c r="BF12" i="2"/>
  <c r="BE12" i="2"/>
  <c r="AD12" i="2"/>
  <c r="AV12" i="2"/>
  <c r="AC12" i="2"/>
  <c r="AW12" i="2"/>
  <c r="N12" i="2"/>
  <c r="J12" i="2"/>
  <c r="AJ12" i="2"/>
  <c r="W12" i="2"/>
  <c r="AG12" i="2"/>
  <c r="AA12" i="2"/>
  <c r="U12" i="2"/>
  <c r="AH12" i="2"/>
  <c r="Y12" i="2"/>
  <c r="AY12" i="2"/>
  <c r="AF12" i="2"/>
  <c r="M12" i="2"/>
  <c r="Z12" i="2"/>
  <c r="AL12" i="2"/>
  <c r="AQ12" i="2"/>
  <c r="Q12" i="2"/>
  <c r="AX12" i="2"/>
  <c r="B12" i="2"/>
  <c r="AI12" i="2"/>
  <c r="AE11" i="8"/>
  <c r="BF11" i="8"/>
  <c r="AS11" i="8"/>
  <c r="H11" i="8"/>
  <c r="R11" i="8"/>
  <c r="AA11" i="8"/>
  <c r="T11" i="8"/>
  <c r="AN11" i="8"/>
  <c r="S11" i="8"/>
  <c r="E11" i="8"/>
  <c r="AH11" i="8"/>
  <c r="Q11" i="8"/>
  <c r="AW11" i="8"/>
  <c r="AM11" i="8"/>
  <c r="W11" i="8"/>
  <c r="AY11" i="8"/>
  <c r="C11" i="8"/>
  <c r="BB11" i="8"/>
  <c r="L11" i="8"/>
  <c r="BD11" i="8"/>
  <c r="AK11" i="8"/>
  <c r="AI11" i="8"/>
  <c r="V11" i="8"/>
  <c r="P11" i="8"/>
  <c r="AG11" i="8"/>
  <c r="AJ11" i="8"/>
  <c r="O11" i="8"/>
  <c r="U11" i="8"/>
  <c r="AO11" i="8"/>
  <c r="AP11" i="8"/>
  <c r="BE11" i="8"/>
  <c r="AR11" i="8"/>
  <c r="Z11" i="8"/>
  <c r="N11" i="8"/>
  <c r="D11" i="8"/>
  <c r="AV11" i="8"/>
  <c r="AF11" i="8"/>
  <c r="M11" i="8"/>
  <c r="K11" i="8"/>
  <c r="AX11" i="8"/>
  <c r="BA11" i="8"/>
  <c r="J11" i="8"/>
  <c r="AD11" i="8"/>
  <c r="AU11" i="8"/>
  <c r="AB11" i="8"/>
  <c r="AT11" i="8"/>
  <c r="AZ11" i="8"/>
  <c r="AC11" i="8"/>
  <c r="X11" i="8"/>
  <c r="BC11" i="8"/>
  <c r="Y11" i="8"/>
  <c r="AL11" i="8"/>
  <c r="B11" i="8"/>
  <c r="AQ11" i="8"/>
  <c r="AF58" i="5"/>
  <c r="BE58" i="5"/>
  <c r="U58" i="5"/>
  <c r="BD58" i="5"/>
  <c r="E58" i="5"/>
  <c r="AW58" i="5"/>
  <c r="AA58" i="5"/>
  <c r="J58" i="5"/>
  <c r="O58" i="5"/>
  <c r="V58" i="5"/>
  <c r="S58" i="5"/>
  <c r="BF58" i="5"/>
  <c r="W58" i="5"/>
  <c r="AJ58" i="5"/>
  <c r="AE58" i="5"/>
  <c r="AZ58" i="5"/>
  <c r="AB58" i="5"/>
  <c r="AS58" i="5"/>
  <c r="BC58" i="5"/>
  <c r="K58" i="5"/>
  <c r="AP58" i="5"/>
  <c r="C58" i="5"/>
  <c r="AR58" i="5"/>
  <c r="Q58" i="5"/>
  <c r="AC58" i="5"/>
  <c r="R58" i="5"/>
  <c r="Y58" i="5"/>
  <c r="P58" i="5"/>
  <c r="AM58" i="5"/>
  <c r="M58" i="5"/>
  <c r="AO58" i="5"/>
  <c r="T58" i="5"/>
  <c r="AU58" i="5"/>
  <c r="BB58" i="5"/>
  <c r="BA58" i="5"/>
  <c r="Z58" i="5"/>
  <c r="AK58" i="5"/>
  <c r="AT58" i="5"/>
  <c r="X58" i="5"/>
  <c r="AY58" i="5"/>
  <c r="AX58" i="5"/>
  <c r="AI58" i="5"/>
  <c r="N58" i="5"/>
  <c r="AV58" i="5"/>
  <c r="AL58" i="5"/>
  <c r="AN58" i="5"/>
  <c r="AG58" i="5"/>
  <c r="L58" i="5"/>
  <c r="AH58" i="5"/>
  <c r="D58" i="5"/>
  <c r="AD58" i="5"/>
  <c r="AQ58" i="5"/>
  <c r="B58" i="5"/>
  <c r="H58" i="5"/>
  <c r="AY13" i="8"/>
  <c r="AA13" i="8"/>
  <c r="BC13" i="8"/>
  <c r="O13" i="8"/>
  <c r="BB13" i="8"/>
  <c r="X13" i="8"/>
  <c r="AU13" i="8"/>
  <c r="V13" i="8"/>
  <c r="Z13" i="8"/>
  <c r="AZ13" i="8"/>
  <c r="U13" i="8"/>
  <c r="BF13" i="8"/>
  <c r="AX13" i="8"/>
  <c r="AG13" i="8"/>
  <c r="Y13" i="8"/>
  <c r="AD13" i="8"/>
  <c r="Q13" i="8"/>
  <c r="H13" i="8"/>
  <c r="AH13" i="8"/>
  <c r="AK13" i="8"/>
  <c r="AM13" i="8"/>
  <c r="T13" i="8"/>
  <c r="K13" i="8"/>
  <c r="S13" i="8"/>
  <c r="AR13" i="8"/>
  <c r="AS13" i="8"/>
  <c r="AI13" i="8"/>
  <c r="AP13" i="8"/>
  <c r="BE13" i="8"/>
  <c r="E13" i="8"/>
  <c r="N13" i="8"/>
  <c r="W13" i="8"/>
  <c r="AQ13" i="8"/>
  <c r="AC13" i="8"/>
  <c r="J13" i="8"/>
  <c r="P13" i="8"/>
  <c r="C13" i="8"/>
  <c r="AN13" i="8"/>
  <c r="AL13" i="8"/>
  <c r="BD13" i="8"/>
  <c r="AF13" i="8"/>
  <c r="AJ13" i="8"/>
  <c r="L13" i="8"/>
  <c r="D13" i="8"/>
  <c r="AW13" i="8"/>
  <c r="AT13" i="8"/>
  <c r="AV13" i="8"/>
  <c r="AE13" i="8"/>
  <c r="AO13" i="8"/>
  <c r="M13" i="8"/>
  <c r="R13" i="8"/>
  <c r="BA13" i="8"/>
  <c r="B13" i="8"/>
  <c r="AB13" i="8"/>
  <c r="AH55" i="7"/>
  <c r="H55" i="7"/>
  <c r="AC55" i="7"/>
  <c r="AD55" i="7"/>
  <c r="Y55" i="7"/>
  <c r="AU55" i="7"/>
  <c r="S55" i="7"/>
  <c r="AJ55" i="7"/>
  <c r="Q55" i="7"/>
  <c r="AX55" i="7"/>
  <c r="AG55" i="7"/>
  <c r="N55" i="7"/>
  <c r="BC55" i="7"/>
  <c r="L55" i="7"/>
  <c r="D55" i="7"/>
  <c r="BB55" i="7"/>
  <c r="AE55" i="7"/>
  <c r="E55" i="7"/>
  <c r="V55" i="7"/>
  <c r="BA55" i="7"/>
  <c r="AL55" i="7"/>
  <c r="K55" i="7"/>
  <c r="U55" i="7"/>
  <c r="AI55" i="7"/>
  <c r="C55" i="7"/>
  <c r="BE55" i="7"/>
  <c r="AB55" i="7"/>
  <c r="AM55" i="7"/>
  <c r="W55" i="7"/>
  <c r="AW55" i="7"/>
  <c r="Z55" i="7"/>
  <c r="AF55" i="7"/>
  <c r="AT55" i="7"/>
  <c r="AQ55" i="7"/>
  <c r="AY55" i="7"/>
  <c r="BF55" i="7"/>
  <c r="R55" i="7"/>
  <c r="J55" i="7"/>
  <c r="X55" i="7"/>
  <c r="AO55" i="7"/>
  <c r="P55" i="7"/>
  <c r="AV55" i="7"/>
  <c r="T55" i="7"/>
  <c r="AS55" i="7"/>
  <c r="AZ55" i="7"/>
  <c r="AP55" i="7"/>
  <c r="BD55" i="7"/>
  <c r="M55" i="7"/>
  <c r="AR55" i="7"/>
  <c r="O55" i="7"/>
  <c r="AN55" i="7"/>
  <c r="AA55" i="7"/>
  <c r="AK55" i="7"/>
  <c r="L47" i="3"/>
  <c r="AU47" i="3"/>
  <c r="AG47" i="3"/>
  <c r="Q47" i="3"/>
  <c r="AT47" i="3"/>
  <c r="H47" i="3"/>
  <c r="AY47" i="3"/>
  <c r="AE47" i="3"/>
  <c r="AA47" i="3"/>
  <c r="AM47" i="3"/>
  <c r="AH47" i="3"/>
  <c r="D47" i="3"/>
  <c r="S47" i="3"/>
  <c r="BC47" i="3"/>
  <c r="AQ47" i="3"/>
  <c r="P47" i="3"/>
  <c r="C47" i="3"/>
  <c r="Y47" i="3"/>
  <c r="V47" i="3"/>
  <c r="M47" i="3"/>
  <c r="AB47" i="3"/>
  <c r="AZ47" i="3"/>
  <c r="AV47" i="3"/>
  <c r="AJ47" i="3"/>
  <c r="R47" i="3"/>
  <c r="E47" i="3"/>
  <c r="BA47" i="3"/>
  <c r="AX47" i="3"/>
  <c r="AW47" i="3"/>
  <c r="X47" i="3"/>
  <c r="BD47" i="3"/>
  <c r="AK47" i="3"/>
  <c r="AF47" i="3"/>
  <c r="AP47" i="3"/>
  <c r="AD47" i="3"/>
  <c r="W47" i="3"/>
  <c r="AN47" i="3"/>
  <c r="N47" i="3"/>
  <c r="J47" i="3"/>
  <c r="AL47" i="3"/>
  <c r="AS47" i="3"/>
  <c r="AC47" i="3"/>
  <c r="K47" i="3"/>
  <c r="AR47" i="3"/>
  <c r="AI47" i="3"/>
  <c r="O47" i="3"/>
  <c r="BB47" i="3"/>
  <c r="BE47" i="3"/>
  <c r="Z47" i="3"/>
  <c r="AO47" i="3"/>
  <c r="BF47" i="3"/>
  <c r="T47" i="3"/>
  <c r="B47" i="3"/>
  <c r="U47" i="3"/>
  <c r="BE38" i="8"/>
  <c r="Q38" i="8"/>
  <c r="L38" i="8"/>
  <c r="C38" i="8"/>
  <c r="K38" i="8"/>
  <c r="AR38" i="8"/>
  <c r="BA38" i="8"/>
  <c r="AA38" i="8"/>
  <c r="AW38" i="8"/>
  <c r="AZ38" i="8"/>
  <c r="AE38" i="8"/>
  <c r="AI38" i="8"/>
  <c r="H38" i="8"/>
  <c r="AP38" i="8"/>
  <c r="AS38" i="8"/>
  <c r="AF38" i="8"/>
  <c r="AO38" i="8"/>
  <c r="BF38" i="8"/>
  <c r="P38" i="8"/>
  <c r="V38" i="8"/>
  <c r="AL38" i="8"/>
  <c r="Y38" i="8"/>
  <c r="AC38" i="8"/>
  <c r="D38" i="8"/>
  <c r="U38" i="8"/>
  <c r="AU38" i="8"/>
  <c r="BD38" i="8"/>
  <c r="AD38" i="8"/>
  <c r="Z38" i="8"/>
  <c r="AX38" i="8"/>
  <c r="AH38" i="8"/>
  <c r="AK38" i="8"/>
  <c r="BB38" i="8"/>
  <c r="T38" i="8"/>
  <c r="AV38" i="8"/>
  <c r="M38" i="8"/>
  <c r="R38" i="8"/>
  <c r="AT38" i="8"/>
  <c r="AY38" i="8"/>
  <c r="N38" i="8"/>
  <c r="AQ38" i="8"/>
  <c r="AG38" i="8"/>
  <c r="W38" i="8"/>
  <c r="AN38" i="8"/>
  <c r="AM38" i="8"/>
  <c r="X38" i="8"/>
  <c r="BC38" i="8"/>
  <c r="J38" i="8"/>
  <c r="AB38" i="8"/>
  <c r="S38" i="8"/>
  <c r="E38" i="8"/>
  <c r="O38" i="8"/>
  <c r="B38" i="8"/>
  <c r="AJ38" i="8"/>
  <c r="W57" i="3"/>
  <c r="AN57" i="3"/>
  <c r="M57" i="3"/>
  <c r="AK57" i="3"/>
  <c r="AE57" i="3"/>
  <c r="AG57" i="3"/>
  <c r="R57" i="3"/>
  <c r="D57" i="3"/>
  <c r="AL57" i="3"/>
  <c r="H57" i="3"/>
  <c r="BA57" i="3"/>
  <c r="AW57" i="3"/>
  <c r="AP57" i="3"/>
  <c r="T57" i="3"/>
  <c r="Q57" i="3"/>
  <c r="V57" i="3"/>
  <c r="Z57" i="3"/>
  <c r="C57" i="3"/>
  <c r="K57" i="3"/>
  <c r="AZ57" i="3"/>
  <c r="AR57" i="3"/>
  <c r="AX57" i="3"/>
  <c r="O57" i="3"/>
  <c r="S57" i="3"/>
  <c r="BB57" i="3"/>
  <c r="AH57" i="3"/>
  <c r="AQ57" i="3"/>
  <c r="AF57" i="3"/>
  <c r="AJ57" i="3"/>
  <c r="N57" i="3"/>
  <c r="J57" i="3"/>
  <c r="BD57" i="3"/>
  <c r="AB57" i="3"/>
  <c r="AV57" i="3"/>
  <c r="AS57" i="3"/>
  <c r="U57" i="3"/>
  <c r="AU57" i="3"/>
  <c r="AD57" i="3"/>
  <c r="Y57" i="3"/>
  <c r="AC57" i="3"/>
  <c r="AO57" i="3"/>
  <c r="E57" i="3"/>
  <c r="BE57" i="3"/>
  <c r="X57" i="3"/>
  <c r="BC57" i="3"/>
  <c r="AY57" i="3"/>
  <c r="L57" i="3"/>
  <c r="AM57" i="3"/>
  <c r="AI57" i="3"/>
  <c r="P57" i="3"/>
  <c r="BF57" i="3"/>
  <c r="AA57" i="3"/>
  <c r="B57" i="3"/>
  <c r="AT57" i="3"/>
  <c r="O50" i="8"/>
  <c r="BC50" i="8"/>
  <c r="AO50" i="8"/>
  <c r="AB50" i="8"/>
  <c r="AW50" i="8"/>
  <c r="AD50" i="8"/>
  <c r="AT50" i="8"/>
  <c r="M50" i="8"/>
  <c r="R50" i="8"/>
  <c r="AC50" i="8"/>
  <c r="E50" i="8"/>
  <c r="AH50" i="8"/>
  <c r="S50" i="8"/>
  <c r="AZ50" i="8"/>
  <c r="Y50" i="8"/>
  <c r="AA50" i="8"/>
  <c r="AQ50" i="8"/>
  <c r="AY50" i="8"/>
  <c r="AG50" i="8"/>
  <c r="C50" i="8"/>
  <c r="AV50" i="8"/>
  <c r="T50" i="8"/>
  <c r="U50" i="8"/>
  <c r="Q50" i="8"/>
  <c r="D50" i="8"/>
  <c r="BA50" i="8"/>
  <c r="W50" i="8"/>
  <c r="BF50" i="8"/>
  <c r="AE50" i="8"/>
  <c r="AF50" i="8"/>
  <c r="AS50" i="8"/>
  <c r="P50" i="8"/>
  <c r="H50" i="8"/>
  <c r="AN50" i="8"/>
  <c r="X50" i="8"/>
  <c r="AJ50" i="8"/>
  <c r="AX50" i="8"/>
  <c r="AU50" i="8"/>
  <c r="V50" i="8"/>
  <c r="AM50" i="8"/>
  <c r="AI50" i="8"/>
  <c r="BE50" i="8"/>
  <c r="Z50" i="8"/>
  <c r="J50" i="8"/>
  <c r="AL50" i="8"/>
  <c r="AP50" i="8"/>
  <c r="K50" i="8"/>
  <c r="N50" i="8"/>
  <c r="BD50" i="8"/>
  <c r="AR50" i="8"/>
  <c r="BB50" i="8"/>
  <c r="AK50" i="8"/>
  <c r="B50" i="8"/>
  <c r="L50" i="8"/>
  <c r="H43" i="7"/>
  <c r="AQ43" i="7"/>
  <c r="AX43" i="7"/>
  <c r="AL43" i="7"/>
  <c r="P43" i="7"/>
  <c r="AE43" i="7"/>
  <c r="W43" i="7"/>
  <c r="AA43" i="7"/>
  <c r="C43" i="7"/>
  <c r="AK43" i="7"/>
  <c r="BB43" i="7"/>
  <c r="AW43" i="7"/>
  <c r="BE43" i="7"/>
  <c r="AU43" i="7"/>
  <c r="AI43" i="7"/>
  <c r="X43" i="7"/>
  <c r="Z43" i="7"/>
  <c r="D43" i="7"/>
  <c r="Y43" i="7"/>
  <c r="AB43" i="7"/>
  <c r="AC43" i="7"/>
  <c r="AS43" i="7"/>
  <c r="AF43" i="7"/>
  <c r="U43" i="7"/>
  <c r="BA43" i="7"/>
  <c r="R43" i="7"/>
  <c r="BC43" i="7"/>
  <c r="AO43" i="7"/>
  <c r="AZ43" i="7"/>
  <c r="AR43" i="7"/>
  <c r="AM43" i="7"/>
  <c r="AP43" i="7"/>
  <c r="Q43" i="7"/>
  <c r="J43" i="7"/>
  <c r="AN43" i="7"/>
  <c r="E43" i="7"/>
  <c r="AH43" i="7"/>
  <c r="N43" i="7"/>
  <c r="K43" i="7"/>
  <c r="M43" i="7"/>
  <c r="O43" i="7"/>
  <c r="BD43" i="7"/>
  <c r="S43" i="7"/>
  <c r="L43" i="7"/>
  <c r="AT43" i="7"/>
  <c r="V43" i="7"/>
  <c r="AG43" i="7"/>
  <c r="AY43" i="7"/>
  <c r="AD43" i="7"/>
  <c r="BF43" i="7"/>
  <c r="AV43" i="7"/>
  <c r="AJ43" i="7"/>
  <c r="B43" i="7"/>
  <c r="T43" i="7"/>
  <c r="Q45" i="1"/>
  <c r="BA45" i="1"/>
  <c r="E45" i="1"/>
  <c r="W45" i="1"/>
  <c r="D45" i="1"/>
  <c r="AW45" i="1"/>
  <c r="AZ45" i="1"/>
  <c r="AA45" i="1"/>
  <c r="BD45" i="1"/>
  <c r="AQ45" i="1"/>
  <c r="AY45" i="1"/>
  <c r="AO45" i="1"/>
  <c r="L45" i="1"/>
  <c r="AF45" i="1"/>
  <c r="AC45" i="1"/>
  <c r="AJ45" i="1"/>
  <c r="AD45" i="1"/>
  <c r="AR45" i="1"/>
  <c r="AM45" i="1"/>
  <c r="H45" i="1"/>
  <c r="AP45" i="1"/>
  <c r="M45" i="1"/>
  <c r="AT45" i="1"/>
  <c r="AS45" i="1"/>
  <c r="Y45" i="1"/>
  <c r="O45" i="1"/>
  <c r="AU45" i="1"/>
  <c r="X45" i="1"/>
  <c r="AX45" i="1"/>
  <c r="U45" i="1"/>
  <c r="AK45" i="1"/>
  <c r="BB45" i="1"/>
  <c r="K45" i="1"/>
  <c r="AG45" i="1"/>
  <c r="AB45" i="1"/>
  <c r="BF45" i="1"/>
  <c r="Z45" i="1"/>
  <c r="P45" i="1"/>
  <c r="N45" i="1"/>
  <c r="C45" i="1"/>
  <c r="AE45" i="1"/>
  <c r="BC45" i="1"/>
  <c r="R45" i="1"/>
  <c r="AV45" i="1"/>
  <c r="AL45" i="1"/>
  <c r="BE45" i="1"/>
  <c r="T45" i="1"/>
  <c r="AI45" i="1"/>
  <c r="J45" i="1"/>
  <c r="S45" i="1"/>
  <c r="V45" i="1"/>
  <c r="AN45" i="1"/>
  <c r="B45" i="1"/>
  <c r="AH45" i="1"/>
  <c r="D32" i="4"/>
  <c r="P32" i="4"/>
  <c r="AY32" i="4"/>
  <c r="Z32" i="4"/>
  <c r="AT32" i="4"/>
  <c r="R32" i="4"/>
  <c r="AC32" i="4"/>
  <c r="E32" i="4"/>
  <c r="AE32" i="4"/>
  <c r="K32" i="4"/>
  <c r="AB32" i="4"/>
  <c r="BB32" i="4"/>
  <c r="Q32" i="4"/>
  <c r="W32" i="4"/>
  <c r="AK32" i="4"/>
  <c r="AU32" i="4"/>
  <c r="AR32" i="4"/>
  <c r="AD32" i="4"/>
  <c r="T32" i="4"/>
  <c r="AH32" i="4"/>
  <c r="O32" i="4"/>
  <c r="AX32" i="4"/>
  <c r="AF32" i="4"/>
  <c r="Y32" i="4"/>
  <c r="AP32" i="4"/>
  <c r="H32" i="4"/>
  <c r="AS32" i="4"/>
  <c r="S32" i="4"/>
  <c r="BF32" i="4"/>
  <c r="BE32" i="4"/>
  <c r="AN32" i="4"/>
  <c r="AA32" i="4"/>
  <c r="AJ32" i="4"/>
  <c r="AL32" i="4"/>
  <c r="AQ32" i="4"/>
  <c r="X32" i="4"/>
  <c r="M32" i="4"/>
  <c r="BC32" i="4"/>
  <c r="AG32" i="4"/>
  <c r="U32" i="4"/>
  <c r="V32" i="4"/>
  <c r="C32" i="4"/>
  <c r="N32" i="4"/>
  <c r="BA32" i="4"/>
  <c r="AZ32" i="4"/>
  <c r="AV32" i="4"/>
  <c r="AI32" i="4"/>
  <c r="AW32" i="4"/>
  <c r="L32" i="4"/>
  <c r="J32" i="4"/>
  <c r="BD32" i="4"/>
  <c r="AO32" i="4"/>
  <c r="AM32" i="4"/>
  <c r="Z44" i="2"/>
  <c r="AS44" i="2"/>
  <c r="AL44" i="2"/>
  <c r="AY44" i="2"/>
  <c r="AW44" i="2"/>
  <c r="V44" i="2"/>
  <c r="Q44" i="2"/>
  <c r="R44" i="2"/>
  <c r="H44" i="2"/>
  <c r="N44" i="2"/>
  <c r="AM44" i="2"/>
  <c r="X44" i="2"/>
  <c r="AA44" i="2"/>
  <c r="BA44" i="2"/>
  <c r="D44" i="2"/>
  <c r="AP44" i="2"/>
  <c r="M44" i="2"/>
  <c r="BF44" i="2"/>
  <c r="C44" i="2"/>
  <c r="T44" i="2"/>
  <c r="BD44" i="2"/>
  <c r="AI44" i="2"/>
  <c r="O44" i="2"/>
  <c r="BC44" i="2"/>
  <c r="AB44" i="2"/>
  <c r="AJ44" i="2"/>
  <c r="E44" i="2"/>
  <c r="K44" i="2"/>
  <c r="AQ44" i="2"/>
  <c r="BB44" i="2"/>
  <c r="S44" i="2"/>
  <c r="AX44" i="2"/>
  <c r="AR44" i="2"/>
  <c r="AD44" i="2"/>
  <c r="AZ44" i="2"/>
  <c r="AK44" i="2"/>
  <c r="P44" i="2"/>
  <c r="AH44" i="2"/>
  <c r="Y44" i="2"/>
  <c r="AT44" i="2"/>
  <c r="AN44" i="2"/>
  <c r="AU44" i="2"/>
  <c r="AF44" i="2"/>
  <c r="L44" i="2"/>
  <c r="W44" i="2"/>
  <c r="BE44" i="2"/>
  <c r="AC44" i="2"/>
  <c r="U44" i="2"/>
  <c r="AG44" i="2"/>
  <c r="AE44" i="2"/>
  <c r="AV44" i="2"/>
  <c r="J44" i="2"/>
  <c r="AO44" i="2"/>
  <c r="Z48" i="7"/>
  <c r="BB48" i="7"/>
  <c r="AH48" i="7"/>
  <c r="AT48" i="7"/>
  <c r="AD48" i="7"/>
  <c r="AU48" i="7"/>
  <c r="C48" i="7"/>
  <c r="AS48" i="7"/>
  <c r="AR48" i="7"/>
  <c r="V48" i="7"/>
  <c r="R48" i="7"/>
  <c r="S48" i="7"/>
  <c r="U48" i="7"/>
  <c r="P48" i="7"/>
  <c r="T48" i="7"/>
  <c r="AZ48" i="7"/>
  <c r="AV48" i="7"/>
  <c r="Q48" i="7"/>
  <c r="M48" i="7"/>
  <c r="AC48" i="7"/>
  <c r="L48" i="7"/>
  <c r="BF48" i="7"/>
  <c r="K48" i="7"/>
  <c r="AP48" i="7"/>
  <c r="BC48" i="7"/>
  <c r="H48" i="7"/>
  <c r="AY48" i="7"/>
  <c r="X48" i="7"/>
  <c r="BD48" i="7"/>
  <c r="AB48" i="7"/>
  <c r="AW48" i="7"/>
  <c r="Y48" i="7"/>
  <c r="AL48" i="7"/>
  <c r="W48" i="7"/>
  <c r="O48" i="7"/>
  <c r="AI48" i="7"/>
  <c r="AX48" i="7"/>
  <c r="J48" i="7"/>
  <c r="AF48" i="7"/>
  <c r="AQ48" i="7"/>
  <c r="BE48" i="7"/>
  <c r="AM48" i="7"/>
  <c r="AA48" i="7"/>
  <c r="N48" i="7"/>
  <c r="AO48" i="7"/>
  <c r="E48" i="7"/>
  <c r="AJ48" i="7"/>
  <c r="AN48" i="7"/>
  <c r="AK48" i="7"/>
  <c r="AE48" i="7"/>
  <c r="D48" i="7"/>
  <c r="AG48" i="7"/>
  <c r="B48" i="7"/>
  <c r="BA48" i="7"/>
  <c r="B31" i="8"/>
  <c r="I31" i="8"/>
  <c r="G31" i="8"/>
  <c r="F31" i="8"/>
  <c r="AH35" i="4"/>
  <c r="Y35" i="4"/>
  <c r="AZ35" i="4"/>
  <c r="C35" i="4"/>
  <c r="O35" i="4"/>
  <c r="AB35" i="4"/>
  <c r="AN35" i="4"/>
  <c r="R35" i="4"/>
  <c r="BD35" i="4"/>
  <c r="L35" i="4"/>
  <c r="H35" i="4"/>
  <c r="AT35" i="4"/>
  <c r="S35" i="4"/>
  <c r="AC35" i="4"/>
  <c r="BC35" i="4"/>
  <c r="BE35" i="4"/>
  <c r="AL35" i="4"/>
  <c r="D35" i="4"/>
  <c r="W35" i="4"/>
  <c r="AV35" i="4"/>
  <c r="BA35" i="4"/>
  <c r="AX35" i="4"/>
  <c r="AW35" i="4"/>
  <c r="AM35" i="4"/>
  <c r="AJ35" i="4"/>
  <c r="AA35" i="4"/>
  <c r="AU35" i="4"/>
  <c r="BB35" i="4"/>
  <c r="AY35" i="4"/>
  <c r="AD35" i="4"/>
  <c r="AG35" i="4"/>
  <c r="M35" i="4"/>
  <c r="AQ35" i="4"/>
  <c r="K35" i="4"/>
  <c r="Q35" i="4"/>
  <c r="E35" i="4"/>
  <c r="AI35" i="4"/>
  <c r="T35" i="4"/>
  <c r="BF35" i="4"/>
  <c r="N35" i="4"/>
  <c r="AE35" i="4"/>
  <c r="J35" i="4"/>
  <c r="AO35" i="4"/>
  <c r="V35" i="4"/>
  <c r="Z35" i="4"/>
  <c r="AS35" i="4"/>
  <c r="AR35" i="4"/>
  <c r="P35" i="4"/>
  <c r="X35" i="4"/>
  <c r="AP35" i="4"/>
  <c r="AF35" i="4"/>
  <c r="AK35" i="4"/>
  <c r="U35" i="4"/>
  <c r="S40" i="7"/>
  <c r="BC40" i="7"/>
  <c r="R40" i="7"/>
  <c r="AR40" i="7"/>
  <c r="L40" i="7"/>
  <c r="AJ40" i="7"/>
  <c r="H40" i="7"/>
  <c r="BF40" i="7"/>
  <c r="P40" i="7"/>
  <c r="AW40" i="7"/>
  <c r="E40" i="7"/>
  <c r="BB40" i="7"/>
  <c r="AI40" i="7"/>
  <c r="AE40" i="7"/>
  <c r="AQ40" i="7"/>
  <c r="AO40" i="7"/>
  <c r="O40" i="7"/>
  <c r="AA40" i="7"/>
  <c r="AU40" i="7"/>
  <c r="K40" i="7"/>
  <c r="V40" i="7"/>
  <c r="W40" i="7"/>
  <c r="AF40" i="7"/>
  <c r="Z40" i="7"/>
  <c r="AS40" i="7"/>
  <c r="M40" i="7"/>
  <c r="T40" i="7"/>
  <c r="AT40" i="7"/>
  <c r="Y40" i="7"/>
  <c r="Q40" i="7"/>
  <c r="AZ40" i="7"/>
  <c r="BD40" i="7"/>
  <c r="AG40" i="7"/>
  <c r="AM40" i="7"/>
  <c r="AC40" i="7"/>
  <c r="AP40" i="7"/>
  <c r="AN40" i="7"/>
  <c r="AD40" i="7"/>
  <c r="AY40" i="7"/>
  <c r="C40" i="7"/>
  <c r="N40" i="7"/>
  <c r="AL40" i="7"/>
  <c r="AB40" i="7"/>
  <c r="BE40" i="7"/>
  <c r="D40" i="7"/>
  <c r="J40" i="7"/>
  <c r="AH40" i="7"/>
  <c r="X40" i="7"/>
  <c r="BA40" i="7"/>
  <c r="AV40" i="7"/>
  <c r="AX40" i="7"/>
  <c r="U40" i="7"/>
  <c r="B40" i="7"/>
  <c r="AK40" i="7"/>
  <c r="M14" i="3"/>
  <c r="AU14" i="3"/>
  <c r="S14" i="3"/>
  <c r="AI14" i="3"/>
  <c r="H14" i="3"/>
  <c r="AE14" i="3"/>
  <c r="BE14" i="3"/>
  <c r="AL14" i="3"/>
  <c r="AQ14" i="3"/>
  <c r="N14" i="3"/>
  <c r="AK14" i="3"/>
  <c r="AN14" i="3"/>
  <c r="O14" i="3"/>
  <c r="AT14" i="3"/>
  <c r="AH14" i="3"/>
  <c r="AA14" i="3"/>
  <c r="BA14" i="3"/>
  <c r="K14" i="3"/>
  <c r="D14" i="3"/>
  <c r="BF14" i="3"/>
  <c r="J14" i="3"/>
  <c r="AO14" i="3"/>
  <c r="Q14" i="3"/>
  <c r="AS14" i="3"/>
  <c r="AY14" i="3"/>
  <c r="V14" i="3"/>
  <c r="E14" i="3"/>
  <c r="AJ14" i="3"/>
  <c r="Z14" i="3"/>
  <c r="AV14" i="3"/>
  <c r="W14" i="3"/>
  <c r="BB14" i="3"/>
  <c r="AB14" i="3"/>
  <c r="R14" i="3"/>
  <c r="AM14" i="3"/>
  <c r="AZ14" i="3"/>
  <c r="U14" i="3"/>
  <c r="AF14" i="3"/>
  <c r="P14" i="3"/>
  <c r="AX14" i="3"/>
  <c r="AG14" i="3"/>
  <c r="AR14" i="3"/>
  <c r="AW14" i="3"/>
  <c r="Y14" i="3"/>
  <c r="BD14" i="3"/>
  <c r="X14" i="3"/>
  <c r="AC14" i="3"/>
  <c r="AP14" i="3"/>
  <c r="T14" i="3"/>
  <c r="C14" i="3"/>
  <c r="BC14" i="3"/>
  <c r="L14" i="3"/>
  <c r="B14" i="3"/>
  <c r="AD14" i="3"/>
  <c r="AS43" i="4"/>
  <c r="AE43" i="4"/>
  <c r="AM43" i="4"/>
  <c r="AH43" i="4"/>
  <c r="O43" i="4"/>
  <c r="X43" i="4"/>
  <c r="AK43" i="4"/>
  <c r="AJ43" i="4"/>
  <c r="BA43" i="4"/>
  <c r="AX43" i="4"/>
  <c r="AN43" i="4"/>
  <c r="N43" i="4"/>
  <c r="AY43" i="4"/>
  <c r="AR43" i="4"/>
  <c r="BD43" i="4"/>
  <c r="AW43" i="4"/>
  <c r="AP43" i="4"/>
  <c r="Y43" i="4"/>
  <c r="AA43" i="4"/>
  <c r="M43" i="4"/>
  <c r="E43" i="4"/>
  <c r="R43" i="4"/>
  <c r="J43" i="4"/>
  <c r="AO43" i="4"/>
  <c r="AI43" i="4"/>
  <c r="K43" i="4"/>
  <c r="BF43" i="4"/>
  <c r="D43" i="4"/>
  <c r="AU43" i="4"/>
  <c r="C43" i="4"/>
  <c r="U43" i="4"/>
  <c r="AC43" i="4"/>
  <c r="L43" i="4"/>
  <c r="W43" i="4"/>
  <c r="AB43" i="4"/>
  <c r="AL43" i="4"/>
  <c r="Z43" i="4"/>
  <c r="P43" i="4"/>
  <c r="T43" i="4"/>
  <c r="AV43" i="4"/>
  <c r="AZ43" i="4"/>
  <c r="AD43" i="4"/>
  <c r="S43" i="4"/>
  <c r="H43" i="4"/>
  <c r="AQ43" i="4"/>
  <c r="BE43" i="4"/>
  <c r="V43" i="4"/>
  <c r="BC43" i="4"/>
  <c r="Q43" i="4"/>
  <c r="BB43" i="4"/>
  <c r="AT43" i="4"/>
  <c r="AF43" i="4"/>
  <c r="AG43" i="4"/>
  <c r="AR11" i="2"/>
  <c r="N11" i="2"/>
  <c r="AP11" i="2"/>
  <c r="AH11" i="2"/>
  <c r="Q11" i="2"/>
  <c r="AO11" i="2"/>
  <c r="O11" i="2"/>
  <c r="AQ11" i="2"/>
  <c r="H11" i="2"/>
  <c r="AD11" i="2"/>
  <c r="AF11" i="2"/>
  <c r="R11" i="2"/>
  <c r="P11" i="2"/>
  <c r="AU11" i="2"/>
  <c r="V11" i="2"/>
  <c r="BE11" i="2"/>
  <c r="BB11" i="2"/>
  <c r="AM11" i="2"/>
  <c r="AS11" i="2"/>
  <c r="T11" i="2"/>
  <c r="BC11" i="2"/>
  <c r="Z11" i="2"/>
  <c r="AL11" i="2"/>
  <c r="L11" i="2"/>
  <c r="AY11" i="2"/>
  <c r="S11" i="2"/>
  <c r="AI11" i="2"/>
  <c r="AW11" i="2"/>
  <c r="D11" i="2"/>
  <c r="U11" i="2"/>
  <c r="AE11" i="2"/>
  <c r="E11" i="2"/>
  <c r="AV11" i="2"/>
  <c r="AZ11" i="2"/>
  <c r="AK11" i="2"/>
  <c r="AJ11" i="2"/>
  <c r="BA11" i="2"/>
  <c r="AN11" i="2"/>
  <c r="W11" i="2"/>
  <c r="AX11" i="2"/>
  <c r="AG11" i="2"/>
  <c r="AT11" i="2"/>
  <c r="K11" i="2"/>
  <c r="M11" i="2"/>
  <c r="BF11" i="2"/>
  <c r="BD11" i="2"/>
  <c r="Y11" i="2"/>
  <c r="C11" i="2"/>
  <c r="X11" i="2"/>
  <c r="J11" i="2"/>
  <c r="AA11" i="2"/>
  <c r="AB11" i="2"/>
  <c r="B11" i="2"/>
  <c r="AC11" i="2"/>
  <c r="Q38" i="10"/>
  <c r="AJ38" i="10"/>
  <c r="Y38" i="10"/>
  <c r="W38" i="10"/>
  <c r="BC38" i="10"/>
  <c r="Z38" i="10"/>
  <c r="AH38" i="10"/>
  <c r="D38" i="10"/>
  <c r="AR38" i="10"/>
  <c r="O38" i="10"/>
  <c r="AZ38" i="10"/>
  <c r="BA38" i="10"/>
  <c r="AW38" i="10"/>
  <c r="AE38" i="10"/>
  <c r="AF38" i="10"/>
  <c r="BB38" i="10"/>
  <c r="AI38" i="10"/>
  <c r="AO38" i="10"/>
  <c r="BF38" i="10"/>
  <c r="BD38" i="10"/>
  <c r="H38" i="10"/>
  <c r="AL38" i="10"/>
  <c r="AM38" i="10"/>
  <c r="AY38" i="10"/>
  <c r="K38" i="10"/>
  <c r="AK38" i="10"/>
  <c r="R38" i="10"/>
  <c r="AV38" i="10"/>
  <c r="AB38" i="10"/>
  <c r="P38" i="10"/>
  <c r="C38" i="10"/>
  <c r="S38" i="10"/>
  <c r="J38" i="10"/>
  <c r="BE38" i="10"/>
  <c r="M38" i="10"/>
  <c r="AP38" i="10"/>
  <c r="X38" i="10"/>
  <c r="AN38" i="10"/>
  <c r="AQ38" i="10"/>
  <c r="L38" i="10"/>
  <c r="N38" i="10"/>
  <c r="AT38" i="10"/>
  <c r="T38" i="10"/>
  <c r="AU38" i="10"/>
  <c r="V38" i="10"/>
  <c r="AC38" i="10"/>
  <c r="E38" i="10"/>
  <c r="U38" i="10"/>
  <c r="AD38" i="10"/>
  <c r="AA38" i="10"/>
  <c r="AG38" i="10"/>
  <c r="AX38" i="10"/>
  <c r="B38" i="10"/>
  <c r="AS38" i="10"/>
  <c r="R9" i="9"/>
  <c r="AA9" i="9"/>
  <c r="BE9" i="9"/>
  <c r="U9" i="9"/>
  <c r="J9" i="9"/>
  <c r="AD9" i="9"/>
  <c r="O9" i="9"/>
  <c r="AM9" i="9"/>
  <c r="X9" i="9"/>
  <c r="Z9" i="9"/>
  <c r="AZ9" i="9"/>
  <c r="V9" i="9"/>
  <c r="AF9" i="9"/>
  <c r="W9" i="9"/>
  <c r="AP9" i="9"/>
  <c r="AY9" i="9"/>
  <c r="BA9" i="9"/>
  <c r="H9" i="9"/>
  <c r="AN9" i="9"/>
  <c r="AQ9" i="9"/>
  <c r="AW9" i="9"/>
  <c r="E9" i="9"/>
  <c r="M9" i="9"/>
  <c r="AE9" i="9"/>
  <c r="T9" i="9"/>
  <c r="C9" i="9"/>
  <c r="S9" i="9"/>
  <c r="AS9" i="9"/>
  <c r="P9" i="9"/>
  <c r="AG9" i="9"/>
  <c r="AR9" i="9"/>
  <c r="AO9" i="9"/>
  <c r="AL9" i="9"/>
  <c r="N9" i="9"/>
  <c r="D9" i="9"/>
  <c r="AU9" i="9"/>
  <c r="AH9" i="9"/>
  <c r="AV9" i="9"/>
  <c r="AC9" i="9"/>
  <c r="AB9" i="9"/>
  <c r="K9" i="9"/>
  <c r="BC9" i="9"/>
  <c r="AX9" i="9"/>
  <c r="AJ9" i="9"/>
  <c r="AI9" i="9"/>
  <c r="L9" i="9"/>
  <c r="BF9" i="9"/>
  <c r="Q9" i="9"/>
  <c r="BB9" i="9"/>
  <c r="AT9" i="9"/>
  <c r="Y9" i="9"/>
  <c r="AK9" i="9"/>
  <c r="B9" i="9"/>
  <c r="BD9" i="9"/>
  <c r="Z56" i="7"/>
  <c r="BB56" i="7"/>
  <c r="AF56" i="7"/>
  <c r="BD56" i="7"/>
  <c r="AK56" i="7"/>
  <c r="AC56" i="7"/>
  <c r="BF56" i="7"/>
  <c r="AR56" i="7"/>
  <c r="P56" i="7"/>
  <c r="AP56" i="7"/>
  <c r="AA56" i="7"/>
  <c r="AO56" i="7"/>
  <c r="AM56" i="7"/>
  <c r="Y56" i="7"/>
  <c r="BE56" i="7"/>
  <c r="AY56" i="7"/>
  <c r="J56" i="7"/>
  <c r="AG56" i="7"/>
  <c r="W56" i="7"/>
  <c r="C56" i="7"/>
  <c r="T56" i="7"/>
  <c r="M56" i="7"/>
  <c r="BC56" i="7"/>
  <c r="L56" i="7"/>
  <c r="Q56" i="7"/>
  <c r="H56" i="7"/>
  <c r="AU56" i="7"/>
  <c r="O56" i="7"/>
  <c r="X56" i="7"/>
  <c r="AI56" i="7"/>
  <c r="AW56" i="7"/>
  <c r="AL56" i="7"/>
  <c r="V56" i="7"/>
  <c r="U56" i="7"/>
  <c r="D56" i="7"/>
  <c r="AH56" i="7"/>
  <c r="S56" i="7"/>
  <c r="AS56" i="7"/>
  <c r="E56" i="7"/>
  <c r="AN56" i="7"/>
  <c r="AX56" i="7"/>
  <c r="AT56" i="7"/>
  <c r="N56" i="7"/>
  <c r="BA56" i="7"/>
  <c r="AE56" i="7"/>
  <c r="AD56" i="7"/>
  <c r="AZ56" i="7"/>
  <c r="AQ56" i="7"/>
  <c r="R56" i="7"/>
  <c r="AV56" i="7"/>
  <c r="AJ56" i="7"/>
  <c r="AB56" i="7"/>
  <c r="B56" i="7"/>
  <c r="K56" i="7"/>
  <c r="AS23" i="2"/>
  <c r="L23" i="2"/>
  <c r="AR23" i="2"/>
  <c r="O23" i="2"/>
  <c r="BC23" i="2"/>
  <c r="AF23" i="2"/>
  <c r="AG23" i="2"/>
  <c r="AO23" i="2"/>
  <c r="AM23" i="2"/>
  <c r="M23" i="2"/>
  <c r="C23" i="2"/>
  <c r="K23" i="2"/>
  <c r="AT23" i="2"/>
  <c r="AL23" i="2"/>
  <c r="BB23" i="2"/>
  <c r="E23" i="2"/>
  <c r="AB23" i="2"/>
  <c r="AZ23" i="2"/>
  <c r="BE23" i="2"/>
  <c r="AQ23" i="2"/>
  <c r="AV23" i="2"/>
  <c r="S23" i="2"/>
  <c r="BD23" i="2"/>
  <c r="AW23" i="2"/>
  <c r="AE23" i="2"/>
  <c r="AP23" i="2"/>
  <c r="J23" i="2"/>
  <c r="AK23" i="2"/>
  <c r="AN23" i="2"/>
  <c r="R23" i="2"/>
  <c r="P23" i="2"/>
  <c r="AY23" i="2"/>
  <c r="U23" i="2"/>
  <c r="Q23" i="2"/>
  <c r="N23" i="2"/>
  <c r="AX23" i="2"/>
  <c r="H23" i="2"/>
  <c r="D23" i="2"/>
  <c r="AI23" i="2"/>
  <c r="AA23" i="2"/>
  <c r="W23" i="2"/>
  <c r="BA23" i="2"/>
  <c r="AJ23" i="2"/>
  <c r="AH23" i="2"/>
  <c r="BF23" i="2"/>
  <c r="V23" i="2"/>
  <c r="AU23" i="2"/>
  <c r="Y23" i="2"/>
  <c r="Z23" i="2"/>
  <c r="AC23" i="2"/>
  <c r="T23" i="2"/>
  <c r="X23" i="2"/>
  <c r="B23" i="2"/>
  <c r="AD23" i="2"/>
  <c r="AM20" i="3"/>
  <c r="J20" i="3"/>
  <c r="O20" i="3"/>
  <c r="Y20" i="3"/>
  <c r="AK20" i="3"/>
  <c r="C20" i="3"/>
  <c r="Z20" i="3"/>
  <c r="X20" i="3"/>
  <c r="Q20" i="3"/>
  <c r="AT20" i="3"/>
  <c r="T20" i="3"/>
  <c r="BD20" i="3"/>
  <c r="L20" i="3"/>
  <c r="AX20" i="3"/>
  <c r="N20" i="3"/>
  <c r="AA20" i="3"/>
  <c r="K20" i="3"/>
  <c r="BB20" i="3"/>
  <c r="R20" i="3"/>
  <c r="AR20" i="3"/>
  <c r="V20" i="3"/>
  <c r="AS20" i="3"/>
  <c r="AE20" i="3"/>
  <c r="S20" i="3"/>
  <c r="BF20" i="3"/>
  <c r="AL20" i="3"/>
  <c r="AP20" i="3"/>
  <c r="BE20" i="3"/>
  <c r="AV20" i="3"/>
  <c r="U20" i="3"/>
  <c r="W20" i="3"/>
  <c r="BA20" i="3"/>
  <c r="D20" i="3"/>
  <c r="AI20" i="3"/>
  <c r="AF20" i="3"/>
  <c r="AN20" i="3"/>
  <c r="E20" i="3"/>
  <c r="AZ20" i="3"/>
  <c r="H20" i="3"/>
  <c r="AD20" i="3"/>
  <c r="AC20" i="3"/>
  <c r="AQ20" i="3"/>
  <c r="AU20" i="3"/>
  <c r="P20" i="3"/>
  <c r="AW20" i="3"/>
  <c r="AJ20" i="3"/>
  <c r="AH20" i="3"/>
  <c r="AY20" i="3"/>
  <c r="AB20" i="3"/>
  <c r="AO20" i="3"/>
  <c r="M20" i="3"/>
  <c r="BC20" i="3"/>
  <c r="B20" i="3"/>
  <c r="AG20" i="3"/>
  <c r="AI37" i="2"/>
  <c r="AN37" i="2"/>
  <c r="AE37" i="2"/>
  <c r="W37" i="2"/>
  <c r="L37" i="2"/>
  <c r="Q37" i="2"/>
  <c r="Z37" i="2"/>
  <c r="AW37" i="2"/>
  <c r="BC37" i="2"/>
  <c r="E37" i="2"/>
  <c r="AY37" i="2"/>
  <c r="AK37" i="2"/>
  <c r="AL37" i="2"/>
  <c r="AZ37" i="2"/>
  <c r="AF37" i="2"/>
  <c r="Y37" i="2"/>
  <c r="J37" i="2"/>
  <c r="AU37" i="2"/>
  <c r="X37" i="2"/>
  <c r="C37" i="2"/>
  <c r="AM37" i="2"/>
  <c r="M37" i="2"/>
  <c r="BA37" i="2"/>
  <c r="AO37" i="2"/>
  <c r="AC37" i="2"/>
  <c r="P37" i="2"/>
  <c r="S37" i="2"/>
  <c r="AR37" i="2"/>
  <c r="AX37" i="2"/>
  <c r="BE37" i="2"/>
  <c r="O37" i="2"/>
  <c r="U37" i="2"/>
  <c r="BB37" i="2"/>
  <c r="AS37" i="2"/>
  <c r="AP37" i="2"/>
  <c r="H37" i="2"/>
  <c r="AJ37" i="2"/>
  <c r="AV37" i="2"/>
  <c r="T37" i="2"/>
  <c r="BF37" i="2"/>
  <c r="K37" i="2"/>
  <c r="AB37" i="2"/>
  <c r="D37" i="2"/>
  <c r="N37" i="2"/>
  <c r="AG37" i="2"/>
  <c r="AH37" i="2"/>
  <c r="AT37" i="2"/>
  <c r="R37" i="2"/>
  <c r="AA37" i="2"/>
  <c r="V37" i="2"/>
  <c r="AQ37" i="2"/>
  <c r="BD37" i="2"/>
  <c r="B37" i="2"/>
  <c r="AD37" i="2"/>
  <c r="N16" i="8"/>
  <c r="AF16" i="8"/>
  <c r="AV16" i="8"/>
  <c r="AP16" i="8"/>
  <c r="AN16" i="8"/>
  <c r="AW16" i="8"/>
  <c r="AH16" i="8"/>
  <c r="L16" i="8"/>
  <c r="V16" i="8"/>
  <c r="S16" i="8"/>
  <c r="BA16" i="8"/>
  <c r="Y16" i="8"/>
  <c r="AQ16" i="8"/>
  <c r="AD16" i="8"/>
  <c r="AY16" i="8"/>
  <c r="AE16" i="8"/>
  <c r="AT16" i="8"/>
  <c r="Q16" i="8"/>
  <c r="AA16" i="8"/>
  <c r="AZ16" i="8"/>
  <c r="Z16" i="8"/>
  <c r="AG16" i="8"/>
  <c r="AS16" i="8"/>
  <c r="AL16" i="8"/>
  <c r="W16" i="8"/>
  <c r="P16" i="8"/>
  <c r="BC16" i="8"/>
  <c r="BE16" i="8"/>
  <c r="AX16" i="8"/>
  <c r="E16" i="8"/>
  <c r="AO16" i="8"/>
  <c r="AC16" i="8"/>
  <c r="AR16" i="8"/>
  <c r="U16" i="8"/>
  <c r="BB16" i="8"/>
  <c r="C16" i="8"/>
  <c r="AI16" i="8"/>
  <c r="X16" i="8"/>
  <c r="AJ16" i="8"/>
  <c r="BF16" i="8"/>
  <c r="J16" i="8"/>
  <c r="AK16" i="8"/>
  <c r="AB16" i="8"/>
  <c r="H16" i="8"/>
  <c r="R16" i="8"/>
  <c r="AM16" i="8"/>
  <c r="D16" i="8"/>
  <c r="K16" i="8"/>
  <c r="O16" i="8"/>
  <c r="AU16" i="8"/>
  <c r="M16" i="8"/>
  <c r="BD16" i="8"/>
  <c r="B16" i="8"/>
  <c r="T16" i="8"/>
  <c r="AG36" i="10"/>
  <c r="BD36" i="10"/>
  <c r="AO36" i="10"/>
  <c r="AD36" i="10"/>
  <c r="AA36" i="10"/>
  <c r="AE36" i="10"/>
  <c r="BE36" i="10"/>
  <c r="R36" i="10"/>
  <c r="AY36" i="10"/>
  <c r="AR36" i="10"/>
  <c r="V36" i="10"/>
  <c r="AH36" i="10"/>
  <c r="S36" i="10"/>
  <c r="Y36" i="10"/>
  <c r="W36" i="10"/>
  <c r="AU36" i="10"/>
  <c r="O36" i="10"/>
  <c r="M36" i="10"/>
  <c r="AQ36" i="10"/>
  <c r="D36" i="10"/>
  <c r="AX36" i="10"/>
  <c r="X36" i="10"/>
  <c r="AZ36" i="10"/>
  <c r="Q36" i="10"/>
  <c r="AC36" i="10"/>
  <c r="BA36" i="10"/>
  <c r="AT36" i="10"/>
  <c r="AV36" i="10"/>
  <c r="AF36" i="10"/>
  <c r="C36" i="10"/>
  <c r="AN36" i="10"/>
  <c r="BC36" i="10"/>
  <c r="N36" i="10"/>
  <c r="AB36" i="10"/>
  <c r="AJ36" i="10"/>
  <c r="AK36" i="10"/>
  <c r="AP36" i="10"/>
  <c r="P36" i="10"/>
  <c r="AS36" i="10"/>
  <c r="T36" i="10"/>
  <c r="BF36" i="10"/>
  <c r="L36" i="10"/>
  <c r="AL36" i="10"/>
  <c r="K36" i="10"/>
  <c r="Z36" i="10"/>
  <c r="H36" i="10"/>
  <c r="AM36" i="10"/>
  <c r="AI36" i="10"/>
  <c r="E36" i="10"/>
  <c r="J36" i="10"/>
  <c r="AW36" i="10"/>
  <c r="U36" i="10"/>
  <c r="B36" i="10"/>
  <c r="BB36" i="10"/>
  <c r="AM51" i="1"/>
  <c r="AH51" i="1"/>
  <c r="AB51" i="1"/>
  <c r="D51" i="1"/>
  <c r="AT51" i="1"/>
  <c r="U51" i="1"/>
  <c r="W51" i="1"/>
  <c r="P51" i="1"/>
  <c r="K51" i="1"/>
  <c r="C51" i="1"/>
  <c r="BD51" i="1"/>
  <c r="AY51" i="1"/>
  <c r="AO51" i="1"/>
  <c r="AU51" i="1"/>
  <c r="N51" i="1"/>
  <c r="X51" i="1"/>
  <c r="AK51" i="1"/>
  <c r="E51" i="1"/>
  <c r="Q51" i="1"/>
  <c r="AE51" i="1"/>
  <c r="J51" i="1"/>
  <c r="AI51" i="1"/>
  <c r="AF51" i="1"/>
  <c r="L51" i="1"/>
  <c r="BE51" i="1"/>
  <c r="AR51" i="1"/>
  <c r="M51" i="1"/>
  <c r="AN51" i="1"/>
  <c r="R51" i="1"/>
  <c r="O51" i="1"/>
  <c r="AJ51" i="1"/>
  <c r="BF51" i="1"/>
  <c r="AS51" i="1"/>
  <c r="Y51" i="1"/>
  <c r="H51" i="1"/>
  <c r="AX51" i="1"/>
  <c r="AG51" i="1"/>
  <c r="T51" i="1"/>
  <c r="AZ51" i="1"/>
  <c r="AC51" i="1"/>
  <c r="BA51" i="1"/>
  <c r="BC51" i="1"/>
  <c r="Z51" i="1"/>
  <c r="AV51" i="1"/>
  <c r="AL51" i="1"/>
  <c r="AW51" i="1"/>
  <c r="AA51" i="1"/>
  <c r="S51" i="1"/>
  <c r="AQ51" i="1"/>
  <c r="V51" i="1"/>
  <c r="BB51" i="1"/>
  <c r="AP51" i="1"/>
  <c r="B51" i="1"/>
  <c r="AD51" i="1"/>
  <c r="AI14" i="11"/>
  <c r="BE14" i="11"/>
  <c r="AE14" i="11"/>
  <c r="P14" i="11"/>
  <c r="J14" i="11"/>
  <c r="AD14" i="11"/>
  <c r="C14" i="11"/>
  <c r="AF14" i="11"/>
  <c r="AG14" i="11"/>
  <c r="U14" i="11"/>
  <c r="BC14" i="11"/>
  <c r="V14" i="11"/>
  <c r="AW14" i="11"/>
  <c r="AY14" i="11"/>
  <c r="AP14" i="11"/>
  <c r="AZ14" i="11"/>
  <c r="AA14" i="11"/>
  <c r="BB14" i="11"/>
  <c r="AC14" i="11"/>
  <c r="AX14" i="11"/>
  <c r="L14" i="11"/>
  <c r="W14" i="11"/>
  <c r="M14" i="11"/>
  <c r="BF14" i="11"/>
  <c r="D14" i="11"/>
  <c r="AL14" i="11"/>
  <c r="AV14" i="11"/>
  <c r="N14" i="11"/>
  <c r="BA14" i="11"/>
  <c r="BD14" i="11"/>
  <c r="AU14" i="11"/>
  <c r="H14" i="11"/>
  <c r="AR14" i="11"/>
  <c r="AQ14" i="11"/>
  <c r="T14" i="11"/>
  <c r="AO14" i="11"/>
  <c r="R14" i="11"/>
  <c r="AS14" i="11"/>
  <c r="AH14" i="11"/>
  <c r="K14" i="11"/>
  <c r="Q14" i="11"/>
  <c r="E14" i="11"/>
  <c r="AT14" i="11"/>
  <c r="AJ14" i="11"/>
  <c r="Y14" i="11"/>
  <c r="X14" i="11"/>
  <c r="Z14" i="11"/>
  <c r="AB14" i="11"/>
  <c r="O14" i="11"/>
  <c r="AN14" i="11"/>
  <c r="AM14" i="11"/>
  <c r="S14" i="11"/>
  <c r="B14" i="11"/>
  <c r="AK14" i="11"/>
  <c r="AR10" i="3"/>
  <c r="N10" i="3"/>
  <c r="AG10" i="3"/>
  <c r="BA10" i="3"/>
  <c r="AD10" i="3"/>
  <c r="J10" i="3"/>
  <c r="P10" i="3"/>
  <c r="L10" i="3"/>
  <c r="AT10" i="3"/>
  <c r="BE10" i="3"/>
  <c r="AU10" i="3"/>
  <c r="AH10" i="3"/>
  <c r="AK10" i="3"/>
  <c r="S10" i="3"/>
  <c r="D10" i="3"/>
  <c r="BC10" i="3"/>
  <c r="K10" i="3"/>
  <c r="R10" i="3"/>
  <c r="E10" i="3"/>
  <c r="U10" i="3"/>
  <c r="Y10" i="3"/>
  <c r="AZ10" i="3"/>
  <c r="AS10" i="3"/>
  <c r="AX10" i="3"/>
  <c r="W10" i="3"/>
  <c r="AM10" i="3"/>
  <c r="M10" i="3"/>
  <c r="AF10" i="3"/>
  <c r="H10" i="3"/>
  <c r="AE10" i="3"/>
  <c r="AA10" i="3"/>
  <c r="BF10" i="3"/>
  <c r="Q10" i="3"/>
  <c r="AY10" i="3"/>
  <c r="AO10" i="3"/>
  <c r="AJ10" i="3"/>
  <c r="AP10" i="3"/>
  <c r="Z10" i="3"/>
  <c r="V10" i="3"/>
  <c r="C10" i="3"/>
  <c r="T10" i="3"/>
  <c r="BB10" i="3"/>
  <c r="O10" i="3"/>
  <c r="AI10" i="3"/>
  <c r="AQ10" i="3"/>
  <c r="AC10" i="3"/>
  <c r="AN10" i="3"/>
  <c r="AB10" i="3"/>
  <c r="BD10" i="3"/>
  <c r="AL10" i="3"/>
  <c r="AW10" i="3"/>
  <c r="X10" i="3"/>
  <c r="B10" i="3"/>
  <c r="AV10" i="3"/>
  <c r="AR19" i="10"/>
  <c r="AF19" i="10"/>
  <c r="BD19" i="10"/>
  <c r="AN19" i="10"/>
  <c r="AX19" i="10"/>
  <c r="AB19" i="10"/>
  <c r="M19" i="10"/>
  <c r="AJ19" i="10"/>
  <c r="AE19" i="10"/>
  <c r="BE19" i="10"/>
  <c r="X19" i="10"/>
  <c r="D19" i="10"/>
  <c r="AY19" i="10"/>
  <c r="AL19" i="10"/>
  <c r="AC19" i="10"/>
  <c r="AQ19" i="10"/>
  <c r="K19" i="10"/>
  <c r="AT19" i="10"/>
  <c r="V19" i="10"/>
  <c r="AM19" i="10"/>
  <c r="H19" i="10"/>
  <c r="AU19" i="10"/>
  <c r="J19" i="10"/>
  <c r="AO19" i="10"/>
  <c r="Z19" i="10"/>
  <c r="AI19" i="10"/>
  <c r="BF19" i="10"/>
  <c r="AH19" i="10"/>
  <c r="BC19" i="10"/>
  <c r="AG19" i="10"/>
  <c r="O19" i="10"/>
  <c r="BA19" i="10"/>
  <c r="AZ19" i="10"/>
  <c r="AD19" i="10"/>
  <c r="BB19" i="10"/>
  <c r="AK19" i="10"/>
  <c r="AV19" i="10"/>
  <c r="N19" i="10"/>
  <c r="AA19" i="10"/>
  <c r="Q19" i="10"/>
  <c r="AS19" i="10"/>
  <c r="R19" i="10"/>
  <c r="U19" i="10"/>
  <c r="W19" i="10"/>
  <c r="T19" i="10"/>
  <c r="L19" i="10"/>
  <c r="S19" i="10"/>
  <c r="AP19" i="10"/>
  <c r="AW19" i="10"/>
  <c r="Y19" i="10"/>
  <c r="P19" i="10"/>
  <c r="C19" i="10"/>
  <c r="B19" i="10"/>
  <c r="E19" i="10"/>
  <c r="Q56" i="5"/>
  <c r="U56" i="5"/>
  <c r="E56" i="5"/>
  <c r="R56" i="5"/>
  <c r="AM56" i="5"/>
  <c r="AB56" i="5"/>
  <c r="BB56" i="5"/>
  <c r="W56" i="5"/>
  <c r="AP56" i="5"/>
  <c r="O56" i="5"/>
  <c r="AA56" i="5"/>
  <c r="AD56" i="5"/>
  <c r="BF56" i="5"/>
  <c r="AW56" i="5"/>
  <c r="AN56" i="5"/>
  <c r="AC56" i="5"/>
  <c r="AY56" i="5"/>
  <c r="N56" i="5"/>
  <c r="AF56" i="5"/>
  <c r="Y56" i="5"/>
  <c r="AH56" i="5"/>
  <c r="H56" i="5"/>
  <c r="AZ56" i="5"/>
  <c r="C56" i="5"/>
  <c r="AR56" i="5"/>
  <c r="K56" i="5"/>
  <c r="V56" i="5"/>
  <c r="AE56" i="5"/>
  <c r="J56" i="5"/>
  <c r="M56" i="5"/>
  <c r="AJ56" i="5"/>
  <c r="AT56" i="5"/>
  <c r="BA56" i="5"/>
  <c r="P56" i="5"/>
  <c r="BD56" i="5"/>
  <c r="L56" i="5"/>
  <c r="BE56" i="5"/>
  <c r="AU56" i="5"/>
  <c r="AS56" i="5"/>
  <c r="S56" i="5"/>
  <c r="AI56" i="5"/>
  <c r="BC56" i="5"/>
  <c r="AG56" i="5"/>
  <c r="T56" i="5"/>
  <c r="AK56" i="5"/>
  <c r="AV56" i="5"/>
  <c r="AX56" i="5"/>
  <c r="X56" i="5"/>
  <c r="AO56" i="5"/>
  <c r="Z56" i="5"/>
  <c r="AQ56" i="5"/>
  <c r="AL56" i="5"/>
  <c r="B56" i="5"/>
  <c r="D56" i="5"/>
  <c r="AK47" i="7"/>
  <c r="AG47" i="7"/>
  <c r="BF47" i="7"/>
  <c r="M47" i="7"/>
  <c r="R47" i="7"/>
  <c r="AJ47" i="7"/>
  <c r="AY47" i="7"/>
  <c r="AD47" i="7"/>
  <c r="Y47" i="7"/>
  <c r="AT47" i="7"/>
  <c r="T47" i="7"/>
  <c r="AL47" i="7"/>
  <c r="AO47" i="7"/>
  <c r="AM47" i="7"/>
  <c r="V47" i="7"/>
  <c r="N47" i="7"/>
  <c r="S47" i="7"/>
  <c r="BB47" i="7"/>
  <c r="AF47" i="7"/>
  <c r="O47" i="7"/>
  <c r="AN47" i="7"/>
  <c r="U47" i="7"/>
  <c r="AP47" i="7"/>
  <c r="AU47" i="7"/>
  <c r="D47" i="7"/>
  <c r="AB47" i="7"/>
  <c r="W47" i="7"/>
  <c r="X47" i="7"/>
  <c r="K47" i="7"/>
  <c r="BC47" i="7"/>
  <c r="E47" i="7"/>
  <c r="L47" i="7"/>
  <c r="H47" i="7"/>
  <c r="AI47" i="7"/>
  <c r="BE47" i="7"/>
  <c r="AA47" i="7"/>
  <c r="P47" i="7"/>
  <c r="AV47" i="7"/>
  <c r="Q47" i="7"/>
  <c r="AR47" i="7"/>
  <c r="BA47" i="7"/>
  <c r="AC47" i="7"/>
  <c r="AE47" i="7"/>
  <c r="BD47" i="7"/>
  <c r="J47" i="7"/>
  <c r="C47" i="7"/>
  <c r="AW47" i="7"/>
  <c r="AQ47" i="7"/>
  <c r="AZ47" i="7"/>
  <c r="Z47" i="7"/>
  <c r="AX47" i="7"/>
  <c r="AH47" i="7"/>
  <c r="B47" i="7"/>
  <c r="AS47" i="7"/>
  <c r="Y35" i="5"/>
  <c r="BD35" i="5"/>
  <c r="AZ35" i="5"/>
  <c r="N35" i="5"/>
  <c r="O35" i="5"/>
  <c r="AC35" i="5"/>
  <c r="R35" i="5"/>
  <c r="AL35" i="5"/>
  <c r="Z35" i="5"/>
  <c r="AR35" i="5"/>
  <c r="AW35" i="5"/>
  <c r="AX35" i="5"/>
  <c r="J35" i="5"/>
  <c r="AT35" i="5"/>
  <c r="AI35" i="5"/>
  <c r="BA35" i="5"/>
  <c r="AB35" i="5"/>
  <c r="H35" i="5"/>
  <c r="K35" i="5"/>
  <c r="AM35" i="5"/>
  <c r="AG35" i="5"/>
  <c r="AV35" i="5"/>
  <c r="BF35" i="5"/>
  <c r="Q35" i="5"/>
  <c r="C35" i="5"/>
  <c r="BC35" i="5"/>
  <c r="AH35" i="5"/>
  <c r="U35" i="5"/>
  <c r="E35" i="5"/>
  <c r="W35" i="5"/>
  <c r="AA35" i="5"/>
  <c r="BB35" i="5"/>
  <c r="X35" i="5"/>
  <c r="D35" i="5"/>
  <c r="AU35" i="5"/>
  <c r="P35" i="5"/>
  <c r="AD35" i="5"/>
  <c r="AP35" i="5"/>
  <c r="AN35" i="5"/>
  <c r="AS35" i="5"/>
  <c r="AK35" i="5"/>
  <c r="T35" i="5"/>
  <c r="V35" i="5"/>
  <c r="M35" i="5"/>
  <c r="AQ35" i="5"/>
  <c r="L35" i="5"/>
  <c r="AY35" i="5"/>
  <c r="AF35" i="5"/>
  <c r="AO35" i="5"/>
  <c r="BE35" i="5"/>
  <c r="S35" i="5"/>
  <c r="AE35" i="5"/>
  <c r="B35" i="5"/>
  <c r="AJ35" i="5"/>
  <c r="AD5" i="8"/>
  <c r="M5" i="8"/>
  <c r="AN5" i="8"/>
  <c r="BF5" i="8"/>
  <c r="D5" i="8"/>
  <c r="R5" i="8"/>
  <c r="AL5" i="8"/>
  <c r="O5" i="8"/>
  <c r="AU5" i="8"/>
  <c r="AR5" i="8"/>
  <c r="AK5" i="8"/>
  <c r="P5" i="8"/>
  <c r="AV5" i="8"/>
  <c r="AG5" i="8"/>
  <c r="W5" i="8"/>
  <c r="AO5" i="8"/>
  <c r="Z5" i="8"/>
  <c r="E5" i="8"/>
  <c r="L5" i="8"/>
  <c r="Y5" i="8"/>
  <c r="AJ5" i="8"/>
  <c r="AC5" i="8"/>
  <c r="AS5" i="8"/>
  <c r="K5" i="8"/>
  <c r="BD5" i="8"/>
  <c r="Q5" i="8"/>
  <c r="H5" i="8"/>
  <c r="AH5" i="8"/>
  <c r="AQ5" i="8"/>
  <c r="AM5" i="8"/>
  <c r="AB5" i="8"/>
  <c r="AW5" i="8"/>
  <c r="AY5" i="8"/>
  <c r="AE5" i="8"/>
  <c r="AI5" i="8"/>
  <c r="N5" i="8"/>
  <c r="J5" i="8"/>
  <c r="X5" i="8"/>
  <c r="T5" i="8"/>
  <c r="S5" i="8"/>
  <c r="BA5" i="8"/>
  <c r="AP5" i="8"/>
  <c r="BE5" i="8"/>
  <c r="AA5" i="8"/>
  <c r="C5" i="8"/>
  <c r="AF5" i="8"/>
  <c r="BB5" i="8"/>
  <c r="BC5" i="8"/>
  <c r="AZ5" i="8"/>
  <c r="AT5" i="8"/>
  <c r="U5" i="8"/>
  <c r="AX5" i="8"/>
  <c r="B5" i="8"/>
  <c r="V5" i="8"/>
  <c r="BC9" i="2"/>
  <c r="R9" i="2"/>
  <c r="S9" i="2"/>
  <c r="Z9" i="2"/>
  <c r="AJ9" i="2"/>
  <c r="AA9" i="2"/>
  <c r="U9" i="2"/>
  <c r="K9" i="2"/>
  <c r="M9" i="2"/>
  <c r="AE9" i="2"/>
  <c r="D9" i="2"/>
  <c r="AQ9" i="2"/>
  <c r="AP9" i="2"/>
  <c r="AG9" i="2"/>
  <c r="X9" i="2"/>
  <c r="L9" i="2"/>
  <c r="AS9" i="2"/>
  <c r="AW9" i="2"/>
  <c r="AN9" i="2"/>
  <c r="AT9" i="2"/>
  <c r="T9" i="2"/>
  <c r="AH9" i="2"/>
  <c r="C9" i="2"/>
  <c r="N9" i="2"/>
  <c r="V9" i="2"/>
  <c r="Q9" i="2"/>
  <c r="AZ9" i="2"/>
  <c r="BE9" i="2"/>
  <c r="AR9" i="2"/>
  <c r="AY9" i="2"/>
  <c r="BB9" i="2"/>
  <c r="E9" i="2"/>
  <c r="BD9" i="2"/>
  <c r="BA9" i="2"/>
  <c r="AM9" i="2"/>
  <c r="AV9" i="2"/>
  <c r="H9" i="2"/>
  <c r="BF9" i="2"/>
  <c r="J9" i="2"/>
  <c r="P9" i="2"/>
  <c r="AL9" i="2"/>
  <c r="AX9" i="2"/>
  <c r="AO9" i="2"/>
  <c r="AB9" i="2"/>
  <c r="AC9" i="2"/>
  <c r="AU9" i="2"/>
  <c r="AK9" i="2"/>
  <c r="W9" i="2"/>
  <c r="Y9" i="2"/>
  <c r="O9" i="2"/>
  <c r="AI9" i="2"/>
  <c r="AF9" i="2"/>
  <c r="B9" i="2"/>
  <c r="AD9" i="2"/>
  <c r="M29" i="7"/>
  <c r="AP29" i="7"/>
  <c r="L29" i="7"/>
  <c r="AB29" i="7"/>
  <c r="P29" i="7"/>
  <c r="AR29" i="7"/>
  <c r="AQ29" i="7"/>
  <c r="BC29" i="7"/>
  <c r="AO29" i="7"/>
  <c r="U29" i="7"/>
  <c r="AU29" i="7"/>
  <c r="AZ29" i="7"/>
  <c r="Q29" i="7"/>
  <c r="AY29" i="7"/>
  <c r="AX29" i="7"/>
  <c r="BB29" i="7"/>
  <c r="O29" i="7"/>
  <c r="N29" i="7"/>
  <c r="BE29" i="7"/>
  <c r="AK29" i="7"/>
  <c r="AC29" i="7"/>
  <c r="AT29" i="7"/>
  <c r="AH29" i="7"/>
  <c r="X29" i="7"/>
  <c r="AW29" i="7"/>
  <c r="AD29" i="7"/>
  <c r="Z29" i="7"/>
  <c r="BD29" i="7"/>
  <c r="BA29" i="7"/>
  <c r="AJ29" i="7"/>
  <c r="V29" i="7"/>
  <c r="AF29" i="7"/>
  <c r="D29" i="7"/>
  <c r="AS29" i="7"/>
  <c r="Y29" i="7"/>
  <c r="W29" i="7"/>
  <c r="AV29" i="7"/>
  <c r="C29" i="7"/>
  <c r="J29" i="7"/>
  <c r="BF29" i="7"/>
  <c r="S29" i="7"/>
  <c r="R29" i="7"/>
  <c r="AA29" i="7"/>
  <c r="AE29" i="7"/>
  <c r="AL29" i="7"/>
  <c r="T29" i="7"/>
  <c r="AG29" i="7"/>
  <c r="K29" i="7"/>
  <c r="E29" i="7"/>
  <c r="AM29" i="7"/>
  <c r="AN29" i="7"/>
  <c r="AI29" i="7"/>
  <c r="B29" i="7"/>
  <c r="H29" i="7"/>
  <c r="R32" i="7"/>
  <c r="BE32" i="7"/>
  <c r="AS32" i="7"/>
  <c r="Y32" i="7"/>
  <c r="AU32" i="7"/>
  <c r="BF32" i="7"/>
  <c r="BD32" i="7"/>
  <c r="Z32" i="7"/>
  <c r="AT32" i="7"/>
  <c r="V32" i="7"/>
  <c r="BA32" i="7"/>
  <c r="W32" i="7"/>
  <c r="AE32" i="7"/>
  <c r="AN32" i="7"/>
  <c r="BB32" i="7"/>
  <c r="AL32" i="7"/>
  <c r="T32" i="7"/>
  <c r="AF32" i="7"/>
  <c r="S32" i="7"/>
  <c r="AC32" i="7"/>
  <c r="M32" i="7"/>
  <c r="AP32" i="7"/>
  <c r="X32" i="7"/>
  <c r="BC32" i="7"/>
  <c r="AM32" i="7"/>
  <c r="AV32" i="7"/>
  <c r="H32" i="7"/>
  <c r="AQ32" i="7"/>
  <c r="AH32" i="7"/>
  <c r="AG32" i="7"/>
  <c r="AB32" i="7"/>
  <c r="K32" i="7"/>
  <c r="AW32" i="7"/>
  <c r="AY32" i="7"/>
  <c r="N32" i="7"/>
  <c r="D32" i="7"/>
  <c r="Q32" i="7"/>
  <c r="C32" i="7"/>
  <c r="J32" i="7"/>
  <c r="AI32" i="7"/>
  <c r="AD32" i="7"/>
  <c r="AJ32" i="7"/>
  <c r="AZ32" i="7"/>
  <c r="AO32" i="7"/>
  <c r="E32" i="7"/>
  <c r="AA32" i="7"/>
  <c r="L32" i="7"/>
  <c r="AK32" i="7"/>
  <c r="AR32" i="7"/>
  <c r="AX32" i="7"/>
  <c r="P32" i="7"/>
  <c r="U32" i="7"/>
  <c r="B32" i="7"/>
  <c r="O32" i="7"/>
  <c r="AD12" i="8"/>
  <c r="BF12" i="8"/>
  <c r="AJ12" i="8"/>
  <c r="J12" i="8"/>
  <c r="AI12" i="8"/>
  <c r="AM12" i="8"/>
  <c r="M12" i="8"/>
  <c r="X12" i="8"/>
  <c r="AB12" i="8"/>
  <c r="L12" i="8"/>
  <c r="AW12" i="8"/>
  <c r="P12" i="8"/>
  <c r="K12" i="8"/>
  <c r="Y12" i="8"/>
  <c r="AR12" i="8"/>
  <c r="AU12" i="8"/>
  <c r="Q12" i="8"/>
  <c r="V12" i="8"/>
  <c r="R12" i="8"/>
  <c r="AO12" i="8"/>
  <c r="AF12" i="8"/>
  <c r="T12" i="8"/>
  <c r="N12" i="8"/>
  <c r="AA12" i="8"/>
  <c r="U12" i="8"/>
  <c r="AK12" i="8"/>
  <c r="W12" i="8"/>
  <c r="AX12" i="8"/>
  <c r="O12" i="8"/>
  <c r="AQ12" i="8"/>
  <c r="AC12" i="8"/>
  <c r="C12" i="8"/>
  <c r="Z12" i="8"/>
  <c r="D12" i="8"/>
  <c r="AH12" i="8"/>
  <c r="AP12" i="8"/>
  <c r="AN12" i="8"/>
  <c r="BE12" i="8"/>
  <c r="S12" i="8"/>
  <c r="BA12" i="8"/>
  <c r="AG12" i="8"/>
  <c r="AL12" i="8"/>
  <c r="BC12" i="8"/>
  <c r="AY12" i="8"/>
  <c r="AZ12" i="8"/>
  <c r="AS12" i="8"/>
  <c r="AT12" i="8"/>
  <c r="E12" i="8"/>
  <c r="BD12" i="8"/>
  <c r="BB12" i="8"/>
  <c r="AE12" i="8"/>
  <c r="AV12" i="8"/>
  <c r="B12" i="8"/>
  <c r="H12" i="8"/>
  <c r="BB17" i="4"/>
  <c r="AI17" i="4"/>
  <c r="R17" i="4"/>
  <c r="AR17" i="4"/>
  <c r="O17" i="4"/>
  <c r="T17" i="4"/>
  <c r="AV17" i="4"/>
  <c r="AC17" i="4"/>
  <c r="C17" i="4"/>
  <c r="M17" i="4"/>
  <c r="H17" i="4"/>
  <c r="AS17" i="4"/>
  <c r="E17" i="4"/>
  <c r="AB17" i="4"/>
  <c r="AX17" i="4"/>
  <c r="AD17" i="4"/>
  <c r="AW17" i="4"/>
  <c r="AQ17" i="4"/>
  <c r="AM17" i="4"/>
  <c r="AH17" i="4"/>
  <c r="K17" i="4"/>
  <c r="AF17" i="4"/>
  <c r="J17" i="4"/>
  <c r="AK17" i="4"/>
  <c r="AL17" i="4"/>
  <c r="AA17" i="4"/>
  <c r="AT17" i="4"/>
  <c r="AY17" i="4"/>
  <c r="P17" i="4"/>
  <c r="AP17" i="4"/>
  <c r="BF17" i="4"/>
  <c r="AJ17" i="4"/>
  <c r="V17" i="4"/>
  <c r="AN17" i="4"/>
  <c r="AZ17" i="4"/>
  <c r="D17" i="4"/>
  <c r="L17" i="4"/>
  <c r="X17" i="4"/>
  <c r="W17" i="4"/>
  <c r="N17" i="4"/>
  <c r="AG17" i="4"/>
  <c r="S17" i="4"/>
  <c r="BC17" i="4"/>
  <c r="BD17" i="4"/>
  <c r="Q17" i="4"/>
  <c r="Z17" i="4"/>
  <c r="BE17" i="4"/>
  <c r="BA17" i="4"/>
  <c r="AO17" i="4"/>
  <c r="AU17" i="4"/>
  <c r="U17" i="4"/>
  <c r="AE17" i="4"/>
  <c r="B17" i="4"/>
  <c r="Y17" i="4"/>
  <c r="AC13" i="5"/>
  <c r="Q13" i="5"/>
  <c r="T13" i="5"/>
  <c r="P13" i="5"/>
  <c r="K13" i="5"/>
  <c r="Y13" i="5"/>
  <c r="AQ13" i="5"/>
  <c r="BD13" i="5"/>
  <c r="AH13" i="5"/>
  <c r="AU13" i="5"/>
  <c r="AV13" i="5"/>
  <c r="AI13" i="5"/>
  <c r="AS13" i="5"/>
  <c r="BA13" i="5"/>
  <c r="O13" i="5"/>
  <c r="U13" i="5"/>
  <c r="BC13" i="5"/>
  <c r="AE13" i="5"/>
  <c r="V13" i="5"/>
  <c r="AZ13" i="5"/>
  <c r="AK13" i="5"/>
  <c r="X13" i="5"/>
  <c r="AT13" i="5"/>
  <c r="BE13" i="5"/>
  <c r="AB13" i="5"/>
  <c r="AX13" i="5"/>
  <c r="AM13" i="5"/>
  <c r="AA13" i="5"/>
  <c r="D13" i="5"/>
  <c r="AD13" i="5"/>
  <c r="C13" i="5"/>
  <c r="H13" i="5"/>
  <c r="AG13" i="5"/>
  <c r="AY13" i="5"/>
  <c r="AP13" i="5"/>
  <c r="AL13" i="5"/>
  <c r="J13" i="5"/>
  <c r="N13" i="5"/>
  <c r="BB13" i="5"/>
  <c r="M13" i="5"/>
  <c r="AF13" i="5"/>
  <c r="AR13" i="5"/>
  <c r="E13" i="5"/>
  <c r="R13" i="5"/>
  <c r="L13" i="5"/>
  <c r="BF13" i="5"/>
  <c r="AN13" i="5"/>
  <c r="AJ13" i="5"/>
  <c r="AW13" i="5"/>
  <c r="W13" i="5"/>
  <c r="Z13" i="5"/>
  <c r="AO13" i="5"/>
  <c r="B13" i="5"/>
  <c r="S13" i="5"/>
  <c r="AT28" i="5"/>
  <c r="T28" i="5"/>
  <c r="AY28" i="5"/>
  <c r="AN28" i="5"/>
  <c r="Z28" i="5"/>
  <c r="BF28" i="5"/>
  <c r="AH28" i="5"/>
  <c r="K28" i="5"/>
  <c r="AS28" i="5"/>
  <c r="AA28" i="5"/>
  <c r="AK28" i="5"/>
  <c r="D28" i="5"/>
  <c r="AJ28" i="5"/>
  <c r="AC28" i="5"/>
  <c r="BC28" i="5"/>
  <c r="BA28" i="5"/>
  <c r="S28" i="5"/>
  <c r="E28" i="5"/>
  <c r="AU28" i="5"/>
  <c r="AF28" i="5"/>
  <c r="C28" i="5"/>
  <c r="U28" i="5"/>
  <c r="AZ28" i="5"/>
  <c r="AD28" i="5"/>
  <c r="P28" i="5"/>
  <c r="H28" i="5"/>
  <c r="L28" i="5"/>
  <c r="AQ28" i="5"/>
  <c r="AX28" i="5"/>
  <c r="AV28" i="5"/>
  <c r="BD28" i="5"/>
  <c r="O28" i="5"/>
  <c r="W28" i="5"/>
  <c r="BB28" i="5"/>
  <c r="AO28" i="5"/>
  <c r="BE28" i="5"/>
  <c r="Q28" i="5"/>
  <c r="AB28" i="5"/>
  <c r="AL28" i="5"/>
  <c r="N28" i="5"/>
  <c r="AM28" i="5"/>
  <c r="V28" i="5"/>
  <c r="AP28" i="5"/>
  <c r="R28" i="5"/>
  <c r="AW28" i="5"/>
  <c r="Y28" i="5"/>
  <c r="M28" i="5"/>
  <c r="AG28" i="5"/>
  <c r="AI28" i="5"/>
  <c r="X28" i="5"/>
  <c r="AE28" i="5"/>
  <c r="J28" i="5"/>
  <c r="AR28" i="5"/>
  <c r="E26" i="3"/>
  <c r="AW26" i="3"/>
  <c r="AB26" i="3"/>
  <c r="AV26" i="3"/>
  <c r="AR26" i="3"/>
  <c r="AG26" i="3"/>
  <c r="Y26" i="3"/>
  <c r="AS26" i="3"/>
  <c r="AJ26" i="3"/>
  <c r="AT26" i="3"/>
  <c r="AA26" i="3"/>
  <c r="AI26" i="3"/>
  <c r="AD26" i="3"/>
  <c r="Z26" i="3"/>
  <c r="BF26" i="3"/>
  <c r="AP26" i="3"/>
  <c r="AX26" i="3"/>
  <c r="AO26" i="3"/>
  <c r="L26" i="3"/>
  <c r="AN26" i="3"/>
  <c r="V26" i="3"/>
  <c r="M26" i="3"/>
  <c r="AQ26" i="3"/>
  <c r="C26" i="3"/>
  <c r="S26" i="3"/>
  <c r="BA26" i="3"/>
  <c r="X26" i="3"/>
  <c r="H26" i="3"/>
  <c r="BD26" i="3"/>
  <c r="BB26" i="3"/>
  <c r="T26" i="3"/>
  <c r="Q26" i="3"/>
  <c r="AK26" i="3"/>
  <c r="AZ26" i="3"/>
  <c r="W26" i="3"/>
  <c r="AU26" i="3"/>
  <c r="AF26" i="3"/>
  <c r="AE26" i="3"/>
  <c r="U26" i="3"/>
  <c r="BC26" i="3"/>
  <c r="AY26" i="3"/>
  <c r="P26" i="3"/>
  <c r="R26" i="3"/>
  <c r="AM26" i="3"/>
  <c r="O26" i="3"/>
  <c r="K26" i="3"/>
  <c r="AH26" i="3"/>
  <c r="AC26" i="3"/>
  <c r="BE26" i="3"/>
  <c r="J26" i="3"/>
  <c r="N26" i="3"/>
  <c r="AL26" i="3"/>
  <c r="B26" i="3"/>
  <c r="D26" i="3"/>
  <c r="AU48" i="4"/>
  <c r="Q48" i="4"/>
  <c r="AC48" i="4"/>
  <c r="S48" i="4"/>
  <c r="AM48" i="4"/>
  <c r="Z48" i="4"/>
  <c r="H48" i="4"/>
  <c r="AX48" i="4"/>
  <c r="AP48" i="4"/>
  <c r="U48" i="4"/>
  <c r="Y48" i="4"/>
  <c r="AV48" i="4"/>
  <c r="M48" i="4"/>
  <c r="BF48" i="4"/>
  <c r="AF48" i="4"/>
  <c r="R48" i="4"/>
  <c r="AA48" i="4"/>
  <c r="AD48" i="4"/>
  <c r="X48" i="4"/>
  <c r="AS48" i="4"/>
  <c r="C48" i="4"/>
  <c r="AQ48" i="4"/>
  <c r="AW48" i="4"/>
  <c r="AI48" i="4"/>
  <c r="AG48" i="4"/>
  <c r="BB48" i="4"/>
  <c r="L48" i="4"/>
  <c r="AH48" i="4"/>
  <c r="K48" i="4"/>
  <c r="BC48" i="4"/>
  <c r="V48" i="4"/>
  <c r="AL48" i="4"/>
  <c r="E48" i="4"/>
  <c r="P48" i="4"/>
  <c r="AK48" i="4"/>
  <c r="BA48" i="4"/>
  <c r="AB48" i="4"/>
  <c r="N48" i="4"/>
  <c r="BD48" i="4"/>
  <c r="AJ48" i="4"/>
  <c r="AZ48" i="4"/>
  <c r="AT48" i="4"/>
  <c r="W48" i="4"/>
  <c r="BE48" i="4"/>
  <c r="D48" i="4"/>
  <c r="O48" i="4"/>
  <c r="AY48" i="4"/>
  <c r="J48" i="4"/>
  <c r="AR48" i="4"/>
  <c r="T48" i="4"/>
  <c r="AE48" i="4"/>
  <c r="AN48" i="4"/>
  <c r="B48" i="4"/>
  <c r="AO48" i="4"/>
  <c r="L38" i="3"/>
  <c r="BE38" i="3"/>
  <c r="AZ38" i="3"/>
  <c r="C38" i="3"/>
  <c r="R38" i="3"/>
  <c r="AD38" i="3"/>
  <c r="AY38" i="3"/>
  <c r="AW38" i="3"/>
  <c r="T38" i="3"/>
  <c r="H38" i="3"/>
  <c r="AV38" i="3"/>
  <c r="AP38" i="3"/>
  <c r="K38" i="3"/>
  <c r="AQ38" i="3"/>
  <c r="BB38" i="3"/>
  <c r="BC38" i="3"/>
  <c r="BA38" i="3"/>
  <c r="U38" i="3"/>
  <c r="M38" i="3"/>
  <c r="BF38" i="3"/>
  <c r="X38" i="3"/>
  <c r="AR38" i="3"/>
  <c r="AM38" i="3"/>
  <c r="AT38" i="3"/>
  <c r="Q38" i="3"/>
  <c r="AH38" i="3"/>
  <c r="AS38" i="3"/>
  <c r="Z38" i="3"/>
  <c r="O38" i="3"/>
  <c r="BD38" i="3"/>
  <c r="AL38" i="3"/>
  <c r="AX38" i="3"/>
  <c r="J38" i="3"/>
  <c r="AG38" i="3"/>
  <c r="V38" i="3"/>
  <c r="W38" i="3"/>
  <c r="AB38" i="3"/>
  <c r="AI38" i="3"/>
  <c r="AO38" i="3"/>
  <c r="AA38" i="3"/>
  <c r="AN38" i="3"/>
  <c r="D38" i="3"/>
  <c r="AE38" i="3"/>
  <c r="S38" i="3"/>
  <c r="AU38" i="3"/>
  <c r="E38" i="3"/>
  <c r="Y38" i="3"/>
  <c r="P38" i="3"/>
  <c r="AC38" i="3"/>
  <c r="AK38" i="3"/>
  <c r="N38" i="3"/>
  <c r="AJ38" i="3"/>
  <c r="B38" i="3"/>
  <c r="AF38" i="3"/>
  <c r="S35" i="6"/>
  <c r="AG35" i="6"/>
  <c r="AQ35" i="6"/>
  <c r="Y35" i="6"/>
  <c r="AR35" i="6"/>
  <c r="AT35" i="6"/>
  <c r="H35" i="6"/>
  <c r="AD35" i="6"/>
  <c r="AJ35" i="6"/>
  <c r="AU35" i="6"/>
  <c r="AI35" i="6"/>
  <c r="AP35" i="6"/>
  <c r="AW35" i="6"/>
  <c r="L35" i="6"/>
  <c r="AK35" i="6"/>
  <c r="V35" i="6"/>
  <c r="BF35" i="6"/>
  <c r="AM35" i="6"/>
  <c r="AC35" i="6"/>
  <c r="O35" i="6"/>
  <c r="P35" i="6"/>
  <c r="M35" i="6"/>
  <c r="AX35" i="6"/>
  <c r="N35" i="6"/>
  <c r="BB35" i="6"/>
  <c r="AZ35" i="6"/>
  <c r="AE35" i="6"/>
  <c r="D35" i="6"/>
  <c r="R35" i="6"/>
  <c r="E35" i="6"/>
  <c r="Z35" i="6"/>
  <c r="BC35" i="6"/>
  <c r="AB35" i="6"/>
  <c r="C35" i="6"/>
  <c r="AY35" i="6"/>
  <c r="J35" i="6"/>
  <c r="AN35" i="6"/>
  <c r="W35" i="6"/>
  <c r="AH35" i="6"/>
  <c r="AS35" i="6"/>
  <c r="AL35" i="6"/>
  <c r="AV35" i="6"/>
  <c r="T35" i="6"/>
  <c r="Q35" i="6"/>
  <c r="BD35" i="6"/>
  <c r="AA35" i="6"/>
  <c r="K35" i="6"/>
  <c r="AO35" i="6"/>
  <c r="AF35" i="6"/>
  <c r="BE35" i="6"/>
  <c r="U35" i="6"/>
  <c r="BA35" i="6"/>
  <c r="B35" i="6"/>
  <c r="X35" i="6"/>
  <c r="V53" i="4"/>
  <c r="X53" i="4"/>
  <c r="AM53" i="4"/>
  <c r="U53" i="4"/>
  <c r="AA53" i="4"/>
  <c r="O53" i="4"/>
  <c r="AE53" i="4"/>
  <c r="D53" i="4"/>
  <c r="AL53" i="4"/>
  <c r="AS53" i="4"/>
  <c r="AT53" i="4"/>
  <c r="AJ53" i="4"/>
  <c r="BD53" i="4"/>
  <c r="AQ53" i="4"/>
  <c r="AZ53" i="4"/>
  <c r="C53" i="4"/>
  <c r="AG53" i="4"/>
  <c r="AO53" i="4"/>
  <c r="AF53" i="4"/>
  <c r="BF53" i="4"/>
  <c r="BE53" i="4"/>
  <c r="AN53" i="4"/>
  <c r="AD53" i="4"/>
  <c r="Y53" i="4"/>
  <c r="P53" i="4"/>
  <c r="AK53" i="4"/>
  <c r="K53" i="4"/>
  <c r="H53" i="4"/>
  <c r="AC53" i="4"/>
  <c r="N53" i="4"/>
  <c r="M53" i="4"/>
  <c r="AP53" i="4"/>
  <c r="Q53" i="4"/>
  <c r="AI53" i="4"/>
  <c r="AY53" i="4"/>
  <c r="BB53" i="4"/>
  <c r="AU53" i="4"/>
  <c r="E53" i="4"/>
  <c r="R53" i="4"/>
  <c r="Z53" i="4"/>
  <c r="AH53" i="4"/>
  <c r="BA53" i="4"/>
  <c r="J53" i="4"/>
  <c r="T53" i="4"/>
  <c r="L53" i="4"/>
  <c r="BC53" i="4"/>
  <c r="W53" i="4"/>
  <c r="AW53" i="4"/>
  <c r="S53" i="4"/>
  <c r="AB53" i="4"/>
  <c r="AV53" i="4"/>
  <c r="AR53" i="4"/>
  <c r="B53" i="4"/>
  <c r="AX53" i="4"/>
  <c r="B20" i="10"/>
  <c r="I20" i="10"/>
  <c r="G20" i="10"/>
  <c r="F20" i="10"/>
  <c r="U39" i="4"/>
  <c r="AC39" i="4"/>
  <c r="E39" i="4"/>
  <c r="BE39" i="4"/>
  <c r="AM39" i="4"/>
  <c r="AB39" i="4"/>
  <c r="AZ39" i="4"/>
  <c r="Y39" i="4"/>
  <c r="Q39" i="4"/>
  <c r="C39" i="4"/>
  <c r="H39" i="4"/>
  <c r="M39" i="4"/>
  <c r="V39" i="4"/>
  <c r="AQ39" i="4"/>
  <c r="W39" i="4"/>
  <c r="AX39" i="4"/>
  <c r="T39" i="4"/>
  <c r="BF39" i="4"/>
  <c r="K39" i="4"/>
  <c r="AV39" i="4"/>
  <c r="AY39" i="4"/>
  <c r="O39" i="4"/>
  <c r="Z39" i="4"/>
  <c r="AH39" i="4"/>
  <c r="BD39" i="4"/>
  <c r="AK39" i="4"/>
  <c r="AU39" i="4"/>
  <c r="AD39" i="4"/>
  <c r="AS39" i="4"/>
  <c r="BA39" i="4"/>
  <c r="AG39" i="4"/>
  <c r="AJ39" i="4"/>
  <c r="D39" i="4"/>
  <c r="AP39" i="4"/>
  <c r="BB39" i="4"/>
  <c r="BC39" i="4"/>
  <c r="AE39" i="4"/>
  <c r="AT39" i="4"/>
  <c r="AN39" i="4"/>
  <c r="AR39" i="4"/>
  <c r="X39" i="4"/>
  <c r="R39" i="4"/>
  <c r="AO39" i="4"/>
  <c r="AL39" i="4"/>
  <c r="S39" i="4"/>
  <c r="AF39" i="4"/>
  <c r="AA39" i="4"/>
  <c r="AW39" i="4"/>
  <c r="P39" i="4"/>
  <c r="N39" i="4"/>
  <c r="J39" i="4"/>
  <c r="L39" i="4"/>
  <c r="B39" i="4"/>
  <c r="AI39" i="4"/>
  <c r="I12" i="7"/>
  <c r="G12" i="7"/>
  <c r="F12" i="7"/>
  <c r="AF34" i="5"/>
  <c r="AB34" i="5"/>
  <c r="C34" i="5"/>
  <c r="O34" i="5"/>
  <c r="AJ34" i="5"/>
  <c r="AO34" i="5"/>
  <c r="AL34" i="5"/>
  <c r="AU34" i="5"/>
  <c r="AX34" i="5"/>
  <c r="D34" i="5"/>
  <c r="AT34" i="5"/>
  <c r="BF34" i="5"/>
  <c r="AW34" i="5"/>
  <c r="P34" i="5"/>
  <c r="AM34" i="5"/>
  <c r="AK34" i="5"/>
  <c r="AN34" i="5"/>
  <c r="AR34" i="5"/>
  <c r="AA34" i="5"/>
  <c r="H34" i="5"/>
  <c r="M34" i="5"/>
  <c r="BD34" i="5"/>
  <c r="AE34" i="5"/>
  <c r="Y34" i="5"/>
  <c r="AG34" i="5"/>
  <c r="J34" i="5"/>
  <c r="W34" i="5"/>
  <c r="AV34" i="5"/>
  <c r="AZ34" i="5"/>
  <c r="N34" i="5"/>
  <c r="BC34" i="5"/>
  <c r="S34" i="5"/>
  <c r="AC34" i="5"/>
  <c r="U34" i="5"/>
  <c r="AP34" i="5"/>
  <c r="K34" i="5"/>
  <c r="BE34" i="5"/>
  <c r="X34" i="5"/>
  <c r="E34" i="5"/>
  <c r="Q34" i="5"/>
  <c r="Z34" i="5"/>
  <c r="AH34" i="5"/>
  <c r="AQ34" i="5"/>
  <c r="L34" i="5"/>
  <c r="AS34" i="5"/>
  <c r="BB34" i="5"/>
  <c r="AI34" i="5"/>
  <c r="BA34" i="5"/>
  <c r="AD34" i="5"/>
  <c r="AY34" i="5"/>
  <c r="T34" i="5"/>
  <c r="R34" i="5"/>
  <c r="B34" i="5"/>
  <c r="V34" i="5"/>
  <c r="AP7" i="7"/>
  <c r="BE7" i="7"/>
  <c r="BA7" i="7"/>
  <c r="AG7" i="7"/>
  <c r="L7" i="7"/>
  <c r="P7" i="7"/>
  <c r="AF7" i="7"/>
  <c r="AB7" i="7"/>
  <c r="AR7" i="7"/>
  <c r="AU7" i="7"/>
  <c r="R7" i="7"/>
  <c r="V7" i="7"/>
  <c r="BF7" i="7"/>
  <c r="BD7" i="7"/>
  <c r="AH7" i="7"/>
  <c r="AE7" i="7"/>
  <c r="AS7" i="7"/>
  <c r="AT7" i="7"/>
  <c r="AO7" i="7"/>
  <c r="AV7" i="7"/>
  <c r="AI7" i="7"/>
  <c r="AC7" i="7"/>
  <c r="T7" i="7"/>
  <c r="AL7" i="7"/>
  <c r="AM7" i="7"/>
  <c r="AX7" i="7"/>
  <c r="M7" i="7"/>
  <c r="X7" i="7"/>
  <c r="AA7" i="7"/>
  <c r="AJ7" i="7"/>
  <c r="E7" i="7"/>
  <c r="AN7" i="7"/>
  <c r="Y7" i="7"/>
  <c r="BB7" i="7"/>
  <c r="AD7" i="7"/>
  <c r="S7" i="7"/>
  <c r="BC7" i="7"/>
  <c r="Q7" i="7"/>
  <c r="AZ7" i="7"/>
  <c r="C7" i="7"/>
  <c r="W7" i="7"/>
  <c r="Z7" i="7"/>
  <c r="AY7" i="7"/>
  <c r="N7" i="7"/>
  <c r="AW7" i="7"/>
  <c r="AK7" i="7"/>
  <c r="O7" i="7"/>
  <c r="U7" i="7"/>
  <c r="J7" i="7"/>
  <c r="D7" i="7"/>
  <c r="AQ7" i="7"/>
  <c r="H7" i="7"/>
  <c r="B7" i="7"/>
  <c r="K7" i="7"/>
  <c r="AA42" i="8"/>
  <c r="BC42" i="8"/>
  <c r="AR42" i="8"/>
  <c r="M42" i="8"/>
  <c r="AE42" i="8"/>
  <c r="BD42" i="8"/>
  <c r="AG42" i="8"/>
  <c r="BA42" i="8"/>
  <c r="AO42" i="8"/>
  <c r="AF42" i="8"/>
  <c r="L42" i="8"/>
  <c r="Y42" i="8"/>
  <c r="W42" i="8"/>
  <c r="AX42" i="8"/>
  <c r="Z42" i="8"/>
  <c r="AW42" i="8"/>
  <c r="BB42" i="8"/>
  <c r="AS42" i="8"/>
  <c r="AY42" i="8"/>
  <c r="Q42" i="8"/>
  <c r="E42" i="8"/>
  <c r="AD42" i="8"/>
  <c r="N42" i="8"/>
  <c r="AH42" i="8"/>
  <c r="BF42" i="8"/>
  <c r="AT42" i="8"/>
  <c r="X42" i="8"/>
  <c r="K42" i="8"/>
  <c r="AP42" i="8"/>
  <c r="AV42" i="8"/>
  <c r="AU42" i="8"/>
  <c r="P42" i="8"/>
  <c r="U42" i="8"/>
  <c r="C42" i="8"/>
  <c r="R42" i="8"/>
  <c r="AL42" i="8"/>
  <c r="J42" i="8"/>
  <c r="BE42" i="8"/>
  <c r="AN42" i="8"/>
  <c r="H42" i="8"/>
  <c r="AM42" i="8"/>
  <c r="AI42" i="8"/>
  <c r="D42" i="8"/>
  <c r="AB42" i="8"/>
  <c r="AK42" i="8"/>
  <c r="AC42" i="8"/>
  <c r="S42" i="8"/>
  <c r="AJ42" i="8"/>
  <c r="AQ42" i="8"/>
  <c r="AZ42" i="8"/>
  <c r="V42" i="8"/>
  <c r="T42" i="8"/>
  <c r="B42" i="8"/>
  <c r="O42" i="8"/>
  <c r="V45" i="7"/>
  <c r="Y45" i="7"/>
  <c r="AO45" i="7"/>
  <c r="BD45" i="7"/>
  <c r="Q45" i="7"/>
  <c r="U45" i="7"/>
  <c r="N45" i="7"/>
  <c r="AP45" i="7"/>
  <c r="M45" i="7"/>
  <c r="AI45" i="7"/>
  <c r="L45" i="7"/>
  <c r="R45" i="7"/>
  <c r="AY45" i="7"/>
  <c r="P45" i="7"/>
  <c r="AU45" i="7"/>
  <c r="AQ45" i="7"/>
  <c r="AV45" i="7"/>
  <c r="E45" i="7"/>
  <c r="BB45" i="7"/>
  <c r="AA45" i="7"/>
  <c r="AC45" i="7"/>
  <c r="AZ45" i="7"/>
  <c r="O45" i="7"/>
  <c r="T45" i="7"/>
  <c r="AH45" i="7"/>
  <c r="AN45" i="7"/>
  <c r="H45" i="7"/>
  <c r="AG45" i="7"/>
  <c r="W45" i="7"/>
  <c r="D45" i="7"/>
  <c r="BA45" i="7"/>
  <c r="AF45" i="7"/>
  <c r="C45" i="7"/>
  <c r="AE45" i="7"/>
  <c r="AK45" i="7"/>
  <c r="BE45" i="7"/>
  <c r="AW45" i="7"/>
  <c r="AS45" i="7"/>
  <c r="AM45" i="7"/>
  <c r="J45" i="7"/>
  <c r="AJ45" i="7"/>
  <c r="X45" i="7"/>
  <c r="BF45" i="7"/>
  <c r="S45" i="7"/>
  <c r="AR45" i="7"/>
  <c r="AB45" i="7"/>
  <c r="Z45" i="7"/>
  <c r="AT45" i="7"/>
  <c r="AL45" i="7"/>
  <c r="BC45" i="7"/>
  <c r="AD45" i="7"/>
  <c r="AX45" i="7"/>
  <c r="B45" i="7"/>
  <c r="K45" i="7"/>
  <c r="AW57" i="9"/>
  <c r="BA57" i="9"/>
  <c r="R57" i="9"/>
  <c r="AB57" i="9"/>
  <c r="AI57" i="9"/>
  <c r="AH57" i="9"/>
  <c r="AR57" i="9"/>
  <c r="H57" i="9"/>
  <c r="V57" i="9"/>
  <c r="AE57" i="9"/>
  <c r="W57" i="9"/>
  <c r="BB57" i="9"/>
  <c r="AY57" i="9"/>
  <c r="P57" i="9"/>
  <c r="AJ57" i="9"/>
  <c r="J57" i="9"/>
  <c r="AA57" i="9"/>
  <c r="X57" i="9"/>
  <c r="AC57" i="9"/>
  <c r="BD57" i="9"/>
  <c r="AK57" i="9"/>
  <c r="AQ57" i="9"/>
  <c r="S57" i="9"/>
  <c r="AP57" i="9"/>
  <c r="AG57" i="9"/>
  <c r="O57" i="9"/>
  <c r="Q57" i="9"/>
  <c r="N57" i="9"/>
  <c r="BE57" i="9"/>
  <c r="AM57" i="9"/>
  <c r="BF57" i="9"/>
  <c r="L57" i="9"/>
  <c r="Z57" i="9"/>
  <c r="U57" i="9"/>
  <c r="Y57" i="9"/>
  <c r="BC57" i="9"/>
  <c r="D57" i="9"/>
  <c r="AO57" i="9"/>
  <c r="AZ57" i="9"/>
  <c r="AN57" i="9"/>
  <c r="AT57" i="9"/>
  <c r="T57" i="9"/>
  <c r="AX57" i="9"/>
  <c r="AV57" i="9"/>
  <c r="AS57" i="9"/>
  <c r="C57" i="9"/>
  <c r="E57" i="9"/>
  <c r="K57" i="9"/>
  <c r="AF57" i="9"/>
  <c r="AD57" i="9"/>
  <c r="M57" i="9"/>
  <c r="AU57" i="9"/>
  <c r="B57" i="9"/>
  <c r="AL57" i="9"/>
  <c r="AE29" i="8"/>
  <c r="U29" i="8"/>
  <c r="AU29" i="8"/>
  <c r="AF29" i="8"/>
  <c r="AO29" i="8"/>
  <c r="N29" i="8"/>
  <c r="AS29" i="8"/>
  <c r="AC29" i="8"/>
  <c r="C29" i="8"/>
  <c r="T29" i="8"/>
  <c r="BB29" i="8"/>
  <c r="D29" i="8"/>
  <c r="AK29" i="8"/>
  <c r="AQ29" i="8"/>
  <c r="R29" i="8"/>
  <c r="BF29" i="8"/>
  <c r="BA29" i="8"/>
  <c r="AX29" i="8"/>
  <c r="AJ29" i="8"/>
  <c r="E29" i="8"/>
  <c r="AD29" i="8"/>
  <c r="L29" i="8"/>
  <c r="AA29" i="8"/>
  <c r="Z29" i="8"/>
  <c r="S29" i="8"/>
  <c r="J29" i="8"/>
  <c r="BD29" i="8"/>
  <c r="AG29" i="8"/>
  <c r="AY29" i="8"/>
  <c r="AV29" i="8"/>
  <c r="AL29" i="8"/>
  <c r="BE29" i="8"/>
  <c r="BC29" i="8"/>
  <c r="M29" i="8"/>
  <c r="AN29" i="8"/>
  <c r="AI29" i="8"/>
  <c r="H29" i="8"/>
  <c r="P29" i="8"/>
  <c r="V29" i="8"/>
  <c r="AM29" i="8"/>
  <c r="W29" i="8"/>
  <c r="AH29" i="8"/>
  <c r="Q29" i="8"/>
  <c r="O29" i="8"/>
  <c r="K29" i="8"/>
  <c r="AT29" i="8"/>
  <c r="AW29" i="8"/>
  <c r="AB29" i="8"/>
  <c r="X29" i="8"/>
  <c r="AR29" i="8"/>
  <c r="AZ29" i="8"/>
  <c r="Y29" i="8"/>
  <c r="B29" i="8"/>
  <c r="AP29" i="8"/>
  <c r="AJ9" i="6"/>
  <c r="AX9" i="6"/>
  <c r="K9" i="6"/>
  <c r="AW9" i="6"/>
  <c r="AO9" i="6"/>
  <c r="Z9" i="6"/>
  <c r="AV9" i="6"/>
  <c r="AF9" i="6"/>
  <c r="L9" i="6"/>
  <c r="BD9" i="6"/>
  <c r="AT9" i="6"/>
  <c r="AS9" i="6"/>
  <c r="U9" i="6"/>
  <c r="AB9" i="6"/>
  <c r="AZ9" i="6"/>
  <c r="E9" i="6"/>
  <c r="BF9" i="6"/>
  <c r="AK9" i="6"/>
  <c r="M9" i="6"/>
  <c r="AQ9" i="6"/>
  <c r="AA9" i="6"/>
  <c r="AE9" i="6"/>
  <c r="AU9" i="6"/>
  <c r="H9" i="6"/>
  <c r="AP9" i="6"/>
  <c r="S9" i="6"/>
  <c r="J9" i="6"/>
  <c r="AD9" i="6"/>
  <c r="D9" i="6"/>
  <c r="Q9" i="6"/>
  <c r="O9" i="6"/>
  <c r="AH9" i="6"/>
  <c r="X9" i="6"/>
  <c r="Y9" i="6"/>
  <c r="AN9" i="6"/>
  <c r="AR9" i="6"/>
  <c r="BA9" i="6"/>
  <c r="AG9" i="6"/>
  <c r="BE9" i="6"/>
  <c r="P9" i="6"/>
  <c r="R9" i="6"/>
  <c r="BC9" i="6"/>
  <c r="N9" i="6"/>
  <c r="AY9" i="6"/>
  <c r="V9" i="6"/>
  <c r="W9" i="6"/>
  <c r="AI9" i="6"/>
  <c r="AM9" i="6"/>
  <c r="AC9" i="6"/>
  <c r="AL9" i="6"/>
  <c r="T9" i="6"/>
  <c r="BB9" i="6"/>
  <c r="B9" i="6"/>
  <c r="C9" i="6"/>
  <c r="L34" i="4"/>
  <c r="AO34" i="4"/>
  <c r="J34" i="4"/>
  <c r="AH34" i="4"/>
  <c r="AN34" i="4"/>
  <c r="AZ34" i="4"/>
  <c r="V34" i="4"/>
  <c r="W34" i="4"/>
  <c r="AB34" i="4"/>
  <c r="AW34" i="4"/>
  <c r="Y34" i="4"/>
  <c r="AV34" i="4"/>
  <c r="BF34" i="4"/>
  <c r="AJ34" i="4"/>
  <c r="AP34" i="4"/>
  <c r="S34" i="4"/>
  <c r="D34" i="4"/>
  <c r="AT34" i="4"/>
  <c r="AS34" i="4"/>
  <c r="X34" i="4"/>
  <c r="U34" i="4"/>
  <c r="AR34" i="4"/>
  <c r="R34" i="4"/>
  <c r="AA34" i="4"/>
  <c r="T34" i="4"/>
  <c r="AG34" i="4"/>
  <c r="AX34" i="4"/>
  <c r="AC34" i="4"/>
  <c r="AF34" i="4"/>
  <c r="E34" i="4"/>
  <c r="AU34" i="4"/>
  <c r="BC34" i="4"/>
  <c r="AE34" i="4"/>
  <c r="P34" i="4"/>
  <c r="Z34" i="4"/>
  <c r="M34" i="4"/>
  <c r="AM34" i="4"/>
  <c r="C34" i="4"/>
  <c r="AL34" i="4"/>
  <c r="H34" i="4"/>
  <c r="AI34" i="4"/>
  <c r="BA34" i="4"/>
  <c r="N34" i="4"/>
  <c r="Q34" i="4"/>
  <c r="BE34" i="4"/>
  <c r="AD34" i="4"/>
  <c r="BD34" i="4"/>
  <c r="AY34" i="4"/>
  <c r="BB34" i="4"/>
  <c r="O34" i="4"/>
  <c r="AK34" i="4"/>
  <c r="K34" i="4"/>
  <c r="B34" i="4"/>
  <c r="AQ34" i="4"/>
  <c r="J33" i="1"/>
  <c r="AY33" i="1"/>
  <c r="AW33" i="1"/>
  <c r="BF33" i="1"/>
  <c r="Z33" i="1"/>
  <c r="AU33" i="1"/>
  <c r="AN33" i="1"/>
  <c r="AA33" i="1"/>
  <c r="BA33" i="1"/>
  <c r="AZ33" i="1"/>
  <c r="AH33" i="1"/>
  <c r="R33" i="1"/>
  <c r="Y33" i="1"/>
  <c r="AL33" i="1"/>
  <c r="X33" i="1"/>
  <c r="N33" i="1"/>
  <c r="AM33" i="1"/>
  <c r="C33" i="1"/>
  <c r="M33" i="1"/>
  <c r="W33" i="1"/>
  <c r="AS33" i="1"/>
  <c r="D33" i="1"/>
  <c r="H33" i="1"/>
  <c r="AE33" i="1"/>
  <c r="AX33" i="1"/>
  <c r="AR33" i="1"/>
  <c r="AV33" i="1"/>
  <c r="AQ33" i="1"/>
  <c r="AC33" i="1"/>
  <c r="O33" i="1"/>
  <c r="L33" i="1"/>
  <c r="AD33" i="1"/>
  <c r="AF33" i="1"/>
  <c r="T33" i="1"/>
  <c r="S33" i="1"/>
  <c r="AG33" i="1"/>
  <c r="U33" i="1"/>
  <c r="BE33" i="1"/>
  <c r="AO33" i="1"/>
  <c r="E33" i="1"/>
  <c r="BC33" i="1"/>
  <c r="BB33" i="1"/>
  <c r="V33" i="1"/>
  <c r="AB33" i="1"/>
  <c r="AI33" i="1"/>
  <c r="Q33" i="1"/>
  <c r="AK33" i="1"/>
  <c r="AT33" i="1"/>
  <c r="K33" i="1"/>
  <c r="AJ33" i="1"/>
  <c r="P33" i="1"/>
  <c r="BD33" i="1"/>
  <c r="B33" i="1"/>
  <c r="AP33" i="1"/>
  <c r="U12" i="7"/>
  <c r="AG12" i="7"/>
  <c r="AV12" i="7"/>
  <c r="BA12" i="7"/>
  <c r="AR12" i="7"/>
  <c r="P12" i="7"/>
  <c r="AO12" i="7"/>
  <c r="S12" i="7"/>
  <c r="AQ12" i="7"/>
  <c r="AT12" i="7"/>
  <c r="AZ12" i="7"/>
  <c r="AM12" i="7"/>
  <c r="AL12" i="7"/>
  <c r="W12" i="7"/>
  <c r="BD12" i="7"/>
  <c r="AE12" i="7"/>
  <c r="V12" i="7"/>
  <c r="BE12" i="7"/>
  <c r="AU12" i="7"/>
  <c r="K12" i="7"/>
  <c r="AY12" i="7"/>
  <c r="Q12" i="7"/>
  <c r="AC12" i="7"/>
  <c r="AS12" i="7"/>
  <c r="O12" i="7"/>
  <c r="AW12" i="7"/>
  <c r="AD12" i="7"/>
  <c r="AI12" i="7"/>
  <c r="AP12" i="7"/>
  <c r="AJ12" i="7"/>
  <c r="R12" i="7"/>
  <c r="AX12" i="7"/>
  <c r="AA12" i="7"/>
  <c r="T12" i="7"/>
  <c r="X12" i="7"/>
  <c r="Z12" i="7"/>
  <c r="BC12" i="7"/>
  <c r="BF12" i="7"/>
  <c r="N12" i="7"/>
  <c r="AH12" i="7"/>
  <c r="AN12" i="7"/>
  <c r="Y12" i="7"/>
  <c r="C12" i="7"/>
  <c r="H12" i="7"/>
  <c r="L12" i="7"/>
  <c r="AB12" i="7"/>
  <c r="AF12" i="7"/>
  <c r="AK12" i="7"/>
  <c r="E12" i="7"/>
  <c r="D12" i="7"/>
  <c r="BB12" i="7"/>
  <c r="J12" i="7"/>
  <c r="B12" i="7"/>
  <c r="M12" i="7"/>
  <c r="B53" i="9"/>
  <c r="I53" i="9"/>
  <c r="G53" i="9"/>
  <c r="F53" i="9"/>
  <c r="BA48" i="3"/>
  <c r="BB48" i="3"/>
  <c r="AU48" i="3"/>
  <c r="AD48" i="3"/>
  <c r="AF48" i="3"/>
  <c r="J48" i="3"/>
  <c r="AP48" i="3"/>
  <c r="AJ48" i="3"/>
  <c r="Q48" i="3"/>
  <c r="C48" i="3"/>
  <c r="AC48" i="3"/>
  <c r="AI48" i="3"/>
  <c r="Y48" i="3"/>
  <c r="AM48" i="3"/>
  <c r="AL48" i="3"/>
  <c r="X48" i="3"/>
  <c r="AS48" i="3"/>
  <c r="AW48" i="3"/>
  <c r="AY48" i="3"/>
  <c r="V48" i="3"/>
  <c r="AO48" i="3"/>
  <c r="AK48" i="3"/>
  <c r="D48" i="3"/>
  <c r="AE48" i="3"/>
  <c r="AT48" i="3"/>
  <c r="BE48" i="3"/>
  <c r="K48" i="3"/>
  <c r="AX48" i="3"/>
  <c r="BD48" i="3"/>
  <c r="P48" i="3"/>
  <c r="W48" i="3"/>
  <c r="L48" i="3"/>
  <c r="Z48" i="3"/>
  <c r="H48" i="3"/>
  <c r="BF48" i="3"/>
  <c r="AQ48" i="3"/>
  <c r="BC48" i="3"/>
  <c r="O48" i="3"/>
  <c r="U48" i="3"/>
  <c r="M48" i="3"/>
  <c r="AH48" i="3"/>
  <c r="AN48" i="3"/>
  <c r="AR48" i="3"/>
  <c r="T48" i="3"/>
  <c r="N48" i="3"/>
  <c r="AG48" i="3"/>
  <c r="R48" i="3"/>
  <c r="E48" i="3"/>
  <c r="AV48" i="3"/>
  <c r="S48" i="3"/>
  <c r="AZ48" i="3"/>
  <c r="AB48" i="3"/>
  <c r="B48" i="3"/>
  <c r="AA48" i="3"/>
  <c r="I18" i="8"/>
  <c r="G18" i="8"/>
  <c r="F18" i="8"/>
  <c r="AT7" i="2"/>
  <c r="J7" i="2"/>
  <c r="P7" i="2"/>
  <c r="AV7" i="2"/>
  <c r="BF7" i="2"/>
  <c r="L7" i="2"/>
  <c r="R7" i="2"/>
  <c r="BE7" i="2"/>
  <c r="AX7" i="2"/>
  <c r="AM7" i="2"/>
  <c r="AZ7" i="2"/>
  <c r="S7" i="2"/>
  <c r="AO7" i="2"/>
  <c r="AQ7" i="2"/>
  <c r="Z7" i="2"/>
  <c r="Q7" i="2"/>
  <c r="AP7" i="2"/>
  <c r="D7" i="2"/>
  <c r="N7" i="2"/>
  <c r="AK7" i="2"/>
  <c r="BC7" i="2"/>
  <c r="AE7" i="2"/>
  <c r="AL7" i="2"/>
  <c r="BA7" i="2"/>
  <c r="BD7" i="2"/>
  <c r="AR7" i="2"/>
  <c r="V7" i="2"/>
  <c r="AU7" i="2"/>
  <c r="M7" i="2"/>
  <c r="AA7" i="2"/>
  <c r="AF7" i="2"/>
  <c r="X7" i="2"/>
  <c r="AW7" i="2"/>
  <c r="AS7" i="2"/>
  <c r="Y7" i="2"/>
  <c r="K7" i="2"/>
  <c r="O7" i="2"/>
  <c r="AH7" i="2"/>
  <c r="AB7" i="2"/>
  <c r="AC7" i="2"/>
  <c r="AJ7" i="2"/>
  <c r="BB7" i="2"/>
  <c r="AI7" i="2"/>
  <c r="U7" i="2"/>
  <c r="AD7" i="2"/>
  <c r="AY7" i="2"/>
  <c r="E7" i="2"/>
  <c r="T7" i="2"/>
  <c r="W7" i="2"/>
  <c r="AN7" i="2"/>
  <c r="C7" i="2"/>
  <c r="H7" i="2"/>
  <c r="B7" i="2"/>
  <c r="AG7" i="2"/>
  <c r="E10" i="7"/>
  <c r="AH10" i="7"/>
  <c r="Q10" i="7"/>
  <c r="AZ10" i="7"/>
  <c r="AE10" i="7"/>
  <c r="BD10" i="7"/>
  <c r="AG10" i="7"/>
  <c r="AM10" i="7"/>
  <c r="AO10" i="7"/>
  <c r="AB10" i="7"/>
  <c r="AD10" i="7"/>
  <c r="D10" i="7"/>
  <c r="X10" i="7"/>
  <c r="BB10" i="7"/>
  <c r="AK10" i="7"/>
  <c r="AT10" i="7"/>
  <c r="R10" i="7"/>
  <c r="AS10" i="7"/>
  <c r="W10" i="7"/>
  <c r="H10" i="7"/>
  <c r="AC10" i="7"/>
  <c r="AY10" i="7"/>
  <c r="AF10" i="7"/>
  <c r="BF10" i="7"/>
  <c r="L10" i="7"/>
  <c r="BC10" i="7"/>
  <c r="Z10" i="7"/>
  <c r="AI10" i="7"/>
  <c r="O10" i="7"/>
  <c r="K10" i="7"/>
  <c r="AW10" i="7"/>
  <c r="S10" i="7"/>
  <c r="AU10" i="7"/>
  <c r="M10" i="7"/>
  <c r="BE10" i="7"/>
  <c r="AV10" i="7"/>
  <c r="AA10" i="7"/>
  <c r="T10" i="7"/>
  <c r="V10" i="7"/>
  <c r="AX10" i="7"/>
  <c r="AP10" i="7"/>
  <c r="AQ10" i="7"/>
  <c r="N10" i="7"/>
  <c r="P10" i="7"/>
  <c r="AL10" i="7"/>
  <c r="U10" i="7"/>
  <c r="AJ10" i="7"/>
  <c r="Y10" i="7"/>
  <c r="BA10" i="7"/>
  <c r="J10" i="7"/>
  <c r="AR10" i="7"/>
  <c r="AN10" i="7"/>
  <c r="B10" i="7"/>
  <c r="C10" i="7"/>
  <c r="Z46" i="1"/>
  <c r="BC46" i="1"/>
  <c r="AF46" i="1"/>
  <c r="AA46" i="1"/>
  <c r="C46" i="1"/>
  <c r="H46" i="1"/>
  <c r="AT46" i="1"/>
  <c r="T46" i="1"/>
  <c r="AB46" i="1"/>
  <c r="BE46" i="1"/>
  <c r="S46" i="1"/>
  <c r="AI46" i="1"/>
  <c r="P46" i="1"/>
  <c r="K46" i="1"/>
  <c r="AG46" i="1"/>
  <c r="AD46" i="1"/>
  <c r="BF46" i="1"/>
  <c r="AC46" i="1"/>
  <c r="L46" i="1"/>
  <c r="M46" i="1"/>
  <c r="AP46" i="1"/>
  <c r="AE46" i="1"/>
  <c r="D46" i="1"/>
  <c r="J46" i="1"/>
  <c r="BD46" i="1"/>
  <c r="AL46" i="1"/>
  <c r="AH46" i="1"/>
  <c r="AY46" i="1"/>
  <c r="AX46" i="1"/>
  <c r="AO46" i="1"/>
  <c r="AZ46" i="1"/>
  <c r="AJ46" i="1"/>
  <c r="V46" i="1"/>
  <c r="AM46" i="1"/>
  <c r="AR46" i="1"/>
  <c r="AN46" i="1"/>
  <c r="Y46" i="1"/>
  <c r="N46" i="1"/>
  <c r="AK46" i="1"/>
  <c r="U46" i="1"/>
  <c r="R46" i="1"/>
  <c r="BA46" i="1"/>
  <c r="AW46" i="1"/>
  <c r="AS46" i="1"/>
  <c r="Q46" i="1"/>
  <c r="O46" i="1"/>
  <c r="AQ46" i="1"/>
  <c r="X46" i="1"/>
  <c r="AV46" i="1"/>
  <c r="E46" i="1"/>
  <c r="BB46" i="1"/>
  <c r="AU46" i="1"/>
  <c r="B46" i="1"/>
  <c r="W46" i="1"/>
  <c r="Y46" i="4"/>
  <c r="AH46" i="4"/>
  <c r="H46" i="4"/>
  <c r="X46" i="4"/>
  <c r="D46" i="4"/>
  <c r="AM46" i="4"/>
  <c r="U46" i="4"/>
  <c r="AS46" i="4"/>
  <c r="C46" i="4"/>
  <c r="M46" i="4"/>
  <c r="AV46" i="4"/>
  <c r="J46" i="4"/>
  <c r="AJ46" i="4"/>
  <c r="V46" i="4"/>
  <c r="AE46" i="4"/>
  <c r="Q46" i="4"/>
  <c r="S46" i="4"/>
  <c r="AT46" i="4"/>
  <c r="AP46" i="4"/>
  <c r="AL46" i="4"/>
  <c r="R46" i="4"/>
  <c r="K46" i="4"/>
  <c r="Z46" i="4"/>
  <c r="BE46" i="4"/>
  <c r="T46" i="4"/>
  <c r="AK46" i="4"/>
  <c r="AI46" i="4"/>
  <c r="AG46" i="4"/>
  <c r="L46" i="4"/>
  <c r="AW46" i="4"/>
  <c r="AA46" i="4"/>
  <c r="BA46" i="4"/>
  <c r="N46" i="4"/>
  <c r="AN46" i="4"/>
  <c r="BD46" i="4"/>
  <c r="BC46" i="4"/>
  <c r="AF46" i="4"/>
  <c r="P46" i="4"/>
  <c r="E46" i="4"/>
  <c r="AD46" i="4"/>
  <c r="AR46" i="4"/>
  <c r="AZ46" i="4"/>
  <c r="AB46" i="4"/>
  <c r="O46" i="4"/>
  <c r="BB46" i="4"/>
  <c r="AQ46" i="4"/>
  <c r="AY46" i="4"/>
  <c r="AO46" i="4"/>
  <c r="AX46" i="4"/>
  <c r="BF46" i="4"/>
  <c r="AC46" i="4"/>
  <c r="W46" i="4"/>
  <c r="B46" i="4"/>
  <c r="AU46" i="4"/>
  <c r="AR8" i="4"/>
  <c r="AV8" i="4"/>
  <c r="Y8" i="4"/>
  <c r="AI8" i="4"/>
  <c r="E8" i="4"/>
  <c r="W8" i="4"/>
  <c r="AH8" i="4"/>
  <c r="AU8" i="4"/>
  <c r="L8" i="4"/>
  <c r="AW8" i="4"/>
  <c r="AO8" i="4"/>
  <c r="BD8" i="4"/>
  <c r="Q8" i="4"/>
  <c r="AZ8" i="4"/>
  <c r="AK8" i="4"/>
  <c r="AL8" i="4"/>
  <c r="AF8" i="4"/>
  <c r="AN8" i="4"/>
  <c r="R8" i="4"/>
  <c r="AD8" i="4"/>
  <c r="AX8" i="4"/>
  <c r="AJ8" i="4"/>
  <c r="AT8" i="4"/>
  <c r="D8" i="4"/>
  <c r="AE8" i="4"/>
  <c r="C8" i="4"/>
  <c r="K8" i="4"/>
  <c r="BF8" i="4"/>
  <c r="H8" i="4"/>
  <c r="AA8" i="4"/>
  <c r="AM8" i="4"/>
  <c r="AC8" i="4"/>
  <c r="V8" i="4"/>
  <c r="AY8" i="4"/>
  <c r="BB8" i="4"/>
  <c r="AS8" i="4"/>
  <c r="AG8" i="4"/>
  <c r="U8" i="4"/>
  <c r="AQ8" i="4"/>
  <c r="BE8" i="4"/>
  <c r="M8" i="4"/>
  <c r="O8" i="4"/>
  <c r="X8" i="4"/>
  <c r="T8" i="4"/>
  <c r="BC8" i="4"/>
  <c r="AB8" i="4"/>
  <c r="S8" i="4"/>
  <c r="J8" i="4"/>
  <c r="P8" i="4"/>
  <c r="AP8" i="4"/>
  <c r="Z8" i="4"/>
  <c r="BA8" i="4"/>
  <c r="B8" i="4"/>
  <c r="N8" i="4"/>
  <c r="BA43" i="1"/>
  <c r="H43" i="1"/>
  <c r="AV43" i="1"/>
  <c r="X43" i="1"/>
  <c r="AC43" i="1"/>
  <c r="AF43" i="1"/>
  <c r="BD43" i="1"/>
  <c r="AM43" i="1"/>
  <c r="AU43" i="1"/>
  <c r="AZ43" i="1"/>
  <c r="AN43" i="1"/>
  <c r="AO43" i="1"/>
  <c r="Z43" i="1"/>
  <c r="AR43" i="1"/>
  <c r="AH43" i="1"/>
  <c r="AP43" i="1"/>
  <c r="Q43" i="1"/>
  <c r="AB43" i="1"/>
  <c r="AL43" i="1"/>
  <c r="AJ43" i="1"/>
  <c r="J43" i="1"/>
  <c r="W43" i="1"/>
  <c r="U43" i="1"/>
  <c r="AY43" i="1"/>
  <c r="L43" i="1"/>
  <c r="AX43" i="1"/>
  <c r="AQ43" i="1"/>
  <c r="R43" i="1"/>
  <c r="BF43" i="1"/>
  <c r="S43" i="1"/>
  <c r="AI43" i="1"/>
  <c r="O43" i="1"/>
  <c r="C43" i="1"/>
  <c r="AE43" i="1"/>
  <c r="AK43" i="1"/>
  <c r="AD43" i="1"/>
  <c r="AW43" i="1"/>
  <c r="BC43" i="1"/>
  <c r="AG43" i="1"/>
  <c r="E43" i="1"/>
  <c r="P43" i="1"/>
  <c r="AT43" i="1"/>
  <c r="AS43" i="1"/>
  <c r="N43" i="1"/>
  <c r="K43" i="1"/>
  <c r="BB43" i="1"/>
  <c r="T43" i="1"/>
  <c r="V43" i="1"/>
  <c r="D43" i="1"/>
  <c r="M43" i="1"/>
  <c r="AA43" i="1"/>
  <c r="BE43" i="1"/>
  <c r="Y43" i="1"/>
  <c r="Q6" i="5"/>
  <c r="BC6" i="5"/>
  <c r="V6" i="5"/>
  <c r="AW6" i="5"/>
  <c r="BD6" i="5"/>
  <c r="AJ6" i="5"/>
  <c r="AU6" i="5"/>
  <c r="AQ6" i="5"/>
  <c r="AY6" i="5"/>
  <c r="BF6" i="5"/>
  <c r="R6" i="5"/>
  <c r="Y6" i="5"/>
  <c r="N6" i="5"/>
  <c r="U6" i="5"/>
  <c r="J6" i="5"/>
  <c r="AE6" i="5"/>
  <c r="AG6" i="5"/>
  <c r="AM6" i="5"/>
  <c r="BE6" i="5"/>
  <c r="AT6" i="5"/>
  <c r="E6" i="5"/>
  <c r="AD6" i="5"/>
  <c r="D6" i="5"/>
  <c r="W6" i="5"/>
  <c r="M6" i="5"/>
  <c r="AX6" i="5"/>
  <c r="AL6" i="5"/>
  <c r="BB6" i="5"/>
  <c r="AP6" i="5"/>
  <c r="O6" i="5"/>
  <c r="AB6" i="5"/>
  <c r="X6" i="5"/>
  <c r="AV6" i="5"/>
  <c r="T6" i="5"/>
  <c r="AS6" i="5"/>
  <c r="AH6" i="5"/>
  <c r="BA6" i="5"/>
  <c r="L6" i="5"/>
  <c r="AO6" i="5"/>
  <c r="AI6" i="5"/>
  <c r="AF6" i="5"/>
  <c r="AK6" i="5"/>
  <c r="AC6" i="5"/>
  <c r="AR6" i="5"/>
  <c r="AZ6" i="5"/>
  <c r="K6" i="5"/>
  <c r="AA6" i="5"/>
  <c r="AN6" i="5"/>
  <c r="Z6" i="5"/>
  <c r="H6" i="5"/>
  <c r="S6" i="5"/>
  <c r="C6" i="5"/>
  <c r="B6" i="5"/>
  <c r="P6" i="5"/>
  <c r="S8" i="8"/>
  <c r="E8" i="8"/>
  <c r="O8" i="8"/>
  <c r="AN8" i="8"/>
  <c r="Z8" i="8"/>
  <c r="BD8" i="8"/>
  <c r="AX8" i="8"/>
  <c r="D8" i="8"/>
  <c r="AR8" i="8"/>
  <c r="U8" i="8"/>
  <c r="AD8" i="8"/>
  <c r="X8" i="8"/>
  <c r="AQ8" i="8"/>
  <c r="AH8" i="8"/>
  <c r="AK8" i="8"/>
  <c r="P8" i="8"/>
  <c r="M8" i="8"/>
  <c r="BB8" i="8"/>
  <c r="W8" i="8"/>
  <c r="AT8" i="8"/>
  <c r="H8" i="8"/>
  <c r="BE8" i="8"/>
  <c r="AS8" i="8"/>
  <c r="AB8" i="8"/>
  <c r="AV8" i="8"/>
  <c r="C8" i="8"/>
  <c r="AU8" i="8"/>
  <c r="N8" i="8"/>
  <c r="AJ8" i="8"/>
  <c r="BC8" i="8"/>
  <c r="Y8" i="8"/>
  <c r="BF8" i="8"/>
  <c r="AY8" i="8"/>
  <c r="AL8" i="8"/>
  <c r="AM8" i="8"/>
  <c r="T8" i="8"/>
  <c r="K8" i="8"/>
  <c r="L8" i="8"/>
  <c r="Q8" i="8"/>
  <c r="AZ8" i="8"/>
  <c r="BA8" i="8"/>
  <c r="AI8" i="8"/>
  <c r="AW8" i="8"/>
  <c r="AA8" i="8"/>
  <c r="AG8" i="8"/>
  <c r="AF8" i="8"/>
  <c r="AC8" i="8"/>
  <c r="AE8" i="8"/>
  <c r="J8" i="8"/>
  <c r="R8" i="8"/>
  <c r="AP8" i="8"/>
  <c r="AO8" i="8"/>
  <c r="B8" i="8"/>
  <c r="V8" i="8"/>
  <c r="V31" i="3"/>
  <c r="AO31" i="3"/>
  <c r="Z31" i="3"/>
  <c r="BB31" i="3"/>
  <c r="AS31" i="3"/>
  <c r="E31" i="3"/>
  <c r="C31" i="3"/>
  <c r="AJ31" i="3"/>
  <c r="BA31" i="3"/>
  <c r="AM31" i="3"/>
  <c r="BE31" i="3"/>
  <c r="BD31" i="3"/>
  <c r="AK31" i="3"/>
  <c r="O31" i="3"/>
  <c r="X31" i="3"/>
  <c r="AE31" i="3"/>
  <c r="AD31" i="3"/>
  <c r="AT31" i="3"/>
  <c r="AN31" i="3"/>
  <c r="S31" i="3"/>
  <c r="U31" i="3"/>
  <c r="AA31" i="3"/>
  <c r="T31" i="3"/>
  <c r="AV31" i="3"/>
  <c r="AL31" i="3"/>
  <c r="AU31" i="3"/>
  <c r="AH31" i="3"/>
  <c r="AG31" i="3"/>
  <c r="D31" i="3"/>
  <c r="K31" i="3"/>
  <c r="M31" i="3"/>
  <c r="AR31" i="3"/>
  <c r="AQ31" i="3"/>
  <c r="P31" i="3"/>
  <c r="R31" i="3"/>
  <c r="BF31" i="3"/>
  <c r="AI31" i="3"/>
  <c r="AB31" i="3"/>
  <c r="AY31" i="3"/>
  <c r="AZ31" i="3"/>
  <c r="AP31" i="3"/>
  <c r="Q31" i="3"/>
  <c r="AF31" i="3"/>
  <c r="N31" i="3"/>
  <c r="AC31" i="3"/>
  <c r="J31" i="3"/>
  <c r="AX31" i="3"/>
  <c r="Y31" i="3"/>
  <c r="BC31" i="3"/>
  <c r="L31" i="3"/>
  <c r="W31" i="3"/>
  <c r="H31" i="3"/>
  <c r="B31" i="3"/>
  <c r="AW31" i="3"/>
  <c r="AM14" i="5"/>
  <c r="AN14" i="5"/>
  <c r="AI14" i="5"/>
  <c r="BB14" i="5"/>
  <c r="BE14" i="5"/>
  <c r="AC14" i="5"/>
  <c r="J14" i="5"/>
  <c r="Q14" i="5"/>
  <c r="Y14" i="5"/>
  <c r="AR14" i="5"/>
  <c r="AS14" i="5"/>
  <c r="S14" i="5"/>
  <c r="O14" i="5"/>
  <c r="BA14" i="5"/>
  <c r="E14" i="5"/>
  <c r="AW14" i="5"/>
  <c r="AL14" i="5"/>
  <c r="V14" i="5"/>
  <c r="AH14" i="5"/>
  <c r="AX14" i="5"/>
  <c r="AZ14" i="5"/>
  <c r="BC14" i="5"/>
  <c r="K14" i="5"/>
  <c r="H14" i="5"/>
  <c r="AE14" i="5"/>
  <c r="P14" i="5"/>
  <c r="T14" i="5"/>
  <c r="AJ14" i="5"/>
  <c r="AQ14" i="5"/>
  <c r="N14" i="5"/>
  <c r="BF14" i="5"/>
  <c r="BD14" i="5"/>
  <c r="L14" i="5"/>
  <c r="U14" i="5"/>
  <c r="Z14" i="5"/>
  <c r="X14" i="5"/>
  <c r="AA14" i="5"/>
  <c r="M14" i="5"/>
  <c r="AT14" i="5"/>
  <c r="AO14" i="5"/>
  <c r="AV14" i="5"/>
  <c r="AP14" i="5"/>
  <c r="AY14" i="5"/>
  <c r="R14" i="5"/>
  <c r="W14" i="5"/>
  <c r="AF14" i="5"/>
  <c r="C14" i="5"/>
  <c r="AG14" i="5"/>
  <c r="AD14" i="5"/>
  <c r="AB14" i="5"/>
  <c r="D14" i="5"/>
  <c r="AU14" i="5"/>
  <c r="B14" i="5"/>
  <c r="AK14" i="5"/>
  <c r="R32" i="6"/>
  <c r="AG32" i="6"/>
  <c r="BB32" i="6"/>
  <c r="AU32" i="6"/>
  <c r="AS32" i="6"/>
  <c r="AT32" i="6"/>
  <c r="Q32" i="6"/>
  <c r="L32" i="6"/>
  <c r="X32" i="6"/>
  <c r="AL32" i="6"/>
  <c r="K32" i="6"/>
  <c r="AC32" i="6"/>
  <c r="AM32" i="6"/>
  <c r="O32" i="6"/>
  <c r="AQ32" i="6"/>
  <c r="AH32" i="6"/>
  <c r="BD32" i="6"/>
  <c r="AA32" i="6"/>
  <c r="AJ32" i="6"/>
  <c r="V32" i="6"/>
  <c r="M32" i="6"/>
  <c r="AW32" i="6"/>
  <c r="AK32" i="6"/>
  <c r="D32" i="6"/>
  <c r="BA32" i="6"/>
  <c r="AB32" i="6"/>
  <c r="S32" i="6"/>
  <c r="AD32" i="6"/>
  <c r="P32" i="6"/>
  <c r="AF32" i="6"/>
  <c r="AR32" i="6"/>
  <c r="U32" i="6"/>
  <c r="Z32" i="6"/>
  <c r="W32" i="6"/>
  <c r="AI32" i="6"/>
  <c r="AO32" i="6"/>
  <c r="AE32" i="6"/>
  <c r="T32" i="6"/>
  <c r="AV32" i="6"/>
  <c r="E32" i="6"/>
  <c r="C32" i="6"/>
  <c r="N32" i="6"/>
  <c r="AN32" i="6"/>
  <c r="BE32" i="6"/>
  <c r="Y32" i="6"/>
  <c r="AP32" i="6"/>
  <c r="BC32" i="6"/>
  <c r="AZ32" i="6"/>
  <c r="BF32" i="6"/>
  <c r="AY32" i="6"/>
  <c r="AX32" i="6"/>
  <c r="H32" i="6"/>
  <c r="J32" i="6"/>
  <c r="AL54" i="7"/>
  <c r="BD54" i="7"/>
  <c r="AJ54" i="7"/>
  <c r="R54" i="7"/>
  <c r="O54" i="7"/>
  <c r="E54" i="7"/>
  <c r="W54" i="7"/>
  <c r="AX54" i="7"/>
  <c r="AC54" i="7"/>
  <c r="BC54" i="7"/>
  <c r="M54" i="7"/>
  <c r="U54" i="7"/>
  <c r="AG54" i="7"/>
  <c r="AD54" i="7"/>
  <c r="BE54" i="7"/>
  <c r="C54" i="7"/>
  <c r="AQ54" i="7"/>
  <c r="D54" i="7"/>
  <c r="AR54" i="7"/>
  <c r="AF54" i="7"/>
  <c r="BB54" i="7"/>
  <c r="AM54" i="7"/>
  <c r="AV54" i="7"/>
  <c r="AY54" i="7"/>
  <c r="AA54" i="7"/>
  <c r="K54" i="7"/>
  <c r="L54" i="7"/>
  <c r="J54" i="7"/>
  <c r="S54" i="7"/>
  <c r="T54" i="7"/>
  <c r="X54" i="7"/>
  <c r="Q54" i="7"/>
  <c r="AS54" i="7"/>
  <c r="AK54" i="7"/>
  <c r="BA54" i="7"/>
  <c r="Z54" i="7"/>
  <c r="H54" i="7"/>
  <c r="AH54" i="7"/>
  <c r="AP54" i="7"/>
  <c r="V54" i="7"/>
  <c r="AN54" i="7"/>
  <c r="N54" i="7"/>
  <c r="BF54" i="7"/>
  <c r="AU54" i="7"/>
  <c r="AZ54" i="7"/>
  <c r="AW54" i="7"/>
  <c r="AI54" i="7"/>
  <c r="Y54" i="7"/>
  <c r="AE54" i="7"/>
  <c r="AB54" i="7"/>
  <c r="AT54" i="7"/>
  <c r="AO54" i="7"/>
  <c r="B54" i="7"/>
  <c r="P54" i="7"/>
  <c r="BF2" i="4"/>
  <c r="V2" i="4"/>
  <c r="BD2" i="4"/>
  <c r="H2" i="4"/>
  <c r="J2" i="4"/>
  <c r="U2" i="4"/>
  <c r="N2" i="4"/>
  <c r="Q2" i="4"/>
  <c r="AV2" i="4"/>
  <c r="AH2" i="4"/>
  <c r="P2" i="4"/>
  <c r="AM2" i="4"/>
  <c r="T2" i="4"/>
  <c r="AZ2" i="4"/>
  <c r="AS2" i="4"/>
  <c r="C2" i="4"/>
  <c r="AG2" i="4"/>
  <c r="AA2" i="4"/>
  <c r="BE2" i="4"/>
  <c r="O2" i="4"/>
  <c r="AW2" i="4"/>
  <c r="L2" i="4"/>
  <c r="AP2" i="4"/>
  <c r="D2" i="4"/>
  <c r="AE2" i="4"/>
  <c r="AT2" i="4"/>
  <c r="AO2" i="4"/>
  <c r="AJ2" i="4"/>
  <c r="AB2" i="4"/>
  <c r="Z2" i="4"/>
  <c r="S2" i="4"/>
  <c r="K2" i="4"/>
  <c r="AF2" i="4"/>
  <c r="W2" i="4"/>
  <c r="AR2" i="4"/>
  <c r="AK2" i="4"/>
  <c r="X2" i="4"/>
  <c r="AI2" i="4"/>
  <c r="AN2" i="4"/>
  <c r="M2" i="4"/>
  <c r="R2" i="4"/>
  <c r="E2" i="4"/>
  <c r="AC2" i="4"/>
  <c r="AY2" i="4"/>
  <c r="BC2" i="4"/>
  <c r="AD2" i="4"/>
  <c r="AQ2" i="4"/>
  <c r="AX2" i="4"/>
  <c r="BA2" i="4"/>
  <c r="AU2" i="4"/>
  <c r="AL2" i="4"/>
  <c r="BB2" i="4"/>
  <c r="Y2" i="4"/>
  <c r="E18" i="8"/>
  <c r="D18" i="8"/>
  <c r="U18" i="8"/>
  <c r="R18" i="8"/>
  <c r="AQ18" i="8"/>
  <c r="Z18" i="8"/>
  <c r="AF18" i="8"/>
  <c r="BB18" i="8"/>
  <c r="BF18" i="8"/>
  <c r="J18" i="8"/>
  <c r="AV18" i="8"/>
  <c r="V18" i="8"/>
  <c r="H18" i="8"/>
  <c r="P18" i="8"/>
  <c r="AX18" i="8"/>
  <c r="AP18" i="8"/>
  <c r="T18" i="8"/>
  <c r="K18" i="8"/>
  <c r="Y18" i="8"/>
  <c r="AY18" i="8"/>
  <c r="AJ18" i="8"/>
  <c r="AM18" i="8"/>
  <c r="AZ18" i="8"/>
  <c r="AL18" i="8"/>
  <c r="AT18" i="8"/>
  <c r="S18" i="8"/>
  <c r="AK18" i="8"/>
  <c r="AD18" i="8"/>
  <c r="AR18" i="8"/>
  <c r="Q18" i="8"/>
  <c r="AN18" i="8"/>
  <c r="AW18" i="8"/>
  <c r="BC18" i="8"/>
  <c r="BE18" i="8"/>
  <c r="O18" i="8"/>
  <c r="AS18" i="8"/>
  <c r="AG18" i="8"/>
  <c r="AA18" i="8"/>
  <c r="AC18" i="8"/>
  <c r="W18" i="8"/>
  <c r="X18" i="8"/>
  <c r="M18" i="8"/>
  <c r="AU18" i="8"/>
  <c r="AI18" i="8"/>
  <c r="L18" i="8"/>
  <c r="C18" i="8"/>
  <c r="N18" i="8"/>
  <c r="AO18" i="8"/>
  <c r="AH18" i="8"/>
  <c r="BA18" i="8"/>
  <c r="BD18" i="8"/>
  <c r="AB18" i="8"/>
  <c r="B18" i="8"/>
  <c r="AE18" i="8"/>
  <c r="BE32" i="9"/>
  <c r="U32" i="9"/>
  <c r="X32" i="9"/>
  <c r="AB32" i="9"/>
  <c r="BF32" i="9"/>
  <c r="Q32" i="9"/>
  <c r="T32" i="9"/>
  <c r="E32" i="9"/>
  <c r="S32" i="9"/>
  <c r="AC32" i="9"/>
  <c r="BA32" i="9"/>
  <c r="AD32" i="9"/>
  <c r="AV32" i="9"/>
  <c r="C32" i="9"/>
  <c r="AG32" i="9"/>
  <c r="AP32" i="9"/>
  <c r="AL32" i="9"/>
  <c r="BC32" i="9"/>
  <c r="P32" i="9"/>
  <c r="AS32" i="9"/>
  <c r="O32" i="9"/>
  <c r="AE32" i="9"/>
  <c r="AJ32" i="9"/>
  <c r="AF32" i="9"/>
  <c r="K32" i="9"/>
  <c r="J32" i="9"/>
  <c r="AK32" i="9"/>
  <c r="Z32" i="9"/>
  <c r="AW32" i="9"/>
  <c r="BD32" i="9"/>
  <c r="BB32" i="9"/>
  <c r="AX32" i="9"/>
  <c r="AI32" i="9"/>
  <c r="AR32" i="9"/>
  <c r="AM32" i="9"/>
  <c r="AY32" i="9"/>
  <c r="D32" i="9"/>
  <c r="AU32" i="9"/>
  <c r="AQ32" i="9"/>
  <c r="AH32" i="9"/>
  <c r="Y32" i="9"/>
  <c r="R32" i="9"/>
  <c r="M32" i="9"/>
  <c r="AA32" i="9"/>
  <c r="AZ32" i="9"/>
  <c r="L32" i="9"/>
  <c r="H32" i="9"/>
  <c r="AN32" i="9"/>
  <c r="N32" i="9"/>
  <c r="V32" i="9"/>
  <c r="W32" i="9"/>
  <c r="AO32" i="9"/>
  <c r="B32" i="9"/>
  <c r="AT32" i="9"/>
  <c r="BE55" i="4"/>
  <c r="O55" i="4"/>
  <c r="BC55" i="4"/>
  <c r="BF55" i="4"/>
  <c r="AV55" i="4"/>
  <c r="N55" i="4"/>
  <c r="AY55" i="4"/>
  <c r="AG55" i="4"/>
  <c r="AD55" i="4"/>
  <c r="W55" i="4"/>
  <c r="AJ55" i="4"/>
  <c r="AQ55" i="4"/>
  <c r="Q55" i="4"/>
  <c r="M55" i="4"/>
  <c r="AX55" i="4"/>
  <c r="C55" i="4"/>
  <c r="E55" i="4"/>
  <c r="S55" i="4"/>
  <c r="AE55" i="4"/>
  <c r="R55" i="4"/>
  <c r="AM55" i="4"/>
  <c r="AC55" i="4"/>
  <c r="T55" i="4"/>
  <c r="BB55" i="4"/>
  <c r="BA55" i="4"/>
  <c r="U55" i="4"/>
  <c r="V55" i="4"/>
  <c r="AI55" i="4"/>
  <c r="X55" i="4"/>
  <c r="AO55" i="4"/>
  <c r="AF55" i="4"/>
  <c r="AS55" i="4"/>
  <c r="AW55" i="4"/>
  <c r="P55" i="4"/>
  <c r="D55" i="4"/>
  <c r="AN55" i="4"/>
  <c r="AZ55" i="4"/>
  <c r="AP55" i="4"/>
  <c r="AH55" i="4"/>
  <c r="AK55" i="4"/>
  <c r="AR55" i="4"/>
  <c r="AU55" i="4"/>
  <c r="K55" i="4"/>
  <c r="AT55" i="4"/>
  <c r="AB55" i="4"/>
  <c r="L55" i="4"/>
  <c r="Y55" i="4"/>
  <c r="Z55" i="4"/>
  <c r="J55" i="4"/>
  <c r="BD55" i="4"/>
  <c r="AL55" i="4"/>
  <c r="AA55" i="4"/>
  <c r="B55" i="4"/>
  <c r="H55" i="4"/>
  <c r="AV28" i="2"/>
  <c r="AW28" i="2"/>
  <c r="BD28" i="2"/>
  <c r="AH28" i="2"/>
  <c r="AD28" i="2"/>
  <c r="AB28" i="2"/>
  <c r="BF28" i="2"/>
  <c r="AP28" i="2"/>
  <c r="BA28" i="2"/>
  <c r="BE28" i="2"/>
  <c r="AZ28" i="2"/>
  <c r="AA28" i="2"/>
  <c r="AG28" i="2"/>
  <c r="AE28" i="2"/>
  <c r="E28" i="2"/>
  <c r="AF28" i="2"/>
  <c r="AX28" i="2"/>
  <c r="M28" i="2"/>
  <c r="AK28" i="2"/>
  <c r="D28" i="2"/>
  <c r="BC28" i="2"/>
  <c r="AM28" i="2"/>
  <c r="AL28" i="2"/>
  <c r="AR28" i="2"/>
  <c r="AY28" i="2"/>
  <c r="J28" i="2"/>
  <c r="N28" i="2"/>
  <c r="Z28" i="2"/>
  <c r="AT28" i="2"/>
  <c r="U28" i="2"/>
  <c r="AC28" i="2"/>
  <c r="X28" i="2"/>
  <c r="AN28" i="2"/>
  <c r="AU28" i="2"/>
  <c r="R28" i="2"/>
  <c r="Q28" i="2"/>
  <c r="Y28" i="2"/>
  <c r="AJ28" i="2"/>
  <c r="AO28" i="2"/>
  <c r="P28" i="2"/>
  <c r="H28" i="2"/>
  <c r="AI28" i="2"/>
  <c r="BB28" i="2"/>
  <c r="W28" i="2"/>
  <c r="T28" i="2"/>
  <c r="K28" i="2"/>
  <c r="L28" i="2"/>
  <c r="AS28" i="2"/>
  <c r="O28" i="2"/>
  <c r="V28" i="2"/>
  <c r="S28" i="2"/>
  <c r="C28" i="2"/>
  <c r="AQ28" i="2"/>
  <c r="AY37" i="3"/>
  <c r="AR37" i="3"/>
  <c r="C37" i="3"/>
  <c r="AN37" i="3"/>
  <c r="AU37" i="3"/>
  <c r="J37" i="3"/>
  <c r="BC37" i="3"/>
  <c r="V37" i="3"/>
  <c r="O37" i="3"/>
  <c r="AQ37" i="3"/>
  <c r="BA37" i="3"/>
  <c r="AV37" i="3"/>
  <c r="BF37" i="3"/>
  <c r="AH37" i="3"/>
  <c r="U37" i="3"/>
  <c r="AL37" i="3"/>
  <c r="AK37" i="3"/>
  <c r="AT37" i="3"/>
  <c r="K37" i="3"/>
  <c r="D37" i="3"/>
  <c r="L37" i="3"/>
  <c r="S37" i="3"/>
  <c r="AM37" i="3"/>
  <c r="AF37" i="3"/>
  <c r="E37" i="3"/>
  <c r="AX37" i="3"/>
  <c r="W37" i="3"/>
  <c r="AA37" i="3"/>
  <c r="BD37" i="3"/>
  <c r="AC37" i="3"/>
  <c r="AP37" i="3"/>
  <c r="N37" i="3"/>
  <c r="Q37" i="3"/>
  <c r="AW37" i="3"/>
  <c r="AS37" i="3"/>
  <c r="R37" i="3"/>
  <c r="AJ37" i="3"/>
  <c r="AE37" i="3"/>
  <c r="AO37" i="3"/>
  <c r="AD37" i="3"/>
  <c r="AZ37" i="3"/>
  <c r="BB37" i="3"/>
  <c r="AB37" i="3"/>
  <c r="Y37" i="3"/>
  <c r="Z37" i="3"/>
  <c r="BE37" i="3"/>
  <c r="M37" i="3"/>
  <c r="T37" i="3"/>
  <c r="AI37" i="3"/>
  <c r="X37" i="3"/>
  <c r="H37" i="3"/>
  <c r="P37" i="3"/>
  <c r="AG37" i="3"/>
  <c r="AJ43" i="11"/>
  <c r="W43" i="11"/>
  <c r="BE43" i="11"/>
  <c r="Y43" i="11"/>
  <c r="AM43" i="11"/>
  <c r="AX43" i="11"/>
  <c r="O43" i="11"/>
  <c r="Z43" i="11"/>
  <c r="AD43" i="11"/>
  <c r="AT43" i="11"/>
  <c r="X43" i="11"/>
  <c r="AZ43" i="11"/>
  <c r="AI43" i="11"/>
  <c r="BA43" i="11"/>
  <c r="U43" i="11"/>
  <c r="AP43" i="11"/>
  <c r="C43" i="11"/>
  <c r="E43" i="11"/>
  <c r="AR43" i="11"/>
  <c r="AA43" i="11"/>
  <c r="M43" i="11"/>
  <c r="AK43" i="11"/>
  <c r="AY43" i="11"/>
  <c r="P43" i="11"/>
  <c r="T43" i="11"/>
  <c r="S43" i="11"/>
  <c r="AG43" i="11"/>
  <c r="AH43" i="11"/>
  <c r="AU43" i="11"/>
  <c r="H43" i="11"/>
  <c r="BC43" i="11"/>
  <c r="K43" i="11"/>
  <c r="AL43" i="11"/>
  <c r="AW43" i="11"/>
  <c r="AC43" i="11"/>
  <c r="D43" i="11"/>
  <c r="AE43" i="11"/>
  <c r="AF43" i="11"/>
  <c r="AO43" i="11"/>
  <c r="AS43" i="11"/>
  <c r="R43" i="11"/>
  <c r="N43" i="11"/>
  <c r="BD43" i="11"/>
  <c r="AB43" i="11"/>
  <c r="J43" i="11"/>
  <c r="AV43" i="11"/>
  <c r="BB43" i="11"/>
  <c r="BF43" i="11"/>
  <c r="L43" i="11"/>
  <c r="Q43" i="11"/>
  <c r="V43" i="11"/>
  <c r="AN43" i="11"/>
  <c r="B43" i="11"/>
  <c r="AQ43" i="11"/>
  <c r="BB31" i="7"/>
  <c r="E31" i="7"/>
  <c r="N31" i="7"/>
  <c r="AE31" i="7"/>
  <c r="AU31" i="7"/>
  <c r="AI31" i="7"/>
  <c r="BD31" i="7"/>
  <c r="U31" i="7"/>
  <c r="AM31" i="7"/>
  <c r="BE31" i="7"/>
  <c r="S31" i="7"/>
  <c r="AS31" i="7"/>
  <c r="AB31" i="7"/>
  <c r="R31" i="7"/>
  <c r="AW31" i="7"/>
  <c r="AD31" i="7"/>
  <c r="Y31" i="7"/>
  <c r="AX31" i="7"/>
  <c r="D31" i="7"/>
  <c r="T31" i="7"/>
  <c r="W31" i="7"/>
  <c r="AA31" i="7"/>
  <c r="H31" i="7"/>
  <c r="AY31" i="7"/>
  <c r="J31" i="7"/>
  <c r="AC31" i="7"/>
  <c r="AH31" i="7"/>
  <c r="O31" i="7"/>
  <c r="M31" i="7"/>
  <c r="BF31" i="7"/>
  <c r="AQ31" i="7"/>
  <c r="P31" i="7"/>
  <c r="AO31" i="7"/>
  <c r="Z31" i="7"/>
  <c r="BC31" i="7"/>
  <c r="X31" i="7"/>
  <c r="V31" i="7"/>
  <c r="AJ31" i="7"/>
  <c r="AV31" i="7"/>
  <c r="AG31" i="7"/>
  <c r="AT31" i="7"/>
  <c r="AP31" i="7"/>
  <c r="C31" i="7"/>
  <c r="AR31" i="7"/>
  <c r="AZ31" i="7"/>
  <c r="AF31" i="7"/>
  <c r="Q31" i="7"/>
  <c r="L31" i="7"/>
  <c r="BA31" i="7"/>
  <c r="K31" i="7"/>
  <c r="AL31" i="7"/>
  <c r="AN31" i="7"/>
  <c r="AK31" i="7"/>
  <c r="B16" i="7"/>
  <c r="I16" i="7"/>
  <c r="G16" i="7"/>
  <c r="F16" i="7"/>
  <c r="B2" i="4"/>
  <c r="I2" i="4"/>
  <c r="G2" i="4"/>
  <c r="F2" i="4"/>
  <c r="I24" i="2"/>
  <c r="G24" i="2"/>
  <c r="F24" i="2"/>
  <c r="F34" i="6"/>
  <c r="G34" i="6"/>
  <c r="I34" i="6"/>
  <c r="AD3" i="7"/>
  <c r="P3" i="7"/>
  <c r="AE3" i="7"/>
  <c r="AR3" i="7"/>
  <c r="AL3" i="7"/>
  <c r="AF3" i="7"/>
  <c r="Y3" i="7"/>
  <c r="AB3" i="7"/>
  <c r="AH3" i="7"/>
  <c r="L3" i="7"/>
  <c r="BD3" i="7"/>
  <c r="AW3" i="7"/>
  <c r="AP3" i="7"/>
  <c r="AA3" i="7"/>
  <c r="Z3" i="7"/>
  <c r="N3" i="7"/>
  <c r="AK3" i="7"/>
  <c r="AZ3" i="7"/>
  <c r="Q3" i="7"/>
  <c r="H3" i="7"/>
  <c r="AS3" i="7"/>
  <c r="AO3" i="7"/>
  <c r="AX3" i="7"/>
  <c r="C3" i="7"/>
  <c r="AV3" i="7"/>
  <c r="K3" i="7"/>
  <c r="BC3" i="7"/>
  <c r="AJ3" i="7"/>
  <c r="W3" i="7"/>
  <c r="AQ3" i="7"/>
  <c r="J3" i="7"/>
  <c r="AI3" i="7"/>
  <c r="E3" i="7"/>
  <c r="X3" i="7"/>
  <c r="BA3" i="7"/>
  <c r="BF3" i="7"/>
  <c r="AT3" i="7"/>
  <c r="AC3" i="7"/>
  <c r="BE3" i="7"/>
  <c r="AU3" i="7"/>
  <c r="BB3" i="7"/>
  <c r="U3" i="7"/>
  <c r="AG3" i="7"/>
  <c r="V3" i="7"/>
  <c r="M3" i="7"/>
  <c r="S3" i="7"/>
  <c r="O3" i="7"/>
  <c r="D3" i="7"/>
  <c r="AM3" i="7"/>
  <c r="AN3" i="7"/>
  <c r="R3" i="7"/>
  <c r="AY3" i="7"/>
  <c r="T3" i="7"/>
  <c r="Q15" i="2"/>
  <c r="AQ15" i="2"/>
  <c r="AN15" i="2"/>
  <c r="P15" i="2"/>
  <c r="H15" i="2"/>
  <c r="Z15" i="2"/>
  <c r="BF15" i="2"/>
  <c r="M15" i="2"/>
  <c r="AI15" i="2"/>
  <c r="AX15" i="2"/>
  <c r="AA15" i="2"/>
  <c r="S15" i="2"/>
  <c r="AG15" i="2"/>
  <c r="BB15" i="2"/>
  <c r="AR15" i="2"/>
  <c r="BA15" i="2"/>
  <c r="U15" i="2"/>
  <c r="BE15" i="2"/>
  <c r="AT15" i="2"/>
  <c r="K15" i="2"/>
  <c r="AK15" i="2"/>
  <c r="AY15" i="2"/>
  <c r="Y15" i="2"/>
  <c r="AB15" i="2"/>
  <c r="W15" i="2"/>
  <c r="D15" i="2"/>
  <c r="AO15" i="2"/>
  <c r="AZ15" i="2"/>
  <c r="AJ15" i="2"/>
  <c r="AS15" i="2"/>
  <c r="E15" i="2"/>
  <c r="V15" i="2"/>
  <c r="T15" i="2"/>
  <c r="AV15" i="2"/>
  <c r="AU15" i="2"/>
  <c r="J15" i="2"/>
  <c r="L15" i="2"/>
  <c r="R15" i="2"/>
  <c r="AL15" i="2"/>
  <c r="AP15" i="2"/>
  <c r="N15" i="2"/>
  <c r="BD15" i="2"/>
  <c r="BC15" i="2"/>
  <c r="X15" i="2"/>
  <c r="O15" i="2"/>
  <c r="AF15" i="2"/>
  <c r="AC15" i="2"/>
  <c r="AD15" i="2"/>
  <c r="C15" i="2"/>
  <c r="AM15" i="2"/>
  <c r="AE15" i="2"/>
  <c r="AW15" i="2"/>
  <c r="AH15" i="2"/>
  <c r="F15" i="1"/>
  <c r="G15" i="1"/>
  <c r="I15" i="1"/>
  <c r="AX41" i="7"/>
  <c r="AB41" i="7"/>
  <c r="L41" i="7"/>
  <c r="X41" i="7"/>
  <c r="H41" i="7"/>
  <c r="AM41" i="7"/>
  <c r="Y41" i="7"/>
  <c r="N41" i="7"/>
  <c r="V41" i="7"/>
  <c r="AG41" i="7"/>
  <c r="AL41" i="7"/>
  <c r="E41" i="7"/>
  <c r="AF41" i="7"/>
  <c r="C41" i="7"/>
  <c r="AH41" i="7"/>
  <c r="K41" i="7"/>
  <c r="AT41" i="7"/>
  <c r="AC41" i="7"/>
  <c r="AV41" i="7"/>
  <c r="AZ41" i="7"/>
  <c r="M41" i="7"/>
  <c r="D41" i="7"/>
  <c r="AS41" i="7"/>
  <c r="J41" i="7"/>
  <c r="BF41" i="7"/>
  <c r="AP41" i="7"/>
  <c r="Q41" i="7"/>
  <c r="BD41" i="7"/>
  <c r="O41" i="7"/>
  <c r="AE41" i="7"/>
  <c r="AW41" i="7"/>
  <c r="W41" i="7"/>
  <c r="AU41" i="7"/>
  <c r="AO41" i="7"/>
  <c r="AK41" i="7"/>
  <c r="S41" i="7"/>
  <c r="Z41" i="7"/>
  <c r="AJ41" i="7"/>
  <c r="BB41" i="7"/>
  <c r="AN41" i="7"/>
  <c r="AY41" i="7"/>
  <c r="R41" i="7"/>
  <c r="AD41" i="7"/>
  <c r="BC41" i="7"/>
  <c r="AI41" i="7"/>
  <c r="AR41" i="7"/>
  <c r="T41" i="7"/>
  <c r="BE41" i="7"/>
  <c r="P41" i="7"/>
  <c r="AA41" i="7"/>
  <c r="AQ41" i="7"/>
  <c r="U41" i="7"/>
  <c r="B41" i="7"/>
  <c r="BA41" i="7"/>
  <c r="B21" i="9"/>
  <c r="I21" i="9"/>
  <c r="G21" i="9"/>
  <c r="F21" i="9"/>
  <c r="I44" i="5"/>
  <c r="G44" i="5"/>
  <c r="F44" i="5"/>
  <c r="F6" i="3"/>
  <c r="G6" i="3"/>
  <c r="I6" i="3"/>
  <c r="B3" i="7"/>
  <c r="I3" i="7"/>
  <c r="G3" i="7"/>
  <c r="F3" i="7"/>
  <c r="B15" i="2"/>
  <c r="I15" i="2"/>
  <c r="G15" i="2"/>
  <c r="F15" i="2"/>
  <c r="I53" i="1"/>
  <c r="G53" i="1"/>
  <c r="F53" i="1"/>
  <c r="AU30" i="7"/>
  <c r="BF30" i="7"/>
  <c r="L30" i="7"/>
  <c r="AX30" i="7"/>
  <c r="AN30" i="7"/>
  <c r="AG30" i="7"/>
  <c r="M30" i="7"/>
  <c r="N30" i="7"/>
  <c r="AL30" i="7"/>
  <c r="AH30" i="7"/>
  <c r="J30" i="7"/>
  <c r="BD30" i="7"/>
  <c r="W30" i="7"/>
  <c r="E30" i="7"/>
  <c r="AF30" i="7"/>
  <c r="AM30" i="7"/>
  <c r="AI30" i="7"/>
  <c r="AS30" i="7"/>
  <c r="BC30" i="7"/>
  <c r="C30" i="7"/>
  <c r="AR30" i="7"/>
  <c r="AZ30" i="7"/>
  <c r="U30" i="7"/>
  <c r="BA30" i="7"/>
  <c r="K30" i="7"/>
  <c r="O30" i="7"/>
  <c r="AY30" i="7"/>
  <c r="Y30" i="7"/>
  <c r="AP30" i="7"/>
  <c r="X30" i="7"/>
  <c r="AW30" i="7"/>
  <c r="AE30" i="7"/>
  <c r="AC30" i="7"/>
  <c r="S30" i="7"/>
  <c r="AD30" i="7"/>
  <c r="AJ30" i="7"/>
  <c r="BB30" i="7"/>
  <c r="H30" i="7"/>
  <c r="Q30" i="7"/>
  <c r="D30" i="7"/>
  <c r="Z30" i="7"/>
  <c r="V30" i="7"/>
  <c r="AK30" i="7"/>
  <c r="AO30" i="7"/>
  <c r="BE30" i="7"/>
  <c r="R30" i="7"/>
  <c r="AQ30" i="7"/>
  <c r="AT30" i="7"/>
  <c r="AA30" i="7"/>
  <c r="P30" i="7"/>
  <c r="AB30" i="7"/>
  <c r="AV30" i="7"/>
  <c r="B30" i="7"/>
  <c r="T30" i="7"/>
  <c r="B43" i="1"/>
  <c r="I43" i="1"/>
  <c r="G43" i="1"/>
  <c r="F43" i="1"/>
  <c r="B28" i="2"/>
  <c r="I28" i="2"/>
  <c r="G28" i="2"/>
  <c r="F28" i="2"/>
  <c r="B37" i="3"/>
  <c r="I37" i="3"/>
  <c r="G37" i="3"/>
  <c r="F37" i="3"/>
  <c r="B32" i="4"/>
  <c r="I32" i="4"/>
  <c r="G32" i="4"/>
  <c r="F32" i="4"/>
  <c r="B31" i="7"/>
  <c r="I31" i="7"/>
  <c r="G31" i="7"/>
  <c r="F31" i="7"/>
  <c r="B44" i="2"/>
  <c r="I44" i="2"/>
  <c r="G44" i="2"/>
  <c r="F44" i="2"/>
  <c r="F38" i="5"/>
  <c r="G38" i="5"/>
  <c r="I38" i="5"/>
  <c r="N18" i="9"/>
  <c r="Q18" i="9"/>
  <c r="AK18" i="9"/>
  <c r="AF18" i="9"/>
  <c r="AB18" i="9"/>
  <c r="S18" i="9"/>
  <c r="AX18" i="9"/>
  <c r="AQ18" i="9"/>
  <c r="BE18" i="9"/>
  <c r="AY18" i="9"/>
  <c r="AW18" i="9"/>
  <c r="AH18" i="9"/>
  <c r="P18" i="9"/>
  <c r="H18" i="9"/>
  <c r="T18" i="9"/>
  <c r="W18" i="9"/>
  <c r="AL18" i="9"/>
  <c r="J18" i="9"/>
  <c r="X18" i="9"/>
  <c r="AV18" i="9"/>
  <c r="V18" i="9"/>
  <c r="AR18" i="9"/>
  <c r="C18" i="9"/>
  <c r="AN18" i="9"/>
  <c r="AA18" i="9"/>
  <c r="AC18" i="9"/>
  <c r="AJ18" i="9"/>
  <c r="BA18" i="9"/>
  <c r="K18" i="9"/>
  <c r="U18" i="9"/>
  <c r="AI18" i="9"/>
  <c r="BD18" i="9"/>
  <c r="AE18" i="9"/>
  <c r="L18" i="9"/>
  <c r="M18" i="9"/>
  <c r="BC18" i="9"/>
  <c r="R18" i="9"/>
  <c r="BF18" i="9"/>
  <c r="AS18" i="9"/>
  <c r="Z18" i="9"/>
  <c r="Y18" i="9"/>
  <c r="AD18" i="9"/>
  <c r="AG18" i="9"/>
  <c r="BB18" i="9"/>
  <c r="AU18" i="9"/>
  <c r="AO18" i="9"/>
  <c r="O18" i="9"/>
  <c r="AM18" i="9"/>
  <c r="E18" i="9"/>
  <c r="AT18" i="9"/>
  <c r="AZ18" i="9"/>
  <c r="AP18" i="9"/>
  <c r="B18" i="9"/>
  <c r="D18" i="9"/>
  <c r="AS34" i="8"/>
  <c r="AT34" i="8"/>
  <c r="O34" i="8"/>
  <c r="H34" i="8"/>
  <c r="AN34" i="8"/>
  <c r="M34" i="8"/>
  <c r="C34" i="8"/>
  <c r="BB34" i="8"/>
  <c r="AD34" i="8"/>
  <c r="P34" i="8"/>
  <c r="AZ34" i="8"/>
  <c r="AB34" i="8"/>
  <c r="Z34" i="8"/>
  <c r="AQ34" i="8"/>
  <c r="AI34" i="8"/>
  <c r="AA34" i="8"/>
  <c r="AV34" i="8"/>
  <c r="AC34" i="8"/>
  <c r="Y34" i="8"/>
  <c r="AM34" i="8"/>
  <c r="R34" i="8"/>
  <c r="S34" i="8"/>
  <c r="AR34" i="8"/>
  <c r="N34" i="8"/>
  <c r="Q34" i="8"/>
  <c r="AP34" i="8"/>
  <c r="BC34" i="8"/>
  <c r="AW34" i="8"/>
  <c r="AL34" i="8"/>
  <c r="BF34" i="8"/>
  <c r="L34" i="8"/>
  <c r="BE34" i="8"/>
  <c r="BA34" i="8"/>
  <c r="AF34" i="8"/>
  <c r="AJ34" i="8"/>
  <c r="BD34" i="8"/>
  <c r="AE34" i="8"/>
  <c r="AU34" i="8"/>
  <c r="D34" i="8"/>
  <c r="J34" i="8"/>
  <c r="AH34" i="8"/>
  <c r="W34" i="8"/>
  <c r="AX34" i="8"/>
  <c r="K34" i="8"/>
  <c r="AO34" i="8"/>
  <c r="AG34" i="8"/>
  <c r="V34" i="8"/>
  <c r="U34" i="8"/>
  <c r="E34" i="8"/>
  <c r="AK34" i="8"/>
  <c r="X34" i="8"/>
  <c r="AY34" i="8"/>
  <c r="T34" i="8"/>
  <c r="K37" i="5"/>
  <c r="AO37" i="5"/>
  <c r="Z37" i="5"/>
  <c r="AR37" i="5"/>
  <c r="Y37" i="5"/>
  <c r="W37" i="5"/>
  <c r="AC37" i="5"/>
  <c r="AS37" i="5"/>
  <c r="T37" i="5"/>
  <c r="AU37" i="5"/>
  <c r="AK37" i="5"/>
  <c r="AL37" i="5"/>
  <c r="AM37" i="5"/>
  <c r="AI37" i="5"/>
  <c r="U37" i="5"/>
  <c r="J37" i="5"/>
  <c r="AQ37" i="5"/>
  <c r="L37" i="5"/>
  <c r="AN37" i="5"/>
  <c r="AH37" i="5"/>
  <c r="C37" i="5"/>
  <c r="AZ37" i="5"/>
  <c r="N37" i="5"/>
  <c r="S37" i="5"/>
  <c r="AE37" i="5"/>
  <c r="R37" i="5"/>
  <c r="BC37" i="5"/>
  <c r="AG37" i="5"/>
  <c r="H37" i="5"/>
  <c r="AJ37" i="5"/>
  <c r="AD37" i="5"/>
  <c r="M37" i="5"/>
  <c r="AB37" i="5"/>
  <c r="AP37" i="5"/>
  <c r="AY37" i="5"/>
  <c r="O37" i="5"/>
  <c r="AA37" i="5"/>
  <c r="V37" i="5"/>
  <c r="AV37" i="5"/>
  <c r="Q37" i="5"/>
  <c r="P37" i="5"/>
  <c r="AT37" i="5"/>
  <c r="E37" i="5"/>
  <c r="X37" i="5"/>
  <c r="BB37" i="5"/>
  <c r="AW37" i="5"/>
  <c r="AX37" i="5"/>
  <c r="AF37" i="5"/>
  <c r="D37" i="5"/>
  <c r="BF37" i="5"/>
  <c r="BD37" i="5"/>
  <c r="BA37" i="5"/>
  <c r="BE37" i="5"/>
  <c r="AE12" i="1"/>
  <c r="AT12" i="1"/>
  <c r="U12" i="1"/>
  <c r="AQ12" i="1"/>
  <c r="J12" i="1"/>
  <c r="H12" i="1"/>
  <c r="AY12" i="1"/>
  <c r="AH12" i="1"/>
  <c r="AZ12" i="1"/>
  <c r="AF12" i="1"/>
  <c r="BC12" i="1"/>
  <c r="AW12" i="1"/>
  <c r="AS12" i="1"/>
  <c r="M12" i="1"/>
  <c r="BF12" i="1"/>
  <c r="AL12" i="1"/>
  <c r="AP12" i="1"/>
  <c r="BE12" i="1"/>
  <c r="K12" i="1"/>
  <c r="S12" i="1"/>
  <c r="W12" i="1"/>
  <c r="AN12" i="1"/>
  <c r="AV12" i="1"/>
  <c r="AD12" i="1"/>
  <c r="AB12" i="1"/>
  <c r="O12" i="1"/>
  <c r="BA12" i="1"/>
  <c r="L12" i="1"/>
  <c r="AA12" i="1"/>
  <c r="Q12" i="1"/>
  <c r="C12" i="1"/>
  <c r="Z12" i="1"/>
  <c r="D12" i="1"/>
  <c r="AI12" i="1"/>
  <c r="AJ12" i="1"/>
  <c r="AK12" i="1"/>
  <c r="X12" i="1"/>
  <c r="AC12" i="1"/>
  <c r="E12" i="1"/>
  <c r="P12" i="1"/>
  <c r="AO12" i="1"/>
  <c r="T12" i="1"/>
  <c r="V12" i="1"/>
  <c r="Y12" i="1"/>
  <c r="AR12" i="1"/>
  <c r="AU12" i="1"/>
  <c r="AX12" i="1"/>
  <c r="BB12" i="1"/>
  <c r="N12" i="1"/>
  <c r="AM12" i="1"/>
  <c r="R12" i="1"/>
  <c r="BD12" i="1"/>
  <c r="B12" i="1"/>
  <c r="AG12" i="1"/>
  <c r="AI33" i="7"/>
  <c r="Z33" i="7"/>
  <c r="N33" i="7"/>
  <c r="AH33" i="7"/>
  <c r="AM33" i="7"/>
  <c r="J33" i="7"/>
  <c r="S33" i="7"/>
  <c r="AY33" i="7"/>
  <c r="AC33" i="7"/>
  <c r="AU33" i="7"/>
  <c r="AJ33" i="7"/>
  <c r="BA33" i="7"/>
  <c r="L33" i="7"/>
  <c r="AF33" i="7"/>
  <c r="BF33" i="7"/>
  <c r="AA33" i="7"/>
  <c r="Y33" i="7"/>
  <c r="BB33" i="7"/>
  <c r="AG33" i="7"/>
  <c r="BD33" i="7"/>
  <c r="R33" i="7"/>
  <c r="D33" i="7"/>
  <c r="AT33" i="7"/>
  <c r="BC33" i="7"/>
  <c r="O33" i="7"/>
  <c r="AD33" i="7"/>
  <c r="V33" i="7"/>
  <c r="C33" i="7"/>
  <c r="H33" i="7"/>
  <c r="AO33" i="7"/>
  <c r="AZ33" i="7"/>
  <c r="AS33" i="7"/>
  <c r="U33" i="7"/>
  <c r="X33" i="7"/>
  <c r="AE33" i="7"/>
  <c r="M33" i="7"/>
  <c r="T33" i="7"/>
  <c r="AV33" i="7"/>
  <c r="AQ33" i="7"/>
  <c r="AX33" i="7"/>
  <c r="AR33" i="7"/>
  <c r="P33" i="7"/>
  <c r="AL33" i="7"/>
  <c r="W33" i="7"/>
  <c r="AB33" i="7"/>
  <c r="AK33" i="7"/>
  <c r="BE33" i="7"/>
  <c r="AW33" i="7"/>
  <c r="AP33" i="7"/>
  <c r="E33" i="7"/>
  <c r="K33" i="7"/>
  <c r="Q33" i="7"/>
  <c r="B33" i="7"/>
  <c r="AN33" i="7"/>
  <c r="AK34" i="2"/>
  <c r="AC34" i="2"/>
  <c r="AM34" i="2"/>
  <c r="E34" i="2"/>
  <c r="AZ34" i="2"/>
  <c r="D34" i="2"/>
  <c r="Q34" i="2"/>
  <c r="N34" i="2"/>
  <c r="V34" i="2"/>
  <c r="AJ34" i="2"/>
  <c r="AQ34" i="2"/>
  <c r="AF34" i="2"/>
  <c r="W34" i="2"/>
  <c r="AS34" i="2"/>
  <c r="S34" i="2"/>
  <c r="AR34" i="2"/>
  <c r="R34" i="2"/>
  <c r="BE34" i="2"/>
  <c r="AB34" i="2"/>
  <c r="AT34" i="2"/>
  <c r="AP34" i="2"/>
  <c r="U34" i="2"/>
  <c r="AE34" i="2"/>
  <c r="AV34" i="2"/>
  <c r="BC34" i="2"/>
  <c r="C34" i="2"/>
  <c r="K34" i="2"/>
  <c r="M34" i="2"/>
  <c r="J34" i="2"/>
  <c r="T34" i="2"/>
  <c r="AN34" i="2"/>
  <c r="AD34" i="2"/>
  <c r="AH34" i="2"/>
  <c r="AU34" i="2"/>
  <c r="BD34" i="2"/>
  <c r="BB34" i="2"/>
  <c r="O34" i="2"/>
  <c r="AG34" i="2"/>
  <c r="Z34" i="2"/>
  <c r="Y34" i="2"/>
  <c r="AY34" i="2"/>
  <c r="AL34" i="2"/>
  <c r="AA34" i="2"/>
  <c r="AI34" i="2"/>
  <c r="X34" i="2"/>
  <c r="BA34" i="2"/>
  <c r="AO34" i="2"/>
  <c r="BF34" i="2"/>
  <c r="AW34" i="2"/>
  <c r="P34" i="2"/>
  <c r="H34" i="2"/>
  <c r="AX34" i="2"/>
  <c r="B34" i="2"/>
  <c r="L34" i="2"/>
  <c r="Y5" i="5"/>
  <c r="AE5" i="5"/>
  <c r="AN5" i="5"/>
  <c r="AK5" i="5"/>
  <c r="J5" i="5"/>
  <c r="AT5" i="5"/>
  <c r="AI5" i="5"/>
  <c r="BB5" i="5"/>
  <c r="AU5" i="5"/>
  <c r="T5" i="5"/>
  <c r="AF5" i="5"/>
  <c r="K5" i="5"/>
  <c r="AG5" i="5"/>
  <c r="AA5" i="5"/>
  <c r="AL5" i="5"/>
  <c r="S5" i="5"/>
  <c r="AS5" i="5"/>
  <c r="Q5" i="5"/>
  <c r="AQ5" i="5"/>
  <c r="P5" i="5"/>
  <c r="R5" i="5"/>
  <c r="X5" i="5"/>
  <c r="Z5" i="5"/>
  <c r="AC5" i="5"/>
  <c r="AX5" i="5"/>
  <c r="AM5" i="5"/>
  <c r="BA5" i="5"/>
  <c r="AV5" i="5"/>
  <c r="W5" i="5"/>
  <c r="D5" i="5"/>
  <c r="AJ5" i="5"/>
  <c r="AO5" i="5"/>
  <c r="E5" i="5"/>
  <c r="AW5" i="5"/>
  <c r="AY5" i="5"/>
  <c r="BE5" i="5"/>
  <c r="BF5" i="5"/>
  <c r="V5" i="5"/>
  <c r="AR5" i="5"/>
  <c r="M5" i="5"/>
  <c r="L5" i="5"/>
  <c r="BD5" i="5"/>
  <c r="AD5" i="5"/>
  <c r="AH5" i="5"/>
  <c r="H5" i="5"/>
  <c r="AB5" i="5"/>
  <c r="AP5" i="5"/>
  <c r="U5" i="5"/>
  <c r="N5" i="5"/>
  <c r="C5" i="5"/>
  <c r="O5" i="5"/>
  <c r="BC5" i="5"/>
  <c r="AZ5" i="5"/>
  <c r="AR45" i="4"/>
  <c r="L45" i="4"/>
  <c r="R45" i="4"/>
  <c r="AX45" i="4"/>
  <c r="AJ45" i="4"/>
  <c r="AS45" i="4"/>
  <c r="T45" i="4"/>
  <c r="U45" i="4"/>
  <c r="W45" i="4"/>
  <c r="AL45" i="4"/>
  <c r="V45" i="4"/>
  <c r="AN45" i="4"/>
  <c r="K45" i="4"/>
  <c r="BF45" i="4"/>
  <c r="AG45" i="4"/>
  <c r="AE45" i="4"/>
  <c r="AU45" i="4"/>
  <c r="AK45" i="4"/>
  <c r="AW45" i="4"/>
  <c r="X45" i="4"/>
  <c r="C45" i="4"/>
  <c r="BD45" i="4"/>
  <c r="J45" i="4"/>
  <c r="AA45" i="4"/>
  <c r="D45" i="4"/>
  <c r="AH45" i="4"/>
  <c r="AM45" i="4"/>
  <c r="AO45" i="4"/>
  <c r="AD45" i="4"/>
  <c r="AT45" i="4"/>
  <c r="Y45" i="4"/>
  <c r="AB45" i="4"/>
  <c r="BA45" i="4"/>
  <c r="H45" i="4"/>
  <c r="M45" i="4"/>
  <c r="AF45" i="4"/>
  <c r="AZ45" i="4"/>
  <c r="BB45" i="4"/>
  <c r="BE45" i="4"/>
  <c r="O45" i="4"/>
  <c r="E45" i="4"/>
  <c r="Z45" i="4"/>
  <c r="AC45" i="4"/>
  <c r="S45" i="4"/>
  <c r="BC45" i="4"/>
  <c r="N45" i="4"/>
  <c r="AI45" i="4"/>
  <c r="AY45" i="4"/>
  <c r="AV45" i="4"/>
  <c r="Q45" i="4"/>
  <c r="AQ45" i="4"/>
  <c r="AP45" i="4"/>
  <c r="B45" i="4"/>
  <c r="P45" i="4"/>
  <c r="AN52" i="7"/>
  <c r="D52" i="7"/>
  <c r="AC52" i="7"/>
  <c r="H52" i="7"/>
  <c r="Q52" i="7"/>
  <c r="L52" i="7"/>
  <c r="C52" i="7"/>
  <c r="AJ52" i="7"/>
  <c r="AO52" i="7"/>
  <c r="AM52" i="7"/>
  <c r="O52" i="7"/>
  <c r="AW52" i="7"/>
  <c r="P52" i="7"/>
  <c r="M52" i="7"/>
  <c r="AF52" i="7"/>
  <c r="AP52" i="7"/>
  <c r="AB52" i="7"/>
  <c r="AL52" i="7"/>
  <c r="E52" i="7"/>
  <c r="AQ52" i="7"/>
  <c r="AU52" i="7"/>
  <c r="AK52" i="7"/>
  <c r="BB52" i="7"/>
  <c r="AS52" i="7"/>
  <c r="AA52" i="7"/>
  <c r="T52" i="7"/>
  <c r="AR52" i="7"/>
  <c r="AG52" i="7"/>
  <c r="K52" i="7"/>
  <c r="BA52" i="7"/>
  <c r="X52" i="7"/>
  <c r="AE52" i="7"/>
  <c r="N52" i="7"/>
  <c r="AV52" i="7"/>
  <c r="W52" i="7"/>
  <c r="R52" i="7"/>
  <c r="AZ52" i="7"/>
  <c r="V52" i="7"/>
  <c r="Z52" i="7"/>
  <c r="AD52" i="7"/>
  <c r="AY52" i="7"/>
  <c r="BC52" i="7"/>
  <c r="J52" i="7"/>
  <c r="AT52" i="7"/>
  <c r="BF52" i="7"/>
  <c r="AH52" i="7"/>
  <c r="U52" i="7"/>
  <c r="S52" i="7"/>
  <c r="AI52" i="7"/>
  <c r="Y52" i="7"/>
  <c r="BE52" i="7"/>
  <c r="AX52" i="7"/>
  <c r="B52" i="7"/>
  <c r="BD52" i="7"/>
  <c r="AQ52" i="2"/>
  <c r="AG52" i="2"/>
  <c r="AL52" i="2"/>
  <c r="W52" i="2"/>
  <c r="BB52" i="2"/>
  <c r="AA52" i="2"/>
  <c r="S52" i="2"/>
  <c r="C52" i="2"/>
  <c r="AE52" i="2"/>
  <c r="Y52" i="2"/>
  <c r="O52" i="2"/>
  <c r="BE52" i="2"/>
  <c r="H52" i="2"/>
  <c r="M52" i="2"/>
  <c r="AZ52" i="2"/>
  <c r="AY52" i="2"/>
  <c r="AO52" i="2"/>
  <c r="K52" i="2"/>
  <c r="AX52" i="2"/>
  <c r="T52" i="2"/>
  <c r="AN52" i="2"/>
  <c r="AR52" i="2"/>
  <c r="V52" i="2"/>
  <c r="Z52" i="2"/>
  <c r="AU52" i="2"/>
  <c r="X52" i="2"/>
  <c r="AH52" i="2"/>
  <c r="BA52" i="2"/>
  <c r="E52" i="2"/>
  <c r="AK52" i="2"/>
  <c r="AV52" i="2"/>
  <c r="AB52" i="2"/>
  <c r="AW52" i="2"/>
  <c r="P52" i="2"/>
  <c r="AP52" i="2"/>
  <c r="BD52" i="2"/>
  <c r="D52" i="2"/>
  <c r="AM52" i="2"/>
  <c r="AD52" i="2"/>
  <c r="AF52" i="2"/>
  <c r="R52" i="2"/>
  <c r="J52" i="2"/>
  <c r="Q52" i="2"/>
  <c r="L52" i="2"/>
  <c r="AI52" i="2"/>
  <c r="U52" i="2"/>
  <c r="AT52" i="2"/>
  <c r="BF52" i="2"/>
  <c r="N52" i="2"/>
  <c r="AC52" i="2"/>
  <c r="AJ52" i="2"/>
  <c r="AS52" i="2"/>
  <c r="B52" i="2"/>
  <c r="BC52" i="2"/>
  <c r="AR14" i="4"/>
  <c r="AK14" i="4"/>
  <c r="T14" i="4"/>
  <c r="AD14" i="4"/>
  <c r="AI14" i="4"/>
  <c r="AX14" i="4"/>
  <c r="AS14" i="4"/>
  <c r="Y14" i="4"/>
  <c r="AY14" i="4"/>
  <c r="AM14" i="4"/>
  <c r="U14" i="4"/>
  <c r="R14" i="4"/>
  <c r="AL14" i="4"/>
  <c r="P14" i="4"/>
  <c r="Z14" i="4"/>
  <c r="AO14" i="4"/>
  <c r="X14" i="4"/>
  <c r="J14" i="4"/>
  <c r="AE14" i="4"/>
  <c r="AJ14" i="4"/>
  <c r="AC14" i="4"/>
  <c r="E14" i="4"/>
  <c r="O14" i="4"/>
  <c r="BB14" i="4"/>
  <c r="V14" i="4"/>
  <c r="AG14" i="4"/>
  <c r="AH14" i="4"/>
  <c r="AV14" i="4"/>
  <c r="D14" i="4"/>
  <c r="AN14" i="4"/>
  <c r="S14" i="4"/>
  <c r="M14" i="4"/>
  <c r="W14" i="4"/>
  <c r="AF14" i="4"/>
  <c r="AT14" i="4"/>
  <c r="AW14" i="4"/>
  <c r="C14" i="4"/>
  <c r="BA14" i="4"/>
  <c r="BD14" i="4"/>
  <c r="AZ14" i="4"/>
  <c r="H14" i="4"/>
  <c r="BF14" i="4"/>
  <c r="AQ14" i="4"/>
  <c r="AP14" i="4"/>
  <c r="Q14" i="4"/>
  <c r="K14" i="4"/>
  <c r="BC14" i="4"/>
  <c r="AU14" i="4"/>
  <c r="L14" i="4"/>
  <c r="N14" i="4"/>
  <c r="BE14" i="4"/>
  <c r="AA14" i="4"/>
  <c r="B14" i="4"/>
  <c r="AB14" i="4"/>
  <c r="W32" i="5"/>
  <c r="AU32" i="5"/>
  <c r="AO32" i="5"/>
  <c r="P32" i="5"/>
  <c r="AB32" i="5"/>
  <c r="AD32" i="5"/>
  <c r="K32" i="5"/>
  <c r="X32" i="5"/>
  <c r="U32" i="5"/>
  <c r="AK32" i="5"/>
  <c r="AJ32" i="5"/>
  <c r="R32" i="5"/>
  <c r="J32" i="5"/>
  <c r="AH32" i="5"/>
  <c r="AW32" i="5"/>
  <c r="M32" i="5"/>
  <c r="BD32" i="5"/>
  <c r="Y32" i="5"/>
  <c r="AQ32" i="5"/>
  <c r="O32" i="5"/>
  <c r="BA32" i="5"/>
  <c r="H32" i="5"/>
  <c r="AY32" i="5"/>
  <c r="AT32" i="5"/>
  <c r="AC32" i="5"/>
  <c r="BC32" i="5"/>
  <c r="N32" i="5"/>
  <c r="AG32" i="5"/>
  <c r="AA32" i="5"/>
  <c r="AN32" i="5"/>
  <c r="BB32" i="5"/>
  <c r="AX32" i="5"/>
  <c r="AE32" i="5"/>
  <c r="Q32" i="5"/>
  <c r="BF32" i="5"/>
  <c r="Z32" i="5"/>
  <c r="AF32" i="5"/>
  <c r="L32" i="5"/>
  <c r="T32" i="5"/>
  <c r="AS32" i="5"/>
  <c r="D32" i="5"/>
  <c r="V32" i="5"/>
  <c r="AP32" i="5"/>
  <c r="AM32" i="5"/>
  <c r="C32" i="5"/>
  <c r="AV32" i="5"/>
  <c r="AI32" i="5"/>
  <c r="AZ32" i="5"/>
  <c r="BE32" i="5"/>
  <c r="S32" i="5"/>
  <c r="AL32" i="5"/>
  <c r="AR32" i="5"/>
  <c r="B32" i="5"/>
  <c r="E32" i="5"/>
  <c r="BC19" i="8"/>
  <c r="AX19" i="8"/>
  <c r="AN19" i="8"/>
  <c r="AP19" i="8"/>
  <c r="Q19" i="8"/>
  <c r="M19" i="8"/>
  <c r="U19" i="8"/>
  <c r="BF19" i="8"/>
  <c r="V19" i="8"/>
  <c r="AC19" i="8"/>
  <c r="AS19" i="8"/>
  <c r="T19" i="8"/>
  <c r="AU19" i="8"/>
  <c r="N19" i="8"/>
  <c r="O19" i="8"/>
  <c r="AL19" i="8"/>
  <c r="P19" i="8"/>
  <c r="AM19" i="8"/>
  <c r="AJ19" i="8"/>
  <c r="K19" i="8"/>
  <c r="BD19" i="8"/>
  <c r="AW19" i="8"/>
  <c r="AY19" i="8"/>
  <c r="L19" i="8"/>
  <c r="J19" i="8"/>
  <c r="AI19" i="8"/>
  <c r="S19" i="8"/>
  <c r="C19" i="8"/>
  <c r="R19" i="8"/>
  <c r="AE19" i="8"/>
  <c r="BA19" i="8"/>
  <c r="AT19" i="8"/>
  <c r="D19" i="8"/>
  <c r="AO19" i="8"/>
  <c r="AD19" i="8"/>
  <c r="AG19" i="8"/>
  <c r="AZ19" i="8"/>
  <c r="BB19" i="8"/>
  <c r="AB19" i="8"/>
  <c r="AV19" i="8"/>
  <c r="AA19" i="8"/>
  <c r="AK19" i="8"/>
  <c r="AR19" i="8"/>
  <c r="X19" i="8"/>
  <c r="E19" i="8"/>
  <c r="BE19" i="8"/>
  <c r="AF19" i="8"/>
  <c r="AH19" i="8"/>
  <c r="Z19" i="8"/>
  <c r="H19" i="8"/>
  <c r="W19" i="8"/>
  <c r="Y19" i="8"/>
  <c r="B19" i="8"/>
  <c r="AQ19" i="8"/>
  <c r="AY30" i="5"/>
  <c r="BF30" i="5"/>
  <c r="AB30" i="5"/>
  <c r="AL30" i="5"/>
  <c r="AU30" i="5"/>
  <c r="M30" i="5"/>
  <c r="AI30" i="5"/>
  <c r="E30" i="5"/>
  <c r="AX30" i="5"/>
  <c r="AR30" i="5"/>
  <c r="BB30" i="5"/>
  <c r="AP30" i="5"/>
  <c r="AA30" i="5"/>
  <c r="Y30" i="5"/>
  <c r="AZ30" i="5"/>
  <c r="AT30" i="5"/>
  <c r="D30" i="5"/>
  <c r="AM30" i="5"/>
  <c r="AK30" i="5"/>
  <c r="H30" i="5"/>
  <c r="O30" i="5"/>
  <c r="L30" i="5"/>
  <c r="W30" i="5"/>
  <c r="AO30" i="5"/>
  <c r="U30" i="5"/>
  <c r="C30" i="5"/>
  <c r="AD30" i="5"/>
  <c r="AN30" i="5"/>
  <c r="V30" i="5"/>
  <c r="AF30" i="5"/>
  <c r="N30" i="5"/>
  <c r="T30" i="5"/>
  <c r="BA30" i="5"/>
  <c r="AE30" i="5"/>
  <c r="K30" i="5"/>
  <c r="AC30" i="5"/>
  <c r="AS30" i="5"/>
  <c r="AH30" i="5"/>
  <c r="J30" i="5"/>
  <c r="AG30" i="5"/>
  <c r="Z30" i="5"/>
  <c r="Q30" i="5"/>
  <c r="AV30" i="5"/>
  <c r="BD30" i="5"/>
  <c r="S30" i="5"/>
  <c r="AJ30" i="5"/>
  <c r="AQ30" i="5"/>
  <c r="AW30" i="5"/>
  <c r="BC30" i="5"/>
  <c r="X30" i="5"/>
  <c r="P30" i="5"/>
  <c r="R30" i="5"/>
  <c r="B30" i="5"/>
  <c r="BE30" i="5"/>
  <c r="K33" i="8"/>
  <c r="AJ33" i="8"/>
  <c r="C33" i="8"/>
  <c r="AR33" i="8"/>
  <c r="E33" i="8"/>
  <c r="AL33" i="8"/>
  <c r="D33" i="8"/>
  <c r="Z33" i="8"/>
  <c r="AI33" i="8"/>
  <c r="R33" i="8"/>
  <c r="W33" i="8"/>
  <c r="AX33" i="8"/>
  <c r="AB33" i="8"/>
  <c r="AF33" i="8"/>
  <c r="V33" i="8"/>
  <c r="AM33" i="8"/>
  <c r="S33" i="8"/>
  <c r="AO33" i="8"/>
  <c r="AZ33" i="8"/>
  <c r="L33" i="8"/>
  <c r="BE33" i="8"/>
  <c r="Q33" i="8"/>
  <c r="O33" i="8"/>
  <c r="AD33" i="8"/>
  <c r="AY33" i="8"/>
  <c r="AE33" i="8"/>
  <c r="N33" i="8"/>
  <c r="P33" i="8"/>
  <c r="AW33" i="8"/>
  <c r="AH33" i="8"/>
  <c r="M33" i="8"/>
  <c r="AC33" i="8"/>
  <c r="Y33" i="8"/>
  <c r="AG33" i="8"/>
  <c r="AV33" i="8"/>
  <c r="BF33" i="8"/>
  <c r="H33" i="8"/>
  <c r="U33" i="8"/>
  <c r="AS33" i="8"/>
  <c r="BD33" i="8"/>
  <c r="X33" i="8"/>
  <c r="AP33" i="8"/>
  <c r="AN33" i="8"/>
  <c r="AU33" i="8"/>
  <c r="BC33" i="8"/>
  <c r="AA33" i="8"/>
  <c r="BA33" i="8"/>
  <c r="T33" i="8"/>
  <c r="J33" i="8"/>
  <c r="AT33" i="8"/>
  <c r="AK33" i="8"/>
  <c r="BB33" i="8"/>
  <c r="AQ33" i="8"/>
  <c r="AS51" i="8"/>
  <c r="T51" i="8"/>
  <c r="AU51" i="8"/>
  <c r="AF51" i="8"/>
  <c r="N51" i="8"/>
  <c r="AI51" i="8"/>
  <c r="BA51" i="8"/>
  <c r="AD51" i="8"/>
  <c r="AM51" i="8"/>
  <c r="AH51" i="8"/>
  <c r="O51" i="8"/>
  <c r="AN51" i="8"/>
  <c r="AK51" i="8"/>
  <c r="P51" i="8"/>
  <c r="H51" i="8"/>
  <c r="S51" i="8"/>
  <c r="E51" i="8"/>
  <c r="AP51" i="8"/>
  <c r="AG51" i="8"/>
  <c r="Y51" i="8"/>
  <c r="AJ51" i="8"/>
  <c r="BE51" i="8"/>
  <c r="W51" i="8"/>
  <c r="J51" i="8"/>
  <c r="AZ51" i="8"/>
  <c r="AB51" i="8"/>
  <c r="X51" i="8"/>
  <c r="Q51" i="8"/>
  <c r="AC51" i="8"/>
  <c r="R51" i="8"/>
  <c r="AL51" i="8"/>
  <c r="AY51" i="8"/>
  <c r="BF51" i="8"/>
  <c r="AT51" i="8"/>
  <c r="AW51" i="8"/>
  <c r="BC51" i="8"/>
  <c r="AV51" i="8"/>
  <c r="BB51" i="8"/>
  <c r="Z51" i="8"/>
  <c r="D51" i="8"/>
  <c r="AE51" i="8"/>
  <c r="BD51" i="8"/>
  <c r="AO51" i="8"/>
  <c r="V51" i="8"/>
  <c r="AA51" i="8"/>
  <c r="L51" i="8"/>
  <c r="M51" i="8"/>
  <c r="K51" i="8"/>
  <c r="AQ51" i="8"/>
  <c r="AR51" i="8"/>
  <c r="C51" i="8"/>
  <c r="U51" i="8"/>
  <c r="B51" i="8"/>
  <c r="AX51" i="8"/>
  <c r="BE23" i="9"/>
  <c r="AU23" i="9"/>
  <c r="H23" i="9"/>
  <c r="E23" i="9"/>
  <c r="AW23" i="9"/>
  <c r="AP23" i="9"/>
  <c r="BD23" i="9"/>
  <c r="L23" i="9"/>
  <c r="AV23" i="9"/>
  <c r="M23" i="9"/>
  <c r="AT23" i="9"/>
  <c r="V23" i="9"/>
  <c r="BC23" i="9"/>
  <c r="BB23" i="9"/>
  <c r="S23" i="9"/>
  <c r="AZ23" i="9"/>
  <c r="AA23" i="9"/>
  <c r="K23" i="9"/>
  <c r="AL23" i="9"/>
  <c r="AO23" i="9"/>
  <c r="AK23" i="9"/>
  <c r="AI23" i="9"/>
  <c r="J23" i="9"/>
  <c r="BA23" i="9"/>
  <c r="AN23" i="9"/>
  <c r="AS23" i="9"/>
  <c r="R23" i="9"/>
  <c r="P23" i="9"/>
  <c r="AF23" i="9"/>
  <c r="AB23" i="9"/>
  <c r="AE23" i="9"/>
  <c r="Q23" i="9"/>
  <c r="C23" i="9"/>
  <c r="U23" i="9"/>
  <c r="AH23" i="9"/>
  <c r="AQ23" i="9"/>
  <c r="AM23" i="9"/>
  <c r="BF23" i="9"/>
  <c r="Z23" i="9"/>
  <c r="X23" i="9"/>
  <c r="AC23" i="9"/>
  <c r="AY23" i="9"/>
  <c r="AG23" i="9"/>
  <c r="D23" i="9"/>
  <c r="AX23" i="9"/>
  <c r="T23" i="9"/>
  <c r="O23" i="9"/>
  <c r="AD23" i="9"/>
  <c r="AR23" i="9"/>
  <c r="N23" i="9"/>
  <c r="W23" i="9"/>
  <c r="Y23" i="9"/>
  <c r="AJ23" i="9"/>
  <c r="BA43" i="2"/>
  <c r="AY43" i="2"/>
  <c r="BC43" i="2"/>
  <c r="AH43" i="2"/>
  <c r="K43" i="2"/>
  <c r="L43" i="2"/>
  <c r="AM43" i="2"/>
  <c r="E43" i="2"/>
  <c r="AV43" i="2"/>
  <c r="AJ43" i="2"/>
  <c r="AS43" i="2"/>
  <c r="M43" i="2"/>
  <c r="AX43" i="2"/>
  <c r="AB43" i="2"/>
  <c r="BE43" i="2"/>
  <c r="P43" i="2"/>
  <c r="V43" i="2"/>
  <c r="U43" i="2"/>
  <c r="AK43" i="2"/>
  <c r="AI43" i="2"/>
  <c r="T43" i="2"/>
  <c r="AG43" i="2"/>
  <c r="H43" i="2"/>
  <c r="AT43" i="2"/>
  <c r="AF43" i="2"/>
  <c r="AQ43" i="2"/>
  <c r="AD43" i="2"/>
  <c r="AO43" i="2"/>
  <c r="Y43" i="2"/>
  <c r="BD43" i="2"/>
  <c r="AC43" i="2"/>
  <c r="R43" i="2"/>
  <c r="D43" i="2"/>
  <c r="J43" i="2"/>
  <c r="X43" i="2"/>
  <c r="AA43" i="2"/>
  <c r="N43" i="2"/>
  <c r="AR43" i="2"/>
  <c r="AL43" i="2"/>
  <c r="BF43" i="2"/>
  <c r="O43" i="2"/>
  <c r="Q43" i="2"/>
  <c r="AP43" i="2"/>
  <c r="AW43" i="2"/>
  <c r="Z43" i="2"/>
  <c r="AN43" i="2"/>
  <c r="S43" i="2"/>
  <c r="BB43" i="2"/>
  <c r="C43" i="2"/>
  <c r="W43" i="2"/>
  <c r="AZ43" i="2"/>
  <c r="AU43" i="2"/>
  <c r="B43" i="2"/>
  <c r="AE43" i="2"/>
  <c r="AV6" i="6"/>
  <c r="AA6" i="6"/>
  <c r="Q6" i="6"/>
  <c r="Y6" i="6"/>
  <c r="BB6" i="6"/>
  <c r="AU6" i="6"/>
  <c r="V6" i="6"/>
  <c r="H6" i="6"/>
  <c r="AO6" i="6"/>
  <c r="AS6" i="6"/>
  <c r="AC6" i="6"/>
  <c r="N6" i="6"/>
  <c r="C6" i="6"/>
  <c r="AE6" i="6"/>
  <c r="AT6" i="6"/>
  <c r="X6" i="6"/>
  <c r="D6" i="6"/>
  <c r="BE6" i="6"/>
  <c r="T6" i="6"/>
  <c r="AQ6" i="6"/>
  <c r="E6" i="6"/>
  <c r="L6" i="6"/>
  <c r="U6" i="6"/>
  <c r="AK6" i="6"/>
  <c r="AF6" i="6"/>
  <c r="BD6" i="6"/>
  <c r="R6" i="6"/>
  <c r="O6" i="6"/>
  <c r="P6" i="6"/>
  <c r="S6" i="6"/>
  <c r="AN6" i="6"/>
  <c r="AW6" i="6"/>
  <c r="W6" i="6"/>
  <c r="AP6" i="6"/>
  <c r="AZ6" i="6"/>
  <c r="AD6" i="6"/>
  <c r="J6" i="6"/>
  <c r="AG6" i="6"/>
  <c r="AY6" i="6"/>
  <c r="AH6" i="6"/>
  <c r="Z6" i="6"/>
  <c r="AB6" i="6"/>
  <c r="K6" i="6"/>
  <c r="AR6" i="6"/>
  <c r="AM6" i="6"/>
  <c r="M6" i="6"/>
  <c r="AI6" i="6"/>
  <c r="BA6" i="6"/>
  <c r="BF6" i="6"/>
  <c r="AX6" i="6"/>
  <c r="AJ6" i="6"/>
  <c r="AL6" i="6"/>
  <c r="BC6" i="6"/>
  <c r="F10" i="1"/>
  <c r="G10" i="1"/>
  <c r="I10" i="1"/>
  <c r="K29" i="2"/>
  <c r="V29" i="2"/>
  <c r="AA29" i="2"/>
  <c r="AW29" i="2"/>
  <c r="AE29" i="2"/>
  <c r="L29" i="2"/>
  <c r="R29" i="2"/>
  <c r="AJ29" i="2"/>
  <c r="AK29" i="2"/>
  <c r="AU29" i="2"/>
  <c r="D29" i="2"/>
  <c r="AP29" i="2"/>
  <c r="AN29" i="2"/>
  <c r="AO29" i="2"/>
  <c r="AZ29" i="2"/>
  <c r="BD29" i="2"/>
  <c r="Z29" i="2"/>
  <c r="T29" i="2"/>
  <c r="AL29" i="2"/>
  <c r="S29" i="2"/>
  <c r="AB29" i="2"/>
  <c r="P29" i="2"/>
  <c r="AT29" i="2"/>
  <c r="AY29" i="2"/>
  <c r="Q29" i="2"/>
  <c r="AG29" i="2"/>
  <c r="M29" i="2"/>
  <c r="X29" i="2"/>
  <c r="U29" i="2"/>
  <c r="N29" i="2"/>
  <c r="AV29" i="2"/>
  <c r="J29" i="2"/>
  <c r="AH29" i="2"/>
  <c r="AD29" i="2"/>
  <c r="AC29" i="2"/>
  <c r="C29" i="2"/>
  <c r="E29" i="2"/>
  <c r="AF29" i="2"/>
  <c r="AS29" i="2"/>
  <c r="AR29" i="2"/>
  <c r="AX29" i="2"/>
  <c r="BB29" i="2"/>
  <c r="BF29" i="2"/>
  <c r="BA29" i="2"/>
  <c r="O29" i="2"/>
  <c r="W29" i="2"/>
  <c r="BE29" i="2"/>
  <c r="H29" i="2"/>
  <c r="AI29" i="2"/>
  <c r="BC29" i="2"/>
  <c r="AQ29" i="2"/>
  <c r="Y29" i="2"/>
  <c r="AM29" i="2"/>
  <c r="B37" i="5"/>
  <c r="I37" i="5"/>
  <c r="G37" i="5"/>
  <c r="F37" i="5"/>
  <c r="J50" i="10"/>
  <c r="H50" i="10"/>
  <c r="BA50" i="10"/>
  <c r="BF50" i="10"/>
  <c r="D50" i="10"/>
  <c r="M50" i="10"/>
  <c r="AB50" i="10"/>
  <c r="AM50" i="10"/>
  <c r="AX50" i="10"/>
  <c r="BB50" i="10"/>
  <c r="T50" i="10"/>
  <c r="R50" i="10"/>
  <c r="AU50" i="10"/>
  <c r="AJ50" i="10"/>
  <c r="AL50" i="10"/>
  <c r="Z50" i="10"/>
  <c r="BC50" i="10"/>
  <c r="AY50" i="10"/>
  <c r="L50" i="10"/>
  <c r="X50" i="10"/>
  <c r="S50" i="10"/>
  <c r="AP50" i="10"/>
  <c r="Q50" i="10"/>
  <c r="AC50" i="10"/>
  <c r="V50" i="10"/>
  <c r="AK50" i="10"/>
  <c r="AN50" i="10"/>
  <c r="O50" i="10"/>
  <c r="AZ50" i="10"/>
  <c r="AV50" i="10"/>
  <c r="AE50" i="10"/>
  <c r="BE50" i="10"/>
  <c r="AH50" i="10"/>
  <c r="AA50" i="10"/>
  <c r="AF50" i="10"/>
  <c r="AI50" i="10"/>
  <c r="P50" i="10"/>
  <c r="AT50" i="10"/>
  <c r="AD50" i="10"/>
  <c r="E50" i="10"/>
  <c r="U50" i="10"/>
  <c r="AG50" i="10"/>
  <c r="Y50" i="10"/>
  <c r="C50" i="10"/>
  <c r="AW50" i="10"/>
  <c r="AQ50" i="10"/>
  <c r="BD50" i="10"/>
  <c r="AR50" i="10"/>
  <c r="K50" i="10"/>
  <c r="AS50" i="10"/>
  <c r="W50" i="10"/>
  <c r="AO50" i="10"/>
  <c r="B50" i="10"/>
  <c r="N50" i="10"/>
  <c r="AX51" i="9"/>
  <c r="J51" i="9"/>
  <c r="K51" i="9"/>
  <c r="AY51" i="9"/>
  <c r="D51" i="9"/>
  <c r="AZ51" i="9"/>
  <c r="AG51" i="9"/>
  <c r="W51" i="9"/>
  <c r="R51" i="9"/>
  <c r="C51" i="9"/>
  <c r="AT51" i="9"/>
  <c r="BD51" i="9"/>
  <c r="O51" i="9"/>
  <c r="AR51" i="9"/>
  <c r="AB51" i="9"/>
  <c r="BE51" i="9"/>
  <c r="AD51" i="9"/>
  <c r="H51" i="9"/>
  <c r="AL51" i="9"/>
  <c r="AO51" i="9"/>
  <c r="V51" i="9"/>
  <c r="P51" i="9"/>
  <c r="BA51" i="9"/>
  <c r="BB51" i="9"/>
  <c r="AA51" i="9"/>
  <c r="AK51" i="9"/>
  <c r="AM51" i="9"/>
  <c r="BF51" i="9"/>
  <c r="AJ51" i="9"/>
  <c r="Q51" i="9"/>
  <c r="AU51" i="9"/>
  <c r="AW51" i="9"/>
  <c r="AP51" i="9"/>
  <c r="AI51" i="9"/>
  <c r="AN51" i="9"/>
  <c r="Z51" i="9"/>
  <c r="U51" i="9"/>
  <c r="AF51" i="9"/>
  <c r="N51" i="9"/>
  <c r="Y51" i="9"/>
  <c r="L51" i="9"/>
  <c r="T51" i="9"/>
  <c r="AV51" i="9"/>
  <c r="BC51" i="9"/>
  <c r="S51" i="9"/>
  <c r="AS51" i="9"/>
  <c r="E51" i="9"/>
  <c r="M51" i="9"/>
  <c r="AQ51" i="9"/>
  <c r="AH51" i="9"/>
  <c r="X51" i="9"/>
  <c r="AE51" i="9"/>
  <c r="AC51" i="9"/>
  <c r="B23" i="9"/>
  <c r="I23" i="9"/>
  <c r="G23" i="9"/>
  <c r="F23" i="9"/>
  <c r="Y30" i="6"/>
  <c r="AQ30" i="6"/>
  <c r="C30" i="6"/>
  <c r="AW30" i="6"/>
  <c r="P30" i="6"/>
  <c r="BA30" i="6"/>
  <c r="AA30" i="6"/>
  <c r="AD30" i="6"/>
  <c r="D30" i="6"/>
  <c r="AN30" i="6"/>
  <c r="AT30" i="6"/>
  <c r="AC30" i="6"/>
  <c r="H30" i="6"/>
  <c r="L30" i="6"/>
  <c r="AH30" i="6"/>
  <c r="BD30" i="6"/>
  <c r="AE30" i="6"/>
  <c r="BC30" i="6"/>
  <c r="U30" i="6"/>
  <c r="AL30" i="6"/>
  <c r="E30" i="6"/>
  <c r="AX30" i="6"/>
  <c r="AS30" i="6"/>
  <c r="K30" i="6"/>
  <c r="BE30" i="6"/>
  <c r="AR30" i="6"/>
  <c r="AY30" i="6"/>
  <c r="N30" i="6"/>
  <c r="J30" i="6"/>
  <c r="Q30" i="6"/>
  <c r="BB30" i="6"/>
  <c r="S30" i="6"/>
  <c r="AI30" i="6"/>
  <c r="AF30" i="6"/>
  <c r="M30" i="6"/>
  <c r="AV30" i="6"/>
  <c r="BF30" i="6"/>
  <c r="AK30" i="6"/>
  <c r="AZ30" i="6"/>
  <c r="AP30" i="6"/>
  <c r="AM30" i="6"/>
  <c r="AB30" i="6"/>
  <c r="W30" i="6"/>
  <c r="Z30" i="6"/>
  <c r="T30" i="6"/>
  <c r="AO30" i="6"/>
  <c r="V30" i="6"/>
  <c r="AJ30" i="6"/>
  <c r="AU30" i="6"/>
  <c r="O30" i="6"/>
  <c r="R30" i="6"/>
  <c r="AG30" i="6"/>
  <c r="B30" i="6"/>
  <c r="X30" i="6"/>
  <c r="BD58" i="4"/>
  <c r="Y58" i="4"/>
  <c r="AN58" i="4"/>
  <c r="E58" i="4"/>
  <c r="Z58" i="4"/>
  <c r="AA58" i="4"/>
  <c r="AJ58" i="4"/>
  <c r="K58" i="4"/>
  <c r="AH58" i="4"/>
  <c r="L58" i="4"/>
  <c r="AL58" i="4"/>
  <c r="AS58" i="4"/>
  <c r="BF58" i="4"/>
  <c r="AZ58" i="4"/>
  <c r="C58" i="4"/>
  <c r="AB58" i="4"/>
  <c r="AU58" i="4"/>
  <c r="X58" i="4"/>
  <c r="AK58" i="4"/>
  <c r="U58" i="4"/>
  <c r="AG58" i="4"/>
  <c r="BC58" i="4"/>
  <c r="AE58" i="4"/>
  <c r="BA58" i="4"/>
  <c r="R58" i="4"/>
  <c r="AD58" i="4"/>
  <c r="D58" i="4"/>
  <c r="AY58" i="4"/>
  <c r="AM58" i="4"/>
  <c r="AW58" i="4"/>
  <c r="Q58" i="4"/>
  <c r="BB58" i="4"/>
  <c r="AC58" i="4"/>
  <c r="AQ58" i="4"/>
  <c r="AF58" i="4"/>
  <c r="BE58" i="4"/>
  <c r="W58" i="4"/>
  <c r="O58" i="4"/>
  <c r="J58" i="4"/>
  <c r="AO58" i="4"/>
  <c r="AI58" i="4"/>
  <c r="S58" i="4"/>
  <c r="AT58" i="4"/>
  <c r="P58" i="4"/>
  <c r="T58" i="4"/>
  <c r="V58" i="4"/>
  <c r="N58" i="4"/>
  <c r="AV58" i="4"/>
  <c r="M58" i="4"/>
  <c r="AX58" i="4"/>
  <c r="AP58" i="4"/>
  <c r="H58" i="4"/>
  <c r="AR58" i="4"/>
  <c r="F34" i="8"/>
  <c r="B34" i="8"/>
  <c r="I34" i="8"/>
  <c r="G34" i="8"/>
  <c r="I49" i="1"/>
  <c r="G49" i="1"/>
  <c r="F49" i="1"/>
  <c r="C51" i="7"/>
  <c r="AF51" i="7"/>
  <c r="U51" i="7"/>
  <c r="AB51" i="7"/>
  <c r="BE51" i="7"/>
  <c r="AH51" i="7"/>
  <c r="D51" i="7"/>
  <c r="Y51" i="7"/>
  <c r="AE51" i="7"/>
  <c r="X51" i="7"/>
  <c r="O51" i="7"/>
  <c r="AW51" i="7"/>
  <c r="BF51" i="7"/>
  <c r="N51" i="7"/>
  <c r="AX51" i="7"/>
  <c r="K51" i="7"/>
  <c r="AK51" i="7"/>
  <c r="E51" i="7"/>
  <c r="AL51" i="7"/>
  <c r="AT51" i="7"/>
  <c r="BC51" i="7"/>
  <c r="Q51" i="7"/>
  <c r="AO51" i="7"/>
  <c r="AQ51" i="7"/>
  <c r="V51" i="7"/>
  <c r="AM51" i="7"/>
  <c r="AZ51" i="7"/>
  <c r="BB51" i="7"/>
  <c r="BA51" i="7"/>
  <c r="AG51" i="7"/>
  <c r="AU51" i="7"/>
  <c r="AI51" i="7"/>
  <c r="S51" i="7"/>
  <c r="AC51" i="7"/>
  <c r="AA51" i="7"/>
  <c r="AP51" i="7"/>
  <c r="W51" i="7"/>
  <c r="BD51" i="7"/>
  <c r="P51" i="7"/>
  <c r="T51" i="7"/>
  <c r="AR51" i="7"/>
  <c r="AY51" i="7"/>
  <c r="AD51" i="7"/>
  <c r="J51" i="7"/>
  <c r="M51" i="7"/>
  <c r="H51" i="7"/>
  <c r="L51" i="7"/>
  <c r="AS51" i="7"/>
  <c r="AJ51" i="7"/>
  <c r="R51" i="7"/>
  <c r="Z51" i="7"/>
  <c r="AN51" i="7"/>
  <c r="AV51" i="7"/>
  <c r="BE53" i="10"/>
  <c r="AT53" i="10"/>
  <c r="U53" i="10"/>
  <c r="AO53" i="10"/>
  <c r="AW53" i="10"/>
  <c r="P53" i="10"/>
  <c r="AD53" i="10"/>
  <c r="AJ53" i="10"/>
  <c r="M53" i="10"/>
  <c r="AN53" i="10"/>
  <c r="H53" i="10"/>
  <c r="BA53" i="10"/>
  <c r="AQ53" i="10"/>
  <c r="V53" i="10"/>
  <c r="T53" i="10"/>
  <c r="BC53" i="10"/>
  <c r="AZ53" i="10"/>
  <c r="E53" i="10"/>
  <c r="AB53" i="10"/>
  <c r="BF53" i="10"/>
  <c r="Z53" i="10"/>
  <c r="AF53" i="10"/>
  <c r="C53" i="10"/>
  <c r="AM53" i="10"/>
  <c r="Q53" i="10"/>
  <c r="J53" i="10"/>
  <c r="BB53" i="10"/>
  <c r="AU53" i="10"/>
  <c r="AV53" i="10"/>
  <c r="O53" i="10"/>
  <c r="S53" i="10"/>
  <c r="AR53" i="10"/>
  <c r="AS53" i="10"/>
  <c r="X53" i="10"/>
  <c r="R53" i="10"/>
  <c r="K53" i="10"/>
  <c r="L53" i="10"/>
  <c r="AI53" i="10"/>
  <c r="Y53" i="10"/>
  <c r="D53" i="10"/>
  <c r="N53" i="10"/>
  <c r="AP53" i="10"/>
  <c r="AA53" i="10"/>
  <c r="AH53" i="10"/>
  <c r="W53" i="10"/>
  <c r="AL53" i="10"/>
  <c r="AG53" i="10"/>
  <c r="AC53" i="10"/>
  <c r="AX53" i="10"/>
  <c r="AK53" i="10"/>
  <c r="AE53" i="10"/>
  <c r="BD53" i="10"/>
  <c r="B53" i="10"/>
  <c r="AY53" i="10"/>
  <c r="F54" i="2"/>
  <c r="G54" i="2"/>
  <c r="I54" i="2"/>
  <c r="S52" i="8"/>
  <c r="J52" i="8"/>
  <c r="BE52" i="8"/>
  <c r="BD52" i="8"/>
  <c r="AI52" i="8"/>
  <c r="H52" i="8"/>
  <c r="Z52" i="8"/>
  <c r="AP52" i="8"/>
  <c r="W52" i="8"/>
  <c r="Y52" i="8"/>
  <c r="C52" i="8"/>
  <c r="BC52" i="8"/>
  <c r="AY52" i="8"/>
  <c r="D52" i="8"/>
  <c r="AB52" i="8"/>
  <c r="AC52" i="8"/>
  <c r="AX52" i="8"/>
  <c r="N52" i="8"/>
  <c r="BA52" i="8"/>
  <c r="AT52" i="8"/>
  <c r="O52" i="8"/>
  <c r="AO52" i="8"/>
  <c r="X52" i="8"/>
  <c r="AN52" i="8"/>
  <c r="AZ52" i="8"/>
  <c r="AM52" i="8"/>
  <c r="BF52" i="8"/>
  <c r="E52" i="8"/>
  <c r="AV52" i="8"/>
  <c r="AH52" i="8"/>
  <c r="P52" i="8"/>
  <c r="BB52" i="8"/>
  <c r="AJ52" i="8"/>
  <c r="AE52" i="8"/>
  <c r="AU52" i="8"/>
  <c r="V52" i="8"/>
  <c r="AD52" i="8"/>
  <c r="AR52" i="8"/>
  <c r="AL52" i="8"/>
  <c r="AQ52" i="8"/>
  <c r="AK52" i="8"/>
  <c r="K52" i="8"/>
  <c r="AA52" i="8"/>
  <c r="Q52" i="8"/>
  <c r="R52" i="8"/>
  <c r="AF52" i="8"/>
  <c r="AW52" i="8"/>
  <c r="M52" i="8"/>
  <c r="AG52" i="8"/>
  <c r="U52" i="8"/>
  <c r="L52" i="8"/>
  <c r="AS52" i="8"/>
  <c r="T52" i="8"/>
  <c r="BC18" i="4"/>
  <c r="AC18" i="4"/>
  <c r="AM18" i="4"/>
  <c r="AS18" i="4"/>
  <c r="BD18" i="4"/>
  <c r="S18" i="4"/>
  <c r="AH18" i="4"/>
  <c r="BF18" i="4"/>
  <c r="X18" i="4"/>
  <c r="R18" i="4"/>
  <c r="AR18" i="4"/>
  <c r="AI18" i="4"/>
  <c r="AW18" i="4"/>
  <c r="AU18" i="4"/>
  <c r="AD18" i="4"/>
  <c r="T18" i="4"/>
  <c r="D18" i="4"/>
  <c r="AL18" i="4"/>
  <c r="M18" i="4"/>
  <c r="J18" i="4"/>
  <c r="AN18" i="4"/>
  <c r="AE18" i="4"/>
  <c r="AQ18" i="4"/>
  <c r="W18" i="4"/>
  <c r="Y18" i="4"/>
  <c r="V18" i="4"/>
  <c r="H18" i="4"/>
  <c r="E18" i="4"/>
  <c r="O18" i="4"/>
  <c r="AO18" i="4"/>
  <c r="AK18" i="4"/>
  <c r="AA18" i="4"/>
  <c r="AP18" i="4"/>
  <c r="AT18" i="4"/>
  <c r="AX18" i="4"/>
  <c r="L18" i="4"/>
  <c r="Q18" i="4"/>
  <c r="K18" i="4"/>
  <c r="BA18" i="4"/>
  <c r="AJ18" i="4"/>
  <c r="AG18" i="4"/>
  <c r="BB18" i="4"/>
  <c r="AY18" i="4"/>
  <c r="Z18" i="4"/>
  <c r="BE18" i="4"/>
  <c r="AZ18" i="4"/>
  <c r="C18" i="4"/>
  <c r="P18" i="4"/>
  <c r="AB18" i="4"/>
  <c r="U18" i="4"/>
  <c r="AF18" i="4"/>
  <c r="N18" i="4"/>
  <c r="AV18" i="4"/>
  <c r="F7" i="5"/>
  <c r="G7" i="5"/>
  <c r="I7" i="5"/>
  <c r="F9" i="8"/>
  <c r="G9" i="8"/>
  <c r="I9" i="8"/>
  <c r="B33" i="8"/>
  <c r="I33" i="8"/>
  <c r="G33" i="8"/>
  <c r="F33" i="8"/>
  <c r="F8" i="6"/>
  <c r="G8" i="6"/>
  <c r="I8" i="6"/>
  <c r="F23" i="8"/>
  <c r="G23" i="8"/>
  <c r="I23" i="8"/>
  <c r="F57" i="5"/>
  <c r="G57" i="5"/>
  <c r="I57" i="5"/>
  <c r="BB24" i="2"/>
  <c r="AM24" i="2"/>
  <c r="AE24" i="2"/>
  <c r="AP24" i="2"/>
  <c r="C24" i="2"/>
  <c r="K24" i="2"/>
  <c r="H24" i="2"/>
  <c r="L24" i="2"/>
  <c r="E24" i="2"/>
  <c r="M24" i="2"/>
  <c r="AT24" i="2"/>
  <c r="AX24" i="2"/>
  <c r="AV24" i="2"/>
  <c r="AA24" i="2"/>
  <c r="W24" i="2"/>
  <c r="AO24" i="2"/>
  <c r="AW24" i="2"/>
  <c r="Z24" i="2"/>
  <c r="Y24" i="2"/>
  <c r="BD24" i="2"/>
  <c r="AL24" i="2"/>
  <c r="AC24" i="2"/>
  <c r="AZ24" i="2"/>
  <c r="AN24" i="2"/>
  <c r="AU24" i="2"/>
  <c r="P24" i="2"/>
  <c r="AQ24" i="2"/>
  <c r="Q24" i="2"/>
  <c r="BA24" i="2"/>
  <c r="AS24" i="2"/>
  <c r="BC24" i="2"/>
  <c r="V24" i="2"/>
  <c r="AB24" i="2"/>
  <c r="AJ24" i="2"/>
  <c r="BF24" i="2"/>
  <c r="J24" i="2"/>
  <c r="O24" i="2"/>
  <c r="AH24" i="2"/>
  <c r="AF24" i="2"/>
  <c r="U24" i="2"/>
  <c r="X24" i="2"/>
  <c r="BE24" i="2"/>
  <c r="AR24" i="2"/>
  <c r="AG24" i="2"/>
  <c r="AK24" i="2"/>
  <c r="T24" i="2"/>
  <c r="N24" i="2"/>
  <c r="R24" i="2"/>
  <c r="AD24" i="2"/>
  <c r="S24" i="2"/>
  <c r="AI24" i="2"/>
  <c r="D24" i="2"/>
  <c r="B24" i="2"/>
  <c r="AY24" i="2"/>
  <c r="Y53" i="5"/>
  <c r="AX53" i="5"/>
  <c r="AR53" i="5"/>
  <c r="AH53" i="5"/>
  <c r="U53" i="5"/>
  <c r="W53" i="5"/>
  <c r="BF53" i="5"/>
  <c r="AJ53" i="5"/>
  <c r="P53" i="5"/>
  <c r="AW53" i="5"/>
  <c r="K53" i="5"/>
  <c r="BD53" i="5"/>
  <c r="AQ53" i="5"/>
  <c r="BB53" i="5"/>
  <c r="X53" i="5"/>
  <c r="E53" i="5"/>
  <c r="AT53" i="5"/>
  <c r="AM53" i="5"/>
  <c r="AA53" i="5"/>
  <c r="AV53" i="5"/>
  <c r="AZ53" i="5"/>
  <c r="AK53" i="5"/>
  <c r="AP53" i="5"/>
  <c r="BE53" i="5"/>
  <c r="BA53" i="5"/>
  <c r="T53" i="5"/>
  <c r="AY53" i="5"/>
  <c r="AS53" i="5"/>
  <c r="AL53" i="5"/>
  <c r="N53" i="5"/>
  <c r="AD53" i="5"/>
  <c r="R53" i="5"/>
  <c r="Z53" i="5"/>
  <c r="AG53" i="5"/>
  <c r="AC53" i="5"/>
  <c r="C53" i="5"/>
  <c r="L53" i="5"/>
  <c r="M53" i="5"/>
  <c r="O53" i="5"/>
  <c r="BC53" i="5"/>
  <c r="AO53" i="5"/>
  <c r="D53" i="5"/>
  <c r="AU53" i="5"/>
  <c r="AE53" i="5"/>
  <c r="AN53" i="5"/>
  <c r="J53" i="5"/>
  <c r="H53" i="5"/>
  <c r="AI53" i="5"/>
  <c r="V53" i="5"/>
  <c r="AF53" i="5"/>
  <c r="Q53" i="5"/>
  <c r="AB53" i="5"/>
  <c r="B53" i="5"/>
  <c r="S53" i="5"/>
  <c r="K11" i="4"/>
  <c r="C11" i="4"/>
  <c r="AJ11" i="4"/>
  <c r="BD11" i="4"/>
  <c r="U11" i="4"/>
  <c r="R11" i="4"/>
  <c r="AE11" i="4"/>
  <c r="N11" i="4"/>
  <c r="Y11" i="4"/>
  <c r="J11" i="4"/>
  <c r="AM11" i="4"/>
  <c r="W11" i="4"/>
  <c r="T11" i="4"/>
  <c r="AC11" i="4"/>
  <c r="AA11" i="4"/>
  <c r="S11" i="4"/>
  <c r="AX11" i="4"/>
  <c r="AZ11" i="4"/>
  <c r="AP11" i="4"/>
  <c r="BE11" i="4"/>
  <c r="AG11" i="4"/>
  <c r="AF11" i="4"/>
  <c r="Q11" i="4"/>
  <c r="AI11" i="4"/>
  <c r="AR11" i="4"/>
  <c r="AV11" i="4"/>
  <c r="X11" i="4"/>
  <c r="AD11" i="4"/>
  <c r="AB11" i="4"/>
  <c r="E11" i="4"/>
  <c r="AO11" i="4"/>
  <c r="M11" i="4"/>
  <c r="BF11" i="4"/>
  <c r="O11" i="4"/>
  <c r="L11" i="4"/>
  <c r="AH11" i="4"/>
  <c r="BA11" i="4"/>
  <c r="BB11" i="4"/>
  <c r="AT11" i="4"/>
  <c r="H11" i="4"/>
  <c r="D11" i="4"/>
  <c r="AK11" i="4"/>
  <c r="AS11" i="4"/>
  <c r="AW11" i="4"/>
  <c r="P11" i="4"/>
  <c r="BC11" i="4"/>
  <c r="AU11" i="4"/>
  <c r="AY11" i="4"/>
  <c r="Z11" i="4"/>
  <c r="AN11" i="4"/>
  <c r="V11" i="4"/>
  <c r="AQ11" i="4"/>
  <c r="B11" i="4"/>
  <c r="AL11" i="4"/>
  <c r="R27" i="3"/>
  <c r="AG27" i="3"/>
  <c r="AB27" i="3"/>
  <c r="BE27" i="3"/>
  <c r="BA27" i="3"/>
  <c r="C27" i="3"/>
  <c r="AM27" i="3"/>
  <c r="U27" i="3"/>
  <c r="O27" i="3"/>
  <c r="AW27" i="3"/>
  <c r="AC27" i="3"/>
  <c r="T27" i="3"/>
  <c r="AH27" i="3"/>
  <c r="AZ27" i="3"/>
  <c r="L27" i="3"/>
  <c r="AF27" i="3"/>
  <c r="AX27" i="3"/>
  <c r="AD27" i="3"/>
  <c r="AO27" i="3"/>
  <c r="V27" i="3"/>
  <c r="AQ27" i="3"/>
  <c r="AJ27" i="3"/>
  <c r="W27" i="3"/>
  <c r="S27" i="3"/>
  <c r="AI27" i="3"/>
  <c r="AN27" i="3"/>
  <c r="BB27" i="3"/>
  <c r="AU27" i="3"/>
  <c r="K27" i="3"/>
  <c r="AR27" i="3"/>
  <c r="AY27" i="3"/>
  <c r="AS27" i="3"/>
  <c r="Q27" i="3"/>
  <c r="E27" i="3"/>
  <c r="N27" i="3"/>
  <c r="X27" i="3"/>
  <c r="AE27" i="3"/>
  <c r="J27" i="3"/>
  <c r="Z27" i="3"/>
  <c r="AT27" i="3"/>
  <c r="AK27" i="3"/>
  <c r="AP27" i="3"/>
  <c r="Y27" i="3"/>
  <c r="H27" i="3"/>
  <c r="M27" i="3"/>
  <c r="AA27" i="3"/>
  <c r="AV27" i="3"/>
  <c r="P27" i="3"/>
  <c r="AL27" i="3"/>
  <c r="BD27" i="3"/>
  <c r="BC27" i="3"/>
  <c r="D27" i="3"/>
  <c r="BF27" i="3"/>
  <c r="O39" i="3"/>
  <c r="AG39" i="3"/>
  <c r="W39" i="3"/>
  <c r="AV39" i="3"/>
  <c r="R39" i="3"/>
  <c r="AA39" i="3"/>
  <c r="E39" i="3"/>
  <c r="AP39" i="3"/>
  <c r="AM39" i="3"/>
  <c r="N39" i="3"/>
  <c r="AC39" i="3"/>
  <c r="S39" i="3"/>
  <c r="AJ39" i="3"/>
  <c r="AH39" i="3"/>
  <c r="AB39" i="3"/>
  <c r="AL39" i="3"/>
  <c r="M39" i="3"/>
  <c r="AW39" i="3"/>
  <c r="T39" i="3"/>
  <c r="U39" i="3"/>
  <c r="AQ39" i="3"/>
  <c r="AX39" i="3"/>
  <c r="H39" i="3"/>
  <c r="AO39" i="3"/>
  <c r="BA39" i="3"/>
  <c r="Y39" i="3"/>
  <c r="AI39" i="3"/>
  <c r="BE39" i="3"/>
  <c r="AS39" i="3"/>
  <c r="AZ39" i="3"/>
  <c r="J39" i="3"/>
  <c r="AN39" i="3"/>
  <c r="AU39" i="3"/>
  <c r="BF39" i="3"/>
  <c r="Z39" i="3"/>
  <c r="BB39" i="3"/>
  <c r="Q39" i="3"/>
  <c r="D39" i="3"/>
  <c r="AE39" i="3"/>
  <c r="K39" i="3"/>
  <c r="L39" i="3"/>
  <c r="AR39" i="3"/>
  <c r="X39" i="3"/>
  <c r="V39" i="3"/>
  <c r="AF39" i="3"/>
  <c r="AK39" i="3"/>
  <c r="AT39" i="3"/>
  <c r="C39" i="3"/>
  <c r="BD39" i="3"/>
  <c r="AD39" i="3"/>
  <c r="BC39" i="3"/>
  <c r="P39" i="3"/>
  <c r="B39" i="3"/>
  <c r="AY39" i="3"/>
  <c r="O13" i="4"/>
  <c r="AF13" i="4"/>
  <c r="X13" i="4"/>
  <c r="AG13" i="4"/>
  <c r="AK13" i="4"/>
  <c r="AN13" i="4"/>
  <c r="AD13" i="4"/>
  <c r="BD13" i="4"/>
  <c r="BC13" i="4"/>
  <c r="AA13" i="4"/>
  <c r="AC13" i="4"/>
  <c r="AL13" i="4"/>
  <c r="C13" i="4"/>
  <c r="R13" i="4"/>
  <c r="AS13" i="4"/>
  <c r="D13" i="4"/>
  <c r="AW13" i="4"/>
  <c r="M13" i="4"/>
  <c r="AI13" i="4"/>
  <c r="AO13" i="4"/>
  <c r="AE13" i="4"/>
  <c r="AV13" i="4"/>
  <c r="AT13" i="4"/>
  <c r="BF13" i="4"/>
  <c r="P13" i="4"/>
  <c r="AZ13" i="4"/>
  <c r="BA13" i="4"/>
  <c r="Q13" i="4"/>
  <c r="AM13" i="4"/>
  <c r="L13" i="4"/>
  <c r="H13" i="4"/>
  <c r="AX13" i="4"/>
  <c r="BE13" i="4"/>
  <c r="AQ13" i="4"/>
  <c r="AU13" i="4"/>
  <c r="Z13" i="4"/>
  <c r="W13" i="4"/>
  <c r="U13" i="4"/>
  <c r="T13" i="4"/>
  <c r="K13" i="4"/>
  <c r="AB13" i="4"/>
  <c r="AH13" i="4"/>
  <c r="AP13" i="4"/>
  <c r="AY13" i="4"/>
  <c r="J13" i="4"/>
  <c r="N13" i="4"/>
  <c r="Y13" i="4"/>
  <c r="AR13" i="4"/>
  <c r="V13" i="4"/>
  <c r="BB13" i="4"/>
  <c r="S13" i="4"/>
  <c r="AJ13" i="4"/>
  <c r="E13" i="4"/>
  <c r="AP51" i="6"/>
  <c r="Y51" i="6"/>
  <c r="AI51" i="6"/>
  <c r="X51" i="6"/>
  <c r="AR51" i="6"/>
  <c r="BB51" i="6"/>
  <c r="AH51" i="6"/>
  <c r="H51" i="6"/>
  <c r="S51" i="6"/>
  <c r="BD51" i="6"/>
  <c r="AT51" i="6"/>
  <c r="AC51" i="6"/>
  <c r="AL51" i="6"/>
  <c r="AF51" i="6"/>
  <c r="AJ51" i="6"/>
  <c r="E51" i="6"/>
  <c r="AE51" i="6"/>
  <c r="U51" i="6"/>
  <c r="AX51" i="6"/>
  <c r="C51" i="6"/>
  <c r="AK51" i="6"/>
  <c r="AZ51" i="6"/>
  <c r="AG51" i="6"/>
  <c r="BF51" i="6"/>
  <c r="AO51" i="6"/>
  <c r="M51" i="6"/>
  <c r="D51" i="6"/>
  <c r="AA51" i="6"/>
  <c r="J51" i="6"/>
  <c r="K51" i="6"/>
  <c r="R51" i="6"/>
  <c r="T51" i="6"/>
  <c r="AS51" i="6"/>
  <c r="BC51" i="6"/>
  <c r="O51" i="6"/>
  <c r="P51" i="6"/>
  <c r="AD51" i="6"/>
  <c r="AY51" i="6"/>
  <c r="AV51" i="6"/>
  <c r="AM51" i="6"/>
  <c r="BE51" i="6"/>
  <c r="BA51" i="6"/>
  <c r="Q51" i="6"/>
  <c r="Z51" i="6"/>
  <c r="AQ51" i="6"/>
  <c r="W51" i="6"/>
  <c r="AU51" i="6"/>
  <c r="N51" i="6"/>
  <c r="V51" i="6"/>
  <c r="AN51" i="6"/>
  <c r="L51" i="6"/>
  <c r="AW51" i="6"/>
  <c r="B51" i="6"/>
  <c r="AB51" i="6"/>
  <c r="X36" i="8"/>
  <c r="BD36" i="8"/>
  <c r="R36" i="8"/>
  <c r="AR36" i="8"/>
  <c r="L36" i="8"/>
  <c r="Y36" i="8"/>
  <c r="P36" i="8"/>
  <c r="AB36" i="8"/>
  <c r="BF36" i="8"/>
  <c r="AH36" i="8"/>
  <c r="AQ36" i="8"/>
  <c r="AM36" i="8"/>
  <c r="AE36" i="8"/>
  <c r="AZ36" i="8"/>
  <c r="E36" i="8"/>
  <c r="M36" i="8"/>
  <c r="AV36" i="8"/>
  <c r="J36" i="8"/>
  <c r="W36" i="8"/>
  <c r="V36" i="8"/>
  <c r="Z36" i="8"/>
  <c r="AK36" i="8"/>
  <c r="BC36" i="8"/>
  <c r="BB36" i="8"/>
  <c r="N36" i="8"/>
  <c r="BA36" i="8"/>
  <c r="AC36" i="8"/>
  <c r="AL36" i="8"/>
  <c r="AD36" i="8"/>
  <c r="AX36" i="8"/>
  <c r="S36" i="8"/>
  <c r="AJ36" i="8"/>
  <c r="AG36" i="8"/>
  <c r="D36" i="8"/>
  <c r="AF36" i="8"/>
  <c r="AO36" i="8"/>
  <c r="O36" i="8"/>
  <c r="BE36" i="8"/>
  <c r="Q36" i="8"/>
  <c r="AY36" i="8"/>
  <c r="AT36" i="8"/>
  <c r="AU36" i="8"/>
  <c r="AI36" i="8"/>
  <c r="AN36" i="8"/>
  <c r="K36" i="8"/>
  <c r="H36" i="8"/>
  <c r="T36" i="8"/>
  <c r="AW36" i="8"/>
  <c r="C36" i="8"/>
  <c r="U36" i="8"/>
  <c r="AA36" i="8"/>
  <c r="AS36" i="8"/>
  <c r="AP36" i="8"/>
  <c r="BA37" i="6"/>
  <c r="AP37" i="6"/>
  <c r="AR37" i="6"/>
  <c r="AB37" i="6"/>
  <c r="AZ37" i="6"/>
  <c r="Z37" i="6"/>
  <c r="J37" i="6"/>
  <c r="AU37" i="6"/>
  <c r="AI37" i="6"/>
  <c r="T37" i="6"/>
  <c r="AK37" i="6"/>
  <c r="Q37" i="6"/>
  <c r="S37" i="6"/>
  <c r="E37" i="6"/>
  <c r="K37" i="6"/>
  <c r="AD37" i="6"/>
  <c r="AQ37" i="6"/>
  <c r="Y37" i="6"/>
  <c r="AW37" i="6"/>
  <c r="R37" i="6"/>
  <c r="N37" i="6"/>
  <c r="AS37" i="6"/>
  <c r="U37" i="6"/>
  <c r="BD37" i="6"/>
  <c r="D37" i="6"/>
  <c r="AL37" i="6"/>
  <c r="AT37" i="6"/>
  <c r="AO37" i="6"/>
  <c r="AE37" i="6"/>
  <c r="AM37" i="6"/>
  <c r="AN37" i="6"/>
  <c r="C37" i="6"/>
  <c r="AA37" i="6"/>
  <c r="V37" i="6"/>
  <c r="AF37" i="6"/>
  <c r="AY37" i="6"/>
  <c r="M37" i="6"/>
  <c r="BE37" i="6"/>
  <c r="X37" i="6"/>
  <c r="AG37" i="6"/>
  <c r="AV37" i="6"/>
  <c r="BB37" i="6"/>
  <c r="W37" i="6"/>
  <c r="AC37" i="6"/>
  <c r="L37" i="6"/>
  <c r="AJ37" i="6"/>
  <c r="P37" i="6"/>
  <c r="H37" i="6"/>
  <c r="AX37" i="6"/>
  <c r="AH37" i="6"/>
  <c r="BF37" i="6"/>
  <c r="O37" i="6"/>
  <c r="BC37" i="6"/>
  <c r="S10" i="1"/>
  <c r="AQ10" i="1"/>
  <c r="AT10" i="1"/>
  <c r="M10" i="1"/>
  <c r="N10" i="1"/>
  <c r="AX10" i="1"/>
  <c r="AY10" i="1"/>
  <c r="AG10" i="1"/>
  <c r="BD10" i="1"/>
  <c r="AB10" i="1"/>
  <c r="D10" i="1"/>
  <c r="AV10" i="1"/>
  <c r="AK10" i="1"/>
  <c r="C10" i="1"/>
  <c r="AW10" i="1"/>
  <c r="AZ10" i="1"/>
  <c r="AR10" i="1"/>
  <c r="L10" i="1"/>
  <c r="R10" i="1"/>
  <c r="K10" i="1"/>
  <c r="Y10" i="1"/>
  <c r="V10" i="1"/>
  <c r="BF10" i="1"/>
  <c r="AN10" i="1"/>
  <c r="E10" i="1"/>
  <c r="BC10" i="1"/>
  <c r="X10" i="1"/>
  <c r="O10" i="1"/>
  <c r="AE10" i="1"/>
  <c r="AD10" i="1"/>
  <c r="BA10" i="1"/>
  <c r="AF10" i="1"/>
  <c r="H10" i="1"/>
  <c r="J10" i="1"/>
  <c r="AM10" i="1"/>
  <c r="BB10" i="1"/>
  <c r="AH10" i="1"/>
  <c r="AJ10" i="1"/>
  <c r="BE10" i="1"/>
  <c r="W10" i="1"/>
  <c r="T10" i="1"/>
  <c r="AA10" i="1"/>
  <c r="P10" i="1"/>
  <c r="Q10" i="1"/>
  <c r="AP10" i="1"/>
  <c r="AI10" i="1"/>
  <c r="AS10" i="1"/>
  <c r="AO10" i="1"/>
  <c r="AU10" i="1"/>
  <c r="U10" i="1"/>
  <c r="Z10" i="1"/>
  <c r="AC10" i="1"/>
  <c r="B10" i="1"/>
  <c r="AL10" i="1"/>
  <c r="F36" i="6"/>
  <c r="G36" i="6"/>
  <c r="I36" i="6"/>
  <c r="B29" i="2"/>
  <c r="I29" i="2"/>
  <c r="G29" i="2"/>
  <c r="F29" i="2"/>
  <c r="I16" i="9"/>
  <c r="G16" i="9"/>
  <c r="F16" i="9"/>
  <c r="AL4" i="8"/>
  <c r="AX4" i="8"/>
  <c r="Y4" i="8"/>
  <c r="AZ4" i="8"/>
  <c r="E4" i="8"/>
  <c r="S4" i="8"/>
  <c r="AV4" i="8"/>
  <c r="Q4" i="8"/>
  <c r="Z4" i="8"/>
  <c r="AT4" i="8"/>
  <c r="AB4" i="8"/>
  <c r="AC4" i="8"/>
  <c r="AU4" i="8"/>
  <c r="U4" i="8"/>
  <c r="W4" i="8"/>
  <c r="X4" i="8"/>
  <c r="AH4" i="8"/>
  <c r="BE4" i="8"/>
  <c r="BD4" i="8"/>
  <c r="AO4" i="8"/>
  <c r="O4" i="8"/>
  <c r="AF4" i="8"/>
  <c r="T4" i="8"/>
  <c r="V4" i="8"/>
  <c r="H4" i="8"/>
  <c r="AM4" i="8"/>
  <c r="BC4" i="8"/>
  <c r="BA4" i="8"/>
  <c r="D4" i="8"/>
  <c r="AE4" i="8"/>
  <c r="AJ4" i="8"/>
  <c r="AK4" i="8"/>
  <c r="AA4" i="8"/>
  <c r="N4" i="8"/>
  <c r="AD4" i="8"/>
  <c r="M4" i="8"/>
  <c r="AQ4" i="8"/>
  <c r="R4" i="8"/>
  <c r="AG4" i="8"/>
  <c r="C4" i="8"/>
  <c r="K4" i="8"/>
  <c r="BF4" i="8"/>
  <c r="BB4" i="8"/>
  <c r="J4" i="8"/>
  <c r="AW4" i="8"/>
  <c r="AP4" i="8"/>
  <c r="AY4" i="8"/>
  <c r="AS4" i="8"/>
  <c r="AN4" i="8"/>
  <c r="AI4" i="8"/>
  <c r="P4" i="8"/>
  <c r="AR4" i="8"/>
  <c r="L4" i="8"/>
  <c r="B55" i="7"/>
  <c r="I55" i="7"/>
  <c r="G55" i="7"/>
  <c r="F55" i="7"/>
  <c r="F12" i="3"/>
  <c r="G12" i="3"/>
  <c r="I12" i="3"/>
  <c r="B51" i="9"/>
  <c r="I51" i="9"/>
  <c r="G51" i="9"/>
  <c r="F51" i="9"/>
  <c r="K29" i="6"/>
  <c r="AB29" i="6"/>
  <c r="V29" i="6"/>
  <c r="D29" i="6"/>
  <c r="C29" i="6"/>
  <c r="AM29" i="6"/>
  <c r="Q29" i="6"/>
  <c r="AF29" i="6"/>
  <c r="T29" i="6"/>
  <c r="AC29" i="6"/>
  <c r="X29" i="6"/>
  <c r="AI29" i="6"/>
  <c r="AD29" i="6"/>
  <c r="AA29" i="6"/>
  <c r="U29" i="6"/>
  <c r="L29" i="6"/>
  <c r="AY29" i="6"/>
  <c r="W29" i="6"/>
  <c r="H29" i="6"/>
  <c r="AQ29" i="6"/>
  <c r="AK29" i="6"/>
  <c r="AE29" i="6"/>
  <c r="S29" i="6"/>
  <c r="AR29" i="6"/>
  <c r="AO29" i="6"/>
  <c r="E29" i="6"/>
  <c r="AX29" i="6"/>
  <c r="AH29" i="6"/>
  <c r="BA29" i="6"/>
  <c r="O29" i="6"/>
  <c r="BD29" i="6"/>
  <c r="J29" i="6"/>
  <c r="Y29" i="6"/>
  <c r="BC29" i="6"/>
  <c r="BE29" i="6"/>
  <c r="N29" i="6"/>
  <c r="AG29" i="6"/>
  <c r="AU29" i="6"/>
  <c r="R29" i="6"/>
  <c r="AT29" i="6"/>
  <c r="P29" i="6"/>
  <c r="BF29" i="6"/>
  <c r="AN29" i="6"/>
  <c r="Z29" i="6"/>
  <c r="AW29" i="6"/>
  <c r="AS29" i="6"/>
  <c r="AJ29" i="6"/>
  <c r="AV29" i="6"/>
  <c r="M29" i="6"/>
  <c r="BB29" i="6"/>
  <c r="AZ29" i="6"/>
  <c r="AL29" i="6"/>
  <c r="AP29" i="6"/>
  <c r="AQ50" i="7"/>
  <c r="Q50" i="7"/>
  <c r="L50" i="7"/>
  <c r="BD50" i="7"/>
  <c r="BF50" i="7"/>
  <c r="V50" i="7"/>
  <c r="AE50" i="7"/>
  <c r="Y50" i="7"/>
  <c r="AJ50" i="7"/>
  <c r="AR50" i="7"/>
  <c r="M50" i="7"/>
  <c r="AS50" i="7"/>
  <c r="J50" i="7"/>
  <c r="AF50" i="7"/>
  <c r="T50" i="7"/>
  <c r="AD50" i="7"/>
  <c r="AX50" i="7"/>
  <c r="AL50" i="7"/>
  <c r="AW50" i="7"/>
  <c r="AY50" i="7"/>
  <c r="W50" i="7"/>
  <c r="AN50" i="7"/>
  <c r="AC50" i="7"/>
  <c r="Z50" i="7"/>
  <c r="BA50" i="7"/>
  <c r="AU50" i="7"/>
  <c r="U50" i="7"/>
  <c r="D50" i="7"/>
  <c r="AH50" i="7"/>
  <c r="R50" i="7"/>
  <c r="X50" i="7"/>
  <c r="AV50" i="7"/>
  <c r="AG50" i="7"/>
  <c r="AA50" i="7"/>
  <c r="AP50" i="7"/>
  <c r="BE50" i="7"/>
  <c r="E50" i="7"/>
  <c r="P50" i="7"/>
  <c r="H50" i="7"/>
  <c r="AM50" i="7"/>
  <c r="AT50" i="7"/>
  <c r="S50" i="7"/>
  <c r="BC50" i="7"/>
  <c r="K50" i="7"/>
  <c r="AI50" i="7"/>
  <c r="N50" i="7"/>
  <c r="AZ50" i="7"/>
  <c r="O50" i="7"/>
  <c r="AB50" i="7"/>
  <c r="AO50" i="7"/>
  <c r="BB50" i="7"/>
  <c r="C50" i="7"/>
  <c r="AK50" i="7"/>
  <c r="AP3" i="4"/>
  <c r="AT3" i="4"/>
  <c r="C3" i="4"/>
  <c r="O3" i="4"/>
  <c r="AF3" i="4"/>
  <c r="AU3" i="4"/>
  <c r="H3" i="4"/>
  <c r="AG3" i="4"/>
  <c r="AY3" i="4"/>
  <c r="Q3" i="4"/>
  <c r="D3" i="4"/>
  <c r="BE3" i="4"/>
  <c r="BC3" i="4"/>
  <c r="AJ3" i="4"/>
  <c r="X3" i="4"/>
  <c r="P3" i="4"/>
  <c r="J3" i="4"/>
  <c r="AB3" i="4"/>
  <c r="AR3" i="4"/>
  <c r="BD3" i="4"/>
  <c r="BB3" i="4"/>
  <c r="BF3" i="4"/>
  <c r="AM3" i="4"/>
  <c r="AX3" i="4"/>
  <c r="V3" i="4"/>
  <c r="Y3" i="4"/>
  <c r="AI3" i="4"/>
  <c r="T3" i="4"/>
  <c r="K3" i="4"/>
  <c r="U3" i="4"/>
  <c r="AK3" i="4"/>
  <c r="AH3" i="4"/>
  <c r="M3" i="4"/>
  <c r="AQ3" i="4"/>
  <c r="AD3" i="4"/>
  <c r="N3" i="4"/>
  <c r="AO3" i="4"/>
  <c r="Z3" i="4"/>
  <c r="AL3" i="4"/>
  <c r="E3" i="4"/>
  <c r="R3" i="4"/>
  <c r="AE3" i="4"/>
  <c r="AW3" i="4"/>
  <c r="AZ3" i="4"/>
  <c r="L3" i="4"/>
  <c r="AV3" i="4"/>
  <c r="BA3" i="4"/>
  <c r="AS3" i="4"/>
  <c r="AN3" i="4"/>
  <c r="AA3" i="4"/>
  <c r="AC3" i="4"/>
  <c r="S3" i="4"/>
  <c r="W3" i="4"/>
  <c r="I45" i="5"/>
  <c r="G45" i="5"/>
  <c r="F45" i="5"/>
  <c r="P53" i="2"/>
  <c r="C53" i="2"/>
  <c r="AB53" i="2"/>
  <c r="AK53" i="2"/>
  <c r="AX53" i="2"/>
  <c r="H53" i="2"/>
  <c r="Y53" i="2"/>
  <c r="AJ53" i="2"/>
  <c r="AH53" i="2"/>
  <c r="AY53" i="2"/>
  <c r="AM53" i="2"/>
  <c r="Q53" i="2"/>
  <c r="AF53" i="2"/>
  <c r="N53" i="2"/>
  <c r="AI53" i="2"/>
  <c r="BB53" i="2"/>
  <c r="AA53" i="2"/>
  <c r="AN53" i="2"/>
  <c r="J53" i="2"/>
  <c r="AU53" i="2"/>
  <c r="AP53" i="2"/>
  <c r="AW53" i="2"/>
  <c r="D53" i="2"/>
  <c r="E53" i="2"/>
  <c r="V53" i="2"/>
  <c r="AQ53" i="2"/>
  <c r="AE53" i="2"/>
  <c r="BD53" i="2"/>
  <c r="BE53" i="2"/>
  <c r="S53" i="2"/>
  <c r="AG53" i="2"/>
  <c r="AD53" i="2"/>
  <c r="L53" i="2"/>
  <c r="BA53" i="2"/>
  <c r="Z53" i="2"/>
  <c r="AS53" i="2"/>
  <c r="K53" i="2"/>
  <c r="AT53" i="2"/>
  <c r="U53" i="2"/>
  <c r="T53" i="2"/>
  <c r="AV53" i="2"/>
  <c r="AL53" i="2"/>
  <c r="AR53" i="2"/>
  <c r="AZ53" i="2"/>
  <c r="W53" i="2"/>
  <c r="AC53" i="2"/>
  <c r="BC53" i="2"/>
  <c r="AO53" i="2"/>
  <c r="X53" i="2"/>
  <c r="R53" i="2"/>
  <c r="M53" i="2"/>
  <c r="O53" i="2"/>
  <c r="BF53" i="2"/>
  <c r="F26" i="7"/>
  <c r="G26" i="7"/>
  <c r="I26" i="7"/>
  <c r="T15" i="4"/>
  <c r="AN15" i="4"/>
  <c r="AX15" i="4"/>
  <c r="AO15" i="4"/>
  <c r="P15" i="4"/>
  <c r="AB15" i="4"/>
  <c r="W15" i="4"/>
  <c r="Z15" i="4"/>
  <c r="BF15" i="4"/>
  <c r="AM15" i="4"/>
  <c r="AV15" i="4"/>
  <c r="M15" i="4"/>
  <c r="S15" i="4"/>
  <c r="AC15" i="4"/>
  <c r="AJ15" i="4"/>
  <c r="AL15" i="4"/>
  <c r="AZ15" i="4"/>
  <c r="AS15" i="4"/>
  <c r="AK15" i="4"/>
  <c r="AE15" i="4"/>
  <c r="O15" i="4"/>
  <c r="AP15" i="4"/>
  <c r="J15" i="4"/>
  <c r="U15" i="4"/>
  <c r="R15" i="4"/>
  <c r="BE15" i="4"/>
  <c r="H15" i="4"/>
  <c r="N15" i="4"/>
  <c r="AR15" i="4"/>
  <c r="AA15" i="4"/>
  <c r="AG15" i="4"/>
  <c r="AU15" i="4"/>
  <c r="K15" i="4"/>
  <c r="AH15" i="4"/>
  <c r="BA15" i="4"/>
  <c r="AW15" i="4"/>
  <c r="L15" i="4"/>
  <c r="BD15" i="4"/>
  <c r="AF15" i="4"/>
  <c r="E15" i="4"/>
  <c r="AT15" i="4"/>
  <c r="BC15" i="4"/>
  <c r="AY15" i="4"/>
  <c r="V15" i="4"/>
  <c r="AQ15" i="4"/>
  <c r="Q15" i="4"/>
  <c r="Y15" i="4"/>
  <c r="AD15" i="4"/>
  <c r="C15" i="4"/>
  <c r="X15" i="4"/>
  <c r="AI15" i="4"/>
  <c r="BB15" i="4"/>
  <c r="D15" i="4"/>
  <c r="AW51" i="2"/>
  <c r="AE51" i="2"/>
  <c r="AM51" i="2"/>
  <c r="AP51" i="2"/>
  <c r="Z51" i="2"/>
  <c r="AF51" i="2"/>
  <c r="AZ51" i="2"/>
  <c r="BA51" i="2"/>
  <c r="AY51" i="2"/>
  <c r="R51" i="2"/>
  <c r="AO51" i="2"/>
  <c r="BF51" i="2"/>
  <c r="AB51" i="2"/>
  <c r="AT51" i="2"/>
  <c r="AI51" i="2"/>
  <c r="C51" i="2"/>
  <c r="BC51" i="2"/>
  <c r="AK51" i="2"/>
  <c r="W51" i="2"/>
  <c r="AS51" i="2"/>
  <c r="AU51" i="2"/>
  <c r="AC51" i="2"/>
  <c r="BD51" i="2"/>
  <c r="AR51" i="2"/>
  <c r="U51" i="2"/>
  <c r="L51" i="2"/>
  <c r="BB51" i="2"/>
  <c r="E51" i="2"/>
  <c r="X51" i="2"/>
  <c r="J51" i="2"/>
  <c r="AX51" i="2"/>
  <c r="H51" i="2"/>
  <c r="O51" i="2"/>
  <c r="V51" i="2"/>
  <c r="P51" i="2"/>
  <c r="AJ51" i="2"/>
  <c r="Y51" i="2"/>
  <c r="AG51" i="2"/>
  <c r="AQ51" i="2"/>
  <c r="BE51" i="2"/>
  <c r="Q51" i="2"/>
  <c r="AA51" i="2"/>
  <c r="AH51" i="2"/>
  <c r="M51" i="2"/>
  <c r="AD51" i="2"/>
  <c r="D51" i="2"/>
  <c r="AV51" i="2"/>
  <c r="N51" i="2"/>
  <c r="S51" i="2"/>
  <c r="K51" i="2"/>
  <c r="AN51" i="2"/>
  <c r="T51" i="2"/>
  <c r="B51" i="2"/>
  <c r="AL51" i="2"/>
  <c r="AS34" i="3"/>
  <c r="AA34" i="3"/>
  <c r="AR34" i="3"/>
  <c r="P34" i="3"/>
  <c r="K34" i="3"/>
  <c r="AQ34" i="3"/>
  <c r="S34" i="3"/>
  <c r="AM34" i="3"/>
  <c r="AC34" i="3"/>
  <c r="AT34" i="3"/>
  <c r="U34" i="3"/>
  <c r="BA34" i="3"/>
  <c r="AF34" i="3"/>
  <c r="AX34" i="3"/>
  <c r="E34" i="3"/>
  <c r="J34" i="3"/>
  <c r="AG34" i="3"/>
  <c r="AO34" i="3"/>
  <c r="AH34" i="3"/>
  <c r="AZ34" i="3"/>
  <c r="BE34" i="3"/>
  <c r="AE34" i="3"/>
  <c r="AK34" i="3"/>
  <c r="M34" i="3"/>
  <c r="Y34" i="3"/>
  <c r="AD34" i="3"/>
  <c r="AB34" i="3"/>
  <c r="BB34" i="3"/>
  <c r="AP34" i="3"/>
  <c r="Z34" i="3"/>
  <c r="AI34" i="3"/>
  <c r="R34" i="3"/>
  <c r="L34" i="3"/>
  <c r="O34" i="3"/>
  <c r="AN34" i="3"/>
  <c r="T34" i="3"/>
  <c r="AJ34" i="3"/>
  <c r="D34" i="3"/>
  <c r="AU34" i="3"/>
  <c r="C34" i="3"/>
  <c r="AY34" i="3"/>
  <c r="BF34" i="3"/>
  <c r="V34" i="3"/>
  <c r="BD34" i="3"/>
  <c r="BC34" i="3"/>
  <c r="H34" i="3"/>
  <c r="AV34" i="3"/>
  <c r="W34" i="3"/>
  <c r="Q34" i="3"/>
  <c r="N34" i="3"/>
  <c r="AL34" i="3"/>
  <c r="X34" i="3"/>
  <c r="B34" i="3"/>
  <c r="AW34" i="3"/>
  <c r="Y25" i="5"/>
  <c r="AN25" i="5"/>
  <c r="D25" i="5"/>
  <c r="BC25" i="5"/>
  <c r="O25" i="5"/>
  <c r="AF25" i="5"/>
  <c r="Z25" i="5"/>
  <c r="M25" i="5"/>
  <c r="W25" i="5"/>
  <c r="AC25" i="5"/>
  <c r="H25" i="5"/>
  <c r="X25" i="5"/>
  <c r="AR25" i="5"/>
  <c r="AW25" i="5"/>
  <c r="AV25" i="5"/>
  <c r="E25" i="5"/>
  <c r="AT25" i="5"/>
  <c r="AO25" i="5"/>
  <c r="BF25" i="5"/>
  <c r="AX25" i="5"/>
  <c r="U25" i="5"/>
  <c r="BA25" i="5"/>
  <c r="AH25" i="5"/>
  <c r="BE25" i="5"/>
  <c r="BD25" i="5"/>
  <c r="C25" i="5"/>
  <c r="AQ25" i="5"/>
  <c r="P25" i="5"/>
  <c r="AJ25" i="5"/>
  <c r="AL25" i="5"/>
  <c r="AG25" i="5"/>
  <c r="AY25" i="5"/>
  <c r="R25" i="5"/>
  <c r="N25" i="5"/>
  <c r="V25" i="5"/>
  <c r="T25" i="5"/>
  <c r="AB25" i="5"/>
  <c r="AP25" i="5"/>
  <c r="AM25" i="5"/>
  <c r="AD25" i="5"/>
  <c r="S25" i="5"/>
  <c r="J25" i="5"/>
  <c r="AK25" i="5"/>
  <c r="AE25" i="5"/>
  <c r="AZ25" i="5"/>
  <c r="AI25" i="5"/>
  <c r="AA25" i="5"/>
  <c r="AS25" i="5"/>
  <c r="AU25" i="5"/>
  <c r="Q25" i="5"/>
  <c r="L25" i="5"/>
  <c r="BB25" i="5"/>
  <c r="B25" i="5"/>
  <c r="K25" i="5"/>
  <c r="AQ33" i="10"/>
  <c r="H33" i="10"/>
  <c r="AL33" i="10"/>
  <c r="W33" i="10"/>
  <c r="M33" i="10"/>
  <c r="X33" i="10"/>
  <c r="J33" i="10"/>
  <c r="T33" i="10"/>
  <c r="O33" i="10"/>
  <c r="AB33" i="10"/>
  <c r="L33" i="10"/>
  <c r="K33" i="10"/>
  <c r="AZ33" i="10"/>
  <c r="S33" i="10"/>
  <c r="AA33" i="10"/>
  <c r="Y33" i="10"/>
  <c r="AC33" i="10"/>
  <c r="AR33" i="10"/>
  <c r="Z33" i="10"/>
  <c r="V33" i="10"/>
  <c r="AG33" i="10"/>
  <c r="BD33" i="10"/>
  <c r="N33" i="10"/>
  <c r="AY33" i="10"/>
  <c r="AW33" i="10"/>
  <c r="P33" i="10"/>
  <c r="AI33" i="10"/>
  <c r="AE33" i="10"/>
  <c r="BF33" i="10"/>
  <c r="AH33" i="10"/>
  <c r="AK33" i="10"/>
  <c r="AU33" i="10"/>
  <c r="AT33" i="10"/>
  <c r="AP33" i="10"/>
  <c r="AV33" i="10"/>
  <c r="BB33" i="10"/>
  <c r="Q33" i="10"/>
  <c r="C33" i="10"/>
  <c r="D33" i="10"/>
  <c r="AO33" i="10"/>
  <c r="U33" i="10"/>
  <c r="R33" i="10"/>
  <c r="AD33" i="10"/>
  <c r="AS33" i="10"/>
  <c r="AX33" i="10"/>
  <c r="BE33" i="10"/>
  <c r="AM33" i="10"/>
  <c r="BC33" i="10"/>
  <c r="E33" i="10"/>
  <c r="AN33" i="10"/>
  <c r="BA33" i="10"/>
  <c r="AJ33" i="10"/>
  <c r="B33" i="10"/>
  <c r="AF33" i="10"/>
  <c r="AO43" i="9"/>
  <c r="S43" i="9"/>
  <c r="BB43" i="9"/>
  <c r="K43" i="9"/>
  <c r="W43" i="9"/>
  <c r="Z43" i="9"/>
  <c r="AE43" i="9"/>
  <c r="BD43" i="9"/>
  <c r="E43" i="9"/>
  <c r="AJ43" i="9"/>
  <c r="AX43" i="9"/>
  <c r="AW43" i="9"/>
  <c r="AH43" i="9"/>
  <c r="AF43" i="9"/>
  <c r="AG43" i="9"/>
  <c r="X43" i="9"/>
  <c r="O43" i="9"/>
  <c r="AB43" i="9"/>
  <c r="Q43" i="9"/>
  <c r="P43" i="9"/>
  <c r="AK43" i="9"/>
  <c r="AQ43" i="9"/>
  <c r="AU43" i="9"/>
  <c r="R43" i="9"/>
  <c r="AA43" i="9"/>
  <c r="V43" i="9"/>
  <c r="AC43" i="9"/>
  <c r="AT43" i="9"/>
  <c r="AL43" i="9"/>
  <c r="BF43" i="9"/>
  <c r="BC43" i="9"/>
  <c r="H43" i="9"/>
  <c r="AM43" i="9"/>
  <c r="AV43" i="9"/>
  <c r="U43" i="9"/>
  <c r="AN43" i="9"/>
  <c r="J43" i="9"/>
  <c r="AR43" i="9"/>
  <c r="D43" i="9"/>
  <c r="N43" i="9"/>
  <c r="AZ43" i="9"/>
  <c r="AD43" i="9"/>
  <c r="T43" i="9"/>
  <c r="Y43" i="9"/>
  <c r="AY43" i="9"/>
  <c r="BE43" i="9"/>
  <c r="AP43" i="9"/>
  <c r="AS43" i="9"/>
  <c r="L43" i="9"/>
  <c r="AI43" i="9"/>
  <c r="BA43" i="9"/>
  <c r="M43" i="9"/>
  <c r="C43" i="9"/>
  <c r="AA6" i="10"/>
  <c r="AV6" i="10"/>
  <c r="AB6" i="10"/>
  <c r="AD6" i="10"/>
  <c r="H6" i="10"/>
  <c r="BD6" i="10"/>
  <c r="AW6" i="10"/>
  <c r="N6" i="10"/>
  <c r="AL6" i="10"/>
  <c r="AX6" i="10"/>
  <c r="W6" i="10"/>
  <c r="AI6" i="10"/>
  <c r="AY6" i="10"/>
  <c r="K6" i="10"/>
  <c r="AH6" i="10"/>
  <c r="AP6" i="10"/>
  <c r="C6" i="10"/>
  <c r="AN6" i="10"/>
  <c r="BB6" i="10"/>
  <c r="AT6" i="10"/>
  <c r="U6" i="10"/>
  <c r="R6" i="10"/>
  <c r="Q6" i="10"/>
  <c r="AS6" i="10"/>
  <c r="AG6" i="10"/>
  <c r="Z6" i="10"/>
  <c r="X6" i="10"/>
  <c r="BA6" i="10"/>
  <c r="AO6" i="10"/>
  <c r="AK6" i="10"/>
  <c r="T6" i="10"/>
  <c r="AU6" i="10"/>
  <c r="L6" i="10"/>
  <c r="AJ6" i="10"/>
  <c r="M6" i="10"/>
  <c r="AC6" i="10"/>
  <c r="E6" i="10"/>
  <c r="AM6" i="10"/>
  <c r="BF6" i="10"/>
  <c r="D6" i="10"/>
  <c r="AF6" i="10"/>
  <c r="S6" i="10"/>
  <c r="P6" i="10"/>
  <c r="AR6" i="10"/>
  <c r="V6" i="10"/>
  <c r="Y6" i="10"/>
  <c r="BE6" i="10"/>
  <c r="BC6" i="10"/>
  <c r="AZ6" i="10"/>
  <c r="AQ6" i="10"/>
  <c r="J6" i="10"/>
  <c r="O6" i="10"/>
  <c r="B6" i="10"/>
  <c r="AE6" i="10"/>
  <c r="F8" i="3"/>
  <c r="G8" i="3"/>
  <c r="I8" i="3"/>
  <c r="N54" i="2"/>
  <c r="AJ54" i="2"/>
  <c r="BD54" i="2"/>
  <c r="BB54" i="2"/>
  <c r="AF54" i="2"/>
  <c r="AC54" i="2"/>
  <c r="J54" i="2"/>
  <c r="U54" i="2"/>
  <c r="BE54" i="2"/>
  <c r="AA54" i="2"/>
  <c r="Y54" i="2"/>
  <c r="AQ54" i="2"/>
  <c r="AI54" i="2"/>
  <c r="AS54" i="2"/>
  <c r="AN54" i="2"/>
  <c r="AX54" i="2"/>
  <c r="AE54" i="2"/>
  <c r="AM54" i="2"/>
  <c r="AV54" i="2"/>
  <c r="AK54" i="2"/>
  <c r="P54" i="2"/>
  <c r="BF54" i="2"/>
  <c r="BC54" i="2"/>
  <c r="AU54" i="2"/>
  <c r="X54" i="2"/>
  <c r="H54" i="2"/>
  <c r="AL54" i="2"/>
  <c r="D54" i="2"/>
  <c r="AD54" i="2"/>
  <c r="AP54" i="2"/>
  <c r="AZ54" i="2"/>
  <c r="AO54" i="2"/>
  <c r="E54" i="2"/>
  <c r="AY54" i="2"/>
  <c r="BA54" i="2"/>
  <c r="AG54" i="2"/>
  <c r="C54" i="2"/>
  <c r="T54" i="2"/>
  <c r="Z54" i="2"/>
  <c r="AT54" i="2"/>
  <c r="AB54" i="2"/>
  <c r="R54" i="2"/>
  <c r="S54" i="2"/>
  <c r="AW54" i="2"/>
  <c r="L54" i="2"/>
  <c r="O54" i="2"/>
  <c r="AH54" i="2"/>
  <c r="M54" i="2"/>
  <c r="AR54" i="2"/>
  <c r="Q54" i="2"/>
  <c r="V54" i="2"/>
  <c r="W54" i="2"/>
  <c r="B54" i="2"/>
  <c r="K54" i="2"/>
  <c r="B18" i="4"/>
  <c r="I18" i="4"/>
  <c r="G18" i="4"/>
  <c r="F18" i="4"/>
  <c r="F47" i="2"/>
  <c r="G47" i="2"/>
  <c r="I47" i="2"/>
  <c r="AD9" i="8"/>
  <c r="AK9" i="8"/>
  <c r="AW9" i="8"/>
  <c r="BB9" i="8"/>
  <c r="H9" i="8"/>
  <c r="Y9" i="8"/>
  <c r="AZ9" i="8"/>
  <c r="AV9" i="8"/>
  <c r="AT9" i="8"/>
  <c r="AG9" i="8"/>
  <c r="X9" i="8"/>
  <c r="W9" i="8"/>
  <c r="AJ9" i="8"/>
  <c r="AU9" i="8"/>
  <c r="T9" i="8"/>
  <c r="J9" i="8"/>
  <c r="AF9" i="8"/>
  <c r="AR9" i="8"/>
  <c r="O9" i="8"/>
  <c r="S9" i="8"/>
  <c r="AB9" i="8"/>
  <c r="L9" i="8"/>
  <c r="BF9" i="8"/>
  <c r="AX9" i="8"/>
  <c r="E9" i="8"/>
  <c r="U9" i="8"/>
  <c r="N9" i="8"/>
  <c r="K9" i="8"/>
  <c r="Z9" i="8"/>
  <c r="BA9" i="8"/>
  <c r="Q9" i="8"/>
  <c r="V9" i="8"/>
  <c r="AI9" i="8"/>
  <c r="R9" i="8"/>
  <c r="AE9" i="8"/>
  <c r="AY9" i="8"/>
  <c r="AS9" i="8"/>
  <c r="AC9" i="8"/>
  <c r="AO9" i="8"/>
  <c r="BC9" i="8"/>
  <c r="AH9" i="8"/>
  <c r="P9" i="8"/>
  <c r="AN9" i="8"/>
  <c r="C9" i="8"/>
  <c r="AM9" i="8"/>
  <c r="D9" i="8"/>
  <c r="BE9" i="8"/>
  <c r="AL9" i="8"/>
  <c r="AQ9" i="8"/>
  <c r="AA9" i="8"/>
  <c r="BD9" i="8"/>
  <c r="M9" i="8"/>
  <c r="B9" i="8"/>
  <c r="AP9" i="8"/>
  <c r="F30" i="8"/>
  <c r="G30" i="8"/>
  <c r="I30" i="8"/>
  <c r="F47" i="5"/>
  <c r="G47" i="5"/>
  <c r="I47" i="5"/>
  <c r="F11" i="7"/>
  <c r="G11" i="7"/>
  <c r="I11" i="7"/>
  <c r="B37" i="6"/>
  <c r="I37" i="6"/>
  <c r="G37" i="6"/>
  <c r="F37" i="6"/>
  <c r="F54" i="5"/>
  <c r="G54" i="5"/>
  <c r="I54" i="5"/>
  <c r="F43" i="9"/>
  <c r="B43" i="9"/>
  <c r="I43" i="9"/>
  <c r="G43" i="9"/>
  <c r="B4" i="8"/>
  <c r="I4" i="8"/>
  <c r="G4" i="8"/>
  <c r="F4" i="8"/>
  <c r="AI8" i="3"/>
  <c r="AJ8" i="3"/>
  <c r="AH8" i="3"/>
  <c r="AL8" i="3"/>
  <c r="BC8" i="3"/>
  <c r="AW8" i="3"/>
  <c r="AK8" i="3"/>
  <c r="S8" i="3"/>
  <c r="AV8" i="3"/>
  <c r="D8" i="3"/>
  <c r="AB8" i="3"/>
  <c r="AO8" i="3"/>
  <c r="U8" i="3"/>
  <c r="E8" i="3"/>
  <c r="O8" i="3"/>
  <c r="W8" i="3"/>
  <c r="N8" i="3"/>
  <c r="AR8" i="3"/>
  <c r="L8" i="3"/>
  <c r="AC8" i="3"/>
  <c r="R8" i="3"/>
  <c r="K8" i="3"/>
  <c r="BB8" i="3"/>
  <c r="AS8" i="3"/>
  <c r="J8" i="3"/>
  <c r="Y8" i="3"/>
  <c r="AY8" i="3"/>
  <c r="AT8" i="3"/>
  <c r="H8" i="3"/>
  <c r="C8" i="3"/>
  <c r="BD8" i="3"/>
  <c r="BE8" i="3"/>
  <c r="Q8" i="3"/>
  <c r="AQ8" i="3"/>
  <c r="BF8" i="3"/>
  <c r="AG8" i="3"/>
  <c r="V8" i="3"/>
  <c r="M8" i="3"/>
  <c r="AU8" i="3"/>
  <c r="P8" i="3"/>
  <c r="AE8" i="3"/>
  <c r="AZ8" i="3"/>
  <c r="Z8" i="3"/>
  <c r="AA8" i="3"/>
  <c r="AD8" i="3"/>
  <c r="AP8" i="3"/>
  <c r="AM8" i="3"/>
  <c r="BA8" i="3"/>
  <c r="AX8" i="3"/>
  <c r="X8" i="3"/>
  <c r="AN8" i="3"/>
  <c r="T8" i="3"/>
  <c r="B8" i="3"/>
  <c r="AF8" i="3"/>
  <c r="M12" i="3"/>
  <c r="AY12" i="3"/>
  <c r="AB12" i="3"/>
  <c r="AU12" i="3"/>
  <c r="AX12" i="3"/>
  <c r="AL12" i="3"/>
  <c r="AG12" i="3"/>
  <c r="T12" i="3"/>
  <c r="AO12" i="3"/>
  <c r="AI12" i="3"/>
  <c r="BE12" i="3"/>
  <c r="O12" i="3"/>
  <c r="AT12" i="3"/>
  <c r="D12" i="3"/>
  <c r="X12" i="3"/>
  <c r="C12" i="3"/>
  <c r="AH12" i="3"/>
  <c r="R12" i="3"/>
  <c r="AQ12" i="3"/>
  <c r="P12" i="3"/>
  <c r="AS12" i="3"/>
  <c r="AN12" i="3"/>
  <c r="K12" i="3"/>
  <c r="BA12" i="3"/>
  <c r="L12" i="3"/>
  <c r="J12" i="3"/>
  <c r="AD12" i="3"/>
  <c r="AE12" i="3"/>
  <c r="U12" i="3"/>
  <c r="AW12" i="3"/>
  <c r="V12" i="3"/>
  <c r="S12" i="3"/>
  <c r="H12" i="3"/>
  <c r="AP12" i="3"/>
  <c r="Y12" i="3"/>
  <c r="E12" i="3"/>
  <c r="BF12" i="3"/>
  <c r="AV12" i="3"/>
  <c r="BC12" i="3"/>
  <c r="Z12" i="3"/>
  <c r="AF12" i="3"/>
  <c r="AC12" i="3"/>
  <c r="BD12" i="3"/>
  <c r="W12" i="3"/>
  <c r="BB12" i="3"/>
  <c r="AZ12" i="3"/>
  <c r="AK12" i="3"/>
  <c r="N12" i="3"/>
  <c r="Q12" i="3"/>
  <c r="AR12" i="3"/>
  <c r="AA12" i="3"/>
  <c r="AM12" i="3"/>
  <c r="B12" i="3"/>
  <c r="AJ12" i="3"/>
  <c r="J54" i="6"/>
  <c r="AQ54" i="6"/>
  <c r="AJ54" i="6"/>
  <c r="K54" i="6"/>
  <c r="AD54" i="6"/>
  <c r="AH54" i="6"/>
  <c r="AM54" i="6"/>
  <c r="AC54" i="6"/>
  <c r="AW54" i="6"/>
  <c r="AT54" i="6"/>
  <c r="Y54" i="6"/>
  <c r="AK54" i="6"/>
  <c r="AB54" i="6"/>
  <c r="BD54" i="6"/>
  <c r="AA54" i="6"/>
  <c r="M54" i="6"/>
  <c r="Z54" i="6"/>
  <c r="E54" i="6"/>
  <c r="Q54" i="6"/>
  <c r="O54" i="6"/>
  <c r="AY54" i="6"/>
  <c r="S54" i="6"/>
  <c r="AE54" i="6"/>
  <c r="AR54" i="6"/>
  <c r="U54" i="6"/>
  <c r="AI54" i="6"/>
  <c r="AN54" i="6"/>
  <c r="V54" i="6"/>
  <c r="AF54" i="6"/>
  <c r="BF54" i="6"/>
  <c r="BC54" i="6"/>
  <c r="AU54" i="6"/>
  <c r="N54" i="6"/>
  <c r="L54" i="6"/>
  <c r="AO54" i="6"/>
  <c r="AP54" i="6"/>
  <c r="C54" i="6"/>
  <c r="AX54" i="6"/>
  <c r="AL54" i="6"/>
  <c r="X54" i="6"/>
  <c r="W54" i="6"/>
  <c r="AS54" i="6"/>
  <c r="BA54" i="6"/>
  <c r="T54" i="6"/>
  <c r="AZ54" i="6"/>
  <c r="P54" i="6"/>
  <c r="BB54" i="6"/>
  <c r="D54" i="6"/>
  <c r="R54" i="6"/>
  <c r="AV54" i="6"/>
  <c r="H54" i="6"/>
  <c r="AG54" i="6"/>
  <c r="B54" i="6"/>
  <c r="BE54" i="6"/>
  <c r="AC47" i="2"/>
  <c r="AZ47" i="2"/>
  <c r="AR47" i="2"/>
  <c r="BD47" i="2"/>
  <c r="AI47" i="2"/>
  <c r="W47" i="2"/>
  <c r="AJ47" i="2"/>
  <c r="V47" i="2"/>
  <c r="BF47" i="2"/>
  <c r="AL47" i="2"/>
  <c r="AS47" i="2"/>
  <c r="BC47" i="2"/>
  <c r="BA47" i="2"/>
  <c r="AX47" i="2"/>
  <c r="AV47" i="2"/>
  <c r="AY47" i="2"/>
  <c r="AK47" i="2"/>
  <c r="AQ47" i="2"/>
  <c r="BE47" i="2"/>
  <c r="AN47" i="2"/>
  <c r="K47" i="2"/>
  <c r="AB47" i="2"/>
  <c r="Q47" i="2"/>
  <c r="Y47" i="2"/>
  <c r="AO47" i="2"/>
  <c r="AE47" i="2"/>
  <c r="P47" i="2"/>
  <c r="N47" i="2"/>
  <c r="AU47" i="2"/>
  <c r="O47" i="2"/>
  <c r="D47" i="2"/>
  <c r="R47" i="2"/>
  <c r="C47" i="2"/>
  <c r="AH47" i="2"/>
  <c r="L47" i="2"/>
  <c r="T47" i="2"/>
  <c r="M47" i="2"/>
  <c r="X47" i="2"/>
  <c r="BB47" i="2"/>
  <c r="AW47" i="2"/>
  <c r="Z47" i="2"/>
  <c r="H47" i="2"/>
  <c r="AA47" i="2"/>
  <c r="AM47" i="2"/>
  <c r="E47" i="2"/>
  <c r="J47" i="2"/>
  <c r="AF47" i="2"/>
  <c r="AD47" i="2"/>
  <c r="S47" i="2"/>
  <c r="AP47" i="2"/>
  <c r="U47" i="2"/>
  <c r="AT47" i="2"/>
  <c r="B47" i="2"/>
  <c r="AG47" i="2"/>
  <c r="B29" i="6"/>
  <c r="I29" i="6"/>
  <c r="G29" i="6"/>
  <c r="F29" i="6"/>
  <c r="B28" i="5"/>
  <c r="I28" i="5"/>
  <c r="G28" i="5"/>
  <c r="F28" i="5"/>
  <c r="BD21" i="3"/>
  <c r="AO21" i="3"/>
  <c r="W21" i="3"/>
  <c r="X21" i="3"/>
  <c r="Z21" i="3"/>
  <c r="AE21" i="3"/>
  <c r="AS21" i="3"/>
  <c r="M21" i="3"/>
  <c r="AA21" i="3"/>
  <c r="AD21" i="3"/>
  <c r="AV21" i="3"/>
  <c r="R21" i="3"/>
  <c r="AI21" i="3"/>
  <c r="AL21" i="3"/>
  <c r="N21" i="3"/>
  <c r="AU21" i="3"/>
  <c r="L21" i="3"/>
  <c r="AR21" i="3"/>
  <c r="AH21" i="3"/>
  <c r="AQ21" i="3"/>
  <c r="AM21" i="3"/>
  <c r="AG21" i="3"/>
  <c r="O21" i="3"/>
  <c r="S21" i="3"/>
  <c r="AK21" i="3"/>
  <c r="AB21" i="3"/>
  <c r="AX21" i="3"/>
  <c r="AW21" i="3"/>
  <c r="K21" i="3"/>
  <c r="H21" i="3"/>
  <c r="BE21" i="3"/>
  <c r="BF21" i="3"/>
  <c r="D21" i="3"/>
  <c r="BC21" i="3"/>
  <c r="E21" i="3"/>
  <c r="BB21" i="3"/>
  <c r="AN21" i="3"/>
  <c r="AC21" i="3"/>
  <c r="P21" i="3"/>
  <c r="C21" i="3"/>
  <c r="AT21" i="3"/>
  <c r="Q21" i="3"/>
  <c r="AJ21" i="3"/>
  <c r="AZ21" i="3"/>
  <c r="AP21" i="3"/>
  <c r="T21" i="3"/>
  <c r="BA21" i="3"/>
  <c r="V21" i="3"/>
  <c r="Y21" i="3"/>
  <c r="AF21" i="3"/>
  <c r="AY21" i="3"/>
  <c r="U21" i="3"/>
  <c r="J21" i="3"/>
  <c r="B3" i="4"/>
  <c r="I3" i="4"/>
  <c r="G3" i="4"/>
  <c r="F3" i="4"/>
  <c r="B53" i="2"/>
  <c r="I53" i="2"/>
  <c r="G53" i="2"/>
  <c r="F53" i="2"/>
  <c r="F31" i="6"/>
  <c r="G31" i="6"/>
  <c r="I31" i="6"/>
  <c r="R50" i="3"/>
  <c r="AT50" i="3"/>
  <c r="AM50" i="3"/>
  <c r="BB50" i="3"/>
  <c r="Y50" i="3"/>
  <c r="T50" i="3"/>
  <c r="AX50" i="3"/>
  <c r="E50" i="3"/>
  <c r="AD50" i="3"/>
  <c r="K50" i="3"/>
  <c r="AL50" i="3"/>
  <c r="BC50" i="3"/>
  <c r="AZ50" i="3"/>
  <c r="AV50" i="3"/>
  <c r="D50" i="3"/>
  <c r="M50" i="3"/>
  <c r="AG50" i="3"/>
  <c r="N50" i="3"/>
  <c r="C50" i="3"/>
  <c r="BA50" i="3"/>
  <c r="V50" i="3"/>
  <c r="Q50" i="3"/>
  <c r="AY50" i="3"/>
  <c r="BF50" i="3"/>
  <c r="AI50" i="3"/>
  <c r="L50" i="3"/>
  <c r="J50" i="3"/>
  <c r="AP50" i="3"/>
  <c r="AS50" i="3"/>
  <c r="O50" i="3"/>
  <c r="X50" i="3"/>
  <c r="W50" i="3"/>
  <c r="BE50" i="3"/>
  <c r="S50" i="3"/>
  <c r="AN50" i="3"/>
  <c r="AJ50" i="3"/>
  <c r="AA50" i="3"/>
  <c r="H50" i="3"/>
  <c r="P50" i="3"/>
  <c r="AE50" i="3"/>
  <c r="AH50" i="3"/>
  <c r="AC50" i="3"/>
  <c r="AQ50" i="3"/>
  <c r="AB50" i="3"/>
  <c r="AR50" i="3"/>
  <c r="BD50" i="3"/>
  <c r="AO50" i="3"/>
  <c r="U50" i="3"/>
  <c r="Z50" i="3"/>
  <c r="AK50" i="3"/>
  <c r="AW50" i="3"/>
  <c r="AF50" i="3"/>
  <c r="AU50" i="3"/>
  <c r="B10" i="8"/>
  <c r="I10" i="8"/>
  <c r="G10" i="8"/>
  <c r="F10" i="8"/>
  <c r="BF36" i="6"/>
  <c r="P36" i="6"/>
  <c r="BE36" i="6"/>
  <c r="BA36" i="6"/>
  <c r="J36" i="6"/>
  <c r="AM36" i="6"/>
  <c r="D36" i="6"/>
  <c r="AI36" i="6"/>
  <c r="AW36" i="6"/>
  <c r="AP36" i="6"/>
  <c r="AE36" i="6"/>
  <c r="U36" i="6"/>
  <c r="AT36" i="6"/>
  <c r="N36" i="6"/>
  <c r="AV36" i="6"/>
  <c r="AD36" i="6"/>
  <c r="AA36" i="6"/>
  <c r="AJ36" i="6"/>
  <c r="Z36" i="6"/>
  <c r="O36" i="6"/>
  <c r="S36" i="6"/>
  <c r="AN36" i="6"/>
  <c r="AS36" i="6"/>
  <c r="AG36" i="6"/>
  <c r="AY36" i="6"/>
  <c r="AU36" i="6"/>
  <c r="X36" i="6"/>
  <c r="L36" i="6"/>
  <c r="AC36" i="6"/>
  <c r="V36" i="6"/>
  <c r="AR36" i="6"/>
  <c r="R36" i="6"/>
  <c r="Y36" i="6"/>
  <c r="AL36" i="6"/>
  <c r="AH36" i="6"/>
  <c r="K36" i="6"/>
  <c r="H36" i="6"/>
  <c r="AB36" i="6"/>
  <c r="AK36" i="6"/>
  <c r="AZ36" i="6"/>
  <c r="BC36" i="6"/>
  <c r="BD36" i="6"/>
  <c r="Q36" i="6"/>
  <c r="AQ36" i="6"/>
  <c r="W36" i="6"/>
  <c r="M36" i="6"/>
  <c r="T36" i="6"/>
  <c r="AX36" i="6"/>
  <c r="C36" i="6"/>
  <c r="BB36" i="6"/>
  <c r="AF36" i="6"/>
  <c r="AO36" i="6"/>
  <c r="B36" i="6"/>
  <c r="E36" i="6"/>
  <c r="I55" i="2"/>
  <c r="G55" i="2"/>
  <c r="F55" i="2"/>
  <c r="AU23" i="4"/>
  <c r="J23" i="4"/>
  <c r="AA23" i="4"/>
  <c r="M23" i="4"/>
  <c r="T23" i="4"/>
  <c r="S23" i="4"/>
  <c r="AJ23" i="4"/>
  <c r="O23" i="4"/>
  <c r="AE23" i="4"/>
  <c r="AD23" i="4"/>
  <c r="AQ23" i="4"/>
  <c r="BC23" i="4"/>
  <c r="C23" i="4"/>
  <c r="AX23" i="4"/>
  <c r="AR23" i="4"/>
  <c r="AN23" i="4"/>
  <c r="AB23" i="4"/>
  <c r="BF23" i="4"/>
  <c r="BA23" i="4"/>
  <c r="N23" i="4"/>
  <c r="BD23" i="4"/>
  <c r="V23" i="4"/>
  <c r="Z23" i="4"/>
  <c r="BE23" i="4"/>
  <c r="AV23" i="4"/>
  <c r="L23" i="4"/>
  <c r="AM23" i="4"/>
  <c r="AI23" i="4"/>
  <c r="E23" i="4"/>
  <c r="U23" i="4"/>
  <c r="AO23" i="4"/>
  <c r="K23" i="4"/>
  <c r="AF23" i="4"/>
  <c r="AW23" i="4"/>
  <c r="AS23" i="4"/>
  <c r="AC23" i="4"/>
  <c r="Q23" i="4"/>
  <c r="AZ23" i="4"/>
  <c r="R23" i="4"/>
  <c r="H23" i="4"/>
  <c r="AH23" i="4"/>
  <c r="AT23" i="4"/>
  <c r="X23" i="4"/>
  <c r="BB23" i="4"/>
  <c r="P23" i="4"/>
  <c r="AY23" i="4"/>
  <c r="AK23" i="4"/>
  <c r="AP23" i="4"/>
  <c r="AL23" i="4"/>
  <c r="Y23" i="4"/>
  <c r="W23" i="4"/>
  <c r="D23" i="4"/>
  <c r="AG23" i="4"/>
  <c r="B27" i="3"/>
  <c r="I27" i="3"/>
  <c r="G27" i="3"/>
  <c r="F27" i="3"/>
  <c r="BC17" i="7"/>
  <c r="AB17" i="7"/>
  <c r="H17" i="7"/>
  <c r="AV17" i="7"/>
  <c r="N17" i="7"/>
  <c r="P17" i="7"/>
  <c r="AW17" i="7"/>
  <c r="D17" i="7"/>
  <c r="BF17" i="7"/>
  <c r="AZ17" i="7"/>
  <c r="AA17" i="7"/>
  <c r="AP17" i="7"/>
  <c r="M17" i="7"/>
  <c r="AS17" i="7"/>
  <c r="AU17" i="7"/>
  <c r="AT17" i="7"/>
  <c r="Y17" i="7"/>
  <c r="Z17" i="7"/>
  <c r="X17" i="7"/>
  <c r="AQ17" i="7"/>
  <c r="K17" i="7"/>
  <c r="AD17" i="7"/>
  <c r="AE17" i="7"/>
  <c r="BE17" i="7"/>
  <c r="C17" i="7"/>
  <c r="AH17" i="7"/>
  <c r="AL17" i="7"/>
  <c r="J17" i="7"/>
  <c r="W17" i="7"/>
  <c r="V17" i="7"/>
  <c r="Q17" i="7"/>
  <c r="AK17" i="7"/>
  <c r="O17" i="7"/>
  <c r="L17" i="7"/>
  <c r="AO17" i="7"/>
  <c r="AM17" i="7"/>
  <c r="R17" i="7"/>
  <c r="S17" i="7"/>
  <c r="AX17" i="7"/>
  <c r="BA17" i="7"/>
  <c r="AJ17" i="7"/>
  <c r="E17" i="7"/>
  <c r="U17" i="7"/>
  <c r="AF17" i="7"/>
  <c r="AC17" i="7"/>
  <c r="AG17" i="7"/>
  <c r="AR17" i="7"/>
  <c r="BB17" i="7"/>
  <c r="AI17" i="7"/>
  <c r="AY17" i="7"/>
  <c r="AN17" i="7"/>
  <c r="T17" i="7"/>
  <c r="BD17" i="7"/>
  <c r="I26" i="8"/>
  <c r="G26" i="8"/>
  <c r="F26" i="8"/>
  <c r="S32" i="3"/>
  <c r="AF32" i="3"/>
  <c r="AT32" i="3"/>
  <c r="AE32" i="3"/>
  <c r="P32" i="3"/>
  <c r="L32" i="3"/>
  <c r="AJ32" i="3"/>
  <c r="M32" i="3"/>
  <c r="AV32" i="3"/>
  <c r="AK32" i="3"/>
  <c r="J32" i="3"/>
  <c r="BA32" i="3"/>
  <c r="AH32" i="3"/>
  <c r="AW32" i="3"/>
  <c r="BF32" i="3"/>
  <c r="U32" i="3"/>
  <c r="AR32" i="3"/>
  <c r="Z32" i="3"/>
  <c r="AX32" i="3"/>
  <c r="E32" i="3"/>
  <c r="AU32" i="3"/>
  <c r="AB32" i="3"/>
  <c r="Q32" i="3"/>
  <c r="X32" i="3"/>
  <c r="W32" i="3"/>
  <c r="AG32" i="3"/>
  <c r="H32" i="3"/>
  <c r="Y32" i="3"/>
  <c r="AN32" i="3"/>
  <c r="BD32" i="3"/>
  <c r="BB32" i="3"/>
  <c r="AL32" i="3"/>
  <c r="C32" i="3"/>
  <c r="D32" i="3"/>
  <c r="BC32" i="3"/>
  <c r="AQ32" i="3"/>
  <c r="AD32" i="3"/>
  <c r="O32" i="3"/>
  <c r="R32" i="3"/>
  <c r="AA32" i="3"/>
  <c r="N32" i="3"/>
  <c r="AM32" i="3"/>
  <c r="AO32" i="3"/>
  <c r="V32" i="3"/>
  <c r="AZ32" i="3"/>
  <c r="AY32" i="3"/>
  <c r="AI32" i="3"/>
  <c r="AP32" i="3"/>
  <c r="AS32" i="3"/>
  <c r="K32" i="3"/>
  <c r="T32" i="3"/>
  <c r="BE32" i="3"/>
  <c r="AC32" i="3"/>
  <c r="I36" i="2"/>
  <c r="G36" i="2"/>
  <c r="F36" i="2"/>
  <c r="AZ44" i="7"/>
  <c r="BB44" i="7"/>
  <c r="H44" i="7"/>
  <c r="M44" i="7"/>
  <c r="AA44" i="7"/>
  <c r="K44" i="7"/>
  <c r="AC44" i="7"/>
  <c r="AJ44" i="7"/>
  <c r="BE44" i="7"/>
  <c r="AL44" i="7"/>
  <c r="AU44" i="7"/>
  <c r="AX44" i="7"/>
  <c r="AQ44" i="7"/>
  <c r="AW44" i="7"/>
  <c r="W44" i="7"/>
  <c r="AM44" i="7"/>
  <c r="BA44" i="7"/>
  <c r="R44" i="7"/>
  <c r="AD44" i="7"/>
  <c r="U44" i="7"/>
  <c r="Y44" i="7"/>
  <c r="AO44" i="7"/>
  <c r="AF44" i="7"/>
  <c r="N44" i="7"/>
  <c r="AG44" i="7"/>
  <c r="AP44" i="7"/>
  <c r="X44" i="7"/>
  <c r="E44" i="7"/>
  <c r="BC44" i="7"/>
  <c r="C44" i="7"/>
  <c r="AI44" i="7"/>
  <c r="D44" i="7"/>
  <c r="V44" i="7"/>
  <c r="AV44" i="7"/>
  <c r="AN44" i="7"/>
  <c r="J44" i="7"/>
  <c r="BD44" i="7"/>
  <c r="Q44" i="7"/>
  <c r="AY44" i="7"/>
  <c r="AH44" i="7"/>
  <c r="Z44" i="7"/>
  <c r="S44" i="7"/>
  <c r="AE44" i="7"/>
  <c r="T44" i="7"/>
  <c r="AK44" i="7"/>
  <c r="L44" i="7"/>
  <c r="AT44" i="7"/>
  <c r="P44" i="7"/>
  <c r="BF44" i="7"/>
  <c r="AR44" i="7"/>
  <c r="AB44" i="7"/>
  <c r="O44" i="7"/>
  <c r="AS44" i="7"/>
  <c r="AN27" i="1"/>
  <c r="AF27" i="1"/>
  <c r="J27" i="1"/>
  <c r="BC27" i="1"/>
  <c r="AG27" i="1"/>
  <c r="Z27" i="1"/>
  <c r="AY27" i="1"/>
  <c r="BE27" i="1"/>
  <c r="C27" i="1"/>
  <c r="V27" i="1"/>
  <c r="T27" i="1"/>
  <c r="U27" i="1"/>
  <c r="X27" i="1"/>
  <c r="AV27" i="1"/>
  <c r="AH27" i="1"/>
  <c r="AL27" i="1"/>
  <c r="BD27" i="1"/>
  <c r="AP27" i="1"/>
  <c r="AJ27" i="1"/>
  <c r="H27" i="1"/>
  <c r="AB27" i="1"/>
  <c r="AW27" i="1"/>
  <c r="AC27" i="1"/>
  <c r="W27" i="1"/>
  <c r="AQ27" i="1"/>
  <c r="K27" i="1"/>
  <c r="AU27" i="1"/>
  <c r="AE27" i="1"/>
  <c r="BB27" i="1"/>
  <c r="BA27" i="1"/>
  <c r="L27" i="1"/>
  <c r="AI27" i="1"/>
  <c r="AR27" i="1"/>
  <c r="S27" i="1"/>
  <c r="AO27" i="1"/>
  <c r="Q27" i="1"/>
  <c r="AD27" i="1"/>
  <c r="N27" i="1"/>
  <c r="O27" i="1"/>
  <c r="AX27" i="1"/>
  <c r="AT27" i="1"/>
  <c r="P27" i="1"/>
  <c r="AA27" i="1"/>
  <c r="D27" i="1"/>
  <c r="AM27" i="1"/>
  <c r="R27" i="1"/>
  <c r="M27" i="1"/>
  <c r="E27" i="1"/>
  <c r="AS27" i="1"/>
  <c r="AZ27" i="1"/>
  <c r="Y27" i="1"/>
  <c r="BF27" i="1"/>
  <c r="AK27" i="1"/>
  <c r="B50" i="7"/>
  <c r="I50" i="7"/>
  <c r="G50" i="7"/>
  <c r="F50" i="7"/>
  <c r="I19" i="7"/>
  <c r="G19" i="7"/>
  <c r="F19" i="7"/>
  <c r="B36" i="8"/>
  <c r="I36" i="8"/>
  <c r="G36" i="8"/>
  <c r="F36" i="8"/>
  <c r="AV5" i="10"/>
  <c r="AQ5" i="10"/>
  <c r="Z5" i="10"/>
  <c r="H5" i="10"/>
  <c r="AJ5" i="10"/>
  <c r="AI5" i="10"/>
  <c r="BF5" i="10"/>
  <c r="AR5" i="10"/>
  <c r="L5" i="10"/>
  <c r="AM5" i="10"/>
  <c r="AG5" i="10"/>
  <c r="E5" i="10"/>
  <c r="Q5" i="10"/>
  <c r="R5" i="10"/>
  <c r="BC5" i="10"/>
  <c r="P5" i="10"/>
  <c r="BD5" i="10"/>
  <c r="V5" i="10"/>
  <c r="AK5" i="10"/>
  <c r="BA5" i="10"/>
  <c r="AS5" i="10"/>
  <c r="AL5" i="10"/>
  <c r="AW5" i="10"/>
  <c r="W5" i="10"/>
  <c r="AE5" i="10"/>
  <c r="K5" i="10"/>
  <c r="AP5" i="10"/>
  <c r="BB5" i="10"/>
  <c r="AZ5" i="10"/>
  <c r="AF5" i="10"/>
  <c r="Y5" i="10"/>
  <c r="AH5" i="10"/>
  <c r="AN5" i="10"/>
  <c r="BE5" i="10"/>
  <c r="AA5" i="10"/>
  <c r="AC5" i="10"/>
  <c r="AO5" i="10"/>
  <c r="N5" i="10"/>
  <c r="S5" i="10"/>
  <c r="U5" i="10"/>
  <c r="AX5" i="10"/>
  <c r="AY5" i="10"/>
  <c r="X5" i="10"/>
  <c r="AT5" i="10"/>
  <c r="O5" i="10"/>
  <c r="AD5" i="10"/>
  <c r="M5" i="10"/>
  <c r="T5" i="10"/>
  <c r="J5" i="10"/>
  <c r="D5" i="10"/>
  <c r="AU5" i="10"/>
  <c r="AB5" i="10"/>
  <c r="C5" i="10"/>
  <c r="I44" i="1"/>
  <c r="G44" i="1"/>
  <c r="F44" i="1"/>
  <c r="F32" i="6"/>
  <c r="B32" i="6"/>
  <c r="I32" i="6"/>
  <c r="G32" i="6"/>
  <c r="B50" i="3"/>
  <c r="I50" i="3"/>
  <c r="G50" i="3"/>
  <c r="F50" i="3"/>
  <c r="S21" i="10"/>
  <c r="V21" i="10"/>
  <c r="AP21" i="10"/>
  <c r="AE21" i="10"/>
  <c r="Y21" i="10"/>
  <c r="AD21" i="10"/>
  <c r="AT21" i="10"/>
  <c r="P21" i="10"/>
  <c r="U21" i="10"/>
  <c r="AY21" i="10"/>
  <c r="AL21" i="10"/>
  <c r="AA21" i="10"/>
  <c r="AW21" i="10"/>
  <c r="E21" i="10"/>
  <c r="AO21" i="10"/>
  <c r="AZ21" i="10"/>
  <c r="T21" i="10"/>
  <c r="R21" i="10"/>
  <c r="N21" i="10"/>
  <c r="K21" i="10"/>
  <c r="BA21" i="10"/>
  <c r="AJ21" i="10"/>
  <c r="AX21" i="10"/>
  <c r="AI21" i="10"/>
  <c r="AB21" i="10"/>
  <c r="M21" i="10"/>
  <c r="AQ21" i="10"/>
  <c r="AS21" i="10"/>
  <c r="AH21" i="10"/>
  <c r="Q21" i="10"/>
  <c r="AR21" i="10"/>
  <c r="AN21" i="10"/>
  <c r="BC21" i="10"/>
  <c r="L21" i="10"/>
  <c r="BF21" i="10"/>
  <c r="O21" i="10"/>
  <c r="D21" i="10"/>
  <c r="AC21" i="10"/>
  <c r="BD21" i="10"/>
  <c r="AV21" i="10"/>
  <c r="W21" i="10"/>
  <c r="H21" i="10"/>
  <c r="X21" i="10"/>
  <c r="J21" i="10"/>
  <c r="BE21" i="10"/>
  <c r="AK21" i="10"/>
  <c r="AF21" i="10"/>
  <c r="AM21" i="10"/>
  <c r="BB21" i="10"/>
  <c r="Z21" i="10"/>
  <c r="AU21" i="10"/>
  <c r="AG21" i="10"/>
  <c r="C21" i="10"/>
  <c r="B23" i="4"/>
  <c r="I23" i="4"/>
  <c r="G23" i="4"/>
  <c r="F23" i="4"/>
  <c r="B17" i="7"/>
  <c r="I17" i="7"/>
  <c r="G17" i="7"/>
  <c r="F17" i="7"/>
  <c r="F10" i="2"/>
  <c r="G10" i="2"/>
  <c r="I10" i="2"/>
  <c r="J48" i="5"/>
  <c r="AM48" i="5"/>
  <c r="R48" i="5"/>
  <c r="V48" i="5"/>
  <c r="U48" i="5"/>
  <c r="AT48" i="5"/>
  <c r="T48" i="5"/>
  <c r="BF48" i="5"/>
  <c r="H48" i="5"/>
  <c r="AN48" i="5"/>
  <c r="S48" i="5"/>
  <c r="N48" i="5"/>
  <c r="O48" i="5"/>
  <c r="AK48" i="5"/>
  <c r="P48" i="5"/>
  <c r="BB48" i="5"/>
  <c r="Z48" i="5"/>
  <c r="D48" i="5"/>
  <c r="X48" i="5"/>
  <c r="AS48" i="5"/>
  <c r="AU48" i="5"/>
  <c r="AC48" i="5"/>
  <c r="AG48" i="5"/>
  <c r="BE48" i="5"/>
  <c r="W48" i="5"/>
  <c r="AA48" i="5"/>
  <c r="Y48" i="5"/>
  <c r="AX48" i="5"/>
  <c r="L48" i="5"/>
  <c r="AH48" i="5"/>
  <c r="AP48" i="5"/>
  <c r="AY48" i="5"/>
  <c r="C48" i="5"/>
  <c r="M48" i="5"/>
  <c r="AL48" i="5"/>
  <c r="AF48" i="5"/>
  <c r="BC48" i="5"/>
  <c r="AQ48" i="5"/>
  <c r="Q48" i="5"/>
  <c r="BD48" i="5"/>
  <c r="AV48" i="5"/>
  <c r="AB48" i="5"/>
  <c r="AD48" i="5"/>
  <c r="AJ48" i="5"/>
  <c r="AO48" i="5"/>
  <c r="AR48" i="5"/>
  <c r="AW48" i="5"/>
  <c r="BA48" i="5"/>
  <c r="AZ48" i="5"/>
  <c r="AI48" i="5"/>
  <c r="E48" i="5"/>
  <c r="K48" i="5"/>
  <c r="AE48" i="5"/>
  <c r="BA26" i="8"/>
  <c r="AE26" i="8"/>
  <c r="Y26" i="8"/>
  <c r="AU26" i="8"/>
  <c r="T26" i="8"/>
  <c r="E26" i="8"/>
  <c r="AP26" i="8"/>
  <c r="BD26" i="8"/>
  <c r="AC26" i="8"/>
  <c r="M26" i="8"/>
  <c r="O26" i="8"/>
  <c r="AB26" i="8"/>
  <c r="BB26" i="8"/>
  <c r="P26" i="8"/>
  <c r="AI26" i="8"/>
  <c r="AD26" i="8"/>
  <c r="AZ26" i="8"/>
  <c r="AT26" i="8"/>
  <c r="AH26" i="8"/>
  <c r="Q26" i="8"/>
  <c r="AO26" i="8"/>
  <c r="BE26" i="8"/>
  <c r="AN26" i="8"/>
  <c r="AQ26" i="8"/>
  <c r="AJ26" i="8"/>
  <c r="AG26" i="8"/>
  <c r="V26" i="8"/>
  <c r="C26" i="8"/>
  <c r="AS26" i="8"/>
  <c r="AR26" i="8"/>
  <c r="W26" i="8"/>
  <c r="D26" i="8"/>
  <c r="AY26" i="8"/>
  <c r="BC26" i="8"/>
  <c r="Z26" i="8"/>
  <c r="AV26" i="8"/>
  <c r="K26" i="8"/>
  <c r="L26" i="8"/>
  <c r="AK26" i="8"/>
  <c r="AF26" i="8"/>
  <c r="H26" i="8"/>
  <c r="AX26" i="8"/>
  <c r="BF26" i="8"/>
  <c r="U26" i="8"/>
  <c r="AL26" i="8"/>
  <c r="AA26" i="8"/>
  <c r="X26" i="8"/>
  <c r="N26" i="8"/>
  <c r="R26" i="8"/>
  <c r="AM26" i="8"/>
  <c r="AW26" i="8"/>
  <c r="S26" i="8"/>
  <c r="B26" i="8"/>
  <c r="J26" i="8"/>
  <c r="B32" i="3"/>
  <c r="I32" i="3"/>
  <c r="G32" i="3"/>
  <c r="F32" i="3"/>
  <c r="O25" i="3"/>
  <c r="AM25" i="3"/>
  <c r="AH25" i="3"/>
  <c r="AD25" i="3"/>
  <c r="N25" i="3"/>
  <c r="AK25" i="3"/>
  <c r="AQ25" i="3"/>
  <c r="U25" i="3"/>
  <c r="M25" i="3"/>
  <c r="BE25" i="3"/>
  <c r="H25" i="3"/>
  <c r="AN25" i="3"/>
  <c r="X25" i="3"/>
  <c r="BD25" i="3"/>
  <c r="BF25" i="3"/>
  <c r="W25" i="3"/>
  <c r="Y25" i="3"/>
  <c r="AF25" i="3"/>
  <c r="P25" i="3"/>
  <c r="BB25" i="3"/>
  <c r="AV25" i="3"/>
  <c r="AR25" i="3"/>
  <c r="AC25" i="3"/>
  <c r="AY25" i="3"/>
  <c r="AO25" i="3"/>
  <c r="AE25" i="3"/>
  <c r="L25" i="3"/>
  <c r="AP25" i="3"/>
  <c r="Z25" i="3"/>
  <c r="C25" i="3"/>
  <c r="BA25" i="3"/>
  <c r="BC25" i="3"/>
  <c r="J25" i="3"/>
  <c r="Q25" i="3"/>
  <c r="AS25" i="3"/>
  <c r="AG25" i="3"/>
  <c r="S25" i="3"/>
  <c r="AW25" i="3"/>
  <c r="AU25" i="3"/>
  <c r="AZ25" i="3"/>
  <c r="AB25" i="3"/>
  <c r="AX25" i="3"/>
  <c r="D25" i="3"/>
  <c r="AJ25" i="3"/>
  <c r="AI25" i="3"/>
  <c r="T25" i="3"/>
  <c r="V25" i="3"/>
  <c r="AL25" i="3"/>
  <c r="AT25" i="3"/>
  <c r="R25" i="3"/>
  <c r="AA25" i="3"/>
  <c r="E25" i="3"/>
  <c r="K25" i="3"/>
  <c r="L2" i="8"/>
  <c r="Z2" i="8"/>
  <c r="AP2" i="8"/>
  <c r="O2" i="8"/>
  <c r="AD2" i="8"/>
  <c r="AS2" i="8"/>
  <c r="AA2" i="8"/>
  <c r="T2" i="8"/>
  <c r="AF2" i="8"/>
  <c r="H2" i="8"/>
  <c r="AO2" i="8"/>
  <c r="AM2" i="8"/>
  <c r="AE2" i="8"/>
  <c r="U2" i="8"/>
  <c r="AW2" i="8"/>
  <c r="J2" i="8"/>
  <c r="AR2" i="8"/>
  <c r="Y2" i="8"/>
  <c r="Q2" i="8"/>
  <c r="AX2" i="8"/>
  <c r="W2" i="8"/>
  <c r="AC2" i="8"/>
  <c r="BB2" i="8"/>
  <c r="N2" i="8"/>
  <c r="C2" i="8"/>
  <c r="AU2" i="8"/>
  <c r="K2" i="8"/>
  <c r="AG2" i="8"/>
  <c r="BD2" i="8"/>
  <c r="P2" i="8"/>
  <c r="AN2" i="8"/>
  <c r="AV2" i="8"/>
  <c r="BC2" i="8"/>
  <c r="V2" i="8"/>
  <c r="AI2" i="8"/>
  <c r="E2" i="8"/>
  <c r="M2" i="8"/>
  <c r="R2" i="8"/>
  <c r="AT2" i="8"/>
  <c r="AJ2" i="8"/>
  <c r="AB2" i="8"/>
  <c r="BF2" i="8"/>
  <c r="AK2" i="8"/>
  <c r="X2" i="8"/>
  <c r="AL2" i="8"/>
  <c r="D2" i="8"/>
  <c r="S2" i="8"/>
  <c r="AY2" i="8"/>
  <c r="BE2" i="8"/>
  <c r="AQ2" i="8"/>
  <c r="BA2" i="8"/>
  <c r="AH2" i="8"/>
  <c r="AZ2" i="8"/>
  <c r="AK36" i="2"/>
  <c r="BB36" i="2"/>
  <c r="R36" i="2"/>
  <c r="AG36" i="2"/>
  <c r="BF36" i="2"/>
  <c r="L36" i="2"/>
  <c r="AV36" i="2"/>
  <c r="Y36" i="2"/>
  <c r="BE36" i="2"/>
  <c r="AH36" i="2"/>
  <c r="AW36" i="2"/>
  <c r="N36" i="2"/>
  <c r="AC36" i="2"/>
  <c r="BA36" i="2"/>
  <c r="AF36" i="2"/>
  <c r="AP36" i="2"/>
  <c r="M36" i="2"/>
  <c r="BD36" i="2"/>
  <c r="U36" i="2"/>
  <c r="P36" i="2"/>
  <c r="O36" i="2"/>
  <c r="AI36" i="2"/>
  <c r="H36" i="2"/>
  <c r="T36" i="2"/>
  <c r="BC36" i="2"/>
  <c r="AE36" i="2"/>
  <c r="D36" i="2"/>
  <c r="E36" i="2"/>
  <c r="X36" i="2"/>
  <c r="AX36" i="2"/>
  <c r="AJ36" i="2"/>
  <c r="AO36" i="2"/>
  <c r="Z36" i="2"/>
  <c r="AY36" i="2"/>
  <c r="AU36" i="2"/>
  <c r="Q36" i="2"/>
  <c r="AZ36" i="2"/>
  <c r="AR36" i="2"/>
  <c r="S36" i="2"/>
  <c r="AT36" i="2"/>
  <c r="AQ36" i="2"/>
  <c r="AA36" i="2"/>
  <c r="J36" i="2"/>
  <c r="AB36" i="2"/>
  <c r="W36" i="2"/>
  <c r="C36" i="2"/>
  <c r="K36" i="2"/>
  <c r="AS36" i="2"/>
  <c r="AD36" i="2"/>
  <c r="AN36" i="2"/>
  <c r="AM36" i="2"/>
  <c r="AL36" i="2"/>
  <c r="B36" i="2"/>
  <c r="V36" i="2"/>
  <c r="B44" i="7"/>
  <c r="I44" i="7"/>
  <c r="G44" i="7"/>
  <c r="F44" i="7"/>
  <c r="BC16" i="2"/>
  <c r="AU16" i="2"/>
  <c r="S16" i="2"/>
  <c r="AH16" i="2"/>
  <c r="AY16" i="2"/>
  <c r="K16" i="2"/>
  <c r="E16" i="2"/>
  <c r="O16" i="2"/>
  <c r="Q16" i="2"/>
  <c r="Z16" i="2"/>
  <c r="AJ16" i="2"/>
  <c r="BE16" i="2"/>
  <c r="AS16" i="2"/>
  <c r="W16" i="2"/>
  <c r="AX16" i="2"/>
  <c r="AG16" i="2"/>
  <c r="AA16" i="2"/>
  <c r="AD16" i="2"/>
  <c r="D16" i="2"/>
  <c r="AC16" i="2"/>
  <c r="BA16" i="2"/>
  <c r="AT16" i="2"/>
  <c r="AV16" i="2"/>
  <c r="BF16" i="2"/>
  <c r="AB16" i="2"/>
  <c r="U16" i="2"/>
  <c r="AI16" i="2"/>
  <c r="Y16" i="2"/>
  <c r="P16" i="2"/>
  <c r="C16" i="2"/>
  <c r="AM16" i="2"/>
  <c r="R16" i="2"/>
  <c r="T16" i="2"/>
  <c r="AL16" i="2"/>
  <c r="AN16" i="2"/>
  <c r="BD16" i="2"/>
  <c r="AO16" i="2"/>
  <c r="V16" i="2"/>
  <c r="AQ16" i="2"/>
  <c r="AF16" i="2"/>
  <c r="H16" i="2"/>
  <c r="AZ16" i="2"/>
  <c r="L16" i="2"/>
  <c r="AK16" i="2"/>
  <c r="N16" i="2"/>
  <c r="BB16" i="2"/>
  <c r="AP16" i="2"/>
  <c r="AR16" i="2"/>
  <c r="X16" i="2"/>
  <c r="J16" i="2"/>
  <c r="AE16" i="2"/>
  <c r="AW16" i="2"/>
  <c r="M16" i="2"/>
  <c r="B27" i="1"/>
  <c r="I27" i="1"/>
  <c r="G27" i="1"/>
  <c r="F27" i="1"/>
  <c r="Z25" i="8"/>
  <c r="AI25" i="8"/>
  <c r="AM25" i="8"/>
  <c r="AA25" i="8"/>
  <c r="AU25" i="8"/>
  <c r="AQ25" i="8"/>
  <c r="P25" i="8"/>
  <c r="U25" i="8"/>
  <c r="AY25" i="8"/>
  <c r="BF25" i="8"/>
  <c r="J25" i="8"/>
  <c r="BD25" i="8"/>
  <c r="AK25" i="8"/>
  <c r="S25" i="8"/>
  <c r="N25" i="8"/>
  <c r="AF25" i="8"/>
  <c r="AV25" i="8"/>
  <c r="M25" i="8"/>
  <c r="AE25" i="8"/>
  <c r="K25" i="8"/>
  <c r="AH25" i="8"/>
  <c r="AJ25" i="8"/>
  <c r="BA25" i="8"/>
  <c r="H25" i="8"/>
  <c r="AP25" i="8"/>
  <c r="AT25" i="8"/>
  <c r="C25" i="8"/>
  <c r="D25" i="8"/>
  <c r="T25" i="8"/>
  <c r="R25" i="8"/>
  <c r="W25" i="8"/>
  <c r="X25" i="8"/>
  <c r="AW25" i="8"/>
  <c r="AN25" i="8"/>
  <c r="O25" i="8"/>
  <c r="E25" i="8"/>
  <c r="AO25" i="8"/>
  <c r="L25" i="8"/>
  <c r="AR25" i="8"/>
  <c r="Y25" i="8"/>
  <c r="BE25" i="8"/>
  <c r="AX25" i="8"/>
  <c r="AC25" i="8"/>
  <c r="AS25" i="8"/>
  <c r="AG25" i="8"/>
  <c r="BB25" i="8"/>
  <c r="V25" i="8"/>
  <c r="Q25" i="8"/>
  <c r="AL25" i="8"/>
  <c r="AB25" i="8"/>
  <c r="AZ25" i="8"/>
  <c r="BC25" i="8"/>
  <c r="AD25" i="8"/>
  <c r="AC19" i="7"/>
  <c r="M19" i="7"/>
  <c r="AH19" i="7"/>
  <c r="U19" i="7"/>
  <c r="AG19" i="7"/>
  <c r="AE19" i="7"/>
  <c r="AJ19" i="7"/>
  <c r="BD19" i="7"/>
  <c r="AW19" i="7"/>
  <c r="AP19" i="7"/>
  <c r="AB19" i="7"/>
  <c r="X19" i="7"/>
  <c r="BC19" i="7"/>
  <c r="AU19" i="7"/>
  <c r="K19" i="7"/>
  <c r="BE19" i="7"/>
  <c r="O19" i="7"/>
  <c r="AQ19" i="7"/>
  <c r="AM19" i="7"/>
  <c r="P19" i="7"/>
  <c r="AZ19" i="7"/>
  <c r="BA19" i="7"/>
  <c r="N19" i="7"/>
  <c r="AY19" i="7"/>
  <c r="AD19" i="7"/>
  <c r="L19" i="7"/>
  <c r="Z19" i="7"/>
  <c r="AT19" i="7"/>
  <c r="AS19" i="7"/>
  <c r="BB19" i="7"/>
  <c r="W19" i="7"/>
  <c r="AL19" i="7"/>
  <c r="C19" i="7"/>
  <c r="AX19" i="7"/>
  <c r="J19" i="7"/>
  <c r="AR19" i="7"/>
  <c r="AI19" i="7"/>
  <c r="S19" i="7"/>
  <c r="Y19" i="7"/>
  <c r="E19" i="7"/>
  <c r="Q19" i="7"/>
  <c r="T19" i="7"/>
  <c r="AN19" i="7"/>
  <c r="AO19" i="7"/>
  <c r="H19" i="7"/>
  <c r="AA19" i="7"/>
  <c r="V19" i="7"/>
  <c r="R19" i="7"/>
  <c r="AK19" i="7"/>
  <c r="AF19" i="7"/>
  <c r="BF19" i="7"/>
  <c r="AV19" i="7"/>
  <c r="B19" i="7"/>
  <c r="D19" i="7"/>
  <c r="B5" i="10"/>
  <c r="I5" i="10"/>
  <c r="G5" i="10"/>
  <c r="F5" i="10"/>
  <c r="F57" i="7"/>
  <c r="G57" i="7"/>
  <c r="I57" i="7"/>
  <c r="F32" i="8"/>
  <c r="G32" i="8"/>
  <c r="I32" i="8"/>
  <c r="I20" i="6"/>
  <c r="G20" i="6"/>
  <c r="F20" i="6"/>
  <c r="F55" i="1"/>
  <c r="G55" i="1"/>
  <c r="I55" i="1"/>
  <c r="F56" i="6"/>
  <c r="G56" i="6"/>
  <c r="I56" i="6"/>
  <c r="F51" i="7"/>
  <c r="B51" i="7"/>
  <c r="I51" i="7"/>
  <c r="G51" i="7"/>
  <c r="B5" i="5"/>
  <c r="I5" i="5"/>
  <c r="G5" i="5"/>
  <c r="F5" i="5"/>
  <c r="AY54" i="5"/>
  <c r="AD54" i="5"/>
  <c r="AK54" i="5"/>
  <c r="S54" i="5"/>
  <c r="AZ54" i="5"/>
  <c r="AU54" i="5"/>
  <c r="W54" i="5"/>
  <c r="C54" i="5"/>
  <c r="O54" i="5"/>
  <c r="N54" i="5"/>
  <c r="T54" i="5"/>
  <c r="AL54" i="5"/>
  <c r="AX54" i="5"/>
  <c r="X54" i="5"/>
  <c r="BD54" i="5"/>
  <c r="AE54" i="5"/>
  <c r="V54" i="5"/>
  <c r="AM54" i="5"/>
  <c r="AC54" i="5"/>
  <c r="AW54" i="5"/>
  <c r="Y54" i="5"/>
  <c r="R54" i="5"/>
  <c r="E54" i="5"/>
  <c r="AJ54" i="5"/>
  <c r="AO54" i="5"/>
  <c r="J54" i="5"/>
  <c r="P54" i="5"/>
  <c r="AG54" i="5"/>
  <c r="M54" i="5"/>
  <c r="H54" i="5"/>
  <c r="D54" i="5"/>
  <c r="L54" i="5"/>
  <c r="Z54" i="5"/>
  <c r="AT54" i="5"/>
  <c r="AB54" i="5"/>
  <c r="AP54" i="5"/>
  <c r="BB54" i="5"/>
  <c r="AQ54" i="5"/>
  <c r="BE54" i="5"/>
  <c r="AH54" i="5"/>
  <c r="AR54" i="5"/>
  <c r="U54" i="5"/>
  <c r="K54" i="5"/>
  <c r="AV54" i="5"/>
  <c r="BF54" i="5"/>
  <c r="AA54" i="5"/>
  <c r="AN54" i="5"/>
  <c r="BA54" i="5"/>
  <c r="Q54" i="5"/>
  <c r="AS54" i="5"/>
  <c r="AI54" i="5"/>
  <c r="BC54" i="5"/>
  <c r="B54" i="5"/>
  <c r="AF54" i="5"/>
  <c r="BB17" i="8"/>
  <c r="AA17" i="8"/>
  <c r="D17" i="8"/>
  <c r="H17" i="8"/>
  <c r="V17" i="8"/>
  <c r="AV17" i="8"/>
  <c r="Q17" i="8"/>
  <c r="AJ17" i="8"/>
  <c r="AM17" i="8"/>
  <c r="O17" i="8"/>
  <c r="AS17" i="8"/>
  <c r="AD17" i="8"/>
  <c r="AC17" i="8"/>
  <c r="Y17" i="8"/>
  <c r="E17" i="8"/>
  <c r="AZ17" i="8"/>
  <c r="T17" i="8"/>
  <c r="N17" i="8"/>
  <c r="AI17" i="8"/>
  <c r="BA17" i="8"/>
  <c r="AB17" i="8"/>
  <c r="BC17" i="8"/>
  <c r="BE17" i="8"/>
  <c r="AK17" i="8"/>
  <c r="J17" i="8"/>
  <c r="BF17" i="8"/>
  <c r="AL17" i="8"/>
  <c r="K17" i="8"/>
  <c r="AO17" i="8"/>
  <c r="AU17" i="8"/>
  <c r="U17" i="8"/>
  <c r="C17" i="8"/>
  <c r="AN17" i="8"/>
  <c r="BD17" i="8"/>
  <c r="AH17" i="8"/>
  <c r="X17" i="8"/>
  <c r="AQ17" i="8"/>
  <c r="W17" i="8"/>
  <c r="AX17" i="8"/>
  <c r="M17" i="8"/>
  <c r="AG17" i="8"/>
  <c r="P17" i="8"/>
  <c r="AR17" i="8"/>
  <c r="R17" i="8"/>
  <c r="AY17" i="8"/>
  <c r="AF17" i="8"/>
  <c r="L17" i="8"/>
  <c r="AP17" i="8"/>
  <c r="Z17" i="8"/>
  <c r="AT17" i="8"/>
  <c r="AW17" i="8"/>
  <c r="S17" i="8"/>
  <c r="B17" i="8"/>
  <c r="AE17" i="8"/>
  <c r="B12" i="11"/>
  <c r="I12" i="11"/>
  <c r="G12" i="11"/>
  <c r="F12" i="11"/>
  <c r="Q10" i="5"/>
  <c r="E10" i="5"/>
  <c r="X10" i="5"/>
  <c r="BB10" i="5"/>
  <c r="AT10" i="5"/>
  <c r="AE10" i="5"/>
  <c r="K10" i="5"/>
  <c r="BA10" i="5"/>
  <c r="BD10" i="5"/>
  <c r="AP10" i="5"/>
  <c r="S10" i="5"/>
  <c r="Y10" i="5"/>
  <c r="W10" i="5"/>
  <c r="V10" i="5"/>
  <c r="BE10" i="5"/>
  <c r="O10" i="5"/>
  <c r="AJ10" i="5"/>
  <c r="AH10" i="5"/>
  <c r="AM10" i="5"/>
  <c r="AN10" i="5"/>
  <c r="R10" i="5"/>
  <c r="AK10" i="5"/>
  <c r="AF10" i="5"/>
  <c r="AI10" i="5"/>
  <c r="L10" i="5"/>
  <c r="AG10" i="5"/>
  <c r="AB10" i="5"/>
  <c r="H10" i="5"/>
  <c r="U10" i="5"/>
  <c r="AC10" i="5"/>
  <c r="AW10" i="5"/>
  <c r="AR10" i="5"/>
  <c r="AV10" i="5"/>
  <c r="T10" i="5"/>
  <c r="M10" i="5"/>
  <c r="J10" i="5"/>
  <c r="AY10" i="5"/>
  <c r="AD10" i="5"/>
  <c r="AL10" i="5"/>
  <c r="N10" i="5"/>
  <c r="AX10" i="5"/>
  <c r="AA10" i="5"/>
  <c r="BC10" i="5"/>
  <c r="AO10" i="5"/>
  <c r="Z10" i="5"/>
  <c r="D10" i="5"/>
  <c r="P10" i="5"/>
  <c r="AZ10" i="5"/>
  <c r="AS10" i="5"/>
  <c r="AU10" i="5"/>
  <c r="C10" i="5"/>
  <c r="AQ10" i="5"/>
  <c r="B10" i="5"/>
  <c r="BF10" i="5"/>
  <c r="F52" i="8"/>
  <c r="B52" i="8"/>
  <c r="I52" i="8"/>
  <c r="G52" i="8"/>
  <c r="X19" i="9"/>
  <c r="AR19" i="9"/>
  <c r="C19" i="9"/>
  <c r="L19" i="9"/>
  <c r="E19" i="9"/>
  <c r="O19" i="9"/>
  <c r="AX19" i="9"/>
  <c r="K19" i="9"/>
  <c r="BD19" i="9"/>
  <c r="W19" i="9"/>
  <c r="BF19" i="9"/>
  <c r="AL19" i="9"/>
  <c r="AK19" i="9"/>
  <c r="AZ19" i="9"/>
  <c r="AU19" i="9"/>
  <c r="AM19" i="9"/>
  <c r="BA19" i="9"/>
  <c r="T19" i="9"/>
  <c r="AJ19" i="9"/>
  <c r="AB19" i="9"/>
  <c r="AH19" i="9"/>
  <c r="S19" i="9"/>
  <c r="Q19" i="9"/>
  <c r="H19" i="9"/>
  <c r="U19" i="9"/>
  <c r="V19" i="9"/>
  <c r="AO19" i="9"/>
  <c r="AE19" i="9"/>
  <c r="AF19" i="9"/>
  <c r="AN19" i="9"/>
  <c r="BB19" i="9"/>
  <c r="M19" i="9"/>
  <c r="Y19" i="9"/>
  <c r="R19" i="9"/>
  <c r="J19" i="9"/>
  <c r="AT19" i="9"/>
  <c r="AI19" i="9"/>
  <c r="AV19" i="9"/>
  <c r="AQ19" i="9"/>
  <c r="AP19" i="9"/>
  <c r="D19" i="9"/>
  <c r="N19" i="9"/>
  <c r="AS19" i="9"/>
  <c r="AG19" i="9"/>
  <c r="P19" i="9"/>
  <c r="Z19" i="9"/>
  <c r="AY19" i="9"/>
  <c r="BE19" i="9"/>
  <c r="AD19" i="9"/>
  <c r="BC19" i="9"/>
  <c r="AW19" i="9"/>
  <c r="AA19" i="9"/>
  <c r="B19" i="9"/>
  <c r="AC19" i="9"/>
  <c r="F35" i="4"/>
  <c r="B35" i="4"/>
  <c r="I35" i="4"/>
  <c r="G35" i="4"/>
  <c r="BA7" i="5"/>
  <c r="AY7" i="5"/>
  <c r="K7" i="5"/>
  <c r="AW7" i="5"/>
  <c r="W7" i="5"/>
  <c r="AF7" i="5"/>
  <c r="AI7" i="5"/>
  <c r="BB7" i="5"/>
  <c r="AV7" i="5"/>
  <c r="AJ7" i="5"/>
  <c r="Q7" i="5"/>
  <c r="AO7" i="5"/>
  <c r="AC7" i="5"/>
  <c r="C7" i="5"/>
  <c r="S7" i="5"/>
  <c r="AG7" i="5"/>
  <c r="Z7" i="5"/>
  <c r="AN7" i="5"/>
  <c r="AR7" i="5"/>
  <c r="R7" i="5"/>
  <c r="M7" i="5"/>
  <c r="AX7" i="5"/>
  <c r="AS7" i="5"/>
  <c r="AD7" i="5"/>
  <c r="D7" i="5"/>
  <c r="BD7" i="5"/>
  <c r="AT7" i="5"/>
  <c r="AK7" i="5"/>
  <c r="AL7" i="5"/>
  <c r="AU7" i="5"/>
  <c r="Y7" i="5"/>
  <c r="AQ7" i="5"/>
  <c r="BF7" i="5"/>
  <c r="AP7" i="5"/>
  <c r="T7" i="5"/>
  <c r="V7" i="5"/>
  <c r="L7" i="5"/>
  <c r="P7" i="5"/>
  <c r="H7" i="5"/>
  <c r="AZ7" i="5"/>
  <c r="BE7" i="5"/>
  <c r="E7" i="5"/>
  <c r="AM7" i="5"/>
  <c r="N7" i="5"/>
  <c r="O7" i="5"/>
  <c r="X7" i="5"/>
  <c r="U7" i="5"/>
  <c r="BC7" i="5"/>
  <c r="AB7" i="5"/>
  <c r="AA7" i="5"/>
  <c r="AE7" i="5"/>
  <c r="AH7" i="5"/>
  <c r="B7" i="5"/>
  <c r="J7" i="5"/>
  <c r="F6" i="6"/>
  <c r="B6" i="6"/>
  <c r="I6" i="6"/>
  <c r="G6" i="6"/>
  <c r="B21" i="3"/>
  <c r="I21" i="3"/>
  <c r="G21" i="3"/>
  <c r="F21" i="3"/>
  <c r="B58" i="4"/>
  <c r="I58" i="4"/>
  <c r="G58" i="4"/>
  <c r="F58" i="4"/>
  <c r="U23" i="8"/>
  <c r="AG23" i="8"/>
  <c r="AS23" i="8"/>
  <c r="Y23" i="8"/>
  <c r="AC23" i="8"/>
  <c r="Q23" i="8"/>
  <c r="C23" i="8"/>
  <c r="AW23" i="8"/>
  <c r="AU23" i="8"/>
  <c r="BD23" i="8"/>
  <c r="R23" i="8"/>
  <c r="AR23" i="8"/>
  <c r="E23" i="8"/>
  <c r="AV23" i="8"/>
  <c r="AH23" i="8"/>
  <c r="AD23" i="8"/>
  <c r="T23" i="8"/>
  <c r="AI23" i="8"/>
  <c r="AZ23" i="8"/>
  <c r="K23" i="8"/>
  <c r="AK23" i="8"/>
  <c r="AP23" i="8"/>
  <c r="AN23" i="8"/>
  <c r="BB23" i="8"/>
  <c r="N23" i="8"/>
  <c r="H23" i="8"/>
  <c r="L23" i="8"/>
  <c r="AX23" i="8"/>
  <c r="AY23" i="8"/>
  <c r="D23" i="8"/>
  <c r="BA23" i="8"/>
  <c r="J23" i="8"/>
  <c r="O23" i="8"/>
  <c r="AQ23" i="8"/>
  <c r="X23" i="8"/>
  <c r="AF23" i="8"/>
  <c r="W23" i="8"/>
  <c r="AM23" i="8"/>
  <c r="AT23" i="8"/>
  <c r="AO23" i="8"/>
  <c r="AA23" i="8"/>
  <c r="Z23" i="8"/>
  <c r="AB23" i="8"/>
  <c r="BC23" i="8"/>
  <c r="S23" i="8"/>
  <c r="M23" i="8"/>
  <c r="AJ23" i="8"/>
  <c r="AL23" i="8"/>
  <c r="BE23" i="8"/>
  <c r="V23" i="8"/>
  <c r="AE23" i="8"/>
  <c r="P23" i="8"/>
  <c r="B23" i="8"/>
  <c r="BF23" i="8"/>
  <c r="AQ31" i="2"/>
  <c r="Z31" i="2"/>
  <c r="S31" i="2"/>
  <c r="C31" i="2"/>
  <c r="O31" i="2"/>
  <c r="AH31" i="2"/>
  <c r="U31" i="2"/>
  <c r="AK31" i="2"/>
  <c r="W31" i="2"/>
  <c r="H31" i="2"/>
  <c r="Y31" i="2"/>
  <c r="BF31" i="2"/>
  <c r="AX31" i="2"/>
  <c r="X31" i="2"/>
  <c r="BD31" i="2"/>
  <c r="AW31" i="2"/>
  <c r="J31" i="2"/>
  <c r="BC31" i="2"/>
  <c r="R31" i="2"/>
  <c r="AP31" i="2"/>
  <c r="AB31" i="2"/>
  <c r="AF31" i="2"/>
  <c r="BA31" i="2"/>
  <c r="AE31" i="2"/>
  <c r="V31" i="2"/>
  <c r="AJ31" i="2"/>
  <c r="AL31" i="2"/>
  <c r="AC31" i="2"/>
  <c r="Q31" i="2"/>
  <c r="BB31" i="2"/>
  <c r="AO31" i="2"/>
  <c r="E31" i="2"/>
  <c r="AA31" i="2"/>
  <c r="AR31" i="2"/>
  <c r="T31" i="2"/>
  <c r="AT31" i="2"/>
  <c r="L31" i="2"/>
  <c r="AM31" i="2"/>
  <c r="AD31" i="2"/>
  <c r="AG31" i="2"/>
  <c r="AU31" i="2"/>
  <c r="AI31" i="2"/>
  <c r="AN31" i="2"/>
  <c r="AV31" i="2"/>
  <c r="BE31" i="2"/>
  <c r="K31" i="2"/>
  <c r="AZ31" i="2"/>
  <c r="P31" i="2"/>
  <c r="AS31" i="2"/>
  <c r="M31" i="2"/>
  <c r="AY31" i="2"/>
  <c r="N31" i="2"/>
  <c r="B31" i="2"/>
  <c r="D31" i="2"/>
  <c r="F55" i="6"/>
  <c r="G55" i="6"/>
  <c r="I55" i="6"/>
  <c r="T40" i="3"/>
  <c r="BD40" i="3"/>
  <c r="M40" i="3"/>
  <c r="AA40" i="3"/>
  <c r="N40" i="3"/>
  <c r="AS40" i="3"/>
  <c r="AU40" i="3"/>
  <c r="AK40" i="3"/>
  <c r="AP40" i="3"/>
  <c r="AL40" i="3"/>
  <c r="R40" i="3"/>
  <c r="L40" i="3"/>
  <c r="AZ40" i="3"/>
  <c r="U40" i="3"/>
  <c r="H40" i="3"/>
  <c r="Z40" i="3"/>
  <c r="AM40" i="3"/>
  <c r="AQ40" i="3"/>
  <c r="AV40" i="3"/>
  <c r="AG40" i="3"/>
  <c r="C40" i="3"/>
  <c r="AT40" i="3"/>
  <c r="BF40" i="3"/>
  <c r="AB40" i="3"/>
  <c r="AI40" i="3"/>
  <c r="W40" i="3"/>
  <c r="AX40" i="3"/>
  <c r="J40" i="3"/>
  <c r="V40" i="3"/>
  <c r="BE40" i="3"/>
  <c r="AC40" i="3"/>
  <c r="X40" i="3"/>
  <c r="AE40" i="3"/>
  <c r="AH40" i="3"/>
  <c r="S40" i="3"/>
  <c r="BC40" i="3"/>
  <c r="E40" i="3"/>
  <c r="AR40" i="3"/>
  <c r="AW40" i="3"/>
  <c r="AO40" i="3"/>
  <c r="AY40" i="3"/>
  <c r="AF40" i="3"/>
  <c r="K40" i="3"/>
  <c r="AD40" i="3"/>
  <c r="AJ40" i="3"/>
  <c r="Q40" i="3"/>
  <c r="BB40" i="3"/>
  <c r="BA40" i="3"/>
  <c r="AN40" i="3"/>
  <c r="Y40" i="3"/>
  <c r="P40" i="3"/>
  <c r="D40" i="3"/>
  <c r="O40" i="3"/>
  <c r="O20" i="5"/>
  <c r="V20" i="5"/>
  <c r="J20" i="5"/>
  <c r="AL20" i="5"/>
  <c r="N20" i="5"/>
  <c r="T20" i="5"/>
  <c r="W20" i="5"/>
  <c r="AM20" i="5"/>
  <c r="Z20" i="5"/>
  <c r="AF20" i="5"/>
  <c r="AE20" i="5"/>
  <c r="D20" i="5"/>
  <c r="AC20" i="5"/>
  <c r="AT20" i="5"/>
  <c r="AS20" i="5"/>
  <c r="M20" i="5"/>
  <c r="AB20" i="5"/>
  <c r="AX20" i="5"/>
  <c r="BB20" i="5"/>
  <c r="K20" i="5"/>
  <c r="BA20" i="5"/>
  <c r="Y20" i="5"/>
  <c r="AH20" i="5"/>
  <c r="AK20" i="5"/>
  <c r="R20" i="5"/>
  <c r="BE20" i="5"/>
  <c r="AZ20" i="5"/>
  <c r="U20" i="5"/>
  <c r="Q20" i="5"/>
  <c r="S20" i="5"/>
  <c r="AA20" i="5"/>
  <c r="AP20" i="5"/>
  <c r="AJ20" i="5"/>
  <c r="AO20" i="5"/>
  <c r="AN20" i="5"/>
  <c r="AQ20" i="5"/>
  <c r="AY20" i="5"/>
  <c r="AW20" i="5"/>
  <c r="P20" i="5"/>
  <c r="H20" i="5"/>
  <c r="L20" i="5"/>
  <c r="AV20" i="5"/>
  <c r="AU20" i="5"/>
  <c r="X20" i="5"/>
  <c r="C20" i="5"/>
  <c r="BD20" i="5"/>
  <c r="AR20" i="5"/>
  <c r="AG20" i="5"/>
  <c r="AD20" i="5"/>
  <c r="BF20" i="5"/>
  <c r="E20" i="5"/>
  <c r="BC20" i="5"/>
  <c r="B20" i="5"/>
  <c r="AI20" i="5"/>
  <c r="AP42" i="7"/>
  <c r="W42" i="7"/>
  <c r="P42" i="7"/>
  <c r="BA42" i="7"/>
  <c r="L42" i="7"/>
  <c r="BB42" i="7"/>
  <c r="Y42" i="7"/>
  <c r="AV42" i="7"/>
  <c r="S42" i="7"/>
  <c r="AE42" i="7"/>
  <c r="AU42" i="7"/>
  <c r="AO42" i="7"/>
  <c r="N42" i="7"/>
  <c r="BF42" i="7"/>
  <c r="E42" i="7"/>
  <c r="U42" i="7"/>
  <c r="BC42" i="7"/>
  <c r="AH42" i="7"/>
  <c r="T42" i="7"/>
  <c r="O42" i="7"/>
  <c r="AY42" i="7"/>
  <c r="BD42" i="7"/>
  <c r="AB42" i="7"/>
  <c r="AI42" i="7"/>
  <c r="AX42" i="7"/>
  <c r="D42" i="7"/>
  <c r="AW42" i="7"/>
  <c r="AK42" i="7"/>
  <c r="M42" i="7"/>
  <c r="AM42" i="7"/>
  <c r="AN42" i="7"/>
  <c r="AC42" i="7"/>
  <c r="X42" i="7"/>
  <c r="AD42" i="7"/>
  <c r="K42" i="7"/>
  <c r="AJ42" i="7"/>
  <c r="AZ42" i="7"/>
  <c r="V42" i="7"/>
  <c r="AL42" i="7"/>
  <c r="J42" i="7"/>
  <c r="AF42" i="7"/>
  <c r="AT42" i="7"/>
  <c r="H42" i="7"/>
  <c r="BE42" i="7"/>
  <c r="AR42" i="7"/>
  <c r="AG42" i="7"/>
  <c r="Z42" i="7"/>
  <c r="C42" i="7"/>
  <c r="AQ42" i="7"/>
  <c r="Q42" i="7"/>
  <c r="AS42" i="7"/>
  <c r="AA42" i="7"/>
  <c r="B42" i="7"/>
  <c r="R42" i="7"/>
  <c r="AN53" i="1"/>
  <c r="C53" i="1"/>
  <c r="V53" i="1"/>
  <c r="AC53" i="1"/>
  <c r="AR53" i="1"/>
  <c r="AP53" i="1"/>
  <c r="K53" i="1"/>
  <c r="AQ53" i="1"/>
  <c r="H53" i="1"/>
  <c r="AL53" i="1"/>
  <c r="AA53" i="1"/>
  <c r="J53" i="1"/>
  <c r="P53" i="1"/>
  <c r="AM53" i="1"/>
  <c r="AY53" i="1"/>
  <c r="M53" i="1"/>
  <c r="Y53" i="1"/>
  <c r="AW53" i="1"/>
  <c r="D53" i="1"/>
  <c r="AG53" i="1"/>
  <c r="BC53" i="1"/>
  <c r="AV53" i="1"/>
  <c r="O53" i="1"/>
  <c r="Z53" i="1"/>
  <c r="AS53" i="1"/>
  <c r="BD53" i="1"/>
  <c r="R53" i="1"/>
  <c r="BB53" i="1"/>
  <c r="AJ53" i="1"/>
  <c r="AB53" i="1"/>
  <c r="BE53" i="1"/>
  <c r="AX53" i="1"/>
  <c r="U53" i="1"/>
  <c r="AK53" i="1"/>
  <c r="X53" i="1"/>
  <c r="AF53" i="1"/>
  <c r="BF53" i="1"/>
  <c r="AU53" i="1"/>
  <c r="E53" i="1"/>
  <c r="S53" i="1"/>
  <c r="W53" i="1"/>
  <c r="N53" i="1"/>
  <c r="AE53" i="1"/>
  <c r="T53" i="1"/>
  <c r="AZ53" i="1"/>
  <c r="AI53" i="1"/>
  <c r="AT53" i="1"/>
  <c r="AH53" i="1"/>
  <c r="BA53" i="1"/>
  <c r="AD53" i="1"/>
  <c r="AO53" i="1"/>
  <c r="Q53" i="1"/>
  <c r="B53" i="1"/>
  <c r="L53" i="1"/>
  <c r="B21" i="10"/>
  <c r="I21" i="10"/>
  <c r="G21" i="10"/>
  <c r="F21" i="10"/>
  <c r="E33" i="9"/>
  <c r="AE33" i="9"/>
  <c r="BB33" i="9"/>
  <c r="AB33" i="9"/>
  <c r="N33" i="9"/>
  <c r="AL33" i="9"/>
  <c r="AS33" i="9"/>
  <c r="AF33" i="9"/>
  <c r="AN33" i="9"/>
  <c r="M33" i="9"/>
  <c r="AO33" i="9"/>
  <c r="AD33" i="9"/>
  <c r="BF33" i="9"/>
  <c r="AQ33" i="9"/>
  <c r="AZ33" i="9"/>
  <c r="Q33" i="9"/>
  <c r="AK33" i="9"/>
  <c r="V33" i="9"/>
  <c r="AC33" i="9"/>
  <c r="W33" i="9"/>
  <c r="K33" i="9"/>
  <c r="AW33" i="9"/>
  <c r="BA33" i="9"/>
  <c r="C33" i="9"/>
  <c r="AA33" i="9"/>
  <c r="P33" i="9"/>
  <c r="AP33" i="9"/>
  <c r="BC33" i="9"/>
  <c r="AM33" i="9"/>
  <c r="AJ33" i="9"/>
  <c r="AH33" i="9"/>
  <c r="D33" i="9"/>
  <c r="AV33" i="9"/>
  <c r="BE33" i="9"/>
  <c r="Z33" i="9"/>
  <c r="AT33" i="9"/>
  <c r="X33" i="9"/>
  <c r="U33" i="9"/>
  <c r="R33" i="9"/>
  <c r="O33" i="9"/>
  <c r="BD33" i="9"/>
  <c r="L33" i="9"/>
  <c r="AG33" i="9"/>
  <c r="AI33" i="9"/>
  <c r="AU33" i="9"/>
  <c r="AX33" i="9"/>
  <c r="J33" i="9"/>
  <c r="H33" i="9"/>
  <c r="AY33" i="9"/>
  <c r="T33" i="9"/>
  <c r="AR33" i="9"/>
  <c r="Y33" i="9"/>
  <c r="B33" i="9"/>
  <c r="S33" i="9"/>
  <c r="AO15" i="1"/>
  <c r="AG15" i="1"/>
  <c r="AK15" i="1"/>
  <c r="N15" i="1"/>
  <c r="AY15" i="1"/>
  <c r="U15" i="1"/>
  <c r="Q15" i="1"/>
  <c r="T15" i="1"/>
  <c r="AB15" i="1"/>
  <c r="AQ15" i="1"/>
  <c r="E15" i="1"/>
  <c r="K15" i="1"/>
  <c r="AA15" i="1"/>
  <c r="M15" i="1"/>
  <c r="AW15" i="1"/>
  <c r="O15" i="1"/>
  <c r="BD15" i="1"/>
  <c r="AZ15" i="1"/>
  <c r="AX15" i="1"/>
  <c r="AN15" i="1"/>
  <c r="AV15" i="1"/>
  <c r="R15" i="1"/>
  <c r="AM15" i="1"/>
  <c r="S15" i="1"/>
  <c r="AR15" i="1"/>
  <c r="D15" i="1"/>
  <c r="P15" i="1"/>
  <c r="W15" i="1"/>
  <c r="BA15" i="1"/>
  <c r="AH15" i="1"/>
  <c r="AU15" i="1"/>
  <c r="AI15" i="1"/>
  <c r="AS15" i="1"/>
  <c r="AJ15" i="1"/>
  <c r="AP15" i="1"/>
  <c r="V15" i="1"/>
  <c r="AT15" i="1"/>
  <c r="Z15" i="1"/>
  <c r="BB15" i="1"/>
  <c r="BC15" i="1"/>
  <c r="BE15" i="1"/>
  <c r="C15" i="1"/>
  <c r="AF15" i="1"/>
  <c r="Y15" i="1"/>
  <c r="H15" i="1"/>
  <c r="AC15" i="1"/>
  <c r="X15" i="1"/>
  <c r="BF15" i="1"/>
  <c r="AE15" i="1"/>
  <c r="AD15" i="1"/>
  <c r="AL15" i="1"/>
  <c r="J15" i="1"/>
  <c r="B15" i="1"/>
  <c r="L15" i="1"/>
  <c r="H16" i="9"/>
  <c r="BD16" i="9"/>
  <c r="E16" i="9"/>
  <c r="L16" i="9"/>
  <c r="AC16" i="9"/>
  <c r="AY16" i="9"/>
  <c r="AE16" i="9"/>
  <c r="J16" i="9"/>
  <c r="AZ16" i="9"/>
  <c r="C16" i="9"/>
  <c r="BB16" i="9"/>
  <c r="AR16" i="9"/>
  <c r="BE16" i="9"/>
  <c r="AK16" i="9"/>
  <c r="O16" i="9"/>
  <c r="BF16" i="9"/>
  <c r="AU16" i="9"/>
  <c r="AX16" i="9"/>
  <c r="AM16" i="9"/>
  <c r="AW16" i="9"/>
  <c r="Q16" i="9"/>
  <c r="AS16" i="9"/>
  <c r="AB16" i="9"/>
  <c r="M16" i="9"/>
  <c r="P16" i="9"/>
  <c r="BC16" i="9"/>
  <c r="Z16" i="9"/>
  <c r="AT16" i="9"/>
  <c r="Y16" i="9"/>
  <c r="AA16" i="9"/>
  <c r="N16" i="9"/>
  <c r="V16" i="9"/>
  <c r="AV16" i="9"/>
  <c r="AO16" i="9"/>
  <c r="AF16" i="9"/>
  <c r="D16" i="9"/>
  <c r="AG16" i="9"/>
  <c r="AH16" i="9"/>
  <c r="AN16" i="9"/>
  <c r="R16" i="9"/>
  <c r="AL16" i="9"/>
  <c r="S16" i="9"/>
  <c r="AQ16" i="9"/>
  <c r="K16" i="9"/>
  <c r="AJ16" i="9"/>
  <c r="W16" i="9"/>
  <c r="X16" i="9"/>
  <c r="T16" i="9"/>
  <c r="AD16" i="9"/>
  <c r="AI16" i="9"/>
  <c r="BA16" i="9"/>
  <c r="U16" i="9"/>
  <c r="B16" i="9"/>
  <c r="AP16" i="9"/>
  <c r="B43" i="4"/>
  <c r="I43" i="4"/>
  <c r="G43" i="4"/>
  <c r="F43" i="4"/>
  <c r="B48" i="5"/>
  <c r="I48" i="5"/>
  <c r="G48" i="5"/>
  <c r="F48" i="5"/>
  <c r="AB10" i="2"/>
  <c r="AA10" i="2"/>
  <c r="BF10" i="2"/>
  <c r="AG10" i="2"/>
  <c r="BC10" i="2"/>
  <c r="M10" i="2"/>
  <c r="P10" i="2"/>
  <c r="V10" i="2"/>
  <c r="AN10" i="2"/>
  <c r="BA10" i="2"/>
  <c r="AP10" i="2"/>
  <c r="T10" i="2"/>
  <c r="C10" i="2"/>
  <c r="AF10" i="2"/>
  <c r="X10" i="2"/>
  <c r="AY10" i="2"/>
  <c r="AJ10" i="2"/>
  <c r="AT10" i="2"/>
  <c r="D10" i="2"/>
  <c r="Q10" i="2"/>
  <c r="O10" i="2"/>
  <c r="AR10" i="2"/>
  <c r="AZ10" i="2"/>
  <c r="AH10" i="2"/>
  <c r="AI10" i="2"/>
  <c r="AE10" i="2"/>
  <c r="U10" i="2"/>
  <c r="AK10" i="2"/>
  <c r="N10" i="2"/>
  <c r="AS10" i="2"/>
  <c r="H10" i="2"/>
  <c r="L10" i="2"/>
  <c r="AV10" i="2"/>
  <c r="W10" i="2"/>
  <c r="BD10" i="2"/>
  <c r="S10" i="2"/>
  <c r="Z10" i="2"/>
  <c r="R10" i="2"/>
  <c r="AO10" i="2"/>
  <c r="Y10" i="2"/>
  <c r="BE10" i="2"/>
  <c r="AQ10" i="2"/>
  <c r="AD10" i="2"/>
  <c r="AL10" i="2"/>
  <c r="J10" i="2"/>
  <c r="AM10" i="2"/>
  <c r="BB10" i="2"/>
  <c r="AC10" i="2"/>
  <c r="AW10" i="2"/>
  <c r="E10" i="2"/>
  <c r="K10" i="2"/>
  <c r="AX10" i="2"/>
  <c r="B10" i="2"/>
  <c r="AU10" i="2"/>
  <c r="B25" i="3"/>
  <c r="I25" i="3"/>
  <c r="G25" i="3"/>
  <c r="F25" i="3"/>
  <c r="B2" i="8"/>
  <c r="I2" i="8"/>
  <c r="G2" i="8"/>
  <c r="F2" i="8"/>
  <c r="AX25" i="1"/>
  <c r="AA25" i="1"/>
  <c r="O25" i="1"/>
  <c r="AP25" i="1"/>
  <c r="AC25" i="1"/>
  <c r="E25" i="1"/>
  <c r="V25" i="1"/>
  <c r="C25" i="1"/>
  <c r="AN25" i="1"/>
  <c r="BA25" i="1"/>
  <c r="W25" i="1"/>
  <c r="BE25" i="1"/>
  <c r="L25" i="1"/>
  <c r="BD25" i="1"/>
  <c r="D25" i="1"/>
  <c r="M25" i="1"/>
  <c r="Q25" i="1"/>
  <c r="AH25" i="1"/>
  <c r="AE25" i="1"/>
  <c r="S25" i="1"/>
  <c r="AR25" i="1"/>
  <c r="AB25" i="1"/>
  <c r="BB25" i="1"/>
  <c r="AU25" i="1"/>
  <c r="U25" i="1"/>
  <c r="AV25" i="1"/>
  <c r="H25" i="1"/>
  <c r="AW25" i="1"/>
  <c r="Y25" i="1"/>
  <c r="AK25" i="1"/>
  <c r="J25" i="1"/>
  <c r="AZ25" i="1"/>
  <c r="X25" i="1"/>
  <c r="AF25" i="1"/>
  <c r="Z25" i="1"/>
  <c r="AY25" i="1"/>
  <c r="AI25" i="1"/>
  <c r="AS25" i="1"/>
  <c r="AQ25" i="1"/>
  <c r="AT25" i="1"/>
  <c r="AG25" i="1"/>
  <c r="BF25" i="1"/>
  <c r="R25" i="1"/>
  <c r="N25" i="1"/>
  <c r="K25" i="1"/>
  <c r="T25" i="1"/>
  <c r="P25" i="1"/>
  <c r="AD25" i="1"/>
  <c r="BC25" i="1"/>
  <c r="AM25" i="1"/>
  <c r="AO25" i="1"/>
  <c r="AL25" i="1"/>
  <c r="B25" i="1"/>
  <c r="AJ25" i="1"/>
  <c r="B16" i="2"/>
  <c r="I16" i="2"/>
  <c r="G16" i="2"/>
  <c r="F16" i="2"/>
  <c r="BE44" i="5"/>
  <c r="M44" i="5"/>
  <c r="AG44" i="5"/>
  <c r="V44" i="5"/>
  <c r="U44" i="5"/>
  <c r="BD44" i="5"/>
  <c r="BC44" i="5"/>
  <c r="AD44" i="5"/>
  <c r="S44" i="5"/>
  <c r="O44" i="5"/>
  <c r="AQ44" i="5"/>
  <c r="N44" i="5"/>
  <c r="AE44" i="5"/>
  <c r="AM44" i="5"/>
  <c r="Z44" i="5"/>
  <c r="BB44" i="5"/>
  <c r="AW44" i="5"/>
  <c r="AS44" i="5"/>
  <c r="P44" i="5"/>
  <c r="J44" i="5"/>
  <c r="W44" i="5"/>
  <c r="BF44" i="5"/>
  <c r="AA44" i="5"/>
  <c r="AJ44" i="5"/>
  <c r="Q44" i="5"/>
  <c r="D44" i="5"/>
  <c r="AN44" i="5"/>
  <c r="AR44" i="5"/>
  <c r="K44" i="5"/>
  <c r="AP44" i="5"/>
  <c r="AO44" i="5"/>
  <c r="AY44" i="5"/>
  <c r="AC44" i="5"/>
  <c r="AI44" i="5"/>
  <c r="AT44" i="5"/>
  <c r="C44" i="5"/>
  <c r="AL44" i="5"/>
  <c r="L44" i="5"/>
  <c r="AB44" i="5"/>
  <c r="AU44" i="5"/>
  <c r="AX44" i="5"/>
  <c r="H44" i="5"/>
  <c r="X44" i="5"/>
  <c r="BA44" i="5"/>
  <c r="R44" i="5"/>
  <c r="E44" i="5"/>
  <c r="AZ44" i="5"/>
  <c r="Y44" i="5"/>
  <c r="T44" i="5"/>
  <c r="AH44" i="5"/>
  <c r="AF44" i="5"/>
  <c r="AV44" i="5"/>
  <c r="B44" i="5"/>
  <c r="AK44" i="5"/>
  <c r="B25" i="8"/>
  <c r="I25" i="8"/>
  <c r="G25" i="8"/>
  <c r="F25" i="8"/>
  <c r="AP50" i="5"/>
  <c r="AW50" i="5"/>
  <c r="AS50" i="5"/>
  <c r="AC50" i="5"/>
  <c r="Z50" i="5"/>
  <c r="AD50" i="5"/>
  <c r="P50" i="5"/>
  <c r="AN50" i="5"/>
  <c r="V50" i="5"/>
  <c r="AV50" i="5"/>
  <c r="C50" i="5"/>
  <c r="K50" i="5"/>
  <c r="AM50" i="5"/>
  <c r="AE50" i="5"/>
  <c r="W50" i="5"/>
  <c r="BD50" i="5"/>
  <c r="N50" i="5"/>
  <c r="AF50" i="5"/>
  <c r="BA50" i="5"/>
  <c r="AA50" i="5"/>
  <c r="AX50" i="5"/>
  <c r="AI50" i="5"/>
  <c r="AJ50" i="5"/>
  <c r="AK50" i="5"/>
  <c r="AO50" i="5"/>
  <c r="T50" i="5"/>
  <c r="AU50" i="5"/>
  <c r="BB50" i="5"/>
  <c r="U50" i="5"/>
  <c r="S50" i="5"/>
  <c r="E50" i="5"/>
  <c r="D50" i="5"/>
  <c r="AY50" i="5"/>
  <c r="AB50" i="5"/>
  <c r="H50" i="5"/>
  <c r="BC50" i="5"/>
  <c r="X50" i="5"/>
  <c r="BF50" i="5"/>
  <c r="AR50" i="5"/>
  <c r="AL50" i="5"/>
  <c r="R50" i="5"/>
  <c r="M50" i="5"/>
  <c r="Q50" i="5"/>
  <c r="Y50" i="5"/>
  <c r="BE50" i="5"/>
  <c r="J50" i="5"/>
  <c r="AZ50" i="5"/>
  <c r="L50" i="5"/>
  <c r="AQ50" i="5"/>
  <c r="AT50" i="5"/>
  <c r="AH50" i="5"/>
  <c r="AG50" i="5"/>
  <c r="B50" i="5"/>
  <c r="O50" i="5"/>
  <c r="AE18" i="3"/>
  <c r="H18" i="3"/>
  <c r="N18" i="3"/>
  <c r="AI18" i="3"/>
  <c r="AQ18" i="3"/>
  <c r="E18" i="3"/>
  <c r="AN18" i="3"/>
  <c r="O18" i="3"/>
  <c r="X18" i="3"/>
  <c r="J18" i="3"/>
  <c r="C18" i="3"/>
  <c r="S18" i="3"/>
  <c r="BF18" i="3"/>
  <c r="AO18" i="3"/>
  <c r="Y18" i="3"/>
  <c r="M18" i="3"/>
  <c r="W18" i="3"/>
  <c r="AA18" i="3"/>
  <c r="P18" i="3"/>
  <c r="AT18" i="3"/>
  <c r="AF18" i="3"/>
  <c r="AX18" i="3"/>
  <c r="AL18" i="3"/>
  <c r="Q18" i="3"/>
  <c r="Z18" i="3"/>
  <c r="BC18" i="3"/>
  <c r="AR18" i="3"/>
  <c r="AZ18" i="3"/>
  <c r="AP18" i="3"/>
  <c r="BD18" i="3"/>
  <c r="AH18" i="3"/>
  <c r="AB18" i="3"/>
  <c r="BB18" i="3"/>
  <c r="BE18" i="3"/>
  <c r="AY18" i="3"/>
  <c r="AG18" i="3"/>
  <c r="AU18" i="3"/>
  <c r="AC18" i="3"/>
  <c r="BA18" i="3"/>
  <c r="L18" i="3"/>
  <c r="R18" i="3"/>
  <c r="AM18" i="3"/>
  <c r="U18" i="3"/>
  <c r="AW18" i="3"/>
  <c r="AK18" i="3"/>
  <c r="AJ18" i="3"/>
  <c r="V18" i="3"/>
  <c r="AD18" i="3"/>
  <c r="T18" i="3"/>
  <c r="AS18" i="3"/>
  <c r="D18" i="3"/>
  <c r="AV18" i="3"/>
  <c r="B18" i="3"/>
  <c r="K18" i="3"/>
  <c r="M39" i="5"/>
  <c r="H39" i="5"/>
  <c r="AO39" i="5"/>
  <c r="AX39" i="5"/>
  <c r="AL39" i="5"/>
  <c r="AB39" i="5"/>
  <c r="D39" i="5"/>
  <c r="K39" i="5"/>
  <c r="AA39" i="5"/>
  <c r="BF39" i="5"/>
  <c r="Q39" i="5"/>
  <c r="BA39" i="5"/>
  <c r="AN39" i="5"/>
  <c r="T39" i="5"/>
  <c r="AR39" i="5"/>
  <c r="AS39" i="5"/>
  <c r="U39" i="5"/>
  <c r="AT39" i="5"/>
  <c r="C39" i="5"/>
  <c r="AZ39" i="5"/>
  <c r="O39" i="5"/>
  <c r="BB39" i="5"/>
  <c r="AP39" i="5"/>
  <c r="AI39" i="5"/>
  <c r="AE39" i="5"/>
  <c r="AC39" i="5"/>
  <c r="BC39" i="5"/>
  <c r="BE39" i="5"/>
  <c r="AQ39" i="5"/>
  <c r="V39" i="5"/>
  <c r="N39" i="5"/>
  <c r="E39" i="5"/>
  <c r="AM39" i="5"/>
  <c r="R39" i="5"/>
  <c r="AG39" i="5"/>
  <c r="AY39" i="5"/>
  <c r="AU39" i="5"/>
  <c r="Y39" i="5"/>
  <c r="W39" i="5"/>
  <c r="AJ39" i="5"/>
  <c r="AK39" i="5"/>
  <c r="AW39" i="5"/>
  <c r="AD39" i="5"/>
  <c r="L39" i="5"/>
  <c r="X39" i="5"/>
  <c r="S39" i="5"/>
  <c r="Z39" i="5"/>
  <c r="J39" i="5"/>
  <c r="BD39" i="5"/>
  <c r="AH39" i="5"/>
  <c r="P39" i="5"/>
  <c r="AF39" i="5"/>
  <c r="B39" i="5"/>
  <c r="AV39" i="5"/>
  <c r="H45" i="5"/>
  <c r="AG45" i="5"/>
  <c r="AI45" i="5"/>
  <c r="J45" i="5"/>
  <c r="T45" i="5"/>
  <c r="W45" i="5"/>
  <c r="AZ45" i="5"/>
  <c r="Q45" i="5"/>
  <c r="D45" i="5"/>
  <c r="BE45" i="5"/>
  <c r="BB45" i="5"/>
  <c r="AO45" i="5"/>
  <c r="V45" i="5"/>
  <c r="Z45" i="5"/>
  <c r="AW45" i="5"/>
  <c r="N45" i="5"/>
  <c r="R45" i="5"/>
  <c r="AY45" i="5"/>
  <c r="AN45" i="5"/>
  <c r="BA45" i="5"/>
  <c r="AT45" i="5"/>
  <c r="BC45" i="5"/>
  <c r="AP45" i="5"/>
  <c r="AR45" i="5"/>
  <c r="U45" i="5"/>
  <c r="AU45" i="5"/>
  <c r="AC45" i="5"/>
  <c r="BD45" i="5"/>
  <c r="C45" i="5"/>
  <c r="BF45" i="5"/>
  <c r="AX45" i="5"/>
  <c r="X45" i="5"/>
  <c r="AV45" i="5"/>
  <c r="AS45" i="5"/>
  <c r="Y45" i="5"/>
  <c r="L45" i="5"/>
  <c r="AB45" i="5"/>
  <c r="AH45" i="5"/>
  <c r="AQ45" i="5"/>
  <c r="K45" i="5"/>
  <c r="S45" i="5"/>
  <c r="O45" i="5"/>
  <c r="AK45" i="5"/>
  <c r="AF45" i="5"/>
  <c r="AD45" i="5"/>
  <c r="AJ45" i="5"/>
  <c r="AL45" i="5"/>
  <c r="AA45" i="5"/>
  <c r="E45" i="5"/>
  <c r="AE45" i="5"/>
  <c r="AM45" i="5"/>
  <c r="P45" i="5"/>
  <c r="B45" i="5"/>
  <c r="M45" i="5"/>
  <c r="O31" i="1"/>
  <c r="AY31" i="1"/>
  <c r="AL31" i="1"/>
  <c r="AN31" i="1"/>
  <c r="E31" i="1"/>
  <c r="R31" i="1"/>
  <c r="AT31" i="1"/>
  <c r="AJ31" i="1"/>
  <c r="AH31" i="1"/>
  <c r="U31" i="1"/>
  <c r="BD31" i="1"/>
  <c r="W31" i="1"/>
  <c r="AP31" i="1"/>
  <c r="AI31" i="1"/>
  <c r="AR31" i="1"/>
  <c r="AC31" i="1"/>
  <c r="BF31" i="1"/>
  <c r="AW31" i="1"/>
  <c r="AS31" i="1"/>
  <c r="BA31" i="1"/>
  <c r="AV31" i="1"/>
  <c r="AZ31" i="1"/>
  <c r="N31" i="1"/>
  <c r="AQ31" i="1"/>
  <c r="M31" i="1"/>
  <c r="S31" i="1"/>
  <c r="Q31" i="1"/>
  <c r="T31" i="1"/>
  <c r="C31" i="1"/>
  <c r="AB31" i="1"/>
  <c r="H31" i="1"/>
  <c r="X31" i="1"/>
  <c r="D31" i="1"/>
  <c r="L31" i="1"/>
  <c r="AD31" i="1"/>
  <c r="BB31" i="1"/>
  <c r="AO31" i="1"/>
  <c r="Y31" i="1"/>
  <c r="AX31" i="1"/>
  <c r="K31" i="1"/>
  <c r="AA31" i="1"/>
  <c r="AU31" i="1"/>
  <c r="AE31" i="1"/>
  <c r="AM31" i="1"/>
  <c r="BC31" i="1"/>
  <c r="V31" i="1"/>
  <c r="AF31" i="1"/>
  <c r="AG31" i="1"/>
  <c r="BE31" i="1"/>
  <c r="AK31" i="1"/>
  <c r="P31" i="1"/>
  <c r="J31" i="1"/>
  <c r="B31" i="1"/>
  <c r="Z31" i="1"/>
  <c r="AV57" i="7"/>
  <c r="Q57" i="7"/>
  <c r="BB57" i="7"/>
  <c r="V57" i="7"/>
  <c r="BE57" i="7"/>
  <c r="AB57" i="7"/>
  <c r="AI57" i="7"/>
  <c r="AO57" i="7"/>
  <c r="AH57" i="7"/>
  <c r="AL57" i="7"/>
  <c r="AT57" i="7"/>
  <c r="AQ57" i="7"/>
  <c r="Y57" i="7"/>
  <c r="AP57" i="7"/>
  <c r="AE57" i="7"/>
  <c r="AR57" i="7"/>
  <c r="AF57" i="7"/>
  <c r="L57" i="7"/>
  <c r="AK57" i="7"/>
  <c r="AW57" i="7"/>
  <c r="AX57" i="7"/>
  <c r="AC57" i="7"/>
  <c r="AN57" i="7"/>
  <c r="C57" i="7"/>
  <c r="AM57" i="7"/>
  <c r="BC57" i="7"/>
  <c r="N57" i="7"/>
  <c r="BD57" i="7"/>
  <c r="AD57" i="7"/>
  <c r="P57" i="7"/>
  <c r="AU57" i="7"/>
  <c r="S57" i="7"/>
  <c r="AJ57" i="7"/>
  <c r="AY57" i="7"/>
  <c r="K57" i="7"/>
  <c r="T57" i="7"/>
  <c r="Z57" i="7"/>
  <c r="M57" i="7"/>
  <c r="D57" i="7"/>
  <c r="BA57" i="7"/>
  <c r="X57" i="7"/>
  <c r="AZ57" i="7"/>
  <c r="O57" i="7"/>
  <c r="H57" i="7"/>
  <c r="E57" i="7"/>
  <c r="W57" i="7"/>
  <c r="BF57" i="7"/>
  <c r="AS57" i="7"/>
  <c r="U57" i="7"/>
  <c r="R57" i="7"/>
  <c r="AA57" i="7"/>
  <c r="J57" i="7"/>
  <c r="B57" i="7"/>
  <c r="AG57" i="7"/>
  <c r="AS49" i="1"/>
  <c r="AI49" i="1"/>
  <c r="J49" i="1"/>
  <c r="Q49" i="1"/>
  <c r="O49" i="1"/>
  <c r="Z49" i="1"/>
  <c r="E49" i="1"/>
  <c r="AX49" i="1"/>
  <c r="C49" i="1"/>
  <c r="AQ49" i="1"/>
  <c r="BE49" i="1"/>
  <c r="AT49" i="1"/>
  <c r="AM49" i="1"/>
  <c r="AD49" i="1"/>
  <c r="L49" i="1"/>
  <c r="M49" i="1"/>
  <c r="AR49" i="1"/>
  <c r="AF49" i="1"/>
  <c r="AH49" i="1"/>
  <c r="N49" i="1"/>
  <c r="AP49" i="1"/>
  <c r="AW49" i="1"/>
  <c r="BA49" i="1"/>
  <c r="AB49" i="1"/>
  <c r="P49" i="1"/>
  <c r="AL49" i="1"/>
  <c r="R49" i="1"/>
  <c r="AY49" i="1"/>
  <c r="U49" i="1"/>
  <c r="AV49" i="1"/>
  <c r="AA49" i="1"/>
  <c r="AK49" i="1"/>
  <c r="AE49" i="1"/>
  <c r="Y49" i="1"/>
  <c r="S49" i="1"/>
  <c r="D49" i="1"/>
  <c r="AZ49" i="1"/>
  <c r="AJ49" i="1"/>
  <c r="BB49" i="1"/>
  <c r="AG49" i="1"/>
  <c r="BF49" i="1"/>
  <c r="K49" i="1"/>
  <c r="AC49" i="1"/>
  <c r="V49" i="1"/>
  <c r="AU49" i="1"/>
  <c r="H49" i="1"/>
  <c r="T49" i="1"/>
  <c r="W49" i="1"/>
  <c r="BC49" i="1"/>
  <c r="BD49" i="1"/>
  <c r="AN49" i="1"/>
  <c r="AO49" i="1"/>
  <c r="B49" i="1"/>
  <c r="X49" i="1"/>
  <c r="I56" i="3"/>
  <c r="G56" i="3"/>
  <c r="F56" i="3"/>
  <c r="I52" i="1"/>
  <c r="G52" i="1"/>
  <c r="F52" i="1"/>
  <c r="F45" i="6"/>
  <c r="G45" i="6"/>
  <c r="I45" i="6"/>
  <c r="I11" i="5"/>
  <c r="G11" i="5"/>
  <c r="F11" i="5"/>
  <c r="BF5" i="6"/>
  <c r="BD5" i="6"/>
  <c r="AE5" i="6"/>
  <c r="AF5" i="6"/>
  <c r="AU5" i="6"/>
  <c r="AA5" i="6"/>
  <c r="AL5" i="6"/>
  <c r="AP5" i="6"/>
  <c r="AC5" i="6"/>
  <c r="J5" i="6"/>
  <c r="S5" i="6"/>
  <c r="E5" i="6"/>
  <c r="AI5" i="6"/>
  <c r="AH5" i="6"/>
  <c r="AM5" i="6"/>
  <c r="AK5" i="6"/>
  <c r="AW5" i="6"/>
  <c r="N5" i="6"/>
  <c r="X5" i="6"/>
  <c r="C5" i="6"/>
  <c r="R5" i="6"/>
  <c r="T5" i="6"/>
  <c r="Q5" i="6"/>
  <c r="V5" i="6"/>
  <c r="Z5" i="6"/>
  <c r="W5" i="6"/>
  <c r="AB5" i="6"/>
  <c r="H5" i="6"/>
  <c r="D5" i="6"/>
  <c r="AR5" i="6"/>
  <c r="K5" i="6"/>
  <c r="U5" i="6"/>
  <c r="AY5" i="6"/>
  <c r="M5" i="6"/>
  <c r="AV5" i="6"/>
  <c r="AD5" i="6"/>
  <c r="AO5" i="6"/>
  <c r="AS5" i="6"/>
  <c r="AJ5" i="6"/>
  <c r="P5" i="6"/>
  <c r="AG5" i="6"/>
  <c r="BC5" i="6"/>
  <c r="AQ5" i="6"/>
  <c r="AZ5" i="6"/>
  <c r="O5" i="6"/>
  <c r="L5" i="6"/>
  <c r="AN5" i="6"/>
  <c r="BE5" i="6"/>
  <c r="AX5" i="6"/>
  <c r="Y5" i="6"/>
  <c r="BB5" i="6"/>
  <c r="AT5" i="6"/>
  <c r="B5" i="6"/>
  <c r="BA5" i="6"/>
  <c r="I56" i="1"/>
  <c r="G56" i="1"/>
  <c r="F56" i="1"/>
  <c r="F12" i="5"/>
  <c r="G12" i="5"/>
  <c r="I12" i="5"/>
  <c r="O44" i="4"/>
  <c r="AA44" i="4"/>
  <c r="AD44" i="4"/>
  <c r="AM44" i="4"/>
  <c r="Z44" i="4"/>
  <c r="L44" i="4"/>
  <c r="AV44" i="4"/>
  <c r="E44" i="4"/>
  <c r="AR44" i="4"/>
  <c r="BE44" i="4"/>
  <c r="AU44" i="4"/>
  <c r="BF44" i="4"/>
  <c r="AP44" i="4"/>
  <c r="H44" i="4"/>
  <c r="D44" i="4"/>
  <c r="AH44" i="4"/>
  <c r="AB44" i="4"/>
  <c r="S44" i="4"/>
  <c r="Y44" i="4"/>
  <c r="K44" i="4"/>
  <c r="AY44" i="4"/>
  <c r="AW44" i="4"/>
  <c r="AS44" i="4"/>
  <c r="AE44" i="4"/>
  <c r="AQ44" i="4"/>
  <c r="P44" i="4"/>
  <c r="C44" i="4"/>
  <c r="X44" i="4"/>
  <c r="J44" i="4"/>
  <c r="AL44" i="4"/>
  <c r="U44" i="4"/>
  <c r="AK44" i="4"/>
  <c r="AI44" i="4"/>
  <c r="M44" i="4"/>
  <c r="AX44" i="4"/>
  <c r="AG44" i="4"/>
  <c r="AF44" i="4"/>
  <c r="N44" i="4"/>
  <c r="BD44" i="4"/>
  <c r="R44" i="4"/>
  <c r="AC44" i="4"/>
  <c r="Q44" i="4"/>
  <c r="V44" i="4"/>
  <c r="AJ44" i="4"/>
  <c r="BB44" i="4"/>
  <c r="BC44" i="4"/>
  <c r="AN44" i="4"/>
  <c r="BA44" i="4"/>
  <c r="T44" i="4"/>
  <c r="AO44" i="4"/>
  <c r="W44" i="4"/>
  <c r="AZ44" i="4"/>
  <c r="B44" i="4"/>
  <c r="AT44" i="4"/>
  <c r="B15" i="4"/>
  <c r="I15" i="4"/>
  <c r="G15" i="4"/>
  <c r="F15" i="4"/>
  <c r="F40" i="1"/>
  <c r="G40" i="1"/>
  <c r="I40" i="1"/>
  <c r="I36" i="7"/>
  <c r="G36" i="7"/>
  <c r="F36" i="7"/>
  <c r="F50" i="6"/>
  <c r="G50" i="6"/>
  <c r="I50" i="6"/>
  <c r="F40" i="2"/>
  <c r="G40" i="2"/>
  <c r="I40" i="2"/>
  <c r="I52" i="3"/>
  <c r="G52" i="3"/>
  <c r="F52" i="3"/>
  <c r="F37" i="4"/>
  <c r="G37" i="4"/>
  <c r="I37" i="4"/>
  <c r="I15" i="5"/>
  <c r="G15" i="5"/>
  <c r="F15" i="5"/>
  <c r="F16" i="3"/>
  <c r="G16" i="3"/>
  <c r="I16" i="3"/>
  <c r="F57" i="4"/>
  <c r="G57" i="4"/>
  <c r="I57" i="4"/>
  <c r="F6" i="2"/>
  <c r="G6" i="2"/>
  <c r="I6" i="2"/>
  <c r="F6" i="1"/>
  <c r="G6" i="1"/>
  <c r="I6" i="1"/>
  <c r="Z12" i="5"/>
  <c r="N12" i="5"/>
  <c r="K12" i="5"/>
  <c r="S12" i="5"/>
  <c r="AH12" i="5"/>
  <c r="Y12" i="5"/>
  <c r="AP12" i="5"/>
  <c r="AR12" i="5"/>
  <c r="R12" i="5"/>
  <c r="AL12" i="5"/>
  <c r="AQ12" i="5"/>
  <c r="AS12" i="5"/>
  <c r="AE12" i="5"/>
  <c r="AK12" i="5"/>
  <c r="AU12" i="5"/>
  <c r="T12" i="5"/>
  <c r="AO12" i="5"/>
  <c r="AC12" i="5"/>
  <c r="AA12" i="5"/>
  <c r="AM12" i="5"/>
  <c r="BC12" i="5"/>
  <c r="AW12" i="5"/>
  <c r="Q12" i="5"/>
  <c r="J12" i="5"/>
  <c r="H12" i="5"/>
  <c r="AT12" i="5"/>
  <c r="AB12" i="5"/>
  <c r="AV12" i="5"/>
  <c r="BA12" i="5"/>
  <c r="P12" i="5"/>
  <c r="AN12" i="5"/>
  <c r="BB12" i="5"/>
  <c r="AZ12" i="5"/>
  <c r="AG12" i="5"/>
  <c r="X12" i="5"/>
  <c r="BD12" i="5"/>
  <c r="AX12" i="5"/>
  <c r="AF12" i="5"/>
  <c r="O12" i="5"/>
  <c r="BE12" i="5"/>
  <c r="E12" i="5"/>
  <c r="AI12" i="5"/>
  <c r="BF12" i="5"/>
  <c r="AY12" i="5"/>
  <c r="V12" i="5"/>
  <c r="AJ12" i="5"/>
  <c r="W12" i="5"/>
  <c r="U12" i="5"/>
  <c r="D12" i="5"/>
  <c r="AD12" i="5"/>
  <c r="L12" i="5"/>
  <c r="C12" i="5"/>
  <c r="B12" i="5"/>
  <c r="M12" i="5"/>
  <c r="I41" i="6"/>
  <c r="G41" i="6"/>
  <c r="F41" i="6"/>
  <c r="E36" i="7"/>
  <c r="AS36" i="7"/>
  <c r="AG36" i="7"/>
  <c r="U36" i="7"/>
  <c r="BD36" i="7"/>
  <c r="AU36" i="7"/>
  <c r="AL36" i="7"/>
  <c r="Z36" i="7"/>
  <c r="BC36" i="7"/>
  <c r="C36" i="7"/>
  <c r="AR36" i="7"/>
  <c r="AP36" i="7"/>
  <c r="AY36" i="7"/>
  <c r="AW36" i="7"/>
  <c r="Q36" i="7"/>
  <c r="O36" i="7"/>
  <c r="AM36" i="7"/>
  <c r="AO36" i="7"/>
  <c r="D36" i="7"/>
  <c r="AZ36" i="7"/>
  <c r="J36" i="7"/>
  <c r="Y36" i="7"/>
  <c r="AB36" i="7"/>
  <c r="AK36" i="7"/>
  <c r="K36" i="7"/>
  <c r="AD36" i="7"/>
  <c r="L36" i="7"/>
  <c r="AF36" i="7"/>
  <c r="AJ36" i="7"/>
  <c r="AE36" i="7"/>
  <c r="AV36" i="7"/>
  <c r="H36" i="7"/>
  <c r="X36" i="7"/>
  <c r="BB36" i="7"/>
  <c r="V36" i="7"/>
  <c r="AX36" i="7"/>
  <c r="BF36" i="7"/>
  <c r="S36" i="7"/>
  <c r="AC36" i="7"/>
  <c r="W36" i="7"/>
  <c r="T36" i="7"/>
  <c r="AH36" i="7"/>
  <c r="N36" i="7"/>
  <c r="BA36" i="7"/>
  <c r="P36" i="7"/>
  <c r="BE36" i="7"/>
  <c r="M36" i="7"/>
  <c r="AQ36" i="7"/>
  <c r="AT36" i="7"/>
  <c r="AI36" i="7"/>
  <c r="AA36" i="7"/>
  <c r="R36" i="7"/>
  <c r="B36" i="7"/>
  <c r="AN36" i="7"/>
  <c r="AK32" i="8"/>
  <c r="M32" i="8"/>
  <c r="AV32" i="8"/>
  <c r="AY32" i="8"/>
  <c r="BA32" i="8"/>
  <c r="AA32" i="8"/>
  <c r="D32" i="8"/>
  <c r="AU32" i="8"/>
  <c r="AN32" i="8"/>
  <c r="BE32" i="8"/>
  <c r="T32" i="8"/>
  <c r="BB32" i="8"/>
  <c r="U32" i="8"/>
  <c r="AP32" i="8"/>
  <c r="AR32" i="8"/>
  <c r="C32" i="8"/>
  <c r="AJ32" i="8"/>
  <c r="AE32" i="8"/>
  <c r="W32" i="8"/>
  <c r="Y32" i="8"/>
  <c r="BD32" i="8"/>
  <c r="AI32" i="8"/>
  <c r="P32" i="8"/>
  <c r="AQ32" i="8"/>
  <c r="AS32" i="8"/>
  <c r="S32" i="8"/>
  <c r="AX32" i="8"/>
  <c r="R32" i="8"/>
  <c r="AF32" i="8"/>
  <c r="AH32" i="8"/>
  <c r="Q32" i="8"/>
  <c r="N32" i="8"/>
  <c r="K32" i="8"/>
  <c r="AB32" i="8"/>
  <c r="V32" i="8"/>
  <c r="L32" i="8"/>
  <c r="O32" i="8"/>
  <c r="AL32" i="8"/>
  <c r="AT32" i="8"/>
  <c r="X32" i="8"/>
  <c r="Z32" i="8"/>
  <c r="BC32" i="8"/>
  <c r="AC32" i="8"/>
  <c r="AW32" i="8"/>
  <c r="AM32" i="8"/>
  <c r="AZ32" i="8"/>
  <c r="AO32" i="8"/>
  <c r="E32" i="8"/>
  <c r="J32" i="8"/>
  <c r="AD32" i="8"/>
  <c r="H32" i="8"/>
  <c r="BF32" i="8"/>
  <c r="B32" i="8"/>
  <c r="AG32" i="8"/>
  <c r="BD30" i="8"/>
  <c r="Q30" i="8"/>
  <c r="AM30" i="8"/>
  <c r="AP30" i="8"/>
  <c r="R30" i="8"/>
  <c r="BA30" i="8"/>
  <c r="N30" i="8"/>
  <c r="AZ30" i="8"/>
  <c r="M30" i="8"/>
  <c r="AH30" i="8"/>
  <c r="E30" i="8"/>
  <c r="BB30" i="8"/>
  <c r="J30" i="8"/>
  <c r="AI30" i="8"/>
  <c r="AA30" i="8"/>
  <c r="AW30" i="8"/>
  <c r="V30" i="8"/>
  <c r="AE30" i="8"/>
  <c r="AT30" i="8"/>
  <c r="AR30" i="8"/>
  <c r="AC30" i="8"/>
  <c r="AN30" i="8"/>
  <c r="AF30" i="8"/>
  <c r="AQ30" i="8"/>
  <c r="O30" i="8"/>
  <c r="D30" i="8"/>
  <c r="AG30" i="8"/>
  <c r="AO30" i="8"/>
  <c r="S30" i="8"/>
  <c r="H30" i="8"/>
  <c r="BE30" i="8"/>
  <c r="AY30" i="8"/>
  <c r="W30" i="8"/>
  <c r="AL30" i="8"/>
  <c r="BF30" i="8"/>
  <c r="L30" i="8"/>
  <c r="P30" i="8"/>
  <c r="C30" i="8"/>
  <c r="AV30" i="8"/>
  <c r="Y30" i="8"/>
  <c r="AD30" i="8"/>
  <c r="AB30" i="8"/>
  <c r="AU30" i="8"/>
  <c r="AX30" i="8"/>
  <c r="U30" i="8"/>
  <c r="Z30" i="8"/>
  <c r="AS30" i="8"/>
  <c r="BC30" i="8"/>
  <c r="AK30" i="8"/>
  <c r="AJ30" i="8"/>
  <c r="T30" i="8"/>
  <c r="K30" i="8"/>
  <c r="B30" i="8"/>
  <c r="X30" i="8"/>
  <c r="BF16" i="3"/>
  <c r="U16" i="3"/>
  <c r="AY16" i="3"/>
  <c r="C16" i="3"/>
  <c r="V16" i="3"/>
  <c r="J16" i="3"/>
  <c r="AT16" i="3"/>
  <c r="AJ16" i="3"/>
  <c r="T16" i="3"/>
  <c r="AX16" i="3"/>
  <c r="AC16" i="3"/>
  <c r="AD16" i="3"/>
  <c r="BB16" i="3"/>
  <c r="W16" i="3"/>
  <c r="D16" i="3"/>
  <c r="AG16" i="3"/>
  <c r="AS16" i="3"/>
  <c r="AB16" i="3"/>
  <c r="AI16" i="3"/>
  <c r="X16" i="3"/>
  <c r="Q16" i="3"/>
  <c r="BE16" i="3"/>
  <c r="AR16" i="3"/>
  <c r="N16" i="3"/>
  <c r="L16" i="3"/>
  <c r="AO16" i="3"/>
  <c r="H16" i="3"/>
  <c r="K16" i="3"/>
  <c r="AW16" i="3"/>
  <c r="M16" i="3"/>
  <c r="Y16" i="3"/>
  <c r="S16" i="3"/>
  <c r="R16" i="3"/>
  <c r="AH16" i="3"/>
  <c r="AN16" i="3"/>
  <c r="AK16" i="3"/>
  <c r="Z16" i="3"/>
  <c r="P16" i="3"/>
  <c r="AU16" i="3"/>
  <c r="AZ16" i="3"/>
  <c r="AQ16" i="3"/>
  <c r="AF16" i="3"/>
  <c r="AL16" i="3"/>
  <c r="AM16" i="3"/>
  <c r="BC16" i="3"/>
  <c r="AP16" i="3"/>
  <c r="BA16" i="3"/>
  <c r="BD16" i="3"/>
  <c r="AA16" i="3"/>
  <c r="O16" i="3"/>
  <c r="AV16" i="3"/>
  <c r="AE16" i="3"/>
  <c r="B16" i="3"/>
  <c r="E16" i="3"/>
  <c r="AR4" i="7"/>
  <c r="H4" i="7"/>
  <c r="AK4" i="7"/>
  <c r="J4" i="7"/>
  <c r="AU4" i="7"/>
  <c r="BF4" i="7"/>
  <c r="M4" i="7"/>
  <c r="AQ4" i="7"/>
  <c r="AC4" i="7"/>
  <c r="AT4" i="7"/>
  <c r="AV4" i="7"/>
  <c r="U4" i="7"/>
  <c r="L4" i="7"/>
  <c r="AY4" i="7"/>
  <c r="BD4" i="7"/>
  <c r="AD4" i="7"/>
  <c r="BC4" i="7"/>
  <c r="Z4" i="7"/>
  <c r="K4" i="7"/>
  <c r="AP4" i="7"/>
  <c r="AX4" i="7"/>
  <c r="AB4" i="7"/>
  <c r="AI4" i="7"/>
  <c r="AF4" i="7"/>
  <c r="E4" i="7"/>
  <c r="W4" i="7"/>
  <c r="AM4" i="7"/>
  <c r="Q4" i="7"/>
  <c r="O4" i="7"/>
  <c r="S4" i="7"/>
  <c r="AH4" i="7"/>
  <c r="AL4" i="7"/>
  <c r="AG4" i="7"/>
  <c r="BA4" i="7"/>
  <c r="BB4" i="7"/>
  <c r="AE4" i="7"/>
  <c r="AS4" i="7"/>
  <c r="C4" i="7"/>
  <c r="D4" i="7"/>
  <c r="N4" i="7"/>
  <c r="R4" i="7"/>
  <c r="Y4" i="7"/>
  <c r="AJ4" i="7"/>
  <c r="T4" i="7"/>
  <c r="X4" i="7"/>
  <c r="P4" i="7"/>
  <c r="BE4" i="7"/>
  <c r="AZ4" i="7"/>
  <c r="AN4" i="7"/>
  <c r="AA4" i="7"/>
  <c r="V4" i="7"/>
  <c r="AW4" i="7"/>
  <c r="AO4" i="7"/>
  <c r="E22" i="1"/>
  <c r="T22" i="1"/>
  <c r="M22" i="1"/>
  <c r="AU22" i="1"/>
  <c r="AB22" i="1"/>
  <c r="AZ22" i="1"/>
  <c r="AD22" i="1"/>
  <c r="W22" i="1"/>
  <c r="BE22" i="1"/>
  <c r="J22" i="1"/>
  <c r="AM22" i="1"/>
  <c r="S22" i="1"/>
  <c r="V22" i="1"/>
  <c r="C22" i="1"/>
  <c r="AJ22" i="1"/>
  <c r="BF22" i="1"/>
  <c r="D22" i="1"/>
  <c r="BA22" i="1"/>
  <c r="AT22" i="1"/>
  <c r="AY22" i="1"/>
  <c r="AE22" i="1"/>
  <c r="AW22" i="1"/>
  <c r="BD22" i="1"/>
  <c r="L22" i="1"/>
  <c r="AG22" i="1"/>
  <c r="AX22" i="1"/>
  <c r="AP22" i="1"/>
  <c r="AH22" i="1"/>
  <c r="AK22" i="1"/>
  <c r="Y22" i="1"/>
  <c r="X22" i="1"/>
  <c r="AF22" i="1"/>
  <c r="AV22" i="1"/>
  <c r="AA22" i="1"/>
  <c r="O22" i="1"/>
  <c r="P22" i="1"/>
  <c r="U22" i="1"/>
  <c r="BC22" i="1"/>
  <c r="Z22" i="1"/>
  <c r="AL22" i="1"/>
  <c r="K22" i="1"/>
  <c r="N22" i="1"/>
  <c r="R22" i="1"/>
  <c r="H22" i="1"/>
  <c r="AI22" i="1"/>
  <c r="AR22" i="1"/>
  <c r="AN22" i="1"/>
  <c r="Q22" i="1"/>
  <c r="AS22" i="1"/>
  <c r="AO22" i="1"/>
  <c r="AC22" i="1"/>
  <c r="BB22" i="1"/>
  <c r="B22" i="1"/>
  <c r="AQ22" i="1"/>
  <c r="X44" i="3"/>
  <c r="AM44" i="3"/>
  <c r="AK44" i="3"/>
  <c r="V44" i="3"/>
  <c r="AU44" i="3"/>
  <c r="E44" i="3"/>
  <c r="AE44" i="3"/>
  <c r="AC44" i="3"/>
  <c r="AT44" i="3"/>
  <c r="AP44" i="3"/>
  <c r="Q44" i="3"/>
  <c r="AL44" i="3"/>
  <c r="T44" i="3"/>
  <c r="AR44" i="3"/>
  <c r="L44" i="3"/>
  <c r="C44" i="3"/>
  <c r="O44" i="3"/>
  <c r="M44" i="3"/>
  <c r="AG44" i="3"/>
  <c r="AZ44" i="3"/>
  <c r="AX44" i="3"/>
  <c r="J44" i="3"/>
  <c r="AW44" i="3"/>
  <c r="AY44" i="3"/>
  <c r="AV44" i="3"/>
  <c r="D44" i="3"/>
  <c r="AB44" i="3"/>
  <c r="AH44" i="3"/>
  <c r="AJ44" i="3"/>
  <c r="P44" i="3"/>
  <c r="W44" i="3"/>
  <c r="AO44" i="3"/>
  <c r="BE44" i="3"/>
  <c r="AF44" i="3"/>
  <c r="AA44" i="3"/>
  <c r="AD44" i="3"/>
  <c r="Z44" i="3"/>
  <c r="Y44" i="3"/>
  <c r="BF44" i="3"/>
  <c r="U44" i="3"/>
  <c r="BB44" i="3"/>
  <c r="AS44" i="3"/>
  <c r="BD44" i="3"/>
  <c r="N44" i="3"/>
  <c r="S44" i="3"/>
  <c r="K44" i="3"/>
  <c r="BA44" i="3"/>
  <c r="AQ44" i="3"/>
  <c r="R44" i="3"/>
  <c r="AI44" i="3"/>
  <c r="AN44" i="3"/>
  <c r="BC44" i="3"/>
  <c r="B44" i="3"/>
  <c r="H44" i="3"/>
  <c r="AM52" i="3"/>
  <c r="X52" i="3"/>
  <c r="K52" i="3"/>
  <c r="BA52" i="3"/>
  <c r="Z52" i="3"/>
  <c r="AU52" i="3"/>
  <c r="T52" i="3"/>
  <c r="AS52" i="3"/>
  <c r="AA52" i="3"/>
  <c r="W52" i="3"/>
  <c r="M52" i="3"/>
  <c r="P52" i="3"/>
  <c r="AF52" i="3"/>
  <c r="AD52" i="3"/>
  <c r="AY52" i="3"/>
  <c r="AC52" i="3"/>
  <c r="AJ52" i="3"/>
  <c r="S52" i="3"/>
  <c r="AK52" i="3"/>
  <c r="N52" i="3"/>
  <c r="AW52" i="3"/>
  <c r="Q52" i="3"/>
  <c r="AQ52" i="3"/>
  <c r="AL52" i="3"/>
  <c r="O52" i="3"/>
  <c r="AX52" i="3"/>
  <c r="Y52" i="3"/>
  <c r="AG52" i="3"/>
  <c r="E52" i="3"/>
  <c r="BE52" i="3"/>
  <c r="BD52" i="3"/>
  <c r="C52" i="3"/>
  <c r="BC52" i="3"/>
  <c r="AH52" i="3"/>
  <c r="BB52" i="3"/>
  <c r="H52" i="3"/>
  <c r="AN52" i="3"/>
  <c r="AT52" i="3"/>
  <c r="J52" i="3"/>
  <c r="AV52" i="3"/>
  <c r="AI52" i="3"/>
  <c r="AB52" i="3"/>
  <c r="L52" i="3"/>
  <c r="AR52" i="3"/>
  <c r="AE52" i="3"/>
  <c r="AP52" i="3"/>
  <c r="V52" i="3"/>
  <c r="R52" i="3"/>
  <c r="AZ52" i="3"/>
  <c r="D52" i="3"/>
  <c r="BF52" i="3"/>
  <c r="AO52" i="3"/>
  <c r="B52" i="3"/>
  <c r="U52" i="3"/>
  <c r="M52" i="6"/>
  <c r="Y52" i="6"/>
  <c r="AK52" i="6"/>
  <c r="BE52" i="6"/>
  <c r="AU52" i="6"/>
  <c r="AZ52" i="6"/>
  <c r="AQ52" i="6"/>
  <c r="O52" i="6"/>
  <c r="T52" i="6"/>
  <c r="U52" i="6"/>
  <c r="R52" i="6"/>
  <c r="AS52" i="6"/>
  <c r="AA52" i="6"/>
  <c r="AD52" i="6"/>
  <c r="AG52" i="6"/>
  <c r="Q52" i="6"/>
  <c r="BB52" i="6"/>
  <c r="W52" i="6"/>
  <c r="V52" i="6"/>
  <c r="E52" i="6"/>
  <c r="AT52" i="6"/>
  <c r="AP52" i="6"/>
  <c r="AI52" i="6"/>
  <c r="AJ52" i="6"/>
  <c r="P52" i="6"/>
  <c r="AB52" i="6"/>
  <c r="AN52" i="6"/>
  <c r="AV52" i="6"/>
  <c r="N52" i="6"/>
  <c r="AH52" i="6"/>
  <c r="BC52" i="6"/>
  <c r="AF52" i="6"/>
  <c r="L52" i="6"/>
  <c r="AO52" i="6"/>
  <c r="AW52" i="6"/>
  <c r="AR52" i="6"/>
  <c r="C52" i="6"/>
  <c r="AC52" i="6"/>
  <c r="AX52" i="6"/>
  <c r="BF52" i="6"/>
  <c r="D52" i="6"/>
  <c r="Z52" i="6"/>
  <c r="AL52" i="6"/>
  <c r="AY52" i="6"/>
  <c r="AM52" i="6"/>
  <c r="X52" i="6"/>
  <c r="BA52" i="6"/>
  <c r="AE52" i="6"/>
  <c r="J52" i="6"/>
  <c r="H52" i="6"/>
  <c r="S52" i="6"/>
  <c r="BD52" i="6"/>
  <c r="B52" i="6"/>
  <c r="K52" i="6"/>
  <c r="AN8" i="6"/>
  <c r="AI8" i="6"/>
  <c r="N8" i="6"/>
  <c r="AB8" i="6"/>
  <c r="AV8" i="6"/>
  <c r="AC8" i="6"/>
  <c r="R8" i="6"/>
  <c r="AM8" i="6"/>
  <c r="S8" i="6"/>
  <c r="C8" i="6"/>
  <c r="AK8" i="6"/>
  <c r="AH8" i="6"/>
  <c r="BA8" i="6"/>
  <c r="AD8" i="6"/>
  <c r="BC8" i="6"/>
  <c r="BE8" i="6"/>
  <c r="U8" i="6"/>
  <c r="AQ8" i="6"/>
  <c r="AO8" i="6"/>
  <c r="J8" i="6"/>
  <c r="K8" i="6"/>
  <c r="AG8" i="6"/>
  <c r="V8" i="6"/>
  <c r="AE8" i="6"/>
  <c r="L8" i="6"/>
  <c r="AL8" i="6"/>
  <c r="AW8" i="6"/>
  <c r="O8" i="6"/>
  <c r="BF8" i="6"/>
  <c r="Z8" i="6"/>
  <c r="X8" i="6"/>
  <c r="BD8" i="6"/>
  <c r="AP8" i="6"/>
  <c r="AT8" i="6"/>
  <c r="D8" i="6"/>
  <c r="AX8" i="6"/>
  <c r="AZ8" i="6"/>
  <c r="H8" i="6"/>
  <c r="Y8" i="6"/>
  <c r="AY8" i="6"/>
  <c r="AA8" i="6"/>
  <c r="AF8" i="6"/>
  <c r="W8" i="6"/>
  <c r="AU8" i="6"/>
  <c r="AJ8" i="6"/>
  <c r="BB8" i="6"/>
  <c r="AR8" i="6"/>
  <c r="M8" i="6"/>
  <c r="E8" i="6"/>
  <c r="P8" i="6"/>
  <c r="AS8" i="6"/>
  <c r="Q8" i="6"/>
  <c r="B8" i="6"/>
  <c r="T8" i="6"/>
  <c r="V44" i="6"/>
  <c r="AT44" i="6"/>
  <c r="BF44" i="6"/>
  <c r="AI44" i="6"/>
  <c r="AU44" i="6"/>
  <c r="E44" i="6"/>
  <c r="R44" i="6"/>
  <c r="AS44" i="6"/>
  <c r="M44" i="6"/>
  <c r="AD44" i="6"/>
  <c r="Q44" i="6"/>
  <c r="T44" i="6"/>
  <c r="O44" i="6"/>
  <c r="BB44" i="6"/>
  <c r="AN44" i="6"/>
  <c r="K44" i="6"/>
  <c r="AB44" i="6"/>
  <c r="AK44" i="6"/>
  <c r="S44" i="6"/>
  <c r="W44" i="6"/>
  <c r="AJ44" i="6"/>
  <c r="P44" i="6"/>
  <c r="AE44" i="6"/>
  <c r="BD44" i="6"/>
  <c r="Z44" i="6"/>
  <c r="AH44" i="6"/>
  <c r="AW44" i="6"/>
  <c r="BC44" i="6"/>
  <c r="N44" i="6"/>
  <c r="AV44" i="6"/>
  <c r="AP44" i="6"/>
  <c r="AL44" i="6"/>
  <c r="AZ44" i="6"/>
  <c r="AX44" i="6"/>
  <c r="D44" i="6"/>
  <c r="AM44" i="6"/>
  <c r="AA44" i="6"/>
  <c r="AO44" i="6"/>
  <c r="Y44" i="6"/>
  <c r="BA44" i="6"/>
  <c r="L44" i="6"/>
  <c r="AG44" i="6"/>
  <c r="H44" i="6"/>
  <c r="AF44" i="6"/>
  <c r="AY44" i="6"/>
  <c r="BE44" i="6"/>
  <c r="C44" i="6"/>
  <c r="AR44" i="6"/>
  <c r="AQ44" i="6"/>
  <c r="X44" i="6"/>
  <c r="U44" i="6"/>
  <c r="J44" i="6"/>
  <c r="B44" i="6"/>
  <c r="AC44" i="6"/>
  <c r="BE11" i="7"/>
  <c r="AI11" i="7"/>
  <c r="AE11" i="7"/>
  <c r="Y11" i="7"/>
  <c r="O11" i="7"/>
  <c r="AZ11" i="7"/>
  <c r="E11" i="7"/>
  <c r="U11" i="7"/>
  <c r="AQ11" i="7"/>
  <c r="W11" i="7"/>
  <c r="L11" i="7"/>
  <c r="Q11" i="7"/>
  <c r="AC11" i="7"/>
  <c r="BA11" i="7"/>
  <c r="BF11" i="7"/>
  <c r="AD11" i="7"/>
  <c r="P11" i="7"/>
  <c r="T11" i="7"/>
  <c r="X11" i="7"/>
  <c r="Z11" i="7"/>
  <c r="H11" i="7"/>
  <c r="AO11" i="7"/>
  <c r="BC11" i="7"/>
  <c r="AG11" i="7"/>
  <c r="AN11" i="7"/>
  <c r="AT11" i="7"/>
  <c r="AP11" i="7"/>
  <c r="D11" i="7"/>
  <c r="AM11" i="7"/>
  <c r="AL11" i="7"/>
  <c r="AH11" i="7"/>
  <c r="AK11" i="7"/>
  <c r="AA11" i="7"/>
  <c r="AW11" i="7"/>
  <c r="R11" i="7"/>
  <c r="AY11" i="7"/>
  <c r="AS11" i="7"/>
  <c r="AV11" i="7"/>
  <c r="AB11" i="7"/>
  <c r="N11" i="7"/>
  <c r="BD11" i="7"/>
  <c r="AR11" i="7"/>
  <c r="V11" i="7"/>
  <c r="S11" i="7"/>
  <c r="M11" i="7"/>
  <c r="AX11" i="7"/>
  <c r="J11" i="7"/>
  <c r="C11" i="7"/>
  <c r="K11" i="7"/>
  <c r="AU11" i="7"/>
  <c r="AJ11" i="7"/>
  <c r="AF11" i="7"/>
  <c r="B11" i="7"/>
  <c r="BB11" i="7"/>
  <c r="Y46" i="8"/>
  <c r="BB46" i="8"/>
  <c r="AF46" i="8"/>
  <c r="AC46" i="8"/>
  <c r="U46" i="8"/>
  <c r="K46" i="8"/>
  <c r="AG46" i="8"/>
  <c r="AL46" i="8"/>
  <c r="BA46" i="8"/>
  <c r="C46" i="8"/>
  <c r="AY46" i="8"/>
  <c r="BC46" i="8"/>
  <c r="T46" i="8"/>
  <c r="AR46" i="8"/>
  <c r="N46" i="8"/>
  <c r="S46" i="8"/>
  <c r="AZ46" i="8"/>
  <c r="H46" i="8"/>
  <c r="AO46" i="8"/>
  <c r="Q46" i="8"/>
  <c r="E46" i="8"/>
  <c r="BD46" i="8"/>
  <c r="AA46" i="8"/>
  <c r="R46" i="8"/>
  <c r="P46" i="8"/>
  <c r="O46" i="8"/>
  <c r="AW46" i="8"/>
  <c r="AV46" i="8"/>
  <c r="AU46" i="8"/>
  <c r="AM46" i="8"/>
  <c r="AB46" i="8"/>
  <c r="AD46" i="8"/>
  <c r="AX46" i="8"/>
  <c r="J46" i="8"/>
  <c r="AH46" i="8"/>
  <c r="BE46" i="8"/>
  <c r="X46" i="8"/>
  <c r="AQ46" i="8"/>
  <c r="AT46" i="8"/>
  <c r="Z46" i="8"/>
  <c r="W46" i="8"/>
  <c r="BF46" i="8"/>
  <c r="M46" i="8"/>
  <c r="AS46" i="8"/>
  <c r="D46" i="8"/>
  <c r="AP46" i="8"/>
  <c r="AK46" i="8"/>
  <c r="AN46" i="8"/>
  <c r="AJ46" i="8"/>
  <c r="V46" i="8"/>
  <c r="L46" i="8"/>
  <c r="AE46" i="8"/>
  <c r="B46" i="8"/>
  <c r="AI46" i="8"/>
  <c r="C47" i="6"/>
  <c r="O47" i="6"/>
  <c r="BC47" i="6"/>
  <c r="X47" i="6"/>
  <c r="AH47" i="6"/>
  <c r="BF47" i="6"/>
  <c r="AC47" i="6"/>
  <c r="Q47" i="6"/>
  <c r="AD47" i="6"/>
  <c r="J47" i="6"/>
  <c r="D47" i="6"/>
  <c r="AY47" i="6"/>
  <c r="AJ47" i="6"/>
  <c r="AT47" i="6"/>
  <c r="AX47" i="6"/>
  <c r="AA47" i="6"/>
  <c r="AU47" i="6"/>
  <c r="AF47" i="6"/>
  <c r="AL47" i="6"/>
  <c r="AG47" i="6"/>
  <c r="AR47" i="6"/>
  <c r="AO47" i="6"/>
  <c r="AW47" i="6"/>
  <c r="AS47" i="6"/>
  <c r="N47" i="6"/>
  <c r="S47" i="6"/>
  <c r="H47" i="6"/>
  <c r="AI47" i="6"/>
  <c r="BD47" i="6"/>
  <c r="L47" i="6"/>
  <c r="M47" i="6"/>
  <c r="BB47" i="6"/>
  <c r="E47" i="6"/>
  <c r="R47" i="6"/>
  <c r="T47" i="6"/>
  <c r="Z47" i="6"/>
  <c r="BA47" i="6"/>
  <c r="BE47" i="6"/>
  <c r="AQ47" i="6"/>
  <c r="Y47" i="6"/>
  <c r="V47" i="6"/>
  <c r="AN47" i="6"/>
  <c r="U47" i="6"/>
  <c r="AK47" i="6"/>
  <c r="AP47" i="6"/>
  <c r="AZ47" i="6"/>
  <c r="K47" i="6"/>
  <c r="P47" i="6"/>
  <c r="AM47" i="6"/>
  <c r="AB47" i="6"/>
  <c r="W47" i="6"/>
  <c r="AE47" i="6"/>
  <c r="AV47" i="6"/>
  <c r="L18" i="5"/>
  <c r="BC18" i="5"/>
  <c r="N18" i="5"/>
  <c r="AA18" i="5"/>
  <c r="AF18" i="5"/>
  <c r="AN18" i="5"/>
  <c r="AT18" i="5"/>
  <c r="C18" i="5"/>
  <c r="V18" i="5"/>
  <c r="J18" i="5"/>
  <c r="H18" i="5"/>
  <c r="AJ18" i="5"/>
  <c r="Q18" i="5"/>
  <c r="AM18" i="5"/>
  <c r="AP18" i="5"/>
  <c r="K18" i="5"/>
  <c r="AI18" i="5"/>
  <c r="X18" i="5"/>
  <c r="AX18" i="5"/>
  <c r="AO18" i="5"/>
  <c r="O18" i="5"/>
  <c r="BF18" i="5"/>
  <c r="AD18" i="5"/>
  <c r="P18" i="5"/>
  <c r="D18" i="5"/>
  <c r="AB18" i="5"/>
  <c r="AU18" i="5"/>
  <c r="AZ18" i="5"/>
  <c r="M18" i="5"/>
  <c r="Z18" i="5"/>
  <c r="R18" i="5"/>
  <c r="AL18" i="5"/>
  <c r="W18" i="5"/>
  <c r="AH18" i="5"/>
  <c r="AW18" i="5"/>
  <c r="AQ18" i="5"/>
  <c r="E18" i="5"/>
  <c r="AV18" i="5"/>
  <c r="T18" i="5"/>
  <c r="AE18" i="5"/>
  <c r="Y18" i="5"/>
  <c r="BD18" i="5"/>
  <c r="BE18" i="5"/>
  <c r="AS18" i="5"/>
  <c r="AR18" i="5"/>
  <c r="BB18" i="5"/>
  <c r="AK18" i="5"/>
  <c r="AY18" i="5"/>
  <c r="U18" i="5"/>
  <c r="AC18" i="5"/>
  <c r="S18" i="5"/>
  <c r="BA18" i="5"/>
  <c r="AG18" i="5"/>
  <c r="V38" i="5"/>
  <c r="AF38" i="5"/>
  <c r="AZ38" i="5"/>
  <c r="U38" i="5"/>
  <c r="E38" i="5"/>
  <c r="Q38" i="5"/>
  <c r="AH38" i="5"/>
  <c r="AU38" i="5"/>
  <c r="W38" i="5"/>
  <c r="M38" i="5"/>
  <c r="AJ38" i="5"/>
  <c r="AE38" i="5"/>
  <c r="AT38" i="5"/>
  <c r="H38" i="5"/>
  <c r="O38" i="5"/>
  <c r="AM38" i="5"/>
  <c r="AD38" i="5"/>
  <c r="D38" i="5"/>
  <c r="Z38" i="5"/>
  <c r="Y38" i="5"/>
  <c r="BC38" i="5"/>
  <c r="AW38" i="5"/>
  <c r="AX38" i="5"/>
  <c r="AI38" i="5"/>
  <c r="AK38" i="5"/>
  <c r="K38" i="5"/>
  <c r="AA38" i="5"/>
  <c r="C38" i="5"/>
  <c r="AP38" i="5"/>
  <c r="AG38" i="5"/>
  <c r="R38" i="5"/>
  <c r="N38" i="5"/>
  <c r="AL38" i="5"/>
  <c r="T38" i="5"/>
  <c r="BA38" i="5"/>
  <c r="AR38" i="5"/>
  <c r="AB38" i="5"/>
  <c r="BB38" i="5"/>
  <c r="AY38" i="5"/>
  <c r="X38" i="5"/>
  <c r="S38" i="5"/>
  <c r="AS38" i="5"/>
  <c r="P38" i="5"/>
  <c r="AV38" i="5"/>
  <c r="L38" i="5"/>
  <c r="AQ38" i="5"/>
  <c r="AO38" i="5"/>
  <c r="AC38" i="5"/>
  <c r="BF38" i="5"/>
  <c r="BE38" i="5"/>
  <c r="AN38" i="5"/>
  <c r="BD38" i="5"/>
  <c r="B38" i="5"/>
  <c r="J38" i="5"/>
  <c r="BB55" i="2"/>
  <c r="AV55" i="2"/>
  <c r="BF55" i="2"/>
  <c r="AR55" i="2"/>
  <c r="AC55" i="2"/>
  <c r="Z55" i="2"/>
  <c r="Q55" i="2"/>
  <c r="X55" i="2"/>
  <c r="AZ55" i="2"/>
  <c r="AL55" i="2"/>
  <c r="AU55" i="2"/>
  <c r="AP55" i="2"/>
  <c r="C55" i="2"/>
  <c r="W55" i="2"/>
  <c r="E55" i="2"/>
  <c r="Y55" i="2"/>
  <c r="BD55" i="2"/>
  <c r="AT55" i="2"/>
  <c r="AY55" i="2"/>
  <c r="AD55" i="2"/>
  <c r="S55" i="2"/>
  <c r="AI55" i="2"/>
  <c r="R55" i="2"/>
  <c r="BA55" i="2"/>
  <c r="P55" i="2"/>
  <c r="V55" i="2"/>
  <c r="AN55" i="2"/>
  <c r="AH55" i="2"/>
  <c r="H55" i="2"/>
  <c r="AJ55" i="2"/>
  <c r="AA55" i="2"/>
  <c r="AB55" i="2"/>
  <c r="N55" i="2"/>
  <c r="AW55" i="2"/>
  <c r="T55" i="2"/>
  <c r="AK55" i="2"/>
  <c r="AS55" i="2"/>
  <c r="L55" i="2"/>
  <c r="AF55" i="2"/>
  <c r="AQ55" i="2"/>
  <c r="BC55" i="2"/>
  <c r="K55" i="2"/>
  <c r="AG55" i="2"/>
  <c r="BE55" i="2"/>
  <c r="AX55" i="2"/>
  <c r="D55" i="2"/>
  <c r="AE55" i="2"/>
  <c r="M55" i="2"/>
  <c r="AO55" i="2"/>
  <c r="AM55" i="2"/>
  <c r="J55" i="2"/>
  <c r="U55" i="2"/>
  <c r="B55" i="2"/>
  <c r="O55" i="2"/>
  <c r="K56" i="1"/>
  <c r="BC56" i="1"/>
  <c r="AB56" i="1"/>
  <c r="AH56" i="1"/>
  <c r="AK56" i="1"/>
  <c r="D56" i="1"/>
  <c r="AQ56" i="1"/>
  <c r="AO56" i="1"/>
  <c r="E56" i="1"/>
  <c r="BA56" i="1"/>
  <c r="AS56" i="1"/>
  <c r="AD56" i="1"/>
  <c r="AE56" i="1"/>
  <c r="Z56" i="1"/>
  <c r="J56" i="1"/>
  <c r="AJ56" i="1"/>
  <c r="BF56" i="1"/>
  <c r="BE56" i="1"/>
  <c r="AA56" i="1"/>
  <c r="AW56" i="1"/>
  <c r="U56" i="1"/>
  <c r="W56" i="1"/>
  <c r="L56" i="1"/>
  <c r="T56" i="1"/>
  <c r="AN56" i="1"/>
  <c r="BB56" i="1"/>
  <c r="AL56" i="1"/>
  <c r="O56" i="1"/>
  <c r="Q56" i="1"/>
  <c r="N56" i="1"/>
  <c r="AV56" i="1"/>
  <c r="AP56" i="1"/>
  <c r="H56" i="1"/>
  <c r="AM56" i="1"/>
  <c r="S56" i="1"/>
  <c r="Y56" i="1"/>
  <c r="R56" i="1"/>
  <c r="AF56" i="1"/>
  <c r="AG56" i="1"/>
  <c r="M56" i="1"/>
  <c r="BD56" i="1"/>
  <c r="V56" i="1"/>
  <c r="AX56" i="1"/>
  <c r="C56" i="1"/>
  <c r="AI56" i="1"/>
  <c r="AZ56" i="1"/>
  <c r="AU56" i="1"/>
  <c r="AR56" i="1"/>
  <c r="AY56" i="1"/>
  <c r="AT56" i="1"/>
  <c r="AC56" i="1"/>
  <c r="X56" i="1"/>
  <c r="B56" i="1"/>
  <c r="P56" i="1"/>
  <c r="AA44" i="1"/>
  <c r="AZ44" i="1"/>
  <c r="S44" i="1"/>
  <c r="AB44" i="1"/>
  <c r="M44" i="1"/>
  <c r="AT44" i="1"/>
  <c r="AD44" i="1"/>
  <c r="AX44" i="1"/>
  <c r="AR44" i="1"/>
  <c r="K44" i="1"/>
  <c r="J44" i="1"/>
  <c r="AU44" i="1"/>
  <c r="BB44" i="1"/>
  <c r="W44" i="1"/>
  <c r="L44" i="1"/>
  <c r="AQ44" i="1"/>
  <c r="AL44" i="1"/>
  <c r="AH44" i="1"/>
  <c r="BC44" i="1"/>
  <c r="O44" i="1"/>
  <c r="AF44" i="1"/>
  <c r="BA44" i="1"/>
  <c r="AC44" i="1"/>
  <c r="E44" i="1"/>
  <c r="AO44" i="1"/>
  <c r="R44" i="1"/>
  <c r="AN44" i="1"/>
  <c r="AY44" i="1"/>
  <c r="AV44" i="1"/>
  <c r="AE44" i="1"/>
  <c r="U44" i="1"/>
  <c r="BD44" i="1"/>
  <c r="BF44" i="1"/>
  <c r="V44" i="1"/>
  <c r="AG44" i="1"/>
  <c r="AP44" i="1"/>
  <c r="P44" i="1"/>
  <c r="AK44" i="1"/>
  <c r="X44" i="1"/>
  <c r="Y44" i="1"/>
  <c r="T44" i="1"/>
  <c r="Z44" i="1"/>
  <c r="C44" i="1"/>
  <c r="BE44" i="1"/>
  <c r="AI44" i="1"/>
  <c r="AJ44" i="1"/>
  <c r="N44" i="1"/>
  <c r="Q44" i="1"/>
  <c r="AW44" i="1"/>
  <c r="D44" i="1"/>
  <c r="AS44" i="1"/>
  <c r="AM44" i="1"/>
  <c r="B44" i="1"/>
  <c r="H44" i="1"/>
  <c r="R57" i="4"/>
  <c r="BE57" i="4"/>
  <c r="AR57" i="4"/>
  <c r="AL57" i="4"/>
  <c r="BB57" i="4"/>
  <c r="AB57" i="4"/>
  <c r="X57" i="4"/>
  <c r="AC57" i="4"/>
  <c r="BA57" i="4"/>
  <c r="BF57" i="4"/>
  <c r="AO57" i="4"/>
  <c r="N57" i="4"/>
  <c r="AU57" i="4"/>
  <c r="V57" i="4"/>
  <c r="AA57" i="4"/>
  <c r="AX57" i="4"/>
  <c r="BC57" i="4"/>
  <c r="BD57" i="4"/>
  <c r="AM57" i="4"/>
  <c r="AT57" i="4"/>
  <c r="AH57" i="4"/>
  <c r="W57" i="4"/>
  <c r="AI57" i="4"/>
  <c r="AN57" i="4"/>
  <c r="Q57" i="4"/>
  <c r="T57" i="4"/>
  <c r="AD57" i="4"/>
  <c r="O57" i="4"/>
  <c r="S57" i="4"/>
  <c r="AJ57" i="4"/>
  <c r="E57" i="4"/>
  <c r="Z57" i="4"/>
  <c r="P57" i="4"/>
  <c r="Y57" i="4"/>
  <c r="AY57" i="4"/>
  <c r="C57" i="4"/>
  <c r="AQ57" i="4"/>
  <c r="J57" i="4"/>
  <c r="AG57" i="4"/>
  <c r="AK57" i="4"/>
  <c r="L57" i="4"/>
  <c r="H57" i="4"/>
  <c r="U57" i="4"/>
  <c r="AW57" i="4"/>
  <c r="K57" i="4"/>
  <c r="AP57" i="4"/>
  <c r="AV57" i="4"/>
  <c r="D57" i="4"/>
  <c r="AS57" i="4"/>
  <c r="M57" i="4"/>
  <c r="AE57" i="4"/>
  <c r="AF57" i="4"/>
  <c r="B57" i="4"/>
  <c r="AZ57" i="4"/>
  <c r="AV6" i="1"/>
  <c r="AY6" i="1"/>
  <c r="AF6" i="1"/>
  <c r="AU6" i="1"/>
  <c r="AE6" i="1"/>
  <c r="AN6" i="1"/>
  <c r="V6" i="1"/>
  <c r="AX6" i="1"/>
  <c r="AO6" i="1"/>
  <c r="X6" i="1"/>
  <c r="BC6" i="1"/>
  <c r="Y6" i="1"/>
  <c r="AG6" i="1"/>
  <c r="C6" i="1"/>
  <c r="AH6" i="1"/>
  <c r="AP6" i="1"/>
  <c r="AA6" i="1"/>
  <c r="AD6" i="1"/>
  <c r="BF6" i="1"/>
  <c r="AJ6" i="1"/>
  <c r="P6" i="1"/>
  <c r="AW6" i="1"/>
  <c r="AZ6" i="1"/>
  <c r="Z6" i="1"/>
  <c r="S6" i="1"/>
  <c r="AQ6" i="1"/>
  <c r="AL6" i="1"/>
  <c r="AR6" i="1"/>
  <c r="R6" i="1"/>
  <c r="T6" i="1"/>
  <c r="AT6" i="1"/>
  <c r="D6" i="1"/>
  <c r="BE6" i="1"/>
  <c r="H6" i="1"/>
  <c r="U6" i="1"/>
  <c r="K6" i="1"/>
  <c r="L6" i="1"/>
  <c r="AC6" i="1"/>
  <c r="AS6" i="1"/>
  <c r="BB6" i="1"/>
  <c r="N6" i="1"/>
  <c r="AB6" i="1"/>
  <c r="M6" i="1"/>
  <c r="BD6" i="1"/>
  <c r="O6" i="1"/>
  <c r="W6" i="1"/>
  <c r="J6" i="1"/>
  <c r="BA6" i="1"/>
  <c r="E6" i="1"/>
  <c r="Q6" i="1"/>
  <c r="AI6" i="1"/>
  <c r="AK6" i="1"/>
  <c r="B6" i="1"/>
  <c r="AM6" i="1"/>
  <c r="P37" i="4"/>
  <c r="H37" i="4"/>
  <c r="AV37" i="4"/>
  <c r="O37" i="4"/>
  <c r="AX37" i="4"/>
  <c r="M37" i="4"/>
  <c r="K37" i="4"/>
  <c r="Q37" i="4"/>
  <c r="E37" i="4"/>
  <c r="AB37" i="4"/>
  <c r="AI37" i="4"/>
  <c r="AJ37" i="4"/>
  <c r="AL37" i="4"/>
  <c r="AH37" i="4"/>
  <c r="BC37" i="4"/>
  <c r="AS37" i="4"/>
  <c r="BF37" i="4"/>
  <c r="BD37" i="4"/>
  <c r="J37" i="4"/>
  <c r="Z37" i="4"/>
  <c r="AN37" i="4"/>
  <c r="S37" i="4"/>
  <c r="BE37" i="4"/>
  <c r="AE37" i="4"/>
  <c r="AW37" i="4"/>
  <c r="D37" i="4"/>
  <c r="U37" i="4"/>
  <c r="AD37" i="4"/>
  <c r="AY37" i="4"/>
  <c r="W37" i="4"/>
  <c r="V37" i="4"/>
  <c r="AZ37" i="4"/>
  <c r="AF37" i="4"/>
  <c r="BB37" i="4"/>
  <c r="X37" i="4"/>
  <c r="AU37" i="4"/>
  <c r="Y37" i="4"/>
  <c r="AM37" i="4"/>
  <c r="AA37" i="4"/>
  <c r="AT37" i="4"/>
  <c r="L37" i="4"/>
  <c r="R37" i="4"/>
  <c r="AO37" i="4"/>
  <c r="AG37" i="4"/>
  <c r="N37" i="4"/>
  <c r="T37" i="4"/>
  <c r="AR37" i="4"/>
  <c r="C37" i="4"/>
  <c r="AC37" i="4"/>
  <c r="AK37" i="4"/>
  <c r="AP37" i="4"/>
  <c r="BA37" i="4"/>
  <c r="B37" i="4"/>
  <c r="AQ37" i="4"/>
  <c r="B47" i="6"/>
  <c r="I47" i="6"/>
  <c r="G47" i="6"/>
  <c r="F47" i="6"/>
  <c r="B13" i="4"/>
  <c r="I13" i="4"/>
  <c r="G13" i="4"/>
  <c r="F13" i="4"/>
  <c r="AS57" i="5"/>
  <c r="AA57" i="5"/>
  <c r="E57" i="5"/>
  <c r="Z57" i="5"/>
  <c r="W57" i="5"/>
  <c r="AG57" i="5"/>
  <c r="AP57" i="5"/>
  <c r="T57" i="5"/>
  <c r="BB57" i="5"/>
  <c r="AW57" i="5"/>
  <c r="S57" i="5"/>
  <c r="M57" i="5"/>
  <c r="BA57" i="5"/>
  <c r="AI57" i="5"/>
  <c r="P57" i="5"/>
  <c r="Q57" i="5"/>
  <c r="AN57" i="5"/>
  <c r="Y57" i="5"/>
  <c r="H57" i="5"/>
  <c r="C57" i="5"/>
  <c r="AL57" i="5"/>
  <c r="R57" i="5"/>
  <c r="AF57" i="5"/>
  <c r="X57" i="5"/>
  <c r="J57" i="5"/>
  <c r="AD57" i="5"/>
  <c r="AV57" i="5"/>
  <c r="AQ57" i="5"/>
  <c r="K57" i="5"/>
  <c r="AR57" i="5"/>
  <c r="AJ57" i="5"/>
  <c r="V57" i="5"/>
  <c r="BF57" i="5"/>
  <c r="AK57" i="5"/>
  <c r="N57" i="5"/>
  <c r="BD57" i="5"/>
  <c r="AB57" i="5"/>
  <c r="AM57" i="5"/>
  <c r="AH57" i="5"/>
  <c r="AY57" i="5"/>
  <c r="AX57" i="5"/>
  <c r="U57" i="5"/>
  <c r="L57" i="5"/>
  <c r="AT57" i="5"/>
  <c r="BC57" i="5"/>
  <c r="O57" i="5"/>
  <c r="AC57" i="5"/>
  <c r="AU57" i="5"/>
  <c r="AZ57" i="5"/>
  <c r="D57" i="5"/>
  <c r="AE57" i="5"/>
  <c r="BE57" i="5"/>
  <c r="B57" i="5"/>
  <c r="AO57" i="5"/>
  <c r="AQ20" i="6"/>
  <c r="V20" i="6"/>
  <c r="AF20" i="6"/>
  <c r="AR20" i="6"/>
  <c r="T20" i="6"/>
  <c r="AW20" i="6"/>
  <c r="BD20" i="6"/>
  <c r="AV20" i="6"/>
  <c r="AJ20" i="6"/>
  <c r="AP20" i="6"/>
  <c r="L20" i="6"/>
  <c r="E20" i="6"/>
  <c r="AX20" i="6"/>
  <c r="Y20" i="6"/>
  <c r="BE20" i="6"/>
  <c r="AA20" i="6"/>
  <c r="AZ20" i="6"/>
  <c r="W20" i="6"/>
  <c r="C20" i="6"/>
  <c r="AE20" i="6"/>
  <c r="M20" i="6"/>
  <c r="BB20" i="6"/>
  <c r="BF20" i="6"/>
  <c r="AC20" i="6"/>
  <c r="D20" i="6"/>
  <c r="Q20" i="6"/>
  <c r="AS20" i="6"/>
  <c r="P20" i="6"/>
  <c r="BA20" i="6"/>
  <c r="J20" i="6"/>
  <c r="O20" i="6"/>
  <c r="BC20" i="6"/>
  <c r="AT20" i="6"/>
  <c r="AU20" i="6"/>
  <c r="AK20" i="6"/>
  <c r="Z20" i="6"/>
  <c r="AI20" i="6"/>
  <c r="AG20" i="6"/>
  <c r="N20" i="6"/>
  <c r="AL20" i="6"/>
  <c r="AB20" i="6"/>
  <c r="AN20" i="6"/>
  <c r="R20" i="6"/>
  <c r="AH20" i="6"/>
  <c r="AD20" i="6"/>
  <c r="X20" i="6"/>
  <c r="H20" i="6"/>
  <c r="U20" i="6"/>
  <c r="AY20" i="6"/>
  <c r="AO20" i="6"/>
  <c r="AM20" i="6"/>
  <c r="S20" i="6"/>
  <c r="B20" i="6"/>
  <c r="K20" i="6"/>
  <c r="AA47" i="4"/>
  <c r="AY47" i="4"/>
  <c r="P47" i="4"/>
  <c r="BD47" i="4"/>
  <c r="BB47" i="4"/>
  <c r="BA47" i="4"/>
  <c r="V47" i="4"/>
  <c r="AJ47" i="4"/>
  <c r="AK47" i="4"/>
  <c r="AT47" i="4"/>
  <c r="AV47" i="4"/>
  <c r="AN47" i="4"/>
  <c r="Y47" i="4"/>
  <c r="BF47" i="4"/>
  <c r="AW47" i="4"/>
  <c r="S47" i="4"/>
  <c r="AR47" i="4"/>
  <c r="AL47" i="4"/>
  <c r="AE47" i="4"/>
  <c r="H47" i="4"/>
  <c r="AP47" i="4"/>
  <c r="W47" i="4"/>
  <c r="AO47" i="4"/>
  <c r="K47" i="4"/>
  <c r="Q47" i="4"/>
  <c r="AS47" i="4"/>
  <c r="X47" i="4"/>
  <c r="AD47" i="4"/>
  <c r="J47" i="4"/>
  <c r="AF47" i="4"/>
  <c r="M47" i="4"/>
  <c r="AU47" i="4"/>
  <c r="E47" i="4"/>
  <c r="AX47" i="4"/>
  <c r="U47" i="4"/>
  <c r="AQ47" i="4"/>
  <c r="R47" i="4"/>
  <c r="N47" i="4"/>
  <c r="O47" i="4"/>
  <c r="AG47" i="4"/>
  <c r="AM47" i="4"/>
  <c r="AC47" i="4"/>
  <c r="C47" i="4"/>
  <c r="D47" i="4"/>
  <c r="L47" i="4"/>
  <c r="BE47" i="4"/>
  <c r="BC47" i="4"/>
  <c r="T47" i="4"/>
  <c r="AB47" i="4"/>
  <c r="Z47" i="4"/>
  <c r="AH47" i="4"/>
  <c r="AZ47" i="4"/>
  <c r="B47" i="4"/>
  <c r="AI47" i="4"/>
  <c r="D11" i="3"/>
  <c r="X11" i="3"/>
  <c r="AP11" i="3"/>
  <c r="AH11" i="3"/>
  <c r="BF11" i="3"/>
  <c r="AW11" i="3"/>
  <c r="BD11" i="3"/>
  <c r="K11" i="3"/>
  <c r="AJ11" i="3"/>
  <c r="Z11" i="3"/>
  <c r="N11" i="3"/>
  <c r="S11" i="3"/>
  <c r="Y11" i="3"/>
  <c r="BC11" i="3"/>
  <c r="BA11" i="3"/>
  <c r="AE11" i="3"/>
  <c r="AC11" i="3"/>
  <c r="U11" i="3"/>
  <c r="P11" i="3"/>
  <c r="E11" i="3"/>
  <c r="AI11" i="3"/>
  <c r="BE11" i="3"/>
  <c r="J11" i="3"/>
  <c r="AD11" i="3"/>
  <c r="M11" i="3"/>
  <c r="AZ11" i="3"/>
  <c r="AF11" i="3"/>
  <c r="AS11" i="3"/>
  <c r="AL11" i="3"/>
  <c r="O11" i="3"/>
  <c r="BB11" i="3"/>
  <c r="AG11" i="3"/>
  <c r="AR11" i="3"/>
  <c r="H11" i="3"/>
  <c r="Q11" i="3"/>
  <c r="R11" i="3"/>
  <c r="AQ11" i="3"/>
  <c r="AO11" i="3"/>
  <c r="C11" i="3"/>
  <c r="AA11" i="3"/>
  <c r="AX11" i="3"/>
  <c r="T11" i="3"/>
  <c r="AY11" i="3"/>
  <c r="AU11" i="3"/>
  <c r="AN11" i="3"/>
  <c r="W11" i="3"/>
  <c r="AT11" i="3"/>
  <c r="AM11" i="3"/>
  <c r="V11" i="3"/>
  <c r="AB11" i="3"/>
  <c r="L11" i="3"/>
  <c r="AK11" i="3"/>
  <c r="AV11" i="3"/>
  <c r="L6" i="3"/>
  <c r="BF6" i="3"/>
  <c r="AY6" i="3"/>
  <c r="AO6" i="3"/>
  <c r="M6" i="3"/>
  <c r="BA6" i="3"/>
  <c r="AF6" i="3"/>
  <c r="AE6" i="3"/>
  <c r="AV6" i="3"/>
  <c r="BC6" i="3"/>
  <c r="K6" i="3"/>
  <c r="AG6" i="3"/>
  <c r="AU6" i="3"/>
  <c r="X6" i="3"/>
  <c r="Z6" i="3"/>
  <c r="AL6" i="3"/>
  <c r="AR6" i="3"/>
  <c r="AA6" i="3"/>
  <c r="U6" i="3"/>
  <c r="AN6" i="3"/>
  <c r="S6" i="3"/>
  <c r="AP6" i="3"/>
  <c r="Y6" i="3"/>
  <c r="C6" i="3"/>
  <c r="D6" i="3"/>
  <c r="BD6" i="3"/>
  <c r="AC6" i="3"/>
  <c r="AH6" i="3"/>
  <c r="AT6" i="3"/>
  <c r="E6" i="3"/>
  <c r="O6" i="3"/>
  <c r="AB6" i="3"/>
  <c r="W6" i="3"/>
  <c r="AZ6" i="3"/>
  <c r="J6" i="3"/>
  <c r="AK6" i="3"/>
  <c r="AI6" i="3"/>
  <c r="T6" i="3"/>
  <c r="V6" i="3"/>
  <c r="BB6" i="3"/>
  <c r="H6" i="3"/>
  <c r="AD6" i="3"/>
  <c r="R6" i="3"/>
  <c r="AJ6" i="3"/>
  <c r="Q6" i="3"/>
  <c r="AM6" i="3"/>
  <c r="AS6" i="3"/>
  <c r="AX6" i="3"/>
  <c r="AQ6" i="3"/>
  <c r="BE6" i="3"/>
  <c r="AW6" i="3"/>
  <c r="N6" i="3"/>
  <c r="B6" i="3"/>
  <c r="P6" i="3"/>
  <c r="F11" i="3"/>
  <c r="B11" i="3"/>
  <c r="I11" i="3"/>
  <c r="G11" i="3"/>
  <c r="F24" i="3"/>
  <c r="G24" i="3"/>
  <c r="I24" i="3"/>
  <c r="F43" i="6"/>
  <c r="G43" i="6"/>
  <c r="I43" i="6"/>
  <c r="H18" i="1"/>
  <c r="V18" i="1"/>
  <c r="AL18" i="1"/>
  <c r="BE18" i="1"/>
  <c r="AU18" i="1"/>
  <c r="T18" i="1"/>
  <c r="BA18" i="1"/>
  <c r="AZ18" i="1"/>
  <c r="AS18" i="1"/>
  <c r="N18" i="1"/>
  <c r="P18" i="1"/>
  <c r="L18" i="1"/>
  <c r="AD18" i="1"/>
  <c r="AC18" i="1"/>
  <c r="AA18" i="1"/>
  <c r="AN18" i="1"/>
  <c r="K18" i="1"/>
  <c r="AY18" i="1"/>
  <c r="X18" i="1"/>
  <c r="AG18" i="1"/>
  <c r="AR18" i="1"/>
  <c r="AE18" i="1"/>
  <c r="M18" i="1"/>
  <c r="Z18" i="1"/>
  <c r="AT18" i="1"/>
  <c r="O18" i="1"/>
  <c r="BD18" i="1"/>
  <c r="AI18" i="1"/>
  <c r="C18" i="1"/>
  <c r="AH18" i="1"/>
  <c r="AX18" i="1"/>
  <c r="AJ18" i="1"/>
  <c r="J18" i="1"/>
  <c r="U18" i="1"/>
  <c r="BB18" i="1"/>
  <c r="AP18" i="1"/>
  <c r="S18" i="1"/>
  <c r="AK18" i="1"/>
  <c r="AO18" i="1"/>
  <c r="BC18" i="1"/>
  <c r="D18" i="1"/>
  <c r="AB18" i="1"/>
  <c r="R18" i="1"/>
  <c r="AF18" i="1"/>
  <c r="AQ18" i="1"/>
  <c r="AM18" i="1"/>
  <c r="BF18" i="1"/>
  <c r="E18" i="1"/>
  <c r="AV18" i="1"/>
  <c r="Q18" i="1"/>
  <c r="W18" i="1"/>
  <c r="Y18" i="1"/>
  <c r="AW18" i="1"/>
  <c r="D35" i="3"/>
  <c r="J35" i="3"/>
  <c r="AJ35" i="3"/>
  <c r="AE35" i="3"/>
  <c r="U35" i="3"/>
  <c r="AQ35" i="3"/>
  <c r="AL35" i="3"/>
  <c r="AV35" i="3"/>
  <c r="K35" i="3"/>
  <c r="AK35" i="3"/>
  <c r="Q35" i="3"/>
  <c r="BC35" i="3"/>
  <c r="AA35" i="3"/>
  <c r="AF35" i="3"/>
  <c r="M35" i="3"/>
  <c r="T35" i="3"/>
  <c r="BE35" i="3"/>
  <c r="AX35" i="3"/>
  <c r="AZ35" i="3"/>
  <c r="AP35" i="3"/>
  <c r="H35" i="3"/>
  <c r="E35" i="3"/>
  <c r="BA35" i="3"/>
  <c r="AH35" i="3"/>
  <c r="L35" i="3"/>
  <c r="Y35" i="3"/>
  <c r="P35" i="3"/>
  <c r="W35" i="3"/>
  <c r="AU35" i="3"/>
  <c r="AS35" i="3"/>
  <c r="C35" i="3"/>
  <c r="R35" i="3"/>
  <c r="S35" i="3"/>
  <c r="AM35" i="3"/>
  <c r="AY35" i="3"/>
  <c r="AR35" i="3"/>
  <c r="AI35" i="3"/>
  <c r="AT35" i="3"/>
  <c r="N35" i="3"/>
  <c r="AO35" i="3"/>
  <c r="AD35" i="3"/>
  <c r="AB35" i="3"/>
  <c r="BB35" i="3"/>
  <c r="V35" i="3"/>
  <c r="O35" i="3"/>
  <c r="AG35" i="3"/>
  <c r="X35" i="3"/>
  <c r="BF35" i="3"/>
  <c r="BD35" i="3"/>
  <c r="Z35" i="3"/>
  <c r="AN35" i="3"/>
  <c r="AW35" i="3"/>
  <c r="AC35" i="3"/>
  <c r="AH41" i="3"/>
  <c r="AA41" i="3"/>
  <c r="AI41" i="3"/>
  <c r="N41" i="3"/>
  <c r="K41" i="3"/>
  <c r="AC41" i="3"/>
  <c r="H41" i="3"/>
  <c r="BC41" i="3"/>
  <c r="O41" i="3"/>
  <c r="T41" i="3"/>
  <c r="Y41" i="3"/>
  <c r="AU41" i="3"/>
  <c r="BA41" i="3"/>
  <c r="W41" i="3"/>
  <c r="L41" i="3"/>
  <c r="U41" i="3"/>
  <c r="R41" i="3"/>
  <c r="BE41" i="3"/>
  <c r="V41" i="3"/>
  <c r="BB41" i="3"/>
  <c r="AR41" i="3"/>
  <c r="AX41" i="3"/>
  <c r="BF41" i="3"/>
  <c r="AY41" i="3"/>
  <c r="Z41" i="3"/>
  <c r="AE41" i="3"/>
  <c r="D41" i="3"/>
  <c r="AM41" i="3"/>
  <c r="J41" i="3"/>
  <c r="AB41" i="3"/>
  <c r="AG41" i="3"/>
  <c r="AN41" i="3"/>
  <c r="M41" i="3"/>
  <c r="AQ41" i="3"/>
  <c r="C41" i="3"/>
  <c r="AT41" i="3"/>
  <c r="AD41" i="3"/>
  <c r="X41" i="3"/>
  <c r="AO41" i="3"/>
  <c r="AK41" i="3"/>
  <c r="E41" i="3"/>
  <c r="AS41" i="3"/>
  <c r="S41" i="3"/>
  <c r="AZ41" i="3"/>
  <c r="AV41" i="3"/>
  <c r="AL41" i="3"/>
  <c r="Q41" i="3"/>
  <c r="P41" i="3"/>
  <c r="AF41" i="3"/>
  <c r="AW41" i="3"/>
  <c r="AJ41" i="3"/>
  <c r="AP41" i="3"/>
  <c r="B41" i="3"/>
  <c r="BD41" i="3"/>
  <c r="I32" i="1"/>
  <c r="G32" i="1"/>
  <c r="F32" i="1"/>
  <c r="D15" i="5"/>
  <c r="BC15" i="5"/>
  <c r="K15" i="5"/>
  <c r="AG15" i="5"/>
  <c r="AN15" i="5"/>
  <c r="BD15" i="5"/>
  <c r="U15" i="5"/>
  <c r="O15" i="5"/>
  <c r="BB15" i="5"/>
  <c r="R15" i="5"/>
  <c r="P15" i="5"/>
  <c r="AZ15" i="5"/>
  <c r="BA15" i="5"/>
  <c r="AL15" i="5"/>
  <c r="AS15" i="5"/>
  <c r="AY15" i="5"/>
  <c r="AF15" i="5"/>
  <c r="Q15" i="5"/>
  <c r="C15" i="5"/>
  <c r="AO15" i="5"/>
  <c r="W15" i="5"/>
  <c r="AX15" i="5"/>
  <c r="AC15" i="5"/>
  <c r="AH15" i="5"/>
  <c r="T15" i="5"/>
  <c r="AK15" i="5"/>
  <c r="J15" i="5"/>
  <c r="AP15" i="5"/>
  <c r="AA15" i="5"/>
  <c r="AR15" i="5"/>
  <c r="AM15" i="5"/>
  <c r="AQ15" i="5"/>
  <c r="BF15" i="5"/>
  <c r="AJ15" i="5"/>
  <c r="AE15" i="5"/>
  <c r="AT15" i="5"/>
  <c r="M15" i="5"/>
  <c r="Z15" i="5"/>
  <c r="N15" i="5"/>
  <c r="AW15" i="5"/>
  <c r="AB15" i="5"/>
  <c r="BE15" i="5"/>
  <c r="H15" i="5"/>
  <c r="Y15" i="5"/>
  <c r="AD15" i="5"/>
  <c r="V15" i="5"/>
  <c r="L15" i="5"/>
  <c r="X15" i="5"/>
  <c r="E15" i="5"/>
  <c r="AV15" i="5"/>
  <c r="AI15" i="5"/>
  <c r="S15" i="5"/>
  <c r="B15" i="5"/>
  <c r="AU15" i="5"/>
  <c r="F51" i="3"/>
  <c r="G51" i="3"/>
  <c r="I51" i="3"/>
  <c r="BA52" i="5"/>
  <c r="AM52" i="5"/>
  <c r="AV52" i="5"/>
  <c r="AG52" i="5"/>
  <c r="S52" i="5"/>
  <c r="AJ52" i="5"/>
  <c r="Q52" i="5"/>
  <c r="L52" i="5"/>
  <c r="J52" i="5"/>
  <c r="AQ52" i="5"/>
  <c r="AH52" i="5"/>
  <c r="X52" i="5"/>
  <c r="M52" i="5"/>
  <c r="AO52" i="5"/>
  <c r="AR52" i="5"/>
  <c r="Y52" i="5"/>
  <c r="AB52" i="5"/>
  <c r="AX52" i="5"/>
  <c r="R52" i="5"/>
  <c r="H52" i="5"/>
  <c r="BE52" i="5"/>
  <c r="N52" i="5"/>
  <c r="AN52" i="5"/>
  <c r="V52" i="5"/>
  <c r="AD52" i="5"/>
  <c r="W52" i="5"/>
  <c r="AT52" i="5"/>
  <c r="AF52" i="5"/>
  <c r="O52" i="5"/>
  <c r="AE52" i="5"/>
  <c r="U52" i="5"/>
  <c r="AZ52" i="5"/>
  <c r="AI52" i="5"/>
  <c r="AY52" i="5"/>
  <c r="AS52" i="5"/>
  <c r="BD52" i="5"/>
  <c r="AP52" i="5"/>
  <c r="K52" i="5"/>
  <c r="C52" i="5"/>
  <c r="AL52" i="5"/>
  <c r="P52" i="5"/>
  <c r="AC52" i="5"/>
  <c r="AU52" i="5"/>
  <c r="BC52" i="5"/>
  <c r="AK52" i="5"/>
  <c r="BB52" i="5"/>
  <c r="AW52" i="5"/>
  <c r="T52" i="5"/>
  <c r="BF52" i="5"/>
  <c r="Z52" i="5"/>
  <c r="D52" i="5"/>
  <c r="E52" i="5"/>
  <c r="AA52" i="5"/>
  <c r="I16" i="5"/>
  <c r="G16" i="5"/>
  <c r="F16" i="5"/>
  <c r="F27" i="2"/>
  <c r="G27" i="2"/>
  <c r="I27" i="2"/>
  <c r="I23" i="1"/>
  <c r="G23" i="1"/>
  <c r="F23" i="1"/>
  <c r="I46" i="2"/>
  <c r="G46" i="2"/>
  <c r="F46" i="2"/>
  <c r="S16" i="5"/>
  <c r="AM16" i="5"/>
  <c r="E16" i="5"/>
  <c r="BD16" i="5"/>
  <c r="BB16" i="5"/>
  <c r="AW16" i="5"/>
  <c r="M16" i="5"/>
  <c r="C16" i="5"/>
  <c r="D16" i="5"/>
  <c r="BA16" i="5"/>
  <c r="AT16" i="5"/>
  <c r="AL16" i="5"/>
  <c r="AC16" i="5"/>
  <c r="AO16" i="5"/>
  <c r="P16" i="5"/>
  <c r="AI16" i="5"/>
  <c r="AQ16" i="5"/>
  <c r="AY16" i="5"/>
  <c r="AA16" i="5"/>
  <c r="AZ16" i="5"/>
  <c r="AV16" i="5"/>
  <c r="BE16" i="5"/>
  <c r="AK16" i="5"/>
  <c r="AN16" i="5"/>
  <c r="AE16" i="5"/>
  <c r="K16" i="5"/>
  <c r="Q16" i="5"/>
  <c r="R16" i="5"/>
  <c r="H16" i="5"/>
  <c r="N16" i="5"/>
  <c r="W16" i="5"/>
  <c r="AG16" i="5"/>
  <c r="J16" i="5"/>
  <c r="AD16" i="5"/>
  <c r="U16" i="5"/>
  <c r="AU16" i="5"/>
  <c r="Y16" i="5"/>
  <c r="AB16" i="5"/>
  <c r="AX16" i="5"/>
  <c r="AP16" i="5"/>
  <c r="AJ16" i="5"/>
  <c r="Z16" i="5"/>
  <c r="BF16" i="5"/>
  <c r="X16" i="5"/>
  <c r="AR16" i="5"/>
  <c r="BC16" i="5"/>
  <c r="L16" i="5"/>
  <c r="O16" i="5"/>
  <c r="AS16" i="5"/>
  <c r="AF16" i="5"/>
  <c r="T16" i="5"/>
  <c r="V16" i="5"/>
  <c r="B16" i="5"/>
  <c r="AH16" i="5"/>
  <c r="AS30" i="4"/>
  <c r="C30" i="4"/>
  <c r="T30" i="4"/>
  <c r="BF30" i="4"/>
  <c r="BA30" i="4"/>
  <c r="AO30" i="4"/>
  <c r="U30" i="4"/>
  <c r="AT30" i="4"/>
  <c r="BB30" i="4"/>
  <c r="BD30" i="4"/>
  <c r="J30" i="4"/>
  <c r="AB30" i="4"/>
  <c r="AM30" i="4"/>
  <c r="X30" i="4"/>
  <c r="AD30" i="4"/>
  <c r="K30" i="4"/>
  <c r="AU30" i="4"/>
  <c r="AL30" i="4"/>
  <c r="AV30" i="4"/>
  <c r="Y30" i="4"/>
  <c r="AF30" i="4"/>
  <c r="AE30" i="4"/>
  <c r="P30" i="4"/>
  <c r="AW30" i="4"/>
  <c r="S30" i="4"/>
  <c r="AX30" i="4"/>
  <c r="V30" i="4"/>
  <c r="L30" i="4"/>
  <c r="AJ30" i="4"/>
  <c r="AY30" i="4"/>
  <c r="AQ30" i="4"/>
  <c r="AI30" i="4"/>
  <c r="AP30" i="4"/>
  <c r="AH30" i="4"/>
  <c r="Q30" i="4"/>
  <c r="D30" i="4"/>
  <c r="O30" i="4"/>
  <c r="AC30" i="4"/>
  <c r="Z30" i="4"/>
  <c r="E30" i="4"/>
  <c r="BE30" i="4"/>
  <c r="W30" i="4"/>
  <c r="AA30" i="4"/>
  <c r="R30" i="4"/>
  <c r="N30" i="4"/>
  <c r="BC30" i="4"/>
  <c r="M30" i="4"/>
  <c r="AN30" i="4"/>
  <c r="H30" i="4"/>
  <c r="AK30" i="4"/>
  <c r="AZ30" i="4"/>
  <c r="AR30" i="4"/>
  <c r="AG30" i="4"/>
  <c r="F2" i="6"/>
  <c r="G2" i="6"/>
  <c r="I2" i="6"/>
  <c r="F38" i="2"/>
  <c r="G38" i="2"/>
  <c r="I38" i="2"/>
  <c r="AV22" i="4"/>
  <c r="V22" i="4"/>
  <c r="AX22" i="4"/>
  <c r="AQ22" i="4"/>
  <c r="BD22" i="4"/>
  <c r="BF22" i="4"/>
  <c r="W22" i="4"/>
  <c r="BE22" i="4"/>
  <c r="AI22" i="4"/>
  <c r="AB22" i="4"/>
  <c r="C22" i="4"/>
  <c r="J22" i="4"/>
  <c r="S22" i="4"/>
  <c r="N22" i="4"/>
  <c r="AC22" i="4"/>
  <c r="AP22" i="4"/>
  <c r="AG22" i="4"/>
  <c r="O22" i="4"/>
  <c r="AT22" i="4"/>
  <c r="AA22" i="4"/>
  <c r="AJ22" i="4"/>
  <c r="AD22" i="4"/>
  <c r="T22" i="4"/>
  <c r="AE22" i="4"/>
  <c r="AM22" i="4"/>
  <c r="AL22" i="4"/>
  <c r="D22" i="4"/>
  <c r="K22" i="4"/>
  <c r="AK22" i="4"/>
  <c r="AW22" i="4"/>
  <c r="Z22" i="4"/>
  <c r="BA22" i="4"/>
  <c r="AO22" i="4"/>
  <c r="AR22" i="4"/>
  <c r="BC22" i="4"/>
  <c r="U22" i="4"/>
  <c r="AU22" i="4"/>
  <c r="X22" i="4"/>
  <c r="BB22" i="4"/>
  <c r="AS22" i="4"/>
  <c r="R22" i="4"/>
  <c r="AY22" i="4"/>
  <c r="P22" i="4"/>
  <c r="AN22" i="4"/>
  <c r="AH22" i="4"/>
  <c r="AF22" i="4"/>
  <c r="E22" i="4"/>
  <c r="Y22" i="4"/>
  <c r="AZ22" i="4"/>
  <c r="Q22" i="4"/>
  <c r="L22" i="4"/>
  <c r="M22" i="4"/>
  <c r="H22" i="4"/>
  <c r="F25" i="2"/>
  <c r="G25" i="2"/>
  <c r="I25" i="2"/>
  <c r="I28" i="6"/>
  <c r="G28" i="6"/>
  <c r="F28" i="6"/>
  <c r="F42" i="4"/>
  <c r="G42" i="4"/>
  <c r="I42" i="4"/>
  <c r="AX52" i="1"/>
  <c r="AA52" i="1"/>
  <c r="BA52" i="1"/>
  <c r="AP52" i="1"/>
  <c r="AO52" i="1"/>
  <c r="S52" i="1"/>
  <c r="AK52" i="1"/>
  <c r="U52" i="1"/>
  <c r="L52" i="1"/>
  <c r="AQ52" i="1"/>
  <c r="AG52" i="1"/>
  <c r="E52" i="1"/>
  <c r="W52" i="1"/>
  <c r="AZ52" i="1"/>
  <c r="BD52" i="1"/>
  <c r="J52" i="1"/>
  <c r="V52" i="1"/>
  <c r="AE52" i="1"/>
  <c r="AW52" i="1"/>
  <c r="AB52" i="1"/>
  <c r="Q52" i="1"/>
  <c r="D52" i="1"/>
  <c r="AS52" i="1"/>
  <c r="AY52" i="1"/>
  <c r="AN52" i="1"/>
  <c r="AL52" i="1"/>
  <c r="AF52" i="1"/>
  <c r="P52" i="1"/>
  <c r="C52" i="1"/>
  <c r="Y52" i="1"/>
  <c r="K52" i="1"/>
  <c r="N52" i="1"/>
  <c r="BE52" i="1"/>
  <c r="AU52" i="1"/>
  <c r="AI52" i="1"/>
  <c r="BF52" i="1"/>
  <c r="R52" i="1"/>
  <c r="AT52" i="1"/>
  <c r="AM52" i="1"/>
  <c r="AV52" i="1"/>
  <c r="AH52" i="1"/>
  <c r="AR52" i="1"/>
  <c r="AC52" i="1"/>
  <c r="Z52" i="1"/>
  <c r="AD52" i="1"/>
  <c r="T52" i="1"/>
  <c r="BC52" i="1"/>
  <c r="BB52" i="1"/>
  <c r="M52" i="1"/>
  <c r="X52" i="1"/>
  <c r="O52" i="1"/>
  <c r="H52" i="1"/>
  <c r="B52" i="1"/>
  <c r="AJ52" i="1"/>
  <c r="E50" i="2"/>
  <c r="T50" i="2"/>
  <c r="Z50" i="2"/>
  <c r="AU50" i="2"/>
  <c r="BE50" i="2"/>
  <c r="J50" i="2"/>
  <c r="AM50" i="2"/>
  <c r="AI50" i="2"/>
  <c r="AX50" i="2"/>
  <c r="AL50" i="2"/>
  <c r="AQ50" i="2"/>
  <c r="AJ50" i="2"/>
  <c r="AH50" i="2"/>
  <c r="AB50" i="2"/>
  <c r="W50" i="2"/>
  <c r="AF50" i="2"/>
  <c r="AY50" i="2"/>
  <c r="M50" i="2"/>
  <c r="Q50" i="2"/>
  <c r="S50" i="2"/>
  <c r="U50" i="2"/>
  <c r="AD50" i="2"/>
  <c r="R50" i="2"/>
  <c r="O50" i="2"/>
  <c r="AE50" i="2"/>
  <c r="AC50" i="2"/>
  <c r="AN50" i="2"/>
  <c r="C50" i="2"/>
  <c r="AZ50" i="2"/>
  <c r="BB50" i="2"/>
  <c r="AS50" i="2"/>
  <c r="AP50" i="2"/>
  <c r="H50" i="2"/>
  <c r="Y50" i="2"/>
  <c r="P50" i="2"/>
  <c r="AK50" i="2"/>
  <c r="AG50" i="2"/>
  <c r="AW50" i="2"/>
  <c r="AO50" i="2"/>
  <c r="BA50" i="2"/>
  <c r="V50" i="2"/>
  <c r="L50" i="2"/>
  <c r="BC50" i="2"/>
  <c r="K50" i="2"/>
  <c r="N50" i="2"/>
  <c r="AR50" i="2"/>
  <c r="AV50" i="2"/>
  <c r="X50" i="2"/>
  <c r="AT50" i="2"/>
  <c r="AA50" i="2"/>
  <c r="D50" i="2"/>
  <c r="BF50" i="2"/>
  <c r="BD50" i="2"/>
  <c r="AK9" i="1"/>
  <c r="O9" i="1"/>
  <c r="Z9" i="1"/>
  <c r="BF9" i="1"/>
  <c r="H9" i="1"/>
  <c r="BA9" i="1"/>
  <c r="C9" i="1"/>
  <c r="AV9" i="1"/>
  <c r="BE9" i="1"/>
  <c r="X9" i="1"/>
  <c r="AM9" i="1"/>
  <c r="R9" i="1"/>
  <c r="AB9" i="1"/>
  <c r="BB9" i="1"/>
  <c r="AE9" i="1"/>
  <c r="Y9" i="1"/>
  <c r="Q9" i="1"/>
  <c r="W9" i="1"/>
  <c r="K9" i="1"/>
  <c r="AY9" i="1"/>
  <c r="AX9" i="1"/>
  <c r="M9" i="1"/>
  <c r="U9" i="1"/>
  <c r="S9" i="1"/>
  <c r="AP9" i="1"/>
  <c r="N9" i="1"/>
  <c r="AU9" i="1"/>
  <c r="J9" i="1"/>
  <c r="AA9" i="1"/>
  <c r="P9" i="1"/>
  <c r="AG9" i="1"/>
  <c r="V9" i="1"/>
  <c r="AQ9" i="1"/>
  <c r="T9" i="1"/>
  <c r="AN9" i="1"/>
  <c r="AZ9" i="1"/>
  <c r="AW9" i="1"/>
  <c r="AH9" i="1"/>
  <c r="AO9" i="1"/>
  <c r="AI9" i="1"/>
  <c r="D9" i="1"/>
  <c r="E9" i="1"/>
  <c r="AR9" i="1"/>
  <c r="BC9" i="1"/>
  <c r="AF9" i="1"/>
  <c r="AL9" i="1"/>
  <c r="BD9" i="1"/>
  <c r="AC9" i="1"/>
  <c r="L9" i="1"/>
  <c r="AJ9" i="1"/>
  <c r="AD9" i="1"/>
  <c r="AT9" i="1"/>
  <c r="AS9" i="1"/>
  <c r="F3" i="3"/>
  <c r="G3" i="3"/>
  <c r="I3" i="3"/>
  <c r="I18" i="6"/>
  <c r="G18" i="6"/>
  <c r="F18" i="6"/>
  <c r="AV2" i="2"/>
  <c r="H2" i="2"/>
  <c r="AL2" i="2"/>
  <c r="L2" i="2"/>
  <c r="AS2" i="2"/>
  <c r="R2" i="2"/>
  <c r="AE2" i="2"/>
  <c r="O2" i="2"/>
  <c r="W2" i="2"/>
  <c r="AZ2" i="2"/>
  <c r="AQ2" i="2"/>
  <c r="Z2" i="2"/>
  <c r="AH2" i="2"/>
  <c r="T2" i="2"/>
  <c r="AW2" i="2"/>
  <c r="V2" i="2"/>
  <c r="AG2" i="2"/>
  <c r="BC2" i="2"/>
  <c r="AM2" i="2"/>
  <c r="AI2" i="2"/>
  <c r="Q2" i="2"/>
  <c r="BE2" i="2"/>
  <c r="J2" i="2"/>
  <c r="AJ2" i="2"/>
  <c r="BA2" i="2"/>
  <c r="AP2" i="2"/>
  <c r="D2" i="2"/>
  <c r="AR2" i="2"/>
  <c r="E2" i="2"/>
  <c r="C2" i="2"/>
  <c r="AD2" i="2"/>
  <c r="AB2" i="2"/>
  <c r="Y2" i="2"/>
  <c r="P2" i="2"/>
  <c r="AY2" i="2"/>
  <c r="U2" i="2"/>
  <c r="AA2" i="2"/>
  <c r="AK2" i="2"/>
  <c r="AC2" i="2"/>
  <c r="AX2" i="2"/>
  <c r="K2" i="2"/>
  <c r="AN2" i="2"/>
  <c r="BF2" i="2"/>
  <c r="BD2" i="2"/>
  <c r="AO2" i="2"/>
  <c r="AT2" i="2"/>
  <c r="N2" i="2"/>
  <c r="AF2" i="2"/>
  <c r="BB2" i="2"/>
  <c r="X2" i="2"/>
  <c r="S2" i="2"/>
  <c r="M2" i="2"/>
  <c r="AU2" i="2"/>
  <c r="K40" i="1"/>
  <c r="E40" i="1"/>
  <c r="AN40" i="1"/>
  <c r="S40" i="1"/>
  <c r="V40" i="1"/>
  <c r="AH40" i="1"/>
  <c r="P40" i="1"/>
  <c r="Z40" i="1"/>
  <c r="R40" i="1"/>
  <c r="AM40" i="1"/>
  <c r="W40" i="1"/>
  <c r="BC40" i="1"/>
  <c r="L40" i="1"/>
  <c r="AV40" i="1"/>
  <c r="AJ40" i="1"/>
  <c r="BB40" i="1"/>
  <c r="Y40" i="1"/>
  <c r="AQ40" i="1"/>
  <c r="M40" i="1"/>
  <c r="AF40" i="1"/>
  <c r="AD40" i="1"/>
  <c r="AG40" i="1"/>
  <c r="T40" i="1"/>
  <c r="AX40" i="1"/>
  <c r="AT40" i="1"/>
  <c r="O40" i="1"/>
  <c r="AA40" i="1"/>
  <c r="AY40" i="1"/>
  <c r="AP40" i="1"/>
  <c r="AO40" i="1"/>
  <c r="BF40" i="1"/>
  <c r="AC40" i="1"/>
  <c r="X40" i="1"/>
  <c r="AU40" i="1"/>
  <c r="U40" i="1"/>
  <c r="AE40" i="1"/>
  <c r="D40" i="1"/>
  <c r="C40" i="1"/>
  <c r="N40" i="1"/>
  <c r="AK40" i="1"/>
  <c r="BA40" i="1"/>
  <c r="AI40" i="1"/>
  <c r="J40" i="1"/>
  <c r="Q40" i="1"/>
  <c r="H40" i="1"/>
  <c r="AS40" i="1"/>
  <c r="AL40" i="1"/>
  <c r="BD40" i="1"/>
  <c r="AR40" i="1"/>
  <c r="BE40" i="1"/>
  <c r="AZ40" i="1"/>
  <c r="AB40" i="1"/>
  <c r="B40" i="1"/>
  <c r="AW40" i="1"/>
  <c r="F4" i="7"/>
  <c r="B4" i="7"/>
  <c r="I4" i="7"/>
  <c r="G4" i="7"/>
  <c r="F52" i="5"/>
  <c r="B52" i="5"/>
  <c r="I52" i="5"/>
  <c r="G52" i="5"/>
  <c r="W8" i="5"/>
  <c r="X8" i="5"/>
  <c r="AD8" i="5"/>
  <c r="N8" i="5"/>
  <c r="AF8" i="5"/>
  <c r="AP8" i="5"/>
  <c r="V8" i="5"/>
  <c r="AK8" i="5"/>
  <c r="E8" i="5"/>
  <c r="AR8" i="5"/>
  <c r="Y8" i="5"/>
  <c r="H8" i="5"/>
  <c r="T8" i="5"/>
  <c r="AW8" i="5"/>
  <c r="AB8" i="5"/>
  <c r="S8" i="5"/>
  <c r="P8" i="5"/>
  <c r="L8" i="5"/>
  <c r="R8" i="5"/>
  <c r="AQ8" i="5"/>
  <c r="AX8" i="5"/>
  <c r="AL8" i="5"/>
  <c r="J8" i="5"/>
  <c r="C8" i="5"/>
  <c r="Z8" i="5"/>
  <c r="BC8" i="5"/>
  <c r="BB8" i="5"/>
  <c r="AS8" i="5"/>
  <c r="AY8" i="5"/>
  <c r="AH8" i="5"/>
  <c r="AZ8" i="5"/>
  <c r="AJ8" i="5"/>
  <c r="BA8" i="5"/>
  <c r="BD8" i="5"/>
  <c r="BF8" i="5"/>
  <c r="AV8" i="5"/>
  <c r="AM8" i="5"/>
  <c r="AC8" i="5"/>
  <c r="AO8" i="5"/>
  <c r="M8" i="5"/>
  <c r="AN8" i="5"/>
  <c r="K8" i="5"/>
  <c r="U8" i="5"/>
  <c r="AG8" i="5"/>
  <c r="AE8" i="5"/>
  <c r="O8" i="5"/>
  <c r="AU8" i="5"/>
  <c r="AT8" i="5"/>
  <c r="Q8" i="5"/>
  <c r="AA8" i="5"/>
  <c r="D8" i="5"/>
  <c r="BE8" i="5"/>
  <c r="AI8" i="5"/>
  <c r="I43" i="5"/>
  <c r="G43" i="5"/>
  <c r="F43" i="5"/>
  <c r="I49" i="4"/>
  <c r="G49" i="4"/>
  <c r="F49" i="4"/>
  <c r="F38" i="6"/>
  <c r="G38" i="6"/>
  <c r="I38" i="6"/>
  <c r="F24" i="1"/>
  <c r="G24" i="1"/>
  <c r="I24" i="1"/>
  <c r="AM56" i="6"/>
  <c r="BF56" i="6"/>
  <c r="AP56" i="6"/>
  <c r="R56" i="6"/>
  <c r="AC56" i="6"/>
  <c r="AJ56" i="6"/>
  <c r="E56" i="6"/>
  <c r="BA56" i="6"/>
  <c r="M56" i="6"/>
  <c r="BB56" i="6"/>
  <c r="K56" i="6"/>
  <c r="AX56" i="6"/>
  <c r="AT56" i="6"/>
  <c r="S56" i="6"/>
  <c r="BD56" i="6"/>
  <c r="AS56" i="6"/>
  <c r="AA56" i="6"/>
  <c r="AD56" i="6"/>
  <c r="Q56" i="6"/>
  <c r="AU56" i="6"/>
  <c r="P56" i="6"/>
  <c r="T56" i="6"/>
  <c r="N56" i="6"/>
  <c r="BE56" i="6"/>
  <c r="Y56" i="6"/>
  <c r="J56" i="6"/>
  <c r="AI56" i="6"/>
  <c r="L56" i="6"/>
  <c r="AL56" i="6"/>
  <c r="AR56" i="6"/>
  <c r="AB56" i="6"/>
  <c r="X56" i="6"/>
  <c r="BC56" i="6"/>
  <c r="AZ56" i="6"/>
  <c r="C56" i="6"/>
  <c r="AV56" i="6"/>
  <c r="AO56" i="6"/>
  <c r="AH56" i="6"/>
  <c r="AF56" i="6"/>
  <c r="O56" i="6"/>
  <c r="AQ56" i="6"/>
  <c r="Z56" i="6"/>
  <c r="AE56" i="6"/>
  <c r="AG56" i="6"/>
  <c r="W56" i="6"/>
  <c r="D56" i="6"/>
  <c r="U56" i="6"/>
  <c r="AK56" i="6"/>
  <c r="AY56" i="6"/>
  <c r="AW56" i="6"/>
  <c r="AN56" i="6"/>
  <c r="V56" i="6"/>
  <c r="B56" i="6"/>
  <c r="H56" i="6"/>
  <c r="I26" i="1"/>
  <c r="G26" i="1"/>
  <c r="F26" i="1"/>
  <c r="BC2" i="1"/>
  <c r="AW2" i="1"/>
  <c r="E2" i="1"/>
  <c r="AA2" i="1"/>
  <c r="O2" i="1"/>
  <c r="Z2" i="1"/>
  <c r="C2" i="1"/>
  <c r="AT2" i="1"/>
  <c r="D2" i="1"/>
  <c r="BF2" i="1"/>
  <c r="AE2" i="1"/>
  <c r="AH2" i="1"/>
  <c r="X2" i="1"/>
  <c r="AD2" i="1"/>
  <c r="AI2" i="1"/>
  <c r="M2" i="1"/>
  <c r="Q2" i="1"/>
  <c r="V2" i="1"/>
  <c r="BA2" i="1"/>
  <c r="P2" i="1"/>
  <c r="AL2" i="1"/>
  <c r="AG2" i="1"/>
  <c r="BD2" i="1"/>
  <c r="L2" i="1"/>
  <c r="AZ2" i="1"/>
  <c r="Y2" i="1"/>
  <c r="T2" i="1"/>
  <c r="R2" i="1"/>
  <c r="AJ2" i="1"/>
  <c r="BB2" i="1"/>
  <c r="K2" i="1"/>
  <c r="AK2" i="1"/>
  <c r="AM2" i="1"/>
  <c r="AY2" i="1"/>
  <c r="AP2" i="1"/>
  <c r="AC2" i="1"/>
  <c r="AV2" i="1"/>
  <c r="N2" i="1"/>
  <c r="AR2" i="1"/>
  <c r="AB2" i="1"/>
  <c r="AU2" i="1"/>
  <c r="AO2" i="1"/>
  <c r="AS2" i="1"/>
  <c r="BE2" i="1"/>
  <c r="W2" i="1"/>
  <c r="U2" i="1"/>
  <c r="AF2" i="1"/>
  <c r="J2" i="1"/>
  <c r="H2" i="1"/>
  <c r="AN2" i="1"/>
  <c r="AQ2" i="1"/>
  <c r="S2" i="1"/>
  <c r="B2" i="1"/>
  <c r="AX2" i="1"/>
  <c r="L55" i="6"/>
  <c r="BF55" i="6"/>
  <c r="AQ55" i="6"/>
  <c r="AN55" i="6"/>
  <c r="S55" i="6"/>
  <c r="C55" i="6"/>
  <c r="AZ55" i="6"/>
  <c r="R55" i="6"/>
  <c r="Q55" i="6"/>
  <c r="BA55" i="6"/>
  <c r="AI55" i="6"/>
  <c r="AS55" i="6"/>
  <c r="AM55" i="6"/>
  <c r="AL55" i="6"/>
  <c r="AE55" i="6"/>
  <c r="M55" i="6"/>
  <c r="X55" i="6"/>
  <c r="AP55" i="6"/>
  <c r="AC55" i="6"/>
  <c r="BB55" i="6"/>
  <c r="AV55" i="6"/>
  <c r="P55" i="6"/>
  <c r="AX55" i="6"/>
  <c r="N55" i="6"/>
  <c r="K55" i="6"/>
  <c r="AG55" i="6"/>
  <c r="AT55" i="6"/>
  <c r="AA55" i="6"/>
  <c r="H55" i="6"/>
  <c r="AW55" i="6"/>
  <c r="AF55" i="6"/>
  <c r="W55" i="6"/>
  <c r="D55" i="6"/>
  <c r="AY55" i="6"/>
  <c r="E55" i="6"/>
  <c r="AU55" i="6"/>
  <c r="Y55" i="6"/>
  <c r="AH55" i="6"/>
  <c r="BE55" i="6"/>
  <c r="U55" i="6"/>
  <c r="BD55" i="6"/>
  <c r="AJ55" i="6"/>
  <c r="O55" i="6"/>
  <c r="AB55" i="6"/>
  <c r="AK55" i="6"/>
  <c r="AR55" i="6"/>
  <c r="Z55" i="6"/>
  <c r="BC55" i="6"/>
  <c r="AD55" i="6"/>
  <c r="T55" i="6"/>
  <c r="V55" i="6"/>
  <c r="J55" i="6"/>
  <c r="B55" i="6"/>
  <c r="AO55" i="6"/>
  <c r="AX42" i="6"/>
  <c r="BE42" i="6"/>
  <c r="Z42" i="6"/>
  <c r="BF42" i="6"/>
  <c r="BA42" i="6"/>
  <c r="AN42" i="6"/>
  <c r="AV42" i="6"/>
  <c r="AL42" i="6"/>
  <c r="R42" i="6"/>
  <c r="AJ42" i="6"/>
  <c r="AA42" i="6"/>
  <c r="BB42" i="6"/>
  <c r="AT42" i="6"/>
  <c r="AH42" i="6"/>
  <c r="H42" i="6"/>
  <c r="K42" i="6"/>
  <c r="U42" i="6"/>
  <c r="BC42" i="6"/>
  <c r="AY42" i="6"/>
  <c r="X42" i="6"/>
  <c r="AF42" i="6"/>
  <c r="BD42" i="6"/>
  <c r="AS42" i="6"/>
  <c r="V42" i="6"/>
  <c r="AW42" i="6"/>
  <c r="E42" i="6"/>
  <c r="D42" i="6"/>
  <c r="AP42" i="6"/>
  <c r="AZ42" i="6"/>
  <c r="L42" i="6"/>
  <c r="AM42" i="6"/>
  <c r="AO42" i="6"/>
  <c r="S42" i="6"/>
  <c r="AQ42" i="6"/>
  <c r="O42" i="6"/>
  <c r="Q42" i="6"/>
  <c r="AB42" i="6"/>
  <c r="AG42" i="6"/>
  <c r="AR42" i="6"/>
  <c r="Y42" i="6"/>
  <c r="C42" i="6"/>
  <c r="M42" i="6"/>
  <c r="AI42" i="6"/>
  <c r="N42" i="6"/>
  <c r="AC42" i="6"/>
  <c r="AD42" i="6"/>
  <c r="W42" i="6"/>
  <c r="T42" i="6"/>
  <c r="AK42" i="6"/>
  <c r="J42" i="6"/>
  <c r="AU42" i="6"/>
  <c r="P42" i="6"/>
  <c r="B42" i="6"/>
  <c r="AE42" i="6"/>
  <c r="F9" i="4"/>
  <c r="G9" i="4"/>
  <c r="I9" i="4"/>
  <c r="F7" i="1"/>
  <c r="G7" i="1"/>
  <c r="I7" i="1"/>
  <c r="B30" i="4"/>
  <c r="I30" i="4"/>
  <c r="G30" i="4"/>
  <c r="F30" i="4"/>
  <c r="AH17" i="5"/>
  <c r="N17" i="5"/>
  <c r="AQ17" i="5"/>
  <c r="AR17" i="5"/>
  <c r="X17" i="5"/>
  <c r="BA17" i="5"/>
  <c r="Q17" i="5"/>
  <c r="AB17" i="5"/>
  <c r="J17" i="5"/>
  <c r="P17" i="5"/>
  <c r="U17" i="5"/>
  <c r="BF17" i="5"/>
  <c r="AP17" i="5"/>
  <c r="BB17" i="5"/>
  <c r="E17" i="5"/>
  <c r="O17" i="5"/>
  <c r="AD17" i="5"/>
  <c r="AO17" i="5"/>
  <c r="S17" i="5"/>
  <c r="AN17" i="5"/>
  <c r="AE17" i="5"/>
  <c r="AI17" i="5"/>
  <c r="BD17" i="5"/>
  <c r="AT17" i="5"/>
  <c r="V17" i="5"/>
  <c r="H17" i="5"/>
  <c r="Y17" i="5"/>
  <c r="AZ17" i="5"/>
  <c r="AW17" i="5"/>
  <c r="AK17" i="5"/>
  <c r="AS17" i="5"/>
  <c r="M17" i="5"/>
  <c r="AX17" i="5"/>
  <c r="W17" i="5"/>
  <c r="AF17" i="5"/>
  <c r="D17" i="5"/>
  <c r="AC17" i="5"/>
  <c r="AU17" i="5"/>
  <c r="R17" i="5"/>
  <c r="L17" i="5"/>
  <c r="C17" i="5"/>
  <c r="AL17" i="5"/>
  <c r="AY17" i="5"/>
  <c r="T17" i="5"/>
  <c r="AG17" i="5"/>
  <c r="AA17" i="5"/>
  <c r="AV17" i="5"/>
  <c r="K17" i="5"/>
  <c r="Z17" i="5"/>
  <c r="AM17" i="5"/>
  <c r="AJ17" i="5"/>
  <c r="BE17" i="5"/>
  <c r="BC17" i="5"/>
  <c r="AM49" i="5"/>
  <c r="AJ49" i="5"/>
  <c r="N49" i="5"/>
  <c r="J49" i="5"/>
  <c r="W49" i="5"/>
  <c r="BE49" i="5"/>
  <c r="AR49" i="5"/>
  <c r="O49" i="5"/>
  <c r="BB49" i="5"/>
  <c r="AQ49" i="5"/>
  <c r="D49" i="5"/>
  <c r="T49" i="5"/>
  <c r="AC49" i="5"/>
  <c r="AS49" i="5"/>
  <c r="AO49" i="5"/>
  <c r="U49" i="5"/>
  <c r="L49" i="5"/>
  <c r="AG49" i="5"/>
  <c r="R49" i="5"/>
  <c r="BC49" i="5"/>
  <c r="Q49" i="5"/>
  <c r="AZ49" i="5"/>
  <c r="Z49" i="5"/>
  <c r="AB49" i="5"/>
  <c r="AF49" i="5"/>
  <c r="AA49" i="5"/>
  <c r="AP49" i="5"/>
  <c r="K49" i="5"/>
  <c r="AD49" i="5"/>
  <c r="AL49" i="5"/>
  <c r="Y49" i="5"/>
  <c r="BA49" i="5"/>
  <c r="M49" i="5"/>
  <c r="E49" i="5"/>
  <c r="BD49" i="5"/>
  <c r="AX49" i="5"/>
  <c r="S49" i="5"/>
  <c r="AW49" i="5"/>
  <c r="AV49" i="5"/>
  <c r="AY49" i="5"/>
  <c r="AT49" i="5"/>
  <c r="AK49" i="5"/>
  <c r="X49" i="5"/>
  <c r="H49" i="5"/>
  <c r="BF49" i="5"/>
  <c r="AN49" i="5"/>
  <c r="P49" i="5"/>
  <c r="V49" i="5"/>
  <c r="AI49" i="5"/>
  <c r="AH49" i="5"/>
  <c r="AE49" i="5"/>
  <c r="C49" i="5"/>
  <c r="AU49" i="5"/>
  <c r="I46" i="3"/>
  <c r="G46" i="3"/>
  <c r="F46" i="3"/>
  <c r="I23" i="5"/>
  <c r="G23" i="5"/>
  <c r="F23" i="5"/>
  <c r="F36" i="5"/>
  <c r="G36" i="5"/>
  <c r="I36" i="5"/>
  <c r="I21" i="2"/>
  <c r="G21" i="2"/>
  <c r="F21" i="2"/>
  <c r="AZ9" i="4"/>
  <c r="L9" i="4"/>
  <c r="C9" i="4"/>
  <c r="W9" i="4"/>
  <c r="E9" i="4"/>
  <c r="AF9" i="4"/>
  <c r="BB9" i="4"/>
  <c r="T9" i="4"/>
  <c r="R9" i="4"/>
  <c r="V9" i="4"/>
  <c r="S9" i="4"/>
  <c r="AT9" i="4"/>
  <c r="AR9" i="4"/>
  <c r="BF9" i="4"/>
  <c r="AY9" i="4"/>
  <c r="AK9" i="4"/>
  <c r="AU9" i="4"/>
  <c r="AS9" i="4"/>
  <c r="AG9" i="4"/>
  <c r="AA9" i="4"/>
  <c r="AL9" i="4"/>
  <c r="M9" i="4"/>
  <c r="AC9" i="4"/>
  <c r="J9" i="4"/>
  <c r="AX9" i="4"/>
  <c r="AE9" i="4"/>
  <c r="AW9" i="4"/>
  <c r="Q9" i="4"/>
  <c r="P9" i="4"/>
  <c r="AJ9" i="4"/>
  <c r="AQ9" i="4"/>
  <c r="BA9" i="4"/>
  <c r="Y9" i="4"/>
  <c r="AO9" i="4"/>
  <c r="BC9" i="4"/>
  <c r="X9" i="4"/>
  <c r="BD9" i="4"/>
  <c r="D9" i="4"/>
  <c r="AM9" i="4"/>
  <c r="AB9" i="4"/>
  <c r="H9" i="4"/>
  <c r="AH9" i="4"/>
  <c r="K9" i="4"/>
  <c r="AP9" i="4"/>
  <c r="AN9" i="4"/>
  <c r="AI9" i="4"/>
  <c r="AV9" i="4"/>
  <c r="U9" i="4"/>
  <c r="Z9" i="4"/>
  <c r="BE9" i="4"/>
  <c r="AD9" i="4"/>
  <c r="N9" i="4"/>
  <c r="B9" i="4"/>
  <c r="O9" i="4"/>
  <c r="V24" i="6"/>
  <c r="E24" i="6"/>
  <c r="AX24" i="6"/>
  <c r="AW24" i="6"/>
  <c r="J24" i="6"/>
  <c r="BE24" i="6"/>
  <c r="BA24" i="6"/>
  <c r="D24" i="6"/>
  <c r="AF24" i="6"/>
  <c r="N24" i="6"/>
  <c r="AH24" i="6"/>
  <c r="Z24" i="6"/>
  <c r="Y24" i="6"/>
  <c r="P24" i="6"/>
  <c r="O24" i="6"/>
  <c r="AN24" i="6"/>
  <c r="L24" i="6"/>
  <c r="K24" i="6"/>
  <c r="U24" i="6"/>
  <c r="AQ24" i="6"/>
  <c r="AK24" i="6"/>
  <c r="AJ24" i="6"/>
  <c r="AG24" i="6"/>
  <c r="M24" i="6"/>
  <c r="AY24" i="6"/>
  <c r="W24" i="6"/>
  <c r="BD24" i="6"/>
  <c r="C24" i="6"/>
  <c r="AA24" i="6"/>
  <c r="AR24" i="6"/>
  <c r="S24" i="6"/>
  <c r="BF24" i="6"/>
  <c r="AB24" i="6"/>
  <c r="AU24" i="6"/>
  <c r="Q24" i="6"/>
  <c r="AE24" i="6"/>
  <c r="BB24" i="6"/>
  <c r="AP24" i="6"/>
  <c r="R24" i="6"/>
  <c r="AC24" i="6"/>
  <c r="AV24" i="6"/>
  <c r="X24" i="6"/>
  <c r="BC24" i="6"/>
  <c r="AD24" i="6"/>
  <c r="AZ24" i="6"/>
  <c r="AT24" i="6"/>
  <c r="AI24" i="6"/>
  <c r="T24" i="6"/>
  <c r="AM24" i="6"/>
  <c r="AS24" i="6"/>
  <c r="AO24" i="6"/>
  <c r="H24" i="6"/>
  <c r="AL24" i="6"/>
  <c r="F51" i="4"/>
  <c r="G51" i="4"/>
  <c r="I51" i="4"/>
  <c r="O14" i="6"/>
  <c r="BE14" i="6"/>
  <c r="P14" i="6"/>
  <c r="AT14" i="6"/>
  <c r="AW14" i="6"/>
  <c r="D14" i="6"/>
  <c r="BC14" i="6"/>
  <c r="Y14" i="6"/>
  <c r="X14" i="6"/>
  <c r="AD14" i="6"/>
  <c r="AC14" i="6"/>
  <c r="BB14" i="6"/>
  <c r="AR14" i="6"/>
  <c r="AP14" i="6"/>
  <c r="V14" i="6"/>
  <c r="U14" i="6"/>
  <c r="AJ14" i="6"/>
  <c r="AQ14" i="6"/>
  <c r="AU14" i="6"/>
  <c r="S14" i="6"/>
  <c r="M14" i="6"/>
  <c r="N14" i="6"/>
  <c r="K14" i="6"/>
  <c r="AX14" i="6"/>
  <c r="AK14" i="6"/>
  <c r="AG14" i="6"/>
  <c r="H14" i="6"/>
  <c r="AI14" i="6"/>
  <c r="AS14" i="6"/>
  <c r="AZ14" i="6"/>
  <c r="AF14" i="6"/>
  <c r="E14" i="6"/>
  <c r="AB14" i="6"/>
  <c r="W14" i="6"/>
  <c r="AE14" i="6"/>
  <c r="J14" i="6"/>
  <c r="T14" i="6"/>
  <c r="AO14" i="6"/>
  <c r="AM14" i="6"/>
  <c r="Z14" i="6"/>
  <c r="AY14" i="6"/>
  <c r="BF14" i="6"/>
  <c r="L14" i="6"/>
  <c r="AL14" i="6"/>
  <c r="AH14" i="6"/>
  <c r="AN14" i="6"/>
  <c r="R14" i="6"/>
  <c r="BA14" i="6"/>
  <c r="Q14" i="6"/>
  <c r="C14" i="6"/>
  <c r="BD14" i="6"/>
  <c r="AA14" i="6"/>
  <c r="AV14" i="6"/>
  <c r="F41" i="1"/>
  <c r="G41" i="1"/>
  <c r="I41" i="1"/>
  <c r="F58" i="3"/>
  <c r="G58" i="3"/>
  <c r="I58" i="3"/>
  <c r="F9" i="1"/>
  <c r="B9" i="1"/>
  <c r="I9" i="1"/>
  <c r="G9" i="1"/>
  <c r="F6" i="4"/>
  <c r="G6" i="4"/>
  <c r="I6" i="4"/>
  <c r="J45" i="6"/>
  <c r="AM45" i="6"/>
  <c r="AR45" i="6"/>
  <c r="C45" i="6"/>
  <c r="Q45" i="6"/>
  <c r="AU45" i="6"/>
  <c r="L45" i="6"/>
  <c r="D45" i="6"/>
  <c r="Y45" i="6"/>
  <c r="AT45" i="6"/>
  <c r="BB45" i="6"/>
  <c r="S45" i="6"/>
  <c r="BD45" i="6"/>
  <c r="AB45" i="6"/>
  <c r="H45" i="6"/>
  <c r="X45" i="6"/>
  <c r="AY45" i="6"/>
  <c r="U45" i="6"/>
  <c r="AA45" i="6"/>
  <c r="Z45" i="6"/>
  <c r="AG45" i="6"/>
  <c r="AN45" i="6"/>
  <c r="V45" i="6"/>
  <c r="T45" i="6"/>
  <c r="AI45" i="6"/>
  <c r="P45" i="6"/>
  <c r="AO45" i="6"/>
  <c r="AQ45" i="6"/>
  <c r="N45" i="6"/>
  <c r="AP45" i="6"/>
  <c r="AD45" i="6"/>
  <c r="K45" i="6"/>
  <c r="BC45" i="6"/>
  <c r="AE45" i="6"/>
  <c r="AF45" i="6"/>
  <c r="E45" i="6"/>
  <c r="AZ45" i="6"/>
  <c r="BA45" i="6"/>
  <c r="W45" i="6"/>
  <c r="AH45" i="6"/>
  <c r="AX45" i="6"/>
  <c r="O45" i="6"/>
  <c r="BE45" i="6"/>
  <c r="R45" i="6"/>
  <c r="M45" i="6"/>
  <c r="BF45" i="6"/>
  <c r="AW45" i="6"/>
  <c r="AC45" i="6"/>
  <c r="AS45" i="6"/>
  <c r="AK45" i="6"/>
  <c r="AL45" i="6"/>
  <c r="AV45" i="6"/>
  <c r="B45" i="6"/>
  <c r="AJ45" i="6"/>
  <c r="F18" i="1"/>
  <c r="B18" i="1"/>
  <c r="I18" i="1"/>
  <c r="G18" i="1"/>
  <c r="V23" i="1"/>
  <c r="BE23" i="1"/>
  <c r="K23" i="1"/>
  <c r="AQ23" i="1"/>
  <c r="R23" i="1"/>
  <c r="D23" i="1"/>
  <c r="BF23" i="1"/>
  <c r="AY23" i="1"/>
  <c r="BA23" i="1"/>
  <c r="AW23" i="1"/>
  <c r="P23" i="1"/>
  <c r="H23" i="1"/>
  <c r="AM23" i="1"/>
  <c r="C23" i="1"/>
  <c r="M23" i="1"/>
  <c r="AO23" i="1"/>
  <c r="BB23" i="1"/>
  <c r="AP23" i="1"/>
  <c r="AS23" i="1"/>
  <c r="W23" i="1"/>
  <c r="AD23" i="1"/>
  <c r="T23" i="1"/>
  <c r="AK23" i="1"/>
  <c r="AF23" i="1"/>
  <c r="AA23" i="1"/>
  <c r="AU23" i="1"/>
  <c r="AZ23" i="1"/>
  <c r="X23" i="1"/>
  <c r="BD23" i="1"/>
  <c r="AV23" i="1"/>
  <c r="AE23" i="1"/>
  <c r="O23" i="1"/>
  <c r="AH23" i="1"/>
  <c r="Q23" i="1"/>
  <c r="AC23" i="1"/>
  <c r="AN23" i="1"/>
  <c r="Z23" i="1"/>
  <c r="AR23" i="1"/>
  <c r="J23" i="1"/>
  <c r="AJ23" i="1"/>
  <c r="N23" i="1"/>
  <c r="S23" i="1"/>
  <c r="E23" i="1"/>
  <c r="L23" i="1"/>
  <c r="AB23" i="1"/>
  <c r="Y23" i="1"/>
  <c r="U23" i="1"/>
  <c r="AI23" i="1"/>
  <c r="AX23" i="1"/>
  <c r="BC23" i="1"/>
  <c r="AL23" i="1"/>
  <c r="AG23" i="1"/>
  <c r="B23" i="1"/>
  <c r="AT23" i="1"/>
  <c r="AW43" i="6"/>
  <c r="AC43" i="6"/>
  <c r="H43" i="6"/>
  <c r="AR43" i="6"/>
  <c r="AQ43" i="6"/>
  <c r="BE43" i="6"/>
  <c r="W43" i="6"/>
  <c r="D43" i="6"/>
  <c r="AI43" i="6"/>
  <c r="AK43" i="6"/>
  <c r="V43" i="6"/>
  <c r="AT43" i="6"/>
  <c r="AA43" i="6"/>
  <c r="M43" i="6"/>
  <c r="P43" i="6"/>
  <c r="AL43" i="6"/>
  <c r="L43" i="6"/>
  <c r="AE43" i="6"/>
  <c r="K43" i="6"/>
  <c r="S43" i="6"/>
  <c r="Z43" i="6"/>
  <c r="AO43" i="6"/>
  <c r="BF43" i="6"/>
  <c r="AJ43" i="6"/>
  <c r="O43" i="6"/>
  <c r="AU43" i="6"/>
  <c r="J43" i="6"/>
  <c r="AD43" i="6"/>
  <c r="AF43" i="6"/>
  <c r="AG43" i="6"/>
  <c r="T43" i="6"/>
  <c r="C43" i="6"/>
  <c r="AZ43" i="6"/>
  <c r="AX43" i="6"/>
  <c r="AN43" i="6"/>
  <c r="AM43" i="6"/>
  <c r="AB43" i="6"/>
  <c r="Q43" i="6"/>
  <c r="AV43" i="6"/>
  <c r="Y43" i="6"/>
  <c r="AS43" i="6"/>
  <c r="R43" i="6"/>
  <c r="AP43" i="6"/>
  <c r="N43" i="6"/>
  <c r="AH43" i="6"/>
  <c r="U43" i="6"/>
  <c r="BB43" i="6"/>
  <c r="E43" i="6"/>
  <c r="BD43" i="6"/>
  <c r="BA43" i="6"/>
  <c r="AY43" i="6"/>
  <c r="BC43" i="6"/>
  <c r="B43" i="6"/>
  <c r="X43" i="6"/>
  <c r="AT56" i="3"/>
  <c r="K56" i="3"/>
  <c r="AD56" i="3"/>
  <c r="AC56" i="3"/>
  <c r="AP56" i="3"/>
  <c r="AY56" i="3"/>
  <c r="AH56" i="3"/>
  <c r="AM56" i="3"/>
  <c r="AZ56" i="3"/>
  <c r="BA56" i="3"/>
  <c r="T56" i="3"/>
  <c r="AL56" i="3"/>
  <c r="E56" i="3"/>
  <c r="Q56" i="3"/>
  <c r="AE56" i="3"/>
  <c r="BD56" i="3"/>
  <c r="AQ56" i="3"/>
  <c r="AA56" i="3"/>
  <c r="BB56" i="3"/>
  <c r="AN56" i="3"/>
  <c r="AI56" i="3"/>
  <c r="Z56" i="3"/>
  <c r="AW56" i="3"/>
  <c r="N56" i="3"/>
  <c r="L56" i="3"/>
  <c r="R56" i="3"/>
  <c r="BC56" i="3"/>
  <c r="U56" i="3"/>
  <c r="C56" i="3"/>
  <c r="H56" i="3"/>
  <c r="S56" i="3"/>
  <c r="V56" i="3"/>
  <c r="AF56" i="3"/>
  <c r="AK56" i="3"/>
  <c r="X56" i="3"/>
  <c r="BF56" i="3"/>
  <c r="BE56" i="3"/>
  <c r="AG56" i="3"/>
  <c r="M56" i="3"/>
  <c r="J56" i="3"/>
  <c r="AV56" i="3"/>
  <c r="AR56" i="3"/>
  <c r="D56" i="3"/>
  <c r="AJ56" i="3"/>
  <c r="O56" i="3"/>
  <c r="AS56" i="3"/>
  <c r="AX56" i="3"/>
  <c r="P56" i="3"/>
  <c r="Y56" i="3"/>
  <c r="AU56" i="3"/>
  <c r="W56" i="3"/>
  <c r="AO56" i="3"/>
  <c r="B56" i="3"/>
  <c r="AB56" i="3"/>
  <c r="AN38" i="6"/>
  <c r="AR38" i="6"/>
  <c r="AT38" i="6"/>
  <c r="AC38" i="6"/>
  <c r="H38" i="6"/>
  <c r="Q38" i="6"/>
  <c r="AL38" i="6"/>
  <c r="AI38" i="6"/>
  <c r="Z38" i="6"/>
  <c r="AJ38" i="6"/>
  <c r="U38" i="6"/>
  <c r="AP38" i="6"/>
  <c r="BB38" i="6"/>
  <c r="AU38" i="6"/>
  <c r="D38" i="6"/>
  <c r="AS38" i="6"/>
  <c r="E38" i="6"/>
  <c r="V38" i="6"/>
  <c r="C38" i="6"/>
  <c r="BC38" i="6"/>
  <c r="T38" i="6"/>
  <c r="AV38" i="6"/>
  <c r="R38" i="6"/>
  <c r="AE38" i="6"/>
  <c r="AQ38" i="6"/>
  <c r="N38" i="6"/>
  <c r="AD38" i="6"/>
  <c r="AX38" i="6"/>
  <c r="AO38" i="6"/>
  <c r="BF38" i="6"/>
  <c r="AZ38" i="6"/>
  <c r="AH38" i="6"/>
  <c r="AY38" i="6"/>
  <c r="BD38" i="6"/>
  <c r="J38" i="6"/>
  <c r="X38" i="6"/>
  <c r="S38" i="6"/>
  <c r="Y38" i="6"/>
  <c r="K38" i="6"/>
  <c r="W38" i="6"/>
  <c r="AA38" i="6"/>
  <c r="O38" i="6"/>
  <c r="AG38" i="6"/>
  <c r="AK38" i="6"/>
  <c r="BE38" i="6"/>
  <c r="AW38" i="6"/>
  <c r="P38" i="6"/>
  <c r="L38" i="6"/>
  <c r="BA38" i="6"/>
  <c r="AF38" i="6"/>
  <c r="AM38" i="6"/>
  <c r="M38" i="6"/>
  <c r="B38" i="6"/>
  <c r="AB38" i="6"/>
  <c r="AK42" i="2"/>
  <c r="AD42" i="2"/>
  <c r="AP42" i="2"/>
  <c r="AZ42" i="2"/>
  <c r="AR42" i="2"/>
  <c r="T42" i="2"/>
  <c r="AS42" i="2"/>
  <c r="AF42" i="2"/>
  <c r="Z42" i="2"/>
  <c r="Y42" i="2"/>
  <c r="AW42" i="2"/>
  <c r="AC42" i="2"/>
  <c r="AG42" i="2"/>
  <c r="BD42" i="2"/>
  <c r="V42" i="2"/>
  <c r="AB42" i="2"/>
  <c r="AQ42" i="2"/>
  <c r="AM42" i="2"/>
  <c r="AO42" i="2"/>
  <c r="AY42" i="2"/>
  <c r="U42" i="2"/>
  <c r="AH42" i="2"/>
  <c r="M42" i="2"/>
  <c r="BF42" i="2"/>
  <c r="O42" i="2"/>
  <c r="P42" i="2"/>
  <c r="AE42" i="2"/>
  <c r="BB42" i="2"/>
  <c r="AI42" i="2"/>
  <c r="AV42" i="2"/>
  <c r="C42" i="2"/>
  <c r="AJ42" i="2"/>
  <c r="R42" i="2"/>
  <c r="AU42" i="2"/>
  <c r="E42" i="2"/>
  <c r="AX42" i="2"/>
  <c r="BE42" i="2"/>
  <c r="AT42" i="2"/>
  <c r="J42" i="2"/>
  <c r="X42" i="2"/>
  <c r="L42" i="2"/>
  <c r="H42" i="2"/>
  <c r="BC42" i="2"/>
  <c r="D42" i="2"/>
  <c r="N42" i="2"/>
  <c r="BA42" i="2"/>
  <c r="Q42" i="2"/>
  <c r="AA42" i="2"/>
  <c r="K42" i="2"/>
  <c r="AL42" i="2"/>
  <c r="AN42" i="2"/>
  <c r="S42" i="2"/>
  <c r="W42" i="2"/>
  <c r="AL7" i="4"/>
  <c r="AY7" i="4"/>
  <c r="AX7" i="4"/>
  <c r="AG7" i="4"/>
  <c r="BE7" i="4"/>
  <c r="AI7" i="4"/>
  <c r="R7" i="4"/>
  <c r="AE7" i="4"/>
  <c r="AN7" i="4"/>
  <c r="V7" i="4"/>
  <c r="P7" i="4"/>
  <c r="AV7" i="4"/>
  <c r="J7" i="4"/>
  <c r="AA7" i="4"/>
  <c r="AD7" i="4"/>
  <c r="Q7" i="4"/>
  <c r="AM7" i="4"/>
  <c r="AF7" i="4"/>
  <c r="AO7" i="4"/>
  <c r="BD7" i="4"/>
  <c r="L7" i="4"/>
  <c r="U7" i="4"/>
  <c r="BF7" i="4"/>
  <c r="X7" i="4"/>
  <c r="H7" i="4"/>
  <c r="BA7" i="4"/>
  <c r="AH7" i="4"/>
  <c r="AT7" i="4"/>
  <c r="AR7" i="4"/>
  <c r="W7" i="4"/>
  <c r="Y7" i="4"/>
  <c r="E7" i="4"/>
  <c r="AK7" i="4"/>
  <c r="D7" i="4"/>
  <c r="AQ7" i="4"/>
  <c r="Z7" i="4"/>
  <c r="AP7" i="4"/>
  <c r="S7" i="4"/>
  <c r="AZ7" i="4"/>
  <c r="N7" i="4"/>
  <c r="AC7" i="4"/>
  <c r="BB7" i="4"/>
  <c r="T7" i="4"/>
  <c r="AS7" i="4"/>
  <c r="AB7" i="4"/>
  <c r="AW7" i="4"/>
  <c r="AU7" i="4"/>
  <c r="O7" i="4"/>
  <c r="BC7" i="4"/>
  <c r="C7" i="4"/>
  <c r="K7" i="4"/>
  <c r="AJ7" i="4"/>
  <c r="M7" i="4"/>
  <c r="AU18" i="2"/>
  <c r="E18" i="2"/>
  <c r="BF18" i="2"/>
  <c r="AR18" i="2"/>
  <c r="S18" i="2"/>
  <c r="AM18" i="2"/>
  <c r="BE18" i="2"/>
  <c r="AD18" i="2"/>
  <c r="BB18" i="2"/>
  <c r="O18" i="2"/>
  <c r="AH18" i="2"/>
  <c r="W18" i="2"/>
  <c r="V18" i="2"/>
  <c r="AX18" i="2"/>
  <c r="J18" i="2"/>
  <c r="AL18" i="2"/>
  <c r="H18" i="2"/>
  <c r="Y18" i="2"/>
  <c r="BA18" i="2"/>
  <c r="AG18" i="2"/>
  <c r="U18" i="2"/>
  <c r="AF18" i="2"/>
  <c r="AC18" i="2"/>
  <c r="AT18" i="2"/>
  <c r="R18" i="2"/>
  <c r="Q18" i="2"/>
  <c r="AA18" i="2"/>
  <c r="AZ18" i="2"/>
  <c r="M18" i="2"/>
  <c r="Z18" i="2"/>
  <c r="AY18" i="2"/>
  <c r="AS18" i="2"/>
  <c r="T18" i="2"/>
  <c r="AW18" i="2"/>
  <c r="BC18" i="2"/>
  <c r="C18" i="2"/>
  <c r="P18" i="2"/>
  <c r="AB18" i="2"/>
  <c r="AJ18" i="2"/>
  <c r="BD18" i="2"/>
  <c r="AE18" i="2"/>
  <c r="X18" i="2"/>
  <c r="AI18" i="2"/>
  <c r="AN18" i="2"/>
  <c r="AV18" i="2"/>
  <c r="AP18" i="2"/>
  <c r="AK18" i="2"/>
  <c r="AQ18" i="2"/>
  <c r="L18" i="2"/>
  <c r="AO18" i="2"/>
  <c r="K18" i="2"/>
  <c r="D18" i="2"/>
  <c r="N18" i="2"/>
  <c r="R32" i="1"/>
  <c r="AU32" i="1"/>
  <c r="AW32" i="1"/>
  <c r="W32" i="1"/>
  <c r="N32" i="1"/>
  <c r="T32" i="1"/>
  <c r="O32" i="1"/>
  <c r="AI32" i="1"/>
  <c r="E32" i="1"/>
  <c r="BD32" i="1"/>
  <c r="AP32" i="1"/>
  <c r="C32" i="1"/>
  <c r="J32" i="1"/>
  <c r="AR32" i="1"/>
  <c r="D32" i="1"/>
  <c r="AC32" i="1"/>
  <c r="H32" i="1"/>
  <c r="AY32" i="1"/>
  <c r="P32" i="1"/>
  <c r="AJ32" i="1"/>
  <c r="AN32" i="1"/>
  <c r="V32" i="1"/>
  <c r="M32" i="1"/>
  <c r="Z32" i="1"/>
  <c r="AQ32" i="1"/>
  <c r="BB32" i="1"/>
  <c r="U32" i="1"/>
  <c r="Y32" i="1"/>
  <c r="AX32" i="1"/>
  <c r="AS32" i="1"/>
  <c r="AZ32" i="1"/>
  <c r="AA32" i="1"/>
  <c r="BF32" i="1"/>
  <c r="Q32" i="1"/>
  <c r="AL32" i="1"/>
  <c r="S32" i="1"/>
  <c r="X32" i="1"/>
  <c r="BE32" i="1"/>
  <c r="AF32" i="1"/>
  <c r="AO32" i="1"/>
  <c r="AH32" i="1"/>
  <c r="L32" i="1"/>
  <c r="AE32" i="1"/>
  <c r="AM32" i="1"/>
  <c r="AT32" i="1"/>
  <c r="AD32" i="1"/>
  <c r="AG32" i="1"/>
  <c r="AK32" i="1"/>
  <c r="AV32" i="1"/>
  <c r="BA32" i="1"/>
  <c r="K32" i="1"/>
  <c r="BC32" i="1"/>
  <c r="B32" i="1"/>
  <c r="AB32" i="1"/>
  <c r="AA25" i="2"/>
  <c r="AM25" i="2"/>
  <c r="AF25" i="2"/>
  <c r="C25" i="2"/>
  <c r="Z25" i="2"/>
  <c r="K25" i="2"/>
  <c r="AZ25" i="2"/>
  <c r="AT25" i="2"/>
  <c r="X25" i="2"/>
  <c r="AP25" i="2"/>
  <c r="J25" i="2"/>
  <c r="AR25" i="2"/>
  <c r="BC25" i="2"/>
  <c r="H25" i="2"/>
  <c r="AI25" i="2"/>
  <c r="BF25" i="2"/>
  <c r="AQ25" i="2"/>
  <c r="AH25" i="2"/>
  <c r="L25" i="2"/>
  <c r="BA25" i="2"/>
  <c r="W25" i="2"/>
  <c r="AK25" i="2"/>
  <c r="E25" i="2"/>
  <c r="AU25" i="2"/>
  <c r="Q25" i="2"/>
  <c r="AB25" i="2"/>
  <c r="S25" i="2"/>
  <c r="AL25" i="2"/>
  <c r="AS25" i="2"/>
  <c r="AC25" i="2"/>
  <c r="N25" i="2"/>
  <c r="R25" i="2"/>
  <c r="BD25" i="2"/>
  <c r="AJ25" i="2"/>
  <c r="O25" i="2"/>
  <c r="AD25" i="2"/>
  <c r="AG25" i="2"/>
  <c r="AW25" i="2"/>
  <c r="P25" i="2"/>
  <c r="Y25" i="2"/>
  <c r="M25" i="2"/>
  <c r="AV25" i="2"/>
  <c r="T25" i="2"/>
  <c r="AO25" i="2"/>
  <c r="D25" i="2"/>
  <c r="U25" i="2"/>
  <c r="AN25" i="2"/>
  <c r="AE25" i="2"/>
  <c r="AX25" i="2"/>
  <c r="BB25" i="2"/>
  <c r="AY25" i="2"/>
  <c r="BE25" i="2"/>
  <c r="B25" i="2"/>
  <c r="V25" i="2"/>
  <c r="AU23" i="5"/>
  <c r="AT23" i="5"/>
  <c r="C23" i="5"/>
  <c r="AZ23" i="5"/>
  <c r="BD23" i="5"/>
  <c r="K23" i="5"/>
  <c r="N23" i="5"/>
  <c r="T23" i="5"/>
  <c r="AK23" i="5"/>
  <c r="AH23" i="5"/>
  <c r="E23" i="5"/>
  <c r="X23" i="5"/>
  <c r="AP23" i="5"/>
  <c r="V23" i="5"/>
  <c r="O23" i="5"/>
  <c r="AF23" i="5"/>
  <c r="AC23" i="5"/>
  <c r="BC23" i="5"/>
  <c r="R23" i="5"/>
  <c r="U23" i="5"/>
  <c r="L23" i="5"/>
  <c r="AG23" i="5"/>
  <c r="BE23" i="5"/>
  <c r="H23" i="5"/>
  <c r="AB23" i="5"/>
  <c r="AX23" i="5"/>
  <c r="BB23" i="5"/>
  <c r="BF23" i="5"/>
  <c r="AR23" i="5"/>
  <c r="AD23" i="5"/>
  <c r="AW23" i="5"/>
  <c r="AL23" i="5"/>
  <c r="W23" i="5"/>
  <c r="AM23" i="5"/>
  <c r="AI23" i="5"/>
  <c r="AS23" i="5"/>
  <c r="AO23" i="5"/>
  <c r="AY23" i="5"/>
  <c r="Q23" i="5"/>
  <c r="BA23" i="5"/>
  <c r="S23" i="5"/>
  <c r="M23" i="5"/>
  <c r="AQ23" i="5"/>
  <c r="AV23" i="5"/>
  <c r="AN23" i="5"/>
  <c r="D23" i="5"/>
  <c r="Z23" i="5"/>
  <c r="J23" i="5"/>
  <c r="AE23" i="5"/>
  <c r="P23" i="5"/>
  <c r="AA23" i="5"/>
  <c r="AJ23" i="5"/>
  <c r="B23" i="5"/>
  <c r="Y23" i="5"/>
  <c r="F33" i="5"/>
  <c r="G33" i="5"/>
  <c r="I33" i="5"/>
  <c r="AJ46" i="2"/>
  <c r="AM46" i="2"/>
  <c r="V46" i="2"/>
  <c r="AS46" i="2"/>
  <c r="AL46" i="2"/>
  <c r="AW46" i="2"/>
  <c r="E46" i="2"/>
  <c r="O46" i="2"/>
  <c r="Y46" i="2"/>
  <c r="AK46" i="2"/>
  <c r="AN46" i="2"/>
  <c r="R46" i="2"/>
  <c r="C46" i="2"/>
  <c r="AB46" i="2"/>
  <c r="H46" i="2"/>
  <c r="J46" i="2"/>
  <c r="AO46" i="2"/>
  <c r="BA46" i="2"/>
  <c r="AY46" i="2"/>
  <c r="AT46" i="2"/>
  <c r="AF46" i="2"/>
  <c r="W46" i="2"/>
  <c r="D46" i="2"/>
  <c r="AP46" i="2"/>
  <c r="AQ46" i="2"/>
  <c r="BE46" i="2"/>
  <c r="AD46" i="2"/>
  <c r="BC46" i="2"/>
  <c r="AE46" i="2"/>
  <c r="AX46" i="2"/>
  <c r="AV46" i="2"/>
  <c r="Q46" i="2"/>
  <c r="Z46" i="2"/>
  <c r="U46" i="2"/>
  <c r="AZ46" i="2"/>
  <c r="S46" i="2"/>
  <c r="X46" i="2"/>
  <c r="BB46" i="2"/>
  <c r="BF46" i="2"/>
  <c r="P46" i="2"/>
  <c r="BD46" i="2"/>
  <c r="K46" i="2"/>
  <c r="M46" i="2"/>
  <c r="AI46" i="2"/>
  <c r="AC46" i="2"/>
  <c r="AH46" i="2"/>
  <c r="AG46" i="2"/>
  <c r="T46" i="2"/>
  <c r="AU46" i="2"/>
  <c r="L46" i="2"/>
  <c r="AA46" i="2"/>
  <c r="N46" i="2"/>
  <c r="B46" i="2"/>
  <c r="AR46" i="2"/>
  <c r="F46" i="6"/>
  <c r="G46" i="6"/>
  <c r="I46" i="6"/>
  <c r="N58" i="6"/>
  <c r="BD58" i="6"/>
  <c r="K58" i="6"/>
  <c r="L58" i="6"/>
  <c r="AI58" i="6"/>
  <c r="BE58" i="6"/>
  <c r="AX58" i="6"/>
  <c r="W58" i="6"/>
  <c r="BF58" i="6"/>
  <c r="C58" i="6"/>
  <c r="AG58" i="6"/>
  <c r="AR58" i="6"/>
  <c r="S58" i="6"/>
  <c r="O58" i="6"/>
  <c r="AL58" i="6"/>
  <c r="AB58" i="6"/>
  <c r="AD58" i="6"/>
  <c r="BB58" i="6"/>
  <c r="P58" i="6"/>
  <c r="AH58" i="6"/>
  <c r="U58" i="6"/>
  <c r="M58" i="6"/>
  <c r="AU58" i="6"/>
  <c r="AC58" i="6"/>
  <c r="AZ58" i="6"/>
  <c r="AA58" i="6"/>
  <c r="Z58" i="6"/>
  <c r="AF58" i="6"/>
  <c r="Q58" i="6"/>
  <c r="AT58" i="6"/>
  <c r="AN58" i="6"/>
  <c r="AW58" i="6"/>
  <c r="R58" i="6"/>
  <c r="AY58" i="6"/>
  <c r="AQ58" i="6"/>
  <c r="E58" i="6"/>
  <c r="AK58" i="6"/>
  <c r="J58" i="6"/>
  <c r="AJ58" i="6"/>
  <c r="BC58" i="6"/>
  <c r="T58" i="6"/>
  <c r="X58" i="6"/>
  <c r="H58" i="6"/>
  <c r="V58" i="6"/>
  <c r="Y58" i="6"/>
  <c r="AS58" i="6"/>
  <c r="AV58" i="6"/>
  <c r="AP58" i="6"/>
  <c r="D58" i="6"/>
  <c r="AM58" i="6"/>
  <c r="BA58" i="6"/>
  <c r="AO58" i="6"/>
  <c r="AE58" i="6"/>
  <c r="F53" i="3"/>
  <c r="G53" i="3"/>
  <c r="I53" i="3"/>
  <c r="I21" i="1"/>
  <c r="G21" i="1"/>
  <c r="F21" i="1"/>
  <c r="Q36" i="5"/>
  <c r="BA36" i="5"/>
  <c r="AX36" i="5"/>
  <c r="AT36" i="5"/>
  <c r="AM36" i="5"/>
  <c r="N36" i="5"/>
  <c r="AY36" i="5"/>
  <c r="R36" i="5"/>
  <c r="H36" i="5"/>
  <c r="AS36" i="5"/>
  <c r="BC36" i="5"/>
  <c r="X36" i="5"/>
  <c r="AG36" i="5"/>
  <c r="AV36" i="5"/>
  <c r="AR36" i="5"/>
  <c r="S36" i="5"/>
  <c r="K36" i="5"/>
  <c r="AC36" i="5"/>
  <c r="E36" i="5"/>
  <c r="AI36" i="5"/>
  <c r="J36" i="5"/>
  <c r="U36" i="5"/>
  <c r="T36" i="5"/>
  <c r="AE36" i="5"/>
  <c r="AO36" i="5"/>
  <c r="AH36" i="5"/>
  <c r="AQ36" i="5"/>
  <c r="M36" i="5"/>
  <c r="BE36" i="5"/>
  <c r="AD36" i="5"/>
  <c r="V36" i="5"/>
  <c r="AF36" i="5"/>
  <c r="P36" i="5"/>
  <c r="BB36" i="5"/>
  <c r="Z36" i="5"/>
  <c r="Y36" i="5"/>
  <c r="AK36" i="5"/>
  <c r="C36" i="5"/>
  <c r="AB36" i="5"/>
  <c r="BF36" i="5"/>
  <c r="AN36" i="5"/>
  <c r="BD36" i="5"/>
  <c r="W36" i="5"/>
  <c r="AW36" i="5"/>
  <c r="D36" i="5"/>
  <c r="AU36" i="5"/>
  <c r="AA36" i="5"/>
  <c r="L36" i="5"/>
  <c r="AL36" i="5"/>
  <c r="O36" i="5"/>
  <c r="AP36" i="5"/>
  <c r="AZ36" i="5"/>
  <c r="B36" i="5"/>
  <c r="AJ36" i="5"/>
  <c r="F20" i="4"/>
  <c r="G20" i="4"/>
  <c r="I20" i="4"/>
  <c r="I22" i="3"/>
  <c r="G22" i="3"/>
  <c r="F22" i="3"/>
  <c r="F49" i="5"/>
  <c r="B49" i="5"/>
  <c r="I49" i="5"/>
  <c r="G49" i="5"/>
  <c r="BF36" i="3"/>
  <c r="AV36" i="3"/>
  <c r="AF36" i="3"/>
  <c r="BD36" i="3"/>
  <c r="AX36" i="3"/>
  <c r="AB36" i="3"/>
  <c r="AP36" i="3"/>
  <c r="AA36" i="3"/>
  <c r="AR36" i="3"/>
  <c r="N36" i="3"/>
  <c r="AU36" i="3"/>
  <c r="BE36" i="3"/>
  <c r="AL36" i="3"/>
  <c r="T36" i="3"/>
  <c r="U36" i="3"/>
  <c r="BA36" i="3"/>
  <c r="AE36" i="3"/>
  <c r="L36" i="3"/>
  <c r="AD36" i="3"/>
  <c r="AZ36" i="3"/>
  <c r="AC36" i="3"/>
  <c r="K36" i="3"/>
  <c r="D36" i="3"/>
  <c r="AH36" i="3"/>
  <c r="AI36" i="3"/>
  <c r="AM36" i="3"/>
  <c r="X36" i="3"/>
  <c r="AT36" i="3"/>
  <c r="H36" i="3"/>
  <c r="P36" i="3"/>
  <c r="Y36" i="3"/>
  <c r="V36" i="3"/>
  <c r="BC36" i="3"/>
  <c r="E36" i="3"/>
  <c r="C36" i="3"/>
  <c r="AO36" i="3"/>
  <c r="R36" i="3"/>
  <c r="Q36" i="3"/>
  <c r="AG36" i="3"/>
  <c r="AN36" i="3"/>
  <c r="AK36" i="3"/>
  <c r="AJ36" i="3"/>
  <c r="O36" i="3"/>
  <c r="Z36" i="3"/>
  <c r="W36" i="3"/>
  <c r="AS36" i="3"/>
  <c r="M36" i="3"/>
  <c r="AW36" i="3"/>
  <c r="AY36" i="3"/>
  <c r="J36" i="3"/>
  <c r="BB36" i="3"/>
  <c r="S36" i="3"/>
  <c r="AQ36" i="3"/>
  <c r="R22" i="8"/>
  <c r="AL22" i="8"/>
  <c r="V22" i="8"/>
  <c r="BE22" i="8"/>
  <c r="C22" i="8"/>
  <c r="AN22" i="8"/>
  <c r="AR22" i="8"/>
  <c r="K22" i="8"/>
  <c r="O22" i="8"/>
  <c r="BA22" i="8"/>
  <c r="W22" i="8"/>
  <c r="J22" i="8"/>
  <c r="AQ22" i="8"/>
  <c r="T22" i="8"/>
  <c r="X22" i="8"/>
  <c r="AO22" i="8"/>
  <c r="BC22" i="8"/>
  <c r="AS22" i="8"/>
  <c r="AT22" i="8"/>
  <c r="AJ22" i="8"/>
  <c r="AW22" i="8"/>
  <c r="AM22" i="8"/>
  <c r="P22" i="8"/>
  <c r="AD22" i="8"/>
  <c r="H22" i="8"/>
  <c r="AH22" i="8"/>
  <c r="L22" i="8"/>
  <c r="AF22" i="8"/>
  <c r="AA22" i="8"/>
  <c r="AE22" i="8"/>
  <c r="AZ22" i="8"/>
  <c r="BF22" i="8"/>
  <c r="AK22" i="8"/>
  <c r="AP22" i="8"/>
  <c r="AC22" i="8"/>
  <c r="Q22" i="8"/>
  <c r="AB22" i="8"/>
  <c r="Z22" i="8"/>
  <c r="E22" i="8"/>
  <c r="AU22" i="8"/>
  <c r="U22" i="8"/>
  <c r="AG22" i="8"/>
  <c r="BD22" i="8"/>
  <c r="BB22" i="8"/>
  <c r="AY22" i="8"/>
  <c r="N22" i="8"/>
  <c r="D22" i="8"/>
  <c r="Y22" i="8"/>
  <c r="S22" i="8"/>
  <c r="AI22" i="8"/>
  <c r="M22" i="8"/>
  <c r="AV22" i="8"/>
  <c r="AX22" i="8"/>
  <c r="B14" i="6"/>
  <c r="I14" i="6"/>
  <c r="G14" i="6"/>
  <c r="F14" i="6"/>
  <c r="Z19" i="1"/>
  <c r="T19" i="1"/>
  <c r="BB19" i="1"/>
  <c r="AJ19" i="1"/>
  <c r="AR19" i="1"/>
  <c r="C19" i="1"/>
  <c r="AI19" i="1"/>
  <c r="BC19" i="1"/>
  <c r="AL19" i="1"/>
  <c r="K19" i="1"/>
  <c r="AQ19" i="1"/>
  <c r="O19" i="1"/>
  <c r="AP19" i="1"/>
  <c r="BA19" i="1"/>
  <c r="N19" i="1"/>
  <c r="D19" i="1"/>
  <c r="AS19" i="1"/>
  <c r="AK19" i="1"/>
  <c r="AU19" i="1"/>
  <c r="AE19" i="1"/>
  <c r="AN19" i="1"/>
  <c r="AY19" i="1"/>
  <c r="H19" i="1"/>
  <c r="BF19" i="1"/>
  <c r="AG19" i="1"/>
  <c r="AX19" i="1"/>
  <c r="AW19" i="1"/>
  <c r="BE19" i="1"/>
  <c r="AC19" i="1"/>
  <c r="P19" i="1"/>
  <c r="AF19" i="1"/>
  <c r="X19" i="1"/>
  <c r="AM19" i="1"/>
  <c r="U19" i="1"/>
  <c r="W19" i="1"/>
  <c r="AH19" i="1"/>
  <c r="AO19" i="1"/>
  <c r="AD19" i="1"/>
  <c r="L19" i="1"/>
  <c r="AB19" i="1"/>
  <c r="R19" i="1"/>
  <c r="Y19" i="1"/>
  <c r="BD19" i="1"/>
  <c r="AA19" i="1"/>
  <c r="AV19" i="1"/>
  <c r="Q19" i="1"/>
  <c r="S19" i="1"/>
  <c r="M19" i="1"/>
  <c r="E19" i="1"/>
  <c r="V19" i="1"/>
  <c r="J19" i="1"/>
  <c r="AT19" i="1"/>
  <c r="AZ19" i="1"/>
  <c r="F40" i="6"/>
  <c r="G40" i="6"/>
  <c r="I40" i="6"/>
  <c r="F40" i="5"/>
  <c r="G40" i="5"/>
  <c r="I40" i="5"/>
  <c r="F18" i="7"/>
  <c r="G18" i="7"/>
  <c r="I18" i="7"/>
  <c r="F33" i="6"/>
  <c r="G33" i="6"/>
  <c r="I33" i="6"/>
  <c r="N49" i="6"/>
  <c r="Y49" i="6"/>
  <c r="U49" i="6"/>
  <c r="AY49" i="6"/>
  <c r="AX49" i="6"/>
  <c r="AA49" i="6"/>
  <c r="BA49" i="6"/>
  <c r="H49" i="6"/>
  <c r="AW49" i="6"/>
  <c r="AB49" i="6"/>
  <c r="V49" i="6"/>
  <c r="AN49" i="6"/>
  <c r="T49" i="6"/>
  <c r="O49" i="6"/>
  <c r="BC49" i="6"/>
  <c r="AD49" i="6"/>
  <c r="BB49" i="6"/>
  <c r="BE49" i="6"/>
  <c r="AV49" i="6"/>
  <c r="AF49" i="6"/>
  <c r="BF49" i="6"/>
  <c r="E49" i="6"/>
  <c r="AH49" i="6"/>
  <c r="J49" i="6"/>
  <c r="K49" i="6"/>
  <c r="AS49" i="6"/>
  <c r="L49" i="6"/>
  <c r="AI49" i="6"/>
  <c r="AR49" i="6"/>
  <c r="X49" i="6"/>
  <c r="AE49" i="6"/>
  <c r="Z49" i="6"/>
  <c r="AT49" i="6"/>
  <c r="AK49" i="6"/>
  <c r="AJ49" i="6"/>
  <c r="AO49" i="6"/>
  <c r="AZ49" i="6"/>
  <c r="AL49" i="6"/>
  <c r="AP49" i="6"/>
  <c r="M49" i="6"/>
  <c r="BD49" i="6"/>
  <c r="C49" i="6"/>
  <c r="AC49" i="6"/>
  <c r="R49" i="6"/>
  <c r="W49" i="6"/>
  <c r="AM49" i="6"/>
  <c r="AQ49" i="6"/>
  <c r="D49" i="6"/>
  <c r="S49" i="6"/>
  <c r="Q49" i="6"/>
  <c r="P49" i="6"/>
  <c r="AU49" i="6"/>
  <c r="AG49" i="6"/>
  <c r="H41" i="5"/>
  <c r="AU41" i="5"/>
  <c r="AW41" i="5"/>
  <c r="AB41" i="5"/>
  <c r="J41" i="5"/>
  <c r="BA41" i="5"/>
  <c r="S41" i="5"/>
  <c r="AJ41" i="5"/>
  <c r="D41" i="5"/>
  <c r="U41" i="5"/>
  <c r="AT41" i="5"/>
  <c r="AA41" i="5"/>
  <c r="AM41" i="5"/>
  <c r="M41" i="5"/>
  <c r="R41" i="5"/>
  <c r="AR41" i="5"/>
  <c r="AO41" i="5"/>
  <c r="AD41" i="5"/>
  <c r="BE41" i="5"/>
  <c r="P41" i="5"/>
  <c r="AS41" i="5"/>
  <c r="AV41" i="5"/>
  <c r="BF41" i="5"/>
  <c r="AP41" i="5"/>
  <c r="AK41" i="5"/>
  <c r="AH41" i="5"/>
  <c r="C41" i="5"/>
  <c r="Y41" i="5"/>
  <c r="W41" i="5"/>
  <c r="AZ41" i="5"/>
  <c r="O41" i="5"/>
  <c r="V41" i="5"/>
  <c r="Q41" i="5"/>
  <c r="AG41" i="5"/>
  <c r="AI41" i="5"/>
  <c r="N41" i="5"/>
  <c r="AY41" i="5"/>
  <c r="Z41" i="5"/>
  <c r="AQ41" i="5"/>
  <c r="AX41" i="5"/>
  <c r="AN41" i="5"/>
  <c r="AL41" i="5"/>
  <c r="K41" i="5"/>
  <c r="AF41" i="5"/>
  <c r="L41" i="5"/>
  <c r="X41" i="5"/>
  <c r="BC41" i="5"/>
  <c r="AC41" i="5"/>
  <c r="AE41" i="5"/>
  <c r="BB41" i="5"/>
  <c r="BD41" i="5"/>
  <c r="T41" i="5"/>
  <c r="E41" i="5"/>
  <c r="B36" i="3"/>
  <c r="I36" i="3"/>
  <c r="G36" i="3"/>
  <c r="F36" i="3"/>
  <c r="B22" i="8"/>
  <c r="I22" i="8"/>
  <c r="G22" i="8"/>
  <c r="F22" i="8"/>
  <c r="Q33" i="5"/>
  <c r="Z33" i="5"/>
  <c r="AG33" i="5"/>
  <c r="L33" i="5"/>
  <c r="H33" i="5"/>
  <c r="V33" i="5"/>
  <c r="AQ33" i="5"/>
  <c r="AK33" i="5"/>
  <c r="X33" i="5"/>
  <c r="N33" i="5"/>
  <c r="AL33" i="5"/>
  <c r="AT33" i="5"/>
  <c r="AC33" i="5"/>
  <c r="AA33" i="5"/>
  <c r="AE33" i="5"/>
  <c r="AI33" i="5"/>
  <c r="K33" i="5"/>
  <c r="T33" i="5"/>
  <c r="W33" i="5"/>
  <c r="E33" i="5"/>
  <c r="AR33" i="5"/>
  <c r="O33" i="5"/>
  <c r="AB33" i="5"/>
  <c r="BE33" i="5"/>
  <c r="AY33" i="5"/>
  <c r="AM33" i="5"/>
  <c r="AO33" i="5"/>
  <c r="AV33" i="5"/>
  <c r="AJ33" i="5"/>
  <c r="C33" i="5"/>
  <c r="AH33" i="5"/>
  <c r="Y33" i="5"/>
  <c r="D33" i="5"/>
  <c r="AW33" i="5"/>
  <c r="AD33" i="5"/>
  <c r="BD33" i="5"/>
  <c r="AN33" i="5"/>
  <c r="R33" i="5"/>
  <c r="S33" i="5"/>
  <c r="AS33" i="5"/>
  <c r="AF33" i="5"/>
  <c r="P33" i="5"/>
  <c r="BA33" i="5"/>
  <c r="U33" i="5"/>
  <c r="J33" i="5"/>
  <c r="AZ33" i="5"/>
  <c r="AU33" i="5"/>
  <c r="AX33" i="5"/>
  <c r="BF33" i="5"/>
  <c r="BC33" i="5"/>
  <c r="AP33" i="5"/>
  <c r="BB33" i="5"/>
  <c r="B33" i="5"/>
  <c r="M33" i="5"/>
  <c r="O17" i="3"/>
  <c r="AV17" i="3"/>
  <c r="AJ17" i="3"/>
  <c r="AQ17" i="3"/>
  <c r="Q17" i="3"/>
  <c r="AT17" i="3"/>
  <c r="BD17" i="3"/>
  <c r="AN17" i="3"/>
  <c r="AE17" i="3"/>
  <c r="AC17" i="3"/>
  <c r="V17" i="3"/>
  <c r="T17" i="3"/>
  <c r="H17" i="3"/>
  <c r="AP17" i="3"/>
  <c r="AL17" i="3"/>
  <c r="Z17" i="3"/>
  <c r="D17" i="3"/>
  <c r="AU17" i="3"/>
  <c r="AI17" i="3"/>
  <c r="K17" i="3"/>
  <c r="AA17" i="3"/>
  <c r="W17" i="3"/>
  <c r="BE17" i="3"/>
  <c r="AG17" i="3"/>
  <c r="AB17" i="3"/>
  <c r="AY17" i="3"/>
  <c r="AZ17" i="3"/>
  <c r="X17" i="3"/>
  <c r="AW17" i="3"/>
  <c r="BC17" i="3"/>
  <c r="U17" i="3"/>
  <c r="M17" i="3"/>
  <c r="BB17" i="3"/>
  <c r="AS17" i="3"/>
  <c r="L17" i="3"/>
  <c r="AK17" i="3"/>
  <c r="AH17" i="3"/>
  <c r="AF17" i="3"/>
  <c r="C17" i="3"/>
  <c r="AX17" i="3"/>
  <c r="BA17" i="3"/>
  <c r="AD17" i="3"/>
  <c r="BF17" i="3"/>
  <c r="AO17" i="3"/>
  <c r="S17" i="3"/>
  <c r="AM17" i="3"/>
  <c r="P17" i="3"/>
  <c r="AR17" i="3"/>
  <c r="N17" i="3"/>
  <c r="J17" i="3"/>
  <c r="R17" i="3"/>
  <c r="E17" i="3"/>
  <c r="Y17" i="3"/>
  <c r="B58" i="6"/>
  <c r="I58" i="6"/>
  <c r="G58" i="6"/>
  <c r="F58" i="6"/>
  <c r="AB29" i="1"/>
  <c r="BA29" i="1"/>
  <c r="AH29" i="1"/>
  <c r="L29" i="1"/>
  <c r="AY29" i="1"/>
  <c r="AI29" i="1"/>
  <c r="AO29" i="1"/>
  <c r="AG29" i="1"/>
  <c r="T29" i="1"/>
  <c r="S29" i="1"/>
  <c r="C29" i="1"/>
  <c r="AL29" i="1"/>
  <c r="AA29" i="1"/>
  <c r="BD29" i="1"/>
  <c r="AS29" i="1"/>
  <c r="AV29" i="1"/>
  <c r="AU29" i="1"/>
  <c r="W29" i="1"/>
  <c r="BF29" i="1"/>
  <c r="AD29" i="1"/>
  <c r="AF29" i="1"/>
  <c r="E29" i="1"/>
  <c r="BC29" i="1"/>
  <c r="U29" i="1"/>
  <c r="AW29" i="1"/>
  <c r="AT29" i="1"/>
  <c r="AZ29" i="1"/>
  <c r="R29" i="1"/>
  <c r="AX29" i="1"/>
  <c r="AJ29" i="1"/>
  <c r="K29" i="1"/>
  <c r="N29" i="1"/>
  <c r="AR29" i="1"/>
  <c r="Q29" i="1"/>
  <c r="AK29" i="1"/>
  <c r="AQ29" i="1"/>
  <c r="O29" i="1"/>
  <c r="M29" i="1"/>
  <c r="V29" i="1"/>
  <c r="Z29" i="1"/>
  <c r="X29" i="1"/>
  <c r="AP29" i="1"/>
  <c r="H29" i="1"/>
  <c r="Y29" i="1"/>
  <c r="AM29" i="1"/>
  <c r="J29" i="1"/>
  <c r="BB29" i="1"/>
  <c r="AC29" i="1"/>
  <c r="P29" i="1"/>
  <c r="AE29" i="1"/>
  <c r="BE29" i="1"/>
  <c r="D29" i="1"/>
  <c r="AN29" i="1"/>
  <c r="AC6" i="2"/>
  <c r="AN6" i="2"/>
  <c r="L6" i="2"/>
  <c r="J6" i="2"/>
  <c r="BF6" i="2"/>
  <c r="AD6" i="2"/>
  <c r="AU6" i="2"/>
  <c r="R6" i="2"/>
  <c r="V6" i="2"/>
  <c r="AA6" i="2"/>
  <c r="AW6" i="2"/>
  <c r="BE6" i="2"/>
  <c r="AI6" i="2"/>
  <c r="BD6" i="2"/>
  <c r="AS6" i="2"/>
  <c r="K6" i="2"/>
  <c r="BA6" i="2"/>
  <c r="AV6" i="2"/>
  <c r="AJ6" i="2"/>
  <c r="AE6" i="2"/>
  <c r="AZ6" i="2"/>
  <c r="T6" i="2"/>
  <c r="Y6" i="2"/>
  <c r="H6" i="2"/>
  <c r="AM6" i="2"/>
  <c r="AG6" i="2"/>
  <c r="N6" i="2"/>
  <c r="AF6" i="2"/>
  <c r="BB6" i="2"/>
  <c r="M6" i="2"/>
  <c r="AY6" i="2"/>
  <c r="BC6" i="2"/>
  <c r="AH6" i="2"/>
  <c r="AP6" i="2"/>
  <c r="Q6" i="2"/>
  <c r="U6" i="2"/>
  <c r="Z6" i="2"/>
  <c r="C6" i="2"/>
  <c r="W6" i="2"/>
  <c r="AK6" i="2"/>
  <c r="AB6" i="2"/>
  <c r="AR6" i="2"/>
  <c r="AT6" i="2"/>
  <c r="S6" i="2"/>
  <c r="AX6" i="2"/>
  <c r="D6" i="2"/>
  <c r="O6" i="2"/>
  <c r="AO6" i="2"/>
  <c r="E6" i="2"/>
  <c r="AQ6" i="2"/>
  <c r="X6" i="2"/>
  <c r="P6" i="2"/>
  <c r="B6" i="2"/>
  <c r="AL6" i="2"/>
  <c r="H23" i="6"/>
  <c r="AT23" i="6"/>
  <c r="E23" i="6"/>
  <c r="AU23" i="6"/>
  <c r="P23" i="6"/>
  <c r="AB23" i="6"/>
  <c r="BA23" i="6"/>
  <c r="Z23" i="6"/>
  <c r="Q23" i="6"/>
  <c r="AM23" i="6"/>
  <c r="BC23" i="6"/>
  <c r="O23" i="6"/>
  <c r="AN23" i="6"/>
  <c r="AW23" i="6"/>
  <c r="S23" i="6"/>
  <c r="AI23" i="6"/>
  <c r="R23" i="6"/>
  <c r="AQ23" i="6"/>
  <c r="Y23" i="6"/>
  <c r="AG23" i="6"/>
  <c r="V23" i="6"/>
  <c r="AJ23" i="6"/>
  <c r="BE23" i="6"/>
  <c r="N23" i="6"/>
  <c r="J23" i="6"/>
  <c r="AK23" i="6"/>
  <c r="AA23" i="6"/>
  <c r="AV23" i="6"/>
  <c r="BD23" i="6"/>
  <c r="L23" i="6"/>
  <c r="AC23" i="6"/>
  <c r="M23" i="6"/>
  <c r="AS23" i="6"/>
  <c r="AO23" i="6"/>
  <c r="AR23" i="6"/>
  <c r="AY23" i="6"/>
  <c r="AZ23" i="6"/>
  <c r="D23" i="6"/>
  <c r="BF23" i="6"/>
  <c r="T23" i="6"/>
  <c r="U23" i="6"/>
  <c r="BB23" i="6"/>
  <c r="K23" i="6"/>
  <c r="AP23" i="6"/>
  <c r="C23" i="6"/>
  <c r="AX23" i="6"/>
  <c r="X23" i="6"/>
  <c r="AH23" i="6"/>
  <c r="AL23" i="6"/>
  <c r="AE23" i="6"/>
  <c r="AD23" i="6"/>
  <c r="W23" i="6"/>
  <c r="AF23" i="6"/>
  <c r="BA9" i="3"/>
  <c r="BD9" i="3"/>
  <c r="AF9" i="3"/>
  <c r="BE9" i="3"/>
  <c r="AD9" i="3"/>
  <c r="AO9" i="3"/>
  <c r="AI9" i="3"/>
  <c r="N9" i="3"/>
  <c r="T9" i="3"/>
  <c r="BC9" i="3"/>
  <c r="H9" i="3"/>
  <c r="D9" i="3"/>
  <c r="AV9" i="3"/>
  <c r="J9" i="3"/>
  <c r="C9" i="3"/>
  <c r="AU9" i="3"/>
  <c r="P9" i="3"/>
  <c r="K9" i="3"/>
  <c r="BF9" i="3"/>
  <c r="AM9" i="3"/>
  <c r="U9" i="3"/>
  <c r="L9" i="3"/>
  <c r="AK9" i="3"/>
  <c r="V9" i="3"/>
  <c r="AC9" i="3"/>
  <c r="R9" i="3"/>
  <c r="W9" i="3"/>
  <c r="X9" i="3"/>
  <c r="AE9" i="3"/>
  <c r="AX9" i="3"/>
  <c r="Z9" i="3"/>
  <c r="AQ9" i="3"/>
  <c r="AN9" i="3"/>
  <c r="AL9" i="3"/>
  <c r="AZ9" i="3"/>
  <c r="AT9" i="3"/>
  <c r="AP9" i="3"/>
  <c r="BB9" i="3"/>
  <c r="AB9" i="3"/>
  <c r="AR9" i="3"/>
  <c r="O9" i="3"/>
  <c r="M9" i="3"/>
  <c r="AW9" i="3"/>
  <c r="AG9" i="3"/>
  <c r="S9" i="3"/>
  <c r="AA9" i="3"/>
  <c r="E9" i="3"/>
  <c r="AS9" i="3"/>
  <c r="AJ9" i="3"/>
  <c r="Q9" i="3"/>
  <c r="AH9" i="3"/>
  <c r="AY9" i="3"/>
  <c r="B9" i="3"/>
  <c r="Y9" i="3"/>
  <c r="AA55" i="1"/>
  <c r="Z55" i="1"/>
  <c r="AI55" i="1"/>
  <c r="AV55" i="1"/>
  <c r="AN55" i="1"/>
  <c r="Q55" i="1"/>
  <c r="AJ55" i="1"/>
  <c r="AM55" i="1"/>
  <c r="L55" i="1"/>
  <c r="AW55" i="1"/>
  <c r="Y55" i="1"/>
  <c r="AR55" i="1"/>
  <c r="E55" i="1"/>
  <c r="AB55" i="1"/>
  <c r="O55" i="1"/>
  <c r="AT55" i="1"/>
  <c r="H55" i="1"/>
  <c r="AY55" i="1"/>
  <c r="AO55" i="1"/>
  <c r="R55" i="1"/>
  <c r="AF55" i="1"/>
  <c r="M55" i="1"/>
  <c r="AC55" i="1"/>
  <c r="AZ55" i="1"/>
  <c r="BF55" i="1"/>
  <c r="BA55" i="1"/>
  <c r="D55" i="1"/>
  <c r="BD55" i="1"/>
  <c r="AX55" i="1"/>
  <c r="AK55" i="1"/>
  <c r="K55" i="1"/>
  <c r="AL55" i="1"/>
  <c r="AQ55" i="1"/>
  <c r="BC55" i="1"/>
  <c r="W55" i="1"/>
  <c r="S55" i="1"/>
  <c r="AG55" i="1"/>
  <c r="BE55" i="1"/>
  <c r="J55" i="1"/>
  <c r="P55" i="1"/>
  <c r="AU55" i="1"/>
  <c r="BB55" i="1"/>
  <c r="X55" i="1"/>
  <c r="AS55" i="1"/>
  <c r="AE55" i="1"/>
  <c r="V55" i="1"/>
  <c r="AH55" i="1"/>
  <c r="AD55" i="1"/>
  <c r="C55" i="1"/>
  <c r="U55" i="1"/>
  <c r="AP55" i="1"/>
  <c r="N55" i="1"/>
  <c r="B55" i="1"/>
  <c r="T55" i="1"/>
  <c r="AL50" i="6"/>
  <c r="AF50" i="6"/>
  <c r="T50" i="6"/>
  <c r="AJ50" i="6"/>
  <c r="BB50" i="6"/>
  <c r="AK50" i="6"/>
  <c r="E50" i="6"/>
  <c r="AQ50" i="6"/>
  <c r="BF50" i="6"/>
  <c r="AB50" i="6"/>
  <c r="Y50" i="6"/>
  <c r="C50" i="6"/>
  <c r="AA50" i="6"/>
  <c r="D50" i="6"/>
  <c r="S50" i="6"/>
  <c r="AH50" i="6"/>
  <c r="X50" i="6"/>
  <c r="V50" i="6"/>
  <c r="BC50" i="6"/>
  <c r="Q50" i="6"/>
  <c r="N50" i="6"/>
  <c r="AC50" i="6"/>
  <c r="BA50" i="6"/>
  <c r="BD50" i="6"/>
  <c r="P50" i="6"/>
  <c r="AR50" i="6"/>
  <c r="K50" i="6"/>
  <c r="AD50" i="6"/>
  <c r="AI50" i="6"/>
  <c r="AS50" i="6"/>
  <c r="R50" i="6"/>
  <c r="AG50" i="6"/>
  <c r="BE50" i="6"/>
  <c r="AE50" i="6"/>
  <c r="AT50" i="6"/>
  <c r="AU50" i="6"/>
  <c r="AP50" i="6"/>
  <c r="AN50" i="6"/>
  <c r="AM50" i="6"/>
  <c r="AX50" i="6"/>
  <c r="AW50" i="6"/>
  <c r="AY50" i="6"/>
  <c r="U50" i="6"/>
  <c r="Z50" i="6"/>
  <c r="AO50" i="6"/>
  <c r="H50" i="6"/>
  <c r="M50" i="6"/>
  <c r="AV50" i="6"/>
  <c r="AZ50" i="6"/>
  <c r="O50" i="6"/>
  <c r="W50" i="6"/>
  <c r="L50" i="6"/>
  <c r="B50" i="6"/>
  <c r="J50" i="6"/>
  <c r="F32" i="2"/>
  <c r="G32" i="2"/>
  <c r="I32" i="2"/>
  <c r="F39" i="6"/>
  <c r="G39" i="6"/>
  <c r="I39" i="6"/>
  <c r="K43" i="3"/>
  <c r="AF43" i="3"/>
  <c r="P43" i="3"/>
  <c r="H43" i="3"/>
  <c r="BE43" i="3"/>
  <c r="AZ43" i="3"/>
  <c r="AK43" i="3"/>
  <c r="AU43" i="3"/>
  <c r="AI43" i="3"/>
  <c r="AQ43" i="3"/>
  <c r="O43" i="3"/>
  <c r="AJ43" i="3"/>
  <c r="AW43" i="3"/>
  <c r="M43" i="3"/>
  <c r="AH43" i="3"/>
  <c r="W43" i="3"/>
  <c r="X43" i="3"/>
  <c r="L43" i="3"/>
  <c r="AD43" i="3"/>
  <c r="U43" i="3"/>
  <c r="AN43" i="3"/>
  <c r="BA43" i="3"/>
  <c r="AX43" i="3"/>
  <c r="AS43" i="3"/>
  <c r="AA43" i="3"/>
  <c r="Q43" i="3"/>
  <c r="AG43" i="3"/>
  <c r="S43" i="3"/>
  <c r="AO43" i="3"/>
  <c r="AB43" i="3"/>
  <c r="BF43" i="3"/>
  <c r="AY43" i="3"/>
  <c r="D43" i="3"/>
  <c r="E43" i="3"/>
  <c r="AP43" i="3"/>
  <c r="R43" i="3"/>
  <c r="C43" i="3"/>
  <c r="AT43" i="3"/>
  <c r="AL43" i="3"/>
  <c r="T43" i="3"/>
  <c r="V43" i="3"/>
  <c r="BB43" i="3"/>
  <c r="BD43" i="3"/>
  <c r="Y43" i="3"/>
  <c r="AC43" i="3"/>
  <c r="N43" i="3"/>
  <c r="AR43" i="3"/>
  <c r="AE43" i="3"/>
  <c r="J43" i="3"/>
  <c r="AV43" i="3"/>
  <c r="Z43" i="3"/>
  <c r="AM43" i="3"/>
  <c r="B43" i="3"/>
  <c r="BC43" i="3"/>
  <c r="F19" i="5"/>
  <c r="G19" i="5"/>
  <c r="I19" i="5"/>
  <c r="AF49" i="4"/>
  <c r="AE49" i="4"/>
  <c r="AC49" i="4"/>
  <c r="AB49" i="4"/>
  <c r="AX49" i="4"/>
  <c r="AP49" i="4"/>
  <c r="Y49" i="4"/>
  <c r="Z49" i="4"/>
  <c r="AH49" i="4"/>
  <c r="L49" i="4"/>
  <c r="M49" i="4"/>
  <c r="P49" i="4"/>
  <c r="W49" i="4"/>
  <c r="AW49" i="4"/>
  <c r="T49" i="4"/>
  <c r="AZ49" i="4"/>
  <c r="AO49" i="4"/>
  <c r="AT49" i="4"/>
  <c r="BB49" i="4"/>
  <c r="S49" i="4"/>
  <c r="O49" i="4"/>
  <c r="V49" i="4"/>
  <c r="H49" i="4"/>
  <c r="X49" i="4"/>
  <c r="AN49" i="4"/>
  <c r="BC49" i="4"/>
  <c r="D49" i="4"/>
  <c r="AS49" i="4"/>
  <c r="AJ49" i="4"/>
  <c r="N49" i="4"/>
  <c r="AI49" i="4"/>
  <c r="AQ49" i="4"/>
  <c r="C49" i="4"/>
  <c r="AY49" i="4"/>
  <c r="AK49" i="4"/>
  <c r="AG49" i="4"/>
  <c r="J49" i="4"/>
  <c r="K49" i="4"/>
  <c r="Q49" i="4"/>
  <c r="AV49" i="4"/>
  <c r="AM49" i="4"/>
  <c r="AU49" i="4"/>
  <c r="AD49" i="4"/>
  <c r="AR49" i="4"/>
  <c r="BA49" i="4"/>
  <c r="BF49" i="4"/>
  <c r="R49" i="4"/>
  <c r="AL49" i="4"/>
  <c r="U49" i="4"/>
  <c r="BD49" i="4"/>
  <c r="E49" i="4"/>
  <c r="AA49" i="4"/>
  <c r="B49" i="4"/>
  <c r="BE49" i="4"/>
  <c r="B41" i="5"/>
  <c r="I41" i="5"/>
  <c r="G41" i="5"/>
  <c r="F41" i="5"/>
  <c r="AP4" i="3"/>
  <c r="S4" i="3"/>
  <c r="BE4" i="3"/>
  <c r="AM4" i="3"/>
  <c r="BF4" i="3"/>
  <c r="AX4" i="3"/>
  <c r="R4" i="3"/>
  <c r="AR4" i="3"/>
  <c r="AH4" i="3"/>
  <c r="AG4" i="3"/>
  <c r="BD4" i="3"/>
  <c r="AQ4" i="3"/>
  <c r="V4" i="3"/>
  <c r="Y4" i="3"/>
  <c r="X4" i="3"/>
  <c r="AU4" i="3"/>
  <c r="AV4" i="3"/>
  <c r="AJ4" i="3"/>
  <c r="J4" i="3"/>
  <c r="AW4" i="3"/>
  <c r="AT4" i="3"/>
  <c r="AO4" i="3"/>
  <c r="U4" i="3"/>
  <c r="AZ4" i="3"/>
  <c r="AA4" i="3"/>
  <c r="E4" i="3"/>
  <c r="P4" i="3"/>
  <c r="AL4" i="3"/>
  <c r="AB4" i="3"/>
  <c r="BC4" i="3"/>
  <c r="C4" i="3"/>
  <c r="AD4" i="3"/>
  <c r="AN4" i="3"/>
  <c r="N4" i="3"/>
  <c r="Q4" i="3"/>
  <c r="AE4" i="3"/>
  <c r="K4" i="3"/>
  <c r="M4" i="3"/>
  <c r="AF4" i="3"/>
  <c r="D4" i="3"/>
  <c r="AI4" i="3"/>
  <c r="AK4" i="3"/>
  <c r="BB4" i="3"/>
  <c r="W4" i="3"/>
  <c r="L4" i="3"/>
  <c r="BA4" i="3"/>
  <c r="AS4" i="3"/>
  <c r="T4" i="3"/>
  <c r="AY4" i="3"/>
  <c r="AC4" i="3"/>
  <c r="H4" i="3"/>
  <c r="O4" i="3"/>
  <c r="Z4" i="3"/>
  <c r="K41" i="1"/>
  <c r="AI41" i="1"/>
  <c r="Q41" i="1"/>
  <c r="W41" i="1"/>
  <c r="J41" i="1"/>
  <c r="H41" i="1"/>
  <c r="T41" i="1"/>
  <c r="AN41" i="1"/>
  <c r="BB41" i="1"/>
  <c r="X41" i="1"/>
  <c r="BC41" i="1"/>
  <c r="R41" i="1"/>
  <c r="AA41" i="1"/>
  <c r="L41" i="1"/>
  <c r="AQ41" i="1"/>
  <c r="AM41" i="1"/>
  <c r="AB41" i="1"/>
  <c r="N41" i="1"/>
  <c r="Y41" i="1"/>
  <c r="U41" i="1"/>
  <c r="C41" i="1"/>
  <c r="AH41" i="1"/>
  <c r="AV41" i="1"/>
  <c r="V41" i="1"/>
  <c r="AT41" i="1"/>
  <c r="BA41" i="1"/>
  <c r="AO41" i="1"/>
  <c r="AZ41" i="1"/>
  <c r="D41" i="1"/>
  <c r="AW41" i="1"/>
  <c r="BE41" i="1"/>
  <c r="AK41" i="1"/>
  <c r="AX41" i="1"/>
  <c r="O41" i="1"/>
  <c r="BD41" i="1"/>
  <c r="AJ41" i="1"/>
  <c r="AP41" i="1"/>
  <c r="AE41" i="1"/>
  <c r="BF41" i="1"/>
  <c r="AY41" i="1"/>
  <c r="AL41" i="1"/>
  <c r="AS41" i="1"/>
  <c r="AU41" i="1"/>
  <c r="Z41" i="1"/>
  <c r="AF41" i="1"/>
  <c r="E41" i="1"/>
  <c r="AG41" i="1"/>
  <c r="AD41" i="1"/>
  <c r="AR41" i="1"/>
  <c r="S41" i="1"/>
  <c r="M41" i="1"/>
  <c r="P41" i="1"/>
  <c r="B41" i="1"/>
  <c r="AC41" i="1"/>
  <c r="B50" i="2"/>
  <c r="I50" i="2"/>
  <c r="G50" i="2"/>
  <c r="F50" i="2"/>
  <c r="B17" i="3"/>
  <c r="I17" i="3"/>
  <c r="G17" i="3"/>
  <c r="F17" i="3"/>
  <c r="I5" i="1"/>
  <c r="G5" i="1"/>
  <c r="F5" i="1"/>
  <c r="AR21" i="2"/>
  <c r="AO21" i="2"/>
  <c r="BB21" i="2"/>
  <c r="AI21" i="2"/>
  <c r="AE21" i="2"/>
  <c r="AA21" i="2"/>
  <c r="X21" i="2"/>
  <c r="T21" i="2"/>
  <c r="AH21" i="2"/>
  <c r="AN21" i="2"/>
  <c r="V21" i="2"/>
  <c r="AM21" i="2"/>
  <c r="Z21" i="2"/>
  <c r="P21" i="2"/>
  <c r="C21" i="2"/>
  <c r="AD21" i="2"/>
  <c r="BF21" i="2"/>
  <c r="Q21" i="2"/>
  <c r="AV21" i="2"/>
  <c r="BD21" i="2"/>
  <c r="AJ21" i="2"/>
  <c r="BA21" i="2"/>
  <c r="U21" i="2"/>
  <c r="O21" i="2"/>
  <c r="N21" i="2"/>
  <c r="J21" i="2"/>
  <c r="AW21" i="2"/>
  <c r="AX21" i="2"/>
  <c r="D21" i="2"/>
  <c r="AG21" i="2"/>
  <c r="M21" i="2"/>
  <c r="AS21" i="2"/>
  <c r="AQ21" i="2"/>
  <c r="H21" i="2"/>
  <c r="BC21" i="2"/>
  <c r="AL21" i="2"/>
  <c r="AU21" i="2"/>
  <c r="BE21" i="2"/>
  <c r="AC21" i="2"/>
  <c r="L21" i="2"/>
  <c r="Y21" i="2"/>
  <c r="W21" i="2"/>
  <c r="AZ21" i="2"/>
  <c r="K21" i="2"/>
  <c r="AY21" i="2"/>
  <c r="AB21" i="2"/>
  <c r="AT21" i="2"/>
  <c r="E21" i="2"/>
  <c r="AF21" i="2"/>
  <c r="S21" i="2"/>
  <c r="R21" i="2"/>
  <c r="AK21" i="2"/>
  <c r="B21" i="2"/>
  <c r="AP21" i="2"/>
  <c r="BB41" i="2"/>
  <c r="E41" i="2"/>
  <c r="BF41" i="2"/>
  <c r="AN41" i="2"/>
  <c r="AW41" i="2"/>
  <c r="AI41" i="2"/>
  <c r="X41" i="2"/>
  <c r="AY41" i="2"/>
  <c r="V41" i="2"/>
  <c r="AP41" i="2"/>
  <c r="AH41" i="2"/>
  <c r="L41" i="2"/>
  <c r="AM41" i="2"/>
  <c r="AD41" i="2"/>
  <c r="R41" i="2"/>
  <c r="H41" i="2"/>
  <c r="AF41" i="2"/>
  <c r="M41" i="2"/>
  <c r="C41" i="2"/>
  <c r="Z41" i="2"/>
  <c r="T41" i="2"/>
  <c r="AL41" i="2"/>
  <c r="AA41" i="2"/>
  <c r="S41" i="2"/>
  <c r="J41" i="2"/>
  <c r="N41" i="2"/>
  <c r="AQ41" i="2"/>
  <c r="AE41" i="2"/>
  <c r="AV41" i="2"/>
  <c r="AR41" i="2"/>
  <c r="AZ41" i="2"/>
  <c r="BA41" i="2"/>
  <c r="AU41" i="2"/>
  <c r="AG41" i="2"/>
  <c r="AK41" i="2"/>
  <c r="Y41" i="2"/>
  <c r="BD41" i="2"/>
  <c r="AS41" i="2"/>
  <c r="BC41" i="2"/>
  <c r="BE41" i="2"/>
  <c r="U41" i="2"/>
  <c r="Q41" i="2"/>
  <c r="AJ41" i="2"/>
  <c r="P41" i="2"/>
  <c r="W41" i="2"/>
  <c r="O41" i="2"/>
  <c r="D41" i="2"/>
  <c r="AX41" i="2"/>
  <c r="AB41" i="2"/>
  <c r="AO41" i="2"/>
  <c r="AC41" i="2"/>
  <c r="K41" i="2"/>
  <c r="AT41" i="2"/>
  <c r="B29" i="1"/>
  <c r="I29" i="1"/>
  <c r="G29" i="1"/>
  <c r="F29" i="1"/>
  <c r="B18" i="5"/>
  <c r="I18" i="5"/>
  <c r="G18" i="5"/>
  <c r="F18" i="5"/>
  <c r="BF51" i="5"/>
  <c r="T51" i="5"/>
  <c r="E51" i="5"/>
  <c r="AY51" i="5"/>
  <c r="K51" i="5"/>
  <c r="X51" i="5"/>
  <c r="AM51" i="5"/>
  <c r="L51" i="5"/>
  <c r="AQ51" i="5"/>
  <c r="Q51" i="5"/>
  <c r="AE51" i="5"/>
  <c r="P51" i="5"/>
  <c r="AJ51" i="5"/>
  <c r="V51" i="5"/>
  <c r="AK51" i="5"/>
  <c r="AZ51" i="5"/>
  <c r="AH51" i="5"/>
  <c r="BB51" i="5"/>
  <c r="AG51" i="5"/>
  <c r="AL51" i="5"/>
  <c r="AS51" i="5"/>
  <c r="BD51" i="5"/>
  <c r="BE51" i="5"/>
  <c r="Y51" i="5"/>
  <c r="AC51" i="5"/>
  <c r="H51" i="5"/>
  <c r="AX51" i="5"/>
  <c r="AP51" i="5"/>
  <c r="AF51" i="5"/>
  <c r="BA51" i="5"/>
  <c r="R51" i="5"/>
  <c r="J51" i="5"/>
  <c r="AD51" i="5"/>
  <c r="AO51" i="5"/>
  <c r="O51" i="5"/>
  <c r="AT51" i="5"/>
  <c r="D51" i="5"/>
  <c r="W51" i="5"/>
  <c r="AU51" i="5"/>
  <c r="AR51" i="5"/>
  <c r="S51" i="5"/>
  <c r="Z51" i="5"/>
  <c r="N51" i="5"/>
  <c r="U51" i="5"/>
  <c r="AW51" i="5"/>
  <c r="AN51" i="5"/>
  <c r="M51" i="5"/>
  <c r="AV51" i="5"/>
  <c r="C51" i="5"/>
  <c r="BC51" i="5"/>
  <c r="AB51" i="5"/>
  <c r="AI51" i="5"/>
  <c r="AA51" i="5"/>
  <c r="R26" i="4"/>
  <c r="T26" i="4"/>
  <c r="D26" i="4"/>
  <c r="BB26" i="4"/>
  <c r="AJ26" i="4"/>
  <c r="AX26" i="4"/>
  <c r="V26" i="4"/>
  <c r="BE26" i="4"/>
  <c r="AG26" i="4"/>
  <c r="AS26" i="4"/>
  <c r="AD26" i="4"/>
  <c r="AR26" i="4"/>
  <c r="L26" i="4"/>
  <c r="N26" i="4"/>
  <c r="BD26" i="4"/>
  <c r="AQ26" i="4"/>
  <c r="AC26" i="4"/>
  <c r="E26" i="4"/>
  <c r="AW26" i="4"/>
  <c r="W26" i="4"/>
  <c r="AK26" i="4"/>
  <c r="O26" i="4"/>
  <c r="AL26" i="4"/>
  <c r="C26" i="4"/>
  <c r="AA26" i="4"/>
  <c r="Z26" i="4"/>
  <c r="AH26" i="4"/>
  <c r="M26" i="4"/>
  <c r="X26" i="4"/>
  <c r="AN26" i="4"/>
  <c r="AB26" i="4"/>
  <c r="BF26" i="4"/>
  <c r="S26" i="4"/>
  <c r="AO26" i="4"/>
  <c r="AF26" i="4"/>
  <c r="AI26" i="4"/>
  <c r="AV26" i="4"/>
  <c r="U26" i="4"/>
  <c r="J26" i="4"/>
  <c r="Y26" i="4"/>
  <c r="Q26" i="4"/>
  <c r="AP26" i="4"/>
  <c r="AT26" i="4"/>
  <c r="AZ26" i="4"/>
  <c r="H26" i="4"/>
  <c r="AU26" i="4"/>
  <c r="AY26" i="4"/>
  <c r="AE26" i="4"/>
  <c r="P26" i="4"/>
  <c r="BC26" i="4"/>
  <c r="AM26" i="4"/>
  <c r="BA26" i="4"/>
  <c r="K26" i="4"/>
  <c r="E21" i="6"/>
  <c r="AL21" i="6"/>
  <c r="P21" i="6"/>
  <c r="BF21" i="6"/>
  <c r="AT21" i="6"/>
  <c r="AG21" i="6"/>
  <c r="AK21" i="6"/>
  <c r="AI21" i="6"/>
  <c r="AO21" i="6"/>
  <c r="AH21" i="6"/>
  <c r="AJ21" i="6"/>
  <c r="BA21" i="6"/>
  <c r="BB21" i="6"/>
  <c r="T21" i="6"/>
  <c r="AF21" i="6"/>
  <c r="Q21" i="6"/>
  <c r="N21" i="6"/>
  <c r="AU21" i="6"/>
  <c r="AE21" i="6"/>
  <c r="AC21" i="6"/>
  <c r="BD21" i="6"/>
  <c r="K21" i="6"/>
  <c r="R21" i="6"/>
  <c r="AR21" i="6"/>
  <c r="C21" i="6"/>
  <c r="H21" i="6"/>
  <c r="AY21" i="6"/>
  <c r="AD21" i="6"/>
  <c r="AV21" i="6"/>
  <c r="L21" i="6"/>
  <c r="AM21" i="6"/>
  <c r="W21" i="6"/>
  <c r="Z21" i="6"/>
  <c r="J21" i="6"/>
  <c r="AP21" i="6"/>
  <c r="AA21" i="6"/>
  <c r="U21" i="6"/>
  <c r="AQ21" i="6"/>
  <c r="AS21" i="6"/>
  <c r="V21" i="6"/>
  <c r="M21" i="6"/>
  <c r="AZ21" i="6"/>
  <c r="AW21" i="6"/>
  <c r="S21" i="6"/>
  <c r="AN21" i="6"/>
  <c r="X21" i="6"/>
  <c r="AB21" i="6"/>
  <c r="BE21" i="6"/>
  <c r="O21" i="6"/>
  <c r="D21" i="6"/>
  <c r="BC21" i="6"/>
  <c r="Y21" i="6"/>
  <c r="AX21" i="6"/>
  <c r="I13" i="3"/>
  <c r="G13" i="3"/>
  <c r="F13" i="3"/>
  <c r="AZ37" i="1"/>
  <c r="AX37" i="1"/>
  <c r="AM37" i="1"/>
  <c r="W37" i="1"/>
  <c r="BC37" i="1"/>
  <c r="L37" i="1"/>
  <c r="AS37" i="1"/>
  <c r="AE37" i="1"/>
  <c r="BE37" i="1"/>
  <c r="Z37" i="1"/>
  <c r="U37" i="1"/>
  <c r="AU37" i="1"/>
  <c r="O37" i="1"/>
  <c r="AG37" i="1"/>
  <c r="C37" i="1"/>
  <c r="Q37" i="1"/>
  <c r="AO37" i="1"/>
  <c r="AP37" i="1"/>
  <c r="AJ37" i="1"/>
  <c r="BF37" i="1"/>
  <c r="X37" i="1"/>
  <c r="AH37" i="1"/>
  <c r="AL37" i="1"/>
  <c r="AQ37" i="1"/>
  <c r="H37" i="1"/>
  <c r="E37" i="1"/>
  <c r="AA37" i="1"/>
  <c r="N37" i="1"/>
  <c r="AW37" i="1"/>
  <c r="AC37" i="1"/>
  <c r="T37" i="1"/>
  <c r="Y37" i="1"/>
  <c r="M37" i="1"/>
  <c r="P37" i="1"/>
  <c r="AR37" i="1"/>
  <c r="AN37" i="1"/>
  <c r="AB37" i="1"/>
  <c r="V37" i="1"/>
  <c r="R37" i="1"/>
  <c r="AD37" i="1"/>
  <c r="AF37" i="1"/>
  <c r="AK37" i="1"/>
  <c r="J37" i="1"/>
  <c r="K37" i="1"/>
  <c r="AI37" i="1"/>
  <c r="BB37" i="1"/>
  <c r="S37" i="1"/>
  <c r="AV37" i="1"/>
  <c r="BA37" i="1"/>
  <c r="AY37" i="1"/>
  <c r="AT37" i="1"/>
  <c r="BD37" i="1"/>
  <c r="D37" i="1"/>
  <c r="I4" i="2"/>
  <c r="G4" i="2"/>
  <c r="F4" i="2"/>
  <c r="B26" i="4"/>
  <c r="I26" i="4"/>
  <c r="G26" i="4"/>
  <c r="F26" i="4"/>
  <c r="M23" i="3"/>
  <c r="AN23" i="3"/>
  <c r="AK23" i="3"/>
  <c r="AY23" i="3"/>
  <c r="AD23" i="3"/>
  <c r="E23" i="3"/>
  <c r="AL23" i="3"/>
  <c r="AR23" i="3"/>
  <c r="AB23" i="3"/>
  <c r="AV23" i="3"/>
  <c r="O23" i="3"/>
  <c r="D23" i="3"/>
  <c r="AW23" i="3"/>
  <c r="AM23" i="3"/>
  <c r="BE23" i="3"/>
  <c r="AO23" i="3"/>
  <c r="AJ23" i="3"/>
  <c r="W23" i="3"/>
  <c r="P23" i="3"/>
  <c r="AU23" i="3"/>
  <c r="AX23" i="3"/>
  <c r="C23" i="3"/>
  <c r="AG23" i="3"/>
  <c r="AZ23" i="3"/>
  <c r="BF23" i="3"/>
  <c r="AI23" i="3"/>
  <c r="U23" i="3"/>
  <c r="BA23" i="3"/>
  <c r="AS23" i="3"/>
  <c r="AQ23" i="3"/>
  <c r="AC23" i="3"/>
  <c r="BB23" i="3"/>
  <c r="AE23" i="3"/>
  <c r="H23" i="3"/>
  <c r="Y23" i="3"/>
  <c r="S23" i="3"/>
  <c r="BC23" i="3"/>
  <c r="K23" i="3"/>
  <c r="R23" i="3"/>
  <c r="N23" i="3"/>
  <c r="AA23" i="3"/>
  <c r="V23" i="3"/>
  <c r="Z23" i="3"/>
  <c r="AP23" i="3"/>
  <c r="X23" i="3"/>
  <c r="T23" i="3"/>
  <c r="AT23" i="3"/>
  <c r="AF23" i="3"/>
  <c r="Q23" i="3"/>
  <c r="AH23" i="3"/>
  <c r="L23" i="3"/>
  <c r="BD23" i="3"/>
  <c r="J23" i="3"/>
  <c r="I49" i="3"/>
  <c r="G49" i="3"/>
  <c r="F49" i="3"/>
  <c r="F3" i="5"/>
  <c r="G3" i="5"/>
  <c r="I3" i="5"/>
  <c r="AG41" i="6"/>
  <c r="AJ41" i="6"/>
  <c r="AR41" i="6"/>
  <c r="X41" i="6"/>
  <c r="D41" i="6"/>
  <c r="AX41" i="6"/>
  <c r="BE41" i="6"/>
  <c r="U41" i="6"/>
  <c r="L41" i="6"/>
  <c r="T41" i="6"/>
  <c r="AC41" i="6"/>
  <c r="AV41" i="6"/>
  <c r="AL41" i="6"/>
  <c r="S41" i="6"/>
  <c r="Y41" i="6"/>
  <c r="AY41" i="6"/>
  <c r="AA41" i="6"/>
  <c r="AM41" i="6"/>
  <c r="BB41" i="6"/>
  <c r="AK41" i="6"/>
  <c r="BF41" i="6"/>
  <c r="BA41" i="6"/>
  <c r="H41" i="6"/>
  <c r="BD41" i="6"/>
  <c r="V41" i="6"/>
  <c r="N41" i="6"/>
  <c r="AN41" i="6"/>
  <c r="AB41" i="6"/>
  <c r="AZ41" i="6"/>
  <c r="AQ41" i="6"/>
  <c r="E41" i="6"/>
  <c r="AH41" i="6"/>
  <c r="AO41" i="6"/>
  <c r="C41" i="6"/>
  <c r="Z41" i="6"/>
  <c r="P41" i="6"/>
  <c r="AT41" i="6"/>
  <c r="AD41" i="6"/>
  <c r="AI41" i="6"/>
  <c r="O41" i="6"/>
  <c r="R41" i="6"/>
  <c r="J41" i="6"/>
  <c r="Q41" i="6"/>
  <c r="AU41" i="6"/>
  <c r="BC41" i="6"/>
  <c r="AW41" i="6"/>
  <c r="M41" i="6"/>
  <c r="K41" i="6"/>
  <c r="AE41" i="6"/>
  <c r="AP41" i="6"/>
  <c r="W41" i="6"/>
  <c r="AS41" i="6"/>
  <c r="B41" i="6"/>
  <c r="AF41" i="6"/>
  <c r="F25" i="4"/>
  <c r="G25" i="4"/>
  <c r="I25" i="4"/>
  <c r="I52" i="4"/>
  <c r="G52" i="4"/>
  <c r="F52" i="4"/>
  <c r="B18" i="2"/>
  <c r="I18" i="2"/>
  <c r="G18" i="2"/>
  <c r="F18" i="2"/>
  <c r="BC30" i="3"/>
  <c r="AK30" i="3"/>
  <c r="AF30" i="3"/>
  <c r="AR30" i="3"/>
  <c r="P30" i="3"/>
  <c r="N30" i="3"/>
  <c r="Q30" i="3"/>
  <c r="AP30" i="3"/>
  <c r="AT30" i="3"/>
  <c r="BF30" i="3"/>
  <c r="V30" i="3"/>
  <c r="D30" i="3"/>
  <c r="J30" i="3"/>
  <c r="U30" i="3"/>
  <c r="AS30" i="3"/>
  <c r="R30" i="3"/>
  <c r="AW30" i="3"/>
  <c r="C30" i="3"/>
  <c r="T30" i="3"/>
  <c r="AY30" i="3"/>
  <c r="AJ30" i="3"/>
  <c r="W30" i="3"/>
  <c r="BE30" i="3"/>
  <c r="O30" i="3"/>
  <c r="Z30" i="3"/>
  <c r="AL30" i="3"/>
  <c r="AQ30" i="3"/>
  <c r="H30" i="3"/>
  <c r="AB30" i="3"/>
  <c r="AE30" i="3"/>
  <c r="BA30" i="3"/>
  <c r="AN30" i="3"/>
  <c r="AC30" i="3"/>
  <c r="AD30" i="3"/>
  <c r="BD30" i="3"/>
  <c r="AG30" i="3"/>
  <c r="M30" i="3"/>
  <c r="S30" i="3"/>
  <c r="AX30" i="3"/>
  <c r="AI30" i="3"/>
  <c r="AO30" i="3"/>
  <c r="K30" i="3"/>
  <c r="AU30" i="3"/>
  <c r="X30" i="3"/>
  <c r="AZ30" i="3"/>
  <c r="BB30" i="3"/>
  <c r="AA30" i="3"/>
  <c r="E30" i="3"/>
  <c r="AH30" i="3"/>
  <c r="L30" i="3"/>
  <c r="Y30" i="3"/>
  <c r="AV30" i="3"/>
  <c r="AM30" i="3"/>
  <c r="F2" i="3"/>
  <c r="G2" i="3"/>
  <c r="I2" i="3"/>
  <c r="B2" i="2"/>
  <c r="I2" i="2"/>
  <c r="G2" i="2"/>
  <c r="F2" i="2"/>
  <c r="U24" i="5"/>
  <c r="AC24" i="5"/>
  <c r="C24" i="5"/>
  <c r="AX24" i="5"/>
  <c r="AE24" i="5"/>
  <c r="AL24" i="5"/>
  <c r="BE24" i="5"/>
  <c r="Z24" i="5"/>
  <c r="Y24" i="5"/>
  <c r="BC24" i="5"/>
  <c r="AT24" i="5"/>
  <c r="AY24" i="5"/>
  <c r="AM24" i="5"/>
  <c r="AK24" i="5"/>
  <c r="M24" i="5"/>
  <c r="AN24" i="5"/>
  <c r="AJ24" i="5"/>
  <c r="AA24" i="5"/>
  <c r="J24" i="5"/>
  <c r="AB24" i="5"/>
  <c r="AO24" i="5"/>
  <c r="AR24" i="5"/>
  <c r="BD24" i="5"/>
  <c r="T24" i="5"/>
  <c r="Q24" i="5"/>
  <c r="AD24" i="5"/>
  <c r="H24" i="5"/>
  <c r="AZ24" i="5"/>
  <c r="W24" i="5"/>
  <c r="BF24" i="5"/>
  <c r="AF24" i="5"/>
  <c r="BA24" i="5"/>
  <c r="AQ24" i="5"/>
  <c r="BB24" i="5"/>
  <c r="N24" i="5"/>
  <c r="V24" i="5"/>
  <c r="AP24" i="5"/>
  <c r="AU24" i="5"/>
  <c r="S24" i="5"/>
  <c r="AV24" i="5"/>
  <c r="AG24" i="5"/>
  <c r="D24" i="5"/>
  <c r="P24" i="5"/>
  <c r="E24" i="5"/>
  <c r="AS24" i="5"/>
  <c r="AI24" i="5"/>
  <c r="AH24" i="5"/>
  <c r="O24" i="5"/>
  <c r="R24" i="5"/>
  <c r="L24" i="5"/>
  <c r="K24" i="5"/>
  <c r="X24" i="5"/>
  <c r="AW24" i="5"/>
  <c r="F27" i="6"/>
  <c r="G27" i="6"/>
  <c r="I27" i="6"/>
  <c r="B40" i="3"/>
  <c r="I40" i="3"/>
  <c r="G40" i="3"/>
  <c r="F40" i="3"/>
  <c r="F35" i="8"/>
  <c r="G35" i="8"/>
  <c r="I35" i="8"/>
  <c r="F17" i="2"/>
  <c r="G17" i="2"/>
  <c r="I17" i="2"/>
  <c r="AF44" i="8"/>
  <c r="AP44" i="8"/>
  <c r="AB44" i="8"/>
  <c r="AQ44" i="8"/>
  <c r="AS44" i="8"/>
  <c r="C44" i="8"/>
  <c r="Q44" i="8"/>
  <c r="V44" i="8"/>
  <c r="O44" i="8"/>
  <c r="T44" i="8"/>
  <c r="AO44" i="8"/>
  <c r="AJ44" i="8"/>
  <c r="Y44" i="8"/>
  <c r="AY44" i="8"/>
  <c r="L44" i="8"/>
  <c r="BA44" i="8"/>
  <c r="E44" i="8"/>
  <c r="AT44" i="8"/>
  <c r="BE44" i="8"/>
  <c r="AU44" i="8"/>
  <c r="AL44" i="8"/>
  <c r="AX44" i="8"/>
  <c r="AA44" i="8"/>
  <c r="N44" i="8"/>
  <c r="P44" i="8"/>
  <c r="R44" i="8"/>
  <c r="AC44" i="8"/>
  <c r="AN44" i="8"/>
  <c r="U44" i="8"/>
  <c r="K44" i="8"/>
  <c r="BC44" i="8"/>
  <c r="AZ44" i="8"/>
  <c r="AR44" i="8"/>
  <c r="W44" i="8"/>
  <c r="J44" i="8"/>
  <c r="AI44" i="8"/>
  <c r="AH44" i="8"/>
  <c r="Z44" i="8"/>
  <c r="BF44" i="8"/>
  <c r="X44" i="8"/>
  <c r="D44" i="8"/>
  <c r="BD44" i="8"/>
  <c r="AE44" i="8"/>
  <c r="S44" i="8"/>
  <c r="BB44" i="8"/>
  <c r="AG44" i="8"/>
  <c r="AW44" i="8"/>
  <c r="AM44" i="8"/>
  <c r="M44" i="8"/>
  <c r="AV44" i="8"/>
  <c r="AD44" i="8"/>
  <c r="AK44" i="8"/>
  <c r="H44" i="8"/>
  <c r="I15" i="6"/>
  <c r="G15" i="6"/>
  <c r="F15" i="6"/>
  <c r="I27" i="4"/>
  <c r="G27" i="4"/>
  <c r="F27" i="4"/>
  <c r="B23" i="3"/>
  <c r="I23" i="3"/>
  <c r="G23" i="3"/>
  <c r="F23" i="3"/>
  <c r="D46" i="6"/>
  <c r="E46" i="6"/>
  <c r="R46" i="6"/>
  <c r="J46" i="6"/>
  <c r="AL46" i="6"/>
  <c r="Q46" i="6"/>
  <c r="BF46" i="6"/>
  <c r="AO46" i="6"/>
  <c r="Y46" i="6"/>
  <c r="AJ46" i="6"/>
  <c r="AN46" i="6"/>
  <c r="BA46" i="6"/>
  <c r="S46" i="6"/>
  <c r="AB46" i="6"/>
  <c r="AP46" i="6"/>
  <c r="AE46" i="6"/>
  <c r="C46" i="6"/>
  <c r="U46" i="6"/>
  <c r="AR46" i="6"/>
  <c r="AT46" i="6"/>
  <c r="X46" i="6"/>
  <c r="L46" i="6"/>
  <c r="AS46" i="6"/>
  <c r="T46" i="6"/>
  <c r="M46" i="6"/>
  <c r="H46" i="6"/>
  <c r="P46" i="6"/>
  <c r="AF46" i="6"/>
  <c r="AC46" i="6"/>
  <c r="V46" i="6"/>
  <c r="AW46" i="6"/>
  <c r="Z46" i="6"/>
  <c r="AA46" i="6"/>
  <c r="AQ46" i="6"/>
  <c r="K46" i="6"/>
  <c r="AX46" i="6"/>
  <c r="BB46" i="6"/>
  <c r="W46" i="6"/>
  <c r="AU46" i="6"/>
  <c r="AI46" i="6"/>
  <c r="O46" i="6"/>
  <c r="AD46" i="6"/>
  <c r="AG46" i="6"/>
  <c r="BC46" i="6"/>
  <c r="AM46" i="6"/>
  <c r="AH46" i="6"/>
  <c r="BD46" i="6"/>
  <c r="AV46" i="6"/>
  <c r="BE46" i="6"/>
  <c r="N46" i="6"/>
  <c r="AZ46" i="6"/>
  <c r="AY46" i="6"/>
  <c r="B46" i="6"/>
  <c r="AK46" i="6"/>
  <c r="AQ34" i="1"/>
  <c r="AB34" i="1"/>
  <c r="BA34" i="1"/>
  <c r="BE34" i="1"/>
  <c r="U34" i="1"/>
  <c r="W34" i="1"/>
  <c r="AE34" i="1"/>
  <c r="AX34" i="1"/>
  <c r="AW34" i="1"/>
  <c r="AS34" i="1"/>
  <c r="O34" i="1"/>
  <c r="D34" i="1"/>
  <c r="E34" i="1"/>
  <c r="AO34" i="1"/>
  <c r="P34" i="1"/>
  <c r="AA34" i="1"/>
  <c r="AT34" i="1"/>
  <c r="AK34" i="1"/>
  <c r="R34" i="1"/>
  <c r="AC34" i="1"/>
  <c r="N34" i="1"/>
  <c r="AF34" i="1"/>
  <c r="AP34" i="1"/>
  <c r="M34" i="1"/>
  <c r="AZ34" i="1"/>
  <c r="AL34" i="1"/>
  <c r="AG34" i="1"/>
  <c r="AN34" i="1"/>
  <c r="AU34" i="1"/>
  <c r="BC34" i="1"/>
  <c r="K34" i="1"/>
  <c r="AY34" i="1"/>
  <c r="Z34" i="1"/>
  <c r="X34" i="1"/>
  <c r="AR34" i="1"/>
  <c r="Q34" i="1"/>
  <c r="AD34" i="1"/>
  <c r="BD34" i="1"/>
  <c r="AV34" i="1"/>
  <c r="V34" i="1"/>
  <c r="BF34" i="1"/>
  <c r="AH34" i="1"/>
  <c r="AJ34" i="1"/>
  <c r="H34" i="1"/>
  <c r="J34" i="1"/>
  <c r="C34" i="1"/>
  <c r="AM34" i="1"/>
  <c r="Y34" i="1"/>
  <c r="BB34" i="1"/>
  <c r="L34" i="1"/>
  <c r="AI34" i="1"/>
  <c r="T34" i="1"/>
  <c r="S34" i="1"/>
  <c r="F14" i="2"/>
  <c r="G14" i="2"/>
  <c r="I14" i="2"/>
  <c r="I19" i="2"/>
  <c r="G19" i="2"/>
  <c r="F19" i="2"/>
  <c r="N4" i="6"/>
  <c r="P4" i="6"/>
  <c r="AH4" i="6"/>
  <c r="J4" i="6"/>
  <c r="AC4" i="6"/>
  <c r="W4" i="6"/>
  <c r="M4" i="6"/>
  <c r="V4" i="6"/>
  <c r="E4" i="6"/>
  <c r="AJ4" i="6"/>
  <c r="AI4" i="6"/>
  <c r="O4" i="6"/>
  <c r="AW4" i="6"/>
  <c r="D4" i="6"/>
  <c r="AM4" i="6"/>
  <c r="AK4" i="6"/>
  <c r="L4" i="6"/>
  <c r="AP4" i="6"/>
  <c r="AG4" i="6"/>
  <c r="AT4" i="6"/>
  <c r="Q4" i="6"/>
  <c r="BF4" i="6"/>
  <c r="AX4" i="6"/>
  <c r="Y4" i="6"/>
  <c r="H4" i="6"/>
  <c r="AA4" i="6"/>
  <c r="AD4" i="6"/>
  <c r="C4" i="6"/>
  <c r="AF4" i="6"/>
  <c r="AN4" i="6"/>
  <c r="AR4" i="6"/>
  <c r="BE4" i="6"/>
  <c r="U4" i="6"/>
  <c r="AS4" i="6"/>
  <c r="S4" i="6"/>
  <c r="AE4" i="6"/>
  <c r="AO4" i="6"/>
  <c r="BC4" i="6"/>
  <c r="AV4" i="6"/>
  <c r="Z4" i="6"/>
  <c r="AZ4" i="6"/>
  <c r="BD4" i="6"/>
  <c r="AL4" i="6"/>
  <c r="AY4" i="6"/>
  <c r="BB4" i="6"/>
  <c r="T4" i="6"/>
  <c r="X4" i="6"/>
  <c r="AU4" i="6"/>
  <c r="BA4" i="6"/>
  <c r="K4" i="6"/>
  <c r="AB4" i="6"/>
  <c r="AQ4" i="6"/>
  <c r="R4" i="6"/>
  <c r="B51" i="5"/>
  <c r="I51" i="5"/>
  <c r="G51" i="5"/>
  <c r="F51" i="5"/>
  <c r="F29" i="5"/>
  <c r="G29" i="5"/>
  <c r="I29" i="5"/>
  <c r="L30" i="2"/>
  <c r="D30" i="2"/>
  <c r="AZ30" i="2"/>
  <c r="BF30" i="2"/>
  <c r="AE30" i="2"/>
  <c r="AV30" i="2"/>
  <c r="Y30" i="2"/>
  <c r="AU30" i="2"/>
  <c r="AD30" i="2"/>
  <c r="O30" i="2"/>
  <c r="AS30" i="2"/>
  <c r="AM30" i="2"/>
  <c r="AK30" i="2"/>
  <c r="W30" i="2"/>
  <c r="AO30" i="2"/>
  <c r="N30" i="2"/>
  <c r="X30" i="2"/>
  <c r="AC30" i="2"/>
  <c r="E30" i="2"/>
  <c r="AX30" i="2"/>
  <c r="AI30" i="2"/>
  <c r="BB30" i="2"/>
  <c r="AQ30" i="2"/>
  <c r="J30" i="2"/>
  <c r="S30" i="2"/>
  <c r="AR30" i="2"/>
  <c r="AA30" i="2"/>
  <c r="BC30" i="2"/>
  <c r="AF30" i="2"/>
  <c r="AJ30" i="2"/>
  <c r="AH30" i="2"/>
  <c r="AL30" i="2"/>
  <c r="P30" i="2"/>
  <c r="C30" i="2"/>
  <c r="BD30" i="2"/>
  <c r="Z30" i="2"/>
  <c r="U30" i="2"/>
  <c r="H30" i="2"/>
  <c r="AW30" i="2"/>
  <c r="M30" i="2"/>
  <c r="BE30" i="2"/>
  <c r="AN30" i="2"/>
  <c r="T30" i="2"/>
  <c r="BA30" i="2"/>
  <c r="AP30" i="2"/>
  <c r="AB30" i="2"/>
  <c r="R30" i="2"/>
  <c r="V30" i="2"/>
  <c r="K30" i="2"/>
  <c r="AY30" i="2"/>
  <c r="Q30" i="2"/>
  <c r="AT30" i="2"/>
  <c r="AG30" i="2"/>
  <c r="AV18" i="7"/>
  <c r="AC18" i="7"/>
  <c r="AI18" i="7"/>
  <c r="BA18" i="7"/>
  <c r="AO18" i="7"/>
  <c r="T18" i="7"/>
  <c r="H18" i="7"/>
  <c r="AD18" i="7"/>
  <c r="AH18" i="7"/>
  <c r="AX18" i="7"/>
  <c r="AY18" i="7"/>
  <c r="AQ18" i="7"/>
  <c r="Y18" i="7"/>
  <c r="BE18" i="7"/>
  <c r="V18" i="7"/>
  <c r="Z18" i="7"/>
  <c r="S18" i="7"/>
  <c r="AN18" i="7"/>
  <c r="P18" i="7"/>
  <c r="BB18" i="7"/>
  <c r="BD18" i="7"/>
  <c r="AM18" i="7"/>
  <c r="AJ18" i="7"/>
  <c r="AT18" i="7"/>
  <c r="O18" i="7"/>
  <c r="AU18" i="7"/>
  <c r="N18" i="7"/>
  <c r="W18" i="7"/>
  <c r="AB18" i="7"/>
  <c r="AE18" i="7"/>
  <c r="AF18" i="7"/>
  <c r="Q18" i="7"/>
  <c r="AR18" i="7"/>
  <c r="AL18" i="7"/>
  <c r="AG18" i="7"/>
  <c r="D18" i="7"/>
  <c r="AZ18" i="7"/>
  <c r="R18" i="7"/>
  <c r="U18" i="7"/>
  <c r="J18" i="7"/>
  <c r="C18" i="7"/>
  <c r="K18" i="7"/>
  <c r="BF18" i="7"/>
  <c r="BC18" i="7"/>
  <c r="AW18" i="7"/>
  <c r="AK18" i="7"/>
  <c r="E18" i="7"/>
  <c r="M18" i="7"/>
  <c r="AS18" i="7"/>
  <c r="L18" i="7"/>
  <c r="AP18" i="7"/>
  <c r="X18" i="7"/>
  <c r="B18" i="7"/>
  <c r="AA18" i="7"/>
  <c r="AS15" i="6"/>
  <c r="S15" i="6"/>
  <c r="AL15" i="6"/>
  <c r="AI15" i="6"/>
  <c r="AD15" i="6"/>
  <c r="AR15" i="6"/>
  <c r="AT15" i="6"/>
  <c r="P15" i="6"/>
  <c r="Q15" i="6"/>
  <c r="D15" i="6"/>
  <c r="BA15" i="6"/>
  <c r="AK15" i="6"/>
  <c r="BC15" i="6"/>
  <c r="AA15" i="6"/>
  <c r="BF15" i="6"/>
  <c r="BD15" i="6"/>
  <c r="AN15" i="6"/>
  <c r="W15" i="6"/>
  <c r="AQ15" i="6"/>
  <c r="J15" i="6"/>
  <c r="AG15" i="6"/>
  <c r="Y15" i="6"/>
  <c r="AV15" i="6"/>
  <c r="Z15" i="6"/>
  <c r="K15" i="6"/>
  <c r="O15" i="6"/>
  <c r="AB15" i="6"/>
  <c r="AY15" i="6"/>
  <c r="AP15" i="6"/>
  <c r="BE15" i="6"/>
  <c r="AJ15" i="6"/>
  <c r="H15" i="6"/>
  <c r="E15" i="6"/>
  <c r="C15" i="6"/>
  <c r="M15" i="6"/>
  <c r="T15" i="6"/>
  <c r="AZ15" i="6"/>
  <c r="AX15" i="6"/>
  <c r="X15" i="6"/>
  <c r="AU15" i="6"/>
  <c r="L15" i="6"/>
  <c r="R15" i="6"/>
  <c r="AM15" i="6"/>
  <c r="AO15" i="6"/>
  <c r="V15" i="6"/>
  <c r="U15" i="6"/>
  <c r="AF15" i="6"/>
  <c r="AH15" i="6"/>
  <c r="AE15" i="6"/>
  <c r="N15" i="6"/>
  <c r="BB15" i="6"/>
  <c r="AW15" i="6"/>
  <c r="B15" i="6"/>
  <c r="AC15" i="6"/>
  <c r="AG34" i="6"/>
  <c r="AQ34" i="6"/>
  <c r="AX34" i="6"/>
  <c r="AD34" i="6"/>
  <c r="BF34" i="6"/>
  <c r="O34" i="6"/>
  <c r="AV34" i="6"/>
  <c r="BE34" i="6"/>
  <c r="C34" i="6"/>
  <c r="AM34" i="6"/>
  <c r="M34" i="6"/>
  <c r="U34" i="6"/>
  <c r="V34" i="6"/>
  <c r="AA34" i="6"/>
  <c r="X34" i="6"/>
  <c r="BD34" i="6"/>
  <c r="W34" i="6"/>
  <c r="BA34" i="6"/>
  <c r="AZ34" i="6"/>
  <c r="AW34" i="6"/>
  <c r="AO34" i="6"/>
  <c r="AE34" i="6"/>
  <c r="BC34" i="6"/>
  <c r="L34" i="6"/>
  <c r="AT34" i="6"/>
  <c r="D34" i="6"/>
  <c r="AN34" i="6"/>
  <c r="AC34" i="6"/>
  <c r="AY34" i="6"/>
  <c r="Z34" i="6"/>
  <c r="AR34" i="6"/>
  <c r="H34" i="6"/>
  <c r="AI34" i="6"/>
  <c r="AK34" i="6"/>
  <c r="AP34" i="6"/>
  <c r="AL34" i="6"/>
  <c r="S34" i="6"/>
  <c r="R34" i="6"/>
  <c r="AJ34" i="6"/>
  <c r="E34" i="6"/>
  <c r="AS34" i="6"/>
  <c r="K34" i="6"/>
  <c r="AH34" i="6"/>
  <c r="Q34" i="6"/>
  <c r="Y34" i="6"/>
  <c r="BB34" i="6"/>
  <c r="AB34" i="6"/>
  <c r="AU34" i="6"/>
  <c r="J34" i="6"/>
  <c r="N34" i="6"/>
  <c r="AF34" i="6"/>
  <c r="T34" i="6"/>
  <c r="B34" i="6"/>
  <c r="P34" i="6"/>
  <c r="AV2" i="6"/>
  <c r="AL2" i="6"/>
  <c r="Z2" i="6"/>
  <c r="AW2" i="6"/>
  <c r="AG2" i="6"/>
  <c r="J2" i="6"/>
  <c r="L2" i="6"/>
  <c r="BE2" i="6"/>
  <c r="X2" i="6"/>
  <c r="AO2" i="6"/>
  <c r="AT2" i="6"/>
  <c r="W2" i="6"/>
  <c r="P2" i="6"/>
  <c r="AE2" i="6"/>
  <c r="AR2" i="6"/>
  <c r="O2" i="6"/>
  <c r="M2" i="6"/>
  <c r="AF2" i="6"/>
  <c r="N2" i="6"/>
  <c r="H2" i="6"/>
  <c r="AX2" i="6"/>
  <c r="AS2" i="6"/>
  <c r="AZ2" i="6"/>
  <c r="AH2" i="6"/>
  <c r="AA2" i="6"/>
  <c r="AY2" i="6"/>
  <c r="K2" i="6"/>
  <c r="T2" i="6"/>
  <c r="D2" i="6"/>
  <c r="U2" i="6"/>
  <c r="AP2" i="6"/>
  <c r="AK2" i="6"/>
  <c r="AJ2" i="6"/>
  <c r="AC2" i="6"/>
  <c r="R2" i="6"/>
  <c r="AN2" i="6"/>
  <c r="AI2" i="6"/>
  <c r="AB2" i="6"/>
  <c r="Y2" i="6"/>
  <c r="BA2" i="6"/>
  <c r="AU2" i="6"/>
  <c r="Q2" i="6"/>
  <c r="BD2" i="6"/>
  <c r="AM2" i="6"/>
  <c r="S2" i="6"/>
  <c r="BF2" i="6"/>
  <c r="AQ2" i="6"/>
  <c r="V2" i="6"/>
  <c r="C2" i="6"/>
  <c r="E2" i="6"/>
  <c r="AD2" i="6"/>
  <c r="BC2" i="6"/>
  <c r="B2" i="6"/>
  <c r="BB2" i="6"/>
  <c r="AT11" i="5"/>
  <c r="AL11" i="5"/>
  <c r="AS11" i="5"/>
  <c r="AJ11" i="5"/>
  <c r="BA11" i="5"/>
  <c r="BC11" i="5"/>
  <c r="AW11" i="5"/>
  <c r="W11" i="5"/>
  <c r="AD11" i="5"/>
  <c r="C11" i="5"/>
  <c r="AP11" i="5"/>
  <c r="Y11" i="5"/>
  <c r="AA11" i="5"/>
  <c r="AN11" i="5"/>
  <c r="BB11" i="5"/>
  <c r="T11" i="5"/>
  <c r="AY11" i="5"/>
  <c r="U11" i="5"/>
  <c r="AR11" i="5"/>
  <c r="P11" i="5"/>
  <c r="X11" i="5"/>
  <c r="N11" i="5"/>
  <c r="AQ11" i="5"/>
  <c r="AI11" i="5"/>
  <c r="AF11" i="5"/>
  <c r="AB11" i="5"/>
  <c r="L11" i="5"/>
  <c r="K11" i="5"/>
  <c r="AV11" i="5"/>
  <c r="AM11" i="5"/>
  <c r="S11" i="5"/>
  <c r="E11" i="5"/>
  <c r="Q11" i="5"/>
  <c r="J11" i="5"/>
  <c r="M11" i="5"/>
  <c r="AC11" i="5"/>
  <c r="O11" i="5"/>
  <c r="H11" i="5"/>
  <c r="AG11" i="5"/>
  <c r="BD11" i="5"/>
  <c r="AZ11" i="5"/>
  <c r="AU11" i="5"/>
  <c r="AO11" i="5"/>
  <c r="V11" i="5"/>
  <c r="AH11" i="5"/>
  <c r="R11" i="5"/>
  <c r="BE11" i="5"/>
  <c r="BF11" i="5"/>
  <c r="AK11" i="5"/>
  <c r="D11" i="5"/>
  <c r="AX11" i="5"/>
  <c r="Z11" i="5"/>
  <c r="B11" i="5"/>
  <c r="AE11" i="5"/>
  <c r="X52" i="4"/>
  <c r="BD52" i="4"/>
  <c r="AP52" i="4"/>
  <c r="W52" i="4"/>
  <c r="AU52" i="4"/>
  <c r="AI52" i="4"/>
  <c r="S52" i="4"/>
  <c r="P52" i="4"/>
  <c r="E52" i="4"/>
  <c r="AR52" i="4"/>
  <c r="BB52" i="4"/>
  <c r="AD52" i="4"/>
  <c r="V52" i="4"/>
  <c r="H52" i="4"/>
  <c r="AT52" i="4"/>
  <c r="T52" i="4"/>
  <c r="C52" i="4"/>
  <c r="AJ52" i="4"/>
  <c r="L52" i="4"/>
  <c r="AG52" i="4"/>
  <c r="Y52" i="4"/>
  <c r="AE52" i="4"/>
  <c r="AQ52" i="4"/>
  <c r="Z52" i="4"/>
  <c r="AY52" i="4"/>
  <c r="J52" i="4"/>
  <c r="O52" i="4"/>
  <c r="AN52" i="4"/>
  <c r="BC52" i="4"/>
  <c r="R52" i="4"/>
  <c r="BA52" i="4"/>
  <c r="AK52" i="4"/>
  <c r="AC52" i="4"/>
  <c r="AZ52" i="4"/>
  <c r="M52" i="4"/>
  <c r="AL52" i="4"/>
  <c r="AS52" i="4"/>
  <c r="D52" i="4"/>
  <c r="AO52" i="4"/>
  <c r="AM52" i="4"/>
  <c r="N52" i="4"/>
  <c r="AB52" i="4"/>
  <c r="AF52" i="4"/>
  <c r="BE52" i="4"/>
  <c r="AA52" i="4"/>
  <c r="AX52" i="4"/>
  <c r="K52" i="4"/>
  <c r="AV52" i="4"/>
  <c r="AW52" i="4"/>
  <c r="U52" i="4"/>
  <c r="AH52" i="4"/>
  <c r="BF52" i="4"/>
  <c r="B52" i="4"/>
  <c r="Q52" i="4"/>
  <c r="W40" i="4"/>
  <c r="Y40" i="4"/>
  <c r="P40" i="4"/>
  <c r="S40" i="4"/>
  <c r="AV40" i="4"/>
  <c r="Z40" i="4"/>
  <c r="BF40" i="4"/>
  <c r="BD40" i="4"/>
  <c r="V40" i="4"/>
  <c r="AH40" i="4"/>
  <c r="AW40" i="4"/>
  <c r="AU40" i="4"/>
  <c r="AG40" i="4"/>
  <c r="AP40" i="4"/>
  <c r="AL40" i="4"/>
  <c r="AR40" i="4"/>
  <c r="AQ40" i="4"/>
  <c r="Q40" i="4"/>
  <c r="T40" i="4"/>
  <c r="U40" i="4"/>
  <c r="K40" i="4"/>
  <c r="BE40" i="4"/>
  <c r="AZ40" i="4"/>
  <c r="AY40" i="4"/>
  <c r="H40" i="4"/>
  <c r="C40" i="4"/>
  <c r="AJ40" i="4"/>
  <c r="E40" i="4"/>
  <c r="AC40" i="4"/>
  <c r="AT40" i="4"/>
  <c r="BC40" i="4"/>
  <c r="O40" i="4"/>
  <c r="AA40" i="4"/>
  <c r="AB40" i="4"/>
  <c r="AF40" i="4"/>
  <c r="AI40" i="4"/>
  <c r="J40" i="4"/>
  <c r="BA40" i="4"/>
  <c r="BB40" i="4"/>
  <c r="AO40" i="4"/>
  <c r="M40" i="4"/>
  <c r="AN40" i="4"/>
  <c r="R40" i="4"/>
  <c r="L40" i="4"/>
  <c r="X40" i="4"/>
  <c r="AD40" i="4"/>
  <c r="D40" i="4"/>
  <c r="AK40" i="4"/>
  <c r="AE40" i="4"/>
  <c r="AM40" i="4"/>
  <c r="AS40" i="4"/>
  <c r="AX40" i="4"/>
  <c r="N40" i="4"/>
  <c r="T32" i="2"/>
  <c r="AF32" i="2"/>
  <c r="O32" i="2"/>
  <c r="AZ32" i="2"/>
  <c r="U32" i="2"/>
  <c r="Y32" i="2"/>
  <c r="J32" i="2"/>
  <c r="BC32" i="2"/>
  <c r="BA32" i="2"/>
  <c r="V32" i="2"/>
  <c r="L32" i="2"/>
  <c r="P32" i="2"/>
  <c r="AM32" i="2"/>
  <c r="X32" i="2"/>
  <c r="AT32" i="2"/>
  <c r="AS32" i="2"/>
  <c r="AI32" i="2"/>
  <c r="AO32" i="2"/>
  <c r="Q32" i="2"/>
  <c r="S32" i="2"/>
  <c r="AL32" i="2"/>
  <c r="Z32" i="2"/>
  <c r="N32" i="2"/>
  <c r="AN32" i="2"/>
  <c r="AY32" i="2"/>
  <c r="E32" i="2"/>
  <c r="AV32" i="2"/>
  <c r="AW32" i="2"/>
  <c r="AP32" i="2"/>
  <c r="AR32" i="2"/>
  <c r="H32" i="2"/>
  <c r="AA32" i="2"/>
  <c r="BB32" i="2"/>
  <c r="BE32" i="2"/>
  <c r="AB32" i="2"/>
  <c r="C32" i="2"/>
  <c r="AD32" i="2"/>
  <c r="W32" i="2"/>
  <c r="AK32" i="2"/>
  <c r="AC32" i="2"/>
  <c r="D32" i="2"/>
  <c r="M32" i="2"/>
  <c r="R32" i="2"/>
  <c r="K32" i="2"/>
  <c r="AQ32" i="2"/>
  <c r="AU32" i="2"/>
  <c r="AE32" i="2"/>
  <c r="BD32" i="2"/>
  <c r="AJ32" i="2"/>
  <c r="AX32" i="2"/>
  <c r="AG32" i="2"/>
  <c r="BF32" i="2"/>
  <c r="B32" i="2"/>
  <c r="AH32" i="2"/>
  <c r="B30" i="3"/>
  <c r="I30" i="3"/>
  <c r="G30" i="3"/>
  <c r="F30" i="3"/>
  <c r="F8" i="5"/>
  <c r="B8" i="5"/>
  <c r="I8" i="5"/>
  <c r="G8" i="5"/>
  <c r="L20" i="4"/>
  <c r="BA20" i="4"/>
  <c r="Z20" i="4"/>
  <c r="AI20" i="4"/>
  <c r="R20" i="4"/>
  <c r="AK20" i="4"/>
  <c r="AD20" i="4"/>
  <c r="AU20" i="4"/>
  <c r="AY20" i="4"/>
  <c r="BB20" i="4"/>
  <c r="AV20" i="4"/>
  <c r="AA20" i="4"/>
  <c r="AF20" i="4"/>
  <c r="M20" i="4"/>
  <c r="AS20" i="4"/>
  <c r="BE20" i="4"/>
  <c r="AL20" i="4"/>
  <c r="D20" i="4"/>
  <c r="Q20" i="4"/>
  <c r="T20" i="4"/>
  <c r="AO20" i="4"/>
  <c r="AC20" i="4"/>
  <c r="AG20" i="4"/>
  <c r="O20" i="4"/>
  <c r="J20" i="4"/>
  <c r="U20" i="4"/>
  <c r="W20" i="4"/>
  <c r="K20" i="4"/>
  <c r="AJ20" i="4"/>
  <c r="E20" i="4"/>
  <c r="AP20" i="4"/>
  <c r="AX20" i="4"/>
  <c r="AM20" i="4"/>
  <c r="S20" i="4"/>
  <c r="N20" i="4"/>
  <c r="C20" i="4"/>
  <c r="AT20" i="4"/>
  <c r="AB20" i="4"/>
  <c r="Y20" i="4"/>
  <c r="AZ20" i="4"/>
  <c r="AH20" i="4"/>
  <c r="BD20" i="4"/>
  <c r="AW20" i="4"/>
  <c r="AN20" i="4"/>
  <c r="AE20" i="4"/>
  <c r="V20" i="4"/>
  <c r="X20" i="4"/>
  <c r="BF20" i="4"/>
  <c r="H20" i="4"/>
  <c r="BC20" i="4"/>
  <c r="P20" i="4"/>
  <c r="AR20" i="4"/>
  <c r="B20" i="4"/>
  <c r="AQ20" i="4"/>
  <c r="B24" i="5"/>
  <c r="I24" i="5"/>
  <c r="G24" i="5"/>
  <c r="F24" i="5"/>
  <c r="AD27" i="6"/>
  <c r="AA27" i="6"/>
  <c r="W27" i="6"/>
  <c r="BC27" i="6"/>
  <c r="O27" i="6"/>
  <c r="AK27" i="6"/>
  <c r="AY27" i="6"/>
  <c r="AW27" i="6"/>
  <c r="AV27" i="6"/>
  <c r="AX27" i="6"/>
  <c r="AQ27" i="6"/>
  <c r="AN27" i="6"/>
  <c r="AR27" i="6"/>
  <c r="BE27" i="6"/>
  <c r="AS27" i="6"/>
  <c r="E27" i="6"/>
  <c r="AF27" i="6"/>
  <c r="AP27" i="6"/>
  <c r="L27" i="6"/>
  <c r="S27" i="6"/>
  <c r="AG27" i="6"/>
  <c r="AM27" i="6"/>
  <c r="U27" i="6"/>
  <c r="AE27" i="6"/>
  <c r="N27" i="6"/>
  <c r="K27" i="6"/>
  <c r="AJ27" i="6"/>
  <c r="M27" i="6"/>
  <c r="AB27" i="6"/>
  <c r="Z27" i="6"/>
  <c r="V27" i="6"/>
  <c r="R27" i="6"/>
  <c r="T27" i="6"/>
  <c r="BD27" i="6"/>
  <c r="AZ27" i="6"/>
  <c r="AT27" i="6"/>
  <c r="AO27" i="6"/>
  <c r="AI27" i="6"/>
  <c r="BA27" i="6"/>
  <c r="D27" i="6"/>
  <c r="Y27" i="6"/>
  <c r="BF27" i="6"/>
  <c r="X27" i="6"/>
  <c r="C27" i="6"/>
  <c r="AC27" i="6"/>
  <c r="P27" i="6"/>
  <c r="Q27" i="6"/>
  <c r="AH27" i="6"/>
  <c r="AL27" i="6"/>
  <c r="H27" i="6"/>
  <c r="J27" i="6"/>
  <c r="AU27" i="6"/>
  <c r="B27" i="6"/>
  <c r="BB27" i="6"/>
  <c r="I8" i="2"/>
  <c r="G8" i="2"/>
  <c r="F8" i="2"/>
  <c r="F14" i="1"/>
  <c r="G14" i="1"/>
  <c r="I14" i="1"/>
  <c r="AC12" i="6"/>
  <c r="W12" i="6"/>
  <c r="AT12" i="6"/>
  <c r="AJ12" i="6"/>
  <c r="BD12" i="6"/>
  <c r="Z12" i="6"/>
  <c r="AH12" i="6"/>
  <c r="AY12" i="6"/>
  <c r="AS12" i="6"/>
  <c r="M12" i="6"/>
  <c r="BA12" i="6"/>
  <c r="AU12" i="6"/>
  <c r="H12" i="6"/>
  <c r="V12" i="6"/>
  <c r="AG12" i="6"/>
  <c r="C12" i="6"/>
  <c r="Q12" i="6"/>
  <c r="P12" i="6"/>
  <c r="Y12" i="6"/>
  <c r="AO12" i="6"/>
  <c r="AR12" i="6"/>
  <c r="AQ12" i="6"/>
  <c r="J12" i="6"/>
  <c r="R12" i="6"/>
  <c r="S12" i="6"/>
  <c r="BB12" i="6"/>
  <c r="AV12" i="6"/>
  <c r="X12" i="6"/>
  <c r="K12" i="6"/>
  <c r="AI12" i="6"/>
  <c r="N12" i="6"/>
  <c r="U12" i="6"/>
  <c r="AN12" i="6"/>
  <c r="AK12" i="6"/>
  <c r="AW12" i="6"/>
  <c r="AM12" i="6"/>
  <c r="O12" i="6"/>
  <c r="AX12" i="6"/>
  <c r="BE12" i="6"/>
  <c r="AL12" i="6"/>
  <c r="AD12" i="6"/>
  <c r="E12" i="6"/>
  <c r="BF12" i="6"/>
  <c r="AF12" i="6"/>
  <c r="AE12" i="6"/>
  <c r="BC12" i="6"/>
  <c r="AZ12" i="6"/>
  <c r="D12" i="6"/>
  <c r="L12" i="6"/>
  <c r="AA12" i="6"/>
  <c r="AB12" i="6"/>
  <c r="T12" i="6"/>
  <c r="AP12" i="6"/>
  <c r="AH17" i="6"/>
  <c r="BB17" i="6"/>
  <c r="BF17" i="6"/>
  <c r="AI17" i="6"/>
  <c r="AF17" i="6"/>
  <c r="V17" i="6"/>
  <c r="AA17" i="6"/>
  <c r="AU17" i="6"/>
  <c r="R17" i="6"/>
  <c r="C17" i="6"/>
  <c r="AM17" i="6"/>
  <c r="L17" i="6"/>
  <c r="W17" i="6"/>
  <c r="AW17" i="6"/>
  <c r="U17" i="6"/>
  <c r="D17" i="6"/>
  <c r="AD17" i="6"/>
  <c r="AG17" i="6"/>
  <c r="AP17" i="6"/>
  <c r="Z17" i="6"/>
  <c r="BA17" i="6"/>
  <c r="Y17" i="6"/>
  <c r="S17" i="6"/>
  <c r="K17" i="6"/>
  <c r="AL17" i="6"/>
  <c r="AY17" i="6"/>
  <c r="AQ17" i="6"/>
  <c r="AO17" i="6"/>
  <c r="AZ17" i="6"/>
  <c r="T17" i="6"/>
  <c r="BD17" i="6"/>
  <c r="AX17" i="6"/>
  <c r="X17" i="6"/>
  <c r="J17" i="6"/>
  <c r="AS17" i="6"/>
  <c r="P17" i="6"/>
  <c r="BE17" i="6"/>
  <c r="Q17" i="6"/>
  <c r="H17" i="6"/>
  <c r="N17" i="6"/>
  <c r="AR17" i="6"/>
  <c r="AV17" i="6"/>
  <c r="M17" i="6"/>
  <c r="AE17" i="6"/>
  <c r="E17" i="6"/>
  <c r="BC17" i="6"/>
  <c r="AJ17" i="6"/>
  <c r="AK17" i="6"/>
  <c r="AC17" i="6"/>
  <c r="O17" i="6"/>
  <c r="AN17" i="6"/>
  <c r="AB17" i="6"/>
  <c r="AT17" i="6"/>
  <c r="B44" i="8"/>
  <c r="I44" i="8"/>
  <c r="G44" i="8"/>
  <c r="F44" i="8"/>
  <c r="F55" i="3"/>
  <c r="G55" i="3"/>
  <c r="I55" i="3"/>
  <c r="AZ38" i="4"/>
  <c r="X38" i="4"/>
  <c r="C38" i="4"/>
  <c r="M38" i="4"/>
  <c r="AD38" i="4"/>
  <c r="AE38" i="4"/>
  <c r="Z38" i="4"/>
  <c r="AK38" i="4"/>
  <c r="U38" i="4"/>
  <c r="AP38" i="4"/>
  <c r="AA38" i="4"/>
  <c r="AB38" i="4"/>
  <c r="O38" i="4"/>
  <c r="AF38" i="4"/>
  <c r="AJ38" i="4"/>
  <c r="P38" i="4"/>
  <c r="BE38" i="4"/>
  <c r="BF38" i="4"/>
  <c r="AG38" i="4"/>
  <c r="AL38" i="4"/>
  <c r="AS38" i="4"/>
  <c r="W38" i="4"/>
  <c r="J38" i="4"/>
  <c r="BD38" i="4"/>
  <c r="AC38" i="4"/>
  <c r="AX38" i="4"/>
  <c r="AI38" i="4"/>
  <c r="E38" i="4"/>
  <c r="AH38" i="4"/>
  <c r="AM38" i="4"/>
  <c r="T38" i="4"/>
  <c r="R38" i="4"/>
  <c r="L38" i="4"/>
  <c r="AV38" i="4"/>
  <c r="V38" i="4"/>
  <c r="AY38" i="4"/>
  <c r="AQ38" i="4"/>
  <c r="BC38" i="4"/>
  <c r="AU38" i="4"/>
  <c r="BB38" i="4"/>
  <c r="AN38" i="4"/>
  <c r="AR38" i="4"/>
  <c r="AT38" i="4"/>
  <c r="N38" i="4"/>
  <c r="S38" i="4"/>
  <c r="K38" i="4"/>
  <c r="H38" i="4"/>
  <c r="BA38" i="4"/>
  <c r="AW38" i="4"/>
  <c r="Q38" i="4"/>
  <c r="AO38" i="4"/>
  <c r="Y38" i="4"/>
  <c r="D38" i="4"/>
  <c r="AS40" i="5"/>
  <c r="AW40" i="5"/>
  <c r="BB40" i="5"/>
  <c r="E40" i="5"/>
  <c r="BC40" i="5"/>
  <c r="AA40" i="5"/>
  <c r="BF40" i="5"/>
  <c r="S40" i="5"/>
  <c r="C40" i="5"/>
  <c r="AU40" i="5"/>
  <c r="U40" i="5"/>
  <c r="AQ40" i="5"/>
  <c r="AN40" i="5"/>
  <c r="BA40" i="5"/>
  <c r="O40" i="5"/>
  <c r="AI40" i="5"/>
  <c r="T40" i="5"/>
  <c r="AF40" i="5"/>
  <c r="AC40" i="5"/>
  <c r="AP40" i="5"/>
  <c r="AM40" i="5"/>
  <c r="P40" i="5"/>
  <c r="AR40" i="5"/>
  <c r="AY40" i="5"/>
  <c r="M40" i="5"/>
  <c r="AL40" i="5"/>
  <c r="BD40" i="5"/>
  <c r="Q40" i="5"/>
  <c r="K40" i="5"/>
  <c r="AH40" i="5"/>
  <c r="AV40" i="5"/>
  <c r="AD40" i="5"/>
  <c r="AG40" i="5"/>
  <c r="Y40" i="5"/>
  <c r="AE40" i="5"/>
  <c r="L40" i="5"/>
  <c r="AO40" i="5"/>
  <c r="AT40" i="5"/>
  <c r="D40" i="5"/>
  <c r="AX40" i="5"/>
  <c r="AK40" i="5"/>
  <c r="X40" i="5"/>
  <c r="AB40" i="5"/>
  <c r="R40" i="5"/>
  <c r="AJ40" i="5"/>
  <c r="W40" i="5"/>
  <c r="N40" i="5"/>
  <c r="BE40" i="5"/>
  <c r="AZ40" i="5"/>
  <c r="J40" i="5"/>
  <c r="V40" i="5"/>
  <c r="H40" i="5"/>
  <c r="B40" i="5"/>
  <c r="Z40" i="5"/>
  <c r="P2" i="5"/>
  <c r="E2" i="5"/>
  <c r="AW2" i="5"/>
  <c r="AF2" i="5"/>
  <c r="Q2" i="5"/>
  <c r="AG2" i="5"/>
  <c r="S2" i="5"/>
  <c r="AJ2" i="5"/>
  <c r="AE2" i="5"/>
  <c r="Z2" i="5"/>
  <c r="L2" i="5"/>
  <c r="BC2" i="5"/>
  <c r="AK2" i="5"/>
  <c r="AI2" i="5"/>
  <c r="Y2" i="5"/>
  <c r="BA2" i="5"/>
  <c r="AM2" i="5"/>
  <c r="AO2" i="5"/>
  <c r="J2" i="5"/>
  <c r="BD2" i="5"/>
  <c r="AQ2" i="5"/>
  <c r="X2" i="5"/>
  <c r="AT2" i="5"/>
  <c r="AP2" i="5"/>
  <c r="D2" i="5"/>
  <c r="AC2" i="5"/>
  <c r="AY2" i="5"/>
  <c r="AH2" i="5"/>
  <c r="V2" i="5"/>
  <c r="AX2" i="5"/>
  <c r="BB2" i="5"/>
  <c r="M2" i="5"/>
  <c r="R2" i="5"/>
  <c r="AA2" i="5"/>
  <c r="T2" i="5"/>
  <c r="W2" i="5"/>
  <c r="AL2" i="5"/>
  <c r="N2" i="5"/>
  <c r="BE2" i="5"/>
  <c r="C2" i="5"/>
  <c r="AB2" i="5"/>
  <c r="AS2" i="5"/>
  <c r="H2" i="5"/>
  <c r="AV2" i="5"/>
  <c r="AR2" i="5"/>
  <c r="AU2" i="5"/>
  <c r="U2" i="5"/>
  <c r="AN2" i="5"/>
  <c r="O2" i="5"/>
  <c r="AD2" i="5"/>
  <c r="BF2" i="5"/>
  <c r="AZ2" i="5"/>
  <c r="B2" i="5"/>
  <c r="K2" i="5"/>
  <c r="AW18" i="6"/>
  <c r="AN18" i="6"/>
  <c r="O18" i="6"/>
  <c r="AX18" i="6"/>
  <c r="AF18" i="6"/>
  <c r="AS18" i="6"/>
  <c r="R18" i="6"/>
  <c r="AC18" i="6"/>
  <c r="AB18" i="6"/>
  <c r="C18" i="6"/>
  <c r="AV18" i="6"/>
  <c r="M18" i="6"/>
  <c r="S18" i="6"/>
  <c r="AK18" i="6"/>
  <c r="AA18" i="6"/>
  <c r="BB18" i="6"/>
  <c r="AO18" i="6"/>
  <c r="AL18" i="6"/>
  <c r="AR18" i="6"/>
  <c r="AQ18" i="6"/>
  <c r="AT18" i="6"/>
  <c r="T18" i="6"/>
  <c r="Q18" i="6"/>
  <c r="AY18" i="6"/>
  <c r="L18" i="6"/>
  <c r="AD18" i="6"/>
  <c r="V18" i="6"/>
  <c r="BE18" i="6"/>
  <c r="K18" i="6"/>
  <c r="X18" i="6"/>
  <c r="Z18" i="6"/>
  <c r="E18" i="6"/>
  <c r="AJ18" i="6"/>
  <c r="AE18" i="6"/>
  <c r="N18" i="6"/>
  <c r="AM18" i="6"/>
  <c r="AU18" i="6"/>
  <c r="U18" i="6"/>
  <c r="P18" i="6"/>
  <c r="Y18" i="6"/>
  <c r="H18" i="6"/>
  <c r="BA18" i="6"/>
  <c r="AI18" i="6"/>
  <c r="AH18" i="6"/>
  <c r="AP18" i="6"/>
  <c r="BD18" i="6"/>
  <c r="BC18" i="6"/>
  <c r="AZ18" i="6"/>
  <c r="D18" i="6"/>
  <c r="J18" i="6"/>
  <c r="W18" i="6"/>
  <c r="AG18" i="6"/>
  <c r="B18" i="6"/>
  <c r="BF18" i="6"/>
  <c r="B34" i="1"/>
  <c r="I34" i="1"/>
  <c r="G34" i="1"/>
  <c r="F34" i="1"/>
  <c r="F19" i="3"/>
  <c r="G19" i="3"/>
  <c r="I19" i="3"/>
  <c r="AT31" i="6"/>
  <c r="AU31" i="6"/>
  <c r="AI31" i="6"/>
  <c r="AN31" i="6"/>
  <c r="AP31" i="6"/>
  <c r="AA31" i="6"/>
  <c r="BD31" i="6"/>
  <c r="BB31" i="6"/>
  <c r="E31" i="6"/>
  <c r="BA31" i="6"/>
  <c r="AM31" i="6"/>
  <c r="AK31" i="6"/>
  <c r="BC31" i="6"/>
  <c r="AS31" i="6"/>
  <c r="X31" i="6"/>
  <c r="AY31" i="6"/>
  <c r="N31" i="6"/>
  <c r="AW31" i="6"/>
  <c r="AD31" i="6"/>
  <c r="C31" i="6"/>
  <c r="D31" i="6"/>
  <c r="AO31" i="6"/>
  <c r="BE31" i="6"/>
  <c r="AJ31" i="6"/>
  <c r="H31" i="6"/>
  <c r="K31" i="6"/>
  <c r="AB31" i="6"/>
  <c r="L31" i="6"/>
  <c r="AL31" i="6"/>
  <c r="AQ31" i="6"/>
  <c r="O31" i="6"/>
  <c r="W31" i="6"/>
  <c r="Z31" i="6"/>
  <c r="V31" i="6"/>
  <c r="T31" i="6"/>
  <c r="U31" i="6"/>
  <c r="P31" i="6"/>
  <c r="J31" i="6"/>
  <c r="BF31" i="6"/>
  <c r="AX31" i="6"/>
  <c r="AH31" i="6"/>
  <c r="AR31" i="6"/>
  <c r="Q31" i="6"/>
  <c r="AF31" i="6"/>
  <c r="S31" i="6"/>
  <c r="AV31" i="6"/>
  <c r="AE31" i="6"/>
  <c r="Y31" i="6"/>
  <c r="R31" i="6"/>
  <c r="AG31" i="6"/>
  <c r="AC31" i="6"/>
  <c r="M31" i="6"/>
  <c r="B31" i="6"/>
  <c r="AZ31" i="6"/>
  <c r="B4" i="6"/>
  <c r="I4" i="6"/>
  <c r="G4" i="6"/>
  <c r="F4" i="6"/>
  <c r="AP38" i="1"/>
  <c r="AA38" i="1"/>
  <c r="AQ38" i="1"/>
  <c r="C38" i="1"/>
  <c r="U38" i="1"/>
  <c r="AT38" i="1"/>
  <c r="V38" i="1"/>
  <c r="AG38" i="1"/>
  <c r="D38" i="1"/>
  <c r="AL38" i="1"/>
  <c r="BF38" i="1"/>
  <c r="BD38" i="1"/>
  <c r="X38" i="1"/>
  <c r="AK38" i="1"/>
  <c r="BA38" i="1"/>
  <c r="AM38" i="1"/>
  <c r="BE38" i="1"/>
  <c r="AB38" i="1"/>
  <c r="R38" i="1"/>
  <c r="BC38" i="1"/>
  <c r="N38" i="1"/>
  <c r="L38" i="1"/>
  <c r="AI38" i="1"/>
  <c r="BB38" i="1"/>
  <c r="AN38" i="1"/>
  <c r="Z38" i="1"/>
  <c r="AV38" i="1"/>
  <c r="AR38" i="1"/>
  <c r="K38" i="1"/>
  <c r="Y38" i="1"/>
  <c r="AW38" i="1"/>
  <c r="AF38" i="1"/>
  <c r="AY38" i="1"/>
  <c r="H38" i="1"/>
  <c r="AJ38" i="1"/>
  <c r="AC38" i="1"/>
  <c r="Q38" i="1"/>
  <c r="S38" i="1"/>
  <c r="J38" i="1"/>
  <c r="AD38" i="1"/>
  <c r="P38" i="1"/>
  <c r="M38" i="1"/>
  <c r="O38" i="1"/>
  <c r="T38" i="1"/>
  <c r="AH38" i="1"/>
  <c r="AS38" i="1"/>
  <c r="AE38" i="1"/>
  <c r="AU38" i="1"/>
  <c r="AX38" i="1"/>
  <c r="AZ38" i="1"/>
  <c r="W38" i="1"/>
  <c r="AO38" i="1"/>
  <c r="E38" i="1"/>
  <c r="AM26" i="1"/>
  <c r="BE26" i="1"/>
  <c r="AY26" i="1"/>
  <c r="N26" i="1"/>
  <c r="H26" i="1"/>
  <c r="T26" i="1"/>
  <c r="Q26" i="1"/>
  <c r="AC26" i="1"/>
  <c r="BB26" i="1"/>
  <c r="J26" i="1"/>
  <c r="AE26" i="1"/>
  <c r="AO26" i="1"/>
  <c r="AL26" i="1"/>
  <c r="AI26" i="1"/>
  <c r="BF26" i="1"/>
  <c r="P26" i="1"/>
  <c r="AU26" i="1"/>
  <c r="D26" i="1"/>
  <c r="AW26" i="1"/>
  <c r="BD26" i="1"/>
  <c r="U26" i="1"/>
  <c r="W26" i="1"/>
  <c r="AH26" i="1"/>
  <c r="R26" i="1"/>
  <c r="O26" i="1"/>
  <c r="AR26" i="1"/>
  <c r="AN26" i="1"/>
  <c r="AG26" i="1"/>
  <c r="AF26" i="1"/>
  <c r="BA26" i="1"/>
  <c r="AZ26" i="1"/>
  <c r="AX26" i="1"/>
  <c r="L26" i="1"/>
  <c r="M26" i="1"/>
  <c r="AK26" i="1"/>
  <c r="V26" i="1"/>
  <c r="AB26" i="1"/>
  <c r="AP26" i="1"/>
  <c r="AQ26" i="1"/>
  <c r="Z26" i="1"/>
  <c r="AS26" i="1"/>
  <c r="AV26" i="1"/>
  <c r="BC26" i="1"/>
  <c r="S26" i="1"/>
  <c r="C26" i="1"/>
  <c r="AT26" i="1"/>
  <c r="AD26" i="1"/>
  <c r="AJ26" i="1"/>
  <c r="X26" i="1"/>
  <c r="K26" i="1"/>
  <c r="Y26" i="1"/>
  <c r="AA26" i="1"/>
  <c r="B26" i="1"/>
  <c r="E26" i="1"/>
  <c r="B4" i="3"/>
  <c r="I4" i="3"/>
  <c r="G4" i="3"/>
  <c r="F4" i="3"/>
  <c r="F31" i="5"/>
  <c r="G31" i="5"/>
  <c r="I31" i="5"/>
  <c r="F13" i="2"/>
  <c r="G13" i="2"/>
  <c r="I13" i="2"/>
  <c r="B22" i="4"/>
  <c r="I22" i="4"/>
  <c r="G22" i="4"/>
  <c r="F22" i="4"/>
  <c r="R19" i="4"/>
  <c r="AO19" i="4"/>
  <c r="AL19" i="4"/>
  <c r="AC19" i="4"/>
  <c r="AS19" i="4"/>
  <c r="AU19" i="4"/>
  <c r="BA19" i="4"/>
  <c r="AX19" i="4"/>
  <c r="D19" i="4"/>
  <c r="AP19" i="4"/>
  <c r="S19" i="4"/>
  <c r="N19" i="4"/>
  <c r="AY19" i="4"/>
  <c r="AJ19" i="4"/>
  <c r="P19" i="4"/>
  <c r="U19" i="4"/>
  <c r="AK19" i="4"/>
  <c r="O19" i="4"/>
  <c r="AV19" i="4"/>
  <c r="BC19" i="4"/>
  <c r="K19" i="4"/>
  <c r="AE19" i="4"/>
  <c r="Q19" i="4"/>
  <c r="AW19" i="4"/>
  <c r="Z19" i="4"/>
  <c r="AQ19" i="4"/>
  <c r="X19" i="4"/>
  <c r="M19" i="4"/>
  <c r="BF19" i="4"/>
  <c r="Y19" i="4"/>
  <c r="AR19" i="4"/>
  <c r="AG19" i="4"/>
  <c r="BB19" i="4"/>
  <c r="J19" i="4"/>
  <c r="H19" i="4"/>
  <c r="AF19" i="4"/>
  <c r="AT19" i="4"/>
  <c r="AB19" i="4"/>
  <c r="AI19" i="4"/>
  <c r="T19" i="4"/>
  <c r="E19" i="4"/>
  <c r="L19" i="4"/>
  <c r="BD19" i="4"/>
  <c r="C19" i="4"/>
  <c r="AN19" i="4"/>
  <c r="AD19" i="4"/>
  <c r="AZ19" i="4"/>
  <c r="BE19" i="4"/>
  <c r="AA19" i="4"/>
  <c r="V19" i="4"/>
  <c r="W19" i="4"/>
  <c r="AM19" i="4"/>
  <c r="AH19" i="4"/>
  <c r="AC47" i="5"/>
  <c r="AX47" i="5"/>
  <c r="Q47" i="5"/>
  <c r="Z47" i="5"/>
  <c r="AL47" i="5"/>
  <c r="E47" i="5"/>
  <c r="V47" i="5"/>
  <c r="AP47" i="5"/>
  <c r="Y47" i="5"/>
  <c r="AE47" i="5"/>
  <c r="AN47" i="5"/>
  <c r="BF47" i="5"/>
  <c r="AJ47" i="5"/>
  <c r="AD47" i="5"/>
  <c r="M47" i="5"/>
  <c r="AW47" i="5"/>
  <c r="AB47" i="5"/>
  <c r="AA47" i="5"/>
  <c r="AT47" i="5"/>
  <c r="U47" i="5"/>
  <c r="AI47" i="5"/>
  <c r="D47" i="5"/>
  <c r="S47" i="5"/>
  <c r="T47" i="5"/>
  <c r="W47" i="5"/>
  <c r="AZ47" i="5"/>
  <c r="N47" i="5"/>
  <c r="AM47" i="5"/>
  <c r="BA47" i="5"/>
  <c r="P47" i="5"/>
  <c r="H47" i="5"/>
  <c r="AR47" i="5"/>
  <c r="BD47" i="5"/>
  <c r="O47" i="5"/>
  <c r="AK47" i="5"/>
  <c r="AQ47" i="5"/>
  <c r="BE47" i="5"/>
  <c r="AO47" i="5"/>
  <c r="AF47" i="5"/>
  <c r="AU47" i="5"/>
  <c r="BB47" i="5"/>
  <c r="AH47" i="5"/>
  <c r="AY47" i="5"/>
  <c r="AV47" i="5"/>
  <c r="K47" i="5"/>
  <c r="AS47" i="5"/>
  <c r="BC47" i="5"/>
  <c r="L47" i="5"/>
  <c r="J47" i="5"/>
  <c r="C47" i="5"/>
  <c r="X47" i="5"/>
  <c r="AG47" i="5"/>
  <c r="B47" i="5"/>
  <c r="R47" i="5"/>
  <c r="AT27" i="2"/>
  <c r="T27" i="2"/>
  <c r="AO27" i="2"/>
  <c r="AF27" i="2"/>
  <c r="BE27" i="2"/>
  <c r="AY27" i="2"/>
  <c r="U27" i="2"/>
  <c r="AJ27" i="2"/>
  <c r="C27" i="2"/>
  <c r="AE27" i="2"/>
  <c r="BA27" i="2"/>
  <c r="AD27" i="2"/>
  <c r="AX27" i="2"/>
  <c r="AW27" i="2"/>
  <c r="AR27" i="2"/>
  <c r="AK27" i="2"/>
  <c r="AB27" i="2"/>
  <c r="AG27" i="2"/>
  <c r="AH27" i="2"/>
  <c r="BD27" i="2"/>
  <c r="H27" i="2"/>
  <c r="Y27" i="2"/>
  <c r="AS27" i="2"/>
  <c r="K27" i="2"/>
  <c r="V27" i="2"/>
  <c r="Q27" i="2"/>
  <c r="S27" i="2"/>
  <c r="W27" i="2"/>
  <c r="D27" i="2"/>
  <c r="R27" i="2"/>
  <c r="AL27" i="2"/>
  <c r="AQ27" i="2"/>
  <c r="J27" i="2"/>
  <c r="O27" i="2"/>
  <c r="AU27" i="2"/>
  <c r="L27" i="2"/>
  <c r="AN27" i="2"/>
  <c r="AP27" i="2"/>
  <c r="AV27" i="2"/>
  <c r="BF27" i="2"/>
  <c r="X27" i="2"/>
  <c r="E27" i="2"/>
  <c r="AM27" i="2"/>
  <c r="AI27" i="2"/>
  <c r="Z27" i="2"/>
  <c r="AC27" i="2"/>
  <c r="N27" i="2"/>
  <c r="BC27" i="2"/>
  <c r="BB27" i="2"/>
  <c r="AZ27" i="2"/>
  <c r="AA27" i="2"/>
  <c r="P27" i="2"/>
  <c r="B27" i="2"/>
  <c r="M27" i="2"/>
  <c r="F36" i="1"/>
  <c r="G36" i="1"/>
  <c r="I36" i="1"/>
  <c r="AT34" i="9"/>
  <c r="D34" i="9"/>
  <c r="AU34" i="9"/>
  <c r="H34" i="9"/>
  <c r="Q34" i="9"/>
  <c r="AF34" i="9"/>
  <c r="S34" i="9"/>
  <c r="AX34" i="9"/>
  <c r="AQ34" i="9"/>
  <c r="BC34" i="9"/>
  <c r="AM34" i="9"/>
  <c r="AE34" i="9"/>
  <c r="AH34" i="9"/>
  <c r="N34" i="9"/>
  <c r="AW34" i="9"/>
  <c r="BD34" i="9"/>
  <c r="O34" i="9"/>
  <c r="AN34" i="9"/>
  <c r="Z34" i="9"/>
  <c r="M34" i="9"/>
  <c r="BE34" i="9"/>
  <c r="AV34" i="9"/>
  <c r="AJ34" i="9"/>
  <c r="AG34" i="9"/>
  <c r="R34" i="9"/>
  <c r="P34" i="9"/>
  <c r="AZ34" i="9"/>
  <c r="E34" i="9"/>
  <c r="T34" i="9"/>
  <c r="AA34" i="9"/>
  <c r="AB34" i="9"/>
  <c r="L34" i="9"/>
  <c r="W34" i="9"/>
  <c r="V34" i="9"/>
  <c r="AP34" i="9"/>
  <c r="AC34" i="9"/>
  <c r="C34" i="9"/>
  <c r="AS34" i="9"/>
  <c r="X34" i="9"/>
  <c r="J34" i="9"/>
  <c r="K34" i="9"/>
  <c r="AR34" i="9"/>
  <c r="AK34" i="9"/>
  <c r="AD34" i="9"/>
  <c r="AO34" i="9"/>
  <c r="U34" i="9"/>
  <c r="BB34" i="9"/>
  <c r="AL34" i="9"/>
  <c r="Y34" i="9"/>
  <c r="BF34" i="9"/>
  <c r="BA34" i="9"/>
  <c r="AY34" i="9"/>
  <c r="AI34" i="9"/>
  <c r="C6" i="4"/>
  <c r="L6" i="4"/>
  <c r="AW6" i="4"/>
  <c r="T6" i="4"/>
  <c r="K6" i="4"/>
  <c r="J6" i="4"/>
  <c r="AU6" i="4"/>
  <c r="W6" i="4"/>
  <c r="AG6" i="4"/>
  <c r="M6" i="4"/>
  <c r="X6" i="4"/>
  <c r="BF6" i="4"/>
  <c r="AP6" i="4"/>
  <c r="R6" i="4"/>
  <c r="AJ6" i="4"/>
  <c r="AD6" i="4"/>
  <c r="N6" i="4"/>
  <c r="AS6" i="4"/>
  <c r="AX6" i="4"/>
  <c r="AV6" i="4"/>
  <c r="E6" i="4"/>
  <c r="O6" i="4"/>
  <c r="AT6" i="4"/>
  <c r="V6" i="4"/>
  <c r="S6" i="4"/>
  <c r="P6" i="4"/>
  <c r="AO6" i="4"/>
  <c r="AA6" i="4"/>
  <c r="AE6" i="4"/>
  <c r="AZ6" i="4"/>
  <c r="AC6" i="4"/>
  <c r="Q6" i="4"/>
  <c r="AL6" i="4"/>
  <c r="AI6" i="4"/>
  <c r="AH6" i="4"/>
  <c r="AF6" i="4"/>
  <c r="BE6" i="4"/>
  <c r="U6" i="4"/>
  <c r="AK6" i="4"/>
  <c r="Y6" i="4"/>
  <c r="AQ6" i="4"/>
  <c r="AR6" i="4"/>
  <c r="BA6" i="4"/>
  <c r="AB6" i="4"/>
  <c r="H6" i="4"/>
  <c r="D6" i="4"/>
  <c r="AM6" i="4"/>
  <c r="BB6" i="4"/>
  <c r="AY6" i="4"/>
  <c r="AN6" i="4"/>
  <c r="Z6" i="4"/>
  <c r="BD6" i="4"/>
  <c r="B6" i="4"/>
  <c r="BC6" i="4"/>
  <c r="AJ16" i="4"/>
  <c r="O16" i="4"/>
  <c r="T16" i="4"/>
  <c r="S16" i="4"/>
  <c r="W16" i="4"/>
  <c r="AH16" i="4"/>
  <c r="BC16" i="4"/>
  <c r="H16" i="4"/>
  <c r="N16" i="4"/>
  <c r="AF16" i="4"/>
  <c r="Q16" i="4"/>
  <c r="Y16" i="4"/>
  <c r="AG16" i="4"/>
  <c r="AC16" i="4"/>
  <c r="AY16" i="4"/>
  <c r="U16" i="4"/>
  <c r="AK16" i="4"/>
  <c r="V16" i="4"/>
  <c r="R16" i="4"/>
  <c r="AA16" i="4"/>
  <c r="AZ16" i="4"/>
  <c r="AW16" i="4"/>
  <c r="BF16" i="4"/>
  <c r="BA16" i="4"/>
  <c r="AR16" i="4"/>
  <c r="AN16" i="4"/>
  <c r="C16" i="4"/>
  <c r="K16" i="4"/>
  <c r="P16" i="4"/>
  <c r="AQ16" i="4"/>
  <c r="AU16" i="4"/>
  <c r="AD16" i="4"/>
  <c r="BE16" i="4"/>
  <c r="E16" i="4"/>
  <c r="AX16" i="4"/>
  <c r="BB16" i="4"/>
  <c r="M16" i="4"/>
  <c r="Z16" i="4"/>
  <c r="AO16" i="4"/>
  <c r="X16" i="4"/>
  <c r="AL16" i="4"/>
  <c r="AS16" i="4"/>
  <c r="L16" i="4"/>
  <c r="AV16" i="4"/>
  <c r="D16" i="4"/>
  <c r="AB16" i="4"/>
  <c r="AT16" i="4"/>
  <c r="AM16" i="4"/>
  <c r="AE16" i="4"/>
  <c r="AP16" i="4"/>
  <c r="AI16" i="4"/>
  <c r="BD16" i="4"/>
  <c r="J16" i="4"/>
  <c r="F5" i="2"/>
  <c r="G5" i="2"/>
  <c r="I5" i="2"/>
  <c r="C17" i="2"/>
  <c r="AW17" i="2"/>
  <c r="AB17" i="2"/>
  <c r="AO17" i="2"/>
  <c r="AE17" i="2"/>
  <c r="BE17" i="2"/>
  <c r="BF17" i="2"/>
  <c r="AS17" i="2"/>
  <c r="AR17" i="2"/>
  <c r="AX17" i="2"/>
  <c r="AL17" i="2"/>
  <c r="O17" i="2"/>
  <c r="K17" i="2"/>
  <c r="E17" i="2"/>
  <c r="AK17" i="2"/>
  <c r="BC17" i="2"/>
  <c r="BB17" i="2"/>
  <c r="N17" i="2"/>
  <c r="V17" i="2"/>
  <c r="R17" i="2"/>
  <c r="AU17" i="2"/>
  <c r="AG17" i="2"/>
  <c r="AZ17" i="2"/>
  <c r="M17" i="2"/>
  <c r="X17" i="2"/>
  <c r="AT17" i="2"/>
  <c r="AJ17" i="2"/>
  <c r="BA17" i="2"/>
  <c r="U17" i="2"/>
  <c r="AV17" i="2"/>
  <c r="BD17" i="2"/>
  <c r="AQ17" i="2"/>
  <c r="T17" i="2"/>
  <c r="J17" i="2"/>
  <c r="H17" i="2"/>
  <c r="Y17" i="2"/>
  <c r="L17" i="2"/>
  <c r="Z17" i="2"/>
  <c r="P17" i="2"/>
  <c r="Q17" i="2"/>
  <c r="AC17" i="2"/>
  <c r="AA17" i="2"/>
  <c r="AM17" i="2"/>
  <c r="AF17" i="2"/>
  <c r="S17" i="2"/>
  <c r="AN17" i="2"/>
  <c r="AI17" i="2"/>
  <c r="AH17" i="2"/>
  <c r="AD17" i="2"/>
  <c r="D17" i="2"/>
  <c r="W17" i="2"/>
  <c r="AY17" i="2"/>
  <c r="B17" i="2"/>
  <c r="AP17" i="2"/>
  <c r="BE50" i="1"/>
  <c r="Z50" i="1"/>
  <c r="K50" i="1"/>
  <c r="AB50" i="1"/>
  <c r="AP50" i="1"/>
  <c r="AH50" i="1"/>
  <c r="J50" i="1"/>
  <c r="BB50" i="1"/>
  <c r="Q50" i="1"/>
  <c r="S50" i="1"/>
  <c r="U50" i="1"/>
  <c r="AF50" i="1"/>
  <c r="BC50" i="1"/>
  <c r="AG50" i="1"/>
  <c r="AC50" i="1"/>
  <c r="AT50" i="1"/>
  <c r="M50" i="1"/>
  <c r="BD50" i="1"/>
  <c r="AJ50" i="1"/>
  <c r="AK50" i="1"/>
  <c r="AD50" i="1"/>
  <c r="N50" i="1"/>
  <c r="BF50" i="1"/>
  <c r="AV50" i="1"/>
  <c r="AZ50" i="1"/>
  <c r="C50" i="1"/>
  <c r="AQ50" i="1"/>
  <c r="X50" i="1"/>
  <c r="R50" i="1"/>
  <c r="V50" i="1"/>
  <c r="AL50" i="1"/>
  <c r="Y50" i="1"/>
  <c r="AM50" i="1"/>
  <c r="AX50" i="1"/>
  <c r="T50" i="1"/>
  <c r="AU50" i="1"/>
  <c r="AS50" i="1"/>
  <c r="H50" i="1"/>
  <c r="AA50" i="1"/>
  <c r="P50" i="1"/>
  <c r="AE50" i="1"/>
  <c r="L50" i="1"/>
  <c r="W50" i="1"/>
  <c r="AY50" i="1"/>
  <c r="O50" i="1"/>
  <c r="BA50" i="1"/>
  <c r="E50" i="1"/>
  <c r="AN50" i="1"/>
  <c r="D50" i="1"/>
  <c r="AI50" i="1"/>
  <c r="AO50" i="1"/>
  <c r="AR50" i="1"/>
  <c r="AW50" i="1"/>
  <c r="BE56" i="4"/>
  <c r="AE56" i="4"/>
  <c r="H56" i="4"/>
  <c r="V56" i="4"/>
  <c r="AS56" i="4"/>
  <c r="AF56" i="4"/>
  <c r="AC56" i="4"/>
  <c r="R56" i="4"/>
  <c r="AU56" i="4"/>
  <c r="AW56" i="4"/>
  <c r="AO56" i="4"/>
  <c r="C56" i="4"/>
  <c r="AD56" i="4"/>
  <c r="AG56" i="4"/>
  <c r="AI56" i="4"/>
  <c r="K56" i="4"/>
  <c r="BC56" i="4"/>
  <c r="BF56" i="4"/>
  <c r="AJ56" i="4"/>
  <c r="S56" i="4"/>
  <c r="BD56" i="4"/>
  <c r="Z56" i="4"/>
  <c r="Y56" i="4"/>
  <c r="AR56" i="4"/>
  <c r="AP56" i="4"/>
  <c r="AV56" i="4"/>
  <c r="AM56" i="4"/>
  <c r="L56" i="4"/>
  <c r="M56" i="4"/>
  <c r="AX56" i="4"/>
  <c r="AH56" i="4"/>
  <c r="D56" i="4"/>
  <c r="AT56" i="4"/>
  <c r="U56" i="4"/>
  <c r="AY56" i="4"/>
  <c r="N56" i="4"/>
  <c r="O56" i="4"/>
  <c r="AB56" i="4"/>
  <c r="Q56" i="4"/>
  <c r="AZ56" i="4"/>
  <c r="W56" i="4"/>
  <c r="BA56" i="4"/>
  <c r="X56" i="4"/>
  <c r="AQ56" i="4"/>
  <c r="P56" i="4"/>
  <c r="AA56" i="4"/>
  <c r="T56" i="4"/>
  <c r="BB56" i="4"/>
  <c r="AK56" i="4"/>
  <c r="E56" i="4"/>
  <c r="AN56" i="4"/>
  <c r="J56" i="4"/>
  <c r="AL56" i="4"/>
  <c r="B30" i="2"/>
  <c r="I30" i="2"/>
  <c r="G30" i="2"/>
  <c r="F30" i="2"/>
  <c r="P3" i="3"/>
  <c r="BF3" i="3"/>
  <c r="C3" i="3"/>
  <c r="AU3" i="3"/>
  <c r="AO3" i="3"/>
  <c r="L3" i="3"/>
  <c r="AL3" i="3"/>
  <c r="AA3" i="3"/>
  <c r="BE3" i="3"/>
  <c r="BB3" i="3"/>
  <c r="AF3" i="3"/>
  <c r="W3" i="3"/>
  <c r="BD3" i="3"/>
  <c r="AB3" i="3"/>
  <c r="X3" i="3"/>
  <c r="K3" i="3"/>
  <c r="AH3" i="3"/>
  <c r="N3" i="3"/>
  <c r="V3" i="3"/>
  <c r="J3" i="3"/>
  <c r="AV3" i="3"/>
  <c r="S3" i="3"/>
  <c r="R3" i="3"/>
  <c r="Q3" i="3"/>
  <c r="T3" i="3"/>
  <c r="AE3" i="3"/>
  <c r="AJ3" i="3"/>
  <c r="H3" i="3"/>
  <c r="Y3" i="3"/>
  <c r="AP3" i="3"/>
  <c r="AC3" i="3"/>
  <c r="AY3" i="3"/>
  <c r="AW3" i="3"/>
  <c r="O3" i="3"/>
  <c r="Z3" i="3"/>
  <c r="AM3" i="3"/>
  <c r="U3" i="3"/>
  <c r="AZ3" i="3"/>
  <c r="AQ3" i="3"/>
  <c r="M3" i="3"/>
  <c r="AX3" i="3"/>
  <c r="AN3" i="3"/>
  <c r="BA3" i="3"/>
  <c r="AG3" i="3"/>
  <c r="E3" i="3"/>
  <c r="AK3" i="3"/>
  <c r="AI3" i="3"/>
  <c r="AS3" i="3"/>
  <c r="D3" i="3"/>
  <c r="BC3" i="3"/>
  <c r="AT3" i="3"/>
  <c r="AR3" i="3"/>
  <c r="B3" i="3"/>
  <c r="AD3" i="3"/>
  <c r="I58" i="2"/>
  <c r="G58" i="2"/>
  <c r="F58" i="2"/>
  <c r="AB2" i="3"/>
  <c r="R2" i="3"/>
  <c r="BB2" i="3"/>
  <c r="V2" i="3"/>
  <c r="AK2" i="3"/>
  <c r="L2" i="3"/>
  <c r="AC2" i="3"/>
  <c r="AY2" i="3"/>
  <c r="O2" i="3"/>
  <c r="AM2" i="3"/>
  <c r="AZ2" i="3"/>
  <c r="P2" i="3"/>
  <c r="AV2" i="3"/>
  <c r="Z2" i="3"/>
  <c r="W2" i="3"/>
  <c r="S2" i="3"/>
  <c r="T2" i="3"/>
  <c r="AQ2" i="3"/>
  <c r="AJ2" i="3"/>
  <c r="Y2" i="3"/>
  <c r="BC2" i="3"/>
  <c r="U2" i="3"/>
  <c r="BE2" i="3"/>
  <c r="AE2" i="3"/>
  <c r="AP2" i="3"/>
  <c r="AN2" i="3"/>
  <c r="N2" i="3"/>
  <c r="D2" i="3"/>
  <c r="AO2" i="3"/>
  <c r="AS2" i="3"/>
  <c r="AL2" i="3"/>
  <c r="AD2" i="3"/>
  <c r="AU2" i="3"/>
  <c r="AR2" i="3"/>
  <c r="AA2" i="3"/>
  <c r="AG2" i="3"/>
  <c r="M2" i="3"/>
  <c r="AF2" i="3"/>
  <c r="X2" i="3"/>
  <c r="AT2" i="3"/>
  <c r="E2" i="3"/>
  <c r="BF2" i="3"/>
  <c r="AX2" i="3"/>
  <c r="C2" i="3"/>
  <c r="J2" i="3"/>
  <c r="AI2" i="3"/>
  <c r="AH2" i="3"/>
  <c r="BA2" i="3"/>
  <c r="H2" i="3"/>
  <c r="AW2" i="3"/>
  <c r="Q2" i="3"/>
  <c r="BD2" i="3"/>
  <c r="B2" i="3"/>
  <c r="K2" i="3"/>
  <c r="AV39" i="6"/>
  <c r="N39" i="6"/>
  <c r="AJ39" i="6"/>
  <c r="AR39" i="6"/>
  <c r="BE39" i="6"/>
  <c r="M39" i="6"/>
  <c r="AD39" i="6"/>
  <c r="S39" i="6"/>
  <c r="AQ39" i="6"/>
  <c r="X39" i="6"/>
  <c r="O39" i="6"/>
  <c r="AO39" i="6"/>
  <c r="AI39" i="6"/>
  <c r="AE39" i="6"/>
  <c r="BC39" i="6"/>
  <c r="Z39" i="6"/>
  <c r="V39" i="6"/>
  <c r="AF39" i="6"/>
  <c r="Y39" i="6"/>
  <c r="W39" i="6"/>
  <c r="AS39" i="6"/>
  <c r="BB39" i="6"/>
  <c r="BF39" i="6"/>
  <c r="AG39" i="6"/>
  <c r="Q39" i="6"/>
  <c r="AY39" i="6"/>
  <c r="AW39" i="6"/>
  <c r="L39" i="6"/>
  <c r="AN39" i="6"/>
  <c r="AL39" i="6"/>
  <c r="H39" i="6"/>
  <c r="AZ39" i="6"/>
  <c r="AA39" i="6"/>
  <c r="AX39" i="6"/>
  <c r="K39" i="6"/>
  <c r="AB39" i="6"/>
  <c r="BA39" i="6"/>
  <c r="U39" i="6"/>
  <c r="D39" i="6"/>
  <c r="AK39" i="6"/>
  <c r="P39" i="6"/>
  <c r="AP39" i="6"/>
  <c r="BD39" i="6"/>
  <c r="C39" i="6"/>
  <c r="AU39" i="6"/>
  <c r="AM39" i="6"/>
  <c r="AC39" i="6"/>
  <c r="E39" i="6"/>
  <c r="AT39" i="6"/>
  <c r="J39" i="6"/>
  <c r="AH39" i="6"/>
  <c r="R39" i="6"/>
  <c r="B39" i="6"/>
  <c r="T39" i="6"/>
  <c r="AZ14" i="2"/>
  <c r="AA14" i="2"/>
  <c r="J14" i="2"/>
  <c r="AE14" i="2"/>
  <c r="Q14" i="2"/>
  <c r="P14" i="2"/>
  <c r="K14" i="2"/>
  <c r="AN14" i="2"/>
  <c r="AW14" i="2"/>
  <c r="V14" i="2"/>
  <c r="AL14" i="2"/>
  <c r="Y14" i="2"/>
  <c r="AI14" i="2"/>
  <c r="AK14" i="2"/>
  <c r="N14" i="2"/>
  <c r="W14" i="2"/>
  <c r="AD14" i="2"/>
  <c r="R14" i="2"/>
  <c r="L14" i="2"/>
  <c r="BD14" i="2"/>
  <c r="AY14" i="2"/>
  <c r="X14" i="2"/>
  <c r="AO14" i="2"/>
  <c r="BC14" i="2"/>
  <c r="AG14" i="2"/>
  <c r="AQ14" i="2"/>
  <c r="M14" i="2"/>
  <c r="AB14" i="2"/>
  <c r="H14" i="2"/>
  <c r="AC14" i="2"/>
  <c r="BF14" i="2"/>
  <c r="AU14" i="2"/>
  <c r="AP14" i="2"/>
  <c r="O14" i="2"/>
  <c r="AX14" i="2"/>
  <c r="AF14" i="2"/>
  <c r="D14" i="2"/>
  <c r="Z14" i="2"/>
  <c r="AT14" i="2"/>
  <c r="BE14" i="2"/>
  <c r="AH14" i="2"/>
  <c r="C14" i="2"/>
  <c r="BB14" i="2"/>
  <c r="S14" i="2"/>
  <c r="U14" i="2"/>
  <c r="BA14" i="2"/>
  <c r="T14" i="2"/>
  <c r="AV14" i="2"/>
  <c r="AS14" i="2"/>
  <c r="AM14" i="2"/>
  <c r="AR14" i="2"/>
  <c r="AJ14" i="2"/>
  <c r="B14" i="2"/>
  <c r="E14" i="2"/>
  <c r="AJ24" i="1"/>
  <c r="AD24" i="1"/>
  <c r="AY24" i="1"/>
  <c r="T24" i="1"/>
  <c r="AX24" i="1"/>
  <c r="J24" i="1"/>
  <c r="BD24" i="1"/>
  <c r="AV24" i="1"/>
  <c r="AA24" i="1"/>
  <c r="AC24" i="1"/>
  <c r="AS24" i="1"/>
  <c r="AW24" i="1"/>
  <c r="D24" i="1"/>
  <c r="AL24" i="1"/>
  <c r="AF24" i="1"/>
  <c r="X24" i="1"/>
  <c r="BB24" i="1"/>
  <c r="BF24" i="1"/>
  <c r="S24" i="1"/>
  <c r="Q24" i="1"/>
  <c r="R24" i="1"/>
  <c r="L24" i="1"/>
  <c r="AU24" i="1"/>
  <c r="O24" i="1"/>
  <c r="AE24" i="1"/>
  <c r="BC24" i="1"/>
  <c r="P24" i="1"/>
  <c r="E24" i="1"/>
  <c r="V24" i="1"/>
  <c r="W24" i="1"/>
  <c r="N24" i="1"/>
  <c r="AR24" i="1"/>
  <c r="BE24" i="1"/>
  <c r="Y24" i="1"/>
  <c r="H24" i="1"/>
  <c r="AG24" i="1"/>
  <c r="BA24" i="1"/>
  <c r="AM24" i="1"/>
  <c r="AB24" i="1"/>
  <c r="AI24" i="1"/>
  <c r="AT24" i="1"/>
  <c r="Z24" i="1"/>
  <c r="K24" i="1"/>
  <c r="U24" i="1"/>
  <c r="AO24" i="1"/>
  <c r="AN24" i="1"/>
  <c r="AH24" i="1"/>
  <c r="AK24" i="1"/>
  <c r="AP24" i="1"/>
  <c r="M24" i="1"/>
  <c r="AZ24" i="1"/>
  <c r="C24" i="1"/>
  <c r="B24" i="1"/>
  <c r="AQ24" i="1"/>
  <c r="S19" i="3"/>
  <c r="V19" i="3"/>
  <c r="AW19" i="3"/>
  <c r="D19" i="3"/>
  <c r="AD19" i="3"/>
  <c r="AZ19" i="3"/>
  <c r="N19" i="3"/>
  <c r="AQ19" i="3"/>
  <c r="K19" i="3"/>
  <c r="R19" i="3"/>
  <c r="AN19" i="3"/>
  <c r="AG19" i="3"/>
  <c r="AR19" i="3"/>
  <c r="H19" i="3"/>
  <c r="AT19" i="3"/>
  <c r="X19" i="3"/>
  <c r="AX19" i="3"/>
  <c r="AV19" i="3"/>
  <c r="T19" i="3"/>
  <c r="AL19" i="3"/>
  <c r="AI19" i="3"/>
  <c r="AA19" i="3"/>
  <c r="Q19" i="3"/>
  <c r="C19" i="3"/>
  <c r="M19" i="3"/>
  <c r="U19" i="3"/>
  <c r="O19" i="3"/>
  <c r="AE19" i="3"/>
  <c r="BA19" i="3"/>
  <c r="AS19" i="3"/>
  <c r="BB19" i="3"/>
  <c r="AO19" i="3"/>
  <c r="AK19" i="3"/>
  <c r="Y19" i="3"/>
  <c r="BD19" i="3"/>
  <c r="AF19" i="3"/>
  <c r="BC19" i="3"/>
  <c r="AC19" i="3"/>
  <c r="AP19" i="3"/>
  <c r="E19" i="3"/>
  <c r="L19" i="3"/>
  <c r="J19" i="3"/>
  <c r="Z19" i="3"/>
  <c r="P19" i="3"/>
  <c r="AY19" i="3"/>
  <c r="AU19" i="3"/>
  <c r="AB19" i="3"/>
  <c r="AH19" i="3"/>
  <c r="BF19" i="3"/>
  <c r="BE19" i="3"/>
  <c r="AM19" i="3"/>
  <c r="AJ19" i="3"/>
  <c r="B19" i="3"/>
  <c r="W19" i="3"/>
  <c r="AZ53" i="3"/>
  <c r="Y53" i="3"/>
  <c r="AQ53" i="3"/>
  <c r="H53" i="3"/>
  <c r="AS53" i="3"/>
  <c r="AH53" i="3"/>
  <c r="AW53" i="3"/>
  <c r="AU53" i="3"/>
  <c r="V53" i="3"/>
  <c r="BA53" i="3"/>
  <c r="M53" i="3"/>
  <c r="U53" i="3"/>
  <c r="AY53" i="3"/>
  <c r="T53" i="3"/>
  <c r="AK53" i="3"/>
  <c r="BE53" i="3"/>
  <c r="O53" i="3"/>
  <c r="W53" i="3"/>
  <c r="AM53" i="3"/>
  <c r="AT53" i="3"/>
  <c r="AB53" i="3"/>
  <c r="BF53" i="3"/>
  <c r="BB53" i="3"/>
  <c r="AR53" i="3"/>
  <c r="BC53" i="3"/>
  <c r="AC53" i="3"/>
  <c r="D53" i="3"/>
  <c r="AL53" i="3"/>
  <c r="Q53" i="3"/>
  <c r="P53" i="3"/>
  <c r="AX53" i="3"/>
  <c r="Z53" i="3"/>
  <c r="AN53" i="3"/>
  <c r="AI53" i="3"/>
  <c r="E53" i="3"/>
  <c r="S53" i="3"/>
  <c r="AJ53" i="3"/>
  <c r="AF53" i="3"/>
  <c r="N53" i="3"/>
  <c r="AV53" i="3"/>
  <c r="AG53" i="3"/>
  <c r="R53" i="3"/>
  <c r="AA53" i="3"/>
  <c r="AP53" i="3"/>
  <c r="K53" i="3"/>
  <c r="BD53" i="3"/>
  <c r="AD53" i="3"/>
  <c r="AE53" i="3"/>
  <c r="L53" i="3"/>
  <c r="AO53" i="3"/>
  <c r="J53" i="3"/>
  <c r="C53" i="3"/>
  <c r="B53" i="3"/>
  <c r="X53" i="3"/>
  <c r="I26" i="2"/>
  <c r="G26" i="2"/>
  <c r="F26" i="2"/>
  <c r="AC51" i="4"/>
  <c r="AI51" i="4"/>
  <c r="Q51" i="4"/>
  <c r="AT51" i="4"/>
  <c r="J51" i="4"/>
  <c r="AZ51" i="4"/>
  <c r="AL51" i="4"/>
  <c r="S51" i="4"/>
  <c r="AX51" i="4"/>
  <c r="BA51" i="4"/>
  <c r="H51" i="4"/>
  <c r="BD51" i="4"/>
  <c r="AK51" i="4"/>
  <c r="W51" i="4"/>
  <c r="C51" i="4"/>
  <c r="O51" i="4"/>
  <c r="AS51" i="4"/>
  <c r="AP51" i="4"/>
  <c r="K51" i="4"/>
  <c r="N51" i="4"/>
  <c r="BE51" i="4"/>
  <c r="R51" i="4"/>
  <c r="Z51" i="4"/>
  <c r="AO51" i="4"/>
  <c r="E51" i="4"/>
  <c r="BB51" i="4"/>
  <c r="L51" i="4"/>
  <c r="AM51" i="4"/>
  <c r="AW51" i="4"/>
  <c r="AA51" i="4"/>
  <c r="AH51" i="4"/>
  <c r="AQ51" i="4"/>
  <c r="AR51" i="4"/>
  <c r="AF51" i="4"/>
  <c r="D51" i="4"/>
  <c r="P51" i="4"/>
  <c r="X51" i="4"/>
  <c r="Y51" i="4"/>
  <c r="BF51" i="4"/>
  <c r="AJ51" i="4"/>
  <c r="M51" i="4"/>
  <c r="AB51" i="4"/>
  <c r="AU51" i="4"/>
  <c r="U51" i="4"/>
  <c r="AG51" i="4"/>
  <c r="T51" i="4"/>
  <c r="AV51" i="4"/>
  <c r="AE51" i="4"/>
  <c r="BC51" i="4"/>
  <c r="V51" i="4"/>
  <c r="AD51" i="4"/>
  <c r="AY51" i="4"/>
  <c r="B51" i="4"/>
  <c r="AN51" i="4"/>
  <c r="F12" i="6"/>
  <c r="B12" i="6"/>
  <c r="I12" i="6"/>
  <c r="G12" i="6"/>
  <c r="B35" i="3"/>
  <c r="I35" i="3"/>
  <c r="G35" i="3"/>
  <c r="F35" i="3"/>
  <c r="I33" i="4"/>
  <c r="G33" i="4"/>
  <c r="F33" i="4"/>
  <c r="BB4" i="2"/>
  <c r="AM4" i="2"/>
  <c r="AF4" i="2"/>
  <c r="AS4" i="2"/>
  <c r="AR4" i="2"/>
  <c r="M4" i="2"/>
  <c r="AL4" i="2"/>
  <c r="AN4" i="2"/>
  <c r="BA4" i="2"/>
  <c r="Y4" i="2"/>
  <c r="D4" i="2"/>
  <c r="C4" i="2"/>
  <c r="Z4" i="2"/>
  <c r="BF4" i="2"/>
  <c r="AH4" i="2"/>
  <c r="S4" i="2"/>
  <c r="AT4" i="2"/>
  <c r="AP4" i="2"/>
  <c r="AO4" i="2"/>
  <c r="AK4" i="2"/>
  <c r="L4" i="2"/>
  <c r="AE4" i="2"/>
  <c r="AX4" i="2"/>
  <c r="K4" i="2"/>
  <c r="AB4" i="2"/>
  <c r="AU4" i="2"/>
  <c r="AV4" i="2"/>
  <c r="AI4" i="2"/>
  <c r="X4" i="2"/>
  <c r="AZ4" i="2"/>
  <c r="AG4" i="2"/>
  <c r="P4" i="2"/>
  <c r="H4" i="2"/>
  <c r="E4" i="2"/>
  <c r="R4" i="2"/>
  <c r="BC4" i="2"/>
  <c r="AC4" i="2"/>
  <c r="V4" i="2"/>
  <c r="BE4" i="2"/>
  <c r="N4" i="2"/>
  <c r="J4" i="2"/>
  <c r="AW4" i="2"/>
  <c r="O4" i="2"/>
  <c r="AY4" i="2"/>
  <c r="U4" i="2"/>
  <c r="AA4" i="2"/>
  <c r="BD4" i="2"/>
  <c r="W4" i="2"/>
  <c r="AQ4" i="2"/>
  <c r="AD4" i="2"/>
  <c r="T4" i="2"/>
  <c r="AJ4" i="2"/>
  <c r="B4" i="2"/>
  <c r="Q4" i="2"/>
  <c r="U19" i="2"/>
  <c r="P19" i="2"/>
  <c r="J19" i="2"/>
  <c r="Z19" i="2"/>
  <c r="H19" i="2"/>
  <c r="R19" i="2"/>
  <c r="M19" i="2"/>
  <c r="BA19" i="2"/>
  <c r="AK19" i="2"/>
  <c r="L19" i="2"/>
  <c r="AO19" i="2"/>
  <c r="AZ19" i="2"/>
  <c r="BD19" i="2"/>
  <c r="AX19" i="2"/>
  <c r="O19" i="2"/>
  <c r="BF19" i="2"/>
  <c r="AV19" i="2"/>
  <c r="Q19" i="2"/>
  <c r="AR19" i="2"/>
  <c r="AE19" i="2"/>
  <c r="D19" i="2"/>
  <c r="E19" i="2"/>
  <c r="AD19" i="2"/>
  <c r="T19" i="2"/>
  <c r="AM19" i="2"/>
  <c r="AS19" i="2"/>
  <c r="AL19" i="2"/>
  <c r="AA19" i="2"/>
  <c r="AW19" i="2"/>
  <c r="BE19" i="2"/>
  <c r="AC19" i="2"/>
  <c r="AI19" i="2"/>
  <c r="V19" i="2"/>
  <c r="AB19" i="2"/>
  <c r="AG19" i="2"/>
  <c r="Y19" i="2"/>
  <c r="W19" i="2"/>
  <c r="AY19" i="2"/>
  <c r="AN19" i="2"/>
  <c r="AJ19" i="2"/>
  <c r="X19" i="2"/>
  <c r="K19" i="2"/>
  <c r="BC19" i="2"/>
  <c r="AF19" i="2"/>
  <c r="AH19" i="2"/>
  <c r="S19" i="2"/>
  <c r="AP19" i="2"/>
  <c r="BB19" i="2"/>
  <c r="AT19" i="2"/>
  <c r="C19" i="2"/>
  <c r="N19" i="2"/>
  <c r="AU19" i="2"/>
  <c r="B19" i="2"/>
  <c r="AQ19" i="2"/>
  <c r="H26" i="2"/>
  <c r="U26" i="2"/>
  <c r="AW26" i="2"/>
  <c r="O26" i="2"/>
  <c r="AS26" i="2"/>
  <c r="AK26" i="2"/>
  <c r="V26" i="2"/>
  <c r="BD26" i="2"/>
  <c r="BF26" i="2"/>
  <c r="K26" i="2"/>
  <c r="AM26" i="2"/>
  <c r="AD26" i="2"/>
  <c r="Q26" i="2"/>
  <c r="AL26" i="2"/>
  <c r="BC26" i="2"/>
  <c r="Y26" i="2"/>
  <c r="AC26" i="2"/>
  <c r="E26" i="2"/>
  <c r="X26" i="2"/>
  <c r="AJ26" i="2"/>
  <c r="AY26" i="2"/>
  <c r="BE26" i="2"/>
  <c r="S26" i="2"/>
  <c r="AG26" i="2"/>
  <c r="AQ26" i="2"/>
  <c r="P26" i="2"/>
  <c r="D26" i="2"/>
  <c r="AA26" i="2"/>
  <c r="AN26" i="2"/>
  <c r="C26" i="2"/>
  <c r="W26" i="2"/>
  <c r="BA26" i="2"/>
  <c r="N26" i="2"/>
  <c r="AE26" i="2"/>
  <c r="AZ26" i="2"/>
  <c r="J26" i="2"/>
  <c r="AF26" i="2"/>
  <c r="R26" i="2"/>
  <c r="Z26" i="2"/>
  <c r="AO26" i="2"/>
  <c r="AV26" i="2"/>
  <c r="BB26" i="2"/>
  <c r="AI26" i="2"/>
  <c r="AR26" i="2"/>
  <c r="AP26" i="2"/>
  <c r="AU26" i="2"/>
  <c r="AT26" i="2"/>
  <c r="AX26" i="2"/>
  <c r="T26" i="2"/>
  <c r="M26" i="2"/>
  <c r="AH26" i="2"/>
  <c r="AB26" i="2"/>
  <c r="B26" i="2"/>
  <c r="L26" i="2"/>
  <c r="M21" i="1"/>
  <c r="O21" i="1"/>
  <c r="AF21" i="1"/>
  <c r="U21" i="1"/>
  <c r="AB21" i="1"/>
  <c r="T21" i="1"/>
  <c r="BE21" i="1"/>
  <c r="Q21" i="1"/>
  <c r="C21" i="1"/>
  <c r="H21" i="1"/>
  <c r="AI21" i="1"/>
  <c r="Y21" i="1"/>
  <c r="BB21" i="1"/>
  <c r="BA21" i="1"/>
  <c r="AQ21" i="1"/>
  <c r="P21" i="1"/>
  <c r="K21" i="1"/>
  <c r="AA21" i="1"/>
  <c r="AR21" i="1"/>
  <c r="X21" i="1"/>
  <c r="AN21" i="1"/>
  <c r="N21" i="1"/>
  <c r="R21" i="1"/>
  <c r="AS21" i="1"/>
  <c r="Z21" i="1"/>
  <c r="AZ21" i="1"/>
  <c r="AG21" i="1"/>
  <c r="S21" i="1"/>
  <c r="AX21" i="1"/>
  <c r="AP21" i="1"/>
  <c r="AM21" i="1"/>
  <c r="D21" i="1"/>
  <c r="J21" i="1"/>
  <c r="AL21" i="1"/>
  <c r="AW21" i="1"/>
  <c r="AY21" i="1"/>
  <c r="AE21" i="1"/>
  <c r="BD21" i="1"/>
  <c r="V21" i="1"/>
  <c r="AK21" i="1"/>
  <c r="L21" i="1"/>
  <c r="AU21" i="1"/>
  <c r="E21" i="1"/>
  <c r="W21" i="1"/>
  <c r="AJ21" i="1"/>
  <c r="AV21" i="1"/>
  <c r="AC21" i="1"/>
  <c r="AO21" i="1"/>
  <c r="BC21" i="1"/>
  <c r="AD21" i="1"/>
  <c r="BF21" i="1"/>
  <c r="AH21" i="1"/>
  <c r="B21" i="1"/>
  <c r="AT21" i="1"/>
  <c r="I25" i="6"/>
  <c r="G25" i="6"/>
  <c r="F25" i="6"/>
  <c r="B19" i="4"/>
  <c r="I19" i="4"/>
  <c r="G19" i="4"/>
  <c r="F19" i="4"/>
  <c r="AS40" i="6"/>
  <c r="W40" i="6"/>
  <c r="AE40" i="6"/>
  <c r="R40" i="6"/>
  <c r="AJ40" i="6"/>
  <c r="Z40" i="6"/>
  <c r="AK40" i="6"/>
  <c r="AQ40" i="6"/>
  <c r="AG40" i="6"/>
  <c r="AR40" i="6"/>
  <c r="AN40" i="6"/>
  <c r="P40" i="6"/>
  <c r="AF40" i="6"/>
  <c r="AU40" i="6"/>
  <c r="AM40" i="6"/>
  <c r="X40" i="6"/>
  <c r="AX40" i="6"/>
  <c r="Y40" i="6"/>
  <c r="BC40" i="6"/>
  <c r="BB40" i="6"/>
  <c r="Q40" i="6"/>
  <c r="E40" i="6"/>
  <c r="N40" i="6"/>
  <c r="BA40" i="6"/>
  <c r="S40" i="6"/>
  <c r="AB40" i="6"/>
  <c r="H40" i="6"/>
  <c r="U40" i="6"/>
  <c r="AC40" i="6"/>
  <c r="J40" i="6"/>
  <c r="AL40" i="6"/>
  <c r="BD40" i="6"/>
  <c r="C40" i="6"/>
  <c r="V40" i="6"/>
  <c r="AO40" i="6"/>
  <c r="AD40" i="6"/>
  <c r="O40" i="6"/>
  <c r="AV40" i="6"/>
  <c r="L40" i="6"/>
  <c r="D40" i="6"/>
  <c r="AI40" i="6"/>
  <c r="M40" i="6"/>
  <c r="AA40" i="6"/>
  <c r="AT40" i="6"/>
  <c r="AP40" i="6"/>
  <c r="AY40" i="6"/>
  <c r="K40" i="6"/>
  <c r="AW40" i="6"/>
  <c r="T40" i="6"/>
  <c r="AH40" i="6"/>
  <c r="AZ40" i="6"/>
  <c r="BE40" i="6"/>
  <c r="B40" i="6"/>
  <c r="BF40" i="6"/>
  <c r="AK36" i="1"/>
  <c r="AW36" i="1"/>
  <c r="AJ36" i="1"/>
  <c r="AE36" i="1"/>
  <c r="Z36" i="1"/>
  <c r="AX36" i="1"/>
  <c r="AV36" i="1"/>
  <c r="AF36" i="1"/>
  <c r="T36" i="1"/>
  <c r="K36" i="1"/>
  <c r="J36" i="1"/>
  <c r="AY36" i="1"/>
  <c r="AC36" i="1"/>
  <c r="AR36" i="1"/>
  <c r="BF36" i="1"/>
  <c r="AM36" i="1"/>
  <c r="AI36" i="1"/>
  <c r="AG36" i="1"/>
  <c r="AP36" i="1"/>
  <c r="M36" i="1"/>
  <c r="Y36" i="1"/>
  <c r="D36" i="1"/>
  <c r="Q36" i="1"/>
  <c r="BB36" i="1"/>
  <c r="AQ36" i="1"/>
  <c r="N36" i="1"/>
  <c r="H36" i="1"/>
  <c r="AH36" i="1"/>
  <c r="L36" i="1"/>
  <c r="BA36" i="1"/>
  <c r="AB36" i="1"/>
  <c r="AT36" i="1"/>
  <c r="BD36" i="1"/>
  <c r="U36" i="1"/>
  <c r="AO36" i="1"/>
  <c r="AN36" i="1"/>
  <c r="V36" i="1"/>
  <c r="X36" i="1"/>
  <c r="O36" i="1"/>
  <c r="C36" i="1"/>
  <c r="AU36" i="1"/>
  <c r="R36" i="1"/>
  <c r="E36" i="1"/>
  <c r="BE36" i="1"/>
  <c r="AZ36" i="1"/>
  <c r="W36" i="1"/>
  <c r="AD36" i="1"/>
  <c r="AA36" i="1"/>
  <c r="S36" i="1"/>
  <c r="AL36" i="1"/>
  <c r="P36" i="1"/>
  <c r="BC36" i="1"/>
  <c r="B36" i="1"/>
  <c r="AS36" i="1"/>
  <c r="B34" i="9"/>
  <c r="I34" i="9"/>
  <c r="G34" i="9"/>
  <c r="F34" i="9"/>
  <c r="AF28" i="6"/>
  <c r="AS28" i="6"/>
  <c r="BA28" i="6"/>
  <c r="AY28" i="6"/>
  <c r="BF28" i="6"/>
  <c r="AB28" i="6"/>
  <c r="AN28" i="6"/>
  <c r="W28" i="6"/>
  <c r="AU28" i="6"/>
  <c r="Q28" i="6"/>
  <c r="AC28" i="6"/>
  <c r="R28" i="6"/>
  <c r="K28" i="6"/>
  <c r="M28" i="6"/>
  <c r="O28" i="6"/>
  <c r="AJ28" i="6"/>
  <c r="AZ28" i="6"/>
  <c r="AH28" i="6"/>
  <c r="P28" i="6"/>
  <c r="N28" i="6"/>
  <c r="AR28" i="6"/>
  <c r="D28" i="6"/>
  <c r="J28" i="6"/>
  <c r="AV28" i="6"/>
  <c r="AD28" i="6"/>
  <c r="AO28" i="6"/>
  <c r="BE28" i="6"/>
  <c r="AI28" i="6"/>
  <c r="AX28" i="6"/>
  <c r="V28" i="6"/>
  <c r="Z28" i="6"/>
  <c r="AL28" i="6"/>
  <c r="E28" i="6"/>
  <c r="U28" i="6"/>
  <c r="H28" i="6"/>
  <c r="X28" i="6"/>
  <c r="BD28" i="6"/>
  <c r="L28" i="6"/>
  <c r="S28" i="6"/>
  <c r="C28" i="6"/>
  <c r="AE28" i="6"/>
  <c r="AQ28" i="6"/>
  <c r="BB28" i="6"/>
  <c r="AG28" i="6"/>
  <c r="BC28" i="6"/>
  <c r="AK28" i="6"/>
  <c r="AM28" i="6"/>
  <c r="AP28" i="6"/>
  <c r="AA28" i="6"/>
  <c r="AT28" i="6"/>
  <c r="AW28" i="6"/>
  <c r="Y28" i="6"/>
  <c r="B28" i="6"/>
  <c r="T28" i="6"/>
  <c r="AA8" i="2"/>
  <c r="C8" i="2"/>
  <c r="U8" i="2"/>
  <c r="AT8" i="2"/>
  <c r="N8" i="2"/>
  <c r="AM8" i="2"/>
  <c r="J8" i="2"/>
  <c r="Z8" i="2"/>
  <c r="BD8" i="2"/>
  <c r="V8" i="2"/>
  <c r="BB8" i="2"/>
  <c r="R8" i="2"/>
  <c r="AD8" i="2"/>
  <c r="AR8" i="2"/>
  <c r="P8" i="2"/>
  <c r="AQ8" i="2"/>
  <c r="BA8" i="2"/>
  <c r="AX8" i="2"/>
  <c r="AU8" i="2"/>
  <c r="M8" i="2"/>
  <c r="AZ8" i="2"/>
  <c r="AE8" i="2"/>
  <c r="AF8" i="2"/>
  <c r="AJ8" i="2"/>
  <c r="AG8" i="2"/>
  <c r="AB8" i="2"/>
  <c r="AL8" i="2"/>
  <c r="T8" i="2"/>
  <c r="AO8" i="2"/>
  <c r="AN8" i="2"/>
  <c r="Y8" i="2"/>
  <c r="L8" i="2"/>
  <c r="AK8" i="2"/>
  <c r="AY8" i="2"/>
  <c r="AS8" i="2"/>
  <c r="AP8" i="2"/>
  <c r="AC8" i="2"/>
  <c r="D8" i="2"/>
  <c r="O8" i="2"/>
  <c r="BE8" i="2"/>
  <c r="BC8" i="2"/>
  <c r="AH8" i="2"/>
  <c r="H8" i="2"/>
  <c r="W8" i="2"/>
  <c r="S8" i="2"/>
  <c r="AW8" i="2"/>
  <c r="X8" i="2"/>
  <c r="BF8" i="2"/>
  <c r="AV8" i="2"/>
  <c r="AI8" i="2"/>
  <c r="Q8" i="2"/>
  <c r="E8" i="2"/>
  <c r="B8" i="2"/>
  <c r="K8" i="2"/>
  <c r="B16" i="4"/>
  <c r="I16" i="4"/>
  <c r="G16" i="4"/>
  <c r="F16" i="4"/>
  <c r="AV55" i="5"/>
  <c r="AT55" i="5"/>
  <c r="BC55" i="5"/>
  <c r="U55" i="5"/>
  <c r="K55" i="5"/>
  <c r="J55" i="5"/>
  <c r="BB55" i="5"/>
  <c r="AS55" i="5"/>
  <c r="W55" i="5"/>
  <c r="AU55" i="5"/>
  <c r="E55" i="5"/>
  <c r="N55" i="5"/>
  <c r="R55" i="5"/>
  <c r="BD55" i="5"/>
  <c r="Y55" i="5"/>
  <c r="S55" i="5"/>
  <c r="AJ55" i="5"/>
  <c r="C55" i="5"/>
  <c r="AN55" i="5"/>
  <c r="AK55" i="5"/>
  <c r="AR55" i="5"/>
  <c r="AY55" i="5"/>
  <c r="AA55" i="5"/>
  <c r="Z55" i="5"/>
  <c r="AL55" i="5"/>
  <c r="BF55" i="5"/>
  <c r="AO55" i="5"/>
  <c r="AF55" i="5"/>
  <c r="AC55" i="5"/>
  <c r="AG55" i="5"/>
  <c r="T55" i="5"/>
  <c r="M55" i="5"/>
  <c r="AH55" i="5"/>
  <c r="H55" i="5"/>
  <c r="V55" i="5"/>
  <c r="AQ55" i="5"/>
  <c r="D55" i="5"/>
  <c r="BE55" i="5"/>
  <c r="AM55" i="5"/>
  <c r="Q55" i="5"/>
  <c r="O55" i="5"/>
  <c r="P55" i="5"/>
  <c r="AB55" i="5"/>
  <c r="X55" i="5"/>
  <c r="L55" i="5"/>
  <c r="BA55" i="5"/>
  <c r="AE55" i="5"/>
  <c r="AP55" i="5"/>
  <c r="AI55" i="5"/>
  <c r="AD55" i="5"/>
  <c r="AX55" i="5"/>
  <c r="AZ55" i="5"/>
  <c r="AW55" i="5"/>
  <c r="B50" i="1"/>
  <c r="I50" i="1"/>
  <c r="G50" i="1"/>
  <c r="F50" i="1"/>
  <c r="AW42" i="1"/>
  <c r="AS42" i="1"/>
  <c r="AH42" i="1"/>
  <c r="Q42" i="1"/>
  <c r="AT42" i="1"/>
  <c r="AZ42" i="1"/>
  <c r="E42" i="1"/>
  <c r="AN42" i="1"/>
  <c r="W42" i="1"/>
  <c r="AK42" i="1"/>
  <c r="AL42" i="1"/>
  <c r="V42" i="1"/>
  <c r="H42" i="1"/>
  <c r="BE42" i="1"/>
  <c r="AU42" i="1"/>
  <c r="R42" i="1"/>
  <c r="AG42" i="1"/>
  <c r="BA42" i="1"/>
  <c r="J42" i="1"/>
  <c r="Z42" i="1"/>
  <c r="U42" i="1"/>
  <c r="AF42" i="1"/>
  <c r="L42" i="1"/>
  <c r="AD42" i="1"/>
  <c r="AM42" i="1"/>
  <c r="AC42" i="1"/>
  <c r="Y42" i="1"/>
  <c r="BF42" i="1"/>
  <c r="S42" i="1"/>
  <c r="AQ42" i="1"/>
  <c r="AR42" i="1"/>
  <c r="T42" i="1"/>
  <c r="AX42" i="1"/>
  <c r="K42" i="1"/>
  <c r="D42" i="1"/>
  <c r="AV42" i="1"/>
  <c r="AI42" i="1"/>
  <c r="BB42" i="1"/>
  <c r="BD42" i="1"/>
  <c r="AJ42" i="1"/>
  <c r="N42" i="1"/>
  <c r="M42" i="1"/>
  <c r="AO42" i="1"/>
  <c r="AY42" i="1"/>
  <c r="X42" i="1"/>
  <c r="AE42" i="1"/>
  <c r="AP42" i="1"/>
  <c r="O42" i="1"/>
  <c r="P42" i="1"/>
  <c r="AB42" i="1"/>
  <c r="C42" i="1"/>
  <c r="BC42" i="1"/>
  <c r="AA42" i="1"/>
  <c r="B56" i="4"/>
  <c r="I56" i="4"/>
  <c r="G56" i="4"/>
  <c r="F56" i="4"/>
  <c r="BA22" i="5"/>
  <c r="AC22" i="5"/>
  <c r="T22" i="5"/>
  <c r="R22" i="5"/>
  <c r="AX22" i="5"/>
  <c r="AM22" i="5"/>
  <c r="AS22" i="5"/>
  <c r="AK22" i="5"/>
  <c r="AL22" i="5"/>
  <c r="BD22" i="5"/>
  <c r="X22" i="5"/>
  <c r="AY22" i="5"/>
  <c r="AG22" i="5"/>
  <c r="AP22" i="5"/>
  <c r="BE22" i="5"/>
  <c r="Z22" i="5"/>
  <c r="AZ22" i="5"/>
  <c r="AR22" i="5"/>
  <c r="W22" i="5"/>
  <c r="AQ22" i="5"/>
  <c r="AU22" i="5"/>
  <c r="AJ22" i="5"/>
  <c r="D22" i="5"/>
  <c r="M22" i="5"/>
  <c r="AN22" i="5"/>
  <c r="N22" i="5"/>
  <c r="BC22" i="5"/>
  <c r="C22" i="5"/>
  <c r="AW22" i="5"/>
  <c r="K22" i="5"/>
  <c r="AD22" i="5"/>
  <c r="O22" i="5"/>
  <c r="U22" i="5"/>
  <c r="AV22" i="5"/>
  <c r="AH22" i="5"/>
  <c r="S22" i="5"/>
  <c r="P22" i="5"/>
  <c r="BF22" i="5"/>
  <c r="AA22" i="5"/>
  <c r="AT22" i="5"/>
  <c r="V22" i="5"/>
  <c r="AI22" i="5"/>
  <c r="Q22" i="5"/>
  <c r="AF22" i="5"/>
  <c r="AE22" i="5"/>
  <c r="Y22" i="5"/>
  <c r="BB22" i="5"/>
  <c r="AB22" i="5"/>
  <c r="H22" i="5"/>
  <c r="J22" i="5"/>
  <c r="L22" i="5"/>
  <c r="E22" i="5"/>
  <c r="AO22" i="5"/>
  <c r="B19" i="1"/>
  <c r="I19" i="1"/>
  <c r="G19" i="1"/>
  <c r="F19" i="1"/>
  <c r="AL23" i="7"/>
  <c r="C23" i="7"/>
  <c r="O23" i="7"/>
  <c r="AM23" i="7"/>
  <c r="H23" i="7"/>
  <c r="AO23" i="7"/>
  <c r="BE23" i="7"/>
  <c r="AQ23" i="7"/>
  <c r="AJ23" i="7"/>
  <c r="R23" i="7"/>
  <c r="E23" i="7"/>
  <c r="AI23" i="7"/>
  <c r="J23" i="7"/>
  <c r="M23" i="7"/>
  <c r="Y23" i="7"/>
  <c r="AG23" i="7"/>
  <c r="AP23" i="7"/>
  <c r="AD23" i="7"/>
  <c r="D23" i="7"/>
  <c r="BA23" i="7"/>
  <c r="AE23" i="7"/>
  <c r="AN23" i="7"/>
  <c r="Q23" i="7"/>
  <c r="P23" i="7"/>
  <c r="N23" i="7"/>
  <c r="T23" i="7"/>
  <c r="S23" i="7"/>
  <c r="V23" i="7"/>
  <c r="AU23" i="7"/>
  <c r="AW23" i="7"/>
  <c r="Z23" i="7"/>
  <c r="BD23" i="7"/>
  <c r="AC23" i="7"/>
  <c r="BC23" i="7"/>
  <c r="BF23" i="7"/>
  <c r="AX23" i="7"/>
  <c r="X23" i="7"/>
  <c r="AK23" i="7"/>
  <c r="AH23" i="7"/>
  <c r="L23" i="7"/>
  <c r="AR23" i="7"/>
  <c r="W23" i="7"/>
  <c r="AA23" i="7"/>
  <c r="AZ23" i="7"/>
  <c r="AV23" i="7"/>
  <c r="U23" i="7"/>
  <c r="K23" i="7"/>
  <c r="AT23" i="7"/>
  <c r="AS23" i="7"/>
  <c r="AY23" i="7"/>
  <c r="AB23" i="7"/>
  <c r="BB23" i="7"/>
  <c r="AF23" i="7"/>
  <c r="AE49" i="3"/>
  <c r="AY49" i="3"/>
  <c r="C49" i="3"/>
  <c r="Q49" i="3"/>
  <c r="AW49" i="3"/>
  <c r="AK49" i="3"/>
  <c r="AD49" i="3"/>
  <c r="H49" i="3"/>
  <c r="AZ49" i="3"/>
  <c r="AS49" i="3"/>
  <c r="M49" i="3"/>
  <c r="AP49" i="3"/>
  <c r="Z49" i="3"/>
  <c r="BA49" i="3"/>
  <c r="AN49" i="3"/>
  <c r="AC49" i="3"/>
  <c r="AI49" i="3"/>
  <c r="X49" i="3"/>
  <c r="L49" i="3"/>
  <c r="Y49" i="3"/>
  <c r="N49" i="3"/>
  <c r="AQ49" i="3"/>
  <c r="AT49" i="3"/>
  <c r="O49" i="3"/>
  <c r="AO49" i="3"/>
  <c r="AV49" i="3"/>
  <c r="D49" i="3"/>
  <c r="BE49" i="3"/>
  <c r="K49" i="3"/>
  <c r="W49" i="3"/>
  <c r="P49" i="3"/>
  <c r="BF49" i="3"/>
  <c r="AU49" i="3"/>
  <c r="BC49" i="3"/>
  <c r="V49" i="3"/>
  <c r="T49" i="3"/>
  <c r="BB49" i="3"/>
  <c r="AJ49" i="3"/>
  <c r="BD49" i="3"/>
  <c r="E49" i="3"/>
  <c r="AB49" i="3"/>
  <c r="AF49" i="3"/>
  <c r="AM49" i="3"/>
  <c r="S49" i="3"/>
  <c r="J49" i="3"/>
  <c r="AA49" i="3"/>
  <c r="AX49" i="3"/>
  <c r="AL49" i="3"/>
  <c r="U49" i="3"/>
  <c r="R49" i="3"/>
  <c r="AH49" i="3"/>
  <c r="AR49" i="3"/>
  <c r="B49" i="3"/>
  <c r="AG49" i="3"/>
  <c r="AP5" i="4"/>
  <c r="L5" i="4"/>
  <c r="AR5" i="4"/>
  <c r="AF5" i="4"/>
  <c r="J5" i="4"/>
  <c r="C5" i="4"/>
  <c r="T5" i="4"/>
  <c r="AE5" i="4"/>
  <c r="BA5" i="4"/>
  <c r="AL5" i="4"/>
  <c r="M5" i="4"/>
  <c r="AG5" i="4"/>
  <c r="U5" i="4"/>
  <c r="AO5" i="4"/>
  <c r="AQ5" i="4"/>
  <c r="AY5" i="4"/>
  <c r="S5" i="4"/>
  <c r="K5" i="4"/>
  <c r="AS5" i="4"/>
  <c r="AV5" i="4"/>
  <c r="D5" i="4"/>
  <c r="Z5" i="4"/>
  <c r="AU5" i="4"/>
  <c r="BB5" i="4"/>
  <c r="AM5" i="4"/>
  <c r="AA5" i="4"/>
  <c r="R5" i="4"/>
  <c r="AJ5" i="4"/>
  <c r="BE5" i="4"/>
  <c r="AB5" i="4"/>
  <c r="AX5" i="4"/>
  <c r="AW5" i="4"/>
  <c r="AH5" i="4"/>
  <c r="V5" i="4"/>
  <c r="AI5" i="4"/>
  <c r="H5" i="4"/>
  <c r="N5" i="4"/>
  <c r="AZ5" i="4"/>
  <c r="E5" i="4"/>
  <c r="AC5" i="4"/>
  <c r="AT5" i="4"/>
  <c r="W5" i="4"/>
  <c r="Q5" i="4"/>
  <c r="BD5" i="4"/>
  <c r="O5" i="4"/>
  <c r="BC5" i="4"/>
  <c r="AD5" i="4"/>
  <c r="P5" i="4"/>
  <c r="AK5" i="4"/>
  <c r="Y5" i="4"/>
  <c r="X5" i="4"/>
  <c r="AN5" i="4"/>
  <c r="BF5" i="4"/>
  <c r="F16" i="6"/>
  <c r="G16" i="6"/>
  <c r="I16" i="6"/>
  <c r="AW33" i="6"/>
  <c r="AQ33" i="6"/>
  <c r="AK33" i="6"/>
  <c r="Z33" i="6"/>
  <c r="AI33" i="6"/>
  <c r="V33" i="6"/>
  <c r="AE33" i="6"/>
  <c r="AT33" i="6"/>
  <c r="W33" i="6"/>
  <c r="BD33" i="6"/>
  <c r="BF33" i="6"/>
  <c r="AM33" i="6"/>
  <c r="X33" i="6"/>
  <c r="AF33" i="6"/>
  <c r="AV33" i="6"/>
  <c r="AX33" i="6"/>
  <c r="S33" i="6"/>
  <c r="AH33" i="6"/>
  <c r="BC33" i="6"/>
  <c r="AJ33" i="6"/>
  <c r="Y33" i="6"/>
  <c r="AY33" i="6"/>
  <c r="AZ33" i="6"/>
  <c r="AP33" i="6"/>
  <c r="AA33" i="6"/>
  <c r="AL33" i="6"/>
  <c r="C33" i="6"/>
  <c r="AS33" i="6"/>
  <c r="BB33" i="6"/>
  <c r="Q33" i="6"/>
  <c r="AU33" i="6"/>
  <c r="K33" i="6"/>
  <c r="AR33" i="6"/>
  <c r="E33" i="6"/>
  <c r="M33" i="6"/>
  <c r="T33" i="6"/>
  <c r="L33" i="6"/>
  <c r="BE33" i="6"/>
  <c r="R33" i="6"/>
  <c r="AO33" i="6"/>
  <c r="AB33" i="6"/>
  <c r="AC33" i="6"/>
  <c r="P33" i="6"/>
  <c r="J33" i="6"/>
  <c r="H33" i="6"/>
  <c r="AD33" i="6"/>
  <c r="BA33" i="6"/>
  <c r="AN33" i="6"/>
  <c r="U33" i="6"/>
  <c r="AG33" i="6"/>
  <c r="D33" i="6"/>
  <c r="O33" i="6"/>
  <c r="B33" i="6"/>
  <c r="N33" i="6"/>
  <c r="B41" i="2"/>
  <c r="I41" i="2"/>
  <c r="G41" i="2"/>
  <c r="F41" i="2"/>
  <c r="AZ48" i="6"/>
  <c r="AM48" i="6"/>
  <c r="AF48" i="6"/>
  <c r="Y48" i="6"/>
  <c r="AH48" i="6"/>
  <c r="E48" i="6"/>
  <c r="AR48" i="6"/>
  <c r="D48" i="6"/>
  <c r="BA48" i="6"/>
  <c r="AU48" i="6"/>
  <c r="V48" i="6"/>
  <c r="M48" i="6"/>
  <c r="Q48" i="6"/>
  <c r="H48" i="6"/>
  <c r="BE48" i="6"/>
  <c r="S48" i="6"/>
  <c r="AX48" i="6"/>
  <c r="AQ48" i="6"/>
  <c r="L48" i="6"/>
  <c r="AD48" i="6"/>
  <c r="N48" i="6"/>
  <c r="J48" i="6"/>
  <c r="U48" i="6"/>
  <c r="AP48" i="6"/>
  <c r="AV48" i="6"/>
  <c r="X48" i="6"/>
  <c r="W48" i="6"/>
  <c r="BD48" i="6"/>
  <c r="BF48" i="6"/>
  <c r="O48" i="6"/>
  <c r="BC48" i="6"/>
  <c r="AY48" i="6"/>
  <c r="AS48" i="6"/>
  <c r="AB48" i="6"/>
  <c r="AI48" i="6"/>
  <c r="AO48" i="6"/>
  <c r="K48" i="6"/>
  <c r="AA48" i="6"/>
  <c r="AT48" i="6"/>
  <c r="AG48" i="6"/>
  <c r="Z48" i="6"/>
  <c r="AC48" i="6"/>
  <c r="C48" i="6"/>
  <c r="P48" i="6"/>
  <c r="AE48" i="6"/>
  <c r="T48" i="6"/>
  <c r="AJ48" i="6"/>
  <c r="R48" i="6"/>
  <c r="AL48" i="6"/>
  <c r="BB48" i="6"/>
  <c r="AK48" i="6"/>
  <c r="AN48" i="6"/>
  <c r="AW48" i="6"/>
  <c r="V14" i="1"/>
  <c r="AF14" i="1"/>
  <c r="AX14" i="1"/>
  <c r="Z14" i="1"/>
  <c r="U14" i="1"/>
  <c r="AL14" i="1"/>
  <c r="AP14" i="1"/>
  <c r="M14" i="1"/>
  <c r="AY14" i="1"/>
  <c r="D14" i="1"/>
  <c r="AW14" i="1"/>
  <c r="E14" i="1"/>
  <c r="AH14" i="1"/>
  <c r="C14" i="1"/>
  <c r="BF14" i="1"/>
  <c r="O14" i="1"/>
  <c r="AN14" i="1"/>
  <c r="BC14" i="1"/>
  <c r="AU14" i="1"/>
  <c r="BB14" i="1"/>
  <c r="W14" i="1"/>
  <c r="BE14" i="1"/>
  <c r="AS14" i="1"/>
  <c r="L14" i="1"/>
  <c r="AB14" i="1"/>
  <c r="AG14" i="1"/>
  <c r="BA14" i="1"/>
  <c r="AJ14" i="1"/>
  <c r="AI14" i="1"/>
  <c r="K14" i="1"/>
  <c r="AO14" i="1"/>
  <c r="AV14" i="1"/>
  <c r="AK14" i="1"/>
  <c r="AE14" i="1"/>
  <c r="Q14" i="1"/>
  <c r="P14" i="1"/>
  <c r="BD14" i="1"/>
  <c r="AZ14" i="1"/>
  <c r="X14" i="1"/>
  <c r="AC14" i="1"/>
  <c r="S14" i="1"/>
  <c r="H14" i="1"/>
  <c r="R14" i="1"/>
  <c r="Y14" i="1"/>
  <c r="AT14" i="1"/>
  <c r="AM14" i="1"/>
  <c r="AQ14" i="1"/>
  <c r="N14" i="1"/>
  <c r="AA14" i="1"/>
  <c r="J14" i="1"/>
  <c r="AR14" i="1"/>
  <c r="AD14" i="1"/>
  <c r="B14" i="1"/>
  <c r="T14" i="1"/>
  <c r="F28" i="1"/>
  <c r="G28" i="1"/>
  <c r="I28" i="1"/>
  <c r="B38" i="1"/>
  <c r="I38" i="1"/>
  <c r="G38" i="1"/>
  <c r="F38" i="1"/>
  <c r="B37" i="1"/>
  <c r="I37" i="1"/>
  <c r="G37" i="1"/>
  <c r="F37" i="1"/>
  <c r="B42" i="1"/>
  <c r="I42" i="1"/>
  <c r="G42" i="1"/>
  <c r="F42" i="1"/>
  <c r="AB11" i="6"/>
  <c r="J11" i="6"/>
  <c r="E11" i="6"/>
  <c r="AD11" i="6"/>
  <c r="AQ11" i="6"/>
  <c r="BC11" i="6"/>
  <c r="AJ11" i="6"/>
  <c r="N11" i="6"/>
  <c r="AH11" i="6"/>
  <c r="AI11" i="6"/>
  <c r="V11" i="6"/>
  <c r="AG11" i="6"/>
  <c r="Y11" i="6"/>
  <c r="T11" i="6"/>
  <c r="AX11" i="6"/>
  <c r="W11" i="6"/>
  <c r="R11" i="6"/>
  <c r="K11" i="6"/>
  <c r="BE11" i="6"/>
  <c r="L11" i="6"/>
  <c r="BA11" i="6"/>
  <c r="AN11" i="6"/>
  <c r="AS11" i="6"/>
  <c r="C11" i="6"/>
  <c r="AW11" i="6"/>
  <c r="H11" i="6"/>
  <c r="Q11" i="6"/>
  <c r="BD11" i="6"/>
  <c r="O11" i="6"/>
  <c r="AF11" i="6"/>
  <c r="AU11" i="6"/>
  <c r="BF11" i="6"/>
  <c r="D11" i="6"/>
  <c r="AL11" i="6"/>
  <c r="Z11" i="6"/>
  <c r="AE11" i="6"/>
  <c r="AA11" i="6"/>
  <c r="M11" i="6"/>
  <c r="AC11" i="6"/>
  <c r="AT11" i="6"/>
  <c r="BB11" i="6"/>
  <c r="AO11" i="6"/>
  <c r="AM11" i="6"/>
  <c r="S11" i="6"/>
  <c r="AK11" i="6"/>
  <c r="AR11" i="6"/>
  <c r="AY11" i="6"/>
  <c r="AV11" i="6"/>
  <c r="P11" i="6"/>
  <c r="AP11" i="6"/>
  <c r="X11" i="6"/>
  <c r="U11" i="6"/>
  <c r="AZ11" i="6"/>
  <c r="B23" i="6"/>
  <c r="I23" i="6"/>
  <c r="G23" i="6"/>
  <c r="F23" i="6"/>
  <c r="AT9" i="5"/>
  <c r="U9" i="5"/>
  <c r="AJ9" i="5"/>
  <c r="AW9" i="5"/>
  <c r="C9" i="5"/>
  <c r="J9" i="5"/>
  <c r="O9" i="5"/>
  <c r="D9" i="5"/>
  <c r="BC9" i="5"/>
  <c r="AR9" i="5"/>
  <c r="AX9" i="5"/>
  <c r="AO9" i="5"/>
  <c r="AY9" i="5"/>
  <c r="Z9" i="5"/>
  <c r="AS9" i="5"/>
  <c r="P9" i="5"/>
  <c r="S9" i="5"/>
  <c r="BE9" i="5"/>
  <c r="AZ9" i="5"/>
  <c r="AC9" i="5"/>
  <c r="AP9" i="5"/>
  <c r="K9" i="5"/>
  <c r="Y9" i="5"/>
  <c r="AA9" i="5"/>
  <c r="BD9" i="5"/>
  <c r="BB9" i="5"/>
  <c r="AI9" i="5"/>
  <c r="H9" i="5"/>
  <c r="R9" i="5"/>
  <c r="AD9" i="5"/>
  <c r="AL9" i="5"/>
  <c r="W9" i="5"/>
  <c r="N9" i="5"/>
  <c r="BF9" i="5"/>
  <c r="AU9" i="5"/>
  <c r="L9" i="5"/>
  <c r="X9" i="5"/>
  <c r="AB9" i="5"/>
  <c r="Q9" i="5"/>
  <c r="AH9" i="5"/>
  <c r="AK9" i="5"/>
  <c r="AV9" i="5"/>
  <c r="E9" i="5"/>
  <c r="T9" i="5"/>
  <c r="M9" i="5"/>
  <c r="AM9" i="5"/>
  <c r="AQ9" i="5"/>
  <c r="V9" i="5"/>
  <c r="BA9" i="5"/>
  <c r="AN9" i="5"/>
  <c r="AF9" i="5"/>
  <c r="AE9" i="5"/>
  <c r="AG9" i="5"/>
  <c r="Z13" i="2"/>
  <c r="BA13" i="2"/>
  <c r="E13" i="2"/>
  <c r="AC13" i="2"/>
  <c r="AK13" i="2"/>
  <c r="N13" i="2"/>
  <c r="AJ13" i="2"/>
  <c r="AL13" i="2"/>
  <c r="AY13" i="2"/>
  <c r="AS13" i="2"/>
  <c r="J13" i="2"/>
  <c r="T13" i="2"/>
  <c r="AU13" i="2"/>
  <c r="AQ13" i="2"/>
  <c r="BD13" i="2"/>
  <c r="AM13" i="2"/>
  <c r="U13" i="2"/>
  <c r="AW13" i="2"/>
  <c r="AV13" i="2"/>
  <c r="P13" i="2"/>
  <c r="O13" i="2"/>
  <c r="AG13" i="2"/>
  <c r="AB13" i="2"/>
  <c r="Q13" i="2"/>
  <c r="H13" i="2"/>
  <c r="AI13" i="2"/>
  <c r="AE13" i="2"/>
  <c r="BC13" i="2"/>
  <c r="L13" i="2"/>
  <c r="AO13" i="2"/>
  <c r="AA13" i="2"/>
  <c r="AX13" i="2"/>
  <c r="V13" i="2"/>
  <c r="W13" i="2"/>
  <c r="X13" i="2"/>
  <c r="AR13" i="2"/>
  <c r="K13" i="2"/>
  <c r="Y13" i="2"/>
  <c r="BF13" i="2"/>
  <c r="C13" i="2"/>
  <c r="AD13" i="2"/>
  <c r="AN13" i="2"/>
  <c r="AT13" i="2"/>
  <c r="BB13" i="2"/>
  <c r="D13" i="2"/>
  <c r="M13" i="2"/>
  <c r="AH13" i="2"/>
  <c r="AP13" i="2"/>
  <c r="AZ13" i="2"/>
  <c r="BE13" i="2"/>
  <c r="R13" i="2"/>
  <c r="S13" i="2"/>
  <c r="B13" i="2"/>
  <c r="AF13" i="2"/>
  <c r="AN51" i="3"/>
  <c r="AC51" i="3"/>
  <c r="J51" i="3"/>
  <c r="AG51" i="3"/>
  <c r="AQ51" i="3"/>
  <c r="Y51" i="3"/>
  <c r="AJ51" i="3"/>
  <c r="BA51" i="3"/>
  <c r="P51" i="3"/>
  <c r="AZ51" i="3"/>
  <c r="E51" i="3"/>
  <c r="AI51" i="3"/>
  <c r="AS51" i="3"/>
  <c r="R51" i="3"/>
  <c r="AO51" i="3"/>
  <c r="U51" i="3"/>
  <c r="K51" i="3"/>
  <c r="C51" i="3"/>
  <c r="BB51" i="3"/>
  <c r="AL51" i="3"/>
  <c r="Z51" i="3"/>
  <c r="AT51" i="3"/>
  <c r="L51" i="3"/>
  <c r="H51" i="3"/>
  <c r="AV51" i="3"/>
  <c r="M51" i="3"/>
  <c r="X51" i="3"/>
  <c r="AU51" i="3"/>
  <c r="AP51" i="3"/>
  <c r="AM51" i="3"/>
  <c r="AR51" i="3"/>
  <c r="AW51" i="3"/>
  <c r="AY51" i="3"/>
  <c r="BC51" i="3"/>
  <c r="AA51" i="3"/>
  <c r="BE51" i="3"/>
  <c r="AK51" i="3"/>
  <c r="AB51" i="3"/>
  <c r="BD51" i="3"/>
  <c r="W51" i="3"/>
  <c r="N51" i="3"/>
  <c r="D51" i="3"/>
  <c r="BF51" i="3"/>
  <c r="AE51" i="3"/>
  <c r="S51" i="3"/>
  <c r="V51" i="3"/>
  <c r="AX51" i="3"/>
  <c r="AH51" i="3"/>
  <c r="T51" i="3"/>
  <c r="O51" i="3"/>
  <c r="AD51" i="3"/>
  <c r="Q51" i="3"/>
  <c r="B51" i="3"/>
  <c r="AF51" i="3"/>
  <c r="F40" i="4"/>
  <c r="B40" i="4"/>
  <c r="I40" i="4"/>
  <c r="G40" i="4"/>
  <c r="I33" i="2"/>
  <c r="G33" i="2"/>
  <c r="F33" i="2"/>
  <c r="AW26" i="7"/>
  <c r="AD26" i="7"/>
  <c r="N26" i="7"/>
  <c r="AU26" i="7"/>
  <c r="AN26" i="7"/>
  <c r="AX26" i="7"/>
  <c r="D26" i="7"/>
  <c r="S26" i="7"/>
  <c r="P26" i="7"/>
  <c r="AG26" i="7"/>
  <c r="AS26" i="7"/>
  <c r="AO26" i="7"/>
  <c r="AH26" i="7"/>
  <c r="AV26" i="7"/>
  <c r="J26" i="7"/>
  <c r="W26" i="7"/>
  <c r="Q26" i="7"/>
  <c r="AB26" i="7"/>
  <c r="U26" i="7"/>
  <c r="AT26" i="7"/>
  <c r="AE26" i="7"/>
  <c r="Z26" i="7"/>
  <c r="BE26" i="7"/>
  <c r="C26" i="7"/>
  <c r="H26" i="7"/>
  <c r="AC26" i="7"/>
  <c r="E26" i="7"/>
  <c r="AY26" i="7"/>
  <c r="BA26" i="7"/>
  <c r="AF26" i="7"/>
  <c r="BB26" i="7"/>
  <c r="AR26" i="7"/>
  <c r="BC26" i="7"/>
  <c r="L26" i="7"/>
  <c r="AI26" i="7"/>
  <c r="T26" i="7"/>
  <c r="AQ26" i="7"/>
  <c r="AA26" i="7"/>
  <c r="R26" i="7"/>
  <c r="AZ26" i="7"/>
  <c r="BF26" i="7"/>
  <c r="V26" i="7"/>
  <c r="AL26" i="7"/>
  <c r="BD26" i="7"/>
  <c r="AK26" i="7"/>
  <c r="K26" i="7"/>
  <c r="M26" i="7"/>
  <c r="O26" i="7"/>
  <c r="AM26" i="7"/>
  <c r="Y26" i="7"/>
  <c r="X26" i="7"/>
  <c r="AJ26" i="7"/>
  <c r="B26" i="7"/>
  <c r="AP26" i="7"/>
  <c r="J3" i="5"/>
  <c r="AP3" i="5"/>
  <c r="K3" i="5"/>
  <c r="AR3" i="5"/>
  <c r="AV3" i="5"/>
  <c r="AJ3" i="5"/>
  <c r="AZ3" i="5"/>
  <c r="X3" i="5"/>
  <c r="BD3" i="5"/>
  <c r="W3" i="5"/>
  <c r="T3" i="5"/>
  <c r="AX3" i="5"/>
  <c r="BF3" i="5"/>
  <c r="AI3" i="5"/>
  <c r="D3" i="5"/>
  <c r="U3" i="5"/>
  <c r="AN3" i="5"/>
  <c r="H3" i="5"/>
  <c r="Q3" i="5"/>
  <c r="R3" i="5"/>
  <c r="Y3" i="5"/>
  <c r="AL3" i="5"/>
  <c r="AW3" i="5"/>
  <c r="AQ3" i="5"/>
  <c r="BA3" i="5"/>
  <c r="BE3" i="5"/>
  <c r="AF3" i="5"/>
  <c r="AE3" i="5"/>
  <c r="AH3" i="5"/>
  <c r="C3" i="5"/>
  <c r="M3" i="5"/>
  <c r="E3" i="5"/>
  <c r="AB3" i="5"/>
  <c r="O3" i="5"/>
  <c r="BC3" i="5"/>
  <c r="AT3" i="5"/>
  <c r="AS3" i="5"/>
  <c r="AM3" i="5"/>
  <c r="L3" i="5"/>
  <c r="N3" i="5"/>
  <c r="AO3" i="5"/>
  <c r="AA3" i="5"/>
  <c r="AG3" i="5"/>
  <c r="Z3" i="5"/>
  <c r="AD3" i="5"/>
  <c r="AU3" i="5"/>
  <c r="S3" i="5"/>
  <c r="AY3" i="5"/>
  <c r="P3" i="5"/>
  <c r="AC3" i="5"/>
  <c r="BB3" i="5"/>
  <c r="V3" i="5"/>
  <c r="B3" i="5"/>
  <c r="AK3" i="5"/>
  <c r="B7" i="4"/>
  <c r="I7" i="4"/>
  <c r="G7" i="4"/>
  <c r="F7" i="4"/>
  <c r="D19" i="5"/>
  <c r="AH19" i="5"/>
  <c r="AW19" i="5"/>
  <c r="AT19" i="5"/>
  <c r="K19" i="5"/>
  <c r="J19" i="5"/>
  <c r="S19" i="5"/>
  <c r="AO19" i="5"/>
  <c r="V19" i="5"/>
  <c r="BE19" i="5"/>
  <c r="AK19" i="5"/>
  <c r="U19" i="5"/>
  <c r="N19" i="5"/>
  <c r="E19" i="5"/>
  <c r="AY19" i="5"/>
  <c r="AN19" i="5"/>
  <c r="AZ19" i="5"/>
  <c r="AJ19" i="5"/>
  <c r="O19" i="5"/>
  <c r="X19" i="5"/>
  <c r="BF19" i="5"/>
  <c r="AQ19" i="5"/>
  <c r="AE19" i="5"/>
  <c r="AL19" i="5"/>
  <c r="M19" i="5"/>
  <c r="AU19" i="5"/>
  <c r="R19" i="5"/>
  <c r="T19" i="5"/>
  <c r="AV19" i="5"/>
  <c r="AC19" i="5"/>
  <c r="BC19" i="5"/>
  <c r="AD19" i="5"/>
  <c r="AG19" i="5"/>
  <c r="AX19" i="5"/>
  <c r="AI19" i="5"/>
  <c r="AB19" i="5"/>
  <c r="BA19" i="5"/>
  <c r="Y19" i="5"/>
  <c r="C19" i="5"/>
  <c r="P19" i="5"/>
  <c r="AA19" i="5"/>
  <c r="BD19" i="5"/>
  <c r="Z19" i="5"/>
  <c r="L19" i="5"/>
  <c r="AM19" i="5"/>
  <c r="AR19" i="5"/>
  <c r="H19" i="5"/>
  <c r="AP19" i="5"/>
  <c r="AS19" i="5"/>
  <c r="AF19" i="5"/>
  <c r="W19" i="5"/>
  <c r="BB19" i="5"/>
  <c r="B19" i="5"/>
  <c r="Q19" i="5"/>
  <c r="F21" i="6"/>
  <c r="B21" i="6"/>
  <c r="I21" i="6"/>
  <c r="G21" i="6"/>
  <c r="BE25" i="4"/>
  <c r="O25" i="4"/>
  <c r="M25" i="4"/>
  <c r="BD25" i="4"/>
  <c r="N25" i="4"/>
  <c r="BF25" i="4"/>
  <c r="AC25" i="4"/>
  <c r="AX25" i="4"/>
  <c r="Q25" i="4"/>
  <c r="AK25" i="4"/>
  <c r="J25" i="4"/>
  <c r="AH25" i="4"/>
  <c r="AA25" i="4"/>
  <c r="AB25" i="4"/>
  <c r="L25" i="4"/>
  <c r="K25" i="4"/>
  <c r="Y25" i="4"/>
  <c r="X25" i="4"/>
  <c r="AT25" i="4"/>
  <c r="AZ25" i="4"/>
  <c r="V25" i="4"/>
  <c r="AJ25" i="4"/>
  <c r="S25" i="4"/>
  <c r="Z25" i="4"/>
  <c r="AO25" i="4"/>
  <c r="AP25" i="4"/>
  <c r="AY25" i="4"/>
  <c r="AV25" i="4"/>
  <c r="AQ25" i="4"/>
  <c r="BA25" i="4"/>
  <c r="AR25" i="4"/>
  <c r="BB25" i="4"/>
  <c r="P25" i="4"/>
  <c r="AN25" i="4"/>
  <c r="AU25" i="4"/>
  <c r="T25" i="4"/>
  <c r="AD25" i="4"/>
  <c r="AL25" i="4"/>
  <c r="AF25" i="4"/>
  <c r="R25" i="4"/>
  <c r="C25" i="4"/>
  <c r="AS25" i="4"/>
  <c r="E25" i="4"/>
  <c r="AM25" i="4"/>
  <c r="AW25" i="4"/>
  <c r="BC25" i="4"/>
  <c r="AG25" i="4"/>
  <c r="H25" i="4"/>
  <c r="U25" i="4"/>
  <c r="AI25" i="4"/>
  <c r="W25" i="4"/>
  <c r="AE25" i="4"/>
  <c r="B25" i="4"/>
  <c r="D25" i="4"/>
  <c r="B17" i="5"/>
  <c r="I17" i="5"/>
  <c r="G17" i="5"/>
  <c r="F17" i="5"/>
  <c r="F49" i="6"/>
  <c r="B49" i="6"/>
  <c r="I49" i="6"/>
  <c r="G49" i="6"/>
  <c r="B55" i="5"/>
  <c r="I55" i="5"/>
  <c r="G55" i="5"/>
  <c r="F55" i="5"/>
  <c r="E5" i="2"/>
  <c r="S5" i="2"/>
  <c r="D5" i="2"/>
  <c r="BB5" i="2"/>
  <c r="BC5" i="2"/>
  <c r="Z5" i="2"/>
  <c r="AQ5" i="2"/>
  <c r="AT5" i="2"/>
  <c r="AD5" i="2"/>
  <c r="AV5" i="2"/>
  <c r="AW5" i="2"/>
  <c r="J5" i="2"/>
  <c r="AY5" i="2"/>
  <c r="AZ5" i="2"/>
  <c r="AO5" i="2"/>
  <c r="AG5" i="2"/>
  <c r="K5" i="2"/>
  <c r="Y5" i="2"/>
  <c r="BA5" i="2"/>
  <c r="AS5" i="2"/>
  <c r="BF5" i="2"/>
  <c r="M5" i="2"/>
  <c r="R5" i="2"/>
  <c r="AN5" i="2"/>
  <c r="AB5" i="2"/>
  <c r="O5" i="2"/>
  <c r="AI5" i="2"/>
  <c r="H5" i="2"/>
  <c r="P5" i="2"/>
  <c r="C5" i="2"/>
  <c r="AA5" i="2"/>
  <c r="AR5" i="2"/>
  <c r="X5" i="2"/>
  <c r="N5" i="2"/>
  <c r="AP5" i="2"/>
  <c r="AM5" i="2"/>
  <c r="W5" i="2"/>
  <c r="V5" i="2"/>
  <c r="AC5" i="2"/>
  <c r="L5" i="2"/>
  <c r="Q5" i="2"/>
  <c r="AJ5" i="2"/>
  <c r="AX5" i="2"/>
  <c r="U5" i="2"/>
  <c r="AK5" i="2"/>
  <c r="AU5" i="2"/>
  <c r="T5" i="2"/>
  <c r="AH5" i="2"/>
  <c r="AF5" i="2"/>
  <c r="BD5" i="2"/>
  <c r="BE5" i="2"/>
  <c r="AL5" i="2"/>
  <c r="B5" i="2"/>
  <c r="AE5" i="2"/>
  <c r="F4" i="5"/>
  <c r="G4" i="5"/>
  <c r="I4" i="5"/>
  <c r="B17" i="6"/>
  <c r="I17" i="6"/>
  <c r="G17" i="6"/>
  <c r="F17" i="6"/>
  <c r="AE20" i="1"/>
  <c r="O20" i="1"/>
  <c r="X20" i="1"/>
  <c r="BD20" i="1"/>
  <c r="D20" i="1"/>
  <c r="AT20" i="1"/>
  <c r="N20" i="1"/>
  <c r="AL20" i="1"/>
  <c r="AX20" i="1"/>
  <c r="AK20" i="1"/>
  <c r="AZ20" i="1"/>
  <c r="AN20" i="1"/>
  <c r="Z20" i="1"/>
  <c r="K20" i="1"/>
  <c r="J20" i="1"/>
  <c r="AP20" i="1"/>
  <c r="M20" i="1"/>
  <c r="H20" i="1"/>
  <c r="L20" i="1"/>
  <c r="AJ20" i="1"/>
  <c r="AH20" i="1"/>
  <c r="AA20" i="1"/>
  <c r="BB20" i="1"/>
  <c r="AG20" i="1"/>
  <c r="P20" i="1"/>
  <c r="AB20" i="1"/>
  <c r="AV20" i="1"/>
  <c r="C20" i="1"/>
  <c r="BE20" i="1"/>
  <c r="R20" i="1"/>
  <c r="Y20" i="1"/>
  <c r="S20" i="1"/>
  <c r="U20" i="1"/>
  <c r="AY20" i="1"/>
  <c r="BA20" i="1"/>
  <c r="AO20" i="1"/>
  <c r="Q20" i="1"/>
  <c r="AU20" i="1"/>
  <c r="T20" i="1"/>
  <c r="AD20" i="1"/>
  <c r="AI20" i="1"/>
  <c r="AC20" i="1"/>
  <c r="AF20" i="1"/>
  <c r="V20" i="1"/>
  <c r="W20" i="1"/>
  <c r="AW20" i="1"/>
  <c r="BF20" i="1"/>
  <c r="AQ20" i="1"/>
  <c r="AS20" i="1"/>
  <c r="BC20" i="1"/>
  <c r="AR20" i="1"/>
  <c r="E20" i="1"/>
  <c r="AM20" i="1"/>
  <c r="BD29" i="5"/>
  <c r="AE29" i="5"/>
  <c r="AR29" i="5"/>
  <c r="AL29" i="5"/>
  <c r="AO29" i="5"/>
  <c r="L29" i="5"/>
  <c r="U29" i="5"/>
  <c r="Z29" i="5"/>
  <c r="AY29" i="5"/>
  <c r="N29" i="5"/>
  <c r="AG29" i="5"/>
  <c r="AK29" i="5"/>
  <c r="BE29" i="5"/>
  <c r="AN29" i="5"/>
  <c r="AX29" i="5"/>
  <c r="AZ29" i="5"/>
  <c r="AM29" i="5"/>
  <c r="AB29" i="5"/>
  <c r="AW29" i="5"/>
  <c r="S29" i="5"/>
  <c r="K29" i="5"/>
  <c r="D29" i="5"/>
  <c r="W29" i="5"/>
  <c r="AI29" i="5"/>
  <c r="AF29" i="5"/>
  <c r="AC29" i="5"/>
  <c r="O29" i="5"/>
  <c r="AH29" i="5"/>
  <c r="E29" i="5"/>
  <c r="Y29" i="5"/>
  <c r="X29" i="5"/>
  <c r="H29" i="5"/>
  <c r="AV29" i="5"/>
  <c r="P29" i="5"/>
  <c r="AQ29" i="5"/>
  <c r="J29" i="5"/>
  <c r="BB29" i="5"/>
  <c r="BC29" i="5"/>
  <c r="AP29" i="5"/>
  <c r="AU29" i="5"/>
  <c r="AS29" i="5"/>
  <c r="AJ29" i="5"/>
  <c r="AA29" i="5"/>
  <c r="T29" i="5"/>
  <c r="BA29" i="5"/>
  <c r="AD29" i="5"/>
  <c r="V29" i="5"/>
  <c r="AT29" i="5"/>
  <c r="M29" i="5"/>
  <c r="Q29" i="5"/>
  <c r="C29" i="5"/>
  <c r="BF29" i="5"/>
  <c r="B29" i="5"/>
  <c r="R29" i="5"/>
  <c r="W53" i="6"/>
  <c r="AQ53" i="6"/>
  <c r="AU53" i="6"/>
  <c r="X53" i="6"/>
  <c r="AP53" i="6"/>
  <c r="N53" i="6"/>
  <c r="R53" i="6"/>
  <c r="AH53" i="6"/>
  <c r="P53" i="6"/>
  <c r="AI53" i="6"/>
  <c r="M53" i="6"/>
  <c r="BC53" i="6"/>
  <c r="AE53" i="6"/>
  <c r="Q53" i="6"/>
  <c r="AG53" i="6"/>
  <c r="Z53" i="6"/>
  <c r="BB53" i="6"/>
  <c r="AV53" i="6"/>
  <c r="AD53" i="6"/>
  <c r="AY53" i="6"/>
  <c r="D53" i="6"/>
  <c r="E53" i="6"/>
  <c r="BD53" i="6"/>
  <c r="AS53" i="6"/>
  <c r="L53" i="6"/>
  <c r="K53" i="6"/>
  <c r="BA53" i="6"/>
  <c r="V53" i="6"/>
  <c r="BF53" i="6"/>
  <c r="AW53" i="6"/>
  <c r="J53" i="6"/>
  <c r="AN53" i="6"/>
  <c r="AM53" i="6"/>
  <c r="T53" i="6"/>
  <c r="AJ53" i="6"/>
  <c r="AB53" i="6"/>
  <c r="AO53" i="6"/>
  <c r="AL53" i="6"/>
  <c r="U53" i="6"/>
  <c r="C53" i="6"/>
  <c r="O53" i="6"/>
  <c r="H53" i="6"/>
  <c r="AA53" i="6"/>
  <c r="S53" i="6"/>
  <c r="BE53" i="6"/>
  <c r="AR53" i="6"/>
  <c r="AC53" i="6"/>
  <c r="AX53" i="6"/>
  <c r="Y53" i="6"/>
  <c r="AT53" i="6"/>
  <c r="AZ53" i="6"/>
  <c r="AF53" i="6"/>
  <c r="AK53" i="6"/>
  <c r="AF38" i="2"/>
  <c r="V38" i="2"/>
  <c r="H38" i="2"/>
  <c r="D38" i="2"/>
  <c r="AW38" i="2"/>
  <c r="Z38" i="2"/>
  <c r="AA38" i="2"/>
  <c r="S38" i="2"/>
  <c r="AG38" i="2"/>
  <c r="AQ38" i="2"/>
  <c r="AJ38" i="2"/>
  <c r="AI38" i="2"/>
  <c r="BC38" i="2"/>
  <c r="AC38" i="2"/>
  <c r="U38" i="2"/>
  <c r="AB38" i="2"/>
  <c r="AR38" i="2"/>
  <c r="W38" i="2"/>
  <c r="Q38" i="2"/>
  <c r="AX38" i="2"/>
  <c r="AL38" i="2"/>
  <c r="AZ38" i="2"/>
  <c r="AP38" i="2"/>
  <c r="AS38" i="2"/>
  <c r="BB38" i="2"/>
  <c r="J38" i="2"/>
  <c r="AO38" i="2"/>
  <c r="R38" i="2"/>
  <c r="AE38" i="2"/>
  <c r="BE38" i="2"/>
  <c r="AD38" i="2"/>
  <c r="K38" i="2"/>
  <c r="L38" i="2"/>
  <c r="BF38" i="2"/>
  <c r="AV38" i="2"/>
  <c r="P38" i="2"/>
  <c r="N38" i="2"/>
  <c r="AH38" i="2"/>
  <c r="M38" i="2"/>
  <c r="BA38" i="2"/>
  <c r="AN38" i="2"/>
  <c r="AM38" i="2"/>
  <c r="X38" i="2"/>
  <c r="C38" i="2"/>
  <c r="AK38" i="2"/>
  <c r="BD38" i="2"/>
  <c r="AY38" i="2"/>
  <c r="AU38" i="2"/>
  <c r="T38" i="2"/>
  <c r="E38" i="2"/>
  <c r="AT38" i="2"/>
  <c r="O38" i="2"/>
  <c r="B38" i="2"/>
  <c r="Y38" i="2"/>
  <c r="H42" i="4"/>
  <c r="AH42" i="4"/>
  <c r="AE42" i="4"/>
  <c r="K42" i="4"/>
  <c r="AB42" i="4"/>
  <c r="AD42" i="4"/>
  <c r="AT42" i="4"/>
  <c r="V42" i="4"/>
  <c r="AG42" i="4"/>
  <c r="D42" i="4"/>
  <c r="X42" i="4"/>
  <c r="T42" i="4"/>
  <c r="Y42" i="4"/>
  <c r="W42" i="4"/>
  <c r="AV42" i="4"/>
  <c r="L42" i="4"/>
  <c r="AI42" i="4"/>
  <c r="AC42" i="4"/>
  <c r="BA42" i="4"/>
  <c r="C42" i="4"/>
  <c r="AO42" i="4"/>
  <c r="AF42" i="4"/>
  <c r="S42" i="4"/>
  <c r="N42" i="4"/>
  <c r="AQ42" i="4"/>
  <c r="AN42" i="4"/>
  <c r="P42" i="4"/>
  <c r="AR42" i="4"/>
  <c r="AP42" i="4"/>
  <c r="Z42" i="4"/>
  <c r="AA42" i="4"/>
  <c r="BE42" i="4"/>
  <c r="M42" i="4"/>
  <c r="BF42" i="4"/>
  <c r="AX42" i="4"/>
  <c r="AY42" i="4"/>
  <c r="Q42" i="4"/>
  <c r="AS42" i="4"/>
  <c r="BB42" i="4"/>
  <c r="J42" i="4"/>
  <c r="BD42" i="4"/>
  <c r="AW42" i="4"/>
  <c r="O42" i="4"/>
  <c r="AZ42" i="4"/>
  <c r="BC42" i="4"/>
  <c r="AM42" i="4"/>
  <c r="E42" i="4"/>
  <c r="AL42" i="4"/>
  <c r="AK42" i="4"/>
  <c r="R42" i="4"/>
  <c r="AJ42" i="4"/>
  <c r="AU42" i="4"/>
  <c r="B42" i="4"/>
  <c r="U42" i="4"/>
  <c r="AF33" i="2"/>
  <c r="BA33" i="2"/>
  <c r="P33" i="2"/>
  <c r="AW33" i="2"/>
  <c r="AR33" i="2"/>
  <c r="AT33" i="2"/>
  <c r="AV33" i="2"/>
  <c r="AU33" i="2"/>
  <c r="AN33" i="2"/>
  <c r="E33" i="2"/>
  <c r="N33" i="2"/>
  <c r="AO33" i="2"/>
  <c r="AS33" i="2"/>
  <c r="L33" i="2"/>
  <c r="BE33" i="2"/>
  <c r="R33" i="2"/>
  <c r="AI33" i="2"/>
  <c r="X33" i="2"/>
  <c r="U33" i="2"/>
  <c r="J33" i="2"/>
  <c r="D33" i="2"/>
  <c r="C33" i="2"/>
  <c r="Z33" i="2"/>
  <c r="AP33" i="2"/>
  <c r="AM33" i="2"/>
  <c r="AZ33" i="2"/>
  <c r="AK33" i="2"/>
  <c r="BF33" i="2"/>
  <c r="K33" i="2"/>
  <c r="AB33" i="2"/>
  <c r="W33" i="2"/>
  <c r="AA33" i="2"/>
  <c r="S33" i="2"/>
  <c r="AC33" i="2"/>
  <c r="BD33" i="2"/>
  <c r="Y33" i="2"/>
  <c r="V33" i="2"/>
  <c r="AD33" i="2"/>
  <c r="AX33" i="2"/>
  <c r="H33" i="2"/>
  <c r="O33" i="2"/>
  <c r="AG33" i="2"/>
  <c r="BB33" i="2"/>
  <c r="AE33" i="2"/>
  <c r="Q33" i="2"/>
  <c r="M33" i="2"/>
  <c r="T33" i="2"/>
  <c r="AL33" i="2"/>
  <c r="AY33" i="2"/>
  <c r="AH33" i="2"/>
  <c r="AQ33" i="2"/>
  <c r="BC33" i="2"/>
  <c r="B33" i="2"/>
  <c r="AJ33" i="2"/>
  <c r="AR4" i="5"/>
  <c r="BD4" i="5"/>
  <c r="W4" i="5"/>
  <c r="L4" i="5"/>
  <c r="AB4" i="5"/>
  <c r="BE4" i="5"/>
  <c r="BA4" i="5"/>
  <c r="M4" i="5"/>
  <c r="V4" i="5"/>
  <c r="P4" i="5"/>
  <c r="AD4" i="5"/>
  <c r="O4" i="5"/>
  <c r="J4" i="5"/>
  <c r="Y4" i="5"/>
  <c r="C4" i="5"/>
  <c r="AC4" i="5"/>
  <c r="U4" i="5"/>
  <c r="K4" i="5"/>
  <c r="AY4" i="5"/>
  <c r="S4" i="5"/>
  <c r="AW4" i="5"/>
  <c r="AI4" i="5"/>
  <c r="E4" i="5"/>
  <c r="AQ4" i="5"/>
  <c r="N4" i="5"/>
  <c r="AN4" i="5"/>
  <c r="AS4" i="5"/>
  <c r="AV4" i="5"/>
  <c r="AF4" i="5"/>
  <c r="Q4" i="5"/>
  <c r="AZ4" i="5"/>
  <c r="AX4" i="5"/>
  <c r="AE4" i="5"/>
  <c r="AO4" i="5"/>
  <c r="BF4" i="5"/>
  <c r="AK4" i="5"/>
  <c r="BB4" i="5"/>
  <c r="AJ4" i="5"/>
  <c r="AP4" i="5"/>
  <c r="AU4" i="5"/>
  <c r="AA4" i="5"/>
  <c r="X4" i="5"/>
  <c r="AG4" i="5"/>
  <c r="AM4" i="5"/>
  <c r="R4" i="5"/>
  <c r="D4" i="5"/>
  <c r="H4" i="5"/>
  <c r="T4" i="5"/>
  <c r="BC4" i="5"/>
  <c r="AT4" i="5"/>
  <c r="AL4" i="5"/>
  <c r="AH4" i="5"/>
  <c r="B4" i="5"/>
  <c r="Z4" i="5"/>
  <c r="B22" i="5"/>
  <c r="I22" i="5"/>
  <c r="G22" i="5"/>
  <c r="F22" i="5"/>
  <c r="U25" i="6"/>
  <c r="AK25" i="6"/>
  <c r="AI25" i="6"/>
  <c r="AG25" i="6"/>
  <c r="C25" i="6"/>
  <c r="AS25" i="6"/>
  <c r="W25" i="6"/>
  <c r="S25" i="6"/>
  <c r="AA25" i="6"/>
  <c r="AF25" i="6"/>
  <c r="AU25" i="6"/>
  <c r="T25" i="6"/>
  <c r="AT25" i="6"/>
  <c r="AW25" i="6"/>
  <c r="AP25" i="6"/>
  <c r="BD25" i="6"/>
  <c r="BA25" i="6"/>
  <c r="AY25" i="6"/>
  <c r="AZ25" i="6"/>
  <c r="AM25" i="6"/>
  <c r="AB25" i="6"/>
  <c r="X25" i="6"/>
  <c r="N25" i="6"/>
  <c r="P25" i="6"/>
  <c r="AJ25" i="6"/>
  <c r="AC25" i="6"/>
  <c r="R25" i="6"/>
  <c r="V25" i="6"/>
  <c r="AR25" i="6"/>
  <c r="BB25" i="6"/>
  <c r="L25" i="6"/>
  <c r="K25" i="6"/>
  <c r="Z25" i="6"/>
  <c r="Y25" i="6"/>
  <c r="AX25" i="6"/>
  <c r="Q25" i="6"/>
  <c r="AO25" i="6"/>
  <c r="H25" i="6"/>
  <c r="AN25" i="6"/>
  <c r="E25" i="6"/>
  <c r="AQ25" i="6"/>
  <c r="AH25" i="6"/>
  <c r="O25" i="6"/>
  <c r="BF25" i="6"/>
  <c r="AL25" i="6"/>
  <c r="BE25" i="6"/>
  <c r="BC25" i="6"/>
  <c r="D25" i="6"/>
  <c r="AE25" i="6"/>
  <c r="M25" i="6"/>
  <c r="AV25" i="6"/>
  <c r="J25" i="6"/>
  <c r="B25" i="6"/>
  <c r="AD25" i="6"/>
  <c r="R57" i="6"/>
  <c r="BD57" i="6"/>
  <c r="AG57" i="6"/>
  <c r="AD57" i="6"/>
  <c r="AA57" i="6"/>
  <c r="AL57" i="6"/>
  <c r="AM57" i="6"/>
  <c r="BA57" i="6"/>
  <c r="Y57" i="6"/>
  <c r="AQ57" i="6"/>
  <c r="U57" i="6"/>
  <c r="J57" i="6"/>
  <c r="AX57" i="6"/>
  <c r="AF57" i="6"/>
  <c r="AN57" i="6"/>
  <c r="AP57" i="6"/>
  <c r="W57" i="6"/>
  <c r="P57" i="6"/>
  <c r="AK57" i="6"/>
  <c r="Q57" i="6"/>
  <c r="BF57" i="6"/>
  <c r="K57" i="6"/>
  <c r="AW57" i="6"/>
  <c r="AZ57" i="6"/>
  <c r="X57" i="6"/>
  <c r="S57" i="6"/>
  <c r="AO57" i="6"/>
  <c r="AY57" i="6"/>
  <c r="L57" i="6"/>
  <c r="O57" i="6"/>
  <c r="AR57" i="6"/>
  <c r="H57" i="6"/>
  <c r="Z57" i="6"/>
  <c r="M57" i="6"/>
  <c r="AI57" i="6"/>
  <c r="AC57" i="6"/>
  <c r="V57" i="6"/>
  <c r="C57" i="6"/>
  <c r="AT57" i="6"/>
  <c r="AJ57" i="6"/>
  <c r="T57" i="6"/>
  <c r="D57" i="6"/>
  <c r="AE57" i="6"/>
  <c r="AH57" i="6"/>
  <c r="AV57" i="6"/>
  <c r="BB57" i="6"/>
  <c r="AB57" i="6"/>
  <c r="AS57" i="6"/>
  <c r="BC57" i="6"/>
  <c r="BE57" i="6"/>
  <c r="E57" i="6"/>
  <c r="AU57" i="6"/>
  <c r="N57" i="6"/>
  <c r="AY35" i="8"/>
  <c r="D35" i="8"/>
  <c r="L35" i="8"/>
  <c r="BB35" i="8"/>
  <c r="AM35" i="8"/>
  <c r="BA35" i="8"/>
  <c r="M35" i="8"/>
  <c r="AK35" i="8"/>
  <c r="AJ35" i="8"/>
  <c r="AZ35" i="8"/>
  <c r="U35" i="8"/>
  <c r="AH35" i="8"/>
  <c r="Q35" i="8"/>
  <c r="W35" i="8"/>
  <c r="S35" i="8"/>
  <c r="K35" i="8"/>
  <c r="X35" i="8"/>
  <c r="R35" i="8"/>
  <c r="AX35" i="8"/>
  <c r="AC35" i="8"/>
  <c r="P35" i="8"/>
  <c r="BE35" i="8"/>
  <c r="AS35" i="8"/>
  <c r="AW35" i="8"/>
  <c r="AP35" i="8"/>
  <c r="AG35" i="8"/>
  <c r="C35" i="8"/>
  <c r="AA35" i="8"/>
  <c r="Z35" i="8"/>
  <c r="N35" i="8"/>
  <c r="O35" i="8"/>
  <c r="AN35" i="8"/>
  <c r="AO35" i="8"/>
  <c r="AR35" i="8"/>
  <c r="AE35" i="8"/>
  <c r="E35" i="8"/>
  <c r="AT35" i="8"/>
  <c r="AD35" i="8"/>
  <c r="AI35" i="8"/>
  <c r="T35" i="8"/>
  <c r="AL35" i="8"/>
  <c r="AF35" i="8"/>
  <c r="AB35" i="8"/>
  <c r="BD35" i="8"/>
  <c r="Y35" i="8"/>
  <c r="V35" i="8"/>
  <c r="BF35" i="8"/>
  <c r="AU35" i="8"/>
  <c r="J35" i="8"/>
  <c r="AQ35" i="8"/>
  <c r="AV35" i="8"/>
  <c r="BC35" i="8"/>
  <c r="B35" i="8"/>
  <c r="H35" i="8"/>
  <c r="AY40" i="2"/>
  <c r="AF40" i="2"/>
  <c r="U40" i="2"/>
  <c r="X40" i="2"/>
  <c r="BE40" i="2"/>
  <c r="R40" i="2"/>
  <c r="AE40" i="2"/>
  <c r="W40" i="2"/>
  <c r="T40" i="2"/>
  <c r="AR40" i="2"/>
  <c r="AC40" i="2"/>
  <c r="O40" i="2"/>
  <c r="AH40" i="2"/>
  <c r="AL40" i="2"/>
  <c r="AS40" i="2"/>
  <c r="AI40" i="2"/>
  <c r="BF40" i="2"/>
  <c r="AO40" i="2"/>
  <c r="C40" i="2"/>
  <c r="AD40" i="2"/>
  <c r="AV40" i="2"/>
  <c r="BD40" i="2"/>
  <c r="AU40" i="2"/>
  <c r="J40" i="2"/>
  <c r="AT40" i="2"/>
  <c r="AW40" i="2"/>
  <c r="D40" i="2"/>
  <c r="N40" i="2"/>
  <c r="BA40" i="2"/>
  <c r="AJ40" i="2"/>
  <c r="AB40" i="2"/>
  <c r="K40" i="2"/>
  <c r="Z40" i="2"/>
  <c r="P40" i="2"/>
  <c r="AX40" i="2"/>
  <c r="BB40" i="2"/>
  <c r="M40" i="2"/>
  <c r="H40" i="2"/>
  <c r="AM40" i="2"/>
  <c r="AP40" i="2"/>
  <c r="AK40" i="2"/>
  <c r="V40" i="2"/>
  <c r="AG40" i="2"/>
  <c r="BC40" i="2"/>
  <c r="AZ40" i="2"/>
  <c r="AN40" i="2"/>
  <c r="AQ40" i="2"/>
  <c r="E40" i="2"/>
  <c r="Q40" i="2"/>
  <c r="S40" i="2"/>
  <c r="L40" i="2"/>
  <c r="AA40" i="2"/>
  <c r="B40" i="2"/>
  <c r="Y40" i="2"/>
  <c r="AB43" i="5"/>
  <c r="AM43" i="5"/>
  <c r="O43" i="5"/>
  <c r="R43" i="5"/>
  <c r="BA43" i="5"/>
  <c r="Y43" i="5"/>
  <c r="D43" i="5"/>
  <c r="J43" i="5"/>
  <c r="AJ43" i="5"/>
  <c r="AW43" i="5"/>
  <c r="AD43" i="5"/>
  <c r="AL43" i="5"/>
  <c r="AS43" i="5"/>
  <c r="AG43" i="5"/>
  <c r="AX43" i="5"/>
  <c r="AZ43" i="5"/>
  <c r="AU43" i="5"/>
  <c r="AK43" i="5"/>
  <c r="T43" i="5"/>
  <c r="AN43" i="5"/>
  <c r="BB43" i="5"/>
  <c r="AI43" i="5"/>
  <c r="L43" i="5"/>
  <c r="AO43" i="5"/>
  <c r="AP43" i="5"/>
  <c r="P43" i="5"/>
  <c r="AY43" i="5"/>
  <c r="AQ43" i="5"/>
  <c r="Q43" i="5"/>
  <c r="K43" i="5"/>
  <c r="BC43" i="5"/>
  <c r="V43" i="5"/>
  <c r="AA43" i="5"/>
  <c r="X43" i="5"/>
  <c r="AR43" i="5"/>
  <c r="AH43" i="5"/>
  <c r="AT43" i="5"/>
  <c r="W43" i="5"/>
  <c r="M43" i="5"/>
  <c r="C43" i="5"/>
  <c r="E43" i="5"/>
  <c r="H43" i="5"/>
  <c r="AC43" i="5"/>
  <c r="N43" i="5"/>
  <c r="AF43" i="5"/>
  <c r="BE43" i="5"/>
  <c r="BF43" i="5"/>
  <c r="AV43" i="5"/>
  <c r="Z43" i="5"/>
  <c r="S43" i="5"/>
  <c r="AE43" i="5"/>
  <c r="U43" i="5"/>
  <c r="B43" i="5"/>
  <c r="BD43" i="5"/>
  <c r="AM8" i="1"/>
  <c r="AU8" i="1"/>
  <c r="AV8" i="1"/>
  <c r="AH8" i="1"/>
  <c r="T8" i="1"/>
  <c r="Q8" i="1"/>
  <c r="V8" i="1"/>
  <c r="U8" i="1"/>
  <c r="C8" i="1"/>
  <c r="W8" i="1"/>
  <c r="P8" i="1"/>
  <c r="E8" i="1"/>
  <c r="R8" i="1"/>
  <c r="K8" i="1"/>
  <c r="BB8" i="1"/>
  <c r="O8" i="1"/>
  <c r="AF8" i="1"/>
  <c r="D8" i="1"/>
  <c r="Z8" i="1"/>
  <c r="AT8" i="1"/>
  <c r="AW8" i="1"/>
  <c r="AX8" i="1"/>
  <c r="AA8" i="1"/>
  <c r="AQ8" i="1"/>
  <c r="AN8" i="1"/>
  <c r="BA8" i="1"/>
  <c r="J8" i="1"/>
  <c r="AR8" i="1"/>
  <c r="M8" i="1"/>
  <c r="AY8" i="1"/>
  <c r="BC8" i="1"/>
  <c r="AK8" i="1"/>
  <c r="BE8" i="1"/>
  <c r="BD8" i="1"/>
  <c r="AD8" i="1"/>
  <c r="AL8" i="1"/>
  <c r="H8" i="1"/>
  <c r="Y8" i="1"/>
  <c r="AJ8" i="1"/>
  <c r="AS8" i="1"/>
  <c r="BF8" i="1"/>
  <c r="N8" i="1"/>
  <c r="AC8" i="1"/>
  <c r="AB8" i="1"/>
  <c r="AI8" i="1"/>
  <c r="AE8" i="1"/>
  <c r="AZ8" i="1"/>
  <c r="AO8" i="1"/>
  <c r="S8" i="1"/>
  <c r="X8" i="1"/>
  <c r="AP8" i="1"/>
  <c r="AG8" i="1"/>
  <c r="L8" i="1"/>
  <c r="K27" i="4"/>
  <c r="AL27" i="4"/>
  <c r="AV27" i="4"/>
  <c r="W27" i="4"/>
  <c r="BF27" i="4"/>
  <c r="AB27" i="4"/>
  <c r="X27" i="4"/>
  <c r="BD27" i="4"/>
  <c r="AQ27" i="4"/>
  <c r="AS27" i="4"/>
  <c r="AN27" i="4"/>
  <c r="AH27" i="4"/>
  <c r="BE27" i="4"/>
  <c r="N27" i="4"/>
  <c r="AT27" i="4"/>
  <c r="AG27" i="4"/>
  <c r="AR27" i="4"/>
  <c r="AO27" i="4"/>
  <c r="BB27" i="4"/>
  <c r="AD27" i="4"/>
  <c r="AW27" i="4"/>
  <c r="Z27" i="4"/>
  <c r="L27" i="4"/>
  <c r="J27" i="4"/>
  <c r="T27" i="4"/>
  <c r="AC27" i="4"/>
  <c r="AK27" i="4"/>
  <c r="AI27" i="4"/>
  <c r="AY27" i="4"/>
  <c r="AJ27" i="4"/>
  <c r="AF27" i="4"/>
  <c r="Q27" i="4"/>
  <c r="AE27" i="4"/>
  <c r="P27" i="4"/>
  <c r="R27" i="4"/>
  <c r="BA27" i="4"/>
  <c r="AZ27" i="4"/>
  <c r="S27" i="4"/>
  <c r="U27" i="4"/>
  <c r="AX27" i="4"/>
  <c r="O27" i="4"/>
  <c r="E27" i="4"/>
  <c r="BC27" i="4"/>
  <c r="V27" i="4"/>
  <c r="AA27" i="4"/>
  <c r="AP27" i="4"/>
  <c r="AU27" i="4"/>
  <c r="H27" i="4"/>
  <c r="D27" i="4"/>
  <c r="AM27" i="4"/>
  <c r="M27" i="4"/>
  <c r="C27" i="4"/>
  <c r="B27" i="4"/>
  <c r="Y27" i="4"/>
  <c r="AR5" i="1"/>
  <c r="AB5" i="1"/>
  <c r="K5" i="1"/>
  <c r="AK5" i="1"/>
  <c r="R5" i="1"/>
  <c r="AY5" i="1"/>
  <c r="BA5" i="1"/>
  <c r="AQ5" i="1"/>
  <c r="AM5" i="1"/>
  <c r="Y5" i="1"/>
  <c r="BE5" i="1"/>
  <c r="D5" i="1"/>
  <c r="AL5" i="1"/>
  <c r="BD5" i="1"/>
  <c r="W5" i="1"/>
  <c r="AN5" i="1"/>
  <c r="C5" i="1"/>
  <c r="AZ5" i="1"/>
  <c r="AW5" i="1"/>
  <c r="H5" i="1"/>
  <c r="P5" i="1"/>
  <c r="BC5" i="1"/>
  <c r="N5" i="1"/>
  <c r="AP5" i="1"/>
  <c r="AI5" i="1"/>
  <c r="AU5" i="1"/>
  <c r="T5" i="1"/>
  <c r="M5" i="1"/>
  <c r="AT5" i="1"/>
  <c r="X5" i="1"/>
  <c r="Z5" i="1"/>
  <c r="S5" i="1"/>
  <c r="J5" i="1"/>
  <c r="O5" i="1"/>
  <c r="AG5" i="1"/>
  <c r="AE5" i="1"/>
  <c r="AD5" i="1"/>
  <c r="E5" i="1"/>
  <c r="Q5" i="1"/>
  <c r="AS5" i="1"/>
  <c r="AC5" i="1"/>
  <c r="AO5" i="1"/>
  <c r="AH5" i="1"/>
  <c r="BF5" i="1"/>
  <c r="BB5" i="1"/>
  <c r="L5" i="1"/>
  <c r="AA5" i="1"/>
  <c r="U5" i="1"/>
  <c r="AV5" i="1"/>
  <c r="AF5" i="1"/>
  <c r="V5" i="1"/>
  <c r="AJ5" i="1"/>
  <c r="B5" i="1"/>
  <c r="AX5" i="1"/>
  <c r="B23" i="7"/>
  <c r="I23" i="7"/>
  <c r="G23" i="7"/>
  <c r="F23" i="7"/>
  <c r="AN58" i="2"/>
  <c r="BA58" i="2"/>
  <c r="AX58" i="2"/>
  <c r="W58" i="2"/>
  <c r="O58" i="2"/>
  <c r="V58" i="2"/>
  <c r="AO58" i="2"/>
  <c r="J58" i="2"/>
  <c r="AC58" i="2"/>
  <c r="X58" i="2"/>
  <c r="C58" i="2"/>
  <c r="AM58" i="2"/>
  <c r="AU58" i="2"/>
  <c r="AY58" i="2"/>
  <c r="AS58" i="2"/>
  <c r="AH58" i="2"/>
  <c r="AA58" i="2"/>
  <c r="AE58" i="2"/>
  <c r="BB58" i="2"/>
  <c r="D58" i="2"/>
  <c r="AP58" i="2"/>
  <c r="AB58" i="2"/>
  <c r="M58" i="2"/>
  <c r="AQ58" i="2"/>
  <c r="AF58" i="2"/>
  <c r="AZ58" i="2"/>
  <c r="S58" i="2"/>
  <c r="Z58" i="2"/>
  <c r="K58" i="2"/>
  <c r="BF58" i="2"/>
  <c r="P58" i="2"/>
  <c r="AG58" i="2"/>
  <c r="BE58" i="2"/>
  <c r="AR58" i="2"/>
  <c r="BC58" i="2"/>
  <c r="R58" i="2"/>
  <c r="L58" i="2"/>
  <c r="H58" i="2"/>
  <c r="T58" i="2"/>
  <c r="AV58" i="2"/>
  <c r="AJ58" i="2"/>
  <c r="N58" i="2"/>
  <c r="Y58" i="2"/>
  <c r="AK58" i="2"/>
  <c r="U58" i="2"/>
  <c r="AW58" i="2"/>
  <c r="AI58" i="2"/>
  <c r="AT58" i="2"/>
  <c r="AL58" i="2"/>
  <c r="AD58" i="2"/>
  <c r="BD58" i="2"/>
  <c r="Q58" i="2"/>
  <c r="B58" i="2"/>
  <c r="E58" i="2"/>
  <c r="B5" i="4"/>
  <c r="I5" i="4"/>
  <c r="G5" i="4"/>
  <c r="F5" i="4"/>
  <c r="L16" i="6"/>
  <c r="AF16" i="6"/>
  <c r="P16" i="6"/>
  <c r="W16" i="6"/>
  <c r="AY16" i="6"/>
  <c r="AW16" i="6"/>
  <c r="AU16" i="6"/>
  <c r="U16" i="6"/>
  <c r="Q16" i="6"/>
  <c r="AZ16" i="6"/>
  <c r="D16" i="6"/>
  <c r="BC16" i="6"/>
  <c r="R16" i="6"/>
  <c r="AG16" i="6"/>
  <c r="BE16" i="6"/>
  <c r="AC16" i="6"/>
  <c r="AB16" i="6"/>
  <c r="E16" i="6"/>
  <c r="BD16" i="6"/>
  <c r="C16" i="6"/>
  <c r="AP16" i="6"/>
  <c r="K16" i="6"/>
  <c r="AD16" i="6"/>
  <c r="Z16" i="6"/>
  <c r="AV16" i="6"/>
  <c r="T16" i="6"/>
  <c r="AN16" i="6"/>
  <c r="N16" i="6"/>
  <c r="AE16" i="6"/>
  <c r="H16" i="6"/>
  <c r="X16" i="6"/>
  <c r="AS16" i="6"/>
  <c r="AM16" i="6"/>
  <c r="S16" i="6"/>
  <c r="AH16" i="6"/>
  <c r="AX16" i="6"/>
  <c r="V16" i="6"/>
  <c r="O16" i="6"/>
  <c r="AK16" i="6"/>
  <c r="AT16" i="6"/>
  <c r="BA16" i="6"/>
  <c r="AI16" i="6"/>
  <c r="AA16" i="6"/>
  <c r="BF16" i="6"/>
  <c r="M16" i="6"/>
  <c r="AL16" i="6"/>
  <c r="J16" i="6"/>
  <c r="AQ16" i="6"/>
  <c r="AO16" i="6"/>
  <c r="Y16" i="6"/>
  <c r="BB16" i="6"/>
  <c r="AJ16" i="6"/>
  <c r="B16" i="6"/>
  <c r="AR16" i="6"/>
  <c r="H46" i="3"/>
  <c r="AF46" i="3"/>
  <c r="L46" i="3"/>
  <c r="AS46" i="3"/>
  <c r="AJ46" i="3"/>
  <c r="AL46" i="3"/>
  <c r="BE46" i="3"/>
  <c r="AK46" i="3"/>
  <c r="AV46" i="3"/>
  <c r="T46" i="3"/>
  <c r="V46" i="3"/>
  <c r="N46" i="3"/>
  <c r="BA46" i="3"/>
  <c r="BB46" i="3"/>
  <c r="O46" i="3"/>
  <c r="AB46" i="3"/>
  <c r="BF46" i="3"/>
  <c r="AI46" i="3"/>
  <c r="AG46" i="3"/>
  <c r="AZ46" i="3"/>
  <c r="R46" i="3"/>
  <c r="E46" i="3"/>
  <c r="BD46" i="3"/>
  <c r="AP46" i="3"/>
  <c r="AU46" i="3"/>
  <c r="AE46" i="3"/>
  <c r="AR46" i="3"/>
  <c r="Q46" i="3"/>
  <c r="AC46" i="3"/>
  <c r="AN46" i="3"/>
  <c r="AO46" i="3"/>
  <c r="M46" i="3"/>
  <c r="W46" i="3"/>
  <c r="AY46" i="3"/>
  <c r="AQ46" i="3"/>
  <c r="AT46" i="3"/>
  <c r="AH46" i="3"/>
  <c r="P46" i="3"/>
  <c r="Y46" i="3"/>
  <c r="K46" i="3"/>
  <c r="AD46" i="3"/>
  <c r="AX46" i="3"/>
  <c r="Z46" i="3"/>
  <c r="BC46" i="3"/>
  <c r="S46" i="3"/>
  <c r="AM46" i="3"/>
  <c r="AA46" i="3"/>
  <c r="X46" i="3"/>
  <c r="J46" i="3"/>
  <c r="U46" i="3"/>
  <c r="C46" i="3"/>
  <c r="AW46" i="3"/>
  <c r="B46" i="3"/>
  <c r="D46" i="3"/>
  <c r="B42" i="2"/>
  <c r="I42" i="2"/>
  <c r="G42" i="2"/>
  <c r="F42" i="2"/>
  <c r="B38" i="4"/>
  <c r="I38" i="4"/>
  <c r="G38" i="4"/>
  <c r="F38" i="4"/>
  <c r="K58" i="3"/>
  <c r="BF58" i="3"/>
  <c r="AH58" i="3"/>
  <c r="P58" i="3"/>
  <c r="AM58" i="3"/>
  <c r="M58" i="3"/>
  <c r="R58" i="3"/>
  <c r="AO58" i="3"/>
  <c r="W58" i="3"/>
  <c r="BE58" i="3"/>
  <c r="AX58" i="3"/>
  <c r="L58" i="3"/>
  <c r="AU58" i="3"/>
  <c r="AK58" i="3"/>
  <c r="D58" i="3"/>
  <c r="AJ58" i="3"/>
  <c r="AS58" i="3"/>
  <c r="AC58" i="3"/>
  <c r="AT58" i="3"/>
  <c r="N58" i="3"/>
  <c r="BA58" i="3"/>
  <c r="AR58" i="3"/>
  <c r="C58" i="3"/>
  <c r="Z58" i="3"/>
  <c r="BC58" i="3"/>
  <c r="H58" i="3"/>
  <c r="AE58" i="3"/>
  <c r="BD58" i="3"/>
  <c r="AY58" i="3"/>
  <c r="AI58" i="3"/>
  <c r="AG58" i="3"/>
  <c r="AB58" i="3"/>
  <c r="BB58" i="3"/>
  <c r="V58" i="3"/>
  <c r="X58" i="3"/>
  <c r="AL58" i="3"/>
  <c r="T58" i="3"/>
  <c r="AW58" i="3"/>
  <c r="E58" i="3"/>
  <c r="AZ58" i="3"/>
  <c r="AA58" i="3"/>
  <c r="J58" i="3"/>
  <c r="S58" i="3"/>
  <c r="AP58" i="3"/>
  <c r="Q58" i="3"/>
  <c r="AD58" i="3"/>
  <c r="AV58" i="3"/>
  <c r="Y58" i="3"/>
  <c r="AF58" i="3"/>
  <c r="AQ58" i="3"/>
  <c r="O58" i="3"/>
  <c r="U58" i="3"/>
  <c r="B58" i="3"/>
  <c r="AN58" i="3"/>
  <c r="U31" i="5"/>
  <c r="BD31" i="5"/>
  <c r="W31" i="5"/>
  <c r="BF31" i="5"/>
  <c r="L31" i="5"/>
  <c r="AM31" i="5"/>
  <c r="AX31" i="5"/>
  <c r="AI31" i="5"/>
  <c r="Y31" i="5"/>
  <c r="T31" i="5"/>
  <c r="AN31" i="5"/>
  <c r="AC31" i="5"/>
  <c r="AV31" i="5"/>
  <c r="X31" i="5"/>
  <c r="V31" i="5"/>
  <c r="D31" i="5"/>
  <c r="J31" i="5"/>
  <c r="N31" i="5"/>
  <c r="S31" i="5"/>
  <c r="AD31" i="5"/>
  <c r="AB31" i="5"/>
  <c r="AY31" i="5"/>
  <c r="AK31" i="5"/>
  <c r="K31" i="5"/>
  <c r="AA31" i="5"/>
  <c r="AO31" i="5"/>
  <c r="AH31" i="5"/>
  <c r="AL31" i="5"/>
  <c r="AE31" i="5"/>
  <c r="O31" i="5"/>
  <c r="P31" i="5"/>
  <c r="BA31" i="5"/>
  <c r="AF31" i="5"/>
  <c r="M31" i="5"/>
  <c r="AQ31" i="5"/>
  <c r="AR31" i="5"/>
  <c r="Q31" i="5"/>
  <c r="AS31" i="5"/>
  <c r="BE31" i="5"/>
  <c r="AJ31" i="5"/>
  <c r="BB31" i="5"/>
  <c r="C31" i="5"/>
  <c r="E31" i="5"/>
  <c r="AG31" i="5"/>
  <c r="AZ31" i="5"/>
  <c r="Z31" i="5"/>
  <c r="AW31" i="5"/>
  <c r="AU31" i="5"/>
  <c r="AT31" i="5"/>
  <c r="H31" i="5"/>
  <c r="BC31" i="5"/>
  <c r="R31" i="5"/>
  <c r="B31" i="5"/>
  <c r="AP31" i="5"/>
  <c r="AZ22" i="3"/>
  <c r="AW22" i="3"/>
  <c r="AL22" i="3"/>
  <c r="V22" i="3"/>
  <c r="AC22" i="3"/>
  <c r="N22" i="3"/>
  <c r="AR22" i="3"/>
  <c r="S22" i="3"/>
  <c r="C22" i="3"/>
  <c r="R22" i="3"/>
  <c r="BF22" i="3"/>
  <c r="Y22" i="3"/>
  <c r="AJ22" i="3"/>
  <c r="AP22" i="3"/>
  <c r="P22" i="3"/>
  <c r="AX22" i="3"/>
  <c r="AA22" i="3"/>
  <c r="AO22" i="3"/>
  <c r="Q22" i="3"/>
  <c r="AB22" i="3"/>
  <c r="AM22" i="3"/>
  <c r="AQ22" i="3"/>
  <c r="O22" i="3"/>
  <c r="K22" i="3"/>
  <c r="AF22" i="3"/>
  <c r="M22" i="3"/>
  <c r="AI22" i="3"/>
  <c r="AK22" i="3"/>
  <c r="AH22" i="3"/>
  <c r="BD22" i="3"/>
  <c r="AV22" i="3"/>
  <c r="AE22" i="3"/>
  <c r="AY22" i="3"/>
  <c r="J22" i="3"/>
  <c r="BC22" i="3"/>
  <c r="X22" i="3"/>
  <c r="AS22" i="3"/>
  <c r="W22" i="3"/>
  <c r="L22" i="3"/>
  <c r="Z22" i="3"/>
  <c r="AG22" i="3"/>
  <c r="H22" i="3"/>
  <c r="T22" i="3"/>
  <c r="AT22" i="3"/>
  <c r="D22" i="3"/>
  <c r="U22" i="3"/>
  <c r="E22" i="3"/>
  <c r="AD22" i="3"/>
  <c r="AN22" i="3"/>
  <c r="BA22" i="3"/>
  <c r="BE22" i="3"/>
  <c r="AU22" i="3"/>
  <c r="B22" i="3"/>
  <c r="BB22" i="3"/>
  <c r="AS7" i="1"/>
  <c r="C7" i="1"/>
  <c r="AN7" i="1"/>
  <c r="AL7" i="1"/>
  <c r="AH7" i="1"/>
  <c r="AI7" i="1"/>
  <c r="O7" i="1"/>
  <c r="L7" i="1"/>
  <c r="P7" i="1"/>
  <c r="N7" i="1"/>
  <c r="U7" i="1"/>
  <c r="BC7" i="1"/>
  <c r="W7" i="1"/>
  <c r="AG7" i="1"/>
  <c r="V7" i="1"/>
  <c r="AD7" i="1"/>
  <c r="BF7" i="1"/>
  <c r="AJ7" i="1"/>
  <c r="AE7" i="1"/>
  <c r="AR7" i="1"/>
  <c r="BD7" i="1"/>
  <c r="AX7" i="1"/>
  <c r="AO7" i="1"/>
  <c r="E7" i="1"/>
  <c r="AV7" i="1"/>
  <c r="K7" i="1"/>
  <c r="AY7" i="1"/>
  <c r="AZ7" i="1"/>
  <c r="AC7" i="1"/>
  <c r="R7" i="1"/>
  <c r="AB7" i="1"/>
  <c r="AQ7" i="1"/>
  <c r="X7" i="1"/>
  <c r="AU7" i="1"/>
  <c r="M7" i="1"/>
  <c r="Q7" i="1"/>
  <c r="AM7" i="1"/>
  <c r="D7" i="1"/>
  <c r="AK7" i="1"/>
  <c r="AW7" i="1"/>
  <c r="H7" i="1"/>
  <c r="Y7" i="1"/>
  <c r="Z7" i="1"/>
  <c r="T7" i="1"/>
  <c r="AP7" i="1"/>
  <c r="BB7" i="1"/>
  <c r="BE7" i="1"/>
  <c r="AA7" i="1"/>
  <c r="S7" i="1"/>
  <c r="AT7" i="1"/>
  <c r="AF7" i="1"/>
  <c r="BA7" i="1"/>
  <c r="B7" i="1"/>
  <c r="J7" i="1"/>
  <c r="B48" i="6"/>
  <c r="I48" i="6"/>
  <c r="G48" i="6"/>
  <c r="F48" i="6"/>
  <c r="B8" i="1"/>
  <c r="I8" i="1"/>
  <c r="G8" i="1"/>
  <c r="F8" i="1"/>
  <c r="B24" i="6"/>
  <c r="I24" i="6"/>
  <c r="G24" i="6"/>
  <c r="F24" i="6"/>
  <c r="M28" i="1"/>
  <c r="BC28" i="1"/>
  <c r="AE28" i="1"/>
  <c r="AF28" i="1"/>
  <c r="L28" i="1"/>
  <c r="U28" i="1"/>
  <c r="AO28" i="1"/>
  <c r="V28" i="1"/>
  <c r="AS28" i="1"/>
  <c r="N28" i="1"/>
  <c r="C28" i="1"/>
  <c r="AU28" i="1"/>
  <c r="E28" i="1"/>
  <c r="X28" i="1"/>
  <c r="BF28" i="1"/>
  <c r="AW28" i="1"/>
  <c r="P28" i="1"/>
  <c r="AI28" i="1"/>
  <c r="AR28" i="1"/>
  <c r="AQ28" i="1"/>
  <c r="AA28" i="1"/>
  <c r="AN28" i="1"/>
  <c r="AY28" i="1"/>
  <c r="BA28" i="1"/>
  <c r="S28" i="1"/>
  <c r="BE28" i="1"/>
  <c r="AK28" i="1"/>
  <c r="AZ28" i="1"/>
  <c r="AM28" i="1"/>
  <c r="Z28" i="1"/>
  <c r="BD28" i="1"/>
  <c r="AT28" i="1"/>
  <c r="AB28" i="1"/>
  <c r="Q28" i="1"/>
  <c r="AX28" i="1"/>
  <c r="AL28" i="1"/>
  <c r="J28" i="1"/>
  <c r="AD28" i="1"/>
  <c r="K28" i="1"/>
  <c r="BB28" i="1"/>
  <c r="D28" i="1"/>
  <c r="T28" i="1"/>
  <c r="W28" i="1"/>
  <c r="Y28" i="1"/>
  <c r="AJ28" i="1"/>
  <c r="AC28" i="1"/>
  <c r="AP28" i="1"/>
  <c r="AG28" i="1"/>
  <c r="O28" i="1"/>
  <c r="R28" i="1"/>
  <c r="AH28" i="1"/>
  <c r="AV28" i="1"/>
  <c r="B28" i="1"/>
  <c r="H28" i="1"/>
  <c r="V13" i="3"/>
  <c r="AG13" i="3"/>
  <c r="AN13" i="3"/>
  <c r="Y13" i="3"/>
  <c r="Z13" i="3"/>
  <c r="AO13" i="3"/>
  <c r="Q13" i="3"/>
  <c r="BF13" i="3"/>
  <c r="J13" i="3"/>
  <c r="U13" i="3"/>
  <c r="AL13" i="3"/>
  <c r="W13" i="3"/>
  <c r="BB13" i="3"/>
  <c r="AJ13" i="3"/>
  <c r="K13" i="3"/>
  <c r="BA13" i="3"/>
  <c r="AR13" i="3"/>
  <c r="H13" i="3"/>
  <c r="T13" i="3"/>
  <c r="D13" i="3"/>
  <c r="N13" i="3"/>
  <c r="AC13" i="3"/>
  <c r="AY13" i="3"/>
  <c r="BE13" i="3"/>
  <c r="AQ13" i="3"/>
  <c r="AA13" i="3"/>
  <c r="AP13" i="3"/>
  <c r="AE13" i="3"/>
  <c r="R13" i="3"/>
  <c r="AV13" i="3"/>
  <c r="AK13" i="3"/>
  <c r="AW13" i="3"/>
  <c r="AM13" i="3"/>
  <c r="O13" i="3"/>
  <c r="AS13" i="3"/>
  <c r="P13" i="3"/>
  <c r="E13" i="3"/>
  <c r="AT13" i="3"/>
  <c r="M13" i="3"/>
  <c r="AX13" i="3"/>
  <c r="L13" i="3"/>
  <c r="AI13" i="3"/>
  <c r="BD13" i="3"/>
  <c r="X13" i="3"/>
  <c r="C13" i="3"/>
  <c r="AU13" i="3"/>
  <c r="AZ13" i="3"/>
  <c r="AH13" i="3"/>
  <c r="BC13" i="3"/>
  <c r="AD13" i="3"/>
  <c r="S13" i="3"/>
  <c r="AF13" i="3"/>
  <c r="B13" i="3"/>
  <c r="AB13" i="3"/>
  <c r="B57" i="6"/>
  <c r="I57" i="6"/>
  <c r="G57" i="6"/>
  <c r="F57" i="6"/>
  <c r="AN24" i="3"/>
  <c r="AG24" i="3"/>
  <c r="AX24" i="3"/>
  <c r="AF24" i="3"/>
  <c r="AR24" i="3"/>
  <c r="Z24" i="3"/>
  <c r="K24" i="3"/>
  <c r="H24" i="3"/>
  <c r="U24" i="3"/>
  <c r="AM24" i="3"/>
  <c r="AK24" i="3"/>
  <c r="AP24" i="3"/>
  <c r="P24" i="3"/>
  <c r="AQ24" i="3"/>
  <c r="J24" i="3"/>
  <c r="AL24" i="3"/>
  <c r="BD24" i="3"/>
  <c r="AZ24" i="3"/>
  <c r="S24" i="3"/>
  <c r="AW24" i="3"/>
  <c r="AI24" i="3"/>
  <c r="BC24" i="3"/>
  <c r="R24" i="3"/>
  <c r="AT24" i="3"/>
  <c r="AS24" i="3"/>
  <c r="E24" i="3"/>
  <c r="BB24" i="3"/>
  <c r="AO24" i="3"/>
  <c r="W24" i="3"/>
  <c r="AC24" i="3"/>
  <c r="N24" i="3"/>
  <c r="V24" i="3"/>
  <c r="AJ24" i="3"/>
  <c r="AA24" i="3"/>
  <c r="Q24" i="3"/>
  <c r="BE24" i="3"/>
  <c r="BA24" i="3"/>
  <c r="T24" i="3"/>
  <c r="AY24" i="3"/>
  <c r="BF24" i="3"/>
  <c r="AU24" i="3"/>
  <c r="AB24" i="3"/>
  <c r="AE24" i="3"/>
  <c r="D24" i="3"/>
  <c r="L24" i="3"/>
  <c r="M24" i="3"/>
  <c r="X24" i="3"/>
  <c r="C24" i="3"/>
  <c r="AD24" i="3"/>
  <c r="AV24" i="3"/>
  <c r="O24" i="3"/>
  <c r="Y24" i="3"/>
  <c r="B24" i="3"/>
  <c r="AH24" i="3"/>
  <c r="B11" i="6"/>
  <c r="I11" i="6"/>
  <c r="G11" i="6"/>
  <c r="F11" i="6"/>
  <c r="AK55" i="3"/>
  <c r="BD55" i="3"/>
  <c r="Z55" i="3"/>
  <c r="AC55" i="3"/>
  <c r="R55" i="3"/>
  <c r="BB55" i="3"/>
  <c r="AO55" i="3"/>
  <c r="D55" i="3"/>
  <c r="K55" i="3"/>
  <c r="P55" i="3"/>
  <c r="M55" i="3"/>
  <c r="AI55" i="3"/>
  <c r="AM55" i="3"/>
  <c r="J55" i="3"/>
  <c r="AV55" i="3"/>
  <c r="BA55" i="3"/>
  <c r="C55" i="3"/>
  <c r="U55" i="3"/>
  <c r="Q55" i="3"/>
  <c r="AQ55" i="3"/>
  <c r="E55" i="3"/>
  <c r="AU55" i="3"/>
  <c r="AL55" i="3"/>
  <c r="AA55" i="3"/>
  <c r="AB55" i="3"/>
  <c r="AX55" i="3"/>
  <c r="BE55" i="3"/>
  <c r="AR55" i="3"/>
  <c r="S55" i="3"/>
  <c r="X55" i="3"/>
  <c r="Y55" i="3"/>
  <c r="AZ55" i="3"/>
  <c r="AF55" i="3"/>
  <c r="V55" i="3"/>
  <c r="AG55" i="3"/>
  <c r="L55" i="3"/>
  <c r="BC55" i="3"/>
  <c r="AJ55" i="3"/>
  <c r="AP55" i="3"/>
  <c r="AS55" i="3"/>
  <c r="AH55" i="3"/>
  <c r="O55" i="3"/>
  <c r="AN55" i="3"/>
  <c r="BF55" i="3"/>
  <c r="W55" i="3"/>
  <c r="AD55" i="3"/>
  <c r="AE55" i="3"/>
  <c r="H55" i="3"/>
  <c r="N55" i="3"/>
  <c r="AW55" i="3"/>
  <c r="AT55" i="3"/>
  <c r="AY55" i="3"/>
  <c r="B55" i="3"/>
  <c r="T55" i="3"/>
  <c r="B9" i="5"/>
  <c r="I9" i="5"/>
  <c r="G9" i="5"/>
  <c r="F9" i="5"/>
  <c r="B20" i="1"/>
  <c r="I20" i="1"/>
  <c r="G20" i="1"/>
  <c r="F20" i="1"/>
  <c r="BD33" i="4"/>
  <c r="AI33" i="4"/>
  <c r="AR33" i="4"/>
  <c r="L33" i="4"/>
  <c r="J33" i="4"/>
  <c r="AT33" i="4"/>
  <c r="W33" i="4"/>
  <c r="V33" i="4"/>
  <c r="AG33" i="4"/>
  <c r="BC33" i="4"/>
  <c r="T33" i="4"/>
  <c r="AD33" i="4"/>
  <c r="AY33" i="4"/>
  <c r="AJ33" i="4"/>
  <c r="AP33" i="4"/>
  <c r="H33" i="4"/>
  <c r="D33" i="4"/>
  <c r="AK33" i="4"/>
  <c r="S33" i="4"/>
  <c r="BA33" i="4"/>
  <c r="AQ33" i="4"/>
  <c r="AW33" i="4"/>
  <c r="AL33" i="4"/>
  <c r="Q33" i="4"/>
  <c r="U33" i="4"/>
  <c r="AA33" i="4"/>
  <c r="BE33" i="4"/>
  <c r="AX33" i="4"/>
  <c r="AH33" i="4"/>
  <c r="R33" i="4"/>
  <c r="N33" i="4"/>
  <c r="X33" i="4"/>
  <c r="P33" i="4"/>
  <c r="AM33" i="4"/>
  <c r="Y33" i="4"/>
  <c r="AV33" i="4"/>
  <c r="M33" i="4"/>
  <c r="BB33" i="4"/>
  <c r="AN33" i="4"/>
  <c r="AO33" i="4"/>
  <c r="AF33" i="4"/>
  <c r="Z33" i="4"/>
  <c r="K33" i="4"/>
  <c r="AC33" i="4"/>
  <c r="O33" i="4"/>
  <c r="AZ33" i="4"/>
  <c r="C33" i="4"/>
  <c r="E33" i="4"/>
  <c r="AB33" i="4"/>
  <c r="AU33" i="4"/>
  <c r="BF33" i="4"/>
  <c r="AE33" i="4"/>
  <c r="B33" i="4"/>
  <c r="AS33" i="4"/>
  <c r="B53" i="6"/>
  <c r="I53" i="6"/>
  <c r="G53" i="6"/>
  <c r="F53" i="6"/>
  <c r="AT33" i="3"/>
  <c r="AF33" i="3"/>
  <c r="BE33" i="3"/>
  <c r="AU33" i="3"/>
  <c r="AR33" i="3"/>
  <c r="V33" i="3"/>
  <c r="Y33" i="3"/>
  <c r="S33" i="3"/>
  <c r="AE33" i="3"/>
  <c r="K33" i="3"/>
  <c r="AD33" i="3"/>
  <c r="AO33" i="3"/>
  <c r="AG33" i="3"/>
  <c r="AL33" i="3"/>
  <c r="BD33" i="3"/>
  <c r="AV33" i="3"/>
  <c r="AZ33" i="3"/>
  <c r="BF33" i="3"/>
  <c r="AH33" i="3"/>
  <c r="AC33" i="3"/>
  <c r="AQ33" i="3"/>
  <c r="C33" i="3"/>
  <c r="O33" i="3"/>
  <c r="P33" i="3"/>
  <c r="AJ33" i="3"/>
  <c r="AI33" i="3"/>
  <c r="AA33" i="3"/>
  <c r="AS33" i="3"/>
  <c r="Z33" i="3"/>
  <c r="X33" i="3"/>
  <c r="W33" i="3"/>
  <c r="R33" i="3"/>
  <c r="Q33" i="3"/>
  <c r="AB33" i="3"/>
  <c r="AK33" i="3"/>
  <c r="J33" i="3"/>
  <c r="M33" i="3"/>
  <c r="AW33" i="3"/>
  <c r="AY33" i="3"/>
  <c r="AN33" i="3"/>
  <c r="BB33" i="3"/>
  <c r="L33" i="3"/>
  <c r="BA33" i="3"/>
  <c r="BC33" i="3"/>
  <c r="AX33" i="3"/>
  <c r="T33" i="3"/>
  <c r="U33" i="3"/>
  <c r="AP33" i="3"/>
  <c r="D33" i="3"/>
  <c r="AM33" i="3"/>
  <c r="E33" i="3"/>
  <c r="H33" i="3"/>
  <c r="B33" i="3"/>
  <c r="N33" i="3"/>
</calcChain>
</file>

<file path=xl/sharedStrings.xml><?xml version="1.0" encoding="utf-8"?>
<sst xmlns="http://schemas.openxmlformats.org/spreadsheetml/2006/main" count="1381" uniqueCount="116">
  <si>
    <t>Proses</t>
  </si>
  <si>
    <t>POT</t>
  </si>
  <si>
    <t>POT Shift Tersedia</t>
  </si>
  <si>
    <t>Unschedule Time</t>
  </si>
  <si>
    <t>Unschedule Time Shift Tersedia</t>
  </si>
  <si>
    <t>Waktu Beproduksi</t>
  </si>
  <si>
    <t>Idle Time</t>
  </si>
  <si>
    <t xml:space="preserve">L2 </t>
  </si>
  <si>
    <t>L21</t>
  </si>
  <si>
    <t>L22</t>
  </si>
  <si>
    <t>IG</t>
  </si>
  <si>
    <t>PPT</t>
  </si>
  <si>
    <t>R</t>
  </si>
  <si>
    <t>DT</t>
  </si>
  <si>
    <t>Setup</t>
  </si>
  <si>
    <t>P6</t>
  </si>
  <si>
    <t>P5</t>
  </si>
  <si>
    <t>P8</t>
  </si>
  <si>
    <t>P9</t>
  </si>
  <si>
    <t>Breakdown</t>
  </si>
  <si>
    <t>M1</t>
  </si>
  <si>
    <t>M2</t>
  </si>
  <si>
    <t>M4</t>
  </si>
  <si>
    <t>M8</t>
  </si>
  <si>
    <t>M9</t>
  </si>
  <si>
    <t>Clean</t>
  </si>
  <si>
    <t>P2</t>
  </si>
  <si>
    <t>P4</t>
  </si>
  <si>
    <t>P17</t>
  </si>
  <si>
    <t>P19</t>
  </si>
  <si>
    <t>P12</t>
  </si>
  <si>
    <t>Trial</t>
  </si>
  <si>
    <t>R1</t>
  </si>
  <si>
    <t>R2</t>
  </si>
  <si>
    <t>Waiting</t>
  </si>
  <si>
    <t>L1</t>
  </si>
  <si>
    <t>L3</t>
  </si>
  <si>
    <t>H1</t>
  </si>
  <si>
    <t>H2</t>
  </si>
  <si>
    <t>H4</t>
  </si>
  <si>
    <t>H6</t>
  </si>
  <si>
    <t>H7</t>
  </si>
  <si>
    <t>H8</t>
  </si>
  <si>
    <t>P10</t>
  </si>
  <si>
    <t>P11</t>
  </si>
  <si>
    <t>P13</t>
  </si>
  <si>
    <t>P14</t>
  </si>
  <si>
    <t>P16</t>
  </si>
  <si>
    <t>M5</t>
  </si>
  <si>
    <t>M6</t>
  </si>
  <si>
    <t>M7</t>
  </si>
  <si>
    <t>Q1</t>
  </si>
  <si>
    <t>Q2</t>
  </si>
  <si>
    <t>Q3</t>
  </si>
  <si>
    <t>Q4</t>
  </si>
  <si>
    <t>Total Output</t>
  </si>
  <si>
    <t>Reject Output</t>
  </si>
  <si>
    <t>Good Output</t>
  </si>
  <si>
    <t>NBL SOL-MIXING</t>
  </si>
  <si>
    <t>LMIXSOL1</t>
  </si>
  <si>
    <t>LMIXSOL2</t>
  </si>
  <si>
    <t>MIX113</t>
  </si>
  <si>
    <t>NBL SOL-CAPSULE</t>
  </si>
  <si>
    <t>KAP101</t>
  </si>
  <si>
    <t>KAP103</t>
  </si>
  <si>
    <t>NBL SOL-TABLETING</t>
  </si>
  <si>
    <t>TAB101</t>
  </si>
  <si>
    <t>TAB103</t>
  </si>
  <si>
    <t>TAB105</t>
  </si>
  <si>
    <t>NBL SOL-COATING</t>
  </si>
  <si>
    <t>COT101</t>
  </si>
  <si>
    <t>COT102</t>
  </si>
  <si>
    <t>NBL SOL-STRIPPING</t>
  </si>
  <si>
    <t>STR101</t>
  </si>
  <si>
    <t>STR102</t>
  </si>
  <si>
    <t>STR103</t>
  </si>
  <si>
    <t>STR104</t>
  </si>
  <si>
    <t>STR105</t>
  </si>
  <si>
    <t>NBL SYR-MIXING</t>
  </si>
  <si>
    <t>LMIXSYR1</t>
  </si>
  <si>
    <t>NBL SYR-FILLING</t>
  </si>
  <si>
    <t>SYR109</t>
  </si>
  <si>
    <t>SYR110</t>
  </si>
  <si>
    <t>NBL INJ-MIXING</t>
  </si>
  <si>
    <t>LMIXINJ1</t>
  </si>
  <si>
    <t>NBL INJ-FILLING</t>
  </si>
  <si>
    <t>GINLINE3</t>
  </si>
  <si>
    <t>GINLINE4</t>
  </si>
  <si>
    <t>NBL INJ-STERILIZATION</t>
  </si>
  <si>
    <t>INJ105</t>
  </si>
  <si>
    <t>INJ106</t>
  </si>
  <si>
    <t>INJ107</t>
  </si>
  <si>
    <t>NBL SECONDARY PACKING</t>
  </si>
  <si>
    <t>PAK101</t>
  </si>
  <si>
    <t>PAK102</t>
  </si>
  <si>
    <t>PAK103</t>
  </si>
  <si>
    <t>PAK104</t>
  </si>
  <si>
    <t>PAK105</t>
  </si>
  <si>
    <t>PAK111</t>
  </si>
  <si>
    <t>CPH SOL-MIXING</t>
  </si>
  <si>
    <t>MCF101</t>
  </si>
  <si>
    <t>CPH SOL-POWDER FILLING</t>
  </si>
  <si>
    <t>SCF102</t>
  </si>
  <si>
    <t>CPH SOL-CAPSULE</t>
  </si>
  <si>
    <t>KCF101</t>
  </si>
  <si>
    <t>CPH SOL-STRIPPING</t>
  </si>
  <si>
    <t>STC101</t>
  </si>
  <si>
    <t>CPH INJ-FILLING</t>
  </si>
  <si>
    <t>GINLINE6</t>
  </si>
  <si>
    <t>CPH INJ-STERILIZATION</t>
  </si>
  <si>
    <t>ICF104</t>
  </si>
  <si>
    <t>ICF105</t>
  </si>
  <si>
    <t>CPH-SECONDARY PACKING</t>
  </si>
  <si>
    <t>PCF101</t>
  </si>
  <si>
    <t>PCF102</t>
  </si>
  <si>
    <t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</si>
</sst>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16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3" fontId="6" fillId="2" borderId="1" xfId="2" applyNumberFormat="1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/>
    </xf>
    <xf numFmtId="165" fontId="0" fillId="2" borderId="1" xfId="1" applyNumberFormat="1" applyFont="1" applyFill="1" applyBorder="1" applyAlignment="1">
      <alignment horizontal="center" vertical="center"/>
    </xf>
    <xf numFmtId="165" fontId="0" fillId="3" borderId="1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165" fontId="2" fillId="2" borderId="1" xfId="1" applyNumberFormat="1" applyFont="1" applyFill="1" applyBorder="1" applyAlignment="1">
      <alignment horizontal="center" vertical="center"/>
    </xf>
    <xf numFmtId="165" fontId="2" fillId="3" borderId="1" xfId="1" applyNumberFormat="1" applyFont="1" applyFill="1" applyBorder="1" applyAlignment="1">
      <alignment horizontal="center" vertical="center"/>
    </xf>
    <xf numFmtId="0" fontId="2" fillId="2" borderId="1" xfId="2" applyFont="1" applyFill="1" applyBorder="1" applyAlignment="1">
      <alignment horizontal="left" vertical="center"/>
    </xf>
  </cellXfs>
  <cellStyles count="3">
    <cellStyle name="Comma" xfId="1" builtinId="3"/>
    <cellStyle name="Normal" xfId="0" builtinId="0"/>
    <cellStyle name="Normal 2" xfId="2" xr:uid="{5E760844-9204-4A98-AAE4-A582945370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ATA%20OEE/2025/01.%20OEE/01.%20Januari/Dashboard/01.%20Dashboard-Dashboard.xlsx" TargetMode="External"/><Relationship Id="rId1" Type="http://schemas.openxmlformats.org/officeDocument/2006/relationships/externalLinkPath" Target="/DATA%20OEE/2025/01.%20OEE/01.%20Januari/Dashboard/01.%20Dashboard-Dashboar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ATA%20OEE/2025/01.%20OEE/02.%20Februari/Dashboard/01.%20Dashboard-Dashboard.xlsx" TargetMode="External"/><Relationship Id="rId1" Type="http://schemas.openxmlformats.org/officeDocument/2006/relationships/externalLinkPath" Target="/DATA%20OEE/2025/01.%20OEE/02.%20Februari/Dashboard/01.%20Dashboard-Dashboar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ATA%20OEE/2025/01.%20OEE/03.%20Maret/Dashboard/01.%20Dashboard-Dashboard.xlsx" TargetMode="External"/><Relationship Id="rId1" Type="http://schemas.openxmlformats.org/officeDocument/2006/relationships/externalLinkPath" Target="/DATA%20OEE/2025/01.%20OEE/03.%20Maret/Dashboard/01.%20Dashboard-Dashboard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ATA%20OEE/2025/01.%20OEE/04.%20April/Dashboard/01.%20Dashboard-Dashboard.xlsx" TargetMode="External"/><Relationship Id="rId1" Type="http://schemas.openxmlformats.org/officeDocument/2006/relationships/externalLinkPath" Target="/DATA%20OEE/2025/01.%20OEE/04.%20April/Dashboard/01.%20Dashboard-Dashboard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ATA%20OEE/2025/01.%20OEE/05.%20Mei/Dashboard/01.%20Dashboard-Dashboard.xlsx" TargetMode="External"/><Relationship Id="rId1" Type="http://schemas.openxmlformats.org/officeDocument/2006/relationships/externalLinkPath" Target="/DATA%20OEE/2025/01.%20OEE/05.%20Mei/Dashboard/01.%20Dashboard-Dashboar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ATA%20OEE/2025/01.%20OEE/06.%20Juni/Dashboard/01.%20Dashboard-Dashboard.xlsx" TargetMode="External"/><Relationship Id="rId1" Type="http://schemas.openxmlformats.org/officeDocument/2006/relationships/externalLinkPath" Target="/DATA%20OEE/2025/01.%20OEE/06.%20Juni/Dashboard/01.%20Dashboard-Dashboar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ATA%20OEE/2025/01.%20OEE/07.%20Juli/Dashboard/01.%20Dashboard-Dashboard.xlsx" TargetMode="External"/><Relationship Id="rId1" Type="http://schemas.openxmlformats.org/officeDocument/2006/relationships/externalLinkPath" Target="/DATA%20OEE/2025/01.%20OEE/07.%20Juli/Dashboard/01.%20Dashboard-Dashboard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ATA%20OEE/2025/01.%20OEE/08.%20Agustus/Dashboard/01.%20Dashboard-Dashboard.xlsx" TargetMode="External"/><Relationship Id="rId1" Type="http://schemas.openxmlformats.org/officeDocument/2006/relationships/externalLinkPath" Target="/DATA%20OEE/2025/01.%20OEE/08.%20Agustus/Dashboard/01.%20Dashboard-Dashboard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ATA%20OEE/2025/01.%20OEE/09.%20September/Dashboard/01.%20Dashboard-Dashboard.xlsx" TargetMode="External"/><Relationship Id="rId1" Type="http://schemas.openxmlformats.org/officeDocument/2006/relationships/externalLinkPath" Target="/DATA%20OEE/2025/01.%20OEE/09.%20September/Dashboard/01.%20Dashboard-Dashboar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ATA%20OEE/2025/01.%20OEE/10.%20Oktober/Dashboard/01.%20Dashboard-Dashboard.xlsx" TargetMode="External"/><Relationship Id="rId1" Type="http://schemas.openxmlformats.org/officeDocument/2006/relationships/externalLinkPath" Target="/DATA%20OEE/2025/01.%20OEE/10.%20Oktober/Dashboard/01.%20Dashboard-Dashboard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ATA%20OEE/2025/01.%20OEE/11.%20November/Dashboard/01.%20Dashboard-Dashboard.xlsx" TargetMode="External"/><Relationship Id="rId1" Type="http://schemas.openxmlformats.org/officeDocument/2006/relationships/externalLinkPath" Target="/DATA%20OEE/2025/01.%20OEE/11.%20November/Dashboard/01.%20Dashboard-Dashboard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ATA%20OEE/2025/01.%20OEE/12.%20Desember/Dashboard/01.%20Dashboard-Dashboard.xlsx" TargetMode="External"/><Relationship Id="rId1" Type="http://schemas.openxmlformats.org/officeDocument/2006/relationships/externalLinkPath" Target="/DATA%20OEE/2025/01.%20OEE/12.%20Desember/Dashboard/01.%20Dashboard-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shboard OEE"/>
      <sheetName val="Dashboard Monthly Manpower"/>
      <sheetName val="Dashboard Monthly Legend"/>
      <sheetName val="Dashboard Legend Group"/>
      <sheetName val="Mesin Running"/>
      <sheetName val="Pivot Batch &amp; Tanggal"/>
      <sheetName val="Dasboard_QBR_Report"/>
      <sheetName val="Jumlah Shift"/>
      <sheetName val="Format Shift Operation"/>
      <sheetName val="Custom Report "/>
      <sheetName val="OEE All Machine Report"/>
      <sheetName val="OEE By Group Report"/>
      <sheetName val="Analisys QBR Report"/>
      <sheetName val="Analisys QBR By Machine Report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5">
          <cell r="C5" t="str">
            <v>POT</v>
          </cell>
        </row>
        <row r="109">
          <cell r="B109" t="str">
            <v>PROSES( Menit )</v>
          </cell>
          <cell r="C109" t="str">
            <v>POT</v>
          </cell>
          <cell r="D109" t="str">
            <v>POT Shift Tersedia</v>
          </cell>
          <cell r="E109" t="str">
            <v>Unschedule Time</v>
          </cell>
          <cell r="F109" t="str">
            <v>Unschedule Time Shift Tersedia</v>
          </cell>
          <cell r="G109" t="str">
            <v>Waktu Beproduksi</v>
          </cell>
          <cell r="H109" t="str">
            <v>Waktu Beproduksi Tersedia</v>
          </cell>
          <cell r="I109" t="str">
            <v>Idle Time</v>
          </cell>
          <cell r="J109" t="str">
            <v>Idle Time Tersedia</v>
          </cell>
          <cell r="K109" t="str">
            <v>L2</v>
          </cell>
          <cell r="L109" t="str">
            <v>L21</v>
          </cell>
          <cell r="M109" t="str">
            <v>L22</v>
          </cell>
          <cell r="N109" t="str">
            <v>IG</v>
          </cell>
          <cell r="O109" t="str">
            <v>PPT</v>
          </cell>
          <cell r="P109" t="str">
            <v>PPT Tersedia</v>
          </cell>
          <cell r="Q109" t="str">
            <v>R</v>
          </cell>
          <cell r="R109" t="str">
            <v>R Tersedia</v>
          </cell>
          <cell r="S109" t="str">
            <v>DT</v>
          </cell>
          <cell r="T109" t="str">
            <v>DT Tersedia</v>
          </cell>
          <cell r="U109" t="str">
            <v>Setup</v>
          </cell>
          <cell r="V109" t="str">
            <v>P6</v>
          </cell>
          <cell r="W109" t="str">
            <v>P5</v>
          </cell>
          <cell r="X109" t="str">
            <v>P8</v>
          </cell>
          <cell r="Y109" t="str">
            <v>P9</v>
          </cell>
          <cell r="Z109" t="str">
            <v>Breakdown</v>
          </cell>
          <cell r="AA109" t="str">
            <v>M1</v>
          </cell>
          <cell r="AB109" t="str">
            <v>M2</v>
          </cell>
          <cell r="AC109" t="str">
            <v>M4</v>
          </cell>
          <cell r="AD109" t="str">
            <v>M8</v>
          </cell>
          <cell r="AE109" t="str">
            <v>M9</v>
          </cell>
          <cell r="AF109" t="str">
            <v>Clean</v>
          </cell>
          <cell r="AG109" t="str">
            <v>P2</v>
          </cell>
          <cell r="AH109" t="str">
            <v>P4</v>
          </cell>
          <cell r="AI109" t="str">
            <v>P17</v>
          </cell>
          <cell r="AJ109" t="str">
            <v>P19</v>
          </cell>
          <cell r="AK109" t="str">
            <v>P12</v>
          </cell>
          <cell r="AL109" t="str">
            <v>Trial</v>
          </cell>
          <cell r="AM109" t="str">
            <v>R1</v>
          </cell>
          <cell r="AN109" t="str">
            <v>R2</v>
          </cell>
          <cell r="AO109" t="str">
            <v>Waiting</v>
          </cell>
          <cell r="AP109" t="str">
            <v>L1</v>
          </cell>
          <cell r="AQ109" t="str">
            <v>L3</v>
          </cell>
          <cell r="AR109" t="str">
            <v>H1</v>
          </cell>
          <cell r="AS109" t="str">
            <v>H2</v>
          </cell>
          <cell r="AT109" t="str">
            <v>H4</v>
          </cell>
          <cell r="AU109" t="str">
            <v>H6</v>
          </cell>
          <cell r="AV109" t="str">
            <v>H7</v>
          </cell>
          <cell r="AW109" t="str">
            <v>H8</v>
          </cell>
          <cell r="AX109" t="str">
            <v>P10</v>
          </cell>
          <cell r="AY109" t="str">
            <v>P11</v>
          </cell>
          <cell r="AZ109" t="str">
            <v>P13</v>
          </cell>
          <cell r="BA109" t="str">
            <v>P14</v>
          </cell>
          <cell r="BB109" t="str">
            <v>P16</v>
          </cell>
          <cell r="BC109" t="str">
            <v>M5</v>
          </cell>
          <cell r="BD109" t="str">
            <v>M6</v>
          </cell>
          <cell r="BE109" t="str">
            <v>M7</v>
          </cell>
          <cell r="BF109" t="str">
            <v>Q1</v>
          </cell>
          <cell r="BG109" t="str">
            <v>Q2</v>
          </cell>
          <cell r="BH109" t="str">
            <v>Q3</v>
          </cell>
          <cell r="BI109" t="str">
            <v>Q4</v>
          </cell>
          <cell r="BJ109" t="str">
            <v>Total Output</v>
          </cell>
          <cell r="BK109" t="str">
            <v>Reject Output</v>
          </cell>
          <cell r="BL109" t="str">
            <v>Good Output</v>
          </cell>
        </row>
        <row r="110">
          <cell r="B110" t="str">
            <v>NBL SOL-MIXING</v>
          </cell>
          <cell r="C110">
            <v>77760</v>
          </cell>
          <cell r="D110">
            <v>50220</v>
          </cell>
          <cell r="E110">
            <v>46980</v>
          </cell>
          <cell r="F110">
            <v>19440</v>
          </cell>
          <cell r="G110">
            <v>30780</v>
          </cell>
          <cell r="H110">
            <v>30780</v>
          </cell>
          <cell r="I110">
            <v>2895</v>
          </cell>
          <cell r="J110">
            <v>2895</v>
          </cell>
          <cell r="K110">
            <v>2895</v>
          </cell>
          <cell r="L110">
            <v>815</v>
          </cell>
          <cell r="M110">
            <v>2080</v>
          </cell>
          <cell r="N110">
            <v>0</v>
          </cell>
          <cell r="O110">
            <v>27885</v>
          </cell>
          <cell r="P110">
            <v>27885</v>
          </cell>
          <cell r="Q110">
            <v>4643</v>
          </cell>
          <cell r="R110">
            <v>4643</v>
          </cell>
          <cell r="S110">
            <v>23242</v>
          </cell>
          <cell r="T110">
            <v>23242</v>
          </cell>
          <cell r="U110">
            <v>767</v>
          </cell>
          <cell r="V110">
            <v>753</v>
          </cell>
          <cell r="W110">
            <v>0</v>
          </cell>
          <cell r="X110">
            <v>14</v>
          </cell>
          <cell r="Y110">
            <v>0</v>
          </cell>
          <cell r="Z110">
            <v>355</v>
          </cell>
          <cell r="AA110">
            <v>105</v>
          </cell>
          <cell r="AB110">
            <v>0</v>
          </cell>
          <cell r="AC110">
            <v>0</v>
          </cell>
          <cell r="AD110">
            <v>250</v>
          </cell>
          <cell r="AE110">
            <v>0</v>
          </cell>
          <cell r="AF110">
            <v>10871</v>
          </cell>
          <cell r="AG110">
            <v>6900</v>
          </cell>
          <cell r="AH110">
            <v>3441</v>
          </cell>
          <cell r="AI110">
            <v>16</v>
          </cell>
          <cell r="AJ110">
            <v>0</v>
          </cell>
          <cell r="AK110">
            <v>514</v>
          </cell>
          <cell r="AL110">
            <v>670</v>
          </cell>
          <cell r="AM110">
            <v>120</v>
          </cell>
          <cell r="AN110">
            <v>550</v>
          </cell>
          <cell r="AO110">
            <v>10579</v>
          </cell>
          <cell r="AP110">
            <v>111</v>
          </cell>
          <cell r="AQ110">
            <v>0</v>
          </cell>
          <cell r="AR110">
            <v>1607</v>
          </cell>
          <cell r="AS110">
            <v>0</v>
          </cell>
          <cell r="AT110">
            <v>1400</v>
          </cell>
          <cell r="AU110">
            <v>0</v>
          </cell>
          <cell r="AV110">
            <v>0</v>
          </cell>
          <cell r="AW110">
            <v>0</v>
          </cell>
          <cell r="AX110">
            <v>6416</v>
          </cell>
          <cell r="AY110">
            <v>69</v>
          </cell>
          <cell r="AZ110">
            <v>0</v>
          </cell>
          <cell r="BA110">
            <v>670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276</v>
          </cell>
          <cell r="BG110">
            <v>0</v>
          </cell>
          <cell r="BH110">
            <v>0</v>
          </cell>
          <cell r="BI110">
            <v>30</v>
          </cell>
          <cell r="BJ110">
            <v>7539.5</v>
          </cell>
          <cell r="BK110">
            <v>0</v>
          </cell>
          <cell r="BL110">
            <v>7539.5</v>
          </cell>
        </row>
        <row r="111">
          <cell r="B111" t="str">
            <v>MIX113</v>
          </cell>
          <cell r="C111">
            <v>25920</v>
          </cell>
          <cell r="D111">
            <v>16740</v>
          </cell>
          <cell r="E111">
            <v>9630</v>
          </cell>
          <cell r="F111">
            <v>450</v>
          </cell>
          <cell r="G111">
            <v>16290</v>
          </cell>
          <cell r="H111">
            <v>16290</v>
          </cell>
          <cell r="I111">
            <v>1855</v>
          </cell>
          <cell r="J111">
            <v>1855</v>
          </cell>
          <cell r="K111">
            <v>1855</v>
          </cell>
          <cell r="L111">
            <v>180</v>
          </cell>
          <cell r="M111">
            <v>1675</v>
          </cell>
          <cell r="N111">
            <v>0</v>
          </cell>
          <cell r="O111">
            <v>14435</v>
          </cell>
          <cell r="P111">
            <v>14435</v>
          </cell>
          <cell r="Q111">
            <v>847</v>
          </cell>
          <cell r="R111">
            <v>847</v>
          </cell>
          <cell r="S111">
            <v>13588</v>
          </cell>
          <cell r="T111">
            <v>13588</v>
          </cell>
          <cell r="U111">
            <v>396</v>
          </cell>
          <cell r="V111">
            <v>384</v>
          </cell>
          <cell r="W111">
            <v>0</v>
          </cell>
          <cell r="X111">
            <v>12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4290</v>
          </cell>
          <cell r="AG111">
            <v>1821</v>
          </cell>
          <cell r="AH111">
            <v>2234</v>
          </cell>
          <cell r="AI111">
            <v>0</v>
          </cell>
          <cell r="AJ111">
            <v>0</v>
          </cell>
          <cell r="AK111">
            <v>235</v>
          </cell>
          <cell r="AL111">
            <v>670</v>
          </cell>
          <cell r="AM111">
            <v>120</v>
          </cell>
          <cell r="AN111">
            <v>550</v>
          </cell>
          <cell r="AO111">
            <v>8232</v>
          </cell>
          <cell r="AP111">
            <v>30</v>
          </cell>
          <cell r="AQ111">
            <v>0</v>
          </cell>
          <cell r="AR111">
            <v>805</v>
          </cell>
          <cell r="AS111">
            <v>0</v>
          </cell>
          <cell r="AT111">
            <v>645</v>
          </cell>
          <cell r="AU111">
            <v>0</v>
          </cell>
          <cell r="AV111">
            <v>0</v>
          </cell>
          <cell r="AW111">
            <v>0</v>
          </cell>
          <cell r="AX111">
            <v>6416</v>
          </cell>
          <cell r="AY111">
            <v>60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276</v>
          </cell>
          <cell r="BG111">
            <v>0</v>
          </cell>
          <cell r="BH111">
            <v>0</v>
          </cell>
          <cell r="BI111">
            <v>0</v>
          </cell>
          <cell r="BJ111">
            <v>4886.8999999999996</v>
          </cell>
          <cell r="BK111">
            <v>0</v>
          </cell>
          <cell r="BL111">
            <v>4886.8999999999996</v>
          </cell>
        </row>
        <row r="112">
          <cell r="B112" t="str">
            <v>LMIXSOL1</v>
          </cell>
          <cell r="C112">
            <v>25920</v>
          </cell>
          <cell r="D112">
            <v>16740</v>
          </cell>
          <cell r="E112">
            <v>17040</v>
          </cell>
          <cell r="F112">
            <v>7860</v>
          </cell>
          <cell r="G112">
            <v>8880</v>
          </cell>
          <cell r="H112">
            <v>8880</v>
          </cell>
          <cell r="I112">
            <v>1040</v>
          </cell>
          <cell r="J112">
            <v>1040</v>
          </cell>
          <cell r="K112">
            <v>1040</v>
          </cell>
          <cell r="L112">
            <v>635</v>
          </cell>
          <cell r="M112">
            <v>405</v>
          </cell>
          <cell r="N112">
            <v>0</v>
          </cell>
          <cell r="O112">
            <v>7840</v>
          </cell>
          <cell r="P112">
            <v>7840</v>
          </cell>
          <cell r="Q112">
            <v>1944</v>
          </cell>
          <cell r="R112">
            <v>1944</v>
          </cell>
          <cell r="S112">
            <v>5896</v>
          </cell>
          <cell r="T112">
            <v>5896</v>
          </cell>
          <cell r="U112">
            <v>228</v>
          </cell>
          <cell r="V112">
            <v>226</v>
          </cell>
          <cell r="W112">
            <v>0</v>
          </cell>
          <cell r="X112">
            <v>2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4247</v>
          </cell>
          <cell r="AG112">
            <v>3124</v>
          </cell>
          <cell r="AH112">
            <v>937</v>
          </cell>
          <cell r="AI112">
            <v>8</v>
          </cell>
          <cell r="AJ112">
            <v>0</v>
          </cell>
          <cell r="AK112">
            <v>178</v>
          </cell>
          <cell r="AL112">
            <v>0</v>
          </cell>
          <cell r="AM112">
            <v>0</v>
          </cell>
          <cell r="AN112">
            <v>0</v>
          </cell>
          <cell r="AO112">
            <v>1421</v>
          </cell>
          <cell r="AP112">
            <v>65</v>
          </cell>
          <cell r="AQ112">
            <v>0</v>
          </cell>
          <cell r="AR112">
            <v>510</v>
          </cell>
          <cell r="AS112">
            <v>0</v>
          </cell>
          <cell r="AT112">
            <v>470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376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937.09</v>
          </cell>
          <cell r="BK112">
            <v>0</v>
          </cell>
          <cell r="BL112">
            <v>937.09</v>
          </cell>
        </row>
        <row r="113">
          <cell r="B113" t="str">
            <v>LMIXSOL2</v>
          </cell>
          <cell r="C113">
            <v>25920</v>
          </cell>
          <cell r="D113">
            <v>16740</v>
          </cell>
          <cell r="E113">
            <v>20310</v>
          </cell>
          <cell r="F113">
            <v>11130</v>
          </cell>
          <cell r="G113">
            <v>5610</v>
          </cell>
          <cell r="H113">
            <v>5610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5610</v>
          </cell>
          <cell r="P113">
            <v>5610</v>
          </cell>
          <cell r="Q113">
            <v>1852</v>
          </cell>
          <cell r="R113">
            <v>1852</v>
          </cell>
          <cell r="S113">
            <v>3758</v>
          </cell>
          <cell r="T113">
            <v>3758</v>
          </cell>
          <cell r="U113">
            <v>143</v>
          </cell>
          <cell r="V113">
            <v>143</v>
          </cell>
          <cell r="W113">
            <v>0</v>
          </cell>
          <cell r="X113">
            <v>0</v>
          </cell>
          <cell r="Y113">
            <v>0</v>
          </cell>
          <cell r="Z113">
            <v>355</v>
          </cell>
          <cell r="AA113">
            <v>105</v>
          </cell>
          <cell r="AB113">
            <v>0</v>
          </cell>
          <cell r="AC113">
            <v>0</v>
          </cell>
          <cell r="AD113">
            <v>250</v>
          </cell>
          <cell r="AE113">
            <v>0</v>
          </cell>
          <cell r="AF113">
            <v>2334</v>
          </cell>
          <cell r="AG113">
            <v>1955</v>
          </cell>
          <cell r="AH113">
            <v>270</v>
          </cell>
          <cell r="AI113">
            <v>8</v>
          </cell>
          <cell r="AJ113">
            <v>0</v>
          </cell>
          <cell r="AK113">
            <v>101</v>
          </cell>
          <cell r="AL113">
            <v>0</v>
          </cell>
          <cell r="AM113">
            <v>0</v>
          </cell>
          <cell r="AN113">
            <v>0</v>
          </cell>
          <cell r="AO113">
            <v>926</v>
          </cell>
          <cell r="AP113">
            <v>16</v>
          </cell>
          <cell r="AQ113">
            <v>0</v>
          </cell>
          <cell r="AR113">
            <v>292</v>
          </cell>
          <cell r="AS113">
            <v>0</v>
          </cell>
          <cell r="AT113">
            <v>285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9</v>
          </cell>
          <cell r="AZ113">
            <v>0</v>
          </cell>
          <cell r="BA113">
            <v>294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30</v>
          </cell>
          <cell r="BJ113">
            <v>1715.51</v>
          </cell>
          <cell r="BK113">
            <v>0</v>
          </cell>
          <cell r="BL113">
            <v>1715.51</v>
          </cell>
        </row>
        <row r="114">
          <cell r="B114" t="str">
            <v>NBL SOL-COATING</v>
          </cell>
          <cell r="C114">
            <v>53280</v>
          </cell>
          <cell r="D114">
            <v>17760</v>
          </cell>
          <cell r="E114">
            <v>43380</v>
          </cell>
          <cell r="F114">
            <v>7860</v>
          </cell>
          <cell r="G114">
            <v>9900</v>
          </cell>
          <cell r="H114">
            <v>9900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9900</v>
          </cell>
          <cell r="P114">
            <v>9900</v>
          </cell>
          <cell r="Q114">
            <v>4102</v>
          </cell>
          <cell r="R114">
            <v>4102</v>
          </cell>
          <cell r="S114">
            <v>5798</v>
          </cell>
          <cell r="T114">
            <v>5798</v>
          </cell>
          <cell r="U114">
            <v>338</v>
          </cell>
          <cell r="V114">
            <v>240</v>
          </cell>
          <cell r="W114">
            <v>0</v>
          </cell>
          <cell r="X114">
            <v>98</v>
          </cell>
          <cell r="Y114">
            <v>0</v>
          </cell>
          <cell r="Z114">
            <v>118</v>
          </cell>
          <cell r="AA114">
            <v>118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3647</v>
          </cell>
          <cell r="AG114">
            <v>1005</v>
          </cell>
          <cell r="AH114">
            <v>2395</v>
          </cell>
          <cell r="AI114">
            <v>0</v>
          </cell>
          <cell r="AJ114">
            <v>0</v>
          </cell>
          <cell r="AK114">
            <v>247</v>
          </cell>
          <cell r="AL114">
            <v>0</v>
          </cell>
          <cell r="AM114">
            <v>0</v>
          </cell>
          <cell r="AN114">
            <v>0</v>
          </cell>
          <cell r="AO114">
            <v>1695</v>
          </cell>
          <cell r="AP114">
            <v>0</v>
          </cell>
          <cell r="AQ114">
            <v>0</v>
          </cell>
          <cell r="AR114">
            <v>540</v>
          </cell>
          <cell r="AS114">
            <v>0</v>
          </cell>
          <cell r="AT114">
            <v>590</v>
          </cell>
          <cell r="AU114">
            <v>20</v>
          </cell>
          <cell r="AV114">
            <v>0</v>
          </cell>
          <cell r="AW114">
            <v>0</v>
          </cell>
          <cell r="AX114">
            <v>225</v>
          </cell>
          <cell r="AY114">
            <v>240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80</v>
          </cell>
          <cell r="BG114">
            <v>0</v>
          </cell>
          <cell r="BH114">
            <v>0</v>
          </cell>
          <cell r="BI114">
            <v>0</v>
          </cell>
          <cell r="BJ114">
            <v>2002.18</v>
          </cell>
          <cell r="BK114">
            <v>0.28999999999999998</v>
          </cell>
          <cell r="BL114">
            <v>2001.89</v>
          </cell>
        </row>
        <row r="115">
          <cell r="B115" t="str">
            <v>COT101</v>
          </cell>
          <cell r="C115">
            <v>27360</v>
          </cell>
          <cell r="D115">
            <v>9120</v>
          </cell>
          <cell r="E115">
            <v>24420</v>
          </cell>
          <cell r="F115">
            <v>6180</v>
          </cell>
          <cell r="G115">
            <v>2940</v>
          </cell>
          <cell r="H115">
            <v>2940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2940</v>
          </cell>
          <cell r="P115">
            <v>2940</v>
          </cell>
          <cell r="Q115">
            <v>1095</v>
          </cell>
          <cell r="R115">
            <v>1095</v>
          </cell>
          <cell r="S115">
            <v>1845</v>
          </cell>
          <cell r="T115">
            <v>1845</v>
          </cell>
          <cell r="U115">
            <v>105</v>
          </cell>
          <cell r="V115">
            <v>65</v>
          </cell>
          <cell r="W115">
            <v>0</v>
          </cell>
          <cell r="X115">
            <v>40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1190</v>
          </cell>
          <cell r="AG115">
            <v>290</v>
          </cell>
          <cell r="AH115">
            <v>785</v>
          </cell>
          <cell r="AI115">
            <v>0</v>
          </cell>
          <cell r="AJ115">
            <v>0</v>
          </cell>
          <cell r="AK115">
            <v>115</v>
          </cell>
          <cell r="AL115">
            <v>0</v>
          </cell>
          <cell r="AM115">
            <v>0</v>
          </cell>
          <cell r="AN115">
            <v>0</v>
          </cell>
          <cell r="AO115">
            <v>550</v>
          </cell>
          <cell r="AP115">
            <v>0</v>
          </cell>
          <cell r="AQ115">
            <v>0</v>
          </cell>
          <cell r="AR115">
            <v>150</v>
          </cell>
          <cell r="AS115">
            <v>0</v>
          </cell>
          <cell r="AT115">
            <v>125</v>
          </cell>
          <cell r="AU115">
            <v>20</v>
          </cell>
          <cell r="AV115">
            <v>0</v>
          </cell>
          <cell r="AW115">
            <v>0</v>
          </cell>
          <cell r="AX115">
            <v>160</v>
          </cell>
          <cell r="AY115">
            <v>60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35</v>
          </cell>
          <cell r="BG115">
            <v>0</v>
          </cell>
          <cell r="BH115">
            <v>0</v>
          </cell>
          <cell r="BI115">
            <v>0</v>
          </cell>
          <cell r="BJ115">
            <v>276.49</v>
          </cell>
          <cell r="BK115">
            <v>0.11</v>
          </cell>
          <cell r="BL115">
            <v>276.38</v>
          </cell>
        </row>
        <row r="116">
          <cell r="B116" t="str">
            <v>COT102</v>
          </cell>
          <cell r="C116">
            <v>25920</v>
          </cell>
          <cell r="D116">
            <v>8640</v>
          </cell>
          <cell r="E116">
            <v>18960</v>
          </cell>
          <cell r="F116">
            <v>1680</v>
          </cell>
          <cell r="G116">
            <v>6960</v>
          </cell>
          <cell r="H116">
            <v>6960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6960</v>
          </cell>
          <cell r="P116">
            <v>6960</v>
          </cell>
          <cell r="Q116">
            <v>3007</v>
          </cell>
          <cell r="R116">
            <v>3007</v>
          </cell>
          <cell r="S116">
            <v>3953</v>
          </cell>
          <cell r="T116">
            <v>3953</v>
          </cell>
          <cell r="U116">
            <v>233</v>
          </cell>
          <cell r="V116">
            <v>175</v>
          </cell>
          <cell r="W116">
            <v>0</v>
          </cell>
          <cell r="X116">
            <v>58</v>
          </cell>
          <cell r="Y116">
            <v>0</v>
          </cell>
          <cell r="Z116">
            <v>118</v>
          </cell>
          <cell r="AA116">
            <v>118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2457</v>
          </cell>
          <cell r="AG116">
            <v>715</v>
          </cell>
          <cell r="AH116">
            <v>1610</v>
          </cell>
          <cell r="AI116">
            <v>0</v>
          </cell>
          <cell r="AJ116">
            <v>0</v>
          </cell>
          <cell r="AK116">
            <v>132</v>
          </cell>
          <cell r="AL116">
            <v>0</v>
          </cell>
          <cell r="AM116">
            <v>0</v>
          </cell>
          <cell r="AN116">
            <v>0</v>
          </cell>
          <cell r="AO116">
            <v>1145</v>
          </cell>
          <cell r="AP116">
            <v>0</v>
          </cell>
          <cell r="AQ116">
            <v>0</v>
          </cell>
          <cell r="AR116">
            <v>390</v>
          </cell>
          <cell r="AS116">
            <v>0</v>
          </cell>
          <cell r="AT116">
            <v>465</v>
          </cell>
          <cell r="AU116">
            <v>0</v>
          </cell>
          <cell r="AV116">
            <v>0</v>
          </cell>
          <cell r="AW116">
            <v>0</v>
          </cell>
          <cell r="AX116">
            <v>65</v>
          </cell>
          <cell r="AY116">
            <v>180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45</v>
          </cell>
          <cell r="BG116">
            <v>0</v>
          </cell>
          <cell r="BH116">
            <v>0</v>
          </cell>
          <cell r="BI116">
            <v>0</v>
          </cell>
          <cell r="BJ116">
            <v>1725.69</v>
          </cell>
          <cell r="BK116">
            <v>0.18</v>
          </cell>
          <cell r="BL116">
            <v>1725.51</v>
          </cell>
        </row>
        <row r="117">
          <cell r="B117" t="str">
            <v>NBL SOL-TABLETING</v>
          </cell>
          <cell r="C117">
            <v>79200</v>
          </cell>
          <cell r="D117">
            <v>43050</v>
          </cell>
          <cell r="E117">
            <v>43110</v>
          </cell>
          <cell r="F117">
            <v>6960</v>
          </cell>
          <cell r="G117">
            <v>36090</v>
          </cell>
          <cell r="H117">
            <v>36090</v>
          </cell>
          <cell r="I117">
            <v>1730</v>
          </cell>
          <cell r="J117">
            <v>1730</v>
          </cell>
          <cell r="K117">
            <v>1730</v>
          </cell>
          <cell r="L117">
            <v>30</v>
          </cell>
          <cell r="M117">
            <v>1700</v>
          </cell>
          <cell r="N117">
            <v>0</v>
          </cell>
          <cell r="O117">
            <v>34360</v>
          </cell>
          <cell r="P117">
            <v>34360</v>
          </cell>
          <cell r="Q117">
            <v>12970</v>
          </cell>
          <cell r="R117">
            <v>12970</v>
          </cell>
          <cell r="S117">
            <v>21390</v>
          </cell>
          <cell r="T117">
            <v>21390</v>
          </cell>
          <cell r="U117">
            <v>2582</v>
          </cell>
          <cell r="V117">
            <v>2185</v>
          </cell>
          <cell r="W117">
            <v>0</v>
          </cell>
          <cell r="X117">
            <v>50</v>
          </cell>
          <cell r="Y117">
            <v>347</v>
          </cell>
          <cell r="Z117">
            <v>480</v>
          </cell>
          <cell r="AA117">
            <v>480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5005</v>
          </cell>
          <cell r="AG117">
            <v>1005</v>
          </cell>
          <cell r="AH117">
            <v>3005</v>
          </cell>
          <cell r="AI117">
            <v>260</v>
          </cell>
          <cell r="AJ117">
            <v>0</v>
          </cell>
          <cell r="AK117">
            <v>735</v>
          </cell>
          <cell r="AL117">
            <v>2698</v>
          </cell>
          <cell r="AM117">
            <v>290</v>
          </cell>
          <cell r="AN117">
            <v>2408</v>
          </cell>
          <cell r="AO117">
            <v>10625</v>
          </cell>
          <cell r="AP117">
            <v>0</v>
          </cell>
          <cell r="AQ117">
            <v>0</v>
          </cell>
          <cell r="AR117">
            <v>1805</v>
          </cell>
          <cell r="AS117">
            <v>0</v>
          </cell>
          <cell r="AT117">
            <v>1735</v>
          </cell>
          <cell r="AU117">
            <v>895</v>
          </cell>
          <cell r="AV117">
            <v>20</v>
          </cell>
          <cell r="AW117">
            <v>0</v>
          </cell>
          <cell r="AX117">
            <v>1305</v>
          </cell>
          <cell r="AY117">
            <v>725</v>
          </cell>
          <cell r="AZ117">
            <v>0</v>
          </cell>
          <cell r="BA117">
            <v>0</v>
          </cell>
          <cell r="BB117">
            <v>0</v>
          </cell>
          <cell r="BC117">
            <v>150</v>
          </cell>
          <cell r="BD117">
            <v>0</v>
          </cell>
          <cell r="BE117">
            <v>0</v>
          </cell>
          <cell r="BF117">
            <v>2950</v>
          </cell>
          <cell r="BG117">
            <v>895</v>
          </cell>
          <cell r="BH117">
            <v>0</v>
          </cell>
          <cell r="BI117">
            <v>145</v>
          </cell>
          <cell r="BJ117">
            <v>10272127</v>
          </cell>
          <cell r="BK117">
            <v>7336</v>
          </cell>
          <cell r="BL117">
            <v>10264791</v>
          </cell>
        </row>
        <row r="118">
          <cell r="B118" t="str">
            <v>TAB101</v>
          </cell>
          <cell r="C118">
            <v>27360</v>
          </cell>
          <cell r="D118">
            <v>17670</v>
          </cell>
          <cell r="E118">
            <v>10890</v>
          </cell>
          <cell r="F118">
            <v>1200</v>
          </cell>
          <cell r="G118">
            <v>16470</v>
          </cell>
          <cell r="H118">
            <v>16470</v>
          </cell>
          <cell r="I118">
            <v>575</v>
          </cell>
          <cell r="J118">
            <v>575</v>
          </cell>
          <cell r="K118">
            <v>575</v>
          </cell>
          <cell r="L118">
            <v>0</v>
          </cell>
          <cell r="M118">
            <v>575</v>
          </cell>
          <cell r="N118">
            <v>0</v>
          </cell>
          <cell r="O118">
            <v>15895</v>
          </cell>
          <cell r="P118">
            <v>15895</v>
          </cell>
          <cell r="Q118">
            <v>6180</v>
          </cell>
          <cell r="R118">
            <v>6180</v>
          </cell>
          <cell r="S118">
            <v>9715</v>
          </cell>
          <cell r="T118">
            <v>9715</v>
          </cell>
          <cell r="U118">
            <v>840</v>
          </cell>
          <cell r="V118">
            <v>810</v>
          </cell>
          <cell r="W118">
            <v>0</v>
          </cell>
          <cell r="X118">
            <v>0</v>
          </cell>
          <cell r="Y118">
            <v>30</v>
          </cell>
          <cell r="Z118">
            <v>125</v>
          </cell>
          <cell r="AA118">
            <v>125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2245</v>
          </cell>
          <cell r="AG118">
            <v>440</v>
          </cell>
          <cell r="AH118">
            <v>1375</v>
          </cell>
          <cell r="AI118">
            <v>125</v>
          </cell>
          <cell r="AJ118">
            <v>0</v>
          </cell>
          <cell r="AK118">
            <v>305</v>
          </cell>
          <cell r="AL118">
            <v>2510</v>
          </cell>
          <cell r="AM118">
            <v>290</v>
          </cell>
          <cell r="AN118">
            <v>2220</v>
          </cell>
          <cell r="AO118">
            <v>3995</v>
          </cell>
          <cell r="AP118">
            <v>0</v>
          </cell>
          <cell r="AQ118">
            <v>0</v>
          </cell>
          <cell r="AR118">
            <v>755</v>
          </cell>
          <cell r="AS118">
            <v>0</v>
          </cell>
          <cell r="AT118">
            <v>655</v>
          </cell>
          <cell r="AU118">
            <v>615</v>
          </cell>
          <cell r="AV118">
            <v>20</v>
          </cell>
          <cell r="AW118">
            <v>0</v>
          </cell>
          <cell r="AX118">
            <v>355</v>
          </cell>
          <cell r="AY118">
            <v>350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1100</v>
          </cell>
          <cell r="BG118">
            <v>0</v>
          </cell>
          <cell r="BH118">
            <v>0</v>
          </cell>
          <cell r="BI118">
            <v>145</v>
          </cell>
          <cell r="BJ118">
            <v>6107160</v>
          </cell>
          <cell r="BK118">
            <v>6776</v>
          </cell>
          <cell r="BL118">
            <v>6100384</v>
          </cell>
        </row>
        <row r="119">
          <cell r="B119" t="str">
            <v>TAB105</v>
          </cell>
          <cell r="C119">
            <v>25920</v>
          </cell>
          <cell r="D119">
            <v>16740</v>
          </cell>
          <cell r="E119">
            <v>10080</v>
          </cell>
          <cell r="F119">
            <v>900</v>
          </cell>
          <cell r="G119">
            <v>15840</v>
          </cell>
          <cell r="H119">
            <v>15840</v>
          </cell>
          <cell r="I119">
            <v>90</v>
          </cell>
          <cell r="J119">
            <v>90</v>
          </cell>
          <cell r="K119">
            <v>90</v>
          </cell>
          <cell r="L119">
            <v>30</v>
          </cell>
          <cell r="M119">
            <v>60</v>
          </cell>
          <cell r="N119">
            <v>0</v>
          </cell>
          <cell r="O119">
            <v>15750</v>
          </cell>
          <cell r="P119">
            <v>15750</v>
          </cell>
          <cell r="Q119">
            <v>6155</v>
          </cell>
          <cell r="R119">
            <v>6155</v>
          </cell>
          <cell r="S119">
            <v>9595</v>
          </cell>
          <cell r="T119">
            <v>9595</v>
          </cell>
          <cell r="U119">
            <v>1397</v>
          </cell>
          <cell r="V119">
            <v>1080</v>
          </cell>
          <cell r="W119">
            <v>0</v>
          </cell>
          <cell r="X119">
            <v>50</v>
          </cell>
          <cell r="Y119">
            <v>267</v>
          </cell>
          <cell r="Z119">
            <v>295</v>
          </cell>
          <cell r="AA119">
            <v>295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2320</v>
          </cell>
          <cell r="AG119">
            <v>525</v>
          </cell>
          <cell r="AH119">
            <v>1360</v>
          </cell>
          <cell r="AI119">
            <v>135</v>
          </cell>
          <cell r="AJ119">
            <v>0</v>
          </cell>
          <cell r="AK119">
            <v>300</v>
          </cell>
          <cell r="AL119">
            <v>98</v>
          </cell>
          <cell r="AM119">
            <v>0</v>
          </cell>
          <cell r="AN119">
            <v>98</v>
          </cell>
          <cell r="AO119">
            <v>5485</v>
          </cell>
          <cell r="AP119">
            <v>0</v>
          </cell>
          <cell r="AQ119">
            <v>0</v>
          </cell>
          <cell r="AR119">
            <v>930</v>
          </cell>
          <cell r="AS119">
            <v>0</v>
          </cell>
          <cell r="AT119">
            <v>960</v>
          </cell>
          <cell r="AU119">
            <v>0</v>
          </cell>
          <cell r="AV119">
            <v>0</v>
          </cell>
          <cell r="AW119">
            <v>0</v>
          </cell>
          <cell r="AX119">
            <v>695</v>
          </cell>
          <cell r="AY119">
            <v>305</v>
          </cell>
          <cell r="AZ119">
            <v>0</v>
          </cell>
          <cell r="BA119">
            <v>0</v>
          </cell>
          <cell r="BB119">
            <v>0</v>
          </cell>
          <cell r="BC119">
            <v>150</v>
          </cell>
          <cell r="BD119">
            <v>0</v>
          </cell>
          <cell r="BE119">
            <v>0</v>
          </cell>
          <cell r="BF119">
            <v>1600</v>
          </cell>
          <cell r="BG119">
            <v>845</v>
          </cell>
          <cell r="BH119">
            <v>0</v>
          </cell>
          <cell r="BI119">
            <v>0</v>
          </cell>
          <cell r="BJ119">
            <v>3662863</v>
          </cell>
          <cell r="BK119">
            <v>560</v>
          </cell>
          <cell r="BL119">
            <v>3662303</v>
          </cell>
        </row>
        <row r="120">
          <cell r="B120" t="str">
            <v>TAB103</v>
          </cell>
          <cell r="C120">
            <v>25920</v>
          </cell>
          <cell r="D120">
            <v>8640</v>
          </cell>
          <cell r="E120">
            <v>22140</v>
          </cell>
          <cell r="F120">
            <v>4860</v>
          </cell>
          <cell r="G120">
            <v>3780</v>
          </cell>
          <cell r="H120">
            <v>3780</v>
          </cell>
          <cell r="I120">
            <v>1065</v>
          </cell>
          <cell r="J120">
            <v>1065</v>
          </cell>
          <cell r="K120">
            <v>1065</v>
          </cell>
          <cell r="L120">
            <v>0</v>
          </cell>
          <cell r="M120">
            <v>1065</v>
          </cell>
          <cell r="N120">
            <v>0</v>
          </cell>
          <cell r="O120">
            <v>2715</v>
          </cell>
          <cell r="P120">
            <v>2715</v>
          </cell>
          <cell r="Q120">
            <v>635</v>
          </cell>
          <cell r="R120">
            <v>635</v>
          </cell>
          <cell r="S120">
            <v>2080</v>
          </cell>
          <cell r="T120">
            <v>2080</v>
          </cell>
          <cell r="U120">
            <v>345</v>
          </cell>
          <cell r="V120">
            <v>295</v>
          </cell>
          <cell r="W120">
            <v>0</v>
          </cell>
          <cell r="X120">
            <v>0</v>
          </cell>
          <cell r="Y120">
            <v>50</v>
          </cell>
          <cell r="Z120">
            <v>60</v>
          </cell>
          <cell r="AA120">
            <v>60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440</v>
          </cell>
          <cell r="AG120">
            <v>40</v>
          </cell>
          <cell r="AH120">
            <v>270</v>
          </cell>
          <cell r="AI120">
            <v>0</v>
          </cell>
          <cell r="AJ120">
            <v>0</v>
          </cell>
          <cell r="AK120">
            <v>130</v>
          </cell>
          <cell r="AL120">
            <v>90</v>
          </cell>
          <cell r="AM120">
            <v>0</v>
          </cell>
          <cell r="AN120">
            <v>90</v>
          </cell>
          <cell r="AO120">
            <v>1145</v>
          </cell>
          <cell r="AP120">
            <v>0</v>
          </cell>
          <cell r="AQ120">
            <v>0</v>
          </cell>
          <cell r="AR120">
            <v>120</v>
          </cell>
          <cell r="AS120">
            <v>0</v>
          </cell>
          <cell r="AT120">
            <v>120</v>
          </cell>
          <cell r="AU120">
            <v>280</v>
          </cell>
          <cell r="AV120">
            <v>0</v>
          </cell>
          <cell r="AW120">
            <v>0</v>
          </cell>
          <cell r="AX120">
            <v>255</v>
          </cell>
          <cell r="AY120">
            <v>70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250</v>
          </cell>
          <cell r="BG120">
            <v>50</v>
          </cell>
          <cell r="BH120">
            <v>0</v>
          </cell>
          <cell r="BI120">
            <v>0</v>
          </cell>
          <cell r="BJ120">
            <v>502104</v>
          </cell>
          <cell r="BK120">
            <v>0</v>
          </cell>
          <cell r="BL120">
            <v>502104</v>
          </cell>
        </row>
        <row r="121">
          <cell r="B121" t="str">
            <v>NBL SOL-CAPSULE</v>
          </cell>
          <cell r="C121">
            <v>51840</v>
          </cell>
          <cell r="D121">
            <v>17280</v>
          </cell>
          <cell r="E121">
            <v>44280</v>
          </cell>
          <cell r="F121">
            <v>9720</v>
          </cell>
          <cell r="G121">
            <v>7560</v>
          </cell>
          <cell r="H121">
            <v>7560</v>
          </cell>
          <cell r="I121">
            <v>580</v>
          </cell>
          <cell r="J121">
            <v>580</v>
          </cell>
          <cell r="K121">
            <v>580</v>
          </cell>
          <cell r="L121">
            <v>0</v>
          </cell>
          <cell r="M121">
            <v>580</v>
          </cell>
          <cell r="N121">
            <v>0</v>
          </cell>
          <cell r="O121">
            <v>6980</v>
          </cell>
          <cell r="P121">
            <v>6980</v>
          </cell>
          <cell r="Q121">
            <v>2495</v>
          </cell>
          <cell r="R121">
            <v>2495</v>
          </cell>
          <cell r="S121">
            <v>4485</v>
          </cell>
          <cell r="T121">
            <v>4485</v>
          </cell>
          <cell r="U121">
            <v>385</v>
          </cell>
          <cell r="V121">
            <v>270</v>
          </cell>
          <cell r="W121">
            <v>0</v>
          </cell>
          <cell r="X121">
            <v>60</v>
          </cell>
          <cell r="Y121">
            <v>55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795</v>
          </cell>
          <cell r="AG121">
            <v>315</v>
          </cell>
          <cell r="AH121">
            <v>295</v>
          </cell>
          <cell r="AI121">
            <v>135</v>
          </cell>
          <cell r="AJ121">
            <v>0</v>
          </cell>
          <cell r="AK121">
            <v>50</v>
          </cell>
          <cell r="AL121">
            <v>460</v>
          </cell>
          <cell r="AM121">
            <v>460</v>
          </cell>
          <cell r="AN121">
            <v>0</v>
          </cell>
          <cell r="AO121">
            <v>2845</v>
          </cell>
          <cell r="AP121">
            <v>0</v>
          </cell>
          <cell r="AQ121">
            <v>0</v>
          </cell>
          <cell r="AR121">
            <v>300</v>
          </cell>
          <cell r="AS121">
            <v>15</v>
          </cell>
          <cell r="AT121">
            <v>320</v>
          </cell>
          <cell r="AU121">
            <v>450</v>
          </cell>
          <cell r="AV121">
            <v>0</v>
          </cell>
          <cell r="AW121">
            <v>0</v>
          </cell>
          <cell r="AX121">
            <v>1510</v>
          </cell>
          <cell r="AY121">
            <v>80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170</v>
          </cell>
          <cell r="BG121">
            <v>0</v>
          </cell>
          <cell r="BH121">
            <v>0</v>
          </cell>
          <cell r="BI121">
            <v>0</v>
          </cell>
          <cell r="BJ121">
            <v>957292</v>
          </cell>
          <cell r="BK121">
            <v>2151</v>
          </cell>
          <cell r="BL121">
            <v>955141</v>
          </cell>
        </row>
        <row r="122">
          <cell r="B122" t="str">
            <v>KAP101</v>
          </cell>
          <cell r="C122">
            <v>25920</v>
          </cell>
          <cell r="D122">
            <v>8640</v>
          </cell>
          <cell r="E122">
            <v>20760</v>
          </cell>
          <cell r="F122">
            <v>3480</v>
          </cell>
          <cell r="G122">
            <v>5160</v>
          </cell>
          <cell r="H122">
            <v>5160</v>
          </cell>
          <cell r="I122">
            <v>370</v>
          </cell>
          <cell r="J122">
            <v>370</v>
          </cell>
          <cell r="K122">
            <v>370</v>
          </cell>
          <cell r="L122">
            <v>0</v>
          </cell>
          <cell r="M122">
            <v>370</v>
          </cell>
          <cell r="N122">
            <v>0</v>
          </cell>
          <cell r="O122">
            <v>4790</v>
          </cell>
          <cell r="P122">
            <v>4790</v>
          </cell>
          <cell r="Q122">
            <v>2115</v>
          </cell>
          <cell r="R122">
            <v>2115</v>
          </cell>
          <cell r="S122">
            <v>2675</v>
          </cell>
          <cell r="T122">
            <v>2675</v>
          </cell>
          <cell r="U122">
            <v>330</v>
          </cell>
          <cell r="V122">
            <v>215</v>
          </cell>
          <cell r="W122">
            <v>0</v>
          </cell>
          <cell r="X122">
            <v>60</v>
          </cell>
          <cell r="Y122">
            <v>55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640</v>
          </cell>
          <cell r="AG122">
            <v>270</v>
          </cell>
          <cell r="AH122">
            <v>245</v>
          </cell>
          <cell r="AI122">
            <v>105</v>
          </cell>
          <cell r="AJ122">
            <v>0</v>
          </cell>
          <cell r="AK122">
            <v>20</v>
          </cell>
          <cell r="AL122">
            <v>460</v>
          </cell>
          <cell r="AM122">
            <v>460</v>
          </cell>
          <cell r="AN122">
            <v>0</v>
          </cell>
          <cell r="AO122">
            <v>1245</v>
          </cell>
          <cell r="AP122">
            <v>0</v>
          </cell>
          <cell r="AQ122">
            <v>0</v>
          </cell>
          <cell r="AR122">
            <v>240</v>
          </cell>
          <cell r="AS122">
            <v>15</v>
          </cell>
          <cell r="AT122">
            <v>290</v>
          </cell>
          <cell r="AU122">
            <v>450</v>
          </cell>
          <cell r="AV122">
            <v>0</v>
          </cell>
          <cell r="AW122">
            <v>0</v>
          </cell>
          <cell r="AX122">
            <v>0</v>
          </cell>
          <cell r="AY122">
            <v>80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170</v>
          </cell>
          <cell r="BG122">
            <v>0</v>
          </cell>
          <cell r="BH122">
            <v>0</v>
          </cell>
          <cell r="BI122">
            <v>0</v>
          </cell>
          <cell r="BJ122">
            <v>486354</v>
          </cell>
          <cell r="BK122">
            <v>2151</v>
          </cell>
          <cell r="BL122">
            <v>484203</v>
          </cell>
        </row>
        <row r="123">
          <cell r="B123" t="str">
            <v>KAP103</v>
          </cell>
          <cell r="C123">
            <v>25920</v>
          </cell>
          <cell r="D123">
            <v>8640</v>
          </cell>
          <cell r="E123">
            <v>23520</v>
          </cell>
          <cell r="F123">
            <v>6240</v>
          </cell>
          <cell r="G123">
            <v>2400</v>
          </cell>
          <cell r="H123">
            <v>2400</v>
          </cell>
          <cell r="I123">
            <v>210</v>
          </cell>
          <cell r="J123">
            <v>210</v>
          </cell>
          <cell r="K123">
            <v>210</v>
          </cell>
          <cell r="L123">
            <v>0</v>
          </cell>
          <cell r="M123">
            <v>210</v>
          </cell>
          <cell r="N123">
            <v>0</v>
          </cell>
          <cell r="O123">
            <v>2190</v>
          </cell>
          <cell r="P123">
            <v>2190</v>
          </cell>
          <cell r="Q123">
            <v>380</v>
          </cell>
          <cell r="R123">
            <v>380</v>
          </cell>
          <cell r="S123">
            <v>1810</v>
          </cell>
          <cell r="T123">
            <v>1810</v>
          </cell>
          <cell r="U123">
            <v>55</v>
          </cell>
          <cell r="V123">
            <v>55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155</v>
          </cell>
          <cell r="AG123">
            <v>45</v>
          </cell>
          <cell r="AH123">
            <v>50</v>
          </cell>
          <cell r="AI123">
            <v>30</v>
          </cell>
          <cell r="AJ123">
            <v>0</v>
          </cell>
          <cell r="AK123">
            <v>30</v>
          </cell>
          <cell r="AL123">
            <v>0</v>
          </cell>
          <cell r="AM123">
            <v>0</v>
          </cell>
          <cell r="AN123">
            <v>0</v>
          </cell>
          <cell r="AO123">
            <v>1600</v>
          </cell>
          <cell r="AP123">
            <v>0</v>
          </cell>
          <cell r="AQ123">
            <v>0</v>
          </cell>
          <cell r="AR123">
            <v>60</v>
          </cell>
          <cell r="AS123">
            <v>0</v>
          </cell>
          <cell r="AT123">
            <v>30</v>
          </cell>
          <cell r="AU123">
            <v>0</v>
          </cell>
          <cell r="AV123">
            <v>0</v>
          </cell>
          <cell r="AW123">
            <v>0</v>
          </cell>
          <cell r="AX123">
            <v>1510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470938</v>
          </cell>
          <cell r="BK123">
            <v>0</v>
          </cell>
          <cell r="BL123">
            <v>470938</v>
          </cell>
        </row>
        <row r="124">
          <cell r="B124" t="str">
            <v>NBL SOL-STRIPPING</v>
          </cell>
          <cell r="C124">
            <v>133920</v>
          </cell>
          <cell r="D124">
            <v>61290</v>
          </cell>
          <cell r="E124">
            <v>79710</v>
          </cell>
          <cell r="F124">
            <v>7080</v>
          </cell>
          <cell r="G124">
            <v>54210</v>
          </cell>
          <cell r="H124">
            <v>54210</v>
          </cell>
          <cell r="I124">
            <v>3025</v>
          </cell>
          <cell r="J124">
            <v>3025</v>
          </cell>
          <cell r="K124">
            <v>3025</v>
          </cell>
          <cell r="L124">
            <v>540</v>
          </cell>
          <cell r="M124">
            <v>2485</v>
          </cell>
          <cell r="N124">
            <v>0</v>
          </cell>
          <cell r="O124">
            <v>51185</v>
          </cell>
          <cell r="P124">
            <v>51185</v>
          </cell>
          <cell r="Q124">
            <v>18275</v>
          </cell>
          <cell r="R124">
            <v>18275</v>
          </cell>
          <cell r="S124">
            <v>32910</v>
          </cell>
          <cell r="T124">
            <v>32910</v>
          </cell>
          <cell r="U124">
            <v>7277</v>
          </cell>
          <cell r="V124">
            <v>4272</v>
          </cell>
          <cell r="W124">
            <v>0</v>
          </cell>
          <cell r="X124">
            <v>3005</v>
          </cell>
          <cell r="Y124">
            <v>0</v>
          </cell>
          <cell r="Z124">
            <v>375</v>
          </cell>
          <cell r="AA124">
            <v>285</v>
          </cell>
          <cell r="AB124">
            <v>90</v>
          </cell>
          <cell r="AC124">
            <v>0</v>
          </cell>
          <cell r="AD124">
            <v>0</v>
          </cell>
          <cell r="AE124">
            <v>0</v>
          </cell>
          <cell r="AF124">
            <v>13113</v>
          </cell>
          <cell r="AG124">
            <v>8005</v>
          </cell>
          <cell r="AH124">
            <v>1758</v>
          </cell>
          <cell r="AI124">
            <v>2475</v>
          </cell>
          <cell r="AJ124">
            <v>60</v>
          </cell>
          <cell r="AK124">
            <v>815</v>
          </cell>
          <cell r="AL124">
            <v>815</v>
          </cell>
          <cell r="AM124">
            <v>0</v>
          </cell>
          <cell r="AN124">
            <v>815</v>
          </cell>
          <cell r="AO124">
            <v>11330</v>
          </cell>
          <cell r="AP124">
            <v>75</v>
          </cell>
          <cell r="AQ124">
            <v>0</v>
          </cell>
          <cell r="AR124">
            <v>3150</v>
          </cell>
          <cell r="AS124">
            <v>0</v>
          </cell>
          <cell r="AT124">
            <v>2970</v>
          </cell>
          <cell r="AU124">
            <v>685</v>
          </cell>
          <cell r="AV124">
            <v>0</v>
          </cell>
          <cell r="AW124">
            <v>0</v>
          </cell>
          <cell r="AX124">
            <v>490</v>
          </cell>
          <cell r="AY124">
            <v>1790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1980</v>
          </cell>
          <cell r="BG124">
            <v>190</v>
          </cell>
          <cell r="BH124">
            <v>0</v>
          </cell>
          <cell r="BI124">
            <v>0</v>
          </cell>
          <cell r="BJ124">
            <v>10369900</v>
          </cell>
          <cell r="BK124">
            <v>51639</v>
          </cell>
          <cell r="BL124">
            <v>10318261</v>
          </cell>
        </row>
        <row r="125">
          <cell r="B125" t="str">
            <v>STR105</v>
          </cell>
          <cell r="C125">
            <v>25920</v>
          </cell>
          <cell r="D125">
            <v>8640</v>
          </cell>
          <cell r="E125">
            <v>16140</v>
          </cell>
          <cell r="F125">
            <v>-1140</v>
          </cell>
          <cell r="G125">
            <v>9780</v>
          </cell>
          <cell r="H125">
            <v>9780</v>
          </cell>
          <cell r="I125">
            <v>615</v>
          </cell>
          <cell r="J125">
            <v>615</v>
          </cell>
          <cell r="K125">
            <v>615</v>
          </cell>
          <cell r="L125">
            <v>0</v>
          </cell>
          <cell r="M125">
            <v>615</v>
          </cell>
          <cell r="N125">
            <v>0</v>
          </cell>
          <cell r="O125">
            <v>9165</v>
          </cell>
          <cell r="P125">
            <v>9165</v>
          </cell>
          <cell r="Q125">
            <v>3495</v>
          </cell>
          <cell r="R125">
            <v>3495</v>
          </cell>
          <cell r="S125">
            <v>5670</v>
          </cell>
          <cell r="T125">
            <v>5670</v>
          </cell>
          <cell r="U125">
            <v>1200</v>
          </cell>
          <cell r="V125">
            <v>640</v>
          </cell>
          <cell r="W125">
            <v>0</v>
          </cell>
          <cell r="X125">
            <v>560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2255</v>
          </cell>
          <cell r="AG125">
            <v>1275</v>
          </cell>
          <cell r="AH125">
            <v>305</v>
          </cell>
          <cell r="AI125">
            <v>525</v>
          </cell>
          <cell r="AJ125">
            <v>0</v>
          </cell>
          <cell r="AK125">
            <v>150</v>
          </cell>
          <cell r="AL125">
            <v>0</v>
          </cell>
          <cell r="AM125">
            <v>0</v>
          </cell>
          <cell r="AN125">
            <v>0</v>
          </cell>
          <cell r="AO125">
            <v>2215</v>
          </cell>
          <cell r="AP125">
            <v>0</v>
          </cell>
          <cell r="AQ125">
            <v>0</v>
          </cell>
          <cell r="AR125">
            <v>600</v>
          </cell>
          <cell r="AS125">
            <v>0</v>
          </cell>
          <cell r="AT125">
            <v>525</v>
          </cell>
          <cell r="AU125">
            <v>0</v>
          </cell>
          <cell r="AV125">
            <v>0</v>
          </cell>
          <cell r="AW125">
            <v>0</v>
          </cell>
          <cell r="AX125">
            <v>45</v>
          </cell>
          <cell r="AY125">
            <v>385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660</v>
          </cell>
          <cell r="BG125">
            <v>0</v>
          </cell>
          <cell r="BH125">
            <v>0</v>
          </cell>
          <cell r="BI125">
            <v>0</v>
          </cell>
          <cell r="BJ125">
            <v>1199021</v>
          </cell>
          <cell r="BK125">
            <v>11771</v>
          </cell>
          <cell r="BL125">
            <v>1187250</v>
          </cell>
        </row>
        <row r="126">
          <cell r="B126" t="str">
            <v>STR102</v>
          </cell>
          <cell r="C126">
            <v>25920</v>
          </cell>
          <cell r="D126">
            <v>16740</v>
          </cell>
          <cell r="E126">
            <v>12870</v>
          </cell>
          <cell r="F126">
            <v>3690</v>
          </cell>
          <cell r="G126">
            <v>13050</v>
          </cell>
          <cell r="H126">
            <v>13050</v>
          </cell>
          <cell r="I126">
            <v>480</v>
          </cell>
          <cell r="J126">
            <v>480</v>
          </cell>
          <cell r="K126">
            <v>480</v>
          </cell>
          <cell r="L126">
            <v>240</v>
          </cell>
          <cell r="M126">
            <v>240</v>
          </cell>
          <cell r="N126">
            <v>0</v>
          </cell>
          <cell r="O126">
            <v>12570</v>
          </cell>
          <cell r="P126">
            <v>12570</v>
          </cell>
          <cell r="Q126">
            <v>4185</v>
          </cell>
          <cell r="R126">
            <v>4185</v>
          </cell>
          <cell r="S126">
            <v>8385</v>
          </cell>
          <cell r="T126">
            <v>8385</v>
          </cell>
          <cell r="U126">
            <v>1827</v>
          </cell>
          <cell r="V126">
            <v>1172</v>
          </cell>
          <cell r="W126">
            <v>0</v>
          </cell>
          <cell r="X126">
            <v>655</v>
          </cell>
          <cell r="Y126">
            <v>0</v>
          </cell>
          <cell r="Z126">
            <v>60</v>
          </cell>
          <cell r="AA126">
            <v>50</v>
          </cell>
          <cell r="AB126">
            <v>10</v>
          </cell>
          <cell r="AC126">
            <v>0</v>
          </cell>
          <cell r="AD126">
            <v>0</v>
          </cell>
          <cell r="AE126">
            <v>0</v>
          </cell>
          <cell r="AF126">
            <v>3143</v>
          </cell>
          <cell r="AG126">
            <v>1585</v>
          </cell>
          <cell r="AH126">
            <v>713</v>
          </cell>
          <cell r="AI126">
            <v>560</v>
          </cell>
          <cell r="AJ126">
            <v>60</v>
          </cell>
          <cell r="AK126">
            <v>225</v>
          </cell>
          <cell r="AL126">
            <v>0</v>
          </cell>
          <cell r="AM126">
            <v>0</v>
          </cell>
          <cell r="AN126">
            <v>0</v>
          </cell>
          <cell r="AO126">
            <v>3355</v>
          </cell>
          <cell r="AP126">
            <v>0</v>
          </cell>
          <cell r="AQ126">
            <v>0</v>
          </cell>
          <cell r="AR126">
            <v>780</v>
          </cell>
          <cell r="AS126">
            <v>0</v>
          </cell>
          <cell r="AT126">
            <v>795</v>
          </cell>
          <cell r="AU126">
            <v>0</v>
          </cell>
          <cell r="AV126">
            <v>0</v>
          </cell>
          <cell r="AW126">
            <v>0</v>
          </cell>
          <cell r="AX126">
            <v>445</v>
          </cell>
          <cell r="AY126">
            <v>615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530</v>
          </cell>
          <cell r="BG126">
            <v>190</v>
          </cell>
          <cell r="BH126">
            <v>0</v>
          </cell>
          <cell r="BI126">
            <v>0</v>
          </cell>
          <cell r="BJ126">
            <v>4994674</v>
          </cell>
          <cell r="BK126">
            <v>23434</v>
          </cell>
          <cell r="BL126">
            <v>4971240</v>
          </cell>
        </row>
        <row r="127">
          <cell r="B127" t="str">
            <v>STR104</v>
          </cell>
          <cell r="C127">
            <v>27360</v>
          </cell>
          <cell r="D127">
            <v>9120</v>
          </cell>
          <cell r="E127">
            <v>19770</v>
          </cell>
          <cell r="F127">
            <v>1530</v>
          </cell>
          <cell r="G127">
            <v>7590</v>
          </cell>
          <cell r="H127">
            <v>7590</v>
          </cell>
          <cell r="I127">
            <v>640</v>
          </cell>
          <cell r="J127">
            <v>640</v>
          </cell>
          <cell r="K127">
            <v>640</v>
          </cell>
          <cell r="L127">
            <v>0</v>
          </cell>
          <cell r="M127">
            <v>640</v>
          </cell>
          <cell r="N127">
            <v>0</v>
          </cell>
          <cell r="O127">
            <v>6950</v>
          </cell>
          <cell r="P127">
            <v>6950</v>
          </cell>
          <cell r="Q127">
            <v>2920</v>
          </cell>
          <cell r="R127">
            <v>2920</v>
          </cell>
          <cell r="S127">
            <v>4030</v>
          </cell>
          <cell r="T127">
            <v>4030</v>
          </cell>
          <cell r="U127">
            <v>105</v>
          </cell>
          <cell r="V127">
            <v>105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2765</v>
          </cell>
          <cell r="AG127">
            <v>1995</v>
          </cell>
          <cell r="AH127">
            <v>260</v>
          </cell>
          <cell r="AI127">
            <v>375</v>
          </cell>
          <cell r="AJ127">
            <v>0</v>
          </cell>
          <cell r="AK127">
            <v>135</v>
          </cell>
          <cell r="AL127">
            <v>0</v>
          </cell>
          <cell r="AM127">
            <v>0</v>
          </cell>
          <cell r="AN127">
            <v>0</v>
          </cell>
          <cell r="AO127">
            <v>1160</v>
          </cell>
          <cell r="AP127">
            <v>75</v>
          </cell>
          <cell r="AQ127">
            <v>0</v>
          </cell>
          <cell r="AR127">
            <v>420</v>
          </cell>
          <cell r="AS127">
            <v>0</v>
          </cell>
          <cell r="AT127">
            <v>305</v>
          </cell>
          <cell r="AU127">
            <v>60</v>
          </cell>
          <cell r="AV127">
            <v>0</v>
          </cell>
          <cell r="AW127">
            <v>0</v>
          </cell>
          <cell r="AX127">
            <v>0</v>
          </cell>
          <cell r="AY127">
            <v>195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105</v>
          </cell>
          <cell r="BG127">
            <v>0</v>
          </cell>
          <cell r="BH127">
            <v>0</v>
          </cell>
          <cell r="BI127">
            <v>0</v>
          </cell>
          <cell r="BJ127">
            <v>23308</v>
          </cell>
          <cell r="BK127">
            <v>107</v>
          </cell>
          <cell r="BL127">
            <v>23201</v>
          </cell>
        </row>
        <row r="128">
          <cell r="B128" t="str">
            <v>STR103</v>
          </cell>
          <cell r="C128">
            <v>27360</v>
          </cell>
          <cell r="D128">
            <v>9120</v>
          </cell>
          <cell r="E128">
            <v>18060</v>
          </cell>
          <cell r="F128">
            <v>-180</v>
          </cell>
          <cell r="G128">
            <v>9300</v>
          </cell>
          <cell r="H128">
            <v>9300</v>
          </cell>
          <cell r="I128">
            <v>660</v>
          </cell>
          <cell r="J128">
            <v>660</v>
          </cell>
          <cell r="K128">
            <v>660</v>
          </cell>
          <cell r="L128">
            <v>300</v>
          </cell>
          <cell r="M128">
            <v>360</v>
          </cell>
          <cell r="N128">
            <v>0</v>
          </cell>
          <cell r="O128">
            <v>8640</v>
          </cell>
          <cell r="P128">
            <v>8640</v>
          </cell>
          <cell r="Q128">
            <v>2820</v>
          </cell>
          <cell r="R128">
            <v>2820</v>
          </cell>
          <cell r="S128">
            <v>5820</v>
          </cell>
          <cell r="T128">
            <v>5820</v>
          </cell>
          <cell r="U128">
            <v>2095</v>
          </cell>
          <cell r="V128">
            <v>1515</v>
          </cell>
          <cell r="W128">
            <v>0</v>
          </cell>
          <cell r="X128">
            <v>580</v>
          </cell>
          <cell r="Y128">
            <v>0</v>
          </cell>
          <cell r="Z128">
            <v>35</v>
          </cell>
          <cell r="AA128">
            <v>35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1830</v>
          </cell>
          <cell r="AG128">
            <v>1205</v>
          </cell>
          <cell r="AH128">
            <v>110</v>
          </cell>
          <cell r="AI128">
            <v>390</v>
          </cell>
          <cell r="AJ128">
            <v>0</v>
          </cell>
          <cell r="AK128">
            <v>125</v>
          </cell>
          <cell r="AL128">
            <v>0</v>
          </cell>
          <cell r="AM128">
            <v>0</v>
          </cell>
          <cell r="AN128">
            <v>0</v>
          </cell>
          <cell r="AO128">
            <v>1860</v>
          </cell>
          <cell r="AP128">
            <v>0</v>
          </cell>
          <cell r="AQ128">
            <v>0</v>
          </cell>
          <cell r="AR128">
            <v>510</v>
          </cell>
          <cell r="AS128">
            <v>0</v>
          </cell>
          <cell r="AT128">
            <v>535</v>
          </cell>
          <cell r="AU128">
            <v>425</v>
          </cell>
          <cell r="AV128">
            <v>0</v>
          </cell>
          <cell r="AW128">
            <v>0</v>
          </cell>
          <cell r="AX128">
            <v>0</v>
          </cell>
          <cell r="AY128">
            <v>190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200</v>
          </cell>
          <cell r="BG128">
            <v>0</v>
          </cell>
          <cell r="BH128">
            <v>0</v>
          </cell>
          <cell r="BI128">
            <v>0</v>
          </cell>
          <cell r="BJ128">
            <v>1375861</v>
          </cell>
          <cell r="BK128">
            <v>4541</v>
          </cell>
          <cell r="BL128">
            <v>1371320</v>
          </cell>
        </row>
        <row r="129">
          <cell r="B129" t="str">
            <v>STR101</v>
          </cell>
          <cell r="C129">
            <v>27360</v>
          </cell>
          <cell r="D129">
            <v>17670</v>
          </cell>
          <cell r="E129">
            <v>12870</v>
          </cell>
          <cell r="F129">
            <v>3180</v>
          </cell>
          <cell r="G129">
            <v>14490</v>
          </cell>
          <cell r="H129">
            <v>14490</v>
          </cell>
          <cell r="I129">
            <v>630</v>
          </cell>
          <cell r="J129">
            <v>630</v>
          </cell>
          <cell r="K129">
            <v>630</v>
          </cell>
          <cell r="L129">
            <v>0</v>
          </cell>
          <cell r="M129">
            <v>630</v>
          </cell>
          <cell r="N129">
            <v>0</v>
          </cell>
          <cell r="O129">
            <v>13860</v>
          </cell>
          <cell r="P129">
            <v>13860</v>
          </cell>
          <cell r="Q129">
            <v>4855</v>
          </cell>
          <cell r="R129">
            <v>4855</v>
          </cell>
          <cell r="S129">
            <v>9005</v>
          </cell>
          <cell r="T129">
            <v>9005</v>
          </cell>
          <cell r="U129">
            <v>2050</v>
          </cell>
          <cell r="V129">
            <v>840</v>
          </cell>
          <cell r="W129">
            <v>0</v>
          </cell>
          <cell r="X129">
            <v>1210</v>
          </cell>
          <cell r="Y129">
            <v>0</v>
          </cell>
          <cell r="Z129">
            <v>280</v>
          </cell>
          <cell r="AA129">
            <v>200</v>
          </cell>
          <cell r="AB129">
            <v>80</v>
          </cell>
          <cell r="AC129">
            <v>0</v>
          </cell>
          <cell r="AD129">
            <v>0</v>
          </cell>
          <cell r="AE129">
            <v>0</v>
          </cell>
          <cell r="AF129">
            <v>3120</v>
          </cell>
          <cell r="AG129">
            <v>1945</v>
          </cell>
          <cell r="AH129">
            <v>370</v>
          </cell>
          <cell r="AI129">
            <v>625</v>
          </cell>
          <cell r="AJ129">
            <v>0</v>
          </cell>
          <cell r="AK129">
            <v>180</v>
          </cell>
          <cell r="AL129">
            <v>815</v>
          </cell>
          <cell r="AM129">
            <v>0</v>
          </cell>
          <cell r="AN129">
            <v>815</v>
          </cell>
          <cell r="AO129">
            <v>2740</v>
          </cell>
          <cell r="AP129">
            <v>0</v>
          </cell>
          <cell r="AQ129">
            <v>0</v>
          </cell>
          <cell r="AR129">
            <v>840</v>
          </cell>
          <cell r="AS129">
            <v>0</v>
          </cell>
          <cell r="AT129">
            <v>810</v>
          </cell>
          <cell r="AU129">
            <v>200</v>
          </cell>
          <cell r="AV129">
            <v>0</v>
          </cell>
          <cell r="AW129">
            <v>0</v>
          </cell>
          <cell r="AX129">
            <v>0</v>
          </cell>
          <cell r="AY129">
            <v>405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485</v>
          </cell>
          <cell r="BG129">
            <v>0</v>
          </cell>
          <cell r="BH129">
            <v>0</v>
          </cell>
          <cell r="BI129">
            <v>0</v>
          </cell>
          <cell r="BJ129">
            <v>2777036</v>
          </cell>
          <cell r="BK129">
            <v>11786</v>
          </cell>
          <cell r="BL129">
            <v>2765250</v>
          </cell>
        </row>
        <row r="130">
          <cell r="B130" t="str">
            <v>NBL SYR-MIXING</v>
          </cell>
          <cell r="C130">
            <v>25920</v>
          </cell>
          <cell r="D130">
            <v>16740</v>
          </cell>
          <cell r="E130">
            <v>18720</v>
          </cell>
          <cell r="F130">
            <v>9540</v>
          </cell>
          <cell r="G130">
            <v>7200</v>
          </cell>
          <cell r="H130">
            <v>7200</v>
          </cell>
          <cell r="I130">
            <v>657</v>
          </cell>
          <cell r="J130">
            <v>657</v>
          </cell>
          <cell r="K130">
            <v>657</v>
          </cell>
          <cell r="L130">
            <v>150</v>
          </cell>
          <cell r="M130">
            <v>507</v>
          </cell>
          <cell r="N130">
            <v>0</v>
          </cell>
          <cell r="O130">
            <v>6543</v>
          </cell>
          <cell r="P130">
            <v>6543</v>
          </cell>
          <cell r="Q130">
            <v>2608</v>
          </cell>
          <cell r="R130">
            <v>2608</v>
          </cell>
          <cell r="S130">
            <v>3935</v>
          </cell>
          <cell r="T130">
            <v>3935</v>
          </cell>
          <cell r="U130">
            <v>181</v>
          </cell>
          <cell r="V130">
            <v>181</v>
          </cell>
          <cell r="W130">
            <v>0</v>
          </cell>
          <cell r="X130">
            <v>0</v>
          </cell>
          <cell r="Y130">
            <v>0</v>
          </cell>
          <cell r="Z130">
            <v>62</v>
          </cell>
          <cell r="AA130">
            <v>0</v>
          </cell>
          <cell r="AB130">
            <v>0</v>
          </cell>
          <cell r="AC130">
            <v>0</v>
          </cell>
          <cell r="AD130">
            <v>62</v>
          </cell>
          <cell r="AE130">
            <v>0</v>
          </cell>
          <cell r="AF130">
            <v>2285</v>
          </cell>
          <cell r="AG130">
            <v>155</v>
          </cell>
          <cell r="AH130">
            <v>2130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1407</v>
          </cell>
          <cell r="AP130">
            <v>165</v>
          </cell>
          <cell r="AQ130">
            <v>0</v>
          </cell>
          <cell r="AR130">
            <v>168</v>
          </cell>
          <cell r="AS130">
            <v>0</v>
          </cell>
          <cell r="AT130">
            <v>102</v>
          </cell>
          <cell r="AU130">
            <v>30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459</v>
          </cell>
          <cell r="BC130">
            <v>0</v>
          </cell>
          <cell r="BD130">
            <v>0</v>
          </cell>
          <cell r="BE130">
            <v>0</v>
          </cell>
          <cell r="BF130">
            <v>15</v>
          </cell>
          <cell r="BG130">
            <v>458</v>
          </cell>
          <cell r="BH130">
            <v>0</v>
          </cell>
          <cell r="BI130">
            <v>10</v>
          </cell>
          <cell r="BJ130">
            <v>11320</v>
          </cell>
          <cell r="BK130">
            <v>1.5</v>
          </cell>
          <cell r="BL130">
            <v>11318.5</v>
          </cell>
        </row>
        <row r="131">
          <cell r="B131" t="str">
            <v>LMIXSYR1</v>
          </cell>
          <cell r="C131">
            <v>25920</v>
          </cell>
          <cell r="D131">
            <v>16740</v>
          </cell>
          <cell r="E131">
            <v>18720</v>
          </cell>
          <cell r="F131">
            <v>9540</v>
          </cell>
          <cell r="G131">
            <v>7200</v>
          </cell>
          <cell r="H131">
            <v>7200</v>
          </cell>
          <cell r="I131">
            <v>657</v>
          </cell>
          <cell r="J131">
            <v>657</v>
          </cell>
          <cell r="K131">
            <v>657</v>
          </cell>
          <cell r="L131">
            <v>150</v>
          </cell>
          <cell r="M131">
            <v>507</v>
          </cell>
          <cell r="N131">
            <v>0</v>
          </cell>
          <cell r="O131">
            <v>6543</v>
          </cell>
          <cell r="P131">
            <v>6543</v>
          </cell>
          <cell r="Q131">
            <v>2608</v>
          </cell>
          <cell r="R131">
            <v>2608</v>
          </cell>
          <cell r="S131">
            <v>3935</v>
          </cell>
          <cell r="T131">
            <v>3935</v>
          </cell>
          <cell r="U131">
            <v>181</v>
          </cell>
          <cell r="V131">
            <v>181</v>
          </cell>
          <cell r="W131">
            <v>0</v>
          </cell>
          <cell r="X131">
            <v>0</v>
          </cell>
          <cell r="Y131">
            <v>0</v>
          </cell>
          <cell r="Z131">
            <v>62</v>
          </cell>
          <cell r="AA131">
            <v>0</v>
          </cell>
          <cell r="AB131">
            <v>0</v>
          </cell>
          <cell r="AC131">
            <v>0</v>
          </cell>
          <cell r="AD131">
            <v>62</v>
          </cell>
          <cell r="AE131">
            <v>0</v>
          </cell>
          <cell r="AF131">
            <v>2285</v>
          </cell>
          <cell r="AG131">
            <v>155</v>
          </cell>
          <cell r="AH131">
            <v>2130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1407</v>
          </cell>
          <cell r="AP131">
            <v>165</v>
          </cell>
          <cell r="AQ131">
            <v>0</v>
          </cell>
          <cell r="AR131">
            <v>168</v>
          </cell>
          <cell r="AS131">
            <v>0</v>
          </cell>
          <cell r="AT131">
            <v>102</v>
          </cell>
          <cell r="AU131">
            <v>30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459</v>
          </cell>
          <cell r="BC131">
            <v>0</v>
          </cell>
          <cell r="BD131">
            <v>0</v>
          </cell>
          <cell r="BE131">
            <v>0</v>
          </cell>
          <cell r="BF131">
            <v>15</v>
          </cell>
          <cell r="BG131">
            <v>458</v>
          </cell>
          <cell r="BH131">
            <v>0</v>
          </cell>
          <cell r="BI131">
            <v>10</v>
          </cell>
          <cell r="BJ131">
            <v>11320</v>
          </cell>
          <cell r="BK131">
            <v>1.5</v>
          </cell>
          <cell r="BL131">
            <v>11318.5</v>
          </cell>
        </row>
        <row r="132">
          <cell r="B132" t="str">
            <v>NBL SYR-FILLING</v>
          </cell>
          <cell r="C132">
            <v>51840</v>
          </cell>
          <cell r="D132">
            <v>33480</v>
          </cell>
          <cell r="E132">
            <v>38910</v>
          </cell>
          <cell r="F132">
            <v>20550</v>
          </cell>
          <cell r="G132">
            <v>12930</v>
          </cell>
          <cell r="H132">
            <v>12930</v>
          </cell>
          <cell r="I132">
            <v>555</v>
          </cell>
          <cell r="J132">
            <v>555</v>
          </cell>
          <cell r="K132">
            <v>555</v>
          </cell>
          <cell r="L132">
            <v>285</v>
          </cell>
          <cell r="M132">
            <v>270</v>
          </cell>
          <cell r="N132">
            <v>0</v>
          </cell>
          <cell r="O132">
            <v>12375</v>
          </cell>
          <cell r="P132">
            <v>12375</v>
          </cell>
          <cell r="Q132">
            <v>3160</v>
          </cell>
          <cell r="R132">
            <v>3160</v>
          </cell>
          <cell r="S132">
            <v>9215</v>
          </cell>
          <cell r="T132">
            <v>9215</v>
          </cell>
          <cell r="U132">
            <v>1545</v>
          </cell>
          <cell r="V132">
            <v>825</v>
          </cell>
          <cell r="W132">
            <v>0</v>
          </cell>
          <cell r="X132">
            <v>550</v>
          </cell>
          <cell r="Y132">
            <v>170</v>
          </cell>
          <cell r="Z132">
            <v>865</v>
          </cell>
          <cell r="AA132">
            <v>840</v>
          </cell>
          <cell r="AB132">
            <v>0</v>
          </cell>
          <cell r="AC132">
            <v>0</v>
          </cell>
          <cell r="AD132">
            <v>25</v>
          </cell>
          <cell r="AE132">
            <v>0</v>
          </cell>
          <cell r="AF132">
            <v>3740</v>
          </cell>
          <cell r="AG132">
            <v>520</v>
          </cell>
          <cell r="AH132">
            <v>1895</v>
          </cell>
          <cell r="AI132">
            <v>90</v>
          </cell>
          <cell r="AJ132">
            <v>0</v>
          </cell>
          <cell r="AK132">
            <v>1235</v>
          </cell>
          <cell r="AL132">
            <v>285</v>
          </cell>
          <cell r="AM132">
            <v>0</v>
          </cell>
          <cell r="AN132">
            <v>285</v>
          </cell>
          <cell r="AO132">
            <v>2780</v>
          </cell>
          <cell r="AP132">
            <v>0</v>
          </cell>
          <cell r="AQ132">
            <v>0</v>
          </cell>
          <cell r="AR132">
            <v>660</v>
          </cell>
          <cell r="AS132">
            <v>30</v>
          </cell>
          <cell r="AT132">
            <v>525</v>
          </cell>
          <cell r="AU132">
            <v>0</v>
          </cell>
          <cell r="AV132">
            <v>0</v>
          </cell>
          <cell r="AW132">
            <v>0</v>
          </cell>
          <cell r="AX132">
            <v>1460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105</v>
          </cell>
          <cell r="BH132">
            <v>0</v>
          </cell>
          <cell r="BI132">
            <v>0</v>
          </cell>
          <cell r="BJ132">
            <v>152741</v>
          </cell>
          <cell r="BK132">
            <v>321</v>
          </cell>
          <cell r="BL132">
            <v>152420</v>
          </cell>
        </row>
        <row r="133">
          <cell r="B133" t="str">
            <v>SYR109</v>
          </cell>
          <cell r="C133">
            <v>25920</v>
          </cell>
          <cell r="D133">
            <v>16740</v>
          </cell>
          <cell r="E133">
            <v>15540</v>
          </cell>
          <cell r="F133">
            <v>6360</v>
          </cell>
          <cell r="G133">
            <v>10380</v>
          </cell>
          <cell r="H133">
            <v>10380</v>
          </cell>
          <cell r="I133">
            <v>555</v>
          </cell>
          <cell r="J133">
            <v>555</v>
          </cell>
          <cell r="K133">
            <v>555</v>
          </cell>
          <cell r="L133">
            <v>285</v>
          </cell>
          <cell r="M133">
            <v>270</v>
          </cell>
          <cell r="N133">
            <v>0</v>
          </cell>
          <cell r="O133">
            <v>9825</v>
          </cell>
          <cell r="P133">
            <v>9825</v>
          </cell>
          <cell r="Q133">
            <v>2575</v>
          </cell>
          <cell r="R133">
            <v>2575</v>
          </cell>
          <cell r="S133">
            <v>7250</v>
          </cell>
          <cell r="T133">
            <v>7250</v>
          </cell>
          <cell r="U133">
            <v>1110</v>
          </cell>
          <cell r="V133">
            <v>780</v>
          </cell>
          <cell r="W133">
            <v>0</v>
          </cell>
          <cell r="X133">
            <v>245</v>
          </cell>
          <cell r="Y133">
            <v>85</v>
          </cell>
          <cell r="Z133">
            <v>295</v>
          </cell>
          <cell r="AA133">
            <v>270</v>
          </cell>
          <cell r="AB133">
            <v>0</v>
          </cell>
          <cell r="AC133">
            <v>0</v>
          </cell>
          <cell r="AD133">
            <v>25</v>
          </cell>
          <cell r="AE133">
            <v>0</v>
          </cell>
          <cell r="AF133">
            <v>3005</v>
          </cell>
          <cell r="AG133">
            <v>285</v>
          </cell>
          <cell r="AH133">
            <v>1755</v>
          </cell>
          <cell r="AI133">
            <v>90</v>
          </cell>
          <cell r="AJ133">
            <v>0</v>
          </cell>
          <cell r="AK133">
            <v>875</v>
          </cell>
          <cell r="AL133">
            <v>285</v>
          </cell>
          <cell r="AM133">
            <v>0</v>
          </cell>
          <cell r="AN133">
            <v>285</v>
          </cell>
          <cell r="AO133">
            <v>2555</v>
          </cell>
          <cell r="AP133">
            <v>0</v>
          </cell>
          <cell r="AQ133">
            <v>0</v>
          </cell>
          <cell r="AR133">
            <v>510</v>
          </cell>
          <cell r="AS133">
            <v>30</v>
          </cell>
          <cell r="AT133">
            <v>450</v>
          </cell>
          <cell r="AU133">
            <v>0</v>
          </cell>
          <cell r="AV133">
            <v>0</v>
          </cell>
          <cell r="AW133">
            <v>0</v>
          </cell>
          <cell r="AX133">
            <v>1460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105</v>
          </cell>
          <cell r="BH133">
            <v>0</v>
          </cell>
          <cell r="BI133">
            <v>0</v>
          </cell>
          <cell r="BJ133">
            <v>130400</v>
          </cell>
          <cell r="BK133">
            <v>291</v>
          </cell>
          <cell r="BL133">
            <v>130109</v>
          </cell>
        </row>
        <row r="134">
          <cell r="B134" t="str">
            <v>SYR110</v>
          </cell>
          <cell r="C134">
            <v>25920</v>
          </cell>
          <cell r="D134">
            <v>16740</v>
          </cell>
          <cell r="E134">
            <v>23370</v>
          </cell>
          <cell r="F134">
            <v>14190</v>
          </cell>
          <cell r="G134">
            <v>2550</v>
          </cell>
          <cell r="H134">
            <v>2550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2550</v>
          </cell>
          <cell r="P134">
            <v>2550</v>
          </cell>
          <cell r="Q134">
            <v>585</v>
          </cell>
          <cell r="R134">
            <v>585</v>
          </cell>
          <cell r="S134">
            <v>1965</v>
          </cell>
          <cell r="T134">
            <v>1965</v>
          </cell>
          <cell r="U134">
            <v>435</v>
          </cell>
          <cell r="V134">
            <v>45</v>
          </cell>
          <cell r="W134">
            <v>0</v>
          </cell>
          <cell r="X134">
            <v>305</v>
          </cell>
          <cell r="Y134">
            <v>85</v>
          </cell>
          <cell r="Z134">
            <v>570</v>
          </cell>
          <cell r="AA134">
            <v>570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735</v>
          </cell>
          <cell r="AG134">
            <v>235</v>
          </cell>
          <cell r="AH134">
            <v>140</v>
          </cell>
          <cell r="AI134">
            <v>0</v>
          </cell>
          <cell r="AJ134">
            <v>0</v>
          </cell>
          <cell r="AK134">
            <v>360</v>
          </cell>
          <cell r="AL134">
            <v>0</v>
          </cell>
          <cell r="AM134">
            <v>0</v>
          </cell>
          <cell r="AN134">
            <v>0</v>
          </cell>
          <cell r="AO134">
            <v>225</v>
          </cell>
          <cell r="AP134">
            <v>0</v>
          </cell>
          <cell r="AQ134">
            <v>0</v>
          </cell>
          <cell r="AR134">
            <v>150</v>
          </cell>
          <cell r="AS134">
            <v>0</v>
          </cell>
          <cell r="AT134">
            <v>75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22341</v>
          </cell>
          <cell r="BK134">
            <v>30</v>
          </cell>
          <cell r="BL134">
            <v>22311</v>
          </cell>
        </row>
        <row r="135">
          <cell r="B135" t="str">
            <v>NBL INJ-MIXING</v>
          </cell>
          <cell r="C135">
            <v>27360</v>
          </cell>
          <cell r="D135">
            <v>17670</v>
          </cell>
          <cell r="E135">
            <v>21810</v>
          </cell>
          <cell r="F135">
            <v>12120</v>
          </cell>
          <cell r="G135">
            <v>5550</v>
          </cell>
          <cell r="H135">
            <v>5550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5550</v>
          </cell>
          <cell r="P135">
            <v>5550</v>
          </cell>
          <cell r="Q135">
            <v>1696</v>
          </cell>
          <cell r="R135">
            <v>1696</v>
          </cell>
          <cell r="S135">
            <v>3854</v>
          </cell>
          <cell r="T135">
            <v>3854</v>
          </cell>
          <cell r="U135">
            <v>115</v>
          </cell>
          <cell r="V135">
            <v>115</v>
          </cell>
          <cell r="W135">
            <v>0</v>
          </cell>
          <cell r="X135">
            <v>0</v>
          </cell>
          <cell r="Y135">
            <v>0</v>
          </cell>
          <cell r="Z135">
            <v>254</v>
          </cell>
          <cell r="AA135">
            <v>254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1444</v>
          </cell>
          <cell r="AG135">
            <v>532</v>
          </cell>
          <cell r="AH135">
            <v>877</v>
          </cell>
          <cell r="AI135">
            <v>0</v>
          </cell>
          <cell r="AJ135">
            <v>35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2041</v>
          </cell>
          <cell r="AP135">
            <v>81</v>
          </cell>
          <cell r="AQ135">
            <v>0</v>
          </cell>
          <cell r="AR135">
            <v>330</v>
          </cell>
          <cell r="AS135">
            <v>0</v>
          </cell>
          <cell r="AT135">
            <v>430</v>
          </cell>
          <cell r="AU135">
            <v>0</v>
          </cell>
          <cell r="AV135">
            <v>100</v>
          </cell>
          <cell r="AW135">
            <v>0</v>
          </cell>
          <cell r="AX135">
            <v>140</v>
          </cell>
          <cell r="AY135">
            <v>55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905</v>
          </cell>
          <cell r="BG135">
            <v>0</v>
          </cell>
          <cell r="BH135">
            <v>0</v>
          </cell>
          <cell r="BI135">
            <v>0</v>
          </cell>
          <cell r="BJ135">
            <v>1328</v>
          </cell>
          <cell r="BK135">
            <v>0</v>
          </cell>
          <cell r="BL135">
            <v>1328</v>
          </cell>
        </row>
        <row r="136">
          <cell r="B136" t="str">
            <v>LMIXINJ1</v>
          </cell>
          <cell r="C136">
            <v>27360</v>
          </cell>
          <cell r="D136">
            <v>17670</v>
          </cell>
          <cell r="E136">
            <v>21810</v>
          </cell>
          <cell r="F136">
            <v>12120</v>
          </cell>
          <cell r="G136">
            <v>5550</v>
          </cell>
          <cell r="H136">
            <v>5550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5550</v>
          </cell>
          <cell r="P136">
            <v>5550</v>
          </cell>
          <cell r="Q136">
            <v>1696</v>
          </cell>
          <cell r="R136">
            <v>1696</v>
          </cell>
          <cell r="S136">
            <v>3854</v>
          </cell>
          <cell r="T136">
            <v>3854</v>
          </cell>
          <cell r="U136">
            <v>115</v>
          </cell>
          <cell r="V136">
            <v>115</v>
          </cell>
          <cell r="W136">
            <v>0</v>
          </cell>
          <cell r="X136">
            <v>0</v>
          </cell>
          <cell r="Y136">
            <v>0</v>
          </cell>
          <cell r="Z136">
            <v>254</v>
          </cell>
          <cell r="AA136">
            <v>254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1444</v>
          </cell>
          <cell r="AG136">
            <v>532</v>
          </cell>
          <cell r="AH136">
            <v>877</v>
          </cell>
          <cell r="AI136">
            <v>0</v>
          </cell>
          <cell r="AJ136">
            <v>35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2041</v>
          </cell>
          <cell r="AP136">
            <v>81</v>
          </cell>
          <cell r="AQ136">
            <v>0</v>
          </cell>
          <cell r="AR136">
            <v>330</v>
          </cell>
          <cell r="AS136">
            <v>0</v>
          </cell>
          <cell r="AT136">
            <v>430</v>
          </cell>
          <cell r="AU136">
            <v>0</v>
          </cell>
          <cell r="AV136">
            <v>100</v>
          </cell>
          <cell r="AW136">
            <v>0</v>
          </cell>
          <cell r="AX136">
            <v>140</v>
          </cell>
          <cell r="AY136">
            <v>55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905</v>
          </cell>
          <cell r="BG136">
            <v>0</v>
          </cell>
          <cell r="BH136">
            <v>0</v>
          </cell>
          <cell r="BI136">
            <v>0</v>
          </cell>
          <cell r="BJ136">
            <v>1328</v>
          </cell>
          <cell r="BK136">
            <v>0</v>
          </cell>
          <cell r="BL136">
            <v>1328</v>
          </cell>
        </row>
        <row r="137">
          <cell r="B137" t="str">
            <v>NBL INJ-FILLING</v>
          </cell>
          <cell r="C137">
            <v>53280</v>
          </cell>
          <cell r="D137">
            <v>34410</v>
          </cell>
          <cell r="E137">
            <v>34350</v>
          </cell>
          <cell r="F137">
            <v>15480</v>
          </cell>
          <cell r="G137">
            <v>18930</v>
          </cell>
          <cell r="H137">
            <v>18930</v>
          </cell>
          <cell r="I137">
            <v>1041</v>
          </cell>
          <cell r="J137">
            <v>1041</v>
          </cell>
          <cell r="K137">
            <v>1041</v>
          </cell>
          <cell r="L137">
            <v>81</v>
          </cell>
          <cell r="M137">
            <v>960</v>
          </cell>
          <cell r="N137">
            <v>0</v>
          </cell>
          <cell r="O137">
            <v>17889</v>
          </cell>
          <cell r="P137">
            <v>17889</v>
          </cell>
          <cell r="Q137">
            <v>6869</v>
          </cell>
          <cell r="R137">
            <v>6869</v>
          </cell>
          <cell r="S137">
            <v>11020</v>
          </cell>
          <cell r="T137">
            <v>11020</v>
          </cell>
          <cell r="U137">
            <v>1506</v>
          </cell>
          <cell r="V137">
            <v>1332</v>
          </cell>
          <cell r="W137">
            <v>73</v>
          </cell>
          <cell r="X137">
            <v>93</v>
          </cell>
          <cell r="Y137">
            <v>8</v>
          </cell>
          <cell r="Z137">
            <v>687</v>
          </cell>
          <cell r="AA137">
            <v>525</v>
          </cell>
          <cell r="AB137">
            <v>39</v>
          </cell>
          <cell r="AC137">
            <v>0</v>
          </cell>
          <cell r="AD137">
            <v>106</v>
          </cell>
          <cell r="AE137">
            <v>17</v>
          </cell>
          <cell r="AF137">
            <v>3225</v>
          </cell>
          <cell r="AG137">
            <v>973</v>
          </cell>
          <cell r="AH137">
            <v>2107</v>
          </cell>
          <cell r="AI137">
            <v>145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5602</v>
          </cell>
          <cell r="AP137">
            <v>5</v>
          </cell>
          <cell r="AQ137">
            <v>0</v>
          </cell>
          <cell r="AR137">
            <v>1128</v>
          </cell>
          <cell r="AS137">
            <v>0</v>
          </cell>
          <cell r="AT137">
            <v>1238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200</v>
          </cell>
          <cell r="AZ137">
            <v>0</v>
          </cell>
          <cell r="BA137">
            <v>0</v>
          </cell>
          <cell r="BB137">
            <v>2662</v>
          </cell>
          <cell r="BC137">
            <v>0</v>
          </cell>
          <cell r="BD137">
            <v>0</v>
          </cell>
          <cell r="BE137">
            <v>0</v>
          </cell>
          <cell r="BF137">
            <v>288</v>
          </cell>
          <cell r="BG137">
            <v>81</v>
          </cell>
          <cell r="BH137">
            <v>0</v>
          </cell>
          <cell r="BI137">
            <v>0</v>
          </cell>
          <cell r="BJ137">
            <v>845347</v>
          </cell>
          <cell r="BK137">
            <v>166</v>
          </cell>
          <cell r="BL137">
            <v>845181</v>
          </cell>
        </row>
        <row r="138">
          <cell r="B138" t="str">
            <v>GINLINE3</v>
          </cell>
          <cell r="C138">
            <v>27360</v>
          </cell>
          <cell r="D138">
            <v>17670</v>
          </cell>
          <cell r="E138">
            <v>18030</v>
          </cell>
          <cell r="F138">
            <v>8340</v>
          </cell>
          <cell r="G138">
            <v>9330</v>
          </cell>
          <cell r="H138">
            <v>9330</v>
          </cell>
          <cell r="I138">
            <v>896</v>
          </cell>
          <cell r="J138">
            <v>896</v>
          </cell>
          <cell r="K138">
            <v>896</v>
          </cell>
          <cell r="L138">
            <v>81</v>
          </cell>
          <cell r="M138">
            <v>815</v>
          </cell>
          <cell r="N138">
            <v>0</v>
          </cell>
          <cell r="O138">
            <v>8434</v>
          </cell>
          <cell r="P138">
            <v>8434</v>
          </cell>
          <cell r="Q138">
            <v>2525</v>
          </cell>
          <cell r="R138">
            <v>2525</v>
          </cell>
          <cell r="S138">
            <v>5909</v>
          </cell>
          <cell r="T138">
            <v>5909</v>
          </cell>
          <cell r="U138">
            <v>916</v>
          </cell>
          <cell r="V138">
            <v>782</v>
          </cell>
          <cell r="W138">
            <v>73</v>
          </cell>
          <cell r="X138">
            <v>53</v>
          </cell>
          <cell r="Y138">
            <v>8</v>
          </cell>
          <cell r="Z138">
            <v>444</v>
          </cell>
          <cell r="AA138">
            <v>365</v>
          </cell>
          <cell r="AB138">
            <v>39</v>
          </cell>
          <cell r="AC138">
            <v>0</v>
          </cell>
          <cell r="AD138">
            <v>23</v>
          </cell>
          <cell r="AE138">
            <v>17</v>
          </cell>
          <cell r="AF138">
            <v>1966</v>
          </cell>
          <cell r="AG138">
            <v>720</v>
          </cell>
          <cell r="AH138">
            <v>1101</v>
          </cell>
          <cell r="AI138">
            <v>145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2583</v>
          </cell>
          <cell r="AP138">
            <v>5</v>
          </cell>
          <cell r="AQ138">
            <v>0</v>
          </cell>
          <cell r="AR138">
            <v>533</v>
          </cell>
          <cell r="AS138">
            <v>0</v>
          </cell>
          <cell r="AT138">
            <v>588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125</v>
          </cell>
          <cell r="AZ138">
            <v>0</v>
          </cell>
          <cell r="BA138">
            <v>0</v>
          </cell>
          <cell r="BB138">
            <v>1240</v>
          </cell>
          <cell r="BC138">
            <v>0</v>
          </cell>
          <cell r="BD138">
            <v>0</v>
          </cell>
          <cell r="BE138">
            <v>0</v>
          </cell>
          <cell r="BF138">
            <v>92</v>
          </cell>
          <cell r="BG138">
            <v>0</v>
          </cell>
          <cell r="BH138">
            <v>0</v>
          </cell>
          <cell r="BI138">
            <v>0</v>
          </cell>
          <cell r="BJ138">
            <v>427869</v>
          </cell>
          <cell r="BK138">
            <v>0</v>
          </cell>
          <cell r="BL138">
            <v>427869</v>
          </cell>
        </row>
        <row r="139">
          <cell r="B139" t="str">
            <v>GINLINE4</v>
          </cell>
          <cell r="C139">
            <v>25920</v>
          </cell>
          <cell r="D139">
            <v>16740</v>
          </cell>
          <cell r="E139">
            <v>16320</v>
          </cell>
          <cell r="F139">
            <v>7140</v>
          </cell>
          <cell r="G139">
            <v>9600</v>
          </cell>
          <cell r="H139">
            <v>9600</v>
          </cell>
          <cell r="I139">
            <v>145</v>
          </cell>
          <cell r="J139">
            <v>145</v>
          </cell>
          <cell r="K139">
            <v>145</v>
          </cell>
          <cell r="L139">
            <v>0</v>
          </cell>
          <cell r="M139">
            <v>145</v>
          </cell>
          <cell r="N139">
            <v>0</v>
          </cell>
          <cell r="O139">
            <v>9455</v>
          </cell>
          <cell r="P139">
            <v>9455</v>
          </cell>
          <cell r="Q139">
            <v>4344</v>
          </cell>
          <cell r="R139">
            <v>4344</v>
          </cell>
          <cell r="S139">
            <v>5111</v>
          </cell>
          <cell r="T139">
            <v>5111</v>
          </cell>
          <cell r="U139">
            <v>590</v>
          </cell>
          <cell r="V139">
            <v>550</v>
          </cell>
          <cell r="W139">
            <v>0</v>
          </cell>
          <cell r="X139">
            <v>40</v>
          </cell>
          <cell r="Y139">
            <v>0</v>
          </cell>
          <cell r="Z139">
            <v>243</v>
          </cell>
          <cell r="AA139">
            <v>160</v>
          </cell>
          <cell r="AB139">
            <v>0</v>
          </cell>
          <cell r="AC139">
            <v>0</v>
          </cell>
          <cell r="AD139">
            <v>83</v>
          </cell>
          <cell r="AE139">
            <v>0</v>
          </cell>
          <cell r="AF139">
            <v>1259</v>
          </cell>
          <cell r="AG139">
            <v>253</v>
          </cell>
          <cell r="AH139">
            <v>1006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3019</v>
          </cell>
          <cell r="AP139">
            <v>0</v>
          </cell>
          <cell r="AQ139">
            <v>0</v>
          </cell>
          <cell r="AR139">
            <v>595</v>
          </cell>
          <cell r="AS139">
            <v>0</v>
          </cell>
          <cell r="AT139">
            <v>650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75</v>
          </cell>
          <cell r="AZ139">
            <v>0</v>
          </cell>
          <cell r="BA139">
            <v>0</v>
          </cell>
          <cell r="BB139">
            <v>1422</v>
          </cell>
          <cell r="BC139">
            <v>0</v>
          </cell>
          <cell r="BD139">
            <v>0</v>
          </cell>
          <cell r="BE139">
            <v>0</v>
          </cell>
          <cell r="BF139">
            <v>196</v>
          </cell>
          <cell r="BG139">
            <v>81</v>
          </cell>
          <cell r="BH139">
            <v>0</v>
          </cell>
          <cell r="BI139">
            <v>0</v>
          </cell>
          <cell r="BJ139">
            <v>417478</v>
          </cell>
          <cell r="BK139">
            <v>166</v>
          </cell>
          <cell r="BL139">
            <v>417312</v>
          </cell>
        </row>
        <row r="140">
          <cell r="B140" t="str">
            <v>NBL INJ-STERILIZATION</v>
          </cell>
          <cell r="C140">
            <v>80640</v>
          </cell>
          <cell r="D140">
            <v>52080</v>
          </cell>
          <cell r="E140">
            <v>60650</v>
          </cell>
          <cell r="F140">
            <v>32090</v>
          </cell>
          <cell r="G140">
            <v>19990</v>
          </cell>
          <cell r="H140">
            <v>19990</v>
          </cell>
          <cell r="I140">
            <v>1437</v>
          </cell>
          <cell r="J140">
            <v>1437</v>
          </cell>
          <cell r="K140">
            <v>1437</v>
          </cell>
          <cell r="L140">
            <v>687</v>
          </cell>
          <cell r="M140">
            <v>750</v>
          </cell>
          <cell r="N140">
            <v>0</v>
          </cell>
          <cell r="O140">
            <v>18553</v>
          </cell>
          <cell r="P140">
            <v>18553</v>
          </cell>
          <cell r="Q140">
            <v>11551</v>
          </cell>
          <cell r="R140">
            <v>11551</v>
          </cell>
          <cell r="S140">
            <v>7002</v>
          </cell>
          <cell r="T140">
            <v>7002</v>
          </cell>
          <cell r="U140">
            <v>304</v>
          </cell>
          <cell r="V140">
            <v>284</v>
          </cell>
          <cell r="W140">
            <v>0</v>
          </cell>
          <cell r="X140">
            <v>20</v>
          </cell>
          <cell r="Y140">
            <v>0</v>
          </cell>
          <cell r="Z140">
            <v>436</v>
          </cell>
          <cell r="AA140">
            <v>436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4126</v>
          </cell>
          <cell r="AG140">
            <v>3544</v>
          </cell>
          <cell r="AH140">
            <v>222</v>
          </cell>
          <cell r="AI140">
            <v>45</v>
          </cell>
          <cell r="AJ140">
            <v>0</v>
          </cell>
          <cell r="AK140">
            <v>315</v>
          </cell>
          <cell r="AL140">
            <v>0</v>
          </cell>
          <cell r="AM140">
            <v>0</v>
          </cell>
          <cell r="AN140">
            <v>0</v>
          </cell>
          <cell r="AO140">
            <v>2136</v>
          </cell>
          <cell r="AP140">
            <v>0</v>
          </cell>
          <cell r="AQ140">
            <v>0</v>
          </cell>
          <cell r="AR140">
            <v>217</v>
          </cell>
          <cell r="AS140">
            <v>60</v>
          </cell>
          <cell r="AT140">
            <v>245</v>
          </cell>
          <cell r="AU140">
            <v>815</v>
          </cell>
          <cell r="AV140">
            <v>0</v>
          </cell>
          <cell r="AW140">
            <v>0</v>
          </cell>
          <cell r="AX140">
            <v>594</v>
          </cell>
          <cell r="AY140">
            <v>205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947</v>
          </cell>
          <cell r="BK140">
            <v>0</v>
          </cell>
          <cell r="BL140">
            <v>947</v>
          </cell>
        </row>
        <row r="141">
          <cell r="B141" t="str">
            <v>INJ105</v>
          </cell>
          <cell r="C141">
            <v>25920</v>
          </cell>
          <cell r="D141">
            <v>16740</v>
          </cell>
          <cell r="E141">
            <v>25920</v>
          </cell>
          <cell r="F141">
            <v>16740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/>
          <cell r="R141"/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</row>
        <row r="142">
          <cell r="B142" t="str">
            <v>INJ106</v>
          </cell>
          <cell r="C142">
            <v>27360</v>
          </cell>
          <cell r="D142">
            <v>17670</v>
          </cell>
          <cell r="E142">
            <v>12385</v>
          </cell>
          <cell r="F142">
            <v>2695</v>
          </cell>
          <cell r="G142">
            <v>14975</v>
          </cell>
          <cell r="H142">
            <v>14975</v>
          </cell>
          <cell r="I142">
            <v>662</v>
          </cell>
          <cell r="J142">
            <v>662</v>
          </cell>
          <cell r="K142">
            <v>662</v>
          </cell>
          <cell r="L142">
            <v>662</v>
          </cell>
          <cell r="M142">
            <v>0</v>
          </cell>
          <cell r="N142">
            <v>0</v>
          </cell>
          <cell r="O142">
            <v>14313</v>
          </cell>
          <cell r="P142">
            <v>14313</v>
          </cell>
          <cell r="Q142">
            <v>10688</v>
          </cell>
          <cell r="R142">
            <v>10688</v>
          </cell>
          <cell r="S142">
            <v>3625</v>
          </cell>
          <cell r="T142">
            <v>3625</v>
          </cell>
          <cell r="U142">
            <v>72</v>
          </cell>
          <cell r="V142">
            <v>72</v>
          </cell>
          <cell r="W142">
            <v>0</v>
          </cell>
          <cell r="X142">
            <v>0</v>
          </cell>
          <cell r="Y142">
            <v>0</v>
          </cell>
          <cell r="Z142">
            <v>436</v>
          </cell>
          <cell r="AA142">
            <v>436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2900</v>
          </cell>
          <cell r="AG142">
            <v>2763</v>
          </cell>
          <cell r="AH142">
            <v>102</v>
          </cell>
          <cell r="AI142">
            <v>0</v>
          </cell>
          <cell r="AJ142">
            <v>0</v>
          </cell>
          <cell r="AK142">
            <v>35</v>
          </cell>
          <cell r="AL142">
            <v>0</v>
          </cell>
          <cell r="AM142">
            <v>0</v>
          </cell>
          <cell r="AN142">
            <v>0</v>
          </cell>
          <cell r="AO142">
            <v>217</v>
          </cell>
          <cell r="AP142">
            <v>0</v>
          </cell>
          <cell r="AQ142">
            <v>0</v>
          </cell>
          <cell r="AR142">
            <v>23</v>
          </cell>
          <cell r="AS142">
            <v>0</v>
          </cell>
          <cell r="AT142">
            <v>40</v>
          </cell>
          <cell r="AU142">
            <v>0</v>
          </cell>
          <cell r="AV142">
            <v>0</v>
          </cell>
          <cell r="AW142">
            <v>0</v>
          </cell>
          <cell r="AX142">
            <v>154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931</v>
          </cell>
          <cell r="BK142">
            <v>0</v>
          </cell>
          <cell r="BL142">
            <v>931</v>
          </cell>
        </row>
        <row r="143">
          <cell r="B143" t="str">
            <v>INJ107</v>
          </cell>
          <cell r="C143">
            <v>27360</v>
          </cell>
          <cell r="D143">
            <v>17670</v>
          </cell>
          <cell r="E143">
            <v>22345</v>
          </cell>
          <cell r="F143">
            <v>12655</v>
          </cell>
          <cell r="G143">
            <v>5015</v>
          </cell>
          <cell r="H143">
            <v>5015</v>
          </cell>
          <cell r="I143">
            <v>775</v>
          </cell>
          <cell r="J143">
            <v>775</v>
          </cell>
          <cell r="K143">
            <v>775</v>
          </cell>
          <cell r="L143">
            <v>25</v>
          </cell>
          <cell r="M143">
            <v>750</v>
          </cell>
          <cell r="N143">
            <v>0</v>
          </cell>
          <cell r="O143">
            <v>4240</v>
          </cell>
          <cell r="P143">
            <v>4240</v>
          </cell>
          <cell r="Q143">
            <v>863</v>
          </cell>
          <cell r="R143">
            <v>863</v>
          </cell>
          <cell r="S143">
            <v>3377</v>
          </cell>
          <cell r="T143">
            <v>3377</v>
          </cell>
          <cell r="U143">
            <v>232</v>
          </cell>
          <cell r="V143">
            <v>212</v>
          </cell>
          <cell r="W143">
            <v>0</v>
          </cell>
          <cell r="X143">
            <v>20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1226</v>
          </cell>
          <cell r="AG143">
            <v>781</v>
          </cell>
          <cell r="AH143">
            <v>120</v>
          </cell>
          <cell r="AI143">
            <v>45</v>
          </cell>
          <cell r="AJ143">
            <v>0</v>
          </cell>
          <cell r="AK143">
            <v>280</v>
          </cell>
          <cell r="AL143">
            <v>0</v>
          </cell>
          <cell r="AM143">
            <v>0</v>
          </cell>
          <cell r="AN143">
            <v>0</v>
          </cell>
          <cell r="AO143">
            <v>1919</v>
          </cell>
          <cell r="AP143">
            <v>0</v>
          </cell>
          <cell r="AQ143">
            <v>0</v>
          </cell>
          <cell r="AR143">
            <v>194</v>
          </cell>
          <cell r="AS143">
            <v>60</v>
          </cell>
          <cell r="AT143">
            <v>205</v>
          </cell>
          <cell r="AU143">
            <v>815</v>
          </cell>
          <cell r="AV143">
            <v>0</v>
          </cell>
          <cell r="AW143">
            <v>0</v>
          </cell>
          <cell r="AX143">
            <v>440</v>
          </cell>
          <cell r="AY143">
            <v>205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16</v>
          </cell>
          <cell r="BK143">
            <v>0</v>
          </cell>
          <cell r="BL143">
            <v>16</v>
          </cell>
        </row>
        <row r="144">
          <cell r="B144" t="str">
            <v>NBL SECONDARY PACKING</v>
          </cell>
          <cell r="C144">
            <v>155520</v>
          </cell>
          <cell r="D144">
            <v>59940</v>
          </cell>
          <cell r="E144">
            <v>111480</v>
          </cell>
          <cell r="F144">
            <v>15900</v>
          </cell>
          <cell r="G144">
            <v>44040</v>
          </cell>
          <cell r="H144">
            <v>44040</v>
          </cell>
          <cell r="I144">
            <v>6040</v>
          </cell>
          <cell r="J144">
            <v>6040</v>
          </cell>
          <cell r="K144">
            <v>6040</v>
          </cell>
          <cell r="L144">
            <v>1595</v>
          </cell>
          <cell r="M144">
            <v>4445</v>
          </cell>
          <cell r="N144">
            <v>0</v>
          </cell>
          <cell r="O144">
            <v>38000</v>
          </cell>
          <cell r="P144">
            <v>38000</v>
          </cell>
          <cell r="Q144">
            <v>22457</v>
          </cell>
          <cell r="R144">
            <v>22457</v>
          </cell>
          <cell r="S144">
            <v>15543</v>
          </cell>
          <cell r="T144">
            <v>15543</v>
          </cell>
          <cell r="U144">
            <v>2036</v>
          </cell>
          <cell r="V144">
            <v>1360</v>
          </cell>
          <cell r="W144">
            <v>144</v>
          </cell>
          <cell r="X144">
            <v>218</v>
          </cell>
          <cell r="Y144">
            <v>314</v>
          </cell>
          <cell r="Z144">
            <v>220</v>
          </cell>
          <cell r="AA144">
            <v>0</v>
          </cell>
          <cell r="AB144">
            <v>220</v>
          </cell>
          <cell r="AC144">
            <v>0</v>
          </cell>
          <cell r="AD144">
            <v>0</v>
          </cell>
          <cell r="AE144">
            <v>0</v>
          </cell>
          <cell r="AF144">
            <v>2922</v>
          </cell>
          <cell r="AG144">
            <v>1388</v>
          </cell>
          <cell r="AH144">
            <v>1354</v>
          </cell>
          <cell r="AI144">
            <v>0</v>
          </cell>
          <cell r="AJ144">
            <v>0</v>
          </cell>
          <cell r="AK144">
            <v>180</v>
          </cell>
          <cell r="AL144">
            <v>0</v>
          </cell>
          <cell r="AM144">
            <v>0</v>
          </cell>
          <cell r="AN144">
            <v>0</v>
          </cell>
          <cell r="AO144">
            <v>10365</v>
          </cell>
          <cell r="AP144">
            <v>0</v>
          </cell>
          <cell r="AQ144">
            <v>1575</v>
          </cell>
          <cell r="AR144">
            <v>2265</v>
          </cell>
          <cell r="AS144">
            <v>0</v>
          </cell>
          <cell r="AT144">
            <v>1140</v>
          </cell>
          <cell r="AU144">
            <v>1385</v>
          </cell>
          <cell r="AV144">
            <v>20</v>
          </cell>
          <cell r="AW144">
            <v>0</v>
          </cell>
          <cell r="AX144">
            <v>1925</v>
          </cell>
          <cell r="AY144">
            <v>651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1404</v>
          </cell>
          <cell r="BG144">
            <v>0</v>
          </cell>
          <cell r="BH144">
            <v>0</v>
          </cell>
          <cell r="BI144">
            <v>0</v>
          </cell>
          <cell r="BJ144">
            <v>1082536</v>
          </cell>
          <cell r="BK144">
            <v>78</v>
          </cell>
          <cell r="BL144">
            <v>1082458</v>
          </cell>
        </row>
        <row r="145">
          <cell r="B145" t="str">
            <v>PAK101</v>
          </cell>
          <cell r="C145">
            <v>25920</v>
          </cell>
          <cell r="D145">
            <v>8640</v>
          </cell>
          <cell r="E145">
            <v>10950</v>
          </cell>
          <cell r="F145">
            <v>-6330</v>
          </cell>
          <cell r="G145">
            <v>14970</v>
          </cell>
          <cell r="H145">
            <v>14970</v>
          </cell>
          <cell r="I145">
            <v>225</v>
          </cell>
          <cell r="J145">
            <v>225</v>
          </cell>
          <cell r="K145">
            <v>225</v>
          </cell>
          <cell r="L145">
            <v>225</v>
          </cell>
          <cell r="M145">
            <v>0</v>
          </cell>
          <cell r="N145">
            <v>0</v>
          </cell>
          <cell r="O145">
            <v>14745</v>
          </cell>
          <cell r="P145">
            <v>14745</v>
          </cell>
          <cell r="Q145">
            <v>10185</v>
          </cell>
          <cell r="R145">
            <v>10185</v>
          </cell>
          <cell r="S145">
            <v>4560</v>
          </cell>
          <cell r="T145">
            <v>4560</v>
          </cell>
          <cell r="U145">
            <v>253</v>
          </cell>
          <cell r="V145">
            <v>253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959</v>
          </cell>
          <cell r="AG145">
            <v>334</v>
          </cell>
          <cell r="AH145">
            <v>515</v>
          </cell>
          <cell r="AI145">
            <v>0</v>
          </cell>
          <cell r="AJ145">
            <v>0</v>
          </cell>
          <cell r="AK145">
            <v>110</v>
          </cell>
          <cell r="AL145">
            <v>0</v>
          </cell>
          <cell r="AM145">
            <v>0</v>
          </cell>
          <cell r="AN145">
            <v>0</v>
          </cell>
          <cell r="AO145">
            <v>3348</v>
          </cell>
          <cell r="AP145">
            <v>0</v>
          </cell>
          <cell r="AQ145">
            <v>830</v>
          </cell>
          <cell r="AR145">
            <v>900</v>
          </cell>
          <cell r="AS145">
            <v>0</v>
          </cell>
          <cell r="AT145">
            <v>450</v>
          </cell>
          <cell r="AU145">
            <v>300</v>
          </cell>
          <cell r="AV145">
            <v>0</v>
          </cell>
          <cell r="AW145">
            <v>0</v>
          </cell>
          <cell r="AX145">
            <v>0</v>
          </cell>
          <cell r="AY145">
            <v>226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642</v>
          </cell>
          <cell r="BG145">
            <v>0</v>
          </cell>
          <cell r="BH145">
            <v>0</v>
          </cell>
          <cell r="BI145">
            <v>0</v>
          </cell>
          <cell r="BJ145">
            <v>377468</v>
          </cell>
          <cell r="BK145">
            <v>29</v>
          </cell>
          <cell r="BL145">
            <v>377439</v>
          </cell>
        </row>
        <row r="146">
          <cell r="B146" t="str">
            <v>PAK103</v>
          </cell>
          <cell r="C146">
            <v>25920</v>
          </cell>
          <cell r="D146">
            <v>8640</v>
          </cell>
          <cell r="E146">
            <v>14820</v>
          </cell>
          <cell r="F146">
            <v>-2460</v>
          </cell>
          <cell r="G146">
            <v>11100</v>
          </cell>
          <cell r="H146">
            <v>11100</v>
          </cell>
          <cell r="I146">
            <v>195</v>
          </cell>
          <cell r="J146">
            <v>195</v>
          </cell>
          <cell r="K146">
            <v>195</v>
          </cell>
          <cell r="L146">
            <v>195</v>
          </cell>
          <cell r="M146">
            <v>0</v>
          </cell>
          <cell r="N146">
            <v>0</v>
          </cell>
          <cell r="O146">
            <v>10905</v>
          </cell>
          <cell r="P146">
            <v>10905</v>
          </cell>
          <cell r="Q146">
            <v>7290</v>
          </cell>
          <cell r="R146">
            <v>7290</v>
          </cell>
          <cell r="S146">
            <v>3615</v>
          </cell>
          <cell r="T146">
            <v>3615</v>
          </cell>
          <cell r="U146">
            <v>187</v>
          </cell>
          <cell r="V146">
            <v>187</v>
          </cell>
          <cell r="W146">
            <v>0</v>
          </cell>
          <cell r="X146">
            <v>0</v>
          </cell>
          <cell r="Y146">
            <v>0</v>
          </cell>
          <cell r="Z146">
            <v>85</v>
          </cell>
          <cell r="AA146">
            <v>0</v>
          </cell>
          <cell r="AB146">
            <v>85</v>
          </cell>
          <cell r="AC146">
            <v>0</v>
          </cell>
          <cell r="AD146">
            <v>0</v>
          </cell>
          <cell r="AE146">
            <v>0</v>
          </cell>
          <cell r="AF146">
            <v>706</v>
          </cell>
          <cell r="AG146">
            <v>234</v>
          </cell>
          <cell r="AH146">
            <v>412</v>
          </cell>
          <cell r="AI146">
            <v>0</v>
          </cell>
          <cell r="AJ146">
            <v>0</v>
          </cell>
          <cell r="AK146">
            <v>60</v>
          </cell>
          <cell r="AL146">
            <v>0</v>
          </cell>
          <cell r="AM146">
            <v>0</v>
          </cell>
          <cell r="AN146">
            <v>0</v>
          </cell>
          <cell r="AO146">
            <v>2637</v>
          </cell>
          <cell r="AP146">
            <v>0</v>
          </cell>
          <cell r="AQ146">
            <v>745</v>
          </cell>
          <cell r="AR146">
            <v>600</v>
          </cell>
          <cell r="AS146">
            <v>0</v>
          </cell>
          <cell r="AT146">
            <v>300</v>
          </cell>
          <cell r="AU146">
            <v>320</v>
          </cell>
          <cell r="AV146">
            <v>0</v>
          </cell>
          <cell r="AW146">
            <v>0</v>
          </cell>
          <cell r="AX146">
            <v>0</v>
          </cell>
          <cell r="AY146">
            <v>175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497</v>
          </cell>
          <cell r="BG146">
            <v>0</v>
          </cell>
          <cell r="BH146">
            <v>0</v>
          </cell>
          <cell r="BI146">
            <v>0</v>
          </cell>
          <cell r="BJ146">
            <v>333650</v>
          </cell>
          <cell r="BK146">
            <v>10</v>
          </cell>
          <cell r="BL146">
            <v>333640</v>
          </cell>
        </row>
        <row r="147">
          <cell r="B147" t="str">
            <v>PAK105</v>
          </cell>
          <cell r="C147">
            <v>25920</v>
          </cell>
          <cell r="D147">
            <v>16740</v>
          </cell>
          <cell r="E147">
            <v>13560</v>
          </cell>
          <cell r="F147">
            <v>4380</v>
          </cell>
          <cell r="G147">
            <v>12360</v>
          </cell>
          <cell r="H147">
            <v>12360</v>
          </cell>
          <cell r="I147">
            <v>3750</v>
          </cell>
          <cell r="J147">
            <v>3750</v>
          </cell>
          <cell r="K147">
            <v>3750</v>
          </cell>
          <cell r="L147">
            <v>995</v>
          </cell>
          <cell r="M147">
            <v>2755</v>
          </cell>
          <cell r="N147">
            <v>0</v>
          </cell>
          <cell r="O147">
            <v>8610</v>
          </cell>
          <cell r="P147">
            <v>8610</v>
          </cell>
          <cell r="Q147">
            <v>3310</v>
          </cell>
          <cell r="R147">
            <v>3310</v>
          </cell>
          <cell r="S147">
            <v>5300</v>
          </cell>
          <cell r="T147">
            <v>5300</v>
          </cell>
          <cell r="U147">
            <v>835</v>
          </cell>
          <cell r="V147">
            <v>595</v>
          </cell>
          <cell r="W147">
            <v>65</v>
          </cell>
          <cell r="X147">
            <v>10</v>
          </cell>
          <cell r="Y147">
            <v>165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620</v>
          </cell>
          <cell r="AG147">
            <v>390</v>
          </cell>
          <cell r="AH147">
            <v>230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3845</v>
          </cell>
          <cell r="AP147">
            <v>0</v>
          </cell>
          <cell r="AQ147">
            <v>0</v>
          </cell>
          <cell r="AR147">
            <v>540</v>
          </cell>
          <cell r="AS147">
            <v>0</v>
          </cell>
          <cell r="AT147">
            <v>300</v>
          </cell>
          <cell r="AU147">
            <v>765</v>
          </cell>
          <cell r="AV147">
            <v>20</v>
          </cell>
          <cell r="AW147">
            <v>0</v>
          </cell>
          <cell r="AX147">
            <v>1925</v>
          </cell>
          <cell r="AY147">
            <v>140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155</v>
          </cell>
          <cell r="BG147">
            <v>0</v>
          </cell>
          <cell r="BH147">
            <v>0</v>
          </cell>
          <cell r="BI147">
            <v>0</v>
          </cell>
          <cell r="BJ147">
            <v>182838</v>
          </cell>
          <cell r="BK147">
            <v>0</v>
          </cell>
          <cell r="BL147">
            <v>182838</v>
          </cell>
        </row>
        <row r="148">
          <cell r="B148" t="str">
            <v>PAK102</v>
          </cell>
          <cell r="C148">
            <v>25920</v>
          </cell>
          <cell r="D148">
            <v>8640</v>
          </cell>
          <cell r="E148">
            <v>25920</v>
          </cell>
          <cell r="F148">
            <v>8640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/>
          <cell r="R148"/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</row>
        <row r="149">
          <cell r="B149" t="str">
            <v>PAK104</v>
          </cell>
          <cell r="C149">
            <v>25920</v>
          </cell>
          <cell r="D149">
            <v>8640</v>
          </cell>
          <cell r="E149">
            <v>25410</v>
          </cell>
          <cell r="F149">
            <v>8130</v>
          </cell>
          <cell r="G149">
            <v>510</v>
          </cell>
          <cell r="H149">
            <v>510</v>
          </cell>
          <cell r="I149">
            <v>280</v>
          </cell>
          <cell r="J149">
            <v>280</v>
          </cell>
          <cell r="K149">
            <v>280</v>
          </cell>
          <cell r="L149">
            <v>0</v>
          </cell>
          <cell r="M149">
            <v>280</v>
          </cell>
          <cell r="N149">
            <v>0</v>
          </cell>
          <cell r="O149">
            <v>230</v>
          </cell>
          <cell r="P149">
            <v>230</v>
          </cell>
          <cell r="Q149">
            <v>45</v>
          </cell>
          <cell r="R149">
            <v>45</v>
          </cell>
          <cell r="S149">
            <v>185</v>
          </cell>
          <cell r="T149">
            <v>185</v>
          </cell>
          <cell r="U149">
            <v>25</v>
          </cell>
          <cell r="V149">
            <v>25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100</v>
          </cell>
          <cell r="AG149">
            <v>40</v>
          </cell>
          <cell r="AH149">
            <v>50</v>
          </cell>
          <cell r="AI149">
            <v>0</v>
          </cell>
          <cell r="AJ149">
            <v>0</v>
          </cell>
          <cell r="AK149">
            <v>10</v>
          </cell>
          <cell r="AL149">
            <v>0</v>
          </cell>
          <cell r="AM149">
            <v>0</v>
          </cell>
          <cell r="AN149">
            <v>0</v>
          </cell>
          <cell r="AO149">
            <v>60</v>
          </cell>
          <cell r="AP149">
            <v>0</v>
          </cell>
          <cell r="AQ149">
            <v>0</v>
          </cell>
          <cell r="AR149">
            <v>45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10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5</v>
          </cell>
          <cell r="BG149">
            <v>0</v>
          </cell>
          <cell r="BH149">
            <v>0</v>
          </cell>
          <cell r="BI149">
            <v>0</v>
          </cell>
          <cell r="BJ149">
            <v>1539</v>
          </cell>
          <cell r="BK149">
            <v>0</v>
          </cell>
          <cell r="BL149">
            <v>1539</v>
          </cell>
        </row>
        <row r="150">
          <cell r="B150" t="str">
            <v>PAK111</v>
          </cell>
          <cell r="C150">
            <v>25920</v>
          </cell>
          <cell r="D150">
            <v>8640</v>
          </cell>
          <cell r="E150">
            <v>20820</v>
          </cell>
          <cell r="F150">
            <v>3540</v>
          </cell>
          <cell r="G150">
            <v>5100</v>
          </cell>
          <cell r="H150">
            <v>5100</v>
          </cell>
          <cell r="I150">
            <v>1590</v>
          </cell>
          <cell r="J150">
            <v>1590</v>
          </cell>
          <cell r="K150">
            <v>1590</v>
          </cell>
          <cell r="L150">
            <v>180</v>
          </cell>
          <cell r="M150">
            <v>1410</v>
          </cell>
          <cell r="N150">
            <v>0</v>
          </cell>
          <cell r="O150">
            <v>3510</v>
          </cell>
          <cell r="P150">
            <v>3510</v>
          </cell>
          <cell r="Q150">
            <v>1627</v>
          </cell>
          <cell r="R150">
            <v>1627</v>
          </cell>
          <cell r="S150">
            <v>1883</v>
          </cell>
          <cell r="T150">
            <v>1883</v>
          </cell>
          <cell r="U150">
            <v>736</v>
          </cell>
          <cell r="V150">
            <v>300</v>
          </cell>
          <cell r="W150">
            <v>79</v>
          </cell>
          <cell r="X150">
            <v>208</v>
          </cell>
          <cell r="Y150">
            <v>149</v>
          </cell>
          <cell r="Z150">
            <v>135</v>
          </cell>
          <cell r="AA150">
            <v>0</v>
          </cell>
          <cell r="AB150">
            <v>135</v>
          </cell>
          <cell r="AC150">
            <v>0</v>
          </cell>
          <cell r="AD150">
            <v>0</v>
          </cell>
          <cell r="AE150">
            <v>0</v>
          </cell>
          <cell r="AF150">
            <v>537</v>
          </cell>
          <cell r="AG150">
            <v>390</v>
          </cell>
          <cell r="AH150">
            <v>147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475</v>
          </cell>
          <cell r="AP150">
            <v>0</v>
          </cell>
          <cell r="AQ150">
            <v>0</v>
          </cell>
          <cell r="AR150">
            <v>180</v>
          </cell>
          <cell r="AS150">
            <v>0</v>
          </cell>
          <cell r="AT150">
            <v>90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100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105</v>
          </cell>
          <cell r="BG150">
            <v>0</v>
          </cell>
          <cell r="BH150">
            <v>0</v>
          </cell>
          <cell r="BI150">
            <v>0</v>
          </cell>
          <cell r="BJ150">
            <v>187041</v>
          </cell>
          <cell r="BK150">
            <v>39</v>
          </cell>
          <cell r="BL150">
            <v>187002</v>
          </cell>
        </row>
        <row r="151">
          <cell r="B151" t="str">
            <v>CPH SOL-MIXING</v>
          </cell>
          <cell r="C151">
            <v>25920</v>
          </cell>
          <cell r="D151">
            <v>8640</v>
          </cell>
          <cell r="E151">
            <v>25440</v>
          </cell>
          <cell r="F151">
            <v>8160</v>
          </cell>
          <cell r="G151">
            <v>480</v>
          </cell>
          <cell r="H151">
            <v>480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480</v>
          </cell>
          <cell r="P151">
            <v>480</v>
          </cell>
          <cell r="Q151">
            <v>32</v>
          </cell>
          <cell r="R151">
            <v>32</v>
          </cell>
          <cell r="S151">
            <v>448</v>
          </cell>
          <cell r="T151">
            <v>448</v>
          </cell>
          <cell r="U151">
            <v>25</v>
          </cell>
          <cell r="V151">
            <v>10</v>
          </cell>
          <cell r="W151">
            <v>15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207</v>
          </cell>
          <cell r="AG151">
            <v>132</v>
          </cell>
          <cell r="AH151">
            <v>65</v>
          </cell>
          <cell r="AI151">
            <v>0</v>
          </cell>
          <cell r="AJ151">
            <v>0</v>
          </cell>
          <cell r="AK151">
            <v>10</v>
          </cell>
          <cell r="AL151">
            <v>0</v>
          </cell>
          <cell r="AM151">
            <v>0</v>
          </cell>
          <cell r="AN151">
            <v>0</v>
          </cell>
          <cell r="AO151">
            <v>216</v>
          </cell>
          <cell r="AP151">
            <v>115</v>
          </cell>
          <cell r="AQ151">
            <v>0</v>
          </cell>
          <cell r="AR151">
            <v>30</v>
          </cell>
          <cell r="AS151">
            <v>0</v>
          </cell>
          <cell r="AT151">
            <v>45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26</v>
          </cell>
          <cell r="BG151">
            <v>0</v>
          </cell>
          <cell r="BH151">
            <v>0</v>
          </cell>
          <cell r="BI151">
            <v>0</v>
          </cell>
          <cell r="BJ151">
            <v>85.13</v>
          </cell>
          <cell r="BK151">
            <v>0.4</v>
          </cell>
          <cell r="BL151">
            <v>84.73</v>
          </cell>
        </row>
        <row r="152">
          <cell r="B152" t="str">
            <v>MCF101</v>
          </cell>
          <cell r="C152">
            <v>25920</v>
          </cell>
          <cell r="D152">
            <v>8640</v>
          </cell>
          <cell r="E152">
            <v>25440</v>
          </cell>
          <cell r="F152">
            <v>8160</v>
          </cell>
          <cell r="G152">
            <v>480</v>
          </cell>
          <cell r="H152">
            <v>480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480</v>
          </cell>
          <cell r="P152">
            <v>480</v>
          </cell>
          <cell r="Q152">
            <v>32</v>
          </cell>
          <cell r="R152">
            <v>32</v>
          </cell>
          <cell r="S152">
            <v>448</v>
          </cell>
          <cell r="T152">
            <v>448</v>
          </cell>
          <cell r="U152">
            <v>25</v>
          </cell>
          <cell r="V152">
            <v>10</v>
          </cell>
          <cell r="W152">
            <v>15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207</v>
          </cell>
          <cell r="AG152">
            <v>132</v>
          </cell>
          <cell r="AH152">
            <v>65</v>
          </cell>
          <cell r="AI152">
            <v>0</v>
          </cell>
          <cell r="AJ152">
            <v>0</v>
          </cell>
          <cell r="AK152">
            <v>10</v>
          </cell>
          <cell r="AL152">
            <v>0</v>
          </cell>
          <cell r="AM152">
            <v>0</v>
          </cell>
          <cell r="AN152">
            <v>0</v>
          </cell>
          <cell r="AO152">
            <v>216</v>
          </cell>
          <cell r="AP152">
            <v>115</v>
          </cell>
          <cell r="AQ152">
            <v>0</v>
          </cell>
          <cell r="AR152">
            <v>30</v>
          </cell>
          <cell r="AS152">
            <v>0</v>
          </cell>
          <cell r="AT152">
            <v>45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26</v>
          </cell>
          <cell r="BG152">
            <v>0</v>
          </cell>
          <cell r="BH152">
            <v>0</v>
          </cell>
          <cell r="BI152">
            <v>0</v>
          </cell>
          <cell r="BJ152">
            <v>85.13</v>
          </cell>
          <cell r="BK152">
            <v>0.4</v>
          </cell>
          <cell r="BL152">
            <v>84.73</v>
          </cell>
        </row>
        <row r="153">
          <cell r="B153" t="str">
            <v>CPH SOL-CAPSULE</v>
          </cell>
          <cell r="C153">
            <v>25920</v>
          </cell>
          <cell r="D153">
            <v>8640</v>
          </cell>
          <cell r="E153">
            <v>25410</v>
          </cell>
          <cell r="F153">
            <v>8130</v>
          </cell>
          <cell r="G153">
            <v>510</v>
          </cell>
          <cell r="H153">
            <v>510</v>
          </cell>
          <cell r="I153">
            <v>90</v>
          </cell>
          <cell r="J153">
            <v>90</v>
          </cell>
          <cell r="K153">
            <v>90</v>
          </cell>
          <cell r="L153">
            <v>0</v>
          </cell>
          <cell r="M153">
            <v>90</v>
          </cell>
          <cell r="N153">
            <v>0</v>
          </cell>
          <cell r="O153">
            <v>420</v>
          </cell>
          <cell r="P153">
            <v>420</v>
          </cell>
          <cell r="Q153">
            <v>135</v>
          </cell>
          <cell r="R153">
            <v>135</v>
          </cell>
          <cell r="S153">
            <v>285</v>
          </cell>
          <cell r="T153">
            <v>285</v>
          </cell>
          <cell r="U153">
            <v>10</v>
          </cell>
          <cell r="V153">
            <v>10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140</v>
          </cell>
          <cell r="AG153">
            <v>40</v>
          </cell>
          <cell r="AH153">
            <v>0</v>
          </cell>
          <cell r="AI153">
            <v>0</v>
          </cell>
          <cell r="AJ153">
            <v>0</v>
          </cell>
          <cell r="AK153">
            <v>100</v>
          </cell>
          <cell r="AL153">
            <v>0</v>
          </cell>
          <cell r="AM153">
            <v>0</v>
          </cell>
          <cell r="AN153">
            <v>0</v>
          </cell>
          <cell r="AO153">
            <v>135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45</v>
          </cell>
          <cell r="AU153">
            <v>0</v>
          </cell>
          <cell r="AV153">
            <v>0</v>
          </cell>
          <cell r="AW153">
            <v>0</v>
          </cell>
          <cell r="AX153">
            <v>60</v>
          </cell>
          <cell r="AY153">
            <v>20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10</v>
          </cell>
          <cell r="BG153">
            <v>0</v>
          </cell>
          <cell r="BH153">
            <v>0</v>
          </cell>
          <cell r="BI153">
            <v>0</v>
          </cell>
          <cell r="BJ153">
            <v>100672</v>
          </cell>
          <cell r="BK153">
            <v>168</v>
          </cell>
          <cell r="BL153">
            <v>100504</v>
          </cell>
        </row>
        <row r="154">
          <cell r="B154" t="str">
            <v>KCF101</v>
          </cell>
          <cell r="C154">
            <v>25920</v>
          </cell>
          <cell r="D154">
            <v>8640</v>
          </cell>
          <cell r="E154">
            <v>25410</v>
          </cell>
          <cell r="F154">
            <v>8130</v>
          </cell>
          <cell r="G154">
            <v>510</v>
          </cell>
          <cell r="H154">
            <v>510</v>
          </cell>
          <cell r="I154">
            <v>90</v>
          </cell>
          <cell r="J154">
            <v>90</v>
          </cell>
          <cell r="K154">
            <v>90</v>
          </cell>
          <cell r="L154">
            <v>0</v>
          </cell>
          <cell r="M154">
            <v>90</v>
          </cell>
          <cell r="N154">
            <v>0</v>
          </cell>
          <cell r="O154">
            <v>420</v>
          </cell>
          <cell r="P154">
            <v>420</v>
          </cell>
          <cell r="Q154">
            <v>135</v>
          </cell>
          <cell r="R154">
            <v>135</v>
          </cell>
          <cell r="S154">
            <v>285</v>
          </cell>
          <cell r="T154">
            <v>285</v>
          </cell>
          <cell r="U154">
            <v>10</v>
          </cell>
          <cell r="V154">
            <v>10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140</v>
          </cell>
          <cell r="AG154">
            <v>40</v>
          </cell>
          <cell r="AH154">
            <v>0</v>
          </cell>
          <cell r="AI154">
            <v>0</v>
          </cell>
          <cell r="AJ154">
            <v>0</v>
          </cell>
          <cell r="AK154">
            <v>100</v>
          </cell>
          <cell r="AL154">
            <v>0</v>
          </cell>
          <cell r="AM154">
            <v>0</v>
          </cell>
          <cell r="AN154">
            <v>0</v>
          </cell>
          <cell r="AO154">
            <v>135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45</v>
          </cell>
          <cell r="AU154">
            <v>0</v>
          </cell>
          <cell r="AV154">
            <v>0</v>
          </cell>
          <cell r="AW154">
            <v>0</v>
          </cell>
          <cell r="AX154">
            <v>60</v>
          </cell>
          <cell r="AY154">
            <v>20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10</v>
          </cell>
          <cell r="BG154">
            <v>0</v>
          </cell>
          <cell r="BH154">
            <v>0</v>
          </cell>
          <cell r="BI154">
            <v>0</v>
          </cell>
          <cell r="BJ154">
            <v>100672</v>
          </cell>
          <cell r="BK154">
            <v>168</v>
          </cell>
          <cell r="BL154">
            <v>100504</v>
          </cell>
        </row>
        <row r="155">
          <cell r="B155" t="str">
            <v>CPH SOL-STRIPPING</v>
          </cell>
          <cell r="C155">
            <v>25920</v>
          </cell>
          <cell r="D155">
            <v>8640</v>
          </cell>
          <cell r="E155">
            <v>25410</v>
          </cell>
          <cell r="F155">
            <v>8130</v>
          </cell>
          <cell r="G155">
            <v>510</v>
          </cell>
          <cell r="H155">
            <v>510</v>
          </cell>
          <cell r="I155">
            <v>30</v>
          </cell>
          <cell r="J155">
            <v>30</v>
          </cell>
          <cell r="K155">
            <v>30</v>
          </cell>
          <cell r="L155">
            <v>30</v>
          </cell>
          <cell r="M155">
            <v>0</v>
          </cell>
          <cell r="N155">
            <v>0</v>
          </cell>
          <cell r="O155">
            <v>480</v>
          </cell>
          <cell r="P155">
            <v>480</v>
          </cell>
          <cell r="Q155">
            <v>125</v>
          </cell>
          <cell r="R155">
            <v>125</v>
          </cell>
          <cell r="S155">
            <v>355</v>
          </cell>
          <cell r="T155">
            <v>355</v>
          </cell>
          <cell r="U155">
            <v>105</v>
          </cell>
          <cell r="V155">
            <v>45</v>
          </cell>
          <cell r="W155">
            <v>0</v>
          </cell>
          <cell r="X155">
            <v>60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175</v>
          </cell>
          <cell r="AG155">
            <v>70</v>
          </cell>
          <cell r="AH155">
            <v>105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75</v>
          </cell>
          <cell r="AP155">
            <v>0</v>
          </cell>
          <cell r="AQ155">
            <v>0</v>
          </cell>
          <cell r="AR155">
            <v>30</v>
          </cell>
          <cell r="AS155">
            <v>0</v>
          </cell>
          <cell r="AT155">
            <v>15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30</v>
          </cell>
          <cell r="BG155">
            <v>0</v>
          </cell>
          <cell r="BH155">
            <v>0</v>
          </cell>
          <cell r="BI155">
            <v>0</v>
          </cell>
          <cell r="BJ155">
            <v>100829</v>
          </cell>
          <cell r="BK155">
            <v>489</v>
          </cell>
          <cell r="BL155">
            <v>100340</v>
          </cell>
        </row>
        <row r="156">
          <cell r="B156" t="str">
            <v>STC101</v>
          </cell>
          <cell r="C156">
            <v>25920</v>
          </cell>
          <cell r="D156">
            <v>8640</v>
          </cell>
          <cell r="E156">
            <v>25410</v>
          </cell>
          <cell r="F156">
            <v>8130</v>
          </cell>
          <cell r="G156">
            <v>510</v>
          </cell>
          <cell r="H156">
            <v>510</v>
          </cell>
          <cell r="I156">
            <v>30</v>
          </cell>
          <cell r="J156">
            <v>30</v>
          </cell>
          <cell r="K156">
            <v>30</v>
          </cell>
          <cell r="L156">
            <v>30</v>
          </cell>
          <cell r="M156">
            <v>0</v>
          </cell>
          <cell r="N156">
            <v>0</v>
          </cell>
          <cell r="O156">
            <v>480</v>
          </cell>
          <cell r="P156">
            <v>480</v>
          </cell>
          <cell r="Q156">
            <v>125</v>
          </cell>
          <cell r="R156">
            <v>125</v>
          </cell>
          <cell r="S156">
            <v>355</v>
          </cell>
          <cell r="T156">
            <v>355</v>
          </cell>
          <cell r="U156">
            <v>105</v>
          </cell>
          <cell r="V156">
            <v>45</v>
          </cell>
          <cell r="W156">
            <v>0</v>
          </cell>
          <cell r="X156">
            <v>60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175</v>
          </cell>
          <cell r="AG156">
            <v>70</v>
          </cell>
          <cell r="AH156">
            <v>105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75</v>
          </cell>
          <cell r="AP156">
            <v>0</v>
          </cell>
          <cell r="AQ156">
            <v>0</v>
          </cell>
          <cell r="AR156">
            <v>30</v>
          </cell>
          <cell r="AS156">
            <v>0</v>
          </cell>
          <cell r="AT156">
            <v>15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30</v>
          </cell>
          <cell r="BG156">
            <v>0</v>
          </cell>
          <cell r="BH156">
            <v>0</v>
          </cell>
          <cell r="BI156">
            <v>0</v>
          </cell>
          <cell r="BJ156">
            <v>100829</v>
          </cell>
          <cell r="BK156">
            <v>489</v>
          </cell>
          <cell r="BL156">
            <v>100340</v>
          </cell>
        </row>
        <row r="157">
          <cell r="B157" t="str">
            <v>CPH SOL-POWDER FILLING</v>
          </cell>
          <cell r="C157">
            <v>25920</v>
          </cell>
          <cell r="D157">
            <v>8640</v>
          </cell>
          <cell r="E157">
            <v>25410</v>
          </cell>
          <cell r="F157">
            <v>8130</v>
          </cell>
          <cell r="G157">
            <v>510</v>
          </cell>
          <cell r="H157">
            <v>510</v>
          </cell>
          <cell r="I157">
            <v>30</v>
          </cell>
          <cell r="J157">
            <v>30</v>
          </cell>
          <cell r="K157">
            <v>30</v>
          </cell>
          <cell r="L157">
            <v>30</v>
          </cell>
          <cell r="M157">
            <v>0</v>
          </cell>
          <cell r="N157">
            <v>0</v>
          </cell>
          <cell r="O157">
            <v>480</v>
          </cell>
          <cell r="P157">
            <v>480</v>
          </cell>
          <cell r="Q157">
            <v>85</v>
          </cell>
          <cell r="R157">
            <v>85</v>
          </cell>
          <cell r="S157">
            <v>395</v>
          </cell>
          <cell r="T157">
            <v>395</v>
          </cell>
          <cell r="U157">
            <v>50</v>
          </cell>
          <cell r="V157">
            <v>20</v>
          </cell>
          <cell r="W157">
            <v>0</v>
          </cell>
          <cell r="X157">
            <v>15</v>
          </cell>
          <cell r="Y157">
            <v>15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220</v>
          </cell>
          <cell r="AG157">
            <v>75</v>
          </cell>
          <cell r="AH157">
            <v>135</v>
          </cell>
          <cell r="AI157">
            <v>0</v>
          </cell>
          <cell r="AJ157">
            <v>0</v>
          </cell>
          <cell r="AK157">
            <v>10</v>
          </cell>
          <cell r="AL157">
            <v>0</v>
          </cell>
          <cell r="AM157">
            <v>0</v>
          </cell>
          <cell r="AN157">
            <v>0</v>
          </cell>
          <cell r="AO157">
            <v>125</v>
          </cell>
          <cell r="AP157">
            <v>0</v>
          </cell>
          <cell r="AQ157">
            <v>0</v>
          </cell>
          <cell r="AR157">
            <v>45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20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10</v>
          </cell>
          <cell r="BG157">
            <v>50</v>
          </cell>
          <cell r="BH157">
            <v>0</v>
          </cell>
          <cell r="BI157">
            <v>0</v>
          </cell>
          <cell r="BJ157">
            <v>1539</v>
          </cell>
          <cell r="BK157">
            <v>14</v>
          </cell>
          <cell r="BL157">
            <v>1525</v>
          </cell>
        </row>
        <row r="158">
          <cell r="B158" t="str">
            <v>SCF102</v>
          </cell>
          <cell r="C158">
            <v>25920</v>
          </cell>
          <cell r="D158">
            <v>8640</v>
          </cell>
          <cell r="E158">
            <v>25410</v>
          </cell>
          <cell r="F158">
            <v>8130</v>
          </cell>
          <cell r="G158">
            <v>510</v>
          </cell>
          <cell r="H158">
            <v>510</v>
          </cell>
          <cell r="I158">
            <v>30</v>
          </cell>
          <cell r="J158">
            <v>30</v>
          </cell>
          <cell r="K158">
            <v>30</v>
          </cell>
          <cell r="L158">
            <v>30</v>
          </cell>
          <cell r="M158">
            <v>0</v>
          </cell>
          <cell r="N158">
            <v>0</v>
          </cell>
          <cell r="O158">
            <v>480</v>
          </cell>
          <cell r="P158">
            <v>480</v>
          </cell>
          <cell r="Q158">
            <v>85</v>
          </cell>
          <cell r="R158">
            <v>85</v>
          </cell>
          <cell r="S158">
            <v>395</v>
          </cell>
          <cell r="T158">
            <v>395</v>
          </cell>
          <cell r="U158">
            <v>50</v>
          </cell>
          <cell r="V158">
            <v>20</v>
          </cell>
          <cell r="W158">
            <v>0</v>
          </cell>
          <cell r="X158">
            <v>15</v>
          </cell>
          <cell r="Y158">
            <v>15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220</v>
          </cell>
          <cell r="AG158">
            <v>75</v>
          </cell>
          <cell r="AH158">
            <v>135</v>
          </cell>
          <cell r="AI158">
            <v>0</v>
          </cell>
          <cell r="AJ158">
            <v>0</v>
          </cell>
          <cell r="AK158">
            <v>10</v>
          </cell>
          <cell r="AL158">
            <v>0</v>
          </cell>
          <cell r="AM158">
            <v>0</v>
          </cell>
          <cell r="AN158">
            <v>0</v>
          </cell>
          <cell r="AO158">
            <v>125</v>
          </cell>
          <cell r="AP158">
            <v>0</v>
          </cell>
          <cell r="AQ158">
            <v>0</v>
          </cell>
          <cell r="AR158">
            <v>45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20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10</v>
          </cell>
          <cell r="BG158">
            <v>50</v>
          </cell>
          <cell r="BH158">
            <v>0</v>
          </cell>
          <cell r="BI158">
            <v>0</v>
          </cell>
          <cell r="BJ158">
            <v>1539</v>
          </cell>
          <cell r="BK158">
            <v>14</v>
          </cell>
          <cell r="BL158">
            <v>1525</v>
          </cell>
        </row>
        <row r="159">
          <cell r="B159" t="str">
            <v>CPH INJ-FILLING</v>
          </cell>
          <cell r="C159">
            <v>25920</v>
          </cell>
          <cell r="D159">
            <v>16740</v>
          </cell>
          <cell r="E159">
            <v>19830</v>
          </cell>
          <cell r="F159">
            <v>10650</v>
          </cell>
          <cell r="G159">
            <v>6090</v>
          </cell>
          <cell r="H159">
            <v>6090</v>
          </cell>
          <cell r="I159">
            <v>517</v>
          </cell>
          <cell r="J159">
            <v>517</v>
          </cell>
          <cell r="K159">
            <v>517</v>
          </cell>
          <cell r="L159">
            <v>57</v>
          </cell>
          <cell r="M159">
            <v>460</v>
          </cell>
          <cell r="N159">
            <v>0</v>
          </cell>
          <cell r="O159">
            <v>5573</v>
          </cell>
          <cell r="P159">
            <v>5573</v>
          </cell>
          <cell r="Q159">
            <v>1839</v>
          </cell>
          <cell r="R159">
            <v>1839</v>
          </cell>
          <cell r="S159">
            <v>3734</v>
          </cell>
          <cell r="T159">
            <v>3734</v>
          </cell>
          <cell r="U159">
            <v>550</v>
          </cell>
          <cell r="V159">
            <v>430</v>
          </cell>
          <cell r="W159">
            <v>0</v>
          </cell>
          <cell r="X159">
            <v>116</v>
          </cell>
          <cell r="Y159">
            <v>4</v>
          </cell>
          <cell r="Z159">
            <v>452</v>
          </cell>
          <cell r="AA159">
            <v>276</v>
          </cell>
          <cell r="AB159">
            <v>0</v>
          </cell>
          <cell r="AC159">
            <v>0</v>
          </cell>
          <cell r="AD159">
            <v>176</v>
          </cell>
          <cell r="AE159">
            <v>0</v>
          </cell>
          <cell r="AF159">
            <v>983</v>
          </cell>
          <cell r="AG159">
            <v>125</v>
          </cell>
          <cell r="AH159">
            <v>858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1749</v>
          </cell>
          <cell r="AP159">
            <v>0</v>
          </cell>
          <cell r="AQ159">
            <v>0</v>
          </cell>
          <cell r="AR159">
            <v>430</v>
          </cell>
          <cell r="AS159">
            <v>35</v>
          </cell>
          <cell r="AT159">
            <v>280</v>
          </cell>
          <cell r="AU159">
            <v>0</v>
          </cell>
          <cell r="AV159">
            <v>0</v>
          </cell>
          <cell r="AW159">
            <v>247</v>
          </cell>
          <cell r="AX159">
            <v>0</v>
          </cell>
          <cell r="AY159">
            <v>73</v>
          </cell>
          <cell r="AZ159">
            <v>0</v>
          </cell>
          <cell r="BA159">
            <v>0</v>
          </cell>
          <cell r="BB159">
            <v>684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217220</v>
          </cell>
          <cell r="BK159">
            <v>8</v>
          </cell>
          <cell r="BL159">
            <v>217212</v>
          </cell>
        </row>
        <row r="160">
          <cell r="B160" t="str">
            <v>GINLINE6</v>
          </cell>
          <cell r="C160">
            <v>25920</v>
          </cell>
          <cell r="D160">
            <v>16740</v>
          </cell>
          <cell r="E160">
            <v>19830</v>
          </cell>
          <cell r="F160">
            <v>10650</v>
          </cell>
          <cell r="G160">
            <v>6090</v>
          </cell>
          <cell r="H160">
            <v>6090</v>
          </cell>
          <cell r="I160">
            <v>517</v>
          </cell>
          <cell r="J160">
            <v>517</v>
          </cell>
          <cell r="K160">
            <v>517</v>
          </cell>
          <cell r="L160">
            <v>57</v>
          </cell>
          <cell r="M160">
            <v>460</v>
          </cell>
          <cell r="N160">
            <v>0</v>
          </cell>
          <cell r="O160">
            <v>5573</v>
          </cell>
          <cell r="P160">
            <v>5573</v>
          </cell>
          <cell r="Q160">
            <v>1839</v>
          </cell>
          <cell r="R160">
            <v>1839</v>
          </cell>
          <cell r="S160">
            <v>3734</v>
          </cell>
          <cell r="T160">
            <v>3734</v>
          </cell>
          <cell r="U160">
            <v>550</v>
          </cell>
          <cell r="V160">
            <v>430</v>
          </cell>
          <cell r="W160">
            <v>0</v>
          </cell>
          <cell r="X160">
            <v>116</v>
          </cell>
          <cell r="Y160">
            <v>4</v>
          </cell>
          <cell r="Z160">
            <v>452</v>
          </cell>
          <cell r="AA160">
            <v>276</v>
          </cell>
          <cell r="AB160">
            <v>0</v>
          </cell>
          <cell r="AC160">
            <v>0</v>
          </cell>
          <cell r="AD160">
            <v>176</v>
          </cell>
          <cell r="AE160">
            <v>0</v>
          </cell>
          <cell r="AF160">
            <v>983</v>
          </cell>
          <cell r="AG160">
            <v>125</v>
          </cell>
          <cell r="AH160">
            <v>858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1749</v>
          </cell>
          <cell r="AP160">
            <v>0</v>
          </cell>
          <cell r="AQ160">
            <v>0</v>
          </cell>
          <cell r="AR160">
            <v>430</v>
          </cell>
          <cell r="AS160">
            <v>35</v>
          </cell>
          <cell r="AT160">
            <v>280</v>
          </cell>
          <cell r="AU160">
            <v>0</v>
          </cell>
          <cell r="AV160">
            <v>0</v>
          </cell>
          <cell r="AW160">
            <v>247</v>
          </cell>
          <cell r="AX160">
            <v>0</v>
          </cell>
          <cell r="AY160">
            <v>73</v>
          </cell>
          <cell r="AZ160">
            <v>0</v>
          </cell>
          <cell r="BA160">
            <v>0</v>
          </cell>
          <cell r="BB160">
            <v>684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217220</v>
          </cell>
          <cell r="BK160">
            <v>8</v>
          </cell>
          <cell r="BL160">
            <v>217212</v>
          </cell>
        </row>
        <row r="161">
          <cell r="B161" t="str">
            <v>CPH INJ-STERILIZATION</v>
          </cell>
          <cell r="C161">
            <v>54720</v>
          </cell>
          <cell r="D161">
            <v>35340</v>
          </cell>
          <cell r="E161">
            <v>42805</v>
          </cell>
          <cell r="F161">
            <v>23425</v>
          </cell>
          <cell r="G161">
            <v>11915</v>
          </cell>
          <cell r="H161">
            <v>11915</v>
          </cell>
          <cell r="I161">
            <v>693</v>
          </cell>
          <cell r="J161">
            <v>693</v>
          </cell>
          <cell r="K161">
            <v>693</v>
          </cell>
          <cell r="L161">
            <v>107</v>
          </cell>
          <cell r="M161">
            <v>586</v>
          </cell>
          <cell r="N161">
            <v>0</v>
          </cell>
          <cell r="O161">
            <v>11222</v>
          </cell>
          <cell r="P161">
            <v>11222</v>
          </cell>
          <cell r="Q161">
            <v>4315</v>
          </cell>
          <cell r="R161">
            <v>4315</v>
          </cell>
          <cell r="S161">
            <v>6907</v>
          </cell>
          <cell r="T161">
            <v>6907</v>
          </cell>
          <cell r="U161">
            <v>394</v>
          </cell>
          <cell r="V161">
            <v>289</v>
          </cell>
          <cell r="W161">
            <v>0</v>
          </cell>
          <cell r="X161">
            <v>105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3132</v>
          </cell>
          <cell r="AG161">
            <v>2887</v>
          </cell>
          <cell r="AH161">
            <v>245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3381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60</v>
          </cell>
          <cell r="AX161">
            <v>3321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572</v>
          </cell>
          <cell r="BK161">
            <v>0</v>
          </cell>
          <cell r="BL161">
            <v>572</v>
          </cell>
        </row>
        <row r="162">
          <cell r="B162" t="str">
            <v>ICF104</v>
          </cell>
          <cell r="C162">
            <v>27360</v>
          </cell>
          <cell r="D162">
            <v>17670</v>
          </cell>
          <cell r="E162">
            <v>20605</v>
          </cell>
          <cell r="F162">
            <v>10915</v>
          </cell>
          <cell r="G162">
            <v>6755</v>
          </cell>
          <cell r="H162">
            <v>6755</v>
          </cell>
          <cell r="I162">
            <v>321</v>
          </cell>
          <cell r="J162">
            <v>321</v>
          </cell>
          <cell r="K162">
            <v>321</v>
          </cell>
          <cell r="L162">
            <v>77</v>
          </cell>
          <cell r="M162">
            <v>244</v>
          </cell>
          <cell r="N162">
            <v>0</v>
          </cell>
          <cell r="O162">
            <v>6434</v>
          </cell>
          <cell r="P162">
            <v>6434</v>
          </cell>
          <cell r="Q162">
            <v>2692</v>
          </cell>
          <cell r="R162">
            <v>2692</v>
          </cell>
          <cell r="S162">
            <v>3742</v>
          </cell>
          <cell r="T162">
            <v>3742</v>
          </cell>
          <cell r="U162">
            <v>188</v>
          </cell>
          <cell r="V162">
            <v>148</v>
          </cell>
          <cell r="W162">
            <v>0</v>
          </cell>
          <cell r="X162">
            <v>40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2418</v>
          </cell>
          <cell r="AG162">
            <v>2252</v>
          </cell>
          <cell r="AH162">
            <v>166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1136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40</v>
          </cell>
          <cell r="AX162">
            <v>1096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438</v>
          </cell>
          <cell r="BK162">
            <v>0</v>
          </cell>
          <cell r="BL162">
            <v>438</v>
          </cell>
        </row>
        <row r="163">
          <cell r="B163" t="str">
            <v>ICF105</v>
          </cell>
          <cell r="C163">
            <v>27360</v>
          </cell>
          <cell r="D163">
            <v>17670</v>
          </cell>
          <cell r="E163">
            <v>22200</v>
          </cell>
          <cell r="F163">
            <v>12510</v>
          </cell>
          <cell r="G163">
            <v>5160</v>
          </cell>
          <cell r="H163">
            <v>5160</v>
          </cell>
          <cell r="I163">
            <v>372</v>
          </cell>
          <cell r="J163">
            <v>372</v>
          </cell>
          <cell r="K163">
            <v>372</v>
          </cell>
          <cell r="L163">
            <v>30</v>
          </cell>
          <cell r="M163">
            <v>342</v>
          </cell>
          <cell r="N163">
            <v>0</v>
          </cell>
          <cell r="O163">
            <v>4788</v>
          </cell>
          <cell r="P163">
            <v>4788</v>
          </cell>
          <cell r="Q163">
            <v>1623</v>
          </cell>
          <cell r="R163">
            <v>1623</v>
          </cell>
          <cell r="S163">
            <v>3165</v>
          </cell>
          <cell r="T163">
            <v>3165</v>
          </cell>
          <cell r="U163">
            <v>206</v>
          </cell>
          <cell r="V163">
            <v>141</v>
          </cell>
          <cell r="W163">
            <v>0</v>
          </cell>
          <cell r="X163">
            <v>65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714</v>
          </cell>
          <cell r="AG163">
            <v>635</v>
          </cell>
          <cell r="AH163">
            <v>79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2245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20</v>
          </cell>
          <cell r="AX163">
            <v>2225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134</v>
          </cell>
          <cell r="BK163">
            <v>0</v>
          </cell>
          <cell r="BL163">
            <v>134</v>
          </cell>
        </row>
        <row r="164">
          <cell r="B164" t="str">
            <v>CPH-SECONDARY PACKING</v>
          </cell>
          <cell r="C164">
            <v>51840</v>
          </cell>
          <cell r="D164">
            <v>17280</v>
          </cell>
          <cell r="E164">
            <v>37800</v>
          </cell>
          <cell r="F164">
            <v>3240</v>
          </cell>
          <cell r="G164">
            <v>14040</v>
          </cell>
          <cell r="H164">
            <v>14040</v>
          </cell>
          <cell r="I164">
            <v>2090</v>
          </cell>
          <cell r="J164">
            <v>2090</v>
          </cell>
          <cell r="K164">
            <v>2090</v>
          </cell>
          <cell r="L164">
            <v>605</v>
          </cell>
          <cell r="M164">
            <v>1485</v>
          </cell>
          <cell r="N164">
            <v>0</v>
          </cell>
          <cell r="O164">
            <v>11950</v>
          </cell>
          <cell r="P164">
            <v>11950</v>
          </cell>
          <cell r="Q164">
            <v>4360</v>
          </cell>
          <cell r="R164">
            <v>4360</v>
          </cell>
          <cell r="S164">
            <v>7590</v>
          </cell>
          <cell r="T164">
            <v>7590</v>
          </cell>
          <cell r="U164">
            <v>2497</v>
          </cell>
          <cell r="V164">
            <v>1232</v>
          </cell>
          <cell r="W164">
            <v>80</v>
          </cell>
          <cell r="X164">
            <v>515</v>
          </cell>
          <cell r="Y164">
            <v>670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2220</v>
          </cell>
          <cell r="AG164">
            <v>1340</v>
          </cell>
          <cell r="AH164">
            <v>590</v>
          </cell>
          <cell r="AI164">
            <v>180</v>
          </cell>
          <cell r="AJ164">
            <v>0</v>
          </cell>
          <cell r="AK164">
            <v>110</v>
          </cell>
          <cell r="AL164">
            <v>0</v>
          </cell>
          <cell r="AM164">
            <v>0</v>
          </cell>
          <cell r="AN164">
            <v>0</v>
          </cell>
          <cell r="AO164">
            <v>2873</v>
          </cell>
          <cell r="AP164">
            <v>170</v>
          </cell>
          <cell r="AQ164">
            <v>0</v>
          </cell>
          <cell r="AR164">
            <v>690</v>
          </cell>
          <cell r="AS164">
            <v>0</v>
          </cell>
          <cell r="AT164">
            <v>450</v>
          </cell>
          <cell r="AU164">
            <v>665</v>
          </cell>
          <cell r="AV164">
            <v>0</v>
          </cell>
          <cell r="AW164">
            <v>0</v>
          </cell>
          <cell r="AX164">
            <v>0</v>
          </cell>
          <cell r="AY164">
            <v>233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345</v>
          </cell>
          <cell r="BG164">
            <v>320</v>
          </cell>
          <cell r="BH164">
            <v>0</v>
          </cell>
          <cell r="BI164">
            <v>0</v>
          </cell>
          <cell r="BJ164">
            <v>645786</v>
          </cell>
          <cell r="BK164">
            <v>270</v>
          </cell>
          <cell r="BL164">
            <v>645516</v>
          </cell>
        </row>
        <row r="165">
          <cell r="B165" t="str">
            <v>PCF101</v>
          </cell>
          <cell r="C165">
            <v>25920</v>
          </cell>
          <cell r="D165">
            <v>8640</v>
          </cell>
          <cell r="E165">
            <v>14430</v>
          </cell>
          <cell r="F165">
            <v>-2850</v>
          </cell>
          <cell r="G165">
            <v>11490</v>
          </cell>
          <cell r="H165">
            <v>11490</v>
          </cell>
          <cell r="I165">
            <v>1335</v>
          </cell>
          <cell r="J165">
            <v>1335</v>
          </cell>
          <cell r="K165">
            <v>1335</v>
          </cell>
          <cell r="L165">
            <v>550</v>
          </cell>
          <cell r="M165">
            <v>785</v>
          </cell>
          <cell r="N165">
            <v>0</v>
          </cell>
          <cell r="O165">
            <v>10155</v>
          </cell>
          <cell r="P165">
            <v>10155</v>
          </cell>
          <cell r="Q165">
            <v>3190</v>
          </cell>
          <cell r="R165">
            <v>3190</v>
          </cell>
          <cell r="S165">
            <v>6965</v>
          </cell>
          <cell r="T165">
            <v>6965</v>
          </cell>
          <cell r="U165">
            <v>2440</v>
          </cell>
          <cell r="V165">
            <v>1175</v>
          </cell>
          <cell r="W165">
            <v>80</v>
          </cell>
          <cell r="X165">
            <v>515</v>
          </cell>
          <cell r="Y165">
            <v>670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1985</v>
          </cell>
          <cell r="AG165">
            <v>1340</v>
          </cell>
          <cell r="AH165">
            <v>465</v>
          </cell>
          <cell r="AI165">
            <v>180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2540</v>
          </cell>
          <cell r="AP165">
            <v>170</v>
          </cell>
          <cell r="AQ165">
            <v>0</v>
          </cell>
          <cell r="AR165">
            <v>600</v>
          </cell>
          <cell r="AS165">
            <v>0</v>
          </cell>
          <cell r="AT165">
            <v>405</v>
          </cell>
          <cell r="AU165">
            <v>585</v>
          </cell>
          <cell r="AV165">
            <v>0</v>
          </cell>
          <cell r="AW165">
            <v>0</v>
          </cell>
          <cell r="AX165">
            <v>0</v>
          </cell>
          <cell r="AY165">
            <v>195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265</v>
          </cell>
          <cell r="BG165">
            <v>320</v>
          </cell>
          <cell r="BH165">
            <v>0</v>
          </cell>
          <cell r="BI165">
            <v>0</v>
          </cell>
          <cell r="BJ165">
            <v>613294</v>
          </cell>
          <cell r="BK165">
            <v>176</v>
          </cell>
          <cell r="BL165">
            <v>613118</v>
          </cell>
        </row>
        <row r="166">
          <cell r="B166" t="str">
            <v>PCF102</v>
          </cell>
          <cell r="C166">
            <v>25920</v>
          </cell>
          <cell r="D166">
            <v>8640</v>
          </cell>
          <cell r="E166">
            <v>23370</v>
          </cell>
          <cell r="F166">
            <v>6090</v>
          </cell>
          <cell r="G166">
            <v>2550</v>
          </cell>
          <cell r="H166">
            <v>2550</v>
          </cell>
          <cell r="I166">
            <v>755</v>
          </cell>
          <cell r="J166">
            <v>755</v>
          </cell>
          <cell r="K166">
            <v>755</v>
          </cell>
          <cell r="L166">
            <v>55</v>
          </cell>
          <cell r="M166">
            <v>700</v>
          </cell>
          <cell r="N166">
            <v>0</v>
          </cell>
          <cell r="O166">
            <v>1795</v>
          </cell>
          <cell r="P166">
            <v>1795</v>
          </cell>
          <cell r="Q166">
            <v>1170</v>
          </cell>
          <cell r="R166">
            <v>1170</v>
          </cell>
          <cell r="S166">
            <v>625</v>
          </cell>
          <cell r="T166">
            <v>625</v>
          </cell>
          <cell r="U166">
            <v>57</v>
          </cell>
          <cell r="V166">
            <v>57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235</v>
          </cell>
          <cell r="AG166">
            <v>0</v>
          </cell>
          <cell r="AH166">
            <v>125</v>
          </cell>
          <cell r="AI166">
            <v>0</v>
          </cell>
          <cell r="AJ166">
            <v>0</v>
          </cell>
          <cell r="AK166">
            <v>110</v>
          </cell>
          <cell r="AL166">
            <v>0</v>
          </cell>
          <cell r="AM166">
            <v>0</v>
          </cell>
          <cell r="AN166">
            <v>0</v>
          </cell>
          <cell r="AO166">
            <v>333</v>
          </cell>
          <cell r="AP166">
            <v>0</v>
          </cell>
          <cell r="AQ166">
            <v>0</v>
          </cell>
          <cell r="AR166">
            <v>90</v>
          </cell>
          <cell r="AS166">
            <v>0</v>
          </cell>
          <cell r="AT166">
            <v>45</v>
          </cell>
          <cell r="AU166">
            <v>80</v>
          </cell>
          <cell r="AV166">
            <v>0</v>
          </cell>
          <cell r="AW166">
            <v>0</v>
          </cell>
          <cell r="AX166">
            <v>0</v>
          </cell>
          <cell r="AY166">
            <v>38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80</v>
          </cell>
          <cell r="BG166">
            <v>0</v>
          </cell>
          <cell r="BH166">
            <v>0</v>
          </cell>
          <cell r="BI166">
            <v>0</v>
          </cell>
          <cell r="BJ166">
            <v>32492</v>
          </cell>
          <cell r="BK166">
            <v>94</v>
          </cell>
          <cell r="BL166">
            <v>32398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">
          <cell r="B1" t="str">
            <v>oee</v>
          </cell>
        </row>
        <row r="109">
          <cell r="C109" t="str">
            <v>PROSES( Menit )</v>
          </cell>
          <cell r="D109" t="str">
            <v>POT</v>
          </cell>
          <cell r="E109" t="str">
            <v>Unschedule Time</v>
          </cell>
          <cell r="F109" t="str">
            <v>L2</v>
          </cell>
          <cell r="G109" t="str">
            <v>L21</v>
          </cell>
          <cell r="H109" t="str">
            <v>L22</v>
          </cell>
          <cell r="I109" t="str">
            <v>IG</v>
          </cell>
          <cell r="J109" t="str">
            <v>PPT</v>
          </cell>
          <cell r="K109" t="str">
            <v>R</v>
          </cell>
          <cell r="L109" t="str">
            <v>Setup</v>
          </cell>
          <cell r="M109" t="str">
            <v>P6</v>
          </cell>
          <cell r="N109" t="str">
            <v>P5</v>
          </cell>
          <cell r="O109" t="str">
            <v>P8</v>
          </cell>
          <cell r="P109" t="str">
            <v>P9</v>
          </cell>
          <cell r="Q109" t="str">
            <v>Breakdown</v>
          </cell>
          <cell r="R109" t="str">
            <v>M1</v>
          </cell>
          <cell r="S109" t="str">
            <v>M2</v>
          </cell>
          <cell r="T109" t="str">
            <v>M4</v>
          </cell>
          <cell r="U109" t="str">
            <v>M8</v>
          </cell>
          <cell r="V109" t="str">
            <v>M9</v>
          </cell>
          <cell r="W109" t="str">
            <v>Clean</v>
          </cell>
          <cell r="X109" t="str">
            <v>P2</v>
          </cell>
          <cell r="Y109" t="str">
            <v>P4</v>
          </cell>
          <cell r="Z109" t="str">
            <v>P17</v>
          </cell>
          <cell r="AA109" t="str">
            <v>P19</v>
          </cell>
          <cell r="AB109" t="str">
            <v>P12</v>
          </cell>
          <cell r="AC109" t="str">
            <v>Trial</v>
          </cell>
          <cell r="AD109" t="str">
            <v>R1</v>
          </cell>
          <cell r="AE109" t="str">
            <v>R2</v>
          </cell>
          <cell r="AF109" t="str">
            <v>Waiting</v>
          </cell>
          <cell r="AG109" t="str">
            <v>L1</v>
          </cell>
          <cell r="AH109" t="str">
            <v>L3</v>
          </cell>
          <cell r="AI109" t="str">
            <v>H1</v>
          </cell>
          <cell r="AJ109" t="str">
            <v>H2</v>
          </cell>
          <cell r="AK109" t="str">
            <v>H4</v>
          </cell>
          <cell r="AL109" t="str">
            <v>H6</v>
          </cell>
          <cell r="AM109" t="str">
            <v>H7</v>
          </cell>
          <cell r="AN109" t="str">
            <v>H8</v>
          </cell>
          <cell r="AO109" t="str">
            <v>P10</v>
          </cell>
          <cell r="AP109" t="str">
            <v>P11</v>
          </cell>
          <cell r="AQ109" t="str">
            <v>P13</v>
          </cell>
          <cell r="AR109" t="str">
            <v>P14</v>
          </cell>
          <cell r="AS109" t="str">
            <v>P16</v>
          </cell>
          <cell r="AT109" t="str">
            <v>M5</v>
          </cell>
          <cell r="AU109" t="str">
            <v>M6</v>
          </cell>
          <cell r="AV109" t="str">
            <v>M7</v>
          </cell>
          <cell r="AW109" t="str">
            <v>Q1</v>
          </cell>
          <cell r="AX109" t="str">
            <v>Q2</v>
          </cell>
          <cell r="AY109" t="str">
            <v>Q3</v>
          </cell>
          <cell r="AZ109" t="str">
            <v>Q4</v>
          </cell>
          <cell r="BA109" t="str">
            <v>Total Output</v>
          </cell>
          <cell r="BB109" t="str">
            <v>Reject Output</v>
          </cell>
          <cell r="BC109" t="str">
            <v>Good Output</v>
          </cell>
        </row>
        <row r="110">
          <cell r="C110" t="str">
            <v>NBL SOL-MIXING</v>
          </cell>
          <cell r="D110">
            <v>77760</v>
          </cell>
          <cell r="E110">
            <v>46980</v>
          </cell>
          <cell r="F110">
            <v>2895</v>
          </cell>
          <cell r="G110">
            <v>815</v>
          </cell>
          <cell r="H110">
            <v>2080</v>
          </cell>
          <cell r="I110">
            <v>0</v>
          </cell>
          <cell r="J110">
            <v>27885</v>
          </cell>
          <cell r="K110">
            <v>4643</v>
          </cell>
          <cell r="L110">
            <v>767</v>
          </cell>
          <cell r="M110">
            <v>753</v>
          </cell>
          <cell r="N110">
            <v>0</v>
          </cell>
          <cell r="O110">
            <v>14</v>
          </cell>
          <cell r="P110">
            <v>0</v>
          </cell>
          <cell r="Q110">
            <v>355</v>
          </cell>
          <cell r="R110">
            <v>105</v>
          </cell>
          <cell r="S110">
            <v>0</v>
          </cell>
          <cell r="T110">
            <v>0</v>
          </cell>
          <cell r="U110">
            <v>250</v>
          </cell>
          <cell r="V110">
            <v>0</v>
          </cell>
          <cell r="W110">
            <v>10871</v>
          </cell>
          <cell r="X110">
            <v>6900</v>
          </cell>
          <cell r="Y110">
            <v>3441</v>
          </cell>
          <cell r="Z110">
            <v>16</v>
          </cell>
          <cell r="AA110">
            <v>0</v>
          </cell>
          <cell r="AB110">
            <v>514</v>
          </cell>
          <cell r="AC110">
            <v>670</v>
          </cell>
          <cell r="AD110">
            <v>120</v>
          </cell>
          <cell r="AE110">
            <v>550</v>
          </cell>
          <cell r="AF110">
            <v>10579</v>
          </cell>
          <cell r="AG110">
            <v>111</v>
          </cell>
          <cell r="AH110">
            <v>0</v>
          </cell>
          <cell r="AI110">
            <v>1607</v>
          </cell>
          <cell r="AJ110">
            <v>0</v>
          </cell>
          <cell r="AK110">
            <v>1400</v>
          </cell>
          <cell r="AL110">
            <v>0</v>
          </cell>
          <cell r="AM110">
            <v>0</v>
          </cell>
          <cell r="AN110">
            <v>0</v>
          </cell>
          <cell r="AO110">
            <v>6416</v>
          </cell>
          <cell r="AP110">
            <v>69</v>
          </cell>
          <cell r="AQ110">
            <v>0</v>
          </cell>
          <cell r="AR110">
            <v>670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276</v>
          </cell>
          <cell r="AX110">
            <v>0</v>
          </cell>
          <cell r="AY110">
            <v>0</v>
          </cell>
          <cell r="AZ110">
            <v>30</v>
          </cell>
          <cell r="BA110">
            <v>7539.5</v>
          </cell>
          <cell r="BB110">
            <v>0</v>
          </cell>
          <cell r="BC110">
            <v>7539.5</v>
          </cell>
        </row>
        <row r="111">
          <cell r="C111" t="str">
            <v>MIX113</v>
          </cell>
          <cell r="D111">
            <v>25920</v>
          </cell>
          <cell r="E111">
            <v>9630</v>
          </cell>
          <cell r="F111">
            <v>1855</v>
          </cell>
          <cell r="G111">
            <v>180</v>
          </cell>
          <cell r="H111">
            <v>1675</v>
          </cell>
          <cell r="I111">
            <v>0</v>
          </cell>
          <cell r="J111">
            <v>14435</v>
          </cell>
          <cell r="K111">
            <v>847</v>
          </cell>
          <cell r="L111">
            <v>396</v>
          </cell>
          <cell r="M111">
            <v>384</v>
          </cell>
          <cell r="N111">
            <v>0</v>
          </cell>
          <cell r="O111">
            <v>12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4290</v>
          </cell>
          <cell r="X111">
            <v>1821</v>
          </cell>
          <cell r="Y111">
            <v>2234</v>
          </cell>
          <cell r="Z111">
            <v>0</v>
          </cell>
          <cell r="AA111">
            <v>0</v>
          </cell>
          <cell r="AB111">
            <v>235</v>
          </cell>
          <cell r="AC111">
            <v>670</v>
          </cell>
          <cell r="AD111">
            <v>120</v>
          </cell>
          <cell r="AE111">
            <v>550</v>
          </cell>
          <cell r="AF111">
            <v>8232</v>
          </cell>
          <cell r="AG111">
            <v>30</v>
          </cell>
          <cell r="AH111">
            <v>0</v>
          </cell>
          <cell r="AI111">
            <v>805</v>
          </cell>
          <cell r="AJ111">
            <v>0</v>
          </cell>
          <cell r="AK111">
            <v>645</v>
          </cell>
          <cell r="AL111">
            <v>0</v>
          </cell>
          <cell r="AM111">
            <v>0</v>
          </cell>
          <cell r="AN111">
            <v>0</v>
          </cell>
          <cell r="AO111">
            <v>6416</v>
          </cell>
          <cell r="AP111">
            <v>60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276</v>
          </cell>
          <cell r="AX111">
            <v>0</v>
          </cell>
          <cell r="AY111">
            <v>0</v>
          </cell>
          <cell r="AZ111">
            <v>0</v>
          </cell>
          <cell r="BA111">
            <v>4886.8999999999996</v>
          </cell>
          <cell r="BB111">
            <v>0</v>
          </cell>
          <cell r="BC111">
            <v>4886.8999999999996</v>
          </cell>
        </row>
        <row r="112">
          <cell r="C112" t="str">
            <v>LMIXSOL1</v>
          </cell>
          <cell r="D112">
            <v>25920</v>
          </cell>
          <cell r="E112">
            <v>17040</v>
          </cell>
          <cell r="F112">
            <v>1040</v>
          </cell>
          <cell r="G112">
            <v>635</v>
          </cell>
          <cell r="H112">
            <v>405</v>
          </cell>
          <cell r="I112">
            <v>0</v>
          </cell>
          <cell r="J112">
            <v>7840</v>
          </cell>
          <cell r="K112">
            <v>1944</v>
          </cell>
          <cell r="L112">
            <v>228</v>
          </cell>
          <cell r="M112">
            <v>226</v>
          </cell>
          <cell r="N112">
            <v>0</v>
          </cell>
          <cell r="O112">
            <v>2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4247</v>
          </cell>
          <cell r="X112">
            <v>3124</v>
          </cell>
          <cell r="Y112">
            <v>937</v>
          </cell>
          <cell r="Z112">
            <v>8</v>
          </cell>
          <cell r="AA112">
            <v>0</v>
          </cell>
          <cell r="AB112">
            <v>178</v>
          </cell>
          <cell r="AC112">
            <v>0</v>
          </cell>
          <cell r="AD112">
            <v>0</v>
          </cell>
          <cell r="AE112">
            <v>0</v>
          </cell>
          <cell r="AF112">
            <v>1421</v>
          </cell>
          <cell r="AG112">
            <v>65</v>
          </cell>
          <cell r="AH112">
            <v>0</v>
          </cell>
          <cell r="AI112">
            <v>510</v>
          </cell>
          <cell r="AJ112">
            <v>0</v>
          </cell>
          <cell r="AK112">
            <v>470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376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937.09</v>
          </cell>
          <cell r="BB112">
            <v>0</v>
          </cell>
          <cell r="BC112">
            <v>937.09</v>
          </cell>
        </row>
        <row r="113">
          <cell r="C113" t="str">
            <v>LMIXSOL2</v>
          </cell>
          <cell r="D113">
            <v>25920</v>
          </cell>
          <cell r="E113">
            <v>20310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5610</v>
          </cell>
          <cell r="K113">
            <v>1852</v>
          </cell>
          <cell r="L113">
            <v>143</v>
          </cell>
          <cell r="M113">
            <v>143</v>
          </cell>
          <cell r="N113">
            <v>0</v>
          </cell>
          <cell r="O113">
            <v>0</v>
          </cell>
          <cell r="P113">
            <v>0</v>
          </cell>
          <cell r="Q113">
            <v>355</v>
          </cell>
          <cell r="R113">
            <v>105</v>
          </cell>
          <cell r="S113">
            <v>0</v>
          </cell>
          <cell r="T113">
            <v>0</v>
          </cell>
          <cell r="U113">
            <v>250</v>
          </cell>
          <cell r="V113">
            <v>0</v>
          </cell>
          <cell r="W113">
            <v>2334</v>
          </cell>
          <cell r="X113">
            <v>1955</v>
          </cell>
          <cell r="Y113">
            <v>270</v>
          </cell>
          <cell r="Z113">
            <v>8</v>
          </cell>
          <cell r="AA113">
            <v>0</v>
          </cell>
          <cell r="AB113">
            <v>101</v>
          </cell>
          <cell r="AC113">
            <v>0</v>
          </cell>
          <cell r="AD113">
            <v>0</v>
          </cell>
          <cell r="AE113">
            <v>0</v>
          </cell>
          <cell r="AF113">
            <v>926</v>
          </cell>
          <cell r="AG113">
            <v>16</v>
          </cell>
          <cell r="AH113">
            <v>0</v>
          </cell>
          <cell r="AI113">
            <v>292</v>
          </cell>
          <cell r="AJ113">
            <v>0</v>
          </cell>
          <cell r="AK113">
            <v>285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9</v>
          </cell>
          <cell r="AQ113">
            <v>0</v>
          </cell>
          <cell r="AR113">
            <v>294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30</v>
          </cell>
          <cell r="BA113">
            <v>1715.51</v>
          </cell>
          <cell r="BB113">
            <v>0</v>
          </cell>
          <cell r="BC113">
            <v>1715.51</v>
          </cell>
        </row>
        <row r="114">
          <cell r="C114" t="str">
            <v>NBL SOL-COATING</v>
          </cell>
          <cell r="D114">
            <v>53280</v>
          </cell>
          <cell r="E114">
            <v>43380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9900</v>
          </cell>
          <cell r="K114">
            <v>4102</v>
          </cell>
          <cell r="L114">
            <v>338</v>
          </cell>
          <cell r="M114">
            <v>240</v>
          </cell>
          <cell r="N114">
            <v>0</v>
          </cell>
          <cell r="O114">
            <v>98</v>
          </cell>
          <cell r="P114">
            <v>0</v>
          </cell>
          <cell r="Q114">
            <v>118</v>
          </cell>
          <cell r="R114">
            <v>118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3647</v>
          </cell>
          <cell r="X114">
            <v>1005</v>
          </cell>
          <cell r="Y114">
            <v>2395</v>
          </cell>
          <cell r="Z114">
            <v>0</v>
          </cell>
          <cell r="AA114">
            <v>0</v>
          </cell>
          <cell r="AB114">
            <v>247</v>
          </cell>
          <cell r="AC114">
            <v>0</v>
          </cell>
          <cell r="AD114">
            <v>0</v>
          </cell>
          <cell r="AE114">
            <v>0</v>
          </cell>
          <cell r="AF114">
            <v>1695</v>
          </cell>
          <cell r="AG114">
            <v>0</v>
          </cell>
          <cell r="AH114">
            <v>0</v>
          </cell>
          <cell r="AI114">
            <v>540</v>
          </cell>
          <cell r="AJ114">
            <v>0</v>
          </cell>
          <cell r="AK114">
            <v>590</v>
          </cell>
          <cell r="AL114">
            <v>20</v>
          </cell>
          <cell r="AM114">
            <v>0</v>
          </cell>
          <cell r="AN114">
            <v>0</v>
          </cell>
          <cell r="AO114">
            <v>225</v>
          </cell>
          <cell r="AP114">
            <v>240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80</v>
          </cell>
          <cell r="AX114">
            <v>0</v>
          </cell>
          <cell r="AY114">
            <v>0</v>
          </cell>
          <cell r="AZ114">
            <v>0</v>
          </cell>
          <cell r="BA114">
            <v>2002.18</v>
          </cell>
          <cell r="BB114">
            <v>0.28999999999999998</v>
          </cell>
          <cell r="BC114">
            <v>2001.89</v>
          </cell>
        </row>
        <row r="115">
          <cell r="C115" t="str">
            <v>COT101</v>
          </cell>
          <cell r="D115">
            <v>27360</v>
          </cell>
          <cell r="E115">
            <v>24420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2940</v>
          </cell>
          <cell r="K115">
            <v>1095</v>
          </cell>
          <cell r="L115">
            <v>105</v>
          </cell>
          <cell r="M115">
            <v>65</v>
          </cell>
          <cell r="N115">
            <v>0</v>
          </cell>
          <cell r="O115">
            <v>40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1190</v>
          </cell>
          <cell r="X115">
            <v>290</v>
          </cell>
          <cell r="Y115">
            <v>785</v>
          </cell>
          <cell r="Z115">
            <v>0</v>
          </cell>
          <cell r="AA115">
            <v>0</v>
          </cell>
          <cell r="AB115">
            <v>115</v>
          </cell>
          <cell r="AC115">
            <v>0</v>
          </cell>
          <cell r="AD115">
            <v>0</v>
          </cell>
          <cell r="AE115">
            <v>0</v>
          </cell>
          <cell r="AF115">
            <v>550</v>
          </cell>
          <cell r="AG115">
            <v>0</v>
          </cell>
          <cell r="AH115">
            <v>0</v>
          </cell>
          <cell r="AI115">
            <v>150</v>
          </cell>
          <cell r="AJ115">
            <v>0</v>
          </cell>
          <cell r="AK115">
            <v>125</v>
          </cell>
          <cell r="AL115">
            <v>20</v>
          </cell>
          <cell r="AM115">
            <v>0</v>
          </cell>
          <cell r="AN115">
            <v>0</v>
          </cell>
          <cell r="AO115">
            <v>160</v>
          </cell>
          <cell r="AP115">
            <v>60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35</v>
          </cell>
          <cell r="AX115">
            <v>0</v>
          </cell>
          <cell r="AY115">
            <v>0</v>
          </cell>
          <cell r="AZ115">
            <v>0</v>
          </cell>
          <cell r="BA115">
            <v>276.49</v>
          </cell>
          <cell r="BB115">
            <v>0.11</v>
          </cell>
          <cell r="BC115">
            <v>276.38</v>
          </cell>
        </row>
        <row r="116">
          <cell r="C116" t="str">
            <v>COT102</v>
          </cell>
          <cell r="D116">
            <v>25920</v>
          </cell>
          <cell r="E116">
            <v>18960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6960</v>
          </cell>
          <cell r="K116">
            <v>3007</v>
          </cell>
          <cell r="L116">
            <v>233</v>
          </cell>
          <cell r="M116">
            <v>175</v>
          </cell>
          <cell r="N116">
            <v>0</v>
          </cell>
          <cell r="O116">
            <v>58</v>
          </cell>
          <cell r="P116">
            <v>0</v>
          </cell>
          <cell r="Q116">
            <v>118</v>
          </cell>
          <cell r="R116">
            <v>118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2457</v>
          </cell>
          <cell r="X116">
            <v>715</v>
          </cell>
          <cell r="Y116">
            <v>1610</v>
          </cell>
          <cell r="Z116">
            <v>0</v>
          </cell>
          <cell r="AA116">
            <v>0</v>
          </cell>
          <cell r="AB116">
            <v>132</v>
          </cell>
          <cell r="AC116">
            <v>0</v>
          </cell>
          <cell r="AD116">
            <v>0</v>
          </cell>
          <cell r="AE116">
            <v>0</v>
          </cell>
          <cell r="AF116">
            <v>1145</v>
          </cell>
          <cell r="AG116">
            <v>0</v>
          </cell>
          <cell r="AH116">
            <v>0</v>
          </cell>
          <cell r="AI116">
            <v>390</v>
          </cell>
          <cell r="AJ116">
            <v>0</v>
          </cell>
          <cell r="AK116">
            <v>465</v>
          </cell>
          <cell r="AL116">
            <v>0</v>
          </cell>
          <cell r="AM116">
            <v>0</v>
          </cell>
          <cell r="AN116">
            <v>0</v>
          </cell>
          <cell r="AO116">
            <v>65</v>
          </cell>
          <cell r="AP116">
            <v>180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45</v>
          </cell>
          <cell r="AX116">
            <v>0</v>
          </cell>
          <cell r="AY116">
            <v>0</v>
          </cell>
          <cell r="AZ116">
            <v>0</v>
          </cell>
          <cell r="BA116">
            <v>1725.69</v>
          </cell>
          <cell r="BB116">
            <v>0.18</v>
          </cell>
          <cell r="BC116">
            <v>1725.51</v>
          </cell>
        </row>
        <row r="117">
          <cell r="C117" t="str">
            <v>NBL SOL-TABLETING</v>
          </cell>
          <cell r="D117">
            <v>79200</v>
          </cell>
          <cell r="E117">
            <v>43110</v>
          </cell>
          <cell r="F117">
            <v>1730</v>
          </cell>
          <cell r="G117">
            <v>30</v>
          </cell>
          <cell r="H117">
            <v>1700</v>
          </cell>
          <cell r="I117">
            <v>0</v>
          </cell>
          <cell r="J117">
            <v>34360</v>
          </cell>
          <cell r="K117">
            <v>12970</v>
          </cell>
          <cell r="L117">
            <v>2582</v>
          </cell>
          <cell r="M117">
            <v>2185</v>
          </cell>
          <cell r="N117">
            <v>0</v>
          </cell>
          <cell r="O117">
            <v>50</v>
          </cell>
          <cell r="P117">
            <v>347</v>
          </cell>
          <cell r="Q117">
            <v>480</v>
          </cell>
          <cell r="R117">
            <v>480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5005</v>
          </cell>
          <cell r="X117">
            <v>1005</v>
          </cell>
          <cell r="Y117">
            <v>3005</v>
          </cell>
          <cell r="Z117">
            <v>260</v>
          </cell>
          <cell r="AA117">
            <v>0</v>
          </cell>
          <cell r="AB117">
            <v>735</v>
          </cell>
          <cell r="AC117">
            <v>2698</v>
          </cell>
          <cell r="AD117">
            <v>290</v>
          </cell>
          <cell r="AE117">
            <v>2408</v>
          </cell>
          <cell r="AF117">
            <v>10625</v>
          </cell>
          <cell r="AG117">
            <v>0</v>
          </cell>
          <cell r="AH117">
            <v>0</v>
          </cell>
          <cell r="AI117">
            <v>1805</v>
          </cell>
          <cell r="AJ117">
            <v>0</v>
          </cell>
          <cell r="AK117">
            <v>1735</v>
          </cell>
          <cell r="AL117">
            <v>895</v>
          </cell>
          <cell r="AM117">
            <v>20</v>
          </cell>
          <cell r="AN117">
            <v>0</v>
          </cell>
          <cell r="AO117">
            <v>1305</v>
          </cell>
          <cell r="AP117">
            <v>725</v>
          </cell>
          <cell r="AQ117">
            <v>0</v>
          </cell>
          <cell r="AR117">
            <v>0</v>
          </cell>
          <cell r="AS117">
            <v>0</v>
          </cell>
          <cell r="AT117">
            <v>150</v>
          </cell>
          <cell r="AU117">
            <v>0</v>
          </cell>
          <cell r="AV117">
            <v>0</v>
          </cell>
          <cell r="AW117">
            <v>2950</v>
          </cell>
          <cell r="AX117">
            <v>895</v>
          </cell>
          <cell r="AY117">
            <v>0</v>
          </cell>
          <cell r="AZ117">
            <v>145</v>
          </cell>
          <cell r="BA117">
            <v>10272127</v>
          </cell>
          <cell r="BB117">
            <v>7336</v>
          </cell>
          <cell r="BC117">
            <v>10264791</v>
          </cell>
        </row>
        <row r="118">
          <cell r="C118" t="str">
            <v>TAB101</v>
          </cell>
          <cell r="D118">
            <v>27360</v>
          </cell>
          <cell r="E118">
            <v>10890</v>
          </cell>
          <cell r="F118">
            <v>575</v>
          </cell>
          <cell r="G118">
            <v>0</v>
          </cell>
          <cell r="H118">
            <v>575</v>
          </cell>
          <cell r="I118">
            <v>0</v>
          </cell>
          <cell r="J118">
            <v>15895</v>
          </cell>
          <cell r="K118">
            <v>6180</v>
          </cell>
          <cell r="L118">
            <v>840</v>
          </cell>
          <cell r="M118">
            <v>810</v>
          </cell>
          <cell r="N118">
            <v>0</v>
          </cell>
          <cell r="O118">
            <v>0</v>
          </cell>
          <cell r="P118">
            <v>30</v>
          </cell>
          <cell r="Q118">
            <v>125</v>
          </cell>
          <cell r="R118">
            <v>125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2245</v>
          </cell>
          <cell r="X118">
            <v>440</v>
          </cell>
          <cell r="Y118">
            <v>1375</v>
          </cell>
          <cell r="Z118">
            <v>125</v>
          </cell>
          <cell r="AA118">
            <v>0</v>
          </cell>
          <cell r="AB118">
            <v>305</v>
          </cell>
          <cell r="AC118">
            <v>2510</v>
          </cell>
          <cell r="AD118">
            <v>290</v>
          </cell>
          <cell r="AE118">
            <v>2220</v>
          </cell>
          <cell r="AF118">
            <v>3995</v>
          </cell>
          <cell r="AG118">
            <v>0</v>
          </cell>
          <cell r="AH118">
            <v>0</v>
          </cell>
          <cell r="AI118">
            <v>755</v>
          </cell>
          <cell r="AJ118">
            <v>0</v>
          </cell>
          <cell r="AK118">
            <v>655</v>
          </cell>
          <cell r="AL118">
            <v>615</v>
          </cell>
          <cell r="AM118">
            <v>20</v>
          </cell>
          <cell r="AN118">
            <v>0</v>
          </cell>
          <cell r="AO118">
            <v>355</v>
          </cell>
          <cell r="AP118">
            <v>350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1100</v>
          </cell>
          <cell r="AX118">
            <v>0</v>
          </cell>
          <cell r="AY118">
            <v>0</v>
          </cell>
          <cell r="AZ118">
            <v>145</v>
          </cell>
          <cell r="BA118">
            <v>6107160</v>
          </cell>
          <cell r="BB118">
            <v>6776</v>
          </cell>
          <cell r="BC118">
            <v>6100384</v>
          </cell>
        </row>
        <row r="119">
          <cell r="C119" t="str">
            <v>TAB105</v>
          </cell>
          <cell r="D119">
            <v>25920</v>
          </cell>
          <cell r="E119">
            <v>10080</v>
          </cell>
          <cell r="F119">
            <v>90</v>
          </cell>
          <cell r="G119">
            <v>30</v>
          </cell>
          <cell r="H119">
            <v>60</v>
          </cell>
          <cell r="I119">
            <v>0</v>
          </cell>
          <cell r="J119">
            <v>15750</v>
          </cell>
          <cell r="K119">
            <v>6155</v>
          </cell>
          <cell r="L119">
            <v>1397</v>
          </cell>
          <cell r="M119">
            <v>1080</v>
          </cell>
          <cell r="N119">
            <v>0</v>
          </cell>
          <cell r="O119">
            <v>50</v>
          </cell>
          <cell r="P119">
            <v>267</v>
          </cell>
          <cell r="Q119">
            <v>295</v>
          </cell>
          <cell r="R119">
            <v>295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2320</v>
          </cell>
          <cell r="X119">
            <v>525</v>
          </cell>
          <cell r="Y119">
            <v>1360</v>
          </cell>
          <cell r="Z119">
            <v>135</v>
          </cell>
          <cell r="AA119">
            <v>0</v>
          </cell>
          <cell r="AB119">
            <v>300</v>
          </cell>
          <cell r="AC119">
            <v>98</v>
          </cell>
          <cell r="AD119">
            <v>0</v>
          </cell>
          <cell r="AE119">
            <v>98</v>
          </cell>
          <cell r="AF119">
            <v>5485</v>
          </cell>
          <cell r="AG119">
            <v>0</v>
          </cell>
          <cell r="AH119">
            <v>0</v>
          </cell>
          <cell r="AI119">
            <v>930</v>
          </cell>
          <cell r="AJ119">
            <v>0</v>
          </cell>
          <cell r="AK119">
            <v>960</v>
          </cell>
          <cell r="AL119">
            <v>0</v>
          </cell>
          <cell r="AM119">
            <v>0</v>
          </cell>
          <cell r="AN119">
            <v>0</v>
          </cell>
          <cell r="AO119">
            <v>695</v>
          </cell>
          <cell r="AP119">
            <v>305</v>
          </cell>
          <cell r="AQ119">
            <v>0</v>
          </cell>
          <cell r="AR119">
            <v>0</v>
          </cell>
          <cell r="AS119">
            <v>0</v>
          </cell>
          <cell r="AT119">
            <v>150</v>
          </cell>
          <cell r="AU119">
            <v>0</v>
          </cell>
          <cell r="AV119">
            <v>0</v>
          </cell>
          <cell r="AW119">
            <v>1600</v>
          </cell>
          <cell r="AX119">
            <v>845</v>
          </cell>
          <cell r="AY119">
            <v>0</v>
          </cell>
          <cell r="AZ119">
            <v>0</v>
          </cell>
          <cell r="BA119">
            <v>3662863</v>
          </cell>
          <cell r="BB119">
            <v>560</v>
          </cell>
          <cell r="BC119">
            <v>3662303</v>
          </cell>
        </row>
        <row r="120">
          <cell r="C120" t="str">
            <v>TAB103</v>
          </cell>
          <cell r="D120">
            <v>25920</v>
          </cell>
          <cell r="E120">
            <v>22140</v>
          </cell>
          <cell r="F120">
            <v>1065</v>
          </cell>
          <cell r="G120">
            <v>0</v>
          </cell>
          <cell r="H120">
            <v>1065</v>
          </cell>
          <cell r="I120">
            <v>0</v>
          </cell>
          <cell r="J120">
            <v>2715</v>
          </cell>
          <cell r="K120">
            <v>635</v>
          </cell>
          <cell r="L120">
            <v>345</v>
          </cell>
          <cell r="M120">
            <v>295</v>
          </cell>
          <cell r="N120">
            <v>0</v>
          </cell>
          <cell r="O120">
            <v>0</v>
          </cell>
          <cell r="P120">
            <v>50</v>
          </cell>
          <cell r="Q120">
            <v>60</v>
          </cell>
          <cell r="R120">
            <v>60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440</v>
          </cell>
          <cell r="X120">
            <v>40</v>
          </cell>
          <cell r="Y120">
            <v>270</v>
          </cell>
          <cell r="Z120">
            <v>0</v>
          </cell>
          <cell r="AA120">
            <v>0</v>
          </cell>
          <cell r="AB120">
            <v>130</v>
          </cell>
          <cell r="AC120">
            <v>90</v>
          </cell>
          <cell r="AD120">
            <v>0</v>
          </cell>
          <cell r="AE120">
            <v>90</v>
          </cell>
          <cell r="AF120">
            <v>1145</v>
          </cell>
          <cell r="AG120">
            <v>0</v>
          </cell>
          <cell r="AH120">
            <v>0</v>
          </cell>
          <cell r="AI120">
            <v>120</v>
          </cell>
          <cell r="AJ120">
            <v>0</v>
          </cell>
          <cell r="AK120">
            <v>120</v>
          </cell>
          <cell r="AL120">
            <v>280</v>
          </cell>
          <cell r="AM120">
            <v>0</v>
          </cell>
          <cell r="AN120">
            <v>0</v>
          </cell>
          <cell r="AO120">
            <v>255</v>
          </cell>
          <cell r="AP120">
            <v>70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250</v>
          </cell>
          <cell r="AX120">
            <v>50</v>
          </cell>
          <cell r="AY120">
            <v>0</v>
          </cell>
          <cell r="AZ120">
            <v>0</v>
          </cell>
          <cell r="BA120">
            <v>502104</v>
          </cell>
          <cell r="BB120">
            <v>0</v>
          </cell>
          <cell r="BC120">
            <v>502104</v>
          </cell>
        </row>
        <row r="121">
          <cell r="C121" t="str">
            <v>NBL SOL-CAPSULE</v>
          </cell>
          <cell r="D121">
            <v>51840</v>
          </cell>
          <cell r="E121">
            <v>44280</v>
          </cell>
          <cell r="F121">
            <v>580</v>
          </cell>
          <cell r="G121">
            <v>0</v>
          </cell>
          <cell r="H121">
            <v>580</v>
          </cell>
          <cell r="I121">
            <v>0</v>
          </cell>
          <cell r="J121">
            <v>6980</v>
          </cell>
          <cell r="K121">
            <v>2495</v>
          </cell>
          <cell r="L121">
            <v>385</v>
          </cell>
          <cell r="M121">
            <v>270</v>
          </cell>
          <cell r="N121">
            <v>0</v>
          </cell>
          <cell r="O121">
            <v>60</v>
          </cell>
          <cell r="P121">
            <v>55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795</v>
          </cell>
          <cell r="X121">
            <v>315</v>
          </cell>
          <cell r="Y121">
            <v>295</v>
          </cell>
          <cell r="Z121">
            <v>135</v>
          </cell>
          <cell r="AA121">
            <v>0</v>
          </cell>
          <cell r="AB121">
            <v>50</v>
          </cell>
          <cell r="AC121">
            <v>460</v>
          </cell>
          <cell r="AD121">
            <v>460</v>
          </cell>
          <cell r="AE121">
            <v>0</v>
          </cell>
          <cell r="AF121">
            <v>2845</v>
          </cell>
          <cell r="AG121">
            <v>0</v>
          </cell>
          <cell r="AH121">
            <v>0</v>
          </cell>
          <cell r="AI121">
            <v>300</v>
          </cell>
          <cell r="AJ121">
            <v>15</v>
          </cell>
          <cell r="AK121">
            <v>320</v>
          </cell>
          <cell r="AL121">
            <v>450</v>
          </cell>
          <cell r="AM121">
            <v>0</v>
          </cell>
          <cell r="AN121">
            <v>0</v>
          </cell>
          <cell r="AO121">
            <v>1510</v>
          </cell>
          <cell r="AP121">
            <v>80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170</v>
          </cell>
          <cell r="AX121">
            <v>0</v>
          </cell>
          <cell r="AY121">
            <v>0</v>
          </cell>
          <cell r="AZ121">
            <v>0</v>
          </cell>
          <cell r="BA121">
            <v>957292</v>
          </cell>
          <cell r="BB121">
            <v>2151</v>
          </cell>
          <cell r="BC121">
            <v>955141</v>
          </cell>
        </row>
        <row r="122">
          <cell r="C122" t="str">
            <v>KAP101</v>
          </cell>
          <cell r="D122">
            <v>25920</v>
          </cell>
          <cell r="E122">
            <v>20760</v>
          </cell>
          <cell r="F122">
            <v>370</v>
          </cell>
          <cell r="G122">
            <v>0</v>
          </cell>
          <cell r="H122">
            <v>370</v>
          </cell>
          <cell r="I122">
            <v>0</v>
          </cell>
          <cell r="J122">
            <v>4790</v>
          </cell>
          <cell r="K122">
            <v>2115</v>
          </cell>
          <cell r="L122">
            <v>330</v>
          </cell>
          <cell r="M122">
            <v>215</v>
          </cell>
          <cell r="N122">
            <v>0</v>
          </cell>
          <cell r="O122">
            <v>60</v>
          </cell>
          <cell r="P122">
            <v>55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640</v>
          </cell>
          <cell r="X122">
            <v>270</v>
          </cell>
          <cell r="Y122">
            <v>245</v>
          </cell>
          <cell r="Z122">
            <v>105</v>
          </cell>
          <cell r="AA122">
            <v>0</v>
          </cell>
          <cell r="AB122">
            <v>20</v>
          </cell>
          <cell r="AC122">
            <v>460</v>
          </cell>
          <cell r="AD122">
            <v>460</v>
          </cell>
          <cell r="AE122">
            <v>0</v>
          </cell>
          <cell r="AF122">
            <v>1245</v>
          </cell>
          <cell r="AG122">
            <v>0</v>
          </cell>
          <cell r="AH122">
            <v>0</v>
          </cell>
          <cell r="AI122">
            <v>240</v>
          </cell>
          <cell r="AJ122">
            <v>15</v>
          </cell>
          <cell r="AK122">
            <v>290</v>
          </cell>
          <cell r="AL122">
            <v>450</v>
          </cell>
          <cell r="AM122">
            <v>0</v>
          </cell>
          <cell r="AN122">
            <v>0</v>
          </cell>
          <cell r="AO122">
            <v>0</v>
          </cell>
          <cell r="AP122">
            <v>80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170</v>
          </cell>
          <cell r="AX122">
            <v>0</v>
          </cell>
          <cell r="AY122">
            <v>0</v>
          </cell>
          <cell r="AZ122">
            <v>0</v>
          </cell>
          <cell r="BA122">
            <v>486354</v>
          </cell>
          <cell r="BB122">
            <v>2151</v>
          </cell>
          <cell r="BC122">
            <v>484203</v>
          </cell>
        </row>
        <row r="123">
          <cell r="C123" t="str">
            <v>KAP103</v>
          </cell>
          <cell r="D123">
            <v>25920</v>
          </cell>
          <cell r="E123">
            <v>23520</v>
          </cell>
          <cell r="F123">
            <v>210</v>
          </cell>
          <cell r="G123">
            <v>0</v>
          </cell>
          <cell r="H123">
            <v>210</v>
          </cell>
          <cell r="I123">
            <v>0</v>
          </cell>
          <cell r="J123">
            <v>2190</v>
          </cell>
          <cell r="K123">
            <v>380</v>
          </cell>
          <cell r="L123">
            <v>55</v>
          </cell>
          <cell r="M123">
            <v>55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155</v>
          </cell>
          <cell r="X123">
            <v>45</v>
          </cell>
          <cell r="Y123">
            <v>50</v>
          </cell>
          <cell r="Z123">
            <v>30</v>
          </cell>
          <cell r="AA123">
            <v>0</v>
          </cell>
          <cell r="AB123">
            <v>30</v>
          </cell>
          <cell r="AC123">
            <v>0</v>
          </cell>
          <cell r="AD123">
            <v>0</v>
          </cell>
          <cell r="AE123">
            <v>0</v>
          </cell>
          <cell r="AF123">
            <v>1600</v>
          </cell>
          <cell r="AG123">
            <v>0</v>
          </cell>
          <cell r="AH123">
            <v>0</v>
          </cell>
          <cell r="AI123">
            <v>60</v>
          </cell>
          <cell r="AJ123">
            <v>0</v>
          </cell>
          <cell r="AK123">
            <v>30</v>
          </cell>
          <cell r="AL123">
            <v>0</v>
          </cell>
          <cell r="AM123">
            <v>0</v>
          </cell>
          <cell r="AN123">
            <v>0</v>
          </cell>
          <cell r="AO123">
            <v>1510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470938</v>
          </cell>
          <cell r="BB123">
            <v>0</v>
          </cell>
          <cell r="BC123">
            <v>470938</v>
          </cell>
        </row>
        <row r="124">
          <cell r="C124" t="str">
            <v>NBL SOL-STRIPPING</v>
          </cell>
          <cell r="D124">
            <v>133920</v>
          </cell>
          <cell r="E124">
            <v>79710</v>
          </cell>
          <cell r="F124">
            <v>3025</v>
          </cell>
          <cell r="G124">
            <v>540</v>
          </cell>
          <cell r="H124">
            <v>2485</v>
          </cell>
          <cell r="I124">
            <v>0</v>
          </cell>
          <cell r="J124">
            <v>51185</v>
          </cell>
          <cell r="K124">
            <v>18275</v>
          </cell>
          <cell r="L124">
            <v>7277</v>
          </cell>
          <cell r="M124">
            <v>4272</v>
          </cell>
          <cell r="N124">
            <v>0</v>
          </cell>
          <cell r="O124">
            <v>3005</v>
          </cell>
          <cell r="P124">
            <v>0</v>
          </cell>
          <cell r="Q124">
            <v>375</v>
          </cell>
          <cell r="R124">
            <v>285</v>
          </cell>
          <cell r="S124">
            <v>90</v>
          </cell>
          <cell r="T124">
            <v>0</v>
          </cell>
          <cell r="U124">
            <v>0</v>
          </cell>
          <cell r="V124">
            <v>0</v>
          </cell>
          <cell r="W124">
            <v>13113</v>
          </cell>
          <cell r="X124">
            <v>8005</v>
          </cell>
          <cell r="Y124">
            <v>1758</v>
          </cell>
          <cell r="Z124">
            <v>2475</v>
          </cell>
          <cell r="AA124">
            <v>60</v>
          </cell>
          <cell r="AB124">
            <v>815</v>
          </cell>
          <cell r="AC124">
            <v>815</v>
          </cell>
          <cell r="AD124">
            <v>0</v>
          </cell>
          <cell r="AE124">
            <v>815</v>
          </cell>
          <cell r="AF124">
            <v>11330</v>
          </cell>
          <cell r="AG124">
            <v>75</v>
          </cell>
          <cell r="AH124">
            <v>0</v>
          </cell>
          <cell r="AI124">
            <v>3150</v>
          </cell>
          <cell r="AJ124">
            <v>0</v>
          </cell>
          <cell r="AK124">
            <v>2970</v>
          </cell>
          <cell r="AL124">
            <v>685</v>
          </cell>
          <cell r="AM124">
            <v>0</v>
          </cell>
          <cell r="AN124">
            <v>0</v>
          </cell>
          <cell r="AO124">
            <v>490</v>
          </cell>
          <cell r="AP124">
            <v>1790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1980</v>
          </cell>
          <cell r="AX124">
            <v>190</v>
          </cell>
          <cell r="AY124">
            <v>0</v>
          </cell>
          <cell r="AZ124">
            <v>0</v>
          </cell>
          <cell r="BA124">
            <v>10369900</v>
          </cell>
          <cell r="BB124">
            <v>51639</v>
          </cell>
          <cell r="BC124">
            <v>10318261</v>
          </cell>
        </row>
        <row r="125">
          <cell r="C125" t="str">
            <v>STR105</v>
          </cell>
          <cell r="D125">
            <v>25920</v>
          </cell>
          <cell r="E125">
            <v>16140</v>
          </cell>
          <cell r="F125">
            <v>615</v>
          </cell>
          <cell r="G125">
            <v>0</v>
          </cell>
          <cell r="H125">
            <v>615</v>
          </cell>
          <cell r="I125">
            <v>0</v>
          </cell>
          <cell r="J125">
            <v>9165</v>
          </cell>
          <cell r="K125">
            <v>3495</v>
          </cell>
          <cell r="L125">
            <v>1200</v>
          </cell>
          <cell r="M125">
            <v>640</v>
          </cell>
          <cell r="N125">
            <v>0</v>
          </cell>
          <cell r="O125">
            <v>560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2255</v>
          </cell>
          <cell r="X125">
            <v>1275</v>
          </cell>
          <cell r="Y125">
            <v>305</v>
          </cell>
          <cell r="Z125">
            <v>525</v>
          </cell>
          <cell r="AA125">
            <v>0</v>
          </cell>
          <cell r="AB125">
            <v>150</v>
          </cell>
          <cell r="AC125">
            <v>0</v>
          </cell>
          <cell r="AD125">
            <v>0</v>
          </cell>
          <cell r="AE125">
            <v>0</v>
          </cell>
          <cell r="AF125">
            <v>2215</v>
          </cell>
          <cell r="AG125">
            <v>0</v>
          </cell>
          <cell r="AH125">
            <v>0</v>
          </cell>
          <cell r="AI125">
            <v>600</v>
          </cell>
          <cell r="AJ125">
            <v>0</v>
          </cell>
          <cell r="AK125">
            <v>525</v>
          </cell>
          <cell r="AL125">
            <v>0</v>
          </cell>
          <cell r="AM125">
            <v>0</v>
          </cell>
          <cell r="AN125">
            <v>0</v>
          </cell>
          <cell r="AO125">
            <v>45</v>
          </cell>
          <cell r="AP125">
            <v>385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660</v>
          </cell>
          <cell r="AX125">
            <v>0</v>
          </cell>
          <cell r="AY125">
            <v>0</v>
          </cell>
          <cell r="AZ125">
            <v>0</v>
          </cell>
          <cell r="BA125">
            <v>1199021</v>
          </cell>
          <cell r="BB125">
            <v>11771</v>
          </cell>
          <cell r="BC125">
            <v>1187250</v>
          </cell>
        </row>
        <row r="126">
          <cell r="C126" t="str">
            <v>STR102</v>
          </cell>
          <cell r="D126">
            <v>25920</v>
          </cell>
          <cell r="E126">
            <v>12870</v>
          </cell>
          <cell r="F126">
            <v>480</v>
          </cell>
          <cell r="G126">
            <v>240</v>
          </cell>
          <cell r="H126">
            <v>240</v>
          </cell>
          <cell r="I126">
            <v>0</v>
          </cell>
          <cell r="J126">
            <v>12570</v>
          </cell>
          <cell r="K126">
            <v>4185</v>
          </cell>
          <cell r="L126">
            <v>1827</v>
          </cell>
          <cell r="M126">
            <v>1172</v>
          </cell>
          <cell r="N126">
            <v>0</v>
          </cell>
          <cell r="O126">
            <v>655</v>
          </cell>
          <cell r="P126">
            <v>0</v>
          </cell>
          <cell r="Q126">
            <v>60</v>
          </cell>
          <cell r="R126">
            <v>50</v>
          </cell>
          <cell r="S126">
            <v>10</v>
          </cell>
          <cell r="T126">
            <v>0</v>
          </cell>
          <cell r="U126">
            <v>0</v>
          </cell>
          <cell r="V126">
            <v>0</v>
          </cell>
          <cell r="W126">
            <v>3143</v>
          </cell>
          <cell r="X126">
            <v>1585</v>
          </cell>
          <cell r="Y126">
            <v>713</v>
          </cell>
          <cell r="Z126">
            <v>560</v>
          </cell>
          <cell r="AA126">
            <v>60</v>
          </cell>
          <cell r="AB126">
            <v>225</v>
          </cell>
          <cell r="AC126">
            <v>0</v>
          </cell>
          <cell r="AD126">
            <v>0</v>
          </cell>
          <cell r="AE126">
            <v>0</v>
          </cell>
          <cell r="AF126">
            <v>3355</v>
          </cell>
          <cell r="AG126">
            <v>0</v>
          </cell>
          <cell r="AH126">
            <v>0</v>
          </cell>
          <cell r="AI126">
            <v>780</v>
          </cell>
          <cell r="AJ126">
            <v>0</v>
          </cell>
          <cell r="AK126">
            <v>795</v>
          </cell>
          <cell r="AL126">
            <v>0</v>
          </cell>
          <cell r="AM126">
            <v>0</v>
          </cell>
          <cell r="AN126">
            <v>0</v>
          </cell>
          <cell r="AO126">
            <v>445</v>
          </cell>
          <cell r="AP126">
            <v>615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530</v>
          </cell>
          <cell r="AX126">
            <v>190</v>
          </cell>
          <cell r="AY126">
            <v>0</v>
          </cell>
          <cell r="AZ126">
            <v>0</v>
          </cell>
          <cell r="BA126">
            <v>4994674</v>
          </cell>
          <cell r="BB126">
            <v>23434</v>
          </cell>
          <cell r="BC126">
            <v>4971240</v>
          </cell>
        </row>
        <row r="127">
          <cell r="C127" t="str">
            <v>STR104</v>
          </cell>
          <cell r="D127">
            <v>27360</v>
          </cell>
          <cell r="E127">
            <v>19770</v>
          </cell>
          <cell r="F127">
            <v>640</v>
          </cell>
          <cell r="G127">
            <v>0</v>
          </cell>
          <cell r="H127">
            <v>640</v>
          </cell>
          <cell r="I127">
            <v>0</v>
          </cell>
          <cell r="J127">
            <v>6950</v>
          </cell>
          <cell r="K127">
            <v>2920</v>
          </cell>
          <cell r="L127">
            <v>105</v>
          </cell>
          <cell r="M127">
            <v>105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2765</v>
          </cell>
          <cell r="X127">
            <v>1995</v>
          </cell>
          <cell r="Y127">
            <v>260</v>
          </cell>
          <cell r="Z127">
            <v>375</v>
          </cell>
          <cell r="AA127">
            <v>0</v>
          </cell>
          <cell r="AB127">
            <v>135</v>
          </cell>
          <cell r="AC127">
            <v>0</v>
          </cell>
          <cell r="AD127">
            <v>0</v>
          </cell>
          <cell r="AE127">
            <v>0</v>
          </cell>
          <cell r="AF127">
            <v>1160</v>
          </cell>
          <cell r="AG127">
            <v>75</v>
          </cell>
          <cell r="AH127">
            <v>0</v>
          </cell>
          <cell r="AI127">
            <v>420</v>
          </cell>
          <cell r="AJ127">
            <v>0</v>
          </cell>
          <cell r="AK127">
            <v>305</v>
          </cell>
          <cell r="AL127">
            <v>60</v>
          </cell>
          <cell r="AM127">
            <v>0</v>
          </cell>
          <cell r="AN127">
            <v>0</v>
          </cell>
          <cell r="AO127">
            <v>0</v>
          </cell>
          <cell r="AP127">
            <v>195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105</v>
          </cell>
          <cell r="AX127">
            <v>0</v>
          </cell>
          <cell r="AY127">
            <v>0</v>
          </cell>
          <cell r="AZ127">
            <v>0</v>
          </cell>
          <cell r="BA127">
            <v>23308</v>
          </cell>
          <cell r="BB127">
            <v>107</v>
          </cell>
          <cell r="BC127">
            <v>23201</v>
          </cell>
        </row>
        <row r="128">
          <cell r="C128" t="str">
            <v>STR103</v>
          </cell>
          <cell r="D128">
            <v>27360</v>
          </cell>
          <cell r="E128">
            <v>18060</v>
          </cell>
          <cell r="F128">
            <v>660</v>
          </cell>
          <cell r="G128">
            <v>300</v>
          </cell>
          <cell r="H128">
            <v>360</v>
          </cell>
          <cell r="I128">
            <v>0</v>
          </cell>
          <cell r="J128">
            <v>8640</v>
          </cell>
          <cell r="K128">
            <v>2820</v>
          </cell>
          <cell r="L128">
            <v>2095</v>
          </cell>
          <cell r="M128">
            <v>1515</v>
          </cell>
          <cell r="N128">
            <v>0</v>
          </cell>
          <cell r="O128">
            <v>580</v>
          </cell>
          <cell r="P128">
            <v>0</v>
          </cell>
          <cell r="Q128">
            <v>35</v>
          </cell>
          <cell r="R128">
            <v>35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1830</v>
          </cell>
          <cell r="X128">
            <v>1205</v>
          </cell>
          <cell r="Y128">
            <v>110</v>
          </cell>
          <cell r="Z128">
            <v>390</v>
          </cell>
          <cell r="AA128">
            <v>0</v>
          </cell>
          <cell r="AB128">
            <v>125</v>
          </cell>
          <cell r="AC128">
            <v>0</v>
          </cell>
          <cell r="AD128">
            <v>0</v>
          </cell>
          <cell r="AE128">
            <v>0</v>
          </cell>
          <cell r="AF128">
            <v>1860</v>
          </cell>
          <cell r="AG128">
            <v>0</v>
          </cell>
          <cell r="AH128">
            <v>0</v>
          </cell>
          <cell r="AI128">
            <v>510</v>
          </cell>
          <cell r="AJ128">
            <v>0</v>
          </cell>
          <cell r="AK128">
            <v>535</v>
          </cell>
          <cell r="AL128">
            <v>425</v>
          </cell>
          <cell r="AM128">
            <v>0</v>
          </cell>
          <cell r="AN128">
            <v>0</v>
          </cell>
          <cell r="AO128">
            <v>0</v>
          </cell>
          <cell r="AP128">
            <v>190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200</v>
          </cell>
          <cell r="AX128">
            <v>0</v>
          </cell>
          <cell r="AY128">
            <v>0</v>
          </cell>
          <cell r="AZ128">
            <v>0</v>
          </cell>
          <cell r="BA128">
            <v>1375861</v>
          </cell>
          <cell r="BB128">
            <v>4541</v>
          </cell>
          <cell r="BC128">
            <v>1371320</v>
          </cell>
        </row>
        <row r="129">
          <cell r="C129" t="str">
            <v>STR101</v>
          </cell>
          <cell r="D129">
            <v>27360</v>
          </cell>
          <cell r="E129">
            <v>12870</v>
          </cell>
          <cell r="F129">
            <v>630</v>
          </cell>
          <cell r="G129">
            <v>0</v>
          </cell>
          <cell r="H129">
            <v>630</v>
          </cell>
          <cell r="I129">
            <v>0</v>
          </cell>
          <cell r="J129">
            <v>13860</v>
          </cell>
          <cell r="K129">
            <v>4855</v>
          </cell>
          <cell r="L129">
            <v>2050</v>
          </cell>
          <cell r="M129">
            <v>840</v>
          </cell>
          <cell r="N129">
            <v>0</v>
          </cell>
          <cell r="O129">
            <v>1210</v>
          </cell>
          <cell r="P129">
            <v>0</v>
          </cell>
          <cell r="Q129">
            <v>280</v>
          </cell>
          <cell r="R129">
            <v>200</v>
          </cell>
          <cell r="S129">
            <v>80</v>
          </cell>
          <cell r="T129">
            <v>0</v>
          </cell>
          <cell r="U129">
            <v>0</v>
          </cell>
          <cell r="V129">
            <v>0</v>
          </cell>
          <cell r="W129">
            <v>3120</v>
          </cell>
          <cell r="X129">
            <v>1945</v>
          </cell>
          <cell r="Y129">
            <v>370</v>
          </cell>
          <cell r="Z129">
            <v>625</v>
          </cell>
          <cell r="AA129">
            <v>0</v>
          </cell>
          <cell r="AB129">
            <v>180</v>
          </cell>
          <cell r="AC129">
            <v>815</v>
          </cell>
          <cell r="AD129">
            <v>0</v>
          </cell>
          <cell r="AE129">
            <v>815</v>
          </cell>
          <cell r="AF129">
            <v>2740</v>
          </cell>
          <cell r="AG129">
            <v>0</v>
          </cell>
          <cell r="AH129">
            <v>0</v>
          </cell>
          <cell r="AI129">
            <v>840</v>
          </cell>
          <cell r="AJ129">
            <v>0</v>
          </cell>
          <cell r="AK129">
            <v>810</v>
          </cell>
          <cell r="AL129">
            <v>200</v>
          </cell>
          <cell r="AM129">
            <v>0</v>
          </cell>
          <cell r="AN129">
            <v>0</v>
          </cell>
          <cell r="AO129">
            <v>0</v>
          </cell>
          <cell r="AP129">
            <v>405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485</v>
          </cell>
          <cell r="AX129">
            <v>0</v>
          </cell>
          <cell r="AY129">
            <v>0</v>
          </cell>
          <cell r="AZ129">
            <v>0</v>
          </cell>
          <cell r="BA129">
            <v>2777036</v>
          </cell>
          <cell r="BB129">
            <v>11786</v>
          </cell>
          <cell r="BC129">
            <v>2765250</v>
          </cell>
        </row>
        <row r="130">
          <cell r="C130" t="str">
            <v>NBL SYR-MIXING</v>
          </cell>
          <cell r="D130">
            <v>25920</v>
          </cell>
          <cell r="E130">
            <v>18720</v>
          </cell>
          <cell r="F130">
            <v>657</v>
          </cell>
          <cell r="G130">
            <v>150</v>
          </cell>
          <cell r="H130">
            <v>507</v>
          </cell>
          <cell r="I130">
            <v>0</v>
          </cell>
          <cell r="J130">
            <v>6543</v>
          </cell>
          <cell r="K130">
            <v>2608</v>
          </cell>
          <cell r="L130">
            <v>181</v>
          </cell>
          <cell r="M130">
            <v>181</v>
          </cell>
          <cell r="N130">
            <v>0</v>
          </cell>
          <cell r="O130">
            <v>0</v>
          </cell>
          <cell r="P130">
            <v>0</v>
          </cell>
          <cell r="Q130">
            <v>62</v>
          </cell>
          <cell r="R130">
            <v>0</v>
          </cell>
          <cell r="S130">
            <v>0</v>
          </cell>
          <cell r="T130">
            <v>0</v>
          </cell>
          <cell r="U130">
            <v>62</v>
          </cell>
          <cell r="V130">
            <v>0</v>
          </cell>
          <cell r="W130">
            <v>2285</v>
          </cell>
          <cell r="X130">
            <v>155</v>
          </cell>
          <cell r="Y130">
            <v>2130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1407</v>
          </cell>
          <cell r="AG130">
            <v>165</v>
          </cell>
          <cell r="AH130">
            <v>0</v>
          </cell>
          <cell r="AI130">
            <v>168</v>
          </cell>
          <cell r="AJ130">
            <v>0</v>
          </cell>
          <cell r="AK130">
            <v>102</v>
          </cell>
          <cell r="AL130">
            <v>30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459</v>
          </cell>
          <cell r="AT130">
            <v>0</v>
          </cell>
          <cell r="AU130">
            <v>0</v>
          </cell>
          <cell r="AV130">
            <v>0</v>
          </cell>
          <cell r="AW130">
            <v>15</v>
          </cell>
          <cell r="AX130">
            <v>458</v>
          </cell>
          <cell r="AY130">
            <v>0</v>
          </cell>
          <cell r="AZ130">
            <v>10</v>
          </cell>
          <cell r="BA130">
            <v>11320</v>
          </cell>
          <cell r="BB130">
            <v>1.5</v>
          </cell>
          <cell r="BC130">
            <v>11318.5</v>
          </cell>
        </row>
        <row r="131">
          <cell r="C131" t="str">
            <v>LMIXSYR1</v>
          </cell>
          <cell r="D131">
            <v>25920</v>
          </cell>
          <cell r="E131">
            <v>18720</v>
          </cell>
          <cell r="F131">
            <v>657</v>
          </cell>
          <cell r="G131">
            <v>150</v>
          </cell>
          <cell r="H131">
            <v>507</v>
          </cell>
          <cell r="I131">
            <v>0</v>
          </cell>
          <cell r="J131">
            <v>6543</v>
          </cell>
          <cell r="K131">
            <v>2608</v>
          </cell>
          <cell r="L131">
            <v>181</v>
          </cell>
          <cell r="M131">
            <v>181</v>
          </cell>
          <cell r="N131">
            <v>0</v>
          </cell>
          <cell r="O131">
            <v>0</v>
          </cell>
          <cell r="P131">
            <v>0</v>
          </cell>
          <cell r="Q131">
            <v>62</v>
          </cell>
          <cell r="R131">
            <v>0</v>
          </cell>
          <cell r="S131">
            <v>0</v>
          </cell>
          <cell r="T131">
            <v>0</v>
          </cell>
          <cell r="U131">
            <v>62</v>
          </cell>
          <cell r="V131">
            <v>0</v>
          </cell>
          <cell r="W131">
            <v>2285</v>
          </cell>
          <cell r="X131">
            <v>155</v>
          </cell>
          <cell r="Y131">
            <v>2130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1407</v>
          </cell>
          <cell r="AG131">
            <v>165</v>
          </cell>
          <cell r="AH131">
            <v>0</v>
          </cell>
          <cell r="AI131">
            <v>168</v>
          </cell>
          <cell r="AJ131">
            <v>0</v>
          </cell>
          <cell r="AK131">
            <v>102</v>
          </cell>
          <cell r="AL131">
            <v>30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459</v>
          </cell>
          <cell r="AT131">
            <v>0</v>
          </cell>
          <cell r="AU131">
            <v>0</v>
          </cell>
          <cell r="AV131">
            <v>0</v>
          </cell>
          <cell r="AW131">
            <v>15</v>
          </cell>
          <cell r="AX131">
            <v>458</v>
          </cell>
          <cell r="AY131">
            <v>0</v>
          </cell>
          <cell r="AZ131">
            <v>10</v>
          </cell>
          <cell r="BA131">
            <v>11320</v>
          </cell>
          <cell r="BB131">
            <v>1.5</v>
          </cell>
          <cell r="BC131">
            <v>11318.5</v>
          </cell>
        </row>
        <row r="132">
          <cell r="C132" t="str">
            <v>NBL SYR-FILLING</v>
          </cell>
          <cell r="D132">
            <v>51840</v>
          </cell>
          <cell r="E132">
            <v>38910</v>
          </cell>
          <cell r="F132">
            <v>555</v>
          </cell>
          <cell r="G132">
            <v>285</v>
          </cell>
          <cell r="H132">
            <v>270</v>
          </cell>
          <cell r="I132">
            <v>0</v>
          </cell>
          <cell r="J132">
            <v>12375</v>
          </cell>
          <cell r="K132">
            <v>3160</v>
          </cell>
          <cell r="L132">
            <v>1545</v>
          </cell>
          <cell r="M132">
            <v>825</v>
          </cell>
          <cell r="N132">
            <v>0</v>
          </cell>
          <cell r="O132">
            <v>550</v>
          </cell>
          <cell r="P132">
            <v>170</v>
          </cell>
          <cell r="Q132">
            <v>865</v>
          </cell>
          <cell r="R132">
            <v>840</v>
          </cell>
          <cell r="S132">
            <v>0</v>
          </cell>
          <cell r="T132">
            <v>0</v>
          </cell>
          <cell r="U132">
            <v>25</v>
          </cell>
          <cell r="V132">
            <v>0</v>
          </cell>
          <cell r="W132">
            <v>3740</v>
          </cell>
          <cell r="X132">
            <v>520</v>
          </cell>
          <cell r="Y132">
            <v>1895</v>
          </cell>
          <cell r="Z132">
            <v>90</v>
          </cell>
          <cell r="AA132">
            <v>0</v>
          </cell>
          <cell r="AB132">
            <v>1235</v>
          </cell>
          <cell r="AC132">
            <v>285</v>
          </cell>
          <cell r="AD132">
            <v>0</v>
          </cell>
          <cell r="AE132">
            <v>285</v>
          </cell>
          <cell r="AF132">
            <v>2780</v>
          </cell>
          <cell r="AG132">
            <v>0</v>
          </cell>
          <cell r="AH132">
            <v>0</v>
          </cell>
          <cell r="AI132">
            <v>660</v>
          </cell>
          <cell r="AJ132">
            <v>30</v>
          </cell>
          <cell r="AK132">
            <v>525</v>
          </cell>
          <cell r="AL132">
            <v>0</v>
          </cell>
          <cell r="AM132">
            <v>0</v>
          </cell>
          <cell r="AN132">
            <v>0</v>
          </cell>
          <cell r="AO132">
            <v>1460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105</v>
          </cell>
          <cell r="AY132">
            <v>0</v>
          </cell>
          <cell r="AZ132">
            <v>0</v>
          </cell>
          <cell r="BA132">
            <v>152741</v>
          </cell>
          <cell r="BB132">
            <v>321</v>
          </cell>
          <cell r="BC132">
            <v>152420</v>
          </cell>
        </row>
        <row r="133">
          <cell r="C133" t="str">
            <v>SYR109</v>
          </cell>
          <cell r="D133">
            <v>25920</v>
          </cell>
          <cell r="E133">
            <v>15540</v>
          </cell>
          <cell r="F133">
            <v>555</v>
          </cell>
          <cell r="G133">
            <v>285</v>
          </cell>
          <cell r="H133">
            <v>270</v>
          </cell>
          <cell r="I133">
            <v>0</v>
          </cell>
          <cell r="J133">
            <v>9825</v>
          </cell>
          <cell r="K133">
            <v>2575</v>
          </cell>
          <cell r="L133">
            <v>1110</v>
          </cell>
          <cell r="M133">
            <v>780</v>
          </cell>
          <cell r="N133">
            <v>0</v>
          </cell>
          <cell r="O133">
            <v>245</v>
          </cell>
          <cell r="P133">
            <v>85</v>
          </cell>
          <cell r="Q133">
            <v>295</v>
          </cell>
          <cell r="R133">
            <v>270</v>
          </cell>
          <cell r="S133">
            <v>0</v>
          </cell>
          <cell r="T133">
            <v>0</v>
          </cell>
          <cell r="U133">
            <v>25</v>
          </cell>
          <cell r="V133">
            <v>0</v>
          </cell>
          <cell r="W133">
            <v>3005</v>
          </cell>
          <cell r="X133">
            <v>285</v>
          </cell>
          <cell r="Y133">
            <v>1755</v>
          </cell>
          <cell r="Z133">
            <v>90</v>
          </cell>
          <cell r="AA133">
            <v>0</v>
          </cell>
          <cell r="AB133">
            <v>875</v>
          </cell>
          <cell r="AC133">
            <v>285</v>
          </cell>
          <cell r="AD133">
            <v>0</v>
          </cell>
          <cell r="AE133">
            <v>285</v>
          </cell>
          <cell r="AF133">
            <v>2555</v>
          </cell>
          <cell r="AG133">
            <v>0</v>
          </cell>
          <cell r="AH133">
            <v>0</v>
          </cell>
          <cell r="AI133">
            <v>510</v>
          </cell>
          <cell r="AJ133">
            <v>30</v>
          </cell>
          <cell r="AK133">
            <v>450</v>
          </cell>
          <cell r="AL133">
            <v>0</v>
          </cell>
          <cell r="AM133">
            <v>0</v>
          </cell>
          <cell r="AN133">
            <v>0</v>
          </cell>
          <cell r="AO133">
            <v>1460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105</v>
          </cell>
          <cell r="AY133">
            <v>0</v>
          </cell>
          <cell r="AZ133">
            <v>0</v>
          </cell>
          <cell r="BA133">
            <v>130400</v>
          </cell>
          <cell r="BB133">
            <v>291</v>
          </cell>
          <cell r="BC133">
            <v>130109</v>
          </cell>
        </row>
        <row r="134">
          <cell r="C134" t="str">
            <v>SYR110</v>
          </cell>
          <cell r="D134">
            <v>25920</v>
          </cell>
          <cell r="E134">
            <v>23370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2550</v>
          </cell>
          <cell r="K134">
            <v>585</v>
          </cell>
          <cell r="L134">
            <v>435</v>
          </cell>
          <cell r="M134">
            <v>45</v>
          </cell>
          <cell r="N134">
            <v>0</v>
          </cell>
          <cell r="O134">
            <v>305</v>
          </cell>
          <cell r="P134">
            <v>85</v>
          </cell>
          <cell r="Q134">
            <v>570</v>
          </cell>
          <cell r="R134">
            <v>570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735</v>
          </cell>
          <cell r="X134">
            <v>235</v>
          </cell>
          <cell r="Y134">
            <v>140</v>
          </cell>
          <cell r="Z134">
            <v>0</v>
          </cell>
          <cell r="AA134">
            <v>0</v>
          </cell>
          <cell r="AB134">
            <v>360</v>
          </cell>
          <cell r="AC134">
            <v>0</v>
          </cell>
          <cell r="AD134">
            <v>0</v>
          </cell>
          <cell r="AE134">
            <v>0</v>
          </cell>
          <cell r="AF134">
            <v>225</v>
          </cell>
          <cell r="AG134">
            <v>0</v>
          </cell>
          <cell r="AH134">
            <v>0</v>
          </cell>
          <cell r="AI134">
            <v>150</v>
          </cell>
          <cell r="AJ134">
            <v>0</v>
          </cell>
          <cell r="AK134">
            <v>75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22341</v>
          </cell>
          <cell r="BB134">
            <v>30</v>
          </cell>
          <cell r="BC134">
            <v>22311</v>
          </cell>
        </row>
        <row r="135">
          <cell r="C135" t="str">
            <v>NBL INJ-MIXING</v>
          </cell>
          <cell r="D135">
            <v>27360</v>
          </cell>
          <cell r="E135">
            <v>21810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5550</v>
          </cell>
          <cell r="K135">
            <v>1696</v>
          </cell>
          <cell r="L135">
            <v>115</v>
          </cell>
          <cell r="M135">
            <v>115</v>
          </cell>
          <cell r="N135">
            <v>0</v>
          </cell>
          <cell r="O135">
            <v>0</v>
          </cell>
          <cell r="P135">
            <v>0</v>
          </cell>
          <cell r="Q135">
            <v>254</v>
          </cell>
          <cell r="R135">
            <v>254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1444</v>
          </cell>
          <cell r="X135">
            <v>532</v>
          </cell>
          <cell r="Y135">
            <v>877</v>
          </cell>
          <cell r="Z135">
            <v>0</v>
          </cell>
          <cell r="AA135">
            <v>35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2041</v>
          </cell>
          <cell r="AG135">
            <v>81</v>
          </cell>
          <cell r="AH135">
            <v>0</v>
          </cell>
          <cell r="AI135">
            <v>330</v>
          </cell>
          <cell r="AJ135">
            <v>0</v>
          </cell>
          <cell r="AK135">
            <v>430</v>
          </cell>
          <cell r="AL135">
            <v>0</v>
          </cell>
          <cell r="AM135">
            <v>100</v>
          </cell>
          <cell r="AN135">
            <v>0</v>
          </cell>
          <cell r="AO135">
            <v>140</v>
          </cell>
          <cell r="AP135">
            <v>55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905</v>
          </cell>
          <cell r="AX135">
            <v>0</v>
          </cell>
          <cell r="AY135">
            <v>0</v>
          </cell>
          <cell r="AZ135">
            <v>0</v>
          </cell>
          <cell r="BA135">
            <v>1328</v>
          </cell>
          <cell r="BB135">
            <v>0</v>
          </cell>
          <cell r="BC135">
            <v>1328</v>
          </cell>
        </row>
        <row r="136">
          <cell r="C136" t="str">
            <v>LMIXINJ1</v>
          </cell>
          <cell r="D136">
            <v>27360</v>
          </cell>
          <cell r="E136">
            <v>21810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5550</v>
          </cell>
          <cell r="K136">
            <v>1696</v>
          </cell>
          <cell r="L136">
            <v>115</v>
          </cell>
          <cell r="M136">
            <v>115</v>
          </cell>
          <cell r="N136">
            <v>0</v>
          </cell>
          <cell r="O136">
            <v>0</v>
          </cell>
          <cell r="P136">
            <v>0</v>
          </cell>
          <cell r="Q136">
            <v>254</v>
          </cell>
          <cell r="R136">
            <v>254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1444</v>
          </cell>
          <cell r="X136">
            <v>532</v>
          </cell>
          <cell r="Y136">
            <v>877</v>
          </cell>
          <cell r="Z136">
            <v>0</v>
          </cell>
          <cell r="AA136">
            <v>35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2041</v>
          </cell>
          <cell r="AG136">
            <v>81</v>
          </cell>
          <cell r="AH136">
            <v>0</v>
          </cell>
          <cell r="AI136">
            <v>330</v>
          </cell>
          <cell r="AJ136">
            <v>0</v>
          </cell>
          <cell r="AK136">
            <v>430</v>
          </cell>
          <cell r="AL136">
            <v>0</v>
          </cell>
          <cell r="AM136">
            <v>100</v>
          </cell>
          <cell r="AN136">
            <v>0</v>
          </cell>
          <cell r="AO136">
            <v>140</v>
          </cell>
          <cell r="AP136">
            <v>55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905</v>
          </cell>
          <cell r="AX136">
            <v>0</v>
          </cell>
          <cell r="AY136">
            <v>0</v>
          </cell>
          <cell r="AZ136">
            <v>0</v>
          </cell>
          <cell r="BA136">
            <v>1328</v>
          </cell>
          <cell r="BB136">
            <v>0</v>
          </cell>
          <cell r="BC136">
            <v>1328</v>
          </cell>
        </row>
        <row r="137">
          <cell r="C137" t="str">
            <v>NBL INJ-FILLING</v>
          </cell>
          <cell r="D137">
            <v>53280</v>
          </cell>
          <cell r="E137">
            <v>34350</v>
          </cell>
          <cell r="F137">
            <v>1041</v>
          </cell>
          <cell r="G137">
            <v>81</v>
          </cell>
          <cell r="H137">
            <v>960</v>
          </cell>
          <cell r="I137">
            <v>0</v>
          </cell>
          <cell r="J137">
            <v>17889</v>
          </cell>
          <cell r="K137">
            <v>6869</v>
          </cell>
          <cell r="L137">
            <v>1506</v>
          </cell>
          <cell r="M137">
            <v>1332</v>
          </cell>
          <cell r="N137">
            <v>73</v>
          </cell>
          <cell r="O137">
            <v>93</v>
          </cell>
          <cell r="P137">
            <v>8</v>
          </cell>
          <cell r="Q137">
            <v>687</v>
          </cell>
          <cell r="R137">
            <v>525</v>
          </cell>
          <cell r="S137">
            <v>39</v>
          </cell>
          <cell r="T137">
            <v>0</v>
          </cell>
          <cell r="U137">
            <v>106</v>
          </cell>
          <cell r="V137">
            <v>17</v>
          </cell>
          <cell r="W137">
            <v>3225</v>
          </cell>
          <cell r="X137">
            <v>973</v>
          </cell>
          <cell r="Y137">
            <v>2107</v>
          </cell>
          <cell r="Z137">
            <v>145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5602</v>
          </cell>
          <cell r="AG137">
            <v>5</v>
          </cell>
          <cell r="AH137">
            <v>0</v>
          </cell>
          <cell r="AI137">
            <v>1128</v>
          </cell>
          <cell r="AJ137">
            <v>0</v>
          </cell>
          <cell r="AK137">
            <v>1238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200</v>
          </cell>
          <cell r="AQ137">
            <v>0</v>
          </cell>
          <cell r="AR137">
            <v>0</v>
          </cell>
          <cell r="AS137">
            <v>2662</v>
          </cell>
          <cell r="AT137">
            <v>0</v>
          </cell>
          <cell r="AU137">
            <v>0</v>
          </cell>
          <cell r="AV137">
            <v>0</v>
          </cell>
          <cell r="AW137">
            <v>288</v>
          </cell>
          <cell r="AX137">
            <v>81</v>
          </cell>
          <cell r="AY137">
            <v>0</v>
          </cell>
          <cell r="AZ137">
            <v>0</v>
          </cell>
          <cell r="BA137">
            <v>845347</v>
          </cell>
          <cell r="BB137">
            <v>166</v>
          </cell>
          <cell r="BC137">
            <v>845181</v>
          </cell>
        </row>
        <row r="138">
          <cell r="C138" t="str">
            <v>GINLINE3</v>
          </cell>
          <cell r="D138">
            <v>27360</v>
          </cell>
          <cell r="E138">
            <v>18030</v>
          </cell>
          <cell r="F138">
            <v>896</v>
          </cell>
          <cell r="G138">
            <v>81</v>
          </cell>
          <cell r="H138">
            <v>815</v>
          </cell>
          <cell r="I138">
            <v>0</v>
          </cell>
          <cell r="J138">
            <v>8434</v>
          </cell>
          <cell r="K138">
            <v>2525</v>
          </cell>
          <cell r="L138">
            <v>916</v>
          </cell>
          <cell r="M138">
            <v>782</v>
          </cell>
          <cell r="N138">
            <v>73</v>
          </cell>
          <cell r="O138">
            <v>53</v>
          </cell>
          <cell r="P138">
            <v>8</v>
          </cell>
          <cell r="Q138">
            <v>444</v>
          </cell>
          <cell r="R138">
            <v>365</v>
          </cell>
          <cell r="S138">
            <v>39</v>
          </cell>
          <cell r="T138">
            <v>0</v>
          </cell>
          <cell r="U138">
            <v>23</v>
          </cell>
          <cell r="V138">
            <v>17</v>
          </cell>
          <cell r="W138">
            <v>1966</v>
          </cell>
          <cell r="X138">
            <v>720</v>
          </cell>
          <cell r="Y138">
            <v>1101</v>
          </cell>
          <cell r="Z138">
            <v>145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2583</v>
          </cell>
          <cell r="AG138">
            <v>5</v>
          </cell>
          <cell r="AH138">
            <v>0</v>
          </cell>
          <cell r="AI138">
            <v>533</v>
          </cell>
          <cell r="AJ138">
            <v>0</v>
          </cell>
          <cell r="AK138">
            <v>588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125</v>
          </cell>
          <cell r="AQ138">
            <v>0</v>
          </cell>
          <cell r="AR138">
            <v>0</v>
          </cell>
          <cell r="AS138">
            <v>1240</v>
          </cell>
          <cell r="AT138">
            <v>0</v>
          </cell>
          <cell r="AU138">
            <v>0</v>
          </cell>
          <cell r="AV138">
            <v>0</v>
          </cell>
          <cell r="AW138">
            <v>92</v>
          </cell>
          <cell r="AX138">
            <v>0</v>
          </cell>
          <cell r="AY138">
            <v>0</v>
          </cell>
          <cell r="AZ138">
            <v>0</v>
          </cell>
          <cell r="BA138">
            <v>427869</v>
          </cell>
          <cell r="BB138">
            <v>0</v>
          </cell>
          <cell r="BC138">
            <v>427869</v>
          </cell>
        </row>
        <row r="139">
          <cell r="C139" t="str">
            <v>GINLINE4</v>
          </cell>
          <cell r="D139">
            <v>25920</v>
          </cell>
          <cell r="E139">
            <v>16320</v>
          </cell>
          <cell r="F139">
            <v>145</v>
          </cell>
          <cell r="G139">
            <v>0</v>
          </cell>
          <cell r="H139">
            <v>145</v>
          </cell>
          <cell r="I139">
            <v>0</v>
          </cell>
          <cell r="J139">
            <v>9455</v>
          </cell>
          <cell r="K139">
            <v>4344</v>
          </cell>
          <cell r="L139">
            <v>590</v>
          </cell>
          <cell r="M139">
            <v>550</v>
          </cell>
          <cell r="N139">
            <v>0</v>
          </cell>
          <cell r="O139">
            <v>40</v>
          </cell>
          <cell r="P139">
            <v>0</v>
          </cell>
          <cell r="Q139">
            <v>243</v>
          </cell>
          <cell r="R139">
            <v>160</v>
          </cell>
          <cell r="S139">
            <v>0</v>
          </cell>
          <cell r="T139">
            <v>0</v>
          </cell>
          <cell r="U139">
            <v>83</v>
          </cell>
          <cell r="V139">
            <v>0</v>
          </cell>
          <cell r="W139">
            <v>1259</v>
          </cell>
          <cell r="X139">
            <v>253</v>
          </cell>
          <cell r="Y139">
            <v>1006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3019</v>
          </cell>
          <cell r="AG139">
            <v>0</v>
          </cell>
          <cell r="AH139">
            <v>0</v>
          </cell>
          <cell r="AI139">
            <v>595</v>
          </cell>
          <cell r="AJ139">
            <v>0</v>
          </cell>
          <cell r="AK139">
            <v>650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75</v>
          </cell>
          <cell r="AQ139">
            <v>0</v>
          </cell>
          <cell r="AR139">
            <v>0</v>
          </cell>
          <cell r="AS139">
            <v>1422</v>
          </cell>
          <cell r="AT139">
            <v>0</v>
          </cell>
          <cell r="AU139">
            <v>0</v>
          </cell>
          <cell r="AV139">
            <v>0</v>
          </cell>
          <cell r="AW139">
            <v>196</v>
          </cell>
          <cell r="AX139">
            <v>81</v>
          </cell>
          <cell r="AY139">
            <v>0</v>
          </cell>
          <cell r="AZ139">
            <v>0</v>
          </cell>
          <cell r="BA139">
            <v>417478</v>
          </cell>
          <cell r="BB139">
            <v>166</v>
          </cell>
          <cell r="BC139">
            <v>417312</v>
          </cell>
        </row>
        <row r="140">
          <cell r="C140" t="str">
            <v>NBL INJ-STERILIZATION</v>
          </cell>
          <cell r="D140">
            <v>80640</v>
          </cell>
          <cell r="E140">
            <v>60650</v>
          </cell>
          <cell r="F140">
            <v>1437</v>
          </cell>
          <cell r="G140">
            <v>687</v>
          </cell>
          <cell r="H140">
            <v>750</v>
          </cell>
          <cell r="I140">
            <v>0</v>
          </cell>
          <cell r="J140">
            <v>18553</v>
          </cell>
          <cell r="K140">
            <v>11551</v>
          </cell>
          <cell r="L140">
            <v>304</v>
          </cell>
          <cell r="M140">
            <v>284</v>
          </cell>
          <cell r="N140">
            <v>0</v>
          </cell>
          <cell r="O140">
            <v>20</v>
          </cell>
          <cell r="P140">
            <v>0</v>
          </cell>
          <cell r="Q140">
            <v>436</v>
          </cell>
          <cell r="R140">
            <v>436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4126</v>
          </cell>
          <cell r="X140">
            <v>3544</v>
          </cell>
          <cell r="Y140">
            <v>222</v>
          </cell>
          <cell r="Z140">
            <v>45</v>
          </cell>
          <cell r="AA140">
            <v>0</v>
          </cell>
          <cell r="AB140">
            <v>315</v>
          </cell>
          <cell r="AC140">
            <v>0</v>
          </cell>
          <cell r="AD140">
            <v>0</v>
          </cell>
          <cell r="AE140">
            <v>0</v>
          </cell>
          <cell r="AF140">
            <v>2136</v>
          </cell>
          <cell r="AG140">
            <v>0</v>
          </cell>
          <cell r="AH140">
            <v>0</v>
          </cell>
          <cell r="AI140">
            <v>217</v>
          </cell>
          <cell r="AJ140">
            <v>60</v>
          </cell>
          <cell r="AK140">
            <v>245</v>
          </cell>
          <cell r="AL140">
            <v>815</v>
          </cell>
          <cell r="AM140">
            <v>0</v>
          </cell>
          <cell r="AN140">
            <v>0</v>
          </cell>
          <cell r="AO140">
            <v>594</v>
          </cell>
          <cell r="AP140">
            <v>205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947</v>
          </cell>
          <cell r="BB140">
            <v>0</v>
          </cell>
          <cell r="BC140">
            <v>947</v>
          </cell>
        </row>
        <row r="141">
          <cell r="C141" t="str">
            <v>INJ105</v>
          </cell>
          <cell r="D141">
            <v>25920</v>
          </cell>
          <cell r="E141">
            <v>25920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/>
          <cell r="K141"/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/>
          <cell r="BB141"/>
          <cell r="BC141"/>
        </row>
        <row r="142">
          <cell r="C142" t="str">
            <v>INJ106</v>
          </cell>
          <cell r="D142">
            <v>27360</v>
          </cell>
          <cell r="E142">
            <v>12385</v>
          </cell>
          <cell r="F142">
            <v>662</v>
          </cell>
          <cell r="G142">
            <v>662</v>
          </cell>
          <cell r="H142">
            <v>0</v>
          </cell>
          <cell r="I142">
            <v>0</v>
          </cell>
          <cell r="J142">
            <v>14313</v>
          </cell>
          <cell r="K142">
            <v>10688</v>
          </cell>
          <cell r="L142">
            <v>72</v>
          </cell>
          <cell r="M142">
            <v>72</v>
          </cell>
          <cell r="N142">
            <v>0</v>
          </cell>
          <cell r="O142">
            <v>0</v>
          </cell>
          <cell r="P142">
            <v>0</v>
          </cell>
          <cell r="Q142">
            <v>436</v>
          </cell>
          <cell r="R142">
            <v>436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2900</v>
          </cell>
          <cell r="X142">
            <v>2763</v>
          </cell>
          <cell r="Y142">
            <v>102</v>
          </cell>
          <cell r="Z142">
            <v>0</v>
          </cell>
          <cell r="AA142">
            <v>0</v>
          </cell>
          <cell r="AB142">
            <v>35</v>
          </cell>
          <cell r="AC142">
            <v>0</v>
          </cell>
          <cell r="AD142">
            <v>0</v>
          </cell>
          <cell r="AE142">
            <v>0</v>
          </cell>
          <cell r="AF142">
            <v>217</v>
          </cell>
          <cell r="AG142">
            <v>0</v>
          </cell>
          <cell r="AH142">
            <v>0</v>
          </cell>
          <cell r="AI142">
            <v>23</v>
          </cell>
          <cell r="AJ142">
            <v>0</v>
          </cell>
          <cell r="AK142">
            <v>40</v>
          </cell>
          <cell r="AL142">
            <v>0</v>
          </cell>
          <cell r="AM142">
            <v>0</v>
          </cell>
          <cell r="AN142">
            <v>0</v>
          </cell>
          <cell r="AO142">
            <v>154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931</v>
          </cell>
          <cell r="BB142">
            <v>0</v>
          </cell>
          <cell r="BC142">
            <v>931</v>
          </cell>
        </row>
        <row r="143">
          <cell r="C143" t="str">
            <v>INJ107</v>
          </cell>
          <cell r="D143">
            <v>27360</v>
          </cell>
          <cell r="E143">
            <v>22345</v>
          </cell>
          <cell r="F143">
            <v>775</v>
          </cell>
          <cell r="G143">
            <v>25</v>
          </cell>
          <cell r="H143">
            <v>750</v>
          </cell>
          <cell r="I143">
            <v>0</v>
          </cell>
          <cell r="J143">
            <v>4240</v>
          </cell>
          <cell r="K143">
            <v>863</v>
          </cell>
          <cell r="L143">
            <v>232</v>
          </cell>
          <cell r="M143">
            <v>212</v>
          </cell>
          <cell r="N143">
            <v>0</v>
          </cell>
          <cell r="O143">
            <v>20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1226</v>
          </cell>
          <cell r="X143">
            <v>781</v>
          </cell>
          <cell r="Y143">
            <v>120</v>
          </cell>
          <cell r="Z143">
            <v>45</v>
          </cell>
          <cell r="AA143">
            <v>0</v>
          </cell>
          <cell r="AB143">
            <v>280</v>
          </cell>
          <cell r="AC143">
            <v>0</v>
          </cell>
          <cell r="AD143">
            <v>0</v>
          </cell>
          <cell r="AE143">
            <v>0</v>
          </cell>
          <cell r="AF143">
            <v>1919</v>
          </cell>
          <cell r="AG143">
            <v>0</v>
          </cell>
          <cell r="AH143">
            <v>0</v>
          </cell>
          <cell r="AI143">
            <v>194</v>
          </cell>
          <cell r="AJ143">
            <v>60</v>
          </cell>
          <cell r="AK143">
            <v>205</v>
          </cell>
          <cell r="AL143">
            <v>815</v>
          </cell>
          <cell r="AM143">
            <v>0</v>
          </cell>
          <cell r="AN143">
            <v>0</v>
          </cell>
          <cell r="AO143">
            <v>440</v>
          </cell>
          <cell r="AP143">
            <v>205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16</v>
          </cell>
          <cell r="BB143">
            <v>0</v>
          </cell>
          <cell r="BC143">
            <v>16</v>
          </cell>
        </row>
        <row r="144">
          <cell r="C144" t="str">
            <v>NBL SECONDARY PACKING</v>
          </cell>
          <cell r="D144">
            <v>155520</v>
          </cell>
          <cell r="E144">
            <v>111480</v>
          </cell>
          <cell r="F144">
            <v>6040</v>
          </cell>
          <cell r="G144">
            <v>1595</v>
          </cell>
          <cell r="H144">
            <v>4445</v>
          </cell>
          <cell r="I144">
            <v>0</v>
          </cell>
          <cell r="J144">
            <v>38000</v>
          </cell>
          <cell r="K144">
            <v>22457</v>
          </cell>
          <cell r="L144">
            <v>2036</v>
          </cell>
          <cell r="M144">
            <v>1360</v>
          </cell>
          <cell r="N144">
            <v>144</v>
          </cell>
          <cell r="O144">
            <v>218</v>
          </cell>
          <cell r="P144">
            <v>314</v>
          </cell>
          <cell r="Q144">
            <v>220</v>
          </cell>
          <cell r="R144">
            <v>0</v>
          </cell>
          <cell r="S144">
            <v>220</v>
          </cell>
          <cell r="T144">
            <v>0</v>
          </cell>
          <cell r="U144">
            <v>0</v>
          </cell>
          <cell r="V144">
            <v>0</v>
          </cell>
          <cell r="W144">
            <v>2922</v>
          </cell>
          <cell r="X144">
            <v>1388</v>
          </cell>
          <cell r="Y144">
            <v>1354</v>
          </cell>
          <cell r="Z144">
            <v>0</v>
          </cell>
          <cell r="AA144">
            <v>0</v>
          </cell>
          <cell r="AB144">
            <v>180</v>
          </cell>
          <cell r="AC144">
            <v>0</v>
          </cell>
          <cell r="AD144">
            <v>0</v>
          </cell>
          <cell r="AE144">
            <v>0</v>
          </cell>
          <cell r="AF144">
            <v>10365</v>
          </cell>
          <cell r="AG144">
            <v>0</v>
          </cell>
          <cell r="AH144">
            <v>1575</v>
          </cell>
          <cell r="AI144">
            <v>2265</v>
          </cell>
          <cell r="AJ144">
            <v>0</v>
          </cell>
          <cell r="AK144">
            <v>1140</v>
          </cell>
          <cell r="AL144">
            <v>1385</v>
          </cell>
          <cell r="AM144">
            <v>20</v>
          </cell>
          <cell r="AN144">
            <v>0</v>
          </cell>
          <cell r="AO144">
            <v>1925</v>
          </cell>
          <cell r="AP144">
            <v>651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1404</v>
          </cell>
          <cell r="AX144">
            <v>0</v>
          </cell>
          <cell r="AY144">
            <v>0</v>
          </cell>
          <cell r="AZ144">
            <v>0</v>
          </cell>
          <cell r="BA144">
            <v>1082536</v>
          </cell>
          <cell r="BB144">
            <v>78</v>
          </cell>
          <cell r="BC144">
            <v>1082458</v>
          </cell>
        </row>
        <row r="145">
          <cell r="C145" t="str">
            <v>PAK101</v>
          </cell>
          <cell r="D145">
            <v>25920</v>
          </cell>
          <cell r="E145">
            <v>10950</v>
          </cell>
          <cell r="F145">
            <v>225</v>
          </cell>
          <cell r="G145">
            <v>225</v>
          </cell>
          <cell r="H145">
            <v>0</v>
          </cell>
          <cell r="I145">
            <v>0</v>
          </cell>
          <cell r="J145">
            <v>14745</v>
          </cell>
          <cell r="K145">
            <v>10185</v>
          </cell>
          <cell r="L145">
            <v>253</v>
          </cell>
          <cell r="M145">
            <v>253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959</v>
          </cell>
          <cell r="X145">
            <v>334</v>
          </cell>
          <cell r="Y145">
            <v>515</v>
          </cell>
          <cell r="Z145">
            <v>0</v>
          </cell>
          <cell r="AA145">
            <v>0</v>
          </cell>
          <cell r="AB145">
            <v>110</v>
          </cell>
          <cell r="AC145">
            <v>0</v>
          </cell>
          <cell r="AD145">
            <v>0</v>
          </cell>
          <cell r="AE145">
            <v>0</v>
          </cell>
          <cell r="AF145">
            <v>3348</v>
          </cell>
          <cell r="AG145">
            <v>0</v>
          </cell>
          <cell r="AH145">
            <v>830</v>
          </cell>
          <cell r="AI145">
            <v>900</v>
          </cell>
          <cell r="AJ145">
            <v>0</v>
          </cell>
          <cell r="AK145">
            <v>450</v>
          </cell>
          <cell r="AL145">
            <v>300</v>
          </cell>
          <cell r="AM145">
            <v>0</v>
          </cell>
          <cell r="AN145">
            <v>0</v>
          </cell>
          <cell r="AO145">
            <v>0</v>
          </cell>
          <cell r="AP145">
            <v>226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642</v>
          </cell>
          <cell r="AX145">
            <v>0</v>
          </cell>
          <cell r="AY145">
            <v>0</v>
          </cell>
          <cell r="AZ145">
            <v>0</v>
          </cell>
          <cell r="BA145">
            <v>377468</v>
          </cell>
          <cell r="BB145">
            <v>29</v>
          </cell>
          <cell r="BC145">
            <v>377439</v>
          </cell>
        </row>
        <row r="146">
          <cell r="C146" t="str">
            <v>PAK103</v>
          </cell>
          <cell r="D146">
            <v>25920</v>
          </cell>
          <cell r="E146">
            <v>14820</v>
          </cell>
          <cell r="F146">
            <v>195</v>
          </cell>
          <cell r="G146">
            <v>195</v>
          </cell>
          <cell r="H146">
            <v>0</v>
          </cell>
          <cell r="I146">
            <v>0</v>
          </cell>
          <cell r="J146">
            <v>10905</v>
          </cell>
          <cell r="K146">
            <v>7290</v>
          </cell>
          <cell r="L146">
            <v>187</v>
          </cell>
          <cell r="M146">
            <v>187</v>
          </cell>
          <cell r="N146">
            <v>0</v>
          </cell>
          <cell r="O146">
            <v>0</v>
          </cell>
          <cell r="P146">
            <v>0</v>
          </cell>
          <cell r="Q146">
            <v>85</v>
          </cell>
          <cell r="R146">
            <v>0</v>
          </cell>
          <cell r="S146">
            <v>85</v>
          </cell>
          <cell r="T146">
            <v>0</v>
          </cell>
          <cell r="U146">
            <v>0</v>
          </cell>
          <cell r="V146">
            <v>0</v>
          </cell>
          <cell r="W146">
            <v>706</v>
          </cell>
          <cell r="X146">
            <v>234</v>
          </cell>
          <cell r="Y146">
            <v>412</v>
          </cell>
          <cell r="Z146">
            <v>0</v>
          </cell>
          <cell r="AA146">
            <v>0</v>
          </cell>
          <cell r="AB146">
            <v>60</v>
          </cell>
          <cell r="AC146">
            <v>0</v>
          </cell>
          <cell r="AD146">
            <v>0</v>
          </cell>
          <cell r="AE146">
            <v>0</v>
          </cell>
          <cell r="AF146">
            <v>2637</v>
          </cell>
          <cell r="AG146">
            <v>0</v>
          </cell>
          <cell r="AH146">
            <v>745</v>
          </cell>
          <cell r="AI146">
            <v>600</v>
          </cell>
          <cell r="AJ146">
            <v>0</v>
          </cell>
          <cell r="AK146">
            <v>300</v>
          </cell>
          <cell r="AL146">
            <v>320</v>
          </cell>
          <cell r="AM146">
            <v>0</v>
          </cell>
          <cell r="AN146">
            <v>0</v>
          </cell>
          <cell r="AO146">
            <v>0</v>
          </cell>
          <cell r="AP146">
            <v>175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497</v>
          </cell>
          <cell r="AX146">
            <v>0</v>
          </cell>
          <cell r="AY146">
            <v>0</v>
          </cell>
          <cell r="AZ146">
            <v>0</v>
          </cell>
          <cell r="BA146">
            <v>333650</v>
          </cell>
          <cell r="BB146">
            <v>10</v>
          </cell>
          <cell r="BC146">
            <v>333640</v>
          </cell>
        </row>
        <row r="147">
          <cell r="C147" t="str">
            <v>PAK105</v>
          </cell>
          <cell r="D147">
            <v>25920</v>
          </cell>
          <cell r="E147">
            <v>13560</v>
          </cell>
          <cell r="F147">
            <v>3750</v>
          </cell>
          <cell r="G147">
            <v>995</v>
          </cell>
          <cell r="H147">
            <v>2755</v>
          </cell>
          <cell r="I147">
            <v>0</v>
          </cell>
          <cell r="J147">
            <v>8610</v>
          </cell>
          <cell r="K147">
            <v>3310</v>
          </cell>
          <cell r="L147">
            <v>835</v>
          </cell>
          <cell r="M147">
            <v>595</v>
          </cell>
          <cell r="N147">
            <v>65</v>
          </cell>
          <cell r="O147">
            <v>10</v>
          </cell>
          <cell r="P147">
            <v>165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620</v>
          </cell>
          <cell r="X147">
            <v>390</v>
          </cell>
          <cell r="Y147">
            <v>230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3845</v>
          </cell>
          <cell r="AG147">
            <v>0</v>
          </cell>
          <cell r="AH147">
            <v>0</v>
          </cell>
          <cell r="AI147">
            <v>540</v>
          </cell>
          <cell r="AJ147">
            <v>0</v>
          </cell>
          <cell r="AK147">
            <v>300</v>
          </cell>
          <cell r="AL147">
            <v>765</v>
          </cell>
          <cell r="AM147">
            <v>20</v>
          </cell>
          <cell r="AN147">
            <v>0</v>
          </cell>
          <cell r="AO147">
            <v>1925</v>
          </cell>
          <cell r="AP147">
            <v>140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155</v>
          </cell>
          <cell r="AX147">
            <v>0</v>
          </cell>
          <cell r="AY147">
            <v>0</v>
          </cell>
          <cell r="AZ147">
            <v>0</v>
          </cell>
          <cell r="BA147">
            <v>182838</v>
          </cell>
          <cell r="BB147">
            <v>0</v>
          </cell>
          <cell r="BC147">
            <v>182838</v>
          </cell>
        </row>
        <row r="148">
          <cell r="C148" t="str">
            <v>PAK102</v>
          </cell>
          <cell r="D148">
            <v>25920</v>
          </cell>
          <cell r="E148">
            <v>25920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/>
          <cell r="K148"/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/>
          <cell r="BB148"/>
          <cell r="BC148"/>
        </row>
        <row r="149">
          <cell r="C149" t="str">
            <v>PAK104</v>
          </cell>
          <cell r="D149">
            <v>25920</v>
          </cell>
          <cell r="E149">
            <v>25410</v>
          </cell>
          <cell r="F149">
            <v>280</v>
          </cell>
          <cell r="G149">
            <v>0</v>
          </cell>
          <cell r="H149">
            <v>280</v>
          </cell>
          <cell r="I149">
            <v>0</v>
          </cell>
          <cell r="J149">
            <v>230</v>
          </cell>
          <cell r="K149">
            <v>45</v>
          </cell>
          <cell r="L149">
            <v>25</v>
          </cell>
          <cell r="M149">
            <v>25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100</v>
          </cell>
          <cell r="X149">
            <v>40</v>
          </cell>
          <cell r="Y149">
            <v>50</v>
          </cell>
          <cell r="Z149">
            <v>0</v>
          </cell>
          <cell r="AA149">
            <v>0</v>
          </cell>
          <cell r="AB149">
            <v>10</v>
          </cell>
          <cell r="AC149">
            <v>0</v>
          </cell>
          <cell r="AD149">
            <v>0</v>
          </cell>
          <cell r="AE149">
            <v>0</v>
          </cell>
          <cell r="AF149">
            <v>60</v>
          </cell>
          <cell r="AG149">
            <v>0</v>
          </cell>
          <cell r="AH149">
            <v>0</v>
          </cell>
          <cell r="AI149">
            <v>45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10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5</v>
          </cell>
          <cell r="AX149">
            <v>0</v>
          </cell>
          <cell r="AY149">
            <v>0</v>
          </cell>
          <cell r="AZ149">
            <v>0</v>
          </cell>
          <cell r="BA149">
            <v>1539</v>
          </cell>
          <cell r="BB149">
            <v>0</v>
          </cell>
          <cell r="BC149">
            <v>1539</v>
          </cell>
        </row>
        <row r="150">
          <cell r="C150" t="str">
            <v>PAK111</v>
          </cell>
          <cell r="D150">
            <v>25920</v>
          </cell>
          <cell r="E150">
            <v>20820</v>
          </cell>
          <cell r="F150">
            <v>1590</v>
          </cell>
          <cell r="G150">
            <v>180</v>
          </cell>
          <cell r="H150">
            <v>1410</v>
          </cell>
          <cell r="I150">
            <v>0</v>
          </cell>
          <cell r="J150">
            <v>3510</v>
          </cell>
          <cell r="K150">
            <v>1627</v>
          </cell>
          <cell r="L150">
            <v>736</v>
          </cell>
          <cell r="M150">
            <v>300</v>
          </cell>
          <cell r="N150">
            <v>79</v>
          </cell>
          <cell r="O150">
            <v>208</v>
          </cell>
          <cell r="P150">
            <v>149</v>
          </cell>
          <cell r="Q150">
            <v>135</v>
          </cell>
          <cell r="R150">
            <v>0</v>
          </cell>
          <cell r="S150">
            <v>135</v>
          </cell>
          <cell r="T150">
            <v>0</v>
          </cell>
          <cell r="U150">
            <v>0</v>
          </cell>
          <cell r="V150">
            <v>0</v>
          </cell>
          <cell r="W150">
            <v>537</v>
          </cell>
          <cell r="X150">
            <v>390</v>
          </cell>
          <cell r="Y150">
            <v>147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475</v>
          </cell>
          <cell r="AG150">
            <v>0</v>
          </cell>
          <cell r="AH150">
            <v>0</v>
          </cell>
          <cell r="AI150">
            <v>180</v>
          </cell>
          <cell r="AJ150">
            <v>0</v>
          </cell>
          <cell r="AK150">
            <v>90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100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105</v>
          </cell>
          <cell r="AX150">
            <v>0</v>
          </cell>
          <cell r="AY150">
            <v>0</v>
          </cell>
          <cell r="AZ150">
            <v>0</v>
          </cell>
          <cell r="BA150">
            <v>187041</v>
          </cell>
          <cell r="BB150">
            <v>39</v>
          </cell>
          <cell r="BC150">
            <v>187002</v>
          </cell>
        </row>
        <row r="151">
          <cell r="C151" t="str">
            <v>CPH SOL-MIXING</v>
          </cell>
          <cell r="D151">
            <v>25920</v>
          </cell>
          <cell r="E151">
            <v>25440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480</v>
          </cell>
          <cell r="K151">
            <v>32</v>
          </cell>
          <cell r="L151">
            <v>25</v>
          </cell>
          <cell r="M151">
            <v>10</v>
          </cell>
          <cell r="N151">
            <v>15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207</v>
          </cell>
          <cell r="X151">
            <v>132</v>
          </cell>
          <cell r="Y151">
            <v>65</v>
          </cell>
          <cell r="Z151">
            <v>0</v>
          </cell>
          <cell r="AA151">
            <v>0</v>
          </cell>
          <cell r="AB151">
            <v>10</v>
          </cell>
          <cell r="AC151">
            <v>0</v>
          </cell>
          <cell r="AD151">
            <v>0</v>
          </cell>
          <cell r="AE151">
            <v>0</v>
          </cell>
          <cell r="AF151">
            <v>216</v>
          </cell>
          <cell r="AG151">
            <v>115</v>
          </cell>
          <cell r="AH151">
            <v>0</v>
          </cell>
          <cell r="AI151">
            <v>30</v>
          </cell>
          <cell r="AJ151">
            <v>0</v>
          </cell>
          <cell r="AK151">
            <v>45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26</v>
          </cell>
          <cell r="AX151">
            <v>0</v>
          </cell>
          <cell r="AY151">
            <v>0</v>
          </cell>
          <cell r="AZ151">
            <v>0</v>
          </cell>
          <cell r="BA151">
            <v>85.13</v>
          </cell>
          <cell r="BB151">
            <v>0.4</v>
          </cell>
          <cell r="BC151">
            <v>84.73</v>
          </cell>
        </row>
        <row r="152">
          <cell r="C152" t="str">
            <v>MCF101</v>
          </cell>
          <cell r="D152">
            <v>25920</v>
          </cell>
          <cell r="E152">
            <v>25440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480</v>
          </cell>
          <cell r="K152">
            <v>32</v>
          </cell>
          <cell r="L152">
            <v>25</v>
          </cell>
          <cell r="M152">
            <v>10</v>
          </cell>
          <cell r="N152">
            <v>15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207</v>
          </cell>
          <cell r="X152">
            <v>132</v>
          </cell>
          <cell r="Y152">
            <v>65</v>
          </cell>
          <cell r="Z152">
            <v>0</v>
          </cell>
          <cell r="AA152">
            <v>0</v>
          </cell>
          <cell r="AB152">
            <v>10</v>
          </cell>
          <cell r="AC152">
            <v>0</v>
          </cell>
          <cell r="AD152">
            <v>0</v>
          </cell>
          <cell r="AE152">
            <v>0</v>
          </cell>
          <cell r="AF152">
            <v>216</v>
          </cell>
          <cell r="AG152">
            <v>115</v>
          </cell>
          <cell r="AH152">
            <v>0</v>
          </cell>
          <cell r="AI152">
            <v>30</v>
          </cell>
          <cell r="AJ152">
            <v>0</v>
          </cell>
          <cell r="AK152">
            <v>45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26</v>
          </cell>
          <cell r="AX152">
            <v>0</v>
          </cell>
          <cell r="AY152">
            <v>0</v>
          </cell>
          <cell r="AZ152">
            <v>0</v>
          </cell>
          <cell r="BA152">
            <v>85.13</v>
          </cell>
          <cell r="BB152">
            <v>0.4</v>
          </cell>
          <cell r="BC152">
            <v>84.73</v>
          </cell>
        </row>
        <row r="153">
          <cell r="C153" t="str">
            <v>CPH SOL-CAPSULE</v>
          </cell>
          <cell r="D153">
            <v>25920</v>
          </cell>
          <cell r="E153">
            <v>25410</v>
          </cell>
          <cell r="F153">
            <v>90</v>
          </cell>
          <cell r="G153">
            <v>0</v>
          </cell>
          <cell r="H153">
            <v>90</v>
          </cell>
          <cell r="I153">
            <v>0</v>
          </cell>
          <cell r="J153">
            <v>420</v>
          </cell>
          <cell r="K153">
            <v>135</v>
          </cell>
          <cell r="L153">
            <v>10</v>
          </cell>
          <cell r="M153">
            <v>10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140</v>
          </cell>
          <cell r="X153">
            <v>40</v>
          </cell>
          <cell r="Y153">
            <v>0</v>
          </cell>
          <cell r="Z153">
            <v>0</v>
          </cell>
          <cell r="AA153">
            <v>0</v>
          </cell>
          <cell r="AB153">
            <v>100</v>
          </cell>
          <cell r="AC153">
            <v>0</v>
          </cell>
          <cell r="AD153">
            <v>0</v>
          </cell>
          <cell r="AE153">
            <v>0</v>
          </cell>
          <cell r="AF153">
            <v>135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45</v>
          </cell>
          <cell r="AL153">
            <v>0</v>
          </cell>
          <cell r="AM153">
            <v>0</v>
          </cell>
          <cell r="AN153">
            <v>0</v>
          </cell>
          <cell r="AO153">
            <v>60</v>
          </cell>
          <cell r="AP153">
            <v>20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10</v>
          </cell>
          <cell r="AX153">
            <v>0</v>
          </cell>
          <cell r="AY153">
            <v>0</v>
          </cell>
          <cell r="AZ153">
            <v>0</v>
          </cell>
          <cell r="BA153">
            <v>100672</v>
          </cell>
          <cell r="BB153">
            <v>168</v>
          </cell>
          <cell r="BC153">
            <v>100504</v>
          </cell>
        </row>
        <row r="154">
          <cell r="C154" t="str">
            <v>KCF101</v>
          </cell>
          <cell r="D154">
            <v>25920</v>
          </cell>
          <cell r="E154">
            <v>25410</v>
          </cell>
          <cell r="F154">
            <v>90</v>
          </cell>
          <cell r="G154">
            <v>0</v>
          </cell>
          <cell r="H154">
            <v>90</v>
          </cell>
          <cell r="I154">
            <v>0</v>
          </cell>
          <cell r="J154">
            <v>420</v>
          </cell>
          <cell r="K154">
            <v>135</v>
          </cell>
          <cell r="L154">
            <v>10</v>
          </cell>
          <cell r="M154">
            <v>10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140</v>
          </cell>
          <cell r="X154">
            <v>40</v>
          </cell>
          <cell r="Y154">
            <v>0</v>
          </cell>
          <cell r="Z154">
            <v>0</v>
          </cell>
          <cell r="AA154">
            <v>0</v>
          </cell>
          <cell r="AB154">
            <v>100</v>
          </cell>
          <cell r="AC154">
            <v>0</v>
          </cell>
          <cell r="AD154">
            <v>0</v>
          </cell>
          <cell r="AE154">
            <v>0</v>
          </cell>
          <cell r="AF154">
            <v>135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45</v>
          </cell>
          <cell r="AL154">
            <v>0</v>
          </cell>
          <cell r="AM154">
            <v>0</v>
          </cell>
          <cell r="AN154">
            <v>0</v>
          </cell>
          <cell r="AO154">
            <v>60</v>
          </cell>
          <cell r="AP154">
            <v>20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10</v>
          </cell>
          <cell r="AX154">
            <v>0</v>
          </cell>
          <cell r="AY154">
            <v>0</v>
          </cell>
          <cell r="AZ154">
            <v>0</v>
          </cell>
          <cell r="BA154">
            <v>100672</v>
          </cell>
          <cell r="BB154">
            <v>168</v>
          </cell>
          <cell r="BC154">
            <v>100504</v>
          </cell>
        </row>
        <row r="155">
          <cell r="C155" t="str">
            <v>CPH SOL-STRIPPING</v>
          </cell>
          <cell r="D155">
            <v>25920</v>
          </cell>
          <cell r="E155">
            <v>25410</v>
          </cell>
          <cell r="F155">
            <v>30</v>
          </cell>
          <cell r="G155">
            <v>30</v>
          </cell>
          <cell r="H155">
            <v>0</v>
          </cell>
          <cell r="I155">
            <v>0</v>
          </cell>
          <cell r="J155">
            <v>480</v>
          </cell>
          <cell r="K155">
            <v>125</v>
          </cell>
          <cell r="L155">
            <v>105</v>
          </cell>
          <cell r="M155">
            <v>45</v>
          </cell>
          <cell r="N155">
            <v>0</v>
          </cell>
          <cell r="O155">
            <v>60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175</v>
          </cell>
          <cell r="X155">
            <v>70</v>
          </cell>
          <cell r="Y155">
            <v>105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75</v>
          </cell>
          <cell r="AG155">
            <v>0</v>
          </cell>
          <cell r="AH155">
            <v>0</v>
          </cell>
          <cell r="AI155">
            <v>30</v>
          </cell>
          <cell r="AJ155">
            <v>0</v>
          </cell>
          <cell r="AK155">
            <v>15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30</v>
          </cell>
          <cell r="AX155">
            <v>0</v>
          </cell>
          <cell r="AY155">
            <v>0</v>
          </cell>
          <cell r="AZ155">
            <v>0</v>
          </cell>
          <cell r="BA155">
            <v>100829</v>
          </cell>
          <cell r="BB155">
            <v>489</v>
          </cell>
          <cell r="BC155">
            <v>100340</v>
          </cell>
        </row>
        <row r="156">
          <cell r="C156" t="str">
            <v>STC101</v>
          </cell>
          <cell r="D156">
            <v>25920</v>
          </cell>
          <cell r="E156">
            <v>25410</v>
          </cell>
          <cell r="F156">
            <v>30</v>
          </cell>
          <cell r="G156">
            <v>30</v>
          </cell>
          <cell r="H156">
            <v>0</v>
          </cell>
          <cell r="I156">
            <v>0</v>
          </cell>
          <cell r="J156">
            <v>480</v>
          </cell>
          <cell r="K156">
            <v>125</v>
          </cell>
          <cell r="L156">
            <v>105</v>
          </cell>
          <cell r="M156">
            <v>45</v>
          </cell>
          <cell r="N156">
            <v>0</v>
          </cell>
          <cell r="O156">
            <v>60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175</v>
          </cell>
          <cell r="X156">
            <v>70</v>
          </cell>
          <cell r="Y156">
            <v>105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75</v>
          </cell>
          <cell r="AG156">
            <v>0</v>
          </cell>
          <cell r="AH156">
            <v>0</v>
          </cell>
          <cell r="AI156">
            <v>30</v>
          </cell>
          <cell r="AJ156">
            <v>0</v>
          </cell>
          <cell r="AK156">
            <v>15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30</v>
          </cell>
          <cell r="AX156">
            <v>0</v>
          </cell>
          <cell r="AY156">
            <v>0</v>
          </cell>
          <cell r="AZ156">
            <v>0</v>
          </cell>
          <cell r="BA156">
            <v>100829</v>
          </cell>
          <cell r="BB156">
            <v>489</v>
          </cell>
          <cell r="BC156">
            <v>100340</v>
          </cell>
        </row>
        <row r="157">
          <cell r="C157" t="str">
            <v>CPH SOL-POWDER FILLING</v>
          </cell>
          <cell r="D157">
            <v>25920</v>
          </cell>
          <cell r="E157">
            <v>25410</v>
          </cell>
          <cell r="F157">
            <v>30</v>
          </cell>
          <cell r="G157">
            <v>30</v>
          </cell>
          <cell r="H157">
            <v>0</v>
          </cell>
          <cell r="I157">
            <v>0</v>
          </cell>
          <cell r="J157">
            <v>480</v>
          </cell>
          <cell r="K157">
            <v>85</v>
          </cell>
          <cell r="L157">
            <v>50</v>
          </cell>
          <cell r="M157">
            <v>20</v>
          </cell>
          <cell r="N157">
            <v>0</v>
          </cell>
          <cell r="O157">
            <v>15</v>
          </cell>
          <cell r="P157">
            <v>15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220</v>
          </cell>
          <cell r="X157">
            <v>75</v>
          </cell>
          <cell r="Y157">
            <v>135</v>
          </cell>
          <cell r="Z157">
            <v>0</v>
          </cell>
          <cell r="AA157">
            <v>0</v>
          </cell>
          <cell r="AB157">
            <v>10</v>
          </cell>
          <cell r="AC157">
            <v>0</v>
          </cell>
          <cell r="AD157">
            <v>0</v>
          </cell>
          <cell r="AE157">
            <v>0</v>
          </cell>
          <cell r="AF157">
            <v>125</v>
          </cell>
          <cell r="AG157">
            <v>0</v>
          </cell>
          <cell r="AH157">
            <v>0</v>
          </cell>
          <cell r="AI157">
            <v>45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20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10</v>
          </cell>
          <cell r="AX157">
            <v>50</v>
          </cell>
          <cell r="AY157">
            <v>0</v>
          </cell>
          <cell r="AZ157">
            <v>0</v>
          </cell>
          <cell r="BA157">
            <v>1539</v>
          </cell>
          <cell r="BB157">
            <v>14</v>
          </cell>
          <cell r="BC157">
            <v>1525</v>
          </cell>
        </row>
        <row r="158">
          <cell r="C158" t="str">
            <v>SCF102</v>
          </cell>
          <cell r="D158">
            <v>25920</v>
          </cell>
          <cell r="E158">
            <v>25410</v>
          </cell>
          <cell r="F158">
            <v>30</v>
          </cell>
          <cell r="G158">
            <v>30</v>
          </cell>
          <cell r="H158">
            <v>0</v>
          </cell>
          <cell r="I158">
            <v>0</v>
          </cell>
          <cell r="J158">
            <v>480</v>
          </cell>
          <cell r="K158">
            <v>85</v>
          </cell>
          <cell r="L158">
            <v>50</v>
          </cell>
          <cell r="M158">
            <v>20</v>
          </cell>
          <cell r="N158">
            <v>0</v>
          </cell>
          <cell r="O158">
            <v>15</v>
          </cell>
          <cell r="P158">
            <v>15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220</v>
          </cell>
          <cell r="X158">
            <v>75</v>
          </cell>
          <cell r="Y158">
            <v>135</v>
          </cell>
          <cell r="Z158">
            <v>0</v>
          </cell>
          <cell r="AA158">
            <v>0</v>
          </cell>
          <cell r="AB158">
            <v>10</v>
          </cell>
          <cell r="AC158">
            <v>0</v>
          </cell>
          <cell r="AD158">
            <v>0</v>
          </cell>
          <cell r="AE158">
            <v>0</v>
          </cell>
          <cell r="AF158">
            <v>125</v>
          </cell>
          <cell r="AG158">
            <v>0</v>
          </cell>
          <cell r="AH158">
            <v>0</v>
          </cell>
          <cell r="AI158">
            <v>45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20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10</v>
          </cell>
          <cell r="AX158">
            <v>50</v>
          </cell>
          <cell r="AY158">
            <v>0</v>
          </cell>
          <cell r="AZ158">
            <v>0</v>
          </cell>
          <cell r="BA158">
            <v>1539</v>
          </cell>
          <cell r="BB158">
            <v>14</v>
          </cell>
          <cell r="BC158">
            <v>1525</v>
          </cell>
        </row>
        <row r="159">
          <cell r="C159" t="str">
            <v>CPH INJ-FILLING</v>
          </cell>
          <cell r="D159">
            <v>25920</v>
          </cell>
          <cell r="E159">
            <v>19830</v>
          </cell>
          <cell r="F159">
            <v>517</v>
          </cell>
          <cell r="G159">
            <v>57</v>
          </cell>
          <cell r="H159">
            <v>460</v>
          </cell>
          <cell r="I159">
            <v>0</v>
          </cell>
          <cell r="J159">
            <v>5573</v>
          </cell>
          <cell r="K159">
            <v>1839</v>
          </cell>
          <cell r="L159">
            <v>550</v>
          </cell>
          <cell r="M159">
            <v>430</v>
          </cell>
          <cell r="N159">
            <v>0</v>
          </cell>
          <cell r="O159">
            <v>116</v>
          </cell>
          <cell r="P159">
            <v>4</v>
          </cell>
          <cell r="Q159">
            <v>452</v>
          </cell>
          <cell r="R159">
            <v>276</v>
          </cell>
          <cell r="S159">
            <v>0</v>
          </cell>
          <cell r="T159">
            <v>0</v>
          </cell>
          <cell r="U159">
            <v>176</v>
          </cell>
          <cell r="V159">
            <v>0</v>
          </cell>
          <cell r="W159">
            <v>983</v>
          </cell>
          <cell r="X159">
            <v>125</v>
          </cell>
          <cell r="Y159">
            <v>858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1749</v>
          </cell>
          <cell r="AG159">
            <v>0</v>
          </cell>
          <cell r="AH159">
            <v>0</v>
          </cell>
          <cell r="AI159">
            <v>430</v>
          </cell>
          <cell r="AJ159">
            <v>35</v>
          </cell>
          <cell r="AK159">
            <v>280</v>
          </cell>
          <cell r="AL159">
            <v>0</v>
          </cell>
          <cell r="AM159">
            <v>0</v>
          </cell>
          <cell r="AN159">
            <v>247</v>
          </cell>
          <cell r="AO159">
            <v>0</v>
          </cell>
          <cell r="AP159">
            <v>73</v>
          </cell>
          <cell r="AQ159">
            <v>0</v>
          </cell>
          <cell r="AR159">
            <v>0</v>
          </cell>
          <cell r="AS159">
            <v>684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217220</v>
          </cell>
          <cell r="BB159">
            <v>8</v>
          </cell>
          <cell r="BC159">
            <v>217212</v>
          </cell>
        </row>
        <row r="160">
          <cell r="C160" t="str">
            <v>GINLINE6</v>
          </cell>
          <cell r="D160">
            <v>25920</v>
          </cell>
          <cell r="E160">
            <v>19830</v>
          </cell>
          <cell r="F160">
            <v>517</v>
          </cell>
          <cell r="G160">
            <v>57</v>
          </cell>
          <cell r="H160">
            <v>460</v>
          </cell>
          <cell r="I160">
            <v>0</v>
          </cell>
          <cell r="J160">
            <v>5573</v>
          </cell>
          <cell r="K160">
            <v>1839</v>
          </cell>
          <cell r="L160">
            <v>550</v>
          </cell>
          <cell r="M160">
            <v>430</v>
          </cell>
          <cell r="N160">
            <v>0</v>
          </cell>
          <cell r="O160">
            <v>116</v>
          </cell>
          <cell r="P160">
            <v>4</v>
          </cell>
          <cell r="Q160">
            <v>452</v>
          </cell>
          <cell r="R160">
            <v>276</v>
          </cell>
          <cell r="S160">
            <v>0</v>
          </cell>
          <cell r="T160">
            <v>0</v>
          </cell>
          <cell r="U160">
            <v>176</v>
          </cell>
          <cell r="V160">
            <v>0</v>
          </cell>
          <cell r="W160">
            <v>983</v>
          </cell>
          <cell r="X160">
            <v>125</v>
          </cell>
          <cell r="Y160">
            <v>858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1749</v>
          </cell>
          <cell r="AG160">
            <v>0</v>
          </cell>
          <cell r="AH160">
            <v>0</v>
          </cell>
          <cell r="AI160">
            <v>430</v>
          </cell>
          <cell r="AJ160">
            <v>35</v>
          </cell>
          <cell r="AK160">
            <v>280</v>
          </cell>
          <cell r="AL160">
            <v>0</v>
          </cell>
          <cell r="AM160">
            <v>0</v>
          </cell>
          <cell r="AN160">
            <v>247</v>
          </cell>
          <cell r="AO160">
            <v>0</v>
          </cell>
          <cell r="AP160">
            <v>73</v>
          </cell>
          <cell r="AQ160">
            <v>0</v>
          </cell>
          <cell r="AR160">
            <v>0</v>
          </cell>
          <cell r="AS160">
            <v>684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217220</v>
          </cell>
          <cell r="BB160">
            <v>8</v>
          </cell>
          <cell r="BC160">
            <v>217212</v>
          </cell>
        </row>
        <row r="161">
          <cell r="C161" t="str">
            <v>CPH INJ-STERILIZATION</v>
          </cell>
          <cell r="D161">
            <v>54720</v>
          </cell>
          <cell r="E161">
            <v>42805</v>
          </cell>
          <cell r="F161">
            <v>693</v>
          </cell>
          <cell r="G161">
            <v>107</v>
          </cell>
          <cell r="H161">
            <v>586</v>
          </cell>
          <cell r="I161">
            <v>0</v>
          </cell>
          <cell r="J161">
            <v>11222</v>
          </cell>
          <cell r="K161">
            <v>4315</v>
          </cell>
          <cell r="L161">
            <v>394</v>
          </cell>
          <cell r="M161">
            <v>289</v>
          </cell>
          <cell r="N161">
            <v>0</v>
          </cell>
          <cell r="O161">
            <v>105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3132</v>
          </cell>
          <cell r="X161">
            <v>2887</v>
          </cell>
          <cell r="Y161">
            <v>245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3381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60</v>
          </cell>
          <cell r="AO161">
            <v>3321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572</v>
          </cell>
          <cell r="BB161">
            <v>0</v>
          </cell>
          <cell r="BC161">
            <v>572</v>
          </cell>
        </row>
        <row r="162">
          <cell r="C162" t="str">
            <v>ICF104</v>
          </cell>
          <cell r="D162">
            <v>27360</v>
          </cell>
          <cell r="E162">
            <v>20605</v>
          </cell>
          <cell r="F162">
            <v>321</v>
          </cell>
          <cell r="G162">
            <v>77</v>
          </cell>
          <cell r="H162">
            <v>244</v>
          </cell>
          <cell r="I162">
            <v>0</v>
          </cell>
          <cell r="J162">
            <v>6434</v>
          </cell>
          <cell r="K162">
            <v>2692</v>
          </cell>
          <cell r="L162">
            <v>188</v>
          </cell>
          <cell r="M162">
            <v>148</v>
          </cell>
          <cell r="N162">
            <v>0</v>
          </cell>
          <cell r="O162">
            <v>40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2418</v>
          </cell>
          <cell r="X162">
            <v>2252</v>
          </cell>
          <cell r="Y162">
            <v>166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1136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40</v>
          </cell>
          <cell r="AO162">
            <v>1096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438</v>
          </cell>
          <cell r="BB162">
            <v>0</v>
          </cell>
          <cell r="BC162">
            <v>438</v>
          </cell>
        </row>
        <row r="163">
          <cell r="C163" t="str">
            <v>ICF105</v>
          </cell>
          <cell r="D163">
            <v>27360</v>
          </cell>
          <cell r="E163">
            <v>22200</v>
          </cell>
          <cell r="F163">
            <v>372</v>
          </cell>
          <cell r="G163">
            <v>30</v>
          </cell>
          <cell r="H163">
            <v>342</v>
          </cell>
          <cell r="I163">
            <v>0</v>
          </cell>
          <cell r="J163">
            <v>4788</v>
          </cell>
          <cell r="K163">
            <v>1623</v>
          </cell>
          <cell r="L163">
            <v>206</v>
          </cell>
          <cell r="M163">
            <v>141</v>
          </cell>
          <cell r="N163">
            <v>0</v>
          </cell>
          <cell r="O163">
            <v>65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714</v>
          </cell>
          <cell r="X163">
            <v>635</v>
          </cell>
          <cell r="Y163">
            <v>79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2245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20</v>
          </cell>
          <cell r="AO163">
            <v>2225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134</v>
          </cell>
          <cell r="BB163">
            <v>0</v>
          </cell>
          <cell r="BC163">
            <v>134</v>
          </cell>
        </row>
        <row r="164">
          <cell r="C164" t="str">
            <v>CPH-SECONDARY PACKING</v>
          </cell>
          <cell r="D164">
            <v>51840</v>
          </cell>
          <cell r="E164">
            <v>37800</v>
          </cell>
          <cell r="F164">
            <v>2090</v>
          </cell>
          <cell r="G164">
            <v>605</v>
          </cell>
          <cell r="H164">
            <v>1485</v>
          </cell>
          <cell r="I164">
            <v>0</v>
          </cell>
          <cell r="J164">
            <v>11950</v>
          </cell>
          <cell r="K164">
            <v>4360</v>
          </cell>
          <cell r="L164">
            <v>2497</v>
          </cell>
          <cell r="M164">
            <v>1232</v>
          </cell>
          <cell r="N164">
            <v>80</v>
          </cell>
          <cell r="O164">
            <v>515</v>
          </cell>
          <cell r="P164">
            <v>670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2220</v>
          </cell>
          <cell r="X164">
            <v>1340</v>
          </cell>
          <cell r="Y164">
            <v>590</v>
          </cell>
          <cell r="Z164">
            <v>180</v>
          </cell>
          <cell r="AA164">
            <v>0</v>
          </cell>
          <cell r="AB164">
            <v>110</v>
          </cell>
          <cell r="AC164">
            <v>0</v>
          </cell>
          <cell r="AD164">
            <v>0</v>
          </cell>
          <cell r="AE164">
            <v>0</v>
          </cell>
          <cell r="AF164">
            <v>2873</v>
          </cell>
          <cell r="AG164">
            <v>170</v>
          </cell>
          <cell r="AH164">
            <v>0</v>
          </cell>
          <cell r="AI164">
            <v>690</v>
          </cell>
          <cell r="AJ164">
            <v>0</v>
          </cell>
          <cell r="AK164">
            <v>450</v>
          </cell>
          <cell r="AL164">
            <v>665</v>
          </cell>
          <cell r="AM164">
            <v>0</v>
          </cell>
          <cell r="AN164">
            <v>0</v>
          </cell>
          <cell r="AO164">
            <v>0</v>
          </cell>
          <cell r="AP164">
            <v>233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345</v>
          </cell>
          <cell r="AX164">
            <v>320</v>
          </cell>
          <cell r="AY164">
            <v>0</v>
          </cell>
          <cell r="AZ164">
            <v>0</v>
          </cell>
          <cell r="BA164">
            <v>645786</v>
          </cell>
          <cell r="BB164">
            <v>270</v>
          </cell>
          <cell r="BC164">
            <v>645516</v>
          </cell>
        </row>
        <row r="165">
          <cell r="C165" t="str">
            <v>PCF101</v>
          </cell>
          <cell r="D165">
            <v>25920</v>
          </cell>
          <cell r="E165">
            <v>14430</v>
          </cell>
          <cell r="F165">
            <v>1335</v>
          </cell>
          <cell r="G165">
            <v>550</v>
          </cell>
          <cell r="H165">
            <v>785</v>
          </cell>
          <cell r="I165">
            <v>0</v>
          </cell>
          <cell r="J165">
            <v>10155</v>
          </cell>
          <cell r="K165">
            <v>3190</v>
          </cell>
          <cell r="L165">
            <v>2440</v>
          </cell>
          <cell r="M165">
            <v>1175</v>
          </cell>
          <cell r="N165">
            <v>80</v>
          </cell>
          <cell r="O165">
            <v>515</v>
          </cell>
          <cell r="P165">
            <v>670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1985</v>
          </cell>
          <cell r="X165">
            <v>1340</v>
          </cell>
          <cell r="Y165">
            <v>465</v>
          </cell>
          <cell r="Z165">
            <v>180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2540</v>
          </cell>
          <cell r="AG165">
            <v>170</v>
          </cell>
          <cell r="AH165">
            <v>0</v>
          </cell>
          <cell r="AI165">
            <v>600</v>
          </cell>
          <cell r="AJ165">
            <v>0</v>
          </cell>
          <cell r="AK165">
            <v>405</v>
          </cell>
          <cell r="AL165">
            <v>585</v>
          </cell>
          <cell r="AM165">
            <v>0</v>
          </cell>
          <cell r="AN165">
            <v>0</v>
          </cell>
          <cell r="AO165">
            <v>0</v>
          </cell>
          <cell r="AP165">
            <v>195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265</v>
          </cell>
          <cell r="AX165">
            <v>320</v>
          </cell>
          <cell r="AY165">
            <v>0</v>
          </cell>
          <cell r="AZ165">
            <v>0</v>
          </cell>
          <cell r="BA165">
            <v>613294</v>
          </cell>
          <cell r="BB165">
            <v>176</v>
          </cell>
          <cell r="BC165">
            <v>613118</v>
          </cell>
        </row>
        <row r="166">
          <cell r="C166" t="str">
            <v>PCF102</v>
          </cell>
          <cell r="D166">
            <v>25920</v>
          </cell>
          <cell r="E166">
            <v>23370</v>
          </cell>
          <cell r="F166">
            <v>755</v>
          </cell>
          <cell r="G166">
            <v>55</v>
          </cell>
          <cell r="H166">
            <v>700</v>
          </cell>
          <cell r="I166">
            <v>0</v>
          </cell>
          <cell r="J166">
            <v>1795</v>
          </cell>
          <cell r="K166">
            <v>1170</v>
          </cell>
          <cell r="L166">
            <v>57</v>
          </cell>
          <cell r="M166">
            <v>57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235</v>
          </cell>
          <cell r="X166">
            <v>0</v>
          </cell>
          <cell r="Y166">
            <v>125</v>
          </cell>
          <cell r="Z166">
            <v>0</v>
          </cell>
          <cell r="AA166">
            <v>0</v>
          </cell>
          <cell r="AB166">
            <v>110</v>
          </cell>
          <cell r="AC166">
            <v>0</v>
          </cell>
          <cell r="AD166">
            <v>0</v>
          </cell>
          <cell r="AE166">
            <v>0</v>
          </cell>
          <cell r="AF166">
            <v>333</v>
          </cell>
          <cell r="AG166">
            <v>0</v>
          </cell>
          <cell r="AH166">
            <v>0</v>
          </cell>
          <cell r="AI166">
            <v>90</v>
          </cell>
          <cell r="AJ166">
            <v>0</v>
          </cell>
          <cell r="AK166">
            <v>45</v>
          </cell>
          <cell r="AL166">
            <v>80</v>
          </cell>
          <cell r="AM166">
            <v>0</v>
          </cell>
          <cell r="AN166">
            <v>0</v>
          </cell>
          <cell r="AO166">
            <v>0</v>
          </cell>
          <cell r="AP166">
            <v>38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80</v>
          </cell>
          <cell r="AX166">
            <v>0</v>
          </cell>
          <cell r="AY166">
            <v>0</v>
          </cell>
          <cell r="AZ166">
            <v>0</v>
          </cell>
          <cell r="BA166">
            <v>32492</v>
          </cell>
          <cell r="BB166">
            <v>94</v>
          </cell>
          <cell r="BC166">
            <v>32398</v>
          </cell>
        </row>
      </sheetData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shboard OEE"/>
      <sheetName val="Dashboard Monthly Manpower"/>
      <sheetName val="Dashboard Monthly Legend"/>
      <sheetName val="Dashboard Legend Group"/>
      <sheetName val="Mesin Running"/>
      <sheetName val="Pivot Batch &amp; Tanggal"/>
      <sheetName val="Jumlah Shift"/>
      <sheetName val="Format Shift Operation"/>
      <sheetName val="Custom Report "/>
      <sheetName val="OEE All Machine Report"/>
      <sheetName val="OEE By Group Report"/>
      <sheetName val="Analisys QBR Report"/>
      <sheetName val="Analisys QBR By Machine Report"/>
      <sheetName val="Dasboard_QBR_Report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B1" t="str">
            <v>oee</v>
          </cell>
        </row>
        <row r="109">
          <cell r="C109" t="str">
            <v>PROSES( Menit )</v>
          </cell>
          <cell r="D109" t="str">
            <v>POT</v>
          </cell>
          <cell r="E109" t="str">
            <v>Unschedule Time</v>
          </cell>
          <cell r="F109" t="str">
            <v>L2</v>
          </cell>
          <cell r="G109" t="str">
            <v>L21</v>
          </cell>
          <cell r="H109" t="str">
            <v>L22</v>
          </cell>
          <cell r="I109" t="str">
            <v>IG</v>
          </cell>
          <cell r="J109" t="str">
            <v>PPT</v>
          </cell>
          <cell r="K109" t="str">
            <v>R</v>
          </cell>
          <cell r="L109" t="str">
            <v>Setup</v>
          </cell>
          <cell r="M109" t="str">
            <v>P6</v>
          </cell>
          <cell r="N109" t="str">
            <v>P5</v>
          </cell>
          <cell r="O109" t="str">
            <v>P8</v>
          </cell>
          <cell r="P109" t="str">
            <v>P9</v>
          </cell>
          <cell r="Q109" t="str">
            <v>Breakdown</v>
          </cell>
          <cell r="R109" t="str">
            <v>M1</v>
          </cell>
          <cell r="S109" t="str">
            <v>M2</v>
          </cell>
          <cell r="T109" t="str">
            <v>M4</v>
          </cell>
          <cell r="U109" t="str">
            <v>M8</v>
          </cell>
          <cell r="V109" t="str">
            <v>M9</v>
          </cell>
          <cell r="W109" t="str">
            <v>Clean</v>
          </cell>
          <cell r="X109" t="str">
            <v>P2</v>
          </cell>
          <cell r="Y109" t="str">
            <v>P4</v>
          </cell>
          <cell r="Z109" t="str">
            <v>P17</v>
          </cell>
          <cell r="AA109" t="str">
            <v>P19</v>
          </cell>
          <cell r="AB109" t="str">
            <v>P12</v>
          </cell>
          <cell r="AC109" t="str">
            <v>Trial</v>
          </cell>
          <cell r="AD109" t="str">
            <v>R1</v>
          </cell>
          <cell r="AE109" t="str">
            <v>R2</v>
          </cell>
          <cell r="AF109" t="str">
            <v>Waiting</v>
          </cell>
          <cell r="AG109" t="str">
            <v>L1</v>
          </cell>
          <cell r="AH109" t="str">
            <v>L3</v>
          </cell>
          <cell r="AI109" t="str">
            <v>H1</v>
          </cell>
          <cell r="AJ109" t="str">
            <v>H2</v>
          </cell>
          <cell r="AK109" t="str">
            <v>H4</v>
          </cell>
          <cell r="AL109" t="str">
            <v>H6</v>
          </cell>
          <cell r="AM109" t="str">
            <v>H7</v>
          </cell>
          <cell r="AN109" t="str">
            <v>H8</v>
          </cell>
          <cell r="AO109" t="str">
            <v>P10</v>
          </cell>
          <cell r="AP109" t="str">
            <v>P11</v>
          </cell>
          <cell r="AQ109" t="str">
            <v>P13</v>
          </cell>
          <cell r="AR109" t="str">
            <v>P14</v>
          </cell>
          <cell r="AS109" t="str">
            <v>P16</v>
          </cell>
          <cell r="AT109" t="str">
            <v>M5</v>
          </cell>
          <cell r="AU109" t="str">
            <v>M6</v>
          </cell>
          <cell r="AV109" t="str">
            <v>M7</v>
          </cell>
          <cell r="AW109" t="str">
            <v>Q1</v>
          </cell>
          <cell r="AX109" t="str">
            <v>Q2</v>
          </cell>
          <cell r="AY109" t="str">
            <v>Q3</v>
          </cell>
          <cell r="AZ109" t="str">
            <v>Q4</v>
          </cell>
          <cell r="BA109" t="str">
            <v>Total Output</v>
          </cell>
          <cell r="BB109" t="str">
            <v>Reject Output</v>
          </cell>
          <cell r="BC109" t="str">
            <v>Good Output</v>
          </cell>
        </row>
        <row r="110">
          <cell r="C110" t="str">
            <v>NBL SOL-MIXING</v>
          </cell>
          <cell r="D110">
            <v>90720</v>
          </cell>
          <cell r="E110">
            <v>56610</v>
          </cell>
          <cell r="F110">
            <v>2889</v>
          </cell>
          <cell r="G110">
            <v>955</v>
          </cell>
          <cell r="H110">
            <v>1934</v>
          </cell>
          <cell r="I110">
            <v>160</v>
          </cell>
          <cell r="J110">
            <v>31061</v>
          </cell>
          <cell r="K110">
            <v>4441</v>
          </cell>
          <cell r="L110">
            <v>880</v>
          </cell>
          <cell r="M110">
            <v>877</v>
          </cell>
          <cell r="N110">
            <v>0</v>
          </cell>
          <cell r="O110">
            <v>3</v>
          </cell>
          <cell r="P110">
            <v>0</v>
          </cell>
          <cell r="Q110">
            <v>127</v>
          </cell>
          <cell r="R110">
            <v>0</v>
          </cell>
          <cell r="S110">
            <v>0</v>
          </cell>
          <cell r="T110">
            <v>0</v>
          </cell>
          <cell r="U110">
            <v>127</v>
          </cell>
          <cell r="V110">
            <v>0</v>
          </cell>
          <cell r="W110">
            <v>13026</v>
          </cell>
          <cell r="X110">
            <v>6964</v>
          </cell>
          <cell r="Y110">
            <v>5210</v>
          </cell>
          <cell r="Z110">
            <v>5</v>
          </cell>
          <cell r="AA110">
            <v>0</v>
          </cell>
          <cell r="AB110">
            <v>847</v>
          </cell>
          <cell r="AC110">
            <v>450</v>
          </cell>
          <cell r="AD110">
            <v>0</v>
          </cell>
          <cell r="AE110">
            <v>450</v>
          </cell>
          <cell r="AF110">
            <v>12137</v>
          </cell>
          <cell r="AG110">
            <v>40</v>
          </cell>
          <cell r="AH110">
            <v>0</v>
          </cell>
          <cell r="AI110">
            <v>1575</v>
          </cell>
          <cell r="AJ110">
            <v>0</v>
          </cell>
          <cell r="AK110">
            <v>1164</v>
          </cell>
          <cell r="AL110">
            <v>0</v>
          </cell>
          <cell r="AM110">
            <v>0</v>
          </cell>
          <cell r="AN110">
            <v>0</v>
          </cell>
          <cell r="AO110">
            <v>8293</v>
          </cell>
          <cell r="AP110">
            <v>0</v>
          </cell>
          <cell r="AQ110">
            <v>0</v>
          </cell>
          <cell r="AR110">
            <v>745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320</v>
          </cell>
          <cell r="AX110">
            <v>0</v>
          </cell>
          <cell r="AY110">
            <v>0</v>
          </cell>
          <cell r="AZ110">
            <v>0</v>
          </cell>
          <cell r="BA110">
            <v>7811.05</v>
          </cell>
          <cell r="BB110">
            <v>0</v>
          </cell>
          <cell r="BC110">
            <v>7811.05</v>
          </cell>
        </row>
        <row r="111">
          <cell r="C111" t="str">
            <v>MIX113</v>
          </cell>
          <cell r="D111">
            <v>30240</v>
          </cell>
          <cell r="E111">
            <v>11610</v>
          </cell>
          <cell r="F111">
            <v>1714</v>
          </cell>
          <cell r="G111">
            <v>240</v>
          </cell>
          <cell r="H111">
            <v>1474</v>
          </cell>
          <cell r="I111">
            <v>125</v>
          </cell>
          <cell r="J111">
            <v>16791</v>
          </cell>
          <cell r="K111">
            <v>915</v>
          </cell>
          <cell r="L111">
            <v>464</v>
          </cell>
          <cell r="M111">
            <v>464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5137</v>
          </cell>
          <cell r="X111">
            <v>1838</v>
          </cell>
          <cell r="Y111">
            <v>2877</v>
          </cell>
          <cell r="Z111">
            <v>0</v>
          </cell>
          <cell r="AA111">
            <v>0</v>
          </cell>
          <cell r="AB111">
            <v>422</v>
          </cell>
          <cell r="AC111">
            <v>450</v>
          </cell>
          <cell r="AD111">
            <v>0</v>
          </cell>
          <cell r="AE111">
            <v>450</v>
          </cell>
          <cell r="AF111">
            <v>9825</v>
          </cell>
          <cell r="AG111">
            <v>40</v>
          </cell>
          <cell r="AH111">
            <v>0</v>
          </cell>
          <cell r="AI111">
            <v>660</v>
          </cell>
          <cell r="AJ111">
            <v>0</v>
          </cell>
          <cell r="AK111">
            <v>512</v>
          </cell>
          <cell r="AL111">
            <v>0</v>
          </cell>
          <cell r="AM111">
            <v>0</v>
          </cell>
          <cell r="AN111">
            <v>0</v>
          </cell>
          <cell r="AO111">
            <v>8293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320</v>
          </cell>
          <cell r="AX111">
            <v>0</v>
          </cell>
          <cell r="AY111">
            <v>0</v>
          </cell>
          <cell r="AZ111">
            <v>0</v>
          </cell>
          <cell r="BA111">
            <v>5298.53</v>
          </cell>
          <cell r="BB111">
            <v>0</v>
          </cell>
          <cell r="BC111">
            <v>5298.53</v>
          </cell>
        </row>
        <row r="112">
          <cell r="C112" t="str">
            <v>LMIXSOL1</v>
          </cell>
          <cell r="D112">
            <v>30240</v>
          </cell>
          <cell r="E112">
            <v>19980</v>
          </cell>
          <cell r="F112">
            <v>1175</v>
          </cell>
          <cell r="G112">
            <v>715</v>
          </cell>
          <cell r="H112">
            <v>460</v>
          </cell>
          <cell r="I112">
            <v>0</v>
          </cell>
          <cell r="J112">
            <v>9085</v>
          </cell>
          <cell r="K112">
            <v>1987</v>
          </cell>
          <cell r="L112">
            <v>251</v>
          </cell>
          <cell r="M112">
            <v>248</v>
          </cell>
          <cell r="N112">
            <v>0</v>
          </cell>
          <cell r="O112">
            <v>3</v>
          </cell>
          <cell r="P112">
            <v>0</v>
          </cell>
          <cell r="Q112">
            <v>90</v>
          </cell>
          <cell r="R112">
            <v>0</v>
          </cell>
          <cell r="S112">
            <v>0</v>
          </cell>
          <cell r="T112">
            <v>0</v>
          </cell>
          <cell r="U112">
            <v>90</v>
          </cell>
          <cell r="V112">
            <v>0</v>
          </cell>
          <cell r="W112">
            <v>5243</v>
          </cell>
          <cell r="X112">
            <v>2951</v>
          </cell>
          <cell r="Y112">
            <v>1998</v>
          </cell>
          <cell r="Z112">
            <v>4</v>
          </cell>
          <cell r="AA112">
            <v>0</v>
          </cell>
          <cell r="AB112">
            <v>290</v>
          </cell>
          <cell r="AC112">
            <v>0</v>
          </cell>
          <cell r="AD112">
            <v>0</v>
          </cell>
          <cell r="AE112">
            <v>0</v>
          </cell>
          <cell r="AF112">
            <v>1514</v>
          </cell>
          <cell r="AG112">
            <v>0</v>
          </cell>
          <cell r="AH112">
            <v>0</v>
          </cell>
          <cell r="AI112">
            <v>615</v>
          </cell>
          <cell r="AJ112">
            <v>0</v>
          </cell>
          <cell r="AK112">
            <v>420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479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1011.03</v>
          </cell>
          <cell r="BB112">
            <v>0</v>
          </cell>
          <cell r="BC112">
            <v>1011.03</v>
          </cell>
        </row>
        <row r="113">
          <cell r="C113" t="str">
            <v>LMIXSOL2</v>
          </cell>
          <cell r="D113">
            <v>30240</v>
          </cell>
          <cell r="E113">
            <v>25020</v>
          </cell>
          <cell r="F113">
            <v>0</v>
          </cell>
          <cell r="G113">
            <v>0</v>
          </cell>
          <cell r="H113">
            <v>0</v>
          </cell>
          <cell r="I113">
            <v>35</v>
          </cell>
          <cell r="J113">
            <v>5185</v>
          </cell>
          <cell r="K113">
            <v>1539</v>
          </cell>
          <cell r="L113">
            <v>165</v>
          </cell>
          <cell r="M113">
            <v>165</v>
          </cell>
          <cell r="N113">
            <v>0</v>
          </cell>
          <cell r="O113">
            <v>0</v>
          </cell>
          <cell r="P113">
            <v>0</v>
          </cell>
          <cell r="Q113">
            <v>37</v>
          </cell>
          <cell r="R113">
            <v>0</v>
          </cell>
          <cell r="S113">
            <v>0</v>
          </cell>
          <cell r="T113">
            <v>0</v>
          </cell>
          <cell r="U113">
            <v>37</v>
          </cell>
          <cell r="V113">
            <v>0</v>
          </cell>
          <cell r="W113">
            <v>2646</v>
          </cell>
          <cell r="X113">
            <v>2175</v>
          </cell>
          <cell r="Y113">
            <v>335</v>
          </cell>
          <cell r="Z113">
            <v>1</v>
          </cell>
          <cell r="AA113">
            <v>0</v>
          </cell>
          <cell r="AB113">
            <v>135</v>
          </cell>
          <cell r="AC113">
            <v>0</v>
          </cell>
          <cell r="AD113">
            <v>0</v>
          </cell>
          <cell r="AE113">
            <v>0</v>
          </cell>
          <cell r="AF113">
            <v>798</v>
          </cell>
          <cell r="AG113">
            <v>0</v>
          </cell>
          <cell r="AH113">
            <v>0</v>
          </cell>
          <cell r="AI113">
            <v>300</v>
          </cell>
          <cell r="AJ113">
            <v>0</v>
          </cell>
          <cell r="AK113">
            <v>232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266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1501.49</v>
          </cell>
          <cell r="BB113">
            <v>0</v>
          </cell>
          <cell r="BC113">
            <v>1501.49</v>
          </cell>
        </row>
        <row r="114">
          <cell r="C114" t="str">
            <v>NBL SOL-COATING</v>
          </cell>
          <cell r="D114">
            <v>60480</v>
          </cell>
          <cell r="E114">
            <v>50700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9780</v>
          </cell>
          <cell r="K114">
            <v>3849</v>
          </cell>
          <cell r="L114">
            <v>240</v>
          </cell>
          <cell r="M114">
            <v>180</v>
          </cell>
          <cell r="N114">
            <v>0</v>
          </cell>
          <cell r="O114">
            <v>60</v>
          </cell>
          <cell r="P114">
            <v>0</v>
          </cell>
          <cell r="Q114">
            <v>25</v>
          </cell>
          <cell r="R114">
            <v>0</v>
          </cell>
          <cell r="S114">
            <v>0</v>
          </cell>
          <cell r="T114">
            <v>0</v>
          </cell>
          <cell r="U114">
            <v>25</v>
          </cell>
          <cell r="V114">
            <v>0</v>
          </cell>
          <cell r="W114">
            <v>3690</v>
          </cell>
          <cell r="X114">
            <v>1085</v>
          </cell>
          <cell r="Y114">
            <v>2255</v>
          </cell>
          <cell r="Z114">
            <v>0</v>
          </cell>
          <cell r="AA114">
            <v>0</v>
          </cell>
          <cell r="AB114">
            <v>350</v>
          </cell>
          <cell r="AC114">
            <v>0</v>
          </cell>
          <cell r="AD114">
            <v>0</v>
          </cell>
          <cell r="AE114">
            <v>0</v>
          </cell>
          <cell r="AF114">
            <v>1976</v>
          </cell>
          <cell r="AG114">
            <v>0</v>
          </cell>
          <cell r="AH114">
            <v>0</v>
          </cell>
          <cell r="AI114">
            <v>540</v>
          </cell>
          <cell r="AJ114">
            <v>0</v>
          </cell>
          <cell r="AK114">
            <v>495</v>
          </cell>
          <cell r="AL114">
            <v>0</v>
          </cell>
          <cell r="AM114">
            <v>150</v>
          </cell>
          <cell r="AN114">
            <v>0</v>
          </cell>
          <cell r="AO114">
            <v>316</v>
          </cell>
          <cell r="AP114">
            <v>255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100</v>
          </cell>
          <cell r="AX114">
            <v>85</v>
          </cell>
          <cell r="AY114">
            <v>0</v>
          </cell>
          <cell r="AZ114">
            <v>35</v>
          </cell>
          <cell r="BA114">
            <v>1691.77</v>
          </cell>
          <cell r="BB114">
            <v>1.49</v>
          </cell>
          <cell r="BC114">
            <v>1690.28</v>
          </cell>
        </row>
        <row r="115">
          <cell r="C115" t="str">
            <v>COT101</v>
          </cell>
          <cell r="D115">
            <v>30240</v>
          </cell>
          <cell r="E115">
            <v>24570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5670</v>
          </cell>
          <cell r="K115">
            <v>1974</v>
          </cell>
          <cell r="L115">
            <v>190</v>
          </cell>
          <cell r="M115">
            <v>130</v>
          </cell>
          <cell r="N115">
            <v>0</v>
          </cell>
          <cell r="O115">
            <v>60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2425</v>
          </cell>
          <cell r="X115">
            <v>680</v>
          </cell>
          <cell r="Y115">
            <v>1520</v>
          </cell>
          <cell r="Z115">
            <v>0</v>
          </cell>
          <cell r="AA115">
            <v>0</v>
          </cell>
          <cell r="AB115">
            <v>225</v>
          </cell>
          <cell r="AC115">
            <v>0</v>
          </cell>
          <cell r="AD115">
            <v>0</v>
          </cell>
          <cell r="AE115">
            <v>0</v>
          </cell>
          <cell r="AF115">
            <v>1081</v>
          </cell>
          <cell r="AG115">
            <v>0</v>
          </cell>
          <cell r="AH115">
            <v>0</v>
          </cell>
          <cell r="AI115">
            <v>330</v>
          </cell>
          <cell r="AJ115">
            <v>0</v>
          </cell>
          <cell r="AK115">
            <v>285</v>
          </cell>
          <cell r="AL115">
            <v>0</v>
          </cell>
          <cell r="AM115">
            <v>0</v>
          </cell>
          <cell r="AN115">
            <v>0</v>
          </cell>
          <cell r="AO115">
            <v>166</v>
          </cell>
          <cell r="AP115">
            <v>150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50</v>
          </cell>
          <cell r="AX115">
            <v>65</v>
          </cell>
          <cell r="AY115">
            <v>0</v>
          </cell>
          <cell r="AZ115">
            <v>35</v>
          </cell>
          <cell r="BA115">
            <v>512.46</v>
          </cell>
          <cell r="BB115">
            <v>0.57999999999999996</v>
          </cell>
          <cell r="BC115">
            <v>511.88</v>
          </cell>
        </row>
        <row r="116">
          <cell r="C116" t="str">
            <v>COT102</v>
          </cell>
          <cell r="D116">
            <v>30240</v>
          </cell>
          <cell r="E116">
            <v>26130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4110</v>
          </cell>
          <cell r="K116">
            <v>1875</v>
          </cell>
          <cell r="L116">
            <v>50</v>
          </cell>
          <cell r="M116">
            <v>50</v>
          </cell>
          <cell r="N116">
            <v>0</v>
          </cell>
          <cell r="O116">
            <v>0</v>
          </cell>
          <cell r="P116">
            <v>0</v>
          </cell>
          <cell r="Q116">
            <v>25</v>
          </cell>
          <cell r="R116">
            <v>0</v>
          </cell>
          <cell r="S116">
            <v>0</v>
          </cell>
          <cell r="T116">
            <v>0</v>
          </cell>
          <cell r="U116">
            <v>25</v>
          </cell>
          <cell r="V116">
            <v>0</v>
          </cell>
          <cell r="W116">
            <v>1265</v>
          </cell>
          <cell r="X116">
            <v>405</v>
          </cell>
          <cell r="Y116">
            <v>735</v>
          </cell>
          <cell r="Z116">
            <v>0</v>
          </cell>
          <cell r="AA116">
            <v>0</v>
          </cell>
          <cell r="AB116">
            <v>125</v>
          </cell>
          <cell r="AC116">
            <v>0</v>
          </cell>
          <cell r="AD116">
            <v>0</v>
          </cell>
          <cell r="AE116">
            <v>0</v>
          </cell>
          <cell r="AF116">
            <v>895</v>
          </cell>
          <cell r="AG116">
            <v>0</v>
          </cell>
          <cell r="AH116">
            <v>0</v>
          </cell>
          <cell r="AI116">
            <v>210</v>
          </cell>
          <cell r="AJ116">
            <v>0</v>
          </cell>
          <cell r="AK116">
            <v>210</v>
          </cell>
          <cell r="AL116">
            <v>0</v>
          </cell>
          <cell r="AM116">
            <v>150</v>
          </cell>
          <cell r="AN116">
            <v>0</v>
          </cell>
          <cell r="AO116">
            <v>150</v>
          </cell>
          <cell r="AP116">
            <v>105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50</v>
          </cell>
          <cell r="AX116">
            <v>20</v>
          </cell>
          <cell r="AY116">
            <v>0</v>
          </cell>
          <cell r="AZ116">
            <v>0</v>
          </cell>
          <cell r="BA116">
            <v>1179.31</v>
          </cell>
          <cell r="BB116">
            <v>0.91</v>
          </cell>
          <cell r="BC116">
            <v>1178.4000000000001</v>
          </cell>
        </row>
        <row r="117">
          <cell r="C117" t="str">
            <v>NBL SOL-TABLETING</v>
          </cell>
          <cell r="D117">
            <v>95040</v>
          </cell>
          <cell r="E117">
            <v>48630</v>
          </cell>
          <cell r="F117">
            <v>3230</v>
          </cell>
          <cell r="G117">
            <v>975</v>
          </cell>
          <cell r="H117">
            <v>2255</v>
          </cell>
          <cell r="I117">
            <v>0</v>
          </cell>
          <cell r="J117">
            <v>43180</v>
          </cell>
          <cell r="K117">
            <v>15230</v>
          </cell>
          <cell r="L117">
            <v>4405</v>
          </cell>
          <cell r="M117">
            <v>3535</v>
          </cell>
          <cell r="N117">
            <v>0</v>
          </cell>
          <cell r="O117">
            <v>110</v>
          </cell>
          <cell r="P117">
            <v>760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7615</v>
          </cell>
          <cell r="X117">
            <v>1830</v>
          </cell>
          <cell r="Y117">
            <v>4745</v>
          </cell>
          <cell r="Z117">
            <v>415</v>
          </cell>
          <cell r="AA117">
            <v>0</v>
          </cell>
          <cell r="AB117">
            <v>625</v>
          </cell>
          <cell r="AC117">
            <v>2870</v>
          </cell>
          <cell r="AD117">
            <v>710</v>
          </cell>
          <cell r="AE117">
            <v>2160</v>
          </cell>
          <cell r="AF117">
            <v>13060</v>
          </cell>
          <cell r="AG117">
            <v>0</v>
          </cell>
          <cell r="AH117">
            <v>0</v>
          </cell>
          <cell r="AI117">
            <v>2335</v>
          </cell>
          <cell r="AJ117">
            <v>0</v>
          </cell>
          <cell r="AK117">
            <v>2115</v>
          </cell>
          <cell r="AL117">
            <v>1315</v>
          </cell>
          <cell r="AM117">
            <v>40</v>
          </cell>
          <cell r="AN117">
            <v>0</v>
          </cell>
          <cell r="AO117">
            <v>760</v>
          </cell>
          <cell r="AP117">
            <v>775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4435</v>
          </cell>
          <cell r="AX117">
            <v>1285</v>
          </cell>
          <cell r="AY117">
            <v>0</v>
          </cell>
          <cell r="AZ117">
            <v>0</v>
          </cell>
          <cell r="BA117">
            <v>13480270</v>
          </cell>
          <cell r="BB117">
            <v>6034</v>
          </cell>
          <cell r="BC117">
            <v>13474236</v>
          </cell>
        </row>
        <row r="118">
          <cell r="C118" t="str">
            <v>TAB101</v>
          </cell>
          <cell r="D118">
            <v>31680</v>
          </cell>
          <cell r="E118">
            <v>11640</v>
          </cell>
          <cell r="F118">
            <v>955</v>
          </cell>
          <cell r="G118">
            <v>285</v>
          </cell>
          <cell r="H118">
            <v>670</v>
          </cell>
          <cell r="I118">
            <v>0</v>
          </cell>
          <cell r="J118">
            <v>19085</v>
          </cell>
          <cell r="K118">
            <v>7120</v>
          </cell>
          <cell r="L118">
            <v>1555</v>
          </cell>
          <cell r="M118">
            <v>1485</v>
          </cell>
          <cell r="N118">
            <v>0</v>
          </cell>
          <cell r="O118">
            <v>0</v>
          </cell>
          <cell r="P118">
            <v>70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4015</v>
          </cell>
          <cell r="X118">
            <v>1185</v>
          </cell>
          <cell r="Y118">
            <v>2405</v>
          </cell>
          <cell r="Z118">
            <v>235</v>
          </cell>
          <cell r="AA118">
            <v>0</v>
          </cell>
          <cell r="AB118">
            <v>190</v>
          </cell>
          <cell r="AC118">
            <v>480</v>
          </cell>
          <cell r="AD118">
            <v>480</v>
          </cell>
          <cell r="AE118">
            <v>0</v>
          </cell>
          <cell r="AF118">
            <v>5915</v>
          </cell>
          <cell r="AG118">
            <v>0</v>
          </cell>
          <cell r="AH118">
            <v>0</v>
          </cell>
          <cell r="AI118">
            <v>1050</v>
          </cell>
          <cell r="AJ118">
            <v>0</v>
          </cell>
          <cell r="AK118">
            <v>850</v>
          </cell>
          <cell r="AL118">
            <v>685</v>
          </cell>
          <cell r="AM118">
            <v>25</v>
          </cell>
          <cell r="AN118">
            <v>0</v>
          </cell>
          <cell r="AO118">
            <v>700</v>
          </cell>
          <cell r="AP118">
            <v>360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1795</v>
          </cell>
          <cell r="AX118">
            <v>450</v>
          </cell>
          <cell r="AY118">
            <v>0</v>
          </cell>
          <cell r="AZ118">
            <v>0</v>
          </cell>
          <cell r="BA118">
            <v>8811830</v>
          </cell>
          <cell r="BB118">
            <v>4972</v>
          </cell>
          <cell r="BC118">
            <v>8806858</v>
          </cell>
        </row>
        <row r="119">
          <cell r="C119" t="str">
            <v>TAB105</v>
          </cell>
          <cell r="D119">
            <v>33120</v>
          </cell>
          <cell r="E119">
            <v>13110</v>
          </cell>
          <cell r="F119">
            <v>700</v>
          </cell>
          <cell r="G119">
            <v>380</v>
          </cell>
          <cell r="H119">
            <v>320</v>
          </cell>
          <cell r="I119">
            <v>0</v>
          </cell>
          <cell r="J119">
            <v>19310</v>
          </cell>
          <cell r="K119">
            <v>7555</v>
          </cell>
          <cell r="L119">
            <v>2185</v>
          </cell>
          <cell r="M119">
            <v>1385</v>
          </cell>
          <cell r="N119">
            <v>0</v>
          </cell>
          <cell r="O119">
            <v>110</v>
          </cell>
          <cell r="P119">
            <v>690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2820</v>
          </cell>
          <cell r="X119">
            <v>595</v>
          </cell>
          <cell r="Y119">
            <v>1780</v>
          </cell>
          <cell r="Z119">
            <v>145</v>
          </cell>
          <cell r="AA119">
            <v>0</v>
          </cell>
          <cell r="AB119">
            <v>300</v>
          </cell>
          <cell r="AC119">
            <v>1880</v>
          </cell>
          <cell r="AD119">
            <v>230</v>
          </cell>
          <cell r="AE119">
            <v>1650</v>
          </cell>
          <cell r="AF119">
            <v>4870</v>
          </cell>
          <cell r="AG119">
            <v>0</v>
          </cell>
          <cell r="AH119">
            <v>0</v>
          </cell>
          <cell r="AI119">
            <v>1105</v>
          </cell>
          <cell r="AJ119">
            <v>0</v>
          </cell>
          <cell r="AK119">
            <v>1095</v>
          </cell>
          <cell r="AL119">
            <v>30</v>
          </cell>
          <cell r="AM119">
            <v>15</v>
          </cell>
          <cell r="AN119">
            <v>0</v>
          </cell>
          <cell r="AO119">
            <v>60</v>
          </cell>
          <cell r="AP119">
            <v>360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2205</v>
          </cell>
          <cell r="AX119">
            <v>0</v>
          </cell>
          <cell r="AY119">
            <v>0</v>
          </cell>
          <cell r="AZ119">
            <v>0</v>
          </cell>
          <cell r="BA119">
            <v>4173059</v>
          </cell>
          <cell r="BB119">
            <v>1062</v>
          </cell>
          <cell r="BC119">
            <v>4171997</v>
          </cell>
        </row>
        <row r="120">
          <cell r="C120" t="str">
            <v>TAB103</v>
          </cell>
          <cell r="D120">
            <v>30240</v>
          </cell>
          <cell r="E120">
            <v>23880</v>
          </cell>
          <cell r="F120">
            <v>1575</v>
          </cell>
          <cell r="G120">
            <v>310</v>
          </cell>
          <cell r="H120">
            <v>1265</v>
          </cell>
          <cell r="I120">
            <v>0</v>
          </cell>
          <cell r="J120">
            <v>4785</v>
          </cell>
          <cell r="K120">
            <v>555</v>
          </cell>
          <cell r="L120">
            <v>665</v>
          </cell>
          <cell r="M120">
            <v>665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780</v>
          </cell>
          <cell r="X120">
            <v>50</v>
          </cell>
          <cell r="Y120">
            <v>560</v>
          </cell>
          <cell r="Z120">
            <v>35</v>
          </cell>
          <cell r="AA120">
            <v>0</v>
          </cell>
          <cell r="AB120">
            <v>135</v>
          </cell>
          <cell r="AC120">
            <v>510</v>
          </cell>
          <cell r="AD120">
            <v>0</v>
          </cell>
          <cell r="AE120">
            <v>510</v>
          </cell>
          <cell r="AF120">
            <v>2275</v>
          </cell>
          <cell r="AG120">
            <v>0</v>
          </cell>
          <cell r="AH120">
            <v>0</v>
          </cell>
          <cell r="AI120">
            <v>180</v>
          </cell>
          <cell r="AJ120">
            <v>0</v>
          </cell>
          <cell r="AK120">
            <v>170</v>
          </cell>
          <cell r="AL120">
            <v>600</v>
          </cell>
          <cell r="AM120">
            <v>0</v>
          </cell>
          <cell r="AN120">
            <v>0</v>
          </cell>
          <cell r="AO120">
            <v>0</v>
          </cell>
          <cell r="AP120">
            <v>55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435</v>
          </cell>
          <cell r="AX120">
            <v>835</v>
          </cell>
          <cell r="AY120">
            <v>0</v>
          </cell>
          <cell r="AZ120">
            <v>0</v>
          </cell>
          <cell r="BA120">
            <v>495381</v>
          </cell>
          <cell r="BB120">
            <v>0</v>
          </cell>
          <cell r="BC120">
            <v>495381</v>
          </cell>
        </row>
        <row r="121">
          <cell r="C121" t="str">
            <v>NBL SOL-CAPSULE</v>
          </cell>
          <cell r="D121">
            <v>60480</v>
          </cell>
          <cell r="E121">
            <v>50790</v>
          </cell>
          <cell r="F121">
            <v>885</v>
          </cell>
          <cell r="G121">
            <v>0</v>
          </cell>
          <cell r="H121">
            <v>885</v>
          </cell>
          <cell r="I121">
            <v>0</v>
          </cell>
          <cell r="J121">
            <v>8805</v>
          </cell>
          <cell r="K121">
            <v>2880</v>
          </cell>
          <cell r="L121">
            <v>1200</v>
          </cell>
          <cell r="M121">
            <v>725</v>
          </cell>
          <cell r="N121">
            <v>0</v>
          </cell>
          <cell r="O121">
            <v>75</v>
          </cell>
          <cell r="P121">
            <v>400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3045</v>
          </cell>
          <cell r="X121">
            <v>1745</v>
          </cell>
          <cell r="Y121">
            <v>760</v>
          </cell>
          <cell r="Z121">
            <v>310</v>
          </cell>
          <cell r="AA121">
            <v>0</v>
          </cell>
          <cell r="AB121">
            <v>230</v>
          </cell>
          <cell r="AC121">
            <v>0</v>
          </cell>
          <cell r="AD121">
            <v>0</v>
          </cell>
          <cell r="AE121">
            <v>0</v>
          </cell>
          <cell r="AF121">
            <v>1680</v>
          </cell>
          <cell r="AG121">
            <v>0</v>
          </cell>
          <cell r="AH121">
            <v>0</v>
          </cell>
          <cell r="AI121">
            <v>420</v>
          </cell>
          <cell r="AJ121">
            <v>0</v>
          </cell>
          <cell r="AK121">
            <v>290</v>
          </cell>
          <cell r="AL121">
            <v>0</v>
          </cell>
          <cell r="AM121">
            <v>0</v>
          </cell>
          <cell r="AN121">
            <v>0</v>
          </cell>
          <cell r="AO121">
            <v>245</v>
          </cell>
          <cell r="AP121">
            <v>135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60</v>
          </cell>
          <cell r="AV121">
            <v>0</v>
          </cell>
          <cell r="AW121">
            <v>320</v>
          </cell>
          <cell r="AX121">
            <v>210</v>
          </cell>
          <cell r="AY121">
            <v>0</v>
          </cell>
          <cell r="AZ121">
            <v>0</v>
          </cell>
          <cell r="BA121">
            <v>1169548</v>
          </cell>
          <cell r="BB121">
            <v>4365</v>
          </cell>
          <cell r="BC121">
            <v>1165183</v>
          </cell>
        </row>
        <row r="122">
          <cell r="C122" t="str">
            <v>KAP101</v>
          </cell>
          <cell r="D122">
            <v>30240</v>
          </cell>
          <cell r="E122">
            <v>22590</v>
          </cell>
          <cell r="F122">
            <v>270</v>
          </cell>
          <cell r="G122">
            <v>0</v>
          </cell>
          <cell r="H122">
            <v>270</v>
          </cell>
          <cell r="I122">
            <v>0</v>
          </cell>
          <cell r="J122">
            <v>7380</v>
          </cell>
          <cell r="K122">
            <v>2160</v>
          </cell>
          <cell r="L122">
            <v>1055</v>
          </cell>
          <cell r="M122">
            <v>580</v>
          </cell>
          <cell r="N122">
            <v>0</v>
          </cell>
          <cell r="O122">
            <v>75</v>
          </cell>
          <cell r="P122">
            <v>400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2820</v>
          </cell>
          <cell r="X122">
            <v>1650</v>
          </cell>
          <cell r="Y122">
            <v>700</v>
          </cell>
          <cell r="Z122">
            <v>270</v>
          </cell>
          <cell r="AA122">
            <v>0</v>
          </cell>
          <cell r="AB122">
            <v>200</v>
          </cell>
          <cell r="AC122">
            <v>0</v>
          </cell>
          <cell r="AD122">
            <v>0</v>
          </cell>
          <cell r="AE122">
            <v>0</v>
          </cell>
          <cell r="AF122">
            <v>1345</v>
          </cell>
          <cell r="AG122">
            <v>0</v>
          </cell>
          <cell r="AH122">
            <v>0</v>
          </cell>
          <cell r="AI122">
            <v>360</v>
          </cell>
          <cell r="AJ122">
            <v>0</v>
          </cell>
          <cell r="AK122">
            <v>260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135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60</v>
          </cell>
          <cell r="AV122">
            <v>0</v>
          </cell>
          <cell r="AW122">
            <v>320</v>
          </cell>
          <cell r="AX122">
            <v>210</v>
          </cell>
          <cell r="AY122">
            <v>0</v>
          </cell>
          <cell r="AZ122">
            <v>0</v>
          </cell>
          <cell r="BA122">
            <v>592831</v>
          </cell>
          <cell r="BB122">
            <v>4365</v>
          </cell>
          <cell r="BC122">
            <v>588466</v>
          </cell>
        </row>
        <row r="123">
          <cell r="C123" t="str">
            <v>KAP103</v>
          </cell>
          <cell r="D123">
            <v>30240</v>
          </cell>
          <cell r="E123">
            <v>28200</v>
          </cell>
          <cell r="F123">
            <v>615</v>
          </cell>
          <cell r="G123">
            <v>0</v>
          </cell>
          <cell r="H123">
            <v>615</v>
          </cell>
          <cell r="I123">
            <v>0</v>
          </cell>
          <cell r="J123">
            <v>1425</v>
          </cell>
          <cell r="K123">
            <v>720</v>
          </cell>
          <cell r="L123">
            <v>145</v>
          </cell>
          <cell r="M123">
            <v>145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225</v>
          </cell>
          <cell r="X123">
            <v>95</v>
          </cell>
          <cell r="Y123">
            <v>60</v>
          </cell>
          <cell r="Z123">
            <v>40</v>
          </cell>
          <cell r="AA123">
            <v>0</v>
          </cell>
          <cell r="AB123">
            <v>30</v>
          </cell>
          <cell r="AC123">
            <v>0</v>
          </cell>
          <cell r="AD123">
            <v>0</v>
          </cell>
          <cell r="AE123">
            <v>0</v>
          </cell>
          <cell r="AF123">
            <v>335</v>
          </cell>
          <cell r="AG123">
            <v>0</v>
          </cell>
          <cell r="AH123">
            <v>0</v>
          </cell>
          <cell r="AI123">
            <v>60</v>
          </cell>
          <cell r="AJ123">
            <v>0</v>
          </cell>
          <cell r="AK123">
            <v>30</v>
          </cell>
          <cell r="AL123">
            <v>0</v>
          </cell>
          <cell r="AM123">
            <v>0</v>
          </cell>
          <cell r="AN123">
            <v>0</v>
          </cell>
          <cell r="AO123">
            <v>245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576717</v>
          </cell>
          <cell r="BB123">
            <v>0</v>
          </cell>
          <cell r="BC123">
            <v>576717</v>
          </cell>
        </row>
        <row r="124">
          <cell r="C124" t="str">
            <v>NBL SOL-STRIPPING</v>
          </cell>
          <cell r="D124">
            <v>154080</v>
          </cell>
          <cell r="E124">
            <v>90690</v>
          </cell>
          <cell r="F124">
            <v>3200</v>
          </cell>
          <cell r="G124">
            <v>585</v>
          </cell>
          <cell r="H124">
            <v>2615</v>
          </cell>
          <cell r="I124">
            <v>0</v>
          </cell>
          <cell r="J124">
            <v>60190</v>
          </cell>
          <cell r="K124">
            <v>19580</v>
          </cell>
          <cell r="L124">
            <v>9640</v>
          </cell>
          <cell r="M124">
            <v>4700</v>
          </cell>
          <cell r="N124">
            <v>0</v>
          </cell>
          <cell r="O124">
            <v>4900</v>
          </cell>
          <cell r="P124">
            <v>40</v>
          </cell>
          <cell r="Q124">
            <v>205</v>
          </cell>
          <cell r="R124">
            <v>155</v>
          </cell>
          <cell r="S124">
            <v>50</v>
          </cell>
          <cell r="T124">
            <v>0</v>
          </cell>
          <cell r="U124">
            <v>0</v>
          </cell>
          <cell r="V124">
            <v>0</v>
          </cell>
          <cell r="W124">
            <v>16177</v>
          </cell>
          <cell r="X124">
            <v>9967</v>
          </cell>
          <cell r="Y124">
            <v>2320</v>
          </cell>
          <cell r="Z124">
            <v>2855</v>
          </cell>
          <cell r="AA124">
            <v>20</v>
          </cell>
          <cell r="AB124">
            <v>1015</v>
          </cell>
          <cell r="AC124">
            <v>1870</v>
          </cell>
          <cell r="AD124">
            <v>510</v>
          </cell>
          <cell r="AE124">
            <v>1360</v>
          </cell>
          <cell r="AF124">
            <v>12718</v>
          </cell>
          <cell r="AG124">
            <v>0</v>
          </cell>
          <cell r="AH124">
            <v>0</v>
          </cell>
          <cell r="AI124">
            <v>3575</v>
          </cell>
          <cell r="AJ124">
            <v>0</v>
          </cell>
          <cell r="AK124">
            <v>3430</v>
          </cell>
          <cell r="AL124">
            <v>1543</v>
          </cell>
          <cell r="AM124">
            <v>0</v>
          </cell>
          <cell r="AN124">
            <v>0</v>
          </cell>
          <cell r="AO124">
            <v>110</v>
          </cell>
          <cell r="AP124">
            <v>1970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1960</v>
          </cell>
          <cell r="AX124">
            <v>130</v>
          </cell>
          <cell r="AY124">
            <v>0</v>
          </cell>
          <cell r="AZ124">
            <v>0</v>
          </cell>
          <cell r="BA124">
            <v>12117043</v>
          </cell>
          <cell r="BB124">
            <v>78391</v>
          </cell>
          <cell r="BC124">
            <v>12038652</v>
          </cell>
        </row>
        <row r="125">
          <cell r="C125" t="str">
            <v>STR105</v>
          </cell>
          <cell r="D125">
            <v>30240</v>
          </cell>
          <cell r="E125">
            <v>18930</v>
          </cell>
          <cell r="F125">
            <v>1170</v>
          </cell>
          <cell r="G125">
            <v>195</v>
          </cell>
          <cell r="H125">
            <v>975</v>
          </cell>
          <cell r="I125">
            <v>0</v>
          </cell>
          <cell r="J125">
            <v>10140</v>
          </cell>
          <cell r="K125">
            <v>3010</v>
          </cell>
          <cell r="L125">
            <v>1360</v>
          </cell>
          <cell r="M125">
            <v>680</v>
          </cell>
          <cell r="N125">
            <v>0</v>
          </cell>
          <cell r="O125">
            <v>680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2517</v>
          </cell>
          <cell r="X125">
            <v>1497</v>
          </cell>
          <cell r="Y125">
            <v>410</v>
          </cell>
          <cell r="Z125">
            <v>430</v>
          </cell>
          <cell r="AA125">
            <v>0</v>
          </cell>
          <cell r="AB125">
            <v>180</v>
          </cell>
          <cell r="AC125">
            <v>790</v>
          </cell>
          <cell r="AD125">
            <v>0</v>
          </cell>
          <cell r="AE125">
            <v>790</v>
          </cell>
          <cell r="AF125">
            <v>2463</v>
          </cell>
          <cell r="AG125">
            <v>0</v>
          </cell>
          <cell r="AH125">
            <v>0</v>
          </cell>
          <cell r="AI125">
            <v>545</v>
          </cell>
          <cell r="AJ125">
            <v>0</v>
          </cell>
          <cell r="AK125">
            <v>575</v>
          </cell>
          <cell r="AL125">
            <v>788</v>
          </cell>
          <cell r="AM125">
            <v>0</v>
          </cell>
          <cell r="AN125">
            <v>0</v>
          </cell>
          <cell r="AO125">
            <v>0</v>
          </cell>
          <cell r="AP125">
            <v>230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325</v>
          </cell>
          <cell r="AX125">
            <v>0</v>
          </cell>
          <cell r="AY125">
            <v>0</v>
          </cell>
          <cell r="AZ125">
            <v>0</v>
          </cell>
          <cell r="BA125">
            <v>1046325</v>
          </cell>
          <cell r="BB125">
            <v>7025</v>
          </cell>
          <cell r="BC125">
            <v>1039300</v>
          </cell>
        </row>
        <row r="126">
          <cell r="C126" t="str">
            <v>STR102</v>
          </cell>
          <cell r="D126">
            <v>30240</v>
          </cell>
          <cell r="E126">
            <v>13860</v>
          </cell>
          <cell r="F126">
            <v>195</v>
          </cell>
          <cell r="G126">
            <v>195</v>
          </cell>
          <cell r="H126">
            <v>0</v>
          </cell>
          <cell r="I126">
            <v>0</v>
          </cell>
          <cell r="J126">
            <v>16185</v>
          </cell>
          <cell r="K126">
            <v>4935</v>
          </cell>
          <cell r="L126">
            <v>3115</v>
          </cell>
          <cell r="M126">
            <v>1505</v>
          </cell>
          <cell r="N126">
            <v>0</v>
          </cell>
          <cell r="O126">
            <v>1570</v>
          </cell>
          <cell r="P126">
            <v>40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4055</v>
          </cell>
          <cell r="X126">
            <v>1965</v>
          </cell>
          <cell r="Y126">
            <v>955</v>
          </cell>
          <cell r="Z126">
            <v>845</v>
          </cell>
          <cell r="AA126">
            <v>20</v>
          </cell>
          <cell r="AB126">
            <v>270</v>
          </cell>
          <cell r="AC126">
            <v>690</v>
          </cell>
          <cell r="AD126">
            <v>510</v>
          </cell>
          <cell r="AE126">
            <v>180</v>
          </cell>
          <cell r="AF126">
            <v>3390</v>
          </cell>
          <cell r="AG126">
            <v>0</v>
          </cell>
          <cell r="AH126">
            <v>0</v>
          </cell>
          <cell r="AI126">
            <v>1020</v>
          </cell>
          <cell r="AJ126">
            <v>0</v>
          </cell>
          <cell r="AK126">
            <v>1010</v>
          </cell>
          <cell r="AL126">
            <v>110</v>
          </cell>
          <cell r="AM126">
            <v>0</v>
          </cell>
          <cell r="AN126">
            <v>0</v>
          </cell>
          <cell r="AO126">
            <v>0</v>
          </cell>
          <cell r="AP126">
            <v>625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625</v>
          </cell>
          <cell r="AX126">
            <v>0</v>
          </cell>
          <cell r="AY126">
            <v>0</v>
          </cell>
          <cell r="AZ126">
            <v>0</v>
          </cell>
          <cell r="BA126">
            <v>5837306</v>
          </cell>
          <cell r="BB126">
            <v>35026</v>
          </cell>
          <cell r="BC126">
            <v>5802280</v>
          </cell>
        </row>
        <row r="127">
          <cell r="C127" t="str">
            <v>STR104</v>
          </cell>
          <cell r="D127">
            <v>31680</v>
          </cell>
          <cell r="E127">
            <v>25080</v>
          </cell>
          <cell r="F127">
            <v>480</v>
          </cell>
          <cell r="G127">
            <v>0</v>
          </cell>
          <cell r="H127">
            <v>480</v>
          </cell>
          <cell r="I127">
            <v>0</v>
          </cell>
          <cell r="J127">
            <v>6120</v>
          </cell>
          <cell r="K127">
            <v>2160</v>
          </cell>
          <cell r="L127">
            <v>75</v>
          </cell>
          <cell r="M127">
            <v>75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3160</v>
          </cell>
          <cell r="X127">
            <v>2815</v>
          </cell>
          <cell r="Y127">
            <v>90</v>
          </cell>
          <cell r="Z127">
            <v>170</v>
          </cell>
          <cell r="AA127">
            <v>0</v>
          </cell>
          <cell r="AB127">
            <v>85</v>
          </cell>
          <cell r="AC127">
            <v>0</v>
          </cell>
          <cell r="AD127">
            <v>0</v>
          </cell>
          <cell r="AE127">
            <v>0</v>
          </cell>
          <cell r="AF127">
            <v>725</v>
          </cell>
          <cell r="AG127">
            <v>0</v>
          </cell>
          <cell r="AH127">
            <v>0</v>
          </cell>
          <cell r="AI127">
            <v>240</v>
          </cell>
          <cell r="AJ127">
            <v>0</v>
          </cell>
          <cell r="AK127">
            <v>130</v>
          </cell>
          <cell r="AL127">
            <v>165</v>
          </cell>
          <cell r="AM127">
            <v>0</v>
          </cell>
          <cell r="AN127">
            <v>0</v>
          </cell>
          <cell r="AO127">
            <v>0</v>
          </cell>
          <cell r="AP127">
            <v>150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40</v>
          </cell>
          <cell r="AX127">
            <v>0</v>
          </cell>
          <cell r="AY127">
            <v>0</v>
          </cell>
          <cell r="AZ127">
            <v>0</v>
          </cell>
          <cell r="BA127">
            <v>17611</v>
          </cell>
          <cell r="BB127">
            <v>45</v>
          </cell>
          <cell r="BC127">
            <v>17566</v>
          </cell>
        </row>
        <row r="128">
          <cell r="C128" t="str">
            <v>STR103</v>
          </cell>
          <cell r="D128">
            <v>30240</v>
          </cell>
          <cell r="E128">
            <v>15600</v>
          </cell>
          <cell r="F128">
            <v>315</v>
          </cell>
          <cell r="G128">
            <v>195</v>
          </cell>
          <cell r="H128">
            <v>120</v>
          </cell>
          <cell r="I128">
            <v>0</v>
          </cell>
          <cell r="J128">
            <v>14325</v>
          </cell>
          <cell r="K128">
            <v>4005</v>
          </cell>
          <cell r="L128">
            <v>3410</v>
          </cell>
          <cell r="M128">
            <v>1890</v>
          </cell>
          <cell r="N128">
            <v>0</v>
          </cell>
          <cell r="O128">
            <v>1520</v>
          </cell>
          <cell r="P128">
            <v>0</v>
          </cell>
          <cell r="Q128">
            <v>95</v>
          </cell>
          <cell r="R128">
            <v>95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3215</v>
          </cell>
          <cell r="X128">
            <v>1775</v>
          </cell>
          <cell r="Y128">
            <v>495</v>
          </cell>
          <cell r="Z128">
            <v>690</v>
          </cell>
          <cell r="AA128">
            <v>0</v>
          </cell>
          <cell r="AB128">
            <v>255</v>
          </cell>
          <cell r="AC128">
            <v>390</v>
          </cell>
          <cell r="AD128">
            <v>0</v>
          </cell>
          <cell r="AE128">
            <v>390</v>
          </cell>
          <cell r="AF128">
            <v>3210</v>
          </cell>
          <cell r="AG128">
            <v>0</v>
          </cell>
          <cell r="AH128">
            <v>0</v>
          </cell>
          <cell r="AI128">
            <v>900</v>
          </cell>
          <cell r="AJ128">
            <v>0</v>
          </cell>
          <cell r="AK128">
            <v>860</v>
          </cell>
          <cell r="AL128">
            <v>300</v>
          </cell>
          <cell r="AM128">
            <v>0</v>
          </cell>
          <cell r="AN128">
            <v>0</v>
          </cell>
          <cell r="AO128">
            <v>0</v>
          </cell>
          <cell r="AP128">
            <v>510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510</v>
          </cell>
          <cell r="AX128">
            <v>130</v>
          </cell>
          <cell r="AY128">
            <v>0</v>
          </cell>
          <cell r="AZ128">
            <v>0</v>
          </cell>
          <cell r="BA128">
            <v>1954359</v>
          </cell>
          <cell r="BB128">
            <v>21253</v>
          </cell>
          <cell r="BC128">
            <v>1933106</v>
          </cell>
        </row>
        <row r="129">
          <cell r="C129" t="str">
            <v>STR101</v>
          </cell>
          <cell r="D129">
            <v>31680</v>
          </cell>
          <cell r="E129">
            <v>17220</v>
          </cell>
          <cell r="F129">
            <v>1040</v>
          </cell>
          <cell r="G129">
            <v>0</v>
          </cell>
          <cell r="H129">
            <v>1040</v>
          </cell>
          <cell r="I129">
            <v>0</v>
          </cell>
          <cell r="J129">
            <v>13420</v>
          </cell>
          <cell r="K129">
            <v>5470</v>
          </cell>
          <cell r="L129">
            <v>1680</v>
          </cell>
          <cell r="M129">
            <v>550</v>
          </cell>
          <cell r="N129">
            <v>0</v>
          </cell>
          <cell r="O129">
            <v>1130</v>
          </cell>
          <cell r="P129">
            <v>0</v>
          </cell>
          <cell r="Q129">
            <v>110</v>
          </cell>
          <cell r="R129">
            <v>60</v>
          </cell>
          <cell r="S129">
            <v>50</v>
          </cell>
          <cell r="T129">
            <v>0</v>
          </cell>
          <cell r="U129">
            <v>0</v>
          </cell>
          <cell r="V129">
            <v>0</v>
          </cell>
          <cell r="W129">
            <v>3230</v>
          </cell>
          <cell r="X129">
            <v>1915</v>
          </cell>
          <cell r="Y129">
            <v>370</v>
          </cell>
          <cell r="Z129">
            <v>720</v>
          </cell>
          <cell r="AA129">
            <v>0</v>
          </cell>
          <cell r="AB129">
            <v>225</v>
          </cell>
          <cell r="AC129">
            <v>0</v>
          </cell>
          <cell r="AD129">
            <v>0</v>
          </cell>
          <cell r="AE129">
            <v>0</v>
          </cell>
          <cell r="AF129">
            <v>2930</v>
          </cell>
          <cell r="AG129">
            <v>0</v>
          </cell>
          <cell r="AH129">
            <v>0</v>
          </cell>
          <cell r="AI129">
            <v>870</v>
          </cell>
          <cell r="AJ129">
            <v>0</v>
          </cell>
          <cell r="AK129">
            <v>855</v>
          </cell>
          <cell r="AL129">
            <v>180</v>
          </cell>
          <cell r="AM129">
            <v>0</v>
          </cell>
          <cell r="AN129">
            <v>0</v>
          </cell>
          <cell r="AO129">
            <v>110</v>
          </cell>
          <cell r="AP129">
            <v>455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460</v>
          </cell>
          <cell r="AX129">
            <v>0</v>
          </cell>
          <cell r="AY129">
            <v>0</v>
          </cell>
          <cell r="AZ129">
            <v>0</v>
          </cell>
          <cell r="BA129">
            <v>3261442</v>
          </cell>
          <cell r="BB129">
            <v>15042</v>
          </cell>
          <cell r="BC129">
            <v>3246400</v>
          </cell>
        </row>
        <row r="130">
          <cell r="C130" t="str">
            <v>NBL SYR-MIXING</v>
          </cell>
          <cell r="D130">
            <v>30240</v>
          </cell>
          <cell r="E130">
            <v>23820</v>
          </cell>
          <cell r="F130">
            <v>774</v>
          </cell>
          <cell r="G130">
            <v>45</v>
          </cell>
          <cell r="H130">
            <v>729</v>
          </cell>
          <cell r="I130">
            <v>0</v>
          </cell>
          <cell r="J130">
            <v>5646</v>
          </cell>
          <cell r="K130">
            <v>2352</v>
          </cell>
          <cell r="L130">
            <v>184</v>
          </cell>
          <cell r="M130">
            <v>184</v>
          </cell>
          <cell r="N130">
            <v>0</v>
          </cell>
          <cell r="O130">
            <v>0</v>
          </cell>
          <cell r="P130">
            <v>0</v>
          </cell>
          <cell r="Q130">
            <v>60</v>
          </cell>
          <cell r="R130">
            <v>60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2031</v>
          </cell>
          <cell r="X130">
            <v>163</v>
          </cell>
          <cell r="Y130">
            <v>1868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1019</v>
          </cell>
          <cell r="AG130">
            <v>105</v>
          </cell>
          <cell r="AH130">
            <v>0</v>
          </cell>
          <cell r="AI130">
            <v>165</v>
          </cell>
          <cell r="AJ130">
            <v>0</v>
          </cell>
          <cell r="AK130">
            <v>121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238</v>
          </cell>
          <cell r="AT130">
            <v>0</v>
          </cell>
          <cell r="AU130">
            <v>0</v>
          </cell>
          <cell r="AV130">
            <v>0</v>
          </cell>
          <cell r="AW130">
            <v>15</v>
          </cell>
          <cell r="AX130">
            <v>375</v>
          </cell>
          <cell r="AY130">
            <v>0</v>
          </cell>
          <cell r="AZ130">
            <v>0</v>
          </cell>
          <cell r="BA130">
            <v>8874.9</v>
          </cell>
          <cell r="BB130">
            <v>1.3</v>
          </cell>
          <cell r="BC130">
            <v>8873.6</v>
          </cell>
        </row>
        <row r="131">
          <cell r="C131" t="str">
            <v>LMIXSYR1</v>
          </cell>
          <cell r="D131">
            <v>30240</v>
          </cell>
          <cell r="E131">
            <v>23820</v>
          </cell>
          <cell r="F131">
            <v>774</v>
          </cell>
          <cell r="G131">
            <v>45</v>
          </cell>
          <cell r="H131">
            <v>729</v>
          </cell>
          <cell r="I131">
            <v>0</v>
          </cell>
          <cell r="J131">
            <v>5646</v>
          </cell>
          <cell r="K131">
            <v>2352</v>
          </cell>
          <cell r="L131">
            <v>184</v>
          </cell>
          <cell r="M131">
            <v>184</v>
          </cell>
          <cell r="N131">
            <v>0</v>
          </cell>
          <cell r="O131">
            <v>0</v>
          </cell>
          <cell r="P131">
            <v>0</v>
          </cell>
          <cell r="Q131">
            <v>60</v>
          </cell>
          <cell r="R131">
            <v>60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2031</v>
          </cell>
          <cell r="X131">
            <v>163</v>
          </cell>
          <cell r="Y131">
            <v>1868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1019</v>
          </cell>
          <cell r="AG131">
            <v>105</v>
          </cell>
          <cell r="AH131">
            <v>0</v>
          </cell>
          <cell r="AI131">
            <v>165</v>
          </cell>
          <cell r="AJ131">
            <v>0</v>
          </cell>
          <cell r="AK131">
            <v>121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238</v>
          </cell>
          <cell r="AT131">
            <v>0</v>
          </cell>
          <cell r="AU131">
            <v>0</v>
          </cell>
          <cell r="AV131">
            <v>0</v>
          </cell>
          <cell r="AW131">
            <v>15</v>
          </cell>
          <cell r="AX131">
            <v>375</v>
          </cell>
          <cell r="AY131">
            <v>0</v>
          </cell>
          <cell r="AZ131">
            <v>0</v>
          </cell>
          <cell r="BA131">
            <v>8874.9</v>
          </cell>
          <cell r="BB131">
            <v>1.3</v>
          </cell>
          <cell r="BC131">
            <v>8873.6</v>
          </cell>
        </row>
        <row r="132">
          <cell r="C132" t="str">
            <v>NBL SYR-FILLING</v>
          </cell>
          <cell r="D132">
            <v>60480</v>
          </cell>
          <cell r="E132">
            <v>46140</v>
          </cell>
          <cell r="F132">
            <v>1990</v>
          </cell>
          <cell r="G132">
            <v>330</v>
          </cell>
          <cell r="H132">
            <v>1660</v>
          </cell>
          <cell r="I132">
            <v>210</v>
          </cell>
          <cell r="J132">
            <v>12140</v>
          </cell>
          <cell r="K132">
            <v>3755</v>
          </cell>
          <cell r="L132">
            <v>1065</v>
          </cell>
          <cell r="M132">
            <v>710</v>
          </cell>
          <cell r="N132">
            <v>0</v>
          </cell>
          <cell r="O132">
            <v>145</v>
          </cell>
          <cell r="P132">
            <v>210</v>
          </cell>
          <cell r="Q132">
            <v>650</v>
          </cell>
          <cell r="R132">
            <v>315</v>
          </cell>
          <cell r="S132">
            <v>220</v>
          </cell>
          <cell r="T132">
            <v>0</v>
          </cell>
          <cell r="U132">
            <v>115</v>
          </cell>
          <cell r="V132">
            <v>0</v>
          </cell>
          <cell r="W132">
            <v>4050</v>
          </cell>
          <cell r="X132">
            <v>880</v>
          </cell>
          <cell r="Y132">
            <v>1850</v>
          </cell>
          <cell r="Z132">
            <v>0</v>
          </cell>
          <cell r="AA132">
            <v>10</v>
          </cell>
          <cell r="AB132">
            <v>1310</v>
          </cell>
          <cell r="AC132">
            <v>0</v>
          </cell>
          <cell r="AD132">
            <v>0</v>
          </cell>
          <cell r="AE132">
            <v>0</v>
          </cell>
          <cell r="AF132">
            <v>2620</v>
          </cell>
          <cell r="AG132">
            <v>135</v>
          </cell>
          <cell r="AH132">
            <v>0</v>
          </cell>
          <cell r="AI132">
            <v>720</v>
          </cell>
          <cell r="AJ132">
            <v>0</v>
          </cell>
          <cell r="AK132">
            <v>450</v>
          </cell>
          <cell r="AL132">
            <v>210</v>
          </cell>
          <cell r="AM132">
            <v>0</v>
          </cell>
          <cell r="AN132">
            <v>0</v>
          </cell>
          <cell r="AO132">
            <v>1090</v>
          </cell>
          <cell r="AP132">
            <v>15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205565</v>
          </cell>
          <cell r="BB132">
            <v>385</v>
          </cell>
          <cell r="BC132">
            <v>205180</v>
          </cell>
        </row>
        <row r="133">
          <cell r="C133" t="str">
            <v>SYR109</v>
          </cell>
          <cell r="D133">
            <v>30240</v>
          </cell>
          <cell r="E133">
            <v>21510</v>
          </cell>
          <cell r="F133">
            <v>915</v>
          </cell>
          <cell r="G133">
            <v>300</v>
          </cell>
          <cell r="H133">
            <v>615</v>
          </cell>
          <cell r="I133">
            <v>0</v>
          </cell>
          <cell r="J133">
            <v>7815</v>
          </cell>
          <cell r="K133">
            <v>2455</v>
          </cell>
          <cell r="L133">
            <v>640</v>
          </cell>
          <cell r="M133">
            <v>440</v>
          </cell>
          <cell r="N133">
            <v>0</v>
          </cell>
          <cell r="O133">
            <v>55</v>
          </cell>
          <cell r="P133">
            <v>145</v>
          </cell>
          <cell r="Q133">
            <v>160</v>
          </cell>
          <cell r="R133">
            <v>45</v>
          </cell>
          <cell r="S133">
            <v>0</v>
          </cell>
          <cell r="T133">
            <v>0</v>
          </cell>
          <cell r="U133">
            <v>115</v>
          </cell>
          <cell r="V133">
            <v>0</v>
          </cell>
          <cell r="W133">
            <v>2450</v>
          </cell>
          <cell r="X133">
            <v>375</v>
          </cell>
          <cell r="Y133">
            <v>1490</v>
          </cell>
          <cell r="Z133">
            <v>0</v>
          </cell>
          <cell r="AA133">
            <v>0</v>
          </cell>
          <cell r="AB133">
            <v>585</v>
          </cell>
          <cell r="AC133">
            <v>0</v>
          </cell>
          <cell r="AD133">
            <v>0</v>
          </cell>
          <cell r="AE133">
            <v>0</v>
          </cell>
          <cell r="AF133">
            <v>2110</v>
          </cell>
          <cell r="AG133">
            <v>135</v>
          </cell>
          <cell r="AH133">
            <v>0</v>
          </cell>
          <cell r="AI133">
            <v>450</v>
          </cell>
          <cell r="AJ133">
            <v>0</v>
          </cell>
          <cell r="AK133">
            <v>300</v>
          </cell>
          <cell r="AL133">
            <v>210</v>
          </cell>
          <cell r="AM133">
            <v>0</v>
          </cell>
          <cell r="AN133">
            <v>0</v>
          </cell>
          <cell r="AO133">
            <v>1000</v>
          </cell>
          <cell r="AP133">
            <v>15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138505</v>
          </cell>
          <cell r="BB133">
            <v>296</v>
          </cell>
          <cell r="BC133">
            <v>138209</v>
          </cell>
        </row>
        <row r="134">
          <cell r="C134" t="str">
            <v>SYR110</v>
          </cell>
          <cell r="D134">
            <v>30240</v>
          </cell>
          <cell r="E134">
            <v>24630</v>
          </cell>
          <cell r="F134">
            <v>1075</v>
          </cell>
          <cell r="G134">
            <v>30</v>
          </cell>
          <cell r="H134">
            <v>1045</v>
          </cell>
          <cell r="I134">
            <v>210</v>
          </cell>
          <cell r="J134">
            <v>4325</v>
          </cell>
          <cell r="K134">
            <v>1300</v>
          </cell>
          <cell r="L134">
            <v>425</v>
          </cell>
          <cell r="M134">
            <v>270</v>
          </cell>
          <cell r="N134">
            <v>0</v>
          </cell>
          <cell r="O134">
            <v>90</v>
          </cell>
          <cell r="P134">
            <v>65</v>
          </cell>
          <cell r="Q134">
            <v>490</v>
          </cell>
          <cell r="R134">
            <v>270</v>
          </cell>
          <cell r="S134">
            <v>220</v>
          </cell>
          <cell r="T134">
            <v>0</v>
          </cell>
          <cell r="U134">
            <v>0</v>
          </cell>
          <cell r="V134">
            <v>0</v>
          </cell>
          <cell r="W134">
            <v>1600</v>
          </cell>
          <cell r="X134">
            <v>505</v>
          </cell>
          <cell r="Y134">
            <v>360</v>
          </cell>
          <cell r="Z134">
            <v>0</v>
          </cell>
          <cell r="AA134">
            <v>10</v>
          </cell>
          <cell r="AB134">
            <v>725</v>
          </cell>
          <cell r="AC134">
            <v>0</v>
          </cell>
          <cell r="AD134">
            <v>0</v>
          </cell>
          <cell r="AE134">
            <v>0</v>
          </cell>
          <cell r="AF134">
            <v>510</v>
          </cell>
          <cell r="AG134">
            <v>0</v>
          </cell>
          <cell r="AH134">
            <v>0</v>
          </cell>
          <cell r="AI134">
            <v>270</v>
          </cell>
          <cell r="AJ134">
            <v>0</v>
          </cell>
          <cell r="AK134">
            <v>150</v>
          </cell>
          <cell r="AL134">
            <v>0</v>
          </cell>
          <cell r="AM134">
            <v>0</v>
          </cell>
          <cell r="AN134">
            <v>0</v>
          </cell>
          <cell r="AO134">
            <v>90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67060</v>
          </cell>
          <cell r="BB134">
            <v>89</v>
          </cell>
          <cell r="BC134">
            <v>66971</v>
          </cell>
        </row>
        <row r="135">
          <cell r="C135" t="str">
            <v>NBL INJ-MIXING</v>
          </cell>
          <cell r="D135">
            <v>33120</v>
          </cell>
          <cell r="E135">
            <v>24750</v>
          </cell>
          <cell r="F135">
            <v>300</v>
          </cell>
          <cell r="G135">
            <v>300</v>
          </cell>
          <cell r="H135">
            <v>0</v>
          </cell>
          <cell r="I135">
            <v>0</v>
          </cell>
          <cell r="J135">
            <v>8070</v>
          </cell>
          <cell r="K135">
            <v>2749</v>
          </cell>
          <cell r="L135">
            <v>170</v>
          </cell>
          <cell r="M135">
            <v>170</v>
          </cell>
          <cell r="N135">
            <v>0</v>
          </cell>
          <cell r="O135">
            <v>0</v>
          </cell>
          <cell r="P135">
            <v>0</v>
          </cell>
          <cell r="Q135">
            <v>135</v>
          </cell>
          <cell r="R135">
            <v>135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2741</v>
          </cell>
          <cell r="X135">
            <v>842</v>
          </cell>
          <cell r="Y135">
            <v>1203</v>
          </cell>
          <cell r="Z135">
            <v>0</v>
          </cell>
          <cell r="AA135">
            <v>696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2275</v>
          </cell>
          <cell r="AG135">
            <v>0</v>
          </cell>
          <cell r="AH135">
            <v>0</v>
          </cell>
          <cell r="AI135">
            <v>440</v>
          </cell>
          <cell r="AJ135">
            <v>0</v>
          </cell>
          <cell r="AK135">
            <v>465</v>
          </cell>
          <cell r="AL135">
            <v>0</v>
          </cell>
          <cell r="AM135">
            <v>125</v>
          </cell>
          <cell r="AN135">
            <v>0</v>
          </cell>
          <cell r="AO135">
            <v>0</v>
          </cell>
          <cell r="AP135">
            <v>20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1225</v>
          </cell>
          <cell r="AX135">
            <v>0</v>
          </cell>
          <cell r="AY135">
            <v>0</v>
          </cell>
          <cell r="AZ135">
            <v>0</v>
          </cell>
          <cell r="BA135">
            <v>1154</v>
          </cell>
          <cell r="BB135">
            <v>172</v>
          </cell>
          <cell r="BC135">
            <v>982</v>
          </cell>
        </row>
        <row r="136">
          <cell r="C136" t="str">
            <v>LMIXINJ1</v>
          </cell>
          <cell r="D136">
            <v>33120</v>
          </cell>
          <cell r="E136">
            <v>24750</v>
          </cell>
          <cell r="F136">
            <v>300</v>
          </cell>
          <cell r="G136">
            <v>300</v>
          </cell>
          <cell r="H136">
            <v>0</v>
          </cell>
          <cell r="I136">
            <v>0</v>
          </cell>
          <cell r="J136">
            <v>8070</v>
          </cell>
          <cell r="K136">
            <v>2749</v>
          </cell>
          <cell r="L136">
            <v>170</v>
          </cell>
          <cell r="M136">
            <v>170</v>
          </cell>
          <cell r="N136">
            <v>0</v>
          </cell>
          <cell r="O136">
            <v>0</v>
          </cell>
          <cell r="P136">
            <v>0</v>
          </cell>
          <cell r="Q136">
            <v>135</v>
          </cell>
          <cell r="R136">
            <v>135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2741</v>
          </cell>
          <cell r="X136">
            <v>842</v>
          </cell>
          <cell r="Y136">
            <v>1203</v>
          </cell>
          <cell r="Z136">
            <v>0</v>
          </cell>
          <cell r="AA136">
            <v>696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2275</v>
          </cell>
          <cell r="AG136">
            <v>0</v>
          </cell>
          <cell r="AH136">
            <v>0</v>
          </cell>
          <cell r="AI136">
            <v>440</v>
          </cell>
          <cell r="AJ136">
            <v>0</v>
          </cell>
          <cell r="AK136">
            <v>465</v>
          </cell>
          <cell r="AL136">
            <v>0</v>
          </cell>
          <cell r="AM136">
            <v>125</v>
          </cell>
          <cell r="AN136">
            <v>0</v>
          </cell>
          <cell r="AO136">
            <v>0</v>
          </cell>
          <cell r="AP136">
            <v>20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1225</v>
          </cell>
          <cell r="AX136">
            <v>0</v>
          </cell>
          <cell r="AY136">
            <v>0</v>
          </cell>
          <cell r="AZ136">
            <v>0</v>
          </cell>
          <cell r="BA136">
            <v>1154</v>
          </cell>
          <cell r="BB136">
            <v>172</v>
          </cell>
          <cell r="BC136">
            <v>982</v>
          </cell>
        </row>
        <row r="137">
          <cell r="C137" t="str">
            <v>NBL INJ-FILLING</v>
          </cell>
          <cell r="D137">
            <v>66240</v>
          </cell>
          <cell r="E137">
            <v>37110</v>
          </cell>
          <cell r="F137">
            <v>3630</v>
          </cell>
          <cell r="G137">
            <v>635</v>
          </cell>
          <cell r="H137">
            <v>2995</v>
          </cell>
          <cell r="I137">
            <v>40</v>
          </cell>
          <cell r="J137">
            <v>25460</v>
          </cell>
          <cell r="K137">
            <v>8724</v>
          </cell>
          <cell r="L137">
            <v>3042</v>
          </cell>
          <cell r="M137">
            <v>2560</v>
          </cell>
          <cell r="N137">
            <v>52</v>
          </cell>
          <cell r="O137">
            <v>207</v>
          </cell>
          <cell r="P137">
            <v>223</v>
          </cell>
          <cell r="Q137">
            <v>742</v>
          </cell>
          <cell r="R137">
            <v>233</v>
          </cell>
          <cell r="S137">
            <v>41</v>
          </cell>
          <cell r="T137">
            <v>0</v>
          </cell>
          <cell r="U137">
            <v>468</v>
          </cell>
          <cell r="V137">
            <v>0</v>
          </cell>
          <cell r="W137">
            <v>6582</v>
          </cell>
          <cell r="X137">
            <v>1250</v>
          </cell>
          <cell r="Y137">
            <v>5332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6370</v>
          </cell>
          <cell r="AG137">
            <v>0</v>
          </cell>
          <cell r="AH137">
            <v>0</v>
          </cell>
          <cell r="AI137">
            <v>1475</v>
          </cell>
          <cell r="AJ137">
            <v>10</v>
          </cell>
          <cell r="AK137">
            <v>1428</v>
          </cell>
          <cell r="AL137">
            <v>0</v>
          </cell>
          <cell r="AM137">
            <v>0</v>
          </cell>
          <cell r="AN137">
            <v>15</v>
          </cell>
          <cell r="AO137">
            <v>0</v>
          </cell>
          <cell r="AP137">
            <v>410</v>
          </cell>
          <cell r="AQ137">
            <v>0</v>
          </cell>
          <cell r="AR137">
            <v>0</v>
          </cell>
          <cell r="AS137">
            <v>2650</v>
          </cell>
          <cell r="AT137">
            <v>0</v>
          </cell>
          <cell r="AU137">
            <v>0</v>
          </cell>
          <cell r="AV137">
            <v>0</v>
          </cell>
          <cell r="AW137">
            <v>382</v>
          </cell>
          <cell r="AX137">
            <v>0</v>
          </cell>
          <cell r="AY137">
            <v>0</v>
          </cell>
          <cell r="AZ137">
            <v>0</v>
          </cell>
          <cell r="BA137">
            <v>832318</v>
          </cell>
          <cell r="BB137">
            <v>405</v>
          </cell>
          <cell r="BC137">
            <v>831913</v>
          </cell>
        </row>
        <row r="138">
          <cell r="C138" t="str">
            <v>GINLINE3</v>
          </cell>
          <cell r="D138">
            <v>33120</v>
          </cell>
          <cell r="E138">
            <v>18900</v>
          </cell>
          <cell r="F138">
            <v>2470</v>
          </cell>
          <cell r="G138">
            <v>395</v>
          </cell>
          <cell r="H138">
            <v>2075</v>
          </cell>
          <cell r="I138">
            <v>0</v>
          </cell>
          <cell r="J138">
            <v>11750</v>
          </cell>
          <cell r="K138">
            <v>2904</v>
          </cell>
          <cell r="L138">
            <v>1379</v>
          </cell>
          <cell r="M138">
            <v>1205</v>
          </cell>
          <cell r="N138">
            <v>47</v>
          </cell>
          <cell r="O138">
            <v>108</v>
          </cell>
          <cell r="P138">
            <v>19</v>
          </cell>
          <cell r="Q138">
            <v>488</v>
          </cell>
          <cell r="R138">
            <v>173</v>
          </cell>
          <cell r="S138">
            <v>36</v>
          </cell>
          <cell r="T138">
            <v>0</v>
          </cell>
          <cell r="U138">
            <v>279</v>
          </cell>
          <cell r="V138">
            <v>0</v>
          </cell>
          <cell r="W138">
            <v>3402</v>
          </cell>
          <cell r="X138">
            <v>835</v>
          </cell>
          <cell r="Y138">
            <v>2567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3577</v>
          </cell>
          <cell r="AG138">
            <v>0</v>
          </cell>
          <cell r="AH138">
            <v>0</v>
          </cell>
          <cell r="AI138">
            <v>630</v>
          </cell>
          <cell r="AJ138">
            <v>10</v>
          </cell>
          <cell r="AK138">
            <v>633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280</v>
          </cell>
          <cell r="AQ138">
            <v>0</v>
          </cell>
          <cell r="AR138">
            <v>0</v>
          </cell>
          <cell r="AS138">
            <v>1944</v>
          </cell>
          <cell r="AT138">
            <v>0</v>
          </cell>
          <cell r="AU138">
            <v>0</v>
          </cell>
          <cell r="AV138">
            <v>0</v>
          </cell>
          <cell r="AW138">
            <v>80</v>
          </cell>
          <cell r="AX138">
            <v>0</v>
          </cell>
          <cell r="AY138">
            <v>0</v>
          </cell>
          <cell r="AZ138">
            <v>0</v>
          </cell>
          <cell r="BA138">
            <v>417595</v>
          </cell>
          <cell r="BB138">
            <v>0</v>
          </cell>
          <cell r="BC138">
            <v>417595</v>
          </cell>
        </row>
        <row r="139">
          <cell r="C139" t="str">
            <v>GINLINE4</v>
          </cell>
          <cell r="D139">
            <v>33120</v>
          </cell>
          <cell r="E139">
            <v>18210</v>
          </cell>
          <cell r="F139">
            <v>1160</v>
          </cell>
          <cell r="G139">
            <v>240</v>
          </cell>
          <cell r="H139">
            <v>920</v>
          </cell>
          <cell r="I139">
            <v>40</v>
          </cell>
          <cell r="J139">
            <v>13710</v>
          </cell>
          <cell r="K139">
            <v>5820</v>
          </cell>
          <cell r="L139">
            <v>1663</v>
          </cell>
          <cell r="M139">
            <v>1355</v>
          </cell>
          <cell r="N139">
            <v>5</v>
          </cell>
          <cell r="O139">
            <v>99</v>
          </cell>
          <cell r="P139">
            <v>204</v>
          </cell>
          <cell r="Q139">
            <v>254</v>
          </cell>
          <cell r="R139">
            <v>60</v>
          </cell>
          <cell r="S139">
            <v>5</v>
          </cell>
          <cell r="T139">
            <v>0</v>
          </cell>
          <cell r="U139">
            <v>189</v>
          </cell>
          <cell r="V139">
            <v>0</v>
          </cell>
          <cell r="W139">
            <v>3180</v>
          </cell>
          <cell r="X139">
            <v>415</v>
          </cell>
          <cell r="Y139">
            <v>2765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2793</v>
          </cell>
          <cell r="AG139">
            <v>0</v>
          </cell>
          <cell r="AH139">
            <v>0</v>
          </cell>
          <cell r="AI139">
            <v>845</v>
          </cell>
          <cell r="AJ139">
            <v>0</v>
          </cell>
          <cell r="AK139">
            <v>795</v>
          </cell>
          <cell r="AL139">
            <v>0</v>
          </cell>
          <cell r="AM139">
            <v>0</v>
          </cell>
          <cell r="AN139">
            <v>15</v>
          </cell>
          <cell r="AO139">
            <v>0</v>
          </cell>
          <cell r="AP139">
            <v>130</v>
          </cell>
          <cell r="AQ139">
            <v>0</v>
          </cell>
          <cell r="AR139">
            <v>0</v>
          </cell>
          <cell r="AS139">
            <v>706</v>
          </cell>
          <cell r="AT139">
            <v>0</v>
          </cell>
          <cell r="AU139">
            <v>0</v>
          </cell>
          <cell r="AV139">
            <v>0</v>
          </cell>
          <cell r="AW139">
            <v>302</v>
          </cell>
          <cell r="AX139">
            <v>0</v>
          </cell>
          <cell r="AY139">
            <v>0</v>
          </cell>
          <cell r="AZ139">
            <v>0</v>
          </cell>
          <cell r="BA139">
            <v>414723</v>
          </cell>
          <cell r="BB139">
            <v>405</v>
          </cell>
          <cell r="BC139">
            <v>414318</v>
          </cell>
        </row>
        <row r="140">
          <cell r="C140" t="str">
            <v>NBL INJ-STERILIZATION</v>
          </cell>
          <cell r="D140">
            <v>97920</v>
          </cell>
          <cell r="E140">
            <v>61191</v>
          </cell>
          <cell r="F140">
            <v>3807</v>
          </cell>
          <cell r="G140">
            <v>1085</v>
          </cell>
          <cell r="H140">
            <v>2722</v>
          </cell>
          <cell r="I140">
            <v>0</v>
          </cell>
          <cell r="J140">
            <v>32922</v>
          </cell>
          <cell r="K140">
            <v>16012</v>
          </cell>
          <cell r="L140">
            <v>938</v>
          </cell>
          <cell r="M140">
            <v>873</v>
          </cell>
          <cell r="N140">
            <v>65</v>
          </cell>
          <cell r="O140">
            <v>0</v>
          </cell>
          <cell r="P140">
            <v>0</v>
          </cell>
          <cell r="Q140">
            <v>822</v>
          </cell>
          <cell r="R140">
            <v>443</v>
          </cell>
          <cell r="S140">
            <v>79</v>
          </cell>
          <cell r="T140">
            <v>0</v>
          </cell>
          <cell r="U140">
            <v>300</v>
          </cell>
          <cell r="V140">
            <v>0</v>
          </cell>
          <cell r="W140">
            <v>7406</v>
          </cell>
          <cell r="X140">
            <v>6214</v>
          </cell>
          <cell r="Y140">
            <v>937</v>
          </cell>
          <cell r="Z140">
            <v>70</v>
          </cell>
          <cell r="AA140">
            <v>0</v>
          </cell>
          <cell r="AB140">
            <v>185</v>
          </cell>
          <cell r="AC140">
            <v>0</v>
          </cell>
          <cell r="AD140">
            <v>0</v>
          </cell>
          <cell r="AE140">
            <v>0</v>
          </cell>
          <cell r="AF140">
            <v>7744</v>
          </cell>
          <cell r="AG140">
            <v>0</v>
          </cell>
          <cell r="AH140">
            <v>0</v>
          </cell>
          <cell r="AI140">
            <v>259</v>
          </cell>
          <cell r="AJ140">
            <v>60</v>
          </cell>
          <cell r="AK140">
            <v>205</v>
          </cell>
          <cell r="AL140">
            <v>1692</v>
          </cell>
          <cell r="AM140">
            <v>0</v>
          </cell>
          <cell r="AN140">
            <v>0</v>
          </cell>
          <cell r="AO140">
            <v>5258</v>
          </cell>
          <cell r="AP140">
            <v>270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1207</v>
          </cell>
          <cell r="BB140">
            <v>0</v>
          </cell>
          <cell r="BC140">
            <v>1207</v>
          </cell>
        </row>
        <row r="141">
          <cell r="C141" t="str">
            <v>INJ105</v>
          </cell>
          <cell r="D141">
            <v>30240</v>
          </cell>
          <cell r="E141">
            <v>24658</v>
          </cell>
          <cell r="F141">
            <v>333</v>
          </cell>
          <cell r="G141">
            <v>63</v>
          </cell>
          <cell r="H141">
            <v>270</v>
          </cell>
          <cell r="I141">
            <v>0</v>
          </cell>
          <cell r="J141">
            <v>5249</v>
          </cell>
          <cell r="K141">
            <v>2139</v>
          </cell>
          <cell r="L141">
            <v>102</v>
          </cell>
          <cell r="M141">
            <v>102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485</v>
          </cell>
          <cell r="X141">
            <v>186</v>
          </cell>
          <cell r="Y141">
            <v>299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2523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2523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209</v>
          </cell>
          <cell r="BB141">
            <v>0</v>
          </cell>
          <cell r="BC141">
            <v>209</v>
          </cell>
        </row>
        <row r="142">
          <cell r="C142" t="str">
            <v>INJ106</v>
          </cell>
          <cell r="D142">
            <v>34560</v>
          </cell>
          <cell r="E142">
            <v>14865</v>
          </cell>
          <cell r="F142">
            <v>1344</v>
          </cell>
          <cell r="G142">
            <v>1002</v>
          </cell>
          <cell r="H142">
            <v>342</v>
          </cell>
          <cell r="I142">
            <v>0</v>
          </cell>
          <cell r="J142">
            <v>18351</v>
          </cell>
          <cell r="K142">
            <v>12420</v>
          </cell>
          <cell r="L142">
            <v>121</v>
          </cell>
          <cell r="M142">
            <v>121</v>
          </cell>
          <cell r="N142">
            <v>0</v>
          </cell>
          <cell r="O142">
            <v>0</v>
          </cell>
          <cell r="P142">
            <v>0</v>
          </cell>
          <cell r="Q142">
            <v>822</v>
          </cell>
          <cell r="R142">
            <v>443</v>
          </cell>
          <cell r="S142">
            <v>79</v>
          </cell>
          <cell r="T142">
            <v>0</v>
          </cell>
          <cell r="U142">
            <v>300</v>
          </cell>
          <cell r="V142">
            <v>0</v>
          </cell>
          <cell r="W142">
            <v>4963</v>
          </cell>
          <cell r="X142">
            <v>4810</v>
          </cell>
          <cell r="Y142">
            <v>153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25</v>
          </cell>
          <cell r="AG142">
            <v>0</v>
          </cell>
          <cell r="AH142">
            <v>0</v>
          </cell>
          <cell r="AI142">
            <v>25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968</v>
          </cell>
          <cell r="BB142">
            <v>0</v>
          </cell>
          <cell r="BC142">
            <v>968</v>
          </cell>
        </row>
        <row r="143">
          <cell r="C143" t="str">
            <v>INJ107</v>
          </cell>
          <cell r="D143">
            <v>33120</v>
          </cell>
          <cell r="E143">
            <v>21668</v>
          </cell>
          <cell r="F143">
            <v>2130</v>
          </cell>
          <cell r="G143">
            <v>20</v>
          </cell>
          <cell r="H143">
            <v>2110</v>
          </cell>
          <cell r="I143">
            <v>0</v>
          </cell>
          <cell r="J143">
            <v>9322</v>
          </cell>
          <cell r="K143">
            <v>1453</v>
          </cell>
          <cell r="L143">
            <v>715</v>
          </cell>
          <cell r="M143">
            <v>650</v>
          </cell>
          <cell r="N143">
            <v>65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1958</v>
          </cell>
          <cell r="X143">
            <v>1218</v>
          </cell>
          <cell r="Y143">
            <v>485</v>
          </cell>
          <cell r="Z143">
            <v>70</v>
          </cell>
          <cell r="AA143">
            <v>0</v>
          </cell>
          <cell r="AB143">
            <v>185</v>
          </cell>
          <cell r="AC143">
            <v>0</v>
          </cell>
          <cell r="AD143">
            <v>0</v>
          </cell>
          <cell r="AE143">
            <v>0</v>
          </cell>
          <cell r="AF143">
            <v>5196</v>
          </cell>
          <cell r="AG143">
            <v>0</v>
          </cell>
          <cell r="AH143">
            <v>0</v>
          </cell>
          <cell r="AI143">
            <v>234</v>
          </cell>
          <cell r="AJ143">
            <v>60</v>
          </cell>
          <cell r="AK143">
            <v>205</v>
          </cell>
          <cell r="AL143">
            <v>1692</v>
          </cell>
          <cell r="AM143">
            <v>0</v>
          </cell>
          <cell r="AN143">
            <v>0</v>
          </cell>
          <cell r="AO143">
            <v>2735</v>
          </cell>
          <cell r="AP143">
            <v>270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30</v>
          </cell>
          <cell r="BB143">
            <v>0</v>
          </cell>
          <cell r="BC143">
            <v>30</v>
          </cell>
        </row>
        <row r="144">
          <cell r="C144" t="str">
            <v>NBL SECONDARY PACKING</v>
          </cell>
          <cell r="D144">
            <v>181440</v>
          </cell>
          <cell r="E144">
            <v>131445</v>
          </cell>
          <cell r="F144">
            <v>5060</v>
          </cell>
          <cell r="G144">
            <v>2125</v>
          </cell>
          <cell r="H144">
            <v>2935</v>
          </cell>
          <cell r="I144">
            <v>0</v>
          </cell>
          <cell r="J144">
            <v>44935</v>
          </cell>
          <cell r="K144">
            <v>27860</v>
          </cell>
          <cell r="L144">
            <v>3840</v>
          </cell>
          <cell r="M144">
            <v>2558</v>
          </cell>
          <cell r="N144">
            <v>190</v>
          </cell>
          <cell r="O144">
            <v>180</v>
          </cell>
          <cell r="P144">
            <v>912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3938</v>
          </cell>
          <cell r="X144">
            <v>1833</v>
          </cell>
          <cell r="Y144">
            <v>1850</v>
          </cell>
          <cell r="Z144">
            <v>0</v>
          </cell>
          <cell r="AA144">
            <v>0</v>
          </cell>
          <cell r="AB144">
            <v>255</v>
          </cell>
          <cell r="AC144">
            <v>0</v>
          </cell>
          <cell r="AD144">
            <v>0</v>
          </cell>
          <cell r="AE144">
            <v>0</v>
          </cell>
          <cell r="AF144">
            <v>9297</v>
          </cell>
          <cell r="AG144">
            <v>0</v>
          </cell>
          <cell r="AH144">
            <v>320</v>
          </cell>
          <cell r="AI144">
            <v>2785</v>
          </cell>
          <cell r="AJ144">
            <v>0</v>
          </cell>
          <cell r="AK144">
            <v>1455</v>
          </cell>
          <cell r="AL144">
            <v>540</v>
          </cell>
          <cell r="AM144">
            <v>0</v>
          </cell>
          <cell r="AN144">
            <v>0</v>
          </cell>
          <cell r="AO144">
            <v>1717</v>
          </cell>
          <cell r="AP144">
            <v>795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1605</v>
          </cell>
          <cell r="AX144">
            <v>80</v>
          </cell>
          <cell r="AY144">
            <v>0</v>
          </cell>
          <cell r="AZ144">
            <v>0</v>
          </cell>
          <cell r="BA144">
            <v>1597398</v>
          </cell>
          <cell r="BB144">
            <v>73</v>
          </cell>
          <cell r="BC144">
            <v>1597325</v>
          </cell>
        </row>
        <row r="145">
          <cell r="C145" t="str">
            <v>PAK101</v>
          </cell>
          <cell r="D145">
            <v>30240</v>
          </cell>
          <cell r="E145">
            <v>15975</v>
          </cell>
          <cell r="F145">
            <v>575</v>
          </cell>
          <cell r="G145">
            <v>575</v>
          </cell>
          <cell r="H145">
            <v>0</v>
          </cell>
          <cell r="I145">
            <v>0</v>
          </cell>
          <cell r="J145">
            <v>13690</v>
          </cell>
          <cell r="K145">
            <v>10075</v>
          </cell>
          <cell r="L145">
            <v>273</v>
          </cell>
          <cell r="M145">
            <v>273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1042</v>
          </cell>
          <cell r="X145">
            <v>307</v>
          </cell>
          <cell r="Y145">
            <v>645</v>
          </cell>
          <cell r="Z145">
            <v>0</v>
          </cell>
          <cell r="AA145">
            <v>0</v>
          </cell>
          <cell r="AB145">
            <v>90</v>
          </cell>
          <cell r="AC145">
            <v>0</v>
          </cell>
          <cell r="AD145">
            <v>0</v>
          </cell>
          <cell r="AE145">
            <v>0</v>
          </cell>
          <cell r="AF145">
            <v>2300</v>
          </cell>
          <cell r="AG145">
            <v>0</v>
          </cell>
          <cell r="AH145">
            <v>185</v>
          </cell>
          <cell r="AI145">
            <v>870</v>
          </cell>
          <cell r="AJ145">
            <v>0</v>
          </cell>
          <cell r="AK145">
            <v>435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231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579</v>
          </cell>
          <cell r="AX145">
            <v>0</v>
          </cell>
          <cell r="AY145">
            <v>0</v>
          </cell>
          <cell r="AZ145">
            <v>0</v>
          </cell>
          <cell r="BA145">
            <v>442420</v>
          </cell>
          <cell r="BB145">
            <v>11</v>
          </cell>
          <cell r="BC145">
            <v>442409</v>
          </cell>
        </row>
        <row r="146">
          <cell r="C146" t="str">
            <v>PAK103</v>
          </cell>
          <cell r="D146">
            <v>30240</v>
          </cell>
          <cell r="E146">
            <v>16440</v>
          </cell>
          <cell r="F146">
            <v>435</v>
          </cell>
          <cell r="G146">
            <v>435</v>
          </cell>
          <cell r="H146">
            <v>0</v>
          </cell>
          <cell r="I146">
            <v>0</v>
          </cell>
          <cell r="J146">
            <v>13365</v>
          </cell>
          <cell r="K146">
            <v>9930</v>
          </cell>
          <cell r="L146">
            <v>242</v>
          </cell>
          <cell r="M146">
            <v>242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880</v>
          </cell>
          <cell r="X146">
            <v>240</v>
          </cell>
          <cell r="Y146">
            <v>545</v>
          </cell>
          <cell r="Z146">
            <v>0</v>
          </cell>
          <cell r="AA146">
            <v>0</v>
          </cell>
          <cell r="AB146">
            <v>95</v>
          </cell>
          <cell r="AC146">
            <v>0</v>
          </cell>
          <cell r="AD146">
            <v>0</v>
          </cell>
          <cell r="AE146">
            <v>0</v>
          </cell>
          <cell r="AF146">
            <v>2313</v>
          </cell>
          <cell r="AG146">
            <v>0</v>
          </cell>
          <cell r="AH146">
            <v>135</v>
          </cell>
          <cell r="AI146">
            <v>865</v>
          </cell>
          <cell r="AJ146">
            <v>0</v>
          </cell>
          <cell r="AK146">
            <v>435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206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672</v>
          </cell>
          <cell r="AX146">
            <v>0</v>
          </cell>
          <cell r="AY146">
            <v>0</v>
          </cell>
          <cell r="AZ146">
            <v>0</v>
          </cell>
          <cell r="BA146">
            <v>403882</v>
          </cell>
          <cell r="BB146">
            <v>8</v>
          </cell>
          <cell r="BC146">
            <v>403874</v>
          </cell>
        </row>
        <row r="147">
          <cell r="C147" t="str">
            <v>PAK105</v>
          </cell>
          <cell r="D147">
            <v>30240</v>
          </cell>
          <cell r="E147">
            <v>18930</v>
          </cell>
          <cell r="F147">
            <v>2745</v>
          </cell>
          <cell r="G147">
            <v>710</v>
          </cell>
          <cell r="H147">
            <v>2035</v>
          </cell>
          <cell r="I147">
            <v>0</v>
          </cell>
          <cell r="J147">
            <v>8565</v>
          </cell>
          <cell r="K147">
            <v>3590</v>
          </cell>
          <cell r="L147">
            <v>965</v>
          </cell>
          <cell r="M147">
            <v>620</v>
          </cell>
          <cell r="N147">
            <v>75</v>
          </cell>
          <cell r="O147">
            <v>10</v>
          </cell>
          <cell r="P147">
            <v>260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675</v>
          </cell>
          <cell r="X147">
            <v>450</v>
          </cell>
          <cell r="Y147">
            <v>225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3335</v>
          </cell>
          <cell r="AG147">
            <v>0</v>
          </cell>
          <cell r="AH147">
            <v>0</v>
          </cell>
          <cell r="AI147">
            <v>510</v>
          </cell>
          <cell r="AJ147">
            <v>0</v>
          </cell>
          <cell r="AK147">
            <v>255</v>
          </cell>
          <cell r="AL147">
            <v>540</v>
          </cell>
          <cell r="AM147">
            <v>0</v>
          </cell>
          <cell r="AN147">
            <v>0</v>
          </cell>
          <cell r="AO147">
            <v>1710</v>
          </cell>
          <cell r="AP147">
            <v>160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160</v>
          </cell>
          <cell r="AX147">
            <v>0</v>
          </cell>
          <cell r="AY147">
            <v>0</v>
          </cell>
          <cell r="AZ147">
            <v>0</v>
          </cell>
          <cell r="BA147">
            <v>311827</v>
          </cell>
          <cell r="BB147">
            <v>0</v>
          </cell>
          <cell r="BC147">
            <v>311827</v>
          </cell>
        </row>
        <row r="148">
          <cell r="C148" t="str">
            <v>PAK102</v>
          </cell>
          <cell r="D148">
            <v>30240</v>
          </cell>
          <cell r="E148">
            <v>30240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/>
          <cell r="K148"/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/>
          <cell r="BB148"/>
          <cell r="BC148"/>
        </row>
        <row r="149">
          <cell r="C149" t="str">
            <v>PAK104</v>
          </cell>
          <cell r="D149">
            <v>30240</v>
          </cell>
          <cell r="E149">
            <v>28710</v>
          </cell>
          <cell r="F149">
            <v>285</v>
          </cell>
          <cell r="G149">
            <v>0</v>
          </cell>
          <cell r="H149">
            <v>285</v>
          </cell>
          <cell r="I149">
            <v>0</v>
          </cell>
          <cell r="J149">
            <v>1245</v>
          </cell>
          <cell r="K149">
            <v>460</v>
          </cell>
          <cell r="L149">
            <v>185</v>
          </cell>
          <cell r="M149">
            <v>110</v>
          </cell>
          <cell r="N149">
            <v>0</v>
          </cell>
          <cell r="O149">
            <v>40</v>
          </cell>
          <cell r="P149">
            <v>35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340</v>
          </cell>
          <cell r="X149">
            <v>165</v>
          </cell>
          <cell r="Y149">
            <v>105</v>
          </cell>
          <cell r="Z149">
            <v>0</v>
          </cell>
          <cell r="AA149">
            <v>0</v>
          </cell>
          <cell r="AB149">
            <v>70</v>
          </cell>
          <cell r="AC149">
            <v>0</v>
          </cell>
          <cell r="AD149">
            <v>0</v>
          </cell>
          <cell r="AE149">
            <v>0</v>
          </cell>
          <cell r="AF149">
            <v>260</v>
          </cell>
          <cell r="AG149">
            <v>0</v>
          </cell>
          <cell r="AH149">
            <v>0</v>
          </cell>
          <cell r="AI149">
            <v>60</v>
          </cell>
          <cell r="AJ149">
            <v>0</v>
          </cell>
          <cell r="AK149">
            <v>90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20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10</v>
          </cell>
          <cell r="AX149">
            <v>80</v>
          </cell>
          <cell r="AY149">
            <v>0</v>
          </cell>
          <cell r="AZ149">
            <v>0</v>
          </cell>
          <cell r="BA149">
            <v>17639</v>
          </cell>
          <cell r="BB149">
            <v>0</v>
          </cell>
          <cell r="BC149">
            <v>17639</v>
          </cell>
        </row>
        <row r="150">
          <cell r="C150" t="str">
            <v>PAK111</v>
          </cell>
          <cell r="D150">
            <v>30240</v>
          </cell>
          <cell r="E150">
            <v>21150</v>
          </cell>
          <cell r="F150">
            <v>1020</v>
          </cell>
          <cell r="G150">
            <v>405</v>
          </cell>
          <cell r="H150">
            <v>615</v>
          </cell>
          <cell r="I150">
            <v>0</v>
          </cell>
          <cell r="J150">
            <v>8070</v>
          </cell>
          <cell r="K150">
            <v>3805</v>
          </cell>
          <cell r="L150">
            <v>2175</v>
          </cell>
          <cell r="M150">
            <v>1313</v>
          </cell>
          <cell r="N150">
            <v>115</v>
          </cell>
          <cell r="O150">
            <v>130</v>
          </cell>
          <cell r="P150">
            <v>617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1001</v>
          </cell>
          <cell r="X150">
            <v>671</v>
          </cell>
          <cell r="Y150">
            <v>330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1089</v>
          </cell>
          <cell r="AG150">
            <v>0</v>
          </cell>
          <cell r="AH150">
            <v>0</v>
          </cell>
          <cell r="AI150">
            <v>480</v>
          </cell>
          <cell r="AJ150">
            <v>0</v>
          </cell>
          <cell r="AK150">
            <v>240</v>
          </cell>
          <cell r="AL150">
            <v>0</v>
          </cell>
          <cell r="AM150">
            <v>0</v>
          </cell>
          <cell r="AN150">
            <v>0</v>
          </cell>
          <cell r="AO150">
            <v>7</v>
          </cell>
          <cell r="AP150">
            <v>178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184</v>
          </cell>
          <cell r="AX150">
            <v>0</v>
          </cell>
          <cell r="AY150">
            <v>0</v>
          </cell>
          <cell r="AZ150">
            <v>0</v>
          </cell>
          <cell r="BA150">
            <v>421630</v>
          </cell>
          <cell r="BB150">
            <v>54</v>
          </cell>
          <cell r="BC150">
            <v>421576</v>
          </cell>
        </row>
        <row r="151">
          <cell r="C151" t="str">
            <v>CPH SOL-MIXING</v>
          </cell>
          <cell r="D151">
            <v>30240</v>
          </cell>
          <cell r="E151">
            <v>29220</v>
          </cell>
          <cell r="F151">
            <v>20</v>
          </cell>
          <cell r="G151">
            <v>20</v>
          </cell>
          <cell r="H151">
            <v>0</v>
          </cell>
          <cell r="I151">
            <v>0</v>
          </cell>
          <cell r="J151">
            <v>1000</v>
          </cell>
          <cell r="K151">
            <v>80</v>
          </cell>
          <cell r="L151">
            <v>30</v>
          </cell>
          <cell r="M151">
            <v>30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346</v>
          </cell>
          <cell r="X151">
            <v>256</v>
          </cell>
          <cell r="Y151">
            <v>80</v>
          </cell>
          <cell r="Z151">
            <v>0</v>
          </cell>
          <cell r="AA151">
            <v>0</v>
          </cell>
          <cell r="AB151">
            <v>10</v>
          </cell>
          <cell r="AC151">
            <v>0</v>
          </cell>
          <cell r="AD151">
            <v>0</v>
          </cell>
          <cell r="AE151">
            <v>0</v>
          </cell>
          <cell r="AF151">
            <v>544</v>
          </cell>
          <cell r="AG151">
            <v>380</v>
          </cell>
          <cell r="AH151">
            <v>0</v>
          </cell>
          <cell r="AI151">
            <v>30</v>
          </cell>
          <cell r="AJ151">
            <v>0</v>
          </cell>
          <cell r="AK151">
            <v>15</v>
          </cell>
          <cell r="AL151">
            <v>0</v>
          </cell>
          <cell r="AM151">
            <v>90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29</v>
          </cell>
          <cell r="AX151">
            <v>0</v>
          </cell>
          <cell r="AY151">
            <v>0</v>
          </cell>
          <cell r="AZ151">
            <v>0</v>
          </cell>
          <cell r="BA151">
            <v>200.46</v>
          </cell>
          <cell r="BB151">
            <v>0.55000000000000004</v>
          </cell>
          <cell r="BC151">
            <v>199.91</v>
          </cell>
        </row>
        <row r="152">
          <cell r="C152" t="str">
            <v>MCF101</v>
          </cell>
          <cell r="D152">
            <v>30240</v>
          </cell>
          <cell r="E152">
            <v>29220</v>
          </cell>
          <cell r="F152">
            <v>20</v>
          </cell>
          <cell r="G152">
            <v>20</v>
          </cell>
          <cell r="H152">
            <v>0</v>
          </cell>
          <cell r="I152">
            <v>0</v>
          </cell>
          <cell r="J152">
            <v>1000</v>
          </cell>
          <cell r="K152">
            <v>80</v>
          </cell>
          <cell r="L152">
            <v>30</v>
          </cell>
          <cell r="M152">
            <v>30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346</v>
          </cell>
          <cell r="X152">
            <v>256</v>
          </cell>
          <cell r="Y152">
            <v>80</v>
          </cell>
          <cell r="Z152">
            <v>0</v>
          </cell>
          <cell r="AA152">
            <v>0</v>
          </cell>
          <cell r="AB152">
            <v>10</v>
          </cell>
          <cell r="AC152">
            <v>0</v>
          </cell>
          <cell r="AD152">
            <v>0</v>
          </cell>
          <cell r="AE152">
            <v>0</v>
          </cell>
          <cell r="AF152">
            <v>544</v>
          </cell>
          <cell r="AG152">
            <v>380</v>
          </cell>
          <cell r="AH152">
            <v>0</v>
          </cell>
          <cell r="AI152">
            <v>30</v>
          </cell>
          <cell r="AJ152">
            <v>0</v>
          </cell>
          <cell r="AK152">
            <v>15</v>
          </cell>
          <cell r="AL152">
            <v>0</v>
          </cell>
          <cell r="AM152">
            <v>90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29</v>
          </cell>
          <cell r="AX152">
            <v>0</v>
          </cell>
          <cell r="AY152">
            <v>0</v>
          </cell>
          <cell r="AZ152">
            <v>0</v>
          </cell>
          <cell r="BA152">
            <v>200.46</v>
          </cell>
          <cell r="BB152">
            <v>0.55000000000000004</v>
          </cell>
          <cell r="BC152">
            <v>199.91</v>
          </cell>
        </row>
        <row r="153">
          <cell r="C153" t="str">
            <v>CPH SOL-CAPSULE</v>
          </cell>
          <cell r="D153">
            <v>30240</v>
          </cell>
          <cell r="E153">
            <v>30240</v>
          </cell>
          <cell r="F153"/>
          <cell r="G153"/>
          <cell r="H153"/>
          <cell r="I153"/>
          <cell r="J153"/>
          <cell r="K153"/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/>
          <cell r="BB153"/>
          <cell r="BC153"/>
        </row>
        <row r="154">
          <cell r="C154" t="str">
            <v>KCF101</v>
          </cell>
          <cell r="D154">
            <v>30240</v>
          </cell>
          <cell r="E154">
            <v>30240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/>
          <cell r="K154"/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/>
          <cell r="BB154"/>
          <cell r="BC154"/>
        </row>
        <row r="155">
          <cell r="C155" t="str">
            <v>CPH SOL-STRIPPING</v>
          </cell>
          <cell r="D155">
            <v>30240</v>
          </cell>
          <cell r="E155">
            <v>30240</v>
          </cell>
          <cell r="F155"/>
          <cell r="G155"/>
          <cell r="H155"/>
          <cell r="I155"/>
          <cell r="J155"/>
          <cell r="K155"/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/>
          <cell r="BB155"/>
          <cell r="BC155"/>
        </row>
        <row r="156">
          <cell r="C156" t="str">
            <v>STC101</v>
          </cell>
          <cell r="D156">
            <v>30240</v>
          </cell>
          <cell r="E156">
            <v>30240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/>
          <cell r="K156"/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/>
          <cell r="BB156"/>
          <cell r="BC156"/>
        </row>
        <row r="157">
          <cell r="C157" t="str">
            <v>CPH SOL-POWDER FILLING</v>
          </cell>
          <cell r="D157">
            <v>30240</v>
          </cell>
          <cell r="E157">
            <v>28200</v>
          </cell>
          <cell r="F157">
            <v>60</v>
          </cell>
          <cell r="G157">
            <v>60</v>
          </cell>
          <cell r="H157">
            <v>0</v>
          </cell>
          <cell r="I157">
            <v>0</v>
          </cell>
          <cell r="J157">
            <v>1980</v>
          </cell>
          <cell r="K157">
            <v>590</v>
          </cell>
          <cell r="L157">
            <v>130</v>
          </cell>
          <cell r="M157">
            <v>115</v>
          </cell>
          <cell r="N157">
            <v>0</v>
          </cell>
          <cell r="O157">
            <v>0</v>
          </cell>
          <cell r="P157">
            <v>15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530</v>
          </cell>
          <cell r="X157">
            <v>240</v>
          </cell>
          <cell r="Y157">
            <v>215</v>
          </cell>
          <cell r="Z157">
            <v>0</v>
          </cell>
          <cell r="AA157">
            <v>0</v>
          </cell>
          <cell r="AB157">
            <v>75</v>
          </cell>
          <cell r="AC157">
            <v>0</v>
          </cell>
          <cell r="AD157">
            <v>0</v>
          </cell>
          <cell r="AE157">
            <v>0</v>
          </cell>
          <cell r="AF157">
            <v>730</v>
          </cell>
          <cell r="AG157">
            <v>0</v>
          </cell>
          <cell r="AH157">
            <v>0</v>
          </cell>
          <cell r="AI157">
            <v>120</v>
          </cell>
          <cell r="AJ157">
            <v>0</v>
          </cell>
          <cell r="AK157">
            <v>150</v>
          </cell>
          <cell r="AL157">
            <v>0</v>
          </cell>
          <cell r="AM157">
            <v>90</v>
          </cell>
          <cell r="AN157">
            <v>30</v>
          </cell>
          <cell r="AO157">
            <v>185</v>
          </cell>
          <cell r="AP157">
            <v>40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30</v>
          </cell>
          <cell r="AX157">
            <v>85</v>
          </cell>
          <cell r="AY157">
            <v>0</v>
          </cell>
          <cell r="AZ157">
            <v>0</v>
          </cell>
          <cell r="BA157">
            <v>22804</v>
          </cell>
          <cell r="BB157">
            <v>49</v>
          </cell>
          <cell r="BC157">
            <v>22755</v>
          </cell>
        </row>
        <row r="158">
          <cell r="C158" t="str">
            <v>SCF102</v>
          </cell>
          <cell r="D158">
            <v>30240</v>
          </cell>
          <cell r="E158">
            <v>28200</v>
          </cell>
          <cell r="F158">
            <v>60</v>
          </cell>
          <cell r="G158">
            <v>60</v>
          </cell>
          <cell r="H158">
            <v>0</v>
          </cell>
          <cell r="I158">
            <v>0</v>
          </cell>
          <cell r="J158">
            <v>1980</v>
          </cell>
          <cell r="K158">
            <v>590</v>
          </cell>
          <cell r="L158">
            <v>130</v>
          </cell>
          <cell r="M158">
            <v>115</v>
          </cell>
          <cell r="N158">
            <v>0</v>
          </cell>
          <cell r="O158">
            <v>0</v>
          </cell>
          <cell r="P158">
            <v>15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530</v>
          </cell>
          <cell r="X158">
            <v>240</v>
          </cell>
          <cell r="Y158">
            <v>215</v>
          </cell>
          <cell r="Z158">
            <v>0</v>
          </cell>
          <cell r="AA158">
            <v>0</v>
          </cell>
          <cell r="AB158">
            <v>75</v>
          </cell>
          <cell r="AC158">
            <v>0</v>
          </cell>
          <cell r="AD158">
            <v>0</v>
          </cell>
          <cell r="AE158">
            <v>0</v>
          </cell>
          <cell r="AF158">
            <v>730</v>
          </cell>
          <cell r="AG158">
            <v>0</v>
          </cell>
          <cell r="AH158">
            <v>0</v>
          </cell>
          <cell r="AI158">
            <v>120</v>
          </cell>
          <cell r="AJ158">
            <v>0</v>
          </cell>
          <cell r="AK158">
            <v>150</v>
          </cell>
          <cell r="AL158">
            <v>0</v>
          </cell>
          <cell r="AM158">
            <v>90</v>
          </cell>
          <cell r="AN158">
            <v>30</v>
          </cell>
          <cell r="AO158">
            <v>185</v>
          </cell>
          <cell r="AP158">
            <v>40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30</v>
          </cell>
          <cell r="AX158">
            <v>85</v>
          </cell>
          <cell r="AY158">
            <v>0</v>
          </cell>
          <cell r="AZ158">
            <v>0</v>
          </cell>
          <cell r="BA158">
            <v>22804</v>
          </cell>
          <cell r="BB158">
            <v>49</v>
          </cell>
          <cell r="BC158">
            <v>22755</v>
          </cell>
        </row>
        <row r="159">
          <cell r="C159" t="str">
            <v>CPH INJ-FILLING</v>
          </cell>
          <cell r="D159">
            <v>30240</v>
          </cell>
          <cell r="E159">
            <v>20640</v>
          </cell>
          <cell r="F159">
            <v>905</v>
          </cell>
          <cell r="G159">
            <v>30</v>
          </cell>
          <cell r="H159">
            <v>875</v>
          </cell>
          <cell r="I159">
            <v>0</v>
          </cell>
          <cell r="J159">
            <v>8695</v>
          </cell>
          <cell r="K159">
            <v>3164</v>
          </cell>
          <cell r="L159">
            <v>759</v>
          </cell>
          <cell r="M159">
            <v>694</v>
          </cell>
          <cell r="N159">
            <v>0</v>
          </cell>
          <cell r="O159">
            <v>65</v>
          </cell>
          <cell r="P159">
            <v>0</v>
          </cell>
          <cell r="Q159">
            <v>443</v>
          </cell>
          <cell r="R159">
            <v>433</v>
          </cell>
          <cell r="S159">
            <v>0</v>
          </cell>
          <cell r="T159">
            <v>0</v>
          </cell>
          <cell r="U159">
            <v>10</v>
          </cell>
          <cell r="V159">
            <v>0</v>
          </cell>
          <cell r="W159">
            <v>1812</v>
          </cell>
          <cell r="X159">
            <v>226</v>
          </cell>
          <cell r="Y159">
            <v>1586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2517</v>
          </cell>
          <cell r="AG159">
            <v>0</v>
          </cell>
          <cell r="AH159">
            <v>0</v>
          </cell>
          <cell r="AI159">
            <v>573</v>
          </cell>
          <cell r="AJ159">
            <v>25</v>
          </cell>
          <cell r="AK159">
            <v>438</v>
          </cell>
          <cell r="AL159">
            <v>0</v>
          </cell>
          <cell r="AM159">
            <v>0</v>
          </cell>
          <cell r="AN159">
            <v>152</v>
          </cell>
          <cell r="AO159">
            <v>0</v>
          </cell>
          <cell r="AP159">
            <v>88</v>
          </cell>
          <cell r="AQ159">
            <v>0</v>
          </cell>
          <cell r="AR159">
            <v>0</v>
          </cell>
          <cell r="AS159">
            <v>1229</v>
          </cell>
          <cell r="AT159">
            <v>0</v>
          </cell>
          <cell r="AU159">
            <v>0</v>
          </cell>
          <cell r="AV159">
            <v>0</v>
          </cell>
          <cell r="AW159">
            <v>12</v>
          </cell>
          <cell r="AX159">
            <v>0</v>
          </cell>
          <cell r="AY159">
            <v>0</v>
          </cell>
          <cell r="AZ159">
            <v>0</v>
          </cell>
          <cell r="BA159">
            <v>496778</v>
          </cell>
          <cell r="BB159">
            <v>21</v>
          </cell>
          <cell r="BC159">
            <v>496757</v>
          </cell>
        </row>
        <row r="160">
          <cell r="C160" t="str">
            <v>GINLINE6</v>
          </cell>
          <cell r="D160">
            <v>30240</v>
          </cell>
          <cell r="E160">
            <v>20640</v>
          </cell>
          <cell r="F160">
            <v>905</v>
          </cell>
          <cell r="G160">
            <v>30</v>
          </cell>
          <cell r="H160">
            <v>875</v>
          </cell>
          <cell r="I160">
            <v>0</v>
          </cell>
          <cell r="J160">
            <v>8695</v>
          </cell>
          <cell r="K160">
            <v>3164</v>
          </cell>
          <cell r="L160">
            <v>759</v>
          </cell>
          <cell r="M160">
            <v>694</v>
          </cell>
          <cell r="N160">
            <v>0</v>
          </cell>
          <cell r="O160">
            <v>65</v>
          </cell>
          <cell r="P160">
            <v>0</v>
          </cell>
          <cell r="Q160">
            <v>443</v>
          </cell>
          <cell r="R160">
            <v>433</v>
          </cell>
          <cell r="S160">
            <v>0</v>
          </cell>
          <cell r="T160">
            <v>0</v>
          </cell>
          <cell r="U160">
            <v>10</v>
          </cell>
          <cell r="V160">
            <v>0</v>
          </cell>
          <cell r="W160">
            <v>1812</v>
          </cell>
          <cell r="X160">
            <v>226</v>
          </cell>
          <cell r="Y160">
            <v>1586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2517</v>
          </cell>
          <cell r="AG160">
            <v>0</v>
          </cell>
          <cell r="AH160">
            <v>0</v>
          </cell>
          <cell r="AI160">
            <v>573</v>
          </cell>
          <cell r="AJ160">
            <v>25</v>
          </cell>
          <cell r="AK160">
            <v>438</v>
          </cell>
          <cell r="AL160">
            <v>0</v>
          </cell>
          <cell r="AM160">
            <v>0</v>
          </cell>
          <cell r="AN160">
            <v>152</v>
          </cell>
          <cell r="AO160">
            <v>0</v>
          </cell>
          <cell r="AP160">
            <v>88</v>
          </cell>
          <cell r="AQ160">
            <v>0</v>
          </cell>
          <cell r="AR160">
            <v>0</v>
          </cell>
          <cell r="AS160">
            <v>1229</v>
          </cell>
          <cell r="AT160">
            <v>0</v>
          </cell>
          <cell r="AU160">
            <v>0</v>
          </cell>
          <cell r="AV160">
            <v>0</v>
          </cell>
          <cell r="AW160">
            <v>12</v>
          </cell>
          <cell r="AX160">
            <v>0</v>
          </cell>
          <cell r="AY160">
            <v>0</v>
          </cell>
          <cell r="AZ160">
            <v>0</v>
          </cell>
          <cell r="BA160">
            <v>496778</v>
          </cell>
          <cell r="BB160">
            <v>21</v>
          </cell>
          <cell r="BC160">
            <v>496757</v>
          </cell>
        </row>
        <row r="161">
          <cell r="C161" t="str">
            <v>CPH INJ-STERILIZATION</v>
          </cell>
          <cell r="D161">
            <v>66240</v>
          </cell>
          <cell r="E161">
            <v>47070</v>
          </cell>
          <cell r="F161">
            <v>2272</v>
          </cell>
          <cell r="G161">
            <v>951</v>
          </cell>
          <cell r="H161">
            <v>1321</v>
          </cell>
          <cell r="I161">
            <v>0</v>
          </cell>
          <cell r="J161">
            <v>16898</v>
          </cell>
          <cell r="K161">
            <v>7119</v>
          </cell>
          <cell r="L161">
            <v>796</v>
          </cell>
          <cell r="M161">
            <v>601</v>
          </cell>
          <cell r="N161">
            <v>0</v>
          </cell>
          <cell r="O161">
            <v>195</v>
          </cell>
          <cell r="P161">
            <v>0</v>
          </cell>
          <cell r="Q161">
            <v>41</v>
          </cell>
          <cell r="R161">
            <v>41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4338</v>
          </cell>
          <cell r="X161">
            <v>3964</v>
          </cell>
          <cell r="Y161">
            <v>374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4604</v>
          </cell>
          <cell r="AG161">
            <v>0</v>
          </cell>
          <cell r="AH161">
            <v>0</v>
          </cell>
          <cell r="AI161">
            <v>88</v>
          </cell>
          <cell r="AJ161">
            <v>0</v>
          </cell>
          <cell r="AK161">
            <v>15</v>
          </cell>
          <cell r="AL161">
            <v>0</v>
          </cell>
          <cell r="AM161">
            <v>0</v>
          </cell>
          <cell r="AN161">
            <v>170</v>
          </cell>
          <cell r="AO161">
            <v>4331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993</v>
          </cell>
          <cell r="BB161">
            <v>0</v>
          </cell>
          <cell r="BC161">
            <v>993</v>
          </cell>
        </row>
        <row r="162">
          <cell r="C162" t="str">
            <v>ICF104</v>
          </cell>
          <cell r="D162">
            <v>33120</v>
          </cell>
          <cell r="E162">
            <v>23310</v>
          </cell>
          <cell r="F162">
            <v>1024</v>
          </cell>
          <cell r="G162">
            <v>122</v>
          </cell>
          <cell r="H162">
            <v>902</v>
          </cell>
          <cell r="I162">
            <v>0</v>
          </cell>
          <cell r="J162">
            <v>8786</v>
          </cell>
          <cell r="K162">
            <v>4177</v>
          </cell>
          <cell r="L162">
            <v>359</v>
          </cell>
          <cell r="M162">
            <v>294</v>
          </cell>
          <cell r="N162">
            <v>0</v>
          </cell>
          <cell r="O162">
            <v>65</v>
          </cell>
          <cell r="P162">
            <v>0</v>
          </cell>
          <cell r="Q162">
            <v>41</v>
          </cell>
          <cell r="R162">
            <v>41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3086</v>
          </cell>
          <cell r="X162">
            <v>2977</v>
          </cell>
          <cell r="Y162">
            <v>109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1123</v>
          </cell>
          <cell r="AG162">
            <v>0</v>
          </cell>
          <cell r="AH162">
            <v>0</v>
          </cell>
          <cell r="AI162">
            <v>88</v>
          </cell>
          <cell r="AJ162">
            <v>0</v>
          </cell>
          <cell r="AK162">
            <v>15</v>
          </cell>
          <cell r="AL162">
            <v>0</v>
          </cell>
          <cell r="AM162">
            <v>0</v>
          </cell>
          <cell r="AN162">
            <v>80</v>
          </cell>
          <cell r="AO162">
            <v>940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754</v>
          </cell>
          <cell r="BB162">
            <v>0</v>
          </cell>
          <cell r="BC162">
            <v>754</v>
          </cell>
        </row>
        <row r="163">
          <cell r="C163" t="str">
            <v>ICF105</v>
          </cell>
          <cell r="D163">
            <v>33120</v>
          </cell>
          <cell r="E163">
            <v>23760</v>
          </cell>
          <cell r="F163">
            <v>1248</v>
          </cell>
          <cell r="G163">
            <v>829</v>
          </cell>
          <cell r="H163">
            <v>419</v>
          </cell>
          <cell r="I163">
            <v>0</v>
          </cell>
          <cell r="J163">
            <v>8112</v>
          </cell>
          <cell r="K163">
            <v>2942</v>
          </cell>
          <cell r="L163">
            <v>437</v>
          </cell>
          <cell r="M163">
            <v>307</v>
          </cell>
          <cell r="N163">
            <v>0</v>
          </cell>
          <cell r="O163">
            <v>130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1252</v>
          </cell>
          <cell r="X163">
            <v>987</v>
          </cell>
          <cell r="Y163">
            <v>265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3481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90</v>
          </cell>
          <cell r="AO163">
            <v>3391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239</v>
          </cell>
          <cell r="BB163">
            <v>0</v>
          </cell>
          <cell r="BC163">
            <v>239</v>
          </cell>
        </row>
        <row r="164">
          <cell r="C164" t="str">
            <v>CPH-SECONDARY PACKING</v>
          </cell>
          <cell r="D164">
            <v>60480</v>
          </cell>
          <cell r="E164">
            <v>39450</v>
          </cell>
          <cell r="F164">
            <v>3300</v>
          </cell>
          <cell r="G164">
            <v>945</v>
          </cell>
          <cell r="H164">
            <v>2355</v>
          </cell>
          <cell r="I164">
            <v>0</v>
          </cell>
          <cell r="J164">
            <v>17730</v>
          </cell>
          <cell r="K164">
            <v>7468</v>
          </cell>
          <cell r="L164">
            <v>3418</v>
          </cell>
          <cell r="M164">
            <v>2108</v>
          </cell>
          <cell r="N164">
            <v>160</v>
          </cell>
          <cell r="O164">
            <v>300</v>
          </cell>
          <cell r="P164">
            <v>850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3177</v>
          </cell>
          <cell r="X164">
            <v>1707</v>
          </cell>
          <cell r="Y164">
            <v>820</v>
          </cell>
          <cell r="Z164">
            <v>440</v>
          </cell>
          <cell r="AA164">
            <v>0</v>
          </cell>
          <cell r="AB164">
            <v>210</v>
          </cell>
          <cell r="AC164">
            <v>0</v>
          </cell>
          <cell r="AD164">
            <v>0</v>
          </cell>
          <cell r="AE164">
            <v>0</v>
          </cell>
          <cell r="AF164">
            <v>3667</v>
          </cell>
          <cell r="AG164">
            <v>0</v>
          </cell>
          <cell r="AH164">
            <v>0</v>
          </cell>
          <cell r="AI164">
            <v>1115</v>
          </cell>
          <cell r="AJ164">
            <v>0</v>
          </cell>
          <cell r="AK164">
            <v>725</v>
          </cell>
          <cell r="AL164">
            <v>570</v>
          </cell>
          <cell r="AM164">
            <v>0</v>
          </cell>
          <cell r="AN164">
            <v>0</v>
          </cell>
          <cell r="AO164">
            <v>145</v>
          </cell>
          <cell r="AP164">
            <v>440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592</v>
          </cell>
          <cell r="AX164">
            <v>80</v>
          </cell>
          <cell r="AY164">
            <v>0</v>
          </cell>
          <cell r="AZ164">
            <v>0</v>
          </cell>
          <cell r="BA164">
            <v>882334</v>
          </cell>
          <cell r="BB164">
            <v>597</v>
          </cell>
          <cell r="BC164">
            <v>881737</v>
          </cell>
        </row>
        <row r="165">
          <cell r="C165" t="str">
            <v>PCF101</v>
          </cell>
          <cell r="D165">
            <v>30240</v>
          </cell>
          <cell r="E165">
            <v>16860</v>
          </cell>
          <cell r="F165">
            <v>1540</v>
          </cell>
          <cell r="G165">
            <v>485</v>
          </cell>
          <cell r="H165">
            <v>1055</v>
          </cell>
          <cell r="I165">
            <v>0</v>
          </cell>
          <cell r="J165">
            <v>11840</v>
          </cell>
          <cell r="K165">
            <v>3773</v>
          </cell>
          <cell r="L165">
            <v>3220</v>
          </cell>
          <cell r="M165">
            <v>1910</v>
          </cell>
          <cell r="N165">
            <v>160</v>
          </cell>
          <cell r="O165">
            <v>300</v>
          </cell>
          <cell r="P165">
            <v>850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2827</v>
          </cell>
          <cell r="X165">
            <v>1707</v>
          </cell>
          <cell r="Y165">
            <v>680</v>
          </cell>
          <cell r="Z165">
            <v>440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2020</v>
          </cell>
          <cell r="AG165">
            <v>0</v>
          </cell>
          <cell r="AH165">
            <v>0</v>
          </cell>
          <cell r="AI165">
            <v>755</v>
          </cell>
          <cell r="AJ165">
            <v>0</v>
          </cell>
          <cell r="AK165">
            <v>550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295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340</v>
          </cell>
          <cell r="AX165">
            <v>80</v>
          </cell>
          <cell r="AY165">
            <v>0</v>
          </cell>
          <cell r="AZ165">
            <v>0</v>
          </cell>
          <cell r="BA165">
            <v>760624</v>
          </cell>
          <cell r="BB165">
            <v>237</v>
          </cell>
          <cell r="BC165">
            <v>760387</v>
          </cell>
        </row>
        <row r="166">
          <cell r="C166" t="str">
            <v>PCF102</v>
          </cell>
          <cell r="D166">
            <v>30240</v>
          </cell>
          <cell r="E166">
            <v>22590</v>
          </cell>
          <cell r="F166">
            <v>1760</v>
          </cell>
          <cell r="G166">
            <v>460</v>
          </cell>
          <cell r="H166">
            <v>1300</v>
          </cell>
          <cell r="I166">
            <v>0</v>
          </cell>
          <cell r="J166">
            <v>5890</v>
          </cell>
          <cell r="K166">
            <v>3695</v>
          </cell>
          <cell r="L166">
            <v>198</v>
          </cell>
          <cell r="M166">
            <v>198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350</v>
          </cell>
          <cell r="X166">
            <v>0</v>
          </cell>
          <cell r="Y166">
            <v>140</v>
          </cell>
          <cell r="Z166">
            <v>0</v>
          </cell>
          <cell r="AA166">
            <v>0</v>
          </cell>
          <cell r="AB166">
            <v>210</v>
          </cell>
          <cell r="AC166">
            <v>0</v>
          </cell>
          <cell r="AD166">
            <v>0</v>
          </cell>
          <cell r="AE166">
            <v>0</v>
          </cell>
          <cell r="AF166">
            <v>1647</v>
          </cell>
          <cell r="AG166">
            <v>0</v>
          </cell>
          <cell r="AH166">
            <v>0</v>
          </cell>
          <cell r="AI166">
            <v>360</v>
          </cell>
          <cell r="AJ166">
            <v>0</v>
          </cell>
          <cell r="AK166">
            <v>175</v>
          </cell>
          <cell r="AL166">
            <v>570</v>
          </cell>
          <cell r="AM166">
            <v>0</v>
          </cell>
          <cell r="AN166">
            <v>0</v>
          </cell>
          <cell r="AO166">
            <v>145</v>
          </cell>
          <cell r="AP166">
            <v>145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252</v>
          </cell>
          <cell r="AX166">
            <v>0</v>
          </cell>
          <cell r="AY166">
            <v>0</v>
          </cell>
          <cell r="AZ166">
            <v>0</v>
          </cell>
          <cell r="BA166">
            <v>121710</v>
          </cell>
          <cell r="BB166">
            <v>360</v>
          </cell>
          <cell r="BC166">
            <v>121350</v>
          </cell>
        </row>
      </sheetData>
      <sheetData sheetId="13" refreshError="1">
        <row r="5">
          <cell r="C5" t="str">
            <v>POT</v>
          </cell>
        </row>
        <row r="109">
          <cell r="B109" t="str">
            <v>PROSES( Menit )</v>
          </cell>
          <cell r="C109" t="str">
            <v>POT</v>
          </cell>
          <cell r="D109" t="str">
            <v>POT Shift Tersedia</v>
          </cell>
          <cell r="E109" t="str">
            <v>Unschedule Time</v>
          </cell>
          <cell r="F109" t="str">
            <v>Unschedule Time Shift Tersedia</v>
          </cell>
          <cell r="G109" t="str">
            <v>Waktu Beproduksi</v>
          </cell>
          <cell r="H109" t="str">
            <v>Waktu Beproduksi Tersedia</v>
          </cell>
          <cell r="I109" t="str">
            <v>Idle Time</v>
          </cell>
          <cell r="J109" t="str">
            <v>Idle Time Tersedia</v>
          </cell>
          <cell r="K109" t="str">
            <v>L2</v>
          </cell>
          <cell r="L109" t="str">
            <v>L21</v>
          </cell>
          <cell r="M109" t="str">
            <v>L22</v>
          </cell>
          <cell r="N109" t="str">
            <v>IG</v>
          </cell>
          <cell r="O109" t="str">
            <v>PPT</v>
          </cell>
          <cell r="P109" t="str">
            <v>PPT Tersedia</v>
          </cell>
          <cell r="Q109" t="str">
            <v>R</v>
          </cell>
          <cell r="R109" t="str">
            <v>R Tersedia</v>
          </cell>
          <cell r="S109" t="str">
            <v>DT</v>
          </cell>
          <cell r="T109" t="str">
            <v>DT Tersedia</v>
          </cell>
          <cell r="U109" t="str">
            <v>Setup</v>
          </cell>
          <cell r="V109" t="str">
            <v>P6</v>
          </cell>
          <cell r="W109" t="str">
            <v>P5</v>
          </cell>
          <cell r="X109" t="str">
            <v>P8</v>
          </cell>
          <cell r="Y109" t="str">
            <v>P9</v>
          </cell>
          <cell r="Z109" t="str">
            <v>Breakdown</v>
          </cell>
          <cell r="AA109" t="str">
            <v>M1</v>
          </cell>
          <cell r="AB109" t="str">
            <v>M2</v>
          </cell>
          <cell r="AC109" t="str">
            <v>M4</v>
          </cell>
          <cell r="AD109" t="str">
            <v>M8</v>
          </cell>
          <cell r="AE109" t="str">
            <v>M9</v>
          </cell>
          <cell r="AF109" t="str">
            <v>Clean</v>
          </cell>
          <cell r="AG109" t="str">
            <v>P2</v>
          </cell>
          <cell r="AH109" t="str">
            <v>P4</v>
          </cell>
          <cell r="AI109" t="str">
            <v>P17</v>
          </cell>
          <cell r="AJ109" t="str">
            <v>P19</v>
          </cell>
          <cell r="AK109" t="str">
            <v>P12</v>
          </cell>
          <cell r="AL109" t="str">
            <v>Trial</v>
          </cell>
          <cell r="AM109" t="str">
            <v>R1</v>
          </cell>
          <cell r="AN109" t="str">
            <v>R2</v>
          </cell>
          <cell r="AO109" t="str">
            <v>Waiting</v>
          </cell>
          <cell r="AP109" t="str">
            <v>L1</v>
          </cell>
          <cell r="AQ109" t="str">
            <v>L3</v>
          </cell>
          <cell r="AR109" t="str">
            <v>H1</v>
          </cell>
          <cell r="AS109" t="str">
            <v>H2</v>
          </cell>
          <cell r="AT109" t="str">
            <v>H4</v>
          </cell>
          <cell r="AU109" t="str">
            <v>H6</v>
          </cell>
          <cell r="AV109" t="str">
            <v>H7</v>
          </cell>
          <cell r="AW109" t="str">
            <v>H8</v>
          </cell>
          <cell r="AX109" t="str">
            <v>P10</v>
          </cell>
          <cell r="AY109" t="str">
            <v>P11</v>
          </cell>
          <cell r="AZ109" t="str">
            <v>P13</v>
          </cell>
          <cell r="BA109" t="str">
            <v>P14</v>
          </cell>
          <cell r="BB109" t="str">
            <v>P16</v>
          </cell>
          <cell r="BC109" t="str">
            <v>M5</v>
          </cell>
          <cell r="BD109" t="str">
            <v>M6</v>
          </cell>
          <cell r="BE109" t="str">
            <v>M7</v>
          </cell>
          <cell r="BF109" t="str">
            <v>Q1</v>
          </cell>
          <cell r="BG109" t="str">
            <v>Q2</v>
          </cell>
          <cell r="BH109" t="str">
            <v>Q3</v>
          </cell>
          <cell r="BI109" t="str">
            <v>Q4</v>
          </cell>
          <cell r="BJ109" t="str">
            <v>Total Output</v>
          </cell>
          <cell r="BK109" t="str">
            <v>Reject Output</v>
          </cell>
          <cell r="BL109" t="str">
            <v>Good Output</v>
          </cell>
        </row>
        <row r="110">
          <cell r="B110" t="str">
            <v>NBL SOL-MIXING</v>
          </cell>
          <cell r="C110">
            <v>90720</v>
          </cell>
          <cell r="D110">
            <v>58590</v>
          </cell>
          <cell r="E110">
            <v>56610</v>
          </cell>
          <cell r="F110">
            <v>24480</v>
          </cell>
          <cell r="G110">
            <v>34110</v>
          </cell>
          <cell r="H110">
            <v>34110</v>
          </cell>
          <cell r="I110">
            <v>3049</v>
          </cell>
          <cell r="J110">
            <v>3049</v>
          </cell>
          <cell r="K110">
            <v>2889</v>
          </cell>
          <cell r="L110">
            <v>955</v>
          </cell>
          <cell r="M110">
            <v>1934</v>
          </cell>
          <cell r="N110">
            <v>160</v>
          </cell>
          <cell r="O110">
            <v>31061</v>
          </cell>
          <cell r="P110">
            <v>31061</v>
          </cell>
          <cell r="Q110">
            <v>4441</v>
          </cell>
          <cell r="R110">
            <v>4441</v>
          </cell>
          <cell r="S110">
            <v>26620</v>
          </cell>
          <cell r="T110">
            <v>26620</v>
          </cell>
          <cell r="U110">
            <v>880</v>
          </cell>
          <cell r="V110">
            <v>877</v>
          </cell>
          <cell r="W110">
            <v>0</v>
          </cell>
          <cell r="X110">
            <v>3</v>
          </cell>
          <cell r="Y110">
            <v>0</v>
          </cell>
          <cell r="Z110">
            <v>127</v>
          </cell>
          <cell r="AA110">
            <v>0</v>
          </cell>
          <cell r="AB110">
            <v>0</v>
          </cell>
          <cell r="AC110">
            <v>0</v>
          </cell>
          <cell r="AD110">
            <v>127</v>
          </cell>
          <cell r="AE110">
            <v>0</v>
          </cell>
          <cell r="AF110">
            <v>13026</v>
          </cell>
          <cell r="AG110">
            <v>6964</v>
          </cell>
          <cell r="AH110">
            <v>5210</v>
          </cell>
          <cell r="AI110">
            <v>5</v>
          </cell>
          <cell r="AJ110">
            <v>0</v>
          </cell>
          <cell r="AK110">
            <v>847</v>
          </cell>
          <cell r="AL110">
            <v>450</v>
          </cell>
          <cell r="AM110">
            <v>0</v>
          </cell>
          <cell r="AN110">
            <v>450</v>
          </cell>
          <cell r="AO110">
            <v>12137</v>
          </cell>
          <cell r="AP110">
            <v>40</v>
          </cell>
          <cell r="AQ110">
            <v>0</v>
          </cell>
          <cell r="AR110">
            <v>1575</v>
          </cell>
          <cell r="AS110">
            <v>0</v>
          </cell>
          <cell r="AT110">
            <v>1164</v>
          </cell>
          <cell r="AU110">
            <v>0</v>
          </cell>
          <cell r="AV110">
            <v>0</v>
          </cell>
          <cell r="AW110">
            <v>0</v>
          </cell>
          <cell r="AX110">
            <v>8293</v>
          </cell>
          <cell r="AY110">
            <v>0</v>
          </cell>
          <cell r="AZ110">
            <v>0</v>
          </cell>
          <cell r="BA110">
            <v>745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320</v>
          </cell>
          <cell r="BG110">
            <v>0</v>
          </cell>
          <cell r="BH110">
            <v>0</v>
          </cell>
          <cell r="BI110">
            <v>0</v>
          </cell>
          <cell r="BJ110">
            <v>7811.05</v>
          </cell>
          <cell r="BK110">
            <v>0</v>
          </cell>
          <cell r="BL110">
            <v>7811.05</v>
          </cell>
        </row>
        <row r="111">
          <cell r="B111" t="str">
            <v>MIX113</v>
          </cell>
          <cell r="C111">
            <v>30240</v>
          </cell>
          <cell r="D111">
            <v>19530</v>
          </cell>
          <cell r="E111">
            <v>11610</v>
          </cell>
          <cell r="F111">
            <v>900</v>
          </cell>
          <cell r="G111">
            <v>18630</v>
          </cell>
          <cell r="H111">
            <v>18630</v>
          </cell>
          <cell r="I111">
            <v>1839</v>
          </cell>
          <cell r="J111">
            <v>1839</v>
          </cell>
          <cell r="K111">
            <v>1714</v>
          </cell>
          <cell r="L111">
            <v>240</v>
          </cell>
          <cell r="M111">
            <v>1474</v>
          </cell>
          <cell r="N111">
            <v>125</v>
          </cell>
          <cell r="O111">
            <v>16791</v>
          </cell>
          <cell r="P111">
            <v>16791</v>
          </cell>
          <cell r="Q111">
            <v>915</v>
          </cell>
          <cell r="R111">
            <v>915</v>
          </cell>
          <cell r="S111">
            <v>15876</v>
          </cell>
          <cell r="T111">
            <v>15876</v>
          </cell>
          <cell r="U111">
            <v>464</v>
          </cell>
          <cell r="V111">
            <v>464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5137</v>
          </cell>
          <cell r="AG111">
            <v>1838</v>
          </cell>
          <cell r="AH111">
            <v>2877</v>
          </cell>
          <cell r="AI111">
            <v>0</v>
          </cell>
          <cell r="AJ111">
            <v>0</v>
          </cell>
          <cell r="AK111">
            <v>422</v>
          </cell>
          <cell r="AL111">
            <v>450</v>
          </cell>
          <cell r="AM111">
            <v>0</v>
          </cell>
          <cell r="AN111">
            <v>450</v>
          </cell>
          <cell r="AO111">
            <v>9825</v>
          </cell>
          <cell r="AP111">
            <v>40</v>
          </cell>
          <cell r="AQ111">
            <v>0</v>
          </cell>
          <cell r="AR111">
            <v>660</v>
          </cell>
          <cell r="AS111">
            <v>0</v>
          </cell>
          <cell r="AT111">
            <v>512</v>
          </cell>
          <cell r="AU111">
            <v>0</v>
          </cell>
          <cell r="AV111">
            <v>0</v>
          </cell>
          <cell r="AW111">
            <v>0</v>
          </cell>
          <cell r="AX111">
            <v>8293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320</v>
          </cell>
          <cell r="BG111">
            <v>0</v>
          </cell>
          <cell r="BH111">
            <v>0</v>
          </cell>
          <cell r="BI111">
            <v>0</v>
          </cell>
          <cell r="BJ111">
            <v>5298.53</v>
          </cell>
          <cell r="BK111">
            <v>0</v>
          </cell>
          <cell r="BL111">
            <v>5298.53</v>
          </cell>
        </row>
        <row r="112">
          <cell r="B112" t="str">
            <v>LMIXSOL1</v>
          </cell>
          <cell r="C112">
            <v>30240</v>
          </cell>
          <cell r="D112">
            <v>19530</v>
          </cell>
          <cell r="E112">
            <v>19980</v>
          </cell>
          <cell r="F112">
            <v>9270</v>
          </cell>
          <cell r="G112">
            <v>10260</v>
          </cell>
          <cell r="H112">
            <v>10260</v>
          </cell>
          <cell r="I112">
            <v>1175</v>
          </cell>
          <cell r="J112">
            <v>1175</v>
          </cell>
          <cell r="K112">
            <v>1175</v>
          </cell>
          <cell r="L112">
            <v>715</v>
          </cell>
          <cell r="M112">
            <v>460</v>
          </cell>
          <cell r="N112">
            <v>0</v>
          </cell>
          <cell r="O112">
            <v>9085</v>
          </cell>
          <cell r="P112">
            <v>9085</v>
          </cell>
          <cell r="Q112">
            <v>1987</v>
          </cell>
          <cell r="R112">
            <v>1987</v>
          </cell>
          <cell r="S112">
            <v>7098</v>
          </cell>
          <cell r="T112">
            <v>7098</v>
          </cell>
          <cell r="U112">
            <v>251</v>
          </cell>
          <cell r="V112">
            <v>248</v>
          </cell>
          <cell r="W112">
            <v>0</v>
          </cell>
          <cell r="X112">
            <v>3</v>
          </cell>
          <cell r="Y112">
            <v>0</v>
          </cell>
          <cell r="Z112">
            <v>90</v>
          </cell>
          <cell r="AA112">
            <v>0</v>
          </cell>
          <cell r="AB112">
            <v>0</v>
          </cell>
          <cell r="AC112">
            <v>0</v>
          </cell>
          <cell r="AD112">
            <v>90</v>
          </cell>
          <cell r="AE112">
            <v>0</v>
          </cell>
          <cell r="AF112">
            <v>5243</v>
          </cell>
          <cell r="AG112">
            <v>2951</v>
          </cell>
          <cell r="AH112">
            <v>1998</v>
          </cell>
          <cell r="AI112">
            <v>4</v>
          </cell>
          <cell r="AJ112">
            <v>0</v>
          </cell>
          <cell r="AK112">
            <v>290</v>
          </cell>
          <cell r="AL112">
            <v>0</v>
          </cell>
          <cell r="AM112">
            <v>0</v>
          </cell>
          <cell r="AN112">
            <v>0</v>
          </cell>
          <cell r="AO112">
            <v>1514</v>
          </cell>
          <cell r="AP112">
            <v>0</v>
          </cell>
          <cell r="AQ112">
            <v>0</v>
          </cell>
          <cell r="AR112">
            <v>615</v>
          </cell>
          <cell r="AS112">
            <v>0</v>
          </cell>
          <cell r="AT112">
            <v>420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479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1011.03</v>
          </cell>
          <cell r="BK112">
            <v>0</v>
          </cell>
          <cell r="BL112">
            <v>1011.03</v>
          </cell>
        </row>
        <row r="113">
          <cell r="B113" t="str">
            <v>LMIXSOL2</v>
          </cell>
          <cell r="C113">
            <v>30240</v>
          </cell>
          <cell r="D113">
            <v>19530</v>
          </cell>
          <cell r="E113">
            <v>25020</v>
          </cell>
          <cell r="F113">
            <v>14310</v>
          </cell>
          <cell r="G113">
            <v>5220</v>
          </cell>
          <cell r="H113">
            <v>5220</v>
          </cell>
          <cell r="I113">
            <v>35</v>
          </cell>
          <cell r="J113">
            <v>35</v>
          </cell>
          <cell r="K113">
            <v>0</v>
          </cell>
          <cell r="L113">
            <v>0</v>
          </cell>
          <cell r="M113">
            <v>0</v>
          </cell>
          <cell r="N113">
            <v>35</v>
          </cell>
          <cell r="O113">
            <v>5185</v>
          </cell>
          <cell r="P113">
            <v>5185</v>
          </cell>
          <cell r="Q113">
            <v>1539</v>
          </cell>
          <cell r="R113">
            <v>1539</v>
          </cell>
          <cell r="S113">
            <v>3646</v>
          </cell>
          <cell r="T113">
            <v>3646</v>
          </cell>
          <cell r="U113">
            <v>165</v>
          </cell>
          <cell r="V113">
            <v>165</v>
          </cell>
          <cell r="W113">
            <v>0</v>
          </cell>
          <cell r="X113">
            <v>0</v>
          </cell>
          <cell r="Y113">
            <v>0</v>
          </cell>
          <cell r="Z113">
            <v>37</v>
          </cell>
          <cell r="AA113">
            <v>0</v>
          </cell>
          <cell r="AB113">
            <v>0</v>
          </cell>
          <cell r="AC113">
            <v>0</v>
          </cell>
          <cell r="AD113">
            <v>37</v>
          </cell>
          <cell r="AE113">
            <v>0</v>
          </cell>
          <cell r="AF113">
            <v>2646</v>
          </cell>
          <cell r="AG113">
            <v>2175</v>
          </cell>
          <cell r="AH113">
            <v>335</v>
          </cell>
          <cell r="AI113">
            <v>1</v>
          </cell>
          <cell r="AJ113">
            <v>0</v>
          </cell>
          <cell r="AK113">
            <v>135</v>
          </cell>
          <cell r="AL113">
            <v>0</v>
          </cell>
          <cell r="AM113">
            <v>0</v>
          </cell>
          <cell r="AN113">
            <v>0</v>
          </cell>
          <cell r="AO113">
            <v>798</v>
          </cell>
          <cell r="AP113">
            <v>0</v>
          </cell>
          <cell r="AQ113">
            <v>0</v>
          </cell>
          <cell r="AR113">
            <v>300</v>
          </cell>
          <cell r="AS113">
            <v>0</v>
          </cell>
          <cell r="AT113">
            <v>232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266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1501.49</v>
          </cell>
          <cell r="BK113">
            <v>0</v>
          </cell>
          <cell r="BL113">
            <v>1501.49</v>
          </cell>
        </row>
        <row r="114">
          <cell r="B114" t="str">
            <v>NBL SOL-COATING</v>
          </cell>
          <cell r="C114">
            <v>60480</v>
          </cell>
          <cell r="D114">
            <v>20160</v>
          </cell>
          <cell r="E114">
            <v>50700</v>
          </cell>
          <cell r="F114">
            <v>10380</v>
          </cell>
          <cell r="G114">
            <v>9780</v>
          </cell>
          <cell r="H114">
            <v>9780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9780</v>
          </cell>
          <cell r="P114">
            <v>9780</v>
          </cell>
          <cell r="Q114">
            <v>3849</v>
          </cell>
          <cell r="R114">
            <v>3849</v>
          </cell>
          <cell r="S114">
            <v>5931</v>
          </cell>
          <cell r="T114">
            <v>5931</v>
          </cell>
          <cell r="U114">
            <v>240</v>
          </cell>
          <cell r="V114">
            <v>180</v>
          </cell>
          <cell r="W114">
            <v>0</v>
          </cell>
          <cell r="X114">
            <v>60</v>
          </cell>
          <cell r="Y114">
            <v>0</v>
          </cell>
          <cell r="Z114">
            <v>25</v>
          </cell>
          <cell r="AA114">
            <v>0</v>
          </cell>
          <cell r="AB114">
            <v>0</v>
          </cell>
          <cell r="AC114">
            <v>0</v>
          </cell>
          <cell r="AD114">
            <v>25</v>
          </cell>
          <cell r="AE114">
            <v>0</v>
          </cell>
          <cell r="AF114">
            <v>3690</v>
          </cell>
          <cell r="AG114">
            <v>1085</v>
          </cell>
          <cell r="AH114">
            <v>2255</v>
          </cell>
          <cell r="AI114">
            <v>0</v>
          </cell>
          <cell r="AJ114">
            <v>0</v>
          </cell>
          <cell r="AK114">
            <v>350</v>
          </cell>
          <cell r="AL114">
            <v>0</v>
          </cell>
          <cell r="AM114">
            <v>0</v>
          </cell>
          <cell r="AN114">
            <v>0</v>
          </cell>
          <cell r="AO114">
            <v>1976</v>
          </cell>
          <cell r="AP114">
            <v>0</v>
          </cell>
          <cell r="AQ114">
            <v>0</v>
          </cell>
          <cell r="AR114">
            <v>540</v>
          </cell>
          <cell r="AS114">
            <v>0</v>
          </cell>
          <cell r="AT114">
            <v>495</v>
          </cell>
          <cell r="AU114">
            <v>0</v>
          </cell>
          <cell r="AV114">
            <v>150</v>
          </cell>
          <cell r="AW114">
            <v>0</v>
          </cell>
          <cell r="AX114">
            <v>316</v>
          </cell>
          <cell r="AY114">
            <v>255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100</v>
          </cell>
          <cell r="BG114">
            <v>85</v>
          </cell>
          <cell r="BH114">
            <v>0</v>
          </cell>
          <cell r="BI114">
            <v>35</v>
          </cell>
          <cell r="BJ114">
            <v>1691.77</v>
          </cell>
          <cell r="BK114">
            <v>1.49</v>
          </cell>
          <cell r="BL114">
            <v>1690.28</v>
          </cell>
        </row>
        <row r="115">
          <cell r="B115" t="str">
            <v>COT101</v>
          </cell>
          <cell r="C115">
            <v>30240</v>
          </cell>
          <cell r="D115">
            <v>10080</v>
          </cell>
          <cell r="E115">
            <v>24570</v>
          </cell>
          <cell r="F115">
            <v>4410</v>
          </cell>
          <cell r="G115">
            <v>5670</v>
          </cell>
          <cell r="H115">
            <v>5670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5670</v>
          </cell>
          <cell r="P115">
            <v>5670</v>
          </cell>
          <cell r="Q115">
            <v>1974</v>
          </cell>
          <cell r="R115">
            <v>1974</v>
          </cell>
          <cell r="S115">
            <v>3696</v>
          </cell>
          <cell r="T115">
            <v>3696</v>
          </cell>
          <cell r="U115">
            <v>190</v>
          </cell>
          <cell r="V115">
            <v>130</v>
          </cell>
          <cell r="W115">
            <v>0</v>
          </cell>
          <cell r="X115">
            <v>60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2425</v>
          </cell>
          <cell r="AG115">
            <v>680</v>
          </cell>
          <cell r="AH115">
            <v>1520</v>
          </cell>
          <cell r="AI115">
            <v>0</v>
          </cell>
          <cell r="AJ115">
            <v>0</v>
          </cell>
          <cell r="AK115">
            <v>225</v>
          </cell>
          <cell r="AL115">
            <v>0</v>
          </cell>
          <cell r="AM115">
            <v>0</v>
          </cell>
          <cell r="AN115">
            <v>0</v>
          </cell>
          <cell r="AO115">
            <v>1081</v>
          </cell>
          <cell r="AP115">
            <v>0</v>
          </cell>
          <cell r="AQ115">
            <v>0</v>
          </cell>
          <cell r="AR115">
            <v>330</v>
          </cell>
          <cell r="AS115">
            <v>0</v>
          </cell>
          <cell r="AT115">
            <v>285</v>
          </cell>
          <cell r="AU115">
            <v>0</v>
          </cell>
          <cell r="AV115">
            <v>0</v>
          </cell>
          <cell r="AW115">
            <v>0</v>
          </cell>
          <cell r="AX115">
            <v>166</v>
          </cell>
          <cell r="AY115">
            <v>150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50</v>
          </cell>
          <cell r="BG115">
            <v>65</v>
          </cell>
          <cell r="BH115">
            <v>0</v>
          </cell>
          <cell r="BI115">
            <v>35</v>
          </cell>
          <cell r="BJ115">
            <v>512.46</v>
          </cell>
          <cell r="BK115">
            <v>0.57999999999999996</v>
          </cell>
          <cell r="BL115">
            <v>511.88</v>
          </cell>
        </row>
        <row r="116">
          <cell r="B116" t="str">
            <v>COT102</v>
          </cell>
          <cell r="C116">
            <v>30240</v>
          </cell>
          <cell r="D116">
            <v>10080</v>
          </cell>
          <cell r="E116">
            <v>26130</v>
          </cell>
          <cell r="F116">
            <v>5970</v>
          </cell>
          <cell r="G116">
            <v>4110</v>
          </cell>
          <cell r="H116">
            <v>4110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4110</v>
          </cell>
          <cell r="P116">
            <v>4110</v>
          </cell>
          <cell r="Q116">
            <v>1875</v>
          </cell>
          <cell r="R116">
            <v>1875</v>
          </cell>
          <cell r="S116">
            <v>2235</v>
          </cell>
          <cell r="T116">
            <v>2235</v>
          </cell>
          <cell r="U116">
            <v>50</v>
          </cell>
          <cell r="V116">
            <v>50</v>
          </cell>
          <cell r="W116">
            <v>0</v>
          </cell>
          <cell r="X116">
            <v>0</v>
          </cell>
          <cell r="Y116">
            <v>0</v>
          </cell>
          <cell r="Z116">
            <v>25</v>
          </cell>
          <cell r="AA116">
            <v>0</v>
          </cell>
          <cell r="AB116">
            <v>0</v>
          </cell>
          <cell r="AC116">
            <v>0</v>
          </cell>
          <cell r="AD116">
            <v>25</v>
          </cell>
          <cell r="AE116">
            <v>0</v>
          </cell>
          <cell r="AF116">
            <v>1265</v>
          </cell>
          <cell r="AG116">
            <v>405</v>
          </cell>
          <cell r="AH116">
            <v>735</v>
          </cell>
          <cell r="AI116">
            <v>0</v>
          </cell>
          <cell r="AJ116">
            <v>0</v>
          </cell>
          <cell r="AK116">
            <v>125</v>
          </cell>
          <cell r="AL116">
            <v>0</v>
          </cell>
          <cell r="AM116">
            <v>0</v>
          </cell>
          <cell r="AN116">
            <v>0</v>
          </cell>
          <cell r="AO116">
            <v>895</v>
          </cell>
          <cell r="AP116">
            <v>0</v>
          </cell>
          <cell r="AQ116">
            <v>0</v>
          </cell>
          <cell r="AR116">
            <v>210</v>
          </cell>
          <cell r="AS116">
            <v>0</v>
          </cell>
          <cell r="AT116">
            <v>210</v>
          </cell>
          <cell r="AU116">
            <v>0</v>
          </cell>
          <cell r="AV116">
            <v>150</v>
          </cell>
          <cell r="AW116">
            <v>0</v>
          </cell>
          <cell r="AX116">
            <v>150</v>
          </cell>
          <cell r="AY116">
            <v>105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50</v>
          </cell>
          <cell r="BG116">
            <v>20</v>
          </cell>
          <cell r="BH116">
            <v>0</v>
          </cell>
          <cell r="BI116">
            <v>0</v>
          </cell>
          <cell r="BJ116">
            <v>1179.31</v>
          </cell>
          <cell r="BK116">
            <v>0.91</v>
          </cell>
          <cell r="BL116">
            <v>1178.4000000000001</v>
          </cell>
        </row>
        <row r="117">
          <cell r="B117" t="str">
            <v>NBL SOL-TABLETING</v>
          </cell>
          <cell r="C117">
            <v>95040</v>
          </cell>
          <cell r="D117">
            <v>51930</v>
          </cell>
          <cell r="E117">
            <v>48630</v>
          </cell>
          <cell r="F117">
            <v>5520</v>
          </cell>
          <cell r="G117">
            <v>46410</v>
          </cell>
          <cell r="H117">
            <v>46410</v>
          </cell>
          <cell r="I117">
            <v>3230</v>
          </cell>
          <cell r="J117">
            <v>3230</v>
          </cell>
          <cell r="K117">
            <v>3230</v>
          </cell>
          <cell r="L117">
            <v>975</v>
          </cell>
          <cell r="M117">
            <v>2255</v>
          </cell>
          <cell r="N117">
            <v>0</v>
          </cell>
          <cell r="O117">
            <v>43180</v>
          </cell>
          <cell r="P117">
            <v>43180</v>
          </cell>
          <cell r="Q117">
            <v>15230</v>
          </cell>
          <cell r="R117">
            <v>15230</v>
          </cell>
          <cell r="S117">
            <v>27950</v>
          </cell>
          <cell r="T117">
            <v>27950</v>
          </cell>
          <cell r="U117">
            <v>4405</v>
          </cell>
          <cell r="V117">
            <v>3535</v>
          </cell>
          <cell r="W117">
            <v>0</v>
          </cell>
          <cell r="X117">
            <v>110</v>
          </cell>
          <cell r="Y117">
            <v>760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7615</v>
          </cell>
          <cell r="AG117">
            <v>1830</v>
          </cell>
          <cell r="AH117">
            <v>4745</v>
          </cell>
          <cell r="AI117">
            <v>415</v>
          </cell>
          <cell r="AJ117">
            <v>0</v>
          </cell>
          <cell r="AK117">
            <v>625</v>
          </cell>
          <cell r="AL117">
            <v>2870</v>
          </cell>
          <cell r="AM117">
            <v>710</v>
          </cell>
          <cell r="AN117">
            <v>2160</v>
          </cell>
          <cell r="AO117">
            <v>13060</v>
          </cell>
          <cell r="AP117">
            <v>0</v>
          </cell>
          <cell r="AQ117">
            <v>0</v>
          </cell>
          <cell r="AR117">
            <v>2335</v>
          </cell>
          <cell r="AS117">
            <v>0</v>
          </cell>
          <cell r="AT117">
            <v>2115</v>
          </cell>
          <cell r="AU117">
            <v>1315</v>
          </cell>
          <cell r="AV117">
            <v>40</v>
          </cell>
          <cell r="AW117">
            <v>0</v>
          </cell>
          <cell r="AX117">
            <v>760</v>
          </cell>
          <cell r="AY117">
            <v>775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4435</v>
          </cell>
          <cell r="BG117">
            <v>1285</v>
          </cell>
          <cell r="BH117">
            <v>0</v>
          </cell>
          <cell r="BI117">
            <v>0</v>
          </cell>
          <cell r="BJ117">
            <v>13480270</v>
          </cell>
          <cell r="BK117">
            <v>6034</v>
          </cell>
          <cell r="BL117">
            <v>13474236</v>
          </cell>
        </row>
        <row r="118">
          <cell r="B118" t="str">
            <v>TAB101</v>
          </cell>
          <cell r="C118">
            <v>31680</v>
          </cell>
          <cell r="D118">
            <v>20460</v>
          </cell>
          <cell r="E118">
            <v>11640</v>
          </cell>
          <cell r="F118">
            <v>420</v>
          </cell>
          <cell r="G118">
            <v>20040</v>
          </cell>
          <cell r="H118">
            <v>20040</v>
          </cell>
          <cell r="I118">
            <v>955</v>
          </cell>
          <cell r="J118">
            <v>955</v>
          </cell>
          <cell r="K118">
            <v>955</v>
          </cell>
          <cell r="L118">
            <v>285</v>
          </cell>
          <cell r="M118">
            <v>670</v>
          </cell>
          <cell r="N118">
            <v>0</v>
          </cell>
          <cell r="O118">
            <v>19085</v>
          </cell>
          <cell r="P118">
            <v>19085</v>
          </cell>
          <cell r="Q118">
            <v>7120</v>
          </cell>
          <cell r="R118">
            <v>7120</v>
          </cell>
          <cell r="S118">
            <v>11965</v>
          </cell>
          <cell r="T118">
            <v>11965</v>
          </cell>
          <cell r="U118">
            <v>1555</v>
          </cell>
          <cell r="V118">
            <v>1485</v>
          </cell>
          <cell r="W118">
            <v>0</v>
          </cell>
          <cell r="X118">
            <v>0</v>
          </cell>
          <cell r="Y118">
            <v>70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4015</v>
          </cell>
          <cell r="AG118">
            <v>1185</v>
          </cell>
          <cell r="AH118">
            <v>2405</v>
          </cell>
          <cell r="AI118">
            <v>235</v>
          </cell>
          <cell r="AJ118">
            <v>0</v>
          </cell>
          <cell r="AK118">
            <v>190</v>
          </cell>
          <cell r="AL118">
            <v>480</v>
          </cell>
          <cell r="AM118">
            <v>480</v>
          </cell>
          <cell r="AN118">
            <v>0</v>
          </cell>
          <cell r="AO118">
            <v>5915</v>
          </cell>
          <cell r="AP118">
            <v>0</v>
          </cell>
          <cell r="AQ118">
            <v>0</v>
          </cell>
          <cell r="AR118">
            <v>1050</v>
          </cell>
          <cell r="AS118">
            <v>0</v>
          </cell>
          <cell r="AT118">
            <v>850</v>
          </cell>
          <cell r="AU118">
            <v>685</v>
          </cell>
          <cell r="AV118">
            <v>25</v>
          </cell>
          <cell r="AW118">
            <v>0</v>
          </cell>
          <cell r="AX118">
            <v>700</v>
          </cell>
          <cell r="AY118">
            <v>360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1795</v>
          </cell>
          <cell r="BG118">
            <v>450</v>
          </cell>
          <cell r="BH118">
            <v>0</v>
          </cell>
          <cell r="BI118">
            <v>0</v>
          </cell>
          <cell r="BJ118">
            <v>8811830</v>
          </cell>
          <cell r="BK118">
            <v>4972</v>
          </cell>
          <cell r="BL118">
            <v>8806858</v>
          </cell>
        </row>
        <row r="119">
          <cell r="B119" t="str">
            <v>TAB105</v>
          </cell>
          <cell r="C119">
            <v>33120</v>
          </cell>
          <cell r="D119">
            <v>21390</v>
          </cell>
          <cell r="E119">
            <v>13110</v>
          </cell>
          <cell r="F119">
            <v>1380</v>
          </cell>
          <cell r="G119">
            <v>20010</v>
          </cell>
          <cell r="H119">
            <v>20010</v>
          </cell>
          <cell r="I119">
            <v>700</v>
          </cell>
          <cell r="J119">
            <v>700</v>
          </cell>
          <cell r="K119">
            <v>700</v>
          </cell>
          <cell r="L119">
            <v>380</v>
          </cell>
          <cell r="M119">
            <v>320</v>
          </cell>
          <cell r="N119">
            <v>0</v>
          </cell>
          <cell r="O119">
            <v>19310</v>
          </cell>
          <cell r="P119">
            <v>19310</v>
          </cell>
          <cell r="Q119">
            <v>7555</v>
          </cell>
          <cell r="R119">
            <v>7555</v>
          </cell>
          <cell r="S119">
            <v>11755</v>
          </cell>
          <cell r="T119">
            <v>11755</v>
          </cell>
          <cell r="U119">
            <v>2185</v>
          </cell>
          <cell r="V119">
            <v>1385</v>
          </cell>
          <cell r="W119">
            <v>0</v>
          </cell>
          <cell r="X119">
            <v>110</v>
          </cell>
          <cell r="Y119">
            <v>690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2820</v>
          </cell>
          <cell r="AG119">
            <v>595</v>
          </cell>
          <cell r="AH119">
            <v>1780</v>
          </cell>
          <cell r="AI119">
            <v>145</v>
          </cell>
          <cell r="AJ119">
            <v>0</v>
          </cell>
          <cell r="AK119">
            <v>300</v>
          </cell>
          <cell r="AL119">
            <v>1880</v>
          </cell>
          <cell r="AM119">
            <v>230</v>
          </cell>
          <cell r="AN119">
            <v>1650</v>
          </cell>
          <cell r="AO119">
            <v>4870</v>
          </cell>
          <cell r="AP119">
            <v>0</v>
          </cell>
          <cell r="AQ119">
            <v>0</v>
          </cell>
          <cell r="AR119">
            <v>1105</v>
          </cell>
          <cell r="AS119">
            <v>0</v>
          </cell>
          <cell r="AT119">
            <v>1095</v>
          </cell>
          <cell r="AU119">
            <v>30</v>
          </cell>
          <cell r="AV119">
            <v>15</v>
          </cell>
          <cell r="AW119">
            <v>0</v>
          </cell>
          <cell r="AX119">
            <v>60</v>
          </cell>
          <cell r="AY119">
            <v>360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2205</v>
          </cell>
          <cell r="BG119">
            <v>0</v>
          </cell>
          <cell r="BH119">
            <v>0</v>
          </cell>
          <cell r="BI119">
            <v>0</v>
          </cell>
          <cell r="BJ119">
            <v>4173059</v>
          </cell>
          <cell r="BK119">
            <v>1062</v>
          </cell>
          <cell r="BL119">
            <v>4171997</v>
          </cell>
        </row>
        <row r="120">
          <cell r="B120" t="str">
            <v>TAB103</v>
          </cell>
          <cell r="C120">
            <v>30240</v>
          </cell>
          <cell r="D120">
            <v>10080</v>
          </cell>
          <cell r="E120">
            <v>23880</v>
          </cell>
          <cell r="F120">
            <v>3720</v>
          </cell>
          <cell r="G120">
            <v>6360</v>
          </cell>
          <cell r="H120">
            <v>6360</v>
          </cell>
          <cell r="I120">
            <v>1575</v>
          </cell>
          <cell r="J120">
            <v>1575</v>
          </cell>
          <cell r="K120">
            <v>1575</v>
          </cell>
          <cell r="L120">
            <v>310</v>
          </cell>
          <cell r="M120">
            <v>1265</v>
          </cell>
          <cell r="N120">
            <v>0</v>
          </cell>
          <cell r="O120">
            <v>4785</v>
          </cell>
          <cell r="P120">
            <v>4785</v>
          </cell>
          <cell r="Q120">
            <v>555</v>
          </cell>
          <cell r="R120">
            <v>555</v>
          </cell>
          <cell r="S120">
            <v>4230</v>
          </cell>
          <cell r="T120">
            <v>4230</v>
          </cell>
          <cell r="U120">
            <v>665</v>
          </cell>
          <cell r="V120">
            <v>665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780</v>
          </cell>
          <cell r="AG120">
            <v>50</v>
          </cell>
          <cell r="AH120">
            <v>560</v>
          </cell>
          <cell r="AI120">
            <v>35</v>
          </cell>
          <cell r="AJ120">
            <v>0</v>
          </cell>
          <cell r="AK120">
            <v>135</v>
          </cell>
          <cell r="AL120">
            <v>510</v>
          </cell>
          <cell r="AM120">
            <v>0</v>
          </cell>
          <cell r="AN120">
            <v>510</v>
          </cell>
          <cell r="AO120">
            <v>2275</v>
          </cell>
          <cell r="AP120">
            <v>0</v>
          </cell>
          <cell r="AQ120">
            <v>0</v>
          </cell>
          <cell r="AR120">
            <v>180</v>
          </cell>
          <cell r="AS120">
            <v>0</v>
          </cell>
          <cell r="AT120">
            <v>170</v>
          </cell>
          <cell r="AU120">
            <v>600</v>
          </cell>
          <cell r="AV120">
            <v>0</v>
          </cell>
          <cell r="AW120">
            <v>0</v>
          </cell>
          <cell r="AX120">
            <v>0</v>
          </cell>
          <cell r="AY120">
            <v>55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435</v>
          </cell>
          <cell r="BG120">
            <v>835</v>
          </cell>
          <cell r="BH120">
            <v>0</v>
          </cell>
          <cell r="BI120">
            <v>0</v>
          </cell>
          <cell r="BJ120">
            <v>495381</v>
          </cell>
          <cell r="BK120">
            <v>0</v>
          </cell>
          <cell r="BL120">
            <v>495381</v>
          </cell>
        </row>
        <row r="121">
          <cell r="B121" t="str">
            <v>NBL SOL-CAPSULE</v>
          </cell>
          <cell r="C121">
            <v>60480</v>
          </cell>
          <cell r="D121">
            <v>20160</v>
          </cell>
          <cell r="E121">
            <v>50790</v>
          </cell>
          <cell r="F121">
            <v>10470</v>
          </cell>
          <cell r="G121">
            <v>9690</v>
          </cell>
          <cell r="H121">
            <v>9690</v>
          </cell>
          <cell r="I121">
            <v>885</v>
          </cell>
          <cell r="J121">
            <v>885</v>
          </cell>
          <cell r="K121">
            <v>885</v>
          </cell>
          <cell r="L121">
            <v>0</v>
          </cell>
          <cell r="M121">
            <v>885</v>
          </cell>
          <cell r="N121">
            <v>0</v>
          </cell>
          <cell r="O121">
            <v>8805</v>
          </cell>
          <cell r="P121">
            <v>8805</v>
          </cell>
          <cell r="Q121">
            <v>2880</v>
          </cell>
          <cell r="R121">
            <v>2880</v>
          </cell>
          <cell r="S121">
            <v>5925</v>
          </cell>
          <cell r="T121">
            <v>5925</v>
          </cell>
          <cell r="U121">
            <v>1200</v>
          </cell>
          <cell r="V121">
            <v>725</v>
          </cell>
          <cell r="W121">
            <v>0</v>
          </cell>
          <cell r="X121">
            <v>75</v>
          </cell>
          <cell r="Y121">
            <v>400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3045</v>
          </cell>
          <cell r="AG121">
            <v>1745</v>
          </cell>
          <cell r="AH121">
            <v>760</v>
          </cell>
          <cell r="AI121">
            <v>310</v>
          </cell>
          <cell r="AJ121">
            <v>0</v>
          </cell>
          <cell r="AK121">
            <v>230</v>
          </cell>
          <cell r="AL121">
            <v>0</v>
          </cell>
          <cell r="AM121">
            <v>0</v>
          </cell>
          <cell r="AN121">
            <v>0</v>
          </cell>
          <cell r="AO121">
            <v>1680</v>
          </cell>
          <cell r="AP121">
            <v>0</v>
          </cell>
          <cell r="AQ121">
            <v>0</v>
          </cell>
          <cell r="AR121">
            <v>420</v>
          </cell>
          <cell r="AS121">
            <v>0</v>
          </cell>
          <cell r="AT121">
            <v>290</v>
          </cell>
          <cell r="AU121">
            <v>0</v>
          </cell>
          <cell r="AV121">
            <v>0</v>
          </cell>
          <cell r="AW121">
            <v>0</v>
          </cell>
          <cell r="AX121">
            <v>245</v>
          </cell>
          <cell r="AY121">
            <v>135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60</v>
          </cell>
          <cell r="BE121">
            <v>0</v>
          </cell>
          <cell r="BF121">
            <v>320</v>
          </cell>
          <cell r="BG121">
            <v>210</v>
          </cell>
          <cell r="BH121">
            <v>0</v>
          </cell>
          <cell r="BI121">
            <v>0</v>
          </cell>
          <cell r="BJ121">
            <v>1169548</v>
          </cell>
          <cell r="BK121">
            <v>4365</v>
          </cell>
          <cell r="BL121">
            <v>1165183</v>
          </cell>
        </row>
        <row r="122">
          <cell r="B122" t="str">
            <v>KAP101</v>
          </cell>
          <cell r="C122">
            <v>30240</v>
          </cell>
          <cell r="D122">
            <v>10080</v>
          </cell>
          <cell r="E122">
            <v>22590</v>
          </cell>
          <cell r="F122">
            <v>2430</v>
          </cell>
          <cell r="G122">
            <v>7650</v>
          </cell>
          <cell r="H122">
            <v>7650</v>
          </cell>
          <cell r="I122">
            <v>270</v>
          </cell>
          <cell r="J122">
            <v>270</v>
          </cell>
          <cell r="K122">
            <v>270</v>
          </cell>
          <cell r="L122">
            <v>0</v>
          </cell>
          <cell r="M122">
            <v>270</v>
          </cell>
          <cell r="N122">
            <v>0</v>
          </cell>
          <cell r="O122">
            <v>7380</v>
          </cell>
          <cell r="P122">
            <v>7380</v>
          </cell>
          <cell r="Q122">
            <v>2160</v>
          </cell>
          <cell r="R122">
            <v>2160</v>
          </cell>
          <cell r="S122">
            <v>5220</v>
          </cell>
          <cell r="T122">
            <v>5220</v>
          </cell>
          <cell r="U122">
            <v>1055</v>
          </cell>
          <cell r="V122">
            <v>580</v>
          </cell>
          <cell r="W122">
            <v>0</v>
          </cell>
          <cell r="X122">
            <v>75</v>
          </cell>
          <cell r="Y122">
            <v>400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2820</v>
          </cell>
          <cell r="AG122">
            <v>1650</v>
          </cell>
          <cell r="AH122">
            <v>700</v>
          </cell>
          <cell r="AI122">
            <v>270</v>
          </cell>
          <cell r="AJ122">
            <v>0</v>
          </cell>
          <cell r="AK122">
            <v>200</v>
          </cell>
          <cell r="AL122">
            <v>0</v>
          </cell>
          <cell r="AM122">
            <v>0</v>
          </cell>
          <cell r="AN122">
            <v>0</v>
          </cell>
          <cell r="AO122">
            <v>1345</v>
          </cell>
          <cell r="AP122">
            <v>0</v>
          </cell>
          <cell r="AQ122">
            <v>0</v>
          </cell>
          <cell r="AR122">
            <v>360</v>
          </cell>
          <cell r="AS122">
            <v>0</v>
          </cell>
          <cell r="AT122">
            <v>260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135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60</v>
          </cell>
          <cell r="BE122">
            <v>0</v>
          </cell>
          <cell r="BF122">
            <v>320</v>
          </cell>
          <cell r="BG122">
            <v>210</v>
          </cell>
          <cell r="BH122">
            <v>0</v>
          </cell>
          <cell r="BI122">
            <v>0</v>
          </cell>
          <cell r="BJ122">
            <v>592831</v>
          </cell>
          <cell r="BK122">
            <v>4365</v>
          </cell>
          <cell r="BL122">
            <v>588466</v>
          </cell>
        </row>
        <row r="123">
          <cell r="B123" t="str">
            <v>KAP103</v>
          </cell>
          <cell r="C123">
            <v>30240</v>
          </cell>
          <cell r="D123">
            <v>10080</v>
          </cell>
          <cell r="E123">
            <v>28200</v>
          </cell>
          <cell r="F123">
            <v>8040</v>
          </cell>
          <cell r="G123">
            <v>2040</v>
          </cell>
          <cell r="H123">
            <v>2040</v>
          </cell>
          <cell r="I123">
            <v>615</v>
          </cell>
          <cell r="J123">
            <v>615</v>
          </cell>
          <cell r="K123">
            <v>615</v>
          </cell>
          <cell r="L123">
            <v>0</v>
          </cell>
          <cell r="M123">
            <v>615</v>
          </cell>
          <cell r="N123">
            <v>0</v>
          </cell>
          <cell r="O123">
            <v>1425</v>
          </cell>
          <cell r="P123">
            <v>1425</v>
          </cell>
          <cell r="Q123">
            <v>720</v>
          </cell>
          <cell r="R123">
            <v>720</v>
          </cell>
          <cell r="S123">
            <v>705</v>
          </cell>
          <cell r="T123">
            <v>705</v>
          </cell>
          <cell r="U123">
            <v>145</v>
          </cell>
          <cell r="V123">
            <v>145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225</v>
          </cell>
          <cell r="AG123">
            <v>95</v>
          </cell>
          <cell r="AH123">
            <v>60</v>
          </cell>
          <cell r="AI123">
            <v>40</v>
          </cell>
          <cell r="AJ123">
            <v>0</v>
          </cell>
          <cell r="AK123">
            <v>30</v>
          </cell>
          <cell r="AL123">
            <v>0</v>
          </cell>
          <cell r="AM123">
            <v>0</v>
          </cell>
          <cell r="AN123">
            <v>0</v>
          </cell>
          <cell r="AO123">
            <v>335</v>
          </cell>
          <cell r="AP123">
            <v>0</v>
          </cell>
          <cell r="AQ123">
            <v>0</v>
          </cell>
          <cell r="AR123">
            <v>60</v>
          </cell>
          <cell r="AS123">
            <v>0</v>
          </cell>
          <cell r="AT123">
            <v>30</v>
          </cell>
          <cell r="AU123">
            <v>0</v>
          </cell>
          <cell r="AV123">
            <v>0</v>
          </cell>
          <cell r="AW123">
            <v>0</v>
          </cell>
          <cell r="AX123">
            <v>245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576717</v>
          </cell>
          <cell r="BK123">
            <v>0</v>
          </cell>
          <cell r="BL123">
            <v>576717</v>
          </cell>
        </row>
        <row r="124">
          <cell r="B124" t="str">
            <v>NBL SOL-STRIPPING</v>
          </cell>
          <cell r="C124">
            <v>154080</v>
          </cell>
          <cell r="D124">
            <v>70710</v>
          </cell>
          <cell r="E124">
            <v>90690</v>
          </cell>
          <cell r="F124">
            <v>7320</v>
          </cell>
          <cell r="G124">
            <v>63390</v>
          </cell>
          <cell r="H124">
            <v>63390</v>
          </cell>
          <cell r="I124">
            <v>3200</v>
          </cell>
          <cell r="J124">
            <v>3200</v>
          </cell>
          <cell r="K124">
            <v>3200</v>
          </cell>
          <cell r="L124">
            <v>585</v>
          </cell>
          <cell r="M124">
            <v>2615</v>
          </cell>
          <cell r="N124">
            <v>0</v>
          </cell>
          <cell r="O124">
            <v>60190</v>
          </cell>
          <cell r="P124">
            <v>60190</v>
          </cell>
          <cell r="Q124">
            <v>19580</v>
          </cell>
          <cell r="R124">
            <v>19580</v>
          </cell>
          <cell r="S124">
            <v>40610</v>
          </cell>
          <cell r="T124">
            <v>40610</v>
          </cell>
          <cell r="U124">
            <v>9640</v>
          </cell>
          <cell r="V124">
            <v>4700</v>
          </cell>
          <cell r="W124">
            <v>0</v>
          </cell>
          <cell r="X124">
            <v>4900</v>
          </cell>
          <cell r="Y124">
            <v>40</v>
          </cell>
          <cell r="Z124">
            <v>205</v>
          </cell>
          <cell r="AA124">
            <v>155</v>
          </cell>
          <cell r="AB124">
            <v>50</v>
          </cell>
          <cell r="AC124">
            <v>0</v>
          </cell>
          <cell r="AD124">
            <v>0</v>
          </cell>
          <cell r="AE124">
            <v>0</v>
          </cell>
          <cell r="AF124">
            <v>16177</v>
          </cell>
          <cell r="AG124">
            <v>9967</v>
          </cell>
          <cell r="AH124">
            <v>2320</v>
          </cell>
          <cell r="AI124">
            <v>2855</v>
          </cell>
          <cell r="AJ124">
            <v>20</v>
          </cell>
          <cell r="AK124">
            <v>1015</v>
          </cell>
          <cell r="AL124">
            <v>1870</v>
          </cell>
          <cell r="AM124">
            <v>510</v>
          </cell>
          <cell r="AN124">
            <v>1360</v>
          </cell>
          <cell r="AO124">
            <v>12718</v>
          </cell>
          <cell r="AP124">
            <v>0</v>
          </cell>
          <cell r="AQ124">
            <v>0</v>
          </cell>
          <cell r="AR124">
            <v>3575</v>
          </cell>
          <cell r="AS124">
            <v>0</v>
          </cell>
          <cell r="AT124">
            <v>3430</v>
          </cell>
          <cell r="AU124">
            <v>1543</v>
          </cell>
          <cell r="AV124">
            <v>0</v>
          </cell>
          <cell r="AW124">
            <v>0</v>
          </cell>
          <cell r="AX124">
            <v>110</v>
          </cell>
          <cell r="AY124">
            <v>1970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1960</v>
          </cell>
          <cell r="BG124">
            <v>130</v>
          </cell>
          <cell r="BH124">
            <v>0</v>
          </cell>
          <cell r="BI124">
            <v>0</v>
          </cell>
          <cell r="BJ124">
            <v>12117043</v>
          </cell>
          <cell r="BK124">
            <v>78391</v>
          </cell>
          <cell r="BL124">
            <v>12038652</v>
          </cell>
        </row>
        <row r="125">
          <cell r="B125" t="str">
            <v>STR105</v>
          </cell>
          <cell r="C125">
            <v>30240</v>
          </cell>
          <cell r="D125">
            <v>10080</v>
          </cell>
          <cell r="E125">
            <v>18930</v>
          </cell>
          <cell r="F125">
            <v>-1230</v>
          </cell>
          <cell r="G125">
            <v>11310</v>
          </cell>
          <cell r="H125">
            <v>11310</v>
          </cell>
          <cell r="I125">
            <v>1170</v>
          </cell>
          <cell r="J125">
            <v>1170</v>
          </cell>
          <cell r="K125">
            <v>1170</v>
          </cell>
          <cell r="L125">
            <v>195</v>
          </cell>
          <cell r="M125">
            <v>975</v>
          </cell>
          <cell r="N125">
            <v>0</v>
          </cell>
          <cell r="O125">
            <v>10140</v>
          </cell>
          <cell r="P125">
            <v>10140</v>
          </cell>
          <cell r="Q125">
            <v>3010</v>
          </cell>
          <cell r="R125">
            <v>3010</v>
          </cell>
          <cell r="S125">
            <v>7130</v>
          </cell>
          <cell r="T125">
            <v>7130</v>
          </cell>
          <cell r="U125">
            <v>1360</v>
          </cell>
          <cell r="V125">
            <v>680</v>
          </cell>
          <cell r="W125">
            <v>0</v>
          </cell>
          <cell r="X125">
            <v>680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2517</v>
          </cell>
          <cell r="AG125">
            <v>1497</v>
          </cell>
          <cell r="AH125">
            <v>410</v>
          </cell>
          <cell r="AI125">
            <v>430</v>
          </cell>
          <cell r="AJ125">
            <v>0</v>
          </cell>
          <cell r="AK125">
            <v>180</v>
          </cell>
          <cell r="AL125">
            <v>790</v>
          </cell>
          <cell r="AM125">
            <v>0</v>
          </cell>
          <cell r="AN125">
            <v>790</v>
          </cell>
          <cell r="AO125">
            <v>2463</v>
          </cell>
          <cell r="AP125">
            <v>0</v>
          </cell>
          <cell r="AQ125">
            <v>0</v>
          </cell>
          <cell r="AR125">
            <v>545</v>
          </cell>
          <cell r="AS125">
            <v>0</v>
          </cell>
          <cell r="AT125">
            <v>575</v>
          </cell>
          <cell r="AU125">
            <v>788</v>
          </cell>
          <cell r="AV125">
            <v>0</v>
          </cell>
          <cell r="AW125">
            <v>0</v>
          </cell>
          <cell r="AX125">
            <v>0</v>
          </cell>
          <cell r="AY125">
            <v>230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325</v>
          </cell>
          <cell r="BG125">
            <v>0</v>
          </cell>
          <cell r="BH125">
            <v>0</v>
          </cell>
          <cell r="BI125">
            <v>0</v>
          </cell>
          <cell r="BJ125">
            <v>1046325</v>
          </cell>
          <cell r="BK125">
            <v>7025</v>
          </cell>
          <cell r="BL125">
            <v>1039300</v>
          </cell>
        </row>
        <row r="126">
          <cell r="B126" t="str">
            <v>STR102</v>
          </cell>
          <cell r="C126">
            <v>30240</v>
          </cell>
          <cell r="D126">
            <v>19530</v>
          </cell>
          <cell r="E126">
            <v>13860</v>
          </cell>
          <cell r="F126">
            <v>3150</v>
          </cell>
          <cell r="G126">
            <v>16380</v>
          </cell>
          <cell r="H126">
            <v>16380</v>
          </cell>
          <cell r="I126">
            <v>195</v>
          </cell>
          <cell r="J126">
            <v>195</v>
          </cell>
          <cell r="K126">
            <v>195</v>
          </cell>
          <cell r="L126">
            <v>195</v>
          </cell>
          <cell r="M126">
            <v>0</v>
          </cell>
          <cell r="N126">
            <v>0</v>
          </cell>
          <cell r="O126">
            <v>16185</v>
          </cell>
          <cell r="P126">
            <v>16185</v>
          </cell>
          <cell r="Q126">
            <v>4935</v>
          </cell>
          <cell r="R126">
            <v>4935</v>
          </cell>
          <cell r="S126">
            <v>11250</v>
          </cell>
          <cell r="T126">
            <v>11250</v>
          </cell>
          <cell r="U126">
            <v>3115</v>
          </cell>
          <cell r="V126">
            <v>1505</v>
          </cell>
          <cell r="W126">
            <v>0</v>
          </cell>
          <cell r="X126">
            <v>1570</v>
          </cell>
          <cell r="Y126">
            <v>40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4055</v>
          </cell>
          <cell r="AG126">
            <v>1965</v>
          </cell>
          <cell r="AH126">
            <v>955</v>
          </cell>
          <cell r="AI126">
            <v>845</v>
          </cell>
          <cell r="AJ126">
            <v>20</v>
          </cell>
          <cell r="AK126">
            <v>270</v>
          </cell>
          <cell r="AL126">
            <v>690</v>
          </cell>
          <cell r="AM126">
            <v>510</v>
          </cell>
          <cell r="AN126">
            <v>180</v>
          </cell>
          <cell r="AO126">
            <v>3390</v>
          </cell>
          <cell r="AP126">
            <v>0</v>
          </cell>
          <cell r="AQ126">
            <v>0</v>
          </cell>
          <cell r="AR126">
            <v>1020</v>
          </cell>
          <cell r="AS126">
            <v>0</v>
          </cell>
          <cell r="AT126">
            <v>1010</v>
          </cell>
          <cell r="AU126">
            <v>110</v>
          </cell>
          <cell r="AV126">
            <v>0</v>
          </cell>
          <cell r="AW126">
            <v>0</v>
          </cell>
          <cell r="AX126">
            <v>0</v>
          </cell>
          <cell r="AY126">
            <v>625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625</v>
          </cell>
          <cell r="BG126">
            <v>0</v>
          </cell>
          <cell r="BH126">
            <v>0</v>
          </cell>
          <cell r="BI126">
            <v>0</v>
          </cell>
          <cell r="BJ126">
            <v>5837306</v>
          </cell>
          <cell r="BK126">
            <v>35026</v>
          </cell>
          <cell r="BL126">
            <v>5802280</v>
          </cell>
        </row>
        <row r="127">
          <cell r="B127" t="str">
            <v>STR104</v>
          </cell>
          <cell r="C127">
            <v>31680</v>
          </cell>
          <cell r="D127">
            <v>10560</v>
          </cell>
          <cell r="E127">
            <v>25080</v>
          </cell>
          <cell r="F127">
            <v>3960</v>
          </cell>
          <cell r="G127">
            <v>6600</v>
          </cell>
          <cell r="H127">
            <v>6600</v>
          </cell>
          <cell r="I127">
            <v>480</v>
          </cell>
          <cell r="J127">
            <v>480</v>
          </cell>
          <cell r="K127">
            <v>480</v>
          </cell>
          <cell r="L127">
            <v>0</v>
          </cell>
          <cell r="M127">
            <v>480</v>
          </cell>
          <cell r="N127">
            <v>0</v>
          </cell>
          <cell r="O127">
            <v>6120</v>
          </cell>
          <cell r="P127">
            <v>6120</v>
          </cell>
          <cell r="Q127">
            <v>2160</v>
          </cell>
          <cell r="R127">
            <v>2160</v>
          </cell>
          <cell r="S127">
            <v>3960</v>
          </cell>
          <cell r="T127">
            <v>3960</v>
          </cell>
          <cell r="U127">
            <v>75</v>
          </cell>
          <cell r="V127">
            <v>75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3160</v>
          </cell>
          <cell r="AG127">
            <v>2815</v>
          </cell>
          <cell r="AH127">
            <v>90</v>
          </cell>
          <cell r="AI127">
            <v>170</v>
          </cell>
          <cell r="AJ127">
            <v>0</v>
          </cell>
          <cell r="AK127">
            <v>85</v>
          </cell>
          <cell r="AL127">
            <v>0</v>
          </cell>
          <cell r="AM127">
            <v>0</v>
          </cell>
          <cell r="AN127">
            <v>0</v>
          </cell>
          <cell r="AO127">
            <v>725</v>
          </cell>
          <cell r="AP127">
            <v>0</v>
          </cell>
          <cell r="AQ127">
            <v>0</v>
          </cell>
          <cell r="AR127">
            <v>240</v>
          </cell>
          <cell r="AS127">
            <v>0</v>
          </cell>
          <cell r="AT127">
            <v>130</v>
          </cell>
          <cell r="AU127">
            <v>165</v>
          </cell>
          <cell r="AV127">
            <v>0</v>
          </cell>
          <cell r="AW127">
            <v>0</v>
          </cell>
          <cell r="AX127">
            <v>0</v>
          </cell>
          <cell r="AY127">
            <v>150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40</v>
          </cell>
          <cell r="BG127">
            <v>0</v>
          </cell>
          <cell r="BH127">
            <v>0</v>
          </cell>
          <cell r="BI127">
            <v>0</v>
          </cell>
          <cell r="BJ127">
            <v>17611</v>
          </cell>
          <cell r="BK127">
            <v>45</v>
          </cell>
          <cell r="BL127">
            <v>17566</v>
          </cell>
        </row>
        <row r="128">
          <cell r="B128" t="str">
            <v>STR103</v>
          </cell>
          <cell r="C128">
            <v>30240</v>
          </cell>
          <cell r="D128">
            <v>10080</v>
          </cell>
          <cell r="E128">
            <v>15600</v>
          </cell>
          <cell r="F128">
            <v>-4560</v>
          </cell>
          <cell r="G128">
            <v>14640</v>
          </cell>
          <cell r="H128">
            <v>14640</v>
          </cell>
          <cell r="I128">
            <v>315</v>
          </cell>
          <cell r="J128">
            <v>315</v>
          </cell>
          <cell r="K128">
            <v>315</v>
          </cell>
          <cell r="L128">
            <v>195</v>
          </cell>
          <cell r="M128">
            <v>120</v>
          </cell>
          <cell r="N128">
            <v>0</v>
          </cell>
          <cell r="O128">
            <v>14325</v>
          </cell>
          <cell r="P128">
            <v>14325</v>
          </cell>
          <cell r="Q128">
            <v>4005</v>
          </cell>
          <cell r="R128">
            <v>4005</v>
          </cell>
          <cell r="S128">
            <v>10320</v>
          </cell>
          <cell r="T128">
            <v>10320</v>
          </cell>
          <cell r="U128">
            <v>3410</v>
          </cell>
          <cell r="V128">
            <v>1890</v>
          </cell>
          <cell r="W128">
            <v>0</v>
          </cell>
          <cell r="X128">
            <v>1520</v>
          </cell>
          <cell r="Y128">
            <v>0</v>
          </cell>
          <cell r="Z128">
            <v>95</v>
          </cell>
          <cell r="AA128">
            <v>95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3215</v>
          </cell>
          <cell r="AG128">
            <v>1775</v>
          </cell>
          <cell r="AH128">
            <v>495</v>
          </cell>
          <cell r="AI128">
            <v>690</v>
          </cell>
          <cell r="AJ128">
            <v>0</v>
          </cell>
          <cell r="AK128">
            <v>255</v>
          </cell>
          <cell r="AL128">
            <v>390</v>
          </cell>
          <cell r="AM128">
            <v>0</v>
          </cell>
          <cell r="AN128">
            <v>390</v>
          </cell>
          <cell r="AO128">
            <v>3210</v>
          </cell>
          <cell r="AP128">
            <v>0</v>
          </cell>
          <cell r="AQ128">
            <v>0</v>
          </cell>
          <cell r="AR128">
            <v>900</v>
          </cell>
          <cell r="AS128">
            <v>0</v>
          </cell>
          <cell r="AT128">
            <v>860</v>
          </cell>
          <cell r="AU128">
            <v>300</v>
          </cell>
          <cell r="AV128">
            <v>0</v>
          </cell>
          <cell r="AW128">
            <v>0</v>
          </cell>
          <cell r="AX128">
            <v>0</v>
          </cell>
          <cell r="AY128">
            <v>510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510</v>
          </cell>
          <cell r="BG128">
            <v>130</v>
          </cell>
          <cell r="BH128">
            <v>0</v>
          </cell>
          <cell r="BI128">
            <v>0</v>
          </cell>
          <cell r="BJ128">
            <v>1954359</v>
          </cell>
          <cell r="BK128">
            <v>21253</v>
          </cell>
          <cell r="BL128">
            <v>1933106</v>
          </cell>
        </row>
        <row r="129">
          <cell r="B129" t="str">
            <v>STR101</v>
          </cell>
          <cell r="C129">
            <v>31680</v>
          </cell>
          <cell r="D129">
            <v>20460</v>
          </cell>
          <cell r="E129">
            <v>17220</v>
          </cell>
          <cell r="F129">
            <v>6000</v>
          </cell>
          <cell r="G129">
            <v>14460</v>
          </cell>
          <cell r="H129">
            <v>14460</v>
          </cell>
          <cell r="I129">
            <v>1040</v>
          </cell>
          <cell r="J129">
            <v>1040</v>
          </cell>
          <cell r="K129">
            <v>1040</v>
          </cell>
          <cell r="L129">
            <v>0</v>
          </cell>
          <cell r="M129">
            <v>1040</v>
          </cell>
          <cell r="N129">
            <v>0</v>
          </cell>
          <cell r="O129">
            <v>13420</v>
          </cell>
          <cell r="P129">
            <v>13420</v>
          </cell>
          <cell r="Q129">
            <v>5470</v>
          </cell>
          <cell r="R129">
            <v>5470</v>
          </cell>
          <cell r="S129">
            <v>7950</v>
          </cell>
          <cell r="T129">
            <v>7950</v>
          </cell>
          <cell r="U129">
            <v>1680</v>
          </cell>
          <cell r="V129">
            <v>550</v>
          </cell>
          <cell r="W129">
            <v>0</v>
          </cell>
          <cell r="X129">
            <v>1130</v>
          </cell>
          <cell r="Y129">
            <v>0</v>
          </cell>
          <cell r="Z129">
            <v>110</v>
          </cell>
          <cell r="AA129">
            <v>60</v>
          </cell>
          <cell r="AB129">
            <v>50</v>
          </cell>
          <cell r="AC129">
            <v>0</v>
          </cell>
          <cell r="AD129">
            <v>0</v>
          </cell>
          <cell r="AE129">
            <v>0</v>
          </cell>
          <cell r="AF129">
            <v>3230</v>
          </cell>
          <cell r="AG129">
            <v>1915</v>
          </cell>
          <cell r="AH129">
            <v>370</v>
          </cell>
          <cell r="AI129">
            <v>720</v>
          </cell>
          <cell r="AJ129">
            <v>0</v>
          </cell>
          <cell r="AK129">
            <v>225</v>
          </cell>
          <cell r="AL129">
            <v>0</v>
          </cell>
          <cell r="AM129">
            <v>0</v>
          </cell>
          <cell r="AN129">
            <v>0</v>
          </cell>
          <cell r="AO129">
            <v>2930</v>
          </cell>
          <cell r="AP129">
            <v>0</v>
          </cell>
          <cell r="AQ129">
            <v>0</v>
          </cell>
          <cell r="AR129">
            <v>870</v>
          </cell>
          <cell r="AS129">
            <v>0</v>
          </cell>
          <cell r="AT129">
            <v>855</v>
          </cell>
          <cell r="AU129">
            <v>180</v>
          </cell>
          <cell r="AV129">
            <v>0</v>
          </cell>
          <cell r="AW129">
            <v>0</v>
          </cell>
          <cell r="AX129">
            <v>110</v>
          </cell>
          <cell r="AY129">
            <v>455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460</v>
          </cell>
          <cell r="BG129">
            <v>0</v>
          </cell>
          <cell r="BH129">
            <v>0</v>
          </cell>
          <cell r="BI129">
            <v>0</v>
          </cell>
          <cell r="BJ129">
            <v>3261442</v>
          </cell>
          <cell r="BK129">
            <v>15042</v>
          </cell>
          <cell r="BL129">
            <v>3246400</v>
          </cell>
        </row>
        <row r="130">
          <cell r="B130" t="str">
            <v>NBL SYR-MIXING</v>
          </cell>
          <cell r="C130">
            <v>30240</v>
          </cell>
          <cell r="D130">
            <v>19530</v>
          </cell>
          <cell r="E130">
            <v>23820</v>
          </cell>
          <cell r="F130">
            <v>13110</v>
          </cell>
          <cell r="G130">
            <v>6420</v>
          </cell>
          <cell r="H130">
            <v>6420</v>
          </cell>
          <cell r="I130">
            <v>774</v>
          </cell>
          <cell r="J130">
            <v>774</v>
          </cell>
          <cell r="K130">
            <v>774</v>
          </cell>
          <cell r="L130">
            <v>45</v>
          </cell>
          <cell r="M130">
            <v>729</v>
          </cell>
          <cell r="N130">
            <v>0</v>
          </cell>
          <cell r="O130">
            <v>5646</v>
          </cell>
          <cell r="P130">
            <v>5646</v>
          </cell>
          <cell r="Q130">
            <v>2352</v>
          </cell>
          <cell r="R130">
            <v>2352</v>
          </cell>
          <cell r="S130">
            <v>3294</v>
          </cell>
          <cell r="T130">
            <v>3294</v>
          </cell>
          <cell r="U130">
            <v>184</v>
          </cell>
          <cell r="V130">
            <v>184</v>
          </cell>
          <cell r="W130">
            <v>0</v>
          </cell>
          <cell r="X130">
            <v>0</v>
          </cell>
          <cell r="Y130">
            <v>0</v>
          </cell>
          <cell r="Z130">
            <v>60</v>
          </cell>
          <cell r="AA130">
            <v>60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2031</v>
          </cell>
          <cell r="AG130">
            <v>163</v>
          </cell>
          <cell r="AH130">
            <v>1868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1019</v>
          </cell>
          <cell r="AP130">
            <v>105</v>
          </cell>
          <cell r="AQ130">
            <v>0</v>
          </cell>
          <cell r="AR130">
            <v>165</v>
          </cell>
          <cell r="AS130">
            <v>0</v>
          </cell>
          <cell r="AT130">
            <v>121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238</v>
          </cell>
          <cell r="BC130">
            <v>0</v>
          </cell>
          <cell r="BD130">
            <v>0</v>
          </cell>
          <cell r="BE130">
            <v>0</v>
          </cell>
          <cell r="BF130">
            <v>15</v>
          </cell>
          <cell r="BG130">
            <v>375</v>
          </cell>
          <cell r="BH130">
            <v>0</v>
          </cell>
          <cell r="BI130">
            <v>0</v>
          </cell>
          <cell r="BJ130">
            <v>8874.9</v>
          </cell>
          <cell r="BK130">
            <v>1.3</v>
          </cell>
          <cell r="BL130">
            <v>8873.6</v>
          </cell>
        </row>
        <row r="131">
          <cell r="B131" t="str">
            <v>LMIXSYR1</v>
          </cell>
          <cell r="C131">
            <v>30240</v>
          </cell>
          <cell r="D131">
            <v>19530</v>
          </cell>
          <cell r="E131">
            <v>23820</v>
          </cell>
          <cell r="F131">
            <v>13110</v>
          </cell>
          <cell r="G131">
            <v>6420</v>
          </cell>
          <cell r="H131">
            <v>6420</v>
          </cell>
          <cell r="I131">
            <v>774</v>
          </cell>
          <cell r="J131">
            <v>774</v>
          </cell>
          <cell r="K131">
            <v>774</v>
          </cell>
          <cell r="L131">
            <v>45</v>
          </cell>
          <cell r="M131">
            <v>729</v>
          </cell>
          <cell r="N131">
            <v>0</v>
          </cell>
          <cell r="O131">
            <v>5646</v>
          </cell>
          <cell r="P131">
            <v>5646</v>
          </cell>
          <cell r="Q131">
            <v>2352</v>
          </cell>
          <cell r="R131">
            <v>2352</v>
          </cell>
          <cell r="S131">
            <v>3294</v>
          </cell>
          <cell r="T131">
            <v>3294</v>
          </cell>
          <cell r="U131">
            <v>184</v>
          </cell>
          <cell r="V131">
            <v>184</v>
          </cell>
          <cell r="W131">
            <v>0</v>
          </cell>
          <cell r="X131">
            <v>0</v>
          </cell>
          <cell r="Y131">
            <v>0</v>
          </cell>
          <cell r="Z131">
            <v>60</v>
          </cell>
          <cell r="AA131">
            <v>60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2031</v>
          </cell>
          <cell r="AG131">
            <v>163</v>
          </cell>
          <cell r="AH131">
            <v>1868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1019</v>
          </cell>
          <cell r="AP131">
            <v>105</v>
          </cell>
          <cell r="AQ131">
            <v>0</v>
          </cell>
          <cell r="AR131">
            <v>165</v>
          </cell>
          <cell r="AS131">
            <v>0</v>
          </cell>
          <cell r="AT131">
            <v>121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238</v>
          </cell>
          <cell r="BC131">
            <v>0</v>
          </cell>
          <cell r="BD131">
            <v>0</v>
          </cell>
          <cell r="BE131">
            <v>0</v>
          </cell>
          <cell r="BF131">
            <v>15</v>
          </cell>
          <cell r="BG131">
            <v>375</v>
          </cell>
          <cell r="BH131">
            <v>0</v>
          </cell>
          <cell r="BI131">
            <v>0</v>
          </cell>
          <cell r="BJ131">
            <v>8874.9</v>
          </cell>
          <cell r="BK131">
            <v>1.3</v>
          </cell>
          <cell r="BL131">
            <v>8873.6</v>
          </cell>
        </row>
        <row r="132">
          <cell r="B132" t="str">
            <v>NBL SYR-FILLING</v>
          </cell>
          <cell r="C132">
            <v>60480</v>
          </cell>
          <cell r="D132">
            <v>39060</v>
          </cell>
          <cell r="E132">
            <v>46140</v>
          </cell>
          <cell r="F132">
            <v>24720</v>
          </cell>
          <cell r="G132">
            <v>14340</v>
          </cell>
          <cell r="H132">
            <v>14340</v>
          </cell>
          <cell r="I132">
            <v>2200</v>
          </cell>
          <cell r="J132">
            <v>2200</v>
          </cell>
          <cell r="K132">
            <v>1990</v>
          </cell>
          <cell r="L132">
            <v>330</v>
          </cell>
          <cell r="M132">
            <v>1660</v>
          </cell>
          <cell r="N132">
            <v>210</v>
          </cell>
          <cell r="O132">
            <v>12140</v>
          </cell>
          <cell r="P132">
            <v>12140</v>
          </cell>
          <cell r="Q132">
            <v>3755</v>
          </cell>
          <cell r="R132">
            <v>3755</v>
          </cell>
          <cell r="S132">
            <v>8385</v>
          </cell>
          <cell r="T132">
            <v>8385</v>
          </cell>
          <cell r="U132">
            <v>1065</v>
          </cell>
          <cell r="V132">
            <v>710</v>
          </cell>
          <cell r="W132">
            <v>0</v>
          </cell>
          <cell r="X132">
            <v>145</v>
          </cell>
          <cell r="Y132">
            <v>210</v>
          </cell>
          <cell r="Z132">
            <v>650</v>
          </cell>
          <cell r="AA132">
            <v>315</v>
          </cell>
          <cell r="AB132">
            <v>220</v>
          </cell>
          <cell r="AC132">
            <v>0</v>
          </cell>
          <cell r="AD132">
            <v>115</v>
          </cell>
          <cell r="AE132">
            <v>0</v>
          </cell>
          <cell r="AF132">
            <v>4050</v>
          </cell>
          <cell r="AG132">
            <v>880</v>
          </cell>
          <cell r="AH132">
            <v>1850</v>
          </cell>
          <cell r="AI132">
            <v>0</v>
          </cell>
          <cell r="AJ132">
            <v>10</v>
          </cell>
          <cell r="AK132">
            <v>1310</v>
          </cell>
          <cell r="AL132">
            <v>0</v>
          </cell>
          <cell r="AM132">
            <v>0</v>
          </cell>
          <cell r="AN132">
            <v>0</v>
          </cell>
          <cell r="AO132">
            <v>2620</v>
          </cell>
          <cell r="AP132">
            <v>135</v>
          </cell>
          <cell r="AQ132">
            <v>0</v>
          </cell>
          <cell r="AR132">
            <v>720</v>
          </cell>
          <cell r="AS132">
            <v>0</v>
          </cell>
          <cell r="AT132">
            <v>450</v>
          </cell>
          <cell r="AU132">
            <v>210</v>
          </cell>
          <cell r="AV132">
            <v>0</v>
          </cell>
          <cell r="AW132">
            <v>0</v>
          </cell>
          <cell r="AX132">
            <v>1090</v>
          </cell>
          <cell r="AY132">
            <v>15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205565</v>
          </cell>
          <cell r="BK132">
            <v>385</v>
          </cell>
          <cell r="BL132">
            <v>205180</v>
          </cell>
        </row>
        <row r="133">
          <cell r="B133" t="str">
            <v>SYR109</v>
          </cell>
          <cell r="C133">
            <v>30240</v>
          </cell>
          <cell r="D133">
            <v>19530</v>
          </cell>
          <cell r="E133">
            <v>21510</v>
          </cell>
          <cell r="F133">
            <v>10800</v>
          </cell>
          <cell r="G133">
            <v>8730</v>
          </cell>
          <cell r="H133">
            <v>8730</v>
          </cell>
          <cell r="I133">
            <v>915</v>
          </cell>
          <cell r="J133">
            <v>915</v>
          </cell>
          <cell r="K133">
            <v>915</v>
          </cell>
          <cell r="L133">
            <v>300</v>
          </cell>
          <cell r="M133">
            <v>615</v>
          </cell>
          <cell r="N133">
            <v>0</v>
          </cell>
          <cell r="O133">
            <v>7815</v>
          </cell>
          <cell r="P133">
            <v>7815</v>
          </cell>
          <cell r="Q133">
            <v>2455</v>
          </cell>
          <cell r="R133">
            <v>2455</v>
          </cell>
          <cell r="S133">
            <v>5360</v>
          </cell>
          <cell r="T133">
            <v>5360</v>
          </cell>
          <cell r="U133">
            <v>640</v>
          </cell>
          <cell r="V133">
            <v>440</v>
          </cell>
          <cell r="W133">
            <v>0</v>
          </cell>
          <cell r="X133">
            <v>55</v>
          </cell>
          <cell r="Y133">
            <v>145</v>
          </cell>
          <cell r="Z133">
            <v>160</v>
          </cell>
          <cell r="AA133">
            <v>45</v>
          </cell>
          <cell r="AB133">
            <v>0</v>
          </cell>
          <cell r="AC133">
            <v>0</v>
          </cell>
          <cell r="AD133">
            <v>115</v>
          </cell>
          <cell r="AE133">
            <v>0</v>
          </cell>
          <cell r="AF133">
            <v>2450</v>
          </cell>
          <cell r="AG133">
            <v>375</v>
          </cell>
          <cell r="AH133">
            <v>1490</v>
          </cell>
          <cell r="AI133">
            <v>0</v>
          </cell>
          <cell r="AJ133">
            <v>0</v>
          </cell>
          <cell r="AK133">
            <v>585</v>
          </cell>
          <cell r="AL133">
            <v>0</v>
          </cell>
          <cell r="AM133">
            <v>0</v>
          </cell>
          <cell r="AN133">
            <v>0</v>
          </cell>
          <cell r="AO133">
            <v>2110</v>
          </cell>
          <cell r="AP133">
            <v>135</v>
          </cell>
          <cell r="AQ133">
            <v>0</v>
          </cell>
          <cell r="AR133">
            <v>450</v>
          </cell>
          <cell r="AS133">
            <v>0</v>
          </cell>
          <cell r="AT133">
            <v>300</v>
          </cell>
          <cell r="AU133">
            <v>210</v>
          </cell>
          <cell r="AV133">
            <v>0</v>
          </cell>
          <cell r="AW133">
            <v>0</v>
          </cell>
          <cell r="AX133">
            <v>1000</v>
          </cell>
          <cell r="AY133">
            <v>15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138505</v>
          </cell>
          <cell r="BK133">
            <v>296</v>
          </cell>
          <cell r="BL133">
            <v>138209</v>
          </cell>
        </row>
        <row r="134">
          <cell r="B134" t="str">
            <v>SYR110</v>
          </cell>
          <cell r="C134">
            <v>30240</v>
          </cell>
          <cell r="D134">
            <v>19530</v>
          </cell>
          <cell r="E134">
            <v>24630</v>
          </cell>
          <cell r="F134">
            <v>13920</v>
          </cell>
          <cell r="G134">
            <v>5610</v>
          </cell>
          <cell r="H134">
            <v>5610</v>
          </cell>
          <cell r="I134">
            <v>1285</v>
          </cell>
          <cell r="J134">
            <v>1285</v>
          </cell>
          <cell r="K134">
            <v>1075</v>
          </cell>
          <cell r="L134">
            <v>30</v>
          </cell>
          <cell r="M134">
            <v>1045</v>
          </cell>
          <cell r="N134">
            <v>210</v>
          </cell>
          <cell r="O134">
            <v>4325</v>
          </cell>
          <cell r="P134">
            <v>4325</v>
          </cell>
          <cell r="Q134">
            <v>1300</v>
          </cell>
          <cell r="R134">
            <v>1300</v>
          </cell>
          <cell r="S134">
            <v>3025</v>
          </cell>
          <cell r="T134">
            <v>3025</v>
          </cell>
          <cell r="U134">
            <v>425</v>
          </cell>
          <cell r="V134">
            <v>270</v>
          </cell>
          <cell r="W134">
            <v>0</v>
          </cell>
          <cell r="X134">
            <v>90</v>
          </cell>
          <cell r="Y134">
            <v>65</v>
          </cell>
          <cell r="Z134">
            <v>490</v>
          </cell>
          <cell r="AA134">
            <v>270</v>
          </cell>
          <cell r="AB134">
            <v>220</v>
          </cell>
          <cell r="AC134">
            <v>0</v>
          </cell>
          <cell r="AD134">
            <v>0</v>
          </cell>
          <cell r="AE134">
            <v>0</v>
          </cell>
          <cell r="AF134">
            <v>1600</v>
          </cell>
          <cell r="AG134">
            <v>505</v>
          </cell>
          <cell r="AH134">
            <v>360</v>
          </cell>
          <cell r="AI134">
            <v>0</v>
          </cell>
          <cell r="AJ134">
            <v>10</v>
          </cell>
          <cell r="AK134">
            <v>725</v>
          </cell>
          <cell r="AL134">
            <v>0</v>
          </cell>
          <cell r="AM134">
            <v>0</v>
          </cell>
          <cell r="AN134">
            <v>0</v>
          </cell>
          <cell r="AO134">
            <v>510</v>
          </cell>
          <cell r="AP134">
            <v>0</v>
          </cell>
          <cell r="AQ134">
            <v>0</v>
          </cell>
          <cell r="AR134">
            <v>270</v>
          </cell>
          <cell r="AS134">
            <v>0</v>
          </cell>
          <cell r="AT134">
            <v>150</v>
          </cell>
          <cell r="AU134">
            <v>0</v>
          </cell>
          <cell r="AV134">
            <v>0</v>
          </cell>
          <cell r="AW134">
            <v>0</v>
          </cell>
          <cell r="AX134">
            <v>90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67060</v>
          </cell>
          <cell r="BK134">
            <v>89</v>
          </cell>
          <cell r="BL134">
            <v>66971</v>
          </cell>
        </row>
        <row r="135">
          <cell r="B135" t="str">
            <v>NBL INJ-MIXING</v>
          </cell>
          <cell r="C135">
            <v>33120</v>
          </cell>
          <cell r="D135">
            <v>21390</v>
          </cell>
          <cell r="E135">
            <v>24750</v>
          </cell>
          <cell r="F135">
            <v>13020</v>
          </cell>
          <cell r="G135">
            <v>8370</v>
          </cell>
          <cell r="H135">
            <v>8370</v>
          </cell>
          <cell r="I135">
            <v>300</v>
          </cell>
          <cell r="J135">
            <v>300</v>
          </cell>
          <cell r="K135">
            <v>300</v>
          </cell>
          <cell r="L135">
            <v>300</v>
          </cell>
          <cell r="M135">
            <v>0</v>
          </cell>
          <cell r="N135">
            <v>0</v>
          </cell>
          <cell r="O135">
            <v>8070</v>
          </cell>
          <cell r="P135">
            <v>8070</v>
          </cell>
          <cell r="Q135">
            <v>2749</v>
          </cell>
          <cell r="R135">
            <v>2749</v>
          </cell>
          <cell r="S135">
            <v>5321</v>
          </cell>
          <cell r="T135">
            <v>5321</v>
          </cell>
          <cell r="U135">
            <v>170</v>
          </cell>
          <cell r="V135">
            <v>170</v>
          </cell>
          <cell r="W135">
            <v>0</v>
          </cell>
          <cell r="X135">
            <v>0</v>
          </cell>
          <cell r="Y135">
            <v>0</v>
          </cell>
          <cell r="Z135">
            <v>135</v>
          </cell>
          <cell r="AA135">
            <v>135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2741</v>
          </cell>
          <cell r="AG135">
            <v>842</v>
          </cell>
          <cell r="AH135">
            <v>1203</v>
          </cell>
          <cell r="AI135">
            <v>0</v>
          </cell>
          <cell r="AJ135">
            <v>696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2275</v>
          </cell>
          <cell r="AP135">
            <v>0</v>
          </cell>
          <cell r="AQ135">
            <v>0</v>
          </cell>
          <cell r="AR135">
            <v>440</v>
          </cell>
          <cell r="AS135">
            <v>0</v>
          </cell>
          <cell r="AT135">
            <v>465</v>
          </cell>
          <cell r="AU135">
            <v>0</v>
          </cell>
          <cell r="AV135">
            <v>125</v>
          </cell>
          <cell r="AW135">
            <v>0</v>
          </cell>
          <cell r="AX135">
            <v>0</v>
          </cell>
          <cell r="AY135">
            <v>20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1225</v>
          </cell>
          <cell r="BG135">
            <v>0</v>
          </cell>
          <cell r="BH135">
            <v>0</v>
          </cell>
          <cell r="BI135">
            <v>0</v>
          </cell>
          <cell r="BJ135">
            <v>1154</v>
          </cell>
          <cell r="BK135">
            <v>172</v>
          </cell>
          <cell r="BL135">
            <v>982</v>
          </cell>
        </row>
        <row r="136">
          <cell r="B136" t="str">
            <v>LMIXINJ1</v>
          </cell>
          <cell r="C136">
            <v>33120</v>
          </cell>
          <cell r="D136">
            <v>21390</v>
          </cell>
          <cell r="E136">
            <v>24750</v>
          </cell>
          <cell r="F136">
            <v>13020</v>
          </cell>
          <cell r="G136">
            <v>8370</v>
          </cell>
          <cell r="H136">
            <v>8370</v>
          </cell>
          <cell r="I136">
            <v>300</v>
          </cell>
          <cell r="J136">
            <v>300</v>
          </cell>
          <cell r="K136">
            <v>300</v>
          </cell>
          <cell r="L136">
            <v>300</v>
          </cell>
          <cell r="M136">
            <v>0</v>
          </cell>
          <cell r="N136">
            <v>0</v>
          </cell>
          <cell r="O136">
            <v>8070</v>
          </cell>
          <cell r="P136">
            <v>8070</v>
          </cell>
          <cell r="Q136">
            <v>2749</v>
          </cell>
          <cell r="R136">
            <v>2749</v>
          </cell>
          <cell r="S136">
            <v>5321</v>
          </cell>
          <cell r="T136">
            <v>5321</v>
          </cell>
          <cell r="U136">
            <v>170</v>
          </cell>
          <cell r="V136">
            <v>170</v>
          </cell>
          <cell r="W136">
            <v>0</v>
          </cell>
          <cell r="X136">
            <v>0</v>
          </cell>
          <cell r="Y136">
            <v>0</v>
          </cell>
          <cell r="Z136">
            <v>135</v>
          </cell>
          <cell r="AA136">
            <v>135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2741</v>
          </cell>
          <cell r="AG136">
            <v>842</v>
          </cell>
          <cell r="AH136">
            <v>1203</v>
          </cell>
          <cell r="AI136">
            <v>0</v>
          </cell>
          <cell r="AJ136">
            <v>696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2275</v>
          </cell>
          <cell r="AP136">
            <v>0</v>
          </cell>
          <cell r="AQ136">
            <v>0</v>
          </cell>
          <cell r="AR136">
            <v>440</v>
          </cell>
          <cell r="AS136">
            <v>0</v>
          </cell>
          <cell r="AT136">
            <v>465</v>
          </cell>
          <cell r="AU136">
            <v>0</v>
          </cell>
          <cell r="AV136">
            <v>125</v>
          </cell>
          <cell r="AW136">
            <v>0</v>
          </cell>
          <cell r="AX136">
            <v>0</v>
          </cell>
          <cell r="AY136">
            <v>20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1225</v>
          </cell>
          <cell r="BG136">
            <v>0</v>
          </cell>
          <cell r="BH136">
            <v>0</v>
          </cell>
          <cell r="BI136">
            <v>0</v>
          </cell>
          <cell r="BJ136">
            <v>1154</v>
          </cell>
          <cell r="BK136">
            <v>172</v>
          </cell>
          <cell r="BL136">
            <v>982</v>
          </cell>
        </row>
        <row r="137">
          <cell r="B137" t="str">
            <v>NBL INJ-FILLING</v>
          </cell>
          <cell r="C137">
            <v>66240</v>
          </cell>
          <cell r="D137">
            <v>42780</v>
          </cell>
          <cell r="E137">
            <v>37110</v>
          </cell>
          <cell r="F137">
            <v>13650</v>
          </cell>
          <cell r="G137">
            <v>29130</v>
          </cell>
          <cell r="H137">
            <v>29130</v>
          </cell>
          <cell r="I137">
            <v>3670</v>
          </cell>
          <cell r="J137">
            <v>3670</v>
          </cell>
          <cell r="K137">
            <v>3630</v>
          </cell>
          <cell r="L137">
            <v>635</v>
          </cell>
          <cell r="M137">
            <v>2995</v>
          </cell>
          <cell r="N137">
            <v>40</v>
          </cell>
          <cell r="O137">
            <v>25460</v>
          </cell>
          <cell r="P137">
            <v>25460</v>
          </cell>
          <cell r="Q137">
            <v>8724</v>
          </cell>
          <cell r="R137">
            <v>8724</v>
          </cell>
          <cell r="S137">
            <v>16736</v>
          </cell>
          <cell r="T137">
            <v>16736</v>
          </cell>
          <cell r="U137">
            <v>3042</v>
          </cell>
          <cell r="V137">
            <v>2560</v>
          </cell>
          <cell r="W137">
            <v>52</v>
          </cell>
          <cell r="X137">
            <v>207</v>
          </cell>
          <cell r="Y137">
            <v>223</v>
          </cell>
          <cell r="Z137">
            <v>742</v>
          </cell>
          <cell r="AA137">
            <v>233</v>
          </cell>
          <cell r="AB137">
            <v>41</v>
          </cell>
          <cell r="AC137">
            <v>0</v>
          </cell>
          <cell r="AD137">
            <v>468</v>
          </cell>
          <cell r="AE137">
            <v>0</v>
          </cell>
          <cell r="AF137">
            <v>6582</v>
          </cell>
          <cell r="AG137">
            <v>1250</v>
          </cell>
          <cell r="AH137">
            <v>5332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6370</v>
          </cell>
          <cell r="AP137">
            <v>0</v>
          </cell>
          <cell r="AQ137">
            <v>0</v>
          </cell>
          <cell r="AR137">
            <v>1475</v>
          </cell>
          <cell r="AS137">
            <v>10</v>
          </cell>
          <cell r="AT137">
            <v>1428</v>
          </cell>
          <cell r="AU137">
            <v>0</v>
          </cell>
          <cell r="AV137">
            <v>0</v>
          </cell>
          <cell r="AW137">
            <v>15</v>
          </cell>
          <cell r="AX137">
            <v>0</v>
          </cell>
          <cell r="AY137">
            <v>410</v>
          </cell>
          <cell r="AZ137">
            <v>0</v>
          </cell>
          <cell r="BA137">
            <v>0</v>
          </cell>
          <cell r="BB137">
            <v>2650</v>
          </cell>
          <cell r="BC137">
            <v>0</v>
          </cell>
          <cell r="BD137">
            <v>0</v>
          </cell>
          <cell r="BE137">
            <v>0</v>
          </cell>
          <cell r="BF137">
            <v>382</v>
          </cell>
          <cell r="BG137">
            <v>0</v>
          </cell>
          <cell r="BH137">
            <v>0</v>
          </cell>
          <cell r="BI137">
            <v>0</v>
          </cell>
          <cell r="BJ137">
            <v>832318</v>
          </cell>
          <cell r="BK137">
            <v>405</v>
          </cell>
          <cell r="BL137">
            <v>831913</v>
          </cell>
        </row>
        <row r="138">
          <cell r="B138" t="str">
            <v>GINLINE3</v>
          </cell>
          <cell r="C138">
            <v>33120</v>
          </cell>
          <cell r="D138">
            <v>21390</v>
          </cell>
          <cell r="E138">
            <v>18900</v>
          </cell>
          <cell r="F138">
            <v>7170</v>
          </cell>
          <cell r="G138">
            <v>14220</v>
          </cell>
          <cell r="H138">
            <v>14220</v>
          </cell>
          <cell r="I138">
            <v>2470</v>
          </cell>
          <cell r="J138">
            <v>2470</v>
          </cell>
          <cell r="K138">
            <v>2470</v>
          </cell>
          <cell r="L138">
            <v>395</v>
          </cell>
          <cell r="M138">
            <v>2075</v>
          </cell>
          <cell r="N138">
            <v>0</v>
          </cell>
          <cell r="O138">
            <v>11750</v>
          </cell>
          <cell r="P138">
            <v>11750</v>
          </cell>
          <cell r="Q138">
            <v>2904</v>
          </cell>
          <cell r="R138">
            <v>2904</v>
          </cell>
          <cell r="S138">
            <v>8846</v>
          </cell>
          <cell r="T138">
            <v>8846</v>
          </cell>
          <cell r="U138">
            <v>1379</v>
          </cell>
          <cell r="V138">
            <v>1205</v>
          </cell>
          <cell r="W138">
            <v>47</v>
          </cell>
          <cell r="X138">
            <v>108</v>
          </cell>
          <cell r="Y138">
            <v>19</v>
          </cell>
          <cell r="Z138">
            <v>488</v>
          </cell>
          <cell r="AA138">
            <v>173</v>
          </cell>
          <cell r="AB138">
            <v>36</v>
          </cell>
          <cell r="AC138">
            <v>0</v>
          </cell>
          <cell r="AD138">
            <v>279</v>
          </cell>
          <cell r="AE138">
            <v>0</v>
          </cell>
          <cell r="AF138">
            <v>3402</v>
          </cell>
          <cell r="AG138">
            <v>835</v>
          </cell>
          <cell r="AH138">
            <v>2567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3577</v>
          </cell>
          <cell r="AP138">
            <v>0</v>
          </cell>
          <cell r="AQ138">
            <v>0</v>
          </cell>
          <cell r="AR138">
            <v>630</v>
          </cell>
          <cell r="AS138">
            <v>10</v>
          </cell>
          <cell r="AT138">
            <v>633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280</v>
          </cell>
          <cell r="AZ138">
            <v>0</v>
          </cell>
          <cell r="BA138">
            <v>0</v>
          </cell>
          <cell r="BB138">
            <v>1944</v>
          </cell>
          <cell r="BC138">
            <v>0</v>
          </cell>
          <cell r="BD138">
            <v>0</v>
          </cell>
          <cell r="BE138">
            <v>0</v>
          </cell>
          <cell r="BF138">
            <v>80</v>
          </cell>
          <cell r="BG138">
            <v>0</v>
          </cell>
          <cell r="BH138">
            <v>0</v>
          </cell>
          <cell r="BI138">
            <v>0</v>
          </cell>
          <cell r="BJ138">
            <v>417595</v>
          </cell>
          <cell r="BK138">
            <v>0</v>
          </cell>
          <cell r="BL138">
            <v>417595</v>
          </cell>
        </row>
        <row r="139">
          <cell r="B139" t="str">
            <v>GINLINE4</v>
          </cell>
          <cell r="C139">
            <v>33120</v>
          </cell>
          <cell r="D139">
            <v>21390</v>
          </cell>
          <cell r="E139">
            <v>18210</v>
          </cell>
          <cell r="F139">
            <v>6480</v>
          </cell>
          <cell r="G139">
            <v>14910</v>
          </cell>
          <cell r="H139">
            <v>14910</v>
          </cell>
          <cell r="I139">
            <v>1200</v>
          </cell>
          <cell r="J139">
            <v>1200</v>
          </cell>
          <cell r="K139">
            <v>1160</v>
          </cell>
          <cell r="L139">
            <v>240</v>
          </cell>
          <cell r="M139">
            <v>920</v>
          </cell>
          <cell r="N139">
            <v>40</v>
          </cell>
          <cell r="O139">
            <v>13710</v>
          </cell>
          <cell r="P139">
            <v>13710</v>
          </cell>
          <cell r="Q139">
            <v>5820</v>
          </cell>
          <cell r="R139">
            <v>5820</v>
          </cell>
          <cell r="S139">
            <v>7890</v>
          </cell>
          <cell r="T139">
            <v>7890</v>
          </cell>
          <cell r="U139">
            <v>1663</v>
          </cell>
          <cell r="V139">
            <v>1355</v>
          </cell>
          <cell r="W139">
            <v>5</v>
          </cell>
          <cell r="X139">
            <v>99</v>
          </cell>
          <cell r="Y139">
            <v>204</v>
          </cell>
          <cell r="Z139">
            <v>254</v>
          </cell>
          <cell r="AA139">
            <v>60</v>
          </cell>
          <cell r="AB139">
            <v>5</v>
          </cell>
          <cell r="AC139">
            <v>0</v>
          </cell>
          <cell r="AD139">
            <v>189</v>
          </cell>
          <cell r="AE139">
            <v>0</v>
          </cell>
          <cell r="AF139">
            <v>3180</v>
          </cell>
          <cell r="AG139">
            <v>415</v>
          </cell>
          <cell r="AH139">
            <v>2765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2793</v>
          </cell>
          <cell r="AP139">
            <v>0</v>
          </cell>
          <cell r="AQ139">
            <v>0</v>
          </cell>
          <cell r="AR139">
            <v>845</v>
          </cell>
          <cell r="AS139">
            <v>0</v>
          </cell>
          <cell r="AT139">
            <v>795</v>
          </cell>
          <cell r="AU139">
            <v>0</v>
          </cell>
          <cell r="AV139">
            <v>0</v>
          </cell>
          <cell r="AW139">
            <v>15</v>
          </cell>
          <cell r="AX139">
            <v>0</v>
          </cell>
          <cell r="AY139">
            <v>130</v>
          </cell>
          <cell r="AZ139">
            <v>0</v>
          </cell>
          <cell r="BA139">
            <v>0</v>
          </cell>
          <cell r="BB139">
            <v>706</v>
          </cell>
          <cell r="BC139">
            <v>0</v>
          </cell>
          <cell r="BD139">
            <v>0</v>
          </cell>
          <cell r="BE139">
            <v>0</v>
          </cell>
          <cell r="BF139">
            <v>302</v>
          </cell>
          <cell r="BG139">
            <v>0</v>
          </cell>
          <cell r="BH139">
            <v>0</v>
          </cell>
          <cell r="BI139">
            <v>0</v>
          </cell>
          <cell r="BJ139">
            <v>414723</v>
          </cell>
          <cell r="BK139">
            <v>405</v>
          </cell>
          <cell r="BL139">
            <v>414318</v>
          </cell>
        </row>
        <row r="140">
          <cell r="B140" t="str">
            <v>NBL INJ-STERILIZATION</v>
          </cell>
          <cell r="C140">
            <v>97920</v>
          </cell>
          <cell r="D140">
            <v>63240</v>
          </cell>
          <cell r="E140">
            <v>61191</v>
          </cell>
          <cell r="F140">
            <v>26511</v>
          </cell>
          <cell r="G140">
            <v>36729</v>
          </cell>
          <cell r="H140">
            <v>36729</v>
          </cell>
          <cell r="I140">
            <v>3807</v>
          </cell>
          <cell r="J140">
            <v>3807</v>
          </cell>
          <cell r="K140">
            <v>3807</v>
          </cell>
          <cell r="L140">
            <v>1085</v>
          </cell>
          <cell r="M140">
            <v>2722</v>
          </cell>
          <cell r="N140">
            <v>0</v>
          </cell>
          <cell r="O140">
            <v>32922</v>
          </cell>
          <cell r="P140">
            <v>32922</v>
          </cell>
          <cell r="Q140">
            <v>16012</v>
          </cell>
          <cell r="R140">
            <v>16012</v>
          </cell>
          <cell r="S140">
            <v>16910</v>
          </cell>
          <cell r="T140">
            <v>16910</v>
          </cell>
          <cell r="U140">
            <v>938</v>
          </cell>
          <cell r="V140">
            <v>873</v>
          </cell>
          <cell r="W140">
            <v>65</v>
          </cell>
          <cell r="X140">
            <v>0</v>
          </cell>
          <cell r="Y140">
            <v>0</v>
          </cell>
          <cell r="Z140">
            <v>822</v>
          </cell>
          <cell r="AA140">
            <v>443</v>
          </cell>
          <cell r="AB140">
            <v>79</v>
          </cell>
          <cell r="AC140">
            <v>0</v>
          </cell>
          <cell r="AD140">
            <v>300</v>
          </cell>
          <cell r="AE140">
            <v>0</v>
          </cell>
          <cell r="AF140">
            <v>7406</v>
          </cell>
          <cell r="AG140">
            <v>6214</v>
          </cell>
          <cell r="AH140">
            <v>937</v>
          </cell>
          <cell r="AI140">
            <v>70</v>
          </cell>
          <cell r="AJ140">
            <v>0</v>
          </cell>
          <cell r="AK140">
            <v>185</v>
          </cell>
          <cell r="AL140">
            <v>0</v>
          </cell>
          <cell r="AM140">
            <v>0</v>
          </cell>
          <cell r="AN140">
            <v>0</v>
          </cell>
          <cell r="AO140">
            <v>7744</v>
          </cell>
          <cell r="AP140">
            <v>0</v>
          </cell>
          <cell r="AQ140">
            <v>0</v>
          </cell>
          <cell r="AR140">
            <v>259</v>
          </cell>
          <cell r="AS140">
            <v>60</v>
          </cell>
          <cell r="AT140">
            <v>205</v>
          </cell>
          <cell r="AU140">
            <v>1692</v>
          </cell>
          <cell r="AV140">
            <v>0</v>
          </cell>
          <cell r="AW140">
            <v>0</v>
          </cell>
          <cell r="AX140">
            <v>5258</v>
          </cell>
          <cell r="AY140">
            <v>270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1207</v>
          </cell>
          <cell r="BK140">
            <v>0</v>
          </cell>
          <cell r="BL140">
            <v>1207</v>
          </cell>
        </row>
        <row r="141">
          <cell r="B141" t="str">
            <v>INJ105</v>
          </cell>
          <cell r="C141">
            <v>30240</v>
          </cell>
          <cell r="D141">
            <v>19530</v>
          </cell>
          <cell r="E141">
            <v>24658</v>
          </cell>
          <cell r="F141">
            <v>13948</v>
          </cell>
          <cell r="G141">
            <v>5582</v>
          </cell>
          <cell r="H141">
            <v>5582</v>
          </cell>
          <cell r="I141">
            <v>333</v>
          </cell>
          <cell r="J141">
            <v>333</v>
          </cell>
          <cell r="K141">
            <v>333</v>
          </cell>
          <cell r="L141">
            <v>63</v>
          </cell>
          <cell r="M141">
            <v>270</v>
          </cell>
          <cell r="N141">
            <v>0</v>
          </cell>
          <cell r="O141">
            <v>5249</v>
          </cell>
          <cell r="P141">
            <v>5249</v>
          </cell>
          <cell r="Q141">
            <v>2139</v>
          </cell>
          <cell r="R141">
            <v>2139</v>
          </cell>
          <cell r="S141">
            <v>3110</v>
          </cell>
          <cell r="T141">
            <v>3110</v>
          </cell>
          <cell r="U141">
            <v>102</v>
          </cell>
          <cell r="V141">
            <v>102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485</v>
          </cell>
          <cell r="AG141">
            <v>186</v>
          </cell>
          <cell r="AH141">
            <v>299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2523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2523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209</v>
          </cell>
          <cell r="BK141">
            <v>0</v>
          </cell>
          <cell r="BL141">
            <v>209</v>
          </cell>
        </row>
        <row r="142">
          <cell r="B142" t="str">
            <v>INJ106</v>
          </cell>
          <cell r="C142">
            <v>34560</v>
          </cell>
          <cell r="D142">
            <v>22320</v>
          </cell>
          <cell r="E142">
            <v>14865</v>
          </cell>
          <cell r="F142">
            <v>2625</v>
          </cell>
          <cell r="G142">
            <v>19695</v>
          </cell>
          <cell r="H142">
            <v>19695</v>
          </cell>
          <cell r="I142">
            <v>1344</v>
          </cell>
          <cell r="J142">
            <v>1344</v>
          </cell>
          <cell r="K142">
            <v>1344</v>
          </cell>
          <cell r="L142">
            <v>1002</v>
          </cell>
          <cell r="M142">
            <v>342</v>
          </cell>
          <cell r="N142">
            <v>0</v>
          </cell>
          <cell r="O142">
            <v>18351</v>
          </cell>
          <cell r="P142">
            <v>18351</v>
          </cell>
          <cell r="Q142">
            <v>12420</v>
          </cell>
          <cell r="R142">
            <v>12420</v>
          </cell>
          <cell r="S142">
            <v>5931</v>
          </cell>
          <cell r="T142">
            <v>5931</v>
          </cell>
          <cell r="U142">
            <v>121</v>
          </cell>
          <cell r="V142">
            <v>121</v>
          </cell>
          <cell r="W142">
            <v>0</v>
          </cell>
          <cell r="X142">
            <v>0</v>
          </cell>
          <cell r="Y142">
            <v>0</v>
          </cell>
          <cell r="Z142">
            <v>822</v>
          </cell>
          <cell r="AA142">
            <v>443</v>
          </cell>
          <cell r="AB142">
            <v>79</v>
          </cell>
          <cell r="AC142">
            <v>0</v>
          </cell>
          <cell r="AD142">
            <v>300</v>
          </cell>
          <cell r="AE142">
            <v>0</v>
          </cell>
          <cell r="AF142">
            <v>4963</v>
          </cell>
          <cell r="AG142">
            <v>4810</v>
          </cell>
          <cell r="AH142">
            <v>153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25</v>
          </cell>
          <cell r="AP142">
            <v>0</v>
          </cell>
          <cell r="AQ142">
            <v>0</v>
          </cell>
          <cell r="AR142">
            <v>25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968</v>
          </cell>
          <cell r="BK142">
            <v>0</v>
          </cell>
          <cell r="BL142">
            <v>968</v>
          </cell>
        </row>
        <row r="143">
          <cell r="B143" t="str">
            <v>INJ107</v>
          </cell>
          <cell r="C143">
            <v>33120</v>
          </cell>
          <cell r="D143">
            <v>21390</v>
          </cell>
          <cell r="E143">
            <v>21668</v>
          </cell>
          <cell r="F143">
            <v>9938</v>
          </cell>
          <cell r="G143">
            <v>11452</v>
          </cell>
          <cell r="H143">
            <v>11452</v>
          </cell>
          <cell r="I143">
            <v>2130</v>
          </cell>
          <cell r="J143">
            <v>2130</v>
          </cell>
          <cell r="K143">
            <v>2130</v>
          </cell>
          <cell r="L143">
            <v>20</v>
          </cell>
          <cell r="M143">
            <v>2110</v>
          </cell>
          <cell r="N143">
            <v>0</v>
          </cell>
          <cell r="O143">
            <v>9322</v>
          </cell>
          <cell r="P143">
            <v>9322</v>
          </cell>
          <cell r="Q143">
            <v>1453</v>
          </cell>
          <cell r="R143">
            <v>1453</v>
          </cell>
          <cell r="S143">
            <v>7869</v>
          </cell>
          <cell r="T143">
            <v>7869</v>
          </cell>
          <cell r="U143">
            <v>715</v>
          </cell>
          <cell r="V143">
            <v>650</v>
          </cell>
          <cell r="W143">
            <v>65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1958</v>
          </cell>
          <cell r="AG143">
            <v>1218</v>
          </cell>
          <cell r="AH143">
            <v>485</v>
          </cell>
          <cell r="AI143">
            <v>70</v>
          </cell>
          <cell r="AJ143">
            <v>0</v>
          </cell>
          <cell r="AK143">
            <v>185</v>
          </cell>
          <cell r="AL143">
            <v>0</v>
          </cell>
          <cell r="AM143">
            <v>0</v>
          </cell>
          <cell r="AN143">
            <v>0</v>
          </cell>
          <cell r="AO143">
            <v>5196</v>
          </cell>
          <cell r="AP143">
            <v>0</v>
          </cell>
          <cell r="AQ143">
            <v>0</v>
          </cell>
          <cell r="AR143">
            <v>234</v>
          </cell>
          <cell r="AS143">
            <v>60</v>
          </cell>
          <cell r="AT143">
            <v>205</v>
          </cell>
          <cell r="AU143">
            <v>1692</v>
          </cell>
          <cell r="AV143">
            <v>0</v>
          </cell>
          <cell r="AW143">
            <v>0</v>
          </cell>
          <cell r="AX143">
            <v>2735</v>
          </cell>
          <cell r="AY143">
            <v>270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30</v>
          </cell>
          <cell r="BK143">
            <v>0</v>
          </cell>
          <cell r="BL143">
            <v>30</v>
          </cell>
        </row>
        <row r="144">
          <cell r="B144" t="str">
            <v>NBL SECONDARY PACKING</v>
          </cell>
          <cell r="C144">
            <v>181440</v>
          </cell>
          <cell r="D144">
            <v>69930</v>
          </cell>
          <cell r="E144">
            <v>131445</v>
          </cell>
          <cell r="F144">
            <v>19935</v>
          </cell>
          <cell r="G144">
            <v>49995</v>
          </cell>
          <cell r="H144">
            <v>49995</v>
          </cell>
          <cell r="I144">
            <v>5060</v>
          </cell>
          <cell r="J144">
            <v>5060</v>
          </cell>
          <cell r="K144">
            <v>5060</v>
          </cell>
          <cell r="L144">
            <v>2125</v>
          </cell>
          <cell r="M144">
            <v>2935</v>
          </cell>
          <cell r="N144">
            <v>0</v>
          </cell>
          <cell r="O144">
            <v>44935</v>
          </cell>
          <cell r="P144">
            <v>44935</v>
          </cell>
          <cell r="Q144">
            <v>27860</v>
          </cell>
          <cell r="R144">
            <v>27860</v>
          </cell>
          <cell r="S144">
            <v>17075</v>
          </cell>
          <cell r="T144">
            <v>17075</v>
          </cell>
          <cell r="U144">
            <v>3840</v>
          </cell>
          <cell r="V144">
            <v>2558</v>
          </cell>
          <cell r="W144">
            <v>190</v>
          </cell>
          <cell r="X144">
            <v>180</v>
          </cell>
          <cell r="Y144">
            <v>912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3938</v>
          </cell>
          <cell r="AG144">
            <v>1833</v>
          </cell>
          <cell r="AH144">
            <v>1850</v>
          </cell>
          <cell r="AI144">
            <v>0</v>
          </cell>
          <cell r="AJ144">
            <v>0</v>
          </cell>
          <cell r="AK144">
            <v>255</v>
          </cell>
          <cell r="AL144">
            <v>0</v>
          </cell>
          <cell r="AM144">
            <v>0</v>
          </cell>
          <cell r="AN144">
            <v>0</v>
          </cell>
          <cell r="AO144">
            <v>9297</v>
          </cell>
          <cell r="AP144">
            <v>0</v>
          </cell>
          <cell r="AQ144">
            <v>320</v>
          </cell>
          <cell r="AR144">
            <v>2785</v>
          </cell>
          <cell r="AS144">
            <v>0</v>
          </cell>
          <cell r="AT144">
            <v>1455</v>
          </cell>
          <cell r="AU144">
            <v>540</v>
          </cell>
          <cell r="AV144">
            <v>0</v>
          </cell>
          <cell r="AW144">
            <v>0</v>
          </cell>
          <cell r="AX144">
            <v>1717</v>
          </cell>
          <cell r="AY144">
            <v>795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1605</v>
          </cell>
          <cell r="BG144">
            <v>80</v>
          </cell>
          <cell r="BH144">
            <v>0</v>
          </cell>
          <cell r="BI144">
            <v>0</v>
          </cell>
          <cell r="BJ144">
            <v>1597398</v>
          </cell>
          <cell r="BK144">
            <v>73</v>
          </cell>
          <cell r="BL144">
            <v>1597325</v>
          </cell>
        </row>
        <row r="145">
          <cell r="B145" t="str">
            <v>PAK101</v>
          </cell>
          <cell r="C145">
            <v>30240</v>
          </cell>
          <cell r="D145">
            <v>10080</v>
          </cell>
          <cell r="E145">
            <v>15975</v>
          </cell>
          <cell r="F145">
            <v>-4185</v>
          </cell>
          <cell r="G145">
            <v>14265</v>
          </cell>
          <cell r="H145">
            <v>14265</v>
          </cell>
          <cell r="I145">
            <v>575</v>
          </cell>
          <cell r="J145">
            <v>575</v>
          </cell>
          <cell r="K145">
            <v>575</v>
          </cell>
          <cell r="L145">
            <v>575</v>
          </cell>
          <cell r="M145">
            <v>0</v>
          </cell>
          <cell r="N145">
            <v>0</v>
          </cell>
          <cell r="O145">
            <v>13690</v>
          </cell>
          <cell r="P145">
            <v>13690</v>
          </cell>
          <cell r="Q145">
            <v>10075</v>
          </cell>
          <cell r="R145">
            <v>10075</v>
          </cell>
          <cell r="S145">
            <v>3615</v>
          </cell>
          <cell r="T145">
            <v>3615</v>
          </cell>
          <cell r="U145">
            <v>273</v>
          </cell>
          <cell r="V145">
            <v>273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1042</v>
          </cell>
          <cell r="AG145">
            <v>307</v>
          </cell>
          <cell r="AH145">
            <v>645</v>
          </cell>
          <cell r="AI145">
            <v>0</v>
          </cell>
          <cell r="AJ145">
            <v>0</v>
          </cell>
          <cell r="AK145">
            <v>90</v>
          </cell>
          <cell r="AL145">
            <v>0</v>
          </cell>
          <cell r="AM145">
            <v>0</v>
          </cell>
          <cell r="AN145">
            <v>0</v>
          </cell>
          <cell r="AO145">
            <v>2300</v>
          </cell>
          <cell r="AP145">
            <v>0</v>
          </cell>
          <cell r="AQ145">
            <v>185</v>
          </cell>
          <cell r="AR145">
            <v>870</v>
          </cell>
          <cell r="AS145">
            <v>0</v>
          </cell>
          <cell r="AT145">
            <v>435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231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579</v>
          </cell>
          <cell r="BG145">
            <v>0</v>
          </cell>
          <cell r="BH145">
            <v>0</v>
          </cell>
          <cell r="BI145">
            <v>0</v>
          </cell>
          <cell r="BJ145">
            <v>442420</v>
          </cell>
          <cell r="BK145">
            <v>11</v>
          </cell>
          <cell r="BL145">
            <v>442409</v>
          </cell>
        </row>
        <row r="146">
          <cell r="B146" t="str">
            <v>PAK103</v>
          </cell>
          <cell r="C146">
            <v>30240</v>
          </cell>
          <cell r="D146">
            <v>10080</v>
          </cell>
          <cell r="E146">
            <v>16440</v>
          </cell>
          <cell r="F146">
            <v>-3720</v>
          </cell>
          <cell r="G146">
            <v>13800</v>
          </cell>
          <cell r="H146">
            <v>13800</v>
          </cell>
          <cell r="I146">
            <v>435</v>
          </cell>
          <cell r="J146">
            <v>435</v>
          </cell>
          <cell r="K146">
            <v>435</v>
          </cell>
          <cell r="L146">
            <v>435</v>
          </cell>
          <cell r="M146">
            <v>0</v>
          </cell>
          <cell r="N146">
            <v>0</v>
          </cell>
          <cell r="O146">
            <v>13365</v>
          </cell>
          <cell r="P146">
            <v>13365</v>
          </cell>
          <cell r="Q146">
            <v>9930</v>
          </cell>
          <cell r="R146">
            <v>9930</v>
          </cell>
          <cell r="S146">
            <v>3435</v>
          </cell>
          <cell r="T146">
            <v>3435</v>
          </cell>
          <cell r="U146">
            <v>242</v>
          </cell>
          <cell r="V146">
            <v>242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880</v>
          </cell>
          <cell r="AG146">
            <v>240</v>
          </cell>
          <cell r="AH146">
            <v>545</v>
          </cell>
          <cell r="AI146">
            <v>0</v>
          </cell>
          <cell r="AJ146">
            <v>0</v>
          </cell>
          <cell r="AK146">
            <v>95</v>
          </cell>
          <cell r="AL146">
            <v>0</v>
          </cell>
          <cell r="AM146">
            <v>0</v>
          </cell>
          <cell r="AN146">
            <v>0</v>
          </cell>
          <cell r="AO146">
            <v>2313</v>
          </cell>
          <cell r="AP146">
            <v>0</v>
          </cell>
          <cell r="AQ146">
            <v>135</v>
          </cell>
          <cell r="AR146">
            <v>865</v>
          </cell>
          <cell r="AS146">
            <v>0</v>
          </cell>
          <cell r="AT146">
            <v>435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206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672</v>
          </cell>
          <cell r="BG146">
            <v>0</v>
          </cell>
          <cell r="BH146">
            <v>0</v>
          </cell>
          <cell r="BI146">
            <v>0</v>
          </cell>
          <cell r="BJ146">
            <v>403882</v>
          </cell>
          <cell r="BK146">
            <v>8</v>
          </cell>
          <cell r="BL146">
            <v>403874</v>
          </cell>
        </row>
        <row r="147">
          <cell r="B147" t="str">
            <v>PAK105</v>
          </cell>
          <cell r="C147">
            <v>30240</v>
          </cell>
          <cell r="D147">
            <v>19530</v>
          </cell>
          <cell r="E147">
            <v>18930</v>
          </cell>
          <cell r="F147">
            <v>8220</v>
          </cell>
          <cell r="G147">
            <v>11310</v>
          </cell>
          <cell r="H147">
            <v>11310</v>
          </cell>
          <cell r="I147">
            <v>2745</v>
          </cell>
          <cell r="J147">
            <v>2745</v>
          </cell>
          <cell r="K147">
            <v>2745</v>
          </cell>
          <cell r="L147">
            <v>710</v>
          </cell>
          <cell r="M147">
            <v>2035</v>
          </cell>
          <cell r="N147">
            <v>0</v>
          </cell>
          <cell r="O147">
            <v>8565</v>
          </cell>
          <cell r="P147">
            <v>8565</v>
          </cell>
          <cell r="Q147">
            <v>3590</v>
          </cell>
          <cell r="R147">
            <v>3590</v>
          </cell>
          <cell r="S147">
            <v>4975</v>
          </cell>
          <cell r="T147">
            <v>4975</v>
          </cell>
          <cell r="U147">
            <v>965</v>
          </cell>
          <cell r="V147">
            <v>620</v>
          </cell>
          <cell r="W147">
            <v>75</v>
          </cell>
          <cell r="X147">
            <v>10</v>
          </cell>
          <cell r="Y147">
            <v>260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675</v>
          </cell>
          <cell r="AG147">
            <v>450</v>
          </cell>
          <cell r="AH147">
            <v>225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3335</v>
          </cell>
          <cell r="AP147">
            <v>0</v>
          </cell>
          <cell r="AQ147">
            <v>0</v>
          </cell>
          <cell r="AR147">
            <v>510</v>
          </cell>
          <cell r="AS147">
            <v>0</v>
          </cell>
          <cell r="AT147">
            <v>255</v>
          </cell>
          <cell r="AU147">
            <v>540</v>
          </cell>
          <cell r="AV147">
            <v>0</v>
          </cell>
          <cell r="AW147">
            <v>0</v>
          </cell>
          <cell r="AX147">
            <v>1710</v>
          </cell>
          <cell r="AY147">
            <v>160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160</v>
          </cell>
          <cell r="BG147">
            <v>0</v>
          </cell>
          <cell r="BH147">
            <v>0</v>
          </cell>
          <cell r="BI147">
            <v>0</v>
          </cell>
          <cell r="BJ147">
            <v>311827</v>
          </cell>
          <cell r="BK147">
            <v>0</v>
          </cell>
          <cell r="BL147">
            <v>311827</v>
          </cell>
        </row>
        <row r="148">
          <cell r="B148" t="str">
            <v>PAK102</v>
          </cell>
          <cell r="C148">
            <v>30240</v>
          </cell>
          <cell r="D148">
            <v>10080</v>
          </cell>
          <cell r="E148">
            <v>30240</v>
          </cell>
          <cell r="F148">
            <v>10080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/>
          <cell r="R148"/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</row>
        <row r="149">
          <cell r="B149" t="str">
            <v>PAK104</v>
          </cell>
          <cell r="C149">
            <v>30240</v>
          </cell>
          <cell r="D149">
            <v>10080</v>
          </cell>
          <cell r="E149">
            <v>28710</v>
          </cell>
          <cell r="F149">
            <v>8550</v>
          </cell>
          <cell r="G149">
            <v>1530</v>
          </cell>
          <cell r="H149">
            <v>1530</v>
          </cell>
          <cell r="I149">
            <v>285</v>
          </cell>
          <cell r="J149">
            <v>285</v>
          </cell>
          <cell r="K149">
            <v>285</v>
          </cell>
          <cell r="L149">
            <v>0</v>
          </cell>
          <cell r="M149">
            <v>285</v>
          </cell>
          <cell r="N149">
            <v>0</v>
          </cell>
          <cell r="O149">
            <v>1245</v>
          </cell>
          <cell r="P149">
            <v>1245</v>
          </cell>
          <cell r="Q149">
            <v>460</v>
          </cell>
          <cell r="R149">
            <v>460</v>
          </cell>
          <cell r="S149">
            <v>785</v>
          </cell>
          <cell r="T149">
            <v>785</v>
          </cell>
          <cell r="U149">
            <v>185</v>
          </cell>
          <cell r="V149">
            <v>110</v>
          </cell>
          <cell r="W149">
            <v>0</v>
          </cell>
          <cell r="X149">
            <v>40</v>
          </cell>
          <cell r="Y149">
            <v>35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340</v>
          </cell>
          <cell r="AG149">
            <v>165</v>
          </cell>
          <cell r="AH149">
            <v>105</v>
          </cell>
          <cell r="AI149">
            <v>0</v>
          </cell>
          <cell r="AJ149">
            <v>0</v>
          </cell>
          <cell r="AK149">
            <v>70</v>
          </cell>
          <cell r="AL149">
            <v>0</v>
          </cell>
          <cell r="AM149">
            <v>0</v>
          </cell>
          <cell r="AN149">
            <v>0</v>
          </cell>
          <cell r="AO149">
            <v>260</v>
          </cell>
          <cell r="AP149">
            <v>0</v>
          </cell>
          <cell r="AQ149">
            <v>0</v>
          </cell>
          <cell r="AR149">
            <v>60</v>
          </cell>
          <cell r="AS149">
            <v>0</v>
          </cell>
          <cell r="AT149">
            <v>90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20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10</v>
          </cell>
          <cell r="BG149">
            <v>80</v>
          </cell>
          <cell r="BH149">
            <v>0</v>
          </cell>
          <cell r="BI149">
            <v>0</v>
          </cell>
          <cell r="BJ149">
            <v>17639</v>
          </cell>
          <cell r="BK149">
            <v>0</v>
          </cell>
          <cell r="BL149">
            <v>17639</v>
          </cell>
        </row>
        <row r="150">
          <cell r="B150" t="str">
            <v>PAK111</v>
          </cell>
          <cell r="C150">
            <v>30240</v>
          </cell>
          <cell r="D150">
            <v>10080</v>
          </cell>
          <cell r="E150">
            <v>21150</v>
          </cell>
          <cell r="F150">
            <v>990</v>
          </cell>
          <cell r="G150">
            <v>9090</v>
          </cell>
          <cell r="H150">
            <v>9090</v>
          </cell>
          <cell r="I150">
            <v>1020</v>
          </cell>
          <cell r="J150">
            <v>1020</v>
          </cell>
          <cell r="K150">
            <v>1020</v>
          </cell>
          <cell r="L150">
            <v>405</v>
          </cell>
          <cell r="M150">
            <v>615</v>
          </cell>
          <cell r="N150">
            <v>0</v>
          </cell>
          <cell r="O150">
            <v>8070</v>
          </cell>
          <cell r="P150">
            <v>8070</v>
          </cell>
          <cell r="Q150">
            <v>3805</v>
          </cell>
          <cell r="R150">
            <v>3805</v>
          </cell>
          <cell r="S150">
            <v>4265</v>
          </cell>
          <cell r="T150">
            <v>4265</v>
          </cell>
          <cell r="U150">
            <v>2175</v>
          </cell>
          <cell r="V150">
            <v>1313</v>
          </cell>
          <cell r="W150">
            <v>115</v>
          </cell>
          <cell r="X150">
            <v>130</v>
          </cell>
          <cell r="Y150">
            <v>617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1001</v>
          </cell>
          <cell r="AG150">
            <v>671</v>
          </cell>
          <cell r="AH150">
            <v>330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1089</v>
          </cell>
          <cell r="AP150">
            <v>0</v>
          </cell>
          <cell r="AQ150">
            <v>0</v>
          </cell>
          <cell r="AR150">
            <v>480</v>
          </cell>
          <cell r="AS150">
            <v>0</v>
          </cell>
          <cell r="AT150">
            <v>240</v>
          </cell>
          <cell r="AU150">
            <v>0</v>
          </cell>
          <cell r="AV150">
            <v>0</v>
          </cell>
          <cell r="AW150">
            <v>0</v>
          </cell>
          <cell r="AX150">
            <v>7</v>
          </cell>
          <cell r="AY150">
            <v>178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184</v>
          </cell>
          <cell r="BG150">
            <v>0</v>
          </cell>
          <cell r="BH150">
            <v>0</v>
          </cell>
          <cell r="BI150">
            <v>0</v>
          </cell>
          <cell r="BJ150">
            <v>421630</v>
          </cell>
          <cell r="BK150">
            <v>54</v>
          </cell>
          <cell r="BL150">
            <v>421576</v>
          </cell>
        </row>
        <row r="151">
          <cell r="B151" t="str">
            <v>CPH SOL-MIXING</v>
          </cell>
          <cell r="C151">
            <v>30240</v>
          </cell>
          <cell r="D151">
            <v>10080</v>
          </cell>
          <cell r="E151">
            <v>29220</v>
          </cell>
          <cell r="F151">
            <v>9060</v>
          </cell>
          <cell r="G151">
            <v>1020</v>
          </cell>
          <cell r="H151">
            <v>1020</v>
          </cell>
          <cell r="I151">
            <v>20</v>
          </cell>
          <cell r="J151">
            <v>20</v>
          </cell>
          <cell r="K151">
            <v>20</v>
          </cell>
          <cell r="L151">
            <v>20</v>
          </cell>
          <cell r="M151">
            <v>0</v>
          </cell>
          <cell r="N151">
            <v>0</v>
          </cell>
          <cell r="O151">
            <v>1000</v>
          </cell>
          <cell r="P151">
            <v>1000</v>
          </cell>
          <cell r="Q151">
            <v>80</v>
          </cell>
          <cell r="R151">
            <v>80</v>
          </cell>
          <cell r="S151">
            <v>920</v>
          </cell>
          <cell r="T151">
            <v>920</v>
          </cell>
          <cell r="U151">
            <v>30</v>
          </cell>
          <cell r="V151">
            <v>30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346</v>
          </cell>
          <cell r="AG151">
            <v>256</v>
          </cell>
          <cell r="AH151">
            <v>80</v>
          </cell>
          <cell r="AI151">
            <v>0</v>
          </cell>
          <cell r="AJ151">
            <v>0</v>
          </cell>
          <cell r="AK151">
            <v>10</v>
          </cell>
          <cell r="AL151">
            <v>0</v>
          </cell>
          <cell r="AM151">
            <v>0</v>
          </cell>
          <cell r="AN151">
            <v>0</v>
          </cell>
          <cell r="AO151">
            <v>544</v>
          </cell>
          <cell r="AP151">
            <v>380</v>
          </cell>
          <cell r="AQ151">
            <v>0</v>
          </cell>
          <cell r="AR151">
            <v>30</v>
          </cell>
          <cell r="AS151">
            <v>0</v>
          </cell>
          <cell r="AT151">
            <v>15</v>
          </cell>
          <cell r="AU151">
            <v>0</v>
          </cell>
          <cell r="AV151">
            <v>90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29</v>
          </cell>
          <cell r="BG151">
            <v>0</v>
          </cell>
          <cell r="BH151">
            <v>0</v>
          </cell>
          <cell r="BI151">
            <v>0</v>
          </cell>
          <cell r="BJ151">
            <v>200.46</v>
          </cell>
          <cell r="BK151">
            <v>0.55000000000000004</v>
          </cell>
          <cell r="BL151">
            <v>199.91</v>
          </cell>
        </row>
        <row r="152">
          <cell r="B152" t="str">
            <v>MCF101</v>
          </cell>
          <cell r="C152">
            <v>30240</v>
          </cell>
          <cell r="D152">
            <v>10080</v>
          </cell>
          <cell r="E152">
            <v>29220</v>
          </cell>
          <cell r="F152">
            <v>9060</v>
          </cell>
          <cell r="G152">
            <v>1020</v>
          </cell>
          <cell r="H152">
            <v>1020</v>
          </cell>
          <cell r="I152">
            <v>20</v>
          </cell>
          <cell r="J152">
            <v>20</v>
          </cell>
          <cell r="K152">
            <v>20</v>
          </cell>
          <cell r="L152">
            <v>20</v>
          </cell>
          <cell r="M152">
            <v>0</v>
          </cell>
          <cell r="N152">
            <v>0</v>
          </cell>
          <cell r="O152">
            <v>1000</v>
          </cell>
          <cell r="P152">
            <v>1000</v>
          </cell>
          <cell r="Q152">
            <v>80</v>
          </cell>
          <cell r="R152">
            <v>80</v>
          </cell>
          <cell r="S152">
            <v>920</v>
          </cell>
          <cell r="T152">
            <v>920</v>
          </cell>
          <cell r="U152">
            <v>30</v>
          </cell>
          <cell r="V152">
            <v>30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346</v>
          </cell>
          <cell r="AG152">
            <v>256</v>
          </cell>
          <cell r="AH152">
            <v>80</v>
          </cell>
          <cell r="AI152">
            <v>0</v>
          </cell>
          <cell r="AJ152">
            <v>0</v>
          </cell>
          <cell r="AK152">
            <v>10</v>
          </cell>
          <cell r="AL152">
            <v>0</v>
          </cell>
          <cell r="AM152">
            <v>0</v>
          </cell>
          <cell r="AN152">
            <v>0</v>
          </cell>
          <cell r="AO152">
            <v>544</v>
          </cell>
          <cell r="AP152">
            <v>380</v>
          </cell>
          <cell r="AQ152">
            <v>0</v>
          </cell>
          <cell r="AR152">
            <v>30</v>
          </cell>
          <cell r="AS152">
            <v>0</v>
          </cell>
          <cell r="AT152">
            <v>15</v>
          </cell>
          <cell r="AU152">
            <v>0</v>
          </cell>
          <cell r="AV152">
            <v>90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29</v>
          </cell>
          <cell r="BG152">
            <v>0</v>
          </cell>
          <cell r="BH152">
            <v>0</v>
          </cell>
          <cell r="BI152">
            <v>0</v>
          </cell>
          <cell r="BJ152">
            <v>200.46</v>
          </cell>
          <cell r="BK152">
            <v>0.55000000000000004</v>
          </cell>
          <cell r="BL152">
            <v>199.91</v>
          </cell>
        </row>
        <row r="153">
          <cell r="B153" t="str">
            <v>CPH SOL-CAPSULE</v>
          </cell>
          <cell r="C153">
            <v>30240</v>
          </cell>
          <cell r="D153">
            <v>10080</v>
          </cell>
          <cell r="E153">
            <v>30240</v>
          </cell>
          <cell r="F153">
            <v>10080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/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</row>
        <row r="154">
          <cell r="B154" t="str">
            <v>KCF101</v>
          </cell>
          <cell r="C154">
            <v>30240</v>
          </cell>
          <cell r="D154">
            <v>10080</v>
          </cell>
          <cell r="E154">
            <v>30240</v>
          </cell>
          <cell r="F154">
            <v>10080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/>
          <cell r="R154"/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</row>
        <row r="155">
          <cell r="B155" t="str">
            <v>CPH SOL-STRIPPING</v>
          </cell>
          <cell r="C155">
            <v>30240</v>
          </cell>
          <cell r="D155">
            <v>10080</v>
          </cell>
          <cell r="E155">
            <v>30240</v>
          </cell>
          <cell r="F155">
            <v>10080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/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</row>
        <row r="156">
          <cell r="B156" t="str">
            <v>STC101</v>
          </cell>
          <cell r="C156">
            <v>30240</v>
          </cell>
          <cell r="D156">
            <v>10080</v>
          </cell>
          <cell r="E156">
            <v>30240</v>
          </cell>
          <cell r="F156">
            <v>10080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/>
          <cell r="R156"/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</row>
        <row r="157">
          <cell r="B157" t="str">
            <v>CPH SOL-POWDER FILLING</v>
          </cell>
          <cell r="C157">
            <v>30240</v>
          </cell>
          <cell r="D157">
            <v>10080</v>
          </cell>
          <cell r="E157">
            <v>28200</v>
          </cell>
          <cell r="F157">
            <v>8040</v>
          </cell>
          <cell r="G157">
            <v>2040</v>
          </cell>
          <cell r="H157">
            <v>2040</v>
          </cell>
          <cell r="I157">
            <v>60</v>
          </cell>
          <cell r="J157">
            <v>60</v>
          </cell>
          <cell r="K157">
            <v>60</v>
          </cell>
          <cell r="L157">
            <v>60</v>
          </cell>
          <cell r="M157">
            <v>0</v>
          </cell>
          <cell r="N157">
            <v>0</v>
          </cell>
          <cell r="O157">
            <v>1980</v>
          </cell>
          <cell r="P157">
            <v>1980</v>
          </cell>
          <cell r="Q157">
            <v>590</v>
          </cell>
          <cell r="R157">
            <v>590</v>
          </cell>
          <cell r="S157">
            <v>1390</v>
          </cell>
          <cell r="T157">
            <v>1390</v>
          </cell>
          <cell r="U157">
            <v>130</v>
          </cell>
          <cell r="V157">
            <v>115</v>
          </cell>
          <cell r="W157">
            <v>0</v>
          </cell>
          <cell r="X157">
            <v>0</v>
          </cell>
          <cell r="Y157">
            <v>15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530</v>
          </cell>
          <cell r="AG157">
            <v>240</v>
          </cell>
          <cell r="AH157">
            <v>215</v>
          </cell>
          <cell r="AI157">
            <v>0</v>
          </cell>
          <cell r="AJ157">
            <v>0</v>
          </cell>
          <cell r="AK157">
            <v>75</v>
          </cell>
          <cell r="AL157">
            <v>0</v>
          </cell>
          <cell r="AM157">
            <v>0</v>
          </cell>
          <cell r="AN157">
            <v>0</v>
          </cell>
          <cell r="AO157">
            <v>730</v>
          </cell>
          <cell r="AP157">
            <v>0</v>
          </cell>
          <cell r="AQ157">
            <v>0</v>
          </cell>
          <cell r="AR157">
            <v>120</v>
          </cell>
          <cell r="AS157">
            <v>0</v>
          </cell>
          <cell r="AT157">
            <v>150</v>
          </cell>
          <cell r="AU157">
            <v>0</v>
          </cell>
          <cell r="AV157">
            <v>90</v>
          </cell>
          <cell r="AW157">
            <v>30</v>
          </cell>
          <cell r="AX157">
            <v>185</v>
          </cell>
          <cell r="AY157">
            <v>40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30</v>
          </cell>
          <cell r="BG157">
            <v>85</v>
          </cell>
          <cell r="BH157">
            <v>0</v>
          </cell>
          <cell r="BI157">
            <v>0</v>
          </cell>
          <cell r="BJ157">
            <v>22804</v>
          </cell>
          <cell r="BK157">
            <v>49</v>
          </cell>
          <cell r="BL157">
            <v>22755</v>
          </cell>
        </row>
        <row r="158">
          <cell r="B158" t="str">
            <v>SCF102</v>
          </cell>
          <cell r="C158">
            <v>30240</v>
          </cell>
          <cell r="D158">
            <v>10080</v>
          </cell>
          <cell r="E158">
            <v>28200</v>
          </cell>
          <cell r="F158">
            <v>8040</v>
          </cell>
          <cell r="G158">
            <v>2040</v>
          </cell>
          <cell r="H158">
            <v>2040</v>
          </cell>
          <cell r="I158">
            <v>60</v>
          </cell>
          <cell r="J158">
            <v>60</v>
          </cell>
          <cell r="K158">
            <v>60</v>
          </cell>
          <cell r="L158">
            <v>60</v>
          </cell>
          <cell r="M158">
            <v>0</v>
          </cell>
          <cell r="N158">
            <v>0</v>
          </cell>
          <cell r="O158">
            <v>1980</v>
          </cell>
          <cell r="P158">
            <v>1980</v>
          </cell>
          <cell r="Q158">
            <v>590</v>
          </cell>
          <cell r="R158">
            <v>590</v>
          </cell>
          <cell r="S158">
            <v>1390</v>
          </cell>
          <cell r="T158">
            <v>1390</v>
          </cell>
          <cell r="U158">
            <v>130</v>
          </cell>
          <cell r="V158">
            <v>115</v>
          </cell>
          <cell r="W158">
            <v>0</v>
          </cell>
          <cell r="X158">
            <v>0</v>
          </cell>
          <cell r="Y158">
            <v>15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530</v>
          </cell>
          <cell r="AG158">
            <v>240</v>
          </cell>
          <cell r="AH158">
            <v>215</v>
          </cell>
          <cell r="AI158">
            <v>0</v>
          </cell>
          <cell r="AJ158">
            <v>0</v>
          </cell>
          <cell r="AK158">
            <v>75</v>
          </cell>
          <cell r="AL158">
            <v>0</v>
          </cell>
          <cell r="AM158">
            <v>0</v>
          </cell>
          <cell r="AN158">
            <v>0</v>
          </cell>
          <cell r="AO158">
            <v>730</v>
          </cell>
          <cell r="AP158">
            <v>0</v>
          </cell>
          <cell r="AQ158">
            <v>0</v>
          </cell>
          <cell r="AR158">
            <v>120</v>
          </cell>
          <cell r="AS158">
            <v>0</v>
          </cell>
          <cell r="AT158">
            <v>150</v>
          </cell>
          <cell r="AU158">
            <v>0</v>
          </cell>
          <cell r="AV158">
            <v>90</v>
          </cell>
          <cell r="AW158">
            <v>30</v>
          </cell>
          <cell r="AX158">
            <v>185</v>
          </cell>
          <cell r="AY158">
            <v>40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30</v>
          </cell>
          <cell r="BG158">
            <v>85</v>
          </cell>
          <cell r="BH158">
            <v>0</v>
          </cell>
          <cell r="BI158">
            <v>0</v>
          </cell>
          <cell r="BJ158">
            <v>22804</v>
          </cell>
          <cell r="BK158">
            <v>49</v>
          </cell>
          <cell r="BL158">
            <v>22755</v>
          </cell>
        </row>
        <row r="159">
          <cell r="B159" t="str">
            <v>CPH INJ-FILLING</v>
          </cell>
          <cell r="C159">
            <v>30240</v>
          </cell>
          <cell r="D159">
            <v>19530</v>
          </cell>
          <cell r="E159">
            <v>20640</v>
          </cell>
          <cell r="F159">
            <v>9930</v>
          </cell>
          <cell r="G159">
            <v>9600</v>
          </cell>
          <cell r="H159">
            <v>9600</v>
          </cell>
          <cell r="I159">
            <v>905</v>
          </cell>
          <cell r="J159">
            <v>905</v>
          </cell>
          <cell r="K159">
            <v>905</v>
          </cell>
          <cell r="L159">
            <v>30</v>
          </cell>
          <cell r="M159">
            <v>875</v>
          </cell>
          <cell r="N159">
            <v>0</v>
          </cell>
          <cell r="O159">
            <v>8695</v>
          </cell>
          <cell r="P159">
            <v>8695</v>
          </cell>
          <cell r="Q159">
            <v>3164</v>
          </cell>
          <cell r="R159">
            <v>3164</v>
          </cell>
          <cell r="S159">
            <v>5531</v>
          </cell>
          <cell r="T159">
            <v>5531</v>
          </cell>
          <cell r="U159">
            <v>759</v>
          </cell>
          <cell r="V159">
            <v>694</v>
          </cell>
          <cell r="W159">
            <v>0</v>
          </cell>
          <cell r="X159">
            <v>65</v>
          </cell>
          <cell r="Y159">
            <v>0</v>
          </cell>
          <cell r="Z159">
            <v>443</v>
          </cell>
          <cell r="AA159">
            <v>433</v>
          </cell>
          <cell r="AB159">
            <v>0</v>
          </cell>
          <cell r="AC159">
            <v>0</v>
          </cell>
          <cell r="AD159">
            <v>10</v>
          </cell>
          <cell r="AE159">
            <v>0</v>
          </cell>
          <cell r="AF159">
            <v>1812</v>
          </cell>
          <cell r="AG159">
            <v>226</v>
          </cell>
          <cell r="AH159">
            <v>1586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2517</v>
          </cell>
          <cell r="AP159">
            <v>0</v>
          </cell>
          <cell r="AQ159">
            <v>0</v>
          </cell>
          <cell r="AR159">
            <v>573</v>
          </cell>
          <cell r="AS159">
            <v>25</v>
          </cell>
          <cell r="AT159">
            <v>438</v>
          </cell>
          <cell r="AU159">
            <v>0</v>
          </cell>
          <cell r="AV159">
            <v>0</v>
          </cell>
          <cell r="AW159">
            <v>152</v>
          </cell>
          <cell r="AX159">
            <v>0</v>
          </cell>
          <cell r="AY159">
            <v>88</v>
          </cell>
          <cell r="AZ159">
            <v>0</v>
          </cell>
          <cell r="BA159">
            <v>0</v>
          </cell>
          <cell r="BB159">
            <v>1229</v>
          </cell>
          <cell r="BC159">
            <v>0</v>
          </cell>
          <cell r="BD159">
            <v>0</v>
          </cell>
          <cell r="BE159">
            <v>0</v>
          </cell>
          <cell r="BF159">
            <v>12</v>
          </cell>
          <cell r="BG159">
            <v>0</v>
          </cell>
          <cell r="BH159">
            <v>0</v>
          </cell>
          <cell r="BI159">
            <v>0</v>
          </cell>
          <cell r="BJ159">
            <v>496778</v>
          </cell>
          <cell r="BK159">
            <v>21</v>
          </cell>
          <cell r="BL159">
            <v>496757</v>
          </cell>
        </row>
        <row r="160">
          <cell r="B160" t="str">
            <v>GINLINE6</v>
          </cell>
          <cell r="C160">
            <v>30240</v>
          </cell>
          <cell r="D160">
            <v>19530</v>
          </cell>
          <cell r="E160">
            <v>20640</v>
          </cell>
          <cell r="F160">
            <v>9930</v>
          </cell>
          <cell r="G160">
            <v>9600</v>
          </cell>
          <cell r="H160">
            <v>9600</v>
          </cell>
          <cell r="I160">
            <v>905</v>
          </cell>
          <cell r="J160">
            <v>905</v>
          </cell>
          <cell r="K160">
            <v>905</v>
          </cell>
          <cell r="L160">
            <v>30</v>
          </cell>
          <cell r="M160">
            <v>875</v>
          </cell>
          <cell r="N160">
            <v>0</v>
          </cell>
          <cell r="O160">
            <v>8695</v>
          </cell>
          <cell r="P160">
            <v>8695</v>
          </cell>
          <cell r="Q160">
            <v>3164</v>
          </cell>
          <cell r="R160">
            <v>3164</v>
          </cell>
          <cell r="S160">
            <v>5531</v>
          </cell>
          <cell r="T160">
            <v>5531</v>
          </cell>
          <cell r="U160">
            <v>759</v>
          </cell>
          <cell r="V160">
            <v>694</v>
          </cell>
          <cell r="W160">
            <v>0</v>
          </cell>
          <cell r="X160">
            <v>65</v>
          </cell>
          <cell r="Y160">
            <v>0</v>
          </cell>
          <cell r="Z160">
            <v>443</v>
          </cell>
          <cell r="AA160">
            <v>433</v>
          </cell>
          <cell r="AB160">
            <v>0</v>
          </cell>
          <cell r="AC160">
            <v>0</v>
          </cell>
          <cell r="AD160">
            <v>10</v>
          </cell>
          <cell r="AE160">
            <v>0</v>
          </cell>
          <cell r="AF160">
            <v>1812</v>
          </cell>
          <cell r="AG160">
            <v>226</v>
          </cell>
          <cell r="AH160">
            <v>1586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2517</v>
          </cell>
          <cell r="AP160">
            <v>0</v>
          </cell>
          <cell r="AQ160">
            <v>0</v>
          </cell>
          <cell r="AR160">
            <v>573</v>
          </cell>
          <cell r="AS160">
            <v>25</v>
          </cell>
          <cell r="AT160">
            <v>438</v>
          </cell>
          <cell r="AU160">
            <v>0</v>
          </cell>
          <cell r="AV160">
            <v>0</v>
          </cell>
          <cell r="AW160">
            <v>152</v>
          </cell>
          <cell r="AX160">
            <v>0</v>
          </cell>
          <cell r="AY160">
            <v>88</v>
          </cell>
          <cell r="AZ160">
            <v>0</v>
          </cell>
          <cell r="BA160">
            <v>0</v>
          </cell>
          <cell r="BB160">
            <v>1229</v>
          </cell>
          <cell r="BC160">
            <v>0</v>
          </cell>
          <cell r="BD160">
            <v>0</v>
          </cell>
          <cell r="BE160">
            <v>0</v>
          </cell>
          <cell r="BF160">
            <v>12</v>
          </cell>
          <cell r="BG160">
            <v>0</v>
          </cell>
          <cell r="BH160">
            <v>0</v>
          </cell>
          <cell r="BI160">
            <v>0</v>
          </cell>
          <cell r="BJ160">
            <v>496778</v>
          </cell>
          <cell r="BK160">
            <v>21</v>
          </cell>
          <cell r="BL160">
            <v>496757</v>
          </cell>
        </row>
        <row r="161">
          <cell r="B161" t="str">
            <v>CPH INJ-STERILIZATION</v>
          </cell>
          <cell r="C161">
            <v>66240</v>
          </cell>
          <cell r="D161">
            <v>42780</v>
          </cell>
          <cell r="E161">
            <v>47070</v>
          </cell>
          <cell r="F161">
            <v>23610</v>
          </cell>
          <cell r="G161">
            <v>19170</v>
          </cell>
          <cell r="H161">
            <v>19170</v>
          </cell>
          <cell r="I161">
            <v>2272</v>
          </cell>
          <cell r="J161">
            <v>2272</v>
          </cell>
          <cell r="K161">
            <v>2272</v>
          </cell>
          <cell r="L161">
            <v>951</v>
          </cell>
          <cell r="M161">
            <v>1321</v>
          </cell>
          <cell r="N161">
            <v>0</v>
          </cell>
          <cell r="O161">
            <v>16898</v>
          </cell>
          <cell r="P161">
            <v>16898</v>
          </cell>
          <cell r="Q161">
            <v>7119</v>
          </cell>
          <cell r="R161">
            <v>7119</v>
          </cell>
          <cell r="S161">
            <v>9779</v>
          </cell>
          <cell r="T161">
            <v>9779</v>
          </cell>
          <cell r="U161">
            <v>796</v>
          </cell>
          <cell r="V161">
            <v>601</v>
          </cell>
          <cell r="W161">
            <v>0</v>
          </cell>
          <cell r="X161">
            <v>195</v>
          </cell>
          <cell r="Y161">
            <v>0</v>
          </cell>
          <cell r="Z161">
            <v>41</v>
          </cell>
          <cell r="AA161">
            <v>41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4338</v>
          </cell>
          <cell r="AG161">
            <v>3964</v>
          </cell>
          <cell r="AH161">
            <v>374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4604</v>
          </cell>
          <cell r="AP161">
            <v>0</v>
          </cell>
          <cell r="AQ161">
            <v>0</v>
          </cell>
          <cell r="AR161">
            <v>88</v>
          </cell>
          <cell r="AS161">
            <v>0</v>
          </cell>
          <cell r="AT161">
            <v>15</v>
          </cell>
          <cell r="AU161">
            <v>0</v>
          </cell>
          <cell r="AV161">
            <v>0</v>
          </cell>
          <cell r="AW161">
            <v>170</v>
          </cell>
          <cell r="AX161">
            <v>4331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993</v>
          </cell>
          <cell r="BK161">
            <v>0</v>
          </cell>
          <cell r="BL161">
            <v>993</v>
          </cell>
        </row>
        <row r="162">
          <cell r="B162" t="str">
            <v>ICF104</v>
          </cell>
          <cell r="C162">
            <v>33120</v>
          </cell>
          <cell r="D162">
            <v>21390</v>
          </cell>
          <cell r="E162">
            <v>23310</v>
          </cell>
          <cell r="F162">
            <v>11580</v>
          </cell>
          <cell r="G162">
            <v>9810</v>
          </cell>
          <cell r="H162">
            <v>9810</v>
          </cell>
          <cell r="I162">
            <v>1024</v>
          </cell>
          <cell r="J162">
            <v>1024</v>
          </cell>
          <cell r="K162">
            <v>1024</v>
          </cell>
          <cell r="L162">
            <v>122</v>
          </cell>
          <cell r="M162">
            <v>902</v>
          </cell>
          <cell r="N162">
            <v>0</v>
          </cell>
          <cell r="O162">
            <v>8786</v>
          </cell>
          <cell r="P162">
            <v>8786</v>
          </cell>
          <cell r="Q162">
            <v>4177</v>
          </cell>
          <cell r="R162">
            <v>4177</v>
          </cell>
          <cell r="S162">
            <v>4609</v>
          </cell>
          <cell r="T162">
            <v>4609</v>
          </cell>
          <cell r="U162">
            <v>359</v>
          </cell>
          <cell r="V162">
            <v>294</v>
          </cell>
          <cell r="W162">
            <v>0</v>
          </cell>
          <cell r="X162">
            <v>65</v>
          </cell>
          <cell r="Y162">
            <v>0</v>
          </cell>
          <cell r="Z162">
            <v>41</v>
          </cell>
          <cell r="AA162">
            <v>41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3086</v>
          </cell>
          <cell r="AG162">
            <v>2977</v>
          </cell>
          <cell r="AH162">
            <v>109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1123</v>
          </cell>
          <cell r="AP162">
            <v>0</v>
          </cell>
          <cell r="AQ162">
            <v>0</v>
          </cell>
          <cell r="AR162">
            <v>88</v>
          </cell>
          <cell r="AS162">
            <v>0</v>
          </cell>
          <cell r="AT162">
            <v>15</v>
          </cell>
          <cell r="AU162">
            <v>0</v>
          </cell>
          <cell r="AV162">
            <v>0</v>
          </cell>
          <cell r="AW162">
            <v>80</v>
          </cell>
          <cell r="AX162">
            <v>940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754</v>
          </cell>
          <cell r="BK162">
            <v>0</v>
          </cell>
          <cell r="BL162">
            <v>754</v>
          </cell>
        </row>
        <row r="163">
          <cell r="B163" t="str">
            <v>ICF105</v>
          </cell>
          <cell r="C163">
            <v>33120</v>
          </cell>
          <cell r="D163">
            <v>21390</v>
          </cell>
          <cell r="E163">
            <v>23760</v>
          </cell>
          <cell r="F163">
            <v>12030</v>
          </cell>
          <cell r="G163">
            <v>9360</v>
          </cell>
          <cell r="H163">
            <v>9360</v>
          </cell>
          <cell r="I163">
            <v>1248</v>
          </cell>
          <cell r="J163">
            <v>1248</v>
          </cell>
          <cell r="K163">
            <v>1248</v>
          </cell>
          <cell r="L163">
            <v>829</v>
          </cell>
          <cell r="M163">
            <v>419</v>
          </cell>
          <cell r="N163">
            <v>0</v>
          </cell>
          <cell r="O163">
            <v>8112</v>
          </cell>
          <cell r="P163">
            <v>8112</v>
          </cell>
          <cell r="Q163">
            <v>2942</v>
          </cell>
          <cell r="R163">
            <v>2942</v>
          </cell>
          <cell r="S163">
            <v>5170</v>
          </cell>
          <cell r="T163">
            <v>5170</v>
          </cell>
          <cell r="U163">
            <v>437</v>
          </cell>
          <cell r="V163">
            <v>307</v>
          </cell>
          <cell r="W163">
            <v>0</v>
          </cell>
          <cell r="X163">
            <v>130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1252</v>
          </cell>
          <cell r="AG163">
            <v>987</v>
          </cell>
          <cell r="AH163">
            <v>265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3481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90</v>
          </cell>
          <cell r="AX163">
            <v>3391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239</v>
          </cell>
          <cell r="BK163">
            <v>0</v>
          </cell>
          <cell r="BL163">
            <v>239</v>
          </cell>
        </row>
        <row r="164">
          <cell r="B164" t="str">
            <v>CPH-SECONDARY PACKING</v>
          </cell>
          <cell r="C164">
            <v>60480</v>
          </cell>
          <cell r="D164">
            <v>20160</v>
          </cell>
          <cell r="E164">
            <v>39450</v>
          </cell>
          <cell r="F164">
            <v>-870</v>
          </cell>
          <cell r="G164">
            <v>21030</v>
          </cell>
          <cell r="H164">
            <v>21030</v>
          </cell>
          <cell r="I164">
            <v>3300</v>
          </cell>
          <cell r="J164">
            <v>3300</v>
          </cell>
          <cell r="K164">
            <v>3300</v>
          </cell>
          <cell r="L164">
            <v>945</v>
          </cell>
          <cell r="M164">
            <v>2355</v>
          </cell>
          <cell r="N164">
            <v>0</v>
          </cell>
          <cell r="O164">
            <v>17730</v>
          </cell>
          <cell r="P164">
            <v>17730</v>
          </cell>
          <cell r="Q164">
            <v>7468</v>
          </cell>
          <cell r="R164">
            <v>7468</v>
          </cell>
          <cell r="S164">
            <v>10262</v>
          </cell>
          <cell r="T164">
            <v>10262</v>
          </cell>
          <cell r="U164">
            <v>3418</v>
          </cell>
          <cell r="V164">
            <v>2108</v>
          </cell>
          <cell r="W164">
            <v>160</v>
          </cell>
          <cell r="X164">
            <v>300</v>
          </cell>
          <cell r="Y164">
            <v>850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3177</v>
          </cell>
          <cell r="AG164">
            <v>1707</v>
          </cell>
          <cell r="AH164">
            <v>820</v>
          </cell>
          <cell r="AI164">
            <v>440</v>
          </cell>
          <cell r="AJ164">
            <v>0</v>
          </cell>
          <cell r="AK164">
            <v>210</v>
          </cell>
          <cell r="AL164">
            <v>0</v>
          </cell>
          <cell r="AM164">
            <v>0</v>
          </cell>
          <cell r="AN164">
            <v>0</v>
          </cell>
          <cell r="AO164">
            <v>3667</v>
          </cell>
          <cell r="AP164">
            <v>0</v>
          </cell>
          <cell r="AQ164">
            <v>0</v>
          </cell>
          <cell r="AR164">
            <v>1115</v>
          </cell>
          <cell r="AS164">
            <v>0</v>
          </cell>
          <cell r="AT164">
            <v>725</v>
          </cell>
          <cell r="AU164">
            <v>570</v>
          </cell>
          <cell r="AV164">
            <v>0</v>
          </cell>
          <cell r="AW164">
            <v>0</v>
          </cell>
          <cell r="AX164">
            <v>145</v>
          </cell>
          <cell r="AY164">
            <v>440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592</v>
          </cell>
          <cell r="BG164">
            <v>80</v>
          </cell>
          <cell r="BH164">
            <v>0</v>
          </cell>
          <cell r="BI164">
            <v>0</v>
          </cell>
          <cell r="BJ164">
            <v>882334</v>
          </cell>
          <cell r="BK164">
            <v>597</v>
          </cell>
          <cell r="BL164">
            <v>881737</v>
          </cell>
        </row>
        <row r="165">
          <cell r="B165" t="str">
            <v>PCF101</v>
          </cell>
          <cell r="C165">
            <v>30240</v>
          </cell>
          <cell r="D165">
            <v>10080</v>
          </cell>
          <cell r="E165">
            <v>16860</v>
          </cell>
          <cell r="F165">
            <v>-3300</v>
          </cell>
          <cell r="G165">
            <v>13380</v>
          </cell>
          <cell r="H165">
            <v>13380</v>
          </cell>
          <cell r="I165">
            <v>1540</v>
          </cell>
          <cell r="J165">
            <v>1540</v>
          </cell>
          <cell r="K165">
            <v>1540</v>
          </cell>
          <cell r="L165">
            <v>485</v>
          </cell>
          <cell r="M165">
            <v>1055</v>
          </cell>
          <cell r="N165">
            <v>0</v>
          </cell>
          <cell r="O165">
            <v>11840</v>
          </cell>
          <cell r="P165">
            <v>11840</v>
          </cell>
          <cell r="Q165">
            <v>3773</v>
          </cell>
          <cell r="R165">
            <v>3773</v>
          </cell>
          <cell r="S165">
            <v>8067</v>
          </cell>
          <cell r="T165">
            <v>8067</v>
          </cell>
          <cell r="U165">
            <v>3220</v>
          </cell>
          <cell r="V165">
            <v>1910</v>
          </cell>
          <cell r="W165">
            <v>160</v>
          </cell>
          <cell r="X165">
            <v>300</v>
          </cell>
          <cell r="Y165">
            <v>850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2827</v>
          </cell>
          <cell r="AG165">
            <v>1707</v>
          </cell>
          <cell r="AH165">
            <v>680</v>
          </cell>
          <cell r="AI165">
            <v>440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2020</v>
          </cell>
          <cell r="AP165">
            <v>0</v>
          </cell>
          <cell r="AQ165">
            <v>0</v>
          </cell>
          <cell r="AR165">
            <v>755</v>
          </cell>
          <cell r="AS165">
            <v>0</v>
          </cell>
          <cell r="AT165">
            <v>550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295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340</v>
          </cell>
          <cell r="BG165">
            <v>80</v>
          </cell>
          <cell r="BH165">
            <v>0</v>
          </cell>
          <cell r="BI165">
            <v>0</v>
          </cell>
          <cell r="BJ165">
            <v>760624</v>
          </cell>
          <cell r="BK165">
            <v>237</v>
          </cell>
          <cell r="BL165">
            <v>760387</v>
          </cell>
        </row>
        <row r="166">
          <cell r="B166" t="str">
            <v>PCF102</v>
          </cell>
          <cell r="C166">
            <v>30240</v>
          </cell>
          <cell r="D166">
            <v>10080</v>
          </cell>
          <cell r="E166">
            <v>22590</v>
          </cell>
          <cell r="F166">
            <v>2430</v>
          </cell>
          <cell r="G166">
            <v>7650</v>
          </cell>
          <cell r="H166">
            <v>7650</v>
          </cell>
          <cell r="I166">
            <v>1760</v>
          </cell>
          <cell r="J166">
            <v>1760</v>
          </cell>
          <cell r="K166">
            <v>1760</v>
          </cell>
          <cell r="L166">
            <v>460</v>
          </cell>
          <cell r="M166">
            <v>1300</v>
          </cell>
          <cell r="N166">
            <v>0</v>
          </cell>
          <cell r="O166">
            <v>5890</v>
          </cell>
          <cell r="P166">
            <v>5890</v>
          </cell>
          <cell r="Q166">
            <v>3695</v>
          </cell>
          <cell r="R166">
            <v>3695</v>
          </cell>
          <cell r="S166">
            <v>2195</v>
          </cell>
          <cell r="T166">
            <v>2195</v>
          </cell>
          <cell r="U166">
            <v>198</v>
          </cell>
          <cell r="V166">
            <v>198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350</v>
          </cell>
          <cell r="AG166">
            <v>0</v>
          </cell>
          <cell r="AH166">
            <v>140</v>
          </cell>
          <cell r="AI166">
            <v>0</v>
          </cell>
          <cell r="AJ166">
            <v>0</v>
          </cell>
          <cell r="AK166">
            <v>210</v>
          </cell>
          <cell r="AL166">
            <v>0</v>
          </cell>
          <cell r="AM166">
            <v>0</v>
          </cell>
          <cell r="AN166">
            <v>0</v>
          </cell>
          <cell r="AO166">
            <v>1647</v>
          </cell>
          <cell r="AP166">
            <v>0</v>
          </cell>
          <cell r="AQ166">
            <v>0</v>
          </cell>
          <cell r="AR166">
            <v>360</v>
          </cell>
          <cell r="AS166">
            <v>0</v>
          </cell>
          <cell r="AT166">
            <v>175</v>
          </cell>
          <cell r="AU166">
            <v>570</v>
          </cell>
          <cell r="AV166">
            <v>0</v>
          </cell>
          <cell r="AW166">
            <v>0</v>
          </cell>
          <cell r="AX166">
            <v>145</v>
          </cell>
          <cell r="AY166">
            <v>145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252</v>
          </cell>
          <cell r="BG166">
            <v>0</v>
          </cell>
          <cell r="BH166">
            <v>0</v>
          </cell>
          <cell r="BI166">
            <v>0</v>
          </cell>
          <cell r="BJ166">
            <v>121710</v>
          </cell>
          <cell r="BK166">
            <v>360</v>
          </cell>
          <cell r="BL166">
            <v>121350</v>
          </cell>
        </row>
      </sheetData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shboard OEE"/>
      <sheetName val="Dashboard Monthly Manpower"/>
      <sheetName val="Dashboard Monthly Legend"/>
      <sheetName val="Dashboard Legend Group"/>
      <sheetName val="Mesin Running"/>
      <sheetName val="Pivot Batch &amp; Tanggal"/>
      <sheetName val="Jumlah Shift"/>
      <sheetName val="Format Shift Operation"/>
      <sheetName val="Custom Report "/>
      <sheetName val="OEE All Machine Report"/>
      <sheetName val="OEE By Group Report"/>
      <sheetName val="Analisys QBR Report"/>
      <sheetName val="Analisys QBR By Machine Report"/>
      <sheetName val="Dasboard_QBR_Report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B1" t="str">
            <v>oee</v>
          </cell>
        </row>
        <row r="109">
          <cell r="C109" t="str">
            <v>PROSES( Menit )</v>
          </cell>
          <cell r="D109" t="str">
            <v>POT</v>
          </cell>
          <cell r="E109" t="str">
            <v>Unschedule Time</v>
          </cell>
          <cell r="F109" t="str">
            <v>L2</v>
          </cell>
          <cell r="G109" t="str">
            <v>L21</v>
          </cell>
          <cell r="H109" t="str">
            <v>L22</v>
          </cell>
          <cell r="I109" t="str">
            <v>IG</v>
          </cell>
          <cell r="J109" t="str">
            <v>PPT</v>
          </cell>
          <cell r="K109" t="str">
            <v>R</v>
          </cell>
          <cell r="L109" t="str">
            <v>Setup</v>
          </cell>
          <cell r="M109" t="str">
            <v>P6</v>
          </cell>
          <cell r="N109" t="str">
            <v>P5</v>
          </cell>
          <cell r="O109" t="str">
            <v>P8</v>
          </cell>
          <cell r="P109" t="str">
            <v>P9</v>
          </cell>
          <cell r="Q109" t="str">
            <v>Breakdown</v>
          </cell>
          <cell r="R109" t="str">
            <v>M1</v>
          </cell>
          <cell r="S109" t="str">
            <v>M2</v>
          </cell>
          <cell r="T109" t="str">
            <v>M4</v>
          </cell>
          <cell r="U109" t="str">
            <v>M8</v>
          </cell>
          <cell r="V109" t="str">
            <v>M9</v>
          </cell>
          <cell r="W109" t="str">
            <v>Clean</v>
          </cell>
          <cell r="X109" t="str">
            <v>P2</v>
          </cell>
          <cell r="Y109" t="str">
            <v>P4</v>
          </cell>
          <cell r="Z109" t="str">
            <v>P17</v>
          </cell>
          <cell r="AA109" t="str">
            <v>P19</v>
          </cell>
          <cell r="AB109" t="str">
            <v>P12</v>
          </cell>
          <cell r="AC109" t="str">
            <v>Trial</v>
          </cell>
          <cell r="AD109" t="str">
            <v>R1</v>
          </cell>
          <cell r="AE109" t="str">
            <v>R2</v>
          </cell>
          <cell r="AF109" t="str">
            <v>Waiting</v>
          </cell>
          <cell r="AG109" t="str">
            <v>L1</v>
          </cell>
          <cell r="AH109" t="str">
            <v>L3</v>
          </cell>
          <cell r="AI109" t="str">
            <v>H1</v>
          </cell>
          <cell r="AJ109" t="str">
            <v>H2</v>
          </cell>
          <cell r="AK109" t="str">
            <v>H4</v>
          </cell>
          <cell r="AL109" t="str">
            <v>H6</v>
          </cell>
          <cell r="AM109" t="str">
            <v>H7</v>
          </cell>
          <cell r="AN109" t="str">
            <v>H8</v>
          </cell>
          <cell r="AO109" t="str">
            <v>P10</v>
          </cell>
          <cell r="AP109" t="str">
            <v>P11</v>
          </cell>
          <cell r="AQ109" t="str">
            <v>P13</v>
          </cell>
          <cell r="AR109" t="str">
            <v>P14</v>
          </cell>
          <cell r="AS109" t="str">
            <v>P16</v>
          </cell>
          <cell r="AT109" t="str">
            <v>M5</v>
          </cell>
          <cell r="AU109" t="str">
            <v>M6</v>
          </cell>
          <cell r="AV109" t="str">
            <v>M7</v>
          </cell>
          <cell r="AW109" t="str">
            <v>Q1</v>
          </cell>
          <cell r="AX109" t="str">
            <v>Q2</v>
          </cell>
          <cell r="AY109" t="str">
            <v>Q3</v>
          </cell>
          <cell r="AZ109" t="str">
            <v>Q4</v>
          </cell>
          <cell r="BA109" t="str">
            <v>Total Output</v>
          </cell>
          <cell r="BB109" t="str">
            <v>Reject Output</v>
          </cell>
          <cell r="BC109" t="str">
            <v>Good Output</v>
          </cell>
        </row>
        <row r="110">
          <cell r="C110" t="str">
            <v>NBL SOL-MIXING</v>
          </cell>
          <cell r="D110">
            <v>90720</v>
          </cell>
          <cell r="E110">
            <v>55620</v>
          </cell>
          <cell r="F110">
            <v>3609</v>
          </cell>
          <cell r="G110">
            <v>640</v>
          </cell>
          <cell r="H110">
            <v>2969</v>
          </cell>
          <cell r="I110">
            <v>669</v>
          </cell>
          <cell r="J110">
            <v>30822</v>
          </cell>
          <cell r="K110">
            <v>5281</v>
          </cell>
          <cell r="L110">
            <v>816</v>
          </cell>
          <cell r="M110">
            <v>816</v>
          </cell>
          <cell r="N110">
            <v>0</v>
          </cell>
          <cell r="O110">
            <v>0</v>
          </cell>
          <cell r="P110">
            <v>0</v>
          </cell>
          <cell r="Q110">
            <v>135</v>
          </cell>
          <cell r="R110">
            <v>0</v>
          </cell>
          <cell r="S110">
            <v>0</v>
          </cell>
          <cell r="T110">
            <v>0</v>
          </cell>
          <cell r="U110">
            <v>135</v>
          </cell>
          <cell r="V110">
            <v>0</v>
          </cell>
          <cell r="W110">
            <v>14182</v>
          </cell>
          <cell r="X110">
            <v>8480</v>
          </cell>
          <cell r="Y110">
            <v>5150</v>
          </cell>
          <cell r="Z110">
            <v>22</v>
          </cell>
          <cell r="AA110">
            <v>0</v>
          </cell>
          <cell r="AB110">
            <v>530</v>
          </cell>
          <cell r="AC110">
            <v>855</v>
          </cell>
          <cell r="AD110">
            <v>0</v>
          </cell>
          <cell r="AE110">
            <v>855</v>
          </cell>
          <cell r="AF110">
            <v>9553</v>
          </cell>
          <cell r="AG110">
            <v>205</v>
          </cell>
          <cell r="AH110">
            <v>0</v>
          </cell>
          <cell r="AI110">
            <v>550</v>
          </cell>
          <cell r="AJ110">
            <v>0</v>
          </cell>
          <cell r="AK110">
            <v>1418</v>
          </cell>
          <cell r="AL110">
            <v>0</v>
          </cell>
          <cell r="AM110">
            <v>0</v>
          </cell>
          <cell r="AN110">
            <v>0</v>
          </cell>
          <cell r="AO110">
            <v>6455</v>
          </cell>
          <cell r="AP110">
            <v>20</v>
          </cell>
          <cell r="AQ110">
            <v>0</v>
          </cell>
          <cell r="AR110">
            <v>583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322</v>
          </cell>
          <cell r="AX110">
            <v>0</v>
          </cell>
          <cell r="AY110">
            <v>0</v>
          </cell>
          <cell r="AZ110">
            <v>0</v>
          </cell>
          <cell r="BA110">
            <v>8589.74</v>
          </cell>
          <cell r="BB110">
            <v>0</v>
          </cell>
          <cell r="BC110">
            <v>8589.74</v>
          </cell>
        </row>
        <row r="111">
          <cell r="C111" t="str">
            <v>MIX113</v>
          </cell>
          <cell r="D111">
            <v>30240</v>
          </cell>
          <cell r="E111">
            <v>12120</v>
          </cell>
          <cell r="F111">
            <v>2554</v>
          </cell>
          <cell r="G111">
            <v>30</v>
          </cell>
          <cell r="H111">
            <v>2524</v>
          </cell>
          <cell r="I111">
            <v>442</v>
          </cell>
          <cell r="J111">
            <v>15124</v>
          </cell>
          <cell r="K111">
            <v>945</v>
          </cell>
          <cell r="L111">
            <v>418</v>
          </cell>
          <cell r="M111">
            <v>418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5070</v>
          </cell>
          <cell r="X111">
            <v>2256</v>
          </cell>
          <cell r="Y111">
            <v>2544</v>
          </cell>
          <cell r="Z111">
            <v>15</v>
          </cell>
          <cell r="AA111">
            <v>0</v>
          </cell>
          <cell r="AB111">
            <v>255</v>
          </cell>
          <cell r="AC111">
            <v>855</v>
          </cell>
          <cell r="AD111">
            <v>0</v>
          </cell>
          <cell r="AE111">
            <v>855</v>
          </cell>
          <cell r="AF111">
            <v>7836</v>
          </cell>
          <cell r="AG111">
            <v>110</v>
          </cell>
          <cell r="AH111">
            <v>0</v>
          </cell>
          <cell r="AI111">
            <v>270</v>
          </cell>
          <cell r="AJ111">
            <v>0</v>
          </cell>
          <cell r="AK111">
            <v>648</v>
          </cell>
          <cell r="AL111">
            <v>0</v>
          </cell>
          <cell r="AM111">
            <v>0</v>
          </cell>
          <cell r="AN111">
            <v>0</v>
          </cell>
          <cell r="AO111">
            <v>6455</v>
          </cell>
          <cell r="AP111">
            <v>20</v>
          </cell>
          <cell r="AQ111">
            <v>0</v>
          </cell>
          <cell r="AR111">
            <v>11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322</v>
          </cell>
          <cell r="AX111">
            <v>0</v>
          </cell>
          <cell r="AY111">
            <v>0</v>
          </cell>
          <cell r="AZ111">
            <v>0</v>
          </cell>
          <cell r="BA111">
            <v>5370.74</v>
          </cell>
          <cell r="BB111">
            <v>0</v>
          </cell>
          <cell r="BC111">
            <v>5370.74</v>
          </cell>
        </row>
        <row r="112">
          <cell r="C112" t="str">
            <v>LMIXSOL1</v>
          </cell>
          <cell r="D112">
            <v>30240</v>
          </cell>
          <cell r="E112">
            <v>18855</v>
          </cell>
          <cell r="F112">
            <v>980</v>
          </cell>
          <cell r="G112">
            <v>580</v>
          </cell>
          <cell r="H112">
            <v>400</v>
          </cell>
          <cell r="I112">
            <v>227</v>
          </cell>
          <cell r="J112">
            <v>10178</v>
          </cell>
          <cell r="K112">
            <v>2680</v>
          </cell>
          <cell r="L112">
            <v>256</v>
          </cell>
          <cell r="M112">
            <v>256</v>
          </cell>
          <cell r="N112">
            <v>0</v>
          </cell>
          <cell r="O112">
            <v>0</v>
          </cell>
          <cell r="P112">
            <v>0</v>
          </cell>
          <cell r="Q112">
            <v>60</v>
          </cell>
          <cell r="R112">
            <v>0</v>
          </cell>
          <cell r="S112">
            <v>0</v>
          </cell>
          <cell r="T112">
            <v>0</v>
          </cell>
          <cell r="U112">
            <v>60</v>
          </cell>
          <cell r="V112">
            <v>0</v>
          </cell>
          <cell r="W112">
            <v>5910</v>
          </cell>
          <cell r="X112">
            <v>3950</v>
          </cell>
          <cell r="Y112">
            <v>1779</v>
          </cell>
          <cell r="Z112">
            <v>6</v>
          </cell>
          <cell r="AA112">
            <v>0</v>
          </cell>
          <cell r="AB112">
            <v>175</v>
          </cell>
          <cell r="AC112">
            <v>0</v>
          </cell>
          <cell r="AD112">
            <v>0</v>
          </cell>
          <cell r="AE112">
            <v>0</v>
          </cell>
          <cell r="AF112">
            <v>1272</v>
          </cell>
          <cell r="AG112">
            <v>95</v>
          </cell>
          <cell r="AH112">
            <v>0</v>
          </cell>
          <cell r="AI112">
            <v>235</v>
          </cell>
          <cell r="AJ112">
            <v>0</v>
          </cell>
          <cell r="AK112">
            <v>540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402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1411.21</v>
          </cell>
          <cell r="BB112">
            <v>0</v>
          </cell>
          <cell r="BC112">
            <v>1411.21</v>
          </cell>
        </row>
        <row r="113">
          <cell r="C113" t="str">
            <v>LMIXSOL2</v>
          </cell>
          <cell r="D113">
            <v>30240</v>
          </cell>
          <cell r="E113">
            <v>24645</v>
          </cell>
          <cell r="F113">
            <v>75</v>
          </cell>
          <cell r="G113">
            <v>30</v>
          </cell>
          <cell r="H113">
            <v>45</v>
          </cell>
          <cell r="I113">
            <v>0</v>
          </cell>
          <cell r="J113">
            <v>5520</v>
          </cell>
          <cell r="K113">
            <v>1656</v>
          </cell>
          <cell r="L113">
            <v>142</v>
          </cell>
          <cell r="M113">
            <v>142</v>
          </cell>
          <cell r="N113">
            <v>0</v>
          </cell>
          <cell r="O113">
            <v>0</v>
          </cell>
          <cell r="P113">
            <v>0</v>
          </cell>
          <cell r="Q113">
            <v>75</v>
          </cell>
          <cell r="R113">
            <v>0</v>
          </cell>
          <cell r="S113">
            <v>0</v>
          </cell>
          <cell r="T113">
            <v>0</v>
          </cell>
          <cell r="U113">
            <v>75</v>
          </cell>
          <cell r="V113">
            <v>0</v>
          </cell>
          <cell r="W113">
            <v>3202</v>
          </cell>
          <cell r="X113">
            <v>2274</v>
          </cell>
          <cell r="Y113">
            <v>827</v>
          </cell>
          <cell r="Z113">
            <v>1</v>
          </cell>
          <cell r="AA113">
            <v>0</v>
          </cell>
          <cell r="AB113">
            <v>100</v>
          </cell>
          <cell r="AC113">
            <v>0</v>
          </cell>
          <cell r="AD113">
            <v>0</v>
          </cell>
          <cell r="AE113">
            <v>0</v>
          </cell>
          <cell r="AF113">
            <v>445</v>
          </cell>
          <cell r="AG113">
            <v>0</v>
          </cell>
          <cell r="AH113">
            <v>0</v>
          </cell>
          <cell r="AI113">
            <v>45</v>
          </cell>
          <cell r="AJ113">
            <v>0</v>
          </cell>
          <cell r="AK113">
            <v>230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170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1807.79</v>
          </cell>
          <cell r="BB113">
            <v>0</v>
          </cell>
          <cell r="BC113">
            <v>1807.79</v>
          </cell>
        </row>
        <row r="114">
          <cell r="C114" t="str">
            <v>NBL SOL-COATING</v>
          </cell>
          <cell r="D114">
            <v>57600</v>
          </cell>
          <cell r="E114">
            <v>47670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9930</v>
          </cell>
          <cell r="K114">
            <v>4234</v>
          </cell>
          <cell r="L114">
            <v>256</v>
          </cell>
          <cell r="M114">
            <v>196</v>
          </cell>
          <cell r="N114">
            <v>0</v>
          </cell>
          <cell r="O114">
            <v>60</v>
          </cell>
          <cell r="P114">
            <v>0</v>
          </cell>
          <cell r="Q114">
            <v>30</v>
          </cell>
          <cell r="R114">
            <v>30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3597</v>
          </cell>
          <cell r="X114">
            <v>982</v>
          </cell>
          <cell r="Y114">
            <v>2290</v>
          </cell>
          <cell r="Z114">
            <v>0</v>
          </cell>
          <cell r="AA114">
            <v>0</v>
          </cell>
          <cell r="AB114">
            <v>325</v>
          </cell>
          <cell r="AC114">
            <v>0</v>
          </cell>
          <cell r="AD114">
            <v>0</v>
          </cell>
          <cell r="AE114">
            <v>0</v>
          </cell>
          <cell r="AF114">
            <v>1813</v>
          </cell>
          <cell r="AG114">
            <v>0</v>
          </cell>
          <cell r="AH114">
            <v>0</v>
          </cell>
          <cell r="AI114">
            <v>150</v>
          </cell>
          <cell r="AJ114">
            <v>0</v>
          </cell>
          <cell r="AK114">
            <v>460</v>
          </cell>
          <cell r="AL114">
            <v>160</v>
          </cell>
          <cell r="AM114">
            <v>0</v>
          </cell>
          <cell r="AN114">
            <v>0</v>
          </cell>
          <cell r="AO114">
            <v>297</v>
          </cell>
          <cell r="AP114">
            <v>236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120</v>
          </cell>
          <cell r="AW114">
            <v>95</v>
          </cell>
          <cell r="AX114">
            <v>295</v>
          </cell>
          <cell r="AY114">
            <v>0</v>
          </cell>
          <cell r="AZ114">
            <v>0</v>
          </cell>
          <cell r="BA114">
            <v>2231.33</v>
          </cell>
          <cell r="BB114">
            <v>0.93</v>
          </cell>
          <cell r="BC114">
            <v>2230.4</v>
          </cell>
        </row>
        <row r="115">
          <cell r="C115" t="str">
            <v>COT101</v>
          </cell>
          <cell r="D115">
            <v>28800</v>
          </cell>
          <cell r="E115">
            <v>23595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5205</v>
          </cell>
          <cell r="K115">
            <v>2149</v>
          </cell>
          <cell r="L115">
            <v>131</v>
          </cell>
          <cell r="M115">
            <v>91</v>
          </cell>
          <cell r="N115">
            <v>0</v>
          </cell>
          <cell r="O115">
            <v>40</v>
          </cell>
          <cell r="P115">
            <v>0</v>
          </cell>
          <cell r="Q115">
            <v>30</v>
          </cell>
          <cell r="R115">
            <v>30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1983</v>
          </cell>
          <cell r="X115">
            <v>483</v>
          </cell>
          <cell r="Y115">
            <v>1325</v>
          </cell>
          <cell r="Z115">
            <v>0</v>
          </cell>
          <cell r="AA115">
            <v>0</v>
          </cell>
          <cell r="AB115">
            <v>175</v>
          </cell>
          <cell r="AC115">
            <v>0</v>
          </cell>
          <cell r="AD115">
            <v>0</v>
          </cell>
          <cell r="AE115">
            <v>0</v>
          </cell>
          <cell r="AF115">
            <v>912</v>
          </cell>
          <cell r="AG115">
            <v>0</v>
          </cell>
          <cell r="AH115">
            <v>0</v>
          </cell>
          <cell r="AI115">
            <v>60</v>
          </cell>
          <cell r="AJ115">
            <v>0</v>
          </cell>
          <cell r="AK115">
            <v>250</v>
          </cell>
          <cell r="AL115">
            <v>40</v>
          </cell>
          <cell r="AM115">
            <v>0</v>
          </cell>
          <cell r="AN115">
            <v>0</v>
          </cell>
          <cell r="AO115">
            <v>142</v>
          </cell>
          <cell r="AP115">
            <v>135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120</v>
          </cell>
          <cell r="AW115">
            <v>50</v>
          </cell>
          <cell r="AX115">
            <v>115</v>
          </cell>
          <cell r="AY115">
            <v>0</v>
          </cell>
          <cell r="AZ115">
            <v>0</v>
          </cell>
          <cell r="BA115">
            <v>544.44000000000005</v>
          </cell>
          <cell r="BB115">
            <v>0.4</v>
          </cell>
          <cell r="BC115">
            <v>544.04</v>
          </cell>
        </row>
        <row r="116">
          <cell r="C116" t="str">
            <v>COT102</v>
          </cell>
          <cell r="D116">
            <v>28800</v>
          </cell>
          <cell r="E116">
            <v>24075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4725</v>
          </cell>
          <cell r="K116">
            <v>2085</v>
          </cell>
          <cell r="L116">
            <v>125</v>
          </cell>
          <cell r="M116">
            <v>105</v>
          </cell>
          <cell r="N116">
            <v>0</v>
          </cell>
          <cell r="O116">
            <v>20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1614</v>
          </cell>
          <cell r="X116">
            <v>499</v>
          </cell>
          <cell r="Y116">
            <v>965</v>
          </cell>
          <cell r="Z116">
            <v>0</v>
          </cell>
          <cell r="AA116">
            <v>0</v>
          </cell>
          <cell r="AB116">
            <v>150</v>
          </cell>
          <cell r="AC116">
            <v>0</v>
          </cell>
          <cell r="AD116">
            <v>0</v>
          </cell>
          <cell r="AE116">
            <v>0</v>
          </cell>
          <cell r="AF116">
            <v>901</v>
          </cell>
          <cell r="AG116">
            <v>0</v>
          </cell>
          <cell r="AH116">
            <v>0</v>
          </cell>
          <cell r="AI116">
            <v>90</v>
          </cell>
          <cell r="AJ116">
            <v>0</v>
          </cell>
          <cell r="AK116">
            <v>210</v>
          </cell>
          <cell r="AL116">
            <v>120</v>
          </cell>
          <cell r="AM116">
            <v>0</v>
          </cell>
          <cell r="AN116">
            <v>0</v>
          </cell>
          <cell r="AO116">
            <v>155</v>
          </cell>
          <cell r="AP116">
            <v>101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45</v>
          </cell>
          <cell r="AX116">
            <v>180</v>
          </cell>
          <cell r="AY116">
            <v>0</v>
          </cell>
          <cell r="AZ116">
            <v>0</v>
          </cell>
          <cell r="BA116">
            <v>1686.89</v>
          </cell>
          <cell r="BB116">
            <v>0.53</v>
          </cell>
          <cell r="BC116">
            <v>1686.36</v>
          </cell>
        </row>
        <row r="117">
          <cell r="C117" t="str">
            <v>NBL SOL-TABLETING</v>
          </cell>
          <cell r="D117">
            <v>89280</v>
          </cell>
          <cell r="E117">
            <v>48765</v>
          </cell>
          <cell r="F117">
            <v>1490</v>
          </cell>
          <cell r="G117">
            <v>0</v>
          </cell>
          <cell r="H117">
            <v>1490</v>
          </cell>
          <cell r="I117">
            <v>0</v>
          </cell>
          <cell r="J117">
            <v>39025</v>
          </cell>
          <cell r="K117">
            <v>15550</v>
          </cell>
          <cell r="L117">
            <v>3890</v>
          </cell>
          <cell r="M117">
            <v>3085</v>
          </cell>
          <cell r="N117">
            <v>0</v>
          </cell>
          <cell r="O117">
            <v>70</v>
          </cell>
          <cell r="P117">
            <v>735</v>
          </cell>
          <cell r="Q117">
            <v>40</v>
          </cell>
          <cell r="R117">
            <v>0</v>
          </cell>
          <cell r="S117">
            <v>0</v>
          </cell>
          <cell r="T117">
            <v>0</v>
          </cell>
          <cell r="U117">
            <v>40</v>
          </cell>
          <cell r="V117">
            <v>0</v>
          </cell>
          <cell r="W117">
            <v>6695</v>
          </cell>
          <cell r="X117">
            <v>1490</v>
          </cell>
          <cell r="Y117">
            <v>4120</v>
          </cell>
          <cell r="Z117">
            <v>395</v>
          </cell>
          <cell r="AA117">
            <v>0</v>
          </cell>
          <cell r="AB117">
            <v>690</v>
          </cell>
          <cell r="AC117">
            <v>3055</v>
          </cell>
          <cell r="AD117">
            <v>195</v>
          </cell>
          <cell r="AE117">
            <v>2860</v>
          </cell>
          <cell r="AF117">
            <v>9795</v>
          </cell>
          <cell r="AG117">
            <v>0</v>
          </cell>
          <cell r="AH117">
            <v>0</v>
          </cell>
          <cell r="AI117">
            <v>1085</v>
          </cell>
          <cell r="AJ117">
            <v>0</v>
          </cell>
          <cell r="AK117">
            <v>1890</v>
          </cell>
          <cell r="AL117">
            <v>1940</v>
          </cell>
          <cell r="AM117">
            <v>60</v>
          </cell>
          <cell r="AN117">
            <v>0</v>
          </cell>
          <cell r="AO117">
            <v>530</v>
          </cell>
          <cell r="AP117">
            <v>630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3440</v>
          </cell>
          <cell r="AX117">
            <v>220</v>
          </cell>
          <cell r="AY117">
            <v>0</v>
          </cell>
          <cell r="AZ117">
            <v>0</v>
          </cell>
          <cell r="BA117">
            <v>11438714</v>
          </cell>
          <cell r="BB117">
            <v>1279</v>
          </cell>
          <cell r="BC117">
            <v>11437435</v>
          </cell>
        </row>
        <row r="118">
          <cell r="C118" t="str">
            <v>TAB101</v>
          </cell>
          <cell r="D118">
            <v>30240</v>
          </cell>
          <cell r="E118">
            <v>12225</v>
          </cell>
          <cell r="F118">
            <v>300</v>
          </cell>
          <cell r="G118">
            <v>0</v>
          </cell>
          <cell r="H118">
            <v>300</v>
          </cell>
          <cell r="I118">
            <v>0</v>
          </cell>
          <cell r="J118">
            <v>17715</v>
          </cell>
          <cell r="K118">
            <v>6995</v>
          </cell>
          <cell r="L118">
            <v>1180</v>
          </cell>
          <cell r="M118">
            <v>1095</v>
          </cell>
          <cell r="N118">
            <v>0</v>
          </cell>
          <cell r="O118">
            <v>0</v>
          </cell>
          <cell r="P118">
            <v>85</v>
          </cell>
          <cell r="Q118">
            <v>40</v>
          </cell>
          <cell r="R118">
            <v>0</v>
          </cell>
          <cell r="S118">
            <v>0</v>
          </cell>
          <cell r="T118">
            <v>0</v>
          </cell>
          <cell r="U118">
            <v>40</v>
          </cell>
          <cell r="V118">
            <v>0</v>
          </cell>
          <cell r="W118">
            <v>2650</v>
          </cell>
          <cell r="X118">
            <v>605</v>
          </cell>
          <cell r="Y118">
            <v>1635</v>
          </cell>
          <cell r="Z118">
            <v>105</v>
          </cell>
          <cell r="AA118">
            <v>0</v>
          </cell>
          <cell r="AB118">
            <v>305</v>
          </cell>
          <cell r="AC118">
            <v>2380</v>
          </cell>
          <cell r="AD118">
            <v>0</v>
          </cell>
          <cell r="AE118">
            <v>2380</v>
          </cell>
          <cell r="AF118">
            <v>4470</v>
          </cell>
          <cell r="AG118">
            <v>0</v>
          </cell>
          <cell r="AH118">
            <v>0</v>
          </cell>
          <cell r="AI118">
            <v>435</v>
          </cell>
          <cell r="AJ118">
            <v>0</v>
          </cell>
          <cell r="AK118">
            <v>730</v>
          </cell>
          <cell r="AL118">
            <v>1220</v>
          </cell>
          <cell r="AM118">
            <v>60</v>
          </cell>
          <cell r="AN118">
            <v>0</v>
          </cell>
          <cell r="AO118">
            <v>220</v>
          </cell>
          <cell r="AP118">
            <v>290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1295</v>
          </cell>
          <cell r="AX118">
            <v>220</v>
          </cell>
          <cell r="AY118">
            <v>0</v>
          </cell>
          <cell r="AZ118">
            <v>0</v>
          </cell>
          <cell r="BA118">
            <v>6605781</v>
          </cell>
          <cell r="BB118">
            <v>0</v>
          </cell>
          <cell r="BC118">
            <v>6605781</v>
          </cell>
        </row>
        <row r="119">
          <cell r="C119" t="str">
            <v>TAB105</v>
          </cell>
          <cell r="D119">
            <v>30240</v>
          </cell>
          <cell r="E119">
            <v>12660</v>
          </cell>
          <cell r="F119">
            <v>455</v>
          </cell>
          <cell r="G119">
            <v>0</v>
          </cell>
          <cell r="H119">
            <v>455</v>
          </cell>
          <cell r="I119">
            <v>0</v>
          </cell>
          <cell r="J119">
            <v>17125</v>
          </cell>
          <cell r="K119">
            <v>7430</v>
          </cell>
          <cell r="L119">
            <v>2215</v>
          </cell>
          <cell r="M119">
            <v>1655</v>
          </cell>
          <cell r="N119">
            <v>0</v>
          </cell>
          <cell r="O119">
            <v>70</v>
          </cell>
          <cell r="P119">
            <v>490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3180</v>
          </cell>
          <cell r="X119">
            <v>605</v>
          </cell>
          <cell r="Y119">
            <v>2020</v>
          </cell>
          <cell r="Z119">
            <v>250</v>
          </cell>
          <cell r="AA119">
            <v>0</v>
          </cell>
          <cell r="AB119">
            <v>305</v>
          </cell>
          <cell r="AC119">
            <v>675</v>
          </cell>
          <cell r="AD119">
            <v>195</v>
          </cell>
          <cell r="AE119">
            <v>480</v>
          </cell>
          <cell r="AF119">
            <v>3625</v>
          </cell>
          <cell r="AG119">
            <v>0</v>
          </cell>
          <cell r="AH119">
            <v>0</v>
          </cell>
          <cell r="AI119">
            <v>505</v>
          </cell>
          <cell r="AJ119">
            <v>0</v>
          </cell>
          <cell r="AK119">
            <v>880</v>
          </cell>
          <cell r="AL119">
            <v>205</v>
          </cell>
          <cell r="AM119">
            <v>0</v>
          </cell>
          <cell r="AN119">
            <v>0</v>
          </cell>
          <cell r="AO119">
            <v>310</v>
          </cell>
          <cell r="AP119">
            <v>220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1505</v>
          </cell>
          <cell r="AX119">
            <v>0</v>
          </cell>
          <cell r="AY119">
            <v>0</v>
          </cell>
          <cell r="AZ119">
            <v>0</v>
          </cell>
          <cell r="BA119">
            <v>4063556</v>
          </cell>
          <cell r="BB119">
            <v>1279</v>
          </cell>
          <cell r="BC119">
            <v>4062277</v>
          </cell>
        </row>
        <row r="120">
          <cell r="C120" t="str">
            <v>TAB103</v>
          </cell>
          <cell r="D120">
            <v>28800</v>
          </cell>
          <cell r="E120">
            <v>23880</v>
          </cell>
          <cell r="F120">
            <v>735</v>
          </cell>
          <cell r="G120">
            <v>0</v>
          </cell>
          <cell r="H120">
            <v>735</v>
          </cell>
          <cell r="I120">
            <v>0</v>
          </cell>
          <cell r="J120">
            <v>4185</v>
          </cell>
          <cell r="K120">
            <v>1125</v>
          </cell>
          <cell r="L120">
            <v>495</v>
          </cell>
          <cell r="M120">
            <v>335</v>
          </cell>
          <cell r="N120">
            <v>0</v>
          </cell>
          <cell r="O120">
            <v>0</v>
          </cell>
          <cell r="P120">
            <v>160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865</v>
          </cell>
          <cell r="X120">
            <v>280</v>
          </cell>
          <cell r="Y120">
            <v>465</v>
          </cell>
          <cell r="Z120">
            <v>40</v>
          </cell>
          <cell r="AA120">
            <v>0</v>
          </cell>
          <cell r="AB120">
            <v>80</v>
          </cell>
          <cell r="AC120">
            <v>0</v>
          </cell>
          <cell r="AD120">
            <v>0</v>
          </cell>
          <cell r="AE120">
            <v>0</v>
          </cell>
          <cell r="AF120">
            <v>1700</v>
          </cell>
          <cell r="AG120">
            <v>0</v>
          </cell>
          <cell r="AH120">
            <v>0</v>
          </cell>
          <cell r="AI120">
            <v>145</v>
          </cell>
          <cell r="AJ120">
            <v>0</v>
          </cell>
          <cell r="AK120">
            <v>280</v>
          </cell>
          <cell r="AL120">
            <v>515</v>
          </cell>
          <cell r="AM120">
            <v>0</v>
          </cell>
          <cell r="AN120">
            <v>0</v>
          </cell>
          <cell r="AO120">
            <v>0</v>
          </cell>
          <cell r="AP120">
            <v>120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640</v>
          </cell>
          <cell r="AX120">
            <v>0</v>
          </cell>
          <cell r="AY120">
            <v>0</v>
          </cell>
          <cell r="AZ120">
            <v>0</v>
          </cell>
          <cell r="BA120">
            <v>769377</v>
          </cell>
          <cell r="BB120">
            <v>0</v>
          </cell>
          <cell r="BC120">
            <v>769377</v>
          </cell>
        </row>
        <row r="121">
          <cell r="C121" t="str">
            <v>NBL SOL-CAPSULE</v>
          </cell>
          <cell r="D121">
            <v>57600</v>
          </cell>
          <cell r="E121">
            <v>55620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1980</v>
          </cell>
          <cell r="K121">
            <v>510</v>
          </cell>
          <cell r="L121">
            <v>300</v>
          </cell>
          <cell r="M121">
            <v>300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420</v>
          </cell>
          <cell r="X121">
            <v>285</v>
          </cell>
          <cell r="Y121">
            <v>60</v>
          </cell>
          <cell r="Z121">
            <v>35</v>
          </cell>
          <cell r="AA121">
            <v>0</v>
          </cell>
          <cell r="AB121">
            <v>40</v>
          </cell>
          <cell r="AC121">
            <v>0</v>
          </cell>
          <cell r="AD121">
            <v>0</v>
          </cell>
          <cell r="AE121">
            <v>0</v>
          </cell>
          <cell r="AF121">
            <v>750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60</v>
          </cell>
          <cell r="AL121">
            <v>90</v>
          </cell>
          <cell r="AM121">
            <v>0</v>
          </cell>
          <cell r="AN121">
            <v>0</v>
          </cell>
          <cell r="AO121">
            <v>480</v>
          </cell>
          <cell r="AP121">
            <v>30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90</v>
          </cell>
          <cell r="AX121">
            <v>0</v>
          </cell>
          <cell r="AY121">
            <v>0</v>
          </cell>
          <cell r="AZ121">
            <v>0</v>
          </cell>
          <cell r="BA121">
            <v>191748</v>
          </cell>
          <cell r="BB121">
            <v>0</v>
          </cell>
          <cell r="BC121">
            <v>191748</v>
          </cell>
        </row>
        <row r="122">
          <cell r="C122" t="str">
            <v>KAP101</v>
          </cell>
          <cell r="D122">
            <v>28800</v>
          </cell>
          <cell r="E122">
            <v>27315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1485</v>
          </cell>
          <cell r="K122">
            <v>380</v>
          </cell>
          <cell r="L122">
            <v>260</v>
          </cell>
          <cell r="M122">
            <v>260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400</v>
          </cell>
          <cell r="X122">
            <v>270</v>
          </cell>
          <cell r="Y122">
            <v>60</v>
          </cell>
          <cell r="Z122">
            <v>35</v>
          </cell>
          <cell r="AA122">
            <v>0</v>
          </cell>
          <cell r="AB122">
            <v>35</v>
          </cell>
          <cell r="AC122">
            <v>0</v>
          </cell>
          <cell r="AD122">
            <v>0</v>
          </cell>
          <cell r="AE122">
            <v>0</v>
          </cell>
          <cell r="AF122">
            <v>445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60</v>
          </cell>
          <cell r="AL122">
            <v>90</v>
          </cell>
          <cell r="AM122">
            <v>0</v>
          </cell>
          <cell r="AN122">
            <v>0</v>
          </cell>
          <cell r="AO122">
            <v>180</v>
          </cell>
          <cell r="AP122">
            <v>25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90</v>
          </cell>
          <cell r="AX122">
            <v>0</v>
          </cell>
          <cell r="AY122">
            <v>0</v>
          </cell>
          <cell r="AZ122">
            <v>0</v>
          </cell>
          <cell r="BA122">
            <v>95874</v>
          </cell>
          <cell r="BB122">
            <v>0</v>
          </cell>
          <cell r="BC122">
            <v>95874</v>
          </cell>
        </row>
        <row r="123">
          <cell r="C123" t="str">
            <v>KAP103</v>
          </cell>
          <cell r="D123">
            <v>28800</v>
          </cell>
          <cell r="E123">
            <v>28305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495</v>
          </cell>
          <cell r="K123">
            <v>130</v>
          </cell>
          <cell r="L123">
            <v>40</v>
          </cell>
          <cell r="M123">
            <v>40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20</v>
          </cell>
          <cell r="X123">
            <v>15</v>
          </cell>
          <cell r="Y123">
            <v>0</v>
          </cell>
          <cell r="Z123">
            <v>0</v>
          </cell>
          <cell r="AA123">
            <v>0</v>
          </cell>
          <cell r="AB123">
            <v>5</v>
          </cell>
          <cell r="AC123">
            <v>0</v>
          </cell>
          <cell r="AD123">
            <v>0</v>
          </cell>
          <cell r="AE123">
            <v>0</v>
          </cell>
          <cell r="AF123">
            <v>305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300</v>
          </cell>
          <cell r="AP123">
            <v>5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95874</v>
          </cell>
          <cell r="BB123">
            <v>0</v>
          </cell>
          <cell r="BC123">
            <v>95874</v>
          </cell>
        </row>
        <row r="124">
          <cell r="C124" t="str">
            <v>NBL SOL-STRIPPING</v>
          </cell>
          <cell r="D124">
            <v>146880</v>
          </cell>
          <cell r="E124">
            <v>88680</v>
          </cell>
          <cell r="F124">
            <v>1890</v>
          </cell>
          <cell r="G124">
            <v>0</v>
          </cell>
          <cell r="H124">
            <v>1890</v>
          </cell>
          <cell r="I124">
            <v>0</v>
          </cell>
          <cell r="J124">
            <v>56310</v>
          </cell>
          <cell r="K124">
            <v>20565</v>
          </cell>
          <cell r="L124">
            <v>9075</v>
          </cell>
          <cell r="M124">
            <v>4730</v>
          </cell>
          <cell r="N124">
            <v>100</v>
          </cell>
          <cell r="O124">
            <v>4240</v>
          </cell>
          <cell r="P124">
            <v>5</v>
          </cell>
          <cell r="Q124">
            <v>1130</v>
          </cell>
          <cell r="R124">
            <v>855</v>
          </cell>
          <cell r="S124">
            <v>245</v>
          </cell>
          <cell r="T124">
            <v>0</v>
          </cell>
          <cell r="U124">
            <v>0</v>
          </cell>
          <cell r="V124">
            <v>30</v>
          </cell>
          <cell r="W124">
            <v>13945</v>
          </cell>
          <cell r="X124">
            <v>7925</v>
          </cell>
          <cell r="Y124">
            <v>2170</v>
          </cell>
          <cell r="Z124">
            <v>2915</v>
          </cell>
          <cell r="AA124">
            <v>0</v>
          </cell>
          <cell r="AB124">
            <v>935</v>
          </cell>
          <cell r="AC124">
            <v>1530</v>
          </cell>
          <cell r="AD124">
            <v>0</v>
          </cell>
          <cell r="AE124">
            <v>1530</v>
          </cell>
          <cell r="AF124">
            <v>10065</v>
          </cell>
          <cell r="AG124">
            <v>0</v>
          </cell>
          <cell r="AH124">
            <v>10</v>
          </cell>
          <cell r="AI124">
            <v>1830</v>
          </cell>
          <cell r="AJ124">
            <v>0</v>
          </cell>
          <cell r="AK124">
            <v>3325</v>
          </cell>
          <cell r="AL124">
            <v>650</v>
          </cell>
          <cell r="AM124">
            <v>0</v>
          </cell>
          <cell r="AN124">
            <v>0</v>
          </cell>
          <cell r="AO124">
            <v>0</v>
          </cell>
          <cell r="AP124">
            <v>1990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1960</v>
          </cell>
          <cell r="AX124">
            <v>300</v>
          </cell>
          <cell r="AY124">
            <v>0</v>
          </cell>
          <cell r="AZ124">
            <v>0</v>
          </cell>
          <cell r="BA124">
            <v>13748568</v>
          </cell>
          <cell r="BB124">
            <v>78451</v>
          </cell>
          <cell r="BC124">
            <v>13670117</v>
          </cell>
        </row>
        <row r="125">
          <cell r="C125" t="str">
            <v>STR105</v>
          </cell>
          <cell r="D125">
            <v>28800</v>
          </cell>
          <cell r="E125">
            <v>18870</v>
          </cell>
          <cell r="F125">
            <v>985</v>
          </cell>
          <cell r="G125">
            <v>0</v>
          </cell>
          <cell r="H125">
            <v>985</v>
          </cell>
          <cell r="I125">
            <v>0</v>
          </cell>
          <cell r="J125">
            <v>8945</v>
          </cell>
          <cell r="K125">
            <v>2725</v>
          </cell>
          <cell r="L125">
            <v>1845</v>
          </cell>
          <cell r="M125">
            <v>785</v>
          </cell>
          <cell r="N125">
            <v>0</v>
          </cell>
          <cell r="O125">
            <v>1055</v>
          </cell>
          <cell r="P125">
            <v>5</v>
          </cell>
          <cell r="Q125">
            <v>125</v>
          </cell>
          <cell r="R125">
            <v>80</v>
          </cell>
          <cell r="S125">
            <v>30</v>
          </cell>
          <cell r="T125">
            <v>0</v>
          </cell>
          <cell r="U125">
            <v>0</v>
          </cell>
          <cell r="V125">
            <v>15</v>
          </cell>
          <cell r="W125">
            <v>2370</v>
          </cell>
          <cell r="X125">
            <v>1370</v>
          </cell>
          <cell r="Y125">
            <v>390</v>
          </cell>
          <cell r="Z125">
            <v>475</v>
          </cell>
          <cell r="AA125">
            <v>0</v>
          </cell>
          <cell r="AB125">
            <v>135</v>
          </cell>
          <cell r="AC125">
            <v>0</v>
          </cell>
          <cell r="AD125">
            <v>0</v>
          </cell>
          <cell r="AE125">
            <v>0</v>
          </cell>
          <cell r="AF125">
            <v>1880</v>
          </cell>
          <cell r="AG125">
            <v>0</v>
          </cell>
          <cell r="AH125">
            <v>10</v>
          </cell>
          <cell r="AI125">
            <v>330</v>
          </cell>
          <cell r="AJ125">
            <v>0</v>
          </cell>
          <cell r="AK125">
            <v>490</v>
          </cell>
          <cell r="AL125">
            <v>120</v>
          </cell>
          <cell r="AM125">
            <v>0</v>
          </cell>
          <cell r="AN125">
            <v>0</v>
          </cell>
          <cell r="AO125">
            <v>0</v>
          </cell>
          <cell r="AP125">
            <v>300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570</v>
          </cell>
          <cell r="AX125">
            <v>60</v>
          </cell>
          <cell r="AY125">
            <v>0</v>
          </cell>
          <cell r="AZ125">
            <v>0</v>
          </cell>
          <cell r="BA125">
            <v>1013629</v>
          </cell>
          <cell r="BB125">
            <v>10759</v>
          </cell>
          <cell r="BC125">
            <v>1002870</v>
          </cell>
        </row>
        <row r="126">
          <cell r="C126" t="str">
            <v>STR102</v>
          </cell>
          <cell r="D126">
            <v>30240</v>
          </cell>
          <cell r="E126">
            <v>12210</v>
          </cell>
          <cell r="F126">
            <v>180</v>
          </cell>
          <cell r="G126">
            <v>0</v>
          </cell>
          <cell r="H126">
            <v>180</v>
          </cell>
          <cell r="I126">
            <v>0</v>
          </cell>
          <cell r="J126">
            <v>17850</v>
          </cell>
          <cell r="K126">
            <v>5775</v>
          </cell>
          <cell r="L126">
            <v>2735</v>
          </cell>
          <cell r="M126">
            <v>1850</v>
          </cell>
          <cell r="N126">
            <v>0</v>
          </cell>
          <cell r="O126">
            <v>885</v>
          </cell>
          <cell r="P126">
            <v>0</v>
          </cell>
          <cell r="Q126">
            <v>975</v>
          </cell>
          <cell r="R126">
            <v>760</v>
          </cell>
          <cell r="S126">
            <v>200</v>
          </cell>
          <cell r="T126">
            <v>0</v>
          </cell>
          <cell r="U126">
            <v>0</v>
          </cell>
          <cell r="V126">
            <v>15</v>
          </cell>
          <cell r="W126">
            <v>4125</v>
          </cell>
          <cell r="X126">
            <v>2080</v>
          </cell>
          <cell r="Y126">
            <v>945</v>
          </cell>
          <cell r="Z126">
            <v>825</v>
          </cell>
          <cell r="AA126">
            <v>0</v>
          </cell>
          <cell r="AB126">
            <v>275</v>
          </cell>
          <cell r="AC126">
            <v>1275</v>
          </cell>
          <cell r="AD126">
            <v>0</v>
          </cell>
          <cell r="AE126">
            <v>1275</v>
          </cell>
          <cell r="AF126">
            <v>2965</v>
          </cell>
          <cell r="AG126">
            <v>0</v>
          </cell>
          <cell r="AH126">
            <v>0</v>
          </cell>
          <cell r="AI126">
            <v>555</v>
          </cell>
          <cell r="AJ126">
            <v>0</v>
          </cell>
          <cell r="AK126">
            <v>985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715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620</v>
          </cell>
          <cell r="AX126">
            <v>90</v>
          </cell>
          <cell r="AY126">
            <v>0</v>
          </cell>
          <cell r="AZ126">
            <v>0</v>
          </cell>
          <cell r="BA126">
            <v>6870905</v>
          </cell>
          <cell r="BB126">
            <v>40035</v>
          </cell>
          <cell r="BC126">
            <v>6830870</v>
          </cell>
        </row>
        <row r="127">
          <cell r="C127" t="str">
            <v>STR104</v>
          </cell>
          <cell r="D127">
            <v>28800</v>
          </cell>
          <cell r="E127">
            <v>25620</v>
          </cell>
          <cell r="F127">
            <v>300</v>
          </cell>
          <cell r="G127">
            <v>0</v>
          </cell>
          <cell r="H127">
            <v>300</v>
          </cell>
          <cell r="I127">
            <v>0</v>
          </cell>
          <cell r="J127">
            <v>2880</v>
          </cell>
          <cell r="K127">
            <v>1690</v>
          </cell>
          <cell r="L127">
            <v>75</v>
          </cell>
          <cell r="M127">
            <v>45</v>
          </cell>
          <cell r="N127">
            <v>0</v>
          </cell>
          <cell r="O127">
            <v>30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705</v>
          </cell>
          <cell r="X127">
            <v>420</v>
          </cell>
          <cell r="Y127">
            <v>30</v>
          </cell>
          <cell r="Z127">
            <v>195</v>
          </cell>
          <cell r="AA127">
            <v>0</v>
          </cell>
          <cell r="AB127">
            <v>60</v>
          </cell>
          <cell r="AC127">
            <v>0</v>
          </cell>
          <cell r="AD127">
            <v>0</v>
          </cell>
          <cell r="AE127">
            <v>0</v>
          </cell>
          <cell r="AF127">
            <v>410</v>
          </cell>
          <cell r="AG127">
            <v>0</v>
          </cell>
          <cell r="AH127">
            <v>0</v>
          </cell>
          <cell r="AI127">
            <v>75</v>
          </cell>
          <cell r="AJ127">
            <v>0</v>
          </cell>
          <cell r="AK127">
            <v>180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90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65</v>
          </cell>
          <cell r="AX127">
            <v>0</v>
          </cell>
          <cell r="AY127">
            <v>0</v>
          </cell>
          <cell r="AZ127">
            <v>0</v>
          </cell>
          <cell r="BA127">
            <v>41682</v>
          </cell>
          <cell r="BB127">
            <v>37</v>
          </cell>
          <cell r="BC127">
            <v>41645</v>
          </cell>
        </row>
        <row r="128">
          <cell r="C128" t="str">
            <v>STR103</v>
          </cell>
          <cell r="D128">
            <v>30240</v>
          </cell>
          <cell r="E128">
            <v>11760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18480</v>
          </cell>
          <cell r="K128">
            <v>7280</v>
          </cell>
          <cell r="L128">
            <v>3030</v>
          </cell>
          <cell r="M128">
            <v>1435</v>
          </cell>
          <cell r="N128">
            <v>100</v>
          </cell>
          <cell r="O128">
            <v>1495</v>
          </cell>
          <cell r="P128">
            <v>0</v>
          </cell>
          <cell r="Q128">
            <v>30</v>
          </cell>
          <cell r="R128">
            <v>15</v>
          </cell>
          <cell r="S128">
            <v>15</v>
          </cell>
          <cell r="T128">
            <v>0</v>
          </cell>
          <cell r="U128">
            <v>0</v>
          </cell>
          <cell r="V128">
            <v>0</v>
          </cell>
          <cell r="W128">
            <v>5095</v>
          </cell>
          <cell r="X128">
            <v>3200</v>
          </cell>
          <cell r="Y128">
            <v>595</v>
          </cell>
          <cell r="Z128">
            <v>985</v>
          </cell>
          <cell r="AA128">
            <v>0</v>
          </cell>
          <cell r="AB128">
            <v>315</v>
          </cell>
          <cell r="AC128">
            <v>0</v>
          </cell>
          <cell r="AD128">
            <v>0</v>
          </cell>
          <cell r="AE128">
            <v>0</v>
          </cell>
          <cell r="AF128">
            <v>3045</v>
          </cell>
          <cell r="AG128">
            <v>0</v>
          </cell>
          <cell r="AH128">
            <v>0</v>
          </cell>
          <cell r="AI128">
            <v>615</v>
          </cell>
          <cell r="AJ128">
            <v>0</v>
          </cell>
          <cell r="AK128">
            <v>1185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600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495</v>
          </cell>
          <cell r="AX128">
            <v>150</v>
          </cell>
          <cell r="AY128">
            <v>0</v>
          </cell>
          <cell r="AZ128">
            <v>0</v>
          </cell>
          <cell r="BA128">
            <v>4130369</v>
          </cell>
          <cell r="BB128">
            <v>19507</v>
          </cell>
          <cell r="BC128">
            <v>4110862</v>
          </cell>
        </row>
        <row r="129">
          <cell r="C129" t="str">
            <v>STR101</v>
          </cell>
          <cell r="D129">
            <v>28800</v>
          </cell>
          <cell r="E129">
            <v>20220</v>
          </cell>
          <cell r="F129">
            <v>425</v>
          </cell>
          <cell r="G129">
            <v>0</v>
          </cell>
          <cell r="H129">
            <v>425</v>
          </cell>
          <cell r="I129">
            <v>0</v>
          </cell>
          <cell r="J129">
            <v>8155</v>
          </cell>
          <cell r="K129">
            <v>3095</v>
          </cell>
          <cell r="L129">
            <v>1390</v>
          </cell>
          <cell r="M129">
            <v>615</v>
          </cell>
          <cell r="N129">
            <v>0</v>
          </cell>
          <cell r="O129">
            <v>775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1650</v>
          </cell>
          <cell r="X129">
            <v>855</v>
          </cell>
          <cell r="Y129">
            <v>210</v>
          </cell>
          <cell r="Z129">
            <v>435</v>
          </cell>
          <cell r="AA129">
            <v>0</v>
          </cell>
          <cell r="AB129">
            <v>150</v>
          </cell>
          <cell r="AC129">
            <v>255</v>
          </cell>
          <cell r="AD129">
            <v>0</v>
          </cell>
          <cell r="AE129">
            <v>255</v>
          </cell>
          <cell r="AF129">
            <v>1765</v>
          </cell>
          <cell r="AG129">
            <v>0</v>
          </cell>
          <cell r="AH129">
            <v>0</v>
          </cell>
          <cell r="AI129">
            <v>255</v>
          </cell>
          <cell r="AJ129">
            <v>0</v>
          </cell>
          <cell r="AK129">
            <v>485</v>
          </cell>
          <cell r="AL129">
            <v>530</v>
          </cell>
          <cell r="AM129">
            <v>0</v>
          </cell>
          <cell r="AN129">
            <v>0</v>
          </cell>
          <cell r="AO129">
            <v>0</v>
          </cell>
          <cell r="AP129">
            <v>285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210</v>
          </cell>
          <cell r="AX129">
            <v>0</v>
          </cell>
          <cell r="AY129">
            <v>0</v>
          </cell>
          <cell r="AZ129">
            <v>0</v>
          </cell>
          <cell r="BA129">
            <v>1691983</v>
          </cell>
          <cell r="BB129">
            <v>8113</v>
          </cell>
          <cell r="BC129">
            <v>1683870</v>
          </cell>
        </row>
        <row r="130">
          <cell r="C130" t="str">
            <v>NBL SYR-MIXING</v>
          </cell>
          <cell r="D130">
            <v>28800</v>
          </cell>
          <cell r="E130">
            <v>21090</v>
          </cell>
          <cell r="F130">
            <v>653</v>
          </cell>
          <cell r="G130">
            <v>270</v>
          </cell>
          <cell r="H130">
            <v>383</v>
          </cell>
          <cell r="I130">
            <v>0</v>
          </cell>
          <cell r="J130">
            <v>7057</v>
          </cell>
          <cell r="K130">
            <v>2778</v>
          </cell>
          <cell r="L130">
            <v>224</v>
          </cell>
          <cell r="M130">
            <v>224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2862</v>
          </cell>
          <cell r="X130">
            <v>228</v>
          </cell>
          <cell r="Y130">
            <v>2599</v>
          </cell>
          <cell r="Z130">
            <v>0</v>
          </cell>
          <cell r="AA130">
            <v>0</v>
          </cell>
          <cell r="AB130">
            <v>35</v>
          </cell>
          <cell r="AC130">
            <v>0</v>
          </cell>
          <cell r="AD130">
            <v>0</v>
          </cell>
          <cell r="AE130">
            <v>0</v>
          </cell>
          <cell r="AF130">
            <v>1193</v>
          </cell>
          <cell r="AG130">
            <v>90</v>
          </cell>
          <cell r="AH130">
            <v>0</v>
          </cell>
          <cell r="AI130">
            <v>15</v>
          </cell>
          <cell r="AJ130">
            <v>0</v>
          </cell>
          <cell r="AK130">
            <v>61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515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410</v>
          </cell>
          <cell r="AY130">
            <v>42</v>
          </cell>
          <cell r="AZ130">
            <v>60</v>
          </cell>
          <cell r="BA130">
            <v>10635</v>
          </cell>
          <cell r="BB130">
            <v>2.04</v>
          </cell>
          <cell r="BC130">
            <v>10632.96</v>
          </cell>
        </row>
        <row r="131">
          <cell r="C131" t="str">
            <v>LMIXSYR1</v>
          </cell>
          <cell r="D131">
            <v>28800</v>
          </cell>
          <cell r="E131">
            <v>21090</v>
          </cell>
          <cell r="F131">
            <v>653</v>
          </cell>
          <cell r="G131">
            <v>270</v>
          </cell>
          <cell r="H131">
            <v>383</v>
          </cell>
          <cell r="I131">
            <v>0</v>
          </cell>
          <cell r="J131">
            <v>7057</v>
          </cell>
          <cell r="K131">
            <v>2778</v>
          </cell>
          <cell r="L131">
            <v>224</v>
          </cell>
          <cell r="M131">
            <v>224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2862</v>
          </cell>
          <cell r="X131">
            <v>228</v>
          </cell>
          <cell r="Y131">
            <v>2599</v>
          </cell>
          <cell r="Z131">
            <v>0</v>
          </cell>
          <cell r="AA131">
            <v>0</v>
          </cell>
          <cell r="AB131">
            <v>35</v>
          </cell>
          <cell r="AC131">
            <v>0</v>
          </cell>
          <cell r="AD131">
            <v>0</v>
          </cell>
          <cell r="AE131">
            <v>0</v>
          </cell>
          <cell r="AF131">
            <v>1193</v>
          </cell>
          <cell r="AG131">
            <v>90</v>
          </cell>
          <cell r="AH131">
            <v>0</v>
          </cell>
          <cell r="AI131">
            <v>15</v>
          </cell>
          <cell r="AJ131">
            <v>0</v>
          </cell>
          <cell r="AK131">
            <v>61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515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410</v>
          </cell>
          <cell r="AY131">
            <v>42</v>
          </cell>
          <cell r="AZ131">
            <v>60</v>
          </cell>
          <cell r="BA131">
            <v>10635</v>
          </cell>
          <cell r="BB131">
            <v>2.04</v>
          </cell>
          <cell r="BC131">
            <v>10632.96</v>
          </cell>
        </row>
        <row r="132">
          <cell r="C132" t="str">
            <v>NBL SYR-FILLING</v>
          </cell>
          <cell r="D132">
            <v>57600</v>
          </cell>
          <cell r="E132">
            <v>44085</v>
          </cell>
          <cell r="F132">
            <v>1860</v>
          </cell>
          <cell r="G132">
            <v>45</v>
          </cell>
          <cell r="H132">
            <v>1815</v>
          </cell>
          <cell r="I132">
            <v>0</v>
          </cell>
          <cell r="J132">
            <v>11655</v>
          </cell>
          <cell r="K132">
            <v>3330</v>
          </cell>
          <cell r="L132">
            <v>955</v>
          </cell>
          <cell r="M132">
            <v>750</v>
          </cell>
          <cell r="N132">
            <v>0</v>
          </cell>
          <cell r="O132">
            <v>150</v>
          </cell>
          <cell r="P132">
            <v>55</v>
          </cell>
          <cell r="Q132">
            <v>5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5</v>
          </cell>
          <cell r="W132">
            <v>4215</v>
          </cell>
          <cell r="X132">
            <v>890</v>
          </cell>
          <cell r="Y132">
            <v>2180</v>
          </cell>
          <cell r="Z132">
            <v>0</v>
          </cell>
          <cell r="AA132">
            <v>0</v>
          </cell>
          <cell r="AB132">
            <v>1145</v>
          </cell>
          <cell r="AC132">
            <v>30</v>
          </cell>
          <cell r="AD132">
            <v>30</v>
          </cell>
          <cell r="AE132">
            <v>0</v>
          </cell>
          <cell r="AF132">
            <v>3120</v>
          </cell>
          <cell r="AG132">
            <v>120</v>
          </cell>
          <cell r="AH132">
            <v>0</v>
          </cell>
          <cell r="AI132">
            <v>210</v>
          </cell>
          <cell r="AJ132">
            <v>0</v>
          </cell>
          <cell r="AK132">
            <v>435</v>
          </cell>
          <cell r="AL132">
            <v>0</v>
          </cell>
          <cell r="AM132">
            <v>0</v>
          </cell>
          <cell r="AN132">
            <v>0</v>
          </cell>
          <cell r="AO132">
            <v>1940</v>
          </cell>
          <cell r="AP132">
            <v>10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195</v>
          </cell>
          <cell r="AY132">
            <v>0</v>
          </cell>
          <cell r="AZ132">
            <v>210</v>
          </cell>
          <cell r="BA132">
            <v>168270</v>
          </cell>
          <cell r="BB132">
            <v>374</v>
          </cell>
          <cell r="BC132">
            <v>167896</v>
          </cell>
        </row>
        <row r="133">
          <cell r="C133" t="str">
            <v>SYR109</v>
          </cell>
          <cell r="D133">
            <v>28800</v>
          </cell>
          <cell r="E133">
            <v>19365</v>
          </cell>
          <cell r="F133">
            <v>855</v>
          </cell>
          <cell r="G133">
            <v>30</v>
          </cell>
          <cell r="H133">
            <v>825</v>
          </cell>
          <cell r="I133">
            <v>0</v>
          </cell>
          <cell r="J133">
            <v>8580</v>
          </cell>
          <cell r="K133">
            <v>2225</v>
          </cell>
          <cell r="L133">
            <v>710</v>
          </cell>
          <cell r="M133">
            <v>600</v>
          </cell>
          <cell r="N133">
            <v>0</v>
          </cell>
          <cell r="O133">
            <v>80</v>
          </cell>
          <cell r="P133">
            <v>30</v>
          </cell>
          <cell r="Q133">
            <v>5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5</v>
          </cell>
          <cell r="W133">
            <v>3060</v>
          </cell>
          <cell r="X133">
            <v>440</v>
          </cell>
          <cell r="Y133">
            <v>1760</v>
          </cell>
          <cell r="Z133">
            <v>0</v>
          </cell>
          <cell r="AA133">
            <v>0</v>
          </cell>
          <cell r="AB133">
            <v>860</v>
          </cell>
          <cell r="AC133">
            <v>30</v>
          </cell>
          <cell r="AD133">
            <v>30</v>
          </cell>
          <cell r="AE133">
            <v>0</v>
          </cell>
          <cell r="AF133">
            <v>2550</v>
          </cell>
          <cell r="AG133">
            <v>30</v>
          </cell>
          <cell r="AH133">
            <v>0</v>
          </cell>
          <cell r="AI133">
            <v>150</v>
          </cell>
          <cell r="AJ133">
            <v>0</v>
          </cell>
          <cell r="AK133">
            <v>300</v>
          </cell>
          <cell r="AL133">
            <v>0</v>
          </cell>
          <cell r="AM133">
            <v>0</v>
          </cell>
          <cell r="AN133">
            <v>0</v>
          </cell>
          <cell r="AO133">
            <v>1655</v>
          </cell>
          <cell r="AP133">
            <v>10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195</v>
          </cell>
          <cell r="AY133">
            <v>0</v>
          </cell>
          <cell r="AZ133">
            <v>210</v>
          </cell>
          <cell r="BA133">
            <v>119184</v>
          </cell>
          <cell r="BB133">
            <v>284</v>
          </cell>
          <cell r="BC133">
            <v>118900</v>
          </cell>
        </row>
        <row r="134">
          <cell r="C134" t="str">
            <v>SYR110</v>
          </cell>
          <cell r="D134">
            <v>28800</v>
          </cell>
          <cell r="E134">
            <v>24720</v>
          </cell>
          <cell r="F134">
            <v>1005</v>
          </cell>
          <cell r="G134">
            <v>15</v>
          </cell>
          <cell r="H134">
            <v>990</v>
          </cell>
          <cell r="I134">
            <v>0</v>
          </cell>
          <cell r="J134">
            <v>3075</v>
          </cell>
          <cell r="K134">
            <v>1105</v>
          </cell>
          <cell r="L134">
            <v>245</v>
          </cell>
          <cell r="M134">
            <v>150</v>
          </cell>
          <cell r="N134">
            <v>0</v>
          </cell>
          <cell r="O134">
            <v>70</v>
          </cell>
          <cell r="P134">
            <v>25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1155</v>
          </cell>
          <cell r="X134">
            <v>450</v>
          </cell>
          <cell r="Y134">
            <v>420</v>
          </cell>
          <cell r="Z134">
            <v>0</v>
          </cell>
          <cell r="AA134">
            <v>0</v>
          </cell>
          <cell r="AB134">
            <v>285</v>
          </cell>
          <cell r="AC134">
            <v>0</v>
          </cell>
          <cell r="AD134">
            <v>0</v>
          </cell>
          <cell r="AE134">
            <v>0</v>
          </cell>
          <cell r="AF134">
            <v>570</v>
          </cell>
          <cell r="AG134">
            <v>90</v>
          </cell>
          <cell r="AH134">
            <v>0</v>
          </cell>
          <cell r="AI134">
            <v>60</v>
          </cell>
          <cell r="AJ134">
            <v>0</v>
          </cell>
          <cell r="AK134">
            <v>135</v>
          </cell>
          <cell r="AL134">
            <v>0</v>
          </cell>
          <cell r="AM134">
            <v>0</v>
          </cell>
          <cell r="AN134">
            <v>0</v>
          </cell>
          <cell r="AO134">
            <v>285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49086</v>
          </cell>
          <cell r="BB134">
            <v>90</v>
          </cell>
          <cell r="BC134">
            <v>48996</v>
          </cell>
        </row>
        <row r="135">
          <cell r="C135" t="str">
            <v>NBL INJ-MIXING</v>
          </cell>
          <cell r="D135">
            <v>28800</v>
          </cell>
          <cell r="E135">
            <v>21120</v>
          </cell>
          <cell r="F135">
            <v>270</v>
          </cell>
          <cell r="G135">
            <v>0</v>
          </cell>
          <cell r="H135">
            <v>270</v>
          </cell>
          <cell r="I135">
            <v>0</v>
          </cell>
          <cell r="J135">
            <v>7410</v>
          </cell>
          <cell r="K135">
            <v>2187</v>
          </cell>
          <cell r="L135">
            <v>190</v>
          </cell>
          <cell r="M135">
            <v>190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3187</v>
          </cell>
          <cell r="X135">
            <v>624</v>
          </cell>
          <cell r="Y135">
            <v>1923</v>
          </cell>
          <cell r="Z135">
            <v>0</v>
          </cell>
          <cell r="AA135">
            <v>640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1846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520</v>
          </cell>
          <cell r="AL135">
            <v>0</v>
          </cell>
          <cell r="AM135">
            <v>130</v>
          </cell>
          <cell r="AN135">
            <v>0</v>
          </cell>
          <cell r="AO135">
            <v>0</v>
          </cell>
          <cell r="AP135">
            <v>100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1096</v>
          </cell>
          <cell r="AX135">
            <v>0</v>
          </cell>
          <cell r="AY135">
            <v>0</v>
          </cell>
          <cell r="AZ135">
            <v>0</v>
          </cell>
          <cell r="BA135">
            <v>845</v>
          </cell>
          <cell r="BB135">
            <v>0</v>
          </cell>
          <cell r="BC135">
            <v>845</v>
          </cell>
        </row>
        <row r="136">
          <cell r="C136" t="str">
            <v>LMIXINJ1</v>
          </cell>
          <cell r="D136">
            <v>28800</v>
          </cell>
          <cell r="E136">
            <v>21120</v>
          </cell>
          <cell r="F136">
            <v>270</v>
          </cell>
          <cell r="G136">
            <v>0</v>
          </cell>
          <cell r="H136">
            <v>270</v>
          </cell>
          <cell r="I136">
            <v>0</v>
          </cell>
          <cell r="J136">
            <v>7410</v>
          </cell>
          <cell r="K136">
            <v>2187</v>
          </cell>
          <cell r="L136">
            <v>190</v>
          </cell>
          <cell r="M136">
            <v>190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3187</v>
          </cell>
          <cell r="X136">
            <v>624</v>
          </cell>
          <cell r="Y136">
            <v>1923</v>
          </cell>
          <cell r="Z136">
            <v>0</v>
          </cell>
          <cell r="AA136">
            <v>640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1846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520</v>
          </cell>
          <cell r="AL136">
            <v>0</v>
          </cell>
          <cell r="AM136">
            <v>130</v>
          </cell>
          <cell r="AN136">
            <v>0</v>
          </cell>
          <cell r="AO136">
            <v>0</v>
          </cell>
          <cell r="AP136">
            <v>100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1096</v>
          </cell>
          <cell r="AX136">
            <v>0</v>
          </cell>
          <cell r="AY136">
            <v>0</v>
          </cell>
          <cell r="AZ136">
            <v>0</v>
          </cell>
          <cell r="BA136">
            <v>845</v>
          </cell>
          <cell r="BB136">
            <v>0</v>
          </cell>
          <cell r="BC136">
            <v>845</v>
          </cell>
        </row>
        <row r="137">
          <cell r="C137" t="str">
            <v>NBL INJ-FILLING</v>
          </cell>
          <cell r="D137">
            <v>57600</v>
          </cell>
          <cell r="E137">
            <v>30240</v>
          </cell>
          <cell r="F137">
            <v>1465</v>
          </cell>
          <cell r="G137">
            <v>75</v>
          </cell>
          <cell r="H137">
            <v>1390</v>
          </cell>
          <cell r="I137">
            <v>0</v>
          </cell>
          <cell r="J137">
            <v>25895</v>
          </cell>
          <cell r="K137">
            <v>11254</v>
          </cell>
          <cell r="L137">
            <v>2371</v>
          </cell>
          <cell r="M137">
            <v>2030</v>
          </cell>
          <cell r="N137">
            <v>79</v>
          </cell>
          <cell r="O137">
            <v>251</v>
          </cell>
          <cell r="P137">
            <v>11</v>
          </cell>
          <cell r="Q137">
            <v>452</v>
          </cell>
          <cell r="R137">
            <v>250</v>
          </cell>
          <cell r="S137">
            <v>0</v>
          </cell>
          <cell r="T137">
            <v>0</v>
          </cell>
          <cell r="U137">
            <v>202</v>
          </cell>
          <cell r="V137">
            <v>0</v>
          </cell>
          <cell r="W137">
            <v>5365</v>
          </cell>
          <cell r="X137">
            <v>1303</v>
          </cell>
          <cell r="Y137">
            <v>4059</v>
          </cell>
          <cell r="Z137">
            <v>3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6453</v>
          </cell>
          <cell r="AG137">
            <v>30</v>
          </cell>
          <cell r="AH137">
            <v>0</v>
          </cell>
          <cell r="AI137">
            <v>810</v>
          </cell>
          <cell r="AJ137">
            <v>0</v>
          </cell>
          <cell r="AK137">
            <v>1495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310</v>
          </cell>
          <cell r="AQ137">
            <v>0</v>
          </cell>
          <cell r="AR137">
            <v>0</v>
          </cell>
          <cell r="AS137">
            <v>3591</v>
          </cell>
          <cell r="AT137">
            <v>0</v>
          </cell>
          <cell r="AU137">
            <v>0</v>
          </cell>
          <cell r="AV137">
            <v>0</v>
          </cell>
          <cell r="AW137">
            <v>217</v>
          </cell>
          <cell r="AX137">
            <v>0</v>
          </cell>
          <cell r="AY137">
            <v>0</v>
          </cell>
          <cell r="AZ137">
            <v>0</v>
          </cell>
          <cell r="BA137">
            <v>1213747</v>
          </cell>
          <cell r="BB137">
            <v>479</v>
          </cell>
          <cell r="BC137">
            <v>1213268</v>
          </cell>
        </row>
        <row r="138">
          <cell r="C138" t="str">
            <v>GINLINE3</v>
          </cell>
          <cell r="D138">
            <v>28800</v>
          </cell>
          <cell r="E138">
            <v>18600</v>
          </cell>
          <cell r="F138">
            <v>980</v>
          </cell>
          <cell r="G138">
            <v>75</v>
          </cell>
          <cell r="H138">
            <v>905</v>
          </cell>
          <cell r="I138">
            <v>0</v>
          </cell>
          <cell r="J138">
            <v>9220</v>
          </cell>
          <cell r="K138">
            <v>2609</v>
          </cell>
          <cell r="L138">
            <v>1286</v>
          </cell>
          <cell r="M138">
            <v>1140</v>
          </cell>
          <cell r="N138">
            <v>29</v>
          </cell>
          <cell r="O138">
            <v>106</v>
          </cell>
          <cell r="P138">
            <v>11</v>
          </cell>
          <cell r="Q138">
            <v>122</v>
          </cell>
          <cell r="R138">
            <v>0</v>
          </cell>
          <cell r="S138">
            <v>0</v>
          </cell>
          <cell r="T138">
            <v>0</v>
          </cell>
          <cell r="U138">
            <v>122</v>
          </cell>
          <cell r="V138">
            <v>0</v>
          </cell>
          <cell r="W138">
            <v>2530</v>
          </cell>
          <cell r="X138">
            <v>808</v>
          </cell>
          <cell r="Y138">
            <v>1722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2673</v>
          </cell>
          <cell r="AG138">
            <v>0</v>
          </cell>
          <cell r="AH138">
            <v>0</v>
          </cell>
          <cell r="AI138">
            <v>210</v>
          </cell>
          <cell r="AJ138">
            <v>0</v>
          </cell>
          <cell r="AK138">
            <v>675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180</v>
          </cell>
          <cell r="AQ138">
            <v>0</v>
          </cell>
          <cell r="AR138">
            <v>0</v>
          </cell>
          <cell r="AS138">
            <v>1533</v>
          </cell>
          <cell r="AT138">
            <v>0</v>
          </cell>
          <cell r="AU138">
            <v>0</v>
          </cell>
          <cell r="AV138">
            <v>0</v>
          </cell>
          <cell r="AW138">
            <v>75</v>
          </cell>
          <cell r="AX138">
            <v>0</v>
          </cell>
          <cell r="AY138">
            <v>0</v>
          </cell>
          <cell r="AZ138">
            <v>0</v>
          </cell>
          <cell r="BA138">
            <v>467427</v>
          </cell>
          <cell r="BB138">
            <v>286</v>
          </cell>
          <cell r="BC138">
            <v>467141</v>
          </cell>
        </row>
        <row r="139">
          <cell r="C139" t="str">
            <v>GINLINE4</v>
          </cell>
          <cell r="D139">
            <v>28800</v>
          </cell>
          <cell r="E139">
            <v>11640</v>
          </cell>
          <cell r="F139">
            <v>485</v>
          </cell>
          <cell r="G139">
            <v>0</v>
          </cell>
          <cell r="H139">
            <v>485</v>
          </cell>
          <cell r="I139">
            <v>0</v>
          </cell>
          <cell r="J139">
            <v>16675</v>
          </cell>
          <cell r="K139">
            <v>8645</v>
          </cell>
          <cell r="L139">
            <v>1085</v>
          </cell>
          <cell r="M139">
            <v>890</v>
          </cell>
          <cell r="N139">
            <v>50</v>
          </cell>
          <cell r="O139">
            <v>145</v>
          </cell>
          <cell r="P139">
            <v>0</v>
          </cell>
          <cell r="Q139">
            <v>330</v>
          </cell>
          <cell r="R139">
            <v>250</v>
          </cell>
          <cell r="S139">
            <v>0</v>
          </cell>
          <cell r="T139">
            <v>0</v>
          </cell>
          <cell r="U139">
            <v>80</v>
          </cell>
          <cell r="V139">
            <v>0</v>
          </cell>
          <cell r="W139">
            <v>2835</v>
          </cell>
          <cell r="X139">
            <v>495</v>
          </cell>
          <cell r="Y139">
            <v>2337</v>
          </cell>
          <cell r="Z139">
            <v>3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3780</v>
          </cell>
          <cell r="AG139">
            <v>30</v>
          </cell>
          <cell r="AH139">
            <v>0</v>
          </cell>
          <cell r="AI139">
            <v>600</v>
          </cell>
          <cell r="AJ139">
            <v>0</v>
          </cell>
          <cell r="AK139">
            <v>820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130</v>
          </cell>
          <cell r="AQ139">
            <v>0</v>
          </cell>
          <cell r="AR139">
            <v>0</v>
          </cell>
          <cell r="AS139">
            <v>2058</v>
          </cell>
          <cell r="AT139">
            <v>0</v>
          </cell>
          <cell r="AU139">
            <v>0</v>
          </cell>
          <cell r="AV139">
            <v>0</v>
          </cell>
          <cell r="AW139">
            <v>142</v>
          </cell>
          <cell r="AX139">
            <v>0</v>
          </cell>
          <cell r="AY139">
            <v>0</v>
          </cell>
          <cell r="AZ139">
            <v>0</v>
          </cell>
          <cell r="BA139">
            <v>746320</v>
          </cell>
          <cell r="BB139">
            <v>193</v>
          </cell>
          <cell r="BC139">
            <v>746127</v>
          </cell>
        </row>
        <row r="140">
          <cell r="C140" t="str">
            <v>NBL INJ-STERILIZATION</v>
          </cell>
          <cell r="D140">
            <v>89280</v>
          </cell>
          <cell r="E140">
            <v>41513</v>
          </cell>
          <cell r="F140">
            <v>5875</v>
          </cell>
          <cell r="G140">
            <v>3931</v>
          </cell>
          <cell r="H140">
            <v>1944</v>
          </cell>
          <cell r="I140">
            <v>0</v>
          </cell>
          <cell r="J140">
            <v>41892</v>
          </cell>
          <cell r="K140">
            <v>20542</v>
          </cell>
          <cell r="L140">
            <v>895</v>
          </cell>
          <cell r="M140">
            <v>835</v>
          </cell>
          <cell r="N140">
            <v>60</v>
          </cell>
          <cell r="O140">
            <v>0</v>
          </cell>
          <cell r="P140">
            <v>0</v>
          </cell>
          <cell r="Q140">
            <v>180</v>
          </cell>
          <cell r="R140">
            <v>0</v>
          </cell>
          <cell r="S140">
            <v>0</v>
          </cell>
          <cell r="T140">
            <v>0</v>
          </cell>
          <cell r="U140">
            <v>180</v>
          </cell>
          <cell r="V140">
            <v>0</v>
          </cell>
          <cell r="W140">
            <v>10093</v>
          </cell>
          <cell r="X140">
            <v>8534</v>
          </cell>
          <cell r="Y140">
            <v>1034</v>
          </cell>
          <cell r="Z140">
            <v>50</v>
          </cell>
          <cell r="AA140">
            <v>0</v>
          </cell>
          <cell r="AB140">
            <v>475</v>
          </cell>
          <cell r="AC140">
            <v>0</v>
          </cell>
          <cell r="AD140">
            <v>0</v>
          </cell>
          <cell r="AE140">
            <v>0</v>
          </cell>
          <cell r="AF140">
            <v>10182</v>
          </cell>
          <cell r="AG140">
            <v>0</v>
          </cell>
          <cell r="AH140">
            <v>0</v>
          </cell>
          <cell r="AI140">
            <v>622</v>
          </cell>
          <cell r="AJ140">
            <v>20</v>
          </cell>
          <cell r="AK140">
            <v>447</v>
          </cell>
          <cell r="AL140">
            <v>2088</v>
          </cell>
          <cell r="AM140">
            <v>0</v>
          </cell>
          <cell r="AN140">
            <v>0</v>
          </cell>
          <cell r="AO140">
            <v>6769</v>
          </cell>
          <cell r="AP140">
            <v>236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1589</v>
          </cell>
          <cell r="BB140">
            <v>0</v>
          </cell>
          <cell r="BC140">
            <v>1589</v>
          </cell>
        </row>
        <row r="141">
          <cell r="C141" t="str">
            <v>INJ105</v>
          </cell>
          <cell r="D141">
            <v>30240</v>
          </cell>
          <cell r="E141">
            <v>10440</v>
          </cell>
          <cell r="F141">
            <v>4001</v>
          </cell>
          <cell r="G141">
            <v>3486</v>
          </cell>
          <cell r="H141">
            <v>515</v>
          </cell>
          <cell r="I141">
            <v>0</v>
          </cell>
          <cell r="J141">
            <v>15799</v>
          </cell>
          <cell r="K141">
            <v>6619</v>
          </cell>
          <cell r="L141">
            <v>190</v>
          </cell>
          <cell r="M141">
            <v>190</v>
          </cell>
          <cell r="N141">
            <v>0</v>
          </cell>
          <cell r="O141">
            <v>0</v>
          </cell>
          <cell r="P141">
            <v>0</v>
          </cell>
          <cell r="Q141">
            <v>90</v>
          </cell>
          <cell r="R141">
            <v>0</v>
          </cell>
          <cell r="S141">
            <v>0</v>
          </cell>
          <cell r="T141">
            <v>0</v>
          </cell>
          <cell r="U141">
            <v>90</v>
          </cell>
          <cell r="V141">
            <v>0</v>
          </cell>
          <cell r="W141">
            <v>2961</v>
          </cell>
          <cell r="X141">
            <v>2042</v>
          </cell>
          <cell r="Y141">
            <v>669</v>
          </cell>
          <cell r="Z141">
            <v>0</v>
          </cell>
          <cell r="AA141">
            <v>0</v>
          </cell>
          <cell r="AB141">
            <v>250</v>
          </cell>
          <cell r="AC141">
            <v>0</v>
          </cell>
          <cell r="AD141">
            <v>0</v>
          </cell>
          <cell r="AE141">
            <v>0</v>
          </cell>
          <cell r="AF141">
            <v>5939</v>
          </cell>
          <cell r="AG141">
            <v>0</v>
          </cell>
          <cell r="AH141">
            <v>0</v>
          </cell>
          <cell r="AI141">
            <v>273</v>
          </cell>
          <cell r="AJ141">
            <v>0</v>
          </cell>
          <cell r="AK141">
            <v>90</v>
          </cell>
          <cell r="AL141">
            <v>0</v>
          </cell>
          <cell r="AM141">
            <v>0</v>
          </cell>
          <cell r="AN141">
            <v>0</v>
          </cell>
          <cell r="AO141">
            <v>5576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646</v>
          </cell>
          <cell r="BB141">
            <v>0</v>
          </cell>
          <cell r="BC141">
            <v>646</v>
          </cell>
        </row>
        <row r="142">
          <cell r="C142" t="str">
            <v>INJ106</v>
          </cell>
          <cell r="D142">
            <v>30240</v>
          </cell>
          <cell r="E142">
            <v>10403</v>
          </cell>
          <cell r="F142">
            <v>1107</v>
          </cell>
          <cell r="G142">
            <v>438</v>
          </cell>
          <cell r="H142">
            <v>669</v>
          </cell>
          <cell r="I142">
            <v>0</v>
          </cell>
          <cell r="J142">
            <v>18730</v>
          </cell>
          <cell r="K142">
            <v>12982</v>
          </cell>
          <cell r="L142">
            <v>100</v>
          </cell>
          <cell r="M142">
            <v>100</v>
          </cell>
          <cell r="N142">
            <v>0</v>
          </cell>
          <cell r="O142">
            <v>0</v>
          </cell>
          <cell r="P142">
            <v>0</v>
          </cell>
          <cell r="Q142">
            <v>90</v>
          </cell>
          <cell r="R142">
            <v>0</v>
          </cell>
          <cell r="S142">
            <v>0</v>
          </cell>
          <cell r="T142">
            <v>0</v>
          </cell>
          <cell r="U142">
            <v>90</v>
          </cell>
          <cell r="V142">
            <v>0</v>
          </cell>
          <cell r="W142">
            <v>5413</v>
          </cell>
          <cell r="X142">
            <v>5218</v>
          </cell>
          <cell r="Y142">
            <v>195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145</v>
          </cell>
          <cell r="AG142">
            <v>0</v>
          </cell>
          <cell r="AH142">
            <v>0</v>
          </cell>
          <cell r="AI142">
            <v>70</v>
          </cell>
          <cell r="AJ142">
            <v>0</v>
          </cell>
          <cell r="AK142">
            <v>62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13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923</v>
          </cell>
          <cell r="BB142">
            <v>0</v>
          </cell>
          <cell r="BC142">
            <v>923</v>
          </cell>
        </row>
        <row r="143">
          <cell r="C143" t="str">
            <v>INJ107</v>
          </cell>
          <cell r="D143">
            <v>28800</v>
          </cell>
          <cell r="E143">
            <v>20670</v>
          </cell>
          <cell r="F143">
            <v>767</v>
          </cell>
          <cell r="G143">
            <v>7</v>
          </cell>
          <cell r="H143">
            <v>760</v>
          </cell>
          <cell r="I143">
            <v>0</v>
          </cell>
          <cell r="J143">
            <v>7363</v>
          </cell>
          <cell r="K143">
            <v>941</v>
          </cell>
          <cell r="L143">
            <v>605</v>
          </cell>
          <cell r="M143">
            <v>545</v>
          </cell>
          <cell r="N143">
            <v>60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1719</v>
          </cell>
          <cell r="X143">
            <v>1274</v>
          </cell>
          <cell r="Y143">
            <v>170</v>
          </cell>
          <cell r="Z143">
            <v>50</v>
          </cell>
          <cell r="AA143">
            <v>0</v>
          </cell>
          <cell r="AB143">
            <v>225</v>
          </cell>
          <cell r="AC143">
            <v>0</v>
          </cell>
          <cell r="AD143">
            <v>0</v>
          </cell>
          <cell r="AE143">
            <v>0</v>
          </cell>
          <cell r="AF143">
            <v>4098</v>
          </cell>
          <cell r="AG143">
            <v>0</v>
          </cell>
          <cell r="AH143">
            <v>0</v>
          </cell>
          <cell r="AI143">
            <v>279</v>
          </cell>
          <cell r="AJ143">
            <v>20</v>
          </cell>
          <cell r="AK143">
            <v>295</v>
          </cell>
          <cell r="AL143">
            <v>2088</v>
          </cell>
          <cell r="AM143">
            <v>0</v>
          </cell>
          <cell r="AN143">
            <v>0</v>
          </cell>
          <cell r="AO143">
            <v>1193</v>
          </cell>
          <cell r="AP143">
            <v>223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20</v>
          </cell>
          <cell r="BB143">
            <v>0</v>
          </cell>
          <cell r="BC143">
            <v>20</v>
          </cell>
        </row>
        <row r="144">
          <cell r="C144" t="str">
            <v>NBL SECONDARY PACKING</v>
          </cell>
          <cell r="D144">
            <v>175680</v>
          </cell>
          <cell r="E144">
            <v>128220</v>
          </cell>
          <cell r="F144">
            <v>4070</v>
          </cell>
          <cell r="G144">
            <v>835</v>
          </cell>
          <cell r="H144">
            <v>3235</v>
          </cell>
          <cell r="I144">
            <v>0</v>
          </cell>
          <cell r="J144">
            <v>43390</v>
          </cell>
          <cell r="K144">
            <v>26744</v>
          </cell>
          <cell r="L144">
            <v>2608</v>
          </cell>
          <cell r="M144">
            <v>2038</v>
          </cell>
          <cell r="N144">
            <v>154</v>
          </cell>
          <cell r="O144">
            <v>125</v>
          </cell>
          <cell r="P144">
            <v>291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3679</v>
          </cell>
          <cell r="X144">
            <v>1504</v>
          </cell>
          <cell r="Y144">
            <v>2005</v>
          </cell>
          <cell r="Z144">
            <v>0</v>
          </cell>
          <cell r="AA144">
            <v>0</v>
          </cell>
          <cell r="AB144">
            <v>170</v>
          </cell>
          <cell r="AC144">
            <v>0</v>
          </cell>
          <cell r="AD144">
            <v>0</v>
          </cell>
          <cell r="AE144">
            <v>0</v>
          </cell>
          <cell r="AF144">
            <v>10359</v>
          </cell>
          <cell r="AG144">
            <v>70</v>
          </cell>
          <cell r="AH144">
            <v>1300</v>
          </cell>
          <cell r="AI144">
            <v>780</v>
          </cell>
          <cell r="AJ144">
            <v>0</v>
          </cell>
          <cell r="AK144">
            <v>1697</v>
          </cell>
          <cell r="AL144">
            <v>2000</v>
          </cell>
          <cell r="AM144">
            <v>120</v>
          </cell>
          <cell r="AN144">
            <v>0</v>
          </cell>
          <cell r="AO144">
            <v>1862</v>
          </cell>
          <cell r="AP144">
            <v>764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1611</v>
          </cell>
          <cell r="AX144">
            <v>35</v>
          </cell>
          <cell r="AY144">
            <v>0</v>
          </cell>
          <cell r="AZ144">
            <v>120</v>
          </cell>
          <cell r="BA144">
            <v>1220477</v>
          </cell>
          <cell r="BB144">
            <v>119</v>
          </cell>
          <cell r="BC144">
            <v>1220358</v>
          </cell>
        </row>
        <row r="145">
          <cell r="C145" t="str">
            <v>PAK101</v>
          </cell>
          <cell r="D145">
            <v>30240</v>
          </cell>
          <cell r="E145">
            <v>16605</v>
          </cell>
          <cell r="F145">
            <v>215</v>
          </cell>
          <cell r="G145">
            <v>215</v>
          </cell>
          <cell r="H145">
            <v>0</v>
          </cell>
          <cell r="I145">
            <v>0</v>
          </cell>
          <cell r="J145">
            <v>13420</v>
          </cell>
          <cell r="K145">
            <v>9385</v>
          </cell>
          <cell r="L145">
            <v>302</v>
          </cell>
          <cell r="M145">
            <v>302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1029</v>
          </cell>
          <cell r="X145">
            <v>324</v>
          </cell>
          <cell r="Y145">
            <v>675</v>
          </cell>
          <cell r="Z145">
            <v>0</v>
          </cell>
          <cell r="AA145">
            <v>0</v>
          </cell>
          <cell r="AB145">
            <v>30</v>
          </cell>
          <cell r="AC145">
            <v>0</v>
          </cell>
          <cell r="AD145">
            <v>0</v>
          </cell>
          <cell r="AE145">
            <v>0</v>
          </cell>
          <cell r="AF145">
            <v>2704</v>
          </cell>
          <cell r="AG145">
            <v>0</v>
          </cell>
          <cell r="AH145">
            <v>545</v>
          </cell>
          <cell r="AI145">
            <v>300</v>
          </cell>
          <cell r="AJ145">
            <v>0</v>
          </cell>
          <cell r="AK145">
            <v>615</v>
          </cell>
          <cell r="AL145">
            <v>180</v>
          </cell>
          <cell r="AM145">
            <v>0</v>
          </cell>
          <cell r="AN145">
            <v>0</v>
          </cell>
          <cell r="AO145">
            <v>0</v>
          </cell>
          <cell r="AP145">
            <v>275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669</v>
          </cell>
          <cell r="AX145">
            <v>0</v>
          </cell>
          <cell r="AY145">
            <v>0</v>
          </cell>
          <cell r="AZ145">
            <v>120</v>
          </cell>
          <cell r="BA145">
            <v>308580</v>
          </cell>
          <cell r="BB145">
            <v>0</v>
          </cell>
          <cell r="BC145">
            <v>308580</v>
          </cell>
        </row>
        <row r="146">
          <cell r="C146" t="str">
            <v>PAK103</v>
          </cell>
          <cell r="D146">
            <v>30240</v>
          </cell>
          <cell r="E146">
            <v>15480</v>
          </cell>
          <cell r="F146">
            <v>490</v>
          </cell>
          <cell r="G146">
            <v>210</v>
          </cell>
          <cell r="H146">
            <v>280</v>
          </cell>
          <cell r="I146">
            <v>0</v>
          </cell>
          <cell r="J146">
            <v>14270</v>
          </cell>
          <cell r="K146">
            <v>10420</v>
          </cell>
          <cell r="L146">
            <v>231</v>
          </cell>
          <cell r="M146">
            <v>231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903</v>
          </cell>
          <cell r="X146">
            <v>233</v>
          </cell>
          <cell r="Y146">
            <v>640</v>
          </cell>
          <cell r="Z146">
            <v>0</v>
          </cell>
          <cell r="AA146">
            <v>0</v>
          </cell>
          <cell r="AB146">
            <v>30</v>
          </cell>
          <cell r="AC146">
            <v>0</v>
          </cell>
          <cell r="AD146">
            <v>0</v>
          </cell>
          <cell r="AE146">
            <v>0</v>
          </cell>
          <cell r="AF146">
            <v>2716</v>
          </cell>
          <cell r="AG146">
            <v>0</v>
          </cell>
          <cell r="AH146">
            <v>755</v>
          </cell>
          <cell r="AI146">
            <v>300</v>
          </cell>
          <cell r="AJ146">
            <v>0</v>
          </cell>
          <cell r="AK146">
            <v>690</v>
          </cell>
          <cell r="AL146">
            <v>175</v>
          </cell>
          <cell r="AM146">
            <v>0</v>
          </cell>
          <cell r="AN146">
            <v>0</v>
          </cell>
          <cell r="AO146">
            <v>0</v>
          </cell>
          <cell r="AP146">
            <v>184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612</v>
          </cell>
          <cell r="AX146">
            <v>0</v>
          </cell>
          <cell r="AY146">
            <v>0</v>
          </cell>
          <cell r="AZ146">
            <v>0</v>
          </cell>
          <cell r="BA146">
            <v>455982</v>
          </cell>
          <cell r="BB146">
            <v>9</v>
          </cell>
          <cell r="BC146">
            <v>455973</v>
          </cell>
        </row>
        <row r="147">
          <cell r="C147" t="str">
            <v>PAK105</v>
          </cell>
          <cell r="D147">
            <v>28800</v>
          </cell>
          <cell r="E147">
            <v>17145</v>
          </cell>
          <cell r="F147">
            <v>2460</v>
          </cell>
          <cell r="G147">
            <v>195</v>
          </cell>
          <cell r="H147">
            <v>2265</v>
          </cell>
          <cell r="I147">
            <v>0</v>
          </cell>
          <cell r="J147">
            <v>9195</v>
          </cell>
          <cell r="K147">
            <v>3765</v>
          </cell>
          <cell r="L147">
            <v>745</v>
          </cell>
          <cell r="M147">
            <v>580</v>
          </cell>
          <cell r="N147">
            <v>45</v>
          </cell>
          <cell r="O147">
            <v>35</v>
          </cell>
          <cell r="P147">
            <v>85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570</v>
          </cell>
          <cell r="X147">
            <v>350</v>
          </cell>
          <cell r="Y147">
            <v>220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4115</v>
          </cell>
          <cell r="AG147">
            <v>0</v>
          </cell>
          <cell r="AH147">
            <v>0</v>
          </cell>
          <cell r="AI147">
            <v>180</v>
          </cell>
          <cell r="AJ147">
            <v>0</v>
          </cell>
          <cell r="AK147">
            <v>220</v>
          </cell>
          <cell r="AL147">
            <v>1645</v>
          </cell>
          <cell r="AM147">
            <v>0</v>
          </cell>
          <cell r="AN147">
            <v>0</v>
          </cell>
          <cell r="AO147">
            <v>1800</v>
          </cell>
          <cell r="AP147">
            <v>135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135</v>
          </cell>
          <cell r="AX147">
            <v>0</v>
          </cell>
          <cell r="AY147">
            <v>0</v>
          </cell>
          <cell r="AZ147">
            <v>0</v>
          </cell>
          <cell r="BA147">
            <v>186959</v>
          </cell>
          <cell r="BB147">
            <v>0</v>
          </cell>
          <cell r="BC147">
            <v>186959</v>
          </cell>
        </row>
        <row r="148">
          <cell r="C148" t="str">
            <v>PAK102</v>
          </cell>
          <cell r="D148">
            <v>28800</v>
          </cell>
          <cell r="E148">
            <v>27810</v>
          </cell>
          <cell r="F148">
            <v>65</v>
          </cell>
          <cell r="G148">
            <v>65</v>
          </cell>
          <cell r="H148">
            <v>0</v>
          </cell>
          <cell r="I148">
            <v>0</v>
          </cell>
          <cell r="J148">
            <v>925</v>
          </cell>
          <cell r="K148">
            <v>510</v>
          </cell>
          <cell r="L148">
            <v>35</v>
          </cell>
          <cell r="M148">
            <v>35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140</v>
          </cell>
          <cell r="X148">
            <v>0</v>
          </cell>
          <cell r="Y148">
            <v>55</v>
          </cell>
          <cell r="Z148">
            <v>0</v>
          </cell>
          <cell r="AA148">
            <v>0</v>
          </cell>
          <cell r="AB148">
            <v>85</v>
          </cell>
          <cell r="AC148">
            <v>0</v>
          </cell>
          <cell r="AD148">
            <v>0</v>
          </cell>
          <cell r="AE148">
            <v>0</v>
          </cell>
          <cell r="AF148">
            <v>240</v>
          </cell>
          <cell r="AG148">
            <v>70</v>
          </cell>
          <cell r="AH148">
            <v>0</v>
          </cell>
          <cell r="AI148">
            <v>0</v>
          </cell>
          <cell r="AJ148">
            <v>0</v>
          </cell>
          <cell r="AK148">
            <v>30</v>
          </cell>
          <cell r="AL148">
            <v>0</v>
          </cell>
          <cell r="AM148">
            <v>0</v>
          </cell>
          <cell r="AN148">
            <v>0</v>
          </cell>
          <cell r="AO148">
            <v>45</v>
          </cell>
          <cell r="AP148">
            <v>35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60</v>
          </cell>
          <cell r="AX148">
            <v>0</v>
          </cell>
          <cell r="AY148">
            <v>0</v>
          </cell>
          <cell r="AZ148">
            <v>0</v>
          </cell>
          <cell r="BA148">
            <v>15272</v>
          </cell>
          <cell r="BB148">
            <v>88</v>
          </cell>
          <cell r="BC148">
            <v>15184</v>
          </cell>
        </row>
        <row r="149">
          <cell r="C149" t="str">
            <v>PAK104</v>
          </cell>
          <cell r="D149">
            <v>28800</v>
          </cell>
          <cell r="E149">
            <v>27810</v>
          </cell>
          <cell r="F149">
            <v>370</v>
          </cell>
          <cell r="G149">
            <v>0</v>
          </cell>
          <cell r="H149">
            <v>370</v>
          </cell>
          <cell r="I149">
            <v>0</v>
          </cell>
          <cell r="J149">
            <v>620</v>
          </cell>
          <cell r="K149">
            <v>210</v>
          </cell>
          <cell r="L149">
            <v>145</v>
          </cell>
          <cell r="M149">
            <v>125</v>
          </cell>
          <cell r="N149">
            <v>0</v>
          </cell>
          <cell r="O149">
            <v>20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235</v>
          </cell>
          <cell r="X149">
            <v>70</v>
          </cell>
          <cell r="Y149">
            <v>140</v>
          </cell>
          <cell r="Z149">
            <v>0</v>
          </cell>
          <cell r="AA149">
            <v>0</v>
          </cell>
          <cell r="AB149">
            <v>25</v>
          </cell>
          <cell r="AC149">
            <v>0</v>
          </cell>
          <cell r="AD149">
            <v>0</v>
          </cell>
          <cell r="AE149">
            <v>0</v>
          </cell>
          <cell r="AF149">
            <v>30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10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20</v>
          </cell>
          <cell r="AX149">
            <v>0</v>
          </cell>
          <cell r="AY149">
            <v>0</v>
          </cell>
          <cell r="AZ149">
            <v>0</v>
          </cell>
          <cell r="BA149">
            <v>5632</v>
          </cell>
          <cell r="BB149">
            <v>0</v>
          </cell>
          <cell r="BC149">
            <v>5632</v>
          </cell>
        </row>
        <row r="150">
          <cell r="C150" t="str">
            <v>PAK111</v>
          </cell>
          <cell r="D150">
            <v>28800</v>
          </cell>
          <cell r="E150">
            <v>23370</v>
          </cell>
          <cell r="F150">
            <v>470</v>
          </cell>
          <cell r="G150">
            <v>150</v>
          </cell>
          <cell r="H150">
            <v>320</v>
          </cell>
          <cell r="I150">
            <v>0</v>
          </cell>
          <cell r="J150">
            <v>4960</v>
          </cell>
          <cell r="K150">
            <v>2454</v>
          </cell>
          <cell r="L150">
            <v>1150</v>
          </cell>
          <cell r="M150">
            <v>765</v>
          </cell>
          <cell r="N150">
            <v>109</v>
          </cell>
          <cell r="O150">
            <v>70</v>
          </cell>
          <cell r="P150">
            <v>206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802</v>
          </cell>
          <cell r="X150">
            <v>527</v>
          </cell>
          <cell r="Y150">
            <v>275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554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142</v>
          </cell>
          <cell r="AL150">
            <v>0</v>
          </cell>
          <cell r="AM150">
            <v>120</v>
          </cell>
          <cell r="AN150">
            <v>0</v>
          </cell>
          <cell r="AO150">
            <v>17</v>
          </cell>
          <cell r="AP150">
            <v>125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115</v>
          </cell>
          <cell r="AX150">
            <v>35</v>
          </cell>
          <cell r="AY150">
            <v>0</v>
          </cell>
          <cell r="AZ150">
            <v>0</v>
          </cell>
          <cell r="BA150">
            <v>248052</v>
          </cell>
          <cell r="BB150">
            <v>22</v>
          </cell>
          <cell r="BC150">
            <v>248030</v>
          </cell>
        </row>
        <row r="151">
          <cell r="C151" t="str">
            <v>CPH SOL-MIXING</v>
          </cell>
          <cell r="D151">
            <v>28800</v>
          </cell>
          <cell r="E151">
            <v>27810</v>
          </cell>
          <cell r="F151">
            <v>495</v>
          </cell>
          <cell r="G151">
            <v>240</v>
          </cell>
          <cell r="H151">
            <v>255</v>
          </cell>
          <cell r="I151">
            <v>0</v>
          </cell>
          <cell r="J151">
            <v>495</v>
          </cell>
          <cell r="K151">
            <v>44</v>
          </cell>
          <cell r="L151">
            <v>45</v>
          </cell>
          <cell r="M151">
            <v>15</v>
          </cell>
          <cell r="N151">
            <v>30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332</v>
          </cell>
          <cell r="X151">
            <v>232</v>
          </cell>
          <cell r="Y151">
            <v>90</v>
          </cell>
          <cell r="Z151">
            <v>0</v>
          </cell>
          <cell r="AA151">
            <v>0</v>
          </cell>
          <cell r="AB151">
            <v>10</v>
          </cell>
          <cell r="AC151">
            <v>0</v>
          </cell>
          <cell r="AD151">
            <v>0</v>
          </cell>
          <cell r="AE151">
            <v>0</v>
          </cell>
          <cell r="AF151">
            <v>74</v>
          </cell>
          <cell r="AG151">
            <v>60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14</v>
          </cell>
          <cell r="AX151">
            <v>0</v>
          </cell>
          <cell r="AY151">
            <v>0</v>
          </cell>
          <cell r="AZ151">
            <v>0</v>
          </cell>
          <cell r="BA151">
            <v>325.16000000000003</v>
          </cell>
          <cell r="BB151">
            <v>0.43</v>
          </cell>
          <cell r="BC151">
            <v>324.73</v>
          </cell>
        </row>
        <row r="152">
          <cell r="C152" t="str">
            <v>MCF101</v>
          </cell>
          <cell r="D152">
            <v>28800</v>
          </cell>
          <cell r="E152">
            <v>27810</v>
          </cell>
          <cell r="F152">
            <v>495</v>
          </cell>
          <cell r="G152">
            <v>240</v>
          </cell>
          <cell r="H152">
            <v>255</v>
          </cell>
          <cell r="I152">
            <v>0</v>
          </cell>
          <cell r="J152">
            <v>495</v>
          </cell>
          <cell r="K152">
            <v>44</v>
          </cell>
          <cell r="L152">
            <v>45</v>
          </cell>
          <cell r="M152">
            <v>15</v>
          </cell>
          <cell r="N152">
            <v>30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332</v>
          </cell>
          <cell r="X152">
            <v>232</v>
          </cell>
          <cell r="Y152">
            <v>90</v>
          </cell>
          <cell r="Z152">
            <v>0</v>
          </cell>
          <cell r="AA152">
            <v>0</v>
          </cell>
          <cell r="AB152">
            <v>10</v>
          </cell>
          <cell r="AC152">
            <v>0</v>
          </cell>
          <cell r="AD152">
            <v>0</v>
          </cell>
          <cell r="AE152">
            <v>0</v>
          </cell>
          <cell r="AF152">
            <v>74</v>
          </cell>
          <cell r="AG152">
            <v>60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14</v>
          </cell>
          <cell r="AX152">
            <v>0</v>
          </cell>
          <cell r="AY152">
            <v>0</v>
          </cell>
          <cell r="AZ152">
            <v>0</v>
          </cell>
          <cell r="BA152">
            <v>325.16000000000003</v>
          </cell>
          <cell r="BB152">
            <v>0.43</v>
          </cell>
          <cell r="BC152">
            <v>324.73</v>
          </cell>
        </row>
        <row r="153">
          <cell r="C153" t="str">
            <v>CPH SOL-CAPSULE</v>
          </cell>
          <cell r="D153">
            <v>28800</v>
          </cell>
          <cell r="E153">
            <v>27810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990</v>
          </cell>
          <cell r="K153">
            <v>160</v>
          </cell>
          <cell r="L153">
            <v>365</v>
          </cell>
          <cell r="M153">
            <v>80</v>
          </cell>
          <cell r="N153">
            <v>0</v>
          </cell>
          <cell r="O153">
            <v>15</v>
          </cell>
          <cell r="P153">
            <v>270</v>
          </cell>
          <cell r="Q153">
            <v>60</v>
          </cell>
          <cell r="R153">
            <v>60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185</v>
          </cell>
          <cell r="X153">
            <v>65</v>
          </cell>
          <cell r="Y153">
            <v>55</v>
          </cell>
          <cell r="Z153">
            <v>0</v>
          </cell>
          <cell r="AA153">
            <v>0</v>
          </cell>
          <cell r="AB153">
            <v>65</v>
          </cell>
          <cell r="AC153">
            <v>0</v>
          </cell>
          <cell r="AD153">
            <v>0</v>
          </cell>
          <cell r="AE153">
            <v>0</v>
          </cell>
          <cell r="AF153">
            <v>220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30</v>
          </cell>
          <cell r="AL153">
            <v>0</v>
          </cell>
          <cell r="AM153">
            <v>0</v>
          </cell>
          <cell r="AN153">
            <v>60</v>
          </cell>
          <cell r="AO153">
            <v>90</v>
          </cell>
          <cell r="AP153">
            <v>30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10</v>
          </cell>
          <cell r="AX153">
            <v>0</v>
          </cell>
          <cell r="AY153">
            <v>0</v>
          </cell>
          <cell r="AZ153">
            <v>0</v>
          </cell>
          <cell r="BA153">
            <v>99200</v>
          </cell>
          <cell r="BB153">
            <v>0</v>
          </cell>
          <cell r="BC153">
            <v>99200</v>
          </cell>
        </row>
        <row r="154">
          <cell r="C154" t="str">
            <v>KCF101</v>
          </cell>
          <cell r="D154">
            <v>28800</v>
          </cell>
          <cell r="E154">
            <v>27810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990</v>
          </cell>
          <cell r="K154">
            <v>160</v>
          </cell>
          <cell r="L154">
            <v>365</v>
          </cell>
          <cell r="M154">
            <v>80</v>
          </cell>
          <cell r="N154">
            <v>0</v>
          </cell>
          <cell r="O154">
            <v>15</v>
          </cell>
          <cell r="P154">
            <v>270</v>
          </cell>
          <cell r="Q154">
            <v>60</v>
          </cell>
          <cell r="R154">
            <v>60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185</v>
          </cell>
          <cell r="X154">
            <v>65</v>
          </cell>
          <cell r="Y154">
            <v>55</v>
          </cell>
          <cell r="Z154">
            <v>0</v>
          </cell>
          <cell r="AA154">
            <v>0</v>
          </cell>
          <cell r="AB154">
            <v>65</v>
          </cell>
          <cell r="AC154">
            <v>0</v>
          </cell>
          <cell r="AD154">
            <v>0</v>
          </cell>
          <cell r="AE154">
            <v>0</v>
          </cell>
          <cell r="AF154">
            <v>220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30</v>
          </cell>
          <cell r="AL154">
            <v>0</v>
          </cell>
          <cell r="AM154">
            <v>0</v>
          </cell>
          <cell r="AN154">
            <v>60</v>
          </cell>
          <cell r="AO154">
            <v>90</v>
          </cell>
          <cell r="AP154">
            <v>30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10</v>
          </cell>
          <cell r="AX154">
            <v>0</v>
          </cell>
          <cell r="AY154">
            <v>0</v>
          </cell>
          <cell r="AZ154">
            <v>0</v>
          </cell>
          <cell r="BA154">
            <v>99200</v>
          </cell>
          <cell r="BB154">
            <v>0</v>
          </cell>
          <cell r="BC154">
            <v>99200</v>
          </cell>
        </row>
        <row r="155">
          <cell r="C155" t="str">
            <v>CPH SOL-STRIPPING</v>
          </cell>
          <cell r="D155">
            <v>28800</v>
          </cell>
          <cell r="E155">
            <v>28305</v>
          </cell>
          <cell r="F155">
            <v>75</v>
          </cell>
          <cell r="G155">
            <v>0</v>
          </cell>
          <cell r="H155">
            <v>75</v>
          </cell>
          <cell r="I155">
            <v>0</v>
          </cell>
          <cell r="J155">
            <v>420</v>
          </cell>
          <cell r="K155">
            <v>120</v>
          </cell>
          <cell r="L155">
            <v>85</v>
          </cell>
          <cell r="M155">
            <v>85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175</v>
          </cell>
          <cell r="X155">
            <v>70</v>
          </cell>
          <cell r="Y155">
            <v>80</v>
          </cell>
          <cell r="Z155">
            <v>0</v>
          </cell>
          <cell r="AA155">
            <v>0</v>
          </cell>
          <cell r="AB155">
            <v>25</v>
          </cell>
          <cell r="AC155">
            <v>0</v>
          </cell>
          <cell r="AD155">
            <v>0</v>
          </cell>
          <cell r="AE155">
            <v>0</v>
          </cell>
          <cell r="AF155">
            <v>40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30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10</v>
          </cell>
          <cell r="AX155">
            <v>0</v>
          </cell>
          <cell r="AY155">
            <v>0</v>
          </cell>
          <cell r="AZ155">
            <v>0</v>
          </cell>
          <cell r="BA155">
            <v>100183</v>
          </cell>
          <cell r="BB155">
            <v>473</v>
          </cell>
          <cell r="BC155">
            <v>99710</v>
          </cell>
        </row>
        <row r="156">
          <cell r="C156" t="str">
            <v>STC101</v>
          </cell>
          <cell r="D156">
            <v>28800</v>
          </cell>
          <cell r="E156">
            <v>28305</v>
          </cell>
          <cell r="F156">
            <v>75</v>
          </cell>
          <cell r="G156">
            <v>0</v>
          </cell>
          <cell r="H156">
            <v>75</v>
          </cell>
          <cell r="I156">
            <v>0</v>
          </cell>
          <cell r="J156">
            <v>420</v>
          </cell>
          <cell r="K156">
            <v>120</v>
          </cell>
          <cell r="L156">
            <v>85</v>
          </cell>
          <cell r="M156">
            <v>85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175</v>
          </cell>
          <cell r="X156">
            <v>70</v>
          </cell>
          <cell r="Y156">
            <v>80</v>
          </cell>
          <cell r="Z156">
            <v>0</v>
          </cell>
          <cell r="AA156">
            <v>0</v>
          </cell>
          <cell r="AB156">
            <v>25</v>
          </cell>
          <cell r="AC156">
            <v>0</v>
          </cell>
          <cell r="AD156">
            <v>0</v>
          </cell>
          <cell r="AE156">
            <v>0</v>
          </cell>
          <cell r="AF156">
            <v>40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30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10</v>
          </cell>
          <cell r="AX156">
            <v>0</v>
          </cell>
          <cell r="AY156">
            <v>0</v>
          </cell>
          <cell r="AZ156">
            <v>0</v>
          </cell>
          <cell r="BA156">
            <v>100183</v>
          </cell>
          <cell r="BB156">
            <v>473</v>
          </cell>
          <cell r="BC156">
            <v>99710</v>
          </cell>
        </row>
        <row r="157">
          <cell r="C157" t="str">
            <v>CPH SOL-POWDER FILLING</v>
          </cell>
          <cell r="D157">
            <v>28800</v>
          </cell>
          <cell r="E157">
            <v>28305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495</v>
          </cell>
          <cell r="K157">
            <v>70</v>
          </cell>
          <cell r="L157">
            <v>40</v>
          </cell>
          <cell r="M157">
            <v>40</v>
          </cell>
          <cell r="N157">
            <v>0</v>
          </cell>
          <cell r="O157">
            <v>0</v>
          </cell>
          <cell r="P157">
            <v>0</v>
          </cell>
          <cell r="Q157">
            <v>40</v>
          </cell>
          <cell r="R157">
            <v>0</v>
          </cell>
          <cell r="S157">
            <v>0</v>
          </cell>
          <cell r="T157">
            <v>0</v>
          </cell>
          <cell r="U157">
            <v>40</v>
          </cell>
          <cell r="V157">
            <v>0</v>
          </cell>
          <cell r="W157">
            <v>305</v>
          </cell>
          <cell r="X157">
            <v>85</v>
          </cell>
          <cell r="Y157">
            <v>210</v>
          </cell>
          <cell r="Z157">
            <v>0</v>
          </cell>
          <cell r="AA157">
            <v>0</v>
          </cell>
          <cell r="AB157">
            <v>10</v>
          </cell>
          <cell r="AC157">
            <v>0</v>
          </cell>
          <cell r="AD157">
            <v>0</v>
          </cell>
          <cell r="AE157">
            <v>0</v>
          </cell>
          <cell r="AF157">
            <v>40</v>
          </cell>
          <cell r="AG157">
            <v>0</v>
          </cell>
          <cell r="AH157">
            <v>0</v>
          </cell>
          <cell r="AI157">
            <v>15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15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10</v>
          </cell>
          <cell r="AX157">
            <v>0</v>
          </cell>
          <cell r="AY157">
            <v>0</v>
          </cell>
          <cell r="AZ157">
            <v>0</v>
          </cell>
          <cell r="BA157">
            <v>1582</v>
          </cell>
          <cell r="BB157">
            <v>14</v>
          </cell>
          <cell r="BC157">
            <v>1568</v>
          </cell>
        </row>
        <row r="158">
          <cell r="C158" t="str">
            <v>SCF102</v>
          </cell>
          <cell r="D158">
            <v>28800</v>
          </cell>
          <cell r="E158">
            <v>28305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495</v>
          </cell>
          <cell r="K158">
            <v>70</v>
          </cell>
          <cell r="L158">
            <v>40</v>
          </cell>
          <cell r="M158">
            <v>40</v>
          </cell>
          <cell r="N158">
            <v>0</v>
          </cell>
          <cell r="O158">
            <v>0</v>
          </cell>
          <cell r="P158">
            <v>0</v>
          </cell>
          <cell r="Q158">
            <v>40</v>
          </cell>
          <cell r="R158">
            <v>0</v>
          </cell>
          <cell r="S158">
            <v>0</v>
          </cell>
          <cell r="T158">
            <v>0</v>
          </cell>
          <cell r="U158">
            <v>40</v>
          </cell>
          <cell r="V158">
            <v>0</v>
          </cell>
          <cell r="W158">
            <v>305</v>
          </cell>
          <cell r="X158">
            <v>85</v>
          </cell>
          <cell r="Y158">
            <v>210</v>
          </cell>
          <cell r="Z158">
            <v>0</v>
          </cell>
          <cell r="AA158">
            <v>0</v>
          </cell>
          <cell r="AB158">
            <v>10</v>
          </cell>
          <cell r="AC158">
            <v>0</v>
          </cell>
          <cell r="AD158">
            <v>0</v>
          </cell>
          <cell r="AE158">
            <v>0</v>
          </cell>
          <cell r="AF158">
            <v>40</v>
          </cell>
          <cell r="AG158">
            <v>0</v>
          </cell>
          <cell r="AH158">
            <v>0</v>
          </cell>
          <cell r="AI158">
            <v>15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15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10</v>
          </cell>
          <cell r="AX158">
            <v>0</v>
          </cell>
          <cell r="AY158">
            <v>0</v>
          </cell>
          <cell r="AZ158">
            <v>0</v>
          </cell>
          <cell r="BA158">
            <v>1582</v>
          </cell>
          <cell r="BB158">
            <v>14</v>
          </cell>
          <cell r="BC158">
            <v>1568</v>
          </cell>
        </row>
        <row r="159">
          <cell r="C159" t="str">
            <v>CPH INJ-FILLING</v>
          </cell>
          <cell r="D159">
            <v>28800</v>
          </cell>
          <cell r="E159">
            <v>24660</v>
          </cell>
          <cell r="F159">
            <v>235</v>
          </cell>
          <cell r="G159">
            <v>0</v>
          </cell>
          <cell r="H159">
            <v>235</v>
          </cell>
          <cell r="I159">
            <v>0</v>
          </cell>
          <cell r="J159">
            <v>3905</v>
          </cell>
          <cell r="K159">
            <v>1476</v>
          </cell>
          <cell r="L159">
            <v>488</v>
          </cell>
          <cell r="M159">
            <v>417</v>
          </cell>
          <cell r="N159">
            <v>0</v>
          </cell>
          <cell r="O159">
            <v>71</v>
          </cell>
          <cell r="P159">
            <v>0</v>
          </cell>
          <cell r="Q159">
            <v>112</v>
          </cell>
          <cell r="R159">
            <v>50</v>
          </cell>
          <cell r="S159">
            <v>0</v>
          </cell>
          <cell r="T159">
            <v>0</v>
          </cell>
          <cell r="U159">
            <v>62</v>
          </cell>
          <cell r="V159">
            <v>0</v>
          </cell>
          <cell r="W159">
            <v>692</v>
          </cell>
          <cell r="X159">
            <v>78</v>
          </cell>
          <cell r="Y159">
            <v>614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1137</v>
          </cell>
          <cell r="AG159">
            <v>0</v>
          </cell>
          <cell r="AH159">
            <v>0</v>
          </cell>
          <cell r="AI159">
            <v>95</v>
          </cell>
          <cell r="AJ159">
            <v>5</v>
          </cell>
          <cell r="AK159">
            <v>235</v>
          </cell>
          <cell r="AL159">
            <v>0</v>
          </cell>
          <cell r="AM159">
            <v>0</v>
          </cell>
          <cell r="AN159">
            <v>75</v>
          </cell>
          <cell r="AO159">
            <v>0</v>
          </cell>
          <cell r="AP159">
            <v>40</v>
          </cell>
          <cell r="AQ159">
            <v>0</v>
          </cell>
          <cell r="AR159">
            <v>0</v>
          </cell>
          <cell r="AS159">
            <v>675</v>
          </cell>
          <cell r="AT159">
            <v>0</v>
          </cell>
          <cell r="AU159">
            <v>0</v>
          </cell>
          <cell r="AV159">
            <v>0</v>
          </cell>
          <cell r="AW159">
            <v>12</v>
          </cell>
          <cell r="AX159">
            <v>0</v>
          </cell>
          <cell r="AY159">
            <v>0</v>
          </cell>
          <cell r="AZ159">
            <v>0</v>
          </cell>
          <cell r="BA159">
            <v>199466</v>
          </cell>
          <cell r="BB159">
            <v>0</v>
          </cell>
          <cell r="BC159">
            <v>199466</v>
          </cell>
        </row>
        <row r="160">
          <cell r="C160" t="str">
            <v>GINLINE6</v>
          </cell>
          <cell r="D160">
            <v>28800</v>
          </cell>
          <cell r="E160">
            <v>24660</v>
          </cell>
          <cell r="F160">
            <v>235</v>
          </cell>
          <cell r="G160">
            <v>0</v>
          </cell>
          <cell r="H160">
            <v>235</v>
          </cell>
          <cell r="I160">
            <v>0</v>
          </cell>
          <cell r="J160">
            <v>3905</v>
          </cell>
          <cell r="K160">
            <v>1476</v>
          </cell>
          <cell r="L160">
            <v>488</v>
          </cell>
          <cell r="M160">
            <v>417</v>
          </cell>
          <cell r="N160">
            <v>0</v>
          </cell>
          <cell r="O160">
            <v>71</v>
          </cell>
          <cell r="P160">
            <v>0</v>
          </cell>
          <cell r="Q160">
            <v>112</v>
          </cell>
          <cell r="R160">
            <v>50</v>
          </cell>
          <cell r="S160">
            <v>0</v>
          </cell>
          <cell r="T160">
            <v>0</v>
          </cell>
          <cell r="U160">
            <v>62</v>
          </cell>
          <cell r="V160">
            <v>0</v>
          </cell>
          <cell r="W160">
            <v>692</v>
          </cell>
          <cell r="X160">
            <v>78</v>
          </cell>
          <cell r="Y160">
            <v>614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1137</v>
          </cell>
          <cell r="AG160">
            <v>0</v>
          </cell>
          <cell r="AH160">
            <v>0</v>
          </cell>
          <cell r="AI160">
            <v>95</v>
          </cell>
          <cell r="AJ160">
            <v>5</v>
          </cell>
          <cell r="AK160">
            <v>235</v>
          </cell>
          <cell r="AL160">
            <v>0</v>
          </cell>
          <cell r="AM160">
            <v>0</v>
          </cell>
          <cell r="AN160">
            <v>75</v>
          </cell>
          <cell r="AO160">
            <v>0</v>
          </cell>
          <cell r="AP160">
            <v>40</v>
          </cell>
          <cell r="AQ160">
            <v>0</v>
          </cell>
          <cell r="AR160">
            <v>0</v>
          </cell>
          <cell r="AS160">
            <v>675</v>
          </cell>
          <cell r="AT160">
            <v>0</v>
          </cell>
          <cell r="AU160">
            <v>0</v>
          </cell>
          <cell r="AV160">
            <v>0</v>
          </cell>
          <cell r="AW160">
            <v>12</v>
          </cell>
          <cell r="AX160">
            <v>0</v>
          </cell>
          <cell r="AY160">
            <v>0</v>
          </cell>
          <cell r="AZ160">
            <v>0</v>
          </cell>
          <cell r="BA160">
            <v>199466</v>
          </cell>
          <cell r="BB160">
            <v>0</v>
          </cell>
          <cell r="BC160">
            <v>199466</v>
          </cell>
        </row>
        <row r="161">
          <cell r="C161" t="str">
            <v>CPH INJ-STERILIZATION</v>
          </cell>
          <cell r="D161">
            <v>60480</v>
          </cell>
          <cell r="E161">
            <v>49620</v>
          </cell>
          <cell r="F161">
            <v>1129</v>
          </cell>
          <cell r="G161">
            <v>512</v>
          </cell>
          <cell r="H161">
            <v>617</v>
          </cell>
          <cell r="I161">
            <v>0</v>
          </cell>
          <cell r="J161">
            <v>9731</v>
          </cell>
          <cell r="K161">
            <v>4223</v>
          </cell>
          <cell r="L161">
            <v>405</v>
          </cell>
          <cell r="M161">
            <v>275</v>
          </cell>
          <cell r="N161">
            <v>0</v>
          </cell>
          <cell r="O161">
            <v>130</v>
          </cell>
          <cell r="P161">
            <v>0</v>
          </cell>
          <cell r="Q161">
            <v>221</v>
          </cell>
          <cell r="R161">
            <v>135</v>
          </cell>
          <cell r="S161">
            <v>0</v>
          </cell>
          <cell r="T161">
            <v>0</v>
          </cell>
          <cell r="U161">
            <v>86</v>
          </cell>
          <cell r="V161">
            <v>0</v>
          </cell>
          <cell r="W161">
            <v>2756</v>
          </cell>
          <cell r="X161">
            <v>2496</v>
          </cell>
          <cell r="Y161">
            <v>260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2126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50</v>
          </cell>
          <cell r="AO161">
            <v>2076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412</v>
          </cell>
          <cell r="BB161">
            <v>0</v>
          </cell>
          <cell r="BC161">
            <v>412</v>
          </cell>
        </row>
        <row r="162">
          <cell r="C162" t="str">
            <v>ICF104</v>
          </cell>
          <cell r="D162">
            <v>30240</v>
          </cell>
          <cell r="E162">
            <v>24360</v>
          </cell>
          <cell r="F162">
            <v>542</v>
          </cell>
          <cell r="G162">
            <v>155</v>
          </cell>
          <cell r="H162">
            <v>387</v>
          </cell>
          <cell r="I162">
            <v>0</v>
          </cell>
          <cell r="J162">
            <v>5338</v>
          </cell>
          <cell r="K162">
            <v>2631</v>
          </cell>
          <cell r="L162">
            <v>194</v>
          </cell>
          <cell r="M162">
            <v>154</v>
          </cell>
          <cell r="N162">
            <v>0</v>
          </cell>
          <cell r="O162">
            <v>40</v>
          </cell>
          <cell r="P162">
            <v>0</v>
          </cell>
          <cell r="Q162">
            <v>135</v>
          </cell>
          <cell r="R162">
            <v>135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1926</v>
          </cell>
          <cell r="X162">
            <v>1824</v>
          </cell>
          <cell r="Y162">
            <v>102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452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30</v>
          </cell>
          <cell r="AO162">
            <v>422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277</v>
          </cell>
          <cell r="BB162">
            <v>0</v>
          </cell>
          <cell r="BC162">
            <v>277</v>
          </cell>
        </row>
        <row r="163">
          <cell r="C163" t="str">
            <v>ICF105</v>
          </cell>
          <cell r="D163">
            <v>30240</v>
          </cell>
          <cell r="E163">
            <v>25260</v>
          </cell>
          <cell r="F163">
            <v>587</v>
          </cell>
          <cell r="G163">
            <v>357</v>
          </cell>
          <cell r="H163">
            <v>230</v>
          </cell>
          <cell r="I163">
            <v>0</v>
          </cell>
          <cell r="J163">
            <v>4393</v>
          </cell>
          <cell r="K163">
            <v>1592</v>
          </cell>
          <cell r="L163">
            <v>211</v>
          </cell>
          <cell r="M163">
            <v>121</v>
          </cell>
          <cell r="N163">
            <v>0</v>
          </cell>
          <cell r="O163">
            <v>90</v>
          </cell>
          <cell r="P163">
            <v>0</v>
          </cell>
          <cell r="Q163">
            <v>86</v>
          </cell>
          <cell r="R163">
            <v>0</v>
          </cell>
          <cell r="S163">
            <v>0</v>
          </cell>
          <cell r="T163">
            <v>0</v>
          </cell>
          <cell r="U163">
            <v>86</v>
          </cell>
          <cell r="V163">
            <v>0</v>
          </cell>
          <cell r="W163">
            <v>830</v>
          </cell>
          <cell r="X163">
            <v>672</v>
          </cell>
          <cell r="Y163">
            <v>158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1674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20</v>
          </cell>
          <cell r="AO163">
            <v>1654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135</v>
          </cell>
          <cell r="BB163">
            <v>0</v>
          </cell>
          <cell r="BC163">
            <v>135</v>
          </cell>
        </row>
        <row r="164">
          <cell r="C164" t="str">
            <v>CPH-SECONDARY PACKING</v>
          </cell>
          <cell r="D164">
            <v>59040</v>
          </cell>
          <cell r="E164">
            <v>38505</v>
          </cell>
          <cell r="F164">
            <v>2000</v>
          </cell>
          <cell r="G164">
            <v>655</v>
          </cell>
          <cell r="H164">
            <v>1345</v>
          </cell>
          <cell r="I164">
            <v>0</v>
          </cell>
          <cell r="J164">
            <v>18535</v>
          </cell>
          <cell r="K164">
            <v>7865</v>
          </cell>
          <cell r="L164">
            <v>3400</v>
          </cell>
          <cell r="M164">
            <v>2060</v>
          </cell>
          <cell r="N164">
            <v>120</v>
          </cell>
          <cell r="O164">
            <v>215</v>
          </cell>
          <cell r="P164">
            <v>1005</v>
          </cell>
          <cell r="Q164">
            <v>150</v>
          </cell>
          <cell r="R164">
            <v>90</v>
          </cell>
          <cell r="S164">
            <v>60</v>
          </cell>
          <cell r="T164">
            <v>0</v>
          </cell>
          <cell r="U164">
            <v>0</v>
          </cell>
          <cell r="V164">
            <v>0</v>
          </cell>
          <cell r="W164">
            <v>3505</v>
          </cell>
          <cell r="X164">
            <v>1875</v>
          </cell>
          <cell r="Y164">
            <v>905</v>
          </cell>
          <cell r="Z164">
            <v>455</v>
          </cell>
          <cell r="AA164">
            <v>15</v>
          </cell>
          <cell r="AB164">
            <v>255</v>
          </cell>
          <cell r="AC164">
            <v>0</v>
          </cell>
          <cell r="AD164">
            <v>0</v>
          </cell>
          <cell r="AE164">
            <v>0</v>
          </cell>
          <cell r="AF164">
            <v>3615</v>
          </cell>
          <cell r="AG164">
            <v>335</v>
          </cell>
          <cell r="AH164">
            <v>0</v>
          </cell>
          <cell r="AI164">
            <v>390</v>
          </cell>
          <cell r="AJ164">
            <v>0</v>
          </cell>
          <cell r="AK164">
            <v>570</v>
          </cell>
          <cell r="AL164">
            <v>390</v>
          </cell>
          <cell r="AM164">
            <v>110</v>
          </cell>
          <cell r="AN164">
            <v>0</v>
          </cell>
          <cell r="AO164">
            <v>670</v>
          </cell>
          <cell r="AP164">
            <v>460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560</v>
          </cell>
          <cell r="AX164">
            <v>130</v>
          </cell>
          <cell r="AY164">
            <v>0</v>
          </cell>
          <cell r="AZ164">
            <v>0</v>
          </cell>
          <cell r="BA164">
            <v>1092191</v>
          </cell>
          <cell r="BB164">
            <v>449</v>
          </cell>
          <cell r="BC164">
            <v>1091742</v>
          </cell>
        </row>
        <row r="165">
          <cell r="C165" t="str">
            <v>PCF101</v>
          </cell>
          <cell r="D165">
            <v>30240</v>
          </cell>
          <cell r="E165">
            <v>14655</v>
          </cell>
          <cell r="F165">
            <v>1270</v>
          </cell>
          <cell r="G165">
            <v>595</v>
          </cell>
          <cell r="H165">
            <v>675</v>
          </cell>
          <cell r="I165">
            <v>0</v>
          </cell>
          <cell r="J165">
            <v>14315</v>
          </cell>
          <cell r="K165">
            <v>5645</v>
          </cell>
          <cell r="L165">
            <v>3305</v>
          </cell>
          <cell r="M165">
            <v>1975</v>
          </cell>
          <cell r="N165">
            <v>120</v>
          </cell>
          <cell r="O165">
            <v>205</v>
          </cell>
          <cell r="P165">
            <v>1005</v>
          </cell>
          <cell r="Q165">
            <v>150</v>
          </cell>
          <cell r="R165">
            <v>90</v>
          </cell>
          <cell r="S165">
            <v>60</v>
          </cell>
          <cell r="T165">
            <v>0</v>
          </cell>
          <cell r="U165">
            <v>0</v>
          </cell>
          <cell r="V165">
            <v>0</v>
          </cell>
          <cell r="W165">
            <v>3125</v>
          </cell>
          <cell r="X165">
            <v>1875</v>
          </cell>
          <cell r="Y165">
            <v>780</v>
          </cell>
          <cell r="Z165">
            <v>455</v>
          </cell>
          <cell r="AA165">
            <v>15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2090</v>
          </cell>
          <cell r="AG165">
            <v>335</v>
          </cell>
          <cell r="AH165">
            <v>0</v>
          </cell>
          <cell r="AI165">
            <v>390</v>
          </cell>
          <cell r="AJ165">
            <v>0</v>
          </cell>
          <cell r="AK165">
            <v>450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380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405</v>
          </cell>
          <cell r="AX165">
            <v>130</v>
          </cell>
          <cell r="AY165">
            <v>0</v>
          </cell>
          <cell r="AZ165">
            <v>0</v>
          </cell>
          <cell r="BA165">
            <v>1030410</v>
          </cell>
          <cell r="BB165">
            <v>220</v>
          </cell>
          <cell r="BC165">
            <v>1030190</v>
          </cell>
        </row>
        <row r="166">
          <cell r="C166" t="str">
            <v>PCF102</v>
          </cell>
          <cell r="D166">
            <v>28800</v>
          </cell>
          <cell r="E166">
            <v>23850</v>
          </cell>
          <cell r="F166">
            <v>730</v>
          </cell>
          <cell r="G166">
            <v>60</v>
          </cell>
          <cell r="H166">
            <v>670</v>
          </cell>
          <cell r="I166">
            <v>0</v>
          </cell>
          <cell r="J166">
            <v>4220</v>
          </cell>
          <cell r="K166">
            <v>2220</v>
          </cell>
          <cell r="L166">
            <v>95</v>
          </cell>
          <cell r="M166">
            <v>85</v>
          </cell>
          <cell r="N166">
            <v>0</v>
          </cell>
          <cell r="O166">
            <v>10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380</v>
          </cell>
          <cell r="X166">
            <v>0</v>
          </cell>
          <cell r="Y166">
            <v>125</v>
          </cell>
          <cell r="Z166">
            <v>0</v>
          </cell>
          <cell r="AA166">
            <v>0</v>
          </cell>
          <cell r="AB166">
            <v>255</v>
          </cell>
          <cell r="AC166">
            <v>0</v>
          </cell>
          <cell r="AD166">
            <v>0</v>
          </cell>
          <cell r="AE166">
            <v>0</v>
          </cell>
          <cell r="AF166">
            <v>1525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120</v>
          </cell>
          <cell r="AL166">
            <v>390</v>
          </cell>
          <cell r="AM166">
            <v>110</v>
          </cell>
          <cell r="AN166">
            <v>0</v>
          </cell>
          <cell r="AO166">
            <v>670</v>
          </cell>
          <cell r="AP166">
            <v>80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155</v>
          </cell>
          <cell r="AX166">
            <v>0</v>
          </cell>
          <cell r="AY166">
            <v>0</v>
          </cell>
          <cell r="AZ166">
            <v>0</v>
          </cell>
          <cell r="BA166">
            <v>61781</v>
          </cell>
          <cell r="BB166">
            <v>229</v>
          </cell>
          <cell r="BC166">
            <v>61552</v>
          </cell>
        </row>
      </sheetData>
      <sheetData sheetId="13" refreshError="1">
        <row r="5">
          <cell r="C5" t="str">
            <v>POT</v>
          </cell>
        </row>
        <row r="109">
          <cell r="B109" t="str">
            <v>PROSES( Menit )</v>
          </cell>
          <cell r="C109" t="str">
            <v>POT</v>
          </cell>
          <cell r="D109" t="str">
            <v>POT Shift Tersedia</v>
          </cell>
          <cell r="E109" t="str">
            <v>Unschedule Time</v>
          </cell>
          <cell r="F109" t="str">
            <v>Unschedule Time Shift Tersedia</v>
          </cell>
          <cell r="G109" t="str">
            <v>Waktu Beproduksi</v>
          </cell>
          <cell r="H109" t="str">
            <v>Waktu Beproduksi Tersedia</v>
          </cell>
          <cell r="I109" t="str">
            <v>Idle Time</v>
          </cell>
          <cell r="J109" t="str">
            <v>Idle Time Tersedia</v>
          </cell>
          <cell r="K109" t="str">
            <v>L2</v>
          </cell>
          <cell r="L109" t="str">
            <v>L21</v>
          </cell>
          <cell r="M109" t="str">
            <v>L22</v>
          </cell>
          <cell r="N109" t="str">
            <v>IG</v>
          </cell>
          <cell r="O109" t="str">
            <v>PPT</v>
          </cell>
          <cell r="P109" t="str">
            <v>PPT Tersedia</v>
          </cell>
          <cell r="Q109" t="str">
            <v>R</v>
          </cell>
          <cell r="R109" t="str">
            <v>R Tersedia</v>
          </cell>
          <cell r="S109" t="str">
            <v>DT</v>
          </cell>
          <cell r="T109" t="str">
            <v>DT Tersedia</v>
          </cell>
          <cell r="U109" t="str">
            <v>Setup</v>
          </cell>
          <cell r="V109" t="str">
            <v>P6</v>
          </cell>
          <cell r="W109" t="str">
            <v>P5</v>
          </cell>
          <cell r="X109" t="str">
            <v>P8</v>
          </cell>
          <cell r="Y109" t="str">
            <v>P9</v>
          </cell>
          <cell r="Z109" t="str">
            <v>Breakdown</v>
          </cell>
          <cell r="AA109" t="str">
            <v>M1</v>
          </cell>
          <cell r="AB109" t="str">
            <v>M2</v>
          </cell>
          <cell r="AC109" t="str">
            <v>M4</v>
          </cell>
          <cell r="AD109" t="str">
            <v>M8</v>
          </cell>
          <cell r="AE109" t="str">
            <v>M9</v>
          </cell>
          <cell r="AF109" t="str">
            <v>Clean</v>
          </cell>
          <cell r="AG109" t="str">
            <v>P2</v>
          </cell>
          <cell r="AH109" t="str">
            <v>P4</v>
          </cell>
          <cell r="AI109" t="str">
            <v>P17</v>
          </cell>
          <cell r="AJ109" t="str">
            <v>P19</v>
          </cell>
          <cell r="AK109" t="str">
            <v>P12</v>
          </cell>
          <cell r="AL109" t="str">
            <v>Trial</v>
          </cell>
          <cell r="AM109" t="str">
            <v>R1</v>
          </cell>
          <cell r="AN109" t="str">
            <v>R2</v>
          </cell>
          <cell r="AO109" t="str">
            <v>Waiting</v>
          </cell>
          <cell r="AP109" t="str">
            <v>L1</v>
          </cell>
          <cell r="AQ109" t="str">
            <v>L3</v>
          </cell>
          <cell r="AR109" t="str">
            <v>H1</v>
          </cell>
          <cell r="AS109" t="str">
            <v>H2</v>
          </cell>
          <cell r="AT109" t="str">
            <v>H4</v>
          </cell>
          <cell r="AU109" t="str">
            <v>H6</v>
          </cell>
          <cell r="AV109" t="str">
            <v>H7</v>
          </cell>
          <cell r="AW109" t="str">
            <v>H8</v>
          </cell>
          <cell r="AX109" t="str">
            <v>P10</v>
          </cell>
          <cell r="AY109" t="str">
            <v>P11</v>
          </cell>
          <cell r="AZ109" t="str">
            <v>P13</v>
          </cell>
          <cell r="BA109" t="str">
            <v>P14</v>
          </cell>
          <cell r="BB109" t="str">
            <v>P16</v>
          </cell>
          <cell r="BC109" t="str">
            <v>M5</v>
          </cell>
          <cell r="BD109" t="str">
            <v>M6</v>
          </cell>
          <cell r="BE109" t="str">
            <v>M7</v>
          </cell>
          <cell r="BF109" t="str">
            <v>Q1</v>
          </cell>
          <cell r="BG109" t="str">
            <v>Q2</v>
          </cell>
          <cell r="BH109" t="str">
            <v>Q3</v>
          </cell>
          <cell r="BI109" t="str">
            <v>Q4</v>
          </cell>
          <cell r="BJ109" t="str">
            <v>Total Output</v>
          </cell>
          <cell r="BK109" t="str">
            <v>Reject Output</v>
          </cell>
          <cell r="BL109" t="str">
            <v>Good Output</v>
          </cell>
        </row>
        <row r="110">
          <cell r="B110" t="str">
            <v>NBL SOL-MIXING</v>
          </cell>
          <cell r="C110">
            <v>90720</v>
          </cell>
          <cell r="D110">
            <v>58590</v>
          </cell>
          <cell r="E110">
            <v>55620</v>
          </cell>
          <cell r="F110">
            <v>23490</v>
          </cell>
          <cell r="G110">
            <v>35100</v>
          </cell>
          <cell r="H110">
            <v>35100</v>
          </cell>
          <cell r="I110">
            <v>4278</v>
          </cell>
          <cell r="J110">
            <v>4278</v>
          </cell>
          <cell r="K110">
            <v>3609</v>
          </cell>
          <cell r="L110">
            <v>640</v>
          </cell>
          <cell r="M110">
            <v>2969</v>
          </cell>
          <cell r="N110">
            <v>669</v>
          </cell>
          <cell r="O110">
            <v>30822</v>
          </cell>
          <cell r="P110">
            <v>30822</v>
          </cell>
          <cell r="Q110">
            <v>5281</v>
          </cell>
          <cell r="R110">
            <v>5281</v>
          </cell>
          <cell r="S110">
            <v>25541</v>
          </cell>
          <cell r="T110">
            <v>25541</v>
          </cell>
          <cell r="U110">
            <v>816</v>
          </cell>
          <cell r="V110">
            <v>816</v>
          </cell>
          <cell r="W110">
            <v>0</v>
          </cell>
          <cell r="X110">
            <v>0</v>
          </cell>
          <cell r="Y110">
            <v>0</v>
          </cell>
          <cell r="Z110">
            <v>135</v>
          </cell>
          <cell r="AA110">
            <v>0</v>
          </cell>
          <cell r="AB110">
            <v>0</v>
          </cell>
          <cell r="AC110">
            <v>0</v>
          </cell>
          <cell r="AD110">
            <v>135</v>
          </cell>
          <cell r="AE110">
            <v>0</v>
          </cell>
          <cell r="AF110">
            <v>14182</v>
          </cell>
          <cell r="AG110">
            <v>8480</v>
          </cell>
          <cell r="AH110">
            <v>5150</v>
          </cell>
          <cell r="AI110">
            <v>22</v>
          </cell>
          <cell r="AJ110">
            <v>0</v>
          </cell>
          <cell r="AK110">
            <v>530</v>
          </cell>
          <cell r="AL110">
            <v>855</v>
          </cell>
          <cell r="AM110">
            <v>0</v>
          </cell>
          <cell r="AN110">
            <v>855</v>
          </cell>
          <cell r="AO110">
            <v>9553</v>
          </cell>
          <cell r="AP110">
            <v>205</v>
          </cell>
          <cell r="AQ110">
            <v>0</v>
          </cell>
          <cell r="AR110">
            <v>550</v>
          </cell>
          <cell r="AS110">
            <v>0</v>
          </cell>
          <cell r="AT110">
            <v>1418</v>
          </cell>
          <cell r="AU110">
            <v>0</v>
          </cell>
          <cell r="AV110">
            <v>0</v>
          </cell>
          <cell r="AW110">
            <v>0</v>
          </cell>
          <cell r="AX110">
            <v>6455</v>
          </cell>
          <cell r="AY110">
            <v>20</v>
          </cell>
          <cell r="AZ110">
            <v>0</v>
          </cell>
          <cell r="BA110">
            <v>583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322</v>
          </cell>
          <cell r="BG110">
            <v>0</v>
          </cell>
          <cell r="BH110">
            <v>0</v>
          </cell>
          <cell r="BI110">
            <v>0</v>
          </cell>
          <cell r="BJ110">
            <v>8589.74</v>
          </cell>
          <cell r="BK110">
            <v>0</v>
          </cell>
          <cell r="BL110">
            <v>8589.74</v>
          </cell>
        </row>
        <row r="111">
          <cell r="B111" t="str">
            <v>MIX113</v>
          </cell>
          <cell r="C111">
            <v>30240</v>
          </cell>
          <cell r="D111">
            <v>19530</v>
          </cell>
          <cell r="E111">
            <v>12120</v>
          </cell>
          <cell r="F111">
            <v>1410</v>
          </cell>
          <cell r="G111">
            <v>18120</v>
          </cell>
          <cell r="H111">
            <v>18120</v>
          </cell>
          <cell r="I111">
            <v>2996</v>
          </cell>
          <cell r="J111">
            <v>2996</v>
          </cell>
          <cell r="K111">
            <v>2554</v>
          </cell>
          <cell r="L111">
            <v>30</v>
          </cell>
          <cell r="M111">
            <v>2524</v>
          </cell>
          <cell r="N111">
            <v>442</v>
          </cell>
          <cell r="O111">
            <v>15124</v>
          </cell>
          <cell r="P111">
            <v>15124</v>
          </cell>
          <cell r="Q111">
            <v>945</v>
          </cell>
          <cell r="R111">
            <v>945</v>
          </cell>
          <cell r="S111">
            <v>14179</v>
          </cell>
          <cell r="T111">
            <v>14179</v>
          </cell>
          <cell r="U111">
            <v>418</v>
          </cell>
          <cell r="V111">
            <v>418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5070</v>
          </cell>
          <cell r="AG111">
            <v>2256</v>
          </cell>
          <cell r="AH111">
            <v>2544</v>
          </cell>
          <cell r="AI111">
            <v>15</v>
          </cell>
          <cell r="AJ111">
            <v>0</v>
          </cell>
          <cell r="AK111">
            <v>255</v>
          </cell>
          <cell r="AL111">
            <v>855</v>
          </cell>
          <cell r="AM111">
            <v>0</v>
          </cell>
          <cell r="AN111">
            <v>855</v>
          </cell>
          <cell r="AO111">
            <v>7836</v>
          </cell>
          <cell r="AP111">
            <v>110</v>
          </cell>
          <cell r="AQ111">
            <v>0</v>
          </cell>
          <cell r="AR111">
            <v>270</v>
          </cell>
          <cell r="AS111">
            <v>0</v>
          </cell>
          <cell r="AT111">
            <v>648</v>
          </cell>
          <cell r="AU111">
            <v>0</v>
          </cell>
          <cell r="AV111">
            <v>0</v>
          </cell>
          <cell r="AW111">
            <v>0</v>
          </cell>
          <cell r="AX111">
            <v>6455</v>
          </cell>
          <cell r="AY111">
            <v>20</v>
          </cell>
          <cell r="AZ111">
            <v>0</v>
          </cell>
          <cell r="BA111">
            <v>11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322</v>
          </cell>
          <cell r="BG111">
            <v>0</v>
          </cell>
          <cell r="BH111">
            <v>0</v>
          </cell>
          <cell r="BI111">
            <v>0</v>
          </cell>
          <cell r="BJ111">
            <v>5370.74</v>
          </cell>
          <cell r="BK111">
            <v>0</v>
          </cell>
          <cell r="BL111">
            <v>5370.74</v>
          </cell>
        </row>
        <row r="112">
          <cell r="B112" t="str">
            <v>LMIXSOL1</v>
          </cell>
          <cell r="C112">
            <v>30240</v>
          </cell>
          <cell r="D112">
            <v>19530</v>
          </cell>
          <cell r="E112">
            <v>18855</v>
          </cell>
          <cell r="F112">
            <v>8145</v>
          </cell>
          <cell r="G112">
            <v>11385</v>
          </cell>
          <cell r="H112">
            <v>11385</v>
          </cell>
          <cell r="I112">
            <v>1207</v>
          </cell>
          <cell r="J112">
            <v>1207</v>
          </cell>
          <cell r="K112">
            <v>980</v>
          </cell>
          <cell r="L112">
            <v>580</v>
          </cell>
          <cell r="M112">
            <v>400</v>
          </cell>
          <cell r="N112">
            <v>227</v>
          </cell>
          <cell r="O112">
            <v>10178</v>
          </cell>
          <cell r="P112">
            <v>10178</v>
          </cell>
          <cell r="Q112">
            <v>2680</v>
          </cell>
          <cell r="R112">
            <v>2680</v>
          </cell>
          <cell r="S112">
            <v>7498</v>
          </cell>
          <cell r="T112">
            <v>7498</v>
          </cell>
          <cell r="U112">
            <v>256</v>
          </cell>
          <cell r="V112">
            <v>256</v>
          </cell>
          <cell r="W112">
            <v>0</v>
          </cell>
          <cell r="X112">
            <v>0</v>
          </cell>
          <cell r="Y112">
            <v>0</v>
          </cell>
          <cell r="Z112">
            <v>60</v>
          </cell>
          <cell r="AA112">
            <v>0</v>
          </cell>
          <cell r="AB112">
            <v>0</v>
          </cell>
          <cell r="AC112">
            <v>0</v>
          </cell>
          <cell r="AD112">
            <v>60</v>
          </cell>
          <cell r="AE112">
            <v>0</v>
          </cell>
          <cell r="AF112">
            <v>5910</v>
          </cell>
          <cell r="AG112">
            <v>3950</v>
          </cell>
          <cell r="AH112">
            <v>1779</v>
          </cell>
          <cell r="AI112">
            <v>6</v>
          </cell>
          <cell r="AJ112">
            <v>0</v>
          </cell>
          <cell r="AK112">
            <v>175</v>
          </cell>
          <cell r="AL112">
            <v>0</v>
          </cell>
          <cell r="AM112">
            <v>0</v>
          </cell>
          <cell r="AN112">
            <v>0</v>
          </cell>
          <cell r="AO112">
            <v>1272</v>
          </cell>
          <cell r="AP112">
            <v>95</v>
          </cell>
          <cell r="AQ112">
            <v>0</v>
          </cell>
          <cell r="AR112">
            <v>235</v>
          </cell>
          <cell r="AS112">
            <v>0</v>
          </cell>
          <cell r="AT112">
            <v>540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402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1411.21</v>
          </cell>
          <cell r="BK112">
            <v>0</v>
          </cell>
          <cell r="BL112">
            <v>1411.21</v>
          </cell>
        </row>
        <row r="113">
          <cell r="B113" t="str">
            <v>LMIXSOL2</v>
          </cell>
          <cell r="C113">
            <v>30240</v>
          </cell>
          <cell r="D113">
            <v>19530</v>
          </cell>
          <cell r="E113">
            <v>24645</v>
          </cell>
          <cell r="F113">
            <v>13935</v>
          </cell>
          <cell r="G113">
            <v>5595</v>
          </cell>
          <cell r="H113">
            <v>5595</v>
          </cell>
          <cell r="I113">
            <v>75</v>
          </cell>
          <cell r="J113">
            <v>75</v>
          </cell>
          <cell r="K113">
            <v>75</v>
          </cell>
          <cell r="L113">
            <v>30</v>
          </cell>
          <cell r="M113">
            <v>45</v>
          </cell>
          <cell r="N113">
            <v>0</v>
          </cell>
          <cell r="O113">
            <v>5520</v>
          </cell>
          <cell r="P113">
            <v>5520</v>
          </cell>
          <cell r="Q113">
            <v>1656</v>
          </cell>
          <cell r="R113">
            <v>1656</v>
          </cell>
          <cell r="S113">
            <v>3864</v>
          </cell>
          <cell r="T113">
            <v>3864</v>
          </cell>
          <cell r="U113">
            <v>142</v>
          </cell>
          <cell r="V113">
            <v>142</v>
          </cell>
          <cell r="W113">
            <v>0</v>
          </cell>
          <cell r="X113">
            <v>0</v>
          </cell>
          <cell r="Y113">
            <v>0</v>
          </cell>
          <cell r="Z113">
            <v>75</v>
          </cell>
          <cell r="AA113">
            <v>0</v>
          </cell>
          <cell r="AB113">
            <v>0</v>
          </cell>
          <cell r="AC113">
            <v>0</v>
          </cell>
          <cell r="AD113">
            <v>75</v>
          </cell>
          <cell r="AE113">
            <v>0</v>
          </cell>
          <cell r="AF113">
            <v>3202</v>
          </cell>
          <cell r="AG113">
            <v>2274</v>
          </cell>
          <cell r="AH113">
            <v>827</v>
          </cell>
          <cell r="AI113">
            <v>1</v>
          </cell>
          <cell r="AJ113">
            <v>0</v>
          </cell>
          <cell r="AK113">
            <v>100</v>
          </cell>
          <cell r="AL113">
            <v>0</v>
          </cell>
          <cell r="AM113">
            <v>0</v>
          </cell>
          <cell r="AN113">
            <v>0</v>
          </cell>
          <cell r="AO113">
            <v>445</v>
          </cell>
          <cell r="AP113">
            <v>0</v>
          </cell>
          <cell r="AQ113">
            <v>0</v>
          </cell>
          <cell r="AR113">
            <v>45</v>
          </cell>
          <cell r="AS113">
            <v>0</v>
          </cell>
          <cell r="AT113">
            <v>230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170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1807.79</v>
          </cell>
          <cell r="BK113">
            <v>0</v>
          </cell>
          <cell r="BL113">
            <v>1807.79</v>
          </cell>
        </row>
        <row r="114">
          <cell r="B114" t="str">
            <v>NBL SOL-COATING</v>
          </cell>
          <cell r="C114">
            <v>57600</v>
          </cell>
          <cell r="D114">
            <v>19200</v>
          </cell>
          <cell r="E114">
            <v>47670</v>
          </cell>
          <cell r="F114">
            <v>9270</v>
          </cell>
          <cell r="G114">
            <v>9930</v>
          </cell>
          <cell r="H114">
            <v>9930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9930</v>
          </cell>
          <cell r="P114">
            <v>9930</v>
          </cell>
          <cell r="Q114">
            <v>4234</v>
          </cell>
          <cell r="R114">
            <v>4234</v>
          </cell>
          <cell r="S114">
            <v>5696</v>
          </cell>
          <cell r="T114">
            <v>5696</v>
          </cell>
          <cell r="U114">
            <v>256</v>
          </cell>
          <cell r="V114">
            <v>196</v>
          </cell>
          <cell r="W114">
            <v>0</v>
          </cell>
          <cell r="X114">
            <v>60</v>
          </cell>
          <cell r="Y114">
            <v>0</v>
          </cell>
          <cell r="Z114">
            <v>30</v>
          </cell>
          <cell r="AA114">
            <v>30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3597</v>
          </cell>
          <cell r="AG114">
            <v>982</v>
          </cell>
          <cell r="AH114">
            <v>2290</v>
          </cell>
          <cell r="AI114">
            <v>0</v>
          </cell>
          <cell r="AJ114">
            <v>0</v>
          </cell>
          <cell r="AK114">
            <v>325</v>
          </cell>
          <cell r="AL114">
            <v>0</v>
          </cell>
          <cell r="AM114">
            <v>0</v>
          </cell>
          <cell r="AN114">
            <v>0</v>
          </cell>
          <cell r="AO114">
            <v>1813</v>
          </cell>
          <cell r="AP114">
            <v>0</v>
          </cell>
          <cell r="AQ114">
            <v>0</v>
          </cell>
          <cell r="AR114">
            <v>150</v>
          </cell>
          <cell r="AS114">
            <v>0</v>
          </cell>
          <cell r="AT114">
            <v>460</v>
          </cell>
          <cell r="AU114">
            <v>160</v>
          </cell>
          <cell r="AV114">
            <v>0</v>
          </cell>
          <cell r="AW114">
            <v>0</v>
          </cell>
          <cell r="AX114">
            <v>297</v>
          </cell>
          <cell r="AY114">
            <v>236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120</v>
          </cell>
          <cell r="BF114">
            <v>95</v>
          </cell>
          <cell r="BG114">
            <v>295</v>
          </cell>
          <cell r="BH114">
            <v>0</v>
          </cell>
          <cell r="BI114">
            <v>0</v>
          </cell>
          <cell r="BJ114">
            <v>2231.33</v>
          </cell>
          <cell r="BK114">
            <v>0.93</v>
          </cell>
          <cell r="BL114">
            <v>2230.4</v>
          </cell>
        </row>
        <row r="115">
          <cell r="B115" t="str">
            <v>COT101</v>
          </cell>
          <cell r="C115">
            <v>28800</v>
          </cell>
          <cell r="D115">
            <v>9600</v>
          </cell>
          <cell r="E115">
            <v>23595</v>
          </cell>
          <cell r="F115">
            <v>4395</v>
          </cell>
          <cell r="G115">
            <v>5205</v>
          </cell>
          <cell r="H115">
            <v>5205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5205</v>
          </cell>
          <cell r="P115">
            <v>5205</v>
          </cell>
          <cell r="Q115">
            <v>2149</v>
          </cell>
          <cell r="R115">
            <v>2149</v>
          </cell>
          <cell r="S115">
            <v>3056</v>
          </cell>
          <cell r="T115">
            <v>3056</v>
          </cell>
          <cell r="U115">
            <v>131</v>
          </cell>
          <cell r="V115">
            <v>91</v>
          </cell>
          <cell r="W115">
            <v>0</v>
          </cell>
          <cell r="X115">
            <v>40</v>
          </cell>
          <cell r="Y115">
            <v>0</v>
          </cell>
          <cell r="Z115">
            <v>30</v>
          </cell>
          <cell r="AA115">
            <v>30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1983</v>
          </cell>
          <cell r="AG115">
            <v>483</v>
          </cell>
          <cell r="AH115">
            <v>1325</v>
          </cell>
          <cell r="AI115">
            <v>0</v>
          </cell>
          <cell r="AJ115">
            <v>0</v>
          </cell>
          <cell r="AK115">
            <v>175</v>
          </cell>
          <cell r="AL115">
            <v>0</v>
          </cell>
          <cell r="AM115">
            <v>0</v>
          </cell>
          <cell r="AN115">
            <v>0</v>
          </cell>
          <cell r="AO115">
            <v>912</v>
          </cell>
          <cell r="AP115">
            <v>0</v>
          </cell>
          <cell r="AQ115">
            <v>0</v>
          </cell>
          <cell r="AR115">
            <v>60</v>
          </cell>
          <cell r="AS115">
            <v>0</v>
          </cell>
          <cell r="AT115">
            <v>250</v>
          </cell>
          <cell r="AU115">
            <v>40</v>
          </cell>
          <cell r="AV115">
            <v>0</v>
          </cell>
          <cell r="AW115">
            <v>0</v>
          </cell>
          <cell r="AX115">
            <v>142</v>
          </cell>
          <cell r="AY115">
            <v>135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120</v>
          </cell>
          <cell r="BF115">
            <v>50</v>
          </cell>
          <cell r="BG115">
            <v>115</v>
          </cell>
          <cell r="BH115">
            <v>0</v>
          </cell>
          <cell r="BI115">
            <v>0</v>
          </cell>
          <cell r="BJ115">
            <v>544.44000000000005</v>
          </cell>
          <cell r="BK115">
            <v>0.4</v>
          </cell>
          <cell r="BL115">
            <v>544.04</v>
          </cell>
        </row>
        <row r="116">
          <cell r="B116" t="str">
            <v>COT102</v>
          </cell>
          <cell r="C116">
            <v>28800</v>
          </cell>
          <cell r="D116">
            <v>9600</v>
          </cell>
          <cell r="E116">
            <v>24075</v>
          </cell>
          <cell r="F116">
            <v>4875</v>
          </cell>
          <cell r="G116">
            <v>4725</v>
          </cell>
          <cell r="H116">
            <v>4725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4725</v>
          </cell>
          <cell r="P116">
            <v>4725</v>
          </cell>
          <cell r="Q116">
            <v>2085</v>
          </cell>
          <cell r="R116">
            <v>2085</v>
          </cell>
          <cell r="S116">
            <v>2640</v>
          </cell>
          <cell r="T116">
            <v>2640</v>
          </cell>
          <cell r="U116">
            <v>125</v>
          </cell>
          <cell r="V116">
            <v>105</v>
          </cell>
          <cell r="W116">
            <v>0</v>
          </cell>
          <cell r="X116">
            <v>20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1614</v>
          </cell>
          <cell r="AG116">
            <v>499</v>
          </cell>
          <cell r="AH116">
            <v>965</v>
          </cell>
          <cell r="AI116">
            <v>0</v>
          </cell>
          <cell r="AJ116">
            <v>0</v>
          </cell>
          <cell r="AK116">
            <v>150</v>
          </cell>
          <cell r="AL116">
            <v>0</v>
          </cell>
          <cell r="AM116">
            <v>0</v>
          </cell>
          <cell r="AN116">
            <v>0</v>
          </cell>
          <cell r="AO116">
            <v>901</v>
          </cell>
          <cell r="AP116">
            <v>0</v>
          </cell>
          <cell r="AQ116">
            <v>0</v>
          </cell>
          <cell r="AR116">
            <v>90</v>
          </cell>
          <cell r="AS116">
            <v>0</v>
          </cell>
          <cell r="AT116">
            <v>210</v>
          </cell>
          <cell r="AU116">
            <v>120</v>
          </cell>
          <cell r="AV116">
            <v>0</v>
          </cell>
          <cell r="AW116">
            <v>0</v>
          </cell>
          <cell r="AX116">
            <v>155</v>
          </cell>
          <cell r="AY116">
            <v>101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45</v>
          </cell>
          <cell r="BG116">
            <v>180</v>
          </cell>
          <cell r="BH116">
            <v>0</v>
          </cell>
          <cell r="BI116">
            <v>0</v>
          </cell>
          <cell r="BJ116">
            <v>1686.89</v>
          </cell>
          <cell r="BK116">
            <v>0.53</v>
          </cell>
          <cell r="BL116">
            <v>1686.36</v>
          </cell>
        </row>
        <row r="117">
          <cell r="B117" t="str">
            <v>NBL SOL-TABLETING</v>
          </cell>
          <cell r="C117">
            <v>89280</v>
          </cell>
          <cell r="D117">
            <v>48660</v>
          </cell>
          <cell r="E117">
            <v>48765</v>
          </cell>
          <cell r="F117">
            <v>8145</v>
          </cell>
          <cell r="G117">
            <v>40515</v>
          </cell>
          <cell r="H117">
            <v>40515</v>
          </cell>
          <cell r="I117">
            <v>1490</v>
          </cell>
          <cell r="J117">
            <v>1490</v>
          </cell>
          <cell r="K117">
            <v>1490</v>
          </cell>
          <cell r="L117">
            <v>0</v>
          </cell>
          <cell r="M117">
            <v>1490</v>
          </cell>
          <cell r="N117">
            <v>0</v>
          </cell>
          <cell r="O117">
            <v>39025</v>
          </cell>
          <cell r="P117">
            <v>39025</v>
          </cell>
          <cell r="Q117">
            <v>15550</v>
          </cell>
          <cell r="R117">
            <v>15550</v>
          </cell>
          <cell r="S117">
            <v>23475</v>
          </cell>
          <cell r="T117">
            <v>23475</v>
          </cell>
          <cell r="U117">
            <v>3890</v>
          </cell>
          <cell r="V117">
            <v>3085</v>
          </cell>
          <cell r="W117">
            <v>0</v>
          </cell>
          <cell r="X117">
            <v>70</v>
          </cell>
          <cell r="Y117">
            <v>735</v>
          </cell>
          <cell r="Z117">
            <v>40</v>
          </cell>
          <cell r="AA117">
            <v>0</v>
          </cell>
          <cell r="AB117">
            <v>0</v>
          </cell>
          <cell r="AC117">
            <v>0</v>
          </cell>
          <cell r="AD117">
            <v>40</v>
          </cell>
          <cell r="AE117">
            <v>0</v>
          </cell>
          <cell r="AF117">
            <v>6695</v>
          </cell>
          <cell r="AG117">
            <v>1490</v>
          </cell>
          <cell r="AH117">
            <v>4120</v>
          </cell>
          <cell r="AI117">
            <v>395</v>
          </cell>
          <cell r="AJ117">
            <v>0</v>
          </cell>
          <cell r="AK117">
            <v>690</v>
          </cell>
          <cell r="AL117">
            <v>3055</v>
          </cell>
          <cell r="AM117">
            <v>195</v>
          </cell>
          <cell r="AN117">
            <v>2860</v>
          </cell>
          <cell r="AO117">
            <v>9795</v>
          </cell>
          <cell r="AP117">
            <v>0</v>
          </cell>
          <cell r="AQ117">
            <v>0</v>
          </cell>
          <cell r="AR117">
            <v>1085</v>
          </cell>
          <cell r="AS117">
            <v>0</v>
          </cell>
          <cell r="AT117">
            <v>1890</v>
          </cell>
          <cell r="AU117">
            <v>1940</v>
          </cell>
          <cell r="AV117">
            <v>60</v>
          </cell>
          <cell r="AW117">
            <v>0</v>
          </cell>
          <cell r="AX117">
            <v>530</v>
          </cell>
          <cell r="AY117">
            <v>630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3440</v>
          </cell>
          <cell r="BG117">
            <v>220</v>
          </cell>
          <cell r="BH117">
            <v>0</v>
          </cell>
          <cell r="BI117">
            <v>0</v>
          </cell>
          <cell r="BJ117">
            <v>11438714</v>
          </cell>
          <cell r="BK117">
            <v>1279</v>
          </cell>
          <cell r="BL117">
            <v>11437435</v>
          </cell>
        </row>
        <row r="118">
          <cell r="B118" t="str">
            <v>TAB101</v>
          </cell>
          <cell r="C118">
            <v>30240</v>
          </cell>
          <cell r="D118">
            <v>19530</v>
          </cell>
          <cell r="E118">
            <v>12225</v>
          </cell>
          <cell r="F118">
            <v>1515</v>
          </cell>
          <cell r="G118">
            <v>18015</v>
          </cell>
          <cell r="H118">
            <v>18015</v>
          </cell>
          <cell r="I118">
            <v>300</v>
          </cell>
          <cell r="J118">
            <v>300</v>
          </cell>
          <cell r="K118">
            <v>300</v>
          </cell>
          <cell r="L118">
            <v>0</v>
          </cell>
          <cell r="M118">
            <v>300</v>
          </cell>
          <cell r="N118">
            <v>0</v>
          </cell>
          <cell r="O118">
            <v>17715</v>
          </cell>
          <cell r="P118">
            <v>17715</v>
          </cell>
          <cell r="Q118">
            <v>6995</v>
          </cell>
          <cell r="R118">
            <v>6995</v>
          </cell>
          <cell r="S118">
            <v>10720</v>
          </cell>
          <cell r="T118">
            <v>10720</v>
          </cell>
          <cell r="U118">
            <v>1180</v>
          </cell>
          <cell r="V118">
            <v>1095</v>
          </cell>
          <cell r="W118">
            <v>0</v>
          </cell>
          <cell r="X118">
            <v>0</v>
          </cell>
          <cell r="Y118">
            <v>85</v>
          </cell>
          <cell r="Z118">
            <v>40</v>
          </cell>
          <cell r="AA118">
            <v>0</v>
          </cell>
          <cell r="AB118">
            <v>0</v>
          </cell>
          <cell r="AC118">
            <v>0</v>
          </cell>
          <cell r="AD118">
            <v>40</v>
          </cell>
          <cell r="AE118">
            <v>0</v>
          </cell>
          <cell r="AF118">
            <v>2650</v>
          </cell>
          <cell r="AG118">
            <v>605</v>
          </cell>
          <cell r="AH118">
            <v>1635</v>
          </cell>
          <cell r="AI118">
            <v>105</v>
          </cell>
          <cell r="AJ118">
            <v>0</v>
          </cell>
          <cell r="AK118">
            <v>305</v>
          </cell>
          <cell r="AL118">
            <v>2380</v>
          </cell>
          <cell r="AM118">
            <v>0</v>
          </cell>
          <cell r="AN118">
            <v>2380</v>
          </cell>
          <cell r="AO118">
            <v>4470</v>
          </cell>
          <cell r="AP118">
            <v>0</v>
          </cell>
          <cell r="AQ118">
            <v>0</v>
          </cell>
          <cell r="AR118">
            <v>435</v>
          </cell>
          <cell r="AS118">
            <v>0</v>
          </cell>
          <cell r="AT118">
            <v>730</v>
          </cell>
          <cell r="AU118">
            <v>1220</v>
          </cell>
          <cell r="AV118">
            <v>60</v>
          </cell>
          <cell r="AW118">
            <v>0</v>
          </cell>
          <cell r="AX118">
            <v>220</v>
          </cell>
          <cell r="AY118">
            <v>290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1295</v>
          </cell>
          <cell r="BG118">
            <v>220</v>
          </cell>
          <cell r="BH118">
            <v>0</v>
          </cell>
          <cell r="BI118">
            <v>0</v>
          </cell>
          <cell r="BJ118">
            <v>6605781</v>
          </cell>
          <cell r="BK118">
            <v>0</v>
          </cell>
          <cell r="BL118">
            <v>6605781</v>
          </cell>
        </row>
        <row r="119">
          <cell r="B119" t="str">
            <v>TAB105</v>
          </cell>
          <cell r="C119">
            <v>30240</v>
          </cell>
          <cell r="D119">
            <v>19530</v>
          </cell>
          <cell r="E119">
            <v>12660</v>
          </cell>
          <cell r="F119">
            <v>1950</v>
          </cell>
          <cell r="G119">
            <v>17580</v>
          </cell>
          <cell r="H119">
            <v>17580</v>
          </cell>
          <cell r="I119">
            <v>455</v>
          </cell>
          <cell r="J119">
            <v>455</v>
          </cell>
          <cell r="K119">
            <v>455</v>
          </cell>
          <cell r="L119">
            <v>0</v>
          </cell>
          <cell r="M119">
            <v>455</v>
          </cell>
          <cell r="N119">
            <v>0</v>
          </cell>
          <cell r="O119">
            <v>17125</v>
          </cell>
          <cell r="P119">
            <v>17125</v>
          </cell>
          <cell r="Q119">
            <v>7430</v>
          </cell>
          <cell r="R119">
            <v>7430</v>
          </cell>
          <cell r="S119">
            <v>9695</v>
          </cell>
          <cell r="T119">
            <v>9695</v>
          </cell>
          <cell r="U119">
            <v>2215</v>
          </cell>
          <cell r="V119">
            <v>1655</v>
          </cell>
          <cell r="W119">
            <v>0</v>
          </cell>
          <cell r="X119">
            <v>70</v>
          </cell>
          <cell r="Y119">
            <v>490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3180</v>
          </cell>
          <cell r="AG119">
            <v>605</v>
          </cell>
          <cell r="AH119">
            <v>2020</v>
          </cell>
          <cell r="AI119">
            <v>250</v>
          </cell>
          <cell r="AJ119">
            <v>0</v>
          </cell>
          <cell r="AK119">
            <v>305</v>
          </cell>
          <cell r="AL119">
            <v>675</v>
          </cell>
          <cell r="AM119">
            <v>195</v>
          </cell>
          <cell r="AN119">
            <v>480</v>
          </cell>
          <cell r="AO119">
            <v>3625</v>
          </cell>
          <cell r="AP119">
            <v>0</v>
          </cell>
          <cell r="AQ119">
            <v>0</v>
          </cell>
          <cell r="AR119">
            <v>505</v>
          </cell>
          <cell r="AS119">
            <v>0</v>
          </cell>
          <cell r="AT119">
            <v>880</v>
          </cell>
          <cell r="AU119">
            <v>205</v>
          </cell>
          <cell r="AV119">
            <v>0</v>
          </cell>
          <cell r="AW119">
            <v>0</v>
          </cell>
          <cell r="AX119">
            <v>310</v>
          </cell>
          <cell r="AY119">
            <v>220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1505</v>
          </cell>
          <cell r="BG119">
            <v>0</v>
          </cell>
          <cell r="BH119">
            <v>0</v>
          </cell>
          <cell r="BI119">
            <v>0</v>
          </cell>
          <cell r="BJ119">
            <v>4063556</v>
          </cell>
          <cell r="BK119">
            <v>1279</v>
          </cell>
          <cell r="BL119">
            <v>4062277</v>
          </cell>
        </row>
        <row r="120">
          <cell r="B120" t="str">
            <v>TAB103</v>
          </cell>
          <cell r="C120">
            <v>28800</v>
          </cell>
          <cell r="D120">
            <v>9600</v>
          </cell>
          <cell r="E120">
            <v>23880</v>
          </cell>
          <cell r="F120">
            <v>4680</v>
          </cell>
          <cell r="G120">
            <v>4920</v>
          </cell>
          <cell r="H120">
            <v>4920</v>
          </cell>
          <cell r="I120">
            <v>735</v>
          </cell>
          <cell r="J120">
            <v>735</v>
          </cell>
          <cell r="K120">
            <v>735</v>
          </cell>
          <cell r="L120">
            <v>0</v>
          </cell>
          <cell r="M120">
            <v>735</v>
          </cell>
          <cell r="N120">
            <v>0</v>
          </cell>
          <cell r="O120">
            <v>4185</v>
          </cell>
          <cell r="P120">
            <v>4185</v>
          </cell>
          <cell r="Q120">
            <v>1125</v>
          </cell>
          <cell r="R120">
            <v>1125</v>
          </cell>
          <cell r="S120">
            <v>3060</v>
          </cell>
          <cell r="T120">
            <v>3060</v>
          </cell>
          <cell r="U120">
            <v>495</v>
          </cell>
          <cell r="V120">
            <v>335</v>
          </cell>
          <cell r="W120">
            <v>0</v>
          </cell>
          <cell r="X120">
            <v>0</v>
          </cell>
          <cell r="Y120">
            <v>160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865</v>
          </cell>
          <cell r="AG120">
            <v>280</v>
          </cell>
          <cell r="AH120">
            <v>465</v>
          </cell>
          <cell r="AI120">
            <v>40</v>
          </cell>
          <cell r="AJ120">
            <v>0</v>
          </cell>
          <cell r="AK120">
            <v>80</v>
          </cell>
          <cell r="AL120">
            <v>0</v>
          </cell>
          <cell r="AM120">
            <v>0</v>
          </cell>
          <cell r="AN120">
            <v>0</v>
          </cell>
          <cell r="AO120">
            <v>1700</v>
          </cell>
          <cell r="AP120">
            <v>0</v>
          </cell>
          <cell r="AQ120">
            <v>0</v>
          </cell>
          <cell r="AR120">
            <v>145</v>
          </cell>
          <cell r="AS120">
            <v>0</v>
          </cell>
          <cell r="AT120">
            <v>280</v>
          </cell>
          <cell r="AU120">
            <v>515</v>
          </cell>
          <cell r="AV120">
            <v>0</v>
          </cell>
          <cell r="AW120">
            <v>0</v>
          </cell>
          <cell r="AX120">
            <v>0</v>
          </cell>
          <cell r="AY120">
            <v>120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640</v>
          </cell>
          <cell r="BG120">
            <v>0</v>
          </cell>
          <cell r="BH120">
            <v>0</v>
          </cell>
          <cell r="BI120">
            <v>0</v>
          </cell>
          <cell r="BJ120">
            <v>769377</v>
          </cell>
          <cell r="BK120">
            <v>0</v>
          </cell>
          <cell r="BL120">
            <v>769377</v>
          </cell>
        </row>
        <row r="121">
          <cell r="B121" t="str">
            <v>NBL SOL-CAPSULE</v>
          </cell>
          <cell r="C121">
            <v>57600</v>
          </cell>
          <cell r="D121">
            <v>19200</v>
          </cell>
          <cell r="E121">
            <v>55620</v>
          </cell>
          <cell r="F121">
            <v>17220</v>
          </cell>
          <cell r="G121">
            <v>1980</v>
          </cell>
          <cell r="H121">
            <v>1980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1980</v>
          </cell>
          <cell r="P121">
            <v>1980</v>
          </cell>
          <cell r="Q121">
            <v>510</v>
          </cell>
          <cell r="R121">
            <v>510</v>
          </cell>
          <cell r="S121">
            <v>1470</v>
          </cell>
          <cell r="T121">
            <v>1470</v>
          </cell>
          <cell r="U121">
            <v>300</v>
          </cell>
          <cell r="V121">
            <v>300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420</v>
          </cell>
          <cell r="AG121">
            <v>285</v>
          </cell>
          <cell r="AH121">
            <v>60</v>
          </cell>
          <cell r="AI121">
            <v>35</v>
          </cell>
          <cell r="AJ121">
            <v>0</v>
          </cell>
          <cell r="AK121">
            <v>40</v>
          </cell>
          <cell r="AL121">
            <v>0</v>
          </cell>
          <cell r="AM121">
            <v>0</v>
          </cell>
          <cell r="AN121">
            <v>0</v>
          </cell>
          <cell r="AO121">
            <v>750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60</v>
          </cell>
          <cell r="AU121">
            <v>90</v>
          </cell>
          <cell r="AV121">
            <v>0</v>
          </cell>
          <cell r="AW121">
            <v>0</v>
          </cell>
          <cell r="AX121">
            <v>480</v>
          </cell>
          <cell r="AY121">
            <v>30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90</v>
          </cell>
          <cell r="BG121">
            <v>0</v>
          </cell>
          <cell r="BH121">
            <v>0</v>
          </cell>
          <cell r="BI121">
            <v>0</v>
          </cell>
          <cell r="BJ121">
            <v>191748</v>
          </cell>
          <cell r="BK121">
            <v>0</v>
          </cell>
          <cell r="BL121">
            <v>191748</v>
          </cell>
        </row>
        <row r="122">
          <cell r="B122" t="str">
            <v>KAP101</v>
          </cell>
          <cell r="C122">
            <v>28800</v>
          </cell>
          <cell r="D122">
            <v>9600</v>
          </cell>
          <cell r="E122">
            <v>27315</v>
          </cell>
          <cell r="F122">
            <v>8115</v>
          </cell>
          <cell r="G122">
            <v>1485</v>
          </cell>
          <cell r="H122">
            <v>1485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1485</v>
          </cell>
          <cell r="P122">
            <v>1485</v>
          </cell>
          <cell r="Q122">
            <v>380</v>
          </cell>
          <cell r="R122">
            <v>380</v>
          </cell>
          <cell r="S122">
            <v>1105</v>
          </cell>
          <cell r="T122">
            <v>1105</v>
          </cell>
          <cell r="U122">
            <v>260</v>
          </cell>
          <cell r="V122">
            <v>260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400</v>
          </cell>
          <cell r="AG122">
            <v>270</v>
          </cell>
          <cell r="AH122">
            <v>60</v>
          </cell>
          <cell r="AI122">
            <v>35</v>
          </cell>
          <cell r="AJ122">
            <v>0</v>
          </cell>
          <cell r="AK122">
            <v>35</v>
          </cell>
          <cell r="AL122">
            <v>0</v>
          </cell>
          <cell r="AM122">
            <v>0</v>
          </cell>
          <cell r="AN122">
            <v>0</v>
          </cell>
          <cell r="AO122">
            <v>445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60</v>
          </cell>
          <cell r="AU122">
            <v>90</v>
          </cell>
          <cell r="AV122">
            <v>0</v>
          </cell>
          <cell r="AW122">
            <v>0</v>
          </cell>
          <cell r="AX122">
            <v>180</v>
          </cell>
          <cell r="AY122">
            <v>25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90</v>
          </cell>
          <cell r="BG122">
            <v>0</v>
          </cell>
          <cell r="BH122">
            <v>0</v>
          </cell>
          <cell r="BI122">
            <v>0</v>
          </cell>
          <cell r="BJ122">
            <v>95874</v>
          </cell>
          <cell r="BK122">
            <v>0</v>
          </cell>
          <cell r="BL122">
            <v>95874</v>
          </cell>
        </row>
        <row r="123">
          <cell r="B123" t="str">
            <v>KAP103</v>
          </cell>
          <cell r="C123">
            <v>28800</v>
          </cell>
          <cell r="D123">
            <v>9600</v>
          </cell>
          <cell r="E123">
            <v>28305</v>
          </cell>
          <cell r="F123">
            <v>9105</v>
          </cell>
          <cell r="G123">
            <v>495</v>
          </cell>
          <cell r="H123">
            <v>495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495</v>
          </cell>
          <cell r="P123">
            <v>495</v>
          </cell>
          <cell r="Q123">
            <v>130</v>
          </cell>
          <cell r="R123">
            <v>130</v>
          </cell>
          <cell r="S123">
            <v>365</v>
          </cell>
          <cell r="T123">
            <v>365</v>
          </cell>
          <cell r="U123">
            <v>40</v>
          </cell>
          <cell r="V123">
            <v>40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20</v>
          </cell>
          <cell r="AG123">
            <v>15</v>
          </cell>
          <cell r="AH123">
            <v>0</v>
          </cell>
          <cell r="AI123">
            <v>0</v>
          </cell>
          <cell r="AJ123">
            <v>0</v>
          </cell>
          <cell r="AK123">
            <v>5</v>
          </cell>
          <cell r="AL123">
            <v>0</v>
          </cell>
          <cell r="AM123">
            <v>0</v>
          </cell>
          <cell r="AN123">
            <v>0</v>
          </cell>
          <cell r="AO123">
            <v>305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300</v>
          </cell>
          <cell r="AY123">
            <v>5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95874</v>
          </cell>
          <cell r="BK123">
            <v>0</v>
          </cell>
          <cell r="BL123">
            <v>95874</v>
          </cell>
        </row>
        <row r="124">
          <cell r="B124" t="str">
            <v>NBL SOL-STRIPPING</v>
          </cell>
          <cell r="C124">
            <v>146880</v>
          </cell>
          <cell r="D124">
            <v>67410</v>
          </cell>
          <cell r="E124">
            <v>88680</v>
          </cell>
          <cell r="F124">
            <v>9210</v>
          </cell>
          <cell r="G124">
            <v>58200</v>
          </cell>
          <cell r="H124">
            <v>58200</v>
          </cell>
          <cell r="I124">
            <v>1890</v>
          </cell>
          <cell r="J124">
            <v>1890</v>
          </cell>
          <cell r="K124">
            <v>1890</v>
          </cell>
          <cell r="L124">
            <v>0</v>
          </cell>
          <cell r="M124">
            <v>1890</v>
          </cell>
          <cell r="N124">
            <v>0</v>
          </cell>
          <cell r="O124">
            <v>56310</v>
          </cell>
          <cell r="P124">
            <v>56310</v>
          </cell>
          <cell r="Q124">
            <v>20565</v>
          </cell>
          <cell r="R124">
            <v>20565</v>
          </cell>
          <cell r="S124">
            <v>35745</v>
          </cell>
          <cell r="T124">
            <v>35745</v>
          </cell>
          <cell r="U124">
            <v>9075</v>
          </cell>
          <cell r="V124">
            <v>4730</v>
          </cell>
          <cell r="W124">
            <v>100</v>
          </cell>
          <cell r="X124">
            <v>4240</v>
          </cell>
          <cell r="Y124">
            <v>5</v>
          </cell>
          <cell r="Z124">
            <v>1130</v>
          </cell>
          <cell r="AA124">
            <v>855</v>
          </cell>
          <cell r="AB124">
            <v>245</v>
          </cell>
          <cell r="AC124">
            <v>0</v>
          </cell>
          <cell r="AD124">
            <v>0</v>
          </cell>
          <cell r="AE124">
            <v>30</v>
          </cell>
          <cell r="AF124">
            <v>13945</v>
          </cell>
          <cell r="AG124">
            <v>7925</v>
          </cell>
          <cell r="AH124">
            <v>2170</v>
          </cell>
          <cell r="AI124">
            <v>2915</v>
          </cell>
          <cell r="AJ124">
            <v>0</v>
          </cell>
          <cell r="AK124">
            <v>935</v>
          </cell>
          <cell r="AL124">
            <v>1530</v>
          </cell>
          <cell r="AM124">
            <v>0</v>
          </cell>
          <cell r="AN124">
            <v>1530</v>
          </cell>
          <cell r="AO124">
            <v>10065</v>
          </cell>
          <cell r="AP124">
            <v>0</v>
          </cell>
          <cell r="AQ124">
            <v>10</v>
          </cell>
          <cell r="AR124">
            <v>1830</v>
          </cell>
          <cell r="AS124">
            <v>0</v>
          </cell>
          <cell r="AT124">
            <v>3325</v>
          </cell>
          <cell r="AU124">
            <v>650</v>
          </cell>
          <cell r="AV124">
            <v>0</v>
          </cell>
          <cell r="AW124">
            <v>0</v>
          </cell>
          <cell r="AX124">
            <v>0</v>
          </cell>
          <cell r="AY124">
            <v>1990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1960</v>
          </cell>
          <cell r="BG124">
            <v>300</v>
          </cell>
          <cell r="BH124">
            <v>0</v>
          </cell>
          <cell r="BI124">
            <v>0</v>
          </cell>
          <cell r="BJ124">
            <v>13748568</v>
          </cell>
          <cell r="BK124">
            <v>78451</v>
          </cell>
          <cell r="BL124">
            <v>13670117</v>
          </cell>
        </row>
        <row r="125">
          <cell r="B125" t="str">
            <v>STR105</v>
          </cell>
          <cell r="C125">
            <v>28800</v>
          </cell>
          <cell r="D125">
            <v>9600</v>
          </cell>
          <cell r="E125">
            <v>18870</v>
          </cell>
          <cell r="F125">
            <v>-330</v>
          </cell>
          <cell r="G125">
            <v>9930</v>
          </cell>
          <cell r="H125">
            <v>9930</v>
          </cell>
          <cell r="I125">
            <v>985</v>
          </cell>
          <cell r="J125">
            <v>985</v>
          </cell>
          <cell r="K125">
            <v>985</v>
          </cell>
          <cell r="L125">
            <v>0</v>
          </cell>
          <cell r="M125">
            <v>985</v>
          </cell>
          <cell r="N125">
            <v>0</v>
          </cell>
          <cell r="O125">
            <v>8945</v>
          </cell>
          <cell r="P125">
            <v>8945</v>
          </cell>
          <cell r="Q125">
            <v>2725</v>
          </cell>
          <cell r="R125">
            <v>2725</v>
          </cell>
          <cell r="S125">
            <v>6220</v>
          </cell>
          <cell r="T125">
            <v>6220</v>
          </cell>
          <cell r="U125">
            <v>1845</v>
          </cell>
          <cell r="V125">
            <v>785</v>
          </cell>
          <cell r="W125">
            <v>0</v>
          </cell>
          <cell r="X125">
            <v>1055</v>
          </cell>
          <cell r="Y125">
            <v>5</v>
          </cell>
          <cell r="Z125">
            <v>125</v>
          </cell>
          <cell r="AA125">
            <v>80</v>
          </cell>
          <cell r="AB125">
            <v>30</v>
          </cell>
          <cell r="AC125">
            <v>0</v>
          </cell>
          <cell r="AD125">
            <v>0</v>
          </cell>
          <cell r="AE125">
            <v>15</v>
          </cell>
          <cell r="AF125">
            <v>2370</v>
          </cell>
          <cell r="AG125">
            <v>1370</v>
          </cell>
          <cell r="AH125">
            <v>390</v>
          </cell>
          <cell r="AI125">
            <v>475</v>
          </cell>
          <cell r="AJ125">
            <v>0</v>
          </cell>
          <cell r="AK125">
            <v>135</v>
          </cell>
          <cell r="AL125">
            <v>0</v>
          </cell>
          <cell r="AM125">
            <v>0</v>
          </cell>
          <cell r="AN125">
            <v>0</v>
          </cell>
          <cell r="AO125">
            <v>1880</v>
          </cell>
          <cell r="AP125">
            <v>0</v>
          </cell>
          <cell r="AQ125">
            <v>10</v>
          </cell>
          <cell r="AR125">
            <v>330</v>
          </cell>
          <cell r="AS125">
            <v>0</v>
          </cell>
          <cell r="AT125">
            <v>490</v>
          </cell>
          <cell r="AU125">
            <v>120</v>
          </cell>
          <cell r="AV125">
            <v>0</v>
          </cell>
          <cell r="AW125">
            <v>0</v>
          </cell>
          <cell r="AX125">
            <v>0</v>
          </cell>
          <cell r="AY125">
            <v>300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570</v>
          </cell>
          <cell r="BG125">
            <v>60</v>
          </cell>
          <cell r="BH125">
            <v>0</v>
          </cell>
          <cell r="BI125">
            <v>0</v>
          </cell>
          <cell r="BJ125">
            <v>1013629</v>
          </cell>
          <cell r="BK125">
            <v>10759</v>
          </cell>
          <cell r="BL125">
            <v>1002870</v>
          </cell>
        </row>
        <row r="126">
          <cell r="B126" t="str">
            <v>STR102</v>
          </cell>
          <cell r="C126">
            <v>30240</v>
          </cell>
          <cell r="D126">
            <v>19530</v>
          </cell>
          <cell r="E126">
            <v>12210</v>
          </cell>
          <cell r="F126">
            <v>1500</v>
          </cell>
          <cell r="G126">
            <v>18030</v>
          </cell>
          <cell r="H126">
            <v>18030</v>
          </cell>
          <cell r="I126">
            <v>180</v>
          </cell>
          <cell r="J126">
            <v>180</v>
          </cell>
          <cell r="K126">
            <v>180</v>
          </cell>
          <cell r="L126">
            <v>0</v>
          </cell>
          <cell r="M126">
            <v>180</v>
          </cell>
          <cell r="N126">
            <v>0</v>
          </cell>
          <cell r="O126">
            <v>17850</v>
          </cell>
          <cell r="P126">
            <v>17850</v>
          </cell>
          <cell r="Q126">
            <v>5775</v>
          </cell>
          <cell r="R126">
            <v>5775</v>
          </cell>
          <cell r="S126">
            <v>12075</v>
          </cell>
          <cell r="T126">
            <v>12075</v>
          </cell>
          <cell r="U126">
            <v>2735</v>
          </cell>
          <cell r="V126">
            <v>1850</v>
          </cell>
          <cell r="W126">
            <v>0</v>
          </cell>
          <cell r="X126">
            <v>885</v>
          </cell>
          <cell r="Y126">
            <v>0</v>
          </cell>
          <cell r="Z126">
            <v>975</v>
          </cell>
          <cell r="AA126">
            <v>760</v>
          </cell>
          <cell r="AB126">
            <v>200</v>
          </cell>
          <cell r="AC126">
            <v>0</v>
          </cell>
          <cell r="AD126">
            <v>0</v>
          </cell>
          <cell r="AE126">
            <v>15</v>
          </cell>
          <cell r="AF126">
            <v>4125</v>
          </cell>
          <cell r="AG126">
            <v>2080</v>
          </cell>
          <cell r="AH126">
            <v>945</v>
          </cell>
          <cell r="AI126">
            <v>825</v>
          </cell>
          <cell r="AJ126">
            <v>0</v>
          </cell>
          <cell r="AK126">
            <v>275</v>
          </cell>
          <cell r="AL126">
            <v>1275</v>
          </cell>
          <cell r="AM126">
            <v>0</v>
          </cell>
          <cell r="AN126">
            <v>1275</v>
          </cell>
          <cell r="AO126">
            <v>2965</v>
          </cell>
          <cell r="AP126">
            <v>0</v>
          </cell>
          <cell r="AQ126">
            <v>0</v>
          </cell>
          <cell r="AR126">
            <v>555</v>
          </cell>
          <cell r="AS126">
            <v>0</v>
          </cell>
          <cell r="AT126">
            <v>985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715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620</v>
          </cell>
          <cell r="BG126">
            <v>90</v>
          </cell>
          <cell r="BH126">
            <v>0</v>
          </cell>
          <cell r="BI126">
            <v>0</v>
          </cell>
          <cell r="BJ126">
            <v>6870905</v>
          </cell>
          <cell r="BK126">
            <v>40035</v>
          </cell>
          <cell r="BL126">
            <v>6830870</v>
          </cell>
        </row>
        <row r="127">
          <cell r="B127" t="str">
            <v>STR104</v>
          </cell>
          <cell r="C127">
            <v>28800</v>
          </cell>
          <cell r="D127">
            <v>9600</v>
          </cell>
          <cell r="E127">
            <v>25620</v>
          </cell>
          <cell r="F127">
            <v>6420</v>
          </cell>
          <cell r="G127">
            <v>3180</v>
          </cell>
          <cell r="H127">
            <v>3180</v>
          </cell>
          <cell r="I127">
            <v>300</v>
          </cell>
          <cell r="J127">
            <v>300</v>
          </cell>
          <cell r="K127">
            <v>300</v>
          </cell>
          <cell r="L127">
            <v>0</v>
          </cell>
          <cell r="M127">
            <v>300</v>
          </cell>
          <cell r="N127">
            <v>0</v>
          </cell>
          <cell r="O127">
            <v>2880</v>
          </cell>
          <cell r="P127">
            <v>2880</v>
          </cell>
          <cell r="Q127">
            <v>1690</v>
          </cell>
          <cell r="R127">
            <v>1690</v>
          </cell>
          <cell r="S127">
            <v>1190</v>
          </cell>
          <cell r="T127">
            <v>1190</v>
          </cell>
          <cell r="U127">
            <v>75</v>
          </cell>
          <cell r="V127">
            <v>45</v>
          </cell>
          <cell r="W127">
            <v>0</v>
          </cell>
          <cell r="X127">
            <v>30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705</v>
          </cell>
          <cell r="AG127">
            <v>420</v>
          </cell>
          <cell r="AH127">
            <v>30</v>
          </cell>
          <cell r="AI127">
            <v>195</v>
          </cell>
          <cell r="AJ127">
            <v>0</v>
          </cell>
          <cell r="AK127">
            <v>60</v>
          </cell>
          <cell r="AL127">
            <v>0</v>
          </cell>
          <cell r="AM127">
            <v>0</v>
          </cell>
          <cell r="AN127">
            <v>0</v>
          </cell>
          <cell r="AO127">
            <v>410</v>
          </cell>
          <cell r="AP127">
            <v>0</v>
          </cell>
          <cell r="AQ127">
            <v>0</v>
          </cell>
          <cell r="AR127">
            <v>75</v>
          </cell>
          <cell r="AS127">
            <v>0</v>
          </cell>
          <cell r="AT127">
            <v>180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90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65</v>
          </cell>
          <cell r="BG127">
            <v>0</v>
          </cell>
          <cell r="BH127">
            <v>0</v>
          </cell>
          <cell r="BI127">
            <v>0</v>
          </cell>
          <cell r="BJ127">
            <v>41682</v>
          </cell>
          <cell r="BK127">
            <v>37</v>
          </cell>
          <cell r="BL127">
            <v>41645</v>
          </cell>
        </row>
        <row r="128">
          <cell r="B128" t="str">
            <v>STR103</v>
          </cell>
          <cell r="C128">
            <v>30240</v>
          </cell>
          <cell r="D128">
            <v>10080</v>
          </cell>
          <cell r="E128">
            <v>11760</v>
          </cell>
          <cell r="F128">
            <v>-8400</v>
          </cell>
          <cell r="G128">
            <v>18480</v>
          </cell>
          <cell r="H128">
            <v>18480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18480</v>
          </cell>
          <cell r="P128">
            <v>18480</v>
          </cell>
          <cell r="Q128">
            <v>7280</v>
          </cell>
          <cell r="R128">
            <v>7280</v>
          </cell>
          <cell r="S128">
            <v>11200</v>
          </cell>
          <cell r="T128">
            <v>11200</v>
          </cell>
          <cell r="U128">
            <v>3030</v>
          </cell>
          <cell r="V128">
            <v>1435</v>
          </cell>
          <cell r="W128">
            <v>100</v>
          </cell>
          <cell r="X128">
            <v>1495</v>
          </cell>
          <cell r="Y128">
            <v>0</v>
          </cell>
          <cell r="Z128">
            <v>30</v>
          </cell>
          <cell r="AA128">
            <v>15</v>
          </cell>
          <cell r="AB128">
            <v>15</v>
          </cell>
          <cell r="AC128">
            <v>0</v>
          </cell>
          <cell r="AD128">
            <v>0</v>
          </cell>
          <cell r="AE128">
            <v>0</v>
          </cell>
          <cell r="AF128">
            <v>5095</v>
          </cell>
          <cell r="AG128">
            <v>3200</v>
          </cell>
          <cell r="AH128">
            <v>595</v>
          </cell>
          <cell r="AI128">
            <v>985</v>
          </cell>
          <cell r="AJ128">
            <v>0</v>
          </cell>
          <cell r="AK128">
            <v>315</v>
          </cell>
          <cell r="AL128">
            <v>0</v>
          </cell>
          <cell r="AM128">
            <v>0</v>
          </cell>
          <cell r="AN128">
            <v>0</v>
          </cell>
          <cell r="AO128">
            <v>3045</v>
          </cell>
          <cell r="AP128">
            <v>0</v>
          </cell>
          <cell r="AQ128">
            <v>0</v>
          </cell>
          <cell r="AR128">
            <v>615</v>
          </cell>
          <cell r="AS128">
            <v>0</v>
          </cell>
          <cell r="AT128">
            <v>1185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600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495</v>
          </cell>
          <cell r="BG128">
            <v>150</v>
          </cell>
          <cell r="BH128">
            <v>0</v>
          </cell>
          <cell r="BI128">
            <v>0</v>
          </cell>
          <cell r="BJ128">
            <v>4130369</v>
          </cell>
          <cell r="BK128">
            <v>19507</v>
          </cell>
          <cell r="BL128">
            <v>4110862</v>
          </cell>
        </row>
        <row r="129">
          <cell r="B129" t="str">
            <v>STR101</v>
          </cell>
          <cell r="C129">
            <v>28800</v>
          </cell>
          <cell r="D129">
            <v>18600</v>
          </cell>
          <cell r="E129">
            <v>20220</v>
          </cell>
          <cell r="F129">
            <v>10020</v>
          </cell>
          <cell r="G129">
            <v>8580</v>
          </cell>
          <cell r="H129">
            <v>8580</v>
          </cell>
          <cell r="I129">
            <v>425</v>
          </cell>
          <cell r="J129">
            <v>425</v>
          </cell>
          <cell r="K129">
            <v>425</v>
          </cell>
          <cell r="L129">
            <v>0</v>
          </cell>
          <cell r="M129">
            <v>425</v>
          </cell>
          <cell r="N129">
            <v>0</v>
          </cell>
          <cell r="O129">
            <v>8155</v>
          </cell>
          <cell r="P129">
            <v>8155</v>
          </cell>
          <cell r="Q129">
            <v>3095</v>
          </cell>
          <cell r="R129">
            <v>3095</v>
          </cell>
          <cell r="S129">
            <v>5060</v>
          </cell>
          <cell r="T129">
            <v>5060</v>
          </cell>
          <cell r="U129">
            <v>1390</v>
          </cell>
          <cell r="V129">
            <v>615</v>
          </cell>
          <cell r="W129">
            <v>0</v>
          </cell>
          <cell r="X129">
            <v>775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1650</v>
          </cell>
          <cell r="AG129">
            <v>855</v>
          </cell>
          <cell r="AH129">
            <v>210</v>
          </cell>
          <cell r="AI129">
            <v>435</v>
          </cell>
          <cell r="AJ129">
            <v>0</v>
          </cell>
          <cell r="AK129">
            <v>150</v>
          </cell>
          <cell r="AL129">
            <v>255</v>
          </cell>
          <cell r="AM129">
            <v>0</v>
          </cell>
          <cell r="AN129">
            <v>255</v>
          </cell>
          <cell r="AO129">
            <v>1765</v>
          </cell>
          <cell r="AP129">
            <v>0</v>
          </cell>
          <cell r="AQ129">
            <v>0</v>
          </cell>
          <cell r="AR129">
            <v>255</v>
          </cell>
          <cell r="AS129">
            <v>0</v>
          </cell>
          <cell r="AT129">
            <v>485</v>
          </cell>
          <cell r="AU129">
            <v>530</v>
          </cell>
          <cell r="AV129">
            <v>0</v>
          </cell>
          <cell r="AW129">
            <v>0</v>
          </cell>
          <cell r="AX129">
            <v>0</v>
          </cell>
          <cell r="AY129">
            <v>285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210</v>
          </cell>
          <cell r="BG129">
            <v>0</v>
          </cell>
          <cell r="BH129">
            <v>0</v>
          </cell>
          <cell r="BI129">
            <v>0</v>
          </cell>
          <cell r="BJ129">
            <v>1691983</v>
          </cell>
          <cell r="BK129">
            <v>8113</v>
          </cell>
          <cell r="BL129">
            <v>1683870</v>
          </cell>
        </row>
        <row r="130">
          <cell r="B130" t="str">
            <v>NBL SYR-MIXING</v>
          </cell>
          <cell r="C130">
            <v>28800</v>
          </cell>
          <cell r="D130">
            <v>18600</v>
          </cell>
          <cell r="E130">
            <v>21090</v>
          </cell>
          <cell r="F130">
            <v>10890</v>
          </cell>
          <cell r="G130">
            <v>7710</v>
          </cell>
          <cell r="H130">
            <v>7710</v>
          </cell>
          <cell r="I130">
            <v>653</v>
          </cell>
          <cell r="J130">
            <v>653</v>
          </cell>
          <cell r="K130">
            <v>653</v>
          </cell>
          <cell r="L130">
            <v>270</v>
          </cell>
          <cell r="M130">
            <v>383</v>
          </cell>
          <cell r="N130">
            <v>0</v>
          </cell>
          <cell r="O130">
            <v>7057</v>
          </cell>
          <cell r="P130">
            <v>7057</v>
          </cell>
          <cell r="Q130">
            <v>2778</v>
          </cell>
          <cell r="R130">
            <v>2778</v>
          </cell>
          <cell r="S130">
            <v>4279</v>
          </cell>
          <cell r="T130">
            <v>4279</v>
          </cell>
          <cell r="U130">
            <v>224</v>
          </cell>
          <cell r="V130">
            <v>224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2862</v>
          </cell>
          <cell r="AG130">
            <v>228</v>
          </cell>
          <cell r="AH130">
            <v>2599</v>
          </cell>
          <cell r="AI130">
            <v>0</v>
          </cell>
          <cell r="AJ130">
            <v>0</v>
          </cell>
          <cell r="AK130">
            <v>35</v>
          </cell>
          <cell r="AL130">
            <v>0</v>
          </cell>
          <cell r="AM130">
            <v>0</v>
          </cell>
          <cell r="AN130">
            <v>0</v>
          </cell>
          <cell r="AO130">
            <v>1193</v>
          </cell>
          <cell r="AP130">
            <v>90</v>
          </cell>
          <cell r="AQ130">
            <v>0</v>
          </cell>
          <cell r="AR130">
            <v>15</v>
          </cell>
          <cell r="AS130">
            <v>0</v>
          </cell>
          <cell r="AT130">
            <v>61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515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410</v>
          </cell>
          <cell r="BH130">
            <v>42</v>
          </cell>
          <cell r="BI130">
            <v>60</v>
          </cell>
          <cell r="BJ130">
            <v>10635</v>
          </cell>
          <cell r="BK130">
            <v>2.04</v>
          </cell>
          <cell r="BL130">
            <v>10632.96</v>
          </cell>
        </row>
        <row r="131">
          <cell r="B131" t="str">
            <v>LMIXSYR1</v>
          </cell>
          <cell r="C131">
            <v>28800</v>
          </cell>
          <cell r="D131">
            <v>18600</v>
          </cell>
          <cell r="E131">
            <v>21090</v>
          </cell>
          <cell r="F131">
            <v>10890</v>
          </cell>
          <cell r="G131">
            <v>7710</v>
          </cell>
          <cell r="H131">
            <v>7710</v>
          </cell>
          <cell r="I131">
            <v>653</v>
          </cell>
          <cell r="J131">
            <v>653</v>
          </cell>
          <cell r="K131">
            <v>653</v>
          </cell>
          <cell r="L131">
            <v>270</v>
          </cell>
          <cell r="M131">
            <v>383</v>
          </cell>
          <cell r="N131">
            <v>0</v>
          </cell>
          <cell r="O131">
            <v>7057</v>
          </cell>
          <cell r="P131">
            <v>7057</v>
          </cell>
          <cell r="Q131">
            <v>2778</v>
          </cell>
          <cell r="R131">
            <v>2778</v>
          </cell>
          <cell r="S131">
            <v>4279</v>
          </cell>
          <cell r="T131">
            <v>4279</v>
          </cell>
          <cell r="U131">
            <v>224</v>
          </cell>
          <cell r="V131">
            <v>224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2862</v>
          </cell>
          <cell r="AG131">
            <v>228</v>
          </cell>
          <cell r="AH131">
            <v>2599</v>
          </cell>
          <cell r="AI131">
            <v>0</v>
          </cell>
          <cell r="AJ131">
            <v>0</v>
          </cell>
          <cell r="AK131">
            <v>35</v>
          </cell>
          <cell r="AL131">
            <v>0</v>
          </cell>
          <cell r="AM131">
            <v>0</v>
          </cell>
          <cell r="AN131">
            <v>0</v>
          </cell>
          <cell r="AO131">
            <v>1193</v>
          </cell>
          <cell r="AP131">
            <v>90</v>
          </cell>
          <cell r="AQ131">
            <v>0</v>
          </cell>
          <cell r="AR131">
            <v>15</v>
          </cell>
          <cell r="AS131">
            <v>0</v>
          </cell>
          <cell r="AT131">
            <v>61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515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410</v>
          </cell>
          <cell r="BH131">
            <v>42</v>
          </cell>
          <cell r="BI131">
            <v>60</v>
          </cell>
          <cell r="BJ131">
            <v>10635</v>
          </cell>
          <cell r="BK131">
            <v>2.04</v>
          </cell>
          <cell r="BL131">
            <v>10632.96</v>
          </cell>
        </row>
        <row r="132">
          <cell r="B132" t="str">
            <v>NBL SYR-FILLING</v>
          </cell>
          <cell r="C132">
            <v>57600</v>
          </cell>
          <cell r="D132">
            <v>37200</v>
          </cell>
          <cell r="E132">
            <v>44085</v>
          </cell>
          <cell r="F132">
            <v>23685</v>
          </cell>
          <cell r="G132">
            <v>13515</v>
          </cell>
          <cell r="H132">
            <v>13515</v>
          </cell>
          <cell r="I132">
            <v>1860</v>
          </cell>
          <cell r="J132">
            <v>1860</v>
          </cell>
          <cell r="K132">
            <v>1860</v>
          </cell>
          <cell r="L132">
            <v>45</v>
          </cell>
          <cell r="M132">
            <v>1815</v>
          </cell>
          <cell r="N132">
            <v>0</v>
          </cell>
          <cell r="O132">
            <v>11655</v>
          </cell>
          <cell r="P132">
            <v>11655</v>
          </cell>
          <cell r="Q132">
            <v>3330</v>
          </cell>
          <cell r="R132">
            <v>3330</v>
          </cell>
          <cell r="S132">
            <v>8325</v>
          </cell>
          <cell r="T132">
            <v>8325</v>
          </cell>
          <cell r="U132">
            <v>955</v>
          </cell>
          <cell r="V132">
            <v>750</v>
          </cell>
          <cell r="W132">
            <v>0</v>
          </cell>
          <cell r="X132">
            <v>150</v>
          </cell>
          <cell r="Y132">
            <v>55</v>
          </cell>
          <cell r="Z132">
            <v>5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5</v>
          </cell>
          <cell r="AF132">
            <v>4215</v>
          </cell>
          <cell r="AG132">
            <v>890</v>
          </cell>
          <cell r="AH132">
            <v>2180</v>
          </cell>
          <cell r="AI132">
            <v>0</v>
          </cell>
          <cell r="AJ132">
            <v>0</v>
          </cell>
          <cell r="AK132">
            <v>1145</v>
          </cell>
          <cell r="AL132">
            <v>30</v>
          </cell>
          <cell r="AM132">
            <v>30</v>
          </cell>
          <cell r="AN132">
            <v>0</v>
          </cell>
          <cell r="AO132">
            <v>3120</v>
          </cell>
          <cell r="AP132">
            <v>120</v>
          </cell>
          <cell r="AQ132">
            <v>0</v>
          </cell>
          <cell r="AR132">
            <v>210</v>
          </cell>
          <cell r="AS132">
            <v>0</v>
          </cell>
          <cell r="AT132">
            <v>435</v>
          </cell>
          <cell r="AU132">
            <v>0</v>
          </cell>
          <cell r="AV132">
            <v>0</v>
          </cell>
          <cell r="AW132">
            <v>0</v>
          </cell>
          <cell r="AX132">
            <v>1940</v>
          </cell>
          <cell r="AY132">
            <v>10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195</v>
          </cell>
          <cell r="BH132">
            <v>0</v>
          </cell>
          <cell r="BI132">
            <v>210</v>
          </cell>
          <cell r="BJ132">
            <v>168270</v>
          </cell>
          <cell r="BK132">
            <v>374</v>
          </cell>
          <cell r="BL132">
            <v>167896</v>
          </cell>
        </row>
        <row r="133">
          <cell r="B133" t="str">
            <v>SYR109</v>
          </cell>
          <cell r="C133">
            <v>28800</v>
          </cell>
          <cell r="D133">
            <v>18600</v>
          </cell>
          <cell r="E133">
            <v>19365</v>
          </cell>
          <cell r="F133">
            <v>9165</v>
          </cell>
          <cell r="G133">
            <v>9435</v>
          </cell>
          <cell r="H133">
            <v>9435</v>
          </cell>
          <cell r="I133">
            <v>855</v>
          </cell>
          <cell r="J133">
            <v>855</v>
          </cell>
          <cell r="K133">
            <v>855</v>
          </cell>
          <cell r="L133">
            <v>30</v>
          </cell>
          <cell r="M133">
            <v>825</v>
          </cell>
          <cell r="N133">
            <v>0</v>
          </cell>
          <cell r="O133">
            <v>8580</v>
          </cell>
          <cell r="P133">
            <v>8580</v>
          </cell>
          <cell r="Q133">
            <v>2225</v>
          </cell>
          <cell r="R133">
            <v>2225</v>
          </cell>
          <cell r="S133">
            <v>6355</v>
          </cell>
          <cell r="T133">
            <v>6355</v>
          </cell>
          <cell r="U133">
            <v>710</v>
          </cell>
          <cell r="V133">
            <v>600</v>
          </cell>
          <cell r="W133">
            <v>0</v>
          </cell>
          <cell r="X133">
            <v>80</v>
          </cell>
          <cell r="Y133">
            <v>30</v>
          </cell>
          <cell r="Z133">
            <v>5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5</v>
          </cell>
          <cell r="AF133">
            <v>3060</v>
          </cell>
          <cell r="AG133">
            <v>440</v>
          </cell>
          <cell r="AH133">
            <v>1760</v>
          </cell>
          <cell r="AI133">
            <v>0</v>
          </cell>
          <cell r="AJ133">
            <v>0</v>
          </cell>
          <cell r="AK133">
            <v>860</v>
          </cell>
          <cell r="AL133">
            <v>30</v>
          </cell>
          <cell r="AM133">
            <v>30</v>
          </cell>
          <cell r="AN133">
            <v>0</v>
          </cell>
          <cell r="AO133">
            <v>2550</v>
          </cell>
          <cell r="AP133">
            <v>30</v>
          </cell>
          <cell r="AQ133">
            <v>0</v>
          </cell>
          <cell r="AR133">
            <v>150</v>
          </cell>
          <cell r="AS133">
            <v>0</v>
          </cell>
          <cell r="AT133">
            <v>300</v>
          </cell>
          <cell r="AU133">
            <v>0</v>
          </cell>
          <cell r="AV133">
            <v>0</v>
          </cell>
          <cell r="AW133">
            <v>0</v>
          </cell>
          <cell r="AX133">
            <v>1655</v>
          </cell>
          <cell r="AY133">
            <v>10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195</v>
          </cell>
          <cell r="BH133">
            <v>0</v>
          </cell>
          <cell r="BI133">
            <v>210</v>
          </cell>
          <cell r="BJ133">
            <v>119184</v>
          </cell>
          <cell r="BK133">
            <v>284</v>
          </cell>
          <cell r="BL133">
            <v>118900</v>
          </cell>
        </row>
        <row r="134">
          <cell r="B134" t="str">
            <v>SYR110</v>
          </cell>
          <cell r="C134">
            <v>28800</v>
          </cell>
          <cell r="D134">
            <v>18600</v>
          </cell>
          <cell r="E134">
            <v>24720</v>
          </cell>
          <cell r="F134">
            <v>14520</v>
          </cell>
          <cell r="G134">
            <v>4080</v>
          </cell>
          <cell r="H134">
            <v>4080</v>
          </cell>
          <cell r="I134">
            <v>1005</v>
          </cell>
          <cell r="J134">
            <v>1005</v>
          </cell>
          <cell r="K134">
            <v>1005</v>
          </cell>
          <cell r="L134">
            <v>15</v>
          </cell>
          <cell r="M134">
            <v>990</v>
          </cell>
          <cell r="N134">
            <v>0</v>
          </cell>
          <cell r="O134">
            <v>3075</v>
          </cell>
          <cell r="P134">
            <v>3075</v>
          </cell>
          <cell r="Q134">
            <v>1105</v>
          </cell>
          <cell r="R134">
            <v>1105</v>
          </cell>
          <cell r="S134">
            <v>1970</v>
          </cell>
          <cell r="T134">
            <v>1970</v>
          </cell>
          <cell r="U134">
            <v>245</v>
          </cell>
          <cell r="V134">
            <v>150</v>
          </cell>
          <cell r="W134">
            <v>0</v>
          </cell>
          <cell r="X134">
            <v>70</v>
          </cell>
          <cell r="Y134">
            <v>25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1155</v>
          </cell>
          <cell r="AG134">
            <v>450</v>
          </cell>
          <cell r="AH134">
            <v>420</v>
          </cell>
          <cell r="AI134">
            <v>0</v>
          </cell>
          <cell r="AJ134">
            <v>0</v>
          </cell>
          <cell r="AK134">
            <v>285</v>
          </cell>
          <cell r="AL134">
            <v>0</v>
          </cell>
          <cell r="AM134">
            <v>0</v>
          </cell>
          <cell r="AN134">
            <v>0</v>
          </cell>
          <cell r="AO134">
            <v>570</v>
          </cell>
          <cell r="AP134">
            <v>90</v>
          </cell>
          <cell r="AQ134">
            <v>0</v>
          </cell>
          <cell r="AR134">
            <v>60</v>
          </cell>
          <cell r="AS134">
            <v>0</v>
          </cell>
          <cell r="AT134">
            <v>135</v>
          </cell>
          <cell r="AU134">
            <v>0</v>
          </cell>
          <cell r="AV134">
            <v>0</v>
          </cell>
          <cell r="AW134">
            <v>0</v>
          </cell>
          <cell r="AX134">
            <v>285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49086</v>
          </cell>
          <cell r="BK134">
            <v>90</v>
          </cell>
          <cell r="BL134">
            <v>48996</v>
          </cell>
        </row>
        <row r="135">
          <cell r="B135" t="str">
            <v>NBL INJ-MIXING</v>
          </cell>
          <cell r="C135">
            <v>28800</v>
          </cell>
          <cell r="D135">
            <v>18600</v>
          </cell>
          <cell r="E135">
            <v>21120</v>
          </cell>
          <cell r="F135">
            <v>10920</v>
          </cell>
          <cell r="G135">
            <v>7680</v>
          </cell>
          <cell r="H135">
            <v>7680</v>
          </cell>
          <cell r="I135">
            <v>270</v>
          </cell>
          <cell r="J135">
            <v>270</v>
          </cell>
          <cell r="K135">
            <v>270</v>
          </cell>
          <cell r="L135">
            <v>0</v>
          </cell>
          <cell r="M135">
            <v>270</v>
          </cell>
          <cell r="N135">
            <v>0</v>
          </cell>
          <cell r="O135">
            <v>7410</v>
          </cell>
          <cell r="P135">
            <v>7410</v>
          </cell>
          <cell r="Q135">
            <v>2187</v>
          </cell>
          <cell r="R135">
            <v>2187</v>
          </cell>
          <cell r="S135">
            <v>5223</v>
          </cell>
          <cell r="T135">
            <v>5223</v>
          </cell>
          <cell r="U135">
            <v>190</v>
          </cell>
          <cell r="V135">
            <v>190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3187</v>
          </cell>
          <cell r="AG135">
            <v>624</v>
          </cell>
          <cell r="AH135">
            <v>1923</v>
          </cell>
          <cell r="AI135">
            <v>0</v>
          </cell>
          <cell r="AJ135">
            <v>640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1846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520</v>
          </cell>
          <cell r="AU135">
            <v>0</v>
          </cell>
          <cell r="AV135">
            <v>130</v>
          </cell>
          <cell r="AW135">
            <v>0</v>
          </cell>
          <cell r="AX135">
            <v>0</v>
          </cell>
          <cell r="AY135">
            <v>100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1096</v>
          </cell>
          <cell r="BG135">
            <v>0</v>
          </cell>
          <cell r="BH135">
            <v>0</v>
          </cell>
          <cell r="BI135">
            <v>0</v>
          </cell>
          <cell r="BJ135">
            <v>845</v>
          </cell>
          <cell r="BK135">
            <v>0</v>
          </cell>
          <cell r="BL135">
            <v>845</v>
          </cell>
        </row>
        <row r="136">
          <cell r="B136" t="str">
            <v>LMIXINJ1</v>
          </cell>
          <cell r="C136">
            <v>28800</v>
          </cell>
          <cell r="D136">
            <v>18600</v>
          </cell>
          <cell r="E136">
            <v>21120</v>
          </cell>
          <cell r="F136">
            <v>10920</v>
          </cell>
          <cell r="G136">
            <v>7680</v>
          </cell>
          <cell r="H136">
            <v>7680</v>
          </cell>
          <cell r="I136">
            <v>270</v>
          </cell>
          <cell r="J136">
            <v>270</v>
          </cell>
          <cell r="K136">
            <v>270</v>
          </cell>
          <cell r="L136">
            <v>0</v>
          </cell>
          <cell r="M136">
            <v>270</v>
          </cell>
          <cell r="N136">
            <v>0</v>
          </cell>
          <cell r="O136">
            <v>7410</v>
          </cell>
          <cell r="P136">
            <v>7410</v>
          </cell>
          <cell r="Q136">
            <v>2187</v>
          </cell>
          <cell r="R136">
            <v>2187</v>
          </cell>
          <cell r="S136">
            <v>5223</v>
          </cell>
          <cell r="T136">
            <v>5223</v>
          </cell>
          <cell r="U136">
            <v>190</v>
          </cell>
          <cell r="V136">
            <v>190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3187</v>
          </cell>
          <cell r="AG136">
            <v>624</v>
          </cell>
          <cell r="AH136">
            <v>1923</v>
          </cell>
          <cell r="AI136">
            <v>0</v>
          </cell>
          <cell r="AJ136">
            <v>640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1846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520</v>
          </cell>
          <cell r="AU136">
            <v>0</v>
          </cell>
          <cell r="AV136">
            <v>130</v>
          </cell>
          <cell r="AW136">
            <v>0</v>
          </cell>
          <cell r="AX136">
            <v>0</v>
          </cell>
          <cell r="AY136">
            <v>100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1096</v>
          </cell>
          <cell r="BG136">
            <v>0</v>
          </cell>
          <cell r="BH136">
            <v>0</v>
          </cell>
          <cell r="BI136">
            <v>0</v>
          </cell>
          <cell r="BJ136">
            <v>845</v>
          </cell>
          <cell r="BK136">
            <v>0</v>
          </cell>
          <cell r="BL136">
            <v>845</v>
          </cell>
        </row>
        <row r="137">
          <cell r="B137" t="str">
            <v>NBL INJ-FILLING</v>
          </cell>
          <cell r="C137">
            <v>57600</v>
          </cell>
          <cell r="D137">
            <v>37200</v>
          </cell>
          <cell r="E137">
            <v>30240</v>
          </cell>
          <cell r="F137">
            <v>9840</v>
          </cell>
          <cell r="G137">
            <v>27360</v>
          </cell>
          <cell r="H137">
            <v>27360</v>
          </cell>
          <cell r="I137">
            <v>1465</v>
          </cell>
          <cell r="J137">
            <v>1465</v>
          </cell>
          <cell r="K137">
            <v>1465</v>
          </cell>
          <cell r="L137">
            <v>75</v>
          </cell>
          <cell r="M137">
            <v>1390</v>
          </cell>
          <cell r="N137">
            <v>0</v>
          </cell>
          <cell r="O137">
            <v>25895</v>
          </cell>
          <cell r="P137">
            <v>25895</v>
          </cell>
          <cell r="Q137">
            <v>11254</v>
          </cell>
          <cell r="R137">
            <v>11254</v>
          </cell>
          <cell r="S137">
            <v>14641</v>
          </cell>
          <cell r="T137">
            <v>14641</v>
          </cell>
          <cell r="U137">
            <v>2371</v>
          </cell>
          <cell r="V137">
            <v>2030</v>
          </cell>
          <cell r="W137">
            <v>79</v>
          </cell>
          <cell r="X137">
            <v>251</v>
          </cell>
          <cell r="Y137">
            <v>11</v>
          </cell>
          <cell r="Z137">
            <v>452</v>
          </cell>
          <cell r="AA137">
            <v>250</v>
          </cell>
          <cell r="AB137">
            <v>0</v>
          </cell>
          <cell r="AC137">
            <v>0</v>
          </cell>
          <cell r="AD137">
            <v>202</v>
          </cell>
          <cell r="AE137">
            <v>0</v>
          </cell>
          <cell r="AF137">
            <v>5365</v>
          </cell>
          <cell r="AG137">
            <v>1303</v>
          </cell>
          <cell r="AH137">
            <v>4059</v>
          </cell>
          <cell r="AI137">
            <v>3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6453</v>
          </cell>
          <cell r="AP137">
            <v>30</v>
          </cell>
          <cell r="AQ137">
            <v>0</v>
          </cell>
          <cell r="AR137">
            <v>810</v>
          </cell>
          <cell r="AS137">
            <v>0</v>
          </cell>
          <cell r="AT137">
            <v>1495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310</v>
          </cell>
          <cell r="AZ137">
            <v>0</v>
          </cell>
          <cell r="BA137">
            <v>0</v>
          </cell>
          <cell r="BB137">
            <v>3591</v>
          </cell>
          <cell r="BC137">
            <v>0</v>
          </cell>
          <cell r="BD137">
            <v>0</v>
          </cell>
          <cell r="BE137">
            <v>0</v>
          </cell>
          <cell r="BF137">
            <v>217</v>
          </cell>
          <cell r="BG137">
            <v>0</v>
          </cell>
          <cell r="BH137">
            <v>0</v>
          </cell>
          <cell r="BI137">
            <v>0</v>
          </cell>
          <cell r="BJ137">
            <v>1213747</v>
          </cell>
          <cell r="BK137">
            <v>479</v>
          </cell>
          <cell r="BL137">
            <v>1213268</v>
          </cell>
        </row>
        <row r="138">
          <cell r="B138" t="str">
            <v>GINLINE3</v>
          </cell>
          <cell r="C138">
            <v>28800</v>
          </cell>
          <cell r="D138">
            <v>18600</v>
          </cell>
          <cell r="E138">
            <v>18600</v>
          </cell>
          <cell r="F138">
            <v>8400</v>
          </cell>
          <cell r="G138">
            <v>10200</v>
          </cell>
          <cell r="H138">
            <v>10200</v>
          </cell>
          <cell r="I138">
            <v>980</v>
          </cell>
          <cell r="J138">
            <v>980</v>
          </cell>
          <cell r="K138">
            <v>980</v>
          </cell>
          <cell r="L138">
            <v>75</v>
          </cell>
          <cell r="M138">
            <v>905</v>
          </cell>
          <cell r="N138">
            <v>0</v>
          </cell>
          <cell r="O138">
            <v>9220</v>
          </cell>
          <cell r="P138">
            <v>9220</v>
          </cell>
          <cell r="Q138">
            <v>2609</v>
          </cell>
          <cell r="R138">
            <v>2609</v>
          </cell>
          <cell r="S138">
            <v>6611</v>
          </cell>
          <cell r="T138">
            <v>6611</v>
          </cell>
          <cell r="U138">
            <v>1286</v>
          </cell>
          <cell r="V138">
            <v>1140</v>
          </cell>
          <cell r="W138">
            <v>29</v>
          </cell>
          <cell r="X138">
            <v>106</v>
          </cell>
          <cell r="Y138">
            <v>11</v>
          </cell>
          <cell r="Z138">
            <v>122</v>
          </cell>
          <cell r="AA138">
            <v>0</v>
          </cell>
          <cell r="AB138">
            <v>0</v>
          </cell>
          <cell r="AC138">
            <v>0</v>
          </cell>
          <cell r="AD138">
            <v>122</v>
          </cell>
          <cell r="AE138">
            <v>0</v>
          </cell>
          <cell r="AF138">
            <v>2530</v>
          </cell>
          <cell r="AG138">
            <v>808</v>
          </cell>
          <cell r="AH138">
            <v>1722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2673</v>
          </cell>
          <cell r="AP138">
            <v>0</v>
          </cell>
          <cell r="AQ138">
            <v>0</v>
          </cell>
          <cell r="AR138">
            <v>210</v>
          </cell>
          <cell r="AS138">
            <v>0</v>
          </cell>
          <cell r="AT138">
            <v>675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180</v>
          </cell>
          <cell r="AZ138">
            <v>0</v>
          </cell>
          <cell r="BA138">
            <v>0</v>
          </cell>
          <cell r="BB138">
            <v>1533</v>
          </cell>
          <cell r="BC138">
            <v>0</v>
          </cell>
          <cell r="BD138">
            <v>0</v>
          </cell>
          <cell r="BE138">
            <v>0</v>
          </cell>
          <cell r="BF138">
            <v>75</v>
          </cell>
          <cell r="BG138">
            <v>0</v>
          </cell>
          <cell r="BH138">
            <v>0</v>
          </cell>
          <cell r="BI138">
            <v>0</v>
          </cell>
          <cell r="BJ138">
            <v>467427</v>
          </cell>
          <cell r="BK138">
            <v>286</v>
          </cell>
          <cell r="BL138">
            <v>467141</v>
          </cell>
        </row>
        <row r="139">
          <cell r="B139" t="str">
            <v>GINLINE4</v>
          </cell>
          <cell r="C139">
            <v>28800</v>
          </cell>
          <cell r="D139">
            <v>18600</v>
          </cell>
          <cell r="E139">
            <v>11640</v>
          </cell>
          <cell r="F139">
            <v>1440</v>
          </cell>
          <cell r="G139">
            <v>17160</v>
          </cell>
          <cell r="H139">
            <v>17160</v>
          </cell>
          <cell r="I139">
            <v>485</v>
          </cell>
          <cell r="J139">
            <v>485</v>
          </cell>
          <cell r="K139">
            <v>485</v>
          </cell>
          <cell r="L139">
            <v>0</v>
          </cell>
          <cell r="M139">
            <v>485</v>
          </cell>
          <cell r="N139">
            <v>0</v>
          </cell>
          <cell r="O139">
            <v>16675</v>
          </cell>
          <cell r="P139">
            <v>16675</v>
          </cell>
          <cell r="Q139">
            <v>8645</v>
          </cell>
          <cell r="R139">
            <v>8645</v>
          </cell>
          <cell r="S139">
            <v>8030</v>
          </cell>
          <cell r="T139">
            <v>8030</v>
          </cell>
          <cell r="U139">
            <v>1085</v>
          </cell>
          <cell r="V139">
            <v>890</v>
          </cell>
          <cell r="W139">
            <v>50</v>
          </cell>
          <cell r="X139">
            <v>145</v>
          </cell>
          <cell r="Y139">
            <v>0</v>
          </cell>
          <cell r="Z139">
            <v>330</v>
          </cell>
          <cell r="AA139">
            <v>250</v>
          </cell>
          <cell r="AB139">
            <v>0</v>
          </cell>
          <cell r="AC139">
            <v>0</v>
          </cell>
          <cell r="AD139">
            <v>80</v>
          </cell>
          <cell r="AE139">
            <v>0</v>
          </cell>
          <cell r="AF139">
            <v>2835</v>
          </cell>
          <cell r="AG139">
            <v>495</v>
          </cell>
          <cell r="AH139">
            <v>2337</v>
          </cell>
          <cell r="AI139">
            <v>3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3780</v>
          </cell>
          <cell r="AP139">
            <v>30</v>
          </cell>
          <cell r="AQ139">
            <v>0</v>
          </cell>
          <cell r="AR139">
            <v>600</v>
          </cell>
          <cell r="AS139">
            <v>0</v>
          </cell>
          <cell r="AT139">
            <v>820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130</v>
          </cell>
          <cell r="AZ139">
            <v>0</v>
          </cell>
          <cell r="BA139">
            <v>0</v>
          </cell>
          <cell r="BB139">
            <v>2058</v>
          </cell>
          <cell r="BC139">
            <v>0</v>
          </cell>
          <cell r="BD139">
            <v>0</v>
          </cell>
          <cell r="BE139">
            <v>0</v>
          </cell>
          <cell r="BF139">
            <v>142</v>
          </cell>
          <cell r="BG139">
            <v>0</v>
          </cell>
          <cell r="BH139">
            <v>0</v>
          </cell>
          <cell r="BI139">
            <v>0</v>
          </cell>
          <cell r="BJ139">
            <v>746320</v>
          </cell>
          <cell r="BK139">
            <v>193</v>
          </cell>
          <cell r="BL139">
            <v>746127</v>
          </cell>
        </row>
        <row r="140">
          <cell r="B140" t="str">
            <v>NBL INJ-STERILIZATION</v>
          </cell>
          <cell r="C140">
            <v>89280</v>
          </cell>
          <cell r="D140">
            <v>57660</v>
          </cell>
          <cell r="E140">
            <v>41513</v>
          </cell>
          <cell r="F140">
            <v>9893</v>
          </cell>
          <cell r="G140">
            <v>47767</v>
          </cell>
          <cell r="H140">
            <v>47767</v>
          </cell>
          <cell r="I140">
            <v>5875</v>
          </cell>
          <cell r="J140">
            <v>5875</v>
          </cell>
          <cell r="K140">
            <v>5875</v>
          </cell>
          <cell r="L140">
            <v>3931</v>
          </cell>
          <cell r="M140">
            <v>1944</v>
          </cell>
          <cell r="N140">
            <v>0</v>
          </cell>
          <cell r="O140">
            <v>41892</v>
          </cell>
          <cell r="P140">
            <v>41892</v>
          </cell>
          <cell r="Q140">
            <v>20542</v>
          </cell>
          <cell r="R140">
            <v>20542</v>
          </cell>
          <cell r="S140">
            <v>21350</v>
          </cell>
          <cell r="T140">
            <v>21350</v>
          </cell>
          <cell r="U140">
            <v>895</v>
          </cell>
          <cell r="V140">
            <v>835</v>
          </cell>
          <cell r="W140">
            <v>60</v>
          </cell>
          <cell r="X140">
            <v>0</v>
          </cell>
          <cell r="Y140">
            <v>0</v>
          </cell>
          <cell r="Z140">
            <v>180</v>
          </cell>
          <cell r="AA140">
            <v>0</v>
          </cell>
          <cell r="AB140">
            <v>0</v>
          </cell>
          <cell r="AC140">
            <v>0</v>
          </cell>
          <cell r="AD140">
            <v>180</v>
          </cell>
          <cell r="AE140">
            <v>0</v>
          </cell>
          <cell r="AF140">
            <v>10093</v>
          </cell>
          <cell r="AG140">
            <v>8534</v>
          </cell>
          <cell r="AH140">
            <v>1034</v>
          </cell>
          <cell r="AI140">
            <v>50</v>
          </cell>
          <cell r="AJ140">
            <v>0</v>
          </cell>
          <cell r="AK140">
            <v>475</v>
          </cell>
          <cell r="AL140">
            <v>0</v>
          </cell>
          <cell r="AM140">
            <v>0</v>
          </cell>
          <cell r="AN140">
            <v>0</v>
          </cell>
          <cell r="AO140">
            <v>10182</v>
          </cell>
          <cell r="AP140">
            <v>0</v>
          </cell>
          <cell r="AQ140">
            <v>0</v>
          </cell>
          <cell r="AR140">
            <v>622</v>
          </cell>
          <cell r="AS140">
            <v>20</v>
          </cell>
          <cell r="AT140">
            <v>447</v>
          </cell>
          <cell r="AU140">
            <v>2088</v>
          </cell>
          <cell r="AV140">
            <v>0</v>
          </cell>
          <cell r="AW140">
            <v>0</v>
          </cell>
          <cell r="AX140">
            <v>6769</v>
          </cell>
          <cell r="AY140">
            <v>236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1589</v>
          </cell>
          <cell r="BK140">
            <v>0</v>
          </cell>
          <cell r="BL140">
            <v>1589</v>
          </cell>
        </row>
        <row r="141">
          <cell r="B141" t="str">
            <v>INJ105</v>
          </cell>
          <cell r="C141">
            <v>30240</v>
          </cell>
          <cell r="D141">
            <v>19530</v>
          </cell>
          <cell r="E141">
            <v>10440</v>
          </cell>
          <cell r="F141">
            <v>-270</v>
          </cell>
          <cell r="G141">
            <v>19800</v>
          </cell>
          <cell r="H141">
            <v>19800</v>
          </cell>
          <cell r="I141">
            <v>4001</v>
          </cell>
          <cell r="J141">
            <v>4001</v>
          </cell>
          <cell r="K141">
            <v>4001</v>
          </cell>
          <cell r="L141">
            <v>3486</v>
          </cell>
          <cell r="M141">
            <v>515</v>
          </cell>
          <cell r="N141">
            <v>0</v>
          </cell>
          <cell r="O141">
            <v>15799</v>
          </cell>
          <cell r="P141">
            <v>15799</v>
          </cell>
          <cell r="Q141">
            <v>6619</v>
          </cell>
          <cell r="R141">
            <v>6619</v>
          </cell>
          <cell r="S141">
            <v>9180</v>
          </cell>
          <cell r="T141">
            <v>9180</v>
          </cell>
          <cell r="U141">
            <v>190</v>
          </cell>
          <cell r="V141">
            <v>190</v>
          </cell>
          <cell r="W141">
            <v>0</v>
          </cell>
          <cell r="X141">
            <v>0</v>
          </cell>
          <cell r="Y141">
            <v>0</v>
          </cell>
          <cell r="Z141">
            <v>90</v>
          </cell>
          <cell r="AA141">
            <v>0</v>
          </cell>
          <cell r="AB141">
            <v>0</v>
          </cell>
          <cell r="AC141">
            <v>0</v>
          </cell>
          <cell r="AD141">
            <v>90</v>
          </cell>
          <cell r="AE141">
            <v>0</v>
          </cell>
          <cell r="AF141">
            <v>2961</v>
          </cell>
          <cell r="AG141">
            <v>2042</v>
          </cell>
          <cell r="AH141">
            <v>669</v>
          </cell>
          <cell r="AI141">
            <v>0</v>
          </cell>
          <cell r="AJ141">
            <v>0</v>
          </cell>
          <cell r="AK141">
            <v>250</v>
          </cell>
          <cell r="AL141">
            <v>0</v>
          </cell>
          <cell r="AM141">
            <v>0</v>
          </cell>
          <cell r="AN141">
            <v>0</v>
          </cell>
          <cell r="AO141">
            <v>5939</v>
          </cell>
          <cell r="AP141">
            <v>0</v>
          </cell>
          <cell r="AQ141">
            <v>0</v>
          </cell>
          <cell r="AR141">
            <v>273</v>
          </cell>
          <cell r="AS141">
            <v>0</v>
          </cell>
          <cell r="AT141">
            <v>90</v>
          </cell>
          <cell r="AU141">
            <v>0</v>
          </cell>
          <cell r="AV141">
            <v>0</v>
          </cell>
          <cell r="AW141">
            <v>0</v>
          </cell>
          <cell r="AX141">
            <v>5576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646</v>
          </cell>
          <cell r="BK141">
            <v>0</v>
          </cell>
          <cell r="BL141">
            <v>646</v>
          </cell>
        </row>
        <row r="142">
          <cell r="B142" t="str">
            <v>INJ106</v>
          </cell>
          <cell r="C142">
            <v>30240</v>
          </cell>
          <cell r="D142">
            <v>19530</v>
          </cell>
          <cell r="E142">
            <v>10403</v>
          </cell>
          <cell r="F142">
            <v>-307</v>
          </cell>
          <cell r="G142">
            <v>19837</v>
          </cell>
          <cell r="H142">
            <v>19837</v>
          </cell>
          <cell r="I142">
            <v>1107</v>
          </cell>
          <cell r="J142">
            <v>1107</v>
          </cell>
          <cell r="K142">
            <v>1107</v>
          </cell>
          <cell r="L142">
            <v>438</v>
          </cell>
          <cell r="M142">
            <v>669</v>
          </cell>
          <cell r="N142">
            <v>0</v>
          </cell>
          <cell r="O142">
            <v>18730</v>
          </cell>
          <cell r="P142">
            <v>18730</v>
          </cell>
          <cell r="Q142">
            <v>12982</v>
          </cell>
          <cell r="R142">
            <v>12982</v>
          </cell>
          <cell r="S142">
            <v>5748</v>
          </cell>
          <cell r="T142">
            <v>5748</v>
          </cell>
          <cell r="U142">
            <v>100</v>
          </cell>
          <cell r="V142">
            <v>100</v>
          </cell>
          <cell r="W142">
            <v>0</v>
          </cell>
          <cell r="X142">
            <v>0</v>
          </cell>
          <cell r="Y142">
            <v>0</v>
          </cell>
          <cell r="Z142">
            <v>90</v>
          </cell>
          <cell r="AA142">
            <v>0</v>
          </cell>
          <cell r="AB142">
            <v>0</v>
          </cell>
          <cell r="AC142">
            <v>0</v>
          </cell>
          <cell r="AD142">
            <v>90</v>
          </cell>
          <cell r="AE142">
            <v>0</v>
          </cell>
          <cell r="AF142">
            <v>5413</v>
          </cell>
          <cell r="AG142">
            <v>5218</v>
          </cell>
          <cell r="AH142">
            <v>195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145</v>
          </cell>
          <cell r="AP142">
            <v>0</v>
          </cell>
          <cell r="AQ142">
            <v>0</v>
          </cell>
          <cell r="AR142">
            <v>70</v>
          </cell>
          <cell r="AS142">
            <v>0</v>
          </cell>
          <cell r="AT142">
            <v>62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13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923</v>
          </cell>
          <cell r="BK142">
            <v>0</v>
          </cell>
          <cell r="BL142">
            <v>923</v>
          </cell>
        </row>
        <row r="143">
          <cell r="B143" t="str">
            <v>INJ107</v>
          </cell>
          <cell r="C143">
            <v>28800</v>
          </cell>
          <cell r="D143">
            <v>18600</v>
          </cell>
          <cell r="E143">
            <v>20670</v>
          </cell>
          <cell r="F143">
            <v>10470</v>
          </cell>
          <cell r="G143">
            <v>8130</v>
          </cell>
          <cell r="H143">
            <v>8130</v>
          </cell>
          <cell r="I143">
            <v>767</v>
          </cell>
          <cell r="J143">
            <v>767</v>
          </cell>
          <cell r="K143">
            <v>767</v>
          </cell>
          <cell r="L143">
            <v>7</v>
          </cell>
          <cell r="M143">
            <v>760</v>
          </cell>
          <cell r="N143">
            <v>0</v>
          </cell>
          <cell r="O143">
            <v>7363</v>
          </cell>
          <cell r="P143">
            <v>7363</v>
          </cell>
          <cell r="Q143">
            <v>941</v>
          </cell>
          <cell r="R143">
            <v>941</v>
          </cell>
          <cell r="S143">
            <v>6422</v>
          </cell>
          <cell r="T143">
            <v>6422</v>
          </cell>
          <cell r="U143">
            <v>605</v>
          </cell>
          <cell r="V143">
            <v>545</v>
          </cell>
          <cell r="W143">
            <v>60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1719</v>
          </cell>
          <cell r="AG143">
            <v>1274</v>
          </cell>
          <cell r="AH143">
            <v>170</v>
          </cell>
          <cell r="AI143">
            <v>50</v>
          </cell>
          <cell r="AJ143">
            <v>0</v>
          </cell>
          <cell r="AK143">
            <v>225</v>
          </cell>
          <cell r="AL143">
            <v>0</v>
          </cell>
          <cell r="AM143">
            <v>0</v>
          </cell>
          <cell r="AN143">
            <v>0</v>
          </cell>
          <cell r="AO143">
            <v>4098</v>
          </cell>
          <cell r="AP143">
            <v>0</v>
          </cell>
          <cell r="AQ143">
            <v>0</v>
          </cell>
          <cell r="AR143">
            <v>279</v>
          </cell>
          <cell r="AS143">
            <v>20</v>
          </cell>
          <cell r="AT143">
            <v>295</v>
          </cell>
          <cell r="AU143">
            <v>2088</v>
          </cell>
          <cell r="AV143">
            <v>0</v>
          </cell>
          <cell r="AW143">
            <v>0</v>
          </cell>
          <cell r="AX143">
            <v>1193</v>
          </cell>
          <cell r="AY143">
            <v>223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20</v>
          </cell>
          <cell r="BK143">
            <v>0</v>
          </cell>
          <cell r="BL143">
            <v>20</v>
          </cell>
        </row>
        <row r="144">
          <cell r="B144" t="str">
            <v>NBL SECONDARY PACKING</v>
          </cell>
          <cell r="C144">
            <v>175680</v>
          </cell>
          <cell r="D144">
            <v>67560</v>
          </cell>
          <cell r="E144">
            <v>128220</v>
          </cell>
          <cell r="F144">
            <v>20100</v>
          </cell>
          <cell r="G144">
            <v>47460</v>
          </cell>
          <cell r="H144">
            <v>47460</v>
          </cell>
          <cell r="I144">
            <v>4070</v>
          </cell>
          <cell r="J144">
            <v>4070</v>
          </cell>
          <cell r="K144">
            <v>4070</v>
          </cell>
          <cell r="L144">
            <v>835</v>
          </cell>
          <cell r="M144">
            <v>3235</v>
          </cell>
          <cell r="N144">
            <v>0</v>
          </cell>
          <cell r="O144">
            <v>43390</v>
          </cell>
          <cell r="P144">
            <v>43390</v>
          </cell>
          <cell r="Q144">
            <v>26744</v>
          </cell>
          <cell r="R144">
            <v>26744</v>
          </cell>
          <cell r="S144">
            <v>16646</v>
          </cell>
          <cell r="T144">
            <v>16646</v>
          </cell>
          <cell r="U144">
            <v>2608</v>
          </cell>
          <cell r="V144">
            <v>2038</v>
          </cell>
          <cell r="W144">
            <v>154</v>
          </cell>
          <cell r="X144">
            <v>125</v>
          </cell>
          <cell r="Y144">
            <v>291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3679</v>
          </cell>
          <cell r="AG144">
            <v>1504</v>
          </cell>
          <cell r="AH144">
            <v>2005</v>
          </cell>
          <cell r="AI144">
            <v>0</v>
          </cell>
          <cell r="AJ144">
            <v>0</v>
          </cell>
          <cell r="AK144">
            <v>170</v>
          </cell>
          <cell r="AL144">
            <v>0</v>
          </cell>
          <cell r="AM144">
            <v>0</v>
          </cell>
          <cell r="AN144">
            <v>0</v>
          </cell>
          <cell r="AO144">
            <v>10359</v>
          </cell>
          <cell r="AP144">
            <v>70</v>
          </cell>
          <cell r="AQ144">
            <v>1300</v>
          </cell>
          <cell r="AR144">
            <v>780</v>
          </cell>
          <cell r="AS144">
            <v>0</v>
          </cell>
          <cell r="AT144">
            <v>1697</v>
          </cell>
          <cell r="AU144">
            <v>2000</v>
          </cell>
          <cell r="AV144">
            <v>120</v>
          </cell>
          <cell r="AW144">
            <v>0</v>
          </cell>
          <cell r="AX144">
            <v>1862</v>
          </cell>
          <cell r="AY144">
            <v>764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1611</v>
          </cell>
          <cell r="BG144">
            <v>35</v>
          </cell>
          <cell r="BH144">
            <v>0</v>
          </cell>
          <cell r="BI144">
            <v>120</v>
          </cell>
          <cell r="BJ144">
            <v>1220477</v>
          </cell>
          <cell r="BK144">
            <v>119</v>
          </cell>
          <cell r="BL144">
            <v>1220358</v>
          </cell>
        </row>
        <row r="145">
          <cell r="B145" t="str">
            <v>PAK101</v>
          </cell>
          <cell r="C145">
            <v>30240</v>
          </cell>
          <cell r="D145">
            <v>10080</v>
          </cell>
          <cell r="E145">
            <v>16605</v>
          </cell>
          <cell r="F145">
            <v>-3555</v>
          </cell>
          <cell r="G145">
            <v>13635</v>
          </cell>
          <cell r="H145">
            <v>13635</v>
          </cell>
          <cell r="I145">
            <v>215</v>
          </cell>
          <cell r="J145">
            <v>215</v>
          </cell>
          <cell r="K145">
            <v>215</v>
          </cell>
          <cell r="L145">
            <v>215</v>
          </cell>
          <cell r="M145">
            <v>0</v>
          </cell>
          <cell r="N145">
            <v>0</v>
          </cell>
          <cell r="O145">
            <v>13420</v>
          </cell>
          <cell r="P145">
            <v>13420</v>
          </cell>
          <cell r="Q145">
            <v>9385</v>
          </cell>
          <cell r="R145">
            <v>9385</v>
          </cell>
          <cell r="S145">
            <v>4035</v>
          </cell>
          <cell r="T145">
            <v>4035</v>
          </cell>
          <cell r="U145">
            <v>302</v>
          </cell>
          <cell r="V145">
            <v>302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1029</v>
          </cell>
          <cell r="AG145">
            <v>324</v>
          </cell>
          <cell r="AH145">
            <v>675</v>
          </cell>
          <cell r="AI145">
            <v>0</v>
          </cell>
          <cell r="AJ145">
            <v>0</v>
          </cell>
          <cell r="AK145">
            <v>30</v>
          </cell>
          <cell r="AL145">
            <v>0</v>
          </cell>
          <cell r="AM145">
            <v>0</v>
          </cell>
          <cell r="AN145">
            <v>0</v>
          </cell>
          <cell r="AO145">
            <v>2704</v>
          </cell>
          <cell r="AP145">
            <v>0</v>
          </cell>
          <cell r="AQ145">
            <v>545</v>
          </cell>
          <cell r="AR145">
            <v>300</v>
          </cell>
          <cell r="AS145">
            <v>0</v>
          </cell>
          <cell r="AT145">
            <v>615</v>
          </cell>
          <cell r="AU145">
            <v>180</v>
          </cell>
          <cell r="AV145">
            <v>0</v>
          </cell>
          <cell r="AW145">
            <v>0</v>
          </cell>
          <cell r="AX145">
            <v>0</v>
          </cell>
          <cell r="AY145">
            <v>275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669</v>
          </cell>
          <cell r="BG145">
            <v>0</v>
          </cell>
          <cell r="BH145">
            <v>0</v>
          </cell>
          <cell r="BI145">
            <v>120</v>
          </cell>
          <cell r="BJ145">
            <v>308580</v>
          </cell>
          <cell r="BK145">
            <v>0</v>
          </cell>
          <cell r="BL145">
            <v>308580</v>
          </cell>
        </row>
        <row r="146">
          <cell r="B146" t="str">
            <v>PAK103</v>
          </cell>
          <cell r="C146">
            <v>30240</v>
          </cell>
          <cell r="D146">
            <v>10080</v>
          </cell>
          <cell r="E146">
            <v>15480</v>
          </cell>
          <cell r="F146">
            <v>-4680</v>
          </cell>
          <cell r="G146">
            <v>14760</v>
          </cell>
          <cell r="H146">
            <v>14760</v>
          </cell>
          <cell r="I146">
            <v>490</v>
          </cell>
          <cell r="J146">
            <v>490</v>
          </cell>
          <cell r="K146">
            <v>490</v>
          </cell>
          <cell r="L146">
            <v>210</v>
          </cell>
          <cell r="M146">
            <v>280</v>
          </cell>
          <cell r="N146">
            <v>0</v>
          </cell>
          <cell r="O146">
            <v>14270</v>
          </cell>
          <cell r="P146">
            <v>14270</v>
          </cell>
          <cell r="Q146">
            <v>10420</v>
          </cell>
          <cell r="R146">
            <v>10420</v>
          </cell>
          <cell r="S146">
            <v>3850</v>
          </cell>
          <cell r="T146">
            <v>3850</v>
          </cell>
          <cell r="U146">
            <v>231</v>
          </cell>
          <cell r="V146">
            <v>231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903</v>
          </cell>
          <cell r="AG146">
            <v>233</v>
          </cell>
          <cell r="AH146">
            <v>640</v>
          </cell>
          <cell r="AI146">
            <v>0</v>
          </cell>
          <cell r="AJ146">
            <v>0</v>
          </cell>
          <cell r="AK146">
            <v>30</v>
          </cell>
          <cell r="AL146">
            <v>0</v>
          </cell>
          <cell r="AM146">
            <v>0</v>
          </cell>
          <cell r="AN146">
            <v>0</v>
          </cell>
          <cell r="AO146">
            <v>2716</v>
          </cell>
          <cell r="AP146">
            <v>0</v>
          </cell>
          <cell r="AQ146">
            <v>755</v>
          </cell>
          <cell r="AR146">
            <v>300</v>
          </cell>
          <cell r="AS146">
            <v>0</v>
          </cell>
          <cell r="AT146">
            <v>690</v>
          </cell>
          <cell r="AU146">
            <v>175</v>
          </cell>
          <cell r="AV146">
            <v>0</v>
          </cell>
          <cell r="AW146">
            <v>0</v>
          </cell>
          <cell r="AX146">
            <v>0</v>
          </cell>
          <cell r="AY146">
            <v>184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612</v>
          </cell>
          <cell r="BG146">
            <v>0</v>
          </cell>
          <cell r="BH146">
            <v>0</v>
          </cell>
          <cell r="BI146">
            <v>0</v>
          </cell>
          <cell r="BJ146">
            <v>455982</v>
          </cell>
          <cell r="BK146">
            <v>9</v>
          </cell>
          <cell r="BL146">
            <v>455973</v>
          </cell>
        </row>
        <row r="147">
          <cell r="B147" t="str">
            <v>PAK105</v>
          </cell>
          <cell r="C147">
            <v>28800</v>
          </cell>
          <cell r="D147">
            <v>18600</v>
          </cell>
          <cell r="E147">
            <v>17145</v>
          </cell>
          <cell r="F147">
            <v>6945</v>
          </cell>
          <cell r="G147">
            <v>11655</v>
          </cell>
          <cell r="H147">
            <v>11655</v>
          </cell>
          <cell r="I147">
            <v>2460</v>
          </cell>
          <cell r="J147">
            <v>2460</v>
          </cell>
          <cell r="K147">
            <v>2460</v>
          </cell>
          <cell r="L147">
            <v>195</v>
          </cell>
          <cell r="M147">
            <v>2265</v>
          </cell>
          <cell r="N147">
            <v>0</v>
          </cell>
          <cell r="O147">
            <v>9195</v>
          </cell>
          <cell r="P147">
            <v>9195</v>
          </cell>
          <cell r="Q147">
            <v>3765</v>
          </cell>
          <cell r="R147">
            <v>3765</v>
          </cell>
          <cell r="S147">
            <v>5430</v>
          </cell>
          <cell r="T147">
            <v>5430</v>
          </cell>
          <cell r="U147">
            <v>745</v>
          </cell>
          <cell r="V147">
            <v>580</v>
          </cell>
          <cell r="W147">
            <v>45</v>
          </cell>
          <cell r="X147">
            <v>35</v>
          </cell>
          <cell r="Y147">
            <v>85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570</v>
          </cell>
          <cell r="AG147">
            <v>350</v>
          </cell>
          <cell r="AH147">
            <v>220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4115</v>
          </cell>
          <cell r="AP147">
            <v>0</v>
          </cell>
          <cell r="AQ147">
            <v>0</v>
          </cell>
          <cell r="AR147">
            <v>180</v>
          </cell>
          <cell r="AS147">
            <v>0</v>
          </cell>
          <cell r="AT147">
            <v>220</v>
          </cell>
          <cell r="AU147">
            <v>1645</v>
          </cell>
          <cell r="AV147">
            <v>0</v>
          </cell>
          <cell r="AW147">
            <v>0</v>
          </cell>
          <cell r="AX147">
            <v>1800</v>
          </cell>
          <cell r="AY147">
            <v>135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135</v>
          </cell>
          <cell r="BG147">
            <v>0</v>
          </cell>
          <cell r="BH147">
            <v>0</v>
          </cell>
          <cell r="BI147">
            <v>0</v>
          </cell>
          <cell r="BJ147">
            <v>186959</v>
          </cell>
          <cell r="BK147">
            <v>0</v>
          </cell>
          <cell r="BL147">
            <v>186959</v>
          </cell>
        </row>
        <row r="148">
          <cell r="B148" t="str">
            <v>PAK102</v>
          </cell>
          <cell r="C148">
            <v>28800</v>
          </cell>
          <cell r="D148">
            <v>9600</v>
          </cell>
          <cell r="E148">
            <v>27810</v>
          </cell>
          <cell r="F148">
            <v>8610</v>
          </cell>
          <cell r="G148">
            <v>990</v>
          </cell>
          <cell r="H148">
            <v>990</v>
          </cell>
          <cell r="I148">
            <v>65</v>
          </cell>
          <cell r="J148">
            <v>65</v>
          </cell>
          <cell r="K148">
            <v>65</v>
          </cell>
          <cell r="L148">
            <v>65</v>
          </cell>
          <cell r="M148">
            <v>0</v>
          </cell>
          <cell r="N148">
            <v>0</v>
          </cell>
          <cell r="O148">
            <v>925</v>
          </cell>
          <cell r="P148">
            <v>925</v>
          </cell>
          <cell r="Q148">
            <v>510</v>
          </cell>
          <cell r="R148">
            <v>510</v>
          </cell>
          <cell r="S148">
            <v>415</v>
          </cell>
          <cell r="T148">
            <v>415</v>
          </cell>
          <cell r="U148">
            <v>35</v>
          </cell>
          <cell r="V148">
            <v>35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140</v>
          </cell>
          <cell r="AG148">
            <v>0</v>
          </cell>
          <cell r="AH148">
            <v>55</v>
          </cell>
          <cell r="AI148">
            <v>0</v>
          </cell>
          <cell r="AJ148">
            <v>0</v>
          </cell>
          <cell r="AK148">
            <v>85</v>
          </cell>
          <cell r="AL148">
            <v>0</v>
          </cell>
          <cell r="AM148">
            <v>0</v>
          </cell>
          <cell r="AN148">
            <v>0</v>
          </cell>
          <cell r="AO148">
            <v>240</v>
          </cell>
          <cell r="AP148">
            <v>70</v>
          </cell>
          <cell r="AQ148">
            <v>0</v>
          </cell>
          <cell r="AR148">
            <v>0</v>
          </cell>
          <cell r="AS148">
            <v>0</v>
          </cell>
          <cell r="AT148">
            <v>30</v>
          </cell>
          <cell r="AU148">
            <v>0</v>
          </cell>
          <cell r="AV148">
            <v>0</v>
          </cell>
          <cell r="AW148">
            <v>0</v>
          </cell>
          <cell r="AX148">
            <v>45</v>
          </cell>
          <cell r="AY148">
            <v>35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60</v>
          </cell>
          <cell r="BG148">
            <v>0</v>
          </cell>
          <cell r="BH148">
            <v>0</v>
          </cell>
          <cell r="BI148">
            <v>0</v>
          </cell>
          <cell r="BJ148">
            <v>15272</v>
          </cell>
          <cell r="BK148">
            <v>88</v>
          </cell>
          <cell r="BL148">
            <v>15184</v>
          </cell>
        </row>
        <row r="149">
          <cell r="B149" t="str">
            <v>PAK104</v>
          </cell>
          <cell r="C149">
            <v>28800</v>
          </cell>
          <cell r="D149">
            <v>9600</v>
          </cell>
          <cell r="E149">
            <v>27810</v>
          </cell>
          <cell r="F149">
            <v>8610</v>
          </cell>
          <cell r="G149">
            <v>990</v>
          </cell>
          <cell r="H149">
            <v>990</v>
          </cell>
          <cell r="I149">
            <v>370</v>
          </cell>
          <cell r="J149">
            <v>370</v>
          </cell>
          <cell r="K149">
            <v>370</v>
          </cell>
          <cell r="L149">
            <v>0</v>
          </cell>
          <cell r="M149">
            <v>370</v>
          </cell>
          <cell r="N149">
            <v>0</v>
          </cell>
          <cell r="O149">
            <v>620</v>
          </cell>
          <cell r="P149">
            <v>620</v>
          </cell>
          <cell r="Q149">
            <v>210</v>
          </cell>
          <cell r="R149">
            <v>210</v>
          </cell>
          <cell r="S149">
            <v>410</v>
          </cell>
          <cell r="T149">
            <v>410</v>
          </cell>
          <cell r="U149">
            <v>145</v>
          </cell>
          <cell r="V149">
            <v>125</v>
          </cell>
          <cell r="W149">
            <v>0</v>
          </cell>
          <cell r="X149">
            <v>20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235</v>
          </cell>
          <cell r="AG149">
            <v>70</v>
          </cell>
          <cell r="AH149">
            <v>140</v>
          </cell>
          <cell r="AI149">
            <v>0</v>
          </cell>
          <cell r="AJ149">
            <v>0</v>
          </cell>
          <cell r="AK149">
            <v>25</v>
          </cell>
          <cell r="AL149">
            <v>0</v>
          </cell>
          <cell r="AM149">
            <v>0</v>
          </cell>
          <cell r="AN149">
            <v>0</v>
          </cell>
          <cell r="AO149">
            <v>30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10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20</v>
          </cell>
          <cell r="BG149">
            <v>0</v>
          </cell>
          <cell r="BH149">
            <v>0</v>
          </cell>
          <cell r="BI149">
            <v>0</v>
          </cell>
          <cell r="BJ149">
            <v>5632</v>
          </cell>
          <cell r="BK149">
            <v>0</v>
          </cell>
          <cell r="BL149">
            <v>5632</v>
          </cell>
        </row>
        <row r="150">
          <cell r="B150" t="str">
            <v>PAK111</v>
          </cell>
          <cell r="C150">
            <v>28800</v>
          </cell>
          <cell r="D150">
            <v>9600</v>
          </cell>
          <cell r="E150">
            <v>23370</v>
          </cell>
          <cell r="F150">
            <v>4170</v>
          </cell>
          <cell r="G150">
            <v>5430</v>
          </cell>
          <cell r="H150">
            <v>5430</v>
          </cell>
          <cell r="I150">
            <v>470</v>
          </cell>
          <cell r="J150">
            <v>470</v>
          </cell>
          <cell r="K150">
            <v>470</v>
          </cell>
          <cell r="L150">
            <v>150</v>
          </cell>
          <cell r="M150">
            <v>320</v>
          </cell>
          <cell r="N150">
            <v>0</v>
          </cell>
          <cell r="O150">
            <v>4960</v>
          </cell>
          <cell r="P150">
            <v>4960</v>
          </cell>
          <cell r="Q150">
            <v>2454</v>
          </cell>
          <cell r="R150">
            <v>2454</v>
          </cell>
          <cell r="S150">
            <v>2506</v>
          </cell>
          <cell r="T150">
            <v>2506</v>
          </cell>
          <cell r="U150">
            <v>1150</v>
          </cell>
          <cell r="V150">
            <v>765</v>
          </cell>
          <cell r="W150">
            <v>109</v>
          </cell>
          <cell r="X150">
            <v>70</v>
          </cell>
          <cell r="Y150">
            <v>206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802</v>
          </cell>
          <cell r="AG150">
            <v>527</v>
          </cell>
          <cell r="AH150">
            <v>275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554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142</v>
          </cell>
          <cell r="AU150">
            <v>0</v>
          </cell>
          <cell r="AV150">
            <v>120</v>
          </cell>
          <cell r="AW150">
            <v>0</v>
          </cell>
          <cell r="AX150">
            <v>17</v>
          </cell>
          <cell r="AY150">
            <v>125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115</v>
          </cell>
          <cell r="BG150">
            <v>35</v>
          </cell>
          <cell r="BH150">
            <v>0</v>
          </cell>
          <cell r="BI150">
            <v>0</v>
          </cell>
          <cell r="BJ150">
            <v>248052</v>
          </cell>
          <cell r="BK150">
            <v>22</v>
          </cell>
          <cell r="BL150">
            <v>248030</v>
          </cell>
        </row>
        <row r="151">
          <cell r="B151" t="str">
            <v>CPH SOL-MIXING</v>
          </cell>
          <cell r="C151">
            <v>28800</v>
          </cell>
          <cell r="D151">
            <v>9600</v>
          </cell>
          <cell r="E151">
            <v>27810</v>
          </cell>
          <cell r="F151">
            <v>8610</v>
          </cell>
          <cell r="G151">
            <v>990</v>
          </cell>
          <cell r="H151">
            <v>990</v>
          </cell>
          <cell r="I151">
            <v>495</v>
          </cell>
          <cell r="J151">
            <v>495</v>
          </cell>
          <cell r="K151">
            <v>495</v>
          </cell>
          <cell r="L151">
            <v>240</v>
          </cell>
          <cell r="M151">
            <v>255</v>
          </cell>
          <cell r="N151">
            <v>0</v>
          </cell>
          <cell r="O151">
            <v>495</v>
          </cell>
          <cell r="P151">
            <v>495</v>
          </cell>
          <cell r="Q151">
            <v>44</v>
          </cell>
          <cell r="R151">
            <v>44</v>
          </cell>
          <cell r="S151">
            <v>451</v>
          </cell>
          <cell r="T151">
            <v>451</v>
          </cell>
          <cell r="U151">
            <v>45</v>
          </cell>
          <cell r="V151">
            <v>15</v>
          </cell>
          <cell r="W151">
            <v>30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332</v>
          </cell>
          <cell r="AG151">
            <v>232</v>
          </cell>
          <cell r="AH151">
            <v>90</v>
          </cell>
          <cell r="AI151">
            <v>0</v>
          </cell>
          <cell r="AJ151">
            <v>0</v>
          </cell>
          <cell r="AK151">
            <v>10</v>
          </cell>
          <cell r="AL151">
            <v>0</v>
          </cell>
          <cell r="AM151">
            <v>0</v>
          </cell>
          <cell r="AN151">
            <v>0</v>
          </cell>
          <cell r="AO151">
            <v>74</v>
          </cell>
          <cell r="AP151">
            <v>60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14</v>
          </cell>
          <cell r="BG151">
            <v>0</v>
          </cell>
          <cell r="BH151">
            <v>0</v>
          </cell>
          <cell r="BI151">
            <v>0</v>
          </cell>
          <cell r="BJ151">
            <v>325.16000000000003</v>
          </cell>
          <cell r="BK151">
            <v>0.43</v>
          </cell>
          <cell r="BL151">
            <v>324.73</v>
          </cell>
        </row>
        <row r="152">
          <cell r="B152" t="str">
            <v>MCF101</v>
          </cell>
          <cell r="C152">
            <v>28800</v>
          </cell>
          <cell r="D152">
            <v>9600</v>
          </cell>
          <cell r="E152">
            <v>27810</v>
          </cell>
          <cell r="F152">
            <v>8610</v>
          </cell>
          <cell r="G152">
            <v>990</v>
          </cell>
          <cell r="H152">
            <v>990</v>
          </cell>
          <cell r="I152">
            <v>495</v>
          </cell>
          <cell r="J152">
            <v>495</v>
          </cell>
          <cell r="K152">
            <v>495</v>
          </cell>
          <cell r="L152">
            <v>240</v>
          </cell>
          <cell r="M152">
            <v>255</v>
          </cell>
          <cell r="N152">
            <v>0</v>
          </cell>
          <cell r="O152">
            <v>495</v>
          </cell>
          <cell r="P152">
            <v>495</v>
          </cell>
          <cell r="Q152">
            <v>44</v>
          </cell>
          <cell r="R152">
            <v>44</v>
          </cell>
          <cell r="S152">
            <v>451</v>
          </cell>
          <cell r="T152">
            <v>451</v>
          </cell>
          <cell r="U152">
            <v>45</v>
          </cell>
          <cell r="V152">
            <v>15</v>
          </cell>
          <cell r="W152">
            <v>30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332</v>
          </cell>
          <cell r="AG152">
            <v>232</v>
          </cell>
          <cell r="AH152">
            <v>90</v>
          </cell>
          <cell r="AI152">
            <v>0</v>
          </cell>
          <cell r="AJ152">
            <v>0</v>
          </cell>
          <cell r="AK152">
            <v>10</v>
          </cell>
          <cell r="AL152">
            <v>0</v>
          </cell>
          <cell r="AM152">
            <v>0</v>
          </cell>
          <cell r="AN152">
            <v>0</v>
          </cell>
          <cell r="AO152">
            <v>74</v>
          </cell>
          <cell r="AP152">
            <v>60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14</v>
          </cell>
          <cell r="BG152">
            <v>0</v>
          </cell>
          <cell r="BH152">
            <v>0</v>
          </cell>
          <cell r="BI152">
            <v>0</v>
          </cell>
          <cell r="BJ152">
            <v>325.16000000000003</v>
          </cell>
          <cell r="BK152">
            <v>0.43</v>
          </cell>
          <cell r="BL152">
            <v>324.73</v>
          </cell>
        </row>
        <row r="153">
          <cell r="B153" t="str">
            <v>CPH SOL-CAPSULE</v>
          </cell>
          <cell r="C153">
            <v>28800</v>
          </cell>
          <cell r="D153">
            <v>9600</v>
          </cell>
          <cell r="E153">
            <v>27810</v>
          </cell>
          <cell r="F153">
            <v>8610</v>
          </cell>
          <cell r="G153">
            <v>990</v>
          </cell>
          <cell r="H153">
            <v>990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990</v>
          </cell>
          <cell r="P153">
            <v>990</v>
          </cell>
          <cell r="Q153">
            <v>160</v>
          </cell>
          <cell r="R153">
            <v>160</v>
          </cell>
          <cell r="S153">
            <v>830</v>
          </cell>
          <cell r="T153">
            <v>830</v>
          </cell>
          <cell r="U153">
            <v>365</v>
          </cell>
          <cell r="V153">
            <v>80</v>
          </cell>
          <cell r="W153">
            <v>0</v>
          </cell>
          <cell r="X153">
            <v>15</v>
          </cell>
          <cell r="Y153">
            <v>270</v>
          </cell>
          <cell r="Z153">
            <v>60</v>
          </cell>
          <cell r="AA153">
            <v>60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185</v>
          </cell>
          <cell r="AG153">
            <v>65</v>
          </cell>
          <cell r="AH153">
            <v>55</v>
          </cell>
          <cell r="AI153">
            <v>0</v>
          </cell>
          <cell r="AJ153">
            <v>0</v>
          </cell>
          <cell r="AK153">
            <v>65</v>
          </cell>
          <cell r="AL153">
            <v>0</v>
          </cell>
          <cell r="AM153">
            <v>0</v>
          </cell>
          <cell r="AN153">
            <v>0</v>
          </cell>
          <cell r="AO153">
            <v>220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30</v>
          </cell>
          <cell r="AU153">
            <v>0</v>
          </cell>
          <cell r="AV153">
            <v>0</v>
          </cell>
          <cell r="AW153">
            <v>60</v>
          </cell>
          <cell r="AX153">
            <v>90</v>
          </cell>
          <cell r="AY153">
            <v>30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10</v>
          </cell>
          <cell r="BG153">
            <v>0</v>
          </cell>
          <cell r="BH153">
            <v>0</v>
          </cell>
          <cell r="BI153">
            <v>0</v>
          </cell>
          <cell r="BJ153">
            <v>99200</v>
          </cell>
          <cell r="BK153">
            <v>0</v>
          </cell>
          <cell r="BL153">
            <v>99200</v>
          </cell>
        </row>
        <row r="154">
          <cell r="B154" t="str">
            <v>KCF101</v>
          </cell>
          <cell r="C154">
            <v>28800</v>
          </cell>
          <cell r="D154">
            <v>9600</v>
          </cell>
          <cell r="E154">
            <v>27810</v>
          </cell>
          <cell r="F154">
            <v>8610</v>
          </cell>
          <cell r="G154">
            <v>990</v>
          </cell>
          <cell r="H154">
            <v>990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990</v>
          </cell>
          <cell r="P154">
            <v>990</v>
          </cell>
          <cell r="Q154">
            <v>160</v>
          </cell>
          <cell r="R154">
            <v>160</v>
          </cell>
          <cell r="S154">
            <v>830</v>
          </cell>
          <cell r="T154">
            <v>830</v>
          </cell>
          <cell r="U154">
            <v>365</v>
          </cell>
          <cell r="V154">
            <v>80</v>
          </cell>
          <cell r="W154">
            <v>0</v>
          </cell>
          <cell r="X154">
            <v>15</v>
          </cell>
          <cell r="Y154">
            <v>270</v>
          </cell>
          <cell r="Z154">
            <v>60</v>
          </cell>
          <cell r="AA154">
            <v>60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185</v>
          </cell>
          <cell r="AG154">
            <v>65</v>
          </cell>
          <cell r="AH154">
            <v>55</v>
          </cell>
          <cell r="AI154">
            <v>0</v>
          </cell>
          <cell r="AJ154">
            <v>0</v>
          </cell>
          <cell r="AK154">
            <v>65</v>
          </cell>
          <cell r="AL154">
            <v>0</v>
          </cell>
          <cell r="AM154">
            <v>0</v>
          </cell>
          <cell r="AN154">
            <v>0</v>
          </cell>
          <cell r="AO154">
            <v>220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30</v>
          </cell>
          <cell r="AU154">
            <v>0</v>
          </cell>
          <cell r="AV154">
            <v>0</v>
          </cell>
          <cell r="AW154">
            <v>60</v>
          </cell>
          <cell r="AX154">
            <v>90</v>
          </cell>
          <cell r="AY154">
            <v>30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10</v>
          </cell>
          <cell r="BG154">
            <v>0</v>
          </cell>
          <cell r="BH154">
            <v>0</v>
          </cell>
          <cell r="BI154">
            <v>0</v>
          </cell>
          <cell r="BJ154">
            <v>99200</v>
          </cell>
          <cell r="BK154">
            <v>0</v>
          </cell>
          <cell r="BL154">
            <v>99200</v>
          </cell>
        </row>
        <row r="155">
          <cell r="B155" t="str">
            <v>CPH SOL-STRIPPING</v>
          </cell>
          <cell r="C155">
            <v>28800</v>
          </cell>
          <cell r="D155">
            <v>9600</v>
          </cell>
          <cell r="E155">
            <v>28305</v>
          </cell>
          <cell r="F155">
            <v>9105</v>
          </cell>
          <cell r="G155">
            <v>495</v>
          </cell>
          <cell r="H155">
            <v>495</v>
          </cell>
          <cell r="I155">
            <v>75</v>
          </cell>
          <cell r="J155">
            <v>75</v>
          </cell>
          <cell r="K155">
            <v>75</v>
          </cell>
          <cell r="L155">
            <v>0</v>
          </cell>
          <cell r="M155">
            <v>75</v>
          </cell>
          <cell r="N155">
            <v>0</v>
          </cell>
          <cell r="O155">
            <v>420</v>
          </cell>
          <cell r="P155">
            <v>420</v>
          </cell>
          <cell r="Q155">
            <v>120</v>
          </cell>
          <cell r="R155">
            <v>120</v>
          </cell>
          <cell r="S155">
            <v>300</v>
          </cell>
          <cell r="T155">
            <v>300</v>
          </cell>
          <cell r="U155">
            <v>85</v>
          </cell>
          <cell r="V155">
            <v>85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175</v>
          </cell>
          <cell r="AG155">
            <v>70</v>
          </cell>
          <cell r="AH155">
            <v>80</v>
          </cell>
          <cell r="AI155">
            <v>0</v>
          </cell>
          <cell r="AJ155">
            <v>0</v>
          </cell>
          <cell r="AK155">
            <v>25</v>
          </cell>
          <cell r="AL155">
            <v>0</v>
          </cell>
          <cell r="AM155">
            <v>0</v>
          </cell>
          <cell r="AN155">
            <v>0</v>
          </cell>
          <cell r="AO155">
            <v>40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30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10</v>
          </cell>
          <cell r="BG155">
            <v>0</v>
          </cell>
          <cell r="BH155">
            <v>0</v>
          </cell>
          <cell r="BI155">
            <v>0</v>
          </cell>
          <cell r="BJ155">
            <v>100183</v>
          </cell>
          <cell r="BK155">
            <v>473</v>
          </cell>
          <cell r="BL155">
            <v>99710</v>
          </cell>
        </row>
        <row r="156">
          <cell r="B156" t="str">
            <v>STC101</v>
          </cell>
          <cell r="C156">
            <v>28800</v>
          </cell>
          <cell r="D156">
            <v>9600</v>
          </cell>
          <cell r="E156">
            <v>28305</v>
          </cell>
          <cell r="F156">
            <v>9105</v>
          </cell>
          <cell r="G156">
            <v>495</v>
          </cell>
          <cell r="H156">
            <v>495</v>
          </cell>
          <cell r="I156">
            <v>75</v>
          </cell>
          <cell r="J156">
            <v>75</v>
          </cell>
          <cell r="K156">
            <v>75</v>
          </cell>
          <cell r="L156">
            <v>0</v>
          </cell>
          <cell r="M156">
            <v>75</v>
          </cell>
          <cell r="N156">
            <v>0</v>
          </cell>
          <cell r="O156">
            <v>420</v>
          </cell>
          <cell r="P156">
            <v>420</v>
          </cell>
          <cell r="Q156">
            <v>120</v>
          </cell>
          <cell r="R156">
            <v>120</v>
          </cell>
          <cell r="S156">
            <v>300</v>
          </cell>
          <cell r="T156">
            <v>300</v>
          </cell>
          <cell r="U156">
            <v>85</v>
          </cell>
          <cell r="V156">
            <v>85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175</v>
          </cell>
          <cell r="AG156">
            <v>70</v>
          </cell>
          <cell r="AH156">
            <v>80</v>
          </cell>
          <cell r="AI156">
            <v>0</v>
          </cell>
          <cell r="AJ156">
            <v>0</v>
          </cell>
          <cell r="AK156">
            <v>25</v>
          </cell>
          <cell r="AL156">
            <v>0</v>
          </cell>
          <cell r="AM156">
            <v>0</v>
          </cell>
          <cell r="AN156">
            <v>0</v>
          </cell>
          <cell r="AO156">
            <v>40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30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10</v>
          </cell>
          <cell r="BG156">
            <v>0</v>
          </cell>
          <cell r="BH156">
            <v>0</v>
          </cell>
          <cell r="BI156">
            <v>0</v>
          </cell>
          <cell r="BJ156">
            <v>100183</v>
          </cell>
          <cell r="BK156">
            <v>473</v>
          </cell>
          <cell r="BL156">
            <v>99710</v>
          </cell>
        </row>
        <row r="157">
          <cell r="B157" t="str">
            <v>CPH SOL-POWDER FILLING</v>
          </cell>
          <cell r="C157">
            <v>28800</v>
          </cell>
          <cell r="D157">
            <v>9600</v>
          </cell>
          <cell r="E157">
            <v>28305</v>
          </cell>
          <cell r="F157">
            <v>9105</v>
          </cell>
          <cell r="G157">
            <v>495</v>
          </cell>
          <cell r="H157">
            <v>495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495</v>
          </cell>
          <cell r="P157">
            <v>495</v>
          </cell>
          <cell r="Q157">
            <v>70</v>
          </cell>
          <cell r="R157">
            <v>70</v>
          </cell>
          <cell r="S157">
            <v>425</v>
          </cell>
          <cell r="T157">
            <v>425</v>
          </cell>
          <cell r="U157">
            <v>40</v>
          </cell>
          <cell r="V157">
            <v>40</v>
          </cell>
          <cell r="W157">
            <v>0</v>
          </cell>
          <cell r="X157">
            <v>0</v>
          </cell>
          <cell r="Y157">
            <v>0</v>
          </cell>
          <cell r="Z157">
            <v>40</v>
          </cell>
          <cell r="AA157">
            <v>0</v>
          </cell>
          <cell r="AB157">
            <v>0</v>
          </cell>
          <cell r="AC157">
            <v>0</v>
          </cell>
          <cell r="AD157">
            <v>40</v>
          </cell>
          <cell r="AE157">
            <v>0</v>
          </cell>
          <cell r="AF157">
            <v>305</v>
          </cell>
          <cell r="AG157">
            <v>85</v>
          </cell>
          <cell r="AH157">
            <v>210</v>
          </cell>
          <cell r="AI157">
            <v>0</v>
          </cell>
          <cell r="AJ157">
            <v>0</v>
          </cell>
          <cell r="AK157">
            <v>10</v>
          </cell>
          <cell r="AL157">
            <v>0</v>
          </cell>
          <cell r="AM157">
            <v>0</v>
          </cell>
          <cell r="AN157">
            <v>0</v>
          </cell>
          <cell r="AO157">
            <v>40</v>
          </cell>
          <cell r="AP157">
            <v>0</v>
          </cell>
          <cell r="AQ157">
            <v>0</v>
          </cell>
          <cell r="AR157">
            <v>15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15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10</v>
          </cell>
          <cell r="BG157">
            <v>0</v>
          </cell>
          <cell r="BH157">
            <v>0</v>
          </cell>
          <cell r="BI157">
            <v>0</v>
          </cell>
          <cell r="BJ157">
            <v>1582</v>
          </cell>
          <cell r="BK157">
            <v>14</v>
          </cell>
          <cell r="BL157">
            <v>1568</v>
          </cell>
        </row>
        <row r="158">
          <cell r="B158" t="str">
            <v>SCF102</v>
          </cell>
          <cell r="C158">
            <v>28800</v>
          </cell>
          <cell r="D158">
            <v>9600</v>
          </cell>
          <cell r="E158">
            <v>28305</v>
          </cell>
          <cell r="F158">
            <v>9105</v>
          </cell>
          <cell r="G158">
            <v>495</v>
          </cell>
          <cell r="H158">
            <v>495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495</v>
          </cell>
          <cell r="P158">
            <v>495</v>
          </cell>
          <cell r="Q158">
            <v>70</v>
          </cell>
          <cell r="R158">
            <v>70</v>
          </cell>
          <cell r="S158">
            <v>425</v>
          </cell>
          <cell r="T158">
            <v>425</v>
          </cell>
          <cell r="U158">
            <v>40</v>
          </cell>
          <cell r="V158">
            <v>40</v>
          </cell>
          <cell r="W158">
            <v>0</v>
          </cell>
          <cell r="X158">
            <v>0</v>
          </cell>
          <cell r="Y158">
            <v>0</v>
          </cell>
          <cell r="Z158">
            <v>40</v>
          </cell>
          <cell r="AA158">
            <v>0</v>
          </cell>
          <cell r="AB158">
            <v>0</v>
          </cell>
          <cell r="AC158">
            <v>0</v>
          </cell>
          <cell r="AD158">
            <v>40</v>
          </cell>
          <cell r="AE158">
            <v>0</v>
          </cell>
          <cell r="AF158">
            <v>305</v>
          </cell>
          <cell r="AG158">
            <v>85</v>
          </cell>
          <cell r="AH158">
            <v>210</v>
          </cell>
          <cell r="AI158">
            <v>0</v>
          </cell>
          <cell r="AJ158">
            <v>0</v>
          </cell>
          <cell r="AK158">
            <v>10</v>
          </cell>
          <cell r="AL158">
            <v>0</v>
          </cell>
          <cell r="AM158">
            <v>0</v>
          </cell>
          <cell r="AN158">
            <v>0</v>
          </cell>
          <cell r="AO158">
            <v>40</v>
          </cell>
          <cell r="AP158">
            <v>0</v>
          </cell>
          <cell r="AQ158">
            <v>0</v>
          </cell>
          <cell r="AR158">
            <v>15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15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10</v>
          </cell>
          <cell r="BG158">
            <v>0</v>
          </cell>
          <cell r="BH158">
            <v>0</v>
          </cell>
          <cell r="BI158">
            <v>0</v>
          </cell>
          <cell r="BJ158">
            <v>1582</v>
          </cell>
          <cell r="BK158">
            <v>14</v>
          </cell>
          <cell r="BL158">
            <v>1568</v>
          </cell>
        </row>
        <row r="159">
          <cell r="B159" t="str">
            <v>CPH INJ-FILLING</v>
          </cell>
          <cell r="C159">
            <v>28800</v>
          </cell>
          <cell r="D159">
            <v>18600</v>
          </cell>
          <cell r="E159">
            <v>24660</v>
          </cell>
          <cell r="F159">
            <v>14460</v>
          </cell>
          <cell r="G159">
            <v>4140</v>
          </cell>
          <cell r="H159">
            <v>4140</v>
          </cell>
          <cell r="I159">
            <v>235</v>
          </cell>
          <cell r="J159">
            <v>235</v>
          </cell>
          <cell r="K159">
            <v>235</v>
          </cell>
          <cell r="L159">
            <v>0</v>
          </cell>
          <cell r="M159">
            <v>235</v>
          </cell>
          <cell r="N159">
            <v>0</v>
          </cell>
          <cell r="O159">
            <v>3905</v>
          </cell>
          <cell r="P159">
            <v>3905</v>
          </cell>
          <cell r="Q159">
            <v>1476</v>
          </cell>
          <cell r="R159">
            <v>1476</v>
          </cell>
          <cell r="S159">
            <v>2429</v>
          </cell>
          <cell r="T159">
            <v>2429</v>
          </cell>
          <cell r="U159">
            <v>488</v>
          </cell>
          <cell r="V159">
            <v>417</v>
          </cell>
          <cell r="W159">
            <v>0</v>
          </cell>
          <cell r="X159">
            <v>71</v>
          </cell>
          <cell r="Y159">
            <v>0</v>
          </cell>
          <cell r="Z159">
            <v>112</v>
          </cell>
          <cell r="AA159">
            <v>50</v>
          </cell>
          <cell r="AB159">
            <v>0</v>
          </cell>
          <cell r="AC159">
            <v>0</v>
          </cell>
          <cell r="AD159">
            <v>62</v>
          </cell>
          <cell r="AE159">
            <v>0</v>
          </cell>
          <cell r="AF159">
            <v>692</v>
          </cell>
          <cell r="AG159">
            <v>78</v>
          </cell>
          <cell r="AH159">
            <v>614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1137</v>
          </cell>
          <cell r="AP159">
            <v>0</v>
          </cell>
          <cell r="AQ159">
            <v>0</v>
          </cell>
          <cell r="AR159">
            <v>95</v>
          </cell>
          <cell r="AS159">
            <v>5</v>
          </cell>
          <cell r="AT159">
            <v>235</v>
          </cell>
          <cell r="AU159">
            <v>0</v>
          </cell>
          <cell r="AV159">
            <v>0</v>
          </cell>
          <cell r="AW159">
            <v>75</v>
          </cell>
          <cell r="AX159">
            <v>0</v>
          </cell>
          <cell r="AY159">
            <v>40</v>
          </cell>
          <cell r="AZ159">
            <v>0</v>
          </cell>
          <cell r="BA159">
            <v>0</v>
          </cell>
          <cell r="BB159">
            <v>675</v>
          </cell>
          <cell r="BC159">
            <v>0</v>
          </cell>
          <cell r="BD159">
            <v>0</v>
          </cell>
          <cell r="BE159">
            <v>0</v>
          </cell>
          <cell r="BF159">
            <v>12</v>
          </cell>
          <cell r="BG159">
            <v>0</v>
          </cell>
          <cell r="BH159">
            <v>0</v>
          </cell>
          <cell r="BI159">
            <v>0</v>
          </cell>
          <cell r="BJ159">
            <v>199466</v>
          </cell>
          <cell r="BK159">
            <v>0</v>
          </cell>
          <cell r="BL159">
            <v>199466</v>
          </cell>
        </row>
        <row r="160">
          <cell r="B160" t="str">
            <v>GINLINE6</v>
          </cell>
          <cell r="C160">
            <v>28800</v>
          </cell>
          <cell r="D160">
            <v>18600</v>
          </cell>
          <cell r="E160">
            <v>24660</v>
          </cell>
          <cell r="F160">
            <v>14460</v>
          </cell>
          <cell r="G160">
            <v>4140</v>
          </cell>
          <cell r="H160">
            <v>4140</v>
          </cell>
          <cell r="I160">
            <v>235</v>
          </cell>
          <cell r="J160">
            <v>235</v>
          </cell>
          <cell r="K160">
            <v>235</v>
          </cell>
          <cell r="L160">
            <v>0</v>
          </cell>
          <cell r="M160">
            <v>235</v>
          </cell>
          <cell r="N160">
            <v>0</v>
          </cell>
          <cell r="O160">
            <v>3905</v>
          </cell>
          <cell r="P160">
            <v>3905</v>
          </cell>
          <cell r="Q160">
            <v>1476</v>
          </cell>
          <cell r="R160">
            <v>1476</v>
          </cell>
          <cell r="S160">
            <v>2429</v>
          </cell>
          <cell r="T160">
            <v>2429</v>
          </cell>
          <cell r="U160">
            <v>488</v>
          </cell>
          <cell r="V160">
            <v>417</v>
          </cell>
          <cell r="W160">
            <v>0</v>
          </cell>
          <cell r="X160">
            <v>71</v>
          </cell>
          <cell r="Y160">
            <v>0</v>
          </cell>
          <cell r="Z160">
            <v>112</v>
          </cell>
          <cell r="AA160">
            <v>50</v>
          </cell>
          <cell r="AB160">
            <v>0</v>
          </cell>
          <cell r="AC160">
            <v>0</v>
          </cell>
          <cell r="AD160">
            <v>62</v>
          </cell>
          <cell r="AE160">
            <v>0</v>
          </cell>
          <cell r="AF160">
            <v>692</v>
          </cell>
          <cell r="AG160">
            <v>78</v>
          </cell>
          <cell r="AH160">
            <v>614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1137</v>
          </cell>
          <cell r="AP160">
            <v>0</v>
          </cell>
          <cell r="AQ160">
            <v>0</v>
          </cell>
          <cell r="AR160">
            <v>95</v>
          </cell>
          <cell r="AS160">
            <v>5</v>
          </cell>
          <cell r="AT160">
            <v>235</v>
          </cell>
          <cell r="AU160">
            <v>0</v>
          </cell>
          <cell r="AV160">
            <v>0</v>
          </cell>
          <cell r="AW160">
            <v>75</v>
          </cell>
          <cell r="AX160">
            <v>0</v>
          </cell>
          <cell r="AY160">
            <v>40</v>
          </cell>
          <cell r="AZ160">
            <v>0</v>
          </cell>
          <cell r="BA160">
            <v>0</v>
          </cell>
          <cell r="BB160">
            <v>675</v>
          </cell>
          <cell r="BC160">
            <v>0</v>
          </cell>
          <cell r="BD160">
            <v>0</v>
          </cell>
          <cell r="BE160">
            <v>0</v>
          </cell>
          <cell r="BF160">
            <v>12</v>
          </cell>
          <cell r="BG160">
            <v>0</v>
          </cell>
          <cell r="BH160">
            <v>0</v>
          </cell>
          <cell r="BI160">
            <v>0</v>
          </cell>
          <cell r="BJ160">
            <v>199466</v>
          </cell>
          <cell r="BK160">
            <v>0</v>
          </cell>
          <cell r="BL160">
            <v>199466</v>
          </cell>
        </row>
        <row r="161">
          <cell r="B161" t="str">
            <v>CPH INJ-STERILIZATION</v>
          </cell>
          <cell r="C161">
            <v>60480</v>
          </cell>
          <cell r="D161">
            <v>39060</v>
          </cell>
          <cell r="E161">
            <v>49620</v>
          </cell>
          <cell r="F161">
            <v>28200</v>
          </cell>
          <cell r="G161">
            <v>10860</v>
          </cell>
          <cell r="H161">
            <v>10860</v>
          </cell>
          <cell r="I161">
            <v>1129</v>
          </cell>
          <cell r="J161">
            <v>1129</v>
          </cell>
          <cell r="K161">
            <v>1129</v>
          </cell>
          <cell r="L161">
            <v>512</v>
          </cell>
          <cell r="M161">
            <v>617</v>
          </cell>
          <cell r="N161">
            <v>0</v>
          </cell>
          <cell r="O161">
            <v>9731</v>
          </cell>
          <cell r="P161">
            <v>9731</v>
          </cell>
          <cell r="Q161">
            <v>4223</v>
          </cell>
          <cell r="R161">
            <v>4223</v>
          </cell>
          <cell r="S161">
            <v>5508</v>
          </cell>
          <cell r="T161">
            <v>5508</v>
          </cell>
          <cell r="U161">
            <v>405</v>
          </cell>
          <cell r="V161">
            <v>275</v>
          </cell>
          <cell r="W161">
            <v>0</v>
          </cell>
          <cell r="X161">
            <v>130</v>
          </cell>
          <cell r="Y161">
            <v>0</v>
          </cell>
          <cell r="Z161">
            <v>221</v>
          </cell>
          <cell r="AA161">
            <v>135</v>
          </cell>
          <cell r="AB161">
            <v>0</v>
          </cell>
          <cell r="AC161">
            <v>0</v>
          </cell>
          <cell r="AD161">
            <v>86</v>
          </cell>
          <cell r="AE161">
            <v>0</v>
          </cell>
          <cell r="AF161">
            <v>2756</v>
          </cell>
          <cell r="AG161">
            <v>2496</v>
          </cell>
          <cell r="AH161">
            <v>260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2126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50</v>
          </cell>
          <cell r="AX161">
            <v>2076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412</v>
          </cell>
          <cell r="BK161">
            <v>0</v>
          </cell>
          <cell r="BL161">
            <v>412</v>
          </cell>
        </row>
        <row r="162">
          <cell r="B162" t="str">
            <v>ICF104</v>
          </cell>
          <cell r="C162">
            <v>30240</v>
          </cell>
          <cell r="D162">
            <v>19530</v>
          </cell>
          <cell r="E162">
            <v>24360</v>
          </cell>
          <cell r="F162">
            <v>13650</v>
          </cell>
          <cell r="G162">
            <v>5880</v>
          </cell>
          <cell r="H162">
            <v>5880</v>
          </cell>
          <cell r="I162">
            <v>542</v>
          </cell>
          <cell r="J162">
            <v>542</v>
          </cell>
          <cell r="K162">
            <v>542</v>
          </cell>
          <cell r="L162">
            <v>155</v>
          </cell>
          <cell r="M162">
            <v>387</v>
          </cell>
          <cell r="N162">
            <v>0</v>
          </cell>
          <cell r="O162">
            <v>5338</v>
          </cell>
          <cell r="P162">
            <v>5338</v>
          </cell>
          <cell r="Q162">
            <v>2631</v>
          </cell>
          <cell r="R162">
            <v>2631</v>
          </cell>
          <cell r="S162">
            <v>2707</v>
          </cell>
          <cell r="T162">
            <v>2707</v>
          </cell>
          <cell r="U162">
            <v>194</v>
          </cell>
          <cell r="V162">
            <v>154</v>
          </cell>
          <cell r="W162">
            <v>0</v>
          </cell>
          <cell r="X162">
            <v>40</v>
          </cell>
          <cell r="Y162">
            <v>0</v>
          </cell>
          <cell r="Z162">
            <v>135</v>
          </cell>
          <cell r="AA162">
            <v>135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1926</v>
          </cell>
          <cell r="AG162">
            <v>1824</v>
          </cell>
          <cell r="AH162">
            <v>102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452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30</v>
          </cell>
          <cell r="AX162">
            <v>422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277</v>
          </cell>
          <cell r="BK162">
            <v>0</v>
          </cell>
          <cell r="BL162">
            <v>277</v>
          </cell>
        </row>
        <row r="163">
          <cell r="B163" t="str">
            <v>ICF105</v>
          </cell>
          <cell r="C163">
            <v>30240</v>
          </cell>
          <cell r="D163">
            <v>19530</v>
          </cell>
          <cell r="E163">
            <v>25260</v>
          </cell>
          <cell r="F163">
            <v>14550</v>
          </cell>
          <cell r="G163">
            <v>4980</v>
          </cell>
          <cell r="H163">
            <v>4980</v>
          </cell>
          <cell r="I163">
            <v>587</v>
          </cell>
          <cell r="J163">
            <v>587</v>
          </cell>
          <cell r="K163">
            <v>587</v>
          </cell>
          <cell r="L163">
            <v>357</v>
          </cell>
          <cell r="M163">
            <v>230</v>
          </cell>
          <cell r="N163">
            <v>0</v>
          </cell>
          <cell r="O163">
            <v>4393</v>
          </cell>
          <cell r="P163">
            <v>4393</v>
          </cell>
          <cell r="Q163">
            <v>1592</v>
          </cell>
          <cell r="R163">
            <v>1592</v>
          </cell>
          <cell r="S163">
            <v>2801</v>
          </cell>
          <cell r="T163">
            <v>2801</v>
          </cell>
          <cell r="U163">
            <v>211</v>
          </cell>
          <cell r="V163">
            <v>121</v>
          </cell>
          <cell r="W163">
            <v>0</v>
          </cell>
          <cell r="X163">
            <v>90</v>
          </cell>
          <cell r="Y163">
            <v>0</v>
          </cell>
          <cell r="Z163">
            <v>86</v>
          </cell>
          <cell r="AA163">
            <v>0</v>
          </cell>
          <cell r="AB163">
            <v>0</v>
          </cell>
          <cell r="AC163">
            <v>0</v>
          </cell>
          <cell r="AD163">
            <v>86</v>
          </cell>
          <cell r="AE163">
            <v>0</v>
          </cell>
          <cell r="AF163">
            <v>830</v>
          </cell>
          <cell r="AG163">
            <v>672</v>
          </cell>
          <cell r="AH163">
            <v>158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1674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20</v>
          </cell>
          <cell r="AX163">
            <v>1654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135</v>
          </cell>
          <cell r="BK163">
            <v>0</v>
          </cell>
          <cell r="BL163">
            <v>135</v>
          </cell>
        </row>
        <row r="164">
          <cell r="B164" t="str">
            <v>CPH-SECONDARY PACKING</v>
          </cell>
          <cell r="C164">
            <v>59040</v>
          </cell>
          <cell r="D164">
            <v>19680</v>
          </cell>
          <cell r="E164">
            <v>38505</v>
          </cell>
          <cell r="F164">
            <v>-855</v>
          </cell>
          <cell r="G164">
            <v>20535</v>
          </cell>
          <cell r="H164">
            <v>20535</v>
          </cell>
          <cell r="I164">
            <v>2000</v>
          </cell>
          <cell r="J164">
            <v>2000</v>
          </cell>
          <cell r="K164">
            <v>2000</v>
          </cell>
          <cell r="L164">
            <v>655</v>
          </cell>
          <cell r="M164">
            <v>1345</v>
          </cell>
          <cell r="N164">
            <v>0</v>
          </cell>
          <cell r="O164">
            <v>18535</v>
          </cell>
          <cell r="P164">
            <v>18535</v>
          </cell>
          <cell r="Q164">
            <v>7865</v>
          </cell>
          <cell r="R164">
            <v>7865</v>
          </cell>
          <cell r="S164">
            <v>10670</v>
          </cell>
          <cell r="T164">
            <v>10670</v>
          </cell>
          <cell r="U164">
            <v>3400</v>
          </cell>
          <cell r="V164">
            <v>2060</v>
          </cell>
          <cell r="W164">
            <v>120</v>
          </cell>
          <cell r="X164">
            <v>215</v>
          </cell>
          <cell r="Y164">
            <v>1005</v>
          </cell>
          <cell r="Z164">
            <v>150</v>
          </cell>
          <cell r="AA164">
            <v>90</v>
          </cell>
          <cell r="AB164">
            <v>60</v>
          </cell>
          <cell r="AC164">
            <v>0</v>
          </cell>
          <cell r="AD164">
            <v>0</v>
          </cell>
          <cell r="AE164">
            <v>0</v>
          </cell>
          <cell r="AF164">
            <v>3505</v>
          </cell>
          <cell r="AG164">
            <v>1875</v>
          </cell>
          <cell r="AH164">
            <v>905</v>
          </cell>
          <cell r="AI164">
            <v>455</v>
          </cell>
          <cell r="AJ164">
            <v>15</v>
          </cell>
          <cell r="AK164">
            <v>255</v>
          </cell>
          <cell r="AL164">
            <v>0</v>
          </cell>
          <cell r="AM164">
            <v>0</v>
          </cell>
          <cell r="AN164">
            <v>0</v>
          </cell>
          <cell r="AO164">
            <v>3615</v>
          </cell>
          <cell r="AP164">
            <v>335</v>
          </cell>
          <cell r="AQ164">
            <v>0</v>
          </cell>
          <cell r="AR164">
            <v>390</v>
          </cell>
          <cell r="AS164">
            <v>0</v>
          </cell>
          <cell r="AT164">
            <v>570</v>
          </cell>
          <cell r="AU164">
            <v>390</v>
          </cell>
          <cell r="AV164">
            <v>110</v>
          </cell>
          <cell r="AW164">
            <v>0</v>
          </cell>
          <cell r="AX164">
            <v>670</v>
          </cell>
          <cell r="AY164">
            <v>460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560</v>
          </cell>
          <cell r="BG164">
            <v>130</v>
          </cell>
          <cell r="BH164">
            <v>0</v>
          </cell>
          <cell r="BI164">
            <v>0</v>
          </cell>
          <cell r="BJ164">
            <v>1092191</v>
          </cell>
          <cell r="BK164">
            <v>449</v>
          </cell>
          <cell r="BL164">
            <v>1091742</v>
          </cell>
        </row>
        <row r="165">
          <cell r="B165" t="str">
            <v>PCF101</v>
          </cell>
          <cell r="C165">
            <v>30240</v>
          </cell>
          <cell r="D165">
            <v>10080</v>
          </cell>
          <cell r="E165">
            <v>14655</v>
          </cell>
          <cell r="F165">
            <v>-5505</v>
          </cell>
          <cell r="G165">
            <v>15585</v>
          </cell>
          <cell r="H165">
            <v>15585</v>
          </cell>
          <cell r="I165">
            <v>1270</v>
          </cell>
          <cell r="J165">
            <v>1270</v>
          </cell>
          <cell r="K165">
            <v>1270</v>
          </cell>
          <cell r="L165">
            <v>595</v>
          </cell>
          <cell r="M165">
            <v>675</v>
          </cell>
          <cell r="N165">
            <v>0</v>
          </cell>
          <cell r="O165">
            <v>14315</v>
          </cell>
          <cell r="P165">
            <v>14315</v>
          </cell>
          <cell r="Q165">
            <v>5645</v>
          </cell>
          <cell r="R165">
            <v>5645</v>
          </cell>
          <cell r="S165">
            <v>8670</v>
          </cell>
          <cell r="T165">
            <v>8670</v>
          </cell>
          <cell r="U165">
            <v>3305</v>
          </cell>
          <cell r="V165">
            <v>1975</v>
          </cell>
          <cell r="W165">
            <v>120</v>
          </cell>
          <cell r="X165">
            <v>205</v>
          </cell>
          <cell r="Y165">
            <v>1005</v>
          </cell>
          <cell r="Z165">
            <v>150</v>
          </cell>
          <cell r="AA165">
            <v>90</v>
          </cell>
          <cell r="AB165">
            <v>60</v>
          </cell>
          <cell r="AC165">
            <v>0</v>
          </cell>
          <cell r="AD165">
            <v>0</v>
          </cell>
          <cell r="AE165">
            <v>0</v>
          </cell>
          <cell r="AF165">
            <v>3125</v>
          </cell>
          <cell r="AG165">
            <v>1875</v>
          </cell>
          <cell r="AH165">
            <v>780</v>
          </cell>
          <cell r="AI165">
            <v>455</v>
          </cell>
          <cell r="AJ165">
            <v>15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2090</v>
          </cell>
          <cell r="AP165">
            <v>335</v>
          </cell>
          <cell r="AQ165">
            <v>0</v>
          </cell>
          <cell r="AR165">
            <v>390</v>
          </cell>
          <cell r="AS165">
            <v>0</v>
          </cell>
          <cell r="AT165">
            <v>450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380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405</v>
          </cell>
          <cell r="BG165">
            <v>130</v>
          </cell>
          <cell r="BH165">
            <v>0</v>
          </cell>
          <cell r="BI165">
            <v>0</v>
          </cell>
          <cell r="BJ165">
            <v>1030410</v>
          </cell>
          <cell r="BK165">
            <v>220</v>
          </cell>
          <cell r="BL165">
            <v>1030190</v>
          </cell>
        </row>
        <row r="166">
          <cell r="B166" t="str">
            <v>PCF102</v>
          </cell>
          <cell r="C166">
            <v>28800</v>
          </cell>
          <cell r="D166">
            <v>9600</v>
          </cell>
          <cell r="E166">
            <v>23850</v>
          </cell>
          <cell r="F166">
            <v>4650</v>
          </cell>
          <cell r="G166">
            <v>4950</v>
          </cell>
          <cell r="H166">
            <v>4950</v>
          </cell>
          <cell r="I166">
            <v>730</v>
          </cell>
          <cell r="J166">
            <v>730</v>
          </cell>
          <cell r="K166">
            <v>730</v>
          </cell>
          <cell r="L166">
            <v>60</v>
          </cell>
          <cell r="M166">
            <v>670</v>
          </cell>
          <cell r="N166">
            <v>0</v>
          </cell>
          <cell r="O166">
            <v>4220</v>
          </cell>
          <cell r="P166">
            <v>4220</v>
          </cell>
          <cell r="Q166">
            <v>2220</v>
          </cell>
          <cell r="R166">
            <v>2220</v>
          </cell>
          <cell r="S166">
            <v>2000</v>
          </cell>
          <cell r="T166">
            <v>2000</v>
          </cell>
          <cell r="U166">
            <v>95</v>
          </cell>
          <cell r="V166">
            <v>85</v>
          </cell>
          <cell r="W166">
            <v>0</v>
          </cell>
          <cell r="X166">
            <v>10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380</v>
          </cell>
          <cell r="AG166">
            <v>0</v>
          </cell>
          <cell r="AH166">
            <v>125</v>
          </cell>
          <cell r="AI166">
            <v>0</v>
          </cell>
          <cell r="AJ166">
            <v>0</v>
          </cell>
          <cell r="AK166">
            <v>255</v>
          </cell>
          <cell r="AL166">
            <v>0</v>
          </cell>
          <cell r="AM166">
            <v>0</v>
          </cell>
          <cell r="AN166">
            <v>0</v>
          </cell>
          <cell r="AO166">
            <v>1525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120</v>
          </cell>
          <cell r="AU166">
            <v>390</v>
          </cell>
          <cell r="AV166">
            <v>110</v>
          </cell>
          <cell r="AW166">
            <v>0</v>
          </cell>
          <cell r="AX166">
            <v>670</v>
          </cell>
          <cell r="AY166">
            <v>80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155</v>
          </cell>
          <cell r="BG166">
            <v>0</v>
          </cell>
          <cell r="BH166">
            <v>0</v>
          </cell>
          <cell r="BI166">
            <v>0</v>
          </cell>
          <cell r="BJ166">
            <v>61781</v>
          </cell>
          <cell r="BK166">
            <v>229</v>
          </cell>
          <cell r="BL166">
            <v>61552</v>
          </cell>
        </row>
      </sheetData>
      <sheetData sheetId="14" refreshError="1"/>
      <sheetData sheetId="1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shboard OEE"/>
      <sheetName val="Dashboard Monthly Manpower"/>
      <sheetName val="Dashboard Monthly Legend"/>
      <sheetName val="Dashboard Legend Group"/>
      <sheetName val="Mesin Running"/>
      <sheetName val="Pivot Batch &amp; Tanggal"/>
      <sheetName val="Jumlah Shift"/>
      <sheetName val="Format Shift Operation"/>
      <sheetName val="Custom Report "/>
      <sheetName val="OEE All Machine Report"/>
      <sheetName val="OEE By Group Report"/>
      <sheetName val="Analisys QBR Report"/>
      <sheetName val="Analisys QBR By Machine Report"/>
      <sheetName val="Dasboard_QBR_Report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B1" t="str">
            <v>oee</v>
          </cell>
        </row>
        <row r="109">
          <cell r="C109" t="str">
            <v>PROSES( Menit )</v>
          </cell>
          <cell r="D109" t="str">
            <v>POT</v>
          </cell>
          <cell r="E109" t="str">
            <v>Unschedule Time</v>
          </cell>
          <cell r="F109" t="str">
            <v>L2</v>
          </cell>
          <cell r="G109" t="str">
            <v>L21</v>
          </cell>
          <cell r="H109" t="str">
            <v>L22</v>
          </cell>
          <cell r="I109" t="str">
            <v>IG</v>
          </cell>
          <cell r="J109" t="str">
            <v>PPT</v>
          </cell>
          <cell r="K109" t="str">
            <v>R</v>
          </cell>
          <cell r="L109" t="str">
            <v>Setup</v>
          </cell>
          <cell r="M109" t="str">
            <v>P6</v>
          </cell>
          <cell r="N109" t="str">
            <v>P5</v>
          </cell>
          <cell r="O109" t="str">
            <v>P8</v>
          </cell>
          <cell r="P109" t="str">
            <v>P9</v>
          </cell>
          <cell r="Q109" t="str">
            <v>Breakdown</v>
          </cell>
          <cell r="R109" t="str">
            <v>M1</v>
          </cell>
          <cell r="S109" t="str">
            <v>M2</v>
          </cell>
          <cell r="T109" t="str">
            <v>M4</v>
          </cell>
          <cell r="U109" t="str">
            <v>M8</v>
          </cell>
          <cell r="V109" t="str">
            <v>M9</v>
          </cell>
          <cell r="W109" t="str">
            <v>Clean</v>
          </cell>
          <cell r="X109" t="str">
            <v>P2</v>
          </cell>
          <cell r="Y109" t="str">
            <v>P4</v>
          </cell>
          <cell r="Z109" t="str">
            <v>P17</v>
          </cell>
          <cell r="AA109" t="str">
            <v>P19</v>
          </cell>
          <cell r="AB109" t="str">
            <v>P12</v>
          </cell>
          <cell r="AC109" t="str">
            <v>Trial</v>
          </cell>
          <cell r="AD109" t="str">
            <v>R1</v>
          </cell>
          <cell r="AE109" t="str">
            <v>R2</v>
          </cell>
          <cell r="AF109" t="str">
            <v>Waiting</v>
          </cell>
          <cell r="AG109" t="str">
            <v>L1</v>
          </cell>
          <cell r="AH109" t="str">
            <v>L3</v>
          </cell>
          <cell r="AI109" t="str">
            <v>H1</v>
          </cell>
          <cell r="AJ109" t="str">
            <v>H2</v>
          </cell>
          <cell r="AK109" t="str">
            <v>H4</v>
          </cell>
          <cell r="AL109" t="str">
            <v>H6</v>
          </cell>
          <cell r="AM109" t="str">
            <v>H7</v>
          </cell>
          <cell r="AN109" t="str">
            <v>H8</v>
          </cell>
          <cell r="AO109" t="str">
            <v>P10</v>
          </cell>
          <cell r="AP109" t="str">
            <v>P11</v>
          </cell>
          <cell r="AQ109" t="str">
            <v>P13</v>
          </cell>
          <cell r="AR109" t="str">
            <v>P14</v>
          </cell>
          <cell r="AS109" t="str">
            <v>P16</v>
          </cell>
          <cell r="AT109" t="str">
            <v>M5</v>
          </cell>
          <cell r="AU109" t="str">
            <v>M6</v>
          </cell>
          <cell r="AV109" t="str">
            <v>M7</v>
          </cell>
          <cell r="AW109" t="str">
            <v>Q1</v>
          </cell>
          <cell r="AX109" t="str">
            <v>Q2</v>
          </cell>
          <cell r="AY109" t="str">
            <v>Q3</v>
          </cell>
          <cell r="AZ109" t="str">
            <v>Q4</v>
          </cell>
          <cell r="BA109" t="str">
            <v>Total Output</v>
          </cell>
          <cell r="BB109" t="str">
            <v>Reject Output</v>
          </cell>
          <cell r="BC109" t="str">
            <v>Good Output</v>
          </cell>
        </row>
        <row r="110">
          <cell r="C110" t="str">
            <v>NBL SOL-MIXING</v>
          </cell>
          <cell r="D110">
            <v>73440</v>
          </cell>
          <cell r="E110">
            <v>47760</v>
          </cell>
          <cell r="F110">
            <v>3010</v>
          </cell>
          <cell r="G110">
            <v>475</v>
          </cell>
          <cell r="H110">
            <v>2535</v>
          </cell>
          <cell r="I110">
            <v>55</v>
          </cell>
          <cell r="J110">
            <v>22615</v>
          </cell>
          <cell r="K110">
            <v>3213</v>
          </cell>
          <cell r="L110">
            <v>792</v>
          </cell>
          <cell r="M110">
            <v>792</v>
          </cell>
          <cell r="N110">
            <v>0</v>
          </cell>
          <cell r="O110">
            <v>0</v>
          </cell>
          <cell r="P110">
            <v>0</v>
          </cell>
          <cell r="Q110">
            <v>65</v>
          </cell>
          <cell r="R110">
            <v>0</v>
          </cell>
          <cell r="S110">
            <v>0</v>
          </cell>
          <cell r="T110">
            <v>0</v>
          </cell>
          <cell r="U110">
            <v>65</v>
          </cell>
          <cell r="V110">
            <v>0</v>
          </cell>
          <cell r="W110">
            <v>11122</v>
          </cell>
          <cell r="X110">
            <v>6797</v>
          </cell>
          <cell r="Y110">
            <v>3886</v>
          </cell>
          <cell r="Z110">
            <v>4</v>
          </cell>
          <cell r="AA110">
            <v>0</v>
          </cell>
          <cell r="AB110">
            <v>435</v>
          </cell>
          <cell r="AC110">
            <v>480</v>
          </cell>
          <cell r="AD110">
            <v>0</v>
          </cell>
          <cell r="AE110">
            <v>480</v>
          </cell>
          <cell r="AF110">
            <v>6943</v>
          </cell>
          <cell r="AG110">
            <v>115</v>
          </cell>
          <cell r="AH110">
            <v>0</v>
          </cell>
          <cell r="AI110">
            <v>1230</v>
          </cell>
          <cell r="AJ110">
            <v>0</v>
          </cell>
          <cell r="AK110">
            <v>700</v>
          </cell>
          <cell r="AL110">
            <v>105</v>
          </cell>
          <cell r="AM110">
            <v>0</v>
          </cell>
          <cell r="AN110">
            <v>0</v>
          </cell>
          <cell r="AO110">
            <v>4122</v>
          </cell>
          <cell r="AP110">
            <v>0</v>
          </cell>
          <cell r="AQ110">
            <v>0</v>
          </cell>
          <cell r="AR110">
            <v>433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238</v>
          </cell>
          <cell r="AX110">
            <v>0</v>
          </cell>
          <cell r="AY110">
            <v>0</v>
          </cell>
          <cell r="AZ110">
            <v>0</v>
          </cell>
          <cell r="BA110">
            <v>6165.38</v>
          </cell>
          <cell r="BB110">
            <v>0</v>
          </cell>
          <cell r="BC110">
            <v>6165.38</v>
          </cell>
        </row>
        <row r="111">
          <cell r="C111" t="str">
            <v>MIX113</v>
          </cell>
          <cell r="D111">
            <v>24480</v>
          </cell>
          <cell r="E111">
            <v>11010</v>
          </cell>
          <cell r="F111">
            <v>2550</v>
          </cell>
          <cell r="G111">
            <v>375</v>
          </cell>
          <cell r="H111">
            <v>2175</v>
          </cell>
          <cell r="I111">
            <v>55</v>
          </cell>
          <cell r="J111">
            <v>10865</v>
          </cell>
          <cell r="K111">
            <v>657</v>
          </cell>
          <cell r="L111">
            <v>494</v>
          </cell>
          <cell r="M111">
            <v>494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4017</v>
          </cell>
          <cell r="X111">
            <v>1971</v>
          </cell>
          <cell r="Y111">
            <v>1796</v>
          </cell>
          <cell r="Z111">
            <v>0</v>
          </cell>
          <cell r="AA111">
            <v>0</v>
          </cell>
          <cell r="AB111">
            <v>250</v>
          </cell>
          <cell r="AC111">
            <v>480</v>
          </cell>
          <cell r="AD111">
            <v>0</v>
          </cell>
          <cell r="AE111">
            <v>480</v>
          </cell>
          <cell r="AF111">
            <v>5217</v>
          </cell>
          <cell r="AG111">
            <v>70</v>
          </cell>
          <cell r="AH111">
            <v>0</v>
          </cell>
          <cell r="AI111">
            <v>600</v>
          </cell>
          <cell r="AJ111">
            <v>0</v>
          </cell>
          <cell r="AK111">
            <v>270</v>
          </cell>
          <cell r="AL111">
            <v>0</v>
          </cell>
          <cell r="AM111">
            <v>0</v>
          </cell>
          <cell r="AN111">
            <v>0</v>
          </cell>
          <cell r="AO111">
            <v>4027</v>
          </cell>
          <cell r="AP111">
            <v>0</v>
          </cell>
          <cell r="AQ111">
            <v>0</v>
          </cell>
          <cell r="AR111">
            <v>12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238</v>
          </cell>
          <cell r="AX111">
            <v>0</v>
          </cell>
          <cell r="AY111">
            <v>0</v>
          </cell>
          <cell r="AZ111">
            <v>0</v>
          </cell>
          <cell r="BA111">
            <v>4267.16</v>
          </cell>
          <cell r="BB111">
            <v>0</v>
          </cell>
          <cell r="BC111">
            <v>4267.16</v>
          </cell>
        </row>
        <row r="112">
          <cell r="C112" t="str">
            <v>LMIXSOL1</v>
          </cell>
          <cell r="D112">
            <v>24480</v>
          </cell>
          <cell r="E112">
            <v>15600</v>
          </cell>
          <cell r="F112">
            <v>460</v>
          </cell>
          <cell r="G112">
            <v>100</v>
          </cell>
          <cell r="H112">
            <v>360</v>
          </cell>
          <cell r="I112">
            <v>0</v>
          </cell>
          <cell r="J112">
            <v>8420</v>
          </cell>
          <cell r="K112">
            <v>1769</v>
          </cell>
          <cell r="L112">
            <v>193</v>
          </cell>
          <cell r="M112">
            <v>193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5369</v>
          </cell>
          <cell r="X112">
            <v>3355</v>
          </cell>
          <cell r="Y112">
            <v>1865</v>
          </cell>
          <cell r="Z112">
            <v>4</v>
          </cell>
          <cell r="AA112">
            <v>0</v>
          </cell>
          <cell r="AB112">
            <v>145</v>
          </cell>
          <cell r="AC112">
            <v>0</v>
          </cell>
          <cell r="AD112">
            <v>0</v>
          </cell>
          <cell r="AE112">
            <v>0</v>
          </cell>
          <cell r="AF112">
            <v>1089</v>
          </cell>
          <cell r="AG112">
            <v>45</v>
          </cell>
          <cell r="AH112">
            <v>0</v>
          </cell>
          <cell r="AI112">
            <v>420</v>
          </cell>
          <cell r="AJ112">
            <v>0</v>
          </cell>
          <cell r="AK112">
            <v>240</v>
          </cell>
          <cell r="AL112">
            <v>105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279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932.27</v>
          </cell>
          <cell r="BB112">
            <v>0</v>
          </cell>
          <cell r="BC112">
            <v>932.27</v>
          </cell>
        </row>
        <row r="113">
          <cell r="C113" t="str">
            <v>LMIXSOL2</v>
          </cell>
          <cell r="D113">
            <v>24480</v>
          </cell>
          <cell r="E113">
            <v>21150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3330</v>
          </cell>
          <cell r="K113">
            <v>787</v>
          </cell>
          <cell r="L113">
            <v>105</v>
          </cell>
          <cell r="M113">
            <v>105</v>
          </cell>
          <cell r="N113">
            <v>0</v>
          </cell>
          <cell r="O113">
            <v>0</v>
          </cell>
          <cell r="P113">
            <v>0</v>
          </cell>
          <cell r="Q113">
            <v>65</v>
          </cell>
          <cell r="R113">
            <v>0</v>
          </cell>
          <cell r="S113">
            <v>0</v>
          </cell>
          <cell r="T113">
            <v>0</v>
          </cell>
          <cell r="U113">
            <v>65</v>
          </cell>
          <cell r="V113">
            <v>0</v>
          </cell>
          <cell r="W113">
            <v>1736</v>
          </cell>
          <cell r="X113">
            <v>1471</v>
          </cell>
          <cell r="Y113">
            <v>225</v>
          </cell>
          <cell r="Z113">
            <v>0</v>
          </cell>
          <cell r="AA113">
            <v>0</v>
          </cell>
          <cell r="AB113">
            <v>40</v>
          </cell>
          <cell r="AC113">
            <v>0</v>
          </cell>
          <cell r="AD113">
            <v>0</v>
          </cell>
          <cell r="AE113">
            <v>0</v>
          </cell>
          <cell r="AF113">
            <v>637</v>
          </cell>
          <cell r="AG113">
            <v>0</v>
          </cell>
          <cell r="AH113">
            <v>0</v>
          </cell>
          <cell r="AI113">
            <v>210</v>
          </cell>
          <cell r="AJ113">
            <v>0</v>
          </cell>
          <cell r="AK113">
            <v>190</v>
          </cell>
          <cell r="AL113">
            <v>0</v>
          </cell>
          <cell r="AM113">
            <v>0</v>
          </cell>
          <cell r="AN113">
            <v>0</v>
          </cell>
          <cell r="AO113">
            <v>95</v>
          </cell>
          <cell r="AP113">
            <v>0</v>
          </cell>
          <cell r="AQ113">
            <v>0</v>
          </cell>
          <cell r="AR113">
            <v>142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965.95</v>
          </cell>
          <cell r="BB113">
            <v>0</v>
          </cell>
          <cell r="BC113">
            <v>965.95</v>
          </cell>
        </row>
        <row r="114">
          <cell r="C114" t="str">
            <v>NBL SOL-COATING</v>
          </cell>
          <cell r="D114">
            <v>48960</v>
          </cell>
          <cell r="E114">
            <v>37590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11370</v>
          </cell>
          <cell r="K114">
            <v>4621</v>
          </cell>
          <cell r="L114">
            <v>249</v>
          </cell>
          <cell r="M114">
            <v>214</v>
          </cell>
          <cell r="N114">
            <v>0</v>
          </cell>
          <cell r="O114">
            <v>35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4505</v>
          </cell>
          <cell r="X114">
            <v>1140</v>
          </cell>
          <cell r="Y114">
            <v>2955</v>
          </cell>
          <cell r="Z114">
            <v>0</v>
          </cell>
          <cell r="AA114">
            <v>0</v>
          </cell>
          <cell r="AB114">
            <v>410</v>
          </cell>
          <cell r="AC114">
            <v>0</v>
          </cell>
          <cell r="AD114">
            <v>0</v>
          </cell>
          <cell r="AE114">
            <v>0</v>
          </cell>
          <cell r="AF114">
            <v>1995</v>
          </cell>
          <cell r="AG114">
            <v>0</v>
          </cell>
          <cell r="AH114">
            <v>0</v>
          </cell>
          <cell r="AI114">
            <v>675</v>
          </cell>
          <cell r="AJ114">
            <v>0</v>
          </cell>
          <cell r="AK114">
            <v>490</v>
          </cell>
          <cell r="AL114">
            <v>0</v>
          </cell>
          <cell r="AM114">
            <v>0</v>
          </cell>
          <cell r="AN114">
            <v>0</v>
          </cell>
          <cell r="AO114">
            <v>380</v>
          </cell>
          <cell r="AP114">
            <v>295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105</v>
          </cell>
          <cell r="AX114">
            <v>50</v>
          </cell>
          <cell r="AY114">
            <v>0</v>
          </cell>
          <cell r="AZ114">
            <v>0</v>
          </cell>
          <cell r="BA114">
            <v>2024.19</v>
          </cell>
          <cell r="BB114">
            <v>0.78</v>
          </cell>
          <cell r="BC114">
            <v>2023.41</v>
          </cell>
        </row>
        <row r="115">
          <cell r="C115" t="str">
            <v>COT101</v>
          </cell>
          <cell r="D115">
            <v>24480</v>
          </cell>
          <cell r="E115">
            <v>19290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5190</v>
          </cell>
          <cell r="K115">
            <v>1920</v>
          </cell>
          <cell r="L115">
            <v>85</v>
          </cell>
          <cell r="M115">
            <v>85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2220</v>
          </cell>
          <cell r="X115">
            <v>465</v>
          </cell>
          <cell r="Y115">
            <v>1570</v>
          </cell>
          <cell r="Z115">
            <v>0</v>
          </cell>
          <cell r="AA115">
            <v>0</v>
          </cell>
          <cell r="AB115">
            <v>185</v>
          </cell>
          <cell r="AC115">
            <v>0</v>
          </cell>
          <cell r="AD115">
            <v>0</v>
          </cell>
          <cell r="AE115">
            <v>0</v>
          </cell>
          <cell r="AF115">
            <v>965</v>
          </cell>
          <cell r="AG115">
            <v>0</v>
          </cell>
          <cell r="AH115">
            <v>0</v>
          </cell>
          <cell r="AI115">
            <v>330</v>
          </cell>
          <cell r="AJ115">
            <v>0</v>
          </cell>
          <cell r="AK115">
            <v>200</v>
          </cell>
          <cell r="AL115">
            <v>0</v>
          </cell>
          <cell r="AM115">
            <v>0</v>
          </cell>
          <cell r="AN115">
            <v>0</v>
          </cell>
          <cell r="AO115">
            <v>210</v>
          </cell>
          <cell r="AP115">
            <v>155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70</v>
          </cell>
          <cell r="AX115">
            <v>0</v>
          </cell>
          <cell r="AY115">
            <v>0</v>
          </cell>
          <cell r="AZ115">
            <v>0</v>
          </cell>
          <cell r="BA115">
            <v>444.25</v>
          </cell>
          <cell r="BB115">
            <v>0.27</v>
          </cell>
          <cell r="BC115">
            <v>443.98</v>
          </cell>
        </row>
        <row r="116">
          <cell r="C116" t="str">
            <v>COT102</v>
          </cell>
          <cell r="D116">
            <v>24480</v>
          </cell>
          <cell r="E116">
            <v>18300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6180</v>
          </cell>
          <cell r="K116">
            <v>2701</v>
          </cell>
          <cell r="L116">
            <v>164</v>
          </cell>
          <cell r="M116">
            <v>129</v>
          </cell>
          <cell r="N116">
            <v>0</v>
          </cell>
          <cell r="O116">
            <v>35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2285</v>
          </cell>
          <cell r="X116">
            <v>675</v>
          </cell>
          <cell r="Y116">
            <v>1385</v>
          </cell>
          <cell r="Z116">
            <v>0</v>
          </cell>
          <cell r="AA116">
            <v>0</v>
          </cell>
          <cell r="AB116">
            <v>225</v>
          </cell>
          <cell r="AC116">
            <v>0</v>
          </cell>
          <cell r="AD116">
            <v>0</v>
          </cell>
          <cell r="AE116">
            <v>0</v>
          </cell>
          <cell r="AF116">
            <v>1030</v>
          </cell>
          <cell r="AG116">
            <v>0</v>
          </cell>
          <cell r="AH116">
            <v>0</v>
          </cell>
          <cell r="AI116">
            <v>345</v>
          </cell>
          <cell r="AJ116">
            <v>0</v>
          </cell>
          <cell r="AK116">
            <v>290</v>
          </cell>
          <cell r="AL116">
            <v>0</v>
          </cell>
          <cell r="AM116">
            <v>0</v>
          </cell>
          <cell r="AN116">
            <v>0</v>
          </cell>
          <cell r="AO116">
            <v>170</v>
          </cell>
          <cell r="AP116">
            <v>140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35</v>
          </cell>
          <cell r="AX116">
            <v>50</v>
          </cell>
          <cell r="AY116">
            <v>0</v>
          </cell>
          <cell r="AZ116">
            <v>0</v>
          </cell>
          <cell r="BA116">
            <v>1579.94</v>
          </cell>
          <cell r="BB116">
            <v>0.51</v>
          </cell>
          <cell r="BC116">
            <v>1579.43</v>
          </cell>
        </row>
        <row r="117">
          <cell r="C117" t="str">
            <v>NBL SOL-TABLETING</v>
          </cell>
          <cell r="D117">
            <v>73440</v>
          </cell>
          <cell r="E117">
            <v>43260</v>
          </cell>
          <cell r="F117">
            <v>2110</v>
          </cell>
          <cell r="G117">
            <v>70</v>
          </cell>
          <cell r="H117">
            <v>2040</v>
          </cell>
          <cell r="I117">
            <v>0</v>
          </cell>
          <cell r="J117">
            <v>28070</v>
          </cell>
          <cell r="K117">
            <v>9035</v>
          </cell>
          <cell r="L117">
            <v>2910</v>
          </cell>
          <cell r="M117">
            <v>2540</v>
          </cell>
          <cell r="N117">
            <v>0</v>
          </cell>
          <cell r="O117">
            <v>0</v>
          </cell>
          <cell r="P117">
            <v>370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4595</v>
          </cell>
          <cell r="X117">
            <v>930</v>
          </cell>
          <cell r="Y117">
            <v>2725</v>
          </cell>
          <cell r="Z117">
            <v>135</v>
          </cell>
          <cell r="AA117">
            <v>0</v>
          </cell>
          <cell r="AB117">
            <v>805</v>
          </cell>
          <cell r="AC117">
            <v>925</v>
          </cell>
          <cell r="AD117">
            <v>15</v>
          </cell>
          <cell r="AE117">
            <v>910</v>
          </cell>
          <cell r="AF117">
            <v>10605</v>
          </cell>
          <cell r="AG117">
            <v>0</v>
          </cell>
          <cell r="AH117">
            <v>0</v>
          </cell>
          <cell r="AI117">
            <v>1610</v>
          </cell>
          <cell r="AJ117">
            <v>0</v>
          </cell>
          <cell r="AK117">
            <v>1385</v>
          </cell>
          <cell r="AL117">
            <v>2240</v>
          </cell>
          <cell r="AM117">
            <v>0</v>
          </cell>
          <cell r="AN117">
            <v>0</v>
          </cell>
          <cell r="AO117">
            <v>875</v>
          </cell>
          <cell r="AP117">
            <v>825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90</v>
          </cell>
          <cell r="AV117">
            <v>0</v>
          </cell>
          <cell r="AW117">
            <v>3395</v>
          </cell>
          <cell r="AX117">
            <v>185</v>
          </cell>
          <cell r="AY117">
            <v>0</v>
          </cell>
          <cell r="AZ117">
            <v>0</v>
          </cell>
          <cell r="BA117">
            <v>6938162</v>
          </cell>
          <cell r="BB117">
            <v>1479</v>
          </cell>
          <cell r="BC117">
            <v>6936683</v>
          </cell>
        </row>
        <row r="118">
          <cell r="C118" t="str">
            <v>TAB101</v>
          </cell>
          <cell r="D118">
            <v>24480</v>
          </cell>
          <cell r="E118">
            <v>13590</v>
          </cell>
          <cell r="F118">
            <v>1325</v>
          </cell>
          <cell r="G118">
            <v>0</v>
          </cell>
          <cell r="H118">
            <v>1325</v>
          </cell>
          <cell r="I118">
            <v>0</v>
          </cell>
          <cell r="J118">
            <v>9565</v>
          </cell>
          <cell r="K118">
            <v>2580</v>
          </cell>
          <cell r="L118">
            <v>1000</v>
          </cell>
          <cell r="M118">
            <v>960</v>
          </cell>
          <cell r="N118">
            <v>0</v>
          </cell>
          <cell r="O118">
            <v>0</v>
          </cell>
          <cell r="P118">
            <v>40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1745</v>
          </cell>
          <cell r="X118">
            <v>335</v>
          </cell>
          <cell r="Y118">
            <v>1065</v>
          </cell>
          <cell r="Z118">
            <v>70</v>
          </cell>
          <cell r="AA118">
            <v>0</v>
          </cell>
          <cell r="AB118">
            <v>275</v>
          </cell>
          <cell r="AC118">
            <v>925</v>
          </cell>
          <cell r="AD118">
            <v>15</v>
          </cell>
          <cell r="AE118">
            <v>910</v>
          </cell>
          <cell r="AF118">
            <v>3315</v>
          </cell>
          <cell r="AG118">
            <v>0</v>
          </cell>
          <cell r="AH118">
            <v>0</v>
          </cell>
          <cell r="AI118">
            <v>440</v>
          </cell>
          <cell r="AJ118">
            <v>0</v>
          </cell>
          <cell r="AK118">
            <v>435</v>
          </cell>
          <cell r="AL118">
            <v>1095</v>
          </cell>
          <cell r="AM118">
            <v>0</v>
          </cell>
          <cell r="AN118">
            <v>0</v>
          </cell>
          <cell r="AO118">
            <v>405</v>
          </cell>
          <cell r="AP118">
            <v>195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745</v>
          </cell>
          <cell r="AX118">
            <v>0</v>
          </cell>
          <cell r="AY118">
            <v>0</v>
          </cell>
          <cell r="AZ118">
            <v>0</v>
          </cell>
          <cell r="BA118">
            <v>2607619</v>
          </cell>
          <cell r="BB118">
            <v>932</v>
          </cell>
          <cell r="BC118">
            <v>2606687</v>
          </cell>
        </row>
        <row r="119">
          <cell r="C119" t="str">
            <v>TAB105</v>
          </cell>
          <cell r="D119">
            <v>24480</v>
          </cell>
          <cell r="E119">
            <v>12300</v>
          </cell>
          <cell r="F119">
            <v>140</v>
          </cell>
          <cell r="G119">
            <v>50</v>
          </cell>
          <cell r="H119">
            <v>90</v>
          </cell>
          <cell r="I119">
            <v>0</v>
          </cell>
          <cell r="J119">
            <v>12040</v>
          </cell>
          <cell r="K119">
            <v>4730</v>
          </cell>
          <cell r="L119">
            <v>1160</v>
          </cell>
          <cell r="M119">
            <v>940</v>
          </cell>
          <cell r="N119">
            <v>0</v>
          </cell>
          <cell r="O119">
            <v>0</v>
          </cell>
          <cell r="P119">
            <v>220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1565</v>
          </cell>
          <cell r="X119">
            <v>165</v>
          </cell>
          <cell r="Y119">
            <v>1020</v>
          </cell>
          <cell r="Z119">
            <v>65</v>
          </cell>
          <cell r="AA119">
            <v>0</v>
          </cell>
          <cell r="AB119">
            <v>315</v>
          </cell>
          <cell r="AC119">
            <v>0</v>
          </cell>
          <cell r="AD119">
            <v>0</v>
          </cell>
          <cell r="AE119">
            <v>0</v>
          </cell>
          <cell r="AF119">
            <v>4585</v>
          </cell>
          <cell r="AG119">
            <v>0</v>
          </cell>
          <cell r="AH119">
            <v>0</v>
          </cell>
          <cell r="AI119">
            <v>810</v>
          </cell>
          <cell r="AJ119">
            <v>0</v>
          </cell>
          <cell r="AK119">
            <v>695</v>
          </cell>
          <cell r="AL119">
            <v>710</v>
          </cell>
          <cell r="AM119">
            <v>0</v>
          </cell>
          <cell r="AN119">
            <v>0</v>
          </cell>
          <cell r="AO119">
            <v>470</v>
          </cell>
          <cell r="AP119">
            <v>315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90</v>
          </cell>
          <cell r="AV119">
            <v>0</v>
          </cell>
          <cell r="AW119">
            <v>1495</v>
          </cell>
          <cell r="AX119">
            <v>0</v>
          </cell>
          <cell r="AY119">
            <v>0</v>
          </cell>
          <cell r="AZ119">
            <v>0</v>
          </cell>
          <cell r="BA119">
            <v>2848994</v>
          </cell>
          <cell r="BB119">
            <v>547</v>
          </cell>
          <cell r="BC119">
            <v>2848447</v>
          </cell>
        </row>
        <row r="120">
          <cell r="C120" t="str">
            <v>TAB103</v>
          </cell>
          <cell r="D120">
            <v>24480</v>
          </cell>
          <cell r="E120">
            <v>17370</v>
          </cell>
          <cell r="F120">
            <v>645</v>
          </cell>
          <cell r="G120">
            <v>20</v>
          </cell>
          <cell r="H120">
            <v>625</v>
          </cell>
          <cell r="I120">
            <v>0</v>
          </cell>
          <cell r="J120">
            <v>6465</v>
          </cell>
          <cell r="K120">
            <v>1725</v>
          </cell>
          <cell r="L120">
            <v>750</v>
          </cell>
          <cell r="M120">
            <v>640</v>
          </cell>
          <cell r="N120">
            <v>0</v>
          </cell>
          <cell r="O120">
            <v>0</v>
          </cell>
          <cell r="P120">
            <v>110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1285</v>
          </cell>
          <cell r="X120">
            <v>430</v>
          </cell>
          <cell r="Y120">
            <v>640</v>
          </cell>
          <cell r="Z120">
            <v>0</v>
          </cell>
          <cell r="AA120">
            <v>0</v>
          </cell>
          <cell r="AB120">
            <v>215</v>
          </cell>
          <cell r="AC120">
            <v>0</v>
          </cell>
          <cell r="AD120">
            <v>0</v>
          </cell>
          <cell r="AE120">
            <v>0</v>
          </cell>
          <cell r="AF120">
            <v>2705</v>
          </cell>
          <cell r="AG120">
            <v>0</v>
          </cell>
          <cell r="AH120">
            <v>0</v>
          </cell>
          <cell r="AI120">
            <v>360</v>
          </cell>
          <cell r="AJ120">
            <v>0</v>
          </cell>
          <cell r="AK120">
            <v>255</v>
          </cell>
          <cell r="AL120">
            <v>435</v>
          </cell>
          <cell r="AM120">
            <v>0</v>
          </cell>
          <cell r="AN120">
            <v>0</v>
          </cell>
          <cell r="AO120">
            <v>0</v>
          </cell>
          <cell r="AP120">
            <v>315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1155</v>
          </cell>
          <cell r="AX120">
            <v>185</v>
          </cell>
          <cell r="AY120">
            <v>0</v>
          </cell>
          <cell r="AZ120">
            <v>0</v>
          </cell>
          <cell r="BA120">
            <v>1481549</v>
          </cell>
          <cell r="BB120">
            <v>0</v>
          </cell>
          <cell r="BC120">
            <v>1481549</v>
          </cell>
        </row>
        <row r="121">
          <cell r="C121" t="str">
            <v>NBL SOL-CAPSULE</v>
          </cell>
          <cell r="D121">
            <v>48960</v>
          </cell>
          <cell r="E121">
            <v>42840</v>
          </cell>
          <cell r="F121">
            <v>1009</v>
          </cell>
          <cell r="G121">
            <v>64</v>
          </cell>
          <cell r="H121">
            <v>945</v>
          </cell>
          <cell r="I121">
            <v>0</v>
          </cell>
          <cell r="J121">
            <v>5111</v>
          </cell>
          <cell r="K121">
            <v>1505</v>
          </cell>
          <cell r="L121">
            <v>645</v>
          </cell>
          <cell r="M121">
            <v>645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1616</v>
          </cell>
          <cell r="X121">
            <v>866</v>
          </cell>
          <cell r="Y121">
            <v>555</v>
          </cell>
          <cell r="Z121">
            <v>90</v>
          </cell>
          <cell r="AA121">
            <v>0</v>
          </cell>
          <cell r="AB121">
            <v>105</v>
          </cell>
          <cell r="AC121">
            <v>0</v>
          </cell>
          <cell r="AD121">
            <v>0</v>
          </cell>
          <cell r="AE121">
            <v>0</v>
          </cell>
          <cell r="AF121">
            <v>1345</v>
          </cell>
          <cell r="AG121">
            <v>0</v>
          </cell>
          <cell r="AH121">
            <v>0</v>
          </cell>
          <cell r="AI121">
            <v>240</v>
          </cell>
          <cell r="AJ121">
            <v>0</v>
          </cell>
          <cell r="AK121">
            <v>185</v>
          </cell>
          <cell r="AL121">
            <v>310</v>
          </cell>
          <cell r="AM121">
            <v>0</v>
          </cell>
          <cell r="AN121">
            <v>0</v>
          </cell>
          <cell r="AO121">
            <v>170</v>
          </cell>
          <cell r="AP121">
            <v>80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210</v>
          </cell>
          <cell r="AX121">
            <v>150</v>
          </cell>
          <cell r="AY121">
            <v>0</v>
          </cell>
          <cell r="AZ121">
            <v>0</v>
          </cell>
          <cell r="BA121">
            <v>570050</v>
          </cell>
          <cell r="BB121">
            <v>0</v>
          </cell>
          <cell r="BC121">
            <v>570050</v>
          </cell>
        </row>
        <row r="122">
          <cell r="C122" t="str">
            <v>KAP101</v>
          </cell>
          <cell r="D122">
            <v>24480</v>
          </cell>
          <cell r="E122">
            <v>19890</v>
          </cell>
          <cell r="F122">
            <v>694</v>
          </cell>
          <cell r="G122">
            <v>64</v>
          </cell>
          <cell r="H122">
            <v>630</v>
          </cell>
          <cell r="I122">
            <v>0</v>
          </cell>
          <cell r="J122">
            <v>3896</v>
          </cell>
          <cell r="K122">
            <v>1160</v>
          </cell>
          <cell r="L122">
            <v>510</v>
          </cell>
          <cell r="M122">
            <v>510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1381</v>
          </cell>
          <cell r="X122">
            <v>826</v>
          </cell>
          <cell r="Y122">
            <v>400</v>
          </cell>
          <cell r="Z122">
            <v>90</v>
          </cell>
          <cell r="AA122">
            <v>0</v>
          </cell>
          <cell r="AB122">
            <v>65</v>
          </cell>
          <cell r="AC122">
            <v>0</v>
          </cell>
          <cell r="AD122">
            <v>0</v>
          </cell>
          <cell r="AE122">
            <v>0</v>
          </cell>
          <cell r="AF122">
            <v>845</v>
          </cell>
          <cell r="AG122">
            <v>0</v>
          </cell>
          <cell r="AH122">
            <v>0</v>
          </cell>
          <cell r="AI122">
            <v>210</v>
          </cell>
          <cell r="AJ122">
            <v>0</v>
          </cell>
          <cell r="AK122">
            <v>170</v>
          </cell>
          <cell r="AL122">
            <v>25</v>
          </cell>
          <cell r="AM122">
            <v>0</v>
          </cell>
          <cell r="AN122">
            <v>0</v>
          </cell>
          <cell r="AO122">
            <v>0</v>
          </cell>
          <cell r="AP122">
            <v>80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210</v>
          </cell>
          <cell r="AX122">
            <v>150</v>
          </cell>
          <cell r="AY122">
            <v>0</v>
          </cell>
          <cell r="AZ122">
            <v>0</v>
          </cell>
          <cell r="BA122">
            <v>284946</v>
          </cell>
          <cell r="BB122">
            <v>0</v>
          </cell>
          <cell r="BC122">
            <v>284946</v>
          </cell>
        </row>
        <row r="123">
          <cell r="C123" t="str">
            <v>KAP103</v>
          </cell>
          <cell r="D123">
            <v>24480</v>
          </cell>
          <cell r="E123">
            <v>22950</v>
          </cell>
          <cell r="F123">
            <v>315</v>
          </cell>
          <cell r="G123">
            <v>0</v>
          </cell>
          <cell r="H123">
            <v>315</v>
          </cell>
          <cell r="I123">
            <v>0</v>
          </cell>
          <cell r="J123">
            <v>1215</v>
          </cell>
          <cell r="K123">
            <v>345</v>
          </cell>
          <cell r="L123">
            <v>135</v>
          </cell>
          <cell r="M123">
            <v>135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235</v>
          </cell>
          <cell r="X123">
            <v>40</v>
          </cell>
          <cell r="Y123">
            <v>155</v>
          </cell>
          <cell r="Z123">
            <v>0</v>
          </cell>
          <cell r="AA123">
            <v>0</v>
          </cell>
          <cell r="AB123">
            <v>40</v>
          </cell>
          <cell r="AC123">
            <v>0</v>
          </cell>
          <cell r="AD123">
            <v>0</v>
          </cell>
          <cell r="AE123">
            <v>0</v>
          </cell>
          <cell r="AF123">
            <v>500</v>
          </cell>
          <cell r="AG123">
            <v>0</v>
          </cell>
          <cell r="AH123">
            <v>0</v>
          </cell>
          <cell r="AI123">
            <v>30</v>
          </cell>
          <cell r="AJ123">
            <v>0</v>
          </cell>
          <cell r="AK123">
            <v>15</v>
          </cell>
          <cell r="AL123">
            <v>285</v>
          </cell>
          <cell r="AM123">
            <v>0</v>
          </cell>
          <cell r="AN123">
            <v>0</v>
          </cell>
          <cell r="AO123">
            <v>170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285104</v>
          </cell>
          <cell r="BB123">
            <v>0</v>
          </cell>
          <cell r="BC123">
            <v>285104</v>
          </cell>
        </row>
        <row r="124">
          <cell r="C124" t="str">
            <v>NBL SOL-STRIPPING</v>
          </cell>
          <cell r="D124">
            <v>126720</v>
          </cell>
          <cell r="E124">
            <v>77100</v>
          </cell>
          <cell r="F124">
            <v>645</v>
          </cell>
          <cell r="G124">
            <v>30</v>
          </cell>
          <cell r="H124">
            <v>615</v>
          </cell>
          <cell r="I124">
            <v>0</v>
          </cell>
          <cell r="J124">
            <v>48975</v>
          </cell>
          <cell r="K124">
            <v>17400</v>
          </cell>
          <cell r="L124">
            <v>7650</v>
          </cell>
          <cell r="M124">
            <v>4680</v>
          </cell>
          <cell r="N124">
            <v>0</v>
          </cell>
          <cell r="O124">
            <v>2920</v>
          </cell>
          <cell r="P124">
            <v>50</v>
          </cell>
          <cell r="Q124">
            <v>845</v>
          </cell>
          <cell r="R124">
            <v>595</v>
          </cell>
          <cell r="S124">
            <v>155</v>
          </cell>
          <cell r="T124">
            <v>0</v>
          </cell>
          <cell r="U124">
            <v>0</v>
          </cell>
          <cell r="V124">
            <v>95</v>
          </cell>
          <cell r="W124">
            <v>12270</v>
          </cell>
          <cell r="X124">
            <v>6785</v>
          </cell>
          <cell r="Y124">
            <v>1990</v>
          </cell>
          <cell r="Z124">
            <v>2590</v>
          </cell>
          <cell r="AA124">
            <v>0</v>
          </cell>
          <cell r="AB124">
            <v>905</v>
          </cell>
          <cell r="AC124">
            <v>440</v>
          </cell>
          <cell r="AD124">
            <v>0</v>
          </cell>
          <cell r="AE124">
            <v>440</v>
          </cell>
          <cell r="AF124">
            <v>10370</v>
          </cell>
          <cell r="AG124">
            <v>0</v>
          </cell>
          <cell r="AH124">
            <v>0</v>
          </cell>
          <cell r="AI124">
            <v>3145</v>
          </cell>
          <cell r="AJ124">
            <v>0</v>
          </cell>
          <cell r="AK124">
            <v>2655</v>
          </cell>
          <cell r="AL124">
            <v>585</v>
          </cell>
          <cell r="AM124">
            <v>0</v>
          </cell>
          <cell r="AN124">
            <v>0</v>
          </cell>
          <cell r="AO124">
            <v>0</v>
          </cell>
          <cell r="AP124">
            <v>1810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2065</v>
          </cell>
          <cell r="AX124">
            <v>105</v>
          </cell>
          <cell r="AY124">
            <v>0</v>
          </cell>
          <cell r="AZ124">
            <v>5</v>
          </cell>
          <cell r="BA124">
            <v>10042341</v>
          </cell>
          <cell r="BB124">
            <v>69797</v>
          </cell>
          <cell r="BC124">
            <v>9972544</v>
          </cell>
        </row>
        <row r="125">
          <cell r="C125" t="str">
            <v>STR105</v>
          </cell>
          <cell r="D125">
            <v>24480</v>
          </cell>
          <cell r="E125">
            <v>21180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3300</v>
          </cell>
          <cell r="K125">
            <v>940</v>
          </cell>
          <cell r="L125">
            <v>605</v>
          </cell>
          <cell r="M125">
            <v>410</v>
          </cell>
          <cell r="N125">
            <v>0</v>
          </cell>
          <cell r="O125">
            <v>195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760</v>
          </cell>
          <cell r="X125">
            <v>495</v>
          </cell>
          <cell r="Y125">
            <v>65</v>
          </cell>
          <cell r="Z125">
            <v>155</v>
          </cell>
          <cell r="AA125">
            <v>0</v>
          </cell>
          <cell r="AB125">
            <v>45</v>
          </cell>
          <cell r="AC125">
            <v>0</v>
          </cell>
          <cell r="AD125">
            <v>0</v>
          </cell>
          <cell r="AE125">
            <v>0</v>
          </cell>
          <cell r="AF125">
            <v>995</v>
          </cell>
          <cell r="AG125">
            <v>0</v>
          </cell>
          <cell r="AH125">
            <v>0</v>
          </cell>
          <cell r="AI125">
            <v>210</v>
          </cell>
          <cell r="AJ125">
            <v>0</v>
          </cell>
          <cell r="AK125">
            <v>165</v>
          </cell>
          <cell r="AL125">
            <v>105</v>
          </cell>
          <cell r="AM125">
            <v>0</v>
          </cell>
          <cell r="AN125">
            <v>0</v>
          </cell>
          <cell r="AO125">
            <v>0</v>
          </cell>
          <cell r="AP125">
            <v>120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395</v>
          </cell>
          <cell r="AX125">
            <v>0</v>
          </cell>
          <cell r="AY125">
            <v>0</v>
          </cell>
          <cell r="AZ125">
            <v>0</v>
          </cell>
          <cell r="BA125">
            <v>339387</v>
          </cell>
          <cell r="BB125">
            <v>3135</v>
          </cell>
          <cell r="BC125">
            <v>336252</v>
          </cell>
        </row>
        <row r="126">
          <cell r="C126" t="str">
            <v>STR102</v>
          </cell>
          <cell r="D126">
            <v>25920</v>
          </cell>
          <cell r="E126">
            <v>11460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14460</v>
          </cell>
          <cell r="K126">
            <v>4095</v>
          </cell>
          <cell r="L126">
            <v>2145</v>
          </cell>
          <cell r="M126">
            <v>1460</v>
          </cell>
          <cell r="N126">
            <v>0</v>
          </cell>
          <cell r="O126">
            <v>685</v>
          </cell>
          <cell r="P126">
            <v>0</v>
          </cell>
          <cell r="Q126">
            <v>440</v>
          </cell>
          <cell r="R126">
            <v>355</v>
          </cell>
          <cell r="S126">
            <v>85</v>
          </cell>
          <cell r="T126">
            <v>0</v>
          </cell>
          <cell r="U126">
            <v>0</v>
          </cell>
          <cell r="V126">
            <v>0</v>
          </cell>
          <cell r="W126">
            <v>4130</v>
          </cell>
          <cell r="X126">
            <v>2320</v>
          </cell>
          <cell r="Y126">
            <v>755</v>
          </cell>
          <cell r="Z126">
            <v>845</v>
          </cell>
          <cell r="AA126">
            <v>0</v>
          </cell>
          <cell r="AB126">
            <v>210</v>
          </cell>
          <cell r="AC126">
            <v>435</v>
          </cell>
          <cell r="AD126">
            <v>0</v>
          </cell>
          <cell r="AE126">
            <v>435</v>
          </cell>
          <cell r="AF126">
            <v>3215</v>
          </cell>
          <cell r="AG126">
            <v>0</v>
          </cell>
          <cell r="AH126">
            <v>0</v>
          </cell>
          <cell r="AI126">
            <v>925</v>
          </cell>
          <cell r="AJ126">
            <v>0</v>
          </cell>
          <cell r="AK126">
            <v>805</v>
          </cell>
          <cell r="AL126">
            <v>460</v>
          </cell>
          <cell r="AM126">
            <v>0</v>
          </cell>
          <cell r="AN126">
            <v>0</v>
          </cell>
          <cell r="AO126">
            <v>0</v>
          </cell>
          <cell r="AP126">
            <v>465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560</v>
          </cell>
          <cell r="AX126">
            <v>0</v>
          </cell>
          <cell r="AY126">
            <v>0</v>
          </cell>
          <cell r="AZ126">
            <v>0</v>
          </cell>
          <cell r="BA126">
            <v>4633930</v>
          </cell>
          <cell r="BB126">
            <v>42660</v>
          </cell>
          <cell r="BC126">
            <v>4591270</v>
          </cell>
        </row>
        <row r="127">
          <cell r="C127" t="str">
            <v>STR104</v>
          </cell>
          <cell r="D127">
            <v>24480</v>
          </cell>
          <cell r="E127">
            <v>16410</v>
          </cell>
          <cell r="F127">
            <v>645</v>
          </cell>
          <cell r="G127">
            <v>30</v>
          </cell>
          <cell r="H127">
            <v>615</v>
          </cell>
          <cell r="I127">
            <v>0</v>
          </cell>
          <cell r="J127">
            <v>7425</v>
          </cell>
          <cell r="K127">
            <v>4520</v>
          </cell>
          <cell r="L127">
            <v>95</v>
          </cell>
          <cell r="M127">
            <v>95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1785</v>
          </cell>
          <cell r="X127">
            <v>830</v>
          </cell>
          <cell r="Y127">
            <v>240</v>
          </cell>
          <cell r="Z127">
            <v>505</v>
          </cell>
          <cell r="AA127">
            <v>0</v>
          </cell>
          <cell r="AB127">
            <v>210</v>
          </cell>
          <cell r="AC127">
            <v>0</v>
          </cell>
          <cell r="AD127">
            <v>0</v>
          </cell>
          <cell r="AE127">
            <v>0</v>
          </cell>
          <cell r="AF127">
            <v>1025</v>
          </cell>
          <cell r="AG127">
            <v>0</v>
          </cell>
          <cell r="AH127">
            <v>0</v>
          </cell>
          <cell r="AI127">
            <v>450</v>
          </cell>
          <cell r="AJ127">
            <v>0</v>
          </cell>
          <cell r="AK127">
            <v>225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240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110</v>
          </cell>
          <cell r="AX127">
            <v>0</v>
          </cell>
          <cell r="AY127">
            <v>0</v>
          </cell>
          <cell r="AZ127">
            <v>0</v>
          </cell>
          <cell r="BA127">
            <v>32660</v>
          </cell>
          <cell r="BB127">
            <v>152</v>
          </cell>
          <cell r="BC127">
            <v>32508</v>
          </cell>
        </row>
        <row r="128">
          <cell r="C128" t="str">
            <v>STR103</v>
          </cell>
          <cell r="D128">
            <v>25920</v>
          </cell>
          <cell r="E128">
            <v>17550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8370</v>
          </cell>
          <cell r="K128">
            <v>2310</v>
          </cell>
          <cell r="L128">
            <v>1735</v>
          </cell>
          <cell r="M128">
            <v>1240</v>
          </cell>
          <cell r="N128">
            <v>0</v>
          </cell>
          <cell r="O128">
            <v>445</v>
          </cell>
          <cell r="P128">
            <v>50</v>
          </cell>
          <cell r="Q128">
            <v>235</v>
          </cell>
          <cell r="R128">
            <v>125</v>
          </cell>
          <cell r="S128">
            <v>70</v>
          </cell>
          <cell r="T128">
            <v>0</v>
          </cell>
          <cell r="U128">
            <v>0</v>
          </cell>
          <cell r="V128">
            <v>40</v>
          </cell>
          <cell r="W128">
            <v>2455</v>
          </cell>
          <cell r="X128">
            <v>1580</v>
          </cell>
          <cell r="Y128">
            <v>340</v>
          </cell>
          <cell r="Z128">
            <v>395</v>
          </cell>
          <cell r="AA128">
            <v>0</v>
          </cell>
          <cell r="AB128">
            <v>140</v>
          </cell>
          <cell r="AC128">
            <v>0</v>
          </cell>
          <cell r="AD128">
            <v>0</v>
          </cell>
          <cell r="AE128">
            <v>0</v>
          </cell>
          <cell r="AF128">
            <v>1635</v>
          </cell>
          <cell r="AG128">
            <v>0</v>
          </cell>
          <cell r="AH128">
            <v>0</v>
          </cell>
          <cell r="AI128">
            <v>540</v>
          </cell>
          <cell r="AJ128">
            <v>0</v>
          </cell>
          <cell r="AK128">
            <v>505</v>
          </cell>
          <cell r="AL128">
            <v>20</v>
          </cell>
          <cell r="AM128">
            <v>0</v>
          </cell>
          <cell r="AN128">
            <v>0</v>
          </cell>
          <cell r="AO128">
            <v>0</v>
          </cell>
          <cell r="AP128">
            <v>300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270</v>
          </cell>
          <cell r="AX128">
            <v>0</v>
          </cell>
          <cell r="AY128">
            <v>0</v>
          </cell>
          <cell r="AZ128">
            <v>0</v>
          </cell>
          <cell r="BA128">
            <v>1131644</v>
          </cell>
          <cell r="BB128">
            <v>5680</v>
          </cell>
          <cell r="BC128">
            <v>1125964</v>
          </cell>
        </row>
        <row r="129">
          <cell r="C129" t="str">
            <v>STR101</v>
          </cell>
          <cell r="D129">
            <v>25920</v>
          </cell>
          <cell r="E129">
            <v>10500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15420</v>
          </cell>
          <cell r="K129">
            <v>5535</v>
          </cell>
          <cell r="L129">
            <v>3070</v>
          </cell>
          <cell r="M129">
            <v>1475</v>
          </cell>
          <cell r="N129">
            <v>0</v>
          </cell>
          <cell r="O129">
            <v>1595</v>
          </cell>
          <cell r="P129">
            <v>0</v>
          </cell>
          <cell r="Q129">
            <v>170</v>
          </cell>
          <cell r="R129">
            <v>115</v>
          </cell>
          <cell r="S129">
            <v>0</v>
          </cell>
          <cell r="T129">
            <v>0</v>
          </cell>
          <cell r="U129">
            <v>0</v>
          </cell>
          <cell r="V129">
            <v>55</v>
          </cell>
          <cell r="W129">
            <v>3140</v>
          </cell>
          <cell r="X129">
            <v>1560</v>
          </cell>
          <cell r="Y129">
            <v>590</v>
          </cell>
          <cell r="Z129">
            <v>690</v>
          </cell>
          <cell r="AA129">
            <v>0</v>
          </cell>
          <cell r="AB129">
            <v>300</v>
          </cell>
          <cell r="AC129">
            <v>5</v>
          </cell>
          <cell r="AD129">
            <v>0</v>
          </cell>
          <cell r="AE129">
            <v>5</v>
          </cell>
          <cell r="AF129">
            <v>3500</v>
          </cell>
          <cell r="AG129">
            <v>0</v>
          </cell>
          <cell r="AH129">
            <v>0</v>
          </cell>
          <cell r="AI129">
            <v>1020</v>
          </cell>
          <cell r="AJ129">
            <v>0</v>
          </cell>
          <cell r="AK129">
            <v>955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685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730</v>
          </cell>
          <cell r="AX129">
            <v>105</v>
          </cell>
          <cell r="AY129">
            <v>0</v>
          </cell>
          <cell r="AZ129">
            <v>5</v>
          </cell>
          <cell r="BA129">
            <v>3904720</v>
          </cell>
          <cell r="BB129">
            <v>18170</v>
          </cell>
          <cell r="BC129">
            <v>3886550</v>
          </cell>
        </row>
        <row r="130">
          <cell r="C130" t="str">
            <v>NBL SYR-MIXING</v>
          </cell>
          <cell r="D130">
            <v>24480</v>
          </cell>
          <cell r="E130">
            <v>17280</v>
          </cell>
          <cell r="F130">
            <v>886</v>
          </cell>
          <cell r="G130">
            <v>211</v>
          </cell>
          <cell r="H130">
            <v>675</v>
          </cell>
          <cell r="I130">
            <v>0</v>
          </cell>
          <cell r="J130">
            <v>6314</v>
          </cell>
          <cell r="K130">
            <v>2592</v>
          </cell>
          <cell r="L130">
            <v>222</v>
          </cell>
          <cell r="M130">
            <v>214</v>
          </cell>
          <cell r="N130">
            <v>0</v>
          </cell>
          <cell r="O130">
            <v>8</v>
          </cell>
          <cell r="P130">
            <v>0</v>
          </cell>
          <cell r="Q130">
            <v>82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82</v>
          </cell>
          <cell r="W130">
            <v>1876</v>
          </cell>
          <cell r="X130">
            <v>73</v>
          </cell>
          <cell r="Y130">
            <v>1743</v>
          </cell>
          <cell r="Z130">
            <v>0</v>
          </cell>
          <cell r="AA130">
            <v>0</v>
          </cell>
          <cell r="AB130">
            <v>60</v>
          </cell>
          <cell r="AC130">
            <v>0</v>
          </cell>
          <cell r="AD130">
            <v>0</v>
          </cell>
          <cell r="AE130">
            <v>0</v>
          </cell>
          <cell r="AF130">
            <v>1542</v>
          </cell>
          <cell r="AG130">
            <v>313</v>
          </cell>
          <cell r="AH130">
            <v>0</v>
          </cell>
          <cell r="AI130">
            <v>223</v>
          </cell>
          <cell r="AJ130">
            <v>0</v>
          </cell>
          <cell r="AK130">
            <v>111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571</v>
          </cell>
          <cell r="AT130">
            <v>0</v>
          </cell>
          <cell r="AU130">
            <v>0</v>
          </cell>
          <cell r="AV130">
            <v>0</v>
          </cell>
          <cell r="AW130">
            <v>25</v>
          </cell>
          <cell r="AX130">
            <v>279</v>
          </cell>
          <cell r="AY130">
            <v>0</v>
          </cell>
          <cell r="AZ130">
            <v>20</v>
          </cell>
          <cell r="BA130">
            <v>13489.9</v>
          </cell>
          <cell r="BB130">
            <v>1.2</v>
          </cell>
          <cell r="BC130">
            <v>13488.7</v>
          </cell>
        </row>
        <row r="131">
          <cell r="C131" t="str">
            <v>LMIXSYR1</v>
          </cell>
          <cell r="D131">
            <v>24480</v>
          </cell>
          <cell r="E131">
            <v>17280</v>
          </cell>
          <cell r="F131">
            <v>886</v>
          </cell>
          <cell r="G131">
            <v>211</v>
          </cell>
          <cell r="H131">
            <v>675</v>
          </cell>
          <cell r="I131">
            <v>0</v>
          </cell>
          <cell r="J131">
            <v>6314</v>
          </cell>
          <cell r="K131">
            <v>2592</v>
          </cell>
          <cell r="L131">
            <v>222</v>
          </cell>
          <cell r="M131">
            <v>214</v>
          </cell>
          <cell r="N131">
            <v>0</v>
          </cell>
          <cell r="O131">
            <v>8</v>
          </cell>
          <cell r="P131">
            <v>0</v>
          </cell>
          <cell r="Q131">
            <v>82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82</v>
          </cell>
          <cell r="W131">
            <v>1876</v>
          </cell>
          <cell r="X131">
            <v>73</v>
          </cell>
          <cell r="Y131">
            <v>1743</v>
          </cell>
          <cell r="Z131">
            <v>0</v>
          </cell>
          <cell r="AA131">
            <v>0</v>
          </cell>
          <cell r="AB131">
            <v>60</v>
          </cell>
          <cell r="AC131">
            <v>0</v>
          </cell>
          <cell r="AD131">
            <v>0</v>
          </cell>
          <cell r="AE131">
            <v>0</v>
          </cell>
          <cell r="AF131">
            <v>1542</v>
          </cell>
          <cell r="AG131">
            <v>313</v>
          </cell>
          <cell r="AH131">
            <v>0</v>
          </cell>
          <cell r="AI131">
            <v>223</v>
          </cell>
          <cell r="AJ131">
            <v>0</v>
          </cell>
          <cell r="AK131">
            <v>111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571</v>
          </cell>
          <cell r="AT131">
            <v>0</v>
          </cell>
          <cell r="AU131">
            <v>0</v>
          </cell>
          <cell r="AV131">
            <v>0</v>
          </cell>
          <cell r="AW131">
            <v>25</v>
          </cell>
          <cell r="AX131">
            <v>279</v>
          </cell>
          <cell r="AY131">
            <v>0</v>
          </cell>
          <cell r="AZ131">
            <v>20</v>
          </cell>
          <cell r="BA131">
            <v>13489.9</v>
          </cell>
          <cell r="BB131">
            <v>1.2</v>
          </cell>
          <cell r="BC131">
            <v>13488.7</v>
          </cell>
        </row>
        <row r="132">
          <cell r="C132" t="str">
            <v>NBL SYR-FILLING</v>
          </cell>
          <cell r="D132">
            <v>48960</v>
          </cell>
          <cell r="E132">
            <v>34230</v>
          </cell>
          <cell r="F132">
            <v>1140</v>
          </cell>
          <cell r="G132">
            <v>0</v>
          </cell>
          <cell r="H132">
            <v>1140</v>
          </cell>
          <cell r="I132">
            <v>0</v>
          </cell>
          <cell r="J132">
            <v>13590</v>
          </cell>
          <cell r="K132">
            <v>3845</v>
          </cell>
          <cell r="L132">
            <v>825</v>
          </cell>
          <cell r="M132">
            <v>555</v>
          </cell>
          <cell r="N132">
            <v>0</v>
          </cell>
          <cell r="O132">
            <v>240</v>
          </cell>
          <cell r="P132">
            <v>30</v>
          </cell>
          <cell r="Q132">
            <v>665</v>
          </cell>
          <cell r="R132">
            <v>665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3555</v>
          </cell>
          <cell r="X132">
            <v>620</v>
          </cell>
          <cell r="Y132">
            <v>1355</v>
          </cell>
          <cell r="Z132">
            <v>0</v>
          </cell>
          <cell r="AA132">
            <v>0</v>
          </cell>
          <cell r="AB132">
            <v>1580</v>
          </cell>
          <cell r="AC132">
            <v>0</v>
          </cell>
          <cell r="AD132">
            <v>0</v>
          </cell>
          <cell r="AE132">
            <v>0</v>
          </cell>
          <cell r="AF132">
            <v>4700</v>
          </cell>
          <cell r="AG132">
            <v>0</v>
          </cell>
          <cell r="AH132">
            <v>0</v>
          </cell>
          <cell r="AI132">
            <v>820</v>
          </cell>
          <cell r="AJ132">
            <v>20</v>
          </cell>
          <cell r="AK132">
            <v>660</v>
          </cell>
          <cell r="AL132">
            <v>90</v>
          </cell>
          <cell r="AM132">
            <v>0</v>
          </cell>
          <cell r="AN132">
            <v>0</v>
          </cell>
          <cell r="AO132">
            <v>2990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30</v>
          </cell>
          <cell r="AX132">
            <v>90</v>
          </cell>
          <cell r="AY132">
            <v>0</v>
          </cell>
          <cell r="AZ132">
            <v>0</v>
          </cell>
          <cell r="BA132">
            <v>189950</v>
          </cell>
          <cell r="BB132">
            <v>289</v>
          </cell>
          <cell r="BC132">
            <v>189661</v>
          </cell>
        </row>
        <row r="133">
          <cell r="C133" t="str">
            <v>SYR109</v>
          </cell>
          <cell r="D133">
            <v>24480</v>
          </cell>
          <cell r="E133">
            <v>13650</v>
          </cell>
          <cell r="F133">
            <v>630</v>
          </cell>
          <cell r="G133">
            <v>0</v>
          </cell>
          <cell r="H133">
            <v>630</v>
          </cell>
          <cell r="I133">
            <v>0</v>
          </cell>
          <cell r="J133">
            <v>10200</v>
          </cell>
          <cell r="K133">
            <v>2920</v>
          </cell>
          <cell r="L133">
            <v>740</v>
          </cell>
          <cell r="M133">
            <v>510</v>
          </cell>
          <cell r="N133">
            <v>0</v>
          </cell>
          <cell r="O133">
            <v>200</v>
          </cell>
          <cell r="P133">
            <v>30</v>
          </cell>
          <cell r="Q133">
            <v>240</v>
          </cell>
          <cell r="R133">
            <v>240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2830</v>
          </cell>
          <cell r="X133">
            <v>540</v>
          </cell>
          <cell r="Y133">
            <v>1145</v>
          </cell>
          <cell r="Z133">
            <v>0</v>
          </cell>
          <cell r="AA133">
            <v>0</v>
          </cell>
          <cell r="AB133">
            <v>1145</v>
          </cell>
          <cell r="AC133">
            <v>0</v>
          </cell>
          <cell r="AD133">
            <v>0</v>
          </cell>
          <cell r="AE133">
            <v>0</v>
          </cell>
          <cell r="AF133">
            <v>3470</v>
          </cell>
          <cell r="AG133">
            <v>0</v>
          </cell>
          <cell r="AH133">
            <v>0</v>
          </cell>
          <cell r="AI133">
            <v>640</v>
          </cell>
          <cell r="AJ133">
            <v>20</v>
          </cell>
          <cell r="AK133">
            <v>540</v>
          </cell>
          <cell r="AL133">
            <v>90</v>
          </cell>
          <cell r="AM133">
            <v>0</v>
          </cell>
          <cell r="AN133">
            <v>0</v>
          </cell>
          <cell r="AO133">
            <v>2060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30</v>
          </cell>
          <cell r="AX133">
            <v>90</v>
          </cell>
          <cell r="AY133">
            <v>0</v>
          </cell>
          <cell r="AZ133">
            <v>0</v>
          </cell>
          <cell r="BA133">
            <v>145197</v>
          </cell>
          <cell r="BB133">
            <v>259</v>
          </cell>
          <cell r="BC133">
            <v>144938</v>
          </cell>
        </row>
        <row r="134">
          <cell r="C134" t="str">
            <v>SYR110</v>
          </cell>
          <cell r="D134">
            <v>24480</v>
          </cell>
          <cell r="E134">
            <v>20580</v>
          </cell>
          <cell r="F134">
            <v>510</v>
          </cell>
          <cell r="G134">
            <v>0</v>
          </cell>
          <cell r="H134">
            <v>510</v>
          </cell>
          <cell r="I134">
            <v>0</v>
          </cell>
          <cell r="J134">
            <v>3390</v>
          </cell>
          <cell r="K134">
            <v>925</v>
          </cell>
          <cell r="L134">
            <v>85</v>
          </cell>
          <cell r="M134">
            <v>45</v>
          </cell>
          <cell r="N134">
            <v>0</v>
          </cell>
          <cell r="O134">
            <v>40</v>
          </cell>
          <cell r="P134">
            <v>0</v>
          </cell>
          <cell r="Q134">
            <v>425</v>
          </cell>
          <cell r="R134">
            <v>425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725</v>
          </cell>
          <cell r="X134">
            <v>80</v>
          </cell>
          <cell r="Y134">
            <v>210</v>
          </cell>
          <cell r="Z134">
            <v>0</v>
          </cell>
          <cell r="AA134">
            <v>0</v>
          </cell>
          <cell r="AB134">
            <v>435</v>
          </cell>
          <cell r="AC134">
            <v>0</v>
          </cell>
          <cell r="AD134">
            <v>0</v>
          </cell>
          <cell r="AE134">
            <v>0</v>
          </cell>
          <cell r="AF134">
            <v>1230</v>
          </cell>
          <cell r="AG134">
            <v>0</v>
          </cell>
          <cell r="AH134">
            <v>0</v>
          </cell>
          <cell r="AI134">
            <v>180</v>
          </cell>
          <cell r="AJ134">
            <v>0</v>
          </cell>
          <cell r="AK134">
            <v>120</v>
          </cell>
          <cell r="AL134">
            <v>0</v>
          </cell>
          <cell r="AM134">
            <v>0</v>
          </cell>
          <cell r="AN134">
            <v>0</v>
          </cell>
          <cell r="AO134">
            <v>930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44753</v>
          </cell>
          <cell r="BB134">
            <v>30</v>
          </cell>
          <cell r="BC134">
            <v>44723</v>
          </cell>
        </row>
        <row r="135">
          <cell r="C135" t="str">
            <v>NBL INJ-MIXING</v>
          </cell>
          <cell r="D135">
            <v>24480</v>
          </cell>
          <cell r="E135">
            <v>17665</v>
          </cell>
          <cell r="F135">
            <v>240</v>
          </cell>
          <cell r="G135">
            <v>0</v>
          </cell>
          <cell r="H135">
            <v>240</v>
          </cell>
          <cell r="I135">
            <v>0</v>
          </cell>
          <cell r="J135">
            <v>6575</v>
          </cell>
          <cell r="K135">
            <v>2152</v>
          </cell>
          <cell r="L135">
            <v>165</v>
          </cell>
          <cell r="M135">
            <v>165</v>
          </cell>
          <cell r="N135">
            <v>0</v>
          </cell>
          <cell r="O135">
            <v>0</v>
          </cell>
          <cell r="P135">
            <v>0</v>
          </cell>
          <cell r="Q135">
            <v>170</v>
          </cell>
          <cell r="R135">
            <v>0</v>
          </cell>
          <cell r="S135">
            <v>0</v>
          </cell>
          <cell r="T135">
            <v>0</v>
          </cell>
          <cell r="U135">
            <v>170</v>
          </cell>
          <cell r="V135">
            <v>0</v>
          </cell>
          <cell r="W135">
            <v>2025</v>
          </cell>
          <cell r="X135">
            <v>475</v>
          </cell>
          <cell r="Y135">
            <v>1417</v>
          </cell>
          <cell r="Z135">
            <v>0</v>
          </cell>
          <cell r="AA135">
            <v>133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2063</v>
          </cell>
          <cell r="AG135">
            <v>0</v>
          </cell>
          <cell r="AH135">
            <v>0</v>
          </cell>
          <cell r="AI135">
            <v>500</v>
          </cell>
          <cell r="AJ135">
            <v>0</v>
          </cell>
          <cell r="AK135">
            <v>285</v>
          </cell>
          <cell r="AL135">
            <v>0</v>
          </cell>
          <cell r="AM135">
            <v>50</v>
          </cell>
          <cell r="AN135">
            <v>0</v>
          </cell>
          <cell r="AO135">
            <v>0</v>
          </cell>
          <cell r="AP135">
            <v>55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1113</v>
          </cell>
          <cell r="AX135">
            <v>60</v>
          </cell>
          <cell r="AY135">
            <v>0</v>
          </cell>
          <cell r="AZ135">
            <v>0</v>
          </cell>
          <cell r="BA135">
            <v>860</v>
          </cell>
          <cell r="BB135">
            <v>0</v>
          </cell>
          <cell r="BC135">
            <v>860</v>
          </cell>
        </row>
        <row r="136">
          <cell r="C136" t="str">
            <v>LMIXINJ1</v>
          </cell>
          <cell r="D136">
            <v>24480</v>
          </cell>
          <cell r="E136">
            <v>17665</v>
          </cell>
          <cell r="F136">
            <v>240</v>
          </cell>
          <cell r="G136">
            <v>0</v>
          </cell>
          <cell r="H136">
            <v>240</v>
          </cell>
          <cell r="I136">
            <v>0</v>
          </cell>
          <cell r="J136">
            <v>6575</v>
          </cell>
          <cell r="K136">
            <v>2152</v>
          </cell>
          <cell r="L136">
            <v>165</v>
          </cell>
          <cell r="M136">
            <v>165</v>
          </cell>
          <cell r="N136">
            <v>0</v>
          </cell>
          <cell r="O136">
            <v>0</v>
          </cell>
          <cell r="P136">
            <v>0</v>
          </cell>
          <cell r="Q136">
            <v>170</v>
          </cell>
          <cell r="R136">
            <v>0</v>
          </cell>
          <cell r="S136">
            <v>0</v>
          </cell>
          <cell r="T136">
            <v>0</v>
          </cell>
          <cell r="U136">
            <v>170</v>
          </cell>
          <cell r="V136">
            <v>0</v>
          </cell>
          <cell r="W136">
            <v>2025</v>
          </cell>
          <cell r="X136">
            <v>475</v>
          </cell>
          <cell r="Y136">
            <v>1417</v>
          </cell>
          <cell r="Z136">
            <v>0</v>
          </cell>
          <cell r="AA136">
            <v>133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2063</v>
          </cell>
          <cell r="AG136">
            <v>0</v>
          </cell>
          <cell r="AH136">
            <v>0</v>
          </cell>
          <cell r="AI136">
            <v>500</v>
          </cell>
          <cell r="AJ136">
            <v>0</v>
          </cell>
          <cell r="AK136">
            <v>285</v>
          </cell>
          <cell r="AL136">
            <v>0</v>
          </cell>
          <cell r="AM136">
            <v>50</v>
          </cell>
          <cell r="AN136">
            <v>0</v>
          </cell>
          <cell r="AO136">
            <v>0</v>
          </cell>
          <cell r="AP136">
            <v>55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1113</v>
          </cell>
          <cell r="AX136">
            <v>60</v>
          </cell>
          <cell r="AY136">
            <v>0</v>
          </cell>
          <cell r="AZ136">
            <v>0</v>
          </cell>
          <cell r="BA136">
            <v>860</v>
          </cell>
          <cell r="BB136">
            <v>0</v>
          </cell>
          <cell r="BC136">
            <v>860</v>
          </cell>
        </row>
        <row r="137">
          <cell r="C137" t="str">
            <v>NBL INJ-FILLING</v>
          </cell>
          <cell r="D137">
            <v>48960</v>
          </cell>
          <cell r="E137">
            <v>20010</v>
          </cell>
          <cell r="F137">
            <v>2365</v>
          </cell>
          <cell r="G137">
            <v>265</v>
          </cell>
          <cell r="H137">
            <v>2100</v>
          </cell>
          <cell r="I137">
            <v>28</v>
          </cell>
          <cell r="J137">
            <v>26557</v>
          </cell>
          <cell r="K137">
            <v>10912</v>
          </cell>
          <cell r="L137">
            <v>2351</v>
          </cell>
          <cell r="M137">
            <v>1965</v>
          </cell>
          <cell r="N137">
            <v>188</v>
          </cell>
          <cell r="O137">
            <v>187</v>
          </cell>
          <cell r="P137">
            <v>11</v>
          </cell>
          <cell r="Q137">
            <v>476</v>
          </cell>
          <cell r="R137">
            <v>60</v>
          </cell>
          <cell r="S137">
            <v>56</v>
          </cell>
          <cell r="T137">
            <v>0</v>
          </cell>
          <cell r="U137">
            <v>75</v>
          </cell>
          <cell r="V137">
            <v>285</v>
          </cell>
          <cell r="W137">
            <v>5410</v>
          </cell>
          <cell r="X137">
            <v>1135</v>
          </cell>
          <cell r="Y137">
            <v>3950</v>
          </cell>
          <cell r="Z137">
            <v>0</v>
          </cell>
          <cell r="AA137">
            <v>0</v>
          </cell>
          <cell r="AB137">
            <v>325</v>
          </cell>
          <cell r="AC137">
            <v>0</v>
          </cell>
          <cell r="AD137">
            <v>0</v>
          </cell>
          <cell r="AE137">
            <v>0</v>
          </cell>
          <cell r="AF137">
            <v>7408</v>
          </cell>
          <cell r="AG137">
            <v>0</v>
          </cell>
          <cell r="AH137">
            <v>0</v>
          </cell>
          <cell r="AI137">
            <v>1765</v>
          </cell>
          <cell r="AJ137">
            <v>0</v>
          </cell>
          <cell r="AK137">
            <v>1585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510</v>
          </cell>
          <cell r="AQ137">
            <v>0</v>
          </cell>
          <cell r="AR137">
            <v>0</v>
          </cell>
          <cell r="AS137">
            <v>3294</v>
          </cell>
          <cell r="AT137">
            <v>0</v>
          </cell>
          <cell r="AU137">
            <v>0</v>
          </cell>
          <cell r="AV137">
            <v>0</v>
          </cell>
          <cell r="AW137">
            <v>254</v>
          </cell>
          <cell r="AX137">
            <v>0</v>
          </cell>
          <cell r="AY137">
            <v>0</v>
          </cell>
          <cell r="AZ137">
            <v>0</v>
          </cell>
          <cell r="BA137">
            <v>1107542</v>
          </cell>
          <cell r="BB137">
            <v>165</v>
          </cell>
          <cell r="BC137">
            <v>1107377</v>
          </cell>
        </row>
        <row r="138">
          <cell r="C138" t="str">
            <v>GINLINE3</v>
          </cell>
          <cell r="D138">
            <v>24480</v>
          </cell>
          <cell r="E138">
            <v>13740</v>
          </cell>
          <cell r="F138">
            <v>1220</v>
          </cell>
          <cell r="G138">
            <v>60</v>
          </cell>
          <cell r="H138">
            <v>1160</v>
          </cell>
          <cell r="I138">
            <v>28</v>
          </cell>
          <cell r="J138">
            <v>9492</v>
          </cell>
          <cell r="K138">
            <v>2170</v>
          </cell>
          <cell r="L138">
            <v>1141</v>
          </cell>
          <cell r="M138">
            <v>945</v>
          </cell>
          <cell r="N138">
            <v>123</v>
          </cell>
          <cell r="O138">
            <v>62</v>
          </cell>
          <cell r="P138">
            <v>11</v>
          </cell>
          <cell r="Q138">
            <v>176</v>
          </cell>
          <cell r="R138">
            <v>60</v>
          </cell>
          <cell r="S138">
            <v>56</v>
          </cell>
          <cell r="T138">
            <v>0</v>
          </cell>
          <cell r="U138">
            <v>60</v>
          </cell>
          <cell r="V138">
            <v>0</v>
          </cell>
          <cell r="W138">
            <v>2950</v>
          </cell>
          <cell r="X138">
            <v>767</v>
          </cell>
          <cell r="Y138">
            <v>1858</v>
          </cell>
          <cell r="Z138">
            <v>0</v>
          </cell>
          <cell r="AA138">
            <v>0</v>
          </cell>
          <cell r="AB138">
            <v>325</v>
          </cell>
          <cell r="AC138">
            <v>0</v>
          </cell>
          <cell r="AD138">
            <v>0</v>
          </cell>
          <cell r="AE138">
            <v>0</v>
          </cell>
          <cell r="AF138">
            <v>3055</v>
          </cell>
          <cell r="AG138">
            <v>0</v>
          </cell>
          <cell r="AH138">
            <v>0</v>
          </cell>
          <cell r="AI138">
            <v>630</v>
          </cell>
          <cell r="AJ138">
            <v>0</v>
          </cell>
          <cell r="AK138">
            <v>665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225</v>
          </cell>
          <cell r="AQ138">
            <v>0</v>
          </cell>
          <cell r="AR138">
            <v>0</v>
          </cell>
          <cell r="AS138">
            <v>1521</v>
          </cell>
          <cell r="AT138">
            <v>0</v>
          </cell>
          <cell r="AU138">
            <v>0</v>
          </cell>
          <cell r="AV138">
            <v>0</v>
          </cell>
          <cell r="AW138">
            <v>14</v>
          </cell>
          <cell r="AX138">
            <v>0</v>
          </cell>
          <cell r="AY138">
            <v>0</v>
          </cell>
          <cell r="AZ138">
            <v>0</v>
          </cell>
          <cell r="BA138">
            <v>375039</v>
          </cell>
          <cell r="BB138">
            <v>0</v>
          </cell>
          <cell r="BC138">
            <v>375039</v>
          </cell>
        </row>
        <row r="139">
          <cell r="C139" t="str">
            <v>GINLINE4</v>
          </cell>
          <cell r="D139">
            <v>24480</v>
          </cell>
          <cell r="E139">
            <v>6270</v>
          </cell>
          <cell r="F139">
            <v>1145</v>
          </cell>
          <cell r="G139">
            <v>205</v>
          </cell>
          <cell r="H139">
            <v>940</v>
          </cell>
          <cell r="I139">
            <v>0</v>
          </cell>
          <cell r="J139">
            <v>17065</v>
          </cell>
          <cell r="K139">
            <v>8742</v>
          </cell>
          <cell r="L139">
            <v>1210</v>
          </cell>
          <cell r="M139">
            <v>1020</v>
          </cell>
          <cell r="N139">
            <v>65</v>
          </cell>
          <cell r="O139">
            <v>125</v>
          </cell>
          <cell r="P139">
            <v>0</v>
          </cell>
          <cell r="Q139">
            <v>300</v>
          </cell>
          <cell r="R139">
            <v>0</v>
          </cell>
          <cell r="S139">
            <v>0</v>
          </cell>
          <cell r="T139">
            <v>0</v>
          </cell>
          <cell r="U139">
            <v>15</v>
          </cell>
          <cell r="V139">
            <v>285</v>
          </cell>
          <cell r="W139">
            <v>2460</v>
          </cell>
          <cell r="X139">
            <v>368</v>
          </cell>
          <cell r="Y139">
            <v>2092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4353</v>
          </cell>
          <cell r="AG139">
            <v>0</v>
          </cell>
          <cell r="AH139">
            <v>0</v>
          </cell>
          <cell r="AI139">
            <v>1135</v>
          </cell>
          <cell r="AJ139">
            <v>0</v>
          </cell>
          <cell r="AK139">
            <v>920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285</v>
          </cell>
          <cell r="AQ139">
            <v>0</v>
          </cell>
          <cell r="AR139">
            <v>0</v>
          </cell>
          <cell r="AS139">
            <v>1773</v>
          </cell>
          <cell r="AT139">
            <v>0</v>
          </cell>
          <cell r="AU139">
            <v>0</v>
          </cell>
          <cell r="AV139">
            <v>0</v>
          </cell>
          <cell r="AW139">
            <v>240</v>
          </cell>
          <cell r="AX139">
            <v>0</v>
          </cell>
          <cell r="AY139">
            <v>0</v>
          </cell>
          <cell r="AZ139">
            <v>0</v>
          </cell>
          <cell r="BA139">
            <v>732503</v>
          </cell>
          <cell r="BB139">
            <v>165</v>
          </cell>
          <cell r="BC139">
            <v>732338</v>
          </cell>
        </row>
        <row r="140">
          <cell r="C140" t="str">
            <v>NBL INJ-STERILIZATION</v>
          </cell>
          <cell r="D140">
            <v>73440</v>
          </cell>
          <cell r="E140">
            <v>29297</v>
          </cell>
          <cell r="F140">
            <v>7202</v>
          </cell>
          <cell r="G140">
            <v>4972</v>
          </cell>
          <cell r="H140">
            <v>2230</v>
          </cell>
          <cell r="I140">
            <v>125</v>
          </cell>
          <cell r="J140">
            <v>36816</v>
          </cell>
          <cell r="K140">
            <v>17951</v>
          </cell>
          <cell r="L140">
            <v>667</v>
          </cell>
          <cell r="M140">
            <v>601</v>
          </cell>
          <cell r="N140">
            <v>59</v>
          </cell>
          <cell r="O140">
            <v>0</v>
          </cell>
          <cell r="P140">
            <v>7</v>
          </cell>
          <cell r="Q140">
            <v>92</v>
          </cell>
          <cell r="R140">
            <v>0</v>
          </cell>
          <cell r="S140">
            <v>0</v>
          </cell>
          <cell r="T140">
            <v>0</v>
          </cell>
          <cell r="U140">
            <v>92</v>
          </cell>
          <cell r="V140">
            <v>0</v>
          </cell>
          <cell r="W140">
            <v>8038</v>
          </cell>
          <cell r="X140">
            <v>6325</v>
          </cell>
          <cell r="Y140">
            <v>1210</v>
          </cell>
          <cell r="Z140">
            <v>58</v>
          </cell>
          <cell r="AA140">
            <v>0</v>
          </cell>
          <cell r="AB140">
            <v>445</v>
          </cell>
          <cell r="AC140">
            <v>0</v>
          </cell>
          <cell r="AD140">
            <v>0</v>
          </cell>
          <cell r="AE140">
            <v>0</v>
          </cell>
          <cell r="AF140">
            <v>10068</v>
          </cell>
          <cell r="AG140">
            <v>0</v>
          </cell>
          <cell r="AH140">
            <v>0</v>
          </cell>
          <cell r="AI140">
            <v>849</v>
          </cell>
          <cell r="AJ140">
            <v>60</v>
          </cell>
          <cell r="AK140">
            <v>538</v>
          </cell>
          <cell r="AL140">
            <v>2111</v>
          </cell>
          <cell r="AM140">
            <v>0</v>
          </cell>
          <cell r="AN140">
            <v>25</v>
          </cell>
          <cell r="AO140">
            <v>6250</v>
          </cell>
          <cell r="AP140">
            <v>195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40</v>
          </cell>
          <cell r="AX140">
            <v>0</v>
          </cell>
          <cell r="AY140">
            <v>0</v>
          </cell>
          <cell r="AZ140">
            <v>0</v>
          </cell>
          <cell r="BA140">
            <v>36584</v>
          </cell>
          <cell r="BB140">
            <v>0</v>
          </cell>
          <cell r="BC140">
            <v>36584</v>
          </cell>
        </row>
        <row r="141">
          <cell r="C141" t="str">
            <v>INJ105</v>
          </cell>
          <cell r="D141">
            <v>24480</v>
          </cell>
          <cell r="E141">
            <v>6360</v>
          </cell>
          <cell r="F141">
            <v>4665</v>
          </cell>
          <cell r="G141">
            <v>4029</v>
          </cell>
          <cell r="H141">
            <v>636</v>
          </cell>
          <cell r="I141">
            <v>0</v>
          </cell>
          <cell r="J141">
            <v>13455</v>
          </cell>
          <cell r="K141">
            <v>5759</v>
          </cell>
          <cell r="L141">
            <v>174</v>
          </cell>
          <cell r="M141">
            <v>174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1820</v>
          </cell>
          <cell r="X141">
            <v>793</v>
          </cell>
          <cell r="Y141">
            <v>767</v>
          </cell>
          <cell r="Z141">
            <v>0</v>
          </cell>
          <cell r="AA141">
            <v>0</v>
          </cell>
          <cell r="AB141">
            <v>260</v>
          </cell>
          <cell r="AC141">
            <v>0</v>
          </cell>
          <cell r="AD141">
            <v>0</v>
          </cell>
          <cell r="AE141">
            <v>0</v>
          </cell>
          <cell r="AF141">
            <v>5702</v>
          </cell>
          <cell r="AG141">
            <v>0</v>
          </cell>
          <cell r="AH141">
            <v>0</v>
          </cell>
          <cell r="AI141">
            <v>337</v>
          </cell>
          <cell r="AJ141">
            <v>0</v>
          </cell>
          <cell r="AK141">
            <v>135</v>
          </cell>
          <cell r="AL141">
            <v>0</v>
          </cell>
          <cell r="AM141">
            <v>0</v>
          </cell>
          <cell r="AN141">
            <v>0</v>
          </cell>
          <cell r="AO141">
            <v>5230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564</v>
          </cell>
          <cell r="BB141">
            <v>0</v>
          </cell>
          <cell r="BC141">
            <v>564</v>
          </cell>
        </row>
        <row r="142">
          <cell r="C142" t="str">
            <v>INJ106</v>
          </cell>
          <cell r="D142">
            <v>24480</v>
          </cell>
          <cell r="E142">
            <v>6827</v>
          </cell>
          <cell r="F142">
            <v>1062</v>
          </cell>
          <cell r="G142">
            <v>793</v>
          </cell>
          <cell r="H142">
            <v>269</v>
          </cell>
          <cell r="I142">
            <v>0</v>
          </cell>
          <cell r="J142">
            <v>16591</v>
          </cell>
          <cell r="K142">
            <v>11174</v>
          </cell>
          <cell r="L142">
            <v>89</v>
          </cell>
          <cell r="M142">
            <v>89</v>
          </cell>
          <cell r="N142">
            <v>0</v>
          </cell>
          <cell r="O142">
            <v>0</v>
          </cell>
          <cell r="P142">
            <v>0</v>
          </cell>
          <cell r="Q142">
            <v>61</v>
          </cell>
          <cell r="R142">
            <v>0</v>
          </cell>
          <cell r="S142">
            <v>0</v>
          </cell>
          <cell r="T142">
            <v>0</v>
          </cell>
          <cell r="U142">
            <v>61</v>
          </cell>
          <cell r="V142">
            <v>0</v>
          </cell>
          <cell r="W142">
            <v>4814</v>
          </cell>
          <cell r="X142">
            <v>4591</v>
          </cell>
          <cell r="Y142">
            <v>223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453</v>
          </cell>
          <cell r="AG142">
            <v>0</v>
          </cell>
          <cell r="AH142">
            <v>0</v>
          </cell>
          <cell r="AI142">
            <v>333</v>
          </cell>
          <cell r="AJ142">
            <v>0</v>
          </cell>
          <cell r="AK142">
            <v>120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814</v>
          </cell>
          <cell r="BB142">
            <v>0</v>
          </cell>
          <cell r="BC142">
            <v>814</v>
          </cell>
        </row>
        <row r="143">
          <cell r="C143" t="str">
            <v>INJ107</v>
          </cell>
          <cell r="D143">
            <v>24480</v>
          </cell>
          <cell r="E143">
            <v>16110</v>
          </cell>
          <cell r="F143">
            <v>1475</v>
          </cell>
          <cell r="G143">
            <v>150</v>
          </cell>
          <cell r="H143">
            <v>1325</v>
          </cell>
          <cell r="I143">
            <v>125</v>
          </cell>
          <cell r="J143">
            <v>6770</v>
          </cell>
          <cell r="K143">
            <v>1018</v>
          </cell>
          <cell r="L143">
            <v>404</v>
          </cell>
          <cell r="M143">
            <v>338</v>
          </cell>
          <cell r="N143">
            <v>59</v>
          </cell>
          <cell r="O143">
            <v>0</v>
          </cell>
          <cell r="P143">
            <v>7</v>
          </cell>
          <cell r="Q143">
            <v>31</v>
          </cell>
          <cell r="R143">
            <v>0</v>
          </cell>
          <cell r="S143">
            <v>0</v>
          </cell>
          <cell r="T143">
            <v>0</v>
          </cell>
          <cell r="U143">
            <v>31</v>
          </cell>
          <cell r="V143">
            <v>0</v>
          </cell>
          <cell r="W143">
            <v>1404</v>
          </cell>
          <cell r="X143">
            <v>941</v>
          </cell>
          <cell r="Y143">
            <v>220</v>
          </cell>
          <cell r="Z143">
            <v>58</v>
          </cell>
          <cell r="AA143">
            <v>0</v>
          </cell>
          <cell r="AB143">
            <v>185</v>
          </cell>
          <cell r="AC143">
            <v>0</v>
          </cell>
          <cell r="AD143">
            <v>0</v>
          </cell>
          <cell r="AE143">
            <v>0</v>
          </cell>
          <cell r="AF143">
            <v>3913</v>
          </cell>
          <cell r="AG143">
            <v>0</v>
          </cell>
          <cell r="AH143">
            <v>0</v>
          </cell>
          <cell r="AI143">
            <v>179</v>
          </cell>
          <cell r="AJ143">
            <v>60</v>
          </cell>
          <cell r="AK143">
            <v>283</v>
          </cell>
          <cell r="AL143">
            <v>2111</v>
          </cell>
          <cell r="AM143">
            <v>0</v>
          </cell>
          <cell r="AN143">
            <v>25</v>
          </cell>
          <cell r="AO143">
            <v>1020</v>
          </cell>
          <cell r="AP143">
            <v>195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40</v>
          </cell>
          <cell r="AX143">
            <v>0</v>
          </cell>
          <cell r="AY143">
            <v>0</v>
          </cell>
          <cell r="AZ143">
            <v>0</v>
          </cell>
          <cell r="BA143">
            <v>35206</v>
          </cell>
          <cell r="BB143">
            <v>0</v>
          </cell>
          <cell r="BC143">
            <v>35206</v>
          </cell>
        </row>
        <row r="144">
          <cell r="C144" t="str">
            <v>NBL SECONDARY PACKING</v>
          </cell>
          <cell r="D144">
            <v>149760</v>
          </cell>
          <cell r="E144">
            <v>103470</v>
          </cell>
          <cell r="F144">
            <v>4290</v>
          </cell>
          <cell r="G144">
            <v>2310</v>
          </cell>
          <cell r="H144">
            <v>1980</v>
          </cell>
          <cell r="I144">
            <v>0</v>
          </cell>
          <cell r="J144">
            <v>42000</v>
          </cell>
          <cell r="K144">
            <v>25839</v>
          </cell>
          <cell r="L144">
            <v>2625</v>
          </cell>
          <cell r="M144">
            <v>1682</v>
          </cell>
          <cell r="N144">
            <v>85</v>
          </cell>
          <cell r="O144">
            <v>215</v>
          </cell>
          <cell r="P144">
            <v>643</v>
          </cell>
          <cell r="Q144">
            <v>800</v>
          </cell>
          <cell r="R144">
            <v>800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3457</v>
          </cell>
          <cell r="X144">
            <v>1572</v>
          </cell>
          <cell r="Y144">
            <v>1490</v>
          </cell>
          <cell r="Z144">
            <v>0</v>
          </cell>
          <cell r="AA144">
            <v>0</v>
          </cell>
          <cell r="AB144">
            <v>395</v>
          </cell>
          <cell r="AC144">
            <v>120</v>
          </cell>
          <cell r="AD144">
            <v>0</v>
          </cell>
          <cell r="AE144">
            <v>120</v>
          </cell>
          <cell r="AF144">
            <v>9159</v>
          </cell>
          <cell r="AG144">
            <v>0</v>
          </cell>
          <cell r="AH144">
            <v>265</v>
          </cell>
          <cell r="AI144">
            <v>2760</v>
          </cell>
          <cell r="AJ144">
            <v>0</v>
          </cell>
          <cell r="AK144">
            <v>1395</v>
          </cell>
          <cell r="AL144">
            <v>800</v>
          </cell>
          <cell r="AM144">
            <v>0</v>
          </cell>
          <cell r="AN144">
            <v>0</v>
          </cell>
          <cell r="AO144">
            <v>1830</v>
          </cell>
          <cell r="AP144">
            <v>617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1492</v>
          </cell>
          <cell r="AX144">
            <v>0</v>
          </cell>
          <cell r="AY144">
            <v>0</v>
          </cell>
          <cell r="AZ144">
            <v>0</v>
          </cell>
          <cell r="BA144">
            <v>1281222</v>
          </cell>
          <cell r="BB144">
            <v>40</v>
          </cell>
          <cell r="BC144">
            <v>1281182</v>
          </cell>
        </row>
        <row r="145">
          <cell r="C145" t="str">
            <v>PAK101</v>
          </cell>
          <cell r="D145">
            <v>25920</v>
          </cell>
          <cell r="E145">
            <v>12990</v>
          </cell>
          <cell r="F145">
            <v>255</v>
          </cell>
          <cell r="G145">
            <v>255</v>
          </cell>
          <cell r="H145">
            <v>0</v>
          </cell>
          <cell r="I145">
            <v>0</v>
          </cell>
          <cell r="J145">
            <v>12675</v>
          </cell>
          <cell r="K145">
            <v>9130</v>
          </cell>
          <cell r="L145">
            <v>258</v>
          </cell>
          <cell r="M145">
            <v>258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1019</v>
          </cell>
          <cell r="X145">
            <v>349</v>
          </cell>
          <cell r="Y145">
            <v>550</v>
          </cell>
          <cell r="Z145">
            <v>0</v>
          </cell>
          <cell r="AA145">
            <v>0</v>
          </cell>
          <cell r="AB145">
            <v>120</v>
          </cell>
          <cell r="AC145">
            <v>120</v>
          </cell>
          <cell r="AD145">
            <v>0</v>
          </cell>
          <cell r="AE145">
            <v>120</v>
          </cell>
          <cell r="AF145">
            <v>2148</v>
          </cell>
          <cell r="AG145">
            <v>0</v>
          </cell>
          <cell r="AH145">
            <v>145</v>
          </cell>
          <cell r="AI145">
            <v>825</v>
          </cell>
          <cell r="AJ145">
            <v>0</v>
          </cell>
          <cell r="AK145">
            <v>405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231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542</v>
          </cell>
          <cell r="AX145">
            <v>0</v>
          </cell>
          <cell r="AY145">
            <v>0</v>
          </cell>
          <cell r="AZ145">
            <v>0</v>
          </cell>
          <cell r="BA145">
            <v>338019</v>
          </cell>
          <cell r="BB145">
            <v>24</v>
          </cell>
          <cell r="BC145">
            <v>337995</v>
          </cell>
        </row>
        <row r="146">
          <cell r="C146" t="str">
            <v>PAK103</v>
          </cell>
          <cell r="D146">
            <v>25920</v>
          </cell>
          <cell r="E146">
            <v>11310</v>
          </cell>
          <cell r="F146">
            <v>240</v>
          </cell>
          <cell r="G146">
            <v>240</v>
          </cell>
          <cell r="H146">
            <v>0</v>
          </cell>
          <cell r="I146">
            <v>0</v>
          </cell>
          <cell r="J146">
            <v>14370</v>
          </cell>
          <cell r="K146">
            <v>10575</v>
          </cell>
          <cell r="L146">
            <v>209</v>
          </cell>
          <cell r="M146">
            <v>209</v>
          </cell>
          <cell r="N146">
            <v>0</v>
          </cell>
          <cell r="O146">
            <v>0</v>
          </cell>
          <cell r="P146">
            <v>0</v>
          </cell>
          <cell r="Q146">
            <v>225</v>
          </cell>
          <cell r="R146">
            <v>225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940</v>
          </cell>
          <cell r="X146">
            <v>260</v>
          </cell>
          <cell r="Y146">
            <v>520</v>
          </cell>
          <cell r="Z146">
            <v>0</v>
          </cell>
          <cell r="AA146">
            <v>0</v>
          </cell>
          <cell r="AB146">
            <v>160</v>
          </cell>
          <cell r="AC146">
            <v>0</v>
          </cell>
          <cell r="AD146">
            <v>0</v>
          </cell>
          <cell r="AE146">
            <v>0</v>
          </cell>
          <cell r="AF146">
            <v>2421</v>
          </cell>
          <cell r="AG146">
            <v>0</v>
          </cell>
          <cell r="AH146">
            <v>120</v>
          </cell>
          <cell r="AI146">
            <v>945</v>
          </cell>
          <cell r="AJ146">
            <v>0</v>
          </cell>
          <cell r="AK146">
            <v>465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181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710</v>
          </cell>
          <cell r="AX146">
            <v>0</v>
          </cell>
          <cell r="AY146">
            <v>0</v>
          </cell>
          <cell r="AZ146">
            <v>0</v>
          </cell>
          <cell r="BA146">
            <v>467478</v>
          </cell>
          <cell r="BB146">
            <v>0</v>
          </cell>
          <cell r="BC146">
            <v>467478</v>
          </cell>
        </row>
        <row r="147">
          <cell r="C147" t="str">
            <v>PAK105</v>
          </cell>
          <cell r="D147">
            <v>24480</v>
          </cell>
          <cell r="E147">
            <v>10830</v>
          </cell>
          <cell r="F147">
            <v>2735</v>
          </cell>
          <cell r="G147">
            <v>1310</v>
          </cell>
          <cell r="H147">
            <v>1425</v>
          </cell>
          <cell r="I147">
            <v>0</v>
          </cell>
          <cell r="J147">
            <v>10915</v>
          </cell>
          <cell r="K147">
            <v>4670</v>
          </cell>
          <cell r="L147">
            <v>1255</v>
          </cell>
          <cell r="M147">
            <v>650</v>
          </cell>
          <cell r="N147">
            <v>50</v>
          </cell>
          <cell r="O147">
            <v>95</v>
          </cell>
          <cell r="P147">
            <v>460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915</v>
          </cell>
          <cell r="X147">
            <v>630</v>
          </cell>
          <cell r="Y147">
            <v>285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4075</v>
          </cell>
          <cell r="AG147">
            <v>0</v>
          </cell>
          <cell r="AH147">
            <v>0</v>
          </cell>
          <cell r="AI147">
            <v>720</v>
          </cell>
          <cell r="AJ147">
            <v>0</v>
          </cell>
          <cell r="AK147">
            <v>390</v>
          </cell>
          <cell r="AL147">
            <v>800</v>
          </cell>
          <cell r="AM147">
            <v>0</v>
          </cell>
          <cell r="AN147">
            <v>0</v>
          </cell>
          <cell r="AO147">
            <v>1830</v>
          </cell>
          <cell r="AP147">
            <v>155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180</v>
          </cell>
          <cell r="AX147">
            <v>0</v>
          </cell>
          <cell r="AY147">
            <v>0</v>
          </cell>
          <cell r="AZ147">
            <v>0</v>
          </cell>
          <cell r="BA147">
            <v>219997</v>
          </cell>
          <cell r="BB147">
            <v>0</v>
          </cell>
          <cell r="BC147">
            <v>219997</v>
          </cell>
        </row>
        <row r="148">
          <cell r="C148" t="str">
            <v>PAK102</v>
          </cell>
          <cell r="D148">
            <v>24480</v>
          </cell>
          <cell r="E148">
            <v>24480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/>
          <cell r="K148"/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/>
          <cell r="BB148"/>
          <cell r="BC148"/>
        </row>
        <row r="149">
          <cell r="C149" t="str">
            <v>PAK104</v>
          </cell>
          <cell r="D149">
            <v>24480</v>
          </cell>
          <cell r="E149">
            <v>23460</v>
          </cell>
          <cell r="F149">
            <v>115</v>
          </cell>
          <cell r="G149">
            <v>0</v>
          </cell>
          <cell r="H149">
            <v>115</v>
          </cell>
          <cell r="I149">
            <v>0</v>
          </cell>
          <cell r="J149">
            <v>905</v>
          </cell>
          <cell r="K149">
            <v>400</v>
          </cell>
          <cell r="L149">
            <v>185</v>
          </cell>
          <cell r="M149">
            <v>105</v>
          </cell>
          <cell r="N149">
            <v>0</v>
          </cell>
          <cell r="O149">
            <v>80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230</v>
          </cell>
          <cell r="X149">
            <v>120</v>
          </cell>
          <cell r="Y149">
            <v>0</v>
          </cell>
          <cell r="Z149">
            <v>0</v>
          </cell>
          <cell r="AA149">
            <v>0</v>
          </cell>
          <cell r="AB149">
            <v>110</v>
          </cell>
          <cell r="AC149">
            <v>0</v>
          </cell>
          <cell r="AD149">
            <v>0</v>
          </cell>
          <cell r="AE149">
            <v>0</v>
          </cell>
          <cell r="AF149">
            <v>90</v>
          </cell>
          <cell r="AG149">
            <v>0</v>
          </cell>
          <cell r="AH149">
            <v>0</v>
          </cell>
          <cell r="AI149">
            <v>60</v>
          </cell>
          <cell r="AJ149">
            <v>0</v>
          </cell>
          <cell r="AK149">
            <v>30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9570</v>
          </cell>
          <cell r="BB149">
            <v>0</v>
          </cell>
          <cell r="BC149">
            <v>9570</v>
          </cell>
        </row>
        <row r="150">
          <cell r="C150" t="str">
            <v>PAK111</v>
          </cell>
          <cell r="D150">
            <v>24480</v>
          </cell>
          <cell r="E150">
            <v>20400</v>
          </cell>
          <cell r="F150">
            <v>945</v>
          </cell>
          <cell r="G150">
            <v>505</v>
          </cell>
          <cell r="H150">
            <v>440</v>
          </cell>
          <cell r="I150">
            <v>0</v>
          </cell>
          <cell r="J150">
            <v>3135</v>
          </cell>
          <cell r="K150">
            <v>1064</v>
          </cell>
          <cell r="L150">
            <v>718</v>
          </cell>
          <cell r="M150">
            <v>460</v>
          </cell>
          <cell r="N150">
            <v>35</v>
          </cell>
          <cell r="O150">
            <v>40</v>
          </cell>
          <cell r="P150">
            <v>183</v>
          </cell>
          <cell r="Q150">
            <v>575</v>
          </cell>
          <cell r="R150">
            <v>575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353</v>
          </cell>
          <cell r="X150">
            <v>213</v>
          </cell>
          <cell r="Y150">
            <v>135</v>
          </cell>
          <cell r="Z150">
            <v>0</v>
          </cell>
          <cell r="AA150">
            <v>0</v>
          </cell>
          <cell r="AB150">
            <v>5</v>
          </cell>
          <cell r="AC150">
            <v>0</v>
          </cell>
          <cell r="AD150">
            <v>0</v>
          </cell>
          <cell r="AE150">
            <v>0</v>
          </cell>
          <cell r="AF150">
            <v>425</v>
          </cell>
          <cell r="AG150">
            <v>0</v>
          </cell>
          <cell r="AH150">
            <v>0</v>
          </cell>
          <cell r="AI150">
            <v>210</v>
          </cell>
          <cell r="AJ150">
            <v>0</v>
          </cell>
          <cell r="AK150">
            <v>105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50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60</v>
          </cell>
          <cell r="AX150">
            <v>0</v>
          </cell>
          <cell r="AY150">
            <v>0</v>
          </cell>
          <cell r="AZ150">
            <v>0</v>
          </cell>
          <cell r="BA150">
            <v>246158</v>
          </cell>
          <cell r="BB150">
            <v>16</v>
          </cell>
          <cell r="BC150">
            <v>246142</v>
          </cell>
        </row>
        <row r="151">
          <cell r="C151" t="str">
            <v>CPH SOL-MIXING</v>
          </cell>
          <cell r="D151">
            <v>24480</v>
          </cell>
          <cell r="E151">
            <v>22440</v>
          </cell>
          <cell r="F151">
            <v>230</v>
          </cell>
          <cell r="G151">
            <v>0</v>
          </cell>
          <cell r="H151">
            <v>230</v>
          </cell>
          <cell r="I151">
            <v>0</v>
          </cell>
          <cell r="J151">
            <v>1810</v>
          </cell>
          <cell r="K151">
            <v>92</v>
          </cell>
          <cell r="L151">
            <v>38</v>
          </cell>
          <cell r="M151">
            <v>28</v>
          </cell>
          <cell r="N151">
            <v>10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1423</v>
          </cell>
          <cell r="X151">
            <v>1273</v>
          </cell>
          <cell r="Y151">
            <v>130</v>
          </cell>
          <cell r="Z151">
            <v>0</v>
          </cell>
          <cell r="AA151">
            <v>0</v>
          </cell>
          <cell r="AB151">
            <v>20</v>
          </cell>
          <cell r="AC151">
            <v>0</v>
          </cell>
          <cell r="AD151">
            <v>0</v>
          </cell>
          <cell r="AE151">
            <v>0</v>
          </cell>
          <cell r="AF151">
            <v>257</v>
          </cell>
          <cell r="AG151">
            <v>160</v>
          </cell>
          <cell r="AH151">
            <v>0</v>
          </cell>
          <cell r="AI151">
            <v>60</v>
          </cell>
          <cell r="AJ151">
            <v>0</v>
          </cell>
          <cell r="AK151">
            <v>30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7</v>
          </cell>
          <cell r="AX151">
            <v>0</v>
          </cell>
          <cell r="AY151">
            <v>0</v>
          </cell>
          <cell r="AZ151">
            <v>0</v>
          </cell>
          <cell r="BA151">
            <v>404.58</v>
          </cell>
          <cell r="BB151">
            <v>0.18</v>
          </cell>
          <cell r="BC151">
            <v>404.4</v>
          </cell>
        </row>
        <row r="152">
          <cell r="C152" t="str">
            <v>MCF101</v>
          </cell>
          <cell r="D152">
            <v>24480</v>
          </cell>
          <cell r="E152">
            <v>22440</v>
          </cell>
          <cell r="F152">
            <v>230</v>
          </cell>
          <cell r="G152">
            <v>0</v>
          </cell>
          <cell r="H152">
            <v>230</v>
          </cell>
          <cell r="I152">
            <v>0</v>
          </cell>
          <cell r="J152">
            <v>1810</v>
          </cell>
          <cell r="K152">
            <v>92</v>
          </cell>
          <cell r="L152">
            <v>38</v>
          </cell>
          <cell r="M152">
            <v>28</v>
          </cell>
          <cell r="N152">
            <v>10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1423</v>
          </cell>
          <cell r="X152">
            <v>1273</v>
          </cell>
          <cell r="Y152">
            <v>130</v>
          </cell>
          <cell r="Z152">
            <v>0</v>
          </cell>
          <cell r="AA152">
            <v>0</v>
          </cell>
          <cell r="AB152">
            <v>20</v>
          </cell>
          <cell r="AC152">
            <v>0</v>
          </cell>
          <cell r="AD152">
            <v>0</v>
          </cell>
          <cell r="AE152">
            <v>0</v>
          </cell>
          <cell r="AF152">
            <v>257</v>
          </cell>
          <cell r="AG152">
            <v>160</v>
          </cell>
          <cell r="AH152">
            <v>0</v>
          </cell>
          <cell r="AI152">
            <v>60</v>
          </cell>
          <cell r="AJ152">
            <v>0</v>
          </cell>
          <cell r="AK152">
            <v>30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7</v>
          </cell>
          <cell r="AX152">
            <v>0</v>
          </cell>
          <cell r="AY152">
            <v>0</v>
          </cell>
          <cell r="AZ152">
            <v>0</v>
          </cell>
          <cell r="BA152">
            <v>404.58</v>
          </cell>
          <cell r="BB152">
            <v>0.18</v>
          </cell>
          <cell r="BC152">
            <v>404.4</v>
          </cell>
        </row>
        <row r="153">
          <cell r="C153" t="str">
            <v>CPH SOL-CAPSULE</v>
          </cell>
          <cell r="D153">
            <v>24480</v>
          </cell>
          <cell r="E153">
            <v>22440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2040</v>
          </cell>
          <cell r="K153">
            <v>615</v>
          </cell>
          <cell r="L153">
            <v>270</v>
          </cell>
          <cell r="M153">
            <v>220</v>
          </cell>
          <cell r="N153">
            <v>0</v>
          </cell>
          <cell r="O153">
            <v>50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455</v>
          </cell>
          <cell r="X153">
            <v>135</v>
          </cell>
          <cell r="Y153">
            <v>0</v>
          </cell>
          <cell r="Z153">
            <v>0</v>
          </cell>
          <cell r="AA153">
            <v>0</v>
          </cell>
          <cell r="AB153">
            <v>320</v>
          </cell>
          <cell r="AC153">
            <v>0</v>
          </cell>
          <cell r="AD153">
            <v>0</v>
          </cell>
          <cell r="AE153">
            <v>0</v>
          </cell>
          <cell r="AF153">
            <v>700</v>
          </cell>
          <cell r="AG153">
            <v>0</v>
          </cell>
          <cell r="AH153">
            <v>0</v>
          </cell>
          <cell r="AI153">
            <v>120</v>
          </cell>
          <cell r="AJ153">
            <v>0</v>
          </cell>
          <cell r="AK153">
            <v>120</v>
          </cell>
          <cell r="AL153">
            <v>210</v>
          </cell>
          <cell r="AM153">
            <v>0</v>
          </cell>
          <cell r="AN153">
            <v>60</v>
          </cell>
          <cell r="AO153">
            <v>60</v>
          </cell>
          <cell r="AP153">
            <v>75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55</v>
          </cell>
          <cell r="AX153">
            <v>0</v>
          </cell>
          <cell r="AY153">
            <v>0</v>
          </cell>
          <cell r="AZ153">
            <v>0</v>
          </cell>
          <cell r="BA153">
            <v>242716</v>
          </cell>
          <cell r="BB153">
            <v>0</v>
          </cell>
          <cell r="BC153">
            <v>242716</v>
          </cell>
        </row>
        <row r="154">
          <cell r="C154" t="str">
            <v>KCF101</v>
          </cell>
          <cell r="D154">
            <v>24480</v>
          </cell>
          <cell r="E154">
            <v>22440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2040</v>
          </cell>
          <cell r="K154">
            <v>615</v>
          </cell>
          <cell r="L154">
            <v>270</v>
          </cell>
          <cell r="M154">
            <v>220</v>
          </cell>
          <cell r="N154">
            <v>0</v>
          </cell>
          <cell r="O154">
            <v>50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455</v>
          </cell>
          <cell r="X154">
            <v>135</v>
          </cell>
          <cell r="Y154">
            <v>0</v>
          </cell>
          <cell r="Z154">
            <v>0</v>
          </cell>
          <cell r="AA154">
            <v>0</v>
          </cell>
          <cell r="AB154">
            <v>320</v>
          </cell>
          <cell r="AC154">
            <v>0</v>
          </cell>
          <cell r="AD154">
            <v>0</v>
          </cell>
          <cell r="AE154">
            <v>0</v>
          </cell>
          <cell r="AF154">
            <v>700</v>
          </cell>
          <cell r="AG154">
            <v>0</v>
          </cell>
          <cell r="AH154">
            <v>0</v>
          </cell>
          <cell r="AI154">
            <v>120</v>
          </cell>
          <cell r="AJ154">
            <v>0</v>
          </cell>
          <cell r="AK154">
            <v>120</v>
          </cell>
          <cell r="AL154">
            <v>210</v>
          </cell>
          <cell r="AM154">
            <v>0</v>
          </cell>
          <cell r="AN154">
            <v>60</v>
          </cell>
          <cell r="AO154">
            <v>60</v>
          </cell>
          <cell r="AP154">
            <v>75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55</v>
          </cell>
          <cell r="AX154">
            <v>0</v>
          </cell>
          <cell r="AY154">
            <v>0</v>
          </cell>
          <cell r="AZ154">
            <v>0</v>
          </cell>
          <cell r="BA154">
            <v>242716</v>
          </cell>
          <cell r="BB154">
            <v>0</v>
          </cell>
          <cell r="BC154">
            <v>242716</v>
          </cell>
        </row>
        <row r="155">
          <cell r="C155" t="str">
            <v>CPH SOL-STRIPPING</v>
          </cell>
          <cell r="D155">
            <v>24480</v>
          </cell>
          <cell r="E155">
            <v>22440</v>
          </cell>
          <cell r="F155">
            <v>150</v>
          </cell>
          <cell r="G155">
            <v>30</v>
          </cell>
          <cell r="H155">
            <v>120</v>
          </cell>
          <cell r="I155">
            <v>0</v>
          </cell>
          <cell r="J155">
            <v>1890</v>
          </cell>
          <cell r="K155">
            <v>510</v>
          </cell>
          <cell r="L155">
            <v>390</v>
          </cell>
          <cell r="M155">
            <v>370</v>
          </cell>
          <cell r="N155">
            <v>0</v>
          </cell>
          <cell r="O155">
            <v>0</v>
          </cell>
          <cell r="P155">
            <v>20</v>
          </cell>
          <cell r="Q155">
            <v>135</v>
          </cell>
          <cell r="R155">
            <v>135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540</v>
          </cell>
          <cell r="X155">
            <v>255</v>
          </cell>
          <cell r="Y155">
            <v>130</v>
          </cell>
          <cell r="Z155">
            <v>0</v>
          </cell>
          <cell r="AA155">
            <v>0</v>
          </cell>
          <cell r="AB155">
            <v>155</v>
          </cell>
          <cell r="AC155">
            <v>0</v>
          </cell>
          <cell r="AD155">
            <v>0</v>
          </cell>
          <cell r="AE155">
            <v>0</v>
          </cell>
          <cell r="AF155">
            <v>315</v>
          </cell>
          <cell r="AG155">
            <v>0</v>
          </cell>
          <cell r="AH155">
            <v>0</v>
          </cell>
          <cell r="AI155">
            <v>120</v>
          </cell>
          <cell r="AJ155">
            <v>0</v>
          </cell>
          <cell r="AK155">
            <v>90</v>
          </cell>
          <cell r="AL155">
            <v>0</v>
          </cell>
          <cell r="AM155">
            <v>0</v>
          </cell>
          <cell r="AN155">
            <v>30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75</v>
          </cell>
          <cell r="AX155">
            <v>0</v>
          </cell>
          <cell r="AY155">
            <v>0</v>
          </cell>
          <cell r="AZ155">
            <v>0</v>
          </cell>
          <cell r="BA155">
            <v>190427.04</v>
          </cell>
          <cell r="BB155">
            <v>1594</v>
          </cell>
          <cell r="BC155">
            <v>188833.04</v>
          </cell>
        </row>
        <row r="156">
          <cell r="C156" t="str">
            <v>STC101</v>
          </cell>
          <cell r="D156">
            <v>24480</v>
          </cell>
          <cell r="E156">
            <v>22440</v>
          </cell>
          <cell r="F156">
            <v>150</v>
          </cell>
          <cell r="G156">
            <v>30</v>
          </cell>
          <cell r="H156">
            <v>120</v>
          </cell>
          <cell r="I156">
            <v>0</v>
          </cell>
          <cell r="J156">
            <v>1890</v>
          </cell>
          <cell r="K156">
            <v>510</v>
          </cell>
          <cell r="L156">
            <v>390</v>
          </cell>
          <cell r="M156">
            <v>370</v>
          </cell>
          <cell r="N156">
            <v>0</v>
          </cell>
          <cell r="O156">
            <v>0</v>
          </cell>
          <cell r="P156">
            <v>20</v>
          </cell>
          <cell r="Q156">
            <v>135</v>
          </cell>
          <cell r="R156">
            <v>135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540</v>
          </cell>
          <cell r="X156">
            <v>255</v>
          </cell>
          <cell r="Y156">
            <v>130</v>
          </cell>
          <cell r="Z156">
            <v>0</v>
          </cell>
          <cell r="AA156">
            <v>0</v>
          </cell>
          <cell r="AB156">
            <v>155</v>
          </cell>
          <cell r="AC156">
            <v>0</v>
          </cell>
          <cell r="AD156">
            <v>0</v>
          </cell>
          <cell r="AE156">
            <v>0</v>
          </cell>
          <cell r="AF156">
            <v>315</v>
          </cell>
          <cell r="AG156">
            <v>0</v>
          </cell>
          <cell r="AH156">
            <v>0</v>
          </cell>
          <cell r="AI156">
            <v>120</v>
          </cell>
          <cell r="AJ156">
            <v>0</v>
          </cell>
          <cell r="AK156">
            <v>90</v>
          </cell>
          <cell r="AL156">
            <v>0</v>
          </cell>
          <cell r="AM156">
            <v>0</v>
          </cell>
          <cell r="AN156">
            <v>30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75</v>
          </cell>
          <cell r="AX156">
            <v>0</v>
          </cell>
          <cell r="AY156">
            <v>0</v>
          </cell>
          <cell r="AZ156">
            <v>0</v>
          </cell>
          <cell r="BA156">
            <v>190427.04</v>
          </cell>
          <cell r="BB156">
            <v>1594</v>
          </cell>
          <cell r="BC156">
            <v>188833.04</v>
          </cell>
        </row>
        <row r="157">
          <cell r="C157" t="str">
            <v>CPH SOL-POWDER FILLING</v>
          </cell>
          <cell r="D157">
            <v>24480</v>
          </cell>
          <cell r="E157">
            <v>22950</v>
          </cell>
          <cell r="F157">
            <v>90</v>
          </cell>
          <cell r="G157">
            <v>90</v>
          </cell>
          <cell r="H157">
            <v>0</v>
          </cell>
          <cell r="I157">
            <v>0</v>
          </cell>
          <cell r="J157">
            <v>1440</v>
          </cell>
          <cell r="K157">
            <v>595</v>
          </cell>
          <cell r="L157">
            <v>135</v>
          </cell>
          <cell r="M157">
            <v>135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425</v>
          </cell>
          <cell r="X157">
            <v>310</v>
          </cell>
          <cell r="Y157">
            <v>45</v>
          </cell>
          <cell r="Z157">
            <v>0</v>
          </cell>
          <cell r="AA157">
            <v>0</v>
          </cell>
          <cell r="AB157">
            <v>70</v>
          </cell>
          <cell r="AC157">
            <v>0</v>
          </cell>
          <cell r="AD157">
            <v>0</v>
          </cell>
          <cell r="AE157">
            <v>0</v>
          </cell>
          <cell r="AF157">
            <v>285</v>
          </cell>
          <cell r="AG157">
            <v>0</v>
          </cell>
          <cell r="AH157">
            <v>0</v>
          </cell>
          <cell r="AI157">
            <v>90</v>
          </cell>
          <cell r="AJ157">
            <v>0</v>
          </cell>
          <cell r="AK157">
            <v>135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40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20</v>
          </cell>
          <cell r="AX157">
            <v>0</v>
          </cell>
          <cell r="AY157">
            <v>0</v>
          </cell>
          <cell r="AZ157">
            <v>0</v>
          </cell>
          <cell r="BA157">
            <v>21311</v>
          </cell>
          <cell r="BB157">
            <v>34</v>
          </cell>
          <cell r="BC157">
            <v>21277</v>
          </cell>
        </row>
        <row r="158">
          <cell r="C158" t="str">
            <v>SCF102</v>
          </cell>
          <cell r="D158">
            <v>24480</v>
          </cell>
          <cell r="E158">
            <v>22950</v>
          </cell>
          <cell r="F158">
            <v>90</v>
          </cell>
          <cell r="G158">
            <v>90</v>
          </cell>
          <cell r="H158">
            <v>0</v>
          </cell>
          <cell r="I158">
            <v>0</v>
          </cell>
          <cell r="J158">
            <v>1440</v>
          </cell>
          <cell r="K158">
            <v>595</v>
          </cell>
          <cell r="L158">
            <v>135</v>
          </cell>
          <cell r="M158">
            <v>135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425</v>
          </cell>
          <cell r="X158">
            <v>310</v>
          </cell>
          <cell r="Y158">
            <v>45</v>
          </cell>
          <cell r="Z158">
            <v>0</v>
          </cell>
          <cell r="AA158">
            <v>0</v>
          </cell>
          <cell r="AB158">
            <v>70</v>
          </cell>
          <cell r="AC158">
            <v>0</v>
          </cell>
          <cell r="AD158">
            <v>0</v>
          </cell>
          <cell r="AE158">
            <v>0</v>
          </cell>
          <cell r="AF158">
            <v>285</v>
          </cell>
          <cell r="AG158">
            <v>0</v>
          </cell>
          <cell r="AH158">
            <v>0</v>
          </cell>
          <cell r="AI158">
            <v>90</v>
          </cell>
          <cell r="AJ158">
            <v>0</v>
          </cell>
          <cell r="AK158">
            <v>135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40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20</v>
          </cell>
          <cell r="AX158">
            <v>0</v>
          </cell>
          <cell r="AY158">
            <v>0</v>
          </cell>
          <cell r="AZ158">
            <v>0</v>
          </cell>
          <cell r="BA158">
            <v>21311</v>
          </cell>
          <cell r="BB158">
            <v>34</v>
          </cell>
          <cell r="BC158">
            <v>21277</v>
          </cell>
        </row>
        <row r="159">
          <cell r="C159" t="str">
            <v>CPH INJ-FILLING</v>
          </cell>
          <cell r="D159">
            <v>24480</v>
          </cell>
          <cell r="E159">
            <v>20760</v>
          </cell>
          <cell r="F159">
            <v>225</v>
          </cell>
          <cell r="G159">
            <v>45</v>
          </cell>
          <cell r="H159">
            <v>180</v>
          </cell>
          <cell r="I159">
            <v>0</v>
          </cell>
          <cell r="J159">
            <v>3495</v>
          </cell>
          <cell r="K159">
            <v>1367</v>
          </cell>
          <cell r="L159">
            <v>320</v>
          </cell>
          <cell r="M159">
            <v>250</v>
          </cell>
          <cell r="N159">
            <v>0</v>
          </cell>
          <cell r="O159">
            <v>70</v>
          </cell>
          <cell r="P159">
            <v>0</v>
          </cell>
          <cell r="Q159">
            <v>46</v>
          </cell>
          <cell r="R159">
            <v>46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1061</v>
          </cell>
          <cell r="X159">
            <v>351</v>
          </cell>
          <cell r="Y159">
            <v>710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701</v>
          </cell>
          <cell r="AG159">
            <v>0</v>
          </cell>
          <cell r="AH159">
            <v>0</v>
          </cell>
          <cell r="AI159">
            <v>260</v>
          </cell>
          <cell r="AJ159">
            <v>10</v>
          </cell>
          <cell r="AK159">
            <v>242</v>
          </cell>
          <cell r="AL159">
            <v>0</v>
          </cell>
          <cell r="AM159">
            <v>0</v>
          </cell>
          <cell r="AN159">
            <v>35</v>
          </cell>
          <cell r="AO159">
            <v>0</v>
          </cell>
          <cell r="AP159">
            <v>44</v>
          </cell>
          <cell r="AQ159">
            <v>0</v>
          </cell>
          <cell r="AR159">
            <v>0</v>
          </cell>
          <cell r="AS159">
            <v>110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197512</v>
          </cell>
          <cell r="BB159">
            <v>6</v>
          </cell>
          <cell r="BC159">
            <v>197506</v>
          </cell>
        </row>
        <row r="160">
          <cell r="C160" t="str">
            <v>GINLINE6</v>
          </cell>
          <cell r="D160">
            <v>24480</v>
          </cell>
          <cell r="E160">
            <v>20760</v>
          </cell>
          <cell r="F160">
            <v>225</v>
          </cell>
          <cell r="G160">
            <v>45</v>
          </cell>
          <cell r="H160">
            <v>180</v>
          </cell>
          <cell r="I160">
            <v>0</v>
          </cell>
          <cell r="J160">
            <v>3495</v>
          </cell>
          <cell r="K160">
            <v>1367</v>
          </cell>
          <cell r="L160">
            <v>320</v>
          </cell>
          <cell r="M160">
            <v>250</v>
          </cell>
          <cell r="N160">
            <v>0</v>
          </cell>
          <cell r="O160">
            <v>70</v>
          </cell>
          <cell r="P160">
            <v>0</v>
          </cell>
          <cell r="Q160">
            <v>46</v>
          </cell>
          <cell r="R160">
            <v>46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1061</v>
          </cell>
          <cell r="X160">
            <v>351</v>
          </cell>
          <cell r="Y160">
            <v>710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701</v>
          </cell>
          <cell r="AG160">
            <v>0</v>
          </cell>
          <cell r="AH160">
            <v>0</v>
          </cell>
          <cell r="AI160">
            <v>260</v>
          </cell>
          <cell r="AJ160">
            <v>10</v>
          </cell>
          <cell r="AK160">
            <v>242</v>
          </cell>
          <cell r="AL160">
            <v>0</v>
          </cell>
          <cell r="AM160">
            <v>0</v>
          </cell>
          <cell r="AN160">
            <v>35</v>
          </cell>
          <cell r="AO160">
            <v>0</v>
          </cell>
          <cell r="AP160">
            <v>44</v>
          </cell>
          <cell r="AQ160">
            <v>0</v>
          </cell>
          <cell r="AR160">
            <v>0</v>
          </cell>
          <cell r="AS160">
            <v>110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197512</v>
          </cell>
          <cell r="BB160">
            <v>6</v>
          </cell>
          <cell r="BC160">
            <v>197506</v>
          </cell>
        </row>
        <row r="161">
          <cell r="C161" t="str">
            <v>CPH INJ-STERILIZATION</v>
          </cell>
          <cell r="D161">
            <v>48960</v>
          </cell>
          <cell r="E161">
            <v>41010</v>
          </cell>
          <cell r="F161">
            <v>150</v>
          </cell>
          <cell r="G161">
            <v>150</v>
          </cell>
          <cell r="H161">
            <v>0</v>
          </cell>
          <cell r="I161">
            <v>0</v>
          </cell>
          <cell r="J161">
            <v>7800</v>
          </cell>
          <cell r="K161">
            <v>3039</v>
          </cell>
          <cell r="L161">
            <v>222</v>
          </cell>
          <cell r="M161">
            <v>222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2330</v>
          </cell>
          <cell r="X161">
            <v>2009</v>
          </cell>
          <cell r="Y161">
            <v>321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2209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100</v>
          </cell>
          <cell r="AO161">
            <v>2109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298</v>
          </cell>
          <cell r="BB161">
            <v>0</v>
          </cell>
          <cell r="BC161">
            <v>298</v>
          </cell>
        </row>
        <row r="162">
          <cell r="C162" t="str">
            <v>ICF104</v>
          </cell>
          <cell r="D162">
            <v>24480</v>
          </cell>
          <cell r="E162">
            <v>20280</v>
          </cell>
          <cell r="F162">
            <v>90</v>
          </cell>
          <cell r="G162">
            <v>90</v>
          </cell>
          <cell r="H162">
            <v>0</v>
          </cell>
          <cell r="I162">
            <v>0</v>
          </cell>
          <cell r="J162">
            <v>4110</v>
          </cell>
          <cell r="K162">
            <v>1842</v>
          </cell>
          <cell r="L162">
            <v>112</v>
          </cell>
          <cell r="M162">
            <v>112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1885</v>
          </cell>
          <cell r="X162">
            <v>1730</v>
          </cell>
          <cell r="Y162">
            <v>155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271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50</v>
          </cell>
          <cell r="AO162">
            <v>221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199</v>
          </cell>
          <cell r="BB162">
            <v>0</v>
          </cell>
          <cell r="BC162">
            <v>199</v>
          </cell>
        </row>
        <row r="163">
          <cell r="C163" t="str">
            <v>ICF105</v>
          </cell>
          <cell r="D163">
            <v>24480</v>
          </cell>
          <cell r="E163">
            <v>20730</v>
          </cell>
          <cell r="F163">
            <v>60</v>
          </cell>
          <cell r="G163">
            <v>60</v>
          </cell>
          <cell r="H163">
            <v>0</v>
          </cell>
          <cell r="I163">
            <v>0</v>
          </cell>
          <cell r="J163">
            <v>3690</v>
          </cell>
          <cell r="K163">
            <v>1197</v>
          </cell>
          <cell r="L163">
            <v>110</v>
          </cell>
          <cell r="M163">
            <v>110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445</v>
          </cell>
          <cell r="X163">
            <v>279</v>
          </cell>
          <cell r="Y163">
            <v>166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1938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50</v>
          </cell>
          <cell r="AO163">
            <v>1888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99</v>
          </cell>
          <cell r="BB163">
            <v>0</v>
          </cell>
          <cell r="BC163">
            <v>99</v>
          </cell>
        </row>
        <row r="164">
          <cell r="C164" t="str">
            <v>CPH-SECONDARY PACKING</v>
          </cell>
          <cell r="D164">
            <v>48960</v>
          </cell>
          <cell r="E164">
            <v>29970</v>
          </cell>
          <cell r="F164">
            <v>1370</v>
          </cell>
          <cell r="G164">
            <v>515</v>
          </cell>
          <cell r="H164">
            <v>855</v>
          </cell>
          <cell r="I164">
            <v>0</v>
          </cell>
          <cell r="J164">
            <v>17620</v>
          </cell>
          <cell r="K164">
            <v>7070</v>
          </cell>
          <cell r="L164">
            <v>3174</v>
          </cell>
          <cell r="M164">
            <v>2064</v>
          </cell>
          <cell r="N164">
            <v>125</v>
          </cell>
          <cell r="O164">
            <v>105</v>
          </cell>
          <cell r="P164">
            <v>880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3160</v>
          </cell>
          <cell r="X164">
            <v>2020</v>
          </cell>
          <cell r="Y164">
            <v>690</v>
          </cell>
          <cell r="Z164">
            <v>175</v>
          </cell>
          <cell r="AA164">
            <v>0</v>
          </cell>
          <cell r="AB164">
            <v>275</v>
          </cell>
          <cell r="AC164">
            <v>30</v>
          </cell>
          <cell r="AD164">
            <v>0</v>
          </cell>
          <cell r="AE164">
            <v>30</v>
          </cell>
          <cell r="AF164">
            <v>4186</v>
          </cell>
          <cell r="AG164">
            <v>465</v>
          </cell>
          <cell r="AH164">
            <v>0</v>
          </cell>
          <cell r="AI164">
            <v>1080</v>
          </cell>
          <cell r="AJ164">
            <v>0</v>
          </cell>
          <cell r="AK164">
            <v>750</v>
          </cell>
          <cell r="AL164">
            <v>890</v>
          </cell>
          <cell r="AM164">
            <v>0</v>
          </cell>
          <cell r="AN164">
            <v>0</v>
          </cell>
          <cell r="AO164">
            <v>235</v>
          </cell>
          <cell r="AP164">
            <v>328</v>
          </cell>
          <cell r="AQ164">
            <v>0</v>
          </cell>
          <cell r="AR164">
            <v>15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418</v>
          </cell>
          <cell r="AX164">
            <v>5</v>
          </cell>
          <cell r="AY164">
            <v>0</v>
          </cell>
          <cell r="AZ164">
            <v>0</v>
          </cell>
          <cell r="BA164">
            <v>902779</v>
          </cell>
          <cell r="BB164">
            <v>534</v>
          </cell>
          <cell r="BC164">
            <v>902245</v>
          </cell>
        </row>
        <row r="165">
          <cell r="C165" t="str">
            <v>PCF101</v>
          </cell>
          <cell r="D165">
            <v>24480</v>
          </cell>
          <cell r="E165">
            <v>10080</v>
          </cell>
          <cell r="F165">
            <v>1150</v>
          </cell>
          <cell r="G165">
            <v>295</v>
          </cell>
          <cell r="H165">
            <v>855</v>
          </cell>
          <cell r="I165">
            <v>0</v>
          </cell>
          <cell r="J165">
            <v>13250</v>
          </cell>
          <cell r="K165">
            <v>4530</v>
          </cell>
          <cell r="L165">
            <v>3025</v>
          </cell>
          <cell r="M165">
            <v>1980</v>
          </cell>
          <cell r="N165">
            <v>125</v>
          </cell>
          <cell r="O165">
            <v>40</v>
          </cell>
          <cell r="P165">
            <v>880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2755</v>
          </cell>
          <cell r="X165">
            <v>1945</v>
          </cell>
          <cell r="Y165">
            <v>635</v>
          </cell>
          <cell r="Z165">
            <v>175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2940</v>
          </cell>
          <cell r="AG165">
            <v>465</v>
          </cell>
          <cell r="AH165">
            <v>0</v>
          </cell>
          <cell r="AI165">
            <v>840</v>
          </cell>
          <cell r="AJ165">
            <v>0</v>
          </cell>
          <cell r="AK165">
            <v>630</v>
          </cell>
          <cell r="AL165">
            <v>465</v>
          </cell>
          <cell r="AM165">
            <v>0</v>
          </cell>
          <cell r="AN165">
            <v>0</v>
          </cell>
          <cell r="AO165">
            <v>0</v>
          </cell>
          <cell r="AP165">
            <v>250</v>
          </cell>
          <cell r="AQ165">
            <v>0</v>
          </cell>
          <cell r="AR165">
            <v>15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270</v>
          </cell>
          <cell r="AX165">
            <v>5</v>
          </cell>
          <cell r="AY165">
            <v>0</v>
          </cell>
          <cell r="AZ165">
            <v>0</v>
          </cell>
          <cell r="BA165">
            <v>839424</v>
          </cell>
          <cell r="BB165">
            <v>209</v>
          </cell>
          <cell r="BC165">
            <v>839215</v>
          </cell>
        </row>
        <row r="166">
          <cell r="C166" t="str">
            <v>PCF102</v>
          </cell>
          <cell r="D166">
            <v>24480</v>
          </cell>
          <cell r="E166">
            <v>19890</v>
          </cell>
          <cell r="F166">
            <v>220</v>
          </cell>
          <cell r="G166">
            <v>220</v>
          </cell>
          <cell r="H166">
            <v>0</v>
          </cell>
          <cell r="I166">
            <v>0</v>
          </cell>
          <cell r="J166">
            <v>4370</v>
          </cell>
          <cell r="K166">
            <v>2540</v>
          </cell>
          <cell r="L166">
            <v>149</v>
          </cell>
          <cell r="M166">
            <v>84</v>
          </cell>
          <cell r="N166">
            <v>0</v>
          </cell>
          <cell r="O166">
            <v>65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405</v>
          </cell>
          <cell r="X166">
            <v>75</v>
          </cell>
          <cell r="Y166">
            <v>55</v>
          </cell>
          <cell r="Z166">
            <v>0</v>
          </cell>
          <cell r="AA166">
            <v>0</v>
          </cell>
          <cell r="AB166">
            <v>275</v>
          </cell>
          <cell r="AC166">
            <v>30</v>
          </cell>
          <cell r="AD166">
            <v>0</v>
          </cell>
          <cell r="AE166">
            <v>30</v>
          </cell>
          <cell r="AF166">
            <v>1246</v>
          </cell>
          <cell r="AG166">
            <v>0</v>
          </cell>
          <cell r="AH166">
            <v>0</v>
          </cell>
          <cell r="AI166">
            <v>240</v>
          </cell>
          <cell r="AJ166">
            <v>0</v>
          </cell>
          <cell r="AK166">
            <v>120</v>
          </cell>
          <cell r="AL166">
            <v>425</v>
          </cell>
          <cell r="AM166">
            <v>0</v>
          </cell>
          <cell r="AN166">
            <v>0</v>
          </cell>
          <cell r="AO166">
            <v>235</v>
          </cell>
          <cell r="AP166">
            <v>78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148</v>
          </cell>
          <cell r="AX166">
            <v>0</v>
          </cell>
          <cell r="AY166">
            <v>0</v>
          </cell>
          <cell r="AZ166">
            <v>0</v>
          </cell>
          <cell r="BA166">
            <v>63355</v>
          </cell>
          <cell r="BB166">
            <v>325</v>
          </cell>
          <cell r="BC166">
            <v>63030</v>
          </cell>
        </row>
      </sheetData>
      <sheetData sheetId="13" refreshError="1">
        <row r="5">
          <cell r="C5" t="str">
            <v>POT</v>
          </cell>
        </row>
        <row r="109">
          <cell r="B109" t="str">
            <v>PROSES( Menit )</v>
          </cell>
          <cell r="C109" t="str">
            <v>POT</v>
          </cell>
          <cell r="D109" t="str">
            <v>POT Shift Tersedia</v>
          </cell>
          <cell r="E109" t="str">
            <v>Unschedule Time</v>
          </cell>
          <cell r="F109" t="str">
            <v>Unschedule Time Shift Tersedia</v>
          </cell>
          <cell r="G109" t="str">
            <v>Waktu Beproduksi</v>
          </cell>
          <cell r="H109" t="str">
            <v>Waktu Beproduksi Tersedia</v>
          </cell>
          <cell r="I109" t="str">
            <v>Idle Time</v>
          </cell>
          <cell r="J109" t="str">
            <v>Idle Time Tersedia</v>
          </cell>
          <cell r="K109" t="str">
            <v>L2</v>
          </cell>
          <cell r="L109" t="str">
            <v>L21</v>
          </cell>
          <cell r="M109" t="str">
            <v>L22</v>
          </cell>
          <cell r="N109" t="str">
            <v>IG</v>
          </cell>
          <cell r="O109" t="str">
            <v>PPT</v>
          </cell>
          <cell r="P109" t="str">
            <v>PPT Tersedia</v>
          </cell>
          <cell r="Q109" t="str">
            <v>R</v>
          </cell>
          <cell r="R109" t="str">
            <v>R Tersedia</v>
          </cell>
          <cell r="S109" t="str">
            <v>DT</v>
          </cell>
          <cell r="T109" t="str">
            <v>DT Tersedia</v>
          </cell>
          <cell r="U109" t="str">
            <v>Setup</v>
          </cell>
          <cell r="V109" t="str">
            <v>P6</v>
          </cell>
          <cell r="W109" t="str">
            <v>P5</v>
          </cell>
          <cell r="X109" t="str">
            <v>P8</v>
          </cell>
          <cell r="Y109" t="str">
            <v>P9</v>
          </cell>
          <cell r="Z109" t="str">
            <v>Breakdown</v>
          </cell>
          <cell r="AA109" t="str">
            <v>M1</v>
          </cell>
          <cell r="AB109" t="str">
            <v>M2</v>
          </cell>
          <cell r="AC109" t="str">
            <v>M4</v>
          </cell>
          <cell r="AD109" t="str">
            <v>M8</v>
          </cell>
          <cell r="AE109" t="str">
            <v>M9</v>
          </cell>
          <cell r="AF109" t="str">
            <v>Clean</v>
          </cell>
          <cell r="AG109" t="str">
            <v>P2</v>
          </cell>
          <cell r="AH109" t="str">
            <v>P4</v>
          </cell>
          <cell r="AI109" t="str">
            <v>P17</v>
          </cell>
          <cell r="AJ109" t="str">
            <v>P19</v>
          </cell>
          <cell r="AK109" t="str">
            <v>P12</v>
          </cell>
          <cell r="AL109" t="str">
            <v>Trial</v>
          </cell>
          <cell r="AM109" t="str">
            <v>R1</v>
          </cell>
          <cell r="AN109" t="str">
            <v>R2</v>
          </cell>
          <cell r="AO109" t="str">
            <v>Waiting</v>
          </cell>
          <cell r="AP109" t="str">
            <v>L1</v>
          </cell>
          <cell r="AQ109" t="str">
            <v>L3</v>
          </cell>
          <cell r="AR109" t="str">
            <v>H1</v>
          </cell>
          <cell r="AS109" t="str">
            <v>H2</v>
          </cell>
          <cell r="AT109" t="str">
            <v>H4</v>
          </cell>
          <cell r="AU109" t="str">
            <v>H6</v>
          </cell>
          <cell r="AV109" t="str">
            <v>H7</v>
          </cell>
          <cell r="AW109" t="str">
            <v>H8</v>
          </cell>
          <cell r="AX109" t="str">
            <v>P10</v>
          </cell>
          <cell r="AY109" t="str">
            <v>P11</v>
          </cell>
          <cell r="AZ109" t="str">
            <v>P13</v>
          </cell>
          <cell r="BA109" t="str">
            <v>P14</v>
          </cell>
          <cell r="BB109" t="str">
            <v>P16</v>
          </cell>
          <cell r="BC109" t="str">
            <v>M5</v>
          </cell>
          <cell r="BD109" t="str">
            <v>M6</v>
          </cell>
          <cell r="BE109" t="str">
            <v>M7</v>
          </cell>
          <cell r="BF109" t="str">
            <v>Q1</v>
          </cell>
          <cell r="BG109" t="str">
            <v>Q2</v>
          </cell>
          <cell r="BH109" t="str">
            <v>Q3</v>
          </cell>
          <cell r="BI109" t="str">
            <v>Q4</v>
          </cell>
          <cell r="BJ109" t="str">
            <v>Total Output</v>
          </cell>
          <cell r="BK109" t="str">
            <v>Reject Output</v>
          </cell>
          <cell r="BL109" t="str">
            <v>Good Output</v>
          </cell>
        </row>
        <row r="110">
          <cell r="B110" t="str">
            <v>NBL SOL-MIXING</v>
          </cell>
          <cell r="C110">
            <v>73440</v>
          </cell>
          <cell r="D110">
            <v>47430</v>
          </cell>
          <cell r="E110">
            <v>47760</v>
          </cell>
          <cell r="F110">
            <v>21750</v>
          </cell>
          <cell r="G110">
            <v>25680</v>
          </cell>
          <cell r="H110">
            <v>25680</v>
          </cell>
          <cell r="I110">
            <v>3065</v>
          </cell>
          <cell r="J110">
            <v>3065</v>
          </cell>
          <cell r="K110">
            <v>3010</v>
          </cell>
          <cell r="L110">
            <v>475</v>
          </cell>
          <cell r="M110">
            <v>2535</v>
          </cell>
          <cell r="N110">
            <v>55</v>
          </cell>
          <cell r="O110">
            <v>22615</v>
          </cell>
          <cell r="P110">
            <v>22615</v>
          </cell>
          <cell r="Q110">
            <v>3213</v>
          </cell>
          <cell r="R110">
            <v>3213</v>
          </cell>
          <cell r="S110">
            <v>19402</v>
          </cell>
          <cell r="T110">
            <v>19402</v>
          </cell>
          <cell r="U110">
            <v>792</v>
          </cell>
          <cell r="V110">
            <v>792</v>
          </cell>
          <cell r="W110">
            <v>0</v>
          </cell>
          <cell r="X110">
            <v>0</v>
          </cell>
          <cell r="Y110">
            <v>0</v>
          </cell>
          <cell r="Z110">
            <v>65</v>
          </cell>
          <cell r="AA110">
            <v>0</v>
          </cell>
          <cell r="AB110">
            <v>0</v>
          </cell>
          <cell r="AC110">
            <v>0</v>
          </cell>
          <cell r="AD110">
            <v>65</v>
          </cell>
          <cell r="AE110">
            <v>0</v>
          </cell>
          <cell r="AF110">
            <v>11122</v>
          </cell>
          <cell r="AG110">
            <v>6797</v>
          </cell>
          <cell r="AH110">
            <v>3886</v>
          </cell>
          <cell r="AI110">
            <v>4</v>
          </cell>
          <cell r="AJ110">
            <v>0</v>
          </cell>
          <cell r="AK110">
            <v>435</v>
          </cell>
          <cell r="AL110">
            <v>480</v>
          </cell>
          <cell r="AM110">
            <v>0</v>
          </cell>
          <cell r="AN110">
            <v>480</v>
          </cell>
          <cell r="AO110">
            <v>6943</v>
          </cell>
          <cell r="AP110">
            <v>115</v>
          </cell>
          <cell r="AQ110">
            <v>0</v>
          </cell>
          <cell r="AR110">
            <v>1230</v>
          </cell>
          <cell r="AS110">
            <v>0</v>
          </cell>
          <cell r="AT110">
            <v>700</v>
          </cell>
          <cell r="AU110">
            <v>105</v>
          </cell>
          <cell r="AV110">
            <v>0</v>
          </cell>
          <cell r="AW110">
            <v>0</v>
          </cell>
          <cell r="AX110">
            <v>4122</v>
          </cell>
          <cell r="AY110">
            <v>0</v>
          </cell>
          <cell r="AZ110">
            <v>0</v>
          </cell>
          <cell r="BA110">
            <v>433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238</v>
          </cell>
          <cell r="BG110">
            <v>0</v>
          </cell>
          <cell r="BH110">
            <v>0</v>
          </cell>
          <cell r="BI110">
            <v>0</v>
          </cell>
          <cell r="BJ110">
            <v>6165.38</v>
          </cell>
          <cell r="BK110">
            <v>0</v>
          </cell>
          <cell r="BL110">
            <v>6165.38</v>
          </cell>
        </row>
        <row r="111">
          <cell r="B111" t="str">
            <v>MIX113</v>
          </cell>
          <cell r="C111">
            <v>24480</v>
          </cell>
          <cell r="D111">
            <v>15810</v>
          </cell>
          <cell r="E111">
            <v>11010</v>
          </cell>
          <cell r="F111">
            <v>2340</v>
          </cell>
          <cell r="G111">
            <v>13470</v>
          </cell>
          <cell r="H111">
            <v>13470</v>
          </cell>
          <cell r="I111">
            <v>2605</v>
          </cell>
          <cell r="J111">
            <v>2605</v>
          </cell>
          <cell r="K111">
            <v>2550</v>
          </cell>
          <cell r="L111">
            <v>375</v>
          </cell>
          <cell r="M111">
            <v>2175</v>
          </cell>
          <cell r="N111">
            <v>55</v>
          </cell>
          <cell r="O111">
            <v>10865</v>
          </cell>
          <cell r="P111">
            <v>10865</v>
          </cell>
          <cell r="Q111">
            <v>657</v>
          </cell>
          <cell r="R111">
            <v>657</v>
          </cell>
          <cell r="S111">
            <v>10208</v>
          </cell>
          <cell r="T111">
            <v>10208</v>
          </cell>
          <cell r="U111">
            <v>494</v>
          </cell>
          <cell r="V111">
            <v>494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4017</v>
          </cell>
          <cell r="AG111">
            <v>1971</v>
          </cell>
          <cell r="AH111">
            <v>1796</v>
          </cell>
          <cell r="AI111">
            <v>0</v>
          </cell>
          <cell r="AJ111">
            <v>0</v>
          </cell>
          <cell r="AK111">
            <v>250</v>
          </cell>
          <cell r="AL111">
            <v>480</v>
          </cell>
          <cell r="AM111">
            <v>0</v>
          </cell>
          <cell r="AN111">
            <v>480</v>
          </cell>
          <cell r="AO111">
            <v>5217</v>
          </cell>
          <cell r="AP111">
            <v>70</v>
          </cell>
          <cell r="AQ111">
            <v>0</v>
          </cell>
          <cell r="AR111">
            <v>600</v>
          </cell>
          <cell r="AS111">
            <v>0</v>
          </cell>
          <cell r="AT111">
            <v>270</v>
          </cell>
          <cell r="AU111">
            <v>0</v>
          </cell>
          <cell r="AV111">
            <v>0</v>
          </cell>
          <cell r="AW111">
            <v>0</v>
          </cell>
          <cell r="AX111">
            <v>4027</v>
          </cell>
          <cell r="AY111">
            <v>0</v>
          </cell>
          <cell r="AZ111">
            <v>0</v>
          </cell>
          <cell r="BA111">
            <v>12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238</v>
          </cell>
          <cell r="BG111">
            <v>0</v>
          </cell>
          <cell r="BH111">
            <v>0</v>
          </cell>
          <cell r="BI111">
            <v>0</v>
          </cell>
          <cell r="BJ111">
            <v>4267.16</v>
          </cell>
          <cell r="BK111">
            <v>0</v>
          </cell>
          <cell r="BL111">
            <v>4267.16</v>
          </cell>
        </row>
        <row r="112">
          <cell r="B112" t="str">
            <v>LMIXSOL1</v>
          </cell>
          <cell r="C112">
            <v>24480</v>
          </cell>
          <cell r="D112">
            <v>15810</v>
          </cell>
          <cell r="E112">
            <v>15600</v>
          </cell>
          <cell r="F112">
            <v>6930</v>
          </cell>
          <cell r="G112">
            <v>8880</v>
          </cell>
          <cell r="H112">
            <v>8880</v>
          </cell>
          <cell r="I112">
            <v>460</v>
          </cell>
          <cell r="J112">
            <v>460</v>
          </cell>
          <cell r="K112">
            <v>460</v>
          </cell>
          <cell r="L112">
            <v>100</v>
          </cell>
          <cell r="M112">
            <v>360</v>
          </cell>
          <cell r="N112">
            <v>0</v>
          </cell>
          <cell r="O112">
            <v>8420</v>
          </cell>
          <cell r="P112">
            <v>8420</v>
          </cell>
          <cell r="Q112">
            <v>1769</v>
          </cell>
          <cell r="R112">
            <v>1769</v>
          </cell>
          <cell r="S112">
            <v>6651</v>
          </cell>
          <cell r="T112">
            <v>6651</v>
          </cell>
          <cell r="U112">
            <v>193</v>
          </cell>
          <cell r="V112">
            <v>193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5369</v>
          </cell>
          <cell r="AG112">
            <v>3355</v>
          </cell>
          <cell r="AH112">
            <v>1865</v>
          </cell>
          <cell r="AI112">
            <v>4</v>
          </cell>
          <cell r="AJ112">
            <v>0</v>
          </cell>
          <cell r="AK112">
            <v>145</v>
          </cell>
          <cell r="AL112">
            <v>0</v>
          </cell>
          <cell r="AM112">
            <v>0</v>
          </cell>
          <cell r="AN112">
            <v>0</v>
          </cell>
          <cell r="AO112">
            <v>1089</v>
          </cell>
          <cell r="AP112">
            <v>45</v>
          </cell>
          <cell r="AQ112">
            <v>0</v>
          </cell>
          <cell r="AR112">
            <v>420</v>
          </cell>
          <cell r="AS112">
            <v>0</v>
          </cell>
          <cell r="AT112">
            <v>240</v>
          </cell>
          <cell r="AU112">
            <v>105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279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932.27</v>
          </cell>
          <cell r="BK112">
            <v>0</v>
          </cell>
          <cell r="BL112">
            <v>932.27</v>
          </cell>
        </row>
        <row r="113">
          <cell r="B113" t="str">
            <v>LMIXSOL2</v>
          </cell>
          <cell r="C113">
            <v>24480</v>
          </cell>
          <cell r="D113">
            <v>15810</v>
          </cell>
          <cell r="E113">
            <v>21150</v>
          </cell>
          <cell r="F113">
            <v>12480</v>
          </cell>
          <cell r="G113">
            <v>3330</v>
          </cell>
          <cell r="H113">
            <v>3330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3330</v>
          </cell>
          <cell r="P113">
            <v>3330</v>
          </cell>
          <cell r="Q113">
            <v>787</v>
          </cell>
          <cell r="R113">
            <v>787</v>
          </cell>
          <cell r="S113">
            <v>2543</v>
          </cell>
          <cell r="T113">
            <v>2543</v>
          </cell>
          <cell r="U113">
            <v>105</v>
          </cell>
          <cell r="V113">
            <v>105</v>
          </cell>
          <cell r="W113">
            <v>0</v>
          </cell>
          <cell r="X113">
            <v>0</v>
          </cell>
          <cell r="Y113">
            <v>0</v>
          </cell>
          <cell r="Z113">
            <v>65</v>
          </cell>
          <cell r="AA113">
            <v>0</v>
          </cell>
          <cell r="AB113">
            <v>0</v>
          </cell>
          <cell r="AC113">
            <v>0</v>
          </cell>
          <cell r="AD113">
            <v>65</v>
          </cell>
          <cell r="AE113">
            <v>0</v>
          </cell>
          <cell r="AF113">
            <v>1736</v>
          </cell>
          <cell r="AG113">
            <v>1471</v>
          </cell>
          <cell r="AH113">
            <v>225</v>
          </cell>
          <cell r="AI113">
            <v>0</v>
          </cell>
          <cell r="AJ113">
            <v>0</v>
          </cell>
          <cell r="AK113">
            <v>40</v>
          </cell>
          <cell r="AL113">
            <v>0</v>
          </cell>
          <cell r="AM113">
            <v>0</v>
          </cell>
          <cell r="AN113">
            <v>0</v>
          </cell>
          <cell r="AO113">
            <v>637</v>
          </cell>
          <cell r="AP113">
            <v>0</v>
          </cell>
          <cell r="AQ113">
            <v>0</v>
          </cell>
          <cell r="AR113">
            <v>210</v>
          </cell>
          <cell r="AS113">
            <v>0</v>
          </cell>
          <cell r="AT113">
            <v>190</v>
          </cell>
          <cell r="AU113">
            <v>0</v>
          </cell>
          <cell r="AV113">
            <v>0</v>
          </cell>
          <cell r="AW113">
            <v>0</v>
          </cell>
          <cell r="AX113">
            <v>95</v>
          </cell>
          <cell r="AY113">
            <v>0</v>
          </cell>
          <cell r="AZ113">
            <v>0</v>
          </cell>
          <cell r="BA113">
            <v>142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965.95</v>
          </cell>
          <cell r="BK113">
            <v>0</v>
          </cell>
          <cell r="BL113">
            <v>965.95</v>
          </cell>
        </row>
        <row r="114">
          <cell r="B114" t="str">
            <v>NBL SOL-COATING</v>
          </cell>
          <cell r="C114">
            <v>48960</v>
          </cell>
          <cell r="D114">
            <v>16320</v>
          </cell>
          <cell r="E114">
            <v>37590</v>
          </cell>
          <cell r="F114">
            <v>4950</v>
          </cell>
          <cell r="G114">
            <v>11370</v>
          </cell>
          <cell r="H114">
            <v>11370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11370</v>
          </cell>
          <cell r="P114">
            <v>11370</v>
          </cell>
          <cell r="Q114">
            <v>4621</v>
          </cell>
          <cell r="R114">
            <v>4621</v>
          </cell>
          <cell r="S114">
            <v>6749</v>
          </cell>
          <cell r="T114">
            <v>6749</v>
          </cell>
          <cell r="U114">
            <v>249</v>
          </cell>
          <cell r="V114">
            <v>214</v>
          </cell>
          <cell r="W114">
            <v>0</v>
          </cell>
          <cell r="X114">
            <v>35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4505</v>
          </cell>
          <cell r="AG114">
            <v>1140</v>
          </cell>
          <cell r="AH114">
            <v>2955</v>
          </cell>
          <cell r="AI114">
            <v>0</v>
          </cell>
          <cell r="AJ114">
            <v>0</v>
          </cell>
          <cell r="AK114">
            <v>410</v>
          </cell>
          <cell r="AL114">
            <v>0</v>
          </cell>
          <cell r="AM114">
            <v>0</v>
          </cell>
          <cell r="AN114">
            <v>0</v>
          </cell>
          <cell r="AO114">
            <v>1995</v>
          </cell>
          <cell r="AP114">
            <v>0</v>
          </cell>
          <cell r="AQ114">
            <v>0</v>
          </cell>
          <cell r="AR114">
            <v>675</v>
          </cell>
          <cell r="AS114">
            <v>0</v>
          </cell>
          <cell r="AT114">
            <v>490</v>
          </cell>
          <cell r="AU114">
            <v>0</v>
          </cell>
          <cell r="AV114">
            <v>0</v>
          </cell>
          <cell r="AW114">
            <v>0</v>
          </cell>
          <cell r="AX114">
            <v>380</v>
          </cell>
          <cell r="AY114">
            <v>295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105</v>
          </cell>
          <cell r="BG114">
            <v>50</v>
          </cell>
          <cell r="BH114">
            <v>0</v>
          </cell>
          <cell r="BI114">
            <v>0</v>
          </cell>
          <cell r="BJ114">
            <v>2024.19</v>
          </cell>
          <cell r="BK114">
            <v>0.78</v>
          </cell>
          <cell r="BL114">
            <v>2023.41</v>
          </cell>
        </row>
        <row r="115">
          <cell r="B115" t="str">
            <v>COT101</v>
          </cell>
          <cell r="C115">
            <v>24480</v>
          </cell>
          <cell r="D115">
            <v>8160</v>
          </cell>
          <cell r="E115">
            <v>19290</v>
          </cell>
          <cell r="F115">
            <v>2970</v>
          </cell>
          <cell r="G115">
            <v>5190</v>
          </cell>
          <cell r="H115">
            <v>5190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5190</v>
          </cell>
          <cell r="P115">
            <v>5190</v>
          </cell>
          <cell r="Q115">
            <v>1920</v>
          </cell>
          <cell r="R115">
            <v>1920</v>
          </cell>
          <cell r="S115">
            <v>3270</v>
          </cell>
          <cell r="T115">
            <v>3270</v>
          </cell>
          <cell r="U115">
            <v>85</v>
          </cell>
          <cell r="V115">
            <v>85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2220</v>
          </cell>
          <cell r="AG115">
            <v>465</v>
          </cell>
          <cell r="AH115">
            <v>1570</v>
          </cell>
          <cell r="AI115">
            <v>0</v>
          </cell>
          <cell r="AJ115">
            <v>0</v>
          </cell>
          <cell r="AK115">
            <v>185</v>
          </cell>
          <cell r="AL115">
            <v>0</v>
          </cell>
          <cell r="AM115">
            <v>0</v>
          </cell>
          <cell r="AN115">
            <v>0</v>
          </cell>
          <cell r="AO115">
            <v>965</v>
          </cell>
          <cell r="AP115">
            <v>0</v>
          </cell>
          <cell r="AQ115">
            <v>0</v>
          </cell>
          <cell r="AR115">
            <v>330</v>
          </cell>
          <cell r="AS115">
            <v>0</v>
          </cell>
          <cell r="AT115">
            <v>200</v>
          </cell>
          <cell r="AU115">
            <v>0</v>
          </cell>
          <cell r="AV115">
            <v>0</v>
          </cell>
          <cell r="AW115">
            <v>0</v>
          </cell>
          <cell r="AX115">
            <v>210</v>
          </cell>
          <cell r="AY115">
            <v>155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70</v>
          </cell>
          <cell r="BG115">
            <v>0</v>
          </cell>
          <cell r="BH115">
            <v>0</v>
          </cell>
          <cell r="BI115">
            <v>0</v>
          </cell>
          <cell r="BJ115">
            <v>444.25</v>
          </cell>
          <cell r="BK115">
            <v>0.27</v>
          </cell>
          <cell r="BL115">
            <v>443.98</v>
          </cell>
        </row>
        <row r="116">
          <cell r="B116" t="str">
            <v>COT102</v>
          </cell>
          <cell r="C116">
            <v>24480</v>
          </cell>
          <cell r="D116">
            <v>8160</v>
          </cell>
          <cell r="E116">
            <v>18300</v>
          </cell>
          <cell r="F116">
            <v>1980</v>
          </cell>
          <cell r="G116">
            <v>6180</v>
          </cell>
          <cell r="H116">
            <v>6180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6180</v>
          </cell>
          <cell r="P116">
            <v>6180</v>
          </cell>
          <cell r="Q116">
            <v>2701</v>
          </cell>
          <cell r="R116">
            <v>2701</v>
          </cell>
          <cell r="S116">
            <v>3479</v>
          </cell>
          <cell r="T116">
            <v>3479</v>
          </cell>
          <cell r="U116">
            <v>164</v>
          </cell>
          <cell r="V116">
            <v>129</v>
          </cell>
          <cell r="W116">
            <v>0</v>
          </cell>
          <cell r="X116">
            <v>35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2285</v>
          </cell>
          <cell r="AG116">
            <v>675</v>
          </cell>
          <cell r="AH116">
            <v>1385</v>
          </cell>
          <cell r="AI116">
            <v>0</v>
          </cell>
          <cell r="AJ116">
            <v>0</v>
          </cell>
          <cell r="AK116">
            <v>225</v>
          </cell>
          <cell r="AL116">
            <v>0</v>
          </cell>
          <cell r="AM116">
            <v>0</v>
          </cell>
          <cell r="AN116">
            <v>0</v>
          </cell>
          <cell r="AO116">
            <v>1030</v>
          </cell>
          <cell r="AP116">
            <v>0</v>
          </cell>
          <cell r="AQ116">
            <v>0</v>
          </cell>
          <cell r="AR116">
            <v>345</v>
          </cell>
          <cell r="AS116">
            <v>0</v>
          </cell>
          <cell r="AT116">
            <v>290</v>
          </cell>
          <cell r="AU116">
            <v>0</v>
          </cell>
          <cell r="AV116">
            <v>0</v>
          </cell>
          <cell r="AW116">
            <v>0</v>
          </cell>
          <cell r="AX116">
            <v>170</v>
          </cell>
          <cell r="AY116">
            <v>140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35</v>
          </cell>
          <cell r="BG116">
            <v>50</v>
          </cell>
          <cell r="BH116">
            <v>0</v>
          </cell>
          <cell r="BI116">
            <v>0</v>
          </cell>
          <cell r="BJ116">
            <v>1579.94</v>
          </cell>
          <cell r="BK116">
            <v>0.51</v>
          </cell>
          <cell r="BL116">
            <v>1579.43</v>
          </cell>
        </row>
        <row r="117">
          <cell r="B117" t="str">
            <v>NBL SOL-TABLETING</v>
          </cell>
          <cell r="C117">
            <v>73440</v>
          </cell>
          <cell r="D117">
            <v>39780</v>
          </cell>
          <cell r="E117">
            <v>43260</v>
          </cell>
          <cell r="F117">
            <v>9600</v>
          </cell>
          <cell r="G117">
            <v>30180</v>
          </cell>
          <cell r="H117">
            <v>30180</v>
          </cell>
          <cell r="I117">
            <v>2110</v>
          </cell>
          <cell r="J117">
            <v>2110</v>
          </cell>
          <cell r="K117">
            <v>2110</v>
          </cell>
          <cell r="L117">
            <v>70</v>
          </cell>
          <cell r="M117">
            <v>2040</v>
          </cell>
          <cell r="N117">
            <v>0</v>
          </cell>
          <cell r="O117">
            <v>28070</v>
          </cell>
          <cell r="P117">
            <v>28070</v>
          </cell>
          <cell r="Q117">
            <v>9035</v>
          </cell>
          <cell r="R117">
            <v>9035</v>
          </cell>
          <cell r="S117">
            <v>19035</v>
          </cell>
          <cell r="T117">
            <v>19035</v>
          </cell>
          <cell r="U117">
            <v>2910</v>
          </cell>
          <cell r="V117">
            <v>2540</v>
          </cell>
          <cell r="W117">
            <v>0</v>
          </cell>
          <cell r="X117">
            <v>0</v>
          </cell>
          <cell r="Y117">
            <v>370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4595</v>
          </cell>
          <cell r="AG117">
            <v>930</v>
          </cell>
          <cell r="AH117">
            <v>2725</v>
          </cell>
          <cell r="AI117">
            <v>135</v>
          </cell>
          <cell r="AJ117">
            <v>0</v>
          </cell>
          <cell r="AK117">
            <v>805</v>
          </cell>
          <cell r="AL117">
            <v>925</v>
          </cell>
          <cell r="AM117">
            <v>15</v>
          </cell>
          <cell r="AN117">
            <v>910</v>
          </cell>
          <cell r="AO117">
            <v>10605</v>
          </cell>
          <cell r="AP117">
            <v>0</v>
          </cell>
          <cell r="AQ117">
            <v>0</v>
          </cell>
          <cell r="AR117">
            <v>1610</v>
          </cell>
          <cell r="AS117">
            <v>0</v>
          </cell>
          <cell r="AT117">
            <v>1385</v>
          </cell>
          <cell r="AU117">
            <v>2240</v>
          </cell>
          <cell r="AV117">
            <v>0</v>
          </cell>
          <cell r="AW117">
            <v>0</v>
          </cell>
          <cell r="AX117">
            <v>875</v>
          </cell>
          <cell r="AY117">
            <v>825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90</v>
          </cell>
          <cell r="BE117">
            <v>0</v>
          </cell>
          <cell r="BF117">
            <v>3395</v>
          </cell>
          <cell r="BG117">
            <v>185</v>
          </cell>
          <cell r="BH117">
            <v>0</v>
          </cell>
          <cell r="BI117">
            <v>0</v>
          </cell>
          <cell r="BJ117">
            <v>6938162</v>
          </cell>
          <cell r="BK117">
            <v>1479</v>
          </cell>
          <cell r="BL117">
            <v>6936683</v>
          </cell>
        </row>
        <row r="118">
          <cell r="B118" t="str">
            <v>TAB101</v>
          </cell>
          <cell r="C118">
            <v>24480</v>
          </cell>
          <cell r="D118">
            <v>15810</v>
          </cell>
          <cell r="E118">
            <v>13590</v>
          </cell>
          <cell r="F118">
            <v>4920</v>
          </cell>
          <cell r="G118">
            <v>10890</v>
          </cell>
          <cell r="H118">
            <v>10890</v>
          </cell>
          <cell r="I118">
            <v>1325</v>
          </cell>
          <cell r="J118">
            <v>1325</v>
          </cell>
          <cell r="K118">
            <v>1325</v>
          </cell>
          <cell r="L118">
            <v>0</v>
          </cell>
          <cell r="M118">
            <v>1325</v>
          </cell>
          <cell r="N118">
            <v>0</v>
          </cell>
          <cell r="O118">
            <v>9565</v>
          </cell>
          <cell r="P118">
            <v>9565</v>
          </cell>
          <cell r="Q118">
            <v>2580</v>
          </cell>
          <cell r="R118">
            <v>2580</v>
          </cell>
          <cell r="S118">
            <v>6985</v>
          </cell>
          <cell r="T118">
            <v>6985</v>
          </cell>
          <cell r="U118">
            <v>1000</v>
          </cell>
          <cell r="V118">
            <v>960</v>
          </cell>
          <cell r="W118">
            <v>0</v>
          </cell>
          <cell r="X118">
            <v>0</v>
          </cell>
          <cell r="Y118">
            <v>40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1745</v>
          </cell>
          <cell r="AG118">
            <v>335</v>
          </cell>
          <cell r="AH118">
            <v>1065</v>
          </cell>
          <cell r="AI118">
            <v>70</v>
          </cell>
          <cell r="AJ118">
            <v>0</v>
          </cell>
          <cell r="AK118">
            <v>275</v>
          </cell>
          <cell r="AL118">
            <v>925</v>
          </cell>
          <cell r="AM118">
            <v>15</v>
          </cell>
          <cell r="AN118">
            <v>910</v>
          </cell>
          <cell r="AO118">
            <v>3315</v>
          </cell>
          <cell r="AP118">
            <v>0</v>
          </cell>
          <cell r="AQ118">
            <v>0</v>
          </cell>
          <cell r="AR118">
            <v>440</v>
          </cell>
          <cell r="AS118">
            <v>0</v>
          </cell>
          <cell r="AT118">
            <v>435</v>
          </cell>
          <cell r="AU118">
            <v>1095</v>
          </cell>
          <cell r="AV118">
            <v>0</v>
          </cell>
          <cell r="AW118">
            <v>0</v>
          </cell>
          <cell r="AX118">
            <v>405</v>
          </cell>
          <cell r="AY118">
            <v>195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745</v>
          </cell>
          <cell r="BG118">
            <v>0</v>
          </cell>
          <cell r="BH118">
            <v>0</v>
          </cell>
          <cell r="BI118">
            <v>0</v>
          </cell>
          <cell r="BJ118">
            <v>2607619</v>
          </cell>
          <cell r="BK118">
            <v>932</v>
          </cell>
          <cell r="BL118">
            <v>2606687</v>
          </cell>
        </row>
        <row r="119">
          <cell r="B119" t="str">
            <v>TAB105</v>
          </cell>
          <cell r="C119">
            <v>24480</v>
          </cell>
          <cell r="D119">
            <v>15810</v>
          </cell>
          <cell r="E119">
            <v>12300</v>
          </cell>
          <cell r="F119">
            <v>3630</v>
          </cell>
          <cell r="G119">
            <v>12180</v>
          </cell>
          <cell r="H119">
            <v>12180</v>
          </cell>
          <cell r="I119">
            <v>140</v>
          </cell>
          <cell r="J119">
            <v>140</v>
          </cell>
          <cell r="K119">
            <v>140</v>
          </cell>
          <cell r="L119">
            <v>50</v>
          </cell>
          <cell r="M119">
            <v>90</v>
          </cell>
          <cell r="N119">
            <v>0</v>
          </cell>
          <cell r="O119">
            <v>12040</v>
          </cell>
          <cell r="P119">
            <v>12040</v>
          </cell>
          <cell r="Q119">
            <v>4730</v>
          </cell>
          <cell r="R119">
            <v>4730</v>
          </cell>
          <cell r="S119">
            <v>7310</v>
          </cell>
          <cell r="T119">
            <v>7310</v>
          </cell>
          <cell r="U119">
            <v>1160</v>
          </cell>
          <cell r="V119">
            <v>940</v>
          </cell>
          <cell r="W119">
            <v>0</v>
          </cell>
          <cell r="X119">
            <v>0</v>
          </cell>
          <cell r="Y119">
            <v>220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1565</v>
          </cell>
          <cell r="AG119">
            <v>165</v>
          </cell>
          <cell r="AH119">
            <v>1020</v>
          </cell>
          <cell r="AI119">
            <v>65</v>
          </cell>
          <cell r="AJ119">
            <v>0</v>
          </cell>
          <cell r="AK119">
            <v>315</v>
          </cell>
          <cell r="AL119">
            <v>0</v>
          </cell>
          <cell r="AM119">
            <v>0</v>
          </cell>
          <cell r="AN119">
            <v>0</v>
          </cell>
          <cell r="AO119">
            <v>4585</v>
          </cell>
          <cell r="AP119">
            <v>0</v>
          </cell>
          <cell r="AQ119">
            <v>0</v>
          </cell>
          <cell r="AR119">
            <v>810</v>
          </cell>
          <cell r="AS119">
            <v>0</v>
          </cell>
          <cell r="AT119">
            <v>695</v>
          </cell>
          <cell r="AU119">
            <v>710</v>
          </cell>
          <cell r="AV119">
            <v>0</v>
          </cell>
          <cell r="AW119">
            <v>0</v>
          </cell>
          <cell r="AX119">
            <v>470</v>
          </cell>
          <cell r="AY119">
            <v>315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90</v>
          </cell>
          <cell r="BE119">
            <v>0</v>
          </cell>
          <cell r="BF119">
            <v>1495</v>
          </cell>
          <cell r="BG119">
            <v>0</v>
          </cell>
          <cell r="BH119">
            <v>0</v>
          </cell>
          <cell r="BI119">
            <v>0</v>
          </cell>
          <cell r="BJ119">
            <v>2848994</v>
          </cell>
          <cell r="BK119">
            <v>547</v>
          </cell>
          <cell r="BL119">
            <v>2848447</v>
          </cell>
        </row>
        <row r="120">
          <cell r="B120" t="str">
            <v>TAB103</v>
          </cell>
          <cell r="C120">
            <v>24480</v>
          </cell>
          <cell r="D120">
            <v>8160</v>
          </cell>
          <cell r="E120">
            <v>17370</v>
          </cell>
          <cell r="F120">
            <v>1050</v>
          </cell>
          <cell r="G120">
            <v>7110</v>
          </cell>
          <cell r="H120">
            <v>7110</v>
          </cell>
          <cell r="I120">
            <v>645</v>
          </cell>
          <cell r="J120">
            <v>645</v>
          </cell>
          <cell r="K120">
            <v>645</v>
          </cell>
          <cell r="L120">
            <v>20</v>
          </cell>
          <cell r="M120">
            <v>625</v>
          </cell>
          <cell r="N120">
            <v>0</v>
          </cell>
          <cell r="O120">
            <v>6465</v>
          </cell>
          <cell r="P120">
            <v>6465</v>
          </cell>
          <cell r="Q120">
            <v>1725</v>
          </cell>
          <cell r="R120">
            <v>1725</v>
          </cell>
          <cell r="S120">
            <v>4740</v>
          </cell>
          <cell r="T120">
            <v>4740</v>
          </cell>
          <cell r="U120">
            <v>750</v>
          </cell>
          <cell r="V120">
            <v>640</v>
          </cell>
          <cell r="W120">
            <v>0</v>
          </cell>
          <cell r="X120">
            <v>0</v>
          </cell>
          <cell r="Y120">
            <v>110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1285</v>
          </cell>
          <cell r="AG120">
            <v>430</v>
          </cell>
          <cell r="AH120">
            <v>640</v>
          </cell>
          <cell r="AI120">
            <v>0</v>
          </cell>
          <cell r="AJ120">
            <v>0</v>
          </cell>
          <cell r="AK120">
            <v>215</v>
          </cell>
          <cell r="AL120">
            <v>0</v>
          </cell>
          <cell r="AM120">
            <v>0</v>
          </cell>
          <cell r="AN120">
            <v>0</v>
          </cell>
          <cell r="AO120">
            <v>2705</v>
          </cell>
          <cell r="AP120">
            <v>0</v>
          </cell>
          <cell r="AQ120">
            <v>0</v>
          </cell>
          <cell r="AR120">
            <v>360</v>
          </cell>
          <cell r="AS120">
            <v>0</v>
          </cell>
          <cell r="AT120">
            <v>255</v>
          </cell>
          <cell r="AU120">
            <v>435</v>
          </cell>
          <cell r="AV120">
            <v>0</v>
          </cell>
          <cell r="AW120">
            <v>0</v>
          </cell>
          <cell r="AX120">
            <v>0</v>
          </cell>
          <cell r="AY120">
            <v>315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1155</v>
          </cell>
          <cell r="BG120">
            <v>185</v>
          </cell>
          <cell r="BH120">
            <v>0</v>
          </cell>
          <cell r="BI120">
            <v>0</v>
          </cell>
          <cell r="BJ120">
            <v>1481549</v>
          </cell>
          <cell r="BK120">
            <v>0</v>
          </cell>
          <cell r="BL120">
            <v>1481549</v>
          </cell>
        </row>
        <row r="121">
          <cell r="B121" t="str">
            <v>NBL SOL-CAPSULE</v>
          </cell>
          <cell r="C121">
            <v>48960</v>
          </cell>
          <cell r="D121">
            <v>16320</v>
          </cell>
          <cell r="E121">
            <v>42840</v>
          </cell>
          <cell r="F121">
            <v>10200</v>
          </cell>
          <cell r="G121">
            <v>6120</v>
          </cell>
          <cell r="H121">
            <v>6120</v>
          </cell>
          <cell r="I121">
            <v>1009</v>
          </cell>
          <cell r="J121">
            <v>1009</v>
          </cell>
          <cell r="K121">
            <v>1009</v>
          </cell>
          <cell r="L121">
            <v>64</v>
          </cell>
          <cell r="M121">
            <v>945</v>
          </cell>
          <cell r="N121">
            <v>0</v>
          </cell>
          <cell r="O121">
            <v>5111</v>
          </cell>
          <cell r="P121">
            <v>5111</v>
          </cell>
          <cell r="Q121">
            <v>1505</v>
          </cell>
          <cell r="R121">
            <v>1505</v>
          </cell>
          <cell r="S121">
            <v>3606</v>
          </cell>
          <cell r="T121">
            <v>3606</v>
          </cell>
          <cell r="U121">
            <v>645</v>
          </cell>
          <cell r="V121">
            <v>645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1616</v>
          </cell>
          <cell r="AG121">
            <v>866</v>
          </cell>
          <cell r="AH121">
            <v>555</v>
          </cell>
          <cell r="AI121">
            <v>90</v>
          </cell>
          <cell r="AJ121">
            <v>0</v>
          </cell>
          <cell r="AK121">
            <v>105</v>
          </cell>
          <cell r="AL121">
            <v>0</v>
          </cell>
          <cell r="AM121">
            <v>0</v>
          </cell>
          <cell r="AN121">
            <v>0</v>
          </cell>
          <cell r="AO121">
            <v>1345</v>
          </cell>
          <cell r="AP121">
            <v>0</v>
          </cell>
          <cell r="AQ121">
            <v>0</v>
          </cell>
          <cell r="AR121">
            <v>240</v>
          </cell>
          <cell r="AS121">
            <v>0</v>
          </cell>
          <cell r="AT121">
            <v>185</v>
          </cell>
          <cell r="AU121">
            <v>310</v>
          </cell>
          <cell r="AV121">
            <v>0</v>
          </cell>
          <cell r="AW121">
            <v>0</v>
          </cell>
          <cell r="AX121">
            <v>170</v>
          </cell>
          <cell r="AY121">
            <v>80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210</v>
          </cell>
          <cell r="BG121">
            <v>150</v>
          </cell>
          <cell r="BH121">
            <v>0</v>
          </cell>
          <cell r="BI121">
            <v>0</v>
          </cell>
          <cell r="BJ121">
            <v>570050</v>
          </cell>
          <cell r="BK121">
            <v>0</v>
          </cell>
          <cell r="BL121">
            <v>570050</v>
          </cell>
        </row>
        <row r="122">
          <cell r="B122" t="str">
            <v>KAP101</v>
          </cell>
          <cell r="C122">
            <v>24480</v>
          </cell>
          <cell r="D122">
            <v>8160</v>
          </cell>
          <cell r="E122">
            <v>19890</v>
          </cell>
          <cell r="F122">
            <v>3570</v>
          </cell>
          <cell r="G122">
            <v>4590</v>
          </cell>
          <cell r="H122">
            <v>4590</v>
          </cell>
          <cell r="I122">
            <v>694</v>
          </cell>
          <cell r="J122">
            <v>694</v>
          </cell>
          <cell r="K122">
            <v>694</v>
          </cell>
          <cell r="L122">
            <v>64</v>
          </cell>
          <cell r="M122">
            <v>630</v>
          </cell>
          <cell r="N122">
            <v>0</v>
          </cell>
          <cell r="O122">
            <v>3896</v>
          </cell>
          <cell r="P122">
            <v>3896</v>
          </cell>
          <cell r="Q122">
            <v>1160</v>
          </cell>
          <cell r="R122">
            <v>1160</v>
          </cell>
          <cell r="S122">
            <v>2736</v>
          </cell>
          <cell r="T122">
            <v>2736</v>
          </cell>
          <cell r="U122">
            <v>510</v>
          </cell>
          <cell r="V122">
            <v>510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1381</v>
          </cell>
          <cell r="AG122">
            <v>826</v>
          </cell>
          <cell r="AH122">
            <v>400</v>
          </cell>
          <cell r="AI122">
            <v>90</v>
          </cell>
          <cell r="AJ122">
            <v>0</v>
          </cell>
          <cell r="AK122">
            <v>65</v>
          </cell>
          <cell r="AL122">
            <v>0</v>
          </cell>
          <cell r="AM122">
            <v>0</v>
          </cell>
          <cell r="AN122">
            <v>0</v>
          </cell>
          <cell r="AO122">
            <v>845</v>
          </cell>
          <cell r="AP122">
            <v>0</v>
          </cell>
          <cell r="AQ122">
            <v>0</v>
          </cell>
          <cell r="AR122">
            <v>210</v>
          </cell>
          <cell r="AS122">
            <v>0</v>
          </cell>
          <cell r="AT122">
            <v>170</v>
          </cell>
          <cell r="AU122">
            <v>25</v>
          </cell>
          <cell r="AV122">
            <v>0</v>
          </cell>
          <cell r="AW122">
            <v>0</v>
          </cell>
          <cell r="AX122">
            <v>0</v>
          </cell>
          <cell r="AY122">
            <v>80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210</v>
          </cell>
          <cell r="BG122">
            <v>150</v>
          </cell>
          <cell r="BH122">
            <v>0</v>
          </cell>
          <cell r="BI122">
            <v>0</v>
          </cell>
          <cell r="BJ122">
            <v>284946</v>
          </cell>
          <cell r="BK122">
            <v>0</v>
          </cell>
          <cell r="BL122">
            <v>284946</v>
          </cell>
        </row>
        <row r="123">
          <cell r="B123" t="str">
            <v>KAP103</v>
          </cell>
          <cell r="C123">
            <v>24480</v>
          </cell>
          <cell r="D123">
            <v>8160</v>
          </cell>
          <cell r="E123">
            <v>22950</v>
          </cell>
          <cell r="F123">
            <v>6630</v>
          </cell>
          <cell r="G123">
            <v>1530</v>
          </cell>
          <cell r="H123">
            <v>1530</v>
          </cell>
          <cell r="I123">
            <v>315</v>
          </cell>
          <cell r="J123">
            <v>315</v>
          </cell>
          <cell r="K123">
            <v>315</v>
          </cell>
          <cell r="L123">
            <v>0</v>
          </cell>
          <cell r="M123">
            <v>315</v>
          </cell>
          <cell r="N123">
            <v>0</v>
          </cell>
          <cell r="O123">
            <v>1215</v>
          </cell>
          <cell r="P123">
            <v>1215</v>
          </cell>
          <cell r="Q123">
            <v>345</v>
          </cell>
          <cell r="R123">
            <v>345</v>
          </cell>
          <cell r="S123">
            <v>870</v>
          </cell>
          <cell r="T123">
            <v>870</v>
          </cell>
          <cell r="U123">
            <v>135</v>
          </cell>
          <cell r="V123">
            <v>135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235</v>
          </cell>
          <cell r="AG123">
            <v>40</v>
          </cell>
          <cell r="AH123">
            <v>155</v>
          </cell>
          <cell r="AI123">
            <v>0</v>
          </cell>
          <cell r="AJ123">
            <v>0</v>
          </cell>
          <cell r="AK123">
            <v>40</v>
          </cell>
          <cell r="AL123">
            <v>0</v>
          </cell>
          <cell r="AM123">
            <v>0</v>
          </cell>
          <cell r="AN123">
            <v>0</v>
          </cell>
          <cell r="AO123">
            <v>500</v>
          </cell>
          <cell r="AP123">
            <v>0</v>
          </cell>
          <cell r="AQ123">
            <v>0</v>
          </cell>
          <cell r="AR123">
            <v>30</v>
          </cell>
          <cell r="AS123">
            <v>0</v>
          </cell>
          <cell r="AT123">
            <v>15</v>
          </cell>
          <cell r="AU123">
            <v>285</v>
          </cell>
          <cell r="AV123">
            <v>0</v>
          </cell>
          <cell r="AW123">
            <v>0</v>
          </cell>
          <cell r="AX123">
            <v>170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285104</v>
          </cell>
          <cell r="BK123">
            <v>0</v>
          </cell>
          <cell r="BL123">
            <v>285104</v>
          </cell>
        </row>
        <row r="124">
          <cell r="B124" t="str">
            <v>NBL SOL-STRIPPING</v>
          </cell>
          <cell r="C124">
            <v>126720</v>
          </cell>
          <cell r="D124">
            <v>58440</v>
          </cell>
          <cell r="E124">
            <v>77100</v>
          </cell>
          <cell r="F124">
            <v>8820</v>
          </cell>
          <cell r="G124">
            <v>49620</v>
          </cell>
          <cell r="H124">
            <v>49620</v>
          </cell>
          <cell r="I124">
            <v>645</v>
          </cell>
          <cell r="J124">
            <v>645</v>
          </cell>
          <cell r="K124">
            <v>645</v>
          </cell>
          <cell r="L124">
            <v>30</v>
          </cell>
          <cell r="M124">
            <v>615</v>
          </cell>
          <cell r="N124">
            <v>0</v>
          </cell>
          <cell r="O124">
            <v>48975</v>
          </cell>
          <cell r="P124">
            <v>48975</v>
          </cell>
          <cell r="Q124">
            <v>17400</v>
          </cell>
          <cell r="R124">
            <v>17400</v>
          </cell>
          <cell r="S124">
            <v>31575</v>
          </cell>
          <cell r="T124">
            <v>31575</v>
          </cell>
          <cell r="U124">
            <v>7650</v>
          </cell>
          <cell r="V124">
            <v>4680</v>
          </cell>
          <cell r="W124">
            <v>0</v>
          </cell>
          <cell r="X124">
            <v>2920</v>
          </cell>
          <cell r="Y124">
            <v>50</v>
          </cell>
          <cell r="Z124">
            <v>845</v>
          </cell>
          <cell r="AA124">
            <v>595</v>
          </cell>
          <cell r="AB124">
            <v>155</v>
          </cell>
          <cell r="AC124">
            <v>0</v>
          </cell>
          <cell r="AD124">
            <v>0</v>
          </cell>
          <cell r="AE124">
            <v>95</v>
          </cell>
          <cell r="AF124">
            <v>12270</v>
          </cell>
          <cell r="AG124">
            <v>6785</v>
          </cell>
          <cell r="AH124">
            <v>1990</v>
          </cell>
          <cell r="AI124">
            <v>2590</v>
          </cell>
          <cell r="AJ124">
            <v>0</v>
          </cell>
          <cell r="AK124">
            <v>905</v>
          </cell>
          <cell r="AL124">
            <v>440</v>
          </cell>
          <cell r="AM124">
            <v>0</v>
          </cell>
          <cell r="AN124">
            <v>440</v>
          </cell>
          <cell r="AO124">
            <v>10370</v>
          </cell>
          <cell r="AP124">
            <v>0</v>
          </cell>
          <cell r="AQ124">
            <v>0</v>
          </cell>
          <cell r="AR124">
            <v>3145</v>
          </cell>
          <cell r="AS124">
            <v>0</v>
          </cell>
          <cell r="AT124">
            <v>2655</v>
          </cell>
          <cell r="AU124">
            <v>585</v>
          </cell>
          <cell r="AV124">
            <v>0</v>
          </cell>
          <cell r="AW124">
            <v>0</v>
          </cell>
          <cell r="AX124">
            <v>0</v>
          </cell>
          <cell r="AY124">
            <v>1810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2065</v>
          </cell>
          <cell r="BG124">
            <v>105</v>
          </cell>
          <cell r="BH124">
            <v>0</v>
          </cell>
          <cell r="BI124">
            <v>5</v>
          </cell>
          <cell r="BJ124">
            <v>10042341</v>
          </cell>
          <cell r="BK124">
            <v>69797</v>
          </cell>
          <cell r="BL124">
            <v>9972544</v>
          </cell>
        </row>
        <row r="125">
          <cell r="B125" t="str">
            <v>STR105</v>
          </cell>
          <cell r="C125">
            <v>24480</v>
          </cell>
          <cell r="D125">
            <v>8160</v>
          </cell>
          <cell r="E125">
            <v>21180</v>
          </cell>
          <cell r="F125">
            <v>4860</v>
          </cell>
          <cell r="G125">
            <v>3300</v>
          </cell>
          <cell r="H125">
            <v>3300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3300</v>
          </cell>
          <cell r="P125">
            <v>3300</v>
          </cell>
          <cell r="Q125">
            <v>940</v>
          </cell>
          <cell r="R125">
            <v>940</v>
          </cell>
          <cell r="S125">
            <v>2360</v>
          </cell>
          <cell r="T125">
            <v>2360</v>
          </cell>
          <cell r="U125">
            <v>605</v>
          </cell>
          <cell r="V125">
            <v>410</v>
          </cell>
          <cell r="W125">
            <v>0</v>
          </cell>
          <cell r="X125">
            <v>195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760</v>
          </cell>
          <cell r="AG125">
            <v>495</v>
          </cell>
          <cell r="AH125">
            <v>65</v>
          </cell>
          <cell r="AI125">
            <v>155</v>
          </cell>
          <cell r="AJ125">
            <v>0</v>
          </cell>
          <cell r="AK125">
            <v>45</v>
          </cell>
          <cell r="AL125">
            <v>0</v>
          </cell>
          <cell r="AM125">
            <v>0</v>
          </cell>
          <cell r="AN125">
            <v>0</v>
          </cell>
          <cell r="AO125">
            <v>995</v>
          </cell>
          <cell r="AP125">
            <v>0</v>
          </cell>
          <cell r="AQ125">
            <v>0</v>
          </cell>
          <cell r="AR125">
            <v>210</v>
          </cell>
          <cell r="AS125">
            <v>0</v>
          </cell>
          <cell r="AT125">
            <v>165</v>
          </cell>
          <cell r="AU125">
            <v>105</v>
          </cell>
          <cell r="AV125">
            <v>0</v>
          </cell>
          <cell r="AW125">
            <v>0</v>
          </cell>
          <cell r="AX125">
            <v>0</v>
          </cell>
          <cell r="AY125">
            <v>120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395</v>
          </cell>
          <cell r="BG125">
            <v>0</v>
          </cell>
          <cell r="BH125">
            <v>0</v>
          </cell>
          <cell r="BI125">
            <v>0</v>
          </cell>
          <cell r="BJ125">
            <v>339387</v>
          </cell>
          <cell r="BK125">
            <v>3135</v>
          </cell>
          <cell r="BL125">
            <v>336252</v>
          </cell>
        </row>
        <row r="126">
          <cell r="B126" t="str">
            <v>STR102</v>
          </cell>
          <cell r="C126">
            <v>25920</v>
          </cell>
          <cell r="D126">
            <v>16740</v>
          </cell>
          <cell r="E126">
            <v>11460</v>
          </cell>
          <cell r="F126">
            <v>2280</v>
          </cell>
          <cell r="G126">
            <v>14460</v>
          </cell>
          <cell r="H126">
            <v>14460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14460</v>
          </cell>
          <cell r="P126">
            <v>14460</v>
          </cell>
          <cell r="Q126">
            <v>4095</v>
          </cell>
          <cell r="R126">
            <v>4095</v>
          </cell>
          <cell r="S126">
            <v>10365</v>
          </cell>
          <cell r="T126">
            <v>10365</v>
          </cell>
          <cell r="U126">
            <v>2145</v>
          </cell>
          <cell r="V126">
            <v>1460</v>
          </cell>
          <cell r="W126">
            <v>0</v>
          </cell>
          <cell r="X126">
            <v>685</v>
          </cell>
          <cell r="Y126">
            <v>0</v>
          </cell>
          <cell r="Z126">
            <v>440</v>
          </cell>
          <cell r="AA126">
            <v>355</v>
          </cell>
          <cell r="AB126">
            <v>85</v>
          </cell>
          <cell r="AC126">
            <v>0</v>
          </cell>
          <cell r="AD126">
            <v>0</v>
          </cell>
          <cell r="AE126">
            <v>0</v>
          </cell>
          <cell r="AF126">
            <v>4130</v>
          </cell>
          <cell r="AG126">
            <v>2320</v>
          </cell>
          <cell r="AH126">
            <v>755</v>
          </cell>
          <cell r="AI126">
            <v>845</v>
          </cell>
          <cell r="AJ126">
            <v>0</v>
          </cell>
          <cell r="AK126">
            <v>210</v>
          </cell>
          <cell r="AL126">
            <v>435</v>
          </cell>
          <cell r="AM126">
            <v>0</v>
          </cell>
          <cell r="AN126">
            <v>435</v>
          </cell>
          <cell r="AO126">
            <v>3215</v>
          </cell>
          <cell r="AP126">
            <v>0</v>
          </cell>
          <cell r="AQ126">
            <v>0</v>
          </cell>
          <cell r="AR126">
            <v>925</v>
          </cell>
          <cell r="AS126">
            <v>0</v>
          </cell>
          <cell r="AT126">
            <v>805</v>
          </cell>
          <cell r="AU126">
            <v>460</v>
          </cell>
          <cell r="AV126">
            <v>0</v>
          </cell>
          <cell r="AW126">
            <v>0</v>
          </cell>
          <cell r="AX126">
            <v>0</v>
          </cell>
          <cell r="AY126">
            <v>465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560</v>
          </cell>
          <cell r="BG126">
            <v>0</v>
          </cell>
          <cell r="BH126">
            <v>0</v>
          </cell>
          <cell r="BI126">
            <v>0</v>
          </cell>
          <cell r="BJ126">
            <v>4633930</v>
          </cell>
          <cell r="BK126">
            <v>42660</v>
          </cell>
          <cell r="BL126">
            <v>4591270</v>
          </cell>
        </row>
        <row r="127">
          <cell r="B127" t="str">
            <v>STR104</v>
          </cell>
          <cell r="C127">
            <v>24480</v>
          </cell>
          <cell r="D127">
            <v>8160</v>
          </cell>
          <cell r="E127">
            <v>16410</v>
          </cell>
          <cell r="F127">
            <v>90</v>
          </cell>
          <cell r="G127">
            <v>8070</v>
          </cell>
          <cell r="H127">
            <v>8070</v>
          </cell>
          <cell r="I127">
            <v>645</v>
          </cell>
          <cell r="J127">
            <v>645</v>
          </cell>
          <cell r="K127">
            <v>645</v>
          </cell>
          <cell r="L127">
            <v>30</v>
          </cell>
          <cell r="M127">
            <v>615</v>
          </cell>
          <cell r="N127">
            <v>0</v>
          </cell>
          <cell r="O127">
            <v>7425</v>
          </cell>
          <cell r="P127">
            <v>7425</v>
          </cell>
          <cell r="Q127">
            <v>4520</v>
          </cell>
          <cell r="R127">
            <v>4520</v>
          </cell>
          <cell r="S127">
            <v>2905</v>
          </cell>
          <cell r="T127">
            <v>2905</v>
          </cell>
          <cell r="U127">
            <v>95</v>
          </cell>
          <cell r="V127">
            <v>95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1785</v>
          </cell>
          <cell r="AG127">
            <v>830</v>
          </cell>
          <cell r="AH127">
            <v>240</v>
          </cell>
          <cell r="AI127">
            <v>505</v>
          </cell>
          <cell r="AJ127">
            <v>0</v>
          </cell>
          <cell r="AK127">
            <v>210</v>
          </cell>
          <cell r="AL127">
            <v>0</v>
          </cell>
          <cell r="AM127">
            <v>0</v>
          </cell>
          <cell r="AN127">
            <v>0</v>
          </cell>
          <cell r="AO127">
            <v>1025</v>
          </cell>
          <cell r="AP127">
            <v>0</v>
          </cell>
          <cell r="AQ127">
            <v>0</v>
          </cell>
          <cell r="AR127">
            <v>450</v>
          </cell>
          <cell r="AS127">
            <v>0</v>
          </cell>
          <cell r="AT127">
            <v>225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240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110</v>
          </cell>
          <cell r="BG127">
            <v>0</v>
          </cell>
          <cell r="BH127">
            <v>0</v>
          </cell>
          <cell r="BI127">
            <v>0</v>
          </cell>
          <cell r="BJ127">
            <v>32660</v>
          </cell>
          <cell r="BK127">
            <v>152</v>
          </cell>
          <cell r="BL127">
            <v>32508</v>
          </cell>
        </row>
        <row r="128">
          <cell r="B128" t="str">
            <v>STR103</v>
          </cell>
          <cell r="C128">
            <v>25920</v>
          </cell>
          <cell r="D128">
            <v>8640</v>
          </cell>
          <cell r="E128">
            <v>17550</v>
          </cell>
          <cell r="F128">
            <v>270</v>
          </cell>
          <cell r="G128">
            <v>8370</v>
          </cell>
          <cell r="H128">
            <v>8370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8370</v>
          </cell>
          <cell r="P128">
            <v>8370</v>
          </cell>
          <cell r="Q128">
            <v>2310</v>
          </cell>
          <cell r="R128">
            <v>2310</v>
          </cell>
          <cell r="S128">
            <v>6060</v>
          </cell>
          <cell r="T128">
            <v>6060</v>
          </cell>
          <cell r="U128">
            <v>1735</v>
          </cell>
          <cell r="V128">
            <v>1240</v>
          </cell>
          <cell r="W128">
            <v>0</v>
          </cell>
          <cell r="X128">
            <v>445</v>
          </cell>
          <cell r="Y128">
            <v>50</v>
          </cell>
          <cell r="Z128">
            <v>235</v>
          </cell>
          <cell r="AA128">
            <v>125</v>
          </cell>
          <cell r="AB128">
            <v>70</v>
          </cell>
          <cell r="AC128">
            <v>0</v>
          </cell>
          <cell r="AD128">
            <v>0</v>
          </cell>
          <cell r="AE128">
            <v>40</v>
          </cell>
          <cell r="AF128">
            <v>2455</v>
          </cell>
          <cell r="AG128">
            <v>1580</v>
          </cell>
          <cell r="AH128">
            <v>340</v>
          </cell>
          <cell r="AI128">
            <v>395</v>
          </cell>
          <cell r="AJ128">
            <v>0</v>
          </cell>
          <cell r="AK128">
            <v>140</v>
          </cell>
          <cell r="AL128">
            <v>0</v>
          </cell>
          <cell r="AM128">
            <v>0</v>
          </cell>
          <cell r="AN128">
            <v>0</v>
          </cell>
          <cell r="AO128">
            <v>1635</v>
          </cell>
          <cell r="AP128">
            <v>0</v>
          </cell>
          <cell r="AQ128">
            <v>0</v>
          </cell>
          <cell r="AR128">
            <v>540</v>
          </cell>
          <cell r="AS128">
            <v>0</v>
          </cell>
          <cell r="AT128">
            <v>505</v>
          </cell>
          <cell r="AU128">
            <v>20</v>
          </cell>
          <cell r="AV128">
            <v>0</v>
          </cell>
          <cell r="AW128">
            <v>0</v>
          </cell>
          <cell r="AX128">
            <v>0</v>
          </cell>
          <cell r="AY128">
            <v>300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270</v>
          </cell>
          <cell r="BG128">
            <v>0</v>
          </cell>
          <cell r="BH128">
            <v>0</v>
          </cell>
          <cell r="BI128">
            <v>0</v>
          </cell>
          <cell r="BJ128">
            <v>1131644</v>
          </cell>
          <cell r="BK128">
            <v>5680</v>
          </cell>
          <cell r="BL128">
            <v>1125964</v>
          </cell>
        </row>
        <row r="129">
          <cell r="B129" t="str">
            <v>STR101</v>
          </cell>
          <cell r="C129">
            <v>25920</v>
          </cell>
          <cell r="D129">
            <v>16740</v>
          </cell>
          <cell r="E129">
            <v>10500</v>
          </cell>
          <cell r="F129">
            <v>1320</v>
          </cell>
          <cell r="G129">
            <v>15420</v>
          </cell>
          <cell r="H129">
            <v>15420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15420</v>
          </cell>
          <cell r="P129">
            <v>15420</v>
          </cell>
          <cell r="Q129">
            <v>5535</v>
          </cell>
          <cell r="R129">
            <v>5535</v>
          </cell>
          <cell r="S129">
            <v>9885</v>
          </cell>
          <cell r="T129">
            <v>9885</v>
          </cell>
          <cell r="U129">
            <v>3070</v>
          </cell>
          <cell r="V129">
            <v>1475</v>
          </cell>
          <cell r="W129">
            <v>0</v>
          </cell>
          <cell r="X129">
            <v>1595</v>
          </cell>
          <cell r="Y129">
            <v>0</v>
          </cell>
          <cell r="Z129">
            <v>170</v>
          </cell>
          <cell r="AA129">
            <v>115</v>
          </cell>
          <cell r="AB129">
            <v>0</v>
          </cell>
          <cell r="AC129">
            <v>0</v>
          </cell>
          <cell r="AD129">
            <v>0</v>
          </cell>
          <cell r="AE129">
            <v>55</v>
          </cell>
          <cell r="AF129">
            <v>3140</v>
          </cell>
          <cell r="AG129">
            <v>1560</v>
          </cell>
          <cell r="AH129">
            <v>590</v>
          </cell>
          <cell r="AI129">
            <v>690</v>
          </cell>
          <cell r="AJ129">
            <v>0</v>
          </cell>
          <cell r="AK129">
            <v>300</v>
          </cell>
          <cell r="AL129">
            <v>5</v>
          </cell>
          <cell r="AM129">
            <v>0</v>
          </cell>
          <cell r="AN129">
            <v>5</v>
          </cell>
          <cell r="AO129">
            <v>3500</v>
          </cell>
          <cell r="AP129">
            <v>0</v>
          </cell>
          <cell r="AQ129">
            <v>0</v>
          </cell>
          <cell r="AR129">
            <v>1020</v>
          </cell>
          <cell r="AS129">
            <v>0</v>
          </cell>
          <cell r="AT129">
            <v>955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685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730</v>
          </cell>
          <cell r="BG129">
            <v>105</v>
          </cell>
          <cell r="BH129">
            <v>0</v>
          </cell>
          <cell r="BI129">
            <v>5</v>
          </cell>
          <cell r="BJ129">
            <v>3904720</v>
          </cell>
          <cell r="BK129">
            <v>18170</v>
          </cell>
          <cell r="BL129">
            <v>3886550</v>
          </cell>
        </row>
        <row r="130">
          <cell r="B130" t="str">
            <v>NBL SYR-MIXING</v>
          </cell>
          <cell r="C130">
            <v>24480</v>
          </cell>
          <cell r="D130">
            <v>15810</v>
          </cell>
          <cell r="E130">
            <v>17280</v>
          </cell>
          <cell r="F130">
            <v>8610</v>
          </cell>
          <cell r="G130">
            <v>7200</v>
          </cell>
          <cell r="H130">
            <v>7200</v>
          </cell>
          <cell r="I130">
            <v>886</v>
          </cell>
          <cell r="J130">
            <v>886</v>
          </cell>
          <cell r="K130">
            <v>886</v>
          </cell>
          <cell r="L130">
            <v>211</v>
          </cell>
          <cell r="M130">
            <v>675</v>
          </cell>
          <cell r="N130">
            <v>0</v>
          </cell>
          <cell r="O130">
            <v>6314</v>
          </cell>
          <cell r="P130">
            <v>6314</v>
          </cell>
          <cell r="Q130">
            <v>2592</v>
          </cell>
          <cell r="R130">
            <v>2592</v>
          </cell>
          <cell r="S130">
            <v>3722</v>
          </cell>
          <cell r="T130">
            <v>3722</v>
          </cell>
          <cell r="U130">
            <v>222</v>
          </cell>
          <cell r="V130">
            <v>214</v>
          </cell>
          <cell r="W130">
            <v>0</v>
          </cell>
          <cell r="X130">
            <v>8</v>
          </cell>
          <cell r="Y130">
            <v>0</v>
          </cell>
          <cell r="Z130">
            <v>82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82</v>
          </cell>
          <cell r="AF130">
            <v>1876</v>
          </cell>
          <cell r="AG130">
            <v>73</v>
          </cell>
          <cell r="AH130">
            <v>1743</v>
          </cell>
          <cell r="AI130">
            <v>0</v>
          </cell>
          <cell r="AJ130">
            <v>0</v>
          </cell>
          <cell r="AK130">
            <v>60</v>
          </cell>
          <cell r="AL130">
            <v>0</v>
          </cell>
          <cell r="AM130">
            <v>0</v>
          </cell>
          <cell r="AN130">
            <v>0</v>
          </cell>
          <cell r="AO130">
            <v>1542</v>
          </cell>
          <cell r="AP130">
            <v>313</v>
          </cell>
          <cell r="AQ130">
            <v>0</v>
          </cell>
          <cell r="AR130">
            <v>223</v>
          </cell>
          <cell r="AS130">
            <v>0</v>
          </cell>
          <cell r="AT130">
            <v>111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571</v>
          </cell>
          <cell r="BC130">
            <v>0</v>
          </cell>
          <cell r="BD130">
            <v>0</v>
          </cell>
          <cell r="BE130">
            <v>0</v>
          </cell>
          <cell r="BF130">
            <v>25</v>
          </cell>
          <cell r="BG130">
            <v>279</v>
          </cell>
          <cell r="BH130">
            <v>0</v>
          </cell>
          <cell r="BI130">
            <v>20</v>
          </cell>
          <cell r="BJ130">
            <v>13489.9</v>
          </cell>
          <cell r="BK130">
            <v>1.2</v>
          </cell>
          <cell r="BL130">
            <v>13488.7</v>
          </cell>
        </row>
        <row r="131">
          <cell r="B131" t="str">
            <v>LMIXSYR1</v>
          </cell>
          <cell r="C131">
            <v>24480</v>
          </cell>
          <cell r="D131">
            <v>15810</v>
          </cell>
          <cell r="E131">
            <v>17280</v>
          </cell>
          <cell r="F131">
            <v>8610</v>
          </cell>
          <cell r="G131">
            <v>7200</v>
          </cell>
          <cell r="H131">
            <v>7200</v>
          </cell>
          <cell r="I131">
            <v>886</v>
          </cell>
          <cell r="J131">
            <v>886</v>
          </cell>
          <cell r="K131">
            <v>886</v>
          </cell>
          <cell r="L131">
            <v>211</v>
          </cell>
          <cell r="M131">
            <v>675</v>
          </cell>
          <cell r="N131">
            <v>0</v>
          </cell>
          <cell r="O131">
            <v>6314</v>
          </cell>
          <cell r="P131">
            <v>6314</v>
          </cell>
          <cell r="Q131">
            <v>2592</v>
          </cell>
          <cell r="R131">
            <v>2592</v>
          </cell>
          <cell r="S131">
            <v>3722</v>
          </cell>
          <cell r="T131">
            <v>3722</v>
          </cell>
          <cell r="U131">
            <v>222</v>
          </cell>
          <cell r="V131">
            <v>214</v>
          </cell>
          <cell r="W131">
            <v>0</v>
          </cell>
          <cell r="X131">
            <v>8</v>
          </cell>
          <cell r="Y131">
            <v>0</v>
          </cell>
          <cell r="Z131">
            <v>82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82</v>
          </cell>
          <cell r="AF131">
            <v>1876</v>
          </cell>
          <cell r="AG131">
            <v>73</v>
          </cell>
          <cell r="AH131">
            <v>1743</v>
          </cell>
          <cell r="AI131">
            <v>0</v>
          </cell>
          <cell r="AJ131">
            <v>0</v>
          </cell>
          <cell r="AK131">
            <v>60</v>
          </cell>
          <cell r="AL131">
            <v>0</v>
          </cell>
          <cell r="AM131">
            <v>0</v>
          </cell>
          <cell r="AN131">
            <v>0</v>
          </cell>
          <cell r="AO131">
            <v>1542</v>
          </cell>
          <cell r="AP131">
            <v>313</v>
          </cell>
          <cell r="AQ131">
            <v>0</v>
          </cell>
          <cell r="AR131">
            <v>223</v>
          </cell>
          <cell r="AS131">
            <v>0</v>
          </cell>
          <cell r="AT131">
            <v>111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571</v>
          </cell>
          <cell r="BC131">
            <v>0</v>
          </cell>
          <cell r="BD131">
            <v>0</v>
          </cell>
          <cell r="BE131">
            <v>0</v>
          </cell>
          <cell r="BF131">
            <v>25</v>
          </cell>
          <cell r="BG131">
            <v>279</v>
          </cell>
          <cell r="BH131">
            <v>0</v>
          </cell>
          <cell r="BI131">
            <v>20</v>
          </cell>
          <cell r="BJ131">
            <v>13489.9</v>
          </cell>
          <cell r="BK131">
            <v>1.2</v>
          </cell>
          <cell r="BL131">
            <v>13488.7</v>
          </cell>
        </row>
        <row r="132">
          <cell r="B132" t="str">
            <v>NBL SYR-FILLING</v>
          </cell>
          <cell r="C132">
            <v>48960</v>
          </cell>
          <cell r="D132">
            <v>31620</v>
          </cell>
          <cell r="E132">
            <v>34230</v>
          </cell>
          <cell r="F132">
            <v>16890</v>
          </cell>
          <cell r="G132">
            <v>14730</v>
          </cell>
          <cell r="H132">
            <v>14730</v>
          </cell>
          <cell r="I132">
            <v>1140</v>
          </cell>
          <cell r="J132">
            <v>1140</v>
          </cell>
          <cell r="K132">
            <v>1140</v>
          </cell>
          <cell r="L132">
            <v>0</v>
          </cell>
          <cell r="M132">
            <v>1140</v>
          </cell>
          <cell r="N132">
            <v>0</v>
          </cell>
          <cell r="O132">
            <v>13590</v>
          </cell>
          <cell r="P132">
            <v>13590</v>
          </cell>
          <cell r="Q132">
            <v>3845</v>
          </cell>
          <cell r="R132">
            <v>3845</v>
          </cell>
          <cell r="S132">
            <v>9745</v>
          </cell>
          <cell r="T132">
            <v>9745</v>
          </cell>
          <cell r="U132">
            <v>825</v>
          </cell>
          <cell r="V132">
            <v>555</v>
          </cell>
          <cell r="W132">
            <v>0</v>
          </cell>
          <cell r="X132">
            <v>240</v>
          </cell>
          <cell r="Y132">
            <v>30</v>
          </cell>
          <cell r="Z132">
            <v>665</v>
          </cell>
          <cell r="AA132">
            <v>665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3555</v>
          </cell>
          <cell r="AG132">
            <v>620</v>
          </cell>
          <cell r="AH132">
            <v>1355</v>
          </cell>
          <cell r="AI132">
            <v>0</v>
          </cell>
          <cell r="AJ132">
            <v>0</v>
          </cell>
          <cell r="AK132">
            <v>1580</v>
          </cell>
          <cell r="AL132">
            <v>0</v>
          </cell>
          <cell r="AM132">
            <v>0</v>
          </cell>
          <cell r="AN132">
            <v>0</v>
          </cell>
          <cell r="AO132">
            <v>4700</v>
          </cell>
          <cell r="AP132">
            <v>0</v>
          </cell>
          <cell r="AQ132">
            <v>0</v>
          </cell>
          <cell r="AR132">
            <v>820</v>
          </cell>
          <cell r="AS132">
            <v>20</v>
          </cell>
          <cell r="AT132">
            <v>660</v>
          </cell>
          <cell r="AU132">
            <v>90</v>
          </cell>
          <cell r="AV132">
            <v>0</v>
          </cell>
          <cell r="AW132">
            <v>0</v>
          </cell>
          <cell r="AX132">
            <v>2990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30</v>
          </cell>
          <cell r="BG132">
            <v>90</v>
          </cell>
          <cell r="BH132">
            <v>0</v>
          </cell>
          <cell r="BI132">
            <v>0</v>
          </cell>
          <cell r="BJ132">
            <v>189950</v>
          </cell>
          <cell r="BK132">
            <v>289</v>
          </cell>
          <cell r="BL132">
            <v>189661</v>
          </cell>
        </row>
        <row r="133">
          <cell r="B133" t="str">
            <v>SYR109</v>
          </cell>
          <cell r="C133">
            <v>24480</v>
          </cell>
          <cell r="D133">
            <v>15810</v>
          </cell>
          <cell r="E133">
            <v>13650</v>
          </cell>
          <cell r="F133">
            <v>4980</v>
          </cell>
          <cell r="G133">
            <v>10830</v>
          </cell>
          <cell r="H133">
            <v>10830</v>
          </cell>
          <cell r="I133">
            <v>630</v>
          </cell>
          <cell r="J133">
            <v>630</v>
          </cell>
          <cell r="K133">
            <v>630</v>
          </cell>
          <cell r="L133">
            <v>0</v>
          </cell>
          <cell r="M133">
            <v>630</v>
          </cell>
          <cell r="N133">
            <v>0</v>
          </cell>
          <cell r="O133">
            <v>10200</v>
          </cell>
          <cell r="P133">
            <v>10200</v>
          </cell>
          <cell r="Q133">
            <v>2920</v>
          </cell>
          <cell r="R133">
            <v>2920</v>
          </cell>
          <cell r="S133">
            <v>7280</v>
          </cell>
          <cell r="T133">
            <v>7280</v>
          </cell>
          <cell r="U133">
            <v>740</v>
          </cell>
          <cell r="V133">
            <v>510</v>
          </cell>
          <cell r="W133">
            <v>0</v>
          </cell>
          <cell r="X133">
            <v>200</v>
          </cell>
          <cell r="Y133">
            <v>30</v>
          </cell>
          <cell r="Z133">
            <v>240</v>
          </cell>
          <cell r="AA133">
            <v>240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2830</v>
          </cell>
          <cell r="AG133">
            <v>540</v>
          </cell>
          <cell r="AH133">
            <v>1145</v>
          </cell>
          <cell r="AI133">
            <v>0</v>
          </cell>
          <cell r="AJ133">
            <v>0</v>
          </cell>
          <cell r="AK133">
            <v>1145</v>
          </cell>
          <cell r="AL133">
            <v>0</v>
          </cell>
          <cell r="AM133">
            <v>0</v>
          </cell>
          <cell r="AN133">
            <v>0</v>
          </cell>
          <cell r="AO133">
            <v>3470</v>
          </cell>
          <cell r="AP133">
            <v>0</v>
          </cell>
          <cell r="AQ133">
            <v>0</v>
          </cell>
          <cell r="AR133">
            <v>640</v>
          </cell>
          <cell r="AS133">
            <v>20</v>
          </cell>
          <cell r="AT133">
            <v>540</v>
          </cell>
          <cell r="AU133">
            <v>90</v>
          </cell>
          <cell r="AV133">
            <v>0</v>
          </cell>
          <cell r="AW133">
            <v>0</v>
          </cell>
          <cell r="AX133">
            <v>2060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30</v>
          </cell>
          <cell r="BG133">
            <v>90</v>
          </cell>
          <cell r="BH133">
            <v>0</v>
          </cell>
          <cell r="BI133">
            <v>0</v>
          </cell>
          <cell r="BJ133">
            <v>145197</v>
          </cell>
          <cell r="BK133">
            <v>259</v>
          </cell>
          <cell r="BL133">
            <v>144938</v>
          </cell>
        </row>
        <row r="134">
          <cell r="B134" t="str">
            <v>SYR110</v>
          </cell>
          <cell r="C134">
            <v>24480</v>
          </cell>
          <cell r="D134">
            <v>15810</v>
          </cell>
          <cell r="E134">
            <v>20580</v>
          </cell>
          <cell r="F134">
            <v>11910</v>
          </cell>
          <cell r="G134">
            <v>3900</v>
          </cell>
          <cell r="H134">
            <v>3900</v>
          </cell>
          <cell r="I134">
            <v>510</v>
          </cell>
          <cell r="J134">
            <v>510</v>
          </cell>
          <cell r="K134">
            <v>510</v>
          </cell>
          <cell r="L134">
            <v>0</v>
          </cell>
          <cell r="M134">
            <v>510</v>
          </cell>
          <cell r="N134">
            <v>0</v>
          </cell>
          <cell r="O134">
            <v>3390</v>
          </cell>
          <cell r="P134">
            <v>3390</v>
          </cell>
          <cell r="Q134">
            <v>925</v>
          </cell>
          <cell r="R134">
            <v>925</v>
          </cell>
          <cell r="S134">
            <v>2465</v>
          </cell>
          <cell r="T134">
            <v>2465</v>
          </cell>
          <cell r="U134">
            <v>85</v>
          </cell>
          <cell r="V134">
            <v>45</v>
          </cell>
          <cell r="W134">
            <v>0</v>
          </cell>
          <cell r="X134">
            <v>40</v>
          </cell>
          <cell r="Y134">
            <v>0</v>
          </cell>
          <cell r="Z134">
            <v>425</v>
          </cell>
          <cell r="AA134">
            <v>425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725</v>
          </cell>
          <cell r="AG134">
            <v>80</v>
          </cell>
          <cell r="AH134">
            <v>210</v>
          </cell>
          <cell r="AI134">
            <v>0</v>
          </cell>
          <cell r="AJ134">
            <v>0</v>
          </cell>
          <cell r="AK134">
            <v>435</v>
          </cell>
          <cell r="AL134">
            <v>0</v>
          </cell>
          <cell r="AM134">
            <v>0</v>
          </cell>
          <cell r="AN134">
            <v>0</v>
          </cell>
          <cell r="AO134">
            <v>1230</v>
          </cell>
          <cell r="AP134">
            <v>0</v>
          </cell>
          <cell r="AQ134">
            <v>0</v>
          </cell>
          <cell r="AR134">
            <v>180</v>
          </cell>
          <cell r="AS134">
            <v>0</v>
          </cell>
          <cell r="AT134">
            <v>120</v>
          </cell>
          <cell r="AU134">
            <v>0</v>
          </cell>
          <cell r="AV134">
            <v>0</v>
          </cell>
          <cell r="AW134">
            <v>0</v>
          </cell>
          <cell r="AX134">
            <v>930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44753</v>
          </cell>
          <cell r="BK134">
            <v>30</v>
          </cell>
          <cell r="BL134">
            <v>44723</v>
          </cell>
        </row>
        <row r="135">
          <cell r="B135" t="str">
            <v>NBL INJ-MIXING</v>
          </cell>
          <cell r="C135">
            <v>24480</v>
          </cell>
          <cell r="D135">
            <v>15810</v>
          </cell>
          <cell r="E135">
            <v>17665</v>
          </cell>
          <cell r="F135">
            <v>8995</v>
          </cell>
          <cell r="G135">
            <v>6815</v>
          </cell>
          <cell r="H135">
            <v>6815</v>
          </cell>
          <cell r="I135">
            <v>240</v>
          </cell>
          <cell r="J135">
            <v>240</v>
          </cell>
          <cell r="K135">
            <v>240</v>
          </cell>
          <cell r="L135">
            <v>0</v>
          </cell>
          <cell r="M135">
            <v>240</v>
          </cell>
          <cell r="N135">
            <v>0</v>
          </cell>
          <cell r="O135">
            <v>6575</v>
          </cell>
          <cell r="P135">
            <v>6575</v>
          </cell>
          <cell r="Q135">
            <v>2152</v>
          </cell>
          <cell r="R135">
            <v>2152</v>
          </cell>
          <cell r="S135">
            <v>4423</v>
          </cell>
          <cell r="T135">
            <v>4423</v>
          </cell>
          <cell r="U135">
            <v>165</v>
          </cell>
          <cell r="V135">
            <v>165</v>
          </cell>
          <cell r="W135">
            <v>0</v>
          </cell>
          <cell r="X135">
            <v>0</v>
          </cell>
          <cell r="Y135">
            <v>0</v>
          </cell>
          <cell r="Z135">
            <v>170</v>
          </cell>
          <cell r="AA135">
            <v>0</v>
          </cell>
          <cell r="AB135">
            <v>0</v>
          </cell>
          <cell r="AC135">
            <v>0</v>
          </cell>
          <cell r="AD135">
            <v>170</v>
          </cell>
          <cell r="AE135">
            <v>0</v>
          </cell>
          <cell r="AF135">
            <v>2025</v>
          </cell>
          <cell r="AG135">
            <v>475</v>
          </cell>
          <cell r="AH135">
            <v>1417</v>
          </cell>
          <cell r="AI135">
            <v>0</v>
          </cell>
          <cell r="AJ135">
            <v>133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2063</v>
          </cell>
          <cell r="AP135">
            <v>0</v>
          </cell>
          <cell r="AQ135">
            <v>0</v>
          </cell>
          <cell r="AR135">
            <v>500</v>
          </cell>
          <cell r="AS135">
            <v>0</v>
          </cell>
          <cell r="AT135">
            <v>285</v>
          </cell>
          <cell r="AU135">
            <v>0</v>
          </cell>
          <cell r="AV135">
            <v>50</v>
          </cell>
          <cell r="AW135">
            <v>0</v>
          </cell>
          <cell r="AX135">
            <v>0</v>
          </cell>
          <cell r="AY135">
            <v>55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1113</v>
          </cell>
          <cell r="BG135">
            <v>60</v>
          </cell>
          <cell r="BH135">
            <v>0</v>
          </cell>
          <cell r="BI135">
            <v>0</v>
          </cell>
          <cell r="BJ135">
            <v>860</v>
          </cell>
          <cell r="BK135">
            <v>0</v>
          </cell>
          <cell r="BL135">
            <v>860</v>
          </cell>
        </row>
        <row r="136">
          <cell r="B136" t="str">
            <v>LMIXINJ1</v>
          </cell>
          <cell r="C136">
            <v>24480</v>
          </cell>
          <cell r="D136">
            <v>15810</v>
          </cell>
          <cell r="E136">
            <v>17665</v>
          </cell>
          <cell r="F136">
            <v>8995</v>
          </cell>
          <cell r="G136">
            <v>6815</v>
          </cell>
          <cell r="H136">
            <v>6815</v>
          </cell>
          <cell r="I136">
            <v>240</v>
          </cell>
          <cell r="J136">
            <v>240</v>
          </cell>
          <cell r="K136">
            <v>240</v>
          </cell>
          <cell r="L136">
            <v>0</v>
          </cell>
          <cell r="M136">
            <v>240</v>
          </cell>
          <cell r="N136">
            <v>0</v>
          </cell>
          <cell r="O136">
            <v>6575</v>
          </cell>
          <cell r="P136">
            <v>6575</v>
          </cell>
          <cell r="Q136">
            <v>2152</v>
          </cell>
          <cell r="R136">
            <v>2152</v>
          </cell>
          <cell r="S136">
            <v>4423</v>
          </cell>
          <cell r="T136">
            <v>4423</v>
          </cell>
          <cell r="U136">
            <v>165</v>
          </cell>
          <cell r="V136">
            <v>165</v>
          </cell>
          <cell r="W136">
            <v>0</v>
          </cell>
          <cell r="X136">
            <v>0</v>
          </cell>
          <cell r="Y136">
            <v>0</v>
          </cell>
          <cell r="Z136">
            <v>170</v>
          </cell>
          <cell r="AA136">
            <v>0</v>
          </cell>
          <cell r="AB136">
            <v>0</v>
          </cell>
          <cell r="AC136">
            <v>0</v>
          </cell>
          <cell r="AD136">
            <v>170</v>
          </cell>
          <cell r="AE136">
            <v>0</v>
          </cell>
          <cell r="AF136">
            <v>2025</v>
          </cell>
          <cell r="AG136">
            <v>475</v>
          </cell>
          <cell r="AH136">
            <v>1417</v>
          </cell>
          <cell r="AI136">
            <v>0</v>
          </cell>
          <cell r="AJ136">
            <v>133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2063</v>
          </cell>
          <cell r="AP136">
            <v>0</v>
          </cell>
          <cell r="AQ136">
            <v>0</v>
          </cell>
          <cell r="AR136">
            <v>500</v>
          </cell>
          <cell r="AS136">
            <v>0</v>
          </cell>
          <cell r="AT136">
            <v>285</v>
          </cell>
          <cell r="AU136">
            <v>0</v>
          </cell>
          <cell r="AV136">
            <v>50</v>
          </cell>
          <cell r="AW136">
            <v>0</v>
          </cell>
          <cell r="AX136">
            <v>0</v>
          </cell>
          <cell r="AY136">
            <v>55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1113</v>
          </cell>
          <cell r="BG136">
            <v>60</v>
          </cell>
          <cell r="BH136">
            <v>0</v>
          </cell>
          <cell r="BI136">
            <v>0</v>
          </cell>
          <cell r="BJ136">
            <v>860</v>
          </cell>
          <cell r="BK136">
            <v>0</v>
          </cell>
          <cell r="BL136">
            <v>860</v>
          </cell>
        </row>
        <row r="137">
          <cell r="B137" t="str">
            <v>NBL INJ-FILLING</v>
          </cell>
          <cell r="C137">
            <v>48960</v>
          </cell>
          <cell r="D137">
            <v>31620</v>
          </cell>
          <cell r="E137">
            <v>20010</v>
          </cell>
          <cell r="F137">
            <v>2670</v>
          </cell>
          <cell r="G137">
            <v>28950</v>
          </cell>
          <cell r="H137">
            <v>28950</v>
          </cell>
          <cell r="I137">
            <v>2393</v>
          </cell>
          <cell r="J137">
            <v>2393</v>
          </cell>
          <cell r="K137">
            <v>2365</v>
          </cell>
          <cell r="L137">
            <v>265</v>
          </cell>
          <cell r="M137">
            <v>2100</v>
          </cell>
          <cell r="N137">
            <v>28</v>
          </cell>
          <cell r="O137">
            <v>26557</v>
          </cell>
          <cell r="P137">
            <v>26557</v>
          </cell>
          <cell r="Q137">
            <v>10912</v>
          </cell>
          <cell r="R137">
            <v>10912</v>
          </cell>
          <cell r="S137">
            <v>15645</v>
          </cell>
          <cell r="T137">
            <v>15645</v>
          </cell>
          <cell r="U137">
            <v>2351</v>
          </cell>
          <cell r="V137">
            <v>1965</v>
          </cell>
          <cell r="W137">
            <v>188</v>
          </cell>
          <cell r="X137">
            <v>187</v>
          </cell>
          <cell r="Y137">
            <v>11</v>
          </cell>
          <cell r="Z137">
            <v>476</v>
          </cell>
          <cell r="AA137">
            <v>60</v>
          </cell>
          <cell r="AB137">
            <v>56</v>
          </cell>
          <cell r="AC137">
            <v>0</v>
          </cell>
          <cell r="AD137">
            <v>75</v>
          </cell>
          <cell r="AE137">
            <v>285</v>
          </cell>
          <cell r="AF137">
            <v>5410</v>
          </cell>
          <cell r="AG137">
            <v>1135</v>
          </cell>
          <cell r="AH137">
            <v>3950</v>
          </cell>
          <cell r="AI137">
            <v>0</v>
          </cell>
          <cell r="AJ137">
            <v>0</v>
          </cell>
          <cell r="AK137">
            <v>325</v>
          </cell>
          <cell r="AL137">
            <v>0</v>
          </cell>
          <cell r="AM137">
            <v>0</v>
          </cell>
          <cell r="AN137">
            <v>0</v>
          </cell>
          <cell r="AO137">
            <v>7408</v>
          </cell>
          <cell r="AP137">
            <v>0</v>
          </cell>
          <cell r="AQ137">
            <v>0</v>
          </cell>
          <cell r="AR137">
            <v>1765</v>
          </cell>
          <cell r="AS137">
            <v>0</v>
          </cell>
          <cell r="AT137">
            <v>1585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510</v>
          </cell>
          <cell r="AZ137">
            <v>0</v>
          </cell>
          <cell r="BA137">
            <v>0</v>
          </cell>
          <cell r="BB137">
            <v>3294</v>
          </cell>
          <cell r="BC137">
            <v>0</v>
          </cell>
          <cell r="BD137">
            <v>0</v>
          </cell>
          <cell r="BE137">
            <v>0</v>
          </cell>
          <cell r="BF137">
            <v>254</v>
          </cell>
          <cell r="BG137">
            <v>0</v>
          </cell>
          <cell r="BH137">
            <v>0</v>
          </cell>
          <cell r="BI137">
            <v>0</v>
          </cell>
          <cell r="BJ137">
            <v>1107542</v>
          </cell>
          <cell r="BK137">
            <v>165</v>
          </cell>
          <cell r="BL137">
            <v>1107377</v>
          </cell>
        </row>
        <row r="138">
          <cell r="B138" t="str">
            <v>GINLINE3</v>
          </cell>
          <cell r="C138">
            <v>24480</v>
          </cell>
          <cell r="D138">
            <v>15810</v>
          </cell>
          <cell r="E138">
            <v>13740</v>
          </cell>
          <cell r="F138">
            <v>5070</v>
          </cell>
          <cell r="G138">
            <v>10740</v>
          </cell>
          <cell r="H138">
            <v>10740</v>
          </cell>
          <cell r="I138">
            <v>1248</v>
          </cell>
          <cell r="J138">
            <v>1248</v>
          </cell>
          <cell r="K138">
            <v>1220</v>
          </cell>
          <cell r="L138">
            <v>60</v>
          </cell>
          <cell r="M138">
            <v>1160</v>
          </cell>
          <cell r="N138">
            <v>28</v>
          </cell>
          <cell r="O138">
            <v>9492</v>
          </cell>
          <cell r="P138">
            <v>9492</v>
          </cell>
          <cell r="Q138">
            <v>2170</v>
          </cell>
          <cell r="R138">
            <v>2170</v>
          </cell>
          <cell r="S138">
            <v>7322</v>
          </cell>
          <cell r="T138">
            <v>7322</v>
          </cell>
          <cell r="U138">
            <v>1141</v>
          </cell>
          <cell r="V138">
            <v>945</v>
          </cell>
          <cell r="W138">
            <v>123</v>
          </cell>
          <cell r="X138">
            <v>62</v>
          </cell>
          <cell r="Y138">
            <v>11</v>
          </cell>
          <cell r="Z138">
            <v>176</v>
          </cell>
          <cell r="AA138">
            <v>60</v>
          </cell>
          <cell r="AB138">
            <v>56</v>
          </cell>
          <cell r="AC138">
            <v>0</v>
          </cell>
          <cell r="AD138">
            <v>60</v>
          </cell>
          <cell r="AE138">
            <v>0</v>
          </cell>
          <cell r="AF138">
            <v>2950</v>
          </cell>
          <cell r="AG138">
            <v>767</v>
          </cell>
          <cell r="AH138">
            <v>1858</v>
          </cell>
          <cell r="AI138">
            <v>0</v>
          </cell>
          <cell r="AJ138">
            <v>0</v>
          </cell>
          <cell r="AK138">
            <v>325</v>
          </cell>
          <cell r="AL138">
            <v>0</v>
          </cell>
          <cell r="AM138">
            <v>0</v>
          </cell>
          <cell r="AN138">
            <v>0</v>
          </cell>
          <cell r="AO138">
            <v>3055</v>
          </cell>
          <cell r="AP138">
            <v>0</v>
          </cell>
          <cell r="AQ138">
            <v>0</v>
          </cell>
          <cell r="AR138">
            <v>630</v>
          </cell>
          <cell r="AS138">
            <v>0</v>
          </cell>
          <cell r="AT138">
            <v>665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225</v>
          </cell>
          <cell r="AZ138">
            <v>0</v>
          </cell>
          <cell r="BA138">
            <v>0</v>
          </cell>
          <cell r="BB138">
            <v>1521</v>
          </cell>
          <cell r="BC138">
            <v>0</v>
          </cell>
          <cell r="BD138">
            <v>0</v>
          </cell>
          <cell r="BE138">
            <v>0</v>
          </cell>
          <cell r="BF138">
            <v>14</v>
          </cell>
          <cell r="BG138">
            <v>0</v>
          </cell>
          <cell r="BH138">
            <v>0</v>
          </cell>
          <cell r="BI138">
            <v>0</v>
          </cell>
          <cell r="BJ138">
            <v>375039</v>
          </cell>
          <cell r="BK138">
            <v>0</v>
          </cell>
          <cell r="BL138">
            <v>375039</v>
          </cell>
        </row>
        <row r="139">
          <cell r="B139" t="str">
            <v>GINLINE4</v>
          </cell>
          <cell r="C139">
            <v>24480</v>
          </cell>
          <cell r="D139">
            <v>15810</v>
          </cell>
          <cell r="E139">
            <v>6270</v>
          </cell>
          <cell r="F139">
            <v>-2400</v>
          </cell>
          <cell r="G139">
            <v>18210</v>
          </cell>
          <cell r="H139">
            <v>18210</v>
          </cell>
          <cell r="I139">
            <v>1145</v>
          </cell>
          <cell r="J139">
            <v>1145</v>
          </cell>
          <cell r="K139">
            <v>1145</v>
          </cell>
          <cell r="L139">
            <v>205</v>
          </cell>
          <cell r="M139">
            <v>940</v>
          </cell>
          <cell r="N139">
            <v>0</v>
          </cell>
          <cell r="O139">
            <v>17065</v>
          </cell>
          <cell r="P139">
            <v>17065</v>
          </cell>
          <cell r="Q139">
            <v>8742</v>
          </cell>
          <cell r="R139">
            <v>8742</v>
          </cell>
          <cell r="S139">
            <v>8323</v>
          </cell>
          <cell r="T139">
            <v>8323</v>
          </cell>
          <cell r="U139">
            <v>1210</v>
          </cell>
          <cell r="V139">
            <v>1020</v>
          </cell>
          <cell r="W139">
            <v>65</v>
          </cell>
          <cell r="X139">
            <v>125</v>
          </cell>
          <cell r="Y139">
            <v>0</v>
          </cell>
          <cell r="Z139">
            <v>300</v>
          </cell>
          <cell r="AA139">
            <v>0</v>
          </cell>
          <cell r="AB139">
            <v>0</v>
          </cell>
          <cell r="AC139">
            <v>0</v>
          </cell>
          <cell r="AD139">
            <v>15</v>
          </cell>
          <cell r="AE139">
            <v>285</v>
          </cell>
          <cell r="AF139">
            <v>2460</v>
          </cell>
          <cell r="AG139">
            <v>368</v>
          </cell>
          <cell r="AH139">
            <v>2092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4353</v>
          </cell>
          <cell r="AP139">
            <v>0</v>
          </cell>
          <cell r="AQ139">
            <v>0</v>
          </cell>
          <cell r="AR139">
            <v>1135</v>
          </cell>
          <cell r="AS139">
            <v>0</v>
          </cell>
          <cell r="AT139">
            <v>920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285</v>
          </cell>
          <cell r="AZ139">
            <v>0</v>
          </cell>
          <cell r="BA139">
            <v>0</v>
          </cell>
          <cell r="BB139">
            <v>1773</v>
          </cell>
          <cell r="BC139">
            <v>0</v>
          </cell>
          <cell r="BD139">
            <v>0</v>
          </cell>
          <cell r="BE139">
            <v>0</v>
          </cell>
          <cell r="BF139">
            <v>240</v>
          </cell>
          <cell r="BG139">
            <v>0</v>
          </cell>
          <cell r="BH139">
            <v>0</v>
          </cell>
          <cell r="BI139">
            <v>0</v>
          </cell>
          <cell r="BJ139">
            <v>732503</v>
          </cell>
          <cell r="BK139">
            <v>165</v>
          </cell>
          <cell r="BL139">
            <v>732338</v>
          </cell>
        </row>
        <row r="140">
          <cell r="B140" t="str">
            <v>NBL INJ-STERILIZATION</v>
          </cell>
          <cell r="C140">
            <v>73440</v>
          </cell>
          <cell r="D140">
            <v>47430</v>
          </cell>
          <cell r="E140">
            <v>29297</v>
          </cell>
          <cell r="F140">
            <v>3287</v>
          </cell>
          <cell r="G140">
            <v>44143</v>
          </cell>
          <cell r="H140">
            <v>44143</v>
          </cell>
          <cell r="I140">
            <v>7327</v>
          </cell>
          <cell r="J140">
            <v>7327</v>
          </cell>
          <cell r="K140">
            <v>7202</v>
          </cell>
          <cell r="L140">
            <v>4972</v>
          </cell>
          <cell r="M140">
            <v>2230</v>
          </cell>
          <cell r="N140">
            <v>125</v>
          </cell>
          <cell r="O140">
            <v>36816</v>
          </cell>
          <cell r="P140">
            <v>36816</v>
          </cell>
          <cell r="Q140">
            <v>17951</v>
          </cell>
          <cell r="R140">
            <v>17951</v>
          </cell>
          <cell r="S140">
            <v>18865</v>
          </cell>
          <cell r="T140">
            <v>18865</v>
          </cell>
          <cell r="U140">
            <v>667</v>
          </cell>
          <cell r="V140">
            <v>601</v>
          </cell>
          <cell r="W140">
            <v>59</v>
          </cell>
          <cell r="X140">
            <v>0</v>
          </cell>
          <cell r="Y140">
            <v>7</v>
          </cell>
          <cell r="Z140">
            <v>92</v>
          </cell>
          <cell r="AA140">
            <v>0</v>
          </cell>
          <cell r="AB140">
            <v>0</v>
          </cell>
          <cell r="AC140">
            <v>0</v>
          </cell>
          <cell r="AD140">
            <v>92</v>
          </cell>
          <cell r="AE140">
            <v>0</v>
          </cell>
          <cell r="AF140">
            <v>8038</v>
          </cell>
          <cell r="AG140">
            <v>6325</v>
          </cell>
          <cell r="AH140">
            <v>1210</v>
          </cell>
          <cell r="AI140">
            <v>58</v>
          </cell>
          <cell r="AJ140">
            <v>0</v>
          </cell>
          <cell r="AK140">
            <v>445</v>
          </cell>
          <cell r="AL140">
            <v>0</v>
          </cell>
          <cell r="AM140">
            <v>0</v>
          </cell>
          <cell r="AN140">
            <v>0</v>
          </cell>
          <cell r="AO140">
            <v>10068</v>
          </cell>
          <cell r="AP140">
            <v>0</v>
          </cell>
          <cell r="AQ140">
            <v>0</v>
          </cell>
          <cell r="AR140">
            <v>849</v>
          </cell>
          <cell r="AS140">
            <v>60</v>
          </cell>
          <cell r="AT140">
            <v>538</v>
          </cell>
          <cell r="AU140">
            <v>2111</v>
          </cell>
          <cell r="AV140">
            <v>0</v>
          </cell>
          <cell r="AW140">
            <v>25</v>
          </cell>
          <cell r="AX140">
            <v>6250</v>
          </cell>
          <cell r="AY140">
            <v>195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40</v>
          </cell>
          <cell r="BG140">
            <v>0</v>
          </cell>
          <cell r="BH140">
            <v>0</v>
          </cell>
          <cell r="BI140">
            <v>0</v>
          </cell>
          <cell r="BJ140">
            <v>36584</v>
          </cell>
          <cell r="BK140">
            <v>0</v>
          </cell>
          <cell r="BL140">
            <v>36584</v>
          </cell>
        </row>
        <row r="141">
          <cell r="B141" t="str">
            <v>INJ105</v>
          </cell>
          <cell r="C141">
            <v>24480</v>
          </cell>
          <cell r="D141">
            <v>15810</v>
          </cell>
          <cell r="E141">
            <v>6360</v>
          </cell>
          <cell r="F141">
            <v>-2310</v>
          </cell>
          <cell r="G141">
            <v>18120</v>
          </cell>
          <cell r="H141">
            <v>18120</v>
          </cell>
          <cell r="I141">
            <v>4665</v>
          </cell>
          <cell r="J141">
            <v>4665</v>
          </cell>
          <cell r="K141">
            <v>4665</v>
          </cell>
          <cell r="L141">
            <v>4029</v>
          </cell>
          <cell r="M141">
            <v>636</v>
          </cell>
          <cell r="N141">
            <v>0</v>
          </cell>
          <cell r="O141">
            <v>13455</v>
          </cell>
          <cell r="P141">
            <v>13455</v>
          </cell>
          <cell r="Q141">
            <v>5759</v>
          </cell>
          <cell r="R141">
            <v>5759</v>
          </cell>
          <cell r="S141">
            <v>7696</v>
          </cell>
          <cell r="T141">
            <v>7696</v>
          </cell>
          <cell r="U141">
            <v>174</v>
          </cell>
          <cell r="V141">
            <v>174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1820</v>
          </cell>
          <cell r="AG141">
            <v>793</v>
          </cell>
          <cell r="AH141">
            <v>767</v>
          </cell>
          <cell r="AI141">
            <v>0</v>
          </cell>
          <cell r="AJ141">
            <v>0</v>
          </cell>
          <cell r="AK141">
            <v>260</v>
          </cell>
          <cell r="AL141">
            <v>0</v>
          </cell>
          <cell r="AM141">
            <v>0</v>
          </cell>
          <cell r="AN141">
            <v>0</v>
          </cell>
          <cell r="AO141">
            <v>5702</v>
          </cell>
          <cell r="AP141">
            <v>0</v>
          </cell>
          <cell r="AQ141">
            <v>0</v>
          </cell>
          <cell r="AR141">
            <v>337</v>
          </cell>
          <cell r="AS141">
            <v>0</v>
          </cell>
          <cell r="AT141">
            <v>135</v>
          </cell>
          <cell r="AU141">
            <v>0</v>
          </cell>
          <cell r="AV141">
            <v>0</v>
          </cell>
          <cell r="AW141">
            <v>0</v>
          </cell>
          <cell r="AX141">
            <v>5230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564</v>
          </cell>
          <cell r="BK141">
            <v>0</v>
          </cell>
          <cell r="BL141">
            <v>564</v>
          </cell>
        </row>
        <row r="142">
          <cell r="B142" t="str">
            <v>INJ106</v>
          </cell>
          <cell r="C142">
            <v>24480</v>
          </cell>
          <cell r="D142">
            <v>15810</v>
          </cell>
          <cell r="E142">
            <v>6827</v>
          </cell>
          <cell r="F142">
            <v>-1843</v>
          </cell>
          <cell r="G142">
            <v>17653</v>
          </cell>
          <cell r="H142">
            <v>17653</v>
          </cell>
          <cell r="I142">
            <v>1062</v>
          </cell>
          <cell r="J142">
            <v>1062</v>
          </cell>
          <cell r="K142">
            <v>1062</v>
          </cell>
          <cell r="L142">
            <v>793</v>
          </cell>
          <cell r="M142">
            <v>269</v>
          </cell>
          <cell r="N142">
            <v>0</v>
          </cell>
          <cell r="O142">
            <v>16591</v>
          </cell>
          <cell r="P142">
            <v>16591</v>
          </cell>
          <cell r="Q142">
            <v>11174</v>
          </cell>
          <cell r="R142">
            <v>11174</v>
          </cell>
          <cell r="S142">
            <v>5417</v>
          </cell>
          <cell r="T142">
            <v>5417</v>
          </cell>
          <cell r="U142">
            <v>89</v>
          </cell>
          <cell r="V142">
            <v>89</v>
          </cell>
          <cell r="W142">
            <v>0</v>
          </cell>
          <cell r="X142">
            <v>0</v>
          </cell>
          <cell r="Y142">
            <v>0</v>
          </cell>
          <cell r="Z142">
            <v>61</v>
          </cell>
          <cell r="AA142">
            <v>0</v>
          </cell>
          <cell r="AB142">
            <v>0</v>
          </cell>
          <cell r="AC142">
            <v>0</v>
          </cell>
          <cell r="AD142">
            <v>61</v>
          </cell>
          <cell r="AE142">
            <v>0</v>
          </cell>
          <cell r="AF142">
            <v>4814</v>
          </cell>
          <cell r="AG142">
            <v>4591</v>
          </cell>
          <cell r="AH142">
            <v>223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453</v>
          </cell>
          <cell r="AP142">
            <v>0</v>
          </cell>
          <cell r="AQ142">
            <v>0</v>
          </cell>
          <cell r="AR142">
            <v>333</v>
          </cell>
          <cell r="AS142">
            <v>0</v>
          </cell>
          <cell r="AT142">
            <v>120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814</v>
          </cell>
          <cell r="BK142">
            <v>0</v>
          </cell>
          <cell r="BL142">
            <v>814</v>
          </cell>
        </row>
        <row r="143">
          <cell r="B143" t="str">
            <v>INJ107</v>
          </cell>
          <cell r="C143">
            <v>24480</v>
          </cell>
          <cell r="D143">
            <v>15810</v>
          </cell>
          <cell r="E143">
            <v>16110</v>
          </cell>
          <cell r="F143">
            <v>7440</v>
          </cell>
          <cell r="G143">
            <v>8370</v>
          </cell>
          <cell r="H143">
            <v>8370</v>
          </cell>
          <cell r="I143">
            <v>1600</v>
          </cell>
          <cell r="J143">
            <v>1600</v>
          </cell>
          <cell r="K143">
            <v>1475</v>
          </cell>
          <cell r="L143">
            <v>150</v>
          </cell>
          <cell r="M143">
            <v>1325</v>
          </cell>
          <cell r="N143">
            <v>125</v>
          </cell>
          <cell r="O143">
            <v>6770</v>
          </cell>
          <cell r="P143">
            <v>6770</v>
          </cell>
          <cell r="Q143">
            <v>1018</v>
          </cell>
          <cell r="R143">
            <v>1018</v>
          </cell>
          <cell r="S143">
            <v>5752</v>
          </cell>
          <cell r="T143">
            <v>5752</v>
          </cell>
          <cell r="U143">
            <v>404</v>
          </cell>
          <cell r="V143">
            <v>338</v>
          </cell>
          <cell r="W143">
            <v>59</v>
          </cell>
          <cell r="X143">
            <v>0</v>
          </cell>
          <cell r="Y143">
            <v>7</v>
          </cell>
          <cell r="Z143">
            <v>31</v>
          </cell>
          <cell r="AA143">
            <v>0</v>
          </cell>
          <cell r="AB143">
            <v>0</v>
          </cell>
          <cell r="AC143">
            <v>0</v>
          </cell>
          <cell r="AD143">
            <v>31</v>
          </cell>
          <cell r="AE143">
            <v>0</v>
          </cell>
          <cell r="AF143">
            <v>1404</v>
          </cell>
          <cell r="AG143">
            <v>941</v>
          </cell>
          <cell r="AH143">
            <v>220</v>
          </cell>
          <cell r="AI143">
            <v>58</v>
          </cell>
          <cell r="AJ143">
            <v>0</v>
          </cell>
          <cell r="AK143">
            <v>185</v>
          </cell>
          <cell r="AL143">
            <v>0</v>
          </cell>
          <cell r="AM143">
            <v>0</v>
          </cell>
          <cell r="AN143">
            <v>0</v>
          </cell>
          <cell r="AO143">
            <v>3913</v>
          </cell>
          <cell r="AP143">
            <v>0</v>
          </cell>
          <cell r="AQ143">
            <v>0</v>
          </cell>
          <cell r="AR143">
            <v>179</v>
          </cell>
          <cell r="AS143">
            <v>60</v>
          </cell>
          <cell r="AT143">
            <v>283</v>
          </cell>
          <cell r="AU143">
            <v>2111</v>
          </cell>
          <cell r="AV143">
            <v>0</v>
          </cell>
          <cell r="AW143">
            <v>25</v>
          </cell>
          <cell r="AX143">
            <v>1020</v>
          </cell>
          <cell r="AY143">
            <v>195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40</v>
          </cell>
          <cell r="BG143">
            <v>0</v>
          </cell>
          <cell r="BH143">
            <v>0</v>
          </cell>
          <cell r="BI143">
            <v>0</v>
          </cell>
          <cell r="BJ143">
            <v>35206</v>
          </cell>
          <cell r="BK143">
            <v>0</v>
          </cell>
          <cell r="BL143">
            <v>35206</v>
          </cell>
        </row>
        <row r="144">
          <cell r="B144" t="str">
            <v>NBL SECONDARY PACKING</v>
          </cell>
          <cell r="C144">
            <v>149760</v>
          </cell>
          <cell r="D144">
            <v>57570</v>
          </cell>
          <cell r="E144">
            <v>103470</v>
          </cell>
          <cell r="F144">
            <v>11280</v>
          </cell>
          <cell r="G144">
            <v>46290</v>
          </cell>
          <cell r="H144">
            <v>46290</v>
          </cell>
          <cell r="I144">
            <v>4290</v>
          </cell>
          <cell r="J144">
            <v>4290</v>
          </cell>
          <cell r="K144">
            <v>4290</v>
          </cell>
          <cell r="L144">
            <v>2310</v>
          </cell>
          <cell r="M144">
            <v>1980</v>
          </cell>
          <cell r="N144">
            <v>0</v>
          </cell>
          <cell r="O144">
            <v>42000</v>
          </cell>
          <cell r="P144">
            <v>42000</v>
          </cell>
          <cell r="Q144">
            <v>25839</v>
          </cell>
          <cell r="R144">
            <v>25839</v>
          </cell>
          <cell r="S144">
            <v>16161</v>
          </cell>
          <cell r="T144">
            <v>16161</v>
          </cell>
          <cell r="U144">
            <v>2625</v>
          </cell>
          <cell r="V144">
            <v>1682</v>
          </cell>
          <cell r="W144">
            <v>85</v>
          </cell>
          <cell r="X144">
            <v>215</v>
          </cell>
          <cell r="Y144">
            <v>643</v>
          </cell>
          <cell r="Z144">
            <v>800</v>
          </cell>
          <cell r="AA144">
            <v>800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3457</v>
          </cell>
          <cell r="AG144">
            <v>1572</v>
          </cell>
          <cell r="AH144">
            <v>1490</v>
          </cell>
          <cell r="AI144">
            <v>0</v>
          </cell>
          <cell r="AJ144">
            <v>0</v>
          </cell>
          <cell r="AK144">
            <v>395</v>
          </cell>
          <cell r="AL144">
            <v>120</v>
          </cell>
          <cell r="AM144">
            <v>0</v>
          </cell>
          <cell r="AN144">
            <v>120</v>
          </cell>
          <cell r="AO144">
            <v>9159</v>
          </cell>
          <cell r="AP144">
            <v>0</v>
          </cell>
          <cell r="AQ144">
            <v>265</v>
          </cell>
          <cell r="AR144">
            <v>2760</v>
          </cell>
          <cell r="AS144">
            <v>0</v>
          </cell>
          <cell r="AT144">
            <v>1395</v>
          </cell>
          <cell r="AU144">
            <v>800</v>
          </cell>
          <cell r="AV144">
            <v>0</v>
          </cell>
          <cell r="AW144">
            <v>0</v>
          </cell>
          <cell r="AX144">
            <v>1830</v>
          </cell>
          <cell r="AY144">
            <v>617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1492</v>
          </cell>
          <cell r="BG144">
            <v>0</v>
          </cell>
          <cell r="BH144">
            <v>0</v>
          </cell>
          <cell r="BI144">
            <v>0</v>
          </cell>
          <cell r="BJ144">
            <v>1281222</v>
          </cell>
          <cell r="BK144">
            <v>40</v>
          </cell>
          <cell r="BL144">
            <v>1281182</v>
          </cell>
        </row>
        <row r="145">
          <cell r="B145" t="str">
            <v>PAK101</v>
          </cell>
          <cell r="C145">
            <v>25920</v>
          </cell>
          <cell r="D145">
            <v>8640</v>
          </cell>
          <cell r="E145">
            <v>12990</v>
          </cell>
          <cell r="F145">
            <v>-4290</v>
          </cell>
          <cell r="G145">
            <v>12930</v>
          </cell>
          <cell r="H145">
            <v>12930</v>
          </cell>
          <cell r="I145">
            <v>255</v>
          </cell>
          <cell r="J145">
            <v>255</v>
          </cell>
          <cell r="K145">
            <v>255</v>
          </cell>
          <cell r="L145">
            <v>255</v>
          </cell>
          <cell r="M145">
            <v>0</v>
          </cell>
          <cell r="N145">
            <v>0</v>
          </cell>
          <cell r="O145">
            <v>12675</v>
          </cell>
          <cell r="P145">
            <v>12675</v>
          </cell>
          <cell r="Q145">
            <v>9130</v>
          </cell>
          <cell r="R145">
            <v>9130</v>
          </cell>
          <cell r="S145">
            <v>3545</v>
          </cell>
          <cell r="T145">
            <v>3545</v>
          </cell>
          <cell r="U145">
            <v>258</v>
          </cell>
          <cell r="V145">
            <v>258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1019</v>
          </cell>
          <cell r="AG145">
            <v>349</v>
          </cell>
          <cell r="AH145">
            <v>550</v>
          </cell>
          <cell r="AI145">
            <v>0</v>
          </cell>
          <cell r="AJ145">
            <v>0</v>
          </cell>
          <cell r="AK145">
            <v>120</v>
          </cell>
          <cell r="AL145">
            <v>120</v>
          </cell>
          <cell r="AM145">
            <v>0</v>
          </cell>
          <cell r="AN145">
            <v>120</v>
          </cell>
          <cell r="AO145">
            <v>2148</v>
          </cell>
          <cell r="AP145">
            <v>0</v>
          </cell>
          <cell r="AQ145">
            <v>145</v>
          </cell>
          <cell r="AR145">
            <v>825</v>
          </cell>
          <cell r="AS145">
            <v>0</v>
          </cell>
          <cell r="AT145">
            <v>405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231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542</v>
          </cell>
          <cell r="BG145">
            <v>0</v>
          </cell>
          <cell r="BH145">
            <v>0</v>
          </cell>
          <cell r="BI145">
            <v>0</v>
          </cell>
          <cell r="BJ145">
            <v>338019</v>
          </cell>
          <cell r="BK145">
            <v>24</v>
          </cell>
          <cell r="BL145">
            <v>337995</v>
          </cell>
        </row>
        <row r="146">
          <cell r="B146" t="str">
            <v>PAK103</v>
          </cell>
          <cell r="C146">
            <v>25920</v>
          </cell>
          <cell r="D146">
            <v>8640</v>
          </cell>
          <cell r="E146">
            <v>11310</v>
          </cell>
          <cell r="F146">
            <v>-5970</v>
          </cell>
          <cell r="G146">
            <v>14610</v>
          </cell>
          <cell r="H146">
            <v>14610</v>
          </cell>
          <cell r="I146">
            <v>240</v>
          </cell>
          <cell r="J146">
            <v>240</v>
          </cell>
          <cell r="K146">
            <v>240</v>
          </cell>
          <cell r="L146">
            <v>240</v>
          </cell>
          <cell r="M146">
            <v>0</v>
          </cell>
          <cell r="N146">
            <v>0</v>
          </cell>
          <cell r="O146">
            <v>14370</v>
          </cell>
          <cell r="P146">
            <v>14370</v>
          </cell>
          <cell r="Q146">
            <v>10575</v>
          </cell>
          <cell r="R146">
            <v>10575</v>
          </cell>
          <cell r="S146">
            <v>3795</v>
          </cell>
          <cell r="T146">
            <v>3795</v>
          </cell>
          <cell r="U146">
            <v>209</v>
          </cell>
          <cell r="V146">
            <v>209</v>
          </cell>
          <cell r="W146">
            <v>0</v>
          </cell>
          <cell r="X146">
            <v>0</v>
          </cell>
          <cell r="Y146">
            <v>0</v>
          </cell>
          <cell r="Z146">
            <v>225</v>
          </cell>
          <cell r="AA146">
            <v>225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940</v>
          </cell>
          <cell r="AG146">
            <v>260</v>
          </cell>
          <cell r="AH146">
            <v>520</v>
          </cell>
          <cell r="AI146">
            <v>0</v>
          </cell>
          <cell r="AJ146">
            <v>0</v>
          </cell>
          <cell r="AK146">
            <v>160</v>
          </cell>
          <cell r="AL146">
            <v>0</v>
          </cell>
          <cell r="AM146">
            <v>0</v>
          </cell>
          <cell r="AN146">
            <v>0</v>
          </cell>
          <cell r="AO146">
            <v>2421</v>
          </cell>
          <cell r="AP146">
            <v>0</v>
          </cell>
          <cell r="AQ146">
            <v>120</v>
          </cell>
          <cell r="AR146">
            <v>945</v>
          </cell>
          <cell r="AS146">
            <v>0</v>
          </cell>
          <cell r="AT146">
            <v>465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181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710</v>
          </cell>
          <cell r="BG146">
            <v>0</v>
          </cell>
          <cell r="BH146">
            <v>0</v>
          </cell>
          <cell r="BI146">
            <v>0</v>
          </cell>
          <cell r="BJ146">
            <v>467478</v>
          </cell>
          <cell r="BK146">
            <v>0</v>
          </cell>
          <cell r="BL146">
            <v>467478</v>
          </cell>
        </row>
        <row r="147">
          <cell r="B147" t="str">
            <v>PAK105</v>
          </cell>
          <cell r="C147">
            <v>24480</v>
          </cell>
          <cell r="D147">
            <v>15810</v>
          </cell>
          <cell r="E147">
            <v>10830</v>
          </cell>
          <cell r="F147">
            <v>2160</v>
          </cell>
          <cell r="G147">
            <v>13650</v>
          </cell>
          <cell r="H147">
            <v>13650</v>
          </cell>
          <cell r="I147">
            <v>2735</v>
          </cell>
          <cell r="J147">
            <v>2735</v>
          </cell>
          <cell r="K147">
            <v>2735</v>
          </cell>
          <cell r="L147">
            <v>1310</v>
          </cell>
          <cell r="M147">
            <v>1425</v>
          </cell>
          <cell r="N147">
            <v>0</v>
          </cell>
          <cell r="O147">
            <v>10915</v>
          </cell>
          <cell r="P147">
            <v>10915</v>
          </cell>
          <cell r="Q147">
            <v>4670</v>
          </cell>
          <cell r="R147">
            <v>4670</v>
          </cell>
          <cell r="S147">
            <v>6245</v>
          </cell>
          <cell r="T147">
            <v>6245</v>
          </cell>
          <cell r="U147">
            <v>1255</v>
          </cell>
          <cell r="V147">
            <v>650</v>
          </cell>
          <cell r="W147">
            <v>50</v>
          </cell>
          <cell r="X147">
            <v>95</v>
          </cell>
          <cell r="Y147">
            <v>460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915</v>
          </cell>
          <cell r="AG147">
            <v>630</v>
          </cell>
          <cell r="AH147">
            <v>285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4075</v>
          </cell>
          <cell r="AP147">
            <v>0</v>
          </cell>
          <cell r="AQ147">
            <v>0</v>
          </cell>
          <cell r="AR147">
            <v>720</v>
          </cell>
          <cell r="AS147">
            <v>0</v>
          </cell>
          <cell r="AT147">
            <v>390</v>
          </cell>
          <cell r="AU147">
            <v>800</v>
          </cell>
          <cell r="AV147">
            <v>0</v>
          </cell>
          <cell r="AW147">
            <v>0</v>
          </cell>
          <cell r="AX147">
            <v>1830</v>
          </cell>
          <cell r="AY147">
            <v>155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180</v>
          </cell>
          <cell r="BG147">
            <v>0</v>
          </cell>
          <cell r="BH147">
            <v>0</v>
          </cell>
          <cell r="BI147">
            <v>0</v>
          </cell>
          <cell r="BJ147">
            <v>219997</v>
          </cell>
          <cell r="BK147">
            <v>0</v>
          </cell>
          <cell r="BL147">
            <v>219997</v>
          </cell>
        </row>
        <row r="148">
          <cell r="B148" t="str">
            <v>PAK102</v>
          </cell>
          <cell r="C148">
            <v>24480</v>
          </cell>
          <cell r="D148">
            <v>8160</v>
          </cell>
          <cell r="E148">
            <v>24480</v>
          </cell>
          <cell r="F148">
            <v>8160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/>
          <cell r="R148"/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</row>
        <row r="149">
          <cell r="B149" t="str">
            <v>PAK104</v>
          </cell>
          <cell r="C149">
            <v>24480</v>
          </cell>
          <cell r="D149">
            <v>8160</v>
          </cell>
          <cell r="E149">
            <v>23460</v>
          </cell>
          <cell r="F149">
            <v>7140</v>
          </cell>
          <cell r="G149">
            <v>1020</v>
          </cell>
          <cell r="H149">
            <v>1020</v>
          </cell>
          <cell r="I149">
            <v>115</v>
          </cell>
          <cell r="J149">
            <v>115</v>
          </cell>
          <cell r="K149">
            <v>115</v>
          </cell>
          <cell r="L149">
            <v>0</v>
          </cell>
          <cell r="M149">
            <v>115</v>
          </cell>
          <cell r="N149">
            <v>0</v>
          </cell>
          <cell r="O149">
            <v>905</v>
          </cell>
          <cell r="P149">
            <v>905</v>
          </cell>
          <cell r="Q149">
            <v>400</v>
          </cell>
          <cell r="R149">
            <v>400</v>
          </cell>
          <cell r="S149">
            <v>505</v>
          </cell>
          <cell r="T149">
            <v>505</v>
          </cell>
          <cell r="U149">
            <v>185</v>
          </cell>
          <cell r="V149">
            <v>105</v>
          </cell>
          <cell r="W149">
            <v>0</v>
          </cell>
          <cell r="X149">
            <v>80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230</v>
          </cell>
          <cell r="AG149">
            <v>120</v>
          </cell>
          <cell r="AH149">
            <v>0</v>
          </cell>
          <cell r="AI149">
            <v>0</v>
          </cell>
          <cell r="AJ149">
            <v>0</v>
          </cell>
          <cell r="AK149">
            <v>110</v>
          </cell>
          <cell r="AL149">
            <v>0</v>
          </cell>
          <cell r="AM149">
            <v>0</v>
          </cell>
          <cell r="AN149">
            <v>0</v>
          </cell>
          <cell r="AO149">
            <v>90</v>
          </cell>
          <cell r="AP149">
            <v>0</v>
          </cell>
          <cell r="AQ149">
            <v>0</v>
          </cell>
          <cell r="AR149">
            <v>60</v>
          </cell>
          <cell r="AS149">
            <v>0</v>
          </cell>
          <cell r="AT149">
            <v>30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9570</v>
          </cell>
          <cell r="BK149">
            <v>0</v>
          </cell>
          <cell r="BL149">
            <v>9570</v>
          </cell>
        </row>
        <row r="150">
          <cell r="B150" t="str">
            <v>PAK111</v>
          </cell>
          <cell r="C150">
            <v>24480</v>
          </cell>
          <cell r="D150">
            <v>8160</v>
          </cell>
          <cell r="E150">
            <v>20400</v>
          </cell>
          <cell r="F150">
            <v>4080</v>
          </cell>
          <cell r="G150">
            <v>4080</v>
          </cell>
          <cell r="H150">
            <v>4080</v>
          </cell>
          <cell r="I150">
            <v>945</v>
          </cell>
          <cell r="J150">
            <v>945</v>
          </cell>
          <cell r="K150">
            <v>945</v>
          </cell>
          <cell r="L150">
            <v>505</v>
          </cell>
          <cell r="M150">
            <v>440</v>
          </cell>
          <cell r="N150">
            <v>0</v>
          </cell>
          <cell r="O150">
            <v>3135</v>
          </cell>
          <cell r="P150">
            <v>3135</v>
          </cell>
          <cell r="Q150">
            <v>1064</v>
          </cell>
          <cell r="R150">
            <v>1064</v>
          </cell>
          <cell r="S150">
            <v>2071</v>
          </cell>
          <cell r="T150">
            <v>2071</v>
          </cell>
          <cell r="U150">
            <v>718</v>
          </cell>
          <cell r="V150">
            <v>460</v>
          </cell>
          <cell r="W150">
            <v>35</v>
          </cell>
          <cell r="X150">
            <v>40</v>
          </cell>
          <cell r="Y150">
            <v>183</v>
          </cell>
          <cell r="Z150">
            <v>575</v>
          </cell>
          <cell r="AA150">
            <v>575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353</v>
          </cell>
          <cell r="AG150">
            <v>213</v>
          </cell>
          <cell r="AH150">
            <v>135</v>
          </cell>
          <cell r="AI150">
            <v>0</v>
          </cell>
          <cell r="AJ150">
            <v>0</v>
          </cell>
          <cell r="AK150">
            <v>5</v>
          </cell>
          <cell r="AL150">
            <v>0</v>
          </cell>
          <cell r="AM150">
            <v>0</v>
          </cell>
          <cell r="AN150">
            <v>0</v>
          </cell>
          <cell r="AO150">
            <v>425</v>
          </cell>
          <cell r="AP150">
            <v>0</v>
          </cell>
          <cell r="AQ150">
            <v>0</v>
          </cell>
          <cell r="AR150">
            <v>210</v>
          </cell>
          <cell r="AS150">
            <v>0</v>
          </cell>
          <cell r="AT150">
            <v>105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50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60</v>
          </cell>
          <cell r="BG150">
            <v>0</v>
          </cell>
          <cell r="BH150">
            <v>0</v>
          </cell>
          <cell r="BI150">
            <v>0</v>
          </cell>
          <cell r="BJ150">
            <v>246158</v>
          </cell>
          <cell r="BK150">
            <v>16</v>
          </cell>
          <cell r="BL150">
            <v>246142</v>
          </cell>
        </row>
        <row r="151">
          <cell r="B151" t="str">
            <v>CPH SOL-MIXING</v>
          </cell>
          <cell r="C151">
            <v>24480</v>
          </cell>
          <cell r="D151">
            <v>8160</v>
          </cell>
          <cell r="E151">
            <v>22440</v>
          </cell>
          <cell r="F151">
            <v>6120</v>
          </cell>
          <cell r="G151">
            <v>2040</v>
          </cell>
          <cell r="H151">
            <v>2040</v>
          </cell>
          <cell r="I151">
            <v>230</v>
          </cell>
          <cell r="J151">
            <v>230</v>
          </cell>
          <cell r="K151">
            <v>230</v>
          </cell>
          <cell r="L151">
            <v>0</v>
          </cell>
          <cell r="M151">
            <v>230</v>
          </cell>
          <cell r="N151">
            <v>0</v>
          </cell>
          <cell r="O151">
            <v>1810</v>
          </cell>
          <cell r="P151">
            <v>1810</v>
          </cell>
          <cell r="Q151">
            <v>92</v>
          </cell>
          <cell r="R151">
            <v>92</v>
          </cell>
          <cell r="S151">
            <v>1718</v>
          </cell>
          <cell r="T151">
            <v>1718</v>
          </cell>
          <cell r="U151">
            <v>38</v>
          </cell>
          <cell r="V151">
            <v>28</v>
          </cell>
          <cell r="W151">
            <v>10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1423</v>
          </cell>
          <cell r="AG151">
            <v>1273</v>
          </cell>
          <cell r="AH151">
            <v>130</v>
          </cell>
          <cell r="AI151">
            <v>0</v>
          </cell>
          <cell r="AJ151">
            <v>0</v>
          </cell>
          <cell r="AK151">
            <v>20</v>
          </cell>
          <cell r="AL151">
            <v>0</v>
          </cell>
          <cell r="AM151">
            <v>0</v>
          </cell>
          <cell r="AN151">
            <v>0</v>
          </cell>
          <cell r="AO151">
            <v>257</v>
          </cell>
          <cell r="AP151">
            <v>160</v>
          </cell>
          <cell r="AQ151">
            <v>0</v>
          </cell>
          <cell r="AR151">
            <v>60</v>
          </cell>
          <cell r="AS151">
            <v>0</v>
          </cell>
          <cell r="AT151">
            <v>30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7</v>
          </cell>
          <cell r="BG151">
            <v>0</v>
          </cell>
          <cell r="BH151">
            <v>0</v>
          </cell>
          <cell r="BI151">
            <v>0</v>
          </cell>
          <cell r="BJ151">
            <v>404.58</v>
          </cell>
          <cell r="BK151">
            <v>0.18</v>
          </cell>
          <cell r="BL151">
            <v>404.4</v>
          </cell>
        </row>
        <row r="152">
          <cell r="B152" t="str">
            <v>MCF101</v>
          </cell>
          <cell r="C152">
            <v>24480</v>
          </cell>
          <cell r="D152">
            <v>8160</v>
          </cell>
          <cell r="E152">
            <v>22440</v>
          </cell>
          <cell r="F152">
            <v>6120</v>
          </cell>
          <cell r="G152">
            <v>2040</v>
          </cell>
          <cell r="H152">
            <v>2040</v>
          </cell>
          <cell r="I152">
            <v>230</v>
          </cell>
          <cell r="J152">
            <v>230</v>
          </cell>
          <cell r="K152">
            <v>230</v>
          </cell>
          <cell r="L152">
            <v>0</v>
          </cell>
          <cell r="M152">
            <v>230</v>
          </cell>
          <cell r="N152">
            <v>0</v>
          </cell>
          <cell r="O152">
            <v>1810</v>
          </cell>
          <cell r="P152">
            <v>1810</v>
          </cell>
          <cell r="Q152">
            <v>92</v>
          </cell>
          <cell r="R152">
            <v>92</v>
          </cell>
          <cell r="S152">
            <v>1718</v>
          </cell>
          <cell r="T152">
            <v>1718</v>
          </cell>
          <cell r="U152">
            <v>38</v>
          </cell>
          <cell r="V152">
            <v>28</v>
          </cell>
          <cell r="W152">
            <v>10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1423</v>
          </cell>
          <cell r="AG152">
            <v>1273</v>
          </cell>
          <cell r="AH152">
            <v>130</v>
          </cell>
          <cell r="AI152">
            <v>0</v>
          </cell>
          <cell r="AJ152">
            <v>0</v>
          </cell>
          <cell r="AK152">
            <v>20</v>
          </cell>
          <cell r="AL152">
            <v>0</v>
          </cell>
          <cell r="AM152">
            <v>0</v>
          </cell>
          <cell r="AN152">
            <v>0</v>
          </cell>
          <cell r="AO152">
            <v>257</v>
          </cell>
          <cell r="AP152">
            <v>160</v>
          </cell>
          <cell r="AQ152">
            <v>0</v>
          </cell>
          <cell r="AR152">
            <v>60</v>
          </cell>
          <cell r="AS152">
            <v>0</v>
          </cell>
          <cell r="AT152">
            <v>30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7</v>
          </cell>
          <cell r="BG152">
            <v>0</v>
          </cell>
          <cell r="BH152">
            <v>0</v>
          </cell>
          <cell r="BI152">
            <v>0</v>
          </cell>
          <cell r="BJ152">
            <v>404.58</v>
          </cell>
          <cell r="BK152">
            <v>0.18</v>
          </cell>
          <cell r="BL152">
            <v>404.4</v>
          </cell>
        </row>
        <row r="153">
          <cell r="B153" t="str">
            <v>CPH SOL-CAPSULE</v>
          </cell>
          <cell r="C153">
            <v>24480</v>
          </cell>
          <cell r="D153">
            <v>8160</v>
          </cell>
          <cell r="E153">
            <v>22440</v>
          </cell>
          <cell r="F153">
            <v>6120</v>
          </cell>
          <cell r="G153">
            <v>2040</v>
          </cell>
          <cell r="H153">
            <v>2040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2040</v>
          </cell>
          <cell r="P153">
            <v>2040</v>
          </cell>
          <cell r="Q153">
            <v>615</v>
          </cell>
          <cell r="R153">
            <v>615</v>
          </cell>
          <cell r="S153">
            <v>1425</v>
          </cell>
          <cell r="T153">
            <v>1425</v>
          </cell>
          <cell r="U153">
            <v>270</v>
          </cell>
          <cell r="V153">
            <v>220</v>
          </cell>
          <cell r="W153">
            <v>0</v>
          </cell>
          <cell r="X153">
            <v>50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455</v>
          </cell>
          <cell r="AG153">
            <v>135</v>
          </cell>
          <cell r="AH153">
            <v>0</v>
          </cell>
          <cell r="AI153">
            <v>0</v>
          </cell>
          <cell r="AJ153">
            <v>0</v>
          </cell>
          <cell r="AK153">
            <v>320</v>
          </cell>
          <cell r="AL153">
            <v>0</v>
          </cell>
          <cell r="AM153">
            <v>0</v>
          </cell>
          <cell r="AN153">
            <v>0</v>
          </cell>
          <cell r="AO153">
            <v>700</v>
          </cell>
          <cell r="AP153">
            <v>0</v>
          </cell>
          <cell r="AQ153">
            <v>0</v>
          </cell>
          <cell r="AR153">
            <v>120</v>
          </cell>
          <cell r="AS153">
            <v>0</v>
          </cell>
          <cell r="AT153">
            <v>120</v>
          </cell>
          <cell r="AU153">
            <v>210</v>
          </cell>
          <cell r="AV153">
            <v>0</v>
          </cell>
          <cell r="AW153">
            <v>60</v>
          </cell>
          <cell r="AX153">
            <v>60</v>
          </cell>
          <cell r="AY153">
            <v>75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55</v>
          </cell>
          <cell r="BG153">
            <v>0</v>
          </cell>
          <cell r="BH153">
            <v>0</v>
          </cell>
          <cell r="BI153">
            <v>0</v>
          </cell>
          <cell r="BJ153">
            <v>242716</v>
          </cell>
          <cell r="BK153">
            <v>0</v>
          </cell>
          <cell r="BL153">
            <v>242716</v>
          </cell>
        </row>
        <row r="154">
          <cell r="B154" t="str">
            <v>KCF101</v>
          </cell>
          <cell r="C154">
            <v>24480</v>
          </cell>
          <cell r="D154">
            <v>8160</v>
          </cell>
          <cell r="E154">
            <v>22440</v>
          </cell>
          <cell r="F154">
            <v>6120</v>
          </cell>
          <cell r="G154">
            <v>2040</v>
          </cell>
          <cell r="H154">
            <v>2040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2040</v>
          </cell>
          <cell r="P154">
            <v>2040</v>
          </cell>
          <cell r="Q154">
            <v>615</v>
          </cell>
          <cell r="R154">
            <v>615</v>
          </cell>
          <cell r="S154">
            <v>1425</v>
          </cell>
          <cell r="T154">
            <v>1425</v>
          </cell>
          <cell r="U154">
            <v>270</v>
          </cell>
          <cell r="V154">
            <v>220</v>
          </cell>
          <cell r="W154">
            <v>0</v>
          </cell>
          <cell r="X154">
            <v>50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455</v>
          </cell>
          <cell r="AG154">
            <v>135</v>
          </cell>
          <cell r="AH154">
            <v>0</v>
          </cell>
          <cell r="AI154">
            <v>0</v>
          </cell>
          <cell r="AJ154">
            <v>0</v>
          </cell>
          <cell r="AK154">
            <v>320</v>
          </cell>
          <cell r="AL154">
            <v>0</v>
          </cell>
          <cell r="AM154">
            <v>0</v>
          </cell>
          <cell r="AN154">
            <v>0</v>
          </cell>
          <cell r="AO154">
            <v>700</v>
          </cell>
          <cell r="AP154">
            <v>0</v>
          </cell>
          <cell r="AQ154">
            <v>0</v>
          </cell>
          <cell r="AR154">
            <v>120</v>
          </cell>
          <cell r="AS154">
            <v>0</v>
          </cell>
          <cell r="AT154">
            <v>120</v>
          </cell>
          <cell r="AU154">
            <v>210</v>
          </cell>
          <cell r="AV154">
            <v>0</v>
          </cell>
          <cell r="AW154">
            <v>60</v>
          </cell>
          <cell r="AX154">
            <v>60</v>
          </cell>
          <cell r="AY154">
            <v>75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55</v>
          </cell>
          <cell r="BG154">
            <v>0</v>
          </cell>
          <cell r="BH154">
            <v>0</v>
          </cell>
          <cell r="BI154">
            <v>0</v>
          </cell>
          <cell r="BJ154">
            <v>242716</v>
          </cell>
          <cell r="BK154">
            <v>0</v>
          </cell>
          <cell r="BL154">
            <v>242716</v>
          </cell>
        </row>
        <row r="155">
          <cell r="B155" t="str">
            <v>CPH SOL-STRIPPING</v>
          </cell>
          <cell r="C155">
            <v>24480</v>
          </cell>
          <cell r="D155">
            <v>8160</v>
          </cell>
          <cell r="E155">
            <v>22440</v>
          </cell>
          <cell r="F155">
            <v>6120</v>
          </cell>
          <cell r="G155">
            <v>2040</v>
          </cell>
          <cell r="H155">
            <v>2040</v>
          </cell>
          <cell r="I155">
            <v>150</v>
          </cell>
          <cell r="J155">
            <v>150</v>
          </cell>
          <cell r="K155">
            <v>150</v>
          </cell>
          <cell r="L155">
            <v>30</v>
          </cell>
          <cell r="M155">
            <v>120</v>
          </cell>
          <cell r="N155">
            <v>0</v>
          </cell>
          <cell r="O155">
            <v>1890</v>
          </cell>
          <cell r="P155">
            <v>1890</v>
          </cell>
          <cell r="Q155">
            <v>510</v>
          </cell>
          <cell r="R155">
            <v>510</v>
          </cell>
          <cell r="S155">
            <v>1380</v>
          </cell>
          <cell r="T155">
            <v>1380</v>
          </cell>
          <cell r="U155">
            <v>390</v>
          </cell>
          <cell r="V155">
            <v>370</v>
          </cell>
          <cell r="W155">
            <v>0</v>
          </cell>
          <cell r="X155">
            <v>0</v>
          </cell>
          <cell r="Y155">
            <v>20</v>
          </cell>
          <cell r="Z155">
            <v>135</v>
          </cell>
          <cell r="AA155">
            <v>135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540</v>
          </cell>
          <cell r="AG155">
            <v>255</v>
          </cell>
          <cell r="AH155">
            <v>130</v>
          </cell>
          <cell r="AI155">
            <v>0</v>
          </cell>
          <cell r="AJ155">
            <v>0</v>
          </cell>
          <cell r="AK155">
            <v>155</v>
          </cell>
          <cell r="AL155">
            <v>0</v>
          </cell>
          <cell r="AM155">
            <v>0</v>
          </cell>
          <cell r="AN155">
            <v>0</v>
          </cell>
          <cell r="AO155">
            <v>315</v>
          </cell>
          <cell r="AP155">
            <v>0</v>
          </cell>
          <cell r="AQ155">
            <v>0</v>
          </cell>
          <cell r="AR155">
            <v>120</v>
          </cell>
          <cell r="AS155">
            <v>0</v>
          </cell>
          <cell r="AT155">
            <v>90</v>
          </cell>
          <cell r="AU155">
            <v>0</v>
          </cell>
          <cell r="AV155">
            <v>0</v>
          </cell>
          <cell r="AW155">
            <v>30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75</v>
          </cell>
          <cell r="BG155">
            <v>0</v>
          </cell>
          <cell r="BH155">
            <v>0</v>
          </cell>
          <cell r="BI155">
            <v>0</v>
          </cell>
          <cell r="BJ155">
            <v>190427.04</v>
          </cell>
          <cell r="BK155">
            <v>1594</v>
          </cell>
          <cell r="BL155">
            <v>188833.04</v>
          </cell>
        </row>
        <row r="156">
          <cell r="B156" t="str">
            <v>STC101</v>
          </cell>
          <cell r="C156">
            <v>24480</v>
          </cell>
          <cell r="D156">
            <v>8160</v>
          </cell>
          <cell r="E156">
            <v>22440</v>
          </cell>
          <cell r="F156">
            <v>6120</v>
          </cell>
          <cell r="G156">
            <v>2040</v>
          </cell>
          <cell r="H156">
            <v>2040</v>
          </cell>
          <cell r="I156">
            <v>150</v>
          </cell>
          <cell r="J156">
            <v>150</v>
          </cell>
          <cell r="K156">
            <v>150</v>
          </cell>
          <cell r="L156">
            <v>30</v>
          </cell>
          <cell r="M156">
            <v>120</v>
          </cell>
          <cell r="N156">
            <v>0</v>
          </cell>
          <cell r="O156">
            <v>1890</v>
          </cell>
          <cell r="P156">
            <v>1890</v>
          </cell>
          <cell r="Q156">
            <v>510</v>
          </cell>
          <cell r="R156">
            <v>510</v>
          </cell>
          <cell r="S156">
            <v>1380</v>
          </cell>
          <cell r="T156">
            <v>1380</v>
          </cell>
          <cell r="U156">
            <v>390</v>
          </cell>
          <cell r="V156">
            <v>370</v>
          </cell>
          <cell r="W156">
            <v>0</v>
          </cell>
          <cell r="X156">
            <v>0</v>
          </cell>
          <cell r="Y156">
            <v>20</v>
          </cell>
          <cell r="Z156">
            <v>135</v>
          </cell>
          <cell r="AA156">
            <v>135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540</v>
          </cell>
          <cell r="AG156">
            <v>255</v>
          </cell>
          <cell r="AH156">
            <v>130</v>
          </cell>
          <cell r="AI156">
            <v>0</v>
          </cell>
          <cell r="AJ156">
            <v>0</v>
          </cell>
          <cell r="AK156">
            <v>155</v>
          </cell>
          <cell r="AL156">
            <v>0</v>
          </cell>
          <cell r="AM156">
            <v>0</v>
          </cell>
          <cell r="AN156">
            <v>0</v>
          </cell>
          <cell r="AO156">
            <v>315</v>
          </cell>
          <cell r="AP156">
            <v>0</v>
          </cell>
          <cell r="AQ156">
            <v>0</v>
          </cell>
          <cell r="AR156">
            <v>120</v>
          </cell>
          <cell r="AS156">
            <v>0</v>
          </cell>
          <cell r="AT156">
            <v>90</v>
          </cell>
          <cell r="AU156">
            <v>0</v>
          </cell>
          <cell r="AV156">
            <v>0</v>
          </cell>
          <cell r="AW156">
            <v>30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75</v>
          </cell>
          <cell r="BG156">
            <v>0</v>
          </cell>
          <cell r="BH156">
            <v>0</v>
          </cell>
          <cell r="BI156">
            <v>0</v>
          </cell>
          <cell r="BJ156">
            <v>190427.04</v>
          </cell>
          <cell r="BK156">
            <v>1594</v>
          </cell>
          <cell r="BL156">
            <v>188833.04</v>
          </cell>
        </row>
        <row r="157">
          <cell r="B157" t="str">
            <v>CPH SOL-POWDER FILLING</v>
          </cell>
          <cell r="C157">
            <v>24480</v>
          </cell>
          <cell r="D157">
            <v>8160</v>
          </cell>
          <cell r="E157">
            <v>22950</v>
          </cell>
          <cell r="F157">
            <v>6630</v>
          </cell>
          <cell r="G157">
            <v>1530</v>
          </cell>
          <cell r="H157">
            <v>1530</v>
          </cell>
          <cell r="I157">
            <v>90</v>
          </cell>
          <cell r="J157">
            <v>90</v>
          </cell>
          <cell r="K157">
            <v>90</v>
          </cell>
          <cell r="L157">
            <v>90</v>
          </cell>
          <cell r="M157">
            <v>0</v>
          </cell>
          <cell r="N157">
            <v>0</v>
          </cell>
          <cell r="O157">
            <v>1440</v>
          </cell>
          <cell r="P157">
            <v>1440</v>
          </cell>
          <cell r="Q157">
            <v>595</v>
          </cell>
          <cell r="R157">
            <v>595</v>
          </cell>
          <cell r="S157">
            <v>845</v>
          </cell>
          <cell r="T157">
            <v>845</v>
          </cell>
          <cell r="U157">
            <v>135</v>
          </cell>
          <cell r="V157">
            <v>135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425</v>
          </cell>
          <cell r="AG157">
            <v>310</v>
          </cell>
          <cell r="AH157">
            <v>45</v>
          </cell>
          <cell r="AI157">
            <v>0</v>
          </cell>
          <cell r="AJ157">
            <v>0</v>
          </cell>
          <cell r="AK157">
            <v>70</v>
          </cell>
          <cell r="AL157">
            <v>0</v>
          </cell>
          <cell r="AM157">
            <v>0</v>
          </cell>
          <cell r="AN157">
            <v>0</v>
          </cell>
          <cell r="AO157">
            <v>285</v>
          </cell>
          <cell r="AP157">
            <v>0</v>
          </cell>
          <cell r="AQ157">
            <v>0</v>
          </cell>
          <cell r="AR157">
            <v>90</v>
          </cell>
          <cell r="AS157">
            <v>0</v>
          </cell>
          <cell r="AT157">
            <v>135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40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20</v>
          </cell>
          <cell r="BG157">
            <v>0</v>
          </cell>
          <cell r="BH157">
            <v>0</v>
          </cell>
          <cell r="BI157">
            <v>0</v>
          </cell>
          <cell r="BJ157">
            <v>21311</v>
          </cell>
          <cell r="BK157">
            <v>34</v>
          </cell>
          <cell r="BL157">
            <v>21277</v>
          </cell>
        </row>
        <row r="158">
          <cell r="B158" t="str">
            <v>SCF102</v>
          </cell>
          <cell r="C158">
            <v>24480</v>
          </cell>
          <cell r="D158">
            <v>8160</v>
          </cell>
          <cell r="E158">
            <v>22950</v>
          </cell>
          <cell r="F158">
            <v>6630</v>
          </cell>
          <cell r="G158">
            <v>1530</v>
          </cell>
          <cell r="H158">
            <v>1530</v>
          </cell>
          <cell r="I158">
            <v>90</v>
          </cell>
          <cell r="J158">
            <v>90</v>
          </cell>
          <cell r="K158">
            <v>90</v>
          </cell>
          <cell r="L158">
            <v>90</v>
          </cell>
          <cell r="M158">
            <v>0</v>
          </cell>
          <cell r="N158">
            <v>0</v>
          </cell>
          <cell r="O158">
            <v>1440</v>
          </cell>
          <cell r="P158">
            <v>1440</v>
          </cell>
          <cell r="Q158">
            <v>595</v>
          </cell>
          <cell r="R158">
            <v>595</v>
          </cell>
          <cell r="S158">
            <v>845</v>
          </cell>
          <cell r="T158">
            <v>845</v>
          </cell>
          <cell r="U158">
            <v>135</v>
          </cell>
          <cell r="V158">
            <v>135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425</v>
          </cell>
          <cell r="AG158">
            <v>310</v>
          </cell>
          <cell r="AH158">
            <v>45</v>
          </cell>
          <cell r="AI158">
            <v>0</v>
          </cell>
          <cell r="AJ158">
            <v>0</v>
          </cell>
          <cell r="AK158">
            <v>70</v>
          </cell>
          <cell r="AL158">
            <v>0</v>
          </cell>
          <cell r="AM158">
            <v>0</v>
          </cell>
          <cell r="AN158">
            <v>0</v>
          </cell>
          <cell r="AO158">
            <v>285</v>
          </cell>
          <cell r="AP158">
            <v>0</v>
          </cell>
          <cell r="AQ158">
            <v>0</v>
          </cell>
          <cell r="AR158">
            <v>90</v>
          </cell>
          <cell r="AS158">
            <v>0</v>
          </cell>
          <cell r="AT158">
            <v>135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40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20</v>
          </cell>
          <cell r="BG158">
            <v>0</v>
          </cell>
          <cell r="BH158">
            <v>0</v>
          </cell>
          <cell r="BI158">
            <v>0</v>
          </cell>
          <cell r="BJ158">
            <v>21311</v>
          </cell>
          <cell r="BK158">
            <v>34</v>
          </cell>
          <cell r="BL158">
            <v>21277</v>
          </cell>
        </row>
        <row r="159">
          <cell r="B159" t="str">
            <v>CPH INJ-FILLING</v>
          </cell>
          <cell r="C159">
            <v>24480</v>
          </cell>
          <cell r="D159">
            <v>15810</v>
          </cell>
          <cell r="E159">
            <v>20760</v>
          </cell>
          <cell r="F159">
            <v>12090</v>
          </cell>
          <cell r="G159">
            <v>3720</v>
          </cell>
          <cell r="H159">
            <v>3720</v>
          </cell>
          <cell r="I159">
            <v>225</v>
          </cell>
          <cell r="J159">
            <v>225</v>
          </cell>
          <cell r="K159">
            <v>225</v>
          </cell>
          <cell r="L159">
            <v>45</v>
          </cell>
          <cell r="M159">
            <v>180</v>
          </cell>
          <cell r="N159">
            <v>0</v>
          </cell>
          <cell r="O159">
            <v>3495</v>
          </cell>
          <cell r="P159">
            <v>3495</v>
          </cell>
          <cell r="Q159">
            <v>1367</v>
          </cell>
          <cell r="R159">
            <v>1367</v>
          </cell>
          <cell r="S159">
            <v>2128</v>
          </cell>
          <cell r="T159">
            <v>2128</v>
          </cell>
          <cell r="U159">
            <v>320</v>
          </cell>
          <cell r="V159">
            <v>250</v>
          </cell>
          <cell r="W159">
            <v>0</v>
          </cell>
          <cell r="X159">
            <v>70</v>
          </cell>
          <cell r="Y159">
            <v>0</v>
          </cell>
          <cell r="Z159">
            <v>46</v>
          </cell>
          <cell r="AA159">
            <v>46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1061</v>
          </cell>
          <cell r="AG159">
            <v>351</v>
          </cell>
          <cell r="AH159">
            <v>710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701</v>
          </cell>
          <cell r="AP159">
            <v>0</v>
          </cell>
          <cell r="AQ159">
            <v>0</v>
          </cell>
          <cell r="AR159">
            <v>260</v>
          </cell>
          <cell r="AS159">
            <v>10</v>
          </cell>
          <cell r="AT159">
            <v>242</v>
          </cell>
          <cell r="AU159">
            <v>0</v>
          </cell>
          <cell r="AV159">
            <v>0</v>
          </cell>
          <cell r="AW159">
            <v>35</v>
          </cell>
          <cell r="AX159">
            <v>0</v>
          </cell>
          <cell r="AY159">
            <v>44</v>
          </cell>
          <cell r="AZ159">
            <v>0</v>
          </cell>
          <cell r="BA159">
            <v>0</v>
          </cell>
          <cell r="BB159">
            <v>110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197512</v>
          </cell>
          <cell r="BK159">
            <v>6</v>
          </cell>
          <cell r="BL159">
            <v>197506</v>
          </cell>
        </row>
        <row r="160">
          <cell r="B160" t="str">
            <v>GINLINE6</v>
          </cell>
          <cell r="C160">
            <v>24480</v>
          </cell>
          <cell r="D160">
            <v>15810</v>
          </cell>
          <cell r="E160">
            <v>20760</v>
          </cell>
          <cell r="F160">
            <v>12090</v>
          </cell>
          <cell r="G160">
            <v>3720</v>
          </cell>
          <cell r="H160">
            <v>3720</v>
          </cell>
          <cell r="I160">
            <v>225</v>
          </cell>
          <cell r="J160">
            <v>225</v>
          </cell>
          <cell r="K160">
            <v>225</v>
          </cell>
          <cell r="L160">
            <v>45</v>
          </cell>
          <cell r="M160">
            <v>180</v>
          </cell>
          <cell r="N160">
            <v>0</v>
          </cell>
          <cell r="O160">
            <v>3495</v>
          </cell>
          <cell r="P160">
            <v>3495</v>
          </cell>
          <cell r="Q160">
            <v>1367</v>
          </cell>
          <cell r="R160">
            <v>1367</v>
          </cell>
          <cell r="S160">
            <v>2128</v>
          </cell>
          <cell r="T160">
            <v>2128</v>
          </cell>
          <cell r="U160">
            <v>320</v>
          </cell>
          <cell r="V160">
            <v>250</v>
          </cell>
          <cell r="W160">
            <v>0</v>
          </cell>
          <cell r="X160">
            <v>70</v>
          </cell>
          <cell r="Y160">
            <v>0</v>
          </cell>
          <cell r="Z160">
            <v>46</v>
          </cell>
          <cell r="AA160">
            <v>46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1061</v>
          </cell>
          <cell r="AG160">
            <v>351</v>
          </cell>
          <cell r="AH160">
            <v>710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701</v>
          </cell>
          <cell r="AP160">
            <v>0</v>
          </cell>
          <cell r="AQ160">
            <v>0</v>
          </cell>
          <cell r="AR160">
            <v>260</v>
          </cell>
          <cell r="AS160">
            <v>10</v>
          </cell>
          <cell r="AT160">
            <v>242</v>
          </cell>
          <cell r="AU160">
            <v>0</v>
          </cell>
          <cell r="AV160">
            <v>0</v>
          </cell>
          <cell r="AW160">
            <v>35</v>
          </cell>
          <cell r="AX160">
            <v>0</v>
          </cell>
          <cell r="AY160">
            <v>44</v>
          </cell>
          <cell r="AZ160">
            <v>0</v>
          </cell>
          <cell r="BA160">
            <v>0</v>
          </cell>
          <cell r="BB160">
            <v>110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197512</v>
          </cell>
          <cell r="BK160">
            <v>6</v>
          </cell>
          <cell r="BL160">
            <v>197506</v>
          </cell>
        </row>
        <row r="161">
          <cell r="B161" t="str">
            <v>CPH INJ-STERILIZATION</v>
          </cell>
          <cell r="C161">
            <v>48960</v>
          </cell>
          <cell r="D161">
            <v>31620</v>
          </cell>
          <cell r="E161">
            <v>41010</v>
          </cell>
          <cell r="F161">
            <v>23670</v>
          </cell>
          <cell r="G161">
            <v>7950</v>
          </cell>
          <cell r="H161">
            <v>7950</v>
          </cell>
          <cell r="I161">
            <v>150</v>
          </cell>
          <cell r="J161">
            <v>150</v>
          </cell>
          <cell r="K161">
            <v>150</v>
          </cell>
          <cell r="L161">
            <v>150</v>
          </cell>
          <cell r="M161">
            <v>0</v>
          </cell>
          <cell r="N161">
            <v>0</v>
          </cell>
          <cell r="O161">
            <v>7800</v>
          </cell>
          <cell r="P161">
            <v>7800</v>
          </cell>
          <cell r="Q161">
            <v>3039</v>
          </cell>
          <cell r="R161">
            <v>3039</v>
          </cell>
          <cell r="S161">
            <v>4761</v>
          </cell>
          <cell r="T161">
            <v>4761</v>
          </cell>
          <cell r="U161">
            <v>222</v>
          </cell>
          <cell r="V161">
            <v>222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2330</v>
          </cell>
          <cell r="AG161">
            <v>2009</v>
          </cell>
          <cell r="AH161">
            <v>321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2209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100</v>
          </cell>
          <cell r="AX161">
            <v>2109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298</v>
          </cell>
          <cell r="BK161">
            <v>0</v>
          </cell>
          <cell r="BL161">
            <v>298</v>
          </cell>
        </row>
        <row r="162">
          <cell r="B162" t="str">
            <v>ICF104</v>
          </cell>
          <cell r="C162">
            <v>24480</v>
          </cell>
          <cell r="D162">
            <v>15810</v>
          </cell>
          <cell r="E162">
            <v>20280</v>
          </cell>
          <cell r="F162">
            <v>11610</v>
          </cell>
          <cell r="G162">
            <v>4200</v>
          </cell>
          <cell r="H162">
            <v>4200</v>
          </cell>
          <cell r="I162">
            <v>90</v>
          </cell>
          <cell r="J162">
            <v>90</v>
          </cell>
          <cell r="K162">
            <v>90</v>
          </cell>
          <cell r="L162">
            <v>90</v>
          </cell>
          <cell r="M162">
            <v>0</v>
          </cell>
          <cell r="N162">
            <v>0</v>
          </cell>
          <cell r="O162">
            <v>4110</v>
          </cell>
          <cell r="P162">
            <v>4110</v>
          </cell>
          <cell r="Q162">
            <v>1842</v>
          </cell>
          <cell r="R162">
            <v>1842</v>
          </cell>
          <cell r="S162">
            <v>2268</v>
          </cell>
          <cell r="T162">
            <v>2268</v>
          </cell>
          <cell r="U162">
            <v>112</v>
          </cell>
          <cell r="V162">
            <v>112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1885</v>
          </cell>
          <cell r="AG162">
            <v>1730</v>
          </cell>
          <cell r="AH162">
            <v>155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271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50</v>
          </cell>
          <cell r="AX162">
            <v>221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199</v>
          </cell>
          <cell r="BK162">
            <v>0</v>
          </cell>
          <cell r="BL162">
            <v>199</v>
          </cell>
        </row>
        <row r="163">
          <cell r="B163" t="str">
            <v>ICF105</v>
          </cell>
          <cell r="C163">
            <v>24480</v>
          </cell>
          <cell r="D163">
            <v>15810</v>
          </cell>
          <cell r="E163">
            <v>20730</v>
          </cell>
          <cell r="F163">
            <v>12060</v>
          </cell>
          <cell r="G163">
            <v>3750</v>
          </cell>
          <cell r="H163">
            <v>3750</v>
          </cell>
          <cell r="I163">
            <v>60</v>
          </cell>
          <cell r="J163">
            <v>60</v>
          </cell>
          <cell r="K163">
            <v>60</v>
          </cell>
          <cell r="L163">
            <v>60</v>
          </cell>
          <cell r="M163">
            <v>0</v>
          </cell>
          <cell r="N163">
            <v>0</v>
          </cell>
          <cell r="O163">
            <v>3690</v>
          </cell>
          <cell r="P163">
            <v>3690</v>
          </cell>
          <cell r="Q163">
            <v>1197</v>
          </cell>
          <cell r="R163">
            <v>1197</v>
          </cell>
          <cell r="S163">
            <v>2493</v>
          </cell>
          <cell r="T163">
            <v>2493</v>
          </cell>
          <cell r="U163">
            <v>110</v>
          </cell>
          <cell r="V163">
            <v>110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445</v>
          </cell>
          <cell r="AG163">
            <v>279</v>
          </cell>
          <cell r="AH163">
            <v>166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1938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50</v>
          </cell>
          <cell r="AX163">
            <v>1888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99</v>
          </cell>
          <cell r="BK163">
            <v>0</v>
          </cell>
          <cell r="BL163">
            <v>99</v>
          </cell>
        </row>
        <row r="164">
          <cell r="B164" t="str">
            <v>CPH-SECONDARY PACKING</v>
          </cell>
          <cell r="C164">
            <v>48960</v>
          </cell>
          <cell r="D164">
            <v>16320</v>
          </cell>
          <cell r="E164">
            <v>29970</v>
          </cell>
          <cell r="F164">
            <v>-2670</v>
          </cell>
          <cell r="G164">
            <v>18990</v>
          </cell>
          <cell r="H164">
            <v>18990</v>
          </cell>
          <cell r="I164">
            <v>1370</v>
          </cell>
          <cell r="J164">
            <v>1370</v>
          </cell>
          <cell r="K164">
            <v>1370</v>
          </cell>
          <cell r="L164">
            <v>515</v>
          </cell>
          <cell r="M164">
            <v>855</v>
          </cell>
          <cell r="N164">
            <v>0</v>
          </cell>
          <cell r="O164">
            <v>17620</v>
          </cell>
          <cell r="P164">
            <v>17620</v>
          </cell>
          <cell r="Q164">
            <v>7070</v>
          </cell>
          <cell r="R164">
            <v>7070</v>
          </cell>
          <cell r="S164">
            <v>10550</v>
          </cell>
          <cell r="T164">
            <v>10550</v>
          </cell>
          <cell r="U164">
            <v>3174</v>
          </cell>
          <cell r="V164">
            <v>2064</v>
          </cell>
          <cell r="W164">
            <v>125</v>
          </cell>
          <cell r="X164">
            <v>105</v>
          </cell>
          <cell r="Y164">
            <v>880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3160</v>
          </cell>
          <cell r="AG164">
            <v>2020</v>
          </cell>
          <cell r="AH164">
            <v>690</v>
          </cell>
          <cell r="AI164">
            <v>175</v>
          </cell>
          <cell r="AJ164">
            <v>0</v>
          </cell>
          <cell r="AK164">
            <v>275</v>
          </cell>
          <cell r="AL164">
            <v>30</v>
          </cell>
          <cell r="AM164">
            <v>0</v>
          </cell>
          <cell r="AN164">
            <v>30</v>
          </cell>
          <cell r="AO164">
            <v>4186</v>
          </cell>
          <cell r="AP164">
            <v>465</v>
          </cell>
          <cell r="AQ164">
            <v>0</v>
          </cell>
          <cell r="AR164">
            <v>1080</v>
          </cell>
          <cell r="AS164">
            <v>0</v>
          </cell>
          <cell r="AT164">
            <v>750</v>
          </cell>
          <cell r="AU164">
            <v>890</v>
          </cell>
          <cell r="AV164">
            <v>0</v>
          </cell>
          <cell r="AW164">
            <v>0</v>
          </cell>
          <cell r="AX164">
            <v>235</v>
          </cell>
          <cell r="AY164">
            <v>328</v>
          </cell>
          <cell r="AZ164">
            <v>0</v>
          </cell>
          <cell r="BA164">
            <v>15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418</v>
          </cell>
          <cell r="BG164">
            <v>5</v>
          </cell>
          <cell r="BH164">
            <v>0</v>
          </cell>
          <cell r="BI164">
            <v>0</v>
          </cell>
          <cell r="BJ164">
            <v>902779</v>
          </cell>
          <cell r="BK164">
            <v>534</v>
          </cell>
          <cell r="BL164">
            <v>902245</v>
          </cell>
        </row>
        <row r="165">
          <cell r="B165" t="str">
            <v>PCF101</v>
          </cell>
          <cell r="C165">
            <v>24480</v>
          </cell>
          <cell r="D165">
            <v>8160</v>
          </cell>
          <cell r="E165">
            <v>10080</v>
          </cell>
          <cell r="F165">
            <v>-6240</v>
          </cell>
          <cell r="G165">
            <v>14400</v>
          </cell>
          <cell r="H165">
            <v>14400</v>
          </cell>
          <cell r="I165">
            <v>1150</v>
          </cell>
          <cell r="J165">
            <v>1150</v>
          </cell>
          <cell r="K165">
            <v>1150</v>
          </cell>
          <cell r="L165">
            <v>295</v>
          </cell>
          <cell r="M165">
            <v>855</v>
          </cell>
          <cell r="N165">
            <v>0</v>
          </cell>
          <cell r="O165">
            <v>13250</v>
          </cell>
          <cell r="P165">
            <v>13250</v>
          </cell>
          <cell r="Q165">
            <v>4530</v>
          </cell>
          <cell r="R165">
            <v>4530</v>
          </cell>
          <cell r="S165">
            <v>8720</v>
          </cell>
          <cell r="T165">
            <v>8720</v>
          </cell>
          <cell r="U165">
            <v>3025</v>
          </cell>
          <cell r="V165">
            <v>1980</v>
          </cell>
          <cell r="W165">
            <v>125</v>
          </cell>
          <cell r="X165">
            <v>40</v>
          </cell>
          <cell r="Y165">
            <v>880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2755</v>
          </cell>
          <cell r="AG165">
            <v>1945</v>
          </cell>
          <cell r="AH165">
            <v>635</v>
          </cell>
          <cell r="AI165">
            <v>175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2940</v>
          </cell>
          <cell r="AP165">
            <v>465</v>
          </cell>
          <cell r="AQ165">
            <v>0</v>
          </cell>
          <cell r="AR165">
            <v>840</v>
          </cell>
          <cell r="AS165">
            <v>0</v>
          </cell>
          <cell r="AT165">
            <v>630</v>
          </cell>
          <cell r="AU165">
            <v>465</v>
          </cell>
          <cell r="AV165">
            <v>0</v>
          </cell>
          <cell r="AW165">
            <v>0</v>
          </cell>
          <cell r="AX165">
            <v>0</v>
          </cell>
          <cell r="AY165">
            <v>250</v>
          </cell>
          <cell r="AZ165">
            <v>0</v>
          </cell>
          <cell r="BA165">
            <v>15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270</v>
          </cell>
          <cell r="BG165">
            <v>5</v>
          </cell>
          <cell r="BH165">
            <v>0</v>
          </cell>
          <cell r="BI165">
            <v>0</v>
          </cell>
          <cell r="BJ165">
            <v>839424</v>
          </cell>
          <cell r="BK165">
            <v>209</v>
          </cell>
          <cell r="BL165">
            <v>839215</v>
          </cell>
        </row>
        <row r="166">
          <cell r="B166" t="str">
            <v>PCF102</v>
          </cell>
          <cell r="C166">
            <v>24480</v>
          </cell>
          <cell r="D166">
            <v>8160</v>
          </cell>
          <cell r="E166">
            <v>19890</v>
          </cell>
          <cell r="F166">
            <v>3570</v>
          </cell>
          <cell r="G166">
            <v>4590</v>
          </cell>
          <cell r="H166">
            <v>4590</v>
          </cell>
          <cell r="I166">
            <v>220</v>
          </cell>
          <cell r="J166">
            <v>220</v>
          </cell>
          <cell r="K166">
            <v>220</v>
          </cell>
          <cell r="L166">
            <v>220</v>
          </cell>
          <cell r="M166">
            <v>0</v>
          </cell>
          <cell r="N166">
            <v>0</v>
          </cell>
          <cell r="O166">
            <v>4370</v>
          </cell>
          <cell r="P166">
            <v>4370</v>
          </cell>
          <cell r="Q166">
            <v>2540</v>
          </cell>
          <cell r="R166">
            <v>2540</v>
          </cell>
          <cell r="S166">
            <v>1830</v>
          </cell>
          <cell r="T166">
            <v>1830</v>
          </cell>
          <cell r="U166">
            <v>149</v>
          </cell>
          <cell r="V166">
            <v>84</v>
          </cell>
          <cell r="W166">
            <v>0</v>
          </cell>
          <cell r="X166">
            <v>65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405</v>
          </cell>
          <cell r="AG166">
            <v>75</v>
          </cell>
          <cell r="AH166">
            <v>55</v>
          </cell>
          <cell r="AI166">
            <v>0</v>
          </cell>
          <cell r="AJ166">
            <v>0</v>
          </cell>
          <cell r="AK166">
            <v>275</v>
          </cell>
          <cell r="AL166">
            <v>30</v>
          </cell>
          <cell r="AM166">
            <v>0</v>
          </cell>
          <cell r="AN166">
            <v>30</v>
          </cell>
          <cell r="AO166">
            <v>1246</v>
          </cell>
          <cell r="AP166">
            <v>0</v>
          </cell>
          <cell r="AQ166">
            <v>0</v>
          </cell>
          <cell r="AR166">
            <v>240</v>
          </cell>
          <cell r="AS166">
            <v>0</v>
          </cell>
          <cell r="AT166">
            <v>120</v>
          </cell>
          <cell r="AU166">
            <v>425</v>
          </cell>
          <cell r="AV166">
            <v>0</v>
          </cell>
          <cell r="AW166">
            <v>0</v>
          </cell>
          <cell r="AX166">
            <v>235</v>
          </cell>
          <cell r="AY166">
            <v>78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148</v>
          </cell>
          <cell r="BG166">
            <v>0</v>
          </cell>
          <cell r="BH166">
            <v>0</v>
          </cell>
          <cell r="BI166">
            <v>0</v>
          </cell>
          <cell r="BJ166">
            <v>63355</v>
          </cell>
          <cell r="BK166">
            <v>325</v>
          </cell>
          <cell r="BL166">
            <v>63030</v>
          </cell>
        </row>
      </sheetData>
      <sheetData sheetId="14" refreshError="1"/>
      <sheetData sheetId="1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shboard OEE"/>
      <sheetName val="Dashboard Monthly Manpower"/>
      <sheetName val="Dashboard Monthly Legend"/>
      <sheetName val="Dashboard Legend Group"/>
      <sheetName val="Mesin Running"/>
      <sheetName val="Pivot Batch &amp; Tanggal"/>
      <sheetName val="Jumlah Shift"/>
      <sheetName val="Format Shift Operation"/>
      <sheetName val="Custom Report "/>
      <sheetName val="OEE All Machine Report"/>
      <sheetName val="OEE By Group Report"/>
      <sheetName val="Analisys QBR Report"/>
      <sheetName val="Analisys QBR By Machine Report"/>
      <sheetName val="Dasboard_QBR_Report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B1" t="str">
            <v>oee</v>
          </cell>
        </row>
        <row r="109">
          <cell r="C109" t="str">
            <v>PROSES( Menit )</v>
          </cell>
          <cell r="D109" t="str">
            <v>POT</v>
          </cell>
          <cell r="E109" t="str">
            <v>Unschedule Time</v>
          </cell>
          <cell r="F109" t="str">
            <v>L2</v>
          </cell>
          <cell r="G109" t="str">
            <v>L21</v>
          </cell>
          <cell r="H109" t="str">
            <v>L22</v>
          </cell>
          <cell r="I109" t="str">
            <v>IG</v>
          </cell>
          <cell r="J109" t="str">
            <v>PPT</v>
          </cell>
          <cell r="K109" t="str">
            <v>R</v>
          </cell>
          <cell r="L109" t="str">
            <v>Setup</v>
          </cell>
          <cell r="M109" t="str">
            <v>P6</v>
          </cell>
          <cell r="N109" t="str">
            <v>P5</v>
          </cell>
          <cell r="O109" t="str">
            <v>P8</v>
          </cell>
          <cell r="P109" t="str">
            <v>P9</v>
          </cell>
          <cell r="Q109" t="str">
            <v>Breakdown</v>
          </cell>
          <cell r="R109" t="str">
            <v>M1</v>
          </cell>
          <cell r="S109" t="str">
            <v>M2</v>
          </cell>
          <cell r="T109" t="str">
            <v>M4</v>
          </cell>
          <cell r="U109" t="str">
            <v>M8</v>
          </cell>
          <cell r="V109" t="str">
            <v>M9</v>
          </cell>
          <cell r="W109" t="str">
            <v>Clean</v>
          </cell>
          <cell r="X109" t="str">
            <v>P2</v>
          </cell>
          <cell r="Y109" t="str">
            <v>P4</v>
          </cell>
          <cell r="Z109" t="str">
            <v>P17</v>
          </cell>
          <cell r="AA109" t="str">
            <v>P19</v>
          </cell>
          <cell r="AB109" t="str">
            <v>P12</v>
          </cell>
          <cell r="AC109" t="str">
            <v>Trial</v>
          </cell>
          <cell r="AD109" t="str">
            <v>R1</v>
          </cell>
          <cell r="AE109" t="str">
            <v>R2</v>
          </cell>
          <cell r="AF109" t="str">
            <v>Waiting</v>
          </cell>
          <cell r="AG109" t="str">
            <v>L1</v>
          </cell>
          <cell r="AH109" t="str">
            <v>L3</v>
          </cell>
          <cell r="AI109" t="str">
            <v>H1</v>
          </cell>
          <cell r="AJ109" t="str">
            <v>H2</v>
          </cell>
          <cell r="AK109" t="str">
            <v>H4</v>
          </cell>
          <cell r="AL109" t="str">
            <v>H6</v>
          </cell>
          <cell r="AM109" t="str">
            <v>H7</v>
          </cell>
          <cell r="AN109" t="str">
            <v>H8</v>
          </cell>
          <cell r="AO109" t="str">
            <v>P10</v>
          </cell>
          <cell r="AP109" t="str">
            <v>P11</v>
          </cell>
          <cell r="AQ109" t="str">
            <v>P13</v>
          </cell>
          <cell r="AR109" t="str">
            <v>P14</v>
          </cell>
          <cell r="AS109" t="str">
            <v>P16</v>
          </cell>
          <cell r="AT109" t="str">
            <v>M5</v>
          </cell>
          <cell r="AU109" t="str">
            <v>M6</v>
          </cell>
          <cell r="AV109" t="str">
            <v>M7</v>
          </cell>
          <cell r="AW109" t="str">
            <v>Q1</v>
          </cell>
          <cell r="AX109" t="str">
            <v>Q2</v>
          </cell>
          <cell r="AY109" t="str">
            <v>Q3</v>
          </cell>
          <cell r="AZ109" t="str">
            <v>Q4</v>
          </cell>
          <cell r="BA109" t="str">
            <v>Total Output</v>
          </cell>
          <cell r="BB109" t="str">
            <v>Reject Output</v>
          </cell>
          <cell r="BC109" t="str">
            <v>Good Output</v>
          </cell>
        </row>
        <row r="110">
          <cell r="C110" t="str">
            <v>NBL SOL-MIXING</v>
          </cell>
          <cell r="D110">
            <v>86400</v>
          </cell>
          <cell r="E110">
            <v>56490</v>
          </cell>
          <cell r="F110">
            <v>3092</v>
          </cell>
          <cell r="G110">
            <v>52</v>
          </cell>
          <cell r="H110">
            <v>3040</v>
          </cell>
          <cell r="I110">
            <v>310</v>
          </cell>
          <cell r="J110">
            <v>26508</v>
          </cell>
          <cell r="K110">
            <v>4293</v>
          </cell>
          <cell r="L110">
            <v>715</v>
          </cell>
          <cell r="M110">
            <v>715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11758</v>
          </cell>
          <cell r="X110">
            <v>7247</v>
          </cell>
          <cell r="Y110">
            <v>3804</v>
          </cell>
          <cell r="Z110">
            <v>96</v>
          </cell>
          <cell r="AA110">
            <v>0</v>
          </cell>
          <cell r="AB110">
            <v>611</v>
          </cell>
          <cell r="AC110">
            <v>690</v>
          </cell>
          <cell r="AD110">
            <v>0</v>
          </cell>
          <cell r="AE110">
            <v>690</v>
          </cell>
          <cell r="AF110">
            <v>9052</v>
          </cell>
          <cell r="AG110">
            <v>255</v>
          </cell>
          <cell r="AH110">
            <v>0</v>
          </cell>
          <cell r="AI110">
            <v>1380</v>
          </cell>
          <cell r="AJ110">
            <v>0</v>
          </cell>
          <cell r="AK110">
            <v>1095</v>
          </cell>
          <cell r="AL110">
            <v>0</v>
          </cell>
          <cell r="AM110">
            <v>0</v>
          </cell>
          <cell r="AN110">
            <v>0</v>
          </cell>
          <cell r="AO110">
            <v>5651</v>
          </cell>
          <cell r="AP110">
            <v>17</v>
          </cell>
          <cell r="AQ110">
            <v>0</v>
          </cell>
          <cell r="AR110">
            <v>432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222</v>
          </cell>
          <cell r="AX110">
            <v>0</v>
          </cell>
          <cell r="AY110">
            <v>0</v>
          </cell>
          <cell r="AZ110">
            <v>0</v>
          </cell>
          <cell r="BA110">
            <v>7483.03</v>
          </cell>
          <cell r="BB110">
            <v>0</v>
          </cell>
          <cell r="BC110">
            <v>7483.03</v>
          </cell>
        </row>
        <row r="111">
          <cell r="C111" t="str">
            <v>MIX113</v>
          </cell>
          <cell r="D111">
            <v>28800</v>
          </cell>
          <cell r="E111">
            <v>12060</v>
          </cell>
          <cell r="F111">
            <v>2525</v>
          </cell>
          <cell r="G111">
            <v>0</v>
          </cell>
          <cell r="H111">
            <v>2525</v>
          </cell>
          <cell r="I111">
            <v>120</v>
          </cell>
          <cell r="J111">
            <v>14095</v>
          </cell>
          <cell r="K111">
            <v>901</v>
          </cell>
          <cell r="L111">
            <v>402</v>
          </cell>
          <cell r="M111">
            <v>402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4876</v>
          </cell>
          <cell r="X111">
            <v>2300</v>
          </cell>
          <cell r="Y111">
            <v>2280</v>
          </cell>
          <cell r="Z111">
            <v>0</v>
          </cell>
          <cell r="AA111">
            <v>0</v>
          </cell>
          <cell r="AB111">
            <v>296</v>
          </cell>
          <cell r="AC111">
            <v>690</v>
          </cell>
          <cell r="AD111">
            <v>0</v>
          </cell>
          <cell r="AE111">
            <v>690</v>
          </cell>
          <cell r="AF111">
            <v>7226</v>
          </cell>
          <cell r="AG111">
            <v>110</v>
          </cell>
          <cell r="AH111">
            <v>0</v>
          </cell>
          <cell r="AI111">
            <v>660</v>
          </cell>
          <cell r="AJ111">
            <v>0</v>
          </cell>
          <cell r="AK111">
            <v>510</v>
          </cell>
          <cell r="AL111">
            <v>0</v>
          </cell>
          <cell r="AM111">
            <v>0</v>
          </cell>
          <cell r="AN111">
            <v>0</v>
          </cell>
          <cell r="AO111">
            <v>5651</v>
          </cell>
          <cell r="AP111">
            <v>17</v>
          </cell>
          <cell r="AQ111">
            <v>0</v>
          </cell>
          <cell r="AR111">
            <v>56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222</v>
          </cell>
          <cell r="AX111">
            <v>0</v>
          </cell>
          <cell r="AY111">
            <v>0</v>
          </cell>
          <cell r="AZ111">
            <v>0</v>
          </cell>
          <cell r="BA111">
            <v>4964.8599999999997</v>
          </cell>
          <cell r="BB111">
            <v>0</v>
          </cell>
          <cell r="BC111">
            <v>4964.8599999999997</v>
          </cell>
        </row>
        <row r="112">
          <cell r="C112" t="str">
            <v>LMIXSOL1</v>
          </cell>
          <cell r="D112">
            <v>28800</v>
          </cell>
          <cell r="E112">
            <v>21270</v>
          </cell>
          <cell r="F112">
            <v>402</v>
          </cell>
          <cell r="G112">
            <v>52</v>
          </cell>
          <cell r="H112">
            <v>350</v>
          </cell>
          <cell r="I112">
            <v>190</v>
          </cell>
          <cell r="J112">
            <v>6938</v>
          </cell>
          <cell r="K112">
            <v>1575</v>
          </cell>
          <cell r="L112">
            <v>198</v>
          </cell>
          <cell r="M112">
            <v>198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4011</v>
          </cell>
          <cell r="X112">
            <v>2661</v>
          </cell>
          <cell r="Y112">
            <v>1061</v>
          </cell>
          <cell r="Z112">
            <v>94</v>
          </cell>
          <cell r="AA112">
            <v>0</v>
          </cell>
          <cell r="AB112">
            <v>195</v>
          </cell>
          <cell r="AC112">
            <v>0</v>
          </cell>
          <cell r="AD112">
            <v>0</v>
          </cell>
          <cell r="AE112">
            <v>0</v>
          </cell>
          <cell r="AF112">
            <v>1154</v>
          </cell>
          <cell r="AG112">
            <v>120</v>
          </cell>
          <cell r="AH112">
            <v>0</v>
          </cell>
          <cell r="AI112">
            <v>450</v>
          </cell>
          <cell r="AJ112">
            <v>0</v>
          </cell>
          <cell r="AK112">
            <v>330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254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779.04</v>
          </cell>
          <cell r="BB112">
            <v>0</v>
          </cell>
          <cell r="BC112">
            <v>779.04</v>
          </cell>
        </row>
        <row r="113">
          <cell r="C113" t="str">
            <v>LMIXSOL2</v>
          </cell>
          <cell r="D113">
            <v>28800</v>
          </cell>
          <cell r="E113">
            <v>23160</v>
          </cell>
          <cell r="F113">
            <v>165</v>
          </cell>
          <cell r="G113">
            <v>0</v>
          </cell>
          <cell r="H113">
            <v>165</v>
          </cell>
          <cell r="I113">
            <v>0</v>
          </cell>
          <cell r="J113">
            <v>5475</v>
          </cell>
          <cell r="K113">
            <v>1817</v>
          </cell>
          <cell r="L113">
            <v>115</v>
          </cell>
          <cell r="M113">
            <v>115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2871</v>
          </cell>
          <cell r="X113">
            <v>2286</v>
          </cell>
          <cell r="Y113">
            <v>463</v>
          </cell>
          <cell r="Z113">
            <v>2</v>
          </cell>
          <cell r="AA113">
            <v>0</v>
          </cell>
          <cell r="AB113">
            <v>120</v>
          </cell>
          <cell r="AC113">
            <v>0</v>
          </cell>
          <cell r="AD113">
            <v>0</v>
          </cell>
          <cell r="AE113">
            <v>0</v>
          </cell>
          <cell r="AF113">
            <v>672</v>
          </cell>
          <cell r="AG113">
            <v>25</v>
          </cell>
          <cell r="AH113">
            <v>0</v>
          </cell>
          <cell r="AI113">
            <v>270</v>
          </cell>
          <cell r="AJ113">
            <v>0</v>
          </cell>
          <cell r="AK113">
            <v>255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122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1739.13</v>
          </cell>
          <cell r="BB113">
            <v>0</v>
          </cell>
          <cell r="BC113">
            <v>1739.13</v>
          </cell>
        </row>
        <row r="114">
          <cell r="C114" t="str">
            <v>NBL SOL-COATING</v>
          </cell>
          <cell r="D114">
            <v>54720</v>
          </cell>
          <cell r="E114">
            <v>45960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8760</v>
          </cell>
          <cell r="K114">
            <v>3695</v>
          </cell>
          <cell r="L114">
            <v>170</v>
          </cell>
          <cell r="M114">
            <v>155</v>
          </cell>
          <cell r="N114">
            <v>0</v>
          </cell>
          <cell r="O114">
            <v>15</v>
          </cell>
          <cell r="P114">
            <v>0</v>
          </cell>
          <cell r="Q114">
            <v>125</v>
          </cell>
          <cell r="R114">
            <v>70</v>
          </cell>
          <cell r="S114">
            <v>0</v>
          </cell>
          <cell r="T114">
            <v>0</v>
          </cell>
          <cell r="U114">
            <v>55</v>
          </cell>
          <cell r="V114">
            <v>0</v>
          </cell>
          <cell r="W114">
            <v>3435</v>
          </cell>
          <cell r="X114">
            <v>960</v>
          </cell>
          <cell r="Y114">
            <v>2145</v>
          </cell>
          <cell r="Z114">
            <v>0</v>
          </cell>
          <cell r="AA114">
            <v>0</v>
          </cell>
          <cell r="AB114">
            <v>330</v>
          </cell>
          <cell r="AC114">
            <v>0</v>
          </cell>
          <cell r="AD114">
            <v>0</v>
          </cell>
          <cell r="AE114">
            <v>0</v>
          </cell>
          <cell r="AF114">
            <v>1335</v>
          </cell>
          <cell r="AG114">
            <v>0</v>
          </cell>
          <cell r="AH114">
            <v>0</v>
          </cell>
          <cell r="AI114">
            <v>390</v>
          </cell>
          <cell r="AJ114">
            <v>0</v>
          </cell>
          <cell r="AK114">
            <v>325</v>
          </cell>
          <cell r="AL114">
            <v>0</v>
          </cell>
          <cell r="AM114">
            <v>0</v>
          </cell>
          <cell r="AN114">
            <v>0</v>
          </cell>
          <cell r="AO114">
            <v>270</v>
          </cell>
          <cell r="AP114">
            <v>220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85</v>
          </cell>
          <cell r="AX114">
            <v>45</v>
          </cell>
          <cell r="AY114">
            <v>0</v>
          </cell>
          <cell r="AZ114">
            <v>0</v>
          </cell>
          <cell r="BA114">
            <v>1935.44</v>
          </cell>
          <cell r="BB114">
            <v>0.78</v>
          </cell>
          <cell r="BC114">
            <v>1934.66</v>
          </cell>
        </row>
        <row r="115">
          <cell r="C115" t="str">
            <v>COT101</v>
          </cell>
          <cell r="D115">
            <v>27360</v>
          </cell>
          <cell r="E115">
            <v>23940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3420</v>
          </cell>
          <cell r="K115">
            <v>1210</v>
          </cell>
          <cell r="L115">
            <v>50</v>
          </cell>
          <cell r="M115">
            <v>50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1625</v>
          </cell>
          <cell r="X115">
            <v>320</v>
          </cell>
          <cell r="Y115">
            <v>1175</v>
          </cell>
          <cell r="Z115">
            <v>0</v>
          </cell>
          <cell r="AA115">
            <v>0</v>
          </cell>
          <cell r="AB115">
            <v>130</v>
          </cell>
          <cell r="AC115">
            <v>0</v>
          </cell>
          <cell r="AD115">
            <v>0</v>
          </cell>
          <cell r="AE115">
            <v>0</v>
          </cell>
          <cell r="AF115">
            <v>535</v>
          </cell>
          <cell r="AG115">
            <v>0</v>
          </cell>
          <cell r="AH115">
            <v>0</v>
          </cell>
          <cell r="AI115">
            <v>180</v>
          </cell>
          <cell r="AJ115">
            <v>0</v>
          </cell>
          <cell r="AK115">
            <v>115</v>
          </cell>
          <cell r="AL115">
            <v>0</v>
          </cell>
          <cell r="AM115">
            <v>0</v>
          </cell>
          <cell r="AN115">
            <v>0</v>
          </cell>
          <cell r="AO115">
            <v>100</v>
          </cell>
          <cell r="AP115">
            <v>100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40</v>
          </cell>
          <cell r="AX115">
            <v>0</v>
          </cell>
          <cell r="AY115">
            <v>0</v>
          </cell>
          <cell r="AZ115">
            <v>0</v>
          </cell>
          <cell r="BA115">
            <v>304.52</v>
          </cell>
          <cell r="BB115">
            <v>0.26</v>
          </cell>
          <cell r="BC115">
            <v>304.26</v>
          </cell>
        </row>
        <row r="116">
          <cell r="C116" t="str">
            <v>COT102</v>
          </cell>
          <cell r="D116">
            <v>27360</v>
          </cell>
          <cell r="E116">
            <v>22020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5340</v>
          </cell>
          <cell r="K116">
            <v>2485</v>
          </cell>
          <cell r="L116">
            <v>120</v>
          </cell>
          <cell r="M116">
            <v>105</v>
          </cell>
          <cell r="N116">
            <v>0</v>
          </cell>
          <cell r="O116">
            <v>15</v>
          </cell>
          <cell r="P116">
            <v>0</v>
          </cell>
          <cell r="Q116">
            <v>125</v>
          </cell>
          <cell r="R116">
            <v>70</v>
          </cell>
          <cell r="S116">
            <v>0</v>
          </cell>
          <cell r="T116">
            <v>0</v>
          </cell>
          <cell r="U116">
            <v>55</v>
          </cell>
          <cell r="V116">
            <v>0</v>
          </cell>
          <cell r="W116">
            <v>1810</v>
          </cell>
          <cell r="X116">
            <v>640</v>
          </cell>
          <cell r="Y116">
            <v>970</v>
          </cell>
          <cell r="Z116">
            <v>0</v>
          </cell>
          <cell r="AA116">
            <v>0</v>
          </cell>
          <cell r="AB116">
            <v>200</v>
          </cell>
          <cell r="AC116">
            <v>0</v>
          </cell>
          <cell r="AD116">
            <v>0</v>
          </cell>
          <cell r="AE116">
            <v>0</v>
          </cell>
          <cell r="AF116">
            <v>800</v>
          </cell>
          <cell r="AG116">
            <v>0</v>
          </cell>
          <cell r="AH116">
            <v>0</v>
          </cell>
          <cell r="AI116">
            <v>210</v>
          </cell>
          <cell r="AJ116">
            <v>0</v>
          </cell>
          <cell r="AK116">
            <v>210</v>
          </cell>
          <cell r="AL116">
            <v>0</v>
          </cell>
          <cell r="AM116">
            <v>0</v>
          </cell>
          <cell r="AN116">
            <v>0</v>
          </cell>
          <cell r="AO116">
            <v>170</v>
          </cell>
          <cell r="AP116">
            <v>120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45</v>
          </cell>
          <cell r="AX116">
            <v>45</v>
          </cell>
          <cell r="AY116">
            <v>0</v>
          </cell>
          <cell r="AZ116">
            <v>0</v>
          </cell>
          <cell r="BA116">
            <v>1630.92</v>
          </cell>
          <cell r="BB116">
            <v>0.52</v>
          </cell>
          <cell r="BC116">
            <v>1630.4</v>
          </cell>
        </row>
        <row r="117">
          <cell r="C117" t="str">
            <v>NBL SOL-TABLETING</v>
          </cell>
          <cell r="D117">
            <v>84960</v>
          </cell>
          <cell r="E117">
            <v>49860</v>
          </cell>
          <cell r="F117">
            <v>3175</v>
          </cell>
          <cell r="G117">
            <v>70</v>
          </cell>
          <cell r="H117">
            <v>3105</v>
          </cell>
          <cell r="I117">
            <v>0</v>
          </cell>
          <cell r="J117">
            <v>31925</v>
          </cell>
          <cell r="K117">
            <v>11835</v>
          </cell>
          <cell r="L117">
            <v>4015</v>
          </cell>
          <cell r="M117">
            <v>2875</v>
          </cell>
          <cell r="N117">
            <v>70</v>
          </cell>
          <cell r="O117">
            <v>265</v>
          </cell>
          <cell r="P117">
            <v>805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5435</v>
          </cell>
          <cell r="X117">
            <v>1278</v>
          </cell>
          <cell r="Y117">
            <v>3232</v>
          </cell>
          <cell r="Z117">
            <v>190</v>
          </cell>
          <cell r="AA117">
            <v>0</v>
          </cell>
          <cell r="AB117">
            <v>735</v>
          </cell>
          <cell r="AC117">
            <v>565</v>
          </cell>
          <cell r="AD117">
            <v>0</v>
          </cell>
          <cell r="AE117">
            <v>565</v>
          </cell>
          <cell r="AF117">
            <v>10075</v>
          </cell>
          <cell r="AG117">
            <v>0</v>
          </cell>
          <cell r="AH117">
            <v>0</v>
          </cell>
          <cell r="AI117">
            <v>1850</v>
          </cell>
          <cell r="AJ117">
            <v>0</v>
          </cell>
          <cell r="AK117">
            <v>1640</v>
          </cell>
          <cell r="AL117">
            <v>1695</v>
          </cell>
          <cell r="AM117">
            <v>20</v>
          </cell>
          <cell r="AN117">
            <v>0</v>
          </cell>
          <cell r="AO117">
            <v>325</v>
          </cell>
          <cell r="AP117">
            <v>1255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2875</v>
          </cell>
          <cell r="AX117">
            <v>415</v>
          </cell>
          <cell r="AY117">
            <v>0</v>
          </cell>
          <cell r="AZ117">
            <v>0</v>
          </cell>
          <cell r="BA117">
            <v>8238568</v>
          </cell>
          <cell r="BB117">
            <v>3813</v>
          </cell>
          <cell r="BC117">
            <v>8234755</v>
          </cell>
        </row>
        <row r="118">
          <cell r="C118" t="str">
            <v>TAB101</v>
          </cell>
          <cell r="D118">
            <v>27360</v>
          </cell>
          <cell r="E118">
            <v>15630</v>
          </cell>
          <cell r="F118">
            <v>655</v>
          </cell>
          <cell r="G118">
            <v>0</v>
          </cell>
          <cell r="H118">
            <v>655</v>
          </cell>
          <cell r="I118">
            <v>0</v>
          </cell>
          <cell r="J118">
            <v>11075</v>
          </cell>
          <cell r="K118">
            <v>3900</v>
          </cell>
          <cell r="L118">
            <v>1320</v>
          </cell>
          <cell r="M118">
            <v>1295</v>
          </cell>
          <cell r="N118">
            <v>0</v>
          </cell>
          <cell r="O118">
            <v>0</v>
          </cell>
          <cell r="P118">
            <v>25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2220</v>
          </cell>
          <cell r="X118">
            <v>668</v>
          </cell>
          <cell r="Y118">
            <v>1332</v>
          </cell>
          <cell r="Z118">
            <v>30</v>
          </cell>
          <cell r="AA118">
            <v>0</v>
          </cell>
          <cell r="AB118">
            <v>190</v>
          </cell>
          <cell r="AC118">
            <v>130</v>
          </cell>
          <cell r="AD118">
            <v>0</v>
          </cell>
          <cell r="AE118">
            <v>130</v>
          </cell>
          <cell r="AF118">
            <v>3505</v>
          </cell>
          <cell r="AG118">
            <v>0</v>
          </cell>
          <cell r="AH118">
            <v>0</v>
          </cell>
          <cell r="AI118">
            <v>630</v>
          </cell>
          <cell r="AJ118">
            <v>0</v>
          </cell>
          <cell r="AK118">
            <v>555</v>
          </cell>
          <cell r="AL118">
            <v>835</v>
          </cell>
          <cell r="AM118">
            <v>0</v>
          </cell>
          <cell r="AN118">
            <v>0</v>
          </cell>
          <cell r="AO118">
            <v>165</v>
          </cell>
          <cell r="AP118">
            <v>305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1015</v>
          </cell>
          <cell r="AX118">
            <v>0</v>
          </cell>
          <cell r="AY118">
            <v>0</v>
          </cell>
          <cell r="AZ118">
            <v>0</v>
          </cell>
          <cell r="BA118">
            <v>3724462</v>
          </cell>
          <cell r="BB118">
            <v>2642</v>
          </cell>
          <cell r="BC118">
            <v>3721820</v>
          </cell>
        </row>
        <row r="119">
          <cell r="C119" t="str">
            <v>TAB105</v>
          </cell>
          <cell r="D119">
            <v>28800</v>
          </cell>
          <cell r="E119">
            <v>13410</v>
          </cell>
          <cell r="F119">
            <v>1295</v>
          </cell>
          <cell r="G119">
            <v>70</v>
          </cell>
          <cell r="H119">
            <v>1225</v>
          </cell>
          <cell r="I119">
            <v>0</v>
          </cell>
          <cell r="J119">
            <v>14095</v>
          </cell>
          <cell r="K119">
            <v>6420</v>
          </cell>
          <cell r="L119">
            <v>1630</v>
          </cell>
          <cell r="M119">
            <v>1045</v>
          </cell>
          <cell r="N119">
            <v>0</v>
          </cell>
          <cell r="O119">
            <v>90</v>
          </cell>
          <cell r="P119">
            <v>495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2015</v>
          </cell>
          <cell r="X119">
            <v>400</v>
          </cell>
          <cell r="Y119">
            <v>1180</v>
          </cell>
          <cell r="Z119">
            <v>70</v>
          </cell>
          <cell r="AA119">
            <v>0</v>
          </cell>
          <cell r="AB119">
            <v>365</v>
          </cell>
          <cell r="AC119">
            <v>435</v>
          </cell>
          <cell r="AD119">
            <v>0</v>
          </cell>
          <cell r="AE119">
            <v>435</v>
          </cell>
          <cell r="AF119">
            <v>3595</v>
          </cell>
          <cell r="AG119">
            <v>0</v>
          </cell>
          <cell r="AH119">
            <v>0</v>
          </cell>
          <cell r="AI119">
            <v>895</v>
          </cell>
          <cell r="AJ119">
            <v>0</v>
          </cell>
          <cell r="AK119">
            <v>805</v>
          </cell>
          <cell r="AL119">
            <v>0</v>
          </cell>
          <cell r="AM119">
            <v>0</v>
          </cell>
          <cell r="AN119">
            <v>0</v>
          </cell>
          <cell r="AO119">
            <v>160</v>
          </cell>
          <cell r="AP119">
            <v>375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945</v>
          </cell>
          <cell r="AX119">
            <v>415</v>
          </cell>
          <cell r="AY119">
            <v>0</v>
          </cell>
          <cell r="AZ119">
            <v>0</v>
          </cell>
          <cell r="BA119">
            <v>3350997</v>
          </cell>
          <cell r="BB119">
            <v>1171</v>
          </cell>
          <cell r="BC119">
            <v>3349826</v>
          </cell>
        </row>
        <row r="120">
          <cell r="C120" t="str">
            <v>TAB103</v>
          </cell>
          <cell r="D120">
            <v>28800</v>
          </cell>
          <cell r="E120">
            <v>20820</v>
          </cell>
          <cell r="F120">
            <v>1225</v>
          </cell>
          <cell r="G120">
            <v>0</v>
          </cell>
          <cell r="H120">
            <v>1225</v>
          </cell>
          <cell r="I120">
            <v>0</v>
          </cell>
          <cell r="J120">
            <v>6755</v>
          </cell>
          <cell r="K120">
            <v>1515</v>
          </cell>
          <cell r="L120">
            <v>1065</v>
          </cell>
          <cell r="M120">
            <v>535</v>
          </cell>
          <cell r="N120">
            <v>70</v>
          </cell>
          <cell r="O120">
            <v>175</v>
          </cell>
          <cell r="P120">
            <v>285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1200</v>
          </cell>
          <cell r="X120">
            <v>210</v>
          </cell>
          <cell r="Y120">
            <v>720</v>
          </cell>
          <cell r="Z120">
            <v>90</v>
          </cell>
          <cell r="AA120">
            <v>0</v>
          </cell>
          <cell r="AB120">
            <v>180</v>
          </cell>
          <cell r="AC120">
            <v>0</v>
          </cell>
          <cell r="AD120">
            <v>0</v>
          </cell>
          <cell r="AE120">
            <v>0</v>
          </cell>
          <cell r="AF120">
            <v>2975</v>
          </cell>
          <cell r="AG120">
            <v>0</v>
          </cell>
          <cell r="AH120">
            <v>0</v>
          </cell>
          <cell r="AI120">
            <v>325</v>
          </cell>
          <cell r="AJ120">
            <v>0</v>
          </cell>
          <cell r="AK120">
            <v>280</v>
          </cell>
          <cell r="AL120">
            <v>860</v>
          </cell>
          <cell r="AM120">
            <v>20</v>
          </cell>
          <cell r="AN120">
            <v>0</v>
          </cell>
          <cell r="AO120">
            <v>0</v>
          </cell>
          <cell r="AP120">
            <v>575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915</v>
          </cell>
          <cell r="AX120">
            <v>0</v>
          </cell>
          <cell r="AY120">
            <v>0</v>
          </cell>
          <cell r="AZ120">
            <v>0</v>
          </cell>
          <cell r="BA120">
            <v>1163109</v>
          </cell>
          <cell r="BB120">
            <v>0</v>
          </cell>
          <cell r="BC120">
            <v>1163109</v>
          </cell>
        </row>
        <row r="121">
          <cell r="C121" t="str">
            <v>NBL SOL-CAPSULE</v>
          </cell>
          <cell r="D121">
            <v>54720</v>
          </cell>
          <cell r="E121">
            <v>45030</v>
          </cell>
          <cell r="F121">
            <v>1040</v>
          </cell>
          <cell r="G121">
            <v>180</v>
          </cell>
          <cell r="H121">
            <v>860</v>
          </cell>
          <cell r="I121">
            <v>0</v>
          </cell>
          <cell r="J121">
            <v>8650</v>
          </cell>
          <cell r="K121">
            <v>3225</v>
          </cell>
          <cell r="L121">
            <v>1170</v>
          </cell>
          <cell r="M121">
            <v>645</v>
          </cell>
          <cell r="N121">
            <v>30</v>
          </cell>
          <cell r="O121">
            <v>215</v>
          </cell>
          <cell r="P121">
            <v>280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2305</v>
          </cell>
          <cell r="X121">
            <v>895</v>
          </cell>
          <cell r="Y121">
            <v>960</v>
          </cell>
          <cell r="Z121">
            <v>260</v>
          </cell>
          <cell r="AA121">
            <v>0</v>
          </cell>
          <cell r="AB121">
            <v>190</v>
          </cell>
          <cell r="AC121">
            <v>255</v>
          </cell>
          <cell r="AD121">
            <v>255</v>
          </cell>
          <cell r="AE121">
            <v>0</v>
          </cell>
          <cell r="AF121">
            <v>1695</v>
          </cell>
          <cell r="AG121">
            <v>0</v>
          </cell>
          <cell r="AH121">
            <v>0</v>
          </cell>
          <cell r="AI121">
            <v>425</v>
          </cell>
          <cell r="AJ121">
            <v>0</v>
          </cell>
          <cell r="AK121">
            <v>300</v>
          </cell>
          <cell r="AL121">
            <v>0</v>
          </cell>
          <cell r="AM121">
            <v>0</v>
          </cell>
          <cell r="AN121">
            <v>0</v>
          </cell>
          <cell r="AO121">
            <v>330</v>
          </cell>
          <cell r="AP121">
            <v>130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310</v>
          </cell>
          <cell r="AX121">
            <v>200</v>
          </cell>
          <cell r="AY121">
            <v>0</v>
          </cell>
          <cell r="AZ121">
            <v>0</v>
          </cell>
          <cell r="BA121">
            <v>1244245</v>
          </cell>
          <cell r="BB121">
            <v>0</v>
          </cell>
          <cell r="BC121">
            <v>1244245</v>
          </cell>
        </row>
        <row r="122">
          <cell r="C122" t="str">
            <v>KAP101</v>
          </cell>
          <cell r="D122">
            <v>27360</v>
          </cell>
          <cell r="E122">
            <v>19710</v>
          </cell>
          <cell r="F122">
            <v>350</v>
          </cell>
          <cell r="G122">
            <v>180</v>
          </cell>
          <cell r="H122">
            <v>170</v>
          </cell>
          <cell r="I122">
            <v>0</v>
          </cell>
          <cell r="J122">
            <v>7300</v>
          </cell>
          <cell r="K122">
            <v>2660</v>
          </cell>
          <cell r="L122">
            <v>1065</v>
          </cell>
          <cell r="M122">
            <v>540</v>
          </cell>
          <cell r="N122">
            <v>30</v>
          </cell>
          <cell r="O122">
            <v>215</v>
          </cell>
          <cell r="P122">
            <v>280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2000</v>
          </cell>
          <cell r="X122">
            <v>825</v>
          </cell>
          <cell r="Y122">
            <v>735</v>
          </cell>
          <cell r="Z122">
            <v>260</v>
          </cell>
          <cell r="AA122">
            <v>0</v>
          </cell>
          <cell r="AB122">
            <v>180</v>
          </cell>
          <cell r="AC122">
            <v>255</v>
          </cell>
          <cell r="AD122">
            <v>255</v>
          </cell>
          <cell r="AE122">
            <v>0</v>
          </cell>
          <cell r="AF122">
            <v>1320</v>
          </cell>
          <cell r="AG122">
            <v>0</v>
          </cell>
          <cell r="AH122">
            <v>0</v>
          </cell>
          <cell r="AI122">
            <v>395</v>
          </cell>
          <cell r="AJ122">
            <v>0</v>
          </cell>
          <cell r="AK122">
            <v>285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130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310</v>
          </cell>
          <cell r="AX122">
            <v>200</v>
          </cell>
          <cell r="AY122">
            <v>0</v>
          </cell>
          <cell r="AZ122">
            <v>0</v>
          </cell>
          <cell r="BA122">
            <v>621218</v>
          </cell>
          <cell r="BB122">
            <v>0</v>
          </cell>
          <cell r="BC122">
            <v>621218</v>
          </cell>
        </row>
        <row r="123">
          <cell r="C123" t="str">
            <v>KAP103</v>
          </cell>
          <cell r="D123">
            <v>27360</v>
          </cell>
          <cell r="E123">
            <v>25320</v>
          </cell>
          <cell r="F123">
            <v>690</v>
          </cell>
          <cell r="G123">
            <v>0</v>
          </cell>
          <cell r="H123">
            <v>690</v>
          </cell>
          <cell r="I123">
            <v>0</v>
          </cell>
          <cell r="J123">
            <v>1350</v>
          </cell>
          <cell r="K123">
            <v>565</v>
          </cell>
          <cell r="L123">
            <v>105</v>
          </cell>
          <cell r="M123">
            <v>105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305</v>
          </cell>
          <cell r="X123">
            <v>70</v>
          </cell>
          <cell r="Y123">
            <v>225</v>
          </cell>
          <cell r="Z123">
            <v>0</v>
          </cell>
          <cell r="AA123">
            <v>0</v>
          </cell>
          <cell r="AB123">
            <v>10</v>
          </cell>
          <cell r="AC123">
            <v>0</v>
          </cell>
          <cell r="AD123">
            <v>0</v>
          </cell>
          <cell r="AE123">
            <v>0</v>
          </cell>
          <cell r="AF123">
            <v>375</v>
          </cell>
          <cell r="AG123">
            <v>0</v>
          </cell>
          <cell r="AH123">
            <v>0</v>
          </cell>
          <cell r="AI123">
            <v>30</v>
          </cell>
          <cell r="AJ123">
            <v>0</v>
          </cell>
          <cell r="AK123">
            <v>15</v>
          </cell>
          <cell r="AL123">
            <v>0</v>
          </cell>
          <cell r="AM123">
            <v>0</v>
          </cell>
          <cell r="AN123">
            <v>0</v>
          </cell>
          <cell r="AO123">
            <v>330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623027</v>
          </cell>
          <cell r="BB123">
            <v>0</v>
          </cell>
          <cell r="BC123">
            <v>623027</v>
          </cell>
        </row>
        <row r="124">
          <cell r="C124" t="str">
            <v>NBL SOL-STRIPPING</v>
          </cell>
          <cell r="D124">
            <v>139680</v>
          </cell>
          <cell r="E124">
            <v>79380</v>
          </cell>
          <cell r="F124">
            <v>1870</v>
          </cell>
          <cell r="G124">
            <v>95</v>
          </cell>
          <cell r="H124">
            <v>1775</v>
          </cell>
          <cell r="I124">
            <v>0</v>
          </cell>
          <cell r="J124">
            <v>58430</v>
          </cell>
          <cell r="K124">
            <v>21525</v>
          </cell>
          <cell r="L124">
            <v>8485</v>
          </cell>
          <cell r="M124">
            <v>4625</v>
          </cell>
          <cell r="N124">
            <v>0</v>
          </cell>
          <cell r="O124">
            <v>3860</v>
          </cell>
          <cell r="P124">
            <v>0</v>
          </cell>
          <cell r="Q124">
            <v>850</v>
          </cell>
          <cell r="R124">
            <v>550</v>
          </cell>
          <cell r="S124">
            <v>240</v>
          </cell>
          <cell r="T124">
            <v>0</v>
          </cell>
          <cell r="U124">
            <v>0</v>
          </cell>
          <cell r="V124">
            <v>60</v>
          </cell>
          <cell r="W124">
            <v>13875</v>
          </cell>
          <cell r="X124">
            <v>7575</v>
          </cell>
          <cell r="Y124">
            <v>2455</v>
          </cell>
          <cell r="Z124">
            <v>2910</v>
          </cell>
          <cell r="AA124">
            <v>0</v>
          </cell>
          <cell r="AB124">
            <v>935</v>
          </cell>
          <cell r="AC124">
            <v>525</v>
          </cell>
          <cell r="AD124">
            <v>0</v>
          </cell>
          <cell r="AE124">
            <v>525</v>
          </cell>
          <cell r="AF124">
            <v>13170</v>
          </cell>
          <cell r="AG124">
            <v>0</v>
          </cell>
          <cell r="AH124">
            <v>0</v>
          </cell>
          <cell r="AI124">
            <v>3540</v>
          </cell>
          <cell r="AJ124">
            <v>0</v>
          </cell>
          <cell r="AK124">
            <v>3450</v>
          </cell>
          <cell r="AL124">
            <v>2100</v>
          </cell>
          <cell r="AM124">
            <v>0</v>
          </cell>
          <cell r="AN124">
            <v>0</v>
          </cell>
          <cell r="AO124">
            <v>0</v>
          </cell>
          <cell r="AP124">
            <v>2135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1830</v>
          </cell>
          <cell r="AX124">
            <v>115</v>
          </cell>
          <cell r="AY124">
            <v>0</v>
          </cell>
          <cell r="AZ124">
            <v>0</v>
          </cell>
          <cell r="BA124">
            <v>12668220</v>
          </cell>
          <cell r="BB124">
            <v>70160</v>
          </cell>
          <cell r="BC124">
            <v>12598060</v>
          </cell>
        </row>
        <row r="125">
          <cell r="C125" t="str">
            <v>STR105</v>
          </cell>
          <cell r="D125">
            <v>27360</v>
          </cell>
          <cell r="E125">
            <v>19050</v>
          </cell>
          <cell r="F125">
            <v>255</v>
          </cell>
          <cell r="G125">
            <v>0</v>
          </cell>
          <cell r="H125">
            <v>255</v>
          </cell>
          <cell r="I125">
            <v>0</v>
          </cell>
          <cell r="J125">
            <v>8055</v>
          </cell>
          <cell r="K125">
            <v>3120</v>
          </cell>
          <cell r="L125">
            <v>1190</v>
          </cell>
          <cell r="M125">
            <v>625</v>
          </cell>
          <cell r="N125">
            <v>0</v>
          </cell>
          <cell r="O125">
            <v>565</v>
          </cell>
          <cell r="P125">
            <v>0</v>
          </cell>
          <cell r="Q125">
            <v>30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30</v>
          </cell>
          <cell r="W125">
            <v>1930</v>
          </cell>
          <cell r="X125">
            <v>1220</v>
          </cell>
          <cell r="Y125">
            <v>200</v>
          </cell>
          <cell r="Z125">
            <v>375</v>
          </cell>
          <cell r="AA125">
            <v>0</v>
          </cell>
          <cell r="AB125">
            <v>135</v>
          </cell>
          <cell r="AC125">
            <v>0</v>
          </cell>
          <cell r="AD125">
            <v>0</v>
          </cell>
          <cell r="AE125">
            <v>0</v>
          </cell>
          <cell r="AF125">
            <v>1785</v>
          </cell>
          <cell r="AG125">
            <v>0</v>
          </cell>
          <cell r="AH125">
            <v>0</v>
          </cell>
          <cell r="AI125">
            <v>480</v>
          </cell>
          <cell r="AJ125">
            <v>0</v>
          </cell>
          <cell r="AK125">
            <v>525</v>
          </cell>
          <cell r="AL125">
            <v>195</v>
          </cell>
          <cell r="AM125">
            <v>0</v>
          </cell>
          <cell r="AN125">
            <v>0</v>
          </cell>
          <cell r="AO125">
            <v>0</v>
          </cell>
          <cell r="AP125">
            <v>295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290</v>
          </cell>
          <cell r="AX125">
            <v>0</v>
          </cell>
          <cell r="AY125">
            <v>0</v>
          </cell>
          <cell r="AZ125">
            <v>0</v>
          </cell>
          <cell r="BA125">
            <v>1066901</v>
          </cell>
          <cell r="BB125">
            <v>18751</v>
          </cell>
          <cell r="BC125">
            <v>1048150</v>
          </cell>
        </row>
        <row r="126">
          <cell r="C126" t="str">
            <v>STR102</v>
          </cell>
          <cell r="D126">
            <v>28800</v>
          </cell>
          <cell r="E126">
            <v>14850</v>
          </cell>
          <cell r="F126">
            <v>495</v>
          </cell>
          <cell r="G126">
            <v>0</v>
          </cell>
          <cell r="H126">
            <v>495</v>
          </cell>
          <cell r="I126">
            <v>0</v>
          </cell>
          <cell r="J126">
            <v>13455</v>
          </cell>
          <cell r="K126">
            <v>4195</v>
          </cell>
          <cell r="L126">
            <v>2125</v>
          </cell>
          <cell r="M126">
            <v>1510</v>
          </cell>
          <cell r="N126">
            <v>0</v>
          </cell>
          <cell r="O126">
            <v>615</v>
          </cell>
          <cell r="P126">
            <v>0</v>
          </cell>
          <cell r="Q126">
            <v>30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30</v>
          </cell>
          <cell r="W126">
            <v>3165</v>
          </cell>
          <cell r="X126">
            <v>1375</v>
          </cell>
          <cell r="Y126">
            <v>920</v>
          </cell>
          <cell r="Z126">
            <v>700</v>
          </cell>
          <cell r="AA126">
            <v>0</v>
          </cell>
          <cell r="AB126">
            <v>170</v>
          </cell>
          <cell r="AC126">
            <v>525</v>
          </cell>
          <cell r="AD126">
            <v>0</v>
          </cell>
          <cell r="AE126">
            <v>525</v>
          </cell>
          <cell r="AF126">
            <v>3415</v>
          </cell>
          <cell r="AG126">
            <v>0</v>
          </cell>
          <cell r="AH126">
            <v>0</v>
          </cell>
          <cell r="AI126">
            <v>780</v>
          </cell>
          <cell r="AJ126">
            <v>0</v>
          </cell>
          <cell r="AK126">
            <v>800</v>
          </cell>
          <cell r="AL126">
            <v>645</v>
          </cell>
          <cell r="AM126">
            <v>0</v>
          </cell>
          <cell r="AN126">
            <v>0</v>
          </cell>
          <cell r="AO126">
            <v>0</v>
          </cell>
          <cell r="AP126">
            <v>590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600</v>
          </cell>
          <cell r="AX126">
            <v>0</v>
          </cell>
          <cell r="AY126">
            <v>0</v>
          </cell>
          <cell r="AZ126">
            <v>0</v>
          </cell>
          <cell r="BA126">
            <v>5429383</v>
          </cell>
          <cell r="BB126">
            <v>18675</v>
          </cell>
          <cell r="BC126">
            <v>5410708</v>
          </cell>
        </row>
        <row r="127">
          <cell r="C127" t="str">
            <v>STR104</v>
          </cell>
          <cell r="D127">
            <v>27360</v>
          </cell>
          <cell r="E127">
            <v>17730</v>
          </cell>
          <cell r="F127">
            <v>425</v>
          </cell>
          <cell r="G127">
            <v>95</v>
          </cell>
          <cell r="H127">
            <v>330</v>
          </cell>
          <cell r="I127">
            <v>0</v>
          </cell>
          <cell r="J127">
            <v>9205</v>
          </cell>
          <cell r="K127">
            <v>4655</v>
          </cell>
          <cell r="L127">
            <v>155</v>
          </cell>
          <cell r="M127">
            <v>155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2665</v>
          </cell>
          <cell r="X127">
            <v>1625</v>
          </cell>
          <cell r="Y127">
            <v>275</v>
          </cell>
          <cell r="Z127">
            <v>555</v>
          </cell>
          <cell r="AA127">
            <v>0</v>
          </cell>
          <cell r="AB127">
            <v>210</v>
          </cell>
          <cell r="AC127">
            <v>0</v>
          </cell>
          <cell r="AD127">
            <v>0</v>
          </cell>
          <cell r="AE127">
            <v>0</v>
          </cell>
          <cell r="AF127">
            <v>1730</v>
          </cell>
          <cell r="AG127">
            <v>0</v>
          </cell>
          <cell r="AH127">
            <v>0</v>
          </cell>
          <cell r="AI127">
            <v>540</v>
          </cell>
          <cell r="AJ127">
            <v>0</v>
          </cell>
          <cell r="AK127">
            <v>360</v>
          </cell>
          <cell r="AL127">
            <v>400</v>
          </cell>
          <cell r="AM127">
            <v>0</v>
          </cell>
          <cell r="AN127">
            <v>0</v>
          </cell>
          <cell r="AO127">
            <v>0</v>
          </cell>
          <cell r="AP127">
            <v>340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90</v>
          </cell>
          <cell r="AX127">
            <v>0</v>
          </cell>
          <cell r="AY127">
            <v>0</v>
          </cell>
          <cell r="AZ127">
            <v>0</v>
          </cell>
          <cell r="BA127">
            <v>29513</v>
          </cell>
          <cell r="BB127">
            <v>141</v>
          </cell>
          <cell r="BC127">
            <v>29372</v>
          </cell>
        </row>
        <row r="128">
          <cell r="C128" t="str">
            <v>STR103</v>
          </cell>
          <cell r="D128">
            <v>27360</v>
          </cell>
          <cell r="E128">
            <v>14730</v>
          </cell>
          <cell r="F128">
            <v>695</v>
          </cell>
          <cell r="G128">
            <v>0</v>
          </cell>
          <cell r="H128">
            <v>695</v>
          </cell>
          <cell r="I128">
            <v>0</v>
          </cell>
          <cell r="J128">
            <v>11935</v>
          </cell>
          <cell r="K128">
            <v>3845</v>
          </cell>
          <cell r="L128">
            <v>2515</v>
          </cell>
          <cell r="M128">
            <v>1495</v>
          </cell>
          <cell r="N128">
            <v>0</v>
          </cell>
          <cell r="O128">
            <v>1020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2915</v>
          </cell>
          <cell r="X128">
            <v>1780</v>
          </cell>
          <cell r="Y128">
            <v>385</v>
          </cell>
          <cell r="Z128">
            <v>570</v>
          </cell>
          <cell r="AA128">
            <v>0</v>
          </cell>
          <cell r="AB128">
            <v>180</v>
          </cell>
          <cell r="AC128">
            <v>0</v>
          </cell>
          <cell r="AD128">
            <v>0</v>
          </cell>
          <cell r="AE128">
            <v>0</v>
          </cell>
          <cell r="AF128">
            <v>2660</v>
          </cell>
          <cell r="AG128">
            <v>0</v>
          </cell>
          <cell r="AH128">
            <v>0</v>
          </cell>
          <cell r="AI128">
            <v>750</v>
          </cell>
          <cell r="AJ128">
            <v>0</v>
          </cell>
          <cell r="AK128">
            <v>695</v>
          </cell>
          <cell r="AL128">
            <v>365</v>
          </cell>
          <cell r="AM128">
            <v>0</v>
          </cell>
          <cell r="AN128">
            <v>0</v>
          </cell>
          <cell r="AO128">
            <v>0</v>
          </cell>
          <cell r="AP128">
            <v>390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460</v>
          </cell>
          <cell r="AX128">
            <v>0</v>
          </cell>
          <cell r="AY128">
            <v>0</v>
          </cell>
          <cell r="AZ128">
            <v>0</v>
          </cell>
          <cell r="BA128">
            <v>1824750</v>
          </cell>
          <cell r="BB128">
            <v>9660</v>
          </cell>
          <cell r="BC128">
            <v>1815090</v>
          </cell>
        </row>
        <row r="129">
          <cell r="C129" t="str">
            <v>STR101</v>
          </cell>
          <cell r="D129">
            <v>28800</v>
          </cell>
          <cell r="E129">
            <v>13020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15780</v>
          </cell>
          <cell r="K129">
            <v>5710</v>
          </cell>
          <cell r="L129">
            <v>2500</v>
          </cell>
          <cell r="M129">
            <v>840</v>
          </cell>
          <cell r="N129">
            <v>0</v>
          </cell>
          <cell r="O129">
            <v>1660</v>
          </cell>
          <cell r="P129">
            <v>0</v>
          </cell>
          <cell r="Q129">
            <v>790</v>
          </cell>
          <cell r="R129">
            <v>550</v>
          </cell>
          <cell r="S129">
            <v>240</v>
          </cell>
          <cell r="T129">
            <v>0</v>
          </cell>
          <cell r="U129">
            <v>0</v>
          </cell>
          <cell r="V129">
            <v>0</v>
          </cell>
          <cell r="W129">
            <v>3200</v>
          </cell>
          <cell r="X129">
            <v>1575</v>
          </cell>
          <cell r="Y129">
            <v>675</v>
          </cell>
          <cell r="Z129">
            <v>710</v>
          </cell>
          <cell r="AA129">
            <v>0</v>
          </cell>
          <cell r="AB129">
            <v>240</v>
          </cell>
          <cell r="AC129">
            <v>0</v>
          </cell>
          <cell r="AD129">
            <v>0</v>
          </cell>
          <cell r="AE129">
            <v>0</v>
          </cell>
          <cell r="AF129">
            <v>3580</v>
          </cell>
          <cell r="AG129">
            <v>0</v>
          </cell>
          <cell r="AH129">
            <v>0</v>
          </cell>
          <cell r="AI129">
            <v>990</v>
          </cell>
          <cell r="AJ129">
            <v>0</v>
          </cell>
          <cell r="AK129">
            <v>1070</v>
          </cell>
          <cell r="AL129">
            <v>495</v>
          </cell>
          <cell r="AM129">
            <v>0</v>
          </cell>
          <cell r="AN129">
            <v>0</v>
          </cell>
          <cell r="AO129">
            <v>0</v>
          </cell>
          <cell r="AP129">
            <v>520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390</v>
          </cell>
          <cell r="AX129">
            <v>115</v>
          </cell>
          <cell r="AY129">
            <v>0</v>
          </cell>
          <cell r="AZ129">
            <v>0</v>
          </cell>
          <cell r="BA129">
            <v>4317673</v>
          </cell>
          <cell r="BB129">
            <v>22933</v>
          </cell>
          <cell r="BC129">
            <v>4294740</v>
          </cell>
        </row>
        <row r="130">
          <cell r="C130" t="str">
            <v>NBL SYR-MIXING</v>
          </cell>
          <cell r="D130">
            <v>27360</v>
          </cell>
          <cell r="E130">
            <v>20970</v>
          </cell>
          <cell r="F130">
            <v>542</v>
          </cell>
          <cell r="G130">
            <v>135</v>
          </cell>
          <cell r="H130">
            <v>407</v>
          </cell>
          <cell r="I130">
            <v>160</v>
          </cell>
          <cell r="J130">
            <v>5688</v>
          </cell>
          <cell r="K130">
            <v>1761</v>
          </cell>
          <cell r="L130">
            <v>191</v>
          </cell>
          <cell r="M130">
            <v>191</v>
          </cell>
          <cell r="N130">
            <v>0</v>
          </cell>
          <cell r="O130">
            <v>0</v>
          </cell>
          <cell r="P130">
            <v>0</v>
          </cell>
          <cell r="Q130">
            <v>55</v>
          </cell>
          <cell r="R130">
            <v>0</v>
          </cell>
          <cell r="S130">
            <v>0</v>
          </cell>
          <cell r="T130">
            <v>0</v>
          </cell>
          <cell r="U130">
            <v>55</v>
          </cell>
          <cell r="V130">
            <v>0</v>
          </cell>
          <cell r="W130">
            <v>2078</v>
          </cell>
          <cell r="X130">
            <v>324</v>
          </cell>
          <cell r="Y130">
            <v>1754</v>
          </cell>
          <cell r="Z130">
            <v>0</v>
          </cell>
          <cell r="AA130">
            <v>0</v>
          </cell>
          <cell r="AB130">
            <v>0</v>
          </cell>
          <cell r="AC130">
            <v>510</v>
          </cell>
          <cell r="AD130">
            <v>0</v>
          </cell>
          <cell r="AE130">
            <v>510</v>
          </cell>
          <cell r="AF130">
            <v>1093</v>
          </cell>
          <cell r="AG130">
            <v>146</v>
          </cell>
          <cell r="AH130">
            <v>0</v>
          </cell>
          <cell r="AI130">
            <v>261</v>
          </cell>
          <cell r="AJ130">
            <v>0</v>
          </cell>
          <cell r="AK130">
            <v>160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225</v>
          </cell>
          <cell r="AT130">
            <v>0</v>
          </cell>
          <cell r="AU130">
            <v>0</v>
          </cell>
          <cell r="AV130">
            <v>0</v>
          </cell>
          <cell r="AW130">
            <v>15</v>
          </cell>
          <cell r="AX130">
            <v>286</v>
          </cell>
          <cell r="AY130">
            <v>0</v>
          </cell>
          <cell r="AZ130">
            <v>0</v>
          </cell>
          <cell r="BA130">
            <v>20160</v>
          </cell>
          <cell r="BB130">
            <v>2</v>
          </cell>
          <cell r="BC130">
            <v>20158</v>
          </cell>
        </row>
        <row r="131">
          <cell r="C131" t="str">
            <v>LMIXSYR1</v>
          </cell>
          <cell r="D131">
            <v>27360</v>
          </cell>
          <cell r="E131">
            <v>20970</v>
          </cell>
          <cell r="F131">
            <v>542</v>
          </cell>
          <cell r="G131">
            <v>135</v>
          </cell>
          <cell r="H131">
            <v>407</v>
          </cell>
          <cell r="I131">
            <v>160</v>
          </cell>
          <cell r="J131">
            <v>5688</v>
          </cell>
          <cell r="K131">
            <v>1761</v>
          </cell>
          <cell r="L131">
            <v>191</v>
          </cell>
          <cell r="M131">
            <v>191</v>
          </cell>
          <cell r="N131">
            <v>0</v>
          </cell>
          <cell r="O131">
            <v>0</v>
          </cell>
          <cell r="P131">
            <v>0</v>
          </cell>
          <cell r="Q131">
            <v>55</v>
          </cell>
          <cell r="R131">
            <v>0</v>
          </cell>
          <cell r="S131">
            <v>0</v>
          </cell>
          <cell r="T131">
            <v>0</v>
          </cell>
          <cell r="U131">
            <v>55</v>
          </cell>
          <cell r="V131">
            <v>0</v>
          </cell>
          <cell r="W131">
            <v>2078</v>
          </cell>
          <cell r="X131">
            <v>324</v>
          </cell>
          <cell r="Y131">
            <v>1754</v>
          </cell>
          <cell r="Z131">
            <v>0</v>
          </cell>
          <cell r="AA131">
            <v>0</v>
          </cell>
          <cell r="AB131">
            <v>0</v>
          </cell>
          <cell r="AC131">
            <v>510</v>
          </cell>
          <cell r="AD131">
            <v>0</v>
          </cell>
          <cell r="AE131">
            <v>510</v>
          </cell>
          <cell r="AF131">
            <v>1093</v>
          </cell>
          <cell r="AG131">
            <v>146</v>
          </cell>
          <cell r="AH131">
            <v>0</v>
          </cell>
          <cell r="AI131">
            <v>261</v>
          </cell>
          <cell r="AJ131">
            <v>0</v>
          </cell>
          <cell r="AK131">
            <v>160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225</v>
          </cell>
          <cell r="AT131">
            <v>0</v>
          </cell>
          <cell r="AU131">
            <v>0</v>
          </cell>
          <cell r="AV131">
            <v>0</v>
          </cell>
          <cell r="AW131">
            <v>15</v>
          </cell>
          <cell r="AX131">
            <v>286</v>
          </cell>
          <cell r="AY131">
            <v>0</v>
          </cell>
          <cell r="AZ131">
            <v>0</v>
          </cell>
          <cell r="BA131">
            <v>20160</v>
          </cell>
          <cell r="BB131">
            <v>2</v>
          </cell>
          <cell r="BC131">
            <v>20158</v>
          </cell>
        </row>
        <row r="132">
          <cell r="C132" t="str">
            <v>NBL SYR-FILLING</v>
          </cell>
          <cell r="D132">
            <v>54720</v>
          </cell>
          <cell r="E132">
            <v>41310</v>
          </cell>
          <cell r="F132">
            <v>2580</v>
          </cell>
          <cell r="G132">
            <v>30</v>
          </cell>
          <cell r="H132">
            <v>2550</v>
          </cell>
          <cell r="I132">
            <v>0</v>
          </cell>
          <cell r="J132">
            <v>10830</v>
          </cell>
          <cell r="K132">
            <v>3700</v>
          </cell>
          <cell r="L132">
            <v>775</v>
          </cell>
          <cell r="M132">
            <v>640</v>
          </cell>
          <cell r="N132">
            <v>0</v>
          </cell>
          <cell r="O132">
            <v>115</v>
          </cell>
          <cell r="P132">
            <v>20</v>
          </cell>
          <cell r="Q132">
            <v>120</v>
          </cell>
          <cell r="R132">
            <v>120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3320</v>
          </cell>
          <cell r="X132">
            <v>535</v>
          </cell>
          <cell r="Y132">
            <v>1495</v>
          </cell>
          <cell r="Z132">
            <v>0</v>
          </cell>
          <cell r="AA132">
            <v>0</v>
          </cell>
          <cell r="AB132">
            <v>1290</v>
          </cell>
          <cell r="AC132">
            <v>360</v>
          </cell>
          <cell r="AD132">
            <v>0</v>
          </cell>
          <cell r="AE132">
            <v>360</v>
          </cell>
          <cell r="AF132">
            <v>2555</v>
          </cell>
          <cell r="AG132">
            <v>30</v>
          </cell>
          <cell r="AH132">
            <v>0</v>
          </cell>
          <cell r="AI132">
            <v>615</v>
          </cell>
          <cell r="AJ132">
            <v>0</v>
          </cell>
          <cell r="AK132">
            <v>390</v>
          </cell>
          <cell r="AL132">
            <v>15</v>
          </cell>
          <cell r="AM132">
            <v>0</v>
          </cell>
          <cell r="AN132">
            <v>0</v>
          </cell>
          <cell r="AO132">
            <v>1325</v>
          </cell>
          <cell r="AP132">
            <v>0</v>
          </cell>
          <cell r="AQ132">
            <v>0</v>
          </cell>
          <cell r="AR132">
            <v>0</v>
          </cell>
          <cell r="AS132">
            <v>120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60</v>
          </cell>
          <cell r="AY132">
            <v>0</v>
          </cell>
          <cell r="AZ132">
            <v>0</v>
          </cell>
          <cell r="BA132">
            <v>194603</v>
          </cell>
          <cell r="BB132">
            <v>250</v>
          </cell>
          <cell r="BC132">
            <v>194353</v>
          </cell>
        </row>
        <row r="133">
          <cell r="C133" t="str">
            <v>SYR109</v>
          </cell>
          <cell r="D133">
            <v>27360</v>
          </cell>
          <cell r="E133">
            <v>17730</v>
          </cell>
          <cell r="F133">
            <v>1710</v>
          </cell>
          <cell r="G133">
            <v>30</v>
          </cell>
          <cell r="H133">
            <v>1680</v>
          </cell>
          <cell r="I133">
            <v>0</v>
          </cell>
          <cell r="J133">
            <v>7920</v>
          </cell>
          <cell r="K133">
            <v>2750</v>
          </cell>
          <cell r="L133">
            <v>495</v>
          </cell>
          <cell r="M133">
            <v>460</v>
          </cell>
          <cell r="N133">
            <v>0</v>
          </cell>
          <cell r="O133">
            <v>35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2390</v>
          </cell>
          <cell r="X133">
            <v>240</v>
          </cell>
          <cell r="Y133">
            <v>1225</v>
          </cell>
          <cell r="Z133">
            <v>0</v>
          </cell>
          <cell r="AA133">
            <v>0</v>
          </cell>
          <cell r="AB133">
            <v>925</v>
          </cell>
          <cell r="AC133">
            <v>360</v>
          </cell>
          <cell r="AD133">
            <v>0</v>
          </cell>
          <cell r="AE133">
            <v>360</v>
          </cell>
          <cell r="AF133">
            <v>1925</v>
          </cell>
          <cell r="AG133">
            <v>30</v>
          </cell>
          <cell r="AH133">
            <v>0</v>
          </cell>
          <cell r="AI133">
            <v>465</v>
          </cell>
          <cell r="AJ133">
            <v>0</v>
          </cell>
          <cell r="AK133">
            <v>270</v>
          </cell>
          <cell r="AL133">
            <v>0</v>
          </cell>
          <cell r="AM133">
            <v>0</v>
          </cell>
          <cell r="AN133">
            <v>0</v>
          </cell>
          <cell r="AO133">
            <v>1010</v>
          </cell>
          <cell r="AP133">
            <v>0</v>
          </cell>
          <cell r="AQ133">
            <v>0</v>
          </cell>
          <cell r="AR133">
            <v>0</v>
          </cell>
          <cell r="AS133">
            <v>120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30</v>
          </cell>
          <cell r="AY133">
            <v>0</v>
          </cell>
          <cell r="AZ133">
            <v>0</v>
          </cell>
          <cell r="BA133">
            <v>143931</v>
          </cell>
          <cell r="BB133">
            <v>174</v>
          </cell>
          <cell r="BC133">
            <v>143757</v>
          </cell>
        </row>
        <row r="134">
          <cell r="C134" t="str">
            <v>SYR110</v>
          </cell>
          <cell r="D134">
            <v>27360</v>
          </cell>
          <cell r="E134">
            <v>23580</v>
          </cell>
          <cell r="F134">
            <v>870</v>
          </cell>
          <cell r="G134">
            <v>0</v>
          </cell>
          <cell r="H134">
            <v>870</v>
          </cell>
          <cell r="I134">
            <v>0</v>
          </cell>
          <cell r="J134">
            <v>2910</v>
          </cell>
          <cell r="K134">
            <v>950</v>
          </cell>
          <cell r="L134">
            <v>280</v>
          </cell>
          <cell r="M134">
            <v>180</v>
          </cell>
          <cell r="N134">
            <v>0</v>
          </cell>
          <cell r="O134">
            <v>80</v>
          </cell>
          <cell r="P134">
            <v>20</v>
          </cell>
          <cell r="Q134">
            <v>120</v>
          </cell>
          <cell r="R134">
            <v>120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930</v>
          </cell>
          <cell r="X134">
            <v>295</v>
          </cell>
          <cell r="Y134">
            <v>270</v>
          </cell>
          <cell r="Z134">
            <v>0</v>
          </cell>
          <cell r="AA134">
            <v>0</v>
          </cell>
          <cell r="AB134">
            <v>365</v>
          </cell>
          <cell r="AC134">
            <v>0</v>
          </cell>
          <cell r="AD134">
            <v>0</v>
          </cell>
          <cell r="AE134">
            <v>0</v>
          </cell>
          <cell r="AF134">
            <v>630</v>
          </cell>
          <cell r="AG134">
            <v>0</v>
          </cell>
          <cell r="AH134">
            <v>0</v>
          </cell>
          <cell r="AI134">
            <v>150</v>
          </cell>
          <cell r="AJ134">
            <v>0</v>
          </cell>
          <cell r="AK134">
            <v>120</v>
          </cell>
          <cell r="AL134">
            <v>15</v>
          </cell>
          <cell r="AM134">
            <v>0</v>
          </cell>
          <cell r="AN134">
            <v>0</v>
          </cell>
          <cell r="AO134">
            <v>315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30</v>
          </cell>
          <cell r="AY134">
            <v>0</v>
          </cell>
          <cell r="AZ134">
            <v>0</v>
          </cell>
          <cell r="BA134">
            <v>50672</v>
          </cell>
          <cell r="BB134">
            <v>76</v>
          </cell>
          <cell r="BC134">
            <v>50596</v>
          </cell>
        </row>
        <row r="135">
          <cell r="C135" t="str">
            <v>NBL INJ-MIXING</v>
          </cell>
          <cell r="D135">
            <v>27360</v>
          </cell>
          <cell r="E135">
            <v>18990</v>
          </cell>
          <cell r="F135">
            <v>375</v>
          </cell>
          <cell r="G135">
            <v>10</v>
          </cell>
          <cell r="H135">
            <v>365</v>
          </cell>
          <cell r="I135">
            <v>0</v>
          </cell>
          <cell r="J135">
            <v>7995</v>
          </cell>
          <cell r="K135">
            <v>2325</v>
          </cell>
          <cell r="L135">
            <v>185</v>
          </cell>
          <cell r="M135">
            <v>185</v>
          </cell>
          <cell r="N135">
            <v>0</v>
          </cell>
          <cell r="O135">
            <v>0</v>
          </cell>
          <cell r="P135">
            <v>0</v>
          </cell>
          <cell r="Q135">
            <v>577</v>
          </cell>
          <cell r="R135">
            <v>367</v>
          </cell>
          <cell r="S135">
            <v>0</v>
          </cell>
          <cell r="T135">
            <v>0</v>
          </cell>
          <cell r="U135">
            <v>210</v>
          </cell>
          <cell r="V135">
            <v>0</v>
          </cell>
          <cell r="W135">
            <v>2891</v>
          </cell>
          <cell r="X135">
            <v>601</v>
          </cell>
          <cell r="Y135">
            <v>1403</v>
          </cell>
          <cell r="Z135">
            <v>0</v>
          </cell>
          <cell r="AA135">
            <v>887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2017</v>
          </cell>
          <cell r="AG135">
            <v>0</v>
          </cell>
          <cell r="AH135">
            <v>0</v>
          </cell>
          <cell r="AI135">
            <v>385</v>
          </cell>
          <cell r="AJ135">
            <v>15</v>
          </cell>
          <cell r="AK135">
            <v>395</v>
          </cell>
          <cell r="AL135">
            <v>0</v>
          </cell>
          <cell r="AM135">
            <v>60</v>
          </cell>
          <cell r="AN135">
            <v>0</v>
          </cell>
          <cell r="AO135">
            <v>0</v>
          </cell>
          <cell r="AP135">
            <v>40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1122</v>
          </cell>
          <cell r="AX135">
            <v>0</v>
          </cell>
          <cell r="AY135">
            <v>0</v>
          </cell>
          <cell r="AZ135">
            <v>0</v>
          </cell>
          <cell r="BA135">
            <v>1254</v>
          </cell>
          <cell r="BB135">
            <v>0</v>
          </cell>
          <cell r="BC135">
            <v>1254</v>
          </cell>
        </row>
        <row r="136">
          <cell r="C136" t="str">
            <v>LMIXINJ1</v>
          </cell>
          <cell r="D136">
            <v>27360</v>
          </cell>
          <cell r="E136">
            <v>18990</v>
          </cell>
          <cell r="F136">
            <v>375</v>
          </cell>
          <cell r="G136">
            <v>10</v>
          </cell>
          <cell r="H136">
            <v>365</v>
          </cell>
          <cell r="I136">
            <v>0</v>
          </cell>
          <cell r="J136">
            <v>7995</v>
          </cell>
          <cell r="K136">
            <v>2325</v>
          </cell>
          <cell r="L136">
            <v>185</v>
          </cell>
          <cell r="M136">
            <v>185</v>
          </cell>
          <cell r="N136">
            <v>0</v>
          </cell>
          <cell r="O136">
            <v>0</v>
          </cell>
          <cell r="P136">
            <v>0</v>
          </cell>
          <cell r="Q136">
            <v>577</v>
          </cell>
          <cell r="R136">
            <v>367</v>
          </cell>
          <cell r="S136">
            <v>0</v>
          </cell>
          <cell r="T136">
            <v>0</v>
          </cell>
          <cell r="U136">
            <v>210</v>
          </cell>
          <cell r="V136">
            <v>0</v>
          </cell>
          <cell r="W136">
            <v>2891</v>
          </cell>
          <cell r="X136">
            <v>601</v>
          </cell>
          <cell r="Y136">
            <v>1403</v>
          </cell>
          <cell r="Z136">
            <v>0</v>
          </cell>
          <cell r="AA136">
            <v>887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2017</v>
          </cell>
          <cell r="AG136">
            <v>0</v>
          </cell>
          <cell r="AH136">
            <v>0</v>
          </cell>
          <cell r="AI136">
            <v>385</v>
          </cell>
          <cell r="AJ136">
            <v>15</v>
          </cell>
          <cell r="AK136">
            <v>395</v>
          </cell>
          <cell r="AL136">
            <v>0</v>
          </cell>
          <cell r="AM136">
            <v>60</v>
          </cell>
          <cell r="AN136">
            <v>0</v>
          </cell>
          <cell r="AO136">
            <v>0</v>
          </cell>
          <cell r="AP136">
            <v>40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1122</v>
          </cell>
          <cell r="AX136">
            <v>0</v>
          </cell>
          <cell r="AY136">
            <v>0</v>
          </cell>
          <cell r="AZ136">
            <v>0</v>
          </cell>
          <cell r="BA136">
            <v>1254</v>
          </cell>
          <cell r="BB136">
            <v>0</v>
          </cell>
          <cell r="BC136">
            <v>1254</v>
          </cell>
        </row>
        <row r="137">
          <cell r="C137" t="str">
            <v>NBL INJ-FILLING</v>
          </cell>
          <cell r="D137">
            <v>54720</v>
          </cell>
          <cell r="E137">
            <v>27120</v>
          </cell>
          <cell r="F137">
            <v>1620</v>
          </cell>
          <cell r="G137">
            <v>165</v>
          </cell>
          <cell r="H137">
            <v>1455</v>
          </cell>
          <cell r="I137">
            <v>0</v>
          </cell>
          <cell r="J137">
            <v>25980</v>
          </cell>
          <cell r="K137">
            <v>9448</v>
          </cell>
          <cell r="L137">
            <v>2395</v>
          </cell>
          <cell r="M137">
            <v>2033</v>
          </cell>
          <cell r="N137">
            <v>137</v>
          </cell>
          <cell r="O137">
            <v>202</v>
          </cell>
          <cell r="P137">
            <v>23</v>
          </cell>
          <cell r="Q137">
            <v>1098</v>
          </cell>
          <cell r="R137">
            <v>868</v>
          </cell>
          <cell r="S137">
            <v>120</v>
          </cell>
          <cell r="T137">
            <v>0</v>
          </cell>
          <cell r="U137">
            <v>110</v>
          </cell>
          <cell r="V137">
            <v>0</v>
          </cell>
          <cell r="W137">
            <v>5483</v>
          </cell>
          <cell r="X137">
            <v>1385</v>
          </cell>
          <cell r="Y137">
            <v>4073</v>
          </cell>
          <cell r="Z137">
            <v>25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7556</v>
          </cell>
          <cell r="AG137">
            <v>0</v>
          </cell>
          <cell r="AH137">
            <v>0</v>
          </cell>
          <cell r="AI137">
            <v>1640</v>
          </cell>
          <cell r="AJ137">
            <v>60</v>
          </cell>
          <cell r="AK137">
            <v>1737</v>
          </cell>
          <cell r="AL137">
            <v>0</v>
          </cell>
          <cell r="AM137">
            <v>40</v>
          </cell>
          <cell r="AN137">
            <v>20</v>
          </cell>
          <cell r="AO137">
            <v>0</v>
          </cell>
          <cell r="AP137">
            <v>555</v>
          </cell>
          <cell r="AQ137">
            <v>0</v>
          </cell>
          <cell r="AR137">
            <v>0</v>
          </cell>
          <cell r="AS137">
            <v>3358</v>
          </cell>
          <cell r="AT137">
            <v>0</v>
          </cell>
          <cell r="AU137">
            <v>0</v>
          </cell>
          <cell r="AV137">
            <v>0</v>
          </cell>
          <cell r="AW137">
            <v>76</v>
          </cell>
          <cell r="AX137">
            <v>70</v>
          </cell>
          <cell r="AY137">
            <v>0</v>
          </cell>
          <cell r="AZ137">
            <v>0</v>
          </cell>
          <cell r="BA137">
            <v>955506</v>
          </cell>
          <cell r="BB137">
            <v>205</v>
          </cell>
          <cell r="BC137">
            <v>955301</v>
          </cell>
        </row>
        <row r="138">
          <cell r="C138" t="str">
            <v>GINLINE3</v>
          </cell>
          <cell r="D138">
            <v>27360</v>
          </cell>
          <cell r="E138">
            <v>15840</v>
          </cell>
          <cell r="F138">
            <v>920</v>
          </cell>
          <cell r="G138">
            <v>130</v>
          </cell>
          <cell r="H138">
            <v>790</v>
          </cell>
          <cell r="I138">
            <v>0</v>
          </cell>
          <cell r="J138">
            <v>10600</v>
          </cell>
          <cell r="K138">
            <v>2482</v>
          </cell>
          <cell r="L138">
            <v>1190</v>
          </cell>
          <cell r="M138">
            <v>998</v>
          </cell>
          <cell r="N138">
            <v>137</v>
          </cell>
          <cell r="O138">
            <v>32</v>
          </cell>
          <cell r="P138">
            <v>23</v>
          </cell>
          <cell r="Q138">
            <v>300</v>
          </cell>
          <cell r="R138">
            <v>200</v>
          </cell>
          <cell r="S138">
            <v>20</v>
          </cell>
          <cell r="T138">
            <v>0</v>
          </cell>
          <cell r="U138">
            <v>80</v>
          </cell>
          <cell r="V138">
            <v>0</v>
          </cell>
          <cell r="W138">
            <v>2944</v>
          </cell>
          <cell r="X138">
            <v>1036</v>
          </cell>
          <cell r="Y138">
            <v>1883</v>
          </cell>
          <cell r="Z138">
            <v>25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3684</v>
          </cell>
          <cell r="AG138">
            <v>0</v>
          </cell>
          <cell r="AH138">
            <v>0</v>
          </cell>
          <cell r="AI138">
            <v>660</v>
          </cell>
          <cell r="AJ138">
            <v>30</v>
          </cell>
          <cell r="AK138">
            <v>782</v>
          </cell>
          <cell r="AL138">
            <v>0</v>
          </cell>
          <cell r="AM138">
            <v>0</v>
          </cell>
          <cell r="AN138">
            <v>20</v>
          </cell>
          <cell r="AO138">
            <v>0</v>
          </cell>
          <cell r="AP138">
            <v>255</v>
          </cell>
          <cell r="AQ138">
            <v>0</v>
          </cell>
          <cell r="AR138">
            <v>0</v>
          </cell>
          <cell r="AS138">
            <v>1891</v>
          </cell>
          <cell r="AT138">
            <v>0</v>
          </cell>
          <cell r="AU138">
            <v>0</v>
          </cell>
          <cell r="AV138">
            <v>0</v>
          </cell>
          <cell r="AW138">
            <v>46</v>
          </cell>
          <cell r="AX138">
            <v>0</v>
          </cell>
          <cell r="AY138">
            <v>0</v>
          </cell>
          <cell r="AZ138">
            <v>0</v>
          </cell>
          <cell r="BA138">
            <v>355408</v>
          </cell>
          <cell r="BB138">
            <v>0</v>
          </cell>
          <cell r="BC138">
            <v>355408</v>
          </cell>
        </row>
        <row r="139">
          <cell r="C139" t="str">
            <v>GINLINE4</v>
          </cell>
          <cell r="D139">
            <v>27360</v>
          </cell>
          <cell r="E139">
            <v>11280</v>
          </cell>
          <cell r="F139">
            <v>700</v>
          </cell>
          <cell r="G139">
            <v>35</v>
          </cell>
          <cell r="H139">
            <v>665</v>
          </cell>
          <cell r="I139">
            <v>0</v>
          </cell>
          <cell r="J139">
            <v>15380</v>
          </cell>
          <cell r="K139">
            <v>6966</v>
          </cell>
          <cell r="L139">
            <v>1205</v>
          </cell>
          <cell r="M139">
            <v>1035</v>
          </cell>
          <cell r="N139">
            <v>0</v>
          </cell>
          <cell r="O139">
            <v>170</v>
          </cell>
          <cell r="P139">
            <v>0</v>
          </cell>
          <cell r="Q139">
            <v>798</v>
          </cell>
          <cell r="R139">
            <v>668</v>
          </cell>
          <cell r="S139">
            <v>100</v>
          </cell>
          <cell r="T139">
            <v>0</v>
          </cell>
          <cell r="U139">
            <v>30</v>
          </cell>
          <cell r="V139">
            <v>0</v>
          </cell>
          <cell r="W139">
            <v>2539</v>
          </cell>
          <cell r="X139">
            <v>349</v>
          </cell>
          <cell r="Y139">
            <v>2190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3872</v>
          </cell>
          <cell r="AG139">
            <v>0</v>
          </cell>
          <cell r="AH139">
            <v>0</v>
          </cell>
          <cell r="AI139">
            <v>980</v>
          </cell>
          <cell r="AJ139">
            <v>30</v>
          </cell>
          <cell r="AK139">
            <v>955</v>
          </cell>
          <cell r="AL139">
            <v>0</v>
          </cell>
          <cell r="AM139">
            <v>40</v>
          </cell>
          <cell r="AN139">
            <v>0</v>
          </cell>
          <cell r="AO139">
            <v>0</v>
          </cell>
          <cell r="AP139">
            <v>300</v>
          </cell>
          <cell r="AQ139">
            <v>0</v>
          </cell>
          <cell r="AR139">
            <v>0</v>
          </cell>
          <cell r="AS139">
            <v>1467</v>
          </cell>
          <cell r="AT139">
            <v>0</v>
          </cell>
          <cell r="AU139">
            <v>0</v>
          </cell>
          <cell r="AV139">
            <v>0</v>
          </cell>
          <cell r="AW139">
            <v>30</v>
          </cell>
          <cell r="AX139">
            <v>70</v>
          </cell>
          <cell r="AY139">
            <v>0</v>
          </cell>
          <cell r="AZ139">
            <v>0</v>
          </cell>
          <cell r="BA139">
            <v>600098</v>
          </cell>
          <cell r="BB139">
            <v>205</v>
          </cell>
          <cell r="BC139">
            <v>599893</v>
          </cell>
        </row>
        <row r="140">
          <cell r="C140" t="str">
            <v>NBL INJ-STERILIZATION</v>
          </cell>
          <cell r="D140">
            <v>84960</v>
          </cell>
          <cell r="E140">
            <v>42195</v>
          </cell>
          <cell r="F140">
            <v>7336</v>
          </cell>
          <cell r="G140">
            <v>4942</v>
          </cell>
          <cell r="H140">
            <v>2394</v>
          </cell>
          <cell r="I140">
            <v>0</v>
          </cell>
          <cell r="J140">
            <v>35429</v>
          </cell>
          <cell r="K140">
            <v>16043</v>
          </cell>
          <cell r="L140">
            <v>815</v>
          </cell>
          <cell r="M140">
            <v>698</v>
          </cell>
          <cell r="N140">
            <v>60</v>
          </cell>
          <cell r="O140">
            <v>57</v>
          </cell>
          <cell r="P140">
            <v>0</v>
          </cell>
          <cell r="Q140">
            <v>402</v>
          </cell>
          <cell r="R140">
            <v>0</v>
          </cell>
          <cell r="S140">
            <v>0</v>
          </cell>
          <cell r="T140">
            <v>0</v>
          </cell>
          <cell r="U140">
            <v>402</v>
          </cell>
          <cell r="V140">
            <v>0</v>
          </cell>
          <cell r="W140">
            <v>9233</v>
          </cell>
          <cell r="X140">
            <v>6887</v>
          </cell>
          <cell r="Y140">
            <v>2036</v>
          </cell>
          <cell r="Z140">
            <v>95</v>
          </cell>
          <cell r="AA140">
            <v>0</v>
          </cell>
          <cell r="AB140">
            <v>215</v>
          </cell>
          <cell r="AC140">
            <v>0</v>
          </cell>
          <cell r="AD140">
            <v>0</v>
          </cell>
          <cell r="AE140">
            <v>0</v>
          </cell>
          <cell r="AF140">
            <v>8936</v>
          </cell>
          <cell r="AG140">
            <v>0</v>
          </cell>
          <cell r="AH140">
            <v>0</v>
          </cell>
          <cell r="AI140">
            <v>832</v>
          </cell>
          <cell r="AJ140">
            <v>50</v>
          </cell>
          <cell r="AK140">
            <v>462</v>
          </cell>
          <cell r="AL140">
            <v>1495</v>
          </cell>
          <cell r="AM140">
            <v>0</v>
          </cell>
          <cell r="AN140">
            <v>0</v>
          </cell>
          <cell r="AO140">
            <v>5790</v>
          </cell>
          <cell r="AP140">
            <v>307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1221</v>
          </cell>
          <cell r="BB140">
            <v>0</v>
          </cell>
          <cell r="BC140">
            <v>1221</v>
          </cell>
        </row>
        <row r="141">
          <cell r="C141" t="str">
            <v>INJ105</v>
          </cell>
          <cell r="D141">
            <v>28800</v>
          </cell>
          <cell r="E141">
            <v>12300</v>
          </cell>
          <cell r="F141">
            <v>4619</v>
          </cell>
          <cell r="G141">
            <v>3999</v>
          </cell>
          <cell r="H141">
            <v>620</v>
          </cell>
          <cell r="I141">
            <v>0</v>
          </cell>
          <cell r="J141">
            <v>11881</v>
          </cell>
          <cell r="K141">
            <v>5131</v>
          </cell>
          <cell r="L141">
            <v>165</v>
          </cell>
          <cell r="M141">
            <v>165</v>
          </cell>
          <cell r="N141">
            <v>0</v>
          </cell>
          <cell r="O141">
            <v>0</v>
          </cell>
          <cell r="P141">
            <v>0</v>
          </cell>
          <cell r="Q141">
            <v>116</v>
          </cell>
          <cell r="R141">
            <v>0</v>
          </cell>
          <cell r="S141">
            <v>0</v>
          </cell>
          <cell r="T141">
            <v>0</v>
          </cell>
          <cell r="U141">
            <v>116</v>
          </cell>
          <cell r="V141">
            <v>0</v>
          </cell>
          <cell r="W141">
            <v>2166</v>
          </cell>
          <cell r="X141">
            <v>1077</v>
          </cell>
          <cell r="Y141">
            <v>1089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4303</v>
          </cell>
          <cell r="AG141">
            <v>0</v>
          </cell>
          <cell r="AH141">
            <v>0</v>
          </cell>
          <cell r="AI141">
            <v>170</v>
          </cell>
          <cell r="AJ141">
            <v>0</v>
          </cell>
          <cell r="AK141">
            <v>40</v>
          </cell>
          <cell r="AL141">
            <v>0</v>
          </cell>
          <cell r="AM141">
            <v>0</v>
          </cell>
          <cell r="AN141">
            <v>0</v>
          </cell>
          <cell r="AO141">
            <v>4075</v>
          </cell>
          <cell r="AP141">
            <v>18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511</v>
          </cell>
          <cell r="BB141">
            <v>0</v>
          </cell>
          <cell r="BC141">
            <v>511</v>
          </cell>
        </row>
        <row r="142">
          <cell r="C142" t="str">
            <v>INJ106</v>
          </cell>
          <cell r="D142">
            <v>28800</v>
          </cell>
          <cell r="E142">
            <v>11857</v>
          </cell>
          <cell r="F142">
            <v>1267</v>
          </cell>
          <cell r="G142">
            <v>898</v>
          </cell>
          <cell r="H142">
            <v>369</v>
          </cell>
          <cell r="I142">
            <v>0</v>
          </cell>
          <cell r="J142">
            <v>15676</v>
          </cell>
          <cell r="K142">
            <v>9713</v>
          </cell>
          <cell r="L142">
            <v>52</v>
          </cell>
          <cell r="M142">
            <v>52</v>
          </cell>
          <cell r="N142">
            <v>0</v>
          </cell>
          <cell r="O142">
            <v>0</v>
          </cell>
          <cell r="P142">
            <v>0</v>
          </cell>
          <cell r="Q142">
            <v>286</v>
          </cell>
          <cell r="R142">
            <v>0</v>
          </cell>
          <cell r="S142">
            <v>0</v>
          </cell>
          <cell r="T142">
            <v>0</v>
          </cell>
          <cell r="U142">
            <v>286</v>
          </cell>
          <cell r="V142">
            <v>0</v>
          </cell>
          <cell r="W142">
            <v>5029</v>
          </cell>
          <cell r="X142">
            <v>4542</v>
          </cell>
          <cell r="Y142">
            <v>487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596</v>
          </cell>
          <cell r="AG142">
            <v>0</v>
          </cell>
          <cell r="AH142">
            <v>0</v>
          </cell>
          <cell r="AI142">
            <v>327</v>
          </cell>
          <cell r="AJ142">
            <v>0</v>
          </cell>
          <cell r="AK142">
            <v>130</v>
          </cell>
          <cell r="AL142">
            <v>0</v>
          </cell>
          <cell r="AM142">
            <v>0</v>
          </cell>
          <cell r="AN142">
            <v>0</v>
          </cell>
          <cell r="AO142">
            <v>90</v>
          </cell>
          <cell r="AP142">
            <v>49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686</v>
          </cell>
          <cell r="BB142">
            <v>0</v>
          </cell>
          <cell r="BC142">
            <v>686</v>
          </cell>
        </row>
        <row r="143">
          <cell r="C143" t="str">
            <v>INJ107</v>
          </cell>
          <cell r="D143">
            <v>27360</v>
          </cell>
          <cell r="E143">
            <v>18038</v>
          </cell>
          <cell r="F143">
            <v>1450</v>
          </cell>
          <cell r="G143">
            <v>45</v>
          </cell>
          <cell r="H143">
            <v>1405</v>
          </cell>
          <cell r="I143">
            <v>0</v>
          </cell>
          <cell r="J143">
            <v>7872</v>
          </cell>
          <cell r="K143">
            <v>1199</v>
          </cell>
          <cell r="L143">
            <v>598</v>
          </cell>
          <cell r="M143">
            <v>481</v>
          </cell>
          <cell r="N143">
            <v>60</v>
          </cell>
          <cell r="O143">
            <v>57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2038</v>
          </cell>
          <cell r="X143">
            <v>1268</v>
          </cell>
          <cell r="Y143">
            <v>460</v>
          </cell>
          <cell r="Z143">
            <v>95</v>
          </cell>
          <cell r="AA143">
            <v>0</v>
          </cell>
          <cell r="AB143">
            <v>215</v>
          </cell>
          <cell r="AC143">
            <v>0</v>
          </cell>
          <cell r="AD143">
            <v>0</v>
          </cell>
          <cell r="AE143">
            <v>0</v>
          </cell>
          <cell r="AF143">
            <v>4037</v>
          </cell>
          <cell r="AG143">
            <v>0</v>
          </cell>
          <cell r="AH143">
            <v>0</v>
          </cell>
          <cell r="AI143">
            <v>335</v>
          </cell>
          <cell r="AJ143">
            <v>50</v>
          </cell>
          <cell r="AK143">
            <v>292</v>
          </cell>
          <cell r="AL143">
            <v>1495</v>
          </cell>
          <cell r="AM143">
            <v>0</v>
          </cell>
          <cell r="AN143">
            <v>0</v>
          </cell>
          <cell r="AO143">
            <v>1625</v>
          </cell>
          <cell r="AP143">
            <v>240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24</v>
          </cell>
          <cell r="BB143">
            <v>0</v>
          </cell>
          <cell r="BC143">
            <v>24</v>
          </cell>
        </row>
        <row r="144">
          <cell r="C144" t="str">
            <v>NBL SECONDARY PACKING</v>
          </cell>
          <cell r="D144">
            <v>167040</v>
          </cell>
          <cell r="E144">
            <v>118230</v>
          </cell>
          <cell r="F144">
            <v>5040</v>
          </cell>
          <cell r="G144">
            <v>1350</v>
          </cell>
          <cell r="H144">
            <v>3690</v>
          </cell>
          <cell r="I144">
            <v>0</v>
          </cell>
          <cell r="J144">
            <v>43770</v>
          </cell>
          <cell r="K144">
            <v>27709</v>
          </cell>
          <cell r="L144">
            <v>2721</v>
          </cell>
          <cell r="M144">
            <v>1796</v>
          </cell>
          <cell r="N144">
            <v>148</v>
          </cell>
          <cell r="O144">
            <v>55</v>
          </cell>
          <cell r="P144">
            <v>722</v>
          </cell>
          <cell r="Q144">
            <v>65</v>
          </cell>
          <cell r="R144">
            <v>65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3838</v>
          </cell>
          <cell r="X144">
            <v>2093</v>
          </cell>
          <cell r="Y144">
            <v>1655</v>
          </cell>
          <cell r="Z144">
            <v>0</v>
          </cell>
          <cell r="AA144">
            <v>0</v>
          </cell>
          <cell r="AB144">
            <v>90</v>
          </cell>
          <cell r="AC144">
            <v>0</v>
          </cell>
          <cell r="AD144">
            <v>0</v>
          </cell>
          <cell r="AE144">
            <v>0</v>
          </cell>
          <cell r="AF144">
            <v>9437</v>
          </cell>
          <cell r="AG144">
            <v>0</v>
          </cell>
          <cell r="AH144">
            <v>975</v>
          </cell>
          <cell r="AI144">
            <v>2610</v>
          </cell>
          <cell r="AJ144">
            <v>0</v>
          </cell>
          <cell r="AK144">
            <v>1405</v>
          </cell>
          <cell r="AL144">
            <v>430</v>
          </cell>
          <cell r="AM144">
            <v>0</v>
          </cell>
          <cell r="AN144">
            <v>0</v>
          </cell>
          <cell r="AO144">
            <v>1725</v>
          </cell>
          <cell r="AP144">
            <v>709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1583</v>
          </cell>
          <cell r="AX144">
            <v>0</v>
          </cell>
          <cell r="AY144">
            <v>0</v>
          </cell>
          <cell r="AZ144">
            <v>0</v>
          </cell>
          <cell r="BA144">
            <v>1443293</v>
          </cell>
          <cell r="BB144">
            <v>75</v>
          </cell>
          <cell r="BC144">
            <v>1443218</v>
          </cell>
        </row>
        <row r="145">
          <cell r="C145" t="str">
            <v>PAK101</v>
          </cell>
          <cell r="D145">
            <v>28800</v>
          </cell>
          <cell r="E145">
            <v>14610</v>
          </cell>
          <cell r="F145">
            <v>310</v>
          </cell>
          <cell r="G145">
            <v>255</v>
          </cell>
          <cell r="H145">
            <v>55</v>
          </cell>
          <cell r="I145">
            <v>0</v>
          </cell>
          <cell r="J145">
            <v>13880</v>
          </cell>
          <cell r="K145">
            <v>9633</v>
          </cell>
          <cell r="L145">
            <v>445</v>
          </cell>
          <cell r="M145">
            <v>442</v>
          </cell>
          <cell r="N145">
            <v>3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957</v>
          </cell>
          <cell r="X145">
            <v>347</v>
          </cell>
          <cell r="Y145">
            <v>580</v>
          </cell>
          <cell r="Z145">
            <v>0</v>
          </cell>
          <cell r="AA145">
            <v>0</v>
          </cell>
          <cell r="AB145">
            <v>30</v>
          </cell>
          <cell r="AC145">
            <v>0</v>
          </cell>
          <cell r="AD145">
            <v>0</v>
          </cell>
          <cell r="AE145">
            <v>0</v>
          </cell>
          <cell r="AF145">
            <v>2845</v>
          </cell>
          <cell r="AG145">
            <v>0</v>
          </cell>
          <cell r="AH145">
            <v>720</v>
          </cell>
          <cell r="AI145">
            <v>870</v>
          </cell>
          <cell r="AJ145">
            <v>0</v>
          </cell>
          <cell r="AK145">
            <v>420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254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581</v>
          </cell>
          <cell r="AX145">
            <v>0</v>
          </cell>
          <cell r="AY145">
            <v>0</v>
          </cell>
          <cell r="AZ145">
            <v>0</v>
          </cell>
          <cell r="BA145">
            <v>394220</v>
          </cell>
          <cell r="BB145">
            <v>38</v>
          </cell>
          <cell r="BC145">
            <v>394182</v>
          </cell>
        </row>
        <row r="146">
          <cell r="C146" t="str">
            <v>PAK103</v>
          </cell>
          <cell r="D146">
            <v>28800</v>
          </cell>
          <cell r="E146">
            <v>13230</v>
          </cell>
          <cell r="F146">
            <v>845</v>
          </cell>
          <cell r="G146">
            <v>615</v>
          </cell>
          <cell r="H146">
            <v>230</v>
          </cell>
          <cell r="I146">
            <v>0</v>
          </cell>
          <cell r="J146">
            <v>14725</v>
          </cell>
          <cell r="K146">
            <v>11045</v>
          </cell>
          <cell r="L146">
            <v>209</v>
          </cell>
          <cell r="M146">
            <v>209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839</v>
          </cell>
          <cell r="X146">
            <v>239</v>
          </cell>
          <cell r="Y146">
            <v>540</v>
          </cell>
          <cell r="Z146">
            <v>0</v>
          </cell>
          <cell r="AA146">
            <v>0</v>
          </cell>
          <cell r="AB146">
            <v>60</v>
          </cell>
          <cell r="AC146">
            <v>0</v>
          </cell>
          <cell r="AD146">
            <v>0</v>
          </cell>
          <cell r="AE146">
            <v>0</v>
          </cell>
          <cell r="AF146">
            <v>2632</v>
          </cell>
          <cell r="AG146">
            <v>0</v>
          </cell>
          <cell r="AH146">
            <v>255</v>
          </cell>
          <cell r="AI146">
            <v>900</v>
          </cell>
          <cell r="AJ146">
            <v>0</v>
          </cell>
          <cell r="AK146">
            <v>435</v>
          </cell>
          <cell r="AL146">
            <v>170</v>
          </cell>
          <cell r="AM146">
            <v>0</v>
          </cell>
          <cell r="AN146">
            <v>0</v>
          </cell>
          <cell r="AO146">
            <v>0</v>
          </cell>
          <cell r="AP146">
            <v>175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697</v>
          </cell>
          <cell r="AX146">
            <v>0</v>
          </cell>
          <cell r="AY146">
            <v>0</v>
          </cell>
          <cell r="AZ146">
            <v>0</v>
          </cell>
          <cell r="BA146">
            <v>539520</v>
          </cell>
          <cell r="BB146">
            <v>0</v>
          </cell>
          <cell r="BC146">
            <v>539520</v>
          </cell>
        </row>
        <row r="147">
          <cell r="C147" t="str">
            <v>PAK105</v>
          </cell>
          <cell r="D147">
            <v>27360</v>
          </cell>
          <cell r="E147">
            <v>14940</v>
          </cell>
          <cell r="F147">
            <v>3455</v>
          </cell>
          <cell r="G147">
            <v>295</v>
          </cell>
          <cell r="H147">
            <v>3160</v>
          </cell>
          <cell r="I147">
            <v>0</v>
          </cell>
          <cell r="J147">
            <v>8965</v>
          </cell>
          <cell r="K147">
            <v>4130</v>
          </cell>
          <cell r="L147">
            <v>885</v>
          </cell>
          <cell r="M147">
            <v>750</v>
          </cell>
          <cell r="N147">
            <v>35</v>
          </cell>
          <cell r="O147">
            <v>45</v>
          </cell>
          <cell r="P147">
            <v>55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1065</v>
          </cell>
          <cell r="X147">
            <v>795</v>
          </cell>
          <cell r="Y147">
            <v>270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2885</v>
          </cell>
          <cell r="AG147">
            <v>0</v>
          </cell>
          <cell r="AH147">
            <v>0</v>
          </cell>
          <cell r="AI147">
            <v>420</v>
          </cell>
          <cell r="AJ147">
            <v>0</v>
          </cell>
          <cell r="AK147">
            <v>295</v>
          </cell>
          <cell r="AL147">
            <v>260</v>
          </cell>
          <cell r="AM147">
            <v>0</v>
          </cell>
          <cell r="AN147">
            <v>0</v>
          </cell>
          <cell r="AO147">
            <v>1600</v>
          </cell>
          <cell r="AP147">
            <v>155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155</v>
          </cell>
          <cell r="AX147">
            <v>0</v>
          </cell>
          <cell r="AY147">
            <v>0</v>
          </cell>
          <cell r="AZ147">
            <v>0</v>
          </cell>
          <cell r="BA147">
            <v>220042</v>
          </cell>
          <cell r="BB147">
            <v>0</v>
          </cell>
          <cell r="BC147">
            <v>220042</v>
          </cell>
        </row>
        <row r="148">
          <cell r="C148" t="str">
            <v>PAK102</v>
          </cell>
          <cell r="D148">
            <v>27360</v>
          </cell>
          <cell r="E148">
            <v>27360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/>
          <cell r="K148"/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/>
          <cell r="BB148"/>
          <cell r="BC148"/>
        </row>
        <row r="149">
          <cell r="C149" t="str">
            <v>PAK104</v>
          </cell>
          <cell r="D149">
            <v>27360</v>
          </cell>
          <cell r="E149">
            <v>27360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/>
          <cell r="K149"/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/>
          <cell r="BB149"/>
          <cell r="BC149"/>
        </row>
        <row r="150">
          <cell r="C150" t="str">
            <v>PAK111</v>
          </cell>
          <cell r="D150">
            <v>27360</v>
          </cell>
          <cell r="E150">
            <v>20730</v>
          </cell>
          <cell r="F150">
            <v>430</v>
          </cell>
          <cell r="G150">
            <v>185</v>
          </cell>
          <cell r="H150">
            <v>245</v>
          </cell>
          <cell r="I150">
            <v>0</v>
          </cell>
          <cell r="J150">
            <v>6200</v>
          </cell>
          <cell r="K150">
            <v>2901</v>
          </cell>
          <cell r="L150">
            <v>1182</v>
          </cell>
          <cell r="M150">
            <v>395</v>
          </cell>
          <cell r="N150">
            <v>110</v>
          </cell>
          <cell r="O150">
            <v>10</v>
          </cell>
          <cell r="P150">
            <v>667</v>
          </cell>
          <cell r="Q150">
            <v>65</v>
          </cell>
          <cell r="R150">
            <v>65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977</v>
          </cell>
          <cell r="X150">
            <v>712</v>
          </cell>
          <cell r="Y150">
            <v>265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1075</v>
          </cell>
          <cell r="AG150">
            <v>0</v>
          </cell>
          <cell r="AH150">
            <v>0</v>
          </cell>
          <cell r="AI150">
            <v>420</v>
          </cell>
          <cell r="AJ150">
            <v>0</v>
          </cell>
          <cell r="AK150">
            <v>255</v>
          </cell>
          <cell r="AL150">
            <v>0</v>
          </cell>
          <cell r="AM150">
            <v>0</v>
          </cell>
          <cell r="AN150">
            <v>0</v>
          </cell>
          <cell r="AO150">
            <v>125</v>
          </cell>
          <cell r="AP150">
            <v>125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150</v>
          </cell>
          <cell r="AX150">
            <v>0</v>
          </cell>
          <cell r="AY150">
            <v>0</v>
          </cell>
          <cell r="AZ150">
            <v>0</v>
          </cell>
          <cell r="BA150">
            <v>289511</v>
          </cell>
          <cell r="BB150">
            <v>37</v>
          </cell>
          <cell r="BC150">
            <v>289474</v>
          </cell>
        </row>
        <row r="151">
          <cell r="C151" t="str">
            <v>CPH SOL-MIXING</v>
          </cell>
          <cell r="D151">
            <v>27360</v>
          </cell>
          <cell r="E151">
            <v>24750</v>
          </cell>
          <cell r="F151">
            <v>1370</v>
          </cell>
          <cell r="G151">
            <v>0</v>
          </cell>
          <cell r="H151">
            <v>1370</v>
          </cell>
          <cell r="I151">
            <v>0</v>
          </cell>
          <cell r="J151">
            <v>1240</v>
          </cell>
          <cell r="K151">
            <v>44</v>
          </cell>
          <cell r="L151">
            <v>38</v>
          </cell>
          <cell r="M151">
            <v>13</v>
          </cell>
          <cell r="N151">
            <v>25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968</v>
          </cell>
          <cell r="X151">
            <v>808</v>
          </cell>
          <cell r="Y151">
            <v>150</v>
          </cell>
          <cell r="Z151">
            <v>0</v>
          </cell>
          <cell r="AA151">
            <v>0</v>
          </cell>
          <cell r="AB151">
            <v>10</v>
          </cell>
          <cell r="AC151">
            <v>0</v>
          </cell>
          <cell r="AD151">
            <v>0</v>
          </cell>
          <cell r="AE151">
            <v>0</v>
          </cell>
          <cell r="AF151">
            <v>190</v>
          </cell>
          <cell r="AG151">
            <v>140</v>
          </cell>
          <cell r="AH151">
            <v>0</v>
          </cell>
          <cell r="AI151">
            <v>30</v>
          </cell>
          <cell r="AJ151">
            <v>0</v>
          </cell>
          <cell r="AK151">
            <v>15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5</v>
          </cell>
          <cell r="AX151">
            <v>0</v>
          </cell>
          <cell r="AY151">
            <v>0</v>
          </cell>
          <cell r="AZ151">
            <v>0</v>
          </cell>
          <cell r="BA151">
            <v>326.99</v>
          </cell>
          <cell r="BB151">
            <v>0.37</v>
          </cell>
          <cell r="BC151">
            <v>326.62</v>
          </cell>
        </row>
        <row r="152">
          <cell r="C152" t="str">
            <v>MCF101</v>
          </cell>
          <cell r="D152">
            <v>27360</v>
          </cell>
          <cell r="E152">
            <v>24750</v>
          </cell>
          <cell r="F152">
            <v>1370</v>
          </cell>
          <cell r="G152">
            <v>0</v>
          </cell>
          <cell r="H152">
            <v>1370</v>
          </cell>
          <cell r="I152">
            <v>0</v>
          </cell>
          <cell r="J152">
            <v>1240</v>
          </cell>
          <cell r="K152">
            <v>44</v>
          </cell>
          <cell r="L152">
            <v>38</v>
          </cell>
          <cell r="M152">
            <v>13</v>
          </cell>
          <cell r="N152">
            <v>25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968</v>
          </cell>
          <cell r="X152">
            <v>808</v>
          </cell>
          <cell r="Y152">
            <v>150</v>
          </cell>
          <cell r="Z152">
            <v>0</v>
          </cell>
          <cell r="AA152">
            <v>0</v>
          </cell>
          <cell r="AB152">
            <v>10</v>
          </cell>
          <cell r="AC152">
            <v>0</v>
          </cell>
          <cell r="AD152">
            <v>0</v>
          </cell>
          <cell r="AE152">
            <v>0</v>
          </cell>
          <cell r="AF152">
            <v>190</v>
          </cell>
          <cell r="AG152">
            <v>140</v>
          </cell>
          <cell r="AH152">
            <v>0</v>
          </cell>
          <cell r="AI152">
            <v>30</v>
          </cell>
          <cell r="AJ152">
            <v>0</v>
          </cell>
          <cell r="AK152">
            <v>15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5</v>
          </cell>
          <cell r="AX152">
            <v>0</v>
          </cell>
          <cell r="AY152">
            <v>0</v>
          </cell>
          <cell r="AZ152">
            <v>0</v>
          </cell>
          <cell r="BA152">
            <v>326.99</v>
          </cell>
          <cell r="BB152">
            <v>0.37</v>
          </cell>
          <cell r="BC152">
            <v>326.62</v>
          </cell>
        </row>
        <row r="153">
          <cell r="C153" t="str">
            <v>CPH SOL-CAPSULE</v>
          </cell>
          <cell r="D153">
            <v>27360</v>
          </cell>
          <cell r="E153">
            <v>25320</v>
          </cell>
          <cell r="F153">
            <v>360</v>
          </cell>
          <cell r="G153">
            <v>60</v>
          </cell>
          <cell r="H153">
            <v>300</v>
          </cell>
          <cell r="I153">
            <v>0</v>
          </cell>
          <cell r="J153">
            <v>1680</v>
          </cell>
          <cell r="K153">
            <v>730</v>
          </cell>
          <cell r="L153">
            <v>265</v>
          </cell>
          <cell r="M153">
            <v>70</v>
          </cell>
          <cell r="N153">
            <v>0</v>
          </cell>
          <cell r="O153">
            <v>25</v>
          </cell>
          <cell r="P153">
            <v>170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410</v>
          </cell>
          <cell r="X153">
            <v>110</v>
          </cell>
          <cell r="Y153">
            <v>0</v>
          </cell>
          <cell r="Z153">
            <v>0</v>
          </cell>
          <cell r="AA153">
            <v>0</v>
          </cell>
          <cell r="AB153">
            <v>300</v>
          </cell>
          <cell r="AC153">
            <v>0</v>
          </cell>
          <cell r="AD153">
            <v>0</v>
          </cell>
          <cell r="AE153">
            <v>0</v>
          </cell>
          <cell r="AF153">
            <v>275</v>
          </cell>
          <cell r="AG153">
            <v>0</v>
          </cell>
          <cell r="AH153">
            <v>0</v>
          </cell>
          <cell r="AI153">
            <v>90</v>
          </cell>
          <cell r="AJ153">
            <v>0</v>
          </cell>
          <cell r="AK153">
            <v>60</v>
          </cell>
          <cell r="AL153">
            <v>0</v>
          </cell>
          <cell r="AM153">
            <v>0</v>
          </cell>
          <cell r="AN153">
            <v>15</v>
          </cell>
          <cell r="AO153">
            <v>20</v>
          </cell>
          <cell r="AP153">
            <v>40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20</v>
          </cell>
          <cell r="AX153">
            <v>0</v>
          </cell>
          <cell r="AY153">
            <v>0</v>
          </cell>
          <cell r="AZ153">
            <v>30</v>
          </cell>
          <cell r="BA153">
            <v>504604</v>
          </cell>
          <cell r="BB153">
            <v>74</v>
          </cell>
          <cell r="BC153">
            <v>504530</v>
          </cell>
        </row>
        <row r="154">
          <cell r="C154" t="str">
            <v>KCF101</v>
          </cell>
          <cell r="D154">
            <v>27360</v>
          </cell>
          <cell r="E154">
            <v>25320</v>
          </cell>
          <cell r="F154">
            <v>360</v>
          </cell>
          <cell r="G154">
            <v>60</v>
          </cell>
          <cell r="H154">
            <v>300</v>
          </cell>
          <cell r="I154">
            <v>0</v>
          </cell>
          <cell r="J154">
            <v>1680</v>
          </cell>
          <cell r="K154">
            <v>730</v>
          </cell>
          <cell r="L154">
            <v>265</v>
          </cell>
          <cell r="M154">
            <v>70</v>
          </cell>
          <cell r="N154">
            <v>0</v>
          </cell>
          <cell r="O154">
            <v>25</v>
          </cell>
          <cell r="P154">
            <v>170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410</v>
          </cell>
          <cell r="X154">
            <v>110</v>
          </cell>
          <cell r="Y154">
            <v>0</v>
          </cell>
          <cell r="Z154">
            <v>0</v>
          </cell>
          <cell r="AA154">
            <v>0</v>
          </cell>
          <cell r="AB154">
            <v>300</v>
          </cell>
          <cell r="AC154">
            <v>0</v>
          </cell>
          <cell r="AD154">
            <v>0</v>
          </cell>
          <cell r="AE154">
            <v>0</v>
          </cell>
          <cell r="AF154">
            <v>275</v>
          </cell>
          <cell r="AG154">
            <v>0</v>
          </cell>
          <cell r="AH154">
            <v>0</v>
          </cell>
          <cell r="AI154">
            <v>90</v>
          </cell>
          <cell r="AJ154">
            <v>0</v>
          </cell>
          <cell r="AK154">
            <v>60</v>
          </cell>
          <cell r="AL154">
            <v>0</v>
          </cell>
          <cell r="AM154">
            <v>0</v>
          </cell>
          <cell r="AN154">
            <v>15</v>
          </cell>
          <cell r="AO154">
            <v>20</v>
          </cell>
          <cell r="AP154">
            <v>40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20</v>
          </cell>
          <cell r="AX154">
            <v>0</v>
          </cell>
          <cell r="AY154">
            <v>0</v>
          </cell>
          <cell r="AZ154">
            <v>30</v>
          </cell>
          <cell r="BA154">
            <v>504604</v>
          </cell>
          <cell r="BB154">
            <v>74</v>
          </cell>
          <cell r="BC154">
            <v>504530</v>
          </cell>
        </row>
        <row r="155">
          <cell r="C155" t="str">
            <v>CPH SOL-STRIPPING</v>
          </cell>
          <cell r="D155">
            <v>27360</v>
          </cell>
          <cell r="E155">
            <v>24810</v>
          </cell>
          <cell r="F155">
            <v>300</v>
          </cell>
          <cell r="G155">
            <v>90</v>
          </cell>
          <cell r="H155">
            <v>210</v>
          </cell>
          <cell r="I155">
            <v>0</v>
          </cell>
          <cell r="J155">
            <v>2250</v>
          </cell>
          <cell r="K155">
            <v>625</v>
          </cell>
          <cell r="L155">
            <v>545</v>
          </cell>
          <cell r="M155">
            <v>425</v>
          </cell>
          <cell r="N155">
            <v>0</v>
          </cell>
          <cell r="O155">
            <v>0</v>
          </cell>
          <cell r="P155">
            <v>120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635</v>
          </cell>
          <cell r="X155">
            <v>295</v>
          </cell>
          <cell r="Y155">
            <v>165</v>
          </cell>
          <cell r="Z155">
            <v>0</v>
          </cell>
          <cell r="AA155">
            <v>0</v>
          </cell>
          <cell r="AB155">
            <v>175</v>
          </cell>
          <cell r="AC155">
            <v>0</v>
          </cell>
          <cell r="AD155">
            <v>0</v>
          </cell>
          <cell r="AE155">
            <v>0</v>
          </cell>
          <cell r="AF155">
            <v>445</v>
          </cell>
          <cell r="AG155">
            <v>40</v>
          </cell>
          <cell r="AH155">
            <v>0</v>
          </cell>
          <cell r="AI155">
            <v>150</v>
          </cell>
          <cell r="AJ155">
            <v>0</v>
          </cell>
          <cell r="AK155">
            <v>75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90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90</v>
          </cell>
          <cell r="AX155">
            <v>0</v>
          </cell>
          <cell r="AY155">
            <v>0</v>
          </cell>
          <cell r="AZ155">
            <v>0</v>
          </cell>
          <cell r="BA155">
            <v>510863</v>
          </cell>
          <cell r="BB155">
            <v>2503</v>
          </cell>
          <cell r="BC155">
            <v>508360</v>
          </cell>
        </row>
        <row r="156">
          <cell r="C156" t="str">
            <v>STC101</v>
          </cell>
          <cell r="D156">
            <v>27360</v>
          </cell>
          <cell r="E156">
            <v>24810</v>
          </cell>
          <cell r="F156">
            <v>300</v>
          </cell>
          <cell r="G156">
            <v>90</v>
          </cell>
          <cell r="H156">
            <v>210</v>
          </cell>
          <cell r="I156">
            <v>0</v>
          </cell>
          <cell r="J156">
            <v>2250</v>
          </cell>
          <cell r="K156">
            <v>625</v>
          </cell>
          <cell r="L156">
            <v>545</v>
          </cell>
          <cell r="M156">
            <v>425</v>
          </cell>
          <cell r="N156">
            <v>0</v>
          </cell>
          <cell r="O156">
            <v>0</v>
          </cell>
          <cell r="P156">
            <v>120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635</v>
          </cell>
          <cell r="X156">
            <v>295</v>
          </cell>
          <cell r="Y156">
            <v>165</v>
          </cell>
          <cell r="Z156">
            <v>0</v>
          </cell>
          <cell r="AA156">
            <v>0</v>
          </cell>
          <cell r="AB156">
            <v>175</v>
          </cell>
          <cell r="AC156">
            <v>0</v>
          </cell>
          <cell r="AD156">
            <v>0</v>
          </cell>
          <cell r="AE156">
            <v>0</v>
          </cell>
          <cell r="AF156">
            <v>445</v>
          </cell>
          <cell r="AG156">
            <v>40</v>
          </cell>
          <cell r="AH156">
            <v>0</v>
          </cell>
          <cell r="AI156">
            <v>150</v>
          </cell>
          <cell r="AJ156">
            <v>0</v>
          </cell>
          <cell r="AK156">
            <v>75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90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90</v>
          </cell>
          <cell r="AX156">
            <v>0</v>
          </cell>
          <cell r="AY156">
            <v>0</v>
          </cell>
          <cell r="AZ156">
            <v>0</v>
          </cell>
          <cell r="BA156">
            <v>510863</v>
          </cell>
          <cell r="BB156">
            <v>2503</v>
          </cell>
          <cell r="BC156">
            <v>508360</v>
          </cell>
        </row>
        <row r="157">
          <cell r="C157" t="str">
            <v>CPH SOL-POWDER FILLING</v>
          </cell>
          <cell r="D157">
            <v>27360</v>
          </cell>
          <cell r="E157">
            <v>26850</v>
          </cell>
          <cell r="F157">
            <v>30</v>
          </cell>
          <cell r="G157">
            <v>30</v>
          </cell>
          <cell r="H157">
            <v>0</v>
          </cell>
          <cell r="I157">
            <v>0</v>
          </cell>
          <cell r="J157">
            <v>480</v>
          </cell>
          <cell r="K157">
            <v>70</v>
          </cell>
          <cell r="L157">
            <v>60</v>
          </cell>
          <cell r="M157">
            <v>60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245</v>
          </cell>
          <cell r="X157">
            <v>75</v>
          </cell>
          <cell r="Y157">
            <v>160</v>
          </cell>
          <cell r="Z157">
            <v>0</v>
          </cell>
          <cell r="AA157">
            <v>0</v>
          </cell>
          <cell r="AB157">
            <v>10</v>
          </cell>
          <cell r="AC157">
            <v>0</v>
          </cell>
          <cell r="AD157">
            <v>0</v>
          </cell>
          <cell r="AE157">
            <v>0</v>
          </cell>
          <cell r="AF157">
            <v>105</v>
          </cell>
          <cell r="AG157">
            <v>0</v>
          </cell>
          <cell r="AH157">
            <v>0</v>
          </cell>
          <cell r="AI157">
            <v>30</v>
          </cell>
          <cell r="AJ157">
            <v>0</v>
          </cell>
          <cell r="AK157">
            <v>15</v>
          </cell>
          <cell r="AL157">
            <v>0</v>
          </cell>
          <cell r="AM157">
            <v>0</v>
          </cell>
          <cell r="AN157">
            <v>0</v>
          </cell>
          <cell r="AO157">
            <v>30</v>
          </cell>
          <cell r="AP157">
            <v>20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10</v>
          </cell>
          <cell r="AX157">
            <v>0</v>
          </cell>
          <cell r="AY157">
            <v>0</v>
          </cell>
          <cell r="AZ157">
            <v>0</v>
          </cell>
          <cell r="BA157">
            <v>1564</v>
          </cell>
          <cell r="BB157">
            <v>14</v>
          </cell>
          <cell r="BC157">
            <v>1550</v>
          </cell>
        </row>
        <row r="158">
          <cell r="C158" t="str">
            <v>SCF102</v>
          </cell>
          <cell r="D158">
            <v>27360</v>
          </cell>
          <cell r="E158">
            <v>26850</v>
          </cell>
          <cell r="F158">
            <v>30</v>
          </cell>
          <cell r="G158">
            <v>30</v>
          </cell>
          <cell r="H158">
            <v>0</v>
          </cell>
          <cell r="I158">
            <v>0</v>
          </cell>
          <cell r="J158">
            <v>480</v>
          </cell>
          <cell r="K158">
            <v>70</v>
          </cell>
          <cell r="L158">
            <v>60</v>
          </cell>
          <cell r="M158">
            <v>60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245</v>
          </cell>
          <cell r="X158">
            <v>75</v>
          </cell>
          <cell r="Y158">
            <v>160</v>
          </cell>
          <cell r="Z158">
            <v>0</v>
          </cell>
          <cell r="AA158">
            <v>0</v>
          </cell>
          <cell r="AB158">
            <v>10</v>
          </cell>
          <cell r="AC158">
            <v>0</v>
          </cell>
          <cell r="AD158">
            <v>0</v>
          </cell>
          <cell r="AE158">
            <v>0</v>
          </cell>
          <cell r="AF158">
            <v>105</v>
          </cell>
          <cell r="AG158">
            <v>0</v>
          </cell>
          <cell r="AH158">
            <v>0</v>
          </cell>
          <cell r="AI158">
            <v>30</v>
          </cell>
          <cell r="AJ158">
            <v>0</v>
          </cell>
          <cell r="AK158">
            <v>15</v>
          </cell>
          <cell r="AL158">
            <v>0</v>
          </cell>
          <cell r="AM158">
            <v>0</v>
          </cell>
          <cell r="AN158">
            <v>0</v>
          </cell>
          <cell r="AO158">
            <v>30</v>
          </cell>
          <cell r="AP158">
            <v>20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10</v>
          </cell>
          <cell r="AX158">
            <v>0</v>
          </cell>
          <cell r="AY158">
            <v>0</v>
          </cell>
          <cell r="AZ158">
            <v>0</v>
          </cell>
          <cell r="BA158">
            <v>1564</v>
          </cell>
          <cell r="BB158">
            <v>14</v>
          </cell>
          <cell r="BC158">
            <v>1550</v>
          </cell>
        </row>
        <row r="159">
          <cell r="C159" t="str">
            <v>CPH INJ-FILLING</v>
          </cell>
          <cell r="D159">
            <v>27360</v>
          </cell>
          <cell r="E159">
            <v>20850</v>
          </cell>
          <cell r="F159">
            <v>620</v>
          </cell>
          <cell r="G159">
            <v>0</v>
          </cell>
          <cell r="H159">
            <v>620</v>
          </cell>
          <cell r="I159">
            <v>0</v>
          </cell>
          <cell r="J159">
            <v>5890</v>
          </cell>
          <cell r="K159">
            <v>2219</v>
          </cell>
          <cell r="L159">
            <v>555</v>
          </cell>
          <cell r="M159">
            <v>450</v>
          </cell>
          <cell r="N159">
            <v>0</v>
          </cell>
          <cell r="O159">
            <v>105</v>
          </cell>
          <cell r="P159">
            <v>0</v>
          </cell>
          <cell r="Q159">
            <v>276</v>
          </cell>
          <cell r="R159">
            <v>247</v>
          </cell>
          <cell r="S159">
            <v>0</v>
          </cell>
          <cell r="T159">
            <v>0</v>
          </cell>
          <cell r="U159">
            <v>29</v>
          </cell>
          <cell r="V159">
            <v>0</v>
          </cell>
          <cell r="W159">
            <v>2015</v>
          </cell>
          <cell r="X159">
            <v>686</v>
          </cell>
          <cell r="Y159">
            <v>1329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825</v>
          </cell>
          <cell r="AG159">
            <v>0</v>
          </cell>
          <cell r="AH159">
            <v>0</v>
          </cell>
          <cell r="AI159">
            <v>365</v>
          </cell>
          <cell r="AJ159">
            <v>35</v>
          </cell>
          <cell r="AK159">
            <v>205</v>
          </cell>
          <cell r="AL159">
            <v>0</v>
          </cell>
          <cell r="AM159">
            <v>0</v>
          </cell>
          <cell r="AN159">
            <v>90</v>
          </cell>
          <cell r="AO159">
            <v>0</v>
          </cell>
          <cell r="AP159">
            <v>115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15</v>
          </cell>
          <cell r="AX159">
            <v>0</v>
          </cell>
          <cell r="AY159">
            <v>0</v>
          </cell>
          <cell r="AZ159">
            <v>0</v>
          </cell>
          <cell r="BA159">
            <v>315026</v>
          </cell>
          <cell r="BB159">
            <v>5</v>
          </cell>
          <cell r="BC159">
            <v>315021</v>
          </cell>
        </row>
        <row r="160">
          <cell r="C160" t="str">
            <v>GINLINE6</v>
          </cell>
          <cell r="D160">
            <v>27360</v>
          </cell>
          <cell r="E160">
            <v>20850</v>
          </cell>
          <cell r="F160">
            <v>620</v>
          </cell>
          <cell r="G160">
            <v>0</v>
          </cell>
          <cell r="H160">
            <v>620</v>
          </cell>
          <cell r="I160">
            <v>0</v>
          </cell>
          <cell r="J160">
            <v>5890</v>
          </cell>
          <cell r="K160">
            <v>2219</v>
          </cell>
          <cell r="L160">
            <v>555</v>
          </cell>
          <cell r="M160">
            <v>450</v>
          </cell>
          <cell r="N160">
            <v>0</v>
          </cell>
          <cell r="O160">
            <v>105</v>
          </cell>
          <cell r="P160">
            <v>0</v>
          </cell>
          <cell r="Q160">
            <v>276</v>
          </cell>
          <cell r="R160">
            <v>247</v>
          </cell>
          <cell r="S160">
            <v>0</v>
          </cell>
          <cell r="T160">
            <v>0</v>
          </cell>
          <cell r="U160">
            <v>29</v>
          </cell>
          <cell r="V160">
            <v>0</v>
          </cell>
          <cell r="W160">
            <v>2015</v>
          </cell>
          <cell r="X160">
            <v>686</v>
          </cell>
          <cell r="Y160">
            <v>1329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825</v>
          </cell>
          <cell r="AG160">
            <v>0</v>
          </cell>
          <cell r="AH160">
            <v>0</v>
          </cell>
          <cell r="AI160">
            <v>365</v>
          </cell>
          <cell r="AJ160">
            <v>35</v>
          </cell>
          <cell r="AK160">
            <v>205</v>
          </cell>
          <cell r="AL160">
            <v>0</v>
          </cell>
          <cell r="AM160">
            <v>0</v>
          </cell>
          <cell r="AN160">
            <v>90</v>
          </cell>
          <cell r="AO160">
            <v>0</v>
          </cell>
          <cell r="AP160">
            <v>115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15</v>
          </cell>
          <cell r="AX160">
            <v>0</v>
          </cell>
          <cell r="AY160">
            <v>0</v>
          </cell>
          <cell r="AZ160">
            <v>0</v>
          </cell>
          <cell r="BA160">
            <v>315026</v>
          </cell>
          <cell r="BB160">
            <v>5</v>
          </cell>
          <cell r="BC160">
            <v>315021</v>
          </cell>
        </row>
        <row r="161">
          <cell r="C161" t="str">
            <v>CPH INJ-STERILIZATION</v>
          </cell>
          <cell r="D161">
            <v>57600</v>
          </cell>
          <cell r="E161">
            <v>44010</v>
          </cell>
          <cell r="F161">
            <v>1118</v>
          </cell>
          <cell r="G161">
            <v>311</v>
          </cell>
          <cell r="H161">
            <v>807</v>
          </cell>
          <cell r="I161">
            <v>0</v>
          </cell>
          <cell r="J161">
            <v>12472</v>
          </cell>
          <cell r="K161">
            <v>5284</v>
          </cell>
          <cell r="L161">
            <v>568</v>
          </cell>
          <cell r="M161">
            <v>468</v>
          </cell>
          <cell r="N161">
            <v>0</v>
          </cell>
          <cell r="O161">
            <v>100</v>
          </cell>
          <cell r="P161">
            <v>0</v>
          </cell>
          <cell r="Q161">
            <v>220</v>
          </cell>
          <cell r="R161">
            <v>212</v>
          </cell>
          <cell r="S161">
            <v>8</v>
          </cell>
          <cell r="T161">
            <v>0</v>
          </cell>
          <cell r="U161">
            <v>0</v>
          </cell>
          <cell r="V161">
            <v>0</v>
          </cell>
          <cell r="W161">
            <v>3311</v>
          </cell>
          <cell r="X161">
            <v>2685</v>
          </cell>
          <cell r="Y161">
            <v>626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3089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100</v>
          </cell>
          <cell r="AO161">
            <v>2989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520</v>
          </cell>
          <cell r="BB161">
            <v>0</v>
          </cell>
          <cell r="BC161">
            <v>520</v>
          </cell>
        </row>
        <row r="162">
          <cell r="C162" t="str">
            <v>ICF104</v>
          </cell>
          <cell r="D162">
            <v>28800</v>
          </cell>
          <cell r="E162">
            <v>21780</v>
          </cell>
          <cell r="F162">
            <v>577</v>
          </cell>
          <cell r="G162">
            <v>75</v>
          </cell>
          <cell r="H162">
            <v>502</v>
          </cell>
          <cell r="I162">
            <v>0</v>
          </cell>
          <cell r="J162">
            <v>6443</v>
          </cell>
          <cell r="K162">
            <v>3272</v>
          </cell>
          <cell r="L162">
            <v>261</v>
          </cell>
          <cell r="M162">
            <v>221</v>
          </cell>
          <cell r="N162">
            <v>0</v>
          </cell>
          <cell r="O162">
            <v>40</v>
          </cell>
          <cell r="P162">
            <v>0</v>
          </cell>
          <cell r="Q162">
            <v>220</v>
          </cell>
          <cell r="R162">
            <v>212</v>
          </cell>
          <cell r="S162">
            <v>8</v>
          </cell>
          <cell r="T162">
            <v>0</v>
          </cell>
          <cell r="U162">
            <v>0</v>
          </cell>
          <cell r="V162">
            <v>0</v>
          </cell>
          <cell r="W162">
            <v>2175</v>
          </cell>
          <cell r="X162">
            <v>1980</v>
          </cell>
          <cell r="Y162">
            <v>195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515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40</v>
          </cell>
          <cell r="AO162">
            <v>475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341</v>
          </cell>
          <cell r="BB162">
            <v>0</v>
          </cell>
          <cell r="BC162">
            <v>341</v>
          </cell>
        </row>
        <row r="163">
          <cell r="C163" t="str">
            <v>ICF105</v>
          </cell>
          <cell r="D163">
            <v>28800</v>
          </cell>
          <cell r="E163">
            <v>22230</v>
          </cell>
          <cell r="F163">
            <v>541</v>
          </cell>
          <cell r="G163">
            <v>236</v>
          </cell>
          <cell r="H163">
            <v>305</v>
          </cell>
          <cell r="I163">
            <v>0</v>
          </cell>
          <cell r="J163">
            <v>6029</v>
          </cell>
          <cell r="K163">
            <v>2012</v>
          </cell>
          <cell r="L163">
            <v>307</v>
          </cell>
          <cell r="M163">
            <v>247</v>
          </cell>
          <cell r="N163">
            <v>0</v>
          </cell>
          <cell r="O163">
            <v>60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1136</v>
          </cell>
          <cell r="X163">
            <v>705</v>
          </cell>
          <cell r="Y163">
            <v>431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2574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60</v>
          </cell>
          <cell r="AO163">
            <v>2514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179</v>
          </cell>
          <cell r="BB163">
            <v>0</v>
          </cell>
          <cell r="BC163">
            <v>179</v>
          </cell>
        </row>
        <row r="164">
          <cell r="C164" t="str">
            <v>CPH-SECONDARY PACKING</v>
          </cell>
          <cell r="D164">
            <v>54720</v>
          </cell>
          <cell r="E164">
            <v>33240</v>
          </cell>
          <cell r="F164">
            <v>1315</v>
          </cell>
          <cell r="G164">
            <v>365</v>
          </cell>
          <cell r="H164">
            <v>950</v>
          </cell>
          <cell r="I164">
            <v>0</v>
          </cell>
          <cell r="J164">
            <v>20165</v>
          </cell>
          <cell r="K164">
            <v>7520</v>
          </cell>
          <cell r="L164">
            <v>4732</v>
          </cell>
          <cell r="M164">
            <v>2707</v>
          </cell>
          <cell r="N164">
            <v>170</v>
          </cell>
          <cell r="O164">
            <v>260</v>
          </cell>
          <cell r="P164">
            <v>1595</v>
          </cell>
          <cell r="Q164">
            <v>350</v>
          </cell>
          <cell r="R164">
            <v>270</v>
          </cell>
          <cell r="S164">
            <v>80</v>
          </cell>
          <cell r="T164">
            <v>0</v>
          </cell>
          <cell r="U164">
            <v>0</v>
          </cell>
          <cell r="V164">
            <v>0</v>
          </cell>
          <cell r="W164">
            <v>3130</v>
          </cell>
          <cell r="X164">
            <v>1830</v>
          </cell>
          <cell r="Y164">
            <v>700</v>
          </cell>
          <cell r="Z164">
            <v>365</v>
          </cell>
          <cell r="AA164">
            <v>0</v>
          </cell>
          <cell r="AB164">
            <v>235</v>
          </cell>
          <cell r="AC164">
            <v>0</v>
          </cell>
          <cell r="AD164">
            <v>0</v>
          </cell>
          <cell r="AE164">
            <v>0</v>
          </cell>
          <cell r="AF164">
            <v>4433</v>
          </cell>
          <cell r="AG164">
            <v>170</v>
          </cell>
          <cell r="AH164">
            <v>0</v>
          </cell>
          <cell r="AI164">
            <v>1250</v>
          </cell>
          <cell r="AJ164">
            <v>0</v>
          </cell>
          <cell r="AK164">
            <v>840</v>
          </cell>
          <cell r="AL164">
            <v>1115</v>
          </cell>
          <cell r="AM164">
            <v>15</v>
          </cell>
          <cell r="AN164">
            <v>0</v>
          </cell>
          <cell r="AO164">
            <v>130</v>
          </cell>
          <cell r="AP164">
            <v>400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513</v>
          </cell>
          <cell r="AX164">
            <v>0</v>
          </cell>
          <cell r="AY164">
            <v>0</v>
          </cell>
          <cell r="AZ164">
            <v>0</v>
          </cell>
          <cell r="BA164">
            <v>1432883</v>
          </cell>
          <cell r="BB164">
            <v>431</v>
          </cell>
          <cell r="BC164">
            <v>1432452</v>
          </cell>
        </row>
        <row r="165">
          <cell r="C165" t="str">
            <v>PCF101</v>
          </cell>
          <cell r="D165">
            <v>27360</v>
          </cell>
          <cell r="E165">
            <v>10980</v>
          </cell>
          <cell r="F165">
            <v>845</v>
          </cell>
          <cell r="G165">
            <v>205</v>
          </cell>
          <cell r="H165">
            <v>640</v>
          </cell>
          <cell r="I165">
            <v>0</v>
          </cell>
          <cell r="J165">
            <v>15535</v>
          </cell>
          <cell r="K165">
            <v>5140</v>
          </cell>
          <cell r="L165">
            <v>4585</v>
          </cell>
          <cell r="M165">
            <v>2560</v>
          </cell>
          <cell r="N165">
            <v>170</v>
          </cell>
          <cell r="O165">
            <v>260</v>
          </cell>
          <cell r="P165">
            <v>1595</v>
          </cell>
          <cell r="Q165">
            <v>350</v>
          </cell>
          <cell r="R165">
            <v>270</v>
          </cell>
          <cell r="S165">
            <v>80</v>
          </cell>
          <cell r="T165">
            <v>0</v>
          </cell>
          <cell r="U165">
            <v>0</v>
          </cell>
          <cell r="V165">
            <v>0</v>
          </cell>
          <cell r="W165">
            <v>2715</v>
          </cell>
          <cell r="X165">
            <v>1735</v>
          </cell>
          <cell r="Y165">
            <v>615</v>
          </cell>
          <cell r="Z165">
            <v>365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2745</v>
          </cell>
          <cell r="AG165">
            <v>170</v>
          </cell>
          <cell r="AH165">
            <v>0</v>
          </cell>
          <cell r="AI165">
            <v>1040</v>
          </cell>
          <cell r="AJ165">
            <v>0</v>
          </cell>
          <cell r="AK165">
            <v>735</v>
          </cell>
          <cell r="AL165">
            <v>180</v>
          </cell>
          <cell r="AM165">
            <v>0</v>
          </cell>
          <cell r="AN165">
            <v>0</v>
          </cell>
          <cell r="AO165">
            <v>0</v>
          </cell>
          <cell r="AP165">
            <v>300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320</v>
          </cell>
          <cell r="AX165">
            <v>0</v>
          </cell>
          <cell r="AY165">
            <v>0</v>
          </cell>
          <cell r="AZ165">
            <v>0</v>
          </cell>
          <cell r="BA165">
            <v>1253074</v>
          </cell>
          <cell r="BB165">
            <v>296</v>
          </cell>
          <cell r="BC165">
            <v>1252778</v>
          </cell>
        </row>
        <row r="166">
          <cell r="C166" t="str">
            <v>PCF102</v>
          </cell>
          <cell r="D166">
            <v>27360</v>
          </cell>
          <cell r="E166">
            <v>22260</v>
          </cell>
          <cell r="F166">
            <v>470</v>
          </cell>
          <cell r="G166">
            <v>160</v>
          </cell>
          <cell r="H166">
            <v>310</v>
          </cell>
          <cell r="I166">
            <v>0</v>
          </cell>
          <cell r="J166">
            <v>4630</v>
          </cell>
          <cell r="K166">
            <v>2380</v>
          </cell>
          <cell r="L166">
            <v>147</v>
          </cell>
          <cell r="M166">
            <v>147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415</v>
          </cell>
          <cell r="X166">
            <v>95</v>
          </cell>
          <cell r="Y166">
            <v>85</v>
          </cell>
          <cell r="Z166">
            <v>0</v>
          </cell>
          <cell r="AA166">
            <v>0</v>
          </cell>
          <cell r="AB166">
            <v>235</v>
          </cell>
          <cell r="AC166">
            <v>0</v>
          </cell>
          <cell r="AD166">
            <v>0</v>
          </cell>
          <cell r="AE166">
            <v>0</v>
          </cell>
          <cell r="AF166">
            <v>1688</v>
          </cell>
          <cell r="AG166">
            <v>0</v>
          </cell>
          <cell r="AH166">
            <v>0</v>
          </cell>
          <cell r="AI166">
            <v>210</v>
          </cell>
          <cell r="AJ166">
            <v>0</v>
          </cell>
          <cell r="AK166">
            <v>105</v>
          </cell>
          <cell r="AL166">
            <v>935</v>
          </cell>
          <cell r="AM166">
            <v>15</v>
          </cell>
          <cell r="AN166">
            <v>0</v>
          </cell>
          <cell r="AO166">
            <v>130</v>
          </cell>
          <cell r="AP166">
            <v>100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193</v>
          </cell>
          <cell r="AX166">
            <v>0</v>
          </cell>
          <cell r="AY166">
            <v>0</v>
          </cell>
          <cell r="AZ166">
            <v>0</v>
          </cell>
          <cell r="BA166">
            <v>179809</v>
          </cell>
          <cell r="BB166">
            <v>135</v>
          </cell>
          <cell r="BC166">
            <v>179674</v>
          </cell>
        </row>
      </sheetData>
      <sheetData sheetId="13" refreshError="1">
        <row r="5">
          <cell r="C5" t="str">
            <v>POT</v>
          </cell>
        </row>
        <row r="109">
          <cell r="B109" t="str">
            <v>PROSES( Menit )</v>
          </cell>
          <cell r="C109" t="str">
            <v>POT</v>
          </cell>
          <cell r="D109" t="str">
            <v>POT Shift Tersedia</v>
          </cell>
          <cell r="E109" t="str">
            <v>Unschedule Time</v>
          </cell>
          <cell r="F109" t="str">
            <v>Unschedule Time Shift Tersedia</v>
          </cell>
          <cell r="G109" t="str">
            <v>Waktu Beproduksi</v>
          </cell>
          <cell r="H109" t="str">
            <v>Waktu Beproduksi Tersedia</v>
          </cell>
          <cell r="I109" t="str">
            <v>Idle Time</v>
          </cell>
          <cell r="J109" t="str">
            <v>Idle Time Tersedia</v>
          </cell>
          <cell r="K109" t="str">
            <v>L2</v>
          </cell>
          <cell r="L109" t="str">
            <v>L21</v>
          </cell>
          <cell r="M109" t="str">
            <v>L22</v>
          </cell>
          <cell r="N109" t="str">
            <v>IG</v>
          </cell>
          <cell r="O109" t="str">
            <v>PPT</v>
          </cell>
          <cell r="P109" t="str">
            <v>PPT Tersedia</v>
          </cell>
          <cell r="Q109" t="str">
            <v>R</v>
          </cell>
          <cell r="R109" t="str">
            <v>R Tersedia</v>
          </cell>
          <cell r="S109" t="str">
            <v>DT</v>
          </cell>
          <cell r="T109" t="str">
            <v>DT Tersedia</v>
          </cell>
          <cell r="U109" t="str">
            <v>Setup</v>
          </cell>
          <cell r="V109" t="str">
            <v>P6</v>
          </cell>
          <cell r="W109" t="str">
            <v>P5</v>
          </cell>
          <cell r="X109" t="str">
            <v>P8</v>
          </cell>
          <cell r="Y109" t="str">
            <v>P9</v>
          </cell>
          <cell r="Z109" t="str">
            <v>Breakdown</v>
          </cell>
          <cell r="AA109" t="str">
            <v>M1</v>
          </cell>
          <cell r="AB109" t="str">
            <v>M2</v>
          </cell>
          <cell r="AC109" t="str">
            <v>M4</v>
          </cell>
          <cell r="AD109" t="str">
            <v>M8</v>
          </cell>
          <cell r="AE109" t="str">
            <v>M9</v>
          </cell>
          <cell r="AF109" t="str">
            <v>Clean</v>
          </cell>
          <cell r="AG109" t="str">
            <v>P2</v>
          </cell>
          <cell r="AH109" t="str">
            <v>P4</v>
          </cell>
          <cell r="AI109" t="str">
            <v>P17</v>
          </cell>
          <cell r="AJ109" t="str">
            <v>P19</v>
          </cell>
          <cell r="AK109" t="str">
            <v>P12</v>
          </cell>
          <cell r="AL109" t="str">
            <v>Trial</v>
          </cell>
          <cell r="AM109" t="str">
            <v>R1</v>
          </cell>
          <cell r="AN109" t="str">
            <v>R2</v>
          </cell>
          <cell r="AO109" t="str">
            <v>Waiting</v>
          </cell>
          <cell r="AP109" t="str">
            <v>L1</v>
          </cell>
          <cell r="AQ109" t="str">
            <v>L3</v>
          </cell>
          <cell r="AR109" t="str">
            <v>H1</v>
          </cell>
          <cell r="AS109" t="str">
            <v>H2</v>
          </cell>
          <cell r="AT109" t="str">
            <v>H4</v>
          </cell>
          <cell r="AU109" t="str">
            <v>H6</v>
          </cell>
          <cell r="AV109" t="str">
            <v>H7</v>
          </cell>
          <cell r="AW109" t="str">
            <v>H8</v>
          </cell>
          <cell r="AX109" t="str">
            <v>P10</v>
          </cell>
          <cell r="AY109" t="str">
            <v>P11</v>
          </cell>
          <cell r="AZ109" t="str">
            <v>P13</v>
          </cell>
          <cell r="BA109" t="str">
            <v>P14</v>
          </cell>
          <cell r="BB109" t="str">
            <v>P16</v>
          </cell>
          <cell r="BC109" t="str">
            <v>M5</v>
          </cell>
          <cell r="BD109" t="str">
            <v>M6</v>
          </cell>
          <cell r="BE109" t="str">
            <v>M7</v>
          </cell>
          <cell r="BF109" t="str">
            <v>Q1</v>
          </cell>
          <cell r="BG109" t="str">
            <v>Q2</v>
          </cell>
          <cell r="BH109" t="str">
            <v>Q3</v>
          </cell>
          <cell r="BI109" t="str">
            <v>Q4</v>
          </cell>
          <cell r="BJ109" t="str">
            <v>Total Output</v>
          </cell>
          <cell r="BK109" t="str">
            <v>Reject Output</v>
          </cell>
          <cell r="BL109" t="str">
            <v>Good Output</v>
          </cell>
        </row>
        <row r="110">
          <cell r="B110" t="str">
            <v>NBL SOL-MIXING</v>
          </cell>
          <cell r="C110">
            <v>86400</v>
          </cell>
          <cell r="D110">
            <v>55800</v>
          </cell>
          <cell r="E110">
            <v>56490</v>
          </cell>
          <cell r="F110">
            <v>25890</v>
          </cell>
          <cell r="G110">
            <v>29910</v>
          </cell>
          <cell r="H110">
            <v>29910</v>
          </cell>
          <cell r="I110">
            <v>3402</v>
          </cell>
          <cell r="J110">
            <v>3402</v>
          </cell>
          <cell r="K110">
            <v>3092</v>
          </cell>
          <cell r="L110">
            <v>52</v>
          </cell>
          <cell r="M110">
            <v>3040</v>
          </cell>
          <cell r="N110">
            <v>310</v>
          </cell>
          <cell r="O110">
            <v>26508</v>
          </cell>
          <cell r="P110">
            <v>26508</v>
          </cell>
          <cell r="Q110">
            <v>4293</v>
          </cell>
          <cell r="R110">
            <v>4293</v>
          </cell>
          <cell r="S110">
            <v>22215</v>
          </cell>
          <cell r="T110">
            <v>22215</v>
          </cell>
          <cell r="U110">
            <v>715</v>
          </cell>
          <cell r="V110">
            <v>715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11758</v>
          </cell>
          <cell r="AG110">
            <v>7247</v>
          </cell>
          <cell r="AH110">
            <v>3804</v>
          </cell>
          <cell r="AI110">
            <v>96</v>
          </cell>
          <cell r="AJ110">
            <v>0</v>
          </cell>
          <cell r="AK110">
            <v>611</v>
          </cell>
          <cell r="AL110">
            <v>690</v>
          </cell>
          <cell r="AM110">
            <v>0</v>
          </cell>
          <cell r="AN110">
            <v>690</v>
          </cell>
          <cell r="AO110">
            <v>9052</v>
          </cell>
          <cell r="AP110">
            <v>255</v>
          </cell>
          <cell r="AQ110">
            <v>0</v>
          </cell>
          <cell r="AR110">
            <v>1380</v>
          </cell>
          <cell r="AS110">
            <v>0</v>
          </cell>
          <cell r="AT110">
            <v>1095</v>
          </cell>
          <cell r="AU110">
            <v>0</v>
          </cell>
          <cell r="AV110">
            <v>0</v>
          </cell>
          <cell r="AW110">
            <v>0</v>
          </cell>
          <cell r="AX110">
            <v>5651</v>
          </cell>
          <cell r="AY110">
            <v>17</v>
          </cell>
          <cell r="AZ110">
            <v>0</v>
          </cell>
          <cell r="BA110">
            <v>432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222</v>
          </cell>
          <cell r="BG110">
            <v>0</v>
          </cell>
          <cell r="BH110">
            <v>0</v>
          </cell>
          <cell r="BI110">
            <v>0</v>
          </cell>
          <cell r="BJ110">
            <v>7483.03</v>
          </cell>
          <cell r="BK110">
            <v>0</v>
          </cell>
          <cell r="BL110">
            <v>7483.03</v>
          </cell>
        </row>
        <row r="111">
          <cell r="B111" t="str">
            <v>MIX113</v>
          </cell>
          <cell r="C111">
            <v>28800</v>
          </cell>
          <cell r="D111">
            <v>18600</v>
          </cell>
          <cell r="E111">
            <v>12060</v>
          </cell>
          <cell r="F111">
            <v>1860</v>
          </cell>
          <cell r="G111">
            <v>16740</v>
          </cell>
          <cell r="H111">
            <v>16740</v>
          </cell>
          <cell r="I111">
            <v>2645</v>
          </cell>
          <cell r="J111">
            <v>2645</v>
          </cell>
          <cell r="K111">
            <v>2525</v>
          </cell>
          <cell r="L111">
            <v>0</v>
          </cell>
          <cell r="M111">
            <v>2525</v>
          </cell>
          <cell r="N111">
            <v>120</v>
          </cell>
          <cell r="O111">
            <v>14095</v>
          </cell>
          <cell r="P111">
            <v>14095</v>
          </cell>
          <cell r="Q111">
            <v>901</v>
          </cell>
          <cell r="R111">
            <v>901</v>
          </cell>
          <cell r="S111">
            <v>13194</v>
          </cell>
          <cell r="T111">
            <v>13194</v>
          </cell>
          <cell r="U111">
            <v>402</v>
          </cell>
          <cell r="V111">
            <v>402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4876</v>
          </cell>
          <cell r="AG111">
            <v>2300</v>
          </cell>
          <cell r="AH111">
            <v>2280</v>
          </cell>
          <cell r="AI111">
            <v>0</v>
          </cell>
          <cell r="AJ111">
            <v>0</v>
          </cell>
          <cell r="AK111">
            <v>296</v>
          </cell>
          <cell r="AL111">
            <v>690</v>
          </cell>
          <cell r="AM111">
            <v>0</v>
          </cell>
          <cell r="AN111">
            <v>690</v>
          </cell>
          <cell r="AO111">
            <v>7226</v>
          </cell>
          <cell r="AP111">
            <v>110</v>
          </cell>
          <cell r="AQ111">
            <v>0</v>
          </cell>
          <cell r="AR111">
            <v>660</v>
          </cell>
          <cell r="AS111">
            <v>0</v>
          </cell>
          <cell r="AT111">
            <v>510</v>
          </cell>
          <cell r="AU111">
            <v>0</v>
          </cell>
          <cell r="AV111">
            <v>0</v>
          </cell>
          <cell r="AW111">
            <v>0</v>
          </cell>
          <cell r="AX111">
            <v>5651</v>
          </cell>
          <cell r="AY111">
            <v>17</v>
          </cell>
          <cell r="AZ111">
            <v>0</v>
          </cell>
          <cell r="BA111">
            <v>56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222</v>
          </cell>
          <cell r="BG111">
            <v>0</v>
          </cell>
          <cell r="BH111">
            <v>0</v>
          </cell>
          <cell r="BI111">
            <v>0</v>
          </cell>
          <cell r="BJ111">
            <v>4964.8599999999997</v>
          </cell>
          <cell r="BK111">
            <v>0</v>
          </cell>
          <cell r="BL111">
            <v>4964.8599999999997</v>
          </cell>
        </row>
        <row r="112">
          <cell r="B112" t="str">
            <v>LMIXSOL1</v>
          </cell>
          <cell r="C112">
            <v>28800</v>
          </cell>
          <cell r="D112">
            <v>18600</v>
          </cell>
          <cell r="E112">
            <v>21270</v>
          </cell>
          <cell r="F112">
            <v>11070</v>
          </cell>
          <cell r="G112">
            <v>7530</v>
          </cell>
          <cell r="H112">
            <v>7530</v>
          </cell>
          <cell r="I112">
            <v>592</v>
          </cell>
          <cell r="J112">
            <v>592</v>
          </cell>
          <cell r="K112">
            <v>402</v>
          </cell>
          <cell r="L112">
            <v>52</v>
          </cell>
          <cell r="M112">
            <v>350</v>
          </cell>
          <cell r="N112">
            <v>190</v>
          </cell>
          <cell r="O112">
            <v>6938</v>
          </cell>
          <cell r="P112">
            <v>6938</v>
          </cell>
          <cell r="Q112">
            <v>1575</v>
          </cell>
          <cell r="R112">
            <v>1575</v>
          </cell>
          <cell r="S112">
            <v>5363</v>
          </cell>
          <cell r="T112">
            <v>5363</v>
          </cell>
          <cell r="U112">
            <v>198</v>
          </cell>
          <cell r="V112">
            <v>198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4011</v>
          </cell>
          <cell r="AG112">
            <v>2661</v>
          </cell>
          <cell r="AH112">
            <v>1061</v>
          </cell>
          <cell r="AI112">
            <v>94</v>
          </cell>
          <cell r="AJ112">
            <v>0</v>
          </cell>
          <cell r="AK112">
            <v>195</v>
          </cell>
          <cell r="AL112">
            <v>0</v>
          </cell>
          <cell r="AM112">
            <v>0</v>
          </cell>
          <cell r="AN112">
            <v>0</v>
          </cell>
          <cell r="AO112">
            <v>1154</v>
          </cell>
          <cell r="AP112">
            <v>120</v>
          </cell>
          <cell r="AQ112">
            <v>0</v>
          </cell>
          <cell r="AR112">
            <v>450</v>
          </cell>
          <cell r="AS112">
            <v>0</v>
          </cell>
          <cell r="AT112">
            <v>330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254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779.04</v>
          </cell>
          <cell r="BK112">
            <v>0</v>
          </cell>
          <cell r="BL112">
            <v>779.04</v>
          </cell>
        </row>
        <row r="113">
          <cell r="B113" t="str">
            <v>LMIXSOL2</v>
          </cell>
          <cell r="C113">
            <v>28800</v>
          </cell>
          <cell r="D113">
            <v>18600</v>
          </cell>
          <cell r="E113">
            <v>23160</v>
          </cell>
          <cell r="F113">
            <v>12960</v>
          </cell>
          <cell r="G113">
            <v>5640</v>
          </cell>
          <cell r="H113">
            <v>5640</v>
          </cell>
          <cell r="I113">
            <v>165</v>
          </cell>
          <cell r="J113">
            <v>165</v>
          </cell>
          <cell r="K113">
            <v>165</v>
          </cell>
          <cell r="L113">
            <v>0</v>
          </cell>
          <cell r="M113">
            <v>165</v>
          </cell>
          <cell r="N113">
            <v>0</v>
          </cell>
          <cell r="O113">
            <v>5475</v>
          </cell>
          <cell r="P113">
            <v>5475</v>
          </cell>
          <cell r="Q113">
            <v>1817</v>
          </cell>
          <cell r="R113">
            <v>1817</v>
          </cell>
          <cell r="S113">
            <v>3658</v>
          </cell>
          <cell r="T113">
            <v>3658</v>
          </cell>
          <cell r="U113">
            <v>115</v>
          </cell>
          <cell r="V113">
            <v>115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2871</v>
          </cell>
          <cell r="AG113">
            <v>2286</v>
          </cell>
          <cell r="AH113">
            <v>463</v>
          </cell>
          <cell r="AI113">
            <v>2</v>
          </cell>
          <cell r="AJ113">
            <v>0</v>
          </cell>
          <cell r="AK113">
            <v>120</v>
          </cell>
          <cell r="AL113">
            <v>0</v>
          </cell>
          <cell r="AM113">
            <v>0</v>
          </cell>
          <cell r="AN113">
            <v>0</v>
          </cell>
          <cell r="AO113">
            <v>672</v>
          </cell>
          <cell r="AP113">
            <v>25</v>
          </cell>
          <cell r="AQ113">
            <v>0</v>
          </cell>
          <cell r="AR113">
            <v>270</v>
          </cell>
          <cell r="AS113">
            <v>0</v>
          </cell>
          <cell r="AT113">
            <v>255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122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1739.13</v>
          </cell>
          <cell r="BK113">
            <v>0</v>
          </cell>
          <cell r="BL113">
            <v>1739.13</v>
          </cell>
        </row>
        <row r="114">
          <cell r="B114" t="str">
            <v>NBL SOL-COATING</v>
          </cell>
          <cell r="C114">
            <v>54720</v>
          </cell>
          <cell r="D114">
            <v>18240</v>
          </cell>
          <cell r="E114">
            <v>45960</v>
          </cell>
          <cell r="F114">
            <v>9480</v>
          </cell>
          <cell r="G114">
            <v>8760</v>
          </cell>
          <cell r="H114">
            <v>8760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8760</v>
          </cell>
          <cell r="P114">
            <v>8760</v>
          </cell>
          <cell r="Q114">
            <v>3695</v>
          </cell>
          <cell r="R114">
            <v>3695</v>
          </cell>
          <cell r="S114">
            <v>5065</v>
          </cell>
          <cell r="T114">
            <v>5065</v>
          </cell>
          <cell r="U114">
            <v>170</v>
          </cell>
          <cell r="V114">
            <v>155</v>
          </cell>
          <cell r="W114">
            <v>0</v>
          </cell>
          <cell r="X114">
            <v>15</v>
          </cell>
          <cell r="Y114">
            <v>0</v>
          </cell>
          <cell r="Z114">
            <v>125</v>
          </cell>
          <cell r="AA114">
            <v>70</v>
          </cell>
          <cell r="AB114">
            <v>0</v>
          </cell>
          <cell r="AC114">
            <v>0</v>
          </cell>
          <cell r="AD114">
            <v>55</v>
          </cell>
          <cell r="AE114">
            <v>0</v>
          </cell>
          <cell r="AF114">
            <v>3435</v>
          </cell>
          <cell r="AG114">
            <v>960</v>
          </cell>
          <cell r="AH114">
            <v>2145</v>
          </cell>
          <cell r="AI114">
            <v>0</v>
          </cell>
          <cell r="AJ114">
            <v>0</v>
          </cell>
          <cell r="AK114">
            <v>330</v>
          </cell>
          <cell r="AL114">
            <v>0</v>
          </cell>
          <cell r="AM114">
            <v>0</v>
          </cell>
          <cell r="AN114">
            <v>0</v>
          </cell>
          <cell r="AO114">
            <v>1335</v>
          </cell>
          <cell r="AP114">
            <v>0</v>
          </cell>
          <cell r="AQ114">
            <v>0</v>
          </cell>
          <cell r="AR114">
            <v>390</v>
          </cell>
          <cell r="AS114">
            <v>0</v>
          </cell>
          <cell r="AT114">
            <v>325</v>
          </cell>
          <cell r="AU114">
            <v>0</v>
          </cell>
          <cell r="AV114">
            <v>0</v>
          </cell>
          <cell r="AW114">
            <v>0</v>
          </cell>
          <cell r="AX114">
            <v>270</v>
          </cell>
          <cell r="AY114">
            <v>220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85</v>
          </cell>
          <cell r="BG114">
            <v>45</v>
          </cell>
          <cell r="BH114">
            <v>0</v>
          </cell>
          <cell r="BI114">
            <v>0</v>
          </cell>
          <cell r="BJ114">
            <v>1935.44</v>
          </cell>
          <cell r="BK114">
            <v>0.78</v>
          </cell>
          <cell r="BL114">
            <v>1934.66</v>
          </cell>
        </row>
        <row r="115">
          <cell r="B115" t="str">
            <v>COT101</v>
          </cell>
          <cell r="C115">
            <v>27360</v>
          </cell>
          <cell r="D115">
            <v>9120</v>
          </cell>
          <cell r="E115">
            <v>23940</v>
          </cell>
          <cell r="F115">
            <v>5700</v>
          </cell>
          <cell r="G115">
            <v>3420</v>
          </cell>
          <cell r="H115">
            <v>3420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3420</v>
          </cell>
          <cell r="P115">
            <v>3420</v>
          </cell>
          <cell r="Q115">
            <v>1210</v>
          </cell>
          <cell r="R115">
            <v>1210</v>
          </cell>
          <cell r="S115">
            <v>2210</v>
          </cell>
          <cell r="T115">
            <v>2210</v>
          </cell>
          <cell r="U115">
            <v>50</v>
          </cell>
          <cell r="V115">
            <v>50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1625</v>
          </cell>
          <cell r="AG115">
            <v>320</v>
          </cell>
          <cell r="AH115">
            <v>1175</v>
          </cell>
          <cell r="AI115">
            <v>0</v>
          </cell>
          <cell r="AJ115">
            <v>0</v>
          </cell>
          <cell r="AK115">
            <v>130</v>
          </cell>
          <cell r="AL115">
            <v>0</v>
          </cell>
          <cell r="AM115">
            <v>0</v>
          </cell>
          <cell r="AN115">
            <v>0</v>
          </cell>
          <cell r="AO115">
            <v>535</v>
          </cell>
          <cell r="AP115">
            <v>0</v>
          </cell>
          <cell r="AQ115">
            <v>0</v>
          </cell>
          <cell r="AR115">
            <v>180</v>
          </cell>
          <cell r="AS115">
            <v>0</v>
          </cell>
          <cell r="AT115">
            <v>115</v>
          </cell>
          <cell r="AU115">
            <v>0</v>
          </cell>
          <cell r="AV115">
            <v>0</v>
          </cell>
          <cell r="AW115">
            <v>0</v>
          </cell>
          <cell r="AX115">
            <v>100</v>
          </cell>
          <cell r="AY115">
            <v>100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40</v>
          </cell>
          <cell r="BG115">
            <v>0</v>
          </cell>
          <cell r="BH115">
            <v>0</v>
          </cell>
          <cell r="BI115">
            <v>0</v>
          </cell>
          <cell r="BJ115">
            <v>304.52</v>
          </cell>
          <cell r="BK115">
            <v>0.26</v>
          </cell>
          <cell r="BL115">
            <v>304.26</v>
          </cell>
        </row>
        <row r="116">
          <cell r="B116" t="str">
            <v>COT102</v>
          </cell>
          <cell r="C116">
            <v>27360</v>
          </cell>
          <cell r="D116">
            <v>9120</v>
          </cell>
          <cell r="E116">
            <v>22020</v>
          </cell>
          <cell r="F116">
            <v>3780</v>
          </cell>
          <cell r="G116">
            <v>5340</v>
          </cell>
          <cell r="H116">
            <v>5340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5340</v>
          </cell>
          <cell r="P116">
            <v>5340</v>
          </cell>
          <cell r="Q116">
            <v>2485</v>
          </cell>
          <cell r="R116">
            <v>2485</v>
          </cell>
          <cell r="S116">
            <v>2855</v>
          </cell>
          <cell r="T116">
            <v>2855</v>
          </cell>
          <cell r="U116">
            <v>120</v>
          </cell>
          <cell r="V116">
            <v>105</v>
          </cell>
          <cell r="W116">
            <v>0</v>
          </cell>
          <cell r="X116">
            <v>15</v>
          </cell>
          <cell r="Y116">
            <v>0</v>
          </cell>
          <cell r="Z116">
            <v>125</v>
          </cell>
          <cell r="AA116">
            <v>70</v>
          </cell>
          <cell r="AB116">
            <v>0</v>
          </cell>
          <cell r="AC116">
            <v>0</v>
          </cell>
          <cell r="AD116">
            <v>55</v>
          </cell>
          <cell r="AE116">
            <v>0</v>
          </cell>
          <cell r="AF116">
            <v>1810</v>
          </cell>
          <cell r="AG116">
            <v>640</v>
          </cell>
          <cell r="AH116">
            <v>970</v>
          </cell>
          <cell r="AI116">
            <v>0</v>
          </cell>
          <cell r="AJ116">
            <v>0</v>
          </cell>
          <cell r="AK116">
            <v>200</v>
          </cell>
          <cell r="AL116">
            <v>0</v>
          </cell>
          <cell r="AM116">
            <v>0</v>
          </cell>
          <cell r="AN116">
            <v>0</v>
          </cell>
          <cell r="AO116">
            <v>800</v>
          </cell>
          <cell r="AP116">
            <v>0</v>
          </cell>
          <cell r="AQ116">
            <v>0</v>
          </cell>
          <cell r="AR116">
            <v>210</v>
          </cell>
          <cell r="AS116">
            <v>0</v>
          </cell>
          <cell r="AT116">
            <v>210</v>
          </cell>
          <cell r="AU116">
            <v>0</v>
          </cell>
          <cell r="AV116">
            <v>0</v>
          </cell>
          <cell r="AW116">
            <v>0</v>
          </cell>
          <cell r="AX116">
            <v>170</v>
          </cell>
          <cell r="AY116">
            <v>120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45</v>
          </cell>
          <cell r="BG116">
            <v>45</v>
          </cell>
          <cell r="BH116">
            <v>0</v>
          </cell>
          <cell r="BI116">
            <v>0</v>
          </cell>
          <cell r="BJ116">
            <v>1630.92</v>
          </cell>
          <cell r="BK116">
            <v>0.52</v>
          </cell>
          <cell r="BL116">
            <v>1630.4</v>
          </cell>
        </row>
        <row r="117">
          <cell r="B117" t="str">
            <v>NBL SOL-TABLETING</v>
          </cell>
          <cell r="C117">
            <v>84960</v>
          </cell>
          <cell r="D117">
            <v>45870</v>
          </cell>
          <cell r="E117">
            <v>49860</v>
          </cell>
          <cell r="F117">
            <v>10770</v>
          </cell>
          <cell r="G117">
            <v>35100</v>
          </cell>
          <cell r="H117">
            <v>35100</v>
          </cell>
          <cell r="I117">
            <v>3175</v>
          </cell>
          <cell r="J117">
            <v>3175</v>
          </cell>
          <cell r="K117">
            <v>3175</v>
          </cell>
          <cell r="L117">
            <v>70</v>
          </cell>
          <cell r="M117">
            <v>3105</v>
          </cell>
          <cell r="N117">
            <v>0</v>
          </cell>
          <cell r="O117">
            <v>31925</v>
          </cell>
          <cell r="P117">
            <v>31925</v>
          </cell>
          <cell r="Q117">
            <v>11835</v>
          </cell>
          <cell r="R117">
            <v>11835</v>
          </cell>
          <cell r="S117">
            <v>20090</v>
          </cell>
          <cell r="T117">
            <v>20090</v>
          </cell>
          <cell r="U117">
            <v>4015</v>
          </cell>
          <cell r="V117">
            <v>2875</v>
          </cell>
          <cell r="W117">
            <v>70</v>
          </cell>
          <cell r="X117">
            <v>265</v>
          </cell>
          <cell r="Y117">
            <v>805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5435</v>
          </cell>
          <cell r="AG117">
            <v>1278</v>
          </cell>
          <cell r="AH117">
            <v>3232</v>
          </cell>
          <cell r="AI117">
            <v>190</v>
          </cell>
          <cell r="AJ117">
            <v>0</v>
          </cell>
          <cell r="AK117">
            <v>735</v>
          </cell>
          <cell r="AL117">
            <v>565</v>
          </cell>
          <cell r="AM117">
            <v>0</v>
          </cell>
          <cell r="AN117">
            <v>565</v>
          </cell>
          <cell r="AO117">
            <v>10075</v>
          </cell>
          <cell r="AP117">
            <v>0</v>
          </cell>
          <cell r="AQ117">
            <v>0</v>
          </cell>
          <cell r="AR117">
            <v>1850</v>
          </cell>
          <cell r="AS117">
            <v>0</v>
          </cell>
          <cell r="AT117">
            <v>1640</v>
          </cell>
          <cell r="AU117">
            <v>1695</v>
          </cell>
          <cell r="AV117">
            <v>20</v>
          </cell>
          <cell r="AW117">
            <v>0</v>
          </cell>
          <cell r="AX117">
            <v>325</v>
          </cell>
          <cell r="AY117">
            <v>1255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2875</v>
          </cell>
          <cell r="BG117">
            <v>415</v>
          </cell>
          <cell r="BH117">
            <v>0</v>
          </cell>
          <cell r="BI117">
            <v>0</v>
          </cell>
          <cell r="BJ117">
            <v>8238568</v>
          </cell>
          <cell r="BK117">
            <v>3813</v>
          </cell>
          <cell r="BL117">
            <v>8234755</v>
          </cell>
        </row>
        <row r="118">
          <cell r="B118" t="str">
            <v>TAB101</v>
          </cell>
          <cell r="C118">
            <v>27360</v>
          </cell>
          <cell r="D118">
            <v>17670</v>
          </cell>
          <cell r="E118">
            <v>15630</v>
          </cell>
          <cell r="F118">
            <v>5940</v>
          </cell>
          <cell r="G118">
            <v>11730</v>
          </cell>
          <cell r="H118">
            <v>11730</v>
          </cell>
          <cell r="I118">
            <v>655</v>
          </cell>
          <cell r="J118">
            <v>655</v>
          </cell>
          <cell r="K118">
            <v>655</v>
          </cell>
          <cell r="L118">
            <v>0</v>
          </cell>
          <cell r="M118">
            <v>655</v>
          </cell>
          <cell r="N118">
            <v>0</v>
          </cell>
          <cell r="O118">
            <v>11075</v>
          </cell>
          <cell r="P118">
            <v>11075</v>
          </cell>
          <cell r="Q118">
            <v>3900</v>
          </cell>
          <cell r="R118">
            <v>3900</v>
          </cell>
          <cell r="S118">
            <v>7175</v>
          </cell>
          <cell r="T118">
            <v>7175</v>
          </cell>
          <cell r="U118">
            <v>1320</v>
          </cell>
          <cell r="V118">
            <v>1295</v>
          </cell>
          <cell r="W118">
            <v>0</v>
          </cell>
          <cell r="X118">
            <v>0</v>
          </cell>
          <cell r="Y118">
            <v>25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2220</v>
          </cell>
          <cell r="AG118">
            <v>668</v>
          </cell>
          <cell r="AH118">
            <v>1332</v>
          </cell>
          <cell r="AI118">
            <v>30</v>
          </cell>
          <cell r="AJ118">
            <v>0</v>
          </cell>
          <cell r="AK118">
            <v>190</v>
          </cell>
          <cell r="AL118">
            <v>130</v>
          </cell>
          <cell r="AM118">
            <v>0</v>
          </cell>
          <cell r="AN118">
            <v>130</v>
          </cell>
          <cell r="AO118">
            <v>3505</v>
          </cell>
          <cell r="AP118">
            <v>0</v>
          </cell>
          <cell r="AQ118">
            <v>0</v>
          </cell>
          <cell r="AR118">
            <v>630</v>
          </cell>
          <cell r="AS118">
            <v>0</v>
          </cell>
          <cell r="AT118">
            <v>555</v>
          </cell>
          <cell r="AU118">
            <v>835</v>
          </cell>
          <cell r="AV118">
            <v>0</v>
          </cell>
          <cell r="AW118">
            <v>0</v>
          </cell>
          <cell r="AX118">
            <v>165</v>
          </cell>
          <cell r="AY118">
            <v>305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1015</v>
          </cell>
          <cell r="BG118">
            <v>0</v>
          </cell>
          <cell r="BH118">
            <v>0</v>
          </cell>
          <cell r="BI118">
            <v>0</v>
          </cell>
          <cell r="BJ118">
            <v>3724462</v>
          </cell>
          <cell r="BK118">
            <v>2642</v>
          </cell>
          <cell r="BL118">
            <v>3721820</v>
          </cell>
        </row>
        <row r="119">
          <cell r="B119" t="str">
            <v>TAB105</v>
          </cell>
          <cell r="C119">
            <v>28800</v>
          </cell>
          <cell r="D119">
            <v>18600</v>
          </cell>
          <cell r="E119">
            <v>13410</v>
          </cell>
          <cell r="F119">
            <v>3210</v>
          </cell>
          <cell r="G119">
            <v>15390</v>
          </cell>
          <cell r="H119">
            <v>15390</v>
          </cell>
          <cell r="I119">
            <v>1295</v>
          </cell>
          <cell r="J119">
            <v>1295</v>
          </cell>
          <cell r="K119">
            <v>1295</v>
          </cell>
          <cell r="L119">
            <v>70</v>
          </cell>
          <cell r="M119">
            <v>1225</v>
          </cell>
          <cell r="N119">
            <v>0</v>
          </cell>
          <cell r="O119">
            <v>14095</v>
          </cell>
          <cell r="P119">
            <v>14095</v>
          </cell>
          <cell r="Q119">
            <v>6420</v>
          </cell>
          <cell r="R119">
            <v>6420</v>
          </cell>
          <cell r="S119">
            <v>7675</v>
          </cell>
          <cell r="T119">
            <v>7675</v>
          </cell>
          <cell r="U119">
            <v>1630</v>
          </cell>
          <cell r="V119">
            <v>1045</v>
          </cell>
          <cell r="W119">
            <v>0</v>
          </cell>
          <cell r="X119">
            <v>90</v>
          </cell>
          <cell r="Y119">
            <v>495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2015</v>
          </cell>
          <cell r="AG119">
            <v>400</v>
          </cell>
          <cell r="AH119">
            <v>1180</v>
          </cell>
          <cell r="AI119">
            <v>70</v>
          </cell>
          <cell r="AJ119">
            <v>0</v>
          </cell>
          <cell r="AK119">
            <v>365</v>
          </cell>
          <cell r="AL119">
            <v>435</v>
          </cell>
          <cell r="AM119">
            <v>0</v>
          </cell>
          <cell r="AN119">
            <v>435</v>
          </cell>
          <cell r="AO119">
            <v>3595</v>
          </cell>
          <cell r="AP119">
            <v>0</v>
          </cell>
          <cell r="AQ119">
            <v>0</v>
          </cell>
          <cell r="AR119">
            <v>895</v>
          </cell>
          <cell r="AS119">
            <v>0</v>
          </cell>
          <cell r="AT119">
            <v>805</v>
          </cell>
          <cell r="AU119">
            <v>0</v>
          </cell>
          <cell r="AV119">
            <v>0</v>
          </cell>
          <cell r="AW119">
            <v>0</v>
          </cell>
          <cell r="AX119">
            <v>160</v>
          </cell>
          <cell r="AY119">
            <v>375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945</v>
          </cell>
          <cell r="BG119">
            <v>415</v>
          </cell>
          <cell r="BH119">
            <v>0</v>
          </cell>
          <cell r="BI119">
            <v>0</v>
          </cell>
          <cell r="BJ119">
            <v>3350997</v>
          </cell>
          <cell r="BK119">
            <v>1171</v>
          </cell>
          <cell r="BL119">
            <v>3349826</v>
          </cell>
        </row>
        <row r="120">
          <cell r="B120" t="str">
            <v>TAB103</v>
          </cell>
          <cell r="C120">
            <v>28800</v>
          </cell>
          <cell r="D120">
            <v>9600</v>
          </cell>
          <cell r="E120">
            <v>20820</v>
          </cell>
          <cell r="F120">
            <v>1620</v>
          </cell>
          <cell r="G120">
            <v>7980</v>
          </cell>
          <cell r="H120">
            <v>7980</v>
          </cell>
          <cell r="I120">
            <v>1225</v>
          </cell>
          <cell r="J120">
            <v>1225</v>
          </cell>
          <cell r="K120">
            <v>1225</v>
          </cell>
          <cell r="L120">
            <v>0</v>
          </cell>
          <cell r="M120">
            <v>1225</v>
          </cell>
          <cell r="N120">
            <v>0</v>
          </cell>
          <cell r="O120">
            <v>6755</v>
          </cell>
          <cell r="P120">
            <v>6755</v>
          </cell>
          <cell r="Q120">
            <v>1515</v>
          </cell>
          <cell r="R120">
            <v>1515</v>
          </cell>
          <cell r="S120">
            <v>5240</v>
          </cell>
          <cell r="T120">
            <v>5240</v>
          </cell>
          <cell r="U120">
            <v>1065</v>
          </cell>
          <cell r="V120">
            <v>535</v>
          </cell>
          <cell r="W120">
            <v>70</v>
          </cell>
          <cell r="X120">
            <v>175</v>
          </cell>
          <cell r="Y120">
            <v>285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1200</v>
          </cell>
          <cell r="AG120">
            <v>210</v>
          </cell>
          <cell r="AH120">
            <v>720</v>
          </cell>
          <cell r="AI120">
            <v>90</v>
          </cell>
          <cell r="AJ120">
            <v>0</v>
          </cell>
          <cell r="AK120">
            <v>180</v>
          </cell>
          <cell r="AL120">
            <v>0</v>
          </cell>
          <cell r="AM120">
            <v>0</v>
          </cell>
          <cell r="AN120">
            <v>0</v>
          </cell>
          <cell r="AO120">
            <v>2975</v>
          </cell>
          <cell r="AP120">
            <v>0</v>
          </cell>
          <cell r="AQ120">
            <v>0</v>
          </cell>
          <cell r="AR120">
            <v>325</v>
          </cell>
          <cell r="AS120">
            <v>0</v>
          </cell>
          <cell r="AT120">
            <v>280</v>
          </cell>
          <cell r="AU120">
            <v>860</v>
          </cell>
          <cell r="AV120">
            <v>20</v>
          </cell>
          <cell r="AW120">
            <v>0</v>
          </cell>
          <cell r="AX120">
            <v>0</v>
          </cell>
          <cell r="AY120">
            <v>575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915</v>
          </cell>
          <cell r="BG120">
            <v>0</v>
          </cell>
          <cell r="BH120">
            <v>0</v>
          </cell>
          <cell r="BI120">
            <v>0</v>
          </cell>
          <cell r="BJ120">
            <v>1163109</v>
          </cell>
          <cell r="BK120">
            <v>0</v>
          </cell>
          <cell r="BL120">
            <v>1163109</v>
          </cell>
        </row>
        <row r="121">
          <cell r="B121" t="str">
            <v>NBL SOL-CAPSULE</v>
          </cell>
          <cell r="C121">
            <v>54720</v>
          </cell>
          <cell r="D121">
            <v>18240</v>
          </cell>
          <cell r="E121">
            <v>45030</v>
          </cell>
          <cell r="F121">
            <v>8550</v>
          </cell>
          <cell r="G121">
            <v>9690</v>
          </cell>
          <cell r="H121">
            <v>9690</v>
          </cell>
          <cell r="I121">
            <v>1040</v>
          </cell>
          <cell r="J121">
            <v>1040</v>
          </cell>
          <cell r="K121">
            <v>1040</v>
          </cell>
          <cell r="L121">
            <v>180</v>
          </cell>
          <cell r="M121">
            <v>860</v>
          </cell>
          <cell r="N121">
            <v>0</v>
          </cell>
          <cell r="O121">
            <v>8650</v>
          </cell>
          <cell r="P121">
            <v>8650</v>
          </cell>
          <cell r="Q121">
            <v>3225</v>
          </cell>
          <cell r="R121">
            <v>3225</v>
          </cell>
          <cell r="S121">
            <v>5425</v>
          </cell>
          <cell r="T121">
            <v>5425</v>
          </cell>
          <cell r="U121">
            <v>1170</v>
          </cell>
          <cell r="V121">
            <v>645</v>
          </cell>
          <cell r="W121">
            <v>30</v>
          </cell>
          <cell r="X121">
            <v>215</v>
          </cell>
          <cell r="Y121">
            <v>280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2305</v>
          </cell>
          <cell r="AG121">
            <v>895</v>
          </cell>
          <cell r="AH121">
            <v>960</v>
          </cell>
          <cell r="AI121">
            <v>260</v>
          </cell>
          <cell r="AJ121">
            <v>0</v>
          </cell>
          <cell r="AK121">
            <v>190</v>
          </cell>
          <cell r="AL121">
            <v>255</v>
          </cell>
          <cell r="AM121">
            <v>255</v>
          </cell>
          <cell r="AN121">
            <v>0</v>
          </cell>
          <cell r="AO121">
            <v>1695</v>
          </cell>
          <cell r="AP121">
            <v>0</v>
          </cell>
          <cell r="AQ121">
            <v>0</v>
          </cell>
          <cell r="AR121">
            <v>425</v>
          </cell>
          <cell r="AS121">
            <v>0</v>
          </cell>
          <cell r="AT121">
            <v>300</v>
          </cell>
          <cell r="AU121">
            <v>0</v>
          </cell>
          <cell r="AV121">
            <v>0</v>
          </cell>
          <cell r="AW121">
            <v>0</v>
          </cell>
          <cell r="AX121">
            <v>330</v>
          </cell>
          <cell r="AY121">
            <v>130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310</v>
          </cell>
          <cell r="BG121">
            <v>200</v>
          </cell>
          <cell r="BH121">
            <v>0</v>
          </cell>
          <cell r="BI121">
            <v>0</v>
          </cell>
          <cell r="BJ121">
            <v>1244245</v>
          </cell>
          <cell r="BK121">
            <v>0</v>
          </cell>
          <cell r="BL121">
            <v>1244245</v>
          </cell>
        </row>
        <row r="122">
          <cell r="B122" t="str">
            <v>KAP101</v>
          </cell>
          <cell r="C122">
            <v>27360</v>
          </cell>
          <cell r="D122">
            <v>9120</v>
          </cell>
          <cell r="E122">
            <v>19710</v>
          </cell>
          <cell r="F122">
            <v>1470</v>
          </cell>
          <cell r="G122">
            <v>7650</v>
          </cell>
          <cell r="H122">
            <v>7650</v>
          </cell>
          <cell r="I122">
            <v>350</v>
          </cell>
          <cell r="J122">
            <v>350</v>
          </cell>
          <cell r="K122">
            <v>350</v>
          </cell>
          <cell r="L122">
            <v>180</v>
          </cell>
          <cell r="M122">
            <v>170</v>
          </cell>
          <cell r="N122">
            <v>0</v>
          </cell>
          <cell r="O122">
            <v>7300</v>
          </cell>
          <cell r="P122">
            <v>7300</v>
          </cell>
          <cell r="Q122">
            <v>2660</v>
          </cell>
          <cell r="R122">
            <v>2660</v>
          </cell>
          <cell r="S122">
            <v>4640</v>
          </cell>
          <cell r="T122">
            <v>4640</v>
          </cell>
          <cell r="U122">
            <v>1065</v>
          </cell>
          <cell r="V122">
            <v>540</v>
          </cell>
          <cell r="W122">
            <v>30</v>
          </cell>
          <cell r="X122">
            <v>215</v>
          </cell>
          <cell r="Y122">
            <v>280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2000</v>
          </cell>
          <cell r="AG122">
            <v>825</v>
          </cell>
          <cell r="AH122">
            <v>735</v>
          </cell>
          <cell r="AI122">
            <v>260</v>
          </cell>
          <cell r="AJ122">
            <v>0</v>
          </cell>
          <cell r="AK122">
            <v>180</v>
          </cell>
          <cell r="AL122">
            <v>255</v>
          </cell>
          <cell r="AM122">
            <v>255</v>
          </cell>
          <cell r="AN122">
            <v>0</v>
          </cell>
          <cell r="AO122">
            <v>1320</v>
          </cell>
          <cell r="AP122">
            <v>0</v>
          </cell>
          <cell r="AQ122">
            <v>0</v>
          </cell>
          <cell r="AR122">
            <v>395</v>
          </cell>
          <cell r="AS122">
            <v>0</v>
          </cell>
          <cell r="AT122">
            <v>285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130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310</v>
          </cell>
          <cell r="BG122">
            <v>200</v>
          </cell>
          <cell r="BH122">
            <v>0</v>
          </cell>
          <cell r="BI122">
            <v>0</v>
          </cell>
          <cell r="BJ122">
            <v>621218</v>
          </cell>
          <cell r="BK122">
            <v>0</v>
          </cell>
          <cell r="BL122">
            <v>621218</v>
          </cell>
        </row>
        <row r="123">
          <cell r="B123" t="str">
            <v>KAP103</v>
          </cell>
          <cell r="C123">
            <v>27360</v>
          </cell>
          <cell r="D123">
            <v>9120</v>
          </cell>
          <cell r="E123">
            <v>25320</v>
          </cell>
          <cell r="F123">
            <v>7080</v>
          </cell>
          <cell r="G123">
            <v>2040</v>
          </cell>
          <cell r="H123">
            <v>2040</v>
          </cell>
          <cell r="I123">
            <v>690</v>
          </cell>
          <cell r="J123">
            <v>690</v>
          </cell>
          <cell r="K123">
            <v>690</v>
          </cell>
          <cell r="L123">
            <v>0</v>
          </cell>
          <cell r="M123">
            <v>690</v>
          </cell>
          <cell r="N123">
            <v>0</v>
          </cell>
          <cell r="O123">
            <v>1350</v>
          </cell>
          <cell r="P123">
            <v>1350</v>
          </cell>
          <cell r="Q123">
            <v>565</v>
          </cell>
          <cell r="R123">
            <v>565</v>
          </cell>
          <cell r="S123">
            <v>785</v>
          </cell>
          <cell r="T123">
            <v>785</v>
          </cell>
          <cell r="U123">
            <v>105</v>
          </cell>
          <cell r="V123">
            <v>105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305</v>
          </cell>
          <cell r="AG123">
            <v>70</v>
          </cell>
          <cell r="AH123">
            <v>225</v>
          </cell>
          <cell r="AI123">
            <v>0</v>
          </cell>
          <cell r="AJ123">
            <v>0</v>
          </cell>
          <cell r="AK123">
            <v>10</v>
          </cell>
          <cell r="AL123">
            <v>0</v>
          </cell>
          <cell r="AM123">
            <v>0</v>
          </cell>
          <cell r="AN123">
            <v>0</v>
          </cell>
          <cell r="AO123">
            <v>375</v>
          </cell>
          <cell r="AP123">
            <v>0</v>
          </cell>
          <cell r="AQ123">
            <v>0</v>
          </cell>
          <cell r="AR123">
            <v>30</v>
          </cell>
          <cell r="AS123">
            <v>0</v>
          </cell>
          <cell r="AT123">
            <v>15</v>
          </cell>
          <cell r="AU123">
            <v>0</v>
          </cell>
          <cell r="AV123">
            <v>0</v>
          </cell>
          <cell r="AW123">
            <v>0</v>
          </cell>
          <cell r="AX123">
            <v>330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623027</v>
          </cell>
          <cell r="BK123">
            <v>0</v>
          </cell>
          <cell r="BL123">
            <v>623027</v>
          </cell>
        </row>
        <row r="124">
          <cell r="B124" t="str">
            <v>NBL SOL-STRIPPING</v>
          </cell>
          <cell r="C124">
            <v>139680</v>
          </cell>
          <cell r="D124">
            <v>64560</v>
          </cell>
          <cell r="E124">
            <v>79380</v>
          </cell>
          <cell r="F124">
            <v>4260</v>
          </cell>
          <cell r="G124">
            <v>60300</v>
          </cell>
          <cell r="H124">
            <v>60300</v>
          </cell>
          <cell r="I124">
            <v>1870</v>
          </cell>
          <cell r="J124">
            <v>1870</v>
          </cell>
          <cell r="K124">
            <v>1870</v>
          </cell>
          <cell r="L124">
            <v>95</v>
          </cell>
          <cell r="M124">
            <v>1775</v>
          </cell>
          <cell r="N124">
            <v>0</v>
          </cell>
          <cell r="O124">
            <v>58430</v>
          </cell>
          <cell r="P124">
            <v>58430</v>
          </cell>
          <cell r="Q124">
            <v>21525</v>
          </cell>
          <cell r="R124">
            <v>21525</v>
          </cell>
          <cell r="S124">
            <v>36905</v>
          </cell>
          <cell r="T124">
            <v>36905</v>
          </cell>
          <cell r="U124">
            <v>8485</v>
          </cell>
          <cell r="V124">
            <v>4625</v>
          </cell>
          <cell r="W124">
            <v>0</v>
          </cell>
          <cell r="X124">
            <v>3860</v>
          </cell>
          <cell r="Y124">
            <v>0</v>
          </cell>
          <cell r="Z124">
            <v>850</v>
          </cell>
          <cell r="AA124">
            <v>550</v>
          </cell>
          <cell r="AB124">
            <v>240</v>
          </cell>
          <cell r="AC124">
            <v>0</v>
          </cell>
          <cell r="AD124">
            <v>0</v>
          </cell>
          <cell r="AE124">
            <v>60</v>
          </cell>
          <cell r="AF124">
            <v>13875</v>
          </cell>
          <cell r="AG124">
            <v>7575</v>
          </cell>
          <cell r="AH124">
            <v>2455</v>
          </cell>
          <cell r="AI124">
            <v>2910</v>
          </cell>
          <cell r="AJ124">
            <v>0</v>
          </cell>
          <cell r="AK124">
            <v>935</v>
          </cell>
          <cell r="AL124">
            <v>525</v>
          </cell>
          <cell r="AM124">
            <v>0</v>
          </cell>
          <cell r="AN124">
            <v>525</v>
          </cell>
          <cell r="AO124">
            <v>13170</v>
          </cell>
          <cell r="AP124">
            <v>0</v>
          </cell>
          <cell r="AQ124">
            <v>0</v>
          </cell>
          <cell r="AR124">
            <v>3540</v>
          </cell>
          <cell r="AS124">
            <v>0</v>
          </cell>
          <cell r="AT124">
            <v>3450</v>
          </cell>
          <cell r="AU124">
            <v>2100</v>
          </cell>
          <cell r="AV124">
            <v>0</v>
          </cell>
          <cell r="AW124">
            <v>0</v>
          </cell>
          <cell r="AX124">
            <v>0</v>
          </cell>
          <cell r="AY124">
            <v>2135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1830</v>
          </cell>
          <cell r="BG124">
            <v>115</v>
          </cell>
          <cell r="BH124">
            <v>0</v>
          </cell>
          <cell r="BI124">
            <v>0</v>
          </cell>
          <cell r="BJ124">
            <v>12668220</v>
          </cell>
          <cell r="BK124">
            <v>70160</v>
          </cell>
          <cell r="BL124">
            <v>12598060</v>
          </cell>
        </row>
        <row r="125">
          <cell r="B125" t="str">
            <v>STR105</v>
          </cell>
          <cell r="C125">
            <v>27360</v>
          </cell>
          <cell r="D125">
            <v>9120</v>
          </cell>
          <cell r="E125">
            <v>19050</v>
          </cell>
          <cell r="F125">
            <v>810</v>
          </cell>
          <cell r="G125">
            <v>8310</v>
          </cell>
          <cell r="H125">
            <v>8310</v>
          </cell>
          <cell r="I125">
            <v>255</v>
          </cell>
          <cell r="J125">
            <v>255</v>
          </cell>
          <cell r="K125">
            <v>255</v>
          </cell>
          <cell r="L125">
            <v>0</v>
          </cell>
          <cell r="M125">
            <v>255</v>
          </cell>
          <cell r="N125">
            <v>0</v>
          </cell>
          <cell r="O125">
            <v>8055</v>
          </cell>
          <cell r="P125">
            <v>8055</v>
          </cell>
          <cell r="Q125">
            <v>3120</v>
          </cell>
          <cell r="R125">
            <v>3120</v>
          </cell>
          <cell r="S125">
            <v>4935</v>
          </cell>
          <cell r="T125">
            <v>4935</v>
          </cell>
          <cell r="U125">
            <v>1190</v>
          </cell>
          <cell r="V125">
            <v>625</v>
          </cell>
          <cell r="W125">
            <v>0</v>
          </cell>
          <cell r="X125">
            <v>565</v>
          </cell>
          <cell r="Y125">
            <v>0</v>
          </cell>
          <cell r="Z125">
            <v>30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30</v>
          </cell>
          <cell r="AF125">
            <v>1930</v>
          </cell>
          <cell r="AG125">
            <v>1220</v>
          </cell>
          <cell r="AH125">
            <v>200</v>
          </cell>
          <cell r="AI125">
            <v>375</v>
          </cell>
          <cell r="AJ125">
            <v>0</v>
          </cell>
          <cell r="AK125">
            <v>135</v>
          </cell>
          <cell r="AL125">
            <v>0</v>
          </cell>
          <cell r="AM125">
            <v>0</v>
          </cell>
          <cell r="AN125">
            <v>0</v>
          </cell>
          <cell r="AO125">
            <v>1785</v>
          </cell>
          <cell r="AP125">
            <v>0</v>
          </cell>
          <cell r="AQ125">
            <v>0</v>
          </cell>
          <cell r="AR125">
            <v>480</v>
          </cell>
          <cell r="AS125">
            <v>0</v>
          </cell>
          <cell r="AT125">
            <v>525</v>
          </cell>
          <cell r="AU125">
            <v>195</v>
          </cell>
          <cell r="AV125">
            <v>0</v>
          </cell>
          <cell r="AW125">
            <v>0</v>
          </cell>
          <cell r="AX125">
            <v>0</v>
          </cell>
          <cell r="AY125">
            <v>295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290</v>
          </cell>
          <cell r="BG125">
            <v>0</v>
          </cell>
          <cell r="BH125">
            <v>0</v>
          </cell>
          <cell r="BI125">
            <v>0</v>
          </cell>
          <cell r="BJ125">
            <v>1066901</v>
          </cell>
          <cell r="BK125">
            <v>18751</v>
          </cell>
          <cell r="BL125">
            <v>1048150</v>
          </cell>
        </row>
        <row r="126">
          <cell r="B126" t="str">
            <v>STR102</v>
          </cell>
          <cell r="C126">
            <v>28800</v>
          </cell>
          <cell r="D126">
            <v>18600</v>
          </cell>
          <cell r="E126">
            <v>14850</v>
          </cell>
          <cell r="F126">
            <v>4650</v>
          </cell>
          <cell r="G126">
            <v>13950</v>
          </cell>
          <cell r="H126">
            <v>13950</v>
          </cell>
          <cell r="I126">
            <v>495</v>
          </cell>
          <cell r="J126">
            <v>495</v>
          </cell>
          <cell r="K126">
            <v>495</v>
          </cell>
          <cell r="L126">
            <v>0</v>
          </cell>
          <cell r="M126">
            <v>495</v>
          </cell>
          <cell r="N126">
            <v>0</v>
          </cell>
          <cell r="O126">
            <v>13455</v>
          </cell>
          <cell r="P126">
            <v>13455</v>
          </cell>
          <cell r="Q126">
            <v>4195</v>
          </cell>
          <cell r="R126">
            <v>4195</v>
          </cell>
          <cell r="S126">
            <v>9260</v>
          </cell>
          <cell r="T126">
            <v>9260</v>
          </cell>
          <cell r="U126">
            <v>2125</v>
          </cell>
          <cell r="V126">
            <v>1510</v>
          </cell>
          <cell r="W126">
            <v>0</v>
          </cell>
          <cell r="X126">
            <v>615</v>
          </cell>
          <cell r="Y126">
            <v>0</v>
          </cell>
          <cell r="Z126">
            <v>30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30</v>
          </cell>
          <cell r="AF126">
            <v>3165</v>
          </cell>
          <cell r="AG126">
            <v>1375</v>
          </cell>
          <cell r="AH126">
            <v>920</v>
          </cell>
          <cell r="AI126">
            <v>700</v>
          </cell>
          <cell r="AJ126">
            <v>0</v>
          </cell>
          <cell r="AK126">
            <v>170</v>
          </cell>
          <cell r="AL126">
            <v>525</v>
          </cell>
          <cell r="AM126">
            <v>0</v>
          </cell>
          <cell r="AN126">
            <v>525</v>
          </cell>
          <cell r="AO126">
            <v>3415</v>
          </cell>
          <cell r="AP126">
            <v>0</v>
          </cell>
          <cell r="AQ126">
            <v>0</v>
          </cell>
          <cell r="AR126">
            <v>780</v>
          </cell>
          <cell r="AS126">
            <v>0</v>
          </cell>
          <cell r="AT126">
            <v>800</v>
          </cell>
          <cell r="AU126">
            <v>645</v>
          </cell>
          <cell r="AV126">
            <v>0</v>
          </cell>
          <cell r="AW126">
            <v>0</v>
          </cell>
          <cell r="AX126">
            <v>0</v>
          </cell>
          <cell r="AY126">
            <v>590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600</v>
          </cell>
          <cell r="BG126">
            <v>0</v>
          </cell>
          <cell r="BH126">
            <v>0</v>
          </cell>
          <cell r="BI126">
            <v>0</v>
          </cell>
          <cell r="BJ126">
            <v>5429383</v>
          </cell>
          <cell r="BK126">
            <v>18675</v>
          </cell>
          <cell r="BL126">
            <v>5410708</v>
          </cell>
        </row>
        <row r="127">
          <cell r="B127" t="str">
            <v>STR104</v>
          </cell>
          <cell r="C127">
            <v>27360</v>
          </cell>
          <cell r="D127">
            <v>9120</v>
          </cell>
          <cell r="E127">
            <v>17730</v>
          </cell>
          <cell r="F127">
            <v>-510</v>
          </cell>
          <cell r="G127">
            <v>9630</v>
          </cell>
          <cell r="H127">
            <v>9630</v>
          </cell>
          <cell r="I127">
            <v>425</v>
          </cell>
          <cell r="J127">
            <v>425</v>
          </cell>
          <cell r="K127">
            <v>425</v>
          </cell>
          <cell r="L127">
            <v>95</v>
          </cell>
          <cell r="M127">
            <v>330</v>
          </cell>
          <cell r="N127">
            <v>0</v>
          </cell>
          <cell r="O127">
            <v>9205</v>
          </cell>
          <cell r="P127">
            <v>9205</v>
          </cell>
          <cell r="Q127">
            <v>4655</v>
          </cell>
          <cell r="R127">
            <v>4655</v>
          </cell>
          <cell r="S127">
            <v>4550</v>
          </cell>
          <cell r="T127">
            <v>4550</v>
          </cell>
          <cell r="U127">
            <v>155</v>
          </cell>
          <cell r="V127">
            <v>155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2665</v>
          </cell>
          <cell r="AG127">
            <v>1625</v>
          </cell>
          <cell r="AH127">
            <v>275</v>
          </cell>
          <cell r="AI127">
            <v>555</v>
          </cell>
          <cell r="AJ127">
            <v>0</v>
          </cell>
          <cell r="AK127">
            <v>210</v>
          </cell>
          <cell r="AL127">
            <v>0</v>
          </cell>
          <cell r="AM127">
            <v>0</v>
          </cell>
          <cell r="AN127">
            <v>0</v>
          </cell>
          <cell r="AO127">
            <v>1730</v>
          </cell>
          <cell r="AP127">
            <v>0</v>
          </cell>
          <cell r="AQ127">
            <v>0</v>
          </cell>
          <cell r="AR127">
            <v>540</v>
          </cell>
          <cell r="AS127">
            <v>0</v>
          </cell>
          <cell r="AT127">
            <v>360</v>
          </cell>
          <cell r="AU127">
            <v>400</v>
          </cell>
          <cell r="AV127">
            <v>0</v>
          </cell>
          <cell r="AW127">
            <v>0</v>
          </cell>
          <cell r="AX127">
            <v>0</v>
          </cell>
          <cell r="AY127">
            <v>340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90</v>
          </cell>
          <cell r="BG127">
            <v>0</v>
          </cell>
          <cell r="BH127">
            <v>0</v>
          </cell>
          <cell r="BI127">
            <v>0</v>
          </cell>
          <cell r="BJ127">
            <v>29513</v>
          </cell>
          <cell r="BK127">
            <v>141</v>
          </cell>
          <cell r="BL127">
            <v>29372</v>
          </cell>
        </row>
        <row r="128">
          <cell r="B128" t="str">
            <v>STR103</v>
          </cell>
          <cell r="C128">
            <v>27360</v>
          </cell>
          <cell r="D128">
            <v>9120</v>
          </cell>
          <cell r="E128">
            <v>14730</v>
          </cell>
          <cell r="F128">
            <v>-3510</v>
          </cell>
          <cell r="G128">
            <v>12630</v>
          </cell>
          <cell r="H128">
            <v>12630</v>
          </cell>
          <cell r="I128">
            <v>695</v>
          </cell>
          <cell r="J128">
            <v>695</v>
          </cell>
          <cell r="K128">
            <v>695</v>
          </cell>
          <cell r="L128">
            <v>0</v>
          </cell>
          <cell r="M128">
            <v>695</v>
          </cell>
          <cell r="N128">
            <v>0</v>
          </cell>
          <cell r="O128">
            <v>11935</v>
          </cell>
          <cell r="P128">
            <v>11935</v>
          </cell>
          <cell r="Q128">
            <v>3845</v>
          </cell>
          <cell r="R128">
            <v>3845</v>
          </cell>
          <cell r="S128">
            <v>8090</v>
          </cell>
          <cell r="T128">
            <v>8090</v>
          </cell>
          <cell r="U128">
            <v>2515</v>
          </cell>
          <cell r="V128">
            <v>1495</v>
          </cell>
          <cell r="W128">
            <v>0</v>
          </cell>
          <cell r="X128">
            <v>1020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2915</v>
          </cell>
          <cell r="AG128">
            <v>1780</v>
          </cell>
          <cell r="AH128">
            <v>385</v>
          </cell>
          <cell r="AI128">
            <v>570</v>
          </cell>
          <cell r="AJ128">
            <v>0</v>
          </cell>
          <cell r="AK128">
            <v>180</v>
          </cell>
          <cell r="AL128">
            <v>0</v>
          </cell>
          <cell r="AM128">
            <v>0</v>
          </cell>
          <cell r="AN128">
            <v>0</v>
          </cell>
          <cell r="AO128">
            <v>2660</v>
          </cell>
          <cell r="AP128">
            <v>0</v>
          </cell>
          <cell r="AQ128">
            <v>0</v>
          </cell>
          <cell r="AR128">
            <v>750</v>
          </cell>
          <cell r="AS128">
            <v>0</v>
          </cell>
          <cell r="AT128">
            <v>695</v>
          </cell>
          <cell r="AU128">
            <v>365</v>
          </cell>
          <cell r="AV128">
            <v>0</v>
          </cell>
          <cell r="AW128">
            <v>0</v>
          </cell>
          <cell r="AX128">
            <v>0</v>
          </cell>
          <cell r="AY128">
            <v>390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460</v>
          </cell>
          <cell r="BG128">
            <v>0</v>
          </cell>
          <cell r="BH128">
            <v>0</v>
          </cell>
          <cell r="BI128">
            <v>0</v>
          </cell>
          <cell r="BJ128">
            <v>1824750</v>
          </cell>
          <cell r="BK128">
            <v>9660</v>
          </cell>
          <cell r="BL128">
            <v>1815090</v>
          </cell>
        </row>
        <row r="129">
          <cell r="B129" t="str">
            <v>STR101</v>
          </cell>
          <cell r="C129">
            <v>28800</v>
          </cell>
          <cell r="D129">
            <v>18600</v>
          </cell>
          <cell r="E129">
            <v>13020</v>
          </cell>
          <cell r="F129">
            <v>2820</v>
          </cell>
          <cell r="G129">
            <v>15780</v>
          </cell>
          <cell r="H129">
            <v>15780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15780</v>
          </cell>
          <cell r="P129">
            <v>15780</v>
          </cell>
          <cell r="Q129">
            <v>5710</v>
          </cell>
          <cell r="R129">
            <v>5710</v>
          </cell>
          <cell r="S129">
            <v>10070</v>
          </cell>
          <cell r="T129">
            <v>10070</v>
          </cell>
          <cell r="U129">
            <v>2500</v>
          </cell>
          <cell r="V129">
            <v>840</v>
          </cell>
          <cell r="W129">
            <v>0</v>
          </cell>
          <cell r="X129">
            <v>1660</v>
          </cell>
          <cell r="Y129">
            <v>0</v>
          </cell>
          <cell r="Z129">
            <v>790</v>
          </cell>
          <cell r="AA129">
            <v>550</v>
          </cell>
          <cell r="AB129">
            <v>240</v>
          </cell>
          <cell r="AC129">
            <v>0</v>
          </cell>
          <cell r="AD129">
            <v>0</v>
          </cell>
          <cell r="AE129">
            <v>0</v>
          </cell>
          <cell r="AF129">
            <v>3200</v>
          </cell>
          <cell r="AG129">
            <v>1575</v>
          </cell>
          <cell r="AH129">
            <v>675</v>
          </cell>
          <cell r="AI129">
            <v>710</v>
          </cell>
          <cell r="AJ129">
            <v>0</v>
          </cell>
          <cell r="AK129">
            <v>240</v>
          </cell>
          <cell r="AL129">
            <v>0</v>
          </cell>
          <cell r="AM129">
            <v>0</v>
          </cell>
          <cell r="AN129">
            <v>0</v>
          </cell>
          <cell r="AO129">
            <v>3580</v>
          </cell>
          <cell r="AP129">
            <v>0</v>
          </cell>
          <cell r="AQ129">
            <v>0</v>
          </cell>
          <cell r="AR129">
            <v>990</v>
          </cell>
          <cell r="AS129">
            <v>0</v>
          </cell>
          <cell r="AT129">
            <v>1070</v>
          </cell>
          <cell r="AU129">
            <v>495</v>
          </cell>
          <cell r="AV129">
            <v>0</v>
          </cell>
          <cell r="AW129">
            <v>0</v>
          </cell>
          <cell r="AX129">
            <v>0</v>
          </cell>
          <cell r="AY129">
            <v>520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390</v>
          </cell>
          <cell r="BG129">
            <v>115</v>
          </cell>
          <cell r="BH129">
            <v>0</v>
          </cell>
          <cell r="BI129">
            <v>0</v>
          </cell>
          <cell r="BJ129">
            <v>4317673</v>
          </cell>
          <cell r="BK129">
            <v>22933</v>
          </cell>
          <cell r="BL129">
            <v>4294740</v>
          </cell>
        </row>
        <row r="130">
          <cell r="B130" t="str">
            <v>NBL SYR-MIXING</v>
          </cell>
          <cell r="C130">
            <v>27360</v>
          </cell>
          <cell r="D130">
            <v>17670</v>
          </cell>
          <cell r="E130">
            <v>20970</v>
          </cell>
          <cell r="F130">
            <v>11280</v>
          </cell>
          <cell r="G130">
            <v>6390</v>
          </cell>
          <cell r="H130">
            <v>6390</v>
          </cell>
          <cell r="I130">
            <v>702</v>
          </cell>
          <cell r="J130">
            <v>702</v>
          </cell>
          <cell r="K130">
            <v>542</v>
          </cell>
          <cell r="L130">
            <v>135</v>
          </cell>
          <cell r="M130">
            <v>407</v>
          </cell>
          <cell r="N130">
            <v>160</v>
          </cell>
          <cell r="O130">
            <v>5688</v>
          </cell>
          <cell r="P130">
            <v>5688</v>
          </cell>
          <cell r="Q130">
            <v>1761</v>
          </cell>
          <cell r="R130">
            <v>1761</v>
          </cell>
          <cell r="S130">
            <v>3927</v>
          </cell>
          <cell r="T130">
            <v>3927</v>
          </cell>
          <cell r="U130">
            <v>191</v>
          </cell>
          <cell r="V130">
            <v>191</v>
          </cell>
          <cell r="W130">
            <v>0</v>
          </cell>
          <cell r="X130">
            <v>0</v>
          </cell>
          <cell r="Y130">
            <v>0</v>
          </cell>
          <cell r="Z130">
            <v>55</v>
          </cell>
          <cell r="AA130">
            <v>0</v>
          </cell>
          <cell r="AB130">
            <v>0</v>
          </cell>
          <cell r="AC130">
            <v>0</v>
          </cell>
          <cell r="AD130">
            <v>55</v>
          </cell>
          <cell r="AE130">
            <v>0</v>
          </cell>
          <cell r="AF130">
            <v>2078</v>
          </cell>
          <cell r="AG130">
            <v>324</v>
          </cell>
          <cell r="AH130">
            <v>1754</v>
          </cell>
          <cell r="AI130">
            <v>0</v>
          </cell>
          <cell r="AJ130">
            <v>0</v>
          </cell>
          <cell r="AK130">
            <v>0</v>
          </cell>
          <cell r="AL130">
            <v>510</v>
          </cell>
          <cell r="AM130">
            <v>0</v>
          </cell>
          <cell r="AN130">
            <v>510</v>
          </cell>
          <cell r="AO130">
            <v>1093</v>
          </cell>
          <cell r="AP130">
            <v>146</v>
          </cell>
          <cell r="AQ130">
            <v>0</v>
          </cell>
          <cell r="AR130">
            <v>261</v>
          </cell>
          <cell r="AS130">
            <v>0</v>
          </cell>
          <cell r="AT130">
            <v>160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225</v>
          </cell>
          <cell r="BC130">
            <v>0</v>
          </cell>
          <cell r="BD130">
            <v>0</v>
          </cell>
          <cell r="BE130">
            <v>0</v>
          </cell>
          <cell r="BF130">
            <v>15</v>
          </cell>
          <cell r="BG130">
            <v>286</v>
          </cell>
          <cell r="BH130">
            <v>0</v>
          </cell>
          <cell r="BI130">
            <v>0</v>
          </cell>
          <cell r="BJ130">
            <v>20160</v>
          </cell>
          <cell r="BK130">
            <v>2</v>
          </cell>
          <cell r="BL130">
            <v>20158</v>
          </cell>
        </row>
        <row r="131">
          <cell r="B131" t="str">
            <v>LMIXSYR1</v>
          </cell>
          <cell r="C131">
            <v>27360</v>
          </cell>
          <cell r="D131">
            <v>17670</v>
          </cell>
          <cell r="E131">
            <v>20970</v>
          </cell>
          <cell r="F131">
            <v>11280</v>
          </cell>
          <cell r="G131">
            <v>6390</v>
          </cell>
          <cell r="H131">
            <v>6390</v>
          </cell>
          <cell r="I131">
            <v>702</v>
          </cell>
          <cell r="J131">
            <v>702</v>
          </cell>
          <cell r="K131">
            <v>542</v>
          </cell>
          <cell r="L131">
            <v>135</v>
          </cell>
          <cell r="M131">
            <v>407</v>
          </cell>
          <cell r="N131">
            <v>160</v>
          </cell>
          <cell r="O131">
            <v>5688</v>
          </cell>
          <cell r="P131">
            <v>5688</v>
          </cell>
          <cell r="Q131">
            <v>1761</v>
          </cell>
          <cell r="R131">
            <v>1761</v>
          </cell>
          <cell r="S131">
            <v>3927</v>
          </cell>
          <cell r="T131">
            <v>3927</v>
          </cell>
          <cell r="U131">
            <v>191</v>
          </cell>
          <cell r="V131">
            <v>191</v>
          </cell>
          <cell r="W131">
            <v>0</v>
          </cell>
          <cell r="X131">
            <v>0</v>
          </cell>
          <cell r="Y131">
            <v>0</v>
          </cell>
          <cell r="Z131">
            <v>55</v>
          </cell>
          <cell r="AA131">
            <v>0</v>
          </cell>
          <cell r="AB131">
            <v>0</v>
          </cell>
          <cell r="AC131">
            <v>0</v>
          </cell>
          <cell r="AD131">
            <v>55</v>
          </cell>
          <cell r="AE131">
            <v>0</v>
          </cell>
          <cell r="AF131">
            <v>2078</v>
          </cell>
          <cell r="AG131">
            <v>324</v>
          </cell>
          <cell r="AH131">
            <v>1754</v>
          </cell>
          <cell r="AI131">
            <v>0</v>
          </cell>
          <cell r="AJ131">
            <v>0</v>
          </cell>
          <cell r="AK131">
            <v>0</v>
          </cell>
          <cell r="AL131">
            <v>510</v>
          </cell>
          <cell r="AM131">
            <v>0</v>
          </cell>
          <cell r="AN131">
            <v>510</v>
          </cell>
          <cell r="AO131">
            <v>1093</v>
          </cell>
          <cell r="AP131">
            <v>146</v>
          </cell>
          <cell r="AQ131">
            <v>0</v>
          </cell>
          <cell r="AR131">
            <v>261</v>
          </cell>
          <cell r="AS131">
            <v>0</v>
          </cell>
          <cell r="AT131">
            <v>160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225</v>
          </cell>
          <cell r="BC131">
            <v>0</v>
          </cell>
          <cell r="BD131">
            <v>0</v>
          </cell>
          <cell r="BE131">
            <v>0</v>
          </cell>
          <cell r="BF131">
            <v>15</v>
          </cell>
          <cell r="BG131">
            <v>286</v>
          </cell>
          <cell r="BH131">
            <v>0</v>
          </cell>
          <cell r="BI131">
            <v>0</v>
          </cell>
          <cell r="BJ131">
            <v>20160</v>
          </cell>
          <cell r="BK131">
            <v>2</v>
          </cell>
          <cell r="BL131">
            <v>20158</v>
          </cell>
        </row>
        <row r="132">
          <cell r="B132" t="str">
            <v>NBL SYR-FILLING</v>
          </cell>
          <cell r="C132">
            <v>54720</v>
          </cell>
          <cell r="D132">
            <v>35340</v>
          </cell>
          <cell r="E132">
            <v>41310</v>
          </cell>
          <cell r="F132">
            <v>21930</v>
          </cell>
          <cell r="G132">
            <v>13410</v>
          </cell>
          <cell r="H132">
            <v>13410</v>
          </cell>
          <cell r="I132">
            <v>2580</v>
          </cell>
          <cell r="J132">
            <v>2580</v>
          </cell>
          <cell r="K132">
            <v>2580</v>
          </cell>
          <cell r="L132">
            <v>30</v>
          </cell>
          <cell r="M132">
            <v>2550</v>
          </cell>
          <cell r="N132">
            <v>0</v>
          </cell>
          <cell r="O132">
            <v>10830</v>
          </cell>
          <cell r="P132">
            <v>10830</v>
          </cell>
          <cell r="Q132">
            <v>3700</v>
          </cell>
          <cell r="R132">
            <v>3700</v>
          </cell>
          <cell r="S132">
            <v>7130</v>
          </cell>
          <cell r="T132">
            <v>7130</v>
          </cell>
          <cell r="U132">
            <v>775</v>
          </cell>
          <cell r="V132">
            <v>640</v>
          </cell>
          <cell r="W132">
            <v>0</v>
          </cell>
          <cell r="X132">
            <v>115</v>
          </cell>
          <cell r="Y132">
            <v>20</v>
          </cell>
          <cell r="Z132">
            <v>120</v>
          </cell>
          <cell r="AA132">
            <v>120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3320</v>
          </cell>
          <cell r="AG132">
            <v>535</v>
          </cell>
          <cell r="AH132">
            <v>1495</v>
          </cell>
          <cell r="AI132">
            <v>0</v>
          </cell>
          <cell r="AJ132">
            <v>0</v>
          </cell>
          <cell r="AK132">
            <v>1290</v>
          </cell>
          <cell r="AL132">
            <v>360</v>
          </cell>
          <cell r="AM132">
            <v>0</v>
          </cell>
          <cell r="AN132">
            <v>360</v>
          </cell>
          <cell r="AO132">
            <v>2555</v>
          </cell>
          <cell r="AP132">
            <v>30</v>
          </cell>
          <cell r="AQ132">
            <v>0</v>
          </cell>
          <cell r="AR132">
            <v>615</v>
          </cell>
          <cell r="AS132">
            <v>0</v>
          </cell>
          <cell r="AT132">
            <v>390</v>
          </cell>
          <cell r="AU132">
            <v>15</v>
          </cell>
          <cell r="AV132">
            <v>0</v>
          </cell>
          <cell r="AW132">
            <v>0</v>
          </cell>
          <cell r="AX132">
            <v>1325</v>
          </cell>
          <cell r="AY132">
            <v>0</v>
          </cell>
          <cell r="AZ132">
            <v>0</v>
          </cell>
          <cell r="BA132">
            <v>0</v>
          </cell>
          <cell r="BB132">
            <v>120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60</v>
          </cell>
          <cell r="BH132">
            <v>0</v>
          </cell>
          <cell r="BI132">
            <v>0</v>
          </cell>
          <cell r="BJ132">
            <v>194603</v>
          </cell>
          <cell r="BK132">
            <v>250</v>
          </cell>
          <cell r="BL132">
            <v>194353</v>
          </cell>
        </row>
        <row r="133">
          <cell r="B133" t="str">
            <v>SYR109</v>
          </cell>
          <cell r="C133">
            <v>27360</v>
          </cell>
          <cell r="D133">
            <v>17670</v>
          </cell>
          <cell r="E133">
            <v>17730</v>
          </cell>
          <cell r="F133">
            <v>8040</v>
          </cell>
          <cell r="G133">
            <v>9630</v>
          </cell>
          <cell r="H133">
            <v>9630</v>
          </cell>
          <cell r="I133">
            <v>1710</v>
          </cell>
          <cell r="J133">
            <v>1710</v>
          </cell>
          <cell r="K133">
            <v>1710</v>
          </cell>
          <cell r="L133">
            <v>30</v>
          </cell>
          <cell r="M133">
            <v>1680</v>
          </cell>
          <cell r="N133">
            <v>0</v>
          </cell>
          <cell r="O133">
            <v>7920</v>
          </cell>
          <cell r="P133">
            <v>7920</v>
          </cell>
          <cell r="Q133">
            <v>2750</v>
          </cell>
          <cell r="R133">
            <v>2750</v>
          </cell>
          <cell r="S133">
            <v>5170</v>
          </cell>
          <cell r="T133">
            <v>5170</v>
          </cell>
          <cell r="U133">
            <v>495</v>
          </cell>
          <cell r="V133">
            <v>460</v>
          </cell>
          <cell r="W133">
            <v>0</v>
          </cell>
          <cell r="X133">
            <v>35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2390</v>
          </cell>
          <cell r="AG133">
            <v>240</v>
          </cell>
          <cell r="AH133">
            <v>1225</v>
          </cell>
          <cell r="AI133">
            <v>0</v>
          </cell>
          <cell r="AJ133">
            <v>0</v>
          </cell>
          <cell r="AK133">
            <v>925</v>
          </cell>
          <cell r="AL133">
            <v>360</v>
          </cell>
          <cell r="AM133">
            <v>0</v>
          </cell>
          <cell r="AN133">
            <v>360</v>
          </cell>
          <cell r="AO133">
            <v>1925</v>
          </cell>
          <cell r="AP133">
            <v>30</v>
          </cell>
          <cell r="AQ133">
            <v>0</v>
          </cell>
          <cell r="AR133">
            <v>465</v>
          </cell>
          <cell r="AS133">
            <v>0</v>
          </cell>
          <cell r="AT133">
            <v>270</v>
          </cell>
          <cell r="AU133">
            <v>0</v>
          </cell>
          <cell r="AV133">
            <v>0</v>
          </cell>
          <cell r="AW133">
            <v>0</v>
          </cell>
          <cell r="AX133">
            <v>1010</v>
          </cell>
          <cell r="AY133">
            <v>0</v>
          </cell>
          <cell r="AZ133">
            <v>0</v>
          </cell>
          <cell r="BA133">
            <v>0</v>
          </cell>
          <cell r="BB133">
            <v>120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30</v>
          </cell>
          <cell r="BH133">
            <v>0</v>
          </cell>
          <cell r="BI133">
            <v>0</v>
          </cell>
          <cell r="BJ133">
            <v>143931</v>
          </cell>
          <cell r="BK133">
            <v>174</v>
          </cell>
          <cell r="BL133">
            <v>143757</v>
          </cell>
        </row>
        <row r="134">
          <cell r="B134" t="str">
            <v>SYR110</v>
          </cell>
          <cell r="C134">
            <v>27360</v>
          </cell>
          <cell r="D134">
            <v>17670</v>
          </cell>
          <cell r="E134">
            <v>23580</v>
          </cell>
          <cell r="F134">
            <v>13890</v>
          </cell>
          <cell r="G134">
            <v>3780</v>
          </cell>
          <cell r="H134">
            <v>3780</v>
          </cell>
          <cell r="I134">
            <v>870</v>
          </cell>
          <cell r="J134">
            <v>870</v>
          </cell>
          <cell r="K134">
            <v>870</v>
          </cell>
          <cell r="L134">
            <v>0</v>
          </cell>
          <cell r="M134">
            <v>870</v>
          </cell>
          <cell r="N134">
            <v>0</v>
          </cell>
          <cell r="O134">
            <v>2910</v>
          </cell>
          <cell r="P134">
            <v>2910</v>
          </cell>
          <cell r="Q134">
            <v>950</v>
          </cell>
          <cell r="R134">
            <v>950</v>
          </cell>
          <cell r="S134">
            <v>1960</v>
          </cell>
          <cell r="T134">
            <v>1960</v>
          </cell>
          <cell r="U134">
            <v>280</v>
          </cell>
          <cell r="V134">
            <v>180</v>
          </cell>
          <cell r="W134">
            <v>0</v>
          </cell>
          <cell r="X134">
            <v>80</v>
          </cell>
          <cell r="Y134">
            <v>20</v>
          </cell>
          <cell r="Z134">
            <v>120</v>
          </cell>
          <cell r="AA134">
            <v>120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930</v>
          </cell>
          <cell r="AG134">
            <v>295</v>
          </cell>
          <cell r="AH134">
            <v>270</v>
          </cell>
          <cell r="AI134">
            <v>0</v>
          </cell>
          <cell r="AJ134">
            <v>0</v>
          </cell>
          <cell r="AK134">
            <v>365</v>
          </cell>
          <cell r="AL134">
            <v>0</v>
          </cell>
          <cell r="AM134">
            <v>0</v>
          </cell>
          <cell r="AN134">
            <v>0</v>
          </cell>
          <cell r="AO134">
            <v>630</v>
          </cell>
          <cell r="AP134">
            <v>0</v>
          </cell>
          <cell r="AQ134">
            <v>0</v>
          </cell>
          <cell r="AR134">
            <v>150</v>
          </cell>
          <cell r="AS134">
            <v>0</v>
          </cell>
          <cell r="AT134">
            <v>120</v>
          </cell>
          <cell r="AU134">
            <v>15</v>
          </cell>
          <cell r="AV134">
            <v>0</v>
          </cell>
          <cell r="AW134">
            <v>0</v>
          </cell>
          <cell r="AX134">
            <v>315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30</v>
          </cell>
          <cell r="BH134">
            <v>0</v>
          </cell>
          <cell r="BI134">
            <v>0</v>
          </cell>
          <cell r="BJ134">
            <v>50672</v>
          </cell>
          <cell r="BK134">
            <v>76</v>
          </cell>
          <cell r="BL134">
            <v>50596</v>
          </cell>
        </row>
        <row r="135">
          <cell r="B135" t="str">
            <v>NBL INJ-MIXING</v>
          </cell>
          <cell r="C135">
            <v>27360</v>
          </cell>
          <cell r="D135">
            <v>17670</v>
          </cell>
          <cell r="E135">
            <v>18990</v>
          </cell>
          <cell r="F135">
            <v>9300</v>
          </cell>
          <cell r="G135">
            <v>8370</v>
          </cell>
          <cell r="H135">
            <v>8370</v>
          </cell>
          <cell r="I135">
            <v>375</v>
          </cell>
          <cell r="J135">
            <v>375</v>
          </cell>
          <cell r="K135">
            <v>375</v>
          </cell>
          <cell r="L135">
            <v>10</v>
          </cell>
          <cell r="M135">
            <v>365</v>
          </cell>
          <cell r="N135">
            <v>0</v>
          </cell>
          <cell r="O135">
            <v>7995</v>
          </cell>
          <cell r="P135">
            <v>7995</v>
          </cell>
          <cell r="Q135">
            <v>2325</v>
          </cell>
          <cell r="R135">
            <v>2325</v>
          </cell>
          <cell r="S135">
            <v>5670</v>
          </cell>
          <cell r="T135">
            <v>5670</v>
          </cell>
          <cell r="U135">
            <v>185</v>
          </cell>
          <cell r="V135">
            <v>185</v>
          </cell>
          <cell r="W135">
            <v>0</v>
          </cell>
          <cell r="X135">
            <v>0</v>
          </cell>
          <cell r="Y135">
            <v>0</v>
          </cell>
          <cell r="Z135">
            <v>577</v>
          </cell>
          <cell r="AA135">
            <v>367</v>
          </cell>
          <cell r="AB135">
            <v>0</v>
          </cell>
          <cell r="AC135">
            <v>0</v>
          </cell>
          <cell r="AD135">
            <v>210</v>
          </cell>
          <cell r="AE135">
            <v>0</v>
          </cell>
          <cell r="AF135">
            <v>2891</v>
          </cell>
          <cell r="AG135">
            <v>601</v>
          </cell>
          <cell r="AH135">
            <v>1403</v>
          </cell>
          <cell r="AI135">
            <v>0</v>
          </cell>
          <cell r="AJ135">
            <v>887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2017</v>
          </cell>
          <cell r="AP135">
            <v>0</v>
          </cell>
          <cell r="AQ135">
            <v>0</v>
          </cell>
          <cell r="AR135">
            <v>385</v>
          </cell>
          <cell r="AS135">
            <v>15</v>
          </cell>
          <cell r="AT135">
            <v>395</v>
          </cell>
          <cell r="AU135">
            <v>0</v>
          </cell>
          <cell r="AV135">
            <v>60</v>
          </cell>
          <cell r="AW135">
            <v>0</v>
          </cell>
          <cell r="AX135">
            <v>0</v>
          </cell>
          <cell r="AY135">
            <v>40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1122</v>
          </cell>
          <cell r="BG135">
            <v>0</v>
          </cell>
          <cell r="BH135">
            <v>0</v>
          </cell>
          <cell r="BI135">
            <v>0</v>
          </cell>
          <cell r="BJ135">
            <v>1254</v>
          </cell>
          <cell r="BK135">
            <v>0</v>
          </cell>
          <cell r="BL135">
            <v>1254</v>
          </cell>
        </row>
        <row r="136">
          <cell r="B136" t="str">
            <v>LMIXINJ1</v>
          </cell>
          <cell r="C136">
            <v>27360</v>
          </cell>
          <cell r="D136">
            <v>17670</v>
          </cell>
          <cell r="E136">
            <v>18990</v>
          </cell>
          <cell r="F136">
            <v>9300</v>
          </cell>
          <cell r="G136">
            <v>8370</v>
          </cell>
          <cell r="H136">
            <v>8370</v>
          </cell>
          <cell r="I136">
            <v>375</v>
          </cell>
          <cell r="J136">
            <v>375</v>
          </cell>
          <cell r="K136">
            <v>375</v>
          </cell>
          <cell r="L136">
            <v>10</v>
          </cell>
          <cell r="M136">
            <v>365</v>
          </cell>
          <cell r="N136">
            <v>0</v>
          </cell>
          <cell r="O136">
            <v>7995</v>
          </cell>
          <cell r="P136">
            <v>7995</v>
          </cell>
          <cell r="Q136">
            <v>2325</v>
          </cell>
          <cell r="R136">
            <v>2325</v>
          </cell>
          <cell r="S136">
            <v>5670</v>
          </cell>
          <cell r="T136">
            <v>5670</v>
          </cell>
          <cell r="U136">
            <v>185</v>
          </cell>
          <cell r="V136">
            <v>185</v>
          </cell>
          <cell r="W136">
            <v>0</v>
          </cell>
          <cell r="X136">
            <v>0</v>
          </cell>
          <cell r="Y136">
            <v>0</v>
          </cell>
          <cell r="Z136">
            <v>577</v>
          </cell>
          <cell r="AA136">
            <v>367</v>
          </cell>
          <cell r="AB136">
            <v>0</v>
          </cell>
          <cell r="AC136">
            <v>0</v>
          </cell>
          <cell r="AD136">
            <v>210</v>
          </cell>
          <cell r="AE136">
            <v>0</v>
          </cell>
          <cell r="AF136">
            <v>2891</v>
          </cell>
          <cell r="AG136">
            <v>601</v>
          </cell>
          <cell r="AH136">
            <v>1403</v>
          </cell>
          <cell r="AI136">
            <v>0</v>
          </cell>
          <cell r="AJ136">
            <v>887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2017</v>
          </cell>
          <cell r="AP136">
            <v>0</v>
          </cell>
          <cell r="AQ136">
            <v>0</v>
          </cell>
          <cell r="AR136">
            <v>385</v>
          </cell>
          <cell r="AS136">
            <v>15</v>
          </cell>
          <cell r="AT136">
            <v>395</v>
          </cell>
          <cell r="AU136">
            <v>0</v>
          </cell>
          <cell r="AV136">
            <v>60</v>
          </cell>
          <cell r="AW136">
            <v>0</v>
          </cell>
          <cell r="AX136">
            <v>0</v>
          </cell>
          <cell r="AY136">
            <v>40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1122</v>
          </cell>
          <cell r="BG136">
            <v>0</v>
          </cell>
          <cell r="BH136">
            <v>0</v>
          </cell>
          <cell r="BI136">
            <v>0</v>
          </cell>
          <cell r="BJ136">
            <v>1254</v>
          </cell>
          <cell r="BK136">
            <v>0</v>
          </cell>
          <cell r="BL136">
            <v>1254</v>
          </cell>
        </row>
        <row r="137">
          <cell r="B137" t="str">
            <v>NBL INJ-FILLING</v>
          </cell>
          <cell r="C137">
            <v>54720</v>
          </cell>
          <cell r="D137">
            <v>35340</v>
          </cell>
          <cell r="E137">
            <v>27120</v>
          </cell>
          <cell r="F137">
            <v>7740</v>
          </cell>
          <cell r="G137">
            <v>27600</v>
          </cell>
          <cell r="H137">
            <v>27600</v>
          </cell>
          <cell r="I137">
            <v>1620</v>
          </cell>
          <cell r="J137">
            <v>1620</v>
          </cell>
          <cell r="K137">
            <v>1620</v>
          </cell>
          <cell r="L137">
            <v>165</v>
          </cell>
          <cell r="M137">
            <v>1455</v>
          </cell>
          <cell r="N137">
            <v>0</v>
          </cell>
          <cell r="O137">
            <v>25980</v>
          </cell>
          <cell r="P137">
            <v>25980</v>
          </cell>
          <cell r="Q137">
            <v>9448</v>
          </cell>
          <cell r="R137">
            <v>9448</v>
          </cell>
          <cell r="S137">
            <v>16532</v>
          </cell>
          <cell r="T137">
            <v>16532</v>
          </cell>
          <cell r="U137">
            <v>2395</v>
          </cell>
          <cell r="V137">
            <v>2033</v>
          </cell>
          <cell r="W137">
            <v>137</v>
          </cell>
          <cell r="X137">
            <v>202</v>
          </cell>
          <cell r="Y137">
            <v>23</v>
          </cell>
          <cell r="Z137">
            <v>1098</v>
          </cell>
          <cell r="AA137">
            <v>868</v>
          </cell>
          <cell r="AB137">
            <v>120</v>
          </cell>
          <cell r="AC137">
            <v>0</v>
          </cell>
          <cell r="AD137">
            <v>110</v>
          </cell>
          <cell r="AE137">
            <v>0</v>
          </cell>
          <cell r="AF137">
            <v>5483</v>
          </cell>
          <cell r="AG137">
            <v>1385</v>
          </cell>
          <cell r="AH137">
            <v>4073</v>
          </cell>
          <cell r="AI137">
            <v>25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7556</v>
          </cell>
          <cell r="AP137">
            <v>0</v>
          </cell>
          <cell r="AQ137">
            <v>0</v>
          </cell>
          <cell r="AR137">
            <v>1640</v>
          </cell>
          <cell r="AS137">
            <v>60</v>
          </cell>
          <cell r="AT137">
            <v>1737</v>
          </cell>
          <cell r="AU137">
            <v>0</v>
          </cell>
          <cell r="AV137">
            <v>40</v>
          </cell>
          <cell r="AW137">
            <v>20</v>
          </cell>
          <cell r="AX137">
            <v>0</v>
          </cell>
          <cell r="AY137">
            <v>555</v>
          </cell>
          <cell r="AZ137">
            <v>0</v>
          </cell>
          <cell r="BA137">
            <v>0</v>
          </cell>
          <cell r="BB137">
            <v>3358</v>
          </cell>
          <cell r="BC137">
            <v>0</v>
          </cell>
          <cell r="BD137">
            <v>0</v>
          </cell>
          <cell r="BE137">
            <v>0</v>
          </cell>
          <cell r="BF137">
            <v>76</v>
          </cell>
          <cell r="BG137">
            <v>70</v>
          </cell>
          <cell r="BH137">
            <v>0</v>
          </cell>
          <cell r="BI137">
            <v>0</v>
          </cell>
          <cell r="BJ137">
            <v>955506</v>
          </cell>
          <cell r="BK137">
            <v>205</v>
          </cell>
          <cell r="BL137">
            <v>955301</v>
          </cell>
        </row>
        <row r="138">
          <cell r="B138" t="str">
            <v>GINLINE3</v>
          </cell>
          <cell r="C138">
            <v>27360</v>
          </cell>
          <cell r="D138">
            <v>17670</v>
          </cell>
          <cell r="E138">
            <v>15840</v>
          </cell>
          <cell r="F138">
            <v>6150</v>
          </cell>
          <cell r="G138">
            <v>11520</v>
          </cell>
          <cell r="H138">
            <v>11520</v>
          </cell>
          <cell r="I138">
            <v>920</v>
          </cell>
          <cell r="J138">
            <v>920</v>
          </cell>
          <cell r="K138">
            <v>920</v>
          </cell>
          <cell r="L138">
            <v>130</v>
          </cell>
          <cell r="M138">
            <v>790</v>
          </cell>
          <cell r="N138">
            <v>0</v>
          </cell>
          <cell r="O138">
            <v>10600</v>
          </cell>
          <cell r="P138">
            <v>10600</v>
          </cell>
          <cell r="Q138">
            <v>2482</v>
          </cell>
          <cell r="R138">
            <v>2482</v>
          </cell>
          <cell r="S138">
            <v>8118</v>
          </cell>
          <cell r="T138">
            <v>8118</v>
          </cell>
          <cell r="U138">
            <v>1190</v>
          </cell>
          <cell r="V138">
            <v>998</v>
          </cell>
          <cell r="W138">
            <v>137</v>
          </cell>
          <cell r="X138">
            <v>32</v>
          </cell>
          <cell r="Y138">
            <v>23</v>
          </cell>
          <cell r="Z138">
            <v>300</v>
          </cell>
          <cell r="AA138">
            <v>200</v>
          </cell>
          <cell r="AB138">
            <v>20</v>
          </cell>
          <cell r="AC138">
            <v>0</v>
          </cell>
          <cell r="AD138">
            <v>80</v>
          </cell>
          <cell r="AE138">
            <v>0</v>
          </cell>
          <cell r="AF138">
            <v>2944</v>
          </cell>
          <cell r="AG138">
            <v>1036</v>
          </cell>
          <cell r="AH138">
            <v>1883</v>
          </cell>
          <cell r="AI138">
            <v>25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3684</v>
          </cell>
          <cell r="AP138">
            <v>0</v>
          </cell>
          <cell r="AQ138">
            <v>0</v>
          </cell>
          <cell r="AR138">
            <v>660</v>
          </cell>
          <cell r="AS138">
            <v>30</v>
          </cell>
          <cell r="AT138">
            <v>782</v>
          </cell>
          <cell r="AU138">
            <v>0</v>
          </cell>
          <cell r="AV138">
            <v>0</v>
          </cell>
          <cell r="AW138">
            <v>20</v>
          </cell>
          <cell r="AX138">
            <v>0</v>
          </cell>
          <cell r="AY138">
            <v>255</v>
          </cell>
          <cell r="AZ138">
            <v>0</v>
          </cell>
          <cell r="BA138">
            <v>0</v>
          </cell>
          <cell r="BB138">
            <v>1891</v>
          </cell>
          <cell r="BC138">
            <v>0</v>
          </cell>
          <cell r="BD138">
            <v>0</v>
          </cell>
          <cell r="BE138">
            <v>0</v>
          </cell>
          <cell r="BF138">
            <v>46</v>
          </cell>
          <cell r="BG138">
            <v>0</v>
          </cell>
          <cell r="BH138">
            <v>0</v>
          </cell>
          <cell r="BI138">
            <v>0</v>
          </cell>
          <cell r="BJ138">
            <v>355408</v>
          </cell>
          <cell r="BK138">
            <v>0</v>
          </cell>
          <cell r="BL138">
            <v>355408</v>
          </cell>
        </row>
        <row r="139">
          <cell r="B139" t="str">
            <v>GINLINE4</v>
          </cell>
          <cell r="C139">
            <v>27360</v>
          </cell>
          <cell r="D139">
            <v>17670</v>
          </cell>
          <cell r="E139">
            <v>11280</v>
          </cell>
          <cell r="F139">
            <v>1590</v>
          </cell>
          <cell r="G139">
            <v>16080</v>
          </cell>
          <cell r="H139">
            <v>16080</v>
          </cell>
          <cell r="I139">
            <v>700</v>
          </cell>
          <cell r="J139">
            <v>700</v>
          </cell>
          <cell r="K139">
            <v>700</v>
          </cell>
          <cell r="L139">
            <v>35</v>
          </cell>
          <cell r="M139">
            <v>665</v>
          </cell>
          <cell r="N139">
            <v>0</v>
          </cell>
          <cell r="O139">
            <v>15380</v>
          </cell>
          <cell r="P139">
            <v>15380</v>
          </cell>
          <cell r="Q139">
            <v>6966</v>
          </cell>
          <cell r="R139">
            <v>6966</v>
          </cell>
          <cell r="S139">
            <v>8414</v>
          </cell>
          <cell r="T139">
            <v>8414</v>
          </cell>
          <cell r="U139">
            <v>1205</v>
          </cell>
          <cell r="V139">
            <v>1035</v>
          </cell>
          <cell r="W139">
            <v>0</v>
          </cell>
          <cell r="X139">
            <v>170</v>
          </cell>
          <cell r="Y139">
            <v>0</v>
          </cell>
          <cell r="Z139">
            <v>798</v>
          </cell>
          <cell r="AA139">
            <v>668</v>
          </cell>
          <cell r="AB139">
            <v>100</v>
          </cell>
          <cell r="AC139">
            <v>0</v>
          </cell>
          <cell r="AD139">
            <v>30</v>
          </cell>
          <cell r="AE139">
            <v>0</v>
          </cell>
          <cell r="AF139">
            <v>2539</v>
          </cell>
          <cell r="AG139">
            <v>349</v>
          </cell>
          <cell r="AH139">
            <v>2190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3872</v>
          </cell>
          <cell r="AP139">
            <v>0</v>
          </cell>
          <cell r="AQ139">
            <v>0</v>
          </cell>
          <cell r="AR139">
            <v>980</v>
          </cell>
          <cell r="AS139">
            <v>30</v>
          </cell>
          <cell r="AT139">
            <v>955</v>
          </cell>
          <cell r="AU139">
            <v>0</v>
          </cell>
          <cell r="AV139">
            <v>40</v>
          </cell>
          <cell r="AW139">
            <v>0</v>
          </cell>
          <cell r="AX139">
            <v>0</v>
          </cell>
          <cell r="AY139">
            <v>300</v>
          </cell>
          <cell r="AZ139">
            <v>0</v>
          </cell>
          <cell r="BA139">
            <v>0</v>
          </cell>
          <cell r="BB139">
            <v>1467</v>
          </cell>
          <cell r="BC139">
            <v>0</v>
          </cell>
          <cell r="BD139">
            <v>0</v>
          </cell>
          <cell r="BE139">
            <v>0</v>
          </cell>
          <cell r="BF139">
            <v>30</v>
          </cell>
          <cell r="BG139">
            <v>70</v>
          </cell>
          <cell r="BH139">
            <v>0</v>
          </cell>
          <cell r="BI139">
            <v>0</v>
          </cell>
          <cell r="BJ139">
            <v>600098</v>
          </cell>
          <cell r="BK139">
            <v>205</v>
          </cell>
          <cell r="BL139">
            <v>599893</v>
          </cell>
        </row>
        <row r="140">
          <cell r="B140" t="str">
            <v>NBL INJ-STERILIZATION</v>
          </cell>
          <cell r="C140">
            <v>84960</v>
          </cell>
          <cell r="D140">
            <v>54870</v>
          </cell>
          <cell r="E140">
            <v>42195</v>
          </cell>
          <cell r="F140">
            <v>12105</v>
          </cell>
          <cell r="G140">
            <v>42765</v>
          </cell>
          <cell r="H140">
            <v>42765</v>
          </cell>
          <cell r="I140">
            <v>7336</v>
          </cell>
          <cell r="J140">
            <v>7336</v>
          </cell>
          <cell r="K140">
            <v>7336</v>
          </cell>
          <cell r="L140">
            <v>4942</v>
          </cell>
          <cell r="M140">
            <v>2394</v>
          </cell>
          <cell r="N140">
            <v>0</v>
          </cell>
          <cell r="O140">
            <v>35429</v>
          </cell>
          <cell r="P140">
            <v>35429</v>
          </cell>
          <cell r="Q140">
            <v>16043</v>
          </cell>
          <cell r="R140">
            <v>16043</v>
          </cell>
          <cell r="S140">
            <v>19386</v>
          </cell>
          <cell r="T140">
            <v>19386</v>
          </cell>
          <cell r="U140">
            <v>815</v>
          </cell>
          <cell r="V140">
            <v>698</v>
          </cell>
          <cell r="W140">
            <v>60</v>
          </cell>
          <cell r="X140">
            <v>57</v>
          </cell>
          <cell r="Y140">
            <v>0</v>
          </cell>
          <cell r="Z140">
            <v>402</v>
          </cell>
          <cell r="AA140">
            <v>0</v>
          </cell>
          <cell r="AB140">
            <v>0</v>
          </cell>
          <cell r="AC140">
            <v>0</v>
          </cell>
          <cell r="AD140">
            <v>402</v>
          </cell>
          <cell r="AE140">
            <v>0</v>
          </cell>
          <cell r="AF140">
            <v>9233</v>
          </cell>
          <cell r="AG140">
            <v>6887</v>
          </cell>
          <cell r="AH140">
            <v>2036</v>
          </cell>
          <cell r="AI140">
            <v>95</v>
          </cell>
          <cell r="AJ140">
            <v>0</v>
          </cell>
          <cell r="AK140">
            <v>215</v>
          </cell>
          <cell r="AL140">
            <v>0</v>
          </cell>
          <cell r="AM140">
            <v>0</v>
          </cell>
          <cell r="AN140">
            <v>0</v>
          </cell>
          <cell r="AO140">
            <v>8936</v>
          </cell>
          <cell r="AP140">
            <v>0</v>
          </cell>
          <cell r="AQ140">
            <v>0</v>
          </cell>
          <cell r="AR140">
            <v>832</v>
          </cell>
          <cell r="AS140">
            <v>50</v>
          </cell>
          <cell r="AT140">
            <v>462</v>
          </cell>
          <cell r="AU140">
            <v>1495</v>
          </cell>
          <cell r="AV140">
            <v>0</v>
          </cell>
          <cell r="AW140">
            <v>0</v>
          </cell>
          <cell r="AX140">
            <v>5790</v>
          </cell>
          <cell r="AY140">
            <v>307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1221</v>
          </cell>
          <cell r="BK140">
            <v>0</v>
          </cell>
          <cell r="BL140">
            <v>1221</v>
          </cell>
        </row>
        <row r="141">
          <cell r="B141" t="str">
            <v>INJ105</v>
          </cell>
          <cell r="C141">
            <v>28800</v>
          </cell>
          <cell r="D141">
            <v>18600</v>
          </cell>
          <cell r="E141">
            <v>12300</v>
          </cell>
          <cell r="F141">
            <v>2100</v>
          </cell>
          <cell r="G141">
            <v>16500</v>
          </cell>
          <cell r="H141">
            <v>16500</v>
          </cell>
          <cell r="I141">
            <v>4619</v>
          </cell>
          <cell r="J141">
            <v>4619</v>
          </cell>
          <cell r="K141">
            <v>4619</v>
          </cell>
          <cell r="L141">
            <v>3999</v>
          </cell>
          <cell r="M141">
            <v>620</v>
          </cell>
          <cell r="N141">
            <v>0</v>
          </cell>
          <cell r="O141">
            <v>11881</v>
          </cell>
          <cell r="P141">
            <v>11881</v>
          </cell>
          <cell r="Q141">
            <v>5131</v>
          </cell>
          <cell r="R141">
            <v>5131</v>
          </cell>
          <cell r="S141">
            <v>6750</v>
          </cell>
          <cell r="T141">
            <v>6750</v>
          </cell>
          <cell r="U141">
            <v>165</v>
          </cell>
          <cell r="V141">
            <v>165</v>
          </cell>
          <cell r="W141">
            <v>0</v>
          </cell>
          <cell r="X141">
            <v>0</v>
          </cell>
          <cell r="Y141">
            <v>0</v>
          </cell>
          <cell r="Z141">
            <v>116</v>
          </cell>
          <cell r="AA141">
            <v>0</v>
          </cell>
          <cell r="AB141">
            <v>0</v>
          </cell>
          <cell r="AC141">
            <v>0</v>
          </cell>
          <cell r="AD141">
            <v>116</v>
          </cell>
          <cell r="AE141">
            <v>0</v>
          </cell>
          <cell r="AF141">
            <v>2166</v>
          </cell>
          <cell r="AG141">
            <v>1077</v>
          </cell>
          <cell r="AH141">
            <v>1089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4303</v>
          </cell>
          <cell r="AP141">
            <v>0</v>
          </cell>
          <cell r="AQ141">
            <v>0</v>
          </cell>
          <cell r="AR141">
            <v>170</v>
          </cell>
          <cell r="AS141">
            <v>0</v>
          </cell>
          <cell r="AT141">
            <v>40</v>
          </cell>
          <cell r="AU141">
            <v>0</v>
          </cell>
          <cell r="AV141">
            <v>0</v>
          </cell>
          <cell r="AW141">
            <v>0</v>
          </cell>
          <cell r="AX141">
            <v>4075</v>
          </cell>
          <cell r="AY141">
            <v>18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511</v>
          </cell>
          <cell r="BK141">
            <v>0</v>
          </cell>
          <cell r="BL141">
            <v>511</v>
          </cell>
        </row>
        <row r="142">
          <cell r="B142" t="str">
            <v>INJ106</v>
          </cell>
          <cell r="C142">
            <v>28800</v>
          </cell>
          <cell r="D142">
            <v>18600</v>
          </cell>
          <cell r="E142">
            <v>11857</v>
          </cell>
          <cell r="F142">
            <v>1657</v>
          </cell>
          <cell r="G142">
            <v>16943</v>
          </cell>
          <cell r="H142">
            <v>16943</v>
          </cell>
          <cell r="I142">
            <v>1267</v>
          </cell>
          <cell r="J142">
            <v>1267</v>
          </cell>
          <cell r="K142">
            <v>1267</v>
          </cell>
          <cell r="L142">
            <v>898</v>
          </cell>
          <cell r="M142">
            <v>369</v>
          </cell>
          <cell r="N142">
            <v>0</v>
          </cell>
          <cell r="O142">
            <v>15676</v>
          </cell>
          <cell r="P142">
            <v>15676</v>
          </cell>
          <cell r="Q142">
            <v>9713</v>
          </cell>
          <cell r="R142">
            <v>9713</v>
          </cell>
          <cell r="S142">
            <v>5963</v>
          </cell>
          <cell r="T142">
            <v>5963</v>
          </cell>
          <cell r="U142">
            <v>52</v>
          </cell>
          <cell r="V142">
            <v>52</v>
          </cell>
          <cell r="W142">
            <v>0</v>
          </cell>
          <cell r="X142">
            <v>0</v>
          </cell>
          <cell r="Y142">
            <v>0</v>
          </cell>
          <cell r="Z142">
            <v>286</v>
          </cell>
          <cell r="AA142">
            <v>0</v>
          </cell>
          <cell r="AB142">
            <v>0</v>
          </cell>
          <cell r="AC142">
            <v>0</v>
          </cell>
          <cell r="AD142">
            <v>286</v>
          </cell>
          <cell r="AE142">
            <v>0</v>
          </cell>
          <cell r="AF142">
            <v>5029</v>
          </cell>
          <cell r="AG142">
            <v>4542</v>
          </cell>
          <cell r="AH142">
            <v>487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596</v>
          </cell>
          <cell r="AP142">
            <v>0</v>
          </cell>
          <cell r="AQ142">
            <v>0</v>
          </cell>
          <cell r="AR142">
            <v>327</v>
          </cell>
          <cell r="AS142">
            <v>0</v>
          </cell>
          <cell r="AT142">
            <v>130</v>
          </cell>
          <cell r="AU142">
            <v>0</v>
          </cell>
          <cell r="AV142">
            <v>0</v>
          </cell>
          <cell r="AW142">
            <v>0</v>
          </cell>
          <cell r="AX142">
            <v>90</v>
          </cell>
          <cell r="AY142">
            <v>49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686</v>
          </cell>
          <cell r="BK142">
            <v>0</v>
          </cell>
          <cell r="BL142">
            <v>686</v>
          </cell>
        </row>
        <row r="143">
          <cell r="B143" t="str">
            <v>INJ107</v>
          </cell>
          <cell r="C143">
            <v>27360</v>
          </cell>
          <cell r="D143">
            <v>17670</v>
          </cell>
          <cell r="E143">
            <v>18038</v>
          </cell>
          <cell r="F143">
            <v>8348</v>
          </cell>
          <cell r="G143">
            <v>9322</v>
          </cell>
          <cell r="H143">
            <v>9322</v>
          </cell>
          <cell r="I143">
            <v>1450</v>
          </cell>
          <cell r="J143">
            <v>1450</v>
          </cell>
          <cell r="K143">
            <v>1450</v>
          </cell>
          <cell r="L143">
            <v>45</v>
          </cell>
          <cell r="M143">
            <v>1405</v>
          </cell>
          <cell r="N143">
            <v>0</v>
          </cell>
          <cell r="O143">
            <v>7872</v>
          </cell>
          <cell r="P143">
            <v>7872</v>
          </cell>
          <cell r="Q143">
            <v>1199</v>
          </cell>
          <cell r="R143">
            <v>1199</v>
          </cell>
          <cell r="S143">
            <v>6673</v>
          </cell>
          <cell r="T143">
            <v>6673</v>
          </cell>
          <cell r="U143">
            <v>598</v>
          </cell>
          <cell r="V143">
            <v>481</v>
          </cell>
          <cell r="W143">
            <v>60</v>
          </cell>
          <cell r="X143">
            <v>57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2038</v>
          </cell>
          <cell r="AG143">
            <v>1268</v>
          </cell>
          <cell r="AH143">
            <v>460</v>
          </cell>
          <cell r="AI143">
            <v>95</v>
          </cell>
          <cell r="AJ143">
            <v>0</v>
          </cell>
          <cell r="AK143">
            <v>215</v>
          </cell>
          <cell r="AL143">
            <v>0</v>
          </cell>
          <cell r="AM143">
            <v>0</v>
          </cell>
          <cell r="AN143">
            <v>0</v>
          </cell>
          <cell r="AO143">
            <v>4037</v>
          </cell>
          <cell r="AP143">
            <v>0</v>
          </cell>
          <cell r="AQ143">
            <v>0</v>
          </cell>
          <cell r="AR143">
            <v>335</v>
          </cell>
          <cell r="AS143">
            <v>50</v>
          </cell>
          <cell r="AT143">
            <v>292</v>
          </cell>
          <cell r="AU143">
            <v>1495</v>
          </cell>
          <cell r="AV143">
            <v>0</v>
          </cell>
          <cell r="AW143">
            <v>0</v>
          </cell>
          <cell r="AX143">
            <v>1625</v>
          </cell>
          <cell r="AY143">
            <v>240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24</v>
          </cell>
          <cell r="BK143">
            <v>0</v>
          </cell>
          <cell r="BL143">
            <v>24</v>
          </cell>
        </row>
        <row r="144">
          <cell r="B144" t="str">
            <v>NBL SECONDARY PACKING</v>
          </cell>
          <cell r="C144">
            <v>167040</v>
          </cell>
          <cell r="D144">
            <v>64230</v>
          </cell>
          <cell r="E144">
            <v>118230</v>
          </cell>
          <cell r="F144">
            <v>15420</v>
          </cell>
          <cell r="G144">
            <v>48810</v>
          </cell>
          <cell r="H144">
            <v>48810</v>
          </cell>
          <cell r="I144">
            <v>5040</v>
          </cell>
          <cell r="J144">
            <v>5040</v>
          </cell>
          <cell r="K144">
            <v>5040</v>
          </cell>
          <cell r="L144">
            <v>1350</v>
          </cell>
          <cell r="M144">
            <v>3690</v>
          </cell>
          <cell r="N144">
            <v>0</v>
          </cell>
          <cell r="O144">
            <v>43770</v>
          </cell>
          <cell r="P144">
            <v>43770</v>
          </cell>
          <cell r="Q144">
            <v>27709</v>
          </cell>
          <cell r="R144">
            <v>27709</v>
          </cell>
          <cell r="S144">
            <v>16061</v>
          </cell>
          <cell r="T144">
            <v>16061</v>
          </cell>
          <cell r="U144">
            <v>2721</v>
          </cell>
          <cell r="V144">
            <v>1796</v>
          </cell>
          <cell r="W144">
            <v>148</v>
          </cell>
          <cell r="X144">
            <v>55</v>
          </cell>
          <cell r="Y144">
            <v>722</v>
          </cell>
          <cell r="Z144">
            <v>65</v>
          </cell>
          <cell r="AA144">
            <v>65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3838</v>
          </cell>
          <cell r="AG144">
            <v>2093</v>
          </cell>
          <cell r="AH144">
            <v>1655</v>
          </cell>
          <cell r="AI144">
            <v>0</v>
          </cell>
          <cell r="AJ144">
            <v>0</v>
          </cell>
          <cell r="AK144">
            <v>90</v>
          </cell>
          <cell r="AL144">
            <v>0</v>
          </cell>
          <cell r="AM144">
            <v>0</v>
          </cell>
          <cell r="AN144">
            <v>0</v>
          </cell>
          <cell r="AO144">
            <v>9437</v>
          </cell>
          <cell r="AP144">
            <v>0</v>
          </cell>
          <cell r="AQ144">
            <v>975</v>
          </cell>
          <cell r="AR144">
            <v>2610</v>
          </cell>
          <cell r="AS144">
            <v>0</v>
          </cell>
          <cell r="AT144">
            <v>1405</v>
          </cell>
          <cell r="AU144">
            <v>430</v>
          </cell>
          <cell r="AV144">
            <v>0</v>
          </cell>
          <cell r="AW144">
            <v>0</v>
          </cell>
          <cell r="AX144">
            <v>1725</v>
          </cell>
          <cell r="AY144">
            <v>709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1583</v>
          </cell>
          <cell r="BG144">
            <v>0</v>
          </cell>
          <cell r="BH144">
            <v>0</v>
          </cell>
          <cell r="BI144">
            <v>0</v>
          </cell>
          <cell r="BJ144">
            <v>1443293</v>
          </cell>
          <cell r="BK144">
            <v>75</v>
          </cell>
          <cell r="BL144">
            <v>1443218</v>
          </cell>
        </row>
        <row r="145">
          <cell r="B145" t="str">
            <v>PAK101</v>
          </cell>
          <cell r="C145">
            <v>28800</v>
          </cell>
          <cell r="D145">
            <v>9600</v>
          </cell>
          <cell r="E145">
            <v>14610</v>
          </cell>
          <cell r="F145">
            <v>-4590</v>
          </cell>
          <cell r="G145">
            <v>14190</v>
          </cell>
          <cell r="H145">
            <v>14190</v>
          </cell>
          <cell r="I145">
            <v>310</v>
          </cell>
          <cell r="J145">
            <v>310</v>
          </cell>
          <cell r="K145">
            <v>310</v>
          </cell>
          <cell r="L145">
            <v>255</v>
          </cell>
          <cell r="M145">
            <v>55</v>
          </cell>
          <cell r="N145">
            <v>0</v>
          </cell>
          <cell r="O145">
            <v>13880</v>
          </cell>
          <cell r="P145">
            <v>13880</v>
          </cell>
          <cell r="Q145">
            <v>9633</v>
          </cell>
          <cell r="R145">
            <v>9633</v>
          </cell>
          <cell r="S145">
            <v>4247</v>
          </cell>
          <cell r="T145">
            <v>4247</v>
          </cell>
          <cell r="U145">
            <v>445</v>
          </cell>
          <cell r="V145">
            <v>442</v>
          </cell>
          <cell r="W145">
            <v>3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957</v>
          </cell>
          <cell r="AG145">
            <v>347</v>
          </cell>
          <cell r="AH145">
            <v>580</v>
          </cell>
          <cell r="AI145">
            <v>0</v>
          </cell>
          <cell r="AJ145">
            <v>0</v>
          </cell>
          <cell r="AK145">
            <v>30</v>
          </cell>
          <cell r="AL145">
            <v>0</v>
          </cell>
          <cell r="AM145">
            <v>0</v>
          </cell>
          <cell r="AN145">
            <v>0</v>
          </cell>
          <cell r="AO145">
            <v>2845</v>
          </cell>
          <cell r="AP145">
            <v>0</v>
          </cell>
          <cell r="AQ145">
            <v>720</v>
          </cell>
          <cell r="AR145">
            <v>870</v>
          </cell>
          <cell r="AS145">
            <v>0</v>
          </cell>
          <cell r="AT145">
            <v>420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254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581</v>
          </cell>
          <cell r="BG145">
            <v>0</v>
          </cell>
          <cell r="BH145">
            <v>0</v>
          </cell>
          <cell r="BI145">
            <v>0</v>
          </cell>
          <cell r="BJ145">
            <v>394220</v>
          </cell>
          <cell r="BK145">
            <v>38</v>
          </cell>
          <cell r="BL145">
            <v>394182</v>
          </cell>
        </row>
        <row r="146">
          <cell r="B146" t="str">
            <v>PAK103</v>
          </cell>
          <cell r="C146">
            <v>28800</v>
          </cell>
          <cell r="D146">
            <v>9600</v>
          </cell>
          <cell r="E146">
            <v>13230</v>
          </cell>
          <cell r="F146">
            <v>-5970</v>
          </cell>
          <cell r="G146">
            <v>15570</v>
          </cell>
          <cell r="H146">
            <v>15570</v>
          </cell>
          <cell r="I146">
            <v>845</v>
          </cell>
          <cell r="J146">
            <v>845</v>
          </cell>
          <cell r="K146">
            <v>845</v>
          </cell>
          <cell r="L146">
            <v>615</v>
          </cell>
          <cell r="M146">
            <v>230</v>
          </cell>
          <cell r="N146">
            <v>0</v>
          </cell>
          <cell r="O146">
            <v>14725</v>
          </cell>
          <cell r="P146">
            <v>14725</v>
          </cell>
          <cell r="Q146">
            <v>11045</v>
          </cell>
          <cell r="R146">
            <v>11045</v>
          </cell>
          <cell r="S146">
            <v>3680</v>
          </cell>
          <cell r="T146">
            <v>3680</v>
          </cell>
          <cell r="U146">
            <v>209</v>
          </cell>
          <cell r="V146">
            <v>209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839</v>
          </cell>
          <cell r="AG146">
            <v>239</v>
          </cell>
          <cell r="AH146">
            <v>540</v>
          </cell>
          <cell r="AI146">
            <v>0</v>
          </cell>
          <cell r="AJ146">
            <v>0</v>
          </cell>
          <cell r="AK146">
            <v>60</v>
          </cell>
          <cell r="AL146">
            <v>0</v>
          </cell>
          <cell r="AM146">
            <v>0</v>
          </cell>
          <cell r="AN146">
            <v>0</v>
          </cell>
          <cell r="AO146">
            <v>2632</v>
          </cell>
          <cell r="AP146">
            <v>0</v>
          </cell>
          <cell r="AQ146">
            <v>255</v>
          </cell>
          <cell r="AR146">
            <v>900</v>
          </cell>
          <cell r="AS146">
            <v>0</v>
          </cell>
          <cell r="AT146">
            <v>435</v>
          </cell>
          <cell r="AU146">
            <v>170</v>
          </cell>
          <cell r="AV146">
            <v>0</v>
          </cell>
          <cell r="AW146">
            <v>0</v>
          </cell>
          <cell r="AX146">
            <v>0</v>
          </cell>
          <cell r="AY146">
            <v>175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697</v>
          </cell>
          <cell r="BG146">
            <v>0</v>
          </cell>
          <cell r="BH146">
            <v>0</v>
          </cell>
          <cell r="BI146">
            <v>0</v>
          </cell>
          <cell r="BJ146">
            <v>539520</v>
          </cell>
          <cell r="BK146">
            <v>0</v>
          </cell>
          <cell r="BL146">
            <v>539520</v>
          </cell>
        </row>
        <row r="147">
          <cell r="B147" t="str">
            <v>PAK105</v>
          </cell>
          <cell r="C147">
            <v>27360</v>
          </cell>
          <cell r="D147">
            <v>17670</v>
          </cell>
          <cell r="E147">
            <v>14940</v>
          </cell>
          <cell r="F147">
            <v>5250</v>
          </cell>
          <cell r="G147">
            <v>12420</v>
          </cell>
          <cell r="H147">
            <v>12420</v>
          </cell>
          <cell r="I147">
            <v>3455</v>
          </cell>
          <cell r="J147">
            <v>3455</v>
          </cell>
          <cell r="K147">
            <v>3455</v>
          </cell>
          <cell r="L147">
            <v>295</v>
          </cell>
          <cell r="M147">
            <v>3160</v>
          </cell>
          <cell r="N147">
            <v>0</v>
          </cell>
          <cell r="O147">
            <v>8965</v>
          </cell>
          <cell r="P147">
            <v>8965</v>
          </cell>
          <cell r="Q147">
            <v>4130</v>
          </cell>
          <cell r="R147">
            <v>4130</v>
          </cell>
          <cell r="S147">
            <v>4835</v>
          </cell>
          <cell r="T147">
            <v>4835</v>
          </cell>
          <cell r="U147">
            <v>885</v>
          </cell>
          <cell r="V147">
            <v>750</v>
          </cell>
          <cell r="W147">
            <v>35</v>
          </cell>
          <cell r="X147">
            <v>45</v>
          </cell>
          <cell r="Y147">
            <v>55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1065</v>
          </cell>
          <cell r="AG147">
            <v>795</v>
          </cell>
          <cell r="AH147">
            <v>270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2885</v>
          </cell>
          <cell r="AP147">
            <v>0</v>
          </cell>
          <cell r="AQ147">
            <v>0</v>
          </cell>
          <cell r="AR147">
            <v>420</v>
          </cell>
          <cell r="AS147">
            <v>0</v>
          </cell>
          <cell r="AT147">
            <v>295</v>
          </cell>
          <cell r="AU147">
            <v>260</v>
          </cell>
          <cell r="AV147">
            <v>0</v>
          </cell>
          <cell r="AW147">
            <v>0</v>
          </cell>
          <cell r="AX147">
            <v>1600</v>
          </cell>
          <cell r="AY147">
            <v>155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155</v>
          </cell>
          <cell r="BG147">
            <v>0</v>
          </cell>
          <cell r="BH147">
            <v>0</v>
          </cell>
          <cell r="BI147">
            <v>0</v>
          </cell>
          <cell r="BJ147">
            <v>220042</v>
          </cell>
          <cell r="BK147">
            <v>0</v>
          </cell>
          <cell r="BL147">
            <v>220042</v>
          </cell>
        </row>
        <row r="148">
          <cell r="B148" t="str">
            <v>PAK102</v>
          </cell>
          <cell r="C148">
            <v>27360</v>
          </cell>
          <cell r="D148">
            <v>9120</v>
          </cell>
          <cell r="E148">
            <v>27360</v>
          </cell>
          <cell r="F148">
            <v>9120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/>
          <cell r="R148"/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</row>
        <row r="149">
          <cell r="B149" t="str">
            <v>PAK104</v>
          </cell>
          <cell r="C149">
            <v>27360</v>
          </cell>
          <cell r="D149">
            <v>9120</v>
          </cell>
          <cell r="E149">
            <v>27360</v>
          </cell>
          <cell r="F149">
            <v>9120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/>
          <cell r="R149"/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</row>
        <row r="150">
          <cell r="B150" t="str">
            <v>PAK111</v>
          </cell>
          <cell r="C150">
            <v>27360</v>
          </cell>
          <cell r="D150">
            <v>9120</v>
          </cell>
          <cell r="E150">
            <v>20730</v>
          </cell>
          <cell r="F150">
            <v>2490</v>
          </cell>
          <cell r="G150">
            <v>6630</v>
          </cell>
          <cell r="H150">
            <v>6630</v>
          </cell>
          <cell r="I150">
            <v>430</v>
          </cell>
          <cell r="J150">
            <v>430</v>
          </cell>
          <cell r="K150">
            <v>430</v>
          </cell>
          <cell r="L150">
            <v>185</v>
          </cell>
          <cell r="M150">
            <v>245</v>
          </cell>
          <cell r="N150">
            <v>0</v>
          </cell>
          <cell r="O150">
            <v>6200</v>
          </cell>
          <cell r="P150">
            <v>6200</v>
          </cell>
          <cell r="Q150">
            <v>2901</v>
          </cell>
          <cell r="R150">
            <v>2901</v>
          </cell>
          <cell r="S150">
            <v>3299</v>
          </cell>
          <cell r="T150">
            <v>3299</v>
          </cell>
          <cell r="U150">
            <v>1182</v>
          </cell>
          <cell r="V150">
            <v>395</v>
          </cell>
          <cell r="W150">
            <v>110</v>
          </cell>
          <cell r="X150">
            <v>10</v>
          </cell>
          <cell r="Y150">
            <v>667</v>
          </cell>
          <cell r="Z150">
            <v>65</v>
          </cell>
          <cell r="AA150">
            <v>65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977</v>
          </cell>
          <cell r="AG150">
            <v>712</v>
          </cell>
          <cell r="AH150">
            <v>265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1075</v>
          </cell>
          <cell r="AP150">
            <v>0</v>
          </cell>
          <cell r="AQ150">
            <v>0</v>
          </cell>
          <cell r="AR150">
            <v>420</v>
          </cell>
          <cell r="AS150">
            <v>0</v>
          </cell>
          <cell r="AT150">
            <v>255</v>
          </cell>
          <cell r="AU150">
            <v>0</v>
          </cell>
          <cell r="AV150">
            <v>0</v>
          </cell>
          <cell r="AW150">
            <v>0</v>
          </cell>
          <cell r="AX150">
            <v>125</v>
          </cell>
          <cell r="AY150">
            <v>125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150</v>
          </cell>
          <cell r="BG150">
            <v>0</v>
          </cell>
          <cell r="BH150">
            <v>0</v>
          </cell>
          <cell r="BI150">
            <v>0</v>
          </cell>
          <cell r="BJ150">
            <v>289511</v>
          </cell>
          <cell r="BK150">
            <v>37</v>
          </cell>
          <cell r="BL150">
            <v>289474</v>
          </cell>
        </row>
        <row r="151">
          <cell r="B151" t="str">
            <v>CPH SOL-MIXING</v>
          </cell>
          <cell r="C151">
            <v>27360</v>
          </cell>
          <cell r="D151">
            <v>9120</v>
          </cell>
          <cell r="E151">
            <v>24750</v>
          </cell>
          <cell r="F151">
            <v>6510</v>
          </cell>
          <cell r="G151">
            <v>2610</v>
          </cell>
          <cell r="H151">
            <v>2610</v>
          </cell>
          <cell r="I151">
            <v>1370</v>
          </cell>
          <cell r="J151">
            <v>1370</v>
          </cell>
          <cell r="K151">
            <v>1370</v>
          </cell>
          <cell r="L151">
            <v>0</v>
          </cell>
          <cell r="M151">
            <v>1370</v>
          </cell>
          <cell r="N151">
            <v>0</v>
          </cell>
          <cell r="O151">
            <v>1240</v>
          </cell>
          <cell r="P151">
            <v>1240</v>
          </cell>
          <cell r="Q151">
            <v>44</v>
          </cell>
          <cell r="R151">
            <v>44</v>
          </cell>
          <cell r="S151">
            <v>1196</v>
          </cell>
          <cell r="T151">
            <v>1196</v>
          </cell>
          <cell r="U151">
            <v>38</v>
          </cell>
          <cell r="V151">
            <v>13</v>
          </cell>
          <cell r="W151">
            <v>25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968</v>
          </cell>
          <cell r="AG151">
            <v>808</v>
          </cell>
          <cell r="AH151">
            <v>150</v>
          </cell>
          <cell r="AI151">
            <v>0</v>
          </cell>
          <cell r="AJ151">
            <v>0</v>
          </cell>
          <cell r="AK151">
            <v>10</v>
          </cell>
          <cell r="AL151">
            <v>0</v>
          </cell>
          <cell r="AM151">
            <v>0</v>
          </cell>
          <cell r="AN151">
            <v>0</v>
          </cell>
          <cell r="AO151">
            <v>190</v>
          </cell>
          <cell r="AP151">
            <v>140</v>
          </cell>
          <cell r="AQ151">
            <v>0</v>
          </cell>
          <cell r="AR151">
            <v>30</v>
          </cell>
          <cell r="AS151">
            <v>0</v>
          </cell>
          <cell r="AT151">
            <v>15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5</v>
          </cell>
          <cell r="BG151">
            <v>0</v>
          </cell>
          <cell r="BH151">
            <v>0</v>
          </cell>
          <cell r="BI151">
            <v>0</v>
          </cell>
          <cell r="BJ151">
            <v>326.99</v>
          </cell>
          <cell r="BK151">
            <v>0.37</v>
          </cell>
          <cell r="BL151">
            <v>326.62</v>
          </cell>
        </row>
        <row r="152">
          <cell r="B152" t="str">
            <v>MCF101</v>
          </cell>
          <cell r="C152">
            <v>27360</v>
          </cell>
          <cell r="D152">
            <v>9120</v>
          </cell>
          <cell r="E152">
            <v>24750</v>
          </cell>
          <cell r="F152">
            <v>6510</v>
          </cell>
          <cell r="G152">
            <v>2610</v>
          </cell>
          <cell r="H152">
            <v>2610</v>
          </cell>
          <cell r="I152">
            <v>1370</v>
          </cell>
          <cell r="J152">
            <v>1370</v>
          </cell>
          <cell r="K152">
            <v>1370</v>
          </cell>
          <cell r="L152">
            <v>0</v>
          </cell>
          <cell r="M152">
            <v>1370</v>
          </cell>
          <cell r="N152">
            <v>0</v>
          </cell>
          <cell r="O152">
            <v>1240</v>
          </cell>
          <cell r="P152">
            <v>1240</v>
          </cell>
          <cell r="Q152">
            <v>44</v>
          </cell>
          <cell r="R152">
            <v>44</v>
          </cell>
          <cell r="S152">
            <v>1196</v>
          </cell>
          <cell r="T152">
            <v>1196</v>
          </cell>
          <cell r="U152">
            <v>38</v>
          </cell>
          <cell r="V152">
            <v>13</v>
          </cell>
          <cell r="W152">
            <v>25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968</v>
          </cell>
          <cell r="AG152">
            <v>808</v>
          </cell>
          <cell r="AH152">
            <v>150</v>
          </cell>
          <cell r="AI152">
            <v>0</v>
          </cell>
          <cell r="AJ152">
            <v>0</v>
          </cell>
          <cell r="AK152">
            <v>10</v>
          </cell>
          <cell r="AL152">
            <v>0</v>
          </cell>
          <cell r="AM152">
            <v>0</v>
          </cell>
          <cell r="AN152">
            <v>0</v>
          </cell>
          <cell r="AO152">
            <v>190</v>
          </cell>
          <cell r="AP152">
            <v>140</v>
          </cell>
          <cell r="AQ152">
            <v>0</v>
          </cell>
          <cell r="AR152">
            <v>30</v>
          </cell>
          <cell r="AS152">
            <v>0</v>
          </cell>
          <cell r="AT152">
            <v>15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5</v>
          </cell>
          <cell r="BG152">
            <v>0</v>
          </cell>
          <cell r="BH152">
            <v>0</v>
          </cell>
          <cell r="BI152">
            <v>0</v>
          </cell>
          <cell r="BJ152">
            <v>326.99</v>
          </cell>
          <cell r="BK152">
            <v>0.37</v>
          </cell>
          <cell r="BL152">
            <v>326.62</v>
          </cell>
        </row>
        <row r="153">
          <cell r="B153" t="str">
            <v>CPH SOL-CAPSULE</v>
          </cell>
          <cell r="C153">
            <v>27360</v>
          </cell>
          <cell r="D153">
            <v>9120</v>
          </cell>
          <cell r="E153">
            <v>25320</v>
          </cell>
          <cell r="F153">
            <v>7080</v>
          </cell>
          <cell r="G153">
            <v>2040</v>
          </cell>
          <cell r="H153">
            <v>2040</v>
          </cell>
          <cell r="I153">
            <v>360</v>
          </cell>
          <cell r="J153">
            <v>360</v>
          </cell>
          <cell r="K153">
            <v>360</v>
          </cell>
          <cell r="L153">
            <v>60</v>
          </cell>
          <cell r="M153">
            <v>300</v>
          </cell>
          <cell r="N153">
            <v>0</v>
          </cell>
          <cell r="O153">
            <v>1680</v>
          </cell>
          <cell r="P153">
            <v>1680</v>
          </cell>
          <cell r="Q153">
            <v>730</v>
          </cell>
          <cell r="R153">
            <v>730</v>
          </cell>
          <cell r="S153">
            <v>950</v>
          </cell>
          <cell r="T153">
            <v>950</v>
          </cell>
          <cell r="U153">
            <v>265</v>
          </cell>
          <cell r="V153">
            <v>70</v>
          </cell>
          <cell r="W153">
            <v>0</v>
          </cell>
          <cell r="X153">
            <v>25</v>
          </cell>
          <cell r="Y153">
            <v>170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410</v>
          </cell>
          <cell r="AG153">
            <v>110</v>
          </cell>
          <cell r="AH153">
            <v>0</v>
          </cell>
          <cell r="AI153">
            <v>0</v>
          </cell>
          <cell r="AJ153">
            <v>0</v>
          </cell>
          <cell r="AK153">
            <v>300</v>
          </cell>
          <cell r="AL153">
            <v>0</v>
          </cell>
          <cell r="AM153">
            <v>0</v>
          </cell>
          <cell r="AN153">
            <v>0</v>
          </cell>
          <cell r="AO153">
            <v>275</v>
          </cell>
          <cell r="AP153">
            <v>0</v>
          </cell>
          <cell r="AQ153">
            <v>0</v>
          </cell>
          <cell r="AR153">
            <v>90</v>
          </cell>
          <cell r="AS153">
            <v>0</v>
          </cell>
          <cell r="AT153">
            <v>60</v>
          </cell>
          <cell r="AU153">
            <v>0</v>
          </cell>
          <cell r="AV153">
            <v>0</v>
          </cell>
          <cell r="AW153">
            <v>15</v>
          </cell>
          <cell r="AX153">
            <v>20</v>
          </cell>
          <cell r="AY153">
            <v>40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20</v>
          </cell>
          <cell r="BG153">
            <v>0</v>
          </cell>
          <cell r="BH153">
            <v>0</v>
          </cell>
          <cell r="BI153">
            <v>30</v>
          </cell>
          <cell r="BJ153">
            <v>504604</v>
          </cell>
          <cell r="BK153">
            <v>74</v>
          </cell>
          <cell r="BL153">
            <v>504530</v>
          </cell>
        </row>
        <row r="154">
          <cell r="B154" t="str">
            <v>KCF101</v>
          </cell>
          <cell r="C154">
            <v>27360</v>
          </cell>
          <cell r="D154">
            <v>9120</v>
          </cell>
          <cell r="E154">
            <v>25320</v>
          </cell>
          <cell r="F154">
            <v>7080</v>
          </cell>
          <cell r="G154">
            <v>2040</v>
          </cell>
          <cell r="H154">
            <v>2040</v>
          </cell>
          <cell r="I154">
            <v>360</v>
          </cell>
          <cell r="J154">
            <v>360</v>
          </cell>
          <cell r="K154">
            <v>360</v>
          </cell>
          <cell r="L154">
            <v>60</v>
          </cell>
          <cell r="M154">
            <v>300</v>
          </cell>
          <cell r="N154">
            <v>0</v>
          </cell>
          <cell r="O154">
            <v>1680</v>
          </cell>
          <cell r="P154">
            <v>1680</v>
          </cell>
          <cell r="Q154">
            <v>730</v>
          </cell>
          <cell r="R154">
            <v>730</v>
          </cell>
          <cell r="S154">
            <v>950</v>
          </cell>
          <cell r="T154">
            <v>950</v>
          </cell>
          <cell r="U154">
            <v>265</v>
          </cell>
          <cell r="V154">
            <v>70</v>
          </cell>
          <cell r="W154">
            <v>0</v>
          </cell>
          <cell r="X154">
            <v>25</v>
          </cell>
          <cell r="Y154">
            <v>170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410</v>
          </cell>
          <cell r="AG154">
            <v>110</v>
          </cell>
          <cell r="AH154">
            <v>0</v>
          </cell>
          <cell r="AI154">
            <v>0</v>
          </cell>
          <cell r="AJ154">
            <v>0</v>
          </cell>
          <cell r="AK154">
            <v>300</v>
          </cell>
          <cell r="AL154">
            <v>0</v>
          </cell>
          <cell r="AM154">
            <v>0</v>
          </cell>
          <cell r="AN154">
            <v>0</v>
          </cell>
          <cell r="AO154">
            <v>275</v>
          </cell>
          <cell r="AP154">
            <v>0</v>
          </cell>
          <cell r="AQ154">
            <v>0</v>
          </cell>
          <cell r="AR154">
            <v>90</v>
          </cell>
          <cell r="AS154">
            <v>0</v>
          </cell>
          <cell r="AT154">
            <v>60</v>
          </cell>
          <cell r="AU154">
            <v>0</v>
          </cell>
          <cell r="AV154">
            <v>0</v>
          </cell>
          <cell r="AW154">
            <v>15</v>
          </cell>
          <cell r="AX154">
            <v>20</v>
          </cell>
          <cell r="AY154">
            <v>40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20</v>
          </cell>
          <cell r="BG154">
            <v>0</v>
          </cell>
          <cell r="BH154">
            <v>0</v>
          </cell>
          <cell r="BI154">
            <v>30</v>
          </cell>
          <cell r="BJ154">
            <v>504604</v>
          </cell>
          <cell r="BK154">
            <v>74</v>
          </cell>
          <cell r="BL154">
            <v>504530</v>
          </cell>
        </row>
        <row r="155">
          <cell r="B155" t="str">
            <v>CPH SOL-STRIPPING</v>
          </cell>
          <cell r="C155">
            <v>27360</v>
          </cell>
          <cell r="D155">
            <v>9120</v>
          </cell>
          <cell r="E155">
            <v>24810</v>
          </cell>
          <cell r="F155">
            <v>6570</v>
          </cell>
          <cell r="G155">
            <v>2550</v>
          </cell>
          <cell r="H155">
            <v>2550</v>
          </cell>
          <cell r="I155">
            <v>300</v>
          </cell>
          <cell r="J155">
            <v>300</v>
          </cell>
          <cell r="K155">
            <v>300</v>
          </cell>
          <cell r="L155">
            <v>90</v>
          </cell>
          <cell r="M155">
            <v>210</v>
          </cell>
          <cell r="N155">
            <v>0</v>
          </cell>
          <cell r="O155">
            <v>2250</v>
          </cell>
          <cell r="P155">
            <v>2250</v>
          </cell>
          <cell r="Q155">
            <v>625</v>
          </cell>
          <cell r="R155">
            <v>625</v>
          </cell>
          <cell r="S155">
            <v>1625</v>
          </cell>
          <cell r="T155">
            <v>1625</v>
          </cell>
          <cell r="U155">
            <v>545</v>
          </cell>
          <cell r="V155">
            <v>425</v>
          </cell>
          <cell r="W155">
            <v>0</v>
          </cell>
          <cell r="X155">
            <v>0</v>
          </cell>
          <cell r="Y155">
            <v>120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635</v>
          </cell>
          <cell r="AG155">
            <v>295</v>
          </cell>
          <cell r="AH155">
            <v>165</v>
          </cell>
          <cell r="AI155">
            <v>0</v>
          </cell>
          <cell r="AJ155">
            <v>0</v>
          </cell>
          <cell r="AK155">
            <v>175</v>
          </cell>
          <cell r="AL155">
            <v>0</v>
          </cell>
          <cell r="AM155">
            <v>0</v>
          </cell>
          <cell r="AN155">
            <v>0</v>
          </cell>
          <cell r="AO155">
            <v>445</v>
          </cell>
          <cell r="AP155">
            <v>40</v>
          </cell>
          <cell r="AQ155">
            <v>0</v>
          </cell>
          <cell r="AR155">
            <v>150</v>
          </cell>
          <cell r="AS155">
            <v>0</v>
          </cell>
          <cell r="AT155">
            <v>75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90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90</v>
          </cell>
          <cell r="BG155">
            <v>0</v>
          </cell>
          <cell r="BH155">
            <v>0</v>
          </cell>
          <cell r="BI155">
            <v>0</v>
          </cell>
          <cell r="BJ155">
            <v>510863</v>
          </cell>
          <cell r="BK155">
            <v>2503</v>
          </cell>
          <cell r="BL155">
            <v>508360</v>
          </cell>
        </row>
        <row r="156">
          <cell r="B156" t="str">
            <v>STC101</v>
          </cell>
          <cell r="C156">
            <v>27360</v>
          </cell>
          <cell r="D156">
            <v>9120</v>
          </cell>
          <cell r="E156">
            <v>24810</v>
          </cell>
          <cell r="F156">
            <v>6570</v>
          </cell>
          <cell r="G156">
            <v>2550</v>
          </cell>
          <cell r="H156">
            <v>2550</v>
          </cell>
          <cell r="I156">
            <v>300</v>
          </cell>
          <cell r="J156">
            <v>300</v>
          </cell>
          <cell r="K156">
            <v>300</v>
          </cell>
          <cell r="L156">
            <v>90</v>
          </cell>
          <cell r="M156">
            <v>210</v>
          </cell>
          <cell r="N156">
            <v>0</v>
          </cell>
          <cell r="O156">
            <v>2250</v>
          </cell>
          <cell r="P156">
            <v>2250</v>
          </cell>
          <cell r="Q156">
            <v>625</v>
          </cell>
          <cell r="R156">
            <v>625</v>
          </cell>
          <cell r="S156">
            <v>1625</v>
          </cell>
          <cell r="T156">
            <v>1625</v>
          </cell>
          <cell r="U156">
            <v>545</v>
          </cell>
          <cell r="V156">
            <v>425</v>
          </cell>
          <cell r="W156">
            <v>0</v>
          </cell>
          <cell r="X156">
            <v>0</v>
          </cell>
          <cell r="Y156">
            <v>120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635</v>
          </cell>
          <cell r="AG156">
            <v>295</v>
          </cell>
          <cell r="AH156">
            <v>165</v>
          </cell>
          <cell r="AI156">
            <v>0</v>
          </cell>
          <cell r="AJ156">
            <v>0</v>
          </cell>
          <cell r="AK156">
            <v>175</v>
          </cell>
          <cell r="AL156">
            <v>0</v>
          </cell>
          <cell r="AM156">
            <v>0</v>
          </cell>
          <cell r="AN156">
            <v>0</v>
          </cell>
          <cell r="AO156">
            <v>445</v>
          </cell>
          <cell r="AP156">
            <v>40</v>
          </cell>
          <cell r="AQ156">
            <v>0</v>
          </cell>
          <cell r="AR156">
            <v>150</v>
          </cell>
          <cell r="AS156">
            <v>0</v>
          </cell>
          <cell r="AT156">
            <v>75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90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90</v>
          </cell>
          <cell r="BG156">
            <v>0</v>
          </cell>
          <cell r="BH156">
            <v>0</v>
          </cell>
          <cell r="BI156">
            <v>0</v>
          </cell>
          <cell r="BJ156">
            <v>510863</v>
          </cell>
          <cell r="BK156">
            <v>2503</v>
          </cell>
          <cell r="BL156">
            <v>508360</v>
          </cell>
        </row>
        <row r="157">
          <cell r="B157" t="str">
            <v>CPH SOL-POWDER FILLING</v>
          </cell>
          <cell r="C157">
            <v>27360</v>
          </cell>
          <cell r="D157">
            <v>9120</v>
          </cell>
          <cell r="E157">
            <v>26850</v>
          </cell>
          <cell r="F157">
            <v>8610</v>
          </cell>
          <cell r="G157">
            <v>510</v>
          </cell>
          <cell r="H157">
            <v>510</v>
          </cell>
          <cell r="I157">
            <v>30</v>
          </cell>
          <cell r="J157">
            <v>30</v>
          </cell>
          <cell r="K157">
            <v>30</v>
          </cell>
          <cell r="L157">
            <v>30</v>
          </cell>
          <cell r="M157">
            <v>0</v>
          </cell>
          <cell r="N157">
            <v>0</v>
          </cell>
          <cell r="O157">
            <v>480</v>
          </cell>
          <cell r="P157">
            <v>480</v>
          </cell>
          <cell r="Q157">
            <v>70</v>
          </cell>
          <cell r="R157">
            <v>70</v>
          </cell>
          <cell r="S157">
            <v>410</v>
          </cell>
          <cell r="T157">
            <v>410</v>
          </cell>
          <cell r="U157">
            <v>60</v>
          </cell>
          <cell r="V157">
            <v>60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245</v>
          </cell>
          <cell r="AG157">
            <v>75</v>
          </cell>
          <cell r="AH157">
            <v>160</v>
          </cell>
          <cell r="AI157">
            <v>0</v>
          </cell>
          <cell r="AJ157">
            <v>0</v>
          </cell>
          <cell r="AK157">
            <v>10</v>
          </cell>
          <cell r="AL157">
            <v>0</v>
          </cell>
          <cell r="AM157">
            <v>0</v>
          </cell>
          <cell r="AN157">
            <v>0</v>
          </cell>
          <cell r="AO157">
            <v>105</v>
          </cell>
          <cell r="AP157">
            <v>0</v>
          </cell>
          <cell r="AQ157">
            <v>0</v>
          </cell>
          <cell r="AR157">
            <v>30</v>
          </cell>
          <cell r="AS157">
            <v>0</v>
          </cell>
          <cell r="AT157">
            <v>15</v>
          </cell>
          <cell r="AU157">
            <v>0</v>
          </cell>
          <cell r="AV157">
            <v>0</v>
          </cell>
          <cell r="AW157">
            <v>0</v>
          </cell>
          <cell r="AX157">
            <v>30</v>
          </cell>
          <cell r="AY157">
            <v>20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10</v>
          </cell>
          <cell r="BG157">
            <v>0</v>
          </cell>
          <cell r="BH157">
            <v>0</v>
          </cell>
          <cell r="BI157">
            <v>0</v>
          </cell>
          <cell r="BJ157">
            <v>1564</v>
          </cell>
          <cell r="BK157">
            <v>14</v>
          </cell>
          <cell r="BL157">
            <v>1550</v>
          </cell>
        </row>
        <row r="158">
          <cell r="B158" t="str">
            <v>SCF102</v>
          </cell>
          <cell r="C158">
            <v>27360</v>
          </cell>
          <cell r="D158">
            <v>9120</v>
          </cell>
          <cell r="E158">
            <v>26850</v>
          </cell>
          <cell r="F158">
            <v>8610</v>
          </cell>
          <cell r="G158">
            <v>510</v>
          </cell>
          <cell r="H158">
            <v>510</v>
          </cell>
          <cell r="I158">
            <v>30</v>
          </cell>
          <cell r="J158">
            <v>30</v>
          </cell>
          <cell r="K158">
            <v>30</v>
          </cell>
          <cell r="L158">
            <v>30</v>
          </cell>
          <cell r="M158">
            <v>0</v>
          </cell>
          <cell r="N158">
            <v>0</v>
          </cell>
          <cell r="O158">
            <v>480</v>
          </cell>
          <cell r="P158">
            <v>480</v>
          </cell>
          <cell r="Q158">
            <v>70</v>
          </cell>
          <cell r="R158">
            <v>70</v>
          </cell>
          <cell r="S158">
            <v>410</v>
          </cell>
          <cell r="T158">
            <v>410</v>
          </cell>
          <cell r="U158">
            <v>60</v>
          </cell>
          <cell r="V158">
            <v>60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245</v>
          </cell>
          <cell r="AG158">
            <v>75</v>
          </cell>
          <cell r="AH158">
            <v>160</v>
          </cell>
          <cell r="AI158">
            <v>0</v>
          </cell>
          <cell r="AJ158">
            <v>0</v>
          </cell>
          <cell r="AK158">
            <v>10</v>
          </cell>
          <cell r="AL158">
            <v>0</v>
          </cell>
          <cell r="AM158">
            <v>0</v>
          </cell>
          <cell r="AN158">
            <v>0</v>
          </cell>
          <cell r="AO158">
            <v>105</v>
          </cell>
          <cell r="AP158">
            <v>0</v>
          </cell>
          <cell r="AQ158">
            <v>0</v>
          </cell>
          <cell r="AR158">
            <v>30</v>
          </cell>
          <cell r="AS158">
            <v>0</v>
          </cell>
          <cell r="AT158">
            <v>15</v>
          </cell>
          <cell r="AU158">
            <v>0</v>
          </cell>
          <cell r="AV158">
            <v>0</v>
          </cell>
          <cell r="AW158">
            <v>0</v>
          </cell>
          <cell r="AX158">
            <v>30</v>
          </cell>
          <cell r="AY158">
            <v>20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10</v>
          </cell>
          <cell r="BG158">
            <v>0</v>
          </cell>
          <cell r="BH158">
            <v>0</v>
          </cell>
          <cell r="BI158">
            <v>0</v>
          </cell>
          <cell r="BJ158">
            <v>1564</v>
          </cell>
          <cell r="BK158">
            <v>14</v>
          </cell>
          <cell r="BL158">
            <v>1550</v>
          </cell>
        </row>
        <row r="159">
          <cell r="B159" t="str">
            <v>CPH INJ-FILLING</v>
          </cell>
          <cell r="C159">
            <v>27360</v>
          </cell>
          <cell r="D159">
            <v>17670</v>
          </cell>
          <cell r="E159">
            <v>20850</v>
          </cell>
          <cell r="F159">
            <v>11160</v>
          </cell>
          <cell r="G159">
            <v>6510</v>
          </cell>
          <cell r="H159">
            <v>6510</v>
          </cell>
          <cell r="I159">
            <v>620</v>
          </cell>
          <cell r="J159">
            <v>620</v>
          </cell>
          <cell r="K159">
            <v>620</v>
          </cell>
          <cell r="L159">
            <v>0</v>
          </cell>
          <cell r="M159">
            <v>620</v>
          </cell>
          <cell r="N159">
            <v>0</v>
          </cell>
          <cell r="O159">
            <v>5890</v>
          </cell>
          <cell r="P159">
            <v>5890</v>
          </cell>
          <cell r="Q159">
            <v>2219</v>
          </cell>
          <cell r="R159">
            <v>2219</v>
          </cell>
          <cell r="S159">
            <v>3671</v>
          </cell>
          <cell r="T159">
            <v>3671</v>
          </cell>
          <cell r="U159">
            <v>555</v>
          </cell>
          <cell r="V159">
            <v>450</v>
          </cell>
          <cell r="W159">
            <v>0</v>
          </cell>
          <cell r="X159">
            <v>105</v>
          </cell>
          <cell r="Y159">
            <v>0</v>
          </cell>
          <cell r="Z159">
            <v>276</v>
          </cell>
          <cell r="AA159">
            <v>247</v>
          </cell>
          <cell r="AB159">
            <v>0</v>
          </cell>
          <cell r="AC159">
            <v>0</v>
          </cell>
          <cell r="AD159">
            <v>29</v>
          </cell>
          <cell r="AE159">
            <v>0</v>
          </cell>
          <cell r="AF159">
            <v>2015</v>
          </cell>
          <cell r="AG159">
            <v>686</v>
          </cell>
          <cell r="AH159">
            <v>1329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825</v>
          </cell>
          <cell r="AP159">
            <v>0</v>
          </cell>
          <cell r="AQ159">
            <v>0</v>
          </cell>
          <cell r="AR159">
            <v>365</v>
          </cell>
          <cell r="AS159">
            <v>35</v>
          </cell>
          <cell r="AT159">
            <v>205</v>
          </cell>
          <cell r="AU159">
            <v>0</v>
          </cell>
          <cell r="AV159">
            <v>0</v>
          </cell>
          <cell r="AW159">
            <v>90</v>
          </cell>
          <cell r="AX159">
            <v>0</v>
          </cell>
          <cell r="AY159">
            <v>115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15</v>
          </cell>
          <cell r="BG159">
            <v>0</v>
          </cell>
          <cell r="BH159">
            <v>0</v>
          </cell>
          <cell r="BI159">
            <v>0</v>
          </cell>
          <cell r="BJ159">
            <v>315026</v>
          </cell>
          <cell r="BK159">
            <v>5</v>
          </cell>
          <cell r="BL159">
            <v>315021</v>
          </cell>
        </row>
        <row r="160">
          <cell r="B160" t="str">
            <v>GINLINE6</v>
          </cell>
          <cell r="C160">
            <v>27360</v>
          </cell>
          <cell r="D160">
            <v>17670</v>
          </cell>
          <cell r="E160">
            <v>20850</v>
          </cell>
          <cell r="F160">
            <v>11160</v>
          </cell>
          <cell r="G160">
            <v>6510</v>
          </cell>
          <cell r="H160">
            <v>6510</v>
          </cell>
          <cell r="I160">
            <v>620</v>
          </cell>
          <cell r="J160">
            <v>620</v>
          </cell>
          <cell r="K160">
            <v>620</v>
          </cell>
          <cell r="L160">
            <v>0</v>
          </cell>
          <cell r="M160">
            <v>620</v>
          </cell>
          <cell r="N160">
            <v>0</v>
          </cell>
          <cell r="O160">
            <v>5890</v>
          </cell>
          <cell r="P160">
            <v>5890</v>
          </cell>
          <cell r="Q160">
            <v>2219</v>
          </cell>
          <cell r="R160">
            <v>2219</v>
          </cell>
          <cell r="S160">
            <v>3671</v>
          </cell>
          <cell r="T160">
            <v>3671</v>
          </cell>
          <cell r="U160">
            <v>555</v>
          </cell>
          <cell r="V160">
            <v>450</v>
          </cell>
          <cell r="W160">
            <v>0</v>
          </cell>
          <cell r="X160">
            <v>105</v>
          </cell>
          <cell r="Y160">
            <v>0</v>
          </cell>
          <cell r="Z160">
            <v>276</v>
          </cell>
          <cell r="AA160">
            <v>247</v>
          </cell>
          <cell r="AB160">
            <v>0</v>
          </cell>
          <cell r="AC160">
            <v>0</v>
          </cell>
          <cell r="AD160">
            <v>29</v>
          </cell>
          <cell r="AE160">
            <v>0</v>
          </cell>
          <cell r="AF160">
            <v>2015</v>
          </cell>
          <cell r="AG160">
            <v>686</v>
          </cell>
          <cell r="AH160">
            <v>1329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825</v>
          </cell>
          <cell r="AP160">
            <v>0</v>
          </cell>
          <cell r="AQ160">
            <v>0</v>
          </cell>
          <cell r="AR160">
            <v>365</v>
          </cell>
          <cell r="AS160">
            <v>35</v>
          </cell>
          <cell r="AT160">
            <v>205</v>
          </cell>
          <cell r="AU160">
            <v>0</v>
          </cell>
          <cell r="AV160">
            <v>0</v>
          </cell>
          <cell r="AW160">
            <v>90</v>
          </cell>
          <cell r="AX160">
            <v>0</v>
          </cell>
          <cell r="AY160">
            <v>115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15</v>
          </cell>
          <cell r="BG160">
            <v>0</v>
          </cell>
          <cell r="BH160">
            <v>0</v>
          </cell>
          <cell r="BI160">
            <v>0</v>
          </cell>
          <cell r="BJ160">
            <v>315026</v>
          </cell>
          <cell r="BK160">
            <v>5</v>
          </cell>
          <cell r="BL160">
            <v>315021</v>
          </cell>
        </row>
        <row r="161">
          <cell r="B161" t="str">
            <v>CPH INJ-STERILIZATION</v>
          </cell>
          <cell r="C161">
            <v>57600</v>
          </cell>
          <cell r="D161">
            <v>37200</v>
          </cell>
          <cell r="E161">
            <v>44010</v>
          </cell>
          <cell r="F161">
            <v>23610</v>
          </cell>
          <cell r="G161">
            <v>13590</v>
          </cell>
          <cell r="H161">
            <v>13590</v>
          </cell>
          <cell r="I161">
            <v>1118</v>
          </cell>
          <cell r="J161">
            <v>1118</v>
          </cell>
          <cell r="K161">
            <v>1118</v>
          </cell>
          <cell r="L161">
            <v>311</v>
          </cell>
          <cell r="M161">
            <v>807</v>
          </cell>
          <cell r="N161">
            <v>0</v>
          </cell>
          <cell r="O161">
            <v>12472</v>
          </cell>
          <cell r="P161">
            <v>12472</v>
          </cell>
          <cell r="Q161">
            <v>5284</v>
          </cell>
          <cell r="R161">
            <v>5284</v>
          </cell>
          <cell r="S161">
            <v>7188</v>
          </cell>
          <cell r="T161">
            <v>7188</v>
          </cell>
          <cell r="U161">
            <v>568</v>
          </cell>
          <cell r="V161">
            <v>468</v>
          </cell>
          <cell r="W161">
            <v>0</v>
          </cell>
          <cell r="X161">
            <v>100</v>
          </cell>
          <cell r="Y161">
            <v>0</v>
          </cell>
          <cell r="Z161">
            <v>220</v>
          </cell>
          <cell r="AA161">
            <v>212</v>
          </cell>
          <cell r="AB161">
            <v>8</v>
          </cell>
          <cell r="AC161">
            <v>0</v>
          </cell>
          <cell r="AD161">
            <v>0</v>
          </cell>
          <cell r="AE161">
            <v>0</v>
          </cell>
          <cell r="AF161">
            <v>3311</v>
          </cell>
          <cell r="AG161">
            <v>2685</v>
          </cell>
          <cell r="AH161">
            <v>626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3089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100</v>
          </cell>
          <cell r="AX161">
            <v>2989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520</v>
          </cell>
          <cell r="BK161">
            <v>0</v>
          </cell>
          <cell r="BL161">
            <v>520</v>
          </cell>
        </row>
        <row r="162">
          <cell r="B162" t="str">
            <v>ICF104</v>
          </cell>
          <cell r="C162">
            <v>28800</v>
          </cell>
          <cell r="D162">
            <v>18600</v>
          </cell>
          <cell r="E162">
            <v>21780</v>
          </cell>
          <cell r="F162">
            <v>11580</v>
          </cell>
          <cell r="G162">
            <v>7020</v>
          </cell>
          <cell r="H162">
            <v>7020</v>
          </cell>
          <cell r="I162">
            <v>577</v>
          </cell>
          <cell r="J162">
            <v>577</v>
          </cell>
          <cell r="K162">
            <v>577</v>
          </cell>
          <cell r="L162">
            <v>75</v>
          </cell>
          <cell r="M162">
            <v>502</v>
          </cell>
          <cell r="N162">
            <v>0</v>
          </cell>
          <cell r="O162">
            <v>6443</v>
          </cell>
          <cell r="P162">
            <v>6443</v>
          </cell>
          <cell r="Q162">
            <v>3272</v>
          </cell>
          <cell r="R162">
            <v>3272</v>
          </cell>
          <cell r="S162">
            <v>3171</v>
          </cell>
          <cell r="T162">
            <v>3171</v>
          </cell>
          <cell r="U162">
            <v>261</v>
          </cell>
          <cell r="V162">
            <v>221</v>
          </cell>
          <cell r="W162">
            <v>0</v>
          </cell>
          <cell r="X162">
            <v>40</v>
          </cell>
          <cell r="Y162">
            <v>0</v>
          </cell>
          <cell r="Z162">
            <v>220</v>
          </cell>
          <cell r="AA162">
            <v>212</v>
          </cell>
          <cell r="AB162">
            <v>8</v>
          </cell>
          <cell r="AC162">
            <v>0</v>
          </cell>
          <cell r="AD162">
            <v>0</v>
          </cell>
          <cell r="AE162">
            <v>0</v>
          </cell>
          <cell r="AF162">
            <v>2175</v>
          </cell>
          <cell r="AG162">
            <v>1980</v>
          </cell>
          <cell r="AH162">
            <v>195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515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40</v>
          </cell>
          <cell r="AX162">
            <v>475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341</v>
          </cell>
          <cell r="BK162">
            <v>0</v>
          </cell>
          <cell r="BL162">
            <v>341</v>
          </cell>
        </row>
        <row r="163">
          <cell r="B163" t="str">
            <v>ICF105</v>
          </cell>
          <cell r="C163">
            <v>28800</v>
          </cell>
          <cell r="D163">
            <v>18600</v>
          </cell>
          <cell r="E163">
            <v>22230</v>
          </cell>
          <cell r="F163">
            <v>12030</v>
          </cell>
          <cell r="G163">
            <v>6570</v>
          </cell>
          <cell r="H163">
            <v>6570</v>
          </cell>
          <cell r="I163">
            <v>541</v>
          </cell>
          <cell r="J163">
            <v>541</v>
          </cell>
          <cell r="K163">
            <v>541</v>
          </cell>
          <cell r="L163">
            <v>236</v>
          </cell>
          <cell r="M163">
            <v>305</v>
          </cell>
          <cell r="N163">
            <v>0</v>
          </cell>
          <cell r="O163">
            <v>6029</v>
          </cell>
          <cell r="P163">
            <v>6029</v>
          </cell>
          <cell r="Q163">
            <v>2012</v>
          </cell>
          <cell r="R163">
            <v>2012</v>
          </cell>
          <cell r="S163">
            <v>4017</v>
          </cell>
          <cell r="T163">
            <v>4017</v>
          </cell>
          <cell r="U163">
            <v>307</v>
          </cell>
          <cell r="V163">
            <v>247</v>
          </cell>
          <cell r="W163">
            <v>0</v>
          </cell>
          <cell r="X163">
            <v>60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1136</v>
          </cell>
          <cell r="AG163">
            <v>705</v>
          </cell>
          <cell r="AH163">
            <v>431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2574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60</v>
          </cell>
          <cell r="AX163">
            <v>2514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179</v>
          </cell>
          <cell r="BK163">
            <v>0</v>
          </cell>
          <cell r="BL163">
            <v>179</v>
          </cell>
        </row>
        <row r="164">
          <cell r="B164" t="str">
            <v>CPH-SECONDARY PACKING</v>
          </cell>
          <cell r="C164">
            <v>54720</v>
          </cell>
          <cell r="D164">
            <v>18240</v>
          </cell>
          <cell r="E164">
            <v>33240</v>
          </cell>
          <cell r="F164">
            <v>-3240</v>
          </cell>
          <cell r="G164">
            <v>21480</v>
          </cell>
          <cell r="H164">
            <v>21480</v>
          </cell>
          <cell r="I164">
            <v>1315</v>
          </cell>
          <cell r="J164">
            <v>1315</v>
          </cell>
          <cell r="K164">
            <v>1315</v>
          </cell>
          <cell r="L164">
            <v>365</v>
          </cell>
          <cell r="M164">
            <v>950</v>
          </cell>
          <cell r="N164">
            <v>0</v>
          </cell>
          <cell r="O164">
            <v>20165</v>
          </cell>
          <cell r="P164">
            <v>20165</v>
          </cell>
          <cell r="Q164">
            <v>7520</v>
          </cell>
          <cell r="R164">
            <v>7520</v>
          </cell>
          <cell r="S164">
            <v>12645</v>
          </cell>
          <cell r="T164">
            <v>12645</v>
          </cell>
          <cell r="U164">
            <v>4732</v>
          </cell>
          <cell r="V164">
            <v>2707</v>
          </cell>
          <cell r="W164">
            <v>170</v>
          </cell>
          <cell r="X164">
            <v>260</v>
          </cell>
          <cell r="Y164">
            <v>1595</v>
          </cell>
          <cell r="Z164">
            <v>350</v>
          </cell>
          <cell r="AA164">
            <v>270</v>
          </cell>
          <cell r="AB164">
            <v>80</v>
          </cell>
          <cell r="AC164">
            <v>0</v>
          </cell>
          <cell r="AD164">
            <v>0</v>
          </cell>
          <cell r="AE164">
            <v>0</v>
          </cell>
          <cell r="AF164">
            <v>3130</v>
          </cell>
          <cell r="AG164">
            <v>1830</v>
          </cell>
          <cell r="AH164">
            <v>700</v>
          </cell>
          <cell r="AI164">
            <v>365</v>
          </cell>
          <cell r="AJ164">
            <v>0</v>
          </cell>
          <cell r="AK164">
            <v>235</v>
          </cell>
          <cell r="AL164">
            <v>0</v>
          </cell>
          <cell r="AM164">
            <v>0</v>
          </cell>
          <cell r="AN164">
            <v>0</v>
          </cell>
          <cell r="AO164">
            <v>4433</v>
          </cell>
          <cell r="AP164">
            <v>170</v>
          </cell>
          <cell r="AQ164">
            <v>0</v>
          </cell>
          <cell r="AR164">
            <v>1250</v>
          </cell>
          <cell r="AS164">
            <v>0</v>
          </cell>
          <cell r="AT164">
            <v>840</v>
          </cell>
          <cell r="AU164">
            <v>1115</v>
          </cell>
          <cell r="AV164">
            <v>15</v>
          </cell>
          <cell r="AW164">
            <v>0</v>
          </cell>
          <cell r="AX164">
            <v>130</v>
          </cell>
          <cell r="AY164">
            <v>400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513</v>
          </cell>
          <cell r="BG164">
            <v>0</v>
          </cell>
          <cell r="BH164">
            <v>0</v>
          </cell>
          <cell r="BI164">
            <v>0</v>
          </cell>
          <cell r="BJ164">
            <v>1432883</v>
          </cell>
          <cell r="BK164">
            <v>431</v>
          </cell>
          <cell r="BL164">
            <v>1432452</v>
          </cell>
        </row>
        <row r="165">
          <cell r="B165" t="str">
            <v>PCF101</v>
          </cell>
          <cell r="C165">
            <v>27360</v>
          </cell>
          <cell r="D165">
            <v>9120</v>
          </cell>
          <cell r="E165">
            <v>10980</v>
          </cell>
          <cell r="F165">
            <v>-7260</v>
          </cell>
          <cell r="G165">
            <v>16380</v>
          </cell>
          <cell r="H165">
            <v>16380</v>
          </cell>
          <cell r="I165">
            <v>845</v>
          </cell>
          <cell r="J165">
            <v>845</v>
          </cell>
          <cell r="K165">
            <v>845</v>
          </cell>
          <cell r="L165">
            <v>205</v>
          </cell>
          <cell r="M165">
            <v>640</v>
          </cell>
          <cell r="N165">
            <v>0</v>
          </cell>
          <cell r="O165">
            <v>15535</v>
          </cell>
          <cell r="P165">
            <v>15535</v>
          </cell>
          <cell r="Q165">
            <v>5140</v>
          </cell>
          <cell r="R165">
            <v>5140</v>
          </cell>
          <cell r="S165">
            <v>10395</v>
          </cell>
          <cell r="T165">
            <v>10395</v>
          </cell>
          <cell r="U165">
            <v>4585</v>
          </cell>
          <cell r="V165">
            <v>2560</v>
          </cell>
          <cell r="W165">
            <v>170</v>
          </cell>
          <cell r="X165">
            <v>260</v>
          </cell>
          <cell r="Y165">
            <v>1595</v>
          </cell>
          <cell r="Z165">
            <v>350</v>
          </cell>
          <cell r="AA165">
            <v>270</v>
          </cell>
          <cell r="AB165">
            <v>80</v>
          </cell>
          <cell r="AC165">
            <v>0</v>
          </cell>
          <cell r="AD165">
            <v>0</v>
          </cell>
          <cell r="AE165">
            <v>0</v>
          </cell>
          <cell r="AF165">
            <v>2715</v>
          </cell>
          <cell r="AG165">
            <v>1735</v>
          </cell>
          <cell r="AH165">
            <v>615</v>
          </cell>
          <cell r="AI165">
            <v>365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2745</v>
          </cell>
          <cell r="AP165">
            <v>170</v>
          </cell>
          <cell r="AQ165">
            <v>0</v>
          </cell>
          <cell r="AR165">
            <v>1040</v>
          </cell>
          <cell r="AS165">
            <v>0</v>
          </cell>
          <cell r="AT165">
            <v>735</v>
          </cell>
          <cell r="AU165">
            <v>180</v>
          </cell>
          <cell r="AV165">
            <v>0</v>
          </cell>
          <cell r="AW165">
            <v>0</v>
          </cell>
          <cell r="AX165">
            <v>0</v>
          </cell>
          <cell r="AY165">
            <v>300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320</v>
          </cell>
          <cell r="BG165">
            <v>0</v>
          </cell>
          <cell r="BH165">
            <v>0</v>
          </cell>
          <cell r="BI165">
            <v>0</v>
          </cell>
          <cell r="BJ165">
            <v>1253074</v>
          </cell>
          <cell r="BK165">
            <v>296</v>
          </cell>
          <cell r="BL165">
            <v>1252778</v>
          </cell>
        </row>
        <row r="166">
          <cell r="B166" t="str">
            <v>PCF102</v>
          </cell>
          <cell r="C166">
            <v>27360</v>
          </cell>
          <cell r="D166">
            <v>9120</v>
          </cell>
          <cell r="E166">
            <v>22260</v>
          </cell>
          <cell r="F166">
            <v>4020</v>
          </cell>
          <cell r="G166">
            <v>5100</v>
          </cell>
          <cell r="H166">
            <v>5100</v>
          </cell>
          <cell r="I166">
            <v>470</v>
          </cell>
          <cell r="J166">
            <v>470</v>
          </cell>
          <cell r="K166">
            <v>470</v>
          </cell>
          <cell r="L166">
            <v>160</v>
          </cell>
          <cell r="M166">
            <v>310</v>
          </cell>
          <cell r="N166">
            <v>0</v>
          </cell>
          <cell r="O166">
            <v>4630</v>
          </cell>
          <cell r="P166">
            <v>4630</v>
          </cell>
          <cell r="Q166">
            <v>2380</v>
          </cell>
          <cell r="R166">
            <v>2380</v>
          </cell>
          <cell r="S166">
            <v>2250</v>
          </cell>
          <cell r="T166">
            <v>2250</v>
          </cell>
          <cell r="U166">
            <v>147</v>
          </cell>
          <cell r="V166">
            <v>147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415</v>
          </cell>
          <cell r="AG166">
            <v>95</v>
          </cell>
          <cell r="AH166">
            <v>85</v>
          </cell>
          <cell r="AI166">
            <v>0</v>
          </cell>
          <cell r="AJ166">
            <v>0</v>
          </cell>
          <cell r="AK166">
            <v>235</v>
          </cell>
          <cell r="AL166">
            <v>0</v>
          </cell>
          <cell r="AM166">
            <v>0</v>
          </cell>
          <cell r="AN166">
            <v>0</v>
          </cell>
          <cell r="AO166">
            <v>1688</v>
          </cell>
          <cell r="AP166">
            <v>0</v>
          </cell>
          <cell r="AQ166">
            <v>0</v>
          </cell>
          <cell r="AR166">
            <v>210</v>
          </cell>
          <cell r="AS166">
            <v>0</v>
          </cell>
          <cell r="AT166">
            <v>105</v>
          </cell>
          <cell r="AU166">
            <v>935</v>
          </cell>
          <cell r="AV166">
            <v>15</v>
          </cell>
          <cell r="AW166">
            <v>0</v>
          </cell>
          <cell r="AX166">
            <v>130</v>
          </cell>
          <cell r="AY166">
            <v>100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193</v>
          </cell>
          <cell r="BG166">
            <v>0</v>
          </cell>
          <cell r="BH166">
            <v>0</v>
          </cell>
          <cell r="BI166">
            <v>0</v>
          </cell>
          <cell r="BJ166">
            <v>179809</v>
          </cell>
          <cell r="BK166">
            <v>135</v>
          </cell>
          <cell r="BL166">
            <v>179674</v>
          </cell>
        </row>
      </sheetData>
      <sheetData sheetId="14" refreshError="1"/>
      <sheetData sheetId="1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shboard OEE"/>
      <sheetName val="Dashboard Monthly Manpower"/>
      <sheetName val="Dashboard Monthly Legend"/>
      <sheetName val="Dashboard Legend Group"/>
      <sheetName val="Mesin Running"/>
      <sheetName val="Pivot Batch &amp; Tanggal"/>
      <sheetName val="Jumlah Shift"/>
      <sheetName val="Format Shift Operation"/>
      <sheetName val="Custom Report "/>
      <sheetName val="OEE All Machine Report"/>
      <sheetName val="OEE By Group Report"/>
      <sheetName val="Analisys QBR Report"/>
      <sheetName val="Analisys QBR By Machine Report"/>
      <sheetName val="Dasboard_QBR_Report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B1" t="str">
            <v>oee</v>
          </cell>
        </row>
        <row r="109">
          <cell r="C109" t="str">
            <v>PROSES( Menit )</v>
          </cell>
          <cell r="D109" t="str">
            <v>POT</v>
          </cell>
          <cell r="E109" t="str">
            <v>Unschedule Time</v>
          </cell>
          <cell r="F109" t="str">
            <v>L2</v>
          </cell>
          <cell r="G109" t="str">
            <v>L21</v>
          </cell>
          <cell r="H109" t="str">
            <v>L22</v>
          </cell>
          <cell r="I109" t="str">
            <v>IG</v>
          </cell>
          <cell r="J109" t="str">
            <v>PPT</v>
          </cell>
          <cell r="K109" t="str">
            <v>R</v>
          </cell>
          <cell r="L109" t="str">
            <v>Setup</v>
          </cell>
          <cell r="M109" t="str">
            <v>P6</v>
          </cell>
          <cell r="N109" t="str">
            <v>P5</v>
          </cell>
          <cell r="O109" t="str">
            <v>P8</v>
          </cell>
          <cell r="P109" t="str">
            <v>P9</v>
          </cell>
          <cell r="Q109" t="str">
            <v>Breakdown</v>
          </cell>
          <cell r="R109" t="str">
            <v>M1</v>
          </cell>
          <cell r="S109" t="str">
            <v>M2</v>
          </cell>
          <cell r="T109" t="str">
            <v>M4</v>
          </cell>
          <cell r="U109" t="str">
            <v>M8</v>
          </cell>
          <cell r="V109" t="str">
            <v>M9</v>
          </cell>
          <cell r="W109" t="str">
            <v>Clean</v>
          </cell>
          <cell r="X109" t="str">
            <v>P2</v>
          </cell>
          <cell r="Y109" t="str">
            <v>P4</v>
          </cell>
          <cell r="Z109" t="str">
            <v>P17</v>
          </cell>
          <cell r="AA109" t="str">
            <v>P19</v>
          </cell>
          <cell r="AB109" t="str">
            <v>P12</v>
          </cell>
          <cell r="AC109" t="str">
            <v>Trial</v>
          </cell>
          <cell r="AD109" t="str">
            <v>R1</v>
          </cell>
          <cell r="AE109" t="str">
            <v>R2</v>
          </cell>
          <cell r="AF109" t="str">
            <v>Waiting</v>
          </cell>
          <cell r="AG109" t="str">
            <v>L1</v>
          </cell>
          <cell r="AH109" t="str">
            <v>L3</v>
          </cell>
          <cell r="AI109" t="str">
            <v>H1</v>
          </cell>
          <cell r="AJ109" t="str">
            <v>H2</v>
          </cell>
          <cell r="AK109" t="str">
            <v>H4</v>
          </cell>
          <cell r="AL109" t="str">
            <v>H6</v>
          </cell>
          <cell r="AM109" t="str">
            <v>H7</v>
          </cell>
          <cell r="AN109" t="str">
            <v>H8</v>
          </cell>
          <cell r="AO109" t="str">
            <v>P10</v>
          </cell>
          <cell r="AP109" t="str">
            <v>P11</v>
          </cell>
          <cell r="AQ109" t="str">
            <v>P13</v>
          </cell>
          <cell r="AR109" t="str">
            <v>P14</v>
          </cell>
          <cell r="AS109" t="str">
            <v>P16</v>
          </cell>
          <cell r="AT109" t="str">
            <v>M5</v>
          </cell>
          <cell r="AU109" t="str">
            <v>M6</v>
          </cell>
          <cell r="AV109" t="str">
            <v>M7</v>
          </cell>
          <cell r="AW109" t="str">
            <v>Q1</v>
          </cell>
          <cell r="AX109" t="str">
            <v>Q2</v>
          </cell>
          <cell r="AY109" t="str">
            <v>Q3</v>
          </cell>
          <cell r="AZ109" t="str">
            <v>Q4</v>
          </cell>
          <cell r="BA109" t="str">
            <v>Total Output</v>
          </cell>
          <cell r="BB109" t="str">
            <v>Reject Output</v>
          </cell>
          <cell r="BC109" t="str">
            <v>Good Output</v>
          </cell>
        </row>
        <row r="110">
          <cell r="C110" t="str">
            <v>NBL SOL-MIXING</v>
          </cell>
          <cell r="D110">
            <v>82080</v>
          </cell>
          <cell r="E110">
            <v>57060</v>
          </cell>
          <cell r="F110">
            <v>2200</v>
          </cell>
          <cell r="G110">
            <v>350</v>
          </cell>
          <cell r="H110">
            <v>1850</v>
          </cell>
          <cell r="I110">
            <v>784</v>
          </cell>
          <cell r="J110">
            <v>22036</v>
          </cell>
          <cell r="K110">
            <v>3786</v>
          </cell>
          <cell r="L110">
            <v>848</v>
          </cell>
          <cell r="M110">
            <v>848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10135</v>
          </cell>
          <cell r="X110">
            <v>5468</v>
          </cell>
          <cell r="Y110">
            <v>4223</v>
          </cell>
          <cell r="Z110">
            <v>14</v>
          </cell>
          <cell r="AA110">
            <v>0</v>
          </cell>
          <cell r="AB110">
            <v>430</v>
          </cell>
          <cell r="AC110">
            <v>85</v>
          </cell>
          <cell r="AD110">
            <v>0</v>
          </cell>
          <cell r="AE110">
            <v>85</v>
          </cell>
          <cell r="AF110">
            <v>7182</v>
          </cell>
          <cell r="AG110">
            <v>40</v>
          </cell>
          <cell r="AH110">
            <v>0</v>
          </cell>
          <cell r="AI110">
            <v>1290</v>
          </cell>
          <cell r="AJ110">
            <v>0</v>
          </cell>
          <cell r="AK110">
            <v>885</v>
          </cell>
          <cell r="AL110">
            <v>0</v>
          </cell>
          <cell r="AM110">
            <v>0</v>
          </cell>
          <cell r="AN110">
            <v>0</v>
          </cell>
          <cell r="AO110">
            <v>4236</v>
          </cell>
          <cell r="AP110">
            <v>20</v>
          </cell>
          <cell r="AQ110">
            <v>0</v>
          </cell>
          <cell r="AR110">
            <v>487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169</v>
          </cell>
          <cell r="AX110">
            <v>0</v>
          </cell>
          <cell r="AY110">
            <v>55</v>
          </cell>
          <cell r="AZ110">
            <v>0</v>
          </cell>
          <cell r="BA110">
            <v>6832.58</v>
          </cell>
          <cell r="BB110">
            <v>0</v>
          </cell>
          <cell r="BC110">
            <v>6832.58</v>
          </cell>
        </row>
        <row r="111">
          <cell r="C111" t="str">
            <v>MIX113</v>
          </cell>
          <cell r="D111">
            <v>27360</v>
          </cell>
          <cell r="E111">
            <v>14880</v>
          </cell>
          <cell r="F111">
            <v>1500</v>
          </cell>
          <cell r="G111">
            <v>20</v>
          </cell>
          <cell r="H111">
            <v>1480</v>
          </cell>
          <cell r="I111">
            <v>440</v>
          </cell>
          <cell r="J111">
            <v>10540</v>
          </cell>
          <cell r="K111">
            <v>717</v>
          </cell>
          <cell r="L111">
            <v>473</v>
          </cell>
          <cell r="M111">
            <v>473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3730</v>
          </cell>
          <cell r="X111">
            <v>1476</v>
          </cell>
          <cell r="Y111">
            <v>2084</v>
          </cell>
          <cell r="Z111">
            <v>0</v>
          </cell>
          <cell r="AA111">
            <v>0</v>
          </cell>
          <cell r="AB111">
            <v>170</v>
          </cell>
          <cell r="AC111">
            <v>85</v>
          </cell>
          <cell r="AD111">
            <v>0</v>
          </cell>
          <cell r="AE111">
            <v>85</v>
          </cell>
          <cell r="AF111">
            <v>5535</v>
          </cell>
          <cell r="AG111">
            <v>0</v>
          </cell>
          <cell r="AH111">
            <v>0</v>
          </cell>
          <cell r="AI111">
            <v>600</v>
          </cell>
          <cell r="AJ111">
            <v>0</v>
          </cell>
          <cell r="AK111">
            <v>480</v>
          </cell>
          <cell r="AL111">
            <v>0</v>
          </cell>
          <cell r="AM111">
            <v>0</v>
          </cell>
          <cell r="AN111">
            <v>0</v>
          </cell>
          <cell r="AO111">
            <v>4236</v>
          </cell>
          <cell r="AP111">
            <v>20</v>
          </cell>
          <cell r="AQ111">
            <v>0</v>
          </cell>
          <cell r="AR111">
            <v>30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169</v>
          </cell>
          <cell r="AX111">
            <v>0</v>
          </cell>
          <cell r="AY111">
            <v>0</v>
          </cell>
          <cell r="AZ111">
            <v>0</v>
          </cell>
          <cell r="BA111">
            <v>4350.3</v>
          </cell>
          <cell r="BB111">
            <v>0</v>
          </cell>
          <cell r="BC111">
            <v>4350.3</v>
          </cell>
        </row>
        <row r="112">
          <cell r="C112" t="str">
            <v>LMIXSOL1</v>
          </cell>
          <cell r="D112">
            <v>27360</v>
          </cell>
          <cell r="E112">
            <v>20580</v>
          </cell>
          <cell r="F112">
            <v>700</v>
          </cell>
          <cell r="G112">
            <v>330</v>
          </cell>
          <cell r="H112">
            <v>370</v>
          </cell>
          <cell r="I112">
            <v>0</v>
          </cell>
          <cell r="J112">
            <v>6080</v>
          </cell>
          <cell r="K112">
            <v>1417</v>
          </cell>
          <cell r="L112">
            <v>180</v>
          </cell>
          <cell r="M112">
            <v>180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3625</v>
          </cell>
          <cell r="X112">
            <v>2295</v>
          </cell>
          <cell r="Y112">
            <v>1144</v>
          </cell>
          <cell r="Z112">
            <v>1</v>
          </cell>
          <cell r="AA112">
            <v>0</v>
          </cell>
          <cell r="AB112">
            <v>185</v>
          </cell>
          <cell r="AC112">
            <v>0</v>
          </cell>
          <cell r="AD112">
            <v>0</v>
          </cell>
          <cell r="AE112">
            <v>0</v>
          </cell>
          <cell r="AF112">
            <v>858</v>
          </cell>
          <cell r="AG112">
            <v>40</v>
          </cell>
          <cell r="AH112">
            <v>0</v>
          </cell>
          <cell r="AI112">
            <v>360</v>
          </cell>
          <cell r="AJ112">
            <v>0</v>
          </cell>
          <cell r="AK112">
            <v>195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263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640.91</v>
          </cell>
          <cell r="BB112">
            <v>0</v>
          </cell>
          <cell r="BC112">
            <v>640.91</v>
          </cell>
        </row>
        <row r="113">
          <cell r="C113" t="str">
            <v>LMIXSOL2</v>
          </cell>
          <cell r="D113">
            <v>27360</v>
          </cell>
          <cell r="E113">
            <v>21600</v>
          </cell>
          <cell r="F113">
            <v>0</v>
          </cell>
          <cell r="G113">
            <v>0</v>
          </cell>
          <cell r="H113">
            <v>0</v>
          </cell>
          <cell r="I113">
            <v>344</v>
          </cell>
          <cell r="J113">
            <v>5416</v>
          </cell>
          <cell r="K113">
            <v>1652</v>
          </cell>
          <cell r="L113">
            <v>195</v>
          </cell>
          <cell r="M113">
            <v>195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2780</v>
          </cell>
          <cell r="X113">
            <v>1697</v>
          </cell>
          <cell r="Y113">
            <v>995</v>
          </cell>
          <cell r="Z113">
            <v>13</v>
          </cell>
          <cell r="AA113">
            <v>0</v>
          </cell>
          <cell r="AB113">
            <v>75</v>
          </cell>
          <cell r="AC113">
            <v>0</v>
          </cell>
          <cell r="AD113">
            <v>0</v>
          </cell>
          <cell r="AE113">
            <v>0</v>
          </cell>
          <cell r="AF113">
            <v>789</v>
          </cell>
          <cell r="AG113">
            <v>0</v>
          </cell>
          <cell r="AH113">
            <v>0</v>
          </cell>
          <cell r="AI113">
            <v>330</v>
          </cell>
          <cell r="AJ113">
            <v>0</v>
          </cell>
          <cell r="AK113">
            <v>210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194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55</v>
          </cell>
          <cell r="AZ113">
            <v>0</v>
          </cell>
          <cell r="BA113">
            <v>1841.37</v>
          </cell>
          <cell r="BB113">
            <v>0</v>
          </cell>
          <cell r="BC113">
            <v>1841.37</v>
          </cell>
        </row>
        <row r="114">
          <cell r="C114" t="str">
            <v>NBL SOL-COATING</v>
          </cell>
          <cell r="D114">
            <v>56160</v>
          </cell>
          <cell r="E114">
            <v>47010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9150</v>
          </cell>
          <cell r="K114">
            <v>3663</v>
          </cell>
          <cell r="L114">
            <v>467</v>
          </cell>
          <cell r="M114">
            <v>265</v>
          </cell>
          <cell r="N114">
            <v>0</v>
          </cell>
          <cell r="O114">
            <v>202</v>
          </cell>
          <cell r="P114">
            <v>0</v>
          </cell>
          <cell r="Q114">
            <v>160</v>
          </cell>
          <cell r="R114">
            <v>150</v>
          </cell>
          <cell r="S114">
            <v>0</v>
          </cell>
          <cell r="T114">
            <v>0</v>
          </cell>
          <cell r="U114">
            <v>10</v>
          </cell>
          <cell r="V114">
            <v>0</v>
          </cell>
          <cell r="W114">
            <v>3370</v>
          </cell>
          <cell r="X114">
            <v>1285</v>
          </cell>
          <cell r="Y114">
            <v>1845</v>
          </cell>
          <cell r="Z114">
            <v>0</v>
          </cell>
          <cell r="AA114">
            <v>0</v>
          </cell>
          <cell r="AB114">
            <v>240</v>
          </cell>
          <cell r="AC114">
            <v>0</v>
          </cell>
          <cell r="AD114">
            <v>0</v>
          </cell>
          <cell r="AE114">
            <v>0</v>
          </cell>
          <cell r="AF114">
            <v>1490</v>
          </cell>
          <cell r="AG114">
            <v>0</v>
          </cell>
          <cell r="AH114">
            <v>0</v>
          </cell>
          <cell r="AI114">
            <v>510</v>
          </cell>
          <cell r="AJ114">
            <v>0</v>
          </cell>
          <cell r="AK114">
            <v>435</v>
          </cell>
          <cell r="AL114">
            <v>265</v>
          </cell>
          <cell r="AM114">
            <v>0</v>
          </cell>
          <cell r="AN114">
            <v>0</v>
          </cell>
          <cell r="AO114">
            <v>35</v>
          </cell>
          <cell r="AP114">
            <v>225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20</v>
          </cell>
          <cell r="AX114">
            <v>0</v>
          </cell>
          <cell r="AY114">
            <v>0</v>
          </cell>
          <cell r="AZ114">
            <v>0</v>
          </cell>
          <cell r="BA114">
            <v>1657.08</v>
          </cell>
          <cell r="BB114">
            <v>0.93</v>
          </cell>
          <cell r="BC114">
            <v>1656.15</v>
          </cell>
        </row>
        <row r="115">
          <cell r="C115" t="str">
            <v>COT101</v>
          </cell>
          <cell r="D115">
            <v>28800</v>
          </cell>
          <cell r="E115">
            <v>23580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5220</v>
          </cell>
          <cell r="K115">
            <v>1893</v>
          </cell>
          <cell r="L115">
            <v>262</v>
          </cell>
          <cell r="M115">
            <v>160</v>
          </cell>
          <cell r="N115">
            <v>0</v>
          </cell>
          <cell r="O115">
            <v>102</v>
          </cell>
          <cell r="P115">
            <v>0</v>
          </cell>
          <cell r="Q115">
            <v>140</v>
          </cell>
          <cell r="R115">
            <v>130</v>
          </cell>
          <cell r="S115">
            <v>0</v>
          </cell>
          <cell r="T115">
            <v>0</v>
          </cell>
          <cell r="U115">
            <v>10</v>
          </cell>
          <cell r="V115">
            <v>0</v>
          </cell>
          <cell r="W115">
            <v>1945</v>
          </cell>
          <cell r="X115">
            <v>700</v>
          </cell>
          <cell r="Y115">
            <v>1080</v>
          </cell>
          <cell r="Z115">
            <v>0</v>
          </cell>
          <cell r="AA115">
            <v>0</v>
          </cell>
          <cell r="AB115">
            <v>165</v>
          </cell>
          <cell r="AC115">
            <v>0</v>
          </cell>
          <cell r="AD115">
            <v>0</v>
          </cell>
          <cell r="AE115">
            <v>0</v>
          </cell>
          <cell r="AF115">
            <v>980</v>
          </cell>
          <cell r="AG115">
            <v>0</v>
          </cell>
          <cell r="AH115">
            <v>0</v>
          </cell>
          <cell r="AI115">
            <v>300</v>
          </cell>
          <cell r="AJ115">
            <v>0</v>
          </cell>
          <cell r="AK115">
            <v>300</v>
          </cell>
          <cell r="AL115">
            <v>235</v>
          </cell>
          <cell r="AM115">
            <v>0</v>
          </cell>
          <cell r="AN115">
            <v>0</v>
          </cell>
          <cell r="AO115">
            <v>20</v>
          </cell>
          <cell r="AP115">
            <v>120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5</v>
          </cell>
          <cell r="AX115">
            <v>0</v>
          </cell>
          <cell r="AY115">
            <v>0</v>
          </cell>
          <cell r="AZ115">
            <v>0</v>
          </cell>
          <cell r="BA115">
            <v>455.99</v>
          </cell>
          <cell r="BB115">
            <v>0.26</v>
          </cell>
          <cell r="BC115">
            <v>455.73</v>
          </cell>
        </row>
        <row r="116">
          <cell r="C116" t="str">
            <v>COT102</v>
          </cell>
          <cell r="D116">
            <v>27360</v>
          </cell>
          <cell r="E116">
            <v>23430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3930</v>
          </cell>
          <cell r="K116">
            <v>1770</v>
          </cell>
          <cell r="L116">
            <v>205</v>
          </cell>
          <cell r="M116">
            <v>105</v>
          </cell>
          <cell r="N116">
            <v>0</v>
          </cell>
          <cell r="O116">
            <v>100</v>
          </cell>
          <cell r="P116">
            <v>0</v>
          </cell>
          <cell r="Q116">
            <v>20</v>
          </cell>
          <cell r="R116">
            <v>20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1425</v>
          </cell>
          <cell r="X116">
            <v>585</v>
          </cell>
          <cell r="Y116">
            <v>765</v>
          </cell>
          <cell r="Z116">
            <v>0</v>
          </cell>
          <cell r="AA116">
            <v>0</v>
          </cell>
          <cell r="AB116">
            <v>75</v>
          </cell>
          <cell r="AC116">
            <v>0</v>
          </cell>
          <cell r="AD116">
            <v>0</v>
          </cell>
          <cell r="AE116">
            <v>0</v>
          </cell>
          <cell r="AF116">
            <v>510</v>
          </cell>
          <cell r="AG116">
            <v>0</v>
          </cell>
          <cell r="AH116">
            <v>0</v>
          </cell>
          <cell r="AI116">
            <v>210</v>
          </cell>
          <cell r="AJ116">
            <v>0</v>
          </cell>
          <cell r="AK116">
            <v>135</v>
          </cell>
          <cell r="AL116">
            <v>30</v>
          </cell>
          <cell r="AM116">
            <v>0</v>
          </cell>
          <cell r="AN116">
            <v>0</v>
          </cell>
          <cell r="AO116">
            <v>15</v>
          </cell>
          <cell r="AP116">
            <v>105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15</v>
          </cell>
          <cell r="AX116">
            <v>0</v>
          </cell>
          <cell r="AY116">
            <v>0</v>
          </cell>
          <cell r="AZ116">
            <v>0</v>
          </cell>
          <cell r="BA116">
            <v>1201.0899999999999</v>
          </cell>
          <cell r="BB116">
            <v>0.67</v>
          </cell>
          <cell r="BC116">
            <v>1200.42</v>
          </cell>
        </row>
        <row r="117">
          <cell r="C117" t="str">
            <v>NBL SOL-TABLETING</v>
          </cell>
          <cell r="D117">
            <v>82080</v>
          </cell>
          <cell r="E117">
            <v>45870</v>
          </cell>
          <cell r="F117">
            <v>1485</v>
          </cell>
          <cell r="G117">
            <v>365</v>
          </cell>
          <cell r="H117">
            <v>1120</v>
          </cell>
          <cell r="I117">
            <v>0</v>
          </cell>
          <cell r="J117">
            <v>34725</v>
          </cell>
          <cell r="K117">
            <v>11310</v>
          </cell>
          <cell r="L117">
            <v>4785</v>
          </cell>
          <cell r="M117">
            <v>2955</v>
          </cell>
          <cell r="N117">
            <v>0</v>
          </cell>
          <cell r="O117">
            <v>180</v>
          </cell>
          <cell r="P117">
            <v>1650</v>
          </cell>
          <cell r="Q117">
            <v>195</v>
          </cell>
          <cell r="R117">
            <v>165</v>
          </cell>
          <cell r="S117">
            <v>30</v>
          </cell>
          <cell r="T117">
            <v>0</v>
          </cell>
          <cell r="U117">
            <v>0</v>
          </cell>
          <cell r="V117">
            <v>0</v>
          </cell>
          <cell r="W117">
            <v>5165</v>
          </cell>
          <cell r="X117">
            <v>1040</v>
          </cell>
          <cell r="Y117">
            <v>2955</v>
          </cell>
          <cell r="Z117">
            <v>150</v>
          </cell>
          <cell r="AA117">
            <v>0</v>
          </cell>
          <cell r="AB117">
            <v>1020</v>
          </cell>
          <cell r="AC117">
            <v>1720</v>
          </cell>
          <cell r="AD117">
            <v>50</v>
          </cell>
          <cell r="AE117">
            <v>1670</v>
          </cell>
          <cell r="AF117">
            <v>11550</v>
          </cell>
          <cell r="AG117">
            <v>0</v>
          </cell>
          <cell r="AH117">
            <v>0</v>
          </cell>
          <cell r="AI117">
            <v>1885</v>
          </cell>
          <cell r="AJ117">
            <v>0</v>
          </cell>
          <cell r="AK117">
            <v>1580</v>
          </cell>
          <cell r="AL117">
            <v>1320</v>
          </cell>
          <cell r="AM117">
            <v>0</v>
          </cell>
          <cell r="AN117">
            <v>0</v>
          </cell>
          <cell r="AO117">
            <v>1515</v>
          </cell>
          <cell r="AP117">
            <v>500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2385</v>
          </cell>
          <cell r="AX117">
            <v>2365</v>
          </cell>
          <cell r="AY117">
            <v>0</v>
          </cell>
          <cell r="AZ117">
            <v>0</v>
          </cell>
          <cell r="BA117">
            <v>8592210</v>
          </cell>
          <cell r="BB117">
            <v>10496</v>
          </cell>
          <cell r="BC117">
            <v>8581714</v>
          </cell>
        </row>
        <row r="118">
          <cell r="C118" t="str">
            <v>TAB101</v>
          </cell>
          <cell r="D118">
            <v>27360</v>
          </cell>
          <cell r="E118">
            <v>10980</v>
          </cell>
          <cell r="F118">
            <v>180</v>
          </cell>
          <cell r="G118">
            <v>30</v>
          </cell>
          <cell r="H118">
            <v>150</v>
          </cell>
          <cell r="I118">
            <v>0</v>
          </cell>
          <cell r="J118">
            <v>16200</v>
          </cell>
          <cell r="K118">
            <v>6340</v>
          </cell>
          <cell r="L118">
            <v>2375</v>
          </cell>
          <cell r="M118">
            <v>1385</v>
          </cell>
          <cell r="N118">
            <v>0</v>
          </cell>
          <cell r="O118">
            <v>60</v>
          </cell>
          <cell r="P118">
            <v>930</v>
          </cell>
          <cell r="Q118">
            <v>195</v>
          </cell>
          <cell r="R118">
            <v>165</v>
          </cell>
          <cell r="S118">
            <v>30</v>
          </cell>
          <cell r="T118">
            <v>0</v>
          </cell>
          <cell r="U118">
            <v>0</v>
          </cell>
          <cell r="V118">
            <v>0</v>
          </cell>
          <cell r="W118">
            <v>2390</v>
          </cell>
          <cell r="X118">
            <v>625</v>
          </cell>
          <cell r="Y118">
            <v>1300</v>
          </cell>
          <cell r="Z118">
            <v>40</v>
          </cell>
          <cell r="AA118">
            <v>0</v>
          </cell>
          <cell r="AB118">
            <v>425</v>
          </cell>
          <cell r="AC118">
            <v>165</v>
          </cell>
          <cell r="AD118">
            <v>0</v>
          </cell>
          <cell r="AE118">
            <v>165</v>
          </cell>
          <cell r="AF118">
            <v>4735</v>
          </cell>
          <cell r="AG118">
            <v>0</v>
          </cell>
          <cell r="AH118">
            <v>0</v>
          </cell>
          <cell r="AI118">
            <v>1005</v>
          </cell>
          <cell r="AJ118">
            <v>0</v>
          </cell>
          <cell r="AK118">
            <v>725</v>
          </cell>
          <cell r="AL118">
            <v>930</v>
          </cell>
          <cell r="AM118">
            <v>0</v>
          </cell>
          <cell r="AN118">
            <v>0</v>
          </cell>
          <cell r="AO118">
            <v>220</v>
          </cell>
          <cell r="AP118">
            <v>210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1000</v>
          </cell>
          <cell r="AX118">
            <v>645</v>
          </cell>
          <cell r="AY118">
            <v>0</v>
          </cell>
          <cell r="AZ118">
            <v>0</v>
          </cell>
          <cell r="BA118">
            <v>5982655</v>
          </cell>
          <cell r="BB118">
            <v>5783</v>
          </cell>
          <cell r="BC118">
            <v>5976872</v>
          </cell>
        </row>
        <row r="119">
          <cell r="C119" t="str">
            <v>TAB105</v>
          </cell>
          <cell r="D119">
            <v>27360</v>
          </cell>
          <cell r="E119">
            <v>11790</v>
          </cell>
          <cell r="F119">
            <v>650</v>
          </cell>
          <cell r="G119">
            <v>120</v>
          </cell>
          <cell r="H119">
            <v>530</v>
          </cell>
          <cell r="I119">
            <v>0</v>
          </cell>
          <cell r="J119">
            <v>14920</v>
          </cell>
          <cell r="K119">
            <v>4200</v>
          </cell>
          <cell r="L119">
            <v>1920</v>
          </cell>
          <cell r="M119">
            <v>1340</v>
          </cell>
          <cell r="N119">
            <v>0</v>
          </cell>
          <cell r="O119">
            <v>0</v>
          </cell>
          <cell r="P119">
            <v>580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1770</v>
          </cell>
          <cell r="X119">
            <v>225</v>
          </cell>
          <cell r="Y119">
            <v>1265</v>
          </cell>
          <cell r="Z119">
            <v>45</v>
          </cell>
          <cell r="AA119">
            <v>0</v>
          </cell>
          <cell r="AB119">
            <v>235</v>
          </cell>
          <cell r="AC119">
            <v>1555</v>
          </cell>
          <cell r="AD119">
            <v>50</v>
          </cell>
          <cell r="AE119">
            <v>1505</v>
          </cell>
          <cell r="AF119">
            <v>5475</v>
          </cell>
          <cell r="AG119">
            <v>0</v>
          </cell>
          <cell r="AH119">
            <v>0</v>
          </cell>
          <cell r="AI119">
            <v>700</v>
          </cell>
          <cell r="AJ119">
            <v>0</v>
          </cell>
          <cell r="AK119">
            <v>680</v>
          </cell>
          <cell r="AL119">
            <v>90</v>
          </cell>
          <cell r="AM119">
            <v>0</v>
          </cell>
          <cell r="AN119">
            <v>0</v>
          </cell>
          <cell r="AO119">
            <v>1145</v>
          </cell>
          <cell r="AP119">
            <v>270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920</v>
          </cell>
          <cell r="AX119">
            <v>1670</v>
          </cell>
          <cell r="AY119">
            <v>0</v>
          </cell>
          <cell r="AZ119">
            <v>0</v>
          </cell>
          <cell r="BA119">
            <v>1976334</v>
          </cell>
          <cell r="BB119">
            <v>1261</v>
          </cell>
          <cell r="BC119">
            <v>1975073</v>
          </cell>
        </row>
        <row r="120">
          <cell r="C120" t="str">
            <v>TAB103</v>
          </cell>
          <cell r="D120">
            <v>27360</v>
          </cell>
          <cell r="E120">
            <v>23100</v>
          </cell>
          <cell r="F120">
            <v>655</v>
          </cell>
          <cell r="G120">
            <v>215</v>
          </cell>
          <cell r="H120">
            <v>440</v>
          </cell>
          <cell r="I120">
            <v>0</v>
          </cell>
          <cell r="J120">
            <v>3605</v>
          </cell>
          <cell r="K120">
            <v>770</v>
          </cell>
          <cell r="L120">
            <v>490</v>
          </cell>
          <cell r="M120">
            <v>230</v>
          </cell>
          <cell r="N120">
            <v>0</v>
          </cell>
          <cell r="O120">
            <v>120</v>
          </cell>
          <cell r="P120">
            <v>140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1005</v>
          </cell>
          <cell r="X120">
            <v>190</v>
          </cell>
          <cell r="Y120">
            <v>390</v>
          </cell>
          <cell r="Z120">
            <v>65</v>
          </cell>
          <cell r="AA120">
            <v>0</v>
          </cell>
          <cell r="AB120">
            <v>360</v>
          </cell>
          <cell r="AC120">
            <v>0</v>
          </cell>
          <cell r="AD120">
            <v>0</v>
          </cell>
          <cell r="AE120">
            <v>0</v>
          </cell>
          <cell r="AF120">
            <v>1340</v>
          </cell>
          <cell r="AG120">
            <v>0</v>
          </cell>
          <cell r="AH120">
            <v>0</v>
          </cell>
          <cell r="AI120">
            <v>180</v>
          </cell>
          <cell r="AJ120">
            <v>0</v>
          </cell>
          <cell r="AK120">
            <v>175</v>
          </cell>
          <cell r="AL120">
            <v>300</v>
          </cell>
          <cell r="AM120">
            <v>0</v>
          </cell>
          <cell r="AN120">
            <v>0</v>
          </cell>
          <cell r="AO120">
            <v>150</v>
          </cell>
          <cell r="AP120">
            <v>20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465</v>
          </cell>
          <cell r="AX120">
            <v>50</v>
          </cell>
          <cell r="AY120">
            <v>0</v>
          </cell>
          <cell r="AZ120">
            <v>0</v>
          </cell>
          <cell r="BA120">
            <v>633221</v>
          </cell>
          <cell r="BB120">
            <v>3452</v>
          </cell>
          <cell r="BC120">
            <v>629769</v>
          </cell>
        </row>
        <row r="121">
          <cell r="C121" t="str">
            <v>NBL SOL-CAPSULE</v>
          </cell>
          <cell r="D121">
            <v>54720</v>
          </cell>
          <cell r="E121">
            <v>54210</v>
          </cell>
          <cell r="F121">
            <v>285</v>
          </cell>
          <cell r="G121">
            <v>0</v>
          </cell>
          <cell r="H121">
            <v>285</v>
          </cell>
          <cell r="I121">
            <v>0</v>
          </cell>
          <cell r="J121">
            <v>225</v>
          </cell>
          <cell r="K121">
            <v>0</v>
          </cell>
          <cell r="L121">
            <v>170</v>
          </cell>
          <cell r="M121">
            <v>170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40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40</v>
          </cell>
          <cell r="AC121">
            <v>0</v>
          </cell>
          <cell r="AD121">
            <v>0</v>
          </cell>
          <cell r="AE121">
            <v>0</v>
          </cell>
          <cell r="AF121">
            <v>15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15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</row>
        <row r="122">
          <cell r="C122" t="str">
            <v>KAP101</v>
          </cell>
          <cell r="D122">
            <v>27360</v>
          </cell>
          <cell r="E122">
            <v>26850</v>
          </cell>
          <cell r="F122">
            <v>285</v>
          </cell>
          <cell r="G122">
            <v>0</v>
          </cell>
          <cell r="H122">
            <v>285</v>
          </cell>
          <cell r="I122">
            <v>0</v>
          </cell>
          <cell r="J122">
            <v>225</v>
          </cell>
          <cell r="K122">
            <v>0</v>
          </cell>
          <cell r="L122">
            <v>170</v>
          </cell>
          <cell r="M122">
            <v>170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40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40</v>
          </cell>
          <cell r="AC122">
            <v>0</v>
          </cell>
          <cell r="AD122">
            <v>0</v>
          </cell>
          <cell r="AE122">
            <v>0</v>
          </cell>
          <cell r="AF122">
            <v>15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15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</row>
        <row r="123">
          <cell r="C123" t="str">
            <v>KAP103</v>
          </cell>
          <cell r="D123">
            <v>27360</v>
          </cell>
          <cell r="E123">
            <v>27360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/>
          <cell r="K123"/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/>
          <cell r="BB123"/>
          <cell r="BC123"/>
        </row>
        <row r="124">
          <cell r="C124" t="str">
            <v>NBL SOL-STRIPPING</v>
          </cell>
          <cell r="D124">
            <v>141120</v>
          </cell>
          <cell r="E124">
            <v>85260</v>
          </cell>
          <cell r="F124">
            <v>2850</v>
          </cell>
          <cell r="G124">
            <v>0</v>
          </cell>
          <cell r="H124">
            <v>2850</v>
          </cell>
          <cell r="I124">
            <v>0</v>
          </cell>
          <cell r="J124">
            <v>53010</v>
          </cell>
          <cell r="K124">
            <v>18100</v>
          </cell>
          <cell r="L124">
            <v>7260</v>
          </cell>
          <cell r="M124">
            <v>4285</v>
          </cell>
          <cell r="N124">
            <v>0</v>
          </cell>
          <cell r="O124">
            <v>2870</v>
          </cell>
          <cell r="P124">
            <v>105</v>
          </cell>
          <cell r="Q124">
            <v>115</v>
          </cell>
          <cell r="R124">
            <v>85</v>
          </cell>
          <cell r="S124">
            <v>30</v>
          </cell>
          <cell r="T124">
            <v>0</v>
          </cell>
          <cell r="U124">
            <v>0</v>
          </cell>
          <cell r="V124">
            <v>0</v>
          </cell>
          <cell r="W124">
            <v>12705</v>
          </cell>
          <cell r="X124">
            <v>7200</v>
          </cell>
          <cell r="Y124">
            <v>2005</v>
          </cell>
          <cell r="Z124">
            <v>2655</v>
          </cell>
          <cell r="AA124">
            <v>0</v>
          </cell>
          <cell r="AB124">
            <v>845</v>
          </cell>
          <cell r="AC124">
            <v>3270</v>
          </cell>
          <cell r="AD124">
            <v>0</v>
          </cell>
          <cell r="AE124">
            <v>3270</v>
          </cell>
          <cell r="AF124">
            <v>11560</v>
          </cell>
          <cell r="AG124">
            <v>0</v>
          </cell>
          <cell r="AH124">
            <v>0</v>
          </cell>
          <cell r="AI124">
            <v>2980</v>
          </cell>
          <cell r="AJ124">
            <v>0</v>
          </cell>
          <cell r="AK124">
            <v>2515</v>
          </cell>
          <cell r="AL124">
            <v>2215</v>
          </cell>
          <cell r="AM124">
            <v>0</v>
          </cell>
          <cell r="AN124">
            <v>0</v>
          </cell>
          <cell r="AO124">
            <v>145</v>
          </cell>
          <cell r="AP124">
            <v>1665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1870</v>
          </cell>
          <cell r="AX124">
            <v>170</v>
          </cell>
          <cell r="AY124">
            <v>0</v>
          </cell>
          <cell r="AZ124">
            <v>0</v>
          </cell>
          <cell r="BA124">
            <v>10310207</v>
          </cell>
          <cell r="BB124">
            <v>48650</v>
          </cell>
          <cell r="BC124">
            <v>10261557</v>
          </cell>
        </row>
        <row r="125">
          <cell r="C125" t="str">
            <v>STR105</v>
          </cell>
          <cell r="D125">
            <v>27360</v>
          </cell>
          <cell r="E125">
            <v>17610</v>
          </cell>
          <cell r="F125">
            <v>510</v>
          </cell>
          <cell r="G125">
            <v>0</v>
          </cell>
          <cell r="H125">
            <v>510</v>
          </cell>
          <cell r="I125">
            <v>0</v>
          </cell>
          <cell r="J125">
            <v>9240</v>
          </cell>
          <cell r="K125">
            <v>2845</v>
          </cell>
          <cell r="L125">
            <v>1405</v>
          </cell>
          <cell r="M125">
            <v>895</v>
          </cell>
          <cell r="N125">
            <v>0</v>
          </cell>
          <cell r="O125">
            <v>510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1745</v>
          </cell>
          <cell r="X125">
            <v>950</v>
          </cell>
          <cell r="Y125">
            <v>275</v>
          </cell>
          <cell r="Z125">
            <v>425</v>
          </cell>
          <cell r="AA125">
            <v>0</v>
          </cell>
          <cell r="AB125">
            <v>95</v>
          </cell>
          <cell r="AC125">
            <v>1110</v>
          </cell>
          <cell r="AD125">
            <v>0</v>
          </cell>
          <cell r="AE125">
            <v>1110</v>
          </cell>
          <cell r="AF125">
            <v>2135</v>
          </cell>
          <cell r="AG125">
            <v>0</v>
          </cell>
          <cell r="AH125">
            <v>0</v>
          </cell>
          <cell r="AI125">
            <v>480</v>
          </cell>
          <cell r="AJ125">
            <v>0</v>
          </cell>
          <cell r="AK125">
            <v>420</v>
          </cell>
          <cell r="AL125">
            <v>350</v>
          </cell>
          <cell r="AM125">
            <v>0</v>
          </cell>
          <cell r="AN125">
            <v>0</v>
          </cell>
          <cell r="AO125">
            <v>0</v>
          </cell>
          <cell r="AP125">
            <v>360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525</v>
          </cell>
          <cell r="AX125">
            <v>0</v>
          </cell>
          <cell r="AY125">
            <v>0</v>
          </cell>
          <cell r="AZ125">
            <v>0</v>
          </cell>
          <cell r="BA125">
            <v>1002292</v>
          </cell>
          <cell r="BB125">
            <v>7520</v>
          </cell>
          <cell r="BC125">
            <v>994772</v>
          </cell>
        </row>
        <row r="126">
          <cell r="C126" t="str">
            <v>STR102</v>
          </cell>
          <cell r="D126">
            <v>28800</v>
          </cell>
          <cell r="E126">
            <v>13380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15420</v>
          </cell>
          <cell r="K126">
            <v>4665</v>
          </cell>
          <cell r="L126">
            <v>2675</v>
          </cell>
          <cell r="M126">
            <v>1610</v>
          </cell>
          <cell r="N126">
            <v>0</v>
          </cell>
          <cell r="O126">
            <v>1065</v>
          </cell>
          <cell r="P126">
            <v>0</v>
          </cell>
          <cell r="Q126">
            <v>70</v>
          </cell>
          <cell r="R126">
            <v>40</v>
          </cell>
          <cell r="S126">
            <v>30</v>
          </cell>
          <cell r="T126">
            <v>0</v>
          </cell>
          <cell r="U126">
            <v>0</v>
          </cell>
          <cell r="V126">
            <v>0</v>
          </cell>
          <cell r="W126">
            <v>3485</v>
          </cell>
          <cell r="X126">
            <v>1435</v>
          </cell>
          <cell r="Y126">
            <v>1070</v>
          </cell>
          <cell r="Z126">
            <v>700</v>
          </cell>
          <cell r="AA126">
            <v>0</v>
          </cell>
          <cell r="AB126">
            <v>280</v>
          </cell>
          <cell r="AC126">
            <v>1680</v>
          </cell>
          <cell r="AD126">
            <v>0</v>
          </cell>
          <cell r="AE126">
            <v>1680</v>
          </cell>
          <cell r="AF126">
            <v>2845</v>
          </cell>
          <cell r="AG126">
            <v>0</v>
          </cell>
          <cell r="AH126">
            <v>0</v>
          </cell>
          <cell r="AI126">
            <v>880</v>
          </cell>
          <cell r="AJ126">
            <v>0</v>
          </cell>
          <cell r="AK126">
            <v>725</v>
          </cell>
          <cell r="AL126">
            <v>110</v>
          </cell>
          <cell r="AM126">
            <v>0</v>
          </cell>
          <cell r="AN126">
            <v>0</v>
          </cell>
          <cell r="AO126">
            <v>145</v>
          </cell>
          <cell r="AP126">
            <v>475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510</v>
          </cell>
          <cell r="AX126">
            <v>0</v>
          </cell>
          <cell r="AY126">
            <v>0</v>
          </cell>
          <cell r="AZ126">
            <v>0</v>
          </cell>
          <cell r="BA126">
            <v>5500199</v>
          </cell>
          <cell r="BB126">
            <v>24273</v>
          </cell>
          <cell r="BC126">
            <v>5475926</v>
          </cell>
        </row>
        <row r="127">
          <cell r="C127" t="str">
            <v>STR104</v>
          </cell>
          <cell r="D127">
            <v>27360</v>
          </cell>
          <cell r="E127">
            <v>19560</v>
          </cell>
          <cell r="F127">
            <v>945</v>
          </cell>
          <cell r="G127">
            <v>0</v>
          </cell>
          <cell r="H127">
            <v>945</v>
          </cell>
          <cell r="I127">
            <v>0</v>
          </cell>
          <cell r="J127">
            <v>6855</v>
          </cell>
          <cell r="K127">
            <v>3380</v>
          </cell>
          <cell r="L127">
            <v>90</v>
          </cell>
          <cell r="M127">
            <v>50</v>
          </cell>
          <cell r="N127">
            <v>0</v>
          </cell>
          <cell r="O127">
            <v>40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1905</v>
          </cell>
          <cell r="X127">
            <v>1130</v>
          </cell>
          <cell r="Y127">
            <v>175</v>
          </cell>
          <cell r="Z127">
            <v>450</v>
          </cell>
          <cell r="AA127">
            <v>0</v>
          </cell>
          <cell r="AB127">
            <v>150</v>
          </cell>
          <cell r="AC127">
            <v>0</v>
          </cell>
          <cell r="AD127">
            <v>0</v>
          </cell>
          <cell r="AE127">
            <v>0</v>
          </cell>
          <cell r="AF127">
            <v>1480</v>
          </cell>
          <cell r="AG127">
            <v>0</v>
          </cell>
          <cell r="AH127">
            <v>0</v>
          </cell>
          <cell r="AI127">
            <v>390</v>
          </cell>
          <cell r="AJ127">
            <v>0</v>
          </cell>
          <cell r="AK127">
            <v>245</v>
          </cell>
          <cell r="AL127">
            <v>500</v>
          </cell>
          <cell r="AM127">
            <v>0</v>
          </cell>
          <cell r="AN127">
            <v>0</v>
          </cell>
          <cell r="AO127">
            <v>0</v>
          </cell>
          <cell r="AP127">
            <v>155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65</v>
          </cell>
          <cell r="AX127">
            <v>125</v>
          </cell>
          <cell r="AY127">
            <v>0</v>
          </cell>
          <cell r="AZ127">
            <v>0</v>
          </cell>
          <cell r="BA127">
            <v>20708</v>
          </cell>
          <cell r="BB127">
            <v>79</v>
          </cell>
          <cell r="BC127">
            <v>20629</v>
          </cell>
        </row>
        <row r="128">
          <cell r="C128" t="str">
            <v>STR103</v>
          </cell>
          <cell r="D128">
            <v>28800</v>
          </cell>
          <cell r="E128">
            <v>22230</v>
          </cell>
          <cell r="F128">
            <v>715</v>
          </cell>
          <cell r="G128">
            <v>0</v>
          </cell>
          <cell r="H128">
            <v>715</v>
          </cell>
          <cell r="I128">
            <v>0</v>
          </cell>
          <cell r="J128">
            <v>5855</v>
          </cell>
          <cell r="K128">
            <v>1905</v>
          </cell>
          <cell r="L128">
            <v>705</v>
          </cell>
          <cell r="M128">
            <v>525</v>
          </cell>
          <cell r="N128">
            <v>0</v>
          </cell>
          <cell r="O128">
            <v>180</v>
          </cell>
          <cell r="P128">
            <v>0</v>
          </cell>
          <cell r="Q128">
            <v>25</v>
          </cell>
          <cell r="R128">
            <v>25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1035</v>
          </cell>
          <cell r="X128">
            <v>495</v>
          </cell>
          <cell r="Y128">
            <v>130</v>
          </cell>
          <cell r="Z128">
            <v>330</v>
          </cell>
          <cell r="AA128">
            <v>0</v>
          </cell>
          <cell r="AB128">
            <v>80</v>
          </cell>
          <cell r="AC128">
            <v>480</v>
          </cell>
          <cell r="AD128">
            <v>0</v>
          </cell>
          <cell r="AE128">
            <v>480</v>
          </cell>
          <cell r="AF128">
            <v>1705</v>
          </cell>
          <cell r="AG128">
            <v>0</v>
          </cell>
          <cell r="AH128">
            <v>0</v>
          </cell>
          <cell r="AI128">
            <v>270</v>
          </cell>
          <cell r="AJ128">
            <v>0</v>
          </cell>
          <cell r="AK128">
            <v>255</v>
          </cell>
          <cell r="AL128">
            <v>760</v>
          </cell>
          <cell r="AM128">
            <v>0</v>
          </cell>
          <cell r="AN128">
            <v>0</v>
          </cell>
          <cell r="AO128">
            <v>0</v>
          </cell>
          <cell r="AP128">
            <v>185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235</v>
          </cell>
          <cell r="AX128">
            <v>0</v>
          </cell>
          <cell r="AY128">
            <v>0</v>
          </cell>
          <cell r="AZ128">
            <v>0</v>
          </cell>
          <cell r="BA128">
            <v>1031542</v>
          </cell>
          <cell r="BB128">
            <v>5132</v>
          </cell>
          <cell r="BC128">
            <v>1026410</v>
          </cell>
        </row>
        <row r="129">
          <cell r="C129" t="str">
            <v>STR101</v>
          </cell>
          <cell r="D129">
            <v>28800</v>
          </cell>
          <cell r="E129">
            <v>12480</v>
          </cell>
          <cell r="F129">
            <v>680</v>
          </cell>
          <cell r="G129">
            <v>0</v>
          </cell>
          <cell r="H129">
            <v>680</v>
          </cell>
          <cell r="I129">
            <v>0</v>
          </cell>
          <cell r="J129">
            <v>15640</v>
          </cell>
          <cell r="K129">
            <v>5305</v>
          </cell>
          <cell r="L129">
            <v>2385</v>
          </cell>
          <cell r="M129">
            <v>1205</v>
          </cell>
          <cell r="N129">
            <v>0</v>
          </cell>
          <cell r="O129">
            <v>1075</v>
          </cell>
          <cell r="P129">
            <v>105</v>
          </cell>
          <cell r="Q129">
            <v>20</v>
          </cell>
          <cell r="R129">
            <v>20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4535</v>
          </cell>
          <cell r="X129">
            <v>3190</v>
          </cell>
          <cell r="Y129">
            <v>355</v>
          </cell>
          <cell r="Z129">
            <v>750</v>
          </cell>
          <cell r="AA129">
            <v>0</v>
          </cell>
          <cell r="AB129">
            <v>240</v>
          </cell>
          <cell r="AC129">
            <v>0</v>
          </cell>
          <cell r="AD129">
            <v>0</v>
          </cell>
          <cell r="AE129">
            <v>0</v>
          </cell>
          <cell r="AF129">
            <v>3395</v>
          </cell>
          <cell r="AG129">
            <v>0</v>
          </cell>
          <cell r="AH129">
            <v>0</v>
          </cell>
          <cell r="AI129">
            <v>960</v>
          </cell>
          <cell r="AJ129">
            <v>0</v>
          </cell>
          <cell r="AK129">
            <v>870</v>
          </cell>
          <cell r="AL129">
            <v>495</v>
          </cell>
          <cell r="AM129">
            <v>0</v>
          </cell>
          <cell r="AN129">
            <v>0</v>
          </cell>
          <cell r="AO129">
            <v>0</v>
          </cell>
          <cell r="AP129">
            <v>490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535</v>
          </cell>
          <cell r="AX129">
            <v>45</v>
          </cell>
          <cell r="AY129">
            <v>0</v>
          </cell>
          <cell r="AZ129">
            <v>0</v>
          </cell>
          <cell r="BA129">
            <v>2755466</v>
          </cell>
          <cell r="BB129">
            <v>11646</v>
          </cell>
          <cell r="BC129">
            <v>2743820</v>
          </cell>
        </row>
        <row r="130">
          <cell r="C130" t="str">
            <v>NBL SYR-MIXING</v>
          </cell>
          <cell r="D130">
            <v>27360</v>
          </cell>
          <cell r="E130">
            <v>21000</v>
          </cell>
          <cell r="F130">
            <v>646</v>
          </cell>
          <cell r="G130">
            <v>142</v>
          </cell>
          <cell r="H130">
            <v>504</v>
          </cell>
          <cell r="I130">
            <v>0</v>
          </cell>
          <cell r="J130">
            <v>5714</v>
          </cell>
          <cell r="K130">
            <v>2391</v>
          </cell>
          <cell r="L130">
            <v>178</v>
          </cell>
          <cell r="M130">
            <v>178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1890</v>
          </cell>
          <cell r="X130">
            <v>184</v>
          </cell>
          <cell r="Y130">
            <v>1706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1255</v>
          </cell>
          <cell r="AG130">
            <v>451</v>
          </cell>
          <cell r="AH130">
            <v>0</v>
          </cell>
          <cell r="AI130">
            <v>180</v>
          </cell>
          <cell r="AJ130">
            <v>40</v>
          </cell>
          <cell r="AK130">
            <v>140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36</v>
          </cell>
          <cell r="AX130">
            <v>408</v>
          </cell>
          <cell r="AY130">
            <v>0</v>
          </cell>
          <cell r="AZ130">
            <v>0</v>
          </cell>
          <cell r="BA130">
            <v>9325</v>
          </cell>
          <cell r="BB130">
            <v>1.3</v>
          </cell>
          <cell r="BC130">
            <v>9323.7000000000007</v>
          </cell>
        </row>
        <row r="131">
          <cell r="C131" t="str">
            <v>LMIXSYR1</v>
          </cell>
          <cell r="D131">
            <v>27360</v>
          </cell>
          <cell r="E131">
            <v>21000</v>
          </cell>
          <cell r="F131">
            <v>646</v>
          </cell>
          <cell r="G131">
            <v>142</v>
          </cell>
          <cell r="H131">
            <v>504</v>
          </cell>
          <cell r="I131">
            <v>0</v>
          </cell>
          <cell r="J131">
            <v>5714</v>
          </cell>
          <cell r="K131">
            <v>2391</v>
          </cell>
          <cell r="L131">
            <v>178</v>
          </cell>
          <cell r="M131">
            <v>178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1890</v>
          </cell>
          <cell r="X131">
            <v>184</v>
          </cell>
          <cell r="Y131">
            <v>1706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1255</v>
          </cell>
          <cell r="AG131">
            <v>451</v>
          </cell>
          <cell r="AH131">
            <v>0</v>
          </cell>
          <cell r="AI131">
            <v>180</v>
          </cell>
          <cell r="AJ131">
            <v>40</v>
          </cell>
          <cell r="AK131">
            <v>140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36</v>
          </cell>
          <cell r="AX131">
            <v>408</v>
          </cell>
          <cell r="AY131">
            <v>0</v>
          </cell>
          <cell r="AZ131">
            <v>0</v>
          </cell>
          <cell r="BA131">
            <v>9325</v>
          </cell>
          <cell r="BB131">
            <v>1.3</v>
          </cell>
          <cell r="BC131">
            <v>9323.7000000000007</v>
          </cell>
        </row>
        <row r="132">
          <cell r="C132" t="str">
            <v>NBL SYR-FILLING</v>
          </cell>
          <cell r="D132">
            <v>54720</v>
          </cell>
          <cell r="E132">
            <v>43140</v>
          </cell>
          <cell r="F132">
            <v>1620</v>
          </cell>
          <cell r="G132">
            <v>0</v>
          </cell>
          <cell r="H132">
            <v>1620</v>
          </cell>
          <cell r="I132">
            <v>0</v>
          </cell>
          <cell r="J132">
            <v>9960</v>
          </cell>
          <cell r="K132">
            <v>2890</v>
          </cell>
          <cell r="L132">
            <v>640</v>
          </cell>
          <cell r="M132">
            <v>525</v>
          </cell>
          <cell r="N132">
            <v>0</v>
          </cell>
          <cell r="O132">
            <v>95</v>
          </cell>
          <cell r="P132">
            <v>20</v>
          </cell>
          <cell r="Q132">
            <v>165</v>
          </cell>
          <cell r="R132">
            <v>150</v>
          </cell>
          <cell r="S132">
            <v>0</v>
          </cell>
          <cell r="T132">
            <v>0</v>
          </cell>
          <cell r="U132">
            <v>0</v>
          </cell>
          <cell r="V132">
            <v>15</v>
          </cell>
          <cell r="W132">
            <v>2620</v>
          </cell>
          <cell r="X132">
            <v>225</v>
          </cell>
          <cell r="Y132">
            <v>1300</v>
          </cell>
          <cell r="Z132">
            <v>0</v>
          </cell>
          <cell r="AA132">
            <v>0</v>
          </cell>
          <cell r="AB132">
            <v>1095</v>
          </cell>
          <cell r="AC132">
            <v>1155</v>
          </cell>
          <cell r="AD132">
            <v>645</v>
          </cell>
          <cell r="AE132">
            <v>510</v>
          </cell>
          <cell r="AF132">
            <v>2490</v>
          </cell>
          <cell r="AG132">
            <v>60</v>
          </cell>
          <cell r="AH132">
            <v>0</v>
          </cell>
          <cell r="AI132">
            <v>540</v>
          </cell>
          <cell r="AJ132">
            <v>85</v>
          </cell>
          <cell r="AK132">
            <v>375</v>
          </cell>
          <cell r="AL132">
            <v>0</v>
          </cell>
          <cell r="AM132">
            <v>0</v>
          </cell>
          <cell r="AN132">
            <v>0</v>
          </cell>
          <cell r="AO132">
            <v>1325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105</v>
          </cell>
          <cell r="AY132">
            <v>0</v>
          </cell>
          <cell r="AZ132">
            <v>0</v>
          </cell>
          <cell r="BA132">
            <v>156049</v>
          </cell>
          <cell r="BB132">
            <v>280</v>
          </cell>
          <cell r="BC132">
            <v>155769</v>
          </cell>
        </row>
        <row r="133">
          <cell r="C133" t="str">
            <v>SYR109</v>
          </cell>
          <cell r="D133">
            <v>27360</v>
          </cell>
          <cell r="E133">
            <v>18630</v>
          </cell>
          <cell r="F133">
            <v>1335</v>
          </cell>
          <cell r="G133">
            <v>0</v>
          </cell>
          <cell r="H133">
            <v>1335</v>
          </cell>
          <cell r="I133">
            <v>0</v>
          </cell>
          <cell r="J133">
            <v>7395</v>
          </cell>
          <cell r="K133">
            <v>2075</v>
          </cell>
          <cell r="L133">
            <v>565</v>
          </cell>
          <cell r="M133">
            <v>495</v>
          </cell>
          <cell r="N133">
            <v>0</v>
          </cell>
          <cell r="O133">
            <v>60</v>
          </cell>
          <cell r="P133">
            <v>10</v>
          </cell>
          <cell r="Q133">
            <v>150</v>
          </cell>
          <cell r="R133">
            <v>150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2110</v>
          </cell>
          <cell r="X133">
            <v>160</v>
          </cell>
          <cell r="Y133">
            <v>1075</v>
          </cell>
          <cell r="Z133">
            <v>0</v>
          </cell>
          <cell r="AA133">
            <v>0</v>
          </cell>
          <cell r="AB133">
            <v>875</v>
          </cell>
          <cell r="AC133">
            <v>645</v>
          </cell>
          <cell r="AD133">
            <v>135</v>
          </cell>
          <cell r="AE133">
            <v>510</v>
          </cell>
          <cell r="AF133">
            <v>1850</v>
          </cell>
          <cell r="AG133">
            <v>60</v>
          </cell>
          <cell r="AH133">
            <v>0</v>
          </cell>
          <cell r="AI133">
            <v>420</v>
          </cell>
          <cell r="AJ133">
            <v>55</v>
          </cell>
          <cell r="AK133">
            <v>285</v>
          </cell>
          <cell r="AL133">
            <v>0</v>
          </cell>
          <cell r="AM133">
            <v>0</v>
          </cell>
          <cell r="AN133">
            <v>0</v>
          </cell>
          <cell r="AO133">
            <v>925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105</v>
          </cell>
          <cell r="AY133">
            <v>0</v>
          </cell>
          <cell r="AZ133">
            <v>0</v>
          </cell>
          <cell r="BA133">
            <v>111122</v>
          </cell>
          <cell r="BB133">
            <v>220</v>
          </cell>
          <cell r="BC133">
            <v>110902</v>
          </cell>
        </row>
        <row r="134">
          <cell r="C134" t="str">
            <v>SYR110</v>
          </cell>
          <cell r="D134">
            <v>27360</v>
          </cell>
          <cell r="E134">
            <v>24510</v>
          </cell>
          <cell r="F134">
            <v>285</v>
          </cell>
          <cell r="G134">
            <v>0</v>
          </cell>
          <cell r="H134">
            <v>285</v>
          </cell>
          <cell r="I134">
            <v>0</v>
          </cell>
          <cell r="J134">
            <v>2565</v>
          </cell>
          <cell r="K134">
            <v>815</v>
          </cell>
          <cell r="L134">
            <v>75</v>
          </cell>
          <cell r="M134">
            <v>30</v>
          </cell>
          <cell r="N134">
            <v>0</v>
          </cell>
          <cell r="O134">
            <v>35</v>
          </cell>
          <cell r="P134">
            <v>10</v>
          </cell>
          <cell r="Q134">
            <v>15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15</v>
          </cell>
          <cell r="W134">
            <v>510</v>
          </cell>
          <cell r="X134">
            <v>65</v>
          </cell>
          <cell r="Y134">
            <v>225</v>
          </cell>
          <cell r="Z134">
            <v>0</v>
          </cell>
          <cell r="AA134">
            <v>0</v>
          </cell>
          <cell r="AB134">
            <v>220</v>
          </cell>
          <cell r="AC134">
            <v>510</v>
          </cell>
          <cell r="AD134">
            <v>510</v>
          </cell>
          <cell r="AE134">
            <v>0</v>
          </cell>
          <cell r="AF134">
            <v>640</v>
          </cell>
          <cell r="AG134">
            <v>0</v>
          </cell>
          <cell r="AH134">
            <v>0</v>
          </cell>
          <cell r="AI134">
            <v>120</v>
          </cell>
          <cell r="AJ134">
            <v>30</v>
          </cell>
          <cell r="AK134">
            <v>90</v>
          </cell>
          <cell r="AL134">
            <v>0</v>
          </cell>
          <cell r="AM134">
            <v>0</v>
          </cell>
          <cell r="AN134">
            <v>0</v>
          </cell>
          <cell r="AO134">
            <v>400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44927</v>
          </cell>
          <cell r="BB134">
            <v>60</v>
          </cell>
          <cell r="BC134">
            <v>44867</v>
          </cell>
        </row>
        <row r="135">
          <cell r="C135" t="str">
            <v>NBL INJ-MIXING</v>
          </cell>
          <cell r="D135">
            <v>27360</v>
          </cell>
          <cell r="E135">
            <v>22590</v>
          </cell>
          <cell r="F135">
            <v>444</v>
          </cell>
          <cell r="G135">
            <v>0</v>
          </cell>
          <cell r="H135">
            <v>444</v>
          </cell>
          <cell r="I135">
            <v>0</v>
          </cell>
          <cell r="J135">
            <v>4326</v>
          </cell>
          <cell r="K135">
            <v>1754</v>
          </cell>
          <cell r="L135">
            <v>120</v>
          </cell>
          <cell r="M135">
            <v>120</v>
          </cell>
          <cell r="N135">
            <v>0</v>
          </cell>
          <cell r="O135">
            <v>0</v>
          </cell>
          <cell r="P135">
            <v>0</v>
          </cell>
          <cell r="Q135">
            <v>35</v>
          </cell>
          <cell r="R135">
            <v>0</v>
          </cell>
          <cell r="S135">
            <v>0</v>
          </cell>
          <cell r="T135">
            <v>0</v>
          </cell>
          <cell r="U135">
            <v>35</v>
          </cell>
          <cell r="V135">
            <v>0</v>
          </cell>
          <cell r="W135">
            <v>1184</v>
          </cell>
          <cell r="X135">
            <v>338</v>
          </cell>
          <cell r="Y135">
            <v>610</v>
          </cell>
          <cell r="Z135">
            <v>0</v>
          </cell>
          <cell r="AA135">
            <v>236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1233</v>
          </cell>
          <cell r="AG135">
            <v>0</v>
          </cell>
          <cell r="AH135">
            <v>0</v>
          </cell>
          <cell r="AI135">
            <v>323</v>
          </cell>
          <cell r="AJ135">
            <v>20</v>
          </cell>
          <cell r="AK135">
            <v>225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665</v>
          </cell>
          <cell r="AX135">
            <v>0</v>
          </cell>
          <cell r="AY135">
            <v>0</v>
          </cell>
          <cell r="AZ135">
            <v>0</v>
          </cell>
          <cell r="BA135">
            <v>426</v>
          </cell>
          <cell r="BB135">
            <v>0</v>
          </cell>
          <cell r="BC135">
            <v>426</v>
          </cell>
        </row>
        <row r="136">
          <cell r="C136" t="str">
            <v>LMIXINJ1</v>
          </cell>
          <cell r="D136">
            <v>27360</v>
          </cell>
          <cell r="E136">
            <v>22590</v>
          </cell>
          <cell r="F136">
            <v>444</v>
          </cell>
          <cell r="G136">
            <v>0</v>
          </cell>
          <cell r="H136">
            <v>444</v>
          </cell>
          <cell r="I136">
            <v>0</v>
          </cell>
          <cell r="J136">
            <v>4326</v>
          </cell>
          <cell r="K136">
            <v>1754</v>
          </cell>
          <cell r="L136">
            <v>120</v>
          </cell>
          <cell r="M136">
            <v>120</v>
          </cell>
          <cell r="N136">
            <v>0</v>
          </cell>
          <cell r="O136">
            <v>0</v>
          </cell>
          <cell r="P136">
            <v>0</v>
          </cell>
          <cell r="Q136">
            <v>35</v>
          </cell>
          <cell r="R136">
            <v>0</v>
          </cell>
          <cell r="S136">
            <v>0</v>
          </cell>
          <cell r="T136">
            <v>0</v>
          </cell>
          <cell r="U136">
            <v>35</v>
          </cell>
          <cell r="V136">
            <v>0</v>
          </cell>
          <cell r="W136">
            <v>1184</v>
          </cell>
          <cell r="X136">
            <v>338</v>
          </cell>
          <cell r="Y136">
            <v>610</v>
          </cell>
          <cell r="Z136">
            <v>0</v>
          </cell>
          <cell r="AA136">
            <v>236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1233</v>
          </cell>
          <cell r="AG136">
            <v>0</v>
          </cell>
          <cell r="AH136">
            <v>0</v>
          </cell>
          <cell r="AI136">
            <v>323</v>
          </cell>
          <cell r="AJ136">
            <v>20</v>
          </cell>
          <cell r="AK136">
            <v>225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665</v>
          </cell>
          <cell r="AX136">
            <v>0</v>
          </cell>
          <cell r="AY136">
            <v>0</v>
          </cell>
          <cell r="AZ136">
            <v>0</v>
          </cell>
          <cell r="BA136">
            <v>426</v>
          </cell>
          <cell r="BB136">
            <v>0</v>
          </cell>
          <cell r="BC136">
            <v>426</v>
          </cell>
        </row>
        <row r="137">
          <cell r="C137" t="str">
            <v>NBL INJ-FILLING</v>
          </cell>
          <cell r="D137">
            <v>54720</v>
          </cell>
          <cell r="E137">
            <v>31440</v>
          </cell>
          <cell r="F137">
            <v>1411</v>
          </cell>
          <cell r="G137">
            <v>451</v>
          </cell>
          <cell r="H137">
            <v>960</v>
          </cell>
          <cell r="I137">
            <v>75</v>
          </cell>
          <cell r="J137">
            <v>21794</v>
          </cell>
          <cell r="K137">
            <v>9330</v>
          </cell>
          <cell r="L137">
            <v>1850</v>
          </cell>
          <cell r="M137">
            <v>1604</v>
          </cell>
          <cell r="N137">
            <v>0</v>
          </cell>
          <cell r="O137">
            <v>246</v>
          </cell>
          <cell r="P137">
            <v>0</v>
          </cell>
          <cell r="Q137">
            <v>716</v>
          </cell>
          <cell r="R137">
            <v>170</v>
          </cell>
          <cell r="S137">
            <v>160</v>
          </cell>
          <cell r="T137">
            <v>0</v>
          </cell>
          <cell r="U137">
            <v>368</v>
          </cell>
          <cell r="V137">
            <v>18</v>
          </cell>
          <cell r="W137">
            <v>4392</v>
          </cell>
          <cell r="X137">
            <v>1067</v>
          </cell>
          <cell r="Y137">
            <v>3305</v>
          </cell>
          <cell r="Z137">
            <v>20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5506</v>
          </cell>
          <cell r="AG137">
            <v>0</v>
          </cell>
          <cell r="AH137">
            <v>0</v>
          </cell>
          <cell r="AI137">
            <v>1465</v>
          </cell>
          <cell r="AJ137">
            <v>0</v>
          </cell>
          <cell r="AK137">
            <v>1380</v>
          </cell>
          <cell r="AL137">
            <v>0</v>
          </cell>
          <cell r="AM137">
            <v>40</v>
          </cell>
          <cell r="AN137">
            <v>0</v>
          </cell>
          <cell r="AO137">
            <v>90</v>
          </cell>
          <cell r="AP137">
            <v>290</v>
          </cell>
          <cell r="AQ137">
            <v>0</v>
          </cell>
          <cell r="AR137">
            <v>0</v>
          </cell>
          <cell r="AS137">
            <v>2132</v>
          </cell>
          <cell r="AT137">
            <v>0</v>
          </cell>
          <cell r="AU137">
            <v>0</v>
          </cell>
          <cell r="AV137">
            <v>0</v>
          </cell>
          <cell r="AW137">
            <v>109</v>
          </cell>
          <cell r="AX137">
            <v>0</v>
          </cell>
          <cell r="AY137">
            <v>0</v>
          </cell>
          <cell r="AZ137">
            <v>0</v>
          </cell>
          <cell r="BA137">
            <v>791818</v>
          </cell>
          <cell r="BB137">
            <v>193</v>
          </cell>
          <cell r="BC137">
            <v>791625</v>
          </cell>
        </row>
        <row r="138">
          <cell r="C138" t="str">
            <v>GINLINE3</v>
          </cell>
          <cell r="D138">
            <v>27360</v>
          </cell>
          <cell r="E138">
            <v>21270</v>
          </cell>
          <cell r="F138">
            <v>611</v>
          </cell>
          <cell r="G138">
            <v>61</v>
          </cell>
          <cell r="H138">
            <v>550</v>
          </cell>
          <cell r="I138">
            <v>75</v>
          </cell>
          <cell r="J138">
            <v>5404</v>
          </cell>
          <cell r="K138">
            <v>918</v>
          </cell>
          <cell r="L138">
            <v>690</v>
          </cell>
          <cell r="M138">
            <v>629</v>
          </cell>
          <cell r="N138">
            <v>0</v>
          </cell>
          <cell r="O138">
            <v>61</v>
          </cell>
          <cell r="P138">
            <v>0</v>
          </cell>
          <cell r="Q138">
            <v>139</v>
          </cell>
          <cell r="R138">
            <v>0</v>
          </cell>
          <cell r="S138">
            <v>0</v>
          </cell>
          <cell r="T138">
            <v>0</v>
          </cell>
          <cell r="U138">
            <v>139</v>
          </cell>
          <cell r="V138">
            <v>0</v>
          </cell>
          <cell r="W138">
            <v>1825</v>
          </cell>
          <cell r="X138">
            <v>533</v>
          </cell>
          <cell r="Y138">
            <v>1277</v>
          </cell>
          <cell r="Z138">
            <v>15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1832</v>
          </cell>
          <cell r="AG138">
            <v>0</v>
          </cell>
          <cell r="AH138">
            <v>0</v>
          </cell>
          <cell r="AI138">
            <v>360</v>
          </cell>
          <cell r="AJ138">
            <v>0</v>
          </cell>
          <cell r="AK138">
            <v>360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125</v>
          </cell>
          <cell r="AQ138">
            <v>0</v>
          </cell>
          <cell r="AR138">
            <v>0</v>
          </cell>
          <cell r="AS138">
            <v>987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89130</v>
          </cell>
          <cell r="BB138">
            <v>0</v>
          </cell>
          <cell r="BC138">
            <v>89130</v>
          </cell>
        </row>
        <row r="139">
          <cell r="C139" t="str">
            <v>GINLINE4</v>
          </cell>
          <cell r="D139">
            <v>27360</v>
          </cell>
          <cell r="E139">
            <v>10170</v>
          </cell>
          <cell r="F139">
            <v>800</v>
          </cell>
          <cell r="G139">
            <v>390</v>
          </cell>
          <cell r="H139">
            <v>410</v>
          </cell>
          <cell r="I139">
            <v>0</v>
          </cell>
          <cell r="J139">
            <v>16390</v>
          </cell>
          <cell r="K139">
            <v>8412</v>
          </cell>
          <cell r="L139">
            <v>1160</v>
          </cell>
          <cell r="M139">
            <v>975</v>
          </cell>
          <cell r="N139">
            <v>0</v>
          </cell>
          <cell r="O139">
            <v>185</v>
          </cell>
          <cell r="P139">
            <v>0</v>
          </cell>
          <cell r="Q139">
            <v>577</v>
          </cell>
          <cell r="R139">
            <v>170</v>
          </cell>
          <cell r="S139">
            <v>160</v>
          </cell>
          <cell r="T139">
            <v>0</v>
          </cell>
          <cell r="U139">
            <v>229</v>
          </cell>
          <cell r="V139">
            <v>18</v>
          </cell>
          <cell r="W139">
            <v>2567</v>
          </cell>
          <cell r="X139">
            <v>534</v>
          </cell>
          <cell r="Y139">
            <v>2028</v>
          </cell>
          <cell r="Z139">
            <v>5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3674</v>
          </cell>
          <cell r="AG139">
            <v>0</v>
          </cell>
          <cell r="AH139">
            <v>0</v>
          </cell>
          <cell r="AI139">
            <v>1105</v>
          </cell>
          <cell r="AJ139">
            <v>0</v>
          </cell>
          <cell r="AK139">
            <v>1020</v>
          </cell>
          <cell r="AL139">
            <v>0</v>
          </cell>
          <cell r="AM139">
            <v>40</v>
          </cell>
          <cell r="AN139">
            <v>0</v>
          </cell>
          <cell r="AO139">
            <v>90</v>
          </cell>
          <cell r="AP139">
            <v>165</v>
          </cell>
          <cell r="AQ139">
            <v>0</v>
          </cell>
          <cell r="AR139">
            <v>0</v>
          </cell>
          <cell r="AS139">
            <v>1145</v>
          </cell>
          <cell r="AT139">
            <v>0</v>
          </cell>
          <cell r="AU139">
            <v>0</v>
          </cell>
          <cell r="AV139">
            <v>0</v>
          </cell>
          <cell r="AW139">
            <v>109</v>
          </cell>
          <cell r="AX139">
            <v>0</v>
          </cell>
          <cell r="AY139">
            <v>0</v>
          </cell>
          <cell r="AZ139">
            <v>0</v>
          </cell>
          <cell r="BA139">
            <v>702688</v>
          </cell>
          <cell r="BB139">
            <v>193</v>
          </cell>
          <cell r="BC139">
            <v>702495</v>
          </cell>
        </row>
        <row r="140">
          <cell r="C140" t="str">
            <v>NBL INJ-STERILIZATION</v>
          </cell>
          <cell r="D140">
            <v>84960</v>
          </cell>
          <cell r="E140">
            <v>39191</v>
          </cell>
          <cell r="F140">
            <v>8996</v>
          </cell>
          <cell r="G140">
            <v>7532</v>
          </cell>
          <cell r="H140">
            <v>1464</v>
          </cell>
          <cell r="I140">
            <v>300</v>
          </cell>
          <cell r="J140">
            <v>36473</v>
          </cell>
          <cell r="K140">
            <v>19140</v>
          </cell>
          <cell r="L140">
            <v>551</v>
          </cell>
          <cell r="M140">
            <v>521</v>
          </cell>
          <cell r="N140">
            <v>30</v>
          </cell>
          <cell r="O140">
            <v>0</v>
          </cell>
          <cell r="P140">
            <v>0</v>
          </cell>
          <cell r="Q140">
            <v>232</v>
          </cell>
          <cell r="R140">
            <v>0</v>
          </cell>
          <cell r="S140">
            <v>0</v>
          </cell>
          <cell r="T140">
            <v>0</v>
          </cell>
          <cell r="U140">
            <v>232</v>
          </cell>
          <cell r="V140">
            <v>0</v>
          </cell>
          <cell r="W140">
            <v>8730</v>
          </cell>
          <cell r="X140">
            <v>6901</v>
          </cell>
          <cell r="Y140">
            <v>1382</v>
          </cell>
          <cell r="Z140">
            <v>50</v>
          </cell>
          <cell r="AA140">
            <v>0</v>
          </cell>
          <cell r="AB140">
            <v>397</v>
          </cell>
          <cell r="AC140">
            <v>0</v>
          </cell>
          <cell r="AD140">
            <v>0</v>
          </cell>
          <cell r="AE140">
            <v>0</v>
          </cell>
          <cell r="AF140">
            <v>7820</v>
          </cell>
          <cell r="AG140">
            <v>0</v>
          </cell>
          <cell r="AH140">
            <v>0</v>
          </cell>
          <cell r="AI140">
            <v>909</v>
          </cell>
          <cell r="AJ140">
            <v>55</v>
          </cell>
          <cell r="AK140">
            <v>254</v>
          </cell>
          <cell r="AL140">
            <v>1051</v>
          </cell>
          <cell r="AM140">
            <v>0</v>
          </cell>
          <cell r="AN140">
            <v>0</v>
          </cell>
          <cell r="AO140">
            <v>5313</v>
          </cell>
          <cell r="AP140">
            <v>238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1447</v>
          </cell>
          <cell r="BB140">
            <v>0</v>
          </cell>
          <cell r="BC140">
            <v>1447</v>
          </cell>
        </row>
        <row r="141">
          <cell r="C141" t="str">
            <v>INJ105</v>
          </cell>
          <cell r="D141">
            <v>28800</v>
          </cell>
          <cell r="E141">
            <v>7350</v>
          </cell>
          <cell r="F141">
            <v>6641</v>
          </cell>
          <cell r="G141">
            <v>5702</v>
          </cell>
          <cell r="H141">
            <v>939</v>
          </cell>
          <cell r="I141">
            <v>150</v>
          </cell>
          <cell r="J141">
            <v>14659</v>
          </cell>
          <cell r="K141">
            <v>6842</v>
          </cell>
          <cell r="L141">
            <v>192</v>
          </cell>
          <cell r="M141">
            <v>192</v>
          </cell>
          <cell r="N141">
            <v>0</v>
          </cell>
          <cell r="O141">
            <v>0</v>
          </cell>
          <cell r="P141">
            <v>0</v>
          </cell>
          <cell r="Q141">
            <v>89</v>
          </cell>
          <cell r="R141">
            <v>0</v>
          </cell>
          <cell r="S141">
            <v>0</v>
          </cell>
          <cell r="T141">
            <v>0</v>
          </cell>
          <cell r="U141">
            <v>89</v>
          </cell>
          <cell r="V141">
            <v>0</v>
          </cell>
          <cell r="W141">
            <v>2614</v>
          </cell>
          <cell r="X141">
            <v>1537</v>
          </cell>
          <cell r="Y141">
            <v>1007</v>
          </cell>
          <cell r="Z141">
            <v>0</v>
          </cell>
          <cell r="AA141">
            <v>0</v>
          </cell>
          <cell r="AB141">
            <v>70</v>
          </cell>
          <cell r="AC141">
            <v>0</v>
          </cell>
          <cell r="AD141">
            <v>0</v>
          </cell>
          <cell r="AE141">
            <v>0</v>
          </cell>
          <cell r="AF141">
            <v>4922</v>
          </cell>
          <cell r="AG141">
            <v>0</v>
          </cell>
          <cell r="AH141">
            <v>0</v>
          </cell>
          <cell r="AI141">
            <v>247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4610</v>
          </cell>
          <cell r="AP141">
            <v>65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577</v>
          </cell>
          <cell r="BB141">
            <v>0</v>
          </cell>
          <cell r="BC141">
            <v>577</v>
          </cell>
        </row>
        <row r="142">
          <cell r="C142" t="str">
            <v>INJ106</v>
          </cell>
          <cell r="D142">
            <v>28800</v>
          </cell>
          <cell r="E142">
            <v>9191</v>
          </cell>
          <cell r="F142">
            <v>1797</v>
          </cell>
          <cell r="G142">
            <v>1797</v>
          </cell>
          <cell r="H142">
            <v>0</v>
          </cell>
          <cell r="I142">
            <v>150</v>
          </cell>
          <cell r="J142">
            <v>17662</v>
          </cell>
          <cell r="K142">
            <v>11845</v>
          </cell>
          <cell r="L142">
            <v>41</v>
          </cell>
          <cell r="M142">
            <v>41</v>
          </cell>
          <cell r="N142">
            <v>0</v>
          </cell>
          <cell r="O142">
            <v>0</v>
          </cell>
          <cell r="P142">
            <v>0</v>
          </cell>
          <cell r="Q142">
            <v>143</v>
          </cell>
          <cell r="R142">
            <v>0</v>
          </cell>
          <cell r="S142">
            <v>0</v>
          </cell>
          <cell r="T142">
            <v>0</v>
          </cell>
          <cell r="U142">
            <v>143</v>
          </cell>
          <cell r="V142">
            <v>0</v>
          </cell>
          <cell r="W142">
            <v>5136</v>
          </cell>
          <cell r="X142">
            <v>4799</v>
          </cell>
          <cell r="Y142">
            <v>265</v>
          </cell>
          <cell r="Z142">
            <v>0</v>
          </cell>
          <cell r="AA142">
            <v>0</v>
          </cell>
          <cell r="AB142">
            <v>72</v>
          </cell>
          <cell r="AC142">
            <v>0</v>
          </cell>
          <cell r="AD142">
            <v>0</v>
          </cell>
          <cell r="AE142">
            <v>0</v>
          </cell>
          <cell r="AF142">
            <v>497</v>
          </cell>
          <cell r="AG142">
            <v>0</v>
          </cell>
          <cell r="AH142">
            <v>0</v>
          </cell>
          <cell r="AI142">
            <v>422</v>
          </cell>
          <cell r="AJ142">
            <v>0</v>
          </cell>
          <cell r="AK142">
            <v>60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15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858</v>
          </cell>
          <cell r="BB142">
            <v>0</v>
          </cell>
          <cell r="BC142">
            <v>858</v>
          </cell>
        </row>
        <row r="143">
          <cell r="C143" t="str">
            <v>INJ107</v>
          </cell>
          <cell r="D143">
            <v>27360</v>
          </cell>
          <cell r="E143">
            <v>22650</v>
          </cell>
          <cell r="F143">
            <v>558</v>
          </cell>
          <cell r="G143">
            <v>33</v>
          </cell>
          <cell r="H143">
            <v>525</v>
          </cell>
          <cell r="I143">
            <v>0</v>
          </cell>
          <cell r="J143">
            <v>4152</v>
          </cell>
          <cell r="K143">
            <v>453</v>
          </cell>
          <cell r="L143">
            <v>318</v>
          </cell>
          <cell r="M143">
            <v>288</v>
          </cell>
          <cell r="N143">
            <v>30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980</v>
          </cell>
          <cell r="X143">
            <v>565</v>
          </cell>
          <cell r="Y143">
            <v>110</v>
          </cell>
          <cell r="Z143">
            <v>50</v>
          </cell>
          <cell r="AA143">
            <v>0</v>
          </cell>
          <cell r="AB143">
            <v>255</v>
          </cell>
          <cell r="AC143">
            <v>0</v>
          </cell>
          <cell r="AD143">
            <v>0</v>
          </cell>
          <cell r="AE143">
            <v>0</v>
          </cell>
          <cell r="AF143">
            <v>2401</v>
          </cell>
          <cell r="AG143">
            <v>0</v>
          </cell>
          <cell r="AH143">
            <v>0</v>
          </cell>
          <cell r="AI143">
            <v>240</v>
          </cell>
          <cell r="AJ143">
            <v>55</v>
          </cell>
          <cell r="AK143">
            <v>194</v>
          </cell>
          <cell r="AL143">
            <v>1051</v>
          </cell>
          <cell r="AM143">
            <v>0</v>
          </cell>
          <cell r="AN143">
            <v>0</v>
          </cell>
          <cell r="AO143">
            <v>703</v>
          </cell>
          <cell r="AP143">
            <v>158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12</v>
          </cell>
          <cell r="BB143">
            <v>0</v>
          </cell>
          <cell r="BC143">
            <v>12</v>
          </cell>
        </row>
        <row r="144">
          <cell r="C144" t="str">
            <v>NBL SECONDARY PACKING</v>
          </cell>
          <cell r="D144">
            <v>167040</v>
          </cell>
          <cell r="E144">
            <v>112290</v>
          </cell>
          <cell r="F144">
            <v>5330</v>
          </cell>
          <cell r="G144">
            <v>2085</v>
          </cell>
          <cell r="H144">
            <v>3245</v>
          </cell>
          <cell r="I144">
            <v>0</v>
          </cell>
          <cell r="J144">
            <v>49420</v>
          </cell>
          <cell r="K144">
            <v>31575</v>
          </cell>
          <cell r="L144">
            <v>2770</v>
          </cell>
          <cell r="M144">
            <v>2019</v>
          </cell>
          <cell r="N144">
            <v>191</v>
          </cell>
          <cell r="O144">
            <v>122</v>
          </cell>
          <cell r="P144">
            <v>438</v>
          </cell>
          <cell r="Q144">
            <v>847</v>
          </cell>
          <cell r="R144">
            <v>257</v>
          </cell>
          <cell r="S144">
            <v>385</v>
          </cell>
          <cell r="T144">
            <v>0</v>
          </cell>
          <cell r="U144">
            <v>205</v>
          </cell>
          <cell r="V144">
            <v>0</v>
          </cell>
          <cell r="W144">
            <v>4578</v>
          </cell>
          <cell r="X144">
            <v>2284</v>
          </cell>
          <cell r="Y144">
            <v>2130</v>
          </cell>
          <cell r="Z144">
            <v>0</v>
          </cell>
          <cell r="AA144">
            <v>0</v>
          </cell>
          <cell r="AB144">
            <v>164</v>
          </cell>
          <cell r="AC144">
            <v>40</v>
          </cell>
          <cell r="AD144">
            <v>0</v>
          </cell>
          <cell r="AE144">
            <v>40</v>
          </cell>
          <cell r="AF144">
            <v>9610</v>
          </cell>
          <cell r="AG144">
            <v>0</v>
          </cell>
          <cell r="AH144">
            <v>150</v>
          </cell>
          <cell r="AI144">
            <v>2975</v>
          </cell>
          <cell r="AJ144">
            <v>0</v>
          </cell>
          <cell r="AK144">
            <v>1800</v>
          </cell>
          <cell r="AL144">
            <v>1170</v>
          </cell>
          <cell r="AM144">
            <v>0</v>
          </cell>
          <cell r="AN144">
            <v>0</v>
          </cell>
          <cell r="AO144">
            <v>825</v>
          </cell>
          <cell r="AP144">
            <v>768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1907</v>
          </cell>
          <cell r="AX144">
            <v>15</v>
          </cell>
          <cell r="AY144">
            <v>0</v>
          </cell>
          <cell r="AZ144">
            <v>0</v>
          </cell>
          <cell r="BA144">
            <v>1645186</v>
          </cell>
          <cell r="BB144">
            <v>114</v>
          </cell>
          <cell r="BC144">
            <v>1645072</v>
          </cell>
        </row>
        <row r="145">
          <cell r="C145" t="str">
            <v>PAK101</v>
          </cell>
          <cell r="D145">
            <v>28800</v>
          </cell>
          <cell r="E145">
            <v>11910</v>
          </cell>
          <cell r="F145">
            <v>285</v>
          </cell>
          <cell r="G145">
            <v>285</v>
          </cell>
          <cell r="H145">
            <v>0</v>
          </cell>
          <cell r="I145">
            <v>0</v>
          </cell>
          <cell r="J145">
            <v>16605</v>
          </cell>
          <cell r="K145">
            <v>12450</v>
          </cell>
          <cell r="L145">
            <v>340</v>
          </cell>
          <cell r="M145">
            <v>340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982</v>
          </cell>
          <cell r="X145">
            <v>353</v>
          </cell>
          <cell r="Y145">
            <v>590</v>
          </cell>
          <cell r="Z145">
            <v>0</v>
          </cell>
          <cell r="AA145">
            <v>0</v>
          </cell>
          <cell r="AB145">
            <v>39</v>
          </cell>
          <cell r="AC145">
            <v>40</v>
          </cell>
          <cell r="AD145">
            <v>0</v>
          </cell>
          <cell r="AE145">
            <v>40</v>
          </cell>
          <cell r="AF145">
            <v>2793</v>
          </cell>
          <cell r="AG145">
            <v>0</v>
          </cell>
          <cell r="AH145">
            <v>150</v>
          </cell>
          <cell r="AI145">
            <v>1095</v>
          </cell>
          <cell r="AJ145">
            <v>0</v>
          </cell>
          <cell r="AK145">
            <v>615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230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693</v>
          </cell>
          <cell r="AX145">
            <v>10</v>
          </cell>
          <cell r="AY145">
            <v>0</v>
          </cell>
          <cell r="AZ145">
            <v>0</v>
          </cell>
          <cell r="BA145">
            <v>464337</v>
          </cell>
          <cell r="BB145">
            <v>43</v>
          </cell>
          <cell r="BC145">
            <v>464294</v>
          </cell>
        </row>
        <row r="146">
          <cell r="C146" t="str">
            <v>PAK103</v>
          </cell>
          <cell r="D146">
            <v>28800</v>
          </cell>
          <cell r="E146">
            <v>13590</v>
          </cell>
          <cell r="F146">
            <v>345</v>
          </cell>
          <cell r="G146">
            <v>270</v>
          </cell>
          <cell r="H146">
            <v>75</v>
          </cell>
          <cell r="I146">
            <v>0</v>
          </cell>
          <cell r="J146">
            <v>14865</v>
          </cell>
          <cell r="K146">
            <v>10913</v>
          </cell>
          <cell r="L146">
            <v>375</v>
          </cell>
          <cell r="M146">
            <v>325</v>
          </cell>
          <cell r="N146">
            <v>0</v>
          </cell>
          <cell r="O146">
            <v>50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1000</v>
          </cell>
          <cell r="X146">
            <v>320</v>
          </cell>
          <cell r="Y146">
            <v>650</v>
          </cell>
          <cell r="Z146">
            <v>0</v>
          </cell>
          <cell r="AA146">
            <v>0</v>
          </cell>
          <cell r="AB146">
            <v>30</v>
          </cell>
          <cell r="AC146">
            <v>0</v>
          </cell>
          <cell r="AD146">
            <v>0</v>
          </cell>
          <cell r="AE146">
            <v>0</v>
          </cell>
          <cell r="AF146">
            <v>2577</v>
          </cell>
          <cell r="AG146">
            <v>0</v>
          </cell>
          <cell r="AH146">
            <v>0</v>
          </cell>
          <cell r="AI146">
            <v>890</v>
          </cell>
          <cell r="AJ146">
            <v>0</v>
          </cell>
          <cell r="AK146">
            <v>600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228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854</v>
          </cell>
          <cell r="AX146">
            <v>5</v>
          </cell>
          <cell r="AY146">
            <v>0</v>
          </cell>
          <cell r="AZ146">
            <v>0</v>
          </cell>
          <cell r="BA146">
            <v>542859</v>
          </cell>
          <cell r="BB146">
            <v>0</v>
          </cell>
          <cell r="BC146">
            <v>542859</v>
          </cell>
        </row>
        <row r="147">
          <cell r="C147" t="str">
            <v>PAK105</v>
          </cell>
          <cell r="D147">
            <v>27360</v>
          </cell>
          <cell r="E147">
            <v>16770</v>
          </cell>
          <cell r="F147">
            <v>2945</v>
          </cell>
          <cell r="G147">
            <v>960</v>
          </cell>
          <cell r="H147">
            <v>1985</v>
          </cell>
          <cell r="I147">
            <v>0</v>
          </cell>
          <cell r="J147">
            <v>7645</v>
          </cell>
          <cell r="K147">
            <v>3410</v>
          </cell>
          <cell r="L147">
            <v>970</v>
          </cell>
          <cell r="M147">
            <v>750</v>
          </cell>
          <cell r="N147">
            <v>30</v>
          </cell>
          <cell r="O147">
            <v>40</v>
          </cell>
          <cell r="P147">
            <v>150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615</v>
          </cell>
          <cell r="X147">
            <v>370</v>
          </cell>
          <cell r="Y147">
            <v>245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2650</v>
          </cell>
          <cell r="AG147">
            <v>0</v>
          </cell>
          <cell r="AH147">
            <v>0</v>
          </cell>
          <cell r="AI147">
            <v>390</v>
          </cell>
          <cell r="AJ147">
            <v>0</v>
          </cell>
          <cell r="AK147">
            <v>285</v>
          </cell>
          <cell r="AL147">
            <v>920</v>
          </cell>
          <cell r="AM147">
            <v>0</v>
          </cell>
          <cell r="AN147">
            <v>0</v>
          </cell>
          <cell r="AO147">
            <v>770</v>
          </cell>
          <cell r="AP147">
            <v>140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145</v>
          </cell>
          <cell r="AX147">
            <v>0</v>
          </cell>
          <cell r="AY147">
            <v>0</v>
          </cell>
          <cell r="AZ147">
            <v>0</v>
          </cell>
          <cell r="BA147">
            <v>189303</v>
          </cell>
          <cell r="BB147">
            <v>0</v>
          </cell>
          <cell r="BC147">
            <v>189303</v>
          </cell>
        </row>
        <row r="148">
          <cell r="C148" t="str">
            <v>PAK102</v>
          </cell>
          <cell r="D148">
            <v>27360</v>
          </cell>
          <cell r="E148">
            <v>27360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/>
          <cell r="K148"/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/>
          <cell r="BB148"/>
          <cell r="BC148"/>
        </row>
        <row r="149">
          <cell r="C149" t="str">
            <v>PAK104</v>
          </cell>
          <cell r="D149">
            <v>27360</v>
          </cell>
          <cell r="E149">
            <v>24810</v>
          </cell>
          <cell r="F149">
            <v>850</v>
          </cell>
          <cell r="G149">
            <v>120</v>
          </cell>
          <cell r="H149">
            <v>730</v>
          </cell>
          <cell r="I149">
            <v>0</v>
          </cell>
          <cell r="J149">
            <v>1700</v>
          </cell>
          <cell r="K149">
            <v>455</v>
          </cell>
          <cell r="L149">
            <v>169</v>
          </cell>
          <cell r="M149">
            <v>159</v>
          </cell>
          <cell r="N149">
            <v>0</v>
          </cell>
          <cell r="O149">
            <v>10</v>
          </cell>
          <cell r="P149">
            <v>0</v>
          </cell>
          <cell r="Q149">
            <v>205</v>
          </cell>
          <cell r="R149">
            <v>0</v>
          </cell>
          <cell r="S149">
            <v>0</v>
          </cell>
          <cell r="T149">
            <v>0</v>
          </cell>
          <cell r="U149">
            <v>205</v>
          </cell>
          <cell r="V149">
            <v>0</v>
          </cell>
          <cell r="W149">
            <v>691</v>
          </cell>
          <cell r="X149">
            <v>321</v>
          </cell>
          <cell r="Y149">
            <v>275</v>
          </cell>
          <cell r="Z149">
            <v>0</v>
          </cell>
          <cell r="AA149">
            <v>0</v>
          </cell>
          <cell r="AB149">
            <v>95</v>
          </cell>
          <cell r="AC149">
            <v>0</v>
          </cell>
          <cell r="AD149">
            <v>0</v>
          </cell>
          <cell r="AE149">
            <v>0</v>
          </cell>
          <cell r="AF149">
            <v>180</v>
          </cell>
          <cell r="AG149">
            <v>0</v>
          </cell>
          <cell r="AH149">
            <v>0</v>
          </cell>
          <cell r="AI149">
            <v>90</v>
          </cell>
          <cell r="AJ149">
            <v>0</v>
          </cell>
          <cell r="AK149">
            <v>45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20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25</v>
          </cell>
          <cell r="AX149">
            <v>0</v>
          </cell>
          <cell r="AY149">
            <v>0</v>
          </cell>
          <cell r="AZ149">
            <v>0</v>
          </cell>
          <cell r="BA149">
            <v>11175</v>
          </cell>
          <cell r="BB149">
            <v>0</v>
          </cell>
          <cell r="BC149">
            <v>11175</v>
          </cell>
        </row>
        <row r="150">
          <cell r="C150" t="str">
            <v>PAK111</v>
          </cell>
          <cell r="D150">
            <v>27360</v>
          </cell>
          <cell r="E150">
            <v>17850</v>
          </cell>
          <cell r="F150">
            <v>905</v>
          </cell>
          <cell r="G150">
            <v>450</v>
          </cell>
          <cell r="H150">
            <v>455</v>
          </cell>
          <cell r="I150">
            <v>0</v>
          </cell>
          <cell r="J150">
            <v>8605</v>
          </cell>
          <cell r="K150">
            <v>4347</v>
          </cell>
          <cell r="L150">
            <v>916</v>
          </cell>
          <cell r="M150">
            <v>445</v>
          </cell>
          <cell r="N150">
            <v>161</v>
          </cell>
          <cell r="O150">
            <v>22</v>
          </cell>
          <cell r="P150">
            <v>288</v>
          </cell>
          <cell r="Q150">
            <v>642</v>
          </cell>
          <cell r="R150">
            <v>257</v>
          </cell>
          <cell r="S150">
            <v>385</v>
          </cell>
          <cell r="T150">
            <v>0</v>
          </cell>
          <cell r="U150">
            <v>0</v>
          </cell>
          <cell r="V150">
            <v>0</v>
          </cell>
          <cell r="W150">
            <v>1290</v>
          </cell>
          <cell r="X150">
            <v>920</v>
          </cell>
          <cell r="Y150">
            <v>370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1410</v>
          </cell>
          <cell r="AG150">
            <v>0</v>
          </cell>
          <cell r="AH150">
            <v>0</v>
          </cell>
          <cell r="AI150">
            <v>510</v>
          </cell>
          <cell r="AJ150">
            <v>0</v>
          </cell>
          <cell r="AK150">
            <v>255</v>
          </cell>
          <cell r="AL150">
            <v>250</v>
          </cell>
          <cell r="AM150">
            <v>0</v>
          </cell>
          <cell r="AN150">
            <v>0</v>
          </cell>
          <cell r="AO150">
            <v>55</v>
          </cell>
          <cell r="AP150">
            <v>150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190</v>
          </cell>
          <cell r="AX150">
            <v>0</v>
          </cell>
          <cell r="AY150">
            <v>0</v>
          </cell>
          <cell r="AZ150">
            <v>0</v>
          </cell>
          <cell r="BA150">
            <v>437512</v>
          </cell>
          <cell r="BB150">
            <v>71</v>
          </cell>
          <cell r="BC150">
            <v>437441</v>
          </cell>
        </row>
        <row r="151">
          <cell r="C151" t="str">
            <v>CPH SOL-MIXING</v>
          </cell>
          <cell r="D151">
            <v>27360</v>
          </cell>
          <cell r="E151">
            <v>26340</v>
          </cell>
          <cell r="F151">
            <v>48</v>
          </cell>
          <cell r="G151">
            <v>0</v>
          </cell>
          <cell r="H151">
            <v>48</v>
          </cell>
          <cell r="I151">
            <v>0</v>
          </cell>
          <cell r="J151">
            <v>972</v>
          </cell>
          <cell r="K151">
            <v>50</v>
          </cell>
          <cell r="L151">
            <v>15</v>
          </cell>
          <cell r="M151">
            <v>15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420</v>
          </cell>
          <cell r="X151">
            <v>220</v>
          </cell>
          <cell r="Y151">
            <v>180</v>
          </cell>
          <cell r="Z151">
            <v>0</v>
          </cell>
          <cell r="AA151">
            <v>0</v>
          </cell>
          <cell r="AB151">
            <v>20</v>
          </cell>
          <cell r="AC151">
            <v>0</v>
          </cell>
          <cell r="AD151">
            <v>0</v>
          </cell>
          <cell r="AE151">
            <v>0</v>
          </cell>
          <cell r="AF151">
            <v>487</v>
          </cell>
          <cell r="AG151">
            <v>430</v>
          </cell>
          <cell r="AH151">
            <v>0</v>
          </cell>
          <cell r="AI151">
            <v>30</v>
          </cell>
          <cell r="AJ151">
            <v>0</v>
          </cell>
          <cell r="AK151">
            <v>15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12</v>
          </cell>
          <cell r="AX151">
            <v>0</v>
          </cell>
          <cell r="AY151">
            <v>0</v>
          </cell>
          <cell r="AZ151">
            <v>0</v>
          </cell>
          <cell r="BA151">
            <v>185.29</v>
          </cell>
          <cell r="BB151">
            <v>0.35</v>
          </cell>
          <cell r="BC151">
            <v>184.94</v>
          </cell>
        </row>
        <row r="152">
          <cell r="C152" t="str">
            <v>MCF101</v>
          </cell>
          <cell r="D152">
            <v>27360</v>
          </cell>
          <cell r="E152">
            <v>26340</v>
          </cell>
          <cell r="F152">
            <v>48</v>
          </cell>
          <cell r="G152">
            <v>0</v>
          </cell>
          <cell r="H152">
            <v>48</v>
          </cell>
          <cell r="I152">
            <v>0</v>
          </cell>
          <cell r="J152">
            <v>972</v>
          </cell>
          <cell r="K152">
            <v>50</v>
          </cell>
          <cell r="L152">
            <v>15</v>
          </cell>
          <cell r="M152">
            <v>15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420</v>
          </cell>
          <cell r="X152">
            <v>220</v>
          </cell>
          <cell r="Y152">
            <v>180</v>
          </cell>
          <cell r="Z152">
            <v>0</v>
          </cell>
          <cell r="AA152">
            <v>0</v>
          </cell>
          <cell r="AB152">
            <v>20</v>
          </cell>
          <cell r="AC152">
            <v>0</v>
          </cell>
          <cell r="AD152">
            <v>0</v>
          </cell>
          <cell r="AE152">
            <v>0</v>
          </cell>
          <cell r="AF152">
            <v>487</v>
          </cell>
          <cell r="AG152">
            <v>430</v>
          </cell>
          <cell r="AH152">
            <v>0</v>
          </cell>
          <cell r="AI152">
            <v>30</v>
          </cell>
          <cell r="AJ152">
            <v>0</v>
          </cell>
          <cell r="AK152">
            <v>15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12</v>
          </cell>
          <cell r="AX152">
            <v>0</v>
          </cell>
          <cell r="AY152">
            <v>0</v>
          </cell>
          <cell r="AZ152">
            <v>0</v>
          </cell>
          <cell r="BA152">
            <v>185.29</v>
          </cell>
          <cell r="BB152">
            <v>0.35</v>
          </cell>
          <cell r="BC152">
            <v>184.94</v>
          </cell>
        </row>
        <row r="153">
          <cell r="C153" t="str">
            <v>CPH SOL-CAPSULE</v>
          </cell>
          <cell r="D153">
            <v>27360</v>
          </cell>
          <cell r="E153">
            <v>26850</v>
          </cell>
          <cell r="F153">
            <v>30</v>
          </cell>
          <cell r="G153">
            <v>30</v>
          </cell>
          <cell r="H153">
            <v>0</v>
          </cell>
          <cell r="I153">
            <v>0</v>
          </cell>
          <cell r="J153">
            <v>480</v>
          </cell>
          <cell r="K153">
            <v>160</v>
          </cell>
          <cell r="L153">
            <v>20</v>
          </cell>
          <cell r="M153">
            <v>10</v>
          </cell>
          <cell r="N153">
            <v>0</v>
          </cell>
          <cell r="O153">
            <v>10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190</v>
          </cell>
          <cell r="X153">
            <v>35</v>
          </cell>
          <cell r="Y153">
            <v>0</v>
          </cell>
          <cell r="Z153">
            <v>0</v>
          </cell>
          <cell r="AA153">
            <v>0</v>
          </cell>
          <cell r="AB153">
            <v>155</v>
          </cell>
          <cell r="AC153">
            <v>0</v>
          </cell>
          <cell r="AD153">
            <v>0</v>
          </cell>
          <cell r="AE153">
            <v>0</v>
          </cell>
          <cell r="AF153">
            <v>110</v>
          </cell>
          <cell r="AG153">
            <v>0</v>
          </cell>
          <cell r="AH153">
            <v>0</v>
          </cell>
          <cell r="AI153">
            <v>30</v>
          </cell>
          <cell r="AJ153">
            <v>0</v>
          </cell>
          <cell r="AK153">
            <v>15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20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10</v>
          </cell>
          <cell r="AX153">
            <v>0</v>
          </cell>
          <cell r="AY153">
            <v>0</v>
          </cell>
          <cell r="AZ153">
            <v>35</v>
          </cell>
          <cell r="BA153">
            <v>97969</v>
          </cell>
          <cell r="BB153">
            <v>0</v>
          </cell>
          <cell r="BC153">
            <v>97969</v>
          </cell>
        </row>
        <row r="154">
          <cell r="C154" t="str">
            <v>KCF101</v>
          </cell>
          <cell r="D154">
            <v>27360</v>
          </cell>
          <cell r="E154">
            <v>26850</v>
          </cell>
          <cell r="F154">
            <v>30</v>
          </cell>
          <cell r="G154">
            <v>30</v>
          </cell>
          <cell r="H154">
            <v>0</v>
          </cell>
          <cell r="I154">
            <v>0</v>
          </cell>
          <cell r="J154">
            <v>480</v>
          </cell>
          <cell r="K154">
            <v>160</v>
          </cell>
          <cell r="L154">
            <v>20</v>
          </cell>
          <cell r="M154">
            <v>10</v>
          </cell>
          <cell r="N154">
            <v>0</v>
          </cell>
          <cell r="O154">
            <v>10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190</v>
          </cell>
          <cell r="X154">
            <v>35</v>
          </cell>
          <cell r="Y154">
            <v>0</v>
          </cell>
          <cell r="Z154">
            <v>0</v>
          </cell>
          <cell r="AA154">
            <v>0</v>
          </cell>
          <cell r="AB154">
            <v>155</v>
          </cell>
          <cell r="AC154">
            <v>0</v>
          </cell>
          <cell r="AD154">
            <v>0</v>
          </cell>
          <cell r="AE154">
            <v>0</v>
          </cell>
          <cell r="AF154">
            <v>110</v>
          </cell>
          <cell r="AG154">
            <v>0</v>
          </cell>
          <cell r="AH154">
            <v>0</v>
          </cell>
          <cell r="AI154">
            <v>30</v>
          </cell>
          <cell r="AJ154">
            <v>0</v>
          </cell>
          <cell r="AK154">
            <v>15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20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10</v>
          </cell>
          <cell r="AX154">
            <v>0</v>
          </cell>
          <cell r="AY154">
            <v>0</v>
          </cell>
          <cell r="AZ154">
            <v>35</v>
          </cell>
          <cell r="BA154">
            <v>97969</v>
          </cell>
          <cell r="BB154">
            <v>0</v>
          </cell>
          <cell r="BC154">
            <v>97969</v>
          </cell>
        </row>
        <row r="155">
          <cell r="C155" t="str">
            <v>CPH SOL-STRIPPING</v>
          </cell>
          <cell r="D155">
            <v>27360</v>
          </cell>
          <cell r="E155">
            <v>26850</v>
          </cell>
          <cell r="F155">
            <v>30</v>
          </cell>
          <cell r="G155">
            <v>30</v>
          </cell>
          <cell r="H155">
            <v>0</v>
          </cell>
          <cell r="I155">
            <v>0</v>
          </cell>
          <cell r="J155">
            <v>480</v>
          </cell>
          <cell r="K155">
            <v>120</v>
          </cell>
          <cell r="L155">
            <v>105</v>
          </cell>
          <cell r="M155">
            <v>85</v>
          </cell>
          <cell r="N155">
            <v>0</v>
          </cell>
          <cell r="O155">
            <v>20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160</v>
          </cell>
          <cell r="X155">
            <v>50</v>
          </cell>
          <cell r="Y155">
            <v>90</v>
          </cell>
          <cell r="Z155">
            <v>0</v>
          </cell>
          <cell r="AA155">
            <v>0</v>
          </cell>
          <cell r="AB155">
            <v>20</v>
          </cell>
          <cell r="AC155">
            <v>0</v>
          </cell>
          <cell r="AD155">
            <v>0</v>
          </cell>
          <cell r="AE155">
            <v>0</v>
          </cell>
          <cell r="AF155">
            <v>95</v>
          </cell>
          <cell r="AG155">
            <v>0</v>
          </cell>
          <cell r="AH155">
            <v>0</v>
          </cell>
          <cell r="AI155">
            <v>30</v>
          </cell>
          <cell r="AJ155">
            <v>0</v>
          </cell>
          <cell r="AK155">
            <v>30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20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15</v>
          </cell>
          <cell r="AX155">
            <v>0</v>
          </cell>
          <cell r="AY155">
            <v>0</v>
          </cell>
          <cell r="AZ155">
            <v>0</v>
          </cell>
          <cell r="BA155">
            <v>97780</v>
          </cell>
          <cell r="BB155">
            <v>0</v>
          </cell>
          <cell r="BC155">
            <v>97780</v>
          </cell>
        </row>
        <row r="156">
          <cell r="C156" t="str">
            <v>STC101</v>
          </cell>
          <cell r="D156">
            <v>27360</v>
          </cell>
          <cell r="E156">
            <v>26850</v>
          </cell>
          <cell r="F156">
            <v>30</v>
          </cell>
          <cell r="G156">
            <v>30</v>
          </cell>
          <cell r="H156">
            <v>0</v>
          </cell>
          <cell r="I156">
            <v>0</v>
          </cell>
          <cell r="J156">
            <v>480</v>
          </cell>
          <cell r="K156">
            <v>120</v>
          </cell>
          <cell r="L156">
            <v>105</v>
          </cell>
          <cell r="M156">
            <v>85</v>
          </cell>
          <cell r="N156">
            <v>0</v>
          </cell>
          <cell r="O156">
            <v>20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160</v>
          </cell>
          <cell r="X156">
            <v>50</v>
          </cell>
          <cell r="Y156">
            <v>90</v>
          </cell>
          <cell r="Z156">
            <v>0</v>
          </cell>
          <cell r="AA156">
            <v>0</v>
          </cell>
          <cell r="AB156">
            <v>20</v>
          </cell>
          <cell r="AC156">
            <v>0</v>
          </cell>
          <cell r="AD156">
            <v>0</v>
          </cell>
          <cell r="AE156">
            <v>0</v>
          </cell>
          <cell r="AF156">
            <v>95</v>
          </cell>
          <cell r="AG156">
            <v>0</v>
          </cell>
          <cell r="AH156">
            <v>0</v>
          </cell>
          <cell r="AI156">
            <v>30</v>
          </cell>
          <cell r="AJ156">
            <v>0</v>
          </cell>
          <cell r="AK156">
            <v>30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20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15</v>
          </cell>
          <cell r="AX156">
            <v>0</v>
          </cell>
          <cell r="AY156">
            <v>0</v>
          </cell>
          <cell r="AZ156">
            <v>0</v>
          </cell>
          <cell r="BA156">
            <v>97780</v>
          </cell>
          <cell r="BB156">
            <v>0</v>
          </cell>
          <cell r="BC156">
            <v>97780</v>
          </cell>
        </row>
        <row r="157">
          <cell r="C157" t="str">
            <v>CPH SOL-POWDER FILLING</v>
          </cell>
          <cell r="D157">
            <v>27360</v>
          </cell>
          <cell r="E157">
            <v>25320</v>
          </cell>
          <cell r="F157">
            <v>90</v>
          </cell>
          <cell r="G157">
            <v>90</v>
          </cell>
          <cell r="H157">
            <v>0</v>
          </cell>
          <cell r="I157">
            <v>0</v>
          </cell>
          <cell r="J157">
            <v>1950</v>
          </cell>
          <cell r="K157">
            <v>445</v>
          </cell>
          <cell r="L157">
            <v>335</v>
          </cell>
          <cell r="M157">
            <v>180</v>
          </cell>
          <cell r="N157">
            <v>0</v>
          </cell>
          <cell r="O157">
            <v>100</v>
          </cell>
          <cell r="P157">
            <v>55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550</v>
          </cell>
          <cell r="X157">
            <v>330</v>
          </cell>
          <cell r="Y157">
            <v>195</v>
          </cell>
          <cell r="Z157">
            <v>0</v>
          </cell>
          <cell r="AA157">
            <v>0</v>
          </cell>
          <cell r="AB157">
            <v>25</v>
          </cell>
          <cell r="AC157">
            <v>0</v>
          </cell>
          <cell r="AD157">
            <v>0</v>
          </cell>
          <cell r="AE157">
            <v>0</v>
          </cell>
          <cell r="AF157">
            <v>620</v>
          </cell>
          <cell r="AG157">
            <v>0</v>
          </cell>
          <cell r="AH157">
            <v>0</v>
          </cell>
          <cell r="AI157">
            <v>90</v>
          </cell>
          <cell r="AJ157">
            <v>0</v>
          </cell>
          <cell r="AK157">
            <v>45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45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30</v>
          </cell>
          <cell r="AX157">
            <v>0</v>
          </cell>
          <cell r="AY157">
            <v>0</v>
          </cell>
          <cell r="AZ157">
            <v>410</v>
          </cell>
          <cell r="BA157">
            <v>13799</v>
          </cell>
          <cell r="BB157">
            <v>45</v>
          </cell>
          <cell r="BC157">
            <v>13754</v>
          </cell>
        </row>
        <row r="158">
          <cell r="C158" t="str">
            <v>SCF102</v>
          </cell>
          <cell r="D158">
            <v>27360</v>
          </cell>
          <cell r="E158">
            <v>25320</v>
          </cell>
          <cell r="F158">
            <v>90</v>
          </cell>
          <cell r="G158">
            <v>90</v>
          </cell>
          <cell r="H158">
            <v>0</v>
          </cell>
          <cell r="I158">
            <v>0</v>
          </cell>
          <cell r="J158">
            <v>1950</v>
          </cell>
          <cell r="K158">
            <v>445</v>
          </cell>
          <cell r="L158">
            <v>335</v>
          </cell>
          <cell r="M158">
            <v>180</v>
          </cell>
          <cell r="N158">
            <v>0</v>
          </cell>
          <cell r="O158">
            <v>100</v>
          </cell>
          <cell r="P158">
            <v>55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550</v>
          </cell>
          <cell r="X158">
            <v>330</v>
          </cell>
          <cell r="Y158">
            <v>195</v>
          </cell>
          <cell r="Z158">
            <v>0</v>
          </cell>
          <cell r="AA158">
            <v>0</v>
          </cell>
          <cell r="AB158">
            <v>25</v>
          </cell>
          <cell r="AC158">
            <v>0</v>
          </cell>
          <cell r="AD158">
            <v>0</v>
          </cell>
          <cell r="AE158">
            <v>0</v>
          </cell>
          <cell r="AF158">
            <v>620</v>
          </cell>
          <cell r="AG158">
            <v>0</v>
          </cell>
          <cell r="AH158">
            <v>0</v>
          </cell>
          <cell r="AI158">
            <v>90</v>
          </cell>
          <cell r="AJ158">
            <v>0</v>
          </cell>
          <cell r="AK158">
            <v>45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45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30</v>
          </cell>
          <cell r="AX158">
            <v>0</v>
          </cell>
          <cell r="AY158">
            <v>0</v>
          </cell>
          <cell r="AZ158">
            <v>410</v>
          </cell>
          <cell r="BA158">
            <v>13799</v>
          </cell>
          <cell r="BB158">
            <v>45</v>
          </cell>
          <cell r="BC158">
            <v>13754</v>
          </cell>
        </row>
        <row r="159">
          <cell r="C159" t="str">
            <v>CPH INJ-FILLING</v>
          </cell>
          <cell r="D159">
            <v>27360</v>
          </cell>
          <cell r="E159">
            <v>16930</v>
          </cell>
          <cell r="F159">
            <v>1084</v>
          </cell>
          <cell r="G159">
            <v>5</v>
          </cell>
          <cell r="H159">
            <v>1079</v>
          </cell>
          <cell r="I159">
            <v>20</v>
          </cell>
          <cell r="J159">
            <v>9326</v>
          </cell>
          <cell r="K159">
            <v>3787</v>
          </cell>
          <cell r="L159">
            <v>817</v>
          </cell>
          <cell r="M159">
            <v>635</v>
          </cell>
          <cell r="N159">
            <v>0</v>
          </cell>
          <cell r="O159">
            <v>182</v>
          </cell>
          <cell r="P159">
            <v>0</v>
          </cell>
          <cell r="Q159">
            <v>308</v>
          </cell>
          <cell r="R159">
            <v>276</v>
          </cell>
          <cell r="S159">
            <v>0</v>
          </cell>
          <cell r="T159">
            <v>0</v>
          </cell>
          <cell r="U159">
            <v>32</v>
          </cell>
          <cell r="V159">
            <v>0</v>
          </cell>
          <cell r="W159">
            <v>2906</v>
          </cell>
          <cell r="X159">
            <v>1238</v>
          </cell>
          <cell r="Y159">
            <v>1661</v>
          </cell>
          <cell r="Z159">
            <v>7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1508</v>
          </cell>
          <cell r="AG159">
            <v>0</v>
          </cell>
          <cell r="AH159">
            <v>0</v>
          </cell>
          <cell r="AI159">
            <v>715</v>
          </cell>
          <cell r="AJ159">
            <v>85</v>
          </cell>
          <cell r="AK159">
            <v>475</v>
          </cell>
          <cell r="AL159">
            <v>0</v>
          </cell>
          <cell r="AM159">
            <v>0</v>
          </cell>
          <cell r="AN159">
            <v>95</v>
          </cell>
          <cell r="AO159">
            <v>0</v>
          </cell>
          <cell r="AP159">
            <v>136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2</v>
          </cell>
          <cell r="AX159">
            <v>0</v>
          </cell>
          <cell r="AY159">
            <v>0</v>
          </cell>
          <cell r="AZ159">
            <v>0</v>
          </cell>
          <cell r="BA159">
            <v>521211</v>
          </cell>
          <cell r="BB159">
            <v>3</v>
          </cell>
          <cell r="BC159">
            <v>521208</v>
          </cell>
        </row>
        <row r="160">
          <cell r="C160" t="str">
            <v>GINLINE6</v>
          </cell>
          <cell r="D160">
            <v>27360</v>
          </cell>
          <cell r="E160">
            <v>16930</v>
          </cell>
          <cell r="F160">
            <v>1084</v>
          </cell>
          <cell r="G160">
            <v>5</v>
          </cell>
          <cell r="H160">
            <v>1079</v>
          </cell>
          <cell r="I160">
            <v>20</v>
          </cell>
          <cell r="J160">
            <v>9326</v>
          </cell>
          <cell r="K160">
            <v>3787</v>
          </cell>
          <cell r="L160">
            <v>817</v>
          </cell>
          <cell r="M160">
            <v>635</v>
          </cell>
          <cell r="N160">
            <v>0</v>
          </cell>
          <cell r="O160">
            <v>182</v>
          </cell>
          <cell r="P160">
            <v>0</v>
          </cell>
          <cell r="Q160">
            <v>308</v>
          </cell>
          <cell r="R160">
            <v>276</v>
          </cell>
          <cell r="S160">
            <v>0</v>
          </cell>
          <cell r="T160">
            <v>0</v>
          </cell>
          <cell r="U160">
            <v>32</v>
          </cell>
          <cell r="V160">
            <v>0</v>
          </cell>
          <cell r="W160">
            <v>2906</v>
          </cell>
          <cell r="X160">
            <v>1238</v>
          </cell>
          <cell r="Y160">
            <v>1661</v>
          </cell>
          <cell r="Z160">
            <v>7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1508</v>
          </cell>
          <cell r="AG160">
            <v>0</v>
          </cell>
          <cell r="AH160">
            <v>0</v>
          </cell>
          <cell r="AI160">
            <v>715</v>
          </cell>
          <cell r="AJ160">
            <v>85</v>
          </cell>
          <cell r="AK160">
            <v>475</v>
          </cell>
          <cell r="AL160">
            <v>0</v>
          </cell>
          <cell r="AM160">
            <v>0</v>
          </cell>
          <cell r="AN160">
            <v>95</v>
          </cell>
          <cell r="AO160">
            <v>0</v>
          </cell>
          <cell r="AP160">
            <v>136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2</v>
          </cell>
          <cell r="AX160">
            <v>0</v>
          </cell>
          <cell r="AY160">
            <v>0</v>
          </cell>
          <cell r="AZ160">
            <v>0</v>
          </cell>
          <cell r="BA160">
            <v>521211</v>
          </cell>
          <cell r="BB160">
            <v>3</v>
          </cell>
          <cell r="BC160">
            <v>521208</v>
          </cell>
        </row>
        <row r="161">
          <cell r="C161" t="str">
            <v>CPH INJ-STERILIZATION</v>
          </cell>
          <cell r="D161">
            <v>60480</v>
          </cell>
          <cell r="E161">
            <v>38755</v>
          </cell>
          <cell r="F161">
            <v>2473</v>
          </cell>
          <cell r="G161">
            <v>120</v>
          </cell>
          <cell r="H161">
            <v>2353</v>
          </cell>
          <cell r="I161">
            <v>0</v>
          </cell>
          <cell r="J161">
            <v>19252</v>
          </cell>
          <cell r="K161">
            <v>8280</v>
          </cell>
          <cell r="L161">
            <v>941</v>
          </cell>
          <cell r="M161">
            <v>581</v>
          </cell>
          <cell r="N161">
            <v>0</v>
          </cell>
          <cell r="O161">
            <v>360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5132</v>
          </cell>
          <cell r="X161">
            <v>4525</v>
          </cell>
          <cell r="Y161">
            <v>607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4899</v>
          </cell>
          <cell r="AG161">
            <v>0</v>
          </cell>
          <cell r="AH161">
            <v>0</v>
          </cell>
          <cell r="AI161">
            <v>60</v>
          </cell>
          <cell r="AJ161">
            <v>40</v>
          </cell>
          <cell r="AK161">
            <v>60</v>
          </cell>
          <cell r="AL161">
            <v>0</v>
          </cell>
          <cell r="AM161">
            <v>0</v>
          </cell>
          <cell r="AN161">
            <v>110</v>
          </cell>
          <cell r="AO161">
            <v>4618</v>
          </cell>
          <cell r="AP161">
            <v>11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901</v>
          </cell>
          <cell r="BB161">
            <v>0</v>
          </cell>
          <cell r="BC161">
            <v>901</v>
          </cell>
        </row>
        <row r="162">
          <cell r="C162" t="str">
            <v>ICF104</v>
          </cell>
          <cell r="D162">
            <v>30240</v>
          </cell>
          <cell r="E162">
            <v>18355</v>
          </cell>
          <cell r="F162">
            <v>1484</v>
          </cell>
          <cell r="G162">
            <v>60</v>
          </cell>
          <cell r="H162">
            <v>1424</v>
          </cell>
          <cell r="I162">
            <v>0</v>
          </cell>
          <cell r="J162">
            <v>10401</v>
          </cell>
          <cell r="K162">
            <v>5189</v>
          </cell>
          <cell r="L162">
            <v>433</v>
          </cell>
          <cell r="M162">
            <v>303</v>
          </cell>
          <cell r="N162">
            <v>0</v>
          </cell>
          <cell r="O162">
            <v>130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3305</v>
          </cell>
          <cell r="X162">
            <v>3087</v>
          </cell>
          <cell r="Y162">
            <v>218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1474</v>
          </cell>
          <cell r="AG162">
            <v>0</v>
          </cell>
          <cell r="AH162">
            <v>0</v>
          </cell>
          <cell r="AI162">
            <v>60</v>
          </cell>
          <cell r="AJ162">
            <v>20</v>
          </cell>
          <cell r="AK162">
            <v>60</v>
          </cell>
          <cell r="AL162">
            <v>0</v>
          </cell>
          <cell r="AM162">
            <v>0</v>
          </cell>
          <cell r="AN162">
            <v>70</v>
          </cell>
          <cell r="AO162">
            <v>1253</v>
          </cell>
          <cell r="AP162">
            <v>11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570</v>
          </cell>
          <cell r="BB162">
            <v>0</v>
          </cell>
          <cell r="BC162">
            <v>570</v>
          </cell>
        </row>
        <row r="163">
          <cell r="C163" t="str">
            <v>ICF105</v>
          </cell>
          <cell r="D163">
            <v>30240</v>
          </cell>
          <cell r="E163">
            <v>20400</v>
          </cell>
          <cell r="F163">
            <v>989</v>
          </cell>
          <cell r="G163">
            <v>60</v>
          </cell>
          <cell r="H163">
            <v>929</v>
          </cell>
          <cell r="I163">
            <v>0</v>
          </cell>
          <cell r="J163">
            <v>8851</v>
          </cell>
          <cell r="K163">
            <v>3091</v>
          </cell>
          <cell r="L163">
            <v>508</v>
          </cell>
          <cell r="M163">
            <v>278</v>
          </cell>
          <cell r="N163">
            <v>0</v>
          </cell>
          <cell r="O163">
            <v>230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1827</v>
          </cell>
          <cell r="X163">
            <v>1438</v>
          </cell>
          <cell r="Y163">
            <v>389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3425</v>
          </cell>
          <cell r="AG163">
            <v>0</v>
          </cell>
          <cell r="AH163">
            <v>0</v>
          </cell>
          <cell r="AI163">
            <v>0</v>
          </cell>
          <cell r="AJ163">
            <v>20</v>
          </cell>
          <cell r="AK163">
            <v>0</v>
          </cell>
          <cell r="AL163">
            <v>0</v>
          </cell>
          <cell r="AM163">
            <v>0</v>
          </cell>
          <cell r="AN163">
            <v>40</v>
          </cell>
          <cell r="AO163">
            <v>3365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331</v>
          </cell>
          <cell r="BB163">
            <v>0</v>
          </cell>
          <cell r="BC163">
            <v>331</v>
          </cell>
        </row>
        <row r="164">
          <cell r="C164" t="str">
            <v>CPH-SECONDARY PACKING</v>
          </cell>
          <cell r="D164">
            <v>54720</v>
          </cell>
          <cell r="E164">
            <v>29910</v>
          </cell>
          <cell r="F164">
            <v>1865</v>
          </cell>
          <cell r="G164">
            <v>475</v>
          </cell>
          <cell r="H164">
            <v>1390</v>
          </cell>
          <cell r="I164">
            <v>0</v>
          </cell>
          <cell r="J164">
            <v>22945</v>
          </cell>
          <cell r="K164">
            <v>8465</v>
          </cell>
          <cell r="L164">
            <v>5212</v>
          </cell>
          <cell r="M164">
            <v>2707</v>
          </cell>
          <cell r="N164">
            <v>170</v>
          </cell>
          <cell r="O164">
            <v>805</v>
          </cell>
          <cell r="P164">
            <v>1530</v>
          </cell>
          <cell r="Q164">
            <v>300</v>
          </cell>
          <cell r="R164">
            <v>260</v>
          </cell>
          <cell r="S164">
            <v>0</v>
          </cell>
          <cell r="T164">
            <v>0</v>
          </cell>
          <cell r="U164">
            <v>40</v>
          </cell>
          <cell r="V164">
            <v>0</v>
          </cell>
          <cell r="W164">
            <v>3922</v>
          </cell>
          <cell r="X164">
            <v>2025</v>
          </cell>
          <cell r="Y164">
            <v>762</v>
          </cell>
          <cell r="Z164">
            <v>690</v>
          </cell>
          <cell r="AA164">
            <v>0</v>
          </cell>
          <cell r="AB164">
            <v>445</v>
          </cell>
          <cell r="AC164">
            <v>280</v>
          </cell>
          <cell r="AD164">
            <v>0</v>
          </cell>
          <cell r="AE164">
            <v>280</v>
          </cell>
          <cell r="AF164">
            <v>4766</v>
          </cell>
          <cell r="AG164">
            <v>175</v>
          </cell>
          <cell r="AH164">
            <v>0</v>
          </cell>
          <cell r="AI164">
            <v>1470</v>
          </cell>
          <cell r="AJ164">
            <v>0</v>
          </cell>
          <cell r="AK164">
            <v>1055</v>
          </cell>
          <cell r="AL164">
            <v>270</v>
          </cell>
          <cell r="AM164">
            <v>100</v>
          </cell>
          <cell r="AN164">
            <v>0</v>
          </cell>
          <cell r="AO164">
            <v>120</v>
          </cell>
          <cell r="AP164">
            <v>544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1032</v>
          </cell>
          <cell r="AX164">
            <v>0</v>
          </cell>
          <cell r="AY164">
            <v>0</v>
          </cell>
          <cell r="AZ164">
            <v>0</v>
          </cell>
          <cell r="BA164">
            <v>1065508</v>
          </cell>
          <cell r="BB164">
            <v>448</v>
          </cell>
          <cell r="BC164">
            <v>1065060</v>
          </cell>
        </row>
        <row r="165">
          <cell r="C165" t="str">
            <v>PCF101</v>
          </cell>
          <cell r="D165">
            <v>27360</v>
          </cell>
          <cell r="E165">
            <v>9690</v>
          </cell>
          <cell r="F165">
            <v>740</v>
          </cell>
          <cell r="G165">
            <v>250</v>
          </cell>
          <cell r="H165">
            <v>490</v>
          </cell>
          <cell r="I165">
            <v>0</v>
          </cell>
          <cell r="J165">
            <v>16930</v>
          </cell>
          <cell r="K165">
            <v>5455</v>
          </cell>
          <cell r="L165">
            <v>5000</v>
          </cell>
          <cell r="M165">
            <v>2495</v>
          </cell>
          <cell r="N165">
            <v>170</v>
          </cell>
          <cell r="O165">
            <v>805</v>
          </cell>
          <cell r="P165">
            <v>1530</v>
          </cell>
          <cell r="Q165">
            <v>235</v>
          </cell>
          <cell r="R165">
            <v>195</v>
          </cell>
          <cell r="S165">
            <v>0</v>
          </cell>
          <cell r="T165">
            <v>0</v>
          </cell>
          <cell r="U165">
            <v>40</v>
          </cell>
          <cell r="V165">
            <v>0</v>
          </cell>
          <cell r="W165">
            <v>3290</v>
          </cell>
          <cell r="X165">
            <v>2025</v>
          </cell>
          <cell r="Y165">
            <v>575</v>
          </cell>
          <cell r="Z165">
            <v>690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2950</v>
          </cell>
          <cell r="AG165">
            <v>175</v>
          </cell>
          <cell r="AH165">
            <v>0</v>
          </cell>
          <cell r="AI165">
            <v>1140</v>
          </cell>
          <cell r="AJ165">
            <v>0</v>
          </cell>
          <cell r="AK165">
            <v>880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345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410</v>
          </cell>
          <cell r="AX165">
            <v>0</v>
          </cell>
          <cell r="AY165">
            <v>0</v>
          </cell>
          <cell r="AZ165">
            <v>0</v>
          </cell>
          <cell r="BA165">
            <v>982616</v>
          </cell>
          <cell r="BB165">
            <v>234</v>
          </cell>
          <cell r="BC165">
            <v>982382</v>
          </cell>
        </row>
        <row r="166">
          <cell r="C166" t="str">
            <v>PCF102</v>
          </cell>
          <cell r="D166">
            <v>27360</v>
          </cell>
          <cell r="E166">
            <v>20220</v>
          </cell>
          <cell r="F166">
            <v>1125</v>
          </cell>
          <cell r="G166">
            <v>225</v>
          </cell>
          <cell r="H166">
            <v>900</v>
          </cell>
          <cell r="I166">
            <v>0</v>
          </cell>
          <cell r="J166">
            <v>6015</v>
          </cell>
          <cell r="K166">
            <v>3010</v>
          </cell>
          <cell r="L166">
            <v>212</v>
          </cell>
          <cell r="M166">
            <v>212</v>
          </cell>
          <cell r="N166">
            <v>0</v>
          </cell>
          <cell r="O166">
            <v>0</v>
          </cell>
          <cell r="P166">
            <v>0</v>
          </cell>
          <cell r="Q166">
            <v>65</v>
          </cell>
          <cell r="R166">
            <v>65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632</v>
          </cell>
          <cell r="X166">
            <v>0</v>
          </cell>
          <cell r="Y166">
            <v>187</v>
          </cell>
          <cell r="Z166">
            <v>0</v>
          </cell>
          <cell r="AA166">
            <v>0</v>
          </cell>
          <cell r="AB166">
            <v>445</v>
          </cell>
          <cell r="AC166">
            <v>280</v>
          </cell>
          <cell r="AD166">
            <v>0</v>
          </cell>
          <cell r="AE166">
            <v>280</v>
          </cell>
          <cell r="AF166">
            <v>1816</v>
          </cell>
          <cell r="AG166">
            <v>0</v>
          </cell>
          <cell r="AH166">
            <v>0</v>
          </cell>
          <cell r="AI166">
            <v>330</v>
          </cell>
          <cell r="AJ166">
            <v>0</v>
          </cell>
          <cell r="AK166">
            <v>175</v>
          </cell>
          <cell r="AL166">
            <v>270</v>
          </cell>
          <cell r="AM166">
            <v>100</v>
          </cell>
          <cell r="AN166">
            <v>0</v>
          </cell>
          <cell r="AO166">
            <v>120</v>
          </cell>
          <cell r="AP166">
            <v>199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622</v>
          </cell>
          <cell r="AX166">
            <v>0</v>
          </cell>
          <cell r="AY166">
            <v>0</v>
          </cell>
          <cell r="AZ166">
            <v>0</v>
          </cell>
          <cell r="BA166">
            <v>82892</v>
          </cell>
          <cell r="BB166">
            <v>214</v>
          </cell>
          <cell r="BC166">
            <v>82678</v>
          </cell>
        </row>
      </sheetData>
      <sheetData sheetId="13" refreshError="1">
        <row r="5">
          <cell r="C5" t="str">
            <v>POT</v>
          </cell>
        </row>
        <row r="109">
          <cell r="B109" t="str">
            <v>PROSES( Menit )</v>
          </cell>
          <cell r="C109" t="str">
            <v>POT</v>
          </cell>
          <cell r="D109" t="str">
            <v>POT Shift Tersedia</v>
          </cell>
          <cell r="E109" t="str">
            <v>Unschedule Time</v>
          </cell>
          <cell r="F109" t="str">
            <v>Unschedule Time Shift Tersedia</v>
          </cell>
          <cell r="G109" t="str">
            <v>Waktu Beproduksi</v>
          </cell>
          <cell r="H109" t="str">
            <v>Waktu Beproduksi Tersedia</v>
          </cell>
          <cell r="I109" t="str">
            <v>Idle Time</v>
          </cell>
          <cell r="J109" t="str">
            <v>Idle Time Tersedia</v>
          </cell>
          <cell r="K109" t="str">
            <v>L2</v>
          </cell>
          <cell r="L109" t="str">
            <v>L21</v>
          </cell>
          <cell r="M109" t="str">
            <v>L22</v>
          </cell>
          <cell r="N109" t="str">
            <v>IG</v>
          </cell>
          <cell r="O109" t="str">
            <v>PPT</v>
          </cell>
          <cell r="P109" t="str">
            <v>PPT Tersedia</v>
          </cell>
          <cell r="Q109" t="str">
            <v>R</v>
          </cell>
          <cell r="R109" t="str">
            <v>R Tersedia</v>
          </cell>
          <cell r="S109" t="str">
            <v>DT</v>
          </cell>
          <cell r="T109" t="str">
            <v>DT Tersedia</v>
          </cell>
          <cell r="U109" t="str">
            <v>Setup</v>
          </cell>
          <cell r="V109" t="str">
            <v>P6</v>
          </cell>
          <cell r="W109" t="str">
            <v>P5</v>
          </cell>
          <cell r="X109" t="str">
            <v>P8</v>
          </cell>
          <cell r="Y109" t="str">
            <v>P9</v>
          </cell>
          <cell r="Z109" t="str">
            <v>Breakdown</v>
          </cell>
          <cell r="AA109" t="str">
            <v>M1</v>
          </cell>
          <cell r="AB109" t="str">
            <v>M2</v>
          </cell>
          <cell r="AC109" t="str">
            <v>M4</v>
          </cell>
          <cell r="AD109" t="str">
            <v>M8</v>
          </cell>
          <cell r="AE109" t="str">
            <v>M9</v>
          </cell>
          <cell r="AF109" t="str">
            <v>Clean</v>
          </cell>
          <cell r="AG109" t="str">
            <v>P2</v>
          </cell>
          <cell r="AH109" t="str">
            <v>P4</v>
          </cell>
          <cell r="AI109" t="str">
            <v>P17</v>
          </cell>
          <cell r="AJ109" t="str">
            <v>P19</v>
          </cell>
          <cell r="AK109" t="str">
            <v>P12</v>
          </cell>
          <cell r="AL109" t="str">
            <v>Trial</v>
          </cell>
          <cell r="AM109" t="str">
            <v>R1</v>
          </cell>
          <cell r="AN109" t="str">
            <v>R2</v>
          </cell>
          <cell r="AO109" t="str">
            <v>Waiting</v>
          </cell>
          <cell r="AP109" t="str">
            <v>L1</v>
          </cell>
          <cell r="AQ109" t="str">
            <v>L3</v>
          </cell>
          <cell r="AR109" t="str">
            <v>H1</v>
          </cell>
          <cell r="AS109" t="str">
            <v>H2</v>
          </cell>
          <cell r="AT109" t="str">
            <v>H4</v>
          </cell>
          <cell r="AU109" t="str">
            <v>H6</v>
          </cell>
          <cell r="AV109" t="str">
            <v>H7</v>
          </cell>
          <cell r="AW109" t="str">
            <v>H8</v>
          </cell>
          <cell r="AX109" t="str">
            <v>P10</v>
          </cell>
          <cell r="AY109" t="str">
            <v>P11</v>
          </cell>
          <cell r="AZ109" t="str">
            <v>P13</v>
          </cell>
          <cell r="BA109" t="str">
            <v>P14</v>
          </cell>
          <cell r="BB109" t="str">
            <v>P16</v>
          </cell>
          <cell r="BC109" t="str">
            <v>M5</v>
          </cell>
          <cell r="BD109" t="str">
            <v>M6</v>
          </cell>
          <cell r="BE109" t="str">
            <v>M7</v>
          </cell>
          <cell r="BF109" t="str">
            <v>Q1</v>
          </cell>
          <cell r="BG109" t="str">
            <v>Q2</v>
          </cell>
          <cell r="BH109" t="str">
            <v>Q3</v>
          </cell>
          <cell r="BI109" t="str">
            <v>Q4</v>
          </cell>
          <cell r="BJ109" t="str">
            <v>Total Output</v>
          </cell>
          <cell r="BK109" t="str">
            <v>Reject Output</v>
          </cell>
          <cell r="BL109" t="str">
            <v>Good Output</v>
          </cell>
        </row>
        <row r="110">
          <cell r="B110" t="str">
            <v>NBL SOL-MIXING</v>
          </cell>
          <cell r="C110">
            <v>82080</v>
          </cell>
          <cell r="D110">
            <v>53010</v>
          </cell>
          <cell r="E110">
            <v>57060</v>
          </cell>
          <cell r="F110">
            <v>27990</v>
          </cell>
          <cell r="G110">
            <v>25020</v>
          </cell>
          <cell r="H110">
            <v>25020</v>
          </cell>
          <cell r="I110">
            <v>2984</v>
          </cell>
          <cell r="J110">
            <v>2984</v>
          </cell>
          <cell r="K110">
            <v>2200</v>
          </cell>
          <cell r="L110">
            <v>350</v>
          </cell>
          <cell r="M110">
            <v>1850</v>
          </cell>
          <cell r="N110">
            <v>784</v>
          </cell>
          <cell r="O110">
            <v>22036</v>
          </cell>
          <cell r="P110">
            <v>22036</v>
          </cell>
          <cell r="Q110">
            <v>3786</v>
          </cell>
          <cell r="R110">
            <v>3786</v>
          </cell>
          <cell r="S110">
            <v>18250</v>
          </cell>
          <cell r="T110">
            <v>18250</v>
          </cell>
          <cell r="U110">
            <v>848</v>
          </cell>
          <cell r="V110">
            <v>848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10135</v>
          </cell>
          <cell r="AG110">
            <v>5468</v>
          </cell>
          <cell r="AH110">
            <v>4223</v>
          </cell>
          <cell r="AI110">
            <v>14</v>
          </cell>
          <cell r="AJ110">
            <v>0</v>
          </cell>
          <cell r="AK110">
            <v>430</v>
          </cell>
          <cell r="AL110">
            <v>85</v>
          </cell>
          <cell r="AM110">
            <v>0</v>
          </cell>
          <cell r="AN110">
            <v>85</v>
          </cell>
          <cell r="AO110">
            <v>7182</v>
          </cell>
          <cell r="AP110">
            <v>40</v>
          </cell>
          <cell r="AQ110">
            <v>0</v>
          </cell>
          <cell r="AR110">
            <v>1290</v>
          </cell>
          <cell r="AS110">
            <v>0</v>
          </cell>
          <cell r="AT110">
            <v>885</v>
          </cell>
          <cell r="AU110">
            <v>0</v>
          </cell>
          <cell r="AV110">
            <v>0</v>
          </cell>
          <cell r="AW110">
            <v>0</v>
          </cell>
          <cell r="AX110">
            <v>4236</v>
          </cell>
          <cell r="AY110">
            <v>20</v>
          </cell>
          <cell r="AZ110">
            <v>0</v>
          </cell>
          <cell r="BA110">
            <v>487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169</v>
          </cell>
          <cell r="BG110">
            <v>0</v>
          </cell>
          <cell r="BH110">
            <v>55</v>
          </cell>
          <cell r="BI110">
            <v>0</v>
          </cell>
          <cell r="BJ110">
            <v>6832.58</v>
          </cell>
          <cell r="BK110">
            <v>0</v>
          </cell>
          <cell r="BL110">
            <v>6832.58</v>
          </cell>
        </row>
        <row r="111">
          <cell r="B111" t="str">
            <v>MIX113</v>
          </cell>
          <cell r="C111">
            <v>27360</v>
          </cell>
          <cell r="D111">
            <v>17670</v>
          </cell>
          <cell r="E111">
            <v>14880</v>
          </cell>
          <cell r="F111">
            <v>5190</v>
          </cell>
          <cell r="G111">
            <v>12480</v>
          </cell>
          <cell r="H111">
            <v>12480</v>
          </cell>
          <cell r="I111">
            <v>1940</v>
          </cell>
          <cell r="J111">
            <v>1940</v>
          </cell>
          <cell r="K111">
            <v>1500</v>
          </cell>
          <cell r="L111">
            <v>20</v>
          </cell>
          <cell r="M111">
            <v>1480</v>
          </cell>
          <cell r="N111">
            <v>440</v>
          </cell>
          <cell r="O111">
            <v>10540</v>
          </cell>
          <cell r="P111">
            <v>10540</v>
          </cell>
          <cell r="Q111">
            <v>717</v>
          </cell>
          <cell r="R111">
            <v>717</v>
          </cell>
          <cell r="S111">
            <v>9823</v>
          </cell>
          <cell r="T111">
            <v>9823</v>
          </cell>
          <cell r="U111">
            <v>473</v>
          </cell>
          <cell r="V111">
            <v>473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3730</v>
          </cell>
          <cell r="AG111">
            <v>1476</v>
          </cell>
          <cell r="AH111">
            <v>2084</v>
          </cell>
          <cell r="AI111">
            <v>0</v>
          </cell>
          <cell r="AJ111">
            <v>0</v>
          </cell>
          <cell r="AK111">
            <v>170</v>
          </cell>
          <cell r="AL111">
            <v>85</v>
          </cell>
          <cell r="AM111">
            <v>0</v>
          </cell>
          <cell r="AN111">
            <v>85</v>
          </cell>
          <cell r="AO111">
            <v>5535</v>
          </cell>
          <cell r="AP111">
            <v>0</v>
          </cell>
          <cell r="AQ111">
            <v>0</v>
          </cell>
          <cell r="AR111">
            <v>600</v>
          </cell>
          <cell r="AS111">
            <v>0</v>
          </cell>
          <cell r="AT111">
            <v>480</v>
          </cell>
          <cell r="AU111">
            <v>0</v>
          </cell>
          <cell r="AV111">
            <v>0</v>
          </cell>
          <cell r="AW111">
            <v>0</v>
          </cell>
          <cell r="AX111">
            <v>4236</v>
          </cell>
          <cell r="AY111">
            <v>20</v>
          </cell>
          <cell r="AZ111">
            <v>0</v>
          </cell>
          <cell r="BA111">
            <v>30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169</v>
          </cell>
          <cell r="BG111">
            <v>0</v>
          </cell>
          <cell r="BH111">
            <v>0</v>
          </cell>
          <cell r="BI111">
            <v>0</v>
          </cell>
          <cell r="BJ111">
            <v>4350.3</v>
          </cell>
          <cell r="BK111">
            <v>0</v>
          </cell>
          <cell r="BL111">
            <v>4350.3</v>
          </cell>
        </row>
        <row r="112">
          <cell r="B112" t="str">
            <v>LMIXSOL1</v>
          </cell>
          <cell r="C112">
            <v>27360</v>
          </cell>
          <cell r="D112">
            <v>17670</v>
          </cell>
          <cell r="E112">
            <v>20580</v>
          </cell>
          <cell r="F112">
            <v>10890</v>
          </cell>
          <cell r="G112">
            <v>6780</v>
          </cell>
          <cell r="H112">
            <v>6780</v>
          </cell>
          <cell r="I112">
            <v>700</v>
          </cell>
          <cell r="J112">
            <v>700</v>
          </cell>
          <cell r="K112">
            <v>700</v>
          </cell>
          <cell r="L112">
            <v>330</v>
          </cell>
          <cell r="M112">
            <v>370</v>
          </cell>
          <cell r="N112">
            <v>0</v>
          </cell>
          <cell r="O112">
            <v>6080</v>
          </cell>
          <cell r="P112">
            <v>6080</v>
          </cell>
          <cell r="Q112">
            <v>1417</v>
          </cell>
          <cell r="R112">
            <v>1417</v>
          </cell>
          <cell r="S112">
            <v>4663</v>
          </cell>
          <cell r="T112">
            <v>4663</v>
          </cell>
          <cell r="U112">
            <v>180</v>
          </cell>
          <cell r="V112">
            <v>180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3625</v>
          </cell>
          <cell r="AG112">
            <v>2295</v>
          </cell>
          <cell r="AH112">
            <v>1144</v>
          </cell>
          <cell r="AI112">
            <v>1</v>
          </cell>
          <cell r="AJ112">
            <v>0</v>
          </cell>
          <cell r="AK112">
            <v>185</v>
          </cell>
          <cell r="AL112">
            <v>0</v>
          </cell>
          <cell r="AM112">
            <v>0</v>
          </cell>
          <cell r="AN112">
            <v>0</v>
          </cell>
          <cell r="AO112">
            <v>858</v>
          </cell>
          <cell r="AP112">
            <v>40</v>
          </cell>
          <cell r="AQ112">
            <v>0</v>
          </cell>
          <cell r="AR112">
            <v>360</v>
          </cell>
          <cell r="AS112">
            <v>0</v>
          </cell>
          <cell r="AT112">
            <v>195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263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640.91</v>
          </cell>
          <cell r="BK112">
            <v>0</v>
          </cell>
          <cell r="BL112">
            <v>640.91</v>
          </cell>
        </row>
        <row r="113">
          <cell r="B113" t="str">
            <v>LMIXSOL2</v>
          </cell>
          <cell r="C113">
            <v>27360</v>
          </cell>
          <cell r="D113">
            <v>17670</v>
          </cell>
          <cell r="E113">
            <v>21600</v>
          </cell>
          <cell r="F113">
            <v>11910</v>
          </cell>
          <cell r="G113">
            <v>5760</v>
          </cell>
          <cell r="H113">
            <v>5760</v>
          </cell>
          <cell r="I113">
            <v>344</v>
          </cell>
          <cell r="J113">
            <v>344</v>
          </cell>
          <cell r="K113">
            <v>0</v>
          </cell>
          <cell r="L113">
            <v>0</v>
          </cell>
          <cell r="M113">
            <v>0</v>
          </cell>
          <cell r="N113">
            <v>344</v>
          </cell>
          <cell r="O113">
            <v>5416</v>
          </cell>
          <cell r="P113">
            <v>5416</v>
          </cell>
          <cell r="Q113">
            <v>1652</v>
          </cell>
          <cell r="R113">
            <v>1652</v>
          </cell>
          <cell r="S113">
            <v>3764</v>
          </cell>
          <cell r="T113">
            <v>3764</v>
          </cell>
          <cell r="U113">
            <v>195</v>
          </cell>
          <cell r="V113">
            <v>195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2780</v>
          </cell>
          <cell r="AG113">
            <v>1697</v>
          </cell>
          <cell r="AH113">
            <v>995</v>
          </cell>
          <cell r="AI113">
            <v>13</v>
          </cell>
          <cell r="AJ113">
            <v>0</v>
          </cell>
          <cell r="AK113">
            <v>75</v>
          </cell>
          <cell r="AL113">
            <v>0</v>
          </cell>
          <cell r="AM113">
            <v>0</v>
          </cell>
          <cell r="AN113">
            <v>0</v>
          </cell>
          <cell r="AO113">
            <v>789</v>
          </cell>
          <cell r="AP113">
            <v>0</v>
          </cell>
          <cell r="AQ113">
            <v>0</v>
          </cell>
          <cell r="AR113">
            <v>330</v>
          </cell>
          <cell r="AS113">
            <v>0</v>
          </cell>
          <cell r="AT113">
            <v>210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194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55</v>
          </cell>
          <cell r="BI113">
            <v>0</v>
          </cell>
          <cell r="BJ113">
            <v>1841.37</v>
          </cell>
          <cell r="BK113">
            <v>0</v>
          </cell>
          <cell r="BL113">
            <v>1841.37</v>
          </cell>
        </row>
        <row r="114">
          <cell r="B114" t="str">
            <v>NBL SOL-COATING</v>
          </cell>
          <cell r="C114">
            <v>56160</v>
          </cell>
          <cell r="D114">
            <v>18720</v>
          </cell>
          <cell r="E114">
            <v>47010</v>
          </cell>
          <cell r="F114">
            <v>9570</v>
          </cell>
          <cell r="G114">
            <v>9150</v>
          </cell>
          <cell r="H114">
            <v>9150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9150</v>
          </cell>
          <cell r="P114">
            <v>9150</v>
          </cell>
          <cell r="Q114">
            <v>3663</v>
          </cell>
          <cell r="R114">
            <v>3663</v>
          </cell>
          <cell r="S114">
            <v>5487</v>
          </cell>
          <cell r="T114">
            <v>5487</v>
          </cell>
          <cell r="U114">
            <v>467</v>
          </cell>
          <cell r="V114">
            <v>265</v>
          </cell>
          <cell r="W114">
            <v>0</v>
          </cell>
          <cell r="X114">
            <v>202</v>
          </cell>
          <cell r="Y114">
            <v>0</v>
          </cell>
          <cell r="Z114">
            <v>160</v>
          </cell>
          <cell r="AA114">
            <v>150</v>
          </cell>
          <cell r="AB114">
            <v>0</v>
          </cell>
          <cell r="AC114">
            <v>0</v>
          </cell>
          <cell r="AD114">
            <v>10</v>
          </cell>
          <cell r="AE114">
            <v>0</v>
          </cell>
          <cell r="AF114">
            <v>3370</v>
          </cell>
          <cell r="AG114">
            <v>1285</v>
          </cell>
          <cell r="AH114">
            <v>1845</v>
          </cell>
          <cell r="AI114">
            <v>0</v>
          </cell>
          <cell r="AJ114">
            <v>0</v>
          </cell>
          <cell r="AK114">
            <v>240</v>
          </cell>
          <cell r="AL114">
            <v>0</v>
          </cell>
          <cell r="AM114">
            <v>0</v>
          </cell>
          <cell r="AN114">
            <v>0</v>
          </cell>
          <cell r="AO114">
            <v>1490</v>
          </cell>
          <cell r="AP114">
            <v>0</v>
          </cell>
          <cell r="AQ114">
            <v>0</v>
          </cell>
          <cell r="AR114">
            <v>510</v>
          </cell>
          <cell r="AS114">
            <v>0</v>
          </cell>
          <cell r="AT114">
            <v>435</v>
          </cell>
          <cell r="AU114">
            <v>265</v>
          </cell>
          <cell r="AV114">
            <v>0</v>
          </cell>
          <cell r="AW114">
            <v>0</v>
          </cell>
          <cell r="AX114">
            <v>35</v>
          </cell>
          <cell r="AY114">
            <v>225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20</v>
          </cell>
          <cell r="BG114">
            <v>0</v>
          </cell>
          <cell r="BH114">
            <v>0</v>
          </cell>
          <cell r="BI114">
            <v>0</v>
          </cell>
          <cell r="BJ114">
            <v>1657.08</v>
          </cell>
          <cell r="BK114">
            <v>0.93</v>
          </cell>
          <cell r="BL114">
            <v>1656.15</v>
          </cell>
        </row>
        <row r="115">
          <cell r="B115" t="str">
            <v>COT101</v>
          </cell>
          <cell r="C115">
            <v>28800</v>
          </cell>
          <cell r="D115">
            <v>9600</v>
          </cell>
          <cell r="E115">
            <v>23580</v>
          </cell>
          <cell r="F115">
            <v>4380</v>
          </cell>
          <cell r="G115">
            <v>5220</v>
          </cell>
          <cell r="H115">
            <v>5220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5220</v>
          </cell>
          <cell r="P115">
            <v>5220</v>
          </cell>
          <cell r="Q115">
            <v>1893</v>
          </cell>
          <cell r="R115">
            <v>1893</v>
          </cell>
          <cell r="S115">
            <v>3327</v>
          </cell>
          <cell r="T115">
            <v>3327</v>
          </cell>
          <cell r="U115">
            <v>262</v>
          </cell>
          <cell r="V115">
            <v>160</v>
          </cell>
          <cell r="W115">
            <v>0</v>
          </cell>
          <cell r="X115">
            <v>102</v>
          </cell>
          <cell r="Y115">
            <v>0</v>
          </cell>
          <cell r="Z115">
            <v>140</v>
          </cell>
          <cell r="AA115">
            <v>130</v>
          </cell>
          <cell r="AB115">
            <v>0</v>
          </cell>
          <cell r="AC115">
            <v>0</v>
          </cell>
          <cell r="AD115">
            <v>10</v>
          </cell>
          <cell r="AE115">
            <v>0</v>
          </cell>
          <cell r="AF115">
            <v>1945</v>
          </cell>
          <cell r="AG115">
            <v>700</v>
          </cell>
          <cell r="AH115">
            <v>1080</v>
          </cell>
          <cell r="AI115">
            <v>0</v>
          </cell>
          <cell r="AJ115">
            <v>0</v>
          </cell>
          <cell r="AK115">
            <v>165</v>
          </cell>
          <cell r="AL115">
            <v>0</v>
          </cell>
          <cell r="AM115">
            <v>0</v>
          </cell>
          <cell r="AN115">
            <v>0</v>
          </cell>
          <cell r="AO115">
            <v>980</v>
          </cell>
          <cell r="AP115">
            <v>0</v>
          </cell>
          <cell r="AQ115">
            <v>0</v>
          </cell>
          <cell r="AR115">
            <v>300</v>
          </cell>
          <cell r="AS115">
            <v>0</v>
          </cell>
          <cell r="AT115">
            <v>300</v>
          </cell>
          <cell r="AU115">
            <v>235</v>
          </cell>
          <cell r="AV115">
            <v>0</v>
          </cell>
          <cell r="AW115">
            <v>0</v>
          </cell>
          <cell r="AX115">
            <v>20</v>
          </cell>
          <cell r="AY115">
            <v>120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5</v>
          </cell>
          <cell r="BG115">
            <v>0</v>
          </cell>
          <cell r="BH115">
            <v>0</v>
          </cell>
          <cell r="BI115">
            <v>0</v>
          </cell>
          <cell r="BJ115">
            <v>455.99</v>
          </cell>
          <cell r="BK115">
            <v>0.26</v>
          </cell>
          <cell r="BL115">
            <v>455.73</v>
          </cell>
        </row>
        <row r="116">
          <cell r="B116" t="str">
            <v>COT102</v>
          </cell>
          <cell r="C116">
            <v>27360</v>
          </cell>
          <cell r="D116">
            <v>9120</v>
          </cell>
          <cell r="E116">
            <v>23430</v>
          </cell>
          <cell r="F116">
            <v>5190</v>
          </cell>
          <cell r="G116">
            <v>3930</v>
          </cell>
          <cell r="H116">
            <v>3930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3930</v>
          </cell>
          <cell r="P116">
            <v>3930</v>
          </cell>
          <cell r="Q116">
            <v>1770</v>
          </cell>
          <cell r="R116">
            <v>1770</v>
          </cell>
          <cell r="S116">
            <v>2160</v>
          </cell>
          <cell r="T116">
            <v>2160</v>
          </cell>
          <cell r="U116">
            <v>205</v>
          </cell>
          <cell r="V116">
            <v>105</v>
          </cell>
          <cell r="W116">
            <v>0</v>
          </cell>
          <cell r="X116">
            <v>100</v>
          </cell>
          <cell r="Y116">
            <v>0</v>
          </cell>
          <cell r="Z116">
            <v>20</v>
          </cell>
          <cell r="AA116">
            <v>20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1425</v>
          </cell>
          <cell r="AG116">
            <v>585</v>
          </cell>
          <cell r="AH116">
            <v>765</v>
          </cell>
          <cell r="AI116">
            <v>0</v>
          </cell>
          <cell r="AJ116">
            <v>0</v>
          </cell>
          <cell r="AK116">
            <v>75</v>
          </cell>
          <cell r="AL116">
            <v>0</v>
          </cell>
          <cell r="AM116">
            <v>0</v>
          </cell>
          <cell r="AN116">
            <v>0</v>
          </cell>
          <cell r="AO116">
            <v>510</v>
          </cell>
          <cell r="AP116">
            <v>0</v>
          </cell>
          <cell r="AQ116">
            <v>0</v>
          </cell>
          <cell r="AR116">
            <v>210</v>
          </cell>
          <cell r="AS116">
            <v>0</v>
          </cell>
          <cell r="AT116">
            <v>135</v>
          </cell>
          <cell r="AU116">
            <v>30</v>
          </cell>
          <cell r="AV116">
            <v>0</v>
          </cell>
          <cell r="AW116">
            <v>0</v>
          </cell>
          <cell r="AX116">
            <v>15</v>
          </cell>
          <cell r="AY116">
            <v>105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15</v>
          </cell>
          <cell r="BG116">
            <v>0</v>
          </cell>
          <cell r="BH116">
            <v>0</v>
          </cell>
          <cell r="BI116">
            <v>0</v>
          </cell>
          <cell r="BJ116">
            <v>1201.0899999999999</v>
          </cell>
          <cell r="BK116">
            <v>0.67</v>
          </cell>
          <cell r="BL116">
            <v>1200.42</v>
          </cell>
        </row>
        <row r="117">
          <cell r="B117" t="str">
            <v>NBL SOL-TABLETING</v>
          </cell>
          <cell r="C117">
            <v>82080</v>
          </cell>
          <cell r="D117">
            <v>44460</v>
          </cell>
          <cell r="E117">
            <v>45870</v>
          </cell>
          <cell r="F117">
            <v>8250</v>
          </cell>
          <cell r="G117">
            <v>36210</v>
          </cell>
          <cell r="H117">
            <v>36210</v>
          </cell>
          <cell r="I117">
            <v>1485</v>
          </cell>
          <cell r="J117">
            <v>1485</v>
          </cell>
          <cell r="K117">
            <v>1485</v>
          </cell>
          <cell r="L117">
            <v>365</v>
          </cell>
          <cell r="M117">
            <v>1120</v>
          </cell>
          <cell r="N117">
            <v>0</v>
          </cell>
          <cell r="O117">
            <v>34725</v>
          </cell>
          <cell r="P117">
            <v>34725</v>
          </cell>
          <cell r="Q117">
            <v>11310</v>
          </cell>
          <cell r="R117">
            <v>11310</v>
          </cell>
          <cell r="S117">
            <v>23415</v>
          </cell>
          <cell r="T117">
            <v>23415</v>
          </cell>
          <cell r="U117">
            <v>4785</v>
          </cell>
          <cell r="V117">
            <v>2955</v>
          </cell>
          <cell r="W117">
            <v>0</v>
          </cell>
          <cell r="X117">
            <v>180</v>
          </cell>
          <cell r="Y117">
            <v>1650</v>
          </cell>
          <cell r="Z117">
            <v>195</v>
          </cell>
          <cell r="AA117">
            <v>165</v>
          </cell>
          <cell r="AB117">
            <v>30</v>
          </cell>
          <cell r="AC117">
            <v>0</v>
          </cell>
          <cell r="AD117">
            <v>0</v>
          </cell>
          <cell r="AE117">
            <v>0</v>
          </cell>
          <cell r="AF117">
            <v>5165</v>
          </cell>
          <cell r="AG117">
            <v>1040</v>
          </cell>
          <cell r="AH117">
            <v>2955</v>
          </cell>
          <cell r="AI117">
            <v>150</v>
          </cell>
          <cell r="AJ117">
            <v>0</v>
          </cell>
          <cell r="AK117">
            <v>1020</v>
          </cell>
          <cell r="AL117">
            <v>1720</v>
          </cell>
          <cell r="AM117">
            <v>50</v>
          </cell>
          <cell r="AN117">
            <v>1670</v>
          </cell>
          <cell r="AO117">
            <v>11550</v>
          </cell>
          <cell r="AP117">
            <v>0</v>
          </cell>
          <cell r="AQ117">
            <v>0</v>
          </cell>
          <cell r="AR117">
            <v>1885</v>
          </cell>
          <cell r="AS117">
            <v>0</v>
          </cell>
          <cell r="AT117">
            <v>1580</v>
          </cell>
          <cell r="AU117">
            <v>1320</v>
          </cell>
          <cell r="AV117">
            <v>0</v>
          </cell>
          <cell r="AW117">
            <v>0</v>
          </cell>
          <cell r="AX117">
            <v>1515</v>
          </cell>
          <cell r="AY117">
            <v>500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2385</v>
          </cell>
          <cell r="BG117">
            <v>2365</v>
          </cell>
          <cell r="BH117">
            <v>0</v>
          </cell>
          <cell r="BI117">
            <v>0</v>
          </cell>
          <cell r="BJ117">
            <v>8592210</v>
          </cell>
          <cell r="BK117">
            <v>10496</v>
          </cell>
          <cell r="BL117">
            <v>8581714</v>
          </cell>
        </row>
        <row r="118">
          <cell r="B118" t="str">
            <v>TAB101</v>
          </cell>
          <cell r="C118">
            <v>27360</v>
          </cell>
          <cell r="D118">
            <v>17670</v>
          </cell>
          <cell r="E118">
            <v>10980</v>
          </cell>
          <cell r="F118">
            <v>1290</v>
          </cell>
          <cell r="G118">
            <v>16380</v>
          </cell>
          <cell r="H118">
            <v>16380</v>
          </cell>
          <cell r="I118">
            <v>180</v>
          </cell>
          <cell r="J118">
            <v>180</v>
          </cell>
          <cell r="K118">
            <v>180</v>
          </cell>
          <cell r="L118">
            <v>30</v>
          </cell>
          <cell r="M118">
            <v>150</v>
          </cell>
          <cell r="N118">
            <v>0</v>
          </cell>
          <cell r="O118">
            <v>16200</v>
          </cell>
          <cell r="P118">
            <v>16200</v>
          </cell>
          <cell r="Q118">
            <v>6340</v>
          </cell>
          <cell r="R118">
            <v>6340</v>
          </cell>
          <cell r="S118">
            <v>9860</v>
          </cell>
          <cell r="T118">
            <v>9860</v>
          </cell>
          <cell r="U118">
            <v>2375</v>
          </cell>
          <cell r="V118">
            <v>1385</v>
          </cell>
          <cell r="W118">
            <v>0</v>
          </cell>
          <cell r="X118">
            <v>60</v>
          </cell>
          <cell r="Y118">
            <v>930</v>
          </cell>
          <cell r="Z118">
            <v>195</v>
          </cell>
          <cell r="AA118">
            <v>165</v>
          </cell>
          <cell r="AB118">
            <v>30</v>
          </cell>
          <cell r="AC118">
            <v>0</v>
          </cell>
          <cell r="AD118">
            <v>0</v>
          </cell>
          <cell r="AE118">
            <v>0</v>
          </cell>
          <cell r="AF118">
            <v>2390</v>
          </cell>
          <cell r="AG118">
            <v>625</v>
          </cell>
          <cell r="AH118">
            <v>1300</v>
          </cell>
          <cell r="AI118">
            <v>40</v>
          </cell>
          <cell r="AJ118">
            <v>0</v>
          </cell>
          <cell r="AK118">
            <v>425</v>
          </cell>
          <cell r="AL118">
            <v>165</v>
          </cell>
          <cell r="AM118">
            <v>0</v>
          </cell>
          <cell r="AN118">
            <v>165</v>
          </cell>
          <cell r="AO118">
            <v>4735</v>
          </cell>
          <cell r="AP118">
            <v>0</v>
          </cell>
          <cell r="AQ118">
            <v>0</v>
          </cell>
          <cell r="AR118">
            <v>1005</v>
          </cell>
          <cell r="AS118">
            <v>0</v>
          </cell>
          <cell r="AT118">
            <v>725</v>
          </cell>
          <cell r="AU118">
            <v>930</v>
          </cell>
          <cell r="AV118">
            <v>0</v>
          </cell>
          <cell r="AW118">
            <v>0</v>
          </cell>
          <cell r="AX118">
            <v>220</v>
          </cell>
          <cell r="AY118">
            <v>210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1000</v>
          </cell>
          <cell r="BG118">
            <v>645</v>
          </cell>
          <cell r="BH118">
            <v>0</v>
          </cell>
          <cell r="BI118">
            <v>0</v>
          </cell>
          <cell r="BJ118">
            <v>5982655</v>
          </cell>
          <cell r="BK118">
            <v>5783</v>
          </cell>
          <cell r="BL118">
            <v>5976872</v>
          </cell>
        </row>
        <row r="119">
          <cell r="B119" t="str">
            <v>TAB105</v>
          </cell>
          <cell r="C119">
            <v>27360</v>
          </cell>
          <cell r="D119">
            <v>17670</v>
          </cell>
          <cell r="E119">
            <v>11790</v>
          </cell>
          <cell r="F119">
            <v>2100</v>
          </cell>
          <cell r="G119">
            <v>15570</v>
          </cell>
          <cell r="H119">
            <v>15570</v>
          </cell>
          <cell r="I119">
            <v>650</v>
          </cell>
          <cell r="J119">
            <v>650</v>
          </cell>
          <cell r="K119">
            <v>650</v>
          </cell>
          <cell r="L119">
            <v>120</v>
          </cell>
          <cell r="M119">
            <v>530</v>
          </cell>
          <cell r="N119">
            <v>0</v>
          </cell>
          <cell r="O119">
            <v>14920</v>
          </cell>
          <cell r="P119">
            <v>14920</v>
          </cell>
          <cell r="Q119">
            <v>4200</v>
          </cell>
          <cell r="R119">
            <v>4200</v>
          </cell>
          <cell r="S119">
            <v>10720</v>
          </cell>
          <cell r="T119">
            <v>10720</v>
          </cell>
          <cell r="U119">
            <v>1920</v>
          </cell>
          <cell r="V119">
            <v>1340</v>
          </cell>
          <cell r="W119">
            <v>0</v>
          </cell>
          <cell r="X119">
            <v>0</v>
          </cell>
          <cell r="Y119">
            <v>580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1770</v>
          </cell>
          <cell r="AG119">
            <v>225</v>
          </cell>
          <cell r="AH119">
            <v>1265</v>
          </cell>
          <cell r="AI119">
            <v>45</v>
          </cell>
          <cell r="AJ119">
            <v>0</v>
          </cell>
          <cell r="AK119">
            <v>235</v>
          </cell>
          <cell r="AL119">
            <v>1555</v>
          </cell>
          <cell r="AM119">
            <v>50</v>
          </cell>
          <cell r="AN119">
            <v>1505</v>
          </cell>
          <cell r="AO119">
            <v>5475</v>
          </cell>
          <cell r="AP119">
            <v>0</v>
          </cell>
          <cell r="AQ119">
            <v>0</v>
          </cell>
          <cell r="AR119">
            <v>700</v>
          </cell>
          <cell r="AS119">
            <v>0</v>
          </cell>
          <cell r="AT119">
            <v>680</v>
          </cell>
          <cell r="AU119">
            <v>90</v>
          </cell>
          <cell r="AV119">
            <v>0</v>
          </cell>
          <cell r="AW119">
            <v>0</v>
          </cell>
          <cell r="AX119">
            <v>1145</v>
          </cell>
          <cell r="AY119">
            <v>270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920</v>
          </cell>
          <cell r="BG119">
            <v>1670</v>
          </cell>
          <cell r="BH119">
            <v>0</v>
          </cell>
          <cell r="BI119">
            <v>0</v>
          </cell>
          <cell r="BJ119">
            <v>1976334</v>
          </cell>
          <cell r="BK119">
            <v>1261</v>
          </cell>
          <cell r="BL119">
            <v>1975073</v>
          </cell>
        </row>
        <row r="120">
          <cell r="B120" t="str">
            <v>TAB103</v>
          </cell>
          <cell r="C120">
            <v>27360</v>
          </cell>
          <cell r="D120">
            <v>9120</v>
          </cell>
          <cell r="E120">
            <v>23100</v>
          </cell>
          <cell r="F120">
            <v>4860</v>
          </cell>
          <cell r="G120">
            <v>4260</v>
          </cell>
          <cell r="H120">
            <v>4260</v>
          </cell>
          <cell r="I120">
            <v>655</v>
          </cell>
          <cell r="J120">
            <v>655</v>
          </cell>
          <cell r="K120">
            <v>655</v>
          </cell>
          <cell r="L120">
            <v>215</v>
          </cell>
          <cell r="M120">
            <v>440</v>
          </cell>
          <cell r="N120">
            <v>0</v>
          </cell>
          <cell r="O120">
            <v>3605</v>
          </cell>
          <cell r="P120">
            <v>3605</v>
          </cell>
          <cell r="Q120">
            <v>770</v>
          </cell>
          <cell r="R120">
            <v>770</v>
          </cell>
          <cell r="S120">
            <v>2835</v>
          </cell>
          <cell r="T120">
            <v>2835</v>
          </cell>
          <cell r="U120">
            <v>490</v>
          </cell>
          <cell r="V120">
            <v>230</v>
          </cell>
          <cell r="W120">
            <v>0</v>
          </cell>
          <cell r="X120">
            <v>120</v>
          </cell>
          <cell r="Y120">
            <v>140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1005</v>
          </cell>
          <cell r="AG120">
            <v>190</v>
          </cell>
          <cell r="AH120">
            <v>390</v>
          </cell>
          <cell r="AI120">
            <v>65</v>
          </cell>
          <cell r="AJ120">
            <v>0</v>
          </cell>
          <cell r="AK120">
            <v>360</v>
          </cell>
          <cell r="AL120">
            <v>0</v>
          </cell>
          <cell r="AM120">
            <v>0</v>
          </cell>
          <cell r="AN120">
            <v>0</v>
          </cell>
          <cell r="AO120">
            <v>1340</v>
          </cell>
          <cell r="AP120">
            <v>0</v>
          </cell>
          <cell r="AQ120">
            <v>0</v>
          </cell>
          <cell r="AR120">
            <v>180</v>
          </cell>
          <cell r="AS120">
            <v>0</v>
          </cell>
          <cell r="AT120">
            <v>175</v>
          </cell>
          <cell r="AU120">
            <v>300</v>
          </cell>
          <cell r="AV120">
            <v>0</v>
          </cell>
          <cell r="AW120">
            <v>0</v>
          </cell>
          <cell r="AX120">
            <v>150</v>
          </cell>
          <cell r="AY120">
            <v>20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465</v>
          </cell>
          <cell r="BG120">
            <v>50</v>
          </cell>
          <cell r="BH120">
            <v>0</v>
          </cell>
          <cell r="BI120">
            <v>0</v>
          </cell>
          <cell r="BJ120">
            <v>633221</v>
          </cell>
          <cell r="BK120">
            <v>3452</v>
          </cell>
          <cell r="BL120">
            <v>629769</v>
          </cell>
        </row>
        <row r="121">
          <cell r="B121" t="str">
            <v>NBL SOL-CAPSULE</v>
          </cell>
          <cell r="C121">
            <v>54720</v>
          </cell>
          <cell r="D121">
            <v>18240</v>
          </cell>
          <cell r="E121">
            <v>54210</v>
          </cell>
          <cell r="F121">
            <v>17730</v>
          </cell>
          <cell r="G121">
            <v>510</v>
          </cell>
          <cell r="H121">
            <v>510</v>
          </cell>
          <cell r="I121">
            <v>285</v>
          </cell>
          <cell r="J121">
            <v>285</v>
          </cell>
          <cell r="K121">
            <v>285</v>
          </cell>
          <cell r="L121">
            <v>0</v>
          </cell>
          <cell r="M121">
            <v>285</v>
          </cell>
          <cell r="N121">
            <v>0</v>
          </cell>
          <cell r="O121">
            <v>225</v>
          </cell>
          <cell r="P121">
            <v>225</v>
          </cell>
          <cell r="Q121">
            <v>0</v>
          </cell>
          <cell r="R121">
            <v>0</v>
          </cell>
          <cell r="S121">
            <v>225</v>
          </cell>
          <cell r="T121">
            <v>225</v>
          </cell>
          <cell r="U121">
            <v>170</v>
          </cell>
          <cell r="V121">
            <v>170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40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40</v>
          </cell>
          <cell r="AL121">
            <v>0</v>
          </cell>
          <cell r="AM121">
            <v>0</v>
          </cell>
          <cell r="AN121">
            <v>0</v>
          </cell>
          <cell r="AO121">
            <v>15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15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</row>
        <row r="122">
          <cell r="B122" t="str">
            <v>KAP101</v>
          </cell>
          <cell r="C122">
            <v>27360</v>
          </cell>
          <cell r="D122">
            <v>9120</v>
          </cell>
          <cell r="E122">
            <v>26850</v>
          </cell>
          <cell r="F122">
            <v>8610</v>
          </cell>
          <cell r="G122">
            <v>510</v>
          </cell>
          <cell r="H122">
            <v>510</v>
          </cell>
          <cell r="I122">
            <v>285</v>
          </cell>
          <cell r="J122">
            <v>285</v>
          </cell>
          <cell r="K122">
            <v>285</v>
          </cell>
          <cell r="L122">
            <v>0</v>
          </cell>
          <cell r="M122">
            <v>285</v>
          </cell>
          <cell r="N122">
            <v>0</v>
          </cell>
          <cell r="O122">
            <v>225</v>
          </cell>
          <cell r="P122">
            <v>225</v>
          </cell>
          <cell r="Q122">
            <v>0</v>
          </cell>
          <cell r="R122">
            <v>0</v>
          </cell>
          <cell r="S122">
            <v>225</v>
          </cell>
          <cell r="T122">
            <v>225</v>
          </cell>
          <cell r="U122">
            <v>170</v>
          </cell>
          <cell r="V122">
            <v>170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40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40</v>
          </cell>
          <cell r="AL122">
            <v>0</v>
          </cell>
          <cell r="AM122">
            <v>0</v>
          </cell>
          <cell r="AN122">
            <v>0</v>
          </cell>
          <cell r="AO122">
            <v>15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15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</row>
        <row r="123">
          <cell r="B123" t="str">
            <v>KAP103</v>
          </cell>
          <cell r="C123">
            <v>27360</v>
          </cell>
          <cell r="D123">
            <v>9120</v>
          </cell>
          <cell r="E123">
            <v>27360</v>
          </cell>
          <cell r="F123">
            <v>9120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/>
          <cell r="R123"/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</row>
        <row r="124">
          <cell r="B124" t="str">
            <v>NBL SOL-STRIPPING</v>
          </cell>
          <cell r="C124">
            <v>141120</v>
          </cell>
          <cell r="D124">
            <v>65040</v>
          </cell>
          <cell r="E124">
            <v>85260</v>
          </cell>
          <cell r="F124">
            <v>9180</v>
          </cell>
          <cell r="G124">
            <v>55860</v>
          </cell>
          <cell r="H124">
            <v>55860</v>
          </cell>
          <cell r="I124">
            <v>2850</v>
          </cell>
          <cell r="J124">
            <v>2850</v>
          </cell>
          <cell r="K124">
            <v>2850</v>
          </cell>
          <cell r="L124">
            <v>0</v>
          </cell>
          <cell r="M124">
            <v>2850</v>
          </cell>
          <cell r="N124">
            <v>0</v>
          </cell>
          <cell r="O124">
            <v>53010</v>
          </cell>
          <cell r="P124">
            <v>53010</v>
          </cell>
          <cell r="Q124">
            <v>18100</v>
          </cell>
          <cell r="R124">
            <v>18100</v>
          </cell>
          <cell r="S124">
            <v>34910</v>
          </cell>
          <cell r="T124">
            <v>34910</v>
          </cell>
          <cell r="U124">
            <v>7260</v>
          </cell>
          <cell r="V124">
            <v>4285</v>
          </cell>
          <cell r="W124">
            <v>0</v>
          </cell>
          <cell r="X124">
            <v>2870</v>
          </cell>
          <cell r="Y124">
            <v>105</v>
          </cell>
          <cell r="Z124">
            <v>115</v>
          </cell>
          <cell r="AA124">
            <v>85</v>
          </cell>
          <cell r="AB124">
            <v>30</v>
          </cell>
          <cell r="AC124">
            <v>0</v>
          </cell>
          <cell r="AD124">
            <v>0</v>
          </cell>
          <cell r="AE124">
            <v>0</v>
          </cell>
          <cell r="AF124">
            <v>12705</v>
          </cell>
          <cell r="AG124">
            <v>7200</v>
          </cell>
          <cell r="AH124">
            <v>2005</v>
          </cell>
          <cell r="AI124">
            <v>2655</v>
          </cell>
          <cell r="AJ124">
            <v>0</v>
          </cell>
          <cell r="AK124">
            <v>845</v>
          </cell>
          <cell r="AL124">
            <v>3270</v>
          </cell>
          <cell r="AM124">
            <v>0</v>
          </cell>
          <cell r="AN124">
            <v>3270</v>
          </cell>
          <cell r="AO124">
            <v>11560</v>
          </cell>
          <cell r="AP124">
            <v>0</v>
          </cell>
          <cell r="AQ124">
            <v>0</v>
          </cell>
          <cell r="AR124">
            <v>2980</v>
          </cell>
          <cell r="AS124">
            <v>0</v>
          </cell>
          <cell r="AT124">
            <v>2515</v>
          </cell>
          <cell r="AU124">
            <v>2215</v>
          </cell>
          <cell r="AV124">
            <v>0</v>
          </cell>
          <cell r="AW124">
            <v>0</v>
          </cell>
          <cell r="AX124">
            <v>145</v>
          </cell>
          <cell r="AY124">
            <v>1665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1870</v>
          </cell>
          <cell r="BG124">
            <v>170</v>
          </cell>
          <cell r="BH124">
            <v>0</v>
          </cell>
          <cell r="BI124">
            <v>0</v>
          </cell>
          <cell r="BJ124">
            <v>10310207</v>
          </cell>
          <cell r="BK124">
            <v>48650</v>
          </cell>
          <cell r="BL124">
            <v>10261557</v>
          </cell>
        </row>
        <row r="125">
          <cell r="B125" t="str">
            <v>STR105</v>
          </cell>
          <cell r="C125">
            <v>27360</v>
          </cell>
          <cell r="D125">
            <v>9120</v>
          </cell>
          <cell r="E125">
            <v>17610</v>
          </cell>
          <cell r="F125">
            <v>-630</v>
          </cell>
          <cell r="G125">
            <v>9750</v>
          </cell>
          <cell r="H125">
            <v>9750</v>
          </cell>
          <cell r="I125">
            <v>510</v>
          </cell>
          <cell r="J125">
            <v>510</v>
          </cell>
          <cell r="K125">
            <v>510</v>
          </cell>
          <cell r="L125">
            <v>0</v>
          </cell>
          <cell r="M125">
            <v>510</v>
          </cell>
          <cell r="N125">
            <v>0</v>
          </cell>
          <cell r="O125">
            <v>9240</v>
          </cell>
          <cell r="P125">
            <v>9240</v>
          </cell>
          <cell r="Q125">
            <v>2845</v>
          </cell>
          <cell r="R125">
            <v>2845</v>
          </cell>
          <cell r="S125">
            <v>6395</v>
          </cell>
          <cell r="T125">
            <v>6395</v>
          </cell>
          <cell r="U125">
            <v>1405</v>
          </cell>
          <cell r="V125">
            <v>895</v>
          </cell>
          <cell r="W125">
            <v>0</v>
          </cell>
          <cell r="X125">
            <v>510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1745</v>
          </cell>
          <cell r="AG125">
            <v>950</v>
          </cell>
          <cell r="AH125">
            <v>275</v>
          </cell>
          <cell r="AI125">
            <v>425</v>
          </cell>
          <cell r="AJ125">
            <v>0</v>
          </cell>
          <cell r="AK125">
            <v>95</v>
          </cell>
          <cell r="AL125">
            <v>1110</v>
          </cell>
          <cell r="AM125">
            <v>0</v>
          </cell>
          <cell r="AN125">
            <v>1110</v>
          </cell>
          <cell r="AO125">
            <v>2135</v>
          </cell>
          <cell r="AP125">
            <v>0</v>
          </cell>
          <cell r="AQ125">
            <v>0</v>
          </cell>
          <cell r="AR125">
            <v>480</v>
          </cell>
          <cell r="AS125">
            <v>0</v>
          </cell>
          <cell r="AT125">
            <v>420</v>
          </cell>
          <cell r="AU125">
            <v>350</v>
          </cell>
          <cell r="AV125">
            <v>0</v>
          </cell>
          <cell r="AW125">
            <v>0</v>
          </cell>
          <cell r="AX125">
            <v>0</v>
          </cell>
          <cell r="AY125">
            <v>360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525</v>
          </cell>
          <cell r="BG125">
            <v>0</v>
          </cell>
          <cell r="BH125">
            <v>0</v>
          </cell>
          <cell r="BI125">
            <v>0</v>
          </cell>
          <cell r="BJ125">
            <v>1002292</v>
          </cell>
          <cell r="BK125">
            <v>7520</v>
          </cell>
          <cell r="BL125">
            <v>994772</v>
          </cell>
        </row>
        <row r="126">
          <cell r="B126" t="str">
            <v>STR102</v>
          </cell>
          <cell r="C126">
            <v>28800</v>
          </cell>
          <cell r="D126">
            <v>18600</v>
          </cell>
          <cell r="E126">
            <v>13380</v>
          </cell>
          <cell r="F126">
            <v>3180</v>
          </cell>
          <cell r="G126">
            <v>15420</v>
          </cell>
          <cell r="H126">
            <v>15420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15420</v>
          </cell>
          <cell r="P126">
            <v>15420</v>
          </cell>
          <cell r="Q126">
            <v>4665</v>
          </cell>
          <cell r="R126">
            <v>4665</v>
          </cell>
          <cell r="S126">
            <v>10755</v>
          </cell>
          <cell r="T126">
            <v>10755</v>
          </cell>
          <cell r="U126">
            <v>2675</v>
          </cell>
          <cell r="V126">
            <v>1610</v>
          </cell>
          <cell r="W126">
            <v>0</v>
          </cell>
          <cell r="X126">
            <v>1065</v>
          </cell>
          <cell r="Y126">
            <v>0</v>
          </cell>
          <cell r="Z126">
            <v>70</v>
          </cell>
          <cell r="AA126">
            <v>40</v>
          </cell>
          <cell r="AB126">
            <v>30</v>
          </cell>
          <cell r="AC126">
            <v>0</v>
          </cell>
          <cell r="AD126">
            <v>0</v>
          </cell>
          <cell r="AE126">
            <v>0</v>
          </cell>
          <cell r="AF126">
            <v>3485</v>
          </cell>
          <cell r="AG126">
            <v>1435</v>
          </cell>
          <cell r="AH126">
            <v>1070</v>
          </cell>
          <cell r="AI126">
            <v>700</v>
          </cell>
          <cell r="AJ126">
            <v>0</v>
          </cell>
          <cell r="AK126">
            <v>280</v>
          </cell>
          <cell r="AL126">
            <v>1680</v>
          </cell>
          <cell r="AM126">
            <v>0</v>
          </cell>
          <cell r="AN126">
            <v>1680</v>
          </cell>
          <cell r="AO126">
            <v>2845</v>
          </cell>
          <cell r="AP126">
            <v>0</v>
          </cell>
          <cell r="AQ126">
            <v>0</v>
          </cell>
          <cell r="AR126">
            <v>880</v>
          </cell>
          <cell r="AS126">
            <v>0</v>
          </cell>
          <cell r="AT126">
            <v>725</v>
          </cell>
          <cell r="AU126">
            <v>110</v>
          </cell>
          <cell r="AV126">
            <v>0</v>
          </cell>
          <cell r="AW126">
            <v>0</v>
          </cell>
          <cell r="AX126">
            <v>145</v>
          </cell>
          <cell r="AY126">
            <v>475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510</v>
          </cell>
          <cell r="BG126">
            <v>0</v>
          </cell>
          <cell r="BH126">
            <v>0</v>
          </cell>
          <cell r="BI126">
            <v>0</v>
          </cell>
          <cell r="BJ126">
            <v>5500199</v>
          </cell>
          <cell r="BK126">
            <v>24273</v>
          </cell>
          <cell r="BL126">
            <v>5475926</v>
          </cell>
        </row>
        <row r="127">
          <cell r="B127" t="str">
            <v>STR104</v>
          </cell>
          <cell r="C127">
            <v>27360</v>
          </cell>
          <cell r="D127">
            <v>9120</v>
          </cell>
          <cell r="E127">
            <v>19560</v>
          </cell>
          <cell r="F127">
            <v>1320</v>
          </cell>
          <cell r="G127">
            <v>7800</v>
          </cell>
          <cell r="H127">
            <v>7800</v>
          </cell>
          <cell r="I127">
            <v>945</v>
          </cell>
          <cell r="J127">
            <v>945</v>
          </cell>
          <cell r="K127">
            <v>945</v>
          </cell>
          <cell r="L127">
            <v>0</v>
          </cell>
          <cell r="M127">
            <v>945</v>
          </cell>
          <cell r="N127">
            <v>0</v>
          </cell>
          <cell r="O127">
            <v>6855</v>
          </cell>
          <cell r="P127">
            <v>6855</v>
          </cell>
          <cell r="Q127">
            <v>3380</v>
          </cell>
          <cell r="R127">
            <v>3380</v>
          </cell>
          <cell r="S127">
            <v>3475</v>
          </cell>
          <cell r="T127">
            <v>3475</v>
          </cell>
          <cell r="U127">
            <v>90</v>
          </cell>
          <cell r="V127">
            <v>50</v>
          </cell>
          <cell r="W127">
            <v>0</v>
          </cell>
          <cell r="X127">
            <v>40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1905</v>
          </cell>
          <cell r="AG127">
            <v>1130</v>
          </cell>
          <cell r="AH127">
            <v>175</v>
          </cell>
          <cell r="AI127">
            <v>450</v>
          </cell>
          <cell r="AJ127">
            <v>0</v>
          </cell>
          <cell r="AK127">
            <v>150</v>
          </cell>
          <cell r="AL127">
            <v>0</v>
          </cell>
          <cell r="AM127">
            <v>0</v>
          </cell>
          <cell r="AN127">
            <v>0</v>
          </cell>
          <cell r="AO127">
            <v>1480</v>
          </cell>
          <cell r="AP127">
            <v>0</v>
          </cell>
          <cell r="AQ127">
            <v>0</v>
          </cell>
          <cell r="AR127">
            <v>390</v>
          </cell>
          <cell r="AS127">
            <v>0</v>
          </cell>
          <cell r="AT127">
            <v>245</v>
          </cell>
          <cell r="AU127">
            <v>500</v>
          </cell>
          <cell r="AV127">
            <v>0</v>
          </cell>
          <cell r="AW127">
            <v>0</v>
          </cell>
          <cell r="AX127">
            <v>0</v>
          </cell>
          <cell r="AY127">
            <v>155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65</v>
          </cell>
          <cell r="BG127">
            <v>125</v>
          </cell>
          <cell r="BH127">
            <v>0</v>
          </cell>
          <cell r="BI127">
            <v>0</v>
          </cell>
          <cell r="BJ127">
            <v>20708</v>
          </cell>
          <cell r="BK127">
            <v>79</v>
          </cell>
          <cell r="BL127">
            <v>20629</v>
          </cell>
        </row>
        <row r="128">
          <cell r="B128" t="str">
            <v>STR103</v>
          </cell>
          <cell r="C128">
            <v>28800</v>
          </cell>
          <cell r="D128">
            <v>9600</v>
          </cell>
          <cell r="E128">
            <v>22230</v>
          </cell>
          <cell r="F128">
            <v>3030</v>
          </cell>
          <cell r="G128">
            <v>6570</v>
          </cell>
          <cell r="H128">
            <v>6570</v>
          </cell>
          <cell r="I128">
            <v>715</v>
          </cell>
          <cell r="J128">
            <v>715</v>
          </cell>
          <cell r="K128">
            <v>715</v>
          </cell>
          <cell r="L128">
            <v>0</v>
          </cell>
          <cell r="M128">
            <v>715</v>
          </cell>
          <cell r="N128">
            <v>0</v>
          </cell>
          <cell r="O128">
            <v>5855</v>
          </cell>
          <cell r="P128">
            <v>5855</v>
          </cell>
          <cell r="Q128">
            <v>1905</v>
          </cell>
          <cell r="R128">
            <v>1905</v>
          </cell>
          <cell r="S128">
            <v>3950</v>
          </cell>
          <cell r="T128">
            <v>3950</v>
          </cell>
          <cell r="U128">
            <v>705</v>
          </cell>
          <cell r="V128">
            <v>525</v>
          </cell>
          <cell r="W128">
            <v>0</v>
          </cell>
          <cell r="X128">
            <v>180</v>
          </cell>
          <cell r="Y128">
            <v>0</v>
          </cell>
          <cell r="Z128">
            <v>25</v>
          </cell>
          <cell r="AA128">
            <v>25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1035</v>
          </cell>
          <cell r="AG128">
            <v>495</v>
          </cell>
          <cell r="AH128">
            <v>130</v>
          </cell>
          <cell r="AI128">
            <v>330</v>
          </cell>
          <cell r="AJ128">
            <v>0</v>
          </cell>
          <cell r="AK128">
            <v>80</v>
          </cell>
          <cell r="AL128">
            <v>480</v>
          </cell>
          <cell r="AM128">
            <v>0</v>
          </cell>
          <cell r="AN128">
            <v>480</v>
          </cell>
          <cell r="AO128">
            <v>1705</v>
          </cell>
          <cell r="AP128">
            <v>0</v>
          </cell>
          <cell r="AQ128">
            <v>0</v>
          </cell>
          <cell r="AR128">
            <v>270</v>
          </cell>
          <cell r="AS128">
            <v>0</v>
          </cell>
          <cell r="AT128">
            <v>255</v>
          </cell>
          <cell r="AU128">
            <v>760</v>
          </cell>
          <cell r="AV128">
            <v>0</v>
          </cell>
          <cell r="AW128">
            <v>0</v>
          </cell>
          <cell r="AX128">
            <v>0</v>
          </cell>
          <cell r="AY128">
            <v>185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235</v>
          </cell>
          <cell r="BG128">
            <v>0</v>
          </cell>
          <cell r="BH128">
            <v>0</v>
          </cell>
          <cell r="BI128">
            <v>0</v>
          </cell>
          <cell r="BJ128">
            <v>1031542</v>
          </cell>
          <cell r="BK128">
            <v>5132</v>
          </cell>
          <cell r="BL128">
            <v>1026410</v>
          </cell>
        </row>
        <row r="129">
          <cell r="B129" t="str">
            <v>STR101</v>
          </cell>
          <cell r="C129">
            <v>28800</v>
          </cell>
          <cell r="D129">
            <v>18600</v>
          </cell>
          <cell r="E129">
            <v>12480</v>
          </cell>
          <cell r="F129">
            <v>2280</v>
          </cell>
          <cell r="G129">
            <v>16320</v>
          </cell>
          <cell r="H129">
            <v>16320</v>
          </cell>
          <cell r="I129">
            <v>680</v>
          </cell>
          <cell r="J129">
            <v>680</v>
          </cell>
          <cell r="K129">
            <v>680</v>
          </cell>
          <cell r="L129">
            <v>0</v>
          </cell>
          <cell r="M129">
            <v>680</v>
          </cell>
          <cell r="N129">
            <v>0</v>
          </cell>
          <cell r="O129">
            <v>15640</v>
          </cell>
          <cell r="P129">
            <v>15640</v>
          </cell>
          <cell r="Q129">
            <v>5305</v>
          </cell>
          <cell r="R129">
            <v>5305</v>
          </cell>
          <cell r="S129">
            <v>10335</v>
          </cell>
          <cell r="T129">
            <v>10335</v>
          </cell>
          <cell r="U129">
            <v>2385</v>
          </cell>
          <cell r="V129">
            <v>1205</v>
          </cell>
          <cell r="W129">
            <v>0</v>
          </cell>
          <cell r="X129">
            <v>1075</v>
          </cell>
          <cell r="Y129">
            <v>105</v>
          </cell>
          <cell r="Z129">
            <v>20</v>
          </cell>
          <cell r="AA129">
            <v>20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4535</v>
          </cell>
          <cell r="AG129">
            <v>3190</v>
          </cell>
          <cell r="AH129">
            <v>355</v>
          </cell>
          <cell r="AI129">
            <v>750</v>
          </cell>
          <cell r="AJ129">
            <v>0</v>
          </cell>
          <cell r="AK129">
            <v>240</v>
          </cell>
          <cell r="AL129">
            <v>0</v>
          </cell>
          <cell r="AM129">
            <v>0</v>
          </cell>
          <cell r="AN129">
            <v>0</v>
          </cell>
          <cell r="AO129">
            <v>3395</v>
          </cell>
          <cell r="AP129">
            <v>0</v>
          </cell>
          <cell r="AQ129">
            <v>0</v>
          </cell>
          <cell r="AR129">
            <v>960</v>
          </cell>
          <cell r="AS129">
            <v>0</v>
          </cell>
          <cell r="AT129">
            <v>870</v>
          </cell>
          <cell r="AU129">
            <v>495</v>
          </cell>
          <cell r="AV129">
            <v>0</v>
          </cell>
          <cell r="AW129">
            <v>0</v>
          </cell>
          <cell r="AX129">
            <v>0</v>
          </cell>
          <cell r="AY129">
            <v>490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535</v>
          </cell>
          <cell r="BG129">
            <v>45</v>
          </cell>
          <cell r="BH129">
            <v>0</v>
          </cell>
          <cell r="BI129">
            <v>0</v>
          </cell>
          <cell r="BJ129">
            <v>2755466</v>
          </cell>
          <cell r="BK129">
            <v>11646</v>
          </cell>
          <cell r="BL129">
            <v>2743820</v>
          </cell>
        </row>
        <row r="130">
          <cell r="B130" t="str">
            <v>NBL SYR-MIXING</v>
          </cell>
          <cell r="C130">
            <v>27360</v>
          </cell>
          <cell r="D130">
            <v>17670</v>
          </cell>
          <cell r="E130">
            <v>21000</v>
          </cell>
          <cell r="F130">
            <v>11310</v>
          </cell>
          <cell r="G130">
            <v>6360</v>
          </cell>
          <cell r="H130">
            <v>6360</v>
          </cell>
          <cell r="I130">
            <v>646</v>
          </cell>
          <cell r="J130">
            <v>646</v>
          </cell>
          <cell r="K130">
            <v>646</v>
          </cell>
          <cell r="L130">
            <v>142</v>
          </cell>
          <cell r="M130">
            <v>504</v>
          </cell>
          <cell r="N130">
            <v>0</v>
          </cell>
          <cell r="O130">
            <v>5714</v>
          </cell>
          <cell r="P130">
            <v>5714</v>
          </cell>
          <cell r="Q130">
            <v>2391</v>
          </cell>
          <cell r="R130">
            <v>2391</v>
          </cell>
          <cell r="S130">
            <v>3323</v>
          </cell>
          <cell r="T130">
            <v>3323</v>
          </cell>
          <cell r="U130">
            <v>178</v>
          </cell>
          <cell r="V130">
            <v>178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1890</v>
          </cell>
          <cell r="AG130">
            <v>184</v>
          </cell>
          <cell r="AH130">
            <v>1706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1255</v>
          </cell>
          <cell r="AP130">
            <v>451</v>
          </cell>
          <cell r="AQ130">
            <v>0</v>
          </cell>
          <cell r="AR130">
            <v>180</v>
          </cell>
          <cell r="AS130">
            <v>40</v>
          </cell>
          <cell r="AT130">
            <v>140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36</v>
          </cell>
          <cell r="BG130">
            <v>408</v>
          </cell>
          <cell r="BH130">
            <v>0</v>
          </cell>
          <cell r="BI130">
            <v>0</v>
          </cell>
          <cell r="BJ130">
            <v>9325</v>
          </cell>
          <cell r="BK130">
            <v>1.3</v>
          </cell>
          <cell r="BL130">
            <v>9323.7000000000007</v>
          </cell>
        </row>
        <row r="131">
          <cell r="B131" t="str">
            <v>LMIXSYR1</v>
          </cell>
          <cell r="C131">
            <v>27360</v>
          </cell>
          <cell r="D131">
            <v>17670</v>
          </cell>
          <cell r="E131">
            <v>21000</v>
          </cell>
          <cell r="F131">
            <v>11310</v>
          </cell>
          <cell r="G131">
            <v>6360</v>
          </cell>
          <cell r="H131">
            <v>6360</v>
          </cell>
          <cell r="I131">
            <v>646</v>
          </cell>
          <cell r="J131">
            <v>646</v>
          </cell>
          <cell r="K131">
            <v>646</v>
          </cell>
          <cell r="L131">
            <v>142</v>
          </cell>
          <cell r="M131">
            <v>504</v>
          </cell>
          <cell r="N131">
            <v>0</v>
          </cell>
          <cell r="O131">
            <v>5714</v>
          </cell>
          <cell r="P131">
            <v>5714</v>
          </cell>
          <cell r="Q131">
            <v>2391</v>
          </cell>
          <cell r="R131">
            <v>2391</v>
          </cell>
          <cell r="S131">
            <v>3323</v>
          </cell>
          <cell r="T131">
            <v>3323</v>
          </cell>
          <cell r="U131">
            <v>178</v>
          </cell>
          <cell r="V131">
            <v>178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1890</v>
          </cell>
          <cell r="AG131">
            <v>184</v>
          </cell>
          <cell r="AH131">
            <v>1706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1255</v>
          </cell>
          <cell r="AP131">
            <v>451</v>
          </cell>
          <cell r="AQ131">
            <v>0</v>
          </cell>
          <cell r="AR131">
            <v>180</v>
          </cell>
          <cell r="AS131">
            <v>40</v>
          </cell>
          <cell r="AT131">
            <v>140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36</v>
          </cell>
          <cell r="BG131">
            <v>408</v>
          </cell>
          <cell r="BH131">
            <v>0</v>
          </cell>
          <cell r="BI131">
            <v>0</v>
          </cell>
          <cell r="BJ131">
            <v>9325</v>
          </cell>
          <cell r="BK131">
            <v>1.3</v>
          </cell>
          <cell r="BL131">
            <v>9323.7000000000007</v>
          </cell>
        </row>
        <row r="132">
          <cell r="B132" t="str">
            <v>NBL SYR-FILLING</v>
          </cell>
          <cell r="C132">
            <v>54720</v>
          </cell>
          <cell r="D132">
            <v>35340</v>
          </cell>
          <cell r="E132">
            <v>43140</v>
          </cell>
          <cell r="F132">
            <v>23760</v>
          </cell>
          <cell r="G132">
            <v>11580</v>
          </cell>
          <cell r="H132">
            <v>11580</v>
          </cell>
          <cell r="I132">
            <v>1620</v>
          </cell>
          <cell r="J132">
            <v>1620</v>
          </cell>
          <cell r="K132">
            <v>1620</v>
          </cell>
          <cell r="L132">
            <v>0</v>
          </cell>
          <cell r="M132">
            <v>1620</v>
          </cell>
          <cell r="N132">
            <v>0</v>
          </cell>
          <cell r="O132">
            <v>9960</v>
          </cell>
          <cell r="P132">
            <v>9960</v>
          </cell>
          <cell r="Q132">
            <v>2890</v>
          </cell>
          <cell r="R132">
            <v>2890</v>
          </cell>
          <cell r="S132">
            <v>7070</v>
          </cell>
          <cell r="T132">
            <v>7070</v>
          </cell>
          <cell r="U132">
            <v>640</v>
          </cell>
          <cell r="V132">
            <v>525</v>
          </cell>
          <cell r="W132">
            <v>0</v>
          </cell>
          <cell r="X132">
            <v>95</v>
          </cell>
          <cell r="Y132">
            <v>20</v>
          </cell>
          <cell r="Z132">
            <v>165</v>
          </cell>
          <cell r="AA132">
            <v>150</v>
          </cell>
          <cell r="AB132">
            <v>0</v>
          </cell>
          <cell r="AC132">
            <v>0</v>
          </cell>
          <cell r="AD132">
            <v>0</v>
          </cell>
          <cell r="AE132">
            <v>15</v>
          </cell>
          <cell r="AF132">
            <v>2620</v>
          </cell>
          <cell r="AG132">
            <v>225</v>
          </cell>
          <cell r="AH132">
            <v>1300</v>
          </cell>
          <cell r="AI132">
            <v>0</v>
          </cell>
          <cell r="AJ132">
            <v>0</v>
          </cell>
          <cell r="AK132">
            <v>1095</v>
          </cell>
          <cell r="AL132">
            <v>1155</v>
          </cell>
          <cell r="AM132">
            <v>645</v>
          </cell>
          <cell r="AN132">
            <v>510</v>
          </cell>
          <cell r="AO132">
            <v>2490</v>
          </cell>
          <cell r="AP132">
            <v>60</v>
          </cell>
          <cell r="AQ132">
            <v>0</v>
          </cell>
          <cell r="AR132">
            <v>540</v>
          </cell>
          <cell r="AS132">
            <v>85</v>
          </cell>
          <cell r="AT132">
            <v>375</v>
          </cell>
          <cell r="AU132">
            <v>0</v>
          </cell>
          <cell r="AV132">
            <v>0</v>
          </cell>
          <cell r="AW132">
            <v>0</v>
          </cell>
          <cell r="AX132">
            <v>1325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105</v>
          </cell>
          <cell r="BH132">
            <v>0</v>
          </cell>
          <cell r="BI132">
            <v>0</v>
          </cell>
          <cell r="BJ132">
            <v>156049</v>
          </cell>
          <cell r="BK132">
            <v>280</v>
          </cell>
          <cell r="BL132">
            <v>155769</v>
          </cell>
        </row>
        <row r="133">
          <cell r="B133" t="str">
            <v>SYR109</v>
          </cell>
          <cell r="C133">
            <v>27360</v>
          </cell>
          <cell r="D133">
            <v>17670</v>
          </cell>
          <cell r="E133">
            <v>18630</v>
          </cell>
          <cell r="F133">
            <v>8940</v>
          </cell>
          <cell r="G133">
            <v>8730</v>
          </cell>
          <cell r="H133">
            <v>8730</v>
          </cell>
          <cell r="I133">
            <v>1335</v>
          </cell>
          <cell r="J133">
            <v>1335</v>
          </cell>
          <cell r="K133">
            <v>1335</v>
          </cell>
          <cell r="L133">
            <v>0</v>
          </cell>
          <cell r="M133">
            <v>1335</v>
          </cell>
          <cell r="N133">
            <v>0</v>
          </cell>
          <cell r="O133">
            <v>7395</v>
          </cell>
          <cell r="P133">
            <v>7395</v>
          </cell>
          <cell r="Q133">
            <v>2075</v>
          </cell>
          <cell r="R133">
            <v>2075</v>
          </cell>
          <cell r="S133">
            <v>5320</v>
          </cell>
          <cell r="T133">
            <v>5320</v>
          </cell>
          <cell r="U133">
            <v>565</v>
          </cell>
          <cell r="V133">
            <v>495</v>
          </cell>
          <cell r="W133">
            <v>0</v>
          </cell>
          <cell r="X133">
            <v>60</v>
          </cell>
          <cell r="Y133">
            <v>10</v>
          </cell>
          <cell r="Z133">
            <v>150</v>
          </cell>
          <cell r="AA133">
            <v>150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2110</v>
          </cell>
          <cell r="AG133">
            <v>160</v>
          </cell>
          <cell r="AH133">
            <v>1075</v>
          </cell>
          <cell r="AI133">
            <v>0</v>
          </cell>
          <cell r="AJ133">
            <v>0</v>
          </cell>
          <cell r="AK133">
            <v>875</v>
          </cell>
          <cell r="AL133">
            <v>645</v>
          </cell>
          <cell r="AM133">
            <v>135</v>
          </cell>
          <cell r="AN133">
            <v>510</v>
          </cell>
          <cell r="AO133">
            <v>1850</v>
          </cell>
          <cell r="AP133">
            <v>60</v>
          </cell>
          <cell r="AQ133">
            <v>0</v>
          </cell>
          <cell r="AR133">
            <v>420</v>
          </cell>
          <cell r="AS133">
            <v>55</v>
          </cell>
          <cell r="AT133">
            <v>285</v>
          </cell>
          <cell r="AU133">
            <v>0</v>
          </cell>
          <cell r="AV133">
            <v>0</v>
          </cell>
          <cell r="AW133">
            <v>0</v>
          </cell>
          <cell r="AX133">
            <v>925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105</v>
          </cell>
          <cell r="BH133">
            <v>0</v>
          </cell>
          <cell r="BI133">
            <v>0</v>
          </cell>
          <cell r="BJ133">
            <v>111122</v>
          </cell>
          <cell r="BK133">
            <v>220</v>
          </cell>
          <cell r="BL133">
            <v>110902</v>
          </cell>
        </row>
        <row r="134">
          <cell r="B134" t="str">
            <v>SYR110</v>
          </cell>
          <cell r="C134">
            <v>27360</v>
          </cell>
          <cell r="D134">
            <v>17670</v>
          </cell>
          <cell r="E134">
            <v>24510</v>
          </cell>
          <cell r="F134">
            <v>14820</v>
          </cell>
          <cell r="G134">
            <v>2850</v>
          </cell>
          <cell r="H134">
            <v>2850</v>
          </cell>
          <cell r="I134">
            <v>285</v>
          </cell>
          <cell r="J134">
            <v>285</v>
          </cell>
          <cell r="K134">
            <v>285</v>
          </cell>
          <cell r="L134">
            <v>0</v>
          </cell>
          <cell r="M134">
            <v>285</v>
          </cell>
          <cell r="N134">
            <v>0</v>
          </cell>
          <cell r="O134">
            <v>2565</v>
          </cell>
          <cell r="P134">
            <v>2565</v>
          </cell>
          <cell r="Q134">
            <v>815</v>
          </cell>
          <cell r="R134">
            <v>815</v>
          </cell>
          <cell r="S134">
            <v>1750</v>
          </cell>
          <cell r="T134">
            <v>1750</v>
          </cell>
          <cell r="U134">
            <v>75</v>
          </cell>
          <cell r="V134">
            <v>30</v>
          </cell>
          <cell r="W134">
            <v>0</v>
          </cell>
          <cell r="X134">
            <v>35</v>
          </cell>
          <cell r="Y134">
            <v>10</v>
          </cell>
          <cell r="Z134">
            <v>15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15</v>
          </cell>
          <cell r="AF134">
            <v>510</v>
          </cell>
          <cell r="AG134">
            <v>65</v>
          </cell>
          <cell r="AH134">
            <v>225</v>
          </cell>
          <cell r="AI134">
            <v>0</v>
          </cell>
          <cell r="AJ134">
            <v>0</v>
          </cell>
          <cell r="AK134">
            <v>220</v>
          </cell>
          <cell r="AL134">
            <v>510</v>
          </cell>
          <cell r="AM134">
            <v>510</v>
          </cell>
          <cell r="AN134">
            <v>0</v>
          </cell>
          <cell r="AO134">
            <v>640</v>
          </cell>
          <cell r="AP134">
            <v>0</v>
          </cell>
          <cell r="AQ134">
            <v>0</v>
          </cell>
          <cell r="AR134">
            <v>120</v>
          </cell>
          <cell r="AS134">
            <v>30</v>
          </cell>
          <cell r="AT134">
            <v>90</v>
          </cell>
          <cell r="AU134">
            <v>0</v>
          </cell>
          <cell r="AV134">
            <v>0</v>
          </cell>
          <cell r="AW134">
            <v>0</v>
          </cell>
          <cell r="AX134">
            <v>400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44927</v>
          </cell>
          <cell r="BK134">
            <v>60</v>
          </cell>
          <cell r="BL134">
            <v>44867</v>
          </cell>
        </row>
        <row r="135">
          <cell r="B135" t="str">
            <v>NBL INJ-MIXING</v>
          </cell>
          <cell r="C135">
            <v>27360</v>
          </cell>
          <cell r="D135">
            <v>17670</v>
          </cell>
          <cell r="E135">
            <v>22590</v>
          </cell>
          <cell r="F135">
            <v>12900</v>
          </cell>
          <cell r="G135">
            <v>4770</v>
          </cell>
          <cell r="H135">
            <v>4770</v>
          </cell>
          <cell r="I135">
            <v>444</v>
          </cell>
          <cell r="J135">
            <v>444</v>
          </cell>
          <cell r="K135">
            <v>444</v>
          </cell>
          <cell r="L135">
            <v>0</v>
          </cell>
          <cell r="M135">
            <v>444</v>
          </cell>
          <cell r="N135">
            <v>0</v>
          </cell>
          <cell r="O135">
            <v>4326</v>
          </cell>
          <cell r="P135">
            <v>4326</v>
          </cell>
          <cell r="Q135">
            <v>1754</v>
          </cell>
          <cell r="R135">
            <v>1754</v>
          </cell>
          <cell r="S135">
            <v>2572</v>
          </cell>
          <cell r="T135">
            <v>2572</v>
          </cell>
          <cell r="U135">
            <v>120</v>
          </cell>
          <cell r="V135">
            <v>120</v>
          </cell>
          <cell r="W135">
            <v>0</v>
          </cell>
          <cell r="X135">
            <v>0</v>
          </cell>
          <cell r="Y135">
            <v>0</v>
          </cell>
          <cell r="Z135">
            <v>35</v>
          </cell>
          <cell r="AA135">
            <v>0</v>
          </cell>
          <cell r="AB135">
            <v>0</v>
          </cell>
          <cell r="AC135">
            <v>0</v>
          </cell>
          <cell r="AD135">
            <v>35</v>
          </cell>
          <cell r="AE135">
            <v>0</v>
          </cell>
          <cell r="AF135">
            <v>1184</v>
          </cell>
          <cell r="AG135">
            <v>338</v>
          </cell>
          <cell r="AH135">
            <v>610</v>
          </cell>
          <cell r="AI135">
            <v>0</v>
          </cell>
          <cell r="AJ135">
            <v>236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1233</v>
          </cell>
          <cell r="AP135">
            <v>0</v>
          </cell>
          <cell r="AQ135">
            <v>0</v>
          </cell>
          <cell r="AR135">
            <v>323</v>
          </cell>
          <cell r="AS135">
            <v>20</v>
          </cell>
          <cell r="AT135">
            <v>225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665</v>
          </cell>
          <cell r="BG135">
            <v>0</v>
          </cell>
          <cell r="BH135">
            <v>0</v>
          </cell>
          <cell r="BI135">
            <v>0</v>
          </cell>
          <cell r="BJ135">
            <v>426</v>
          </cell>
          <cell r="BK135">
            <v>0</v>
          </cell>
          <cell r="BL135">
            <v>426</v>
          </cell>
        </row>
        <row r="136">
          <cell r="B136" t="str">
            <v>LMIXINJ1</v>
          </cell>
          <cell r="C136">
            <v>27360</v>
          </cell>
          <cell r="D136">
            <v>17670</v>
          </cell>
          <cell r="E136">
            <v>22590</v>
          </cell>
          <cell r="F136">
            <v>12900</v>
          </cell>
          <cell r="G136">
            <v>4770</v>
          </cell>
          <cell r="H136">
            <v>4770</v>
          </cell>
          <cell r="I136">
            <v>444</v>
          </cell>
          <cell r="J136">
            <v>444</v>
          </cell>
          <cell r="K136">
            <v>444</v>
          </cell>
          <cell r="L136">
            <v>0</v>
          </cell>
          <cell r="M136">
            <v>444</v>
          </cell>
          <cell r="N136">
            <v>0</v>
          </cell>
          <cell r="O136">
            <v>4326</v>
          </cell>
          <cell r="P136">
            <v>4326</v>
          </cell>
          <cell r="Q136">
            <v>1754</v>
          </cell>
          <cell r="R136">
            <v>1754</v>
          </cell>
          <cell r="S136">
            <v>2572</v>
          </cell>
          <cell r="T136">
            <v>2572</v>
          </cell>
          <cell r="U136">
            <v>120</v>
          </cell>
          <cell r="V136">
            <v>120</v>
          </cell>
          <cell r="W136">
            <v>0</v>
          </cell>
          <cell r="X136">
            <v>0</v>
          </cell>
          <cell r="Y136">
            <v>0</v>
          </cell>
          <cell r="Z136">
            <v>35</v>
          </cell>
          <cell r="AA136">
            <v>0</v>
          </cell>
          <cell r="AB136">
            <v>0</v>
          </cell>
          <cell r="AC136">
            <v>0</v>
          </cell>
          <cell r="AD136">
            <v>35</v>
          </cell>
          <cell r="AE136">
            <v>0</v>
          </cell>
          <cell r="AF136">
            <v>1184</v>
          </cell>
          <cell r="AG136">
            <v>338</v>
          </cell>
          <cell r="AH136">
            <v>610</v>
          </cell>
          <cell r="AI136">
            <v>0</v>
          </cell>
          <cell r="AJ136">
            <v>236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1233</v>
          </cell>
          <cell r="AP136">
            <v>0</v>
          </cell>
          <cell r="AQ136">
            <v>0</v>
          </cell>
          <cell r="AR136">
            <v>323</v>
          </cell>
          <cell r="AS136">
            <v>20</v>
          </cell>
          <cell r="AT136">
            <v>225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665</v>
          </cell>
          <cell r="BG136">
            <v>0</v>
          </cell>
          <cell r="BH136">
            <v>0</v>
          </cell>
          <cell r="BI136">
            <v>0</v>
          </cell>
          <cell r="BJ136">
            <v>426</v>
          </cell>
          <cell r="BK136">
            <v>0</v>
          </cell>
          <cell r="BL136">
            <v>426</v>
          </cell>
        </row>
        <row r="137">
          <cell r="B137" t="str">
            <v>NBL INJ-FILLING</v>
          </cell>
          <cell r="C137">
            <v>54720</v>
          </cell>
          <cell r="D137">
            <v>35340</v>
          </cell>
          <cell r="E137">
            <v>31440</v>
          </cell>
          <cell r="F137">
            <v>12060</v>
          </cell>
          <cell r="G137">
            <v>23280</v>
          </cell>
          <cell r="H137">
            <v>23280</v>
          </cell>
          <cell r="I137">
            <v>1486</v>
          </cell>
          <cell r="J137">
            <v>1486</v>
          </cell>
          <cell r="K137">
            <v>1411</v>
          </cell>
          <cell r="L137">
            <v>451</v>
          </cell>
          <cell r="M137">
            <v>960</v>
          </cell>
          <cell r="N137">
            <v>75</v>
          </cell>
          <cell r="O137">
            <v>21794</v>
          </cell>
          <cell r="P137">
            <v>21794</v>
          </cell>
          <cell r="Q137">
            <v>9330</v>
          </cell>
          <cell r="R137">
            <v>9330</v>
          </cell>
          <cell r="S137">
            <v>12464</v>
          </cell>
          <cell r="T137">
            <v>12464</v>
          </cell>
          <cell r="U137">
            <v>1850</v>
          </cell>
          <cell r="V137">
            <v>1604</v>
          </cell>
          <cell r="W137">
            <v>0</v>
          </cell>
          <cell r="X137">
            <v>246</v>
          </cell>
          <cell r="Y137">
            <v>0</v>
          </cell>
          <cell r="Z137">
            <v>716</v>
          </cell>
          <cell r="AA137">
            <v>170</v>
          </cell>
          <cell r="AB137">
            <v>160</v>
          </cell>
          <cell r="AC137">
            <v>0</v>
          </cell>
          <cell r="AD137">
            <v>368</v>
          </cell>
          <cell r="AE137">
            <v>18</v>
          </cell>
          <cell r="AF137">
            <v>4392</v>
          </cell>
          <cell r="AG137">
            <v>1067</v>
          </cell>
          <cell r="AH137">
            <v>3305</v>
          </cell>
          <cell r="AI137">
            <v>20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5506</v>
          </cell>
          <cell r="AP137">
            <v>0</v>
          </cell>
          <cell r="AQ137">
            <v>0</v>
          </cell>
          <cell r="AR137">
            <v>1465</v>
          </cell>
          <cell r="AS137">
            <v>0</v>
          </cell>
          <cell r="AT137">
            <v>1380</v>
          </cell>
          <cell r="AU137">
            <v>0</v>
          </cell>
          <cell r="AV137">
            <v>40</v>
          </cell>
          <cell r="AW137">
            <v>0</v>
          </cell>
          <cell r="AX137">
            <v>90</v>
          </cell>
          <cell r="AY137">
            <v>290</v>
          </cell>
          <cell r="AZ137">
            <v>0</v>
          </cell>
          <cell r="BA137">
            <v>0</v>
          </cell>
          <cell r="BB137">
            <v>2132</v>
          </cell>
          <cell r="BC137">
            <v>0</v>
          </cell>
          <cell r="BD137">
            <v>0</v>
          </cell>
          <cell r="BE137">
            <v>0</v>
          </cell>
          <cell r="BF137">
            <v>109</v>
          </cell>
          <cell r="BG137">
            <v>0</v>
          </cell>
          <cell r="BH137">
            <v>0</v>
          </cell>
          <cell r="BI137">
            <v>0</v>
          </cell>
          <cell r="BJ137">
            <v>791818</v>
          </cell>
          <cell r="BK137">
            <v>193</v>
          </cell>
          <cell r="BL137">
            <v>791625</v>
          </cell>
        </row>
        <row r="138">
          <cell r="B138" t="str">
            <v>GINLINE3</v>
          </cell>
          <cell r="C138">
            <v>27360</v>
          </cell>
          <cell r="D138">
            <v>17670</v>
          </cell>
          <cell r="E138">
            <v>21270</v>
          </cell>
          <cell r="F138">
            <v>11580</v>
          </cell>
          <cell r="G138">
            <v>6090</v>
          </cell>
          <cell r="H138">
            <v>6090</v>
          </cell>
          <cell r="I138">
            <v>686</v>
          </cell>
          <cell r="J138">
            <v>686</v>
          </cell>
          <cell r="K138">
            <v>611</v>
          </cell>
          <cell r="L138">
            <v>61</v>
          </cell>
          <cell r="M138">
            <v>550</v>
          </cell>
          <cell r="N138">
            <v>75</v>
          </cell>
          <cell r="O138">
            <v>5404</v>
          </cell>
          <cell r="P138">
            <v>5404</v>
          </cell>
          <cell r="Q138">
            <v>918</v>
          </cell>
          <cell r="R138">
            <v>918</v>
          </cell>
          <cell r="S138">
            <v>4486</v>
          </cell>
          <cell r="T138">
            <v>4486</v>
          </cell>
          <cell r="U138">
            <v>690</v>
          </cell>
          <cell r="V138">
            <v>629</v>
          </cell>
          <cell r="W138">
            <v>0</v>
          </cell>
          <cell r="X138">
            <v>61</v>
          </cell>
          <cell r="Y138">
            <v>0</v>
          </cell>
          <cell r="Z138">
            <v>139</v>
          </cell>
          <cell r="AA138">
            <v>0</v>
          </cell>
          <cell r="AB138">
            <v>0</v>
          </cell>
          <cell r="AC138">
            <v>0</v>
          </cell>
          <cell r="AD138">
            <v>139</v>
          </cell>
          <cell r="AE138">
            <v>0</v>
          </cell>
          <cell r="AF138">
            <v>1825</v>
          </cell>
          <cell r="AG138">
            <v>533</v>
          </cell>
          <cell r="AH138">
            <v>1277</v>
          </cell>
          <cell r="AI138">
            <v>15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1832</v>
          </cell>
          <cell r="AP138">
            <v>0</v>
          </cell>
          <cell r="AQ138">
            <v>0</v>
          </cell>
          <cell r="AR138">
            <v>360</v>
          </cell>
          <cell r="AS138">
            <v>0</v>
          </cell>
          <cell r="AT138">
            <v>360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125</v>
          </cell>
          <cell r="AZ138">
            <v>0</v>
          </cell>
          <cell r="BA138">
            <v>0</v>
          </cell>
          <cell r="BB138">
            <v>987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89130</v>
          </cell>
          <cell r="BK138">
            <v>0</v>
          </cell>
          <cell r="BL138">
            <v>89130</v>
          </cell>
        </row>
        <row r="139">
          <cell r="B139" t="str">
            <v>GINLINE4</v>
          </cell>
          <cell r="C139">
            <v>27360</v>
          </cell>
          <cell r="D139">
            <v>17670</v>
          </cell>
          <cell r="E139">
            <v>10170</v>
          </cell>
          <cell r="F139">
            <v>480</v>
          </cell>
          <cell r="G139">
            <v>17190</v>
          </cell>
          <cell r="H139">
            <v>17190</v>
          </cell>
          <cell r="I139">
            <v>800</v>
          </cell>
          <cell r="J139">
            <v>800</v>
          </cell>
          <cell r="K139">
            <v>800</v>
          </cell>
          <cell r="L139">
            <v>390</v>
          </cell>
          <cell r="M139">
            <v>410</v>
          </cell>
          <cell r="N139">
            <v>0</v>
          </cell>
          <cell r="O139">
            <v>16390</v>
          </cell>
          <cell r="P139">
            <v>16390</v>
          </cell>
          <cell r="Q139">
            <v>8412</v>
          </cell>
          <cell r="R139">
            <v>8412</v>
          </cell>
          <cell r="S139">
            <v>7978</v>
          </cell>
          <cell r="T139">
            <v>7978</v>
          </cell>
          <cell r="U139">
            <v>1160</v>
          </cell>
          <cell r="V139">
            <v>975</v>
          </cell>
          <cell r="W139">
            <v>0</v>
          </cell>
          <cell r="X139">
            <v>185</v>
          </cell>
          <cell r="Y139">
            <v>0</v>
          </cell>
          <cell r="Z139">
            <v>577</v>
          </cell>
          <cell r="AA139">
            <v>170</v>
          </cell>
          <cell r="AB139">
            <v>160</v>
          </cell>
          <cell r="AC139">
            <v>0</v>
          </cell>
          <cell r="AD139">
            <v>229</v>
          </cell>
          <cell r="AE139">
            <v>18</v>
          </cell>
          <cell r="AF139">
            <v>2567</v>
          </cell>
          <cell r="AG139">
            <v>534</v>
          </cell>
          <cell r="AH139">
            <v>2028</v>
          </cell>
          <cell r="AI139">
            <v>5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3674</v>
          </cell>
          <cell r="AP139">
            <v>0</v>
          </cell>
          <cell r="AQ139">
            <v>0</v>
          </cell>
          <cell r="AR139">
            <v>1105</v>
          </cell>
          <cell r="AS139">
            <v>0</v>
          </cell>
          <cell r="AT139">
            <v>1020</v>
          </cell>
          <cell r="AU139">
            <v>0</v>
          </cell>
          <cell r="AV139">
            <v>40</v>
          </cell>
          <cell r="AW139">
            <v>0</v>
          </cell>
          <cell r="AX139">
            <v>90</v>
          </cell>
          <cell r="AY139">
            <v>165</v>
          </cell>
          <cell r="AZ139">
            <v>0</v>
          </cell>
          <cell r="BA139">
            <v>0</v>
          </cell>
          <cell r="BB139">
            <v>1145</v>
          </cell>
          <cell r="BC139">
            <v>0</v>
          </cell>
          <cell r="BD139">
            <v>0</v>
          </cell>
          <cell r="BE139">
            <v>0</v>
          </cell>
          <cell r="BF139">
            <v>109</v>
          </cell>
          <cell r="BG139">
            <v>0</v>
          </cell>
          <cell r="BH139">
            <v>0</v>
          </cell>
          <cell r="BI139">
            <v>0</v>
          </cell>
          <cell r="BJ139">
            <v>702688</v>
          </cell>
          <cell r="BK139">
            <v>193</v>
          </cell>
          <cell r="BL139">
            <v>702495</v>
          </cell>
        </row>
        <row r="140">
          <cell r="B140" t="str">
            <v>NBL INJ-STERILIZATION</v>
          </cell>
          <cell r="C140">
            <v>84960</v>
          </cell>
          <cell r="D140">
            <v>54870</v>
          </cell>
          <cell r="E140">
            <v>39191</v>
          </cell>
          <cell r="F140">
            <v>9101</v>
          </cell>
          <cell r="G140">
            <v>45769</v>
          </cell>
          <cell r="H140">
            <v>45769</v>
          </cell>
          <cell r="I140">
            <v>9296</v>
          </cell>
          <cell r="J140">
            <v>9296</v>
          </cell>
          <cell r="K140">
            <v>8996</v>
          </cell>
          <cell r="L140">
            <v>7532</v>
          </cell>
          <cell r="M140">
            <v>1464</v>
          </cell>
          <cell r="N140">
            <v>300</v>
          </cell>
          <cell r="O140">
            <v>36473</v>
          </cell>
          <cell r="P140">
            <v>36473</v>
          </cell>
          <cell r="Q140">
            <v>19140</v>
          </cell>
          <cell r="R140">
            <v>19140</v>
          </cell>
          <cell r="S140">
            <v>17333</v>
          </cell>
          <cell r="T140">
            <v>17333</v>
          </cell>
          <cell r="U140">
            <v>551</v>
          </cell>
          <cell r="V140">
            <v>521</v>
          </cell>
          <cell r="W140">
            <v>30</v>
          </cell>
          <cell r="X140">
            <v>0</v>
          </cell>
          <cell r="Y140">
            <v>0</v>
          </cell>
          <cell r="Z140">
            <v>232</v>
          </cell>
          <cell r="AA140">
            <v>0</v>
          </cell>
          <cell r="AB140">
            <v>0</v>
          </cell>
          <cell r="AC140">
            <v>0</v>
          </cell>
          <cell r="AD140">
            <v>232</v>
          </cell>
          <cell r="AE140">
            <v>0</v>
          </cell>
          <cell r="AF140">
            <v>8730</v>
          </cell>
          <cell r="AG140">
            <v>6901</v>
          </cell>
          <cell r="AH140">
            <v>1382</v>
          </cell>
          <cell r="AI140">
            <v>50</v>
          </cell>
          <cell r="AJ140">
            <v>0</v>
          </cell>
          <cell r="AK140">
            <v>397</v>
          </cell>
          <cell r="AL140">
            <v>0</v>
          </cell>
          <cell r="AM140">
            <v>0</v>
          </cell>
          <cell r="AN140">
            <v>0</v>
          </cell>
          <cell r="AO140">
            <v>7820</v>
          </cell>
          <cell r="AP140">
            <v>0</v>
          </cell>
          <cell r="AQ140">
            <v>0</v>
          </cell>
          <cell r="AR140">
            <v>909</v>
          </cell>
          <cell r="AS140">
            <v>55</v>
          </cell>
          <cell r="AT140">
            <v>254</v>
          </cell>
          <cell r="AU140">
            <v>1051</v>
          </cell>
          <cell r="AV140">
            <v>0</v>
          </cell>
          <cell r="AW140">
            <v>0</v>
          </cell>
          <cell r="AX140">
            <v>5313</v>
          </cell>
          <cell r="AY140">
            <v>238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1447</v>
          </cell>
          <cell r="BK140">
            <v>0</v>
          </cell>
          <cell r="BL140">
            <v>1447</v>
          </cell>
        </row>
        <row r="141">
          <cell r="B141" t="str">
            <v>INJ105</v>
          </cell>
          <cell r="C141">
            <v>28800</v>
          </cell>
          <cell r="D141">
            <v>18600</v>
          </cell>
          <cell r="E141">
            <v>7350</v>
          </cell>
          <cell r="F141">
            <v>-2850</v>
          </cell>
          <cell r="G141">
            <v>21450</v>
          </cell>
          <cell r="H141">
            <v>21450</v>
          </cell>
          <cell r="I141">
            <v>6791</v>
          </cell>
          <cell r="J141">
            <v>6791</v>
          </cell>
          <cell r="K141">
            <v>6641</v>
          </cell>
          <cell r="L141">
            <v>5702</v>
          </cell>
          <cell r="M141">
            <v>939</v>
          </cell>
          <cell r="N141">
            <v>150</v>
          </cell>
          <cell r="O141">
            <v>14659</v>
          </cell>
          <cell r="P141">
            <v>14659</v>
          </cell>
          <cell r="Q141">
            <v>6842</v>
          </cell>
          <cell r="R141">
            <v>6842</v>
          </cell>
          <cell r="S141">
            <v>7817</v>
          </cell>
          <cell r="T141">
            <v>7817</v>
          </cell>
          <cell r="U141">
            <v>192</v>
          </cell>
          <cell r="V141">
            <v>192</v>
          </cell>
          <cell r="W141">
            <v>0</v>
          </cell>
          <cell r="X141">
            <v>0</v>
          </cell>
          <cell r="Y141">
            <v>0</v>
          </cell>
          <cell r="Z141">
            <v>89</v>
          </cell>
          <cell r="AA141">
            <v>0</v>
          </cell>
          <cell r="AB141">
            <v>0</v>
          </cell>
          <cell r="AC141">
            <v>0</v>
          </cell>
          <cell r="AD141">
            <v>89</v>
          </cell>
          <cell r="AE141">
            <v>0</v>
          </cell>
          <cell r="AF141">
            <v>2614</v>
          </cell>
          <cell r="AG141">
            <v>1537</v>
          </cell>
          <cell r="AH141">
            <v>1007</v>
          </cell>
          <cell r="AI141">
            <v>0</v>
          </cell>
          <cell r="AJ141">
            <v>0</v>
          </cell>
          <cell r="AK141">
            <v>70</v>
          </cell>
          <cell r="AL141">
            <v>0</v>
          </cell>
          <cell r="AM141">
            <v>0</v>
          </cell>
          <cell r="AN141">
            <v>0</v>
          </cell>
          <cell r="AO141">
            <v>4922</v>
          </cell>
          <cell r="AP141">
            <v>0</v>
          </cell>
          <cell r="AQ141">
            <v>0</v>
          </cell>
          <cell r="AR141">
            <v>247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4610</v>
          </cell>
          <cell r="AY141">
            <v>65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577</v>
          </cell>
          <cell r="BK141">
            <v>0</v>
          </cell>
          <cell r="BL141">
            <v>577</v>
          </cell>
        </row>
        <row r="142">
          <cell r="B142" t="str">
            <v>INJ106</v>
          </cell>
          <cell r="C142">
            <v>28800</v>
          </cell>
          <cell r="D142">
            <v>18600</v>
          </cell>
          <cell r="E142">
            <v>9191</v>
          </cell>
          <cell r="F142">
            <v>-1009</v>
          </cell>
          <cell r="G142">
            <v>19609</v>
          </cell>
          <cell r="H142">
            <v>19609</v>
          </cell>
          <cell r="I142">
            <v>1947</v>
          </cell>
          <cell r="J142">
            <v>1947</v>
          </cell>
          <cell r="K142">
            <v>1797</v>
          </cell>
          <cell r="L142">
            <v>1797</v>
          </cell>
          <cell r="M142">
            <v>0</v>
          </cell>
          <cell r="N142">
            <v>150</v>
          </cell>
          <cell r="O142">
            <v>17662</v>
          </cell>
          <cell r="P142">
            <v>17662</v>
          </cell>
          <cell r="Q142">
            <v>11845</v>
          </cell>
          <cell r="R142">
            <v>11845</v>
          </cell>
          <cell r="S142">
            <v>5817</v>
          </cell>
          <cell r="T142">
            <v>5817</v>
          </cell>
          <cell r="U142">
            <v>41</v>
          </cell>
          <cell r="V142">
            <v>41</v>
          </cell>
          <cell r="W142">
            <v>0</v>
          </cell>
          <cell r="X142">
            <v>0</v>
          </cell>
          <cell r="Y142">
            <v>0</v>
          </cell>
          <cell r="Z142">
            <v>143</v>
          </cell>
          <cell r="AA142">
            <v>0</v>
          </cell>
          <cell r="AB142">
            <v>0</v>
          </cell>
          <cell r="AC142">
            <v>0</v>
          </cell>
          <cell r="AD142">
            <v>143</v>
          </cell>
          <cell r="AE142">
            <v>0</v>
          </cell>
          <cell r="AF142">
            <v>5136</v>
          </cell>
          <cell r="AG142">
            <v>4799</v>
          </cell>
          <cell r="AH142">
            <v>265</v>
          </cell>
          <cell r="AI142">
            <v>0</v>
          </cell>
          <cell r="AJ142">
            <v>0</v>
          </cell>
          <cell r="AK142">
            <v>72</v>
          </cell>
          <cell r="AL142">
            <v>0</v>
          </cell>
          <cell r="AM142">
            <v>0</v>
          </cell>
          <cell r="AN142">
            <v>0</v>
          </cell>
          <cell r="AO142">
            <v>497</v>
          </cell>
          <cell r="AP142">
            <v>0</v>
          </cell>
          <cell r="AQ142">
            <v>0</v>
          </cell>
          <cell r="AR142">
            <v>422</v>
          </cell>
          <cell r="AS142">
            <v>0</v>
          </cell>
          <cell r="AT142">
            <v>60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15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858</v>
          </cell>
          <cell r="BK142">
            <v>0</v>
          </cell>
          <cell r="BL142">
            <v>858</v>
          </cell>
        </row>
        <row r="143">
          <cell r="B143" t="str">
            <v>INJ107</v>
          </cell>
          <cell r="C143">
            <v>27360</v>
          </cell>
          <cell r="D143">
            <v>17670</v>
          </cell>
          <cell r="E143">
            <v>22650</v>
          </cell>
          <cell r="F143">
            <v>12960</v>
          </cell>
          <cell r="G143">
            <v>4710</v>
          </cell>
          <cell r="H143">
            <v>4710</v>
          </cell>
          <cell r="I143">
            <v>558</v>
          </cell>
          <cell r="J143">
            <v>558</v>
          </cell>
          <cell r="K143">
            <v>558</v>
          </cell>
          <cell r="L143">
            <v>33</v>
          </cell>
          <cell r="M143">
            <v>525</v>
          </cell>
          <cell r="N143">
            <v>0</v>
          </cell>
          <cell r="O143">
            <v>4152</v>
          </cell>
          <cell r="P143">
            <v>4152</v>
          </cell>
          <cell r="Q143">
            <v>453</v>
          </cell>
          <cell r="R143">
            <v>453</v>
          </cell>
          <cell r="S143">
            <v>3699</v>
          </cell>
          <cell r="T143">
            <v>3699</v>
          </cell>
          <cell r="U143">
            <v>318</v>
          </cell>
          <cell r="V143">
            <v>288</v>
          </cell>
          <cell r="W143">
            <v>30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980</v>
          </cell>
          <cell r="AG143">
            <v>565</v>
          </cell>
          <cell r="AH143">
            <v>110</v>
          </cell>
          <cell r="AI143">
            <v>50</v>
          </cell>
          <cell r="AJ143">
            <v>0</v>
          </cell>
          <cell r="AK143">
            <v>255</v>
          </cell>
          <cell r="AL143">
            <v>0</v>
          </cell>
          <cell r="AM143">
            <v>0</v>
          </cell>
          <cell r="AN143">
            <v>0</v>
          </cell>
          <cell r="AO143">
            <v>2401</v>
          </cell>
          <cell r="AP143">
            <v>0</v>
          </cell>
          <cell r="AQ143">
            <v>0</v>
          </cell>
          <cell r="AR143">
            <v>240</v>
          </cell>
          <cell r="AS143">
            <v>55</v>
          </cell>
          <cell r="AT143">
            <v>194</v>
          </cell>
          <cell r="AU143">
            <v>1051</v>
          </cell>
          <cell r="AV143">
            <v>0</v>
          </cell>
          <cell r="AW143">
            <v>0</v>
          </cell>
          <cell r="AX143">
            <v>703</v>
          </cell>
          <cell r="AY143">
            <v>158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12</v>
          </cell>
          <cell r="BK143">
            <v>0</v>
          </cell>
          <cell r="BL143">
            <v>12</v>
          </cell>
        </row>
        <row r="144">
          <cell r="B144" t="str">
            <v>NBL SECONDARY PACKING</v>
          </cell>
          <cell r="C144">
            <v>167040</v>
          </cell>
          <cell r="D144">
            <v>64230</v>
          </cell>
          <cell r="E144">
            <v>112290</v>
          </cell>
          <cell r="F144">
            <v>9480</v>
          </cell>
          <cell r="G144">
            <v>54750</v>
          </cell>
          <cell r="H144">
            <v>54750</v>
          </cell>
          <cell r="I144">
            <v>5330</v>
          </cell>
          <cell r="J144">
            <v>5330</v>
          </cell>
          <cell r="K144">
            <v>5330</v>
          </cell>
          <cell r="L144">
            <v>2085</v>
          </cell>
          <cell r="M144">
            <v>3245</v>
          </cell>
          <cell r="N144">
            <v>0</v>
          </cell>
          <cell r="O144">
            <v>49420</v>
          </cell>
          <cell r="P144">
            <v>49420</v>
          </cell>
          <cell r="Q144">
            <v>31575</v>
          </cell>
          <cell r="R144">
            <v>31575</v>
          </cell>
          <cell r="S144">
            <v>17845</v>
          </cell>
          <cell r="T144">
            <v>17845</v>
          </cell>
          <cell r="U144">
            <v>2770</v>
          </cell>
          <cell r="V144">
            <v>2019</v>
          </cell>
          <cell r="W144">
            <v>191</v>
          </cell>
          <cell r="X144">
            <v>122</v>
          </cell>
          <cell r="Y144">
            <v>438</v>
          </cell>
          <cell r="Z144">
            <v>847</v>
          </cell>
          <cell r="AA144">
            <v>257</v>
          </cell>
          <cell r="AB144">
            <v>385</v>
          </cell>
          <cell r="AC144">
            <v>0</v>
          </cell>
          <cell r="AD144">
            <v>205</v>
          </cell>
          <cell r="AE144">
            <v>0</v>
          </cell>
          <cell r="AF144">
            <v>4578</v>
          </cell>
          <cell r="AG144">
            <v>2284</v>
          </cell>
          <cell r="AH144">
            <v>2130</v>
          </cell>
          <cell r="AI144">
            <v>0</v>
          </cell>
          <cell r="AJ144">
            <v>0</v>
          </cell>
          <cell r="AK144">
            <v>164</v>
          </cell>
          <cell r="AL144">
            <v>40</v>
          </cell>
          <cell r="AM144">
            <v>0</v>
          </cell>
          <cell r="AN144">
            <v>40</v>
          </cell>
          <cell r="AO144">
            <v>9610</v>
          </cell>
          <cell r="AP144">
            <v>0</v>
          </cell>
          <cell r="AQ144">
            <v>150</v>
          </cell>
          <cell r="AR144">
            <v>2975</v>
          </cell>
          <cell r="AS144">
            <v>0</v>
          </cell>
          <cell r="AT144">
            <v>1800</v>
          </cell>
          <cell r="AU144">
            <v>1170</v>
          </cell>
          <cell r="AV144">
            <v>0</v>
          </cell>
          <cell r="AW144">
            <v>0</v>
          </cell>
          <cell r="AX144">
            <v>825</v>
          </cell>
          <cell r="AY144">
            <v>768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1907</v>
          </cell>
          <cell r="BG144">
            <v>15</v>
          </cell>
          <cell r="BH144">
            <v>0</v>
          </cell>
          <cell r="BI144">
            <v>0</v>
          </cell>
          <cell r="BJ144">
            <v>1645186</v>
          </cell>
          <cell r="BK144">
            <v>114</v>
          </cell>
          <cell r="BL144">
            <v>1645072</v>
          </cell>
        </row>
        <row r="145">
          <cell r="B145" t="str">
            <v>PAK101</v>
          </cell>
          <cell r="C145">
            <v>28800</v>
          </cell>
          <cell r="D145">
            <v>9600</v>
          </cell>
          <cell r="E145">
            <v>11910</v>
          </cell>
          <cell r="F145">
            <v>-7290</v>
          </cell>
          <cell r="G145">
            <v>16890</v>
          </cell>
          <cell r="H145">
            <v>16890</v>
          </cell>
          <cell r="I145">
            <v>285</v>
          </cell>
          <cell r="J145">
            <v>285</v>
          </cell>
          <cell r="K145">
            <v>285</v>
          </cell>
          <cell r="L145">
            <v>285</v>
          </cell>
          <cell r="M145">
            <v>0</v>
          </cell>
          <cell r="N145">
            <v>0</v>
          </cell>
          <cell r="O145">
            <v>16605</v>
          </cell>
          <cell r="P145">
            <v>16605</v>
          </cell>
          <cell r="Q145">
            <v>12450</v>
          </cell>
          <cell r="R145">
            <v>12450</v>
          </cell>
          <cell r="S145">
            <v>4155</v>
          </cell>
          <cell r="T145">
            <v>4155</v>
          </cell>
          <cell r="U145">
            <v>340</v>
          </cell>
          <cell r="V145">
            <v>340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982</v>
          </cell>
          <cell r="AG145">
            <v>353</v>
          </cell>
          <cell r="AH145">
            <v>590</v>
          </cell>
          <cell r="AI145">
            <v>0</v>
          </cell>
          <cell r="AJ145">
            <v>0</v>
          </cell>
          <cell r="AK145">
            <v>39</v>
          </cell>
          <cell r="AL145">
            <v>40</v>
          </cell>
          <cell r="AM145">
            <v>0</v>
          </cell>
          <cell r="AN145">
            <v>40</v>
          </cell>
          <cell r="AO145">
            <v>2793</v>
          </cell>
          <cell r="AP145">
            <v>0</v>
          </cell>
          <cell r="AQ145">
            <v>150</v>
          </cell>
          <cell r="AR145">
            <v>1095</v>
          </cell>
          <cell r="AS145">
            <v>0</v>
          </cell>
          <cell r="AT145">
            <v>615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230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693</v>
          </cell>
          <cell r="BG145">
            <v>10</v>
          </cell>
          <cell r="BH145">
            <v>0</v>
          </cell>
          <cell r="BI145">
            <v>0</v>
          </cell>
          <cell r="BJ145">
            <v>464337</v>
          </cell>
          <cell r="BK145">
            <v>43</v>
          </cell>
          <cell r="BL145">
            <v>464294</v>
          </cell>
        </row>
        <row r="146">
          <cell r="B146" t="str">
            <v>PAK103</v>
          </cell>
          <cell r="C146">
            <v>28800</v>
          </cell>
          <cell r="D146">
            <v>9600</v>
          </cell>
          <cell r="E146">
            <v>13590</v>
          </cell>
          <cell r="F146">
            <v>-5610</v>
          </cell>
          <cell r="G146">
            <v>15210</v>
          </cell>
          <cell r="H146">
            <v>15210</v>
          </cell>
          <cell r="I146">
            <v>345</v>
          </cell>
          <cell r="J146">
            <v>345</v>
          </cell>
          <cell r="K146">
            <v>345</v>
          </cell>
          <cell r="L146">
            <v>270</v>
          </cell>
          <cell r="M146">
            <v>75</v>
          </cell>
          <cell r="N146">
            <v>0</v>
          </cell>
          <cell r="O146">
            <v>14865</v>
          </cell>
          <cell r="P146">
            <v>14865</v>
          </cell>
          <cell r="Q146">
            <v>10913</v>
          </cell>
          <cell r="R146">
            <v>10913</v>
          </cell>
          <cell r="S146">
            <v>3952</v>
          </cell>
          <cell r="T146">
            <v>3952</v>
          </cell>
          <cell r="U146">
            <v>375</v>
          </cell>
          <cell r="V146">
            <v>325</v>
          </cell>
          <cell r="W146">
            <v>0</v>
          </cell>
          <cell r="X146">
            <v>50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1000</v>
          </cell>
          <cell r="AG146">
            <v>320</v>
          </cell>
          <cell r="AH146">
            <v>650</v>
          </cell>
          <cell r="AI146">
            <v>0</v>
          </cell>
          <cell r="AJ146">
            <v>0</v>
          </cell>
          <cell r="AK146">
            <v>30</v>
          </cell>
          <cell r="AL146">
            <v>0</v>
          </cell>
          <cell r="AM146">
            <v>0</v>
          </cell>
          <cell r="AN146">
            <v>0</v>
          </cell>
          <cell r="AO146">
            <v>2577</v>
          </cell>
          <cell r="AP146">
            <v>0</v>
          </cell>
          <cell r="AQ146">
            <v>0</v>
          </cell>
          <cell r="AR146">
            <v>890</v>
          </cell>
          <cell r="AS146">
            <v>0</v>
          </cell>
          <cell r="AT146">
            <v>600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228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854</v>
          </cell>
          <cell r="BG146">
            <v>5</v>
          </cell>
          <cell r="BH146">
            <v>0</v>
          </cell>
          <cell r="BI146">
            <v>0</v>
          </cell>
          <cell r="BJ146">
            <v>542859</v>
          </cell>
          <cell r="BK146">
            <v>0</v>
          </cell>
          <cell r="BL146">
            <v>542859</v>
          </cell>
        </row>
        <row r="147">
          <cell r="B147" t="str">
            <v>PAK105</v>
          </cell>
          <cell r="C147">
            <v>27360</v>
          </cell>
          <cell r="D147">
            <v>17670</v>
          </cell>
          <cell r="E147">
            <v>16770</v>
          </cell>
          <cell r="F147">
            <v>7080</v>
          </cell>
          <cell r="G147">
            <v>10590</v>
          </cell>
          <cell r="H147">
            <v>10590</v>
          </cell>
          <cell r="I147">
            <v>2945</v>
          </cell>
          <cell r="J147">
            <v>2945</v>
          </cell>
          <cell r="K147">
            <v>2945</v>
          </cell>
          <cell r="L147">
            <v>960</v>
          </cell>
          <cell r="M147">
            <v>1985</v>
          </cell>
          <cell r="N147">
            <v>0</v>
          </cell>
          <cell r="O147">
            <v>7645</v>
          </cell>
          <cell r="P147">
            <v>7645</v>
          </cell>
          <cell r="Q147">
            <v>3410</v>
          </cell>
          <cell r="R147">
            <v>3410</v>
          </cell>
          <cell r="S147">
            <v>4235</v>
          </cell>
          <cell r="T147">
            <v>4235</v>
          </cell>
          <cell r="U147">
            <v>970</v>
          </cell>
          <cell r="V147">
            <v>750</v>
          </cell>
          <cell r="W147">
            <v>30</v>
          </cell>
          <cell r="X147">
            <v>40</v>
          </cell>
          <cell r="Y147">
            <v>150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615</v>
          </cell>
          <cell r="AG147">
            <v>370</v>
          </cell>
          <cell r="AH147">
            <v>245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2650</v>
          </cell>
          <cell r="AP147">
            <v>0</v>
          </cell>
          <cell r="AQ147">
            <v>0</v>
          </cell>
          <cell r="AR147">
            <v>390</v>
          </cell>
          <cell r="AS147">
            <v>0</v>
          </cell>
          <cell r="AT147">
            <v>285</v>
          </cell>
          <cell r="AU147">
            <v>920</v>
          </cell>
          <cell r="AV147">
            <v>0</v>
          </cell>
          <cell r="AW147">
            <v>0</v>
          </cell>
          <cell r="AX147">
            <v>770</v>
          </cell>
          <cell r="AY147">
            <v>140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145</v>
          </cell>
          <cell r="BG147">
            <v>0</v>
          </cell>
          <cell r="BH147">
            <v>0</v>
          </cell>
          <cell r="BI147">
            <v>0</v>
          </cell>
          <cell r="BJ147">
            <v>189303</v>
          </cell>
          <cell r="BK147">
            <v>0</v>
          </cell>
          <cell r="BL147">
            <v>189303</v>
          </cell>
        </row>
        <row r="148">
          <cell r="B148" t="str">
            <v>PAK102</v>
          </cell>
          <cell r="C148">
            <v>27360</v>
          </cell>
          <cell r="D148">
            <v>9120</v>
          </cell>
          <cell r="E148">
            <v>27360</v>
          </cell>
          <cell r="F148">
            <v>9120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/>
          <cell r="R148"/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</row>
        <row r="149">
          <cell r="B149" t="str">
            <v>PAK104</v>
          </cell>
          <cell r="C149">
            <v>27360</v>
          </cell>
          <cell r="D149">
            <v>9120</v>
          </cell>
          <cell r="E149">
            <v>24810</v>
          </cell>
          <cell r="F149">
            <v>6570</v>
          </cell>
          <cell r="G149">
            <v>2550</v>
          </cell>
          <cell r="H149">
            <v>2550</v>
          </cell>
          <cell r="I149">
            <v>850</v>
          </cell>
          <cell r="J149">
            <v>850</v>
          </cell>
          <cell r="K149">
            <v>850</v>
          </cell>
          <cell r="L149">
            <v>120</v>
          </cell>
          <cell r="M149">
            <v>730</v>
          </cell>
          <cell r="N149">
            <v>0</v>
          </cell>
          <cell r="O149">
            <v>1700</v>
          </cell>
          <cell r="P149">
            <v>1700</v>
          </cell>
          <cell r="Q149">
            <v>455</v>
          </cell>
          <cell r="R149">
            <v>455</v>
          </cell>
          <cell r="S149">
            <v>1245</v>
          </cell>
          <cell r="T149">
            <v>1245</v>
          </cell>
          <cell r="U149">
            <v>169</v>
          </cell>
          <cell r="V149">
            <v>159</v>
          </cell>
          <cell r="W149">
            <v>0</v>
          </cell>
          <cell r="X149">
            <v>10</v>
          </cell>
          <cell r="Y149">
            <v>0</v>
          </cell>
          <cell r="Z149">
            <v>205</v>
          </cell>
          <cell r="AA149">
            <v>0</v>
          </cell>
          <cell r="AB149">
            <v>0</v>
          </cell>
          <cell r="AC149">
            <v>0</v>
          </cell>
          <cell r="AD149">
            <v>205</v>
          </cell>
          <cell r="AE149">
            <v>0</v>
          </cell>
          <cell r="AF149">
            <v>691</v>
          </cell>
          <cell r="AG149">
            <v>321</v>
          </cell>
          <cell r="AH149">
            <v>275</v>
          </cell>
          <cell r="AI149">
            <v>0</v>
          </cell>
          <cell r="AJ149">
            <v>0</v>
          </cell>
          <cell r="AK149">
            <v>95</v>
          </cell>
          <cell r="AL149">
            <v>0</v>
          </cell>
          <cell r="AM149">
            <v>0</v>
          </cell>
          <cell r="AN149">
            <v>0</v>
          </cell>
          <cell r="AO149">
            <v>180</v>
          </cell>
          <cell r="AP149">
            <v>0</v>
          </cell>
          <cell r="AQ149">
            <v>0</v>
          </cell>
          <cell r="AR149">
            <v>90</v>
          </cell>
          <cell r="AS149">
            <v>0</v>
          </cell>
          <cell r="AT149">
            <v>45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20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25</v>
          </cell>
          <cell r="BG149">
            <v>0</v>
          </cell>
          <cell r="BH149">
            <v>0</v>
          </cell>
          <cell r="BI149">
            <v>0</v>
          </cell>
          <cell r="BJ149">
            <v>11175</v>
          </cell>
          <cell r="BK149">
            <v>0</v>
          </cell>
          <cell r="BL149">
            <v>11175</v>
          </cell>
        </row>
        <row r="150">
          <cell r="B150" t="str">
            <v>PAK111</v>
          </cell>
          <cell r="C150">
            <v>27360</v>
          </cell>
          <cell r="D150">
            <v>9120</v>
          </cell>
          <cell r="E150">
            <v>17850</v>
          </cell>
          <cell r="F150">
            <v>-390</v>
          </cell>
          <cell r="G150">
            <v>9510</v>
          </cell>
          <cell r="H150">
            <v>9510</v>
          </cell>
          <cell r="I150">
            <v>905</v>
          </cell>
          <cell r="J150">
            <v>905</v>
          </cell>
          <cell r="K150">
            <v>905</v>
          </cell>
          <cell r="L150">
            <v>450</v>
          </cell>
          <cell r="M150">
            <v>455</v>
          </cell>
          <cell r="N150">
            <v>0</v>
          </cell>
          <cell r="O150">
            <v>8605</v>
          </cell>
          <cell r="P150">
            <v>8605</v>
          </cell>
          <cell r="Q150">
            <v>4347</v>
          </cell>
          <cell r="R150">
            <v>4347</v>
          </cell>
          <cell r="S150">
            <v>4258</v>
          </cell>
          <cell r="T150">
            <v>4258</v>
          </cell>
          <cell r="U150">
            <v>916</v>
          </cell>
          <cell r="V150">
            <v>445</v>
          </cell>
          <cell r="W150">
            <v>161</v>
          </cell>
          <cell r="X150">
            <v>22</v>
          </cell>
          <cell r="Y150">
            <v>288</v>
          </cell>
          <cell r="Z150">
            <v>642</v>
          </cell>
          <cell r="AA150">
            <v>257</v>
          </cell>
          <cell r="AB150">
            <v>385</v>
          </cell>
          <cell r="AC150">
            <v>0</v>
          </cell>
          <cell r="AD150">
            <v>0</v>
          </cell>
          <cell r="AE150">
            <v>0</v>
          </cell>
          <cell r="AF150">
            <v>1290</v>
          </cell>
          <cell r="AG150">
            <v>920</v>
          </cell>
          <cell r="AH150">
            <v>370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1410</v>
          </cell>
          <cell r="AP150">
            <v>0</v>
          </cell>
          <cell r="AQ150">
            <v>0</v>
          </cell>
          <cell r="AR150">
            <v>510</v>
          </cell>
          <cell r="AS150">
            <v>0</v>
          </cell>
          <cell r="AT150">
            <v>255</v>
          </cell>
          <cell r="AU150">
            <v>250</v>
          </cell>
          <cell r="AV150">
            <v>0</v>
          </cell>
          <cell r="AW150">
            <v>0</v>
          </cell>
          <cell r="AX150">
            <v>55</v>
          </cell>
          <cell r="AY150">
            <v>150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190</v>
          </cell>
          <cell r="BG150">
            <v>0</v>
          </cell>
          <cell r="BH150">
            <v>0</v>
          </cell>
          <cell r="BI150">
            <v>0</v>
          </cell>
          <cell r="BJ150">
            <v>437512</v>
          </cell>
          <cell r="BK150">
            <v>71</v>
          </cell>
          <cell r="BL150">
            <v>437441</v>
          </cell>
        </row>
        <row r="151">
          <cell r="B151" t="str">
            <v>CPH SOL-MIXING</v>
          </cell>
          <cell r="C151">
            <v>27360</v>
          </cell>
          <cell r="D151">
            <v>9120</v>
          </cell>
          <cell r="E151">
            <v>26340</v>
          </cell>
          <cell r="F151">
            <v>8100</v>
          </cell>
          <cell r="G151">
            <v>1020</v>
          </cell>
          <cell r="H151">
            <v>1020</v>
          </cell>
          <cell r="I151">
            <v>48</v>
          </cell>
          <cell r="J151">
            <v>48</v>
          </cell>
          <cell r="K151">
            <v>48</v>
          </cell>
          <cell r="L151">
            <v>0</v>
          </cell>
          <cell r="M151">
            <v>48</v>
          </cell>
          <cell r="N151">
            <v>0</v>
          </cell>
          <cell r="O151">
            <v>972</v>
          </cell>
          <cell r="P151">
            <v>972</v>
          </cell>
          <cell r="Q151">
            <v>50</v>
          </cell>
          <cell r="R151">
            <v>50</v>
          </cell>
          <cell r="S151">
            <v>922</v>
          </cell>
          <cell r="T151">
            <v>922</v>
          </cell>
          <cell r="U151">
            <v>15</v>
          </cell>
          <cell r="V151">
            <v>15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420</v>
          </cell>
          <cell r="AG151">
            <v>220</v>
          </cell>
          <cell r="AH151">
            <v>180</v>
          </cell>
          <cell r="AI151">
            <v>0</v>
          </cell>
          <cell r="AJ151">
            <v>0</v>
          </cell>
          <cell r="AK151">
            <v>20</v>
          </cell>
          <cell r="AL151">
            <v>0</v>
          </cell>
          <cell r="AM151">
            <v>0</v>
          </cell>
          <cell r="AN151">
            <v>0</v>
          </cell>
          <cell r="AO151">
            <v>487</v>
          </cell>
          <cell r="AP151">
            <v>430</v>
          </cell>
          <cell r="AQ151">
            <v>0</v>
          </cell>
          <cell r="AR151">
            <v>30</v>
          </cell>
          <cell r="AS151">
            <v>0</v>
          </cell>
          <cell r="AT151">
            <v>15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12</v>
          </cell>
          <cell r="BG151">
            <v>0</v>
          </cell>
          <cell r="BH151">
            <v>0</v>
          </cell>
          <cell r="BI151">
            <v>0</v>
          </cell>
          <cell r="BJ151">
            <v>185.29</v>
          </cell>
          <cell r="BK151">
            <v>0.35</v>
          </cell>
          <cell r="BL151">
            <v>184.94</v>
          </cell>
        </row>
        <row r="152">
          <cell r="B152" t="str">
            <v>MCF101</v>
          </cell>
          <cell r="C152">
            <v>27360</v>
          </cell>
          <cell r="D152">
            <v>9120</v>
          </cell>
          <cell r="E152">
            <v>26340</v>
          </cell>
          <cell r="F152">
            <v>8100</v>
          </cell>
          <cell r="G152">
            <v>1020</v>
          </cell>
          <cell r="H152">
            <v>1020</v>
          </cell>
          <cell r="I152">
            <v>48</v>
          </cell>
          <cell r="J152">
            <v>48</v>
          </cell>
          <cell r="K152">
            <v>48</v>
          </cell>
          <cell r="L152">
            <v>0</v>
          </cell>
          <cell r="M152">
            <v>48</v>
          </cell>
          <cell r="N152">
            <v>0</v>
          </cell>
          <cell r="O152">
            <v>972</v>
          </cell>
          <cell r="P152">
            <v>972</v>
          </cell>
          <cell r="Q152">
            <v>50</v>
          </cell>
          <cell r="R152">
            <v>50</v>
          </cell>
          <cell r="S152">
            <v>922</v>
          </cell>
          <cell r="T152">
            <v>922</v>
          </cell>
          <cell r="U152">
            <v>15</v>
          </cell>
          <cell r="V152">
            <v>15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420</v>
          </cell>
          <cell r="AG152">
            <v>220</v>
          </cell>
          <cell r="AH152">
            <v>180</v>
          </cell>
          <cell r="AI152">
            <v>0</v>
          </cell>
          <cell r="AJ152">
            <v>0</v>
          </cell>
          <cell r="AK152">
            <v>20</v>
          </cell>
          <cell r="AL152">
            <v>0</v>
          </cell>
          <cell r="AM152">
            <v>0</v>
          </cell>
          <cell r="AN152">
            <v>0</v>
          </cell>
          <cell r="AO152">
            <v>487</v>
          </cell>
          <cell r="AP152">
            <v>430</v>
          </cell>
          <cell r="AQ152">
            <v>0</v>
          </cell>
          <cell r="AR152">
            <v>30</v>
          </cell>
          <cell r="AS152">
            <v>0</v>
          </cell>
          <cell r="AT152">
            <v>15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12</v>
          </cell>
          <cell r="BG152">
            <v>0</v>
          </cell>
          <cell r="BH152">
            <v>0</v>
          </cell>
          <cell r="BI152">
            <v>0</v>
          </cell>
          <cell r="BJ152">
            <v>185.29</v>
          </cell>
          <cell r="BK152">
            <v>0.35</v>
          </cell>
          <cell r="BL152">
            <v>184.94</v>
          </cell>
        </row>
        <row r="153">
          <cell r="B153" t="str">
            <v>CPH SOL-CAPSULE</v>
          </cell>
          <cell r="C153">
            <v>27360</v>
          </cell>
          <cell r="D153">
            <v>9120</v>
          </cell>
          <cell r="E153">
            <v>26850</v>
          </cell>
          <cell r="F153">
            <v>8610</v>
          </cell>
          <cell r="G153">
            <v>510</v>
          </cell>
          <cell r="H153">
            <v>510</v>
          </cell>
          <cell r="I153">
            <v>30</v>
          </cell>
          <cell r="J153">
            <v>30</v>
          </cell>
          <cell r="K153">
            <v>30</v>
          </cell>
          <cell r="L153">
            <v>30</v>
          </cell>
          <cell r="M153">
            <v>0</v>
          </cell>
          <cell r="N153">
            <v>0</v>
          </cell>
          <cell r="O153">
            <v>480</v>
          </cell>
          <cell r="P153">
            <v>480</v>
          </cell>
          <cell r="Q153">
            <v>160</v>
          </cell>
          <cell r="R153">
            <v>160</v>
          </cell>
          <cell r="S153">
            <v>320</v>
          </cell>
          <cell r="T153">
            <v>320</v>
          </cell>
          <cell r="U153">
            <v>20</v>
          </cell>
          <cell r="V153">
            <v>10</v>
          </cell>
          <cell r="W153">
            <v>0</v>
          </cell>
          <cell r="X153">
            <v>10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190</v>
          </cell>
          <cell r="AG153">
            <v>35</v>
          </cell>
          <cell r="AH153">
            <v>0</v>
          </cell>
          <cell r="AI153">
            <v>0</v>
          </cell>
          <cell r="AJ153">
            <v>0</v>
          </cell>
          <cell r="AK153">
            <v>155</v>
          </cell>
          <cell r="AL153">
            <v>0</v>
          </cell>
          <cell r="AM153">
            <v>0</v>
          </cell>
          <cell r="AN153">
            <v>0</v>
          </cell>
          <cell r="AO153">
            <v>110</v>
          </cell>
          <cell r="AP153">
            <v>0</v>
          </cell>
          <cell r="AQ153">
            <v>0</v>
          </cell>
          <cell r="AR153">
            <v>30</v>
          </cell>
          <cell r="AS153">
            <v>0</v>
          </cell>
          <cell r="AT153">
            <v>15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20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10</v>
          </cell>
          <cell r="BG153">
            <v>0</v>
          </cell>
          <cell r="BH153">
            <v>0</v>
          </cell>
          <cell r="BI153">
            <v>35</v>
          </cell>
          <cell r="BJ153">
            <v>97969</v>
          </cell>
          <cell r="BK153">
            <v>0</v>
          </cell>
          <cell r="BL153">
            <v>97969</v>
          </cell>
        </row>
        <row r="154">
          <cell r="B154" t="str">
            <v>KCF101</v>
          </cell>
          <cell r="C154">
            <v>27360</v>
          </cell>
          <cell r="D154">
            <v>9120</v>
          </cell>
          <cell r="E154">
            <v>26850</v>
          </cell>
          <cell r="F154">
            <v>8610</v>
          </cell>
          <cell r="G154">
            <v>510</v>
          </cell>
          <cell r="H154">
            <v>510</v>
          </cell>
          <cell r="I154">
            <v>30</v>
          </cell>
          <cell r="J154">
            <v>30</v>
          </cell>
          <cell r="K154">
            <v>30</v>
          </cell>
          <cell r="L154">
            <v>30</v>
          </cell>
          <cell r="M154">
            <v>0</v>
          </cell>
          <cell r="N154">
            <v>0</v>
          </cell>
          <cell r="O154">
            <v>480</v>
          </cell>
          <cell r="P154">
            <v>480</v>
          </cell>
          <cell r="Q154">
            <v>160</v>
          </cell>
          <cell r="R154">
            <v>160</v>
          </cell>
          <cell r="S154">
            <v>320</v>
          </cell>
          <cell r="T154">
            <v>320</v>
          </cell>
          <cell r="U154">
            <v>20</v>
          </cell>
          <cell r="V154">
            <v>10</v>
          </cell>
          <cell r="W154">
            <v>0</v>
          </cell>
          <cell r="X154">
            <v>10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190</v>
          </cell>
          <cell r="AG154">
            <v>35</v>
          </cell>
          <cell r="AH154">
            <v>0</v>
          </cell>
          <cell r="AI154">
            <v>0</v>
          </cell>
          <cell r="AJ154">
            <v>0</v>
          </cell>
          <cell r="AK154">
            <v>155</v>
          </cell>
          <cell r="AL154">
            <v>0</v>
          </cell>
          <cell r="AM154">
            <v>0</v>
          </cell>
          <cell r="AN154">
            <v>0</v>
          </cell>
          <cell r="AO154">
            <v>110</v>
          </cell>
          <cell r="AP154">
            <v>0</v>
          </cell>
          <cell r="AQ154">
            <v>0</v>
          </cell>
          <cell r="AR154">
            <v>30</v>
          </cell>
          <cell r="AS154">
            <v>0</v>
          </cell>
          <cell r="AT154">
            <v>15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20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10</v>
          </cell>
          <cell r="BG154">
            <v>0</v>
          </cell>
          <cell r="BH154">
            <v>0</v>
          </cell>
          <cell r="BI154">
            <v>35</v>
          </cell>
          <cell r="BJ154">
            <v>97969</v>
          </cell>
          <cell r="BK154">
            <v>0</v>
          </cell>
          <cell r="BL154">
            <v>97969</v>
          </cell>
        </row>
        <row r="155">
          <cell r="B155" t="str">
            <v>CPH SOL-STRIPPING</v>
          </cell>
          <cell r="C155">
            <v>27360</v>
          </cell>
          <cell r="D155">
            <v>9120</v>
          </cell>
          <cell r="E155">
            <v>26850</v>
          </cell>
          <cell r="F155">
            <v>8610</v>
          </cell>
          <cell r="G155">
            <v>510</v>
          </cell>
          <cell r="H155">
            <v>510</v>
          </cell>
          <cell r="I155">
            <v>30</v>
          </cell>
          <cell r="J155">
            <v>30</v>
          </cell>
          <cell r="K155">
            <v>30</v>
          </cell>
          <cell r="L155">
            <v>30</v>
          </cell>
          <cell r="M155">
            <v>0</v>
          </cell>
          <cell r="N155">
            <v>0</v>
          </cell>
          <cell r="O155">
            <v>480</v>
          </cell>
          <cell r="P155">
            <v>480</v>
          </cell>
          <cell r="Q155">
            <v>120</v>
          </cell>
          <cell r="R155">
            <v>120</v>
          </cell>
          <cell r="S155">
            <v>360</v>
          </cell>
          <cell r="T155">
            <v>360</v>
          </cell>
          <cell r="U155">
            <v>105</v>
          </cell>
          <cell r="V155">
            <v>85</v>
          </cell>
          <cell r="W155">
            <v>0</v>
          </cell>
          <cell r="X155">
            <v>20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160</v>
          </cell>
          <cell r="AG155">
            <v>50</v>
          </cell>
          <cell r="AH155">
            <v>90</v>
          </cell>
          <cell r="AI155">
            <v>0</v>
          </cell>
          <cell r="AJ155">
            <v>0</v>
          </cell>
          <cell r="AK155">
            <v>20</v>
          </cell>
          <cell r="AL155">
            <v>0</v>
          </cell>
          <cell r="AM155">
            <v>0</v>
          </cell>
          <cell r="AN155">
            <v>0</v>
          </cell>
          <cell r="AO155">
            <v>95</v>
          </cell>
          <cell r="AP155">
            <v>0</v>
          </cell>
          <cell r="AQ155">
            <v>0</v>
          </cell>
          <cell r="AR155">
            <v>30</v>
          </cell>
          <cell r="AS155">
            <v>0</v>
          </cell>
          <cell r="AT155">
            <v>30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20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15</v>
          </cell>
          <cell r="BG155">
            <v>0</v>
          </cell>
          <cell r="BH155">
            <v>0</v>
          </cell>
          <cell r="BI155">
            <v>0</v>
          </cell>
          <cell r="BJ155">
            <v>97780</v>
          </cell>
          <cell r="BK155">
            <v>0</v>
          </cell>
          <cell r="BL155">
            <v>97780</v>
          </cell>
        </row>
        <row r="156">
          <cell r="B156" t="str">
            <v>STC101</v>
          </cell>
          <cell r="C156">
            <v>27360</v>
          </cell>
          <cell r="D156">
            <v>9120</v>
          </cell>
          <cell r="E156">
            <v>26850</v>
          </cell>
          <cell r="F156">
            <v>8610</v>
          </cell>
          <cell r="G156">
            <v>510</v>
          </cell>
          <cell r="H156">
            <v>510</v>
          </cell>
          <cell r="I156">
            <v>30</v>
          </cell>
          <cell r="J156">
            <v>30</v>
          </cell>
          <cell r="K156">
            <v>30</v>
          </cell>
          <cell r="L156">
            <v>30</v>
          </cell>
          <cell r="M156">
            <v>0</v>
          </cell>
          <cell r="N156">
            <v>0</v>
          </cell>
          <cell r="O156">
            <v>480</v>
          </cell>
          <cell r="P156">
            <v>480</v>
          </cell>
          <cell r="Q156">
            <v>120</v>
          </cell>
          <cell r="R156">
            <v>120</v>
          </cell>
          <cell r="S156">
            <v>360</v>
          </cell>
          <cell r="T156">
            <v>360</v>
          </cell>
          <cell r="U156">
            <v>105</v>
          </cell>
          <cell r="V156">
            <v>85</v>
          </cell>
          <cell r="W156">
            <v>0</v>
          </cell>
          <cell r="X156">
            <v>20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160</v>
          </cell>
          <cell r="AG156">
            <v>50</v>
          </cell>
          <cell r="AH156">
            <v>90</v>
          </cell>
          <cell r="AI156">
            <v>0</v>
          </cell>
          <cell r="AJ156">
            <v>0</v>
          </cell>
          <cell r="AK156">
            <v>20</v>
          </cell>
          <cell r="AL156">
            <v>0</v>
          </cell>
          <cell r="AM156">
            <v>0</v>
          </cell>
          <cell r="AN156">
            <v>0</v>
          </cell>
          <cell r="AO156">
            <v>95</v>
          </cell>
          <cell r="AP156">
            <v>0</v>
          </cell>
          <cell r="AQ156">
            <v>0</v>
          </cell>
          <cell r="AR156">
            <v>30</v>
          </cell>
          <cell r="AS156">
            <v>0</v>
          </cell>
          <cell r="AT156">
            <v>30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20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15</v>
          </cell>
          <cell r="BG156">
            <v>0</v>
          </cell>
          <cell r="BH156">
            <v>0</v>
          </cell>
          <cell r="BI156">
            <v>0</v>
          </cell>
          <cell r="BJ156">
            <v>97780</v>
          </cell>
          <cell r="BK156">
            <v>0</v>
          </cell>
          <cell r="BL156">
            <v>97780</v>
          </cell>
        </row>
        <row r="157">
          <cell r="B157" t="str">
            <v>CPH SOL-POWDER FILLING</v>
          </cell>
          <cell r="C157">
            <v>27360</v>
          </cell>
          <cell r="D157">
            <v>9120</v>
          </cell>
          <cell r="E157">
            <v>25320</v>
          </cell>
          <cell r="F157">
            <v>7080</v>
          </cell>
          <cell r="G157">
            <v>2040</v>
          </cell>
          <cell r="H157">
            <v>2040</v>
          </cell>
          <cell r="I157">
            <v>90</v>
          </cell>
          <cell r="J157">
            <v>90</v>
          </cell>
          <cell r="K157">
            <v>90</v>
          </cell>
          <cell r="L157">
            <v>90</v>
          </cell>
          <cell r="M157">
            <v>0</v>
          </cell>
          <cell r="N157">
            <v>0</v>
          </cell>
          <cell r="O157">
            <v>1950</v>
          </cell>
          <cell r="P157">
            <v>1950</v>
          </cell>
          <cell r="Q157">
            <v>445</v>
          </cell>
          <cell r="R157">
            <v>445</v>
          </cell>
          <cell r="S157">
            <v>1505</v>
          </cell>
          <cell r="T157">
            <v>1505</v>
          </cell>
          <cell r="U157">
            <v>335</v>
          </cell>
          <cell r="V157">
            <v>180</v>
          </cell>
          <cell r="W157">
            <v>0</v>
          </cell>
          <cell r="X157">
            <v>100</v>
          </cell>
          <cell r="Y157">
            <v>55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550</v>
          </cell>
          <cell r="AG157">
            <v>330</v>
          </cell>
          <cell r="AH157">
            <v>195</v>
          </cell>
          <cell r="AI157">
            <v>0</v>
          </cell>
          <cell r="AJ157">
            <v>0</v>
          </cell>
          <cell r="AK157">
            <v>25</v>
          </cell>
          <cell r="AL157">
            <v>0</v>
          </cell>
          <cell r="AM157">
            <v>0</v>
          </cell>
          <cell r="AN157">
            <v>0</v>
          </cell>
          <cell r="AO157">
            <v>620</v>
          </cell>
          <cell r="AP157">
            <v>0</v>
          </cell>
          <cell r="AQ157">
            <v>0</v>
          </cell>
          <cell r="AR157">
            <v>90</v>
          </cell>
          <cell r="AS157">
            <v>0</v>
          </cell>
          <cell r="AT157">
            <v>45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45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30</v>
          </cell>
          <cell r="BG157">
            <v>0</v>
          </cell>
          <cell r="BH157">
            <v>0</v>
          </cell>
          <cell r="BI157">
            <v>410</v>
          </cell>
          <cell r="BJ157">
            <v>13799</v>
          </cell>
          <cell r="BK157">
            <v>45</v>
          </cell>
          <cell r="BL157">
            <v>13754</v>
          </cell>
        </row>
        <row r="158">
          <cell r="B158" t="str">
            <v>SCF102</v>
          </cell>
          <cell r="C158">
            <v>27360</v>
          </cell>
          <cell r="D158">
            <v>9120</v>
          </cell>
          <cell r="E158">
            <v>25320</v>
          </cell>
          <cell r="F158">
            <v>7080</v>
          </cell>
          <cell r="G158">
            <v>2040</v>
          </cell>
          <cell r="H158">
            <v>2040</v>
          </cell>
          <cell r="I158">
            <v>90</v>
          </cell>
          <cell r="J158">
            <v>90</v>
          </cell>
          <cell r="K158">
            <v>90</v>
          </cell>
          <cell r="L158">
            <v>90</v>
          </cell>
          <cell r="M158">
            <v>0</v>
          </cell>
          <cell r="N158">
            <v>0</v>
          </cell>
          <cell r="O158">
            <v>1950</v>
          </cell>
          <cell r="P158">
            <v>1950</v>
          </cell>
          <cell r="Q158">
            <v>445</v>
          </cell>
          <cell r="R158">
            <v>445</v>
          </cell>
          <cell r="S158">
            <v>1505</v>
          </cell>
          <cell r="T158">
            <v>1505</v>
          </cell>
          <cell r="U158">
            <v>335</v>
          </cell>
          <cell r="V158">
            <v>180</v>
          </cell>
          <cell r="W158">
            <v>0</v>
          </cell>
          <cell r="X158">
            <v>100</v>
          </cell>
          <cell r="Y158">
            <v>55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550</v>
          </cell>
          <cell r="AG158">
            <v>330</v>
          </cell>
          <cell r="AH158">
            <v>195</v>
          </cell>
          <cell r="AI158">
            <v>0</v>
          </cell>
          <cell r="AJ158">
            <v>0</v>
          </cell>
          <cell r="AK158">
            <v>25</v>
          </cell>
          <cell r="AL158">
            <v>0</v>
          </cell>
          <cell r="AM158">
            <v>0</v>
          </cell>
          <cell r="AN158">
            <v>0</v>
          </cell>
          <cell r="AO158">
            <v>620</v>
          </cell>
          <cell r="AP158">
            <v>0</v>
          </cell>
          <cell r="AQ158">
            <v>0</v>
          </cell>
          <cell r="AR158">
            <v>90</v>
          </cell>
          <cell r="AS158">
            <v>0</v>
          </cell>
          <cell r="AT158">
            <v>45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45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30</v>
          </cell>
          <cell r="BG158">
            <v>0</v>
          </cell>
          <cell r="BH158">
            <v>0</v>
          </cell>
          <cell r="BI158">
            <v>410</v>
          </cell>
          <cell r="BJ158">
            <v>13799</v>
          </cell>
          <cell r="BK158">
            <v>45</v>
          </cell>
          <cell r="BL158">
            <v>13754</v>
          </cell>
        </row>
        <row r="159">
          <cell r="B159" t="str">
            <v>CPH INJ-FILLING</v>
          </cell>
          <cell r="C159">
            <v>27360</v>
          </cell>
          <cell r="D159">
            <v>17670</v>
          </cell>
          <cell r="E159">
            <v>16930</v>
          </cell>
          <cell r="F159">
            <v>7240</v>
          </cell>
          <cell r="G159">
            <v>10430</v>
          </cell>
          <cell r="H159">
            <v>10430</v>
          </cell>
          <cell r="I159">
            <v>1104</v>
          </cell>
          <cell r="J159">
            <v>1104</v>
          </cell>
          <cell r="K159">
            <v>1084</v>
          </cell>
          <cell r="L159">
            <v>5</v>
          </cell>
          <cell r="M159">
            <v>1079</v>
          </cell>
          <cell r="N159">
            <v>20</v>
          </cell>
          <cell r="O159">
            <v>9326</v>
          </cell>
          <cell r="P159">
            <v>9326</v>
          </cell>
          <cell r="Q159">
            <v>3787</v>
          </cell>
          <cell r="R159">
            <v>3787</v>
          </cell>
          <cell r="S159">
            <v>5539</v>
          </cell>
          <cell r="T159">
            <v>5539</v>
          </cell>
          <cell r="U159">
            <v>817</v>
          </cell>
          <cell r="V159">
            <v>635</v>
          </cell>
          <cell r="W159">
            <v>0</v>
          </cell>
          <cell r="X159">
            <v>182</v>
          </cell>
          <cell r="Y159">
            <v>0</v>
          </cell>
          <cell r="Z159">
            <v>308</v>
          </cell>
          <cell r="AA159">
            <v>276</v>
          </cell>
          <cell r="AB159">
            <v>0</v>
          </cell>
          <cell r="AC159">
            <v>0</v>
          </cell>
          <cell r="AD159">
            <v>32</v>
          </cell>
          <cell r="AE159">
            <v>0</v>
          </cell>
          <cell r="AF159">
            <v>2906</v>
          </cell>
          <cell r="AG159">
            <v>1238</v>
          </cell>
          <cell r="AH159">
            <v>1661</v>
          </cell>
          <cell r="AI159">
            <v>7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1508</v>
          </cell>
          <cell r="AP159">
            <v>0</v>
          </cell>
          <cell r="AQ159">
            <v>0</v>
          </cell>
          <cell r="AR159">
            <v>715</v>
          </cell>
          <cell r="AS159">
            <v>85</v>
          </cell>
          <cell r="AT159">
            <v>475</v>
          </cell>
          <cell r="AU159">
            <v>0</v>
          </cell>
          <cell r="AV159">
            <v>0</v>
          </cell>
          <cell r="AW159">
            <v>95</v>
          </cell>
          <cell r="AX159">
            <v>0</v>
          </cell>
          <cell r="AY159">
            <v>136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2</v>
          </cell>
          <cell r="BG159">
            <v>0</v>
          </cell>
          <cell r="BH159">
            <v>0</v>
          </cell>
          <cell r="BI159">
            <v>0</v>
          </cell>
          <cell r="BJ159">
            <v>521211</v>
          </cell>
          <cell r="BK159">
            <v>3</v>
          </cell>
          <cell r="BL159">
            <v>521208</v>
          </cell>
        </row>
        <row r="160">
          <cell r="B160" t="str">
            <v>GINLINE6</v>
          </cell>
          <cell r="C160">
            <v>27360</v>
          </cell>
          <cell r="D160">
            <v>17670</v>
          </cell>
          <cell r="E160">
            <v>16930</v>
          </cell>
          <cell r="F160">
            <v>7240</v>
          </cell>
          <cell r="G160">
            <v>10430</v>
          </cell>
          <cell r="H160">
            <v>10430</v>
          </cell>
          <cell r="I160">
            <v>1104</v>
          </cell>
          <cell r="J160">
            <v>1104</v>
          </cell>
          <cell r="K160">
            <v>1084</v>
          </cell>
          <cell r="L160">
            <v>5</v>
          </cell>
          <cell r="M160">
            <v>1079</v>
          </cell>
          <cell r="N160">
            <v>20</v>
          </cell>
          <cell r="O160">
            <v>9326</v>
          </cell>
          <cell r="P160">
            <v>9326</v>
          </cell>
          <cell r="Q160">
            <v>3787</v>
          </cell>
          <cell r="R160">
            <v>3787</v>
          </cell>
          <cell r="S160">
            <v>5539</v>
          </cell>
          <cell r="T160">
            <v>5539</v>
          </cell>
          <cell r="U160">
            <v>817</v>
          </cell>
          <cell r="V160">
            <v>635</v>
          </cell>
          <cell r="W160">
            <v>0</v>
          </cell>
          <cell r="X160">
            <v>182</v>
          </cell>
          <cell r="Y160">
            <v>0</v>
          </cell>
          <cell r="Z160">
            <v>308</v>
          </cell>
          <cell r="AA160">
            <v>276</v>
          </cell>
          <cell r="AB160">
            <v>0</v>
          </cell>
          <cell r="AC160">
            <v>0</v>
          </cell>
          <cell r="AD160">
            <v>32</v>
          </cell>
          <cell r="AE160">
            <v>0</v>
          </cell>
          <cell r="AF160">
            <v>2906</v>
          </cell>
          <cell r="AG160">
            <v>1238</v>
          </cell>
          <cell r="AH160">
            <v>1661</v>
          </cell>
          <cell r="AI160">
            <v>7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1508</v>
          </cell>
          <cell r="AP160">
            <v>0</v>
          </cell>
          <cell r="AQ160">
            <v>0</v>
          </cell>
          <cell r="AR160">
            <v>715</v>
          </cell>
          <cell r="AS160">
            <v>85</v>
          </cell>
          <cell r="AT160">
            <v>475</v>
          </cell>
          <cell r="AU160">
            <v>0</v>
          </cell>
          <cell r="AV160">
            <v>0</v>
          </cell>
          <cell r="AW160">
            <v>95</v>
          </cell>
          <cell r="AX160">
            <v>0</v>
          </cell>
          <cell r="AY160">
            <v>136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2</v>
          </cell>
          <cell r="BG160">
            <v>0</v>
          </cell>
          <cell r="BH160">
            <v>0</v>
          </cell>
          <cell r="BI160">
            <v>0</v>
          </cell>
          <cell r="BJ160">
            <v>521211</v>
          </cell>
          <cell r="BK160">
            <v>3</v>
          </cell>
          <cell r="BL160">
            <v>521208</v>
          </cell>
        </row>
        <row r="161">
          <cell r="B161" t="str">
            <v>CPH INJ-STERILIZATION</v>
          </cell>
          <cell r="C161">
            <v>60480</v>
          </cell>
          <cell r="D161">
            <v>39060</v>
          </cell>
          <cell r="E161">
            <v>38755</v>
          </cell>
          <cell r="F161">
            <v>17335</v>
          </cell>
          <cell r="G161">
            <v>21725</v>
          </cell>
          <cell r="H161">
            <v>21725</v>
          </cell>
          <cell r="I161">
            <v>2473</v>
          </cell>
          <cell r="J161">
            <v>2473</v>
          </cell>
          <cell r="K161">
            <v>2473</v>
          </cell>
          <cell r="L161">
            <v>120</v>
          </cell>
          <cell r="M161">
            <v>2353</v>
          </cell>
          <cell r="N161">
            <v>0</v>
          </cell>
          <cell r="O161">
            <v>19252</v>
          </cell>
          <cell r="P161">
            <v>19252</v>
          </cell>
          <cell r="Q161">
            <v>8280</v>
          </cell>
          <cell r="R161">
            <v>8280</v>
          </cell>
          <cell r="S161">
            <v>10972</v>
          </cell>
          <cell r="T161">
            <v>10972</v>
          </cell>
          <cell r="U161">
            <v>941</v>
          </cell>
          <cell r="V161">
            <v>581</v>
          </cell>
          <cell r="W161">
            <v>0</v>
          </cell>
          <cell r="X161">
            <v>360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5132</v>
          </cell>
          <cell r="AG161">
            <v>4525</v>
          </cell>
          <cell r="AH161">
            <v>607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4899</v>
          </cell>
          <cell r="AP161">
            <v>0</v>
          </cell>
          <cell r="AQ161">
            <v>0</v>
          </cell>
          <cell r="AR161">
            <v>60</v>
          </cell>
          <cell r="AS161">
            <v>40</v>
          </cell>
          <cell r="AT161">
            <v>60</v>
          </cell>
          <cell r="AU161">
            <v>0</v>
          </cell>
          <cell r="AV161">
            <v>0</v>
          </cell>
          <cell r="AW161">
            <v>110</v>
          </cell>
          <cell r="AX161">
            <v>4618</v>
          </cell>
          <cell r="AY161">
            <v>11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901</v>
          </cell>
          <cell r="BK161">
            <v>0</v>
          </cell>
          <cell r="BL161">
            <v>901</v>
          </cell>
        </row>
        <row r="162">
          <cell r="B162" t="str">
            <v>ICF104</v>
          </cell>
          <cell r="C162">
            <v>30240</v>
          </cell>
          <cell r="D162">
            <v>19530</v>
          </cell>
          <cell r="E162">
            <v>18355</v>
          </cell>
          <cell r="F162">
            <v>7645</v>
          </cell>
          <cell r="G162">
            <v>11885</v>
          </cell>
          <cell r="H162">
            <v>11885</v>
          </cell>
          <cell r="I162">
            <v>1484</v>
          </cell>
          <cell r="J162">
            <v>1484</v>
          </cell>
          <cell r="K162">
            <v>1484</v>
          </cell>
          <cell r="L162">
            <v>60</v>
          </cell>
          <cell r="M162">
            <v>1424</v>
          </cell>
          <cell r="N162">
            <v>0</v>
          </cell>
          <cell r="O162">
            <v>10401</v>
          </cell>
          <cell r="P162">
            <v>10401</v>
          </cell>
          <cell r="Q162">
            <v>5189</v>
          </cell>
          <cell r="R162">
            <v>5189</v>
          </cell>
          <cell r="S162">
            <v>5212</v>
          </cell>
          <cell r="T162">
            <v>5212</v>
          </cell>
          <cell r="U162">
            <v>433</v>
          </cell>
          <cell r="V162">
            <v>303</v>
          </cell>
          <cell r="W162">
            <v>0</v>
          </cell>
          <cell r="X162">
            <v>130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3305</v>
          </cell>
          <cell r="AG162">
            <v>3087</v>
          </cell>
          <cell r="AH162">
            <v>218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1474</v>
          </cell>
          <cell r="AP162">
            <v>0</v>
          </cell>
          <cell r="AQ162">
            <v>0</v>
          </cell>
          <cell r="AR162">
            <v>60</v>
          </cell>
          <cell r="AS162">
            <v>20</v>
          </cell>
          <cell r="AT162">
            <v>60</v>
          </cell>
          <cell r="AU162">
            <v>0</v>
          </cell>
          <cell r="AV162">
            <v>0</v>
          </cell>
          <cell r="AW162">
            <v>70</v>
          </cell>
          <cell r="AX162">
            <v>1253</v>
          </cell>
          <cell r="AY162">
            <v>11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570</v>
          </cell>
          <cell r="BK162">
            <v>0</v>
          </cell>
          <cell r="BL162">
            <v>570</v>
          </cell>
        </row>
        <row r="163">
          <cell r="B163" t="str">
            <v>ICF105</v>
          </cell>
          <cell r="C163">
            <v>30240</v>
          </cell>
          <cell r="D163">
            <v>19530</v>
          </cell>
          <cell r="E163">
            <v>20400</v>
          </cell>
          <cell r="F163">
            <v>9690</v>
          </cell>
          <cell r="G163">
            <v>9840</v>
          </cell>
          <cell r="H163">
            <v>9840</v>
          </cell>
          <cell r="I163">
            <v>989</v>
          </cell>
          <cell r="J163">
            <v>989</v>
          </cell>
          <cell r="K163">
            <v>989</v>
          </cell>
          <cell r="L163">
            <v>60</v>
          </cell>
          <cell r="M163">
            <v>929</v>
          </cell>
          <cell r="N163">
            <v>0</v>
          </cell>
          <cell r="O163">
            <v>8851</v>
          </cell>
          <cell r="P163">
            <v>8851</v>
          </cell>
          <cell r="Q163">
            <v>3091</v>
          </cell>
          <cell r="R163">
            <v>3091</v>
          </cell>
          <cell r="S163">
            <v>5760</v>
          </cell>
          <cell r="T163">
            <v>5760</v>
          </cell>
          <cell r="U163">
            <v>508</v>
          </cell>
          <cell r="V163">
            <v>278</v>
          </cell>
          <cell r="W163">
            <v>0</v>
          </cell>
          <cell r="X163">
            <v>230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1827</v>
          </cell>
          <cell r="AG163">
            <v>1438</v>
          </cell>
          <cell r="AH163">
            <v>389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3425</v>
          </cell>
          <cell r="AP163">
            <v>0</v>
          </cell>
          <cell r="AQ163">
            <v>0</v>
          </cell>
          <cell r="AR163">
            <v>0</v>
          </cell>
          <cell r="AS163">
            <v>20</v>
          </cell>
          <cell r="AT163">
            <v>0</v>
          </cell>
          <cell r="AU163">
            <v>0</v>
          </cell>
          <cell r="AV163">
            <v>0</v>
          </cell>
          <cell r="AW163">
            <v>40</v>
          </cell>
          <cell r="AX163">
            <v>3365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331</v>
          </cell>
          <cell r="BK163">
            <v>0</v>
          </cell>
          <cell r="BL163">
            <v>331</v>
          </cell>
        </row>
        <row r="164">
          <cell r="B164" t="str">
            <v>CPH-SECONDARY PACKING</v>
          </cell>
          <cell r="C164">
            <v>54720</v>
          </cell>
          <cell r="D164">
            <v>18240</v>
          </cell>
          <cell r="E164">
            <v>29910</v>
          </cell>
          <cell r="F164">
            <v>-6570</v>
          </cell>
          <cell r="G164">
            <v>24810</v>
          </cell>
          <cell r="H164">
            <v>24810</v>
          </cell>
          <cell r="I164">
            <v>1865</v>
          </cell>
          <cell r="J164">
            <v>1865</v>
          </cell>
          <cell r="K164">
            <v>1865</v>
          </cell>
          <cell r="L164">
            <v>475</v>
          </cell>
          <cell r="M164">
            <v>1390</v>
          </cell>
          <cell r="N164">
            <v>0</v>
          </cell>
          <cell r="O164">
            <v>22945</v>
          </cell>
          <cell r="P164">
            <v>22945</v>
          </cell>
          <cell r="Q164">
            <v>8465</v>
          </cell>
          <cell r="R164">
            <v>8465</v>
          </cell>
          <cell r="S164">
            <v>14480</v>
          </cell>
          <cell r="T164">
            <v>14480</v>
          </cell>
          <cell r="U164">
            <v>5212</v>
          </cell>
          <cell r="V164">
            <v>2707</v>
          </cell>
          <cell r="W164">
            <v>170</v>
          </cell>
          <cell r="X164">
            <v>805</v>
          </cell>
          <cell r="Y164">
            <v>1530</v>
          </cell>
          <cell r="Z164">
            <v>300</v>
          </cell>
          <cell r="AA164">
            <v>260</v>
          </cell>
          <cell r="AB164">
            <v>0</v>
          </cell>
          <cell r="AC164">
            <v>0</v>
          </cell>
          <cell r="AD164">
            <v>40</v>
          </cell>
          <cell r="AE164">
            <v>0</v>
          </cell>
          <cell r="AF164">
            <v>3922</v>
          </cell>
          <cell r="AG164">
            <v>2025</v>
          </cell>
          <cell r="AH164">
            <v>762</v>
          </cell>
          <cell r="AI164">
            <v>690</v>
          </cell>
          <cell r="AJ164">
            <v>0</v>
          </cell>
          <cell r="AK164">
            <v>445</v>
          </cell>
          <cell r="AL164">
            <v>280</v>
          </cell>
          <cell r="AM164">
            <v>0</v>
          </cell>
          <cell r="AN164">
            <v>280</v>
          </cell>
          <cell r="AO164">
            <v>4766</v>
          </cell>
          <cell r="AP164">
            <v>175</v>
          </cell>
          <cell r="AQ164">
            <v>0</v>
          </cell>
          <cell r="AR164">
            <v>1470</v>
          </cell>
          <cell r="AS164">
            <v>0</v>
          </cell>
          <cell r="AT164">
            <v>1055</v>
          </cell>
          <cell r="AU164">
            <v>270</v>
          </cell>
          <cell r="AV164">
            <v>100</v>
          </cell>
          <cell r="AW164">
            <v>0</v>
          </cell>
          <cell r="AX164">
            <v>120</v>
          </cell>
          <cell r="AY164">
            <v>544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1032</v>
          </cell>
          <cell r="BG164">
            <v>0</v>
          </cell>
          <cell r="BH164">
            <v>0</v>
          </cell>
          <cell r="BI164">
            <v>0</v>
          </cell>
          <cell r="BJ164">
            <v>1065508</v>
          </cell>
          <cell r="BK164">
            <v>448</v>
          </cell>
          <cell r="BL164">
            <v>1065060</v>
          </cell>
        </row>
        <row r="165">
          <cell r="B165" t="str">
            <v>PCF101</v>
          </cell>
          <cell r="C165">
            <v>27360</v>
          </cell>
          <cell r="D165">
            <v>9120</v>
          </cell>
          <cell r="E165">
            <v>9690</v>
          </cell>
          <cell r="F165">
            <v>-8550</v>
          </cell>
          <cell r="G165">
            <v>17670</v>
          </cell>
          <cell r="H165">
            <v>17670</v>
          </cell>
          <cell r="I165">
            <v>740</v>
          </cell>
          <cell r="J165">
            <v>740</v>
          </cell>
          <cell r="K165">
            <v>740</v>
          </cell>
          <cell r="L165">
            <v>250</v>
          </cell>
          <cell r="M165">
            <v>490</v>
          </cell>
          <cell r="N165">
            <v>0</v>
          </cell>
          <cell r="O165">
            <v>16930</v>
          </cell>
          <cell r="P165">
            <v>16930</v>
          </cell>
          <cell r="Q165">
            <v>5455</v>
          </cell>
          <cell r="R165">
            <v>5455</v>
          </cell>
          <cell r="S165">
            <v>11475</v>
          </cell>
          <cell r="T165">
            <v>11475</v>
          </cell>
          <cell r="U165">
            <v>5000</v>
          </cell>
          <cell r="V165">
            <v>2495</v>
          </cell>
          <cell r="W165">
            <v>170</v>
          </cell>
          <cell r="X165">
            <v>805</v>
          </cell>
          <cell r="Y165">
            <v>1530</v>
          </cell>
          <cell r="Z165">
            <v>235</v>
          </cell>
          <cell r="AA165">
            <v>195</v>
          </cell>
          <cell r="AB165">
            <v>0</v>
          </cell>
          <cell r="AC165">
            <v>0</v>
          </cell>
          <cell r="AD165">
            <v>40</v>
          </cell>
          <cell r="AE165">
            <v>0</v>
          </cell>
          <cell r="AF165">
            <v>3290</v>
          </cell>
          <cell r="AG165">
            <v>2025</v>
          </cell>
          <cell r="AH165">
            <v>575</v>
          </cell>
          <cell r="AI165">
            <v>690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2950</v>
          </cell>
          <cell r="AP165">
            <v>175</v>
          </cell>
          <cell r="AQ165">
            <v>0</v>
          </cell>
          <cell r="AR165">
            <v>1140</v>
          </cell>
          <cell r="AS165">
            <v>0</v>
          </cell>
          <cell r="AT165">
            <v>880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345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410</v>
          </cell>
          <cell r="BG165">
            <v>0</v>
          </cell>
          <cell r="BH165">
            <v>0</v>
          </cell>
          <cell r="BI165">
            <v>0</v>
          </cell>
          <cell r="BJ165">
            <v>982616</v>
          </cell>
          <cell r="BK165">
            <v>234</v>
          </cell>
          <cell r="BL165">
            <v>982382</v>
          </cell>
        </row>
        <row r="166">
          <cell r="B166" t="str">
            <v>PCF102</v>
          </cell>
          <cell r="C166">
            <v>27360</v>
          </cell>
          <cell r="D166">
            <v>9120</v>
          </cell>
          <cell r="E166">
            <v>20220</v>
          </cell>
          <cell r="F166">
            <v>1980</v>
          </cell>
          <cell r="G166">
            <v>7140</v>
          </cell>
          <cell r="H166">
            <v>7140</v>
          </cell>
          <cell r="I166">
            <v>1125</v>
          </cell>
          <cell r="J166">
            <v>1125</v>
          </cell>
          <cell r="K166">
            <v>1125</v>
          </cell>
          <cell r="L166">
            <v>225</v>
          </cell>
          <cell r="M166">
            <v>900</v>
          </cell>
          <cell r="N166">
            <v>0</v>
          </cell>
          <cell r="O166">
            <v>6015</v>
          </cell>
          <cell r="P166">
            <v>6015</v>
          </cell>
          <cell r="Q166">
            <v>3010</v>
          </cell>
          <cell r="R166">
            <v>3010</v>
          </cell>
          <cell r="S166">
            <v>3005</v>
          </cell>
          <cell r="T166">
            <v>3005</v>
          </cell>
          <cell r="U166">
            <v>212</v>
          </cell>
          <cell r="V166">
            <v>212</v>
          </cell>
          <cell r="W166">
            <v>0</v>
          </cell>
          <cell r="X166">
            <v>0</v>
          </cell>
          <cell r="Y166">
            <v>0</v>
          </cell>
          <cell r="Z166">
            <v>65</v>
          </cell>
          <cell r="AA166">
            <v>65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632</v>
          </cell>
          <cell r="AG166">
            <v>0</v>
          </cell>
          <cell r="AH166">
            <v>187</v>
          </cell>
          <cell r="AI166">
            <v>0</v>
          </cell>
          <cell r="AJ166">
            <v>0</v>
          </cell>
          <cell r="AK166">
            <v>445</v>
          </cell>
          <cell r="AL166">
            <v>280</v>
          </cell>
          <cell r="AM166">
            <v>0</v>
          </cell>
          <cell r="AN166">
            <v>280</v>
          </cell>
          <cell r="AO166">
            <v>1816</v>
          </cell>
          <cell r="AP166">
            <v>0</v>
          </cell>
          <cell r="AQ166">
            <v>0</v>
          </cell>
          <cell r="AR166">
            <v>330</v>
          </cell>
          <cell r="AS166">
            <v>0</v>
          </cell>
          <cell r="AT166">
            <v>175</v>
          </cell>
          <cell r="AU166">
            <v>270</v>
          </cell>
          <cell r="AV166">
            <v>100</v>
          </cell>
          <cell r="AW166">
            <v>0</v>
          </cell>
          <cell r="AX166">
            <v>120</v>
          </cell>
          <cell r="AY166">
            <v>199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622</v>
          </cell>
          <cell r="BG166">
            <v>0</v>
          </cell>
          <cell r="BH166">
            <v>0</v>
          </cell>
          <cell r="BI166">
            <v>0</v>
          </cell>
          <cell r="BJ166">
            <v>82892</v>
          </cell>
          <cell r="BK166">
            <v>214</v>
          </cell>
          <cell r="BL166">
            <v>82678</v>
          </cell>
        </row>
      </sheetData>
      <sheetData sheetId="14" refreshError="1"/>
      <sheetData sheetId="1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shboard OEE"/>
      <sheetName val="Dashboard Monthly Manpower"/>
      <sheetName val="Dashboard Monthly Legend"/>
      <sheetName val="Dashboard Legend Group"/>
      <sheetName val="Mesin Running"/>
      <sheetName val="Pivot Batch &amp; Tanggal"/>
      <sheetName val="Jumlah Shift"/>
      <sheetName val="Format Shift Operation"/>
      <sheetName val="Custom Report "/>
      <sheetName val="OEE All Machine Report"/>
      <sheetName val="OEE By Group Report"/>
      <sheetName val="Analisys QBR Report"/>
      <sheetName val="Analisys QBR By Machine Report"/>
      <sheetName val="Dasboard_QBR_Report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B1" t="str">
            <v>oee</v>
          </cell>
        </row>
        <row r="109">
          <cell r="C109" t="str">
            <v>PROSES( Menit )</v>
          </cell>
          <cell r="D109" t="str">
            <v>POT</v>
          </cell>
          <cell r="E109" t="str">
            <v>Unschedule Time</v>
          </cell>
          <cell r="F109" t="str">
            <v>L2</v>
          </cell>
          <cell r="G109" t="str">
            <v>L21</v>
          </cell>
          <cell r="H109" t="str">
            <v>L22</v>
          </cell>
          <cell r="I109" t="str">
            <v>IG</v>
          </cell>
          <cell r="J109" t="str">
            <v>PPT</v>
          </cell>
          <cell r="K109" t="str">
            <v>R</v>
          </cell>
          <cell r="L109" t="str">
            <v>Setup</v>
          </cell>
          <cell r="M109" t="str">
            <v>P6</v>
          </cell>
          <cell r="N109" t="str">
            <v>P5</v>
          </cell>
          <cell r="O109" t="str">
            <v>P8</v>
          </cell>
          <cell r="P109" t="str">
            <v>P9</v>
          </cell>
          <cell r="Q109" t="str">
            <v>Breakdown</v>
          </cell>
          <cell r="R109" t="str">
            <v>M1</v>
          </cell>
          <cell r="S109" t="str">
            <v>M2</v>
          </cell>
          <cell r="T109" t="str">
            <v>M4</v>
          </cell>
          <cell r="U109" t="str">
            <v>M8</v>
          </cell>
          <cell r="V109" t="str">
            <v>M9</v>
          </cell>
          <cell r="W109" t="str">
            <v>Clean</v>
          </cell>
          <cell r="X109" t="str">
            <v>P2</v>
          </cell>
          <cell r="Y109" t="str">
            <v>P4</v>
          </cell>
          <cell r="Z109" t="str">
            <v>P17</v>
          </cell>
          <cell r="AA109" t="str">
            <v>P19</v>
          </cell>
          <cell r="AB109" t="str">
            <v>P12</v>
          </cell>
          <cell r="AC109" t="str">
            <v>Trial</v>
          </cell>
          <cell r="AD109" t="str">
            <v>R1</v>
          </cell>
          <cell r="AE109" t="str">
            <v>R2</v>
          </cell>
          <cell r="AF109" t="str">
            <v>Waiting</v>
          </cell>
          <cell r="AG109" t="str">
            <v>L1</v>
          </cell>
          <cell r="AH109" t="str">
            <v>L3</v>
          </cell>
          <cell r="AI109" t="str">
            <v>H1</v>
          </cell>
          <cell r="AJ109" t="str">
            <v>H2</v>
          </cell>
          <cell r="AK109" t="str">
            <v>H4</v>
          </cell>
          <cell r="AL109" t="str">
            <v>H6</v>
          </cell>
          <cell r="AM109" t="str">
            <v>H7</v>
          </cell>
          <cell r="AN109" t="str">
            <v>H8</v>
          </cell>
          <cell r="AO109" t="str">
            <v>P10</v>
          </cell>
          <cell r="AP109" t="str">
            <v>P11</v>
          </cell>
          <cell r="AQ109" t="str">
            <v>P13</v>
          </cell>
          <cell r="AR109" t="str">
            <v>P14</v>
          </cell>
          <cell r="AS109" t="str">
            <v>P16</v>
          </cell>
          <cell r="AT109" t="str">
            <v>M5</v>
          </cell>
          <cell r="AU109" t="str">
            <v>M6</v>
          </cell>
          <cell r="AV109" t="str">
            <v>M7</v>
          </cell>
          <cell r="AW109" t="str">
            <v>Q1</v>
          </cell>
          <cell r="AX109" t="str">
            <v>Q2</v>
          </cell>
          <cell r="AY109" t="str">
            <v>Q3</v>
          </cell>
          <cell r="AZ109" t="str">
            <v>Q4</v>
          </cell>
          <cell r="BA109" t="str">
            <v>Total Output</v>
          </cell>
          <cell r="BB109" t="str">
            <v>Reject Output</v>
          </cell>
          <cell r="BC109" t="str">
            <v>Good Output</v>
          </cell>
        </row>
        <row r="110">
          <cell r="C110" t="str">
            <v>NBL SOL-MIXING</v>
          </cell>
          <cell r="D110">
            <v>99360</v>
          </cell>
          <cell r="E110">
            <v>75300</v>
          </cell>
          <cell r="F110">
            <v>2470</v>
          </cell>
          <cell r="G110">
            <v>120</v>
          </cell>
          <cell r="H110">
            <v>2350</v>
          </cell>
          <cell r="I110">
            <v>0</v>
          </cell>
          <cell r="J110">
            <v>21590</v>
          </cell>
          <cell r="K110">
            <v>3215</v>
          </cell>
          <cell r="L110">
            <v>680</v>
          </cell>
          <cell r="M110">
            <v>680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10817</v>
          </cell>
          <cell r="X110">
            <v>6667</v>
          </cell>
          <cell r="Y110">
            <v>3732</v>
          </cell>
          <cell r="Z110">
            <v>29</v>
          </cell>
          <cell r="AA110">
            <v>0</v>
          </cell>
          <cell r="AB110">
            <v>389</v>
          </cell>
          <cell r="AC110">
            <v>625</v>
          </cell>
          <cell r="AD110">
            <v>0</v>
          </cell>
          <cell r="AE110">
            <v>625</v>
          </cell>
          <cell r="AF110">
            <v>6253</v>
          </cell>
          <cell r="AG110">
            <v>141</v>
          </cell>
          <cell r="AH110">
            <v>0</v>
          </cell>
          <cell r="AI110">
            <v>1215</v>
          </cell>
          <cell r="AJ110">
            <v>0</v>
          </cell>
          <cell r="AK110">
            <v>1020</v>
          </cell>
          <cell r="AL110">
            <v>0</v>
          </cell>
          <cell r="AM110">
            <v>0</v>
          </cell>
          <cell r="AN110">
            <v>0</v>
          </cell>
          <cell r="AO110">
            <v>3305</v>
          </cell>
          <cell r="AP110">
            <v>35</v>
          </cell>
          <cell r="AQ110">
            <v>0</v>
          </cell>
          <cell r="AR110">
            <v>286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251</v>
          </cell>
          <cell r="AX110">
            <v>0</v>
          </cell>
          <cell r="AY110">
            <v>0</v>
          </cell>
          <cell r="AZ110">
            <v>0</v>
          </cell>
          <cell r="BA110">
            <v>7829.98</v>
          </cell>
          <cell r="BB110">
            <v>0</v>
          </cell>
          <cell r="BC110">
            <v>7829.98</v>
          </cell>
        </row>
        <row r="111">
          <cell r="C111" t="str">
            <v>MIX113</v>
          </cell>
          <cell r="D111">
            <v>33120</v>
          </cell>
          <cell r="E111">
            <v>19620</v>
          </cell>
          <cell r="F111">
            <v>1960</v>
          </cell>
          <cell r="G111">
            <v>90</v>
          </cell>
          <cell r="H111">
            <v>1870</v>
          </cell>
          <cell r="I111">
            <v>0</v>
          </cell>
          <cell r="J111">
            <v>11540</v>
          </cell>
          <cell r="K111">
            <v>786</v>
          </cell>
          <cell r="L111">
            <v>395</v>
          </cell>
          <cell r="M111">
            <v>395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4912</v>
          </cell>
          <cell r="X111">
            <v>2511</v>
          </cell>
          <cell r="Y111">
            <v>2177</v>
          </cell>
          <cell r="Z111">
            <v>0</v>
          </cell>
          <cell r="AA111">
            <v>0</v>
          </cell>
          <cell r="AB111">
            <v>224</v>
          </cell>
          <cell r="AC111">
            <v>625</v>
          </cell>
          <cell r="AD111">
            <v>0</v>
          </cell>
          <cell r="AE111">
            <v>625</v>
          </cell>
          <cell r="AF111">
            <v>4822</v>
          </cell>
          <cell r="AG111">
            <v>61</v>
          </cell>
          <cell r="AH111">
            <v>0</v>
          </cell>
          <cell r="AI111">
            <v>615</v>
          </cell>
          <cell r="AJ111">
            <v>0</v>
          </cell>
          <cell r="AK111">
            <v>555</v>
          </cell>
          <cell r="AL111">
            <v>0</v>
          </cell>
          <cell r="AM111">
            <v>0</v>
          </cell>
          <cell r="AN111">
            <v>0</v>
          </cell>
          <cell r="AO111">
            <v>3305</v>
          </cell>
          <cell r="AP111">
            <v>35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251</v>
          </cell>
          <cell r="AX111">
            <v>0</v>
          </cell>
          <cell r="AY111">
            <v>0</v>
          </cell>
          <cell r="AZ111">
            <v>0</v>
          </cell>
          <cell r="BA111">
            <v>5471.08</v>
          </cell>
          <cell r="BB111">
            <v>0</v>
          </cell>
          <cell r="BC111">
            <v>5471.08</v>
          </cell>
        </row>
        <row r="112">
          <cell r="C112" t="str">
            <v>LMIXSOL1</v>
          </cell>
          <cell r="D112">
            <v>33120</v>
          </cell>
          <cell r="E112">
            <v>27810</v>
          </cell>
          <cell r="F112">
            <v>510</v>
          </cell>
          <cell r="G112">
            <v>30</v>
          </cell>
          <cell r="H112">
            <v>480</v>
          </cell>
          <cell r="I112">
            <v>0</v>
          </cell>
          <cell r="J112">
            <v>4800</v>
          </cell>
          <cell r="K112">
            <v>1043</v>
          </cell>
          <cell r="L112">
            <v>150</v>
          </cell>
          <cell r="M112">
            <v>150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2813</v>
          </cell>
          <cell r="X112">
            <v>1697</v>
          </cell>
          <cell r="Y112">
            <v>995</v>
          </cell>
          <cell r="Z112">
            <v>1</v>
          </cell>
          <cell r="AA112">
            <v>0</v>
          </cell>
          <cell r="AB112">
            <v>120</v>
          </cell>
          <cell r="AC112">
            <v>0</v>
          </cell>
          <cell r="AD112">
            <v>0</v>
          </cell>
          <cell r="AE112">
            <v>0</v>
          </cell>
          <cell r="AF112">
            <v>794</v>
          </cell>
          <cell r="AG112">
            <v>80</v>
          </cell>
          <cell r="AH112">
            <v>0</v>
          </cell>
          <cell r="AI112">
            <v>315</v>
          </cell>
          <cell r="AJ112">
            <v>0</v>
          </cell>
          <cell r="AK112">
            <v>255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144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657.59</v>
          </cell>
          <cell r="BB112">
            <v>0</v>
          </cell>
          <cell r="BC112">
            <v>657.59</v>
          </cell>
        </row>
        <row r="113">
          <cell r="C113" t="str">
            <v>LMIXSOL2</v>
          </cell>
          <cell r="D113">
            <v>33120</v>
          </cell>
          <cell r="E113">
            <v>27870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5250</v>
          </cell>
          <cell r="K113">
            <v>1386</v>
          </cell>
          <cell r="L113">
            <v>135</v>
          </cell>
          <cell r="M113">
            <v>135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3092</v>
          </cell>
          <cell r="X113">
            <v>2459</v>
          </cell>
          <cell r="Y113">
            <v>560</v>
          </cell>
          <cell r="Z113">
            <v>28</v>
          </cell>
          <cell r="AA113">
            <v>0</v>
          </cell>
          <cell r="AB113">
            <v>45</v>
          </cell>
          <cell r="AC113">
            <v>0</v>
          </cell>
          <cell r="AD113">
            <v>0</v>
          </cell>
          <cell r="AE113">
            <v>0</v>
          </cell>
          <cell r="AF113">
            <v>637</v>
          </cell>
          <cell r="AG113">
            <v>0</v>
          </cell>
          <cell r="AH113">
            <v>0</v>
          </cell>
          <cell r="AI113">
            <v>285</v>
          </cell>
          <cell r="AJ113">
            <v>0</v>
          </cell>
          <cell r="AK113">
            <v>210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142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1701.31</v>
          </cell>
          <cell r="BB113">
            <v>0</v>
          </cell>
          <cell r="BC113">
            <v>1701.31</v>
          </cell>
        </row>
        <row r="114">
          <cell r="C114" t="str">
            <v>NBL SOL-COATING</v>
          </cell>
          <cell r="D114">
            <v>66240</v>
          </cell>
          <cell r="E114">
            <v>55080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11160</v>
          </cell>
          <cell r="K114">
            <v>4872</v>
          </cell>
          <cell r="L114">
            <v>293</v>
          </cell>
          <cell r="M114">
            <v>195</v>
          </cell>
          <cell r="N114">
            <v>0</v>
          </cell>
          <cell r="O114">
            <v>98</v>
          </cell>
          <cell r="P114">
            <v>0</v>
          </cell>
          <cell r="Q114">
            <v>270</v>
          </cell>
          <cell r="R114">
            <v>110</v>
          </cell>
          <cell r="S114">
            <v>0</v>
          </cell>
          <cell r="T114">
            <v>0</v>
          </cell>
          <cell r="U114">
            <v>160</v>
          </cell>
          <cell r="V114">
            <v>0</v>
          </cell>
          <cell r="W114">
            <v>3855</v>
          </cell>
          <cell r="X114">
            <v>1110</v>
          </cell>
          <cell r="Y114">
            <v>2365</v>
          </cell>
          <cell r="Z114">
            <v>0</v>
          </cell>
          <cell r="AA114">
            <v>0</v>
          </cell>
          <cell r="AB114">
            <v>380</v>
          </cell>
          <cell r="AC114">
            <v>0</v>
          </cell>
          <cell r="AD114">
            <v>0</v>
          </cell>
          <cell r="AE114">
            <v>0</v>
          </cell>
          <cell r="AF114">
            <v>1870</v>
          </cell>
          <cell r="AG114">
            <v>0</v>
          </cell>
          <cell r="AH114">
            <v>0</v>
          </cell>
          <cell r="AI114">
            <v>600</v>
          </cell>
          <cell r="AJ114">
            <v>0</v>
          </cell>
          <cell r="AK114">
            <v>590</v>
          </cell>
          <cell r="AL114">
            <v>15</v>
          </cell>
          <cell r="AM114">
            <v>0</v>
          </cell>
          <cell r="AN114">
            <v>0</v>
          </cell>
          <cell r="AO114">
            <v>345</v>
          </cell>
          <cell r="AP114">
            <v>185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135</v>
          </cell>
          <cell r="AX114">
            <v>0</v>
          </cell>
          <cell r="AY114">
            <v>0</v>
          </cell>
          <cell r="AZ114">
            <v>0</v>
          </cell>
          <cell r="BA114">
            <v>2550.36</v>
          </cell>
          <cell r="BB114">
            <v>1.17</v>
          </cell>
          <cell r="BC114">
            <v>2549.19</v>
          </cell>
        </row>
        <row r="115">
          <cell r="C115" t="str">
            <v>COT101</v>
          </cell>
          <cell r="D115">
            <v>33120</v>
          </cell>
          <cell r="E115">
            <v>28860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4260</v>
          </cell>
          <cell r="K115">
            <v>1542</v>
          </cell>
          <cell r="L115">
            <v>183</v>
          </cell>
          <cell r="M115">
            <v>105</v>
          </cell>
          <cell r="N115">
            <v>0</v>
          </cell>
          <cell r="O115">
            <v>78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1775</v>
          </cell>
          <cell r="X115">
            <v>480</v>
          </cell>
          <cell r="Y115">
            <v>1135</v>
          </cell>
          <cell r="Z115">
            <v>0</v>
          </cell>
          <cell r="AA115">
            <v>0</v>
          </cell>
          <cell r="AB115">
            <v>160</v>
          </cell>
          <cell r="AC115">
            <v>0</v>
          </cell>
          <cell r="AD115">
            <v>0</v>
          </cell>
          <cell r="AE115">
            <v>0</v>
          </cell>
          <cell r="AF115">
            <v>760</v>
          </cell>
          <cell r="AG115">
            <v>0</v>
          </cell>
          <cell r="AH115">
            <v>0</v>
          </cell>
          <cell r="AI115">
            <v>270</v>
          </cell>
          <cell r="AJ115">
            <v>0</v>
          </cell>
          <cell r="AK115">
            <v>255</v>
          </cell>
          <cell r="AL115">
            <v>15</v>
          </cell>
          <cell r="AM115">
            <v>0</v>
          </cell>
          <cell r="AN115">
            <v>0</v>
          </cell>
          <cell r="AO115">
            <v>100</v>
          </cell>
          <cell r="AP115">
            <v>70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50</v>
          </cell>
          <cell r="AX115">
            <v>0</v>
          </cell>
          <cell r="AY115">
            <v>0</v>
          </cell>
          <cell r="AZ115">
            <v>0</v>
          </cell>
          <cell r="BA115">
            <v>340.8</v>
          </cell>
          <cell r="BB115">
            <v>0.42</v>
          </cell>
          <cell r="BC115">
            <v>340.38</v>
          </cell>
        </row>
        <row r="116">
          <cell r="C116" t="str">
            <v>COT102</v>
          </cell>
          <cell r="D116">
            <v>33120</v>
          </cell>
          <cell r="E116">
            <v>26220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6900</v>
          </cell>
          <cell r="K116">
            <v>3330</v>
          </cell>
          <cell r="L116">
            <v>110</v>
          </cell>
          <cell r="M116">
            <v>90</v>
          </cell>
          <cell r="N116">
            <v>0</v>
          </cell>
          <cell r="O116">
            <v>20</v>
          </cell>
          <cell r="P116">
            <v>0</v>
          </cell>
          <cell r="Q116">
            <v>270</v>
          </cell>
          <cell r="R116">
            <v>110</v>
          </cell>
          <cell r="S116">
            <v>0</v>
          </cell>
          <cell r="T116">
            <v>0</v>
          </cell>
          <cell r="U116">
            <v>160</v>
          </cell>
          <cell r="V116">
            <v>0</v>
          </cell>
          <cell r="W116">
            <v>2080</v>
          </cell>
          <cell r="X116">
            <v>630</v>
          </cell>
          <cell r="Y116">
            <v>1230</v>
          </cell>
          <cell r="Z116">
            <v>0</v>
          </cell>
          <cell r="AA116">
            <v>0</v>
          </cell>
          <cell r="AB116">
            <v>220</v>
          </cell>
          <cell r="AC116">
            <v>0</v>
          </cell>
          <cell r="AD116">
            <v>0</v>
          </cell>
          <cell r="AE116">
            <v>0</v>
          </cell>
          <cell r="AF116">
            <v>1110</v>
          </cell>
          <cell r="AG116">
            <v>0</v>
          </cell>
          <cell r="AH116">
            <v>0</v>
          </cell>
          <cell r="AI116">
            <v>330</v>
          </cell>
          <cell r="AJ116">
            <v>0</v>
          </cell>
          <cell r="AK116">
            <v>335</v>
          </cell>
          <cell r="AL116">
            <v>0</v>
          </cell>
          <cell r="AM116">
            <v>0</v>
          </cell>
          <cell r="AN116">
            <v>0</v>
          </cell>
          <cell r="AO116">
            <v>245</v>
          </cell>
          <cell r="AP116">
            <v>115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85</v>
          </cell>
          <cell r="AX116">
            <v>0</v>
          </cell>
          <cell r="AY116">
            <v>0</v>
          </cell>
          <cell r="AZ116">
            <v>0</v>
          </cell>
          <cell r="BA116">
            <v>2209.56</v>
          </cell>
          <cell r="BB116">
            <v>0.75</v>
          </cell>
          <cell r="BC116">
            <v>2208.81</v>
          </cell>
        </row>
        <row r="117">
          <cell r="C117" t="str">
            <v>NBL SOL-TABLETING</v>
          </cell>
          <cell r="D117">
            <v>99360</v>
          </cell>
          <cell r="E117">
            <v>66090</v>
          </cell>
          <cell r="F117">
            <v>2630</v>
          </cell>
          <cell r="G117">
            <v>90</v>
          </cell>
          <cell r="H117">
            <v>2540</v>
          </cell>
          <cell r="I117">
            <v>75</v>
          </cell>
          <cell r="J117">
            <v>30565</v>
          </cell>
          <cell r="K117">
            <v>9250</v>
          </cell>
          <cell r="L117">
            <v>4620</v>
          </cell>
          <cell r="M117">
            <v>2600</v>
          </cell>
          <cell r="N117">
            <v>0</v>
          </cell>
          <cell r="O117">
            <v>265</v>
          </cell>
          <cell r="P117">
            <v>1755</v>
          </cell>
          <cell r="Q117">
            <v>45</v>
          </cell>
          <cell r="R117">
            <v>45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4445</v>
          </cell>
          <cell r="X117">
            <v>755</v>
          </cell>
          <cell r="Y117">
            <v>2810</v>
          </cell>
          <cell r="Z117">
            <v>105</v>
          </cell>
          <cell r="AA117">
            <v>0</v>
          </cell>
          <cell r="AB117">
            <v>775</v>
          </cell>
          <cell r="AC117">
            <v>3295</v>
          </cell>
          <cell r="AD117">
            <v>1590</v>
          </cell>
          <cell r="AE117">
            <v>1705</v>
          </cell>
          <cell r="AF117">
            <v>8910</v>
          </cell>
          <cell r="AG117">
            <v>0</v>
          </cell>
          <cell r="AH117">
            <v>0</v>
          </cell>
          <cell r="AI117">
            <v>1590</v>
          </cell>
          <cell r="AJ117">
            <v>0</v>
          </cell>
          <cell r="AK117">
            <v>1330</v>
          </cell>
          <cell r="AL117">
            <v>330</v>
          </cell>
          <cell r="AM117">
            <v>0</v>
          </cell>
          <cell r="AN117">
            <v>0</v>
          </cell>
          <cell r="AO117">
            <v>1420</v>
          </cell>
          <cell r="AP117">
            <v>530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3015</v>
          </cell>
          <cell r="AX117">
            <v>660</v>
          </cell>
          <cell r="AY117">
            <v>0</v>
          </cell>
          <cell r="AZ117">
            <v>35</v>
          </cell>
          <cell r="BA117">
            <v>6347630</v>
          </cell>
          <cell r="BB117">
            <v>14345</v>
          </cell>
          <cell r="BC117">
            <v>6333285</v>
          </cell>
        </row>
        <row r="118">
          <cell r="C118" t="str">
            <v>TAB101</v>
          </cell>
          <cell r="D118">
            <v>33120</v>
          </cell>
          <cell r="E118">
            <v>20430</v>
          </cell>
          <cell r="F118">
            <v>2015</v>
          </cell>
          <cell r="G118">
            <v>0</v>
          </cell>
          <cell r="H118">
            <v>2015</v>
          </cell>
          <cell r="I118">
            <v>0</v>
          </cell>
          <cell r="J118">
            <v>10675</v>
          </cell>
          <cell r="K118">
            <v>3055</v>
          </cell>
          <cell r="L118">
            <v>1600</v>
          </cell>
          <cell r="M118">
            <v>710</v>
          </cell>
          <cell r="N118">
            <v>0</v>
          </cell>
          <cell r="O118">
            <v>0</v>
          </cell>
          <cell r="P118">
            <v>890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1375</v>
          </cell>
          <cell r="X118">
            <v>245</v>
          </cell>
          <cell r="Y118">
            <v>860</v>
          </cell>
          <cell r="Z118">
            <v>0</v>
          </cell>
          <cell r="AA118">
            <v>0</v>
          </cell>
          <cell r="AB118">
            <v>270</v>
          </cell>
          <cell r="AC118">
            <v>2395</v>
          </cell>
          <cell r="AD118">
            <v>955</v>
          </cell>
          <cell r="AE118">
            <v>1440</v>
          </cell>
          <cell r="AF118">
            <v>2250</v>
          </cell>
          <cell r="AG118">
            <v>0</v>
          </cell>
          <cell r="AH118">
            <v>0</v>
          </cell>
          <cell r="AI118">
            <v>445</v>
          </cell>
          <cell r="AJ118">
            <v>0</v>
          </cell>
          <cell r="AK118">
            <v>385</v>
          </cell>
          <cell r="AL118">
            <v>30</v>
          </cell>
          <cell r="AM118">
            <v>0</v>
          </cell>
          <cell r="AN118">
            <v>0</v>
          </cell>
          <cell r="AO118">
            <v>470</v>
          </cell>
          <cell r="AP118">
            <v>205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715</v>
          </cell>
          <cell r="AX118">
            <v>0</v>
          </cell>
          <cell r="AY118">
            <v>0</v>
          </cell>
          <cell r="AZ118">
            <v>0</v>
          </cell>
          <cell r="BA118">
            <v>3042698</v>
          </cell>
          <cell r="BB118">
            <v>12051</v>
          </cell>
          <cell r="BC118">
            <v>3030647</v>
          </cell>
        </row>
        <row r="119">
          <cell r="C119" t="str">
            <v>TAB105</v>
          </cell>
          <cell r="D119">
            <v>33120</v>
          </cell>
          <cell r="E119">
            <v>18090</v>
          </cell>
          <cell r="F119">
            <v>495</v>
          </cell>
          <cell r="G119">
            <v>90</v>
          </cell>
          <cell r="H119">
            <v>405</v>
          </cell>
          <cell r="I119">
            <v>75</v>
          </cell>
          <cell r="J119">
            <v>14460</v>
          </cell>
          <cell r="K119">
            <v>4970</v>
          </cell>
          <cell r="L119">
            <v>1730</v>
          </cell>
          <cell r="M119">
            <v>1360</v>
          </cell>
          <cell r="N119">
            <v>0</v>
          </cell>
          <cell r="O119">
            <v>0</v>
          </cell>
          <cell r="P119">
            <v>370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2060</v>
          </cell>
          <cell r="X119">
            <v>280</v>
          </cell>
          <cell r="Y119">
            <v>1470</v>
          </cell>
          <cell r="Z119">
            <v>30</v>
          </cell>
          <cell r="AA119">
            <v>0</v>
          </cell>
          <cell r="AB119">
            <v>280</v>
          </cell>
          <cell r="AC119">
            <v>900</v>
          </cell>
          <cell r="AD119">
            <v>635</v>
          </cell>
          <cell r="AE119">
            <v>265</v>
          </cell>
          <cell r="AF119">
            <v>4800</v>
          </cell>
          <cell r="AG119">
            <v>0</v>
          </cell>
          <cell r="AH119">
            <v>0</v>
          </cell>
          <cell r="AI119">
            <v>815</v>
          </cell>
          <cell r="AJ119">
            <v>0</v>
          </cell>
          <cell r="AK119">
            <v>670</v>
          </cell>
          <cell r="AL119">
            <v>60</v>
          </cell>
          <cell r="AM119">
            <v>0</v>
          </cell>
          <cell r="AN119">
            <v>0</v>
          </cell>
          <cell r="AO119">
            <v>950</v>
          </cell>
          <cell r="AP119">
            <v>240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1405</v>
          </cell>
          <cell r="AX119">
            <v>625</v>
          </cell>
          <cell r="AY119">
            <v>0</v>
          </cell>
          <cell r="AZ119">
            <v>35</v>
          </cell>
          <cell r="BA119">
            <v>2297657</v>
          </cell>
          <cell r="BB119">
            <v>2294</v>
          </cell>
          <cell r="BC119">
            <v>2295363</v>
          </cell>
        </row>
        <row r="120">
          <cell r="C120" t="str">
            <v>TAB103</v>
          </cell>
          <cell r="D120">
            <v>33120</v>
          </cell>
          <cell r="E120">
            <v>27570</v>
          </cell>
          <cell r="F120">
            <v>120</v>
          </cell>
          <cell r="G120">
            <v>0</v>
          </cell>
          <cell r="H120">
            <v>120</v>
          </cell>
          <cell r="I120">
            <v>0</v>
          </cell>
          <cell r="J120">
            <v>5430</v>
          </cell>
          <cell r="K120">
            <v>1225</v>
          </cell>
          <cell r="L120">
            <v>1290</v>
          </cell>
          <cell r="M120">
            <v>530</v>
          </cell>
          <cell r="N120">
            <v>0</v>
          </cell>
          <cell r="O120">
            <v>265</v>
          </cell>
          <cell r="P120">
            <v>495</v>
          </cell>
          <cell r="Q120">
            <v>45</v>
          </cell>
          <cell r="R120">
            <v>45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1010</v>
          </cell>
          <cell r="X120">
            <v>230</v>
          </cell>
          <cell r="Y120">
            <v>480</v>
          </cell>
          <cell r="Z120">
            <v>75</v>
          </cell>
          <cell r="AA120">
            <v>0</v>
          </cell>
          <cell r="AB120">
            <v>225</v>
          </cell>
          <cell r="AC120">
            <v>0</v>
          </cell>
          <cell r="AD120">
            <v>0</v>
          </cell>
          <cell r="AE120">
            <v>0</v>
          </cell>
          <cell r="AF120">
            <v>1860</v>
          </cell>
          <cell r="AG120">
            <v>0</v>
          </cell>
          <cell r="AH120">
            <v>0</v>
          </cell>
          <cell r="AI120">
            <v>330</v>
          </cell>
          <cell r="AJ120">
            <v>0</v>
          </cell>
          <cell r="AK120">
            <v>275</v>
          </cell>
          <cell r="AL120">
            <v>240</v>
          </cell>
          <cell r="AM120">
            <v>0</v>
          </cell>
          <cell r="AN120">
            <v>0</v>
          </cell>
          <cell r="AO120">
            <v>0</v>
          </cell>
          <cell r="AP120">
            <v>85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895</v>
          </cell>
          <cell r="AX120">
            <v>35</v>
          </cell>
          <cell r="AY120">
            <v>0</v>
          </cell>
          <cell r="AZ120">
            <v>0</v>
          </cell>
          <cell r="BA120">
            <v>1007275</v>
          </cell>
          <cell r="BB120">
            <v>0</v>
          </cell>
          <cell r="BC120">
            <v>1007275</v>
          </cell>
        </row>
        <row r="121">
          <cell r="C121" t="str">
            <v>NBL SOL-CAPSULE</v>
          </cell>
          <cell r="D121">
            <v>66240</v>
          </cell>
          <cell r="E121">
            <v>55020</v>
          </cell>
          <cell r="F121">
            <v>540</v>
          </cell>
          <cell r="G121">
            <v>150</v>
          </cell>
          <cell r="H121">
            <v>390</v>
          </cell>
          <cell r="I121">
            <v>0</v>
          </cell>
          <cell r="J121">
            <v>10680</v>
          </cell>
          <cell r="K121">
            <v>2775</v>
          </cell>
          <cell r="L121">
            <v>785</v>
          </cell>
          <cell r="M121">
            <v>370</v>
          </cell>
          <cell r="N121">
            <v>0</v>
          </cell>
          <cell r="O121">
            <v>285</v>
          </cell>
          <cell r="P121">
            <v>130</v>
          </cell>
          <cell r="Q121">
            <v>1970</v>
          </cell>
          <cell r="R121">
            <v>1970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1935</v>
          </cell>
          <cell r="X121">
            <v>960</v>
          </cell>
          <cell r="Y121">
            <v>505</v>
          </cell>
          <cell r="Z121">
            <v>245</v>
          </cell>
          <cell r="AA121">
            <v>0</v>
          </cell>
          <cell r="AB121">
            <v>225</v>
          </cell>
          <cell r="AC121">
            <v>0</v>
          </cell>
          <cell r="AD121">
            <v>0</v>
          </cell>
          <cell r="AE121">
            <v>0</v>
          </cell>
          <cell r="AF121">
            <v>3215</v>
          </cell>
          <cell r="AG121">
            <v>0</v>
          </cell>
          <cell r="AH121">
            <v>0</v>
          </cell>
          <cell r="AI121">
            <v>410</v>
          </cell>
          <cell r="AJ121">
            <v>0</v>
          </cell>
          <cell r="AK121">
            <v>315</v>
          </cell>
          <cell r="AL121">
            <v>1075</v>
          </cell>
          <cell r="AM121">
            <v>0</v>
          </cell>
          <cell r="AN121">
            <v>0</v>
          </cell>
          <cell r="AO121">
            <v>865</v>
          </cell>
          <cell r="AP121">
            <v>205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345</v>
          </cell>
          <cell r="AX121">
            <v>0</v>
          </cell>
          <cell r="AY121">
            <v>0</v>
          </cell>
          <cell r="AZ121">
            <v>0</v>
          </cell>
          <cell r="BA121">
            <v>1158797</v>
          </cell>
          <cell r="BB121">
            <v>0</v>
          </cell>
          <cell r="BC121">
            <v>1158797</v>
          </cell>
        </row>
        <row r="122">
          <cell r="C122" t="str">
            <v>KAP101</v>
          </cell>
          <cell r="D122">
            <v>33120</v>
          </cell>
          <cell r="E122">
            <v>23790</v>
          </cell>
          <cell r="F122">
            <v>480</v>
          </cell>
          <cell r="G122">
            <v>150</v>
          </cell>
          <cell r="H122">
            <v>330</v>
          </cell>
          <cell r="I122">
            <v>0</v>
          </cell>
          <cell r="J122">
            <v>8850</v>
          </cell>
          <cell r="K122">
            <v>2270</v>
          </cell>
          <cell r="L122">
            <v>685</v>
          </cell>
          <cell r="M122">
            <v>270</v>
          </cell>
          <cell r="N122">
            <v>0</v>
          </cell>
          <cell r="O122">
            <v>285</v>
          </cell>
          <cell r="P122">
            <v>130</v>
          </cell>
          <cell r="Q122">
            <v>1970</v>
          </cell>
          <cell r="R122">
            <v>1970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1755</v>
          </cell>
          <cell r="X122">
            <v>910</v>
          </cell>
          <cell r="Y122">
            <v>375</v>
          </cell>
          <cell r="Z122">
            <v>245</v>
          </cell>
          <cell r="AA122">
            <v>0</v>
          </cell>
          <cell r="AB122">
            <v>225</v>
          </cell>
          <cell r="AC122">
            <v>0</v>
          </cell>
          <cell r="AD122">
            <v>0</v>
          </cell>
          <cell r="AE122">
            <v>0</v>
          </cell>
          <cell r="AF122">
            <v>2170</v>
          </cell>
          <cell r="AG122">
            <v>0</v>
          </cell>
          <cell r="AH122">
            <v>0</v>
          </cell>
          <cell r="AI122">
            <v>360</v>
          </cell>
          <cell r="AJ122">
            <v>0</v>
          </cell>
          <cell r="AK122">
            <v>305</v>
          </cell>
          <cell r="AL122">
            <v>960</v>
          </cell>
          <cell r="AM122">
            <v>0</v>
          </cell>
          <cell r="AN122">
            <v>0</v>
          </cell>
          <cell r="AO122">
            <v>0</v>
          </cell>
          <cell r="AP122">
            <v>200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345</v>
          </cell>
          <cell r="AX122">
            <v>0</v>
          </cell>
          <cell r="AY122">
            <v>0</v>
          </cell>
          <cell r="AZ122">
            <v>0</v>
          </cell>
          <cell r="BA122">
            <v>579453</v>
          </cell>
          <cell r="BB122">
            <v>0</v>
          </cell>
          <cell r="BC122">
            <v>579453</v>
          </cell>
        </row>
        <row r="123">
          <cell r="C123" t="str">
            <v>KAP103</v>
          </cell>
          <cell r="D123">
            <v>33120</v>
          </cell>
          <cell r="E123">
            <v>31230</v>
          </cell>
          <cell r="F123">
            <v>60</v>
          </cell>
          <cell r="G123">
            <v>0</v>
          </cell>
          <cell r="H123">
            <v>60</v>
          </cell>
          <cell r="I123">
            <v>0</v>
          </cell>
          <cell r="J123">
            <v>1830</v>
          </cell>
          <cell r="K123">
            <v>505</v>
          </cell>
          <cell r="L123">
            <v>100</v>
          </cell>
          <cell r="M123">
            <v>100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180</v>
          </cell>
          <cell r="X123">
            <v>50</v>
          </cell>
          <cell r="Y123">
            <v>130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1045</v>
          </cell>
          <cell r="AG123">
            <v>0</v>
          </cell>
          <cell r="AH123">
            <v>0</v>
          </cell>
          <cell r="AI123">
            <v>50</v>
          </cell>
          <cell r="AJ123">
            <v>0</v>
          </cell>
          <cell r="AK123">
            <v>10</v>
          </cell>
          <cell r="AL123">
            <v>115</v>
          </cell>
          <cell r="AM123">
            <v>0</v>
          </cell>
          <cell r="AN123">
            <v>0</v>
          </cell>
          <cell r="AO123">
            <v>865</v>
          </cell>
          <cell r="AP123">
            <v>5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579344</v>
          </cell>
          <cell r="BB123">
            <v>0</v>
          </cell>
          <cell r="BC123">
            <v>579344</v>
          </cell>
        </row>
        <row r="124">
          <cell r="C124" t="str">
            <v>NBL SOL-STRIPPING</v>
          </cell>
          <cell r="D124">
            <v>165600</v>
          </cell>
          <cell r="E124">
            <v>97860</v>
          </cell>
          <cell r="F124">
            <v>3710</v>
          </cell>
          <cell r="G124">
            <v>30</v>
          </cell>
          <cell r="H124">
            <v>3680</v>
          </cell>
          <cell r="I124">
            <v>0</v>
          </cell>
          <cell r="J124">
            <v>64030</v>
          </cell>
          <cell r="K124">
            <v>24298</v>
          </cell>
          <cell r="L124">
            <v>7760</v>
          </cell>
          <cell r="M124">
            <v>4580</v>
          </cell>
          <cell r="N124">
            <v>0</v>
          </cell>
          <cell r="O124">
            <v>3180</v>
          </cell>
          <cell r="P124">
            <v>0</v>
          </cell>
          <cell r="Q124">
            <v>1010</v>
          </cell>
          <cell r="R124">
            <v>640</v>
          </cell>
          <cell r="S124">
            <v>160</v>
          </cell>
          <cell r="T124">
            <v>0</v>
          </cell>
          <cell r="U124">
            <v>25</v>
          </cell>
          <cell r="V124">
            <v>185</v>
          </cell>
          <cell r="W124">
            <v>14002</v>
          </cell>
          <cell r="X124">
            <v>7252</v>
          </cell>
          <cell r="Y124">
            <v>2520</v>
          </cell>
          <cell r="Z124">
            <v>3300</v>
          </cell>
          <cell r="AA124">
            <v>0</v>
          </cell>
          <cell r="AB124">
            <v>930</v>
          </cell>
          <cell r="AC124">
            <v>4310</v>
          </cell>
          <cell r="AD124">
            <v>0</v>
          </cell>
          <cell r="AE124">
            <v>4310</v>
          </cell>
          <cell r="AF124">
            <v>12650</v>
          </cell>
          <cell r="AG124">
            <v>160</v>
          </cell>
          <cell r="AH124">
            <v>0</v>
          </cell>
          <cell r="AI124">
            <v>3765</v>
          </cell>
          <cell r="AJ124">
            <v>0</v>
          </cell>
          <cell r="AK124">
            <v>3345</v>
          </cell>
          <cell r="AL124">
            <v>680</v>
          </cell>
          <cell r="AM124">
            <v>0</v>
          </cell>
          <cell r="AN124">
            <v>0</v>
          </cell>
          <cell r="AO124">
            <v>30</v>
          </cell>
          <cell r="AP124">
            <v>2405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2245</v>
          </cell>
          <cell r="AX124">
            <v>20</v>
          </cell>
          <cell r="AY124">
            <v>0</v>
          </cell>
          <cell r="AZ124">
            <v>0</v>
          </cell>
          <cell r="BA124">
            <v>13751242</v>
          </cell>
          <cell r="BB124">
            <v>71539</v>
          </cell>
          <cell r="BC124">
            <v>13679703</v>
          </cell>
        </row>
        <row r="125">
          <cell r="C125" t="str">
            <v>STR105</v>
          </cell>
          <cell r="D125">
            <v>33120</v>
          </cell>
          <cell r="E125">
            <v>21000</v>
          </cell>
          <cell r="F125">
            <v>1790</v>
          </cell>
          <cell r="G125">
            <v>30</v>
          </cell>
          <cell r="H125">
            <v>1760</v>
          </cell>
          <cell r="I125">
            <v>0</v>
          </cell>
          <cell r="J125">
            <v>10330</v>
          </cell>
          <cell r="K125">
            <v>3095</v>
          </cell>
          <cell r="L125">
            <v>1460</v>
          </cell>
          <cell r="M125">
            <v>1040</v>
          </cell>
          <cell r="N125">
            <v>0</v>
          </cell>
          <cell r="O125">
            <v>420</v>
          </cell>
          <cell r="P125">
            <v>0</v>
          </cell>
          <cell r="Q125">
            <v>130</v>
          </cell>
          <cell r="R125">
            <v>80</v>
          </cell>
          <cell r="S125">
            <v>25</v>
          </cell>
          <cell r="T125">
            <v>0</v>
          </cell>
          <cell r="U125">
            <v>25</v>
          </cell>
          <cell r="V125">
            <v>0</v>
          </cell>
          <cell r="W125">
            <v>1945</v>
          </cell>
          <cell r="X125">
            <v>905</v>
          </cell>
          <cell r="Y125">
            <v>580</v>
          </cell>
          <cell r="Z125">
            <v>365</v>
          </cell>
          <cell r="AA125">
            <v>0</v>
          </cell>
          <cell r="AB125">
            <v>95</v>
          </cell>
          <cell r="AC125">
            <v>1920</v>
          </cell>
          <cell r="AD125">
            <v>0</v>
          </cell>
          <cell r="AE125">
            <v>1920</v>
          </cell>
          <cell r="AF125">
            <v>1780</v>
          </cell>
          <cell r="AG125">
            <v>0</v>
          </cell>
          <cell r="AH125">
            <v>0</v>
          </cell>
          <cell r="AI125">
            <v>555</v>
          </cell>
          <cell r="AJ125">
            <v>0</v>
          </cell>
          <cell r="AK125">
            <v>480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415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330</v>
          </cell>
          <cell r="AX125">
            <v>0</v>
          </cell>
          <cell r="AY125">
            <v>0</v>
          </cell>
          <cell r="AZ125">
            <v>0</v>
          </cell>
          <cell r="BA125">
            <v>1067807</v>
          </cell>
          <cell r="BB125">
            <v>7717</v>
          </cell>
          <cell r="BC125">
            <v>1060090</v>
          </cell>
        </row>
        <row r="126">
          <cell r="C126" t="str">
            <v>STR102</v>
          </cell>
          <cell r="D126">
            <v>33120</v>
          </cell>
          <cell r="E126">
            <v>14310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18810</v>
          </cell>
          <cell r="K126">
            <v>7083</v>
          </cell>
          <cell r="L126">
            <v>2145</v>
          </cell>
          <cell r="M126">
            <v>1195</v>
          </cell>
          <cell r="N126">
            <v>0</v>
          </cell>
          <cell r="O126">
            <v>950</v>
          </cell>
          <cell r="P126">
            <v>0</v>
          </cell>
          <cell r="Q126">
            <v>330</v>
          </cell>
          <cell r="R126">
            <v>175</v>
          </cell>
          <cell r="S126">
            <v>120</v>
          </cell>
          <cell r="T126">
            <v>0</v>
          </cell>
          <cell r="U126">
            <v>0</v>
          </cell>
          <cell r="V126">
            <v>35</v>
          </cell>
          <cell r="W126">
            <v>4287</v>
          </cell>
          <cell r="X126">
            <v>2222</v>
          </cell>
          <cell r="Y126">
            <v>790</v>
          </cell>
          <cell r="Z126">
            <v>955</v>
          </cell>
          <cell r="AA126">
            <v>0</v>
          </cell>
          <cell r="AB126">
            <v>320</v>
          </cell>
          <cell r="AC126">
            <v>1430</v>
          </cell>
          <cell r="AD126">
            <v>0</v>
          </cell>
          <cell r="AE126">
            <v>1430</v>
          </cell>
          <cell r="AF126">
            <v>3535</v>
          </cell>
          <cell r="AG126">
            <v>0</v>
          </cell>
          <cell r="AH126">
            <v>0</v>
          </cell>
          <cell r="AI126">
            <v>1110</v>
          </cell>
          <cell r="AJ126">
            <v>0</v>
          </cell>
          <cell r="AK126">
            <v>1025</v>
          </cell>
          <cell r="AL126">
            <v>125</v>
          </cell>
          <cell r="AM126">
            <v>0</v>
          </cell>
          <cell r="AN126">
            <v>0</v>
          </cell>
          <cell r="AO126">
            <v>0</v>
          </cell>
          <cell r="AP126">
            <v>470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805</v>
          </cell>
          <cell r="AX126">
            <v>0</v>
          </cell>
          <cell r="AY126">
            <v>0</v>
          </cell>
          <cell r="AZ126">
            <v>0</v>
          </cell>
          <cell r="BA126">
            <v>8128314</v>
          </cell>
          <cell r="BB126">
            <v>36834</v>
          </cell>
          <cell r="BC126">
            <v>8091480</v>
          </cell>
        </row>
        <row r="127">
          <cell r="C127" t="str">
            <v>STR104</v>
          </cell>
          <cell r="D127">
            <v>33120</v>
          </cell>
          <cell r="E127">
            <v>22350</v>
          </cell>
          <cell r="F127">
            <v>320</v>
          </cell>
          <cell r="G127">
            <v>0</v>
          </cell>
          <cell r="H127">
            <v>320</v>
          </cell>
          <cell r="I127">
            <v>0</v>
          </cell>
          <cell r="J127">
            <v>10450</v>
          </cell>
          <cell r="K127">
            <v>5705</v>
          </cell>
          <cell r="L127">
            <v>150</v>
          </cell>
          <cell r="M127">
            <v>115</v>
          </cell>
          <cell r="N127">
            <v>0</v>
          </cell>
          <cell r="O127">
            <v>35</v>
          </cell>
          <cell r="P127">
            <v>0</v>
          </cell>
          <cell r="Q127">
            <v>70</v>
          </cell>
          <cell r="R127">
            <v>40</v>
          </cell>
          <cell r="S127">
            <v>0</v>
          </cell>
          <cell r="T127">
            <v>0</v>
          </cell>
          <cell r="U127">
            <v>0</v>
          </cell>
          <cell r="V127">
            <v>30</v>
          </cell>
          <cell r="W127">
            <v>2565</v>
          </cell>
          <cell r="X127">
            <v>1455</v>
          </cell>
          <cell r="Y127">
            <v>270</v>
          </cell>
          <cell r="Z127">
            <v>660</v>
          </cell>
          <cell r="AA127">
            <v>0</v>
          </cell>
          <cell r="AB127">
            <v>180</v>
          </cell>
          <cell r="AC127">
            <v>0</v>
          </cell>
          <cell r="AD127">
            <v>0</v>
          </cell>
          <cell r="AE127">
            <v>0</v>
          </cell>
          <cell r="AF127">
            <v>1960</v>
          </cell>
          <cell r="AG127">
            <v>0</v>
          </cell>
          <cell r="AH127">
            <v>0</v>
          </cell>
          <cell r="AI127">
            <v>630</v>
          </cell>
          <cell r="AJ127">
            <v>0</v>
          </cell>
          <cell r="AK127">
            <v>540</v>
          </cell>
          <cell r="AL127">
            <v>225</v>
          </cell>
          <cell r="AM127">
            <v>0</v>
          </cell>
          <cell r="AN127">
            <v>0</v>
          </cell>
          <cell r="AO127">
            <v>0</v>
          </cell>
          <cell r="AP127">
            <v>430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135</v>
          </cell>
          <cell r="AX127">
            <v>0</v>
          </cell>
          <cell r="AY127">
            <v>0</v>
          </cell>
          <cell r="AZ127">
            <v>0</v>
          </cell>
          <cell r="BA127">
            <v>38305</v>
          </cell>
          <cell r="BB127">
            <v>181</v>
          </cell>
          <cell r="BC127">
            <v>38124</v>
          </cell>
        </row>
        <row r="128">
          <cell r="C128" t="str">
            <v>STR103</v>
          </cell>
          <cell r="D128">
            <v>33120</v>
          </cell>
          <cell r="E128">
            <v>21510</v>
          </cell>
          <cell r="F128">
            <v>1375</v>
          </cell>
          <cell r="G128">
            <v>0</v>
          </cell>
          <cell r="H128">
            <v>1375</v>
          </cell>
          <cell r="I128">
            <v>0</v>
          </cell>
          <cell r="J128">
            <v>10235</v>
          </cell>
          <cell r="K128">
            <v>3305</v>
          </cell>
          <cell r="L128">
            <v>1895</v>
          </cell>
          <cell r="M128">
            <v>1330</v>
          </cell>
          <cell r="N128">
            <v>0</v>
          </cell>
          <cell r="O128">
            <v>565</v>
          </cell>
          <cell r="P128">
            <v>0</v>
          </cell>
          <cell r="Q128">
            <v>125</v>
          </cell>
          <cell r="R128">
            <v>15</v>
          </cell>
          <cell r="S128">
            <v>15</v>
          </cell>
          <cell r="T128">
            <v>0</v>
          </cell>
          <cell r="U128">
            <v>0</v>
          </cell>
          <cell r="V128">
            <v>95</v>
          </cell>
          <cell r="W128">
            <v>2245</v>
          </cell>
          <cell r="X128">
            <v>1160</v>
          </cell>
          <cell r="Y128">
            <v>355</v>
          </cell>
          <cell r="Z128">
            <v>620</v>
          </cell>
          <cell r="AA128">
            <v>0</v>
          </cell>
          <cell r="AB128">
            <v>110</v>
          </cell>
          <cell r="AC128">
            <v>480</v>
          </cell>
          <cell r="AD128">
            <v>0</v>
          </cell>
          <cell r="AE128">
            <v>480</v>
          </cell>
          <cell r="AF128">
            <v>2185</v>
          </cell>
          <cell r="AG128">
            <v>0</v>
          </cell>
          <cell r="AH128">
            <v>0</v>
          </cell>
          <cell r="AI128">
            <v>630</v>
          </cell>
          <cell r="AJ128">
            <v>0</v>
          </cell>
          <cell r="AK128">
            <v>575</v>
          </cell>
          <cell r="AL128">
            <v>60</v>
          </cell>
          <cell r="AM128">
            <v>0</v>
          </cell>
          <cell r="AN128">
            <v>0</v>
          </cell>
          <cell r="AO128">
            <v>30</v>
          </cell>
          <cell r="AP128">
            <v>395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495</v>
          </cell>
          <cell r="AX128">
            <v>0</v>
          </cell>
          <cell r="AY128">
            <v>0</v>
          </cell>
          <cell r="AZ128">
            <v>0</v>
          </cell>
          <cell r="BA128">
            <v>1639434</v>
          </cell>
          <cell r="BB128">
            <v>13605</v>
          </cell>
          <cell r="BC128">
            <v>1625829</v>
          </cell>
        </row>
        <row r="129">
          <cell r="C129" t="str">
            <v>STR101</v>
          </cell>
          <cell r="D129">
            <v>33120</v>
          </cell>
          <cell r="E129">
            <v>18690</v>
          </cell>
          <cell r="F129">
            <v>225</v>
          </cell>
          <cell r="G129">
            <v>0</v>
          </cell>
          <cell r="H129">
            <v>225</v>
          </cell>
          <cell r="I129">
            <v>0</v>
          </cell>
          <cell r="J129">
            <v>14205</v>
          </cell>
          <cell r="K129">
            <v>5110</v>
          </cell>
          <cell r="L129">
            <v>2110</v>
          </cell>
          <cell r="M129">
            <v>900</v>
          </cell>
          <cell r="N129">
            <v>0</v>
          </cell>
          <cell r="O129">
            <v>1210</v>
          </cell>
          <cell r="P129">
            <v>0</v>
          </cell>
          <cell r="Q129">
            <v>355</v>
          </cell>
          <cell r="R129">
            <v>330</v>
          </cell>
          <cell r="S129">
            <v>0</v>
          </cell>
          <cell r="T129">
            <v>0</v>
          </cell>
          <cell r="U129">
            <v>0</v>
          </cell>
          <cell r="V129">
            <v>25</v>
          </cell>
          <cell r="W129">
            <v>2960</v>
          </cell>
          <cell r="X129">
            <v>1510</v>
          </cell>
          <cell r="Y129">
            <v>525</v>
          </cell>
          <cell r="Z129">
            <v>700</v>
          </cell>
          <cell r="AA129">
            <v>0</v>
          </cell>
          <cell r="AB129">
            <v>225</v>
          </cell>
          <cell r="AC129">
            <v>480</v>
          </cell>
          <cell r="AD129">
            <v>0</v>
          </cell>
          <cell r="AE129">
            <v>480</v>
          </cell>
          <cell r="AF129">
            <v>3190</v>
          </cell>
          <cell r="AG129">
            <v>160</v>
          </cell>
          <cell r="AH129">
            <v>0</v>
          </cell>
          <cell r="AI129">
            <v>840</v>
          </cell>
          <cell r="AJ129">
            <v>0</v>
          </cell>
          <cell r="AK129">
            <v>725</v>
          </cell>
          <cell r="AL129">
            <v>270</v>
          </cell>
          <cell r="AM129">
            <v>0</v>
          </cell>
          <cell r="AN129">
            <v>0</v>
          </cell>
          <cell r="AO129">
            <v>0</v>
          </cell>
          <cell r="AP129">
            <v>695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480</v>
          </cell>
          <cell r="AX129">
            <v>20</v>
          </cell>
          <cell r="AY129">
            <v>0</v>
          </cell>
          <cell r="AZ129">
            <v>0</v>
          </cell>
          <cell r="BA129">
            <v>2877382</v>
          </cell>
          <cell r="BB129">
            <v>13202</v>
          </cell>
          <cell r="BC129">
            <v>2864180</v>
          </cell>
        </row>
        <row r="130">
          <cell r="C130" t="str">
            <v>NBL SYR-MIXING</v>
          </cell>
          <cell r="D130">
            <v>33120</v>
          </cell>
          <cell r="E130">
            <v>23340</v>
          </cell>
          <cell r="F130">
            <v>1067</v>
          </cell>
          <cell r="G130">
            <v>27</v>
          </cell>
          <cell r="H130">
            <v>1040</v>
          </cell>
          <cell r="I130">
            <v>0</v>
          </cell>
          <cell r="J130">
            <v>8713</v>
          </cell>
          <cell r="K130">
            <v>3510</v>
          </cell>
          <cell r="L130">
            <v>432</v>
          </cell>
          <cell r="M130">
            <v>432</v>
          </cell>
          <cell r="N130">
            <v>0</v>
          </cell>
          <cell r="O130">
            <v>0</v>
          </cell>
          <cell r="P130">
            <v>0</v>
          </cell>
          <cell r="Q130">
            <v>40</v>
          </cell>
          <cell r="R130">
            <v>0</v>
          </cell>
          <cell r="S130">
            <v>0</v>
          </cell>
          <cell r="T130">
            <v>0</v>
          </cell>
          <cell r="U130">
            <v>40</v>
          </cell>
          <cell r="V130">
            <v>0</v>
          </cell>
          <cell r="W130">
            <v>2790</v>
          </cell>
          <cell r="X130">
            <v>274</v>
          </cell>
          <cell r="Y130">
            <v>2406</v>
          </cell>
          <cell r="Z130">
            <v>0</v>
          </cell>
          <cell r="AA130">
            <v>0</v>
          </cell>
          <cell r="AB130">
            <v>110</v>
          </cell>
          <cell r="AC130">
            <v>0</v>
          </cell>
          <cell r="AD130">
            <v>0</v>
          </cell>
          <cell r="AE130">
            <v>0</v>
          </cell>
          <cell r="AF130">
            <v>1941</v>
          </cell>
          <cell r="AG130">
            <v>21</v>
          </cell>
          <cell r="AH130">
            <v>0</v>
          </cell>
          <cell r="AI130">
            <v>379</v>
          </cell>
          <cell r="AJ130">
            <v>0</v>
          </cell>
          <cell r="AK130">
            <v>245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19</v>
          </cell>
          <cell r="AQ130">
            <v>0</v>
          </cell>
          <cell r="AR130">
            <v>0</v>
          </cell>
          <cell r="AS130">
            <v>268</v>
          </cell>
          <cell r="AT130">
            <v>0</v>
          </cell>
          <cell r="AU130">
            <v>0</v>
          </cell>
          <cell r="AV130">
            <v>0</v>
          </cell>
          <cell r="AW130">
            <v>42</v>
          </cell>
          <cell r="AX130">
            <v>947</v>
          </cell>
          <cell r="AY130">
            <v>0</v>
          </cell>
          <cell r="AZ130">
            <v>20</v>
          </cell>
          <cell r="BA130">
            <v>16460</v>
          </cell>
          <cell r="BB130">
            <v>2.9</v>
          </cell>
          <cell r="BC130">
            <v>16457.099999999999</v>
          </cell>
        </row>
        <row r="131">
          <cell r="C131" t="str">
            <v>LMIXSYR1</v>
          </cell>
          <cell r="D131">
            <v>33120</v>
          </cell>
          <cell r="E131">
            <v>23340</v>
          </cell>
          <cell r="F131">
            <v>1067</v>
          </cell>
          <cell r="G131">
            <v>27</v>
          </cell>
          <cell r="H131">
            <v>1040</v>
          </cell>
          <cell r="I131">
            <v>0</v>
          </cell>
          <cell r="J131">
            <v>8713</v>
          </cell>
          <cell r="K131">
            <v>3510</v>
          </cell>
          <cell r="L131">
            <v>432</v>
          </cell>
          <cell r="M131">
            <v>432</v>
          </cell>
          <cell r="N131">
            <v>0</v>
          </cell>
          <cell r="O131">
            <v>0</v>
          </cell>
          <cell r="P131">
            <v>0</v>
          </cell>
          <cell r="Q131">
            <v>40</v>
          </cell>
          <cell r="R131">
            <v>0</v>
          </cell>
          <cell r="S131">
            <v>0</v>
          </cell>
          <cell r="T131">
            <v>0</v>
          </cell>
          <cell r="U131">
            <v>40</v>
          </cell>
          <cell r="V131">
            <v>0</v>
          </cell>
          <cell r="W131">
            <v>2790</v>
          </cell>
          <cell r="X131">
            <v>274</v>
          </cell>
          <cell r="Y131">
            <v>2406</v>
          </cell>
          <cell r="Z131">
            <v>0</v>
          </cell>
          <cell r="AA131">
            <v>0</v>
          </cell>
          <cell r="AB131">
            <v>110</v>
          </cell>
          <cell r="AC131">
            <v>0</v>
          </cell>
          <cell r="AD131">
            <v>0</v>
          </cell>
          <cell r="AE131">
            <v>0</v>
          </cell>
          <cell r="AF131">
            <v>1941</v>
          </cell>
          <cell r="AG131">
            <v>21</v>
          </cell>
          <cell r="AH131">
            <v>0</v>
          </cell>
          <cell r="AI131">
            <v>379</v>
          </cell>
          <cell r="AJ131">
            <v>0</v>
          </cell>
          <cell r="AK131">
            <v>245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19</v>
          </cell>
          <cell r="AQ131">
            <v>0</v>
          </cell>
          <cell r="AR131">
            <v>0</v>
          </cell>
          <cell r="AS131">
            <v>268</v>
          </cell>
          <cell r="AT131">
            <v>0</v>
          </cell>
          <cell r="AU131">
            <v>0</v>
          </cell>
          <cell r="AV131">
            <v>0</v>
          </cell>
          <cell r="AW131">
            <v>42</v>
          </cell>
          <cell r="AX131">
            <v>947</v>
          </cell>
          <cell r="AY131">
            <v>0</v>
          </cell>
          <cell r="AZ131">
            <v>20</v>
          </cell>
          <cell r="BA131">
            <v>16460</v>
          </cell>
          <cell r="BB131">
            <v>2.9</v>
          </cell>
          <cell r="BC131">
            <v>16457.099999999999</v>
          </cell>
        </row>
        <row r="132">
          <cell r="C132" t="str">
            <v>NBL SYR-FILLING</v>
          </cell>
          <cell r="D132">
            <v>66240</v>
          </cell>
          <cell r="E132">
            <v>51660</v>
          </cell>
          <cell r="F132">
            <v>975</v>
          </cell>
          <cell r="G132">
            <v>0</v>
          </cell>
          <cell r="H132">
            <v>975</v>
          </cell>
          <cell r="I132">
            <v>0</v>
          </cell>
          <cell r="J132">
            <v>13605</v>
          </cell>
          <cell r="K132">
            <v>4430</v>
          </cell>
          <cell r="L132">
            <v>990</v>
          </cell>
          <cell r="M132">
            <v>735</v>
          </cell>
          <cell r="N132">
            <v>15</v>
          </cell>
          <cell r="O132">
            <v>170</v>
          </cell>
          <cell r="P132">
            <v>70</v>
          </cell>
          <cell r="Q132">
            <v>675</v>
          </cell>
          <cell r="R132">
            <v>480</v>
          </cell>
          <cell r="S132">
            <v>195</v>
          </cell>
          <cell r="T132">
            <v>0</v>
          </cell>
          <cell r="U132">
            <v>0</v>
          </cell>
          <cell r="V132">
            <v>0</v>
          </cell>
          <cell r="W132">
            <v>4130</v>
          </cell>
          <cell r="X132">
            <v>455</v>
          </cell>
          <cell r="Y132">
            <v>2255</v>
          </cell>
          <cell r="Z132">
            <v>30</v>
          </cell>
          <cell r="AA132">
            <v>0</v>
          </cell>
          <cell r="AB132">
            <v>1390</v>
          </cell>
          <cell r="AC132">
            <v>0</v>
          </cell>
          <cell r="AD132">
            <v>0</v>
          </cell>
          <cell r="AE132">
            <v>0</v>
          </cell>
          <cell r="AF132">
            <v>3380</v>
          </cell>
          <cell r="AG132">
            <v>105</v>
          </cell>
          <cell r="AH132">
            <v>75</v>
          </cell>
          <cell r="AI132">
            <v>810</v>
          </cell>
          <cell r="AJ132">
            <v>30</v>
          </cell>
          <cell r="AK132">
            <v>510</v>
          </cell>
          <cell r="AL132">
            <v>0</v>
          </cell>
          <cell r="AM132">
            <v>0</v>
          </cell>
          <cell r="AN132">
            <v>0</v>
          </cell>
          <cell r="AO132">
            <v>1675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30</v>
          </cell>
          <cell r="AY132">
            <v>0</v>
          </cell>
          <cell r="AZ132">
            <v>145</v>
          </cell>
          <cell r="BA132">
            <v>229601</v>
          </cell>
          <cell r="BB132">
            <v>452</v>
          </cell>
          <cell r="BC132">
            <v>229149</v>
          </cell>
        </row>
        <row r="133">
          <cell r="C133" t="str">
            <v>SYR109</v>
          </cell>
          <cell r="D133">
            <v>33120</v>
          </cell>
          <cell r="E133">
            <v>19470</v>
          </cell>
          <cell r="F133">
            <v>975</v>
          </cell>
          <cell r="G133">
            <v>0</v>
          </cell>
          <cell r="H133">
            <v>975</v>
          </cell>
          <cell r="I133">
            <v>0</v>
          </cell>
          <cell r="J133">
            <v>12675</v>
          </cell>
          <cell r="K133">
            <v>4000</v>
          </cell>
          <cell r="L133">
            <v>975</v>
          </cell>
          <cell r="M133">
            <v>735</v>
          </cell>
          <cell r="N133">
            <v>15</v>
          </cell>
          <cell r="O133">
            <v>170</v>
          </cell>
          <cell r="P133">
            <v>55</v>
          </cell>
          <cell r="Q133">
            <v>675</v>
          </cell>
          <cell r="R133">
            <v>480</v>
          </cell>
          <cell r="S133">
            <v>195</v>
          </cell>
          <cell r="T133">
            <v>0</v>
          </cell>
          <cell r="U133">
            <v>0</v>
          </cell>
          <cell r="V133">
            <v>0</v>
          </cell>
          <cell r="W133">
            <v>3840</v>
          </cell>
          <cell r="X133">
            <v>375</v>
          </cell>
          <cell r="Y133">
            <v>2075</v>
          </cell>
          <cell r="Z133">
            <v>30</v>
          </cell>
          <cell r="AA133">
            <v>0</v>
          </cell>
          <cell r="AB133">
            <v>1360</v>
          </cell>
          <cell r="AC133">
            <v>0</v>
          </cell>
          <cell r="AD133">
            <v>0</v>
          </cell>
          <cell r="AE133">
            <v>0</v>
          </cell>
          <cell r="AF133">
            <v>3185</v>
          </cell>
          <cell r="AG133">
            <v>30</v>
          </cell>
          <cell r="AH133">
            <v>75</v>
          </cell>
          <cell r="AI133">
            <v>750</v>
          </cell>
          <cell r="AJ133">
            <v>15</v>
          </cell>
          <cell r="AK133">
            <v>465</v>
          </cell>
          <cell r="AL133">
            <v>0</v>
          </cell>
          <cell r="AM133">
            <v>0</v>
          </cell>
          <cell r="AN133">
            <v>0</v>
          </cell>
          <cell r="AO133">
            <v>1675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30</v>
          </cell>
          <cell r="AY133">
            <v>0</v>
          </cell>
          <cell r="AZ133">
            <v>145</v>
          </cell>
          <cell r="BA133">
            <v>207509</v>
          </cell>
          <cell r="BB133">
            <v>422</v>
          </cell>
          <cell r="BC133">
            <v>207087</v>
          </cell>
        </row>
        <row r="134">
          <cell r="C134" t="str">
            <v>SYR110</v>
          </cell>
          <cell r="D134">
            <v>33120</v>
          </cell>
          <cell r="E134">
            <v>32190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930</v>
          </cell>
          <cell r="K134">
            <v>430</v>
          </cell>
          <cell r="L134">
            <v>15</v>
          </cell>
          <cell r="M134">
            <v>0</v>
          </cell>
          <cell r="N134">
            <v>0</v>
          </cell>
          <cell r="O134">
            <v>0</v>
          </cell>
          <cell r="P134">
            <v>15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290</v>
          </cell>
          <cell r="X134">
            <v>80</v>
          </cell>
          <cell r="Y134">
            <v>180</v>
          </cell>
          <cell r="Z134">
            <v>0</v>
          </cell>
          <cell r="AA134">
            <v>0</v>
          </cell>
          <cell r="AB134">
            <v>30</v>
          </cell>
          <cell r="AC134">
            <v>0</v>
          </cell>
          <cell r="AD134">
            <v>0</v>
          </cell>
          <cell r="AE134">
            <v>0</v>
          </cell>
          <cell r="AF134">
            <v>195</v>
          </cell>
          <cell r="AG134">
            <v>75</v>
          </cell>
          <cell r="AH134">
            <v>0</v>
          </cell>
          <cell r="AI134">
            <v>60</v>
          </cell>
          <cell r="AJ134">
            <v>15</v>
          </cell>
          <cell r="AK134">
            <v>45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22092</v>
          </cell>
          <cell r="BB134">
            <v>30</v>
          </cell>
          <cell r="BC134">
            <v>22062</v>
          </cell>
        </row>
        <row r="135">
          <cell r="C135" t="str">
            <v>NBL INJ-MIXING</v>
          </cell>
          <cell r="D135">
            <v>33120</v>
          </cell>
          <cell r="E135">
            <v>24840</v>
          </cell>
          <cell r="F135">
            <v>30</v>
          </cell>
          <cell r="G135">
            <v>30</v>
          </cell>
          <cell r="H135">
            <v>0</v>
          </cell>
          <cell r="I135">
            <v>0</v>
          </cell>
          <cell r="J135">
            <v>8250</v>
          </cell>
          <cell r="K135">
            <v>2331</v>
          </cell>
          <cell r="L135">
            <v>205</v>
          </cell>
          <cell r="M135">
            <v>205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3251</v>
          </cell>
          <cell r="X135">
            <v>862</v>
          </cell>
          <cell r="Y135">
            <v>1911</v>
          </cell>
          <cell r="Z135">
            <v>0</v>
          </cell>
          <cell r="AA135">
            <v>478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2463</v>
          </cell>
          <cell r="AG135">
            <v>0</v>
          </cell>
          <cell r="AH135">
            <v>0</v>
          </cell>
          <cell r="AI135">
            <v>480</v>
          </cell>
          <cell r="AJ135">
            <v>0</v>
          </cell>
          <cell r="AK135">
            <v>485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1243</v>
          </cell>
          <cell r="AX135">
            <v>255</v>
          </cell>
          <cell r="AY135">
            <v>0</v>
          </cell>
          <cell r="AZ135">
            <v>0</v>
          </cell>
          <cell r="BA135">
            <v>1364</v>
          </cell>
          <cell r="BB135">
            <v>0</v>
          </cell>
          <cell r="BC135">
            <v>1364</v>
          </cell>
        </row>
        <row r="136">
          <cell r="C136" t="str">
            <v>LMIXINJ1</v>
          </cell>
          <cell r="D136">
            <v>33120</v>
          </cell>
          <cell r="E136">
            <v>24840</v>
          </cell>
          <cell r="F136">
            <v>30</v>
          </cell>
          <cell r="G136">
            <v>30</v>
          </cell>
          <cell r="H136">
            <v>0</v>
          </cell>
          <cell r="I136">
            <v>0</v>
          </cell>
          <cell r="J136">
            <v>8250</v>
          </cell>
          <cell r="K136">
            <v>2331</v>
          </cell>
          <cell r="L136">
            <v>205</v>
          </cell>
          <cell r="M136">
            <v>205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3251</v>
          </cell>
          <cell r="X136">
            <v>862</v>
          </cell>
          <cell r="Y136">
            <v>1911</v>
          </cell>
          <cell r="Z136">
            <v>0</v>
          </cell>
          <cell r="AA136">
            <v>478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2463</v>
          </cell>
          <cell r="AG136">
            <v>0</v>
          </cell>
          <cell r="AH136">
            <v>0</v>
          </cell>
          <cell r="AI136">
            <v>480</v>
          </cell>
          <cell r="AJ136">
            <v>0</v>
          </cell>
          <cell r="AK136">
            <v>485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1243</v>
          </cell>
          <cell r="AX136">
            <v>255</v>
          </cell>
          <cell r="AY136">
            <v>0</v>
          </cell>
          <cell r="AZ136">
            <v>0</v>
          </cell>
          <cell r="BA136">
            <v>1364</v>
          </cell>
          <cell r="BB136">
            <v>0</v>
          </cell>
          <cell r="BC136">
            <v>1364</v>
          </cell>
        </row>
        <row r="137">
          <cell r="C137" t="str">
            <v>NBL INJ-FILLING</v>
          </cell>
          <cell r="D137">
            <v>66240</v>
          </cell>
          <cell r="E137">
            <v>36630</v>
          </cell>
          <cell r="F137">
            <v>1720</v>
          </cell>
          <cell r="G137">
            <v>90</v>
          </cell>
          <cell r="H137">
            <v>1630</v>
          </cell>
          <cell r="I137">
            <v>120</v>
          </cell>
          <cell r="J137">
            <v>27770</v>
          </cell>
          <cell r="K137">
            <v>11017</v>
          </cell>
          <cell r="L137">
            <v>2619</v>
          </cell>
          <cell r="M137">
            <v>2415</v>
          </cell>
          <cell r="N137">
            <v>48</v>
          </cell>
          <cell r="O137">
            <v>156</v>
          </cell>
          <cell r="P137">
            <v>0</v>
          </cell>
          <cell r="Q137">
            <v>302</v>
          </cell>
          <cell r="R137">
            <v>42</v>
          </cell>
          <cell r="S137">
            <v>94</v>
          </cell>
          <cell r="T137">
            <v>0</v>
          </cell>
          <cell r="U137">
            <v>71</v>
          </cell>
          <cell r="V137">
            <v>95</v>
          </cell>
          <cell r="W137">
            <v>5576</v>
          </cell>
          <cell r="X137">
            <v>875</v>
          </cell>
          <cell r="Y137">
            <v>4636</v>
          </cell>
          <cell r="Z137">
            <v>65</v>
          </cell>
          <cell r="AA137">
            <v>0</v>
          </cell>
          <cell r="AB137">
            <v>0</v>
          </cell>
          <cell r="AC137">
            <v>155</v>
          </cell>
          <cell r="AD137">
            <v>155</v>
          </cell>
          <cell r="AE137">
            <v>0</v>
          </cell>
          <cell r="AF137">
            <v>8101</v>
          </cell>
          <cell r="AG137">
            <v>0</v>
          </cell>
          <cell r="AH137">
            <v>0</v>
          </cell>
          <cell r="AI137">
            <v>1890</v>
          </cell>
          <cell r="AJ137">
            <v>0</v>
          </cell>
          <cell r="AK137">
            <v>2030</v>
          </cell>
          <cell r="AL137">
            <v>0</v>
          </cell>
          <cell r="AM137">
            <v>25</v>
          </cell>
          <cell r="AN137">
            <v>0</v>
          </cell>
          <cell r="AO137">
            <v>0</v>
          </cell>
          <cell r="AP137">
            <v>410</v>
          </cell>
          <cell r="AQ137">
            <v>0</v>
          </cell>
          <cell r="AR137">
            <v>0</v>
          </cell>
          <cell r="AS137">
            <v>3474</v>
          </cell>
          <cell r="AT137">
            <v>0</v>
          </cell>
          <cell r="AU137">
            <v>0</v>
          </cell>
          <cell r="AV137">
            <v>0</v>
          </cell>
          <cell r="AW137">
            <v>42</v>
          </cell>
          <cell r="AX137">
            <v>0</v>
          </cell>
          <cell r="AY137">
            <v>230</v>
          </cell>
          <cell r="AZ137">
            <v>0</v>
          </cell>
          <cell r="BA137">
            <v>1183526</v>
          </cell>
          <cell r="BB137">
            <v>126</v>
          </cell>
          <cell r="BC137">
            <v>1183400</v>
          </cell>
        </row>
        <row r="138">
          <cell r="C138" t="str">
            <v>GINLINE3</v>
          </cell>
          <cell r="D138">
            <v>33120</v>
          </cell>
          <cell r="E138">
            <v>20940</v>
          </cell>
          <cell r="F138">
            <v>930</v>
          </cell>
          <cell r="G138">
            <v>10</v>
          </cell>
          <cell r="H138">
            <v>920</v>
          </cell>
          <cell r="I138">
            <v>120</v>
          </cell>
          <cell r="J138">
            <v>11130</v>
          </cell>
          <cell r="K138">
            <v>2920</v>
          </cell>
          <cell r="L138">
            <v>1244</v>
          </cell>
          <cell r="M138">
            <v>1120</v>
          </cell>
          <cell r="N138">
            <v>48</v>
          </cell>
          <cell r="O138">
            <v>76</v>
          </cell>
          <cell r="P138">
            <v>0</v>
          </cell>
          <cell r="Q138">
            <v>132</v>
          </cell>
          <cell r="R138">
            <v>0</v>
          </cell>
          <cell r="S138">
            <v>46</v>
          </cell>
          <cell r="T138">
            <v>0</v>
          </cell>
          <cell r="U138">
            <v>71</v>
          </cell>
          <cell r="V138">
            <v>15</v>
          </cell>
          <cell r="W138">
            <v>2556</v>
          </cell>
          <cell r="X138">
            <v>598</v>
          </cell>
          <cell r="Y138">
            <v>1893</v>
          </cell>
          <cell r="Z138">
            <v>65</v>
          </cell>
          <cell r="AA138">
            <v>0</v>
          </cell>
          <cell r="AB138">
            <v>0</v>
          </cell>
          <cell r="AC138">
            <v>155</v>
          </cell>
          <cell r="AD138">
            <v>155</v>
          </cell>
          <cell r="AE138">
            <v>0</v>
          </cell>
          <cell r="AF138">
            <v>4123</v>
          </cell>
          <cell r="AG138">
            <v>0</v>
          </cell>
          <cell r="AH138">
            <v>0</v>
          </cell>
          <cell r="AI138">
            <v>750</v>
          </cell>
          <cell r="AJ138">
            <v>0</v>
          </cell>
          <cell r="AK138">
            <v>740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240</v>
          </cell>
          <cell r="AQ138">
            <v>0</v>
          </cell>
          <cell r="AR138">
            <v>0</v>
          </cell>
          <cell r="AS138">
            <v>2376</v>
          </cell>
          <cell r="AT138">
            <v>0</v>
          </cell>
          <cell r="AU138">
            <v>0</v>
          </cell>
          <cell r="AV138">
            <v>0</v>
          </cell>
          <cell r="AW138">
            <v>17</v>
          </cell>
          <cell r="AX138">
            <v>0</v>
          </cell>
          <cell r="AY138">
            <v>0</v>
          </cell>
          <cell r="AZ138">
            <v>0</v>
          </cell>
          <cell r="BA138">
            <v>545849</v>
          </cell>
          <cell r="BB138">
            <v>0</v>
          </cell>
          <cell r="BC138">
            <v>545849</v>
          </cell>
        </row>
        <row r="139">
          <cell r="C139" t="str">
            <v>GINLINE4</v>
          </cell>
          <cell r="D139">
            <v>33120</v>
          </cell>
          <cell r="E139">
            <v>15690</v>
          </cell>
          <cell r="F139">
            <v>790</v>
          </cell>
          <cell r="G139">
            <v>80</v>
          </cell>
          <cell r="H139">
            <v>710</v>
          </cell>
          <cell r="I139">
            <v>0</v>
          </cell>
          <cell r="J139">
            <v>16640</v>
          </cell>
          <cell r="K139">
            <v>8097</v>
          </cell>
          <cell r="L139">
            <v>1375</v>
          </cell>
          <cell r="M139">
            <v>1295</v>
          </cell>
          <cell r="N139">
            <v>0</v>
          </cell>
          <cell r="O139">
            <v>80</v>
          </cell>
          <cell r="P139">
            <v>0</v>
          </cell>
          <cell r="Q139">
            <v>170</v>
          </cell>
          <cell r="R139">
            <v>42</v>
          </cell>
          <cell r="S139">
            <v>48</v>
          </cell>
          <cell r="T139">
            <v>0</v>
          </cell>
          <cell r="U139">
            <v>0</v>
          </cell>
          <cell r="V139">
            <v>80</v>
          </cell>
          <cell r="W139">
            <v>3020</v>
          </cell>
          <cell r="X139">
            <v>277</v>
          </cell>
          <cell r="Y139">
            <v>2743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3978</v>
          </cell>
          <cell r="AG139">
            <v>0</v>
          </cell>
          <cell r="AH139">
            <v>0</v>
          </cell>
          <cell r="AI139">
            <v>1140</v>
          </cell>
          <cell r="AJ139">
            <v>0</v>
          </cell>
          <cell r="AK139">
            <v>1290</v>
          </cell>
          <cell r="AL139">
            <v>0</v>
          </cell>
          <cell r="AM139">
            <v>25</v>
          </cell>
          <cell r="AN139">
            <v>0</v>
          </cell>
          <cell r="AO139">
            <v>0</v>
          </cell>
          <cell r="AP139">
            <v>170</v>
          </cell>
          <cell r="AQ139">
            <v>0</v>
          </cell>
          <cell r="AR139">
            <v>0</v>
          </cell>
          <cell r="AS139">
            <v>1098</v>
          </cell>
          <cell r="AT139">
            <v>0</v>
          </cell>
          <cell r="AU139">
            <v>0</v>
          </cell>
          <cell r="AV139">
            <v>0</v>
          </cell>
          <cell r="AW139">
            <v>25</v>
          </cell>
          <cell r="AX139">
            <v>0</v>
          </cell>
          <cell r="AY139">
            <v>230</v>
          </cell>
          <cell r="AZ139">
            <v>0</v>
          </cell>
          <cell r="BA139">
            <v>637677</v>
          </cell>
          <cell r="BB139">
            <v>126</v>
          </cell>
          <cell r="BC139">
            <v>637551</v>
          </cell>
        </row>
        <row r="140">
          <cell r="C140" t="str">
            <v>NBL INJ-STERILIZATION</v>
          </cell>
          <cell r="D140">
            <v>99360</v>
          </cell>
          <cell r="E140">
            <v>52319</v>
          </cell>
          <cell r="F140">
            <v>7805</v>
          </cell>
          <cell r="G140">
            <v>4902</v>
          </cell>
          <cell r="H140">
            <v>2903</v>
          </cell>
          <cell r="I140">
            <v>20</v>
          </cell>
          <cell r="J140">
            <v>39216</v>
          </cell>
          <cell r="K140">
            <v>17391</v>
          </cell>
          <cell r="L140">
            <v>614</v>
          </cell>
          <cell r="M140">
            <v>614</v>
          </cell>
          <cell r="N140">
            <v>0</v>
          </cell>
          <cell r="O140">
            <v>0</v>
          </cell>
          <cell r="P140">
            <v>0</v>
          </cell>
          <cell r="Q140">
            <v>217</v>
          </cell>
          <cell r="R140">
            <v>217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9089</v>
          </cell>
          <cell r="X140">
            <v>7379</v>
          </cell>
          <cell r="Y140">
            <v>1160</v>
          </cell>
          <cell r="Z140">
            <v>60</v>
          </cell>
          <cell r="AA140">
            <v>0</v>
          </cell>
          <cell r="AB140">
            <v>490</v>
          </cell>
          <cell r="AC140">
            <v>0</v>
          </cell>
          <cell r="AD140">
            <v>0</v>
          </cell>
          <cell r="AE140">
            <v>0</v>
          </cell>
          <cell r="AF140">
            <v>11905</v>
          </cell>
          <cell r="AG140">
            <v>0</v>
          </cell>
          <cell r="AH140">
            <v>0</v>
          </cell>
          <cell r="AI140">
            <v>1101</v>
          </cell>
          <cell r="AJ140">
            <v>60</v>
          </cell>
          <cell r="AK140">
            <v>793</v>
          </cell>
          <cell r="AL140">
            <v>1533</v>
          </cell>
          <cell r="AM140">
            <v>0</v>
          </cell>
          <cell r="AN140">
            <v>0</v>
          </cell>
          <cell r="AO140">
            <v>8187</v>
          </cell>
          <cell r="AP140">
            <v>231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1293</v>
          </cell>
          <cell r="BB140">
            <v>0</v>
          </cell>
          <cell r="BC140">
            <v>1293</v>
          </cell>
        </row>
        <row r="141">
          <cell r="C141" t="str">
            <v>INJ105</v>
          </cell>
          <cell r="D141">
            <v>33120</v>
          </cell>
          <cell r="E141">
            <v>14104</v>
          </cell>
          <cell r="F141">
            <v>5577</v>
          </cell>
          <cell r="G141">
            <v>4460</v>
          </cell>
          <cell r="H141">
            <v>1117</v>
          </cell>
          <cell r="I141">
            <v>0</v>
          </cell>
          <cell r="J141">
            <v>13439</v>
          </cell>
          <cell r="K141">
            <v>5968</v>
          </cell>
          <cell r="L141">
            <v>165</v>
          </cell>
          <cell r="M141">
            <v>165</v>
          </cell>
          <cell r="N141">
            <v>0</v>
          </cell>
          <cell r="O141">
            <v>0</v>
          </cell>
          <cell r="P141">
            <v>0</v>
          </cell>
          <cell r="Q141">
            <v>217</v>
          </cell>
          <cell r="R141">
            <v>217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1726</v>
          </cell>
          <cell r="X141">
            <v>1129</v>
          </cell>
          <cell r="Y141">
            <v>477</v>
          </cell>
          <cell r="Z141">
            <v>0</v>
          </cell>
          <cell r="AA141">
            <v>0</v>
          </cell>
          <cell r="AB141">
            <v>120</v>
          </cell>
          <cell r="AC141">
            <v>0</v>
          </cell>
          <cell r="AD141">
            <v>0</v>
          </cell>
          <cell r="AE141">
            <v>0</v>
          </cell>
          <cell r="AF141">
            <v>5363</v>
          </cell>
          <cell r="AG141">
            <v>0</v>
          </cell>
          <cell r="AH141">
            <v>0</v>
          </cell>
          <cell r="AI141">
            <v>271</v>
          </cell>
          <cell r="AJ141">
            <v>0</v>
          </cell>
          <cell r="AK141">
            <v>170</v>
          </cell>
          <cell r="AL141">
            <v>0</v>
          </cell>
          <cell r="AM141">
            <v>0</v>
          </cell>
          <cell r="AN141">
            <v>0</v>
          </cell>
          <cell r="AO141">
            <v>4907</v>
          </cell>
          <cell r="AP141">
            <v>15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551</v>
          </cell>
          <cell r="BB141">
            <v>0</v>
          </cell>
          <cell r="BC141">
            <v>551</v>
          </cell>
        </row>
        <row r="142">
          <cell r="C142" t="str">
            <v>INJ106</v>
          </cell>
          <cell r="D142">
            <v>33120</v>
          </cell>
          <cell r="E142">
            <v>15367</v>
          </cell>
          <cell r="F142">
            <v>973</v>
          </cell>
          <cell r="G142">
            <v>442</v>
          </cell>
          <cell r="H142">
            <v>531</v>
          </cell>
          <cell r="I142">
            <v>0</v>
          </cell>
          <cell r="J142">
            <v>16780</v>
          </cell>
          <cell r="K142">
            <v>10205</v>
          </cell>
          <cell r="L142">
            <v>62</v>
          </cell>
          <cell r="M142">
            <v>62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5707</v>
          </cell>
          <cell r="X142">
            <v>5364</v>
          </cell>
          <cell r="Y142">
            <v>223</v>
          </cell>
          <cell r="Z142">
            <v>0</v>
          </cell>
          <cell r="AA142">
            <v>0</v>
          </cell>
          <cell r="AB142">
            <v>120</v>
          </cell>
          <cell r="AC142">
            <v>0</v>
          </cell>
          <cell r="AD142">
            <v>0</v>
          </cell>
          <cell r="AE142">
            <v>0</v>
          </cell>
          <cell r="AF142">
            <v>806</v>
          </cell>
          <cell r="AG142">
            <v>0</v>
          </cell>
          <cell r="AH142">
            <v>0</v>
          </cell>
          <cell r="AI142">
            <v>360</v>
          </cell>
          <cell r="AJ142">
            <v>0</v>
          </cell>
          <cell r="AK142">
            <v>280</v>
          </cell>
          <cell r="AL142">
            <v>0</v>
          </cell>
          <cell r="AM142">
            <v>0</v>
          </cell>
          <cell r="AN142">
            <v>0</v>
          </cell>
          <cell r="AO142">
            <v>155</v>
          </cell>
          <cell r="AP142">
            <v>11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717</v>
          </cell>
          <cell r="BB142">
            <v>0</v>
          </cell>
          <cell r="BC142">
            <v>717</v>
          </cell>
        </row>
        <row r="143">
          <cell r="C143" t="str">
            <v>INJ107</v>
          </cell>
          <cell r="D143">
            <v>33120</v>
          </cell>
          <cell r="E143">
            <v>22848</v>
          </cell>
          <cell r="F143">
            <v>1255</v>
          </cell>
          <cell r="G143">
            <v>0</v>
          </cell>
          <cell r="H143">
            <v>1255</v>
          </cell>
          <cell r="I143">
            <v>20</v>
          </cell>
          <cell r="J143">
            <v>8997</v>
          </cell>
          <cell r="K143">
            <v>1218</v>
          </cell>
          <cell r="L143">
            <v>387</v>
          </cell>
          <cell r="M143">
            <v>387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1656</v>
          </cell>
          <cell r="X143">
            <v>886</v>
          </cell>
          <cell r="Y143">
            <v>460</v>
          </cell>
          <cell r="Z143">
            <v>60</v>
          </cell>
          <cell r="AA143">
            <v>0</v>
          </cell>
          <cell r="AB143">
            <v>250</v>
          </cell>
          <cell r="AC143">
            <v>0</v>
          </cell>
          <cell r="AD143">
            <v>0</v>
          </cell>
          <cell r="AE143">
            <v>0</v>
          </cell>
          <cell r="AF143">
            <v>5736</v>
          </cell>
          <cell r="AG143">
            <v>0</v>
          </cell>
          <cell r="AH143">
            <v>0</v>
          </cell>
          <cell r="AI143">
            <v>470</v>
          </cell>
          <cell r="AJ143">
            <v>60</v>
          </cell>
          <cell r="AK143">
            <v>343</v>
          </cell>
          <cell r="AL143">
            <v>1533</v>
          </cell>
          <cell r="AM143">
            <v>0</v>
          </cell>
          <cell r="AN143">
            <v>0</v>
          </cell>
          <cell r="AO143">
            <v>3125</v>
          </cell>
          <cell r="AP143">
            <v>205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25</v>
          </cell>
          <cell r="BB143">
            <v>0</v>
          </cell>
          <cell r="BC143">
            <v>25</v>
          </cell>
        </row>
        <row r="144">
          <cell r="C144" t="str">
            <v>NBL SECONDARY PACKING</v>
          </cell>
          <cell r="D144">
            <v>198720</v>
          </cell>
          <cell r="E144">
            <v>137640</v>
          </cell>
          <cell r="F144">
            <v>4905</v>
          </cell>
          <cell r="G144">
            <v>1955</v>
          </cell>
          <cell r="H144">
            <v>2950</v>
          </cell>
          <cell r="I144">
            <v>0</v>
          </cell>
          <cell r="J144">
            <v>56175</v>
          </cell>
          <cell r="K144">
            <v>35651</v>
          </cell>
          <cell r="L144">
            <v>4238</v>
          </cell>
          <cell r="M144">
            <v>2342</v>
          </cell>
          <cell r="N144">
            <v>216</v>
          </cell>
          <cell r="O144">
            <v>432</v>
          </cell>
          <cell r="P144">
            <v>1248</v>
          </cell>
          <cell r="Q144">
            <v>398</v>
          </cell>
          <cell r="R144">
            <v>100</v>
          </cell>
          <cell r="S144">
            <v>298</v>
          </cell>
          <cell r="T144">
            <v>0</v>
          </cell>
          <cell r="U144">
            <v>0</v>
          </cell>
          <cell r="V144">
            <v>0</v>
          </cell>
          <cell r="W144">
            <v>4376</v>
          </cell>
          <cell r="X144">
            <v>2067</v>
          </cell>
          <cell r="Y144">
            <v>2104</v>
          </cell>
          <cell r="Z144">
            <v>0</v>
          </cell>
          <cell r="AA144">
            <v>0</v>
          </cell>
          <cell r="AB144">
            <v>205</v>
          </cell>
          <cell r="AC144">
            <v>0</v>
          </cell>
          <cell r="AD144">
            <v>0</v>
          </cell>
          <cell r="AE144">
            <v>0</v>
          </cell>
          <cell r="AF144">
            <v>11512</v>
          </cell>
          <cell r="AG144">
            <v>0</v>
          </cell>
          <cell r="AH144">
            <v>25</v>
          </cell>
          <cell r="AI144">
            <v>3450</v>
          </cell>
          <cell r="AJ144">
            <v>0</v>
          </cell>
          <cell r="AK144">
            <v>2295</v>
          </cell>
          <cell r="AL144">
            <v>1100</v>
          </cell>
          <cell r="AM144">
            <v>10</v>
          </cell>
          <cell r="AN144">
            <v>0</v>
          </cell>
          <cell r="AO144">
            <v>1570</v>
          </cell>
          <cell r="AP144">
            <v>925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2137</v>
          </cell>
          <cell r="AX144">
            <v>0</v>
          </cell>
          <cell r="AY144">
            <v>0</v>
          </cell>
          <cell r="AZ144">
            <v>0</v>
          </cell>
          <cell r="BA144">
            <v>1942272</v>
          </cell>
          <cell r="BB144">
            <v>36</v>
          </cell>
          <cell r="BC144">
            <v>1942236</v>
          </cell>
        </row>
        <row r="145">
          <cell r="C145" t="str">
            <v>PAK101</v>
          </cell>
          <cell r="D145">
            <v>33120</v>
          </cell>
          <cell r="E145">
            <v>15930</v>
          </cell>
          <cell r="F145">
            <v>345</v>
          </cell>
          <cell r="G145">
            <v>345</v>
          </cell>
          <cell r="H145">
            <v>0</v>
          </cell>
          <cell r="I145">
            <v>0</v>
          </cell>
          <cell r="J145">
            <v>16845</v>
          </cell>
          <cell r="K145">
            <v>12513</v>
          </cell>
          <cell r="L145">
            <v>355</v>
          </cell>
          <cell r="M145">
            <v>355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1150</v>
          </cell>
          <cell r="X145">
            <v>382</v>
          </cell>
          <cell r="Y145">
            <v>738</v>
          </cell>
          <cell r="Z145">
            <v>0</v>
          </cell>
          <cell r="AA145">
            <v>0</v>
          </cell>
          <cell r="AB145">
            <v>30</v>
          </cell>
          <cell r="AC145">
            <v>0</v>
          </cell>
          <cell r="AD145">
            <v>0</v>
          </cell>
          <cell r="AE145">
            <v>0</v>
          </cell>
          <cell r="AF145">
            <v>2827</v>
          </cell>
          <cell r="AG145">
            <v>0</v>
          </cell>
          <cell r="AH145">
            <v>0</v>
          </cell>
          <cell r="AI145">
            <v>1080</v>
          </cell>
          <cell r="AJ145">
            <v>0</v>
          </cell>
          <cell r="AK145">
            <v>735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290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722</v>
          </cell>
          <cell r="AX145">
            <v>0</v>
          </cell>
          <cell r="AY145">
            <v>0</v>
          </cell>
          <cell r="AZ145">
            <v>0</v>
          </cell>
          <cell r="BA145">
            <v>488262</v>
          </cell>
          <cell r="BB145">
            <v>0</v>
          </cell>
          <cell r="BC145">
            <v>488262</v>
          </cell>
        </row>
        <row r="146">
          <cell r="C146" t="str">
            <v>PAK103</v>
          </cell>
          <cell r="D146">
            <v>33120</v>
          </cell>
          <cell r="E146">
            <v>15510</v>
          </cell>
          <cell r="F146">
            <v>360</v>
          </cell>
          <cell r="G146">
            <v>360</v>
          </cell>
          <cell r="H146">
            <v>0</v>
          </cell>
          <cell r="I146">
            <v>0</v>
          </cell>
          <cell r="J146">
            <v>17250</v>
          </cell>
          <cell r="K146">
            <v>13040</v>
          </cell>
          <cell r="L146">
            <v>257</v>
          </cell>
          <cell r="M146">
            <v>247</v>
          </cell>
          <cell r="N146">
            <v>0</v>
          </cell>
          <cell r="O146">
            <v>10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975</v>
          </cell>
          <cell r="X146">
            <v>331</v>
          </cell>
          <cell r="Y146">
            <v>614</v>
          </cell>
          <cell r="Z146">
            <v>0</v>
          </cell>
          <cell r="AA146">
            <v>0</v>
          </cell>
          <cell r="AB146">
            <v>30</v>
          </cell>
          <cell r="AC146">
            <v>0</v>
          </cell>
          <cell r="AD146">
            <v>0</v>
          </cell>
          <cell r="AE146">
            <v>0</v>
          </cell>
          <cell r="AF146">
            <v>2978</v>
          </cell>
          <cell r="AG146">
            <v>0</v>
          </cell>
          <cell r="AH146">
            <v>25</v>
          </cell>
          <cell r="AI146">
            <v>1110</v>
          </cell>
          <cell r="AJ146">
            <v>0</v>
          </cell>
          <cell r="AK146">
            <v>765</v>
          </cell>
          <cell r="AL146">
            <v>70</v>
          </cell>
          <cell r="AM146">
            <v>0</v>
          </cell>
          <cell r="AN146">
            <v>0</v>
          </cell>
          <cell r="AO146">
            <v>0</v>
          </cell>
          <cell r="AP146">
            <v>221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787</v>
          </cell>
          <cell r="AX146">
            <v>0</v>
          </cell>
          <cell r="AY146">
            <v>0</v>
          </cell>
          <cell r="AZ146">
            <v>0</v>
          </cell>
          <cell r="BA146">
            <v>720757</v>
          </cell>
          <cell r="BB146">
            <v>0</v>
          </cell>
          <cell r="BC146">
            <v>720757</v>
          </cell>
        </row>
        <row r="147">
          <cell r="C147" t="str">
            <v>PAK105</v>
          </cell>
          <cell r="D147">
            <v>33120</v>
          </cell>
          <cell r="E147">
            <v>18240</v>
          </cell>
          <cell r="F147">
            <v>2680</v>
          </cell>
          <cell r="G147">
            <v>605</v>
          </cell>
          <cell r="H147">
            <v>2075</v>
          </cell>
          <cell r="I147">
            <v>0</v>
          </cell>
          <cell r="J147">
            <v>12200</v>
          </cell>
          <cell r="K147">
            <v>5580</v>
          </cell>
          <cell r="L147">
            <v>1675</v>
          </cell>
          <cell r="M147">
            <v>900</v>
          </cell>
          <cell r="N147">
            <v>60</v>
          </cell>
          <cell r="O147">
            <v>195</v>
          </cell>
          <cell r="P147">
            <v>520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870</v>
          </cell>
          <cell r="X147">
            <v>500</v>
          </cell>
          <cell r="Y147">
            <v>370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4075</v>
          </cell>
          <cell r="AG147">
            <v>0</v>
          </cell>
          <cell r="AH147">
            <v>0</v>
          </cell>
          <cell r="AI147">
            <v>660</v>
          </cell>
          <cell r="AJ147">
            <v>0</v>
          </cell>
          <cell r="AK147">
            <v>390</v>
          </cell>
          <cell r="AL147">
            <v>1030</v>
          </cell>
          <cell r="AM147">
            <v>0</v>
          </cell>
          <cell r="AN147">
            <v>0</v>
          </cell>
          <cell r="AO147">
            <v>1560</v>
          </cell>
          <cell r="AP147">
            <v>215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220</v>
          </cell>
          <cell r="AX147">
            <v>0</v>
          </cell>
          <cell r="AY147">
            <v>0</v>
          </cell>
          <cell r="AZ147">
            <v>0</v>
          </cell>
          <cell r="BA147">
            <v>264749</v>
          </cell>
          <cell r="BB147">
            <v>0</v>
          </cell>
          <cell r="BC147">
            <v>264749</v>
          </cell>
        </row>
        <row r="148">
          <cell r="C148" t="str">
            <v>PAK102</v>
          </cell>
          <cell r="D148">
            <v>33120</v>
          </cell>
          <cell r="E148">
            <v>33120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/>
          <cell r="K148"/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/>
          <cell r="BB148"/>
          <cell r="BC148"/>
        </row>
        <row r="149">
          <cell r="C149" t="str">
            <v>PAK104</v>
          </cell>
          <cell r="D149">
            <v>33120</v>
          </cell>
          <cell r="E149">
            <v>32610</v>
          </cell>
          <cell r="F149">
            <v>300</v>
          </cell>
          <cell r="G149">
            <v>0</v>
          </cell>
          <cell r="H149">
            <v>300</v>
          </cell>
          <cell r="I149">
            <v>0</v>
          </cell>
          <cell r="J149">
            <v>210</v>
          </cell>
          <cell r="K149">
            <v>50</v>
          </cell>
          <cell r="L149">
            <v>25</v>
          </cell>
          <cell r="M149">
            <v>25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120</v>
          </cell>
          <cell r="X149">
            <v>40</v>
          </cell>
          <cell r="Y149">
            <v>65</v>
          </cell>
          <cell r="Z149">
            <v>0</v>
          </cell>
          <cell r="AA149">
            <v>0</v>
          </cell>
          <cell r="AB149">
            <v>15</v>
          </cell>
          <cell r="AC149">
            <v>0</v>
          </cell>
          <cell r="AD149">
            <v>0</v>
          </cell>
          <cell r="AE149">
            <v>0</v>
          </cell>
          <cell r="AF149">
            <v>15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10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5</v>
          </cell>
          <cell r="AX149">
            <v>0</v>
          </cell>
          <cell r="AY149">
            <v>0</v>
          </cell>
          <cell r="AZ149">
            <v>0</v>
          </cell>
          <cell r="BA149">
            <v>1555</v>
          </cell>
          <cell r="BB149">
            <v>0</v>
          </cell>
          <cell r="BC149">
            <v>1555</v>
          </cell>
        </row>
        <row r="150">
          <cell r="C150" t="str">
            <v>PAK111</v>
          </cell>
          <cell r="D150">
            <v>33120</v>
          </cell>
          <cell r="E150">
            <v>22230</v>
          </cell>
          <cell r="F150">
            <v>1220</v>
          </cell>
          <cell r="G150">
            <v>645</v>
          </cell>
          <cell r="H150">
            <v>575</v>
          </cell>
          <cell r="I150">
            <v>0</v>
          </cell>
          <cell r="J150">
            <v>9670</v>
          </cell>
          <cell r="K150">
            <v>4468</v>
          </cell>
          <cell r="L150">
            <v>1926</v>
          </cell>
          <cell r="M150">
            <v>815</v>
          </cell>
          <cell r="N150">
            <v>156</v>
          </cell>
          <cell r="O150">
            <v>227</v>
          </cell>
          <cell r="P150">
            <v>728</v>
          </cell>
          <cell r="Q150">
            <v>398</v>
          </cell>
          <cell r="R150">
            <v>100</v>
          </cell>
          <cell r="S150">
            <v>298</v>
          </cell>
          <cell r="T150">
            <v>0</v>
          </cell>
          <cell r="U150">
            <v>0</v>
          </cell>
          <cell r="V150">
            <v>0</v>
          </cell>
          <cell r="W150">
            <v>1261</v>
          </cell>
          <cell r="X150">
            <v>814</v>
          </cell>
          <cell r="Y150">
            <v>317</v>
          </cell>
          <cell r="Z150">
            <v>0</v>
          </cell>
          <cell r="AA150">
            <v>0</v>
          </cell>
          <cell r="AB150">
            <v>130</v>
          </cell>
          <cell r="AC150">
            <v>0</v>
          </cell>
          <cell r="AD150">
            <v>0</v>
          </cell>
          <cell r="AE150">
            <v>0</v>
          </cell>
          <cell r="AF150">
            <v>1617</v>
          </cell>
          <cell r="AG150">
            <v>0</v>
          </cell>
          <cell r="AH150">
            <v>0</v>
          </cell>
          <cell r="AI150">
            <v>600</v>
          </cell>
          <cell r="AJ150">
            <v>0</v>
          </cell>
          <cell r="AK150">
            <v>405</v>
          </cell>
          <cell r="AL150">
            <v>0</v>
          </cell>
          <cell r="AM150">
            <v>10</v>
          </cell>
          <cell r="AN150">
            <v>0</v>
          </cell>
          <cell r="AO150">
            <v>10</v>
          </cell>
          <cell r="AP150">
            <v>189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403</v>
          </cell>
          <cell r="AX150">
            <v>0</v>
          </cell>
          <cell r="AY150">
            <v>0</v>
          </cell>
          <cell r="AZ150">
            <v>0</v>
          </cell>
          <cell r="BA150">
            <v>466949</v>
          </cell>
          <cell r="BB150">
            <v>36</v>
          </cell>
          <cell r="BC150">
            <v>466913</v>
          </cell>
        </row>
        <row r="151">
          <cell r="C151" t="str">
            <v>CPH SOL-MIXING</v>
          </cell>
          <cell r="D151">
            <v>33120</v>
          </cell>
          <cell r="E151">
            <v>32610</v>
          </cell>
          <cell r="F151">
            <v>90</v>
          </cell>
          <cell r="G151">
            <v>0</v>
          </cell>
          <cell r="H151">
            <v>90</v>
          </cell>
          <cell r="I151">
            <v>0</v>
          </cell>
          <cell r="J151">
            <v>420</v>
          </cell>
          <cell r="K151">
            <v>24</v>
          </cell>
          <cell r="L151">
            <v>36</v>
          </cell>
          <cell r="M151">
            <v>18</v>
          </cell>
          <cell r="N151">
            <v>18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253</v>
          </cell>
          <cell r="X151">
            <v>170</v>
          </cell>
          <cell r="Y151">
            <v>73</v>
          </cell>
          <cell r="Z151">
            <v>0</v>
          </cell>
          <cell r="AA151">
            <v>0</v>
          </cell>
          <cell r="AB151">
            <v>10</v>
          </cell>
          <cell r="AC151">
            <v>52</v>
          </cell>
          <cell r="AD151">
            <v>0</v>
          </cell>
          <cell r="AE151">
            <v>52</v>
          </cell>
          <cell r="AF151">
            <v>55</v>
          </cell>
          <cell r="AG151">
            <v>0</v>
          </cell>
          <cell r="AH151">
            <v>0</v>
          </cell>
          <cell r="AI151">
            <v>30</v>
          </cell>
          <cell r="AJ151">
            <v>0</v>
          </cell>
          <cell r="AK151">
            <v>15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10</v>
          </cell>
          <cell r="AX151">
            <v>0</v>
          </cell>
          <cell r="AY151">
            <v>0</v>
          </cell>
          <cell r="AZ151">
            <v>0</v>
          </cell>
          <cell r="BA151">
            <v>302.75</v>
          </cell>
          <cell r="BB151">
            <v>0.18</v>
          </cell>
          <cell r="BC151">
            <v>302.57</v>
          </cell>
        </row>
        <row r="152">
          <cell r="C152" t="str">
            <v>MCF101</v>
          </cell>
          <cell r="D152">
            <v>33120</v>
          </cell>
          <cell r="E152">
            <v>32610</v>
          </cell>
          <cell r="F152">
            <v>90</v>
          </cell>
          <cell r="G152">
            <v>0</v>
          </cell>
          <cell r="H152">
            <v>90</v>
          </cell>
          <cell r="I152">
            <v>0</v>
          </cell>
          <cell r="J152">
            <v>420</v>
          </cell>
          <cell r="K152">
            <v>24</v>
          </cell>
          <cell r="L152">
            <v>36</v>
          </cell>
          <cell r="M152">
            <v>18</v>
          </cell>
          <cell r="N152">
            <v>18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253</v>
          </cell>
          <cell r="X152">
            <v>170</v>
          </cell>
          <cell r="Y152">
            <v>73</v>
          </cell>
          <cell r="Z152">
            <v>0</v>
          </cell>
          <cell r="AA152">
            <v>0</v>
          </cell>
          <cell r="AB152">
            <v>10</v>
          </cell>
          <cell r="AC152">
            <v>52</v>
          </cell>
          <cell r="AD152">
            <v>0</v>
          </cell>
          <cell r="AE152">
            <v>52</v>
          </cell>
          <cell r="AF152">
            <v>55</v>
          </cell>
          <cell r="AG152">
            <v>0</v>
          </cell>
          <cell r="AH152">
            <v>0</v>
          </cell>
          <cell r="AI152">
            <v>30</v>
          </cell>
          <cell r="AJ152">
            <v>0</v>
          </cell>
          <cell r="AK152">
            <v>15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10</v>
          </cell>
          <cell r="AX152">
            <v>0</v>
          </cell>
          <cell r="AY152">
            <v>0</v>
          </cell>
          <cell r="AZ152">
            <v>0</v>
          </cell>
          <cell r="BA152">
            <v>302.75</v>
          </cell>
          <cell r="BB152">
            <v>0.18</v>
          </cell>
          <cell r="BC152">
            <v>302.57</v>
          </cell>
        </row>
        <row r="153">
          <cell r="C153" t="str">
            <v>CPH SOL-CAPSULE</v>
          </cell>
          <cell r="D153">
            <v>33120</v>
          </cell>
          <cell r="E153">
            <v>31590</v>
          </cell>
          <cell r="F153">
            <v>30</v>
          </cell>
          <cell r="G153">
            <v>30</v>
          </cell>
          <cell r="H153">
            <v>0</v>
          </cell>
          <cell r="I153">
            <v>0</v>
          </cell>
          <cell r="J153">
            <v>1500</v>
          </cell>
          <cell r="K153">
            <v>385</v>
          </cell>
          <cell r="L153">
            <v>275</v>
          </cell>
          <cell r="M153">
            <v>200</v>
          </cell>
          <cell r="N153">
            <v>0</v>
          </cell>
          <cell r="O153">
            <v>75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530</v>
          </cell>
          <cell r="X153">
            <v>100</v>
          </cell>
          <cell r="Y153">
            <v>75</v>
          </cell>
          <cell r="Z153">
            <v>95</v>
          </cell>
          <cell r="AA153">
            <v>0</v>
          </cell>
          <cell r="AB153">
            <v>260</v>
          </cell>
          <cell r="AC153">
            <v>0</v>
          </cell>
          <cell r="AD153">
            <v>0</v>
          </cell>
          <cell r="AE153">
            <v>0</v>
          </cell>
          <cell r="AF153">
            <v>310</v>
          </cell>
          <cell r="AG153">
            <v>0</v>
          </cell>
          <cell r="AH153">
            <v>0</v>
          </cell>
          <cell r="AI153">
            <v>90</v>
          </cell>
          <cell r="AJ153">
            <v>0</v>
          </cell>
          <cell r="AK153">
            <v>75</v>
          </cell>
          <cell r="AL153">
            <v>0</v>
          </cell>
          <cell r="AM153">
            <v>0</v>
          </cell>
          <cell r="AN153">
            <v>30</v>
          </cell>
          <cell r="AO153">
            <v>0</v>
          </cell>
          <cell r="AP153">
            <v>40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25</v>
          </cell>
          <cell r="AX153">
            <v>0</v>
          </cell>
          <cell r="AY153">
            <v>0</v>
          </cell>
          <cell r="AZ153">
            <v>50</v>
          </cell>
          <cell r="BA153">
            <v>313335</v>
          </cell>
          <cell r="BB153">
            <v>98</v>
          </cell>
          <cell r="BC153">
            <v>313237</v>
          </cell>
        </row>
        <row r="154">
          <cell r="C154" t="str">
            <v>KCF101</v>
          </cell>
          <cell r="D154">
            <v>33120</v>
          </cell>
          <cell r="E154">
            <v>31590</v>
          </cell>
          <cell r="F154">
            <v>30</v>
          </cell>
          <cell r="G154">
            <v>30</v>
          </cell>
          <cell r="H154">
            <v>0</v>
          </cell>
          <cell r="I154">
            <v>0</v>
          </cell>
          <cell r="J154">
            <v>1500</v>
          </cell>
          <cell r="K154">
            <v>385</v>
          </cell>
          <cell r="L154">
            <v>275</v>
          </cell>
          <cell r="M154">
            <v>200</v>
          </cell>
          <cell r="N154">
            <v>0</v>
          </cell>
          <cell r="O154">
            <v>75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530</v>
          </cell>
          <cell r="X154">
            <v>100</v>
          </cell>
          <cell r="Y154">
            <v>75</v>
          </cell>
          <cell r="Z154">
            <v>95</v>
          </cell>
          <cell r="AA154">
            <v>0</v>
          </cell>
          <cell r="AB154">
            <v>260</v>
          </cell>
          <cell r="AC154">
            <v>0</v>
          </cell>
          <cell r="AD154">
            <v>0</v>
          </cell>
          <cell r="AE154">
            <v>0</v>
          </cell>
          <cell r="AF154">
            <v>310</v>
          </cell>
          <cell r="AG154">
            <v>0</v>
          </cell>
          <cell r="AH154">
            <v>0</v>
          </cell>
          <cell r="AI154">
            <v>90</v>
          </cell>
          <cell r="AJ154">
            <v>0</v>
          </cell>
          <cell r="AK154">
            <v>75</v>
          </cell>
          <cell r="AL154">
            <v>0</v>
          </cell>
          <cell r="AM154">
            <v>0</v>
          </cell>
          <cell r="AN154">
            <v>30</v>
          </cell>
          <cell r="AO154">
            <v>0</v>
          </cell>
          <cell r="AP154">
            <v>40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25</v>
          </cell>
          <cell r="AX154">
            <v>0</v>
          </cell>
          <cell r="AY154">
            <v>0</v>
          </cell>
          <cell r="AZ154">
            <v>50</v>
          </cell>
          <cell r="BA154">
            <v>313335</v>
          </cell>
          <cell r="BB154">
            <v>98</v>
          </cell>
          <cell r="BC154">
            <v>313237</v>
          </cell>
        </row>
        <row r="155">
          <cell r="C155" t="str">
            <v>CPH SOL-STRIPPING</v>
          </cell>
          <cell r="D155">
            <v>33120</v>
          </cell>
          <cell r="E155">
            <v>32610</v>
          </cell>
          <cell r="F155">
            <v>30</v>
          </cell>
          <cell r="G155">
            <v>30</v>
          </cell>
          <cell r="H155">
            <v>0</v>
          </cell>
          <cell r="I155">
            <v>0</v>
          </cell>
          <cell r="J155">
            <v>480</v>
          </cell>
          <cell r="K155">
            <v>110</v>
          </cell>
          <cell r="L155">
            <v>180</v>
          </cell>
          <cell r="M155">
            <v>140</v>
          </cell>
          <cell r="N155">
            <v>0</v>
          </cell>
          <cell r="O155">
            <v>40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110</v>
          </cell>
          <cell r="X155">
            <v>65</v>
          </cell>
          <cell r="Y155">
            <v>30</v>
          </cell>
          <cell r="Z155">
            <v>0</v>
          </cell>
          <cell r="AA155">
            <v>0</v>
          </cell>
          <cell r="AB155">
            <v>15</v>
          </cell>
          <cell r="AC155">
            <v>0</v>
          </cell>
          <cell r="AD155">
            <v>0</v>
          </cell>
          <cell r="AE155">
            <v>0</v>
          </cell>
          <cell r="AF155">
            <v>80</v>
          </cell>
          <cell r="AG155">
            <v>0</v>
          </cell>
          <cell r="AH155">
            <v>0</v>
          </cell>
          <cell r="AI155">
            <v>30</v>
          </cell>
          <cell r="AJ155">
            <v>0</v>
          </cell>
          <cell r="AK155">
            <v>15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15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20</v>
          </cell>
          <cell r="AX155">
            <v>0</v>
          </cell>
          <cell r="AY155">
            <v>0</v>
          </cell>
          <cell r="AZ155">
            <v>0</v>
          </cell>
          <cell r="BA155">
            <v>98251</v>
          </cell>
          <cell r="BB155">
            <v>801</v>
          </cell>
          <cell r="BC155">
            <v>97450</v>
          </cell>
        </row>
        <row r="156">
          <cell r="C156" t="str">
            <v>STC101</v>
          </cell>
          <cell r="D156">
            <v>33120</v>
          </cell>
          <cell r="E156">
            <v>32610</v>
          </cell>
          <cell r="F156">
            <v>30</v>
          </cell>
          <cell r="G156">
            <v>30</v>
          </cell>
          <cell r="H156">
            <v>0</v>
          </cell>
          <cell r="I156">
            <v>0</v>
          </cell>
          <cell r="J156">
            <v>480</v>
          </cell>
          <cell r="K156">
            <v>110</v>
          </cell>
          <cell r="L156">
            <v>180</v>
          </cell>
          <cell r="M156">
            <v>140</v>
          </cell>
          <cell r="N156">
            <v>0</v>
          </cell>
          <cell r="O156">
            <v>40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110</v>
          </cell>
          <cell r="X156">
            <v>65</v>
          </cell>
          <cell r="Y156">
            <v>30</v>
          </cell>
          <cell r="Z156">
            <v>0</v>
          </cell>
          <cell r="AA156">
            <v>0</v>
          </cell>
          <cell r="AB156">
            <v>15</v>
          </cell>
          <cell r="AC156">
            <v>0</v>
          </cell>
          <cell r="AD156">
            <v>0</v>
          </cell>
          <cell r="AE156">
            <v>0</v>
          </cell>
          <cell r="AF156">
            <v>80</v>
          </cell>
          <cell r="AG156">
            <v>0</v>
          </cell>
          <cell r="AH156">
            <v>0</v>
          </cell>
          <cell r="AI156">
            <v>30</v>
          </cell>
          <cell r="AJ156">
            <v>0</v>
          </cell>
          <cell r="AK156">
            <v>15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15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20</v>
          </cell>
          <cell r="AX156">
            <v>0</v>
          </cell>
          <cell r="AY156">
            <v>0</v>
          </cell>
          <cell r="AZ156">
            <v>0</v>
          </cell>
          <cell r="BA156">
            <v>98251</v>
          </cell>
          <cell r="BB156">
            <v>801</v>
          </cell>
          <cell r="BC156">
            <v>97450</v>
          </cell>
        </row>
        <row r="157">
          <cell r="C157" t="str">
            <v>CPH SOL-POWDER FILLING</v>
          </cell>
          <cell r="D157">
            <v>33120</v>
          </cell>
          <cell r="E157">
            <v>33120</v>
          </cell>
          <cell r="F157"/>
          <cell r="G157"/>
          <cell r="H157"/>
          <cell r="I157"/>
          <cell r="J157"/>
          <cell r="K157"/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/>
          <cell r="BB157"/>
          <cell r="BC157"/>
        </row>
        <row r="158">
          <cell r="C158" t="str">
            <v>SCF102</v>
          </cell>
          <cell r="D158">
            <v>33120</v>
          </cell>
          <cell r="E158">
            <v>33120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/>
          <cell r="K158"/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/>
          <cell r="BB158"/>
          <cell r="BC158"/>
        </row>
        <row r="159">
          <cell r="C159" t="str">
            <v>CPH INJ-FILLING</v>
          </cell>
          <cell r="D159">
            <v>33120</v>
          </cell>
          <cell r="E159">
            <v>26610</v>
          </cell>
          <cell r="F159">
            <v>675</v>
          </cell>
          <cell r="G159">
            <v>0</v>
          </cell>
          <cell r="H159">
            <v>675</v>
          </cell>
          <cell r="I159">
            <v>0</v>
          </cell>
          <cell r="J159">
            <v>5835</v>
          </cell>
          <cell r="K159">
            <v>2246</v>
          </cell>
          <cell r="L159">
            <v>520</v>
          </cell>
          <cell r="M159">
            <v>400</v>
          </cell>
          <cell r="N159">
            <v>0</v>
          </cell>
          <cell r="O159">
            <v>120</v>
          </cell>
          <cell r="P159">
            <v>0</v>
          </cell>
          <cell r="Q159">
            <v>249</v>
          </cell>
          <cell r="R159">
            <v>205</v>
          </cell>
          <cell r="S159">
            <v>10</v>
          </cell>
          <cell r="T159">
            <v>0</v>
          </cell>
          <cell r="U159">
            <v>34</v>
          </cell>
          <cell r="V159">
            <v>0</v>
          </cell>
          <cell r="W159">
            <v>1851</v>
          </cell>
          <cell r="X159">
            <v>541</v>
          </cell>
          <cell r="Y159">
            <v>1310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969</v>
          </cell>
          <cell r="AG159">
            <v>0</v>
          </cell>
          <cell r="AH159">
            <v>0</v>
          </cell>
          <cell r="AI159">
            <v>390</v>
          </cell>
          <cell r="AJ159">
            <v>45</v>
          </cell>
          <cell r="AK159">
            <v>360</v>
          </cell>
          <cell r="AL159">
            <v>0</v>
          </cell>
          <cell r="AM159">
            <v>0</v>
          </cell>
          <cell r="AN159">
            <v>35</v>
          </cell>
          <cell r="AO159">
            <v>0</v>
          </cell>
          <cell r="AP159">
            <v>139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704577</v>
          </cell>
          <cell r="BB159">
            <v>5</v>
          </cell>
          <cell r="BC159">
            <v>704572</v>
          </cell>
        </row>
        <row r="160">
          <cell r="C160" t="str">
            <v>GINLINE6</v>
          </cell>
          <cell r="D160">
            <v>33120</v>
          </cell>
          <cell r="E160">
            <v>26610</v>
          </cell>
          <cell r="F160">
            <v>675</v>
          </cell>
          <cell r="G160">
            <v>0</v>
          </cell>
          <cell r="H160">
            <v>675</v>
          </cell>
          <cell r="I160">
            <v>0</v>
          </cell>
          <cell r="J160">
            <v>5835</v>
          </cell>
          <cell r="K160">
            <v>2246</v>
          </cell>
          <cell r="L160">
            <v>520</v>
          </cell>
          <cell r="M160">
            <v>400</v>
          </cell>
          <cell r="N160">
            <v>0</v>
          </cell>
          <cell r="O160">
            <v>120</v>
          </cell>
          <cell r="P160">
            <v>0</v>
          </cell>
          <cell r="Q160">
            <v>249</v>
          </cell>
          <cell r="R160">
            <v>205</v>
          </cell>
          <cell r="S160">
            <v>10</v>
          </cell>
          <cell r="T160">
            <v>0</v>
          </cell>
          <cell r="U160">
            <v>34</v>
          </cell>
          <cell r="V160">
            <v>0</v>
          </cell>
          <cell r="W160">
            <v>1851</v>
          </cell>
          <cell r="X160">
            <v>541</v>
          </cell>
          <cell r="Y160">
            <v>1310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969</v>
          </cell>
          <cell r="AG160">
            <v>0</v>
          </cell>
          <cell r="AH160">
            <v>0</v>
          </cell>
          <cell r="AI160">
            <v>390</v>
          </cell>
          <cell r="AJ160">
            <v>45</v>
          </cell>
          <cell r="AK160">
            <v>360</v>
          </cell>
          <cell r="AL160">
            <v>0</v>
          </cell>
          <cell r="AM160">
            <v>0</v>
          </cell>
          <cell r="AN160">
            <v>35</v>
          </cell>
          <cell r="AO160">
            <v>0</v>
          </cell>
          <cell r="AP160">
            <v>139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704577</v>
          </cell>
          <cell r="BB160">
            <v>5</v>
          </cell>
          <cell r="BC160">
            <v>704572</v>
          </cell>
        </row>
        <row r="161">
          <cell r="C161" t="str">
            <v>CPH INJ-STERILIZATION</v>
          </cell>
          <cell r="D161">
            <v>66240</v>
          </cell>
          <cell r="E161">
            <v>52704</v>
          </cell>
          <cell r="F161">
            <v>1401</v>
          </cell>
          <cell r="G161">
            <v>121</v>
          </cell>
          <cell r="H161">
            <v>1280</v>
          </cell>
          <cell r="I161">
            <v>0</v>
          </cell>
          <cell r="J161">
            <v>12135</v>
          </cell>
          <cell r="K161">
            <v>5812</v>
          </cell>
          <cell r="L161">
            <v>433</v>
          </cell>
          <cell r="M161">
            <v>330</v>
          </cell>
          <cell r="N161">
            <v>0</v>
          </cell>
          <cell r="O161">
            <v>103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3904</v>
          </cell>
          <cell r="X161">
            <v>3219</v>
          </cell>
          <cell r="Y161">
            <v>655</v>
          </cell>
          <cell r="Z161">
            <v>0</v>
          </cell>
          <cell r="AA161">
            <v>30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1986</v>
          </cell>
          <cell r="AG161">
            <v>0</v>
          </cell>
          <cell r="AH161">
            <v>0</v>
          </cell>
          <cell r="AI161">
            <v>70</v>
          </cell>
          <cell r="AJ161">
            <v>10</v>
          </cell>
          <cell r="AK161">
            <v>50</v>
          </cell>
          <cell r="AL161">
            <v>0</v>
          </cell>
          <cell r="AM161">
            <v>0</v>
          </cell>
          <cell r="AN161">
            <v>110</v>
          </cell>
          <cell r="AO161">
            <v>1746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637</v>
          </cell>
          <cell r="BB161">
            <v>0</v>
          </cell>
          <cell r="BC161">
            <v>637</v>
          </cell>
        </row>
        <row r="162">
          <cell r="C162" t="str">
            <v>ICF104</v>
          </cell>
          <cell r="D162">
            <v>33120</v>
          </cell>
          <cell r="E162">
            <v>26124</v>
          </cell>
          <cell r="F162">
            <v>361</v>
          </cell>
          <cell r="G162">
            <v>61</v>
          </cell>
          <cell r="H162">
            <v>300</v>
          </cell>
          <cell r="I162">
            <v>0</v>
          </cell>
          <cell r="J162">
            <v>6635</v>
          </cell>
          <cell r="K162">
            <v>3070</v>
          </cell>
          <cell r="L162">
            <v>194</v>
          </cell>
          <cell r="M162">
            <v>161</v>
          </cell>
          <cell r="N162">
            <v>0</v>
          </cell>
          <cell r="O162">
            <v>33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2757</v>
          </cell>
          <cell r="X162">
            <v>2367</v>
          </cell>
          <cell r="Y162">
            <v>360</v>
          </cell>
          <cell r="Z162">
            <v>0</v>
          </cell>
          <cell r="AA162">
            <v>30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614</v>
          </cell>
          <cell r="AG162">
            <v>0</v>
          </cell>
          <cell r="AH162">
            <v>0</v>
          </cell>
          <cell r="AI162">
            <v>70</v>
          </cell>
          <cell r="AJ162">
            <v>10</v>
          </cell>
          <cell r="AK162">
            <v>50</v>
          </cell>
          <cell r="AL162">
            <v>0</v>
          </cell>
          <cell r="AM162">
            <v>0</v>
          </cell>
          <cell r="AN162">
            <v>70</v>
          </cell>
          <cell r="AO162">
            <v>414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413</v>
          </cell>
          <cell r="BB162">
            <v>0</v>
          </cell>
          <cell r="BC162">
            <v>413</v>
          </cell>
        </row>
        <row r="163">
          <cell r="C163" t="str">
            <v>ICF105</v>
          </cell>
          <cell r="D163">
            <v>33120</v>
          </cell>
          <cell r="E163">
            <v>26580</v>
          </cell>
          <cell r="F163">
            <v>1040</v>
          </cell>
          <cell r="G163">
            <v>60</v>
          </cell>
          <cell r="H163">
            <v>980</v>
          </cell>
          <cell r="I163">
            <v>0</v>
          </cell>
          <cell r="J163">
            <v>5500</v>
          </cell>
          <cell r="K163">
            <v>2742</v>
          </cell>
          <cell r="L163">
            <v>239</v>
          </cell>
          <cell r="M163">
            <v>169</v>
          </cell>
          <cell r="N163">
            <v>0</v>
          </cell>
          <cell r="O163">
            <v>70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1147</v>
          </cell>
          <cell r="X163">
            <v>852</v>
          </cell>
          <cell r="Y163">
            <v>295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1372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40</v>
          </cell>
          <cell r="AO163">
            <v>1332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224</v>
          </cell>
          <cell r="BB163">
            <v>0</v>
          </cell>
          <cell r="BC163">
            <v>224</v>
          </cell>
        </row>
        <row r="164">
          <cell r="C164" t="str">
            <v>CPH-SECONDARY PACKING</v>
          </cell>
          <cell r="D164">
            <v>66240</v>
          </cell>
          <cell r="E164">
            <v>41850</v>
          </cell>
          <cell r="F164">
            <v>1515</v>
          </cell>
          <cell r="G164">
            <v>600</v>
          </cell>
          <cell r="H164">
            <v>915</v>
          </cell>
          <cell r="I164">
            <v>0</v>
          </cell>
          <cell r="J164">
            <v>22875</v>
          </cell>
          <cell r="K164">
            <v>8650</v>
          </cell>
          <cell r="L164">
            <v>5741</v>
          </cell>
          <cell r="M164">
            <v>3111</v>
          </cell>
          <cell r="N164">
            <v>225</v>
          </cell>
          <cell r="O164">
            <v>715</v>
          </cell>
          <cell r="P164">
            <v>1690</v>
          </cell>
          <cell r="Q164">
            <v>100</v>
          </cell>
          <cell r="R164">
            <v>100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4055</v>
          </cell>
          <cell r="X164">
            <v>2475</v>
          </cell>
          <cell r="Y164">
            <v>800</v>
          </cell>
          <cell r="Z164">
            <v>505</v>
          </cell>
          <cell r="AA164">
            <v>0</v>
          </cell>
          <cell r="AB164">
            <v>275</v>
          </cell>
          <cell r="AC164">
            <v>0</v>
          </cell>
          <cell r="AD164">
            <v>0</v>
          </cell>
          <cell r="AE164">
            <v>0</v>
          </cell>
          <cell r="AF164">
            <v>4329</v>
          </cell>
          <cell r="AG164">
            <v>120</v>
          </cell>
          <cell r="AH164">
            <v>0</v>
          </cell>
          <cell r="AI164">
            <v>1410</v>
          </cell>
          <cell r="AJ164">
            <v>0</v>
          </cell>
          <cell r="AK164">
            <v>950</v>
          </cell>
          <cell r="AL164">
            <v>385</v>
          </cell>
          <cell r="AM164">
            <v>235</v>
          </cell>
          <cell r="AN164">
            <v>0</v>
          </cell>
          <cell r="AO164">
            <v>60</v>
          </cell>
          <cell r="AP164">
            <v>490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679</v>
          </cell>
          <cell r="AX164">
            <v>0</v>
          </cell>
          <cell r="AY164">
            <v>0</v>
          </cell>
          <cell r="AZ164">
            <v>0</v>
          </cell>
          <cell r="BA164">
            <v>1180717</v>
          </cell>
          <cell r="BB164">
            <v>478</v>
          </cell>
          <cell r="BC164">
            <v>1180239</v>
          </cell>
        </row>
        <row r="165">
          <cell r="C165" t="str">
            <v>PCF101</v>
          </cell>
          <cell r="D165">
            <v>33120</v>
          </cell>
          <cell r="E165">
            <v>14280</v>
          </cell>
          <cell r="F165">
            <v>750</v>
          </cell>
          <cell r="G165">
            <v>405</v>
          </cell>
          <cell r="H165">
            <v>345</v>
          </cell>
          <cell r="I165">
            <v>0</v>
          </cell>
          <cell r="J165">
            <v>18090</v>
          </cell>
          <cell r="K165">
            <v>5810</v>
          </cell>
          <cell r="L165">
            <v>5565</v>
          </cell>
          <cell r="M165">
            <v>2940</v>
          </cell>
          <cell r="N165">
            <v>225</v>
          </cell>
          <cell r="O165">
            <v>710</v>
          </cell>
          <cell r="P165">
            <v>1690</v>
          </cell>
          <cell r="Q165">
            <v>100</v>
          </cell>
          <cell r="R165">
            <v>100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3595</v>
          </cell>
          <cell r="X165">
            <v>2395</v>
          </cell>
          <cell r="Y165">
            <v>695</v>
          </cell>
          <cell r="Z165">
            <v>505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3020</v>
          </cell>
          <cell r="AG165">
            <v>120</v>
          </cell>
          <cell r="AH165">
            <v>0</v>
          </cell>
          <cell r="AI165">
            <v>1140</v>
          </cell>
          <cell r="AJ165">
            <v>0</v>
          </cell>
          <cell r="AK165">
            <v>800</v>
          </cell>
          <cell r="AL165">
            <v>210</v>
          </cell>
          <cell r="AM165">
            <v>0</v>
          </cell>
          <cell r="AN165">
            <v>0</v>
          </cell>
          <cell r="AO165">
            <v>0</v>
          </cell>
          <cell r="AP165">
            <v>365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385</v>
          </cell>
          <cell r="AX165">
            <v>0</v>
          </cell>
          <cell r="AY165">
            <v>0</v>
          </cell>
          <cell r="AZ165">
            <v>0</v>
          </cell>
          <cell r="BA165">
            <v>1107166</v>
          </cell>
          <cell r="BB165">
            <v>321</v>
          </cell>
          <cell r="BC165">
            <v>1106845</v>
          </cell>
        </row>
        <row r="166">
          <cell r="C166" t="str">
            <v>PCF102</v>
          </cell>
          <cell r="D166">
            <v>33120</v>
          </cell>
          <cell r="E166">
            <v>27570</v>
          </cell>
          <cell r="F166">
            <v>765</v>
          </cell>
          <cell r="G166">
            <v>195</v>
          </cell>
          <cell r="H166">
            <v>570</v>
          </cell>
          <cell r="I166">
            <v>0</v>
          </cell>
          <cell r="J166">
            <v>4785</v>
          </cell>
          <cell r="K166">
            <v>2840</v>
          </cell>
          <cell r="L166">
            <v>176</v>
          </cell>
          <cell r="M166">
            <v>171</v>
          </cell>
          <cell r="N166">
            <v>0</v>
          </cell>
          <cell r="O166">
            <v>5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460</v>
          </cell>
          <cell r="X166">
            <v>80</v>
          </cell>
          <cell r="Y166">
            <v>105</v>
          </cell>
          <cell r="Z166">
            <v>0</v>
          </cell>
          <cell r="AA166">
            <v>0</v>
          </cell>
          <cell r="AB166">
            <v>275</v>
          </cell>
          <cell r="AC166">
            <v>0</v>
          </cell>
          <cell r="AD166">
            <v>0</v>
          </cell>
          <cell r="AE166">
            <v>0</v>
          </cell>
          <cell r="AF166">
            <v>1309</v>
          </cell>
          <cell r="AG166">
            <v>0</v>
          </cell>
          <cell r="AH166">
            <v>0</v>
          </cell>
          <cell r="AI166">
            <v>270</v>
          </cell>
          <cell r="AJ166">
            <v>0</v>
          </cell>
          <cell r="AK166">
            <v>150</v>
          </cell>
          <cell r="AL166">
            <v>175</v>
          </cell>
          <cell r="AM166">
            <v>235</v>
          </cell>
          <cell r="AN166">
            <v>0</v>
          </cell>
          <cell r="AO166">
            <v>60</v>
          </cell>
          <cell r="AP166">
            <v>125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294</v>
          </cell>
          <cell r="AX166">
            <v>0</v>
          </cell>
          <cell r="AY166">
            <v>0</v>
          </cell>
          <cell r="AZ166">
            <v>0</v>
          </cell>
          <cell r="BA166">
            <v>73551</v>
          </cell>
          <cell r="BB166">
            <v>157</v>
          </cell>
          <cell r="BC166">
            <v>73394</v>
          </cell>
        </row>
      </sheetData>
      <sheetData sheetId="13" refreshError="1">
        <row r="5">
          <cell r="C5" t="str">
            <v>POT</v>
          </cell>
        </row>
        <row r="109">
          <cell r="B109" t="str">
            <v>PROSES( Menit )</v>
          </cell>
          <cell r="C109" t="str">
            <v>POT</v>
          </cell>
          <cell r="D109" t="str">
            <v>POT Shift Tersedia</v>
          </cell>
          <cell r="E109" t="str">
            <v>Unschedule Time</v>
          </cell>
          <cell r="F109" t="str">
            <v>Unschedule Time Shift Tersedia</v>
          </cell>
          <cell r="G109" t="str">
            <v>Waktu Beproduksi</v>
          </cell>
          <cell r="H109" t="str">
            <v>Waktu Beproduksi Tersedia</v>
          </cell>
          <cell r="I109" t="str">
            <v>Idle Time</v>
          </cell>
          <cell r="J109" t="str">
            <v>Idle Time Tersedia</v>
          </cell>
          <cell r="K109" t="str">
            <v>L2</v>
          </cell>
          <cell r="L109" t="str">
            <v>L21</v>
          </cell>
          <cell r="M109" t="str">
            <v>L22</v>
          </cell>
          <cell r="N109" t="str">
            <v>IG</v>
          </cell>
          <cell r="O109" t="str">
            <v>PPT</v>
          </cell>
          <cell r="P109" t="str">
            <v>PPT Tersedia</v>
          </cell>
          <cell r="Q109" t="str">
            <v>R</v>
          </cell>
          <cell r="R109" t="str">
            <v>R Tersedia</v>
          </cell>
          <cell r="S109" t="str">
            <v>DT</v>
          </cell>
          <cell r="T109" t="str">
            <v>DT Tersedia</v>
          </cell>
          <cell r="U109" t="str">
            <v>Setup</v>
          </cell>
          <cell r="V109" t="str">
            <v>P6</v>
          </cell>
          <cell r="W109" t="str">
            <v>P5</v>
          </cell>
          <cell r="X109" t="str">
            <v>P8</v>
          </cell>
          <cell r="Y109" t="str">
            <v>P9</v>
          </cell>
          <cell r="Z109" t="str">
            <v>Breakdown</v>
          </cell>
          <cell r="AA109" t="str">
            <v>M1</v>
          </cell>
          <cell r="AB109" t="str">
            <v>M2</v>
          </cell>
          <cell r="AC109" t="str">
            <v>M4</v>
          </cell>
          <cell r="AD109" t="str">
            <v>M8</v>
          </cell>
          <cell r="AE109" t="str">
            <v>M9</v>
          </cell>
          <cell r="AF109" t="str">
            <v>Clean</v>
          </cell>
          <cell r="AG109" t="str">
            <v>P2</v>
          </cell>
          <cell r="AH109" t="str">
            <v>P4</v>
          </cell>
          <cell r="AI109" t="str">
            <v>P17</v>
          </cell>
          <cell r="AJ109" t="str">
            <v>P19</v>
          </cell>
          <cell r="AK109" t="str">
            <v>P12</v>
          </cell>
          <cell r="AL109" t="str">
            <v>Trial</v>
          </cell>
          <cell r="AM109" t="str">
            <v>R1</v>
          </cell>
          <cell r="AN109" t="str">
            <v>R2</v>
          </cell>
          <cell r="AO109" t="str">
            <v>Waiting</v>
          </cell>
          <cell r="AP109" t="str">
            <v>L1</v>
          </cell>
          <cell r="AQ109" t="str">
            <v>L3</v>
          </cell>
          <cell r="AR109" t="str">
            <v>H1</v>
          </cell>
          <cell r="AS109" t="str">
            <v>H2</v>
          </cell>
          <cell r="AT109" t="str">
            <v>H4</v>
          </cell>
          <cell r="AU109" t="str">
            <v>H6</v>
          </cell>
          <cell r="AV109" t="str">
            <v>H7</v>
          </cell>
          <cell r="AW109" t="str">
            <v>H8</v>
          </cell>
          <cell r="AX109" t="str">
            <v>P10</v>
          </cell>
          <cell r="AY109" t="str">
            <v>P11</v>
          </cell>
          <cell r="AZ109" t="str">
            <v>P13</v>
          </cell>
          <cell r="BA109" t="str">
            <v>P14</v>
          </cell>
          <cell r="BB109" t="str">
            <v>P16</v>
          </cell>
          <cell r="BC109" t="str">
            <v>M5</v>
          </cell>
          <cell r="BD109" t="str">
            <v>M6</v>
          </cell>
          <cell r="BE109" t="str">
            <v>M7</v>
          </cell>
          <cell r="BF109" t="str">
            <v>Q1</v>
          </cell>
          <cell r="BG109" t="str">
            <v>Q2</v>
          </cell>
          <cell r="BH109" t="str">
            <v>Q3</v>
          </cell>
          <cell r="BI109" t="str">
            <v>Q4</v>
          </cell>
          <cell r="BJ109" t="str">
            <v>Total Output</v>
          </cell>
          <cell r="BK109" t="str">
            <v>Reject Output</v>
          </cell>
          <cell r="BL109" t="str">
            <v>Good Output</v>
          </cell>
        </row>
        <row r="110">
          <cell r="B110" t="str">
            <v>NBL SOL-MIXING</v>
          </cell>
          <cell r="C110">
            <v>99360</v>
          </cell>
          <cell r="D110">
            <v>64170</v>
          </cell>
          <cell r="E110">
            <v>75300</v>
          </cell>
          <cell r="F110">
            <v>40110</v>
          </cell>
          <cell r="G110">
            <v>24060</v>
          </cell>
          <cell r="H110">
            <v>24060</v>
          </cell>
          <cell r="I110">
            <v>2470</v>
          </cell>
          <cell r="J110">
            <v>2470</v>
          </cell>
          <cell r="K110">
            <v>2470</v>
          </cell>
          <cell r="L110">
            <v>120</v>
          </cell>
          <cell r="M110">
            <v>2350</v>
          </cell>
          <cell r="N110">
            <v>0</v>
          </cell>
          <cell r="O110">
            <v>21590</v>
          </cell>
          <cell r="P110">
            <v>21590</v>
          </cell>
          <cell r="Q110">
            <v>3215</v>
          </cell>
          <cell r="R110">
            <v>3215</v>
          </cell>
          <cell r="S110">
            <v>18375</v>
          </cell>
          <cell r="T110">
            <v>18375</v>
          </cell>
          <cell r="U110">
            <v>680</v>
          </cell>
          <cell r="V110">
            <v>680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10817</v>
          </cell>
          <cell r="AG110">
            <v>6667</v>
          </cell>
          <cell r="AH110">
            <v>3732</v>
          </cell>
          <cell r="AI110">
            <v>29</v>
          </cell>
          <cell r="AJ110">
            <v>0</v>
          </cell>
          <cell r="AK110">
            <v>389</v>
          </cell>
          <cell r="AL110">
            <v>625</v>
          </cell>
          <cell r="AM110">
            <v>0</v>
          </cell>
          <cell r="AN110">
            <v>625</v>
          </cell>
          <cell r="AO110">
            <v>6253</v>
          </cell>
          <cell r="AP110">
            <v>141</v>
          </cell>
          <cell r="AQ110">
            <v>0</v>
          </cell>
          <cell r="AR110">
            <v>1215</v>
          </cell>
          <cell r="AS110">
            <v>0</v>
          </cell>
          <cell r="AT110">
            <v>1020</v>
          </cell>
          <cell r="AU110">
            <v>0</v>
          </cell>
          <cell r="AV110">
            <v>0</v>
          </cell>
          <cell r="AW110">
            <v>0</v>
          </cell>
          <cell r="AX110">
            <v>3305</v>
          </cell>
          <cell r="AY110">
            <v>35</v>
          </cell>
          <cell r="AZ110">
            <v>0</v>
          </cell>
          <cell r="BA110">
            <v>286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251</v>
          </cell>
          <cell r="BG110">
            <v>0</v>
          </cell>
          <cell r="BH110">
            <v>0</v>
          </cell>
          <cell r="BI110">
            <v>0</v>
          </cell>
          <cell r="BJ110">
            <v>7829.98</v>
          </cell>
          <cell r="BK110">
            <v>0</v>
          </cell>
          <cell r="BL110">
            <v>7829.98</v>
          </cell>
        </row>
        <row r="111">
          <cell r="B111" t="str">
            <v>MIX113</v>
          </cell>
          <cell r="C111">
            <v>33120</v>
          </cell>
          <cell r="D111">
            <v>21390</v>
          </cell>
          <cell r="E111">
            <v>19620</v>
          </cell>
          <cell r="F111">
            <v>7890</v>
          </cell>
          <cell r="G111">
            <v>13500</v>
          </cell>
          <cell r="H111">
            <v>13500</v>
          </cell>
          <cell r="I111">
            <v>1960</v>
          </cell>
          <cell r="J111">
            <v>1960</v>
          </cell>
          <cell r="K111">
            <v>1960</v>
          </cell>
          <cell r="L111">
            <v>90</v>
          </cell>
          <cell r="M111">
            <v>1870</v>
          </cell>
          <cell r="N111">
            <v>0</v>
          </cell>
          <cell r="O111">
            <v>11540</v>
          </cell>
          <cell r="P111">
            <v>11540</v>
          </cell>
          <cell r="Q111">
            <v>786</v>
          </cell>
          <cell r="R111">
            <v>786</v>
          </cell>
          <cell r="S111">
            <v>10754</v>
          </cell>
          <cell r="T111">
            <v>10754</v>
          </cell>
          <cell r="U111">
            <v>395</v>
          </cell>
          <cell r="V111">
            <v>395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4912</v>
          </cell>
          <cell r="AG111">
            <v>2511</v>
          </cell>
          <cell r="AH111">
            <v>2177</v>
          </cell>
          <cell r="AI111">
            <v>0</v>
          </cell>
          <cell r="AJ111">
            <v>0</v>
          </cell>
          <cell r="AK111">
            <v>224</v>
          </cell>
          <cell r="AL111">
            <v>625</v>
          </cell>
          <cell r="AM111">
            <v>0</v>
          </cell>
          <cell r="AN111">
            <v>625</v>
          </cell>
          <cell r="AO111">
            <v>4822</v>
          </cell>
          <cell r="AP111">
            <v>61</v>
          </cell>
          <cell r="AQ111">
            <v>0</v>
          </cell>
          <cell r="AR111">
            <v>615</v>
          </cell>
          <cell r="AS111">
            <v>0</v>
          </cell>
          <cell r="AT111">
            <v>555</v>
          </cell>
          <cell r="AU111">
            <v>0</v>
          </cell>
          <cell r="AV111">
            <v>0</v>
          </cell>
          <cell r="AW111">
            <v>0</v>
          </cell>
          <cell r="AX111">
            <v>3305</v>
          </cell>
          <cell r="AY111">
            <v>35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251</v>
          </cell>
          <cell r="BG111">
            <v>0</v>
          </cell>
          <cell r="BH111">
            <v>0</v>
          </cell>
          <cell r="BI111">
            <v>0</v>
          </cell>
          <cell r="BJ111">
            <v>5471.08</v>
          </cell>
          <cell r="BK111">
            <v>0</v>
          </cell>
          <cell r="BL111">
            <v>5471.08</v>
          </cell>
        </row>
        <row r="112">
          <cell r="B112" t="str">
            <v>LMIXSOL1</v>
          </cell>
          <cell r="C112">
            <v>33120</v>
          </cell>
          <cell r="D112">
            <v>21390</v>
          </cell>
          <cell r="E112">
            <v>27810</v>
          </cell>
          <cell r="F112">
            <v>16080</v>
          </cell>
          <cell r="G112">
            <v>5310</v>
          </cell>
          <cell r="H112">
            <v>5310</v>
          </cell>
          <cell r="I112">
            <v>510</v>
          </cell>
          <cell r="J112">
            <v>510</v>
          </cell>
          <cell r="K112">
            <v>510</v>
          </cell>
          <cell r="L112">
            <v>30</v>
          </cell>
          <cell r="M112">
            <v>480</v>
          </cell>
          <cell r="N112">
            <v>0</v>
          </cell>
          <cell r="O112">
            <v>4800</v>
          </cell>
          <cell r="P112">
            <v>4800</v>
          </cell>
          <cell r="Q112">
            <v>1043</v>
          </cell>
          <cell r="R112">
            <v>1043</v>
          </cell>
          <cell r="S112">
            <v>3757</v>
          </cell>
          <cell r="T112">
            <v>3757</v>
          </cell>
          <cell r="U112">
            <v>150</v>
          </cell>
          <cell r="V112">
            <v>150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2813</v>
          </cell>
          <cell r="AG112">
            <v>1697</v>
          </cell>
          <cell r="AH112">
            <v>995</v>
          </cell>
          <cell r="AI112">
            <v>1</v>
          </cell>
          <cell r="AJ112">
            <v>0</v>
          </cell>
          <cell r="AK112">
            <v>120</v>
          </cell>
          <cell r="AL112">
            <v>0</v>
          </cell>
          <cell r="AM112">
            <v>0</v>
          </cell>
          <cell r="AN112">
            <v>0</v>
          </cell>
          <cell r="AO112">
            <v>794</v>
          </cell>
          <cell r="AP112">
            <v>80</v>
          </cell>
          <cell r="AQ112">
            <v>0</v>
          </cell>
          <cell r="AR112">
            <v>315</v>
          </cell>
          <cell r="AS112">
            <v>0</v>
          </cell>
          <cell r="AT112">
            <v>255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144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657.59</v>
          </cell>
          <cell r="BK112">
            <v>0</v>
          </cell>
          <cell r="BL112">
            <v>657.59</v>
          </cell>
        </row>
        <row r="113">
          <cell r="B113" t="str">
            <v>LMIXSOL2</v>
          </cell>
          <cell r="C113">
            <v>33120</v>
          </cell>
          <cell r="D113">
            <v>21390</v>
          </cell>
          <cell r="E113">
            <v>27870</v>
          </cell>
          <cell r="F113">
            <v>16140</v>
          </cell>
          <cell r="G113">
            <v>5250</v>
          </cell>
          <cell r="H113">
            <v>5250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5250</v>
          </cell>
          <cell r="P113">
            <v>5250</v>
          </cell>
          <cell r="Q113">
            <v>1386</v>
          </cell>
          <cell r="R113">
            <v>1386</v>
          </cell>
          <cell r="S113">
            <v>3864</v>
          </cell>
          <cell r="T113">
            <v>3864</v>
          </cell>
          <cell r="U113">
            <v>135</v>
          </cell>
          <cell r="V113">
            <v>135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3092</v>
          </cell>
          <cell r="AG113">
            <v>2459</v>
          </cell>
          <cell r="AH113">
            <v>560</v>
          </cell>
          <cell r="AI113">
            <v>28</v>
          </cell>
          <cell r="AJ113">
            <v>0</v>
          </cell>
          <cell r="AK113">
            <v>45</v>
          </cell>
          <cell r="AL113">
            <v>0</v>
          </cell>
          <cell r="AM113">
            <v>0</v>
          </cell>
          <cell r="AN113">
            <v>0</v>
          </cell>
          <cell r="AO113">
            <v>637</v>
          </cell>
          <cell r="AP113">
            <v>0</v>
          </cell>
          <cell r="AQ113">
            <v>0</v>
          </cell>
          <cell r="AR113">
            <v>285</v>
          </cell>
          <cell r="AS113">
            <v>0</v>
          </cell>
          <cell r="AT113">
            <v>210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142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1701.31</v>
          </cell>
          <cell r="BK113">
            <v>0</v>
          </cell>
          <cell r="BL113">
            <v>1701.31</v>
          </cell>
        </row>
        <row r="114">
          <cell r="B114" t="str">
            <v>NBL SOL-COATING</v>
          </cell>
          <cell r="C114">
            <v>66240</v>
          </cell>
          <cell r="D114">
            <v>22080</v>
          </cell>
          <cell r="E114">
            <v>55080</v>
          </cell>
          <cell r="F114">
            <v>10920</v>
          </cell>
          <cell r="G114">
            <v>11160</v>
          </cell>
          <cell r="H114">
            <v>11160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11160</v>
          </cell>
          <cell r="P114">
            <v>11160</v>
          </cell>
          <cell r="Q114">
            <v>4872</v>
          </cell>
          <cell r="R114">
            <v>4872</v>
          </cell>
          <cell r="S114">
            <v>6288</v>
          </cell>
          <cell r="T114">
            <v>6288</v>
          </cell>
          <cell r="U114">
            <v>293</v>
          </cell>
          <cell r="V114">
            <v>195</v>
          </cell>
          <cell r="W114">
            <v>0</v>
          </cell>
          <cell r="X114">
            <v>98</v>
          </cell>
          <cell r="Y114">
            <v>0</v>
          </cell>
          <cell r="Z114">
            <v>270</v>
          </cell>
          <cell r="AA114">
            <v>110</v>
          </cell>
          <cell r="AB114">
            <v>0</v>
          </cell>
          <cell r="AC114">
            <v>0</v>
          </cell>
          <cell r="AD114">
            <v>160</v>
          </cell>
          <cell r="AE114">
            <v>0</v>
          </cell>
          <cell r="AF114">
            <v>3855</v>
          </cell>
          <cell r="AG114">
            <v>1110</v>
          </cell>
          <cell r="AH114">
            <v>2365</v>
          </cell>
          <cell r="AI114">
            <v>0</v>
          </cell>
          <cell r="AJ114">
            <v>0</v>
          </cell>
          <cell r="AK114">
            <v>380</v>
          </cell>
          <cell r="AL114">
            <v>0</v>
          </cell>
          <cell r="AM114">
            <v>0</v>
          </cell>
          <cell r="AN114">
            <v>0</v>
          </cell>
          <cell r="AO114">
            <v>1870</v>
          </cell>
          <cell r="AP114">
            <v>0</v>
          </cell>
          <cell r="AQ114">
            <v>0</v>
          </cell>
          <cell r="AR114">
            <v>600</v>
          </cell>
          <cell r="AS114">
            <v>0</v>
          </cell>
          <cell r="AT114">
            <v>590</v>
          </cell>
          <cell r="AU114">
            <v>15</v>
          </cell>
          <cell r="AV114">
            <v>0</v>
          </cell>
          <cell r="AW114">
            <v>0</v>
          </cell>
          <cell r="AX114">
            <v>345</v>
          </cell>
          <cell r="AY114">
            <v>185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135</v>
          </cell>
          <cell r="BG114">
            <v>0</v>
          </cell>
          <cell r="BH114">
            <v>0</v>
          </cell>
          <cell r="BI114">
            <v>0</v>
          </cell>
          <cell r="BJ114">
            <v>2550.36</v>
          </cell>
          <cell r="BK114">
            <v>1.17</v>
          </cell>
          <cell r="BL114">
            <v>2549.19</v>
          </cell>
        </row>
        <row r="115">
          <cell r="B115" t="str">
            <v>COT101</v>
          </cell>
          <cell r="C115">
            <v>33120</v>
          </cell>
          <cell r="D115">
            <v>11040</v>
          </cell>
          <cell r="E115">
            <v>28860</v>
          </cell>
          <cell r="F115">
            <v>6780</v>
          </cell>
          <cell r="G115">
            <v>4260</v>
          </cell>
          <cell r="H115">
            <v>4260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4260</v>
          </cell>
          <cell r="P115">
            <v>4260</v>
          </cell>
          <cell r="Q115">
            <v>1542</v>
          </cell>
          <cell r="R115">
            <v>1542</v>
          </cell>
          <cell r="S115">
            <v>2718</v>
          </cell>
          <cell r="T115">
            <v>2718</v>
          </cell>
          <cell r="U115">
            <v>183</v>
          </cell>
          <cell r="V115">
            <v>105</v>
          </cell>
          <cell r="W115">
            <v>0</v>
          </cell>
          <cell r="X115">
            <v>78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1775</v>
          </cell>
          <cell r="AG115">
            <v>480</v>
          </cell>
          <cell r="AH115">
            <v>1135</v>
          </cell>
          <cell r="AI115">
            <v>0</v>
          </cell>
          <cell r="AJ115">
            <v>0</v>
          </cell>
          <cell r="AK115">
            <v>160</v>
          </cell>
          <cell r="AL115">
            <v>0</v>
          </cell>
          <cell r="AM115">
            <v>0</v>
          </cell>
          <cell r="AN115">
            <v>0</v>
          </cell>
          <cell r="AO115">
            <v>760</v>
          </cell>
          <cell r="AP115">
            <v>0</v>
          </cell>
          <cell r="AQ115">
            <v>0</v>
          </cell>
          <cell r="AR115">
            <v>270</v>
          </cell>
          <cell r="AS115">
            <v>0</v>
          </cell>
          <cell r="AT115">
            <v>255</v>
          </cell>
          <cell r="AU115">
            <v>15</v>
          </cell>
          <cell r="AV115">
            <v>0</v>
          </cell>
          <cell r="AW115">
            <v>0</v>
          </cell>
          <cell r="AX115">
            <v>100</v>
          </cell>
          <cell r="AY115">
            <v>70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50</v>
          </cell>
          <cell r="BG115">
            <v>0</v>
          </cell>
          <cell r="BH115">
            <v>0</v>
          </cell>
          <cell r="BI115">
            <v>0</v>
          </cell>
          <cell r="BJ115">
            <v>340.8</v>
          </cell>
          <cell r="BK115">
            <v>0.42</v>
          </cell>
          <cell r="BL115">
            <v>340.38</v>
          </cell>
        </row>
        <row r="116">
          <cell r="B116" t="str">
            <v>COT102</v>
          </cell>
          <cell r="C116">
            <v>33120</v>
          </cell>
          <cell r="D116">
            <v>11040</v>
          </cell>
          <cell r="E116">
            <v>26220</v>
          </cell>
          <cell r="F116">
            <v>4140</v>
          </cell>
          <cell r="G116">
            <v>6900</v>
          </cell>
          <cell r="H116">
            <v>6900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6900</v>
          </cell>
          <cell r="P116">
            <v>6900</v>
          </cell>
          <cell r="Q116">
            <v>3330</v>
          </cell>
          <cell r="R116">
            <v>3330</v>
          </cell>
          <cell r="S116">
            <v>3570</v>
          </cell>
          <cell r="T116">
            <v>3570</v>
          </cell>
          <cell r="U116">
            <v>110</v>
          </cell>
          <cell r="V116">
            <v>90</v>
          </cell>
          <cell r="W116">
            <v>0</v>
          </cell>
          <cell r="X116">
            <v>20</v>
          </cell>
          <cell r="Y116">
            <v>0</v>
          </cell>
          <cell r="Z116">
            <v>270</v>
          </cell>
          <cell r="AA116">
            <v>110</v>
          </cell>
          <cell r="AB116">
            <v>0</v>
          </cell>
          <cell r="AC116">
            <v>0</v>
          </cell>
          <cell r="AD116">
            <v>160</v>
          </cell>
          <cell r="AE116">
            <v>0</v>
          </cell>
          <cell r="AF116">
            <v>2080</v>
          </cell>
          <cell r="AG116">
            <v>630</v>
          </cell>
          <cell r="AH116">
            <v>1230</v>
          </cell>
          <cell r="AI116">
            <v>0</v>
          </cell>
          <cell r="AJ116">
            <v>0</v>
          </cell>
          <cell r="AK116">
            <v>220</v>
          </cell>
          <cell r="AL116">
            <v>0</v>
          </cell>
          <cell r="AM116">
            <v>0</v>
          </cell>
          <cell r="AN116">
            <v>0</v>
          </cell>
          <cell r="AO116">
            <v>1110</v>
          </cell>
          <cell r="AP116">
            <v>0</v>
          </cell>
          <cell r="AQ116">
            <v>0</v>
          </cell>
          <cell r="AR116">
            <v>330</v>
          </cell>
          <cell r="AS116">
            <v>0</v>
          </cell>
          <cell r="AT116">
            <v>335</v>
          </cell>
          <cell r="AU116">
            <v>0</v>
          </cell>
          <cell r="AV116">
            <v>0</v>
          </cell>
          <cell r="AW116">
            <v>0</v>
          </cell>
          <cell r="AX116">
            <v>245</v>
          </cell>
          <cell r="AY116">
            <v>115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85</v>
          </cell>
          <cell r="BG116">
            <v>0</v>
          </cell>
          <cell r="BH116">
            <v>0</v>
          </cell>
          <cell r="BI116">
            <v>0</v>
          </cell>
          <cell r="BJ116">
            <v>2209.56</v>
          </cell>
          <cell r="BK116">
            <v>0.75</v>
          </cell>
          <cell r="BL116">
            <v>2208.81</v>
          </cell>
        </row>
        <row r="117">
          <cell r="B117" t="str">
            <v>NBL SOL-TABLETING</v>
          </cell>
          <cell r="C117">
            <v>99360</v>
          </cell>
          <cell r="D117">
            <v>53820</v>
          </cell>
          <cell r="E117">
            <v>66090</v>
          </cell>
          <cell r="F117">
            <v>20550</v>
          </cell>
          <cell r="G117">
            <v>33270</v>
          </cell>
          <cell r="H117">
            <v>33270</v>
          </cell>
          <cell r="I117">
            <v>2705</v>
          </cell>
          <cell r="J117">
            <v>2705</v>
          </cell>
          <cell r="K117">
            <v>2630</v>
          </cell>
          <cell r="L117">
            <v>90</v>
          </cell>
          <cell r="M117">
            <v>2540</v>
          </cell>
          <cell r="N117">
            <v>75</v>
          </cell>
          <cell r="O117">
            <v>30565</v>
          </cell>
          <cell r="P117">
            <v>30565</v>
          </cell>
          <cell r="Q117">
            <v>9250</v>
          </cell>
          <cell r="R117">
            <v>9250</v>
          </cell>
          <cell r="S117">
            <v>21315</v>
          </cell>
          <cell r="T117">
            <v>21315</v>
          </cell>
          <cell r="U117">
            <v>4620</v>
          </cell>
          <cell r="V117">
            <v>2600</v>
          </cell>
          <cell r="W117">
            <v>0</v>
          </cell>
          <cell r="X117">
            <v>265</v>
          </cell>
          <cell r="Y117">
            <v>1755</v>
          </cell>
          <cell r="Z117">
            <v>45</v>
          </cell>
          <cell r="AA117">
            <v>45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4445</v>
          </cell>
          <cell r="AG117">
            <v>755</v>
          </cell>
          <cell r="AH117">
            <v>2810</v>
          </cell>
          <cell r="AI117">
            <v>105</v>
          </cell>
          <cell r="AJ117">
            <v>0</v>
          </cell>
          <cell r="AK117">
            <v>775</v>
          </cell>
          <cell r="AL117">
            <v>3295</v>
          </cell>
          <cell r="AM117">
            <v>1590</v>
          </cell>
          <cell r="AN117">
            <v>1705</v>
          </cell>
          <cell r="AO117">
            <v>8910</v>
          </cell>
          <cell r="AP117">
            <v>0</v>
          </cell>
          <cell r="AQ117">
            <v>0</v>
          </cell>
          <cell r="AR117">
            <v>1590</v>
          </cell>
          <cell r="AS117">
            <v>0</v>
          </cell>
          <cell r="AT117">
            <v>1330</v>
          </cell>
          <cell r="AU117">
            <v>330</v>
          </cell>
          <cell r="AV117">
            <v>0</v>
          </cell>
          <cell r="AW117">
            <v>0</v>
          </cell>
          <cell r="AX117">
            <v>1420</v>
          </cell>
          <cell r="AY117">
            <v>530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3015</v>
          </cell>
          <cell r="BG117">
            <v>660</v>
          </cell>
          <cell r="BH117">
            <v>0</v>
          </cell>
          <cell r="BI117">
            <v>35</v>
          </cell>
          <cell r="BJ117">
            <v>6347630</v>
          </cell>
          <cell r="BK117">
            <v>14345</v>
          </cell>
          <cell r="BL117">
            <v>6333285</v>
          </cell>
        </row>
        <row r="118">
          <cell r="B118" t="str">
            <v>TAB101</v>
          </cell>
          <cell r="C118">
            <v>33120</v>
          </cell>
          <cell r="D118">
            <v>21390</v>
          </cell>
          <cell r="E118">
            <v>20430</v>
          </cell>
          <cell r="F118">
            <v>8700</v>
          </cell>
          <cell r="G118">
            <v>12690</v>
          </cell>
          <cell r="H118">
            <v>12690</v>
          </cell>
          <cell r="I118">
            <v>2015</v>
          </cell>
          <cell r="J118">
            <v>2015</v>
          </cell>
          <cell r="K118">
            <v>2015</v>
          </cell>
          <cell r="L118">
            <v>0</v>
          </cell>
          <cell r="M118">
            <v>2015</v>
          </cell>
          <cell r="N118">
            <v>0</v>
          </cell>
          <cell r="O118">
            <v>10675</v>
          </cell>
          <cell r="P118">
            <v>10675</v>
          </cell>
          <cell r="Q118">
            <v>3055</v>
          </cell>
          <cell r="R118">
            <v>3055</v>
          </cell>
          <cell r="S118">
            <v>7620</v>
          </cell>
          <cell r="T118">
            <v>7620</v>
          </cell>
          <cell r="U118">
            <v>1600</v>
          </cell>
          <cell r="V118">
            <v>710</v>
          </cell>
          <cell r="W118">
            <v>0</v>
          </cell>
          <cell r="X118">
            <v>0</v>
          </cell>
          <cell r="Y118">
            <v>890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1375</v>
          </cell>
          <cell r="AG118">
            <v>245</v>
          </cell>
          <cell r="AH118">
            <v>860</v>
          </cell>
          <cell r="AI118">
            <v>0</v>
          </cell>
          <cell r="AJ118">
            <v>0</v>
          </cell>
          <cell r="AK118">
            <v>270</v>
          </cell>
          <cell r="AL118">
            <v>2395</v>
          </cell>
          <cell r="AM118">
            <v>955</v>
          </cell>
          <cell r="AN118">
            <v>1440</v>
          </cell>
          <cell r="AO118">
            <v>2250</v>
          </cell>
          <cell r="AP118">
            <v>0</v>
          </cell>
          <cell r="AQ118">
            <v>0</v>
          </cell>
          <cell r="AR118">
            <v>445</v>
          </cell>
          <cell r="AS118">
            <v>0</v>
          </cell>
          <cell r="AT118">
            <v>385</v>
          </cell>
          <cell r="AU118">
            <v>30</v>
          </cell>
          <cell r="AV118">
            <v>0</v>
          </cell>
          <cell r="AW118">
            <v>0</v>
          </cell>
          <cell r="AX118">
            <v>470</v>
          </cell>
          <cell r="AY118">
            <v>205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715</v>
          </cell>
          <cell r="BG118">
            <v>0</v>
          </cell>
          <cell r="BH118">
            <v>0</v>
          </cell>
          <cell r="BI118">
            <v>0</v>
          </cell>
          <cell r="BJ118">
            <v>3042698</v>
          </cell>
          <cell r="BK118">
            <v>12051</v>
          </cell>
          <cell r="BL118">
            <v>3030647</v>
          </cell>
        </row>
        <row r="119">
          <cell r="B119" t="str">
            <v>TAB105</v>
          </cell>
          <cell r="C119">
            <v>33120</v>
          </cell>
          <cell r="D119">
            <v>21390</v>
          </cell>
          <cell r="E119">
            <v>18090</v>
          </cell>
          <cell r="F119">
            <v>6360</v>
          </cell>
          <cell r="G119">
            <v>15030</v>
          </cell>
          <cell r="H119">
            <v>15030</v>
          </cell>
          <cell r="I119">
            <v>570</v>
          </cell>
          <cell r="J119">
            <v>570</v>
          </cell>
          <cell r="K119">
            <v>495</v>
          </cell>
          <cell r="L119">
            <v>90</v>
          </cell>
          <cell r="M119">
            <v>405</v>
          </cell>
          <cell r="N119">
            <v>75</v>
          </cell>
          <cell r="O119">
            <v>14460</v>
          </cell>
          <cell r="P119">
            <v>14460</v>
          </cell>
          <cell r="Q119">
            <v>4970</v>
          </cell>
          <cell r="R119">
            <v>4970</v>
          </cell>
          <cell r="S119">
            <v>9490</v>
          </cell>
          <cell r="T119">
            <v>9490</v>
          </cell>
          <cell r="U119">
            <v>1730</v>
          </cell>
          <cell r="V119">
            <v>1360</v>
          </cell>
          <cell r="W119">
            <v>0</v>
          </cell>
          <cell r="X119">
            <v>0</v>
          </cell>
          <cell r="Y119">
            <v>370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2060</v>
          </cell>
          <cell r="AG119">
            <v>280</v>
          </cell>
          <cell r="AH119">
            <v>1470</v>
          </cell>
          <cell r="AI119">
            <v>30</v>
          </cell>
          <cell r="AJ119">
            <v>0</v>
          </cell>
          <cell r="AK119">
            <v>280</v>
          </cell>
          <cell r="AL119">
            <v>900</v>
          </cell>
          <cell r="AM119">
            <v>635</v>
          </cell>
          <cell r="AN119">
            <v>265</v>
          </cell>
          <cell r="AO119">
            <v>4800</v>
          </cell>
          <cell r="AP119">
            <v>0</v>
          </cell>
          <cell r="AQ119">
            <v>0</v>
          </cell>
          <cell r="AR119">
            <v>815</v>
          </cell>
          <cell r="AS119">
            <v>0</v>
          </cell>
          <cell r="AT119">
            <v>670</v>
          </cell>
          <cell r="AU119">
            <v>60</v>
          </cell>
          <cell r="AV119">
            <v>0</v>
          </cell>
          <cell r="AW119">
            <v>0</v>
          </cell>
          <cell r="AX119">
            <v>950</v>
          </cell>
          <cell r="AY119">
            <v>240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1405</v>
          </cell>
          <cell r="BG119">
            <v>625</v>
          </cell>
          <cell r="BH119">
            <v>0</v>
          </cell>
          <cell r="BI119">
            <v>35</v>
          </cell>
          <cell r="BJ119">
            <v>2297657</v>
          </cell>
          <cell r="BK119">
            <v>2294</v>
          </cell>
          <cell r="BL119">
            <v>2295363</v>
          </cell>
        </row>
        <row r="120">
          <cell r="B120" t="str">
            <v>TAB103</v>
          </cell>
          <cell r="C120">
            <v>33120</v>
          </cell>
          <cell r="D120">
            <v>11040</v>
          </cell>
          <cell r="E120">
            <v>27570</v>
          </cell>
          <cell r="F120">
            <v>5490</v>
          </cell>
          <cell r="G120">
            <v>5550</v>
          </cell>
          <cell r="H120">
            <v>5550</v>
          </cell>
          <cell r="I120">
            <v>120</v>
          </cell>
          <cell r="J120">
            <v>120</v>
          </cell>
          <cell r="K120">
            <v>120</v>
          </cell>
          <cell r="L120">
            <v>0</v>
          </cell>
          <cell r="M120">
            <v>120</v>
          </cell>
          <cell r="N120">
            <v>0</v>
          </cell>
          <cell r="O120">
            <v>5430</v>
          </cell>
          <cell r="P120">
            <v>5430</v>
          </cell>
          <cell r="Q120">
            <v>1225</v>
          </cell>
          <cell r="R120">
            <v>1225</v>
          </cell>
          <cell r="S120">
            <v>4205</v>
          </cell>
          <cell r="T120">
            <v>4205</v>
          </cell>
          <cell r="U120">
            <v>1290</v>
          </cell>
          <cell r="V120">
            <v>530</v>
          </cell>
          <cell r="W120">
            <v>0</v>
          </cell>
          <cell r="X120">
            <v>265</v>
          </cell>
          <cell r="Y120">
            <v>495</v>
          </cell>
          <cell r="Z120">
            <v>45</v>
          </cell>
          <cell r="AA120">
            <v>45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1010</v>
          </cell>
          <cell r="AG120">
            <v>230</v>
          </cell>
          <cell r="AH120">
            <v>480</v>
          </cell>
          <cell r="AI120">
            <v>75</v>
          </cell>
          <cell r="AJ120">
            <v>0</v>
          </cell>
          <cell r="AK120">
            <v>225</v>
          </cell>
          <cell r="AL120">
            <v>0</v>
          </cell>
          <cell r="AM120">
            <v>0</v>
          </cell>
          <cell r="AN120">
            <v>0</v>
          </cell>
          <cell r="AO120">
            <v>1860</v>
          </cell>
          <cell r="AP120">
            <v>0</v>
          </cell>
          <cell r="AQ120">
            <v>0</v>
          </cell>
          <cell r="AR120">
            <v>330</v>
          </cell>
          <cell r="AS120">
            <v>0</v>
          </cell>
          <cell r="AT120">
            <v>275</v>
          </cell>
          <cell r="AU120">
            <v>240</v>
          </cell>
          <cell r="AV120">
            <v>0</v>
          </cell>
          <cell r="AW120">
            <v>0</v>
          </cell>
          <cell r="AX120">
            <v>0</v>
          </cell>
          <cell r="AY120">
            <v>85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895</v>
          </cell>
          <cell r="BG120">
            <v>35</v>
          </cell>
          <cell r="BH120">
            <v>0</v>
          </cell>
          <cell r="BI120">
            <v>0</v>
          </cell>
          <cell r="BJ120">
            <v>1007275</v>
          </cell>
          <cell r="BK120">
            <v>0</v>
          </cell>
          <cell r="BL120">
            <v>1007275</v>
          </cell>
        </row>
        <row r="121">
          <cell r="B121" t="str">
            <v>NBL SOL-CAPSULE</v>
          </cell>
          <cell r="C121">
            <v>66240</v>
          </cell>
          <cell r="D121">
            <v>22080</v>
          </cell>
          <cell r="E121">
            <v>55020</v>
          </cell>
          <cell r="F121">
            <v>10860</v>
          </cell>
          <cell r="G121">
            <v>11220</v>
          </cell>
          <cell r="H121">
            <v>11220</v>
          </cell>
          <cell r="I121">
            <v>540</v>
          </cell>
          <cell r="J121">
            <v>540</v>
          </cell>
          <cell r="K121">
            <v>540</v>
          </cell>
          <cell r="L121">
            <v>150</v>
          </cell>
          <cell r="M121">
            <v>390</v>
          </cell>
          <cell r="N121">
            <v>0</v>
          </cell>
          <cell r="O121">
            <v>10680</v>
          </cell>
          <cell r="P121">
            <v>10680</v>
          </cell>
          <cell r="Q121">
            <v>2775</v>
          </cell>
          <cell r="R121">
            <v>2775</v>
          </cell>
          <cell r="S121">
            <v>7905</v>
          </cell>
          <cell r="T121">
            <v>7905</v>
          </cell>
          <cell r="U121">
            <v>785</v>
          </cell>
          <cell r="V121">
            <v>370</v>
          </cell>
          <cell r="W121">
            <v>0</v>
          </cell>
          <cell r="X121">
            <v>285</v>
          </cell>
          <cell r="Y121">
            <v>130</v>
          </cell>
          <cell r="Z121">
            <v>1970</v>
          </cell>
          <cell r="AA121">
            <v>1970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1935</v>
          </cell>
          <cell r="AG121">
            <v>960</v>
          </cell>
          <cell r="AH121">
            <v>505</v>
          </cell>
          <cell r="AI121">
            <v>245</v>
          </cell>
          <cell r="AJ121">
            <v>0</v>
          </cell>
          <cell r="AK121">
            <v>225</v>
          </cell>
          <cell r="AL121">
            <v>0</v>
          </cell>
          <cell r="AM121">
            <v>0</v>
          </cell>
          <cell r="AN121">
            <v>0</v>
          </cell>
          <cell r="AO121">
            <v>3215</v>
          </cell>
          <cell r="AP121">
            <v>0</v>
          </cell>
          <cell r="AQ121">
            <v>0</v>
          </cell>
          <cell r="AR121">
            <v>410</v>
          </cell>
          <cell r="AS121">
            <v>0</v>
          </cell>
          <cell r="AT121">
            <v>315</v>
          </cell>
          <cell r="AU121">
            <v>1075</v>
          </cell>
          <cell r="AV121">
            <v>0</v>
          </cell>
          <cell r="AW121">
            <v>0</v>
          </cell>
          <cell r="AX121">
            <v>865</v>
          </cell>
          <cell r="AY121">
            <v>205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345</v>
          </cell>
          <cell r="BG121">
            <v>0</v>
          </cell>
          <cell r="BH121">
            <v>0</v>
          </cell>
          <cell r="BI121">
            <v>0</v>
          </cell>
          <cell r="BJ121">
            <v>1158797</v>
          </cell>
          <cell r="BK121">
            <v>0</v>
          </cell>
          <cell r="BL121">
            <v>1158797</v>
          </cell>
        </row>
        <row r="122">
          <cell r="B122" t="str">
            <v>KAP101</v>
          </cell>
          <cell r="C122">
            <v>33120</v>
          </cell>
          <cell r="D122">
            <v>11040</v>
          </cell>
          <cell r="E122">
            <v>23790</v>
          </cell>
          <cell r="F122">
            <v>1710</v>
          </cell>
          <cell r="G122">
            <v>9330</v>
          </cell>
          <cell r="H122">
            <v>9330</v>
          </cell>
          <cell r="I122">
            <v>480</v>
          </cell>
          <cell r="J122">
            <v>480</v>
          </cell>
          <cell r="K122">
            <v>480</v>
          </cell>
          <cell r="L122">
            <v>150</v>
          </cell>
          <cell r="M122">
            <v>330</v>
          </cell>
          <cell r="N122">
            <v>0</v>
          </cell>
          <cell r="O122">
            <v>8850</v>
          </cell>
          <cell r="P122">
            <v>8850</v>
          </cell>
          <cell r="Q122">
            <v>2270</v>
          </cell>
          <cell r="R122">
            <v>2270</v>
          </cell>
          <cell r="S122">
            <v>6580</v>
          </cell>
          <cell r="T122">
            <v>6580</v>
          </cell>
          <cell r="U122">
            <v>685</v>
          </cell>
          <cell r="V122">
            <v>270</v>
          </cell>
          <cell r="W122">
            <v>0</v>
          </cell>
          <cell r="X122">
            <v>285</v>
          </cell>
          <cell r="Y122">
            <v>130</v>
          </cell>
          <cell r="Z122">
            <v>1970</v>
          </cell>
          <cell r="AA122">
            <v>1970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1755</v>
          </cell>
          <cell r="AG122">
            <v>910</v>
          </cell>
          <cell r="AH122">
            <v>375</v>
          </cell>
          <cell r="AI122">
            <v>245</v>
          </cell>
          <cell r="AJ122">
            <v>0</v>
          </cell>
          <cell r="AK122">
            <v>225</v>
          </cell>
          <cell r="AL122">
            <v>0</v>
          </cell>
          <cell r="AM122">
            <v>0</v>
          </cell>
          <cell r="AN122">
            <v>0</v>
          </cell>
          <cell r="AO122">
            <v>2170</v>
          </cell>
          <cell r="AP122">
            <v>0</v>
          </cell>
          <cell r="AQ122">
            <v>0</v>
          </cell>
          <cell r="AR122">
            <v>360</v>
          </cell>
          <cell r="AS122">
            <v>0</v>
          </cell>
          <cell r="AT122">
            <v>305</v>
          </cell>
          <cell r="AU122">
            <v>960</v>
          </cell>
          <cell r="AV122">
            <v>0</v>
          </cell>
          <cell r="AW122">
            <v>0</v>
          </cell>
          <cell r="AX122">
            <v>0</v>
          </cell>
          <cell r="AY122">
            <v>200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345</v>
          </cell>
          <cell r="BG122">
            <v>0</v>
          </cell>
          <cell r="BH122">
            <v>0</v>
          </cell>
          <cell r="BI122">
            <v>0</v>
          </cell>
          <cell r="BJ122">
            <v>579453</v>
          </cell>
          <cell r="BK122">
            <v>0</v>
          </cell>
          <cell r="BL122">
            <v>579453</v>
          </cell>
        </row>
        <row r="123">
          <cell r="B123" t="str">
            <v>KAP103</v>
          </cell>
          <cell r="C123">
            <v>33120</v>
          </cell>
          <cell r="D123">
            <v>11040</v>
          </cell>
          <cell r="E123">
            <v>31230</v>
          </cell>
          <cell r="F123">
            <v>9150</v>
          </cell>
          <cell r="G123">
            <v>1890</v>
          </cell>
          <cell r="H123">
            <v>1890</v>
          </cell>
          <cell r="I123">
            <v>60</v>
          </cell>
          <cell r="J123">
            <v>60</v>
          </cell>
          <cell r="K123">
            <v>60</v>
          </cell>
          <cell r="L123">
            <v>0</v>
          </cell>
          <cell r="M123">
            <v>60</v>
          </cell>
          <cell r="N123">
            <v>0</v>
          </cell>
          <cell r="O123">
            <v>1830</v>
          </cell>
          <cell r="P123">
            <v>1830</v>
          </cell>
          <cell r="Q123">
            <v>505</v>
          </cell>
          <cell r="R123">
            <v>505</v>
          </cell>
          <cell r="S123">
            <v>1325</v>
          </cell>
          <cell r="T123">
            <v>1325</v>
          </cell>
          <cell r="U123">
            <v>100</v>
          </cell>
          <cell r="V123">
            <v>100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180</v>
          </cell>
          <cell r="AG123">
            <v>50</v>
          </cell>
          <cell r="AH123">
            <v>130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1045</v>
          </cell>
          <cell r="AP123">
            <v>0</v>
          </cell>
          <cell r="AQ123">
            <v>0</v>
          </cell>
          <cell r="AR123">
            <v>50</v>
          </cell>
          <cell r="AS123">
            <v>0</v>
          </cell>
          <cell r="AT123">
            <v>10</v>
          </cell>
          <cell r="AU123">
            <v>115</v>
          </cell>
          <cell r="AV123">
            <v>0</v>
          </cell>
          <cell r="AW123">
            <v>0</v>
          </cell>
          <cell r="AX123">
            <v>865</v>
          </cell>
          <cell r="AY123">
            <v>5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579344</v>
          </cell>
          <cell r="BK123">
            <v>0</v>
          </cell>
          <cell r="BL123">
            <v>579344</v>
          </cell>
        </row>
        <row r="124">
          <cell r="B124" t="str">
            <v>NBL SOL-STRIPPING</v>
          </cell>
          <cell r="C124">
            <v>165600</v>
          </cell>
          <cell r="D124">
            <v>75900</v>
          </cell>
          <cell r="E124">
            <v>97860</v>
          </cell>
          <cell r="F124">
            <v>8160</v>
          </cell>
          <cell r="G124">
            <v>67740</v>
          </cell>
          <cell r="H124">
            <v>67740</v>
          </cell>
          <cell r="I124">
            <v>3710</v>
          </cell>
          <cell r="J124">
            <v>3710</v>
          </cell>
          <cell r="K124">
            <v>3710</v>
          </cell>
          <cell r="L124">
            <v>30</v>
          </cell>
          <cell r="M124">
            <v>3680</v>
          </cell>
          <cell r="N124">
            <v>0</v>
          </cell>
          <cell r="O124">
            <v>64030</v>
          </cell>
          <cell r="P124">
            <v>64030</v>
          </cell>
          <cell r="Q124">
            <v>24298</v>
          </cell>
          <cell r="R124">
            <v>24298</v>
          </cell>
          <cell r="S124">
            <v>39732</v>
          </cell>
          <cell r="T124">
            <v>39732</v>
          </cell>
          <cell r="U124">
            <v>7760</v>
          </cell>
          <cell r="V124">
            <v>4580</v>
          </cell>
          <cell r="W124">
            <v>0</v>
          </cell>
          <cell r="X124">
            <v>3180</v>
          </cell>
          <cell r="Y124">
            <v>0</v>
          </cell>
          <cell r="Z124">
            <v>1010</v>
          </cell>
          <cell r="AA124">
            <v>640</v>
          </cell>
          <cell r="AB124">
            <v>160</v>
          </cell>
          <cell r="AC124">
            <v>0</v>
          </cell>
          <cell r="AD124">
            <v>25</v>
          </cell>
          <cell r="AE124">
            <v>185</v>
          </cell>
          <cell r="AF124">
            <v>14002</v>
          </cell>
          <cell r="AG124">
            <v>7252</v>
          </cell>
          <cell r="AH124">
            <v>2520</v>
          </cell>
          <cell r="AI124">
            <v>3300</v>
          </cell>
          <cell r="AJ124">
            <v>0</v>
          </cell>
          <cell r="AK124">
            <v>930</v>
          </cell>
          <cell r="AL124">
            <v>4310</v>
          </cell>
          <cell r="AM124">
            <v>0</v>
          </cell>
          <cell r="AN124">
            <v>4310</v>
          </cell>
          <cell r="AO124">
            <v>12650</v>
          </cell>
          <cell r="AP124">
            <v>160</v>
          </cell>
          <cell r="AQ124">
            <v>0</v>
          </cell>
          <cell r="AR124">
            <v>3765</v>
          </cell>
          <cell r="AS124">
            <v>0</v>
          </cell>
          <cell r="AT124">
            <v>3345</v>
          </cell>
          <cell r="AU124">
            <v>680</v>
          </cell>
          <cell r="AV124">
            <v>0</v>
          </cell>
          <cell r="AW124">
            <v>0</v>
          </cell>
          <cell r="AX124">
            <v>30</v>
          </cell>
          <cell r="AY124">
            <v>2405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2245</v>
          </cell>
          <cell r="BG124">
            <v>20</v>
          </cell>
          <cell r="BH124">
            <v>0</v>
          </cell>
          <cell r="BI124">
            <v>0</v>
          </cell>
          <cell r="BJ124">
            <v>13751242</v>
          </cell>
          <cell r="BK124">
            <v>71539</v>
          </cell>
          <cell r="BL124">
            <v>13679703</v>
          </cell>
        </row>
        <row r="125">
          <cell r="B125" t="str">
            <v>STR105</v>
          </cell>
          <cell r="C125">
            <v>33120</v>
          </cell>
          <cell r="D125">
            <v>11040</v>
          </cell>
          <cell r="E125">
            <v>21000</v>
          </cell>
          <cell r="F125">
            <v>-1080</v>
          </cell>
          <cell r="G125">
            <v>12120</v>
          </cell>
          <cell r="H125">
            <v>12120</v>
          </cell>
          <cell r="I125">
            <v>1790</v>
          </cell>
          <cell r="J125">
            <v>1790</v>
          </cell>
          <cell r="K125">
            <v>1790</v>
          </cell>
          <cell r="L125">
            <v>30</v>
          </cell>
          <cell r="M125">
            <v>1760</v>
          </cell>
          <cell r="N125">
            <v>0</v>
          </cell>
          <cell r="O125">
            <v>10330</v>
          </cell>
          <cell r="P125">
            <v>10330</v>
          </cell>
          <cell r="Q125">
            <v>3095</v>
          </cell>
          <cell r="R125">
            <v>3095</v>
          </cell>
          <cell r="S125">
            <v>7235</v>
          </cell>
          <cell r="T125">
            <v>7235</v>
          </cell>
          <cell r="U125">
            <v>1460</v>
          </cell>
          <cell r="V125">
            <v>1040</v>
          </cell>
          <cell r="W125">
            <v>0</v>
          </cell>
          <cell r="X125">
            <v>420</v>
          </cell>
          <cell r="Y125">
            <v>0</v>
          </cell>
          <cell r="Z125">
            <v>130</v>
          </cell>
          <cell r="AA125">
            <v>80</v>
          </cell>
          <cell r="AB125">
            <v>25</v>
          </cell>
          <cell r="AC125">
            <v>0</v>
          </cell>
          <cell r="AD125">
            <v>25</v>
          </cell>
          <cell r="AE125">
            <v>0</v>
          </cell>
          <cell r="AF125">
            <v>1945</v>
          </cell>
          <cell r="AG125">
            <v>905</v>
          </cell>
          <cell r="AH125">
            <v>580</v>
          </cell>
          <cell r="AI125">
            <v>365</v>
          </cell>
          <cell r="AJ125">
            <v>0</v>
          </cell>
          <cell r="AK125">
            <v>95</v>
          </cell>
          <cell r="AL125">
            <v>1920</v>
          </cell>
          <cell r="AM125">
            <v>0</v>
          </cell>
          <cell r="AN125">
            <v>1920</v>
          </cell>
          <cell r="AO125">
            <v>1780</v>
          </cell>
          <cell r="AP125">
            <v>0</v>
          </cell>
          <cell r="AQ125">
            <v>0</v>
          </cell>
          <cell r="AR125">
            <v>555</v>
          </cell>
          <cell r="AS125">
            <v>0</v>
          </cell>
          <cell r="AT125">
            <v>480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415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330</v>
          </cell>
          <cell r="BG125">
            <v>0</v>
          </cell>
          <cell r="BH125">
            <v>0</v>
          </cell>
          <cell r="BI125">
            <v>0</v>
          </cell>
          <cell r="BJ125">
            <v>1067807</v>
          </cell>
          <cell r="BK125">
            <v>7717</v>
          </cell>
          <cell r="BL125">
            <v>1060090</v>
          </cell>
        </row>
        <row r="126">
          <cell r="B126" t="str">
            <v>STR102</v>
          </cell>
          <cell r="C126">
            <v>33120</v>
          </cell>
          <cell r="D126">
            <v>21390</v>
          </cell>
          <cell r="E126">
            <v>14310</v>
          </cell>
          <cell r="F126">
            <v>2580</v>
          </cell>
          <cell r="G126">
            <v>18810</v>
          </cell>
          <cell r="H126">
            <v>18810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18810</v>
          </cell>
          <cell r="P126">
            <v>18810</v>
          </cell>
          <cell r="Q126">
            <v>7083</v>
          </cell>
          <cell r="R126">
            <v>7083</v>
          </cell>
          <cell r="S126">
            <v>11727</v>
          </cell>
          <cell r="T126">
            <v>11727</v>
          </cell>
          <cell r="U126">
            <v>2145</v>
          </cell>
          <cell r="V126">
            <v>1195</v>
          </cell>
          <cell r="W126">
            <v>0</v>
          </cell>
          <cell r="X126">
            <v>950</v>
          </cell>
          <cell r="Y126">
            <v>0</v>
          </cell>
          <cell r="Z126">
            <v>330</v>
          </cell>
          <cell r="AA126">
            <v>175</v>
          </cell>
          <cell r="AB126">
            <v>120</v>
          </cell>
          <cell r="AC126">
            <v>0</v>
          </cell>
          <cell r="AD126">
            <v>0</v>
          </cell>
          <cell r="AE126">
            <v>35</v>
          </cell>
          <cell r="AF126">
            <v>4287</v>
          </cell>
          <cell r="AG126">
            <v>2222</v>
          </cell>
          <cell r="AH126">
            <v>790</v>
          </cell>
          <cell r="AI126">
            <v>955</v>
          </cell>
          <cell r="AJ126">
            <v>0</v>
          </cell>
          <cell r="AK126">
            <v>320</v>
          </cell>
          <cell r="AL126">
            <v>1430</v>
          </cell>
          <cell r="AM126">
            <v>0</v>
          </cell>
          <cell r="AN126">
            <v>1430</v>
          </cell>
          <cell r="AO126">
            <v>3535</v>
          </cell>
          <cell r="AP126">
            <v>0</v>
          </cell>
          <cell r="AQ126">
            <v>0</v>
          </cell>
          <cell r="AR126">
            <v>1110</v>
          </cell>
          <cell r="AS126">
            <v>0</v>
          </cell>
          <cell r="AT126">
            <v>1025</v>
          </cell>
          <cell r="AU126">
            <v>125</v>
          </cell>
          <cell r="AV126">
            <v>0</v>
          </cell>
          <cell r="AW126">
            <v>0</v>
          </cell>
          <cell r="AX126">
            <v>0</v>
          </cell>
          <cell r="AY126">
            <v>470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805</v>
          </cell>
          <cell r="BG126">
            <v>0</v>
          </cell>
          <cell r="BH126">
            <v>0</v>
          </cell>
          <cell r="BI126">
            <v>0</v>
          </cell>
          <cell r="BJ126">
            <v>8128314</v>
          </cell>
          <cell r="BK126">
            <v>36834</v>
          </cell>
          <cell r="BL126">
            <v>8091480</v>
          </cell>
        </row>
        <row r="127">
          <cell r="B127" t="str">
            <v>STR104</v>
          </cell>
          <cell r="C127">
            <v>33120</v>
          </cell>
          <cell r="D127">
            <v>11040</v>
          </cell>
          <cell r="E127">
            <v>22350</v>
          </cell>
          <cell r="F127">
            <v>270</v>
          </cell>
          <cell r="G127">
            <v>10770</v>
          </cell>
          <cell r="H127">
            <v>10770</v>
          </cell>
          <cell r="I127">
            <v>320</v>
          </cell>
          <cell r="J127">
            <v>320</v>
          </cell>
          <cell r="K127">
            <v>320</v>
          </cell>
          <cell r="L127">
            <v>0</v>
          </cell>
          <cell r="M127">
            <v>320</v>
          </cell>
          <cell r="N127">
            <v>0</v>
          </cell>
          <cell r="O127">
            <v>10450</v>
          </cell>
          <cell r="P127">
            <v>10450</v>
          </cell>
          <cell r="Q127">
            <v>5705</v>
          </cell>
          <cell r="R127">
            <v>5705</v>
          </cell>
          <cell r="S127">
            <v>4745</v>
          </cell>
          <cell r="T127">
            <v>4745</v>
          </cell>
          <cell r="U127">
            <v>150</v>
          </cell>
          <cell r="V127">
            <v>115</v>
          </cell>
          <cell r="W127">
            <v>0</v>
          </cell>
          <cell r="X127">
            <v>35</v>
          </cell>
          <cell r="Y127">
            <v>0</v>
          </cell>
          <cell r="Z127">
            <v>70</v>
          </cell>
          <cell r="AA127">
            <v>40</v>
          </cell>
          <cell r="AB127">
            <v>0</v>
          </cell>
          <cell r="AC127">
            <v>0</v>
          </cell>
          <cell r="AD127">
            <v>0</v>
          </cell>
          <cell r="AE127">
            <v>30</v>
          </cell>
          <cell r="AF127">
            <v>2565</v>
          </cell>
          <cell r="AG127">
            <v>1455</v>
          </cell>
          <cell r="AH127">
            <v>270</v>
          </cell>
          <cell r="AI127">
            <v>660</v>
          </cell>
          <cell r="AJ127">
            <v>0</v>
          </cell>
          <cell r="AK127">
            <v>180</v>
          </cell>
          <cell r="AL127">
            <v>0</v>
          </cell>
          <cell r="AM127">
            <v>0</v>
          </cell>
          <cell r="AN127">
            <v>0</v>
          </cell>
          <cell r="AO127">
            <v>1960</v>
          </cell>
          <cell r="AP127">
            <v>0</v>
          </cell>
          <cell r="AQ127">
            <v>0</v>
          </cell>
          <cell r="AR127">
            <v>630</v>
          </cell>
          <cell r="AS127">
            <v>0</v>
          </cell>
          <cell r="AT127">
            <v>540</v>
          </cell>
          <cell r="AU127">
            <v>225</v>
          </cell>
          <cell r="AV127">
            <v>0</v>
          </cell>
          <cell r="AW127">
            <v>0</v>
          </cell>
          <cell r="AX127">
            <v>0</v>
          </cell>
          <cell r="AY127">
            <v>430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135</v>
          </cell>
          <cell r="BG127">
            <v>0</v>
          </cell>
          <cell r="BH127">
            <v>0</v>
          </cell>
          <cell r="BI127">
            <v>0</v>
          </cell>
          <cell r="BJ127">
            <v>38305</v>
          </cell>
          <cell r="BK127">
            <v>181</v>
          </cell>
          <cell r="BL127">
            <v>38124</v>
          </cell>
        </row>
        <row r="128">
          <cell r="B128" t="str">
            <v>STR103</v>
          </cell>
          <cell r="C128">
            <v>33120</v>
          </cell>
          <cell r="D128">
            <v>11040</v>
          </cell>
          <cell r="E128">
            <v>21510</v>
          </cell>
          <cell r="F128">
            <v>-570</v>
          </cell>
          <cell r="G128">
            <v>11610</v>
          </cell>
          <cell r="H128">
            <v>11610</v>
          </cell>
          <cell r="I128">
            <v>1375</v>
          </cell>
          <cell r="J128">
            <v>1375</v>
          </cell>
          <cell r="K128">
            <v>1375</v>
          </cell>
          <cell r="L128">
            <v>0</v>
          </cell>
          <cell r="M128">
            <v>1375</v>
          </cell>
          <cell r="N128">
            <v>0</v>
          </cell>
          <cell r="O128">
            <v>10235</v>
          </cell>
          <cell r="P128">
            <v>10235</v>
          </cell>
          <cell r="Q128">
            <v>3305</v>
          </cell>
          <cell r="R128">
            <v>3305</v>
          </cell>
          <cell r="S128">
            <v>6930</v>
          </cell>
          <cell r="T128">
            <v>6930</v>
          </cell>
          <cell r="U128">
            <v>1895</v>
          </cell>
          <cell r="V128">
            <v>1330</v>
          </cell>
          <cell r="W128">
            <v>0</v>
          </cell>
          <cell r="X128">
            <v>565</v>
          </cell>
          <cell r="Y128">
            <v>0</v>
          </cell>
          <cell r="Z128">
            <v>125</v>
          </cell>
          <cell r="AA128">
            <v>15</v>
          </cell>
          <cell r="AB128">
            <v>15</v>
          </cell>
          <cell r="AC128">
            <v>0</v>
          </cell>
          <cell r="AD128">
            <v>0</v>
          </cell>
          <cell r="AE128">
            <v>95</v>
          </cell>
          <cell r="AF128">
            <v>2245</v>
          </cell>
          <cell r="AG128">
            <v>1160</v>
          </cell>
          <cell r="AH128">
            <v>355</v>
          </cell>
          <cell r="AI128">
            <v>620</v>
          </cell>
          <cell r="AJ128">
            <v>0</v>
          </cell>
          <cell r="AK128">
            <v>110</v>
          </cell>
          <cell r="AL128">
            <v>480</v>
          </cell>
          <cell r="AM128">
            <v>0</v>
          </cell>
          <cell r="AN128">
            <v>480</v>
          </cell>
          <cell r="AO128">
            <v>2185</v>
          </cell>
          <cell r="AP128">
            <v>0</v>
          </cell>
          <cell r="AQ128">
            <v>0</v>
          </cell>
          <cell r="AR128">
            <v>630</v>
          </cell>
          <cell r="AS128">
            <v>0</v>
          </cell>
          <cell r="AT128">
            <v>575</v>
          </cell>
          <cell r="AU128">
            <v>60</v>
          </cell>
          <cell r="AV128">
            <v>0</v>
          </cell>
          <cell r="AW128">
            <v>0</v>
          </cell>
          <cell r="AX128">
            <v>30</v>
          </cell>
          <cell r="AY128">
            <v>395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495</v>
          </cell>
          <cell r="BG128">
            <v>0</v>
          </cell>
          <cell r="BH128">
            <v>0</v>
          </cell>
          <cell r="BI128">
            <v>0</v>
          </cell>
          <cell r="BJ128">
            <v>1639434</v>
          </cell>
          <cell r="BK128">
            <v>13605</v>
          </cell>
          <cell r="BL128">
            <v>1625829</v>
          </cell>
        </row>
        <row r="129">
          <cell r="B129" t="str">
            <v>STR101</v>
          </cell>
          <cell r="C129">
            <v>33120</v>
          </cell>
          <cell r="D129">
            <v>21390</v>
          </cell>
          <cell r="E129">
            <v>18690</v>
          </cell>
          <cell r="F129">
            <v>6960</v>
          </cell>
          <cell r="G129">
            <v>14430</v>
          </cell>
          <cell r="H129">
            <v>14430</v>
          </cell>
          <cell r="I129">
            <v>225</v>
          </cell>
          <cell r="J129">
            <v>225</v>
          </cell>
          <cell r="K129">
            <v>225</v>
          </cell>
          <cell r="L129">
            <v>0</v>
          </cell>
          <cell r="M129">
            <v>225</v>
          </cell>
          <cell r="N129">
            <v>0</v>
          </cell>
          <cell r="O129">
            <v>14205</v>
          </cell>
          <cell r="P129">
            <v>14205</v>
          </cell>
          <cell r="Q129">
            <v>5110</v>
          </cell>
          <cell r="R129">
            <v>5110</v>
          </cell>
          <cell r="S129">
            <v>9095</v>
          </cell>
          <cell r="T129">
            <v>9095</v>
          </cell>
          <cell r="U129">
            <v>2110</v>
          </cell>
          <cell r="V129">
            <v>900</v>
          </cell>
          <cell r="W129">
            <v>0</v>
          </cell>
          <cell r="X129">
            <v>1210</v>
          </cell>
          <cell r="Y129">
            <v>0</v>
          </cell>
          <cell r="Z129">
            <v>355</v>
          </cell>
          <cell r="AA129">
            <v>330</v>
          </cell>
          <cell r="AB129">
            <v>0</v>
          </cell>
          <cell r="AC129">
            <v>0</v>
          </cell>
          <cell r="AD129">
            <v>0</v>
          </cell>
          <cell r="AE129">
            <v>25</v>
          </cell>
          <cell r="AF129">
            <v>2960</v>
          </cell>
          <cell r="AG129">
            <v>1510</v>
          </cell>
          <cell r="AH129">
            <v>525</v>
          </cell>
          <cell r="AI129">
            <v>700</v>
          </cell>
          <cell r="AJ129">
            <v>0</v>
          </cell>
          <cell r="AK129">
            <v>225</v>
          </cell>
          <cell r="AL129">
            <v>480</v>
          </cell>
          <cell r="AM129">
            <v>0</v>
          </cell>
          <cell r="AN129">
            <v>480</v>
          </cell>
          <cell r="AO129">
            <v>3190</v>
          </cell>
          <cell r="AP129">
            <v>160</v>
          </cell>
          <cell r="AQ129">
            <v>0</v>
          </cell>
          <cell r="AR129">
            <v>840</v>
          </cell>
          <cell r="AS129">
            <v>0</v>
          </cell>
          <cell r="AT129">
            <v>725</v>
          </cell>
          <cell r="AU129">
            <v>270</v>
          </cell>
          <cell r="AV129">
            <v>0</v>
          </cell>
          <cell r="AW129">
            <v>0</v>
          </cell>
          <cell r="AX129">
            <v>0</v>
          </cell>
          <cell r="AY129">
            <v>695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480</v>
          </cell>
          <cell r="BG129">
            <v>20</v>
          </cell>
          <cell r="BH129">
            <v>0</v>
          </cell>
          <cell r="BI129">
            <v>0</v>
          </cell>
          <cell r="BJ129">
            <v>2877382</v>
          </cell>
          <cell r="BK129">
            <v>13202</v>
          </cell>
          <cell r="BL129">
            <v>2864180</v>
          </cell>
        </row>
        <row r="130">
          <cell r="B130" t="str">
            <v>NBL SYR-MIXING</v>
          </cell>
          <cell r="C130">
            <v>33120</v>
          </cell>
          <cell r="D130">
            <v>21390</v>
          </cell>
          <cell r="E130">
            <v>23340</v>
          </cell>
          <cell r="F130">
            <v>11610</v>
          </cell>
          <cell r="G130">
            <v>9780</v>
          </cell>
          <cell r="H130">
            <v>9780</v>
          </cell>
          <cell r="I130">
            <v>1067</v>
          </cell>
          <cell r="J130">
            <v>1067</v>
          </cell>
          <cell r="K130">
            <v>1067</v>
          </cell>
          <cell r="L130">
            <v>27</v>
          </cell>
          <cell r="M130">
            <v>1040</v>
          </cell>
          <cell r="N130">
            <v>0</v>
          </cell>
          <cell r="O130">
            <v>8713</v>
          </cell>
          <cell r="P130">
            <v>8713</v>
          </cell>
          <cell r="Q130">
            <v>3510</v>
          </cell>
          <cell r="R130">
            <v>3510</v>
          </cell>
          <cell r="S130">
            <v>5203</v>
          </cell>
          <cell r="T130">
            <v>5203</v>
          </cell>
          <cell r="U130">
            <v>432</v>
          </cell>
          <cell r="V130">
            <v>432</v>
          </cell>
          <cell r="W130">
            <v>0</v>
          </cell>
          <cell r="X130">
            <v>0</v>
          </cell>
          <cell r="Y130">
            <v>0</v>
          </cell>
          <cell r="Z130">
            <v>40</v>
          </cell>
          <cell r="AA130">
            <v>0</v>
          </cell>
          <cell r="AB130">
            <v>0</v>
          </cell>
          <cell r="AC130">
            <v>0</v>
          </cell>
          <cell r="AD130">
            <v>40</v>
          </cell>
          <cell r="AE130">
            <v>0</v>
          </cell>
          <cell r="AF130">
            <v>2790</v>
          </cell>
          <cell r="AG130">
            <v>274</v>
          </cell>
          <cell r="AH130">
            <v>2406</v>
          </cell>
          <cell r="AI130">
            <v>0</v>
          </cell>
          <cell r="AJ130">
            <v>0</v>
          </cell>
          <cell r="AK130">
            <v>110</v>
          </cell>
          <cell r="AL130">
            <v>0</v>
          </cell>
          <cell r="AM130">
            <v>0</v>
          </cell>
          <cell r="AN130">
            <v>0</v>
          </cell>
          <cell r="AO130">
            <v>1941</v>
          </cell>
          <cell r="AP130">
            <v>21</v>
          </cell>
          <cell r="AQ130">
            <v>0</v>
          </cell>
          <cell r="AR130">
            <v>379</v>
          </cell>
          <cell r="AS130">
            <v>0</v>
          </cell>
          <cell r="AT130">
            <v>245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19</v>
          </cell>
          <cell r="AZ130">
            <v>0</v>
          </cell>
          <cell r="BA130">
            <v>0</v>
          </cell>
          <cell r="BB130">
            <v>268</v>
          </cell>
          <cell r="BC130">
            <v>0</v>
          </cell>
          <cell r="BD130">
            <v>0</v>
          </cell>
          <cell r="BE130">
            <v>0</v>
          </cell>
          <cell r="BF130">
            <v>42</v>
          </cell>
          <cell r="BG130">
            <v>947</v>
          </cell>
          <cell r="BH130">
            <v>0</v>
          </cell>
          <cell r="BI130">
            <v>20</v>
          </cell>
          <cell r="BJ130">
            <v>16460</v>
          </cell>
          <cell r="BK130">
            <v>2.9</v>
          </cell>
          <cell r="BL130">
            <v>16457.099999999999</v>
          </cell>
        </row>
        <row r="131">
          <cell r="B131" t="str">
            <v>LMIXSYR1</v>
          </cell>
          <cell r="C131">
            <v>33120</v>
          </cell>
          <cell r="D131">
            <v>21390</v>
          </cell>
          <cell r="E131">
            <v>23340</v>
          </cell>
          <cell r="F131">
            <v>11610</v>
          </cell>
          <cell r="G131">
            <v>9780</v>
          </cell>
          <cell r="H131">
            <v>9780</v>
          </cell>
          <cell r="I131">
            <v>1067</v>
          </cell>
          <cell r="J131">
            <v>1067</v>
          </cell>
          <cell r="K131">
            <v>1067</v>
          </cell>
          <cell r="L131">
            <v>27</v>
          </cell>
          <cell r="M131">
            <v>1040</v>
          </cell>
          <cell r="N131">
            <v>0</v>
          </cell>
          <cell r="O131">
            <v>8713</v>
          </cell>
          <cell r="P131">
            <v>8713</v>
          </cell>
          <cell r="Q131">
            <v>3510</v>
          </cell>
          <cell r="R131">
            <v>3510</v>
          </cell>
          <cell r="S131">
            <v>5203</v>
          </cell>
          <cell r="T131">
            <v>5203</v>
          </cell>
          <cell r="U131">
            <v>432</v>
          </cell>
          <cell r="V131">
            <v>432</v>
          </cell>
          <cell r="W131">
            <v>0</v>
          </cell>
          <cell r="X131">
            <v>0</v>
          </cell>
          <cell r="Y131">
            <v>0</v>
          </cell>
          <cell r="Z131">
            <v>40</v>
          </cell>
          <cell r="AA131">
            <v>0</v>
          </cell>
          <cell r="AB131">
            <v>0</v>
          </cell>
          <cell r="AC131">
            <v>0</v>
          </cell>
          <cell r="AD131">
            <v>40</v>
          </cell>
          <cell r="AE131">
            <v>0</v>
          </cell>
          <cell r="AF131">
            <v>2790</v>
          </cell>
          <cell r="AG131">
            <v>274</v>
          </cell>
          <cell r="AH131">
            <v>2406</v>
          </cell>
          <cell r="AI131">
            <v>0</v>
          </cell>
          <cell r="AJ131">
            <v>0</v>
          </cell>
          <cell r="AK131">
            <v>110</v>
          </cell>
          <cell r="AL131">
            <v>0</v>
          </cell>
          <cell r="AM131">
            <v>0</v>
          </cell>
          <cell r="AN131">
            <v>0</v>
          </cell>
          <cell r="AO131">
            <v>1941</v>
          </cell>
          <cell r="AP131">
            <v>21</v>
          </cell>
          <cell r="AQ131">
            <v>0</v>
          </cell>
          <cell r="AR131">
            <v>379</v>
          </cell>
          <cell r="AS131">
            <v>0</v>
          </cell>
          <cell r="AT131">
            <v>245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19</v>
          </cell>
          <cell r="AZ131">
            <v>0</v>
          </cell>
          <cell r="BA131">
            <v>0</v>
          </cell>
          <cell r="BB131">
            <v>268</v>
          </cell>
          <cell r="BC131">
            <v>0</v>
          </cell>
          <cell r="BD131">
            <v>0</v>
          </cell>
          <cell r="BE131">
            <v>0</v>
          </cell>
          <cell r="BF131">
            <v>42</v>
          </cell>
          <cell r="BG131">
            <v>947</v>
          </cell>
          <cell r="BH131">
            <v>0</v>
          </cell>
          <cell r="BI131">
            <v>20</v>
          </cell>
          <cell r="BJ131">
            <v>16460</v>
          </cell>
          <cell r="BK131">
            <v>2.9</v>
          </cell>
          <cell r="BL131">
            <v>16457.099999999999</v>
          </cell>
        </row>
        <row r="132">
          <cell r="B132" t="str">
            <v>NBL SYR-FILLING</v>
          </cell>
          <cell r="C132">
            <v>66240</v>
          </cell>
          <cell r="D132">
            <v>42780</v>
          </cell>
          <cell r="E132">
            <v>51660</v>
          </cell>
          <cell r="F132">
            <v>28200</v>
          </cell>
          <cell r="G132">
            <v>14580</v>
          </cell>
          <cell r="H132">
            <v>14580</v>
          </cell>
          <cell r="I132">
            <v>975</v>
          </cell>
          <cell r="J132">
            <v>975</v>
          </cell>
          <cell r="K132">
            <v>975</v>
          </cell>
          <cell r="L132">
            <v>0</v>
          </cell>
          <cell r="M132">
            <v>975</v>
          </cell>
          <cell r="N132">
            <v>0</v>
          </cell>
          <cell r="O132">
            <v>13605</v>
          </cell>
          <cell r="P132">
            <v>13605</v>
          </cell>
          <cell r="Q132">
            <v>4430</v>
          </cell>
          <cell r="R132">
            <v>4430</v>
          </cell>
          <cell r="S132">
            <v>9175</v>
          </cell>
          <cell r="T132">
            <v>9175</v>
          </cell>
          <cell r="U132">
            <v>990</v>
          </cell>
          <cell r="V132">
            <v>735</v>
          </cell>
          <cell r="W132">
            <v>15</v>
          </cell>
          <cell r="X132">
            <v>170</v>
          </cell>
          <cell r="Y132">
            <v>70</v>
          </cell>
          <cell r="Z132">
            <v>675</v>
          </cell>
          <cell r="AA132">
            <v>480</v>
          </cell>
          <cell r="AB132">
            <v>195</v>
          </cell>
          <cell r="AC132">
            <v>0</v>
          </cell>
          <cell r="AD132">
            <v>0</v>
          </cell>
          <cell r="AE132">
            <v>0</v>
          </cell>
          <cell r="AF132">
            <v>4130</v>
          </cell>
          <cell r="AG132">
            <v>455</v>
          </cell>
          <cell r="AH132">
            <v>2255</v>
          </cell>
          <cell r="AI132">
            <v>30</v>
          </cell>
          <cell r="AJ132">
            <v>0</v>
          </cell>
          <cell r="AK132">
            <v>1390</v>
          </cell>
          <cell r="AL132">
            <v>0</v>
          </cell>
          <cell r="AM132">
            <v>0</v>
          </cell>
          <cell r="AN132">
            <v>0</v>
          </cell>
          <cell r="AO132">
            <v>3380</v>
          </cell>
          <cell r="AP132">
            <v>105</v>
          </cell>
          <cell r="AQ132">
            <v>75</v>
          </cell>
          <cell r="AR132">
            <v>810</v>
          </cell>
          <cell r="AS132">
            <v>30</v>
          </cell>
          <cell r="AT132">
            <v>510</v>
          </cell>
          <cell r="AU132">
            <v>0</v>
          </cell>
          <cell r="AV132">
            <v>0</v>
          </cell>
          <cell r="AW132">
            <v>0</v>
          </cell>
          <cell r="AX132">
            <v>1675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30</v>
          </cell>
          <cell r="BH132">
            <v>0</v>
          </cell>
          <cell r="BI132">
            <v>145</v>
          </cell>
          <cell r="BJ132">
            <v>229601</v>
          </cell>
          <cell r="BK132">
            <v>452</v>
          </cell>
          <cell r="BL132">
            <v>229149</v>
          </cell>
        </row>
        <row r="133">
          <cell r="B133" t="str">
            <v>SYR109</v>
          </cell>
          <cell r="C133">
            <v>33120</v>
          </cell>
          <cell r="D133">
            <v>21390</v>
          </cell>
          <cell r="E133">
            <v>19470</v>
          </cell>
          <cell r="F133">
            <v>7740</v>
          </cell>
          <cell r="G133">
            <v>13650</v>
          </cell>
          <cell r="H133">
            <v>13650</v>
          </cell>
          <cell r="I133">
            <v>975</v>
          </cell>
          <cell r="J133">
            <v>975</v>
          </cell>
          <cell r="K133">
            <v>975</v>
          </cell>
          <cell r="L133">
            <v>0</v>
          </cell>
          <cell r="M133">
            <v>975</v>
          </cell>
          <cell r="N133">
            <v>0</v>
          </cell>
          <cell r="O133">
            <v>12675</v>
          </cell>
          <cell r="P133">
            <v>12675</v>
          </cell>
          <cell r="Q133">
            <v>4000</v>
          </cell>
          <cell r="R133">
            <v>4000</v>
          </cell>
          <cell r="S133">
            <v>8675</v>
          </cell>
          <cell r="T133">
            <v>8675</v>
          </cell>
          <cell r="U133">
            <v>975</v>
          </cell>
          <cell r="V133">
            <v>735</v>
          </cell>
          <cell r="W133">
            <v>15</v>
          </cell>
          <cell r="X133">
            <v>170</v>
          </cell>
          <cell r="Y133">
            <v>55</v>
          </cell>
          <cell r="Z133">
            <v>675</v>
          </cell>
          <cell r="AA133">
            <v>480</v>
          </cell>
          <cell r="AB133">
            <v>195</v>
          </cell>
          <cell r="AC133">
            <v>0</v>
          </cell>
          <cell r="AD133">
            <v>0</v>
          </cell>
          <cell r="AE133">
            <v>0</v>
          </cell>
          <cell r="AF133">
            <v>3840</v>
          </cell>
          <cell r="AG133">
            <v>375</v>
          </cell>
          <cell r="AH133">
            <v>2075</v>
          </cell>
          <cell r="AI133">
            <v>30</v>
          </cell>
          <cell r="AJ133">
            <v>0</v>
          </cell>
          <cell r="AK133">
            <v>1360</v>
          </cell>
          <cell r="AL133">
            <v>0</v>
          </cell>
          <cell r="AM133">
            <v>0</v>
          </cell>
          <cell r="AN133">
            <v>0</v>
          </cell>
          <cell r="AO133">
            <v>3185</v>
          </cell>
          <cell r="AP133">
            <v>30</v>
          </cell>
          <cell r="AQ133">
            <v>75</v>
          </cell>
          <cell r="AR133">
            <v>750</v>
          </cell>
          <cell r="AS133">
            <v>15</v>
          </cell>
          <cell r="AT133">
            <v>465</v>
          </cell>
          <cell r="AU133">
            <v>0</v>
          </cell>
          <cell r="AV133">
            <v>0</v>
          </cell>
          <cell r="AW133">
            <v>0</v>
          </cell>
          <cell r="AX133">
            <v>1675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30</v>
          </cell>
          <cell r="BH133">
            <v>0</v>
          </cell>
          <cell r="BI133">
            <v>145</v>
          </cell>
          <cell r="BJ133">
            <v>207509</v>
          </cell>
          <cell r="BK133">
            <v>422</v>
          </cell>
          <cell r="BL133">
            <v>207087</v>
          </cell>
        </row>
        <row r="134">
          <cell r="B134" t="str">
            <v>SYR110</v>
          </cell>
          <cell r="C134">
            <v>33120</v>
          </cell>
          <cell r="D134">
            <v>21390</v>
          </cell>
          <cell r="E134">
            <v>32190</v>
          </cell>
          <cell r="F134">
            <v>20460</v>
          </cell>
          <cell r="G134">
            <v>930</v>
          </cell>
          <cell r="H134">
            <v>930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930</v>
          </cell>
          <cell r="P134">
            <v>930</v>
          </cell>
          <cell r="Q134">
            <v>430</v>
          </cell>
          <cell r="R134">
            <v>430</v>
          </cell>
          <cell r="S134">
            <v>500</v>
          </cell>
          <cell r="T134">
            <v>500</v>
          </cell>
          <cell r="U134">
            <v>15</v>
          </cell>
          <cell r="V134">
            <v>0</v>
          </cell>
          <cell r="W134">
            <v>0</v>
          </cell>
          <cell r="X134">
            <v>0</v>
          </cell>
          <cell r="Y134">
            <v>15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290</v>
          </cell>
          <cell r="AG134">
            <v>80</v>
          </cell>
          <cell r="AH134">
            <v>180</v>
          </cell>
          <cell r="AI134">
            <v>0</v>
          </cell>
          <cell r="AJ134">
            <v>0</v>
          </cell>
          <cell r="AK134">
            <v>30</v>
          </cell>
          <cell r="AL134">
            <v>0</v>
          </cell>
          <cell r="AM134">
            <v>0</v>
          </cell>
          <cell r="AN134">
            <v>0</v>
          </cell>
          <cell r="AO134">
            <v>195</v>
          </cell>
          <cell r="AP134">
            <v>75</v>
          </cell>
          <cell r="AQ134">
            <v>0</v>
          </cell>
          <cell r="AR134">
            <v>60</v>
          </cell>
          <cell r="AS134">
            <v>15</v>
          </cell>
          <cell r="AT134">
            <v>45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22092</v>
          </cell>
          <cell r="BK134">
            <v>30</v>
          </cell>
          <cell r="BL134">
            <v>22062</v>
          </cell>
        </row>
        <row r="135">
          <cell r="B135" t="str">
            <v>NBL INJ-MIXING</v>
          </cell>
          <cell r="C135">
            <v>33120</v>
          </cell>
          <cell r="D135">
            <v>21390</v>
          </cell>
          <cell r="E135">
            <v>24840</v>
          </cell>
          <cell r="F135">
            <v>13110</v>
          </cell>
          <cell r="G135">
            <v>8280</v>
          </cell>
          <cell r="H135">
            <v>8280</v>
          </cell>
          <cell r="I135">
            <v>30</v>
          </cell>
          <cell r="J135">
            <v>30</v>
          </cell>
          <cell r="K135">
            <v>30</v>
          </cell>
          <cell r="L135">
            <v>30</v>
          </cell>
          <cell r="M135">
            <v>0</v>
          </cell>
          <cell r="N135">
            <v>0</v>
          </cell>
          <cell r="O135">
            <v>8250</v>
          </cell>
          <cell r="P135">
            <v>8250</v>
          </cell>
          <cell r="Q135">
            <v>2331</v>
          </cell>
          <cell r="R135">
            <v>2331</v>
          </cell>
          <cell r="S135">
            <v>5919</v>
          </cell>
          <cell r="T135">
            <v>5919</v>
          </cell>
          <cell r="U135">
            <v>205</v>
          </cell>
          <cell r="V135">
            <v>205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3251</v>
          </cell>
          <cell r="AG135">
            <v>862</v>
          </cell>
          <cell r="AH135">
            <v>1911</v>
          </cell>
          <cell r="AI135">
            <v>0</v>
          </cell>
          <cell r="AJ135">
            <v>478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2463</v>
          </cell>
          <cell r="AP135">
            <v>0</v>
          </cell>
          <cell r="AQ135">
            <v>0</v>
          </cell>
          <cell r="AR135">
            <v>480</v>
          </cell>
          <cell r="AS135">
            <v>0</v>
          </cell>
          <cell r="AT135">
            <v>485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1243</v>
          </cell>
          <cell r="BG135">
            <v>255</v>
          </cell>
          <cell r="BH135">
            <v>0</v>
          </cell>
          <cell r="BI135">
            <v>0</v>
          </cell>
          <cell r="BJ135">
            <v>1364</v>
          </cell>
          <cell r="BK135">
            <v>0</v>
          </cell>
          <cell r="BL135">
            <v>1364</v>
          </cell>
        </row>
        <row r="136">
          <cell r="B136" t="str">
            <v>LMIXINJ1</v>
          </cell>
          <cell r="C136">
            <v>33120</v>
          </cell>
          <cell r="D136">
            <v>21390</v>
          </cell>
          <cell r="E136">
            <v>24840</v>
          </cell>
          <cell r="F136">
            <v>13110</v>
          </cell>
          <cell r="G136">
            <v>8280</v>
          </cell>
          <cell r="H136">
            <v>8280</v>
          </cell>
          <cell r="I136">
            <v>30</v>
          </cell>
          <cell r="J136">
            <v>30</v>
          </cell>
          <cell r="K136">
            <v>30</v>
          </cell>
          <cell r="L136">
            <v>30</v>
          </cell>
          <cell r="M136">
            <v>0</v>
          </cell>
          <cell r="N136">
            <v>0</v>
          </cell>
          <cell r="O136">
            <v>8250</v>
          </cell>
          <cell r="P136">
            <v>8250</v>
          </cell>
          <cell r="Q136">
            <v>2331</v>
          </cell>
          <cell r="R136">
            <v>2331</v>
          </cell>
          <cell r="S136">
            <v>5919</v>
          </cell>
          <cell r="T136">
            <v>5919</v>
          </cell>
          <cell r="U136">
            <v>205</v>
          </cell>
          <cell r="V136">
            <v>205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3251</v>
          </cell>
          <cell r="AG136">
            <v>862</v>
          </cell>
          <cell r="AH136">
            <v>1911</v>
          </cell>
          <cell r="AI136">
            <v>0</v>
          </cell>
          <cell r="AJ136">
            <v>478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2463</v>
          </cell>
          <cell r="AP136">
            <v>0</v>
          </cell>
          <cell r="AQ136">
            <v>0</v>
          </cell>
          <cell r="AR136">
            <v>480</v>
          </cell>
          <cell r="AS136">
            <v>0</v>
          </cell>
          <cell r="AT136">
            <v>485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1243</v>
          </cell>
          <cell r="BG136">
            <v>255</v>
          </cell>
          <cell r="BH136">
            <v>0</v>
          </cell>
          <cell r="BI136">
            <v>0</v>
          </cell>
          <cell r="BJ136">
            <v>1364</v>
          </cell>
          <cell r="BK136">
            <v>0</v>
          </cell>
          <cell r="BL136">
            <v>1364</v>
          </cell>
        </row>
        <row r="137">
          <cell r="B137" t="str">
            <v>NBL INJ-FILLING</v>
          </cell>
          <cell r="C137">
            <v>66240</v>
          </cell>
          <cell r="D137">
            <v>42780</v>
          </cell>
          <cell r="E137">
            <v>36630</v>
          </cell>
          <cell r="F137">
            <v>13170</v>
          </cell>
          <cell r="G137">
            <v>29610</v>
          </cell>
          <cell r="H137">
            <v>29610</v>
          </cell>
          <cell r="I137">
            <v>1840</v>
          </cell>
          <cell r="J137">
            <v>1840</v>
          </cell>
          <cell r="K137">
            <v>1720</v>
          </cell>
          <cell r="L137">
            <v>90</v>
          </cell>
          <cell r="M137">
            <v>1630</v>
          </cell>
          <cell r="N137">
            <v>120</v>
          </cell>
          <cell r="O137">
            <v>27770</v>
          </cell>
          <cell r="P137">
            <v>27770</v>
          </cell>
          <cell r="Q137">
            <v>11017</v>
          </cell>
          <cell r="R137">
            <v>11017</v>
          </cell>
          <cell r="S137">
            <v>16753</v>
          </cell>
          <cell r="T137">
            <v>16753</v>
          </cell>
          <cell r="U137">
            <v>2619</v>
          </cell>
          <cell r="V137">
            <v>2415</v>
          </cell>
          <cell r="W137">
            <v>48</v>
          </cell>
          <cell r="X137">
            <v>156</v>
          </cell>
          <cell r="Y137">
            <v>0</v>
          </cell>
          <cell r="Z137">
            <v>302</v>
          </cell>
          <cell r="AA137">
            <v>42</v>
          </cell>
          <cell r="AB137">
            <v>94</v>
          </cell>
          <cell r="AC137">
            <v>0</v>
          </cell>
          <cell r="AD137">
            <v>71</v>
          </cell>
          <cell r="AE137">
            <v>95</v>
          </cell>
          <cell r="AF137">
            <v>5576</v>
          </cell>
          <cell r="AG137">
            <v>875</v>
          </cell>
          <cell r="AH137">
            <v>4636</v>
          </cell>
          <cell r="AI137">
            <v>65</v>
          </cell>
          <cell r="AJ137">
            <v>0</v>
          </cell>
          <cell r="AK137">
            <v>0</v>
          </cell>
          <cell r="AL137">
            <v>155</v>
          </cell>
          <cell r="AM137">
            <v>155</v>
          </cell>
          <cell r="AN137">
            <v>0</v>
          </cell>
          <cell r="AO137">
            <v>8101</v>
          </cell>
          <cell r="AP137">
            <v>0</v>
          </cell>
          <cell r="AQ137">
            <v>0</v>
          </cell>
          <cell r="AR137">
            <v>1890</v>
          </cell>
          <cell r="AS137">
            <v>0</v>
          </cell>
          <cell r="AT137">
            <v>2030</v>
          </cell>
          <cell r="AU137">
            <v>0</v>
          </cell>
          <cell r="AV137">
            <v>25</v>
          </cell>
          <cell r="AW137">
            <v>0</v>
          </cell>
          <cell r="AX137">
            <v>0</v>
          </cell>
          <cell r="AY137">
            <v>410</v>
          </cell>
          <cell r="AZ137">
            <v>0</v>
          </cell>
          <cell r="BA137">
            <v>0</v>
          </cell>
          <cell r="BB137">
            <v>3474</v>
          </cell>
          <cell r="BC137">
            <v>0</v>
          </cell>
          <cell r="BD137">
            <v>0</v>
          </cell>
          <cell r="BE137">
            <v>0</v>
          </cell>
          <cell r="BF137">
            <v>42</v>
          </cell>
          <cell r="BG137">
            <v>0</v>
          </cell>
          <cell r="BH137">
            <v>230</v>
          </cell>
          <cell r="BI137">
            <v>0</v>
          </cell>
          <cell r="BJ137">
            <v>1183526</v>
          </cell>
          <cell r="BK137">
            <v>126</v>
          </cell>
          <cell r="BL137">
            <v>1183400</v>
          </cell>
        </row>
        <row r="138">
          <cell r="B138" t="str">
            <v>GINLINE3</v>
          </cell>
          <cell r="C138">
            <v>33120</v>
          </cell>
          <cell r="D138">
            <v>21390</v>
          </cell>
          <cell r="E138">
            <v>20940</v>
          </cell>
          <cell r="F138">
            <v>9210</v>
          </cell>
          <cell r="G138">
            <v>12180</v>
          </cell>
          <cell r="H138">
            <v>12180</v>
          </cell>
          <cell r="I138">
            <v>1050</v>
          </cell>
          <cell r="J138">
            <v>1050</v>
          </cell>
          <cell r="K138">
            <v>930</v>
          </cell>
          <cell r="L138">
            <v>10</v>
          </cell>
          <cell r="M138">
            <v>920</v>
          </cell>
          <cell r="N138">
            <v>120</v>
          </cell>
          <cell r="O138">
            <v>11130</v>
          </cell>
          <cell r="P138">
            <v>11130</v>
          </cell>
          <cell r="Q138">
            <v>2920</v>
          </cell>
          <cell r="R138">
            <v>2920</v>
          </cell>
          <cell r="S138">
            <v>8210</v>
          </cell>
          <cell r="T138">
            <v>8210</v>
          </cell>
          <cell r="U138">
            <v>1244</v>
          </cell>
          <cell r="V138">
            <v>1120</v>
          </cell>
          <cell r="W138">
            <v>48</v>
          </cell>
          <cell r="X138">
            <v>76</v>
          </cell>
          <cell r="Y138">
            <v>0</v>
          </cell>
          <cell r="Z138">
            <v>132</v>
          </cell>
          <cell r="AA138">
            <v>0</v>
          </cell>
          <cell r="AB138">
            <v>46</v>
          </cell>
          <cell r="AC138">
            <v>0</v>
          </cell>
          <cell r="AD138">
            <v>71</v>
          </cell>
          <cell r="AE138">
            <v>15</v>
          </cell>
          <cell r="AF138">
            <v>2556</v>
          </cell>
          <cell r="AG138">
            <v>598</v>
          </cell>
          <cell r="AH138">
            <v>1893</v>
          </cell>
          <cell r="AI138">
            <v>65</v>
          </cell>
          <cell r="AJ138">
            <v>0</v>
          </cell>
          <cell r="AK138">
            <v>0</v>
          </cell>
          <cell r="AL138">
            <v>155</v>
          </cell>
          <cell r="AM138">
            <v>155</v>
          </cell>
          <cell r="AN138">
            <v>0</v>
          </cell>
          <cell r="AO138">
            <v>4123</v>
          </cell>
          <cell r="AP138">
            <v>0</v>
          </cell>
          <cell r="AQ138">
            <v>0</v>
          </cell>
          <cell r="AR138">
            <v>750</v>
          </cell>
          <cell r="AS138">
            <v>0</v>
          </cell>
          <cell r="AT138">
            <v>740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240</v>
          </cell>
          <cell r="AZ138">
            <v>0</v>
          </cell>
          <cell r="BA138">
            <v>0</v>
          </cell>
          <cell r="BB138">
            <v>2376</v>
          </cell>
          <cell r="BC138">
            <v>0</v>
          </cell>
          <cell r="BD138">
            <v>0</v>
          </cell>
          <cell r="BE138">
            <v>0</v>
          </cell>
          <cell r="BF138">
            <v>17</v>
          </cell>
          <cell r="BG138">
            <v>0</v>
          </cell>
          <cell r="BH138">
            <v>0</v>
          </cell>
          <cell r="BI138">
            <v>0</v>
          </cell>
          <cell r="BJ138">
            <v>545849</v>
          </cell>
          <cell r="BK138">
            <v>0</v>
          </cell>
          <cell r="BL138">
            <v>545849</v>
          </cell>
        </row>
        <row r="139">
          <cell r="B139" t="str">
            <v>GINLINE4</v>
          </cell>
          <cell r="C139">
            <v>33120</v>
          </cell>
          <cell r="D139">
            <v>21390</v>
          </cell>
          <cell r="E139">
            <v>15690</v>
          </cell>
          <cell r="F139">
            <v>3960</v>
          </cell>
          <cell r="G139">
            <v>17430</v>
          </cell>
          <cell r="H139">
            <v>17430</v>
          </cell>
          <cell r="I139">
            <v>790</v>
          </cell>
          <cell r="J139">
            <v>790</v>
          </cell>
          <cell r="K139">
            <v>790</v>
          </cell>
          <cell r="L139">
            <v>80</v>
          </cell>
          <cell r="M139">
            <v>710</v>
          </cell>
          <cell r="N139">
            <v>0</v>
          </cell>
          <cell r="O139">
            <v>16640</v>
          </cell>
          <cell r="P139">
            <v>16640</v>
          </cell>
          <cell r="Q139">
            <v>8097</v>
          </cell>
          <cell r="R139">
            <v>8097</v>
          </cell>
          <cell r="S139">
            <v>8543</v>
          </cell>
          <cell r="T139">
            <v>8543</v>
          </cell>
          <cell r="U139">
            <v>1375</v>
          </cell>
          <cell r="V139">
            <v>1295</v>
          </cell>
          <cell r="W139">
            <v>0</v>
          </cell>
          <cell r="X139">
            <v>80</v>
          </cell>
          <cell r="Y139">
            <v>0</v>
          </cell>
          <cell r="Z139">
            <v>170</v>
          </cell>
          <cell r="AA139">
            <v>42</v>
          </cell>
          <cell r="AB139">
            <v>48</v>
          </cell>
          <cell r="AC139">
            <v>0</v>
          </cell>
          <cell r="AD139">
            <v>0</v>
          </cell>
          <cell r="AE139">
            <v>80</v>
          </cell>
          <cell r="AF139">
            <v>3020</v>
          </cell>
          <cell r="AG139">
            <v>277</v>
          </cell>
          <cell r="AH139">
            <v>2743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3978</v>
          </cell>
          <cell r="AP139">
            <v>0</v>
          </cell>
          <cell r="AQ139">
            <v>0</v>
          </cell>
          <cell r="AR139">
            <v>1140</v>
          </cell>
          <cell r="AS139">
            <v>0</v>
          </cell>
          <cell r="AT139">
            <v>1290</v>
          </cell>
          <cell r="AU139">
            <v>0</v>
          </cell>
          <cell r="AV139">
            <v>25</v>
          </cell>
          <cell r="AW139">
            <v>0</v>
          </cell>
          <cell r="AX139">
            <v>0</v>
          </cell>
          <cell r="AY139">
            <v>170</v>
          </cell>
          <cell r="AZ139">
            <v>0</v>
          </cell>
          <cell r="BA139">
            <v>0</v>
          </cell>
          <cell r="BB139">
            <v>1098</v>
          </cell>
          <cell r="BC139">
            <v>0</v>
          </cell>
          <cell r="BD139">
            <v>0</v>
          </cell>
          <cell r="BE139">
            <v>0</v>
          </cell>
          <cell r="BF139">
            <v>25</v>
          </cell>
          <cell r="BG139">
            <v>0</v>
          </cell>
          <cell r="BH139">
            <v>230</v>
          </cell>
          <cell r="BI139">
            <v>0</v>
          </cell>
          <cell r="BJ139">
            <v>637677</v>
          </cell>
          <cell r="BK139">
            <v>126</v>
          </cell>
          <cell r="BL139">
            <v>637551</v>
          </cell>
        </row>
        <row r="140">
          <cell r="B140" t="str">
            <v>NBL INJ-STERILIZATION</v>
          </cell>
          <cell r="C140">
            <v>99360</v>
          </cell>
          <cell r="D140">
            <v>64170</v>
          </cell>
          <cell r="E140">
            <v>52319</v>
          </cell>
          <cell r="F140">
            <v>17129</v>
          </cell>
          <cell r="G140">
            <v>47041</v>
          </cell>
          <cell r="H140">
            <v>47041</v>
          </cell>
          <cell r="I140">
            <v>7825</v>
          </cell>
          <cell r="J140">
            <v>7825</v>
          </cell>
          <cell r="K140">
            <v>7805</v>
          </cell>
          <cell r="L140">
            <v>4902</v>
          </cell>
          <cell r="M140">
            <v>2903</v>
          </cell>
          <cell r="N140">
            <v>20</v>
          </cell>
          <cell r="O140">
            <v>39216</v>
          </cell>
          <cell r="P140">
            <v>39216</v>
          </cell>
          <cell r="Q140">
            <v>17391</v>
          </cell>
          <cell r="R140">
            <v>17391</v>
          </cell>
          <cell r="S140">
            <v>21825</v>
          </cell>
          <cell r="T140">
            <v>21825</v>
          </cell>
          <cell r="U140">
            <v>614</v>
          </cell>
          <cell r="V140">
            <v>614</v>
          </cell>
          <cell r="W140">
            <v>0</v>
          </cell>
          <cell r="X140">
            <v>0</v>
          </cell>
          <cell r="Y140">
            <v>0</v>
          </cell>
          <cell r="Z140">
            <v>217</v>
          </cell>
          <cell r="AA140">
            <v>217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9089</v>
          </cell>
          <cell r="AG140">
            <v>7379</v>
          </cell>
          <cell r="AH140">
            <v>1160</v>
          </cell>
          <cell r="AI140">
            <v>60</v>
          </cell>
          <cell r="AJ140">
            <v>0</v>
          </cell>
          <cell r="AK140">
            <v>490</v>
          </cell>
          <cell r="AL140">
            <v>0</v>
          </cell>
          <cell r="AM140">
            <v>0</v>
          </cell>
          <cell r="AN140">
            <v>0</v>
          </cell>
          <cell r="AO140">
            <v>11905</v>
          </cell>
          <cell r="AP140">
            <v>0</v>
          </cell>
          <cell r="AQ140">
            <v>0</v>
          </cell>
          <cell r="AR140">
            <v>1101</v>
          </cell>
          <cell r="AS140">
            <v>60</v>
          </cell>
          <cell r="AT140">
            <v>793</v>
          </cell>
          <cell r="AU140">
            <v>1533</v>
          </cell>
          <cell r="AV140">
            <v>0</v>
          </cell>
          <cell r="AW140">
            <v>0</v>
          </cell>
          <cell r="AX140">
            <v>8187</v>
          </cell>
          <cell r="AY140">
            <v>231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1293</v>
          </cell>
          <cell r="BK140">
            <v>0</v>
          </cell>
          <cell r="BL140">
            <v>1293</v>
          </cell>
        </row>
        <row r="141">
          <cell r="B141" t="str">
            <v>INJ105</v>
          </cell>
          <cell r="C141">
            <v>33120</v>
          </cell>
          <cell r="D141">
            <v>21390</v>
          </cell>
          <cell r="E141">
            <v>14104</v>
          </cell>
          <cell r="F141">
            <v>2374</v>
          </cell>
          <cell r="G141">
            <v>19016</v>
          </cell>
          <cell r="H141">
            <v>19016</v>
          </cell>
          <cell r="I141">
            <v>5577</v>
          </cell>
          <cell r="J141">
            <v>5577</v>
          </cell>
          <cell r="K141">
            <v>5577</v>
          </cell>
          <cell r="L141">
            <v>4460</v>
          </cell>
          <cell r="M141">
            <v>1117</v>
          </cell>
          <cell r="N141">
            <v>0</v>
          </cell>
          <cell r="O141">
            <v>13439</v>
          </cell>
          <cell r="P141">
            <v>13439</v>
          </cell>
          <cell r="Q141">
            <v>5968</v>
          </cell>
          <cell r="R141">
            <v>5968</v>
          </cell>
          <cell r="S141">
            <v>7471</v>
          </cell>
          <cell r="T141">
            <v>7471</v>
          </cell>
          <cell r="U141">
            <v>165</v>
          </cell>
          <cell r="V141">
            <v>165</v>
          </cell>
          <cell r="W141">
            <v>0</v>
          </cell>
          <cell r="X141">
            <v>0</v>
          </cell>
          <cell r="Y141">
            <v>0</v>
          </cell>
          <cell r="Z141">
            <v>217</v>
          </cell>
          <cell r="AA141">
            <v>217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1726</v>
          </cell>
          <cell r="AG141">
            <v>1129</v>
          </cell>
          <cell r="AH141">
            <v>477</v>
          </cell>
          <cell r="AI141">
            <v>0</v>
          </cell>
          <cell r="AJ141">
            <v>0</v>
          </cell>
          <cell r="AK141">
            <v>120</v>
          </cell>
          <cell r="AL141">
            <v>0</v>
          </cell>
          <cell r="AM141">
            <v>0</v>
          </cell>
          <cell r="AN141">
            <v>0</v>
          </cell>
          <cell r="AO141">
            <v>5363</v>
          </cell>
          <cell r="AP141">
            <v>0</v>
          </cell>
          <cell r="AQ141">
            <v>0</v>
          </cell>
          <cell r="AR141">
            <v>271</v>
          </cell>
          <cell r="AS141">
            <v>0</v>
          </cell>
          <cell r="AT141">
            <v>170</v>
          </cell>
          <cell r="AU141">
            <v>0</v>
          </cell>
          <cell r="AV141">
            <v>0</v>
          </cell>
          <cell r="AW141">
            <v>0</v>
          </cell>
          <cell r="AX141">
            <v>4907</v>
          </cell>
          <cell r="AY141">
            <v>15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551</v>
          </cell>
          <cell r="BK141">
            <v>0</v>
          </cell>
          <cell r="BL141">
            <v>551</v>
          </cell>
        </row>
        <row r="142">
          <cell r="B142" t="str">
            <v>INJ106</v>
          </cell>
          <cell r="C142">
            <v>33120</v>
          </cell>
          <cell r="D142">
            <v>21390</v>
          </cell>
          <cell r="E142">
            <v>15367</v>
          </cell>
          <cell r="F142">
            <v>3637</v>
          </cell>
          <cell r="G142">
            <v>17753</v>
          </cell>
          <cell r="H142">
            <v>17753</v>
          </cell>
          <cell r="I142">
            <v>973</v>
          </cell>
          <cell r="J142">
            <v>973</v>
          </cell>
          <cell r="K142">
            <v>973</v>
          </cell>
          <cell r="L142">
            <v>442</v>
          </cell>
          <cell r="M142">
            <v>531</v>
          </cell>
          <cell r="N142">
            <v>0</v>
          </cell>
          <cell r="O142">
            <v>16780</v>
          </cell>
          <cell r="P142">
            <v>16780</v>
          </cell>
          <cell r="Q142">
            <v>10205</v>
          </cell>
          <cell r="R142">
            <v>10205</v>
          </cell>
          <cell r="S142">
            <v>6575</v>
          </cell>
          <cell r="T142">
            <v>6575</v>
          </cell>
          <cell r="U142">
            <v>62</v>
          </cell>
          <cell r="V142">
            <v>62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5707</v>
          </cell>
          <cell r="AG142">
            <v>5364</v>
          </cell>
          <cell r="AH142">
            <v>223</v>
          </cell>
          <cell r="AI142">
            <v>0</v>
          </cell>
          <cell r="AJ142">
            <v>0</v>
          </cell>
          <cell r="AK142">
            <v>120</v>
          </cell>
          <cell r="AL142">
            <v>0</v>
          </cell>
          <cell r="AM142">
            <v>0</v>
          </cell>
          <cell r="AN142">
            <v>0</v>
          </cell>
          <cell r="AO142">
            <v>806</v>
          </cell>
          <cell r="AP142">
            <v>0</v>
          </cell>
          <cell r="AQ142">
            <v>0</v>
          </cell>
          <cell r="AR142">
            <v>360</v>
          </cell>
          <cell r="AS142">
            <v>0</v>
          </cell>
          <cell r="AT142">
            <v>280</v>
          </cell>
          <cell r="AU142">
            <v>0</v>
          </cell>
          <cell r="AV142">
            <v>0</v>
          </cell>
          <cell r="AW142">
            <v>0</v>
          </cell>
          <cell r="AX142">
            <v>155</v>
          </cell>
          <cell r="AY142">
            <v>11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717</v>
          </cell>
          <cell r="BK142">
            <v>0</v>
          </cell>
          <cell r="BL142">
            <v>717</v>
          </cell>
        </row>
        <row r="143">
          <cell r="B143" t="str">
            <v>INJ107</v>
          </cell>
          <cell r="C143">
            <v>33120</v>
          </cell>
          <cell r="D143">
            <v>21390</v>
          </cell>
          <cell r="E143">
            <v>22848</v>
          </cell>
          <cell r="F143">
            <v>11118</v>
          </cell>
          <cell r="G143">
            <v>10272</v>
          </cell>
          <cell r="H143">
            <v>10272</v>
          </cell>
          <cell r="I143">
            <v>1275</v>
          </cell>
          <cell r="J143">
            <v>1275</v>
          </cell>
          <cell r="K143">
            <v>1255</v>
          </cell>
          <cell r="L143">
            <v>0</v>
          </cell>
          <cell r="M143">
            <v>1255</v>
          </cell>
          <cell r="N143">
            <v>20</v>
          </cell>
          <cell r="O143">
            <v>8997</v>
          </cell>
          <cell r="P143">
            <v>8997</v>
          </cell>
          <cell r="Q143">
            <v>1218</v>
          </cell>
          <cell r="R143">
            <v>1218</v>
          </cell>
          <cell r="S143">
            <v>7779</v>
          </cell>
          <cell r="T143">
            <v>7779</v>
          </cell>
          <cell r="U143">
            <v>387</v>
          </cell>
          <cell r="V143">
            <v>387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1656</v>
          </cell>
          <cell r="AG143">
            <v>886</v>
          </cell>
          <cell r="AH143">
            <v>460</v>
          </cell>
          <cell r="AI143">
            <v>60</v>
          </cell>
          <cell r="AJ143">
            <v>0</v>
          </cell>
          <cell r="AK143">
            <v>250</v>
          </cell>
          <cell r="AL143">
            <v>0</v>
          </cell>
          <cell r="AM143">
            <v>0</v>
          </cell>
          <cell r="AN143">
            <v>0</v>
          </cell>
          <cell r="AO143">
            <v>5736</v>
          </cell>
          <cell r="AP143">
            <v>0</v>
          </cell>
          <cell r="AQ143">
            <v>0</v>
          </cell>
          <cell r="AR143">
            <v>470</v>
          </cell>
          <cell r="AS143">
            <v>60</v>
          </cell>
          <cell r="AT143">
            <v>343</v>
          </cell>
          <cell r="AU143">
            <v>1533</v>
          </cell>
          <cell r="AV143">
            <v>0</v>
          </cell>
          <cell r="AW143">
            <v>0</v>
          </cell>
          <cell r="AX143">
            <v>3125</v>
          </cell>
          <cell r="AY143">
            <v>205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25</v>
          </cell>
          <cell r="BK143">
            <v>0</v>
          </cell>
          <cell r="BL143">
            <v>25</v>
          </cell>
        </row>
        <row r="144">
          <cell r="B144" t="str">
            <v>NBL SECONDARY PACKING</v>
          </cell>
          <cell r="C144">
            <v>198720</v>
          </cell>
          <cell r="D144">
            <v>76590</v>
          </cell>
          <cell r="E144">
            <v>137640</v>
          </cell>
          <cell r="F144">
            <v>15510</v>
          </cell>
          <cell r="G144">
            <v>61080</v>
          </cell>
          <cell r="H144">
            <v>61080</v>
          </cell>
          <cell r="I144">
            <v>4905</v>
          </cell>
          <cell r="J144">
            <v>4905</v>
          </cell>
          <cell r="K144">
            <v>4905</v>
          </cell>
          <cell r="L144">
            <v>1955</v>
          </cell>
          <cell r="M144">
            <v>2950</v>
          </cell>
          <cell r="N144">
            <v>0</v>
          </cell>
          <cell r="O144">
            <v>56175</v>
          </cell>
          <cell r="P144">
            <v>56175</v>
          </cell>
          <cell r="Q144">
            <v>35651</v>
          </cell>
          <cell r="R144">
            <v>35651</v>
          </cell>
          <cell r="S144">
            <v>20524</v>
          </cell>
          <cell r="T144">
            <v>20524</v>
          </cell>
          <cell r="U144">
            <v>4238</v>
          </cell>
          <cell r="V144">
            <v>2342</v>
          </cell>
          <cell r="W144">
            <v>216</v>
          </cell>
          <cell r="X144">
            <v>432</v>
          </cell>
          <cell r="Y144">
            <v>1248</v>
          </cell>
          <cell r="Z144">
            <v>398</v>
          </cell>
          <cell r="AA144">
            <v>100</v>
          </cell>
          <cell r="AB144">
            <v>298</v>
          </cell>
          <cell r="AC144">
            <v>0</v>
          </cell>
          <cell r="AD144">
            <v>0</v>
          </cell>
          <cell r="AE144">
            <v>0</v>
          </cell>
          <cell r="AF144">
            <v>4376</v>
          </cell>
          <cell r="AG144">
            <v>2067</v>
          </cell>
          <cell r="AH144">
            <v>2104</v>
          </cell>
          <cell r="AI144">
            <v>0</v>
          </cell>
          <cell r="AJ144">
            <v>0</v>
          </cell>
          <cell r="AK144">
            <v>205</v>
          </cell>
          <cell r="AL144">
            <v>0</v>
          </cell>
          <cell r="AM144">
            <v>0</v>
          </cell>
          <cell r="AN144">
            <v>0</v>
          </cell>
          <cell r="AO144">
            <v>11512</v>
          </cell>
          <cell r="AP144">
            <v>0</v>
          </cell>
          <cell r="AQ144">
            <v>25</v>
          </cell>
          <cell r="AR144">
            <v>3450</v>
          </cell>
          <cell r="AS144">
            <v>0</v>
          </cell>
          <cell r="AT144">
            <v>2295</v>
          </cell>
          <cell r="AU144">
            <v>1100</v>
          </cell>
          <cell r="AV144">
            <v>10</v>
          </cell>
          <cell r="AW144">
            <v>0</v>
          </cell>
          <cell r="AX144">
            <v>1570</v>
          </cell>
          <cell r="AY144">
            <v>925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2137</v>
          </cell>
          <cell r="BG144">
            <v>0</v>
          </cell>
          <cell r="BH144">
            <v>0</v>
          </cell>
          <cell r="BI144">
            <v>0</v>
          </cell>
          <cell r="BJ144">
            <v>1942272</v>
          </cell>
          <cell r="BK144">
            <v>36</v>
          </cell>
          <cell r="BL144">
            <v>1942236</v>
          </cell>
        </row>
        <row r="145">
          <cell r="B145" t="str">
            <v>PAK101</v>
          </cell>
          <cell r="C145">
            <v>33120</v>
          </cell>
          <cell r="D145">
            <v>11040</v>
          </cell>
          <cell r="E145">
            <v>15930</v>
          </cell>
          <cell r="F145">
            <v>-6150</v>
          </cell>
          <cell r="G145">
            <v>17190</v>
          </cell>
          <cell r="H145">
            <v>17190</v>
          </cell>
          <cell r="I145">
            <v>345</v>
          </cell>
          <cell r="J145">
            <v>345</v>
          </cell>
          <cell r="K145">
            <v>345</v>
          </cell>
          <cell r="L145">
            <v>345</v>
          </cell>
          <cell r="M145">
            <v>0</v>
          </cell>
          <cell r="N145">
            <v>0</v>
          </cell>
          <cell r="O145">
            <v>16845</v>
          </cell>
          <cell r="P145">
            <v>16845</v>
          </cell>
          <cell r="Q145">
            <v>12513</v>
          </cell>
          <cell r="R145">
            <v>12513</v>
          </cell>
          <cell r="S145">
            <v>4332</v>
          </cell>
          <cell r="T145">
            <v>4332</v>
          </cell>
          <cell r="U145">
            <v>355</v>
          </cell>
          <cell r="V145">
            <v>355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1150</v>
          </cell>
          <cell r="AG145">
            <v>382</v>
          </cell>
          <cell r="AH145">
            <v>738</v>
          </cell>
          <cell r="AI145">
            <v>0</v>
          </cell>
          <cell r="AJ145">
            <v>0</v>
          </cell>
          <cell r="AK145">
            <v>30</v>
          </cell>
          <cell r="AL145">
            <v>0</v>
          </cell>
          <cell r="AM145">
            <v>0</v>
          </cell>
          <cell r="AN145">
            <v>0</v>
          </cell>
          <cell r="AO145">
            <v>2827</v>
          </cell>
          <cell r="AP145">
            <v>0</v>
          </cell>
          <cell r="AQ145">
            <v>0</v>
          </cell>
          <cell r="AR145">
            <v>1080</v>
          </cell>
          <cell r="AS145">
            <v>0</v>
          </cell>
          <cell r="AT145">
            <v>735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290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722</v>
          </cell>
          <cell r="BG145">
            <v>0</v>
          </cell>
          <cell r="BH145">
            <v>0</v>
          </cell>
          <cell r="BI145">
            <v>0</v>
          </cell>
          <cell r="BJ145">
            <v>488262</v>
          </cell>
          <cell r="BK145">
            <v>0</v>
          </cell>
          <cell r="BL145">
            <v>488262</v>
          </cell>
        </row>
        <row r="146">
          <cell r="B146" t="str">
            <v>PAK103</v>
          </cell>
          <cell r="C146">
            <v>33120</v>
          </cell>
          <cell r="D146">
            <v>11040</v>
          </cell>
          <cell r="E146">
            <v>15510</v>
          </cell>
          <cell r="F146">
            <v>-6570</v>
          </cell>
          <cell r="G146">
            <v>17610</v>
          </cell>
          <cell r="H146">
            <v>17610</v>
          </cell>
          <cell r="I146">
            <v>360</v>
          </cell>
          <cell r="J146">
            <v>360</v>
          </cell>
          <cell r="K146">
            <v>360</v>
          </cell>
          <cell r="L146">
            <v>360</v>
          </cell>
          <cell r="M146">
            <v>0</v>
          </cell>
          <cell r="N146">
            <v>0</v>
          </cell>
          <cell r="O146">
            <v>17250</v>
          </cell>
          <cell r="P146">
            <v>17250</v>
          </cell>
          <cell r="Q146">
            <v>13040</v>
          </cell>
          <cell r="R146">
            <v>13040</v>
          </cell>
          <cell r="S146">
            <v>4210</v>
          </cell>
          <cell r="T146">
            <v>4210</v>
          </cell>
          <cell r="U146">
            <v>257</v>
          </cell>
          <cell r="V146">
            <v>247</v>
          </cell>
          <cell r="W146">
            <v>0</v>
          </cell>
          <cell r="X146">
            <v>10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975</v>
          </cell>
          <cell r="AG146">
            <v>331</v>
          </cell>
          <cell r="AH146">
            <v>614</v>
          </cell>
          <cell r="AI146">
            <v>0</v>
          </cell>
          <cell r="AJ146">
            <v>0</v>
          </cell>
          <cell r="AK146">
            <v>30</v>
          </cell>
          <cell r="AL146">
            <v>0</v>
          </cell>
          <cell r="AM146">
            <v>0</v>
          </cell>
          <cell r="AN146">
            <v>0</v>
          </cell>
          <cell r="AO146">
            <v>2978</v>
          </cell>
          <cell r="AP146">
            <v>0</v>
          </cell>
          <cell r="AQ146">
            <v>25</v>
          </cell>
          <cell r="AR146">
            <v>1110</v>
          </cell>
          <cell r="AS146">
            <v>0</v>
          </cell>
          <cell r="AT146">
            <v>765</v>
          </cell>
          <cell r="AU146">
            <v>70</v>
          </cell>
          <cell r="AV146">
            <v>0</v>
          </cell>
          <cell r="AW146">
            <v>0</v>
          </cell>
          <cell r="AX146">
            <v>0</v>
          </cell>
          <cell r="AY146">
            <v>221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787</v>
          </cell>
          <cell r="BG146">
            <v>0</v>
          </cell>
          <cell r="BH146">
            <v>0</v>
          </cell>
          <cell r="BI146">
            <v>0</v>
          </cell>
          <cell r="BJ146">
            <v>720757</v>
          </cell>
          <cell r="BK146">
            <v>0</v>
          </cell>
          <cell r="BL146">
            <v>720757</v>
          </cell>
        </row>
        <row r="147">
          <cell r="B147" t="str">
            <v>PAK105</v>
          </cell>
          <cell r="C147">
            <v>33120</v>
          </cell>
          <cell r="D147">
            <v>21390</v>
          </cell>
          <cell r="E147">
            <v>18240</v>
          </cell>
          <cell r="F147">
            <v>6510</v>
          </cell>
          <cell r="G147">
            <v>14880</v>
          </cell>
          <cell r="H147">
            <v>14880</v>
          </cell>
          <cell r="I147">
            <v>2680</v>
          </cell>
          <cell r="J147">
            <v>2680</v>
          </cell>
          <cell r="K147">
            <v>2680</v>
          </cell>
          <cell r="L147">
            <v>605</v>
          </cell>
          <cell r="M147">
            <v>2075</v>
          </cell>
          <cell r="N147">
            <v>0</v>
          </cell>
          <cell r="O147">
            <v>12200</v>
          </cell>
          <cell r="P147">
            <v>12200</v>
          </cell>
          <cell r="Q147">
            <v>5580</v>
          </cell>
          <cell r="R147">
            <v>5580</v>
          </cell>
          <cell r="S147">
            <v>6620</v>
          </cell>
          <cell r="T147">
            <v>6620</v>
          </cell>
          <cell r="U147">
            <v>1675</v>
          </cell>
          <cell r="V147">
            <v>900</v>
          </cell>
          <cell r="W147">
            <v>60</v>
          </cell>
          <cell r="X147">
            <v>195</v>
          </cell>
          <cell r="Y147">
            <v>520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870</v>
          </cell>
          <cell r="AG147">
            <v>500</v>
          </cell>
          <cell r="AH147">
            <v>370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4075</v>
          </cell>
          <cell r="AP147">
            <v>0</v>
          </cell>
          <cell r="AQ147">
            <v>0</v>
          </cell>
          <cell r="AR147">
            <v>660</v>
          </cell>
          <cell r="AS147">
            <v>0</v>
          </cell>
          <cell r="AT147">
            <v>390</v>
          </cell>
          <cell r="AU147">
            <v>1030</v>
          </cell>
          <cell r="AV147">
            <v>0</v>
          </cell>
          <cell r="AW147">
            <v>0</v>
          </cell>
          <cell r="AX147">
            <v>1560</v>
          </cell>
          <cell r="AY147">
            <v>215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220</v>
          </cell>
          <cell r="BG147">
            <v>0</v>
          </cell>
          <cell r="BH147">
            <v>0</v>
          </cell>
          <cell r="BI147">
            <v>0</v>
          </cell>
          <cell r="BJ147">
            <v>264749</v>
          </cell>
          <cell r="BK147">
            <v>0</v>
          </cell>
          <cell r="BL147">
            <v>264749</v>
          </cell>
        </row>
        <row r="148">
          <cell r="B148" t="str">
            <v>PAK102</v>
          </cell>
          <cell r="C148">
            <v>33120</v>
          </cell>
          <cell r="D148">
            <v>11040</v>
          </cell>
          <cell r="E148">
            <v>33120</v>
          </cell>
          <cell r="F148">
            <v>11040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/>
          <cell r="R148"/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</row>
        <row r="149">
          <cell r="B149" t="str">
            <v>PAK104</v>
          </cell>
          <cell r="C149">
            <v>33120</v>
          </cell>
          <cell r="D149">
            <v>11040</v>
          </cell>
          <cell r="E149">
            <v>32610</v>
          </cell>
          <cell r="F149">
            <v>10530</v>
          </cell>
          <cell r="G149">
            <v>510</v>
          </cell>
          <cell r="H149">
            <v>510</v>
          </cell>
          <cell r="I149">
            <v>300</v>
          </cell>
          <cell r="J149">
            <v>300</v>
          </cell>
          <cell r="K149">
            <v>300</v>
          </cell>
          <cell r="L149">
            <v>0</v>
          </cell>
          <cell r="M149">
            <v>300</v>
          </cell>
          <cell r="N149">
            <v>0</v>
          </cell>
          <cell r="O149">
            <v>210</v>
          </cell>
          <cell r="P149">
            <v>210</v>
          </cell>
          <cell r="Q149">
            <v>50</v>
          </cell>
          <cell r="R149">
            <v>50</v>
          </cell>
          <cell r="S149">
            <v>160</v>
          </cell>
          <cell r="T149">
            <v>160</v>
          </cell>
          <cell r="U149">
            <v>25</v>
          </cell>
          <cell r="V149">
            <v>25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120</v>
          </cell>
          <cell r="AG149">
            <v>40</v>
          </cell>
          <cell r="AH149">
            <v>65</v>
          </cell>
          <cell r="AI149">
            <v>0</v>
          </cell>
          <cell r="AJ149">
            <v>0</v>
          </cell>
          <cell r="AK149">
            <v>15</v>
          </cell>
          <cell r="AL149">
            <v>0</v>
          </cell>
          <cell r="AM149">
            <v>0</v>
          </cell>
          <cell r="AN149">
            <v>0</v>
          </cell>
          <cell r="AO149">
            <v>15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10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5</v>
          </cell>
          <cell r="BG149">
            <v>0</v>
          </cell>
          <cell r="BH149">
            <v>0</v>
          </cell>
          <cell r="BI149">
            <v>0</v>
          </cell>
          <cell r="BJ149">
            <v>1555</v>
          </cell>
          <cell r="BK149">
            <v>0</v>
          </cell>
          <cell r="BL149">
            <v>1555</v>
          </cell>
        </row>
        <row r="150">
          <cell r="B150" t="str">
            <v>PAK111</v>
          </cell>
          <cell r="C150">
            <v>33120</v>
          </cell>
          <cell r="D150">
            <v>11040</v>
          </cell>
          <cell r="E150">
            <v>22230</v>
          </cell>
          <cell r="F150">
            <v>150</v>
          </cell>
          <cell r="G150">
            <v>10890</v>
          </cell>
          <cell r="H150">
            <v>10890</v>
          </cell>
          <cell r="I150">
            <v>1220</v>
          </cell>
          <cell r="J150">
            <v>1220</v>
          </cell>
          <cell r="K150">
            <v>1220</v>
          </cell>
          <cell r="L150">
            <v>645</v>
          </cell>
          <cell r="M150">
            <v>575</v>
          </cell>
          <cell r="N150">
            <v>0</v>
          </cell>
          <cell r="O150">
            <v>9670</v>
          </cell>
          <cell r="P150">
            <v>9670</v>
          </cell>
          <cell r="Q150">
            <v>4468</v>
          </cell>
          <cell r="R150">
            <v>4468</v>
          </cell>
          <cell r="S150">
            <v>5202</v>
          </cell>
          <cell r="T150">
            <v>5202</v>
          </cell>
          <cell r="U150">
            <v>1926</v>
          </cell>
          <cell r="V150">
            <v>815</v>
          </cell>
          <cell r="W150">
            <v>156</v>
          </cell>
          <cell r="X150">
            <v>227</v>
          </cell>
          <cell r="Y150">
            <v>728</v>
          </cell>
          <cell r="Z150">
            <v>398</v>
          </cell>
          <cell r="AA150">
            <v>100</v>
          </cell>
          <cell r="AB150">
            <v>298</v>
          </cell>
          <cell r="AC150">
            <v>0</v>
          </cell>
          <cell r="AD150">
            <v>0</v>
          </cell>
          <cell r="AE150">
            <v>0</v>
          </cell>
          <cell r="AF150">
            <v>1261</v>
          </cell>
          <cell r="AG150">
            <v>814</v>
          </cell>
          <cell r="AH150">
            <v>317</v>
          </cell>
          <cell r="AI150">
            <v>0</v>
          </cell>
          <cell r="AJ150">
            <v>0</v>
          </cell>
          <cell r="AK150">
            <v>130</v>
          </cell>
          <cell r="AL150">
            <v>0</v>
          </cell>
          <cell r="AM150">
            <v>0</v>
          </cell>
          <cell r="AN150">
            <v>0</v>
          </cell>
          <cell r="AO150">
            <v>1617</v>
          </cell>
          <cell r="AP150">
            <v>0</v>
          </cell>
          <cell r="AQ150">
            <v>0</v>
          </cell>
          <cell r="AR150">
            <v>600</v>
          </cell>
          <cell r="AS150">
            <v>0</v>
          </cell>
          <cell r="AT150">
            <v>405</v>
          </cell>
          <cell r="AU150">
            <v>0</v>
          </cell>
          <cell r="AV150">
            <v>10</v>
          </cell>
          <cell r="AW150">
            <v>0</v>
          </cell>
          <cell r="AX150">
            <v>10</v>
          </cell>
          <cell r="AY150">
            <v>189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403</v>
          </cell>
          <cell r="BG150">
            <v>0</v>
          </cell>
          <cell r="BH150">
            <v>0</v>
          </cell>
          <cell r="BI150">
            <v>0</v>
          </cell>
          <cell r="BJ150">
            <v>466949</v>
          </cell>
          <cell r="BK150">
            <v>36</v>
          </cell>
          <cell r="BL150">
            <v>466913</v>
          </cell>
        </row>
        <row r="151">
          <cell r="B151" t="str">
            <v>CPH SOL-MIXING</v>
          </cell>
          <cell r="C151">
            <v>33120</v>
          </cell>
          <cell r="D151">
            <v>11040</v>
          </cell>
          <cell r="E151">
            <v>32610</v>
          </cell>
          <cell r="F151">
            <v>10530</v>
          </cell>
          <cell r="G151">
            <v>510</v>
          </cell>
          <cell r="H151">
            <v>510</v>
          </cell>
          <cell r="I151">
            <v>90</v>
          </cell>
          <cell r="J151">
            <v>90</v>
          </cell>
          <cell r="K151">
            <v>90</v>
          </cell>
          <cell r="L151">
            <v>0</v>
          </cell>
          <cell r="M151">
            <v>90</v>
          </cell>
          <cell r="N151">
            <v>0</v>
          </cell>
          <cell r="O151">
            <v>420</v>
          </cell>
          <cell r="P151">
            <v>420</v>
          </cell>
          <cell r="Q151">
            <v>24</v>
          </cell>
          <cell r="R151">
            <v>24</v>
          </cell>
          <cell r="S151">
            <v>396</v>
          </cell>
          <cell r="T151">
            <v>396</v>
          </cell>
          <cell r="U151">
            <v>36</v>
          </cell>
          <cell r="V151">
            <v>18</v>
          </cell>
          <cell r="W151">
            <v>18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253</v>
          </cell>
          <cell r="AG151">
            <v>170</v>
          </cell>
          <cell r="AH151">
            <v>73</v>
          </cell>
          <cell r="AI151">
            <v>0</v>
          </cell>
          <cell r="AJ151">
            <v>0</v>
          </cell>
          <cell r="AK151">
            <v>10</v>
          </cell>
          <cell r="AL151">
            <v>52</v>
          </cell>
          <cell r="AM151">
            <v>0</v>
          </cell>
          <cell r="AN151">
            <v>52</v>
          </cell>
          <cell r="AO151">
            <v>55</v>
          </cell>
          <cell r="AP151">
            <v>0</v>
          </cell>
          <cell r="AQ151">
            <v>0</v>
          </cell>
          <cell r="AR151">
            <v>30</v>
          </cell>
          <cell r="AS151">
            <v>0</v>
          </cell>
          <cell r="AT151">
            <v>15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10</v>
          </cell>
          <cell r="BG151">
            <v>0</v>
          </cell>
          <cell r="BH151">
            <v>0</v>
          </cell>
          <cell r="BI151">
            <v>0</v>
          </cell>
          <cell r="BJ151">
            <v>302.75</v>
          </cell>
          <cell r="BK151">
            <v>0.18</v>
          </cell>
          <cell r="BL151">
            <v>302.57</v>
          </cell>
        </row>
        <row r="152">
          <cell r="B152" t="str">
            <v>MCF101</v>
          </cell>
          <cell r="C152">
            <v>33120</v>
          </cell>
          <cell r="D152">
            <v>11040</v>
          </cell>
          <cell r="E152">
            <v>32610</v>
          </cell>
          <cell r="F152">
            <v>10530</v>
          </cell>
          <cell r="G152">
            <v>510</v>
          </cell>
          <cell r="H152">
            <v>510</v>
          </cell>
          <cell r="I152">
            <v>90</v>
          </cell>
          <cell r="J152">
            <v>90</v>
          </cell>
          <cell r="K152">
            <v>90</v>
          </cell>
          <cell r="L152">
            <v>0</v>
          </cell>
          <cell r="M152">
            <v>90</v>
          </cell>
          <cell r="N152">
            <v>0</v>
          </cell>
          <cell r="O152">
            <v>420</v>
          </cell>
          <cell r="P152">
            <v>420</v>
          </cell>
          <cell r="Q152">
            <v>24</v>
          </cell>
          <cell r="R152">
            <v>24</v>
          </cell>
          <cell r="S152">
            <v>396</v>
          </cell>
          <cell r="T152">
            <v>396</v>
          </cell>
          <cell r="U152">
            <v>36</v>
          </cell>
          <cell r="V152">
            <v>18</v>
          </cell>
          <cell r="W152">
            <v>18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253</v>
          </cell>
          <cell r="AG152">
            <v>170</v>
          </cell>
          <cell r="AH152">
            <v>73</v>
          </cell>
          <cell r="AI152">
            <v>0</v>
          </cell>
          <cell r="AJ152">
            <v>0</v>
          </cell>
          <cell r="AK152">
            <v>10</v>
          </cell>
          <cell r="AL152">
            <v>52</v>
          </cell>
          <cell r="AM152">
            <v>0</v>
          </cell>
          <cell r="AN152">
            <v>52</v>
          </cell>
          <cell r="AO152">
            <v>55</v>
          </cell>
          <cell r="AP152">
            <v>0</v>
          </cell>
          <cell r="AQ152">
            <v>0</v>
          </cell>
          <cell r="AR152">
            <v>30</v>
          </cell>
          <cell r="AS152">
            <v>0</v>
          </cell>
          <cell r="AT152">
            <v>15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10</v>
          </cell>
          <cell r="BG152">
            <v>0</v>
          </cell>
          <cell r="BH152">
            <v>0</v>
          </cell>
          <cell r="BI152">
            <v>0</v>
          </cell>
          <cell r="BJ152">
            <v>302.75</v>
          </cell>
          <cell r="BK152">
            <v>0.18</v>
          </cell>
          <cell r="BL152">
            <v>302.57</v>
          </cell>
        </row>
        <row r="153">
          <cell r="B153" t="str">
            <v>CPH SOL-CAPSULE</v>
          </cell>
          <cell r="C153">
            <v>33120</v>
          </cell>
          <cell r="D153">
            <v>11040</v>
          </cell>
          <cell r="E153">
            <v>31590</v>
          </cell>
          <cell r="F153">
            <v>9510</v>
          </cell>
          <cell r="G153">
            <v>1530</v>
          </cell>
          <cell r="H153">
            <v>1530</v>
          </cell>
          <cell r="I153">
            <v>30</v>
          </cell>
          <cell r="J153">
            <v>30</v>
          </cell>
          <cell r="K153">
            <v>30</v>
          </cell>
          <cell r="L153">
            <v>30</v>
          </cell>
          <cell r="M153">
            <v>0</v>
          </cell>
          <cell r="N153">
            <v>0</v>
          </cell>
          <cell r="O153">
            <v>1500</v>
          </cell>
          <cell r="P153">
            <v>1500</v>
          </cell>
          <cell r="Q153">
            <v>385</v>
          </cell>
          <cell r="R153">
            <v>385</v>
          </cell>
          <cell r="S153">
            <v>1115</v>
          </cell>
          <cell r="T153">
            <v>1115</v>
          </cell>
          <cell r="U153">
            <v>275</v>
          </cell>
          <cell r="V153">
            <v>200</v>
          </cell>
          <cell r="W153">
            <v>0</v>
          </cell>
          <cell r="X153">
            <v>75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530</v>
          </cell>
          <cell r="AG153">
            <v>100</v>
          </cell>
          <cell r="AH153">
            <v>75</v>
          </cell>
          <cell r="AI153">
            <v>95</v>
          </cell>
          <cell r="AJ153">
            <v>0</v>
          </cell>
          <cell r="AK153">
            <v>260</v>
          </cell>
          <cell r="AL153">
            <v>0</v>
          </cell>
          <cell r="AM153">
            <v>0</v>
          </cell>
          <cell r="AN153">
            <v>0</v>
          </cell>
          <cell r="AO153">
            <v>310</v>
          </cell>
          <cell r="AP153">
            <v>0</v>
          </cell>
          <cell r="AQ153">
            <v>0</v>
          </cell>
          <cell r="AR153">
            <v>90</v>
          </cell>
          <cell r="AS153">
            <v>0</v>
          </cell>
          <cell r="AT153">
            <v>75</v>
          </cell>
          <cell r="AU153">
            <v>0</v>
          </cell>
          <cell r="AV153">
            <v>0</v>
          </cell>
          <cell r="AW153">
            <v>30</v>
          </cell>
          <cell r="AX153">
            <v>0</v>
          </cell>
          <cell r="AY153">
            <v>40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25</v>
          </cell>
          <cell r="BG153">
            <v>0</v>
          </cell>
          <cell r="BH153">
            <v>0</v>
          </cell>
          <cell r="BI153">
            <v>50</v>
          </cell>
          <cell r="BJ153">
            <v>313335</v>
          </cell>
          <cell r="BK153">
            <v>98</v>
          </cell>
          <cell r="BL153">
            <v>313237</v>
          </cell>
        </row>
        <row r="154">
          <cell r="B154" t="str">
            <v>KCF101</v>
          </cell>
          <cell r="C154">
            <v>33120</v>
          </cell>
          <cell r="D154">
            <v>11040</v>
          </cell>
          <cell r="E154">
            <v>31590</v>
          </cell>
          <cell r="F154">
            <v>9510</v>
          </cell>
          <cell r="G154">
            <v>1530</v>
          </cell>
          <cell r="H154">
            <v>1530</v>
          </cell>
          <cell r="I154">
            <v>30</v>
          </cell>
          <cell r="J154">
            <v>30</v>
          </cell>
          <cell r="K154">
            <v>30</v>
          </cell>
          <cell r="L154">
            <v>30</v>
          </cell>
          <cell r="M154">
            <v>0</v>
          </cell>
          <cell r="N154">
            <v>0</v>
          </cell>
          <cell r="O154">
            <v>1500</v>
          </cell>
          <cell r="P154">
            <v>1500</v>
          </cell>
          <cell r="Q154">
            <v>385</v>
          </cell>
          <cell r="R154">
            <v>385</v>
          </cell>
          <cell r="S154">
            <v>1115</v>
          </cell>
          <cell r="T154">
            <v>1115</v>
          </cell>
          <cell r="U154">
            <v>275</v>
          </cell>
          <cell r="V154">
            <v>200</v>
          </cell>
          <cell r="W154">
            <v>0</v>
          </cell>
          <cell r="X154">
            <v>75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530</v>
          </cell>
          <cell r="AG154">
            <v>100</v>
          </cell>
          <cell r="AH154">
            <v>75</v>
          </cell>
          <cell r="AI154">
            <v>95</v>
          </cell>
          <cell r="AJ154">
            <v>0</v>
          </cell>
          <cell r="AK154">
            <v>260</v>
          </cell>
          <cell r="AL154">
            <v>0</v>
          </cell>
          <cell r="AM154">
            <v>0</v>
          </cell>
          <cell r="AN154">
            <v>0</v>
          </cell>
          <cell r="AO154">
            <v>310</v>
          </cell>
          <cell r="AP154">
            <v>0</v>
          </cell>
          <cell r="AQ154">
            <v>0</v>
          </cell>
          <cell r="AR154">
            <v>90</v>
          </cell>
          <cell r="AS154">
            <v>0</v>
          </cell>
          <cell r="AT154">
            <v>75</v>
          </cell>
          <cell r="AU154">
            <v>0</v>
          </cell>
          <cell r="AV154">
            <v>0</v>
          </cell>
          <cell r="AW154">
            <v>30</v>
          </cell>
          <cell r="AX154">
            <v>0</v>
          </cell>
          <cell r="AY154">
            <v>40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25</v>
          </cell>
          <cell r="BG154">
            <v>0</v>
          </cell>
          <cell r="BH154">
            <v>0</v>
          </cell>
          <cell r="BI154">
            <v>50</v>
          </cell>
          <cell r="BJ154">
            <v>313335</v>
          </cell>
          <cell r="BK154">
            <v>98</v>
          </cell>
          <cell r="BL154">
            <v>313237</v>
          </cell>
        </row>
        <row r="155">
          <cell r="B155" t="str">
            <v>CPH SOL-STRIPPING</v>
          </cell>
          <cell r="C155">
            <v>33120</v>
          </cell>
          <cell r="D155">
            <v>11040</v>
          </cell>
          <cell r="E155">
            <v>32610</v>
          </cell>
          <cell r="F155">
            <v>10530</v>
          </cell>
          <cell r="G155">
            <v>510</v>
          </cell>
          <cell r="H155">
            <v>510</v>
          </cell>
          <cell r="I155">
            <v>30</v>
          </cell>
          <cell r="J155">
            <v>30</v>
          </cell>
          <cell r="K155">
            <v>30</v>
          </cell>
          <cell r="L155">
            <v>30</v>
          </cell>
          <cell r="M155">
            <v>0</v>
          </cell>
          <cell r="N155">
            <v>0</v>
          </cell>
          <cell r="O155">
            <v>480</v>
          </cell>
          <cell r="P155">
            <v>480</v>
          </cell>
          <cell r="Q155">
            <v>110</v>
          </cell>
          <cell r="R155">
            <v>110</v>
          </cell>
          <cell r="S155">
            <v>370</v>
          </cell>
          <cell r="T155">
            <v>370</v>
          </cell>
          <cell r="U155">
            <v>180</v>
          </cell>
          <cell r="V155">
            <v>140</v>
          </cell>
          <cell r="W155">
            <v>0</v>
          </cell>
          <cell r="X155">
            <v>40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110</v>
          </cell>
          <cell r="AG155">
            <v>65</v>
          </cell>
          <cell r="AH155">
            <v>30</v>
          </cell>
          <cell r="AI155">
            <v>0</v>
          </cell>
          <cell r="AJ155">
            <v>0</v>
          </cell>
          <cell r="AK155">
            <v>15</v>
          </cell>
          <cell r="AL155">
            <v>0</v>
          </cell>
          <cell r="AM155">
            <v>0</v>
          </cell>
          <cell r="AN155">
            <v>0</v>
          </cell>
          <cell r="AO155">
            <v>80</v>
          </cell>
          <cell r="AP155">
            <v>0</v>
          </cell>
          <cell r="AQ155">
            <v>0</v>
          </cell>
          <cell r="AR155">
            <v>30</v>
          </cell>
          <cell r="AS155">
            <v>0</v>
          </cell>
          <cell r="AT155">
            <v>15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15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20</v>
          </cell>
          <cell r="BG155">
            <v>0</v>
          </cell>
          <cell r="BH155">
            <v>0</v>
          </cell>
          <cell r="BI155">
            <v>0</v>
          </cell>
          <cell r="BJ155">
            <v>98251</v>
          </cell>
          <cell r="BK155">
            <v>801</v>
          </cell>
          <cell r="BL155">
            <v>97450</v>
          </cell>
        </row>
        <row r="156">
          <cell r="B156" t="str">
            <v>STC101</v>
          </cell>
          <cell r="C156">
            <v>33120</v>
          </cell>
          <cell r="D156">
            <v>11040</v>
          </cell>
          <cell r="E156">
            <v>32610</v>
          </cell>
          <cell r="F156">
            <v>10530</v>
          </cell>
          <cell r="G156">
            <v>510</v>
          </cell>
          <cell r="H156">
            <v>510</v>
          </cell>
          <cell r="I156">
            <v>30</v>
          </cell>
          <cell r="J156">
            <v>30</v>
          </cell>
          <cell r="K156">
            <v>30</v>
          </cell>
          <cell r="L156">
            <v>30</v>
          </cell>
          <cell r="M156">
            <v>0</v>
          </cell>
          <cell r="N156">
            <v>0</v>
          </cell>
          <cell r="O156">
            <v>480</v>
          </cell>
          <cell r="P156">
            <v>480</v>
          </cell>
          <cell r="Q156">
            <v>110</v>
          </cell>
          <cell r="R156">
            <v>110</v>
          </cell>
          <cell r="S156">
            <v>370</v>
          </cell>
          <cell r="T156">
            <v>370</v>
          </cell>
          <cell r="U156">
            <v>180</v>
          </cell>
          <cell r="V156">
            <v>140</v>
          </cell>
          <cell r="W156">
            <v>0</v>
          </cell>
          <cell r="X156">
            <v>40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110</v>
          </cell>
          <cell r="AG156">
            <v>65</v>
          </cell>
          <cell r="AH156">
            <v>30</v>
          </cell>
          <cell r="AI156">
            <v>0</v>
          </cell>
          <cell r="AJ156">
            <v>0</v>
          </cell>
          <cell r="AK156">
            <v>15</v>
          </cell>
          <cell r="AL156">
            <v>0</v>
          </cell>
          <cell r="AM156">
            <v>0</v>
          </cell>
          <cell r="AN156">
            <v>0</v>
          </cell>
          <cell r="AO156">
            <v>80</v>
          </cell>
          <cell r="AP156">
            <v>0</v>
          </cell>
          <cell r="AQ156">
            <v>0</v>
          </cell>
          <cell r="AR156">
            <v>30</v>
          </cell>
          <cell r="AS156">
            <v>0</v>
          </cell>
          <cell r="AT156">
            <v>15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15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20</v>
          </cell>
          <cell r="BG156">
            <v>0</v>
          </cell>
          <cell r="BH156">
            <v>0</v>
          </cell>
          <cell r="BI156">
            <v>0</v>
          </cell>
          <cell r="BJ156">
            <v>98251</v>
          </cell>
          <cell r="BK156">
            <v>801</v>
          </cell>
          <cell r="BL156">
            <v>97450</v>
          </cell>
        </row>
        <row r="157">
          <cell r="B157" t="str">
            <v>CPH SOL-POWDER FILLING</v>
          </cell>
          <cell r="C157">
            <v>33120</v>
          </cell>
          <cell r="D157">
            <v>11040</v>
          </cell>
          <cell r="E157">
            <v>33120</v>
          </cell>
          <cell r="F157">
            <v>11040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/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</row>
        <row r="158">
          <cell r="B158" t="str">
            <v>SCF102</v>
          </cell>
          <cell r="C158">
            <v>33120</v>
          </cell>
          <cell r="D158">
            <v>11040</v>
          </cell>
          <cell r="E158">
            <v>33120</v>
          </cell>
          <cell r="F158">
            <v>11040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/>
          <cell r="R158"/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</row>
        <row r="159">
          <cell r="B159" t="str">
            <v>CPH INJ-FILLING</v>
          </cell>
          <cell r="C159">
            <v>33120</v>
          </cell>
          <cell r="D159">
            <v>21390</v>
          </cell>
          <cell r="E159">
            <v>26610</v>
          </cell>
          <cell r="F159">
            <v>14880</v>
          </cell>
          <cell r="G159">
            <v>6510</v>
          </cell>
          <cell r="H159">
            <v>6510</v>
          </cell>
          <cell r="I159">
            <v>675</v>
          </cell>
          <cell r="J159">
            <v>675</v>
          </cell>
          <cell r="K159">
            <v>675</v>
          </cell>
          <cell r="L159">
            <v>0</v>
          </cell>
          <cell r="M159">
            <v>675</v>
          </cell>
          <cell r="N159">
            <v>0</v>
          </cell>
          <cell r="O159">
            <v>5835</v>
          </cell>
          <cell r="P159">
            <v>5835</v>
          </cell>
          <cell r="Q159">
            <v>2246</v>
          </cell>
          <cell r="R159">
            <v>2246</v>
          </cell>
          <cell r="S159">
            <v>3589</v>
          </cell>
          <cell r="T159">
            <v>3589</v>
          </cell>
          <cell r="U159">
            <v>520</v>
          </cell>
          <cell r="V159">
            <v>400</v>
          </cell>
          <cell r="W159">
            <v>0</v>
          </cell>
          <cell r="X159">
            <v>120</v>
          </cell>
          <cell r="Y159">
            <v>0</v>
          </cell>
          <cell r="Z159">
            <v>249</v>
          </cell>
          <cell r="AA159">
            <v>205</v>
          </cell>
          <cell r="AB159">
            <v>10</v>
          </cell>
          <cell r="AC159">
            <v>0</v>
          </cell>
          <cell r="AD159">
            <v>34</v>
          </cell>
          <cell r="AE159">
            <v>0</v>
          </cell>
          <cell r="AF159">
            <v>1851</v>
          </cell>
          <cell r="AG159">
            <v>541</v>
          </cell>
          <cell r="AH159">
            <v>1310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969</v>
          </cell>
          <cell r="AP159">
            <v>0</v>
          </cell>
          <cell r="AQ159">
            <v>0</v>
          </cell>
          <cell r="AR159">
            <v>390</v>
          </cell>
          <cell r="AS159">
            <v>45</v>
          </cell>
          <cell r="AT159">
            <v>360</v>
          </cell>
          <cell r="AU159">
            <v>0</v>
          </cell>
          <cell r="AV159">
            <v>0</v>
          </cell>
          <cell r="AW159">
            <v>35</v>
          </cell>
          <cell r="AX159">
            <v>0</v>
          </cell>
          <cell r="AY159">
            <v>139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704577</v>
          </cell>
          <cell r="BK159">
            <v>5</v>
          </cell>
          <cell r="BL159">
            <v>704572</v>
          </cell>
        </row>
        <row r="160">
          <cell r="B160" t="str">
            <v>GINLINE6</v>
          </cell>
          <cell r="C160">
            <v>33120</v>
          </cell>
          <cell r="D160">
            <v>21390</v>
          </cell>
          <cell r="E160">
            <v>26610</v>
          </cell>
          <cell r="F160">
            <v>14880</v>
          </cell>
          <cell r="G160">
            <v>6510</v>
          </cell>
          <cell r="H160">
            <v>6510</v>
          </cell>
          <cell r="I160">
            <v>675</v>
          </cell>
          <cell r="J160">
            <v>675</v>
          </cell>
          <cell r="K160">
            <v>675</v>
          </cell>
          <cell r="L160">
            <v>0</v>
          </cell>
          <cell r="M160">
            <v>675</v>
          </cell>
          <cell r="N160">
            <v>0</v>
          </cell>
          <cell r="O160">
            <v>5835</v>
          </cell>
          <cell r="P160">
            <v>5835</v>
          </cell>
          <cell r="Q160">
            <v>2246</v>
          </cell>
          <cell r="R160">
            <v>2246</v>
          </cell>
          <cell r="S160">
            <v>3589</v>
          </cell>
          <cell r="T160">
            <v>3589</v>
          </cell>
          <cell r="U160">
            <v>520</v>
          </cell>
          <cell r="V160">
            <v>400</v>
          </cell>
          <cell r="W160">
            <v>0</v>
          </cell>
          <cell r="X160">
            <v>120</v>
          </cell>
          <cell r="Y160">
            <v>0</v>
          </cell>
          <cell r="Z160">
            <v>249</v>
          </cell>
          <cell r="AA160">
            <v>205</v>
          </cell>
          <cell r="AB160">
            <v>10</v>
          </cell>
          <cell r="AC160">
            <v>0</v>
          </cell>
          <cell r="AD160">
            <v>34</v>
          </cell>
          <cell r="AE160">
            <v>0</v>
          </cell>
          <cell r="AF160">
            <v>1851</v>
          </cell>
          <cell r="AG160">
            <v>541</v>
          </cell>
          <cell r="AH160">
            <v>1310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969</v>
          </cell>
          <cell r="AP160">
            <v>0</v>
          </cell>
          <cell r="AQ160">
            <v>0</v>
          </cell>
          <cell r="AR160">
            <v>390</v>
          </cell>
          <cell r="AS160">
            <v>45</v>
          </cell>
          <cell r="AT160">
            <v>360</v>
          </cell>
          <cell r="AU160">
            <v>0</v>
          </cell>
          <cell r="AV160">
            <v>0</v>
          </cell>
          <cell r="AW160">
            <v>35</v>
          </cell>
          <cell r="AX160">
            <v>0</v>
          </cell>
          <cell r="AY160">
            <v>139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704577</v>
          </cell>
          <cell r="BK160">
            <v>5</v>
          </cell>
          <cell r="BL160">
            <v>704572</v>
          </cell>
        </row>
        <row r="161">
          <cell r="B161" t="str">
            <v>CPH INJ-STERILIZATION</v>
          </cell>
          <cell r="C161">
            <v>66240</v>
          </cell>
          <cell r="D161">
            <v>42780</v>
          </cell>
          <cell r="E161">
            <v>52704</v>
          </cell>
          <cell r="F161">
            <v>29244</v>
          </cell>
          <cell r="G161">
            <v>13536</v>
          </cell>
          <cell r="H161">
            <v>13536</v>
          </cell>
          <cell r="I161">
            <v>1401</v>
          </cell>
          <cell r="J161">
            <v>1401</v>
          </cell>
          <cell r="K161">
            <v>1401</v>
          </cell>
          <cell r="L161">
            <v>121</v>
          </cell>
          <cell r="M161">
            <v>1280</v>
          </cell>
          <cell r="N161">
            <v>0</v>
          </cell>
          <cell r="O161">
            <v>12135</v>
          </cell>
          <cell r="P161">
            <v>12135</v>
          </cell>
          <cell r="Q161">
            <v>5812</v>
          </cell>
          <cell r="R161">
            <v>5812</v>
          </cell>
          <cell r="S161">
            <v>6323</v>
          </cell>
          <cell r="T161">
            <v>6323</v>
          </cell>
          <cell r="U161">
            <v>433</v>
          </cell>
          <cell r="V161">
            <v>330</v>
          </cell>
          <cell r="W161">
            <v>0</v>
          </cell>
          <cell r="X161">
            <v>103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3904</v>
          </cell>
          <cell r="AG161">
            <v>3219</v>
          </cell>
          <cell r="AH161">
            <v>655</v>
          </cell>
          <cell r="AI161">
            <v>0</v>
          </cell>
          <cell r="AJ161">
            <v>30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1986</v>
          </cell>
          <cell r="AP161">
            <v>0</v>
          </cell>
          <cell r="AQ161">
            <v>0</v>
          </cell>
          <cell r="AR161">
            <v>70</v>
          </cell>
          <cell r="AS161">
            <v>10</v>
          </cell>
          <cell r="AT161">
            <v>50</v>
          </cell>
          <cell r="AU161">
            <v>0</v>
          </cell>
          <cell r="AV161">
            <v>0</v>
          </cell>
          <cell r="AW161">
            <v>110</v>
          </cell>
          <cell r="AX161">
            <v>1746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637</v>
          </cell>
          <cell r="BK161">
            <v>0</v>
          </cell>
          <cell r="BL161">
            <v>637</v>
          </cell>
        </row>
        <row r="162">
          <cell r="B162" t="str">
            <v>ICF104</v>
          </cell>
          <cell r="C162">
            <v>33120</v>
          </cell>
          <cell r="D162">
            <v>21390</v>
          </cell>
          <cell r="E162">
            <v>26124</v>
          </cell>
          <cell r="F162">
            <v>14394</v>
          </cell>
          <cell r="G162">
            <v>6996</v>
          </cell>
          <cell r="H162">
            <v>6996</v>
          </cell>
          <cell r="I162">
            <v>361</v>
          </cell>
          <cell r="J162">
            <v>361</v>
          </cell>
          <cell r="K162">
            <v>361</v>
          </cell>
          <cell r="L162">
            <v>61</v>
          </cell>
          <cell r="M162">
            <v>300</v>
          </cell>
          <cell r="N162">
            <v>0</v>
          </cell>
          <cell r="O162">
            <v>6635</v>
          </cell>
          <cell r="P162">
            <v>6635</v>
          </cell>
          <cell r="Q162">
            <v>3070</v>
          </cell>
          <cell r="R162">
            <v>3070</v>
          </cell>
          <cell r="S162">
            <v>3565</v>
          </cell>
          <cell r="T162">
            <v>3565</v>
          </cell>
          <cell r="U162">
            <v>194</v>
          </cell>
          <cell r="V162">
            <v>161</v>
          </cell>
          <cell r="W162">
            <v>0</v>
          </cell>
          <cell r="X162">
            <v>33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2757</v>
          </cell>
          <cell r="AG162">
            <v>2367</v>
          </cell>
          <cell r="AH162">
            <v>360</v>
          </cell>
          <cell r="AI162">
            <v>0</v>
          </cell>
          <cell r="AJ162">
            <v>30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614</v>
          </cell>
          <cell r="AP162">
            <v>0</v>
          </cell>
          <cell r="AQ162">
            <v>0</v>
          </cell>
          <cell r="AR162">
            <v>70</v>
          </cell>
          <cell r="AS162">
            <v>10</v>
          </cell>
          <cell r="AT162">
            <v>50</v>
          </cell>
          <cell r="AU162">
            <v>0</v>
          </cell>
          <cell r="AV162">
            <v>0</v>
          </cell>
          <cell r="AW162">
            <v>70</v>
          </cell>
          <cell r="AX162">
            <v>414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413</v>
          </cell>
          <cell r="BK162">
            <v>0</v>
          </cell>
          <cell r="BL162">
            <v>413</v>
          </cell>
        </row>
        <row r="163">
          <cell r="B163" t="str">
            <v>ICF105</v>
          </cell>
          <cell r="C163">
            <v>33120</v>
          </cell>
          <cell r="D163">
            <v>21390</v>
          </cell>
          <cell r="E163">
            <v>26580</v>
          </cell>
          <cell r="F163">
            <v>14850</v>
          </cell>
          <cell r="G163">
            <v>6540</v>
          </cell>
          <cell r="H163">
            <v>6540</v>
          </cell>
          <cell r="I163">
            <v>1040</v>
          </cell>
          <cell r="J163">
            <v>1040</v>
          </cell>
          <cell r="K163">
            <v>1040</v>
          </cell>
          <cell r="L163">
            <v>60</v>
          </cell>
          <cell r="M163">
            <v>980</v>
          </cell>
          <cell r="N163">
            <v>0</v>
          </cell>
          <cell r="O163">
            <v>5500</v>
          </cell>
          <cell r="P163">
            <v>5500</v>
          </cell>
          <cell r="Q163">
            <v>2742</v>
          </cell>
          <cell r="R163">
            <v>2742</v>
          </cell>
          <cell r="S163">
            <v>2758</v>
          </cell>
          <cell r="T163">
            <v>2758</v>
          </cell>
          <cell r="U163">
            <v>239</v>
          </cell>
          <cell r="V163">
            <v>169</v>
          </cell>
          <cell r="W163">
            <v>0</v>
          </cell>
          <cell r="X163">
            <v>70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1147</v>
          </cell>
          <cell r="AG163">
            <v>852</v>
          </cell>
          <cell r="AH163">
            <v>295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1372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40</v>
          </cell>
          <cell r="AX163">
            <v>1332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224</v>
          </cell>
          <cell r="BK163">
            <v>0</v>
          </cell>
          <cell r="BL163">
            <v>224</v>
          </cell>
        </row>
        <row r="164">
          <cell r="B164" t="str">
            <v>CPH-SECONDARY PACKING</v>
          </cell>
          <cell r="C164">
            <v>66240</v>
          </cell>
          <cell r="D164">
            <v>22080</v>
          </cell>
          <cell r="E164">
            <v>41850</v>
          </cell>
          <cell r="F164">
            <v>-2310</v>
          </cell>
          <cell r="G164">
            <v>24390</v>
          </cell>
          <cell r="H164">
            <v>24390</v>
          </cell>
          <cell r="I164">
            <v>1515</v>
          </cell>
          <cell r="J164">
            <v>1515</v>
          </cell>
          <cell r="K164">
            <v>1515</v>
          </cell>
          <cell r="L164">
            <v>600</v>
          </cell>
          <cell r="M164">
            <v>915</v>
          </cell>
          <cell r="N164">
            <v>0</v>
          </cell>
          <cell r="O164">
            <v>22875</v>
          </cell>
          <cell r="P164">
            <v>22875</v>
          </cell>
          <cell r="Q164">
            <v>8650</v>
          </cell>
          <cell r="R164">
            <v>8650</v>
          </cell>
          <cell r="S164">
            <v>14225</v>
          </cell>
          <cell r="T164">
            <v>14225</v>
          </cell>
          <cell r="U164">
            <v>5741</v>
          </cell>
          <cell r="V164">
            <v>3111</v>
          </cell>
          <cell r="W164">
            <v>225</v>
          </cell>
          <cell r="X164">
            <v>715</v>
          </cell>
          <cell r="Y164">
            <v>1690</v>
          </cell>
          <cell r="Z164">
            <v>100</v>
          </cell>
          <cell r="AA164">
            <v>100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4055</v>
          </cell>
          <cell r="AG164">
            <v>2475</v>
          </cell>
          <cell r="AH164">
            <v>800</v>
          </cell>
          <cell r="AI164">
            <v>505</v>
          </cell>
          <cell r="AJ164">
            <v>0</v>
          </cell>
          <cell r="AK164">
            <v>275</v>
          </cell>
          <cell r="AL164">
            <v>0</v>
          </cell>
          <cell r="AM164">
            <v>0</v>
          </cell>
          <cell r="AN164">
            <v>0</v>
          </cell>
          <cell r="AO164">
            <v>4329</v>
          </cell>
          <cell r="AP164">
            <v>120</v>
          </cell>
          <cell r="AQ164">
            <v>0</v>
          </cell>
          <cell r="AR164">
            <v>1410</v>
          </cell>
          <cell r="AS164">
            <v>0</v>
          </cell>
          <cell r="AT164">
            <v>950</v>
          </cell>
          <cell r="AU164">
            <v>385</v>
          </cell>
          <cell r="AV164">
            <v>235</v>
          </cell>
          <cell r="AW164">
            <v>0</v>
          </cell>
          <cell r="AX164">
            <v>60</v>
          </cell>
          <cell r="AY164">
            <v>490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679</v>
          </cell>
          <cell r="BG164">
            <v>0</v>
          </cell>
          <cell r="BH164">
            <v>0</v>
          </cell>
          <cell r="BI164">
            <v>0</v>
          </cell>
          <cell r="BJ164">
            <v>1180717</v>
          </cell>
          <cell r="BK164">
            <v>478</v>
          </cell>
          <cell r="BL164">
            <v>1180239</v>
          </cell>
        </row>
        <row r="165">
          <cell r="B165" t="str">
            <v>PCF101</v>
          </cell>
          <cell r="C165">
            <v>33120</v>
          </cell>
          <cell r="D165">
            <v>11040</v>
          </cell>
          <cell r="E165">
            <v>14280</v>
          </cell>
          <cell r="F165">
            <v>-7800</v>
          </cell>
          <cell r="G165">
            <v>18840</v>
          </cell>
          <cell r="H165">
            <v>18840</v>
          </cell>
          <cell r="I165">
            <v>750</v>
          </cell>
          <cell r="J165">
            <v>750</v>
          </cell>
          <cell r="K165">
            <v>750</v>
          </cell>
          <cell r="L165">
            <v>405</v>
          </cell>
          <cell r="M165">
            <v>345</v>
          </cell>
          <cell r="N165">
            <v>0</v>
          </cell>
          <cell r="O165">
            <v>18090</v>
          </cell>
          <cell r="P165">
            <v>18090</v>
          </cell>
          <cell r="Q165">
            <v>5810</v>
          </cell>
          <cell r="R165">
            <v>5810</v>
          </cell>
          <cell r="S165">
            <v>12280</v>
          </cell>
          <cell r="T165">
            <v>12280</v>
          </cell>
          <cell r="U165">
            <v>5565</v>
          </cell>
          <cell r="V165">
            <v>2940</v>
          </cell>
          <cell r="W165">
            <v>225</v>
          </cell>
          <cell r="X165">
            <v>710</v>
          </cell>
          <cell r="Y165">
            <v>1690</v>
          </cell>
          <cell r="Z165">
            <v>100</v>
          </cell>
          <cell r="AA165">
            <v>100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3595</v>
          </cell>
          <cell r="AG165">
            <v>2395</v>
          </cell>
          <cell r="AH165">
            <v>695</v>
          </cell>
          <cell r="AI165">
            <v>505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3020</v>
          </cell>
          <cell r="AP165">
            <v>120</v>
          </cell>
          <cell r="AQ165">
            <v>0</v>
          </cell>
          <cell r="AR165">
            <v>1140</v>
          </cell>
          <cell r="AS165">
            <v>0</v>
          </cell>
          <cell r="AT165">
            <v>800</v>
          </cell>
          <cell r="AU165">
            <v>210</v>
          </cell>
          <cell r="AV165">
            <v>0</v>
          </cell>
          <cell r="AW165">
            <v>0</v>
          </cell>
          <cell r="AX165">
            <v>0</v>
          </cell>
          <cell r="AY165">
            <v>365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385</v>
          </cell>
          <cell r="BG165">
            <v>0</v>
          </cell>
          <cell r="BH165">
            <v>0</v>
          </cell>
          <cell r="BI165">
            <v>0</v>
          </cell>
          <cell r="BJ165">
            <v>1107166</v>
          </cell>
          <cell r="BK165">
            <v>321</v>
          </cell>
          <cell r="BL165">
            <v>1106845</v>
          </cell>
        </row>
        <row r="166">
          <cell r="B166" t="str">
            <v>PCF102</v>
          </cell>
          <cell r="C166">
            <v>33120</v>
          </cell>
          <cell r="D166">
            <v>11040</v>
          </cell>
          <cell r="E166">
            <v>27570</v>
          </cell>
          <cell r="F166">
            <v>5490</v>
          </cell>
          <cell r="G166">
            <v>5550</v>
          </cell>
          <cell r="H166">
            <v>5550</v>
          </cell>
          <cell r="I166">
            <v>765</v>
          </cell>
          <cell r="J166">
            <v>765</v>
          </cell>
          <cell r="K166">
            <v>765</v>
          </cell>
          <cell r="L166">
            <v>195</v>
          </cell>
          <cell r="M166">
            <v>570</v>
          </cell>
          <cell r="N166">
            <v>0</v>
          </cell>
          <cell r="O166">
            <v>4785</v>
          </cell>
          <cell r="P166">
            <v>4785</v>
          </cell>
          <cell r="Q166">
            <v>2840</v>
          </cell>
          <cell r="R166">
            <v>2840</v>
          </cell>
          <cell r="S166">
            <v>1945</v>
          </cell>
          <cell r="T166">
            <v>1945</v>
          </cell>
          <cell r="U166">
            <v>176</v>
          </cell>
          <cell r="V166">
            <v>171</v>
          </cell>
          <cell r="W166">
            <v>0</v>
          </cell>
          <cell r="X166">
            <v>5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460</v>
          </cell>
          <cell r="AG166">
            <v>80</v>
          </cell>
          <cell r="AH166">
            <v>105</v>
          </cell>
          <cell r="AI166">
            <v>0</v>
          </cell>
          <cell r="AJ166">
            <v>0</v>
          </cell>
          <cell r="AK166">
            <v>275</v>
          </cell>
          <cell r="AL166">
            <v>0</v>
          </cell>
          <cell r="AM166">
            <v>0</v>
          </cell>
          <cell r="AN166">
            <v>0</v>
          </cell>
          <cell r="AO166">
            <v>1309</v>
          </cell>
          <cell r="AP166">
            <v>0</v>
          </cell>
          <cell r="AQ166">
            <v>0</v>
          </cell>
          <cell r="AR166">
            <v>270</v>
          </cell>
          <cell r="AS166">
            <v>0</v>
          </cell>
          <cell r="AT166">
            <v>150</v>
          </cell>
          <cell r="AU166">
            <v>175</v>
          </cell>
          <cell r="AV166">
            <v>235</v>
          </cell>
          <cell r="AW166">
            <v>0</v>
          </cell>
          <cell r="AX166">
            <v>60</v>
          </cell>
          <cell r="AY166">
            <v>125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294</v>
          </cell>
          <cell r="BG166">
            <v>0</v>
          </cell>
          <cell r="BH166">
            <v>0</v>
          </cell>
          <cell r="BI166">
            <v>0</v>
          </cell>
          <cell r="BJ166">
            <v>73551</v>
          </cell>
          <cell r="BK166">
            <v>157</v>
          </cell>
          <cell r="BL166">
            <v>73394</v>
          </cell>
        </row>
      </sheetData>
      <sheetData sheetId="14" refreshError="1"/>
      <sheetData sheetId="1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shboard OEE"/>
      <sheetName val="Dashboard Monthly Manpower"/>
      <sheetName val="Dashboard Monthly Legend"/>
      <sheetName val="Dashboard Legend Group"/>
      <sheetName val="Mesin Running"/>
      <sheetName val="Pivot Batch &amp; Tanggal"/>
      <sheetName val="Jumlah Shift"/>
      <sheetName val="Format Shift Operation"/>
      <sheetName val="Custom Report "/>
      <sheetName val="OEE All Machine Report"/>
      <sheetName val="OEE By Group Report"/>
      <sheetName val="Analisys QBR Report"/>
      <sheetName val="Analisys QBR By Machine Report"/>
      <sheetName val="Dasboard_QBR_Report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B1" t="str">
            <v>oee</v>
          </cell>
        </row>
        <row r="109">
          <cell r="C109" t="str">
            <v>PROSES( Menit )</v>
          </cell>
          <cell r="D109" t="str">
            <v>POT</v>
          </cell>
          <cell r="E109" t="str">
            <v>Unschedule Time</v>
          </cell>
          <cell r="F109" t="str">
            <v>L2</v>
          </cell>
          <cell r="G109" t="str">
            <v>L21</v>
          </cell>
          <cell r="H109" t="str">
            <v>L22</v>
          </cell>
          <cell r="I109" t="str">
            <v>IG</v>
          </cell>
          <cell r="J109" t="str">
            <v>PPT</v>
          </cell>
          <cell r="K109" t="str">
            <v>R</v>
          </cell>
          <cell r="L109" t="str">
            <v>Setup</v>
          </cell>
          <cell r="M109" t="str">
            <v>P6</v>
          </cell>
          <cell r="N109" t="str">
            <v>P5</v>
          </cell>
          <cell r="O109" t="str">
            <v>P8</v>
          </cell>
          <cell r="P109" t="str">
            <v>P9</v>
          </cell>
          <cell r="Q109" t="str">
            <v>Breakdown</v>
          </cell>
          <cell r="R109" t="str">
            <v>M1</v>
          </cell>
          <cell r="S109" t="str">
            <v>M2</v>
          </cell>
          <cell r="T109" t="str">
            <v>M4</v>
          </cell>
          <cell r="U109" t="str">
            <v>M8</v>
          </cell>
          <cell r="V109" t="str">
            <v>M9</v>
          </cell>
          <cell r="W109" t="str">
            <v>Clean</v>
          </cell>
          <cell r="X109" t="str">
            <v>P2</v>
          </cell>
          <cell r="Y109" t="str">
            <v>P4</v>
          </cell>
          <cell r="Z109" t="str">
            <v>P17</v>
          </cell>
          <cell r="AA109" t="str">
            <v>P19</v>
          </cell>
          <cell r="AB109" t="str">
            <v>P12</v>
          </cell>
          <cell r="AC109" t="str">
            <v>Trial</v>
          </cell>
          <cell r="AD109" t="str">
            <v>R1</v>
          </cell>
          <cell r="AE109" t="str">
            <v>R2</v>
          </cell>
          <cell r="AF109" t="str">
            <v>Waiting</v>
          </cell>
          <cell r="AG109" t="str">
            <v>L1</v>
          </cell>
          <cell r="AH109" t="str">
            <v>L3</v>
          </cell>
          <cell r="AI109" t="str">
            <v>H1</v>
          </cell>
          <cell r="AJ109" t="str">
            <v>H2</v>
          </cell>
          <cell r="AK109" t="str">
            <v>H4</v>
          </cell>
          <cell r="AL109" t="str">
            <v>H6</v>
          </cell>
          <cell r="AM109" t="str">
            <v>H7</v>
          </cell>
          <cell r="AN109" t="str">
            <v>H8</v>
          </cell>
          <cell r="AO109" t="str">
            <v>P10</v>
          </cell>
          <cell r="AP109" t="str">
            <v>P11</v>
          </cell>
          <cell r="AQ109" t="str">
            <v>P13</v>
          </cell>
          <cell r="AR109" t="str">
            <v>P14</v>
          </cell>
          <cell r="AS109" t="str">
            <v>P16</v>
          </cell>
          <cell r="AT109" t="str">
            <v>M5</v>
          </cell>
          <cell r="AU109" t="str">
            <v>M6</v>
          </cell>
          <cell r="AV109" t="str">
            <v>M7</v>
          </cell>
          <cell r="AW109" t="str">
            <v>Q1</v>
          </cell>
          <cell r="AX109" t="str">
            <v>Q2</v>
          </cell>
          <cell r="AY109" t="str">
            <v>Q3</v>
          </cell>
          <cell r="AZ109" t="str">
            <v>Q4</v>
          </cell>
          <cell r="BA109" t="str">
            <v>Total Output</v>
          </cell>
          <cell r="BB109" t="str">
            <v>Reject Output</v>
          </cell>
          <cell r="BC109" t="str">
            <v>Good Output</v>
          </cell>
        </row>
        <row r="110">
          <cell r="C110" t="str">
            <v>NBL SOL-MIXING</v>
          </cell>
          <cell r="D110">
            <v>86400</v>
          </cell>
          <cell r="E110">
            <v>58830</v>
          </cell>
          <cell r="F110">
            <v>2912</v>
          </cell>
          <cell r="G110">
            <v>75</v>
          </cell>
          <cell r="H110">
            <v>2837</v>
          </cell>
          <cell r="I110">
            <v>240</v>
          </cell>
          <cell r="J110">
            <v>24418</v>
          </cell>
          <cell r="K110">
            <v>3578</v>
          </cell>
          <cell r="L110">
            <v>832</v>
          </cell>
          <cell r="M110">
            <v>777</v>
          </cell>
          <cell r="N110">
            <v>55</v>
          </cell>
          <cell r="O110">
            <v>0</v>
          </cell>
          <cell r="P110">
            <v>0</v>
          </cell>
          <cell r="Q110">
            <v>565</v>
          </cell>
          <cell r="R110">
            <v>565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10329</v>
          </cell>
          <cell r="X110">
            <v>6314</v>
          </cell>
          <cell r="Y110">
            <v>3534</v>
          </cell>
          <cell r="Z110">
            <v>6</v>
          </cell>
          <cell r="AA110">
            <v>0</v>
          </cell>
          <cell r="AB110">
            <v>475</v>
          </cell>
          <cell r="AC110">
            <v>285</v>
          </cell>
          <cell r="AD110">
            <v>0</v>
          </cell>
          <cell r="AE110">
            <v>285</v>
          </cell>
          <cell r="AF110">
            <v>8829</v>
          </cell>
          <cell r="AG110">
            <v>30</v>
          </cell>
          <cell r="AH110">
            <v>0</v>
          </cell>
          <cell r="AI110">
            <v>1120</v>
          </cell>
          <cell r="AJ110">
            <v>0</v>
          </cell>
          <cell r="AK110">
            <v>725</v>
          </cell>
          <cell r="AL110">
            <v>0</v>
          </cell>
          <cell r="AM110">
            <v>0</v>
          </cell>
          <cell r="AN110">
            <v>0</v>
          </cell>
          <cell r="AO110">
            <v>6144</v>
          </cell>
          <cell r="AP110">
            <v>23</v>
          </cell>
          <cell r="AQ110">
            <v>0</v>
          </cell>
          <cell r="AR110">
            <v>544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243</v>
          </cell>
          <cell r="AX110">
            <v>0</v>
          </cell>
          <cell r="AY110">
            <v>0</v>
          </cell>
          <cell r="AZ110">
            <v>0</v>
          </cell>
          <cell r="BA110">
            <v>6840.04</v>
          </cell>
          <cell r="BB110">
            <v>0</v>
          </cell>
          <cell r="BC110">
            <v>6840.04</v>
          </cell>
        </row>
        <row r="111">
          <cell r="C111" t="str">
            <v>MIX113</v>
          </cell>
          <cell r="D111">
            <v>28800</v>
          </cell>
          <cell r="E111">
            <v>13920</v>
          </cell>
          <cell r="F111">
            <v>1985</v>
          </cell>
          <cell r="G111">
            <v>0</v>
          </cell>
          <cell r="H111">
            <v>1985</v>
          </cell>
          <cell r="I111">
            <v>240</v>
          </cell>
          <cell r="J111">
            <v>12655</v>
          </cell>
          <cell r="K111">
            <v>673</v>
          </cell>
          <cell r="L111">
            <v>447</v>
          </cell>
          <cell r="M111">
            <v>392</v>
          </cell>
          <cell r="N111">
            <v>55</v>
          </cell>
          <cell r="O111">
            <v>0</v>
          </cell>
          <cell r="P111">
            <v>0</v>
          </cell>
          <cell r="Q111">
            <v>495</v>
          </cell>
          <cell r="R111">
            <v>495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3777</v>
          </cell>
          <cell r="X111">
            <v>1562</v>
          </cell>
          <cell r="Y111">
            <v>1995</v>
          </cell>
          <cell r="Z111">
            <v>0</v>
          </cell>
          <cell r="AA111">
            <v>0</v>
          </cell>
          <cell r="AB111">
            <v>220</v>
          </cell>
          <cell r="AC111">
            <v>285</v>
          </cell>
          <cell r="AD111">
            <v>0</v>
          </cell>
          <cell r="AE111">
            <v>285</v>
          </cell>
          <cell r="AF111">
            <v>6978</v>
          </cell>
          <cell r="AG111">
            <v>30</v>
          </cell>
          <cell r="AH111">
            <v>0</v>
          </cell>
          <cell r="AI111">
            <v>330</v>
          </cell>
          <cell r="AJ111">
            <v>0</v>
          </cell>
          <cell r="AK111">
            <v>180</v>
          </cell>
          <cell r="AL111">
            <v>0</v>
          </cell>
          <cell r="AM111">
            <v>0</v>
          </cell>
          <cell r="AN111">
            <v>0</v>
          </cell>
          <cell r="AO111">
            <v>6144</v>
          </cell>
          <cell r="AP111">
            <v>23</v>
          </cell>
          <cell r="AQ111">
            <v>0</v>
          </cell>
          <cell r="AR111">
            <v>28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243</v>
          </cell>
          <cell r="AX111">
            <v>0</v>
          </cell>
          <cell r="AY111">
            <v>0</v>
          </cell>
          <cell r="AZ111">
            <v>0</v>
          </cell>
          <cell r="BA111">
            <v>4556.1400000000003</v>
          </cell>
          <cell r="BB111">
            <v>0</v>
          </cell>
          <cell r="BC111">
            <v>4556.1400000000003</v>
          </cell>
        </row>
        <row r="112">
          <cell r="C112" t="str">
            <v>LMIXSOL1</v>
          </cell>
          <cell r="D112">
            <v>28800</v>
          </cell>
          <cell r="E112">
            <v>20370</v>
          </cell>
          <cell r="F112">
            <v>927</v>
          </cell>
          <cell r="G112">
            <v>75</v>
          </cell>
          <cell r="H112">
            <v>852</v>
          </cell>
          <cell r="I112">
            <v>0</v>
          </cell>
          <cell r="J112">
            <v>7503</v>
          </cell>
          <cell r="K112">
            <v>1610</v>
          </cell>
          <cell r="L112">
            <v>215</v>
          </cell>
          <cell r="M112">
            <v>215</v>
          </cell>
          <cell r="N112">
            <v>0</v>
          </cell>
          <cell r="O112">
            <v>0</v>
          </cell>
          <cell r="P112">
            <v>0</v>
          </cell>
          <cell r="Q112">
            <v>70</v>
          </cell>
          <cell r="R112">
            <v>70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4447</v>
          </cell>
          <cell r="X112">
            <v>3232</v>
          </cell>
          <cell r="Y112">
            <v>1014</v>
          </cell>
          <cell r="Z112">
            <v>6</v>
          </cell>
          <cell r="AA112">
            <v>0</v>
          </cell>
          <cell r="AB112">
            <v>195</v>
          </cell>
          <cell r="AC112">
            <v>0</v>
          </cell>
          <cell r="AD112">
            <v>0</v>
          </cell>
          <cell r="AE112">
            <v>0</v>
          </cell>
          <cell r="AF112">
            <v>1161</v>
          </cell>
          <cell r="AG112">
            <v>0</v>
          </cell>
          <cell r="AH112">
            <v>0</v>
          </cell>
          <cell r="AI112">
            <v>520</v>
          </cell>
          <cell r="AJ112">
            <v>0</v>
          </cell>
          <cell r="AK112">
            <v>380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261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973.44</v>
          </cell>
          <cell r="BB112">
            <v>0</v>
          </cell>
          <cell r="BC112">
            <v>973.44</v>
          </cell>
        </row>
        <row r="113">
          <cell r="C113" t="str">
            <v>LMIXSOL2</v>
          </cell>
          <cell r="D113">
            <v>28800</v>
          </cell>
          <cell r="E113">
            <v>24540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4260</v>
          </cell>
          <cell r="K113">
            <v>1295</v>
          </cell>
          <cell r="L113">
            <v>170</v>
          </cell>
          <cell r="M113">
            <v>170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2105</v>
          </cell>
          <cell r="X113">
            <v>1520</v>
          </cell>
          <cell r="Y113">
            <v>525</v>
          </cell>
          <cell r="Z113">
            <v>0</v>
          </cell>
          <cell r="AA113">
            <v>0</v>
          </cell>
          <cell r="AB113">
            <v>60</v>
          </cell>
          <cell r="AC113">
            <v>0</v>
          </cell>
          <cell r="AD113">
            <v>0</v>
          </cell>
          <cell r="AE113">
            <v>0</v>
          </cell>
          <cell r="AF113">
            <v>690</v>
          </cell>
          <cell r="AG113">
            <v>0</v>
          </cell>
          <cell r="AH113">
            <v>0</v>
          </cell>
          <cell r="AI113">
            <v>270</v>
          </cell>
          <cell r="AJ113">
            <v>0</v>
          </cell>
          <cell r="AK113">
            <v>165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255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1310.46</v>
          </cell>
          <cell r="BB113">
            <v>0</v>
          </cell>
          <cell r="BC113">
            <v>1310.46</v>
          </cell>
        </row>
        <row r="114">
          <cell r="C114" t="str">
            <v>NBL SOL-COATING</v>
          </cell>
          <cell r="D114">
            <v>57600</v>
          </cell>
          <cell r="E114">
            <v>50730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6870</v>
          </cell>
          <cell r="K114">
            <v>2840</v>
          </cell>
          <cell r="L114">
            <v>145</v>
          </cell>
          <cell r="M114">
            <v>115</v>
          </cell>
          <cell r="N114">
            <v>0</v>
          </cell>
          <cell r="O114">
            <v>30</v>
          </cell>
          <cell r="P114">
            <v>0</v>
          </cell>
          <cell r="Q114">
            <v>165</v>
          </cell>
          <cell r="R114">
            <v>40</v>
          </cell>
          <cell r="S114">
            <v>0</v>
          </cell>
          <cell r="T114">
            <v>0</v>
          </cell>
          <cell r="U114">
            <v>125</v>
          </cell>
          <cell r="V114">
            <v>0</v>
          </cell>
          <cell r="W114">
            <v>2465</v>
          </cell>
          <cell r="X114">
            <v>610</v>
          </cell>
          <cell r="Y114">
            <v>1635</v>
          </cell>
          <cell r="Z114">
            <v>0</v>
          </cell>
          <cell r="AA114">
            <v>0</v>
          </cell>
          <cell r="AB114">
            <v>220</v>
          </cell>
          <cell r="AC114">
            <v>0</v>
          </cell>
          <cell r="AD114">
            <v>0</v>
          </cell>
          <cell r="AE114">
            <v>0</v>
          </cell>
          <cell r="AF114">
            <v>1255</v>
          </cell>
          <cell r="AG114">
            <v>0</v>
          </cell>
          <cell r="AH114">
            <v>0</v>
          </cell>
          <cell r="AI114">
            <v>300</v>
          </cell>
          <cell r="AJ114">
            <v>0</v>
          </cell>
          <cell r="AK114">
            <v>340</v>
          </cell>
          <cell r="AL114">
            <v>160</v>
          </cell>
          <cell r="AM114">
            <v>0</v>
          </cell>
          <cell r="AN114">
            <v>0</v>
          </cell>
          <cell r="AO114">
            <v>215</v>
          </cell>
          <cell r="AP114">
            <v>105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105</v>
          </cell>
          <cell r="AX114">
            <v>30</v>
          </cell>
          <cell r="AY114">
            <v>0</v>
          </cell>
          <cell r="AZ114">
            <v>0</v>
          </cell>
          <cell r="BA114">
            <v>1449.48</v>
          </cell>
          <cell r="BB114">
            <v>0.56000000000000005</v>
          </cell>
          <cell r="BC114">
            <v>1448.92</v>
          </cell>
        </row>
        <row r="115">
          <cell r="C115" t="str">
            <v>COT101</v>
          </cell>
          <cell r="D115">
            <v>28800</v>
          </cell>
          <cell r="E115">
            <v>25290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3510</v>
          </cell>
          <cell r="K115">
            <v>1205</v>
          </cell>
          <cell r="L115">
            <v>50</v>
          </cell>
          <cell r="M115">
            <v>50</v>
          </cell>
          <cell r="N115">
            <v>0</v>
          </cell>
          <cell r="O115">
            <v>0</v>
          </cell>
          <cell r="P115">
            <v>0</v>
          </cell>
          <cell r="Q115">
            <v>75</v>
          </cell>
          <cell r="R115">
            <v>0</v>
          </cell>
          <cell r="S115">
            <v>0</v>
          </cell>
          <cell r="T115">
            <v>0</v>
          </cell>
          <cell r="U115">
            <v>75</v>
          </cell>
          <cell r="V115">
            <v>0</v>
          </cell>
          <cell r="W115">
            <v>1480</v>
          </cell>
          <cell r="X115">
            <v>230</v>
          </cell>
          <cell r="Y115">
            <v>1150</v>
          </cell>
          <cell r="Z115">
            <v>0</v>
          </cell>
          <cell r="AA115">
            <v>0</v>
          </cell>
          <cell r="AB115">
            <v>100</v>
          </cell>
          <cell r="AC115">
            <v>0</v>
          </cell>
          <cell r="AD115">
            <v>0</v>
          </cell>
          <cell r="AE115">
            <v>0</v>
          </cell>
          <cell r="AF115">
            <v>700</v>
          </cell>
          <cell r="AG115">
            <v>0</v>
          </cell>
          <cell r="AH115">
            <v>0</v>
          </cell>
          <cell r="AI115">
            <v>210</v>
          </cell>
          <cell r="AJ115">
            <v>0</v>
          </cell>
          <cell r="AK115">
            <v>230</v>
          </cell>
          <cell r="AL115">
            <v>0</v>
          </cell>
          <cell r="AM115">
            <v>0</v>
          </cell>
          <cell r="AN115">
            <v>0</v>
          </cell>
          <cell r="AO115">
            <v>120</v>
          </cell>
          <cell r="AP115">
            <v>45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65</v>
          </cell>
          <cell r="AX115">
            <v>30</v>
          </cell>
          <cell r="AY115">
            <v>0</v>
          </cell>
          <cell r="AZ115">
            <v>0</v>
          </cell>
          <cell r="BA115">
            <v>285.77</v>
          </cell>
          <cell r="BB115">
            <v>0.15</v>
          </cell>
          <cell r="BC115">
            <v>285.62</v>
          </cell>
        </row>
        <row r="116">
          <cell r="C116" t="str">
            <v>COT102</v>
          </cell>
          <cell r="D116">
            <v>28800</v>
          </cell>
          <cell r="E116">
            <v>25440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3360</v>
          </cell>
          <cell r="K116">
            <v>1635</v>
          </cell>
          <cell r="L116">
            <v>95</v>
          </cell>
          <cell r="M116">
            <v>65</v>
          </cell>
          <cell r="N116">
            <v>0</v>
          </cell>
          <cell r="O116">
            <v>30</v>
          </cell>
          <cell r="P116">
            <v>0</v>
          </cell>
          <cell r="Q116">
            <v>90</v>
          </cell>
          <cell r="R116">
            <v>40</v>
          </cell>
          <cell r="S116">
            <v>0</v>
          </cell>
          <cell r="T116">
            <v>0</v>
          </cell>
          <cell r="U116">
            <v>50</v>
          </cell>
          <cell r="V116">
            <v>0</v>
          </cell>
          <cell r="W116">
            <v>985</v>
          </cell>
          <cell r="X116">
            <v>380</v>
          </cell>
          <cell r="Y116">
            <v>485</v>
          </cell>
          <cell r="Z116">
            <v>0</v>
          </cell>
          <cell r="AA116">
            <v>0</v>
          </cell>
          <cell r="AB116">
            <v>120</v>
          </cell>
          <cell r="AC116">
            <v>0</v>
          </cell>
          <cell r="AD116">
            <v>0</v>
          </cell>
          <cell r="AE116">
            <v>0</v>
          </cell>
          <cell r="AF116">
            <v>555</v>
          </cell>
          <cell r="AG116">
            <v>0</v>
          </cell>
          <cell r="AH116">
            <v>0</v>
          </cell>
          <cell r="AI116">
            <v>90</v>
          </cell>
          <cell r="AJ116">
            <v>0</v>
          </cell>
          <cell r="AK116">
            <v>110</v>
          </cell>
          <cell r="AL116">
            <v>160</v>
          </cell>
          <cell r="AM116">
            <v>0</v>
          </cell>
          <cell r="AN116">
            <v>0</v>
          </cell>
          <cell r="AO116">
            <v>95</v>
          </cell>
          <cell r="AP116">
            <v>60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40</v>
          </cell>
          <cell r="AX116">
            <v>0</v>
          </cell>
          <cell r="AY116">
            <v>0</v>
          </cell>
          <cell r="AZ116">
            <v>0</v>
          </cell>
          <cell r="BA116">
            <v>1163.71</v>
          </cell>
          <cell r="BB116">
            <v>0.41</v>
          </cell>
          <cell r="BC116">
            <v>1163.3</v>
          </cell>
        </row>
        <row r="117">
          <cell r="C117" t="str">
            <v>NBL SOL-TABLETING</v>
          </cell>
          <cell r="D117">
            <v>86400</v>
          </cell>
          <cell r="E117">
            <v>53550</v>
          </cell>
          <cell r="F117">
            <v>2285</v>
          </cell>
          <cell r="G117">
            <v>30</v>
          </cell>
          <cell r="H117">
            <v>2255</v>
          </cell>
          <cell r="I117">
            <v>0</v>
          </cell>
          <cell r="J117">
            <v>30565</v>
          </cell>
          <cell r="K117">
            <v>10935</v>
          </cell>
          <cell r="L117">
            <v>3705</v>
          </cell>
          <cell r="M117">
            <v>2370</v>
          </cell>
          <cell r="N117">
            <v>0</v>
          </cell>
          <cell r="O117">
            <v>190</v>
          </cell>
          <cell r="P117">
            <v>1145</v>
          </cell>
          <cell r="Q117">
            <v>340</v>
          </cell>
          <cell r="R117">
            <v>340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4885</v>
          </cell>
          <cell r="X117">
            <v>1225</v>
          </cell>
          <cell r="Y117">
            <v>2755</v>
          </cell>
          <cell r="Z117">
            <v>230</v>
          </cell>
          <cell r="AA117">
            <v>0</v>
          </cell>
          <cell r="AB117">
            <v>675</v>
          </cell>
          <cell r="AC117">
            <v>2180</v>
          </cell>
          <cell r="AD117">
            <v>780</v>
          </cell>
          <cell r="AE117">
            <v>1400</v>
          </cell>
          <cell r="AF117">
            <v>8520</v>
          </cell>
          <cell r="AG117">
            <v>0</v>
          </cell>
          <cell r="AH117">
            <v>0</v>
          </cell>
          <cell r="AI117">
            <v>1525</v>
          </cell>
          <cell r="AJ117">
            <v>0</v>
          </cell>
          <cell r="AK117">
            <v>1210</v>
          </cell>
          <cell r="AL117">
            <v>1035</v>
          </cell>
          <cell r="AM117">
            <v>75</v>
          </cell>
          <cell r="AN117">
            <v>0</v>
          </cell>
          <cell r="AO117">
            <v>905</v>
          </cell>
          <cell r="AP117">
            <v>670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2350</v>
          </cell>
          <cell r="AX117">
            <v>750</v>
          </cell>
          <cell r="AY117">
            <v>0</v>
          </cell>
          <cell r="AZ117">
            <v>0</v>
          </cell>
          <cell r="BA117">
            <v>8476822.5600000005</v>
          </cell>
          <cell r="BB117">
            <v>11333</v>
          </cell>
          <cell r="BC117">
            <v>8465489.5600000005</v>
          </cell>
        </row>
        <row r="118">
          <cell r="C118" t="str">
            <v>TAB101</v>
          </cell>
          <cell r="D118">
            <v>28800</v>
          </cell>
          <cell r="E118">
            <v>15180</v>
          </cell>
          <cell r="F118">
            <v>790</v>
          </cell>
          <cell r="G118">
            <v>0</v>
          </cell>
          <cell r="H118">
            <v>790</v>
          </cell>
          <cell r="I118">
            <v>0</v>
          </cell>
          <cell r="J118">
            <v>12830</v>
          </cell>
          <cell r="K118">
            <v>4995</v>
          </cell>
          <cell r="L118">
            <v>1795</v>
          </cell>
          <cell r="M118">
            <v>1135</v>
          </cell>
          <cell r="N118">
            <v>0</v>
          </cell>
          <cell r="O118">
            <v>35</v>
          </cell>
          <cell r="P118">
            <v>625</v>
          </cell>
          <cell r="Q118">
            <v>340</v>
          </cell>
          <cell r="R118">
            <v>340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2270</v>
          </cell>
          <cell r="X118">
            <v>740</v>
          </cell>
          <cell r="Y118">
            <v>1100</v>
          </cell>
          <cell r="Z118">
            <v>100</v>
          </cell>
          <cell r="AA118">
            <v>0</v>
          </cell>
          <cell r="AB118">
            <v>330</v>
          </cell>
          <cell r="AC118">
            <v>60</v>
          </cell>
          <cell r="AD118">
            <v>60</v>
          </cell>
          <cell r="AE118">
            <v>0</v>
          </cell>
          <cell r="AF118">
            <v>3370</v>
          </cell>
          <cell r="AG118">
            <v>0</v>
          </cell>
          <cell r="AH118">
            <v>0</v>
          </cell>
          <cell r="AI118">
            <v>740</v>
          </cell>
          <cell r="AJ118">
            <v>0</v>
          </cell>
          <cell r="AK118">
            <v>595</v>
          </cell>
          <cell r="AL118">
            <v>360</v>
          </cell>
          <cell r="AM118">
            <v>75</v>
          </cell>
          <cell r="AN118">
            <v>0</v>
          </cell>
          <cell r="AO118">
            <v>400</v>
          </cell>
          <cell r="AP118">
            <v>240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960</v>
          </cell>
          <cell r="AX118">
            <v>0</v>
          </cell>
          <cell r="AY118">
            <v>0</v>
          </cell>
          <cell r="AZ118">
            <v>0</v>
          </cell>
          <cell r="BA118">
            <v>4826814.5599999996</v>
          </cell>
          <cell r="BB118">
            <v>9242</v>
          </cell>
          <cell r="BC118">
            <v>4817572.5599999996</v>
          </cell>
        </row>
        <row r="119">
          <cell r="C119" t="str">
            <v>TAB105</v>
          </cell>
          <cell r="D119">
            <v>28800</v>
          </cell>
          <cell r="E119">
            <v>13920</v>
          </cell>
          <cell r="F119">
            <v>1255</v>
          </cell>
          <cell r="G119">
            <v>30</v>
          </cell>
          <cell r="H119">
            <v>1225</v>
          </cell>
          <cell r="I119">
            <v>0</v>
          </cell>
          <cell r="J119">
            <v>13625</v>
          </cell>
          <cell r="K119">
            <v>4665</v>
          </cell>
          <cell r="L119">
            <v>1535</v>
          </cell>
          <cell r="M119">
            <v>880</v>
          </cell>
          <cell r="N119">
            <v>0</v>
          </cell>
          <cell r="O119">
            <v>135</v>
          </cell>
          <cell r="P119">
            <v>520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1945</v>
          </cell>
          <cell r="X119">
            <v>400</v>
          </cell>
          <cell r="Y119">
            <v>1250</v>
          </cell>
          <cell r="Z119">
            <v>85</v>
          </cell>
          <cell r="AA119">
            <v>0</v>
          </cell>
          <cell r="AB119">
            <v>210</v>
          </cell>
          <cell r="AC119">
            <v>2120</v>
          </cell>
          <cell r="AD119">
            <v>720</v>
          </cell>
          <cell r="AE119">
            <v>1400</v>
          </cell>
          <cell r="AF119">
            <v>3360</v>
          </cell>
          <cell r="AG119">
            <v>0</v>
          </cell>
          <cell r="AH119">
            <v>0</v>
          </cell>
          <cell r="AI119">
            <v>575</v>
          </cell>
          <cell r="AJ119">
            <v>0</v>
          </cell>
          <cell r="AK119">
            <v>480</v>
          </cell>
          <cell r="AL119">
            <v>375</v>
          </cell>
          <cell r="AM119">
            <v>0</v>
          </cell>
          <cell r="AN119">
            <v>0</v>
          </cell>
          <cell r="AO119">
            <v>505</v>
          </cell>
          <cell r="AP119">
            <v>300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960</v>
          </cell>
          <cell r="AX119">
            <v>165</v>
          </cell>
          <cell r="AY119">
            <v>0</v>
          </cell>
          <cell r="AZ119">
            <v>0</v>
          </cell>
          <cell r="BA119">
            <v>2511385</v>
          </cell>
          <cell r="BB119">
            <v>2091</v>
          </cell>
          <cell r="BC119">
            <v>2509294</v>
          </cell>
        </row>
        <row r="120">
          <cell r="C120" t="str">
            <v>TAB103</v>
          </cell>
          <cell r="D120">
            <v>28800</v>
          </cell>
          <cell r="E120">
            <v>24450</v>
          </cell>
          <cell r="F120">
            <v>240</v>
          </cell>
          <cell r="G120">
            <v>0</v>
          </cell>
          <cell r="H120">
            <v>240</v>
          </cell>
          <cell r="I120">
            <v>0</v>
          </cell>
          <cell r="J120">
            <v>4110</v>
          </cell>
          <cell r="K120">
            <v>1275</v>
          </cell>
          <cell r="L120">
            <v>375</v>
          </cell>
          <cell r="M120">
            <v>355</v>
          </cell>
          <cell r="N120">
            <v>0</v>
          </cell>
          <cell r="O120">
            <v>20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670</v>
          </cell>
          <cell r="X120">
            <v>85</v>
          </cell>
          <cell r="Y120">
            <v>405</v>
          </cell>
          <cell r="Z120">
            <v>45</v>
          </cell>
          <cell r="AA120">
            <v>0</v>
          </cell>
          <cell r="AB120">
            <v>135</v>
          </cell>
          <cell r="AC120">
            <v>0</v>
          </cell>
          <cell r="AD120">
            <v>0</v>
          </cell>
          <cell r="AE120">
            <v>0</v>
          </cell>
          <cell r="AF120">
            <v>1790</v>
          </cell>
          <cell r="AG120">
            <v>0</v>
          </cell>
          <cell r="AH120">
            <v>0</v>
          </cell>
          <cell r="AI120">
            <v>210</v>
          </cell>
          <cell r="AJ120">
            <v>0</v>
          </cell>
          <cell r="AK120">
            <v>135</v>
          </cell>
          <cell r="AL120">
            <v>300</v>
          </cell>
          <cell r="AM120">
            <v>0</v>
          </cell>
          <cell r="AN120">
            <v>0</v>
          </cell>
          <cell r="AO120">
            <v>0</v>
          </cell>
          <cell r="AP120">
            <v>130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430</v>
          </cell>
          <cell r="AX120">
            <v>585</v>
          </cell>
          <cell r="AY120">
            <v>0</v>
          </cell>
          <cell r="AZ120">
            <v>0</v>
          </cell>
          <cell r="BA120">
            <v>1138623</v>
          </cell>
          <cell r="BB120">
            <v>0</v>
          </cell>
          <cell r="BC120">
            <v>1138623</v>
          </cell>
        </row>
        <row r="121">
          <cell r="C121" t="str">
            <v>NBL SOL-CAPSULE</v>
          </cell>
          <cell r="D121">
            <v>57600</v>
          </cell>
          <cell r="E121">
            <v>48000</v>
          </cell>
          <cell r="F121">
            <v>510</v>
          </cell>
          <cell r="G121">
            <v>0</v>
          </cell>
          <cell r="H121">
            <v>510</v>
          </cell>
          <cell r="I121">
            <v>0</v>
          </cell>
          <cell r="J121">
            <v>9090</v>
          </cell>
          <cell r="K121">
            <v>3110</v>
          </cell>
          <cell r="L121">
            <v>960</v>
          </cell>
          <cell r="M121">
            <v>725</v>
          </cell>
          <cell r="N121">
            <v>0</v>
          </cell>
          <cell r="O121">
            <v>0</v>
          </cell>
          <cell r="P121">
            <v>235</v>
          </cell>
          <cell r="Q121">
            <v>130</v>
          </cell>
          <cell r="R121">
            <v>130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2735</v>
          </cell>
          <cell r="X121">
            <v>1365</v>
          </cell>
          <cell r="Y121">
            <v>950</v>
          </cell>
          <cell r="Z121">
            <v>215</v>
          </cell>
          <cell r="AA121">
            <v>0</v>
          </cell>
          <cell r="AB121">
            <v>205</v>
          </cell>
          <cell r="AC121">
            <v>170</v>
          </cell>
          <cell r="AD121">
            <v>170</v>
          </cell>
          <cell r="AE121">
            <v>0</v>
          </cell>
          <cell r="AF121">
            <v>1985</v>
          </cell>
          <cell r="AG121">
            <v>0</v>
          </cell>
          <cell r="AH121">
            <v>0</v>
          </cell>
          <cell r="AI121">
            <v>460</v>
          </cell>
          <cell r="AJ121">
            <v>0</v>
          </cell>
          <cell r="AK121">
            <v>415</v>
          </cell>
          <cell r="AL121">
            <v>35</v>
          </cell>
          <cell r="AM121">
            <v>0</v>
          </cell>
          <cell r="AN121">
            <v>0</v>
          </cell>
          <cell r="AO121">
            <v>495</v>
          </cell>
          <cell r="AP121">
            <v>140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235</v>
          </cell>
          <cell r="AX121">
            <v>205</v>
          </cell>
          <cell r="AY121">
            <v>0</v>
          </cell>
          <cell r="AZ121">
            <v>0</v>
          </cell>
          <cell r="BA121">
            <v>1352652</v>
          </cell>
          <cell r="BB121">
            <v>2364</v>
          </cell>
          <cell r="BC121">
            <v>1350288</v>
          </cell>
        </row>
        <row r="122">
          <cell r="C122" t="str">
            <v>KAP101</v>
          </cell>
          <cell r="D122">
            <v>28800</v>
          </cell>
          <cell r="E122">
            <v>21240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7560</v>
          </cell>
          <cell r="K122">
            <v>2605</v>
          </cell>
          <cell r="L122">
            <v>810</v>
          </cell>
          <cell r="M122">
            <v>575</v>
          </cell>
          <cell r="N122">
            <v>0</v>
          </cell>
          <cell r="O122">
            <v>0</v>
          </cell>
          <cell r="P122">
            <v>235</v>
          </cell>
          <cell r="Q122">
            <v>130</v>
          </cell>
          <cell r="R122">
            <v>130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2535</v>
          </cell>
          <cell r="X122">
            <v>1270</v>
          </cell>
          <cell r="Y122">
            <v>860</v>
          </cell>
          <cell r="Z122">
            <v>215</v>
          </cell>
          <cell r="AA122">
            <v>0</v>
          </cell>
          <cell r="AB122">
            <v>190</v>
          </cell>
          <cell r="AC122">
            <v>170</v>
          </cell>
          <cell r="AD122">
            <v>170</v>
          </cell>
          <cell r="AE122">
            <v>0</v>
          </cell>
          <cell r="AF122">
            <v>1310</v>
          </cell>
          <cell r="AG122">
            <v>0</v>
          </cell>
          <cell r="AH122">
            <v>0</v>
          </cell>
          <cell r="AI122">
            <v>400</v>
          </cell>
          <cell r="AJ122">
            <v>0</v>
          </cell>
          <cell r="AK122">
            <v>335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135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235</v>
          </cell>
          <cell r="AX122">
            <v>205</v>
          </cell>
          <cell r="AY122">
            <v>0</v>
          </cell>
          <cell r="AZ122">
            <v>0</v>
          </cell>
          <cell r="BA122">
            <v>676737</v>
          </cell>
          <cell r="BB122">
            <v>2364</v>
          </cell>
          <cell r="BC122">
            <v>674373</v>
          </cell>
        </row>
        <row r="123">
          <cell r="C123" t="str">
            <v>KAP103</v>
          </cell>
          <cell r="D123">
            <v>28800</v>
          </cell>
          <cell r="E123">
            <v>26760</v>
          </cell>
          <cell r="F123">
            <v>510</v>
          </cell>
          <cell r="G123">
            <v>0</v>
          </cell>
          <cell r="H123">
            <v>510</v>
          </cell>
          <cell r="I123">
            <v>0</v>
          </cell>
          <cell r="J123">
            <v>1530</v>
          </cell>
          <cell r="K123">
            <v>505</v>
          </cell>
          <cell r="L123">
            <v>150</v>
          </cell>
          <cell r="M123">
            <v>150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200</v>
          </cell>
          <cell r="X123">
            <v>95</v>
          </cell>
          <cell r="Y123">
            <v>90</v>
          </cell>
          <cell r="Z123">
            <v>0</v>
          </cell>
          <cell r="AA123">
            <v>0</v>
          </cell>
          <cell r="AB123">
            <v>15</v>
          </cell>
          <cell r="AC123">
            <v>0</v>
          </cell>
          <cell r="AD123">
            <v>0</v>
          </cell>
          <cell r="AE123">
            <v>0</v>
          </cell>
          <cell r="AF123">
            <v>675</v>
          </cell>
          <cell r="AG123">
            <v>0</v>
          </cell>
          <cell r="AH123">
            <v>0</v>
          </cell>
          <cell r="AI123">
            <v>60</v>
          </cell>
          <cell r="AJ123">
            <v>0</v>
          </cell>
          <cell r="AK123">
            <v>80</v>
          </cell>
          <cell r="AL123">
            <v>35</v>
          </cell>
          <cell r="AM123">
            <v>0</v>
          </cell>
          <cell r="AN123">
            <v>0</v>
          </cell>
          <cell r="AO123">
            <v>495</v>
          </cell>
          <cell r="AP123">
            <v>5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675915</v>
          </cell>
          <cell r="BB123">
            <v>0</v>
          </cell>
          <cell r="BC123">
            <v>675915</v>
          </cell>
        </row>
        <row r="124">
          <cell r="C124" t="str">
            <v>NBL SOL-STRIPPING</v>
          </cell>
          <cell r="D124">
            <v>144000</v>
          </cell>
          <cell r="E124">
            <v>93150</v>
          </cell>
          <cell r="F124">
            <v>1460</v>
          </cell>
          <cell r="G124">
            <v>0</v>
          </cell>
          <cell r="H124">
            <v>1460</v>
          </cell>
          <cell r="I124">
            <v>0</v>
          </cell>
          <cell r="J124">
            <v>49390</v>
          </cell>
          <cell r="K124">
            <v>20280</v>
          </cell>
          <cell r="L124">
            <v>6235</v>
          </cell>
          <cell r="M124">
            <v>3720</v>
          </cell>
          <cell r="N124">
            <v>0</v>
          </cell>
          <cell r="O124">
            <v>2515</v>
          </cell>
          <cell r="P124">
            <v>0</v>
          </cell>
          <cell r="Q124">
            <v>950</v>
          </cell>
          <cell r="R124">
            <v>645</v>
          </cell>
          <cell r="S124">
            <v>305</v>
          </cell>
          <cell r="T124">
            <v>0</v>
          </cell>
          <cell r="U124">
            <v>0</v>
          </cell>
          <cell r="V124">
            <v>0</v>
          </cell>
          <cell r="W124">
            <v>8965</v>
          </cell>
          <cell r="X124">
            <v>4830</v>
          </cell>
          <cell r="Y124">
            <v>1835</v>
          </cell>
          <cell r="Z124">
            <v>1585</v>
          </cell>
          <cell r="AA124">
            <v>0</v>
          </cell>
          <cell r="AB124">
            <v>715</v>
          </cell>
          <cell r="AC124">
            <v>2610</v>
          </cell>
          <cell r="AD124">
            <v>0</v>
          </cell>
          <cell r="AE124">
            <v>2610</v>
          </cell>
          <cell r="AF124">
            <v>10350</v>
          </cell>
          <cell r="AG124">
            <v>0</v>
          </cell>
          <cell r="AH124">
            <v>0</v>
          </cell>
          <cell r="AI124">
            <v>2965</v>
          </cell>
          <cell r="AJ124">
            <v>0</v>
          </cell>
          <cell r="AK124">
            <v>2660</v>
          </cell>
          <cell r="AL124">
            <v>735</v>
          </cell>
          <cell r="AM124">
            <v>0</v>
          </cell>
          <cell r="AN124">
            <v>0</v>
          </cell>
          <cell r="AO124">
            <v>285</v>
          </cell>
          <cell r="AP124">
            <v>1760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1880</v>
          </cell>
          <cell r="AX124">
            <v>65</v>
          </cell>
          <cell r="AY124">
            <v>0</v>
          </cell>
          <cell r="AZ124">
            <v>0</v>
          </cell>
          <cell r="BA124">
            <v>10929635</v>
          </cell>
          <cell r="BB124">
            <v>61723</v>
          </cell>
          <cell r="BC124">
            <v>10867912</v>
          </cell>
        </row>
        <row r="125">
          <cell r="C125" t="str">
            <v>STR105</v>
          </cell>
          <cell r="D125">
            <v>28800</v>
          </cell>
          <cell r="E125">
            <v>18090</v>
          </cell>
          <cell r="F125">
            <v>415</v>
          </cell>
          <cell r="G125">
            <v>0</v>
          </cell>
          <cell r="H125">
            <v>415</v>
          </cell>
          <cell r="I125">
            <v>0</v>
          </cell>
          <cell r="J125">
            <v>10295</v>
          </cell>
          <cell r="K125">
            <v>3760</v>
          </cell>
          <cell r="L125">
            <v>1865</v>
          </cell>
          <cell r="M125">
            <v>830</v>
          </cell>
          <cell r="N125">
            <v>0</v>
          </cell>
          <cell r="O125">
            <v>1035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1935</v>
          </cell>
          <cell r="X125">
            <v>990</v>
          </cell>
          <cell r="Y125">
            <v>325</v>
          </cell>
          <cell r="Z125">
            <v>465</v>
          </cell>
          <cell r="AA125">
            <v>0</v>
          </cell>
          <cell r="AB125">
            <v>155</v>
          </cell>
          <cell r="AC125">
            <v>0</v>
          </cell>
          <cell r="AD125">
            <v>0</v>
          </cell>
          <cell r="AE125">
            <v>0</v>
          </cell>
          <cell r="AF125">
            <v>2735</v>
          </cell>
          <cell r="AG125">
            <v>0</v>
          </cell>
          <cell r="AH125">
            <v>0</v>
          </cell>
          <cell r="AI125">
            <v>630</v>
          </cell>
          <cell r="AJ125">
            <v>0</v>
          </cell>
          <cell r="AK125">
            <v>520</v>
          </cell>
          <cell r="AL125">
            <v>490</v>
          </cell>
          <cell r="AM125">
            <v>0</v>
          </cell>
          <cell r="AN125">
            <v>0</v>
          </cell>
          <cell r="AO125">
            <v>0</v>
          </cell>
          <cell r="AP125">
            <v>405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690</v>
          </cell>
          <cell r="AX125">
            <v>0</v>
          </cell>
          <cell r="AY125">
            <v>0</v>
          </cell>
          <cell r="AZ125">
            <v>0</v>
          </cell>
          <cell r="BA125">
            <v>1241760</v>
          </cell>
          <cell r="BB125">
            <v>12550</v>
          </cell>
          <cell r="BC125">
            <v>1229210</v>
          </cell>
        </row>
        <row r="126">
          <cell r="C126" t="str">
            <v>STR102</v>
          </cell>
          <cell r="D126">
            <v>28800</v>
          </cell>
          <cell r="E126">
            <v>17640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11160</v>
          </cell>
          <cell r="K126">
            <v>4290</v>
          </cell>
          <cell r="L126">
            <v>1375</v>
          </cell>
          <cell r="M126">
            <v>940</v>
          </cell>
          <cell r="N126">
            <v>0</v>
          </cell>
          <cell r="O126">
            <v>435</v>
          </cell>
          <cell r="P126">
            <v>0</v>
          </cell>
          <cell r="Q126">
            <v>45</v>
          </cell>
          <cell r="R126">
            <v>15</v>
          </cell>
          <cell r="S126">
            <v>30</v>
          </cell>
          <cell r="T126">
            <v>0</v>
          </cell>
          <cell r="U126">
            <v>0</v>
          </cell>
          <cell r="V126">
            <v>0</v>
          </cell>
          <cell r="W126">
            <v>2545</v>
          </cell>
          <cell r="X126">
            <v>1295</v>
          </cell>
          <cell r="Y126">
            <v>780</v>
          </cell>
          <cell r="Z126">
            <v>305</v>
          </cell>
          <cell r="AA126">
            <v>0</v>
          </cell>
          <cell r="AB126">
            <v>165</v>
          </cell>
          <cell r="AC126">
            <v>780</v>
          </cell>
          <cell r="AD126">
            <v>0</v>
          </cell>
          <cell r="AE126">
            <v>780</v>
          </cell>
          <cell r="AF126">
            <v>2125</v>
          </cell>
          <cell r="AG126">
            <v>0</v>
          </cell>
          <cell r="AH126">
            <v>0</v>
          </cell>
          <cell r="AI126">
            <v>670</v>
          </cell>
          <cell r="AJ126">
            <v>0</v>
          </cell>
          <cell r="AK126">
            <v>585</v>
          </cell>
          <cell r="AL126">
            <v>0</v>
          </cell>
          <cell r="AM126">
            <v>0</v>
          </cell>
          <cell r="AN126">
            <v>0</v>
          </cell>
          <cell r="AO126">
            <v>135</v>
          </cell>
          <cell r="AP126">
            <v>410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325</v>
          </cell>
          <cell r="AX126">
            <v>0</v>
          </cell>
          <cell r="AY126">
            <v>0</v>
          </cell>
          <cell r="AZ126">
            <v>0</v>
          </cell>
          <cell r="BA126">
            <v>5073913</v>
          </cell>
          <cell r="BB126">
            <v>23593</v>
          </cell>
          <cell r="BC126">
            <v>5050320</v>
          </cell>
        </row>
        <row r="127">
          <cell r="C127" t="str">
            <v>STR104</v>
          </cell>
          <cell r="D127">
            <v>28800</v>
          </cell>
          <cell r="E127">
            <v>23160</v>
          </cell>
          <cell r="F127">
            <v>375</v>
          </cell>
          <cell r="G127">
            <v>0</v>
          </cell>
          <cell r="H127">
            <v>375</v>
          </cell>
          <cell r="I127">
            <v>0</v>
          </cell>
          <cell r="J127">
            <v>5265</v>
          </cell>
          <cell r="K127">
            <v>3370</v>
          </cell>
          <cell r="L127">
            <v>60</v>
          </cell>
          <cell r="M127">
            <v>60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915</v>
          </cell>
          <cell r="X127">
            <v>520</v>
          </cell>
          <cell r="Y127">
            <v>120</v>
          </cell>
          <cell r="Z127">
            <v>185</v>
          </cell>
          <cell r="AA127">
            <v>0</v>
          </cell>
          <cell r="AB127">
            <v>90</v>
          </cell>
          <cell r="AC127">
            <v>0</v>
          </cell>
          <cell r="AD127">
            <v>0</v>
          </cell>
          <cell r="AE127">
            <v>0</v>
          </cell>
          <cell r="AF127">
            <v>920</v>
          </cell>
          <cell r="AG127">
            <v>0</v>
          </cell>
          <cell r="AH127">
            <v>0</v>
          </cell>
          <cell r="AI127">
            <v>330</v>
          </cell>
          <cell r="AJ127">
            <v>0</v>
          </cell>
          <cell r="AK127">
            <v>225</v>
          </cell>
          <cell r="AL127">
            <v>55</v>
          </cell>
          <cell r="AM127">
            <v>0</v>
          </cell>
          <cell r="AN127">
            <v>0</v>
          </cell>
          <cell r="AO127">
            <v>75</v>
          </cell>
          <cell r="AP127">
            <v>155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80</v>
          </cell>
          <cell r="AX127">
            <v>0</v>
          </cell>
          <cell r="AY127">
            <v>0</v>
          </cell>
          <cell r="AZ127">
            <v>0</v>
          </cell>
          <cell r="BA127">
            <v>23789</v>
          </cell>
          <cell r="BB127">
            <v>52</v>
          </cell>
          <cell r="BC127">
            <v>23737</v>
          </cell>
        </row>
        <row r="128">
          <cell r="C128" t="str">
            <v>STR103</v>
          </cell>
          <cell r="D128">
            <v>28800</v>
          </cell>
          <cell r="E128">
            <v>16650</v>
          </cell>
          <cell r="F128">
            <v>415</v>
          </cell>
          <cell r="G128">
            <v>0</v>
          </cell>
          <cell r="H128">
            <v>415</v>
          </cell>
          <cell r="I128">
            <v>0</v>
          </cell>
          <cell r="J128">
            <v>11735</v>
          </cell>
          <cell r="K128">
            <v>4670</v>
          </cell>
          <cell r="L128">
            <v>1665</v>
          </cell>
          <cell r="M128">
            <v>1130</v>
          </cell>
          <cell r="N128">
            <v>0</v>
          </cell>
          <cell r="O128">
            <v>535</v>
          </cell>
          <cell r="P128">
            <v>0</v>
          </cell>
          <cell r="Q128">
            <v>180</v>
          </cell>
          <cell r="R128">
            <v>130</v>
          </cell>
          <cell r="S128">
            <v>50</v>
          </cell>
          <cell r="T128">
            <v>0</v>
          </cell>
          <cell r="U128">
            <v>0</v>
          </cell>
          <cell r="V128">
            <v>0</v>
          </cell>
          <cell r="W128">
            <v>1875</v>
          </cell>
          <cell r="X128">
            <v>1060</v>
          </cell>
          <cell r="Y128">
            <v>345</v>
          </cell>
          <cell r="Z128">
            <v>315</v>
          </cell>
          <cell r="AA128">
            <v>0</v>
          </cell>
          <cell r="AB128">
            <v>155</v>
          </cell>
          <cell r="AC128">
            <v>960</v>
          </cell>
          <cell r="AD128">
            <v>0</v>
          </cell>
          <cell r="AE128">
            <v>960</v>
          </cell>
          <cell r="AF128">
            <v>2385</v>
          </cell>
          <cell r="AG128">
            <v>0</v>
          </cell>
          <cell r="AH128">
            <v>0</v>
          </cell>
          <cell r="AI128">
            <v>690</v>
          </cell>
          <cell r="AJ128">
            <v>0</v>
          </cell>
          <cell r="AK128">
            <v>685</v>
          </cell>
          <cell r="AL128">
            <v>190</v>
          </cell>
          <cell r="AM128">
            <v>0</v>
          </cell>
          <cell r="AN128">
            <v>0</v>
          </cell>
          <cell r="AO128">
            <v>0</v>
          </cell>
          <cell r="AP128">
            <v>355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465</v>
          </cell>
          <cell r="AX128">
            <v>0</v>
          </cell>
          <cell r="AY128">
            <v>0</v>
          </cell>
          <cell r="AZ128">
            <v>0</v>
          </cell>
          <cell r="BA128">
            <v>2372401</v>
          </cell>
          <cell r="BB128">
            <v>15091</v>
          </cell>
          <cell r="BC128">
            <v>2357310</v>
          </cell>
        </row>
        <row r="129">
          <cell r="C129" t="str">
            <v>STR101</v>
          </cell>
          <cell r="D129">
            <v>28800</v>
          </cell>
          <cell r="E129">
            <v>17610</v>
          </cell>
          <cell r="F129">
            <v>255</v>
          </cell>
          <cell r="G129">
            <v>0</v>
          </cell>
          <cell r="H129">
            <v>255</v>
          </cell>
          <cell r="I129">
            <v>0</v>
          </cell>
          <cell r="J129">
            <v>10935</v>
          </cell>
          <cell r="K129">
            <v>4190</v>
          </cell>
          <cell r="L129">
            <v>1270</v>
          </cell>
          <cell r="M129">
            <v>760</v>
          </cell>
          <cell r="N129">
            <v>0</v>
          </cell>
          <cell r="O129">
            <v>510</v>
          </cell>
          <cell r="P129">
            <v>0</v>
          </cell>
          <cell r="Q129">
            <v>725</v>
          </cell>
          <cell r="R129">
            <v>500</v>
          </cell>
          <cell r="S129">
            <v>225</v>
          </cell>
          <cell r="T129">
            <v>0</v>
          </cell>
          <cell r="U129">
            <v>0</v>
          </cell>
          <cell r="V129">
            <v>0</v>
          </cell>
          <cell r="W129">
            <v>1695</v>
          </cell>
          <cell r="X129">
            <v>965</v>
          </cell>
          <cell r="Y129">
            <v>265</v>
          </cell>
          <cell r="Z129">
            <v>315</v>
          </cell>
          <cell r="AA129">
            <v>0</v>
          </cell>
          <cell r="AB129">
            <v>150</v>
          </cell>
          <cell r="AC129">
            <v>870</v>
          </cell>
          <cell r="AD129">
            <v>0</v>
          </cell>
          <cell r="AE129">
            <v>870</v>
          </cell>
          <cell r="AF129">
            <v>2185</v>
          </cell>
          <cell r="AG129">
            <v>0</v>
          </cell>
          <cell r="AH129">
            <v>0</v>
          </cell>
          <cell r="AI129">
            <v>645</v>
          </cell>
          <cell r="AJ129">
            <v>0</v>
          </cell>
          <cell r="AK129">
            <v>645</v>
          </cell>
          <cell r="AL129">
            <v>0</v>
          </cell>
          <cell r="AM129">
            <v>0</v>
          </cell>
          <cell r="AN129">
            <v>0</v>
          </cell>
          <cell r="AO129">
            <v>75</v>
          </cell>
          <cell r="AP129">
            <v>435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320</v>
          </cell>
          <cell r="AX129">
            <v>65</v>
          </cell>
          <cell r="AY129">
            <v>0</v>
          </cell>
          <cell r="AZ129">
            <v>0</v>
          </cell>
          <cell r="BA129">
            <v>2217772</v>
          </cell>
          <cell r="BB129">
            <v>10437</v>
          </cell>
          <cell r="BC129">
            <v>2207335</v>
          </cell>
        </row>
        <row r="130">
          <cell r="C130" t="str">
            <v>NBL SYR-MIXING</v>
          </cell>
          <cell r="D130">
            <v>28800</v>
          </cell>
          <cell r="E130">
            <v>21660</v>
          </cell>
          <cell r="F130">
            <v>759</v>
          </cell>
          <cell r="G130">
            <v>228</v>
          </cell>
          <cell r="H130">
            <v>531</v>
          </cell>
          <cell r="I130">
            <v>0</v>
          </cell>
          <cell r="J130">
            <v>6381</v>
          </cell>
          <cell r="K130">
            <v>2092</v>
          </cell>
          <cell r="L130">
            <v>260</v>
          </cell>
          <cell r="M130">
            <v>260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2918</v>
          </cell>
          <cell r="X130">
            <v>196</v>
          </cell>
          <cell r="Y130">
            <v>2662</v>
          </cell>
          <cell r="Z130">
            <v>0</v>
          </cell>
          <cell r="AA130">
            <v>15</v>
          </cell>
          <cell r="AB130">
            <v>45</v>
          </cell>
          <cell r="AC130">
            <v>0</v>
          </cell>
          <cell r="AD130">
            <v>0</v>
          </cell>
          <cell r="AE130">
            <v>0</v>
          </cell>
          <cell r="AF130">
            <v>1111</v>
          </cell>
          <cell r="AG130">
            <v>76</v>
          </cell>
          <cell r="AH130">
            <v>0</v>
          </cell>
          <cell r="AI130">
            <v>270</v>
          </cell>
          <cell r="AJ130">
            <v>0</v>
          </cell>
          <cell r="AK130">
            <v>157</v>
          </cell>
          <cell r="AL130">
            <v>0</v>
          </cell>
          <cell r="AM130">
            <v>0</v>
          </cell>
          <cell r="AN130">
            <v>0</v>
          </cell>
          <cell r="AO130">
            <v>10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12</v>
          </cell>
          <cell r="AX130">
            <v>551</v>
          </cell>
          <cell r="AY130">
            <v>0</v>
          </cell>
          <cell r="AZ130">
            <v>35</v>
          </cell>
          <cell r="BA130">
            <v>9015</v>
          </cell>
          <cell r="BB130">
            <v>4.3499999999999996</v>
          </cell>
          <cell r="BC130">
            <v>9010.65</v>
          </cell>
        </row>
        <row r="131">
          <cell r="C131" t="str">
            <v>LMIXSYR1</v>
          </cell>
          <cell r="D131">
            <v>28800</v>
          </cell>
          <cell r="E131">
            <v>21660</v>
          </cell>
          <cell r="F131">
            <v>759</v>
          </cell>
          <cell r="G131">
            <v>228</v>
          </cell>
          <cell r="H131">
            <v>531</v>
          </cell>
          <cell r="I131">
            <v>0</v>
          </cell>
          <cell r="J131">
            <v>6381</v>
          </cell>
          <cell r="K131">
            <v>2092</v>
          </cell>
          <cell r="L131">
            <v>260</v>
          </cell>
          <cell r="M131">
            <v>260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2918</v>
          </cell>
          <cell r="X131">
            <v>196</v>
          </cell>
          <cell r="Y131">
            <v>2662</v>
          </cell>
          <cell r="Z131">
            <v>0</v>
          </cell>
          <cell r="AA131">
            <v>15</v>
          </cell>
          <cell r="AB131">
            <v>45</v>
          </cell>
          <cell r="AC131">
            <v>0</v>
          </cell>
          <cell r="AD131">
            <v>0</v>
          </cell>
          <cell r="AE131">
            <v>0</v>
          </cell>
          <cell r="AF131">
            <v>1111</v>
          </cell>
          <cell r="AG131">
            <v>76</v>
          </cell>
          <cell r="AH131">
            <v>0</v>
          </cell>
          <cell r="AI131">
            <v>270</v>
          </cell>
          <cell r="AJ131">
            <v>0</v>
          </cell>
          <cell r="AK131">
            <v>157</v>
          </cell>
          <cell r="AL131">
            <v>0</v>
          </cell>
          <cell r="AM131">
            <v>0</v>
          </cell>
          <cell r="AN131">
            <v>0</v>
          </cell>
          <cell r="AO131">
            <v>10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12</v>
          </cell>
          <cell r="AX131">
            <v>551</v>
          </cell>
          <cell r="AY131">
            <v>0</v>
          </cell>
          <cell r="AZ131">
            <v>35</v>
          </cell>
          <cell r="BA131">
            <v>9015</v>
          </cell>
          <cell r="BB131">
            <v>4.3499999999999996</v>
          </cell>
          <cell r="BC131">
            <v>9010.65</v>
          </cell>
        </row>
        <row r="132">
          <cell r="C132" t="str">
            <v>NBL SYR-FILLING</v>
          </cell>
          <cell r="D132">
            <v>57600</v>
          </cell>
          <cell r="E132">
            <v>44400</v>
          </cell>
          <cell r="F132">
            <v>4170</v>
          </cell>
          <cell r="G132">
            <v>45</v>
          </cell>
          <cell r="H132">
            <v>4125</v>
          </cell>
          <cell r="I132">
            <v>0</v>
          </cell>
          <cell r="J132">
            <v>9030</v>
          </cell>
          <cell r="K132">
            <v>2605</v>
          </cell>
          <cell r="L132">
            <v>690</v>
          </cell>
          <cell r="M132">
            <v>540</v>
          </cell>
          <cell r="N132">
            <v>0</v>
          </cell>
          <cell r="O132">
            <v>135</v>
          </cell>
          <cell r="P132">
            <v>15</v>
          </cell>
          <cell r="Q132">
            <v>440</v>
          </cell>
          <cell r="R132">
            <v>300</v>
          </cell>
          <cell r="S132">
            <v>0</v>
          </cell>
          <cell r="T132">
            <v>0</v>
          </cell>
          <cell r="U132">
            <v>140</v>
          </cell>
          <cell r="V132">
            <v>0</v>
          </cell>
          <cell r="W132">
            <v>2970</v>
          </cell>
          <cell r="X132">
            <v>410</v>
          </cell>
          <cell r="Y132">
            <v>1545</v>
          </cell>
          <cell r="Z132">
            <v>0</v>
          </cell>
          <cell r="AA132">
            <v>0</v>
          </cell>
          <cell r="AB132">
            <v>1015</v>
          </cell>
          <cell r="AC132">
            <v>0</v>
          </cell>
          <cell r="AD132">
            <v>0</v>
          </cell>
          <cell r="AE132">
            <v>0</v>
          </cell>
          <cell r="AF132">
            <v>2325</v>
          </cell>
          <cell r="AG132">
            <v>0</v>
          </cell>
          <cell r="AH132">
            <v>0</v>
          </cell>
          <cell r="AI132">
            <v>420</v>
          </cell>
          <cell r="AJ132">
            <v>0</v>
          </cell>
          <cell r="AK132">
            <v>240</v>
          </cell>
          <cell r="AL132">
            <v>0</v>
          </cell>
          <cell r="AM132">
            <v>0</v>
          </cell>
          <cell r="AN132">
            <v>0</v>
          </cell>
          <cell r="AO132">
            <v>1510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155</v>
          </cell>
          <cell r="AY132">
            <v>0</v>
          </cell>
          <cell r="AZ132">
            <v>0</v>
          </cell>
          <cell r="BA132">
            <v>136811</v>
          </cell>
          <cell r="BB132">
            <v>285</v>
          </cell>
          <cell r="BC132">
            <v>136526</v>
          </cell>
        </row>
        <row r="133">
          <cell r="C133" t="str">
            <v>SYR109</v>
          </cell>
          <cell r="D133">
            <v>28800</v>
          </cell>
          <cell r="E133">
            <v>20160</v>
          </cell>
          <cell r="F133">
            <v>2400</v>
          </cell>
          <cell r="G133">
            <v>45</v>
          </cell>
          <cell r="H133">
            <v>2355</v>
          </cell>
          <cell r="I133">
            <v>0</v>
          </cell>
          <cell r="J133">
            <v>6240</v>
          </cell>
          <cell r="K133">
            <v>1680</v>
          </cell>
          <cell r="L133">
            <v>495</v>
          </cell>
          <cell r="M133">
            <v>435</v>
          </cell>
          <cell r="N133">
            <v>0</v>
          </cell>
          <cell r="O133">
            <v>60</v>
          </cell>
          <cell r="P133">
            <v>0</v>
          </cell>
          <cell r="Q133">
            <v>300</v>
          </cell>
          <cell r="R133">
            <v>300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2040</v>
          </cell>
          <cell r="X133">
            <v>130</v>
          </cell>
          <cell r="Y133">
            <v>1300</v>
          </cell>
          <cell r="Z133">
            <v>0</v>
          </cell>
          <cell r="AA133">
            <v>0</v>
          </cell>
          <cell r="AB133">
            <v>610</v>
          </cell>
          <cell r="AC133">
            <v>0</v>
          </cell>
          <cell r="AD133">
            <v>0</v>
          </cell>
          <cell r="AE133">
            <v>0</v>
          </cell>
          <cell r="AF133">
            <v>1725</v>
          </cell>
          <cell r="AG133">
            <v>0</v>
          </cell>
          <cell r="AH133">
            <v>0</v>
          </cell>
          <cell r="AI133">
            <v>270</v>
          </cell>
          <cell r="AJ133">
            <v>0</v>
          </cell>
          <cell r="AK133">
            <v>150</v>
          </cell>
          <cell r="AL133">
            <v>0</v>
          </cell>
          <cell r="AM133">
            <v>0</v>
          </cell>
          <cell r="AN133">
            <v>0</v>
          </cell>
          <cell r="AO133">
            <v>1290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15</v>
          </cell>
          <cell r="AY133">
            <v>0</v>
          </cell>
          <cell r="AZ133">
            <v>0</v>
          </cell>
          <cell r="BA133">
            <v>88246</v>
          </cell>
          <cell r="BB133">
            <v>195</v>
          </cell>
          <cell r="BC133">
            <v>88051</v>
          </cell>
        </row>
        <row r="134">
          <cell r="C134" t="str">
            <v>SYR110</v>
          </cell>
          <cell r="D134">
            <v>28800</v>
          </cell>
          <cell r="E134">
            <v>24240</v>
          </cell>
          <cell r="F134">
            <v>1770</v>
          </cell>
          <cell r="G134">
            <v>0</v>
          </cell>
          <cell r="H134">
            <v>1770</v>
          </cell>
          <cell r="I134">
            <v>0</v>
          </cell>
          <cell r="J134">
            <v>2790</v>
          </cell>
          <cell r="K134">
            <v>925</v>
          </cell>
          <cell r="L134">
            <v>195</v>
          </cell>
          <cell r="M134">
            <v>105</v>
          </cell>
          <cell r="N134">
            <v>0</v>
          </cell>
          <cell r="O134">
            <v>75</v>
          </cell>
          <cell r="P134">
            <v>15</v>
          </cell>
          <cell r="Q134">
            <v>140</v>
          </cell>
          <cell r="R134">
            <v>0</v>
          </cell>
          <cell r="S134">
            <v>0</v>
          </cell>
          <cell r="T134">
            <v>0</v>
          </cell>
          <cell r="U134">
            <v>140</v>
          </cell>
          <cell r="V134">
            <v>0</v>
          </cell>
          <cell r="W134">
            <v>930</v>
          </cell>
          <cell r="X134">
            <v>280</v>
          </cell>
          <cell r="Y134">
            <v>245</v>
          </cell>
          <cell r="Z134">
            <v>0</v>
          </cell>
          <cell r="AA134">
            <v>0</v>
          </cell>
          <cell r="AB134">
            <v>405</v>
          </cell>
          <cell r="AC134">
            <v>0</v>
          </cell>
          <cell r="AD134">
            <v>0</v>
          </cell>
          <cell r="AE134">
            <v>0</v>
          </cell>
          <cell r="AF134">
            <v>600</v>
          </cell>
          <cell r="AG134">
            <v>0</v>
          </cell>
          <cell r="AH134">
            <v>0</v>
          </cell>
          <cell r="AI134">
            <v>150</v>
          </cell>
          <cell r="AJ134">
            <v>0</v>
          </cell>
          <cell r="AK134">
            <v>90</v>
          </cell>
          <cell r="AL134">
            <v>0</v>
          </cell>
          <cell r="AM134">
            <v>0</v>
          </cell>
          <cell r="AN134">
            <v>0</v>
          </cell>
          <cell r="AO134">
            <v>220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140</v>
          </cell>
          <cell r="AY134">
            <v>0</v>
          </cell>
          <cell r="AZ134">
            <v>0</v>
          </cell>
          <cell r="BA134">
            <v>48565</v>
          </cell>
          <cell r="BB134">
            <v>90</v>
          </cell>
          <cell r="BC134">
            <v>48475</v>
          </cell>
        </row>
        <row r="135">
          <cell r="C135" t="str">
            <v>NBL INJ-MIXING</v>
          </cell>
          <cell r="D135">
            <v>28800</v>
          </cell>
          <cell r="E135">
            <v>19770</v>
          </cell>
          <cell r="F135">
            <v>700</v>
          </cell>
          <cell r="G135">
            <v>60</v>
          </cell>
          <cell r="H135">
            <v>640</v>
          </cell>
          <cell r="I135">
            <v>0</v>
          </cell>
          <cell r="J135">
            <v>8330</v>
          </cell>
          <cell r="K135">
            <v>2839</v>
          </cell>
          <cell r="L135">
            <v>180</v>
          </cell>
          <cell r="M135">
            <v>180</v>
          </cell>
          <cell r="N135">
            <v>0</v>
          </cell>
          <cell r="O135">
            <v>0</v>
          </cell>
          <cell r="P135">
            <v>0</v>
          </cell>
          <cell r="Q135">
            <v>20</v>
          </cell>
          <cell r="R135">
            <v>0</v>
          </cell>
          <cell r="S135">
            <v>0</v>
          </cell>
          <cell r="T135">
            <v>0</v>
          </cell>
          <cell r="U135">
            <v>20</v>
          </cell>
          <cell r="V135">
            <v>0</v>
          </cell>
          <cell r="W135">
            <v>2864</v>
          </cell>
          <cell r="X135">
            <v>624</v>
          </cell>
          <cell r="Y135">
            <v>1926</v>
          </cell>
          <cell r="Z135">
            <v>0</v>
          </cell>
          <cell r="AA135">
            <v>314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2427</v>
          </cell>
          <cell r="AG135">
            <v>0</v>
          </cell>
          <cell r="AH135">
            <v>0</v>
          </cell>
          <cell r="AI135">
            <v>600</v>
          </cell>
          <cell r="AJ135">
            <v>0</v>
          </cell>
          <cell r="AK135">
            <v>460</v>
          </cell>
          <cell r="AL135">
            <v>0</v>
          </cell>
          <cell r="AM135">
            <v>20</v>
          </cell>
          <cell r="AN135">
            <v>0</v>
          </cell>
          <cell r="AO135">
            <v>19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1328</v>
          </cell>
          <cell r="AX135">
            <v>0</v>
          </cell>
          <cell r="AY135">
            <v>0</v>
          </cell>
          <cell r="AZ135">
            <v>0</v>
          </cell>
          <cell r="BA135">
            <v>1230</v>
          </cell>
          <cell r="BB135">
            <v>0</v>
          </cell>
          <cell r="BC135">
            <v>1230</v>
          </cell>
        </row>
        <row r="136">
          <cell r="C136" t="str">
            <v>LMIXINJ1</v>
          </cell>
          <cell r="D136">
            <v>28800</v>
          </cell>
          <cell r="E136">
            <v>19770</v>
          </cell>
          <cell r="F136">
            <v>700</v>
          </cell>
          <cell r="G136">
            <v>60</v>
          </cell>
          <cell r="H136">
            <v>640</v>
          </cell>
          <cell r="I136">
            <v>0</v>
          </cell>
          <cell r="J136">
            <v>8330</v>
          </cell>
          <cell r="K136">
            <v>2839</v>
          </cell>
          <cell r="L136">
            <v>180</v>
          </cell>
          <cell r="M136">
            <v>180</v>
          </cell>
          <cell r="N136">
            <v>0</v>
          </cell>
          <cell r="O136">
            <v>0</v>
          </cell>
          <cell r="P136">
            <v>0</v>
          </cell>
          <cell r="Q136">
            <v>20</v>
          </cell>
          <cell r="R136">
            <v>0</v>
          </cell>
          <cell r="S136">
            <v>0</v>
          </cell>
          <cell r="T136">
            <v>0</v>
          </cell>
          <cell r="U136">
            <v>20</v>
          </cell>
          <cell r="V136">
            <v>0</v>
          </cell>
          <cell r="W136">
            <v>2864</v>
          </cell>
          <cell r="X136">
            <v>624</v>
          </cell>
          <cell r="Y136">
            <v>1926</v>
          </cell>
          <cell r="Z136">
            <v>0</v>
          </cell>
          <cell r="AA136">
            <v>314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2427</v>
          </cell>
          <cell r="AG136">
            <v>0</v>
          </cell>
          <cell r="AH136">
            <v>0</v>
          </cell>
          <cell r="AI136">
            <v>600</v>
          </cell>
          <cell r="AJ136">
            <v>0</v>
          </cell>
          <cell r="AK136">
            <v>460</v>
          </cell>
          <cell r="AL136">
            <v>0</v>
          </cell>
          <cell r="AM136">
            <v>20</v>
          </cell>
          <cell r="AN136">
            <v>0</v>
          </cell>
          <cell r="AO136">
            <v>19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1328</v>
          </cell>
          <cell r="AX136">
            <v>0</v>
          </cell>
          <cell r="AY136">
            <v>0</v>
          </cell>
          <cell r="AZ136">
            <v>0</v>
          </cell>
          <cell r="BA136">
            <v>1230</v>
          </cell>
          <cell r="BB136">
            <v>0</v>
          </cell>
          <cell r="BC136">
            <v>1230</v>
          </cell>
        </row>
        <row r="137">
          <cell r="C137" t="str">
            <v>NBL INJ-FILLING</v>
          </cell>
          <cell r="D137">
            <v>57600</v>
          </cell>
          <cell r="E137">
            <v>30510</v>
          </cell>
          <cell r="F137">
            <v>1795</v>
          </cell>
          <cell r="G137">
            <v>215</v>
          </cell>
          <cell r="H137">
            <v>1580</v>
          </cell>
          <cell r="I137">
            <v>373</v>
          </cell>
          <cell r="J137">
            <v>24922</v>
          </cell>
          <cell r="K137">
            <v>9533</v>
          </cell>
          <cell r="L137">
            <v>2460</v>
          </cell>
          <cell r="M137">
            <v>2115</v>
          </cell>
          <cell r="N137">
            <v>49</v>
          </cell>
          <cell r="O137">
            <v>276</v>
          </cell>
          <cell r="P137">
            <v>20</v>
          </cell>
          <cell r="Q137">
            <v>211</v>
          </cell>
          <cell r="R137">
            <v>0</v>
          </cell>
          <cell r="S137">
            <v>66</v>
          </cell>
          <cell r="T137">
            <v>0</v>
          </cell>
          <cell r="U137">
            <v>140</v>
          </cell>
          <cell r="V137">
            <v>5</v>
          </cell>
          <cell r="W137">
            <v>5948</v>
          </cell>
          <cell r="X137">
            <v>1735</v>
          </cell>
          <cell r="Y137">
            <v>4013</v>
          </cell>
          <cell r="Z137">
            <v>55</v>
          </cell>
          <cell r="AA137">
            <v>0</v>
          </cell>
          <cell r="AB137">
            <v>145</v>
          </cell>
          <cell r="AC137">
            <v>0</v>
          </cell>
          <cell r="AD137">
            <v>0</v>
          </cell>
          <cell r="AE137">
            <v>0</v>
          </cell>
          <cell r="AF137">
            <v>6770</v>
          </cell>
          <cell r="AG137">
            <v>0</v>
          </cell>
          <cell r="AH137">
            <v>0</v>
          </cell>
          <cell r="AI137">
            <v>1714</v>
          </cell>
          <cell r="AJ137">
            <v>80</v>
          </cell>
          <cell r="AK137">
            <v>1859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365</v>
          </cell>
          <cell r="AQ137">
            <v>0</v>
          </cell>
          <cell r="AR137">
            <v>0</v>
          </cell>
          <cell r="AS137">
            <v>2700</v>
          </cell>
          <cell r="AT137">
            <v>0</v>
          </cell>
          <cell r="AU137">
            <v>0</v>
          </cell>
          <cell r="AV137">
            <v>0</v>
          </cell>
          <cell r="AW137">
            <v>52</v>
          </cell>
          <cell r="AX137">
            <v>0</v>
          </cell>
          <cell r="AY137">
            <v>0</v>
          </cell>
          <cell r="AZ137">
            <v>0</v>
          </cell>
          <cell r="BA137">
            <v>1067553</v>
          </cell>
          <cell r="BB137">
            <v>209</v>
          </cell>
          <cell r="BC137">
            <v>1067344</v>
          </cell>
        </row>
        <row r="138">
          <cell r="C138" t="str">
            <v>GINLINE3</v>
          </cell>
          <cell r="D138">
            <v>28800</v>
          </cell>
          <cell r="E138">
            <v>16290</v>
          </cell>
          <cell r="F138">
            <v>840</v>
          </cell>
          <cell r="G138">
            <v>40</v>
          </cell>
          <cell r="H138">
            <v>800</v>
          </cell>
          <cell r="I138">
            <v>373</v>
          </cell>
          <cell r="J138">
            <v>11297</v>
          </cell>
          <cell r="K138">
            <v>3050</v>
          </cell>
          <cell r="L138">
            <v>1265</v>
          </cell>
          <cell r="M138">
            <v>1050</v>
          </cell>
          <cell r="N138">
            <v>49</v>
          </cell>
          <cell r="O138">
            <v>146</v>
          </cell>
          <cell r="P138">
            <v>20</v>
          </cell>
          <cell r="Q138">
            <v>145</v>
          </cell>
          <cell r="R138">
            <v>0</v>
          </cell>
          <cell r="S138">
            <v>0</v>
          </cell>
          <cell r="T138">
            <v>0</v>
          </cell>
          <cell r="U138">
            <v>140</v>
          </cell>
          <cell r="V138">
            <v>5</v>
          </cell>
          <cell r="W138">
            <v>3413</v>
          </cell>
          <cell r="X138">
            <v>1390</v>
          </cell>
          <cell r="Y138">
            <v>1823</v>
          </cell>
          <cell r="Z138">
            <v>55</v>
          </cell>
          <cell r="AA138">
            <v>0</v>
          </cell>
          <cell r="AB138">
            <v>145</v>
          </cell>
          <cell r="AC138">
            <v>0</v>
          </cell>
          <cell r="AD138">
            <v>0</v>
          </cell>
          <cell r="AE138">
            <v>0</v>
          </cell>
          <cell r="AF138">
            <v>3424</v>
          </cell>
          <cell r="AG138">
            <v>0</v>
          </cell>
          <cell r="AH138">
            <v>0</v>
          </cell>
          <cell r="AI138">
            <v>755</v>
          </cell>
          <cell r="AJ138">
            <v>50</v>
          </cell>
          <cell r="AK138">
            <v>694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230</v>
          </cell>
          <cell r="AQ138">
            <v>0</v>
          </cell>
          <cell r="AR138">
            <v>0</v>
          </cell>
          <cell r="AS138">
            <v>1660</v>
          </cell>
          <cell r="AT138">
            <v>0</v>
          </cell>
          <cell r="AU138">
            <v>0</v>
          </cell>
          <cell r="AV138">
            <v>0</v>
          </cell>
          <cell r="AW138">
            <v>35</v>
          </cell>
          <cell r="AX138">
            <v>0</v>
          </cell>
          <cell r="AY138">
            <v>0</v>
          </cell>
          <cell r="AZ138">
            <v>0</v>
          </cell>
          <cell r="BA138">
            <v>536587</v>
          </cell>
          <cell r="BB138">
            <v>0</v>
          </cell>
          <cell r="BC138">
            <v>536587</v>
          </cell>
        </row>
        <row r="139">
          <cell r="C139" t="str">
            <v>GINLINE4</v>
          </cell>
          <cell r="D139">
            <v>28800</v>
          </cell>
          <cell r="E139">
            <v>14220</v>
          </cell>
          <cell r="F139">
            <v>955</v>
          </cell>
          <cell r="G139">
            <v>175</v>
          </cell>
          <cell r="H139">
            <v>780</v>
          </cell>
          <cell r="I139">
            <v>0</v>
          </cell>
          <cell r="J139">
            <v>13625</v>
          </cell>
          <cell r="K139">
            <v>6483</v>
          </cell>
          <cell r="L139">
            <v>1195</v>
          </cell>
          <cell r="M139">
            <v>1065</v>
          </cell>
          <cell r="N139">
            <v>0</v>
          </cell>
          <cell r="O139">
            <v>130</v>
          </cell>
          <cell r="P139">
            <v>0</v>
          </cell>
          <cell r="Q139">
            <v>66</v>
          </cell>
          <cell r="R139">
            <v>0</v>
          </cell>
          <cell r="S139">
            <v>66</v>
          </cell>
          <cell r="T139">
            <v>0</v>
          </cell>
          <cell r="U139">
            <v>0</v>
          </cell>
          <cell r="V139">
            <v>0</v>
          </cell>
          <cell r="W139">
            <v>2535</v>
          </cell>
          <cell r="X139">
            <v>345</v>
          </cell>
          <cell r="Y139">
            <v>2190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3346</v>
          </cell>
          <cell r="AG139">
            <v>0</v>
          </cell>
          <cell r="AH139">
            <v>0</v>
          </cell>
          <cell r="AI139">
            <v>959</v>
          </cell>
          <cell r="AJ139">
            <v>30</v>
          </cell>
          <cell r="AK139">
            <v>1165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135</v>
          </cell>
          <cell r="AQ139">
            <v>0</v>
          </cell>
          <cell r="AR139">
            <v>0</v>
          </cell>
          <cell r="AS139">
            <v>1040</v>
          </cell>
          <cell r="AT139">
            <v>0</v>
          </cell>
          <cell r="AU139">
            <v>0</v>
          </cell>
          <cell r="AV139">
            <v>0</v>
          </cell>
          <cell r="AW139">
            <v>17</v>
          </cell>
          <cell r="AX139">
            <v>0</v>
          </cell>
          <cell r="AY139">
            <v>0</v>
          </cell>
          <cell r="AZ139">
            <v>0</v>
          </cell>
          <cell r="BA139">
            <v>530966</v>
          </cell>
          <cell r="BB139">
            <v>209</v>
          </cell>
          <cell r="BC139">
            <v>530757</v>
          </cell>
        </row>
        <row r="140">
          <cell r="C140" t="str">
            <v>NBL INJ-STERILIZATION</v>
          </cell>
          <cell r="D140">
            <v>86400</v>
          </cell>
          <cell r="E140">
            <v>43705</v>
          </cell>
          <cell r="F140">
            <v>3804</v>
          </cell>
          <cell r="G140">
            <v>1464</v>
          </cell>
          <cell r="H140">
            <v>2340</v>
          </cell>
          <cell r="I140">
            <v>0</v>
          </cell>
          <cell r="J140">
            <v>38891</v>
          </cell>
          <cell r="K140">
            <v>17469</v>
          </cell>
          <cell r="L140">
            <v>832</v>
          </cell>
          <cell r="M140">
            <v>832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8848</v>
          </cell>
          <cell r="X140">
            <v>7204</v>
          </cell>
          <cell r="Y140">
            <v>1374</v>
          </cell>
          <cell r="Z140">
            <v>90</v>
          </cell>
          <cell r="AA140">
            <v>0</v>
          </cell>
          <cell r="AB140">
            <v>180</v>
          </cell>
          <cell r="AC140">
            <v>0</v>
          </cell>
          <cell r="AD140">
            <v>0</v>
          </cell>
          <cell r="AE140">
            <v>0</v>
          </cell>
          <cell r="AF140">
            <v>11742</v>
          </cell>
          <cell r="AG140">
            <v>0</v>
          </cell>
          <cell r="AH140">
            <v>0</v>
          </cell>
          <cell r="AI140">
            <v>760</v>
          </cell>
          <cell r="AJ140">
            <v>60</v>
          </cell>
          <cell r="AK140">
            <v>540</v>
          </cell>
          <cell r="AL140">
            <v>1505</v>
          </cell>
          <cell r="AM140">
            <v>10</v>
          </cell>
          <cell r="AN140">
            <v>0</v>
          </cell>
          <cell r="AO140">
            <v>8552</v>
          </cell>
          <cell r="AP140">
            <v>315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1343</v>
          </cell>
          <cell r="BB140">
            <v>0</v>
          </cell>
          <cell r="BC140">
            <v>1343</v>
          </cell>
        </row>
        <row r="141">
          <cell r="C141" t="str">
            <v>INJ105</v>
          </cell>
          <cell r="D141">
            <v>28800</v>
          </cell>
          <cell r="E141">
            <v>11370</v>
          </cell>
          <cell r="F141">
            <v>1741</v>
          </cell>
          <cell r="G141">
            <v>823</v>
          </cell>
          <cell r="H141">
            <v>918</v>
          </cell>
          <cell r="I141">
            <v>0</v>
          </cell>
          <cell r="J141">
            <v>15689</v>
          </cell>
          <cell r="K141">
            <v>6670</v>
          </cell>
          <cell r="L141">
            <v>269</v>
          </cell>
          <cell r="M141">
            <v>269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1691</v>
          </cell>
          <cell r="X141">
            <v>922</v>
          </cell>
          <cell r="Y141">
            <v>769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7059</v>
          </cell>
          <cell r="AG141">
            <v>0</v>
          </cell>
          <cell r="AH141">
            <v>0</v>
          </cell>
          <cell r="AI141">
            <v>132</v>
          </cell>
          <cell r="AJ141">
            <v>0</v>
          </cell>
          <cell r="AK141">
            <v>115</v>
          </cell>
          <cell r="AL141">
            <v>0</v>
          </cell>
          <cell r="AM141">
            <v>5</v>
          </cell>
          <cell r="AN141">
            <v>0</v>
          </cell>
          <cell r="AO141">
            <v>6769</v>
          </cell>
          <cell r="AP141">
            <v>38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665</v>
          </cell>
          <cell r="BB141">
            <v>0</v>
          </cell>
          <cell r="BC141">
            <v>665</v>
          </cell>
        </row>
        <row r="142">
          <cell r="C142" t="str">
            <v>INJ106</v>
          </cell>
          <cell r="D142">
            <v>28800</v>
          </cell>
          <cell r="E142">
            <v>11812</v>
          </cell>
          <cell r="F142">
            <v>745</v>
          </cell>
          <cell r="G142">
            <v>611</v>
          </cell>
          <cell r="H142">
            <v>134</v>
          </cell>
          <cell r="I142">
            <v>0</v>
          </cell>
          <cell r="J142">
            <v>16243</v>
          </cell>
          <cell r="K142">
            <v>9877</v>
          </cell>
          <cell r="L142">
            <v>73</v>
          </cell>
          <cell r="M142">
            <v>73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5431</v>
          </cell>
          <cell r="X142">
            <v>5211</v>
          </cell>
          <cell r="Y142">
            <v>220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862</v>
          </cell>
          <cell r="AG142">
            <v>0</v>
          </cell>
          <cell r="AH142">
            <v>0</v>
          </cell>
          <cell r="AI142">
            <v>388</v>
          </cell>
          <cell r="AJ142">
            <v>0</v>
          </cell>
          <cell r="AK142">
            <v>210</v>
          </cell>
          <cell r="AL142">
            <v>0</v>
          </cell>
          <cell r="AM142">
            <v>5</v>
          </cell>
          <cell r="AN142">
            <v>0</v>
          </cell>
          <cell r="AO142">
            <v>252</v>
          </cell>
          <cell r="AP142">
            <v>7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652</v>
          </cell>
          <cell r="BB142">
            <v>0</v>
          </cell>
          <cell r="BC142">
            <v>652</v>
          </cell>
        </row>
        <row r="143">
          <cell r="C143" t="str">
            <v>INJ107</v>
          </cell>
          <cell r="D143">
            <v>28800</v>
          </cell>
          <cell r="E143">
            <v>20523</v>
          </cell>
          <cell r="F143">
            <v>1318</v>
          </cell>
          <cell r="G143">
            <v>30</v>
          </cell>
          <cell r="H143">
            <v>1288</v>
          </cell>
          <cell r="I143">
            <v>0</v>
          </cell>
          <cell r="J143">
            <v>6959</v>
          </cell>
          <cell r="K143">
            <v>922</v>
          </cell>
          <cell r="L143">
            <v>490</v>
          </cell>
          <cell r="M143">
            <v>490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1726</v>
          </cell>
          <cell r="X143">
            <v>1071</v>
          </cell>
          <cell r="Y143">
            <v>385</v>
          </cell>
          <cell r="Z143">
            <v>90</v>
          </cell>
          <cell r="AA143">
            <v>0</v>
          </cell>
          <cell r="AB143">
            <v>180</v>
          </cell>
          <cell r="AC143">
            <v>0</v>
          </cell>
          <cell r="AD143">
            <v>0</v>
          </cell>
          <cell r="AE143">
            <v>0</v>
          </cell>
          <cell r="AF143">
            <v>3821</v>
          </cell>
          <cell r="AG143">
            <v>0</v>
          </cell>
          <cell r="AH143">
            <v>0</v>
          </cell>
          <cell r="AI143">
            <v>240</v>
          </cell>
          <cell r="AJ143">
            <v>60</v>
          </cell>
          <cell r="AK143">
            <v>215</v>
          </cell>
          <cell r="AL143">
            <v>1505</v>
          </cell>
          <cell r="AM143">
            <v>0</v>
          </cell>
          <cell r="AN143">
            <v>0</v>
          </cell>
          <cell r="AO143">
            <v>1531</v>
          </cell>
          <cell r="AP143">
            <v>270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26</v>
          </cell>
          <cell r="BB143">
            <v>0</v>
          </cell>
          <cell r="BC143">
            <v>26</v>
          </cell>
        </row>
        <row r="144">
          <cell r="C144" t="str">
            <v>NBL SECONDARY PACKING</v>
          </cell>
          <cell r="D144">
            <v>172800</v>
          </cell>
          <cell r="E144">
            <v>124620</v>
          </cell>
          <cell r="F144">
            <v>4945</v>
          </cell>
          <cell r="G144">
            <v>1380</v>
          </cell>
          <cell r="H144">
            <v>3565</v>
          </cell>
          <cell r="I144">
            <v>0</v>
          </cell>
          <cell r="J144">
            <v>43235</v>
          </cell>
          <cell r="K144">
            <v>26473</v>
          </cell>
          <cell r="L144">
            <v>3187</v>
          </cell>
          <cell r="M144">
            <v>2180</v>
          </cell>
          <cell r="N144">
            <v>190</v>
          </cell>
          <cell r="O144">
            <v>147</v>
          </cell>
          <cell r="P144">
            <v>670</v>
          </cell>
          <cell r="Q144">
            <v>527</v>
          </cell>
          <cell r="R144">
            <v>125</v>
          </cell>
          <cell r="S144">
            <v>402</v>
          </cell>
          <cell r="T144">
            <v>0</v>
          </cell>
          <cell r="U144">
            <v>0</v>
          </cell>
          <cell r="V144">
            <v>0</v>
          </cell>
          <cell r="W144">
            <v>4030</v>
          </cell>
          <cell r="X144">
            <v>1745</v>
          </cell>
          <cell r="Y144">
            <v>1920</v>
          </cell>
          <cell r="Z144">
            <v>0</v>
          </cell>
          <cell r="AA144">
            <v>0</v>
          </cell>
          <cell r="AB144">
            <v>365</v>
          </cell>
          <cell r="AC144">
            <v>0</v>
          </cell>
          <cell r="AD144">
            <v>0</v>
          </cell>
          <cell r="AE144">
            <v>0</v>
          </cell>
          <cell r="AF144">
            <v>9018</v>
          </cell>
          <cell r="AG144">
            <v>0</v>
          </cell>
          <cell r="AH144">
            <v>90</v>
          </cell>
          <cell r="AI144">
            <v>2690</v>
          </cell>
          <cell r="AJ144">
            <v>0</v>
          </cell>
          <cell r="AK144">
            <v>1620</v>
          </cell>
          <cell r="AL144">
            <v>270</v>
          </cell>
          <cell r="AM144">
            <v>0</v>
          </cell>
          <cell r="AN144">
            <v>0</v>
          </cell>
          <cell r="AO144">
            <v>1885</v>
          </cell>
          <cell r="AP144">
            <v>852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1611</v>
          </cell>
          <cell r="AX144">
            <v>0</v>
          </cell>
          <cell r="AY144">
            <v>0</v>
          </cell>
          <cell r="AZ144">
            <v>0</v>
          </cell>
          <cell r="BA144">
            <v>1383080</v>
          </cell>
          <cell r="BB144">
            <v>52</v>
          </cell>
          <cell r="BC144">
            <v>1383028</v>
          </cell>
        </row>
        <row r="145">
          <cell r="C145" t="str">
            <v>PAK101</v>
          </cell>
          <cell r="D145">
            <v>28800</v>
          </cell>
          <cell r="E145">
            <v>13470</v>
          </cell>
          <cell r="F145">
            <v>825</v>
          </cell>
          <cell r="G145">
            <v>525</v>
          </cell>
          <cell r="H145">
            <v>300</v>
          </cell>
          <cell r="I145">
            <v>0</v>
          </cell>
          <cell r="J145">
            <v>14505</v>
          </cell>
          <cell r="K145">
            <v>10706</v>
          </cell>
          <cell r="L145">
            <v>399</v>
          </cell>
          <cell r="M145">
            <v>364</v>
          </cell>
          <cell r="N145">
            <v>5</v>
          </cell>
          <cell r="O145">
            <v>30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993</v>
          </cell>
          <cell r="X145">
            <v>338</v>
          </cell>
          <cell r="Y145">
            <v>640</v>
          </cell>
          <cell r="Z145">
            <v>0</v>
          </cell>
          <cell r="AA145">
            <v>0</v>
          </cell>
          <cell r="AB145">
            <v>15</v>
          </cell>
          <cell r="AC145">
            <v>0</v>
          </cell>
          <cell r="AD145">
            <v>0</v>
          </cell>
          <cell r="AE145">
            <v>0</v>
          </cell>
          <cell r="AF145">
            <v>2407</v>
          </cell>
          <cell r="AG145">
            <v>0</v>
          </cell>
          <cell r="AH145">
            <v>0</v>
          </cell>
          <cell r="AI145">
            <v>915</v>
          </cell>
          <cell r="AJ145">
            <v>0</v>
          </cell>
          <cell r="AK145">
            <v>600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268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624</v>
          </cell>
          <cell r="AX145">
            <v>0</v>
          </cell>
          <cell r="AY145">
            <v>0</v>
          </cell>
          <cell r="AZ145">
            <v>0</v>
          </cell>
          <cell r="BA145">
            <v>411553</v>
          </cell>
          <cell r="BB145">
            <v>4</v>
          </cell>
          <cell r="BC145">
            <v>411549</v>
          </cell>
        </row>
        <row r="146">
          <cell r="C146" t="str">
            <v>PAK103</v>
          </cell>
          <cell r="D146">
            <v>28800</v>
          </cell>
          <cell r="E146">
            <v>15720</v>
          </cell>
          <cell r="F146">
            <v>580</v>
          </cell>
          <cell r="G146">
            <v>340</v>
          </cell>
          <cell r="H146">
            <v>240</v>
          </cell>
          <cell r="I146">
            <v>0</v>
          </cell>
          <cell r="J146">
            <v>12500</v>
          </cell>
          <cell r="K146">
            <v>8905</v>
          </cell>
          <cell r="L146">
            <v>328</v>
          </cell>
          <cell r="M146">
            <v>328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836</v>
          </cell>
          <cell r="X146">
            <v>236</v>
          </cell>
          <cell r="Y146">
            <v>570</v>
          </cell>
          <cell r="Z146">
            <v>0</v>
          </cell>
          <cell r="AA146">
            <v>0</v>
          </cell>
          <cell r="AB146">
            <v>30</v>
          </cell>
          <cell r="AC146">
            <v>0</v>
          </cell>
          <cell r="AD146">
            <v>0</v>
          </cell>
          <cell r="AE146">
            <v>0</v>
          </cell>
          <cell r="AF146">
            <v>2431</v>
          </cell>
          <cell r="AG146">
            <v>0</v>
          </cell>
          <cell r="AH146">
            <v>90</v>
          </cell>
          <cell r="AI146">
            <v>780</v>
          </cell>
          <cell r="AJ146">
            <v>0</v>
          </cell>
          <cell r="AK146">
            <v>510</v>
          </cell>
          <cell r="AL146">
            <v>145</v>
          </cell>
          <cell r="AM146">
            <v>0</v>
          </cell>
          <cell r="AN146">
            <v>0</v>
          </cell>
          <cell r="AO146">
            <v>0</v>
          </cell>
          <cell r="AP146">
            <v>214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692</v>
          </cell>
          <cell r="AX146">
            <v>0</v>
          </cell>
          <cell r="AY146">
            <v>0</v>
          </cell>
          <cell r="AZ146">
            <v>0</v>
          </cell>
          <cell r="BA146">
            <v>421480</v>
          </cell>
          <cell r="BB146">
            <v>0</v>
          </cell>
          <cell r="BC146">
            <v>421480</v>
          </cell>
        </row>
        <row r="147">
          <cell r="C147" t="str">
            <v>PAK105</v>
          </cell>
          <cell r="D147">
            <v>28800</v>
          </cell>
          <cell r="E147">
            <v>19650</v>
          </cell>
          <cell r="F147">
            <v>2345</v>
          </cell>
          <cell r="G147">
            <v>60</v>
          </cell>
          <cell r="H147">
            <v>2285</v>
          </cell>
          <cell r="I147">
            <v>0</v>
          </cell>
          <cell r="J147">
            <v>6805</v>
          </cell>
          <cell r="K147">
            <v>3025</v>
          </cell>
          <cell r="L147">
            <v>745</v>
          </cell>
          <cell r="M147">
            <v>670</v>
          </cell>
          <cell r="N147">
            <v>50</v>
          </cell>
          <cell r="O147">
            <v>15</v>
          </cell>
          <cell r="P147">
            <v>10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590</v>
          </cell>
          <cell r="X147">
            <v>350</v>
          </cell>
          <cell r="Y147">
            <v>240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2445</v>
          </cell>
          <cell r="AG147">
            <v>0</v>
          </cell>
          <cell r="AH147">
            <v>0</v>
          </cell>
          <cell r="AI147">
            <v>420</v>
          </cell>
          <cell r="AJ147">
            <v>0</v>
          </cell>
          <cell r="AK147">
            <v>210</v>
          </cell>
          <cell r="AL147">
            <v>125</v>
          </cell>
          <cell r="AM147">
            <v>0</v>
          </cell>
          <cell r="AN147">
            <v>0</v>
          </cell>
          <cell r="AO147">
            <v>1420</v>
          </cell>
          <cell r="AP147">
            <v>135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135</v>
          </cell>
          <cell r="AX147">
            <v>0</v>
          </cell>
          <cell r="AY147">
            <v>0</v>
          </cell>
          <cell r="AZ147">
            <v>0</v>
          </cell>
          <cell r="BA147">
            <v>173241</v>
          </cell>
          <cell r="BB147">
            <v>0</v>
          </cell>
          <cell r="BC147">
            <v>173241</v>
          </cell>
        </row>
        <row r="148">
          <cell r="C148" t="str">
            <v>PAK102</v>
          </cell>
          <cell r="D148">
            <v>28800</v>
          </cell>
          <cell r="E148">
            <v>28800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/>
          <cell r="K148"/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/>
          <cell r="BB148"/>
          <cell r="BC148"/>
        </row>
        <row r="149">
          <cell r="C149" t="str">
            <v>PAK104</v>
          </cell>
          <cell r="D149">
            <v>28800</v>
          </cell>
          <cell r="E149">
            <v>26760</v>
          </cell>
          <cell r="F149">
            <v>665</v>
          </cell>
          <cell r="G149">
            <v>30</v>
          </cell>
          <cell r="H149">
            <v>635</v>
          </cell>
          <cell r="I149">
            <v>0</v>
          </cell>
          <cell r="J149">
            <v>1375</v>
          </cell>
          <cell r="K149">
            <v>495</v>
          </cell>
          <cell r="L149">
            <v>175</v>
          </cell>
          <cell r="M149">
            <v>110</v>
          </cell>
          <cell r="N149">
            <v>0</v>
          </cell>
          <cell r="O149">
            <v>15</v>
          </cell>
          <cell r="P149">
            <v>50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330</v>
          </cell>
          <cell r="X149">
            <v>155</v>
          </cell>
          <cell r="Y149">
            <v>125</v>
          </cell>
          <cell r="Z149">
            <v>0</v>
          </cell>
          <cell r="AA149">
            <v>0</v>
          </cell>
          <cell r="AB149">
            <v>50</v>
          </cell>
          <cell r="AC149">
            <v>0</v>
          </cell>
          <cell r="AD149">
            <v>0</v>
          </cell>
          <cell r="AE149">
            <v>0</v>
          </cell>
          <cell r="AF149">
            <v>375</v>
          </cell>
          <cell r="AG149">
            <v>0</v>
          </cell>
          <cell r="AH149">
            <v>0</v>
          </cell>
          <cell r="AI149">
            <v>90</v>
          </cell>
          <cell r="AJ149">
            <v>0</v>
          </cell>
          <cell r="AK149">
            <v>45</v>
          </cell>
          <cell r="AL149">
            <v>0</v>
          </cell>
          <cell r="AM149">
            <v>0</v>
          </cell>
          <cell r="AN149">
            <v>0</v>
          </cell>
          <cell r="AO149">
            <v>210</v>
          </cell>
          <cell r="AP149">
            <v>25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5</v>
          </cell>
          <cell r="AX149">
            <v>0</v>
          </cell>
          <cell r="AY149">
            <v>0</v>
          </cell>
          <cell r="AZ149">
            <v>0</v>
          </cell>
          <cell r="BA149">
            <v>10599</v>
          </cell>
          <cell r="BB149">
            <v>0</v>
          </cell>
          <cell r="BC149">
            <v>10599</v>
          </cell>
        </row>
        <row r="150">
          <cell r="C150" t="str">
            <v>PAK111</v>
          </cell>
          <cell r="D150">
            <v>28800</v>
          </cell>
          <cell r="E150">
            <v>20220</v>
          </cell>
          <cell r="F150">
            <v>530</v>
          </cell>
          <cell r="G150">
            <v>425</v>
          </cell>
          <cell r="H150">
            <v>105</v>
          </cell>
          <cell r="I150">
            <v>0</v>
          </cell>
          <cell r="J150">
            <v>8050</v>
          </cell>
          <cell r="K150">
            <v>3342</v>
          </cell>
          <cell r="L150">
            <v>1540</v>
          </cell>
          <cell r="M150">
            <v>708</v>
          </cell>
          <cell r="N150">
            <v>135</v>
          </cell>
          <cell r="O150">
            <v>87</v>
          </cell>
          <cell r="P150">
            <v>610</v>
          </cell>
          <cell r="Q150">
            <v>527</v>
          </cell>
          <cell r="R150">
            <v>125</v>
          </cell>
          <cell r="S150">
            <v>402</v>
          </cell>
          <cell r="T150">
            <v>0</v>
          </cell>
          <cell r="U150">
            <v>0</v>
          </cell>
          <cell r="V150">
            <v>0</v>
          </cell>
          <cell r="W150">
            <v>1281</v>
          </cell>
          <cell r="X150">
            <v>666</v>
          </cell>
          <cell r="Y150">
            <v>345</v>
          </cell>
          <cell r="Z150">
            <v>0</v>
          </cell>
          <cell r="AA150">
            <v>0</v>
          </cell>
          <cell r="AB150">
            <v>270</v>
          </cell>
          <cell r="AC150">
            <v>0</v>
          </cell>
          <cell r="AD150">
            <v>0</v>
          </cell>
          <cell r="AE150">
            <v>0</v>
          </cell>
          <cell r="AF150">
            <v>1360</v>
          </cell>
          <cell r="AG150">
            <v>0</v>
          </cell>
          <cell r="AH150">
            <v>0</v>
          </cell>
          <cell r="AI150">
            <v>485</v>
          </cell>
          <cell r="AJ150">
            <v>0</v>
          </cell>
          <cell r="AK150">
            <v>255</v>
          </cell>
          <cell r="AL150">
            <v>0</v>
          </cell>
          <cell r="AM150">
            <v>0</v>
          </cell>
          <cell r="AN150">
            <v>0</v>
          </cell>
          <cell r="AO150">
            <v>255</v>
          </cell>
          <cell r="AP150">
            <v>210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155</v>
          </cell>
          <cell r="AX150">
            <v>0</v>
          </cell>
          <cell r="AY150">
            <v>0</v>
          </cell>
          <cell r="AZ150">
            <v>0</v>
          </cell>
          <cell r="BA150">
            <v>366207</v>
          </cell>
          <cell r="BB150">
            <v>48</v>
          </cell>
          <cell r="BC150">
            <v>366159</v>
          </cell>
        </row>
        <row r="151">
          <cell r="C151" t="str">
            <v>CPH SOL-MIXING</v>
          </cell>
          <cell r="D151">
            <v>28800</v>
          </cell>
          <cell r="E151">
            <v>27270</v>
          </cell>
          <cell r="F151">
            <v>532</v>
          </cell>
          <cell r="G151">
            <v>0</v>
          </cell>
          <cell r="H151">
            <v>532</v>
          </cell>
          <cell r="I151">
            <v>0</v>
          </cell>
          <cell r="J151">
            <v>998</v>
          </cell>
          <cell r="K151">
            <v>63</v>
          </cell>
          <cell r="L151">
            <v>40</v>
          </cell>
          <cell r="M151">
            <v>20</v>
          </cell>
          <cell r="N151">
            <v>20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583</v>
          </cell>
          <cell r="X151">
            <v>225</v>
          </cell>
          <cell r="Y151">
            <v>308</v>
          </cell>
          <cell r="Z151">
            <v>0</v>
          </cell>
          <cell r="AA151">
            <v>0</v>
          </cell>
          <cell r="AB151">
            <v>50</v>
          </cell>
          <cell r="AC151">
            <v>0</v>
          </cell>
          <cell r="AD151">
            <v>0</v>
          </cell>
          <cell r="AE151">
            <v>0</v>
          </cell>
          <cell r="AF151">
            <v>312</v>
          </cell>
          <cell r="AG151">
            <v>70</v>
          </cell>
          <cell r="AH151">
            <v>0</v>
          </cell>
          <cell r="AI151">
            <v>60</v>
          </cell>
          <cell r="AJ151">
            <v>0</v>
          </cell>
          <cell r="AK151">
            <v>75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107</v>
          </cell>
          <cell r="AX151">
            <v>0</v>
          </cell>
          <cell r="AY151">
            <v>0</v>
          </cell>
          <cell r="AZ151">
            <v>0</v>
          </cell>
          <cell r="BA151">
            <v>237.29</v>
          </cell>
          <cell r="BB151">
            <v>165.99</v>
          </cell>
          <cell r="BC151">
            <v>71.3</v>
          </cell>
        </row>
        <row r="152">
          <cell r="C152" t="str">
            <v>MCF101</v>
          </cell>
          <cell r="D152">
            <v>28800</v>
          </cell>
          <cell r="E152">
            <v>27270</v>
          </cell>
          <cell r="F152">
            <v>532</v>
          </cell>
          <cell r="G152">
            <v>0</v>
          </cell>
          <cell r="H152">
            <v>532</v>
          </cell>
          <cell r="I152">
            <v>0</v>
          </cell>
          <cell r="J152">
            <v>998</v>
          </cell>
          <cell r="K152">
            <v>63</v>
          </cell>
          <cell r="L152">
            <v>40</v>
          </cell>
          <cell r="M152">
            <v>20</v>
          </cell>
          <cell r="N152">
            <v>20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583</v>
          </cell>
          <cell r="X152">
            <v>225</v>
          </cell>
          <cell r="Y152">
            <v>308</v>
          </cell>
          <cell r="Z152">
            <v>0</v>
          </cell>
          <cell r="AA152">
            <v>0</v>
          </cell>
          <cell r="AB152">
            <v>50</v>
          </cell>
          <cell r="AC152">
            <v>0</v>
          </cell>
          <cell r="AD152">
            <v>0</v>
          </cell>
          <cell r="AE152">
            <v>0</v>
          </cell>
          <cell r="AF152">
            <v>312</v>
          </cell>
          <cell r="AG152">
            <v>70</v>
          </cell>
          <cell r="AH152">
            <v>0</v>
          </cell>
          <cell r="AI152">
            <v>60</v>
          </cell>
          <cell r="AJ152">
            <v>0</v>
          </cell>
          <cell r="AK152">
            <v>75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107</v>
          </cell>
          <cell r="AX152">
            <v>0</v>
          </cell>
          <cell r="AY152">
            <v>0</v>
          </cell>
          <cell r="AZ152">
            <v>0</v>
          </cell>
          <cell r="BA152">
            <v>237.29</v>
          </cell>
          <cell r="BB152">
            <v>165.99</v>
          </cell>
          <cell r="BC152">
            <v>71.3</v>
          </cell>
        </row>
        <row r="153">
          <cell r="C153" t="str">
            <v>CPH SOL-CAPSULE</v>
          </cell>
          <cell r="D153">
            <v>28800</v>
          </cell>
          <cell r="E153">
            <v>27270</v>
          </cell>
          <cell r="F153">
            <v>240</v>
          </cell>
          <cell r="G153">
            <v>60</v>
          </cell>
          <cell r="H153">
            <v>180</v>
          </cell>
          <cell r="I153">
            <v>0</v>
          </cell>
          <cell r="J153">
            <v>1290</v>
          </cell>
          <cell r="K153">
            <v>325</v>
          </cell>
          <cell r="L153">
            <v>30</v>
          </cell>
          <cell r="M153">
            <v>30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375</v>
          </cell>
          <cell r="X153">
            <v>110</v>
          </cell>
          <cell r="Y153">
            <v>60</v>
          </cell>
          <cell r="Z153">
            <v>0</v>
          </cell>
          <cell r="AA153">
            <v>0</v>
          </cell>
          <cell r="AB153">
            <v>205</v>
          </cell>
          <cell r="AC153">
            <v>150</v>
          </cell>
          <cell r="AD153">
            <v>150</v>
          </cell>
          <cell r="AE153">
            <v>0</v>
          </cell>
          <cell r="AF153">
            <v>410</v>
          </cell>
          <cell r="AG153">
            <v>0</v>
          </cell>
          <cell r="AH153">
            <v>0</v>
          </cell>
          <cell r="AI153">
            <v>90</v>
          </cell>
          <cell r="AJ153">
            <v>0</v>
          </cell>
          <cell r="AK153">
            <v>45</v>
          </cell>
          <cell r="AL153">
            <v>0</v>
          </cell>
          <cell r="AM153">
            <v>60</v>
          </cell>
          <cell r="AN153">
            <v>0</v>
          </cell>
          <cell r="AO153">
            <v>125</v>
          </cell>
          <cell r="AP153">
            <v>35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10</v>
          </cell>
          <cell r="AX153">
            <v>0</v>
          </cell>
          <cell r="AY153">
            <v>0</v>
          </cell>
          <cell r="AZ153">
            <v>45</v>
          </cell>
          <cell r="BA153">
            <v>252230</v>
          </cell>
          <cell r="BB153">
            <v>0</v>
          </cell>
          <cell r="BC153">
            <v>252230</v>
          </cell>
        </row>
        <row r="154">
          <cell r="C154" t="str">
            <v>KCF101</v>
          </cell>
          <cell r="D154">
            <v>28800</v>
          </cell>
          <cell r="E154">
            <v>27270</v>
          </cell>
          <cell r="F154">
            <v>240</v>
          </cell>
          <cell r="G154">
            <v>60</v>
          </cell>
          <cell r="H154">
            <v>180</v>
          </cell>
          <cell r="I154">
            <v>0</v>
          </cell>
          <cell r="J154">
            <v>1290</v>
          </cell>
          <cell r="K154">
            <v>325</v>
          </cell>
          <cell r="L154">
            <v>30</v>
          </cell>
          <cell r="M154">
            <v>30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375</v>
          </cell>
          <cell r="X154">
            <v>110</v>
          </cell>
          <cell r="Y154">
            <v>60</v>
          </cell>
          <cell r="Z154">
            <v>0</v>
          </cell>
          <cell r="AA154">
            <v>0</v>
          </cell>
          <cell r="AB154">
            <v>205</v>
          </cell>
          <cell r="AC154">
            <v>150</v>
          </cell>
          <cell r="AD154">
            <v>150</v>
          </cell>
          <cell r="AE154">
            <v>0</v>
          </cell>
          <cell r="AF154">
            <v>410</v>
          </cell>
          <cell r="AG154">
            <v>0</v>
          </cell>
          <cell r="AH154">
            <v>0</v>
          </cell>
          <cell r="AI154">
            <v>90</v>
          </cell>
          <cell r="AJ154">
            <v>0</v>
          </cell>
          <cell r="AK154">
            <v>45</v>
          </cell>
          <cell r="AL154">
            <v>0</v>
          </cell>
          <cell r="AM154">
            <v>60</v>
          </cell>
          <cell r="AN154">
            <v>0</v>
          </cell>
          <cell r="AO154">
            <v>125</v>
          </cell>
          <cell r="AP154">
            <v>35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10</v>
          </cell>
          <cell r="AX154">
            <v>0</v>
          </cell>
          <cell r="AY154">
            <v>0</v>
          </cell>
          <cell r="AZ154">
            <v>45</v>
          </cell>
          <cell r="BA154">
            <v>252230</v>
          </cell>
          <cell r="BB154">
            <v>0</v>
          </cell>
          <cell r="BC154">
            <v>252230</v>
          </cell>
        </row>
        <row r="155">
          <cell r="C155" t="str">
            <v>CPH SOL-STRIPPING</v>
          </cell>
          <cell r="D155">
            <v>28800</v>
          </cell>
          <cell r="E155">
            <v>27780</v>
          </cell>
          <cell r="F155">
            <v>60</v>
          </cell>
          <cell r="G155">
            <v>60</v>
          </cell>
          <cell r="H155">
            <v>0</v>
          </cell>
          <cell r="I155">
            <v>0</v>
          </cell>
          <cell r="J155">
            <v>960</v>
          </cell>
          <cell r="K155">
            <v>470</v>
          </cell>
          <cell r="L155">
            <v>120</v>
          </cell>
          <cell r="M155">
            <v>90</v>
          </cell>
          <cell r="N155">
            <v>0</v>
          </cell>
          <cell r="O155">
            <v>20</v>
          </cell>
          <cell r="P155">
            <v>10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190</v>
          </cell>
          <cell r="X155">
            <v>135</v>
          </cell>
          <cell r="Y155">
            <v>10</v>
          </cell>
          <cell r="Z155">
            <v>0</v>
          </cell>
          <cell r="AA155">
            <v>0</v>
          </cell>
          <cell r="AB155">
            <v>45</v>
          </cell>
          <cell r="AC155">
            <v>0</v>
          </cell>
          <cell r="AD155">
            <v>0</v>
          </cell>
          <cell r="AE155">
            <v>0</v>
          </cell>
          <cell r="AF155">
            <v>180</v>
          </cell>
          <cell r="AG155">
            <v>0</v>
          </cell>
          <cell r="AH155">
            <v>0</v>
          </cell>
          <cell r="AI155">
            <v>60</v>
          </cell>
          <cell r="AJ155">
            <v>0</v>
          </cell>
          <cell r="AK155">
            <v>30</v>
          </cell>
          <cell r="AL155">
            <v>0</v>
          </cell>
          <cell r="AM155">
            <v>45</v>
          </cell>
          <cell r="AN155">
            <v>0</v>
          </cell>
          <cell r="AO155">
            <v>0</v>
          </cell>
          <cell r="AP155">
            <v>15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30</v>
          </cell>
          <cell r="AX155">
            <v>0</v>
          </cell>
          <cell r="AY155">
            <v>0</v>
          </cell>
          <cell r="AZ155">
            <v>0</v>
          </cell>
          <cell r="BA155">
            <v>408664</v>
          </cell>
          <cell r="BB155">
            <v>1004</v>
          </cell>
          <cell r="BC155">
            <v>407660</v>
          </cell>
        </row>
        <row r="156">
          <cell r="C156" t="str">
            <v>STC101</v>
          </cell>
          <cell r="D156">
            <v>28800</v>
          </cell>
          <cell r="E156">
            <v>27780</v>
          </cell>
          <cell r="F156">
            <v>60</v>
          </cell>
          <cell r="G156">
            <v>60</v>
          </cell>
          <cell r="H156">
            <v>0</v>
          </cell>
          <cell r="I156">
            <v>0</v>
          </cell>
          <cell r="J156">
            <v>960</v>
          </cell>
          <cell r="K156">
            <v>470</v>
          </cell>
          <cell r="L156">
            <v>120</v>
          </cell>
          <cell r="M156">
            <v>90</v>
          </cell>
          <cell r="N156">
            <v>0</v>
          </cell>
          <cell r="O156">
            <v>20</v>
          </cell>
          <cell r="P156">
            <v>10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190</v>
          </cell>
          <cell r="X156">
            <v>135</v>
          </cell>
          <cell r="Y156">
            <v>10</v>
          </cell>
          <cell r="Z156">
            <v>0</v>
          </cell>
          <cell r="AA156">
            <v>0</v>
          </cell>
          <cell r="AB156">
            <v>45</v>
          </cell>
          <cell r="AC156">
            <v>0</v>
          </cell>
          <cell r="AD156">
            <v>0</v>
          </cell>
          <cell r="AE156">
            <v>0</v>
          </cell>
          <cell r="AF156">
            <v>180</v>
          </cell>
          <cell r="AG156">
            <v>0</v>
          </cell>
          <cell r="AH156">
            <v>0</v>
          </cell>
          <cell r="AI156">
            <v>60</v>
          </cell>
          <cell r="AJ156">
            <v>0</v>
          </cell>
          <cell r="AK156">
            <v>30</v>
          </cell>
          <cell r="AL156">
            <v>0</v>
          </cell>
          <cell r="AM156">
            <v>45</v>
          </cell>
          <cell r="AN156">
            <v>0</v>
          </cell>
          <cell r="AO156">
            <v>0</v>
          </cell>
          <cell r="AP156">
            <v>15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30</v>
          </cell>
          <cell r="AX156">
            <v>0</v>
          </cell>
          <cell r="AY156">
            <v>0</v>
          </cell>
          <cell r="AZ156">
            <v>0</v>
          </cell>
          <cell r="BA156">
            <v>408664</v>
          </cell>
          <cell r="BB156">
            <v>1004</v>
          </cell>
          <cell r="BC156">
            <v>407660</v>
          </cell>
        </row>
        <row r="157">
          <cell r="C157" t="str">
            <v>CPH SOL-POWDER FILLING</v>
          </cell>
          <cell r="D157">
            <v>28800</v>
          </cell>
          <cell r="E157">
            <v>27270</v>
          </cell>
          <cell r="F157">
            <v>90</v>
          </cell>
          <cell r="G157">
            <v>90</v>
          </cell>
          <cell r="H157">
            <v>0</v>
          </cell>
          <cell r="I157">
            <v>0</v>
          </cell>
          <cell r="J157">
            <v>1440</v>
          </cell>
          <cell r="K157">
            <v>375</v>
          </cell>
          <cell r="L157">
            <v>180</v>
          </cell>
          <cell r="M157">
            <v>130</v>
          </cell>
          <cell r="N157">
            <v>0</v>
          </cell>
          <cell r="O157">
            <v>0</v>
          </cell>
          <cell r="P157">
            <v>50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620</v>
          </cell>
          <cell r="X157">
            <v>230</v>
          </cell>
          <cell r="Y157">
            <v>365</v>
          </cell>
          <cell r="Z157">
            <v>0</v>
          </cell>
          <cell r="AA157">
            <v>0</v>
          </cell>
          <cell r="AB157">
            <v>25</v>
          </cell>
          <cell r="AC157">
            <v>0</v>
          </cell>
          <cell r="AD157">
            <v>0</v>
          </cell>
          <cell r="AE157">
            <v>0</v>
          </cell>
          <cell r="AF157">
            <v>265</v>
          </cell>
          <cell r="AG157">
            <v>0</v>
          </cell>
          <cell r="AH157">
            <v>0</v>
          </cell>
          <cell r="AI157">
            <v>90</v>
          </cell>
          <cell r="AJ157">
            <v>0</v>
          </cell>
          <cell r="AK157">
            <v>45</v>
          </cell>
          <cell r="AL157">
            <v>0</v>
          </cell>
          <cell r="AM157">
            <v>0</v>
          </cell>
          <cell r="AN157">
            <v>0</v>
          </cell>
          <cell r="AO157">
            <v>20</v>
          </cell>
          <cell r="AP157">
            <v>30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20</v>
          </cell>
          <cell r="AX157">
            <v>60</v>
          </cell>
          <cell r="AY157">
            <v>0</v>
          </cell>
          <cell r="AZ157">
            <v>0</v>
          </cell>
          <cell r="BA157">
            <v>12221</v>
          </cell>
          <cell r="BB157">
            <v>48</v>
          </cell>
          <cell r="BC157">
            <v>12173</v>
          </cell>
        </row>
        <row r="158">
          <cell r="C158" t="str">
            <v>SCF102</v>
          </cell>
          <cell r="D158">
            <v>28800</v>
          </cell>
          <cell r="E158">
            <v>27270</v>
          </cell>
          <cell r="F158">
            <v>90</v>
          </cell>
          <cell r="G158">
            <v>90</v>
          </cell>
          <cell r="H158">
            <v>0</v>
          </cell>
          <cell r="I158">
            <v>0</v>
          </cell>
          <cell r="J158">
            <v>1440</v>
          </cell>
          <cell r="K158">
            <v>375</v>
          </cell>
          <cell r="L158">
            <v>180</v>
          </cell>
          <cell r="M158">
            <v>130</v>
          </cell>
          <cell r="N158">
            <v>0</v>
          </cell>
          <cell r="O158">
            <v>0</v>
          </cell>
          <cell r="P158">
            <v>50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620</v>
          </cell>
          <cell r="X158">
            <v>230</v>
          </cell>
          <cell r="Y158">
            <v>365</v>
          </cell>
          <cell r="Z158">
            <v>0</v>
          </cell>
          <cell r="AA158">
            <v>0</v>
          </cell>
          <cell r="AB158">
            <v>25</v>
          </cell>
          <cell r="AC158">
            <v>0</v>
          </cell>
          <cell r="AD158">
            <v>0</v>
          </cell>
          <cell r="AE158">
            <v>0</v>
          </cell>
          <cell r="AF158">
            <v>265</v>
          </cell>
          <cell r="AG158">
            <v>0</v>
          </cell>
          <cell r="AH158">
            <v>0</v>
          </cell>
          <cell r="AI158">
            <v>90</v>
          </cell>
          <cell r="AJ158">
            <v>0</v>
          </cell>
          <cell r="AK158">
            <v>45</v>
          </cell>
          <cell r="AL158">
            <v>0</v>
          </cell>
          <cell r="AM158">
            <v>0</v>
          </cell>
          <cell r="AN158">
            <v>0</v>
          </cell>
          <cell r="AO158">
            <v>20</v>
          </cell>
          <cell r="AP158">
            <v>30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20</v>
          </cell>
          <cell r="AX158">
            <v>60</v>
          </cell>
          <cell r="AY158">
            <v>0</v>
          </cell>
          <cell r="AZ158">
            <v>0</v>
          </cell>
          <cell r="BA158">
            <v>12221</v>
          </cell>
          <cell r="BB158">
            <v>48</v>
          </cell>
          <cell r="BC158">
            <v>12173</v>
          </cell>
        </row>
        <row r="159">
          <cell r="C159" t="str">
            <v>CPH INJ-FILLING</v>
          </cell>
          <cell r="D159">
            <v>28800</v>
          </cell>
          <cell r="E159">
            <v>23220</v>
          </cell>
          <cell r="F159">
            <v>450</v>
          </cell>
          <cell r="G159">
            <v>0</v>
          </cell>
          <cell r="H159">
            <v>450</v>
          </cell>
          <cell r="I159">
            <v>0</v>
          </cell>
          <cell r="J159">
            <v>5130</v>
          </cell>
          <cell r="K159">
            <v>1822</v>
          </cell>
          <cell r="L159">
            <v>437</v>
          </cell>
          <cell r="M159">
            <v>355</v>
          </cell>
          <cell r="N159">
            <v>0</v>
          </cell>
          <cell r="O159">
            <v>82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1972</v>
          </cell>
          <cell r="X159">
            <v>699</v>
          </cell>
          <cell r="Y159">
            <v>1273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899</v>
          </cell>
          <cell r="AG159">
            <v>0</v>
          </cell>
          <cell r="AH159">
            <v>0</v>
          </cell>
          <cell r="AI159">
            <v>380</v>
          </cell>
          <cell r="AJ159">
            <v>35</v>
          </cell>
          <cell r="AK159">
            <v>345</v>
          </cell>
          <cell r="AL159">
            <v>0</v>
          </cell>
          <cell r="AM159">
            <v>0</v>
          </cell>
          <cell r="AN159">
            <v>47</v>
          </cell>
          <cell r="AO159">
            <v>0</v>
          </cell>
          <cell r="AP159">
            <v>87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5</v>
          </cell>
          <cell r="AX159">
            <v>0</v>
          </cell>
          <cell r="AY159">
            <v>0</v>
          </cell>
          <cell r="AZ159">
            <v>0</v>
          </cell>
          <cell r="BA159">
            <v>248494</v>
          </cell>
          <cell r="BB159">
            <v>2</v>
          </cell>
          <cell r="BC159">
            <v>248492</v>
          </cell>
        </row>
        <row r="160">
          <cell r="C160" t="str">
            <v>GINLINE6</v>
          </cell>
          <cell r="D160">
            <v>28800</v>
          </cell>
          <cell r="E160">
            <v>23220</v>
          </cell>
          <cell r="F160">
            <v>450</v>
          </cell>
          <cell r="G160">
            <v>0</v>
          </cell>
          <cell r="H160">
            <v>450</v>
          </cell>
          <cell r="I160">
            <v>0</v>
          </cell>
          <cell r="J160">
            <v>5130</v>
          </cell>
          <cell r="K160">
            <v>1822</v>
          </cell>
          <cell r="L160">
            <v>437</v>
          </cell>
          <cell r="M160">
            <v>355</v>
          </cell>
          <cell r="N160">
            <v>0</v>
          </cell>
          <cell r="O160">
            <v>82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1972</v>
          </cell>
          <cell r="X160">
            <v>699</v>
          </cell>
          <cell r="Y160">
            <v>1273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899</v>
          </cell>
          <cell r="AG160">
            <v>0</v>
          </cell>
          <cell r="AH160">
            <v>0</v>
          </cell>
          <cell r="AI160">
            <v>380</v>
          </cell>
          <cell r="AJ160">
            <v>35</v>
          </cell>
          <cell r="AK160">
            <v>345</v>
          </cell>
          <cell r="AL160">
            <v>0</v>
          </cell>
          <cell r="AM160">
            <v>0</v>
          </cell>
          <cell r="AN160">
            <v>47</v>
          </cell>
          <cell r="AO160">
            <v>0</v>
          </cell>
          <cell r="AP160">
            <v>87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5</v>
          </cell>
          <cell r="AX160">
            <v>0</v>
          </cell>
          <cell r="AY160">
            <v>0</v>
          </cell>
          <cell r="AZ160">
            <v>0</v>
          </cell>
          <cell r="BA160">
            <v>248494</v>
          </cell>
          <cell r="BB160">
            <v>2</v>
          </cell>
          <cell r="BC160">
            <v>248492</v>
          </cell>
        </row>
        <row r="161">
          <cell r="C161" t="str">
            <v>CPH INJ-STERILIZATION</v>
          </cell>
          <cell r="D161">
            <v>59040</v>
          </cell>
          <cell r="E161">
            <v>48240</v>
          </cell>
          <cell r="F161">
            <v>1347</v>
          </cell>
          <cell r="G161">
            <v>37</v>
          </cell>
          <cell r="H161">
            <v>1310</v>
          </cell>
          <cell r="I161">
            <v>0</v>
          </cell>
          <cell r="J161">
            <v>9453</v>
          </cell>
          <cell r="K161">
            <v>4490</v>
          </cell>
          <cell r="L161">
            <v>541</v>
          </cell>
          <cell r="M161">
            <v>505</v>
          </cell>
          <cell r="N161">
            <v>0</v>
          </cell>
          <cell r="O161">
            <v>36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3186</v>
          </cell>
          <cell r="X161">
            <v>2801</v>
          </cell>
          <cell r="Y161">
            <v>385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1236</v>
          </cell>
          <cell r="AG161">
            <v>0</v>
          </cell>
          <cell r="AH161">
            <v>0</v>
          </cell>
          <cell r="AI161">
            <v>90</v>
          </cell>
          <cell r="AJ161">
            <v>0</v>
          </cell>
          <cell r="AK161">
            <v>45</v>
          </cell>
          <cell r="AL161">
            <v>0</v>
          </cell>
          <cell r="AM161">
            <v>0</v>
          </cell>
          <cell r="AN161">
            <v>80</v>
          </cell>
          <cell r="AO161">
            <v>1021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355</v>
          </cell>
          <cell r="BB161">
            <v>0</v>
          </cell>
          <cell r="BC161">
            <v>355</v>
          </cell>
        </row>
        <row r="162">
          <cell r="C162" t="str">
            <v>ICF104</v>
          </cell>
          <cell r="D162">
            <v>30240</v>
          </cell>
          <cell r="E162">
            <v>23670</v>
          </cell>
          <cell r="F162">
            <v>892</v>
          </cell>
          <cell r="G162">
            <v>37</v>
          </cell>
          <cell r="H162">
            <v>855</v>
          </cell>
          <cell r="I162">
            <v>0</v>
          </cell>
          <cell r="J162">
            <v>5678</v>
          </cell>
          <cell r="K162">
            <v>2725</v>
          </cell>
          <cell r="L162">
            <v>263</v>
          </cell>
          <cell r="M162">
            <v>243</v>
          </cell>
          <cell r="N162">
            <v>0</v>
          </cell>
          <cell r="O162">
            <v>20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2452</v>
          </cell>
          <cell r="X162">
            <v>2159</v>
          </cell>
          <cell r="Y162">
            <v>293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238</v>
          </cell>
          <cell r="AG162">
            <v>0</v>
          </cell>
          <cell r="AH162">
            <v>0</v>
          </cell>
          <cell r="AI162">
            <v>90</v>
          </cell>
          <cell r="AJ162">
            <v>0</v>
          </cell>
          <cell r="AK162">
            <v>45</v>
          </cell>
          <cell r="AL162">
            <v>0</v>
          </cell>
          <cell r="AM162">
            <v>0</v>
          </cell>
          <cell r="AN162">
            <v>40</v>
          </cell>
          <cell r="AO162">
            <v>63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215</v>
          </cell>
          <cell r="BB162">
            <v>0</v>
          </cell>
          <cell r="BC162">
            <v>215</v>
          </cell>
        </row>
        <row r="163">
          <cell r="C163" t="str">
            <v>ICF105</v>
          </cell>
          <cell r="D163">
            <v>28800</v>
          </cell>
          <cell r="E163">
            <v>24570</v>
          </cell>
          <cell r="F163">
            <v>455</v>
          </cell>
          <cell r="G163">
            <v>0</v>
          </cell>
          <cell r="H163">
            <v>455</v>
          </cell>
          <cell r="I163">
            <v>0</v>
          </cell>
          <cell r="J163">
            <v>3775</v>
          </cell>
          <cell r="K163">
            <v>1765</v>
          </cell>
          <cell r="L163">
            <v>278</v>
          </cell>
          <cell r="M163">
            <v>262</v>
          </cell>
          <cell r="N163">
            <v>0</v>
          </cell>
          <cell r="O163">
            <v>16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734</v>
          </cell>
          <cell r="X163">
            <v>642</v>
          </cell>
          <cell r="Y163">
            <v>92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998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40</v>
          </cell>
          <cell r="AO163">
            <v>958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140</v>
          </cell>
          <cell r="BB163">
            <v>0</v>
          </cell>
          <cell r="BC163">
            <v>140</v>
          </cell>
        </row>
        <row r="164">
          <cell r="C164" t="str">
            <v>CPH-SECONDARY PACKING</v>
          </cell>
          <cell r="D164">
            <v>57600</v>
          </cell>
          <cell r="E164">
            <v>36090</v>
          </cell>
          <cell r="F164">
            <v>1975</v>
          </cell>
          <cell r="G164">
            <v>560</v>
          </cell>
          <cell r="H164">
            <v>1415</v>
          </cell>
          <cell r="I164">
            <v>0</v>
          </cell>
          <cell r="J164">
            <v>19535</v>
          </cell>
          <cell r="K164">
            <v>7480</v>
          </cell>
          <cell r="L164">
            <v>4425</v>
          </cell>
          <cell r="M164">
            <v>2445</v>
          </cell>
          <cell r="N164">
            <v>95</v>
          </cell>
          <cell r="O164">
            <v>735</v>
          </cell>
          <cell r="P164">
            <v>1150</v>
          </cell>
          <cell r="Q164">
            <v>305</v>
          </cell>
          <cell r="R164">
            <v>305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3546</v>
          </cell>
          <cell r="X164">
            <v>1585</v>
          </cell>
          <cell r="Y164">
            <v>741</v>
          </cell>
          <cell r="Z164">
            <v>595</v>
          </cell>
          <cell r="AA164">
            <v>0</v>
          </cell>
          <cell r="AB164">
            <v>625</v>
          </cell>
          <cell r="AC164">
            <v>0</v>
          </cell>
          <cell r="AD164">
            <v>0</v>
          </cell>
          <cell r="AE164">
            <v>0</v>
          </cell>
          <cell r="AF164">
            <v>3779</v>
          </cell>
          <cell r="AG164">
            <v>195</v>
          </cell>
          <cell r="AH164">
            <v>0</v>
          </cell>
          <cell r="AI164">
            <v>1230</v>
          </cell>
          <cell r="AJ164">
            <v>0</v>
          </cell>
          <cell r="AK164">
            <v>790</v>
          </cell>
          <cell r="AL164">
            <v>155</v>
          </cell>
          <cell r="AM164">
            <v>0</v>
          </cell>
          <cell r="AN164">
            <v>0</v>
          </cell>
          <cell r="AO164">
            <v>223</v>
          </cell>
          <cell r="AP164">
            <v>473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713</v>
          </cell>
          <cell r="AX164">
            <v>0</v>
          </cell>
          <cell r="AY164">
            <v>0</v>
          </cell>
          <cell r="AZ164">
            <v>0</v>
          </cell>
          <cell r="BA164">
            <v>821428</v>
          </cell>
          <cell r="BB164">
            <v>632</v>
          </cell>
          <cell r="BC164">
            <v>820796</v>
          </cell>
        </row>
        <row r="165">
          <cell r="C165" t="str">
            <v>PCF101</v>
          </cell>
          <cell r="D165">
            <v>28800</v>
          </cell>
          <cell r="E165">
            <v>14430</v>
          </cell>
          <cell r="F165">
            <v>990</v>
          </cell>
          <cell r="G165">
            <v>210</v>
          </cell>
          <cell r="H165">
            <v>780</v>
          </cell>
          <cell r="I165">
            <v>0</v>
          </cell>
          <cell r="J165">
            <v>13380</v>
          </cell>
          <cell r="K165">
            <v>3855</v>
          </cell>
          <cell r="L165">
            <v>4210</v>
          </cell>
          <cell r="M165">
            <v>2230</v>
          </cell>
          <cell r="N165">
            <v>95</v>
          </cell>
          <cell r="O165">
            <v>735</v>
          </cell>
          <cell r="P165">
            <v>1150</v>
          </cell>
          <cell r="Q165">
            <v>305</v>
          </cell>
          <cell r="R165">
            <v>305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2580</v>
          </cell>
          <cell r="X165">
            <v>1585</v>
          </cell>
          <cell r="Y165">
            <v>400</v>
          </cell>
          <cell r="Z165">
            <v>595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2430</v>
          </cell>
          <cell r="AG165">
            <v>195</v>
          </cell>
          <cell r="AH165">
            <v>0</v>
          </cell>
          <cell r="AI165">
            <v>870</v>
          </cell>
          <cell r="AJ165">
            <v>0</v>
          </cell>
          <cell r="AK165">
            <v>610</v>
          </cell>
          <cell r="AL165">
            <v>0</v>
          </cell>
          <cell r="AM165">
            <v>0</v>
          </cell>
          <cell r="AN165">
            <v>0</v>
          </cell>
          <cell r="AO165">
            <v>100</v>
          </cell>
          <cell r="AP165">
            <v>310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345</v>
          </cell>
          <cell r="AX165">
            <v>0</v>
          </cell>
          <cell r="AY165">
            <v>0</v>
          </cell>
          <cell r="AZ165">
            <v>0</v>
          </cell>
          <cell r="BA165">
            <v>722242</v>
          </cell>
          <cell r="BB165">
            <v>321</v>
          </cell>
          <cell r="BC165">
            <v>721921</v>
          </cell>
        </row>
        <row r="166">
          <cell r="C166" t="str">
            <v>PCF102</v>
          </cell>
          <cell r="D166">
            <v>28800</v>
          </cell>
          <cell r="E166">
            <v>21660</v>
          </cell>
          <cell r="F166">
            <v>985</v>
          </cell>
          <cell r="G166">
            <v>350</v>
          </cell>
          <cell r="H166">
            <v>635</v>
          </cell>
          <cell r="I166">
            <v>0</v>
          </cell>
          <cell r="J166">
            <v>6155</v>
          </cell>
          <cell r="K166">
            <v>3625</v>
          </cell>
          <cell r="L166">
            <v>215</v>
          </cell>
          <cell r="M166">
            <v>215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966</v>
          </cell>
          <cell r="X166">
            <v>0</v>
          </cell>
          <cell r="Y166">
            <v>341</v>
          </cell>
          <cell r="Z166">
            <v>0</v>
          </cell>
          <cell r="AA166">
            <v>0</v>
          </cell>
          <cell r="AB166">
            <v>625</v>
          </cell>
          <cell r="AC166">
            <v>0</v>
          </cell>
          <cell r="AD166">
            <v>0</v>
          </cell>
          <cell r="AE166">
            <v>0</v>
          </cell>
          <cell r="AF166">
            <v>1349</v>
          </cell>
          <cell r="AG166">
            <v>0</v>
          </cell>
          <cell r="AH166">
            <v>0</v>
          </cell>
          <cell r="AI166">
            <v>360</v>
          </cell>
          <cell r="AJ166">
            <v>0</v>
          </cell>
          <cell r="AK166">
            <v>180</v>
          </cell>
          <cell r="AL166">
            <v>155</v>
          </cell>
          <cell r="AM166">
            <v>0</v>
          </cell>
          <cell r="AN166">
            <v>0</v>
          </cell>
          <cell r="AO166">
            <v>123</v>
          </cell>
          <cell r="AP166">
            <v>163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368</v>
          </cell>
          <cell r="AX166">
            <v>0</v>
          </cell>
          <cell r="AY166">
            <v>0</v>
          </cell>
          <cell r="AZ166">
            <v>0</v>
          </cell>
          <cell r="BA166">
            <v>99186</v>
          </cell>
          <cell r="BB166">
            <v>311</v>
          </cell>
          <cell r="BC166">
            <v>98875</v>
          </cell>
        </row>
      </sheetData>
      <sheetData sheetId="13" refreshError="1">
        <row r="5">
          <cell r="C5" t="str">
            <v>POT</v>
          </cell>
        </row>
        <row r="109">
          <cell r="B109" t="str">
            <v>PROSES( Menit )</v>
          </cell>
          <cell r="C109" t="str">
            <v>POT</v>
          </cell>
          <cell r="D109" t="str">
            <v>POT Shift Tersedia</v>
          </cell>
          <cell r="E109" t="str">
            <v>Unschedule Time</v>
          </cell>
          <cell r="F109" t="str">
            <v>Unschedule Time Shift Tersedia</v>
          </cell>
          <cell r="G109" t="str">
            <v>Waktu Beproduksi</v>
          </cell>
          <cell r="H109" t="str">
            <v>Waktu Beproduksi Tersedia</v>
          </cell>
          <cell r="I109" t="str">
            <v>Idle Time</v>
          </cell>
          <cell r="J109" t="str">
            <v>Idle Time Tersedia</v>
          </cell>
          <cell r="K109" t="str">
            <v>L2</v>
          </cell>
          <cell r="L109" t="str">
            <v>L21</v>
          </cell>
          <cell r="M109" t="str">
            <v>L22</v>
          </cell>
          <cell r="N109" t="str">
            <v>IG</v>
          </cell>
          <cell r="O109" t="str">
            <v>PPT</v>
          </cell>
          <cell r="P109" t="str">
            <v>PPT Tersedia</v>
          </cell>
          <cell r="Q109" t="str">
            <v>R</v>
          </cell>
          <cell r="R109" t="str">
            <v>R Tersedia</v>
          </cell>
          <cell r="S109" t="str">
            <v>DT</v>
          </cell>
          <cell r="T109" t="str">
            <v>DT Tersedia</v>
          </cell>
          <cell r="U109" t="str">
            <v>Setup</v>
          </cell>
          <cell r="V109" t="str">
            <v>P6</v>
          </cell>
          <cell r="W109" t="str">
            <v>P5</v>
          </cell>
          <cell r="X109" t="str">
            <v>P8</v>
          </cell>
          <cell r="Y109" t="str">
            <v>P9</v>
          </cell>
          <cell r="Z109" t="str">
            <v>Breakdown</v>
          </cell>
          <cell r="AA109" t="str">
            <v>M1</v>
          </cell>
          <cell r="AB109" t="str">
            <v>M2</v>
          </cell>
          <cell r="AC109" t="str">
            <v>M4</v>
          </cell>
          <cell r="AD109" t="str">
            <v>M8</v>
          </cell>
          <cell r="AE109" t="str">
            <v>M9</v>
          </cell>
          <cell r="AF109" t="str">
            <v>Clean</v>
          </cell>
          <cell r="AG109" t="str">
            <v>P2</v>
          </cell>
          <cell r="AH109" t="str">
            <v>P4</v>
          </cell>
          <cell r="AI109" t="str">
            <v>P17</v>
          </cell>
          <cell r="AJ109" t="str">
            <v>P19</v>
          </cell>
          <cell r="AK109" t="str">
            <v>P12</v>
          </cell>
          <cell r="AL109" t="str">
            <v>Trial</v>
          </cell>
          <cell r="AM109" t="str">
            <v>R1</v>
          </cell>
          <cell r="AN109" t="str">
            <v>R2</v>
          </cell>
          <cell r="AO109" t="str">
            <v>Waiting</v>
          </cell>
          <cell r="AP109" t="str">
            <v>L1</v>
          </cell>
          <cell r="AQ109" t="str">
            <v>L3</v>
          </cell>
          <cell r="AR109" t="str">
            <v>H1</v>
          </cell>
          <cell r="AS109" t="str">
            <v>H2</v>
          </cell>
          <cell r="AT109" t="str">
            <v>H4</v>
          </cell>
          <cell r="AU109" t="str">
            <v>H6</v>
          </cell>
          <cell r="AV109" t="str">
            <v>H7</v>
          </cell>
          <cell r="AW109" t="str">
            <v>H8</v>
          </cell>
          <cell r="AX109" t="str">
            <v>P10</v>
          </cell>
          <cell r="AY109" t="str">
            <v>P11</v>
          </cell>
          <cell r="AZ109" t="str">
            <v>P13</v>
          </cell>
          <cell r="BA109" t="str">
            <v>P14</v>
          </cell>
          <cell r="BB109" t="str">
            <v>P16</v>
          </cell>
          <cell r="BC109" t="str">
            <v>M5</v>
          </cell>
          <cell r="BD109" t="str">
            <v>M6</v>
          </cell>
          <cell r="BE109" t="str">
            <v>M7</v>
          </cell>
          <cell r="BF109" t="str">
            <v>Q1</v>
          </cell>
          <cell r="BG109" t="str">
            <v>Q2</v>
          </cell>
          <cell r="BH109" t="str">
            <v>Q3</v>
          </cell>
          <cell r="BI109" t="str">
            <v>Q4</v>
          </cell>
          <cell r="BJ109" t="str">
            <v>Total Output</v>
          </cell>
          <cell r="BK109" t="str">
            <v>Reject Output</v>
          </cell>
          <cell r="BL109" t="str">
            <v>Good Output</v>
          </cell>
        </row>
        <row r="110">
          <cell r="B110" t="str">
            <v>NBL SOL-MIXING</v>
          </cell>
          <cell r="C110">
            <v>86400</v>
          </cell>
          <cell r="D110">
            <v>55800</v>
          </cell>
          <cell r="E110">
            <v>58830</v>
          </cell>
          <cell r="F110">
            <v>28230</v>
          </cell>
          <cell r="G110">
            <v>27570</v>
          </cell>
          <cell r="H110">
            <v>27570</v>
          </cell>
          <cell r="I110">
            <v>3152</v>
          </cell>
          <cell r="J110">
            <v>3152</v>
          </cell>
          <cell r="K110">
            <v>2912</v>
          </cell>
          <cell r="L110">
            <v>75</v>
          </cell>
          <cell r="M110">
            <v>2837</v>
          </cell>
          <cell r="N110">
            <v>240</v>
          </cell>
          <cell r="O110">
            <v>24418</v>
          </cell>
          <cell r="P110">
            <v>24418</v>
          </cell>
          <cell r="Q110">
            <v>3578</v>
          </cell>
          <cell r="R110">
            <v>3578</v>
          </cell>
          <cell r="S110">
            <v>20840</v>
          </cell>
          <cell r="T110">
            <v>20840</v>
          </cell>
          <cell r="U110">
            <v>832</v>
          </cell>
          <cell r="V110">
            <v>777</v>
          </cell>
          <cell r="W110">
            <v>55</v>
          </cell>
          <cell r="X110">
            <v>0</v>
          </cell>
          <cell r="Y110">
            <v>0</v>
          </cell>
          <cell r="Z110">
            <v>565</v>
          </cell>
          <cell r="AA110">
            <v>565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10329</v>
          </cell>
          <cell r="AG110">
            <v>6314</v>
          </cell>
          <cell r="AH110">
            <v>3534</v>
          </cell>
          <cell r="AI110">
            <v>6</v>
          </cell>
          <cell r="AJ110">
            <v>0</v>
          </cell>
          <cell r="AK110">
            <v>475</v>
          </cell>
          <cell r="AL110">
            <v>285</v>
          </cell>
          <cell r="AM110">
            <v>0</v>
          </cell>
          <cell r="AN110">
            <v>285</v>
          </cell>
          <cell r="AO110">
            <v>8829</v>
          </cell>
          <cell r="AP110">
            <v>30</v>
          </cell>
          <cell r="AQ110">
            <v>0</v>
          </cell>
          <cell r="AR110">
            <v>1120</v>
          </cell>
          <cell r="AS110">
            <v>0</v>
          </cell>
          <cell r="AT110">
            <v>725</v>
          </cell>
          <cell r="AU110">
            <v>0</v>
          </cell>
          <cell r="AV110">
            <v>0</v>
          </cell>
          <cell r="AW110">
            <v>0</v>
          </cell>
          <cell r="AX110">
            <v>6144</v>
          </cell>
          <cell r="AY110">
            <v>23</v>
          </cell>
          <cell r="AZ110">
            <v>0</v>
          </cell>
          <cell r="BA110">
            <v>544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243</v>
          </cell>
          <cell r="BG110">
            <v>0</v>
          </cell>
          <cell r="BH110">
            <v>0</v>
          </cell>
          <cell r="BI110">
            <v>0</v>
          </cell>
          <cell r="BJ110">
            <v>6840.04</v>
          </cell>
          <cell r="BK110">
            <v>0</v>
          </cell>
          <cell r="BL110">
            <v>6840.04</v>
          </cell>
        </row>
        <row r="111">
          <cell r="B111" t="str">
            <v>MIX113</v>
          </cell>
          <cell r="C111">
            <v>28800</v>
          </cell>
          <cell r="D111">
            <v>18600</v>
          </cell>
          <cell r="E111">
            <v>13920</v>
          </cell>
          <cell r="F111">
            <v>3720</v>
          </cell>
          <cell r="G111">
            <v>14880</v>
          </cell>
          <cell r="H111">
            <v>14880</v>
          </cell>
          <cell r="I111">
            <v>2225</v>
          </cell>
          <cell r="J111">
            <v>2225</v>
          </cell>
          <cell r="K111">
            <v>1985</v>
          </cell>
          <cell r="L111">
            <v>0</v>
          </cell>
          <cell r="M111">
            <v>1985</v>
          </cell>
          <cell r="N111">
            <v>240</v>
          </cell>
          <cell r="O111">
            <v>12655</v>
          </cell>
          <cell r="P111">
            <v>12655</v>
          </cell>
          <cell r="Q111">
            <v>673</v>
          </cell>
          <cell r="R111">
            <v>673</v>
          </cell>
          <cell r="S111">
            <v>11982</v>
          </cell>
          <cell r="T111">
            <v>11982</v>
          </cell>
          <cell r="U111">
            <v>447</v>
          </cell>
          <cell r="V111">
            <v>392</v>
          </cell>
          <cell r="W111">
            <v>55</v>
          </cell>
          <cell r="X111">
            <v>0</v>
          </cell>
          <cell r="Y111">
            <v>0</v>
          </cell>
          <cell r="Z111">
            <v>495</v>
          </cell>
          <cell r="AA111">
            <v>495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3777</v>
          </cell>
          <cell r="AG111">
            <v>1562</v>
          </cell>
          <cell r="AH111">
            <v>1995</v>
          </cell>
          <cell r="AI111">
            <v>0</v>
          </cell>
          <cell r="AJ111">
            <v>0</v>
          </cell>
          <cell r="AK111">
            <v>220</v>
          </cell>
          <cell r="AL111">
            <v>285</v>
          </cell>
          <cell r="AM111">
            <v>0</v>
          </cell>
          <cell r="AN111">
            <v>285</v>
          </cell>
          <cell r="AO111">
            <v>6978</v>
          </cell>
          <cell r="AP111">
            <v>30</v>
          </cell>
          <cell r="AQ111">
            <v>0</v>
          </cell>
          <cell r="AR111">
            <v>330</v>
          </cell>
          <cell r="AS111">
            <v>0</v>
          </cell>
          <cell r="AT111">
            <v>180</v>
          </cell>
          <cell r="AU111">
            <v>0</v>
          </cell>
          <cell r="AV111">
            <v>0</v>
          </cell>
          <cell r="AW111">
            <v>0</v>
          </cell>
          <cell r="AX111">
            <v>6144</v>
          </cell>
          <cell r="AY111">
            <v>23</v>
          </cell>
          <cell r="AZ111">
            <v>0</v>
          </cell>
          <cell r="BA111">
            <v>28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243</v>
          </cell>
          <cell r="BG111">
            <v>0</v>
          </cell>
          <cell r="BH111">
            <v>0</v>
          </cell>
          <cell r="BI111">
            <v>0</v>
          </cell>
          <cell r="BJ111">
            <v>4556.1400000000003</v>
          </cell>
          <cell r="BK111">
            <v>0</v>
          </cell>
          <cell r="BL111">
            <v>4556.1400000000003</v>
          </cell>
        </row>
        <row r="112">
          <cell r="B112" t="str">
            <v>LMIXSOL1</v>
          </cell>
          <cell r="C112">
            <v>28800</v>
          </cell>
          <cell r="D112">
            <v>18600</v>
          </cell>
          <cell r="E112">
            <v>20370</v>
          </cell>
          <cell r="F112">
            <v>10170</v>
          </cell>
          <cell r="G112">
            <v>8430</v>
          </cell>
          <cell r="H112">
            <v>8430</v>
          </cell>
          <cell r="I112">
            <v>927</v>
          </cell>
          <cell r="J112">
            <v>927</v>
          </cell>
          <cell r="K112">
            <v>927</v>
          </cell>
          <cell r="L112">
            <v>75</v>
          </cell>
          <cell r="M112">
            <v>852</v>
          </cell>
          <cell r="N112">
            <v>0</v>
          </cell>
          <cell r="O112">
            <v>7503</v>
          </cell>
          <cell r="P112">
            <v>7503</v>
          </cell>
          <cell r="Q112">
            <v>1610</v>
          </cell>
          <cell r="R112">
            <v>1610</v>
          </cell>
          <cell r="S112">
            <v>5893</v>
          </cell>
          <cell r="T112">
            <v>5893</v>
          </cell>
          <cell r="U112">
            <v>215</v>
          </cell>
          <cell r="V112">
            <v>215</v>
          </cell>
          <cell r="W112">
            <v>0</v>
          </cell>
          <cell r="X112">
            <v>0</v>
          </cell>
          <cell r="Y112">
            <v>0</v>
          </cell>
          <cell r="Z112">
            <v>70</v>
          </cell>
          <cell r="AA112">
            <v>70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4447</v>
          </cell>
          <cell r="AG112">
            <v>3232</v>
          </cell>
          <cell r="AH112">
            <v>1014</v>
          </cell>
          <cell r="AI112">
            <v>6</v>
          </cell>
          <cell r="AJ112">
            <v>0</v>
          </cell>
          <cell r="AK112">
            <v>195</v>
          </cell>
          <cell r="AL112">
            <v>0</v>
          </cell>
          <cell r="AM112">
            <v>0</v>
          </cell>
          <cell r="AN112">
            <v>0</v>
          </cell>
          <cell r="AO112">
            <v>1161</v>
          </cell>
          <cell r="AP112">
            <v>0</v>
          </cell>
          <cell r="AQ112">
            <v>0</v>
          </cell>
          <cell r="AR112">
            <v>520</v>
          </cell>
          <cell r="AS112">
            <v>0</v>
          </cell>
          <cell r="AT112">
            <v>380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261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973.44</v>
          </cell>
          <cell r="BK112">
            <v>0</v>
          </cell>
          <cell r="BL112">
            <v>973.44</v>
          </cell>
        </row>
        <row r="113">
          <cell r="B113" t="str">
            <v>LMIXSOL2</v>
          </cell>
          <cell r="C113">
            <v>28800</v>
          </cell>
          <cell r="D113">
            <v>18600</v>
          </cell>
          <cell r="E113">
            <v>24540</v>
          </cell>
          <cell r="F113">
            <v>14340</v>
          </cell>
          <cell r="G113">
            <v>4260</v>
          </cell>
          <cell r="H113">
            <v>4260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4260</v>
          </cell>
          <cell r="P113">
            <v>4260</v>
          </cell>
          <cell r="Q113">
            <v>1295</v>
          </cell>
          <cell r="R113">
            <v>1295</v>
          </cell>
          <cell r="S113">
            <v>2965</v>
          </cell>
          <cell r="T113">
            <v>2965</v>
          </cell>
          <cell r="U113">
            <v>170</v>
          </cell>
          <cell r="V113">
            <v>170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2105</v>
          </cell>
          <cell r="AG113">
            <v>1520</v>
          </cell>
          <cell r="AH113">
            <v>525</v>
          </cell>
          <cell r="AI113">
            <v>0</v>
          </cell>
          <cell r="AJ113">
            <v>0</v>
          </cell>
          <cell r="AK113">
            <v>60</v>
          </cell>
          <cell r="AL113">
            <v>0</v>
          </cell>
          <cell r="AM113">
            <v>0</v>
          </cell>
          <cell r="AN113">
            <v>0</v>
          </cell>
          <cell r="AO113">
            <v>690</v>
          </cell>
          <cell r="AP113">
            <v>0</v>
          </cell>
          <cell r="AQ113">
            <v>0</v>
          </cell>
          <cell r="AR113">
            <v>270</v>
          </cell>
          <cell r="AS113">
            <v>0</v>
          </cell>
          <cell r="AT113">
            <v>165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255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1310.46</v>
          </cell>
          <cell r="BK113">
            <v>0</v>
          </cell>
          <cell r="BL113">
            <v>1310.46</v>
          </cell>
        </row>
        <row r="114">
          <cell r="B114" t="str">
            <v>NBL SOL-COATING</v>
          </cell>
          <cell r="C114">
            <v>57600</v>
          </cell>
          <cell r="D114">
            <v>19200</v>
          </cell>
          <cell r="E114">
            <v>50730</v>
          </cell>
          <cell r="F114">
            <v>12330</v>
          </cell>
          <cell r="G114">
            <v>6870</v>
          </cell>
          <cell r="H114">
            <v>6870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6870</v>
          </cell>
          <cell r="P114">
            <v>6870</v>
          </cell>
          <cell r="Q114">
            <v>2840</v>
          </cell>
          <cell r="R114">
            <v>2840</v>
          </cell>
          <cell r="S114">
            <v>4030</v>
          </cell>
          <cell r="T114">
            <v>4030</v>
          </cell>
          <cell r="U114">
            <v>145</v>
          </cell>
          <cell r="V114">
            <v>115</v>
          </cell>
          <cell r="W114">
            <v>0</v>
          </cell>
          <cell r="X114">
            <v>30</v>
          </cell>
          <cell r="Y114">
            <v>0</v>
          </cell>
          <cell r="Z114">
            <v>165</v>
          </cell>
          <cell r="AA114">
            <v>40</v>
          </cell>
          <cell r="AB114">
            <v>0</v>
          </cell>
          <cell r="AC114">
            <v>0</v>
          </cell>
          <cell r="AD114">
            <v>125</v>
          </cell>
          <cell r="AE114">
            <v>0</v>
          </cell>
          <cell r="AF114">
            <v>2465</v>
          </cell>
          <cell r="AG114">
            <v>610</v>
          </cell>
          <cell r="AH114">
            <v>1635</v>
          </cell>
          <cell r="AI114">
            <v>0</v>
          </cell>
          <cell r="AJ114">
            <v>0</v>
          </cell>
          <cell r="AK114">
            <v>220</v>
          </cell>
          <cell r="AL114">
            <v>0</v>
          </cell>
          <cell r="AM114">
            <v>0</v>
          </cell>
          <cell r="AN114">
            <v>0</v>
          </cell>
          <cell r="AO114">
            <v>1255</v>
          </cell>
          <cell r="AP114">
            <v>0</v>
          </cell>
          <cell r="AQ114">
            <v>0</v>
          </cell>
          <cell r="AR114">
            <v>300</v>
          </cell>
          <cell r="AS114">
            <v>0</v>
          </cell>
          <cell r="AT114">
            <v>340</v>
          </cell>
          <cell r="AU114">
            <v>160</v>
          </cell>
          <cell r="AV114">
            <v>0</v>
          </cell>
          <cell r="AW114">
            <v>0</v>
          </cell>
          <cell r="AX114">
            <v>215</v>
          </cell>
          <cell r="AY114">
            <v>105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105</v>
          </cell>
          <cell r="BG114">
            <v>30</v>
          </cell>
          <cell r="BH114">
            <v>0</v>
          </cell>
          <cell r="BI114">
            <v>0</v>
          </cell>
          <cell r="BJ114">
            <v>1449.48</v>
          </cell>
          <cell r="BK114">
            <v>0.56000000000000005</v>
          </cell>
          <cell r="BL114">
            <v>1448.92</v>
          </cell>
        </row>
        <row r="115">
          <cell r="B115" t="str">
            <v>COT101</v>
          </cell>
          <cell r="C115">
            <v>28800</v>
          </cell>
          <cell r="D115">
            <v>9600</v>
          </cell>
          <cell r="E115">
            <v>25290</v>
          </cell>
          <cell r="F115">
            <v>6090</v>
          </cell>
          <cell r="G115">
            <v>3510</v>
          </cell>
          <cell r="H115">
            <v>3510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3510</v>
          </cell>
          <cell r="P115">
            <v>3510</v>
          </cell>
          <cell r="Q115">
            <v>1205</v>
          </cell>
          <cell r="R115">
            <v>1205</v>
          </cell>
          <cell r="S115">
            <v>2305</v>
          </cell>
          <cell r="T115">
            <v>2305</v>
          </cell>
          <cell r="U115">
            <v>50</v>
          </cell>
          <cell r="V115">
            <v>50</v>
          </cell>
          <cell r="W115">
            <v>0</v>
          </cell>
          <cell r="X115">
            <v>0</v>
          </cell>
          <cell r="Y115">
            <v>0</v>
          </cell>
          <cell r="Z115">
            <v>75</v>
          </cell>
          <cell r="AA115">
            <v>0</v>
          </cell>
          <cell r="AB115">
            <v>0</v>
          </cell>
          <cell r="AC115">
            <v>0</v>
          </cell>
          <cell r="AD115">
            <v>75</v>
          </cell>
          <cell r="AE115">
            <v>0</v>
          </cell>
          <cell r="AF115">
            <v>1480</v>
          </cell>
          <cell r="AG115">
            <v>230</v>
          </cell>
          <cell r="AH115">
            <v>1150</v>
          </cell>
          <cell r="AI115">
            <v>0</v>
          </cell>
          <cell r="AJ115">
            <v>0</v>
          </cell>
          <cell r="AK115">
            <v>100</v>
          </cell>
          <cell r="AL115">
            <v>0</v>
          </cell>
          <cell r="AM115">
            <v>0</v>
          </cell>
          <cell r="AN115">
            <v>0</v>
          </cell>
          <cell r="AO115">
            <v>700</v>
          </cell>
          <cell r="AP115">
            <v>0</v>
          </cell>
          <cell r="AQ115">
            <v>0</v>
          </cell>
          <cell r="AR115">
            <v>210</v>
          </cell>
          <cell r="AS115">
            <v>0</v>
          </cell>
          <cell r="AT115">
            <v>230</v>
          </cell>
          <cell r="AU115">
            <v>0</v>
          </cell>
          <cell r="AV115">
            <v>0</v>
          </cell>
          <cell r="AW115">
            <v>0</v>
          </cell>
          <cell r="AX115">
            <v>120</v>
          </cell>
          <cell r="AY115">
            <v>45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65</v>
          </cell>
          <cell r="BG115">
            <v>30</v>
          </cell>
          <cell r="BH115">
            <v>0</v>
          </cell>
          <cell r="BI115">
            <v>0</v>
          </cell>
          <cell r="BJ115">
            <v>285.77</v>
          </cell>
          <cell r="BK115">
            <v>0.15</v>
          </cell>
          <cell r="BL115">
            <v>285.62</v>
          </cell>
        </row>
        <row r="116">
          <cell r="B116" t="str">
            <v>COT102</v>
          </cell>
          <cell r="C116">
            <v>28800</v>
          </cell>
          <cell r="D116">
            <v>9600</v>
          </cell>
          <cell r="E116">
            <v>25440</v>
          </cell>
          <cell r="F116">
            <v>6240</v>
          </cell>
          <cell r="G116">
            <v>3360</v>
          </cell>
          <cell r="H116">
            <v>3360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3360</v>
          </cell>
          <cell r="P116">
            <v>3360</v>
          </cell>
          <cell r="Q116">
            <v>1635</v>
          </cell>
          <cell r="R116">
            <v>1635</v>
          </cell>
          <cell r="S116">
            <v>1725</v>
          </cell>
          <cell r="T116">
            <v>1725</v>
          </cell>
          <cell r="U116">
            <v>95</v>
          </cell>
          <cell r="V116">
            <v>65</v>
          </cell>
          <cell r="W116">
            <v>0</v>
          </cell>
          <cell r="X116">
            <v>30</v>
          </cell>
          <cell r="Y116">
            <v>0</v>
          </cell>
          <cell r="Z116">
            <v>90</v>
          </cell>
          <cell r="AA116">
            <v>40</v>
          </cell>
          <cell r="AB116">
            <v>0</v>
          </cell>
          <cell r="AC116">
            <v>0</v>
          </cell>
          <cell r="AD116">
            <v>50</v>
          </cell>
          <cell r="AE116">
            <v>0</v>
          </cell>
          <cell r="AF116">
            <v>985</v>
          </cell>
          <cell r="AG116">
            <v>380</v>
          </cell>
          <cell r="AH116">
            <v>485</v>
          </cell>
          <cell r="AI116">
            <v>0</v>
          </cell>
          <cell r="AJ116">
            <v>0</v>
          </cell>
          <cell r="AK116">
            <v>120</v>
          </cell>
          <cell r="AL116">
            <v>0</v>
          </cell>
          <cell r="AM116">
            <v>0</v>
          </cell>
          <cell r="AN116">
            <v>0</v>
          </cell>
          <cell r="AO116">
            <v>555</v>
          </cell>
          <cell r="AP116">
            <v>0</v>
          </cell>
          <cell r="AQ116">
            <v>0</v>
          </cell>
          <cell r="AR116">
            <v>90</v>
          </cell>
          <cell r="AS116">
            <v>0</v>
          </cell>
          <cell r="AT116">
            <v>110</v>
          </cell>
          <cell r="AU116">
            <v>160</v>
          </cell>
          <cell r="AV116">
            <v>0</v>
          </cell>
          <cell r="AW116">
            <v>0</v>
          </cell>
          <cell r="AX116">
            <v>95</v>
          </cell>
          <cell r="AY116">
            <v>60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40</v>
          </cell>
          <cell r="BG116">
            <v>0</v>
          </cell>
          <cell r="BH116">
            <v>0</v>
          </cell>
          <cell r="BI116">
            <v>0</v>
          </cell>
          <cell r="BJ116">
            <v>1163.71</v>
          </cell>
          <cell r="BK116">
            <v>0.41</v>
          </cell>
          <cell r="BL116">
            <v>1163.3</v>
          </cell>
        </row>
        <row r="117">
          <cell r="B117" t="str">
            <v>NBL SOL-TABLETING</v>
          </cell>
          <cell r="C117">
            <v>86400</v>
          </cell>
          <cell r="D117">
            <v>46800</v>
          </cell>
          <cell r="E117">
            <v>53550</v>
          </cell>
          <cell r="F117">
            <v>13950</v>
          </cell>
          <cell r="G117">
            <v>32850</v>
          </cell>
          <cell r="H117">
            <v>32850</v>
          </cell>
          <cell r="I117">
            <v>2285</v>
          </cell>
          <cell r="J117">
            <v>2285</v>
          </cell>
          <cell r="K117">
            <v>2285</v>
          </cell>
          <cell r="L117">
            <v>30</v>
          </cell>
          <cell r="M117">
            <v>2255</v>
          </cell>
          <cell r="N117">
            <v>0</v>
          </cell>
          <cell r="O117">
            <v>30565</v>
          </cell>
          <cell r="P117">
            <v>30565</v>
          </cell>
          <cell r="Q117">
            <v>10935</v>
          </cell>
          <cell r="R117">
            <v>10935</v>
          </cell>
          <cell r="S117">
            <v>19630</v>
          </cell>
          <cell r="T117">
            <v>19630</v>
          </cell>
          <cell r="U117">
            <v>3705</v>
          </cell>
          <cell r="V117">
            <v>2370</v>
          </cell>
          <cell r="W117">
            <v>0</v>
          </cell>
          <cell r="X117">
            <v>190</v>
          </cell>
          <cell r="Y117">
            <v>1145</v>
          </cell>
          <cell r="Z117">
            <v>340</v>
          </cell>
          <cell r="AA117">
            <v>340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4885</v>
          </cell>
          <cell r="AG117">
            <v>1225</v>
          </cell>
          <cell r="AH117">
            <v>2755</v>
          </cell>
          <cell r="AI117">
            <v>230</v>
          </cell>
          <cell r="AJ117">
            <v>0</v>
          </cell>
          <cell r="AK117">
            <v>675</v>
          </cell>
          <cell r="AL117">
            <v>2180</v>
          </cell>
          <cell r="AM117">
            <v>780</v>
          </cell>
          <cell r="AN117">
            <v>1400</v>
          </cell>
          <cell r="AO117">
            <v>8520</v>
          </cell>
          <cell r="AP117">
            <v>0</v>
          </cell>
          <cell r="AQ117">
            <v>0</v>
          </cell>
          <cell r="AR117">
            <v>1525</v>
          </cell>
          <cell r="AS117">
            <v>0</v>
          </cell>
          <cell r="AT117">
            <v>1210</v>
          </cell>
          <cell r="AU117">
            <v>1035</v>
          </cell>
          <cell r="AV117">
            <v>75</v>
          </cell>
          <cell r="AW117">
            <v>0</v>
          </cell>
          <cell r="AX117">
            <v>905</v>
          </cell>
          <cell r="AY117">
            <v>670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2350</v>
          </cell>
          <cell r="BG117">
            <v>750</v>
          </cell>
          <cell r="BH117">
            <v>0</v>
          </cell>
          <cell r="BI117">
            <v>0</v>
          </cell>
          <cell r="BJ117">
            <v>8476822.5600000005</v>
          </cell>
          <cell r="BK117">
            <v>11333</v>
          </cell>
          <cell r="BL117">
            <v>8465489.5600000005</v>
          </cell>
        </row>
        <row r="118">
          <cell r="B118" t="str">
            <v>TAB101</v>
          </cell>
          <cell r="C118">
            <v>28800</v>
          </cell>
          <cell r="D118">
            <v>18600</v>
          </cell>
          <cell r="E118">
            <v>15180</v>
          </cell>
          <cell r="F118">
            <v>4980</v>
          </cell>
          <cell r="G118">
            <v>13620</v>
          </cell>
          <cell r="H118">
            <v>13620</v>
          </cell>
          <cell r="I118">
            <v>790</v>
          </cell>
          <cell r="J118">
            <v>790</v>
          </cell>
          <cell r="K118">
            <v>790</v>
          </cell>
          <cell r="L118">
            <v>0</v>
          </cell>
          <cell r="M118">
            <v>790</v>
          </cell>
          <cell r="N118">
            <v>0</v>
          </cell>
          <cell r="O118">
            <v>12830</v>
          </cell>
          <cell r="P118">
            <v>12830</v>
          </cell>
          <cell r="Q118">
            <v>4995</v>
          </cell>
          <cell r="R118">
            <v>4995</v>
          </cell>
          <cell r="S118">
            <v>7835</v>
          </cell>
          <cell r="T118">
            <v>7835</v>
          </cell>
          <cell r="U118">
            <v>1795</v>
          </cell>
          <cell r="V118">
            <v>1135</v>
          </cell>
          <cell r="W118">
            <v>0</v>
          </cell>
          <cell r="X118">
            <v>35</v>
          </cell>
          <cell r="Y118">
            <v>625</v>
          </cell>
          <cell r="Z118">
            <v>340</v>
          </cell>
          <cell r="AA118">
            <v>340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2270</v>
          </cell>
          <cell r="AG118">
            <v>740</v>
          </cell>
          <cell r="AH118">
            <v>1100</v>
          </cell>
          <cell r="AI118">
            <v>100</v>
          </cell>
          <cell r="AJ118">
            <v>0</v>
          </cell>
          <cell r="AK118">
            <v>330</v>
          </cell>
          <cell r="AL118">
            <v>60</v>
          </cell>
          <cell r="AM118">
            <v>60</v>
          </cell>
          <cell r="AN118">
            <v>0</v>
          </cell>
          <cell r="AO118">
            <v>3370</v>
          </cell>
          <cell r="AP118">
            <v>0</v>
          </cell>
          <cell r="AQ118">
            <v>0</v>
          </cell>
          <cell r="AR118">
            <v>740</v>
          </cell>
          <cell r="AS118">
            <v>0</v>
          </cell>
          <cell r="AT118">
            <v>595</v>
          </cell>
          <cell r="AU118">
            <v>360</v>
          </cell>
          <cell r="AV118">
            <v>75</v>
          </cell>
          <cell r="AW118">
            <v>0</v>
          </cell>
          <cell r="AX118">
            <v>400</v>
          </cell>
          <cell r="AY118">
            <v>240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960</v>
          </cell>
          <cell r="BG118">
            <v>0</v>
          </cell>
          <cell r="BH118">
            <v>0</v>
          </cell>
          <cell r="BI118">
            <v>0</v>
          </cell>
          <cell r="BJ118">
            <v>4826814.5599999996</v>
          </cell>
          <cell r="BK118">
            <v>9242</v>
          </cell>
          <cell r="BL118">
            <v>4817572.5599999996</v>
          </cell>
        </row>
        <row r="119">
          <cell r="B119" t="str">
            <v>TAB105</v>
          </cell>
          <cell r="C119">
            <v>28800</v>
          </cell>
          <cell r="D119">
            <v>18600</v>
          </cell>
          <cell r="E119">
            <v>13920</v>
          </cell>
          <cell r="F119">
            <v>3720</v>
          </cell>
          <cell r="G119">
            <v>14880</v>
          </cell>
          <cell r="H119">
            <v>14880</v>
          </cell>
          <cell r="I119">
            <v>1255</v>
          </cell>
          <cell r="J119">
            <v>1255</v>
          </cell>
          <cell r="K119">
            <v>1255</v>
          </cell>
          <cell r="L119">
            <v>30</v>
          </cell>
          <cell r="M119">
            <v>1225</v>
          </cell>
          <cell r="N119">
            <v>0</v>
          </cell>
          <cell r="O119">
            <v>13625</v>
          </cell>
          <cell r="P119">
            <v>13625</v>
          </cell>
          <cell r="Q119">
            <v>4665</v>
          </cell>
          <cell r="R119">
            <v>4665</v>
          </cell>
          <cell r="S119">
            <v>8960</v>
          </cell>
          <cell r="T119">
            <v>8960</v>
          </cell>
          <cell r="U119">
            <v>1535</v>
          </cell>
          <cell r="V119">
            <v>880</v>
          </cell>
          <cell r="W119">
            <v>0</v>
          </cell>
          <cell r="X119">
            <v>135</v>
          </cell>
          <cell r="Y119">
            <v>520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1945</v>
          </cell>
          <cell r="AG119">
            <v>400</v>
          </cell>
          <cell r="AH119">
            <v>1250</v>
          </cell>
          <cell r="AI119">
            <v>85</v>
          </cell>
          <cell r="AJ119">
            <v>0</v>
          </cell>
          <cell r="AK119">
            <v>210</v>
          </cell>
          <cell r="AL119">
            <v>2120</v>
          </cell>
          <cell r="AM119">
            <v>720</v>
          </cell>
          <cell r="AN119">
            <v>1400</v>
          </cell>
          <cell r="AO119">
            <v>3360</v>
          </cell>
          <cell r="AP119">
            <v>0</v>
          </cell>
          <cell r="AQ119">
            <v>0</v>
          </cell>
          <cell r="AR119">
            <v>575</v>
          </cell>
          <cell r="AS119">
            <v>0</v>
          </cell>
          <cell r="AT119">
            <v>480</v>
          </cell>
          <cell r="AU119">
            <v>375</v>
          </cell>
          <cell r="AV119">
            <v>0</v>
          </cell>
          <cell r="AW119">
            <v>0</v>
          </cell>
          <cell r="AX119">
            <v>505</v>
          </cell>
          <cell r="AY119">
            <v>300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960</v>
          </cell>
          <cell r="BG119">
            <v>165</v>
          </cell>
          <cell r="BH119">
            <v>0</v>
          </cell>
          <cell r="BI119">
            <v>0</v>
          </cell>
          <cell r="BJ119">
            <v>2511385</v>
          </cell>
          <cell r="BK119">
            <v>2091</v>
          </cell>
          <cell r="BL119">
            <v>2509294</v>
          </cell>
        </row>
        <row r="120">
          <cell r="B120" t="str">
            <v>TAB103</v>
          </cell>
          <cell r="C120">
            <v>28800</v>
          </cell>
          <cell r="D120">
            <v>9600</v>
          </cell>
          <cell r="E120">
            <v>24450</v>
          </cell>
          <cell r="F120">
            <v>5250</v>
          </cell>
          <cell r="G120">
            <v>4350</v>
          </cell>
          <cell r="H120">
            <v>4350</v>
          </cell>
          <cell r="I120">
            <v>240</v>
          </cell>
          <cell r="J120">
            <v>240</v>
          </cell>
          <cell r="K120">
            <v>240</v>
          </cell>
          <cell r="L120">
            <v>0</v>
          </cell>
          <cell r="M120">
            <v>240</v>
          </cell>
          <cell r="N120">
            <v>0</v>
          </cell>
          <cell r="O120">
            <v>4110</v>
          </cell>
          <cell r="P120">
            <v>4110</v>
          </cell>
          <cell r="Q120">
            <v>1275</v>
          </cell>
          <cell r="R120">
            <v>1275</v>
          </cell>
          <cell r="S120">
            <v>2835</v>
          </cell>
          <cell r="T120">
            <v>2835</v>
          </cell>
          <cell r="U120">
            <v>375</v>
          </cell>
          <cell r="V120">
            <v>355</v>
          </cell>
          <cell r="W120">
            <v>0</v>
          </cell>
          <cell r="X120">
            <v>20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670</v>
          </cell>
          <cell r="AG120">
            <v>85</v>
          </cell>
          <cell r="AH120">
            <v>405</v>
          </cell>
          <cell r="AI120">
            <v>45</v>
          </cell>
          <cell r="AJ120">
            <v>0</v>
          </cell>
          <cell r="AK120">
            <v>135</v>
          </cell>
          <cell r="AL120">
            <v>0</v>
          </cell>
          <cell r="AM120">
            <v>0</v>
          </cell>
          <cell r="AN120">
            <v>0</v>
          </cell>
          <cell r="AO120">
            <v>1790</v>
          </cell>
          <cell r="AP120">
            <v>0</v>
          </cell>
          <cell r="AQ120">
            <v>0</v>
          </cell>
          <cell r="AR120">
            <v>210</v>
          </cell>
          <cell r="AS120">
            <v>0</v>
          </cell>
          <cell r="AT120">
            <v>135</v>
          </cell>
          <cell r="AU120">
            <v>300</v>
          </cell>
          <cell r="AV120">
            <v>0</v>
          </cell>
          <cell r="AW120">
            <v>0</v>
          </cell>
          <cell r="AX120">
            <v>0</v>
          </cell>
          <cell r="AY120">
            <v>130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430</v>
          </cell>
          <cell r="BG120">
            <v>585</v>
          </cell>
          <cell r="BH120">
            <v>0</v>
          </cell>
          <cell r="BI120">
            <v>0</v>
          </cell>
          <cell r="BJ120">
            <v>1138623</v>
          </cell>
          <cell r="BK120">
            <v>0</v>
          </cell>
          <cell r="BL120">
            <v>1138623</v>
          </cell>
        </row>
        <row r="121">
          <cell r="B121" t="str">
            <v>NBL SOL-CAPSULE</v>
          </cell>
          <cell r="C121">
            <v>57600</v>
          </cell>
          <cell r="D121">
            <v>19200</v>
          </cell>
          <cell r="E121">
            <v>48000</v>
          </cell>
          <cell r="F121">
            <v>9600</v>
          </cell>
          <cell r="G121">
            <v>9600</v>
          </cell>
          <cell r="H121">
            <v>9600</v>
          </cell>
          <cell r="I121">
            <v>510</v>
          </cell>
          <cell r="J121">
            <v>510</v>
          </cell>
          <cell r="K121">
            <v>510</v>
          </cell>
          <cell r="L121">
            <v>0</v>
          </cell>
          <cell r="M121">
            <v>510</v>
          </cell>
          <cell r="N121">
            <v>0</v>
          </cell>
          <cell r="O121">
            <v>9090</v>
          </cell>
          <cell r="P121">
            <v>9090</v>
          </cell>
          <cell r="Q121">
            <v>3110</v>
          </cell>
          <cell r="R121">
            <v>3110</v>
          </cell>
          <cell r="S121">
            <v>5980</v>
          </cell>
          <cell r="T121">
            <v>5980</v>
          </cell>
          <cell r="U121">
            <v>960</v>
          </cell>
          <cell r="V121">
            <v>725</v>
          </cell>
          <cell r="W121">
            <v>0</v>
          </cell>
          <cell r="X121">
            <v>0</v>
          </cell>
          <cell r="Y121">
            <v>235</v>
          </cell>
          <cell r="Z121">
            <v>130</v>
          </cell>
          <cell r="AA121">
            <v>130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2735</v>
          </cell>
          <cell r="AG121">
            <v>1365</v>
          </cell>
          <cell r="AH121">
            <v>950</v>
          </cell>
          <cell r="AI121">
            <v>215</v>
          </cell>
          <cell r="AJ121">
            <v>0</v>
          </cell>
          <cell r="AK121">
            <v>205</v>
          </cell>
          <cell r="AL121">
            <v>170</v>
          </cell>
          <cell r="AM121">
            <v>170</v>
          </cell>
          <cell r="AN121">
            <v>0</v>
          </cell>
          <cell r="AO121">
            <v>1985</v>
          </cell>
          <cell r="AP121">
            <v>0</v>
          </cell>
          <cell r="AQ121">
            <v>0</v>
          </cell>
          <cell r="AR121">
            <v>460</v>
          </cell>
          <cell r="AS121">
            <v>0</v>
          </cell>
          <cell r="AT121">
            <v>415</v>
          </cell>
          <cell r="AU121">
            <v>35</v>
          </cell>
          <cell r="AV121">
            <v>0</v>
          </cell>
          <cell r="AW121">
            <v>0</v>
          </cell>
          <cell r="AX121">
            <v>495</v>
          </cell>
          <cell r="AY121">
            <v>140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235</v>
          </cell>
          <cell r="BG121">
            <v>205</v>
          </cell>
          <cell r="BH121">
            <v>0</v>
          </cell>
          <cell r="BI121">
            <v>0</v>
          </cell>
          <cell r="BJ121">
            <v>1352652</v>
          </cell>
          <cell r="BK121">
            <v>2364</v>
          </cell>
          <cell r="BL121">
            <v>1350288</v>
          </cell>
        </row>
        <row r="122">
          <cell r="B122" t="str">
            <v>KAP101</v>
          </cell>
          <cell r="C122">
            <v>28800</v>
          </cell>
          <cell r="D122">
            <v>9600</v>
          </cell>
          <cell r="E122">
            <v>21240</v>
          </cell>
          <cell r="F122">
            <v>2040</v>
          </cell>
          <cell r="G122">
            <v>7560</v>
          </cell>
          <cell r="H122">
            <v>7560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7560</v>
          </cell>
          <cell r="P122">
            <v>7560</v>
          </cell>
          <cell r="Q122">
            <v>2605</v>
          </cell>
          <cell r="R122">
            <v>2605</v>
          </cell>
          <cell r="S122">
            <v>4955</v>
          </cell>
          <cell r="T122">
            <v>4955</v>
          </cell>
          <cell r="U122">
            <v>810</v>
          </cell>
          <cell r="V122">
            <v>575</v>
          </cell>
          <cell r="W122">
            <v>0</v>
          </cell>
          <cell r="X122">
            <v>0</v>
          </cell>
          <cell r="Y122">
            <v>235</v>
          </cell>
          <cell r="Z122">
            <v>130</v>
          </cell>
          <cell r="AA122">
            <v>130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2535</v>
          </cell>
          <cell r="AG122">
            <v>1270</v>
          </cell>
          <cell r="AH122">
            <v>860</v>
          </cell>
          <cell r="AI122">
            <v>215</v>
          </cell>
          <cell r="AJ122">
            <v>0</v>
          </cell>
          <cell r="AK122">
            <v>190</v>
          </cell>
          <cell r="AL122">
            <v>170</v>
          </cell>
          <cell r="AM122">
            <v>170</v>
          </cell>
          <cell r="AN122">
            <v>0</v>
          </cell>
          <cell r="AO122">
            <v>1310</v>
          </cell>
          <cell r="AP122">
            <v>0</v>
          </cell>
          <cell r="AQ122">
            <v>0</v>
          </cell>
          <cell r="AR122">
            <v>400</v>
          </cell>
          <cell r="AS122">
            <v>0</v>
          </cell>
          <cell r="AT122">
            <v>335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135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235</v>
          </cell>
          <cell r="BG122">
            <v>205</v>
          </cell>
          <cell r="BH122">
            <v>0</v>
          </cell>
          <cell r="BI122">
            <v>0</v>
          </cell>
          <cell r="BJ122">
            <v>676737</v>
          </cell>
          <cell r="BK122">
            <v>2364</v>
          </cell>
          <cell r="BL122">
            <v>674373</v>
          </cell>
        </row>
        <row r="123">
          <cell r="B123" t="str">
            <v>KAP103</v>
          </cell>
          <cell r="C123">
            <v>28800</v>
          </cell>
          <cell r="D123">
            <v>9600</v>
          </cell>
          <cell r="E123">
            <v>26760</v>
          </cell>
          <cell r="F123">
            <v>7560</v>
          </cell>
          <cell r="G123">
            <v>2040</v>
          </cell>
          <cell r="H123">
            <v>2040</v>
          </cell>
          <cell r="I123">
            <v>510</v>
          </cell>
          <cell r="J123">
            <v>510</v>
          </cell>
          <cell r="K123">
            <v>510</v>
          </cell>
          <cell r="L123">
            <v>0</v>
          </cell>
          <cell r="M123">
            <v>510</v>
          </cell>
          <cell r="N123">
            <v>0</v>
          </cell>
          <cell r="O123">
            <v>1530</v>
          </cell>
          <cell r="P123">
            <v>1530</v>
          </cell>
          <cell r="Q123">
            <v>505</v>
          </cell>
          <cell r="R123">
            <v>505</v>
          </cell>
          <cell r="S123">
            <v>1025</v>
          </cell>
          <cell r="T123">
            <v>1025</v>
          </cell>
          <cell r="U123">
            <v>150</v>
          </cell>
          <cell r="V123">
            <v>150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200</v>
          </cell>
          <cell r="AG123">
            <v>95</v>
          </cell>
          <cell r="AH123">
            <v>90</v>
          </cell>
          <cell r="AI123">
            <v>0</v>
          </cell>
          <cell r="AJ123">
            <v>0</v>
          </cell>
          <cell r="AK123">
            <v>15</v>
          </cell>
          <cell r="AL123">
            <v>0</v>
          </cell>
          <cell r="AM123">
            <v>0</v>
          </cell>
          <cell r="AN123">
            <v>0</v>
          </cell>
          <cell r="AO123">
            <v>675</v>
          </cell>
          <cell r="AP123">
            <v>0</v>
          </cell>
          <cell r="AQ123">
            <v>0</v>
          </cell>
          <cell r="AR123">
            <v>60</v>
          </cell>
          <cell r="AS123">
            <v>0</v>
          </cell>
          <cell r="AT123">
            <v>80</v>
          </cell>
          <cell r="AU123">
            <v>35</v>
          </cell>
          <cell r="AV123">
            <v>0</v>
          </cell>
          <cell r="AW123">
            <v>0</v>
          </cell>
          <cell r="AX123">
            <v>495</v>
          </cell>
          <cell r="AY123">
            <v>5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675915</v>
          </cell>
          <cell r="BK123">
            <v>0</v>
          </cell>
          <cell r="BL123">
            <v>675915</v>
          </cell>
        </row>
        <row r="124">
          <cell r="B124" t="str">
            <v>NBL SOL-STRIPPING</v>
          </cell>
          <cell r="C124">
            <v>144000</v>
          </cell>
          <cell r="D124">
            <v>66000</v>
          </cell>
          <cell r="E124">
            <v>93150</v>
          </cell>
          <cell r="F124">
            <v>15150</v>
          </cell>
          <cell r="G124">
            <v>50850</v>
          </cell>
          <cell r="H124">
            <v>50850</v>
          </cell>
          <cell r="I124">
            <v>1460</v>
          </cell>
          <cell r="J124">
            <v>1460</v>
          </cell>
          <cell r="K124">
            <v>1460</v>
          </cell>
          <cell r="L124">
            <v>0</v>
          </cell>
          <cell r="M124">
            <v>1460</v>
          </cell>
          <cell r="N124">
            <v>0</v>
          </cell>
          <cell r="O124">
            <v>49390</v>
          </cell>
          <cell r="P124">
            <v>49390</v>
          </cell>
          <cell r="Q124">
            <v>20280</v>
          </cell>
          <cell r="R124">
            <v>20280</v>
          </cell>
          <cell r="S124">
            <v>29110</v>
          </cell>
          <cell r="T124">
            <v>29110</v>
          </cell>
          <cell r="U124">
            <v>6235</v>
          </cell>
          <cell r="V124">
            <v>3720</v>
          </cell>
          <cell r="W124">
            <v>0</v>
          </cell>
          <cell r="X124">
            <v>2515</v>
          </cell>
          <cell r="Y124">
            <v>0</v>
          </cell>
          <cell r="Z124">
            <v>950</v>
          </cell>
          <cell r="AA124">
            <v>645</v>
          </cell>
          <cell r="AB124">
            <v>305</v>
          </cell>
          <cell r="AC124">
            <v>0</v>
          </cell>
          <cell r="AD124">
            <v>0</v>
          </cell>
          <cell r="AE124">
            <v>0</v>
          </cell>
          <cell r="AF124">
            <v>8965</v>
          </cell>
          <cell r="AG124">
            <v>4830</v>
          </cell>
          <cell r="AH124">
            <v>1835</v>
          </cell>
          <cell r="AI124">
            <v>1585</v>
          </cell>
          <cell r="AJ124">
            <v>0</v>
          </cell>
          <cell r="AK124">
            <v>715</v>
          </cell>
          <cell r="AL124">
            <v>2610</v>
          </cell>
          <cell r="AM124">
            <v>0</v>
          </cell>
          <cell r="AN124">
            <v>2610</v>
          </cell>
          <cell r="AO124">
            <v>10350</v>
          </cell>
          <cell r="AP124">
            <v>0</v>
          </cell>
          <cell r="AQ124">
            <v>0</v>
          </cell>
          <cell r="AR124">
            <v>2965</v>
          </cell>
          <cell r="AS124">
            <v>0</v>
          </cell>
          <cell r="AT124">
            <v>2660</v>
          </cell>
          <cell r="AU124">
            <v>735</v>
          </cell>
          <cell r="AV124">
            <v>0</v>
          </cell>
          <cell r="AW124">
            <v>0</v>
          </cell>
          <cell r="AX124">
            <v>285</v>
          </cell>
          <cell r="AY124">
            <v>1760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1880</v>
          </cell>
          <cell r="BG124">
            <v>65</v>
          </cell>
          <cell r="BH124">
            <v>0</v>
          </cell>
          <cell r="BI124">
            <v>0</v>
          </cell>
          <cell r="BJ124">
            <v>10929635</v>
          </cell>
          <cell r="BK124">
            <v>61723</v>
          </cell>
          <cell r="BL124">
            <v>10867912</v>
          </cell>
        </row>
        <row r="125">
          <cell r="B125" t="str">
            <v>STR105</v>
          </cell>
          <cell r="C125">
            <v>28800</v>
          </cell>
          <cell r="D125">
            <v>9600</v>
          </cell>
          <cell r="E125">
            <v>18090</v>
          </cell>
          <cell r="F125">
            <v>-1110</v>
          </cell>
          <cell r="G125">
            <v>10710</v>
          </cell>
          <cell r="H125">
            <v>10710</v>
          </cell>
          <cell r="I125">
            <v>415</v>
          </cell>
          <cell r="J125">
            <v>415</v>
          </cell>
          <cell r="K125">
            <v>415</v>
          </cell>
          <cell r="L125">
            <v>0</v>
          </cell>
          <cell r="M125">
            <v>415</v>
          </cell>
          <cell r="N125">
            <v>0</v>
          </cell>
          <cell r="O125">
            <v>10295</v>
          </cell>
          <cell r="P125">
            <v>10295</v>
          </cell>
          <cell r="Q125">
            <v>3760</v>
          </cell>
          <cell r="R125">
            <v>3760</v>
          </cell>
          <cell r="S125">
            <v>6535</v>
          </cell>
          <cell r="T125">
            <v>6535</v>
          </cell>
          <cell r="U125">
            <v>1865</v>
          </cell>
          <cell r="V125">
            <v>830</v>
          </cell>
          <cell r="W125">
            <v>0</v>
          </cell>
          <cell r="X125">
            <v>1035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1935</v>
          </cell>
          <cell r="AG125">
            <v>990</v>
          </cell>
          <cell r="AH125">
            <v>325</v>
          </cell>
          <cell r="AI125">
            <v>465</v>
          </cell>
          <cell r="AJ125">
            <v>0</v>
          </cell>
          <cell r="AK125">
            <v>155</v>
          </cell>
          <cell r="AL125">
            <v>0</v>
          </cell>
          <cell r="AM125">
            <v>0</v>
          </cell>
          <cell r="AN125">
            <v>0</v>
          </cell>
          <cell r="AO125">
            <v>2735</v>
          </cell>
          <cell r="AP125">
            <v>0</v>
          </cell>
          <cell r="AQ125">
            <v>0</v>
          </cell>
          <cell r="AR125">
            <v>630</v>
          </cell>
          <cell r="AS125">
            <v>0</v>
          </cell>
          <cell r="AT125">
            <v>520</v>
          </cell>
          <cell r="AU125">
            <v>490</v>
          </cell>
          <cell r="AV125">
            <v>0</v>
          </cell>
          <cell r="AW125">
            <v>0</v>
          </cell>
          <cell r="AX125">
            <v>0</v>
          </cell>
          <cell r="AY125">
            <v>405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690</v>
          </cell>
          <cell r="BG125">
            <v>0</v>
          </cell>
          <cell r="BH125">
            <v>0</v>
          </cell>
          <cell r="BI125">
            <v>0</v>
          </cell>
          <cell r="BJ125">
            <v>1241760</v>
          </cell>
          <cell r="BK125">
            <v>12550</v>
          </cell>
          <cell r="BL125">
            <v>1229210</v>
          </cell>
        </row>
        <row r="126">
          <cell r="B126" t="str">
            <v>STR102</v>
          </cell>
          <cell r="C126">
            <v>28800</v>
          </cell>
          <cell r="D126">
            <v>18600</v>
          </cell>
          <cell r="E126">
            <v>17640</v>
          </cell>
          <cell r="F126">
            <v>7440</v>
          </cell>
          <cell r="G126">
            <v>11160</v>
          </cell>
          <cell r="H126">
            <v>11160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11160</v>
          </cell>
          <cell r="P126">
            <v>11160</v>
          </cell>
          <cell r="Q126">
            <v>4290</v>
          </cell>
          <cell r="R126">
            <v>4290</v>
          </cell>
          <cell r="S126">
            <v>6870</v>
          </cell>
          <cell r="T126">
            <v>6870</v>
          </cell>
          <cell r="U126">
            <v>1375</v>
          </cell>
          <cell r="V126">
            <v>940</v>
          </cell>
          <cell r="W126">
            <v>0</v>
          </cell>
          <cell r="X126">
            <v>435</v>
          </cell>
          <cell r="Y126">
            <v>0</v>
          </cell>
          <cell r="Z126">
            <v>45</v>
          </cell>
          <cell r="AA126">
            <v>15</v>
          </cell>
          <cell r="AB126">
            <v>30</v>
          </cell>
          <cell r="AC126">
            <v>0</v>
          </cell>
          <cell r="AD126">
            <v>0</v>
          </cell>
          <cell r="AE126">
            <v>0</v>
          </cell>
          <cell r="AF126">
            <v>2545</v>
          </cell>
          <cell r="AG126">
            <v>1295</v>
          </cell>
          <cell r="AH126">
            <v>780</v>
          </cell>
          <cell r="AI126">
            <v>305</v>
          </cell>
          <cell r="AJ126">
            <v>0</v>
          </cell>
          <cell r="AK126">
            <v>165</v>
          </cell>
          <cell r="AL126">
            <v>780</v>
          </cell>
          <cell r="AM126">
            <v>0</v>
          </cell>
          <cell r="AN126">
            <v>780</v>
          </cell>
          <cell r="AO126">
            <v>2125</v>
          </cell>
          <cell r="AP126">
            <v>0</v>
          </cell>
          <cell r="AQ126">
            <v>0</v>
          </cell>
          <cell r="AR126">
            <v>670</v>
          </cell>
          <cell r="AS126">
            <v>0</v>
          </cell>
          <cell r="AT126">
            <v>585</v>
          </cell>
          <cell r="AU126">
            <v>0</v>
          </cell>
          <cell r="AV126">
            <v>0</v>
          </cell>
          <cell r="AW126">
            <v>0</v>
          </cell>
          <cell r="AX126">
            <v>135</v>
          </cell>
          <cell r="AY126">
            <v>410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325</v>
          </cell>
          <cell r="BG126">
            <v>0</v>
          </cell>
          <cell r="BH126">
            <v>0</v>
          </cell>
          <cell r="BI126">
            <v>0</v>
          </cell>
          <cell r="BJ126">
            <v>5073913</v>
          </cell>
          <cell r="BK126">
            <v>23593</v>
          </cell>
          <cell r="BL126">
            <v>5050320</v>
          </cell>
        </row>
        <row r="127">
          <cell r="B127" t="str">
            <v>STR104</v>
          </cell>
          <cell r="C127">
            <v>28800</v>
          </cell>
          <cell r="D127">
            <v>9600</v>
          </cell>
          <cell r="E127">
            <v>23160</v>
          </cell>
          <cell r="F127">
            <v>3960</v>
          </cell>
          <cell r="G127">
            <v>5640</v>
          </cell>
          <cell r="H127">
            <v>5640</v>
          </cell>
          <cell r="I127">
            <v>375</v>
          </cell>
          <cell r="J127">
            <v>375</v>
          </cell>
          <cell r="K127">
            <v>375</v>
          </cell>
          <cell r="L127">
            <v>0</v>
          </cell>
          <cell r="M127">
            <v>375</v>
          </cell>
          <cell r="N127">
            <v>0</v>
          </cell>
          <cell r="O127">
            <v>5265</v>
          </cell>
          <cell r="P127">
            <v>5265</v>
          </cell>
          <cell r="Q127">
            <v>3370</v>
          </cell>
          <cell r="R127">
            <v>3370</v>
          </cell>
          <cell r="S127">
            <v>1895</v>
          </cell>
          <cell r="T127">
            <v>1895</v>
          </cell>
          <cell r="U127">
            <v>60</v>
          </cell>
          <cell r="V127">
            <v>60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915</v>
          </cell>
          <cell r="AG127">
            <v>520</v>
          </cell>
          <cell r="AH127">
            <v>120</v>
          </cell>
          <cell r="AI127">
            <v>185</v>
          </cell>
          <cell r="AJ127">
            <v>0</v>
          </cell>
          <cell r="AK127">
            <v>90</v>
          </cell>
          <cell r="AL127">
            <v>0</v>
          </cell>
          <cell r="AM127">
            <v>0</v>
          </cell>
          <cell r="AN127">
            <v>0</v>
          </cell>
          <cell r="AO127">
            <v>920</v>
          </cell>
          <cell r="AP127">
            <v>0</v>
          </cell>
          <cell r="AQ127">
            <v>0</v>
          </cell>
          <cell r="AR127">
            <v>330</v>
          </cell>
          <cell r="AS127">
            <v>0</v>
          </cell>
          <cell r="AT127">
            <v>225</v>
          </cell>
          <cell r="AU127">
            <v>55</v>
          </cell>
          <cell r="AV127">
            <v>0</v>
          </cell>
          <cell r="AW127">
            <v>0</v>
          </cell>
          <cell r="AX127">
            <v>75</v>
          </cell>
          <cell r="AY127">
            <v>155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80</v>
          </cell>
          <cell r="BG127">
            <v>0</v>
          </cell>
          <cell r="BH127">
            <v>0</v>
          </cell>
          <cell r="BI127">
            <v>0</v>
          </cell>
          <cell r="BJ127">
            <v>23789</v>
          </cell>
          <cell r="BK127">
            <v>52</v>
          </cell>
          <cell r="BL127">
            <v>23737</v>
          </cell>
        </row>
        <row r="128">
          <cell r="B128" t="str">
            <v>STR103</v>
          </cell>
          <cell r="C128">
            <v>28800</v>
          </cell>
          <cell r="D128">
            <v>9600</v>
          </cell>
          <cell r="E128">
            <v>16650</v>
          </cell>
          <cell r="F128">
            <v>-2550</v>
          </cell>
          <cell r="G128">
            <v>12150</v>
          </cell>
          <cell r="H128">
            <v>12150</v>
          </cell>
          <cell r="I128">
            <v>415</v>
          </cell>
          <cell r="J128">
            <v>415</v>
          </cell>
          <cell r="K128">
            <v>415</v>
          </cell>
          <cell r="L128">
            <v>0</v>
          </cell>
          <cell r="M128">
            <v>415</v>
          </cell>
          <cell r="N128">
            <v>0</v>
          </cell>
          <cell r="O128">
            <v>11735</v>
          </cell>
          <cell r="P128">
            <v>11735</v>
          </cell>
          <cell r="Q128">
            <v>4670</v>
          </cell>
          <cell r="R128">
            <v>4670</v>
          </cell>
          <cell r="S128">
            <v>7065</v>
          </cell>
          <cell r="T128">
            <v>7065</v>
          </cell>
          <cell r="U128">
            <v>1665</v>
          </cell>
          <cell r="V128">
            <v>1130</v>
          </cell>
          <cell r="W128">
            <v>0</v>
          </cell>
          <cell r="X128">
            <v>535</v>
          </cell>
          <cell r="Y128">
            <v>0</v>
          </cell>
          <cell r="Z128">
            <v>180</v>
          </cell>
          <cell r="AA128">
            <v>130</v>
          </cell>
          <cell r="AB128">
            <v>50</v>
          </cell>
          <cell r="AC128">
            <v>0</v>
          </cell>
          <cell r="AD128">
            <v>0</v>
          </cell>
          <cell r="AE128">
            <v>0</v>
          </cell>
          <cell r="AF128">
            <v>1875</v>
          </cell>
          <cell r="AG128">
            <v>1060</v>
          </cell>
          <cell r="AH128">
            <v>345</v>
          </cell>
          <cell r="AI128">
            <v>315</v>
          </cell>
          <cell r="AJ128">
            <v>0</v>
          </cell>
          <cell r="AK128">
            <v>155</v>
          </cell>
          <cell r="AL128">
            <v>960</v>
          </cell>
          <cell r="AM128">
            <v>0</v>
          </cell>
          <cell r="AN128">
            <v>960</v>
          </cell>
          <cell r="AO128">
            <v>2385</v>
          </cell>
          <cell r="AP128">
            <v>0</v>
          </cell>
          <cell r="AQ128">
            <v>0</v>
          </cell>
          <cell r="AR128">
            <v>690</v>
          </cell>
          <cell r="AS128">
            <v>0</v>
          </cell>
          <cell r="AT128">
            <v>685</v>
          </cell>
          <cell r="AU128">
            <v>190</v>
          </cell>
          <cell r="AV128">
            <v>0</v>
          </cell>
          <cell r="AW128">
            <v>0</v>
          </cell>
          <cell r="AX128">
            <v>0</v>
          </cell>
          <cell r="AY128">
            <v>355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465</v>
          </cell>
          <cell r="BG128">
            <v>0</v>
          </cell>
          <cell r="BH128">
            <v>0</v>
          </cell>
          <cell r="BI128">
            <v>0</v>
          </cell>
          <cell r="BJ128">
            <v>2372401</v>
          </cell>
          <cell r="BK128">
            <v>15091</v>
          </cell>
          <cell r="BL128">
            <v>2357310</v>
          </cell>
        </row>
        <row r="129">
          <cell r="B129" t="str">
            <v>STR101</v>
          </cell>
          <cell r="C129">
            <v>28800</v>
          </cell>
          <cell r="D129">
            <v>18600</v>
          </cell>
          <cell r="E129">
            <v>17610</v>
          </cell>
          <cell r="F129">
            <v>7410</v>
          </cell>
          <cell r="G129">
            <v>11190</v>
          </cell>
          <cell r="H129">
            <v>11190</v>
          </cell>
          <cell r="I129">
            <v>255</v>
          </cell>
          <cell r="J129">
            <v>255</v>
          </cell>
          <cell r="K129">
            <v>255</v>
          </cell>
          <cell r="L129">
            <v>0</v>
          </cell>
          <cell r="M129">
            <v>255</v>
          </cell>
          <cell r="N129">
            <v>0</v>
          </cell>
          <cell r="O129">
            <v>10935</v>
          </cell>
          <cell r="P129">
            <v>10935</v>
          </cell>
          <cell r="Q129">
            <v>4190</v>
          </cell>
          <cell r="R129">
            <v>4190</v>
          </cell>
          <cell r="S129">
            <v>6745</v>
          </cell>
          <cell r="T129">
            <v>6745</v>
          </cell>
          <cell r="U129">
            <v>1270</v>
          </cell>
          <cell r="V129">
            <v>760</v>
          </cell>
          <cell r="W129">
            <v>0</v>
          </cell>
          <cell r="X129">
            <v>510</v>
          </cell>
          <cell r="Y129">
            <v>0</v>
          </cell>
          <cell r="Z129">
            <v>725</v>
          </cell>
          <cell r="AA129">
            <v>500</v>
          </cell>
          <cell r="AB129">
            <v>225</v>
          </cell>
          <cell r="AC129">
            <v>0</v>
          </cell>
          <cell r="AD129">
            <v>0</v>
          </cell>
          <cell r="AE129">
            <v>0</v>
          </cell>
          <cell r="AF129">
            <v>1695</v>
          </cell>
          <cell r="AG129">
            <v>965</v>
          </cell>
          <cell r="AH129">
            <v>265</v>
          </cell>
          <cell r="AI129">
            <v>315</v>
          </cell>
          <cell r="AJ129">
            <v>0</v>
          </cell>
          <cell r="AK129">
            <v>150</v>
          </cell>
          <cell r="AL129">
            <v>870</v>
          </cell>
          <cell r="AM129">
            <v>0</v>
          </cell>
          <cell r="AN129">
            <v>870</v>
          </cell>
          <cell r="AO129">
            <v>2185</v>
          </cell>
          <cell r="AP129">
            <v>0</v>
          </cell>
          <cell r="AQ129">
            <v>0</v>
          </cell>
          <cell r="AR129">
            <v>645</v>
          </cell>
          <cell r="AS129">
            <v>0</v>
          </cell>
          <cell r="AT129">
            <v>645</v>
          </cell>
          <cell r="AU129">
            <v>0</v>
          </cell>
          <cell r="AV129">
            <v>0</v>
          </cell>
          <cell r="AW129">
            <v>0</v>
          </cell>
          <cell r="AX129">
            <v>75</v>
          </cell>
          <cell r="AY129">
            <v>435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320</v>
          </cell>
          <cell r="BG129">
            <v>65</v>
          </cell>
          <cell r="BH129">
            <v>0</v>
          </cell>
          <cell r="BI129">
            <v>0</v>
          </cell>
          <cell r="BJ129">
            <v>2217772</v>
          </cell>
          <cell r="BK129">
            <v>10437</v>
          </cell>
          <cell r="BL129">
            <v>2207335</v>
          </cell>
        </row>
        <row r="130">
          <cell r="B130" t="str">
            <v>NBL SYR-MIXING</v>
          </cell>
          <cell r="C130">
            <v>28800</v>
          </cell>
          <cell r="D130">
            <v>18600</v>
          </cell>
          <cell r="E130">
            <v>21660</v>
          </cell>
          <cell r="F130">
            <v>11460</v>
          </cell>
          <cell r="G130">
            <v>7140</v>
          </cell>
          <cell r="H130">
            <v>7140</v>
          </cell>
          <cell r="I130">
            <v>759</v>
          </cell>
          <cell r="J130">
            <v>759</v>
          </cell>
          <cell r="K130">
            <v>759</v>
          </cell>
          <cell r="L130">
            <v>228</v>
          </cell>
          <cell r="M130">
            <v>531</v>
          </cell>
          <cell r="N130">
            <v>0</v>
          </cell>
          <cell r="O130">
            <v>6381</v>
          </cell>
          <cell r="P130">
            <v>6381</v>
          </cell>
          <cell r="Q130">
            <v>2092</v>
          </cell>
          <cell r="R130">
            <v>2092</v>
          </cell>
          <cell r="S130">
            <v>4289</v>
          </cell>
          <cell r="T130">
            <v>4289</v>
          </cell>
          <cell r="U130">
            <v>260</v>
          </cell>
          <cell r="V130">
            <v>260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2918</v>
          </cell>
          <cell r="AG130">
            <v>196</v>
          </cell>
          <cell r="AH130">
            <v>2662</v>
          </cell>
          <cell r="AI130">
            <v>0</v>
          </cell>
          <cell r="AJ130">
            <v>15</v>
          </cell>
          <cell r="AK130">
            <v>45</v>
          </cell>
          <cell r="AL130">
            <v>0</v>
          </cell>
          <cell r="AM130">
            <v>0</v>
          </cell>
          <cell r="AN130">
            <v>0</v>
          </cell>
          <cell r="AO130">
            <v>1111</v>
          </cell>
          <cell r="AP130">
            <v>76</v>
          </cell>
          <cell r="AQ130">
            <v>0</v>
          </cell>
          <cell r="AR130">
            <v>270</v>
          </cell>
          <cell r="AS130">
            <v>0</v>
          </cell>
          <cell r="AT130">
            <v>157</v>
          </cell>
          <cell r="AU130">
            <v>0</v>
          </cell>
          <cell r="AV130">
            <v>0</v>
          </cell>
          <cell r="AW130">
            <v>0</v>
          </cell>
          <cell r="AX130">
            <v>10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12</v>
          </cell>
          <cell r="BG130">
            <v>551</v>
          </cell>
          <cell r="BH130">
            <v>0</v>
          </cell>
          <cell r="BI130">
            <v>35</v>
          </cell>
          <cell r="BJ130">
            <v>9015</v>
          </cell>
          <cell r="BK130">
            <v>4.3499999999999996</v>
          </cell>
          <cell r="BL130">
            <v>9010.65</v>
          </cell>
        </row>
        <row r="131">
          <cell r="B131" t="str">
            <v>LMIXSYR1</v>
          </cell>
          <cell r="C131">
            <v>28800</v>
          </cell>
          <cell r="D131">
            <v>18600</v>
          </cell>
          <cell r="E131">
            <v>21660</v>
          </cell>
          <cell r="F131">
            <v>11460</v>
          </cell>
          <cell r="G131">
            <v>7140</v>
          </cell>
          <cell r="H131">
            <v>7140</v>
          </cell>
          <cell r="I131">
            <v>759</v>
          </cell>
          <cell r="J131">
            <v>759</v>
          </cell>
          <cell r="K131">
            <v>759</v>
          </cell>
          <cell r="L131">
            <v>228</v>
          </cell>
          <cell r="M131">
            <v>531</v>
          </cell>
          <cell r="N131">
            <v>0</v>
          </cell>
          <cell r="O131">
            <v>6381</v>
          </cell>
          <cell r="P131">
            <v>6381</v>
          </cell>
          <cell r="Q131">
            <v>2092</v>
          </cell>
          <cell r="R131">
            <v>2092</v>
          </cell>
          <cell r="S131">
            <v>4289</v>
          </cell>
          <cell r="T131">
            <v>4289</v>
          </cell>
          <cell r="U131">
            <v>260</v>
          </cell>
          <cell r="V131">
            <v>260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2918</v>
          </cell>
          <cell r="AG131">
            <v>196</v>
          </cell>
          <cell r="AH131">
            <v>2662</v>
          </cell>
          <cell r="AI131">
            <v>0</v>
          </cell>
          <cell r="AJ131">
            <v>15</v>
          </cell>
          <cell r="AK131">
            <v>45</v>
          </cell>
          <cell r="AL131">
            <v>0</v>
          </cell>
          <cell r="AM131">
            <v>0</v>
          </cell>
          <cell r="AN131">
            <v>0</v>
          </cell>
          <cell r="AO131">
            <v>1111</v>
          </cell>
          <cell r="AP131">
            <v>76</v>
          </cell>
          <cell r="AQ131">
            <v>0</v>
          </cell>
          <cell r="AR131">
            <v>270</v>
          </cell>
          <cell r="AS131">
            <v>0</v>
          </cell>
          <cell r="AT131">
            <v>157</v>
          </cell>
          <cell r="AU131">
            <v>0</v>
          </cell>
          <cell r="AV131">
            <v>0</v>
          </cell>
          <cell r="AW131">
            <v>0</v>
          </cell>
          <cell r="AX131">
            <v>10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12</v>
          </cell>
          <cell r="BG131">
            <v>551</v>
          </cell>
          <cell r="BH131">
            <v>0</v>
          </cell>
          <cell r="BI131">
            <v>35</v>
          </cell>
          <cell r="BJ131">
            <v>9015</v>
          </cell>
          <cell r="BK131">
            <v>4.3499999999999996</v>
          </cell>
          <cell r="BL131">
            <v>9010.65</v>
          </cell>
        </row>
        <row r="132">
          <cell r="B132" t="str">
            <v>NBL SYR-FILLING</v>
          </cell>
          <cell r="C132">
            <v>57600</v>
          </cell>
          <cell r="D132">
            <v>37200</v>
          </cell>
          <cell r="E132">
            <v>44400</v>
          </cell>
          <cell r="F132">
            <v>24000</v>
          </cell>
          <cell r="G132">
            <v>13200</v>
          </cell>
          <cell r="H132">
            <v>13200</v>
          </cell>
          <cell r="I132">
            <v>4170</v>
          </cell>
          <cell r="J132">
            <v>4170</v>
          </cell>
          <cell r="K132">
            <v>4170</v>
          </cell>
          <cell r="L132">
            <v>45</v>
          </cell>
          <cell r="M132">
            <v>4125</v>
          </cell>
          <cell r="N132">
            <v>0</v>
          </cell>
          <cell r="O132">
            <v>9030</v>
          </cell>
          <cell r="P132">
            <v>9030</v>
          </cell>
          <cell r="Q132">
            <v>2605</v>
          </cell>
          <cell r="R132">
            <v>2605</v>
          </cell>
          <cell r="S132">
            <v>6425</v>
          </cell>
          <cell r="T132">
            <v>6425</v>
          </cell>
          <cell r="U132">
            <v>690</v>
          </cell>
          <cell r="V132">
            <v>540</v>
          </cell>
          <cell r="W132">
            <v>0</v>
          </cell>
          <cell r="X132">
            <v>135</v>
          </cell>
          <cell r="Y132">
            <v>15</v>
          </cell>
          <cell r="Z132">
            <v>440</v>
          </cell>
          <cell r="AA132">
            <v>300</v>
          </cell>
          <cell r="AB132">
            <v>0</v>
          </cell>
          <cell r="AC132">
            <v>0</v>
          </cell>
          <cell r="AD132">
            <v>140</v>
          </cell>
          <cell r="AE132">
            <v>0</v>
          </cell>
          <cell r="AF132">
            <v>2970</v>
          </cell>
          <cell r="AG132">
            <v>410</v>
          </cell>
          <cell r="AH132">
            <v>1545</v>
          </cell>
          <cell r="AI132">
            <v>0</v>
          </cell>
          <cell r="AJ132">
            <v>0</v>
          </cell>
          <cell r="AK132">
            <v>1015</v>
          </cell>
          <cell r="AL132">
            <v>0</v>
          </cell>
          <cell r="AM132">
            <v>0</v>
          </cell>
          <cell r="AN132">
            <v>0</v>
          </cell>
          <cell r="AO132">
            <v>2325</v>
          </cell>
          <cell r="AP132">
            <v>0</v>
          </cell>
          <cell r="AQ132">
            <v>0</v>
          </cell>
          <cell r="AR132">
            <v>420</v>
          </cell>
          <cell r="AS132">
            <v>0</v>
          </cell>
          <cell r="AT132">
            <v>240</v>
          </cell>
          <cell r="AU132">
            <v>0</v>
          </cell>
          <cell r="AV132">
            <v>0</v>
          </cell>
          <cell r="AW132">
            <v>0</v>
          </cell>
          <cell r="AX132">
            <v>1510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155</v>
          </cell>
          <cell r="BH132">
            <v>0</v>
          </cell>
          <cell r="BI132">
            <v>0</v>
          </cell>
          <cell r="BJ132">
            <v>136811</v>
          </cell>
          <cell r="BK132">
            <v>285</v>
          </cell>
          <cell r="BL132">
            <v>136526</v>
          </cell>
        </row>
        <row r="133">
          <cell r="B133" t="str">
            <v>SYR109</v>
          </cell>
          <cell r="C133">
            <v>28800</v>
          </cell>
          <cell r="D133">
            <v>18600</v>
          </cell>
          <cell r="E133">
            <v>20160</v>
          </cell>
          <cell r="F133">
            <v>9960</v>
          </cell>
          <cell r="G133">
            <v>8640</v>
          </cell>
          <cell r="H133">
            <v>8640</v>
          </cell>
          <cell r="I133">
            <v>2400</v>
          </cell>
          <cell r="J133">
            <v>2400</v>
          </cell>
          <cell r="K133">
            <v>2400</v>
          </cell>
          <cell r="L133">
            <v>45</v>
          </cell>
          <cell r="M133">
            <v>2355</v>
          </cell>
          <cell r="N133">
            <v>0</v>
          </cell>
          <cell r="O133">
            <v>6240</v>
          </cell>
          <cell r="P133">
            <v>6240</v>
          </cell>
          <cell r="Q133">
            <v>1680</v>
          </cell>
          <cell r="R133">
            <v>1680</v>
          </cell>
          <cell r="S133">
            <v>4560</v>
          </cell>
          <cell r="T133">
            <v>4560</v>
          </cell>
          <cell r="U133">
            <v>495</v>
          </cell>
          <cell r="V133">
            <v>435</v>
          </cell>
          <cell r="W133">
            <v>0</v>
          </cell>
          <cell r="X133">
            <v>60</v>
          </cell>
          <cell r="Y133">
            <v>0</v>
          </cell>
          <cell r="Z133">
            <v>300</v>
          </cell>
          <cell r="AA133">
            <v>300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2040</v>
          </cell>
          <cell r="AG133">
            <v>130</v>
          </cell>
          <cell r="AH133">
            <v>1300</v>
          </cell>
          <cell r="AI133">
            <v>0</v>
          </cell>
          <cell r="AJ133">
            <v>0</v>
          </cell>
          <cell r="AK133">
            <v>610</v>
          </cell>
          <cell r="AL133">
            <v>0</v>
          </cell>
          <cell r="AM133">
            <v>0</v>
          </cell>
          <cell r="AN133">
            <v>0</v>
          </cell>
          <cell r="AO133">
            <v>1725</v>
          </cell>
          <cell r="AP133">
            <v>0</v>
          </cell>
          <cell r="AQ133">
            <v>0</v>
          </cell>
          <cell r="AR133">
            <v>270</v>
          </cell>
          <cell r="AS133">
            <v>0</v>
          </cell>
          <cell r="AT133">
            <v>150</v>
          </cell>
          <cell r="AU133">
            <v>0</v>
          </cell>
          <cell r="AV133">
            <v>0</v>
          </cell>
          <cell r="AW133">
            <v>0</v>
          </cell>
          <cell r="AX133">
            <v>1290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15</v>
          </cell>
          <cell r="BH133">
            <v>0</v>
          </cell>
          <cell r="BI133">
            <v>0</v>
          </cell>
          <cell r="BJ133">
            <v>88246</v>
          </cell>
          <cell r="BK133">
            <v>195</v>
          </cell>
          <cell r="BL133">
            <v>88051</v>
          </cell>
        </row>
        <row r="134">
          <cell r="B134" t="str">
            <v>SYR110</v>
          </cell>
          <cell r="C134">
            <v>28800</v>
          </cell>
          <cell r="D134">
            <v>18600</v>
          </cell>
          <cell r="E134">
            <v>24240</v>
          </cell>
          <cell r="F134">
            <v>14040</v>
          </cell>
          <cell r="G134">
            <v>4560</v>
          </cell>
          <cell r="H134">
            <v>4560</v>
          </cell>
          <cell r="I134">
            <v>1770</v>
          </cell>
          <cell r="J134">
            <v>1770</v>
          </cell>
          <cell r="K134">
            <v>1770</v>
          </cell>
          <cell r="L134">
            <v>0</v>
          </cell>
          <cell r="M134">
            <v>1770</v>
          </cell>
          <cell r="N134">
            <v>0</v>
          </cell>
          <cell r="O134">
            <v>2790</v>
          </cell>
          <cell r="P134">
            <v>2790</v>
          </cell>
          <cell r="Q134">
            <v>925</v>
          </cell>
          <cell r="R134">
            <v>925</v>
          </cell>
          <cell r="S134">
            <v>1865</v>
          </cell>
          <cell r="T134">
            <v>1865</v>
          </cell>
          <cell r="U134">
            <v>195</v>
          </cell>
          <cell r="V134">
            <v>105</v>
          </cell>
          <cell r="W134">
            <v>0</v>
          </cell>
          <cell r="X134">
            <v>75</v>
          </cell>
          <cell r="Y134">
            <v>15</v>
          </cell>
          <cell r="Z134">
            <v>140</v>
          </cell>
          <cell r="AA134">
            <v>0</v>
          </cell>
          <cell r="AB134">
            <v>0</v>
          </cell>
          <cell r="AC134">
            <v>0</v>
          </cell>
          <cell r="AD134">
            <v>140</v>
          </cell>
          <cell r="AE134">
            <v>0</v>
          </cell>
          <cell r="AF134">
            <v>930</v>
          </cell>
          <cell r="AG134">
            <v>280</v>
          </cell>
          <cell r="AH134">
            <v>245</v>
          </cell>
          <cell r="AI134">
            <v>0</v>
          </cell>
          <cell r="AJ134">
            <v>0</v>
          </cell>
          <cell r="AK134">
            <v>405</v>
          </cell>
          <cell r="AL134">
            <v>0</v>
          </cell>
          <cell r="AM134">
            <v>0</v>
          </cell>
          <cell r="AN134">
            <v>0</v>
          </cell>
          <cell r="AO134">
            <v>600</v>
          </cell>
          <cell r="AP134">
            <v>0</v>
          </cell>
          <cell r="AQ134">
            <v>0</v>
          </cell>
          <cell r="AR134">
            <v>150</v>
          </cell>
          <cell r="AS134">
            <v>0</v>
          </cell>
          <cell r="AT134">
            <v>90</v>
          </cell>
          <cell r="AU134">
            <v>0</v>
          </cell>
          <cell r="AV134">
            <v>0</v>
          </cell>
          <cell r="AW134">
            <v>0</v>
          </cell>
          <cell r="AX134">
            <v>220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140</v>
          </cell>
          <cell r="BH134">
            <v>0</v>
          </cell>
          <cell r="BI134">
            <v>0</v>
          </cell>
          <cell r="BJ134">
            <v>48565</v>
          </cell>
          <cell r="BK134">
            <v>90</v>
          </cell>
          <cell r="BL134">
            <v>48475</v>
          </cell>
        </row>
        <row r="135">
          <cell r="B135" t="str">
            <v>NBL INJ-MIXING</v>
          </cell>
          <cell r="C135">
            <v>28800</v>
          </cell>
          <cell r="D135">
            <v>18600</v>
          </cell>
          <cell r="E135">
            <v>19770</v>
          </cell>
          <cell r="F135">
            <v>9570</v>
          </cell>
          <cell r="G135">
            <v>9030</v>
          </cell>
          <cell r="H135">
            <v>9030</v>
          </cell>
          <cell r="I135">
            <v>700</v>
          </cell>
          <cell r="J135">
            <v>700</v>
          </cell>
          <cell r="K135">
            <v>700</v>
          </cell>
          <cell r="L135">
            <v>60</v>
          </cell>
          <cell r="M135">
            <v>640</v>
          </cell>
          <cell r="N135">
            <v>0</v>
          </cell>
          <cell r="O135">
            <v>8330</v>
          </cell>
          <cell r="P135">
            <v>8330</v>
          </cell>
          <cell r="Q135">
            <v>2839</v>
          </cell>
          <cell r="R135">
            <v>2839</v>
          </cell>
          <cell r="S135">
            <v>5491</v>
          </cell>
          <cell r="T135">
            <v>5491</v>
          </cell>
          <cell r="U135">
            <v>180</v>
          </cell>
          <cell r="V135">
            <v>180</v>
          </cell>
          <cell r="W135">
            <v>0</v>
          </cell>
          <cell r="X135">
            <v>0</v>
          </cell>
          <cell r="Y135">
            <v>0</v>
          </cell>
          <cell r="Z135">
            <v>20</v>
          </cell>
          <cell r="AA135">
            <v>0</v>
          </cell>
          <cell r="AB135">
            <v>0</v>
          </cell>
          <cell r="AC135">
            <v>0</v>
          </cell>
          <cell r="AD135">
            <v>20</v>
          </cell>
          <cell r="AE135">
            <v>0</v>
          </cell>
          <cell r="AF135">
            <v>2864</v>
          </cell>
          <cell r="AG135">
            <v>624</v>
          </cell>
          <cell r="AH135">
            <v>1926</v>
          </cell>
          <cell r="AI135">
            <v>0</v>
          </cell>
          <cell r="AJ135">
            <v>314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2427</v>
          </cell>
          <cell r="AP135">
            <v>0</v>
          </cell>
          <cell r="AQ135">
            <v>0</v>
          </cell>
          <cell r="AR135">
            <v>600</v>
          </cell>
          <cell r="AS135">
            <v>0</v>
          </cell>
          <cell r="AT135">
            <v>460</v>
          </cell>
          <cell r="AU135">
            <v>0</v>
          </cell>
          <cell r="AV135">
            <v>20</v>
          </cell>
          <cell r="AW135">
            <v>0</v>
          </cell>
          <cell r="AX135">
            <v>19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1328</v>
          </cell>
          <cell r="BG135">
            <v>0</v>
          </cell>
          <cell r="BH135">
            <v>0</v>
          </cell>
          <cell r="BI135">
            <v>0</v>
          </cell>
          <cell r="BJ135">
            <v>1230</v>
          </cell>
          <cell r="BK135">
            <v>0</v>
          </cell>
          <cell r="BL135">
            <v>1230</v>
          </cell>
        </row>
        <row r="136">
          <cell r="B136" t="str">
            <v>LMIXINJ1</v>
          </cell>
          <cell r="C136">
            <v>28800</v>
          </cell>
          <cell r="D136">
            <v>18600</v>
          </cell>
          <cell r="E136">
            <v>19770</v>
          </cell>
          <cell r="F136">
            <v>9570</v>
          </cell>
          <cell r="G136">
            <v>9030</v>
          </cell>
          <cell r="H136">
            <v>9030</v>
          </cell>
          <cell r="I136">
            <v>700</v>
          </cell>
          <cell r="J136">
            <v>700</v>
          </cell>
          <cell r="K136">
            <v>700</v>
          </cell>
          <cell r="L136">
            <v>60</v>
          </cell>
          <cell r="M136">
            <v>640</v>
          </cell>
          <cell r="N136">
            <v>0</v>
          </cell>
          <cell r="O136">
            <v>8330</v>
          </cell>
          <cell r="P136">
            <v>8330</v>
          </cell>
          <cell r="Q136">
            <v>2839</v>
          </cell>
          <cell r="R136">
            <v>2839</v>
          </cell>
          <cell r="S136">
            <v>5491</v>
          </cell>
          <cell r="T136">
            <v>5491</v>
          </cell>
          <cell r="U136">
            <v>180</v>
          </cell>
          <cell r="V136">
            <v>180</v>
          </cell>
          <cell r="W136">
            <v>0</v>
          </cell>
          <cell r="X136">
            <v>0</v>
          </cell>
          <cell r="Y136">
            <v>0</v>
          </cell>
          <cell r="Z136">
            <v>20</v>
          </cell>
          <cell r="AA136">
            <v>0</v>
          </cell>
          <cell r="AB136">
            <v>0</v>
          </cell>
          <cell r="AC136">
            <v>0</v>
          </cell>
          <cell r="AD136">
            <v>20</v>
          </cell>
          <cell r="AE136">
            <v>0</v>
          </cell>
          <cell r="AF136">
            <v>2864</v>
          </cell>
          <cell r="AG136">
            <v>624</v>
          </cell>
          <cell r="AH136">
            <v>1926</v>
          </cell>
          <cell r="AI136">
            <v>0</v>
          </cell>
          <cell r="AJ136">
            <v>314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2427</v>
          </cell>
          <cell r="AP136">
            <v>0</v>
          </cell>
          <cell r="AQ136">
            <v>0</v>
          </cell>
          <cell r="AR136">
            <v>600</v>
          </cell>
          <cell r="AS136">
            <v>0</v>
          </cell>
          <cell r="AT136">
            <v>460</v>
          </cell>
          <cell r="AU136">
            <v>0</v>
          </cell>
          <cell r="AV136">
            <v>20</v>
          </cell>
          <cell r="AW136">
            <v>0</v>
          </cell>
          <cell r="AX136">
            <v>19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1328</v>
          </cell>
          <cell r="BG136">
            <v>0</v>
          </cell>
          <cell r="BH136">
            <v>0</v>
          </cell>
          <cell r="BI136">
            <v>0</v>
          </cell>
          <cell r="BJ136">
            <v>1230</v>
          </cell>
          <cell r="BK136">
            <v>0</v>
          </cell>
          <cell r="BL136">
            <v>1230</v>
          </cell>
        </row>
        <row r="137">
          <cell r="B137" t="str">
            <v>NBL INJ-FILLING</v>
          </cell>
          <cell r="C137">
            <v>57600</v>
          </cell>
          <cell r="D137">
            <v>37200</v>
          </cell>
          <cell r="E137">
            <v>30510</v>
          </cell>
          <cell r="F137">
            <v>10110</v>
          </cell>
          <cell r="G137">
            <v>27090</v>
          </cell>
          <cell r="H137">
            <v>27090</v>
          </cell>
          <cell r="I137">
            <v>2168</v>
          </cell>
          <cell r="J137">
            <v>2168</v>
          </cell>
          <cell r="K137">
            <v>1795</v>
          </cell>
          <cell r="L137">
            <v>215</v>
          </cell>
          <cell r="M137">
            <v>1580</v>
          </cell>
          <cell r="N137">
            <v>373</v>
          </cell>
          <cell r="O137">
            <v>24922</v>
          </cell>
          <cell r="P137">
            <v>24922</v>
          </cell>
          <cell r="Q137">
            <v>9533</v>
          </cell>
          <cell r="R137">
            <v>9533</v>
          </cell>
          <cell r="S137">
            <v>15389</v>
          </cell>
          <cell r="T137">
            <v>15389</v>
          </cell>
          <cell r="U137">
            <v>2460</v>
          </cell>
          <cell r="V137">
            <v>2115</v>
          </cell>
          <cell r="W137">
            <v>49</v>
          </cell>
          <cell r="X137">
            <v>276</v>
          </cell>
          <cell r="Y137">
            <v>20</v>
          </cell>
          <cell r="Z137">
            <v>211</v>
          </cell>
          <cell r="AA137">
            <v>0</v>
          </cell>
          <cell r="AB137">
            <v>66</v>
          </cell>
          <cell r="AC137">
            <v>0</v>
          </cell>
          <cell r="AD137">
            <v>140</v>
          </cell>
          <cell r="AE137">
            <v>5</v>
          </cell>
          <cell r="AF137">
            <v>5948</v>
          </cell>
          <cell r="AG137">
            <v>1735</v>
          </cell>
          <cell r="AH137">
            <v>4013</v>
          </cell>
          <cell r="AI137">
            <v>55</v>
          </cell>
          <cell r="AJ137">
            <v>0</v>
          </cell>
          <cell r="AK137">
            <v>145</v>
          </cell>
          <cell r="AL137">
            <v>0</v>
          </cell>
          <cell r="AM137">
            <v>0</v>
          </cell>
          <cell r="AN137">
            <v>0</v>
          </cell>
          <cell r="AO137">
            <v>6770</v>
          </cell>
          <cell r="AP137">
            <v>0</v>
          </cell>
          <cell r="AQ137">
            <v>0</v>
          </cell>
          <cell r="AR137">
            <v>1714</v>
          </cell>
          <cell r="AS137">
            <v>80</v>
          </cell>
          <cell r="AT137">
            <v>1859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365</v>
          </cell>
          <cell r="AZ137">
            <v>0</v>
          </cell>
          <cell r="BA137">
            <v>0</v>
          </cell>
          <cell r="BB137">
            <v>2700</v>
          </cell>
          <cell r="BC137">
            <v>0</v>
          </cell>
          <cell r="BD137">
            <v>0</v>
          </cell>
          <cell r="BE137">
            <v>0</v>
          </cell>
          <cell r="BF137">
            <v>52</v>
          </cell>
          <cell r="BG137">
            <v>0</v>
          </cell>
          <cell r="BH137">
            <v>0</v>
          </cell>
          <cell r="BI137">
            <v>0</v>
          </cell>
          <cell r="BJ137">
            <v>1067553</v>
          </cell>
          <cell r="BK137">
            <v>209</v>
          </cell>
          <cell r="BL137">
            <v>1067344</v>
          </cell>
        </row>
        <row r="138">
          <cell r="B138" t="str">
            <v>GINLINE3</v>
          </cell>
          <cell r="C138">
            <v>28800</v>
          </cell>
          <cell r="D138">
            <v>18600</v>
          </cell>
          <cell r="E138">
            <v>16290</v>
          </cell>
          <cell r="F138">
            <v>6090</v>
          </cell>
          <cell r="G138">
            <v>12510</v>
          </cell>
          <cell r="H138">
            <v>12510</v>
          </cell>
          <cell r="I138">
            <v>1213</v>
          </cell>
          <cell r="J138">
            <v>1213</v>
          </cell>
          <cell r="K138">
            <v>840</v>
          </cell>
          <cell r="L138">
            <v>40</v>
          </cell>
          <cell r="M138">
            <v>800</v>
          </cell>
          <cell r="N138">
            <v>373</v>
          </cell>
          <cell r="O138">
            <v>11297</v>
          </cell>
          <cell r="P138">
            <v>11297</v>
          </cell>
          <cell r="Q138">
            <v>3050</v>
          </cell>
          <cell r="R138">
            <v>3050</v>
          </cell>
          <cell r="S138">
            <v>8247</v>
          </cell>
          <cell r="T138">
            <v>8247</v>
          </cell>
          <cell r="U138">
            <v>1265</v>
          </cell>
          <cell r="V138">
            <v>1050</v>
          </cell>
          <cell r="W138">
            <v>49</v>
          </cell>
          <cell r="X138">
            <v>146</v>
          </cell>
          <cell r="Y138">
            <v>20</v>
          </cell>
          <cell r="Z138">
            <v>145</v>
          </cell>
          <cell r="AA138">
            <v>0</v>
          </cell>
          <cell r="AB138">
            <v>0</v>
          </cell>
          <cell r="AC138">
            <v>0</v>
          </cell>
          <cell r="AD138">
            <v>140</v>
          </cell>
          <cell r="AE138">
            <v>5</v>
          </cell>
          <cell r="AF138">
            <v>3413</v>
          </cell>
          <cell r="AG138">
            <v>1390</v>
          </cell>
          <cell r="AH138">
            <v>1823</v>
          </cell>
          <cell r="AI138">
            <v>55</v>
          </cell>
          <cell r="AJ138">
            <v>0</v>
          </cell>
          <cell r="AK138">
            <v>145</v>
          </cell>
          <cell r="AL138">
            <v>0</v>
          </cell>
          <cell r="AM138">
            <v>0</v>
          </cell>
          <cell r="AN138">
            <v>0</v>
          </cell>
          <cell r="AO138">
            <v>3424</v>
          </cell>
          <cell r="AP138">
            <v>0</v>
          </cell>
          <cell r="AQ138">
            <v>0</v>
          </cell>
          <cell r="AR138">
            <v>755</v>
          </cell>
          <cell r="AS138">
            <v>50</v>
          </cell>
          <cell r="AT138">
            <v>694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230</v>
          </cell>
          <cell r="AZ138">
            <v>0</v>
          </cell>
          <cell r="BA138">
            <v>0</v>
          </cell>
          <cell r="BB138">
            <v>1660</v>
          </cell>
          <cell r="BC138">
            <v>0</v>
          </cell>
          <cell r="BD138">
            <v>0</v>
          </cell>
          <cell r="BE138">
            <v>0</v>
          </cell>
          <cell r="BF138">
            <v>35</v>
          </cell>
          <cell r="BG138">
            <v>0</v>
          </cell>
          <cell r="BH138">
            <v>0</v>
          </cell>
          <cell r="BI138">
            <v>0</v>
          </cell>
          <cell r="BJ138">
            <v>536587</v>
          </cell>
          <cell r="BK138">
            <v>0</v>
          </cell>
          <cell r="BL138">
            <v>536587</v>
          </cell>
        </row>
        <row r="139">
          <cell r="B139" t="str">
            <v>GINLINE4</v>
          </cell>
          <cell r="C139">
            <v>28800</v>
          </cell>
          <cell r="D139">
            <v>18600</v>
          </cell>
          <cell r="E139">
            <v>14220</v>
          </cell>
          <cell r="F139">
            <v>4020</v>
          </cell>
          <cell r="G139">
            <v>14580</v>
          </cell>
          <cell r="H139">
            <v>14580</v>
          </cell>
          <cell r="I139">
            <v>955</v>
          </cell>
          <cell r="J139">
            <v>955</v>
          </cell>
          <cell r="K139">
            <v>955</v>
          </cell>
          <cell r="L139">
            <v>175</v>
          </cell>
          <cell r="M139">
            <v>780</v>
          </cell>
          <cell r="N139">
            <v>0</v>
          </cell>
          <cell r="O139">
            <v>13625</v>
          </cell>
          <cell r="P139">
            <v>13625</v>
          </cell>
          <cell r="Q139">
            <v>6483</v>
          </cell>
          <cell r="R139">
            <v>6483</v>
          </cell>
          <cell r="S139">
            <v>7142</v>
          </cell>
          <cell r="T139">
            <v>7142</v>
          </cell>
          <cell r="U139">
            <v>1195</v>
          </cell>
          <cell r="V139">
            <v>1065</v>
          </cell>
          <cell r="W139">
            <v>0</v>
          </cell>
          <cell r="X139">
            <v>130</v>
          </cell>
          <cell r="Y139">
            <v>0</v>
          </cell>
          <cell r="Z139">
            <v>66</v>
          </cell>
          <cell r="AA139">
            <v>0</v>
          </cell>
          <cell r="AB139">
            <v>66</v>
          </cell>
          <cell r="AC139">
            <v>0</v>
          </cell>
          <cell r="AD139">
            <v>0</v>
          </cell>
          <cell r="AE139">
            <v>0</v>
          </cell>
          <cell r="AF139">
            <v>2535</v>
          </cell>
          <cell r="AG139">
            <v>345</v>
          </cell>
          <cell r="AH139">
            <v>2190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3346</v>
          </cell>
          <cell r="AP139">
            <v>0</v>
          </cell>
          <cell r="AQ139">
            <v>0</v>
          </cell>
          <cell r="AR139">
            <v>959</v>
          </cell>
          <cell r="AS139">
            <v>30</v>
          </cell>
          <cell r="AT139">
            <v>1165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135</v>
          </cell>
          <cell r="AZ139">
            <v>0</v>
          </cell>
          <cell r="BA139">
            <v>0</v>
          </cell>
          <cell r="BB139">
            <v>1040</v>
          </cell>
          <cell r="BC139">
            <v>0</v>
          </cell>
          <cell r="BD139">
            <v>0</v>
          </cell>
          <cell r="BE139">
            <v>0</v>
          </cell>
          <cell r="BF139">
            <v>17</v>
          </cell>
          <cell r="BG139">
            <v>0</v>
          </cell>
          <cell r="BH139">
            <v>0</v>
          </cell>
          <cell r="BI139">
            <v>0</v>
          </cell>
          <cell r="BJ139">
            <v>530966</v>
          </cell>
          <cell r="BK139">
            <v>209</v>
          </cell>
          <cell r="BL139">
            <v>530757</v>
          </cell>
        </row>
        <row r="140">
          <cell r="B140" t="str">
            <v>NBL INJ-STERILIZATION</v>
          </cell>
          <cell r="C140">
            <v>86400</v>
          </cell>
          <cell r="D140">
            <v>55800</v>
          </cell>
          <cell r="E140">
            <v>43705</v>
          </cell>
          <cell r="F140">
            <v>13105</v>
          </cell>
          <cell r="G140">
            <v>42695</v>
          </cell>
          <cell r="H140">
            <v>42695</v>
          </cell>
          <cell r="I140">
            <v>3804</v>
          </cell>
          <cell r="J140">
            <v>3804</v>
          </cell>
          <cell r="K140">
            <v>3804</v>
          </cell>
          <cell r="L140">
            <v>1464</v>
          </cell>
          <cell r="M140">
            <v>2340</v>
          </cell>
          <cell r="N140">
            <v>0</v>
          </cell>
          <cell r="O140">
            <v>38891</v>
          </cell>
          <cell r="P140">
            <v>38891</v>
          </cell>
          <cell r="Q140">
            <v>17469</v>
          </cell>
          <cell r="R140">
            <v>17469</v>
          </cell>
          <cell r="S140">
            <v>21422</v>
          </cell>
          <cell r="T140">
            <v>21422</v>
          </cell>
          <cell r="U140">
            <v>832</v>
          </cell>
          <cell r="V140">
            <v>832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8848</v>
          </cell>
          <cell r="AG140">
            <v>7204</v>
          </cell>
          <cell r="AH140">
            <v>1374</v>
          </cell>
          <cell r="AI140">
            <v>90</v>
          </cell>
          <cell r="AJ140">
            <v>0</v>
          </cell>
          <cell r="AK140">
            <v>180</v>
          </cell>
          <cell r="AL140">
            <v>0</v>
          </cell>
          <cell r="AM140">
            <v>0</v>
          </cell>
          <cell r="AN140">
            <v>0</v>
          </cell>
          <cell r="AO140">
            <v>11742</v>
          </cell>
          <cell r="AP140">
            <v>0</v>
          </cell>
          <cell r="AQ140">
            <v>0</v>
          </cell>
          <cell r="AR140">
            <v>760</v>
          </cell>
          <cell r="AS140">
            <v>60</v>
          </cell>
          <cell r="AT140">
            <v>540</v>
          </cell>
          <cell r="AU140">
            <v>1505</v>
          </cell>
          <cell r="AV140">
            <v>10</v>
          </cell>
          <cell r="AW140">
            <v>0</v>
          </cell>
          <cell r="AX140">
            <v>8552</v>
          </cell>
          <cell r="AY140">
            <v>315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1343</v>
          </cell>
          <cell r="BK140">
            <v>0</v>
          </cell>
          <cell r="BL140">
            <v>1343</v>
          </cell>
        </row>
        <row r="141">
          <cell r="B141" t="str">
            <v>INJ105</v>
          </cell>
          <cell r="C141">
            <v>28800</v>
          </cell>
          <cell r="D141">
            <v>18600</v>
          </cell>
          <cell r="E141">
            <v>11370</v>
          </cell>
          <cell r="F141">
            <v>1170</v>
          </cell>
          <cell r="G141">
            <v>17430</v>
          </cell>
          <cell r="H141">
            <v>17430</v>
          </cell>
          <cell r="I141">
            <v>1741</v>
          </cell>
          <cell r="J141">
            <v>1741</v>
          </cell>
          <cell r="K141">
            <v>1741</v>
          </cell>
          <cell r="L141">
            <v>823</v>
          </cell>
          <cell r="M141">
            <v>918</v>
          </cell>
          <cell r="N141">
            <v>0</v>
          </cell>
          <cell r="O141">
            <v>15689</v>
          </cell>
          <cell r="P141">
            <v>15689</v>
          </cell>
          <cell r="Q141">
            <v>6670</v>
          </cell>
          <cell r="R141">
            <v>6670</v>
          </cell>
          <cell r="S141">
            <v>9019</v>
          </cell>
          <cell r="T141">
            <v>9019</v>
          </cell>
          <cell r="U141">
            <v>269</v>
          </cell>
          <cell r="V141">
            <v>269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1691</v>
          </cell>
          <cell r="AG141">
            <v>922</v>
          </cell>
          <cell r="AH141">
            <v>769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7059</v>
          </cell>
          <cell r="AP141">
            <v>0</v>
          </cell>
          <cell r="AQ141">
            <v>0</v>
          </cell>
          <cell r="AR141">
            <v>132</v>
          </cell>
          <cell r="AS141">
            <v>0</v>
          </cell>
          <cell r="AT141">
            <v>115</v>
          </cell>
          <cell r="AU141">
            <v>0</v>
          </cell>
          <cell r="AV141">
            <v>5</v>
          </cell>
          <cell r="AW141">
            <v>0</v>
          </cell>
          <cell r="AX141">
            <v>6769</v>
          </cell>
          <cell r="AY141">
            <v>38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665</v>
          </cell>
          <cell r="BK141">
            <v>0</v>
          </cell>
          <cell r="BL141">
            <v>665</v>
          </cell>
        </row>
        <row r="142">
          <cell r="B142" t="str">
            <v>INJ106</v>
          </cell>
          <cell r="C142">
            <v>28800</v>
          </cell>
          <cell r="D142">
            <v>18600</v>
          </cell>
          <cell r="E142">
            <v>11812</v>
          </cell>
          <cell r="F142">
            <v>1612</v>
          </cell>
          <cell r="G142">
            <v>16988</v>
          </cell>
          <cell r="H142">
            <v>16988</v>
          </cell>
          <cell r="I142">
            <v>745</v>
          </cell>
          <cell r="J142">
            <v>745</v>
          </cell>
          <cell r="K142">
            <v>745</v>
          </cell>
          <cell r="L142">
            <v>611</v>
          </cell>
          <cell r="M142">
            <v>134</v>
          </cell>
          <cell r="N142">
            <v>0</v>
          </cell>
          <cell r="O142">
            <v>16243</v>
          </cell>
          <cell r="P142">
            <v>16243</v>
          </cell>
          <cell r="Q142">
            <v>9877</v>
          </cell>
          <cell r="R142">
            <v>9877</v>
          </cell>
          <cell r="S142">
            <v>6366</v>
          </cell>
          <cell r="T142">
            <v>6366</v>
          </cell>
          <cell r="U142">
            <v>73</v>
          </cell>
          <cell r="V142">
            <v>73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5431</v>
          </cell>
          <cell r="AG142">
            <v>5211</v>
          </cell>
          <cell r="AH142">
            <v>220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862</v>
          </cell>
          <cell r="AP142">
            <v>0</v>
          </cell>
          <cell r="AQ142">
            <v>0</v>
          </cell>
          <cell r="AR142">
            <v>388</v>
          </cell>
          <cell r="AS142">
            <v>0</v>
          </cell>
          <cell r="AT142">
            <v>210</v>
          </cell>
          <cell r="AU142">
            <v>0</v>
          </cell>
          <cell r="AV142">
            <v>5</v>
          </cell>
          <cell r="AW142">
            <v>0</v>
          </cell>
          <cell r="AX142">
            <v>252</v>
          </cell>
          <cell r="AY142">
            <v>7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652</v>
          </cell>
          <cell r="BK142">
            <v>0</v>
          </cell>
          <cell r="BL142">
            <v>652</v>
          </cell>
        </row>
        <row r="143">
          <cell r="B143" t="str">
            <v>INJ107</v>
          </cell>
          <cell r="C143">
            <v>28800</v>
          </cell>
          <cell r="D143">
            <v>18600</v>
          </cell>
          <cell r="E143">
            <v>20523</v>
          </cell>
          <cell r="F143">
            <v>10323</v>
          </cell>
          <cell r="G143">
            <v>8277</v>
          </cell>
          <cell r="H143">
            <v>8277</v>
          </cell>
          <cell r="I143">
            <v>1318</v>
          </cell>
          <cell r="J143">
            <v>1318</v>
          </cell>
          <cell r="K143">
            <v>1318</v>
          </cell>
          <cell r="L143">
            <v>30</v>
          </cell>
          <cell r="M143">
            <v>1288</v>
          </cell>
          <cell r="N143">
            <v>0</v>
          </cell>
          <cell r="O143">
            <v>6959</v>
          </cell>
          <cell r="P143">
            <v>6959</v>
          </cell>
          <cell r="Q143">
            <v>922</v>
          </cell>
          <cell r="R143">
            <v>922</v>
          </cell>
          <cell r="S143">
            <v>6037</v>
          </cell>
          <cell r="T143">
            <v>6037</v>
          </cell>
          <cell r="U143">
            <v>490</v>
          </cell>
          <cell r="V143">
            <v>490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1726</v>
          </cell>
          <cell r="AG143">
            <v>1071</v>
          </cell>
          <cell r="AH143">
            <v>385</v>
          </cell>
          <cell r="AI143">
            <v>90</v>
          </cell>
          <cell r="AJ143">
            <v>0</v>
          </cell>
          <cell r="AK143">
            <v>180</v>
          </cell>
          <cell r="AL143">
            <v>0</v>
          </cell>
          <cell r="AM143">
            <v>0</v>
          </cell>
          <cell r="AN143">
            <v>0</v>
          </cell>
          <cell r="AO143">
            <v>3821</v>
          </cell>
          <cell r="AP143">
            <v>0</v>
          </cell>
          <cell r="AQ143">
            <v>0</v>
          </cell>
          <cell r="AR143">
            <v>240</v>
          </cell>
          <cell r="AS143">
            <v>60</v>
          </cell>
          <cell r="AT143">
            <v>215</v>
          </cell>
          <cell r="AU143">
            <v>1505</v>
          </cell>
          <cell r="AV143">
            <v>0</v>
          </cell>
          <cell r="AW143">
            <v>0</v>
          </cell>
          <cell r="AX143">
            <v>1531</v>
          </cell>
          <cell r="AY143">
            <v>270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26</v>
          </cell>
          <cell r="BK143">
            <v>0</v>
          </cell>
          <cell r="BL143">
            <v>26</v>
          </cell>
        </row>
        <row r="144">
          <cell r="B144" t="str">
            <v>NBL SECONDARY PACKING</v>
          </cell>
          <cell r="C144">
            <v>172800</v>
          </cell>
          <cell r="D144">
            <v>66600</v>
          </cell>
          <cell r="E144">
            <v>124620</v>
          </cell>
          <cell r="F144">
            <v>18420</v>
          </cell>
          <cell r="G144">
            <v>48180</v>
          </cell>
          <cell r="H144">
            <v>48180</v>
          </cell>
          <cell r="I144">
            <v>4945</v>
          </cell>
          <cell r="J144">
            <v>4945</v>
          </cell>
          <cell r="K144">
            <v>4945</v>
          </cell>
          <cell r="L144">
            <v>1380</v>
          </cell>
          <cell r="M144">
            <v>3565</v>
          </cell>
          <cell r="N144">
            <v>0</v>
          </cell>
          <cell r="O144">
            <v>43235</v>
          </cell>
          <cell r="P144">
            <v>43235</v>
          </cell>
          <cell r="Q144">
            <v>26473</v>
          </cell>
          <cell r="R144">
            <v>26473</v>
          </cell>
          <cell r="S144">
            <v>16762</v>
          </cell>
          <cell r="T144">
            <v>16762</v>
          </cell>
          <cell r="U144">
            <v>3187</v>
          </cell>
          <cell r="V144">
            <v>2180</v>
          </cell>
          <cell r="W144">
            <v>190</v>
          </cell>
          <cell r="X144">
            <v>147</v>
          </cell>
          <cell r="Y144">
            <v>670</v>
          </cell>
          <cell r="Z144">
            <v>527</v>
          </cell>
          <cell r="AA144">
            <v>125</v>
          </cell>
          <cell r="AB144">
            <v>402</v>
          </cell>
          <cell r="AC144">
            <v>0</v>
          </cell>
          <cell r="AD144">
            <v>0</v>
          </cell>
          <cell r="AE144">
            <v>0</v>
          </cell>
          <cell r="AF144">
            <v>4030</v>
          </cell>
          <cell r="AG144">
            <v>1745</v>
          </cell>
          <cell r="AH144">
            <v>1920</v>
          </cell>
          <cell r="AI144">
            <v>0</v>
          </cell>
          <cell r="AJ144">
            <v>0</v>
          </cell>
          <cell r="AK144">
            <v>365</v>
          </cell>
          <cell r="AL144">
            <v>0</v>
          </cell>
          <cell r="AM144">
            <v>0</v>
          </cell>
          <cell r="AN144">
            <v>0</v>
          </cell>
          <cell r="AO144">
            <v>9018</v>
          </cell>
          <cell r="AP144">
            <v>0</v>
          </cell>
          <cell r="AQ144">
            <v>90</v>
          </cell>
          <cell r="AR144">
            <v>2690</v>
          </cell>
          <cell r="AS144">
            <v>0</v>
          </cell>
          <cell r="AT144">
            <v>1620</v>
          </cell>
          <cell r="AU144">
            <v>270</v>
          </cell>
          <cell r="AV144">
            <v>0</v>
          </cell>
          <cell r="AW144">
            <v>0</v>
          </cell>
          <cell r="AX144">
            <v>1885</v>
          </cell>
          <cell r="AY144">
            <v>852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1611</v>
          </cell>
          <cell r="BG144">
            <v>0</v>
          </cell>
          <cell r="BH144">
            <v>0</v>
          </cell>
          <cell r="BI144">
            <v>0</v>
          </cell>
          <cell r="BJ144">
            <v>1383080</v>
          </cell>
          <cell r="BK144">
            <v>52</v>
          </cell>
          <cell r="BL144">
            <v>1383028</v>
          </cell>
        </row>
        <row r="145">
          <cell r="B145" t="str">
            <v>PAK101</v>
          </cell>
          <cell r="C145">
            <v>28800</v>
          </cell>
          <cell r="D145">
            <v>9600</v>
          </cell>
          <cell r="E145">
            <v>13470</v>
          </cell>
          <cell r="F145">
            <v>-5730</v>
          </cell>
          <cell r="G145">
            <v>15330</v>
          </cell>
          <cell r="H145">
            <v>15330</v>
          </cell>
          <cell r="I145">
            <v>825</v>
          </cell>
          <cell r="J145">
            <v>825</v>
          </cell>
          <cell r="K145">
            <v>825</v>
          </cell>
          <cell r="L145">
            <v>525</v>
          </cell>
          <cell r="M145">
            <v>300</v>
          </cell>
          <cell r="N145">
            <v>0</v>
          </cell>
          <cell r="O145">
            <v>14505</v>
          </cell>
          <cell r="P145">
            <v>14505</v>
          </cell>
          <cell r="Q145">
            <v>10706</v>
          </cell>
          <cell r="R145">
            <v>10706</v>
          </cell>
          <cell r="S145">
            <v>3799</v>
          </cell>
          <cell r="T145">
            <v>3799</v>
          </cell>
          <cell r="U145">
            <v>399</v>
          </cell>
          <cell r="V145">
            <v>364</v>
          </cell>
          <cell r="W145">
            <v>5</v>
          </cell>
          <cell r="X145">
            <v>30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993</v>
          </cell>
          <cell r="AG145">
            <v>338</v>
          </cell>
          <cell r="AH145">
            <v>640</v>
          </cell>
          <cell r="AI145">
            <v>0</v>
          </cell>
          <cell r="AJ145">
            <v>0</v>
          </cell>
          <cell r="AK145">
            <v>15</v>
          </cell>
          <cell r="AL145">
            <v>0</v>
          </cell>
          <cell r="AM145">
            <v>0</v>
          </cell>
          <cell r="AN145">
            <v>0</v>
          </cell>
          <cell r="AO145">
            <v>2407</v>
          </cell>
          <cell r="AP145">
            <v>0</v>
          </cell>
          <cell r="AQ145">
            <v>0</v>
          </cell>
          <cell r="AR145">
            <v>915</v>
          </cell>
          <cell r="AS145">
            <v>0</v>
          </cell>
          <cell r="AT145">
            <v>600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268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624</v>
          </cell>
          <cell r="BG145">
            <v>0</v>
          </cell>
          <cell r="BH145">
            <v>0</v>
          </cell>
          <cell r="BI145">
            <v>0</v>
          </cell>
          <cell r="BJ145">
            <v>411553</v>
          </cell>
          <cell r="BK145">
            <v>4</v>
          </cell>
          <cell r="BL145">
            <v>411549</v>
          </cell>
        </row>
        <row r="146">
          <cell r="B146" t="str">
            <v>PAK103</v>
          </cell>
          <cell r="C146">
            <v>28800</v>
          </cell>
          <cell r="D146">
            <v>9600</v>
          </cell>
          <cell r="E146">
            <v>15720</v>
          </cell>
          <cell r="F146">
            <v>-3480</v>
          </cell>
          <cell r="G146">
            <v>13080</v>
          </cell>
          <cell r="H146">
            <v>13080</v>
          </cell>
          <cell r="I146">
            <v>580</v>
          </cell>
          <cell r="J146">
            <v>580</v>
          </cell>
          <cell r="K146">
            <v>580</v>
          </cell>
          <cell r="L146">
            <v>340</v>
          </cell>
          <cell r="M146">
            <v>240</v>
          </cell>
          <cell r="N146">
            <v>0</v>
          </cell>
          <cell r="O146">
            <v>12500</v>
          </cell>
          <cell r="P146">
            <v>12500</v>
          </cell>
          <cell r="Q146">
            <v>8905</v>
          </cell>
          <cell r="R146">
            <v>8905</v>
          </cell>
          <cell r="S146">
            <v>3595</v>
          </cell>
          <cell r="T146">
            <v>3595</v>
          </cell>
          <cell r="U146">
            <v>328</v>
          </cell>
          <cell r="V146">
            <v>328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836</v>
          </cell>
          <cell r="AG146">
            <v>236</v>
          </cell>
          <cell r="AH146">
            <v>570</v>
          </cell>
          <cell r="AI146">
            <v>0</v>
          </cell>
          <cell r="AJ146">
            <v>0</v>
          </cell>
          <cell r="AK146">
            <v>30</v>
          </cell>
          <cell r="AL146">
            <v>0</v>
          </cell>
          <cell r="AM146">
            <v>0</v>
          </cell>
          <cell r="AN146">
            <v>0</v>
          </cell>
          <cell r="AO146">
            <v>2431</v>
          </cell>
          <cell r="AP146">
            <v>0</v>
          </cell>
          <cell r="AQ146">
            <v>90</v>
          </cell>
          <cell r="AR146">
            <v>780</v>
          </cell>
          <cell r="AS146">
            <v>0</v>
          </cell>
          <cell r="AT146">
            <v>510</v>
          </cell>
          <cell r="AU146">
            <v>145</v>
          </cell>
          <cell r="AV146">
            <v>0</v>
          </cell>
          <cell r="AW146">
            <v>0</v>
          </cell>
          <cell r="AX146">
            <v>0</v>
          </cell>
          <cell r="AY146">
            <v>214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692</v>
          </cell>
          <cell r="BG146">
            <v>0</v>
          </cell>
          <cell r="BH146">
            <v>0</v>
          </cell>
          <cell r="BI146">
            <v>0</v>
          </cell>
          <cell r="BJ146">
            <v>421480</v>
          </cell>
          <cell r="BK146">
            <v>0</v>
          </cell>
          <cell r="BL146">
            <v>421480</v>
          </cell>
        </row>
        <row r="147">
          <cell r="B147" t="str">
            <v>PAK105</v>
          </cell>
          <cell r="C147">
            <v>28800</v>
          </cell>
          <cell r="D147">
            <v>18600</v>
          </cell>
          <cell r="E147">
            <v>19650</v>
          </cell>
          <cell r="F147">
            <v>9450</v>
          </cell>
          <cell r="G147">
            <v>9150</v>
          </cell>
          <cell r="H147">
            <v>9150</v>
          </cell>
          <cell r="I147">
            <v>2345</v>
          </cell>
          <cell r="J147">
            <v>2345</v>
          </cell>
          <cell r="K147">
            <v>2345</v>
          </cell>
          <cell r="L147">
            <v>60</v>
          </cell>
          <cell r="M147">
            <v>2285</v>
          </cell>
          <cell r="N147">
            <v>0</v>
          </cell>
          <cell r="O147">
            <v>6805</v>
          </cell>
          <cell r="P147">
            <v>6805</v>
          </cell>
          <cell r="Q147">
            <v>3025</v>
          </cell>
          <cell r="R147">
            <v>3025</v>
          </cell>
          <cell r="S147">
            <v>3780</v>
          </cell>
          <cell r="T147">
            <v>3780</v>
          </cell>
          <cell r="U147">
            <v>745</v>
          </cell>
          <cell r="V147">
            <v>670</v>
          </cell>
          <cell r="W147">
            <v>50</v>
          </cell>
          <cell r="X147">
            <v>15</v>
          </cell>
          <cell r="Y147">
            <v>10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590</v>
          </cell>
          <cell r="AG147">
            <v>350</v>
          </cell>
          <cell r="AH147">
            <v>240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2445</v>
          </cell>
          <cell r="AP147">
            <v>0</v>
          </cell>
          <cell r="AQ147">
            <v>0</v>
          </cell>
          <cell r="AR147">
            <v>420</v>
          </cell>
          <cell r="AS147">
            <v>0</v>
          </cell>
          <cell r="AT147">
            <v>210</v>
          </cell>
          <cell r="AU147">
            <v>125</v>
          </cell>
          <cell r="AV147">
            <v>0</v>
          </cell>
          <cell r="AW147">
            <v>0</v>
          </cell>
          <cell r="AX147">
            <v>1420</v>
          </cell>
          <cell r="AY147">
            <v>135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135</v>
          </cell>
          <cell r="BG147">
            <v>0</v>
          </cell>
          <cell r="BH147">
            <v>0</v>
          </cell>
          <cell r="BI147">
            <v>0</v>
          </cell>
          <cell r="BJ147">
            <v>173241</v>
          </cell>
          <cell r="BK147">
            <v>0</v>
          </cell>
          <cell r="BL147">
            <v>173241</v>
          </cell>
        </row>
        <row r="148">
          <cell r="B148" t="str">
            <v>PAK102</v>
          </cell>
          <cell r="C148">
            <v>28800</v>
          </cell>
          <cell r="D148">
            <v>9600</v>
          </cell>
          <cell r="E148">
            <v>28800</v>
          </cell>
          <cell r="F148">
            <v>9600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/>
          <cell r="R148"/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</row>
        <row r="149">
          <cell r="B149" t="str">
            <v>PAK104</v>
          </cell>
          <cell r="C149">
            <v>28800</v>
          </cell>
          <cell r="D149">
            <v>9600</v>
          </cell>
          <cell r="E149">
            <v>26760</v>
          </cell>
          <cell r="F149">
            <v>7560</v>
          </cell>
          <cell r="G149">
            <v>2040</v>
          </cell>
          <cell r="H149">
            <v>2040</v>
          </cell>
          <cell r="I149">
            <v>665</v>
          </cell>
          <cell r="J149">
            <v>665</v>
          </cell>
          <cell r="K149">
            <v>665</v>
          </cell>
          <cell r="L149">
            <v>30</v>
          </cell>
          <cell r="M149">
            <v>635</v>
          </cell>
          <cell r="N149">
            <v>0</v>
          </cell>
          <cell r="O149">
            <v>1375</v>
          </cell>
          <cell r="P149">
            <v>1375</v>
          </cell>
          <cell r="Q149">
            <v>495</v>
          </cell>
          <cell r="R149">
            <v>495</v>
          </cell>
          <cell r="S149">
            <v>880</v>
          </cell>
          <cell r="T149">
            <v>880</v>
          </cell>
          <cell r="U149">
            <v>175</v>
          </cell>
          <cell r="V149">
            <v>110</v>
          </cell>
          <cell r="W149">
            <v>0</v>
          </cell>
          <cell r="X149">
            <v>15</v>
          </cell>
          <cell r="Y149">
            <v>50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330</v>
          </cell>
          <cell r="AG149">
            <v>155</v>
          </cell>
          <cell r="AH149">
            <v>125</v>
          </cell>
          <cell r="AI149">
            <v>0</v>
          </cell>
          <cell r="AJ149">
            <v>0</v>
          </cell>
          <cell r="AK149">
            <v>50</v>
          </cell>
          <cell r="AL149">
            <v>0</v>
          </cell>
          <cell r="AM149">
            <v>0</v>
          </cell>
          <cell r="AN149">
            <v>0</v>
          </cell>
          <cell r="AO149">
            <v>375</v>
          </cell>
          <cell r="AP149">
            <v>0</v>
          </cell>
          <cell r="AQ149">
            <v>0</v>
          </cell>
          <cell r="AR149">
            <v>90</v>
          </cell>
          <cell r="AS149">
            <v>0</v>
          </cell>
          <cell r="AT149">
            <v>45</v>
          </cell>
          <cell r="AU149">
            <v>0</v>
          </cell>
          <cell r="AV149">
            <v>0</v>
          </cell>
          <cell r="AW149">
            <v>0</v>
          </cell>
          <cell r="AX149">
            <v>210</v>
          </cell>
          <cell r="AY149">
            <v>25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5</v>
          </cell>
          <cell r="BG149">
            <v>0</v>
          </cell>
          <cell r="BH149">
            <v>0</v>
          </cell>
          <cell r="BI149">
            <v>0</v>
          </cell>
          <cell r="BJ149">
            <v>10599</v>
          </cell>
          <cell r="BK149">
            <v>0</v>
          </cell>
          <cell r="BL149">
            <v>10599</v>
          </cell>
        </row>
        <row r="150">
          <cell r="B150" t="str">
            <v>PAK111</v>
          </cell>
          <cell r="C150">
            <v>28800</v>
          </cell>
          <cell r="D150">
            <v>9600</v>
          </cell>
          <cell r="E150">
            <v>20220</v>
          </cell>
          <cell r="F150">
            <v>1020</v>
          </cell>
          <cell r="G150">
            <v>8580</v>
          </cell>
          <cell r="H150">
            <v>8580</v>
          </cell>
          <cell r="I150">
            <v>530</v>
          </cell>
          <cell r="J150">
            <v>530</v>
          </cell>
          <cell r="K150">
            <v>530</v>
          </cell>
          <cell r="L150">
            <v>425</v>
          </cell>
          <cell r="M150">
            <v>105</v>
          </cell>
          <cell r="N150">
            <v>0</v>
          </cell>
          <cell r="O150">
            <v>8050</v>
          </cell>
          <cell r="P150">
            <v>8050</v>
          </cell>
          <cell r="Q150">
            <v>3342</v>
          </cell>
          <cell r="R150">
            <v>3342</v>
          </cell>
          <cell r="S150">
            <v>4708</v>
          </cell>
          <cell r="T150">
            <v>4708</v>
          </cell>
          <cell r="U150">
            <v>1540</v>
          </cell>
          <cell r="V150">
            <v>708</v>
          </cell>
          <cell r="W150">
            <v>135</v>
          </cell>
          <cell r="X150">
            <v>87</v>
          </cell>
          <cell r="Y150">
            <v>610</v>
          </cell>
          <cell r="Z150">
            <v>527</v>
          </cell>
          <cell r="AA150">
            <v>125</v>
          </cell>
          <cell r="AB150">
            <v>402</v>
          </cell>
          <cell r="AC150">
            <v>0</v>
          </cell>
          <cell r="AD150">
            <v>0</v>
          </cell>
          <cell r="AE150">
            <v>0</v>
          </cell>
          <cell r="AF150">
            <v>1281</v>
          </cell>
          <cell r="AG150">
            <v>666</v>
          </cell>
          <cell r="AH150">
            <v>345</v>
          </cell>
          <cell r="AI150">
            <v>0</v>
          </cell>
          <cell r="AJ150">
            <v>0</v>
          </cell>
          <cell r="AK150">
            <v>270</v>
          </cell>
          <cell r="AL150">
            <v>0</v>
          </cell>
          <cell r="AM150">
            <v>0</v>
          </cell>
          <cell r="AN150">
            <v>0</v>
          </cell>
          <cell r="AO150">
            <v>1360</v>
          </cell>
          <cell r="AP150">
            <v>0</v>
          </cell>
          <cell r="AQ150">
            <v>0</v>
          </cell>
          <cell r="AR150">
            <v>485</v>
          </cell>
          <cell r="AS150">
            <v>0</v>
          </cell>
          <cell r="AT150">
            <v>255</v>
          </cell>
          <cell r="AU150">
            <v>0</v>
          </cell>
          <cell r="AV150">
            <v>0</v>
          </cell>
          <cell r="AW150">
            <v>0</v>
          </cell>
          <cell r="AX150">
            <v>255</v>
          </cell>
          <cell r="AY150">
            <v>210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155</v>
          </cell>
          <cell r="BG150">
            <v>0</v>
          </cell>
          <cell r="BH150">
            <v>0</v>
          </cell>
          <cell r="BI150">
            <v>0</v>
          </cell>
          <cell r="BJ150">
            <v>366207</v>
          </cell>
          <cell r="BK150">
            <v>48</v>
          </cell>
          <cell r="BL150">
            <v>366159</v>
          </cell>
        </row>
        <row r="151">
          <cell r="B151" t="str">
            <v>CPH SOL-MIXING</v>
          </cell>
          <cell r="C151">
            <v>28800</v>
          </cell>
          <cell r="D151">
            <v>9600</v>
          </cell>
          <cell r="E151">
            <v>27270</v>
          </cell>
          <cell r="F151">
            <v>8070</v>
          </cell>
          <cell r="G151">
            <v>1530</v>
          </cell>
          <cell r="H151">
            <v>1530</v>
          </cell>
          <cell r="I151">
            <v>532</v>
          </cell>
          <cell r="J151">
            <v>532</v>
          </cell>
          <cell r="K151">
            <v>532</v>
          </cell>
          <cell r="L151">
            <v>0</v>
          </cell>
          <cell r="M151">
            <v>532</v>
          </cell>
          <cell r="N151">
            <v>0</v>
          </cell>
          <cell r="O151">
            <v>998</v>
          </cell>
          <cell r="P151">
            <v>998</v>
          </cell>
          <cell r="Q151">
            <v>63</v>
          </cell>
          <cell r="R151">
            <v>63</v>
          </cell>
          <cell r="S151">
            <v>935</v>
          </cell>
          <cell r="T151">
            <v>935</v>
          </cell>
          <cell r="U151">
            <v>40</v>
          </cell>
          <cell r="V151">
            <v>20</v>
          </cell>
          <cell r="W151">
            <v>20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583</v>
          </cell>
          <cell r="AG151">
            <v>225</v>
          </cell>
          <cell r="AH151">
            <v>308</v>
          </cell>
          <cell r="AI151">
            <v>0</v>
          </cell>
          <cell r="AJ151">
            <v>0</v>
          </cell>
          <cell r="AK151">
            <v>50</v>
          </cell>
          <cell r="AL151">
            <v>0</v>
          </cell>
          <cell r="AM151">
            <v>0</v>
          </cell>
          <cell r="AN151">
            <v>0</v>
          </cell>
          <cell r="AO151">
            <v>312</v>
          </cell>
          <cell r="AP151">
            <v>70</v>
          </cell>
          <cell r="AQ151">
            <v>0</v>
          </cell>
          <cell r="AR151">
            <v>60</v>
          </cell>
          <cell r="AS151">
            <v>0</v>
          </cell>
          <cell r="AT151">
            <v>75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107</v>
          </cell>
          <cell r="BG151">
            <v>0</v>
          </cell>
          <cell r="BH151">
            <v>0</v>
          </cell>
          <cell r="BI151">
            <v>0</v>
          </cell>
          <cell r="BJ151">
            <v>237.29</v>
          </cell>
          <cell r="BK151">
            <v>165.99</v>
          </cell>
          <cell r="BL151">
            <v>71.3</v>
          </cell>
        </row>
        <row r="152">
          <cell r="B152" t="str">
            <v>MCF101</v>
          </cell>
          <cell r="C152">
            <v>28800</v>
          </cell>
          <cell r="D152">
            <v>9600</v>
          </cell>
          <cell r="E152">
            <v>27270</v>
          </cell>
          <cell r="F152">
            <v>8070</v>
          </cell>
          <cell r="G152">
            <v>1530</v>
          </cell>
          <cell r="H152">
            <v>1530</v>
          </cell>
          <cell r="I152">
            <v>532</v>
          </cell>
          <cell r="J152">
            <v>532</v>
          </cell>
          <cell r="K152">
            <v>532</v>
          </cell>
          <cell r="L152">
            <v>0</v>
          </cell>
          <cell r="M152">
            <v>532</v>
          </cell>
          <cell r="N152">
            <v>0</v>
          </cell>
          <cell r="O152">
            <v>998</v>
          </cell>
          <cell r="P152">
            <v>998</v>
          </cell>
          <cell r="Q152">
            <v>63</v>
          </cell>
          <cell r="R152">
            <v>63</v>
          </cell>
          <cell r="S152">
            <v>935</v>
          </cell>
          <cell r="T152">
            <v>935</v>
          </cell>
          <cell r="U152">
            <v>40</v>
          </cell>
          <cell r="V152">
            <v>20</v>
          </cell>
          <cell r="W152">
            <v>20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583</v>
          </cell>
          <cell r="AG152">
            <v>225</v>
          </cell>
          <cell r="AH152">
            <v>308</v>
          </cell>
          <cell r="AI152">
            <v>0</v>
          </cell>
          <cell r="AJ152">
            <v>0</v>
          </cell>
          <cell r="AK152">
            <v>50</v>
          </cell>
          <cell r="AL152">
            <v>0</v>
          </cell>
          <cell r="AM152">
            <v>0</v>
          </cell>
          <cell r="AN152">
            <v>0</v>
          </cell>
          <cell r="AO152">
            <v>312</v>
          </cell>
          <cell r="AP152">
            <v>70</v>
          </cell>
          <cell r="AQ152">
            <v>0</v>
          </cell>
          <cell r="AR152">
            <v>60</v>
          </cell>
          <cell r="AS152">
            <v>0</v>
          </cell>
          <cell r="AT152">
            <v>75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107</v>
          </cell>
          <cell r="BG152">
            <v>0</v>
          </cell>
          <cell r="BH152">
            <v>0</v>
          </cell>
          <cell r="BI152">
            <v>0</v>
          </cell>
          <cell r="BJ152">
            <v>237.29</v>
          </cell>
          <cell r="BK152">
            <v>165.99</v>
          </cell>
          <cell r="BL152">
            <v>71.3</v>
          </cell>
        </row>
        <row r="153">
          <cell r="B153" t="str">
            <v>CPH SOL-CAPSULE</v>
          </cell>
          <cell r="C153">
            <v>28800</v>
          </cell>
          <cell r="D153">
            <v>9600</v>
          </cell>
          <cell r="E153">
            <v>27270</v>
          </cell>
          <cell r="F153">
            <v>8070</v>
          </cell>
          <cell r="G153">
            <v>1530</v>
          </cell>
          <cell r="H153">
            <v>1530</v>
          </cell>
          <cell r="I153">
            <v>240</v>
          </cell>
          <cell r="J153">
            <v>240</v>
          </cell>
          <cell r="K153">
            <v>240</v>
          </cell>
          <cell r="L153">
            <v>60</v>
          </cell>
          <cell r="M153">
            <v>180</v>
          </cell>
          <cell r="N153">
            <v>0</v>
          </cell>
          <cell r="O153">
            <v>1290</v>
          </cell>
          <cell r="P153">
            <v>1290</v>
          </cell>
          <cell r="Q153">
            <v>325</v>
          </cell>
          <cell r="R153">
            <v>325</v>
          </cell>
          <cell r="S153">
            <v>965</v>
          </cell>
          <cell r="T153">
            <v>965</v>
          </cell>
          <cell r="U153">
            <v>30</v>
          </cell>
          <cell r="V153">
            <v>30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375</v>
          </cell>
          <cell r="AG153">
            <v>110</v>
          </cell>
          <cell r="AH153">
            <v>60</v>
          </cell>
          <cell r="AI153">
            <v>0</v>
          </cell>
          <cell r="AJ153">
            <v>0</v>
          </cell>
          <cell r="AK153">
            <v>205</v>
          </cell>
          <cell r="AL153">
            <v>150</v>
          </cell>
          <cell r="AM153">
            <v>150</v>
          </cell>
          <cell r="AN153">
            <v>0</v>
          </cell>
          <cell r="AO153">
            <v>410</v>
          </cell>
          <cell r="AP153">
            <v>0</v>
          </cell>
          <cell r="AQ153">
            <v>0</v>
          </cell>
          <cell r="AR153">
            <v>90</v>
          </cell>
          <cell r="AS153">
            <v>0</v>
          </cell>
          <cell r="AT153">
            <v>45</v>
          </cell>
          <cell r="AU153">
            <v>0</v>
          </cell>
          <cell r="AV153">
            <v>60</v>
          </cell>
          <cell r="AW153">
            <v>0</v>
          </cell>
          <cell r="AX153">
            <v>125</v>
          </cell>
          <cell r="AY153">
            <v>35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10</v>
          </cell>
          <cell r="BG153">
            <v>0</v>
          </cell>
          <cell r="BH153">
            <v>0</v>
          </cell>
          <cell r="BI153">
            <v>45</v>
          </cell>
          <cell r="BJ153">
            <v>252230</v>
          </cell>
          <cell r="BK153">
            <v>0</v>
          </cell>
          <cell r="BL153">
            <v>252230</v>
          </cell>
        </row>
        <row r="154">
          <cell r="B154" t="str">
            <v>KCF101</v>
          </cell>
          <cell r="C154">
            <v>28800</v>
          </cell>
          <cell r="D154">
            <v>9600</v>
          </cell>
          <cell r="E154">
            <v>27270</v>
          </cell>
          <cell r="F154">
            <v>8070</v>
          </cell>
          <cell r="G154">
            <v>1530</v>
          </cell>
          <cell r="H154">
            <v>1530</v>
          </cell>
          <cell r="I154">
            <v>240</v>
          </cell>
          <cell r="J154">
            <v>240</v>
          </cell>
          <cell r="K154">
            <v>240</v>
          </cell>
          <cell r="L154">
            <v>60</v>
          </cell>
          <cell r="M154">
            <v>180</v>
          </cell>
          <cell r="N154">
            <v>0</v>
          </cell>
          <cell r="O154">
            <v>1290</v>
          </cell>
          <cell r="P154">
            <v>1290</v>
          </cell>
          <cell r="Q154">
            <v>325</v>
          </cell>
          <cell r="R154">
            <v>325</v>
          </cell>
          <cell r="S154">
            <v>965</v>
          </cell>
          <cell r="T154">
            <v>965</v>
          </cell>
          <cell r="U154">
            <v>30</v>
          </cell>
          <cell r="V154">
            <v>30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375</v>
          </cell>
          <cell r="AG154">
            <v>110</v>
          </cell>
          <cell r="AH154">
            <v>60</v>
          </cell>
          <cell r="AI154">
            <v>0</v>
          </cell>
          <cell r="AJ154">
            <v>0</v>
          </cell>
          <cell r="AK154">
            <v>205</v>
          </cell>
          <cell r="AL154">
            <v>150</v>
          </cell>
          <cell r="AM154">
            <v>150</v>
          </cell>
          <cell r="AN154">
            <v>0</v>
          </cell>
          <cell r="AO154">
            <v>410</v>
          </cell>
          <cell r="AP154">
            <v>0</v>
          </cell>
          <cell r="AQ154">
            <v>0</v>
          </cell>
          <cell r="AR154">
            <v>90</v>
          </cell>
          <cell r="AS154">
            <v>0</v>
          </cell>
          <cell r="AT154">
            <v>45</v>
          </cell>
          <cell r="AU154">
            <v>0</v>
          </cell>
          <cell r="AV154">
            <v>60</v>
          </cell>
          <cell r="AW154">
            <v>0</v>
          </cell>
          <cell r="AX154">
            <v>125</v>
          </cell>
          <cell r="AY154">
            <v>35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10</v>
          </cell>
          <cell r="BG154">
            <v>0</v>
          </cell>
          <cell r="BH154">
            <v>0</v>
          </cell>
          <cell r="BI154">
            <v>45</v>
          </cell>
          <cell r="BJ154">
            <v>252230</v>
          </cell>
          <cell r="BK154">
            <v>0</v>
          </cell>
          <cell r="BL154">
            <v>252230</v>
          </cell>
        </row>
        <row r="155">
          <cell r="B155" t="str">
            <v>CPH SOL-STRIPPING</v>
          </cell>
          <cell r="C155">
            <v>28800</v>
          </cell>
          <cell r="D155">
            <v>9600</v>
          </cell>
          <cell r="E155">
            <v>27780</v>
          </cell>
          <cell r="F155">
            <v>8580</v>
          </cell>
          <cell r="G155">
            <v>1020</v>
          </cell>
          <cell r="H155">
            <v>1020</v>
          </cell>
          <cell r="I155">
            <v>60</v>
          </cell>
          <cell r="J155">
            <v>60</v>
          </cell>
          <cell r="K155">
            <v>60</v>
          </cell>
          <cell r="L155">
            <v>60</v>
          </cell>
          <cell r="M155">
            <v>0</v>
          </cell>
          <cell r="N155">
            <v>0</v>
          </cell>
          <cell r="O155">
            <v>960</v>
          </cell>
          <cell r="P155">
            <v>960</v>
          </cell>
          <cell r="Q155">
            <v>470</v>
          </cell>
          <cell r="R155">
            <v>470</v>
          </cell>
          <cell r="S155">
            <v>490</v>
          </cell>
          <cell r="T155">
            <v>490</v>
          </cell>
          <cell r="U155">
            <v>120</v>
          </cell>
          <cell r="V155">
            <v>90</v>
          </cell>
          <cell r="W155">
            <v>0</v>
          </cell>
          <cell r="X155">
            <v>20</v>
          </cell>
          <cell r="Y155">
            <v>10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190</v>
          </cell>
          <cell r="AG155">
            <v>135</v>
          </cell>
          <cell r="AH155">
            <v>10</v>
          </cell>
          <cell r="AI155">
            <v>0</v>
          </cell>
          <cell r="AJ155">
            <v>0</v>
          </cell>
          <cell r="AK155">
            <v>45</v>
          </cell>
          <cell r="AL155">
            <v>0</v>
          </cell>
          <cell r="AM155">
            <v>0</v>
          </cell>
          <cell r="AN155">
            <v>0</v>
          </cell>
          <cell r="AO155">
            <v>180</v>
          </cell>
          <cell r="AP155">
            <v>0</v>
          </cell>
          <cell r="AQ155">
            <v>0</v>
          </cell>
          <cell r="AR155">
            <v>60</v>
          </cell>
          <cell r="AS155">
            <v>0</v>
          </cell>
          <cell r="AT155">
            <v>30</v>
          </cell>
          <cell r="AU155">
            <v>0</v>
          </cell>
          <cell r="AV155">
            <v>45</v>
          </cell>
          <cell r="AW155">
            <v>0</v>
          </cell>
          <cell r="AX155">
            <v>0</v>
          </cell>
          <cell r="AY155">
            <v>15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30</v>
          </cell>
          <cell r="BG155">
            <v>0</v>
          </cell>
          <cell r="BH155">
            <v>0</v>
          </cell>
          <cell r="BI155">
            <v>0</v>
          </cell>
          <cell r="BJ155">
            <v>408664</v>
          </cell>
          <cell r="BK155">
            <v>1004</v>
          </cell>
          <cell r="BL155">
            <v>407660</v>
          </cell>
        </row>
        <row r="156">
          <cell r="B156" t="str">
            <v>STC101</v>
          </cell>
          <cell r="C156">
            <v>28800</v>
          </cell>
          <cell r="D156">
            <v>9600</v>
          </cell>
          <cell r="E156">
            <v>27780</v>
          </cell>
          <cell r="F156">
            <v>8580</v>
          </cell>
          <cell r="G156">
            <v>1020</v>
          </cell>
          <cell r="H156">
            <v>1020</v>
          </cell>
          <cell r="I156">
            <v>60</v>
          </cell>
          <cell r="J156">
            <v>60</v>
          </cell>
          <cell r="K156">
            <v>60</v>
          </cell>
          <cell r="L156">
            <v>60</v>
          </cell>
          <cell r="M156">
            <v>0</v>
          </cell>
          <cell r="N156">
            <v>0</v>
          </cell>
          <cell r="O156">
            <v>960</v>
          </cell>
          <cell r="P156">
            <v>960</v>
          </cell>
          <cell r="Q156">
            <v>470</v>
          </cell>
          <cell r="R156">
            <v>470</v>
          </cell>
          <cell r="S156">
            <v>490</v>
          </cell>
          <cell r="T156">
            <v>490</v>
          </cell>
          <cell r="U156">
            <v>120</v>
          </cell>
          <cell r="V156">
            <v>90</v>
          </cell>
          <cell r="W156">
            <v>0</v>
          </cell>
          <cell r="X156">
            <v>20</v>
          </cell>
          <cell r="Y156">
            <v>10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190</v>
          </cell>
          <cell r="AG156">
            <v>135</v>
          </cell>
          <cell r="AH156">
            <v>10</v>
          </cell>
          <cell r="AI156">
            <v>0</v>
          </cell>
          <cell r="AJ156">
            <v>0</v>
          </cell>
          <cell r="AK156">
            <v>45</v>
          </cell>
          <cell r="AL156">
            <v>0</v>
          </cell>
          <cell r="AM156">
            <v>0</v>
          </cell>
          <cell r="AN156">
            <v>0</v>
          </cell>
          <cell r="AO156">
            <v>180</v>
          </cell>
          <cell r="AP156">
            <v>0</v>
          </cell>
          <cell r="AQ156">
            <v>0</v>
          </cell>
          <cell r="AR156">
            <v>60</v>
          </cell>
          <cell r="AS156">
            <v>0</v>
          </cell>
          <cell r="AT156">
            <v>30</v>
          </cell>
          <cell r="AU156">
            <v>0</v>
          </cell>
          <cell r="AV156">
            <v>45</v>
          </cell>
          <cell r="AW156">
            <v>0</v>
          </cell>
          <cell r="AX156">
            <v>0</v>
          </cell>
          <cell r="AY156">
            <v>15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30</v>
          </cell>
          <cell r="BG156">
            <v>0</v>
          </cell>
          <cell r="BH156">
            <v>0</v>
          </cell>
          <cell r="BI156">
            <v>0</v>
          </cell>
          <cell r="BJ156">
            <v>408664</v>
          </cell>
          <cell r="BK156">
            <v>1004</v>
          </cell>
          <cell r="BL156">
            <v>407660</v>
          </cell>
        </row>
        <row r="157">
          <cell r="B157" t="str">
            <v>CPH SOL-POWDER FILLING</v>
          </cell>
          <cell r="C157">
            <v>28800</v>
          </cell>
          <cell r="D157">
            <v>9600</v>
          </cell>
          <cell r="E157">
            <v>27270</v>
          </cell>
          <cell r="F157">
            <v>8070</v>
          </cell>
          <cell r="G157">
            <v>1530</v>
          </cell>
          <cell r="H157">
            <v>1530</v>
          </cell>
          <cell r="I157">
            <v>90</v>
          </cell>
          <cell r="J157">
            <v>90</v>
          </cell>
          <cell r="K157">
            <v>90</v>
          </cell>
          <cell r="L157">
            <v>90</v>
          </cell>
          <cell r="M157">
            <v>0</v>
          </cell>
          <cell r="N157">
            <v>0</v>
          </cell>
          <cell r="O157">
            <v>1440</v>
          </cell>
          <cell r="P157">
            <v>1440</v>
          </cell>
          <cell r="Q157">
            <v>375</v>
          </cell>
          <cell r="R157">
            <v>375</v>
          </cell>
          <cell r="S157">
            <v>1065</v>
          </cell>
          <cell r="T157">
            <v>1065</v>
          </cell>
          <cell r="U157">
            <v>180</v>
          </cell>
          <cell r="V157">
            <v>130</v>
          </cell>
          <cell r="W157">
            <v>0</v>
          </cell>
          <cell r="X157">
            <v>0</v>
          </cell>
          <cell r="Y157">
            <v>50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620</v>
          </cell>
          <cell r="AG157">
            <v>230</v>
          </cell>
          <cell r="AH157">
            <v>365</v>
          </cell>
          <cell r="AI157">
            <v>0</v>
          </cell>
          <cell r="AJ157">
            <v>0</v>
          </cell>
          <cell r="AK157">
            <v>25</v>
          </cell>
          <cell r="AL157">
            <v>0</v>
          </cell>
          <cell r="AM157">
            <v>0</v>
          </cell>
          <cell r="AN157">
            <v>0</v>
          </cell>
          <cell r="AO157">
            <v>265</v>
          </cell>
          <cell r="AP157">
            <v>0</v>
          </cell>
          <cell r="AQ157">
            <v>0</v>
          </cell>
          <cell r="AR157">
            <v>90</v>
          </cell>
          <cell r="AS157">
            <v>0</v>
          </cell>
          <cell r="AT157">
            <v>45</v>
          </cell>
          <cell r="AU157">
            <v>0</v>
          </cell>
          <cell r="AV157">
            <v>0</v>
          </cell>
          <cell r="AW157">
            <v>0</v>
          </cell>
          <cell r="AX157">
            <v>20</v>
          </cell>
          <cell r="AY157">
            <v>30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20</v>
          </cell>
          <cell r="BG157">
            <v>60</v>
          </cell>
          <cell r="BH157">
            <v>0</v>
          </cell>
          <cell r="BI157">
            <v>0</v>
          </cell>
          <cell r="BJ157">
            <v>12221</v>
          </cell>
          <cell r="BK157">
            <v>48</v>
          </cell>
          <cell r="BL157">
            <v>12173</v>
          </cell>
        </row>
        <row r="158">
          <cell r="B158" t="str">
            <v>SCF102</v>
          </cell>
          <cell r="C158">
            <v>28800</v>
          </cell>
          <cell r="D158">
            <v>9600</v>
          </cell>
          <cell r="E158">
            <v>27270</v>
          </cell>
          <cell r="F158">
            <v>8070</v>
          </cell>
          <cell r="G158">
            <v>1530</v>
          </cell>
          <cell r="H158">
            <v>1530</v>
          </cell>
          <cell r="I158">
            <v>90</v>
          </cell>
          <cell r="J158">
            <v>90</v>
          </cell>
          <cell r="K158">
            <v>90</v>
          </cell>
          <cell r="L158">
            <v>90</v>
          </cell>
          <cell r="M158">
            <v>0</v>
          </cell>
          <cell r="N158">
            <v>0</v>
          </cell>
          <cell r="O158">
            <v>1440</v>
          </cell>
          <cell r="P158">
            <v>1440</v>
          </cell>
          <cell r="Q158">
            <v>375</v>
          </cell>
          <cell r="R158">
            <v>375</v>
          </cell>
          <cell r="S158">
            <v>1065</v>
          </cell>
          <cell r="T158">
            <v>1065</v>
          </cell>
          <cell r="U158">
            <v>180</v>
          </cell>
          <cell r="V158">
            <v>130</v>
          </cell>
          <cell r="W158">
            <v>0</v>
          </cell>
          <cell r="X158">
            <v>0</v>
          </cell>
          <cell r="Y158">
            <v>50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620</v>
          </cell>
          <cell r="AG158">
            <v>230</v>
          </cell>
          <cell r="AH158">
            <v>365</v>
          </cell>
          <cell r="AI158">
            <v>0</v>
          </cell>
          <cell r="AJ158">
            <v>0</v>
          </cell>
          <cell r="AK158">
            <v>25</v>
          </cell>
          <cell r="AL158">
            <v>0</v>
          </cell>
          <cell r="AM158">
            <v>0</v>
          </cell>
          <cell r="AN158">
            <v>0</v>
          </cell>
          <cell r="AO158">
            <v>265</v>
          </cell>
          <cell r="AP158">
            <v>0</v>
          </cell>
          <cell r="AQ158">
            <v>0</v>
          </cell>
          <cell r="AR158">
            <v>90</v>
          </cell>
          <cell r="AS158">
            <v>0</v>
          </cell>
          <cell r="AT158">
            <v>45</v>
          </cell>
          <cell r="AU158">
            <v>0</v>
          </cell>
          <cell r="AV158">
            <v>0</v>
          </cell>
          <cell r="AW158">
            <v>0</v>
          </cell>
          <cell r="AX158">
            <v>20</v>
          </cell>
          <cell r="AY158">
            <v>30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20</v>
          </cell>
          <cell r="BG158">
            <v>60</v>
          </cell>
          <cell r="BH158">
            <v>0</v>
          </cell>
          <cell r="BI158">
            <v>0</v>
          </cell>
          <cell r="BJ158">
            <v>12221</v>
          </cell>
          <cell r="BK158">
            <v>48</v>
          </cell>
          <cell r="BL158">
            <v>12173</v>
          </cell>
        </row>
        <row r="159">
          <cell r="B159" t="str">
            <v>CPH INJ-FILLING</v>
          </cell>
          <cell r="C159">
            <v>28800</v>
          </cell>
          <cell r="D159">
            <v>18600</v>
          </cell>
          <cell r="E159">
            <v>23220</v>
          </cell>
          <cell r="F159">
            <v>13020</v>
          </cell>
          <cell r="G159">
            <v>5580</v>
          </cell>
          <cell r="H159">
            <v>5580</v>
          </cell>
          <cell r="I159">
            <v>450</v>
          </cell>
          <cell r="J159">
            <v>450</v>
          </cell>
          <cell r="K159">
            <v>450</v>
          </cell>
          <cell r="L159">
            <v>0</v>
          </cell>
          <cell r="M159">
            <v>450</v>
          </cell>
          <cell r="N159">
            <v>0</v>
          </cell>
          <cell r="O159">
            <v>5130</v>
          </cell>
          <cell r="P159">
            <v>5130</v>
          </cell>
          <cell r="Q159">
            <v>1822</v>
          </cell>
          <cell r="R159">
            <v>1822</v>
          </cell>
          <cell r="S159">
            <v>3308</v>
          </cell>
          <cell r="T159">
            <v>3308</v>
          </cell>
          <cell r="U159">
            <v>437</v>
          </cell>
          <cell r="V159">
            <v>355</v>
          </cell>
          <cell r="W159">
            <v>0</v>
          </cell>
          <cell r="X159">
            <v>82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1972</v>
          </cell>
          <cell r="AG159">
            <v>699</v>
          </cell>
          <cell r="AH159">
            <v>1273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899</v>
          </cell>
          <cell r="AP159">
            <v>0</v>
          </cell>
          <cell r="AQ159">
            <v>0</v>
          </cell>
          <cell r="AR159">
            <v>380</v>
          </cell>
          <cell r="AS159">
            <v>35</v>
          </cell>
          <cell r="AT159">
            <v>345</v>
          </cell>
          <cell r="AU159">
            <v>0</v>
          </cell>
          <cell r="AV159">
            <v>0</v>
          </cell>
          <cell r="AW159">
            <v>47</v>
          </cell>
          <cell r="AX159">
            <v>0</v>
          </cell>
          <cell r="AY159">
            <v>87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5</v>
          </cell>
          <cell r="BG159">
            <v>0</v>
          </cell>
          <cell r="BH159">
            <v>0</v>
          </cell>
          <cell r="BI159">
            <v>0</v>
          </cell>
          <cell r="BJ159">
            <v>248494</v>
          </cell>
          <cell r="BK159">
            <v>2</v>
          </cell>
          <cell r="BL159">
            <v>248492</v>
          </cell>
        </row>
        <row r="160">
          <cell r="B160" t="str">
            <v>GINLINE6</v>
          </cell>
          <cell r="C160">
            <v>28800</v>
          </cell>
          <cell r="D160">
            <v>18600</v>
          </cell>
          <cell r="E160">
            <v>23220</v>
          </cell>
          <cell r="F160">
            <v>13020</v>
          </cell>
          <cell r="G160">
            <v>5580</v>
          </cell>
          <cell r="H160">
            <v>5580</v>
          </cell>
          <cell r="I160">
            <v>450</v>
          </cell>
          <cell r="J160">
            <v>450</v>
          </cell>
          <cell r="K160">
            <v>450</v>
          </cell>
          <cell r="L160">
            <v>0</v>
          </cell>
          <cell r="M160">
            <v>450</v>
          </cell>
          <cell r="N160">
            <v>0</v>
          </cell>
          <cell r="O160">
            <v>5130</v>
          </cell>
          <cell r="P160">
            <v>5130</v>
          </cell>
          <cell r="Q160">
            <v>1822</v>
          </cell>
          <cell r="R160">
            <v>1822</v>
          </cell>
          <cell r="S160">
            <v>3308</v>
          </cell>
          <cell r="T160">
            <v>3308</v>
          </cell>
          <cell r="U160">
            <v>437</v>
          </cell>
          <cell r="V160">
            <v>355</v>
          </cell>
          <cell r="W160">
            <v>0</v>
          </cell>
          <cell r="X160">
            <v>82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1972</v>
          </cell>
          <cell r="AG160">
            <v>699</v>
          </cell>
          <cell r="AH160">
            <v>1273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899</v>
          </cell>
          <cell r="AP160">
            <v>0</v>
          </cell>
          <cell r="AQ160">
            <v>0</v>
          </cell>
          <cell r="AR160">
            <v>380</v>
          </cell>
          <cell r="AS160">
            <v>35</v>
          </cell>
          <cell r="AT160">
            <v>345</v>
          </cell>
          <cell r="AU160">
            <v>0</v>
          </cell>
          <cell r="AV160">
            <v>0</v>
          </cell>
          <cell r="AW160">
            <v>47</v>
          </cell>
          <cell r="AX160">
            <v>0</v>
          </cell>
          <cell r="AY160">
            <v>87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5</v>
          </cell>
          <cell r="BG160">
            <v>0</v>
          </cell>
          <cell r="BH160">
            <v>0</v>
          </cell>
          <cell r="BI160">
            <v>0</v>
          </cell>
          <cell r="BJ160">
            <v>248494</v>
          </cell>
          <cell r="BK160">
            <v>2</v>
          </cell>
          <cell r="BL160">
            <v>248492</v>
          </cell>
        </row>
        <row r="161">
          <cell r="B161" t="str">
            <v>CPH INJ-STERILIZATION</v>
          </cell>
          <cell r="C161">
            <v>59040</v>
          </cell>
          <cell r="D161">
            <v>38130</v>
          </cell>
          <cell r="E161">
            <v>48240</v>
          </cell>
          <cell r="F161">
            <v>27330</v>
          </cell>
          <cell r="G161">
            <v>10800</v>
          </cell>
          <cell r="H161">
            <v>10800</v>
          </cell>
          <cell r="I161">
            <v>1347</v>
          </cell>
          <cell r="J161">
            <v>1347</v>
          </cell>
          <cell r="K161">
            <v>1347</v>
          </cell>
          <cell r="L161">
            <v>37</v>
          </cell>
          <cell r="M161">
            <v>1310</v>
          </cell>
          <cell r="N161">
            <v>0</v>
          </cell>
          <cell r="O161">
            <v>9453</v>
          </cell>
          <cell r="P161">
            <v>9453</v>
          </cell>
          <cell r="Q161">
            <v>4490</v>
          </cell>
          <cell r="R161">
            <v>4490</v>
          </cell>
          <cell r="S161">
            <v>4963</v>
          </cell>
          <cell r="T161">
            <v>4963</v>
          </cell>
          <cell r="U161">
            <v>541</v>
          </cell>
          <cell r="V161">
            <v>505</v>
          </cell>
          <cell r="W161">
            <v>0</v>
          </cell>
          <cell r="X161">
            <v>36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3186</v>
          </cell>
          <cell r="AG161">
            <v>2801</v>
          </cell>
          <cell r="AH161">
            <v>385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1236</v>
          </cell>
          <cell r="AP161">
            <v>0</v>
          </cell>
          <cell r="AQ161">
            <v>0</v>
          </cell>
          <cell r="AR161">
            <v>90</v>
          </cell>
          <cell r="AS161">
            <v>0</v>
          </cell>
          <cell r="AT161">
            <v>45</v>
          </cell>
          <cell r="AU161">
            <v>0</v>
          </cell>
          <cell r="AV161">
            <v>0</v>
          </cell>
          <cell r="AW161">
            <v>80</v>
          </cell>
          <cell r="AX161">
            <v>1021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355</v>
          </cell>
          <cell r="BK161">
            <v>0</v>
          </cell>
          <cell r="BL161">
            <v>355</v>
          </cell>
        </row>
        <row r="162">
          <cell r="B162" t="str">
            <v>ICF104</v>
          </cell>
          <cell r="C162">
            <v>30240</v>
          </cell>
          <cell r="D162">
            <v>19530</v>
          </cell>
          <cell r="E162">
            <v>23670</v>
          </cell>
          <cell r="F162">
            <v>12960</v>
          </cell>
          <cell r="G162">
            <v>6570</v>
          </cell>
          <cell r="H162">
            <v>6570</v>
          </cell>
          <cell r="I162">
            <v>892</v>
          </cell>
          <cell r="J162">
            <v>892</v>
          </cell>
          <cell r="K162">
            <v>892</v>
          </cell>
          <cell r="L162">
            <v>37</v>
          </cell>
          <cell r="M162">
            <v>855</v>
          </cell>
          <cell r="N162">
            <v>0</v>
          </cell>
          <cell r="O162">
            <v>5678</v>
          </cell>
          <cell r="P162">
            <v>5678</v>
          </cell>
          <cell r="Q162">
            <v>2725</v>
          </cell>
          <cell r="R162">
            <v>2725</v>
          </cell>
          <cell r="S162">
            <v>2953</v>
          </cell>
          <cell r="T162">
            <v>2953</v>
          </cell>
          <cell r="U162">
            <v>263</v>
          </cell>
          <cell r="V162">
            <v>243</v>
          </cell>
          <cell r="W162">
            <v>0</v>
          </cell>
          <cell r="X162">
            <v>20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2452</v>
          </cell>
          <cell r="AG162">
            <v>2159</v>
          </cell>
          <cell r="AH162">
            <v>293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238</v>
          </cell>
          <cell r="AP162">
            <v>0</v>
          </cell>
          <cell r="AQ162">
            <v>0</v>
          </cell>
          <cell r="AR162">
            <v>90</v>
          </cell>
          <cell r="AS162">
            <v>0</v>
          </cell>
          <cell r="AT162">
            <v>45</v>
          </cell>
          <cell r="AU162">
            <v>0</v>
          </cell>
          <cell r="AV162">
            <v>0</v>
          </cell>
          <cell r="AW162">
            <v>40</v>
          </cell>
          <cell r="AX162">
            <v>63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215</v>
          </cell>
          <cell r="BK162">
            <v>0</v>
          </cell>
          <cell r="BL162">
            <v>215</v>
          </cell>
        </row>
        <row r="163">
          <cell r="B163" t="str">
            <v>ICF105</v>
          </cell>
          <cell r="C163">
            <v>28800</v>
          </cell>
          <cell r="D163">
            <v>18600</v>
          </cell>
          <cell r="E163">
            <v>24570</v>
          </cell>
          <cell r="F163">
            <v>14370</v>
          </cell>
          <cell r="G163">
            <v>4230</v>
          </cell>
          <cell r="H163">
            <v>4230</v>
          </cell>
          <cell r="I163">
            <v>455</v>
          </cell>
          <cell r="J163">
            <v>455</v>
          </cell>
          <cell r="K163">
            <v>455</v>
          </cell>
          <cell r="L163">
            <v>0</v>
          </cell>
          <cell r="M163">
            <v>455</v>
          </cell>
          <cell r="N163">
            <v>0</v>
          </cell>
          <cell r="O163">
            <v>3775</v>
          </cell>
          <cell r="P163">
            <v>3775</v>
          </cell>
          <cell r="Q163">
            <v>1765</v>
          </cell>
          <cell r="R163">
            <v>1765</v>
          </cell>
          <cell r="S163">
            <v>2010</v>
          </cell>
          <cell r="T163">
            <v>2010</v>
          </cell>
          <cell r="U163">
            <v>278</v>
          </cell>
          <cell r="V163">
            <v>262</v>
          </cell>
          <cell r="W163">
            <v>0</v>
          </cell>
          <cell r="X163">
            <v>16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734</v>
          </cell>
          <cell r="AG163">
            <v>642</v>
          </cell>
          <cell r="AH163">
            <v>92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998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40</v>
          </cell>
          <cell r="AX163">
            <v>958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140</v>
          </cell>
          <cell r="BK163">
            <v>0</v>
          </cell>
          <cell r="BL163">
            <v>140</v>
          </cell>
        </row>
        <row r="164">
          <cell r="B164" t="str">
            <v>CPH-SECONDARY PACKING</v>
          </cell>
          <cell r="C164">
            <v>57600</v>
          </cell>
          <cell r="D164">
            <v>19200</v>
          </cell>
          <cell r="E164">
            <v>36090</v>
          </cell>
          <cell r="F164">
            <v>-2310</v>
          </cell>
          <cell r="G164">
            <v>21510</v>
          </cell>
          <cell r="H164">
            <v>21510</v>
          </cell>
          <cell r="I164">
            <v>1975</v>
          </cell>
          <cell r="J164">
            <v>1975</v>
          </cell>
          <cell r="K164">
            <v>1975</v>
          </cell>
          <cell r="L164">
            <v>560</v>
          </cell>
          <cell r="M164">
            <v>1415</v>
          </cell>
          <cell r="N164">
            <v>0</v>
          </cell>
          <cell r="O164">
            <v>19535</v>
          </cell>
          <cell r="P164">
            <v>19535</v>
          </cell>
          <cell r="Q164">
            <v>7480</v>
          </cell>
          <cell r="R164">
            <v>7480</v>
          </cell>
          <cell r="S164">
            <v>12055</v>
          </cell>
          <cell r="T164">
            <v>12055</v>
          </cell>
          <cell r="U164">
            <v>4425</v>
          </cell>
          <cell r="V164">
            <v>2445</v>
          </cell>
          <cell r="W164">
            <v>95</v>
          </cell>
          <cell r="X164">
            <v>735</v>
          </cell>
          <cell r="Y164">
            <v>1150</v>
          </cell>
          <cell r="Z164">
            <v>305</v>
          </cell>
          <cell r="AA164">
            <v>305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3546</v>
          </cell>
          <cell r="AG164">
            <v>1585</v>
          </cell>
          <cell r="AH164">
            <v>741</v>
          </cell>
          <cell r="AI164">
            <v>595</v>
          </cell>
          <cell r="AJ164">
            <v>0</v>
          </cell>
          <cell r="AK164">
            <v>625</v>
          </cell>
          <cell r="AL164">
            <v>0</v>
          </cell>
          <cell r="AM164">
            <v>0</v>
          </cell>
          <cell r="AN164">
            <v>0</v>
          </cell>
          <cell r="AO164">
            <v>3779</v>
          </cell>
          <cell r="AP164">
            <v>195</v>
          </cell>
          <cell r="AQ164">
            <v>0</v>
          </cell>
          <cell r="AR164">
            <v>1230</v>
          </cell>
          <cell r="AS164">
            <v>0</v>
          </cell>
          <cell r="AT164">
            <v>790</v>
          </cell>
          <cell r="AU164">
            <v>155</v>
          </cell>
          <cell r="AV164">
            <v>0</v>
          </cell>
          <cell r="AW164">
            <v>0</v>
          </cell>
          <cell r="AX164">
            <v>223</v>
          </cell>
          <cell r="AY164">
            <v>473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713</v>
          </cell>
          <cell r="BG164">
            <v>0</v>
          </cell>
          <cell r="BH164">
            <v>0</v>
          </cell>
          <cell r="BI164">
            <v>0</v>
          </cell>
          <cell r="BJ164">
            <v>821428</v>
          </cell>
          <cell r="BK164">
            <v>632</v>
          </cell>
          <cell r="BL164">
            <v>820796</v>
          </cell>
        </row>
        <row r="165">
          <cell r="B165" t="str">
            <v>PCF101</v>
          </cell>
          <cell r="C165">
            <v>28800</v>
          </cell>
          <cell r="D165">
            <v>9600</v>
          </cell>
          <cell r="E165">
            <v>14430</v>
          </cell>
          <cell r="F165">
            <v>-4770</v>
          </cell>
          <cell r="G165">
            <v>14370</v>
          </cell>
          <cell r="H165">
            <v>14370</v>
          </cell>
          <cell r="I165">
            <v>990</v>
          </cell>
          <cell r="J165">
            <v>990</v>
          </cell>
          <cell r="K165">
            <v>990</v>
          </cell>
          <cell r="L165">
            <v>210</v>
          </cell>
          <cell r="M165">
            <v>780</v>
          </cell>
          <cell r="N165">
            <v>0</v>
          </cell>
          <cell r="O165">
            <v>13380</v>
          </cell>
          <cell r="P165">
            <v>13380</v>
          </cell>
          <cell r="Q165">
            <v>3855</v>
          </cell>
          <cell r="R165">
            <v>3855</v>
          </cell>
          <cell r="S165">
            <v>9525</v>
          </cell>
          <cell r="T165">
            <v>9525</v>
          </cell>
          <cell r="U165">
            <v>4210</v>
          </cell>
          <cell r="V165">
            <v>2230</v>
          </cell>
          <cell r="W165">
            <v>95</v>
          </cell>
          <cell r="X165">
            <v>735</v>
          </cell>
          <cell r="Y165">
            <v>1150</v>
          </cell>
          <cell r="Z165">
            <v>305</v>
          </cell>
          <cell r="AA165">
            <v>305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2580</v>
          </cell>
          <cell r="AG165">
            <v>1585</v>
          </cell>
          <cell r="AH165">
            <v>400</v>
          </cell>
          <cell r="AI165">
            <v>595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2430</v>
          </cell>
          <cell r="AP165">
            <v>195</v>
          </cell>
          <cell r="AQ165">
            <v>0</v>
          </cell>
          <cell r="AR165">
            <v>870</v>
          </cell>
          <cell r="AS165">
            <v>0</v>
          </cell>
          <cell r="AT165">
            <v>610</v>
          </cell>
          <cell r="AU165">
            <v>0</v>
          </cell>
          <cell r="AV165">
            <v>0</v>
          </cell>
          <cell r="AW165">
            <v>0</v>
          </cell>
          <cell r="AX165">
            <v>100</v>
          </cell>
          <cell r="AY165">
            <v>310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345</v>
          </cell>
          <cell r="BG165">
            <v>0</v>
          </cell>
          <cell r="BH165">
            <v>0</v>
          </cell>
          <cell r="BI165">
            <v>0</v>
          </cell>
          <cell r="BJ165">
            <v>722242</v>
          </cell>
          <cell r="BK165">
            <v>321</v>
          </cell>
          <cell r="BL165">
            <v>721921</v>
          </cell>
        </row>
        <row r="166">
          <cell r="B166" t="str">
            <v>PCF102</v>
          </cell>
          <cell r="C166">
            <v>28800</v>
          </cell>
          <cell r="D166">
            <v>9600</v>
          </cell>
          <cell r="E166">
            <v>21660</v>
          </cell>
          <cell r="F166">
            <v>2460</v>
          </cell>
          <cell r="G166">
            <v>7140</v>
          </cell>
          <cell r="H166">
            <v>7140</v>
          </cell>
          <cell r="I166">
            <v>985</v>
          </cell>
          <cell r="J166">
            <v>985</v>
          </cell>
          <cell r="K166">
            <v>985</v>
          </cell>
          <cell r="L166">
            <v>350</v>
          </cell>
          <cell r="M166">
            <v>635</v>
          </cell>
          <cell r="N166">
            <v>0</v>
          </cell>
          <cell r="O166">
            <v>6155</v>
          </cell>
          <cell r="P166">
            <v>6155</v>
          </cell>
          <cell r="Q166">
            <v>3625</v>
          </cell>
          <cell r="R166">
            <v>3625</v>
          </cell>
          <cell r="S166">
            <v>2530</v>
          </cell>
          <cell r="T166">
            <v>2530</v>
          </cell>
          <cell r="U166">
            <v>215</v>
          </cell>
          <cell r="V166">
            <v>215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966</v>
          </cell>
          <cell r="AG166">
            <v>0</v>
          </cell>
          <cell r="AH166">
            <v>341</v>
          </cell>
          <cell r="AI166">
            <v>0</v>
          </cell>
          <cell r="AJ166">
            <v>0</v>
          </cell>
          <cell r="AK166">
            <v>625</v>
          </cell>
          <cell r="AL166">
            <v>0</v>
          </cell>
          <cell r="AM166">
            <v>0</v>
          </cell>
          <cell r="AN166">
            <v>0</v>
          </cell>
          <cell r="AO166">
            <v>1349</v>
          </cell>
          <cell r="AP166">
            <v>0</v>
          </cell>
          <cell r="AQ166">
            <v>0</v>
          </cell>
          <cell r="AR166">
            <v>360</v>
          </cell>
          <cell r="AS166">
            <v>0</v>
          </cell>
          <cell r="AT166">
            <v>180</v>
          </cell>
          <cell r="AU166">
            <v>155</v>
          </cell>
          <cell r="AV166">
            <v>0</v>
          </cell>
          <cell r="AW166">
            <v>0</v>
          </cell>
          <cell r="AX166">
            <v>123</v>
          </cell>
          <cell r="AY166">
            <v>163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368</v>
          </cell>
          <cell r="BG166">
            <v>0</v>
          </cell>
          <cell r="BH166">
            <v>0</v>
          </cell>
          <cell r="BI166">
            <v>0</v>
          </cell>
          <cell r="BJ166">
            <v>99186</v>
          </cell>
          <cell r="BK166">
            <v>311</v>
          </cell>
          <cell r="BL166">
            <v>98875</v>
          </cell>
        </row>
      </sheetData>
      <sheetData sheetId="14" refreshError="1"/>
      <sheetData sheetId="1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shboard OEE"/>
      <sheetName val="Dashboard Monthly Manpower"/>
      <sheetName val="Dashboard Monthly Legend"/>
      <sheetName val="Dashboard Legend Group"/>
      <sheetName val="Mesin Running"/>
      <sheetName val="Pivot Batch &amp; Tanggal"/>
      <sheetName val="Jumlah Shift"/>
      <sheetName val="Format Shift Operation"/>
      <sheetName val="Custom Report "/>
      <sheetName val="OEE All Machine Report"/>
      <sheetName val="OEE By Group Report"/>
      <sheetName val="Analisys QBR Report"/>
      <sheetName val="Analisys QBR By Machine Report"/>
      <sheetName val="Dasboard_QBR_Report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B1" t="str">
            <v>oee</v>
          </cell>
        </row>
        <row r="109">
          <cell r="C109" t="str">
            <v>PROSES( Menit )</v>
          </cell>
          <cell r="D109" t="str">
            <v>POT</v>
          </cell>
          <cell r="E109" t="str">
            <v>Unschedule Time</v>
          </cell>
          <cell r="F109" t="str">
            <v>L2</v>
          </cell>
          <cell r="G109" t="str">
            <v>L21</v>
          </cell>
          <cell r="H109" t="str">
            <v>L22</v>
          </cell>
          <cell r="I109" t="str">
            <v>IG</v>
          </cell>
          <cell r="J109" t="str">
            <v>PPT</v>
          </cell>
          <cell r="K109" t="str">
            <v>R</v>
          </cell>
          <cell r="L109" t="str">
            <v>Setup</v>
          </cell>
          <cell r="M109" t="str">
            <v>P6</v>
          </cell>
          <cell r="N109" t="str">
            <v>P5</v>
          </cell>
          <cell r="O109" t="str">
            <v>P8</v>
          </cell>
          <cell r="P109" t="str">
            <v>P9</v>
          </cell>
          <cell r="Q109" t="str">
            <v>Breakdown</v>
          </cell>
          <cell r="R109" t="str">
            <v>M1</v>
          </cell>
          <cell r="S109" t="str">
            <v>M2</v>
          </cell>
          <cell r="T109" t="str">
            <v>M4</v>
          </cell>
          <cell r="U109" t="str">
            <v>M8</v>
          </cell>
          <cell r="V109" t="str">
            <v>M9</v>
          </cell>
          <cell r="W109" t="str">
            <v>Clean</v>
          </cell>
          <cell r="X109" t="str">
            <v>P2</v>
          </cell>
          <cell r="Y109" t="str">
            <v>P4</v>
          </cell>
          <cell r="Z109" t="str">
            <v>P17</v>
          </cell>
          <cell r="AA109" t="str">
            <v>P19</v>
          </cell>
          <cell r="AB109" t="str">
            <v>P12</v>
          </cell>
          <cell r="AC109" t="str">
            <v>Trial</v>
          </cell>
          <cell r="AD109" t="str">
            <v>R1</v>
          </cell>
          <cell r="AE109" t="str">
            <v>R2</v>
          </cell>
          <cell r="AF109" t="str">
            <v>Waiting</v>
          </cell>
          <cell r="AG109" t="str">
            <v>L1</v>
          </cell>
          <cell r="AH109" t="str">
            <v>L3</v>
          </cell>
          <cell r="AI109" t="str">
            <v>H1</v>
          </cell>
          <cell r="AJ109" t="str">
            <v>H2</v>
          </cell>
          <cell r="AK109" t="str">
            <v>H4</v>
          </cell>
          <cell r="AL109" t="str">
            <v>H6</v>
          </cell>
          <cell r="AM109" t="str">
            <v>H7</v>
          </cell>
          <cell r="AN109" t="str">
            <v>H8</v>
          </cell>
          <cell r="AO109" t="str">
            <v>P10</v>
          </cell>
          <cell r="AP109" t="str">
            <v>P11</v>
          </cell>
          <cell r="AQ109" t="str">
            <v>P13</v>
          </cell>
          <cell r="AR109" t="str">
            <v>P14</v>
          </cell>
          <cell r="AS109" t="str">
            <v>P16</v>
          </cell>
          <cell r="AT109" t="str">
            <v>M5</v>
          </cell>
          <cell r="AU109" t="str">
            <v>M6</v>
          </cell>
          <cell r="AV109" t="str">
            <v>M7</v>
          </cell>
          <cell r="AW109" t="str">
            <v>Q1</v>
          </cell>
          <cell r="AX109" t="str">
            <v>Q2</v>
          </cell>
          <cell r="AY109" t="str">
            <v>Q3</v>
          </cell>
          <cell r="AZ109" t="str">
            <v>Q4</v>
          </cell>
          <cell r="BA109" t="str">
            <v>Total Output</v>
          </cell>
          <cell r="BB109" t="str">
            <v>Reject Output</v>
          </cell>
          <cell r="BC109" t="str">
            <v>Good Output</v>
          </cell>
        </row>
        <row r="110">
          <cell r="C110" t="str">
            <v>NBL SOL-MIXING</v>
          </cell>
          <cell r="D110">
            <v>93600</v>
          </cell>
          <cell r="E110">
            <v>64770</v>
          </cell>
          <cell r="F110">
            <v>3425</v>
          </cell>
          <cell r="G110">
            <v>230</v>
          </cell>
          <cell r="H110">
            <v>3195</v>
          </cell>
          <cell r="I110">
            <v>30</v>
          </cell>
          <cell r="J110">
            <v>25375</v>
          </cell>
          <cell r="K110">
            <v>3977</v>
          </cell>
          <cell r="L110">
            <v>852</v>
          </cell>
          <cell r="M110">
            <v>852</v>
          </cell>
          <cell r="N110">
            <v>0</v>
          </cell>
          <cell r="O110">
            <v>0</v>
          </cell>
          <cell r="P110">
            <v>0</v>
          </cell>
          <cell r="Q110">
            <v>65</v>
          </cell>
          <cell r="R110">
            <v>50</v>
          </cell>
          <cell r="S110">
            <v>0</v>
          </cell>
          <cell r="T110">
            <v>0</v>
          </cell>
          <cell r="U110">
            <v>15</v>
          </cell>
          <cell r="V110">
            <v>0</v>
          </cell>
          <cell r="W110">
            <v>9699</v>
          </cell>
          <cell r="X110">
            <v>5406</v>
          </cell>
          <cell r="Y110">
            <v>3606</v>
          </cell>
          <cell r="Z110">
            <v>79</v>
          </cell>
          <cell r="AA110">
            <v>0</v>
          </cell>
          <cell r="AB110">
            <v>608</v>
          </cell>
          <cell r="AC110">
            <v>2725</v>
          </cell>
          <cell r="AD110">
            <v>0</v>
          </cell>
          <cell r="AE110">
            <v>2725</v>
          </cell>
          <cell r="AF110">
            <v>8057</v>
          </cell>
          <cell r="AG110">
            <v>320</v>
          </cell>
          <cell r="AH110">
            <v>0</v>
          </cell>
          <cell r="AI110">
            <v>1257</v>
          </cell>
          <cell r="AJ110">
            <v>0</v>
          </cell>
          <cell r="AK110">
            <v>930</v>
          </cell>
          <cell r="AL110">
            <v>0</v>
          </cell>
          <cell r="AM110">
            <v>0</v>
          </cell>
          <cell r="AN110">
            <v>0</v>
          </cell>
          <cell r="AO110">
            <v>4744</v>
          </cell>
          <cell r="AP110">
            <v>0</v>
          </cell>
          <cell r="AQ110">
            <v>0</v>
          </cell>
          <cell r="AR110">
            <v>588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218</v>
          </cell>
          <cell r="AX110">
            <v>0</v>
          </cell>
          <cell r="AY110">
            <v>0</v>
          </cell>
          <cell r="AZ110">
            <v>0</v>
          </cell>
          <cell r="BA110">
            <v>7925.52</v>
          </cell>
          <cell r="BB110">
            <v>0</v>
          </cell>
          <cell r="BC110">
            <v>7925.52</v>
          </cell>
        </row>
        <row r="111">
          <cell r="C111" t="str">
            <v>MIX113</v>
          </cell>
          <cell r="D111">
            <v>31680</v>
          </cell>
          <cell r="E111">
            <v>15480</v>
          </cell>
          <cell r="F111">
            <v>2370</v>
          </cell>
          <cell r="G111">
            <v>30</v>
          </cell>
          <cell r="H111">
            <v>2340</v>
          </cell>
          <cell r="I111">
            <v>30</v>
          </cell>
          <cell r="J111">
            <v>13800</v>
          </cell>
          <cell r="K111">
            <v>886</v>
          </cell>
          <cell r="L111">
            <v>450</v>
          </cell>
          <cell r="M111">
            <v>450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3755</v>
          </cell>
          <cell r="X111">
            <v>1303</v>
          </cell>
          <cell r="Y111">
            <v>2234</v>
          </cell>
          <cell r="Z111">
            <v>0</v>
          </cell>
          <cell r="AA111">
            <v>0</v>
          </cell>
          <cell r="AB111">
            <v>218</v>
          </cell>
          <cell r="AC111">
            <v>2725</v>
          </cell>
          <cell r="AD111">
            <v>0</v>
          </cell>
          <cell r="AE111">
            <v>2725</v>
          </cell>
          <cell r="AF111">
            <v>5984</v>
          </cell>
          <cell r="AG111">
            <v>75</v>
          </cell>
          <cell r="AH111">
            <v>0</v>
          </cell>
          <cell r="AI111">
            <v>477</v>
          </cell>
          <cell r="AJ111">
            <v>0</v>
          </cell>
          <cell r="AK111">
            <v>420</v>
          </cell>
          <cell r="AL111">
            <v>0</v>
          </cell>
          <cell r="AM111">
            <v>0</v>
          </cell>
          <cell r="AN111">
            <v>0</v>
          </cell>
          <cell r="AO111">
            <v>4744</v>
          </cell>
          <cell r="AP111">
            <v>0</v>
          </cell>
          <cell r="AQ111">
            <v>0</v>
          </cell>
          <cell r="AR111">
            <v>50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218</v>
          </cell>
          <cell r="AX111">
            <v>0</v>
          </cell>
          <cell r="AY111">
            <v>0</v>
          </cell>
          <cell r="AZ111">
            <v>0</v>
          </cell>
          <cell r="BA111">
            <v>5330.44</v>
          </cell>
          <cell r="BB111">
            <v>0</v>
          </cell>
          <cell r="BC111">
            <v>5330.44</v>
          </cell>
        </row>
        <row r="112">
          <cell r="C112" t="str">
            <v>LMIXSOL1</v>
          </cell>
          <cell r="D112">
            <v>31680</v>
          </cell>
          <cell r="E112">
            <v>25860</v>
          </cell>
          <cell r="F112">
            <v>1055</v>
          </cell>
          <cell r="G112">
            <v>200</v>
          </cell>
          <cell r="H112">
            <v>855</v>
          </cell>
          <cell r="I112">
            <v>0</v>
          </cell>
          <cell r="J112">
            <v>4765</v>
          </cell>
          <cell r="K112">
            <v>945</v>
          </cell>
          <cell r="L112">
            <v>170</v>
          </cell>
          <cell r="M112">
            <v>170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2672</v>
          </cell>
          <cell r="X112">
            <v>1407</v>
          </cell>
          <cell r="Y112">
            <v>1064</v>
          </cell>
          <cell r="Z112">
            <v>1</v>
          </cell>
          <cell r="AA112">
            <v>0</v>
          </cell>
          <cell r="AB112">
            <v>200</v>
          </cell>
          <cell r="AC112">
            <v>0</v>
          </cell>
          <cell r="AD112">
            <v>0</v>
          </cell>
          <cell r="AE112">
            <v>0</v>
          </cell>
          <cell r="AF112">
            <v>978</v>
          </cell>
          <cell r="AG112">
            <v>110</v>
          </cell>
          <cell r="AH112">
            <v>0</v>
          </cell>
          <cell r="AI112">
            <v>360</v>
          </cell>
          <cell r="AJ112">
            <v>0</v>
          </cell>
          <cell r="AK112">
            <v>285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223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504.36</v>
          </cell>
          <cell r="BB112">
            <v>0</v>
          </cell>
          <cell r="BC112">
            <v>504.36</v>
          </cell>
        </row>
        <row r="113">
          <cell r="C113" t="str">
            <v>LMIXSOL2</v>
          </cell>
          <cell r="D113">
            <v>30240</v>
          </cell>
          <cell r="E113">
            <v>23430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6810</v>
          </cell>
          <cell r="K113">
            <v>2146</v>
          </cell>
          <cell r="L113">
            <v>232</v>
          </cell>
          <cell r="M113">
            <v>232</v>
          </cell>
          <cell r="N113">
            <v>0</v>
          </cell>
          <cell r="O113">
            <v>0</v>
          </cell>
          <cell r="P113">
            <v>0</v>
          </cell>
          <cell r="Q113">
            <v>65</v>
          </cell>
          <cell r="R113">
            <v>50</v>
          </cell>
          <cell r="S113">
            <v>0</v>
          </cell>
          <cell r="T113">
            <v>0</v>
          </cell>
          <cell r="U113">
            <v>15</v>
          </cell>
          <cell r="V113">
            <v>0</v>
          </cell>
          <cell r="W113">
            <v>3272</v>
          </cell>
          <cell r="X113">
            <v>2696</v>
          </cell>
          <cell r="Y113">
            <v>308</v>
          </cell>
          <cell r="Z113">
            <v>78</v>
          </cell>
          <cell r="AA113">
            <v>0</v>
          </cell>
          <cell r="AB113">
            <v>190</v>
          </cell>
          <cell r="AC113">
            <v>0</v>
          </cell>
          <cell r="AD113">
            <v>0</v>
          </cell>
          <cell r="AE113">
            <v>0</v>
          </cell>
          <cell r="AF113">
            <v>1095</v>
          </cell>
          <cell r="AG113">
            <v>135</v>
          </cell>
          <cell r="AH113">
            <v>0</v>
          </cell>
          <cell r="AI113">
            <v>420</v>
          </cell>
          <cell r="AJ113">
            <v>0</v>
          </cell>
          <cell r="AK113">
            <v>225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315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2090.7199999999998</v>
          </cell>
          <cell r="BB113">
            <v>0</v>
          </cell>
          <cell r="BC113">
            <v>2090.7199999999998</v>
          </cell>
        </row>
        <row r="114">
          <cell r="C114" t="str">
            <v>NBL SOL-COATING</v>
          </cell>
          <cell r="D114">
            <v>60480</v>
          </cell>
          <cell r="E114">
            <v>49920</v>
          </cell>
          <cell r="F114">
            <v>120</v>
          </cell>
          <cell r="G114">
            <v>0</v>
          </cell>
          <cell r="H114">
            <v>120</v>
          </cell>
          <cell r="I114">
            <v>0</v>
          </cell>
          <cell r="J114">
            <v>10440</v>
          </cell>
          <cell r="K114">
            <v>4845</v>
          </cell>
          <cell r="L114">
            <v>285</v>
          </cell>
          <cell r="M114">
            <v>175</v>
          </cell>
          <cell r="N114">
            <v>0</v>
          </cell>
          <cell r="O114">
            <v>110</v>
          </cell>
          <cell r="P114">
            <v>0</v>
          </cell>
          <cell r="Q114">
            <v>55</v>
          </cell>
          <cell r="R114">
            <v>25</v>
          </cell>
          <cell r="S114">
            <v>0</v>
          </cell>
          <cell r="T114">
            <v>0</v>
          </cell>
          <cell r="U114">
            <v>30</v>
          </cell>
          <cell r="V114">
            <v>0</v>
          </cell>
          <cell r="W114">
            <v>3575</v>
          </cell>
          <cell r="X114">
            <v>1075</v>
          </cell>
          <cell r="Y114">
            <v>2135</v>
          </cell>
          <cell r="Z114">
            <v>0</v>
          </cell>
          <cell r="AA114">
            <v>0</v>
          </cell>
          <cell r="AB114">
            <v>365</v>
          </cell>
          <cell r="AC114">
            <v>0</v>
          </cell>
          <cell r="AD114">
            <v>0</v>
          </cell>
          <cell r="AE114">
            <v>0</v>
          </cell>
          <cell r="AF114">
            <v>1680</v>
          </cell>
          <cell r="AG114">
            <v>0</v>
          </cell>
          <cell r="AH114">
            <v>0</v>
          </cell>
          <cell r="AI114">
            <v>480</v>
          </cell>
          <cell r="AJ114">
            <v>0</v>
          </cell>
          <cell r="AK114">
            <v>475</v>
          </cell>
          <cell r="AL114">
            <v>0</v>
          </cell>
          <cell r="AM114">
            <v>0</v>
          </cell>
          <cell r="AN114">
            <v>0</v>
          </cell>
          <cell r="AO114">
            <v>380</v>
          </cell>
          <cell r="AP114">
            <v>210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110</v>
          </cell>
          <cell r="AX114">
            <v>0</v>
          </cell>
          <cell r="AY114">
            <v>25</v>
          </cell>
          <cell r="AZ114">
            <v>0</v>
          </cell>
          <cell r="BA114">
            <v>2206.91</v>
          </cell>
          <cell r="BB114">
            <v>0.75</v>
          </cell>
          <cell r="BC114">
            <v>2206.16</v>
          </cell>
        </row>
        <row r="115">
          <cell r="C115" t="str">
            <v>COT101</v>
          </cell>
          <cell r="D115">
            <v>30240</v>
          </cell>
          <cell r="E115">
            <v>25410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4830</v>
          </cell>
          <cell r="K115">
            <v>1980</v>
          </cell>
          <cell r="L115">
            <v>165</v>
          </cell>
          <cell r="M115">
            <v>95</v>
          </cell>
          <cell r="N115">
            <v>0</v>
          </cell>
          <cell r="O115">
            <v>70</v>
          </cell>
          <cell r="P115">
            <v>0</v>
          </cell>
          <cell r="Q115">
            <v>25</v>
          </cell>
          <cell r="R115">
            <v>25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1750</v>
          </cell>
          <cell r="X115">
            <v>510</v>
          </cell>
          <cell r="Y115">
            <v>1080</v>
          </cell>
          <cell r="Z115">
            <v>0</v>
          </cell>
          <cell r="AA115">
            <v>0</v>
          </cell>
          <cell r="AB115">
            <v>160</v>
          </cell>
          <cell r="AC115">
            <v>0</v>
          </cell>
          <cell r="AD115">
            <v>0</v>
          </cell>
          <cell r="AE115">
            <v>0</v>
          </cell>
          <cell r="AF115">
            <v>910</v>
          </cell>
          <cell r="AG115">
            <v>0</v>
          </cell>
          <cell r="AH115">
            <v>0</v>
          </cell>
          <cell r="AI115">
            <v>300</v>
          </cell>
          <cell r="AJ115">
            <v>0</v>
          </cell>
          <cell r="AK115">
            <v>315</v>
          </cell>
          <cell r="AL115">
            <v>0</v>
          </cell>
          <cell r="AM115">
            <v>0</v>
          </cell>
          <cell r="AN115">
            <v>0</v>
          </cell>
          <cell r="AO115">
            <v>135</v>
          </cell>
          <cell r="AP115">
            <v>80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55</v>
          </cell>
          <cell r="AX115">
            <v>0</v>
          </cell>
          <cell r="AY115">
            <v>25</v>
          </cell>
          <cell r="AZ115">
            <v>0</v>
          </cell>
          <cell r="BA115">
            <v>499.2</v>
          </cell>
          <cell r="BB115">
            <v>0.21</v>
          </cell>
          <cell r="BC115">
            <v>498.99</v>
          </cell>
        </row>
        <row r="116">
          <cell r="C116" t="str">
            <v>COT102</v>
          </cell>
          <cell r="D116">
            <v>30240</v>
          </cell>
          <cell r="E116">
            <v>24510</v>
          </cell>
          <cell r="F116">
            <v>120</v>
          </cell>
          <cell r="G116">
            <v>0</v>
          </cell>
          <cell r="H116">
            <v>120</v>
          </cell>
          <cell r="I116">
            <v>0</v>
          </cell>
          <cell r="J116">
            <v>5610</v>
          </cell>
          <cell r="K116">
            <v>2865</v>
          </cell>
          <cell r="L116">
            <v>120</v>
          </cell>
          <cell r="M116">
            <v>80</v>
          </cell>
          <cell r="N116">
            <v>0</v>
          </cell>
          <cell r="O116">
            <v>40</v>
          </cell>
          <cell r="P116">
            <v>0</v>
          </cell>
          <cell r="Q116">
            <v>30</v>
          </cell>
          <cell r="R116">
            <v>0</v>
          </cell>
          <cell r="S116">
            <v>0</v>
          </cell>
          <cell r="T116">
            <v>0</v>
          </cell>
          <cell r="U116">
            <v>30</v>
          </cell>
          <cell r="V116">
            <v>0</v>
          </cell>
          <cell r="W116">
            <v>1825</v>
          </cell>
          <cell r="X116">
            <v>565</v>
          </cell>
          <cell r="Y116">
            <v>1055</v>
          </cell>
          <cell r="Z116">
            <v>0</v>
          </cell>
          <cell r="AA116">
            <v>0</v>
          </cell>
          <cell r="AB116">
            <v>205</v>
          </cell>
          <cell r="AC116">
            <v>0</v>
          </cell>
          <cell r="AD116">
            <v>0</v>
          </cell>
          <cell r="AE116">
            <v>0</v>
          </cell>
          <cell r="AF116">
            <v>770</v>
          </cell>
          <cell r="AG116">
            <v>0</v>
          </cell>
          <cell r="AH116">
            <v>0</v>
          </cell>
          <cell r="AI116">
            <v>180</v>
          </cell>
          <cell r="AJ116">
            <v>0</v>
          </cell>
          <cell r="AK116">
            <v>160</v>
          </cell>
          <cell r="AL116">
            <v>0</v>
          </cell>
          <cell r="AM116">
            <v>0</v>
          </cell>
          <cell r="AN116">
            <v>0</v>
          </cell>
          <cell r="AO116">
            <v>245</v>
          </cell>
          <cell r="AP116">
            <v>130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55</v>
          </cell>
          <cell r="AX116">
            <v>0</v>
          </cell>
          <cell r="AY116">
            <v>0</v>
          </cell>
          <cell r="AZ116">
            <v>0</v>
          </cell>
          <cell r="BA116">
            <v>1707.71</v>
          </cell>
          <cell r="BB116">
            <v>0.54</v>
          </cell>
          <cell r="BC116">
            <v>1707.17</v>
          </cell>
        </row>
        <row r="117">
          <cell r="C117" t="str">
            <v>NBL SOL-TABLETING</v>
          </cell>
          <cell r="D117">
            <v>90720</v>
          </cell>
          <cell r="E117">
            <v>54510</v>
          </cell>
          <cell r="F117">
            <v>4510</v>
          </cell>
          <cell r="G117">
            <v>0</v>
          </cell>
          <cell r="H117">
            <v>4510</v>
          </cell>
          <cell r="I117">
            <v>0</v>
          </cell>
          <cell r="J117">
            <v>31700</v>
          </cell>
          <cell r="K117">
            <v>11145</v>
          </cell>
          <cell r="L117">
            <v>3835</v>
          </cell>
          <cell r="M117">
            <v>2800</v>
          </cell>
          <cell r="N117">
            <v>0</v>
          </cell>
          <cell r="O117">
            <v>115</v>
          </cell>
          <cell r="P117">
            <v>920</v>
          </cell>
          <cell r="Q117">
            <v>60</v>
          </cell>
          <cell r="R117">
            <v>60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5425</v>
          </cell>
          <cell r="X117">
            <v>950</v>
          </cell>
          <cell r="Y117">
            <v>3480</v>
          </cell>
          <cell r="Z117">
            <v>80</v>
          </cell>
          <cell r="AA117">
            <v>0</v>
          </cell>
          <cell r="AB117">
            <v>915</v>
          </cell>
          <cell r="AC117">
            <v>2055</v>
          </cell>
          <cell r="AD117">
            <v>0</v>
          </cell>
          <cell r="AE117">
            <v>2055</v>
          </cell>
          <cell r="AF117">
            <v>9180</v>
          </cell>
          <cell r="AG117">
            <v>0</v>
          </cell>
          <cell r="AH117">
            <v>0</v>
          </cell>
          <cell r="AI117">
            <v>1665</v>
          </cell>
          <cell r="AJ117">
            <v>0</v>
          </cell>
          <cell r="AK117">
            <v>1460</v>
          </cell>
          <cell r="AL117">
            <v>395</v>
          </cell>
          <cell r="AM117">
            <v>0</v>
          </cell>
          <cell r="AN117">
            <v>0</v>
          </cell>
          <cell r="AO117">
            <v>1615</v>
          </cell>
          <cell r="AP117">
            <v>555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2610</v>
          </cell>
          <cell r="AX117">
            <v>790</v>
          </cell>
          <cell r="AY117">
            <v>0</v>
          </cell>
          <cell r="AZ117">
            <v>90</v>
          </cell>
          <cell r="BA117">
            <v>11550176</v>
          </cell>
          <cell r="BB117">
            <v>6670</v>
          </cell>
          <cell r="BC117">
            <v>11543506</v>
          </cell>
        </row>
        <row r="118">
          <cell r="C118" t="str">
            <v>TAB101</v>
          </cell>
          <cell r="D118">
            <v>30240</v>
          </cell>
          <cell r="E118">
            <v>15720</v>
          </cell>
          <cell r="F118">
            <v>2055</v>
          </cell>
          <cell r="G118">
            <v>0</v>
          </cell>
          <cell r="H118">
            <v>2055</v>
          </cell>
          <cell r="I118">
            <v>0</v>
          </cell>
          <cell r="J118">
            <v>12465</v>
          </cell>
          <cell r="K118">
            <v>4295</v>
          </cell>
          <cell r="L118">
            <v>1940</v>
          </cell>
          <cell r="M118">
            <v>1180</v>
          </cell>
          <cell r="N118">
            <v>0</v>
          </cell>
          <cell r="O118">
            <v>60</v>
          </cell>
          <cell r="P118">
            <v>700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2055</v>
          </cell>
          <cell r="X118">
            <v>340</v>
          </cell>
          <cell r="Y118">
            <v>1250</v>
          </cell>
          <cell r="Z118">
            <v>40</v>
          </cell>
          <cell r="AA118">
            <v>0</v>
          </cell>
          <cell r="AB118">
            <v>425</v>
          </cell>
          <cell r="AC118">
            <v>990</v>
          </cell>
          <cell r="AD118">
            <v>0</v>
          </cell>
          <cell r="AE118">
            <v>990</v>
          </cell>
          <cell r="AF118">
            <v>3185</v>
          </cell>
          <cell r="AG118">
            <v>0</v>
          </cell>
          <cell r="AH118">
            <v>0</v>
          </cell>
          <cell r="AI118">
            <v>690</v>
          </cell>
          <cell r="AJ118">
            <v>0</v>
          </cell>
          <cell r="AK118">
            <v>565</v>
          </cell>
          <cell r="AL118">
            <v>120</v>
          </cell>
          <cell r="AM118">
            <v>0</v>
          </cell>
          <cell r="AN118">
            <v>0</v>
          </cell>
          <cell r="AO118">
            <v>435</v>
          </cell>
          <cell r="AP118">
            <v>195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970</v>
          </cell>
          <cell r="AX118">
            <v>120</v>
          </cell>
          <cell r="AY118">
            <v>0</v>
          </cell>
          <cell r="AZ118">
            <v>90</v>
          </cell>
          <cell r="BA118">
            <v>7380893</v>
          </cell>
          <cell r="BB118">
            <v>5173</v>
          </cell>
          <cell r="BC118">
            <v>7375720</v>
          </cell>
        </row>
        <row r="119">
          <cell r="C119" t="str">
            <v>TAB105</v>
          </cell>
          <cell r="D119">
            <v>30240</v>
          </cell>
          <cell r="E119">
            <v>14820</v>
          </cell>
          <cell r="F119">
            <v>865</v>
          </cell>
          <cell r="G119">
            <v>0</v>
          </cell>
          <cell r="H119">
            <v>865</v>
          </cell>
          <cell r="I119">
            <v>0</v>
          </cell>
          <cell r="J119">
            <v>14555</v>
          </cell>
          <cell r="K119">
            <v>5555</v>
          </cell>
          <cell r="L119">
            <v>1435</v>
          </cell>
          <cell r="M119">
            <v>1160</v>
          </cell>
          <cell r="N119">
            <v>0</v>
          </cell>
          <cell r="O119">
            <v>55</v>
          </cell>
          <cell r="P119">
            <v>220</v>
          </cell>
          <cell r="Q119">
            <v>60</v>
          </cell>
          <cell r="R119">
            <v>60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2365</v>
          </cell>
          <cell r="X119">
            <v>475</v>
          </cell>
          <cell r="Y119">
            <v>1575</v>
          </cell>
          <cell r="Z119">
            <v>40</v>
          </cell>
          <cell r="AA119">
            <v>0</v>
          </cell>
          <cell r="AB119">
            <v>275</v>
          </cell>
          <cell r="AC119">
            <v>1065</v>
          </cell>
          <cell r="AD119">
            <v>0</v>
          </cell>
          <cell r="AE119">
            <v>1065</v>
          </cell>
          <cell r="AF119">
            <v>4075</v>
          </cell>
          <cell r="AG119">
            <v>0</v>
          </cell>
          <cell r="AH119">
            <v>0</v>
          </cell>
          <cell r="AI119">
            <v>795</v>
          </cell>
          <cell r="AJ119">
            <v>0</v>
          </cell>
          <cell r="AK119">
            <v>790</v>
          </cell>
          <cell r="AL119">
            <v>45</v>
          </cell>
          <cell r="AM119">
            <v>0</v>
          </cell>
          <cell r="AN119">
            <v>0</v>
          </cell>
          <cell r="AO119">
            <v>790</v>
          </cell>
          <cell r="AP119">
            <v>225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1060</v>
          </cell>
          <cell r="AX119">
            <v>370</v>
          </cell>
          <cell r="AY119">
            <v>0</v>
          </cell>
          <cell r="AZ119">
            <v>0</v>
          </cell>
          <cell r="BA119">
            <v>3117373</v>
          </cell>
          <cell r="BB119">
            <v>1497</v>
          </cell>
          <cell r="BC119">
            <v>3115876</v>
          </cell>
        </row>
        <row r="120">
          <cell r="C120" t="str">
            <v>TAB103</v>
          </cell>
          <cell r="D120">
            <v>30240</v>
          </cell>
          <cell r="E120">
            <v>23970</v>
          </cell>
          <cell r="F120">
            <v>1590</v>
          </cell>
          <cell r="G120">
            <v>0</v>
          </cell>
          <cell r="H120">
            <v>1590</v>
          </cell>
          <cell r="I120">
            <v>0</v>
          </cell>
          <cell r="J120">
            <v>4680</v>
          </cell>
          <cell r="K120">
            <v>1295</v>
          </cell>
          <cell r="L120">
            <v>460</v>
          </cell>
          <cell r="M120">
            <v>460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1005</v>
          </cell>
          <cell r="X120">
            <v>135</v>
          </cell>
          <cell r="Y120">
            <v>655</v>
          </cell>
          <cell r="Z120">
            <v>0</v>
          </cell>
          <cell r="AA120">
            <v>0</v>
          </cell>
          <cell r="AB120">
            <v>215</v>
          </cell>
          <cell r="AC120">
            <v>0</v>
          </cell>
          <cell r="AD120">
            <v>0</v>
          </cell>
          <cell r="AE120">
            <v>0</v>
          </cell>
          <cell r="AF120">
            <v>1920</v>
          </cell>
          <cell r="AG120">
            <v>0</v>
          </cell>
          <cell r="AH120">
            <v>0</v>
          </cell>
          <cell r="AI120">
            <v>180</v>
          </cell>
          <cell r="AJ120">
            <v>0</v>
          </cell>
          <cell r="AK120">
            <v>105</v>
          </cell>
          <cell r="AL120">
            <v>230</v>
          </cell>
          <cell r="AM120">
            <v>0</v>
          </cell>
          <cell r="AN120">
            <v>0</v>
          </cell>
          <cell r="AO120">
            <v>390</v>
          </cell>
          <cell r="AP120">
            <v>135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580</v>
          </cell>
          <cell r="AX120">
            <v>300</v>
          </cell>
          <cell r="AY120">
            <v>0</v>
          </cell>
          <cell r="AZ120">
            <v>0</v>
          </cell>
          <cell r="BA120">
            <v>1051910</v>
          </cell>
          <cell r="BB120">
            <v>0</v>
          </cell>
          <cell r="BC120">
            <v>1051910</v>
          </cell>
        </row>
        <row r="121">
          <cell r="C121" t="str">
            <v>NBL SOL-CAPSULE</v>
          </cell>
          <cell r="D121">
            <v>60480</v>
          </cell>
          <cell r="E121">
            <v>52830</v>
          </cell>
          <cell r="F121">
            <v>1720</v>
          </cell>
          <cell r="G121">
            <v>0</v>
          </cell>
          <cell r="H121">
            <v>1720</v>
          </cell>
          <cell r="I121">
            <v>0</v>
          </cell>
          <cell r="J121">
            <v>5930</v>
          </cell>
          <cell r="K121">
            <v>1135</v>
          </cell>
          <cell r="L121">
            <v>525</v>
          </cell>
          <cell r="M121">
            <v>490</v>
          </cell>
          <cell r="N121">
            <v>0</v>
          </cell>
          <cell r="O121">
            <v>0</v>
          </cell>
          <cell r="P121">
            <v>35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1135</v>
          </cell>
          <cell r="X121">
            <v>530</v>
          </cell>
          <cell r="Y121">
            <v>515</v>
          </cell>
          <cell r="Z121">
            <v>35</v>
          </cell>
          <cell r="AA121">
            <v>0</v>
          </cell>
          <cell r="AB121">
            <v>55</v>
          </cell>
          <cell r="AC121">
            <v>2040</v>
          </cell>
          <cell r="AD121">
            <v>0</v>
          </cell>
          <cell r="AE121">
            <v>2040</v>
          </cell>
          <cell r="AF121">
            <v>1095</v>
          </cell>
          <cell r="AG121">
            <v>0</v>
          </cell>
          <cell r="AH121">
            <v>0</v>
          </cell>
          <cell r="AI121">
            <v>195</v>
          </cell>
          <cell r="AJ121">
            <v>0</v>
          </cell>
          <cell r="AK121">
            <v>90</v>
          </cell>
          <cell r="AL121">
            <v>40</v>
          </cell>
          <cell r="AM121">
            <v>0</v>
          </cell>
          <cell r="AN121">
            <v>0</v>
          </cell>
          <cell r="AO121">
            <v>470</v>
          </cell>
          <cell r="AP121">
            <v>55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245</v>
          </cell>
          <cell r="AX121">
            <v>0</v>
          </cell>
          <cell r="AY121">
            <v>0</v>
          </cell>
          <cell r="AZ121">
            <v>0</v>
          </cell>
          <cell r="BA121">
            <v>420138</v>
          </cell>
          <cell r="BB121">
            <v>0</v>
          </cell>
          <cell r="BC121">
            <v>420138</v>
          </cell>
        </row>
        <row r="122">
          <cell r="C122" t="str">
            <v>KAP101</v>
          </cell>
          <cell r="D122">
            <v>30240</v>
          </cell>
          <cell r="E122">
            <v>25140</v>
          </cell>
          <cell r="F122">
            <v>525</v>
          </cell>
          <cell r="G122">
            <v>0</v>
          </cell>
          <cell r="H122">
            <v>525</v>
          </cell>
          <cell r="I122">
            <v>0</v>
          </cell>
          <cell r="J122">
            <v>4575</v>
          </cell>
          <cell r="K122">
            <v>985</v>
          </cell>
          <cell r="L122">
            <v>445</v>
          </cell>
          <cell r="M122">
            <v>410</v>
          </cell>
          <cell r="N122">
            <v>0</v>
          </cell>
          <cell r="O122">
            <v>0</v>
          </cell>
          <cell r="P122">
            <v>35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1005</v>
          </cell>
          <cell r="X122">
            <v>480</v>
          </cell>
          <cell r="Y122">
            <v>435</v>
          </cell>
          <cell r="Z122">
            <v>35</v>
          </cell>
          <cell r="AA122">
            <v>0</v>
          </cell>
          <cell r="AB122">
            <v>55</v>
          </cell>
          <cell r="AC122">
            <v>1530</v>
          </cell>
          <cell r="AD122">
            <v>0</v>
          </cell>
          <cell r="AE122">
            <v>1530</v>
          </cell>
          <cell r="AF122">
            <v>610</v>
          </cell>
          <cell r="AG122">
            <v>0</v>
          </cell>
          <cell r="AH122">
            <v>0</v>
          </cell>
          <cell r="AI122">
            <v>165</v>
          </cell>
          <cell r="AJ122">
            <v>0</v>
          </cell>
          <cell r="AK122">
            <v>75</v>
          </cell>
          <cell r="AL122">
            <v>40</v>
          </cell>
          <cell r="AM122">
            <v>0</v>
          </cell>
          <cell r="AN122">
            <v>0</v>
          </cell>
          <cell r="AO122">
            <v>30</v>
          </cell>
          <cell r="AP122">
            <v>55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245</v>
          </cell>
          <cell r="AX122">
            <v>0</v>
          </cell>
          <cell r="AY122">
            <v>0</v>
          </cell>
          <cell r="AZ122">
            <v>0</v>
          </cell>
          <cell r="BA122">
            <v>232442</v>
          </cell>
          <cell r="BB122">
            <v>0</v>
          </cell>
          <cell r="BC122">
            <v>232442</v>
          </cell>
        </row>
        <row r="123">
          <cell r="C123" t="str">
            <v>KAP103</v>
          </cell>
          <cell r="D123">
            <v>30240</v>
          </cell>
          <cell r="E123">
            <v>27690</v>
          </cell>
          <cell r="F123">
            <v>1195</v>
          </cell>
          <cell r="G123">
            <v>0</v>
          </cell>
          <cell r="H123">
            <v>1195</v>
          </cell>
          <cell r="I123">
            <v>0</v>
          </cell>
          <cell r="J123">
            <v>1355</v>
          </cell>
          <cell r="K123">
            <v>150</v>
          </cell>
          <cell r="L123">
            <v>80</v>
          </cell>
          <cell r="M123">
            <v>80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130</v>
          </cell>
          <cell r="X123">
            <v>50</v>
          </cell>
          <cell r="Y123">
            <v>80</v>
          </cell>
          <cell r="Z123">
            <v>0</v>
          </cell>
          <cell r="AA123">
            <v>0</v>
          </cell>
          <cell r="AB123">
            <v>0</v>
          </cell>
          <cell r="AC123">
            <v>510</v>
          </cell>
          <cell r="AD123">
            <v>0</v>
          </cell>
          <cell r="AE123">
            <v>510</v>
          </cell>
          <cell r="AF123">
            <v>485</v>
          </cell>
          <cell r="AG123">
            <v>0</v>
          </cell>
          <cell r="AH123">
            <v>0</v>
          </cell>
          <cell r="AI123">
            <v>30</v>
          </cell>
          <cell r="AJ123">
            <v>0</v>
          </cell>
          <cell r="AK123">
            <v>15</v>
          </cell>
          <cell r="AL123">
            <v>0</v>
          </cell>
          <cell r="AM123">
            <v>0</v>
          </cell>
          <cell r="AN123">
            <v>0</v>
          </cell>
          <cell r="AO123">
            <v>440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187696</v>
          </cell>
          <cell r="BB123">
            <v>0</v>
          </cell>
          <cell r="BC123">
            <v>187696</v>
          </cell>
        </row>
        <row r="124">
          <cell r="C124" t="str">
            <v>NBL SOL-STRIPPING</v>
          </cell>
          <cell r="D124">
            <v>151200</v>
          </cell>
          <cell r="E124">
            <v>93750</v>
          </cell>
          <cell r="F124">
            <v>2130</v>
          </cell>
          <cell r="G124">
            <v>30</v>
          </cell>
          <cell r="H124">
            <v>2100</v>
          </cell>
          <cell r="I124">
            <v>0</v>
          </cell>
          <cell r="J124">
            <v>55320</v>
          </cell>
          <cell r="K124">
            <v>22980</v>
          </cell>
          <cell r="L124">
            <v>7890</v>
          </cell>
          <cell r="M124">
            <v>4240</v>
          </cell>
          <cell r="N124">
            <v>0</v>
          </cell>
          <cell r="O124">
            <v>3650</v>
          </cell>
          <cell r="P124">
            <v>0</v>
          </cell>
          <cell r="Q124">
            <v>925</v>
          </cell>
          <cell r="R124">
            <v>690</v>
          </cell>
          <cell r="S124">
            <v>195</v>
          </cell>
          <cell r="T124">
            <v>0</v>
          </cell>
          <cell r="U124">
            <v>40</v>
          </cell>
          <cell r="V124">
            <v>0</v>
          </cell>
          <cell r="W124">
            <v>9740</v>
          </cell>
          <cell r="X124">
            <v>5085</v>
          </cell>
          <cell r="Y124">
            <v>1945</v>
          </cell>
          <cell r="Z124">
            <v>1880</v>
          </cell>
          <cell r="AA124">
            <v>0</v>
          </cell>
          <cell r="AB124">
            <v>830</v>
          </cell>
          <cell r="AC124">
            <v>2955</v>
          </cell>
          <cell r="AD124">
            <v>0</v>
          </cell>
          <cell r="AE124">
            <v>2955</v>
          </cell>
          <cell r="AF124">
            <v>10830</v>
          </cell>
          <cell r="AG124">
            <v>0</v>
          </cell>
          <cell r="AH124">
            <v>0</v>
          </cell>
          <cell r="AI124">
            <v>3315</v>
          </cell>
          <cell r="AJ124">
            <v>0</v>
          </cell>
          <cell r="AK124">
            <v>2800</v>
          </cell>
          <cell r="AL124">
            <v>405</v>
          </cell>
          <cell r="AM124">
            <v>0</v>
          </cell>
          <cell r="AN124">
            <v>0</v>
          </cell>
          <cell r="AO124">
            <v>25</v>
          </cell>
          <cell r="AP124">
            <v>1980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2170</v>
          </cell>
          <cell r="AX124">
            <v>135</v>
          </cell>
          <cell r="AY124">
            <v>0</v>
          </cell>
          <cell r="AZ124">
            <v>0</v>
          </cell>
          <cell r="BA124">
            <v>14109279</v>
          </cell>
          <cell r="BB124">
            <v>55762</v>
          </cell>
          <cell r="BC124">
            <v>14053517</v>
          </cell>
        </row>
        <row r="125">
          <cell r="C125" t="str">
            <v>STR105</v>
          </cell>
          <cell r="D125">
            <v>30240</v>
          </cell>
          <cell r="E125">
            <v>19530</v>
          </cell>
          <cell r="F125">
            <v>1120</v>
          </cell>
          <cell r="G125">
            <v>0</v>
          </cell>
          <cell r="H125">
            <v>1120</v>
          </cell>
          <cell r="I125">
            <v>0</v>
          </cell>
          <cell r="J125">
            <v>9590</v>
          </cell>
          <cell r="K125">
            <v>3515</v>
          </cell>
          <cell r="L125">
            <v>1185</v>
          </cell>
          <cell r="M125">
            <v>690</v>
          </cell>
          <cell r="N125">
            <v>0</v>
          </cell>
          <cell r="O125">
            <v>495</v>
          </cell>
          <cell r="P125">
            <v>0</v>
          </cell>
          <cell r="Q125">
            <v>50</v>
          </cell>
          <cell r="R125">
            <v>35</v>
          </cell>
          <cell r="S125">
            <v>15</v>
          </cell>
          <cell r="T125">
            <v>0</v>
          </cell>
          <cell r="U125">
            <v>0</v>
          </cell>
          <cell r="V125">
            <v>0</v>
          </cell>
          <cell r="W125">
            <v>1305</v>
          </cell>
          <cell r="X125">
            <v>690</v>
          </cell>
          <cell r="Y125">
            <v>210</v>
          </cell>
          <cell r="Z125">
            <v>295</v>
          </cell>
          <cell r="AA125">
            <v>0</v>
          </cell>
          <cell r="AB125">
            <v>110</v>
          </cell>
          <cell r="AC125">
            <v>1965</v>
          </cell>
          <cell r="AD125">
            <v>0</v>
          </cell>
          <cell r="AE125">
            <v>1965</v>
          </cell>
          <cell r="AF125">
            <v>1570</v>
          </cell>
          <cell r="AG125">
            <v>0</v>
          </cell>
          <cell r="AH125">
            <v>0</v>
          </cell>
          <cell r="AI125">
            <v>450</v>
          </cell>
          <cell r="AJ125">
            <v>0</v>
          </cell>
          <cell r="AK125">
            <v>385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375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360</v>
          </cell>
          <cell r="AX125">
            <v>0</v>
          </cell>
          <cell r="AY125">
            <v>0</v>
          </cell>
          <cell r="AZ125">
            <v>0</v>
          </cell>
          <cell r="BA125">
            <v>1203945</v>
          </cell>
          <cell r="BB125">
            <v>7425</v>
          </cell>
          <cell r="BC125">
            <v>1196520</v>
          </cell>
        </row>
        <row r="126">
          <cell r="C126" t="str">
            <v>STR102</v>
          </cell>
          <cell r="D126">
            <v>30240</v>
          </cell>
          <cell r="E126">
            <v>16650</v>
          </cell>
          <cell r="F126">
            <v>390</v>
          </cell>
          <cell r="G126">
            <v>0</v>
          </cell>
          <cell r="H126">
            <v>390</v>
          </cell>
          <cell r="I126">
            <v>0</v>
          </cell>
          <cell r="J126">
            <v>13200</v>
          </cell>
          <cell r="K126">
            <v>4875</v>
          </cell>
          <cell r="L126">
            <v>1790</v>
          </cell>
          <cell r="M126">
            <v>1135</v>
          </cell>
          <cell r="N126">
            <v>0</v>
          </cell>
          <cell r="O126">
            <v>655</v>
          </cell>
          <cell r="P126">
            <v>0</v>
          </cell>
          <cell r="Q126">
            <v>110</v>
          </cell>
          <cell r="R126">
            <v>110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2865</v>
          </cell>
          <cell r="X126">
            <v>1330</v>
          </cell>
          <cell r="Y126">
            <v>830</v>
          </cell>
          <cell r="Z126">
            <v>495</v>
          </cell>
          <cell r="AA126">
            <v>0</v>
          </cell>
          <cell r="AB126">
            <v>210</v>
          </cell>
          <cell r="AC126">
            <v>510</v>
          </cell>
          <cell r="AD126">
            <v>0</v>
          </cell>
          <cell r="AE126">
            <v>510</v>
          </cell>
          <cell r="AF126">
            <v>3050</v>
          </cell>
          <cell r="AG126">
            <v>0</v>
          </cell>
          <cell r="AH126">
            <v>0</v>
          </cell>
          <cell r="AI126">
            <v>795</v>
          </cell>
          <cell r="AJ126">
            <v>0</v>
          </cell>
          <cell r="AK126">
            <v>610</v>
          </cell>
          <cell r="AL126">
            <v>405</v>
          </cell>
          <cell r="AM126">
            <v>0</v>
          </cell>
          <cell r="AN126">
            <v>0</v>
          </cell>
          <cell r="AO126">
            <v>0</v>
          </cell>
          <cell r="AP126">
            <v>530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710</v>
          </cell>
          <cell r="AX126">
            <v>0</v>
          </cell>
          <cell r="AY126">
            <v>0</v>
          </cell>
          <cell r="AZ126">
            <v>0</v>
          </cell>
          <cell r="BA126">
            <v>5462048</v>
          </cell>
          <cell r="BB126">
            <v>22488</v>
          </cell>
          <cell r="BC126">
            <v>5439560</v>
          </cell>
        </row>
        <row r="127">
          <cell r="C127" t="str">
            <v>STR104</v>
          </cell>
          <cell r="D127">
            <v>30240</v>
          </cell>
          <cell r="E127">
            <v>23730</v>
          </cell>
          <cell r="F127">
            <v>300</v>
          </cell>
          <cell r="G127">
            <v>0</v>
          </cell>
          <cell r="H127">
            <v>300</v>
          </cell>
          <cell r="I127">
            <v>0</v>
          </cell>
          <cell r="J127">
            <v>6210</v>
          </cell>
          <cell r="K127">
            <v>3790</v>
          </cell>
          <cell r="L127">
            <v>150</v>
          </cell>
          <cell r="M127">
            <v>150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1250</v>
          </cell>
          <cell r="X127">
            <v>715</v>
          </cell>
          <cell r="Y127">
            <v>210</v>
          </cell>
          <cell r="Z127">
            <v>235</v>
          </cell>
          <cell r="AA127">
            <v>0</v>
          </cell>
          <cell r="AB127">
            <v>90</v>
          </cell>
          <cell r="AC127">
            <v>0</v>
          </cell>
          <cell r="AD127">
            <v>0</v>
          </cell>
          <cell r="AE127">
            <v>0</v>
          </cell>
          <cell r="AF127">
            <v>1020</v>
          </cell>
          <cell r="AG127">
            <v>0</v>
          </cell>
          <cell r="AH127">
            <v>0</v>
          </cell>
          <cell r="AI127">
            <v>390</v>
          </cell>
          <cell r="AJ127">
            <v>0</v>
          </cell>
          <cell r="AK127">
            <v>300</v>
          </cell>
          <cell r="AL127">
            <v>0</v>
          </cell>
          <cell r="AM127">
            <v>0</v>
          </cell>
          <cell r="AN127">
            <v>0</v>
          </cell>
          <cell r="AO127">
            <v>25</v>
          </cell>
          <cell r="AP127">
            <v>210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95</v>
          </cell>
          <cell r="AX127">
            <v>0</v>
          </cell>
          <cell r="AY127">
            <v>0</v>
          </cell>
          <cell r="AZ127">
            <v>0</v>
          </cell>
          <cell r="BA127">
            <v>24793</v>
          </cell>
          <cell r="BB127">
            <v>128</v>
          </cell>
          <cell r="BC127">
            <v>24665</v>
          </cell>
        </row>
        <row r="128">
          <cell r="C128" t="str">
            <v>STR103</v>
          </cell>
          <cell r="D128">
            <v>30240</v>
          </cell>
          <cell r="E128">
            <v>21420</v>
          </cell>
          <cell r="F128">
            <v>230</v>
          </cell>
          <cell r="G128">
            <v>30</v>
          </cell>
          <cell r="H128">
            <v>200</v>
          </cell>
          <cell r="I128">
            <v>0</v>
          </cell>
          <cell r="J128">
            <v>8590</v>
          </cell>
          <cell r="K128">
            <v>3090</v>
          </cell>
          <cell r="L128">
            <v>1800</v>
          </cell>
          <cell r="M128">
            <v>940</v>
          </cell>
          <cell r="N128">
            <v>0</v>
          </cell>
          <cell r="O128">
            <v>860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1580</v>
          </cell>
          <cell r="X128">
            <v>1035</v>
          </cell>
          <cell r="Y128">
            <v>190</v>
          </cell>
          <cell r="Z128">
            <v>250</v>
          </cell>
          <cell r="AA128">
            <v>0</v>
          </cell>
          <cell r="AB128">
            <v>105</v>
          </cell>
          <cell r="AC128">
            <v>480</v>
          </cell>
          <cell r="AD128">
            <v>0</v>
          </cell>
          <cell r="AE128">
            <v>480</v>
          </cell>
          <cell r="AF128">
            <v>1640</v>
          </cell>
          <cell r="AG128">
            <v>0</v>
          </cell>
          <cell r="AH128">
            <v>0</v>
          </cell>
          <cell r="AI128">
            <v>540</v>
          </cell>
          <cell r="AJ128">
            <v>0</v>
          </cell>
          <cell r="AK128">
            <v>485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255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360</v>
          </cell>
          <cell r="AX128">
            <v>0</v>
          </cell>
          <cell r="AY128">
            <v>0</v>
          </cell>
          <cell r="AZ128">
            <v>0</v>
          </cell>
          <cell r="BA128">
            <v>1419018</v>
          </cell>
          <cell r="BB128">
            <v>9128</v>
          </cell>
          <cell r="BC128">
            <v>1409890</v>
          </cell>
        </row>
        <row r="129">
          <cell r="C129" t="str">
            <v>STR101</v>
          </cell>
          <cell r="D129">
            <v>30240</v>
          </cell>
          <cell r="E129">
            <v>12420</v>
          </cell>
          <cell r="F129">
            <v>90</v>
          </cell>
          <cell r="G129">
            <v>0</v>
          </cell>
          <cell r="H129">
            <v>90</v>
          </cell>
          <cell r="I129">
            <v>0</v>
          </cell>
          <cell r="J129">
            <v>17730</v>
          </cell>
          <cell r="K129">
            <v>7710</v>
          </cell>
          <cell r="L129">
            <v>2965</v>
          </cell>
          <cell r="M129">
            <v>1325</v>
          </cell>
          <cell r="N129">
            <v>0</v>
          </cell>
          <cell r="O129">
            <v>1640</v>
          </cell>
          <cell r="P129">
            <v>0</v>
          </cell>
          <cell r="Q129">
            <v>765</v>
          </cell>
          <cell r="R129">
            <v>545</v>
          </cell>
          <cell r="S129">
            <v>180</v>
          </cell>
          <cell r="T129">
            <v>0</v>
          </cell>
          <cell r="U129">
            <v>40</v>
          </cell>
          <cell r="V129">
            <v>0</v>
          </cell>
          <cell r="W129">
            <v>2740</v>
          </cell>
          <cell r="X129">
            <v>1315</v>
          </cell>
          <cell r="Y129">
            <v>505</v>
          </cell>
          <cell r="Z129">
            <v>605</v>
          </cell>
          <cell r="AA129">
            <v>0</v>
          </cell>
          <cell r="AB129">
            <v>315</v>
          </cell>
          <cell r="AC129">
            <v>0</v>
          </cell>
          <cell r="AD129">
            <v>0</v>
          </cell>
          <cell r="AE129">
            <v>0</v>
          </cell>
          <cell r="AF129">
            <v>3550</v>
          </cell>
          <cell r="AG129">
            <v>0</v>
          </cell>
          <cell r="AH129">
            <v>0</v>
          </cell>
          <cell r="AI129">
            <v>1140</v>
          </cell>
          <cell r="AJ129">
            <v>0</v>
          </cell>
          <cell r="AK129">
            <v>1020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610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645</v>
          </cell>
          <cell r="AX129">
            <v>135</v>
          </cell>
          <cell r="AY129">
            <v>0</v>
          </cell>
          <cell r="AZ129">
            <v>0</v>
          </cell>
          <cell r="BA129">
            <v>5999475</v>
          </cell>
          <cell r="BB129">
            <v>16593</v>
          </cell>
          <cell r="BC129">
            <v>5982882</v>
          </cell>
        </row>
        <row r="130">
          <cell r="C130" t="str">
            <v>NBL SYR-MIXING</v>
          </cell>
          <cell r="D130">
            <v>30240</v>
          </cell>
          <cell r="E130">
            <v>24120</v>
          </cell>
          <cell r="F130">
            <v>545</v>
          </cell>
          <cell r="G130">
            <v>54</v>
          </cell>
          <cell r="H130">
            <v>491</v>
          </cell>
          <cell r="I130">
            <v>0</v>
          </cell>
          <cell r="J130">
            <v>5575</v>
          </cell>
          <cell r="K130">
            <v>2215</v>
          </cell>
          <cell r="L130">
            <v>226</v>
          </cell>
          <cell r="M130">
            <v>226</v>
          </cell>
          <cell r="N130">
            <v>0</v>
          </cell>
          <cell r="O130">
            <v>0</v>
          </cell>
          <cell r="P130">
            <v>0</v>
          </cell>
          <cell r="Q130">
            <v>55</v>
          </cell>
          <cell r="R130">
            <v>55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2167</v>
          </cell>
          <cell r="X130">
            <v>185</v>
          </cell>
          <cell r="Y130">
            <v>1742</v>
          </cell>
          <cell r="Z130">
            <v>0</v>
          </cell>
          <cell r="AA130">
            <v>0</v>
          </cell>
          <cell r="AB130">
            <v>240</v>
          </cell>
          <cell r="AC130">
            <v>0</v>
          </cell>
          <cell r="AD130">
            <v>0</v>
          </cell>
          <cell r="AE130">
            <v>0</v>
          </cell>
          <cell r="AF130">
            <v>912</v>
          </cell>
          <cell r="AG130">
            <v>155</v>
          </cell>
          <cell r="AH130">
            <v>0</v>
          </cell>
          <cell r="AI130">
            <v>203</v>
          </cell>
          <cell r="AJ130">
            <v>0</v>
          </cell>
          <cell r="AK130">
            <v>100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17</v>
          </cell>
          <cell r="AX130">
            <v>392</v>
          </cell>
          <cell r="AY130">
            <v>0</v>
          </cell>
          <cell r="AZ130">
            <v>45</v>
          </cell>
          <cell r="BA130">
            <v>10230</v>
          </cell>
          <cell r="BB130">
            <v>2.85</v>
          </cell>
          <cell r="BC130">
            <v>10227.15</v>
          </cell>
        </row>
        <row r="131">
          <cell r="C131" t="str">
            <v>LMIXSYR1</v>
          </cell>
          <cell r="D131">
            <v>30240</v>
          </cell>
          <cell r="E131">
            <v>24120</v>
          </cell>
          <cell r="F131">
            <v>545</v>
          </cell>
          <cell r="G131">
            <v>54</v>
          </cell>
          <cell r="H131">
            <v>491</v>
          </cell>
          <cell r="I131">
            <v>0</v>
          </cell>
          <cell r="J131">
            <v>5575</v>
          </cell>
          <cell r="K131">
            <v>2215</v>
          </cell>
          <cell r="L131">
            <v>226</v>
          </cell>
          <cell r="M131">
            <v>226</v>
          </cell>
          <cell r="N131">
            <v>0</v>
          </cell>
          <cell r="O131">
            <v>0</v>
          </cell>
          <cell r="P131">
            <v>0</v>
          </cell>
          <cell r="Q131">
            <v>55</v>
          </cell>
          <cell r="R131">
            <v>55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2167</v>
          </cell>
          <cell r="X131">
            <v>185</v>
          </cell>
          <cell r="Y131">
            <v>1742</v>
          </cell>
          <cell r="Z131">
            <v>0</v>
          </cell>
          <cell r="AA131">
            <v>0</v>
          </cell>
          <cell r="AB131">
            <v>240</v>
          </cell>
          <cell r="AC131">
            <v>0</v>
          </cell>
          <cell r="AD131">
            <v>0</v>
          </cell>
          <cell r="AE131">
            <v>0</v>
          </cell>
          <cell r="AF131">
            <v>912</v>
          </cell>
          <cell r="AG131">
            <v>155</v>
          </cell>
          <cell r="AH131">
            <v>0</v>
          </cell>
          <cell r="AI131">
            <v>203</v>
          </cell>
          <cell r="AJ131">
            <v>0</v>
          </cell>
          <cell r="AK131">
            <v>100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17</v>
          </cell>
          <cell r="AX131">
            <v>392</v>
          </cell>
          <cell r="AY131">
            <v>0</v>
          </cell>
          <cell r="AZ131">
            <v>45</v>
          </cell>
          <cell r="BA131">
            <v>10230</v>
          </cell>
          <cell r="BB131">
            <v>2.85</v>
          </cell>
          <cell r="BC131">
            <v>10227.15</v>
          </cell>
        </row>
        <row r="132">
          <cell r="C132" t="str">
            <v>NBL SYR-FILLING</v>
          </cell>
          <cell r="D132">
            <v>60480</v>
          </cell>
          <cell r="E132">
            <v>50280</v>
          </cell>
          <cell r="F132">
            <v>1245</v>
          </cell>
          <cell r="G132">
            <v>30</v>
          </cell>
          <cell r="H132">
            <v>1215</v>
          </cell>
          <cell r="I132">
            <v>0</v>
          </cell>
          <cell r="J132">
            <v>8955</v>
          </cell>
          <cell r="K132">
            <v>3090</v>
          </cell>
          <cell r="L132">
            <v>785</v>
          </cell>
          <cell r="M132">
            <v>460</v>
          </cell>
          <cell r="N132">
            <v>0</v>
          </cell>
          <cell r="O132">
            <v>170</v>
          </cell>
          <cell r="P132">
            <v>155</v>
          </cell>
          <cell r="Q132">
            <v>95</v>
          </cell>
          <cell r="R132">
            <v>95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2675</v>
          </cell>
          <cell r="X132">
            <v>215</v>
          </cell>
          <cell r="Y132">
            <v>1685</v>
          </cell>
          <cell r="Z132">
            <v>0</v>
          </cell>
          <cell r="AA132">
            <v>0</v>
          </cell>
          <cell r="AB132">
            <v>775</v>
          </cell>
          <cell r="AC132">
            <v>0</v>
          </cell>
          <cell r="AD132">
            <v>0</v>
          </cell>
          <cell r="AE132">
            <v>0</v>
          </cell>
          <cell r="AF132">
            <v>2310</v>
          </cell>
          <cell r="AG132">
            <v>45</v>
          </cell>
          <cell r="AH132">
            <v>0</v>
          </cell>
          <cell r="AI132">
            <v>390</v>
          </cell>
          <cell r="AJ132">
            <v>90</v>
          </cell>
          <cell r="AK132">
            <v>225</v>
          </cell>
          <cell r="AL132">
            <v>0</v>
          </cell>
          <cell r="AM132">
            <v>0</v>
          </cell>
          <cell r="AN132">
            <v>0</v>
          </cell>
          <cell r="AO132">
            <v>1545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15</v>
          </cell>
          <cell r="AX132">
            <v>0</v>
          </cell>
          <cell r="AY132">
            <v>0</v>
          </cell>
          <cell r="AZ132">
            <v>0</v>
          </cell>
          <cell r="BA132">
            <v>165608</v>
          </cell>
          <cell r="BB132">
            <v>318</v>
          </cell>
          <cell r="BC132">
            <v>165290</v>
          </cell>
        </row>
        <row r="133">
          <cell r="C133" t="str">
            <v>SYR109</v>
          </cell>
          <cell r="D133">
            <v>30240</v>
          </cell>
          <cell r="E133">
            <v>21060</v>
          </cell>
          <cell r="F133">
            <v>930</v>
          </cell>
          <cell r="G133">
            <v>30</v>
          </cell>
          <cell r="H133">
            <v>900</v>
          </cell>
          <cell r="I133">
            <v>0</v>
          </cell>
          <cell r="J133">
            <v>8250</v>
          </cell>
          <cell r="K133">
            <v>2695</v>
          </cell>
          <cell r="L133">
            <v>785</v>
          </cell>
          <cell r="M133">
            <v>460</v>
          </cell>
          <cell r="N133">
            <v>0</v>
          </cell>
          <cell r="O133">
            <v>170</v>
          </cell>
          <cell r="P133">
            <v>155</v>
          </cell>
          <cell r="Q133">
            <v>30</v>
          </cell>
          <cell r="R133">
            <v>30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2475</v>
          </cell>
          <cell r="X133">
            <v>195</v>
          </cell>
          <cell r="Y133">
            <v>1580</v>
          </cell>
          <cell r="Z133">
            <v>0</v>
          </cell>
          <cell r="AA133">
            <v>0</v>
          </cell>
          <cell r="AB133">
            <v>700</v>
          </cell>
          <cell r="AC133">
            <v>0</v>
          </cell>
          <cell r="AD133">
            <v>0</v>
          </cell>
          <cell r="AE133">
            <v>0</v>
          </cell>
          <cell r="AF133">
            <v>2265</v>
          </cell>
          <cell r="AG133">
            <v>45</v>
          </cell>
          <cell r="AH133">
            <v>0</v>
          </cell>
          <cell r="AI133">
            <v>360</v>
          </cell>
          <cell r="AJ133">
            <v>90</v>
          </cell>
          <cell r="AK133">
            <v>210</v>
          </cell>
          <cell r="AL133">
            <v>0</v>
          </cell>
          <cell r="AM133">
            <v>0</v>
          </cell>
          <cell r="AN133">
            <v>0</v>
          </cell>
          <cell r="AO133">
            <v>1545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15</v>
          </cell>
          <cell r="AX133">
            <v>0</v>
          </cell>
          <cell r="AY133">
            <v>0</v>
          </cell>
          <cell r="AZ133">
            <v>0</v>
          </cell>
          <cell r="BA133">
            <v>143145</v>
          </cell>
          <cell r="BB133">
            <v>288</v>
          </cell>
          <cell r="BC133">
            <v>142857</v>
          </cell>
        </row>
        <row r="134">
          <cell r="C134" t="str">
            <v>SYR110</v>
          </cell>
          <cell r="D134">
            <v>30240</v>
          </cell>
          <cell r="E134">
            <v>29220</v>
          </cell>
          <cell r="F134">
            <v>315</v>
          </cell>
          <cell r="G134">
            <v>0</v>
          </cell>
          <cell r="H134">
            <v>315</v>
          </cell>
          <cell r="I134">
            <v>0</v>
          </cell>
          <cell r="J134">
            <v>705</v>
          </cell>
          <cell r="K134">
            <v>395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65</v>
          </cell>
          <cell r="R134">
            <v>65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200</v>
          </cell>
          <cell r="X134">
            <v>20</v>
          </cell>
          <cell r="Y134">
            <v>105</v>
          </cell>
          <cell r="Z134">
            <v>0</v>
          </cell>
          <cell r="AA134">
            <v>0</v>
          </cell>
          <cell r="AB134">
            <v>75</v>
          </cell>
          <cell r="AC134">
            <v>0</v>
          </cell>
          <cell r="AD134">
            <v>0</v>
          </cell>
          <cell r="AE134">
            <v>0</v>
          </cell>
          <cell r="AF134">
            <v>45</v>
          </cell>
          <cell r="AG134">
            <v>0</v>
          </cell>
          <cell r="AH134">
            <v>0</v>
          </cell>
          <cell r="AI134">
            <v>30</v>
          </cell>
          <cell r="AJ134">
            <v>0</v>
          </cell>
          <cell r="AK134">
            <v>15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22463</v>
          </cell>
          <cell r="BB134">
            <v>30</v>
          </cell>
          <cell r="BC134">
            <v>22433</v>
          </cell>
        </row>
        <row r="135">
          <cell r="C135" t="str">
            <v>NBL INJ-MIXING</v>
          </cell>
          <cell r="D135">
            <v>30240</v>
          </cell>
          <cell r="E135">
            <v>23010</v>
          </cell>
          <cell r="F135">
            <v>240</v>
          </cell>
          <cell r="G135">
            <v>30</v>
          </cell>
          <cell r="H135">
            <v>210</v>
          </cell>
          <cell r="I135">
            <v>0</v>
          </cell>
          <cell r="J135">
            <v>6990</v>
          </cell>
          <cell r="K135">
            <v>1824</v>
          </cell>
          <cell r="L135">
            <v>208</v>
          </cell>
          <cell r="M135">
            <v>208</v>
          </cell>
          <cell r="N135">
            <v>0</v>
          </cell>
          <cell r="O135">
            <v>0</v>
          </cell>
          <cell r="P135">
            <v>0</v>
          </cell>
          <cell r="Q135">
            <v>180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180</v>
          </cell>
          <cell r="W135">
            <v>2608</v>
          </cell>
          <cell r="X135">
            <v>383</v>
          </cell>
          <cell r="Y135">
            <v>2018</v>
          </cell>
          <cell r="Z135">
            <v>0</v>
          </cell>
          <cell r="AA135">
            <v>207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2170</v>
          </cell>
          <cell r="AG135">
            <v>0</v>
          </cell>
          <cell r="AH135">
            <v>280</v>
          </cell>
          <cell r="AI135">
            <v>400</v>
          </cell>
          <cell r="AJ135">
            <v>0</v>
          </cell>
          <cell r="AK135">
            <v>385</v>
          </cell>
          <cell r="AL135">
            <v>0</v>
          </cell>
          <cell r="AM135">
            <v>0</v>
          </cell>
          <cell r="AN135">
            <v>0</v>
          </cell>
          <cell r="AO135">
            <v>22</v>
          </cell>
          <cell r="AP135">
            <v>10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883</v>
          </cell>
          <cell r="AX135">
            <v>190</v>
          </cell>
          <cell r="AY135">
            <v>0</v>
          </cell>
          <cell r="AZ135">
            <v>0</v>
          </cell>
          <cell r="BA135">
            <v>1110</v>
          </cell>
          <cell r="BB135">
            <v>0</v>
          </cell>
          <cell r="BC135">
            <v>1110</v>
          </cell>
        </row>
        <row r="136">
          <cell r="C136" t="str">
            <v>LMIXINJ1</v>
          </cell>
          <cell r="D136">
            <v>30240</v>
          </cell>
          <cell r="E136">
            <v>23010</v>
          </cell>
          <cell r="F136">
            <v>240</v>
          </cell>
          <cell r="G136">
            <v>30</v>
          </cell>
          <cell r="H136">
            <v>210</v>
          </cell>
          <cell r="I136">
            <v>0</v>
          </cell>
          <cell r="J136">
            <v>6990</v>
          </cell>
          <cell r="K136">
            <v>1824</v>
          </cell>
          <cell r="L136">
            <v>208</v>
          </cell>
          <cell r="M136">
            <v>208</v>
          </cell>
          <cell r="N136">
            <v>0</v>
          </cell>
          <cell r="O136">
            <v>0</v>
          </cell>
          <cell r="P136">
            <v>0</v>
          </cell>
          <cell r="Q136">
            <v>180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180</v>
          </cell>
          <cell r="W136">
            <v>2608</v>
          </cell>
          <cell r="X136">
            <v>383</v>
          </cell>
          <cell r="Y136">
            <v>2018</v>
          </cell>
          <cell r="Z136">
            <v>0</v>
          </cell>
          <cell r="AA136">
            <v>207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2170</v>
          </cell>
          <cell r="AG136">
            <v>0</v>
          </cell>
          <cell r="AH136">
            <v>280</v>
          </cell>
          <cell r="AI136">
            <v>400</v>
          </cell>
          <cell r="AJ136">
            <v>0</v>
          </cell>
          <cell r="AK136">
            <v>385</v>
          </cell>
          <cell r="AL136">
            <v>0</v>
          </cell>
          <cell r="AM136">
            <v>0</v>
          </cell>
          <cell r="AN136">
            <v>0</v>
          </cell>
          <cell r="AO136">
            <v>22</v>
          </cell>
          <cell r="AP136">
            <v>10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883</v>
          </cell>
          <cell r="AX136">
            <v>190</v>
          </cell>
          <cell r="AY136">
            <v>0</v>
          </cell>
          <cell r="AZ136">
            <v>0</v>
          </cell>
          <cell r="BA136">
            <v>1110</v>
          </cell>
          <cell r="BB136">
            <v>0</v>
          </cell>
          <cell r="BC136">
            <v>1110</v>
          </cell>
        </row>
        <row r="137">
          <cell r="C137" t="str">
            <v>NBL INJ-FILLING</v>
          </cell>
          <cell r="D137">
            <v>60480</v>
          </cell>
          <cell r="E137">
            <v>38730</v>
          </cell>
          <cell r="F137">
            <v>1910</v>
          </cell>
          <cell r="G137">
            <v>150</v>
          </cell>
          <cell r="H137">
            <v>1760</v>
          </cell>
          <cell r="I137">
            <v>55</v>
          </cell>
          <cell r="J137">
            <v>19785</v>
          </cell>
          <cell r="K137">
            <v>6540</v>
          </cell>
          <cell r="L137">
            <v>2223</v>
          </cell>
          <cell r="M137">
            <v>2021</v>
          </cell>
          <cell r="N137">
            <v>50</v>
          </cell>
          <cell r="O137">
            <v>146</v>
          </cell>
          <cell r="P137">
            <v>6</v>
          </cell>
          <cell r="Q137">
            <v>552</v>
          </cell>
          <cell r="R137">
            <v>34</v>
          </cell>
          <cell r="S137">
            <v>92</v>
          </cell>
          <cell r="T137">
            <v>0</v>
          </cell>
          <cell r="U137">
            <v>83</v>
          </cell>
          <cell r="V137">
            <v>343</v>
          </cell>
          <cell r="W137">
            <v>5287</v>
          </cell>
          <cell r="X137">
            <v>1015</v>
          </cell>
          <cell r="Y137">
            <v>4247</v>
          </cell>
          <cell r="Z137">
            <v>25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5183</v>
          </cell>
          <cell r="AG137">
            <v>0</v>
          </cell>
          <cell r="AH137">
            <v>0</v>
          </cell>
          <cell r="AI137">
            <v>1406</v>
          </cell>
          <cell r="AJ137">
            <v>0</v>
          </cell>
          <cell r="AK137">
            <v>1485</v>
          </cell>
          <cell r="AL137">
            <v>0</v>
          </cell>
          <cell r="AM137">
            <v>0</v>
          </cell>
          <cell r="AN137">
            <v>45</v>
          </cell>
          <cell r="AO137">
            <v>210</v>
          </cell>
          <cell r="AP137">
            <v>363</v>
          </cell>
          <cell r="AQ137">
            <v>0</v>
          </cell>
          <cell r="AR137">
            <v>0</v>
          </cell>
          <cell r="AS137">
            <v>1623</v>
          </cell>
          <cell r="AT137">
            <v>0</v>
          </cell>
          <cell r="AU137">
            <v>0</v>
          </cell>
          <cell r="AV137">
            <v>0</v>
          </cell>
          <cell r="AW137">
            <v>51</v>
          </cell>
          <cell r="AX137">
            <v>0</v>
          </cell>
          <cell r="AY137">
            <v>0</v>
          </cell>
          <cell r="AZ137">
            <v>0</v>
          </cell>
          <cell r="BA137">
            <v>681149</v>
          </cell>
          <cell r="BB137">
            <v>56</v>
          </cell>
          <cell r="BC137">
            <v>681093</v>
          </cell>
        </row>
        <row r="138">
          <cell r="C138" t="str">
            <v>GINLINE3</v>
          </cell>
          <cell r="D138">
            <v>30240</v>
          </cell>
          <cell r="E138">
            <v>19920</v>
          </cell>
          <cell r="F138">
            <v>1175</v>
          </cell>
          <cell r="G138">
            <v>90</v>
          </cell>
          <cell r="H138">
            <v>1085</v>
          </cell>
          <cell r="I138">
            <v>55</v>
          </cell>
          <cell r="J138">
            <v>9090</v>
          </cell>
          <cell r="K138">
            <v>2015</v>
          </cell>
          <cell r="L138">
            <v>1043</v>
          </cell>
          <cell r="M138">
            <v>986</v>
          </cell>
          <cell r="N138">
            <v>50</v>
          </cell>
          <cell r="O138">
            <v>1</v>
          </cell>
          <cell r="P138">
            <v>6</v>
          </cell>
          <cell r="Q138">
            <v>406</v>
          </cell>
          <cell r="R138">
            <v>0</v>
          </cell>
          <cell r="S138">
            <v>85</v>
          </cell>
          <cell r="T138">
            <v>0</v>
          </cell>
          <cell r="U138">
            <v>48</v>
          </cell>
          <cell r="V138">
            <v>273</v>
          </cell>
          <cell r="W138">
            <v>2792</v>
          </cell>
          <cell r="X138">
            <v>735</v>
          </cell>
          <cell r="Y138">
            <v>2032</v>
          </cell>
          <cell r="Z138">
            <v>25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2834</v>
          </cell>
          <cell r="AG138">
            <v>0</v>
          </cell>
          <cell r="AH138">
            <v>0</v>
          </cell>
          <cell r="AI138">
            <v>686</v>
          </cell>
          <cell r="AJ138">
            <v>0</v>
          </cell>
          <cell r="AK138">
            <v>675</v>
          </cell>
          <cell r="AL138">
            <v>0</v>
          </cell>
          <cell r="AM138">
            <v>0</v>
          </cell>
          <cell r="AN138">
            <v>0</v>
          </cell>
          <cell r="AO138">
            <v>210</v>
          </cell>
          <cell r="AP138">
            <v>243</v>
          </cell>
          <cell r="AQ138">
            <v>0</v>
          </cell>
          <cell r="AR138">
            <v>0</v>
          </cell>
          <cell r="AS138">
            <v>985</v>
          </cell>
          <cell r="AT138">
            <v>0</v>
          </cell>
          <cell r="AU138">
            <v>0</v>
          </cell>
          <cell r="AV138">
            <v>0</v>
          </cell>
          <cell r="AW138">
            <v>35</v>
          </cell>
          <cell r="AX138">
            <v>0</v>
          </cell>
          <cell r="AY138">
            <v>0</v>
          </cell>
          <cell r="AZ138">
            <v>0</v>
          </cell>
          <cell r="BA138">
            <v>331709</v>
          </cell>
          <cell r="BB138">
            <v>0</v>
          </cell>
          <cell r="BC138">
            <v>331709</v>
          </cell>
        </row>
        <row r="139">
          <cell r="C139" t="str">
            <v>GINLINE4</v>
          </cell>
          <cell r="D139">
            <v>30240</v>
          </cell>
          <cell r="E139">
            <v>18810</v>
          </cell>
          <cell r="F139">
            <v>735</v>
          </cell>
          <cell r="G139">
            <v>60</v>
          </cell>
          <cell r="H139">
            <v>675</v>
          </cell>
          <cell r="I139">
            <v>0</v>
          </cell>
          <cell r="J139">
            <v>10695</v>
          </cell>
          <cell r="K139">
            <v>4525</v>
          </cell>
          <cell r="L139">
            <v>1180</v>
          </cell>
          <cell r="M139">
            <v>1035</v>
          </cell>
          <cell r="N139">
            <v>0</v>
          </cell>
          <cell r="O139">
            <v>145</v>
          </cell>
          <cell r="P139">
            <v>0</v>
          </cell>
          <cell r="Q139">
            <v>146</v>
          </cell>
          <cell r="R139">
            <v>34</v>
          </cell>
          <cell r="S139">
            <v>7</v>
          </cell>
          <cell r="T139">
            <v>0</v>
          </cell>
          <cell r="U139">
            <v>35</v>
          </cell>
          <cell r="V139">
            <v>70</v>
          </cell>
          <cell r="W139">
            <v>2495</v>
          </cell>
          <cell r="X139">
            <v>280</v>
          </cell>
          <cell r="Y139">
            <v>2215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2349</v>
          </cell>
          <cell r="AG139">
            <v>0</v>
          </cell>
          <cell r="AH139">
            <v>0</v>
          </cell>
          <cell r="AI139">
            <v>720</v>
          </cell>
          <cell r="AJ139">
            <v>0</v>
          </cell>
          <cell r="AK139">
            <v>810</v>
          </cell>
          <cell r="AL139">
            <v>0</v>
          </cell>
          <cell r="AM139">
            <v>0</v>
          </cell>
          <cell r="AN139">
            <v>45</v>
          </cell>
          <cell r="AO139">
            <v>0</v>
          </cell>
          <cell r="AP139">
            <v>120</v>
          </cell>
          <cell r="AQ139">
            <v>0</v>
          </cell>
          <cell r="AR139">
            <v>0</v>
          </cell>
          <cell r="AS139">
            <v>638</v>
          </cell>
          <cell r="AT139">
            <v>0</v>
          </cell>
          <cell r="AU139">
            <v>0</v>
          </cell>
          <cell r="AV139">
            <v>0</v>
          </cell>
          <cell r="AW139">
            <v>16</v>
          </cell>
          <cell r="AX139">
            <v>0</v>
          </cell>
          <cell r="AY139">
            <v>0</v>
          </cell>
          <cell r="AZ139">
            <v>0</v>
          </cell>
          <cell r="BA139">
            <v>349440</v>
          </cell>
          <cell r="BB139">
            <v>56</v>
          </cell>
          <cell r="BC139">
            <v>349384</v>
          </cell>
        </row>
        <row r="140">
          <cell r="C140" t="str">
            <v>NBL INJ-STERILIZATION</v>
          </cell>
          <cell r="D140">
            <v>90720</v>
          </cell>
          <cell r="E140">
            <v>50574</v>
          </cell>
          <cell r="F140">
            <v>5368</v>
          </cell>
          <cell r="G140">
            <v>1290</v>
          </cell>
          <cell r="H140">
            <v>4078</v>
          </cell>
          <cell r="I140">
            <v>0</v>
          </cell>
          <cell r="J140">
            <v>34778</v>
          </cell>
          <cell r="K140">
            <v>16020</v>
          </cell>
          <cell r="L140">
            <v>1083</v>
          </cell>
          <cell r="M140">
            <v>1078</v>
          </cell>
          <cell r="N140">
            <v>0</v>
          </cell>
          <cell r="O140">
            <v>5</v>
          </cell>
          <cell r="P140">
            <v>0</v>
          </cell>
          <cell r="Q140">
            <v>88</v>
          </cell>
          <cell r="R140">
            <v>40</v>
          </cell>
          <cell r="S140">
            <v>30</v>
          </cell>
          <cell r="T140">
            <v>0</v>
          </cell>
          <cell r="U140">
            <v>18</v>
          </cell>
          <cell r="V140">
            <v>0</v>
          </cell>
          <cell r="W140">
            <v>7922</v>
          </cell>
          <cell r="X140">
            <v>5948</v>
          </cell>
          <cell r="Y140">
            <v>1749</v>
          </cell>
          <cell r="Z140">
            <v>0</v>
          </cell>
          <cell r="AA140">
            <v>0</v>
          </cell>
          <cell r="AB140">
            <v>225</v>
          </cell>
          <cell r="AC140">
            <v>0</v>
          </cell>
          <cell r="AD140">
            <v>0</v>
          </cell>
          <cell r="AE140">
            <v>0</v>
          </cell>
          <cell r="AF140">
            <v>9665</v>
          </cell>
          <cell r="AG140">
            <v>0</v>
          </cell>
          <cell r="AH140">
            <v>0</v>
          </cell>
          <cell r="AI140">
            <v>535</v>
          </cell>
          <cell r="AJ140">
            <v>50</v>
          </cell>
          <cell r="AK140">
            <v>385</v>
          </cell>
          <cell r="AL140">
            <v>1006</v>
          </cell>
          <cell r="AM140">
            <v>0</v>
          </cell>
          <cell r="AN140">
            <v>0</v>
          </cell>
          <cell r="AO140">
            <v>7434</v>
          </cell>
          <cell r="AP140">
            <v>255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1110</v>
          </cell>
          <cell r="BB140">
            <v>0</v>
          </cell>
          <cell r="BC140">
            <v>1110</v>
          </cell>
        </row>
        <row r="141">
          <cell r="C141" t="str">
            <v>INJ105</v>
          </cell>
          <cell r="D141">
            <v>30240</v>
          </cell>
          <cell r="E141">
            <v>13430</v>
          </cell>
          <cell r="F141">
            <v>2568</v>
          </cell>
          <cell r="G141">
            <v>986</v>
          </cell>
          <cell r="H141">
            <v>1582</v>
          </cell>
          <cell r="I141">
            <v>0</v>
          </cell>
          <cell r="J141">
            <v>14242</v>
          </cell>
          <cell r="K141">
            <v>6539</v>
          </cell>
          <cell r="L141">
            <v>416</v>
          </cell>
          <cell r="M141">
            <v>416</v>
          </cell>
          <cell r="N141">
            <v>0</v>
          </cell>
          <cell r="O141">
            <v>0</v>
          </cell>
          <cell r="P141">
            <v>0</v>
          </cell>
          <cell r="Q141">
            <v>18</v>
          </cell>
          <cell r="R141">
            <v>0</v>
          </cell>
          <cell r="S141">
            <v>0</v>
          </cell>
          <cell r="T141">
            <v>0</v>
          </cell>
          <cell r="U141">
            <v>18</v>
          </cell>
          <cell r="V141">
            <v>0</v>
          </cell>
          <cell r="W141">
            <v>1982</v>
          </cell>
          <cell r="X141">
            <v>1165</v>
          </cell>
          <cell r="Y141">
            <v>817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5287</v>
          </cell>
          <cell r="AG141">
            <v>0</v>
          </cell>
          <cell r="AH141">
            <v>0</v>
          </cell>
          <cell r="AI141">
            <v>120</v>
          </cell>
          <cell r="AJ141">
            <v>0</v>
          </cell>
          <cell r="AK141">
            <v>100</v>
          </cell>
          <cell r="AL141">
            <v>0</v>
          </cell>
          <cell r="AM141">
            <v>0</v>
          </cell>
          <cell r="AN141">
            <v>0</v>
          </cell>
          <cell r="AO141">
            <v>5067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598</v>
          </cell>
          <cell r="BB141">
            <v>0</v>
          </cell>
          <cell r="BC141">
            <v>598</v>
          </cell>
        </row>
        <row r="142">
          <cell r="C142" t="str">
            <v>INJ106</v>
          </cell>
          <cell r="D142">
            <v>30240</v>
          </cell>
          <cell r="E142">
            <v>15399</v>
          </cell>
          <cell r="F142">
            <v>1285</v>
          </cell>
          <cell r="G142">
            <v>244</v>
          </cell>
          <cell r="H142">
            <v>1041</v>
          </cell>
          <cell r="I142">
            <v>0</v>
          </cell>
          <cell r="J142">
            <v>13556</v>
          </cell>
          <cell r="K142">
            <v>8415</v>
          </cell>
          <cell r="L142">
            <v>230</v>
          </cell>
          <cell r="M142">
            <v>230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4536</v>
          </cell>
          <cell r="X142">
            <v>4024</v>
          </cell>
          <cell r="Y142">
            <v>512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375</v>
          </cell>
          <cell r="AG142">
            <v>0</v>
          </cell>
          <cell r="AH142">
            <v>0</v>
          </cell>
          <cell r="AI142">
            <v>135</v>
          </cell>
          <cell r="AJ142">
            <v>0</v>
          </cell>
          <cell r="AK142">
            <v>90</v>
          </cell>
          <cell r="AL142">
            <v>0</v>
          </cell>
          <cell r="AM142">
            <v>0</v>
          </cell>
          <cell r="AN142">
            <v>0</v>
          </cell>
          <cell r="AO142">
            <v>150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489</v>
          </cell>
          <cell r="BB142">
            <v>0</v>
          </cell>
          <cell r="BC142">
            <v>489</v>
          </cell>
        </row>
        <row r="143">
          <cell r="C143" t="str">
            <v>INJ107</v>
          </cell>
          <cell r="D143">
            <v>30240</v>
          </cell>
          <cell r="E143">
            <v>21745</v>
          </cell>
          <cell r="F143">
            <v>1515</v>
          </cell>
          <cell r="G143">
            <v>60</v>
          </cell>
          <cell r="H143">
            <v>1455</v>
          </cell>
          <cell r="I143">
            <v>0</v>
          </cell>
          <cell r="J143">
            <v>6980</v>
          </cell>
          <cell r="K143">
            <v>1066</v>
          </cell>
          <cell r="L143">
            <v>437</v>
          </cell>
          <cell r="M143">
            <v>432</v>
          </cell>
          <cell r="N143">
            <v>0</v>
          </cell>
          <cell r="O143">
            <v>5</v>
          </cell>
          <cell r="P143">
            <v>0</v>
          </cell>
          <cell r="Q143">
            <v>70</v>
          </cell>
          <cell r="R143">
            <v>40</v>
          </cell>
          <cell r="S143">
            <v>30</v>
          </cell>
          <cell r="T143">
            <v>0</v>
          </cell>
          <cell r="U143">
            <v>0</v>
          </cell>
          <cell r="V143">
            <v>0</v>
          </cell>
          <cell r="W143">
            <v>1404</v>
          </cell>
          <cell r="X143">
            <v>759</v>
          </cell>
          <cell r="Y143">
            <v>420</v>
          </cell>
          <cell r="Z143">
            <v>0</v>
          </cell>
          <cell r="AA143">
            <v>0</v>
          </cell>
          <cell r="AB143">
            <v>225</v>
          </cell>
          <cell r="AC143">
            <v>0</v>
          </cell>
          <cell r="AD143">
            <v>0</v>
          </cell>
          <cell r="AE143">
            <v>0</v>
          </cell>
          <cell r="AF143">
            <v>4003</v>
          </cell>
          <cell r="AG143">
            <v>0</v>
          </cell>
          <cell r="AH143">
            <v>0</v>
          </cell>
          <cell r="AI143">
            <v>280</v>
          </cell>
          <cell r="AJ143">
            <v>50</v>
          </cell>
          <cell r="AK143">
            <v>195</v>
          </cell>
          <cell r="AL143">
            <v>1006</v>
          </cell>
          <cell r="AM143">
            <v>0</v>
          </cell>
          <cell r="AN143">
            <v>0</v>
          </cell>
          <cell r="AO143">
            <v>2217</v>
          </cell>
          <cell r="AP143">
            <v>255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23</v>
          </cell>
          <cell r="BB143">
            <v>0</v>
          </cell>
          <cell r="BC143">
            <v>23</v>
          </cell>
        </row>
        <row r="144">
          <cell r="C144" t="str">
            <v>NBL SECONDARY PACKING</v>
          </cell>
          <cell r="D144">
            <v>181440</v>
          </cell>
          <cell r="E144">
            <v>135330</v>
          </cell>
          <cell r="F144">
            <v>5610</v>
          </cell>
          <cell r="G144">
            <v>1030</v>
          </cell>
          <cell r="H144">
            <v>4580</v>
          </cell>
          <cell r="I144">
            <v>0</v>
          </cell>
          <cell r="J144">
            <v>40500</v>
          </cell>
          <cell r="K144">
            <v>24974</v>
          </cell>
          <cell r="L144">
            <v>2709</v>
          </cell>
          <cell r="M144">
            <v>1495</v>
          </cell>
          <cell r="N144">
            <v>196</v>
          </cell>
          <cell r="O144">
            <v>423</v>
          </cell>
          <cell r="P144">
            <v>595</v>
          </cell>
          <cell r="Q144">
            <v>28</v>
          </cell>
          <cell r="R144">
            <v>0</v>
          </cell>
          <cell r="S144">
            <v>28</v>
          </cell>
          <cell r="T144">
            <v>0</v>
          </cell>
          <cell r="U144">
            <v>0</v>
          </cell>
          <cell r="V144">
            <v>0</v>
          </cell>
          <cell r="W144">
            <v>4131</v>
          </cell>
          <cell r="X144">
            <v>1652</v>
          </cell>
          <cell r="Y144">
            <v>1959</v>
          </cell>
          <cell r="Z144">
            <v>0</v>
          </cell>
          <cell r="AA144">
            <v>0</v>
          </cell>
          <cell r="AB144">
            <v>520</v>
          </cell>
          <cell r="AC144">
            <v>0</v>
          </cell>
          <cell r="AD144">
            <v>0</v>
          </cell>
          <cell r="AE144">
            <v>0</v>
          </cell>
          <cell r="AF144">
            <v>8658</v>
          </cell>
          <cell r="AG144">
            <v>0</v>
          </cell>
          <cell r="AH144">
            <v>655</v>
          </cell>
          <cell r="AI144">
            <v>2370</v>
          </cell>
          <cell r="AJ144">
            <v>0</v>
          </cell>
          <cell r="AK144">
            <v>1410</v>
          </cell>
          <cell r="AL144">
            <v>180</v>
          </cell>
          <cell r="AM144">
            <v>420</v>
          </cell>
          <cell r="AN144">
            <v>0</v>
          </cell>
          <cell r="AO144">
            <v>1430</v>
          </cell>
          <cell r="AP144">
            <v>692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1446</v>
          </cell>
          <cell r="AX144">
            <v>55</v>
          </cell>
          <cell r="AY144">
            <v>0</v>
          </cell>
          <cell r="AZ144">
            <v>0</v>
          </cell>
          <cell r="BA144">
            <v>1377288</v>
          </cell>
          <cell r="BB144">
            <v>268</v>
          </cell>
          <cell r="BC144">
            <v>1377020</v>
          </cell>
        </row>
        <row r="145">
          <cell r="C145" t="str">
            <v>PAK101</v>
          </cell>
          <cell r="D145">
            <v>30240</v>
          </cell>
          <cell r="E145">
            <v>19290</v>
          </cell>
          <cell r="F145">
            <v>595</v>
          </cell>
          <cell r="G145">
            <v>255</v>
          </cell>
          <cell r="H145">
            <v>340</v>
          </cell>
          <cell r="I145">
            <v>0</v>
          </cell>
          <cell r="J145">
            <v>10355</v>
          </cell>
          <cell r="K145">
            <v>7130</v>
          </cell>
          <cell r="L145">
            <v>272</v>
          </cell>
          <cell r="M145">
            <v>272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824</v>
          </cell>
          <cell r="X145">
            <v>244</v>
          </cell>
          <cell r="Y145">
            <v>520</v>
          </cell>
          <cell r="Z145">
            <v>0</v>
          </cell>
          <cell r="AA145">
            <v>0</v>
          </cell>
          <cell r="AB145">
            <v>60</v>
          </cell>
          <cell r="AC145">
            <v>0</v>
          </cell>
          <cell r="AD145">
            <v>0</v>
          </cell>
          <cell r="AE145">
            <v>0</v>
          </cell>
          <cell r="AF145">
            <v>2129</v>
          </cell>
          <cell r="AG145">
            <v>0</v>
          </cell>
          <cell r="AH145">
            <v>250</v>
          </cell>
          <cell r="AI145">
            <v>630</v>
          </cell>
          <cell r="AJ145">
            <v>0</v>
          </cell>
          <cell r="AK145">
            <v>360</v>
          </cell>
          <cell r="AL145">
            <v>0</v>
          </cell>
          <cell r="AM145">
            <v>210</v>
          </cell>
          <cell r="AN145">
            <v>0</v>
          </cell>
          <cell r="AO145">
            <v>0</v>
          </cell>
          <cell r="AP145">
            <v>217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462</v>
          </cell>
          <cell r="AX145">
            <v>0</v>
          </cell>
          <cell r="AY145">
            <v>0</v>
          </cell>
          <cell r="AZ145">
            <v>0</v>
          </cell>
          <cell r="BA145">
            <v>256914</v>
          </cell>
          <cell r="BB145">
            <v>0</v>
          </cell>
          <cell r="BC145">
            <v>256914</v>
          </cell>
        </row>
        <row r="146">
          <cell r="C146" t="str">
            <v>PAK103</v>
          </cell>
          <cell r="D146">
            <v>30240</v>
          </cell>
          <cell r="E146">
            <v>15000</v>
          </cell>
          <cell r="F146">
            <v>255</v>
          </cell>
          <cell r="G146">
            <v>255</v>
          </cell>
          <cell r="H146">
            <v>0</v>
          </cell>
          <cell r="I146">
            <v>0</v>
          </cell>
          <cell r="J146">
            <v>14985</v>
          </cell>
          <cell r="K146">
            <v>10420</v>
          </cell>
          <cell r="L146">
            <v>257</v>
          </cell>
          <cell r="M146">
            <v>257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1089</v>
          </cell>
          <cell r="X146">
            <v>260</v>
          </cell>
          <cell r="Y146">
            <v>769</v>
          </cell>
          <cell r="Z146">
            <v>0</v>
          </cell>
          <cell r="AA146">
            <v>0</v>
          </cell>
          <cell r="AB146">
            <v>60</v>
          </cell>
          <cell r="AC146">
            <v>0</v>
          </cell>
          <cell r="AD146">
            <v>0</v>
          </cell>
          <cell r="AE146">
            <v>0</v>
          </cell>
          <cell r="AF146">
            <v>3219</v>
          </cell>
          <cell r="AG146">
            <v>0</v>
          </cell>
          <cell r="AH146">
            <v>405</v>
          </cell>
          <cell r="AI146">
            <v>960</v>
          </cell>
          <cell r="AJ146">
            <v>0</v>
          </cell>
          <cell r="AK146">
            <v>660</v>
          </cell>
          <cell r="AL146">
            <v>60</v>
          </cell>
          <cell r="AM146">
            <v>210</v>
          </cell>
          <cell r="AN146">
            <v>0</v>
          </cell>
          <cell r="AO146">
            <v>0</v>
          </cell>
          <cell r="AP146">
            <v>207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717</v>
          </cell>
          <cell r="AX146">
            <v>0</v>
          </cell>
          <cell r="AY146">
            <v>0</v>
          </cell>
          <cell r="AZ146">
            <v>0</v>
          </cell>
          <cell r="BA146">
            <v>449538</v>
          </cell>
          <cell r="BB146">
            <v>170</v>
          </cell>
          <cell r="BC146">
            <v>449368</v>
          </cell>
        </row>
        <row r="147">
          <cell r="C147" t="str">
            <v>PAK105</v>
          </cell>
          <cell r="D147">
            <v>30240</v>
          </cell>
          <cell r="E147">
            <v>21570</v>
          </cell>
          <cell r="F147">
            <v>2315</v>
          </cell>
          <cell r="G147">
            <v>165</v>
          </cell>
          <cell r="H147">
            <v>2150</v>
          </cell>
          <cell r="I147">
            <v>0</v>
          </cell>
          <cell r="J147">
            <v>6355</v>
          </cell>
          <cell r="K147">
            <v>2775</v>
          </cell>
          <cell r="L147">
            <v>945</v>
          </cell>
          <cell r="M147">
            <v>485</v>
          </cell>
          <cell r="N147">
            <v>20</v>
          </cell>
          <cell r="O147">
            <v>280</v>
          </cell>
          <cell r="P147">
            <v>160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445</v>
          </cell>
          <cell r="X147">
            <v>235</v>
          </cell>
          <cell r="Y147">
            <v>210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2190</v>
          </cell>
          <cell r="AG147">
            <v>0</v>
          </cell>
          <cell r="AH147">
            <v>0</v>
          </cell>
          <cell r="AI147">
            <v>330</v>
          </cell>
          <cell r="AJ147">
            <v>0</v>
          </cell>
          <cell r="AK147">
            <v>165</v>
          </cell>
          <cell r="AL147">
            <v>120</v>
          </cell>
          <cell r="AM147">
            <v>0</v>
          </cell>
          <cell r="AN147">
            <v>0</v>
          </cell>
          <cell r="AO147">
            <v>1285</v>
          </cell>
          <cell r="AP147">
            <v>115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120</v>
          </cell>
          <cell r="AX147">
            <v>55</v>
          </cell>
          <cell r="AY147">
            <v>0</v>
          </cell>
          <cell r="AZ147">
            <v>0</v>
          </cell>
          <cell r="BA147">
            <v>194565</v>
          </cell>
          <cell r="BB147">
            <v>0</v>
          </cell>
          <cell r="BC147">
            <v>194565</v>
          </cell>
        </row>
        <row r="148">
          <cell r="C148" t="str">
            <v>PAK102</v>
          </cell>
          <cell r="D148">
            <v>30240</v>
          </cell>
          <cell r="E148">
            <v>30240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/>
          <cell r="K148"/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/>
          <cell r="BB148"/>
          <cell r="BC148"/>
        </row>
        <row r="149">
          <cell r="C149" t="str">
            <v>PAK104</v>
          </cell>
          <cell r="D149">
            <v>30240</v>
          </cell>
          <cell r="E149">
            <v>29220</v>
          </cell>
          <cell r="F149">
            <v>640</v>
          </cell>
          <cell r="G149">
            <v>0</v>
          </cell>
          <cell r="H149">
            <v>640</v>
          </cell>
          <cell r="I149">
            <v>0</v>
          </cell>
          <cell r="J149">
            <v>380</v>
          </cell>
          <cell r="K149">
            <v>115</v>
          </cell>
          <cell r="L149">
            <v>130</v>
          </cell>
          <cell r="M149">
            <v>45</v>
          </cell>
          <cell r="N149">
            <v>0</v>
          </cell>
          <cell r="O149">
            <v>20</v>
          </cell>
          <cell r="P149">
            <v>65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110</v>
          </cell>
          <cell r="X149">
            <v>20</v>
          </cell>
          <cell r="Y149">
            <v>80</v>
          </cell>
          <cell r="Z149">
            <v>0</v>
          </cell>
          <cell r="AA149">
            <v>0</v>
          </cell>
          <cell r="AB149">
            <v>10</v>
          </cell>
          <cell r="AC149">
            <v>0</v>
          </cell>
          <cell r="AD149">
            <v>0</v>
          </cell>
          <cell r="AE149">
            <v>0</v>
          </cell>
          <cell r="AF149">
            <v>25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15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10</v>
          </cell>
          <cell r="AX149">
            <v>0</v>
          </cell>
          <cell r="AY149">
            <v>0</v>
          </cell>
          <cell r="AZ149">
            <v>0</v>
          </cell>
          <cell r="BA149">
            <v>1365</v>
          </cell>
          <cell r="BB149">
            <v>0</v>
          </cell>
          <cell r="BC149">
            <v>1365</v>
          </cell>
        </row>
        <row r="150">
          <cell r="C150" t="str">
            <v>PAK111</v>
          </cell>
          <cell r="D150">
            <v>30240</v>
          </cell>
          <cell r="E150">
            <v>20010</v>
          </cell>
          <cell r="F150">
            <v>1805</v>
          </cell>
          <cell r="G150">
            <v>355</v>
          </cell>
          <cell r="H150">
            <v>1450</v>
          </cell>
          <cell r="I150">
            <v>0</v>
          </cell>
          <cell r="J150">
            <v>8425</v>
          </cell>
          <cell r="K150">
            <v>4534</v>
          </cell>
          <cell r="L150">
            <v>1105</v>
          </cell>
          <cell r="M150">
            <v>436</v>
          </cell>
          <cell r="N150">
            <v>176</v>
          </cell>
          <cell r="O150">
            <v>123</v>
          </cell>
          <cell r="P150">
            <v>370</v>
          </cell>
          <cell r="Q150">
            <v>28</v>
          </cell>
          <cell r="R150">
            <v>0</v>
          </cell>
          <cell r="S150">
            <v>28</v>
          </cell>
          <cell r="T150">
            <v>0</v>
          </cell>
          <cell r="U150">
            <v>0</v>
          </cell>
          <cell r="V150">
            <v>0</v>
          </cell>
          <cell r="W150">
            <v>1663</v>
          </cell>
          <cell r="X150">
            <v>893</v>
          </cell>
          <cell r="Y150">
            <v>380</v>
          </cell>
          <cell r="Z150">
            <v>0</v>
          </cell>
          <cell r="AA150">
            <v>0</v>
          </cell>
          <cell r="AB150">
            <v>390</v>
          </cell>
          <cell r="AC150">
            <v>0</v>
          </cell>
          <cell r="AD150">
            <v>0</v>
          </cell>
          <cell r="AE150">
            <v>0</v>
          </cell>
          <cell r="AF150">
            <v>1095</v>
          </cell>
          <cell r="AG150">
            <v>0</v>
          </cell>
          <cell r="AH150">
            <v>0</v>
          </cell>
          <cell r="AI150">
            <v>450</v>
          </cell>
          <cell r="AJ150">
            <v>0</v>
          </cell>
          <cell r="AK150">
            <v>225</v>
          </cell>
          <cell r="AL150">
            <v>0</v>
          </cell>
          <cell r="AM150">
            <v>0</v>
          </cell>
          <cell r="AN150">
            <v>0</v>
          </cell>
          <cell r="AO150">
            <v>145</v>
          </cell>
          <cell r="AP150">
            <v>138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137</v>
          </cell>
          <cell r="AX150">
            <v>0</v>
          </cell>
          <cell r="AY150">
            <v>0</v>
          </cell>
          <cell r="AZ150">
            <v>0</v>
          </cell>
          <cell r="BA150">
            <v>474906</v>
          </cell>
          <cell r="BB150">
            <v>98</v>
          </cell>
          <cell r="BC150">
            <v>474808</v>
          </cell>
        </row>
        <row r="151">
          <cell r="C151" t="str">
            <v>CPH SOL-MIXING</v>
          </cell>
          <cell r="D151">
            <v>30240</v>
          </cell>
          <cell r="E151">
            <v>28710</v>
          </cell>
          <cell r="F151">
            <v>320</v>
          </cell>
          <cell r="G151">
            <v>0</v>
          </cell>
          <cell r="H151">
            <v>320</v>
          </cell>
          <cell r="I151">
            <v>0</v>
          </cell>
          <cell r="J151">
            <v>1210</v>
          </cell>
          <cell r="K151">
            <v>56</v>
          </cell>
          <cell r="L151">
            <v>45</v>
          </cell>
          <cell r="M151">
            <v>40</v>
          </cell>
          <cell r="N151">
            <v>5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610</v>
          </cell>
          <cell r="X151">
            <v>140</v>
          </cell>
          <cell r="Y151">
            <v>425</v>
          </cell>
          <cell r="Z151">
            <v>0</v>
          </cell>
          <cell r="AA151">
            <v>0</v>
          </cell>
          <cell r="AB151">
            <v>45</v>
          </cell>
          <cell r="AC151">
            <v>0</v>
          </cell>
          <cell r="AD151">
            <v>0</v>
          </cell>
          <cell r="AE151">
            <v>0</v>
          </cell>
          <cell r="AF151">
            <v>499</v>
          </cell>
          <cell r="AG151">
            <v>235</v>
          </cell>
          <cell r="AH151">
            <v>0</v>
          </cell>
          <cell r="AI151">
            <v>90</v>
          </cell>
          <cell r="AJ151">
            <v>0</v>
          </cell>
          <cell r="AK151">
            <v>45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64</v>
          </cell>
          <cell r="AX151">
            <v>0</v>
          </cell>
          <cell r="AY151">
            <v>0</v>
          </cell>
          <cell r="AZ151">
            <v>65</v>
          </cell>
          <cell r="BA151">
            <v>443.91</v>
          </cell>
          <cell r="BB151">
            <v>0.18</v>
          </cell>
          <cell r="BC151">
            <v>443.73</v>
          </cell>
        </row>
        <row r="152">
          <cell r="C152" t="str">
            <v>MCF101</v>
          </cell>
          <cell r="D152">
            <v>30240</v>
          </cell>
          <cell r="E152">
            <v>28710</v>
          </cell>
          <cell r="F152">
            <v>320</v>
          </cell>
          <cell r="G152">
            <v>0</v>
          </cell>
          <cell r="H152">
            <v>320</v>
          </cell>
          <cell r="I152">
            <v>0</v>
          </cell>
          <cell r="J152">
            <v>1210</v>
          </cell>
          <cell r="K152">
            <v>56</v>
          </cell>
          <cell r="L152">
            <v>45</v>
          </cell>
          <cell r="M152">
            <v>40</v>
          </cell>
          <cell r="N152">
            <v>5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610</v>
          </cell>
          <cell r="X152">
            <v>140</v>
          </cell>
          <cell r="Y152">
            <v>425</v>
          </cell>
          <cell r="Z152">
            <v>0</v>
          </cell>
          <cell r="AA152">
            <v>0</v>
          </cell>
          <cell r="AB152">
            <v>45</v>
          </cell>
          <cell r="AC152">
            <v>0</v>
          </cell>
          <cell r="AD152">
            <v>0</v>
          </cell>
          <cell r="AE152">
            <v>0</v>
          </cell>
          <cell r="AF152">
            <v>499</v>
          </cell>
          <cell r="AG152">
            <v>235</v>
          </cell>
          <cell r="AH152">
            <v>0</v>
          </cell>
          <cell r="AI152">
            <v>90</v>
          </cell>
          <cell r="AJ152">
            <v>0</v>
          </cell>
          <cell r="AK152">
            <v>45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64</v>
          </cell>
          <cell r="AX152">
            <v>0</v>
          </cell>
          <cell r="AY152">
            <v>0</v>
          </cell>
          <cell r="AZ152">
            <v>65</v>
          </cell>
          <cell r="BA152">
            <v>443.91</v>
          </cell>
          <cell r="BB152">
            <v>0.18</v>
          </cell>
          <cell r="BC152">
            <v>443.73</v>
          </cell>
        </row>
        <row r="153">
          <cell r="C153" t="str">
            <v>CPH SOL-CAPSULE</v>
          </cell>
          <cell r="D153">
            <v>30240</v>
          </cell>
          <cell r="E153">
            <v>27240</v>
          </cell>
          <cell r="F153">
            <v>205</v>
          </cell>
          <cell r="G153">
            <v>150</v>
          </cell>
          <cell r="H153">
            <v>55</v>
          </cell>
          <cell r="I153">
            <v>0</v>
          </cell>
          <cell r="J153">
            <v>2795</v>
          </cell>
          <cell r="K153">
            <v>925</v>
          </cell>
          <cell r="L153">
            <v>230</v>
          </cell>
          <cell r="M153">
            <v>180</v>
          </cell>
          <cell r="N153">
            <v>0</v>
          </cell>
          <cell r="O153">
            <v>25</v>
          </cell>
          <cell r="P153">
            <v>25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865</v>
          </cell>
          <cell r="X153">
            <v>205</v>
          </cell>
          <cell r="Y153">
            <v>35</v>
          </cell>
          <cell r="Z153">
            <v>0</v>
          </cell>
          <cell r="AA153">
            <v>0</v>
          </cell>
          <cell r="AB153">
            <v>625</v>
          </cell>
          <cell r="AC153">
            <v>0</v>
          </cell>
          <cell r="AD153">
            <v>0</v>
          </cell>
          <cell r="AE153">
            <v>0</v>
          </cell>
          <cell r="AF153">
            <v>775</v>
          </cell>
          <cell r="AG153">
            <v>0</v>
          </cell>
          <cell r="AH153">
            <v>0</v>
          </cell>
          <cell r="AI153">
            <v>195</v>
          </cell>
          <cell r="AJ153">
            <v>0</v>
          </cell>
          <cell r="AK153">
            <v>105</v>
          </cell>
          <cell r="AL153">
            <v>160</v>
          </cell>
          <cell r="AM153">
            <v>0</v>
          </cell>
          <cell r="AN153">
            <v>0</v>
          </cell>
          <cell r="AO153">
            <v>140</v>
          </cell>
          <cell r="AP153">
            <v>105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55</v>
          </cell>
          <cell r="AX153">
            <v>0</v>
          </cell>
          <cell r="AY153">
            <v>0</v>
          </cell>
          <cell r="AZ153">
            <v>15</v>
          </cell>
          <cell r="BA153">
            <v>828627</v>
          </cell>
          <cell r="BB153">
            <v>0</v>
          </cell>
          <cell r="BC153">
            <v>828627</v>
          </cell>
        </row>
        <row r="154">
          <cell r="C154" t="str">
            <v>KCF101</v>
          </cell>
          <cell r="D154">
            <v>30240</v>
          </cell>
          <cell r="E154">
            <v>27240</v>
          </cell>
          <cell r="F154">
            <v>205</v>
          </cell>
          <cell r="G154">
            <v>150</v>
          </cell>
          <cell r="H154">
            <v>55</v>
          </cell>
          <cell r="I154">
            <v>0</v>
          </cell>
          <cell r="J154">
            <v>2795</v>
          </cell>
          <cell r="K154">
            <v>925</v>
          </cell>
          <cell r="L154">
            <v>230</v>
          </cell>
          <cell r="M154">
            <v>180</v>
          </cell>
          <cell r="N154">
            <v>0</v>
          </cell>
          <cell r="O154">
            <v>25</v>
          </cell>
          <cell r="P154">
            <v>25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865</v>
          </cell>
          <cell r="X154">
            <v>205</v>
          </cell>
          <cell r="Y154">
            <v>35</v>
          </cell>
          <cell r="Z154">
            <v>0</v>
          </cell>
          <cell r="AA154">
            <v>0</v>
          </cell>
          <cell r="AB154">
            <v>625</v>
          </cell>
          <cell r="AC154">
            <v>0</v>
          </cell>
          <cell r="AD154">
            <v>0</v>
          </cell>
          <cell r="AE154">
            <v>0</v>
          </cell>
          <cell r="AF154">
            <v>775</v>
          </cell>
          <cell r="AG154">
            <v>0</v>
          </cell>
          <cell r="AH154">
            <v>0</v>
          </cell>
          <cell r="AI154">
            <v>195</v>
          </cell>
          <cell r="AJ154">
            <v>0</v>
          </cell>
          <cell r="AK154">
            <v>105</v>
          </cell>
          <cell r="AL154">
            <v>160</v>
          </cell>
          <cell r="AM154">
            <v>0</v>
          </cell>
          <cell r="AN154">
            <v>0</v>
          </cell>
          <cell r="AO154">
            <v>140</v>
          </cell>
          <cell r="AP154">
            <v>105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55</v>
          </cell>
          <cell r="AX154">
            <v>0</v>
          </cell>
          <cell r="AY154">
            <v>0</v>
          </cell>
          <cell r="AZ154">
            <v>15</v>
          </cell>
          <cell r="BA154">
            <v>828627</v>
          </cell>
          <cell r="BB154">
            <v>0</v>
          </cell>
          <cell r="BC154">
            <v>828627</v>
          </cell>
        </row>
        <row r="155">
          <cell r="C155" t="str">
            <v>CPH SOL-STRIPPING</v>
          </cell>
          <cell r="D155">
            <v>30240</v>
          </cell>
          <cell r="E155">
            <v>24780</v>
          </cell>
          <cell r="F155">
            <v>255</v>
          </cell>
          <cell r="G155">
            <v>255</v>
          </cell>
          <cell r="H155">
            <v>0</v>
          </cell>
          <cell r="I155">
            <v>0</v>
          </cell>
          <cell r="J155">
            <v>5205</v>
          </cell>
          <cell r="K155">
            <v>1125</v>
          </cell>
          <cell r="L155">
            <v>2110</v>
          </cell>
          <cell r="M155">
            <v>1125</v>
          </cell>
          <cell r="N155">
            <v>0</v>
          </cell>
          <cell r="O155">
            <v>985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1145</v>
          </cell>
          <cell r="X155">
            <v>605</v>
          </cell>
          <cell r="Y155">
            <v>115</v>
          </cell>
          <cell r="Z155">
            <v>45</v>
          </cell>
          <cell r="AA155">
            <v>0</v>
          </cell>
          <cell r="AB155">
            <v>380</v>
          </cell>
          <cell r="AC155">
            <v>0</v>
          </cell>
          <cell r="AD155">
            <v>0</v>
          </cell>
          <cell r="AE155">
            <v>0</v>
          </cell>
          <cell r="AF155">
            <v>825</v>
          </cell>
          <cell r="AG155">
            <v>0</v>
          </cell>
          <cell r="AH155">
            <v>0</v>
          </cell>
          <cell r="AI155">
            <v>330</v>
          </cell>
          <cell r="AJ155">
            <v>0</v>
          </cell>
          <cell r="AK155">
            <v>210</v>
          </cell>
          <cell r="AL155">
            <v>0</v>
          </cell>
          <cell r="AM155">
            <v>0</v>
          </cell>
          <cell r="AN155">
            <v>15</v>
          </cell>
          <cell r="AO155">
            <v>0</v>
          </cell>
          <cell r="AP155">
            <v>105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165</v>
          </cell>
          <cell r="AX155">
            <v>0</v>
          </cell>
          <cell r="AY155">
            <v>0</v>
          </cell>
          <cell r="AZ155">
            <v>0</v>
          </cell>
          <cell r="BA155">
            <v>779104</v>
          </cell>
          <cell r="BB155">
            <v>3950</v>
          </cell>
          <cell r="BC155">
            <v>775154</v>
          </cell>
        </row>
        <row r="156">
          <cell r="C156" t="str">
            <v>STC101</v>
          </cell>
          <cell r="D156">
            <v>30240</v>
          </cell>
          <cell r="E156">
            <v>24780</v>
          </cell>
          <cell r="F156">
            <v>255</v>
          </cell>
          <cell r="G156">
            <v>255</v>
          </cell>
          <cell r="H156">
            <v>0</v>
          </cell>
          <cell r="I156">
            <v>0</v>
          </cell>
          <cell r="J156">
            <v>5205</v>
          </cell>
          <cell r="K156">
            <v>1125</v>
          </cell>
          <cell r="L156">
            <v>2110</v>
          </cell>
          <cell r="M156">
            <v>1125</v>
          </cell>
          <cell r="N156">
            <v>0</v>
          </cell>
          <cell r="O156">
            <v>985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1145</v>
          </cell>
          <cell r="X156">
            <v>605</v>
          </cell>
          <cell r="Y156">
            <v>115</v>
          </cell>
          <cell r="Z156">
            <v>45</v>
          </cell>
          <cell r="AA156">
            <v>0</v>
          </cell>
          <cell r="AB156">
            <v>380</v>
          </cell>
          <cell r="AC156">
            <v>0</v>
          </cell>
          <cell r="AD156">
            <v>0</v>
          </cell>
          <cell r="AE156">
            <v>0</v>
          </cell>
          <cell r="AF156">
            <v>825</v>
          </cell>
          <cell r="AG156">
            <v>0</v>
          </cell>
          <cell r="AH156">
            <v>0</v>
          </cell>
          <cell r="AI156">
            <v>330</v>
          </cell>
          <cell r="AJ156">
            <v>0</v>
          </cell>
          <cell r="AK156">
            <v>210</v>
          </cell>
          <cell r="AL156">
            <v>0</v>
          </cell>
          <cell r="AM156">
            <v>0</v>
          </cell>
          <cell r="AN156">
            <v>15</v>
          </cell>
          <cell r="AO156">
            <v>0</v>
          </cell>
          <cell r="AP156">
            <v>105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165</v>
          </cell>
          <cell r="AX156">
            <v>0</v>
          </cell>
          <cell r="AY156">
            <v>0</v>
          </cell>
          <cell r="AZ156">
            <v>0</v>
          </cell>
          <cell r="BA156">
            <v>779104</v>
          </cell>
          <cell r="BB156">
            <v>3950</v>
          </cell>
          <cell r="BC156">
            <v>775154</v>
          </cell>
        </row>
        <row r="157">
          <cell r="C157" t="str">
            <v>CPH SOL-POWDER FILLING</v>
          </cell>
          <cell r="D157">
            <v>30240</v>
          </cell>
          <cell r="E157">
            <v>29730</v>
          </cell>
          <cell r="F157">
            <v>30</v>
          </cell>
          <cell r="G157">
            <v>30</v>
          </cell>
          <cell r="H157">
            <v>0</v>
          </cell>
          <cell r="I157">
            <v>0</v>
          </cell>
          <cell r="J157">
            <v>480</v>
          </cell>
          <cell r="K157">
            <v>75</v>
          </cell>
          <cell r="L157">
            <v>75</v>
          </cell>
          <cell r="M157">
            <v>75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120</v>
          </cell>
          <cell r="X157">
            <v>70</v>
          </cell>
          <cell r="Y157">
            <v>50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210</v>
          </cell>
          <cell r="AG157">
            <v>0</v>
          </cell>
          <cell r="AH157">
            <v>0</v>
          </cell>
          <cell r="AI157">
            <v>30</v>
          </cell>
          <cell r="AJ157">
            <v>0</v>
          </cell>
          <cell r="AK157">
            <v>90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20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10</v>
          </cell>
          <cell r="AX157">
            <v>60</v>
          </cell>
          <cell r="AY157">
            <v>0</v>
          </cell>
          <cell r="AZ157">
            <v>0</v>
          </cell>
          <cell r="BA157">
            <v>1568</v>
          </cell>
          <cell r="BB157">
            <v>14</v>
          </cell>
          <cell r="BC157">
            <v>1554</v>
          </cell>
        </row>
        <row r="158">
          <cell r="C158" t="str">
            <v>SCF102</v>
          </cell>
          <cell r="D158">
            <v>30240</v>
          </cell>
          <cell r="E158">
            <v>29730</v>
          </cell>
          <cell r="F158">
            <v>30</v>
          </cell>
          <cell r="G158">
            <v>30</v>
          </cell>
          <cell r="H158">
            <v>0</v>
          </cell>
          <cell r="I158">
            <v>0</v>
          </cell>
          <cell r="J158">
            <v>480</v>
          </cell>
          <cell r="K158">
            <v>75</v>
          </cell>
          <cell r="L158">
            <v>75</v>
          </cell>
          <cell r="M158">
            <v>75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120</v>
          </cell>
          <cell r="X158">
            <v>70</v>
          </cell>
          <cell r="Y158">
            <v>50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210</v>
          </cell>
          <cell r="AG158">
            <v>0</v>
          </cell>
          <cell r="AH158">
            <v>0</v>
          </cell>
          <cell r="AI158">
            <v>30</v>
          </cell>
          <cell r="AJ158">
            <v>0</v>
          </cell>
          <cell r="AK158">
            <v>90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20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10</v>
          </cell>
          <cell r="AX158">
            <v>60</v>
          </cell>
          <cell r="AY158">
            <v>0</v>
          </cell>
          <cell r="AZ158">
            <v>0</v>
          </cell>
          <cell r="BA158">
            <v>1568</v>
          </cell>
          <cell r="BB158">
            <v>14</v>
          </cell>
          <cell r="BC158">
            <v>1554</v>
          </cell>
        </row>
        <row r="159">
          <cell r="C159" t="str">
            <v>CPH INJ-FILLING</v>
          </cell>
          <cell r="D159">
            <v>30240</v>
          </cell>
          <cell r="E159">
            <v>20010</v>
          </cell>
          <cell r="F159">
            <v>975</v>
          </cell>
          <cell r="G159">
            <v>45</v>
          </cell>
          <cell r="H159">
            <v>930</v>
          </cell>
          <cell r="I159">
            <v>0</v>
          </cell>
          <cell r="J159">
            <v>9255</v>
          </cell>
          <cell r="K159">
            <v>3820</v>
          </cell>
          <cell r="L159">
            <v>699</v>
          </cell>
          <cell r="M159">
            <v>607</v>
          </cell>
          <cell r="N159">
            <v>0</v>
          </cell>
          <cell r="O159">
            <v>89</v>
          </cell>
          <cell r="P159">
            <v>3</v>
          </cell>
          <cell r="Q159">
            <v>48</v>
          </cell>
          <cell r="R159">
            <v>35</v>
          </cell>
          <cell r="S159">
            <v>8</v>
          </cell>
          <cell r="T159">
            <v>0</v>
          </cell>
          <cell r="U159">
            <v>5</v>
          </cell>
          <cell r="V159">
            <v>0</v>
          </cell>
          <cell r="W159">
            <v>2928</v>
          </cell>
          <cell r="X159">
            <v>949</v>
          </cell>
          <cell r="Y159">
            <v>1979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1760</v>
          </cell>
          <cell r="AG159">
            <v>0</v>
          </cell>
          <cell r="AH159">
            <v>0</v>
          </cell>
          <cell r="AI159">
            <v>680</v>
          </cell>
          <cell r="AJ159">
            <v>35</v>
          </cell>
          <cell r="AK159">
            <v>610</v>
          </cell>
          <cell r="AL159">
            <v>0</v>
          </cell>
          <cell r="AM159">
            <v>0</v>
          </cell>
          <cell r="AN159">
            <v>129</v>
          </cell>
          <cell r="AO159">
            <v>0</v>
          </cell>
          <cell r="AP159">
            <v>80</v>
          </cell>
          <cell r="AQ159">
            <v>0</v>
          </cell>
          <cell r="AR159">
            <v>0</v>
          </cell>
          <cell r="AS159">
            <v>221</v>
          </cell>
          <cell r="AT159">
            <v>0</v>
          </cell>
          <cell r="AU159">
            <v>0</v>
          </cell>
          <cell r="AV159">
            <v>0</v>
          </cell>
          <cell r="AW159">
            <v>5</v>
          </cell>
          <cell r="AX159">
            <v>0</v>
          </cell>
          <cell r="AY159">
            <v>0</v>
          </cell>
          <cell r="AZ159">
            <v>0</v>
          </cell>
          <cell r="BA159">
            <v>569159</v>
          </cell>
          <cell r="BB159">
            <v>0</v>
          </cell>
          <cell r="BC159">
            <v>569159</v>
          </cell>
        </row>
        <row r="160">
          <cell r="C160" t="str">
            <v>GINLINE6</v>
          </cell>
          <cell r="D160">
            <v>30240</v>
          </cell>
          <cell r="E160">
            <v>20010</v>
          </cell>
          <cell r="F160">
            <v>975</v>
          </cell>
          <cell r="G160">
            <v>45</v>
          </cell>
          <cell r="H160">
            <v>930</v>
          </cell>
          <cell r="I160">
            <v>0</v>
          </cell>
          <cell r="J160">
            <v>9255</v>
          </cell>
          <cell r="K160">
            <v>3820</v>
          </cell>
          <cell r="L160">
            <v>699</v>
          </cell>
          <cell r="M160">
            <v>607</v>
          </cell>
          <cell r="N160">
            <v>0</v>
          </cell>
          <cell r="O160">
            <v>89</v>
          </cell>
          <cell r="P160">
            <v>3</v>
          </cell>
          <cell r="Q160">
            <v>48</v>
          </cell>
          <cell r="R160">
            <v>35</v>
          </cell>
          <cell r="S160">
            <v>8</v>
          </cell>
          <cell r="T160">
            <v>0</v>
          </cell>
          <cell r="U160">
            <v>5</v>
          </cell>
          <cell r="V160">
            <v>0</v>
          </cell>
          <cell r="W160">
            <v>2928</v>
          </cell>
          <cell r="X160">
            <v>949</v>
          </cell>
          <cell r="Y160">
            <v>1979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1760</v>
          </cell>
          <cell r="AG160">
            <v>0</v>
          </cell>
          <cell r="AH160">
            <v>0</v>
          </cell>
          <cell r="AI160">
            <v>680</v>
          </cell>
          <cell r="AJ160">
            <v>35</v>
          </cell>
          <cell r="AK160">
            <v>610</v>
          </cell>
          <cell r="AL160">
            <v>0</v>
          </cell>
          <cell r="AM160">
            <v>0</v>
          </cell>
          <cell r="AN160">
            <v>129</v>
          </cell>
          <cell r="AO160">
            <v>0</v>
          </cell>
          <cell r="AP160">
            <v>80</v>
          </cell>
          <cell r="AQ160">
            <v>0</v>
          </cell>
          <cell r="AR160">
            <v>0</v>
          </cell>
          <cell r="AS160">
            <v>221</v>
          </cell>
          <cell r="AT160">
            <v>0</v>
          </cell>
          <cell r="AU160">
            <v>0</v>
          </cell>
          <cell r="AV160">
            <v>0</v>
          </cell>
          <cell r="AW160">
            <v>5</v>
          </cell>
          <cell r="AX160">
            <v>0</v>
          </cell>
          <cell r="AY160">
            <v>0</v>
          </cell>
          <cell r="AZ160">
            <v>0</v>
          </cell>
          <cell r="BA160">
            <v>569159</v>
          </cell>
          <cell r="BB160">
            <v>0</v>
          </cell>
          <cell r="BC160">
            <v>569159</v>
          </cell>
        </row>
        <row r="161">
          <cell r="C161" t="str">
            <v>CPH INJ-STERILIZATION</v>
          </cell>
          <cell r="D161">
            <v>60480</v>
          </cell>
          <cell r="E161">
            <v>42720</v>
          </cell>
          <cell r="F161">
            <v>1021</v>
          </cell>
          <cell r="G161">
            <v>328</v>
          </cell>
          <cell r="H161">
            <v>693</v>
          </cell>
          <cell r="I161">
            <v>0</v>
          </cell>
          <cell r="J161">
            <v>16739</v>
          </cell>
          <cell r="K161">
            <v>7864</v>
          </cell>
          <cell r="L161">
            <v>737</v>
          </cell>
          <cell r="M161">
            <v>598</v>
          </cell>
          <cell r="N161">
            <v>0</v>
          </cell>
          <cell r="O161">
            <v>139</v>
          </cell>
          <cell r="P161">
            <v>0</v>
          </cell>
          <cell r="Q161">
            <v>496</v>
          </cell>
          <cell r="R161">
            <v>496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5449</v>
          </cell>
          <cell r="X161">
            <v>4844</v>
          </cell>
          <cell r="Y161">
            <v>595</v>
          </cell>
          <cell r="Z161">
            <v>0</v>
          </cell>
          <cell r="AA161">
            <v>10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2193</v>
          </cell>
          <cell r="AG161">
            <v>0</v>
          </cell>
          <cell r="AH161">
            <v>0</v>
          </cell>
          <cell r="AI161">
            <v>30</v>
          </cell>
          <cell r="AJ161">
            <v>30</v>
          </cell>
          <cell r="AK161">
            <v>30</v>
          </cell>
          <cell r="AL161">
            <v>0</v>
          </cell>
          <cell r="AM161">
            <v>0</v>
          </cell>
          <cell r="AN161">
            <v>130</v>
          </cell>
          <cell r="AO161">
            <v>1893</v>
          </cell>
          <cell r="AP161">
            <v>20</v>
          </cell>
          <cell r="AQ161">
            <v>0</v>
          </cell>
          <cell r="AR161">
            <v>0</v>
          </cell>
          <cell r="AS161">
            <v>60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798</v>
          </cell>
          <cell r="BB161">
            <v>0</v>
          </cell>
          <cell r="BC161">
            <v>798</v>
          </cell>
        </row>
        <row r="162">
          <cell r="C162" t="str">
            <v>ICF104</v>
          </cell>
          <cell r="D162">
            <v>30240</v>
          </cell>
          <cell r="E162">
            <v>19980</v>
          </cell>
          <cell r="F162">
            <v>483</v>
          </cell>
          <cell r="G162">
            <v>268</v>
          </cell>
          <cell r="H162">
            <v>215</v>
          </cell>
          <cell r="I162">
            <v>0</v>
          </cell>
          <cell r="J162">
            <v>9777</v>
          </cell>
          <cell r="K162">
            <v>4763</v>
          </cell>
          <cell r="L162">
            <v>380</v>
          </cell>
          <cell r="M162">
            <v>321</v>
          </cell>
          <cell r="N162">
            <v>0</v>
          </cell>
          <cell r="O162">
            <v>59</v>
          </cell>
          <cell r="P162">
            <v>0</v>
          </cell>
          <cell r="Q162">
            <v>244</v>
          </cell>
          <cell r="R162">
            <v>244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3693</v>
          </cell>
          <cell r="X162">
            <v>3368</v>
          </cell>
          <cell r="Y162">
            <v>315</v>
          </cell>
          <cell r="Z162">
            <v>0</v>
          </cell>
          <cell r="AA162">
            <v>10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697</v>
          </cell>
          <cell r="AG162">
            <v>0</v>
          </cell>
          <cell r="AH162">
            <v>0</v>
          </cell>
          <cell r="AI162">
            <v>30</v>
          </cell>
          <cell r="AJ162">
            <v>30</v>
          </cell>
          <cell r="AK162">
            <v>30</v>
          </cell>
          <cell r="AL162">
            <v>0</v>
          </cell>
          <cell r="AM162">
            <v>0</v>
          </cell>
          <cell r="AN162">
            <v>80</v>
          </cell>
          <cell r="AO162">
            <v>447</v>
          </cell>
          <cell r="AP162">
            <v>20</v>
          </cell>
          <cell r="AQ162">
            <v>0</v>
          </cell>
          <cell r="AR162">
            <v>0</v>
          </cell>
          <cell r="AS162">
            <v>60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542</v>
          </cell>
          <cell r="BB162">
            <v>0</v>
          </cell>
          <cell r="BC162">
            <v>542</v>
          </cell>
        </row>
        <row r="163">
          <cell r="C163" t="str">
            <v>ICF105</v>
          </cell>
          <cell r="D163">
            <v>30240</v>
          </cell>
          <cell r="E163">
            <v>22740</v>
          </cell>
          <cell r="F163">
            <v>538</v>
          </cell>
          <cell r="G163">
            <v>60</v>
          </cell>
          <cell r="H163">
            <v>478</v>
          </cell>
          <cell r="I163">
            <v>0</v>
          </cell>
          <cell r="J163">
            <v>6962</v>
          </cell>
          <cell r="K163">
            <v>3101</v>
          </cell>
          <cell r="L163">
            <v>357</v>
          </cell>
          <cell r="M163">
            <v>277</v>
          </cell>
          <cell r="N163">
            <v>0</v>
          </cell>
          <cell r="O163">
            <v>80</v>
          </cell>
          <cell r="P163">
            <v>0</v>
          </cell>
          <cell r="Q163">
            <v>252</v>
          </cell>
          <cell r="R163">
            <v>252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1756</v>
          </cell>
          <cell r="X163">
            <v>1476</v>
          </cell>
          <cell r="Y163">
            <v>280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1496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50</v>
          </cell>
          <cell r="AO163">
            <v>1446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256</v>
          </cell>
          <cell r="BB163">
            <v>0</v>
          </cell>
          <cell r="BC163">
            <v>256</v>
          </cell>
        </row>
        <row r="164">
          <cell r="C164" t="str">
            <v>CPH-SECONDARY PACKING</v>
          </cell>
          <cell r="D164">
            <v>60480</v>
          </cell>
          <cell r="E164">
            <v>35730</v>
          </cell>
          <cell r="F164">
            <v>2708</v>
          </cell>
          <cell r="G164">
            <v>752</v>
          </cell>
          <cell r="H164">
            <v>1956</v>
          </cell>
          <cell r="I164">
            <v>0</v>
          </cell>
          <cell r="J164">
            <v>22042</v>
          </cell>
          <cell r="K164">
            <v>8410</v>
          </cell>
          <cell r="L164">
            <v>4759</v>
          </cell>
          <cell r="M164">
            <v>1894</v>
          </cell>
          <cell r="N164">
            <v>158</v>
          </cell>
          <cell r="O164">
            <v>921</v>
          </cell>
          <cell r="P164">
            <v>1786</v>
          </cell>
          <cell r="Q164">
            <v>60</v>
          </cell>
          <cell r="R164">
            <v>60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4151</v>
          </cell>
          <cell r="X164">
            <v>1740</v>
          </cell>
          <cell r="Y164">
            <v>691</v>
          </cell>
          <cell r="Z164">
            <v>650</v>
          </cell>
          <cell r="AA164">
            <v>0</v>
          </cell>
          <cell r="AB164">
            <v>1070</v>
          </cell>
          <cell r="AC164">
            <v>0</v>
          </cell>
          <cell r="AD164">
            <v>0</v>
          </cell>
          <cell r="AE164">
            <v>0</v>
          </cell>
          <cell r="AF164">
            <v>4662</v>
          </cell>
          <cell r="AG164">
            <v>0</v>
          </cell>
          <cell r="AH164">
            <v>10</v>
          </cell>
          <cell r="AI164">
            <v>1386</v>
          </cell>
          <cell r="AJ164">
            <v>0</v>
          </cell>
          <cell r="AK164">
            <v>904</v>
          </cell>
          <cell r="AL164">
            <v>335</v>
          </cell>
          <cell r="AM164">
            <v>0</v>
          </cell>
          <cell r="AN164">
            <v>0</v>
          </cell>
          <cell r="AO164">
            <v>170</v>
          </cell>
          <cell r="AP164">
            <v>835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1022</v>
          </cell>
          <cell r="AX164">
            <v>0</v>
          </cell>
          <cell r="AY164">
            <v>0</v>
          </cell>
          <cell r="AZ164">
            <v>0</v>
          </cell>
          <cell r="BA164">
            <v>1138853</v>
          </cell>
          <cell r="BB164">
            <v>539</v>
          </cell>
          <cell r="BC164">
            <v>1138314</v>
          </cell>
        </row>
        <row r="165">
          <cell r="C165" t="str">
            <v>PCF101</v>
          </cell>
          <cell r="D165">
            <v>30240</v>
          </cell>
          <cell r="E165">
            <v>13650</v>
          </cell>
          <cell r="F165">
            <v>653</v>
          </cell>
          <cell r="G165">
            <v>492</v>
          </cell>
          <cell r="H165">
            <v>161</v>
          </cell>
          <cell r="I165">
            <v>0</v>
          </cell>
          <cell r="J165">
            <v>15937</v>
          </cell>
          <cell r="K165">
            <v>5460</v>
          </cell>
          <cell r="L165">
            <v>4396</v>
          </cell>
          <cell r="M165">
            <v>1591</v>
          </cell>
          <cell r="N165">
            <v>158</v>
          </cell>
          <cell r="O165">
            <v>861</v>
          </cell>
          <cell r="P165">
            <v>1786</v>
          </cell>
          <cell r="Q165">
            <v>60</v>
          </cell>
          <cell r="R165">
            <v>60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3026</v>
          </cell>
          <cell r="X165">
            <v>1740</v>
          </cell>
          <cell r="Y165">
            <v>476</v>
          </cell>
          <cell r="Z165">
            <v>650</v>
          </cell>
          <cell r="AA165">
            <v>0</v>
          </cell>
          <cell r="AB165">
            <v>160</v>
          </cell>
          <cell r="AC165">
            <v>0</v>
          </cell>
          <cell r="AD165">
            <v>0</v>
          </cell>
          <cell r="AE165">
            <v>0</v>
          </cell>
          <cell r="AF165">
            <v>2995</v>
          </cell>
          <cell r="AG165">
            <v>0</v>
          </cell>
          <cell r="AH165">
            <v>10</v>
          </cell>
          <cell r="AI165">
            <v>1056</v>
          </cell>
          <cell r="AJ165">
            <v>0</v>
          </cell>
          <cell r="AK165">
            <v>739</v>
          </cell>
          <cell r="AL165">
            <v>0</v>
          </cell>
          <cell r="AM165">
            <v>0</v>
          </cell>
          <cell r="AN165">
            <v>0</v>
          </cell>
          <cell r="AO165">
            <v>60</v>
          </cell>
          <cell r="AP165">
            <v>680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450</v>
          </cell>
          <cell r="AX165">
            <v>0</v>
          </cell>
          <cell r="AY165">
            <v>0</v>
          </cell>
          <cell r="AZ165">
            <v>0</v>
          </cell>
          <cell r="BA165">
            <v>1061431</v>
          </cell>
          <cell r="BB165">
            <v>288</v>
          </cell>
          <cell r="BC165">
            <v>1061143</v>
          </cell>
        </row>
        <row r="166">
          <cell r="C166" t="str">
            <v>PCF102</v>
          </cell>
          <cell r="D166">
            <v>30240</v>
          </cell>
          <cell r="E166">
            <v>22080</v>
          </cell>
          <cell r="F166">
            <v>2055</v>
          </cell>
          <cell r="G166">
            <v>260</v>
          </cell>
          <cell r="H166">
            <v>1795</v>
          </cell>
          <cell r="I166">
            <v>0</v>
          </cell>
          <cell r="J166">
            <v>6105</v>
          </cell>
          <cell r="K166">
            <v>2950</v>
          </cell>
          <cell r="L166">
            <v>363</v>
          </cell>
          <cell r="M166">
            <v>303</v>
          </cell>
          <cell r="N166">
            <v>0</v>
          </cell>
          <cell r="O166">
            <v>60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1125</v>
          </cell>
          <cell r="X166">
            <v>0</v>
          </cell>
          <cell r="Y166">
            <v>215</v>
          </cell>
          <cell r="Z166">
            <v>0</v>
          </cell>
          <cell r="AA166">
            <v>0</v>
          </cell>
          <cell r="AB166">
            <v>910</v>
          </cell>
          <cell r="AC166">
            <v>0</v>
          </cell>
          <cell r="AD166">
            <v>0</v>
          </cell>
          <cell r="AE166">
            <v>0</v>
          </cell>
          <cell r="AF166">
            <v>1667</v>
          </cell>
          <cell r="AG166">
            <v>0</v>
          </cell>
          <cell r="AH166">
            <v>0</v>
          </cell>
          <cell r="AI166">
            <v>330</v>
          </cell>
          <cell r="AJ166">
            <v>0</v>
          </cell>
          <cell r="AK166">
            <v>165</v>
          </cell>
          <cell r="AL166">
            <v>335</v>
          </cell>
          <cell r="AM166">
            <v>0</v>
          </cell>
          <cell r="AN166">
            <v>0</v>
          </cell>
          <cell r="AO166">
            <v>110</v>
          </cell>
          <cell r="AP166">
            <v>155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572</v>
          </cell>
          <cell r="AX166">
            <v>0</v>
          </cell>
          <cell r="AY166">
            <v>0</v>
          </cell>
          <cell r="AZ166">
            <v>0</v>
          </cell>
          <cell r="BA166">
            <v>77422</v>
          </cell>
          <cell r="BB166">
            <v>251</v>
          </cell>
          <cell r="BC166">
            <v>77171</v>
          </cell>
        </row>
      </sheetData>
      <sheetData sheetId="13" refreshError="1">
        <row r="5">
          <cell r="C5" t="str">
            <v>POT</v>
          </cell>
        </row>
        <row r="109">
          <cell r="B109" t="str">
            <v>PROSES( Menit )</v>
          </cell>
          <cell r="C109" t="str">
            <v>POT</v>
          </cell>
          <cell r="D109" t="str">
            <v>POT Shift Tersedia</v>
          </cell>
          <cell r="E109" t="str">
            <v>Unschedule Time</v>
          </cell>
          <cell r="F109" t="str">
            <v>Unschedule Time Shift Tersedia</v>
          </cell>
          <cell r="G109" t="str">
            <v>Waktu Beproduksi</v>
          </cell>
          <cell r="H109" t="str">
            <v>Waktu Beproduksi Tersedia</v>
          </cell>
          <cell r="I109" t="str">
            <v>Idle Time</v>
          </cell>
          <cell r="J109" t="str">
            <v>Idle Time Tersedia</v>
          </cell>
          <cell r="K109" t="str">
            <v>L2</v>
          </cell>
          <cell r="L109" t="str">
            <v>L21</v>
          </cell>
          <cell r="M109" t="str">
            <v>L22</v>
          </cell>
          <cell r="N109" t="str">
            <v>IG</v>
          </cell>
          <cell r="O109" t="str">
            <v>PPT</v>
          </cell>
          <cell r="P109" t="str">
            <v>PPT Tersedia</v>
          </cell>
          <cell r="Q109" t="str">
            <v>R</v>
          </cell>
          <cell r="R109" t="str">
            <v>R Tersedia</v>
          </cell>
          <cell r="S109" t="str">
            <v>DT</v>
          </cell>
          <cell r="T109" t="str">
            <v>DT Tersedia</v>
          </cell>
          <cell r="U109" t="str">
            <v>Setup</v>
          </cell>
          <cell r="V109" t="str">
            <v>P6</v>
          </cell>
          <cell r="W109" t="str">
            <v>P5</v>
          </cell>
          <cell r="X109" t="str">
            <v>P8</v>
          </cell>
          <cell r="Y109" t="str">
            <v>P9</v>
          </cell>
          <cell r="Z109" t="str">
            <v>Breakdown</v>
          </cell>
          <cell r="AA109" t="str">
            <v>M1</v>
          </cell>
          <cell r="AB109" t="str">
            <v>M2</v>
          </cell>
          <cell r="AC109" t="str">
            <v>M4</v>
          </cell>
          <cell r="AD109" t="str">
            <v>M8</v>
          </cell>
          <cell r="AE109" t="str">
            <v>M9</v>
          </cell>
          <cell r="AF109" t="str">
            <v>Clean</v>
          </cell>
          <cell r="AG109" t="str">
            <v>P2</v>
          </cell>
          <cell r="AH109" t="str">
            <v>P4</v>
          </cell>
          <cell r="AI109" t="str">
            <v>P17</v>
          </cell>
          <cell r="AJ109" t="str">
            <v>P19</v>
          </cell>
          <cell r="AK109" t="str">
            <v>P12</v>
          </cell>
          <cell r="AL109" t="str">
            <v>Trial</v>
          </cell>
          <cell r="AM109" t="str">
            <v>R1</v>
          </cell>
          <cell r="AN109" t="str">
            <v>R2</v>
          </cell>
          <cell r="AO109" t="str">
            <v>Waiting</v>
          </cell>
          <cell r="AP109" t="str">
            <v>L1</v>
          </cell>
          <cell r="AQ109" t="str">
            <v>L3</v>
          </cell>
          <cell r="AR109" t="str">
            <v>H1</v>
          </cell>
          <cell r="AS109" t="str">
            <v>H2</v>
          </cell>
          <cell r="AT109" t="str">
            <v>H4</v>
          </cell>
          <cell r="AU109" t="str">
            <v>H6</v>
          </cell>
          <cell r="AV109" t="str">
            <v>H7</v>
          </cell>
          <cell r="AW109" t="str">
            <v>H8</v>
          </cell>
          <cell r="AX109" t="str">
            <v>P10</v>
          </cell>
          <cell r="AY109" t="str">
            <v>P11</v>
          </cell>
          <cell r="AZ109" t="str">
            <v>P13</v>
          </cell>
          <cell r="BA109" t="str">
            <v>P14</v>
          </cell>
          <cell r="BB109" t="str">
            <v>P16</v>
          </cell>
          <cell r="BC109" t="str">
            <v>M5</v>
          </cell>
          <cell r="BD109" t="str">
            <v>M6</v>
          </cell>
          <cell r="BE109" t="str">
            <v>M7</v>
          </cell>
          <cell r="BF109" t="str">
            <v>Q1</v>
          </cell>
          <cell r="BG109" t="str">
            <v>Q2</v>
          </cell>
          <cell r="BH109" t="str">
            <v>Q3</v>
          </cell>
          <cell r="BI109" t="str">
            <v>Q4</v>
          </cell>
          <cell r="BJ109" t="str">
            <v>Total Output</v>
          </cell>
          <cell r="BK109" t="str">
            <v>Reject Output</v>
          </cell>
          <cell r="BL109" t="str">
            <v>Good Output</v>
          </cell>
        </row>
        <row r="110">
          <cell r="B110" t="str">
            <v>NBL SOL-MIXING</v>
          </cell>
          <cell r="C110">
            <v>93600</v>
          </cell>
          <cell r="D110">
            <v>60450</v>
          </cell>
          <cell r="E110">
            <v>64770</v>
          </cell>
          <cell r="F110">
            <v>31620</v>
          </cell>
          <cell r="G110">
            <v>28830</v>
          </cell>
          <cell r="H110">
            <v>28830</v>
          </cell>
          <cell r="I110">
            <v>3455</v>
          </cell>
          <cell r="J110">
            <v>3455</v>
          </cell>
          <cell r="K110">
            <v>3425</v>
          </cell>
          <cell r="L110">
            <v>230</v>
          </cell>
          <cell r="M110">
            <v>3195</v>
          </cell>
          <cell r="N110">
            <v>30</v>
          </cell>
          <cell r="O110">
            <v>25375</v>
          </cell>
          <cell r="P110">
            <v>25375</v>
          </cell>
          <cell r="Q110">
            <v>3977</v>
          </cell>
          <cell r="R110">
            <v>3977</v>
          </cell>
          <cell r="S110">
            <v>21398</v>
          </cell>
          <cell r="T110">
            <v>21398</v>
          </cell>
          <cell r="U110">
            <v>852</v>
          </cell>
          <cell r="V110">
            <v>852</v>
          </cell>
          <cell r="W110">
            <v>0</v>
          </cell>
          <cell r="X110">
            <v>0</v>
          </cell>
          <cell r="Y110">
            <v>0</v>
          </cell>
          <cell r="Z110">
            <v>65</v>
          </cell>
          <cell r="AA110">
            <v>50</v>
          </cell>
          <cell r="AB110">
            <v>0</v>
          </cell>
          <cell r="AC110">
            <v>0</v>
          </cell>
          <cell r="AD110">
            <v>15</v>
          </cell>
          <cell r="AE110">
            <v>0</v>
          </cell>
          <cell r="AF110">
            <v>9699</v>
          </cell>
          <cell r="AG110">
            <v>5406</v>
          </cell>
          <cell r="AH110">
            <v>3606</v>
          </cell>
          <cell r="AI110">
            <v>79</v>
          </cell>
          <cell r="AJ110">
            <v>0</v>
          </cell>
          <cell r="AK110">
            <v>608</v>
          </cell>
          <cell r="AL110">
            <v>2725</v>
          </cell>
          <cell r="AM110">
            <v>0</v>
          </cell>
          <cell r="AN110">
            <v>2725</v>
          </cell>
          <cell r="AO110">
            <v>8057</v>
          </cell>
          <cell r="AP110">
            <v>320</v>
          </cell>
          <cell r="AQ110">
            <v>0</v>
          </cell>
          <cell r="AR110">
            <v>1257</v>
          </cell>
          <cell r="AS110">
            <v>0</v>
          </cell>
          <cell r="AT110">
            <v>930</v>
          </cell>
          <cell r="AU110">
            <v>0</v>
          </cell>
          <cell r="AV110">
            <v>0</v>
          </cell>
          <cell r="AW110">
            <v>0</v>
          </cell>
          <cell r="AX110">
            <v>4744</v>
          </cell>
          <cell r="AY110">
            <v>0</v>
          </cell>
          <cell r="AZ110">
            <v>0</v>
          </cell>
          <cell r="BA110">
            <v>588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218</v>
          </cell>
          <cell r="BG110">
            <v>0</v>
          </cell>
          <cell r="BH110">
            <v>0</v>
          </cell>
          <cell r="BI110">
            <v>0</v>
          </cell>
          <cell r="BJ110">
            <v>7925.52</v>
          </cell>
          <cell r="BK110">
            <v>0</v>
          </cell>
          <cell r="BL110">
            <v>7925.52</v>
          </cell>
        </row>
        <row r="111">
          <cell r="B111" t="str">
            <v>MIX113</v>
          </cell>
          <cell r="C111">
            <v>31680</v>
          </cell>
          <cell r="D111">
            <v>20460</v>
          </cell>
          <cell r="E111">
            <v>15480</v>
          </cell>
          <cell r="F111">
            <v>4260</v>
          </cell>
          <cell r="G111">
            <v>16200</v>
          </cell>
          <cell r="H111">
            <v>16200</v>
          </cell>
          <cell r="I111">
            <v>2400</v>
          </cell>
          <cell r="J111">
            <v>2400</v>
          </cell>
          <cell r="K111">
            <v>2370</v>
          </cell>
          <cell r="L111">
            <v>30</v>
          </cell>
          <cell r="M111">
            <v>2340</v>
          </cell>
          <cell r="N111">
            <v>30</v>
          </cell>
          <cell r="O111">
            <v>13800</v>
          </cell>
          <cell r="P111">
            <v>13800</v>
          </cell>
          <cell r="Q111">
            <v>886</v>
          </cell>
          <cell r="R111">
            <v>886</v>
          </cell>
          <cell r="S111">
            <v>12914</v>
          </cell>
          <cell r="T111">
            <v>12914</v>
          </cell>
          <cell r="U111">
            <v>450</v>
          </cell>
          <cell r="V111">
            <v>450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3755</v>
          </cell>
          <cell r="AG111">
            <v>1303</v>
          </cell>
          <cell r="AH111">
            <v>2234</v>
          </cell>
          <cell r="AI111">
            <v>0</v>
          </cell>
          <cell r="AJ111">
            <v>0</v>
          </cell>
          <cell r="AK111">
            <v>218</v>
          </cell>
          <cell r="AL111">
            <v>2725</v>
          </cell>
          <cell r="AM111">
            <v>0</v>
          </cell>
          <cell r="AN111">
            <v>2725</v>
          </cell>
          <cell r="AO111">
            <v>5984</v>
          </cell>
          <cell r="AP111">
            <v>75</v>
          </cell>
          <cell r="AQ111">
            <v>0</v>
          </cell>
          <cell r="AR111">
            <v>477</v>
          </cell>
          <cell r="AS111">
            <v>0</v>
          </cell>
          <cell r="AT111">
            <v>420</v>
          </cell>
          <cell r="AU111">
            <v>0</v>
          </cell>
          <cell r="AV111">
            <v>0</v>
          </cell>
          <cell r="AW111">
            <v>0</v>
          </cell>
          <cell r="AX111">
            <v>4744</v>
          </cell>
          <cell r="AY111">
            <v>0</v>
          </cell>
          <cell r="AZ111">
            <v>0</v>
          </cell>
          <cell r="BA111">
            <v>50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218</v>
          </cell>
          <cell r="BG111">
            <v>0</v>
          </cell>
          <cell r="BH111">
            <v>0</v>
          </cell>
          <cell r="BI111">
            <v>0</v>
          </cell>
          <cell r="BJ111">
            <v>5330.44</v>
          </cell>
          <cell r="BK111">
            <v>0</v>
          </cell>
          <cell r="BL111">
            <v>5330.44</v>
          </cell>
        </row>
        <row r="112">
          <cell r="B112" t="str">
            <v>LMIXSOL1</v>
          </cell>
          <cell r="C112">
            <v>31680</v>
          </cell>
          <cell r="D112">
            <v>20460</v>
          </cell>
          <cell r="E112">
            <v>25860</v>
          </cell>
          <cell r="F112">
            <v>14640</v>
          </cell>
          <cell r="G112">
            <v>5820</v>
          </cell>
          <cell r="H112">
            <v>5820</v>
          </cell>
          <cell r="I112">
            <v>1055</v>
          </cell>
          <cell r="J112">
            <v>1055</v>
          </cell>
          <cell r="K112">
            <v>1055</v>
          </cell>
          <cell r="L112">
            <v>200</v>
          </cell>
          <cell r="M112">
            <v>855</v>
          </cell>
          <cell r="N112">
            <v>0</v>
          </cell>
          <cell r="O112">
            <v>4765</v>
          </cell>
          <cell r="P112">
            <v>4765</v>
          </cell>
          <cell r="Q112">
            <v>945</v>
          </cell>
          <cell r="R112">
            <v>945</v>
          </cell>
          <cell r="S112">
            <v>3820</v>
          </cell>
          <cell r="T112">
            <v>3820</v>
          </cell>
          <cell r="U112">
            <v>170</v>
          </cell>
          <cell r="V112">
            <v>170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2672</v>
          </cell>
          <cell r="AG112">
            <v>1407</v>
          </cell>
          <cell r="AH112">
            <v>1064</v>
          </cell>
          <cell r="AI112">
            <v>1</v>
          </cell>
          <cell r="AJ112">
            <v>0</v>
          </cell>
          <cell r="AK112">
            <v>200</v>
          </cell>
          <cell r="AL112">
            <v>0</v>
          </cell>
          <cell r="AM112">
            <v>0</v>
          </cell>
          <cell r="AN112">
            <v>0</v>
          </cell>
          <cell r="AO112">
            <v>978</v>
          </cell>
          <cell r="AP112">
            <v>110</v>
          </cell>
          <cell r="AQ112">
            <v>0</v>
          </cell>
          <cell r="AR112">
            <v>360</v>
          </cell>
          <cell r="AS112">
            <v>0</v>
          </cell>
          <cell r="AT112">
            <v>285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223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504.36</v>
          </cell>
          <cell r="BK112">
            <v>0</v>
          </cell>
          <cell r="BL112">
            <v>504.36</v>
          </cell>
        </row>
        <row r="113">
          <cell r="B113" t="str">
            <v>LMIXSOL2</v>
          </cell>
          <cell r="C113">
            <v>30240</v>
          </cell>
          <cell r="D113">
            <v>19530</v>
          </cell>
          <cell r="E113">
            <v>23430</v>
          </cell>
          <cell r="F113">
            <v>12720</v>
          </cell>
          <cell r="G113">
            <v>6810</v>
          </cell>
          <cell r="H113">
            <v>6810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6810</v>
          </cell>
          <cell r="P113">
            <v>6810</v>
          </cell>
          <cell r="Q113">
            <v>2146</v>
          </cell>
          <cell r="R113">
            <v>2146</v>
          </cell>
          <cell r="S113">
            <v>4664</v>
          </cell>
          <cell r="T113">
            <v>4664</v>
          </cell>
          <cell r="U113">
            <v>232</v>
          </cell>
          <cell r="V113">
            <v>232</v>
          </cell>
          <cell r="W113">
            <v>0</v>
          </cell>
          <cell r="X113">
            <v>0</v>
          </cell>
          <cell r="Y113">
            <v>0</v>
          </cell>
          <cell r="Z113">
            <v>65</v>
          </cell>
          <cell r="AA113">
            <v>50</v>
          </cell>
          <cell r="AB113">
            <v>0</v>
          </cell>
          <cell r="AC113">
            <v>0</v>
          </cell>
          <cell r="AD113">
            <v>15</v>
          </cell>
          <cell r="AE113">
            <v>0</v>
          </cell>
          <cell r="AF113">
            <v>3272</v>
          </cell>
          <cell r="AG113">
            <v>2696</v>
          </cell>
          <cell r="AH113">
            <v>308</v>
          </cell>
          <cell r="AI113">
            <v>78</v>
          </cell>
          <cell r="AJ113">
            <v>0</v>
          </cell>
          <cell r="AK113">
            <v>190</v>
          </cell>
          <cell r="AL113">
            <v>0</v>
          </cell>
          <cell r="AM113">
            <v>0</v>
          </cell>
          <cell r="AN113">
            <v>0</v>
          </cell>
          <cell r="AO113">
            <v>1095</v>
          </cell>
          <cell r="AP113">
            <v>135</v>
          </cell>
          <cell r="AQ113">
            <v>0</v>
          </cell>
          <cell r="AR113">
            <v>420</v>
          </cell>
          <cell r="AS113">
            <v>0</v>
          </cell>
          <cell r="AT113">
            <v>225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315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2090.7199999999998</v>
          </cell>
          <cell r="BK113">
            <v>0</v>
          </cell>
          <cell r="BL113">
            <v>2090.7199999999998</v>
          </cell>
        </row>
        <row r="114">
          <cell r="B114" t="str">
            <v>NBL SOL-COATING</v>
          </cell>
          <cell r="C114">
            <v>60480</v>
          </cell>
          <cell r="D114">
            <v>20160</v>
          </cell>
          <cell r="E114">
            <v>49920</v>
          </cell>
          <cell r="F114">
            <v>9600</v>
          </cell>
          <cell r="G114">
            <v>10560</v>
          </cell>
          <cell r="H114">
            <v>10560</v>
          </cell>
          <cell r="I114">
            <v>120</v>
          </cell>
          <cell r="J114">
            <v>120</v>
          </cell>
          <cell r="K114">
            <v>120</v>
          </cell>
          <cell r="L114">
            <v>0</v>
          </cell>
          <cell r="M114">
            <v>120</v>
          </cell>
          <cell r="N114">
            <v>0</v>
          </cell>
          <cell r="O114">
            <v>10440</v>
          </cell>
          <cell r="P114">
            <v>10440</v>
          </cell>
          <cell r="Q114">
            <v>4845</v>
          </cell>
          <cell r="R114">
            <v>4845</v>
          </cell>
          <cell r="S114">
            <v>5595</v>
          </cell>
          <cell r="T114">
            <v>5595</v>
          </cell>
          <cell r="U114">
            <v>285</v>
          </cell>
          <cell r="V114">
            <v>175</v>
          </cell>
          <cell r="W114">
            <v>0</v>
          </cell>
          <cell r="X114">
            <v>110</v>
          </cell>
          <cell r="Y114">
            <v>0</v>
          </cell>
          <cell r="Z114">
            <v>55</v>
          </cell>
          <cell r="AA114">
            <v>25</v>
          </cell>
          <cell r="AB114">
            <v>0</v>
          </cell>
          <cell r="AC114">
            <v>0</v>
          </cell>
          <cell r="AD114">
            <v>30</v>
          </cell>
          <cell r="AE114">
            <v>0</v>
          </cell>
          <cell r="AF114">
            <v>3575</v>
          </cell>
          <cell r="AG114">
            <v>1075</v>
          </cell>
          <cell r="AH114">
            <v>2135</v>
          </cell>
          <cell r="AI114">
            <v>0</v>
          </cell>
          <cell r="AJ114">
            <v>0</v>
          </cell>
          <cell r="AK114">
            <v>365</v>
          </cell>
          <cell r="AL114">
            <v>0</v>
          </cell>
          <cell r="AM114">
            <v>0</v>
          </cell>
          <cell r="AN114">
            <v>0</v>
          </cell>
          <cell r="AO114">
            <v>1680</v>
          </cell>
          <cell r="AP114">
            <v>0</v>
          </cell>
          <cell r="AQ114">
            <v>0</v>
          </cell>
          <cell r="AR114">
            <v>480</v>
          </cell>
          <cell r="AS114">
            <v>0</v>
          </cell>
          <cell r="AT114">
            <v>475</v>
          </cell>
          <cell r="AU114">
            <v>0</v>
          </cell>
          <cell r="AV114">
            <v>0</v>
          </cell>
          <cell r="AW114">
            <v>0</v>
          </cell>
          <cell r="AX114">
            <v>380</v>
          </cell>
          <cell r="AY114">
            <v>210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110</v>
          </cell>
          <cell r="BG114">
            <v>0</v>
          </cell>
          <cell r="BH114">
            <v>25</v>
          </cell>
          <cell r="BI114">
            <v>0</v>
          </cell>
          <cell r="BJ114">
            <v>2206.91</v>
          </cell>
          <cell r="BK114">
            <v>0.75</v>
          </cell>
          <cell r="BL114">
            <v>2206.16</v>
          </cell>
        </row>
        <row r="115">
          <cell r="B115" t="str">
            <v>COT101</v>
          </cell>
          <cell r="C115">
            <v>30240</v>
          </cell>
          <cell r="D115">
            <v>10080</v>
          </cell>
          <cell r="E115">
            <v>25410</v>
          </cell>
          <cell r="F115">
            <v>5250</v>
          </cell>
          <cell r="G115">
            <v>4830</v>
          </cell>
          <cell r="H115">
            <v>4830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4830</v>
          </cell>
          <cell r="P115">
            <v>4830</v>
          </cell>
          <cell r="Q115">
            <v>1980</v>
          </cell>
          <cell r="R115">
            <v>1980</v>
          </cell>
          <cell r="S115">
            <v>2850</v>
          </cell>
          <cell r="T115">
            <v>2850</v>
          </cell>
          <cell r="U115">
            <v>165</v>
          </cell>
          <cell r="V115">
            <v>95</v>
          </cell>
          <cell r="W115">
            <v>0</v>
          </cell>
          <cell r="X115">
            <v>70</v>
          </cell>
          <cell r="Y115">
            <v>0</v>
          </cell>
          <cell r="Z115">
            <v>25</v>
          </cell>
          <cell r="AA115">
            <v>25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1750</v>
          </cell>
          <cell r="AG115">
            <v>510</v>
          </cell>
          <cell r="AH115">
            <v>1080</v>
          </cell>
          <cell r="AI115">
            <v>0</v>
          </cell>
          <cell r="AJ115">
            <v>0</v>
          </cell>
          <cell r="AK115">
            <v>160</v>
          </cell>
          <cell r="AL115">
            <v>0</v>
          </cell>
          <cell r="AM115">
            <v>0</v>
          </cell>
          <cell r="AN115">
            <v>0</v>
          </cell>
          <cell r="AO115">
            <v>910</v>
          </cell>
          <cell r="AP115">
            <v>0</v>
          </cell>
          <cell r="AQ115">
            <v>0</v>
          </cell>
          <cell r="AR115">
            <v>300</v>
          </cell>
          <cell r="AS115">
            <v>0</v>
          </cell>
          <cell r="AT115">
            <v>315</v>
          </cell>
          <cell r="AU115">
            <v>0</v>
          </cell>
          <cell r="AV115">
            <v>0</v>
          </cell>
          <cell r="AW115">
            <v>0</v>
          </cell>
          <cell r="AX115">
            <v>135</v>
          </cell>
          <cell r="AY115">
            <v>80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55</v>
          </cell>
          <cell r="BG115">
            <v>0</v>
          </cell>
          <cell r="BH115">
            <v>25</v>
          </cell>
          <cell r="BI115">
            <v>0</v>
          </cell>
          <cell r="BJ115">
            <v>499.2</v>
          </cell>
          <cell r="BK115">
            <v>0.21</v>
          </cell>
          <cell r="BL115">
            <v>498.99</v>
          </cell>
        </row>
        <row r="116">
          <cell r="B116" t="str">
            <v>COT102</v>
          </cell>
          <cell r="C116">
            <v>30240</v>
          </cell>
          <cell r="D116">
            <v>10080</v>
          </cell>
          <cell r="E116">
            <v>24510</v>
          </cell>
          <cell r="F116">
            <v>4350</v>
          </cell>
          <cell r="G116">
            <v>5730</v>
          </cell>
          <cell r="H116">
            <v>5730</v>
          </cell>
          <cell r="I116">
            <v>120</v>
          </cell>
          <cell r="J116">
            <v>120</v>
          </cell>
          <cell r="K116">
            <v>120</v>
          </cell>
          <cell r="L116">
            <v>0</v>
          </cell>
          <cell r="M116">
            <v>120</v>
          </cell>
          <cell r="N116">
            <v>0</v>
          </cell>
          <cell r="O116">
            <v>5610</v>
          </cell>
          <cell r="P116">
            <v>5610</v>
          </cell>
          <cell r="Q116">
            <v>2865</v>
          </cell>
          <cell r="R116">
            <v>2865</v>
          </cell>
          <cell r="S116">
            <v>2745</v>
          </cell>
          <cell r="T116">
            <v>2745</v>
          </cell>
          <cell r="U116">
            <v>120</v>
          </cell>
          <cell r="V116">
            <v>80</v>
          </cell>
          <cell r="W116">
            <v>0</v>
          </cell>
          <cell r="X116">
            <v>40</v>
          </cell>
          <cell r="Y116">
            <v>0</v>
          </cell>
          <cell r="Z116">
            <v>30</v>
          </cell>
          <cell r="AA116">
            <v>0</v>
          </cell>
          <cell r="AB116">
            <v>0</v>
          </cell>
          <cell r="AC116">
            <v>0</v>
          </cell>
          <cell r="AD116">
            <v>30</v>
          </cell>
          <cell r="AE116">
            <v>0</v>
          </cell>
          <cell r="AF116">
            <v>1825</v>
          </cell>
          <cell r="AG116">
            <v>565</v>
          </cell>
          <cell r="AH116">
            <v>1055</v>
          </cell>
          <cell r="AI116">
            <v>0</v>
          </cell>
          <cell r="AJ116">
            <v>0</v>
          </cell>
          <cell r="AK116">
            <v>205</v>
          </cell>
          <cell r="AL116">
            <v>0</v>
          </cell>
          <cell r="AM116">
            <v>0</v>
          </cell>
          <cell r="AN116">
            <v>0</v>
          </cell>
          <cell r="AO116">
            <v>770</v>
          </cell>
          <cell r="AP116">
            <v>0</v>
          </cell>
          <cell r="AQ116">
            <v>0</v>
          </cell>
          <cell r="AR116">
            <v>180</v>
          </cell>
          <cell r="AS116">
            <v>0</v>
          </cell>
          <cell r="AT116">
            <v>160</v>
          </cell>
          <cell r="AU116">
            <v>0</v>
          </cell>
          <cell r="AV116">
            <v>0</v>
          </cell>
          <cell r="AW116">
            <v>0</v>
          </cell>
          <cell r="AX116">
            <v>245</v>
          </cell>
          <cell r="AY116">
            <v>130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55</v>
          </cell>
          <cell r="BG116">
            <v>0</v>
          </cell>
          <cell r="BH116">
            <v>0</v>
          </cell>
          <cell r="BI116">
            <v>0</v>
          </cell>
          <cell r="BJ116">
            <v>1707.71</v>
          </cell>
          <cell r="BK116">
            <v>0.54</v>
          </cell>
          <cell r="BL116">
            <v>1707.17</v>
          </cell>
        </row>
        <row r="117">
          <cell r="B117" t="str">
            <v>NBL SOL-TABLETING</v>
          </cell>
          <cell r="C117">
            <v>90720</v>
          </cell>
          <cell r="D117">
            <v>49140</v>
          </cell>
          <cell r="E117">
            <v>54510</v>
          </cell>
          <cell r="F117">
            <v>12930</v>
          </cell>
          <cell r="G117">
            <v>36210</v>
          </cell>
          <cell r="H117">
            <v>36210</v>
          </cell>
          <cell r="I117">
            <v>4510</v>
          </cell>
          <cell r="J117">
            <v>4510</v>
          </cell>
          <cell r="K117">
            <v>4510</v>
          </cell>
          <cell r="L117">
            <v>0</v>
          </cell>
          <cell r="M117">
            <v>4510</v>
          </cell>
          <cell r="N117">
            <v>0</v>
          </cell>
          <cell r="O117">
            <v>31700</v>
          </cell>
          <cell r="P117">
            <v>31700</v>
          </cell>
          <cell r="Q117">
            <v>11145</v>
          </cell>
          <cell r="R117">
            <v>11145</v>
          </cell>
          <cell r="S117">
            <v>20555</v>
          </cell>
          <cell r="T117">
            <v>20555</v>
          </cell>
          <cell r="U117">
            <v>3835</v>
          </cell>
          <cell r="V117">
            <v>2800</v>
          </cell>
          <cell r="W117">
            <v>0</v>
          </cell>
          <cell r="X117">
            <v>115</v>
          </cell>
          <cell r="Y117">
            <v>920</v>
          </cell>
          <cell r="Z117">
            <v>60</v>
          </cell>
          <cell r="AA117">
            <v>60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5425</v>
          </cell>
          <cell r="AG117">
            <v>950</v>
          </cell>
          <cell r="AH117">
            <v>3480</v>
          </cell>
          <cell r="AI117">
            <v>80</v>
          </cell>
          <cell r="AJ117">
            <v>0</v>
          </cell>
          <cell r="AK117">
            <v>915</v>
          </cell>
          <cell r="AL117">
            <v>2055</v>
          </cell>
          <cell r="AM117">
            <v>0</v>
          </cell>
          <cell r="AN117">
            <v>2055</v>
          </cell>
          <cell r="AO117">
            <v>9180</v>
          </cell>
          <cell r="AP117">
            <v>0</v>
          </cell>
          <cell r="AQ117">
            <v>0</v>
          </cell>
          <cell r="AR117">
            <v>1665</v>
          </cell>
          <cell r="AS117">
            <v>0</v>
          </cell>
          <cell r="AT117">
            <v>1460</v>
          </cell>
          <cell r="AU117">
            <v>395</v>
          </cell>
          <cell r="AV117">
            <v>0</v>
          </cell>
          <cell r="AW117">
            <v>0</v>
          </cell>
          <cell r="AX117">
            <v>1615</v>
          </cell>
          <cell r="AY117">
            <v>555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2610</v>
          </cell>
          <cell r="BG117">
            <v>790</v>
          </cell>
          <cell r="BH117">
            <v>0</v>
          </cell>
          <cell r="BI117">
            <v>90</v>
          </cell>
          <cell r="BJ117">
            <v>11550176</v>
          </cell>
          <cell r="BK117">
            <v>6670</v>
          </cell>
          <cell r="BL117">
            <v>11543506</v>
          </cell>
        </row>
        <row r="118">
          <cell r="B118" t="str">
            <v>TAB101</v>
          </cell>
          <cell r="C118">
            <v>30240</v>
          </cell>
          <cell r="D118">
            <v>19530</v>
          </cell>
          <cell r="E118">
            <v>15720</v>
          </cell>
          <cell r="F118">
            <v>5010</v>
          </cell>
          <cell r="G118">
            <v>14520</v>
          </cell>
          <cell r="H118">
            <v>14520</v>
          </cell>
          <cell r="I118">
            <v>2055</v>
          </cell>
          <cell r="J118">
            <v>2055</v>
          </cell>
          <cell r="K118">
            <v>2055</v>
          </cell>
          <cell r="L118">
            <v>0</v>
          </cell>
          <cell r="M118">
            <v>2055</v>
          </cell>
          <cell r="N118">
            <v>0</v>
          </cell>
          <cell r="O118">
            <v>12465</v>
          </cell>
          <cell r="P118">
            <v>12465</v>
          </cell>
          <cell r="Q118">
            <v>4295</v>
          </cell>
          <cell r="R118">
            <v>4295</v>
          </cell>
          <cell r="S118">
            <v>8170</v>
          </cell>
          <cell r="T118">
            <v>8170</v>
          </cell>
          <cell r="U118">
            <v>1940</v>
          </cell>
          <cell r="V118">
            <v>1180</v>
          </cell>
          <cell r="W118">
            <v>0</v>
          </cell>
          <cell r="X118">
            <v>60</v>
          </cell>
          <cell r="Y118">
            <v>700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2055</v>
          </cell>
          <cell r="AG118">
            <v>340</v>
          </cell>
          <cell r="AH118">
            <v>1250</v>
          </cell>
          <cell r="AI118">
            <v>40</v>
          </cell>
          <cell r="AJ118">
            <v>0</v>
          </cell>
          <cell r="AK118">
            <v>425</v>
          </cell>
          <cell r="AL118">
            <v>990</v>
          </cell>
          <cell r="AM118">
            <v>0</v>
          </cell>
          <cell r="AN118">
            <v>990</v>
          </cell>
          <cell r="AO118">
            <v>3185</v>
          </cell>
          <cell r="AP118">
            <v>0</v>
          </cell>
          <cell r="AQ118">
            <v>0</v>
          </cell>
          <cell r="AR118">
            <v>690</v>
          </cell>
          <cell r="AS118">
            <v>0</v>
          </cell>
          <cell r="AT118">
            <v>565</v>
          </cell>
          <cell r="AU118">
            <v>120</v>
          </cell>
          <cell r="AV118">
            <v>0</v>
          </cell>
          <cell r="AW118">
            <v>0</v>
          </cell>
          <cell r="AX118">
            <v>435</v>
          </cell>
          <cell r="AY118">
            <v>195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970</v>
          </cell>
          <cell r="BG118">
            <v>120</v>
          </cell>
          <cell r="BH118">
            <v>0</v>
          </cell>
          <cell r="BI118">
            <v>90</v>
          </cell>
          <cell r="BJ118">
            <v>7380893</v>
          </cell>
          <cell r="BK118">
            <v>5173</v>
          </cell>
          <cell r="BL118">
            <v>7375720</v>
          </cell>
        </row>
        <row r="119">
          <cell r="B119" t="str">
            <v>TAB105</v>
          </cell>
          <cell r="C119">
            <v>30240</v>
          </cell>
          <cell r="D119">
            <v>19530</v>
          </cell>
          <cell r="E119">
            <v>14820</v>
          </cell>
          <cell r="F119">
            <v>4110</v>
          </cell>
          <cell r="G119">
            <v>15420</v>
          </cell>
          <cell r="H119">
            <v>15420</v>
          </cell>
          <cell r="I119">
            <v>865</v>
          </cell>
          <cell r="J119">
            <v>865</v>
          </cell>
          <cell r="K119">
            <v>865</v>
          </cell>
          <cell r="L119">
            <v>0</v>
          </cell>
          <cell r="M119">
            <v>865</v>
          </cell>
          <cell r="N119">
            <v>0</v>
          </cell>
          <cell r="O119">
            <v>14555</v>
          </cell>
          <cell r="P119">
            <v>14555</v>
          </cell>
          <cell r="Q119">
            <v>5555</v>
          </cell>
          <cell r="R119">
            <v>5555</v>
          </cell>
          <cell r="S119">
            <v>9000</v>
          </cell>
          <cell r="T119">
            <v>9000</v>
          </cell>
          <cell r="U119">
            <v>1435</v>
          </cell>
          <cell r="V119">
            <v>1160</v>
          </cell>
          <cell r="W119">
            <v>0</v>
          </cell>
          <cell r="X119">
            <v>55</v>
          </cell>
          <cell r="Y119">
            <v>220</v>
          </cell>
          <cell r="Z119">
            <v>60</v>
          </cell>
          <cell r="AA119">
            <v>60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2365</v>
          </cell>
          <cell r="AG119">
            <v>475</v>
          </cell>
          <cell r="AH119">
            <v>1575</v>
          </cell>
          <cell r="AI119">
            <v>40</v>
          </cell>
          <cell r="AJ119">
            <v>0</v>
          </cell>
          <cell r="AK119">
            <v>275</v>
          </cell>
          <cell r="AL119">
            <v>1065</v>
          </cell>
          <cell r="AM119">
            <v>0</v>
          </cell>
          <cell r="AN119">
            <v>1065</v>
          </cell>
          <cell r="AO119">
            <v>4075</v>
          </cell>
          <cell r="AP119">
            <v>0</v>
          </cell>
          <cell r="AQ119">
            <v>0</v>
          </cell>
          <cell r="AR119">
            <v>795</v>
          </cell>
          <cell r="AS119">
            <v>0</v>
          </cell>
          <cell r="AT119">
            <v>790</v>
          </cell>
          <cell r="AU119">
            <v>45</v>
          </cell>
          <cell r="AV119">
            <v>0</v>
          </cell>
          <cell r="AW119">
            <v>0</v>
          </cell>
          <cell r="AX119">
            <v>790</v>
          </cell>
          <cell r="AY119">
            <v>225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1060</v>
          </cell>
          <cell r="BG119">
            <v>370</v>
          </cell>
          <cell r="BH119">
            <v>0</v>
          </cell>
          <cell r="BI119">
            <v>0</v>
          </cell>
          <cell r="BJ119">
            <v>3117373</v>
          </cell>
          <cell r="BK119">
            <v>1497</v>
          </cell>
          <cell r="BL119">
            <v>3115876</v>
          </cell>
        </row>
        <row r="120">
          <cell r="B120" t="str">
            <v>TAB103</v>
          </cell>
          <cell r="C120">
            <v>30240</v>
          </cell>
          <cell r="D120">
            <v>10080</v>
          </cell>
          <cell r="E120">
            <v>23970</v>
          </cell>
          <cell r="F120">
            <v>3810</v>
          </cell>
          <cell r="G120">
            <v>6270</v>
          </cell>
          <cell r="H120">
            <v>6270</v>
          </cell>
          <cell r="I120">
            <v>1590</v>
          </cell>
          <cell r="J120">
            <v>1590</v>
          </cell>
          <cell r="K120">
            <v>1590</v>
          </cell>
          <cell r="L120">
            <v>0</v>
          </cell>
          <cell r="M120">
            <v>1590</v>
          </cell>
          <cell r="N120">
            <v>0</v>
          </cell>
          <cell r="O120">
            <v>4680</v>
          </cell>
          <cell r="P120">
            <v>4680</v>
          </cell>
          <cell r="Q120">
            <v>1295</v>
          </cell>
          <cell r="R120">
            <v>1295</v>
          </cell>
          <cell r="S120">
            <v>3385</v>
          </cell>
          <cell r="T120">
            <v>3385</v>
          </cell>
          <cell r="U120">
            <v>460</v>
          </cell>
          <cell r="V120">
            <v>460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1005</v>
          </cell>
          <cell r="AG120">
            <v>135</v>
          </cell>
          <cell r="AH120">
            <v>655</v>
          </cell>
          <cell r="AI120">
            <v>0</v>
          </cell>
          <cell r="AJ120">
            <v>0</v>
          </cell>
          <cell r="AK120">
            <v>215</v>
          </cell>
          <cell r="AL120">
            <v>0</v>
          </cell>
          <cell r="AM120">
            <v>0</v>
          </cell>
          <cell r="AN120">
            <v>0</v>
          </cell>
          <cell r="AO120">
            <v>1920</v>
          </cell>
          <cell r="AP120">
            <v>0</v>
          </cell>
          <cell r="AQ120">
            <v>0</v>
          </cell>
          <cell r="AR120">
            <v>180</v>
          </cell>
          <cell r="AS120">
            <v>0</v>
          </cell>
          <cell r="AT120">
            <v>105</v>
          </cell>
          <cell r="AU120">
            <v>230</v>
          </cell>
          <cell r="AV120">
            <v>0</v>
          </cell>
          <cell r="AW120">
            <v>0</v>
          </cell>
          <cell r="AX120">
            <v>390</v>
          </cell>
          <cell r="AY120">
            <v>135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580</v>
          </cell>
          <cell r="BG120">
            <v>300</v>
          </cell>
          <cell r="BH120">
            <v>0</v>
          </cell>
          <cell r="BI120">
            <v>0</v>
          </cell>
          <cell r="BJ120">
            <v>1051910</v>
          </cell>
          <cell r="BK120">
            <v>0</v>
          </cell>
          <cell r="BL120">
            <v>1051910</v>
          </cell>
        </row>
        <row r="121">
          <cell r="B121" t="str">
            <v>NBL SOL-CAPSULE</v>
          </cell>
          <cell r="C121">
            <v>60480</v>
          </cell>
          <cell r="D121">
            <v>20160</v>
          </cell>
          <cell r="E121">
            <v>52830</v>
          </cell>
          <cell r="F121">
            <v>12510</v>
          </cell>
          <cell r="G121">
            <v>7650</v>
          </cell>
          <cell r="H121">
            <v>7650</v>
          </cell>
          <cell r="I121">
            <v>1720</v>
          </cell>
          <cell r="J121">
            <v>1720</v>
          </cell>
          <cell r="K121">
            <v>1720</v>
          </cell>
          <cell r="L121">
            <v>0</v>
          </cell>
          <cell r="M121">
            <v>1720</v>
          </cell>
          <cell r="N121">
            <v>0</v>
          </cell>
          <cell r="O121">
            <v>5930</v>
          </cell>
          <cell r="P121">
            <v>5930</v>
          </cell>
          <cell r="Q121">
            <v>1135</v>
          </cell>
          <cell r="R121">
            <v>1135</v>
          </cell>
          <cell r="S121">
            <v>4795</v>
          </cell>
          <cell r="T121">
            <v>4795</v>
          </cell>
          <cell r="U121">
            <v>525</v>
          </cell>
          <cell r="V121">
            <v>490</v>
          </cell>
          <cell r="W121">
            <v>0</v>
          </cell>
          <cell r="X121">
            <v>0</v>
          </cell>
          <cell r="Y121">
            <v>35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1135</v>
          </cell>
          <cell r="AG121">
            <v>530</v>
          </cell>
          <cell r="AH121">
            <v>515</v>
          </cell>
          <cell r="AI121">
            <v>35</v>
          </cell>
          <cell r="AJ121">
            <v>0</v>
          </cell>
          <cell r="AK121">
            <v>55</v>
          </cell>
          <cell r="AL121">
            <v>2040</v>
          </cell>
          <cell r="AM121">
            <v>0</v>
          </cell>
          <cell r="AN121">
            <v>2040</v>
          </cell>
          <cell r="AO121">
            <v>1095</v>
          </cell>
          <cell r="AP121">
            <v>0</v>
          </cell>
          <cell r="AQ121">
            <v>0</v>
          </cell>
          <cell r="AR121">
            <v>195</v>
          </cell>
          <cell r="AS121">
            <v>0</v>
          </cell>
          <cell r="AT121">
            <v>90</v>
          </cell>
          <cell r="AU121">
            <v>40</v>
          </cell>
          <cell r="AV121">
            <v>0</v>
          </cell>
          <cell r="AW121">
            <v>0</v>
          </cell>
          <cell r="AX121">
            <v>470</v>
          </cell>
          <cell r="AY121">
            <v>55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245</v>
          </cell>
          <cell r="BG121">
            <v>0</v>
          </cell>
          <cell r="BH121">
            <v>0</v>
          </cell>
          <cell r="BI121">
            <v>0</v>
          </cell>
          <cell r="BJ121">
            <v>420138</v>
          </cell>
          <cell r="BK121">
            <v>0</v>
          </cell>
          <cell r="BL121">
            <v>420138</v>
          </cell>
        </row>
        <row r="122">
          <cell r="B122" t="str">
            <v>KAP101</v>
          </cell>
          <cell r="C122">
            <v>30240</v>
          </cell>
          <cell r="D122">
            <v>10080</v>
          </cell>
          <cell r="E122">
            <v>25140</v>
          </cell>
          <cell r="F122">
            <v>4980</v>
          </cell>
          <cell r="G122">
            <v>5100</v>
          </cell>
          <cell r="H122">
            <v>5100</v>
          </cell>
          <cell r="I122">
            <v>525</v>
          </cell>
          <cell r="J122">
            <v>525</v>
          </cell>
          <cell r="K122">
            <v>525</v>
          </cell>
          <cell r="L122">
            <v>0</v>
          </cell>
          <cell r="M122">
            <v>525</v>
          </cell>
          <cell r="N122">
            <v>0</v>
          </cell>
          <cell r="O122">
            <v>4575</v>
          </cell>
          <cell r="P122">
            <v>4575</v>
          </cell>
          <cell r="Q122">
            <v>985</v>
          </cell>
          <cell r="R122">
            <v>985</v>
          </cell>
          <cell r="S122">
            <v>3590</v>
          </cell>
          <cell r="T122">
            <v>3590</v>
          </cell>
          <cell r="U122">
            <v>445</v>
          </cell>
          <cell r="V122">
            <v>410</v>
          </cell>
          <cell r="W122">
            <v>0</v>
          </cell>
          <cell r="X122">
            <v>0</v>
          </cell>
          <cell r="Y122">
            <v>35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1005</v>
          </cell>
          <cell r="AG122">
            <v>480</v>
          </cell>
          <cell r="AH122">
            <v>435</v>
          </cell>
          <cell r="AI122">
            <v>35</v>
          </cell>
          <cell r="AJ122">
            <v>0</v>
          </cell>
          <cell r="AK122">
            <v>55</v>
          </cell>
          <cell r="AL122">
            <v>1530</v>
          </cell>
          <cell r="AM122">
            <v>0</v>
          </cell>
          <cell r="AN122">
            <v>1530</v>
          </cell>
          <cell r="AO122">
            <v>610</v>
          </cell>
          <cell r="AP122">
            <v>0</v>
          </cell>
          <cell r="AQ122">
            <v>0</v>
          </cell>
          <cell r="AR122">
            <v>165</v>
          </cell>
          <cell r="AS122">
            <v>0</v>
          </cell>
          <cell r="AT122">
            <v>75</v>
          </cell>
          <cell r="AU122">
            <v>40</v>
          </cell>
          <cell r="AV122">
            <v>0</v>
          </cell>
          <cell r="AW122">
            <v>0</v>
          </cell>
          <cell r="AX122">
            <v>30</v>
          </cell>
          <cell r="AY122">
            <v>55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245</v>
          </cell>
          <cell r="BG122">
            <v>0</v>
          </cell>
          <cell r="BH122">
            <v>0</v>
          </cell>
          <cell r="BI122">
            <v>0</v>
          </cell>
          <cell r="BJ122">
            <v>232442</v>
          </cell>
          <cell r="BK122">
            <v>0</v>
          </cell>
          <cell r="BL122">
            <v>232442</v>
          </cell>
        </row>
        <row r="123">
          <cell r="B123" t="str">
            <v>KAP103</v>
          </cell>
          <cell r="C123">
            <v>30240</v>
          </cell>
          <cell r="D123">
            <v>10080</v>
          </cell>
          <cell r="E123">
            <v>27690</v>
          </cell>
          <cell r="F123">
            <v>7530</v>
          </cell>
          <cell r="G123">
            <v>2550</v>
          </cell>
          <cell r="H123">
            <v>2550</v>
          </cell>
          <cell r="I123">
            <v>1195</v>
          </cell>
          <cell r="J123">
            <v>1195</v>
          </cell>
          <cell r="K123">
            <v>1195</v>
          </cell>
          <cell r="L123">
            <v>0</v>
          </cell>
          <cell r="M123">
            <v>1195</v>
          </cell>
          <cell r="N123">
            <v>0</v>
          </cell>
          <cell r="O123">
            <v>1355</v>
          </cell>
          <cell r="P123">
            <v>1355</v>
          </cell>
          <cell r="Q123">
            <v>150</v>
          </cell>
          <cell r="R123">
            <v>150</v>
          </cell>
          <cell r="S123">
            <v>1205</v>
          </cell>
          <cell r="T123">
            <v>1205</v>
          </cell>
          <cell r="U123">
            <v>80</v>
          </cell>
          <cell r="V123">
            <v>80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130</v>
          </cell>
          <cell r="AG123">
            <v>50</v>
          </cell>
          <cell r="AH123">
            <v>80</v>
          </cell>
          <cell r="AI123">
            <v>0</v>
          </cell>
          <cell r="AJ123">
            <v>0</v>
          </cell>
          <cell r="AK123">
            <v>0</v>
          </cell>
          <cell r="AL123">
            <v>510</v>
          </cell>
          <cell r="AM123">
            <v>0</v>
          </cell>
          <cell r="AN123">
            <v>510</v>
          </cell>
          <cell r="AO123">
            <v>485</v>
          </cell>
          <cell r="AP123">
            <v>0</v>
          </cell>
          <cell r="AQ123">
            <v>0</v>
          </cell>
          <cell r="AR123">
            <v>30</v>
          </cell>
          <cell r="AS123">
            <v>0</v>
          </cell>
          <cell r="AT123">
            <v>15</v>
          </cell>
          <cell r="AU123">
            <v>0</v>
          </cell>
          <cell r="AV123">
            <v>0</v>
          </cell>
          <cell r="AW123">
            <v>0</v>
          </cell>
          <cell r="AX123">
            <v>440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187696</v>
          </cell>
          <cell r="BK123">
            <v>0</v>
          </cell>
          <cell r="BL123">
            <v>187696</v>
          </cell>
        </row>
        <row r="124">
          <cell r="B124" t="str">
            <v>NBL SOL-STRIPPING</v>
          </cell>
          <cell r="C124">
            <v>151200</v>
          </cell>
          <cell r="D124">
            <v>69300</v>
          </cell>
          <cell r="E124">
            <v>93750</v>
          </cell>
          <cell r="F124">
            <v>11850</v>
          </cell>
          <cell r="G124">
            <v>57450</v>
          </cell>
          <cell r="H124">
            <v>57450</v>
          </cell>
          <cell r="I124">
            <v>2130</v>
          </cell>
          <cell r="J124">
            <v>2130</v>
          </cell>
          <cell r="K124">
            <v>2130</v>
          </cell>
          <cell r="L124">
            <v>30</v>
          </cell>
          <cell r="M124">
            <v>2100</v>
          </cell>
          <cell r="N124">
            <v>0</v>
          </cell>
          <cell r="O124">
            <v>55320</v>
          </cell>
          <cell r="P124">
            <v>55320</v>
          </cell>
          <cell r="Q124">
            <v>22980</v>
          </cell>
          <cell r="R124">
            <v>22980</v>
          </cell>
          <cell r="S124">
            <v>32340</v>
          </cell>
          <cell r="T124">
            <v>32340</v>
          </cell>
          <cell r="U124">
            <v>7890</v>
          </cell>
          <cell r="V124">
            <v>4240</v>
          </cell>
          <cell r="W124">
            <v>0</v>
          </cell>
          <cell r="X124">
            <v>3650</v>
          </cell>
          <cell r="Y124">
            <v>0</v>
          </cell>
          <cell r="Z124">
            <v>925</v>
          </cell>
          <cell r="AA124">
            <v>690</v>
          </cell>
          <cell r="AB124">
            <v>195</v>
          </cell>
          <cell r="AC124">
            <v>0</v>
          </cell>
          <cell r="AD124">
            <v>40</v>
          </cell>
          <cell r="AE124">
            <v>0</v>
          </cell>
          <cell r="AF124">
            <v>9740</v>
          </cell>
          <cell r="AG124">
            <v>5085</v>
          </cell>
          <cell r="AH124">
            <v>1945</v>
          </cell>
          <cell r="AI124">
            <v>1880</v>
          </cell>
          <cell r="AJ124">
            <v>0</v>
          </cell>
          <cell r="AK124">
            <v>830</v>
          </cell>
          <cell r="AL124">
            <v>2955</v>
          </cell>
          <cell r="AM124">
            <v>0</v>
          </cell>
          <cell r="AN124">
            <v>2955</v>
          </cell>
          <cell r="AO124">
            <v>10830</v>
          </cell>
          <cell r="AP124">
            <v>0</v>
          </cell>
          <cell r="AQ124">
            <v>0</v>
          </cell>
          <cell r="AR124">
            <v>3315</v>
          </cell>
          <cell r="AS124">
            <v>0</v>
          </cell>
          <cell r="AT124">
            <v>2800</v>
          </cell>
          <cell r="AU124">
            <v>405</v>
          </cell>
          <cell r="AV124">
            <v>0</v>
          </cell>
          <cell r="AW124">
            <v>0</v>
          </cell>
          <cell r="AX124">
            <v>25</v>
          </cell>
          <cell r="AY124">
            <v>1980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2170</v>
          </cell>
          <cell r="BG124">
            <v>135</v>
          </cell>
          <cell r="BH124">
            <v>0</v>
          </cell>
          <cell r="BI124">
            <v>0</v>
          </cell>
          <cell r="BJ124">
            <v>14109279</v>
          </cell>
          <cell r="BK124">
            <v>55762</v>
          </cell>
          <cell r="BL124">
            <v>14053517</v>
          </cell>
        </row>
        <row r="125">
          <cell r="B125" t="str">
            <v>STR105</v>
          </cell>
          <cell r="C125">
            <v>30240</v>
          </cell>
          <cell r="D125">
            <v>10080</v>
          </cell>
          <cell r="E125">
            <v>19530</v>
          </cell>
          <cell r="F125">
            <v>-630</v>
          </cell>
          <cell r="G125">
            <v>10710</v>
          </cell>
          <cell r="H125">
            <v>10710</v>
          </cell>
          <cell r="I125">
            <v>1120</v>
          </cell>
          <cell r="J125">
            <v>1120</v>
          </cell>
          <cell r="K125">
            <v>1120</v>
          </cell>
          <cell r="L125">
            <v>0</v>
          </cell>
          <cell r="M125">
            <v>1120</v>
          </cell>
          <cell r="N125">
            <v>0</v>
          </cell>
          <cell r="O125">
            <v>9590</v>
          </cell>
          <cell r="P125">
            <v>9590</v>
          </cell>
          <cell r="Q125">
            <v>3515</v>
          </cell>
          <cell r="R125">
            <v>3515</v>
          </cell>
          <cell r="S125">
            <v>6075</v>
          </cell>
          <cell r="T125">
            <v>6075</v>
          </cell>
          <cell r="U125">
            <v>1185</v>
          </cell>
          <cell r="V125">
            <v>690</v>
          </cell>
          <cell r="W125">
            <v>0</v>
          </cell>
          <cell r="X125">
            <v>495</v>
          </cell>
          <cell r="Y125">
            <v>0</v>
          </cell>
          <cell r="Z125">
            <v>50</v>
          </cell>
          <cell r="AA125">
            <v>35</v>
          </cell>
          <cell r="AB125">
            <v>15</v>
          </cell>
          <cell r="AC125">
            <v>0</v>
          </cell>
          <cell r="AD125">
            <v>0</v>
          </cell>
          <cell r="AE125">
            <v>0</v>
          </cell>
          <cell r="AF125">
            <v>1305</v>
          </cell>
          <cell r="AG125">
            <v>690</v>
          </cell>
          <cell r="AH125">
            <v>210</v>
          </cell>
          <cell r="AI125">
            <v>295</v>
          </cell>
          <cell r="AJ125">
            <v>0</v>
          </cell>
          <cell r="AK125">
            <v>110</v>
          </cell>
          <cell r="AL125">
            <v>1965</v>
          </cell>
          <cell r="AM125">
            <v>0</v>
          </cell>
          <cell r="AN125">
            <v>1965</v>
          </cell>
          <cell r="AO125">
            <v>1570</v>
          </cell>
          <cell r="AP125">
            <v>0</v>
          </cell>
          <cell r="AQ125">
            <v>0</v>
          </cell>
          <cell r="AR125">
            <v>450</v>
          </cell>
          <cell r="AS125">
            <v>0</v>
          </cell>
          <cell r="AT125">
            <v>385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375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360</v>
          </cell>
          <cell r="BG125">
            <v>0</v>
          </cell>
          <cell r="BH125">
            <v>0</v>
          </cell>
          <cell r="BI125">
            <v>0</v>
          </cell>
          <cell r="BJ125">
            <v>1203945</v>
          </cell>
          <cell r="BK125">
            <v>7425</v>
          </cell>
          <cell r="BL125">
            <v>1196520</v>
          </cell>
        </row>
        <row r="126">
          <cell r="B126" t="str">
            <v>STR102</v>
          </cell>
          <cell r="C126">
            <v>30240</v>
          </cell>
          <cell r="D126">
            <v>19530</v>
          </cell>
          <cell r="E126">
            <v>16650</v>
          </cell>
          <cell r="F126">
            <v>5940</v>
          </cell>
          <cell r="G126">
            <v>13590</v>
          </cell>
          <cell r="H126">
            <v>13590</v>
          </cell>
          <cell r="I126">
            <v>390</v>
          </cell>
          <cell r="J126">
            <v>390</v>
          </cell>
          <cell r="K126">
            <v>390</v>
          </cell>
          <cell r="L126">
            <v>0</v>
          </cell>
          <cell r="M126">
            <v>390</v>
          </cell>
          <cell r="N126">
            <v>0</v>
          </cell>
          <cell r="O126">
            <v>13200</v>
          </cell>
          <cell r="P126">
            <v>13200</v>
          </cell>
          <cell r="Q126">
            <v>4875</v>
          </cell>
          <cell r="R126">
            <v>4875</v>
          </cell>
          <cell r="S126">
            <v>8325</v>
          </cell>
          <cell r="T126">
            <v>8325</v>
          </cell>
          <cell r="U126">
            <v>1790</v>
          </cell>
          <cell r="V126">
            <v>1135</v>
          </cell>
          <cell r="W126">
            <v>0</v>
          </cell>
          <cell r="X126">
            <v>655</v>
          </cell>
          <cell r="Y126">
            <v>0</v>
          </cell>
          <cell r="Z126">
            <v>110</v>
          </cell>
          <cell r="AA126">
            <v>110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2865</v>
          </cell>
          <cell r="AG126">
            <v>1330</v>
          </cell>
          <cell r="AH126">
            <v>830</v>
          </cell>
          <cell r="AI126">
            <v>495</v>
          </cell>
          <cell r="AJ126">
            <v>0</v>
          </cell>
          <cell r="AK126">
            <v>210</v>
          </cell>
          <cell r="AL126">
            <v>510</v>
          </cell>
          <cell r="AM126">
            <v>0</v>
          </cell>
          <cell r="AN126">
            <v>510</v>
          </cell>
          <cell r="AO126">
            <v>3050</v>
          </cell>
          <cell r="AP126">
            <v>0</v>
          </cell>
          <cell r="AQ126">
            <v>0</v>
          </cell>
          <cell r="AR126">
            <v>795</v>
          </cell>
          <cell r="AS126">
            <v>0</v>
          </cell>
          <cell r="AT126">
            <v>610</v>
          </cell>
          <cell r="AU126">
            <v>405</v>
          </cell>
          <cell r="AV126">
            <v>0</v>
          </cell>
          <cell r="AW126">
            <v>0</v>
          </cell>
          <cell r="AX126">
            <v>0</v>
          </cell>
          <cell r="AY126">
            <v>530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710</v>
          </cell>
          <cell r="BG126">
            <v>0</v>
          </cell>
          <cell r="BH126">
            <v>0</v>
          </cell>
          <cell r="BI126">
            <v>0</v>
          </cell>
          <cell r="BJ126">
            <v>5462048</v>
          </cell>
          <cell r="BK126">
            <v>22488</v>
          </cell>
          <cell r="BL126">
            <v>5439560</v>
          </cell>
        </row>
        <row r="127">
          <cell r="B127" t="str">
            <v>STR104</v>
          </cell>
          <cell r="C127">
            <v>30240</v>
          </cell>
          <cell r="D127">
            <v>10080</v>
          </cell>
          <cell r="E127">
            <v>23730</v>
          </cell>
          <cell r="F127">
            <v>3570</v>
          </cell>
          <cell r="G127">
            <v>6510</v>
          </cell>
          <cell r="H127">
            <v>6510</v>
          </cell>
          <cell r="I127">
            <v>300</v>
          </cell>
          <cell r="J127">
            <v>300</v>
          </cell>
          <cell r="K127">
            <v>300</v>
          </cell>
          <cell r="L127">
            <v>0</v>
          </cell>
          <cell r="M127">
            <v>300</v>
          </cell>
          <cell r="N127">
            <v>0</v>
          </cell>
          <cell r="O127">
            <v>6210</v>
          </cell>
          <cell r="P127">
            <v>6210</v>
          </cell>
          <cell r="Q127">
            <v>3790</v>
          </cell>
          <cell r="R127">
            <v>3790</v>
          </cell>
          <cell r="S127">
            <v>2420</v>
          </cell>
          <cell r="T127">
            <v>2420</v>
          </cell>
          <cell r="U127">
            <v>150</v>
          </cell>
          <cell r="V127">
            <v>150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1250</v>
          </cell>
          <cell r="AG127">
            <v>715</v>
          </cell>
          <cell r="AH127">
            <v>210</v>
          </cell>
          <cell r="AI127">
            <v>235</v>
          </cell>
          <cell r="AJ127">
            <v>0</v>
          </cell>
          <cell r="AK127">
            <v>90</v>
          </cell>
          <cell r="AL127">
            <v>0</v>
          </cell>
          <cell r="AM127">
            <v>0</v>
          </cell>
          <cell r="AN127">
            <v>0</v>
          </cell>
          <cell r="AO127">
            <v>1020</v>
          </cell>
          <cell r="AP127">
            <v>0</v>
          </cell>
          <cell r="AQ127">
            <v>0</v>
          </cell>
          <cell r="AR127">
            <v>390</v>
          </cell>
          <cell r="AS127">
            <v>0</v>
          </cell>
          <cell r="AT127">
            <v>300</v>
          </cell>
          <cell r="AU127">
            <v>0</v>
          </cell>
          <cell r="AV127">
            <v>0</v>
          </cell>
          <cell r="AW127">
            <v>0</v>
          </cell>
          <cell r="AX127">
            <v>25</v>
          </cell>
          <cell r="AY127">
            <v>210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95</v>
          </cell>
          <cell r="BG127">
            <v>0</v>
          </cell>
          <cell r="BH127">
            <v>0</v>
          </cell>
          <cell r="BI127">
            <v>0</v>
          </cell>
          <cell r="BJ127">
            <v>24793</v>
          </cell>
          <cell r="BK127">
            <v>128</v>
          </cell>
          <cell r="BL127">
            <v>24665</v>
          </cell>
        </row>
        <row r="128">
          <cell r="B128" t="str">
            <v>STR103</v>
          </cell>
          <cell r="C128">
            <v>30240</v>
          </cell>
          <cell r="D128">
            <v>10080</v>
          </cell>
          <cell r="E128">
            <v>21420</v>
          </cell>
          <cell r="F128">
            <v>1260</v>
          </cell>
          <cell r="G128">
            <v>8820</v>
          </cell>
          <cell r="H128">
            <v>8820</v>
          </cell>
          <cell r="I128">
            <v>230</v>
          </cell>
          <cell r="J128">
            <v>230</v>
          </cell>
          <cell r="K128">
            <v>230</v>
          </cell>
          <cell r="L128">
            <v>30</v>
          </cell>
          <cell r="M128">
            <v>200</v>
          </cell>
          <cell r="N128">
            <v>0</v>
          </cell>
          <cell r="O128">
            <v>8590</v>
          </cell>
          <cell r="P128">
            <v>8590</v>
          </cell>
          <cell r="Q128">
            <v>3090</v>
          </cell>
          <cell r="R128">
            <v>3090</v>
          </cell>
          <cell r="S128">
            <v>5500</v>
          </cell>
          <cell r="T128">
            <v>5500</v>
          </cell>
          <cell r="U128">
            <v>1800</v>
          </cell>
          <cell r="V128">
            <v>940</v>
          </cell>
          <cell r="W128">
            <v>0</v>
          </cell>
          <cell r="X128">
            <v>860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1580</v>
          </cell>
          <cell r="AG128">
            <v>1035</v>
          </cell>
          <cell r="AH128">
            <v>190</v>
          </cell>
          <cell r="AI128">
            <v>250</v>
          </cell>
          <cell r="AJ128">
            <v>0</v>
          </cell>
          <cell r="AK128">
            <v>105</v>
          </cell>
          <cell r="AL128">
            <v>480</v>
          </cell>
          <cell r="AM128">
            <v>0</v>
          </cell>
          <cell r="AN128">
            <v>480</v>
          </cell>
          <cell r="AO128">
            <v>1640</v>
          </cell>
          <cell r="AP128">
            <v>0</v>
          </cell>
          <cell r="AQ128">
            <v>0</v>
          </cell>
          <cell r="AR128">
            <v>540</v>
          </cell>
          <cell r="AS128">
            <v>0</v>
          </cell>
          <cell r="AT128">
            <v>485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255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360</v>
          </cell>
          <cell r="BG128">
            <v>0</v>
          </cell>
          <cell r="BH128">
            <v>0</v>
          </cell>
          <cell r="BI128">
            <v>0</v>
          </cell>
          <cell r="BJ128">
            <v>1419018</v>
          </cell>
          <cell r="BK128">
            <v>9128</v>
          </cell>
          <cell r="BL128">
            <v>1409890</v>
          </cell>
        </row>
        <row r="129">
          <cell r="B129" t="str">
            <v>STR101</v>
          </cell>
          <cell r="C129">
            <v>30240</v>
          </cell>
          <cell r="D129">
            <v>19530</v>
          </cell>
          <cell r="E129">
            <v>12420</v>
          </cell>
          <cell r="F129">
            <v>1710</v>
          </cell>
          <cell r="G129">
            <v>17820</v>
          </cell>
          <cell r="H129">
            <v>17820</v>
          </cell>
          <cell r="I129">
            <v>90</v>
          </cell>
          <cell r="J129">
            <v>90</v>
          </cell>
          <cell r="K129">
            <v>90</v>
          </cell>
          <cell r="L129">
            <v>0</v>
          </cell>
          <cell r="M129">
            <v>90</v>
          </cell>
          <cell r="N129">
            <v>0</v>
          </cell>
          <cell r="O129">
            <v>17730</v>
          </cell>
          <cell r="P129">
            <v>17730</v>
          </cell>
          <cell r="Q129">
            <v>7710</v>
          </cell>
          <cell r="R129">
            <v>7710</v>
          </cell>
          <cell r="S129">
            <v>10020</v>
          </cell>
          <cell r="T129">
            <v>10020</v>
          </cell>
          <cell r="U129">
            <v>2965</v>
          </cell>
          <cell r="V129">
            <v>1325</v>
          </cell>
          <cell r="W129">
            <v>0</v>
          </cell>
          <cell r="X129">
            <v>1640</v>
          </cell>
          <cell r="Y129">
            <v>0</v>
          </cell>
          <cell r="Z129">
            <v>765</v>
          </cell>
          <cell r="AA129">
            <v>545</v>
          </cell>
          <cell r="AB129">
            <v>180</v>
          </cell>
          <cell r="AC129">
            <v>0</v>
          </cell>
          <cell r="AD129">
            <v>40</v>
          </cell>
          <cell r="AE129">
            <v>0</v>
          </cell>
          <cell r="AF129">
            <v>2740</v>
          </cell>
          <cell r="AG129">
            <v>1315</v>
          </cell>
          <cell r="AH129">
            <v>505</v>
          </cell>
          <cell r="AI129">
            <v>605</v>
          </cell>
          <cell r="AJ129">
            <v>0</v>
          </cell>
          <cell r="AK129">
            <v>315</v>
          </cell>
          <cell r="AL129">
            <v>0</v>
          </cell>
          <cell r="AM129">
            <v>0</v>
          </cell>
          <cell r="AN129">
            <v>0</v>
          </cell>
          <cell r="AO129">
            <v>3550</v>
          </cell>
          <cell r="AP129">
            <v>0</v>
          </cell>
          <cell r="AQ129">
            <v>0</v>
          </cell>
          <cell r="AR129">
            <v>1140</v>
          </cell>
          <cell r="AS129">
            <v>0</v>
          </cell>
          <cell r="AT129">
            <v>1020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610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645</v>
          </cell>
          <cell r="BG129">
            <v>135</v>
          </cell>
          <cell r="BH129">
            <v>0</v>
          </cell>
          <cell r="BI129">
            <v>0</v>
          </cell>
          <cell r="BJ129">
            <v>5999475</v>
          </cell>
          <cell r="BK129">
            <v>16593</v>
          </cell>
          <cell r="BL129">
            <v>5982882</v>
          </cell>
        </row>
        <row r="130">
          <cell r="B130" t="str">
            <v>NBL SYR-MIXING</v>
          </cell>
          <cell r="C130">
            <v>30240</v>
          </cell>
          <cell r="D130">
            <v>19530</v>
          </cell>
          <cell r="E130">
            <v>24120</v>
          </cell>
          <cell r="F130">
            <v>13410</v>
          </cell>
          <cell r="G130">
            <v>6120</v>
          </cell>
          <cell r="H130">
            <v>6120</v>
          </cell>
          <cell r="I130">
            <v>545</v>
          </cell>
          <cell r="J130">
            <v>545</v>
          </cell>
          <cell r="K130">
            <v>545</v>
          </cell>
          <cell r="L130">
            <v>54</v>
          </cell>
          <cell r="M130">
            <v>491</v>
          </cell>
          <cell r="N130">
            <v>0</v>
          </cell>
          <cell r="O130">
            <v>5575</v>
          </cell>
          <cell r="P130">
            <v>5575</v>
          </cell>
          <cell r="Q130">
            <v>2215</v>
          </cell>
          <cell r="R130">
            <v>2215</v>
          </cell>
          <cell r="S130">
            <v>3360</v>
          </cell>
          <cell r="T130">
            <v>3360</v>
          </cell>
          <cell r="U130">
            <v>226</v>
          </cell>
          <cell r="V130">
            <v>226</v>
          </cell>
          <cell r="W130">
            <v>0</v>
          </cell>
          <cell r="X130">
            <v>0</v>
          </cell>
          <cell r="Y130">
            <v>0</v>
          </cell>
          <cell r="Z130">
            <v>55</v>
          </cell>
          <cell r="AA130">
            <v>55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2167</v>
          </cell>
          <cell r="AG130">
            <v>185</v>
          </cell>
          <cell r="AH130">
            <v>1742</v>
          </cell>
          <cell r="AI130">
            <v>0</v>
          </cell>
          <cell r="AJ130">
            <v>0</v>
          </cell>
          <cell r="AK130">
            <v>240</v>
          </cell>
          <cell r="AL130">
            <v>0</v>
          </cell>
          <cell r="AM130">
            <v>0</v>
          </cell>
          <cell r="AN130">
            <v>0</v>
          </cell>
          <cell r="AO130">
            <v>912</v>
          </cell>
          <cell r="AP130">
            <v>155</v>
          </cell>
          <cell r="AQ130">
            <v>0</v>
          </cell>
          <cell r="AR130">
            <v>203</v>
          </cell>
          <cell r="AS130">
            <v>0</v>
          </cell>
          <cell r="AT130">
            <v>100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17</v>
          </cell>
          <cell r="BG130">
            <v>392</v>
          </cell>
          <cell r="BH130">
            <v>0</v>
          </cell>
          <cell r="BI130">
            <v>45</v>
          </cell>
          <cell r="BJ130">
            <v>10230</v>
          </cell>
          <cell r="BK130">
            <v>2.85</v>
          </cell>
          <cell r="BL130">
            <v>10227.15</v>
          </cell>
        </row>
        <row r="131">
          <cell r="B131" t="str">
            <v>LMIXSYR1</v>
          </cell>
          <cell r="C131">
            <v>30240</v>
          </cell>
          <cell r="D131">
            <v>19530</v>
          </cell>
          <cell r="E131">
            <v>24120</v>
          </cell>
          <cell r="F131">
            <v>13410</v>
          </cell>
          <cell r="G131">
            <v>6120</v>
          </cell>
          <cell r="H131">
            <v>6120</v>
          </cell>
          <cell r="I131">
            <v>545</v>
          </cell>
          <cell r="J131">
            <v>545</v>
          </cell>
          <cell r="K131">
            <v>545</v>
          </cell>
          <cell r="L131">
            <v>54</v>
          </cell>
          <cell r="M131">
            <v>491</v>
          </cell>
          <cell r="N131">
            <v>0</v>
          </cell>
          <cell r="O131">
            <v>5575</v>
          </cell>
          <cell r="P131">
            <v>5575</v>
          </cell>
          <cell r="Q131">
            <v>2215</v>
          </cell>
          <cell r="R131">
            <v>2215</v>
          </cell>
          <cell r="S131">
            <v>3360</v>
          </cell>
          <cell r="T131">
            <v>3360</v>
          </cell>
          <cell r="U131">
            <v>226</v>
          </cell>
          <cell r="V131">
            <v>226</v>
          </cell>
          <cell r="W131">
            <v>0</v>
          </cell>
          <cell r="X131">
            <v>0</v>
          </cell>
          <cell r="Y131">
            <v>0</v>
          </cell>
          <cell r="Z131">
            <v>55</v>
          </cell>
          <cell r="AA131">
            <v>55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2167</v>
          </cell>
          <cell r="AG131">
            <v>185</v>
          </cell>
          <cell r="AH131">
            <v>1742</v>
          </cell>
          <cell r="AI131">
            <v>0</v>
          </cell>
          <cell r="AJ131">
            <v>0</v>
          </cell>
          <cell r="AK131">
            <v>240</v>
          </cell>
          <cell r="AL131">
            <v>0</v>
          </cell>
          <cell r="AM131">
            <v>0</v>
          </cell>
          <cell r="AN131">
            <v>0</v>
          </cell>
          <cell r="AO131">
            <v>912</v>
          </cell>
          <cell r="AP131">
            <v>155</v>
          </cell>
          <cell r="AQ131">
            <v>0</v>
          </cell>
          <cell r="AR131">
            <v>203</v>
          </cell>
          <cell r="AS131">
            <v>0</v>
          </cell>
          <cell r="AT131">
            <v>100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17</v>
          </cell>
          <cell r="BG131">
            <v>392</v>
          </cell>
          <cell r="BH131">
            <v>0</v>
          </cell>
          <cell r="BI131">
            <v>45</v>
          </cell>
          <cell r="BJ131">
            <v>10230</v>
          </cell>
          <cell r="BK131">
            <v>2.85</v>
          </cell>
          <cell r="BL131">
            <v>10227.15</v>
          </cell>
        </row>
        <row r="132">
          <cell r="B132" t="str">
            <v>NBL SYR-FILLING</v>
          </cell>
          <cell r="C132">
            <v>60480</v>
          </cell>
          <cell r="D132">
            <v>39060</v>
          </cell>
          <cell r="E132">
            <v>50280</v>
          </cell>
          <cell r="F132">
            <v>28860</v>
          </cell>
          <cell r="G132">
            <v>10200</v>
          </cell>
          <cell r="H132">
            <v>10200</v>
          </cell>
          <cell r="I132">
            <v>1245</v>
          </cell>
          <cell r="J132">
            <v>1245</v>
          </cell>
          <cell r="K132">
            <v>1245</v>
          </cell>
          <cell r="L132">
            <v>30</v>
          </cell>
          <cell r="M132">
            <v>1215</v>
          </cell>
          <cell r="N132">
            <v>0</v>
          </cell>
          <cell r="O132">
            <v>8955</v>
          </cell>
          <cell r="P132">
            <v>8955</v>
          </cell>
          <cell r="Q132">
            <v>3090</v>
          </cell>
          <cell r="R132">
            <v>3090</v>
          </cell>
          <cell r="S132">
            <v>5865</v>
          </cell>
          <cell r="T132">
            <v>5865</v>
          </cell>
          <cell r="U132">
            <v>785</v>
          </cell>
          <cell r="V132">
            <v>460</v>
          </cell>
          <cell r="W132">
            <v>0</v>
          </cell>
          <cell r="X132">
            <v>170</v>
          </cell>
          <cell r="Y132">
            <v>155</v>
          </cell>
          <cell r="Z132">
            <v>95</v>
          </cell>
          <cell r="AA132">
            <v>95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2675</v>
          </cell>
          <cell r="AG132">
            <v>215</v>
          </cell>
          <cell r="AH132">
            <v>1685</v>
          </cell>
          <cell r="AI132">
            <v>0</v>
          </cell>
          <cell r="AJ132">
            <v>0</v>
          </cell>
          <cell r="AK132">
            <v>775</v>
          </cell>
          <cell r="AL132">
            <v>0</v>
          </cell>
          <cell r="AM132">
            <v>0</v>
          </cell>
          <cell r="AN132">
            <v>0</v>
          </cell>
          <cell r="AO132">
            <v>2310</v>
          </cell>
          <cell r="AP132">
            <v>45</v>
          </cell>
          <cell r="AQ132">
            <v>0</v>
          </cell>
          <cell r="AR132">
            <v>390</v>
          </cell>
          <cell r="AS132">
            <v>90</v>
          </cell>
          <cell r="AT132">
            <v>225</v>
          </cell>
          <cell r="AU132">
            <v>0</v>
          </cell>
          <cell r="AV132">
            <v>0</v>
          </cell>
          <cell r="AW132">
            <v>0</v>
          </cell>
          <cell r="AX132">
            <v>1545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15</v>
          </cell>
          <cell r="BG132">
            <v>0</v>
          </cell>
          <cell r="BH132">
            <v>0</v>
          </cell>
          <cell r="BI132">
            <v>0</v>
          </cell>
          <cell r="BJ132">
            <v>165608</v>
          </cell>
          <cell r="BK132">
            <v>318</v>
          </cell>
          <cell r="BL132">
            <v>165290</v>
          </cell>
        </row>
        <row r="133">
          <cell r="B133" t="str">
            <v>SYR109</v>
          </cell>
          <cell r="C133">
            <v>30240</v>
          </cell>
          <cell r="D133">
            <v>19530</v>
          </cell>
          <cell r="E133">
            <v>21060</v>
          </cell>
          <cell r="F133">
            <v>10350</v>
          </cell>
          <cell r="G133">
            <v>9180</v>
          </cell>
          <cell r="H133">
            <v>9180</v>
          </cell>
          <cell r="I133">
            <v>930</v>
          </cell>
          <cell r="J133">
            <v>930</v>
          </cell>
          <cell r="K133">
            <v>930</v>
          </cell>
          <cell r="L133">
            <v>30</v>
          </cell>
          <cell r="M133">
            <v>900</v>
          </cell>
          <cell r="N133">
            <v>0</v>
          </cell>
          <cell r="O133">
            <v>8250</v>
          </cell>
          <cell r="P133">
            <v>8250</v>
          </cell>
          <cell r="Q133">
            <v>2695</v>
          </cell>
          <cell r="R133">
            <v>2695</v>
          </cell>
          <cell r="S133">
            <v>5555</v>
          </cell>
          <cell r="T133">
            <v>5555</v>
          </cell>
          <cell r="U133">
            <v>785</v>
          </cell>
          <cell r="V133">
            <v>460</v>
          </cell>
          <cell r="W133">
            <v>0</v>
          </cell>
          <cell r="X133">
            <v>170</v>
          </cell>
          <cell r="Y133">
            <v>155</v>
          </cell>
          <cell r="Z133">
            <v>30</v>
          </cell>
          <cell r="AA133">
            <v>30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2475</v>
          </cell>
          <cell r="AG133">
            <v>195</v>
          </cell>
          <cell r="AH133">
            <v>1580</v>
          </cell>
          <cell r="AI133">
            <v>0</v>
          </cell>
          <cell r="AJ133">
            <v>0</v>
          </cell>
          <cell r="AK133">
            <v>700</v>
          </cell>
          <cell r="AL133">
            <v>0</v>
          </cell>
          <cell r="AM133">
            <v>0</v>
          </cell>
          <cell r="AN133">
            <v>0</v>
          </cell>
          <cell r="AO133">
            <v>2265</v>
          </cell>
          <cell r="AP133">
            <v>45</v>
          </cell>
          <cell r="AQ133">
            <v>0</v>
          </cell>
          <cell r="AR133">
            <v>360</v>
          </cell>
          <cell r="AS133">
            <v>90</v>
          </cell>
          <cell r="AT133">
            <v>210</v>
          </cell>
          <cell r="AU133">
            <v>0</v>
          </cell>
          <cell r="AV133">
            <v>0</v>
          </cell>
          <cell r="AW133">
            <v>0</v>
          </cell>
          <cell r="AX133">
            <v>1545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15</v>
          </cell>
          <cell r="BG133">
            <v>0</v>
          </cell>
          <cell r="BH133">
            <v>0</v>
          </cell>
          <cell r="BI133">
            <v>0</v>
          </cell>
          <cell r="BJ133">
            <v>143145</v>
          </cell>
          <cell r="BK133">
            <v>288</v>
          </cell>
          <cell r="BL133">
            <v>142857</v>
          </cell>
        </row>
        <row r="134">
          <cell r="B134" t="str">
            <v>SYR110</v>
          </cell>
          <cell r="C134">
            <v>30240</v>
          </cell>
          <cell r="D134">
            <v>19530</v>
          </cell>
          <cell r="E134">
            <v>29220</v>
          </cell>
          <cell r="F134">
            <v>18510</v>
          </cell>
          <cell r="G134">
            <v>1020</v>
          </cell>
          <cell r="H134">
            <v>1020</v>
          </cell>
          <cell r="I134">
            <v>315</v>
          </cell>
          <cell r="J134">
            <v>315</v>
          </cell>
          <cell r="K134">
            <v>315</v>
          </cell>
          <cell r="L134">
            <v>0</v>
          </cell>
          <cell r="M134">
            <v>315</v>
          </cell>
          <cell r="N134">
            <v>0</v>
          </cell>
          <cell r="O134">
            <v>705</v>
          </cell>
          <cell r="P134">
            <v>705</v>
          </cell>
          <cell r="Q134">
            <v>395</v>
          </cell>
          <cell r="R134">
            <v>395</v>
          </cell>
          <cell r="S134">
            <v>310</v>
          </cell>
          <cell r="T134">
            <v>310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65</v>
          </cell>
          <cell r="AA134">
            <v>65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200</v>
          </cell>
          <cell r="AG134">
            <v>20</v>
          </cell>
          <cell r="AH134">
            <v>105</v>
          </cell>
          <cell r="AI134">
            <v>0</v>
          </cell>
          <cell r="AJ134">
            <v>0</v>
          </cell>
          <cell r="AK134">
            <v>75</v>
          </cell>
          <cell r="AL134">
            <v>0</v>
          </cell>
          <cell r="AM134">
            <v>0</v>
          </cell>
          <cell r="AN134">
            <v>0</v>
          </cell>
          <cell r="AO134">
            <v>45</v>
          </cell>
          <cell r="AP134">
            <v>0</v>
          </cell>
          <cell r="AQ134">
            <v>0</v>
          </cell>
          <cell r="AR134">
            <v>30</v>
          </cell>
          <cell r="AS134">
            <v>0</v>
          </cell>
          <cell r="AT134">
            <v>15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22463</v>
          </cell>
          <cell r="BK134">
            <v>30</v>
          </cell>
          <cell r="BL134">
            <v>22433</v>
          </cell>
        </row>
        <row r="135">
          <cell r="B135" t="str">
            <v>NBL INJ-MIXING</v>
          </cell>
          <cell r="C135">
            <v>30240</v>
          </cell>
          <cell r="D135">
            <v>19530</v>
          </cell>
          <cell r="E135">
            <v>23010</v>
          </cell>
          <cell r="F135">
            <v>12300</v>
          </cell>
          <cell r="G135">
            <v>7230</v>
          </cell>
          <cell r="H135">
            <v>7230</v>
          </cell>
          <cell r="I135">
            <v>240</v>
          </cell>
          <cell r="J135">
            <v>240</v>
          </cell>
          <cell r="K135">
            <v>240</v>
          </cell>
          <cell r="L135">
            <v>30</v>
          </cell>
          <cell r="M135">
            <v>210</v>
          </cell>
          <cell r="N135">
            <v>0</v>
          </cell>
          <cell r="O135">
            <v>6990</v>
          </cell>
          <cell r="P135">
            <v>6990</v>
          </cell>
          <cell r="Q135">
            <v>1824</v>
          </cell>
          <cell r="R135">
            <v>1824</v>
          </cell>
          <cell r="S135">
            <v>5166</v>
          </cell>
          <cell r="T135">
            <v>5166</v>
          </cell>
          <cell r="U135">
            <v>208</v>
          </cell>
          <cell r="V135">
            <v>208</v>
          </cell>
          <cell r="W135">
            <v>0</v>
          </cell>
          <cell r="X135">
            <v>0</v>
          </cell>
          <cell r="Y135">
            <v>0</v>
          </cell>
          <cell r="Z135">
            <v>180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180</v>
          </cell>
          <cell r="AF135">
            <v>2608</v>
          </cell>
          <cell r="AG135">
            <v>383</v>
          </cell>
          <cell r="AH135">
            <v>2018</v>
          </cell>
          <cell r="AI135">
            <v>0</v>
          </cell>
          <cell r="AJ135">
            <v>207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2170</v>
          </cell>
          <cell r="AP135">
            <v>0</v>
          </cell>
          <cell r="AQ135">
            <v>280</v>
          </cell>
          <cell r="AR135">
            <v>400</v>
          </cell>
          <cell r="AS135">
            <v>0</v>
          </cell>
          <cell r="AT135">
            <v>385</v>
          </cell>
          <cell r="AU135">
            <v>0</v>
          </cell>
          <cell r="AV135">
            <v>0</v>
          </cell>
          <cell r="AW135">
            <v>0</v>
          </cell>
          <cell r="AX135">
            <v>22</v>
          </cell>
          <cell r="AY135">
            <v>10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883</v>
          </cell>
          <cell r="BG135">
            <v>190</v>
          </cell>
          <cell r="BH135">
            <v>0</v>
          </cell>
          <cell r="BI135">
            <v>0</v>
          </cell>
          <cell r="BJ135">
            <v>1110</v>
          </cell>
          <cell r="BK135">
            <v>0</v>
          </cell>
          <cell r="BL135">
            <v>1110</v>
          </cell>
        </row>
        <row r="136">
          <cell r="B136" t="str">
            <v>LMIXINJ1</v>
          </cell>
          <cell r="C136">
            <v>30240</v>
          </cell>
          <cell r="D136">
            <v>19530</v>
          </cell>
          <cell r="E136">
            <v>23010</v>
          </cell>
          <cell r="F136">
            <v>12300</v>
          </cell>
          <cell r="G136">
            <v>7230</v>
          </cell>
          <cell r="H136">
            <v>7230</v>
          </cell>
          <cell r="I136">
            <v>240</v>
          </cell>
          <cell r="J136">
            <v>240</v>
          </cell>
          <cell r="K136">
            <v>240</v>
          </cell>
          <cell r="L136">
            <v>30</v>
          </cell>
          <cell r="M136">
            <v>210</v>
          </cell>
          <cell r="N136">
            <v>0</v>
          </cell>
          <cell r="O136">
            <v>6990</v>
          </cell>
          <cell r="P136">
            <v>6990</v>
          </cell>
          <cell r="Q136">
            <v>1824</v>
          </cell>
          <cell r="R136">
            <v>1824</v>
          </cell>
          <cell r="S136">
            <v>5166</v>
          </cell>
          <cell r="T136">
            <v>5166</v>
          </cell>
          <cell r="U136">
            <v>208</v>
          </cell>
          <cell r="V136">
            <v>208</v>
          </cell>
          <cell r="W136">
            <v>0</v>
          </cell>
          <cell r="X136">
            <v>0</v>
          </cell>
          <cell r="Y136">
            <v>0</v>
          </cell>
          <cell r="Z136">
            <v>180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180</v>
          </cell>
          <cell r="AF136">
            <v>2608</v>
          </cell>
          <cell r="AG136">
            <v>383</v>
          </cell>
          <cell r="AH136">
            <v>2018</v>
          </cell>
          <cell r="AI136">
            <v>0</v>
          </cell>
          <cell r="AJ136">
            <v>207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2170</v>
          </cell>
          <cell r="AP136">
            <v>0</v>
          </cell>
          <cell r="AQ136">
            <v>280</v>
          </cell>
          <cell r="AR136">
            <v>400</v>
          </cell>
          <cell r="AS136">
            <v>0</v>
          </cell>
          <cell r="AT136">
            <v>385</v>
          </cell>
          <cell r="AU136">
            <v>0</v>
          </cell>
          <cell r="AV136">
            <v>0</v>
          </cell>
          <cell r="AW136">
            <v>0</v>
          </cell>
          <cell r="AX136">
            <v>22</v>
          </cell>
          <cell r="AY136">
            <v>10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883</v>
          </cell>
          <cell r="BG136">
            <v>190</v>
          </cell>
          <cell r="BH136">
            <v>0</v>
          </cell>
          <cell r="BI136">
            <v>0</v>
          </cell>
          <cell r="BJ136">
            <v>1110</v>
          </cell>
          <cell r="BK136">
            <v>0</v>
          </cell>
          <cell r="BL136">
            <v>1110</v>
          </cell>
        </row>
        <row r="137">
          <cell r="B137" t="str">
            <v>NBL INJ-FILLING</v>
          </cell>
          <cell r="C137">
            <v>60480</v>
          </cell>
          <cell r="D137">
            <v>39060</v>
          </cell>
          <cell r="E137">
            <v>38730</v>
          </cell>
          <cell r="F137">
            <v>17310</v>
          </cell>
          <cell r="G137">
            <v>21750</v>
          </cell>
          <cell r="H137">
            <v>21750</v>
          </cell>
          <cell r="I137">
            <v>1965</v>
          </cell>
          <cell r="J137">
            <v>1965</v>
          </cell>
          <cell r="K137">
            <v>1910</v>
          </cell>
          <cell r="L137">
            <v>150</v>
          </cell>
          <cell r="M137">
            <v>1760</v>
          </cell>
          <cell r="N137">
            <v>55</v>
          </cell>
          <cell r="O137">
            <v>19785</v>
          </cell>
          <cell r="P137">
            <v>19785</v>
          </cell>
          <cell r="Q137">
            <v>6540</v>
          </cell>
          <cell r="R137">
            <v>6540</v>
          </cell>
          <cell r="S137">
            <v>13245</v>
          </cell>
          <cell r="T137">
            <v>13245</v>
          </cell>
          <cell r="U137">
            <v>2223</v>
          </cell>
          <cell r="V137">
            <v>2021</v>
          </cell>
          <cell r="W137">
            <v>50</v>
          </cell>
          <cell r="X137">
            <v>146</v>
          </cell>
          <cell r="Y137">
            <v>6</v>
          </cell>
          <cell r="Z137">
            <v>552</v>
          </cell>
          <cell r="AA137">
            <v>34</v>
          </cell>
          <cell r="AB137">
            <v>92</v>
          </cell>
          <cell r="AC137">
            <v>0</v>
          </cell>
          <cell r="AD137">
            <v>83</v>
          </cell>
          <cell r="AE137">
            <v>343</v>
          </cell>
          <cell r="AF137">
            <v>5287</v>
          </cell>
          <cell r="AG137">
            <v>1015</v>
          </cell>
          <cell r="AH137">
            <v>4247</v>
          </cell>
          <cell r="AI137">
            <v>25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5183</v>
          </cell>
          <cell r="AP137">
            <v>0</v>
          </cell>
          <cell r="AQ137">
            <v>0</v>
          </cell>
          <cell r="AR137">
            <v>1406</v>
          </cell>
          <cell r="AS137">
            <v>0</v>
          </cell>
          <cell r="AT137">
            <v>1485</v>
          </cell>
          <cell r="AU137">
            <v>0</v>
          </cell>
          <cell r="AV137">
            <v>0</v>
          </cell>
          <cell r="AW137">
            <v>45</v>
          </cell>
          <cell r="AX137">
            <v>210</v>
          </cell>
          <cell r="AY137">
            <v>363</v>
          </cell>
          <cell r="AZ137">
            <v>0</v>
          </cell>
          <cell r="BA137">
            <v>0</v>
          </cell>
          <cell r="BB137">
            <v>1623</v>
          </cell>
          <cell r="BC137">
            <v>0</v>
          </cell>
          <cell r="BD137">
            <v>0</v>
          </cell>
          <cell r="BE137">
            <v>0</v>
          </cell>
          <cell r="BF137">
            <v>51</v>
          </cell>
          <cell r="BG137">
            <v>0</v>
          </cell>
          <cell r="BH137">
            <v>0</v>
          </cell>
          <cell r="BI137">
            <v>0</v>
          </cell>
          <cell r="BJ137">
            <v>681149</v>
          </cell>
          <cell r="BK137">
            <v>56</v>
          </cell>
          <cell r="BL137">
            <v>681093</v>
          </cell>
        </row>
        <row r="138">
          <cell r="B138" t="str">
            <v>GINLINE3</v>
          </cell>
          <cell r="C138">
            <v>30240</v>
          </cell>
          <cell r="D138">
            <v>19530</v>
          </cell>
          <cell r="E138">
            <v>19920</v>
          </cell>
          <cell r="F138">
            <v>9210</v>
          </cell>
          <cell r="G138">
            <v>10320</v>
          </cell>
          <cell r="H138">
            <v>10320</v>
          </cell>
          <cell r="I138">
            <v>1230</v>
          </cell>
          <cell r="J138">
            <v>1230</v>
          </cell>
          <cell r="K138">
            <v>1175</v>
          </cell>
          <cell r="L138">
            <v>90</v>
          </cell>
          <cell r="M138">
            <v>1085</v>
          </cell>
          <cell r="N138">
            <v>55</v>
          </cell>
          <cell r="O138">
            <v>9090</v>
          </cell>
          <cell r="P138">
            <v>9090</v>
          </cell>
          <cell r="Q138">
            <v>2015</v>
          </cell>
          <cell r="R138">
            <v>2015</v>
          </cell>
          <cell r="S138">
            <v>7075</v>
          </cell>
          <cell r="T138">
            <v>7075</v>
          </cell>
          <cell r="U138">
            <v>1043</v>
          </cell>
          <cell r="V138">
            <v>986</v>
          </cell>
          <cell r="W138">
            <v>50</v>
          </cell>
          <cell r="X138">
            <v>1</v>
          </cell>
          <cell r="Y138">
            <v>6</v>
          </cell>
          <cell r="Z138">
            <v>406</v>
          </cell>
          <cell r="AA138">
            <v>0</v>
          </cell>
          <cell r="AB138">
            <v>85</v>
          </cell>
          <cell r="AC138">
            <v>0</v>
          </cell>
          <cell r="AD138">
            <v>48</v>
          </cell>
          <cell r="AE138">
            <v>273</v>
          </cell>
          <cell r="AF138">
            <v>2792</v>
          </cell>
          <cell r="AG138">
            <v>735</v>
          </cell>
          <cell r="AH138">
            <v>2032</v>
          </cell>
          <cell r="AI138">
            <v>25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2834</v>
          </cell>
          <cell r="AP138">
            <v>0</v>
          </cell>
          <cell r="AQ138">
            <v>0</v>
          </cell>
          <cell r="AR138">
            <v>686</v>
          </cell>
          <cell r="AS138">
            <v>0</v>
          </cell>
          <cell r="AT138">
            <v>675</v>
          </cell>
          <cell r="AU138">
            <v>0</v>
          </cell>
          <cell r="AV138">
            <v>0</v>
          </cell>
          <cell r="AW138">
            <v>0</v>
          </cell>
          <cell r="AX138">
            <v>210</v>
          </cell>
          <cell r="AY138">
            <v>243</v>
          </cell>
          <cell r="AZ138">
            <v>0</v>
          </cell>
          <cell r="BA138">
            <v>0</v>
          </cell>
          <cell r="BB138">
            <v>985</v>
          </cell>
          <cell r="BC138">
            <v>0</v>
          </cell>
          <cell r="BD138">
            <v>0</v>
          </cell>
          <cell r="BE138">
            <v>0</v>
          </cell>
          <cell r="BF138">
            <v>35</v>
          </cell>
          <cell r="BG138">
            <v>0</v>
          </cell>
          <cell r="BH138">
            <v>0</v>
          </cell>
          <cell r="BI138">
            <v>0</v>
          </cell>
          <cell r="BJ138">
            <v>331709</v>
          </cell>
          <cell r="BK138">
            <v>0</v>
          </cell>
          <cell r="BL138">
            <v>331709</v>
          </cell>
        </row>
        <row r="139">
          <cell r="B139" t="str">
            <v>GINLINE4</v>
          </cell>
          <cell r="C139">
            <v>30240</v>
          </cell>
          <cell r="D139">
            <v>19530</v>
          </cell>
          <cell r="E139">
            <v>18810</v>
          </cell>
          <cell r="F139">
            <v>8100</v>
          </cell>
          <cell r="G139">
            <v>11430</v>
          </cell>
          <cell r="H139">
            <v>11430</v>
          </cell>
          <cell r="I139">
            <v>735</v>
          </cell>
          <cell r="J139">
            <v>735</v>
          </cell>
          <cell r="K139">
            <v>735</v>
          </cell>
          <cell r="L139">
            <v>60</v>
          </cell>
          <cell r="M139">
            <v>675</v>
          </cell>
          <cell r="N139">
            <v>0</v>
          </cell>
          <cell r="O139">
            <v>10695</v>
          </cell>
          <cell r="P139">
            <v>10695</v>
          </cell>
          <cell r="Q139">
            <v>4525</v>
          </cell>
          <cell r="R139">
            <v>4525</v>
          </cell>
          <cell r="S139">
            <v>6170</v>
          </cell>
          <cell r="T139">
            <v>6170</v>
          </cell>
          <cell r="U139">
            <v>1180</v>
          </cell>
          <cell r="V139">
            <v>1035</v>
          </cell>
          <cell r="W139">
            <v>0</v>
          </cell>
          <cell r="X139">
            <v>145</v>
          </cell>
          <cell r="Y139">
            <v>0</v>
          </cell>
          <cell r="Z139">
            <v>146</v>
          </cell>
          <cell r="AA139">
            <v>34</v>
          </cell>
          <cell r="AB139">
            <v>7</v>
          </cell>
          <cell r="AC139">
            <v>0</v>
          </cell>
          <cell r="AD139">
            <v>35</v>
          </cell>
          <cell r="AE139">
            <v>70</v>
          </cell>
          <cell r="AF139">
            <v>2495</v>
          </cell>
          <cell r="AG139">
            <v>280</v>
          </cell>
          <cell r="AH139">
            <v>2215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2349</v>
          </cell>
          <cell r="AP139">
            <v>0</v>
          </cell>
          <cell r="AQ139">
            <v>0</v>
          </cell>
          <cell r="AR139">
            <v>720</v>
          </cell>
          <cell r="AS139">
            <v>0</v>
          </cell>
          <cell r="AT139">
            <v>810</v>
          </cell>
          <cell r="AU139">
            <v>0</v>
          </cell>
          <cell r="AV139">
            <v>0</v>
          </cell>
          <cell r="AW139">
            <v>45</v>
          </cell>
          <cell r="AX139">
            <v>0</v>
          </cell>
          <cell r="AY139">
            <v>120</v>
          </cell>
          <cell r="AZ139">
            <v>0</v>
          </cell>
          <cell r="BA139">
            <v>0</v>
          </cell>
          <cell r="BB139">
            <v>638</v>
          </cell>
          <cell r="BC139">
            <v>0</v>
          </cell>
          <cell r="BD139">
            <v>0</v>
          </cell>
          <cell r="BE139">
            <v>0</v>
          </cell>
          <cell r="BF139">
            <v>16</v>
          </cell>
          <cell r="BG139">
            <v>0</v>
          </cell>
          <cell r="BH139">
            <v>0</v>
          </cell>
          <cell r="BI139">
            <v>0</v>
          </cell>
          <cell r="BJ139">
            <v>349440</v>
          </cell>
          <cell r="BK139">
            <v>56</v>
          </cell>
          <cell r="BL139">
            <v>349384</v>
          </cell>
        </row>
        <row r="140">
          <cell r="B140" t="str">
            <v>NBL INJ-STERILIZATION</v>
          </cell>
          <cell r="C140">
            <v>90720</v>
          </cell>
          <cell r="D140">
            <v>58590</v>
          </cell>
          <cell r="E140">
            <v>50574</v>
          </cell>
          <cell r="F140">
            <v>18444</v>
          </cell>
          <cell r="G140">
            <v>40146</v>
          </cell>
          <cell r="H140">
            <v>40146</v>
          </cell>
          <cell r="I140">
            <v>5368</v>
          </cell>
          <cell r="J140">
            <v>5368</v>
          </cell>
          <cell r="K140">
            <v>5368</v>
          </cell>
          <cell r="L140">
            <v>1290</v>
          </cell>
          <cell r="M140">
            <v>4078</v>
          </cell>
          <cell r="N140">
            <v>0</v>
          </cell>
          <cell r="O140">
            <v>34778</v>
          </cell>
          <cell r="P140">
            <v>34778</v>
          </cell>
          <cell r="Q140">
            <v>16020</v>
          </cell>
          <cell r="R140">
            <v>16020</v>
          </cell>
          <cell r="S140">
            <v>18758</v>
          </cell>
          <cell r="T140">
            <v>18758</v>
          </cell>
          <cell r="U140">
            <v>1083</v>
          </cell>
          <cell r="V140">
            <v>1078</v>
          </cell>
          <cell r="W140">
            <v>0</v>
          </cell>
          <cell r="X140">
            <v>5</v>
          </cell>
          <cell r="Y140">
            <v>0</v>
          </cell>
          <cell r="Z140">
            <v>88</v>
          </cell>
          <cell r="AA140">
            <v>40</v>
          </cell>
          <cell r="AB140">
            <v>30</v>
          </cell>
          <cell r="AC140">
            <v>0</v>
          </cell>
          <cell r="AD140">
            <v>18</v>
          </cell>
          <cell r="AE140">
            <v>0</v>
          </cell>
          <cell r="AF140">
            <v>7922</v>
          </cell>
          <cell r="AG140">
            <v>5948</v>
          </cell>
          <cell r="AH140">
            <v>1749</v>
          </cell>
          <cell r="AI140">
            <v>0</v>
          </cell>
          <cell r="AJ140">
            <v>0</v>
          </cell>
          <cell r="AK140">
            <v>225</v>
          </cell>
          <cell r="AL140">
            <v>0</v>
          </cell>
          <cell r="AM140">
            <v>0</v>
          </cell>
          <cell r="AN140">
            <v>0</v>
          </cell>
          <cell r="AO140">
            <v>9665</v>
          </cell>
          <cell r="AP140">
            <v>0</v>
          </cell>
          <cell r="AQ140">
            <v>0</v>
          </cell>
          <cell r="AR140">
            <v>535</v>
          </cell>
          <cell r="AS140">
            <v>50</v>
          </cell>
          <cell r="AT140">
            <v>385</v>
          </cell>
          <cell r="AU140">
            <v>1006</v>
          </cell>
          <cell r="AV140">
            <v>0</v>
          </cell>
          <cell r="AW140">
            <v>0</v>
          </cell>
          <cell r="AX140">
            <v>7434</v>
          </cell>
          <cell r="AY140">
            <v>255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1110</v>
          </cell>
          <cell r="BK140">
            <v>0</v>
          </cell>
          <cell r="BL140">
            <v>1110</v>
          </cell>
        </row>
        <row r="141">
          <cell r="B141" t="str">
            <v>INJ105</v>
          </cell>
          <cell r="C141">
            <v>30240</v>
          </cell>
          <cell r="D141">
            <v>19530</v>
          </cell>
          <cell r="E141">
            <v>13430</v>
          </cell>
          <cell r="F141">
            <v>2720</v>
          </cell>
          <cell r="G141">
            <v>16810</v>
          </cell>
          <cell r="H141">
            <v>16810</v>
          </cell>
          <cell r="I141">
            <v>2568</v>
          </cell>
          <cell r="J141">
            <v>2568</v>
          </cell>
          <cell r="K141">
            <v>2568</v>
          </cell>
          <cell r="L141">
            <v>986</v>
          </cell>
          <cell r="M141">
            <v>1582</v>
          </cell>
          <cell r="N141">
            <v>0</v>
          </cell>
          <cell r="O141">
            <v>14242</v>
          </cell>
          <cell r="P141">
            <v>14242</v>
          </cell>
          <cell r="Q141">
            <v>6539</v>
          </cell>
          <cell r="R141">
            <v>6539</v>
          </cell>
          <cell r="S141">
            <v>7703</v>
          </cell>
          <cell r="T141">
            <v>7703</v>
          </cell>
          <cell r="U141">
            <v>416</v>
          </cell>
          <cell r="V141">
            <v>416</v>
          </cell>
          <cell r="W141">
            <v>0</v>
          </cell>
          <cell r="X141">
            <v>0</v>
          </cell>
          <cell r="Y141">
            <v>0</v>
          </cell>
          <cell r="Z141">
            <v>18</v>
          </cell>
          <cell r="AA141">
            <v>0</v>
          </cell>
          <cell r="AB141">
            <v>0</v>
          </cell>
          <cell r="AC141">
            <v>0</v>
          </cell>
          <cell r="AD141">
            <v>18</v>
          </cell>
          <cell r="AE141">
            <v>0</v>
          </cell>
          <cell r="AF141">
            <v>1982</v>
          </cell>
          <cell r="AG141">
            <v>1165</v>
          </cell>
          <cell r="AH141">
            <v>817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5287</v>
          </cell>
          <cell r="AP141">
            <v>0</v>
          </cell>
          <cell r="AQ141">
            <v>0</v>
          </cell>
          <cell r="AR141">
            <v>120</v>
          </cell>
          <cell r="AS141">
            <v>0</v>
          </cell>
          <cell r="AT141">
            <v>100</v>
          </cell>
          <cell r="AU141">
            <v>0</v>
          </cell>
          <cell r="AV141">
            <v>0</v>
          </cell>
          <cell r="AW141">
            <v>0</v>
          </cell>
          <cell r="AX141">
            <v>5067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598</v>
          </cell>
          <cell r="BK141">
            <v>0</v>
          </cell>
          <cell r="BL141">
            <v>598</v>
          </cell>
        </row>
        <row r="142">
          <cell r="B142" t="str">
            <v>INJ106</v>
          </cell>
          <cell r="C142">
            <v>30240</v>
          </cell>
          <cell r="D142">
            <v>19530</v>
          </cell>
          <cell r="E142">
            <v>15399</v>
          </cell>
          <cell r="F142">
            <v>4689</v>
          </cell>
          <cell r="G142">
            <v>14841</v>
          </cell>
          <cell r="H142">
            <v>14841</v>
          </cell>
          <cell r="I142">
            <v>1285</v>
          </cell>
          <cell r="J142">
            <v>1285</v>
          </cell>
          <cell r="K142">
            <v>1285</v>
          </cell>
          <cell r="L142">
            <v>244</v>
          </cell>
          <cell r="M142">
            <v>1041</v>
          </cell>
          <cell r="N142">
            <v>0</v>
          </cell>
          <cell r="O142">
            <v>13556</v>
          </cell>
          <cell r="P142">
            <v>13556</v>
          </cell>
          <cell r="Q142">
            <v>8415</v>
          </cell>
          <cell r="R142">
            <v>8415</v>
          </cell>
          <cell r="S142">
            <v>5141</v>
          </cell>
          <cell r="T142">
            <v>5141</v>
          </cell>
          <cell r="U142">
            <v>230</v>
          </cell>
          <cell r="V142">
            <v>230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4536</v>
          </cell>
          <cell r="AG142">
            <v>4024</v>
          </cell>
          <cell r="AH142">
            <v>512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375</v>
          </cell>
          <cell r="AP142">
            <v>0</v>
          </cell>
          <cell r="AQ142">
            <v>0</v>
          </cell>
          <cell r="AR142">
            <v>135</v>
          </cell>
          <cell r="AS142">
            <v>0</v>
          </cell>
          <cell r="AT142">
            <v>90</v>
          </cell>
          <cell r="AU142">
            <v>0</v>
          </cell>
          <cell r="AV142">
            <v>0</v>
          </cell>
          <cell r="AW142">
            <v>0</v>
          </cell>
          <cell r="AX142">
            <v>150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489</v>
          </cell>
          <cell r="BK142">
            <v>0</v>
          </cell>
          <cell r="BL142">
            <v>489</v>
          </cell>
        </row>
        <row r="143">
          <cell r="B143" t="str">
            <v>INJ107</v>
          </cell>
          <cell r="C143">
            <v>30240</v>
          </cell>
          <cell r="D143">
            <v>19530</v>
          </cell>
          <cell r="E143">
            <v>21745</v>
          </cell>
          <cell r="F143">
            <v>11035</v>
          </cell>
          <cell r="G143">
            <v>8495</v>
          </cell>
          <cell r="H143">
            <v>8495</v>
          </cell>
          <cell r="I143">
            <v>1515</v>
          </cell>
          <cell r="J143">
            <v>1515</v>
          </cell>
          <cell r="K143">
            <v>1515</v>
          </cell>
          <cell r="L143">
            <v>60</v>
          </cell>
          <cell r="M143">
            <v>1455</v>
          </cell>
          <cell r="N143">
            <v>0</v>
          </cell>
          <cell r="O143">
            <v>6980</v>
          </cell>
          <cell r="P143">
            <v>6980</v>
          </cell>
          <cell r="Q143">
            <v>1066</v>
          </cell>
          <cell r="R143">
            <v>1066</v>
          </cell>
          <cell r="S143">
            <v>5914</v>
          </cell>
          <cell r="T143">
            <v>5914</v>
          </cell>
          <cell r="U143">
            <v>437</v>
          </cell>
          <cell r="V143">
            <v>432</v>
          </cell>
          <cell r="W143">
            <v>0</v>
          </cell>
          <cell r="X143">
            <v>5</v>
          </cell>
          <cell r="Y143">
            <v>0</v>
          </cell>
          <cell r="Z143">
            <v>70</v>
          </cell>
          <cell r="AA143">
            <v>40</v>
          </cell>
          <cell r="AB143">
            <v>30</v>
          </cell>
          <cell r="AC143">
            <v>0</v>
          </cell>
          <cell r="AD143">
            <v>0</v>
          </cell>
          <cell r="AE143">
            <v>0</v>
          </cell>
          <cell r="AF143">
            <v>1404</v>
          </cell>
          <cell r="AG143">
            <v>759</v>
          </cell>
          <cell r="AH143">
            <v>420</v>
          </cell>
          <cell r="AI143">
            <v>0</v>
          </cell>
          <cell r="AJ143">
            <v>0</v>
          </cell>
          <cell r="AK143">
            <v>225</v>
          </cell>
          <cell r="AL143">
            <v>0</v>
          </cell>
          <cell r="AM143">
            <v>0</v>
          </cell>
          <cell r="AN143">
            <v>0</v>
          </cell>
          <cell r="AO143">
            <v>4003</v>
          </cell>
          <cell r="AP143">
            <v>0</v>
          </cell>
          <cell r="AQ143">
            <v>0</v>
          </cell>
          <cell r="AR143">
            <v>280</v>
          </cell>
          <cell r="AS143">
            <v>50</v>
          </cell>
          <cell r="AT143">
            <v>195</v>
          </cell>
          <cell r="AU143">
            <v>1006</v>
          </cell>
          <cell r="AV143">
            <v>0</v>
          </cell>
          <cell r="AW143">
            <v>0</v>
          </cell>
          <cell r="AX143">
            <v>2217</v>
          </cell>
          <cell r="AY143">
            <v>255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23</v>
          </cell>
          <cell r="BK143">
            <v>0</v>
          </cell>
          <cell r="BL143">
            <v>23</v>
          </cell>
        </row>
        <row r="144">
          <cell r="B144" t="str">
            <v>NBL SECONDARY PACKING</v>
          </cell>
          <cell r="C144">
            <v>181440</v>
          </cell>
          <cell r="D144">
            <v>69930</v>
          </cell>
          <cell r="E144">
            <v>135330</v>
          </cell>
          <cell r="F144">
            <v>23820</v>
          </cell>
          <cell r="G144">
            <v>46110</v>
          </cell>
          <cell r="H144">
            <v>46110</v>
          </cell>
          <cell r="I144">
            <v>5610</v>
          </cell>
          <cell r="J144">
            <v>5610</v>
          </cell>
          <cell r="K144">
            <v>5610</v>
          </cell>
          <cell r="L144">
            <v>1030</v>
          </cell>
          <cell r="M144">
            <v>4580</v>
          </cell>
          <cell r="N144">
            <v>0</v>
          </cell>
          <cell r="O144">
            <v>40500</v>
          </cell>
          <cell r="P144">
            <v>40500</v>
          </cell>
          <cell r="Q144">
            <v>24974</v>
          </cell>
          <cell r="R144">
            <v>24974</v>
          </cell>
          <cell r="S144">
            <v>15526</v>
          </cell>
          <cell r="T144">
            <v>15526</v>
          </cell>
          <cell r="U144">
            <v>2709</v>
          </cell>
          <cell r="V144">
            <v>1495</v>
          </cell>
          <cell r="W144">
            <v>196</v>
          </cell>
          <cell r="X144">
            <v>423</v>
          </cell>
          <cell r="Y144">
            <v>595</v>
          </cell>
          <cell r="Z144">
            <v>28</v>
          </cell>
          <cell r="AA144">
            <v>0</v>
          </cell>
          <cell r="AB144">
            <v>28</v>
          </cell>
          <cell r="AC144">
            <v>0</v>
          </cell>
          <cell r="AD144">
            <v>0</v>
          </cell>
          <cell r="AE144">
            <v>0</v>
          </cell>
          <cell r="AF144">
            <v>4131</v>
          </cell>
          <cell r="AG144">
            <v>1652</v>
          </cell>
          <cell r="AH144">
            <v>1959</v>
          </cell>
          <cell r="AI144">
            <v>0</v>
          </cell>
          <cell r="AJ144">
            <v>0</v>
          </cell>
          <cell r="AK144">
            <v>520</v>
          </cell>
          <cell r="AL144">
            <v>0</v>
          </cell>
          <cell r="AM144">
            <v>0</v>
          </cell>
          <cell r="AN144">
            <v>0</v>
          </cell>
          <cell r="AO144">
            <v>8658</v>
          </cell>
          <cell r="AP144">
            <v>0</v>
          </cell>
          <cell r="AQ144">
            <v>655</v>
          </cell>
          <cell r="AR144">
            <v>2370</v>
          </cell>
          <cell r="AS144">
            <v>0</v>
          </cell>
          <cell r="AT144">
            <v>1410</v>
          </cell>
          <cell r="AU144">
            <v>180</v>
          </cell>
          <cell r="AV144">
            <v>420</v>
          </cell>
          <cell r="AW144">
            <v>0</v>
          </cell>
          <cell r="AX144">
            <v>1430</v>
          </cell>
          <cell r="AY144">
            <v>692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1446</v>
          </cell>
          <cell r="BG144">
            <v>55</v>
          </cell>
          <cell r="BH144">
            <v>0</v>
          </cell>
          <cell r="BI144">
            <v>0</v>
          </cell>
          <cell r="BJ144">
            <v>1377288</v>
          </cell>
          <cell r="BK144">
            <v>268</v>
          </cell>
          <cell r="BL144">
            <v>1377020</v>
          </cell>
        </row>
        <row r="145">
          <cell r="B145" t="str">
            <v>PAK101</v>
          </cell>
          <cell r="C145">
            <v>30240</v>
          </cell>
          <cell r="D145">
            <v>10080</v>
          </cell>
          <cell r="E145">
            <v>19290</v>
          </cell>
          <cell r="F145">
            <v>-870</v>
          </cell>
          <cell r="G145">
            <v>10950</v>
          </cell>
          <cell r="H145">
            <v>10950</v>
          </cell>
          <cell r="I145">
            <v>595</v>
          </cell>
          <cell r="J145">
            <v>595</v>
          </cell>
          <cell r="K145">
            <v>595</v>
          </cell>
          <cell r="L145">
            <v>255</v>
          </cell>
          <cell r="M145">
            <v>340</v>
          </cell>
          <cell r="N145">
            <v>0</v>
          </cell>
          <cell r="O145">
            <v>10355</v>
          </cell>
          <cell r="P145">
            <v>10355</v>
          </cell>
          <cell r="Q145">
            <v>7130</v>
          </cell>
          <cell r="R145">
            <v>7130</v>
          </cell>
          <cell r="S145">
            <v>3225</v>
          </cell>
          <cell r="T145">
            <v>3225</v>
          </cell>
          <cell r="U145">
            <v>272</v>
          </cell>
          <cell r="V145">
            <v>272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824</v>
          </cell>
          <cell r="AG145">
            <v>244</v>
          </cell>
          <cell r="AH145">
            <v>520</v>
          </cell>
          <cell r="AI145">
            <v>0</v>
          </cell>
          <cell r="AJ145">
            <v>0</v>
          </cell>
          <cell r="AK145">
            <v>60</v>
          </cell>
          <cell r="AL145">
            <v>0</v>
          </cell>
          <cell r="AM145">
            <v>0</v>
          </cell>
          <cell r="AN145">
            <v>0</v>
          </cell>
          <cell r="AO145">
            <v>2129</v>
          </cell>
          <cell r="AP145">
            <v>0</v>
          </cell>
          <cell r="AQ145">
            <v>250</v>
          </cell>
          <cell r="AR145">
            <v>630</v>
          </cell>
          <cell r="AS145">
            <v>0</v>
          </cell>
          <cell r="AT145">
            <v>360</v>
          </cell>
          <cell r="AU145">
            <v>0</v>
          </cell>
          <cell r="AV145">
            <v>210</v>
          </cell>
          <cell r="AW145">
            <v>0</v>
          </cell>
          <cell r="AX145">
            <v>0</v>
          </cell>
          <cell r="AY145">
            <v>217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462</v>
          </cell>
          <cell r="BG145">
            <v>0</v>
          </cell>
          <cell r="BH145">
            <v>0</v>
          </cell>
          <cell r="BI145">
            <v>0</v>
          </cell>
          <cell r="BJ145">
            <v>256914</v>
          </cell>
          <cell r="BK145">
            <v>0</v>
          </cell>
          <cell r="BL145">
            <v>256914</v>
          </cell>
        </row>
        <row r="146">
          <cell r="B146" t="str">
            <v>PAK103</v>
          </cell>
          <cell r="C146">
            <v>30240</v>
          </cell>
          <cell r="D146">
            <v>10080</v>
          </cell>
          <cell r="E146">
            <v>15000</v>
          </cell>
          <cell r="F146">
            <v>-5160</v>
          </cell>
          <cell r="G146">
            <v>15240</v>
          </cell>
          <cell r="H146">
            <v>15240</v>
          </cell>
          <cell r="I146">
            <v>255</v>
          </cell>
          <cell r="J146">
            <v>255</v>
          </cell>
          <cell r="K146">
            <v>255</v>
          </cell>
          <cell r="L146">
            <v>255</v>
          </cell>
          <cell r="M146">
            <v>0</v>
          </cell>
          <cell r="N146">
            <v>0</v>
          </cell>
          <cell r="O146">
            <v>14985</v>
          </cell>
          <cell r="P146">
            <v>14985</v>
          </cell>
          <cell r="Q146">
            <v>10420</v>
          </cell>
          <cell r="R146">
            <v>10420</v>
          </cell>
          <cell r="S146">
            <v>4565</v>
          </cell>
          <cell r="T146">
            <v>4565</v>
          </cell>
          <cell r="U146">
            <v>257</v>
          </cell>
          <cell r="V146">
            <v>257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1089</v>
          </cell>
          <cell r="AG146">
            <v>260</v>
          </cell>
          <cell r="AH146">
            <v>769</v>
          </cell>
          <cell r="AI146">
            <v>0</v>
          </cell>
          <cell r="AJ146">
            <v>0</v>
          </cell>
          <cell r="AK146">
            <v>60</v>
          </cell>
          <cell r="AL146">
            <v>0</v>
          </cell>
          <cell r="AM146">
            <v>0</v>
          </cell>
          <cell r="AN146">
            <v>0</v>
          </cell>
          <cell r="AO146">
            <v>3219</v>
          </cell>
          <cell r="AP146">
            <v>0</v>
          </cell>
          <cell r="AQ146">
            <v>405</v>
          </cell>
          <cell r="AR146">
            <v>960</v>
          </cell>
          <cell r="AS146">
            <v>0</v>
          </cell>
          <cell r="AT146">
            <v>660</v>
          </cell>
          <cell r="AU146">
            <v>60</v>
          </cell>
          <cell r="AV146">
            <v>210</v>
          </cell>
          <cell r="AW146">
            <v>0</v>
          </cell>
          <cell r="AX146">
            <v>0</v>
          </cell>
          <cell r="AY146">
            <v>207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717</v>
          </cell>
          <cell r="BG146">
            <v>0</v>
          </cell>
          <cell r="BH146">
            <v>0</v>
          </cell>
          <cell r="BI146">
            <v>0</v>
          </cell>
          <cell r="BJ146">
            <v>449538</v>
          </cell>
          <cell r="BK146">
            <v>170</v>
          </cell>
          <cell r="BL146">
            <v>449368</v>
          </cell>
        </row>
        <row r="147">
          <cell r="B147" t="str">
            <v>PAK105</v>
          </cell>
          <cell r="C147">
            <v>30240</v>
          </cell>
          <cell r="D147">
            <v>19530</v>
          </cell>
          <cell r="E147">
            <v>21570</v>
          </cell>
          <cell r="F147">
            <v>10860</v>
          </cell>
          <cell r="G147">
            <v>8670</v>
          </cell>
          <cell r="H147">
            <v>8670</v>
          </cell>
          <cell r="I147">
            <v>2315</v>
          </cell>
          <cell r="J147">
            <v>2315</v>
          </cell>
          <cell r="K147">
            <v>2315</v>
          </cell>
          <cell r="L147">
            <v>165</v>
          </cell>
          <cell r="M147">
            <v>2150</v>
          </cell>
          <cell r="N147">
            <v>0</v>
          </cell>
          <cell r="O147">
            <v>6355</v>
          </cell>
          <cell r="P147">
            <v>6355</v>
          </cell>
          <cell r="Q147">
            <v>2775</v>
          </cell>
          <cell r="R147">
            <v>2775</v>
          </cell>
          <cell r="S147">
            <v>3580</v>
          </cell>
          <cell r="T147">
            <v>3580</v>
          </cell>
          <cell r="U147">
            <v>945</v>
          </cell>
          <cell r="V147">
            <v>485</v>
          </cell>
          <cell r="W147">
            <v>20</v>
          </cell>
          <cell r="X147">
            <v>280</v>
          </cell>
          <cell r="Y147">
            <v>160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445</v>
          </cell>
          <cell r="AG147">
            <v>235</v>
          </cell>
          <cell r="AH147">
            <v>210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2190</v>
          </cell>
          <cell r="AP147">
            <v>0</v>
          </cell>
          <cell r="AQ147">
            <v>0</v>
          </cell>
          <cell r="AR147">
            <v>330</v>
          </cell>
          <cell r="AS147">
            <v>0</v>
          </cell>
          <cell r="AT147">
            <v>165</v>
          </cell>
          <cell r="AU147">
            <v>120</v>
          </cell>
          <cell r="AV147">
            <v>0</v>
          </cell>
          <cell r="AW147">
            <v>0</v>
          </cell>
          <cell r="AX147">
            <v>1285</v>
          </cell>
          <cell r="AY147">
            <v>115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120</v>
          </cell>
          <cell r="BG147">
            <v>55</v>
          </cell>
          <cell r="BH147">
            <v>0</v>
          </cell>
          <cell r="BI147">
            <v>0</v>
          </cell>
          <cell r="BJ147">
            <v>194565</v>
          </cell>
          <cell r="BK147">
            <v>0</v>
          </cell>
          <cell r="BL147">
            <v>194565</v>
          </cell>
        </row>
        <row r="148">
          <cell r="B148" t="str">
            <v>PAK102</v>
          </cell>
          <cell r="C148">
            <v>30240</v>
          </cell>
          <cell r="D148">
            <v>10080</v>
          </cell>
          <cell r="E148">
            <v>30240</v>
          </cell>
          <cell r="F148">
            <v>10080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/>
          <cell r="R148"/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</row>
        <row r="149">
          <cell r="B149" t="str">
            <v>PAK104</v>
          </cell>
          <cell r="C149">
            <v>30240</v>
          </cell>
          <cell r="D149">
            <v>10080</v>
          </cell>
          <cell r="E149">
            <v>29220</v>
          </cell>
          <cell r="F149">
            <v>9060</v>
          </cell>
          <cell r="G149">
            <v>1020</v>
          </cell>
          <cell r="H149">
            <v>1020</v>
          </cell>
          <cell r="I149">
            <v>640</v>
          </cell>
          <cell r="J149">
            <v>640</v>
          </cell>
          <cell r="K149">
            <v>640</v>
          </cell>
          <cell r="L149">
            <v>0</v>
          </cell>
          <cell r="M149">
            <v>640</v>
          </cell>
          <cell r="N149">
            <v>0</v>
          </cell>
          <cell r="O149">
            <v>380</v>
          </cell>
          <cell r="P149">
            <v>380</v>
          </cell>
          <cell r="Q149">
            <v>115</v>
          </cell>
          <cell r="R149">
            <v>115</v>
          </cell>
          <cell r="S149">
            <v>265</v>
          </cell>
          <cell r="T149">
            <v>265</v>
          </cell>
          <cell r="U149">
            <v>130</v>
          </cell>
          <cell r="V149">
            <v>45</v>
          </cell>
          <cell r="W149">
            <v>0</v>
          </cell>
          <cell r="X149">
            <v>20</v>
          </cell>
          <cell r="Y149">
            <v>65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110</v>
          </cell>
          <cell r="AG149">
            <v>20</v>
          </cell>
          <cell r="AH149">
            <v>80</v>
          </cell>
          <cell r="AI149">
            <v>0</v>
          </cell>
          <cell r="AJ149">
            <v>0</v>
          </cell>
          <cell r="AK149">
            <v>10</v>
          </cell>
          <cell r="AL149">
            <v>0</v>
          </cell>
          <cell r="AM149">
            <v>0</v>
          </cell>
          <cell r="AN149">
            <v>0</v>
          </cell>
          <cell r="AO149">
            <v>25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15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10</v>
          </cell>
          <cell r="BG149">
            <v>0</v>
          </cell>
          <cell r="BH149">
            <v>0</v>
          </cell>
          <cell r="BI149">
            <v>0</v>
          </cell>
          <cell r="BJ149">
            <v>1365</v>
          </cell>
          <cell r="BK149">
            <v>0</v>
          </cell>
          <cell r="BL149">
            <v>1365</v>
          </cell>
        </row>
        <row r="150">
          <cell r="B150" t="str">
            <v>PAK111</v>
          </cell>
          <cell r="C150">
            <v>30240</v>
          </cell>
          <cell r="D150">
            <v>10080</v>
          </cell>
          <cell r="E150">
            <v>20010</v>
          </cell>
          <cell r="F150">
            <v>-150</v>
          </cell>
          <cell r="G150">
            <v>10230</v>
          </cell>
          <cell r="H150">
            <v>10230</v>
          </cell>
          <cell r="I150">
            <v>1805</v>
          </cell>
          <cell r="J150">
            <v>1805</v>
          </cell>
          <cell r="K150">
            <v>1805</v>
          </cell>
          <cell r="L150">
            <v>355</v>
          </cell>
          <cell r="M150">
            <v>1450</v>
          </cell>
          <cell r="N150">
            <v>0</v>
          </cell>
          <cell r="O150">
            <v>8425</v>
          </cell>
          <cell r="P150">
            <v>8425</v>
          </cell>
          <cell r="Q150">
            <v>4534</v>
          </cell>
          <cell r="R150">
            <v>4534</v>
          </cell>
          <cell r="S150">
            <v>3891</v>
          </cell>
          <cell r="T150">
            <v>3891</v>
          </cell>
          <cell r="U150">
            <v>1105</v>
          </cell>
          <cell r="V150">
            <v>436</v>
          </cell>
          <cell r="W150">
            <v>176</v>
          </cell>
          <cell r="X150">
            <v>123</v>
          </cell>
          <cell r="Y150">
            <v>370</v>
          </cell>
          <cell r="Z150">
            <v>28</v>
          </cell>
          <cell r="AA150">
            <v>0</v>
          </cell>
          <cell r="AB150">
            <v>28</v>
          </cell>
          <cell r="AC150">
            <v>0</v>
          </cell>
          <cell r="AD150">
            <v>0</v>
          </cell>
          <cell r="AE150">
            <v>0</v>
          </cell>
          <cell r="AF150">
            <v>1663</v>
          </cell>
          <cell r="AG150">
            <v>893</v>
          </cell>
          <cell r="AH150">
            <v>380</v>
          </cell>
          <cell r="AI150">
            <v>0</v>
          </cell>
          <cell r="AJ150">
            <v>0</v>
          </cell>
          <cell r="AK150">
            <v>390</v>
          </cell>
          <cell r="AL150">
            <v>0</v>
          </cell>
          <cell r="AM150">
            <v>0</v>
          </cell>
          <cell r="AN150">
            <v>0</v>
          </cell>
          <cell r="AO150">
            <v>1095</v>
          </cell>
          <cell r="AP150">
            <v>0</v>
          </cell>
          <cell r="AQ150">
            <v>0</v>
          </cell>
          <cell r="AR150">
            <v>450</v>
          </cell>
          <cell r="AS150">
            <v>0</v>
          </cell>
          <cell r="AT150">
            <v>225</v>
          </cell>
          <cell r="AU150">
            <v>0</v>
          </cell>
          <cell r="AV150">
            <v>0</v>
          </cell>
          <cell r="AW150">
            <v>0</v>
          </cell>
          <cell r="AX150">
            <v>145</v>
          </cell>
          <cell r="AY150">
            <v>138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137</v>
          </cell>
          <cell r="BG150">
            <v>0</v>
          </cell>
          <cell r="BH150">
            <v>0</v>
          </cell>
          <cell r="BI150">
            <v>0</v>
          </cell>
          <cell r="BJ150">
            <v>474906</v>
          </cell>
          <cell r="BK150">
            <v>98</v>
          </cell>
          <cell r="BL150">
            <v>474808</v>
          </cell>
        </row>
        <row r="151">
          <cell r="B151" t="str">
            <v>CPH SOL-MIXING</v>
          </cell>
          <cell r="C151">
            <v>30240</v>
          </cell>
          <cell r="D151">
            <v>10080</v>
          </cell>
          <cell r="E151">
            <v>28710</v>
          </cell>
          <cell r="F151">
            <v>8550</v>
          </cell>
          <cell r="G151">
            <v>1530</v>
          </cell>
          <cell r="H151">
            <v>1530</v>
          </cell>
          <cell r="I151">
            <v>320</v>
          </cell>
          <cell r="J151">
            <v>320</v>
          </cell>
          <cell r="K151">
            <v>320</v>
          </cell>
          <cell r="L151">
            <v>0</v>
          </cell>
          <cell r="M151">
            <v>320</v>
          </cell>
          <cell r="N151">
            <v>0</v>
          </cell>
          <cell r="O151">
            <v>1210</v>
          </cell>
          <cell r="P151">
            <v>1210</v>
          </cell>
          <cell r="Q151">
            <v>56</v>
          </cell>
          <cell r="R151">
            <v>56</v>
          </cell>
          <cell r="S151">
            <v>1154</v>
          </cell>
          <cell r="T151">
            <v>1154</v>
          </cell>
          <cell r="U151">
            <v>45</v>
          </cell>
          <cell r="V151">
            <v>40</v>
          </cell>
          <cell r="W151">
            <v>5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610</v>
          </cell>
          <cell r="AG151">
            <v>140</v>
          </cell>
          <cell r="AH151">
            <v>425</v>
          </cell>
          <cell r="AI151">
            <v>0</v>
          </cell>
          <cell r="AJ151">
            <v>0</v>
          </cell>
          <cell r="AK151">
            <v>45</v>
          </cell>
          <cell r="AL151">
            <v>0</v>
          </cell>
          <cell r="AM151">
            <v>0</v>
          </cell>
          <cell r="AN151">
            <v>0</v>
          </cell>
          <cell r="AO151">
            <v>499</v>
          </cell>
          <cell r="AP151">
            <v>235</v>
          </cell>
          <cell r="AQ151">
            <v>0</v>
          </cell>
          <cell r="AR151">
            <v>90</v>
          </cell>
          <cell r="AS151">
            <v>0</v>
          </cell>
          <cell r="AT151">
            <v>45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64</v>
          </cell>
          <cell r="BG151">
            <v>0</v>
          </cell>
          <cell r="BH151">
            <v>0</v>
          </cell>
          <cell r="BI151">
            <v>65</v>
          </cell>
          <cell r="BJ151">
            <v>443.91</v>
          </cell>
          <cell r="BK151">
            <v>0.18</v>
          </cell>
          <cell r="BL151">
            <v>443.73</v>
          </cell>
        </row>
        <row r="152">
          <cell r="B152" t="str">
            <v>MCF101</v>
          </cell>
          <cell r="C152">
            <v>30240</v>
          </cell>
          <cell r="D152">
            <v>10080</v>
          </cell>
          <cell r="E152">
            <v>28710</v>
          </cell>
          <cell r="F152">
            <v>8550</v>
          </cell>
          <cell r="G152">
            <v>1530</v>
          </cell>
          <cell r="H152">
            <v>1530</v>
          </cell>
          <cell r="I152">
            <v>320</v>
          </cell>
          <cell r="J152">
            <v>320</v>
          </cell>
          <cell r="K152">
            <v>320</v>
          </cell>
          <cell r="L152">
            <v>0</v>
          </cell>
          <cell r="M152">
            <v>320</v>
          </cell>
          <cell r="N152">
            <v>0</v>
          </cell>
          <cell r="O152">
            <v>1210</v>
          </cell>
          <cell r="P152">
            <v>1210</v>
          </cell>
          <cell r="Q152">
            <v>56</v>
          </cell>
          <cell r="R152">
            <v>56</v>
          </cell>
          <cell r="S152">
            <v>1154</v>
          </cell>
          <cell r="T152">
            <v>1154</v>
          </cell>
          <cell r="U152">
            <v>45</v>
          </cell>
          <cell r="V152">
            <v>40</v>
          </cell>
          <cell r="W152">
            <v>5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610</v>
          </cell>
          <cell r="AG152">
            <v>140</v>
          </cell>
          <cell r="AH152">
            <v>425</v>
          </cell>
          <cell r="AI152">
            <v>0</v>
          </cell>
          <cell r="AJ152">
            <v>0</v>
          </cell>
          <cell r="AK152">
            <v>45</v>
          </cell>
          <cell r="AL152">
            <v>0</v>
          </cell>
          <cell r="AM152">
            <v>0</v>
          </cell>
          <cell r="AN152">
            <v>0</v>
          </cell>
          <cell r="AO152">
            <v>499</v>
          </cell>
          <cell r="AP152">
            <v>235</v>
          </cell>
          <cell r="AQ152">
            <v>0</v>
          </cell>
          <cell r="AR152">
            <v>90</v>
          </cell>
          <cell r="AS152">
            <v>0</v>
          </cell>
          <cell r="AT152">
            <v>45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64</v>
          </cell>
          <cell r="BG152">
            <v>0</v>
          </cell>
          <cell r="BH152">
            <v>0</v>
          </cell>
          <cell r="BI152">
            <v>65</v>
          </cell>
          <cell r="BJ152">
            <v>443.91</v>
          </cell>
          <cell r="BK152">
            <v>0.18</v>
          </cell>
          <cell r="BL152">
            <v>443.73</v>
          </cell>
        </row>
        <row r="153">
          <cell r="B153" t="str">
            <v>CPH SOL-CAPSULE</v>
          </cell>
          <cell r="C153">
            <v>30240</v>
          </cell>
          <cell r="D153">
            <v>10080</v>
          </cell>
          <cell r="E153">
            <v>27240</v>
          </cell>
          <cell r="F153">
            <v>7080</v>
          </cell>
          <cell r="G153">
            <v>3000</v>
          </cell>
          <cell r="H153">
            <v>3000</v>
          </cell>
          <cell r="I153">
            <v>205</v>
          </cell>
          <cell r="J153">
            <v>205</v>
          </cell>
          <cell r="K153">
            <v>205</v>
          </cell>
          <cell r="L153">
            <v>150</v>
          </cell>
          <cell r="M153">
            <v>55</v>
          </cell>
          <cell r="N153">
            <v>0</v>
          </cell>
          <cell r="O153">
            <v>2795</v>
          </cell>
          <cell r="P153">
            <v>2795</v>
          </cell>
          <cell r="Q153">
            <v>925</v>
          </cell>
          <cell r="R153">
            <v>925</v>
          </cell>
          <cell r="S153">
            <v>1870</v>
          </cell>
          <cell r="T153">
            <v>1870</v>
          </cell>
          <cell r="U153">
            <v>230</v>
          </cell>
          <cell r="V153">
            <v>180</v>
          </cell>
          <cell r="W153">
            <v>0</v>
          </cell>
          <cell r="X153">
            <v>25</v>
          </cell>
          <cell r="Y153">
            <v>25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865</v>
          </cell>
          <cell r="AG153">
            <v>205</v>
          </cell>
          <cell r="AH153">
            <v>35</v>
          </cell>
          <cell r="AI153">
            <v>0</v>
          </cell>
          <cell r="AJ153">
            <v>0</v>
          </cell>
          <cell r="AK153">
            <v>625</v>
          </cell>
          <cell r="AL153">
            <v>0</v>
          </cell>
          <cell r="AM153">
            <v>0</v>
          </cell>
          <cell r="AN153">
            <v>0</v>
          </cell>
          <cell r="AO153">
            <v>775</v>
          </cell>
          <cell r="AP153">
            <v>0</v>
          </cell>
          <cell r="AQ153">
            <v>0</v>
          </cell>
          <cell r="AR153">
            <v>195</v>
          </cell>
          <cell r="AS153">
            <v>0</v>
          </cell>
          <cell r="AT153">
            <v>105</v>
          </cell>
          <cell r="AU153">
            <v>160</v>
          </cell>
          <cell r="AV153">
            <v>0</v>
          </cell>
          <cell r="AW153">
            <v>0</v>
          </cell>
          <cell r="AX153">
            <v>140</v>
          </cell>
          <cell r="AY153">
            <v>105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55</v>
          </cell>
          <cell r="BG153">
            <v>0</v>
          </cell>
          <cell r="BH153">
            <v>0</v>
          </cell>
          <cell r="BI153">
            <v>15</v>
          </cell>
          <cell r="BJ153">
            <v>828627</v>
          </cell>
          <cell r="BK153">
            <v>0</v>
          </cell>
          <cell r="BL153">
            <v>828627</v>
          </cell>
        </row>
        <row r="154">
          <cell r="B154" t="str">
            <v>KCF101</v>
          </cell>
          <cell r="C154">
            <v>30240</v>
          </cell>
          <cell r="D154">
            <v>10080</v>
          </cell>
          <cell r="E154">
            <v>27240</v>
          </cell>
          <cell r="F154">
            <v>7080</v>
          </cell>
          <cell r="G154">
            <v>3000</v>
          </cell>
          <cell r="H154">
            <v>3000</v>
          </cell>
          <cell r="I154">
            <v>205</v>
          </cell>
          <cell r="J154">
            <v>205</v>
          </cell>
          <cell r="K154">
            <v>205</v>
          </cell>
          <cell r="L154">
            <v>150</v>
          </cell>
          <cell r="M154">
            <v>55</v>
          </cell>
          <cell r="N154">
            <v>0</v>
          </cell>
          <cell r="O154">
            <v>2795</v>
          </cell>
          <cell r="P154">
            <v>2795</v>
          </cell>
          <cell r="Q154">
            <v>925</v>
          </cell>
          <cell r="R154">
            <v>925</v>
          </cell>
          <cell r="S154">
            <v>1870</v>
          </cell>
          <cell r="T154">
            <v>1870</v>
          </cell>
          <cell r="U154">
            <v>230</v>
          </cell>
          <cell r="V154">
            <v>180</v>
          </cell>
          <cell r="W154">
            <v>0</v>
          </cell>
          <cell r="X154">
            <v>25</v>
          </cell>
          <cell r="Y154">
            <v>25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865</v>
          </cell>
          <cell r="AG154">
            <v>205</v>
          </cell>
          <cell r="AH154">
            <v>35</v>
          </cell>
          <cell r="AI154">
            <v>0</v>
          </cell>
          <cell r="AJ154">
            <v>0</v>
          </cell>
          <cell r="AK154">
            <v>625</v>
          </cell>
          <cell r="AL154">
            <v>0</v>
          </cell>
          <cell r="AM154">
            <v>0</v>
          </cell>
          <cell r="AN154">
            <v>0</v>
          </cell>
          <cell r="AO154">
            <v>775</v>
          </cell>
          <cell r="AP154">
            <v>0</v>
          </cell>
          <cell r="AQ154">
            <v>0</v>
          </cell>
          <cell r="AR154">
            <v>195</v>
          </cell>
          <cell r="AS154">
            <v>0</v>
          </cell>
          <cell r="AT154">
            <v>105</v>
          </cell>
          <cell r="AU154">
            <v>160</v>
          </cell>
          <cell r="AV154">
            <v>0</v>
          </cell>
          <cell r="AW154">
            <v>0</v>
          </cell>
          <cell r="AX154">
            <v>140</v>
          </cell>
          <cell r="AY154">
            <v>105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55</v>
          </cell>
          <cell r="BG154">
            <v>0</v>
          </cell>
          <cell r="BH154">
            <v>0</v>
          </cell>
          <cell r="BI154">
            <v>15</v>
          </cell>
          <cell r="BJ154">
            <v>828627</v>
          </cell>
          <cell r="BK154">
            <v>0</v>
          </cell>
          <cell r="BL154">
            <v>828627</v>
          </cell>
        </row>
        <row r="155">
          <cell r="B155" t="str">
            <v>CPH SOL-STRIPPING</v>
          </cell>
          <cell r="C155">
            <v>30240</v>
          </cell>
          <cell r="D155">
            <v>10080</v>
          </cell>
          <cell r="E155">
            <v>24780</v>
          </cell>
          <cell r="F155">
            <v>4620</v>
          </cell>
          <cell r="G155">
            <v>5460</v>
          </cell>
          <cell r="H155">
            <v>5460</v>
          </cell>
          <cell r="I155">
            <v>255</v>
          </cell>
          <cell r="J155">
            <v>255</v>
          </cell>
          <cell r="K155">
            <v>255</v>
          </cell>
          <cell r="L155">
            <v>255</v>
          </cell>
          <cell r="M155">
            <v>0</v>
          </cell>
          <cell r="N155">
            <v>0</v>
          </cell>
          <cell r="O155">
            <v>5205</v>
          </cell>
          <cell r="P155">
            <v>5205</v>
          </cell>
          <cell r="Q155">
            <v>1125</v>
          </cell>
          <cell r="R155">
            <v>1125</v>
          </cell>
          <cell r="S155">
            <v>4080</v>
          </cell>
          <cell r="T155">
            <v>4080</v>
          </cell>
          <cell r="U155">
            <v>2110</v>
          </cell>
          <cell r="V155">
            <v>1125</v>
          </cell>
          <cell r="W155">
            <v>0</v>
          </cell>
          <cell r="X155">
            <v>985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1145</v>
          </cell>
          <cell r="AG155">
            <v>605</v>
          </cell>
          <cell r="AH155">
            <v>115</v>
          </cell>
          <cell r="AI155">
            <v>45</v>
          </cell>
          <cell r="AJ155">
            <v>0</v>
          </cell>
          <cell r="AK155">
            <v>380</v>
          </cell>
          <cell r="AL155">
            <v>0</v>
          </cell>
          <cell r="AM155">
            <v>0</v>
          </cell>
          <cell r="AN155">
            <v>0</v>
          </cell>
          <cell r="AO155">
            <v>825</v>
          </cell>
          <cell r="AP155">
            <v>0</v>
          </cell>
          <cell r="AQ155">
            <v>0</v>
          </cell>
          <cell r="AR155">
            <v>330</v>
          </cell>
          <cell r="AS155">
            <v>0</v>
          </cell>
          <cell r="AT155">
            <v>210</v>
          </cell>
          <cell r="AU155">
            <v>0</v>
          </cell>
          <cell r="AV155">
            <v>0</v>
          </cell>
          <cell r="AW155">
            <v>15</v>
          </cell>
          <cell r="AX155">
            <v>0</v>
          </cell>
          <cell r="AY155">
            <v>105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165</v>
          </cell>
          <cell r="BG155">
            <v>0</v>
          </cell>
          <cell r="BH155">
            <v>0</v>
          </cell>
          <cell r="BI155">
            <v>0</v>
          </cell>
          <cell r="BJ155">
            <v>779104</v>
          </cell>
          <cell r="BK155">
            <v>3950</v>
          </cell>
          <cell r="BL155">
            <v>775154</v>
          </cell>
        </row>
        <row r="156">
          <cell r="B156" t="str">
            <v>STC101</v>
          </cell>
          <cell r="C156">
            <v>30240</v>
          </cell>
          <cell r="D156">
            <v>10080</v>
          </cell>
          <cell r="E156">
            <v>24780</v>
          </cell>
          <cell r="F156">
            <v>4620</v>
          </cell>
          <cell r="G156">
            <v>5460</v>
          </cell>
          <cell r="H156">
            <v>5460</v>
          </cell>
          <cell r="I156">
            <v>255</v>
          </cell>
          <cell r="J156">
            <v>255</v>
          </cell>
          <cell r="K156">
            <v>255</v>
          </cell>
          <cell r="L156">
            <v>255</v>
          </cell>
          <cell r="M156">
            <v>0</v>
          </cell>
          <cell r="N156">
            <v>0</v>
          </cell>
          <cell r="O156">
            <v>5205</v>
          </cell>
          <cell r="P156">
            <v>5205</v>
          </cell>
          <cell r="Q156">
            <v>1125</v>
          </cell>
          <cell r="R156">
            <v>1125</v>
          </cell>
          <cell r="S156">
            <v>4080</v>
          </cell>
          <cell r="T156">
            <v>4080</v>
          </cell>
          <cell r="U156">
            <v>2110</v>
          </cell>
          <cell r="V156">
            <v>1125</v>
          </cell>
          <cell r="W156">
            <v>0</v>
          </cell>
          <cell r="X156">
            <v>985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1145</v>
          </cell>
          <cell r="AG156">
            <v>605</v>
          </cell>
          <cell r="AH156">
            <v>115</v>
          </cell>
          <cell r="AI156">
            <v>45</v>
          </cell>
          <cell r="AJ156">
            <v>0</v>
          </cell>
          <cell r="AK156">
            <v>380</v>
          </cell>
          <cell r="AL156">
            <v>0</v>
          </cell>
          <cell r="AM156">
            <v>0</v>
          </cell>
          <cell r="AN156">
            <v>0</v>
          </cell>
          <cell r="AO156">
            <v>825</v>
          </cell>
          <cell r="AP156">
            <v>0</v>
          </cell>
          <cell r="AQ156">
            <v>0</v>
          </cell>
          <cell r="AR156">
            <v>330</v>
          </cell>
          <cell r="AS156">
            <v>0</v>
          </cell>
          <cell r="AT156">
            <v>210</v>
          </cell>
          <cell r="AU156">
            <v>0</v>
          </cell>
          <cell r="AV156">
            <v>0</v>
          </cell>
          <cell r="AW156">
            <v>15</v>
          </cell>
          <cell r="AX156">
            <v>0</v>
          </cell>
          <cell r="AY156">
            <v>105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165</v>
          </cell>
          <cell r="BG156">
            <v>0</v>
          </cell>
          <cell r="BH156">
            <v>0</v>
          </cell>
          <cell r="BI156">
            <v>0</v>
          </cell>
          <cell r="BJ156">
            <v>779104</v>
          </cell>
          <cell r="BK156">
            <v>3950</v>
          </cell>
          <cell r="BL156">
            <v>775154</v>
          </cell>
        </row>
        <row r="157">
          <cell r="B157" t="str">
            <v>CPH SOL-POWDER FILLING</v>
          </cell>
          <cell r="C157">
            <v>30240</v>
          </cell>
          <cell r="D157">
            <v>10080</v>
          </cell>
          <cell r="E157">
            <v>29730</v>
          </cell>
          <cell r="F157">
            <v>9570</v>
          </cell>
          <cell r="G157">
            <v>510</v>
          </cell>
          <cell r="H157">
            <v>510</v>
          </cell>
          <cell r="I157">
            <v>30</v>
          </cell>
          <cell r="J157">
            <v>30</v>
          </cell>
          <cell r="K157">
            <v>30</v>
          </cell>
          <cell r="L157">
            <v>30</v>
          </cell>
          <cell r="M157">
            <v>0</v>
          </cell>
          <cell r="N157">
            <v>0</v>
          </cell>
          <cell r="O157">
            <v>480</v>
          </cell>
          <cell r="P157">
            <v>480</v>
          </cell>
          <cell r="Q157">
            <v>75</v>
          </cell>
          <cell r="R157">
            <v>75</v>
          </cell>
          <cell r="S157">
            <v>405</v>
          </cell>
          <cell r="T157">
            <v>405</v>
          </cell>
          <cell r="U157">
            <v>75</v>
          </cell>
          <cell r="V157">
            <v>75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120</v>
          </cell>
          <cell r="AG157">
            <v>70</v>
          </cell>
          <cell r="AH157">
            <v>50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210</v>
          </cell>
          <cell r="AP157">
            <v>0</v>
          </cell>
          <cell r="AQ157">
            <v>0</v>
          </cell>
          <cell r="AR157">
            <v>30</v>
          </cell>
          <cell r="AS157">
            <v>0</v>
          </cell>
          <cell r="AT157">
            <v>90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20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10</v>
          </cell>
          <cell r="BG157">
            <v>60</v>
          </cell>
          <cell r="BH157">
            <v>0</v>
          </cell>
          <cell r="BI157">
            <v>0</v>
          </cell>
          <cell r="BJ157">
            <v>1568</v>
          </cell>
          <cell r="BK157">
            <v>14</v>
          </cell>
          <cell r="BL157">
            <v>1554</v>
          </cell>
        </row>
        <row r="158">
          <cell r="B158" t="str">
            <v>SCF102</v>
          </cell>
          <cell r="C158">
            <v>30240</v>
          </cell>
          <cell r="D158">
            <v>10080</v>
          </cell>
          <cell r="E158">
            <v>29730</v>
          </cell>
          <cell r="F158">
            <v>9570</v>
          </cell>
          <cell r="G158">
            <v>510</v>
          </cell>
          <cell r="H158">
            <v>510</v>
          </cell>
          <cell r="I158">
            <v>30</v>
          </cell>
          <cell r="J158">
            <v>30</v>
          </cell>
          <cell r="K158">
            <v>30</v>
          </cell>
          <cell r="L158">
            <v>30</v>
          </cell>
          <cell r="M158">
            <v>0</v>
          </cell>
          <cell r="N158">
            <v>0</v>
          </cell>
          <cell r="O158">
            <v>480</v>
          </cell>
          <cell r="P158">
            <v>480</v>
          </cell>
          <cell r="Q158">
            <v>75</v>
          </cell>
          <cell r="R158">
            <v>75</v>
          </cell>
          <cell r="S158">
            <v>405</v>
          </cell>
          <cell r="T158">
            <v>405</v>
          </cell>
          <cell r="U158">
            <v>75</v>
          </cell>
          <cell r="V158">
            <v>75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120</v>
          </cell>
          <cell r="AG158">
            <v>70</v>
          </cell>
          <cell r="AH158">
            <v>50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210</v>
          </cell>
          <cell r="AP158">
            <v>0</v>
          </cell>
          <cell r="AQ158">
            <v>0</v>
          </cell>
          <cell r="AR158">
            <v>30</v>
          </cell>
          <cell r="AS158">
            <v>0</v>
          </cell>
          <cell r="AT158">
            <v>90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20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10</v>
          </cell>
          <cell r="BG158">
            <v>60</v>
          </cell>
          <cell r="BH158">
            <v>0</v>
          </cell>
          <cell r="BI158">
            <v>0</v>
          </cell>
          <cell r="BJ158">
            <v>1568</v>
          </cell>
          <cell r="BK158">
            <v>14</v>
          </cell>
          <cell r="BL158">
            <v>1554</v>
          </cell>
        </row>
        <row r="159">
          <cell r="B159" t="str">
            <v>CPH INJ-FILLING</v>
          </cell>
          <cell r="C159">
            <v>30240</v>
          </cell>
          <cell r="D159">
            <v>19530</v>
          </cell>
          <cell r="E159">
            <v>20010</v>
          </cell>
          <cell r="F159">
            <v>9300</v>
          </cell>
          <cell r="G159">
            <v>10230</v>
          </cell>
          <cell r="H159">
            <v>10230</v>
          </cell>
          <cell r="I159">
            <v>975</v>
          </cell>
          <cell r="J159">
            <v>975</v>
          </cell>
          <cell r="K159">
            <v>975</v>
          </cell>
          <cell r="L159">
            <v>45</v>
          </cell>
          <cell r="M159">
            <v>930</v>
          </cell>
          <cell r="N159">
            <v>0</v>
          </cell>
          <cell r="O159">
            <v>9255</v>
          </cell>
          <cell r="P159">
            <v>9255</v>
          </cell>
          <cell r="Q159">
            <v>3820</v>
          </cell>
          <cell r="R159">
            <v>3820</v>
          </cell>
          <cell r="S159">
            <v>5435</v>
          </cell>
          <cell r="T159">
            <v>5435</v>
          </cell>
          <cell r="U159">
            <v>699</v>
          </cell>
          <cell r="V159">
            <v>607</v>
          </cell>
          <cell r="W159">
            <v>0</v>
          </cell>
          <cell r="X159">
            <v>89</v>
          </cell>
          <cell r="Y159">
            <v>3</v>
          </cell>
          <cell r="Z159">
            <v>48</v>
          </cell>
          <cell r="AA159">
            <v>35</v>
          </cell>
          <cell r="AB159">
            <v>8</v>
          </cell>
          <cell r="AC159">
            <v>0</v>
          </cell>
          <cell r="AD159">
            <v>5</v>
          </cell>
          <cell r="AE159">
            <v>0</v>
          </cell>
          <cell r="AF159">
            <v>2928</v>
          </cell>
          <cell r="AG159">
            <v>949</v>
          </cell>
          <cell r="AH159">
            <v>1979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1760</v>
          </cell>
          <cell r="AP159">
            <v>0</v>
          </cell>
          <cell r="AQ159">
            <v>0</v>
          </cell>
          <cell r="AR159">
            <v>680</v>
          </cell>
          <cell r="AS159">
            <v>35</v>
          </cell>
          <cell r="AT159">
            <v>610</v>
          </cell>
          <cell r="AU159">
            <v>0</v>
          </cell>
          <cell r="AV159">
            <v>0</v>
          </cell>
          <cell r="AW159">
            <v>129</v>
          </cell>
          <cell r="AX159">
            <v>0</v>
          </cell>
          <cell r="AY159">
            <v>80</v>
          </cell>
          <cell r="AZ159">
            <v>0</v>
          </cell>
          <cell r="BA159">
            <v>0</v>
          </cell>
          <cell r="BB159">
            <v>221</v>
          </cell>
          <cell r="BC159">
            <v>0</v>
          </cell>
          <cell r="BD159">
            <v>0</v>
          </cell>
          <cell r="BE159">
            <v>0</v>
          </cell>
          <cell r="BF159">
            <v>5</v>
          </cell>
          <cell r="BG159">
            <v>0</v>
          </cell>
          <cell r="BH159">
            <v>0</v>
          </cell>
          <cell r="BI159">
            <v>0</v>
          </cell>
          <cell r="BJ159">
            <v>569159</v>
          </cell>
          <cell r="BK159">
            <v>0</v>
          </cell>
          <cell r="BL159">
            <v>569159</v>
          </cell>
        </row>
        <row r="160">
          <cell r="B160" t="str">
            <v>GINLINE6</v>
          </cell>
          <cell r="C160">
            <v>30240</v>
          </cell>
          <cell r="D160">
            <v>19530</v>
          </cell>
          <cell r="E160">
            <v>20010</v>
          </cell>
          <cell r="F160">
            <v>9300</v>
          </cell>
          <cell r="G160">
            <v>10230</v>
          </cell>
          <cell r="H160">
            <v>10230</v>
          </cell>
          <cell r="I160">
            <v>975</v>
          </cell>
          <cell r="J160">
            <v>975</v>
          </cell>
          <cell r="K160">
            <v>975</v>
          </cell>
          <cell r="L160">
            <v>45</v>
          </cell>
          <cell r="M160">
            <v>930</v>
          </cell>
          <cell r="N160">
            <v>0</v>
          </cell>
          <cell r="O160">
            <v>9255</v>
          </cell>
          <cell r="P160">
            <v>9255</v>
          </cell>
          <cell r="Q160">
            <v>3820</v>
          </cell>
          <cell r="R160">
            <v>3820</v>
          </cell>
          <cell r="S160">
            <v>5435</v>
          </cell>
          <cell r="T160">
            <v>5435</v>
          </cell>
          <cell r="U160">
            <v>699</v>
          </cell>
          <cell r="V160">
            <v>607</v>
          </cell>
          <cell r="W160">
            <v>0</v>
          </cell>
          <cell r="X160">
            <v>89</v>
          </cell>
          <cell r="Y160">
            <v>3</v>
          </cell>
          <cell r="Z160">
            <v>48</v>
          </cell>
          <cell r="AA160">
            <v>35</v>
          </cell>
          <cell r="AB160">
            <v>8</v>
          </cell>
          <cell r="AC160">
            <v>0</v>
          </cell>
          <cell r="AD160">
            <v>5</v>
          </cell>
          <cell r="AE160">
            <v>0</v>
          </cell>
          <cell r="AF160">
            <v>2928</v>
          </cell>
          <cell r="AG160">
            <v>949</v>
          </cell>
          <cell r="AH160">
            <v>1979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1760</v>
          </cell>
          <cell r="AP160">
            <v>0</v>
          </cell>
          <cell r="AQ160">
            <v>0</v>
          </cell>
          <cell r="AR160">
            <v>680</v>
          </cell>
          <cell r="AS160">
            <v>35</v>
          </cell>
          <cell r="AT160">
            <v>610</v>
          </cell>
          <cell r="AU160">
            <v>0</v>
          </cell>
          <cell r="AV160">
            <v>0</v>
          </cell>
          <cell r="AW160">
            <v>129</v>
          </cell>
          <cell r="AX160">
            <v>0</v>
          </cell>
          <cell r="AY160">
            <v>80</v>
          </cell>
          <cell r="AZ160">
            <v>0</v>
          </cell>
          <cell r="BA160">
            <v>0</v>
          </cell>
          <cell r="BB160">
            <v>221</v>
          </cell>
          <cell r="BC160">
            <v>0</v>
          </cell>
          <cell r="BD160">
            <v>0</v>
          </cell>
          <cell r="BE160">
            <v>0</v>
          </cell>
          <cell r="BF160">
            <v>5</v>
          </cell>
          <cell r="BG160">
            <v>0</v>
          </cell>
          <cell r="BH160">
            <v>0</v>
          </cell>
          <cell r="BI160">
            <v>0</v>
          </cell>
          <cell r="BJ160">
            <v>569159</v>
          </cell>
          <cell r="BK160">
            <v>0</v>
          </cell>
          <cell r="BL160">
            <v>569159</v>
          </cell>
        </row>
        <row r="161">
          <cell r="B161" t="str">
            <v>CPH INJ-STERILIZATION</v>
          </cell>
          <cell r="C161">
            <v>60480</v>
          </cell>
          <cell r="D161">
            <v>39060</v>
          </cell>
          <cell r="E161">
            <v>42720</v>
          </cell>
          <cell r="F161">
            <v>21300</v>
          </cell>
          <cell r="G161">
            <v>17760</v>
          </cell>
          <cell r="H161">
            <v>17760</v>
          </cell>
          <cell r="I161">
            <v>1021</v>
          </cell>
          <cell r="J161">
            <v>1021</v>
          </cell>
          <cell r="K161">
            <v>1021</v>
          </cell>
          <cell r="L161">
            <v>328</v>
          </cell>
          <cell r="M161">
            <v>693</v>
          </cell>
          <cell r="N161">
            <v>0</v>
          </cell>
          <cell r="O161">
            <v>16739</v>
          </cell>
          <cell r="P161">
            <v>16739</v>
          </cell>
          <cell r="Q161">
            <v>7864</v>
          </cell>
          <cell r="R161">
            <v>7864</v>
          </cell>
          <cell r="S161">
            <v>8875</v>
          </cell>
          <cell r="T161">
            <v>8875</v>
          </cell>
          <cell r="U161">
            <v>737</v>
          </cell>
          <cell r="V161">
            <v>598</v>
          </cell>
          <cell r="W161">
            <v>0</v>
          </cell>
          <cell r="X161">
            <v>139</v>
          </cell>
          <cell r="Y161">
            <v>0</v>
          </cell>
          <cell r="Z161">
            <v>496</v>
          </cell>
          <cell r="AA161">
            <v>496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5449</v>
          </cell>
          <cell r="AG161">
            <v>4844</v>
          </cell>
          <cell r="AH161">
            <v>595</v>
          </cell>
          <cell r="AI161">
            <v>0</v>
          </cell>
          <cell r="AJ161">
            <v>10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2193</v>
          </cell>
          <cell r="AP161">
            <v>0</v>
          </cell>
          <cell r="AQ161">
            <v>0</v>
          </cell>
          <cell r="AR161">
            <v>30</v>
          </cell>
          <cell r="AS161">
            <v>30</v>
          </cell>
          <cell r="AT161">
            <v>30</v>
          </cell>
          <cell r="AU161">
            <v>0</v>
          </cell>
          <cell r="AV161">
            <v>0</v>
          </cell>
          <cell r="AW161">
            <v>130</v>
          </cell>
          <cell r="AX161">
            <v>1893</v>
          </cell>
          <cell r="AY161">
            <v>20</v>
          </cell>
          <cell r="AZ161">
            <v>0</v>
          </cell>
          <cell r="BA161">
            <v>0</v>
          </cell>
          <cell r="BB161">
            <v>60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798</v>
          </cell>
          <cell r="BK161">
            <v>0</v>
          </cell>
          <cell r="BL161">
            <v>798</v>
          </cell>
        </row>
        <row r="162">
          <cell r="B162" t="str">
            <v>ICF104</v>
          </cell>
          <cell r="C162">
            <v>30240</v>
          </cell>
          <cell r="D162">
            <v>19530</v>
          </cell>
          <cell r="E162">
            <v>19980</v>
          </cell>
          <cell r="F162">
            <v>9270</v>
          </cell>
          <cell r="G162">
            <v>10260</v>
          </cell>
          <cell r="H162">
            <v>10260</v>
          </cell>
          <cell r="I162">
            <v>483</v>
          </cell>
          <cell r="J162">
            <v>483</v>
          </cell>
          <cell r="K162">
            <v>483</v>
          </cell>
          <cell r="L162">
            <v>268</v>
          </cell>
          <cell r="M162">
            <v>215</v>
          </cell>
          <cell r="N162">
            <v>0</v>
          </cell>
          <cell r="O162">
            <v>9777</v>
          </cell>
          <cell r="P162">
            <v>9777</v>
          </cell>
          <cell r="Q162">
            <v>4763</v>
          </cell>
          <cell r="R162">
            <v>4763</v>
          </cell>
          <cell r="S162">
            <v>5014</v>
          </cell>
          <cell r="T162">
            <v>5014</v>
          </cell>
          <cell r="U162">
            <v>380</v>
          </cell>
          <cell r="V162">
            <v>321</v>
          </cell>
          <cell r="W162">
            <v>0</v>
          </cell>
          <cell r="X162">
            <v>59</v>
          </cell>
          <cell r="Y162">
            <v>0</v>
          </cell>
          <cell r="Z162">
            <v>244</v>
          </cell>
          <cell r="AA162">
            <v>244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3693</v>
          </cell>
          <cell r="AG162">
            <v>3368</v>
          </cell>
          <cell r="AH162">
            <v>315</v>
          </cell>
          <cell r="AI162">
            <v>0</v>
          </cell>
          <cell r="AJ162">
            <v>10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697</v>
          </cell>
          <cell r="AP162">
            <v>0</v>
          </cell>
          <cell r="AQ162">
            <v>0</v>
          </cell>
          <cell r="AR162">
            <v>30</v>
          </cell>
          <cell r="AS162">
            <v>30</v>
          </cell>
          <cell r="AT162">
            <v>30</v>
          </cell>
          <cell r="AU162">
            <v>0</v>
          </cell>
          <cell r="AV162">
            <v>0</v>
          </cell>
          <cell r="AW162">
            <v>80</v>
          </cell>
          <cell r="AX162">
            <v>447</v>
          </cell>
          <cell r="AY162">
            <v>20</v>
          </cell>
          <cell r="AZ162">
            <v>0</v>
          </cell>
          <cell r="BA162">
            <v>0</v>
          </cell>
          <cell r="BB162">
            <v>60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542</v>
          </cell>
          <cell r="BK162">
            <v>0</v>
          </cell>
          <cell r="BL162">
            <v>542</v>
          </cell>
        </row>
        <row r="163">
          <cell r="B163" t="str">
            <v>ICF105</v>
          </cell>
          <cell r="C163">
            <v>30240</v>
          </cell>
          <cell r="D163">
            <v>19530</v>
          </cell>
          <cell r="E163">
            <v>22740</v>
          </cell>
          <cell r="F163">
            <v>12030</v>
          </cell>
          <cell r="G163">
            <v>7500</v>
          </cell>
          <cell r="H163">
            <v>7500</v>
          </cell>
          <cell r="I163">
            <v>538</v>
          </cell>
          <cell r="J163">
            <v>538</v>
          </cell>
          <cell r="K163">
            <v>538</v>
          </cell>
          <cell r="L163">
            <v>60</v>
          </cell>
          <cell r="M163">
            <v>478</v>
          </cell>
          <cell r="N163">
            <v>0</v>
          </cell>
          <cell r="O163">
            <v>6962</v>
          </cell>
          <cell r="P163">
            <v>6962</v>
          </cell>
          <cell r="Q163">
            <v>3101</v>
          </cell>
          <cell r="R163">
            <v>3101</v>
          </cell>
          <cell r="S163">
            <v>3861</v>
          </cell>
          <cell r="T163">
            <v>3861</v>
          </cell>
          <cell r="U163">
            <v>357</v>
          </cell>
          <cell r="V163">
            <v>277</v>
          </cell>
          <cell r="W163">
            <v>0</v>
          </cell>
          <cell r="X163">
            <v>80</v>
          </cell>
          <cell r="Y163">
            <v>0</v>
          </cell>
          <cell r="Z163">
            <v>252</v>
          </cell>
          <cell r="AA163">
            <v>252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1756</v>
          </cell>
          <cell r="AG163">
            <v>1476</v>
          </cell>
          <cell r="AH163">
            <v>280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1496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50</v>
          </cell>
          <cell r="AX163">
            <v>1446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256</v>
          </cell>
          <cell r="BK163">
            <v>0</v>
          </cell>
          <cell r="BL163">
            <v>256</v>
          </cell>
        </row>
        <row r="164">
          <cell r="B164" t="str">
            <v>CPH-SECONDARY PACKING</v>
          </cell>
          <cell r="C164">
            <v>60480</v>
          </cell>
          <cell r="D164">
            <v>20160</v>
          </cell>
          <cell r="E164">
            <v>35730</v>
          </cell>
          <cell r="F164">
            <v>-4590</v>
          </cell>
          <cell r="G164">
            <v>24750</v>
          </cell>
          <cell r="H164">
            <v>24750</v>
          </cell>
          <cell r="I164">
            <v>2708</v>
          </cell>
          <cell r="J164">
            <v>2708</v>
          </cell>
          <cell r="K164">
            <v>2708</v>
          </cell>
          <cell r="L164">
            <v>752</v>
          </cell>
          <cell r="M164">
            <v>1956</v>
          </cell>
          <cell r="N164">
            <v>0</v>
          </cell>
          <cell r="O164">
            <v>22042</v>
          </cell>
          <cell r="P164">
            <v>22042</v>
          </cell>
          <cell r="Q164">
            <v>8410</v>
          </cell>
          <cell r="R164">
            <v>8410</v>
          </cell>
          <cell r="S164">
            <v>13632</v>
          </cell>
          <cell r="T164">
            <v>13632</v>
          </cell>
          <cell r="U164">
            <v>4759</v>
          </cell>
          <cell r="V164">
            <v>1894</v>
          </cell>
          <cell r="W164">
            <v>158</v>
          </cell>
          <cell r="X164">
            <v>921</v>
          </cell>
          <cell r="Y164">
            <v>1786</v>
          </cell>
          <cell r="Z164">
            <v>60</v>
          </cell>
          <cell r="AA164">
            <v>60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4151</v>
          </cell>
          <cell r="AG164">
            <v>1740</v>
          </cell>
          <cell r="AH164">
            <v>691</v>
          </cell>
          <cell r="AI164">
            <v>650</v>
          </cell>
          <cell r="AJ164">
            <v>0</v>
          </cell>
          <cell r="AK164">
            <v>1070</v>
          </cell>
          <cell r="AL164">
            <v>0</v>
          </cell>
          <cell r="AM164">
            <v>0</v>
          </cell>
          <cell r="AN164">
            <v>0</v>
          </cell>
          <cell r="AO164">
            <v>4662</v>
          </cell>
          <cell r="AP164">
            <v>0</v>
          </cell>
          <cell r="AQ164">
            <v>10</v>
          </cell>
          <cell r="AR164">
            <v>1386</v>
          </cell>
          <cell r="AS164">
            <v>0</v>
          </cell>
          <cell r="AT164">
            <v>904</v>
          </cell>
          <cell r="AU164">
            <v>335</v>
          </cell>
          <cell r="AV164">
            <v>0</v>
          </cell>
          <cell r="AW164">
            <v>0</v>
          </cell>
          <cell r="AX164">
            <v>170</v>
          </cell>
          <cell r="AY164">
            <v>835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1022</v>
          </cell>
          <cell r="BG164">
            <v>0</v>
          </cell>
          <cell r="BH164">
            <v>0</v>
          </cell>
          <cell r="BI164">
            <v>0</v>
          </cell>
          <cell r="BJ164">
            <v>1138853</v>
          </cell>
          <cell r="BK164">
            <v>539</v>
          </cell>
          <cell r="BL164">
            <v>1138314</v>
          </cell>
        </row>
        <row r="165">
          <cell r="B165" t="str">
            <v>PCF101</v>
          </cell>
          <cell r="C165">
            <v>30240</v>
          </cell>
          <cell r="D165">
            <v>10080</v>
          </cell>
          <cell r="E165">
            <v>13650</v>
          </cell>
          <cell r="F165">
            <v>-6510</v>
          </cell>
          <cell r="G165">
            <v>16590</v>
          </cell>
          <cell r="H165">
            <v>16590</v>
          </cell>
          <cell r="I165">
            <v>653</v>
          </cell>
          <cell r="J165">
            <v>653</v>
          </cell>
          <cell r="K165">
            <v>653</v>
          </cell>
          <cell r="L165">
            <v>492</v>
          </cell>
          <cell r="M165">
            <v>161</v>
          </cell>
          <cell r="N165">
            <v>0</v>
          </cell>
          <cell r="O165">
            <v>15937</v>
          </cell>
          <cell r="P165">
            <v>15937</v>
          </cell>
          <cell r="Q165">
            <v>5460</v>
          </cell>
          <cell r="R165">
            <v>5460</v>
          </cell>
          <cell r="S165">
            <v>10477</v>
          </cell>
          <cell r="T165">
            <v>10477</v>
          </cell>
          <cell r="U165">
            <v>4396</v>
          </cell>
          <cell r="V165">
            <v>1591</v>
          </cell>
          <cell r="W165">
            <v>158</v>
          </cell>
          <cell r="X165">
            <v>861</v>
          </cell>
          <cell r="Y165">
            <v>1786</v>
          </cell>
          <cell r="Z165">
            <v>60</v>
          </cell>
          <cell r="AA165">
            <v>60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3026</v>
          </cell>
          <cell r="AG165">
            <v>1740</v>
          </cell>
          <cell r="AH165">
            <v>476</v>
          </cell>
          <cell r="AI165">
            <v>650</v>
          </cell>
          <cell r="AJ165">
            <v>0</v>
          </cell>
          <cell r="AK165">
            <v>160</v>
          </cell>
          <cell r="AL165">
            <v>0</v>
          </cell>
          <cell r="AM165">
            <v>0</v>
          </cell>
          <cell r="AN165">
            <v>0</v>
          </cell>
          <cell r="AO165">
            <v>2995</v>
          </cell>
          <cell r="AP165">
            <v>0</v>
          </cell>
          <cell r="AQ165">
            <v>10</v>
          </cell>
          <cell r="AR165">
            <v>1056</v>
          </cell>
          <cell r="AS165">
            <v>0</v>
          </cell>
          <cell r="AT165">
            <v>739</v>
          </cell>
          <cell r="AU165">
            <v>0</v>
          </cell>
          <cell r="AV165">
            <v>0</v>
          </cell>
          <cell r="AW165">
            <v>0</v>
          </cell>
          <cell r="AX165">
            <v>60</v>
          </cell>
          <cell r="AY165">
            <v>680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450</v>
          </cell>
          <cell r="BG165">
            <v>0</v>
          </cell>
          <cell r="BH165">
            <v>0</v>
          </cell>
          <cell r="BI165">
            <v>0</v>
          </cell>
          <cell r="BJ165">
            <v>1061431</v>
          </cell>
          <cell r="BK165">
            <v>288</v>
          </cell>
          <cell r="BL165">
            <v>1061143</v>
          </cell>
        </row>
        <row r="166">
          <cell r="B166" t="str">
            <v>PCF102</v>
          </cell>
          <cell r="C166">
            <v>30240</v>
          </cell>
          <cell r="D166">
            <v>10080</v>
          </cell>
          <cell r="E166">
            <v>22080</v>
          </cell>
          <cell r="F166">
            <v>1920</v>
          </cell>
          <cell r="G166">
            <v>8160</v>
          </cell>
          <cell r="H166">
            <v>8160</v>
          </cell>
          <cell r="I166">
            <v>2055</v>
          </cell>
          <cell r="J166">
            <v>2055</v>
          </cell>
          <cell r="K166">
            <v>2055</v>
          </cell>
          <cell r="L166">
            <v>260</v>
          </cell>
          <cell r="M166">
            <v>1795</v>
          </cell>
          <cell r="N166">
            <v>0</v>
          </cell>
          <cell r="O166">
            <v>6105</v>
          </cell>
          <cell r="P166">
            <v>6105</v>
          </cell>
          <cell r="Q166">
            <v>2950</v>
          </cell>
          <cell r="R166">
            <v>2950</v>
          </cell>
          <cell r="S166">
            <v>3155</v>
          </cell>
          <cell r="T166">
            <v>3155</v>
          </cell>
          <cell r="U166">
            <v>363</v>
          </cell>
          <cell r="V166">
            <v>303</v>
          </cell>
          <cell r="W166">
            <v>0</v>
          </cell>
          <cell r="X166">
            <v>60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1125</v>
          </cell>
          <cell r="AG166">
            <v>0</v>
          </cell>
          <cell r="AH166">
            <v>215</v>
          </cell>
          <cell r="AI166">
            <v>0</v>
          </cell>
          <cell r="AJ166">
            <v>0</v>
          </cell>
          <cell r="AK166">
            <v>910</v>
          </cell>
          <cell r="AL166">
            <v>0</v>
          </cell>
          <cell r="AM166">
            <v>0</v>
          </cell>
          <cell r="AN166">
            <v>0</v>
          </cell>
          <cell r="AO166">
            <v>1667</v>
          </cell>
          <cell r="AP166">
            <v>0</v>
          </cell>
          <cell r="AQ166">
            <v>0</v>
          </cell>
          <cell r="AR166">
            <v>330</v>
          </cell>
          <cell r="AS166">
            <v>0</v>
          </cell>
          <cell r="AT166">
            <v>165</v>
          </cell>
          <cell r="AU166">
            <v>335</v>
          </cell>
          <cell r="AV166">
            <v>0</v>
          </cell>
          <cell r="AW166">
            <v>0</v>
          </cell>
          <cell r="AX166">
            <v>110</v>
          </cell>
          <cell r="AY166">
            <v>155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572</v>
          </cell>
          <cell r="BG166">
            <v>0</v>
          </cell>
          <cell r="BH166">
            <v>0</v>
          </cell>
          <cell r="BI166">
            <v>0</v>
          </cell>
          <cell r="BJ166">
            <v>77422</v>
          </cell>
          <cell r="BK166">
            <v>251</v>
          </cell>
          <cell r="BL166">
            <v>77171</v>
          </cell>
        </row>
      </sheetData>
      <sheetData sheetId="14" refreshError="1"/>
      <sheetData sheetId="1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shboard OEE"/>
      <sheetName val="Dashboard Monthly Manpower"/>
      <sheetName val="Dashboard Monthly Legend"/>
      <sheetName val="Dashboard Legend Group"/>
      <sheetName val="Mesin Running"/>
      <sheetName val="Pivot Batch &amp; Tanggal"/>
      <sheetName val="Jumlah Shift"/>
      <sheetName val="Format Shift Operation"/>
      <sheetName val="Custom Report "/>
      <sheetName val="OEE All Machine Report"/>
      <sheetName val="OEE By Group Report"/>
      <sheetName val="Analisys QBR Report"/>
      <sheetName val="Analisys QBR By Machine Report"/>
      <sheetName val="Dasboard_QBR_Report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B1" t="str">
            <v>oee</v>
          </cell>
        </row>
        <row r="109">
          <cell r="C109" t="str">
            <v>PROSES( Menit )</v>
          </cell>
          <cell r="D109" t="str">
            <v>POT</v>
          </cell>
          <cell r="E109" t="str">
            <v>Unschedule Time</v>
          </cell>
          <cell r="F109" t="str">
            <v>L2</v>
          </cell>
          <cell r="G109" t="str">
            <v>L21</v>
          </cell>
          <cell r="H109" t="str">
            <v>L22</v>
          </cell>
          <cell r="I109" t="str">
            <v>IG</v>
          </cell>
          <cell r="J109" t="str">
            <v>PPT</v>
          </cell>
          <cell r="K109" t="str">
            <v>R</v>
          </cell>
          <cell r="L109" t="str">
            <v>Setup</v>
          </cell>
          <cell r="M109" t="str">
            <v>P6</v>
          </cell>
          <cell r="N109" t="str">
            <v>P5</v>
          </cell>
          <cell r="O109" t="str">
            <v>P8</v>
          </cell>
          <cell r="P109" t="str">
            <v>P9</v>
          </cell>
          <cell r="Q109" t="str">
            <v>Breakdown</v>
          </cell>
          <cell r="R109" t="str">
            <v>M1</v>
          </cell>
          <cell r="S109" t="str">
            <v>M2</v>
          </cell>
          <cell r="T109" t="str">
            <v>M4</v>
          </cell>
          <cell r="U109" t="str">
            <v>M8</v>
          </cell>
          <cell r="V109" t="str">
            <v>M9</v>
          </cell>
          <cell r="W109" t="str">
            <v>Clean</v>
          </cell>
          <cell r="X109" t="str">
            <v>P2</v>
          </cell>
          <cell r="Y109" t="str">
            <v>P4</v>
          </cell>
          <cell r="Z109" t="str">
            <v>P17</v>
          </cell>
          <cell r="AA109" t="str">
            <v>P19</v>
          </cell>
          <cell r="AB109" t="str">
            <v>P12</v>
          </cell>
          <cell r="AC109" t="str">
            <v>Trial</v>
          </cell>
          <cell r="AD109" t="str">
            <v>R1</v>
          </cell>
          <cell r="AE109" t="str">
            <v>R2</v>
          </cell>
          <cell r="AF109" t="str">
            <v>Waiting</v>
          </cell>
          <cell r="AG109" t="str">
            <v>L1</v>
          </cell>
          <cell r="AH109" t="str">
            <v>L3</v>
          </cell>
          <cell r="AI109" t="str">
            <v>H1</v>
          </cell>
          <cell r="AJ109" t="str">
            <v>H2</v>
          </cell>
          <cell r="AK109" t="str">
            <v>H4</v>
          </cell>
          <cell r="AL109" t="str">
            <v>H6</v>
          </cell>
          <cell r="AM109" t="str">
            <v>H7</v>
          </cell>
          <cell r="AN109" t="str">
            <v>H8</v>
          </cell>
          <cell r="AO109" t="str">
            <v>P10</v>
          </cell>
          <cell r="AP109" t="str">
            <v>P11</v>
          </cell>
          <cell r="AQ109" t="str">
            <v>P13</v>
          </cell>
          <cell r="AR109" t="str">
            <v>P14</v>
          </cell>
          <cell r="AS109" t="str">
            <v>P16</v>
          </cell>
          <cell r="AT109" t="str">
            <v>M5</v>
          </cell>
          <cell r="AU109" t="str">
            <v>M6</v>
          </cell>
          <cell r="AV109" t="str">
            <v>M7</v>
          </cell>
          <cell r="AW109" t="str">
            <v>Q1</v>
          </cell>
          <cell r="AX109" t="str">
            <v>Q2</v>
          </cell>
          <cell r="AY109" t="str">
            <v>Q3</v>
          </cell>
          <cell r="AZ109" t="str">
            <v>Q4</v>
          </cell>
          <cell r="BA109" t="str">
            <v>Total Output</v>
          </cell>
          <cell r="BB109" t="str">
            <v>Reject Output</v>
          </cell>
          <cell r="BC109" t="str">
            <v>Good Output</v>
          </cell>
        </row>
        <row r="110">
          <cell r="C110" t="str">
            <v>NBL SOL-MIXING</v>
          </cell>
          <cell r="D110">
            <v>103680</v>
          </cell>
          <cell r="E110">
            <v>68880</v>
          </cell>
          <cell r="F110">
            <v>5817</v>
          </cell>
          <cell r="G110">
            <v>350</v>
          </cell>
          <cell r="H110">
            <v>5467</v>
          </cell>
          <cell r="I110">
            <v>32</v>
          </cell>
          <cell r="J110">
            <v>28951</v>
          </cell>
          <cell r="K110">
            <v>3977</v>
          </cell>
          <cell r="L110">
            <v>896</v>
          </cell>
          <cell r="M110">
            <v>896</v>
          </cell>
          <cell r="N110">
            <v>0</v>
          </cell>
          <cell r="O110">
            <v>0</v>
          </cell>
          <cell r="P110">
            <v>0</v>
          </cell>
          <cell r="Q110">
            <v>20</v>
          </cell>
          <cell r="R110">
            <v>0</v>
          </cell>
          <cell r="S110">
            <v>0</v>
          </cell>
          <cell r="T110">
            <v>0</v>
          </cell>
          <cell r="U110">
            <v>20</v>
          </cell>
          <cell r="V110">
            <v>0</v>
          </cell>
          <cell r="W110">
            <v>12404</v>
          </cell>
          <cell r="X110">
            <v>6968</v>
          </cell>
          <cell r="Y110">
            <v>4779</v>
          </cell>
          <cell r="Z110">
            <v>2</v>
          </cell>
          <cell r="AA110">
            <v>0</v>
          </cell>
          <cell r="AB110">
            <v>655</v>
          </cell>
          <cell r="AC110">
            <v>1065</v>
          </cell>
          <cell r="AD110">
            <v>0</v>
          </cell>
          <cell r="AE110">
            <v>1065</v>
          </cell>
          <cell r="AF110">
            <v>10589</v>
          </cell>
          <cell r="AG110">
            <v>115</v>
          </cell>
          <cell r="AH110">
            <v>0</v>
          </cell>
          <cell r="AI110">
            <v>1545</v>
          </cell>
          <cell r="AJ110">
            <v>0</v>
          </cell>
          <cell r="AK110">
            <v>1470</v>
          </cell>
          <cell r="AL110">
            <v>0</v>
          </cell>
          <cell r="AM110">
            <v>0</v>
          </cell>
          <cell r="AN110">
            <v>0</v>
          </cell>
          <cell r="AO110">
            <v>6176</v>
          </cell>
          <cell r="AP110">
            <v>52</v>
          </cell>
          <cell r="AQ110">
            <v>0</v>
          </cell>
          <cell r="AR110">
            <v>895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336</v>
          </cell>
          <cell r="AX110">
            <v>0</v>
          </cell>
          <cell r="AY110">
            <v>0</v>
          </cell>
          <cell r="AZ110">
            <v>0</v>
          </cell>
          <cell r="BA110">
            <v>7027.87</v>
          </cell>
          <cell r="BB110">
            <v>0</v>
          </cell>
          <cell r="BC110">
            <v>7027.87</v>
          </cell>
        </row>
        <row r="111">
          <cell r="C111" t="str">
            <v>MIX113</v>
          </cell>
          <cell r="D111">
            <v>34560</v>
          </cell>
          <cell r="E111">
            <v>16020</v>
          </cell>
          <cell r="F111">
            <v>4277</v>
          </cell>
          <cell r="G111">
            <v>110</v>
          </cell>
          <cell r="H111">
            <v>4167</v>
          </cell>
          <cell r="I111">
            <v>0</v>
          </cell>
          <cell r="J111">
            <v>14263</v>
          </cell>
          <cell r="K111">
            <v>707</v>
          </cell>
          <cell r="L111">
            <v>472</v>
          </cell>
          <cell r="M111">
            <v>472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4230</v>
          </cell>
          <cell r="X111">
            <v>1301</v>
          </cell>
          <cell r="Y111">
            <v>2589</v>
          </cell>
          <cell r="Z111">
            <v>0</v>
          </cell>
          <cell r="AA111">
            <v>0</v>
          </cell>
          <cell r="AB111">
            <v>340</v>
          </cell>
          <cell r="AC111">
            <v>1065</v>
          </cell>
          <cell r="AD111">
            <v>0</v>
          </cell>
          <cell r="AE111">
            <v>1065</v>
          </cell>
          <cell r="AF111">
            <v>7789</v>
          </cell>
          <cell r="AG111">
            <v>0</v>
          </cell>
          <cell r="AH111">
            <v>0</v>
          </cell>
          <cell r="AI111">
            <v>660</v>
          </cell>
          <cell r="AJ111">
            <v>0</v>
          </cell>
          <cell r="AK111">
            <v>570</v>
          </cell>
          <cell r="AL111">
            <v>0</v>
          </cell>
          <cell r="AM111">
            <v>0</v>
          </cell>
          <cell r="AN111">
            <v>0</v>
          </cell>
          <cell r="AO111">
            <v>6136</v>
          </cell>
          <cell r="AP111">
            <v>52</v>
          </cell>
          <cell r="AQ111">
            <v>0</v>
          </cell>
          <cell r="AR111">
            <v>35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336</v>
          </cell>
          <cell r="AX111">
            <v>0</v>
          </cell>
          <cell r="AY111">
            <v>0</v>
          </cell>
          <cell r="AZ111">
            <v>0</v>
          </cell>
          <cell r="BA111">
            <v>4391.2</v>
          </cell>
          <cell r="BB111">
            <v>0</v>
          </cell>
          <cell r="BC111">
            <v>4391.2</v>
          </cell>
        </row>
        <row r="112">
          <cell r="C112" t="str">
            <v>LMIXSOL1</v>
          </cell>
          <cell r="D112">
            <v>34560</v>
          </cell>
          <cell r="E112">
            <v>23100</v>
          </cell>
          <cell r="F112">
            <v>1540</v>
          </cell>
          <cell r="G112">
            <v>240</v>
          </cell>
          <cell r="H112">
            <v>1300</v>
          </cell>
          <cell r="I112">
            <v>32</v>
          </cell>
          <cell r="J112">
            <v>9888</v>
          </cell>
          <cell r="K112">
            <v>2073</v>
          </cell>
          <cell r="L112">
            <v>287</v>
          </cell>
          <cell r="M112">
            <v>287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5527</v>
          </cell>
          <cell r="X112">
            <v>3496</v>
          </cell>
          <cell r="Y112">
            <v>1775</v>
          </cell>
          <cell r="Z112">
            <v>1</v>
          </cell>
          <cell r="AA112">
            <v>0</v>
          </cell>
          <cell r="AB112">
            <v>255</v>
          </cell>
          <cell r="AC112">
            <v>0</v>
          </cell>
          <cell r="AD112">
            <v>0</v>
          </cell>
          <cell r="AE112">
            <v>0</v>
          </cell>
          <cell r="AF112">
            <v>2001</v>
          </cell>
          <cell r="AG112">
            <v>70</v>
          </cell>
          <cell r="AH112">
            <v>0</v>
          </cell>
          <cell r="AI112">
            <v>645</v>
          </cell>
          <cell r="AJ112">
            <v>0</v>
          </cell>
          <cell r="AK112">
            <v>705</v>
          </cell>
          <cell r="AL112">
            <v>0</v>
          </cell>
          <cell r="AM112">
            <v>0</v>
          </cell>
          <cell r="AN112">
            <v>0</v>
          </cell>
          <cell r="AO112">
            <v>40</v>
          </cell>
          <cell r="AP112">
            <v>0</v>
          </cell>
          <cell r="AQ112">
            <v>0</v>
          </cell>
          <cell r="AR112">
            <v>541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1175.69</v>
          </cell>
          <cell r="BB112">
            <v>0</v>
          </cell>
          <cell r="BC112">
            <v>1175.69</v>
          </cell>
        </row>
        <row r="113">
          <cell r="C113" t="str">
            <v>LMIXSOL2</v>
          </cell>
          <cell r="D113">
            <v>34560</v>
          </cell>
          <cell r="E113">
            <v>29760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4800</v>
          </cell>
          <cell r="K113">
            <v>1197</v>
          </cell>
          <cell r="L113">
            <v>137</v>
          </cell>
          <cell r="M113">
            <v>137</v>
          </cell>
          <cell r="N113">
            <v>0</v>
          </cell>
          <cell r="O113">
            <v>0</v>
          </cell>
          <cell r="P113">
            <v>0</v>
          </cell>
          <cell r="Q113">
            <v>20</v>
          </cell>
          <cell r="R113">
            <v>0</v>
          </cell>
          <cell r="S113">
            <v>0</v>
          </cell>
          <cell r="T113">
            <v>0</v>
          </cell>
          <cell r="U113">
            <v>20</v>
          </cell>
          <cell r="V113">
            <v>0</v>
          </cell>
          <cell r="W113">
            <v>2647</v>
          </cell>
          <cell r="X113">
            <v>2171</v>
          </cell>
          <cell r="Y113">
            <v>415</v>
          </cell>
          <cell r="Z113">
            <v>1</v>
          </cell>
          <cell r="AA113">
            <v>0</v>
          </cell>
          <cell r="AB113">
            <v>60</v>
          </cell>
          <cell r="AC113">
            <v>0</v>
          </cell>
          <cell r="AD113">
            <v>0</v>
          </cell>
          <cell r="AE113">
            <v>0</v>
          </cell>
          <cell r="AF113">
            <v>799</v>
          </cell>
          <cell r="AG113">
            <v>45</v>
          </cell>
          <cell r="AH113">
            <v>0</v>
          </cell>
          <cell r="AI113">
            <v>240</v>
          </cell>
          <cell r="AJ113">
            <v>0</v>
          </cell>
          <cell r="AK113">
            <v>195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319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1460.98</v>
          </cell>
          <cell r="BB113">
            <v>0</v>
          </cell>
          <cell r="BC113">
            <v>1460.98</v>
          </cell>
        </row>
        <row r="114">
          <cell r="C114" t="str">
            <v>NBL SOL-COATING</v>
          </cell>
          <cell r="D114">
            <v>69120</v>
          </cell>
          <cell r="E114">
            <v>55740</v>
          </cell>
          <cell r="F114">
            <v>880</v>
          </cell>
          <cell r="G114">
            <v>0</v>
          </cell>
          <cell r="H114">
            <v>880</v>
          </cell>
          <cell r="I114">
            <v>0</v>
          </cell>
          <cell r="J114">
            <v>12500</v>
          </cell>
          <cell r="K114">
            <v>5135</v>
          </cell>
          <cell r="L114">
            <v>500</v>
          </cell>
          <cell r="M114">
            <v>290</v>
          </cell>
          <cell r="N114">
            <v>0</v>
          </cell>
          <cell r="O114">
            <v>210</v>
          </cell>
          <cell r="P114">
            <v>0</v>
          </cell>
          <cell r="Q114">
            <v>185</v>
          </cell>
          <cell r="R114">
            <v>185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4420</v>
          </cell>
          <cell r="X114">
            <v>1315</v>
          </cell>
          <cell r="Y114">
            <v>2655</v>
          </cell>
          <cell r="Z114">
            <v>0</v>
          </cell>
          <cell r="AA114">
            <v>0</v>
          </cell>
          <cell r="AB114">
            <v>450</v>
          </cell>
          <cell r="AC114">
            <v>0</v>
          </cell>
          <cell r="AD114">
            <v>0</v>
          </cell>
          <cell r="AE114">
            <v>0</v>
          </cell>
          <cell r="AF114">
            <v>2260</v>
          </cell>
          <cell r="AG114">
            <v>0</v>
          </cell>
          <cell r="AH114">
            <v>0</v>
          </cell>
          <cell r="AI114">
            <v>690</v>
          </cell>
          <cell r="AJ114">
            <v>0</v>
          </cell>
          <cell r="AK114">
            <v>725</v>
          </cell>
          <cell r="AL114">
            <v>25</v>
          </cell>
          <cell r="AM114">
            <v>0</v>
          </cell>
          <cell r="AN114">
            <v>0</v>
          </cell>
          <cell r="AO114">
            <v>415</v>
          </cell>
          <cell r="AP114">
            <v>230</v>
          </cell>
          <cell r="AQ114">
            <v>10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165</v>
          </cell>
          <cell r="AX114">
            <v>0</v>
          </cell>
          <cell r="AY114">
            <v>0</v>
          </cell>
          <cell r="AZ114">
            <v>0</v>
          </cell>
          <cell r="BA114">
            <v>2309.58</v>
          </cell>
          <cell r="BB114">
            <v>1.02</v>
          </cell>
          <cell r="BC114">
            <v>2308.56</v>
          </cell>
        </row>
        <row r="115">
          <cell r="C115" t="str">
            <v>COT101</v>
          </cell>
          <cell r="D115">
            <v>34560</v>
          </cell>
          <cell r="E115">
            <v>26940</v>
          </cell>
          <cell r="F115">
            <v>210</v>
          </cell>
          <cell r="G115">
            <v>0</v>
          </cell>
          <cell r="H115">
            <v>210</v>
          </cell>
          <cell r="I115">
            <v>0</v>
          </cell>
          <cell r="J115">
            <v>7410</v>
          </cell>
          <cell r="K115">
            <v>2695</v>
          </cell>
          <cell r="L115">
            <v>285</v>
          </cell>
          <cell r="M115">
            <v>170</v>
          </cell>
          <cell r="N115">
            <v>0</v>
          </cell>
          <cell r="O115">
            <v>115</v>
          </cell>
          <cell r="P115">
            <v>0</v>
          </cell>
          <cell r="Q115">
            <v>185</v>
          </cell>
          <cell r="R115">
            <v>185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2740</v>
          </cell>
          <cell r="X115">
            <v>755</v>
          </cell>
          <cell r="Y115">
            <v>1725</v>
          </cell>
          <cell r="Z115">
            <v>0</v>
          </cell>
          <cell r="AA115">
            <v>0</v>
          </cell>
          <cell r="AB115">
            <v>260</v>
          </cell>
          <cell r="AC115">
            <v>0</v>
          </cell>
          <cell r="AD115">
            <v>0</v>
          </cell>
          <cell r="AE115">
            <v>0</v>
          </cell>
          <cell r="AF115">
            <v>1505</v>
          </cell>
          <cell r="AG115">
            <v>0</v>
          </cell>
          <cell r="AH115">
            <v>0</v>
          </cell>
          <cell r="AI115">
            <v>480</v>
          </cell>
          <cell r="AJ115">
            <v>0</v>
          </cell>
          <cell r="AK115">
            <v>485</v>
          </cell>
          <cell r="AL115">
            <v>0</v>
          </cell>
          <cell r="AM115">
            <v>0</v>
          </cell>
          <cell r="AN115">
            <v>0</v>
          </cell>
          <cell r="AO115">
            <v>280</v>
          </cell>
          <cell r="AP115">
            <v>145</v>
          </cell>
          <cell r="AQ115">
            <v>10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105</v>
          </cell>
          <cell r="AX115">
            <v>0</v>
          </cell>
          <cell r="AY115">
            <v>0</v>
          </cell>
          <cell r="AZ115">
            <v>0</v>
          </cell>
          <cell r="BA115">
            <v>652.52</v>
          </cell>
          <cell r="BB115">
            <v>0.39</v>
          </cell>
          <cell r="BC115">
            <v>652.13</v>
          </cell>
        </row>
        <row r="116">
          <cell r="C116" t="str">
            <v>COT102</v>
          </cell>
          <cell r="D116">
            <v>34560</v>
          </cell>
          <cell r="E116">
            <v>28800</v>
          </cell>
          <cell r="F116">
            <v>670</v>
          </cell>
          <cell r="G116">
            <v>0</v>
          </cell>
          <cell r="H116">
            <v>670</v>
          </cell>
          <cell r="I116">
            <v>0</v>
          </cell>
          <cell r="J116">
            <v>5090</v>
          </cell>
          <cell r="K116">
            <v>2440</v>
          </cell>
          <cell r="L116">
            <v>215</v>
          </cell>
          <cell r="M116">
            <v>120</v>
          </cell>
          <cell r="N116">
            <v>0</v>
          </cell>
          <cell r="O116">
            <v>95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1680</v>
          </cell>
          <cell r="X116">
            <v>560</v>
          </cell>
          <cell r="Y116">
            <v>930</v>
          </cell>
          <cell r="Z116">
            <v>0</v>
          </cell>
          <cell r="AA116">
            <v>0</v>
          </cell>
          <cell r="AB116">
            <v>190</v>
          </cell>
          <cell r="AC116">
            <v>0</v>
          </cell>
          <cell r="AD116">
            <v>0</v>
          </cell>
          <cell r="AE116">
            <v>0</v>
          </cell>
          <cell r="AF116">
            <v>755</v>
          </cell>
          <cell r="AG116">
            <v>0</v>
          </cell>
          <cell r="AH116">
            <v>0</v>
          </cell>
          <cell r="AI116">
            <v>210</v>
          </cell>
          <cell r="AJ116">
            <v>0</v>
          </cell>
          <cell r="AK116">
            <v>240</v>
          </cell>
          <cell r="AL116">
            <v>25</v>
          </cell>
          <cell r="AM116">
            <v>0</v>
          </cell>
          <cell r="AN116">
            <v>0</v>
          </cell>
          <cell r="AO116">
            <v>135</v>
          </cell>
          <cell r="AP116">
            <v>85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60</v>
          </cell>
          <cell r="AX116">
            <v>0</v>
          </cell>
          <cell r="AY116">
            <v>0</v>
          </cell>
          <cell r="AZ116">
            <v>0</v>
          </cell>
          <cell r="BA116">
            <v>1657.06</v>
          </cell>
          <cell r="BB116">
            <v>0.63</v>
          </cell>
          <cell r="BC116">
            <v>1656.43</v>
          </cell>
        </row>
        <row r="117">
          <cell r="C117" t="str">
            <v>NBL SOL-TABLETING</v>
          </cell>
          <cell r="D117">
            <v>103680</v>
          </cell>
          <cell r="E117">
            <v>63240</v>
          </cell>
          <cell r="F117">
            <v>4455</v>
          </cell>
          <cell r="G117">
            <v>430</v>
          </cell>
          <cell r="H117">
            <v>4025</v>
          </cell>
          <cell r="I117">
            <v>0</v>
          </cell>
          <cell r="J117">
            <v>35985</v>
          </cell>
          <cell r="K117">
            <v>10895</v>
          </cell>
          <cell r="L117">
            <v>4150</v>
          </cell>
          <cell r="M117">
            <v>2695</v>
          </cell>
          <cell r="N117">
            <v>0</v>
          </cell>
          <cell r="O117">
            <v>175</v>
          </cell>
          <cell r="P117">
            <v>1280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5600</v>
          </cell>
          <cell r="X117">
            <v>1120</v>
          </cell>
          <cell r="Y117">
            <v>3520</v>
          </cell>
          <cell r="Z117">
            <v>155</v>
          </cell>
          <cell r="AA117">
            <v>0</v>
          </cell>
          <cell r="AB117">
            <v>805</v>
          </cell>
          <cell r="AC117">
            <v>4935</v>
          </cell>
          <cell r="AD117">
            <v>530</v>
          </cell>
          <cell r="AE117">
            <v>4405</v>
          </cell>
          <cell r="AF117">
            <v>10405</v>
          </cell>
          <cell r="AG117">
            <v>0</v>
          </cell>
          <cell r="AH117">
            <v>0</v>
          </cell>
          <cell r="AI117">
            <v>1740</v>
          </cell>
          <cell r="AJ117">
            <v>15</v>
          </cell>
          <cell r="AK117">
            <v>1595</v>
          </cell>
          <cell r="AL117">
            <v>360</v>
          </cell>
          <cell r="AM117">
            <v>0</v>
          </cell>
          <cell r="AN117">
            <v>0</v>
          </cell>
          <cell r="AO117">
            <v>1775</v>
          </cell>
          <cell r="AP117">
            <v>740</v>
          </cell>
          <cell r="AQ117">
            <v>0</v>
          </cell>
          <cell r="AR117">
            <v>0</v>
          </cell>
          <cell r="AS117">
            <v>0</v>
          </cell>
          <cell r="AT117">
            <v>465</v>
          </cell>
          <cell r="AU117">
            <v>0</v>
          </cell>
          <cell r="AV117">
            <v>0</v>
          </cell>
          <cell r="AW117">
            <v>3190</v>
          </cell>
          <cell r="AX117">
            <v>440</v>
          </cell>
          <cell r="AY117">
            <v>0</v>
          </cell>
          <cell r="AZ117">
            <v>85</v>
          </cell>
          <cell r="BA117">
            <v>7918641</v>
          </cell>
          <cell r="BB117">
            <v>2215</v>
          </cell>
          <cell r="BC117">
            <v>7916426</v>
          </cell>
        </row>
        <row r="118">
          <cell r="C118" t="str">
            <v>TAB101</v>
          </cell>
          <cell r="D118">
            <v>34560</v>
          </cell>
          <cell r="E118">
            <v>20010</v>
          </cell>
          <cell r="F118">
            <v>1785</v>
          </cell>
          <cell r="G118">
            <v>405</v>
          </cell>
          <cell r="H118">
            <v>1380</v>
          </cell>
          <cell r="I118">
            <v>0</v>
          </cell>
          <cell r="J118">
            <v>12765</v>
          </cell>
          <cell r="K118">
            <v>3790</v>
          </cell>
          <cell r="L118">
            <v>945</v>
          </cell>
          <cell r="M118">
            <v>845</v>
          </cell>
          <cell r="N118">
            <v>0</v>
          </cell>
          <cell r="O118">
            <v>0</v>
          </cell>
          <cell r="P118">
            <v>100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1875</v>
          </cell>
          <cell r="X118">
            <v>270</v>
          </cell>
          <cell r="Y118">
            <v>1250</v>
          </cell>
          <cell r="Z118">
            <v>90</v>
          </cell>
          <cell r="AA118">
            <v>0</v>
          </cell>
          <cell r="AB118">
            <v>265</v>
          </cell>
          <cell r="AC118">
            <v>3315</v>
          </cell>
          <cell r="AD118">
            <v>0</v>
          </cell>
          <cell r="AE118">
            <v>3315</v>
          </cell>
          <cell r="AF118">
            <v>2840</v>
          </cell>
          <cell r="AG118">
            <v>0</v>
          </cell>
          <cell r="AH118">
            <v>0</v>
          </cell>
          <cell r="AI118">
            <v>540</v>
          </cell>
          <cell r="AJ118">
            <v>0</v>
          </cell>
          <cell r="AK118">
            <v>440</v>
          </cell>
          <cell r="AL118">
            <v>360</v>
          </cell>
          <cell r="AM118">
            <v>0</v>
          </cell>
          <cell r="AN118">
            <v>0</v>
          </cell>
          <cell r="AO118">
            <v>160</v>
          </cell>
          <cell r="AP118">
            <v>310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1030</v>
          </cell>
          <cell r="AX118">
            <v>0</v>
          </cell>
          <cell r="AY118">
            <v>0</v>
          </cell>
          <cell r="AZ118">
            <v>0</v>
          </cell>
          <cell r="BA118">
            <v>3706885</v>
          </cell>
          <cell r="BB118">
            <v>858</v>
          </cell>
          <cell r="BC118">
            <v>3706027</v>
          </cell>
        </row>
        <row r="119">
          <cell r="C119" t="str">
            <v>TAB105</v>
          </cell>
          <cell r="D119">
            <v>34560</v>
          </cell>
          <cell r="E119">
            <v>16200</v>
          </cell>
          <cell r="F119">
            <v>1135</v>
          </cell>
          <cell r="G119">
            <v>25</v>
          </cell>
          <cell r="H119">
            <v>1110</v>
          </cell>
          <cell r="I119">
            <v>0</v>
          </cell>
          <cell r="J119">
            <v>17225</v>
          </cell>
          <cell r="K119">
            <v>4990</v>
          </cell>
          <cell r="L119">
            <v>2375</v>
          </cell>
          <cell r="M119">
            <v>1280</v>
          </cell>
          <cell r="N119">
            <v>0</v>
          </cell>
          <cell r="O119">
            <v>90</v>
          </cell>
          <cell r="P119">
            <v>1005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2505</v>
          </cell>
          <cell r="X119">
            <v>515</v>
          </cell>
          <cell r="Y119">
            <v>1630</v>
          </cell>
          <cell r="Z119">
            <v>65</v>
          </cell>
          <cell r="AA119">
            <v>0</v>
          </cell>
          <cell r="AB119">
            <v>295</v>
          </cell>
          <cell r="AC119">
            <v>1620</v>
          </cell>
          <cell r="AD119">
            <v>530</v>
          </cell>
          <cell r="AE119">
            <v>1090</v>
          </cell>
          <cell r="AF119">
            <v>5735</v>
          </cell>
          <cell r="AG119">
            <v>0</v>
          </cell>
          <cell r="AH119">
            <v>0</v>
          </cell>
          <cell r="AI119">
            <v>930</v>
          </cell>
          <cell r="AJ119">
            <v>15</v>
          </cell>
          <cell r="AK119">
            <v>930</v>
          </cell>
          <cell r="AL119">
            <v>0</v>
          </cell>
          <cell r="AM119">
            <v>0</v>
          </cell>
          <cell r="AN119">
            <v>0</v>
          </cell>
          <cell r="AO119">
            <v>1130</v>
          </cell>
          <cell r="AP119">
            <v>355</v>
          </cell>
          <cell r="AQ119">
            <v>0</v>
          </cell>
          <cell r="AR119">
            <v>0</v>
          </cell>
          <cell r="AS119">
            <v>0</v>
          </cell>
          <cell r="AT119">
            <v>465</v>
          </cell>
          <cell r="AU119">
            <v>0</v>
          </cell>
          <cell r="AV119">
            <v>0</v>
          </cell>
          <cell r="AW119">
            <v>1385</v>
          </cell>
          <cell r="AX119">
            <v>440</v>
          </cell>
          <cell r="AY119">
            <v>0</v>
          </cell>
          <cell r="AZ119">
            <v>85</v>
          </cell>
          <cell r="BA119">
            <v>2363028</v>
          </cell>
          <cell r="BB119">
            <v>0</v>
          </cell>
          <cell r="BC119">
            <v>2363028</v>
          </cell>
        </row>
        <row r="120">
          <cell r="C120" t="str">
            <v>TAB103</v>
          </cell>
          <cell r="D120">
            <v>34560</v>
          </cell>
          <cell r="E120">
            <v>27030</v>
          </cell>
          <cell r="F120">
            <v>1535</v>
          </cell>
          <cell r="G120">
            <v>0</v>
          </cell>
          <cell r="H120">
            <v>1535</v>
          </cell>
          <cell r="I120">
            <v>0</v>
          </cell>
          <cell r="J120">
            <v>5995</v>
          </cell>
          <cell r="K120">
            <v>2115</v>
          </cell>
          <cell r="L120">
            <v>830</v>
          </cell>
          <cell r="M120">
            <v>570</v>
          </cell>
          <cell r="N120">
            <v>0</v>
          </cell>
          <cell r="O120">
            <v>85</v>
          </cell>
          <cell r="P120">
            <v>175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1220</v>
          </cell>
          <cell r="X120">
            <v>335</v>
          </cell>
          <cell r="Y120">
            <v>640</v>
          </cell>
          <cell r="Z120">
            <v>0</v>
          </cell>
          <cell r="AA120">
            <v>0</v>
          </cell>
          <cell r="AB120">
            <v>245</v>
          </cell>
          <cell r="AC120">
            <v>0</v>
          </cell>
          <cell r="AD120">
            <v>0</v>
          </cell>
          <cell r="AE120">
            <v>0</v>
          </cell>
          <cell r="AF120">
            <v>1830</v>
          </cell>
          <cell r="AG120">
            <v>0</v>
          </cell>
          <cell r="AH120">
            <v>0</v>
          </cell>
          <cell r="AI120">
            <v>270</v>
          </cell>
          <cell r="AJ120">
            <v>0</v>
          </cell>
          <cell r="AK120">
            <v>225</v>
          </cell>
          <cell r="AL120">
            <v>0</v>
          </cell>
          <cell r="AM120">
            <v>0</v>
          </cell>
          <cell r="AN120">
            <v>0</v>
          </cell>
          <cell r="AO120">
            <v>485</v>
          </cell>
          <cell r="AP120">
            <v>75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775</v>
          </cell>
          <cell r="AX120">
            <v>0</v>
          </cell>
          <cell r="AY120">
            <v>0</v>
          </cell>
          <cell r="AZ120">
            <v>0</v>
          </cell>
          <cell r="BA120">
            <v>1848728</v>
          </cell>
          <cell r="BB120">
            <v>1357</v>
          </cell>
          <cell r="BC120">
            <v>1847371</v>
          </cell>
        </row>
        <row r="121">
          <cell r="C121" t="str">
            <v>NBL SOL-CAPSULE</v>
          </cell>
          <cell r="D121">
            <v>69120</v>
          </cell>
          <cell r="E121">
            <v>63510</v>
          </cell>
          <cell r="F121">
            <v>875</v>
          </cell>
          <cell r="G121">
            <v>0</v>
          </cell>
          <cell r="H121">
            <v>875</v>
          </cell>
          <cell r="I121">
            <v>0</v>
          </cell>
          <cell r="J121">
            <v>4735</v>
          </cell>
          <cell r="K121">
            <v>1935</v>
          </cell>
          <cell r="L121">
            <v>475</v>
          </cell>
          <cell r="M121">
            <v>475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1395</v>
          </cell>
          <cell r="X121">
            <v>500</v>
          </cell>
          <cell r="Y121">
            <v>620</v>
          </cell>
          <cell r="Z121">
            <v>210</v>
          </cell>
          <cell r="AA121">
            <v>0</v>
          </cell>
          <cell r="AB121">
            <v>65</v>
          </cell>
          <cell r="AC121">
            <v>0</v>
          </cell>
          <cell r="AD121">
            <v>0</v>
          </cell>
          <cell r="AE121">
            <v>0</v>
          </cell>
          <cell r="AF121">
            <v>930</v>
          </cell>
          <cell r="AG121">
            <v>0</v>
          </cell>
          <cell r="AH121">
            <v>95</v>
          </cell>
          <cell r="AI121">
            <v>270</v>
          </cell>
          <cell r="AJ121">
            <v>0</v>
          </cell>
          <cell r="AK121">
            <v>255</v>
          </cell>
          <cell r="AL121">
            <v>0</v>
          </cell>
          <cell r="AM121">
            <v>35</v>
          </cell>
          <cell r="AN121">
            <v>0</v>
          </cell>
          <cell r="AO121">
            <v>0</v>
          </cell>
          <cell r="AP121">
            <v>85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190</v>
          </cell>
          <cell r="AX121">
            <v>0</v>
          </cell>
          <cell r="AY121">
            <v>0</v>
          </cell>
          <cell r="AZ121">
            <v>0</v>
          </cell>
          <cell r="BA121">
            <v>620363</v>
          </cell>
          <cell r="BB121">
            <v>0</v>
          </cell>
          <cell r="BC121">
            <v>620363</v>
          </cell>
        </row>
        <row r="122">
          <cell r="C122" t="str">
            <v>KAP101</v>
          </cell>
          <cell r="D122">
            <v>34560</v>
          </cell>
          <cell r="E122">
            <v>29970</v>
          </cell>
          <cell r="F122">
            <v>90</v>
          </cell>
          <cell r="G122">
            <v>0</v>
          </cell>
          <cell r="H122">
            <v>90</v>
          </cell>
          <cell r="I122">
            <v>0</v>
          </cell>
          <cell r="J122">
            <v>4500</v>
          </cell>
          <cell r="K122">
            <v>1850</v>
          </cell>
          <cell r="L122">
            <v>420</v>
          </cell>
          <cell r="M122">
            <v>420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1300</v>
          </cell>
          <cell r="X122">
            <v>475</v>
          </cell>
          <cell r="Y122">
            <v>560</v>
          </cell>
          <cell r="Z122">
            <v>210</v>
          </cell>
          <cell r="AA122">
            <v>0</v>
          </cell>
          <cell r="AB122">
            <v>55</v>
          </cell>
          <cell r="AC122">
            <v>0</v>
          </cell>
          <cell r="AD122">
            <v>0</v>
          </cell>
          <cell r="AE122">
            <v>0</v>
          </cell>
          <cell r="AF122">
            <v>930</v>
          </cell>
          <cell r="AG122">
            <v>0</v>
          </cell>
          <cell r="AH122">
            <v>95</v>
          </cell>
          <cell r="AI122">
            <v>270</v>
          </cell>
          <cell r="AJ122">
            <v>0</v>
          </cell>
          <cell r="AK122">
            <v>255</v>
          </cell>
          <cell r="AL122">
            <v>0</v>
          </cell>
          <cell r="AM122">
            <v>35</v>
          </cell>
          <cell r="AN122">
            <v>0</v>
          </cell>
          <cell r="AO122">
            <v>0</v>
          </cell>
          <cell r="AP122">
            <v>85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190</v>
          </cell>
          <cell r="AX122">
            <v>0</v>
          </cell>
          <cell r="AY122">
            <v>0</v>
          </cell>
          <cell r="AZ122">
            <v>0</v>
          </cell>
          <cell r="BA122">
            <v>484211</v>
          </cell>
          <cell r="BB122">
            <v>0</v>
          </cell>
          <cell r="BC122">
            <v>484211</v>
          </cell>
        </row>
        <row r="123">
          <cell r="C123" t="str">
            <v>KAP103</v>
          </cell>
          <cell r="D123">
            <v>34560</v>
          </cell>
          <cell r="E123">
            <v>33540</v>
          </cell>
          <cell r="F123">
            <v>785</v>
          </cell>
          <cell r="G123">
            <v>0</v>
          </cell>
          <cell r="H123">
            <v>785</v>
          </cell>
          <cell r="I123">
            <v>0</v>
          </cell>
          <cell r="J123">
            <v>235</v>
          </cell>
          <cell r="K123">
            <v>85</v>
          </cell>
          <cell r="L123">
            <v>55</v>
          </cell>
          <cell r="M123">
            <v>55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95</v>
          </cell>
          <cell r="X123">
            <v>25</v>
          </cell>
          <cell r="Y123">
            <v>60</v>
          </cell>
          <cell r="Z123">
            <v>0</v>
          </cell>
          <cell r="AA123">
            <v>0</v>
          </cell>
          <cell r="AB123">
            <v>10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136152</v>
          </cell>
          <cell r="BB123">
            <v>0</v>
          </cell>
          <cell r="BC123">
            <v>136152</v>
          </cell>
        </row>
        <row r="124">
          <cell r="C124" t="str">
            <v>NBL SOL-STRIPPING</v>
          </cell>
          <cell r="D124">
            <v>172800</v>
          </cell>
          <cell r="E124">
            <v>110310</v>
          </cell>
          <cell r="F124">
            <v>2160</v>
          </cell>
          <cell r="G124">
            <v>610</v>
          </cell>
          <cell r="H124">
            <v>1550</v>
          </cell>
          <cell r="I124">
            <v>0</v>
          </cell>
          <cell r="J124">
            <v>60330</v>
          </cell>
          <cell r="K124">
            <v>23760</v>
          </cell>
          <cell r="L124">
            <v>8275</v>
          </cell>
          <cell r="M124">
            <v>5070</v>
          </cell>
          <cell r="N124">
            <v>0</v>
          </cell>
          <cell r="O124">
            <v>3205</v>
          </cell>
          <cell r="P124">
            <v>0</v>
          </cell>
          <cell r="Q124">
            <v>810</v>
          </cell>
          <cell r="R124">
            <v>655</v>
          </cell>
          <cell r="S124">
            <v>75</v>
          </cell>
          <cell r="T124">
            <v>0</v>
          </cell>
          <cell r="U124">
            <v>0</v>
          </cell>
          <cell r="V124">
            <v>80</v>
          </cell>
          <cell r="W124">
            <v>11710</v>
          </cell>
          <cell r="X124">
            <v>5790</v>
          </cell>
          <cell r="Y124">
            <v>2425</v>
          </cell>
          <cell r="Z124">
            <v>2285</v>
          </cell>
          <cell r="AA124">
            <v>0</v>
          </cell>
          <cell r="AB124">
            <v>1210</v>
          </cell>
          <cell r="AC124">
            <v>3610</v>
          </cell>
          <cell r="AD124">
            <v>330</v>
          </cell>
          <cell r="AE124">
            <v>3280</v>
          </cell>
          <cell r="AF124">
            <v>12165</v>
          </cell>
          <cell r="AG124">
            <v>45</v>
          </cell>
          <cell r="AH124">
            <v>30</v>
          </cell>
          <cell r="AI124">
            <v>3585</v>
          </cell>
          <cell r="AJ124">
            <v>0</v>
          </cell>
          <cell r="AK124">
            <v>3095</v>
          </cell>
          <cell r="AL124">
            <v>0</v>
          </cell>
          <cell r="AM124">
            <v>560</v>
          </cell>
          <cell r="AN124">
            <v>0</v>
          </cell>
          <cell r="AO124">
            <v>140</v>
          </cell>
          <cell r="AP124">
            <v>2115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2095</v>
          </cell>
          <cell r="AX124">
            <v>355</v>
          </cell>
          <cell r="AY124">
            <v>0</v>
          </cell>
          <cell r="AZ124">
            <v>145</v>
          </cell>
          <cell r="BA124">
            <v>12067160</v>
          </cell>
          <cell r="BB124">
            <v>49051.040000000001</v>
          </cell>
          <cell r="BC124">
            <v>12018108.960000001</v>
          </cell>
        </row>
        <row r="125">
          <cell r="C125" t="str">
            <v>STR105</v>
          </cell>
          <cell r="D125">
            <v>34560</v>
          </cell>
          <cell r="E125">
            <v>25380</v>
          </cell>
          <cell r="F125">
            <v>240</v>
          </cell>
          <cell r="G125">
            <v>0</v>
          </cell>
          <cell r="H125">
            <v>240</v>
          </cell>
          <cell r="I125">
            <v>0</v>
          </cell>
          <cell r="J125">
            <v>8940</v>
          </cell>
          <cell r="K125">
            <v>2325</v>
          </cell>
          <cell r="L125">
            <v>1130</v>
          </cell>
          <cell r="M125">
            <v>665</v>
          </cell>
          <cell r="N125">
            <v>0</v>
          </cell>
          <cell r="O125">
            <v>465</v>
          </cell>
          <cell r="P125">
            <v>0</v>
          </cell>
          <cell r="Q125">
            <v>55</v>
          </cell>
          <cell r="R125">
            <v>20</v>
          </cell>
          <cell r="S125">
            <v>35</v>
          </cell>
          <cell r="T125">
            <v>0</v>
          </cell>
          <cell r="U125">
            <v>0</v>
          </cell>
          <cell r="V125">
            <v>0</v>
          </cell>
          <cell r="W125">
            <v>1580</v>
          </cell>
          <cell r="X125">
            <v>985</v>
          </cell>
          <cell r="Y125">
            <v>185</v>
          </cell>
          <cell r="Z125">
            <v>260</v>
          </cell>
          <cell r="AA125">
            <v>0</v>
          </cell>
          <cell r="AB125">
            <v>150</v>
          </cell>
          <cell r="AC125">
            <v>2665</v>
          </cell>
          <cell r="AD125">
            <v>0</v>
          </cell>
          <cell r="AE125">
            <v>2665</v>
          </cell>
          <cell r="AF125">
            <v>1185</v>
          </cell>
          <cell r="AG125">
            <v>0</v>
          </cell>
          <cell r="AH125">
            <v>0</v>
          </cell>
          <cell r="AI125">
            <v>390</v>
          </cell>
          <cell r="AJ125">
            <v>0</v>
          </cell>
          <cell r="AK125">
            <v>285</v>
          </cell>
          <cell r="AL125">
            <v>0</v>
          </cell>
          <cell r="AM125">
            <v>10</v>
          </cell>
          <cell r="AN125">
            <v>0</v>
          </cell>
          <cell r="AO125">
            <v>0</v>
          </cell>
          <cell r="AP125">
            <v>170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330</v>
          </cell>
          <cell r="AX125">
            <v>0</v>
          </cell>
          <cell r="AY125">
            <v>0</v>
          </cell>
          <cell r="AZ125">
            <v>0</v>
          </cell>
          <cell r="BA125">
            <v>823951</v>
          </cell>
          <cell r="BB125">
            <v>6361</v>
          </cell>
          <cell r="BC125">
            <v>817590</v>
          </cell>
        </row>
        <row r="126">
          <cell r="C126" t="str">
            <v>STR102</v>
          </cell>
          <cell r="D126">
            <v>34560</v>
          </cell>
          <cell r="E126">
            <v>20310</v>
          </cell>
          <cell r="F126">
            <v>240</v>
          </cell>
          <cell r="G126">
            <v>240</v>
          </cell>
          <cell r="H126">
            <v>0</v>
          </cell>
          <cell r="I126">
            <v>0</v>
          </cell>
          <cell r="J126">
            <v>14010</v>
          </cell>
          <cell r="K126">
            <v>4845</v>
          </cell>
          <cell r="L126">
            <v>1945</v>
          </cell>
          <cell r="M126">
            <v>1440</v>
          </cell>
          <cell r="N126">
            <v>0</v>
          </cell>
          <cell r="O126">
            <v>505</v>
          </cell>
          <cell r="P126">
            <v>0</v>
          </cell>
          <cell r="Q126">
            <v>405</v>
          </cell>
          <cell r="R126">
            <v>405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3055</v>
          </cell>
          <cell r="X126">
            <v>1200</v>
          </cell>
          <cell r="Y126">
            <v>860</v>
          </cell>
          <cell r="Z126">
            <v>710</v>
          </cell>
          <cell r="AA126">
            <v>0</v>
          </cell>
          <cell r="AB126">
            <v>285</v>
          </cell>
          <cell r="AC126">
            <v>750</v>
          </cell>
          <cell r="AD126">
            <v>330</v>
          </cell>
          <cell r="AE126">
            <v>420</v>
          </cell>
          <cell r="AF126">
            <v>3010</v>
          </cell>
          <cell r="AG126">
            <v>0</v>
          </cell>
          <cell r="AH126">
            <v>30</v>
          </cell>
          <cell r="AI126">
            <v>780</v>
          </cell>
          <cell r="AJ126">
            <v>0</v>
          </cell>
          <cell r="AK126">
            <v>775</v>
          </cell>
          <cell r="AL126">
            <v>0</v>
          </cell>
          <cell r="AM126">
            <v>255</v>
          </cell>
          <cell r="AN126">
            <v>0</v>
          </cell>
          <cell r="AO126">
            <v>140</v>
          </cell>
          <cell r="AP126">
            <v>470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560</v>
          </cell>
          <cell r="AX126">
            <v>0</v>
          </cell>
          <cell r="AY126">
            <v>0</v>
          </cell>
          <cell r="AZ126">
            <v>0</v>
          </cell>
          <cell r="BA126">
            <v>5625279</v>
          </cell>
          <cell r="BB126">
            <v>16747.04</v>
          </cell>
          <cell r="BC126">
            <v>5608531.96</v>
          </cell>
        </row>
        <row r="127">
          <cell r="C127" t="str">
            <v>STR104</v>
          </cell>
          <cell r="D127">
            <v>34560</v>
          </cell>
          <cell r="E127">
            <v>23910</v>
          </cell>
          <cell r="F127">
            <v>825</v>
          </cell>
          <cell r="G127">
            <v>0</v>
          </cell>
          <cell r="H127">
            <v>825</v>
          </cell>
          <cell r="I127">
            <v>0</v>
          </cell>
          <cell r="J127">
            <v>9825</v>
          </cell>
          <cell r="K127">
            <v>6000</v>
          </cell>
          <cell r="L127">
            <v>70</v>
          </cell>
          <cell r="M127">
            <v>70</v>
          </cell>
          <cell r="N127">
            <v>0</v>
          </cell>
          <cell r="O127">
            <v>0</v>
          </cell>
          <cell r="P127">
            <v>0</v>
          </cell>
          <cell r="Q127">
            <v>35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35</v>
          </cell>
          <cell r="W127">
            <v>2245</v>
          </cell>
          <cell r="X127">
            <v>1325</v>
          </cell>
          <cell r="Y127">
            <v>275</v>
          </cell>
          <cell r="Z127">
            <v>405</v>
          </cell>
          <cell r="AA127">
            <v>0</v>
          </cell>
          <cell r="AB127">
            <v>240</v>
          </cell>
          <cell r="AC127">
            <v>0</v>
          </cell>
          <cell r="AD127">
            <v>0</v>
          </cell>
          <cell r="AE127">
            <v>0</v>
          </cell>
          <cell r="AF127">
            <v>1475</v>
          </cell>
          <cell r="AG127">
            <v>45</v>
          </cell>
          <cell r="AH127">
            <v>0</v>
          </cell>
          <cell r="AI127">
            <v>600</v>
          </cell>
          <cell r="AJ127">
            <v>0</v>
          </cell>
          <cell r="AK127">
            <v>390</v>
          </cell>
          <cell r="AL127">
            <v>0</v>
          </cell>
          <cell r="AM127">
            <v>45</v>
          </cell>
          <cell r="AN127">
            <v>0</v>
          </cell>
          <cell r="AO127">
            <v>0</v>
          </cell>
          <cell r="AP127">
            <v>310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85</v>
          </cell>
          <cell r="AX127">
            <v>0</v>
          </cell>
          <cell r="AY127">
            <v>0</v>
          </cell>
          <cell r="AZ127">
            <v>0</v>
          </cell>
          <cell r="BA127">
            <v>40872</v>
          </cell>
          <cell r="BB127">
            <v>247</v>
          </cell>
          <cell r="BC127">
            <v>40625</v>
          </cell>
        </row>
        <row r="128">
          <cell r="C128" t="str">
            <v>STR103</v>
          </cell>
          <cell r="D128">
            <v>34560</v>
          </cell>
          <cell r="E128">
            <v>19350</v>
          </cell>
          <cell r="F128">
            <v>705</v>
          </cell>
          <cell r="G128">
            <v>370</v>
          </cell>
          <cell r="H128">
            <v>335</v>
          </cell>
          <cell r="I128">
            <v>0</v>
          </cell>
          <cell r="J128">
            <v>14505</v>
          </cell>
          <cell r="K128">
            <v>5310</v>
          </cell>
          <cell r="L128">
            <v>3240</v>
          </cell>
          <cell r="M128">
            <v>2060</v>
          </cell>
          <cell r="N128">
            <v>0</v>
          </cell>
          <cell r="O128">
            <v>1180</v>
          </cell>
          <cell r="P128">
            <v>0</v>
          </cell>
          <cell r="Q128">
            <v>135</v>
          </cell>
          <cell r="R128">
            <v>90</v>
          </cell>
          <cell r="S128">
            <v>0</v>
          </cell>
          <cell r="T128">
            <v>0</v>
          </cell>
          <cell r="U128">
            <v>0</v>
          </cell>
          <cell r="V128">
            <v>45</v>
          </cell>
          <cell r="W128">
            <v>2385</v>
          </cell>
          <cell r="X128">
            <v>1240</v>
          </cell>
          <cell r="Y128">
            <v>480</v>
          </cell>
          <cell r="Z128">
            <v>375</v>
          </cell>
          <cell r="AA128">
            <v>0</v>
          </cell>
          <cell r="AB128">
            <v>290</v>
          </cell>
          <cell r="AC128">
            <v>0</v>
          </cell>
          <cell r="AD128">
            <v>0</v>
          </cell>
          <cell r="AE128">
            <v>0</v>
          </cell>
          <cell r="AF128">
            <v>3435</v>
          </cell>
          <cell r="AG128">
            <v>0</v>
          </cell>
          <cell r="AH128">
            <v>0</v>
          </cell>
          <cell r="AI128">
            <v>975</v>
          </cell>
          <cell r="AJ128">
            <v>0</v>
          </cell>
          <cell r="AK128">
            <v>795</v>
          </cell>
          <cell r="AL128">
            <v>0</v>
          </cell>
          <cell r="AM128">
            <v>235</v>
          </cell>
          <cell r="AN128">
            <v>0</v>
          </cell>
          <cell r="AO128">
            <v>0</v>
          </cell>
          <cell r="AP128">
            <v>480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490</v>
          </cell>
          <cell r="AX128">
            <v>355</v>
          </cell>
          <cell r="AY128">
            <v>0</v>
          </cell>
          <cell r="AZ128">
            <v>105</v>
          </cell>
          <cell r="BA128">
            <v>2803584</v>
          </cell>
          <cell r="BB128">
            <v>12112</v>
          </cell>
          <cell r="BC128">
            <v>2791472</v>
          </cell>
        </row>
        <row r="129">
          <cell r="C129" t="str">
            <v>STR101</v>
          </cell>
          <cell r="D129">
            <v>34560</v>
          </cell>
          <cell r="E129">
            <v>21360</v>
          </cell>
          <cell r="F129">
            <v>150</v>
          </cell>
          <cell r="G129">
            <v>0</v>
          </cell>
          <cell r="H129">
            <v>150</v>
          </cell>
          <cell r="I129">
            <v>0</v>
          </cell>
          <cell r="J129">
            <v>13050</v>
          </cell>
          <cell r="K129">
            <v>5280</v>
          </cell>
          <cell r="L129">
            <v>1890</v>
          </cell>
          <cell r="M129">
            <v>835</v>
          </cell>
          <cell r="N129">
            <v>0</v>
          </cell>
          <cell r="O129">
            <v>1055</v>
          </cell>
          <cell r="P129">
            <v>0</v>
          </cell>
          <cell r="Q129">
            <v>180</v>
          </cell>
          <cell r="R129">
            <v>140</v>
          </cell>
          <cell r="S129">
            <v>40</v>
          </cell>
          <cell r="T129">
            <v>0</v>
          </cell>
          <cell r="U129">
            <v>0</v>
          </cell>
          <cell r="V129">
            <v>0</v>
          </cell>
          <cell r="W129">
            <v>2445</v>
          </cell>
          <cell r="X129">
            <v>1040</v>
          </cell>
          <cell r="Y129">
            <v>625</v>
          </cell>
          <cell r="Z129">
            <v>535</v>
          </cell>
          <cell r="AA129">
            <v>0</v>
          </cell>
          <cell r="AB129">
            <v>245</v>
          </cell>
          <cell r="AC129">
            <v>195</v>
          </cell>
          <cell r="AD129">
            <v>0</v>
          </cell>
          <cell r="AE129">
            <v>195</v>
          </cell>
          <cell r="AF129">
            <v>3060</v>
          </cell>
          <cell r="AG129">
            <v>0</v>
          </cell>
          <cell r="AH129">
            <v>0</v>
          </cell>
          <cell r="AI129">
            <v>840</v>
          </cell>
          <cell r="AJ129">
            <v>0</v>
          </cell>
          <cell r="AK129">
            <v>850</v>
          </cell>
          <cell r="AL129">
            <v>0</v>
          </cell>
          <cell r="AM129">
            <v>15</v>
          </cell>
          <cell r="AN129">
            <v>0</v>
          </cell>
          <cell r="AO129">
            <v>0</v>
          </cell>
          <cell r="AP129">
            <v>685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630</v>
          </cell>
          <cell r="AX129">
            <v>0</v>
          </cell>
          <cell r="AY129">
            <v>0</v>
          </cell>
          <cell r="AZ129">
            <v>40</v>
          </cell>
          <cell r="BA129">
            <v>2773474</v>
          </cell>
          <cell r="BB129">
            <v>13584</v>
          </cell>
          <cell r="BC129">
            <v>2759890</v>
          </cell>
        </row>
        <row r="130">
          <cell r="C130" t="str">
            <v>NBL SYR-MIXING</v>
          </cell>
          <cell r="D130">
            <v>34560</v>
          </cell>
          <cell r="E130">
            <v>26910</v>
          </cell>
          <cell r="F130">
            <v>645</v>
          </cell>
          <cell r="G130">
            <v>100</v>
          </cell>
          <cell r="H130">
            <v>545</v>
          </cell>
          <cell r="I130">
            <v>0</v>
          </cell>
          <cell r="J130">
            <v>7005</v>
          </cell>
          <cell r="K130">
            <v>2401</v>
          </cell>
          <cell r="L130">
            <v>277</v>
          </cell>
          <cell r="M130">
            <v>277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2587</v>
          </cell>
          <cell r="X130">
            <v>243</v>
          </cell>
          <cell r="Y130">
            <v>2344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1740</v>
          </cell>
          <cell r="AG130">
            <v>137</v>
          </cell>
          <cell r="AH130">
            <v>0</v>
          </cell>
          <cell r="AI130">
            <v>295</v>
          </cell>
          <cell r="AJ130">
            <v>0</v>
          </cell>
          <cell r="AK130">
            <v>205</v>
          </cell>
          <cell r="AL130">
            <v>0</v>
          </cell>
          <cell r="AM130">
            <v>0</v>
          </cell>
          <cell r="AN130">
            <v>0</v>
          </cell>
          <cell r="AO130">
            <v>142</v>
          </cell>
          <cell r="AP130">
            <v>0</v>
          </cell>
          <cell r="AQ130">
            <v>0</v>
          </cell>
          <cell r="AR130">
            <v>0</v>
          </cell>
          <cell r="AS130">
            <v>221</v>
          </cell>
          <cell r="AT130">
            <v>0</v>
          </cell>
          <cell r="AU130">
            <v>0</v>
          </cell>
          <cell r="AV130">
            <v>0</v>
          </cell>
          <cell r="AW130">
            <v>38</v>
          </cell>
          <cell r="AX130">
            <v>687</v>
          </cell>
          <cell r="AY130">
            <v>0</v>
          </cell>
          <cell r="AZ130">
            <v>15</v>
          </cell>
          <cell r="BA130">
            <v>13025</v>
          </cell>
          <cell r="BB130">
            <v>2.15</v>
          </cell>
          <cell r="BC130">
            <v>13022.85</v>
          </cell>
        </row>
        <row r="131">
          <cell r="C131" t="str">
            <v>LMIXSYR1</v>
          </cell>
          <cell r="D131">
            <v>34560</v>
          </cell>
          <cell r="E131">
            <v>26910</v>
          </cell>
          <cell r="F131">
            <v>645</v>
          </cell>
          <cell r="G131">
            <v>100</v>
          </cell>
          <cell r="H131">
            <v>545</v>
          </cell>
          <cell r="I131">
            <v>0</v>
          </cell>
          <cell r="J131">
            <v>7005</v>
          </cell>
          <cell r="K131">
            <v>2401</v>
          </cell>
          <cell r="L131">
            <v>277</v>
          </cell>
          <cell r="M131">
            <v>277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2587</v>
          </cell>
          <cell r="X131">
            <v>243</v>
          </cell>
          <cell r="Y131">
            <v>2344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1740</v>
          </cell>
          <cell r="AG131">
            <v>137</v>
          </cell>
          <cell r="AH131">
            <v>0</v>
          </cell>
          <cell r="AI131">
            <v>295</v>
          </cell>
          <cell r="AJ131">
            <v>0</v>
          </cell>
          <cell r="AK131">
            <v>205</v>
          </cell>
          <cell r="AL131">
            <v>0</v>
          </cell>
          <cell r="AM131">
            <v>0</v>
          </cell>
          <cell r="AN131">
            <v>0</v>
          </cell>
          <cell r="AO131">
            <v>142</v>
          </cell>
          <cell r="AP131">
            <v>0</v>
          </cell>
          <cell r="AQ131">
            <v>0</v>
          </cell>
          <cell r="AR131">
            <v>0</v>
          </cell>
          <cell r="AS131">
            <v>221</v>
          </cell>
          <cell r="AT131">
            <v>0</v>
          </cell>
          <cell r="AU131">
            <v>0</v>
          </cell>
          <cell r="AV131">
            <v>0</v>
          </cell>
          <cell r="AW131">
            <v>38</v>
          </cell>
          <cell r="AX131">
            <v>687</v>
          </cell>
          <cell r="AY131">
            <v>0</v>
          </cell>
          <cell r="AZ131">
            <v>15</v>
          </cell>
          <cell r="BA131">
            <v>13025</v>
          </cell>
          <cell r="BB131">
            <v>2.15</v>
          </cell>
          <cell r="BC131">
            <v>13022.85</v>
          </cell>
        </row>
        <row r="132">
          <cell r="C132" t="str">
            <v>NBL SYR-FILLING</v>
          </cell>
          <cell r="D132">
            <v>69120</v>
          </cell>
          <cell r="E132">
            <v>56370</v>
          </cell>
          <cell r="F132">
            <v>1680</v>
          </cell>
          <cell r="G132">
            <v>90</v>
          </cell>
          <cell r="H132">
            <v>1590</v>
          </cell>
          <cell r="I132">
            <v>330</v>
          </cell>
          <cell r="J132">
            <v>10740</v>
          </cell>
          <cell r="K132">
            <v>3500</v>
          </cell>
          <cell r="L132">
            <v>855</v>
          </cell>
          <cell r="M132">
            <v>600</v>
          </cell>
          <cell r="N132">
            <v>0</v>
          </cell>
          <cell r="O132">
            <v>185</v>
          </cell>
          <cell r="P132">
            <v>70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3105</v>
          </cell>
          <cell r="X132">
            <v>235</v>
          </cell>
          <cell r="Y132">
            <v>1900</v>
          </cell>
          <cell r="Z132">
            <v>0</v>
          </cell>
          <cell r="AA132">
            <v>0</v>
          </cell>
          <cell r="AB132">
            <v>970</v>
          </cell>
          <cell r="AC132">
            <v>0</v>
          </cell>
          <cell r="AD132">
            <v>0</v>
          </cell>
          <cell r="AE132">
            <v>0</v>
          </cell>
          <cell r="AF132">
            <v>3280</v>
          </cell>
          <cell r="AG132">
            <v>0</v>
          </cell>
          <cell r="AH132">
            <v>0</v>
          </cell>
          <cell r="AI132">
            <v>555</v>
          </cell>
          <cell r="AJ132">
            <v>0</v>
          </cell>
          <cell r="AK132">
            <v>315</v>
          </cell>
          <cell r="AL132">
            <v>0</v>
          </cell>
          <cell r="AM132">
            <v>0</v>
          </cell>
          <cell r="AN132">
            <v>0</v>
          </cell>
          <cell r="AO132">
            <v>2395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15</v>
          </cell>
          <cell r="AY132">
            <v>0</v>
          </cell>
          <cell r="AZ132">
            <v>0</v>
          </cell>
          <cell r="BA132">
            <v>195803</v>
          </cell>
          <cell r="BB132">
            <v>345</v>
          </cell>
          <cell r="BC132">
            <v>195458</v>
          </cell>
        </row>
        <row r="133">
          <cell r="C133" t="str">
            <v>SYR109</v>
          </cell>
          <cell r="D133">
            <v>34560</v>
          </cell>
          <cell r="E133">
            <v>23340</v>
          </cell>
          <cell r="F133">
            <v>1650</v>
          </cell>
          <cell r="G133">
            <v>60</v>
          </cell>
          <cell r="H133">
            <v>1590</v>
          </cell>
          <cell r="I133">
            <v>0</v>
          </cell>
          <cell r="J133">
            <v>9570</v>
          </cell>
          <cell r="K133">
            <v>2780</v>
          </cell>
          <cell r="L133">
            <v>840</v>
          </cell>
          <cell r="M133">
            <v>600</v>
          </cell>
          <cell r="N133">
            <v>0</v>
          </cell>
          <cell r="O133">
            <v>170</v>
          </cell>
          <cell r="P133">
            <v>70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2760</v>
          </cell>
          <cell r="X133">
            <v>210</v>
          </cell>
          <cell r="Y133">
            <v>1695</v>
          </cell>
          <cell r="Z133">
            <v>0</v>
          </cell>
          <cell r="AA133">
            <v>0</v>
          </cell>
          <cell r="AB133">
            <v>855</v>
          </cell>
          <cell r="AC133">
            <v>0</v>
          </cell>
          <cell r="AD133">
            <v>0</v>
          </cell>
          <cell r="AE133">
            <v>0</v>
          </cell>
          <cell r="AF133">
            <v>3190</v>
          </cell>
          <cell r="AG133">
            <v>0</v>
          </cell>
          <cell r="AH133">
            <v>0</v>
          </cell>
          <cell r="AI133">
            <v>495</v>
          </cell>
          <cell r="AJ133">
            <v>0</v>
          </cell>
          <cell r="AK133">
            <v>285</v>
          </cell>
          <cell r="AL133">
            <v>0</v>
          </cell>
          <cell r="AM133">
            <v>0</v>
          </cell>
          <cell r="AN133">
            <v>0</v>
          </cell>
          <cell r="AO133">
            <v>2395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15</v>
          </cell>
          <cell r="AY133">
            <v>0</v>
          </cell>
          <cell r="AZ133">
            <v>0</v>
          </cell>
          <cell r="BA133">
            <v>152008</v>
          </cell>
          <cell r="BB133">
            <v>285</v>
          </cell>
          <cell r="BC133">
            <v>151723</v>
          </cell>
        </row>
        <row r="134">
          <cell r="C134" t="str">
            <v>SYR110</v>
          </cell>
          <cell r="D134">
            <v>34560</v>
          </cell>
          <cell r="E134">
            <v>33030</v>
          </cell>
          <cell r="F134">
            <v>30</v>
          </cell>
          <cell r="G134">
            <v>30</v>
          </cell>
          <cell r="H134">
            <v>0</v>
          </cell>
          <cell r="I134">
            <v>330</v>
          </cell>
          <cell r="J134">
            <v>1170</v>
          </cell>
          <cell r="K134">
            <v>720</v>
          </cell>
          <cell r="L134">
            <v>15</v>
          </cell>
          <cell r="M134">
            <v>0</v>
          </cell>
          <cell r="N134">
            <v>0</v>
          </cell>
          <cell r="O134">
            <v>15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345</v>
          </cell>
          <cell r="X134">
            <v>25</v>
          </cell>
          <cell r="Y134">
            <v>205</v>
          </cell>
          <cell r="Z134">
            <v>0</v>
          </cell>
          <cell r="AA134">
            <v>0</v>
          </cell>
          <cell r="AB134">
            <v>115</v>
          </cell>
          <cell r="AC134">
            <v>0</v>
          </cell>
          <cell r="AD134">
            <v>0</v>
          </cell>
          <cell r="AE134">
            <v>0</v>
          </cell>
          <cell r="AF134">
            <v>90</v>
          </cell>
          <cell r="AG134">
            <v>0</v>
          </cell>
          <cell r="AH134">
            <v>0</v>
          </cell>
          <cell r="AI134">
            <v>60</v>
          </cell>
          <cell r="AJ134">
            <v>0</v>
          </cell>
          <cell r="AK134">
            <v>30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43795</v>
          </cell>
          <cell r="BB134">
            <v>60</v>
          </cell>
          <cell r="BC134">
            <v>43735</v>
          </cell>
        </row>
        <row r="135">
          <cell r="C135" t="str">
            <v>NBL INJ-MIXING</v>
          </cell>
          <cell r="D135">
            <v>34560</v>
          </cell>
          <cell r="E135">
            <v>26180</v>
          </cell>
          <cell r="F135">
            <v>335</v>
          </cell>
          <cell r="G135">
            <v>0</v>
          </cell>
          <cell r="H135">
            <v>335</v>
          </cell>
          <cell r="I135">
            <v>0</v>
          </cell>
          <cell r="J135">
            <v>8045</v>
          </cell>
          <cell r="K135">
            <v>2721</v>
          </cell>
          <cell r="L135">
            <v>205</v>
          </cell>
          <cell r="M135">
            <v>205</v>
          </cell>
          <cell r="N135">
            <v>0</v>
          </cell>
          <cell r="O135">
            <v>0</v>
          </cell>
          <cell r="P135">
            <v>0</v>
          </cell>
          <cell r="Q135">
            <v>50</v>
          </cell>
          <cell r="R135">
            <v>0</v>
          </cell>
          <cell r="S135">
            <v>0</v>
          </cell>
          <cell r="T135">
            <v>0</v>
          </cell>
          <cell r="U135">
            <v>50</v>
          </cell>
          <cell r="V135">
            <v>0</v>
          </cell>
          <cell r="W135">
            <v>2789</v>
          </cell>
          <cell r="X135">
            <v>478</v>
          </cell>
          <cell r="Y135">
            <v>2163</v>
          </cell>
          <cell r="Z135">
            <v>0</v>
          </cell>
          <cell r="AA135">
            <v>148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2280</v>
          </cell>
          <cell r="AG135">
            <v>0</v>
          </cell>
          <cell r="AH135">
            <v>0</v>
          </cell>
          <cell r="AI135">
            <v>490</v>
          </cell>
          <cell r="AJ135">
            <v>0</v>
          </cell>
          <cell r="AK135">
            <v>450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10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1330</v>
          </cell>
          <cell r="AX135">
            <v>0</v>
          </cell>
          <cell r="AY135">
            <v>0</v>
          </cell>
          <cell r="AZ135">
            <v>0</v>
          </cell>
          <cell r="BA135">
            <v>1252</v>
          </cell>
          <cell r="BB135">
            <v>0</v>
          </cell>
          <cell r="BC135">
            <v>1252</v>
          </cell>
        </row>
        <row r="136">
          <cell r="C136" t="str">
            <v>LMIXINJ1</v>
          </cell>
          <cell r="D136">
            <v>34560</v>
          </cell>
          <cell r="E136">
            <v>26180</v>
          </cell>
          <cell r="F136">
            <v>335</v>
          </cell>
          <cell r="G136">
            <v>0</v>
          </cell>
          <cell r="H136">
            <v>335</v>
          </cell>
          <cell r="I136">
            <v>0</v>
          </cell>
          <cell r="J136">
            <v>8045</v>
          </cell>
          <cell r="K136">
            <v>2721</v>
          </cell>
          <cell r="L136">
            <v>205</v>
          </cell>
          <cell r="M136">
            <v>205</v>
          </cell>
          <cell r="N136">
            <v>0</v>
          </cell>
          <cell r="O136">
            <v>0</v>
          </cell>
          <cell r="P136">
            <v>0</v>
          </cell>
          <cell r="Q136">
            <v>50</v>
          </cell>
          <cell r="R136">
            <v>0</v>
          </cell>
          <cell r="S136">
            <v>0</v>
          </cell>
          <cell r="T136">
            <v>0</v>
          </cell>
          <cell r="U136">
            <v>50</v>
          </cell>
          <cell r="V136">
            <v>0</v>
          </cell>
          <cell r="W136">
            <v>2789</v>
          </cell>
          <cell r="X136">
            <v>478</v>
          </cell>
          <cell r="Y136">
            <v>2163</v>
          </cell>
          <cell r="Z136">
            <v>0</v>
          </cell>
          <cell r="AA136">
            <v>148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2280</v>
          </cell>
          <cell r="AG136">
            <v>0</v>
          </cell>
          <cell r="AH136">
            <v>0</v>
          </cell>
          <cell r="AI136">
            <v>490</v>
          </cell>
          <cell r="AJ136">
            <v>0</v>
          </cell>
          <cell r="AK136">
            <v>450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10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1330</v>
          </cell>
          <cell r="AX136">
            <v>0</v>
          </cell>
          <cell r="AY136">
            <v>0</v>
          </cell>
          <cell r="AZ136">
            <v>0</v>
          </cell>
          <cell r="BA136">
            <v>1252</v>
          </cell>
          <cell r="BB136">
            <v>0</v>
          </cell>
          <cell r="BC136">
            <v>1252</v>
          </cell>
        </row>
        <row r="137">
          <cell r="C137" t="str">
            <v>NBL INJ-FILLING</v>
          </cell>
          <cell r="D137">
            <v>69120</v>
          </cell>
          <cell r="E137">
            <v>42030</v>
          </cell>
          <cell r="F137">
            <v>2630</v>
          </cell>
          <cell r="G137">
            <v>235</v>
          </cell>
          <cell r="H137">
            <v>2395</v>
          </cell>
          <cell r="I137">
            <v>0</v>
          </cell>
          <cell r="J137">
            <v>24460</v>
          </cell>
          <cell r="K137">
            <v>8442</v>
          </cell>
          <cell r="L137">
            <v>3044</v>
          </cell>
          <cell r="M137">
            <v>2748</v>
          </cell>
          <cell r="N137">
            <v>142</v>
          </cell>
          <cell r="O137">
            <v>154</v>
          </cell>
          <cell r="P137">
            <v>0</v>
          </cell>
          <cell r="Q137">
            <v>64</v>
          </cell>
          <cell r="R137">
            <v>0</v>
          </cell>
          <cell r="S137">
            <v>57</v>
          </cell>
          <cell r="T137">
            <v>0</v>
          </cell>
          <cell r="U137">
            <v>7</v>
          </cell>
          <cell r="V137">
            <v>0</v>
          </cell>
          <cell r="W137">
            <v>6192</v>
          </cell>
          <cell r="X137">
            <v>925</v>
          </cell>
          <cell r="Y137">
            <v>5267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6718</v>
          </cell>
          <cell r="AG137">
            <v>0</v>
          </cell>
          <cell r="AH137">
            <v>0</v>
          </cell>
          <cell r="AI137">
            <v>1685</v>
          </cell>
          <cell r="AJ137">
            <v>20</v>
          </cell>
          <cell r="AK137">
            <v>1865</v>
          </cell>
          <cell r="AL137">
            <v>0</v>
          </cell>
          <cell r="AM137">
            <v>0</v>
          </cell>
          <cell r="AN137">
            <v>90</v>
          </cell>
          <cell r="AO137">
            <v>127</v>
          </cell>
          <cell r="AP137">
            <v>375</v>
          </cell>
          <cell r="AQ137">
            <v>0</v>
          </cell>
          <cell r="AR137">
            <v>0</v>
          </cell>
          <cell r="AS137">
            <v>2526</v>
          </cell>
          <cell r="AT137">
            <v>0</v>
          </cell>
          <cell r="AU137">
            <v>0</v>
          </cell>
          <cell r="AV137">
            <v>0</v>
          </cell>
          <cell r="AW137">
            <v>30</v>
          </cell>
          <cell r="AX137">
            <v>0</v>
          </cell>
          <cell r="AY137">
            <v>0</v>
          </cell>
          <cell r="AZ137">
            <v>0</v>
          </cell>
          <cell r="BA137">
            <v>982064</v>
          </cell>
          <cell r="BB137">
            <v>53</v>
          </cell>
          <cell r="BC137">
            <v>982011</v>
          </cell>
        </row>
        <row r="138">
          <cell r="C138" t="str">
            <v>GINLINE3</v>
          </cell>
          <cell r="D138">
            <v>34560</v>
          </cell>
          <cell r="E138">
            <v>22350</v>
          </cell>
          <cell r="F138">
            <v>1540</v>
          </cell>
          <cell r="G138">
            <v>215</v>
          </cell>
          <cell r="H138">
            <v>1325</v>
          </cell>
          <cell r="I138">
            <v>0</v>
          </cell>
          <cell r="J138">
            <v>10670</v>
          </cell>
          <cell r="K138">
            <v>2346</v>
          </cell>
          <cell r="L138">
            <v>1521</v>
          </cell>
          <cell r="M138">
            <v>1345</v>
          </cell>
          <cell r="N138">
            <v>142</v>
          </cell>
          <cell r="O138">
            <v>34</v>
          </cell>
          <cell r="P138">
            <v>0</v>
          </cell>
          <cell r="Q138">
            <v>50</v>
          </cell>
          <cell r="R138">
            <v>0</v>
          </cell>
          <cell r="S138">
            <v>43</v>
          </cell>
          <cell r="T138">
            <v>0</v>
          </cell>
          <cell r="U138">
            <v>7</v>
          </cell>
          <cell r="V138">
            <v>0</v>
          </cell>
          <cell r="W138">
            <v>3046</v>
          </cell>
          <cell r="X138">
            <v>815</v>
          </cell>
          <cell r="Y138">
            <v>2231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3707</v>
          </cell>
          <cell r="AG138">
            <v>0</v>
          </cell>
          <cell r="AH138">
            <v>0</v>
          </cell>
          <cell r="AI138">
            <v>750</v>
          </cell>
          <cell r="AJ138">
            <v>0</v>
          </cell>
          <cell r="AK138">
            <v>765</v>
          </cell>
          <cell r="AL138">
            <v>0</v>
          </cell>
          <cell r="AM138">
            <v>0</v>
          </cell>
          <cell r="AN138">
            <v>0</v>
          </cell>
          <cell r="AO138">
            <v>127</v>
          </cell>
          <cell r="AP138">
            <v>285</v>
          </cell>
          <cell r="AQ138">
            <v>0</v>
          </cell>
          <cell r="AR138">
            <v>0</v>
          </cell>
          <cell r="AS138">
            <v>1750</v>
          </cell>
          <cell r="AT138">
            <v>0</v>
          </cell>
          <cell r="AU138">
            <v>0</v>
          </cell>
          <cell r="AV138">
            <v>0</v>
          </cell>
          <cell r="AW138">
            <v>30</v>
          </cell>
          <cell r="AX138">
            <v>0</v>
          </cell>
          <cell r="AY138">
            <v>0</v>
          </cell>
          <cell r="AZ138">
            <v>0</v>
          </cell>
          <cell r="BA138">
            <v>479069</v>
          </cell>
          <cell r="BB138">
            <v>0</v>
          </cell>
          <cell r="BC138">
            <v>479069</v>
          </cell>
        </row>
        <row r="139">
          <cell r="C139" t="str">
            <v>GINLINE4</v>
          </cell>
          <cell r="D139">
            <v>34560</v>
          </cell>
          <cell r="E139">
            <v>19680</v>
          </cell>
          <cell r="F139">
            <v>1090</v>
          </cell>
          <cell r="G139">
            <v>20</v>
          </cell>
          <cell r="H139">
            <v>1070</v>
          </cell>
          <cell r="I139">
            <v>0</v>
          </cell>
          <cell r="J139">
            <v>13790</v>
          </cell>
          <cell r="K139">
            <v>6096</v>
          </cell>
          <cell r="L139">
            <v>1523</v>
          </cell>
          <cell r="M139">
            <v>1403</v>
          </cell>
          <cell r="N139">
            <v>0</v>
          </cell>
          <cell r="O139">
            <v>120</v>
          </cell>
          <cell r="P139">
            <v>0</v>
          </cell>
          <cell r="Q139">
            <v>14</v>
          </cell>
          <cell r="R139">
            <v>0</v>
          </cell>
          <cell r="S139">
            <v>14</v>
          </cell>
          <cell r="T139">
            <v>0</v>
          </cell>
          <cell r="U139">
            <v>0</v>
          </cell>
          <cell r="V139">
            <v>0</v>
          </cell>
          <cell r="W139">
            <v>3146</v>
          </cell>
          <cell r="X139">
            <v>110</v>
          </cell>
          <cell r="Y139">
            <v>3036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3011</v>
          </cell>
          <cell r="AG139">
            <v>0</v>
          </cell>
          <cell r="AH139">
            <v>0</v>
          </cell>
          <cell r="AI139">
            <v>935</v>
          </cell>
          <cell r="AJ139">
            <v>20</v>
          </cell>
          <cell r="AK139">
            <v>1100</v>
          </cell>
          <cell r="AL139">
            <v>0</v>
          </cell>
          <cell r="AM139">
            <v>0</v>
          </cell>
          <cell r="AN139">
            <v>90</v>
          </cell>
          <cell r="AO139">
            <v>0</v>
          </cell>
          <cell r="AP139">
            <v>90</v>
          </cell>
          <cell r="AQ139">
            <v>0</v>
          </cell>
          <cell r="AR139">
            <v>0</v>
          </cell>
          <cell r="AS139">
            <v>776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502995</v>
          </cell>
          <cell r="BB139">
            <v>53</v>
          </cell>
          <cell r="BC139">
            <v>502942</v>
          </cell>
        </row>
        <row r="140">
          <cell r="C140" t="str">
            <v>NBL INJ-STERILIZATION</v>
          </cell>
          <cell r="D140">
            <v>103680</v>
          </cell>
          <cell r="E140">
            <v>59691</v>
          </cell>
          <cell r="F140">
            <v>4516</v>
          </cell>
          <cell r="G140">
            <v>543</v>
          </cell>
          <cell r="H140">
            <v>3973</v>
          </cell>
          <cell r="I140">
            <v>0</v>
          </cell>
          <cell r="J140">
            <v>39473</v>
          </cell>
          <cell r="K140">
            <v>18367</v>
          </cell>
          <cell r="L140">
            <v>1642</v>
          </cell>
          <cell r="M140">
            <v>1597</v>
          </cell>
          <cell r="N140">
            <v>0</v>
          </cell>
          <cell r="O140">
            <v>45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9158</v>
          </cell>
          <cell r="X140">
            <v>7271</v>
          </cell>
          <cell r="Y140">
            <v>1226</v>
          </cell>
          <cell r="Z140">
            <v>40</v>
          </cell>
          <cell r="AA140">
            <v>30</v>
          </cell>
          <cell r="AB140">
            <v>591</v>
          </cell>
          <cell r="AC140">
            <v>0</v>
          </cell>
          <cell r="AD140">
            <v>0</v>
          </cell>
          <cell r="AE140">
            <v>0</v>
          </cell>
          <cell r="AF140">
            <v>10306</v>
          </cell>
          <cell r="AG140">
            <v>40</v>
          </cell>
          <cell r="AH140">
            <v>0</v>
          </cell>
          <cell r="AI140">
            <v>1112</v>
          </cell>
          <cell r="AJ140">
            <v>30</v>
          </cell>
          <cell r="AK140">
            <v>684</v>
          </cell>
          <cell r="AL140">
            <v>1732</v>
          </cell>
          <cell r="AM140">
            <v>0</v>
          </cell>
          <cell r="AN140">
            <v>0</v>
          </cell>
          <cell r="AO140">
            <v>6351</v>
          </cell>
          <cell r="AP140">
            <v>357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1396</v>
          </cell>
          <cell r="BB140">
            <v>0</v>
          </cell>
          <cell r="BC140">
            <v>1396</v>
          </cell>
        </row>
        <row r="141">
          <cell r="C141" t="str">
            <v>INJ105</v>
          </cell>
          <cell r="D141">
            <v>34560</v>
          </cell>
          <cell r="E141">
            <v>16823</v>
          </cell>
          <cell r="F141">
            <v>1792</v>
          </cell>
          <cell r="G141">
            <v>255</v>
          </cell>
          <cell r="H141">
            <v>1537</v>
          </cell>
          <cell r="I141">
            <v>0</v>
          </cell>
          <cell r="J141">
            <v>15945</v>
          </cell>
          <cell r="K141">
            <v>7598</v>
          </cell>
          <cell r="L141">
            <v>602</v>
          </cell>
          <cell r="M141">
            <v>602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2693</v>
          </cell>
          <cell r="X141">
            <v>1854</v>
          </cell>
          <cell r="Y141">
            <v>734</v>
          </cell>
          <cell r="Z141">
            <v>0</v>
          </cell>
          <cell r="AA141">
            <v>0</v>
          </cell>
          <cell r="AB141">
            <v>105</v>
          </cell>
          <cell r="AC141">
            <v>0</v>
          </cell>
          <cell r="AD141">
            <v>0</v>
          </cell>
          <cell r="AE141">
            <v>0</v>
          </cell>
          <cell r="AF141">
            <v>5052</v>
          </cell>
          <cell r="AG141">
            <v>0</v>
          </cell>
          <cell r="AH141">
            <v>0</v>
          </cell>
          <cell r="AI141">
            <v>248</v>
          </cell>
          <cell r="AJ141">
            <v>0</v>
          </cell>
          <cell r="AK141">
            <v>133</v>
          </cell>
          <cell r="AL141">
            <v>0</v>
          </cell>
          <cell r="AM141">
            <v>0</v>
          </cell>
          <cell r="AN141">
            <v>0</v>
          </cell>
          <cell r="AO141">
            <v>4671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766</v>
          </cell>
          <cell r="BB141">
            <v>0</v>
          </cell>
          <cell r="BC141">
            <v>766</v>
          </cell>
        </row>
        <row r="142">
          <cell r="C142" t="str">
            <v>INJ106</v>
          </cell>
          <cell r="D142">
            <v>34560</v>
          </cell>
          <cell r="E142">
            <v>18713</v>
          </cell>
          <cell r="F142">
            <v>829</v>
          </cell>
          <cell r="G142">
            <v>253</v>
          </cell>
          <cell r="H142">
            <v>576</v>
          </cell>
          <cell r="I142">
            <v>0</v>
          </cell>
          <cell r="J142">
            <v>15018</v>
          </cell>
          <cell r="K142">
            <v>9598</v>
          </cell>
          <cell r="L142">
            <v>398</v>
          </cell>
          <cell r="M142">
            <v>398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4446</v>
          </cell>
          <cell r="X142">
            <v>4163</v>
          </cell>
          <cell r="Y142">
            <v>252</v>
          </cell>
          <cell r="Z142">
            <v>0</v>
          </cell>
          <cell r="AA142">
            <v>0</v>
          </cell>
          <cell r="AB142">
            <v>31</v>
          </cell>
          <cell r="AC142">
            <v>0</v>
          </cell>
          <cell r="AD142">
            <v>0</v>
          </cell>
          <cell r="AE142">
            <v>0</v>
          </cell>
          <cell r="AF142">
            <v>576</v>
          </cell>
          <cell r="AG142">
            <v>0</v>
          </cell>
          <cell r="AH142">
            <v>0</v>
          </cell>
          <cell r="AI142">
            <v>392</v>
          </cell>
          <cell r="AJ142">
            <v>0</v>
          </cell>
          <cell r="AK142">
            <v>177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7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607</v>
          </cell>
          <cell r="BB142">
            <v>0</v>
          </cell>
          <cell r="BC142">
            <v>607</v>
          </cell>
        </row>
        <row r="143">
          <cell r="C143" t="str">
            <v>INJ107</v>
          </cell>
          <cell r="D143">
            <v>34560</v>
          </cell>
          <cell r="E143">
            <v>24155</v>
          </cell>
          <cell r="F143">
            <v>1895</v>
          </cell>
          <cell r="G143">
            <v>35</v>
          </cell>
          <cell r="H143">
            <v>1860</v>
          </cell>
          <cell r="I143">
            <v>0</v>
          </cell>
          <cell r="J143">
            <v>8510</v>
          </cell>
          <cell r="K143">
            <v>1171</v>
          </cell>
          <cell r="L143">
            <v>642</v>
          </cell>
          <cell r="M143">
            <v>597</v>
          </cell>
          <cell r="N143">
            <v>0</v>
          </cell>
          <cell r="O143">
            <v>45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2019</v>
          </cell>
          <cell r="X143">
            <v>1254</v>
          </cell>
          <cell r="Y143">
            <v>240</v>
          </cell>
          <cell r="Z143">
            <v>40</v>
          </cell>
          <cell r="AA143">
            <v>30</v>
          </cell>
          <cell r="AB143">
            <v>455</v>
          </cell>
          <cell r="AC143">
            <v>0</v>
          </cell>
          <cell r="AD143">
            <v>0</v>
          </cell>
          <cell r="AE143">
            <v>0</v>
          </cell>
          <cell r="AF143">
            <v>4678</v>
          </cell>
          <cell r="AG143">
            <v>40</v>
          </cell>
          <cell r="AH143">
            <v>0</v>
          </cell>
          <cell r="AI143">
            <v>472</v>
          </cell>
          <cell r="AJ143">
            <v>30</v>
          </cell>
          <cell r="AK143">
            <v>374</v>
          </cell>
          <cell r="AL143">
            <v>1732</v>
          </cell>
          <cell r="AM143">
            <v>0</v>
          </cell>
          <cell r="AN143">
            <v>0</v>
          </cell>
          <cell r="AO143">
            <v>1680</v>
          </cell>
          <cell r="AP143">
            <v>350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23</v>
          </cell>
          <cell r="BB143">
            <v>0</v>
          </cell>
          <cell r="BC143">
            <v>23</v>
          </cell>
        </row>
        <row r="144">
          <cell r="C144" t="str">
            <v>NBL SECONDARY PACKING</v>
          </cell>
          <cell r="D144">
            <v>207360</v>
          </cell>
          <cell r="E144">
            <v>157770</v>
          </cell>
          <cell r="F144">
            <v>7265</v>
          </cell>
          <cell r="G144">
            <v>1055</v>
          </cell>
          <cell r="H144">
            <v>6210</v>
          </cell>
          <cell r="I144">
            <v>0</v>
          </cell>
          <cell r="J144">
            <v>42325</v>
          </cell>
          <cell r="K144">
            <v>26590</v>
          </cell>
          <cell r="L144">
            <v>3225</v>
          </cell>
          <cell r="M144">
            <v>1656</v>
          </cell>
          <cell r="N144">
            <v>122</v>
          </cell>
          <cell r="O144">
            <v>823</v>
          </cell>
          <cell r="P144">
            <v>624</v>
          </cell>
          <cell r="Q144">
            <v>252</v>
          </cell>
          <cell r="R144">
            <v>110</v>
          </cell>
          <cell r="S144">
            <v>142</v>
          </cell>
          <cell r="T144">
            <v>0</v>
          </cell>
          <cell r="U144">
            <v>0</v>
          </cell>
          <cell r="V144">
            <v>0</v>
          </cell>
          <cell r="W144">
            <v>3517</v>
          </cell>
          <cell r="X144">
            <v>1295</v>
          </cell>
          <cell r="Y144">
            <v>1909</v>
          </cell>
          <cell r="Z144">
            <v>0</v>
          </cell>
          <cell r="AA144">
            <v>0</v>
          </cell>
          <cell r="AB144">
            <v>313</v>
          </cell>
          <cell r="AC144">
            <v>0</v>
          </cell>
          <cell r="AD144">
            <v>0</v>
          </cell>
          <cell r="AE144">
            <v>0</v>
          </cell>
          <cell r="AF144">
            <v>8741</v>
          </cell>
          <cell r="AG144">
            <v>0</v>
          </cell>
          <cell r="AH144">
            <v>485</v>
          </cell>
          <cell r="AI144">
            <v>2485</v>
          </cell>
          <cell r="AJ144">
            <v>0</v>
          </cell>
          <cell r="AK144">
            <v>1485</v>
          </cell>
          <cell r="AL144">
            <v>780</v>
          </cell>
          <cell r="AM144">
            <v>110</v>
          </cell>
          <cell r="AN144">
            <v>0</v>
          </cell>
          <cell r="AO144">
            <v>1010</v>
          </cell>
          <cell r="AP144">
            <v>795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1591</v>
          </cell>
          <cell r="AX144">
            <v>0</v>
          </cell>
          <cell r="AY144">
            <v>0</v>
          </cell>
          <cell r="AZ144">
            <v>0</v>
          </cell>
          <cell r="BA144">
            <v>1349527</v>
          </cell>
          <cell r="BB144">
            <v>200</v>
          </cell>
          <cell r="BC144">
            <v>1349327</v>
          </cell>
        </row>
        <row r="145">
          <cell r="C145" t="str">
            <v>PAK101</v>
          </cell>
          <cell r="D145">
            <v>34560</v>
          </cell>
          <cell r="E145">
            <v>19020</v>
          </cell>
          <cell r="F145">
            <v>420</v>
          </cell>
          <cell r="G145">
            <v>330</v>
          </cell>
          <cell r="H145">
            <v>90</v>
          </cell>
          <cell r="I145">
            <v>0</v>
          </cell>
          <cell r="J145">
            <v>15120</v>
          </cell>
          <cell r="K145">
            <v>10836</v>
          </cell>
          <cell r="L145">
            <v>348</v>
          </cell>
          <cell r="M145">
            <v>348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1222</v>
          </cell>
          <cell r="X145">
            <v>364</v>
          </cell>
          <cell r="Y145">
            <v>768</v>
          </cell>
          <cell r="Z145">
            <v>0</v>
          </cell>
          <cell r="AA145">
            <v>0</v>
          </cell>
          <cell r="AB145">
            <v>90</v>
          </cell>
          <cell r="AC145">
            <v>0</v>
          </cell>
          <cell r="AD145">
            <v>0</v>
          </cell>
          <cell r="AE145">
            <v>0</v>
          </cell>
          <cell r="AF145">
            <v>2714</v>
          </cell>
          <cell r="AG145">
            <v>0</v>
          </cell>
          <cell r="AH145">
            <v>135</v>
          </cell>
          <cell r="AI145">
            <v>935</v>
          </cell>
          <cell r="AJ145">
            <v>0</v>
          </cell>
          <cell r="AK145">
            <v>600</v>
          </cell>
          <cell r="AL145">
            <v>0</v>
          </cell>
          <cell r="AM145">
            <v>45</v>
          </cell>
          <cell r="AN145">
            <v>0</v>
          </cell>
          <cell r="AO145">
            <v>15</v>
          </cell>
          <cell r="AP145">
            <v>291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693</v>
          </cell>
          <cell r="AX145">
            <v>0</v>
          </cell>
          <cell r="AY145">
            <v>0</v>
          </cell>
          <cell r="AZ145">
            <v>0</v>
          </cell>
          <cell r="BA145">
            <v>360292</v>
          </cell>
          <cell r="BB145">
            <v>74</v>
          </cell>
          <cell r="BC145">
            <v>360218</v>
          </cell>
        </row>
        <row r="146">
          <cell r="C146" t="str">
            <v>PAK103</v>
          </cell>
          <cell r="D146">
            <v>34560</v>
          </cell>
          <cell r="E146">
            <v>20760</v>
          </cell>
          <cell r="F146">
            <v>1220</v>
          </cell>
          <cell r="G146">
            <v>285</v>
          </cell>
          <cell r="H146">
            <v>935</v>
          </cell>
          <cell r="I146">
            <v>0</v>
          </cell>
          <cell r="J146">
            <v>12580</v>
          </cell>
          <cell r="K146">
            <v>8885</v>
          </cell>
          <cell r="L146">
            <v>239</v>
          </cell>
          <cell r="M146">
            <v>239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799</v>
          </cell>
          <cell r="X146">
            <v>214</v>
          </cell>
          <cell r="Y146">
            <v>525</v>
          </cell>
          <cell r="Z146">
            <v>0</v>
          </cell>
          <cell r="AA146">
            <v>0</v>
          </cell>
          <cell r="AB146">
            <v>60</v>
          </cell>
          <cell r="AC146">
            <v>0</v>
          </cell>
          <cell r="AD146">
            <v>0</v>
          </cell>
          <cell r="AE146">
            <v>0</v>
          </cell>
          <cell r="AF146">
            <v>2657</v>
          </cell>
          <cell r="AG146">
            <v>0</v>
          </cell>
          <cell r="AH146">
            <v>350</v>
          </cell>
          <cell r="AI146">
            <v>715</v>
          </cell>
          <cell r="AJ146">
            <v>0</v>
          </cell>
          <cell r="AK146">
            <v>420</v>
          </cell>
          <cell r="AL146">
            <v>330</v>
          </cell>
          <cell r="AM146">
            <v>55</v>
          </cell>
          <cell r="AN146">
            <v>0</v>
          </cell>
          <cell r="AO146">
            <v>15</v>
          </cell>
          <cell r="AP146">
            <v>189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583</v>
          </cell>
          <cell r="AX146">
            <v>0</v>
          </cell>
          <cell r="AY146">
            <v>0</v>
          </cell>
          <cell r="AZ146">
            <v>0</v>
          </cell>
          <cell r="BA146">
            <v>375797</v>
          </cell>
          <cell r="BB146">
            <v>88</v>
          </cell>
          <cell r="BC146">
            <v>375709</v>
          </cell>
        </row>
        <row r="147">
          <cell r="C147" t="str">
            <v>PAK105</v>
          </cell>
          <cell r="D147">
            <v>34560</v>
          </cell>
          <cell r="E147">
            <v>22890</v>
          </cell>
          <cell r="F147">
            <v>3840</v>
          </cell>
          <cell r="G147">
            <v>60</v>
          </cell>
          <cell r="H147">
            <v>3780</v>
          </cell>
          <cell r="I147">
            <v>0</v>
          </cell>
          <cell r="J147">
            <v>7830</v>
          </cell>
          <cell r="K147">
            <v>3735</v>
          </cell>
          <cell r="L147">
            <v>1407</v>
          </cell>
          <cell r="M147">
            <v>625</v>
          </cell>
          <cell r="N147">
            <v>0</v>
          </cell>
          <cell r="O147">
            <v>635</v>
          </cell>
          <cell r="P147">
            <v>147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318</v>
          </cell>
          <cell r="X147">
            <v>85</v>
          </cell>
          <cell r="Y147">
            <v>233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2370</v>
          </cell>
          <cell r="AG147">
            <v>0</v>
          </cell>
          <cell r="AH147">
            <v>0</v>
          </cell>
          <cell r="AI147">
            <v>420</v>
          </cell>
          <cell r="AJ147">
            <v>0</v>
          </cell>
          <cell r="AK147">
            <v>210</v>
          </cell>
          <cell r="AL147">
            <v>450</v>
          </cell>
          <cell r="AM147">
            <v>0</v>
          </cell>
          <cell r="AN147">
            <v>0</v>
          </cell>
          <cell r="AO147">
            <v>965</v>
          </cell>
          <cell r="AP147">
            <v>150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175</v>
          </cell>
          <cell r="AX147">
            <v>0</v>
          </cell>
          <cell r="AY147">
            <v>0</v>
          </cell>
          <cell r="AZ147">
            <v>0</v>
          </cell>
          <cell r="BA147">
            <v>241866</v>
          </cell>
          <cell r="BB147">
            <v>0</v>
          </cell>
          <cell r="BC147">
            <v>241866</v>
          </cell>
        </row>
        <row r="148">
          <cell r="C148" t="str">
            <v>PAK102</v>
          </cell>
          <cell r="D148">
            <v>34560</v>
          </cell>
          <cell r="E148">
            <v>34560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/>
          <cell r="K148"/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/>
          <cell r="BB148"/>
          <cell r="BC148"/>
        </row>
        <row r="149">
          <cell r="C149" t="str">
            <v>PAK104</v>
          </cell>
          <cell r="D149">
            <v>34560</v>
          </cell>
          <cell r="E149">
            <v>34560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/>
          <cell r="K149"/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/>
          <cell r="BB149"/>
          <cell r="BC149"/>
        </row>
        <row r="150">
          <cell r="C150" t="str">
            <v>PAK111</v>
          </cell>
          <cell r="D150">
            <v>34560</v>
          </cell>
          <cell r="E150">
            <v>25980</v>
          </cell>
          <cell r="F150">
            <v>1785</v>
          </cell>
          <cell r="G150">
            <v>380</v>
          </cell>
          <cell r="H150">
            <v>1405</v>
          </cell>
          <cell r="I150">
            <v>0</v>
          </cell>
          <cell r="J150">
            <v>6795</v>
          </cell>
          <cell r="K150">
            <v>3134</v>
          </cell>
          <cell r="L150">
            <v>1231</v>
          </cell>
          <cell r="M150">
            <v>444</v>
          </cell>
          <cell r="N150">
            <v>122</v>
          </cell>
          <cell r="O150">
            <v>188</v>
          </cell>
          <cell r="P150">
            <v>477</v>
          </cell>
          <cell r="Q150">
            <v>252</v>
          </cell>
          <cell r="R150">
            <v>110</v>
          </cell>
          <cell r="S150">
            <v>142</v>
          </cell>
          <cell r="T150">
            <v>0</v>
          </cell>
          <cell r="U150">
            <v>0</v>
          </cell>
          <cell r="V150">
            <v>0</v>
          </cell>
          <cell r="W150">
            <v>1178</v>
          </cell>
          <cell r="X150">
            <v>632</v>
          </cell>
          <cell r="Y150">
            <v>383</v>
          </cell>
          <cell r="Z150">
            <v>0</v>
          </cell>
          <cell r="AA150">
            <v>0</v>
          </cell>
          <cell r="AB150">
            <v>163</v>
          </cell>
          <cell r="AC150">
            <v>0</v>
          </cell>
          <cell r="AD150">
            <v>0</v>
          </cell>
          <cell r="AE150">
            <v>0</v>
          </cell>
          <cell r="AF150">
            <v>1000</v>
          </cell>
          <cell r="AG150">
            <v>0</v>
          </cell>
          <cell r="AH150">
            <v>0</v>
          </cell>
          <cell r="AI150">
            <v>415</v>
          </cell>
          <cell r="AJ150">
            <v>0</v>
          </cell>
          <cell r="AK150">
            <v>255</v>
          </cell>
          <cell r="AL150">
            <v>0</v>
          </cell>
          <cell r="AM150">
            <v>10</v>
          </cell>
          <cell r="AN150">
            <v>0</v>
          </cell>
          <cell r="AO150">
            <v>15</v>
          </cell>
          <cell r="AP150">
            <v>165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140</v>
          </cell>
          <cell r="AX150">
            <v>0</v>
          </cell>
          <cell r="AY150">
            <v>0</v>
          </cell>
          <cell r="AZ150">
            <v>0</v>
          </cell>
          <cell r="BA150">
            <v>371572</v>
          </cell>
          <cell r="BB150">
            <v>38</v>
          </cell>
          <cell r="BC150">
            <v>371534</v>
          </cell>
        </row>
        <row r="151">
          <cell r="C151" t="str">
            <v>CPH SOL-MIXING</v>
          </cell>
          <cell r="D151">
            <v>34560</v>
          </cell>
          <cell r="E151">
            <v>33060</v>
          </cell>
          <cell r="F151">
            <v>705</v>
          </cell>
          <cell r="G151">
            <v>0</v>
          </cell>
          <cell r="H151">
            <v>705</v>
          </cell>
          <cell r="I151">
            <v>0</v>
          </cell>
          <cell r="J151">
            <v>795</v>
          </cell>
          <cell r="K151">
            <v>63</v>
          </cell>
          <cell r="L151">
            <v>35</v>
          </cell>
          <cell r="M151">
            <v>20</v>
          </cell>
          <cell r="N151">
            <v>15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311</v>
          </cell>
          <cell r="X151">
            <v>122</v>
          </cell>
          <cell r="Y151">
            <v>149</v>
          </cell>
          <cell r="Z151">
            <v>0</v>
          </cell>
          <cell r="AA151">
            <v>0</v>
          </cell>
          <cell r="AB151">
            <v>40</v>
          </cell>
          <cell r="AC151">
            <v>0</v>
          </cell>
          <cell r="AD151">
            <v>0</v>
          </cell>
          <cell r="AE151">
            <v>0</v>
          </cell>
          <cell r="AF151">
            <v>386</v>
          </cell>
          <cell r="AG151">
            <v>255</v>
          </cell>
          <cell r="AH151">
            <v>0</v>
          </cell>
          <cell r="AI151">
            <v>60</v>
          </cell>
          <cell r="AJ151">
            <v>0</v>
          </cell>
          <cell r="AK151">
            <v>30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41</v>
          </cell>
          <cell r="AX151">
            <v>0</v>
          </cell>
          <cell r="AY151">
            <v>0</v>
          </cell>
          <cell r="AZ151">
            <v>0</v>
          </cell>
          <cell r="BA151">
            <v>426.67</v>
          </cell>
          <cell r="BB151">
            <v>1.07</v>
          </cell>
          <cell r="BC151">
            <v>425.6</v>
          </cell>
        </row>
        <row r="152">
          <cell r="C152" t="str">
            <v>MCF101</v>
          </cell>
          <cell r="D152">
            <v>34560</v>
          </cell>
          <cell r="E152">
            <v>33060</v>
          </cell>
          <cell r="F152">
            <v>705</v>
          </cell>
          <cell r="G152">
            <v>0</v>
          </cell>
          <cell r="H152">
            <v>705</v>
          </cell>
          <cell r="I152">
            <v>0</v>
          </cell>
          <cell r="J152">
            <v>795</v>
          </cell>
          <cell r="K152">
            <v>63</v>
          </cell>
          <cell r="L152">
            <v>35</v>
          </cell>
          <cell r="M152">
            <v>20</v>
          </cell>
          <cell r="N152">
            <v>15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311</v>
          </cell>
          <cell r="X152">
            <v>122</v>
          </cell>
          <cell r="Y152">
            <v>149</v>
          </cell>
          <cell r="Z152">
            <v>0</v>
          </cell>
          <cell r="AA152">
            <v>0</v>
          </cell>
          <cell r="AB152">
            <v>40</v>
          </cell>
          <cell r="AC152">
            <v>0</v>
          </cell>
          <cell r="AD152">
            <v>0</v>
          </cell>
          <cell r="AE152">
            <v>0</v>
          </cell>
          <cell r="AF152">
            <v>386</v>
          </cell>
          <cell r="AG152">
            <v>255</v>
          </cell>
          <cell r="AH152">
            <v>0</v>
          </cell>
          <cell r="AI152">
            <v>60</v>
          </cell>
          <cell r="AJ152">
            <v>0</v>
          </cell>
          <cell r="AK152">
            <v>30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41</v>
          </cell>
          <cell r="AX152">
            <v>0</v>
          </cell>
          <cell r="AY152">
            <v>0</v>
          </cell>
          <cell r="AZ152">
            <v>0</v>
          </cell>
          <cell r="BA152">
            <v>426.67</v>
          </cell>
          <cell r="BB152">
            <v>1.07</v>
          </cell>
          <cell r="BC152">
            <v>425.6</v>
          </cell>
        </row>
        <row r="153">
          <cell r="C153" t="str">
            <v>CPH SOL-CAPSULE</v>
          </cell>
          <cell r="D153">
            <v>34560</v>
          </cell>
          <cell r="E153">
            <v>31500</v>
          </cell>
          <cell r="F153">
            <v>195</v>
          </cell>
          <cell r="G153">
            <v>150</v>
          </cell>
          <cell r="H153">
            <v>45</v>
          </cell>
          <cell r="I153">
            <v>0</v>
          </cell>
          <cell r="J153">
            <v>2865</v>
          </cell>
          <cell r="K153">
            <v>985</v>
          </cell>
          <cell r="L153">
            <v>550</v>
          </cell>
          <cell r="M153">
            <v>235</v>
          </cell>
          <cell r="N153">
            <v>0</v>
          </cell>
          <cell r="O153">
            <v>20</v>
          </cell>
          <cell r="P153">
            <v>295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810</v>
          </cell>
          <cell r="X153">
            <v>190</v>
          </cell>
          <cell r="Y153">
            <v>0</v>
          </cell>
          <cell r="Z153">
            <v>0</v>
          </cell>
          <cell r="AA153">
            <v>0</v>
          </cell>
          <cell r="AB153">
            <v>620</v>
          </cell>
          <cell r="AC153">
            <v>0</v>
          </cell>
          <cell r="AD153">
            <v>0</v>
          </cell>
          <cell r="AE153">
            <v>0</v>
          </cell>
          <cell r="AF153">
            <v>520</v>
          </cell>
          <cell r="AG153">
            <v>0</v>
          </cell>
          <cell r="AH153">
            <v>0</v>
          </cell>
          <cell r="AI153">
            <v>180</v>
          </cell>
          <cell r="AJ153">
            <v>0</v>
          </cell>
          <cell r="AK153">
            <v>90</v>
          </cell>
          <cell r="AL153">
            <v>0</v>
          </cell>
          <cell r="AM153">
            <v>0</v>
          </cell>
          <cell r="AN153">
            <v>0</v>
          </cell>
          <cell r="AO153">
            <v>195</v>
          </cell>
          <cell r="AP153">
            <v>35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20</v>
          </cell>
          <cell r="AX153">
            <v>0</v>
          </cell>
          <cell r="AY153">
            <v>0</v>
          </cell>
          <cell r="AZ153">
            <v>0</v>
          </cell>
          <cell r="BA153">
            <v>811160</v>
          </cell>
          <cell r="BB153">
            <v>0</v>
          </cell>
          <cell r="BC153">
            <v>811160</v>
          </cell>
        </row>
        <row r="154">
          <cell r="C154" t="str">
            <v>KCF101</v>
          </cell>
          <cell r="D154">
            <v>34560</v>
          </cell>
          <cell r="E154">
            <v>31500</v>
          </cell>
          <cell r="F154">
            <v>195</v>
          </cell>
          <cell r="G154">
            <v>150</v>
          </cell>
          <cell r="H154">
            <v>45</v>
          </cell>
          <cell r="I154">
            <v>0</v>
          </cell>
          <cell r="J154">
            <v>2865</v>
          </cell>
          <cell r="K154">
            <v>985</v>
          </cell>
          <cell r="L154">
            <v>550</v>
          </cell>
          <cell r="M154">
            <v>235</v>
          </cell>
          <cell r="N154">
            <v>0</v>
          </cell>
          <cell r="O154">
            <v>20</v>
          </cell>
          <cell r="P154">
            <v>295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810</v>
          </cell>
          <cell r="X154">
            <v>190</v>
          </cell>
          <cell r="Y154">
            <v>0</v>
          </cell>
          <cell r="Z154">
            <v>0</v>
          </cell>
          <cell r="AA154">
            <v>0</v>
          </cell>
          <cell r="AB154">
            <v>620</v>
          </cell>
          <cell r="AC154">
            <v>0</v>
          </cell>
          <cell r="AD154">
            <v>0</v>
          </cell>
          <cell r="AE154">
            <v>0</v>
          </cell>
          <cell r="AF154">
            <v>520</v>
          </cell>
          <cell r="AG154">
            <v>0</v>
          </cell>
          <cell r="AH154">
            <v>0</v>
          </cell>
          <cell r="AI154">
            <v>180</v>
          </cell>
          <cell r="AJ154">
            <v>0</v>
          </cell>
          <cell r="AK154">
            <v>90</v>
          </cell>
          <cell r="AL154">
            <v>0</v>
          </cell>
          <cell r="AM154">
            <v>0</v>
          </cell>
          <cell r="AN154">
            <v>0</v>
          </cell>
          <cell r="AO154">
            <v>195</v>
          </cell>
          <cell r="AP154">
            <v>35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20</v>
          </cell>
          <cell r="AX154">
            <v>0</v>
          </cell>
          <cell r="AY154">
            <v>0</v>
          </cell>
          <cell r="AZ154">
            <v>0</v>
          </cell>
          <cell r="BA154">
            <v>811160</v>
          </cell>
          <cell r="BB154">
            <v>0</v>
          </cell>
          <cell r="BC154">
            <v>811160</v>
          </cell>
        </row>
        <row r="155">
          <cell r="C155" t="str">
            <v>CPH SOL-STRIPPING</v>
          </cell>
          <cell r="D155">
            <v>34560</v>
          </cell>
          <cell r="E155">
            <v>31500</v>
          </cell>
          <cell r="F155">
            <v>180</v>
          </cell>
          <cell r="G155">
            <v>180</v>
          </cell>
          <cell r="H155">
            <v>0</v>
          </cell>
          <cell r="I155">
            <v>0</v>
          </cell>
          <cell r="J155">
            <v>2880</v>
          </cell>
          <cell r="K155">
            <v>1125</v>
          </cell>
          <cell r="L155">
            <v>360</v>
          </cell>
          <cell r="M155">
            <v>335</v>
          </cell>
          <cell r="N155">
            <v>0</v>
          </cell>
          <cell r="O155">
            <v>25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895</v>
          </cell>
          <cell r="X155">
            <v>430</v>
          </cell>
          <cell r="Y155">
            <v>295</v>
          </cell>
          <cell r="Z155">
            <v>0</v>
          </cell>
          <cell r="AA155">
            <v>0</v>
          </cell>
          <cell r="AB155">
            <v>170</v>
          </cell>
          <cell r="AC155">
            <v>0</v>
          </cell>
          <cell r="AD155">
            <v>0</v>
          </cell>
          <cell r="AE155">
            <v>0</v>
          </cell>
          <cell r="AF155">
            <v>500</v>
          </cell>
          <cell r="AG155">
            <v>0</v>
          </cell>
          <cell r="AH155">
            <v>0</v>
          </cell>
          <cell r="AI155">
            <v>180</v>
          </cell>
          <cell r="AJ155">
            <v>0</v>
          </cell>
          <cell r="AK155">
            <v>90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100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130</v>
          </cell>
          <cell r="AX155">
            <v>0</v>
          </cell>
          <cell r="AY155">
            <v>0</v>
          </cell>
          <cell r="AZ155">
            <v>0</v>
          </cell>
          <cell r="BA155">
            <v>813188</v>
          </cell>
          <cell r="BB155">
            <v>2908</v>
          </cell>
          <cell r="BC155">
            <v>810280</v>
          </cell>
        </row>
        <row r="156">
          <cell r="C156" t="str">
            <v>STC101</v>
          </cell>
          <cell r="D156">
            <v>34560</v>
          </cell>
          <cell r="E156">
            <v>31500</v>
          </cell>
          <cell r="F156">
            <v>180</v>
          </cell>
          <cell r="G156">
            <v>180</v>
          </cell>
          <cell r="H156">
            <v>0</v>
          </cell>
          <cell r="I156">
            <v>0</v>
          </cell>
          <cell r="J156">
            <v>2880</v>
          </cell>
          <cell r="K156">
            <v>1125</v>
          </cell>
          <cell r="L156">
            <v>360</v>
          </cell>
          <cell r="M156">
            <v>335</v>
          </cell>
          <cell r="N156">
            <v>0</v>
          </cell>
          <cell r="O156">
            <v>25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895</v>
          </cell>
          <cell r="X156">
            <v>430</v>
          </cell>
          <cell r="Y156">
            <v>295</v>
          </cell>
          <cell r="Z156">
            <v>0</v>
          </cell>
          <cell r="AA156">
            <v>0</v>
          </cell>
          <cell r="AB156">
            <v>170</v>
          </cell>
          <cell r="AC156">
            <v>0</v>
          </cell>
          <cell r="AD156">
            <v>0</v>
          </cell>
          <cell r="AE156">
            <v>0</v>
          </cell>
          <cell r="AF156">
            <v>500</v>
          </cell>
          <cell r="AG156">
            <v>0</v>
          </cell>
          <cell r="AH156">
            <v>0</v>
          </cell>
          <cell r="AI156">
            <v>180</v>
          </cell>
          <cell r="AJ156">
            <v>0</v>
          </cell>
          <cell r="AK156">
            <v>90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100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130</v>
          </cell>
          <cell r="AX156">
            <v>0</v>
          </cell>
          <cell r="AY156">
            <v>0</v>
          </cell>
          <cell r="AZ156">
            <v>0</v>
          </cell>
          <cell r="BA156">
            <v>813188</v>
          </cell>
          <cell r="BB156">
            <v>2908</v>
          </cell>
          <cell r="BC156">
            <v>810280</v>
          </cell>
        </row>
        <row r="157">
          <cell r="C157" t="str">
            <v>CPH SOL-POWDER FILLING</v>
          </cell>
          <cell r="D157">
            <v>34560</v>
          </cell>
          <cell r="E157">
            <v>33540</v>
          </cell>
          <cell r="F157">
            <v>30</v>
          </cell>
          <cell r="G157">
            <v>30</v>
          </cell>
          <cell r="H157">
            <v>0</v>
          </cell>
          <cell r="I157">
            <v>0</v>
          </cell>
          <cell r="J157">
            <v>990</v>
          </cell>
          <cell r="K157">
            <v>340</v>
          </cell>
          <cell r="L157">
            <v>80</v>
          </cell>
          <cell r="M157">
            <v>65</v>
          </cell>
          <cell r="N157">
            <v>0</v>
          </cell>
          <cell r="O157">
            <v>15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315</v>
          </cell>
          <cell r="X157">
            <v>255</v>
          </cell>
          <cell r="Y157">
            <v>45</v>
          </cell>
          <cell r="Z157">
            <v>0</v>
          </cell>
          <cell r="AA157">
            <v>0</v>
          </cell>
          <cell r="AB157">
            <v>15</v>
          </cell>
          <cell r="AC157">
            <v>0</v>
          </cell>
          <cell r="AD157">
            <v>0</v>
          </cell>
          <cell r="AE157">
            <v>0</v>
          </cell>
          <cell r="AF157">
            <v>255</v>
          </cell>
          <cell r="AG157">
            <v>0</v>
          </cell>
          <cell r="AH157">
            <v>0</v>
          </cell>
          <cell r="AI157">
            <v>60</v>
          </cell>
          <cell r="AJ157">
            <v>0</v>
          </cell>
          <cell r="AK157">
            <v>45</v>
          </cell>
          <cell r="AL157">
            <v>0</v>
          </cell>
          <cell r="AM157">
            <v>0</v>
          </cell>
          <cell r="AN157">
            <v>15</v>
          </cell>
          <cell r="AO157">
            <v>15</v>
          </cell>
          <cell r="AP157">
            <v>20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20</v>
          </cell>
          <cell r="AX157">
            <v>80</v>
          </cell>
          <cell r="AY157">
            <v>0</v>
          </cell>
          <cell r="AZ157">
            <v>0</v>
          </cell>
          <cell r="BA157">
            <v>12203</v>
          </cell>
          <cell r="BB157">
            <v>31</v>
          </cell>
          <cell r="BC157">
            <v>12172</v>
          </cell>
        </row>
        <row r="158">
          <cell r="C158" t="str">
            <v>SCF102</v>
          </cell>
          <cell r="D158">
            <v>34560</v>
          </cell>
          <cell r="E158">
            <v>33540</v>
          </cell>
          <cell r="F158">
            <v>30</v>
          </cell>
          <cell r="G158">
            <v>30</v>
          </cell>
          <cell r="H158">
            <v>0</v>
          </cell>
          <cell r="I158">
            <v>0</v>
          </cell>
          <cell r="J158">
            <v>990</v>
          </cell>
          <cell r="K158">
            <v>340</v>
          </cell>
          <cell r="L158">
            <v>80</v>
          </cell>
          <cell r="M158">
            <v>65</v>
          </cell>
          <cell r="N158">
            <v>0</v>
          </cell>
          <cell r="O158">
            <v>15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315</v>
          </cell>
          <cell r="X158">
            <v>255</v>
          </cell>
          <cell r="Y158">
            <v>45</v>
          </cell>
          <cell r="Z158">
            <v>0</v>
          </cell>
          <cell r="AA158">
            <v>0</v>
          </cell>
          <cell r="AB158">
            <v>15</v>
          </cell>
          <cell r="AC158">
            <v>0</v>
          </cell>
          <cell r="AD158">
            <v>0</v>
          </cell>
          <cell r="AE158">
            <v>0</v>
          </cell>
          <cell r="AF158">
            <v>255</v>
          </cell>
          <cell r="AG158">
            <v>0</v>
          </cell>
          <cell r="AH158">
            <v>0</v>
          </cell>
          <cell r="AI158">
            <v>60</v>
          </cell>
          <cell r="AJ158">
            <v>0</v>
          </cell>
          <cell r="AK158">
            <v>45</v>
          </cell>
          <cell r="AL158">
            <v>0</v>
          </cell>
          <cell r="AM158">
            <v>0</v>
          </cell>
          <cell r="AN158">
            <v>15</v>
          </cell>
          <cell r="AO158">
            <v>15</v>
          </cell>
          <cell r="AP158">
            <v>20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20</v>
          </cell>
          <cell r="AX158">
            <v>80</v>
          </cell>
          <cell r="AY158">
            <v>0</v>
          </cell>
          <cell r="AZ158">
            <v>0</v>
          </cell>
          <cell r="BA158">
            <v>12203</v>
          </cell>
          <cell r="BB158">
            <v>31</v>
          </cell>
          <cell r="BC158">
            <v>12172</v>
          </cell>
        </row>
        <row r="159">
          <cell r="C159" t="str">
            <v>CPH INJ-FILLING</v>
          </cell>
          <cell r="D159">
            <v>34560</v>
          </cell>
          <cell r="E159">
            <v>26190</v>
          </cell>
          <cell r="F159">
            <v>810</v>
          </cell>
          <cell r="G159">
            <v>5</v>
          </cell>
          <cell r="H159">
            <v>805</v>
          </cell>
          <cell r="I159">
            <v>0</v>
          </cell>
          <cell r="J159">
            <v>7560</v>
          </cell>
          <cell r="K159">
            <v>2972</v>
          </cell>
          <cell r="L159">
            <v>754</v>
          </cell>
          <cell r="M159">
            <v>625</v>
          </cell>
          <cell r="N159">
            <v>0</v>
          </cell>
          <cell r="O159">
            <v>124</v>
          </cell>
          <cell r="P159">
            <v>5</v>
          </cell>
          <cell r="Q159">
            <v>72</v>
          </cell>
          <cell r="R159">
            <v>0</v>
          </cell>
          <cell r="S159">
            <v>0</v>
          </cell>
          <cell r="T159">
            <v>0</v>
          </cell>
          <cell r="U159">
            <v>72</v>
          </cell>
          <cell r="V159">
            <v>0</v>
          </cell>
          <cell r="W159">
            <v>1992</v>
          </cell>
          <cell r="X159">
            <v>607</v>
          </cell>
          <cell r="Y159">
            <v>1385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1770</v>
          </cell>
          <cell r="AG159">
            <v>0</v>
          </cell>
          <cell r="AH159">
            <v>0</v>
          </cell>
          <cell r="AI159">
            <v>530</v>
          </cell>
          <cell r="AJ159">
            <v>0</v>
          </cell>
          <cell r="AK159">
            <v>495</v>
          </cell>
          <cell r="AL159">
            <v>0</v>
          </cell>
          <cell r="AM159">
            <v>0</v>
          </cell>
          <cell r="AN159">
            <v>138</v>
          </cell>
          <cell r="AO159">
            <v>0</v>
          </cell>
          <cell r="AP159">
            <v>124</v>
          </cell>
          <cell r="AQ159">
            <v>0</v>
          </cell>
          <cell r="AR159">
            <v>0</v>
          </cell>
          <cell r="AS159">
            <v>432</v>
          </cell>
          <cell r="AT159">
            <v>0</v>
          </cell>
          <cell r="AU159">
            <v>0</v>
          </cell>
          <cell r="AV159">
            <v>0</v>
          </cell>
          <cell r="AW159">
            <v>51</v>
          </cell>
          <cell r="AX159">
            <v>0</v>
          </cell>
          <cell r="AY159">
            <v>0</v>
          </cell>
          <cell r="AZ159">
            <v>0</v>
          </cell>
          <cell r="BA159">
            <v>434816</v>
          </cell>
          <cell r="BB159">
            <v>46</v>
          </cell>
          <cell r="BC159">
            <v>434770</v>
          </cell>
        </row>
        <row r="160">
          <cell r="C160" t="str">
            <v>GINLINE6</v>
          </cell>
          <cell r="D160">
            <v>34560</v>
          </cell>
          <cell r="E160">
            <v>26190</v>
          </cell>
          <cell r="F160">
            <v>810</v>
          </cell>
          <cell r="G160">
            <v>5</v>
          </cell>
          <cell r="H160">
            <v>805</v>
          </cell>
          <cell r="I160">
            <v>0</v>
          </cell>
          <cell r="J160">
            <v>7560</v>
          </cell>
          <cell r="K160">
            <v>2972</v>
          </cell>
          <cell r="L160">
            <v>754</v>
          </cell>
          <cell r="M160">
            <v>625</v>
          </cell>
          <cell r="N160">
            <v>0</v>
          </cell>
          <cell r="O160">
            <v>124</v>
          </cell>
          <cell r="P160">
            <v>5</v>
          </cell>
          <cell r="Q160">
            <v>72</v>
          </cell>
          <cell r="R160">
            <v>0</v>
          </cell>
          <cell r="S160">
            <v>0</v>
          </cell>
          <cell r="T160">
            <v>0</v>
          </cell>
          <cell r="U160">
            <v>72</v>
          </cell>
          <cell r="V160">
            <v>0</v>
          </cell>
          <cell r="W160">
            <v>1992</v>
          </cell>
          <cell r="X160">
            <v>607</v>
          </cell>
          <cell r="Y160">
            <v>1385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1770</v>
          </cell>
          <cell r="AG160">
            <v>0</v>
          </cell>
          <cell r="AH160">
            <v>0</v>
          </cell>
          <cell r="AI160">
            <v>530</v>
          </cell>
          <cell r="AJ160">
            <v>0</v>
          </cell>
          <cell r="AK160">
            <v>495</v>
          </cell>
          <cell r="AL160">
            <v>0</v>
          </cell>
          <cell r="AM160">
            <v>0</v>
          </cell>
          <cell r="AN160">
            <v>138</v>
          </cell>
          <cell r="AO160">
            <v>0</v>
          </cell>
          <cell r="AP160">
            <v>124</v>
          </cell>
          <cell r="AQ160">
            <v>0</v>
          </cell>
          <cell r="AR160">
            <v>0</v>
          </cell>
          <cell r="AS160">
            <v>432</v>
          </cell>
          <cell r="AT160">
            <v>0</v>
          </cell>
          <cell r="AU160">
            <v>0</v>
          </cell>
          <cell r="AV160">
            <v>0</v>
          </cell>
          <cell r="AW160">
            <v>51</v>
          </cell>
          <cell r="AX160">
            <v>0</v>
          </cell>
          <cell r="AY160">
            <v>0</v>
          </cell>
          <cell r="AZ160">
            <v>0</v>
          </cell>
          <cell r="BA160">
            <v>434816</v>
          </cell>
          <cell r="BB160">
            <v>46</v>
          </cell>
          <cell r="BC160">
            <v>434770</v>
          </cell>
        </row>
        <row r="161">
          <cell r="C161" t="str">
            <v>CPH INJ-STERILIZATION</v>
          </cell>
          <cell r="D161">
            <v>69120</v>
          </cell>
          <cell r="E161">
            <v>51352</v>
          </cell>
          <cell r="F161">
            <v>1417</v>
          </cell>
          <cell r="G161">
            <v>472</v>
          </cell>
          <cell r="H161">
            <v>945</v>
          </cell>
          <cell r="I161">
            <v>0</v>
          </cell>
          <cell r="J161">
            <v>16351</v>
          </cell>
          <cell r="K161">
            <v>8061</v>
          </cell>
          <cell r="L161">
            <v>583</v>
          </cell>
          <cell r="M161">
            <v>428</v>
          </cell>
          <cell r="N161">
            <v>0</v>
          </cell>
          <cell r="O161">
            <v>155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5317</v>
          </cell>
          <cell r="X161">
            <v>4869</v>
          </cell>
          <cell r="Y161">
            <v>448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2390</v>
          </cell>
          <cell r="AG161">
            <v>0</v>
          </cell>
          <cell r="AH161">
            <v>0</v>
          </cell>
          <cell r="AI161">
            <v>25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121</v>
          </cell>
          <cell r="AO161">
            <v>2244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735</v>
          </cell>
          <cell r="BB161">
            <v>0</v>
          </cell>
          <cell r="BC161">
            <v>735</v>
          </cell>
        </row>
        <row r="162">
          <cell r="C162" t="str">
            <v>ICF104</v>
          </cell>
          <cell r="D162">
            <v>34560</v>
          </cell>
          <cell r="E162">
            <v>25230</v>
          </cell>
          <cell r="F162">
            <v>662</v>
          </cell>
          <cell r="G162">
            <v>248</v>
          </cell>
          <cell r="H162">
            <v>414</v>
          </cell>
          <cell r="I162">
            <v>0</v>
          </cell>
          <cell r="J162">
            <v>8668</v>
          </cell>
          <cell r="K162">
            <v>4174</v>
          </cell>
          <cell r="L162">
            <v>285</v>
          </cell>
          <cell r="M162">
            <v>226</v>
          </cell>
          <cell r="N162">
            <v>0</v>
          </cell>
          <cell r="O162">
            <v>59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3670</v>
          </cell>
          <cell r="X162">
            <v>3552</v>
          </cell>
          <cell r="Y162">
            <v>118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539</v>
          </cell>
          <cell r="AG162">
            <v>0</v>
          </cell>
          <cell r="AH162">
            <v>0</v>
          </cell>
          <cell r="AI162">
            <v>25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80</v>
          </cell>
          <cell r="AO162">
            <v>434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461</v>
          </cell>
          <cell r="BB162">
            <v>0</v>
          </cell>
          <cell r="BC162">
            <v>461</v>
          </cell>
        </row>
        <row r="163">
          <cell r="C163" t="str">
            <v>ICF105</v>
          </cell>
          <cell r="D163">
            <v>34560</v>
          </cell>
          <cell r="E163">
            <v>26122</v>
          </cell>
          <cell r="F163">
            <v>755</v>
          </cell>
          <cell r="G163">
            <v>224</v>
          </cell>
          <cell r="H163">
            <v>531</v>
          </cell>
          <cell r="I163">
            <v>0</v>
          </cell>
          <cell r="J163">
            <v>7683</v>
          </cell>
          <cell r="K163">
            <v>3887</v>
          </cell>
          <cell r="L163">
            <v>298</v>
          </cell>
          <cell r="M163">
            <v>202</v>
          </cell>
          <cell r="N163">
            <v>0</v>
          </cell>
          <cell r="O163">
            <v>96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1647</v>
          </cell>
          <cell r="X163">
            <v>1317</v>
          </cell>
          <cell r="Y163">
            <v>330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1851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41</v>
          </cell>
          <cell r="AO163">
            <v>1810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274</v>
          </cell>
          <cell r="BB163">
            <v>0</v>
          </cell>
          <cell r="BC163">
            <v>274</v>
          </cell>
        </row>
        <row r="164">
          <cell r="C164" t="str">
            <v>CPH-SECONDARY PACKING</v>
          </cell>
          <cell r="D164">
            <v>69120</v>
          </cell>
          <cell r="E164">
            <v>49260</v>
          </cell>
          <cell r="F164">
            <v>1876</v>
          </cell>
          <cell r="G164">
            <v>530</v>
          </cell>
          <cell r="H164">
            <v>1346</v>
          </cell>
          <cell r="I164">
            <v>0</v>
          </cell>
          <cell r="J164">
            <v>17984</v>
          </cell>
          <cell r="K164">
            <v>7330</v>
          </cell>
          <cell r="L164">
            <v>4151</v>
          </cell>
          <cell r="M164">
            <v>1706</v>
          </cell>
          <cell r="N164">
            <v>260</v>
          </cell>
          <cell r="O164">
            <v>857</v>
          </cell>
          <cell r="P164">
            <v>1328</v>
          </cell>
          <cell r="Q164">
            <v>85</v>
          </cell>
          <cell r="R164">
            <v>85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2230</v>
          </cell>
          <cell r="X164">
            <v>699</v>
          </cell>
          <cell r="Y164">
            <v>762</v>
          </cell>
          <cell r="Z164">
            <v>359</v>
          </cell>
          <cell r="AA164">
            <v>0</v>
          </cell>
          <cell r="AB164">
            <v>410</v>
          </cell>
          <cell r="AC164">
            <v>0</v>
          </cell>
          <cell r="AD164">
            <v>0</v>
          </cell>
          <cell r="AE164">
            <v>0</v>
          </cell>
          <cell r="AF164">
            <v>4188</v>
          </cell>
          <cell r="AG164">
            <v>0</v>
          </cell>
          <cell r="AH164">
            <v>52</v>
          </cell>
          <cell r="AI164">
            <v>1137</v>
          </cell>
          <cell r="AJ164">
            <v>0</v>
          </cell>
          <cell r="AK164">
            <v>640</v>
          </cell>
          <cell r="AL164">
            <v>0</v>
          </cell>
          <cell r="AM164">
            <v>60</v>
          </cell>
          <cell r="AN164">
            <v>0</v>
          </cell>
          <cell r="AO164">
            <v>440</v>
          </cell>
          <cell r="AP164">
            <v>1018</v>
          </cell>
          <cell r="AQ164">
            <v>0</v>
          </cell>
          <cell r="AR164">
            <v>13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792</v>
          </cell>
          <cell r="AX164">
            <v>36</v>
          </cell>
          <cell r="AY164">
            <v>0</v>
          </cell>
          <cell r="AZ164">
            <v>0</v>
          </cell>
          <cell r="BA164">
            <v>740756</v>
          </cell>
          <cell r="BB164">
            <v>745</v>
          </cell>
          <cell r="BC164">
            <v>740011</v>
          </cell>
        </row>
        <row r="165">
          <cell r="C165" t="str">
            <v>PCF101</v>
          </cell>
          <cell r="D165">
            <v>34560</v>
          </cell>
          <cell r="E165">
            <v>22350</v>
          </cell>
          <cell r="F165">
            <v>931</v>
          </cell>
          <cell r="G165">
            <v>235</v>
          </cell>
          <cell r="H165">
            <v>696</v>
          </cell>
          <cell r="I165">
            <v>0</v>
          </cell>
          <cell r="J165">
            <v>11279</v>
          </cell>
          <cell r="K165">
            <v>3545</v>
          </cell>
          <cell r="L165">
            <v>3816</v>
          </cell>
          <cell r="M165">
            <v>1371</v>
          </cell>
          <cell r="N165">
            <v>260</v>
          </cell>
          <cell r="O165">
            <v>857</v>
          </cell>
          <cell r="P165">
            <v>1328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1340</v>
          </cell>
          <cell r="X165">
            <v>624</v>
          </cell>
          <cell r="Y165">
            <v>357</v>
          </cell>
          <cell r="Z165">
            <v>359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2578</v>
          </cell>
          <cell r="AG165">
            <v>0</v>
          </cell>
          <cell r="AH165">
            <v>52</v>
          </cell>
          <cell r="AI165">
            <v>747</v>
          </cell>
          <cell r="AJ165">
            <v>0</v>
          </cell>
          <cell r="AK165">
            <v>445</v>
          </cell>
          <cell r="AL165">
            <v>0</v>
          </cell>
          <cell r="AM165">
            <v>0</v>
          </cell>
          <cell r="AN165">
            <v>0</v>
          </cell>
          <cell r="AO165">
            <v>155</v>
          </cell>
          <cell r="AP165">
            <v>850</v>
          </cell>
          <cell r="AQ165">
            <v>0</v>
          </cell>
          <cell r="AR165">
            <v>13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280</v>
          </cell>
          <cell r="AX165">
            <v>36</v>
          </cell>
          <cell r="AY165">
            <v>0</v>
          </cell>
          <cell r="AZ165">
            <v>0</v>
          </cell>
          <cell r="BA165">
            <v>612417</v>
          </cell>
          <cell r="BB165">
            <v>144</v>
          </cell>
          <cell r="BC165">
            <v>612273</v>
          </cell>
        </row>
        <row r="166">
          <cell r="C166" t="str">
            <v>PCF102</v>
          </cell>
          <cell r="D166">
            <v>34560</v>
          </cell>
          <cell r="E166">
            <v>26910</v>
          </cell>
          <cell r="F166">
            <v>945</v>
          </cell>
          <cell r="G166">
            <v>295</v>
          </cell>
          <cell r="H166">
            <v>650</v>
          </cell>
          <cell r="I166">
            <v>0</v>
          </cell>
          <cell r="J166">
            <v>6705</v>
          </cell>
          <cell r="K166">
            <v>3785</v>
          </cell>
          <cell r="L166">
            <v>335</v>
          </cell>
          <cell r="M166">
            <v>335</v>
          </cell>
          <cell r="N166">
            <v>0</v>
          </cell>
          <cell r="O166">
            <v>0</v>
          </cell>
          <cell r="P166">
            <v>0</v>
          </cell>
          <cell r="Q166">
            <v>85</v>
          </cell>
          <cell r="R166">
            <v>85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890</v>
          </cell>
          <cell r="X166">
            <v>75</v>
          </cell>
          <cell r="Y166">
            <v>405</v>
          </cell>
          <cell r="Z166">
            <v>0</v>
          </cell>
          <cell r="AA166">
            <v>0</v>
          </cell>
          <cell r="AB166">
            <v>410</v>
          </cell>
          <cell r="AC166">
            <v>0</v>
          </cell>
          <cell r="AD166">
            <v>0</v>
          </cell>
          <cell r="AE166">
            <v>0</v>
          </cell>
          <cell r="AF166">
            <v>1610</v>
          </cell>
          <cell r="AG166">
            <v>0</v>
          </cell>
          <cell r="AH166">
            <v>0</v>
          </cell>
          <cell r="AI166">
            <v>390</v>
          </cell>
          <cell r="AJ166">
            <v>0</v>
          </cell>
          <cell r="AK166">
            <v>195</v>
          </cell>
          <cell r="AL166">
            <v>0</v>
          </cell>
          <cell r="AM166">
            <v>60</v>
          </cell>
          <cell r="AN166">
            <v>0</v>
          </cell>
          <cell r="AO166">
            <v>285</v>
          </cell>
          <cell r="AP166">
            <v>168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512</v>
          </cell>
          <cell r="AX166">
            <v>0</v>
          </cell>
          <cell r="AY166">
            <v>0</v>
          </cell>
          <cell r="AZ166">
            <v>0</v>
          </cell>
          <cell r="BA166">
            <v>128339</v>
          </cell>
          <cell r="BB166">
            <v>601</v>
          </cell>
          <cell r="BC166">
            <v>127738</v>
          </cell>
        </row>
      </sheetData>
      <sheetData sheetId="13" refreshError="1">
        <row r="5">
          <cell r="C5" t="str">
            <v>POT</v>
          </cell>
        </row>
        <row r="109">
          <cell r="B109" t="str">
            <v>PROSES( Menit )</v>
          </cell>
          <cell r="C109" t="str">
            <v>POT</v>
          </cell>
          <cell r="D109" t="str">
            <v>POT Shift Tersedia</v>
          </cell>
          <cell r="E109" t="str">
            <v>Unschedule Time</v>
          </cell>
          <cell r="F109" t="str">
            <v>Unschedule Time Shift Tersedia</v>
          </cell>
          <cell r="G109" t="str">
            <v>Waktu Beproduksi</v>
          </cell>
          <cell r="H109" t="str">
            <v>Waktu Beproduksi Tersedia</v>
          </cell>
          <cell r="I109" t="str">
            <v>Idle Time</v>
          </cell>
          <cell r="J109" t="str">
            <v>Idle Time Tersedia</v>
          </cell>
          <cell r="K109" t="str">
            <v>L2</v>
          </cell>
          <cell r="L109" t="str">
            <v>L21</v>
          </cell>
          <cell r="M109" t="str">
            <v>L22</v>
          </cell>
          <cell r="N109" t="str">
            <v>IG</v>
          </cell>
          <cell r="O109" t="str">
            <v>PPT</v>
          </cell>
          <cell r="P109" t="str">
            <v>PPT Tersedia</v>
          </cell>
          <cell r="Q109" t="str">
            <v>R</v>
          </cell>
          <cell r="R109" t="str">
            <v>R Tersedia</v>
          </cell>
          <cell r="S109" t="str">
            <v>DT</v>
          </cell>
          <cell r="T109" t="str">
            <v>DT Tersedia</v>
          </cell>
          <cell r="U109" t="str">
            <v>Setup</v>
          </cell>
          <cell r="V109" t="str">
            <v>P6</v>
          </cell>
          <cell r="W109" t="str">
            <v>P5</v>
          </cell>
          <cell r="X109" t="str">
            <v>P8</v>
          </cell>
          <cell r="Y109" t="str">
            <v>P9</v>
          </cell>
          <cell r="Z109" t="str">
            <v>Breakdown</v>
          </cell>
          <cell r="AA109" t="str">
            <v>M1</v>
          </cell>
          <cell r="AB109" t="str">
            <v>M2</v>
          </cell>
          <cell r="AC109" t="str">
            <v>M4</v>
          </cell>
          <cell r="AD109" t="str">
            <v>M8</v>
          </cell>
          <cell r="AE109" t="str">
            <v>M9</v>
          </cell>
          <cell r="AF109" t="str">
            <v>Clean</v>
          </cell>
          <cell r="AG109" t="str">
            <v>P2</v>
          </cell>
          <cell r="AH109" t="str">
            <v>P4</v>
          </cell>
          <cell r="AI109" t="str">
            <v>P17</v>
          </cell>
          <cell r="AJ109" t="str">
            <v>P19</v>
          </cell>
          <cell r="AK109" t="str">
            <v>P12</v>
          </cell>
          <cell r="AL109" t="str">
            <v>Trial</v>
          </cell>
          <cell r="AM109" t="str">
            <v>R1</v>
          </cell>
          <cell r="AN109" t="str">
            <v>R2</v>
          </cell>
          <cell r="AO109" t="str">
            <v>Waiting</v>
          </cell>
          <cell r="AP109" t="str">
            <v>L1</v>
          </cell>
          <cell r="AQ109" t="str">
            <v>L3</v>
          </cell>
          <cell r="AR109" t="str">
            <v>H1</v>
          </cell>
          <cell r="AS109" t="str">
            <v>H2</v>
          </cell>
          <cell r="AT109" t="str">
            <v>H4</v>
          </cell>
          <cell r="AU109" t="str">
            <v>H6</v>
          </cell>
          <cell r="AV109" t="str">
            <v>H7</v>
          </cell>
          <cell r="AW109" t="str">
            <v>H8</v>
          </cell>
          <cell r="AX109" t="str">
            <v>P10</v>
          </cell>
          <cell r="AY109" t="str">
            <v>P11</v>
          </cell>
          <cell r="AZ109" t="str">
            <v>P13</v>
          </cell>
          <cell r="BA109" t="str">
            <v>P14</v>
          </cell>
          <cell r="BB109" t="str">
            <v>P16</v>
          </cell>
          <cell r="BC109" t="str">
            <v>M5</v>
          </cell>
          <cell r="BD109" t="str">
            <v>M6</v>
          </cell>
          <cell r="BE109" t="str">
            <v>M7</v>
          </cell>
          <cell r="BF109" t="str">
            <v>Q1</v>
          </cell>
          <cell r="BG109" t="str">
            <v>Q2</v>
          </cell>
          <cell r="BH109" t="str">
            <v>Q3</v>
          </cell>
          <cell r="BI109" t="str">
            <v>Q4</v>
          </cell>
          <cell r="BJ109" t="str">
            <v>Total Output</v>
          </cell>
          <cell r="BK109" t="str">
            <v>Reject Output</v>
          </cell>
          <cell r="BL109" t="str">
            <v>Good Output</v>
          </cell>
        </row>
        <row r="110">
          <cell r="B110" t="str">
            <v>NBL SOL-MIXING</v>
          </cell>
          <cell r="C110">
            <v>103680</v>
          </cell>
          <cell r="D110">
            <v>66960</v>
          </cell>
          <cell r="E110">
            <v>68880</v>
          </cell>
          <cell r="F110">
            <v>32160</v>
          </cell>
          <cell r="G110">
            <v>34800</v>
          </cell>
          <cell r="H110">
            <v>34800</v>
          </cell>
          <cell r="I110">
            <v>5849</v>
          </cell>
          <cell r="J110">
            <v>5849</v>
          </cell>
          <cell r="K110">
            <v>5817</v>
          </cell>
          <cell r="L110">
            <v>350</v>
          </cell>
          <cell r="M110">
            <v>5467</v>
          </cell>
          <cell r="N110">
            <v>32</v>
          </cell>
          <cell r="O110">
            <v>28951</v>
          </cell>
          <cell r="P110">
            <v>28951</v>
          </cell>
          <cell r="Q110">
            <v>3977</v>
          </cell>
          <cell r="R110">
            <v>3977</v>
          </cell>
          <cell r="S110">
            <v>24974</v>
          </cell>
          <cell r="T110">
            <v>24974</v>
          </cell>
          <cell r="U110">
            <v>896</v>
          </cell>
          <cell r="V110">
            <v>896</v>
          </cell>
          <cell r="W110">
            <v>0</v>
          </cell>
          <cell r="X110">
            <v>0</v>
          </cell>
          <cell r="Y110">
            <v>0</v>
          </cell>
          <cell r="Z110">
            <v>20</v>
          </cell>
          <cell r="AA110">
            <v>0</v>
          </cell>
          <cell r="AB110">
            <v>0</v>
          </cell>
          <cell r="AC110">
            <v>0</v>
          </cell>
          <cell r="AD110">
            <v>20</v>
          </cell>
          <cell r="AE110">
            <v>0</v>
          </cell>
          <cell r="AF110">
            <v>12404</v>
          </cell>
          <cell r="AG110">
            <v>6968</v>
          </cell>
          <cell r="AH110">
            <v>4779</v>
          </cell>
          <cell r="AI110">
            <v>2</v>
          </cell>
          <cell r="AJ110">
            <v>0</v>
          </cell>
          <cell r="AK110">
            <v>655</v>
          </cell>
          <cell r="AL110">
            <v>1065</v>
          </cell>
          <cell r="AM110">
            <v>0</v>
          </cell>
          <cell r="AN110">
            <v>1065</v>
          </cell>
          <cell r="AO110">
            <v>10589</v>
          </cell>
          <cell r="AP110">
            <v>115</v>
          </cell>
          <cell r="AQ110">
            <v>0</v>
          </cell>
          <cell r="AR110">
            <v>1545</v>
          </cell>
          <cell r="AS110">
            <v>0</v>
          </cell>
          <cell r="AT110">
            <v>1470</v>
          </cell>
          <cell r="AU110">
            <v>0</v>
          </cell>
          <cell r="AV110">
            <v>0</v>
          </cell>
          <cell r="AW110">
            <v>0</v>
          </cell>
          <cell r="AX110">
            <v>6176</v>
          </cell>
          <cell r="AY110">
            <v>52</v>
          </cell>
          <cell r="AZ110">
            <v>0</v>
          </cell>
          <cell r="BA110">
            <v>895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336</v>
          </cell>
          <cell r="BG110">
            <v>0</v>
          </cell>
          <cell r="BH110">
            <v>0</v>
          </cell>
          <cell r="BI110">
            <v>0</v>
          </cell>
          <cell r="BJ110">
            <v>7027.87</v>
          </cell>
          <cell r="BK110">
            <v>0</v>
          </cell>
          <cell r="BL110">
            <v>7027.87</v>
          </cell>
        </row>
        <row r="111">
          <cell r="B111" t="str">
            <v>MIX113</v>
          </cell>
          <cell r="C111">
            <v>34560</v>
          </cell>
          <cell r="D111">
            <v>22320</v>
          </cell>
          <cell r="E111">
            <v>16020</v>
          </cell>
          <cell r="F111">
            <v>3780</v>
          </cell>
          <cell r="G111">
            <v>18540</v>
          </cell>
          <cell r="H111">
            <v>18540</v>
          </cell>
          <cell r="I111">
            <v>4277</v>
          </cell>
          <cell r="J111">
            <v>4277</v>
          </cell>
          <cell r="K111">
            <v>4277</v>
          </cell>
          <cell r="L111">
            <v>110</v>
          </cell>
          <cell r="M111">
            <v>4167</v>
          </cell>
          <cell r="N111">
            <v>0</v>
          </cell>
          <cell r="O111">
            <v>14263</v>
          </cell>
          <cell r="P111">
            <v>14263</v>
          </cell>
          <cell r="Q111">
            <v>707</v>
          </cell>
          <cell r="R111">
            <v>707</v>
          </cell>
          <cell r="S111">
            <v>13556</v>
          </cell>
          <cell r="T111">
            <v>13556</v>
          </cell>
          <cell r="U111">
            <v>472</v>
          </cell>
          <cell r="V111">
            <v>472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4230</v>
          </cell>
          <cell r="AG111">
            <v>1301</v>
          </cell>
          <cell r="AH111">
            <v>2589</v>
          </cell>
          <cell r="AI111">
            <v>0</v>
          </cell>
          <cell r="AJ111">
            <v>0</v>
          </cell>
          <cell r="AK111">
            <v>340</v>
          </cell>
          <cell r="AL111">
            <v>1065</v>
          </cell>
          <cell r="AM111">
            <v>0</v>
          </cell>
          <cell r="AN111">
            <v>1065</v>
          </cell>
          <cell r="AO111">
            <v>7789</v>
          </cell>
          <cell r="AP111">
            <v>0</v>
          </cell>
          <cell r="AQ111">
            <v>0</v>
          </cell>
          <cell r="AR111">
            <v>660</v>
          </cell>
          <cell r="AS111">
            <v>0</v>
          </cell>
          <cell r="AT111">
            <v>570</v>
          </cell>
          <cell r="AU111">
            <v>0</v>
          </cell>
          <cell r="AV111">
            <v>0</v>
          </cell>
          <cell r="AW111">
            <v>0</v>
          </cell>
          <cell r="AX111">
            <v>6136</v>
          </cell>
          <cell r="AY111">
            <v>52</v>
          </cell>
          <cell r="AZ111">
            <v>0</v>
          </cell>
          <cell r="BA111">
            <v>35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336</v>
          </cell>
          <cell r="BG111">
            <v>0</v>
          </cell>
          <cell r="BH111">
            <v>0</v>
          </cell>
          <cell r="BI111">
            <v>0</v>
          </cell>
          <cell r="BJ111">
            <v>4391.2</v>
          </cell>
          <cell r="BK111">
            <v>0</v>
          </cell>
          <cell r="BL111">
            <v>4391.2</v>
          </cell>
        </row>
        <row r="112">
          <cell r="B112" t="str">
            <v>LMIXSOL1</v>
          </cell>
          <cell r="C112">
            <v>34560</v>
          </cell>
          <cell r="D112">
            <v>22320</v>
          </cell>
          <cell r="E112">
            <v>23100</v>
          </cell>
          <cell r="F112">
            <v>10860</v>
          </cell>
          <cell r="G112">
            <v>11460</v>
          </cell>
          <cell r="H112">
            <v>11460</v>
          </cell>
          <cell r="I112">
            <v>1572</v>
          </cell>
          <cell r="J112">
            <v>1572</v>
          </cell>
          <cell r="K112">
            <v>1540</v>
          </cell>
          <cell r="L112">
            <v>240</v>
          </cell>
          <cell r="M112">
            <v>1300</v>
          </cell>
          <cell r="N112">
            <v>32</v>
          </cell>
          <cell r="O112">
            <v>9888</v>
          </cell>
          <cell r="P112">
            <v>9888</v>
          </cell>
          <cell r="Q112">
            <v>2073</v>
          </cell>
          <cell r="R112">
            <v>2073</v>
          </cell>
          <cell r="S112">
            <v>7815</v>
          </cell>
          <cell r="T112">
            <v>7815</v>
          </cell>
          <cell r="U112">
            <v>287</v>
          </cell>
          <cell r="V112">
            <v>287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5527</v>
          </cell>
          <cell r="AG112">
            <v>3496</v>
          </cell>
          <cell r="AH112">
            <v>1775</v>
          </cell>
          <cell r="AI112">
            <v>1</v>
          </cell>
          <cell r="AJ112">
            <v>0</v>
          </cell>
          <cell r="AK112">
            <v>255</v>
          </cell>
          <cell r="AL112">
            <v>0</v>
          </cell>
          <cell r="AM112">
            <v>0</v>
          </cell>
          <cell r="AN112">
            <v>0</v>
          </cell>
          <cell r="AO112">
            <v>2001</v>
          </cell>
          <cell r="AP112">
            <v>70</v>
          </cell>
          <cell r="AQ112">
            <v>0</v>
          </cell>
          <cell r="AR112">
            <v>645</v>
          </cell>
          <cell r="AS112">
            <v>0</v>
          </cell>
          <cell r="AT112">
            <v>705</v>
          </cell>
          <cell r="AU112">
            <v>0</v>
          </cell>
          <cell r="AV112">
            <v>0</v>
          </cell>
          <cell r="AW112">
            <v>0</v>
          </cell>
          <cell r="AX112">
            <v>40</v>
          </cell>
          <cell r="AY112">
            <v>0</v>
          </cell>
          <cell r="AZ112">
            <v>0</v>
          </cell>
          <cell r="BA112">
            <v>541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1175.69</v>
          </cell>
          <cell r="BK112">
            <v>0</v>
          </cell>
          <cell r="BL112">
            <v>1175.69</v>
          </cell>
        </row>
        <row r="113">
          <cell r="B113" t="str">
            <v>LMIXSOL2</v>
          </cell>
          <cell r="C113">
            <v>34560</v>
          </cell>
          <cell r="D113">
            <v>22320</v>
          </cell>
          <cell r="E113">
            <v>29760</v>
          </cell>
          <cell r="F113">
            <v>17520</v>
          </cell>
          <cell r="G113">
            <v>4800</v>
          </cell>
          <cell r="H113">
            <v>4800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4800</v>
          </cell>
          <cell r="P113">
            <v>4800</v>
          </cell>
          <cell r="Q113">
            <v>1197</v>
          </cell>
          <cell r="R113">
            <v>1197</v>
          </cell>
          <cell r="S113">
            <v>3603</v>
          </cell>
          <cell r="T113">
            <v>3603</v>
          </cell>
          <cell r="U113">
            <v>137</v>
          </cell>
          <cell r="V113">
            <v>137</v>
          </cell>
          <cell r="W113">
            <v>0</v>
          </cell>
          <cell r="X113">
            <v>0</v>
          </cell>
          <cell r="Y113">
            <v>0</v>
          </cell>
          <cell r="Z113">
            <v>20</v>
          </cell>
          <cell r="AA113">
            <v>0</v>
          </cell>
          <cell r="AB113">
            <v>0</v>
          </cell>
          <cell r="AC113">
            <v>0</v>
          </cell>
          <cell r="AD113">
            <v>20</v>
          </cell>
          <cell r="AE113">
            <v>0</v>
          </cell>
          <cell r="AF113">
            <v>2647</v>
          </cell>
          <cell r="AG113">
            <v>2171</v>
          </cell>
          <cell r="AH113">
            <v>415</v>
          </cell>
          <cell r="AI113">
            <v>1</v>
          </cell>
          <cell r="AJ113">
            <v>0</v>
          </cell>
          <cell r="AK113">
            <v>60</v>
          </cell>
          <cell r="AL113">
            <v>0</v>
          </cell>
          <cell r="AM113">
            <v>0</v>
          </cell>
          <cell r="AN113">
            <v>0</v>
          </cell>
          <cell r="AO113">
            <v>799</v>
          </cell>
          <cell r="AP113">
            <v>45</v>
          </cell>
          <cell r="AQ113">
            <v>0</v>
          </cell>
          <cell r="AR113">
            <v>240</v>
          </cell>
          <cell r="AS113">
            <v>0</v>
          </cell>
          <cell r="AT113">
            <v>195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319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1460.98</v>
          </cell>
          <cell r="BK113">
            <v>0</v>
          </cell>
          <cell r="BL113">
            <v>1460.98</v>
          </cell>
        </row>
        <row r="114">
          <cell r="B114" t="str">
            <v>NBL SOL-COATING</v>
          </cell>
          <cell r="C114">
            <v>69120</v>
          </cell>
          <cell r="D114">
            <v>23040</v>
          </cell>
          <cell r="E114">
            <v>55740</v>
          </cell>
          <cell r="F114">
            <v>9660</v>
          </cell>
          <cell r="G114">
            <v>13380</v>
          </cell>
          <cell r="H114">
            <v>13380</v>
          </cell>
          <cell r="I114">
            <v>880</v>
          </cell>
          <cell r="J114">
            <v>880</v>
          </cell>
          <cell r="K114">
            <v>880</v>
          </cell>
          <cell r="L114">
            <v>0</v>
          </cell>
          <cell r="M114">
            <v>880</v>
          </cell>
          <cell r="N114">
            <v>0</v>
          </cell>
          <cell r="O114">
            <v>12500</v>
          </cell>
          <cell r="P114">
            <v>12500</v>
          </cell>
          <cell r="Q114">
            <v>5135</v>
          </cell>
          <cell r="R114">
            <v>5135</v>
          </cell>
          <cell r="S114">
            <v>7365</v>
          </cell>
          <cell r="T114">
            <v>7365</v>
          </cell>
          <cell r="U114">
            <v>500</v>
          </cell>
          <cell r="V114">
            <v>290</v>
          </cell>
          <cell r="W114">
            <v>0</v>
          </cell>
          <cell r="X114">
            <v>210</v>
          </cell>
          <cell r="Y114">
            <v>0</v>
          </cell>
          <cell r="Z114">
            <v>185</v>
          </cell>
          <cell r="AA114">
            <v>185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4420</v>
          </cell>
          <cell r="AG114">
            <v>1315</v>
          </cell>
          <cell r="AH114">
            <v>2655</v>
          </cell>
          <cell r="AI114">
            <v>0</v>
          </cell>
          <cell r="AJ114">
            <v>0</v>
          </cell>
          <cell r="AK114">
            <v>450</v>
          </cell>
          <cell r="AL114">
            <v>0</v>
          </cell>
          <cell r="AM114">
            <v>0</v>
          </cell>
          <cell r="AN114">
            <v>0</v>
          </cell>
          <cell r="AO114">
            <v>2260</v>
          </cell>
          <cell r="AP114">
            <v>0</v>
          </cell>
          <cell r="AQ114">
            <v>0</v>
          </cell>
          <cell r="AR114">
            <v>690</v>
          </cell>
          <cell r="AS114">
            <v>0</v>
          </cell>
          <cell r="AT114">
            <v>725</v>
          </cell>
          <cell r="AU114">
            <v>25</v>
          </cell>
          <cell r="AV114">
            <v>0</v>
          </cell>
          <cell r="AW114">
            <v>0</v>
          </cell>
          <cell r="AX114">
            <v>415</v>
          </cell>
          <cell r="AY114">
            <v>230</v>
          </cell>
          <cell r="AZ114">
            <v>10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165</v>
          </cell>
          <cell r="BG114">
            <v>0</v>
          </cell>
          <cell r="BH114">
            <v>0</v>
          </cell>
          <cell r="BI114">
            <v>0</v>
          </cell>
          <cell r="BJ114">
            <v>2309.58</v>
          </cell>
          <cell r="BK114">
            <v>1.02</v>
          </cell>
          <cell r="BL114">
            <v>2308.56</v>
          </cell>
        </row>
        <row r="115">
          <cell r="B115" t="str">
            <v>COT101</v>
          </cell>
          <cell r="C115">
            <v>34560</v>
          </cell>
          <cell r="D115">
            <v>11520</v>
          </cell>
          <cell r="E115">
            <v>26940</v>
          </cell>
          <cell r="F115">
            <v>3900</v>
          </cell>
          <cell r="G115">
            <v>7620</v>
          </cell>
          <cell r="H115">
            <v>7620</v>
          </cell>
          <cell r="I115">
            <v>210</v>
          </cell>
          <cell r="J115">
            <v>210</v>
          </cell>
          <cell r="K115">
            <v>210</v>
          </cell>
          <cell r="L115">
            <v>0</v>
          </cell>
          <cell r="M115">
            <v>210</v>
          </cell>
          <cell r="N115">
            <v>0</v>
          </cell>
          <cell r="O115">
            <v>7410</v>
          </cell>
          <cell r="P115">
            <v>7410</v>
          </cell>
          <cell r="Q115">
            <v>2695</v>
          </cell>
          <cell r="R115">
            <v>2695</v>
          </cell>
          <cell r="S115">
            <v>4715</v>
          </cell>
          <cell r="T115">
            <v>4715</v>
          </cell>
          <cell r="U115">
            <v>285</v>
          </cell>
          <cell r="V115">
            <v>170</v>
          </cell>
          <cell r="W115">
            <v>0</v>
          </cell>
          <cell r="X115">
            <v>115</v>
          </cell>
          <cell r="Y115">
            <v>0</v>
          </cell>
          <cell r="Z115">
            <v>185</v>
          </cell>
          <cell r="AA115">
            <v>185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2740</v>
          </cell>
          <cell r="AG115">
            <v>755</v>
          </cell>
          <cell r="AH115">
            <v>1725</v>
          </cell>
          <cell r="AI115">
            <v>0</v>
          </cell>
          <cell r="AJ115">
            <v>0</v>
          </cell>
          <cell r="AK115">
            <v>260</v>
          </cell>
          <cell r="AL115">
            <v>0</v>
          </cell>
          <cell r="AM115">
            <v>0</v>
          </cell>
          <cell r="AN115">
            <v>0</v>
          </cell>
          <cell r="AO115">
            <v>1505</v>
          </cell>
          <cell r="AP115">
            <v>0</v>
          </cell>
          <cell r="AQ115">
            <v>0</v>
          </cell>
          <cell r="AR115">
            <v>480</v>
          </cell>
          <cell r="AS115">
            <v>0</v>
          </cell>
          <cell r="AT115">
            <v>485</v>
          </cell>
          <cell r="AU115">
            <v>0</v>
          </cell>
          <cell r="AV115">
            <v>0</v>
          </cell>
          <cell r="AW115">
            <v>0</v>
          </cell>
          <cell r="AX115">
            <v>280</v>
          </cell>
          <cell r="AY115">
            <v>145</v>
          </cell>
          <cell r="AZ115">
            <v>10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105</v>
          </cell>
          <cell r="BG115">
            <v>0</v>
          </cell>
          <cell r="BH115">
            <v>0</v>
          </cell>
          <cell r="BI115">
            <v>0</v>
          </cell>
          <cell r="BJ115">
            <v>652.52</v>
          </cell>
          <cell r="BK115">
            <v>0.39</v>
          </cell>
          <cell r="BL115">
            <v>652.13</v>
          </cell>
        </row>
        <row r="116">
          <cell r="B116" t="str">
            <v>COT102</v>
          </cell>
          <cell r="C116">
            <v>34560</v>
          </cell>
          <cell r="D116">
            <v>11520</v>
          </cell>
          <cell r="E116">
            <v>28800</v>
          </cell>
          <cell r="F116">
            <v>5760</v>
          </cell>
          <cell r="G116">
            <v>5760</v>
          </cell>
          <cell r="H116">
            <v>5760</v>
          </cell>
          <cell r="I116">
            <v>670</v>
          </cell>
          <cell r="J116">
            <v>670</v>
          </cell>
          <cell r="K116">
            <v>670</v>
          </cell>
          <cell r="L116">
            <v>0</v>
          </cell>
          <cell r="M116">
            <v>670</v>
          </cell>
          <cell r="N116">
            <v>0</v>
          </cell>
          <cell r="O116">
            <v>5090</v>
          </cell>
          <cell r="P116">
            <v>5090</v>
          </cell>
          <cell r="Q116">
            <v>2440</v>
          </cell>
          <cell r="R116">
            <v>2440</v>
          </cell>
          <cell r="S116">
            <v>2650</v>
          </cell>
          <cell r="T116">
            <v>2650</v>
          </cell>
          <cell r="U116">
            <v>215</v>
          </cell>
          <cell r="V116">
            <v>120</v>
          </cell>
          <cell r="W116">
            <v>0</v>
          </cell>
          <cell r="X116">
            <v>95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1680</v>
          </cell>
          <cell r="AG116">
            <v>560</v>
          </cell>
          <cell r="AH116">
            <v>930</v>
          </cell>
          <cell r="AI116">
            <v>0</v>
          </cell>
          <cell r="AJ116">
            <v>0</v>
          </cell>
          <cell r="AK116">
            <v>190</v>
          </cell>
          <cell r="AL116">
            <v>0</v>
          </cell>
          <cell r="AM116">
            <v>0</v>
          </cell>
          <cell r="AN116">
            <v>0</v>
          </cell>
          <cell r="AO116">
            <v>755</v>
          </cell>
          <cell r="AP116">
            <v>0</v>
          </cell>
          <cell r="AQ116">
            <v>0</v>
          </cell>
          <cell r="AR116">
            <v>210</v>
          </cell>
          <cell r="AS116">
            <v>0</v>
          </cell>
          <cell r="AT116">
            <v>240</v>
          </cell>
          <cell r="AU116">
            <v>25</v>
          </cell>
          <cell r="AV116">
            <v>0</v>
          </cell>
          <cell r="AW116">
            <v>0</v>
          </cell>
          <cell r="AX116">
            <v>135</v>
          </cell>
          <cell r="AY116">
            <v>85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60</v>
          </cell>
          <cell r="BG116">
            <v>0</v>
          </cell>
          <cell r="BH116">
            <v>0</v>
          </cell>
          <cell r="BI116">
            <v>0</v>
          </cell>
          <cell r="BJ116">
            <v>1657.06</v>
          </cell>
          <cell r="BK116">
            <v>0.63</v>
          </cell>
          <cell r="BL116">
            <v>1656.43</v>
          </cell>
        </row>
        <row r="117">
          <cell r="B117" t="str">
            <v>NBL SOL-TABLETING</v>
          </cell>
          <cell r="C117">
            <v>103680</v>
          </cell>
          <cell r="D117">
            <v>56160</v>
          </cell>
          <cell r="E117">
            <v>63240</v>
          </cell>
          <cell r="F117">
            <v>15720</v>
          </cell>
          <cell r="G117">
            <v>40440</v>
          </cell>
          <cell r="H117">
            <v>40440</v>
          </cell>
          <cell r="I117">
            <v>4455</v>
          </cell>
          <cell r="J117">
            <v>4455</v>
          </cell>
          <cell r="K117">
            <v>4455</v>
          </cell>
          <cell r="L117">
            <v>430</v>
          </cell>
          <cell r="M117">
            <v>4025</v>
          </cell>
          <cell r="N117">
            <v>0</v>
          </cell>
          <cell r="O117">
            <v>35985</v>
          </cell>
          <cell r="P117">
            <v>35985</v>
          </cell>
          <cell r="Q117">
            <v>10895</v>
          </cell>
          <cell r="R117">
            <v>10895</v>
          </cell>
          <cell r="S117">
            <v>25090</v>
          </cell>
          <cell r="T117">
            <v>25090</v>
          </cell>
          <cell r="U117">
            <v>4150</v>
          </cell>
          <cell r="V117">
            <v>2695</v>
          </cell>
          <cell r="W117">
            <v>0</v>
          </cell>
          <cell r="X117">
            <v>175</v>
          </cell>
          <cell r="Y117">
            <v>1280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5600</v>
          </cell>
          <cell r="AG117">
            <v>1120</v>
          </cell>
          <cell r="AH117">
            <v>3520</v>
          </cell>
          <cell r="AI117">
            <v>155</v>
          </cell>
          <cell r="AJ117">
            <v>0</v>
          </cell>
          <cell r="AK117">
            <v>805</v>
          </cell>
          <cell r="AL117">
            <v>4935</v>
          </cell>
          <cell r="AM117">
            <v>530</v>
          </cell>
          <cell r="AN117">
            <v>4405</v>
          </cell>
          <cell r="AO117">
            <v>10405</v>
          </cell>
          <cell r="AP117">
            <v>0</v>
          </cell>
          <cell r="AQ117">
            <v>0</v>
          </cell>
          <cell r="AR117">
            <v>1740</v>
          </cell>
          <cell r="AS117">
            <v>15</v>
          </cell>
          <cell r="AT117">
            <v>1595</v>
          </cell>
          <cell r="AU117">
            <v>360</v>
          </cell>
          <cell r="AV117">
            <v>0</v>
          </cell>
          <cell r="AW117">
            <v>0</v>
          </cell>
          <cell r="AX117">
            <v>1775</v>
          </cell>
          <cell r="AY117">
            <v>740</v>
          </cell>
          <cell r="AZ117">
            <v>0</v>
          </cell>
          <cell r="BA117">
            <v>0</v>
          </cell>
          <cell r="BB117">
            <v>0</v>
          </cell>
          <cell r="BC117">
            <v>465</v>
          </cell>
          <cell r="BD117">
            <v>0</v>
          </cell>
          <cell r="BE117">
            <v>0</v>
          </cell>
          <cell r="BF117">
            <v>3190</v>
          </cell>
          <cell r="BG117">
            <v>440</v>
          </cell>
          <cell r="BH117">
            <v>0</v>
          </cell>
          <cell r="BI117">
            <v>85</v>
          </cell>
          <cell r="BJ117">
            <v>7918641</v>
          </cell>
          <cell r="BK117">
            <v>2215</v>
          </cell>
          <cell r="BL117">
            <v>7916426</v>
          </cell>
        </row>
        <row r="118">
          <cell r="B118" t="str">
            <v>TAB101</v>
          </cell>
          <cell r="C118">
            <v>34560</v>
          </cell>
          <cell r="D118">
            <v>22320</v>
          </cell>
          <cell r="E118">
            <v>20010</v>
          </cell>
          <cell r="F118">
            <v>7770</v>
          </cell>
          <cell r="G118">
            <v>14550</v>
          </cell>
          <cell r="H118">
            <v>14550</v>
          </cell>
          <cell r="I118">
            <v>1785</v>
          </cell>
          <cell r="J118">
            <v>1785</v>
          </cell>
          <cell r="K118">
            <v>1785</v>
          </cell>
          <cell r="L118">
            <v>405</v>
          </cell>
          <cell r="M118">
            <v>1380</v>
          </cell>
          <cell r="N118">
            <v>0</v>
          </cell>
          <cell r="O118">
            <v>12765</v>
          </cell>
          <cell r="P118">
            <v>12765</v>
          </cell>
          <cell r="Q118">
            <v>3790</v>
          </cell>
          <cell r="R118">
            <v>3790</v>
          </cell>
          <cell r="S118">
            <v>8975</v>
          </cell>
          <cell r="T118">
            <v>8975</v>
          </cell>
          <cell r="U118">
            <v>945</v>
          </cell>
          <cell r="V118">
            <v>845</v>
          </cell>
          <cell r="W118">
            <v>0</v>
          </cell>
          <cell r="X118">
            <v>0</v>
          </cell>
          <cell r="Y118">
            <v>100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1875</v>
          </cell>
          <cell r="AG118">
            <v>270</v>
          </cell>
          <cell r="AH118">
            <v>1250</v>
          </cell>
          <cell r="AI118">
            <v>90</v>
          </cell>
          <cell r="AJ118">
            <v>0</v>
          </cell>
          <cell r="AK118">
            <v>265</v>
          </cell>
          <cell r="AL118">
            <v>3315</v>
          </cell>
          <cell r="AM118">
            <v>0</v>
          </cell>
          <cell r="AN118">
            <v>3315</v>
          </cell>
          <cell r="AO118">
            <v>2840</v>
          </cell>
          <cell r="AP118">
            <v>0</v>
          </cell>
          <cell r="AQ118">
            <v>0</v>
          </cell>
          <cell r="AR118">
            <v>540</v>
          </cell>
          <cell r="AS118">
            <v>0</v>
          </cell>
          <cell r="AT118">
            <v>440</v>
          </cell>
          <cell r="AU118">
            <v>360</v>
          </cell>
          <cell r="AV118">
            <v>0</v>
          </cell>
          <cell r="AW118">
            <v>0</v>
          </cell>
          <cell r="AX118">
            <v>160</v>
          </cell>
          <cell r="AY118">
            <v>310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1030</v>
          </cell>
          <cell r="BG118">
            <v>0</v>
          </cell>
          <cell r="BH118">
            <v>0</v>
          </cell>
          <cell r="BI118">
            <v>0</v>
          </cell>
          <cell r="BJ118">
            <v>3706885</v>
          </cell>
          <cell r="BK118">
            <v>858</v>
          </cell>
          <cell r="BL118">
            <v>3706027</v>
          </cell>
        </row>
        <row r="119">
          <cell r="B119" t="str">
            <v>TAB105</v>
          </cell>
          <cell r="C119">
            <v>34560</v>
          </cell>
          <cell r="D119">
            <v>22320</v>
          </cell>
          <cell r="E119">
            <v>16200</v>
          </cell>
          <cell r="F119">
            <v>3960</v>
          </cell>
          <cell r="G119">
            <v>18360</v>
          </cell>
          <cell r="H119">
            <v>18360</v>
          </cell>
          <cell r="I119">
            <v>1135</v>
          </cell>
          <cell r="J119">
            <v>1135</v>
          </cell>
          <cell r="K119">
            <v>1135</v>
          </cell>
          <cell r="L119">
            <v>25</v>
          </cell>
          <cell r="M119">
            <v>1110</v>
          </cell>
          <cell r="N119">
            <v>0</v>
          </cell>
          <cell r="O119">
            <v>17225</v>
          </cell>
          <cell r="P119">
            <v>17225</v>
          </cell>
          <cell r="Q119">
            <v>4990</v>
          </cell>
          <cell r="R119">
            <v>4990</v>
          </cell>
          <cell r="S119">
            <v>12235</v>
          </cell>
          <cell r="T119">
            <v>12235</v>
          </cell>
          <cell r="U119">
            <v>2375</v>
          </cell>
          <cell r="V119">
            <v>1280</v>
          </cell>
          <cell r="W119">
            <v>0</v>
          </cell>
          <cell r="X119">
            <v>90</v>
          </cell>
          <cell r="Y119">
            <v>1005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2505</v>
          </cell>
          <cell r="AG119">
            <v>515</v>
          </cell>
          <cell r="AH119">
            <v>1630</v>
          </cell>
          <cell r="AI119">
            <v>65</v>
          </cell>
          <cell r="AJ119">
            <v>0</v>
          </cell>
          <cell r="AK119">
            <v>295</v>
          </cell>
          <cell r="AL119">
            <v>1620</v>
          </cell>
          <cell r="AM119">
            <v>530</v>
          </cell>
          <cell r="AN119">
            <v>1090</v>
          </cell>
          <cell r="AO119">
            <v>5735</v>
          </cell>
          <cell r="AP119">
            <v>0</v>
          </cell>
          <cell r="AQ119">
            <v>0</v>
          </cell>
          <cell r="AR119">
            <v>930</v>
          </cell>
          <cell r="AS119">
            <v>15</v>
          </cell>
          <cell r="AT119">
            <v>930</v>
          </cell>
          <cell r="AU119">
            <v>0</v>
          </cell>
          <cell r="AV119">
            <v>0</v>
          </cell>
          <cell r="AW119">
            <v>0</v>
          </cell>
          <cell r="AX119">
            <v>1130</v>
          </cell>
          <cell r="AY119">
            <v>355</v>
          </cell>
          <cell r="AZ119">
            <v>0</v>
          </cell>
          <cell r="BA119">
            <v>0</v>
          </cell>
          <cell r="BB119">
            <v>0</v>
          </cell>
          <cell r="BC119">
            <v>465</v>
          </cell>
          <cell r="BD119">
            <v>0</v>
          </cell>
          <cell r="BE119">
            <v>0</v>
          </cell>
          <cell r="BF119">
            <v>1385</v>
          </cell>
          <cell r="BG119">
            <v>440</v>
          </cell>
          <cell r="BH119">
            <v>0</v>
          </cell>
          <cell r="BI119">
            <v>85</v>
          </cell>
          <cell r="BJ119">
            <v>2363028</v>
          </cell>
          <cell r="BK119">
            <v>0</v>
          </cell>
          <cell r="BL119">
            <v>2363028</v>
          </cell>
        </row>
        <row r="120">
          <cell r="B120" t="str">
            <v>TAB103</v>
          </cell>
          <cell r="C120">
            <v>34560</v>
          </cell>
          <cell r="D120">
            <v>11520</v>
          </cell>
          <cell r="E120">
            <v>27030</v>
          </cell>
          <cell r="F120">
            <v>3990</v>
          </cell>
          <cell r="G120">
            <v>7530</v>
          </cell>
          <cell r="H120">
            <v>7530</v>
          </cell>
          <cell r="I120">
            <v>1535</v>
          </cell>
          <cell r="J120">
            <v>1535</v>
          </cell>
          <cell r="K120">
            <v>1535</v>
          </cell>
          <cell r="L120">
            <v>0</v>
          </cell>
          <cell r="M120">
            <v>1535</v>
          </cell>
          <cell r="N120">
            <v>0</v>
          </cell>
          <cell r="O120">
            <v>5995</v>
          </cell>
          <cell r="P120">
            <v>5995</v>
          </cell>
          <cell r="Q120">
            <v>2115</v>
          </cell>
          <cell r="R120">
            <v>2115</v>
          </cell>
          <cell r="S120">
            <v>3880</v>
          </cell>
          <cell r="T120">
            <v>3880</v>
          </cell>
          <cell r="U120">
            <v>830</v>
          </cell>
          <cell r="V120">
            <v>570</v>
          </cell>
          <cell r="W120">
            <v>0</v>
          </cell>
          <cell r="X120">
            <v>85</v>
          </cell>
          <cell r="Y120">
            <v>175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1220</v>
          </cell>
          <cell r="AG120">
            <v>335</v>
          </cell>
          <cell r="AH120">
            <v>640</v>
          </cell>
          <cell r="AI120">
            <v>0</v>
          </cell>
          <cell r="AJ120">
            <v>0</v>
          </cell>
          <cell r="AK120">
            <v>245</v>
          </cell>
          <cell r="AL120">
            <v>0</v>
          </cell>
          <cell r="AM120">
            <v>0</v>
          </cell>
          <cell r="AN120">
            <v>0</v>
          </cell>
          <cell r="AO120">
            <v>1830</v>
          </cell>
          <cell r="AP120">
            <v>0</v>
          </cell>
          <cell r="AQ120">
            <v>0</v>
          </cell>
          <cell r="AR120">
            <v>270</v>
          </cell>
          <cell r="AS120">
            <v>0</v>
          </cell>
          <cell r="AT120">
            <v>225</v>
          </cell>
          <cell r="AU120">
            <v>0</v>
          </cell>
          <cell r="AV120">
            <v>0</v>
          </cell>
          <cell r="AW120">
            <v>0</v>
          </cell>
          <cell r="AX120">
            <v>485</v>
          </cell>
          <cell r="AY120">
            <v>75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775</v>
          </cell>
          <cell r="BG120">
            <v>0</v>
          </cell>
          <cell r="BH120">
            <v>0</v>
          </cell>
          <cell r="BI120">
            <v>0</v>
          </cell>
          <cell r="BJ120">
            <v>1848728</v>
          </cell>
          <cell r="BK120">
            <v>1357</v>
          </cell>
          <cell r="BL120">
            <v>1847371</v>
          </cell>
        </row>
        <row r="121">
          <cell r="B121" t="str">
            <v>NBL SOL-CAPSULE</v>
          </cell>
          <cell r="C121">
            <v>69120</v>
          </cell>
          <cell r="D121">
            <v>23040</v>
          </cell>
          <cell r="E121">
            <v>63510</v>
          </cell>
          <cell r="F121">
            <v>17430</v>
          </cell>
          <cell r="G121">
            <v>5610</v>
          </cell>
          <cell r="H121">
            <v>5610</v>
          </cell>
          <cell r="I121">
            <v>875</v>
          </cell>
          <cell r="J121">
            <v>875</v>
          </cell>
          <cell r="K121">
            <v>875</v>
          </cell>
          <cell r="L121">
            <v>0</v>
          </cell>
          <cell r="M121">
            <v>875</v>
          </cell>
          <cell r="N121">
            <v>0</v>
          </cell>
          <cell r="O121">
            <v>4735</v>
          </cell>
          <cell r="P121">
            <v>4735</v>
          </cell>
          <cell r="Q121">
            <v>1935</v>
          </cell>
          <cell r="R121">
            <v>1935</v>
          </cell>
          <cell r="S121">
            <v>2800</v>
          </cell>
          <cell r="T121">
            <v>2800</v>
          </cell>
          <cell r="U121">
            <v>475</v>
          </cell>
          <cell r="V121">
            <v>475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1395</v>
          </cell>
          <cell r="AG121">
            <v>500</v>
          </cell>
          <cell r="AH121">
            <v>620</v>
          </cell>
          <cell r="AI121">
            <v>210</v>
          </cell>
          <cell r="AJ121">
            <v>0</v>
          </cell>
          <cell r="AK121">
            <v>65</v>
          </cell>
          <cell r="AL121">
            <v>0</v>
          </cell>
          <cell r="AM121">
            <v>0</v>
          </cell>
          <cell r="AN121">
            <v>0</v>
          </cell>
          <cell r="AO121">
            <v>930</v>
          </cell>
          <cell r="AP121">
            <v>0</v>
          </cell>
          <cell r="AQ121">
            <v>95</v>
          </cell>
          <cell r="AR121">
            <v>270</v>
          </cell>
          <cell r="AS121">
            <v>0</v>
          </cell>
          <cell r="AT121">
            <v>255</v>
          </cell>
          <cell r="AU121">
            <v>0</v>
          </cell>
          <cell r="AV121">
            <v>35</v>
          </cell>
          <cell r="AW121">
            <v>0</v>
          </cell>
          <cell r="AX121">
            <v>0</v>
          </cell>
          <cell r="AY121">
            <v>85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190</v>
          </cell>
          <cell r="BG121">
            <v>0</v>
          </cell>
          <cell r="BH121">
            <v>0</v>
          </cell>
          <cell r="BI121">
            <v>0</v>
          </cell>
          <cell r="BJ121">
            <v>620363</v>
          </cell>
          <cell r="BK121">
            <v>0</v>
          </cell>
          <cell r="BL121">
            <v>620363</v>
          </cell>
        </row>
        <row r="122">
          <cell r="B122" t="str">
            <v>KAP101</v>
          </cell>
          <cell r="C122">
            <v>34560</v>
          </cell>
          <cell r="D122">
            <v>11520</v>
          </cell>
          <cell r="E122">
            <v>29970</v>
          </cell>
          <cell r="F122">
            <v>6930</v>
          </cell>
          <cell r="G122">
            <v>4590</v>
          </cell>
          <cell r="H122">
            <v>4590</v>
          </cell>
          <cell r="I122">
            <v>90</v>
          </cell>
          <cell r="J122">
            <v>90</v>
          </cell>
          <cell r="K122">
            <v>90</v>
          </cell>
          <cell r="L122">
            <v>0</v>
          </cell>
          <cell r="M122">
            <v>90</v>
          </cell>
          <cell r="N122">
            <v>0</v>
          </cell>
          <cell r="O122">
            <v>4500</v>
          </cell>
          <cell r="P122">
            <v>4500</v>
          </cell>
          <cell r="Q122">
            <v>1850</v>
          </cell>
          <cell r="R122">
            <v>1850</v>
          </cell>
          <cell r="S122">
            <v>2650</v>
          </cell>
          <cell r="T122">
            <v>2650</v>
          </cell>
          <cell r="U122">
            <v>420</v>
          </cell>
          <cell r="V122">
            <v>420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1300</v>
          </cell>
          <cell r="AG122">
            <v>475</v>
          </cell>
          <cell r="AH122">
            <v>560</v>
          </cell>
          <cell r="AI122">
            <v>210</v>
          </cell>
          <cell r="AJ122">
            <v>0</v>
          </cell>
          <cell r="AK122">
            <v>55</v>
          </cell>
          <cell r="AL122">
            <v>0</v>
          </cell>
          <cell r="AM122">
            <v>0</v>
          </cell>
          <cell r="AN122">
            <v>0</v>
          </cell>
          <cell r="AO122">
            <v>930</v>
          </cell>
          <cell r="AP122">
            <v>0</v>
          </cell>
          <cell r="AQ122">
            <v>95</v>
          </cell>
          <cell r="AR122">
            <v>270</v>
          </cell>
          <cell r="AS122">
            <v>0</v>
          </cell>
          <cell r="AT122">
            <v>255</v>
          </cell>
          <cell r="AU122">
            <v>0</v>
          </cell>
          <cell r="AV122">
            <v>35</v>
          </cell>
          <cell r="AW122">
            <v>0</v>
          </cell>
          <cell r="AX122">
            <v>0</v>
          </cell>
          <cell r="AY122">
            <v>85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190</v>
          </cell>
          <cell r="BG122">
            <v>0</v>
          </cell>
          <cell r="BH122">
            <v>0</v>
          </cell>
          <cell r="BI122">
            <v>0</v>
          </cell>
          <cell r="BJ122">
            <v>484211</v>
          </cell>
          <cell r="BK122">
            <v>0</v>
          </cell>
          <cell r="BL122">
            <v>484211</v>
          </cell>
        </row>
        <row r="123">
          <cell r="B123" t="str">
            <v>KAP103</v>
          </cell>
          <cell r="C123">
            <v>34560</v>
          </cell>
          <cell r="D123">
            <v>11520</v>
          </cell>
          <cell r="E123">
            <v>33540</v>
          </cell>
          <cell r="F123">
            <v>10500</v>
          </cell>
          <cell r="G123">
            <v>1020</v>
          </cell>
          <cell r="H123">
            <v>1020</v>
          </cell>
          <cell r="I123">
            <v>785</v>
          </cell>
          <cell r="J123">
            <v>785</v>
          </cell>
          <cell r="K123">
            <v>785</v>
          </cell>
          <cell r="L123">
            <v>0</v>
          </cell>
          <cell r="M123">
            <v>785</v>
          </cell>
          <cell r="N123">
            <v>0</v>
          </cell>
          <cell r="O123">
            <v>235</v>
          </cell>
          <cell r="P123">
            <v>235</v>
          </cell>
          <cell r="Q123">
            <v>85</v>
          </cell>
          <cell r="R123">
            <v>85</v>
          </cell>
          <cell r="S123">
            <v>150</v>
          </cell>
          <cell r="T123">
            <v>150</v>
          </cell>
          <cell r="U123">
            <v>55</v>
          </cell>
          <cell r="V123">
            <v>55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95</v>
          </cell>
          <cell r="AG123">
            <v>25</v>
          </cell>
          <cell r="AH123">
            <v>60</v>
          </cell>
          <cell r="AI123">
            <v>0</v>
          </cell>
          <cell r="AJ123">
            <v>0</v>
          </cell>
          <cell r="AK123">
            <v>10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136152</v>
          </cell>
          <cell r="BK123">
            <v>0</v>
          </cell>
          <cell r="BL123">
            <v>136152</v>
          </cell>
        </row>
        <row r="124">
          <cell r="B124" t="str">
            <v>NBL SOL-STRIPPING</v>
          </cell>
          <cell r="C124">
            <v>172800</v>
          </cell>
          <cell r="D124">
            <v>79200</v>
          </cell>
          <cell r="E124">
            <v>110310</v>
          </cell>
          <cell r="F124">
            <v>16710</v>
          </cell>
          <cell r="G124">
            <v>62490</v>
          </cell>
          <cell r="H124">
            <v>62490</v>
          </cell>
          <cell r="I124">
            <v>2160</v>
          </cell>
          <cell r="J124">
            <v>2160</v>
          </cell>
          <cell r="K124">
            <v>2160</v>
          </cell>
          <cell r="L124">
            <v>610</v>
          </cell>
          <cell r="M124">
            <v>1550</v>
          </cell>
          <cell r="N124">
            <v>0</v>
          </cell>
          <cell r="O124">
            <v>60330</v>
          </cell>
          <cell r="P124">
            <v>60330</v>
          </cell>
          <cell r="Q124">
            <v>23760</v>
          </cell>
          <cell r="R124">
            <v>23760</v>
          </cell>
          <cell r="S124">
            <v>36570</v>
          </cell>
          <cell r="T124">
            <v>36570</v>
          </cell>
          <cell r="U124">
            <v>8275</v>
          </cell>
          <cell r="V124">
            <v>5070</v>
          </cell>
          <cell r="W124">
            <v>0</v>
          </cell>
          <cell r="X124">
            <v>3205</v>
          </cell>
          <cell r="Y124">
            <v>0</v>
          </cell>
          <cell r="Z124">
            <v>810</v>
          </cell>
          <cell r="AA124">
            <v>655</v>
          </cell>
          <cell r="AB124">
            <v>75</v>
          </cell>
          <cell r="AC124">
            <v>0</v>
          </cell>
          <cell r="AD124">
            <v>0</v>
          </cell>
          <cell r="AE124">
            <v>80</v>
          </cell>
          <cell r="AF124">
            <v>11710</v>
          </cell>
          <cell r="AG124">
            <v>5790</v>
          </cell>
          <cell r="AH124">
            <v>2425</v>
          </cell>
          <cell r="AI124">
            <v>2285</v>
          </cell>
          <cell r="AJ124">
            <v>0</v>
          </cell>
          <cell r="AK124">
            <v>1210</v>
          </cell>
          <cell r="AL124">
            <v>3610</v>
          </cell>
          <cell r="AM124">
            <v>330</v>
          </cell>
          <cell r="AN124">
            <v>3280</v>
          </cell>
          <cell r="AO124">
            <v>12165</v>
          </cell>
          <cell r="AP124">
            <v>45</v>
          </cell>
          <cell r="AQ124">
            <v>30</v>
          </cell>
          <cell r="AR124">
            <v>3585</v>
          </cell>
          <cell r="AS124">
            <v>0</v>
          </cell>
          <cell r="AT124">
            <v>3095</v>
          </cell>
          <cell r="AU124">
            <v>0</v>
          </cell>
          <cell r="AV124">
            <v>560</v>
          </cell>
          <cell r="AW124">
            <v>0</v>
          </cell>
          <cell r="AX124">
            <v>140</v>
          </cell>
          <cell r="AY124">
            <v>2115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2095</v>
          </cell>
          <cell r="BG124">
            <v>355</v>
          </cell>
          <cell r="BH124">
            <v>0</v>
          </cell>
          <cell r="BI124">
            <v>145</v>
          </cell>
          <cell r="BJ124">
            <v>12067160</v>
          </cell>
          <cell r="BK124">
            <v>49051.040000000001</v>
          </cell>
          <cell r="BL124">
            <v>12018108.960000001</v>
          </cell>
        </row>
        <row r="125">
          <cell r="B125" t="str">
            <v>STR105</v>
          </cell>
          <cell r="C125">
            <v>34560</v>
          </cell>
          <cell r="D125">
            <v>11520</v>
          </cell>
          <cell r="E125">
            <v>25380</v>
          </cell>
          <cell r="F125">
            <v>2340</v>
          </cell>
          <cell r="G125">
            <v>9180</v>
          </cell>
          <cell r="H125">
            <v>9180</v>
          </cell>
          <cell r="I125">
            <v>240</v>
          </cell>
          <cell r="J125">
            <v>240</v>
          </cell>
          <cell r="K125">
            <v>240</v>
          </cell>
          <cell r="L125">
            <v>0</v>
          </cell>
          <cell r="M125">
            <v>240</v>
          </cell>
          <cell r="N125">
            <v>0</v>
          </cell>
          <cell r="O125">
            <v>8940</v>
          </cell>
          <cell r="P125">
            <v>8940</v>
          </cell>
          <cell r="Q125">
            <v>2325</v>
          </cell>
          <cell r="R125">
            <v>2325</v>
          </cell>
          <cell r="S125">
            <v>6615</v>
          </cell>
          <cell r="T125">
            <v>6615</v>
          </cell>
          <cell r="U125">
            <v>1130</v>
          </cell>
          <cell r="V125">
            <v>665</v>
          </cell>
          <cell r="W125">
            <v>0</v>
          </cell>
          <cell r="X125">
            <v>465</v>
          </cell>
          <cell r="Y125">
            <v>0</v>
          </cell>
          <cell r="Z125">
            <v>55</v>
          </cell>
          <cell r="AA125">
            <v>20</v>
          </cell>
          <cell r="AB125">
            <v>35</v>
          </cell>
          <cell r="AC125">
            <v>0</v>
          </cell>
          <cell r="AD125">
            <v>0</v>
          </cell>
          <cell r="AE125">
            <v>0</v>
          </cell>
          <cell r="AF125">
            <v>1580</v>
          </cell>
          <cell r="AG125">
            <v>985</v>
          </cell>
          <cell r="AH125">
            <v>185</v>
          </cell>
          <cell r="AI125">
            <v>260</v>
          </cell>
          <cell r="AJ125">
            <v>0</v>
          </cell>
          <cell r="AK125">
            <v>150</v>
          </cell>
          <cell r="AL125">
            <v>2665</v>
          </cell>
          <cell r="AM125">
            <v>0</v>
          </cell>
          <cell r="AN125">
            <v>2665</v>
          </cell>
          <cell r="AO125">
            <v>1185</v>
          </cell>
          <cell r="AP125">
            <v>0</v>
          </cell>
          <cell r="AQ125">
            <v>0</v>
          </cell>
          <cell r="AR125">
            <v>390</v>
          </cell>
          <cell r="AS125">
            <v>0</v>
          </cell>
          <cell r="AT125">
            <v>285</v>
          </cell>
          <cell r="AU125">
            <v>0</v>
          </cell>
          <cell r="AV125">
            <v>10</v>
          </cell>
          <cell r="AW125">
            <v>0</v>
          </cell>
          <cell r="AX125">
            <v>0</v>
          </cell>
          <cell r="AY125">
            <v>170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330</v>
          </cell>
          <cell r="BG125">
            <v>0</v>
          </cell>
          <cell r="BH125">
            <v>0</v>
          </cell>
          <cell r="BI125">
            <v>0</v>
          </cell>
          <cell r="BJ125">
            <v>823951</v>
          </cell>
          <cell r="BK125">
            <v>6361</v>
          </cell>
          <cell r="BL125">
            <v>817590</v>
          </cell>
        </row>
        <row r="126">
          <cell r="B126" t="str">
            <v>STR102</v>
          </cell>
          <cell r="C126">
            <v>34560</v>
          </cell>
          <cell r="D126">
            <v>22320</v>
          </cell>
          <cell r="E126">
            <v>20310</v>
          </cell>
          <cell r="F126">
            <v>8070</v>
          </cell>
          <cell r="G126">
            <v>14250</v>
          </cell>
          <cell r="H126">
            <v>14250</v>
          </cell>
          <cell r="I126">
            <v>240</v>
          </cell>
          <cell r="J126">
            <v>240</v>
          </cell>
          <cell r="K126">
            <v>240</v>
          </cell>
          <cell r="L126">
            <v>240</v>
          </cell>
          <cell r="M126">
            <v>0</v>
          </cell>
          <cell r="N126">
            <v>0</v>
          </cell>
          <cell r="O126">
            <v>14010</v>
          </cell>
          <cell r="P126">
            <v>14010</v>
          </cell>
          <cell r="Q126">
            <v>4845</v>
          </cell>
          <cell r="R126">
            <v>4845</v>
          </cell>
          <cell r="S126">
            <v>9165</v>
          </cell>
          <cell r="T126">
            <v>9165</v>
          </cell>
          <cell r="U126">
            <v>1945</v>
          </cell>
          <cell r="V126">
            <v>1440</v>
          </cell>
          <cell r="W126">
            <v>0</v>
          </cell>
          <cell r="X126">
            <v>505</v>
          </cell>
          <cell r="Y126">
            <v>0</v>
          </cell>
          <cell r="Z126">
            <v>405</v>
          </cell>
          <cell r="AA126">
            <v>405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3055</v>
          </cell>
          <cell r="AG126">
            <v>1200</v>
          </cell>
          <cell r="AH126">
            <v>860</v>
          </cell>
          <cell r="AI126">
            <v>710</v>
          </cell>
          <cell r="AJ126">
            <v>0</v>
          </cell>
          <cell r="AK126">
            <v>285</v>
          </cell>
          <cell r="AL126">
            <v>750</v>
          </cell>
          <cell r="AM126">
            <v>330</v>
          </cell>
          <cell r="AN126">
            <v>420</v>
          </cell>
          <cell r="AO126">
            <v>3010</v>
          </cell>
          <cell r="AP126">
            <v>0</v>
          </cell>
          <cell r="AQ126">
            <v>30</v>
          </cell>
          <cell r="AR126">
            <v>780</v>
          </cell>
          <cell r="AS126">
            <v>0</v>
          </cell>
          <cell r="AT126">
            <v>775</v>
          </cell>
          <cell r="AU126">
            <v>0</v>
          </cell>
          <cell r="AV126">
            <v>255</v>
          </cell>
          <cell r="AW126">
            <v>0</v>
          </cell>
          <cell r="AX126">
            <v>140</v>
          </cell>
          <cell r="AY126">
            <v>470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560</v>
          </cell>
          <cell r="BG126">
            <v>0</v>
          </cell>
          <cell r="BH126">
            <v>0</v>
          </cell>
          <cell r="BI126">
            <v>0</v>
          </cell>
          <cell r="BJ126">
            <v>5625279</v>
          </cell>
          <cell r="BK126">
            <v>16747.04</v>
          </cell>
          <cell r="BL126">
            <v>5608531.96</v>
          </cell>
        </row>
        <row r="127">
          <cell r="B127" t="str">
            <v>STR104</v>
          </cell>
          <cell r="C127">
            <v>34560</v>
          </cell>
          <cell r="D127">
            <v>11520</v>
          </cell>
          <cell r="E127">
            <v>23910</v>
          </cell>
          <cell r="F127">
            <v>870</v>
          </cell>
          <cell r="G127">
            <v>10650</v>
          </cell>
          <cell r="H127">
            <v>10650</v>
          </cell>
          <cell r="I127">
            <v>825</v>
          </cell>
          <cell r="J127">
            <v>825</v>
          </cell>
          <cell r="K127">
            <v>825</v>
          </cell>
          <cell r="L127">
            <v>0</v>
          </cell>
          <cell r="M127">
            <v>825</v>
          </cell>
          <cell r="N127">
            <v>0</v>
          </cell>
          <cell r="O127">
            <v>9825</v>
          </cell>
          <cell r="P127">
            <v>9825</v>
          </cell>
          <cell r="Q127">
            <v>6000</v>
          </cell>
          <cell r="R127">
            <v>6000</v>
          </cell>
          <cell r="S127">
            <v>3825</v>
          </cell>
          <cell r="T127">
            <v>3825</v>
          </cell>
          <cell r="U127">
            <v>70</v>
          </cell>
          <cell r="V127">
            <v>70</v>
          </cell>
          <cell r="W127">
            <v>0</v>
          </cell>
          <cell r="X127">
            <v>0</v>
          </cell>
          <cell r="Y127">
            <v>0</v>
          </cell>
          <cell r="Z127">
            <v>35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35</v>
          </cell>
          <cell r="AF127">
            <v>2245</v>
          </cell>
          <cell r="AG127">
            <v>1325</v>
          </cell>
          <cell r="AH127">
            <v>275</v>
          </cell>
          <cell r="AI127">
            <v>405</v>
          </cell>
          <cell r="AJ127">
            <v>0</v>
          </cell>
          <cell r="AK127">
            <v>240</v>
          </cell>
          <cell r="AL127">
            <v>0</v>
          </cell>
          <cell r="AM127">
            <v>0</v>
          </cell>
          <cell r="AN127">
            <v>0</v>
          </cell>
          <cell r="AO127">
            <v>1475</v>
          </cell>
          <cell r="AP127">
            <v>45</v>
          </cell>
          <cell r="AQ127">
            <v>0</v>
          </cell>
          <cell r="AR127">
            <v>600</v>
          </cell>
          <cell r="AS127">
            <v>0</v>
          </cell>
          <cell r="AT127">
            <v>390</v>
          </cell>
          <cell r="AU127">
            <v>0</v>
          </cell>
          <cell r="AV127">
            <v>45</v>
          </cell>
          <cell r="AW127">
            <v>0</v>
          </cell>
          <cell r="AX127">
            <v>0</v>
          </cell>
          <cell r="AY127">
            <v>310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85</v>
          </cell>
          <cell r="BG127">
            <v>0</v>
          </cell>
          <cell r="BH127">
            <v>0</v>
          </cell>
          <cell r="BI127">
            <v>0</v>
          </cell>
          <cell r="BJ127">
            <v>40872</v>
          </cell>
          <cell r="BK127">
            <v>247</v>
          </cell>
          <cell r="BL127">
            <v>40625</v>
          </cell>
        </row>
        <row r="128">
          <cell r="B128" t="str">
            <v>STR103</v>
          </cell>
          <cell r="C128">
            <v>34560</v>
          </cell>
          <cell r="D128">
            <v>11520</v>
          </cell>
          <cell r="E128">
            <v>19350</v>
          </cell>
          <cell r="F128">
            <v>-3690</v>
          </cell>
          <cell r="G128">
            <v>15210</v>
          </cell>
          <cell r="H128">
            <v>15210</v>
          </cell>
          <cell r="I128">
            <v>705</v>
          </cell>
          <cell r="J128">
            <v>705</v>
          </cell>
          <cell r="K128">
            <v>705</v>
          </cell>
          <cell r="L128">
            <v>370</v>
          </cell>
          <cell r="M128">
            <v>335</v>
          </cell>
          <cell r="N128">
            <v>0</v>
          </cell>
          <cell r="O128">
            <v>14505</v>
          </cell>
          <cell r="P128">
            <v>14505</v>
          </cell>
          <cell r="Q128">
            <v>5310</v>
          </cell>
          <cell r="R128">
            <v>5310</v>
          </cell>
          <cell r="S128">
            <v>9195</v>
          </cell>
          <cell r="T128">
            <v>9195</v>
          </cell>
          <cell r="U128">
            <v>3240</v>
          </cell>
          <cell r="V128">
            <v>2060</v>
          </cell>
          <cell r="W128">
            <v>0</v>
          </cell>
          <cell r="X128">
            <v>1180</v>
          </cell>
          <cell r="Y128">
            <v>0</v>
          </cell>
          <cell r="Z128">
            <v>135</v>
          </cell>
          <cell r="AA128">
            <v>90</v>
          </cell>
          <cell r="AB128">
            <v>0</v>
          </cell>
          <cell r="AC128">
            <v>0</v>
          </cell>
          <cell r="AD128">
            <v>0</v>
          </cell>
          <cell r="AE128">
            <v>45</v>
          </cell>
          <cell r="AF128">
            <v>2385</v>
          </cell>
          <cell r="AG128">
            <v>1240</v>
          </cell>
          <cell r="AH128">
            <v>480</v>
          </cell>
          <cell r="AI128">
            <v>375</v>
          </cell>
          <cell r="AJ128">
            <v>0</v>
          </cell>
          <cell r="AK128">
            <v>290</v>
          </cell>
          <cell r="AL128">
            <v>0</v>
          </cell>
          <cell r="AM128">
            <v>0</v>
          </cell>
          <cell r="AN128">
            <v>0</v>
          </cell>
          <cell r="AO128">
            <v>3435</v>
          </cell>
          <cell r="AP128">
            <v>0</v>
          </cell>
          <cell r="AQ128">
            <v>0</v>
          </cell>
          <cell r="AR128">
            <v>975</v>
          </cell>
          <cell r="AS128">
            <v>0</v>
          </cell>
          <cell r="AT128">
            <v>795</v>
          </cell>
          <cell r="AU128">
            <v>0</v>
          </cell>
          <cell r="AV128">
            <v>235</v>
          </cell>
          <cell r="AW128">
            <v>0</v>
          </cell>
          <cell r="AX128">
            <v>0</v>
          </cell>
          <cell r="AY128">
            <v>480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490</v>
          </cell>
          <cell r="BG128">
            <v>355</v>
          </cell>
          <cell r="BH128">
            <v>0</v>
          </cell>
          <cell r="BI128">
            <v>105</v>
          </cell>
          <cell r="BJ128">
            <v>2803584</v>
          </cell>
          <cell r="BK128">
            <v>12112</v>
          </cell>
          <cell r="BL128">
            <v>2791472</v>
          </cell>
        </row>
        <row r="129">
          <cell r="B129" t="str">
            <v>STR101</v>
          </cell>
          <cell r="C129">
            <v>34560</v>
          </cell>
          <cell r="D129">
            <v>22320</v>
          </cell>
          <cell r="E129">
            <v>21360</v>
          </cell>
          <cell r="F129">
            <v>9120</v>
          </cell>
          <cell r="G129">
            <v>13200</v>
          </cell>
          <cell r="H129">
            <v>13200</v>
          </cell>
          <cell r="I129">
            <v>150</v>
          </cell>
          <cell r="J129">
            <v>150</v>
          </cell>
          <cell r="K129">
            <v>150</v>
          </cell>
          <cell r="L129">
            <v>0</v>
          </cell>
          <cell r="M129">
            <v>150</v>
          </cell>
          <cell r="N129">
            <v>0</v>
          </cell>
          <cell r="O129">
            <v>13050</v>
          </cell>
          <cell r="P129">
            <v>13050</v>
          </cell>
          <cell r="Q129">
            <v>5280</v>
          </cell>
          <cell r="R129">
            <v>5280</v>
          </cell>
          <cell r="S129">
            <v>7770</v>
          </cell>
          <cell r="T129">
            <v>7770</v>
          </cell>
          <cell r="U129">
            <v>1890</v>
          </cell>
          <cell r="V129">
            <v>835</v>
          </cell>
          <cell r="W129">
            <v>0</v>
          </cell>
          <cell r="X129">
            <v>1055</v>
          </cell>
          <cell r="Y129">
            <v>0</v>
          </cell>
          <cell r="Z129">
            <v>180</v>
          </cell>
          <cell r="AA129">
            <v>140</v>
          </cell>
          <cell r="AB129">
            <v>40</v>
          </cell>
          <cell r="AC129">
            <v>0</v>
          </cell>
          <cell r="AD129">
            <v>0</v>
          </cell>
          <cell r="AE129">
            <v>0</v>
          </cell>
          <cell r="AF129">
            <v>2445</v>
          </cell>
          <cell r="AG129">
            <v>1040</v>
          </cell>
          <cell r="AH129">
            <v>625</v>
          </cell>
          <cell r="AI129">
            <v>535</v>
          </cell>
          <cell r="AJ129">
            <v>0</v>
          </cell>
          <cell r="AK129">
            <v>245</v>
          </cell>
          <cell r="AL129">
            <v>195</v>
          </cell>
          <cell r="AM129">
            <v>0</v>
          </cell>
          <cell r="AN129">
            <v>195</v>
          </cell>
          <cell r="AO129">
            <v>3060</v>
          </cell>
          <cell r="AP129">
            <v>0</v>
          </cell>
          <cell r="AQ129">
            <v>0</v>
          </cell>
          <cell r="AR129">
            <v>840</v>
          </cell>
          <cell r="AS129">
            <v>0</v>
          </cell>
          <cell r="AT129">
            <v>850</v>
          </cell>
          <cell r="AU129">
            <v>0</v>
          </cell>
          <cell r="AV129">
            <v>15</v>
          </cell>
          <cell r="AW129">
            <v>0</v>
          </cell>
          <cell r="AX129">
            <v>0</v>
          </cell>
          <cell r="AY129">
            <v>685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630</v>
          </cell>
          <cell r="BG129">
            <v>0</v>
          </cell>
          <cell r="BH129">
            <v>0</v>
          </cell>
          <cell r="BI129">
            <v>40</v>
          </cell>
          <cell r="BJ129">
            <v>2773474</v>
          </cell>
          <cell r="BK129">
            <v>13584</v>
          </cell>
          <cell r="BL129">
            <v>2759890</v>
          </cell>
        </row>
        <row r="130">
          <cell r="B130" t="str">
            <v>NBL SYR-MIXING</v>
          </cell>
          <cell r="C130">
            <v>34560</v>
          </cell>
          <cell r="D130">
            <v>22320</v>
          </cell>
          <cell r="E130">
            <v>26910</v>
          </cell>
          <cell r="F130">
            <v>14670</v>
          </cell>
          <cell r="G130">
            <v>7650</v>
          </cell>
          <cell r="H130">
            <v>7650</v>
          </cell>
          <cell r="I130">
            <v>645</v>
          </cell>
          <cell r="J130">
            <v>645</v>
          </cell>
          <cell r="K130">
            <v>645</v>
          </cell>
          <cell r="L130">
            <v>100</v>
          </cell>
          <cell r="M130">
            <v>545</v>
          </cell>
          <cell r="N130">
            <v>0</v>
          </cell>
          <cell r="O130">
            <v>7005</v>
          </cell>
          <cell r="P130">
            <v>7005</v>
          </cell>
          <cell r="Q130">
            <v>2401</v>
          </cell>
          <cell r="R130">
            <v>2401</v>
          </cell>
          <cell r="S130">
            <v>4604</v>
          </cell>
          <cell r="T130">
            <v>4604</v>
          </cell>
          <cell r="U130">
            <v>277</v>
          </cell>
          <cell r="V130">
            <v>277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2587</v>
          </cell>
          <cell r="AG130">
            <v>243</v>
          </cell>
          <cell r="AH130">
            <v>2344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1740</v>
          </cell>
          <cell r="AP130">
            <v>137</v>
          </cell>
          <cell r="AQ130">
            <v>0</v>
          </cell>
          <cell r="AR130">
            <v>295</v>
          </cell>
          <cell r="AS130">
            <v>0</v>
          </cell>
          <cell r="AT130">
            <v>205</v>
          </cell>
          <cell r="AU130">
            <v>0</v>
          </cell>
          <cell r="AV130">
            <v>0</v>
          </cell>
          <cell r="AW130">
            <v>0</v>
          </cell>
          <cell r="AX130">
            <v>142</v>
          </cell>
          <cell r="AY130">
            <v>0</v>
          </cell>
          <cell r="AZ130">
            <v>0</v>
          </cell>
          <cell r="BA130">
            <v>0</v>
          </cell>
          <cell r="BB130">
            <v>221</v>
          </cell>
          <cell r="BC130">
            <v>0</v>
          </cell>
          <cell r="BD130">
            <v>0</v>
          </cell>
          <cell r="BE130">
            <v>0</v>
          </cell>
          <cell r="BF130">
            <v>38</v>
          </cell>
          <cell r="BG130">
            <v>687</v>
          </cell>
          <cell r="BH130">
            <v>0</v>
          </cell>
          <cell r="BI130">
            <v>15</v>
          </cell>
          <cell r="BJ130">
            <v>13025</v>
          </cell>
          <cell r="BK130">
            <v>2.15</v>
          </cell>
          <cell r="BL130">
            <v>13022.85</v>
          </cell>
        </row>
        <row r="131">
          <cell r="B131" t="str">
            <v>LMIXSYR1</v>
          </cell>
          <cell r="C131">
            <v>34560</v>
          </cell>
          <cell r="D131">
            <v>22320</v>
          </cell>
          <cell r="E131">
            <v>26910</v>
          </cell>
          <cell r="F131">
            <v>14670</v>
          </cell>
          <cell r="G131">
            <v>7650</v>
          </cell>
          <cell r="H131">
            <v>7650</v>
          </cell>
          <cell r="I131">
            <v>645</v>
          </cell>
          <cell r="J131">
            <v>645</v>
          </cell>
          <cell r="K131">
            <v>645</v>
          </cell>
          <cell r="L131">
            <v>100</v>
          </cell>
          <cell r="M131">
            <v>545</v>
          </cell>
          <cell r="N131">
            <v>0</v>
          </cell>
          <cell r="O131">
            <v>7005</v>
          </cell>
          <cell r="P131">
            <v>7005</v>
          </cell>
          <cell r="Q131">
            <v>2401</v>
          </cell>
          <cell r="R131">
            <v>2401</v>
          </cell>
          <cell r="S131">
            <v>4604</v>
          </cell>
          <cell r="T131">
            <v>4604</v>
          </cell>
          <cell r="U131">
            <v>277</v>
          </cell>
          <cell r="V131">
            <v>277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2587</v>
          </cell>
          <cell r="AG131">
            <v>243</v>
          </cell>
          <cell r="AH131">
            <v>2344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1740</v>
          </cell>
          <cell r="AP131">
            <v>137</v>
          </cell>
          <cell r="AQ131">
            <v>0</v>
          </cell>
          <cell r="AR131">
            <v>295</v>
          </cell>
          <cell r="AS131">
            <v>0</v>
          </cell>
          <cell r="AT131">
            <v>205</v>
          </cell>
          <cell r="AU131">
            <v>0</v>
          </cell>
          <cell r="AV131">
            <v>0</v>
          </cell>
          <cell r="AW131">
            <v>0</v>
          </cell>
          <cell r="AX131">
            <v>142</v>
          </cell>
          <cell r="AY131">
            <v>0</v>
          </cell>
          <cell r="AZ131">
            <v>0</v>
          </cell>
          <cell r="BA131">
            <v>0</v>
          </cell>
          <cell r="BB131">
            <v>221</v>
          </cell>
          <cell r="BC131">
            <v>0</v>
          </cell>
          <cell r="BD131">
            <v>0</v>
          </cell>
          <cell r="BE131">
            <v>0</v>
          </cell>
          <cell r="BF131">
            <v>38</v>
          </cell>
          <cell r="BG131">
            <v>687</v>
          </cell>
          <cell r="BH131">
            <v>0</v>
          </cell>
          <cell r="BI131">
            <v>15</v>
          </cell>
          <cell r="BJ131">
            <v>13025</v>
          </cell>
          <cell r="BK131">
            <v>2.15</v>
          </cell>
          <cell r="BL131">
            <v>13022.85</v>
          </cell>
        </row>
        <row r="132">
          <cell r="B132" t="str">
            <v>NBL SYR-FILLING</v>
          </cell>
          <cell r="C132">
            <v>69120</v>
          </cell>
          <cell r="D132">
            <v>44640</v>
          </cell>
          <cell r="E132">
            <v>56370</v>
          </cell>
          <cell r="F132">
            <v>31890</v>
          </cell>
          <cell r="G132">
            <v>12750</v>
          </cell>
          <cell r="H132">
            <v>12750</v>
          </cell>
          <cell r="I132">
            <v>2010</v>
          </cell>
          <cell r="J132">
            <v>2010</v>
          </cell>
          <cell r="K132">
            <v>1680</v>
          </cell>
          <cell r="L132">
            <v>90</v>
          </cell>
          <cell r="M132">
            <v>1590</v>
          </cell>
          <cell r="N132">
            <v>330</v>
          </cell>
          <cell r="O132">
            <v>10740</v>
          </cell>
          <cell r="P132">
            <v>10740</v>
          </cell>
          <cell r="Q132">
            <v>3500</v>
          </cell>
          <cell r="R132">
            <v>3500</v>
          </cell>
          <cell r="S132">
            <v>7240</v>
          </cell>
          <cell r="T132">
            <v>7240</v>
          </cell>
          <cell r="U132">
            <v>855</v>
          </cell>
          <cell r="V132">
            <v>600</v>
          </cell>
          <cell r="W132">
            <v>0</v>
          </cell>
          <cell r="X132">
            <v>185</v>
          </cell>
          <cell r="Y132">
            <v>70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3105</v>
          </cell>
          <cell r="AG132">
            <v>235</v>
          </cell>
          <cell r="AH132">
            <v>1900</v>
          </cell>
          <cell r="AI132">
            <v>0</v>
          </cell>
          <cell r="AJ132">
            <v>0</v>
          </cell>
          <cell r="AK132">
            <v>970</v>
          </cell>
          <cell r="AL132">
            <v>0</v>
          </cell>
          <cell r="AM132">
            <v>0</v>
          </cell>
          <cell r="AN132">
            <v>0</v>
          </cell>
          <cell r="AO132">
            <v>3280</v>
          </cell>
          <cell r="AP132">
            <v>0</v>
          </cell>
          <cell r="AQ132">
            <v>0</v>
          </cell>
          <cell r="AR132">
            <v>555</v>
          </cell>
          <cell r="AS132">
            <v>0</v>
          </cell>
          <cell r="AT132">
            <v>315</v>
          </cell>
          <cell r="AU132">
            <v>0</v>
          </cell>
          <cell r="AV132">
            <v>0</v>
          </cell>
          <cell r="AW132">
            <v>0</v>
          </cell>
          <cell r="AX132">
            <v>2395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15</v>
          </cell>
          <cell r="BH132">
            <v>0</v>
          </cell>
          <cell r="BI132">
            <v>0</v>
          </cell>
          <cell r="BJ132">
            <v>195803</v>
          </cell>
          <cell r="BK132">
            <v>345</v>
          </cell>
          <cell r="BL132">
            <v>195458</v>
          </cell>
        </row>
        <row r="133">
          <cell r="B133" t="str">
            <v>SYR109</v>
          </cell>
          <cell r="C133">
            <v>34560</v>
          </cell>
          <cell r="D133">
            <v>22320</v>
          </cell>
          <cell r="E133">
            <v>23340</v>
          </cell>
          <cell r="F133">
            <v>11100</v>
          </cell>
          <cell r="G133">
            <v>11220</v>
          </cell>
          <cell r="H133">
            <v>11220</v>
          </cell>
          <cell r="I133">
            <v>1650</v>
          </cell>
          <cell r="J133">
            <v>1650</v>
          </cell>
          <cell r="K133">
            <v>1650</v>
          </cell>
          <cell r="L133">
            <v>60</v>
          </cell>
          <cell r="M133">
            <v>1590</v>
          </cell>
          <cell r="N133">
            <v>0</v>
          </cell>
          <cell r="O133">
            <v>9570</v>
          </cell>
          <cell r="P133">
            <v>9570</v>
          </cell>
          <cell r="Q133">
            <v>2780</v>
          </cell>
          <cell r="R133">
            <v>2780</v>
          </cell>
          <cell r="S133">
            <v>6790</v>
          </cell>
          <cell r="T133">
            <v>6790</v>
          </cell>
          <cell r="U133">
            <v>840</v>
          </cell>
          <cell r="V133">
            <v>600</v>
          </cell>
          <cell r="W133">
            <v>0</v>
          </cell>
          <cell r="X133">
            <v>170</v>
          </cell>
          <cell r="Y133">
            <v>70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2760</v>
          </cell>
          <cell r="AG133">
            <v>210</v>
          </cell>
          <cell r="AH133">
            <v>1695</v>
          </cell>
          <cell r="AI133">
            <v>0</v>
          </cell>
          <cell r="AJ133">
            <v>0</v>
          </cell>
          <cell r="AK133">
            <v>855</v>
          </cell>
          <cell r="AL133">
            <v>0</v>
          </cell>
          <cell r="AM133">
            <v>0</v>
          </cell>
          <cell r="AN133">
            <v>0</v>
          </cell>
          <cell r="AO133">
            <v>3190</v>
          </cell>
          <cell r="AP133">
            <v>0</v>
          </cell>
          <cell r="AQ133">
            <v>0</v>
          </cell>
          <cell r="AR133">
            <v>495</v>
          </cell>
          <cell r="AS133">
            <v>0</v>
          </cell>
          <cell r="AT133">
            <v>285</v>
          </cell>
          <cell r="AU133">
            <v>0</v>
          </cell>
          <cell r="AV133">
            <v>0</v>
          </cell>
          <cell r="AW133">
            <v>0</v>
          </cell>
          <cell r="AX133">
            <v>2395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15</v>
          </cell>
          <cell r="BH133">
            <v>0</v>
          </cell>
          <cell r="BI133">
            <v>0</v>
          </cell>
          <cell r="BJ133">
            <v>152008</v>
          </cell>
          <cell r="BK133">
            <v>285</v>
          </cell>
          <cell r="BL133">
            <v>151723</v>
          </cell>
        </row>
        <row r="134">
          <cell r="B134" t="str">
            <v>SYR110</v>
          </cell>
          <cell r="C134">
            <v>34560</v>
          </cell>
          <cell r="D134">
            <v>22320</v>
          </cell>
          <cell r="E134">
            <v>33030</v>
          </cell>
          <cell r="F134">
            <v>20790</v>
          </cell>
          <cell r="G134">
            <v>1530</v>
          </cell>
          <cell r="H134">
            <v>1530</v>
          </cell>
          <cell r="I134">
            <v>360</v>
          </cell>
          <cell r="J134">
            <v>360</v>
          </cell>
          <cell r="K134">
            <v>30</v>
          </cell>
          <cell r="L134">
            <v>30</v>
          </cell>
          <cell r="M134">
            <v>0</v>
          </cell>
          <cell r="N134">
            <v>330</v>
          </cell>
          <cell r="O134">
            <v>1170</v>
          </cell>
          <cell r="P134">
            <v>1170</v>
          </cell>
          <cell r="Q134">
            <v>720</v>
          </cell>
          <cell r="R134">
            <v>720</v>
          </cell>
          <cell r="S134">
            <v>450</v>
          </cell>
          <cell r="T134">
            <v>450</v>
          </cell>
          <cell r="U134">
            <v>15</v>
          </cell>
          <cell r="V134">
            <v>0</v>
          </cell>
          <cell r="W134">
            <v>0</v>
          </cell>
          <cell r="X134">
            <v>15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345</v>
          </cell>
          <cell r="AG134">
            <v>25</v>
          </cell>
          <cell r="AH134">
            <v>205</v>
          </cell>
          <cell r="AI134">
            <v>0</v>
          </cell>
          <cell r="AJ134">
            <v>0</v>
          </cell>
          <cell r="AK134">
            <v>115</v>
          </cell>
          <cell r="AL134">
            <v>0</v>
          </cell>
          <cell r="AM134">
            <v>0</v>
          </cell>
          <cell r="AN134">
            <v>0</v>
          </cell>
          <cell r="AO134">
            <v>90</v>
          </cell>
          <cell r="AP134">
            <v>0</v>
          </cell>
          <cell r="AQ134">
            <v>0</v>
          </cell>
          <cell r="AR134">
            <v>60</v>
          </cell>
          <cell r="AS134">
            <v>0</v>
          </cell>
          <cell r="AT134">
            <v>30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43795</v>
          </cell>
          <cell r="BK134">
            <v>60</v>
          </cell>
          <cell r="BL134">
            <v>43735</v>
          </cell>
        </row>
        <row r="135">
          <cell r="B135" t="str">
            <v>NBL INJ-MIXING</v>
          </cell>
          <cell r="C135">
            <v>34560</v>
          </cell>
          <cell r="D135">
            <v>22320</v>
          </cell>
          <cell r="E135">
            <v>26180</v>
          </cell>
          <cell r="F135">
            <v>13940</v>
          </cell>
          <cell r="G135">
            <v>8380</v>
          </cell>
          <cell r="H135">
            <v>8380</v>
          </cell>
          <cell r="I135">
            <v>335</v>
          </cell>
          <cell r="J135">
            <v>335</v>
          </cell>
          <cell r="K135">
            <v>335</v>
          </cell>
          <cell r="L135">
            <v>0</v>
          </cell>
          <cell r="M135">
            <v>335</v>
          </cell>
          <cell r="N135">
            <v>0</v>
          </cell>
          <cell r="O135">
            <v>8045</v>
          </cell>
          <cell r="P135">
            <v>8045</v>
          </cell>
          <cell r="Q135">
            <v>2721</v>
          </cell>
          <cell r="R135">
            <v>2721</v>
          </cell>
          <cell r="S135">
            <v>5324</v>
          </cell>
          <cell r="T135">
            <v>5324</v>
          </cell>
          <cell r="U135">
            <v>205</v>
          </cell>
          <cell r="V135">
            <v>205</v>
          </cell>
          <cell r="W135">
            <v>0</v>
          </cell>
          <cell r="X135">
            <v>0</v>
          </cell>
          <cell r="Y135">
            <v>0</v>
          </cell>
          <cell r="Z135">
            <v>50</v>
          </cell>
          <cell r="AA135">
            <v>0</v>
          </cell>
          <cell r="AB135">
            <v>0</v>
          </cell>
          <cell r="AC135">
            <v>0</v>
          </cell>
          <cell r="AD135">
            <v>50</v>
          </cell>
          <cell r="AE135">
            <v>0</v>
          </cell>
          <cell r="AF135">
            <v>2789</v>
          </cell>
          <cell r="AG135">
            <v>478</v>
          </cell>
          <cell r="AH135">
            <v>2163</v>
          </cell>
          <cell r="AI135">
            <v>0</v>
          </cell>
          <cell r="AJ135">
            <v>148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2280</v>
          </cell>
          <cell r="AP135">
            <v>0</v>
          </cell>
          <cell r="AQ135">
            <v>0</v>
          </cell>
          <cell r="AR135">
            <v>490</v>
          </cell>
          <cell r="AS135">
            <v>0</v>
          </cell>
          <cell r="AT135">
            <v>450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10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1330</v>
          </cell>
          <cell r="BG135">
            <v>0</v>
          </cell>
          <cell r="BH135">
            <v>0</v>
          </cell>
          <cell r="BI135">
            <v>0</v>
          </cell>
          <cell r="BJ135">
            <v>1252</v>
          </cell>
          <cell r="BK135">
            <v>0</v>
          </cell>
          <cell r="BL135">
            <v>1252</v>
          </cell>
        </row>
        <row r="136">
          <cell r="B136" t="str">
            <v>LMIXINJ1</v>
          </cell>
          <cell r="C136">
            <v>34560</v>
          </cell>
          <cell r="D136">
            <v>22320</v>
          </cell>
          <cell r="E136">
            <v>26180</v>
          </cell>
          <cell r="F136">
            <v>13940</v>
          </cell>
          <cell r="G136">
            <v>8380</v>
          </cell>
          <cell r="H136">
            <v>8380</v>
          </cell>
          <cell r="I136">
            <v>335</v>
          </cell>
          <cell r="J136">
            <v>335</v>
          </cell>
          <cell r="K136">
            <v>335</v>
          </cell>
          <cell r="L136">
            <v>0</v>
          </cell>
          <cell r="M136">
            <v>335</v>
          </cell>
          <cell r="N136">
            <v>0</v>
          </cell>
          <cell r="O136">
            <v>8045</v>
          </cell>
          <cell r="P136">
            <v>8045</v>
          </cell>
          <cell r="Q136">
            <v>2721</v>
          </cell>
          <cell r="R136">
            <v>2721</v>
          </cell>
          <cell r="S136">
            <v>5324</v>
          </cell>
          <cell r="T136">
            <v>5324</v>
          </cell>
          <cell r="U136">
            <v>205</v>
          </cell>
          <cell r="V136">
            <v>205</v>
          </cell>
          <cell r="W136">
            <v>0</v>
          </cell>
          <cell r="X136">
            <v>0</v>
          </cell>
          <cell r="Y136">
            <v>0</v>
          </cell>
          <cell r="Z136">
            <v>50</v>
          </cell>
          <cell r="AA136">
            <v>0</v>
          </cell>
          <cell r="AB136">
            <v>0</v>
          </cell>
          <cell r="AC136">
            <v>0</v>
          </cell>
          <cell r="AD136">
            <v>50</v>
          </cell>
          <cell r="AE136">
            <v>0</v>
          </cell>
          <cell r="AF136">
            <v>2789</v>
          </cell>
          <cell r="AG136">
            <v>478</v>
          </cell>
          <cell r="AH136">
            <v>2163</v>
          </cell>
          <cell r="AI136">
            <v>0</v>
          </cell>
          <cell r="AJ136">
            <v>148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2280</v>
          </cell>
          <cell r="AP136">
            <v>0</v>
          </cell>
          <cell r="AQ136">
            <v>0</v>
          </cell>
          <cell r="AR136">
            <v>490</v>
          </cell>
          <cell r="AS136">
            <v>0</v>
          </cell>
          <cell r="AT136">
            <v>450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10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1330</v>
          </cell>
          <cell r="BG136">
            <v>0</v>
          </cell>
          <cell r="BH136">
            <v>0</v>
          </cell>
          <cell r="BI136">
            <v>0</v>
          </cell>
          <cell r="BJ136">
            <v>1252</v>
          </cell>
          <cell r="BK136">
            <v>0</v>
          </cell>
          <cell r="BL136">
            <v>1252</v>
          </cell>
        </row>
        <row r="137">
          <cell r="B137" t="str">
            <v>NBL INJ-FILLING</v>
          </cell>
          <cell r="C137">
            <v>69120</v>
          </cell>
          <cell r="D137">
            <v>44640</v>
          </cell>
          <cell r="E137">
            <v>42030</v>
          </cell>
          <cell r="F137">
            <v>17550</v>
          </cell>
          <cell r="G137">
            <v>27090</v>
          </cell>
          <cell r="H137">
            <v>27090</v>
          </cell>
          <cell r="I137">
            <v>2630</v>
          </cell>
          <cell r="J137">
            <v>2630</v>
          </cell>
          <cell r="K137">
            <v>2630</v>
          </cell>
          <cell r="L137">
            <v>235</v>
          </cell>
          <cell r="M137">
            <v>2395</v>
          </cell>
          <cell r="N137">
            <v>0</v>
          </cell>
          <cell r="O137">
            <v>24460</v>
          </cell>
          <cell r="P137">
            <v>24460</v>
          </cell>
          <cell r="Q137">
            <v>8442</v>
          </cell>
          <cell r="R137">
            <v>8442</v>
          </cell>
          <cell r="S137">
            <v>16018</v>
          </cell>
          <cell r="T137">
            <v>16018</v>
          </cell>
          <cell r="U137">
            <v>3044</v>
          </cell>
          <cell r="V137">
            <v>2748</v>
          </cell>
          <cell r="W137">
            <v>142</v>
          </cell>
          <cell r="X137">
            <v>154</v>
          </cell>
          <cell r="Y137">
            <v>0</v>
          </cell>
          <cell r="Z137">
            <v>64</v>
          </cell>
          <cell r="AA137">
            <v>0</v>
          </cell>
          <cell r="AB137">
            <v>57</v>
          </cell>
          <cell r="AC137">
            <v>0</v>
          </cell>
          <cell r="AD137">
            <v>7</v>
          </cell>
          <cell r="AE137">
            <v>0</v>
          </cell>
          <cell r="AF137">
            <v>6192</v>
          </cell>
          <cell r="AG137">
            <v>925</v>
          </cell>
          <cell r="AH137">
            <v>5267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6718</v>
          </cell>
          <cell r="AP137">
            <v>0</v>
          </cell>
          <cell r="AQ137">
            <v>0</v>
          </cell>
          <cell r="AR137">
            <v>1685</v>
          </cell>
          <cell r="AS137">
            <v>20</v>
          </cell>
          <cell r="AT137">
            <v>1865</v>
          </cell>
          <cell r="AU137">
            <v>0</v>
          </cell>
          <cell r="AV137">
            <v>0</v>
          </cell>
          <cell r="AW137">
            <v>90</v>
          </cell>
          <cell r="AX137">
            <v>127</v>
          </cell>
          <cell r="AY137">
            <v>375</v>
          </cell>
          <cell r="AZ137">
            <v>0</v>
          </cell>
          <cell r="BA137">
            <v>0</v>
          </cell>
          <cell r="BB137">
            <v>2526</v>
          </cell>
          <cell r="BC137">
            <v>0</v>
          </cell>
          <cell r="BD137">
            <v>0</v>
          </cell>
          <cell r="BE137">
            <v>0</v>
          </cell>
          <cell r="BF137">
            <v>30</v>
          </cell>
          <cell r="BG137">
            <v>0</v>
          </cell>
          <cell r="BH137">
            <v>0</v>
          </cell>
          <cell r="BI137">
            <v>0</v>
          </cell>
          <cell r="BJ137">
            <v>982064</v>
          </cell>
          <cell r="BK137">
            <v>53</v>
          </cell>
          <cell r="BL137">
            <v>982011</v>
          </cell>
        </row>
        <row r="138">
          <cell r="B138" t="str">
            <v>GINLINE3</v>
          </cell>
          <cell r="C138">
            <v>34560</v>
          </cell>
          <cell r="D138">
            <v>22320</v>
          </cell>
          <cell r="E138">
            <v>22350</v>
          </cell>
          <cell r="F138">
            <v>10110</v>
          </cell>
          <cell r="G138">
            <v>12210</v>
          </cell>
          <cell r="H138">
            <v>12210</v>
          </cell>
          <cell r="I138">
            <v>1540</v>
          </cell>
          <cell r="J138">
            <v>1540</v>
          </cell>
          <cell r="K138">
            <v>1540</v>
          </cell>
          <cell r="L138">
            <v>215</v>
          </cell>
          <cell r="M138">
            <v>1325</v>
          </cell>
          <cell r="N138">
            <v>0</v>
          </cell>
          <cell r="O138">
            <v>10670</v>
          </cell>
          <cell r="P138">
            <v>10670</v>
          </cell>
          <cell r="Q138">
            <v>2346</v>
          </cell>
          <cell r="R138">
            <v>2346</v>
          </cell>
          <cell r="S138">
            <v>8324</v>
          </cell>
          <cell r="T138">
            <v>8324</v>
          </cell>
          <cell r="U138">
            <v>1521</v>
          </cell>
          <cell r="V138">
            <v>1345</v>
          </cell>
          <cell r="W138">
            <v>142</v>
          </cell>
          <cell r="X138">
            <v>34</v>
          </cell>
          <cell r="Y138">
            <v>0</v>
          </cell>
          <cell r="Z138">
            <v>50</v>
          </cell>
          <cell r="AA138">
            <v>0</v>
          </cell>
          <cell r="AB138">
            <v>43</v>
          </cell>
          <cell r="AC138">
            <v>0</v>
          </cell>
          <cell r="AD138">
            <v>7</v>
          </cell>
          <cell r="AE138">
            <v>0</v>
          </cell>
          <cell r="AF138">
            <v>3046</v>
          </cell>
          <cell r="AG138">
            <v>815</v>
          </cell>
          <cell r="AH138">
            <v>2231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3707</v>
          </cell>
          <cell r="AP138">
            <v>0</v>
          </cell>
          <cell r="AQ138">
            <v>0</v>
          </cell>
          <cell r="AR138">
            <v>750</v>
          </cell>
          <cell r="AS138">
            <v>0</v>
          </cell>
          <cell r="AT138">
            <v>765</v>
          </cell>
          <cell r="AU138">
            <v>0</v>
          </cell>
          <cell r="AV138">
            <v>0</v>
          </cell>
          <cell r="AW138">
            <v>0</v>
          </cell>
          <cell r="AX138">
            <v>127</v>
          </cell>
          <cell r="AY138">
            <v>285</v>
          </cell>
          <cell r="AZ138">
            <v>0</v>
          </cell>
          <cell r="BA138">
            <v>0</v>
          </cell>
          <cell r="BB138">
            <v>1750</v>
          </cell>
          <cell r="BC138">
            <v>0</v>
          </cell>
          <cell r="BD138">
            <v>0</v>
          </cell>
          <cell r="BE138">
            <v>0</v>
          </cell>
          <cell r="BF138">
            <v>30</v>
          </cell>
          <cell r="BG138">
            <v>0</v>
          </cell>
          <cell r="BH138">
            <v>0</v>
          </cell>
          <cell r="BI138">
            <v>0</v>
          </cell>
          <cell r="BJ138">
            <v>479069</v>
          </cell>
          <cell r="BK138">
            <v>0</v>
          </cell>
          <cell r="BL138">
            <v>479069</v>
          </cell>
        </row>
        <row r="139">
          <cell r="B139" t="str">
            <v>GINLINE4</v>
          </cell>
          <cell r="C139">
            <v>34560</v>
          </cell>
          <cell r="D139">
            <v>22320</v>
          </cell>
          <cell r="E139">
            <v>19680</v>
          </cell>
          <cell r="F139">
            <v>7440</v>
          </cell>
          <cell r="G139">
            <v>14880</v>
          </cell>
          <cell r="H139">
            <v>14880</v>
          </cell>
          <cell r="I139">
            <v>1090</v>
          </cell>
          <cell r="J139">
            <v>1090</v>
          </cell>
          <cell r="K139">
            <v>1090</v>
          </cell>
          <cell r="L139">
            <v>20</v>
          </cell>
          <cell r="M139">
            <v>1070</v>
          </cell>
          <cell r="N139">
            <v>0</v>
          </cell>
          <cell r="O139">
            <v>13790</v>
          </cell>
          <cell r="P139">
            <v>13790</v>
          </cell>
          <cell r="Q139">
            <v>6096</v>
          </cell>
          <cell r="R139">
            <v>6096</v>
          </cell>
          <cell r="S139">
            <v>7694</v>
          </cell>
          <cell r="T139">
            <v>7694</v>
          </cell>
          <cell r="U139">
            <v>1523</v>
          </cell>
          <cell r="V139">
            <v>1403</v>
          </cell>
          <cell r="W139">
            <v>0</v>
          </cell>
          <cell r="X139">
            <v>120</v>
          </cell>
          <cell r="Y139">
            <v>0</v>
          </cell>
          <cell r="Z139">
            <v>14</v>
          </cell>
          <cell r="AA139">
            <v>0</v>
          </cell>
          <cell r="AB139">
            <v>14</v>
          </cell>
          <cell r="AC139">
            <v>0</v>
          </cell>
          <cell r="AD139">
            <v>0</v>
          </cell>
          <cell r="AE139">
            <v>0</v>
          </cell>
          <cell r="AF139">
            <v>3146</v>
          </cell>
          <cell r="AG139">
            <v>110</v>
          </cell>
          <cell r="AH139">
            <v>3036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3011</v>
          </cell>
          <cell r="AP139">
            <v>0</v>
          </cell>
          <cell r="AQ139">
            <v>0</v>
          </cell>
          <cell r="AR139">
            <v>935</v>
          </cell>
          <cell r="AS139">
            <v>20</v>
          </cell>
          <cell r="AT139">
            <v>1100</v>
          </cell>
          <cell r="AU139">
            <v>0</v>
          </cell>
          <cell r="AV139">
            <v>0</v>
          </cell>
          <cell r="AW139">
            <v>90</v>
          </cell>
          <cell r="AX139">
            <v>0</v>
          </cell>
          <cell r="AY139">
            <v>90</v>
          </cell>
          <cell r="AZ139">
            <v>0</v>
          </cell>
          <cell r="BA139">
            <v>0</v>
          </cell>
          <cell r="BB139">
            <v>776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502995</v>
          </cell>
          <cell r="BK139">
            <v>53</v>
          </cell>
          <cell r="BL139">
            <v>502942</v>
          </cell>
        </row>
        <row r="140">
          <cell r="B140" t="str">
            <v>NBL INJ-STERILIZATION</v>
          </cell>
          <cell r="C140">
            <v>103680</v>
          </cell>
          <cell r="D140">
            <v>66960</v>
          </cell>
          <cell r="E140">
            <v>59691</v>
          </cell>
          <cell r="F140">
            <v>22971</v>
          </cell>
          <cell r="G140">
            <v>43989</v>
          </cell>
          <cell r="H140">
            <v>43989</v>
          </cell>
          <cell r="I140">
            <v>4516</v>
          </cell>
          <cell r="J140">
            <v>4516</v>
          </cell>
          <cell r="K140">
            <v>4516</v>
          </cell>
          <cell r="L140">
            <v>543</v>
          </cell>
          <cell r="M140">
            <v>3973</v>
          </cell>
          <cell r="N140">
            <v>0</v>
          </cell>
          <cell r="O140">
            <v>39473</v>
          </cell>
          <cell r="P140">
            <v>39473</v>
          </cell>
          <cell r="Q140">
            <v>18367</v>
          </cell>
          <cell r="R140">
            <v>18367</v>
          </cell>
          <cell r="S140">
            <v>21106</v>
          </cell>
          <cell r="T140">
            <v>21106</v>
          </cell>
          <cell r="U140">
            <v>1642</v>
          </cell>
          <cell r="V140">
            <v>1597</v>
          </cell>
          <cell r="W140">
            <v>0</v>
          </cell>
          <cell r="X140">
            <v>45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9158</v>
          </cell>
          <cell r="AG140">
            <v>7271</v>
          </cell>
          <cell r="AH140">
            <v>1226</v>
          </cell>
          <cell r="AI140">
            <v>40</v>
          </cell>
          <cell r="AJ140">
            <v>30</v>
          </cell>
          <cell r="AK140">
            <v>591</v>
          </cell>
          <cell r="AL140">
            <v>0</v>
          </cell>
          <cell r="AM140">
            <v>0</v>
          </cell>
          <cell r="AN140">
            <v>0</v>
          </cell>
          <cell r="AO140">
            <v>10306</v>
          </cell>
          <cell r="AP140">
            <v>40</v>
          </cell>
          <cell r="AQ140">
            <v>0</v>
          </cell>
          <cell r="AR140">
            <v>1112</v>
          </cell>
          <cell r="AS140">
            <v>30</v>
          </cell>
          <cell r="AT140">
            <v>684</v>
          </cell>
          <cell r="AU140">
            <v>1732</v>
          </cell>
          <cell r="AV140">
            <v>0</v>
          </cell>
          <cell r="AW140">
            <v>0</v>
          </cell>
          <cell r="AX140">
            <v>6351</v>
          </cell>
          <cell r="AY140">
            <v>357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1396</v>
          </cell>
          <cell r="BK140">
            <v>0</v>
          </cell>
          <cell r="BL140">
            <v>1396</v>
          </cell>
        </row>
        <row r="141">
          <cell r="B141" t="str">
            <v>INJ105</v>
          </cell>
          <cell r="C141">
            <v>34560</v>
          </cell>
          <cell r="D141">
            <v>22320</v>
          </cell>
          <cell r="E141">
            <v>16823</v>
          </cell>
          <cell r="F141">
            <v>4583</v>
          </cell>
          <cell r="G141">
            <v>17737</v>
          </cell>
          <cell r="H141">
            <v>17737</v>
          </cell>
          <cell r="I141">
            <v>1792</v>
          </cell>
          <cell r="J141">
            <v>1792</v>
          </cell>
          <cell r="K141">
            <v>1792</v>
          </cell>
          <cell r="L141">
            <v>255</v>
          </cell>
          <cell r="M141">
            <v>1537</v>
          </cell>
          <cell r="N141">
            <v>0</v>
          </cell>
          <cell r="O141">
            <v>15945</v>
          </cell>
          <cell r="P141">
            <v>15945</v>
          </cell>
          <cell r="Q141">
            <v>7598</v>
          </cell>
          <cell r="R141">
            <v>7598</v>
          </cell>
          <cell r="S141">
            <v>8347</v>
          </cell>
          <cell r="T141">
            <v>8347</v>
          </cell>
          <cell r="U141">
            <v>602</v>
          </cell>
          <cell r="V141">
            <v>602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2693</v>
          </cell>
          <cell r="AG141">
            <v>1854</v>
          </cell>
          <cell r="AH141">
            <v>734</v>
          </cell>
          <cell r="AI141">
            <v>0</v>
          </cell>
          <cell r="AJ141">
            <v>0</v>
          </cell>
          <cell r="AK141">
            <v>105</v>
          </cell>
          <cell r="AL141">
            <v>0</v>
          </cell>
          <cell r="AM141">
            <v>0</v>
          </cell>
          <cell r="AN141">
            <v>0</v>
          </cell>
          <cell r="AO141">
            <v>5052</v>
          </cell>
          <cell r="AP141">
            <v>0</v>
          </cell>
          <cell r="AQ141">
            <v>0</v>
          </cell>
          <cell r="AR141">
            <v>248</v>
          </cell>
          <cell r="AS141">
            <v>0</v>
          </cell>
          <cell r="AT141">
            <v>133</v>
          </cell>
          <cell r="AU141">
            <v>0</v>
          </cell>
          <cell r="AV141">
            <v>0</v>
          </cell>
          <cell r="AW141">
            <v>0</v>
          </cell>
          <cell r="AX141">
            <v>4671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766</v>
          </cell>
          <cell r="BK141">
            <v>0</v>
          </cell>
          <cell r="BL141">
            <v>766</v>
          </cell>
        </row>
        <row r="142">
          <cell r="B142" t="str">
            <v>INJ106</v>
          </cell>
          <cell r="C142">
            <v>34560</v>
          </cell>
          <cell r="D142">
            <v>22320</v>
          </cell>
          <cell r="E142">
            <v>18713</v>
          </cell>
          <cell r="F142">
            <v>6473</v>
          </cell>
          <cell r="G142">
            <v>15847</v>
          </cell>
          <cell r="H142">
            <v>15847</v>
          </cell>
          <cell r="I142">
            <v>829</v>
          </cell>
          <cell r="J142">
            <v>829</v>
          </cell>
          <cell r="K142">
            <v>829</v>
          </cell>
          <cell r="L142">
            <v>253</v>
          </cell>
          <cell r="M142">
            <v>576</v>
          </cell>
          <cell r="N142">
            <v>0</v>
          </cell>
          <cell r="O142">
            <v>15018</v>
          </cell>
          <cell r="P142">
            <v>15018</v>
          </cell>
          <cell r="Q142">
            <v>9598</v>
          </cell>
          <cell r="R142">
            <v>9598</v>
          </cell>
          <cell r="S142">
            <v>5420</v>
          </cell>
          <cell r="T142">
            <v>5420</v>
          </cell>
          <cell r="U142">
            <v>398</v>
          </cell>
          <cell r="V142">
            <v>398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4446</v>
          </cell>
          <cell r="AG142">
            <v>4163</v>
          </cell>
          <cell r="AH142">
            <v>252</v>
          </cell>
          <cell r="AI142">
            <v>0</v>
          </cell>
          <cell r="AJ142">
            <v>0</v>
          </cell>
          <cell r="AK142">
            <v>31</v>
          </cell>
          <cell r="AL142">
            <v>0</v>
          </cell>
          <cell r="AM142">
            <v>0</v>
          </cell>
          <cell r="AN142">
            <v>0</v>
          </cell>
          <cell r="AO142">
            <v>576</v>
          </cell>
          <cell r="AP142">
            <v>0</v>
          </cell>
          <cell r="AQ142">
            <v>0</v>
          </cell>
          <cell r="AR142">
            <v>392</v>
          </cell>
          <cell r="AS142">
            <v>0</v>
          </cell>
          <cell r="AT142">
            <v>177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7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607</v>
          </cell>
          <cell r="BK142">
            <v>0</v>
          </cell>
          <cell r="BL142">
            <v>607</v>
          </cell>
        </row>
        <row r="143">
          <cell r="B143" t="str">
            <v>INJ107</v>
          </cell>
          <cell r="C143">
            <v>34560</v>
          </cell>
          <cell r="D143">
            <v>22320</v>
          </cell>
          <cell r="E143">
            <v>24155</v>
          </cell>
          <cell r="F143">
            <v>11915</v>
          </cell>
          <cell r="G143">
            <v>10405</v>
          </cell>
          <cell r="H143">
            <v>10405</v>
          </cell>
          <cell r="I143">
            <v>1895</v>
          </cell>
          <cell r="J143">
            <v>1895</v>
          </cell>
          <cell r="K143">
            <v>1895</v>
          </cell>
          <cell r="L143">
            <v>35</v>
          </cell>
          <cell r="M143">
            <v>1860</v>
          </cell>
          <cell r="N143">
            <v>0</v>
          </cell>
          <cell r="O143">
            <v>8510</v>
          </cell>
          <cell r="P143">
            <v>8510</v>
          </cell>
          <cell r="Q143">
            <v>1171</v>
          </cell>
          <cell r="R143">
            <v>1171</v>
          </cell>
          <cell r="S143">
            <v>7339</v>
          </cell>
          <cell r="T143">
            <v>7339</v>
          </cell>
          <cell r="U143">
            <v>642</v>
          </cell>
          <cell r="V143">
            <v>597</v>
          </cell>
          <cell r="W143">
            <v>0</v>
          </cell>
          <cell r="X143">
            <v>45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2019</v>
          </cell>
          <cell r="AG143">
            <v>1254</v>
          </cell>
          <cell r="AH143">
            <v>240</v>
          </cell>
          <cell r="AI143">
            <v>40</v>
          </cell>
          <cell r="AJ143">
            <v>30</v>
          </cell>
          <cell r="AK143">
            <v>455</v>
          </cell>
          <cell r="AL143">
            <v>0</v>
          </cell>
          <cell r="AM143">
            <v>0</v>
          </cell>
          <cell r="AN143">
            <v>0</v>
          </cell>
          <cell r="AO143">
            <v>4678</v>
          </cell>
          <cell r="AP143">
            <v>40</v>
          </cell>
          <cell r="AQ143">
            <v>0</v>
          </cell>
          <cell r="AR143">
            <v>472</v>
          </cell>
          <cell r="AS143">
            <v>30</v>
          </cell>
          <cell r="AT143">
            <v>374</v>
          </cell>
          <cell r="AU143">
            <v>1732</v>
          </cell>
          <cell r="AV143">
            <v>0</v>
          </cell>
          <cell r="AW143">
            <v>0</v>
          </cell>
          <cell r="AX143">
            <v>1680</v>
          </cell>
          <cell r="AY143">
            <v>350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23</v>
          </cell>
          <cell r="BK143">
            <v>0</v>
          </cell>
          <cell r="BL143">
            <v>23</v>
          </cell>
        </row>
        <row r="144">
          <cell r="B144" t="str">
            <v>NBL SECONDARY PACKING</v>
          </cell>
          <cell r="C144">
            <v>207360</v>
          </cell>
          <cell r="D144">
            <v>79920</v>
          </cell>
          <cell r="E144">
            <v>157770</v>
          </cell>
          <cell r="F144">
            <v>30330</v>
          </cell>
          <cell r="G144">
            <v>49590</v>
          </cell>
          <cell r="H144">
            <v>49590</v>
          </cell>
          <cell r="I144">
            <v>7265</v>
          </cell>
          <cell r="J144">
            <v>7265</v>
          </cell>
          <cell r="K144">
            <v>7265</v>
          </cell>
          <cell r="L144">
            <v>1055</v>
          </cell>
          <cell r="M144">
            <v>6210</v>
          </cell>
          <cell r="N144">
            <v>0</v>
          </cell>
          <cell r="O144">
            <v>42325</v>
          </cell>
          <cell r="P144">
            <v>42325</v>
          </cell>
          <cell r="Q144">
            <v>26590</v>
          </cell>
          <cell r="R144">
            <v>26590</v>
          </cell>
          <cell r="S144">
            <v>15735</v>
          </cell>
          <cell r="T144">
            <v>15735</v>
          </cell>
          <cell r="U144">
            <v>3225</v>
          </cell>
          <cell r="V144">
            <v>1656</v>
          </cell>
          <cell r="W144">
            <v>122</v>
          </cell>
          <cell r="X144">
            <v>823</v>
          </cell>
          <cell r="Y144">
            <v>624</v>
          </cell>
          <cell r="Z144">
            <v>252</v>
          </cell>
          <cell r="AA144">
            <v>110</v>
          </cell>
          <cell r="AB144">
            <v>142</v>
          </cell>
          <cell r="AC144">
            <v>0</v>
          </cell>
          <cell r="AD144">
            <v>0</v>
          </cell>
          <cell r="AE144">
            <v>0</v>
          </cell>
          <cell r="AF144">
            <v>3517</v>
          </cell>
          <cell r="AG144">
            <v>1295</v>
          </cell>
          <cell r="AH144">
            <v>1909</v>
          </cell>
          <cell r="AI144">
            <v>0</v>
          </cell>
          <cell r="AJ144">
            <v>0</v>
          </cell>
          <cell r="AK144">
            <v>313</v>
          </cell>
          <cell r="AL144">
            <v>0</v>
          </cell>
          <cell r="AM144">
            <v>0</v>
          </cell>
          <cell r="AN144">
            <v>0</v>
          </cell>
          <cell r="AO144">
            <v>8741</v>
          </cell>
          <cell r="AP144">
            <v>0</v>
          </cell>
          <cell r="AQ144">
            <v>485</v>
          </cell>
          <cell r="AR144">
            <v>2485</v>
          </cell>
          <cell r="AS144">
            <v>0</v>
          </cell>
          <cell r="AT144">
            <v>1485</v>
          </cell>
          <cell r="AU144">
            <v>780</v>
          </cell>
          <cell r="AV144">
            <v>110</v>
          </cell>
          <cell r="AW144">
            <v>0</v>
          </cell>
          <cell r="AX144">
            <v>1010</v>
          </cell>
          <cell r="AY144">
            <v>795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1591</v>
          </cell>
          <cell r="BG144">
            <v>0</v>
          </cell>
          <cell r="BH144">
            <v>0</v>
          </cell>
          <cell r="BI144">
            <v>0</v>
          </cell>
          <cell r="BJ144">
            <v>1349527</v>
          </cell>
          <cell r="BK144">
            <v>200</v>
          </cell>
          <cell r="BL144">
            <v>1349327</v>
          </cell>
        </row>
        <row r="145">
          <cell r="B145" t="str">
            <v>PAK101</v>
          </cell>
          <cell r="C145">
            <v>34560</v>
          </cell>
          <cell r="D145">
            <v>11520</v>
          </cell>
          <cell r="E145">
            <v>19020</v>
          </cell>
          <cell r="F145">
            <v>-4020</v>
          </cell>
          <cell r="G145">
            <v>15540</v>
          </cell>
          <cell r="H145">
            <v>15540</v>
          </cell>
          <cell r="I145">
            <v>420</v>
          </cell>
          <cell r="J145">
            <v>420</v>
          </cell>
          <cell r="K145">
            <v>420</v>
          </cell>
          <cell r="L145">
            <v>330</v>
          </cell>
          <cell r="M145">
            <v>90</v>
          </cell>
          <cell r="N145">
            <v>0</v>
          </cell>
          <cell r="O145">
            <v>15120</v>
          </cell>
          <cell r="P145">
            <v>15120</v>
          </cell>
          <cell r="Q145">
            <v>10836</v>
          </cell>
          <cell r="R145">
            <v>10836</v>
          </cell>
          <cell r="S145">
            <v>4284</v>
          </cell>
          <cell r="T145">
            <v>4284</v>
          </cell>
          <cell r="U145">
            <v>348</v>
          </cell>
          <cell r="V145">
            <v>348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1222</v>
          </cell>
          <cell r="AG145">
            <v>364</v>
          </cell>
          <cell r="AH145">
            <v>768</v>
          </cell>
          <cell r="AI145">
            <v>0</v>
          </cell>
          <cell r="AJ145">
            <v>0</v>
          </cell>
          <cell r="AK145">
            <v>90</v>
          </cell>
          <cell r="AL145">
            <v>0</v>
          </cell>
          <cell r="AM145">
            <v>0</v>
          </cell>
          <cell r="AN145">
            <v>0</v>
          </cell>
          <cell r="AO145">
            <v>2714</v>
          </cell>
          <cell r="AP145">
            <v>0</v>
          </cell>
          <cell r="AQ145">
            <v>135</v>
          </cell>
          <cell r="AR145">
            <v>935</v>
          </cell>
          <cell r="AS145">
            <v>0</v>
          </cell>
          <cell r="AT145">
            <v>600</v>
          </cell>
          <cell r="AU145">
            <v>0</v>
          </cell>
          <cell r="AV145">
            <v>45</v>
          </cell>
          <cell r="AW145">
            <v>0</v>
          </cell>
          <cell r="AX145">
            <v>15</v>
          </cell>
          <cell r="AY145">
            <v>291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693</v>
          </cell>
          <cell r="BG145">
            <v>0</v>
          </cell>
          <cell r="BH145">
            <v>0</v>
          </cell>
          <cell r="BI145">
            <v>0</v>
          </cell>
          <cell r="BJ145">
            <v>360292</v>
          </cell>
          <cell r="BK145">
            <v>74</v>
          </cell>
          <cell r="BL145">
            <v>360218</v>
          </cell>
        </row>
        <row r="146">
          <cell r="B146" t="str">
            <v>PAK103</v>
          </cell>
          <cell r="C146">
            <v>34560</v>
          </cell>
          <cell r="D146">
            <v>11520</v>
          </cell>
          <cell r="E146">
            <v>20760</v>
          </cell>
          <cell r="F146">
            <v>-2280</v>
          </cell>
          <cell r="G146">
            <v>13800</v>
          </cell>
          <cell r="H146">
            <v>13800</v>
          </cell>
          <cell r="I146">
            <v>1220</v>
          </cell>
          <cell r="J146">
            <v>1220</v>
          </cell>
          <cell r="K146">
            <v>1220</v>
          </cell>
          <cell r="L146">
            <v>285</v>
          </cell>
          <cell r="M146">
            <v>935</v>
          </cell>
          <cell r="N146">
            <v>0</v>
          </cell>
          <cell r="O146">
            <v>12580</v>
          </cell>
          <cell r="P146">
            <v>12580</v>
          </cell>
          <cell r="Q146">
            <v>8885</v>
          </cell>
          <cell r="R146">
            <v>8885</v>
          </cell>
          <cell r="S146">
            <v>3695</v>
          </cell>
          <cell r="T146">
            <v>3695</v>
          </cell>
          <cell r="U146">
            <v>239</v>
          </cell>
          <cell r="V146">
            <v>239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799</v>
          </cell>
          <cell r="AG146">
            <v>214</v>
          </cell>
          <cell r="AH146">
            <v>525</v>
          </cell>
          <cell r="AI146">
            <v>0</v>
          </cell>
          <cell r="AJ146">
            <v>0</v>
          </cell>
          <cell r="AK146">
            <v>60</v>
          </cell>
          <cell r="AL146">
            <v>0</v>
          </cell>
          <cell r="AM146">
            <v>0</v>
          </cell>
          <cell r="AN146">
            <v>0</v>
          </cell>
          <cell r="AO146">
            <v>2657</v>
          </cell>
          <cell r="AP146">
            <v>0</v>
          </cell>
          <cell r="AQ146">
            <v>350</v>
          </cell>
          <cell r="AR146">
            <v>715</v>
          </cell>
          <cell r="AS146">
            <v>0</v>
          </cell>
          <cell r="AT146">
            <v>420</v>
          </cell>
          <cell r="AU146">
            <v>330</v>
          </cell>
          <cell r="AV146">
            <v>55</v>
          </cell>
          <cell r="AW146">
            <v>0</v>
          </cell>
          <cell r="AX146">
            <v>15</v>
          </cell>
          <cell r="AY146">
            <v>189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583</v>
          </cell>
          <cell r="BG146">
            <v>0</v>
          </cell>
          <cell r="BH146">
            <v>0</v>
          </cell>
          <cell r="BI146">
            <v>0</v>
          </cell>
          <cell r="BJ146">
            <v>375797</v>
          </cell>
          <cell r="BK146">
            <v>88</v>
          </cell>
          <cell r="BL146">
            <v>375709</v>
          </cell>
        </row>
        <row r="147">
          <cell r="B147" t="str">
            <v>PAK105</v>
          </cell>
          <cell r="C147">
            <v>34560</v>
          </cell>
          <cell r="D147">
            <v>22320</v>
          </cell>
          <cell r="E147">
            <v>22890</v>
          </cell>
          <cell r="F147">
            <v>10650</v>
          </cell>
          <cell r="G147">
            <v>11670</v>
          </cell>
          <cell r="H147">
            <v>11670</v>
          </cell>
          <cell r="I147">
            <v>3840</v>
          </cell>
          <cell r="J147">
            <v>3840</v>
          </cell>
          <cell r="K147">
            <v>3840</v>
          </cell>
          <cell r="L147">
            <v>60</v>
          </cell>
          <cell r="M147">
            <v>3780</v>
          </cell>
          <cell r="N147">
            <v>0</v>
          </cell>
          <cell r="O147">
            <v>7830</v>
          </cell>
          <cell r="P147">
            <v>7830</v>
          </cell>
          <cell r="Q147">
            <v>3735</v>
          </cell>
          <cell r="R147">
            <v>3735</v>
          </cell>
          <cell r="S147">
            <v>4095</v>
          </cell>
          <cell r="T147">
            <v>4095</v>
          </cell>
          <cell r="U147">
            <v>1407</v>
          </cell>
          <cell r="V147">
            <v>625</v>
          </cell>
          <cell r="W147">
            <v>0</v>
          </cell>
          <cell r="X147">
            <v>635</v>
          </cell>
          <cell r="Y147">
            <v>147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318</v>
          </cell>
          <cell r="AG147">
            <v>85</v>
          </cell>
          <cell r="AH147">
            <v>233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2370</v>
          </cell>
          <cell r="AP147">
            <v>0</v>
          </cell>
          <cell r="AQ147">
            <v>0</v>
          </cell>
          <cell r="AR147">
            <v>420</v>
          </cell>
          <cell r="AS147">
            <v>0</v>
          </cell>
          <cell r="AT147">
            <v>210</v>
          </cell>
          <cell r="AU147">
            <v>450</v>
          </cell>
          <cell r="AV147">
            <v>0</v>
          </cell>
          <cell r="AW147">
            <v>0</v>
          </cell>
          <cell r="AX147">
            <v>965</v>
          </cell>
          <cell r="AY147">
            <v>150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175</v>
          </cell>
          <cell r="BG147">
            <v>0</v>
          </cell>
          <cell r="BH147">
            <v>0</v>
          </cell>
          <cell r="BI147">
            <v>0</v>
          </cell>
          <cell r="BJ147">
            <v>241866</v>
          </cell>
          <cell r="BK147">
            <v>0</v>
          </cell>
          <cell r="BL147">
            <v>241866</v>
          </cell>
        </row>
        <row r="148">
          <cell r="B148" t="str">
            <v>PAK102</v>
          </cell>
          <cell r="C148">
            <v>34560</v>
          </cell>
          <cell r="D148">
            <v>11520</v>
          </cell>
          <cell r="E148">
            <v>34560</v>
          </cell>
          <cell r="F148">
            <v>11520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/>
          <cell r="R148"/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</row>
        <row r="149">
          <cell r="B149" t="str">
            <v>PAK104</v>
          </cell>
          <cell r="C149">
            <v>34560</v>
          </cell>
          <cell r="D149">
            <v>11520</v>
          </cell>
          <cell r="E149">
            <v>34560</v>
          </cell>
          <cell r="F149">
            <v>11520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/>
          <cell r="R149"/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</row>
        <row r="150">
          <cell r="B150" t="str">
            <v>PAK111</v>
          </cell>
          <cell r="C150">
            <v>34560</v>
          </cell>
          <cell r="D150">
            <v>11520</v>
          </cell>
          <cell r="E150">
            <v>25980</v>
          </cell>
          <cell r="F150">
            <v>2940</v>
          </cell>
          <cell r="G150">
            <v>8580</v>
          </cell>
          <cell r="H150">
            <v>8580</v>
          </cell>
          <cell r="I150">
            <v>1785</v>
          </cell>
          <cell r="J150">
            <v>1785</v>
          </cell>
          <cell r="K150">
            <v>1785</v>
          </cell>
          <cell r="L150">
            <v>380</v>
          </cell>
          <cell r="M150">
            <v>1405</v>
          </cell>
          <cell r="N150">
            <v>0</v>
          </cell>
          <cell r="O150">
            <v>6795</v>
          </cell>
          <cell r="P150">
            <v>6795</v>
          </cell>
          <cell r="Q150">
            <v>3134</v>
          </cell>
          <cell r="R150">
            <v>3134</v>
          </cell>
          <cell r="S150">
            <v>3661</v>
          </cell>
          <cell r="T150">
            <v>3661</v>
          </cell>
          <cell r="U150">
            <v>1231</v>
          </cell>
          <cell r="V150">
            <v>444</v>
          </cell>
          <cell r="W150">
            <v>122</v>
          </cell>
          <cell r="X150">
            <v>188</v>
          </cell>
          <cell r="Y150">
            <v>477</v>
          </cell>
          <cell r="Z150">
            <v>252</v>
          </cell>
          <cell r="AA150">
            <v>110</v>
          </cell>
          <cell r="AB150">
            <v>142</v>
          </cell>
          <cell r="AC150">
            <v>0</v>
          </cell>
          <cell r="AD150">
            <v>0</v>
          </cell>
          <cell r="AE150">
            <v>0</v>
          </cell>
          <cell r="AF150">
            <v>1178</v>
          </cell>
          <cell r="AG150">
            <v>632</v>
          </cell>
          <cell r="AH150">
            <v>383</v>
          </cell>
          <cell r="AI150">
            <v>0</v>
          </cell>
          <cell r="AJ150">
            <v>0</v>
          </cell>
          <cell r="AK150">
            <v>163</v>
          </cell>
          <cell r="AL150">
            <v>0</v>
          </cell>
          <cell r="AM150">
            <v>0</v>
          </cell>
          <cell r="AN150">
            <v>0</v>
          </cell>
          <cell r="AO150">
            <v>1000</v>
          </cell>
          <cell r="AP150">
            <v>0</v>
          </cell>
          <cell r="AQ150">
            <v>0</v>
          </cell>
          <cell r="AR150">
            <v>415</v>
          </cell>
          <cell r="AS150">
            <v>0</v>
          </cell>
          <cell r="AT150">
            <v>255</v>
          </cell>
          <cell r="AU150">
            <v>0</v>
          </cell>
          <cell r="AV150">
            <v>10</v>
          </cell>
          <cell r="AW150">
            <v>0</v>
          </cell>
          <cell r="AX150">
            <v>15</v>
          </cell>
          <cell r="AY150">
            <v>165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140</v>
          </cell>
          <cell r="BG150">
            <v>0</v>
          </cell>
          <cell r="BH150">
            <v>0</v>
          </cell>
          <cell r="BI150">
            <v>0</v>
          </cell>
          <cell r="BJ150">
            <v>371572</v>
          </cell>
          <cell r="BK150">
            <v>38</v>
          </cell>
          <cell r="BL150">
            <v>371534</v>
          </cell>
        </row>
        <row r="151">
          <cell r="B151" t="str">
            <v>CPH SOL-MIXING</v>
          </cell>
          <cell r="C151">
            <v>34560</v>
          </cell>
          <cell r="D151">
            <v>11520</v>
          </cell>
          <cell r="E151">
            <v>33060</v>
          </cell>
          <cell r="F151">
            <v>10020</v>
          </cell>
          <cell r="G151">
            <v>1500</v>
          </cell>
          <cell r="H151">
            <v>1500</v>
          </cell>
          <cell r="I151">
            <v>705</v>
          </cell>
          <cell r="J151">
            <v>705</v>
          </cell>
          <cell r="K151">
            <v>705</v>
          </cell>
          <cell r="L151">
            <v>0</v>
          </cell>
          <cell r="M151">
            <v>705</v>
          </cell>
          <cell r="N151">
            <v>0</v>
          </cell>
          <cell r="O151">
            <v>795</v>
          </cell>
          <cell r="P151">
            <v>795</v>
          </cell>
          <cell r="Q151">
            <v>63</v>
          </cell>
          <cell r="R151">
            <v>63</v>
          </cell>
          <cell r="S151">
            <v>732</v>
          </cell>
          <cell r="T151">
            <v>732</v>
          </cell>
          <cell r="U151">
            <v>35</v>
          </cell>
          <cell r="V151">
            <v>20</v>
          </cell>
          <cell r="W151">
            <v>15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311</v>
          </cell>
          <cell r="AG151">
            <v>122</v>
          </cell>
          <cell r="AH151">
            <v>149</v>
          </cell>
          <cell r="AI151">
            <v>0</v>
          </cell>
          <cell r="AJ151">
            <v>0</v>
          </cell>
          <cell r="AK151">
            <v>40</v>
          </cell>
          <cell r="AL151">
            <v>0</v>
          </cell>
          <cell r="AM151">
            <v>0</v>
          </cell>
          <cell r="AN151">
            <v>0</v>
          </cell>
          <cell r="AO151">
            <v>386</v>
          </cell>
          <cell r="AP151">
            <v>255</v>
          </cell>
          <cell r="AQ151">
            <v>0</v>
          </cell>
          <cell r="AR151">
            <v>60</v>
          </cell>
          <cell r="AS151">
            <v>0</v>
          </cell>
          <cell r="AT151">
            <v>30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41</v>
          </cell>
          <cell r="BG151">
            <v>0</v>
          </cell>
          <cell r="BH151">
            <v>0</v>
          </cell>
          <cell r="BI151">
            <v>0</v>
          </cell>
          <cell r="BJ151">
            <v>426.67</v>
          </cell>
          <cell r="BK151">
            <v>1.07</v>
          </cell>
          <cell r="BL151">
            <v>425.6</v>
          </cell>
        </row>
        <row r="152">
          <cell r="B152" t="str">
            <v>MCF101</v>
          </cell>
          <cell r="C152">
            <v>34560</v>
          </cell>
          <cell r="D152">
            <v>11520</v>
          </cell>
          <cell r="E152">
            <v>33060</v>
          </cell>
          <cell r="F152">
            <v>10020</v>
          </cell>
          <cell r="G152">
            <v>1500</v>
          </cell>
          <cell r="H152">
            <v>1500</v>
          </cell>
          <cell r="I152">
            <v>705</v>
          </cell>
          <cell r="J152">
            <v>705</v>
          </cell>
          <cell r="K152">
            <v>705</v>
          </cell>
          <cell r="L152">
            <v>0</v>
          </cell>
          <cell r="M152">
            <v>705</v>
          </cell>
          <cell r="N152">
            <v>0</v>
          </cell>
          <cell r="O152">
            <v>795</v>
          </cell>
          <cell r="P152">
            <v>795</v>
          </cell>
          <cell r="Q152">
            <v>63</v>
          </cell>
          <cell r="R152">
            <v>63</v>
          </cell>
          <cell r="S152">
            <v>732</v>
          </cell>
          <cell r="T152">
            <v>732</v>
          </cell>
          <cell r="U152">
            <v>35</v>
          </cell>
          <cell r="V152">
            <v>20</v>
          </cell>
          <cell r="W152">
            <v>15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311</v>
          </cell>
          <cell r="AG152">
            <v>122</v>
          </cell>
          <cell r="AH152">
            <v>149</v>
          </cell>
          <cell r="AI152">
            <v>0</v>
          </cell>
          <cell r="AJ152">
            <v>0</v>
          </cell>
          <cell r="AK152">
            <v>40</v>
          </cell>
          <cell r="AL152">
            <v>0</v>
          </cell>
          <cell r="AM152">
            <v>0</v>
          </cell>
          <cell r="AN152">
            <v>0</v>
          </cell>
          <cell r="AO152">
            <v>386</v>
          </cell>
          <cell r="AP152">
            <v>255</v>
          </cell>
          <cell r="AQ152">
            <v>0</v>
          </cell>
          <cell r="AR152">
            <v>60</v>
          </cell>
          <cell r="AS152">
            <v>0</v>
          </cell>
          <cell r="AT152">
            <v>30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41</v>
          </cell>
          <cell r="BG152">
            <v>0</v>
          </cell>
          <cell r="BH152">
            <v>0</v>
          </cell>
          <cell r="BI152">
            <v>0</v>
          </cell>
          <cell r="BJ152">
            <v>426.67</v>
          </cell>
          <cell r="BK152">
            <v>1.07</v>
          </cell>
          <cell r="BL152">
            <v>425.6</v>
          </cell>
        </row>
        <row r="153">
          <cell r="B153" t="str">
            <v>CPH SOL-CAPSULE</v>
          </cell>
          <cell r="C153">
            <v>34560</v>
          </cell>
          <cell r="D153">
            <v>11520</v>
          </cell>
          <cell r="E153">
            <v>31500</v>
          </cell>
          <cell r="F153">
            <v>8460</v>
          </cell>
          <cell r="G153">
            <v>3060</v>
          </cell>
          <cell r="H153">
            <v>3060</v>
          </cell>
          <cell r="I153">
            <v>195</v>
          </cell>
          <cell r="J153">
            <v>195</v>
          </cell>
          <cell r="K153">
            <v>195</v>
          </cell>
          <cell r="L153">
            <v>150</v>
          </cell>
          <cell r="M153">
            <v>45</v>
          </cell>
          <cell r="N153">
            <v>0</v>
          </cell>
          <cell r="O153">
            <v>2865</v>
          </cell>
          <cell r="P153">
            <v>2865</v>
          </cell>
          <cell r="Q153">
            <v>985</v>
          </cell>
          <cell r="R153">
            <v>985</v>
          </cell>
          <cell r="S153">
            <v>1880</v>
          </cell>
          <cell r="T153">
            <v>1880</v>
          </cell>
          <cell r="U153">
            <v>550</v>
          </cell>
          <cell r="V153">
            <v>235</v>
          </cell>
          <cell r="W153">
            <v>0</v>
          </cell>
          <cell r="X153">
            <v>20</v>
          </cell>
          <cell r="Y153">
            <v>295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810</v>
          </cell>
          <cell r="AG153">
            <v>190</v>
          </cell>
          <cell r="AH153">
            <v>0</v>
          </cell>
          <cell r="AI153">
            <v>0</v>
          </cell>
          <cell r="AJ153">
            <v>0</v>
          </cell>
          <cell r="AK153">
            <v>620</v>
          </cell>
          <cell r="AL153">
            <v>0</v>
          </cell>
          <cell r="AM153">
            <v>0</v>
          </cell>
          <cell r="AN153">
            <v>0</v>
          </cell>
          <cell r="AO153">
            <v>520</v>
          </cell>
          <cell r="AP153">
            <v>0</v>
          </cell>
          <cell r="AQ153">
            <v>0</v>
          </cell>
          <cell r="AR153">
            <v>180</v>
          </cell>
          <cell r="AS153">
            <v>0</v>
          </cell>
          <cell r="AT153">
            <v>90</v>
          </cell>
          <cell r="AU153">
            <v>0</v>
          </cell>
          <cell r="AV153">
            <v>0</v>
          </cell>
          <cell r="AW153">
            <v>0</v>
          </cell>
          <cell r="AX153">
            <v>195</v>
          </cell>
          <cell r="AY153">
            <v>35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20</v>
          </cell>
          <cell r="BG153">
            <v>0</v>
          </cell>
          <cell r="BH153">
            <v>0</v>
          </cell>
          <cell r="BI153">
            <v>0</v>
          </cell>
          <cell r="BJ153">
            <v>811160</v>
          </cell>
          <cell r="BK153">
            <v>0</v>
          </cell>
          <cell r="BL153">
            <v>811160</v>
          </cell>
        </row>
        <row r="154">
          <cell r="B154" t="str">
            <v>KCF101</v>
          </cell>
          <cell r="C154">
            <v>34560</v>
          </cell>
          <cell r="D154">
            <v>11520</v>
          </cell>
          <cell r="E154">
            <v>31500</v>
          </cell>
          <cell r="F154">
            <v>8460</v>
          </cell>
          <cell r="G154">
            <v>3060</v>
          </cell>
          <cell r="H154">
            <v>3060</v>
          </cell>
          <cell r="I154">
            <v>195</v>
          </cell>
          <cell r="J154">
            <v>195</v>
          </cell>
          <cell r="K154">
            <v>195</v>
          </cell>
          <cell r="L154">
            <v>150</v>
          </cell>
          <cell r="M154">
            <v>45</v>
          </cell>
          <cell r="N154">
            <v>0</v>
          </cell>
          <cell r="O154">
            <v>2865</v>
          </cell>
          <cell r="P154">
            <v>2865</v>
          </cell>
          <cell r="Q154">
            <v>985</v>
          </cell>
          <cell r="R154">
            <v>985</v>
          </cell>
          <cell r="S154">
            <v>1880</v>
          </cell>
          <cell r="T154">
            <v>1880</v>
          </cell>
          <cell r="U154">
            <v>550</v>
          </cell>
          <cell r="V154">
            <v>235</v>
          </cell>
          <cell r="W154">
            <v>0</v>
          </cell>
          <cell r="X154">
            <v>20</v>
          </cell>
          <cell r="Y154">
            <v>295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810</v>
          </cell>
          <cell r="AG154">
            <v>190</v>
          </cell>
          <cell r="AH154">
            <v>0</v>
          </cell>
          <cell r="AI154">
            <v>0</v>
          </cell>
          <cell r="AJ154">
            <v>0</v>
          </cell>
          <cell r="AK154">
            <v>620</v>
          </cell>
          <cell r="AL154">
            <v>0</v>
          </cell>
          <cell r="AM154">
            <v>0</v>
          </cell>
          <cell r="AN154">
            <v>0</v>
          </cell>
          <cell r="AO154">
            <v>520</v>
          </cell>
          <cell r="AP154">
            <v>0</v>
          </cell>
          <cell r="AQ154">
            <v>0</v>
          </cell>
          <cell r="AR154">
            <v>180</v>
          </cell>
          <cell r="AS154">
            <v>0</v>
          </cell>
          <cell r="AT154">
            <v>90</v>
          </cell>
          <cell r="AU154">
            <v>0</v>
          </cell>
          <cell r="AV154">
            <v>0</v>
          </cell>
          <cell r="AW154">
            <v>0</v>
          </cell>
          <cell r="AX154">
            <v>195</v>
          </cell>
          <cell r="AY154">
            <v>35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20</v>
          </cell>
          <cell r="BG154">
            <v>0</v>
          </cell>
          <cell r="BH154">
            <v>0</v>
          </cell>
          <cell r="BI154">
            <v>0</v>
          </cell>
          <cell r="BJ154">
            <v>811160</v>
          </cell>
          <cell r="BK154">
            <v>0</v>
          </cell>
          <cell r="BL154">
            <v>811160</v>
          </cell>
        </row>
        <row r="155">
          <cell r="B155" t="str">
            <v>CPH SOL-STRIPPING</v>
          </cell>
          <cell r="C155">
            <v>34560</v>
          </cell>
          <cell r="D155">
            <v>11520</v>
          </cell>
          <cell r="E155">
            <v>31500</v>
          </cell>
          <cell r="F155">
            <v>8460</v>
          </cell>
          <cell r="G155">
            <v>3060</v>
          </cell>
          <cell r="H155">
            <v>3060</v>
          </cell>
          <cell r="I155">
            <v>180</v>
          </cell>
          <cell r="J155">
            <v>180</v>
          </cell>
          <cell r="K155">
            <v>180</v>
          </cell>
          <cell r="L155">
            <v>180</v>
          </cell>
          <cell r="M155">
            <v>0</v>
          </cell>
          <cell r="N155">
            <v>0</v>
          </cell>
          <cell r="O155">
            <v>2880</v>
          </cell>
          <cell r="P155">
            <v>2880</v>
          </cell>
          <cell r="Q155">
            <v>1125</v>
          </cell>
          <cell r="R155">
            <v>1125</v>
          </cell>
          <cell r="S155">
            <v>1755</v>
          </cell>
          <cell r="T155">
            <v>1755</v>
          </cell>
          <cell r="U155">
            <v>360</v>
          </cell>
          <cell r="V155">
            <v>335</v>
          </cell>
          <cell r="W155">
            <v>0</v>
          </cell>
          <cell r="X155">
            <v>25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895</v>
          </cell>
          <cell r="AG155">
            <v>430</v>
          </cell>
          <cell r="AH155">
            <v>295</v>
          </cell>
          <cell r="AI155">
            <v>0</v>
          </cell>
          <cell r="AJ155">
            <v>0</v>
          </cell>
          <cell r="AK155">
            <v>170</v>
          </cell>
          <cell r="AL155">
            <v>0</v>
          </cell>
          <cell r="AM155">
            <v>0</v>
          </cell>
          <cell r="AN155">
            <v>0</v>
          </cell>
          <cell r="AO155">
            <v>500</v>
          </cell>
          <cell r="AP155">
            <v>0</v>
          </cell>
          <cell r="AQ155">
            <v>0</v>
          </cell>
          <cell r="AR155">
            <v>180</v>
          </cell>
          <cell r="AS155">
            <v>0</v>
          </cell>
          <cell r="AT155">
            <v>90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100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130</v>
          </cell>
          <cell r="BG155">
            <v>0</v>
          </cell>
          <cell r="BH155">
            <v>0</v>
          </cell>
          <cell r="BI155">
            <v>0</v>
          </cell>
          <cell r="BJ155">
            <v>813188</v>
          </cell>
          <cell r="BK155">
            <v>2908</v>
          </cell>
          <cell r="BL155">
            <v>810280</v>
          </cell>
        </row>
        <row r="156">
          <cell r="B156" t="str">
            <v>STC101</v>
          </cell>
          <cell r="C156">
            <v>34560</v>
          </cell>
          <cell r="D156">
            <v>11520</v>
          </cell>
          <cell r="E156">
            <v>31500</v>
          </cell>
          <cell r="F156">
            <v>8460</v>
          </cell>
          <cell r="G156">
            <v>3060</v>
          </cell>
          <cell r="H156">
            <v>3060</v>
          </cell>
          <cell r="I156">
            <v>180</v>
          </cell>
          <cell r="J156">
            <v>180</v>
          </cell>
          <cell r="K156">
            <v>180</v>
          </cell>
          <cell r="L156">
            <v>180</v>
          </cell>
          <cell r="M156">
            <v>0</v>
          </cell>
          <cell r="N156">
            <v>0</v>
          </cell>
          <cell r="O156">
            <v>2880</v>
          </cell>
          <cell r="P156">
            <v>2880</v>
          </cell>
          <cell r="Q156">
            <v>1125</v>
          </cell>
          <cell r="R156">
            <v>1125</v>
          </cell>
          <cell r="S156">
            <v>1755</v>
          </cell>
          <cell r="T156">
            <v>1755</v>
          </cell>
          <cell r="U156">
            <v>360</v>
          </cell>
          <cell r="V156">
            <v>335</v>
          </cell>
          <cell r="W156">
            <v>0</v>
          </cell>
          <cell r="X156">
            <v>25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895</v>
          </cell>
          <cell r="AG156">
            <v>430</v>
          </cell>
          <cell r="AH156">
            <v>295</v>
          </cell>
          <cell r="AI156">
            <v>0</v>
          </cell>
          <cell r="AJ156">
            <v>0</v>
          </cell>
          <cell r="AK156">
            <v>170</v>
          </cell>
          <cell r="AL156">
            <v>0</v>
          </cell>
          <cell r="AM156">
            <v>0</v>
          </cell>
          <cell r="AN156">
            <v>0</v>
          </cell>
          <cell r="AO156">
            <v>500</v>
          </cell>
          <cell r="AP156">
            <v>0</v>
          </cell>
          <cell r="AQ156">
            <v>0</v>
          </cell>
          <cell r="AR156">
            <v>180</v>
          </cell>
          <cell r="AS156">
            <v>0</v>
          </cell>
          <cell r="AT156">
            <v>90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100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130</v>
          </cell>
          <cell r="BG156">
            <v>0</v>
          </cell>
          <cell r="BH156">
            <v>0</v>
          </cell>
          <cell r="BI156">
            <v>0</v>
          </cell>
          <cell r="BJ156">
            <v>813188</v>
          </cell>
          <cell r="BK156">
            <v>2908</v>
          </cell>
          <cell r="BL156">
            <v>810280</v>
          </cell>
        </row>
        <row r="157">
          <cell r="B157" t="str">
            <v>CPH SOL-POWDER FILLING</v>
          </cell>
          <cell r="C157">
            <v>34560</v>
          </cell>
          <cell r="D157">
            <v>11520</v>
          </cell>
          <cell r="E157">
            <v>33540</v>
          </cell>
          <cell r="F157">
            <v>10500</v>
          </cell>
          <cell r="G157">
            <v>1020</v>
          </cell>
          <cell r="H157">
            <v>1020</v>
          </cell>
          <cell r="I157">
            <v>30</v>
          </cell>
          <cell r="J157">
            <v>30</v>
          </cell>
          <cell r="K157">
            <v>30</v>
          </cell>
          <cell r="L157">
            <v>30</v>
          </cell>
          <cell r="M157">
            <v>0</v>
          </cell>
          <cell r="N157">
            <v>0</v>
          </cell>
          <cell r="O157">
            <v>990</v>
          </cell>
          <cell r="P157">
            <v>990</v>
          </cell>
          <cell r="Q157">
            <v>340</v>
          </cell>
          <cell r="R157">
            <v>340</v>
          </cell>
          <cell r="S157">
            <v>650</v>
          </cell>
          <cell r="T157">
            <v>650</v>
          </cell>
          <cell r="U157">
            <v>80</v>
          </cell>
          <cell r="V157">
            <v>65</v>
          </cell>
          <cell r="W157">
            <v>0</v>
          </cell>
          <cell r="X157">
            <v>15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315</v>
          </cell>
          <cell r="AG157">
            <v>255</v>
          </cell>
          <cell r="AH157">
            <v>45</v>
          </cell>
          <cell r="AI157">
            <v>0</v>
          </cell>
          <cell r="AJ157">
            <v>0</v>
          </cell>
          <cell r="AK157">
            <v>15</v>
          </cell>
          <cell r="AL157">
            <v>0</v>
          </cell>
          <cell r="AM157">
            <v>0</v>
          </cell>
          <cell r="AN157">
            <v>0</v>
          </cell>
          <cell r="AO157">
            <v>255</v>
          </cell>
          <cell r="AP157">
            <v>0</v>
          </cell>
          <cell r="AQ157">
            <v>0</v>
          </cell>
          <cell r="AR157">
            <v>60</v>
          </cell>
          <cell r="AS157">
            <v>0</v>
          </cell>
          <cell r="AT157">
            <v>45</v>
          </cell>
          <cell r="AU157">
            <v>0</v>
          </cell>
          <cell r="AV157">
            <v>0</v>
          </cell>
          <cell r="AW157">
            <v>15</v>
          </cell>
          <cell r="AX157">
            <v>15</v>
          </cell>
          <cell r="AY157">
            <v>20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20</v>
          </cell>
          <cell r="BG157">
            <v>80</v>
          </cell>
          <cell r="BH157">
            <v>0</v>
          </cell>
          <cell r="BI157">
            <v>0</v>
          </cell>
          <cell r="BJ157">
            <v>12203</v>
          </cell>
          <cell r="BK157">
            <v>31</v>
          </cell>
          <cell r="BL157">
            <v>12172</v>
          </cell>
        </row>
        <row r="158">
          <cell r="B158" t="str">
            <v>SCF102</v>
          </cell>
          <cell r="C158">
            <v>34560</v>
          </cell>
          <cell r="D158">
            <v>11520</v>
          </cell>
          <cell r="E158">
            <v>33540</v>
          </cell>
          <cell r="F158">
            <v>10500</v>
          </cell>
          <cell r="G158">
            <v>1020</v>
          </cell>
          <cell r="H158">
            <v>1020</v>
          </cell>
          <cell r="I158">
            <v>30</v>
          </cell>
          <cell r="J158">
            <v>30</v>
          </cell>
          <cell r="K158">
            <v>30</v>
          </cell>
          <cell r="L158">
            <v>30</v>
          </cell>
          <cell r="M158">
            <v>0</v>
          </cell>
          <cell r="N158">
            <v>0</v>
          </cell>
          <cell r="O158">
            <v>990</v>
          </cell>
          <cell r="P158">
            <v>990</v>
          </cell>
          <cell r="Q158">
            <v>340</v>
          </cell>
          <cell r="R158">
            <v>340</v>
          </cell>
          <cell r="S158">
            <v>650</v>
          </cell>
          <cell r="T158">
            <v>650</v>
          </cell>
          <cell r="U158">
            <v>80</v>
          </cell>
          <cell r="V158">
            <v>65</v>
          </cell>
          <cell r="W158">
            <v>0</v>
          </cell>
          <cell r="X158">
            <v>15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315</v>
          </cell>
          <cell r="AG158">
            <v>255</v>
          </cell>
          <cell r="AH158">
            <v>45</v>
          </cell>
          <cell r="AI158">
            <v>0</v>
          </cell>
          <cell r="AJ158">
            <v>0</v>
          </cell>
          <cell r="AK158">
            <v>15</v>
          </cell>
          <cell r="AL158">
            <v>0</v>
          </cell>
          <cell r="AM158">
            <v>0</v>
          </cell>
          <cell r="AN158">
            <v>0</v>
          </cell>
          <cell r="AO158">
            <v>255</v>
          </cell>
          <cell r="AP158">
            <v>0</v>
          </cell>
          <cell r="AQ158">
            <v>0</v>
          </cell>
          <cell r="AR158">
            <v>60</v>
          </cell>
          <cell r="AS158">
            <v>0</v>
          </cell>
          <cell r="AT158">
            <v>45</v>
          </cell>
          <cell r="AU158">
            <v>0</v>
          </cell>
          <cell r="AV158">
            <v>0</v>
          </cell>
          <cell r="AW158">
            <v>15</v>
          </cell>
          <cell r="AX158">
            <v>15</v>
          </cell>
          <cell r="AY158">
            <v>20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20</v>
          </cell>
          <cell r="BG158">
            <v>80</v>
          </cell>
          <cell r="BH158">
            <v>0</v>
          </cell>
          <cell r="BI158">
            <v>0</v>
          </cell>
          <cell r="BJ158">
            <v>12203</v>
          </cell>
          <cell r="BK158">
            <v>31</v>
          </cell>
          <cell r="BL158">
            <v>12172</v>
          </cell>
        </row>
        <row r="159">
          <cell r="B159" t="str">
            <v>CPH INJ-FILLING</v>
          </cell>
          <cell r="C159">
            <v>34560</v>
          </cell>
          <cell r="D159">
            <v>22320</v>
          </cell>
          <cell r="E159">
            <v>26190</v>
          </cell>
          <cell r="F159">
            <v>13950</v>
          </cell>
          <cell r="G159">
            <v>8370</v>
          </cell>
          <cell r="H159">
            <v>8370</v>
          </cell>
          <cell r="I159">
            <v>810</v>
          </cell>
          <cell r="J159">
            <v>810</v>
          </cell>
          <cell r="K159">
            <v>810</v>
          </cell>
          <cell r="L159">
            <v>5</v>
          </cell>
          <cell r="M159">
            <v>805</v>
          </cell>
          <cell r="N159">
            <v>0</v>
          </cell>
          <cell r="O159">
            <v>7560</v>
          </cell>
          <cell r="P159">
            <v>7560</v>
          </cell>
          <cell r="Q159">
            <v>2972</v>
          </cell>
          <cell r="R159">
            <v>2972</v>
          </cell>
          <cell r="S159">
            <v>4588</v>
          </cell>
          <cell r="T159">
            <v>4588</v>
          </cell>
          <cell r="U159">
            <v>754</v>
          </cell>
          <cell r="V159">
            <v>625</v>
          </cell>
          <cell r="W159">
            <v>0</v>
          </cell>
          <cell r="X159">
            <v>124</v>
          </cell>
          <cell r="Y159">
            <v>5</v>
          </cell>
          <cell r="Z159">
            <v>72</v>
          </cell>
          <cell r="AA159">
            <v>0</v>
          </cell>
          <cell r="AB159">
            <v>0</v>
          </cell>
          <cell r="AC159">
            <v>0</v>
          </cell>
          <cell r="AD159">
            <v>72</v>
          </cell>
          <cell r="AE159">
            <v>0</v>
          </cell>
          <cell r="AF159">
            <v>1992</v>
          </cell>
          <cell r="AG159">
            <v>607</v>
          </cell>
          <cell r="AH159">
            <v>1385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1770</v>
          </cell>
          <cell r="AP159">
            <v>0</v>
          </cell>
          <cell r="AQ159">
            <v>0</v>
          </cell>
          <cell r="AR159">
            <v>530</v>
          </cell>
          <cell r="AS159">
            <v>0</v>
          </cell>
          <cell r="AT159">
            <v>495</v>
          </cell>
          <cell r="AU159">
            <v>0</v>
          </cell>
          <cell r="AV159">
            <v>0</v>
          </cell>
          <cell r="AW159">
            <v>138</v>
          </cell>
          <cell r="AX159">
            <v>0</v>
          </cell>
          <cell r="AY159">
            <v>124</v>
          </cell>
          <cell r="AZ159">
            <v>0</v>
          </cell>
          <cell r="BA159">
            <v>0</v>
          </cell>
          <cell r="BB159">
            <v>432</v>
          </cell>
          <cell r="BC159">
            <v>0</v>
          </cell>
          <cell r="BD159">
            <v>0</v>
          </cell>
          <cell r="BE159">
            <v>0</v>
          </cell>
          <cell r="BF159">
            <v>51</v>
          </cell>
          <cell r="BG159">
            <v>0</v>
          </cell>
          <cell r="BH159">
            <v>0</v>
          </cell>
          <cell r="BI159">
            <v>0</v>
          </cell>
          <cell r="BJ159">
            <v>434816</v>
          </cell>
          <cell r="BK159">
            <v>46</v>
          </cell>
          <cell r="BL159">
            <v>434770</v>
          </cell>
        </row>
        <row r="160">
          <cell r="B160" t="str">
            <v>GINLINE6</v>
          </cell>
          <cell r="C160">
            <v>34560</v>
          </cell>
          <cell r="D160">
            <v>22320</v>
          </cell>
          <cell r="E160">
            <v>26190</v>
          </cell>
          <cell r="F160">
            <v>13950</v>
          </cell>
          <cell r="G160">
            <v>8370</v>
          </cell>
          <cell r="H160">
            <v>8370</v>
          </cell>
          <cell r="I160">
            <v>810</v>
          </cell>
          <cell r="J160">
            <v>810</v>
          </cell>
          <cell r="K160">
            <v>810</v>
          </cell>
          <cell r="L160">
            <v>5</v>
          </cell>
          <cell r="M160">
            <v>805</v>
          </cell>
          <cell r="N160">
            <v>0</v>
          </cell>
          <cell r="O160">
            <v>7560</v>
          </cell>
          <cell r="P160">
            <v>7560</v>
          </cell>
          <cell r="Q160">
            <v>2972</v>
          </cell>
          <cell r="R160">
            <v>2972</v>
          </cell>
          <cell r="S160">
            <v>4588</v>
          </cell>
          <cell r="T160">
            <v>4588</v>
          </cell>
          <cell r="U160">
            <v>754</v>
          </cell>
          <cell r="V160">
            <v>625</v>
          </cell>
          <cell r="W160">
            <v>0</v>
          </cell>
          <cell r="X160">
            <v>124</v>
          </cell>
          <cell r="Y160">
            <v>5</v>
          </cell>
          <cell r="Z160">
            <v>72</v>
          </cell>
          <cell r="AA160">
            <v>0</v>
          </cell>
          <cell r="AB160">
            <v>0</v>
          </cell>
          <cell r="AC160">
            <v>0</v>
          </cell>
          <cell r="AD160">
            <v>72</v>
          </cell>
          <cell r="AE160">
            <v>0</v>
          </cell>
          <cell r="AF160">
            <v>1992</v>
          </cell>
          <cell r="AG160">
            <v>607</v>
          </cell>
          <cell r="AH160">
            <v>1385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1770</v>
          </cell>
          <cell r="AP160">
            <v>0</v>
          </cell>
          <cell r="AQ160">
            <v>0</v>
          </cell>
          <cell r="AR160">
            <v>530</v>
          </cell>
          <cell r="AS160">
            <v>0</v>
          </cell>
          <cell r="AT160">
            <v>495</v>
          </cell>
          <cell r="AU160">
            <v>0</v>
          </cell>
          <cell r="AV160">
            <v>0</v>
          </cell>
          <cell r="AW160">
            <v>138</v>
          </cell>
          <cell r="AX160">
            <v>0</v>
          </cell>
          <cell r="AY160">
            <v>124</v>
          </cell>
          <cell r="AZ160">
            <v>0</v>
          </cell>
          <cell r="BA160">
            <v>0</v>
          </cell>
          <cell r="BB160">
            <v>432</v>
          </cell>
          <cell r="BC160">
            <v>0</v>
          </cell>
          <cell r="BD160">
            <v>0</v>
          </cell>
          <cell r="BE160">
            <v>0</v>
          </cell>
          <cell r="BF160">
            <v>51</v>
          </cell>
          <cell r="BG160">
            <v>0</v>
          </cell>
          <cell r="BH160">
            <v>0</v>
          </cell>
          <cell r="BI160">
            <v>0</v>
          </cell>
          <cell r="BJ160">
            <v>434816</v>
          </cell>
          <cell r="BK160">
            <v>46</v>
          </cell>
          <cell r="BL160">
            <v>434770</v>
          </cell>
        </row>
        <row r="161">
          <cell r="B161" t="str">
            <v>CPH INJ-STERILIZATION</v>
          </cell>
          <cell r="C161">
            <v>69120</v>
          </cell>
          <cell r="D161">
            <v>44640</v>
          </cell>
          <cell r="E161">
            <v>51352</v>
          </cell>
          <cell r="F161">
            <v>26872</v>
          </cell>
          <cell r="G161">
            <v>17768</v>
          </cell>
          <cell r="H161">
            <v>17768</v>
          </cell>
          <cell r="I161">
            <v>1417</v>
          </cell>
          <cell r="J161">
            <v>1417</v>
          </cell>
          <cell r="K161">
            <v>1417</v>
          </cell>
          <cell r="L161">
            <v>472</v>
          </cell>
          <cell r="M161">
            <v>945</v>
          </cell>
          <cell r="N161">
            <v>0</v>
          </cell>
          <cell r="O161">
            <v>16351</v>
          </cell>
          <cell r="P161">
            <v>16351</v>
          </cell>
          <cell r="Q161">
            <v>8061</v>
          </cell>
          <cell r="R161">
            <v>8061</v>
          </cell>
          <cell r="S161">
            <v>8290</v>
          </cell>
          <cell r="T161">
            <v>8290</v>
          </cell>
          <cell r="U161">
            <v>583</v>
          </cell>
          <cell r="V161">
            <v>428</v>
          </cell>
          <cell r="W161">
            <v>0</v>
          </cell>
          <cell r="X161">
            <v>155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5317</v>
          </cell>
          <cell r="AG161">
            <v>4869</v>
          </cell>
          <cell r="AH161">
            <v>448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2390</v>
          </cell>
          <cell r="AP161">
            <v>0</v>
          </cell>
          <cell r="AQ161">
            <v>0</v>
          </cell>
          <cell r="AR161">
            <v>25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121</v>
          </cell>
          <cell r="AX161">
            <v>2244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735</v>
          </cell>
          <cell r="BK161">
            <v>0</v>
          </cell>
          <cell r="BL161">
            <v>735</v>
          </cell>
        </row>
        <row r="162">
          <cell r="B162" t="str">
            <v>ICF104</v>
          </cell>
          <cell r="C162">
            <v>34560</v>
          </cell>
          <cell r="D162">
            <v>22320</v>
          </cell>
          <cell r="E162">
            <v>25230</v>
          </cell>
          <cell r="F162">
            <v>12990</v>
          </cell>
          <cell r="G162">
            <v>9330</v>
          </cell>
          <cell r="H162">
            <v>9330</v>
          </cell>
          <cell r="I162">
            <v>662</v>
          </cell>
          <cell r="J162">
            <v>662</v>
          </cell>
          <cell r="K162">
            <v>662</v>
          </cell>
          <cell r="L162">
            <v>248</v>
          </cell>
          <cell r="M162">
            <v>414</v>
          </cell>
          <cell r="N162">
            <v>0</v>
          </cell>
          <cell r="O162">
            <v>8668</v>
          </cell>
          <cell r="P162">
            <v>8668</v>
          </cell>
          <cell r="Q162">
            <v>4174</v>
          </cell>
          <cell r="R162">
            <v>4174</v>
          </cell>
          <cell r="S162">
            <v>4494</v>
          </cell>
          <cell r="T162">
            <v>4494</v>
          </cell>
          <cell r="U162">
            <v>285</v>
          </cell>
          <cell r="V162">
            <v>226</v>
          </cell>
          <cell r="W162">
            <v>0</v>
          </cell>
          <cell r="X162">
            <v>59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3670</v>
          </cell>
          <cell r="AG162">
            <v>3552</v>
          </cell>
          <cell r="AH162">
            <v>118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539</v>
          </cell>
          <cell r="AP162">
            <v>0</v>
          </cell>
          <cell r="AQ162">
            <v>0</v>
          </cell>
          <cell r="AR162">
            <v>25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80</v>
          </cell>
          <cell r="AX162">
            <v>434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461</v>
          </cell>
          <cell r="BK162">
            <v>0</v>
          </cell>
          <cell r="BL162">
            <v>461</v>
          </cell>
        </row>
        <row r="163">
          <cell r="B163" t="str">
            <v>ICF105</v>
          </cell>
          <cell r="C163">
            <v>34560</v>
          </cell>
          <cell r="D163">
            <v>22320</v>
          </cell>
          <cell r="E163">
            <v>26122</v>
          </cell>
          <cell r="F163">
            <v>13882</v>
          </cell>
          <cell r="G163">
            <v>8438</v>
          </cell>
          <cell r="H163">
            <v>8438</v>
          </cell>
          <cell r="I163">
            <v>755</v>
          </cell>
          <cell r="J163">
            <v>755</v>
          </cell>
          <cell r="K163">
            <v>755</v>
          </cell>
          <cell r="L163">
            <v>224</v>
          </cell>
          <cell r="M163">
            <v>531</v>
          </cell>
          <cell r="N163">
            <v>0</v>
          </cell>
          <cell r="O163">
            <v>7683</v>
          </cell>
          <cell r="P163">
            <v>7683</v>
          </cell>
          <cell r="Q163">
            <v>3887</v>
          </cell>
          <cell r="R163">
            <v>3887</v>
          </cell>
          <cell r="S163">
            <v>3796</v>
          </cell>
          <cell r="T163">
            <v>3796</v>
          </cell>
          <cell r="U163">
            <v>298</v>
          </cell>
          <cell r="V163">
            <v>202</v>
          </cell>
          <cell r="W163">
            <v>0</v>
          </cell>
          <cell r="X163">
            <v>96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1647</v>
          </cell>
          <cell r="AG163">
            <v>1317</v>
          </cell>
          <cell r="AH163">
            <v>330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1851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41</v>
          </cell>
          <cell r="AX163">
            <v>1810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274</v>
          </cell>
          <cell r="BK163">
            <v>0</v>
          </cell>
          <cell r="BL163">
            <v>274</v>
          </cell>
        </row>
        <row r="164">
          <cell r="B164" t="str">
            <v>CPH-SECONDARY PACKING</v>
          </cell>
          <cell r="C164">
            <v>69120</v>
          </cell>
          <cell r="D164">
            <v>23040</v>
          </cell>
          <cell r="E164">
            <v>49260</v>
          </cell>
          <cell r="F164">
            <v>3180</v>
          </cell>
          <cell r="G164">
            <v>19860</v>
          </cell>
          <cell r="H164">
            <v>19860</v>
          </cell>
          <cell r="I164">
            <v>1876</v>
          </cell>
          <cell r="J164">
            <v>1876</v>
          </cell>
          <cell r="K164">
            <v>1876</v>
          </cell>
          <cell r="L164">
            <v>530</v>
          </cell>
          <cell r="M164">
            <v>1346</v>
          </cell>
          <cell r="N164">
            <v>0</v>
          </cell>
          <cell r="O164">
            <v>17984</v>
          </cell>
          <cell r="P164">
            <v>17984</v>
          </cell>
          <cell r="Q164">
            <v>7330</v>
          </cell>
          <cell r="R164">
            <v>7330</v>
          </cell>
          <cell r="S164">
            <v>10654</v>
          </cell>
          <cell r="T164">
            <v>10654</v>
          </cell>
          <cell r="U164">
            <v>4151</v>
          </cell>
          <cell r="V164">
            <v>1706</v>
          </cell>
          <cell r="W164">
            <v>260</v>
          </cell>
          <cell r="X164">
            <v>857</v>
          </cell>
          <cell r="Y164">
            <v>1328</v>
          </cell>
          <cell r="Z164">
            <v>85</v>
          </cell>
          <cell r="AA164">
            <v>85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2230</v>
          </cell>
          <cell r="AG164">
            <v>699</v>
          </cell>
          <cell r="AH164">
            <v>762</v>
          </cell>
          <cell r="AI164">
            <v>359</v>
          </cell>
          <cell r="AJ164">
            <v>0</v>
          </cell>
          <cell r="AK164">
            <v>410</v>
          </cell>
          <cell r="AL164">
            <v>0</v>
          </cell>
          <cell r="AM164">
            <v>0</v>
          </cell>
          <cell r="AN164">
            <v>0</v>
          </cell>
          <cell r="AO164">
            <v>4188</v>
          </cell>
          <cell r="AP164">
            <v>0</v>
          </cell>
          <cell r="AQ164">
            <v>52</v>
          </cell>
          <cell r="AR164">
            <v>1137</v>
          </cell>
          <cell r="AS164">
            <v>0</v>
          </cell>
          <cell r="AT164">
            <v>640</v>
          </cell>
          <cell r="AU164">
            <v>0</v>
          </cell>
          <cell r="AV164">
            <v>60</v>
          </cell>
          <cell r="AW164">
            <v>0</v>
          </cell>
          <cell r="AX164">
            <v>440</v>
          </cell>
          <cell r="AY164">
            <v>1018</v>
          </cell>
          <cell r="AZ164">
            <v>0</v>
          </cell>
          <cell r="BA164">
            <v>13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792</v>
          </cell>
          <cell r="BG164">
            <v>36</v>
          </cell>
          <cell r="BH164">
            <v>0</v>
          </cell>
          <cell r="BI164">
            <v>0</v>
          </cell>
          <cell r="BJ164">
            <v>740756</v>
          </cell>
          <cell r="BK164">
            <v>745</v>
          </cell>
          <cell r="BL164">
            <v>740011</v>
          </cell>
        </row>
        <row r="165">
          <cell r="B165" t="str">
            <v>PCF101</v>
          </cell>
          <cell r="C165">
            <v>34560</v>
          </cell>
          <cell r="D165">
            <v>11520</v>
          </cell>
          <cell r="E165">
            <v>22350</v>
          </cell>
          <cell r="F165">
            <v>-690</v>
          </cell>
          <cell r="G165">
            <v>12210</v>
          </cell>
          <cell r="H165">
            <v>12210</v>
          </cell>
          <cell r="I165">
            <v>931</v>
          </cell>
          <cell r="J165">
            <v>931</v>
          </cell>
          <cell r="K165">
            <v>931</v>
          </cell>
          <cell r="L165">
            <v>235</v>
          </cell>
          <cell r="M165">
            <v>696</v>
          </cell>
          <cell r="N165">
            <v>0</v>
          </cell>
          <cell r="O165">
            <v>11279</v>
          </cell>
          <cell r="P165">
            <v>11279</v>
          </cell>
          <cell r="Q165">
            <v>3545</v>
          </cell>
          <cell r="R165">
            <v>3545</v>
          </cell>
          <cell r="S165">
            <v>7734</v>
          </cell>
          <cell r="T165">
            <v>7734</v>
          </cell>
          <cell r="U165">
            <v>3816</v>
          </cell>
          <cell r="V165">
            <v>1371</v>
          </cell>
          <cell r="W165">
            <v>260</v>
          </cell>
          <cell r="X165">
            <v>857</v>
          </cell>
          <cell r="Y165">
            <v>1328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1340</v>
          </cell>
          <cell r="AG165">
            <v>624</v>
          </cell>
          <cell r="AH165">
            <v>357</v>
          </cell>
          <cell r="AI165">
            <v>359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2578</v>
          </cell>
          <cell r="AP165">
            <v>0</v>
          </cell>
          <cell r="AQ165">
            <v>52</v>
          </cell>
          <cell r="AR165">
            <v>747</v>
          </cell>
          <cell r="AS165">
            <v>0</v>
          </cell>
          <cell r="AT165">
            <v>445</v>
          </cell>
          <cell r="AU165">
            <v>0</v>
          </cell>
          <cell r="AV165">
            <v>0</v>
          </cell>
          <cell r="AW165">
            <v>0</v>
          </cell>
          <cell r="AX165">
            <v>155</v>
          </cell>
          <cell r="AY165">
            <v>850</v>
          </cell>
          <cell r="AZ165">
            <v>0</v>
          </cell>
          <cell r="BA165">
            <v>13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280</v>
          </cell>
          <cell r="BG165">
            <v>36</v>
          </cell>
          <cell r="BH165">
            <v>0</v>
          </cell>
          <cell r="BI165">
            <v>0</v>
          </cell>
          <cell r="BJ165">
            <v>612417</v>
          </cell>
          <cell r="BK165">
            <v>144</v>
          </cell>
          <cell r="BL165">
            <v>612273</v>
          </cell>
        </row>
        <row r="166">
          <cell r="B166" t="str">
            <v>PCF102</v>
          </cell>
          <cell r="C166">
            <v>34560</v>
          </cell>
          <cell r="D166">
            <v>11520</v>
          </cell>
          <cell r="E166">
            <v>26910</v>
          </cell>
          <cell r="F166">
            <v>3870</v>
          </cell>
          <cell r="G166">
            <v>7650</v>
          </cell>
          <cell r="H166">
            <v>7650</v>
          </cell>
          <cell r="I166">
            <v>945</v>
          </cell>
          <cell r="J166">
            <v>945</v>
          </cell>
          <cell r="K166">
            <v>945</v>
          </cell>
          <cell r="L166">
            <v>295</v>
          </cell>
          <cell r="M166">
            <v>650</v>
          </cell>
          <cell r="N166">
            <v>0</v>
          </cell>
          <cell r="O166">
            <v>6705</v>
          </cell>
          <cell r="P166">
            <v>6705</v>
          </cell>
          <cell r="Q166">
            <v>3785</v>
          </cell>
          <cell r="R166">
            <v>3785</v>
          </cell>
          <cell r="S166">
            <v>2920</v>
          </cell>
          <cell r="T166">
            <v>2920</v>
          </cell>
          <cell r="U166">
            <v>335</v>
          </cell>
          <cell r="V166">
            <v>335</v>
          </cell>
          <cell r="W166">
            <v>0</v>
          </cell>
          <cell r="X166">
            <v>0</v>
          </cell>
          <cell r="Y166">
            <v>0</v>
          </cell>
          <cell r="Z166">
            <v>85</v>
          </cell>
          <cell r="AA166">
            <v>85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890</v>
          </cell>
          <cell r="AG166">
            <v>75</v>
          </cell>
          <cell r="AH166">
            <v>405</v>
          </cell>
          <cell r="AI166">
            <v>0</v>
          </cell>
          <cell r="AJ166">
            <v>0</v>
          </cell>
          <cell r="AK166">
            <v>410</v>
          </cell>
          <cell r="AL166">
            <v>0</v>
          </cell>
          <cell r="AM166">
            <v>0</v>
          </cell>
          <cell r="AN166">
            <v>0</v>
          </cell>
          <cell r="AO166">
            <v>1610</v>
          </cell>
          <cell r="AP166">
            <v>0</v>
          </cell>
          <cell r="AQ166">
            <v>0</v>
          </cell>
          <cell r="AR166">
            <v>390</v>
          </cell>
          <cell r="AS166">
            <v>0</v>
          </cell>
          <cell r="AT166">
            <v>195</v>
          </cell>
          <cell r="AU166">
            <v>0</v>
          </cell>
          <cell r="AV166">
            <v>60</v>
          </cell>
          <cell r="AW166">
            <v>0</v>
          </cell>
          <cell r="AX166">
            <v>285</v>
          </cell>
          <cell r="AY166">
            <v>168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512</v>
          </cell>
          <cell r="BG166">
            <v>0</v>
          </cell>
          <cell r="BH166">
            <v>0</v>
          </cell>
          <cell r="BI166">
            <v>0</v>
          </cell>
          <cell r="BJ166">
            <v>128339</v>
          </cell>
          <cell r="BK166">
            <v>601</v>
          </cell>
          <cell r="BL166">
            <v>127738</v>
          </cell>
        </row>
      </sheetData>
      <sheetData sheetId="14" refreshError="1"/>
      <sheetData sheetId="1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shboard OEE"/>
      <sheetName val="Dashboard Monthly Manpower"/>
      <sheetName val="Dashboard Monthly Legend"/>
      <sheetName val="Dashboard Legend Group"/>
      <sheetName val="Mesin Running"/>
      <sheetName val="Pivot Batch &amp; Tanggal"/>
      <sheetName val="Jumlah Shift"/>
      <sheetName val="Format Shift Operation"/>
      <sheetName val="Custom Report "/>
      <sheetName val="OEE All Machine Report"/>
      <sheetName val="OEE By Group Report"/>
      <sheetName val="Analisys QBR Report"/>
      <sheetName val="Analisys QBR By Machine Report"/>
      <sheetName val="Dasboard_QBR_Report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B1" t="str">
            <v>oee</v>
          </cell>
        </row>
        <row r="109">
          <cell r="C109" t="str">
            <v>PROSES( Menit )</v>
          </cell>
          <cell r="D109" t="str">
            <v>POT</v>
          </cell>
          <cell r="E109" t="str">
            <v>Unschedule Time</v>
          </cell>
          <cell r="F109" t="str">
            <v>L2</v>
          </cell>
          <cell r="G109" t="str">
            <v>L21</v>
          </cell>
          <cell r="H109" t="str">
            <v>L22</v>
          </cell>
          <cell r="I109" t="str">
            <v>IG</v>
          </cell>
          <cell r="J109" t="str">
            <v>PPT</v>
          </cell>
          <cell r="K109" t="str">
            <v>R</v>
          </cell>
          <cell r="L109" t="str">
            <v>Setup</v>
          </cell>
          <cell r="M109" t="str">
            <v>P6</v>
          </cell>
          <cell r="N109" t="str">
            <v>P5</v>
          </cell>
          <cell r="O109" t="str">
            <v>P8</v>
          </cell>
          <cell r="P109" t="str">
            <v>P9</v>
          </cell>
          <cell r="Q109" t="str">
            <v>Breakdown</v>
          </cell>
          <cell r="R109" t="str">
            <v>M1</v>
          </cell>
          <cell r="S109" t="str">
            <v>M2</v>
          </cell>
          <cell r="T109" t="str">
            <v>M4</v>
          </cell>
          <cell r="U109" t="str">
            <v>M8</v>
          </cell>
          <cell r="V109" t="str">
            <v>M9</v>
          </cell>
          <cell r="W109" t="str">
            <v>Clean</v>
          </cell>
          <cell r="X109" t="str">
            <v>P2</v>
          </cell>
          <cell r="Y109" t="str">
            <v>P4</v>
          </cell>
          <cell r="Z109" t="str">
            <v>P17</v>
          </cell>
          <cell r="AA109" t="str">
            <v>P19</v>
          </cell>
          <cell r="AB109" t="str">
            <v>P12</v>
          </cell>
          <cell r="AC109" t="str">
            <v>Trial</v>
          </cell>
          <cell r="AD109" t="str">
            <v>R1</v>
          </cell>
          <cell r="AE109" t="str">
            <v>R2</v>
          </cell>
          <cell r="AF109" t="str">
            <v>Waiting</v>
          </cell>
          <cell r="AG109" t="str">
            <v>L1</v>
          </cell>
          <cell r="AH109" t="str">
            <v>L3</v>
          </cell>
          <cell r="AI109" t="str">
            <v>H1</v>
          </cell>
          <cell r="AJ109" t="str">
            <v>H2</v>
          </cell>
          <cell r="AK109" t="str">
            <v>H4</v>
          </cell>
          <cell r="AL109" t="str">
            <v>H6</v>
          </cell>
          <cell r="AM109" t="str">
            <v>H7</v>
          </cell>
          <cell r="AN109" t="str">
            <v>H8</v>
          </cell>
          <cell r="AO109" t="str">
            <v>P10</v>
          </cell>
          <cell r="AP109" t="str">
            <v>P11</v>
          </cell>
          <cell r="AQ109" t="str">
            <v>P13</v>
          </cell>
          <cell r="AR109" t="str">
            <v>P14</v>
          </cell>
          <cell r="AS109" t="str">
            <v>P16</v>
          </cell>
          <cell r="AT109" t="str">
            <v>M5</v>
          </cell>
          <cell r="AU109" t="str">
            <v>M6</v>
          </cell>
          <cell r="AV109" t="str">
            <v>M7</v>
          </cell>
          <cell r="AW109" t="str">
            <v>Q1</v>
          </cell>
          <cell r="AX109" t="str">
            <v>Q2</v>
          </cell>
          <cell r="AY109" t="str">
            <v>Q3</v>
          </cell>
          <cell r="AZ109" t="str">
            <v>Q4</v>
          </cell>
          <cell r="BA109" t="str">
            <v>Total Output</v>
          </cell>
          <cell r="BB109" t="str">
            <v>Reject Output</v>
          </cell>
          <cell r="BC109" t="str">
            <v>Good Output</v>
          </cell>
        </row>
        <row r="110">
          <cell r="C110" t="str">
            <v>NBL SOL-MIXING</v>
          </cell>
          <cell r="D110">
            <v>90720</v>
          </cell>
          <cell r="E110">
            <v>63180</v>
          </cell>
          <cell r="F110">
            <v>3624</v>
          </cell>
          <cell r="G110">
            <v>75</v>
          </cell>
          <cell r="H110">
            <v>3549</v>
          </cell>
          <cell r="I110">
            <v>352</v>
          </cell>
          <cell r="J110">
            <v>23564</v>
          </cell>
          <cell r="K110">
            <v>3745</v>
          </cell>
          <cell r="L110">
            <v>801</v>
          </cell>
          <cell r="M110">
            <v>798</v>
          </cell>
          <cell r="N110">
            <v>0</v>
          </cell>
          <cell r="O110">
            <v>3</v>
          </cell>
          <cell r="P110">
            <v>0</v>
          </cell>
          <cell r="Q110">
            <v>299</v>
          </cell>
          <cell r="R110">
            <v>0</v>
          </cell>
          <cell r="S110">
            <v>0</v>
          </cell>
          <cell r="T110">
            <v>0</v>
          </cell>
          <cell r="U110">
            <v>299</v>
          </cell>
          <cell r="V110">
            <v>0</v>
          </cell>
          <cell r="W110">
            <v>10702</v>
          </cell>
          <cell r="X110">
            <v>6044</v>
          </cell>
          <cell r="Y110">
            <v>4082</v>
          </cell>
          <cell r="Z110">
            <v>21</v>
          </cell>
          <cell r="AA110">
            <v>0</v>
          </cell>
          <cell r="AB110">
            <v>555</v>
          </cell>
          <cell r="AC110">
            <v>0</v>
          </cell>
          <cell r="AD110">
            <v>0</v>
          </cell>
          <cell r="AE110">
            <v>0</v>
          </cell>
          <cell r="AF110">
            <v>8017</v>
          </cell>
          <cell r="AG110">
            <v>90</v>
          </cell>
          <cell r="AH110">
            <v>0</v>
          </cell>
          <cell r="AI110">
            <v>1610</v>
          </cell>
          <cell r="AJ110">
            <v>0</v>
          </cell>
          <cell r="AK110">
            <v>1440</v>
          </cell>
          <cell r="AL110">
            <v>0</v>
          </cell>
          <cell r="AM110">
            <v>0</v>
          </cell>
          <cell r="AN110">
            <v>0</v>
          </cell>
          <cell r="AO110">
            <v>4045</v>
          </cell>
          <cell r="AP110">
            <v>20</v>
          </cell>
          <cell r="AQ110">
            <v>0</v>
          </cell>
          <cell r="AR110">
            <v>314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498</v>
          </cell>
          <cell r="AX110">
            <v>0</v>
          </cell>
          <cell r="AY110">
            <v>0</v>
          </cell>
          <cell r="AZ110">
            <v>0</v>
          </cell>
          <cell r="BA110">
            <v>7465.38</v>
          </cell>
          <cell r="BB110">
            <v>0</v>
          </cell>
          <cell r="BC110">
            <v>7465.38</v>
          </cell>
        </row>
        <row r="111">
          <cell r="C111" t="str">
            <v>MIX113</v>
          </cell>
          <cell r="D111">
            <v>30240</v>
          </cell>
          <cell r="E111">
            <v>16740</v>
          </cell>
          <cell r="F111">
            <v>2175</v>
          </cell>
          <cell r="G111">
            <v>35</v>
          </cell>
          <cell r="H111">
            <v>2140</v>
          </cell>
          <cell r="I111">
            <v>325</v>
          </cell>
          <cell r="J111">
            <v>11000</v>
          </cell>
          <cell r="K111">
            <v>694</v>
          </cell>
          <cell r="L111">
            <v>427</v>
          </cell>
          <cell r="M111">
            <v>427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4043</v>
          </cell>
          <cell r="X111">
            <v>1646</v>
          </cell>
          <cell r="Y111">
            <v>2112</v>
          </cell>
          <cell r="Z111">
            <v>0</v>
          </cell>
          <cell r="AA111">
            <v>0</v>
          </cell>
          <cell r="AB111">
            <v>285</v>
          </cell>
          <cell r="AC111">
            <v>0</v>
          </cell>
          <cell r="AD111">
            <v>0</v>
          </cell>
          <cell r="AE111">
            <v>0</v>
          </cell>
          <cell r="AF111">
            <v>5836</v>
          </cell>
          <cell r="AG111">
            <v>65</v>
          </cell>
          <cell r="AH111">
            <v>0</v>
          </cell>
          <cell r="AI111">
            <v>765</v>
          </cell>
          <cell r="AJ111">
            <v>0</v>
          </cell>
          <cell r="AK111">
            <v>690</v>
          </cell>
          <cell r="AL111">
            <v>0</v>
          </cell>
          <cell r="AM111">
            <v>0</v>
          </cell>
          <cell r="AN111">
            <v>0</v>
          </cell>
          <cell r="AO111">
            <v>4045</v>
          </cell>
          <cell r="AP111">
            <v>20</v>
          </cell>
          <cell r="AQ111">
            <v>0</v>
          </cell>
          <cell r="AR111">
            <v>20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231</v>
          </cell>
          <cell r="AX111">
            <v>0</v>
          </cell>
          <cell r="AY111">
            <v>0</v>
          </cell>
          <cell r="AZ111">
            <v>0</v>
          </cell>
          <cell r="BA111">
            <v>4784.8</v>
          </cell>
          <cell r="BB111">
            <v>0</v>
          </cell>
          <cell r="BC111">
            <v>4784.8</v>
          </cell>
        </row>
        <row r="112">
          <cell r="C112" t="str">
            <v>LMIXSOL1</v>
          </cell>
          <cell r="D112">
            <v>30240</v>
          </cell>
          <cell r="E112">
            <v>21930</v>
          </cell>
          <cell r="F112">
            <v>1245</v>
          </cell>
          <cell r="G112">
            <v>20</v>
          </cell>
          <cell r="H112">
            <v>1225</v>
          </cell>
          <cell r="I112">
            <v>27</v>
          </cell>
          <cell r="J112">
            <v>7038</v>
          </cell>
          <cell r="K112">
            <v>1496</v>
          </cell>
          <cell r="L112">
            <v>210</v>
          </cell>
          <cell r="M112">
            <v>210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4071</v>
          </cell>
          <cell r="X112">
            <v>2609</v>
          </cell>
          <cell r="Y112">
            <v>1265</v>
          </cell>
          <cell r="Z112">
            <v>2</v>
          </cell>
          <cell r="AA112">
            <v>0</v>
          </cell>
          <cell r="AB112">
            <v>195</v>
          </cell>
          <cell r="AC112">
            <v>0</v>
          </cell>
          <cell r="AD112">
            <v>0</v>
          </cell>
          <cell r="AE112">
            <v>0</v>
          </cell>
          <cell r="AF112">
            <v>1261</v>
          </cell>
          <cell r="AG112">
            <v>25</v>
          </cell>
          <cell r="AH112">
            <v>0</v>
          </cell>
          <cell r="AI112">
            <v>480</v>
          </cell>
          <cell r="AJ112">
            <v>0</v>
          </cell>
          <cell r="AK112">
            <v>405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247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104</v>
          </cell>
          <cell r="AX112">
            <v>0</v>
          </cell>
          <cell r="AY112">
            <v>0</v>
          </cell>
          <cell r="AZ112">
            <v>0</v>
          </cell>
          <cell r="BA112">
            <v>871.59</v>
          </cell>
          <cell r="BB112">
            <v>0</v>
          </cell>
          <cell r="BC112">
            <v>871.59</v>
          </cell>
        </row>
        <row r="113">
          <cell r="C113" t="str">
            <v>LMIXSOL2</v>
          </cell>
          <cell r="D113">
            <v>30240</v>
          </cell>
          <cell r="E113">
            <v>24510</v>
          </cell>
          <cell r="F113">
            <v>204</v>
          </cell>
          <cell r="G113">
            <v>20</v>
          </cell>
          <cell r="H113">
            <v>184</v>
          </cell>
          <cell r="I113">
            <v>0</v>
          </cell>
          <cell r="J113">
            <v>5526</v>
          </cell>
          <cell r="K113">
            <v>1555</v>
          </cell>
          <cell r="L113">
            <v>164</v>
          </cell>
          <cell r="M113">
            <v>161</v>
          </cell>
          <cell r="N113">
            <v>0</v>
          </cell>
          <cell r="O113">
            <v>3</v>
          </cell>
          <cell r="P113">
            <v>0</v>
          </cell>
          <cell r="Q113">
            <v>299</v>
          </cell>
          <cell r="R113">
            <v>0</v>
          </cell>
          <cell r="S113">
            <v>0</v>
          </cell>
          <cell r="T113">
            <v>0</v>
          </cell>
          <cell r="U113">
            <v>299</v>
          </cell>
          <cell r="V113">
            <v>0</v>
          </cell>
          <cell r="W113">
            <v>2588</v>
          </cell>
          <cell r="X113">
            <v>1789</v>
          </cell>
          <cell r="Y113">
            <v>705</v>
          </cell>
          <cell r="Z113">
            <v>19</v>
          </cell>
          <cell r="AA113">
            <v>0</v>
          </cell>
          <cell r="AB113">
            <v>75</v>
          </cell>
          <cell r="AC113">
            <v>0</v>
          </cell>
          <cell r="AD113">
            <v>0</v>
          </cell>
          <cell r="AE113">
            <v>0</v>
          </cell>
          <cell r="AF113">
            <v>920</v>
          </cell>
          <cell r="AG113">
            <v>0</v>
          </cell>
          <cell r="AH113">
            <v>0</v>
          </cell>
          <cell r="AI113">
            <v>365</v>
          </cell>
          <cell r="AJ113">
            <v>0</v>
          </cell>
          <cell r="AK113">
            <v>345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47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163</v>
          </cell>
          <cell r="AX113">
            <v>0</v>
          </cell>
          <cell r="AY113">
            <v>0</v>
          </cell>
          <cell r="AZ113">
            <v>0</v>
          </cell>
          <cell r="BA113">
            <v>1808.99</v>
          </cell>
          <cell r="BB113">
            <v>0</v>
          </cell>
          <cell r="BC113">
            <v>1808.99</v>
          </cell>
        </row>
        <row r="114">
          <cell r="C114" t="str">
            <v>NBL SOL-COATING</v>
          </cell>
          <cell r="D114">
            <v>60480</v>
          </cell>
          <cell r="E114">
            <v>49410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11070</v>
          </cell>
          <cell r="K114">
            <v>4745</v>
          </cell>
          <cell r="L114">
            <v>255</v>
          </cell>
          <cell r="M114">
            <v>155</v>
          </cell>
          <cell r="N114">
            <v>0</v>
          </cell>
          <cell r="O114">
            <v>100</v>
          </cell>
          <cell r="P114">
            <v>0</v>
          </cell>
          <cell r="Q114">
            <v>30</v>
          </cell>
          <cell r="R114">
            <v>0</v>
          </cell>
          <cell r="S114">
            <v>0</v>
          </cell>
          <cell r="T114">
            <v>0</v>
          </cell>
          <cell r="U114">
            <v>30</v>
          </cell>
          <cell r="V114">
            <v>0</v>
          </cell>
          <cell r="W114">
            <v>3790</v>
          </cell>
          <cell r="X114">
            <v>1065</v>
          </cell>
          <cell r="Y114">
            <v>2400</v>
          </cell>
          <cell r="Z114">
            <v>0</v>
          </cell>
          <cell r="AA114">
            <v>0</v>
          </cell>
          <cell r="AB114">
            <v>325</v>
          </cell>
          <cell r="AC114">
            <v>0</v>
          </cell>
          <cell r="AD114">
            <v>0</v>
          </cell>
          <cell r="AE114">
            <v>0</v>
          </cell>
          <cell r="AF114">
            <v>2250</v>
          </cell>
          <cell r="AG114">
            <v>0</v>
          </cell>
          <cell r="AH114">
            <v>0</v>
          </cell>
          <cell r="AI114">
            <v>635</v>
          </cell>
          <cell r="AJ114">
            <v>0</v>
          </cell>
          <cell r="AK114">
            <v>585</v>
          </cell>
          <cell r="AL114">
            <v>0</v>
          </cell>
          <cell r="AM114">
            <v>30</v>
          </cell>
          <cell r="AN114">
            <v>0</v>
          </cell>
          <cell r="AO114">
            <v>425</v>
          </cell>
          <cell r="AP114">
            <v>395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170</v>
          </cell>
          <cell r="AX114">
            <v>10</v>
          </cell>
          <cell r="AY114">
            <v>0</v>
          </cell>
          <cell r="AZ114">
            <v>0</v>
          </cell>
          <cell r="BA114">
            <v>2540.4299999999998</v>
          </cell>
          <cell r="BB114">
            <v>1.05</v>
          </cell>
          <cell r="BC114">
            <v>2539.38</v>
          </cell>
        </row>
        <row r="115">
          <cell r="C115" t="str">
            <v>COT101</v>
          </cell>
          <cell r="D115">
            <v>30240</v>
          </cell>
          <cell r="E115">
            <v>25560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4680</v>
          </cell>
          <cell r="K115">
            <v>1825</v>
          </cell>
          <cell r="L115">
            <v>170</v>
          </cell>
          <cell r="M115">
            <v>100</v>
          </cell>
          <cell r="N115">
            <v>0</v>
          </cell>
          <cell r="O115">
            <v>70</v>
          </cell>
          <cell r="P115">
            <v>0</v>
          </cell>
          <cell r="Q115">
            <v>30</v>
          </cell>
          <cell r="R115">
            <v>0</v>
          </cell>
          <cell r="S115">
            <v>0</v>
          </cell>
          <cell r="T115">
            <v>0</v>
          </cell>
          <cell r="U115">
            <v>30</v>
          </cell>
          <cell r="V115">
            <v>0</v>
          </cell>
          <cell r="W115">
            <v>1695</v>
          </cell>
          <cell r="X115">
            <v>465</v>
          </cell>
          <cell r="Y115">
            <v>1095</v>
          </cell>
          <cell r="Z115">
            <v>0</v>
          </cell>
          <cell r="AA115">
            <v>0</v>
          </cell>
          <cell r="AB115">
            <v>135</v>
          </cell>
          <cell r="AC115">
            <v>0</v>
          </cell>
          <cell r="AD115">
            <v>0</v>
          </cell>
          <cell r="AE115">
            <v>0</v>
          </cell>
          <cell r="AF115">
            <v>960</v>
          </cell>
          <cell r="AG115">
            <v>0</v>
          </cell>
          <cell r="AH115">
            <v>0</v>
          </cell>
          <cell r="AI115">
            <v>240</v>
          </cell>
          <cell r="AJ115">
            <v>0</v>
          </cell>
          <cell r="AK115">
            <v>290</v>
          </cell>
          <cell r="AL115">
            <v>0</v>
          </cell>
          <cell r="AM115">
            <v>30</v>
          </cell>
          <cell r="AN115">
            <v>0</v>
          </cell>
          <cell r="AO115">
            <v>165</v>
          </cell>
          <cell r="AP115">
            <v>185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50</v>
          </cell>
          <cell r="AX115">
            <v>0</v>
          </cell>
          <cell r="AY115">
            <v>0</v>
          </cell>
          <cell r="AZ115">
            <v>0</v>
          </cell>
          <cell r="BA115">
            <v>423.32</v>
          </cell>
          <cell r="BB115">
            <v>0.26</v>
          </cell>
          <cell r="BC115">
            <v>423.06</v>
          </cell>
        </row>
        <row r="116">
          <cell r="C116" t="str">
            <v>COT102</v>
          </cell>
          <cell r="D116">
            <v>30240</v>
          </cell>
          <cell r="E116">
            <v>23850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6390</v>
          </cell>
          <cell r="K116">
            <v>2920</v>
          </cell>
          <cell r="L116">
            <v>85</v>
          </cell>
          <cell r="M116">
            <v>55</v>
          </cell>
          <cell r="N116">
            <v>0</v>
          </cell>
          <cell r="O116">
            <v>30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2095</v>
          </cell>
          <cell r="X116">
            <v>600</v>
          </cell>
          <cell r="Y116">
            <v>1305</v>
          </cell>
          <cell r="Z116">
            <v>0</v>
          </cell>
          <cell r="AA116">
            <v>0</v>
          </cell>
          <cell r="AB116">
            <v>190</v>
          </cell>
          <cell r="AC116">
            <v>0</v>
          </cell>
          <cell r="AD116">
            <v>0</v>
          </cell>
          <cell r="AE116">
            <v>0</v>
          </cell>
          <cell r="AF116">
            <v>1290</v>
          </cell>
          <cell r="AG116">
            <v>0</v>
          </cell>
          <cell r="AH116">
            <v>0</v>
          </cell>
          <cell r="AI116">
            <v>395</v>
          </cell>
          <cell r="AJ116">
            <v>0</v>
          </cell>
          <cell r="AK116">
            <v>295</v>
          </cell>
          <cell r="AL116">
            <v>0</v>
          </cell>
          <cell r="AM116">
            <v>0</v>
          </cell>
          <cell r="AN116">
            <v>0</v>
          </cell>
          <cell r="AO116">
            <v>260</v>
          </cell>
          <cell r="AP116">
            <v>210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120</v>
          </cell>
          <cell r="AX116">
            <v>10</v>
          </cell>
          <cell r="AY116">
            <v>0</v>
          </cell>
          <cell r="AZ116">
            <v>0</v>
          </cell>
          <cell r="BA116">
            <v>2117.11</v>
          </cell>
          <cell r="BB116">
            <v>0.79</v>
          </cell>
          <cell r="BC116">
            <v>2116.3200000000002</v>
          </cell>
        </row>
        <row r="117">
          <cell r="C117" t="str">
            <v>NBL SOL-TABLETING</v>
          </cell>
          <cell r="D117">
            <v>92160</v>
          </cell>
          <cell r="E117">
            <v>61830</v>
          </cell>
          <cell r="F117">
            <v>3585</v>
          </cell>
          <cell r="G117">
            <v>220</v>
          </cell>
          <cell r="H117">
            <v>3365</v>
          </cell>
          <cell r="I117">
            <v>0</v>
          </cell>
          <cell r="J117">
            <v>26745</v>
          </cell>
          <cell r="K117">
            <v>8735</v>
          </cell>
          <cell r="L117">
            <v>3305</v>
          </cell>
          <cell r="M117">
            <v>2115</v>
          </cell>
          <cell r="N117">
            <v>0</v>
          </cell>
          <cell r="O117">
            <v>160</v>
          </cell>
          <cell r="P117">
            <v>1030</v>
          </cell>
          <cell r="Q117">
            <v>225</v>
          </cell>
          <cell r="R117">
            <v>90</v>
          </cell>
          <cell r="S117">
            <v>135</v>
          </cell>
          <cell r="T117">
            <v>0</v>
          </cell>
          <cell r="U117">
            <v>0</v>
          </cell>
          <cell r="V117">
            <v>0</v>
          </cell>
          <cell r="W117">
            <v>4035</v>
          </cell>
          <cell r="X117">
            <v>560</v>
          </cell>
          <cell r="Y117">
            <v>2430</v>
          </cell>
          <cell r="Z117">
            <v>45</v>
          </cell>
          <cell r="AA117">
            <v>0</v>
          </cell>
          <cell r="AB117">
            <v>1000</v>
          </cell>
          <cell r="AC117">
            <v>705</v>
          </cell>
          <cell r="AD117">
            <v>405</v>
          </cell>
          <cell r="AE117">
            <v>300</v>
          </cell>
          <cell r="AF117">
            <v>9740</v>
          </cell>
          <cell r="AG117">
            <v>0</v>
          </cell>
          <cell r="AH117">
            <v>0</v>
          </cell>
          <cell r="AI117">
            <v>1640</v>
          </cell>
          <cell r="AJ117">
            <v>0</v>
          </cell>
          <cell r="AK117">
            <v>1465</v>
          </cell>
          <cell r="AL117">
            <v>0</v>
          </cell>
          <cell r="AM117">
            <v>80</v>
          </cell>
          <cell r="AN117">
            <v>0</v>
          </cell>
          <cell r="AO117">
            <v>2285</v>
          </cell>
          <cell r="AP117">
            <v>560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2505</v>
          </cell>
          <cell r="AX117">
            <v>1205</v>
          </cell>
          <cell r="AY117">
            <v>0</v>
          </cell>
          <cell r="AZ117">
            <v>0</v>
          </cell>
          <cell r="BA117">
            <v>6197892</v>
          </cell>
          <cell r="BB117">
            <v>47661</v>
          </cell>
          <cell r="BC117">
            <v>6150231</v>
          </cell>
        </row>
        <row r="118">
          <cell r="C118" t="str">
            <v>TAB101</v>
          </cell>
          <cell r="D118">
            <v>31680</v>
          </cell>
          <cell r="E118">
            <v>22740</v>
          </cell>
          <cell r="F118">
            <v>780</v>
          </cell>
          <cell r="G118">
            <v>60</v>
          </cell>
          <cell r="H118">
            <v>720</v>
          </cell>
          <cell r="I118">
            <v>0</v>
          </cell>
          <cell r="J118">
            <v>8160</v>
          </cell>
          <cell r="K118">
            <v>2550</v>
          </cell>
          <cell r="L118">
            <v>710</v>
          </cell>
          <cell r="M118">
            <v>465</v>
          </cell>
          <cell r="N118">
            <v>0</v>
          </cell>
          <cell r="O118">
            <v>25</v>
          </cell>
          <cell r="P118">
            <v>220</v>
          </cell>
          <cell r="Q118">
            <v>225</v>
          </cell>
          <cell r="R118">
            <v>90</v>
          </cell>
          <cell r="S118">
            <v>135</v>
          </cell>
          <cell r="T118">
            <v>0</v>
          </cell>
          <cell r="U118">
            <v>0</v>
          </cell>
          <cell r="V118">
            <v>0</v>
          </cell>
          <cell r="W118">
            <v>1270</v>
          </cell>
          <cell r="X118">
            <v>125</v>
          </cell>
          <cell r="Y118">
            <v>710</v>
          </cell>
          <cell r="Z118">
            <v>10</v>
          </cell>
          <cell r="AA118">
            <v>0</v>
          </cell>
          <cell r="AB118">
            <v>425</v>
          </cell>
          <cell r="AC118">
            <v>170</v>
          </cell>
          <cell r="AD118">
            <v>170</v>
          </cell>
          <cell r="AE118">
            <v>0</v>
          </cell>
          <cell r="AF118">
            <v>3235</v>
          </cell>
          <cell r="AG118">
            <v>0</v>
          </cell>
          <cell r="AH118">
            <v>0</v>
          </cell>
          <cell r="AI118">
            <v>470</v>
          </cell>
          <cell r="AJ118">
            <v>0</v>
          </cell>
          <cell r="AK118">
            <v>430</v>
          </cell>
          <cell r="AL118">
            <v>0</v>
          </cell>
          <cell r="AM118">
            <v>80</v>
          </cell>
          <cell r="AN118">
            <v>0</v>
          </cell>
          <cell r="AO118">
            <v>1405</v>
          </cell>
          <cell r="AP118">
            <v>310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540</v>
          </cell>
          <cell r="AX118">
            <v>0</v>
          </cell>
          <cell r="AY118">
            <v>0</v>
          </cell>
          <cell r="AZ118">
            <v>0</v>
          </cell>
          <cell r="BA118">
            <v>2619210</v>
          </cell>
          <cell r="BB118">
            <v>2661</v>
          </cell>
          <cell r="BC118">
            <v>2616549</v>
          </cell>
        </row>
        <row r="119">
          <cell r="C119" t="str">
            <v>TAB105</v>
          </cell>
          <cell r="D119">
            <v>30240</v>
          </cell>
          <cell r="E119">
            <v>17250</v>
          </cell>
          <cell r="F119">
            <v>1990</v>
          </cell>
          <cell r="G119">
            <v>140</v>
          </cell>
          <cell r="H119">
            <v>1850</v>
          </cell>
          <cell r="I119">
            <v>0</v>
          </cell>
          <cell r="J119">
            <v>11000</v>
          </cell>
          <cell r="K119">
            <v>4335</v>
          </cell>
          <cell r="L119">
            <v>1695</v>
          </cell>
          <cell r="M119">
            <v>1105</v>
          </cell>
          <cell r="N119">
            <v>0</v>
          </cell>
          <cell r="O119">
            <v>75</v>
          </cell>
          <cell r="P119">
            <v>515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1385</v>
          </cell>
          <cell r="X119">
            <v>190</v>
          </cell>
          <cell r="Y119">
            <v>835</v>
          </cell>
          <cell r="Z119">
            <v>35</v>
          </cell>
          <cell r="AA119">
            <v>0</v>
          </cell>
          <cell r="AB119">
            <v>325</v>
          </cell>
          <cell r="AC119">
            <v>535</v>
          </cell>
          <cell r="AD119">
            <v>235</v>
          </cell>
          <cell r="AE119">
            <v>300</v>
          </cell>
          <cell r="AF119">
            <v>3050</v>
          </cell>
          <cell r="AG119">
            <v>0</v>
          </cell>
          <cell r="AH119">
            <v>0</v>
          </cell>
          <cell r="AI119">
            <v>720</v>
          </cell>
          <cell r="AJ119">
            <v>0</v>
          </cell>
          <cell r="AK119">
            <v>675</v>
          </cell>
          <cell r="AL119">
            <v>0</v>
          </cell>
          <cell r="AM119">
            <v>0</v>
          </cell>
          <cell r="AN119">
            <v>0</v>
          </cell>
          <cell r="AO119">
            <v>680</v>
          </cell>
          <cell r="AP119">
            <v>145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725</v>
          </cell>
          <cell r="AX119">
            <v>105</v>
          </cell>
          <cell r="AY119">
            <v>0</v>
          </cell>
          <cell r="AZ119">
            <v>0</v>
          </cell>
          <cell r="BA119">
            <v>1944395</v>
          </cell>
          <cell r="BB119">
            <v>2652</v>
          </cell>
          <cell r="BC119">
            <v>1941743</v>
          </cell>
        </row>
        <row r="120">
          <cell r="C120" t="str">
            <v>TAB103</v>
          </cell>
          <cell r="D120">
            <v>30240</v>
          </cell>
          <cell r="E120">
            <v>21840</v>
          </cell>
          <cell r="F120">
            <v>815</v>
          </cell>
          <cell r="G120">
            <v>20</v>
          </cell>
          <cell r="H120">
            <v>795</v>
          </cell>
          <cell r="I120">
            <v>0</v>
          </cell>
          <cell r="J120">
            <v>7585</v>
          </cell>
          <cell r="K120">
            <v>1850</v>
          </cell>
          <cell r="L120">
            <v>900</v>
          </cell>
          <cell r="M120">
            <v>545</v>
          </cell>
          <cell r="N120">
            <v>0</v>
          </cell>
          <cell r="O120">
            <v>60</v>
          </cell>
          <cell r="P120">
            <v>295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1380</v>
          </cell>
          <cell r="X120">
            <v>245</v>
          </cell>
          <cell r="Y120">
            <v>885</v>
          </cell>
          <cell r="Z120">
            <v>0</v>
          </cell>
          <cell r="AA120">
            <v>0</v>
          </cell>
          <cell r="AB120">
            <v>250</v>
          </cell>
          <cell r="AC120">
            <v>0</v>
          </cell>
          <cell r="AD120">
            <v>0</v>
          </cell>
          <cell r="AE120">
            <v>0</v>
          </cell>
          <cell r="AF120">
            <v>3455</v>
          </cell>
          <cell r="AG120">
            <v>0</v>
          </cell>
          <cell r="AH120">
            <v>0</v>
          </cell>
          <cell r="AI120">
            <v>450</v>
          </cell>
          <cell r="AJ120">
            <v>0</v>
          </cell>
          <cell r="AK120">
            <v>360</v>
          </cell>
          <cell r="AL120">
            <v>0</v>
          </cell>
          <cell r="AM120">
            <v>0</v>
          </cell>
          <cell r="AN120">
            <v>0</v>
          </cell>
          <cell r="AO120">
            <v>200</v>
          </cell>
          <cell r="AP120">
            <v>105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1240</v>
          </cell>
          <cell r="AX120">
            <v>1100</v>
          </cell>
          <cell r="AY120">
            <v>0</v>
          </cell>
          <cell r="AZ120">
            <v>0</v>
          </cell>
          <cell r="BA120">
            <v>1634287</v>
          </cell>
          <cell r="BB120">
            <v>42348</v>
          </cell>
          <cell r="BC120">
            <v>1591939</v>
          </cell>
        </row>
        <row r="121">
          <cell r="C121" t="str">
            <v>NBL SOL-CAPSULE</v>
          </cell>
          <cell r="D121">
            <v>60480</v>
          </cell>
          <cell r="E121">
            <v>53850</v>
          </cell>
          <cell r="F121">
            <v>665</v>
          </cell>
          <cell r="G121">
            <v>100</v>
          </cell>
          <cell r="H121">
            <v>565</v>
          </cell>
          <cell r="I121">
            <v>0</v>
          </cell>
          <cell r="J121">
            <v>5965</v>
          </cell>
          <cell r="K121">
            <v>2215</v>
          </cell>
          <cell r="L121">
            <v>535</v>
          </cell>
          <cell r="M121">
            <v>510</v>
          </cell>
          <cell r="N121">
            <v>10</v>
          </cell>
          <cell r="O121">
            <v>15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1935</v>
          </cell>
          <cell r="X121">
            <v>885</v>
          </cell>
          <cell r="Y121">
            <v>880</v>
          </cell>
          <cell r="Z121">
            <v>65</v>
          </cell>
          <cell r="AA121">
            <v>0</v>
          </cell>
          <cell r="AB121">
            <v>105</v>
          </cell>
          <cell r="AC121">
            <v>0</v>
          </cell>
          <cell r="AD121">
            <v>0</v>
          </cell>
          <cell r="AE121">
            <v>0</v>
          </cell>
          <cell r="AF121">
            <v>1280</v>
          </cell>
          <cell r="AG121">
            <v>0</v>
          </cell>
          <cell r="AH121">
            <v>0</v>
          </cell>
          <cell r="AI121">
            <v>340</v>
          </cell>
          <cell r="AJ121">
            <v>0</v>
          </cell>
          <cell r="AK121">
            <v>230</v>
          </cell>
          <cell r="AL121">
            <v>390</v>
          </cell>
          <cell r="AM121">
            <v>75</v>
          </cell>
          <cell r="AN121">
            <v>0</v>
          </cell>
          <cell r="AO121">
            <v>0</v>
          </cell>
          <cell r="AP121">
            <v>85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160</v>
          </cell>
          <cell r="AX121">
            <v>0</v>
          </cell>
          <cell r="AY121">
            <v>0</v>
          </cell>
          <cell r="AZ121">
            <v>0</v>
          </cell>
          <cell r="BA121">
            <v>1369858</v>
          </cell>
          <cell r="BB121">
            <v>0</v>
          </cell>
          <cell r="BC121">
            <v>1369858</v>
          </cell>
        </row>
        <row r="122">
          <cell r="C122" t="str">
            <v>KAP101</v>
          </cell>
          <cell r="D122">
            <v>30240</v>
          </cell>
          <cell r="E122">
            <v>25140</v>
          </cell>
          <cell r="F122">
            <v>100</v>
          </cell>
          <cell r="G122">
            <v>100</v>
          </cell>
          <cell r="H122">
            <v>0</v>
          </cell>
          <cell r="I122">
            <v>0</v>
          </cell>
          <cell r="J122">
            <v>5000</v>
          </cell>
          <cell r="K122">
            <v>1605</v>
          </cell>
          <cell r="L122">
            <v>445</v>
          </cell>
          <cell r="M122">
            <v>420</v>
          </cell>
          <cell r="N122">
            <v>10</v>
          </cell>
          <cell r="O122">
            <v>15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1780</v>
          </cell>
          <cell r="X122">
            <v>845</v>
          </cell>
          <cell r="Y122">
            <v>790</v>
          </cell>
          <cell r="Z122">
            <v>65</v>
          </cell>
          <cell r="AA122">
            <v>0</v>
          </cell>
          <cell r="AB122">
            <v>80</v>
          </cell>
          <cell r="AC122">
            <v>0</v>
          </cell>
          <cell r="AD122">
            <v>0</v>
          </cell>
          <cell r="AE122">
            <v>0</v>
          </cell>
          <cell r="AF122">
            <v>1170</v>
          </cell>
          <cell r="AG122">
            <v>0</v>
          </cell>
          <cell r="AH122">
            <v>0</v>
          </cell>
          <cell r="AI122">
            <v>270</v>
          </cell>
          <cell r="AJ122">
            <v>0</v>
          </cell>
          <cell r="AK122">
            <v>195</v>
          </cell>
          <cell r="AL122">
            <v>390</v>
          </cell>
          <cell r="AM122">
            <v>75</v>
          </cell>
          <cell r="AN122">
            <v>0</v>
          </cell>
          <cell r="AO122">
            <v>0</v>
          </cell>
          <cell r="AP122">
            <v>80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160</v>
          </cell>
          <cell r="AX122">
            <v>0</v>
          </cell>
          <cell r="AY122">
            <v>0</v>
          </cell>
          <cell r="AZ122">
            <v>0</v>
          </cell>
          <cell r="BA122">
            <v>488973</v>
          </cell>
          <cell r="BB122">
            <v>0</v>
          </cell>
          <cell r="BC122">
            <v>488973</v>
          </cell>
        </row>
        <row r="123">
          <cell r="C123" t="str">
            <v>KAP103</v>
          </cell>
          <cell r="D123">
            <v>30240</v>
          </cell>
          <cell r="E123">
            <v>28710</v>
          </cell>
          <cell r="F123">
            <v>565</v>
          </cell>
          <cell r="G123">
            <v>0</v>
          </cell>
          <cell r="H123">
            <v>565</v>
          </cell>
          <cell r="I123">
            <v>0</v>
          </cell>
          <cell r="J123">
            <v>965</v>
          </cell>
          <cell r="K123">
            <v>610</v>
          </cell>
          <cell r="L123">
            <v>90</v>
          </cell>
          <cell r="M123">
            <v>90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155</v>
          </cell>
          <cell r="X123">
            <v>40</v>
          </cell>
          <cell r="Y123">
            <v>90</v>
          </cell>
          <cell r="Z123">
            <v>0</v>
          </cell>
          <cell r="AA123">
            <v>0</v>
          </cell>
          <cell r="AB123">
            <v>25</v>
          </cell>
          <cell r="AC123">
            <v>0</v>
          </cell>
          <cell r="AD123">
            <v>0</v>
          </cell>
          <cell r="AE123">
            <v>0</v>
          </cell>
          <cell r="AF123">
            <v>110</v>
          </cell>
          <cell r="AG123">
            <v>0</v>
          </cell>
          <cell r="AH123">
            <v>0</v>
          </cell>
          <cell r="AI123">
            <v>70</v>
          </cell>
          <cell r="AJ123">
            <v>0</v>
          </cell>
          <cell r="AK123">
            <v>35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5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880885</v>
          </cell>
          <cell r="BB123">
            <v>0</v>
          </cell>
          <cell r="BC123">
            <v>880885</v>
          </cell>
        </row>
        <row r="124">
          <cell r="C124" t="str">
            <v>NBL SOL-STRIPPING</v>
          </cell>
          <cell r="D124">
            <v>151200</v>
          </cell>
          <cell r="E124">
            <v>96600</v>
          </cell>
          <cell r="F124">
            <v>1820</v>
          </cell>
          <cell r="G124">
            <v>0</v>
          </cell>
          <cell r="H124">
            <v>1820</v>
          </cell>
          <cell r="I124">
            <v>0</v>
          </cell>
          <cell r="J124">
            <v>52780</v>
          </cell>
          <cell r="K124">
            <v>20270</v>
          </cell>
          <cell r="L124">
            <v>7915</v>
          </cell>
          <cell r="M124">
            <v>4090</v>
          </cell>
          <cell r="N124">
            <v>0</v>
          </cell>
          <cell r="O124">
            <v>3825</v>
          </cell>
          <cell r="P124">
            <v>0</v>
          </cell>
          <cell r="Q124">
            <v>50</v>
          </cell>
          <cell r="R124">
            <v>50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10400</v>
          </cell>
          <cell r="X124">
            <v>5910</v>
          </cell>
          <cell r="Y124">
            <v>1800</v>
          </cell>
          <cell r="Z124">
            <v>1990</v>
          </cell>
          <cell r="AA124">
            <v>0</v>
          </cell>
          <cell r="AB124">
            <v>700</v>
          </cell>
          <cell r="AC124">
            <v>3515</v>
          </cell>
          <cell r="AD124">
            <v>0</v>
          </cell>
          <cell r="AE124">
            <v>3515</v>
          </cell>
          <cell r="AF124">
            <v>10630</v>
          </cell>
          <cell r="AG124">
            <v>100</v>
          </cell>
          <cell r="AH124">
            <v>635</v>
          </cell>
          <cell r="AI124">
            <v>3120</v>
          </cell>
          <cell r="AJ124">
            <v>0</v>
          </cell>
          <cell r="AK124">
            <v>2810</v>
          </cell>
          <cell r="AL124">
            <v>550</v>
          </cell>
          <cell r="AM124">
            <v>30</v>
          </cell>
          <cell r="AN124">
            <v>0</v>
          </cell>
          <cell r="AO124">
            <v>0</v>
          </cell>
          <cell r="AP124">
            <v>1595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1790</v>
          </cell>
          <cell r="AX124">
            <v>0</v>
          </cell>
          <cell r="AY124">
            <v>0</v>
          </cell>
          <cell r="AZ124">
            <v>0</v>
          </cell>
          <cell r="BA124">
            <v>11997378</v>
          </cell>
          <cell r="BB124">
            <v>43838</v>
          </cell>
          <cell r="BC124">
            <v>11953540</v>
          </cell>
        </row>
        <row r="125">
          <cell r="C125" t="str">
            <v>STR105</v>
          </cell>
          <cell r="D125">
            <v>30240</v>
          </cell>
          <cell r="E125">
            <v>21420</v>
          </cell>
          <cell r="F125">
            <v>750</v>
          </cell>
          <cell r="G125">
            <v>0</v>
          </cell>
          <cell r="H125">
            <v>750</v>
          </cell>
          <cell r="I125">
            <v>0</v>
          </cell>
          <cell r="J125">
            <v>8070</v>
          </cell>
          <cell r="K125">
            <v>3295</v>
          </cell>
          <cell r="L125">
            <v>1280</v>
          </cell>
          <cell r="M125">
            <v>565</v>
          </cell>
          <cell r="N125">
            <v>0</v>
          </cell>
          <cell r="O125">
            <v>715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1315</v>
          </cell>
          <cell r="X125">
            <v>730</v>
          </cell>
          <cell r="Y125">
            <v>215</v>
          </cell>
          <cell r="Z125">
            <v>290</v>
          </cell>
          <cell r="AA125">
            <v>0</v>
          </cell>
          <cell r="AB125">
            <v>80</v>
          </cell>
          <cell r="AC125">
            <v>0</v>
          </cell>
          <cell r="AD125">
            <v>0</v>
          </cell>
          <cell r="AE125">
            <v>0</v>
          </cell>
          <cell r="AF125">
            <v>2180</v>
          </cell>
          <cell r="AG125">
            <v>100</v>
          </cell>
          <cell r="AH125">
            <v>335</v>
          </cell>
          <cell r="AI125">
            <v>480</v>
          </cell>
          <cell r="AJ125">
            <v>0</v>
          </cell>
          <cell r="AK125">
            <v>405</v>
          </cell>
          <cell r="AL125">
            <v>270</v>
          </cell>
          <cell r="AM125">
            <v>0</v>
          </cell>
          <cell r="AN125">
            <v>0</v>
          </cell>
          <cell r="AO125">
            <v>0</v>
          </cell>
          <cell r="AP125">
            <v>300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290</v>
          </cell>
          <cell r="AX125">
            <v>0</v>
          </cell>
          <cell r="AY125">
            <v>0</v>
          </cell>
          <cell r="AZ125">
            <v>0</v>
          </cell>
          <cell r="BA125">
            <v>1142745</v>
          </cell>
          <cell r="BB125">
            <v>5764</v>
          </cell>
          <cell r="BC125">
            <v>1136981</v>
          </cell>
        </row>
        <row r="126">
          <cell r="C126" t="str">
            <v>STR102</v>
          </cell>
          <cell r="D126">
            <v>30240</v>
          </cell>
          <cell r="E126">
            <v>14070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16170</v>
          </cell>
          <cell r="K126">
            <v>4970</v>
          </cell>
          <cell r="L126">
            <v>2605</v>
          </cell>
          <cell r="M126">
            <v>1570</v>
          </cell>
          <cell r="N126">
            <v>0</v>
          </cell>
          <cell r="O126">
            <v>1035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3090</v>
          </cell>
          <cell r="X126">
            <v>1330</v>
          </cell>
          <cell r="Y126">
            <v>925</v>
          </cell>
          <cell r="Z126">
            <v>625</v>
          </cell>
          <cell r="AA126">
            <v>0</v>
          </cell>
          <cell r="AB126">
            <v>210</v>
          </cell>
          <cell r="AC126">
            <v>2535</v>
          </cell>
          <cell r="AD126">
            <v>0</v>
          </cell>
          <cell r="AE126">
            <v>2535</v>
          </cell>
          <cell r="AF126">
            <v>2970</v>
          </cell>
          <cell r="AG126">
            <v>0</v>
          </cell>
          <cell r="AH126">
            <v>0</v>
          </cell>
          <cell r="AI126">
            <v>900</v>
          </cell>
          <cell r="AJ126">
            <v>0</v>
          </cell>
          <cell r="AK126">
            <v>760</v>
          </cell>
          <cell r="AL126">
            <v>210</v>
          </cell>
          <cell r="AM126">
            <v>0</v>
          </cell>
          <cell r="AN126">
            <v>0</v>
          </cell>
          <cell r="AO126">
            <v>0</v>
          </cell>
          <cell r="AP126">
            <v>505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595</v>
          </cell>
          <cell r="AX126">
            <v>0</v>
          </cell>
          <cell r="AY126">
            <v>0</v>
          </cell>
          <cell r="AZ126">
            <v>0</v>
          </cell>
          <cell r="BA126">
            <v>5885726</v>
          </cell>
          <cell r="BB126">
            <v>17426</v>
          </cell>
          <cell r="BC126">
            <v>5868300</v>
          </cell>
        </row>
        <row r="127">
          <cell r="C127" t="str">
            <v>STR104</v>
          </cell>
          <cell r="D127">
            <v>30240</v>
          </cell>
          <cell r="E127">
            <v>24120</v>
          </cell>
          <cell r="F127">
            <v>440</v>
          </cell>
          <cell r="G127">
            <v>0</v>
          </cell>
          <cell r="H127">
            <v>440</v>
          </cell>
          <cell r="I127">
            <v>0</v>
          </cell>
          <cell r="J127">
            <v>5680</v>
          </cell>
          <cell r="K127">
            <v>2770</v>
          </cell>
          <cell r="L127">
            <v>30</v>
          </cell>
          <cell r="M127">
            <v>30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1845</v>
          </cell>
          <cell r="X127">
            <v>1325</v>
          </cell>
          <cell r="Y127">
            <v>70</v>
          </cell>
          <cell r="Z127">
            <v>300</v>
          </cell>
          <cell r="AA127">
            <v>0</v>
          </cell>
          <cell r="AB127">
            <v>150</v>
          </cell>
          <cell r="AC127">
            <v>0</v>
          </cell>
          <cell r="AD127">
            <v>0</v>
          </cell>
          <cell r="AE127">
            <v>0</v>
          </cell>
          <cell r="AF127">
            <v>1035</v>
          </cell>
          <cell r="AG127">
            <v>0</v>
          </cell>
          <cell r="AH127">
            <v>300</v>
          </cell>
          <cell r="AI127">
            <v>330</v>
          </cell>
          <cell r="AJ127">
            <v>0</v>
          </cell>
          <cell r="AK127">
            <v>240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120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45</v>
          </cell>
          <cell r="AX127">
            <v>0</v>
          </cell>
          <cell r="AY127">
            <v>0</v>
          </cell>
          <cell r="AZ127">
            <v>0</v>
          </cell>
          <cell r="BA127">
            <v>17864</v>
          </cell>
          <cell r="BB127">
            <v>41</v>
          </cell>
          <cell r="BC127">
            <v>17823</v>
          </cell>
        </row>
        <row r="128">
          <cell r="C128" t="str">
            <v>STR103</v>
          </cell>
          <cell r="D128">
            <v>30240</v>
          </cell>
          <cell r="E128">
            <v>22320</v>
          </cell>
          <cell r="F128">
            <v>630</v>
          </cell>
          <cell r="G128">
            <v>0</v>
          </cell>
          <cell r="H128">
            <v>630</v>
          </cell>
          <cell r="I128">
            <v>0</v>
          </cell>
          <cell r="J128">
            <v>7290</v>
          </cell>
          <cell r="K128">
            <v>2885</v>
          </cell>
          <cell r="L128">
            <v>1695</v>
          </cell>
          <cell r="M128">
            <v>980</v>
          </cell>
          <cell r="N128">
            <v>0</v>
          </cell>
          <cell r="O128">
            <v>715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1325</v>
          </cell>
          <cell r="X128">
            <v>785</v>
          </cell>
          <cell r="Y128">
            <v>170</v>
          </cell>
          <cell r="Z128">
            <v>275</v>
          </cell>
          <cell r="AA128">
            <v>0</v>
          </cell>
          <cell r="AB128">
            <v>95</v>
          </cell>
          <cell r="AC128">
            <v>0</v>
          </cell>
          <cell r="AD128">
            <v>0</v>
          </cell>
          <cell r="AE128">
            <v>0</v>
          </cell>
          <cell r="AF128">
            <v>1385</v>
          </cell>
          <cell r="AG128">
            <v>0</v>
          </cell>
          <cell r="AH128">
            <v>0</v>
          </cell>
          <cell r="AI128">
            <v>480</v>
          </cell>
          <cell r="AJ128">
            <v>0</v>
          </cell>
          <cell r="AK128">
            <v>410</v>
          </cell>
          <cell r="AL128">
            <v>70</v>
          </cell>
          <cell r="AM128">
            <v>30</v>
          </cell>
          <cell r="AN128">
            <v>0</v>
          </cell>
          <cell r="AO128">
            <v>0</v>
          </cell>
          <cell r="AP128">
            <v>170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225</v>
          </cell>
          <cell r="AX128">
            <v>0</v>
          </cell>
          <cell r="AY128">
            <v>0</v>
          </cell>
          <cell r="AZ128">
            <v>0</v>
          </cell>
          <cell r="BA128">
            <v>1569075</v>
          </cell>
          <cell r="BB128">
            <v>6699</v>
          </cell>
          <cell r="BC128">
            <v>1562376</v>
          </cell>
        </row>
        <row r="129">
          <cell r="C129" t="str">
            <v>STR101</v>
          </cell>
          <cell r="D129">
            <v>30240</v>
          </cell>
          <cell r="E129">
            <v>14670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15570</v>
          </cell>
          <cell r="K129">
            <v>6350</v>
          </cell>
          <cell r="L129">
            <v>2305</v>
          </cell>
          <cell r="M129">
            <v>945</v>
          </cell>
          <cell r="N129">
            <v>0</v>
          </cell>
          <cell r="O129">
            <v>1360</v>
          </cell>
          <cell r="P129">
            <v>0</v>
          </cell>
          <cell r="Q129">
            <v>50</v>
          </cell>
          <cell r="R129">
            <v>50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2825</v>
          </cell>
          <cell r="X129">
            <v>1740</v>
          </cell>
          <cell r="Y129">
            <v>420</v>
          </cell>
          <cell r="Z129">
            <v>500</v>
          </cell>
          <cell r="AA129">
            <v>0</v>
          </cell>
          <cell r="AB129">
            <v>165</v>
          </cell>
          <cell r="AC129">
            <v>980</v>
          </cell>
          <cell r="AD129">
            <v>0</v>
          </cell>
          <cell r="AE129">
            <v>980</v>
          </cell>
          <cell r="AF129">
            <v>3060</v>
          </cell>
          <cell r="AG129">
            <v>0</v>
          </cell>
          <cell r="AH129">
            <v>0</v>
          </cell>
          <cell r="AI129">
            <v>930</v>
          </cell>
          <cell r="AJ129">
            <v>0</v>
          </cell>
          <cell r="AK129">
            <v>995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500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635</v>
          </cell>
          <cell r="AX129">
            <v>0</v>
          </cell>
          <cell r="AY129">
            <v>0</v>
          </cell>
          <cell r="AZ129">
            <v>0</v>
          </cell>
          <cell r="BA129">
            <v>3381968</v>
          </cell>
          <cell r="BB129">
            <v>13908</v>
          </cell>
          <cell r="BC129">
            <v>3368060</v>
          </cell>
        </row>
        <row r="130">
          <cell r="C130" t="str">
            <v>NBL SYR-MIXING</v>
          </cell>
          <cell r="D130">
            <v>30240</v>
          </cell>
          <cell r="E130">
            <v>23190</v>
          </cell>
          <cell r="F130">
            <v>657</v>
          </cell>
          <cell r="G130">
            <v>40</v>
          </cell>
          <cell r="H130">
            <v>617</v>
          </cell>
          <cell r="I130">
            <v>0</v>
          </cell>
          <cell r="J130">
            <v>6393</v>
          </cell>
          <cell r="K130">
            <v>2506</v>
          </cell>
          <cell r="L130">
            <v>201</v>
          </cell>
          <cell r="M130">
            <v>201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2657</v>
          </cell>
          <cell r="X130">
            <v>184</v>
          </cell>
          <cell r="Y130">
            <v>2458</v>
          </cell>
          <cell r="Z130">
            <v>0</v>
          </cell>
          <cell r="AA130">
            <v>0</v>
          </cell>
          <cell r="AB130">
            <v>15</v>
          </cell>
          <cell r="AC130">
            <v>0</v>
          </cell>
          <cell r="AD130">
            <v>0</v>
          </cell>
          <cell r="AE130">
            <v>0</v>
          </cell>
          <cell r="AF130">
            <v>1029</v>
          </cell>
          <cell r="AG130">
            <v>87</v>
          </cell>
          <cell r="AH130">
            <v>0</v>
          </cell>
          <cell r="AI130">
            <v>373</v>
          </cell>
          <cell r="AJ130">
            <v>0</v>
          </cell>
          <cell r="AK130">
            <v>221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15</v>
          </cell>
          <cell r="AT130">
            <v>0</v>
          </cell>
          <cell r="AU130">
            <v>0</v>
          </cell>
          <cell r="AV130">
            <v>0</v>
          </cell>
          <cell r="AW130">
            <v>45</v>
          </cell>
          <cell r="AX130">
            <v>213</v>
          </cell>
          <cell r="AY130">
            <v>0</v>
          </cell>
          <cell r="AZ130">
            <v>75</v>
          </cell>
          <cell r="BA130">
            <v>9820.08</v>
          </cell>
          <cell r="BB130">
            <v>1.3</v>
          </cell>
          <cell r="BC130">
            <v>9818.7800000000007</v>
          </cell>
        </row>
        <row r="131">
          <cell r="C131" t="str">
            <v>LMIXSYR1</v>
          </cell>
          <cell r="D131">
            <v>30240</v>
          </cell>
          <cell r="E131">
            <v>23190</v>
          </cell>
          <cell r="F131">
            <v>657</v>
          </cell>
          <cell r="G131">
            <v>40</v>
          </cell>
          <cell r="H131">
            <v>617</v>
          </cell>
          <cell r="I131">
            <v>0</v>
          </cell>
          <cell r="J131">
            <v>6393</v>
          </cell>
          <cell r="K131">
            <v>2506</v>
          </cell>
          <cell r="L131">
            <v>201</v>
          </cell>
          <cell r="M131">
            <v>201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2657</v>
          </cell>
          <cell r="X131">
            <v>184</v>
          </cell>
          <cell r="Y131">
            <v>2458</v>
          </cell>
          <cell r="Z131">
            <v>0</v>
          </cell>
          <cell r="AA131">
            <v>0</v>
          </cell>
          <cell r="AB131">
            <v>15</v>
          </cell>
          <cell r="AC131">
            <v>0</v>
          </cell>
          <cell r="AD131">
            <v>0</v>
          </cell>
          <cell r="AE131">
            <v>0</v>
          </cell>
          <cell r="AF131">
            <v>1029</v>
          </cell>
          <cell r="AG131">
            <v>87</v>
          </cell>
          <cell r="AH131">
            <v>0</v>
          </cell>
          <cell r="AI131">
            <v>373</v>
          </cell>
          <cell r="AJ131">
            <v>0</v>
          </cell>
          <cell r="AK131">
            <v>221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15</v>
          </cell>
          <cell r="AT131">
            <v>0</v>
          </cell>
          <cell r="AU131">
            <v>0</v>
          </cell>
          <cell r="AV131">
            <v>0</v>
          </cell>
          <cell r="AW131">
            <v>45</v>
          </cell>
          <cell r="AX131">
            <v>213</v>
          </cell>
          <cell r="AY131">
            <v>0</v>
          </cell>
          <cell r="AZ131">
            <v>75</v>
          </cell>
          <cell r="BA131">
            <v>9820.08</v>
          </cell>
          <cell r="BB131">
            <v>1.3</v>
          </cell>
          <cell r="BC131">
            <v>9818.7800000000007</v>
          </cell>
        </row>
        <row r="132">
          <cell r="C132" t="str">
            <v>NBL SYR-FILLING</v>
          </cell>
          <cell r="D132">
            <v>60480</v>
          </cell>
          <cell r="E132">
            <v>49770</v>
          </cell>
          <cell r="F132">
            <v>2465</v>
          </cell>
          <cell r="G132">
            <v>50</v>
          </cell>
          <cell r="H132">
            <v>2415</v>
          </cell>
          <cell r="I132">
            <v>0</v>
          </cell>
          <cell r="J132">
            <v>8245</v>
          </cell>
          <cell r="K132">
            <v>2920</v>
          </cell>
          <cell r="L132">
            <v>840</v>
          </cell>
          <cell r="M132">
            <v>600</v>
          </cell>
          <cell r="N132">
            <v>0</v>
          </cell>
          <cell r="O132">
            <v>120</v>
          </cell>
          <cell r="P132">
            <v>120</v>
          </cell>
          <cell r="Q132">
            <v>15</v>
          </cell>
          <cell r="R132">
            <v>0</v>
          </cell>
          <cell r="S132">
            <v>0</v>
          </cell>
          <cell r="T132">
            <v>0</v>
          </cell>
          <cell r="U132">
            <v>15</v>
          </cell>
          <cell r="V132">
            <v>0</v>
          </cell>
          <cell r="W132">
            <v>2485</v>
          </cell>
          <cell r="X132">
            <v>175</v>
          </cell>
          <cell r="Y132">
            <v>1600</v>
          </cell>
          <cell r="Z132">
            <v>30</v>
          </cell>
          <cell r="AA132">
            <v>0</v>
          </cell>
          <cell r="AB132">
            <v>680</v>
          </cell>
          <cell r="AC132">
            <v>0</v>
          </cell>
          <cell r="AD132">
            <v>0</v>
          </cell>
          <cell r="AE132">
            <v>0</v>
          </cell>
          <cell r="AF132">
            <v>1985</v>
          </cell>
          <cell r="AG132">
            <v>0</v>
          </cell>
          <cell r="AH132">
            <v>0</v>
          </cell>
          <cell r="AI132">
            <v>420</v>
          </cell>
          <cell r="AJ132">
            <v>0</v>
          </cell>
          <cell r="AK132">
            <v>300</v>
          </cell>
          <cell r="AL132">
            <v>0</v>
          </cell>
          <cell r="AM132">
            <v>0</v>
          </cell>
          <cell r="AN132">
            <v>0</v>
          </cell>
          <cell r="AO132">
            <v>1265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147044</v>
          </cell>
          <cell r="BB132">
            <v>298</v>
          </cell>
          <cell r="BC132">
            <v>146746</v>
          </cell>
        </row>
        <row r="133">
          <cell r="C133" t="str">
            <v>SYR109</v>
          </cell>
          <cell r="D133">
            <v>30240</v>
          </cell>
          <cell r="E133">
            <v>21570</v>
          </cell>
          <cell r="F133">
            <v>1820</v>
          </cell>
          <cell r="G133">
            <v>50</v>
          </cell>
          <cell r="H133">
            <v>1770</v>
          </cell>
          <cell r="I133">
            <v>0</v>
          </cell>
          <cell r="J133">
            <v>6850</v>
          </cell>
          <cell r="K133">
            <v>2335</v>
          </cell>
          <cell r="L133">
            <v>655</v>
          </cell>
          <cell r="M133">
            <v>510</v>
          </cell>
          <cell r="N133">
            <v>0</v>
          </cell>
          <cell r="O133">
            <v>110</v>
          </cell>
          <cell r="P133">
            <v>35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2025</v>
          </cell>
          <cell r="X133">
            <v>130</v>
          </cell>
          <cell r="Y133">
            <v>1290</v>
          </cell>
          <cell r="Z133">
            <v>30</v>
          </cell>
          <cell r="AA133">
            <v>0</v>
          </cell>
          <cell r="AB133">
            <v>575</v>
          </cell>
          <cell r="AC133">
            <v>0</v>
          </cell>
          <cell r="AD133">
            <v>0</v>
          </cell>
          <cell r="AE133">
            <v>0</v>
          </cell>
          <cell r="AF133">
            <v>1835</v>
          </cell>
          <cell r="AG133">
            <v>0</v>
          </cell>
          <cell r="AH133">
            <v>0</v>
          </cell>
          <cell r="AI133">
            <v>330</v>
          </cell>
          <cell r="AJ133">
            <v>0</v>
          </cell>
          <cell r="AK133">
            <v>255</v>
          </cell>
          <cell r="AL133">
            <v>0</v>
          </cell>
          <cell r="AM133">
            <v>0</v>
          </cell>
          <cell r="AN133">
            <v>0</v>
          </cell>
          <cell r="AO133">
            <v>1250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120486</v>
          </cell>
          <cell r="BB133">
            <v>238</v>
          </cell>
          <cell r="BC133">
            <v>120248</v>
          </cell>
        </row>
        <row r="134">
          <cell r="C134" t="str">
            <v>SYR110</v>
          </cell>
          <cell r="D134">
            <v>30240</v>
          </cell>
          <cell r="E134">
            <v>28200</v>
          </cell>
          <cell r="F134">
            <v>645</v>
          </cell>
          <cell r="G134">
            <v>0</v>
          </cell>
          <cell r="H134">
            <v>645</v>
          </cell>
          <cell r="I134">
            <v>0</v>
          </cell>
          <cell r="J134">
            <v>1395</v>
          </cell>
          <cell r="K134">
            <v>585</v>
          </cell>
          <cell r="L134">
            <v>185</v>
          </cell>
          <cell r="M134">
            <v>90</v>
          </cell>
          <cell r="N134">
            <v>0</v>
          </cell>
          <cell r="O134">
            <v>10</v>
          </cell>
          <cell r="P134">
            <v>85</v>
          </cell>
          <cell r="Q134">
            <v>15</v>
          </cell>
          <cell r="R134">
            <v>0</v>
          </cell>
          <cell r="S134">
            <v>0</v>
          </cell>
          <cell r="T134">
            <v>0</v>
          </cell>
          <cell r="U134">
            <v>15</v>
          </cell>
          <cell r="V134">
            <v>0</v>
          </cell>
          <cell r="W134">
            <v>460</v>
          </cell>
          <cell r="X134">
            <v>45</v>
          </cell>
          <cell r="Y134">
            <v>310</v>
          </cell>
          <cell r="Z134">
            <v>0</v>
          </cell>
          <cell r="AA134">
            <v>0</v>
          </cell>
          <cell r="AB134">
            <v>105</v>
          </cell>
          <cell r="AC134">
            <v>0</v>
          </cell>
          <cell r="AD134">
            <v>0</v>
          </cell>
          <cell r="AE134">
            <v>0</v>
          </cell>
          <cell r="AF134">
            <v>150</v>
          </cell>
          <cell r="AG134">
            <v>0</v>
          </cell>
          <cell r="AH134">
            <v>0</v>
          </cell>
          <cell r="AI134">
            <v>90</v>
          </cell>
          <cell r="AJ134">
            <v>0</v>
          </cell>
          <cell r="AK134">
            <v>45</v>
          </cell>
          <cell r="AL134">
            <v>0</v>
          </cell>
          <cell r="AM134">
            <v>0</v>
          </cell>
          <cell r="AN134">
            <v>0</v>
          </cell>
          <cell r="AO134">
            <v>15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26558</v>
          </cell>
          <cell r="BB134">
            <v>60</v>
          </cell>
          <cell r="BC134">
            <v>26498</v>
          </cell>
        </row>
        <row r="135">
          <cell r="C135" t="str">
            <v>NBL INJ-MIXING</v>
          </cell>
          <cell r="D135">
            <v>30240</v>
          </cell>
          <cell r="E135">
            <v>25380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4860</v>
          </cell>
          <cell r="K135">
            <v>1657</v>
          </cell>
          <cell r="L135">
            <v>120</v>
          </cell>
          <cell r="M135">
            <v>120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1795</v>
          </cell>
          <cell r="X135">
            <v>320</v>
          </cell>
          <cell r="Y135">
            <v>1188</v>
          </cell>
          <cell r="Z135">
            <v>0</v>
          </cell>
          <cell r="AA135">
            <v>287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1288</v>
          </cell>
          <cell r="AG135">
            <v>0</v>
          </cell>
          <cell r="AH135">
            <v>0</v>
          </cell>
          <cell r="AI135">
            <v>345</v>
          </cell>
          <cell r="AJ135">
            <v>0</v>
          </cell>
          <cell r="AK135">
            <v>290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653</v>
          </cell>
          <cell r="AX135">
            <v>0</v>
          </cell>
          <cell r="AY135">
            <v>0</v>
          </cell>
          <cell r="AZ135">
            <v>0</v>
          </cell>
          <cell r="BA135">
            <v>776</v>
          </cell>
          <cell r="BB135">
            <v>0</v>
          </cell>
          <cell r="BC135">
            <v>776</v>
          </cell>
        </row>
        <row r="136">
          <cell r="C136" t="str">
            <v>LMIXINJ1</v>
          </cell>
          <cell r="D136">
            <v>30240</v>
          </cell>
          <cell r="E136">
            <v>25380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4860</v>
          </cell>
          <cell r="K136">
            <v>1657</v>
          </cell>
          <cell r="L136">
            <v>120</v>
          </cell>
          <cell r="M136">
            <v>120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1795</v>
          </cell>
          <cell r="X136">
            <v>320</v>
          </cell>
          <cell r="Y136">
            <v>1188</v>
          </cell>
          <cell r="Z136">
            <v>0</v>
          </cell>
          <cell r="AA136">
            <v>287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1288</v>
          </cell>
          <cell r="AG136">
            <v>0</v>
          </cell>
          <cell r="AH136">
            <v>0</v>
          </cell>
          <cell r="AI136">
            <v>345</v>
          </cell>
          <cell r="AJ136">
            <v>0</v>
          </cell>
          <cell r="AK136">
            <v>290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653</v>
          </cell>
          <cell r="AX136">
            <v>0</v>
          </cell>
          <cell r="AY136">
            <v>0</v>
          </cell>
          <cell r="AZ136">
            <v>0</v>
          </cell>
          <cell r="BA136">
            <v>776</v>
          </cell>
          <cell r="BB136">
            <v>0</v>
          </cell>
          <cell r="BC136">
            <v>776</v>
          </cell>
        </row>
        <row r="137">
          <cell r="C137" t="str">
            <v>NBL INJ-FILLING</v>
          </cell>
          <cell r="D137">
            <v>60480</v>
          </cell>
          <cell r="E137">
            <v>41140</v>
          </cell>
          <cell r="F137">
            <v>2710</v>
          </cell>
          <cell r="G137">
            <v>170</v>
          </cell>
          <cell r="H137">
            <v>2540</v>
          </cell>
          <cell r="I137">
            <v>0</v>
          </cell>
          <cell r="J137">
            <v>16630</v>
          </cell>
          <cell r="K137">
            <v>5959</v>
          </cell>
          <cell r="L137">
            <v>2164</v>
          </cell>
          <cell r="M137">
            <v>1827</v>
          </cell>
          <cell r="N137">
            <v>237</v>
          </cell>
          <cell r="O137">
            <v>55</v>
          </cell>
          <cell r="P137">
            <v>45</v>
          </cell>
          <cell r="Q137">
            <v>354</v>
          </cell>
          <cell r="R137">
            <v>240</v>
          </cell>
          <cell r="S137">
            <v>94</v>
          </cell>
          <cell r="T137">
            <v>0</v>
          </cell>
          <cell r="U137">
            <v>5</v>
          </cell>
          <cell r="V137">
            <v>15</v>
          </cell>
          <cell r="W137">
            <v>3832</v>
          </cell>
          <cell r="X137">
            <v>690</v>
          </cell>
          <cell r="Y137">
            <v>3142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4321</v>
          </cell>
          <cell r="AG137">
            <v>0</v>
          </cell>
          <cell r="AH137">
            <v>0</v>
          </cell>
          <cell r="AI137">
            <v>1105</v>
          </cell>
          <cell r="AJ137">
            <v>0</v>
          </cell>
          <cell r="AK137">
            <v>1290</v>
          </cell>
          <cell r="AL137">
            <v>0</v>
          </cell>
          <cell r="AM137">
            <v>105</v>
          </cell>
          <cell r="AN137">
            <v>0</v>
          </cell>
          <cell r="AO137">
            <v>0</v>
          </cell>
          <cell r="AP137">
            <v>103</v>
          </cell>
          <cell r="AQ137">
            <v>0</v>
          </cell>
          <cell r="AR137">
            <v>0</v>
          </cell>
          <cell r="AS137">
            <v>1573</v>
          </cell>
          <cell r="AT137">
            <v>0</v>
          </cell>
          <cell r="AU137">
            <v>0</v>
          </cell>
          <cell r="AV137">
            <v>5</v>
          </cell>
          <cell r="AW137">
            <v>130</v>
          </cell>
          <cell r="AX137">
            <v>10</v>
          </cell>
          <cell r="AY137">
            <v>0</v>
          </cell>
          <cell r="AZ137">
            <v>0</v>
          </cell>
          <cell r="BA137">
            <v>584878</v>
          </cell>
          <cell r="BB137">
            <v>52</v>
          </cell>
          <cell r="BC137">
            <v>584826</v>
          </cell>
        </row>
        <row r="138">
          <cell r="C138" t="str">
            <v>GINLINE3</v>
          </cell>
          <cell r="D138">
            <v>30240</v>
          </cell>
          <cell r="E138">
            <v>22510</v>
          </cell>
          <cell r="F138">
            <v>1170</v>
          </cell>
          <cell r="G138">
            <v>120</v>
          </cell>
          <cell r="H138">
            <v>1050</v>
          </cell>
          <cell r="I138">
            <v>0</v>
          </cell>
          <cell r="J138">
            <v>6560</v>
          </cell>
          <cell r="K138">
            <v>1615</v>
          </cell>
          <cell r="L138">
            <v>989</v>
          </cell>
          <cell r="M138">
            <v>747</v>
          </cell>
          <cell r="N138">
            <v>237</v>
          </cell>
          <cell r="O138">
            <v>5</v>
          </cell>
          <cell r="P138">
            <v>0</v>
          </cell>
          <cell r="Q138">
            <v>71</v>
          </cell>
          <cell r="R138">
            <v>0</v>
          </cell>
          <cell r="S138">
            <v>69</v>
          </cell>
          <cell r="T138">
            <v>0</v>
          </cell>
          <cell r="U138">
            <v>2</v>
          </cell>
          <cell r="V138">
            <v>0</v>
          </cell>
          <cell r="W138">
            <v>2024</v>
          </cell>
          <cell r="X138">
            <v>680</v>
          </cell>
          <cell r="Y138">
            <v>1344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1861</v>
          </cell>
          <cell r="AG138">
            <v>0</v>
          </cell>
          <cell r="AH138">
            <v>0</v>
          </cell>
          <cell r="AI138">
            <v>435</v>
          </cell>
          <cell r="AJ138">
            <v>0</v>
          </cell>
          <cell r="AK138">
            <v>425</v>
          </cell>
          <cell r="AL138">
            <v>0</v>
          </cell>
          <cell r="AM138">
            <v>45</v>
          </cell>
          <cell r="AN138">
            <v>0</v>
          </cell>
          <cell r="AO138">
            <v>0</v>
          </cell>
          <cell r="AP138">
            <v>93</v>
          </cell>
          <cell r="AQ138">
            <v>0</v>
          </cell>
          <cell r="AR138">
            <v>0</v>
          </cell>
          <cell r="AS138">
            <v>820</v>
          </cell>
          <cell r="AT138">
            <v>0</v>
          </cell>
          <cell r="AU138">
            <v>0</v>
          </cell>
          <cell r="AV138">
            <v>0</v>
          </cell>
          <cell r="AW138">
            <v>43</v>
          </cell>
          <cell r="AX138">
            <v>0</v>
          </cell>
          <cell r="AY138">
            <v>0</v>
          </cell>
          <cell r="AZ138">
            <v>0</v>
          </cell>
          <cell r="BA138">
            <v>231901</v>
          </cell>
          <cell r="BB138">
            <v>0</v>
          </cell>
          <cell r="BC138">
            <v>231901</v>
          </cell>
        </row>
        <row r="139">
          <cell r="C139" t="str">
            <v>GINLINE4</v>
          </cell>
          <cell r="D139">
            <v>30240</v>
          </cell>
          <cell r="E139">
            <v>18630</v>
          </cell>
          <cell r="F139">
            <v>1540</v>
          </cell>
          <cell r="G139">
            <v>50</v>
          </cell>
          <cell r="H139">
            <v>1490</v>
          </cell>
          <cell r="I139">
            <v>0</v>
          </cell>
          <cell r="J139">
            <v>10070</v>
          </cell>
          <cell r="K139">
            <v>4344</v>
          </cell>
          <cell r="L139">
            <v>1175</v>
          </cell>
          <cell r="M139">
            <v>1080</v>
          </cell>
          <cell r="N139">
            <v>0</v>
          </cell>
          <cell r="O139">
            <v>50</v>
          </cell>
          <cell r="P139">
            <v>45</v>
          </cell>
          <cell r="Q139">
            <v>283</v>
          </cell>
          <cell r="R139">
            <v>240</v>
          </cell>
          <cell r="S139">
            <v>25</v>
          </cell>
          <cell r="T139">
            <v>0</v>
          </cell>
          <cell r="U139">
            <v>3</v>
          </cell>
          <cell r="V139">
            <v>15</v>
          </cell>
          <cell r="W139">
            <v>1808</v>
          </cell>
          <cell r="X139">
            <v>10</v>
          </cell>
          <cell r="Y139">
            <v>1798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2460</v>
          </cell>
          <cell r="AG139">
            <v>0</v>
          </cell>
          <cell r="AH139">
            <v>0</v>
          </cell>
          <cell r="AI139">
            <v>670</v>
          </cell>
          <cell r="AJ139">
            <v>0</v>
          </cell>
          <cell r="AK139">
            <v>865</v>
          </cell>
          <cell r="AL139">
            <v>0</v>
          </cell>
          <cell r="AM139">
            <v>60</v>
          </cell>
          <cell r="AN139">
            <v>0</v>
          </cell>
          <cell r="AO139">
            <v>0</v>
          </cell>
          <cell r="AP139">
            <v>10</v>
          </cell>
          <cell r="AQ139">
            <v>0</v>
          </cell>
          <cell r="AR139">
            <v>0</v>
          </cell>
          <cell r="AS139">
            <v>753</v>
          </cell>
          <cell r="AT139">
            <v>0</v>
          </cell>
          <cell r="AU139">
            <v>0</v>
          </cell>
          <cell r="AV139">
            <v>5</v>
          </cell>
          <cell r="AW139">
            <v>87</v>
          </cell>
          <cell r="AX139">
            <v>10</v>
          </cell>
          <cell r="AY139">
            <v>0</v>
          </cell>
          <cell r="AZ139">
            <v>0</v>
          </cell>
          <cell r="BA139">
            <v>352977</v>
          </cell>
          <cell r="BB139">
            <v>52</v>
          </cell>
          <cell r="BC139">
            <v>352925</v>
          </cell>
        </row>
        <row r="140">
          <cell r="C140" t="str">
            <v>NBL INJ-STERILIZATION</v>
          </cell>
          <cell r="D140">
            <v>93600</v>
          </cell>
          <cell r="E140">
            <v>57949</v>
          </cell>
          <cell r="F140">
            <v>3076</v>
          </cell>
          <cell r="G140">
            <v>579</v>
          </cell>
          <cell r="H140">
            <v>2497</v>
          </cell>
          <cell r="I140">
            <v>0</v>
          </cell>
          <cell r="J140">
            <v>32575</v>
          </cell>
          <cell r="K140">
            <v>15375</v>
          </cell>
          <cell r="L140">
            <v>1081</v>
          </cell>
          <cell r="M140">
            <v>1081</v>
          </cell>
          <cell r="N140">
            <v>0</v>
          </cell>
          <cell r="O140">
            <v>0</v>
          </cell>
          <cell r="P140">
            <v>0</v>
          </cell>
          <cell r="Q140">
            <v>262</v>
          </cell>
          <cell r="R140">
            <v>77</v>
          </cell>
          <cell r="S140">
            <v>0</v>
          </cell>
          <cell r="T140">
            <v>0</v>
          </cell>
          <cell r="U140">
            <v>185</v>
          </cell>
          <cell r="V140">
            <v>0</v>
          </cell>
          <cell r="W140">
            <v>8012</v>
          </cell>
          <cell r="X140">
            <v>6838</v>
          </cell>
          <cell r="Y140">
            <v>258</v>
          </cell>
          <cell r="Z140">
            <v>65</v>
          </cell>
          <cell r="AA140">
            <v>100</v>
          </cell>
          <cell r="AB140">
            <v>751</v>
          </cell>
          <cell r="AC140">
            <v>0</v>
          </cell>
          <cell r="AD140">
            <v>0</v>
          </cell>
          <cell r="AE140">
            <v>0</v>
          </cell>
          <cell r="AF140">
            <v>7845</v>
          </cell>
          <cell r="AG140">
            <v>60</v>
          </cell>
          <cell r="AH140">
            <v>0</v>
          </cell>
          <cell r="AI140">
            <v>985</v>
          </cell>
          <cell r="AJ140">
            <v>125</v>
          </cell>
          <cell r="AK140">
            <v>710</v>
          </cell>
          <cell r="AL140">
            <v>1717</v>
          </cell>
          <cell r="AM140">
            <v>0</v>
          </cell>
          <cell r="AN140">
            <v>10</v>
          </cell>
          <cell r="AO140">
            <v>3806</v>
          </cell>
          <cell r="AP140">
            <v>400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32</v>
          </cell>
          <cell r="AX140">
            <v>0</v>
          </cell>
          <cell r="AY140">
            <v>0</v>
          </cell>
          <cell r="AZ140">
            <v>0</v>
          </cell>
          <cell r="BA140">
            <v>1111</v>
          </cell>
          <cell r="BB140">
            <v>0</v>
          </cell>
          <cell r="BC140">
            <v>1111</v>
          </cell>
        </row>
        <row r="141">
          <cell r="C141" t="str">
            <v>INJ105</v>
          </cell>
          <cell r="D141">
            <v>31680</v>
          </cell>
          <cell r="E141">
            <v>17382</v>
          </cell>
          <cell r="F141">
            <v>1784</v>
          </cell>
          <cell r="G141">
            <v>405</v>
          </cell>
          <cell r="H141">
            <v>1379</v>
          </cell>
          <cell r="I141">
            <v>0</v>
          </cell>
          <cell r="J141">
            <v>12514</v>
          </cell>
          <cell r="K141">
            <v>6445</v>
          </cell>
          <cell r="L141">
            <v>477</v>
          </cell>
          <cell r="M141">
            <v>477</v>
          </cell>
          <cell r="N141">
            <v>0</v>
          </cell>
          <cell r="O141">
            <v>0</v>
          </cell>
          <cell r="P141">
            <v>0</v>
          </cell>
          <cell r="Q141">
            <v>147</v>
          </cell>
          <cell r="R141">
            <v>77</v>
          </cell>
          <cell r="S141">
            <v>0</v>
          </cell>
          <cell r="T141">
            <v>0</v>
          </cell>
          <cell r="U141">
            <v>70</v>
          </cell>
          <cell r="V141">
            <v>0</v>
          </cell>
          <cell r="W141">
            <v>2076</v>
          </cell>
          <cell r="X141">
            <v>1525</v>
          </cell>
          <cell r="Y141">
            <v>150</v>
          </cell>
          <cell r="Z141">
            <v>0</v>
          </cell>
          <cell r="AA141">
            <v>0</v>
          </cell>
          <cell r="AB141">
            <v>401</v>
          </cell>
          <cell r="AC141">
            <v>0</v>
          </cell>
          <cell r="AD141">
            <v>0</v>
          </cell>
          <cell r="AE141">
            <v>0</v>
          </cell>
          <cell r="AF141">
            <v>3369</v>
          </cell>
          <cell r="AG141">
            <v>0</v>
          </cell>
          <cell r="AH141">
            <v>0</v>
          </cell>
          <cell r="AI141">
            <v>250</v>
          </cell>
          <cell r="AJ141">
            <v>0</v>
          </cell>
          <cell r="AK141">
            <v>125</v>
          </cell>
          <cell r="AL141">
            <v>0</v>
          </cell>
          <cell r="AM141">
            <v>0</v>
          </cell>
          <cell r="AN141">
            <v>0</v>
          </cell>
          <cell r="AO141">
            <v>2994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571</v>
          </cell>
          <cell r="BB141">
            <v>0</v>
          </cell>
          <cell r="BC141">
            <v>571</v>
          </cell>
        </row>
        <row r="142">
          <cell r="C142" t="str">
            <v>INJ106</v>
          </cell>
          <cell r="D142">
            <v>31680</v>
          </cell>
          <cell r="E142">
            <v>17407</v>
          </cell>
          <cell r="F142">
            <v>687</v>
          </cell>
          <cell r="G142">
            <v>124</v>
          </cell>
          <cell r="H142">
            <v>563</v>
          </cell>
          <cell r="I142">
            <v>0</v>
          </cell>
          <cell r="J142">
            <v>13586</v>
          </cell>
          <cell r="K142">
            <v>8277</v>
          </cell>
          <cell r="L142">
            <v>289</v>
          </cell>
          <cell r="M142">
            <v>289</v>
          </cell>
          <cell r="N142">
            <v>0</v>
          </cell>
          <cell r="O142">
            <v>0</v>
          </cell>
          <cell r="P142">
            <v>0</v>
          </cell>
          <cell r="Q142">
            <v>90</v>
          </cell>
          <cell r="R142">
            <v>0</v>
          </cell>
          <cell r="S142">
            <v>0</v>
          </cell>
          <cell r="T142">
            <v>0</v>
          </cell>
          <cell r="U142">
            <v>90</v>
          </cell>
          <cell r="V142">
            <v>0</v>
          </cell>
          <cell r="W142">
            <v>4095</v>
          </cell>
          <cell r="X142">
            <v>4095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835</v>
          </cell>
          <cell r="AG142">
            <v>0</v>
          </cell>
          <cell r="AH142">
            <v>0</v>
          </cell>
          <cell r="AI142">
            <v>446</v>
          </cell>
          <cell r="AJ142">
            <v>0</v>
          </cell>
          <cell r="AK142">
            <v>375</v>
          </cell>
          <cell r="AL142">
            <v>0</v>
          </cell>
          <cell r="AM142">
            <v>0</v>
          </cell>
          <cell r="AN142">
            <v>10</v>
          </cell>
          <cell r="AO142">
            <v>4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524</v>
          </cell>
          <cell r="BB142">
            <v>0</v>
          </cell>
          <cell r="BC142">
            <v>524</v>
          </cell>
        </row>
        <row r="143">
          <cell r="C143" t="str">
            <v>INJ107</v>
          </cell>
          <cell r="D143">
            <v>30240</v>
          </cell>
          <cell r="E143">
            <v>23160</v>
          </cell>
          <cell r="F143">
            <v>605</v>
          </cell>
          <cell r="G143">
            <v>50</v>
          </cell>
          <cell r="H143">
            <v>555</v>
          </cell>
          <cell r="I143">
            <v>0</v>
          </cell>
          <cell r="J143">
            <v>6475</v>
          </cell>
          <cell r="K143">
            <v>653</v>
          </cell>
          <cell r="L143">
            <v>315</v>
          </cell>
          <cell r="M143">
            <v>315</v>
          </cell>
          <cell r="N143">
            <v>0</v>
          </cell>
          <cell r="O143">
            <v>0</v>
          </cell>
          <cell r="P143">
            <v>0</v>
          </cell>
          <cell r="Q143">
            <v>25</v>
          </cell>
          <cell r="R143">
            <v>0</v>
          </cell>
          <cell r="S143">
            <v>0</v>
          </cell>
          <cell r="T143">
            <v>0</v>
          </cell>
          <cell r="U143">
            <v>25</v>
          </cell>
          <cell r="V143">
            <v>0</v>
          </cell>
          <cell r="W143">
            <v>1841</v>
          </cell>
          <cell r="X143">
            <v>1218</v>
          </cell>
          <cell r="Y143">
            <v>108</v>
          </cell>
          <cell r="Z143">
            <v>65</v>
          </cell>
          <cell r="AA143">
            <v>100</v>
          </cell>
          <cell r="AB143">
            <v>350</v>
          </cell>
          <cell r="AC143">
            <v>0</v>
          </cell>
          <cell r="AD143">
            <v>0</v>
          </cell>
          <cell r="AE143">
            <v>0</v>
          </cell>
          <cell r="AF143">
            <v>3641</v>
          </cell>
          <cell r="AG143">
            <v>60</v>
          </cell>
          <cell r="AH143">
            <v>0</v>
          </cell>
          <cell r="AI143">
            <v>289</v>
          </cell>
          <cell r="AJ143">
            <v>125</v>
          </cell>
          <cell r="AK143">
            <v>210</v>
          </cell>
          <cell r="AL143">
            <v>1717</v>
          </cell>
          <cell r="AM143">
            <v>0</v>
          </cell>
          <cell r="AN143">
            <v>0</v>
          </cell>
          <cell r="AO143">
            <v>808</v>
          </cell>
          <cell r="AP143">
            <v>400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32</v>
          </cell>
          <cell r="AX143">
            <v>0</v>
          </cell>
          <cell r="AY143">
            <v>0</v>
          </cell>
          <cell r="AZ143">
            <v>0</v>
          </cell>
          <cell r="BA143">
            <v>16</v>
          </cell>
          <cell r="BB143">
            <v>0</v>
          </cell>
          <cell r="BC143">
            <v>16</v>
          </cell>
        </row>
        <row r="144">
          <cell r="C144" t="str">
            <v>NBL SECONDARY PACKING</v>
          </cell>
          <cell r="D144">
            <v>181440</v>
          </cell>
          <cell r="E144">
            <v>135600</v>
          </cell>
          <cell r="F144">
            <v>3421</v>
          </cell>
          <cell r="G144">
            <v>1011</v>
          </cell>
          <cell r="H144">
            <v>2410</v>
          </cell>
          <cell r="I144">
            <v>0</v>
          </cell>
          <cell r="J144">
            <v>42419</v>
          </cell>
          <cell r="K144">
            <v>26039</v>
          </cell>
          <cell r="L144">
            <v>2891</v>
          </cell>
          <cell r="M144">
            <v>1648</v>
          </cell>
          <cell r="N144">
            <v>78</v>
          </cell>
          <cell r="O144">
            <v>671</v>
          </cell>
          <cell r="P144">
            <v>494</v>
          </cell>
          <cell r="Q144">
            <v>330</v>
          </cell>
          <cell r="R144">
            <v>170</v>
          </cell>
          <cell r="S144">
            <v>55</v>
          </cell>
          <cell r="T144">
            <v>0</v>
          </cell>
          <cell r="U144">
            <v>105</v>
          </cell>
          <cell r="V144">
            <v>0</v>
          </cell>
          <cell r="W144">
            <v>3558</v>
          </cell>
          <cell r="X144">
            <v>1620</v>
          </cell>
          <cell r="Y144">
            <v>1763</v>
          </cell>
          <cell r="Z144">
            <v>67</v>
          </cell>
          <cell r="AA144">
            <v>0</v>
          </cell>
          <cell r="AB144">
            <v>108</v>
          </cell>
          <cell r="AC144">
            <v>70</v>
          </cell>
          <cell r="AD144">
            <v>70</v>
          </cell>
          <cell r="AE144">
            <v>0</v>
          </cell>
          <cell r="AF144">
            <v>9531</v>
          </cell>
          <cell r="AG144">
            <v>0</v>
          </cell>
          <cell r="AH144">
            <v>855</v>
          </cell>
          <cell r="AI144">
            <v>2695</v>
          </cell>
          <cell r="AJ144">
            <v>0</v>
          </cell>
          <cell r="AK144">
            <v>1620</v>
          </cell>
          <cell r="AL144">
            <v>405</v>
          </cell>
          <cell r="AM144">
            <v>0</v>
          </cell>
          <cell r="AN144">
            <v>0</v>
          </cell>
          <cell r="AO144">
            <v>1729</v>
          </cell>
          <cell r="AP144">
            <v>755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1472</v>
          </cell>
          <cell r="AX144">
            <v>0</v>
          </cell>
          <cell r="AY144">
            <v>0</v>
          </cell>
          <cell r="AZ144">
            <v>0</v>
          </cell>
          <cell r="BA144">
            <v>1458718</v>
          </cell>
          <cell r="BB144">
            <v>212</v>
          </cell>
          <cell r="BC144">
            <v>1458506</v>
          </cell>
        </row>
        <row r="145">
          <cell r="C145" t="str">
            <v>PAK101</v>
          </cell>
          <cell r="D145">
            <v>30240</v>
          </cell>
          <cell r="E145">
            <v>17100</v>
          </cell>
          <cell r="F145">
            <v>270</v>
          </cell>
          <cell r="G145">
            <v>270</v>
          </cell>
          <cell r="H145">
            <v>0</v>
          </cell>
          <cell r="I145">
            <v>0</v>
          </cell>
          <cell r="J145">
            <v>12870</v>
          </cell>
          <cell r="K145">
            <v>9130</v>
          </cell>
          <cell r="L145">
            <v>263</v>
          </cell>
          <cell r="M145">
            <v>263</v>
          </cell>
          <cell r="N145">
            <v>0</v>
          </cell>
          <cell r="O145">
            <v>0</v>
          </cell>
          <cell r="P145">
            <v>0</v>
          </cell>
          <cell r="Q145">
            <v>195</v>
          </cell>
          <cell r="R145">
            <v>140</v>
          </cell>
          <cell r="S145">
            <v>55</v>
          </cell>
          <cell r="T145">
            <v>0</v>
          </cell>
          <cell r="U145">
            <v>0</v>
          </cell>
          <cell r="V145">
            <v>0</v>
          </cell>
          <cell r="W145">
            <v>801</v>
          </cell>
          <cell r="X145">
            <v>271</v>
          </cell>
          <cell r="Y145">
            <v>530</v>
          </cell>
          <cell r="Z145">
            <v>0</v>
          </cell>
          <cell r="AA145">
            <v>0</v>
          </cell>
          <cell r="AB145">
            <v>0</v>
          </cell>
          <cell r="AC145">
            <v>70</v>
          </cell>
          <cell r="AD145">
            <v>70</v>
          </cell>
          <cell r="AE145">
            <v>0</v>
          </cell>
          <cell r="AF145">
            <v>2411</v>
          </cell>
          <cell r="AG145">
            <v>0</v>
          </cell>
          <cell r="AH145">
            <v>285</v>
          </cell>
          <cell r="AI145">
            <v>810</v>
          </cell>
          <cell r="AJ145">
            <v>0</v>
          </cell>
          <cell r="AK145">
            <v>510</v>
          </cell>
          <cell r="AL145">
            <v>65</v>
          </cell>
          <cell r="AM145">
            <v>0</v>
          </cell>
          <cell r="AN145">
            <v>0</v>
          </cell>
          <cell r="AO145">
            <v>0</v>
          </cell>
          <cell r="AP145">
            <v>214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527</v>
          </cell>
          <cell r="AX145">
            <v>0</v>
          </cell>
          <cell r="AY145">
            <v>0</v>
          </cell>
          <cell r="AZ145">
            <v>0</v>
          </cell>
          <cell r="BA145">
            <v>364060</v>
          </cell>
          <cell r="BB145">
            <v>24</v>
          </cell>
          <cell r="BC145">
            <v>364036</v>
          </cell>
        </row>
        <row r="146">
          <cell r="C146" t="str">
            <v>PAK103</v>
          </cell>
          <cell r="D146">
            <v>30240</v>
          </cell>
          <cell r="E146">
            <v>16590</v>
          </cell>
          <cell r="F146">
            <v>285</v>
          </cell>
          <cell r="G146">
            <v>285</v>
          </cell>
          <cell r="H146">
            <v>0</v>
          </cell>
          <cell r="I146">
            <v>0</v>
          </cell>
          <cell r="J146">
            <v>13365</v>
          </cell>
          <cell r="K146">
            <v>9475</v>
          </cell>
          <cell r="L146">
            <v>252</v>
          </cell>
          <cell r="M146">
            <v>252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815</v>
          </cell>
          <cell r="X146">
            <v>250</v>
          </cell>
          <cell r="Y146">
            <v>565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2823</v>
          </cell>
          <cell r="AG146">
            <v>0</v>
          </cell>
          <cell r="AH146">
            <v>570</v>
          </cell>
          <cell r="AI146">
            <v>805</v>
          </cell>
          <cell r="AJ146">
            <v>0</v>
          </cell>
          <cell r="AK146">
            <v>510</v>
          </cell>
          <cell r="AL146">
            <v>70</v>
          </cell>
          <cell r="AM146">
            <v>0</v>
          </cell>
          <cell r="AN146">
            <v>0</v>
          </cell>
          <cell r="AO146">
            <v>0</v>
          </cell>
          <cell r="AP146">
            <v>202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666</v>
          </cell>
          <cell r="AX146">
            <v>0</v>
          </cell>
          <cell r="AY146">
            <v>0</v>
          </cell>
          <cell r="AZ146">
            <v>0</v>
          </cell>
          <cell r="BA146">
            <v>402693</v>
          </cell>
          <cell r="BB146">
            <v>125</v>
          </cell>
          <cell r="BC146">
            <v>402568</v>
          </cell>
        </row>
        <row r="147">
          <cell r="C147" t="str">
            <v>PAK105</v>
          </cell>
          <cell r="D147">
            <v>30240</v>
          </cell>
          <cell r="E147">
            <v>22590</v>
          </cell>
          <cell r="F147">
            <v>1805</v>
          </cell>
          <cell r="G147">
            <v>0</v>
          </cell>
          <cell r="H147">
            <v>1805</v>
          </cell>
          <cell r="I147">
            <v>0</v>
          </cell>
          <cell r="J147">
            <v>5845</v>
          </cell>
          <cell r="K147">
            <v>2480</v>
          </cell>
          <cell r="L147">
            <v>940</v>
          </cell>
          <cell r="M147">
            <v>370</v>
          </cell>
          <cell r="N147">
            <v>0</v>
          </cell>
          <cell r="O147">
            <v>370</v>
          </cell>
          <cell r="P147">
            <v>200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240</v>
          </cell>
          <cell r="X147">
            <v>80</v>
          </cell>
          <cell r="Y147">
            <v>145</v>
          </cell>
          <cell r="Z147">
            <v>15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2185</v>
          </cell>
          <cell r="AG147">
            <v>0</v>
          </cell>
          <cell r="AH147">
            <v>0</v>
          </cell>
          <cell r="AI147">
            <v>390</v>
          </cell>
          <cell r="AJ147">
            <v>0</v>
          </cell>
          <cell r="AK147">
            <v>195</v>
          </cell>
          <cell r="AL147">
            <v>0</v>
          </cell>
          <cell r="AM147">
            <v>0</v>
          </cell>
          <cell r="AN147">
            <v>0</v>
          </cell>
          <cell r="AO147">
            <v>1400</v>
          </cell>
          <cell r="AP147">
            <v>105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95</v>
          </cell>
          <cell r="AX147">
            <v>0</v>
          </cell>
          <cell r="AY147">
            <v>0</v>
          </cell>
          <cell r="AZ147">
            <v>0</v>
          </cell>
          <cell r="BA147">
            <v>157726</v>
          </cell>
          <cell r="BB147">
            <v>0</v>
          </cell>
          <cell r="BC147">
            <v>157726</v>
          </cell>
        </row>
        <row r="148">
          <cell r="C148" t="str">
            <v>PAK102</v>
          </cell>
          <cell r="D148">
            <v>30240</v>
          </cell>
          <cell r="E148">
            <v>30240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/>
          <cell r="K148"/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/>
          <cell r="BB148"/>
          <cell r="BC148"/>
        </row>
        <row r="149">
          <cell r="C149" t="str">
            <v>PAK104</v>
          </cell>
          <cell r="D149">
            <v>30240</v>
          </cell>
          <cell r="E149">
            <v>28200</v>
          </cell>
          <cell r="F149">
            <v>290</v>
          </cell>
          <cell r="G149">
            <v>0</v>
          </cell>
          <cell r="H149">
            <v>290</v>
          </cell>
          <cell r="I149">
            <v>0</v>
          </cell>
          <cell r="J149">
            <v>1750</v>
          </cell>
          <cell r="K149">
            <v>465</v>
          </cell>
          <cell r="L149">
            <v>240</v>
          </cell>
          <cell r="M149">
            <v>180</v>
          </cell>
          <cell r="N149">
            <v>0</v>
          </cell>
          <cell r="O149">
            <v>60</v>
          </cell>
          <cell r="P149">
            <v>0</v>
          </cell>
          <cell r="Q149">
            <v>135</v>
          </cell>
          <cell r="R149">
            <v>30</v>
          </cell>
          <cell r="S149">
            <v>0</v>
          </cell>
          <cell r="T149">
            <v>0</v>
          </cell>
          <cell r="U149">
            <v>105</v>
          </cell>
          <cell r="V149">
            <v>0</v>
          </cell>
          <cell r="W149">
            <v>250</v>
          </cell>
          <cell r="X149">
            <v>100</v>
          </cell>
          <cell r="Y149">
            <v>130</v>
          </cell>
          <cell r="Z149">
            <v>20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660</v>
          </cell>
          <cell r="AG149">
            <v>0</v>
          </cell>
          <cell r="AH149">
            <v>0</v>
          </cell>
          <cell r="AI149">
            <v>120</v>
          </cell>
          <cell r="AJ149">
            <v>0</v>
          </cell>
          <cell r="AK149">
            <v>60</v>
          </cell>
          <cell r="AL149">
            <v>270</v>
          </cell>
          <cell r="AM149">
            <v>0</v>
          </cell>
          <cell r="AN149">
            <v>0</v>
          </cell>
          <cell r="AO149">
            <v>145</v>
          </cell>
          <cell r="AP149">
            <v>30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35</v>
          </cell>
          <cell r="AX149">
            <v>0</v>
          </cell>
          <cell r="AY149">
            <v>0</v>
          </cell>
          <cell r="AZ149">
            <v>0</v>
          </cell>
          <cell r="BA149">
            <v>15527</v>
          </cell>
          <cell r="BB149">
            <v>0</v>
          </cell>
          <cell r="BC149">
            <v>15527</v>
          </cell>
        </row>
        <row r="150">
          <cell r="C150" t="str">
            <v>PAK111</v>
          </cell>
          <cell r="D150">
            <v>30240</v>
          </cell>
          <cell r="E150">
            <v>20880</v>
          </cell>
          <cell r="F150">
            <v>771</v>
          </cell>
          <cell r="G150">
            <v>456</v>
          </cell>
          <cell r="H150">
            <v>315</v>
          </cell>
          <cell r="I150">
            <v>0</v>
          </cell>
          <cell r="J150">
            <v>8589</v>
          </cell>
          <cell r="K150">
            <v>4489</v>
          </cell>
          <cell r="L150">
            <v>1196</v>
          </cell>
          <cell r="M150">
            <v>583</v>
          </cell>
          <cell r="N150">
            <v>78</v>
          </cell>
          <cell r="O150">
            <v>241</v>
          </cell>
          <cell r="P150">
            <v>294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1452</v>
          </cell>
          <cell r="X150">
            <v>919</v>
          </cell>
          <cell r="Y150">
            <v>393</v>
          </cell>
          <cell r="Z150">
            <v>32</v>
          </cell>
          <cell r="AA150">
            <v>0</v>
          </cell>
          <cell r="AB150">
            <v>108</v>
          </cell>
          <cell r="AC150">
            <v>0</v>
          </cell>
          <cell r="AD150">
            <v>0</v>
          </cell>
          <cell r="AE150">
            <v>0</v>
          </cell>
          <cell r="AF150">
            <v>1452</v>
          </cell>
          <cell r="AG150">
            <v>0</v>
          </cell>
          <cell r="AH150">
            <v>0</v>
          </cell>
          <cell r="AI150">
            <v>570</v>
          </cell>
          <cell r="AJ150">
            <v>0</v>
          </cell>
          <cell r="AK150">
            <v>345</v>
          </cell>
          <cell r="AL150">
            <v>0</v>
          </cell>
          <cell r="AM150">
            <v>0</v>
          </cell>
          <cell r="AN150">
            <v>0</v>
          </cell>
          <cell r="AO150">
            <v>184</v>
          </cell>
          <cell r="AP150">
            <v>204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149</v>
          </cell>
          <cell r="AX150">
            <v>0</v>
          </cell>
          <cell r="AY150">
            <v>0</v>
          </cell>
          <cell r="AZ150">
            <v>0</v>
          </cell>
          <cell r="BA150">
            <v>518712</v>
          </cell>
          <cell r="BB150">
            <v>63</v>
          </cell>
          <cell r="BC150">
            <v>518649</v>
          </cell>
        </row>
        <row r="151">
          <cell r="C151" t="str">
            <v>CPH SOL-MIXING</v>
          </cell>
          <cell r="D151">
            <v>30240</v>
          </cell>
          <cell r="E151">
            <v>27690</v>
          </cell>
          <cell r="F151">
            <v>970</v>
          </cell>
          <cell r="G151">
            <v>0</v>
          </cell>
          <cell r="H151">
            <v>970</v>
          </cell>
          <cell r="I151">
            <v>0</v>
          </cell>
          <cell r="J151">
            <v>1580</v>
          </cell>
          <cell r="K151">
            <v>133</v>
          </cell>
          <cell r="L151">
            <v>55</v>
          </cell>
          <cell r="M151">
            <v>30</v>
          </cell>
          <cell r="N151">
            <v>25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636</v>
          </cell>
          <cell r="X151">
            <v>248</v>
          </cell>
          <cell r="Y151">
            <v>348</v>
          </cell>
          <cell r="Z151">
            <v>0</v>
          </cell>
          <cell r="AA151">
            <v>0</v>
          </cell>
          <cell r="AB151">
            <v>40</v>
          </cell>
          <cell r="AC151">
            <v>0</v>
          </cell>
          <cell r="AD151">
            <v>0</v>
          </cell>
          <cell r="AE151">
            <v>0</v>
          </cell>
          <cell r="AF151">
            <v>756</v>
          </cell>
          <cell r="AG151">
            <v>465</v>
          </cell>
          <cell r="AH151">
            <v>0</v>
          </cell>
          <cell r="AI151">
            <v>150</v>
          </cell>
          <cell r="AJ151">
            <v>0</v>
          </cell>
          <cell r="AK151">
            <v>75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66</v>
          </cell>
          <cell r="AX151">
            <v>0</v>
          </cell>
          <cell r="AY151">
            <v>0</v>
          </cell>
          <cell r="AZ151">
            <v>0</v>
          </cell>
          <cell r="BA151">
            <v>527.78</v>
          </cell>
          <cell r="BB151">
            <v>1.46</v>
          </cell>
          <cell r="BC151">
            <v>526.32000000000005</v>
          </cell>
        </row>
        <row r="152">
          <cell r="C152" t="str">
            <v>MCF101</v>
          </cell>
          <cell r="D152">
            <v>30240</v>
          </cell>
          <cell r="E152">
            <v>27690</v>
          </cell>
          <cell r="F152">
            <v>970</v>
          </cell>
          <cell r="G152">
            <v>0</v>
          </cell>
          <cell r="H152">
            <v>970</v>
          </cell>
          <cell r="I152">
            <v>0</v>
          </cell>
          <cell r="J152">
            <v>1580</v>
          </cell>
          <cell r="K152">
            <v>133</v>
          </cell>
          <cell r="L152">
            <v>55</v>
          </cell>
          <cell r="M152">
            <v>30</v>
          </cell>
          <cell r="N152">
            <v>25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636</v>
          </cell>
          <cell r="X152">
            <v>248</v>
          </cell>
          <cell r="Y152">
            <v>348</v>
          </cell>
          <cell r="Z152">
            <v>0</v>
          </cell>
          <cell r="AA152">
            <v>0</v>
          </cell>
          <cell r="AB152">
            <v>40</v>
          </cell>
          <cell r="AC152">
            <v>0</v>
          </cell>
          <cell r="AD152">
            <v>0</v>
          </cell>
          <cell r="AE152">
            <v>0</v>
          </cell>
          <cell r="AF152">
            <v>756</v>
          </cell>
          <cell r="AG152">
            <v>465</v>
          </cell>
          <cell r="AH152">
            <v>0</v>
          </cell>
          <cell r="AI152">
            <v>150</v>
          </cell>
          <cell r="AJ152">
            <v>0</v>
          </cell>
          <cell r="AK152">
            <v>75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66</v>
          </cell>
          <cell r="AX152">
            <v>0</v>
          </cell>
          <cell r="AY152">
            <v>0</v>
          </cell>
          <cell r="AZ152">
            <v>0</v>
          </cell>
          <cell r="BA152">
            <v>527.78</v>
          </cell>
          <cell r="BB152">
            <v>1.46</v>
          </cell>
          <cell r="BC152">
            <v>526.32000000000005</v>
          </cell>
        </row>
        <row r="153">
          <cell r="C153" t="str">
            <v>CPH SOL-CAPSULE</v>
          </cell>
          <cell r="D153">
            <v>30240</v>
          </cell>
          <cell r="E153">
            <v>28200</v>
          </cell>
          <cell r="F153">
            <v>120</v>
          </cell>
          <cell r="G153">
            <v>120</v>
          </cell>
          <cell r="H153">
            <v>0</v>
          </cell>
          <cell r="I153">
            <v>0</v>
          </cell>
          <cell r="J153">
            <v>1920</v>
          </cell>
          <cell r="K153">
            <v>625</v>
          </cell>
          <cell r="L153">
            <v>120</v>
          </cell>
          <cell r="M153">
            <v>95</v>
          </cell>
          <cell r="N153">
            <v>0</v>
          </cell>
          <cell r="O153">
            <v>25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630</v>
          </cell>
          <cell r="X153">
            <v>190</v>
          </cell>
          <cell r="Y153">
            <v>225</v>
          </cell>
          <cell r="Z153">
            <v>0</v>
          </cell>
          <cell r="AA153">
            <v>0</v>
          </cell>
          <cell r="AB153">
            <v>215</v>
          </cell>
          <cell r="AC153">
            <v>0</v>
          </cell>
          <cell r="AD153">
            <v>0</v>
          </cell>
          <cell r="AE153">
            <v>0</v>
          </cell>
          <cell r="AF153">
            <v>545</v>
          </cell>
          <cell r="AG153">
            <v>0</v>
          </cell>
          <cell r="AH153">
            <v>0</v>
          </cell>
          <cell r="AI153">
            <v>120</v>
          </cell>
          <cell r="AJ153">
            <v>0</v>
          </cell>
          <cell r="AK153">
            <v>105</v>
          </cell>
          <cell r="AL153">
            <v>0</v>
          </cell>
          <cell r="AM153">
            <v>35</v>
          </cell>
          <cell r="AN153">
            <v>0</v>
          </cell>
          <cell r="AO153">
            <v>150</v>
          </cell>
          <cell r="AP153">
            <v>55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20</v>
          </cell>
          <cell r="AX153">
            <v>60</v>
          </cell>
          <cell r="AY153">
            <v>0</v>
          </cell>
          <cell r="AZ153">
            <v>0</v>
          </cell>
          <cell r="BA153">
            <v>496629</v>
          </cell>
          <cell r="BB153">
            <v>0</v>
          </cell>
          <cell r="BC153">
            <v>496629</v>
          </cell>
        </row>
        <row r="154">
          <cell r="C154" t="str">
            <v>KCF101</v>
          </cell>
          <cell r="D154">
            <v>30240</v>
          </cell>
          <cell r="E154">
            <v>28200</v>
          </cell>
          <cell r="F154">
            <v>120</v>
          </cell>
          <cell r="G154">
            <v>120</v>
          </cell>
          <cell r="H154">
            <v>0</v>
          </cell>
          <cell r="I154">
            <v>0</v>
          </cell>
          <cell r="J154">
            <v>1920</v>
          </cell>
          <cell r="K154">
            <v>625</v>
          </cell>
          <cell r="L154">
            <v>120</v>
          </cell>
          <cell r="M154">
            <v>95</v>
          </cell>
          <cell r="N154">
            <v>0</v>
          </cell>
          <cell r="O154">
            <v>25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630</v>
          </cell>
          <cell r="X154">
            <v>190</v>
          </cell>
          <cell r="Y154">
            <v>225</v>
          </cell>
          <cell r="Z154">
            <v>0</v>
          </cell>
          <cell r="AA154">
            <v>0</v>
          </cell>
          <cell r="AB154">
            <v>215</v>
          </cell>
          <cell r="AC154">
            <v>0</v>
          </cell>
          <cell r="AD154">
            <v>0</v>
          </cell>
          <cell r="AE154">
            <v>0</v>
          </cell>
          <cell r="AF154">
            <v>545</v>
          </cell>
          <cell r="AG154">
            <v>0</v>
          </cell>
          <cell r="AH154">
            <v>0</v>
          </cell>
          <cell r="AI154">
            <v>120</v>
          </cell>
          <cell r="AJ154">
            <v>0</v>
          </cell>
          <cell r="AK154">
            <v>105</v>
          </cell>
          <cell r="AL154">
            <v>0</v>
          </cell>
          <cell r="AM154">
            <v>35</v>
          </cell>
          <cell r="AN154">
            <v>0</v>
          </cell>
          <cell r="AO154">
            <v>150</v>
          </cell>
          <cell r="AP154">
            <v>55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20</v>
          </cell>
          <cell r="AX154">
            <v>60</v>
          </cell>
          <cell r="AY154">
            <v>0</v>
          </cell>
          <cell r="AZ154">
            <v>0</v>
          </cell>
          <cell r="BA154">
            <v>496629</v>
          </cell>
          <cell r="BB154">
            <v>0</v>
          </cell>
          <cell r="BC154">
            <v>496629</v>
          </cell>
        </row>
        <row r="155">
          <cell r="C155" t="str">
            <v>CPH SOL-STRIPPING</v>
          </cell>
          <cell r="D155">
            <v>30240</v>
          </cell>
          <cell r="E155">
            <v>27690</v>
          </cell>
          <cell r="F155">
            <v>360</v>
          </cell>
          <cell r="G155">
            <v>120</v>
          </cell>
          <cell r="H155">
            <v>240</v>
          </cell>
          <cell r="I155">
            <v>0</v>
          </cell>
          <cell r="J155">
            <v>2190</v>
          </cell>
          <cell r="K155">
            <v>570</v>
          </cell>
          <cell r="L155">
            <v>505</v>
          </cell>
          <cell r="M155">
            <v>445</v>
          </cell>
          <cell r="N155">
            <v>0</v>
          </cell>
          <cell r="O155">
            <v>60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705</v>
          </cell>
          <cell r="X155">
            <v>565</v>
          </cell>
          <cell r="Y155">
            <v>90</v>
          </cell>
          <cell r="Z155">
            <v>0</v>
          </cell>
          <cell r="AA155">
            <v>0</v>
          </cell>
          <cell r="AB155">
            <v>50</v>
          </cell>
          <cell r="AC155">
            <v>0</v>
          </cell>
          <cell r="AD155">
            <v>0</v>
          </cell>
          <cell r="AE155">
            <v>0</v>
          </cell>
          <cell r="AF155">
            <v>410</v>
          </cell>
          <cell r="AG155">
            <v>0</v>
          </cell>
          <cell r="AH155">
            <v>0</v>
          </cell>
          <cell r="AI155">
            <v>150</v>
          </cell>
          <cell r="AJ155">
            <v>0</v>
          </cell>
          <cell r="AK155">
            <v>75</v>
          </cell>
          <cell r="AL155">
            <v>0</v>
          </cell>
          <cell r="AM155">
            <v>0</v>
          </cell>
          <cell r="AN155">
            <v>0</v>
          </cell>
          <cell r="AO155">
            <v>60</v>
          </cell>
          <cell r="AP155">
            <v>50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75</v>
          </cell>
          <cell r="AX155">
            <v>0</v>
          </cell>
          <cell r="AY155">
            <v>0</v>
          </cell>
          <cell r="AZ155">
            <v>0</v>
          </cell>
          <cell r="BA155">
            <v>410775</v>
          </cell>
          <cell r="BB155">
            <v>2795</v>
          </cell>
          <cell r="BC155">
            <v>407980</v>
          </cell>
        </row>
        <row r="156">
          <cell r="C156" t="str">
            <v>STC101</v>
          </cell>
          <cell r="D156">
            <v>30240</v>
          </cell>
          <cell r="E156">
            <v>27690</v>
          </cell>
          <cell r="F156">
            <v>360</v>
          </cell>
          <cell r="G156">
            <v>120</v>
          </cell>
          <cell r="H156">
            <v>240</v>
          </cell>
          <cell r="I156">
            <v>0</v>
          </cell>
          <cell r="J156">
            <v>2190</v>
          </cell>
          <cell r="K156">
            <v>570</v>
          </cell>
          <cell r="L156">
            <v>505</v>
          </cell>
          <cell r="M156">
            <v>445</v>
          </cell>
          <cell r="N156">
            <v>0</v>
          </cell>
          <cell r="O156">
            <v>60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705</v>
          </cell>
          <cell r="X156">
            <v>565</v>
          </cell>
          <cell r="Y156">
            <v>90</v>
          </cell>
          <cell r="Z156">
            <v>0</v>
          </cell>
          <cell r="AA156">
            <v>0</v>
          </cell>
          <cell r="AB156">
            <v>50</v>
          </cell>
          <cell r="AC156">
            <v>0</v>
          </cell>
          <cell r="AD156">
            <v>0</v>
          </cell>
          <cell r="AE156">
            <v>0</v>
          </cell>
          <cell r="AF156">
            <v>410</v>
          </cell>
          <cell r="AG156">
            <v>0</v>
          </cell>
          <cell r="AH156">
            <v>0</v>
          </cell>
          <cell r="AI156">
            <v>150</v>
          </cell>
          <cell r="AJ156">
            <v>0</v>
          </cell>
          <cell r="AK156">
            <v>75</v>
          </cell>
          <cell r="AL156">
            <v>0</v>
          </cell>
          <cell r="AM156">
            <v>0</v>
          </cell>
          <cell r="AN156">
            <v>0</v>
          </cell>
          <cell r="AO156">
            <v>60</v>
          </cell>
          <cell r="AP156">
            <v>50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75</v>
          </cell>
          <cell r="AX156">
            <v>0</v>
          </cell>
          <cell r="AY156">
            <v>0</v>
          </cell>
          <cell r="AZ156">
            <v>0</v>
          </cell>
          <cell r="BA156">
            <v>410775</v>
          </cell>
          <cell r="BB156">
            <v>2795</v>
          </cell>
          <cell r="BC156">
            <v>407980</v>
          </cell>
        </row>
        <row r="157">
          <cell r="C157" t="str">
            <v>CPH SOL-POWDER FILLING</v>
          </cell>
          <cell r="D157">
            <v>30240</v>
          </cell>
          <cell r="E157">
            <v>28200</v>
          </cell>
          <cell r="F157">
            <v>100</v>
          </cell>
          <cell r="G157">
            <v>30</v>
          </cell>
          <cell r="H157">
            <v>70</v>
          </cell>
          <cell r="I157">
            <v>0</v>
          </cell>
          <cell r="J157">
            <v>1940</v>
          </cell>
          <cell r="K157">
            <v>570</v>
          </cell>
          <cell r="L157">
            <v>180</v>
          </cell>
          <cell r="M157">
            <v>85</v>
          </cell>
          <cell r="N157">
            <v>0</v>
          </cell>
          <cell r="O157">
            <v>95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810</v>
          </cell>
          <cell r="X157">
            <v>340</v>
          </cell>
          <cell r="Y157">
            <v>450</v>
          </cell>
          <cell r="Z157">
            <v>0</v>
          </cell>
          <cell r="AA157">
            <v>0</v>
          </cell>
          <cell r="AB157">
            <v>20</v>
          </cell>
          <cell r="AC157">
            <v>0</v>
          </cell>
          <cell r="AD157">
            <v>0</v>
          </cell>
          <cell r="AE157">
            <v>0</v>
          </cell>
          <cell r="AF157">
            <v>380</v>
          </cell>
          <cell r="AG157">
            <v>0</v>
          </cell>
          <cell r="AH157">
            <v>0</v>
          </cell>
          <cell r="AI157">
            <v>125</v>
          </cell>
          <cell r="AJ157">
            <v>0</v>
          </cell>
          <cell r="AK157">
            <v>80</v>
          </cell>
          <cell r="AL157">
            <v>0</v>
          </cell>
          <cell r="AM157">
            <v>30</v>
          </cell>
          <cell r="AN157">
            <v>15</v>
          </cell>
          <cell r="AO157">
            <v>0</v>
          </cell>
          <cell r="AP157">
            <v>30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75</v>
          </cell>
          <cell r="AX157">
            <v>25</v>
          </cell>
          <cell r="AY157">
            <v>0</v>
          </cell>
          <cell r="AZ157">
            <v>0</v>
          </cell>
          <cell r="BA157">
            <v>16924</v>
          </cell>
          <cell r="BB157">
            <v>73</v>
          </cell>
          <cell r="BC157">
            <v>16851</v>
          </cell>
        </row>
        <row r="158">
          <cell r="C158" t="str">
            <v>SCF102</v>
          </cell>
          <cell r="D158">
            <v>30240</v>
          </cell>
          <cell r="E158">
            <v>28200</v>
          </cell>
          <cell r="F158">
            <v>100</v>
          </cell>
          <cell r="G158">
            <v>30</v>
          </cell>
          <cell r="H158">
            <v>70</v>
          </cell>
          <cell r="I158">
            <v>0</v>
          </cell>
          <cell r="J158">
            <v>1940</v>
          </cell>
          <cell r="K158">
            <v>570</v>
          </cell>
          <cell r="L158">
            <v>180</v>
          </cell>
          <cell r="M158">
            <v>85</v>
          </cell>
          <cell r="N158">
            <v>0</v>
          </cell>
          <cell r="O158">
            <v>95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810</v>
          </cell>
          <cell r="X158">
            <v>340</v>
          </cell>
          <cell r="Y158">
            <v>450</v>
          </cell>
          <cell r="Z158">
            <v>0</v>
          </cell>
          <cell r="AA158">
            <v>0</v>
          </cell>
          <cell r="AB158">
            <v>20</v>
          </cell>
          <cell r="AC158">
            <v>0</v>
          </cell>
          <cell r="AD158">
            <v>0</v>
          </cell>
          <cell r="AE158">
            <v>0</v>
          </cell>
          <cell r="AF158">
            <v>380</v>
          </cell>
          <cell r="AG158">
            <v>0</v>
          </cell>
          <cell r="AH158">
            <v>0</v>
          </cell>
          <cell r="AI158">
            <v>125</v>
          </cell>
          <cell r="AJ158">
            <v>0</v>
          </cell>
          <cell r="AK158">
            <v>80</v>
          </cell>
          <cell r="AL158">
            <v>0</v>
          </cell>
          <cell r="AM158">
            <v>30</v>
          </cell>
          <cell r="AN158">
            <v>15</v>
          </cell>
          <cell r="AO158">
            <v>0</v>
          </cell>
          <cell r="AP158">
            <v>30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75</v>
          </cell>
          <cell r="AX158">
            <v>25</v>
          </cell>
          <cell r="AY158">
            <v>0</v>
          </cell>
          <cell r="AZ158">
            <v>0</v>
          </cell>
          <cell r="BA158">
            <v>16924</v>
          </cell>
          <cell r="BB158">
            <v>73</v>
          </cell>
          <cell r="BC158">
            <v>16851</v>
          </cell>
        </row>
        <row r="159">
          <cell r="C159" t="str">
            <v>CPH INJ-FILLING</v>
          </cell>
          <cell r="D159">
            <v>30240</v>
          </cell>
          <cell r="E159">
            <v>22800</v>
          </cell>
          <cell r="F159">
            <v>655</v>
          </cell>
          <cell r="G159">
            <v>45</v>
          </cell>
          <cell r="H159">
            <v>610</v>
          </cell>
          <cell r="I159">
            <v>0</v>
          </cell>
          <cell r="J159">
            <v>6785</v>
          </cell>
          <cell r="K159">
            <v>2703</v>
          </cell>
          <cell r="L159">
            <v>628</v>
          </cell>
          <cell r="M159">
            <v>450</v>
          </cell>
          <cell r="N159">
            <v>0</v>
          </cell>
          <cell r="O159">
            <v>155</v>
          </cell>
          <cell r="P159">
            <v>23</v>
          </cell>
          <cell r="Q159">
            <v>84</v>
          </cell>
          <cell r="R159">
            <v>0</v>
          </cell>
          <cell r="S159">
            <v>84</v>
          </cell>
          <cell r="T159">
            <v>0</v>
          </cell>
          <cell r="U159">
            <v>0</v>
          </cell>
          <cell r="V159">
            <v>0</v>
          </cell>
          <cell r="W159">
            <v>2040</v>
          </cell>
          <cell r="X159">
            <v>897</v>
          </cell>
          <cell r="Y159">
            <v>1143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1330</v>
          </cell>
          <cell r="AG159">
            <v>0</v>
          </cell>
          <cell r="AH159">
            <v>0</v>
          </cell>
          <cell r="AI159">
            <v>541</v>
          </cell>
          <cell r="AJ159">
            <v>5</v>
          </cell>
          <cell r="AK159">
            <v>370</v>
          </cell>
          <cell r="AL159">
            <v>0</v>
          </cell>
          <cell r="AM159">
            <v>0</v>
          </cell>
          <cell r="AN159">
            <v>96</v>
          </cell>
          <cell r="AO159">
            <v>0</v>
          </cell>
          <cell r="AP159">
            <v>44</v>
          </cell>
          <cell r="AQ159">
            <v>0</v>
          </cell>
          <cell r="AR159">
            <v>0</v>
          </cell>
          <cell r="AS159">
            <v>260</v>
          </cell>
          <cell r="AT159">
            <v>0</v>
          </cell>
          <cell r="AU159">
            <v>0</v>
          </cell>
          <cell r="AV159">
            <v>0</v>
          </cell>
          <cell r="AW159">
            <v>14</v>
          </cell>
          <cell r="AX159">
            <v>0</v>
          </cell>
          <cell r="AY159">
            <v>0</v>
          </cell>
          <cell r="AZ159">
            <v>0</v>
          </cell>
          <cell r="BA159">
            <v>393976</v>
          </cell>
          <cell r="BB159">
            <v>261</v>
          </cell>
          <cell r="BC159">
            <v>393715</v>
          </cell>
        </row>
        <row r="160">
          <cell r="C160" t="str">
            <v>GINLINE6</v>
          </cell>
          <cell r="D160">
            <v>30240</v>
          </cell>
          <cell r="E160">
            <v>22800</v>
          </cell>
          <cell r="F160">
            <v>655</v>
          </cell>
          <cell r="G160">
            <v>45</v>
          </cell>
          <cell r="H160">
            <v>610</v>
          </cell>
          <cell r="I160">
            <v>0</v>
          </cell>
          <cell r="J160">
            <v>6785</v>
          </cell>
          <cell r="K160">
            <v>2703</v>
          </cell>
          <cell r="L160">
            <v>628</v>
          </cell>
          <cell r="M160">
            <v>450</v>
          </cell>
          <cell r="N160">
            <v>0</v>
          </cell>
          <cell r="O160">
            <v>155</v>
          </cell>
          <cell r="P160">
            <v>23</v>
          </cell>
          <cell r="Q160">
            <v>84</v>
          </cell>
          <cell r="R160">
            <v>0</v>
          </cell>
          <cell r="S160">
            <v>84</v>
          </cell>
          <cell r="T160">
            <v>0</v>
          </cell>
          <cell r="U160">
            <v>0</v>
          </cell>
          <cell r="V160">
            <v>0</v>
          </cell>
          <cell r="W160">
            <v>2040</v>
          </cell>
          <cell r="X160">
            <v>897</v>
          </cell>
          <cell r="Y160">
            <v>1143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1330</v>
          </cell>
          <cell r="AG160">
            <v>0</v>
          </cell>
          <cell r="AH160">
            <v>0</v>
          </cell>
          <cell r="AI160">
            <v>541</v>
          </cell>
          <cell r="AJ160">
            <v>5</v>
          </cell>
          <cell r="AK160">
            <v>370</v>
          </cell>
          <cell r="AL160">
            <v>0</v>
          </cell>
          <cell r="AM160">
            <v>0</v>
          </cell>
          <cell r="AN160">
            <v>96</v>
          </cell>
          <cell r="AO160">
            <v>0</v>
          </cell>
          <cell r="AP160">
            <v>44</v>
          </cell>
          <cell r="AQ160">
            <v>0</v>
          </cell>
          <cell r="AR160">
            <v>0</v>
          </cell>
          <cell r="AS160">
            <v>260</v>
          </cell>
          <cell r="AT160">
            <v>0</v>
          </cell>
          <cell r="AU160">
            <v>0</v>
          </cell>
          <cell r="AV160">
            <v>0</v>
          </cell>
          <cell r="AW160">
            <v>14</v>
          </cell>
          <cell r="AX160">
            <v>0</v>
          </cell>
          <cell r="AY160">
            <v>0</v>
          </cell>
          <cell r="AZ160">
            <v>0</v>
          </cell>
          <cell r="BA160">
            <v>393976</v>
          </cell>
          <cell r="BB160">
            <v>261</v>
          </cell>
          <cell r="BC160">
            <v>393715</v>
          </cell>
        </row>
        <row r="161">
          <cell r="C161" t="str">
            <v>CPH INJ-STERILIZATION</v>
          </cell>
          <cell r="D161">
            <v>60480</v>
          </cell>
          <cell r="E161">
            <v>45540</v>
          </cell>
          <cell r="F161">
            <v>1466</v>
          </cell>
          <cell r="G161">
            <v>188</v>
          </cell>
          <cell r="H161">
            <v>1278</v>
          </cell>
          <cell r="I161">
            <v>0</v>
          </cell>
          <cell r="J161">
            <v>13474</v>
          </cell>
          <cell r="K161">
            <v>6971</v>
          </cell>
          <cell r="L161">
            <v>464</v>
          </cell>
          <cell r="M161">
            <v>354</v>
          </cell>
          <cell r="N161">
            <v>0</v>
          </cell>
          <cell r="O161">
            <v>110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3999</v>
          </cell>
          <cell r="X161">
            <v>3681</v>
          </cell>
          <cell r="Y161">
            <v>318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2040</v>
          </cell>
          <cell r="AG161">
            <v>0</v>
          </cell>
          <cell r="AH161">
            <v>0</v>
          </cell>
          <cell r="AI161">
            <v>45</v>
          </cell>
          <cell r="AJ161">
            <v>0</v>
          </cell>
          <cell r="AK161">
            <v>15</v>
          </cell>
          <cell r="AL161">
            <v>0</v>
          </cell>
          <cell r="AM161">
            <v>0</v>
          </cell>
          <cell r="AN161">
            <v>100</v>
          </cell>
          <cell r="AO161">
            <v>1880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631</v>
          </cell>
          <cell r="BB161">
            <v>0</v>
          </cell>
          <cell r="BC161">
            <v>631</v>
          </cell>
        </row>
        <row r="162">
          <cell r="C162" t="str">
            <v>ICF104</v>
          </cell>
          <cell r="D162">
            <v>30240</v>
          </cell>
          <cell r="E162">
            <v>22770</v>
          </cell>
          <cell r="F162">
            <v>441</v>
          </cell>
          <cell r="G162">
            <v>128</v>
          </cell>
          <cell r="H162">
            <v>313</v>
          </cell>
          <cell r="I162">
            <v>0</v>
          </cell>
          <cell r="J162">
            <v>7029</v>
          </cell>
          <cell r="K162">
            <v>3583</v>
          </cell>
          <cell r="L162">
            <v>218</v>
          </cell>
          <cell r="M162">
            <v>168</v>
          </cell>
          <cell r="N162">
            <v>0</v>
          </cell>
          <cell r="O162">
            <v>50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2613</v>
          </cell>
          <cell r="X162">
            <v>2567</v>
          </cell>
          <cell r="Y162">
            <v>46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615</v>
          </cell>
          <cell r="AG162">
            <v>0</v>
          </cell>
          <cell r="AH162">
            <v>0</v>
          </cell>
          <cell r="AI162">
            <v>45</v>
          </cell>
          <cell r="AJ162">
            <v>0</v>
          </cell>
          <cell r="AK162">
            <v>15</v>
          </cell>
          <cell r="AL162">
            <v>0</v>
          </cell>
          <cell r="AM162">
            <v>0</v>
          </cell>
          <cell r="AN162">
            <v>60</v>
          </cell>
          <cell r="AO162">
            <v>495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366</v>
          </cell>
          <cell r="BB162">
            <v>0</v>
          </cell>
          <cell r="BC162">
            <v>366</v>
          </cell>
        </row>
        <row r="163">
          <cell r="C163" t="str">
            <v>ICF105</v>
          </cell>
          <cell r="D163">
            <v>30240</v>
          </cell>
          <cell r="E163">
            <v>22770</v>
          </cell>
          <cell r="F163">
            <v>1025</v>
          </cell>
          <cell r="G163">
            <v>60</v>
          </cell>
          <cell r="H163">
            <v>965</v>
          </cell>
          <cell r="I163">
            <v>0</v>
          </cell>
          <cell r="J163">
            <v>6445</v>
          </cell>
          <cell r="K163">
            <v>3388</v>
          </cell>
          <cell r="L163">
            <v>246</v>
          </cell>
          <cell r="M163">
            <v>186</v>
          </cell>
          <cell r="N163">
            <v>0</v>
          </cell>
          <cell r="O163">
            <v>60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1386</v>
          </cell>
          <cell r="X163">
            <v>1114</v>
          </cell>
          <cell r="Y163">
            <v>272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1425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40</v>
          </cell>
          <cell r="AO163">
            <v>1385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265</v>
          </cell>
          <cell r="BB163">
            <v>0</v>
          </cell>
          <cell r="BC163">
            <v>265</v>
          </cell>
        </row>
        <row r="164">
          <cell r="C164" t="str">
            <v>CPH-SECONDARY PACKING</v>
          </cell>
          <cell r="D164">
            <v>60480</v>
          </cell>
          <cell r="E164">
            <v>41190</v>
          </cell>
          <cell r="F164">
            <v>1605</v>
          </cell>
          <cell r="G164">
            <v>490</v>
          </cell>
          <cell r="H164">
            <v>1115</v>
          </cell>
          <cell r="I164">
            <v>0</v>
          </cell>
          <cell r="J164">
            <v>17685</v>
          </cell>
          <cell r="K164">
            <v>7407</v>
          </cell>
          <cell r="L164">
            <v>4494</v>
          </cell>
          <cell r="M164">
            <v>1384</v>
          </cell>
          <cell r="N164">
            <v>180</v>
          </cell>
          <cell r="O164">
            <v>1292</v>
          </cell>
          <cell r="P164">
            <v>1638</v>
          </cell>
          <cell r="Q164">
            <v>60</v>
          </cell>
          <cell r="R164">
            <v>60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1993</v>
          </cell>
          <cell r="X164">
            <v>678</v>
          </cell>
          <cell r="Y164">
            <v>529</v>
          </cell>
          <cell r="Z164">
            <v>456</v>
          </cell>
          <cell r="AA164">
            <v>0</v>
          </cell>
          <cell r="AB164">
            <v>330</v>
          </cell>
          <cell r="AC164">
            <v>0</v>
          </cell>
          <cell r="AD164">
            <v>0</v>
          </cell>
          <cell r="AE164">
            <v>0</v>
          </cell>
          <cell r="AF164">
            <v>3731</v>
          </cell>
          <cell r="AG164">
            <v>17</v>
          </cell>
          <cell r="AH164">
            <v>30</v>
          </cell>
          <cell r="AI164">
            <v>1140</v>
          </cell>
          <cell r="AJ164">
            <v>17</v>
          </cell>
          <cell r="AK164">
            <v>690</v>
          </cell>
          <cell r="AL164">
            <v>0</v>
          </cell>
          <cell r="AM164">
            <v>55</v>
          </cell>
          <cell r="AN164">
            <v>0</v>
          </cell>
          <cell r="AO164">
            <v>81</v>
          </cell>
          <cell r="AP164">
            <v>1014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672</v>
          </cell>
          <cell r="AX164">
            <v>15</v>
          </cell>
          <cell r="AY164">
            <v>0</v>
          </cell>
          <cell r="AZ164">
            <v>0</v>
          </cell>
          <cell r="BA164">
            <v>911770</v>
          </cell>
          <cell r="BB164">
            <v>560</v>
          </cell>
          <cell r="BC164">
            <v>911210</v>
          </cell>
        </row>
        <row r="165">
          <cell r="C165" t="str">
            <v>PCF101</v>
          </cell>
          <cell r="D165">
            <v>30240</v>
          </cell>
          <cell r="E165">
            <v>17910</v>
          </cell>
          <cell r="F165">
            <v>815</v>
          </cell>
          <cell r="G165">
            <v>295</v>
          </cell>
          <cell r="H165">
            <v>520</v>
          </cell>
          <cell r="I165">
            <v>0</v>
          </cell>
          <cell r="J165">
            <v>11515</v>
          </cell>
          <cell r="K165">
            <v>3932</v>
          </cell>
          <cell r="L165">
            <v>3801</v>
          </cell>
          <cell r="M165">
            <v>826</v>
          </cell>
          <cell r="N165">
            <v>180</v>
          </cell>
          <cell r="O165">
            <v>1157</v>
          </cell>
          <cell r="P165">
            <v>1638</v>
          </cell>
          <cell r="Q165">
            <v>60</v>
          </cell>
          <cell r="R165">
            <v>60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1246</v>
          </cell>
          <cell r="X165">
            <v>553</v>
          </cell>
          <cell r="Y165">
            <v>384</v>
          </cell>
          <cell r="Z165">
            <v>309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2476</v>
          </cell>
          <cell r="AG165">
            <v>17</v>
          </cell>
          <cell r="AH165">
            <v>0</v>
          </cell>
          <cell r="AI165">
            <v>750</v>
          </cell>
          <cell r="AJ165">
            <v>12</v>
          </cell>
          <cell r="AK165">
            <v>465</v>
          </cell>
          <cell r="AL165">
            <v>0</v>
          </cell>
          <cell r="AM165">
            <v>0</v>
          </cell>
          <cell r="AN165">
            <v>0</v>
          </cell>
          <cell r="AO165">
            <v>81</v>
          </cell>
          <cell r="AP165">
            <v>835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301</v>
          </cell>
          <cell r="AX165">
            <v>15</v>
          </cell>
          <cell r="AY165">
            <v>0</v>
          </cell>
          <cell r="AZ165">
            <v>0</v>
          </cell>
          <cell r="BA165">
            <v>810603</v>
          </cell>
          <cell r="BB165">
            <v>192</v>
          </cell>
          <cell r="BC165">
            <v>810411</v>
          </cell>
        </row>
        <row r="166">
          <cell r="C166" t="str">
            <v>PCF102</v>
          </cell>
          <cell r="D166">
            <v>30240</v>
          </cell>
          <cell r="E166">
            <v>23280</v>
          </cell>
          <cell r="F166">
            <v>790</v>
          </cell>
          <cell r="G166">
            <v>195</v>
          </cell>
          <cell r="H166">
            <v>595</v>
          </cell>
          <cell r="I166">
            <v>0</v>
          </cell>
          <cell r="J166">
            <v>6170</v>
          </cell>
          <cell r="K166">
            <v>3475</v>
          </cell>
          <cell r="L166">
            <v>693</v>
          </cell>
          <cell r="M166">
            <v>558</v>
          </cell>
          <cell r="N166">
            <v>0</v>
          </cell>
          <cell r="O166">
            <v>135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747</v>
          </cell>
          <cell r="X166">
            <v>125</v>
          </cell>
          <cell r="Y166">
            <v>145</v>
          </cell>
          <cell r="Z166">
            <v>147</v>
          </cell>
          <cell r="AA166">
            <v>0</v>
          </cell>
          <cell r="AB166">
            <v>330</v>
          </cell>
          <cell r="AC166">
            <v>0</v>
          </cell>
          <cell r="AD166">
            <v>0</v>
          </cell>
          <cell r="AE166">
            <v>0</v>
          </cell>
          <cell r="AF166">
            <v>1255</v>
          </cell>
          <cell r="AG166">
            <v>0</v>
          </cell>
          <cell r="AH166">
            <v>30</v>
          </cell>
          <cell r="AI166">
            <v>390</v>
          </cell>
          <cell r="AJ166">
            <v>5</v>
          </cell>
          <cell r="AK166">
            <v>225</v>
          </cell>
          <cell r="AL166">
            <v>0</v>
          </cell>
          <cell r="AM166">
            <v>55</v>
          </cell>
          <cell r="AN166">
            <v>0</v>
          </cell>
          <cell r="AO166">
            <v>0</v>
          </cell>
          <cell r="AP166">
            <v>179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371</v>
          </cell>
          <cell r="AX166">
            <v>0</v>
          </cell>
          <cell r="AY166">
            <v>0</v>
          </cell>
          <cell r="AZ166">
            <v>0</v>
          </cell>
          <cell r="BA166">
            <v>101167</v>
          </cell>
          <cell r="BB166">
            <v>368</v>
          </cell>
          <cell r="BC166">
            <v>100799</v>
          </cell>
        </row>
      </sheetData>
      <sheetData sheetId="13" refreshError="1">
        <row r="5">
          <cell r="C5" t="str">
            <v>POT</v>
          </cell>
        </row>
        <row r="109">
          <cell r="B109" t="str">
            <v>PROSES( Menit )</v>
          </cell>
          <cell r="C109" t="str">
            <v>POT</v>
          </cell>
          <cell r="D109" t="str">
            <v>POT Shift Tersedia</v>
          </cell>
          <cell r="E109" t="str">
            <v>Unschedule Time</v>
          </cell>
          <cell r="F109" t="str">
            <v>Unschedule Time Shift Tersedia</v>
          </cell>
          <cell r="G109" t="str">
            <v>Waktu Beproduksi</v>
          </cell>
          <cell r="H109" t="str">
            <v>Waktu Beproduksi Tersedia</v>
          </cell>
          <cell r="I109" t="str">
            <v>Idle Time</v>
          </cell>
          <cell r="J109" t="str">
            <v>Idle Time Tersedia</v>
          </cell>
          <cell r="K109" t="str">
            <v>L2</v>
          </cell>
          <cell r="L109" t="str">
            <v>L21</v>
          </cell>
          <cell r="M109" t="str">
            <v>L22</v>
          </cell>
          <cell r="N109" t="str">
            <v>IG</v>
          </cell>
          <cell r="O109" t="str">
            <v>PPT</v>
          </cell>
          <cell r="P109" t="str">
            <v>PPT Tersedia</v>
          </cell>
          <cell r="Q109" t="str">
            <v>R</v>
          </cell>
          <cell r="R109" t="str">
            <v>R Tersedia</v>
          </cell>
          <cell r="S109" t="str">
            <v>DT</v>
          </cell>
          <cell r="T109" t="str">
            <v>DT Tersedia</v>
          </cell>
          <cell r="U109" t="str">
            <v>Setup</v>
          </cell>
          <cell r="V109" t="str">
            <v>P6</v>
          </cell>
          <cell r="W109" t="str">
            <v>P5</v>
          </cell>
          <cell r="X109" t="str">
            <v>P8</v>
          </cell>
          <cell r="Y109" t="str">
            <v>P9</v>
          </cell>
          <cell r="Z109" t="str">
            <v>Breakdown</v>
          </cell>
          <cell r="AA109" t="str">
            <v>M1</v>
          </cell>
          <cell r="AB109" t="str">
            <v>M2</v>
          </cell>
          <cell r="AC109" t="str">
            <v>M4</v>
          </cell>
          <cell r="AD109" t="str">
            <v>M8</v>
          </cell>
          <cell r="AE109" t="str">
            <v>M9</v>
          </cell>
          <cell r="AF109" t="str">
            <v>Clean</v>
          </cell>
          <cell r="AG109" t="str">
            <v>P2</v>
          </cell>
          <cell r="AH109" t="str">
            <v>P4</v>
          </cell>
          <cell r="AI109" t="str">
            <v>P17</v>
          </cell>
          <cell r="AJ109" t="str">
            <v>P19</v>
          </cell>
          <cell r="AK109" t="str">
            <v>P12</v>
          </cell>
          <cell r="AL109" t="str">
            <v>Trial</v>
          </cell>
          <cell r="AM109" t="str">
            <v>R1</v>
          </cell>
          <cell r="AN109" t="str">
            <v>R2</v>
          </cell>
          <cell r="AO109" t="str">
            <v>Waiting</v>
          </cell>
          <cell r="AP109" t="str">
            <v>L1</v>
          </cell>
          <cell r="AQ109" t="str">
            <v>L3</v>
          </cell>
          <cell r="AR109" t="str">
            <v>H1</v>
          </cell>
          <cell r="AS109" t="str">
            <v>H2</v>
          </cell>
          <cell r="AT109" t="str">
            <v>H4</v>
          </cell>
          <cell r="AU109" t="str">
            <v>H6</v>
          </cell>
          <cell r="AV109" t="str">
            <v>H7</v>
          </cell>
          <cell r="AW109" t="str">
            <v>H8</v>
          </cell>
          <cell r="AX109" t="str">
            <v>P10</v>
          </cell>
          <cell r="AY109" t="str">
            <v>P11</v>
          </cell>
          <cell r="AZ109" t="str">
            <v>P13</v>
          </cell>
          <cell r="BA109" t="str">
            <v>P14</v>
          </cell>
          <cell r="BB109" t="str">
            <v>P16</v>
          </cell>
          <cell r="BC109" t="str">
            <v>M5</v>
          </cell>
          <cell r="BD109" t="str">
            <v>M6</v>
          </cell>
          <cell r="BE109" t="str">
            <v>M7</v>
          </cell>
          <cell r="BF109" t="str">
            <v>Q1</v>
          </cell>
          <cell r="BG109" t="str">
            <v>Q2</v>
          </cell>
          <cell r="BH109" t="str">
            <v>Q3</v>
          </cell>
          <cell r="BI109" t="str">
            <v>Q4</v>
          </cell>
          <cell r="BJ109" t="str">
            <v>Total Output</v>
          </cell>
          <cell r="BK109" t="str">
            <v>Reject Output</v>
          </cell>
          <cell r="BL109" t="str">
            <v>Good Output</v>
          </cell>
        </row>
        <row r="110">
          <cell r="B110" t="str">
            <v>NBL SOL-MIXING</v>
          </cell>
          <cell r="C110">
            <v>90720</v>
          </cell>
          <cell r="D110">
            <v>58590</v>
          </cell>
          <cell r="E110">
            <v>63180</v>
          </cell>
          <cell r="F110">
            <v>31050</v>
          </cell>
          <cell r="G110">
            <v>27540</v>
          </cell>
          <cell r="H110">
            <v>27540</v>
          </cell>
          <cell r="I110">
            <v>3976</v>
          </cell>
          <cell r="J110">
            <v>3976</v>
          </cell>
          <cell r="K110">
            <v>3624</v>
          </cell>
          <cell r="L110">
            <v>75</v>
          </cell>
          <cell r="M110">
            <v>3549</v>
          </cell>
          <cell r="N110">
            <v>352</v>
          </cell>
          <cell r="O110">
            <v>23564</v>
          </cell>
          <cell r="P110">
            <v>23564</v>
          </cell>
          <cell r="Q110">
            <v>3745</v>
          </cell>
          <cell r="R110">
            <v>3745</v>
          </cell>
          <cell r="S110">
            <v>19819</v>
          </cell>
          <cell r="T110">
            <v>19819</v>
          </cell>
          <cell r="U110">
            <v>801</v>
          </cell>
          <cell r="V110">
            <v>798</v>
          </cell>
          <cell r="W110">
            <v>0</v>
          </cell>
          <cell r="X110">
            <v>3</v>
          </cell>
          <cell r="Y110">
            <v>0</v>
          </cell>
          <cell r="Z110">
            <v>299</v>
          </cell>
          <cell r="AA110">
            <v>0</v>
          </cell>
          <cell r="AB110">
            <v>0</v>
          </cell>
          <cell r="AC110">
            <v>0</v>
          </cell>
          <cell r="AD110">
            <v>299</v>
          </cell>
          <cell r="AE110">
            <v>0</v>
          </cell>
          <cell r="AF110">
            <v>10702</v>
          </cell>
          <cell r="AG110">
            <v>6044</v>
          </cell>
          <cell r="AH110">
            <v>4082</v>
          </cell>
          <cell r="AI110">
            <v>21</v>
          </cell>
          <cell r="AJ110">
            <v>0</v>
          </cell>
          <cell r="AK110">
            <v>555</v>
          </cell>
          <cell r="AL110">
            <v>0</v>
          </cell>
          <cell r="AM110">
            <v>0</v>
          </cell>
          <cell r="AN110">
            <v>0</v>
          </cell>
          <cell r="AO110">
            <v>8017</v>
          </cell>
          <cell r="AP110">
            <v>90</v>
          </cell>
          <cell r="AQ110">
            <v>0</v>
          </cell>
          <cell r="AR110">
            <v>1610</v>
          </cell>
          <cell r="AS110">
            <v>0</v>
          </cell>
          <cell r="AT110">
            <v>1440</v>
          </cell>
          <cell r="AU110">
            <v>0</v>
          </cell>
          <cell r="AV110">
            <v>0</v>
          </cell>
          <cell r="AW110">
            <v>0</v>
          </cell>
          <cell r="AX110">
            <v>4045</v>
          </cell>
          <cell r="AY110">
            <v>20</v>
          </cell>
          <cell r="AZ110">
            <v>0</v>
          </cell>
          <cell r="BA110">
            <v>314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498</v>
          </cell>
          <cell r="BG110">
            <v>0</v>
          </cell>
          <cell r="BH110">
            <v>0</v>
          </cell>
          <cell r="BI110">
            <v>0</v>
          </cell>
          <cell r="BJ110">
            <v>7465.38</v>
          </cell>
          <cell r="BK110">
            <v>0</v>
          </cell>
          <cell r="BL110">
            <v>7465.38</v>
          </cell>
        </row>
        <row r="111">
          <cell r="B111" t="str">
            <v>MIX113</v>
          </cell>
          <cell r="C111">
            <v>30240</v>
          </cell>
          <cell r="D111">
            <v>19530</v>
          </cell>
          <cell r="E111">
            <v>16740</v>
          </cell>
          <cell r="F111">
            <v>6030</v>
          </cell>
          <cell r="G111">
            <v>13500</v>
          </cell>
          <cell r="H111">
            <v>13500</v>
          </cell>
          <cell r="I111">
            <v>2500</v>
          </cell>
          <cell r="J111">
            <v>2500</v>
          </cell>
          <cell r="K111">
            <v>2175</v>
          </cell>
          <cell r="L111">
            <v>35</v>
          </cell>
          <cell r="M111">
            <v>2140</v>
          </cell>
          <cell r="N111">
            <v>325</v>
          </cell>
          <cell r="O111">
            <v>11000</v>
          </cell>
          <cell r="P111">
            <v>11000</v>
          </cell>
          <cell r="Q111">
            <v>694</v>
          </cell>
          <cell r="R111">
            <v>694</v>
          </cell>
          <cell r="S111">
            <v>10306</v>
          </cell>
          <cell r="T111">
            <v>10306</v>
          </cell>
          <cell r="U111">
            <v>427</v>
          </cell>
          <cell r="V111">
            <v>427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4043</v>
          </cell>
          <cell r="AG111">
            <v>1646</v>
          </cell>
          <cell r="AH111">
            <v>2112</v>
          </cell>
          <cell r="AI111">
            <v>0</v>
          </cell>
          <cell r="AJ111">
            <v>0</v>
          </cell>
          <cell r="AK111">
            <v>285</v>
          </cell>
          <cell r="AL111">
            <v>0</v>
          </cell>
          <cell r="AM111">
            <v>0</v>
          </cell>
          <cell r="AN111">
            <v>0</v>
          </cell>
          <cell r="AO111">
            <v>5836</v>
          </cell>
          <cell r="AP111">
            <v>65</v>
          </cell>
          <cell r="AQ111">
            <v>0</v>
          </cell>
          <cell r="AR111">
            <v>765</v>
          </cell>
          <cell r="AS111">
            <v>0</v>
          </cell>
          <cell r="AT111">
            <v>690</v>
          </cell>
          <cell r="AU111">
            <v>0</v>
          </cell>
          <cell r="AV111">
            <v>0</v>
          </cell>
          <cell r="AW111">
            <v>0</v>
          </cell>
          <cell r="AX111">
            <v>4045</v>
          </cell>
          <cell r="AY111">
            <v>20</v>
          </cell>
          <cell r="AZ111">
            <v>0</v>
          </cell>
          <cell r="BA111">
            <v>20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231</v>
          </cell>
          <cell r="BG111">
            <v>0</v>
          </cell>
          <cell r="BH111">
            <v>0</v>
          </cell>
          <cell r="BI111">
            <v>0</v>
          </cell>
          <cell r="BJ111">
            <v>4784.8</v>
          </cell>
          <cell r="BK111">
            <v>0</v>
          </cell>
          <cell r="BL111">
            <v>4784.8</v>
          </cell>
        </row>
        <row r="112">
          <cell r="B112" t="str">
            <v>LMIXSOL1</v>
          </cell>
          <cell r="C112">
            <v>30240</v>
          </cell>
          <cell r="D112">
            <v>19530</v>
          </cell>
          <cell r="E112">
            <v>21930</v>
          </cell>
          <cell r="F112">
            <v>11220</v>
          </cell>
          <cell r="G112">
            <v>8310</v>
          </cell>
          <cell r="H112">
            <v>8310</v>
          </cell>
          <cell r="I112">
            <v>1272</v>
          </cell>
          <cell r="J112">
            <v>1272</v>
          </cell>
          <cell r="K112">
            <v>1245</v>
          </cell>
          <cell r="L112">
            <v>20</v>
          </cell>
          <cell r="M112">
            <v>1225</v>
          </cell>
          <cell r="N112">
            <v>27</v>
          </cell>
          <cell r="O112">
            <v>7038</v>
          </cell>
          <cell r="P112">
            <v>7038</v>
          </cell>
          <cell r="Q112">
            <v>1496</v>
          </cell>
          <cell r="R112">
            <v>1496</v>
          </cell>
          <cell r="S112">
            <v>5542</v>
          </cell>
          <cell r="T112">
            <v>5542</v>
          </cell>
          <cell r="U112">
            <v>210</v>
          </cell>
          <cell r="V112">
            <v>210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4071</v>
          </cell>
          <cell r="AG112">
            <v>2609</v>
          </cell>
          <cell r="AH112">
            <v>1265</v>
          </cell>
          <cell r="AI112">
            <v>2</v>
          </cell>
          <cell r="AJ112">
            <v>0</v>
          </cell>
          <cell r="AK112">
            <v>195</v>
          </cell>
          <cell r="AL112">
            <v>0</v>
          </cell>
          <cell r="AM112">
            <v>0</v>
          </cell>
          <cell r="AN112">
            <v>0</v>
          </cell>
          <cell r="AO112">
            <v>1261</v>
          </cell>
          <cell r="AP112">
            <v>25</v>
          </cell>
          <cell r="AQ112">
            <v>0</v>
          </cell>
          <cell r="AR112">
            <v>480</v>
          </cell>
          <cell r="AS112">
            <v>0</v>
          </cell>
          <cell r="AT112">
            <v>405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247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104</v>
          </cell>
          <cell r="BG112">
            <v>0</v>
          </cell>
          <cell r="BH112">
            <v>0</v>
          </cell>
          <cell r="BI112">
            <v>0</v>
          </cell>
          <cell r="BJ112">
            <v>871.59</v>
          </cell>
          <cell r="BK112">
            <v>0</v>
          </cell>
          <cell r="BL112">
            <v>871.59</v>
          </cell>
        </row>
        <row r="113">
          <cell r="B113" t="str">
            <v>LMIXSOL2</v>
          </cell>
          <cell r="C113">
            <v>30240</v>
          </cell>
          <cell r="D113">
            <v>19530</v>
          </cell>
          <cell r="E113">
            <v>24510</v>
          </cell>
          <cell r="F113">
            <v>13800</v>
          </cell>
          <cell r="G113">
            <v>5730</v>
          </cell>
          <cell r="H113">
            <v>5730</v>
          </cell>
          <cell r="I113">
            <v>204</v>
          </cell>
          <cell r="J113">
            <v>204</v>
          </cell>
          <cell r="K113">
            <v>204</v>
          </cell>
          <cell r="L113">
            <v>20</v>
          </cell>
          <cell r="M113">
            <v>184</v>
          </cell>
          <cell r="N113">
            <v>0</v>
          </cell>
          <cell r="O113">
            <v>5526</v>
          </cell>
          <cell r="P113">
            <v>5526</v>
          </cell>
          <cell r="Q113">
            <v>1555</v>
          </cell>
          <cell r="R113">
            <v>1555</v>
          </cell>
          <cell r="S113">
            <v>3971</v>
          </cell>
          <cell r="T113">
            <v>3971</v>
          </cell>
          <cell r="U113">
            <v>164</v>
          </cell>
          <cell r="V113">
            <v>161</v>
          </cell>
          <cell r="W113">
            <v>0</v>
          </cell>
          <cell r="X113">
            <v>3</v>
          </cell>
          <cell r="Y113">
            <v>0</v>
          </cell>
          <cell r="Z113">
            <v>299</v>
          </cell>
          <cell r="AA113">
            <v>0</v>
          </cell>
          <cell r="AB113">
            <v>0</v>
          </cell>
          <cell r="AC113">
            <v>0</v>
          </cell>
          <cell r="AD113">
            <v>299</v>
          </cell>
          <cell r="AE113">
            <v>0</v>
          </cell>
          <cell r="AF113">
            <v>2588</v>
          </cell>
          <cell r="AG113">
            <v>1789</v>
          </cell>
          <cell r="AH113">
            <v>705</v>
          </cell>
          <cell r="AI113">
            <v>19</v>
          </cell>
          <cell r="AJ113">
            <v>0</v>
          </cell>
          <cell r="AK113">
            <v>75</v>
          </cell>
          <cell r="AL113">
            <v>0</v>
          </cell>
          <cell r="AM113">
            <v>0</v>
          </cell>
          <cell r="AN113">
            <v>0</v>
          </cell>
          <cell r="AO113">
            <v>920</v>
          </cell>
          <cell r="AP113">
            <v>0</v>
          </cell>
          <cell r="AQ113">
            <v>0</v>
          </cell>
          <cell r="AR113">
            <v>365</v>
          </cell>
          <cell r="AS113">
            <v>0</v>
          </cell>
          <cell r="AT113">
            <v>345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47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163</v>
          </cell>
          <cell r="BG113">
            <v>0</v>
          </cell>
          <cell r="BH113">
            <v>0</v>
          </cell>
          <cell r="BI113">
            <v>0</v>
          </cell>
          <cell r="BJ113">
            <v>1808.99</v>
          </cell>
          <cell r="BK113">
            <v>0</v>
          </cell>
          <cell r="BL113">
            <v>1808.99</v>
          </cell>
        </row>
        <row r="114">
          <cell r="B114" t="str">
            <v>NBL SOL-COATING</v>
          </cell>
          <cell r="C114">
            <v>60480</v>
          </cell>
          <cell r="D114">
            <v>20160</v>
          </cell>
          <cell r="E114">
            <v>49410</v>
          </cell>
          <cell r="F114">
            <v>9090</v>
          </cell>
          <cell r="G114">
            <v>11070</v>
          </cell>
          <cell r="H114">
            <v>11070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11070</v>
          </cell>
          <cell r="P114">
            <v>11070</v>
          </cell>
          <cell r="Q114">
            <v>4745</v>
          </cell>
          <cell r="R114">
            <v>4745</v>
          </cell>
          <cell r="S114">
            <v>6325</v>
          </cell>
          <cell r="T114">
            <v>6325</v>
          </cell>
          <cell r="U114">
            <v>255</v>
          </cell>
          <cell r="V114">
            <v>155</v>
          </cell>
          <cell r="W114">
            <v>0</v>
          </cell>
          <cell r="X114">
            <v>100</v>
          </cell>
          <cell r="Y114">
            <v>0</v>
          </cell>
          <cell r="Z114">
            <v>30</v>
          </cell>
          <cell r="AA114">
            <v>0</v>
          </cell>
          <cell r="AB114">
            <v>0</v>
          </cell>
          <cell r="AC114">
            <v>0</v>
          </cell>
          <cell r="AD114">
            <v>30</v>
          </cell>
          <cell r="AE114">
            <v>0</v>
          </cell>
          <cell r="AF114">
            <v>3790</v>
          </cell>
          <cell r="AG114">
            <v>1065</v>
          </cell>
          <cell r="AH114">
            <v>2400</v>
          </cell>
          <cell r="AI114">
            <v>0</v>
          </cell>
          <cell r="AJ114">
            <v>0</v>
          </cell>
          <cell r="AK114">
            <v>325</v>
          </cell>
          <cell r="AL114">
            <v>0</v>
          </cell>
          <cell r="AM114">
            <v>0</v>
          </cell>
          <cell r="AN114">
            <v>0</v>
          </cell>
          <cell r="AO114">
            <v>2250</v>
          </cell>
          <cell r="AP114">
            <v>0</v>
          </cell>
          <cell r="AQ114">
            <v>0</v>
          </cell>
          <cell r="AR114">
            <v>635</v>
          </cell>
          <cell r="AS114">
            <v>0</v>
          </cell>
          <cell r="AT114">
            <v>585</v>
          </cell>
          <cell r="AU114">
            <v>0</v>
          </cell>
          <cell r="AV114">
            <v>30</v>
          </cell>
          <cell r="AW114">
            <v>0</v>
          </cell>
          <cell r="AX114">
            <v>425</v>
          </cell>
          <cell r="AY114">
            <v>395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170</v>
          </cell>
          <cell r="BG114">
            <v>10</v>
          </cell>
          <cell r="BH114">
            <v>0</v>
          </cell>
          <cell r="BI114">
            <v>0</v>
          </cell>
          <cell r="BJ114">
            <v>2540.4299999999998</v>
          </cell>
          <cell r="BK114">
            <v>1.05</v>
          </cell>
          <cell r="BL114">
            <v>2539.38</v>
          </cell>
        </row>
        <row r="115">
          <cell r="B115" t="str">
            <v>COT101</v>
          </cell>
          <cell r="C115">
            <v>30240</v>
          </cell>
          <cell r="D115">
            <v>10080</v>
          </cell>
          <cell r="E115">
            <v>25560</v>
          </cell>
          <cell r="F115">
            <v>5400</v>
          </cell>
          <cell r="G115">
            <v>4680</v>
          </cell>
          <cell r="H115">
            <v>4680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4680</v>
          </cell>
          <cell r="P115">
            <v>4680</v>
          </cell>
          <cell r="Q115">
            <v>1825</v>
          </cell>
          <cell r="R115">
            <v>1825</v>
          </cell>
          <cell r="S115">
            <v>2855</v>
          </cell>
          <cell r="T115">
            <v>2855</v>
          </cell>
          <cell r="U115">
            <v>170</v>
          </cell>
          <cell r="V115">
            <v>100</v>
          </cell>
          <cell r="W115">
            <v>0</v>
          </cell>
          <cell r="X115">
            <v>70</v>
          </cell>
          <cell r="Y115">
            <v>0</v>
          </cell>
          <cell r="Z115">
            <v>30</v>
          </cell>
          <cell r="AA115">
            <v>0</v>
          </cell>
          <cell r="AB115">
            <v>0</v>
          </cell>
          <cell r="AC115">
            <v>0</v>
          </cell>
          <cell r="AD115">
            <v>30</v>
          </cell>
          <cell r="AE115">
            <v>0</v>
          </cell>
          <cell r="AF115">
            <v>1695</v>
          </cell>
          <cell r="AG115">
            <v>465</v>
          </cell>
          <cell r="AH115">
            <v>1095</v>
          </cell>
          <cell r="AI115">
            <v>0</v>
          </cell>
          <cell r="AJ115">
            <v>0</v>
          </cell>
          <cell r="AK115">
            <v>135</v>
          </cell>
          <cell r="AL115">
            <v>0</v>
          </cell>
          <cell r="AM115">
            <v>0</v>
          </cell>
          <cell r="AN115">
            <v>0</v>
          </cell>
          <cell r="AO115">
            <v>960</v>
          </cell>
          <cell r="AP115">
            <v>0</v>
          </cell>
          <cell r="AQ115">
            <v>0</v>
          </cell>
          <cell r="AR115">
            <v>240</v>
          </cell>
          <cell r="AS115">
            <v>0</v>
          </cell>
          <cell r="AT115">
            <v>290</v>
          </cell>
          <cell r="AU115">
            <v>0</v>
          </cell>
          <cell r="AV115">
            <v>30</v>
          </cell>
          <cell r="AW115">
            <v>0</v>
          </cell>
          <cell r="AX115">
            <v>165</v>
          </cell>
          <cell r="AY115">
            <v>185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50</v>
          </cell>
          <cell r="BG115">
            <v>0</v>
          </cell>
          <cell r="BH115">
            <v>0</v>
          </cell>
          <cell r="BI115">
            <v>0</v>
          </cell>
          <cell r="BJ115">
            <v>423.32</v>
          </cell>
          <cell r="BK115">
            <v>0.26</v>
          </cell>
          <cell r="BL115">
            <v>423.06</v>
          </cell>
        </row>
        <row r="116">
          <cell r="B116" t="str">
            <v>COT102</v>
          </cell>
          <cell r="C116">
            <v>30240</v>
          </cell>
          <cell r="D116">
            <v>10080</v>
          </cell>
          <cell r="E116">
            <v>23850</v>
          </cell>
          <cell r="F116">
            <v>3690</v>
          </cell>
          <cell r="G116">
            <v>6390</v>
          </cell>
          <cell r="H116">
            <v>6390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6390</v>
          </cell>
          <cell r="P116">
            <v>6390</v>
          </cell>
          <cell r="Q116">
            <v>2920</v>
          </cell>
          <cell r="R116">
            <v>2920</v>
          </cell>
          <cell r="S116">
            <v>3470</v>
          </cell>
          <cell r="T116">
            <v>3470</v>
          </cell>
          <cell r="U116">
            <v>85</v>
          </cell>
          <cell r="V116">
            <v>55</v>
          </cell>
          <cell r="W116">
            <v>0</v>
          </cell>
          <cell r="X116">
            <v>30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2095</v>
          </cell>
          <cell r="AG116">
            <v>600</v>
          </cell>
          <cell r="AH116">
            <v>1305</v>
          </cell>
          <cell r="AI116">
            <v>0</v>
          </cell>
          <cell r="AJ116">
            <v>0</v>
          </cell>
          <cell r="AK116">
            <v>190</v>
          </cell>
          <cell r="AL116">
            <v>0</v>
          </cell>
          <cell r="AM116">
            <v>0</v>
          </cell>
          <cell r="AN116">
            <v>0</v>
          </cell>
          <cell r="AO116">
            <v>1290</v>
          </cell>
          <cell r="AP116">
            <v>0</v>
          </cell>
          <cell r="AQ116">
            <v>0</v>
          </cell>
          <cell r="AR116">
            <v>395</v>
          </cell>
          <cell r="AS116">
            <v>0</v>
          </cell>
          <cell r="AT116">
            <v>295</v>
          </cell>
          <cell r="AU116">
            <v>0</v>
          </cell>
          <cell r="AV116">
            <v>0</v>
          </cell>
          <cell r="AW116">
            <v>0</v>
          </cell>
          <cell r="AX116">
            <v>260</v>
          </cell>
          <cell r="AY116">
            <v>210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120</v>
          </cell>
          <cell r="BG116">
            <v>10</v>
          </cell>
          <cell r="BH116">
            <v>0</v>
          </cell>
          <cell r="BI116">
            <v>0</v>
          </cell>
          <cell r="BJ116">
            <v>2117.11</v>
          </cell>
          <cell r="BK116">
            <v>0.79</v>
          </cell>
          <cell r="BL116">
            <v>2116.3200000000002</v>
          </cell>
        </row>
        <row r="117">
          <cell r="B117" t="str">
            <v>NBL SOL-TABLETING</v>
          </cell>
          <cell r="C117">
            <v>92160</v>
          </cell>
          <cell r="D117">
            <v>50070</v>
          </cell>
          <cell r="E117">
            <v>61830</v>
          </cell>
          <cell r="F117">
            <v>19740</v>
          </cell>
          <cell r="G117">
            <v>30330</v>
          </cell>
          <cell r="H117">
            <v>30330</v>
          </cell>
          <cell r="I117">
            <v>3585</v>
          </cell>
          <cell r="J117">
            <v>3585</v>
          </cell>
          <cell r="K117">
            <v>3585</v>
          </cell>
          <cell r="L117">
            <v>220</v>
          </cell>
          <cell r="M117">
            <v>3365</v>
          </cell>
          <cell r="N117">
            <v>0</v>
          </cell>
          <cell r="O117">
            <v>26745</v>
          </cell>
          <cell r="P117">
            <v>26745</v>
          </cell>
          <cell r="Q117">
            <v>8735</v>
          </cell>
          <cell r="R117">
            <v>8735</v>
          </cell>
          <cell r="S117">
            <v>18010</v>
          </cell>
          <cell r="T117">
            <v>18010</v>
          </cell>
          <cell r="U117">
            <v>3305</v>
          </cell>
          <cell r="V117">
            <v>2115</v>
          </cell>
          <cell r="W117">
            <v>0</v>
          </cell>
          <cell r="X117">
            <v>160</v>
          </cell>
          <cell r="Y117">
            <v>1030</v>
          </cell>
          <cell r="Z117">
            <v>225</v>
          </cell>
          <cell r="AA117">
            <v>90</v>
          </cell>
          <cell r="AB117">
            <v>135</v>
          </cell>
          <cell r="AC117">
            <v>0</v>
          </cell>
          <cell r="AD117">
            <v>0</v>
          </cell>
          <cell r="AE117">
            <v>0</v>
          </cell>
          <cell r="AF117">
            <v>4035</v>
          </cell>
          <cell r="AG117">
            <v>560</v>
          </cell>
          <cell r="AH117">
            <v>2430</v>
          </cell>
          <cell r="AI117">
            <v>45</v>
          </cell>
          <cell r="AJ117">
            <v>0</v>
          </cell>
          <cell r="AK117">
            <v>1000</v>
          </cell>
          <cell r="AL117">
            <v>705</v>
          </cell>
          <cell r="AM117">
            <v>405</v>
          </cell>
          <cell r="AN117">
            <v>300</v>
          </cell>
          <cell r="AO117">
            <v>9740</v>
          </cell>
          <cell r="AP117">
            <v>0</v>
          </cell>
          <cell r="AQ117">
            <v>0</v>
          </cell>
          <cell r="AR117">
            <v>1640</v>
          </cell>
          <cell r="AS117">
            <v>0</v>
          </cell>
          <cell r="AT117">
            <v>1465</v>
          </cell>
          <cell r="AU117">
            <v>0</v>
          </cell>
          <cell r="AV117">
            <v>80</v>
          </cell>
          <cell r="AW117">
            <v>0</v>
          </cell>
          <cell r="AX117">
            <v>2285</v>
          </cell>
          <cell r="AY117">
            <v>560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2505</v>
          </cell>
          <cell r="BG117">
            <v>1205</v>
          </cell>
          <cell r="BH117">
            <v>0</v>
          </cell>
          <cell r="BI117">
            <v>0</v>
          </cell>
          <cell r="BJ117">
            <v>6197892</v>
          </cell>
          <cell r="BK117">
            <v>47661</v>
          </cell>
          <cell r="BL117">
            <v>6150231</v>
          </cell>
        </row>
        <row r="118">
          <cell r="B118" t="str">
            <v>TAB101</v>
          </cell>
          <cell r="C118">
            <v>31680</v>
          </cell>
          <cell r="D118">
            <v>20460</v>
          </cell>
          <cell r="E118">
            <v>22740</v>
          </cell>
          <cell r="F118">
            <v>11520</v>
          </cell>
          <cell r="G118">
            <v>8940</v>
          </cell>
          <cell r="H118">
            <v>8940</v>
          </cell>
          <cell r="I118">
            <v>780</v>
          </cell>
          <cell r="J118">
            <v>780</v>
          </cell>
          <cell r="K118">
            <v>780</v>
          </cell>
          <cell r="L118">
            <v>60</v>
          </cell>
          <cell r="M118">
            <v>720</v>
          </cell>
          <cell r="N118">
            <v>0</v>
          </cell>
          <cell r="O118">
            <v>8160</v>
          </cell>
          <cell r="P118">
            <v>8160</v>
          </cell>
          <cell r="Q118">
            <v>2550</v>
          </cell>
          <cell r="R118">
            <v>2550</v>
          </cell>
          <cell r="S118">
            <v>5610</v>
          </cell>
          <cell r="T118">
            <v>5610</v>
          </cell>
          <cell r="U118">
            <v>710</v>
          </cell>
          <cell r="V118">
            <v>465</v>
          </cell>
          <cell r="W118">
            <v>0</v>
          </cell>
          <cell r="X118">
            <v>25</v>
          </cell>
          <cell r="Y118">
            <v>220</v>
          </cell>
          <cell r="Z118">
            <v>225</v>
          </cell>
          <cell r="AA118">
            <v>90</v>
          </cell>
          <cell r="AB118">
            <v>135</v>
          </cell>
          <cell r="AC118">
            <v>0</v>
          </cell>
          <cell r="AD118">
            <v>0</v>
          </cell>
          <cell r="AE118">
            <v>0</v>
          </cell>
          <cell r="AF118">
            <v>1270</v>
          </cell>
          <cell r="AG118">
            <v>125</v>
          </cell>
          <cell r="AH118">
            <v>710</v>
          </cell>
          <cell r="AI118">
            <v>10</v>
          </cell>
          <cell r="AJ118">
            <v>0</v>
          </cell>
          <cell r="AK118">
            <v>425</v>
          </cell>
          <cell r="AL118">
            <v>170</v>
          </cell>
          <cell r="AM118">
            <v>170</v>
          </cell>
          <cell r="AN118">
            <v>0</v>
          </cell>
          <cell r="AO118">
            <v>3235</v>
          </cell>
          <cell r="AP118">
            <v>0</v>
          </cell>
          <cell r="AQ118">
            <v>0</v>
          </cell>
          <cell r="AR118">
            <v>470</v>
          </cell>
          <cell r="AS118">
            <v>0</v>
          </cell>
          <cell r="AT118">
            <v>430</v>
          </cell>
          <cell r="AU118">
            <v>0</v>
          </cell>
          <cell r="AV118">
            <v>80</v>
          </cell>
          <cell r="AW118">
            <v>0</v>
          </cell>
          <cell r="AX118">
            <v>1405</v>
          </cell>
          <cell r="AY118">
            <v>310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540</v>
          </cell>
          <cell r="BG118">
            <v>0</v>
          </cell>
          <cell r="BH118">
            <v>0</v>
          </cell>
          <cell r="BI118">
            <v>0</v>
          </cell>
          <cell r="BJ118">
            <v>2619210</v>
          </cell>
          <cell r="BK118">
            <v>2661</v>
          </cell>
          <cell r="BL118">
            <v>2616549</v>
          </cell>
        </row>
        <row r="119">
          <cell r="B119" t="str">
            <v>TAB105</v>
          </cell>
          <cell r="C119">
            <v>30240</v>
          </cell>
          <cell r="D119">
            <v>19530</v>
          </cell>
          <cell r="E119">
            <v>17250</v>
          </cell>
          <cell r="F119">
            <v>6540</v>
          </cell>
          <cell r="G119">
            <v>12990</v>
          </cell>
          <cell r="H119">
            <v>12990</v>
          </cell>
          <cell r="I119">
            <v>1990</v>
          </cell>
          <cell r="J119">
            <v>1990</v>
          </cell>
          <cell r="K119">
            <v>1990</v>
          </cell>
          <cell r="L119">
            <v>140</v>
          </cell>
          <cell r="M119">
            <v>1850</v>
          </cell>
          <cell r="N119">
            <v>0</v>
          </cell>
          <cell r="O119">
            <v>11000</v>
          </cell>
          <cell r="P119">
            <v>11000</v>
          </cell>
          <cell r="Q119">
            <v>4335</v>
          </cell>
          <cell r="R119">
            <v>4335</v>
          </cell>
          <cell r="S119">
            <v>6665</v>
          </cell>
          <cell r="T119">
            <v>6665</v>
          </cell>
          <cell r="U119">
            <v>1695</v>
          </cell>
          <cell r="V119">
            <v>1105</v>
          </cell>
          <cell r="W119">
            <v>0</v>
          </cell>
          <cell r="X119">
            <v>75</v>
          </cell>
          <cell r="Y119">
            <v>515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1385</v>
          </cell>
          <cell r="AG119">
            <v>190</v>
          </cell>
          <cell r="AH119">
            <v>835</v>
          </cell>
          <cell r="AI119">
            <v>35</v>
          </cell>
          <cell r="AJ119">
            <v>0</v>
          </cell>
          <cell r="AK119">
            <v>325</v>
          </cell>
          <cell r="AL119">
            <v>535</v>
          </cell>
          <cell r="AM119">
            <v>235</v>
          </cell>
          <cell r="AN119">
            <v>300</v>
          </cell>
          <cell r="AO119">
            <v>3050</v>
          </cell>
          <cell r="AP119">
            <v>0</v>
          </cell>
          <cell r="AQ119">
            <v>0</v>
          </cell>
          <cell r="AR119">
            <v>720</v>
          </cell>
          <cell r="AS119">
            <v>0</v>
          </cell>
          <cell r="AT119">
            <v>675</v>
          </cell>
          <cell r="AU119">
            <v>0</v>
          </cell>
          <cell r="AV119">
            <v>0</v>
          </cell>
          <cell r="AW119">
            <v>0</v>
          </cell>
          <cell r="AX119">
            <v>680</v>
          </cell>
          <cell r="AY119">
            <v>145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725</v>
          </cell>
          <cell r="BG119">
            <v>105</v>
          </cell>
          <cell r="BH119">
            <v>0</v>
          </cell>
          <cell r="BI119">
            <v>0</v>
          </cell>
          <cell r="BJ119">
            <v>1944395</v>
          </cell>
          <cell r="BK119">
            <v>2652</v>
          </cell>
          <cell r="BL119">
            <v>1941743</v>
          </cell>
        </row>
        <row r="120">
          <cell r="B120" t="str">
            <v>TAB103</v>
          </cell>
          <cell r="C120">
            <v>30240</v>
          </cell>
          <cell r="D120">
            <v>10080</v>
          </cell>
          <cell r="E120">
            <v>21840</v>
          </cell>
          <cell r="F120">
            <v>1680</v>
          </cell>
          <cell r="G120">
            <v>8400</v>
          </cell>
          <cell r="H120">
            <v>8400</v>
          </cell>
          <cell r="I120">
            <v>815</v>
          </cell>
          <cell r="J120">
            <v>815</v>
          </cell>
          <cell r="K120">
            <v>815</v>
          </cell>
          <cell r="L120">
            <v>20</v>
          </cell>
          <cell r="M120">
            <v>795</v>
          </cell>
          <cell r="N120">
            <v>0</v>
          </cell>
          <cell r="O120">
            <v>7585</v>
          </cell>
          <cell r="P120">
            <v>7585</v>
          </cell>
          <cell r="Q120">
            <v>1850</v>
          </cell>
          <cell r="R120">
            <v>1850</v>
          </cell>
          <cell r="S120">
            <v>5735</v>
          </cell>
          <cell r="T120">
            <v>5735</v>
          </cell>
          <cell r="U120">
            <v>900</v>
          </cell>
          <cell r="V120">
            <v>545</v>
          </cell>
          <cell r="W120">
            <v>0</v>
          </cell>
          <cell r="X120">
            <v>60</v>
          </cell>
          <cell r="Y120">
            <v>295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1380</v>
          </cell>
          <cell r="AG120">
            <v>245</v>
          </cell>
          <cell r="AH120">
            <v>885</v>
          </cell>
          <cell r="AI120">
            <v>0</v>
          </cell>
          <cell r="AJ120">
            <v>0</v>
          </cell>
          <cell r="AK120">
            <v>250</v>
          </cell>
          <cell r="AL120">
            <v>0</v>
          </cell>
          <cell r="AM120">
            <v>0</v>
          </cell>
          <cell r="AN120">
            <v>0</v>
          </cell>
          <cell r="AO120">
            <v>3455</v>
          </cell>
          <cell r="AP120">
            <v>0</v>
          </cell>
          <cell r="AQ120">
            <v>0</v>
          </cell>
          <cell r="AR120">
            <v>450</v>
          </cell>
          <cell r="AS120">
            <v>0</v>
          </cell>
          <cell r="AT120">
            <v>360</v>
          </cell>
          <cell r="AU120">
            <v>0</v>
          </cell>
          <cell r="AV120">
            <v>0</v>
          </cell>
          <cell r="AW120">
            <v>0</v>
          </cell>
          <cell r="AX120">
            <v>200</v>
          </cell>
          <cell r="AY120">
            <v>105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1240</v>
          </cell>
          <cell r="BG120">
            <v>1100</v>
          </cell>
          <cell r="BH120">
            <v>0</v>
          </cell>
          <cell r="BI120">
            <v>0</v>
          </cell>
          <cell r="BJ120">
            <v>1634287</v>
          </cell>
          <cell r="BK120">
            <v>42348</v>
          </cell>
          <cell r="BL120">
            <v>1591939</v>
          </cell>
        </row>
        <row r="121">
          <cell r="B121" t="str">
            <v>NBL SOL-CAPSULE</v>
          </cell>
          <cell r="C121">
            <v>60480</v>
          </cell>
          <cell r="D121">
            <v>20160</v>
          </cell>
          <cell r="E121">
            <v>53850</v>
          </cell>
          <cell r="F121">
            <v>13530</v>
          </cell>
          <cell r="G121">
            <v>6630</v>
          </cell>
          <cell r="H121">
            <v>6630</v>
          </cell>
          <cell r="I121">
            <v>665</v>
          </cell>
          <cell r="J121">
            <v>665</v>
          </cell>
          <cell r="K121">
            <v>665</v>
          </cell>
          <cell r="L121">
            <v>100</v>
          </cell>
          <cell r="M121">
            <v>565</v>
          </cell>
          <cell r="N121">
            <v>0</v>
          </cell>
          <cell r="O121">
            <v>5965</v>
          </cell>
          <cell r="P121">
            <v>5965</v>
          </cell>
          <cell r="Q121">
            <v>2215</v>
          </cell>
          <cell r="R121">
            <v>2215</v>
          </cell>
          <cell r="S121">
            <v>3750</v>
          </cell>
          <cell r="T121">
            <v>3750</v>
          </cell>
          <cell r="U121">
            <v>535</v>
          </cell>
          <cell r="V121">
            <v>510</v>
          </cell>
          <cell r="W121">
            <v>10</v>
          </cell>
          <cell r="X121">
            <v>15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1935</v>
          </cell>
          <cell r="AG121">
            <v>885</v>
          </cell>
          <cell r="AH121">
            <v>880</v>
          </cell>
          <cell r="AI121">
            <v>65</v>
          </cell>
          <cell r="AJ121">
            <v>0</v>
          </cell>
          <cell r="AK121">
            <v>105</v>
          </cell>
          <cell r="AL121">
            <v>0</v>
          </cell>
          <cell r="AM121">
            <v>0</v>
          </cell>
          <cell r="AN121">
            <v>0</v>
          </cell>
          <cell r="AO121">
            <v>1280</v>
          </cell>
          <cell r="AP121">
            <v>0</v>
          </cell>
          <cell r="AQ121">
            <v>0</v>
          </cell>
          <cell r="AR121">
            <v>340</v>
          </cell>
          <cell r="AS121">
            <v>0</v>
          </cell>
          <cell r="AT121">
            <v>230</v>
          </cell>
          <cell r="AU121">
            <v>390</v>
          </cell>
          <cell r="AV121">
            <v>75</v>
          </cell>
          <cell r="AW121">
            <v>0</v>
          </cell>
          <cell r="AX121">
            <v>0</v>
          </cell>
          <cell r="AY121">
            <v>85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160</v>
          </cell>
          <cell r="BG121">
            <v>0</v>
          </cell>
          <cell r="BH121">
            <v>0</v>
          </cell>
          <cell r="BI121">
            <v>0</v>
          </cell>
          <cell r="BJ121">
            <v>1369858</v>
          </cell>
          <cell r="BK121">
            <v>0</v>
          </cell>
          <cell r="BL121">
            <v>1369858</v>
          </cell>
        </row>
        <row r="122">
          <cell r="B122" t="str">
            <v>KAP101</v>
          </cell>
          <cell r="C122">
            <v>30240</v>
          </cell>
          <cell r="D122">
            <v>10080</v>
          </cell>
          <cell r="E122">
            <v>25140</v>
          </cell>
          <cell r="F122">
            <v>4980</v>
          </cell>
          <cell r="G122">
            <v>5100</v>
          </cell>
          <cell r="H122">
            <v>5100</v>
          </cell>
          <cell r="I122">
            <v>100</v>
          </cell>
          <cell r="J122">
            <v>100</v>
          </cell>
          <cell r="K122">
            <v>100</v>
          </cell>
          <cell r="L122">
            <v>100</v>
          </cell>
          <cell r="M122">
            <v>0</v>
          </cell>
          <cell r="N122">
            <v>0</v>
          </cell>
          <cell r="O122">
            <v>5000</v>
          </cell>
          <cell r="P122">
            <v>5000</v>
          </cell>
          <cell r="Q122">
            <v>1605</v>
          </cell>
          <cell r="R122">
            <v>1605</v>
          </cell>
          <cell r="S122">
            <v>3395</v>
          </cell>
          <cell r="T122">
            <v>3395</v>
          </cell>
          <cell r="U122">
            <v>445</v>
          </cell>
          <cell r="V122">
            <v>420</v>
          </cell>
          <cell r="W122">
            <v>10</v>
          </cell>
          <cell r="X122">
            <v>15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1780</v>
          </cell>
          <cell r="AG122">
            <v>845</v>
          </cell>
          <cell r="AH122">
            <v>790</v>
          </cell>
          <cell r="AI122">
            <v>65</v>
          </cell>
          <cell r="AJ122">
            <v>0</v>
          </cell>
          <cell r="AK122">
            <v>80</v>
          </cell>
          <cell r="AL122">
            <v>0</v>
          </cell>
          <cell r="AM122">
            <v>0</v>
          </cell>
          <cell r="AN122">
            <v>0</v>
          </cell>
          <cell r="AO122">
            <v>1170</v>
          </cell>
          <cell r="AP122">
            <v>0</v>
          </cell>
          <cell r="AQ122">
            <v>0</v>
          </cell>
          <cell r="AR122">
            <v>270</v>
          </cell>
          <cell r="AS122">
            <v>0</v>
          </cell>
          <cell r="AT122">
            <v>195</v>
          </cell>
          <cell r="AU122">
            <v>390</v>
          </cell>
          <cell r="AV122">
            <v>75</v>
          </cell>
          <cell r="AW122">
            <v>0</v>
          </cell>
          <cell r="AX122">
            <v>0</v>
          </cell>
          <cell r="AY122">
            <v>80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160</v>
          </cell>
          <cell r="BG122">
            <v>0</v>
          </cell>
          <cell r="BH122">
            <v>0</v>
          </cell>
          <cell r="BI122">
            <v>0</v>
          </cell>
          <cell r="BJ122">
            <v>488973</v>
          </cell>
          <cell r="BK122">
            <v>0</v>
          </cell>
          <cell r="BL122">
            <v>488973</v>
          </cell>
        </row>
        <row r="123">
          <cell r="B123" t="str">
            <v>KAP103</v>
          </cell>
          <cell r="C123">
            <v>30240</v>
          </cell>
          <cell r="D123">
            <v>10080</v>
          </cell>
          <cell r="E123">
            <v>28710</v>
          </cell>
          <cell r="F123">
            <v>8550</v>
          </cell>
          <cell r="G123">
            <v>1530</v>
          </cell>
          <cell r="H123">
            <v>1530</v>
          </cell>
          <cell r="I123">
            <v>565</v>
          </cell>
          <cell r="J123">
            <v>565</v>
          </cell>
          <cell r="K123">
            <v>565</v>
          </cell>
          <cell r="L123">
            <v>0</v>
          </cell>
          <cell r="M123">
            <v>565</v>
          </cell>
          <cell r="N123">
            <v>0</v>
          </cell>
          <cell r="O123">
            <v>965</v>
          </cell>
          <cell r="P123">
            <v>965</v>
          </cell>
          <cell r="Q123">
            <v>610</v>
          </cell>
          <cell r="R123">
            <v>610</v>
          </cell>
          <cell r="S123">
            <v>355</v>
          </cell>
          <cell r="T123">
            <v>355</v>
          </cell>
          <cell r="U123">
            <v>90</v>
          </cell>
          <cell r="V123">
            <v>90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155</v>
          </cell>
          <cell r="AG123">
            <v>40</v>
          </cell>
          <cell r="AH123">
            <v>90</v>
          </cell>
          <cell r="AI123">
            <v>0</v>
          </cell>
          <cell r="AJ123">
            <v>0</v>
          </cell>
          <cell r="AK123">
            <v>25</v>
          </cell>
          <cell r="AL123">
            <v>0</v>
          </cell>
          <cell r="AM123">
            <v>0</v>
          </cell>
          <cell r="AN123">
            <v>0</v>
          </cell>
          <cell r="AO123">
            <v>110</v>
          </cell>
          <cell r="AP123">
            <v>0</v>
          </cell>
          <cell r="AQ123">
            <v>0</v>
          </cell>
          <cell r="AR123">
            <v>70</v>
          </cell>
          <cell r="AS123">
            <v>0</v>
          </cell>
          <cell r="AT123">
            <v>35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5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880885</v>
          </cell>
          <cell r="BK123">
            <v>0</v>
          </cell>
          <cell r="BL123">
            <v>880885</v>
          </cell>
        </row>
        <row r="124">
          <cell r="B124" t="str">
            <v>NBL SOL-STRIPPING</v>
          </cell>
          <cell r="C124">
            <v>151200</v>
          </cell>
          <cell r="D124">
            <v>69300</v>
          </cell>
          <cell r="E124">
            <v>96600</v>
          </cell>
          <cell r="F124">
            <v>14700</v>
          </cell>
          <cell r="G124">
            <v>54600</v>
          </cell>
          <cell r="H124">
            <v>54600</v>
          </cell>
          <cell r="I124">
            <v>1820</v>
          </cell>
          <cell r="J124">
            <v>1820</v>
          </cell>
          <cell r="K124">
            <v>1820</v>
          </cell>
          <cell r="L124">
            <v>0</v>
          </cell>
          <cell r="M124">
            <v>1820</v>
          </cell>
          <cell r="N124">
            <v>0</v>
          </cell>
          <cell r="O124">
            <v>52780</v>
          </cell>
          <cell r="P124">
            <v>52780</v>
          </cell>
          <cell r="Q124">
            <v>20270</v>
          </cell>
          <cell r="R124">
            <v>20270</v>
          </cell>
          <cell r="S124">
            <v>32510</v>
          </cell>
          <cell r="T124">
            <v>32510</v>
          </cell>
          <cell r="U124">
            <v>7915</v>
          </cell>
          <cell r="V124">
            <v>4090</v>
          </cell>
          <cell r="W124">
            <v>0</v>
          </cell>
          <cell r="X124">
            <v>3825</v>
          </cell>
          <cell r="Y124">
            <v>0</v>
          </cell>
          <cell r="Z124">
            <v>50</v>
          </cell>
          <cell r="AA124">
            <v>50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10400</v>
          </cell>
          <cell r="AG124">
            <v>5910</v>
          </cell>
          <cell r="AH124">
            <v>1800</v>
          </cell>
          <cell r="AI124">
            <v>1990</v>
          </cell>
          <cell r="AJ124">
            <v>0</v>
          </cell>
          <cell r="AK124">
            <v>700</v>
          </cell>
          <cell r="AL124">
            <v>3515</v>
          </cell>
          <cell r="AM124">
            <v>0</v>
          </cell>
          <cell r="AN124">
            <v>3515</v>
          </cell>
          <cell r="AO124">
            <v>10630</v>
          </cell>
          <cell r="AP124">
            <v>100</v>
          </cell>
          <cell r="AQ124">
            <v>635</v>
          </cell>
          <cell r="AR124">
            <v>3120</v>
          </cell>
          <cell r="AS124">
            <v>0</v>
          </cell>
          <cell r="AT124">
            <v>2810</v>
          </cell>
          <cell r="AU124">
            <v>550</v>
          </cell>
          <cell r="AV124">
            <v>30</v>
          </cell>
          <cell r="AW124">
            <v>0</v>
          </cell>
          <cell r="AX124">
            <v>0</v>
          </cell>
          <cell r="AY124">
            <v>1595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1790</v>
          </cell>
          <cell r="BG124">
            <v>0</v>
          </cell>
          <cell r="BH124">
            <v>0</v>
          </cell>
          <cell r="BI124">
            <v>0</v>
          </cell>
          <cell r="BJ124">
            <v>11997378</v>
          </cell>
          <cell r="BK124">
            <v>43838</v>
          </cell>
          <cell r="BL124">
            <v>11953540</v>
          </cell>
        </row>
        <row r="125">
          <cell r="B125" t="str">
            <v>STR105</v>
          </cell>
          <cell r="C125">
            <v>30240</v>
          </cell>
          <cell r="D125">
            <v>10080</v>
          </cell>
          <cell r="E125">
            <v>21420</v>
          </cell>
          <cell r="F125">
            <v>1260</v>
          </cell>
          <cell r="G125">
            <v>8820</v>
          </cell>
          <cell r="H125">
            <v>8820</v>
          </cell>
          <cell r="I125">
            <v>750</v>
          </cell>
          <cell r="J125">
            <v>750</v>
          </cell>
          <cell r="K125">
            <v>750</v>
          </cell>
          <cell r="L125">
            <v>0</v>
          </cell>
          <cell r="M125">
            <v>750</v>
          </cell>
          <cell r="N125">
            <v>0</v>
          </cell>
          <cell r="O125">
            <v>8070</v>
          </cell>
          <cell r="P125">
            <v>8070</v>
          </cell>
          <cell r="Q125">
            <v>3295</v>
          </cell>
          <cell r="R125">
            <v>3295</v>
          </cell>
          <cell r="S125">
            <v>4775</v>
          </cell>
          <cell r="T125">
            <v>4775</v>
          </cell>
          <cell r="U125">
            <v>1280</v>
          </cell>
          <cell r="V125">
            <v>565</v>
          </cell>
          <cell r="W125">
            <v>0</v>
          </cell>
          <cell r="X125">
            <v>715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1315</v>
          </cell>
          <cell r="AG125">
            <v>730</v>
          </cell>
          <cell r="AH125">
            <v>215</v>
          </cell>
          <cell r="AI125">
            <v>290</v>
          </cell>
          <cell r="AJ125">
            <v>0</v>
          </cell>
          <cell r="AK125">
            <v>80</v>
          </cell>
          <cell r="AL125">
            <v>0</v>
          </cell>
          <cell r="AM125">
            <v>0</v>
          </cell>
          <cell r="AN125">
            <v>0</v>
          </cell>
          <cell r="AO125">
            <v>2180</v>
          </cell>
          <cell r="AP125">
            <v>100</v>
          </cell>
          <cell r="AQ125">
            <v>335</v>
          </cell>
          <cell r="AR125">
            <v>480</v>
          </cell>
          <cell r="AS125">
            <v>0</v>
          </cell>
          <cell r="AT125">
            <v>405</v>
          </cell>
          <cell r="AU125">
            <v>270</v>
          </cell>
          <cell r="AV125">
            <v>0</v>
          </cell>
          <cell r="AW125">
            <v>0</v>
          </cell>
          <cell r="AX125">
            <v>0</v>
          </cell>
          <cell r="AY125">
            <v>300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290</v>
          </cell>
          <cell r="BG125">
            <v>0</v>
          </cell>
          <cell r="BH125">
            <v>0</v>
          </cell>
          <cell r="BI125">
            <v>0</v>
          </cell>
          <cell r="BJ125">
            <v>1142745</v>
          </cell>
          <cell r="BK125">
            <v>5764</v>
          </cell>
          <cell r="BL125">
            <v>1136981</v>
          </cell>
        </row>
        <row r="126">
          <cell r="B126" t="str">
            <v>STR102</v>
          </cell>
          <cell r="C126">
            <v>30240</v>
          </cell>
          <cell r="D126">
            <v>19530</v>
          </cell>
          <cell r="E126">
            <v>14070</v>
          </cell>
          <cell r="F126">
            <v>3360</v>
          </cell>
          <cell r="G126">
            <v>16170</v>
          </cell>
          <cell r="H126">
            <v>16170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16170</v>
          </cell>
          <cell r="P126">
            <v>16170</v>
          </cell>
          <cell r="Q126">
            <v>4970</v>
          </cell>
          <cell r="R126">
            <v>4970</v>
          </cell>
          <cell r="S126">
            <v>11200</v>
          </cell>
          <cell r="T126">
            <v>11200</v>
          </cell>
          <cell r="U126">
            <v>2605</v>
          </cell>
          <cell r="V126">
            <v>1570</v>
          </cell>
          <cell r="W126">
            <v>0</v>
          </cell>
          <cell r="X126">
            <v>1035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3090</v>
          </cell>
          <cell r="AG126">
            <v>1330</v>
          </cell>
          <cell r="AH126">
            <v>925</v>
          </cell>
          <cell r="AI126">
            <v>625</v>
          </cell>
          <cell r="AJ126">
            <v>0</v>
          </cell>
          <cell r="AK126">
            <v>210</v>
          </cell>
          <cell r="AL126">
            <v>2535</v>
          </cell>
          <cell r="AM126">
            <v>0</v>
          </cell>
          <cell r="AN126">
            <v>2535</v>
          </cell>
          <cell r="AO126">
            <v>2970</v>
          </cell>
          <cell r="AP126">
            <v>0</v>
          </cell>
          <cell r="AQ126">
            <v>0</v>
          </cell>
          <cell r="AR126">
            <v>900</v>
          </cell>
          <cell r="AS126">
            <v>0</v>
          </cell>
          <cell r="AT126">
            <v>760</v>
          </cell>
          <cell r="AU126">
            <v>210</v>
          </cell>
          <cell r="AV126">
            <v>0</v>
          </cell>
          <cell r="AW126">
            <v>0</v>
          </cell>
          <cell r="AX126">
            <v>0</v>
          </cell>
          <cell r="AY126">
            <v>505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595</v>
          </cell>
          <cell r="BG126">
            <v>0</v>
          </cell>
          <cell r="BH126">
            <v>0</v>
          </cell>
          <cell r="BI126">
            <v>0</v>
          </cell>
          <cell r="BJ126">
            <v>5885726</v>
          </cell>
          <cell r="BK126">
            <v>17426</v>
          </cell>
          <cell r="BL126">
            <v>5868300</v>
          </cell>
        </row>
        <row r="127">
          <cell r="B127" t="str">
            <v>STR104</v>
          </cell>
          <cell r="C127">
            <v>30240</v>
          </cell>
          <cell r="D127">
            <v>10080</v>
          </cell>
          <cell r="E127">
            <v>24120</v>
          </cell>
          <cell r="F127">
            <v>3960</v>
          </cell>
          <cell r="G127">
            <v>6120</v>
          </cell>
          <cell r="H127">
            <v>6120</v>
          </cell>
          <cell r="I127">
            <v>440</v>
          </cell>
          <cell r="J127">
            <v>440</v>
          </cell>
          <cell r="K127">
            <v>440</v>
          </cell>
          <cell r="L127">
            <v>0</v>
          </cell>
          <cell r="M127">
            <v>440</v>
          </cell>
          <cell r="N127">
            <v>0</v>
          </cell>
          <cell r="O127">
            <v>5680</v>
          </cell>
          <cell r="P127">
            <v>5680</v>
          </cell>
          <cell r="Q127">
            <v>2770</v>
          </cell>
          <cell r="R127">
            <v>2770</v>
          </cell>
          <cell r="S127">
            <v>2910</v>
          </cell>
          <cell r="T127">
            <v>2910</v>
          </cell>
          <cell r="U127">
            <v>30</v>
          </cell>
          <cell r="V127">
            <v>30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1845</v>
          </cell>
          <cell r="AG127">
            <v>1325</v>
          </cell>
          <cell r="AH127">
            <v>70</v>
          </cell>
          <cell r="AI127">
            <v>300</v>
          </cell>
          <cell r="AJ127">
            <v>0</v>
          </cell>
          <cell r="AK127">
            <v>150</v>
          </cell>
          <cell r="AL127">
            <v>0</v>
          </cell>
          <cell r="AM127">
            <v>0</v>
          </cell>
          <cell r="AN127">
            <v>0</v>
          </cell>
          <cell r="AO127">
            <v>1035</v>
          </cell>
          <cell r="AP127">
            <v>0</v>
          </cell>
          <cell r="AQ127">
            <v>300</v>
          </cell>
          <cell r="AR127">
            <v>330</v>
          </cell>
          <cell r="AS127">
            <v>0</v>
          </cell>
          <cell r="AT127">
            <v>240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120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45</v>
          </cell>
          <cell r="BG127">
            <v>0</v>
          </cell>
          <cell r="BH127">
            <v>0</v>
          </cell>
          <cell r="BI127">
            <v>0</v>
          </cell>
          <cell r="BJ127">
            <v>17864</v>
          </cell>
          <cell r="BK127">
            <v>41</v>
          </cell>
          <cell r="BL127">
            <v>17823</v>
          </cell>
        </row>
        <row r="128">
          <cell r="B128" t="str">
            <v>STR103</v>
          </cell>
          <cell r="C128">
            <v>30240</v>
          </cell>
          <cell r="D128">
            <v>10080</v>
          </cell>
          <cell r="E128">
            <v>22320</v>
          </cell>
          <cell r="F128">
            <v>2160</v>
          </cell>
          <cell r="G128">
            <v>7920</v>
          </cell>
          <cell r="H128">
            <v>7920</v>
          </cell>
          <cell r="I128">
            <v>630</v>
          </cell>
          <cell r="J128">
            <v>630</v>
          </cell>
          <cell r="K128">
            <v>630</v>
          </cell>
          <cell r="L128">
            <v>0</v>
          </cell>
          <cell r="M128">
            <v>630</v>
          </cell>
          <cell r="N128">
            <v>0</v>
          </cell>
          <cell r="O128">
            <v>7290</v>
          </cell>
          <cell r="P128">
            <v>7290</v>
          </cell>
          <cell r="Q128">
            <v>2885</v>
          </cell>
          <cell r="R128">
            <v>2885</v>
          </cell>
          <cell r="S128">
            <v>4405</v>
          </cell>
          <cell r="T128">
            <v>4405</v>
          </cell>
          <cell r="U128">
            <v>1695</v>
          </cell>
          <cell r="V128">
            <v>980</v>
          </cell>
          <cell r="W128">
            <v>0</v>
          </cell>
          <cell r="X128">
            <v>715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1325</v>
          </cell>
          <cell r="AG128">
            <v>785</v>
          </cell>
          <cell r="AH128">
            <v>170</v>
          </cell>
          <cell r="AI128">
            <v>275</v>
          </cell>
          <cell r="AJ128">
            <v>0</v>
          </cell>
          <cell r="AK128">
            <v>95</v>
          </cell>
          <cell r="AL128">
            <v>0</v>
          </cell>
          <cell r="AM128">
            <v>0</v>
          </cell>
          <cell r="AN128">
            <v>0</v>
          </cell>
          <cell r="AO128">
            <v>1385</v>
          </cell>
          <cell r="AP128">
            <v>0</v>
          </cell>
          <cell r="AQ128">
            <v>0</v>
          </cell>
          <cell r="AR128">
            <v>480</v>
          </cell>
          <cell r="AS128">
            <v>0</v>
          </cell>
          <cell r="AT128">
            <v>410</v>
          </cell>
          <cell r="AU128">
            <v>70</v>
          </cell>
          <cell r="AV128">
            <v>30</v>
          </cell>
          <cell r="AW128">
            <v>0</v>
          </cell>
          <cell r="AX128">
            <v>0</v>
          </cell>
          <cell r="AY128">
            <v>170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225</v>
          </cell>
          <cell r="BG128">
            <v>0</v>
          </cell>
          <cell r="BH128">
            <v>0</v>
          </cell>
          <cell r="BI128">
            <v>0</v>
          </cell>
          <cell r="BJ128">
            <v>1569075</v>
          </cell>
          <cell r="BK128">
            <v>6699</v>
          </cell>
          <cell r="BL128">
            <v>1562376</v>
          </cell>
        </row>
        <row r="129">
          <cell r="B129" t="str">
            <v>STR101</v>
          </cell>
          <cell r="C129">
            <v>30240</v>
          </cell>
          <cell r="D129">
            <v>19530</v>
          </cell>
          <cell r="E129">
            <v>14670</v>
          </cell>
          <cell r="F129">
            <v>3960</v>
          </cell>
          <cell r="G129">
            <v>15570</v>
          </cell>
          <cell r="H129">
            <v>15570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15570</v>
          </cell>
          <cell r="P129">
            <v>15570</v>
          </cell>
          <cell r="Q129">
            <v>6350</v>
          </cell>
          <cell r="R129">
            <v>6350</v>
          </cell>
          <cell r="S129">
            <v>9220</v>
          </cell>
          <cell r="T129">
            <v>9220</v>
          </cell>
          <cell r="U129">
            <v>2305</v>
          </cell>
          <cell r="V129">
            <v>945</v>
          </cell>
          <cell r="W129">
            <v>0</v>
          </cell>
          <cell r="X129">
            <v>1360</v>
          </cell>
          <cell r="Y129">
            <v>0</v>
          </cell>
          <cell r="Z129">
            <v>50</v>
          </cell>
          <cell r="AA129">
            <v>50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2825</v>
          </cell>
          <cell r="AG129">
            <v>1740</v>
          </cell>
          <cell r="AH129">
            <v>420</v>
          </cell>
          <cell r="AI129">
            <v>500</v>
          </cell>
          <cell r="AJ129">
            <v>0</v>
          </cell>
          <cell r="AK129">
            <v>165</v>
          </cell>
          <cell r="AL129">
            <v>980</v>
          </cell>
          <cell r="AM129">
            <v>0</v>
          </cell>
          <cell r="AN129">
            <v>980</v>
          </cell>
          <cell r="AO129">
            <v>3060</v>
          </cell>
          <cell r="AP129">
            <v>0</v>
          </cell>
          <cell r="AQ129">
            <v>0</v>
          </cell>
          <cell r="AR129">
            <v>930</v>
          </cell>
          <cell r="AS129">
            <v>0</v>
          </cell>
          <cell r="AT129">
            <v>995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500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635</v>
          </cell>
          <cell r="BG129">
            <v>0</v>
          </cell>
          <cell r="BH129">
            <v>0</v>
          </cell>
          <cell r="BI129">
            <v>0</v>
          </cell>
          <cell r="BJ129">
            <v>3381968</v>
          </cell>
          <cell r="BK129">
            <v>13908</v>
          </cell>
          <cell r="BL129">
            <v>3368060</v>
          </cell>
        </row>
        <row r="130">
          <cell r="B130" t="str">
            <v>NBL SYR-MIXING</v>
          </cell>
          <cell r="C130">
            <v>30240</v>
          </cell>
          <cell r="D130">
            <v>19530</v>
          </cell>
          <cell r="E130">
            <v>23190</v>
          </cell>
          <cell r="F130">
            <v>12480</v>
          </cell>
          <cell r="G130">
            <v>7050</v>
          </cell>
          <cell r="H130">
            <v>7050</v>
          </cell>
          <cell r="I130">
            <v>657</v>
          </cell>
          <cell r="J130">
            <v>657</v>
          </cell>
          <cell r="K130">
            <v>657</v>
          </cell>
          <cell r="L130">
            <v>40</v>
          </cell>
          <cell r="M130">
            <v>617</v>
          </cell>
          <cell r="N130">
            <v>0</v>
          </cell>
          <cell r="O130">
            <v>6393</v>
          </cell>
          <cell r="P130">
            <v>6393</v>
          </cell>
          <cell r="Q130">
            <v>2506</v>
          </cell>
          <cell r="R130">
            <v>2506</v>
          </cell>
          <cell r="S130">
            <v>3887</v>
          </cell>
          <cell r="T130">
            <v>3887</v>
          </cell>
          <cell r="U130">
            <v>201</v>
          </cell>
          <cell r="V130">
            <v>201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2657</v>
          </cell>
          <cell r="AG130">
            <v>184</v>
          </cell>
          <cell r="AH130">
            <v>2458</v>
          </cell>
          <cell r="AI130">
            <v>0</v>
          </cell>
          <cell r="AJ130">
            <v>0</v>
          </cell>
          <cell r="AK130">
            <v>15</v>
          </cell>
          <cell r="AL130">
            <v>0</v>
          </cell>
          <cell r="AM130">
            <v>0</v>
          </cell>
          <cell r="AN130">
            <v>0</v>
          </cell>
          <cell r="AO130">
            <v>1029</v>
          </cell>
          <cell r="AP130">
            <v>87</v>
          </cell>
          <cell r="AQ130">
            <v>0</v>
          </cell>
          <cell r="AR130">
            <v>373</v>
          </cell>
          <cell r="AS130">
            <v>0</v>
          </cell>
          <cell r="AT130">
            <v>221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15</v>
          </cell>
          <cell r="BC130">
            <v>0</v>
          </cell>
          <cell r="BD130">
            <v>0</v>
          </cell>
          <cell r="BE130">
            <v>0</v>
          </cell>
          <cell r="BF130">
            <v>45</v>
          </cell>
          <cell r="BG130">
            <v>213</v>
          </cell>
          <cell r="BH130">
            <v>0</v>
          </cell>
          <cell r="BI130">
            <v>75</v>
          </cell>
          <cell r="BJ130">
            <v>9820.08</v>
          </cell>
          <cell r="BK130">
            <v>1.3</v>
          </cell>
          <cell r="BL130">
            <v>9818.7800000000007</v>
          </cell>
        </row>
        <row r="131">
          <cell r="B131" t="str">
            <v>LMIXSYR1</v>
          </cell>
          <cell r="C131">
            <v>30240</v>
          </cell>
          <cell r="D131">
            <v>19530</v>
          </cell>
          <cell r="E131">
            <v>23190</v>
          </cell>
          <cell r="F131">
            <v>12480</v>
          </cell>
          <cell r="G131">
            <v>7050</v>
          </cell>
          <cell r="H131">
            <v>7050</v>
          </cell>
          <cell r="I131">
            <v>657</v>
          </cell>
          <cell r="J131">
            <v>657</v>
          </cell>
          <cell r="K131">
            <v>657</v>
          </cell>
          <cell r="L131">
            <v>40</v>
          </cell>
          <cell r="M131">
            <v>617</v>
          </cell>
          <cell r="N131">
            <v>0</v>
          </cell>
          <cell r="O131">
            <v>6393</v>
          </cell>
          <cell r="P131">
            <v>6393</v>
          </cell>
          <cell r="Q131">
            <v>2506</v>
          </cell>
          <cell r="R131">
            <v>2506</v>
          </cell>
          <cell r="S131">
            <v>3887</v>
          </cell>
          <cell r="T131">
            <v>3887</v>
          </cell>
          <cell r="U131">
            <v>201</v>
          </cell>
          <cell r="V131">
            <v>201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2657</v>
          </cell>
          <cell r="AG131">
            <v>184</v>
          </cell>
          <cell r="AH131">
            <v>2458</v>
          </cell>
          <cell r="AI131">
            <v>0</v>
          </cell>
          <cell r="AJ131">
            <v>0</v>
          </cell>
          <cell r="AK131">
            <v>15</v>
          </cell>
          <cell r="AL131">
            <v>0</v>
          </cell>
          <cell r="AM131">
            <v>0</v>
          </cell>
          <cell r="AN131">
            <v>0</v>
          </cell>
          <cell r="AO131">
            <v>1029</v>
          </cell>
          <cell r="AP131">
            <v>87</v>
          </cell>
          <cell r="AQ131">
            <v>0</v>
          </cell>
          <cell r="AR131">
            <v>373</v>
          </cell>
          <cell r="AS131">
            <v>0</v>
          </cell>
          <cell r="AT131">
            <v>221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15</v>
          </cell>
          <cell r="BC131">
            <v>0</v>
          </cell>
          <cell r="BD131">
            <v>0</v>
          </cell>
          <cell r="BE131">
            <v>0</v>
          </cell>
          <cell r="BF131">
            <v>45</v>
          </cell>
          <cell r="BG131">
            <v>213</v>
          </cell>
          <cell r="BH131">
            <v>0</v>
          </cell>
          <cell r="BI131">
            <v>75</v>
          </cell>
          <cell r="BJ131">
            <v>9820.08</v>
          </cell>
          <cell r="BK131">
            <v>1.3</v>
          </cell>
          <cell r="BL131">
            <v>9818.7800000000007</v>
          </cell>
        </row>
        <row r="132">
          <cell r="B132" t="str">
            <v>NBL SYR-FILLING</v>
          </cell>
          <cell r="C132">
            <v>60480</v>
          </cell>
          <cell r="D132">
            <v>39060</v>
          </cell>
          <cell r="E132">
            <v>49770</v>
          </cell>
          <cell r="F132">
            <v>28350</v>
          </cell>
          <cell r="G132">
            <v>10710</v>
          </cell>
          <cell r="H132">
            <v>10710</v>
          </cell>
          <cell r="I132">
            <v>2465</v>
          </cell>
          <cell r="J132">
            <v>2465</v>
          </cell>
          <cell r="K132">
            <v>2465</v>
          </cell>
          <cell r="L132">
            <v>50</v>
          </cell>
          <cell r="M132">
            <v>2415</v>
          </cell>
          <cell r="N132">
            <v>0</v>
          </cell>
          <cell r="O132">
            <v>8245</v>
          </cell>
          <cell r="P132">
            <v>8245</v>
          </cell>
          <cell r="Q132">
            <v>2920</v>
          </cell>
          <cell r="R132">
            <v>2920</v>
          </cell>
          <cell r="S132">
            <v>5325</v>
          </cell>
          <cell r="T132">
            <v>5325</v>
          </cell>
          <cell r="U132">
            <v>840</v>
          </cell>
          <cell r="V132">
            <v>600</v>
          </cell>
          <cell r="W132">
            <v>0</v>
          </cell>
          <cell r="X132">
            <v>120</v>
          </cell>
          <cell r="Y132">
            <v>120</v>
          </cell>
          <cell r="Z132">
            <v>15</v>
          </cell>
          <cell r="AA132">
            <v>0</v>
          </cell>
          <cell r="AB132">
            <v>0</v>
          </cell>
          <cell r="AC132">
            <v>0</v>
          </cell>
          <cell r="AD132">
            <v>15</v>
          </cell>
          <cell r="AE132">
            <v>0</v>
          </cell>
          <cell r="AF132">
            <v>2485</v>
          </cell>
          <cell r="AG132">
            <v>175</v>
          </cell>
          <cell r="AH132">
            <v>1600</v>
          </cell>
          <cell r="AI132">
            <v>30</v>
          </cell>
          <cell r="AJ132">
            <v>0</v>
          </cell>
          <cell r="AK132">
            <v>680</v>
          </cell>
          <cell r="AL132">
            <v>0</v>
          </cell>
          <cell r="AM132">
            <v>0</v>
          </cell>
          <cell r="AN132">
            <v>0</v>
          </cell>
          <cell r="AO132">
            <v>1985</v>
          </cell>
          <cell r="AP132">
            <v>0</v>
          </cell>
          <cell r="AQ132">
            <v>0</v>
          </cell>
          <cell r="AR132">
            <v>420</v>
          </cell>
          <cell r="AS132">
            <v>0</v>
          </cell>
          <cell r="AT132">
            <v>300</v>
          </cell>
          <cell r="AU132">
            <v>0</v>
          </cell>
          <cell r="AV132">
            <v>0</v>
          </cell>
          <cell r="AW132">
            <v>0</v>
          </cell>
          <cell r="AX132">
            <v>1265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147044</v>
          </cell>
          <cell r="BK132">
            <v>298</v>
          </cell>
          <cell r="BL132">
            <v>146746</v>
          </cell>
        </row>
        <row r="133">
          <cell r="B133" t="str">
            <v>SYR109</v>
          </cell>
          <cell r="C133">
            <v>30240</v>
          </cell>
          <cell r="D133">
            <v>19530</v>
          </cell>
          <cell r="E133">
            <v>21570</v>
          </cell>
          <cell r="F133">
            <v>10860</v>
          </cell>
          <cell r="G133">
            <v>8670</v>
          </cell>
          <cell r="H133">
            <v>8670</v>
          </cell>
          <cell r="I133">
            <v>1820</v>
          </cell>
          <cell r="J133">
            <v>1820</v>
          </cell>
          <cell r="K133">
            <v>1820</v>
          </cell>
          <cell r="L133">
            <v>50</v>
          </cell>
          <cell r="M133">
            <v>1770</v>
          </cell>
          <cell r="N133">
            <v>0</v>
          </cell>
          <cell r="O133">
            <v>6850</v>
          </cell>
          <cell r="P133">
            <v>6850</v>
          </cell>
          <cell r="Q133">
            <v>2335</v>
          </cell>
          <cell r="R133">
            <v>2335</v>
          </cell>
          <cell r="S133">
            <v>4515</v>
          </cell>
          <cell r="T133">
            <v>4515</v>
          </cell>
          <cell r="U133">
            <v>655</v>
          </cell>
          <cell r="V133">
            <v>510</v>
          </cell>
          <cell r="W133">
            <v>0</v>
          </cell>
          <cell r="X133">
            <v>110</v>
          </cell>
          <cell r="Y133">
            <v>35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2025</v>
          </cell>
          <cell r="AG133">
            <v>130</v>
          </cell>
          <cell r="AH133">
            <v>1290</v>
          </cell>
          <cell r="AI133">
            <v>30</v>
          </cell>
          <cell r="AJ133">
            <v>0</v>
          </cell>
          <cell r="AK133">
            <v>575</v>
          </cell>
          <cell r="AL133">
            <v>0</v>
          </cell>
          <cell r="AM133">
            <v>0</v>
          </cell>
          <cell r="AN133">
            <v>0</v>
          </cell>
          <cell r="AO133">
            <v>1835</v>
          </cell>
          <cell r="AP133">
            <v>0</v>
          </cell>
          <cell r="AQ133">
            <v>0</v>
          </cell>
          <cell r="AR133">
            <v>330</v>
          </cell>
          <cell r="AS133">
            <v>0</v>
          </cell>
          <cell r="AT133">
            <v>255</v>
          </cell>
          <cell r="AU133">
            <v>0</v>
          </cell>
          <cell r="AV133">
            <v>0</v>
          </cell>
          <cell r="AW133">
            <v>0</v>
          </cell>
          <cell r="AX133">
            <v>1250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120486</v>
          </cell>
          <cell r="BK133">
            <v>238</v>
          </cell>
          <cell r="BL133">
            <v>120248</v>
          </cell>
        </row>
        <row r="134">
          <cell r="B134" t="str">
            <v>SYR110</v>
          </cell>
          <cell r="C134">
            <v>30240</v>
          </cell>
          <cell r="D134">
            <v>19530</v>
          </cell>
          <cell r="E134">
            <v>28200</v>
          </cell>
          <cell r="F134">
            <v>17490</v>
          </cell>
          <cell r="G134">
            <v>2040</v>
          </cell>
          <cell r="H134">
            <v>2040</v>
          </cell>
          <cell r="I134">
            <v>645</v>
          </cell>
          <cell r="J134">
            <v>645</v>
          </cell>
          <cell r="K134">
            <v>645</v>
          </cell>
          <cell r="L134">
            <v>0</v>
          </cell>
          <cell r="M134">
            <v>645</v>
          </cell>
          <cell r="N134">
            <v>0</v>
          </cell>
          <cell r="O134">
            <v>1395</v>
          </cell>
          <cell r="P134">
            <v>1395</v>
          </cell>
          <cell r="Q134">
            <v>585</v>
          </cell>
          <cell r="R134">
            <v>585</v>
          </cell>
          <cell r="S134">
            <v>810</v>
          </cell>
          <cell r="T134">
            <v>810</v>
          </cell>
          <cell r="U134">
            <v>185</v>
          </cell>
          <cell r="V134">
            <v>90</v>
          </cell>
          <cell r="W134">
            <v>0</v>
          </cell>
          <cell r="X134">
            <v>10</v>
          </cell>
          <cell r="Y134">
            <v>85</v>
          </cell>
          <cell r="Z134">
            <v>15</v>
          </cell>
          <cell r="AA134">
            <v>0</v>
          </cell>
          <cell r="AB134">
            <v>0</v>
          </cell>
          <cell r="AC134">
            <v>0</v>
          </cell>
          <cell r="AD134">
            <v>15</v>
          </cell>
          <cell r="AE134">
            <v>0</v>
          </cell>
          <cell r="AF134">
            <v>460</v>
          </cell>
          <cell r="AG134">
            <v>45</v>
          </cell>
          <cell r="AH134">
            <v>310</v>
          </cell>
          <cell r="AI134">
            <v>0</v>
          </cell>
          <cell r="AJ134">
            <v>0</v>
          </cell>
          <cell r="AK134">
            <v>105</v>
          </cell>
          <cell r="AL134">
            <v>0</v>
          </cell>
          <cell r="AM134">
            <v>0</v>
          </cell>
          <cell r="AN134">
            <v>0</v>
          </cell>
          <cell r="AO134">
            <v>150</v>
          </cell>
          <cell r="AP134">
            <v>0</v>
          </cell>
          <cell r="AQ134">
            <v>0</v>
          </cell>
          <cell r="AR134">
            <v>90</v>
          </cell>
          <cell r="AS134">
            <v>0</v>
          </cell>
          <cell r="AT134">
            <v>45</v>
          </cell>
          <cell r="AU134">
            <v>0</v>
          </cell>
          <cell r="AV134">
            <v>0</v>
          </cell>
          <cell r="AW134">
            <v>0</v>
          </cell>
          <cell r="AX134">
            <v>15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26558</v>
          </cell>
          <cell r="BK134">
            <v>60</v>
          </cell>
          <cell r="BL134">
            <v>26498</v>
          </cell>
        </row>
        <row r="135">
          <cell r="B135" t="str">
            <v>NBL INJ-MIXING</v>
          </cell>
          <cell r="C135">
            <v>30240</v>
          </cell>
          <cell r="D135">
            <v>19530</v>
          </cell>
          <cell r="E135">
            <v>25380</v>
          </cell>
          <cell r="F135">
            <v>14670</v>
          </cell>
          <cell r="G135">
            <v>4860</v>
          </cell>
          <cell r="H135">
            <v>4860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4860</v>
          </cell>
          <cell r="P135">
            <v>4860</v>
          </cell>
          <cell r="Q135">
            <v>1657</v>
          </cell>
          <cell r="R135">
            <v>1657</v>
          </cell>
          <cell r="S135">
            <v>3203</v>
          </cell>
          <cell r="T135">
            <v>3203</v>
          </cell>
          <cell r="U135">
            <v>120</v>
          </cell>
          <cell r="V135">
            <v>120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1795</v>
          </cell>
          <cell r="AG135">
            <v>320</v>
          </cell>
          <cell r="AH135">
            <v>1188</v>
          </cell>
          <cell r="AI135">
            <v>0</v>
          </cell>
          <cell r="AJ135">
            <v>287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1288</v>
          </cell>
          <cell r="AP135">
            <v>0</v>
          </cell>
          <cell r="AQ135">
            <v>0</v>
          </cell>
          <cell r="AR135">
            <v>345</v>
          </cell>
          <cell r="AS135">
            <v>0</v>
          </cell>
          <cell r="AT135">
            <v>290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653</v>
          </cell>
          <cell r="BG135">
            <v>0</v>
          </cell>
          <cell r="BH135">
            <v>0</v>
          </cell>
          <cell r="BI135">
            <v>0</v>
          </cell>
          <cell r="BJ135">
            <v>776</v>
          </cell>
          <cell r="BK135">
            <v>0</v>
          </cell>
          <cell r="BL135">
            <v>776</v>
          </cell>
        </row>
        <row r="136">
          <cell r="B136" t="str">
            <v>LMIXINJ1</v>
          </cell>
          <cell r="C136">
            <v>30240</v>
          </cell>
          <cell r="D136">
            <v>19530</v>
          </cell>
          <cell r="E136">
            <v>25380</v>
          </cell>
          <cell r="F136">
            <v>14670</v>
          </cell>
          <cell r="G136">
            <v>4860</v>
          </cell>
          <cell r="H136">
            <v>4860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4860</v>
          </cell>
          <cell r="P136">
            <v>4860</v>
          </cell>
          <cell r="Q136">
            <v>1657</v>
          </cell>
          <cell r="R136">
            <v>1657</v>
          </cell>
          <cell r="S136">
            <v>3203</v>
          </cell>
          <cell r="T136">
            <v>3203</v>
          </cell>
          <cell r="U136">
            <v>120</v>
          </cell>
          <cell r="V136">
            <v>120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1795</v>
          </cell>
          <cell r="AG136">
            <v>320</v>
          </cell>
          <cell r="AH136">
            <v>1188</v>
          </cell>
          <cell r="AI136">
            <v>0</v>
          </cell>
          <cell r="AJ136">
            <v>287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1288</v>
          </cell>
          <cell r="AP136">
            <v>0</v>
          </cell>
          <cell r="AQ136">
            <v>0</v>
          </cell>
          <cell r="AR136">
            <v>345</v>
          </cell>
          <cell r="AS136">
            <v>0</v>
          </cell>
          <cell r="AT136">
            <v>290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653</v>
          </cell>
          <cell r="BG136">
            <v>0</v>
          </cell>
          <cell r="BH136">
            <v>0</v>
          </cell>
          <cell r="BI136">
            <v>0</v>
          </cell>
          <cell r="BJ136">
            <v>776</v>
          </cell>
          <cell r="BK136">
            <v>0</v>
          </cell>
          <cell r="BL136">
            <v>776</v>
          </cell>
        </row>
        <row r="137">
          <cell r="B137" t="str">
            <v>NBL INJ-FILLING</v>
          </cell>
          <cell r="C137">
            <v>60480</v>
          </cell>
          <cell r="D137">
            <v>39060</v>
          </cell>
          <cell r="E137">
            <v>41140</v>
          </cell>
          <cell r="F137">
            <v>19720</v>
          </cell>
          <cell r="G137">
            <v>19340</v>
          </cell>
          <cell r="H137">
            <v>19340</v>
          </cell>
          <cell r="I137">
            <v>2710</v>
          </cell>
          <cell r="J137">
            <v>2710</v>
          </cell>
          <cell r="K137">
            <v>2710</v>
          </cell>
          <cell r="L137">
            <v>170</v>
          </cell>
          <cell r="M137">
            <v>2540</v>
          </cell>
          <cell r="N137">
            <v>0</v>
          </cell>
          <cell r="O137">
            <v>16630</v>
          </cell>
          <cell r="P137">
            <v>16630</v>
          </cell>
          <cell r="Q137">
            <v>5959</v>
          </cell>
          <cell r="R137">
            <v>5959</v>
          </cell>
          <cell r="S137">
            <v>10671</v>
          </cell>
          <cell r="T137">
            <v>10671</v>
          </cell>
          <cell r="U137">
            <v>2164</v>
          </cell>
          <cell r="V137">
            <v>1827</v>
          </cell>
          <cell r="W137">
            <v>237</v>
          </cell>
          <cell r="X137">
            <v>55</v>
          </cell>
          <cell r="Y137">
            <v>45</v>
          </cell>
          <cell r="Z137">
            <v>354</v>
          </cell>
          <cell r="AA137">
            <v>240</v>
          </cell>
          <cell r="AB137">
            <v>94</v>
          </cell>
          <cell r="AC137">
            <v>0</v>
          </cell>
          <cell r="AD137">
            <v>5</v>
          </cell>
          <cell r="AE137">
            <v>15</v>
          </cell>
          <cell r="AF137">
            <v>3832</v>
          </cell>
          <cell r="AG137">
            <v>690</v>
          </cell>
          <cell r="AH137">
            <v>3142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4321</v>
          </cell>
          <cell r="AP137">
            <v>0</v>
          </cell>
          <cell r="AQ137">
            <v>0</v>
          </cell>
          <cell r="AR137">
            <v>1105</v>
          </cell>
          <cell r="AS137">
            <v>0</v>
          </cell>
          <cell r="AT137">
            <v>1290</v>
          </cell>
          <cell r="AU137">
            <v>0</v>
          </cell>
          <cell r="AV137">
            <v>105</v>
          </cell>
          <cell r="AW137">
            <v>0</v>
          </cell>
          <cell r="AX137">
            <v>0</v>
          </cell>
          <cell r="AY137">
            <v>103</v>
          </cell>
          <cell r="AZ137">
            <v>0</v>
          </cell>
          <cell r="BA137">
            <v>0</v>
          </cell>
          <cell r="BB137">
            <v>1573</v>
          </cell>
          <cell r="BC137">
            <v>0</v>
          </cell>
          <cell r="BD137">
            <v>0</v>
          </cell>
          <cell r="BE137">
            <v>5</v>
          </cell>
          <cell r="BF137">
            <v>130</v>
          </cell>
          <cell r="BG137">
            <v>10</v>
          </cell>
          <cell r="BH137">
            <v>0</v>
          </cell>
          <cell r="BI137">
            <v>0</v>
          </cell>
          <cell r="BJ137">
            <v>584878</v>
          </cell>
          <cell r="BK137">
            <v>52</v>
          </cell>
          <cell r="BL137">
            <v>584826</v>
          </cell>
        </row>
        <row r="138">
          <cell r="B138" t="str">
            <v>GINLINE3</v>
          </cell>
          <cell r="C138">
            <v>30240</v>
          </cell>
          <cell r="D138">
            <v>19530</v>
          </cell>
          <cell r="E138">
            <v>22510</v>
          </cell>
          <cell r="F138">
            <v>11800</v>
          </cell>
          <cell r="G138">
            <v>7730</v>
          </cell>
          <cell r="H138">
            <v>7730</v>
          </cell>
          <cell r="I138">
            <v>1170</v>
          </cell>
          <cell r="J138">
            <v>1170</v>
          </cell>
          <cell r="K138">
            <v>1170</v>
          </cell>
          <cell r="L138">
            <v>120</v>
          </cell>
          <cell r="M138">
            <v>1050</v>
          </cell>
          <cell r="N138">
            <v>0</v>
          </cell>
          <cell r="O138">
            <v>6560</v>
          </cell>
          <cell r="P138">
            <v>6560</v>
          </cell>
          <cell r="Q138">
            <v>1615</v>
          </cell>
          <cell r="R138">
            <v>1615</v>
          </cell>
          <cell r="S138">
            <v>4945</v>
          </cell>
          <cell r="T138">
            <v>4945</v>
          </cell>
          <cell r="U138">
            <v>989</v>
          </cell>
          <cell r="V138">
            <v>747</v>
          </cell>
          <cell r="W138">
            <v>237</v>
          </cell>
          <cell r="X138">
            <v>5</v>
          </cell>
          <cell r="Y138">
            <v>0</v>
          </cell>
          <cell r="Z138">
            <v>71</v>
          </cell>
          <cell r="AA138">
            <v>0</v>
          </cell>
          <cell r="AB138">
            <v>69</v>
          </cell>
          <cell r="AC138">
            <v>0</v>
          </cell>
          <cell r="AD138">
            <v>2</v>
          </cell>
          <cell r="AE138">
            <v>0</v>
          </cell>
          <cell r="AF138">
            <v>2024</v>
          </cell>
          <cell r="AG138">
            <v>680</v>
          </cell>
          <cell r="AH138">
            <v>1344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1861</v>
          </cell>
          <cell r="AP138">
            <v>0</v>
          </cell>
          <cell r="AQ138">
            <v>0</v>
          </cell>
          <cell r="AR138">
            <v>435</v>
          </cell>
          <cell r="AS138">
            <v>0</v>
          </cell>
          <cell r="AT138">
            <v>425</v>
          </cell>
          <cell r="AU138">
            <v>0</v>
          </cell>
          <cell r="AV138">
            <v>45</v>
          </cell>
          <cell r="AW138">
            <v>0</v>
          </cell>
          <cell r="AX138">
            <v>0</v>
          </cell>
          <cell r="AY138">
            <v>93</v>
          </cell>
          <cell r="AZ138">
            <v>0</v>
          </cell>
          <cell r="BA138">
            <v>0</v>
          </cell>
          <cell r="BB138">
            <v>820</v>
          </cell>
          <cell r="BC138">
            <v>0</v>
          </cell>
          <cell r="BD138">
            <v>0</v>
          </cell>
          <cell r="BE138">
            <v>0</v>
          </cell>
          <cell r="BF138">
            <v>43</v>
          </cell>
          <cell r="BG138">
            <v>0</v>
          </cell>
          <cell r="BH138">
            <v>0</v>
          </cell>
          <cell r="BI138">
            <v>0</v>
          </cell>
          <cell r="BJ138">
            <v>231901</v>
          </cell>
          <cell r="BK138">
            <v>0</v>
          </cell>
          <cell r="BL138">
            <v>231901</v>
          </cell>
        </row>
        <row r="139">
          <cell r="B139" t="str">
            <v>GINLINE4</v>
          </cell>
          <cell r="C139">
            <v>30240</v>
          </cell>
          <cell r="D139">
            <v>19530</v>
          </cell>
          <cell r="E139">
            <v>18630</v>
          </cell>
          <cell r="F139">
            <v>7920</v>
          </cell>
          <cell r="G139">
            <v>11610</v>
          </cell>
          <cell r="H139">
            <v>11610</v>
          </cell>
          <cell r="I139">
            <v>1540</v>
          </cell>
          <cell r="J139">
            <v>1540</v>
          </cell>
          <cell r="K139">
            <v>1540</v>
          </cell>
          <cell r="L139">
            <v>50</v>
          </cell>
          <cell r="M139">
            <v>1490</v>
          </cell>
          <cell r="N139">
            <v>0</v>
          </cell>
          <cell r="O139">
            <v>10070</v>
          </cell>
          <cell r="P139">
            <v>10070</v>
          </cell>
          <cell r="Q139">
            <v>4344</v>
          </cell>
          <cell r="R139">
            <v>4344</v>
          </cell>
          <cell r="S139">
            <v>5726</v>
          </cell>
          <cell r="T139">
            <v>5726</v>
          </cell>
          <cell r="U139">
            <v>1175</v>
          </cell>
          <cell r="V139">
            <v>1080</v>
          </cell>
          <cell r="W139">
            <v>0</v>
          </cell>
          <cell r="X139">
            <v>50</v>
          </cell>
          <cell r="Y139">
            <v>45</v>
          </cell>
          <cell r="Z139">
            <v>283</v>
          </cell>
          <cell r="AA139">
            <v>240</v>
          </cell>
          <cell r="AB139">
            <v>25</v>
          </cell>
          <cell r="AC139">
            <v>0</v>
          </cell>
          <cell r="AD139">
            <v>3</v>
          </cell>
          <cell r="AE139">
            <v>15</v>
          </cell>
          <cell r="AF139">
            <v>1808</v>
          </cell>
          <cell r="AG139">
            <v>10</v>
          </cell>
          <cell r="AH139">
            <v>1798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2460</v>
          </cell>
          <cell r="AP139">
            <v>0</v>
          </cell>
          <cell r="AQ139">
            <v>0</v>
          </cell>
          <cell r="AR139">
            <v>670</v>
          </cell>
          <cell r="AS139">
            <v>0</v>
          </cell>
          <cell r="AT139">
            <v>865</v>
          </cell>
          <cell r="AU139">
            <v>0</v>
          </cell>
          <cell r="AV139">
            <v>60</v>
          </cell>
          <cell r="AW139">
            <v>0</v>
          </cell>
          <cell r="AX139">
            <v>0</v>
          </cell>
          <cell r="AY139">
            <v>10</v>
          </cell>
          <cell r="AZ139">
            <v>0</v>
          </cell>
          <cell r="BA139">
            <v>0</v>
          </cell>
          <cell r="BB139">
            <v>753</v>
          </cell>
          <cell r="BC139">
            <v>0</v>
          </cell>
          <cell r="BD139">
            <v>0</v>
          </cell>
          <cell r="BE139">
            <v>5</v>
          </cell>
          <cell r="BF139">
            <v>87</v>
          </cell>
          <cell r="BG139">
            <v>10</v>
          </cell>
          <cell r="BH139">
            <v>0</v>
          </cell>
          <cell r="BI139">
            <v>0</v>
          </cell>
          <cell r="BJ139">
            <v>352977</v>
          </cell>
          <cell r="BK139">
            <v>52</v>
          </cell>
          <cell r="BL139">
            <v>352925</v>
          </cell>
        </row>
        <row r="140">
          <cell r="B140" t="str">
            <v>NBL INJ-STERILIZATION</v>
          </cell>
          <cell r="C140">
            <v>93600</v>
          </cell>
          <cell r="D140">
            <v>60450</v>
          </cell>
          <cell r="E140">
            <v>57949</v>
          </cell>
          <cell r="F140">
            <v>24799</v>
          </cell>
          <cell r="G140">
            <v>35651</v>
          </cell>
          <cell r="H140">
            <v>35651</v>
          </cell>
          <cell r="I140">
            <v>3076</v>
          </cell>
          <cell r="J140">
            <v>3076</v>
          </cell>
          <cell r="K140">
            <v>3076</v>
          </cell>
          <cell r="L140">
            <v>579</v>
          </cell>
          <cell r="M140">
            <v>2497</v>
          </cell>
          <cell r="N140">
            <v>0</v>
          </cell>
          <cell r="O140">
            <v>32575</v>
          </cell>
          <cell r="P140">
            <v>32575</v>
          </cell>
          <cell r="Q140">
            <v>15375</v>
          </cell>
          <cell r="R140">
            <v>15375</v>
          </cell>
          <cell r="S140">
            <v>17200</v>
          </cell>
          <cell r="T140">
            <v>17200</v>
          </cell>
          <cell r="U140">
            <v>1081</v>
          </cell>
          <cell r="V140">
            <v>1081</v>
          </cell>
          <cell r="W140">
            <v>0</v>
          </cell>
          <cell r="X140">
            <v>0</v>
          </cell>
          <cell r="Y140">
            <v>0</v>
          </cell>
          <cell r="Z140">
            <v>262</v>
          </cell>
          <cell r="AA140">
            <v>77</v>
          </cell>
          <cell r="AB140">
            <v>0</v>
          </cell>
          <cell r="AC140">
            <v>0</v>
          </cell>
          <cell r="AD140">
            <v>185</v>
          </cell>
          <cell r="AE140">
            <v>0</v>
          </cell>
          <cell r="AF140">
            <v>8012</v>
          </cell>
          <cell r="AG140">
            <v>6838</v>
          </cell>
          <cell r="AH140">
            <v>258</v>
          </cell>
          <cell r="AI140">
            <v>65</v>
          </cell>
          <cell r="AJ140">
            <v>100</v>
          </cell>
          <cell r="AK140">
            <v>751</v>
          </cell>
          <cell r="AL140">
            <v>0</v>
          </cell>
          <cell r="AM140">
            <v>0</v>
          </cell>
          <cell r="AN140">
            <v>0</v>
          </cell>
          <cell r="AO140">
            <v>7845</v>
          </cell>
          <cell r="AP140">
            <v>60</v>
          </cell>
          <cell r="AQ140">
            <v>0</v>
          </cell>
          <cell r="AR140">
            <v>985</v>
          </cell>
          <cell r="AS140">
            <v>125</v>
          </cell>
          <cell r="AT140">
            <v>710</v>
          </cell>
          <cell r="AU140">
            <v>1717</v>
          </cell>
          <cell r="AV140">
            <v>0</v>
          </cell>
          <cell r="AW140">
            <v>10</v>
          </cell>
          <cell r="AX140">
            <v>3806</v>
          </cell>
          <cell r="AY140">
            <v>400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32</v>
          </cell>
          <cell r="BG140">
            <v>0</v>
          </cell>
          <cell r="BH140">
            <v>0</v>
          </cell>
          <cell r="BI140">
            <v>0</v>
          </cell>
          <cell r="BJ140">
            <v>1111</v>
          </cell>
          <cell r="BK140">
            <v>0</v>
          </cell>
          <cell r="BL140">
            <v>1111</v>
          </cell>
        </row>
        <row r="141">
          <cell r="B141" t="str">
            <v>INJ105</v>
          </cell>
          <cell r="C141">
            <v>31680</v>
          </cell>
          <cell r="D141">
            <v>20460</v>
          </cell>
          <cell r="E141">
            <v>17382</v>
          </cell>
          <cell r="F141">
            <v>6162</v>
          </cell>
          <cell r="G141">
            <v>14298</v>
          </cell>
          <cell r="H141">
            <v>14298</v>
          </cell>
          <cell r="I141">
            <v>1784</v>
          </cell>
          <cell r="J141">
            <v>1784</v>
          </cell>
          <cell r="K141">
            <v>1784</v>
          </cell>
          <cell r="L141">
            <v>405</v>
          </cell>
          <cell r="M141">
            <v>1379</v>
          </cell>
          <cell r="N141">
            <v>0</v>
          </cell>
          <cell r="O141">
            <v>12514</v>
          </cell>
          <cell r="P141">
            <v>12514</v>
          </cell>
          <cell r="Q141">
            <v>6445</v>
          </cell>
          <cell r="R141">
            <v>6445</v>
          </cell>
          <cell r="S141">
            <v>6069</v>
          </cell>
          <cell r="T141">
            <v>6069</v>
          </cell>
          <cell r="U141">
            <v>477</v>
          </cell>
          <cell r="V141">
            <v>477</v>
          </cell>
          <cell r="W141">
            <v>0</v>
          </cell>
          <cell r="X141">
            <v>0</v>
          </cell>
          <cell r="Y141">
            <v>0</v>
          </cell>
          <cell r="Z141">
            <v>147</v>
          </cell>
          <cell r="AA141">
            <v>77</v>
          </cell>
          <cell r="AB141">
            <v>0</v>
          </cell>
          <cell r="AC141">
            <v>0</v>
          </cell>
          <cell r="AD141">
            <v>70</v>
          </cell>
          <cell r="AE141">
            <v>0</v>
          </cell>
          <cell r="AF141">
            <v>2076</v>
          </cell>
          <cell r="AG141">
            <v>1525</v>
          </cell>
          <cell r="AH141">
            <v>150</v>
          </cell>
          <cell r="AI141">
            <v>0</v>
          </cell>
          <cell r="AJ141">
            <v>0</v>
          </cell>
          <cell r="AK141">
            <v>401</v>
          </cell>
          <cell r="AL141">
            <v>0</v>
          </cell>
          <cell r="AM141">
            <v>0</v>
          </cell>
          <cell r="AN141">
            <v>0</v>
          </cell>
          <cell r="AO141">
            <v>3369</v>
          </cell>
          <cell r="AP141">
            <v>0</v>
          </cell>
          <cell r="AQ141">
            <v>0</v>
          </cell>
          <cell r="AR141">
            <v>250</v>
          </cell>
          <cell r="AS141">
            <v>0</v>
          </cell>
          <cell r="AT141">
            <v>125</v>
          </cell>
          <cell r="AU141">
            <v>0</v>
          </cell>
          <cell r="AV141">
            <v>0</v>
          </cell>
          <cell r="AW141">
            <v>0</v>
          </cell>
          <cell r="AX141">
            <v>2994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571</v>
          </cell>
          <cell r="BK141">
            <v>0</v>
          </cell>
          <cell r="BL141">
            <v>571</v>
          </cell>
        </row>
        <row r="142">
          <cell r="B142" t="str">
            <v>INJ106</v>
          </cell>
          <cell r="C142">
            <v>31680</v>
          </cell>
          <cell r="D142">
            <v>20460</v>
          </cell>
          <cell r="E142">
            <v>17407</v>
          </cell>
          <cell r="F142">
            <v>6187</v>
          </cell>
          <cell r="G142">
            <v>14273</v>
          </cell>
          <cell r="H142">
            <v>14273</v>
          </cell>
          <cell r="I142">
            <v>687</v>
          </cell>
          <cell r="J142">
            <v>687</v>
          </cell>
          <cell r="K142">
            <v>687</v>
          </cell>
          <cell r="L142">
            <v>124</v>
          </cell>
          <cell r="M142">
            <v>563</v>
          </cell>
          <cell r="N142">
            <v>0</v>
          </cell>
          <cell r="O142">
            <v>13586</v>
          </cell>
          <cell r="P142">
            <v>13586</v>
          </cell>
          <cell r="Q142">
            <v>8277</v>
          </cell>
          <cell r="R142">
            <v>8277</v>
          </cell>
          <cell r="S142">
            <v>5309</v>
          </cell>
          <cell r="T142">
            <v>5309</v>
          </cell>
          <cell r="U142">
            <v>289</v>
          </cell>
          <cell r="V142">
            <v>289</v>
          </cell>
          <cell r="W142">
            <v>0</v>
          </cell>
          <cell r="X142">
            <v>0</v>
          </cell>
          <cell r="Y142">
            <v>0</v>
          </cell>
          <cell r="Z142">
            <v>90</v>
          </cell>
          <cell r="AA142">
            <v>0</v>
          </cell>
          <cell r="AB142">
            <v>0</v>
          </cell>
          <cell r="AC142">
            <v>0</v>
          </cell>
          <cell r="AD142">
            <v>90</v>
          </cell>
          <cell r="AE142">
            <v>0</v>
          </cell>
          <cell r="AF142">
            <v>4095</v>
          </cell>
          <cell r="AG142">
            <v>4095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835</v>
          </cell>
          <cell r="AP142">
            <v>0</v>
          </cell>
          <cell r="AQ142">
            <v>0</v>
          </cell>
          <cell r="AR142">
            <v>446</v>
          </cell>
          <cell r="AS142">
            <v>0</v>
          </cell>
          <cell r="AT142">
            <v>375</v>
          </cell>
          <cell r="AU142">
            <v>0</v>
          </cell>
          <cell r="AV142">
            <v>0</v>
          </cell>
          <cell r="AW142">
            <v>10</v>
          </cell>
          <cell r="AX142">
            <v>4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524</v>
          </cell>
          <cell r="BK142">
            <v>0</v>
          </cell>
          <cell r="BL142">
            <v>524</v>
          </cell>
        </row>
        <row r="143">
          <cell r="B143" t="str">
            <v>INJ107</v>
          </cell>
          <cell r="C143">
            <v>30240</v>
          </cell>
          <cell r="D143">
            <v>19530</v>
          </cell>
          <cell r="E143">
            <v>23160</v>
          </cell>
          <cell r="F143">
            <v>12450</v>
          </cell>
          <cell r="G143">
            <v>7080</v>
          </cell>
          <cell r="H143">
            <v>7080</v>
          </cell>
          <cell r="I143">
            <v>605</v>
          </cell>
          <cell r="J143">
            <v>605</v>
          </cell>
          <cell r="K143">
            <v>605</v>
          </cell>
          <cell r="L143">
            <v>50</v>
          </cell>
          <cell r="M143">
            <v>555</v>
          </cell>
          <cell r="N143">
            <v>0</v>
          </cell>
          <cell r="O143">
            <v>6475</v>
          </cell>
          <cell r="P143">
            <v>6475</v>
          </cell>
          <cell r="Q143">
            <v>653</v>
          </cell>
          <cell r="R143">
            <v>653</v>
          </cell>
          <cell r="S143">
            <v>5822</v>
          </cell>
          <cell r="T143">
            <v>5822</v>
          </cell>
          <cell r="U143">
            <v>315</v>
          </cell>
          <cell r="V143">
            <v>315</v>
          </cell>
          <cell r="W143">
            <v>0</v>
          </cell>
          <cell r="X143">
            <v>0</v>
          </cell>
          <cell r="Y143">
            <v>0</v>
          </cell>
          <cell r="Z143">
            <v>25</v>
          </cell>
          <cell r="AA143">
            <v>0</v>
          </cell>
          <cell r="AB143">
            <v>0</v>
          </cell>
          <cell r="AC143">
            <v>0</v>
          </cell>
          <cell r="AD143">
            <v>25</v>
          </cell>
          <cell r="AE143">
            <v>0</v>
          </cell>
          <cell r="AF143">
            <v>1841</v>
          </cell>
          <cell r="AG143">
            <v>1218</v>
          </cell>
          <cell r="AH143">
            <v>108</v>
          </cell>
          <cell r="AI143">
            <v>65</v>
          </cell>
          <cell r="AJ143">
            <v>100</v>
          </cell>
          <cell r="AK143">
            <v>350</v>
          </cell>
          <cell r="AL143">
            <v>0</v>
          </cell>
          <cell r="AM143">
            <v>0</v>
          </cell>
          <cell r="AN143">
            <v>0</v>
          </cell>
          <cell r="AO143">
            <v>3641</v>
          </cell>
          <cell r="AP143">
            <v>60</v>
          </cell>
          <cell r="AQ143">
            <v>0</v>
          </cell>
          <cell r="AR143">
            <v>289</v>
          </cell>
          <cell r="AS143">
            <v>125</v>
          </cell>
          <cell r="AT143">
            <v>210</v>
          </cell>
          <cell r="AU143">
            <v>1717</v>
          </cell>
          <cell r="AV143">
            <v>0</v>
          </cell>
          <cell r="AW143">
            <v>0</v>
          </cell>
          <cell r="AX143">
            <v>808</v>
          </cell>
          <cell r="AY143">
            <v>400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32</v>
          </cell>
          <cell r="BG143">
            <v>0</v>
          </cell>
          <cell r="BH143">
            <v>0</v>
          </cell>
          <cell r="BI143">
            <v>0</v>
          </cell>
          <cell r="BJ143">
            <v>16</v>
          </cell>
          <cell r="BK143">
            <v>0</v>
          </cell>
          <cell r="BL143">
            <v>16</v>
          </cell>
        </row>
        <row r="144">
          <cell r="B144" t="str">
            <v>NBL SECONDARY PACKING</v>
          </cell>
          <cell r="C144">
            <v>181440</v>
          </cell>
          <cell r="D144">
            <v>69930</v>
          </cell>
          <cell r="E144">
            <v>135600</v>
          </cell>
          <cell r="F144">
            <v>24090</v>
          </cell>
          <cell r="G144">
            <v>45840</v>
          </cell>
          <cell r="H144">
            <v>45840</v>
          </cell>
          <cell r="I144">
            <v>3421</v>
          </cell>
          <cell r="J144">
            <v>3421</v>
          </cell>
          <cell r="K144">
            <v>3421</v>
          </cell>
          <cell r="L144">
            <v>1011</v>
          </cell>
          <cell r="M144">
            <v>2410</v>
          </cell>
          <cell r="N144">
            <v>0</v>
          </cell>
          <cell r="O144">
            <v>42419</v>
          </cell>
          <cell r="P144">
            <v>42419</v>
          </cell>
          <cell r="Q144">
            <v>26039</v>
          </cell>
          <cell r="R144">
            <v>26039</v>
          </cell>
          <cell r="S144">
            <v>16380</v>
          </cell>
          <cell r="T144">
            <v>16380</v>
          </cell>
          <cell r="U144">
            <v>2891</v>
          </cell>
          <cell r="V144">
            <v>1648</v>
          </cell>
          <cell r="W144">
            <v>78</v>
          </cell>
          <cell r="X144">
            <v>671</v>
          </cell>
          <cell r="Y144">
            <v>494</v>
          </cell>
          <cell r="Z144">
            <v>330</v>
          </cell>
          <cell r="AA144">
            <v>170</v>
          </cell>
          <cell r="AB144">
            <v>55</v>
          </cell>
          <cell r="AC144">
            <v>0</v>
          </cell>
          <cell r="AD144">
            <v>105</v>
          </cell>
          <cell r="AE144">
            <v>0</v>
          </cell>
          <cell r="AF144">
            <v>3558</v>
          </cell>
          <cell r="AG144">
            <v>1620</v>
          </cell>
          <cell r="AH144">
            <v>1763</v>
          </cell>
          <cell r="AI144">
            <v>67</v>
          </cell>
          <cell r="AJ144">
            <v>0</v>
          </cell>
          <cell r="AK144">
            <v>108</v>
          </cell>
          <cell r="AL144">
            <v>70</v>
          </cell>
          <cell r="AM144">
            <v>70</v>
          </cell>
          <cell r="AN144">
            <v>0</v>
          </cell>
          <cell r="AO144">
            <v>9531</v>
          </cell>
          <cell r="AP144">
            <v>0</v>
          </cell>
          <cell r="AQ144">
            <v>855</v>
          </cell>
          <cell r="AR144">
            <v>2695</v>
          </cell>
          <cell r="AS144">
            <v>0</v>
          </cell>
          <cell r="AT144">
            <v>1620</v>
          </cell>
          <cell r="AU144">
            <v>405</v>
          </cell>
          <cell r="AV144">
            <v>0</v>
          </cell>
          <cell r="AW144">
            <v>0</v>
          </cell>
          <cell r="AX144">
            <v>1729</v>
          </cell>
          <cell r="AY144">
            <v>755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1472</v>
          </cell>
          <cell r="BG144">
            <v>0</v>
          </cell>
          <cell r="BH144">
            <v>0</v>
          </cell>
          <cell r="BI144">
            <v>0</v>
          </cell>
          <cell r="BJ144">
            <v>1458718</v>
          </cell>
          <cell r="BK144">
            <v>212</v>
          </cell>
          <cell r="BL144">
            <v>1458506</v>
          </cell>
        </row>
        <row r="145">
          <cell r="B145" t="str">
            <v>PAK101</v>
          </cell>
          <cell r="C145">
            <v>30240</v>
          </cell>
          <cell r="D145">
            <v>10080</v>
          </cell>
          <cell r="E145">
            <v>17100</v>
          </cell>
          <cell r="F145">
            <v>-3060</v>
          </cell>
          <cell r="G145">
            <v>13140</v>
          </cell>
          <cell r="H145">
            <v>13140</v>
          </cell>
          <cell r="I145">
            <v>270</v>
          </cell>
          <cell r="J145">
            <v>270</v>
          </cell>
          <cell r="K145">
            <v>270</v>
          </cell>
          <cell r="L145">
            <v>270</v>
          </cell>
          <cell r="M145">
            <v>0</v>
          </cell>
          <cell r="N145">
            <v>0</v>
          </cell>
          <cell r="O145">
            <v>12870</v>
          </cell>
          <cell r="P145">
            <v>12870</v>
          </cell>
          <cell r="Q145">
            <v>9130</v>
          </cell>
          <cell r="R145">
            <v>9130</v>
          </cell>
          <cell r="S145">
            <v>3740</v>
          </cell>
          <cell r="T145">
            <v>3740</v>
          </cell>
          <cell r="U145">
            <v>263</v>
          </cell>
          <cell r="V145">
            <v>263</v>
          </cell>
          <cell r="W145">
            <v>0</v>
          </cell>
          <cell r="X145">
            <v>0</v>
          </cell>
          <cell r="Y145">
            <v>0</v>
          </cell>
          <cell r="Z145">
            <v>195</v>
          </cell>
          <cell r="AA145">
            <v>140</v>
          </cell>
          <cell r="AB145">
            <v>55</v>
          </cell>
          <cell r="AC145">
            <v>0</v>
          </cell>
          <cell r="AD145">
            <v>0</v>
          </cell>
          <cell r="AE145">
            <v>0</v>
          </cell>
          <cell r="AF145">
            <v>801</v>
          </cell>
          <cell r="AG145">
            <v>271</v>
          </cell>
          <cell r="AH145">
            <v>530</v>
          </cell>
          <cell r="AI145">
            <v>0</v>
          </cell>
          <cell r="AJ145">
            <v>0</v>
          </cell>
          <cell r="AK145">
            <v>0</v>
          </cell>
          <cell r="AL145">
            <v>70</v>
          </cell>
          <cell r="AM145">
            <v>70</v>
          </cell>
          <cell r="AN145">
            <v>0</v>
          </cell>
          <cell r="AO145">
            <v>2411</v>
          </cell>
          <cell r="AP145">
            <v>0</v>
          </cell>
          <cell r="AQ145">
            <v>285</v>
          </cell>
          <cell r="AR145">
            <v>810</v>
          </cell>
          <cell r="AS145">
            <v>0</v>
          </cell>
          <cell r="AT145">
            <v>510</v>
          </cell>
          <cell r="AU145">
            <v>65</v>
          </cell>
          <cell r="AV145">
            <v>0</v>
          </cell>
          <cell r="AW145">
            <v>0</v>
          </cell>
          <cell r="AX145">
            <v>0</v>
          </cell>
          <cell r="AY145">
            <v>214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527</v>
          </cell>
          <cell r="BG145">
            <v>0</v>
          </cell>
          <cell r="BH145">
            <v>0</v>
          </cell>
          <cell r="BI145">
            <v>0</v>
          </cell>
          <cell r="BJ145">
            <v>364060</v>
          </cell>
          <cell r="BK145">
            <v>24</v>
          </cell>
          <cell r="BL145">
            <v>364036</v>
          </cell>
        </row>
        <row r="146">
          <cell r="B146" t="str">
            <v>PAK103</v>
          </cell>
          <cell r="C146">
            <v>30240</v>
          </cell>
          <cell r="D146">
            <v>10080</v>
          </cell>
          <cell r="E146">
            <v>16590</v>
          </cell>
          <cell r="F146">
            <v>-3570</v>
          </cell>
          <cell r="G146">
            <v>13650</v>
          </cell>
          <cell r="H146">
            <v>13650</v>
          </cell>
          <cell r="I146">
            <v>285</v>
          </cell>
          <cell r="J146">
            <v>285</v>
          </cell>
          <cell r="K146">
            <v>285</v>
          </cell>
          <cell r="L146">
            <v>285</v>
          </cell>
          <cell r="M146">
            <v>0</v>
          </cell>
          <cell r="N146">
            <v>0</v>
          </cell>
          <cell r="O146">
            <v>13365</v>
          </cell>
          <cell r="P146">
            <v>13365</v>
          </cell>
          <cell r="Q146">
            <v>9475</v>
          </cell>
          <cell r="R146">
            <v>9475</v>
          </cell>
          <cell r="S146">
            <v>3890</v>
          </cell>
          <cell r="T146">
            <v>3890</v>
          </cell>
          <cell r="U146">
            <v>252</v>
          </cell>
          <cell r="V146">
            <v>252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815</v>
          </cell>
          <cell r="AG146">
            <v>250</v>
          </cell>
          <cell r="AH146">
            <v>565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2823</v>
          </cell>
          <cell r="AP146">
            <v>0</v>
          </cell>
          <cell r="AQ146">
            <v>570</v>
          </cell>
          <cell r="AR146">
            <v>805</v>
          </cell>
          <cell r="AS146">
            <v>0</v>
          </cell>
          <cell r="AT146">
            <v>510</v>
          </cell>
          <cell r="AU146">
            <v>70</v>
          </cell>
          <cell r="AV146">
            <v>0</v>
          </cell>
          <cell r="AW146">
            <v>0</v>
          </cell>
          <cell r="AX146">
            <v>0</v>
          </cell>
          <cell r="AY146">
            <v>202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666</v>
          </cell>
          <cell r="BG146">
            <v>0</v>
          </cell>
          <cell r="BH146">
            <v>0</v>
          </cell>
          <cell r="BI146">
            <v>0</v>
          </cell>
          <cell r="BJ146">
            <v>402693</v>
          </cell>
          <cell r="BK146">
            <v>125</v>
          </cell>
          <cell r="BL146">
            <v>402568</v>
          </cell>
        </row>
        <row r="147">
          <cell r="B147" t="str">
            <v>PAK105</v>
          </cell>
          <cell r="C147">
            <v>30240</v>
          </cell>
          <cell r="D147">
            <v>19530</v>
          </cell>
          <cell r="E147">
            <v>22590</v>
          </cell>
          <cell r="F147">
            <v>11880</v>
          </cell>
          <cell r="G147">
            <v>7650</v>
          </cell>
          <cell r="H147">
            <v>7650</v>
          </cell>
          <cell r="I147">
            <v>1805</v>
          </cell>
          <cell r="J147">
            <v>1805</v>
          </cell>
          <cell r="K147">
            <v>1805</v>
          </cell>
          <cell r="L147">
            <v>0</v>
          </cell>
          <cell r="M147">
            <v>1805</v>
          </cell>
          <cell r="N147">
            <v>0</v>
          </cell>
          <cell r="O147">
            <v>5845</v>
          </cell>
          <cell r="P147">
            <v>5845</v>
          </cell>
          <cell r="Q147">
            <v>2480</v>
          </cell>
          <cell r="R147">
            <v>2480</v>
          </cell>
          <cell r="S147">
            <v>3365</v>
          </cell>
          <cell r="T147">
            <v>3365</v>
          </cell>
          <cell r="U147">
            <v>940</v>
          </cell>
          <cell r="V147">
            <v>370</v>
          </cell>
          <cell r="W147">
            <v>0</v>
          </cell>
          <cell r="X147">
            <v>370</v>
          </cell>
          <cell r="Y147">
            <v>200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240</v>
          </cell>
          <cell r="AG147">
            <v>80</v>
          </cell>
          <cell r="AH147">
            <v>145</v>
          </cell>
          <cell r="AI147">
            <v>15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2185</v>
          </cell>
          <cell r="AP147">
            <v>0</v>
          </cell>
          <cell r="AQ147">
            <v>0</v>
          </cell>
          <cell r="AR147">
            <v>390</v>
          </cell>
          <cell r="AS147">
            <v>0</v>
          </cell>
          <cell r="AT147">
            <v>195</v>
          </cell>
          <cell r="AU147">
            <v>0</v>
          </cell>
          <cell r="AV147">
            <v>0</v>
          </cell>
          <cell r="AW147">
            <v>0</v>
          </cell>
          <cell r="AX147">
            <v>1400</v>
          </cell>
          <cell r="AY147">
            <v>105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95</v>
          </cell>
          <cell r="BG147">
            <v>0</v>
          </cell>
          <cell r="BH147">
            <v>0</v>
          </cell>
          <cell r="BI147">
            <v>0</v>
          </cell>
          <cell r="BJ147">
            <v>157726</v>
          </cell>
          <cell r="BK147">
            <v>0</v>
          </cell>
          <cell r="BL147">
            <v>157726</v>
          </cell>
        </row>
        <row r="148">
          <cell r="B148" t="str">
            <v>PAK102</v>
          </cell>
          <cell r="C148">
            <v>30240</v>
          </cell>
          <cell r="D148">
            <v>10080</v>
          </cell>
          <cell r="E148">
            <v>30240</v>
          </cell>
          <cell r="F148">
            <v>10080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/>
          <cell r="R148"/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</row>
        <row r="149">
          <cell r="B149" t="str">
            <v>PAK104</v>
          </cell>
          <cell r="C149">
            <v>30240</v>
          </cell>
          <cell r="D149">
            <v>10080</v>
          </cell>
          <cell r="E149">
            <v>28200</v>
          </cell>
          <cell r="F149">
            <v>8040</v>
          </cell>
          <cell r="G149">
            <v>2040</v>
          </cell>
          <cell r="H149">
            <v>2040</v>
          </cell>
          <cell r="I149">
            <v>290</v>
          </cell>
          <cell r="J149">
            <v>290</v>
          </cell>
          <cell r="K149">
            <v>290</v>
          </cell>
          <cell r="L149">
            <v>0</v>
          </cell>
          <cell r="M149">
            <v>290</v>
          </cell>
          <cell r="N149">
            <v>0</v>
          </cell>
          <cell r="O149">
            <v>1750</v>
          </cell>
          <cell r="P149">
            <v>1750</v>
          </cell>
          <cell r="Q149">
            <v>465</v>
          </cell>
          <cell r="R149">
            <v>465</v>
          </cell>
          <cell r="S149">
            <v>1285</v>
          </cell>
          <cell r="T149">
            <v>1285</v>
          </cell>
          <cell r="U149">
            <v>240</v>
          </cell>
          <cell r="V149">
            <v>180</v>
          </cell>
          <cell r="W149">
            <v>0</v>
          </cell>
          <cell r="X149">
            <v>60</v>
          </cell>
          <cell r="Y149">
            <v>0</v>
          </cell>
          <cell r="Z149">
            <v>135</v>
          </cell>
          <cell r="AA149">
            <v>30</v>
          </cell>
          <cell r="AB149">
            <v>0</v>
          </cell>
          <cell r="AC149">
            <v>0</v>
          </cell>
          <cell r="AD149">
            <v>105</v>
          </cell>
          <cell r="AE149">
            <v>0</v>
          </cell>
          <cell r="AF149">
            <v>250</v>
          </cell>
          <cell r="AG149">
            <v>100</v>
          </cell>
          <cell r="AH149">
            <v>130</v>
          </cell>
          <cell r="AI149">
            <v>20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660</v>
          </cell>
          <cell r="AP149">
            <v>0</v>
          </cell>
          <cell r="AQ149">
            <v>0</v>
          </cell>
          <cell r="AR149">
            <v>120</v>
          </cell>
          <cell r="AS149">
            <v>0</v>
          </cell>
          <cell r="AT149">
            <v>60</v>
          </cell>
          <cell r="AU149">
            <v>270</v>
          </cell>
          <cell r="AV149">
            <v>0</v>
          </cell>
          <cell r="AW149">
            <v>0</v>
          </cell>
          <cell r="AX149">
            <v>145</v>
          </cell>
          <cell r="AY149">
            <v>30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35</v>
          </cell>
          <cell r="BG149">
            <v>0</v>
          </cell>
          <cell r="BH149">
            <v>0</v>
          </cell>
          <cell r="BI149">
            <v>0</v>
          </cell>
          <cell r="BJ149">
            <v>15527</v>
          </cell>
          <cell r="BK149">
            <v>0</v>
          </cell>
          <cell r="BL149">
            <v>15527</v>
          </cell>
        </row>
        <row r="150">
          <cell r="B150" t="str">
            <v>PAK111</v>
          </cell>
          <cell r="C150">
            <v>30240</v>
          </cell>
          <cell r="D150">
            <v>10080</v>
          </cell>
          <cell r="E150">
            <v>20880</v>
          </cell>
          <cell r="F150">
            <v>720</v>
          </cell>
          <cell r="G150">
            <v>9360</v>
          </cell>
          <cell r="H150">
            <v>9360</v>
          </cell>
          <cell r="I150">
            <v>771</v>
          </cell>
          <cell r="J150">
            <v>771</v>
          </cell>
          <cell r="K150">
            <v>771</v>
          </cell>
          <cell r="L150">
            <v>456</v>
          </cell>
          <cell r="M150">
            <v>315</v>
          </cell>
          <cell r="N150">
            <v>0</v>
          </cell>
          <cell r="O150">
            <v>8589</v>
          </cell>
          <cell r="P150">
            <v>8589</v>
          </cell>
          <cell r="Q150">
            <v>4489</v>
          </cell>
          <cell r="R150">
            <v>4489</v>
          </cell>
          <cell r="S150">
            <v>4100</v>
          </cell>
          <cell r="T150">
            <v>4100</v>
          </cell>
          <cell r="U150">
            <v>1196</v>
          </cell>
          <cell r="V150">
            <v>583</v>
          </cell>
          <cell r="W150">
            <v>78</v>
          </cell>
          <cell r="X150">
            <v>241</v>
          </cell>
          <cell r="Y150">
            <v>294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1452</v>
          </cell>
          <cell r="AG150">
            <v>919</v>
          </cell>
          <cell r="AH150">
            <v>393</v>
          </cell>
          <cell r="AI150">
            <v>32</v>
          </cell>
          <cell r="AJ150">
            <v>0</v>
          </cell>
          <cell r="AK150">
            <v>108</v>
          </cell>
          <cell r="AL150">
            <v>0</v>
          </cell>
          <cell r="AM150">
            <v>0</v>
          </cell>
          <cell r="AN150">
            <v>0</v>
          </cell>
          <cell r="AO150">
            <v>1452</v>
          </cell>
          <cell r="AP150">
            <v>0</v>
          </cell>
          <cell r="AQ150">
            <v>0</v>
          </cell>
          <cell r="AR150">
            <v>570</v>
          </cell>
          <cell r="AS150">
            <v>0</v>
          </cell>
          <cell r="AT150">
            <v>345</v>
          </cell>
          <cell r="AU150">
            <v>0</v>
          </cell>
          <cell r="AV150">
            <v>0</v>
          </cell>
          <cell r="AW150">
            <v>0</v>
          </cell>
          <cell r="AX150">
            <v>184</v>
          </cell>
          <cell r="AY150">
            <v>204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149</v>
          </cell>
          <cell r="BG150">
            <v>0</v>
          </cell>
          <cell r="BH150">
            <v>0</v>
          </cell>
          <cell r="BI150">
            <v>0</v>
          </cell>
          <cell r="BJ150">
            <v>518712</v>
          </cell>
          <cell r="BK150">
            <v>63</v>
          </cell>
          <cell r="BL150">
            <v>518649</v>
          </cell>
        </row>
        <row r="151">
          <cell r="B151" t="str">
            <v>CPH SOL-MIXING</v>
          </cell>
          <cell r="C151">
            <v>30240</v>
          </cell>
          <cell r="D151">
            <v>10080</v>
          </cell>
          <cell r="E151">
            <v>27690</v>
          </cell>
          <cell r="F151">
            <v>7530</v>
          </cell>
          <cell r="G151">
            <v>2550</v>
          </cell>
          <cell r="H151">
            <v>2550</v>
          </cell>
          <cell r="I151">
            <v>970</v>
          </cell>
          <cell r="J151">
            <v>970</v>
          </cell>
          <cell r="K151">
            <v>970</v>
          </cell>
          <cell r="L151">
            <v>0</v>
          </cell>
          <cell r="M151">
            <v>970</v>
          </cell>
          <cell r="N151">
            <v>0</v>
          </cell>
          <cell r="O151">
            <v>1580</v>
          </cell>
          <cell r="P151">
            <v>1580</v>
          </cell>
          <cell r="Q151">
            <v>133</v>
          </cell>
          <cell r="R151">
            <v>133</v>
          </cell>
          <cell r="S151">
            <v>1447</v>
          </cell>
          <cell r="T151">
            <v>1447</v>
          </cell>
          <cell r="U151">
            <v>55</v>
          </cell>
          <cell r="V151">
            <v>30</v>
          </cell>
          <cell r="W151">
            <v>25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636</v>
          </cell>
          <cell r="AG151">
            <v>248</v>
          </cell>
          <cell r="AH151">
            <v>348</v>
          </cell>
          <cell r="AI151">
            <v>0</v>
          </cell>
          <cell r="AJ151">
            <v>0</v>
          </cell>
          <cell r="AK151">
            <v>40</v>
          </cell>
          <cell r="AL151">
            <v>0</v>
          </cell>
          <cell r="AM151">
            <v>0</v>
          </cell>
          <cell r="AN151">
            <v>0</v>
          </cell>
          <cell r="AO151">
            <v>756</v>
          </cell>
          <cell r="AP151">
            <v>465</v>
          </cell>
          <cell r="AQ151">
            <v>0</v>
          </cell>
          <cell r="AR151">
            <v>150</v>
          </cell>
          <cell r="AS151">
            <v>0</v>
          </cell>
          <cell r="AT151">
            <v>75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66</v>
          </cell>
          <cell r="BG151">
            <v>0</v>
          </cell>
          <cell r="BH151">
            <v>0</v>
          </cell>
          <cell r="BI151">
            <v>0</v>
          </cell>
          <cell r="BJ151">
            <v>527.78</v>
          </cell>
          <cell r="BK151">
            <v>1.46</v>
          </cell>
          <cell r="BL151">
            <v>526.32000000000005</v>
          </cell>
        </row>
        <row r="152">
          <cell r="B152" t="str">
            <v>MCF101</v>
          </cell>
          <cell r="C152">
            <v>30240</v>
          </cell>
          <cell r="D152">
            <v>10080</v>
          </cell>
          <cell r="E152">
            <v>27690</v>
          </cell>
          <cell r="F152">
            <v>7530</v>
          </cell>
          <cell r="G152">
            <v>2550</v>
          </cell>
          <cell r="H152">
            <v>2550</v>
          </cell>
          <cell r="I152">
            <v>970</v>
          </cell>
          <cell r="J152">
            <v>970</v>
          </cell>
          <cell r="K152">
            <v>970</v>
          </cell>
          <cell r="L152">
            <v>0</v>
          </cell>
          <cell r="M152">
            <v>970</v>
          </cell>
          <cell r="N152">
            <v>0</v>
          </cell>
          <cell r="O152">
            <v>1580</v>
          </cell>
          <cell r="P152">
            <v>1580</v>
          </cell>
          <cell r="Q152">
            <v>133</v>
          </cell>
          <cell r="R152">
            <v>133</v>
          </cell>
          <cell r="S152">
            <v>1447</v>
          </cell>
          <cell r="T152">
            <v>1447</v>
          </cell>
          <cell r="U152">
            <v>55</v>
          </cell>
          <cell r="V152">
            <v>30</v>
          </cell>
          <cell r="W152">
            <v>25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636</v>
          </cell>
          <cell r="AG152">
            <v>248</v>
          </cell>
          <cell r="AH152">
            <v>348</v>
          </cell>
          <cell r="AI152">
            <v>0</v>
          </cell>
          <cell r="AJ152">
            <v>0</v>
          </cell>
          <cell r="AK152">
            <v>40</v>
          </cell>
          <cell r="AL152">
            <v>0</v>
          </cell>
          <cell r="AM152">
            <v>0</v>
          </cell>
          <cell r="AN152">
            <v>0</v>
          </cell>
          <cell r="AO152">
            <v>756</v>
          </cell>
          <cell r="AP152">
            <v>465</v>
          </cell>
          <cell r="AQ152">
            <v>0</v>
          </cell>
          <cell r="AR152">
            <v>150</v>
          </cell>
          <cell r="AS152">
            <v>0</v>
          </cell>
          <cell r="AT152">
            <v>75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66</v>
          </cell>
          <cell r="BG152">
            <v>0</v>
          </cell>
          <cell r="BH152">
            <v>0</v>
          </cell>
          <cell r="BI152">
            <v>0</v>
          </cell>
          <cell r="BJ152">
            <v>527.78</v>
          </cell>
          <cell r="BK152">
            <v>1.46</v>
          </cell>
          <cell r="BL152">
            <v>526.32000000000005</v>
          </cell>
        </row>
        <row r="153">
          <cell r="B153" t="str">
            <v>CPH SOL-CAPSULE</v>
          </cell>
          <cell r="C153">
            <v>30240</v>
          </cell>
          <cell r="D153">
            <v>10080</v>
          </cell>
          <cell r="E153">
            <v>28200</v>
          </cell>
          <cell r="F153">
            <v>8040</v>
          </cell>
          <cell r="G153">
            <v>2040</v>
          </cell>
          <cell r="H153">
            <v>2040</v>
          </cell>
          <cell r="I153">
            <v>120</v>
          </cell>
          <cell r="J153">
            <v>120</v>
          </cell>
          <cell r="K153">
            <v>120</v>
          </cell>
          <cell r="L153">
            <v>120</v>
          </cell>
          <cell r="M153">
            <v>0</v>
          </cell>
          <cell r="N153">
            <v>0</v>
          </cell>
          <cell r="O153">
            <v>1920</v>
          </cell>
          <cell r="P153">
            <v>1920</v>
          </cell>
          <cell r="Q153">
            <v>625</v>
          </cell>
          <cell r="R153">
            <v>625</v>
          </cell>
          <cell r="S153">
            <v>1295</v>
          </cell>
          <cell r="T153">
            <v>1295</v>
          </cell>
          <cell r="U153">
            <v>120</v>
          </cell>
          <cell r="V153">
            <v>95</v>
          </cell>
          <cell r="W153">
            <v>0</v>
          </cell>
          <cell r="X153">
            <v>25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630</v>
          </cell>
          <cell r="AG153">
            <v>190</v>
          </cell>
          <cell r="AH153">
            <v>225</v>
          </cell>
          <cell r="AI153">
            <v>0</v>
          </cell>
          <cell r="AJ153">
            <v>0</v>
          </cell>
          <cell r="AK153">
            <v>215</v>
          </cell>
          <cell r="AL153">
            <v>0</v>
          </cell>
          <cell r="AM153">
            <v>0</v>
          </cell>
          <cell r="AN153">
            <v>0</v>
          </cell>
          <cell r="AO153">
            <v>545</v>
          </cell>
          <cell r="AP153">
            <v>0</v>
          </cell>
          <cell r="AQ153">
            <v>0</v>
          </cell>
          <cell r="AR153">
            <v>120</v>
          </cell>
          <cell r="AS153">
            <v>0</v>
          </cell>
          <cell r="AT153">
            <v>105</v>
          </cell>
          <cell r="AU153">
            <v>0</v>
          </cell>
          <cell r="AV153">
            <v>35</v>
          </cell>
          <cell r="AW153">
            <v>0</v>
          </cell>
          <cell r="AX153">
            <v>150</v>
          </cell>
          <cell r="AY153">
            <v>55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20</v>
          </cell>
          <cell r="BG153">
            <v>60</v>
          </cell>
          <cell r="BH153">
            <v>0</v>
          </cell>
          <cell r="BI153">
            <v>0</v>
          </cell>
          <cell r="BJ153">
            <v>496629</v>
          </cell>
          <cell r="BK153">
            <v>0</v>
          </cell>
          <cell r="BL153">
            <v>496629</v>
          </cell>
        </row>
        <row r="154">
          <cell r="B154" t="str">
            <v>KCF101</v>
          </cell>
          <cell r="C154">
            <v>30240</v>
          </cell>
          <cell r="D154">
            <v>10080</v>
          </cell>
          <cell r="E154">
            <v>28200</v>
          </cell>
          <cell r="F154">
            <v>8040</v>
          </cell>
          <cell r="G154">
            <v>2040</v>
          </cell>
          <cell r="H154">
            <v>2040</v>
          </cell>
          <cell r="I154">
            <v>120</v>
          </cell>
          <cell r="J154">
            <v>120</v>
          </cell>
          <cell r="K154">
            <v>120</v>
          </cell>
          <cell r="L154">
            <v>120</v>
          </cell>
          <cell r="M154">
            <v>0</v>
          </cell>
          <cell r="N154">
            <v>0</v>
          </cell>
          <cell r="O154">
            <v>1920</v>
          </cell>
          <cell r="P154">
            <v>1920</v>
          </cell>
          <cell r="Q154">
            <v>625</v>
          </cell>
          <cell r="R154">
            <v>625</v>
          </cell>
          <cell r="S154">
            <v>1295</v>
          </cell>
          <cell r="T154">
            <v>1295</v>
          </cell>
          <cell r="U154">
            <v>120</v>
          </cell>
          <cell r="V154">
            <v>95</v>
          </cell>
          <cell r="W154">
            <v>0</v>
          </cell>
          <cell r="X154">
            <v>25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630</v>
          </cell>
          <cell r="AG154">
            <v>190</v>
          </cell>
          <cell r="AH154">
            <v>225</v>
          </cell>
          <cell r="AI154">
            <v>0</v>
          </cell>
          <cell r="AJ154">
            <v>0</v>
          </cell>
          <cell r="AK154">
            <v>215</v>
          </cell>
          <cell r="AL154">
            <v>0</v>
          </cell>
          <cell r="AM154">
            <v>0</v>
          </cell>
          <cell r="AN154">
            <v>0</v>
          </cell>
          <cell r="AO154">
            <v>545</v>
          </cell>
          <cell r="AP154">
            <v>0</v>
          </cell>
          <cell r="AQ154">
            <v>0</v>
          </cell>
          <cell r="AR154">
            <v>120</v>
          </cell>
          <cell r="AS154">
            <v>0</v>
          </cell>
          <cell r="AT154">
            <v>105</v>
          </cell>
          <cell r="AU154">
            <v>0</v>
          </cell>
          <cell r="AV154">
            <v>35</v>
          </cell>
          <cell r="AW154">
            <v>0</v>
          </cell>
          <cell r="AX154">
            <v>150</v>
          </cell>
          <cell r="AY154">
            <v>55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20</v>
          </cell>
          <cell r="BG154">
            <v>60</v>
          </cell>
          <cell r="BH154">
            <v>0</v>
          </cell>
          <cell r="BI154">
            <v>0</v>
          </cell>
          <cell r="BJ154">
            <v>496629</v>
          </cell>
          <cell r="BK154">
            <v>0</v>
          </cell>
          <cell r="BL154">
            <v>496629</v>
          </cell>
        </row>
        <row r="155">
          <cell r="B155" t="str">
            <v>CPH SOL-STRIPPING</v>
          </cell>
          <cell r="C155">
            <v>30240</v>
          </cell>
          <cell r="D155">
            <v>10080</v>
          </cell>
          <cell r="E155">
            <v>27690</v>
          </cell>
          <cell r="F155">
            <v>7530</v>
          </cell>
          <cell r="G155">
            <v>2550</v>
          </cell>
          <cell r="H155">
            <v>2550</v>
          </cell>
          <cell r="I155">
            <v>360</v>
          </cell>
          <cell r="J155">
            <v>360</v>
          </cell>
          <cell r="K155">
            <v>360</v>
          </cell>
          <cell r="L155">
            <v>120</v>
          </cell>
          <cell r="M155">
            <v>240</v>
          </cell>
          <cell r="N155">
            <v>0</v>
          </cell>
          <cell r="O155">
            <v>2190</v>
          </cell>
          <cell r="P155">
            <v>2190</v>
          </cell>
          <cell r="Q155">
            <v>570</v>
          </cell>
          <cell r="R155">
            <v>570</v>
          </cell>
          <cell r="S155">
            <v>1620</v>
          </cell>
          <cell r="T155">
            <v>1620</v>
          </cell>
          <cell r="U155">
            <v>505</v>
          </cell>
          <cell r="V155">
            <v>445</v>
          </cell>
          <cell r="W155">
            <v>0</v>
          </cell>
          <cell r="X155">
            <v>60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705</v>
          </cell>
          <cell r="AG155">
            <v>565</v>
          </cell>
          <cell r="AH155">
            <v>90</v>
          </cell>
          <cell r="AI155">
            <v>0</v>
          </cell>
          <cell r="AJ155">
            <v>0</v>
          </cell>
          <cell r="AK155">
            <v>50</v>
          </cell>
          <cell r="AL155">
            <v>0</v>
          </cell>
          <cell r="AM155">
            <v>0</v>
          </cell>
          <cell r="AN155">
            <v>0</v>
          </cell>
          <cell r="AO155">
            <v>410</v>
          </cell>
          <cell r="AP155">
            <v>0</v>
          </cell>
          <cell r="AQ155">
            <v>0</v>
          </cell>
          <cell r="AR155">
            <v>150</v>
          </cell>
          <cell r="AS155">
            <v>0</v>
          </cell>
          <cell r="AT155">
            <v>75</v>
          </cell>
          <cell r="AU155">
            <v>0</v>
          </cell>
          <cell r="AV155">
            <v>0</v>
          </cell>
          <cell r="AW155">
            <v>0</v>
          </cell>
          <cell r="AX155">
            <v>60</v>
          </cell>
          <cell r="AY155">
            <v>50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75</v>
          </cell>
          <cell r="BG155">
            <v>0</v>
          </cell>
          <cell r="BH155">
            <v>0</v>
          </cell>
          <cell r="BI155">
            <v>0</v>
          </cell>
          <cell r="BJ155">
            <v>410775</v>
          </cell>
          <cell r="BK155">
            <v>2795</v>
          </cell>
          <cell r="BL155">
            <v>407980</v>
          </cell>
        </row>
        <row r="156">
          <cell r="B156" t="str">
            <v>STC101</v>
          </cell>
          <cell r="C156">
            <v>30240</v>
          </cell>
          <cell r="D156">
            <v>10080</v>
          </cell>
          <cell r="E156">
            <v>27690</v>
          </cell>
          <cell r="F156">
            <v>7530</v>
          </cell>
          <cell r="G156">
            <v>2550</v>
          </cell>
          <cell r="H156">
            <v>2550</v>
          </cell>
          <cell r="I156">
            <v>360</v>
          </cell>
          <cell r="J156">
            <v>360</v>
          </cell>
          <cell r="K156">
            <v>360</v>
          </cell>
          <cell r="L156">
            <v>120</v>
          </cell>
          <cell r="M156">
            <v>240</v>
          </cell>
          <cell r="N156">
            <v>0</v>
          </cell>
          <cell r="O156">
            <v>2190</v>
          </cell>
          <cell r="P156">
            <v>2190</v>
          </cell>
          <cell r="Q156">
            <v>570</v>
          </cell>
          <cell r="R156">
            <v>570</v>
          </cell>
          <cell r="S156">
            <v>1620</v>
          </cell>
          <cell r="T156">
            <v>1620</v>
          </cell>
          <cell r="U156">
            <v>505</v>
          </cell>
          <cell r="V156">
            <v>445</v>
          </cell>
          <cell r="W156">
            <v>0</v>
          </cell>
          <cell r="X156">
            <v>60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705</v>
          </cell>
          <cell r="AG156">
            <v>565</v>
          </cell>
          <cell r="AH156">
            <v>90</v>
          </cell>
          <cell r="AI156">
            <v>0</v>
          </cell>
          <cell r="AJ156">
            <v>0</v>
          </cell>
          <cell r="AK156">
            <v>50</v>
          </cell>
          <cell r="AL156">
            <v>0</v>
          </cell>
          <cell r="AM156">
            <v>0</v>
          </cell>
          <cell r="AN156">
            <v>0</v>
          </cell>
          <cell r="AO156">
            <v>410</v>
          </cell>
          <cell r="AP156">
            <v>0</v>
          </cell>
          <cell r="AQ156">
            <v>0</v>
          </cell>
          <cell r="AR156">
            <v>150</v>
          </cell>
          <cell r="AS156">
            <v>0</v>
          </cell>
          <cell r="AT156">
            <v>75</v>
          </cell>
          <cell r="AU156">
            <v>0</v>
          </cell>
          <cell r="AV156">
            <v>0</v>
          </cell>
          <cell r="AW156">
            <v>0</v>
          </cell>
          <cell r="AX156">
            <v>60</v>
          </cell>
          <cell r="AY156">
            <v>50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75</v>
          </cell>
          <cell r="BG156">
            <v>0</v>
          </cell>
          <cell r="BH156">
            <v>0</v>
          </cell>
          <cell r="BI156">
            <v>0</v>
          </cell>
          <cell r="BJ156">
            <v>410775</v>
          </cell>
          <cell r="BK156">
            <v>2795</v>
          </cell>
          <cell r="BL156">
            <v>407980</v>
          </cell>
        </row>
        <row r="157">
          <cell r="B157" t="str">
            <v>CPH SOL-POWDER FILLING</v>
          </cell>
          <cell r="C157">
            <v>30240</v>
          </cell>
          <cell r="D157">
            <v>10080</v>
          </cell>
          <cell r="E157">
            <v>28200</v>
          </cell>
          <cell r="F157">
            <v>8040</v>
          </cell>
          <cell r="G157">
            <v>2040</v>
          </cell>
          <cell r="H157">
            <v>2040</v>
          </cell>
          <cell r="I157">
            <v>100</v>
          </cell>
          <cell r="J157">
            <v>100</v>
          </cell>
          <cell r="K157">
            <v>100</v>
          </cell>
          <cell r="L157">
            <v>30</v>
          </cell>
          <cell r="M157">
            <v>70</v>
          </cell>
          <cell r="N157">
            <v>0</v>
          </cell>
          <cell r="O157">
            <v>1940</v>
          </cell>
          <cell r="P157">
            <v>1940</v>
          </cell>
          <cell r="Q157">
            <v>570</v>
          </cell>
          <cell r="R157">
            <v>570</v>
          </cell>
          <cell r="S157">
            <v>1370</v>
          </cell>
          <cell r="T157">
            <v>1370</v>
          </cell>
          <cell r="U157">
            <v>180</v>
          </cell>
          <cell r="V157">
            <v>85</v>
          </cell>
          <cell r="W157">
            <v>0</v>
          </cell>
          <cell r="X157">
            <v>95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810</v>
          </cell>
          <cell r="AG157">
            <v>340</v>
          </cell>
          <cell r="AH157">
            <v>450</v>
          </cell>
          <cell r="AI157">
            <v>0</v>
          </cell>
          <cell r="AJ157">
            <v>0</v>
          </cell>
          <cell r="AK157">
            <v>20</v>
          </cell>
          <cell r="AL157">
            <v>0</v>
          </cell>
          <cell r="AM157">
            <v>0</v>
          </cell>
          <cell r="AN157">
            <v>0</v>
          </cell>
          <cell r="AO157">
            <v>380</v>
          </cell>
          <cell r="AP157">
            <v>0</v>
          </cell>
          <cell r="AQ157">
            <v>0</v>
          </cell>
          <cell r="AR157">
            <v>125</v>
          </cell>
          <cell r="AS157">
            <v>0</v>
          </cell>
          <cell r="AT157">
            <v>80</v>
          </cell>
          <cell r="AU157">
            <v>0</v>
          </cell>
          <cell r="AV157">
            <v>30</v>
          </cell>
          <cell r="AW157">
            <v>15</v>
          </cell>
          <cell r="AX157">
            <v>0</v>
          </cell>
          <cell r="AY157">
            <v>30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75</v>
          </cell>
          <cell r="BG157">
            <v>25</v>
          </cell>
          <cell r="BH157">
            <v>0</v>
          </cell>
          <cell r="BI157">
            <v>0</v>
          </cell>
          <cell r="BJ157">
            <v>16924</v>
          </cell>
          <cell r="BK157">
            <v>73</v>
          </cell>
          <cell r="BL157">
            <v>16851</v>
          </cell>
        </row>
        <row r="158">
          <cell r="B158" t="str">
            <v>SCF102</v>
          </cell>
          <cell r="C158">
            <v>30240</v>
          </cell>
          <cell r="D158">
            <v>10080</v>
          </cell>
          <cell r="E158">
            <v>28200</v>
          </cell>
          <cell r="F158">
            <v>8040</v>
          </cell>
          <cell r="G158">
            <v>2040</v>
          </cell>
          <cell r="H158">
            <v>2040</v>
          </cell>
          <cell r="I158">
            <v>100</v>
          </cell>
          <cell r="J158">
            <v>100</v>
          </cell>
          <cell r="K158">
            <v>100</v>
          </cell>
          <cell r="L158">
            <v>30</v>
          </cell>
          <cell r="M158">
            <v>70</v>
          </cell>
          <cell r="N158">
            <v>0</v>
          </cell>
          <cell r="O158">
            <v>1940</v>
          </cell>
          <cell r="P158">
            <v>1940</v>
          </cell>
          <cell r="Q158">
            <v>570</v>
          </cell>
          <cell r="R158">
            <v>570</v>
          </cell>
          <cell r="S158">
            <v>1370</v>
          </cell>
          <cell r="T158">
            <v>1370</v>
          </cell>
          <cell r="U158">
            <v>180</v>
          </cell>
          <cell r="V158">
            <v>85</v>
          </cell>
          <cell r="W158">
            <v>0</v>
          </cell>
          <cell r="X158">
            <v>95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810</v>
          </cell>
          <cell r="AG158">
            <v>340</v>
          </cell>
          <cell r="AH158">
            <v>450</v>
          </cell>
          <cell r="AI158">
            <v>0</v>
          </cell>
          <cell r="AJ158">
            <v>0</v>
          </cell>
          <cell r="AK158">
            <v>20</v>
          </cell>
          <cell r="AL158">
            <v>0</v>
          </cell>
          <cell r="AM158">
            <v>0</v>
          </cell>
          <cell r="AN158">
            <v>0</v>
          </cell>
          <cell r="AO158">
            <v>380</v>
          </cell>
          <cell r="AP158">
            <v>0</v>
          </cell>
          <cell r="AQ158">
            <v>0</v>
          </cell>
          <cell r="AR158">
            <v>125</v>
          </cell>
          <cell r="AS158">
            <v>0</v>
          </cell>
          <cell r="AT158">
            <v>80</v>
          </cell>
          <cell r="AU158">
            <v>0</v>
          </cell>
          <cell r="AV158">
            <v>30</v>
          </cell>
          <cell r="AW158">
            <v>15</v>
          </cell>
          <cell r="AX158">
            <v>0</v>
          </cell>
          <cell r="AY158">
            <v>30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75</v>
          </cell>
          <cell r="BG158">
            <v>25</v>
          </cell>
          <cell r="BH158">
            <v>0</v>
          </cell>
          <cell r="BI158">
            <v>0</v>
          </cell>
          <cell r="BJ158">
            <v>16924</v>
          </cell>
          <cell r="BK158">
            <v>73</v>
          </cell>
          <cell r="BL158">
            <v>16851</v>
          </cell>
        </row>
        <row r="159">
          <cell r="B159" t="str">
            <v>CPH INJ-FILLING</v>
          </cell>
          <cell r="C159">
            <v>30240</v>
          </cell>
          <cell r="D159">
            <v>19530</v>
          </cell>
          <cell r="E159">
            <v>22800</v>
          </cell>
          <cell r="F159">
            <v>12090</v>
          </cell>
          <cell r="G159">
            <v>7440</v>
          </cell>
          <cell r="H159">
            <v>7440</v>
          </cell>
          <cell r="I159">
            <v>655</v>
          </cell>
          <cell r="J159">
            <v>655</v>
          </cell>
          <cell r="K159">
            <v>655</v>
          </cell>
          <cell r="L159">
            <v>45</v>
          </cell>
          <cell r="M159">
            <v>610</v>
          </cell>
          <cell r="N159">
            <v>0</v>
          </cell>
          <cell r="O159">
            <v>6785</v>
          </cell>
          <cell r="P159">
            <v>6785</v>
          </cell>
          <cell r="Q159">
            <v>2703</v>
          </cell>
          <cell r="R159">
            <v>2703</v>
          </cell>
          <cell r="S159">
            <v>4082</v>
          </cell>
          <cell r="T159">
            <v>4082</v>
          </cell>
          <cell r="U159">
            <v>628</v>
          </cell>
          <cell r="V159">
            <v>450</v>
          </cell>
          <cell r="W159">
            <v>0</v>
          </cell>
          <cell r="X159">
            <v>155</v>
          </cell>
          <cell r="Y159">
            <v>23</v>
          </cell>
          <cell r="Z159">
            <v>84</v>
          </cell>
          <cell r="AA159">
            <v>0</v>
          </cell>
          <cell r="AB159">
            <v>84</v>
          </cell>
          <cell r="AC159">
            <v>0</v>
          </cell>
          <cell r="AD159">
            <v>0</v>
          </cell>
          <cell r="AE159">
            <v>0</v>
          </cell>
          <cell r="AF159">
            <v>2040</v>
          </cell>
          <cell r="AG159">
            <v>897</v>
          </cell>
          <cell r="AH159">
            <v>1143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1330</v>
          </cell>
          <cell r="AP159">
            <v>0</v>
          </cell>
          <cell r="AQ159">
            <v>0</v>
          </cell>
          <cell r="AR159">
            <v>541</v>
          </cell>
          <cell r="AS159">
            <v>5</v>
          </cell>
          <cell r="AT159">
            <v>370</v>
          </cell>
          <cell r="AU159">
            <v>0</v>
          </cell>
          <cell r="AV159">
            <v>0</v>
          </cell>
          <cell r="AW159">
            <v>96</v>
          </cell>
          <cell r="AX159">
            <v>0</v>
          </cell>
          <cell r="AY159">
            <v>44</v>
          </cell>
          <cell r="AZ159">
            <v>0</v>
          </cell>
          <cell r="BA159">
            <v>0</v>
          </cell>
          <cell r="BB159">
            <v>260</v>
          </cell>
          <cell r="BC159">
            <v>0</v>
          </cell>
          <cell r="BD159">
            <v>0</v>
          </cell>
          <cell r="BE159">
            <v>0</v>
          </cell>
          <cell r="BF159">
            <v>14</v>
          </cell>
          <cell r="BG159">
            <v>0</v>
          </cell>
          <cell r="BH159">
            <v>0</v>
          </cell>
          <cell r="BI159">
            <v>0</v>
          </cell>
          <cell r="BJ159">
            <v>393976</v>
          </cell>
          <cell r="BK159">
            <v>261</v>
          </cell>
          <cell r="BL159">
            <v>393715</v>
          </cell>
        </row>
        <row r="160">
          <cell r="B160" t="str">
            <v>GINLINE6</v>
          </cell>
          <cell r="C160">
            <v>30240</v>
          </cell>
          <cell r="D160">
            <v>19530</v>
          </cell>
          <cell r="E160">
            <v>22800</v>
          </cell>
          <cell r="F160">
            <v>12090</v>
          </cell>
          <cell r="G160">
            <v>7440</v>
          </cell>
          <cell r="H160">
            <v>7440</v>
          </cell>
          <cell r="I160">
            <v>655</v>
          </cell>
          <cell r="J160">
            <v>655</v>
          </cell>
          <cell r="K160">
            <v>655</v>
          </cell>
          <cell r="L160">
            <v>45</v>
          </cell>
          <cell r="M160">
            <v>610</v>
          </cell>
          <cell r="N160">
            <v>0</v>
          </cell>
          <cell r="O160">
            <v>6785</v>
          </cell>
          <cell r="P160">
            <v>6785</v>
          </cell>
          <cell r="Q160">
            <v>2703</v>
          </cell>
          <cell r="R160">
            <v>2703</v>
          </cell>
          <cell r="S160">
            <v>4082</v>
          </cell>
          <cell r="T160">
            <v>4082</v>
          </cell>
          <cell r="U160">
            <v>628</v>
          </cell>
          <cell r="V160">
            <v>450</v>
          </cell>
          <cell r="W160">
            <v>0</v>
          </cell>
          <cell r="X160">
            <v>155</v>
          </cell>
          <cell r="Y160">
            <v>23</v>
          </cell>
          <cell r="Z160">
            <v>84</v>
          </cell>
          <cell r="AA160">
            <v>0</v>
          </cell>
          <cell r="AB160">
            <v>84</v>
          </cell>
          <cell r="AC160">
            <v>0</v>
          </cell>
          <cell r="AD160">
            <v>0</v>
          </cell>
          <cell r="AE160">
            <v>0</v>
          </cell>
          <cell r="AF160">
            <v>2040</v>
          </cell>
          <cell r="AG160">
            <v>897</v>
          </cell>
          <cell r="AH160">
            <v>1143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1330</v>
          </cell>
          <cell r="AP160">
            <v>0</v>
          </cell>
          <cell r="AQ160">
            <v>0</v>
          </cell>
          <cell r="AR160">
            <v>541</v>
          </cell>
          <cell r="AS160">
            <v>5</v>
          </cell>
          <cell r="AT160">
            <v>370</v>
          </cell>
          <cell r="AU160">
            <v>0</v>
          </cell>
          <cell r="AV160">
            <v>0</v>
          </cell>
          <cell r="AW160">
            <v>96</v>
          </cell>
          <cell r="AX160">
            <v>0</v>
          </cell>
          <cell r="AY160">
            <v>44</v>
          </cell>
          <cell r="AZ160">
            <v>0</v>
          </cell>
          <cell r="BA160">
            <v>0</v>
          </cell>
          <cell r="BB160">
            <v>260</v>
          </cell>
          <cell r="BC160">
            <v>0</v>
          </cell>
          <cell r="BD160">
            <v>0</v>
          </cell>
          <cell r="BE160">
            <v>0</v>
          </cell>
          <cell r="BF160">
            <v>14</v>
          </cell>
          <cell r="BG160">
            <v>0</v>
          </cell>
          <cell r="BH160">
            <v>0</v>
          </cell>
          <cell r="BI160">
            <v>0</v>
          </cell>
          <cell r="BJ160">
            <v>393976</v>
          </cell>
          <cell r="BK160">
            <v>261</v>
          </cell>
          <cell r="BL160">
            <v>393715</v>
          </cell>
        </row>
        <row r="161">
          <cell r="B161" t="str">
            <v>CPH INJ-STERILIZATION</v>
          </cell>
          <cell r="C161">
            <v>60480</v>
          </cell>
          <cell r="D161">
            <v>39060</v>
          </cell>
          <cell r="E161">
            <v>45540</v>
          </cell>
          <cell r="F161">
            <v>24120</v>
          </cell>
          <cell r="G161">
            <v>14940</v>
          </cell>
          <cell r="H161">
            <v>14940</v>
          </cell>
          <cell r="I161">
            <v>1466</v>
          </cell>
          <cell r="J161">
            <v>1466</v>
          </cell>
          <cell r="K161">
            <v>1466</v>
          </cell>
          <cell r="L161">
            <v>188</v>
          </cell>
          <cell r="M161">
            <v>1278</v>
          </cell>
          <cell r="N161">
            <v>0</v>
          </cell>
          <cell r="O161">
            <v>13474</v>
          </cell>
          <cell r="P161">
            <v>13474</v>
          </cell>
          <cell r="Q161">
            <v>6971</v>
          </cell>
          <cell r="R161">
            <v>6971</v>
          </cell>
          <cell r="S161">
            <v>6503</v>
          </cell>
          <cell r="T161">
            <v>6503</v>
          </cell>
          <cell r="U161">
            <v>464</v>
          </cell>
          <cell r="V161">
            <v>354</v>
          </cell>
          <cell r="W161">
            <v>0</v>
          </cell>
          <cell r="X161">
            <v>110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3999</v>
          </cell>
          <cell r="AG161">
            <v>3681</v>
          </cell>
          <cell r="AH161">
            <v>318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2040</v>
          </cell>
          <cell r="AP161">
            <v>0</v>
          </cell>
          <cell r="AQ161">
            <v>0</v>
          </cell>
          <cell r="AR161">
            <v>45</v>
          </cell>
          <cell r="AS161">
            <v>0</v>
          </cell>
          <cell r="AT161">
            <v>15</v>
          </cell>
          <cell r="AU161">
            <v>0</v>
          </cell>
          <cell r="AV161">
            <v>0</v>
          </cell>
          <cell r="AW161">
            <v>100</v>
          </cell>
          <cell r="AX161">
            <v>1880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631</v>
          </cell>
          <cell r="BK161">
            <v>0</v>
          </cell>
          <cell r="BL161">
            <v>631</v>
          </cell>
        </row>
        <row r="162">
          <cell r="B162" t="str">
            <v>ICF104</v>
          </cell>
          <cell r="C162">
            <v>30240</v>
          </cell>
          <cell r="D162">
            <v>19530</v>
          </cell>
          <cell r="E162">
            <v>22770</v>
          </cell>
          <cell r="F162">
            <v>12060</v>
          </cell>
          <cell r="G162">
            <v>7470</v>
          </cell>
          <cell r="H162">
            <v>7470</v>
          </cell>
          <cell r="I162">
            <v>441</v>
          </cell>
          <cell r="J162">
            <v>441</v>
          </cell>
          <cell r="K162">
            <v>441</v>
          </cell>
          <cell r="L162">
            <v>128</v>
          </cell>
          <cell r="M162">
            <v>313</v>
          </cell>
          <cell r="N162">
            <v>0</v>
          </cell>
          <cell r="O162">
            <v>7029</v>
          </cell>
          <cell r="P162">
            <v>7029</v>
          </cell>
          <cell r="Q162">
            <v>3583</v>
          </cell>
          <cell r="R162">
            <v>3583</v>
          </cell>
          <cell r="S162">
            <v>3446</v>
          </cell>
          <cell r="T162">
            <v>3446</v>
          </cell>
          <cell r="U162">
            <v>218</v>
          </cell>
          <cell r="V162">
            <v>168</v>
          </cell>
          <cell r="W162">
            <v>0</v>
          </cell>
          <cell r="X162">
            <v>50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2613</v>
          </cell>
          <cell r="AG162">
            <v>2567</v>
          </cell>
          <cell r="AH162">
            <v>46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615</v>
          </cell>
          <cell r="AP162">
            <v>0</v>
          </cell>
          <cell r="AQ162">
            <v>0</v>
          </cell>
          <cell r="AR162">
            <v>45</v>
          </cell>
          <cell r="AS162">
            <v>0</v>
          </cell>
          <cell r="AT162">
            <v>15</v>
          </cell>
          <cell r="AU162">
            <v>0</v>
          </cell>
          <cell r="AV162">
            <v>0</v>
          </cell>
          <cell r="AW162">
            <v>60</v>
          </cell>
          <cell r="AX162">
            <v>495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366</v>
          </cell>
          <cell r="BK162">
            <v>0</v>
          </cell>
          <cell r="BL162">
            <v>366</v>
          </cell>
        </row>
        <row r="163">
          <cell r="B163" t="str">
            <v>ICF105</v>
          </cell>
          <cell r="C163">
            <v>30240</v>
          </cell>
          <cell r="D163">
            <v>19530</v>
          </cell>
          <cell r="E163">
            <v>22770</v>
          </cell>
          <cell r="F163">
            <v>12060</v>
          </cell>
          <cell r="G163">
            <v>7470</v>
          </cell>
          <cell r="H163">
            <v>7470</v>
          </cell>
          <cell r="I163">
            <v>1025</v>
          </cell>
          <cell r="J163">
            <v>1025</v>
          </cell>
          <cell r="K163">
            <v>1025</v>
          </cell>
          <cell r="L163">
            <v>60</v>
          </cell>
          <cell r="M163">
            <v>965</v>
          </cell>
          <cell r="N163">
            <v>0</v>
          </cell>
          <cell r="O163">
            <v>6445</v>
          </cell>
          <cell r="P163">
            <v>6445</v>
          </cell>
          <cell r="Q163">
            <v>3388</v>
          </cell>
          <cell r="R163">
            <v>3388</v>
          </cell>
          <cell r="S163">
            <v>3057</v>
          </cell>
          <cell r="T163">
            <v>3057</v>
          </cell>
          <cell r="U163">
            <v>246</v>
          </cell>
          <cell r="V163">
            <v>186</v>
          </cell>
          <cell r="W163">
            <v>0</v>
          </cell>
          <cell r="X163">
            <v>60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1386</v>
          </cell>
          <cell r="AG163">
            <v>1114</v>
          </cell>
          <cell r="AH163">
            <v>272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1425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40</v>
          </cell>
          <cell r="AX163">
            <v>1385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265</v>
          </cell>
          <cell r="BK163">
            <v>0</v>
          </cell>
          <cell r="BL163">
            <v>265</v>
          </cell>
        </row>
        <row r="164">
          <cell r="B164" t="str">
            <v>CPH-SECONDARY PACKING</v>
          </cell>
          <cell r="C164">
            <v>60480</v>
          </cell>
          <cell r="D164">
            <v>20160</v>
          </cell>
          <cell r="E164">
            <v>41190</v>
          </cell>
          <cell r="F164">
            <v>870</v>
          </cell>
          <cell r="G164">
            <v>19290</v>
          </cell>
          <cell r="H164">
            <v>19290</v>
          </cell>
          <cell r="I164">
            <v>1605</v>
          </cell>
          <cell r="J164">
            <v>1605</v>
          </cell>
          <cell r="K164">
            <v>1605</v>
          </cell>
          <cell r="L164">
            <v>490</v>
          </cell>
          <cell r="M164">
            <v>1115</v>
          </cell>
          <cell r="N164">
            <v>0</v>
          </cell>
          <cell r="O164">
            <v>17685</v>
          </cell>
          <cell r="P164">
            <v>17685</v>
          </cell>
          <cell r="Q164">
            <v>7407</v>
          </cell>
          <cell r="R164">
            <v>7407</v>
          </cell>
          <cell r="S164">
            <v>10278</v>
          </cell>
          <cell r="T164">
            <v>10278</v>
          </cell>
          <cell r="U164">
            <v>4494</v>
          </cell>
          <cell r="V164">
            <v>1384</v>
          </cell>
          <cell r="W164">
            <v>180</v>
          </cell>
          <cell r="X164">
            <v>1292</v>
          </cell>
          <cell r="Y164">
            <v>1638</v>
          </cell>
          <cell r="Z164">
            <v>60</v>
          </cell>
          <cell r="AA164">
            <v>60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1993</v>
          </cell>
          <cell r="AG164">
            <v>678</v>
          </cell>
          <cell r="AH164">
            <v>529</v>
          </cell>
          <cell r="AI164">
            <v>456</v>
          </cell>
          <cell r="AJ164">
            <v>0</v>
          </cell>
          <cell r="AK164">
            <v>330</v>
          </cell>
          <cell r="AL164">
            <v>0</v>
          </cell>
          <cell r="AM164">
            <v>0</v>
          </cell>
          <cell r="AN164">
            <v>0</v>
          </cell>
          <cell r="AO164">
            <v>3731</v>
          </cell>
          <cell r="AP164">
            <v>17</v>
          </cell>
          <cell r="AQ164">
            <v>30</v>
          </cell>
          <cell r="AR164">
            <v>1140</v>
          </cell>
          <cell r="AS164">
            <v>17</v>
          </cell>
          <cell r="AT164">
            <v>690</v>
          </cell>
          <cell r="AU164">
            <v>0</v>
          </cell>
          <cell r="AV164">
            <v>55</v>
          </cell>
          <cell r="AW164">
            <v>0</v>
          </cell>
          <cell r="AX164">
            <v>81</v>
          </cell>
          <cell r="AY164">
            <v>1014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672</v>
          </cell>
          <cell r="BG164">
            <v>15</v>
          </cell>
          <cell r="BH164">
            <v>0</v>
          </cell>
          <cell r="BI164">
            <v>0</v>
          </cell>
          <cell r="BJ164">
            <v>911770</v>
          </cell>
          <cell r="BK164">
            <v>560</v>
          </cell>
          <cell r="BL164">
            <v>911210</v>
          </cell>
        </row>
        <row r="165">
          <cell r="B165" t="str">
            <v>PCF101</v>
          </cell>
          <cell r="C165">
            <v>30240</v>
          </cell>
          <cell r="D165">
            <v>10080</v>
          </cell>
          <cell r="E165">
            <v>17910</v>
          </cell>
          <cell r="F165">
            <v>-2250</v>
          </cell>
          <cell r="G165">
            <v>12330</v>
          </cell>
          <cell r="H165">
            <v>12330</v>
          </cell>
          <cell r="I165">
            <v>815</v>
          </cell>
          <cell r="J165">
            <v>815</v>
          </cell>
          <cell r="K165">
            <v>815</v>
          </cell>
          <cell r="L165">
            <v>295</v>
          </cell>
          <cell r="M165">
            <v>520</v>
          </cell>
          <cell r="N165">
            <v>0</v>
          </cell>
          <cell r="O165">
            <v>11515</v>
          </cell>
          <cell r="P165">
            <v>11515</v>
          </cell>
          <cell r="Q165">
            <v>3932</v>
          </cell>
          <cell r="R165">
            <v>3932</v>
          </cell>
          <cell r="S165">
            <v>7583</v>
          </cell>
          <cell r="T165">
            <v>7583</v>
          </cell>
          <cell r="U165">
            <v>3801</v>
          </cell>
          <cell r="V165">
            <v>826</v>
          </cell>
          <cell r="W165">
            <v>180</v>
          </cell>
          <cell r="X165">
            <v>1157</v>
          </cell>
          <cell r="Y165">
            <v>1638</v>
          </cell>
          <cell r="Z165">
            <v>60</v>
          </cell>
          <cell r="AA165">
            <v>60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1246</v>
          </cell>
          <cell r="AG165">
            <v>553</v>
          </cell>
          <cell r="AH165">
            <v>384</v>
          </cell>
          <cell r="AI165">
            <v>309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2476</v>
          </cell>
          <cell r="AP165">
            <v>17</v>
          </cell>
          <cell r="AQ165">
            <v>0</v>
          </cell>
          <cell r="AR165">
            <v>750</v>
          </cell>
          <cell r="AS165">
            <v>12</v>
          </cell>
          <cell r="AT165">
            <v>465</v>
          </cell>
          <cell r="AU165">
            <v>0</v>
          </cell>
          <cell r="AV165">
            <v>0</v>
          </cell>
          <cell r="AW165">
            <v>0</v>
          </cell>
          <cell r="AX165">
            <v>81</v>
          </cell>
          <cell r="AY165">
            <v>835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301</v>
          </cell>
          <cell r="BG165">
            <v>15</v>
          </cell>
          <cell r="BH165">
            <v>0</v>
          </cell>
          <cell r="BI165">
            <v>0</v>
          </cell>
          <cell r="BJ165">
            <v>810603</v>
          </cell>
          <cell r="BK165">
            <v>192</v>
          </cell>
          <cell r="BL165">
            <v>810411</v>
          </cell>
        </row>
        <row r="166">
          <cell r="B166" t="str">
            <v>PCF102</v>
          </cell>
          <cell r="C166">
            <v>30240</v>
          </cell>
          <cell r="D166">
            <v>10080</v>
          </cell>
          <cell r="E166">
            <v>23280</v>
          </cell>
          <cell r="F166">
            <v>3120</v>
          </cell>
          <cell r="G166">
            <v>6960</v>
          </cell>
          <cell r="H166">
            <v>6960</v>
          </cell>
          <cell r="I166">
            <v>790</v>
          </cell>
          <cell r="J166">
            <v>790</v>
          </cell>
          <cell r="K166">
            <v>790</v>
          </cell>
          <cell r="L166">
            <v>195</v>
          </cell>
          <cell r="M166">
            <v>595</v>
          </cell>
          <cell r="N166">
            <v>0</v>
          </cell>
          <cell r="O166">
            <v>6170</v>
          </cell>
          <cell r="P166">
            <v>6170</v>
          </cell>
          <cell r="Q166">
            <v>3475</v>
          </cell>
          <cell r="R166">
            <v>3475</v>
          </cell>
          <cell r="S166">
            <v>2695</v>
          </cell>
          <cell r="T166">
            <v>2695</v>
          </cell>
          <cell r="U166">
            <v>693</v>
          </cell>
          <cell r="V166">
            <v>558</v>
          </cell>
          <cell r="W166">
            <v>0</v>
          </cell>
          <cell r="X166">
            <v>135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747</v>
          </cell>
          <cell r="AG166">
            <v>125</v>
          </cell>
          <cell r="AH166">
            <v>145</v>
          </cell>
          <cell r="AI166">
            <v>147</v>
          </cell>
          <cell r="AJ166">
            <v>0</v>
          </cell>
          <cell r="AK166">
            <v>330</v>
          </cell>
          <cell r="AL166">
            <v>0</v>
          </cell>
          <cell r="AM166">
            <v>0</v>
          </cell>
          <cell r="AN166">
            <v>0</v>
          </cell>
          <cell r="AO166">
            <v>1255</v>
          </cell>
          <cell r="AP166">
            <v>0</v>
          </cell>
          <cell r="AQ166">
            <v>30</v>
          </cell>
          <cell r="AR166">
            <v>390</v>
          </cell>
          <cell r="AS166">
            <v>5</v>
          </cell>
          <cell r="AT166">
            <v>225</v>
          </cell>
          <cell r="AU166">
            <v>0</v>
          </cell>
          <cell r="AV166">
            <v>55</v>
          </cell>
          <cell r="AW166">
            <v>0</v>
          </cell>
          <cell r="AX166">
            <v>0</v>
          </cell>
          <cell r="AY166">
            <v>179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371</v>
          </cell>
          <cell r="BG166">
            <v>0</v>
          </cell>
          <cell r="BH166">
            <v>0</v>
          </cell>
          <cell r="BI166">
            <v>0</v>
          </cell>
          <cell r="BJ166">
            <v>101167</v>
          </cell>
          <cell r="BK166">
            <v>368</v>
          </cell>
          <cell r="BL166">
            <v>100799</v>
          </cell>
        </row>
      </sheetData>
      <sheetData sheetId="14" refreshError="1"/>
      <sheetData sheetId="1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shboard OEE"/>
      <sheetName val="Dashboard Monthly Manpower"/>
      <sheetName val="Dashboard Monthly Legend"/>
      <sheetName val="Dashboard Legend Group"/>
      <sheetName val="Mesin Running"/>
      <sheetName val="Pivot Batch &amp; Tanggal"/>
      <sheetName val="Jumlah Shift"/>
      <sheetName val="Format Shift Operation"/>
      <sheetName val="Custom Report "/>
      <sheetName val="OEE All Machine Report"/>
      <sheetName val="OEE By Group Report"/>
      <sheetName val="Analisys QBR Report"/>
      <sheetName val="Analisys QBR By Machine Report"/>
      <sheetName val="Dasboard_QBR_Report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B1" t="str">
            <v>oee</v>
          </cell>
        </row>
        <row r="109">
          <cell r="C109" t="str">
            <v>PROSES( Menit )</v>
          </cell>
          <cell r="D109" t="str">
            <v>POT</v>
          </cell>
          <cell r="E109" t="str">
            <v>Unschedule Time</v>
          </cell>
          <cell r="F109" t="str">
            <v>L2</v>
          </cell>
          <cell r="G109" t="str">
            <v>L21</v>
          </cell>
          <cell r="H109" t="str">
            <v>L22</v>
          </cell>
          <cell r="I109" t="str">
            <v>IG</v>
          </cell>
          <cell r="J109" t="str">
            <v>PPT</v>
          </cell>
          <cell r="K109" t="str">
            <v>R</v>
          </cell>
          <cell r="L109" t="str">
            <v>Setup</v>
          </cell>
          <cell r="M109" t="str">
            <v>P6</v>
          </cell>
          <cell r="N109" t="str">
            <v>P5</v>
          </cell>
          <cell r="O109" t="str">
            <v>P8</v>
          </cell>
          <cell r="P109" t="str">
            <v>P9</v>
          </cell>
          <cell r="Q109" t="str">
            <v>Breakdown</v>
          </cell>
          <cell r="R109" t="str">
            <v>M1</v>
          </cell>
          <cell r="S109" t="str">
            <v>M2</v>
          </cell>
          <cell r="T109" t="str">
            <v>M4</v>
          </cell>
          <cell r="U109" t="str">
            <v>M8</v>
          </cell>
          <cell r="V109" t="str">
            <v>M9</v>
          </cell>
          <cell r="W109" t="str">
            <v>Clean</v>
          </cell>
          <cell r="X109" t="str">
            <v>P2</v>
          </cell>
          <cell r="Y109" t="str">
            <v>P4</v>
          </cell>
          <cell r="Z109" t="str">
            <v>P17</v>
          </cell>
          <cell r="AA109" t="str">
            <v>P19</v>
          </cell>
          <cell r="AB109" t="str">
            <v>P12</v>
          </cell>
          <cell r="AC109" t="str">
            <v>Trial</v>
          </cell>
          <cell r="AD109" t="str">
            <v>R1</v>
          </cell>
          <cell r="AE109" t="str">
            <v>R2</v>
          </cell>
          <cell r="AF109" t="str">
            <v>Waiting</v>
          </cell>
          <cell r="AG109" t="str">
            <v>L1</v>
          </cell>
          <cell r="AH109" t="str">
            <v>L3</v>
          </cell>
          <cell r="AI109" t="str">
            <v>H1</v>
          </cell>
          <cell r="AJ109" t="str">
            <v>H2</v>
          </cell>
          <cell r="AK109" t="str">
            <v>H4</v>
          </cell>
          <cell r="AL109" t="str">
            <v>H6</v>
          </cell>
          <cell r="AM109" t="str">
            <v>H7</v>
          </cell>
          <cell r="AN109" t="str">
            <v>H8</v>
          </cell>
          <cell r="AO109" t="str">
            <v>P10</v>
          </cell>
          <cell r="AP109" t="str">
            <v>P11</v>
          </cell>
          <cell r="AQ109" t="str">
            <v>P13</v>
          </cell>
          <cell r="AR109" t="str">
            <v>P14</v>
          </cell>
          <cell r="AS109" t="str">
            <v>P16</v>
          </cell>
          <cell r="AT109" t="str">
            <v>M5</v>
          </cell>
          <cell r="AU109" t="str">
            <v>M6</v>
          </cell>
          <cell r="AV109" t="str">
            <v>M7</v>
          </cell>
          <cell r="AW109" t="str">
            <v>Q1</v>
          </cell>
          <cell r="AX109" t="str">
            <v>Q2</v>
          </cell>
          <cell r="AY109" t="str">
            <v>Q3</v>
          </cell>
          <cell r="AZ109" t="str">
            <v>Q4</v>
          </cell>
          <cell r="BA109" t="str">
            <v>Total Output</v>
          </cell>
          <cell r="BB109" t="str">
            <v>Reject Output</v>
          </cell>
          <cell r="BC109" t="str">
            <v>Good Output</v>
          </cell>
        </row>
        <row r="110">
          <cell r="C110" t="str">
            <v>NBL SOL-MIXING</v>
          </cell>
          <cell r="D110">
            <v>77760</v>
          </cell>
          <cell r="E110">
            <v>54360</v>
          </cell>
          <cell r="F110">
            <v>4087</v>
          </cell>
          <cell r="G110">
            <v>1272</v>
          </cell>
          <cell r="H110">
            <v>2815</v>
          </cell>
          <cell r="I110">
            <v>0</v>
          </cell>
          <cell r="J110">
            <v>19313</v>
          </cell>
          <cell r="K110">
            <v>2821</v>
          </cell>
          <cell r="L110">
            <v>610</v>
          </cell>
          <cell r="M110">
            <v>605</v>
          </cell>
          <cell r="N110">
            <v>0</v>
          </cell>
          <cell r="O110">
            <v>5</v>
          </cell>
          <cell r="P110">
            <v>0</v>
          </cell>
          <cell r="Q110">
            <v>248</v>
          </cell>
          <cell r="R110">
            <v>248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8104</v>
          </cell>
          <cell r="X110">
            <v>4056</v>
          </cell>
          <cell r="Y110">
            <v>3481</v>
          </cell>
          <cell r="Z110">
            <v>0</v>
          </cell>
          <cell r="AA110">
            <v>0</v>
          </cell>
          <cell r="AB110">
            <v>567</v>
          </cell>
          <cell r="AC110">
            <v>270</v>
          </cell>
          <cell r="AD110">
            <v>0</v>
          </cell>
          <cell r="AE110">
            <v>270</v>
          </cell>
          <cell r="AF110">
            <v>7260</v>
          </cell>
          <cell r="AG110">
            <v>40</v>
          </cell>
          <cell r="AH110">
            <v>0</v>
          </cell>
          <cell r="AI110">
            <v>1410</v>
          </cell>
          <cell r="AJ110">
            <v>0</v>
          </cell>
          <cell r="AK110">
            <v>1110</v>
          </cell>
          <cell r="AL110">
            <v>0</v>
          </cell>
          <cell r="AM110">
            <v>0</v>
          </cell>
          <cell r="AN110">
            <v>0</v>
          </cell>
          <cell r="AO110">
            <v>4037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663</v>
          </cell>
          <cell r="AX110">
            <v>0</v>
          </cell>
          <cell r="AY110">
            <v>0</v>
          </cell>
          <cell r="AZ110">
            <v>0</v>
          </cell>
          <cell r="BA110">
            <v>3611.75</v>
          </cell>
          <cell r="BB110">
            <v>0</v>
          </cell>
          <cell r="BC110">
            <v>3611.75</v>
          </cell>
        </row>
        <row r="111">
          <cell r="C111" t="str">
            <v>MIX113</v>
          </cell>
          <cell r="D111">
            <v>25920</v>
          </cell>
          <cell r="E111">
            <v>13950</v>
          </cell>
          <cell r="F111">
            <v>2305</v>
          </cell>
          <cell r="G111">
            <v>470</v>
          </cell>
          <cell r="H111">
            <v>1835</v>
          </cell>
          <cell r="I111">
            <v>0</v>
          </cell>
          <cell r="J111">
            <v>9665</v>
          </cell>
          <cell r="K111">
            <v>379</v>
          </cell>
          <cell r="L111">
            <v>298</v>
          </cell>
          <cell r="M111">
            <v>298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3201</v>
          </cell>
          <cell r="X111">
            <v>1213</v>
          </cell>
          <cell r="Y111">
            <v>1721</v>
          </cell>
          <cell r="Z111">
            <v>0</v>
          </cell>
          <cell r="AA111">
            <v>0</v>
          </cell>
          <cell r="AB111">
            <v>267</v>
          </cell>
          <cell r="AC111">
            <v>270</v>
          </cell>
          <cell r="AD111">
            <v>0</v>
          </cell>
          <cell r="AE111">
            <v>270</v>
          </cell>
          <cell r="AF111">
            <v>5517</v>
          </cell>
          <cell r="AG111">
            <v>40</v>
          </cell>
          <cell r="AH111">
            <v>0</v>
          </cell>
          <cell r="AI111">
            <v>690</v>
          </cell>
          <cell r="AJ111">
            <v>0</v>
          </cell>
          <cell r="AK111">
            <v>570</v>
          </cell>
          <cell r="AL111">
            <v>0</v>
          </cell>
          <cell r="AM111">
            <v>0</v>
          </cell>
          <cell r="AN111">
            <v>0</v>
          </cell>
          <cell r="AO111">
            <v>4037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180</v>
          </cell>
          <cell r="AX111">
            <v>0</v>
          </cell>
          <cell r="AY111">
            <v>0</v>
          </cell>
          <cell r="AZ111">
            <v>0</v>
          </cell>
          <cell r="BA111">
            <v>2331.1799999999998</v>
          </cell>
          <cell r="BB111">
            <v>0</v>
          </cell>
          <cell r="BC111">
            <v>2331.1799999999998</v>
          </cell>
        </row>
        <row r="112">
          <cell r="C112" t="str">
            <v>LMIXSOL1</v>
          </cell>
          <cell r="D112">
            <v>25920</v>
          </cell>
          <cell r="E112">
            <v>16440</v>
          </cell>
          <cell r="F112">
            <v>1782</v>
          </cell>
          <cell r="G112">
            <v>802</v>
          </cell>
          <cell r="H112">
            <v>980</v>
          </cell>
          <cell r="I112">
            <v>0</v>
          </cell>
          <cell r="J112">
            <v>7698</v>
          </cell>
          <cell r="K112">
            <v>1856</v>
          </cell>
          <cell r="L112">
            <v>242</v>
          </cell>
          <cell r="M112">
            <v>237</v>
          </cell>
          <cell r="N112">
            <v>0</v>
          </cell>
          <cell r="O112">
            <v>5</v>
          </cell>
          <cell r="P112">
            <v>0</v>
          </cell>
          <cell r="Q112">
            <v>248</v>
          </cell>
          <cell r="R112">
            <v>248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3999</v>
          </cell>
          <cell r="X112">
            <v>2014</v>
          </cell>
          <cell r="Y112">
            <v>1730</v>
          </cell>
          <cell r="Z112">
            <v>0</v>
          </cell>
          <cell r="AA112">
            <v>0</v>
          </cell>
          <cell r="AB112">
            <v>255</v>
          </cell>
          <cell r="AC112">
            <v>0</v>
          </cell>
          <cell r="AD112">
            <v>0</v>
          </cell>
          <cell r="AE112">
            <v>0</v>
          </cell>
          <cell r="AF112">
            <v>1353</v>
          </cell>
          <cell r="AG112">
            <v>0</v>
          </cell>
          <cell r="AH112">
            <v>0</v>
          </cell>
          <cell r="AI112">
            <v>630</v>
          </cell>
          <cell r="AJ112">
            <v>0</v>
          </cell>
          <cell r="AK112">
            <v>450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273</v>
          </cell>
          <cell r="AX112">
            <v>0</v>
          </cell>
          <cell r="AY112">
            <v>0</v>
          </cell>
          <cell r="AZ112">
            <v>0</v>
          </cell>
          <cell r="BA112">
            <v>852.86</v>
          </cell>
          <cell r="BB112">
            <v>0</v>
          </cell>
          <cell r="BC112">
            <v>852.86</v>
          </cell>
        </row>
        <row r="113">
          <cell r="C113" t="str">
            <v>LMIXSOL2</v>
          </cell>
          <cell r="D113">
            <v>25920</v>
          </cell>
          <cell r="E113">
            <v>23970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1950</v>
          </cell>
          <cell r="K113">
            <v>586</v>
          </cell>
          <cell r="L113">
            <v>70</v>
          </cell>
          <cell r="M113">
            <v>70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904</v>
          </cell>
          <cell r="X113">
            <v>829</v>
          </cell>
          <cell r="Y113">
            <v>30</v>
          </cell>
          <cell r="Z113">
            <v>0</v>
          </cell>
          <cell r="AA113">
            <v>0</v>
          </cell>
          <cell r="AB113">
            <v>45</v>
          </cell>
          <cell r="AC113">
            <v>0</v>
          </cell>
          <cell r="AD113">
            <v>0</v>
          </cell>
          <cell r="AE113">
            <v>0</v>
          </cell>
          <cell r="AF113">
            <v>390</v>
          </cell>
          <cell r="AG113">
            <v>0</v>
          </cell>
          <cell r="AH113">
            <v>0</v>
          </cell>
          <cell r="AI113">
            <v>90</v>
          </cell>
          <cell r="AJ113">
            <v>0</v>
          </cell>
          <cell r="AK113">
            <v>90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210</v>
          </cell>
          <cell r="AX113">
            <v>0</v>
          </cell>
          <cell r="AY113">
            <v>0</v>
          </cell>
          <cell r="AZ113">
            <v>0</v>
          </cell>
          <cell r="BA113">
            <v>427.71</v>
          </cell>
          <cell r="BB113">
            <v>0</v>
          </cell>
          <cell r="BC113">
            <v>427.71</v>
          </cell>
        </row>
        <row r="114">
          <cell r="C114" t="str">
            <v>NBL SOL-COATING</v>
          </cell>
          <cell r="D114">
            <v>51840</v>
          </cell>
          <cell r="E114">
            <v>40830</v>
          </cell>
          <cell r="F114">
            <v>90</v>
          </cell>
          <cell r="G114">
            <v>15</v>
          </cell>
          <cell r="H114">
            <v>75</v>
          </cell>
          <cell r="I114">
            <v>0</v>
          </cell>
          <cell r="J114">
            <v>10920</v>
          </cell>
          <cell r="K114">
            <v>4250</v>
          </cell>
          <cell r="L114">
            <v>270</v>
          </cell>
          <cell r="M114">
            <v>210</v>
          </cell>
          <cell r="N114">
            <v>0</v>
          </cell>
          <cell r="O114">
            <v>60</v>
          </cell>
          <cell r="P114">
            <v>0</v>
          </cell>
          <cell r="Q114">
            <v>65</v>
          </cell>
          <cell r="R114">
            <v>65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4490</v>
          </cell>
          <cell r="X114">
            <v>960</v>
          </cell>
          <cell r="Y114">
            <v>3220</v>
          </cell>
          <cell r="Z114">
            <v>0</v>
          </cell>
          <cell r="AA114">
            <v>0</v>
          </cell>
          <cell r="AB114">
            <v>310</v>
          </cell>
          <cell r="AC114">
            <v>0</v>
          </cell>
          <cell r="AD114">
            <v>0</v>
          </cell>
          <cell r="AE114">
            <v>0</v>
          </cell>
          <cell r="AF114">
            <v>1845</v>
          </cell>
          <cell r="AG114">
            <v>0</v>
          </cell>
          <cell r="AH114">
            <v>0</v>
          </cell>
          <cell r="AI114">
            <v>570</v>
          </cell>
          <cell r="AJ114">
            <v>0</v>
          </cell>
          <cell r="AK114">
            <v>490</v>
          </cell>
          <cell r="AL114">
            <v>25</v>
          </cell>
          <cell r="AM114">
            <v>0</v>
          </cell>
          <cell r="AN114">
            <v>0</v>
          </cell>
          <cell r="AO114">
            <v>365</v>
          </cell>
          <cell r="AP114">
            <v>200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110</v>
          </cell>
          <cell r="AX114">
            <v>85</v>
          </cell>
          <cell r="AY114">
            <v>0</v>
          </cell>
          <cell r="AZ114">
            <v>0</v>
          </cell>
          <cell r="BA114">
            <v>1444.62</v>
          </cell>
          <cell r="BB114">
            <v>0.45</v>
          </cell>
          <cell r="BC114">
            <v>1444.17</v>
          </cell>
        </row>
        <row r="115">
          <cell r="C115" t="str">
            <v>COT101</v>
          </cell>
          <cell r="D115">
            <v>25920</v>
          </cell>
          <cell r="E115">
            <v>19230</v>
          </cell>
          <cell r="F115">
            <v>15</v>
          </cell>
          <cell r="G115">
            <v>15</v>
          </cell>
          <cell r="H115">
            <v>0</v>
          </cell>
          <cell r="I115">
            <v>0</v>
          </cell>
          <cell r="J115">
            <v>6675</v>
          </cell>
          <cell r="K115">
            <v>2335</v>
          </cell>
          <cell r="L115">
            <v>165</v>
          </cell>
          <cell r="M115">
            <v>125</v>
          </cell>
          <cell r="N115">
            <v>0</v>
          </cell>
          <cell r="O115">
            <v>40</v>
          </cell>
          <cell r="P115">
            <v>0</v>
          </cell>
          <cell r="Q115">
            <v>15</v>
          </cell>
          <cell r="R115">
            <v>15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2940</v>
          </cell>
          <cell r="X115">
            <v>610</v>
          </cell>
          <cell r="Y115">
            <v>2100</v>
          </cell>
          <cell r="Z115">
            <v>0</v>
          </cell>
          <cell r="AA115">
            <v>0</v>
          </cell>
          <cell r="AB115">
            <v>230</v>
          </cell>
          <cell r="AC115">
            <v>0</v>
          </cell>
          <cell r="AD115">
            <v>0</v>
          </cell>
          <cell r="AE115">
            <v>0</v>
          </cell>
          <cell r="AF115">
            <v>1220</v>
          </cell>
          <cell r="AG115">
            <v>0</v>
          </cell>
          <cell r="AH115">
            <v>0</v>
          </cell>
          <cell r="AI115">
            <v>420</v>
          </cell>
          <cell r="AJ115">
            <v>0</v>
          </cell>
          <cell r="AK115">
            <v>325</v>
          </cell>
          <cell r="AL115">
            <v>0</v>
          </cell>
          <cell r="AM115">
            <v>0</v>
          </cell>
          <cell r="AN115">
            <v>0</v>
          </cell>
          <cell r="AO115">
            <v>210</v>
          </cell>
          <cell r="AP115">
            <v>125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85</v>
          </cell>
          <cell r="AX115">
            <v>55</v>
          </cell>
          <cell r="AY115">
            <v>0</v>
          </cell>
          <cell r="AZ115">
            <v>0</v>
          </cell>
          <cell r="BA115">
            <v>544.79</v>
          </cell>
          <cell r="BB115">
            <v>0.33</v>
          </cell>
          <cell r="BC115">
            <v>544.46</v>
          </cell>
        </row>
        <row r="116">
          <cell r="C116" t="str">
            <v>COT102</v>
          </cell>
          <cell r="D116">
            <v>25920</v>
          </cell>
          <cell r="E116">
            <v>21600</v>
          </cell>
          <cell r="F116">
            <v>75</v>
          </cell>
          <cell r="G116">
            <v>0</v>
          </cell>
          <cell r="H116">
            <v>75</v>
          </cell>
          <cell r="I116">
            <v>0</v>
          </cell>
          <cell r="J116">
            <v>4245</v>
          </cell>
          <cell r="K116">
            <v>1915</v>
          </cell>
          <cell r="L116">
            <v>105</v>
          </cell>
          <cell r="M116">
            <v>85</v>
          </cell>
          <cell r="N116">
            <v>0</v>
          </cell>
          <cell r="O116">
            <v>20</v>
          </cell>
          <cell r="P116">
            <v>0</v>
          </cell>
          <cell r="Q116">
            <v>50</v>
          </cell>
          <cell r="R116">
            <v>50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1550</v>
          </cell>
          <cell r="X116">
            <v>350</v>
          </cell>
          <cell r="Y116">
            <v>1120</v>
          </cell>
          <cell r="Z116">
            <v>0</v>
          </cell>
          <cell r="AA116">
            <v>0</v>
          </cell>
          <cell r="AB116">
            <v>80</v>
          </cell>
          <cell r="AC116">
            <v>0</v>
          </cell>
          <cell r="AD116">
            <v>0</v>
          </cell>
          <cell r="AE116">
            <v>0</v>
          </cell>
          <cell r="AF116">
            <v>625</v>
          </cell>
          <cell r="AG116">
            <v>0</v>
          </cell>
          <cell r="AH116">
            <v>0</v>
          </cell>
          <cell r="AI116">
            <v>150</v>
          </cell>
          <cell r="AJ116">
            <v>0</v>
          </cell>
          <cell r="AK116">
            <v>165</v>
          </cell>
          <cell r="AL116">
            <v>25</v>
          </cell>
          <cell r="AM116">
            <v>0</v>
          </cell>
          <cell r="AN116">
            <v>0</v>
          </cell>
          <cell r="AO116">
            <v>155</v>
          </cell>
          <cell r="AP116">
            <v>75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25</v>
          </cell>
          <cell r="AX116">
            <v>30</v>
          </cell>
          <cell r="AY116">
            <v>0</v>
          </cell>
          <cell r="AZ116">
            <v>0</v>
          </cell>
          <cell r="BA116">
            <v>899.83</v>
          </cell>
          <cell r="BB116">
            <v>0.12</v>
          </cell>
          <cell r="BC116">
            <v>899.71</v>
          </cell>
        </row>
        <row r="117">
          <cell r="C117" t="str">
            <v>NBL SOL-TABLETING</v>
          </cell>
          <cell r="D117">
            <v>77760</v>
          </cell>
          <cell r="E117">
            <v>55800</v>
          </cell>
          <cell r="F117">
            <v>2325</v>
          </cell>
          <cell r="G117">
            <v>0</v>
          </cell>
          <cell r="H117">
            <v>2325</v>
          </cell>
          <cell r="I117">
            <v>0</v>
          </cell>
          <cell r="J117">
            <v>19635</v>
          </cell>
          <cell r="K117">
            <v>7285</v>
          </cell>
          <cell r="L117">
            <v>2080</v>
          </cell>
          <cell r="M117">
            <v>1715</v>
          </cell>
          <cell r="N117">
            <v>0</v>
          </cell>
          <cell r="O117">
            <v>45</v>
          </cell>
          <cell r="P117">
            <v>320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3565</v>
          </cell>
          <cell r="X117">
            <v>550</v>
          </cell>
          <cell r="Y117">
            <v>2480</v>
          </cell>
          <cell r="Z117">
            <v>50</v>
          </cell>
          <cell r="AA117">
            <v>0</v>
          </cell>
          <cell r="AB117">
            <v>485</v>
          </cell>
          <cell r="AC117">
            <v>930</v>
          </cell>
          <cell r="AD117">
            <v>0</v>
          </cell>
          <cell r="AE117">
            <v>930</v>
          </cell>
          <cell r="AF117">
            <v>5775</v>
          </cell>
          <cell r="AG117">
            <v>0</v>
          </cell>
          <cell r="AH117">
            <v>0</v>
          </cell>
          <cell r="AI117">
            <v>1310</v>
          </cell>
          <cell r="AJ117">
            <v>0</v>
          </cell>
          <cell r="AK117">
            <v>1055</v>
          </cell>
          <cell r="AL117">
            <v>80</v>
          </cell>
          <cell r="AM117">
            <v>0</v>
          </cell>
          <cell r="AN117">
            <v>0</v>
          </cell>
          <cell r="AO117">
            <v>350</v>
          </cell>
          <cell r="AP117">
            <v>345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1665</v>
          </cell>
          <cell r="AX117">
            <v>970</v>
          </cell>
          <cell r="AY117">
            <v>0</v>
          </cell>
          <cell r="AZ117">
            <v>0</v>
          </cell>
          <cell r="BA117">
            <v>4865371</v>
          </cell>
          <cell r="BB117">
            <v>830</v>
          </cell>
          <cell r="BC117">
            <v>4864541</v>
          </cell>
        </row>
        <row r="118">
          <cell r="C118" t="str">
            <v>TAB101</v>
          </cell>
          <cell r="D118">
            <v>25920</v>
          </cell>
          <cell r="E118">
            <v>22230</v>
          </cell>
          <cell r="F118">
            <v>330</v>
          </cell>
          <cell r="G118">
            <v>0</v>
          </cell>
          <cell r="H118">
            <v>330</v>
          </cell>
          <cell r="I118">
            <v>0</v>
          </cell>
          <cell r="J118">
            <v>3360</v>
          </cell>
          <cell r="K118">
            <v>1180</v>
          </cell>
          <cell r="L118">
            <v>515</v>
          </cell>
          <cell r="M118">
            <v>445</v>
          </cell>
          <cell r="N118">
            <v>0</v>
          </cell>
          <cell r="O118">
            <v>0</v>
          </cell>
          <cell r="P118">
            <v>70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625</v>
          </cell>
          <cell r="X118">
            <v>80</v>
          </cell>
          <cell r="Y118">
            <v>480</v>
          </cell>
          <cell r="Z118">
            <v>0</v>
          </cell>
          <cell r="AA118">
            <v>0</v>
          </cell>
          <cell r="AB118">
            <v>65</v>
          </cell>
          <cell r="AC118">
            <v>0</v>
          </cell>
          <cell r="AD118">
            <v>0</v>
          </cell>
          <cell r="AE118">
            <v>0</v>
          </cell>
          <cell r="AF118">
            <v>1040</v>
          </cell>
          <cell r="AG118">
            <v>0</v>
          </cell>
          <cell r="AH118">
            <v>0</v>
          </cell>
          <cell r="AI118">
            <v>240</v>
          </cell>
          <cell r="AJ118">
            <v>0</v>
          </cell>
          <cell r="AK118">
            <v>150</v>
          </cell>
          <cell r="AL118">
            <v>0</v>
          </cell>
          <cell r="AM118">
            <v>0</v>
          </cell>
          <cell r="AN118">
            <v>0</v>
          </cell>
          <cell r="AO118">
            <v>180</v>
          </cell>
          <cell r="AP118">
            <v>65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315</v>
          </cell>
          <cell r="AX118">
            <v>90</v>
          </cell>
          <cell r="AY118">
            <v>0</v>
          </cell>
          <cell r="AZ118">
            <v>0</v>
          </cell>
          <cell r="BA118">
            <v>1050305</v>
          </cell>
          <cell r="BB118">
            <v>0</v>
          </cell>
          <cell r="BC118">
            <v>1050305</v>
          </cell>
        </row>
        <row r="119">
          <cell r="C119" t="str">
            <v>TAB105</v>
          </cell>
          <cell r="D119">
            <v>25920</v>
          </cell>
          <cell r="E119">
            <v>14190</v>
          </cell>
          <cell r="F119">
            <v>1215</v>
          </cell>
          <cell r="G119">
            <v>0</v>
          </cell>
          <cell r="H119">
            <v>1215</v>
          </cell>
          <cell r="I119">
            <v>0</v>
          </cell>
          <cell r="J119">
            <v>10515</v>
          </cell>
          <cell r="K119">
            <v>4110</v>
          </cell>
          <cell r="L119">
            <v>875</v>
          </cell>
          <cell r="M119">
            <v>715</v>
          </cell>
          <cell r="N119">
            <v>0</v>
          </cell>
          <cell r="O119">
            <v>45</v>
          </cell>
          <cell r="P119">
            <v>115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1870</v>
          </cell>
          <cell r="X119">
            <v>275</v>
          </cell>
          <cell r="Y119">
            <v>1345</v>
          </cell>
          <cell r="Z119">
            <v>0</v>
          </cell>
          <cell r="AA119">
            <v>0</v>
          </cell>
          <cell r="AB119">
            <v>250</v>
          </cell>
          <cell r="AC119">
            <v>930</v>
          </cell>
          <cell r="AD119">
            <v>0</v>
          </cell>
          <cell r="AE119">
            <v>930</v>
          </cell>
          <cell r="AF119">
            <v>2730</v>
          </cell>
          <cell r="AG119">
            <v>0</v>
          </cell>
          <cell r="AH119">
            <v>0</v>
          </cell>
          <cell r="AI119">
            <v>700</v>
          </cell>
          <cell r="AJ119">
            <v>0</v>
          </cell>
          <cell r="AK119">
            <v>630</v>
          </cell>
          <cell r="AL119">
            <v>80</v>
          </cell>
          <cell r="AM119">
            <v>0</v>
          </cell>
          <cell r="AN119">
            <v>0</v>
          </cell>
          <cell r="AO119">
            <v>170</v>
          </cell>
          <cell r="AP119">
            <v>125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675</v>
          </cell>
          <cell r="AX119">
            <v>350</v>
          </cell>
          <cell r="AY119">
            <v>0</v>
          </cell>
          <cell r="AZ119">
            <v>0</v>
          </cell>
          <cell r="BA119">
            <v>2341430</v>
          </cell>
          <cell r="BB119">
            <v>830</v>
          </cell>
          <cell r="BC119">
            <v>2340600</v>
          </cell>
        </row>
        <row r="120">
          <cell r="C120" t="str">
            <v>TAB103</v>
          </cell>
          <cell r="D120">
            <v>25920</v>
          </cell>
          <cell r="E120">
            <v>19380</v>
          </cell>
          <cell r="F120">
            <v>780</v>
          </cell>
          <cell r="G120">
            <v>0</v>
          </cell>
          <cell r="H120">
            <v>780</v>
          </cell>
          <cell r="I120">
            <v>0</v>
          </cell>
          <cell r="J120">
            <v>5760</v>
          </cell>
          <cell r="K120">
            <v>1995</v>
          </cell>
          <cell r="L120">
            <v>690</v>
          </cell>
          <cell r="M120">
            <v>555</v>
          </cell>
          <cell r="N120">
            <v>0</v>
          </cell>
          <cell r="O120">
            <v>0</v>
          </cell>
          <cell r="P120">
            <v>135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1070</v>
          </cell>
          <cell r="X120">
            <v>195</v>
          </cell>
          <cell r="Y120">
            <v>655</v>
          </cell>
          <cell r="Z120">
            <v>50</v>
          </cell>
          <cell r="AA120">
            <v>0</v>
          </cell>
          <cell r="AB120">
            <v>170</v>
          </cell>
          <cell r="AC120">
            <v>0</v>
          </cell>
          <cell r="AD120">
            <v>0</v>
          </cell>
          <cell r="AE120">
            <v>0</v>
          </cell>
          <cell r="AF120">
            <v>2005</v>
          </cell>
          <cell r="AG120">
            <v>0</v>
          </cell>
          <cell r="AH120">
            <v>0</v>
          </cell>
          <cell r="AI120">
            <v>370</v>
          </cell>
          <cell r="AJ120">
            <v>0</v>
          </cell>
          <cell r="AK120">
            <v>275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155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675</v>
          </cell>
          <cell r="AX120">
            <v>530</v>
          </cell>
          <cell r="AY120">
            <v>0</v>
          </cell>
          <cell r="AZ120">
            <v>0</v>
          </cell>
          <cell r="BA120">
            <v>1473636</v>
          </cell>
          <cell r="BB120">
            <v>0</v>
          </cell>
          <cell r="BC120">
            <v>1473636</v>
          </cell>
        </row>
        <row r="121">
          <cell r="C121" t="str">
            <v>NBL SOL-CAPSULE</v>
          </cell>
          <cell r="D121">
            <v>51840</v>
          </cell>
          <cell r="E121">
            <v>45990</v>
          </cell>
          <cell r="F121">
            <v>660</v>
          </cell>
          <cell r="G121">
            <v>30</v>
          </cell>
          <cell r="H121">
            <v>630</v>
          </cell>
          <cell r="I121">
            <v>0</v>
          </cell>
          <cell r="J121">
            <v>5190</v>
          </cell>
          <cell r="K121">
            <v>2155</v>
          </cell>
          <cell r="L121">
            <v>485</v>
          </cell>
          <cell r="M121">
            <v>485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1345</v>
          </cell>
          <cell r="X121">
            <v>730</v>
          </cell>
          <cell r="Y121">
            <v>435</v>
          </cell>
          <cell r="Z121">
            <v>0</v>
          </cell>
          <cell r="AA121">
            <v>0</v>
          </cell>
          <cell r="AB121">
            <v>180</v>
          </cell>
          <cell r="AC121">
            <v>0</v>
          </cell>
          <cell r="AD121">
            <v>0</v>
          </cell>
          <cell r="AE121">
            <v>0</v>
          </cell>
          <cell r="AF121">
            <v>1205</v>
          </cell>
          <cell r="AG121">
            <v>0</v>
          </cell>
          <cell r="AH121">
            <v>0</v>
          </cell>
          <cell r="AI121">
            <v>330</v>
          </cell>
          <cell r="AJ121">
            <v>0</v>
          </cell>
          <cell r="AK121">
            <v>220</v>
          </cell>
          <cell r="AL121">
            <v>0</v>
          </cell>
          <cell r="AM121">
            <v>0</v>
          </cell>
          <cell r="AN121">
            <v>0</v>
          </cell>
          <cell r="AO121">
            <v>405</v>
          </cell>
          <cell r="AP121">
            <v>70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180</v>
          </cell>
          <cell r="AX121">
            <v>0</v>
          </cell>
          <cell r="AY121">
            <v>0</v>
          </cell>
          <cell r="AZ121">
            <v>0</v>
          </cell>
          <cell r="BA121">
            <v>1013027</v>
          </cell>
          <cell r="BB121">
            <v>0</v>
          </cell>
          <cell r="BC121">
            <v>1013027</v>
          </cell>
        </row>
        <row r="122">
          <cell r="C122" t="str">
            <v>KAP101</v>
          </cell>
          <cell r="D122">
            <v>25920</v>
          </cell>
          <cell r="E122">
            <v>21600</v>
          </cell>
          <cell r="F122">
            <v>330</v>
          </cell>
          <cell r="G122">
            <v>30</v>
          </cell>
          <cell r="H122">
            <v>300</v>
          </cell>
          <cell r="I122">
            <v>0</v>
          </cell>
          <cell r="J122">
            <v>3990</v>
          </cell>
          <cell r="K122">
            <v>1715</v>
          </cell>
          <cell r="L122">
            <v>420</v>
          </cell>
          <cell r="M122">
            <v>420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1210</v>
          </cell>
          <cell r="X122">
            <v>695</v>
          </cell>
          <cell r="Y122">
            <v>380</v>
          </cell>
          <cell r="Z122">
            <v>0</v>
          </cell>
          <cell r="AA122">
            <v>0</v>
          </cell>
          <cell r="AB122">
            <v>135</v>
          </cell>
          <cell r="AC122">
            <v>0</v>
          </cell>
          <cell r="AD122">
            <v>0</v>
          </cell>
          <cell r="AE122">
            <v>0</v>
          </cell>
          <cell r="AF122">
            <v>645</v>
          </cell>
          <cell r="AG122">
            <v>0</v>
          </cell>
          <cell r="AH122">
            <v>0</v>
          </cell>
          <cell r="AI122">
            <v>260</v>
          </cell>
          <cell r="AJ122">
            <v>0</v>
          </cell>
          <cell r="AK122">
            <v>135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70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180</v>
          </cell>
          <cell r="AX122">
            <v>0</v>
          </cell>
          <cell r="AY122">
            <v>0</v>
          </cell>
          <cell r="AZ122">
            <v>0</v>
          </cell>
          <cell r="BA122">
            <v>487021</v>
          </cell>
          <cell r="BB122">
            <v>0</v>
          </cell>
          <cell r="BC122">
            <v>487021</v>
          </cell>
        </row>
        <row r="123">
          <cell r="C123" t="str">
            <v>KAP103</v>
          </cell>
          <cell r="D123">
            <v>25920</v>
          </cell>
          <cell r="E123">
            <v>24390</v>
          </cell>
          <cell r="F123">
            <v>330</v>
          </cell>
          <cell r="G123">
            <v>0</v>
          </cell>
          <cell r="H123">
            <v>330</v>
          </cell>
          <cell r="I123">
            <v>0</v>
          </cell>
          <cell r="J123">
            <v>1200</v>
          </cell>
          <cell r="K123">
            <v>440</v>
          </cell>
          <cell r="L123">
            <v>65</v>
          </cell>
          <cell r="M123">
            <v>65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135</v>
          </cell>
          <cell r="X123">
            <v>35</v>
          </cell>
          <cell r="Y123">
            <v>55</v>
          </cell>
          <cell r="Z123">
            <v>0</v>
          </cell>
          <cell r="AA123">
            <v>0</v>
          </cell>
          <cell r="AB123">
            <v>45</v>
          </cell>
          <cell r="AC123">
            <v>0</v>
          </cell>
          <cell r="AD123">
            <v>0</v>
          </cell>
          <cell r="AE123">
            <v>0</v>
          </cell>
          <cell r="AF123">
            <v>560</v>
          </cell>
          <cell r="AG123">
            <v>0</v>
          </cell>
          <cell r="AH123">
            <v>0</v>
          </cell>
          <cell r="AI123">
            <v>70</v>
          </cell>
          <cell r="AJ123">
            <v>0</v>
          </cell>
          <cell r="AK123">
            <v>85</v>
          </cell>
          <cell r="AL123">
            <v>0</v>
          </cell>
          <cell r="AM123">
            <v>0</v>
          </cell>
          <cell r="AN123">
            <v>0</v>
          </cell>
          <cell r="AO123">
            <v>405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526006</v>
          </cell>
          <cell r="BB123">
            <v>0</v>
          </cell>
          <cell r="BC123">
            <v>526006</v>
          </cell>
        </row>
        <row r="124">
          <cell r="C124" t="str">
            <v>NBL SOL-STRIPPING</v>
          </cell>
          <cell r="D124">
            <v>129600</v>
          </cell>
          <cell r="E124">
            <v>81450</v>
          </cell>
          <cell r="F124">
            <v>3360</v>
          </cell>
          <cell r="G124">
            <v>30</v>
          </cell>
          <cell r="H124">
            <v>3330</v>
          </cell>
          <cell r="I124">
            <v>0</v>
          </cell>
          <cell r="J124">
            <v>44790</v>
          </cell>
          <cell r="K124">
            <v>18790</v>
          </cell>
          <cell r="L124">
            <v>7310</v>
          </cell>
          <cell r="M124">
            <v>3835</v>
          </cell>
          <cell r="N124">
            <v>0</v>
          </cell>
          <cell r="O124">
            <v>3455</v>
          </cell>
          <cell r="P124">
            <v>20</v>
          </cell>
          <cell r="Q124">
            <v>90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90</v>
          </cell>
          <cell r="W124">
            <v>9075</v>
          </cell>
          <cell r="X124">
            <v>4860</v>
          </cell>
          <cell r="Y124">
            <v>1510</v>
          </cell>
          <cell r="Z124">
            <v>1855</v>
          </cell>
          <cell r="AA124">
            <v>35</v>
          </cell>
          <cell r="AB124">
            <v>815</v>
          </cell>
          <cell r="AC124">
            <v>505</v>
          </cell>
          <cell r="AD124">
            <v>0</v>
          </cell>
          <cell r="AE124">
            <v>505</v>
          </cell>
          <cell r="AF124">
            <v>9020</v>
          </cell>
          <cell r="AG124">
            <v>0</v>
          </cell>
          <cell r="AH124">
            <v>0</v>
          </cell>
          <cell r="AI124">
            <v>2830</v>
          </cell>
          <cell r="AJ124">
            <v>0</v>
          </cell>
          <cell r="AK124">
            <v>2495</v>
          </cell>
          <cell r="AL124">
            <v>45</v>
          </cell>
          <cell r="AM124">
            <v>90</v>
          </cell>
          <cell r="AN124">
            <v>0</v>
          </cell>
          <cell r="AO124">
            <v>135</v>
          </cell>
          <cell r="AP124">
            <v>1440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1900</v>
          </cell>
          <cell r="AX124">
            <v>85</v>
          </cell>
          <cell r="AY124">
            <v>0</v>
          </cell>
          <cell r="AZ124">
            <v>0</v>
          </cell>
          <cell r="BA124">
            <v>10294460</v>
          </cell>
          <cell r="BB124">
            <v>48151</v>
          </cell>
          <cell r="BC124">
            <v>10246309</v>
          </cell>
        </row>
        <row r="125">
          <cell r="C125" t="str">
            <v>STR105</v>
          </cell>
          <cell r="D125">
            <v>25920</v>
          </cell>
          <cell r="E125">
            <v>17340</v>
          </cell>
          <cell r="F125">
            <v>1315</v>
          </cell>
          <cell r="G125">
            <v>0</v>
          </cell>
          <cell r="H125">
            <v>1315</v>
          </cell>
          <cell r="I125">
            <v>0</v>
          </cell>
          <cell r="J125">
            <v>7265</v>
          </cell>
          <cell r="K125">
            <v>2510</v>
          </cell>
          <cell r="L125">
            <v>1380</v>
          </cell>
          <cell r="M125">
            <v>625</v>
          </cell>
          <cell r="N125">
            <v>0</v>
          </cell>
          <cell r="O125">
            <v>755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1360</v>
          </cell>
          <cell r="X125">
            <v>605</v>
          </cell>
          <cell r="Y125">
            <v>210</v>
          </cell>
          <cell r="Z125">
            <v>360</v>
          </cell>
          <cell r="AA125">
            <v>35</v>
          </cell>
          <cell r="AB125">
            <v>150</v>
          </cell>
          <cell r="AC125">
            <v>0</v>
          </cell>
          <cell r="AD125">
            <v>0</v>
          </cell>
          <cell r="AE125">
            <v>0</v>
          </cell>
          <cell r="AF125">
            <v>2015</v>
          </cell>
          <cell r="AG125">
            <v>0</v>
          </cell>
          <cell r="AH125">
            <v>0</v>
          </cell>
          <cell r="AI125">
            <v>430</v>
          </cell>
          <cell r="AJ125">
            <v>0</v>
          </cell>
          <cell r="AK125">
            <v>460</v>
          </cell>
          <cell r="AL125">
            <v>5</v>
          </cell>
          <cell r="AM125">
            <v>0</v>
          </cell>
          <cell r="AN125">
            <v>0</v>
          </cell>
          <cell r="AO125">
            <v>135</v>
          </cell>
          <cell r="AP125">
            <v>225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760</v>
          </cell>
          <cell r="AX125">
            <v>0</v>
          </cell>
          <cell r="AY125">
            <v>0</v>
          </cell>
          <cell r="AZ125">
            <v>0</v>
          </cell>
          <cell r="BA125">
            <v>840229</v>
          </cell>
          <cell r="BB125">
            <v>7359</v>
          </cell>
          <cell r="BC125">
            <v>832870</v>
          </cell>
        </row>
        <row r="126">
          <cell r="C126" t="str">
            <v>STR102</v>
          </cell>
          <cell r="D126">
            <v>25920</v>
          </cell>
          <cell r="E126">
            <v>15150</v>
          </cell>
          <cell r="F126">
            <v>885</v>
          </cell>
          <cell r="G126">
            <v>0</v>
          </cell>
          <cell r="H126">
            <v>885</v>
          </cell>
          <cell r="I126">
            <v>0</v>
          </cell>
          <cell r="J126">
            <v>9885</v>
          </cell>
          <cell r="K126">
            <v>4260</v>
          </cell>
          <cell r="L126">
            <v>1495</v>
          </cell>
          <cell r="M126">
            <v>860</v>
          </cell>
          <cell r="N126">
            <v>0</v>
          </cell>
          <cell r="O126">
            <v>615</v>
          </cell>
          <cell r="P126">
            <v>20</v>
          </cell>
          <cell r="Q126">
            <v>25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25</v>
          </cell>
          <cell r="W126">
            <v>2235</v>
          </cell>
          <cell r="X126">
            <v>1060</v>
          </cell>
          <cell r="Y126">
            <v>570</v>
          </cell>
          <cell r="Z126">
            <v>425</v>
          </cell>
          <cell r="AA126">
            <v>0</v>
          </cell>
          <cell r="AB126">
            <v>180</v>
          </cell>
          <cell r="AC126">
            <v>0</v>
          </cell>
          <cell r="AD126">
            <v>0</v>
          </cell>
          <cell r="AE126">
            <v>0</v>
          </cell>
          <cell r="AF126">
            <v>1870</v>
          </cell>
          <cell r="AG126">
            <v>0</v>
          </cell>
          <cell r="AH126">
            <v>0</v>
          </cell>
          <cell r="AI126">
            <v>660</v>
          </cell>
          <cell r="AJ126">
            <v>0</v>
          </cell>
          <cell r="AK126">
            <v>525</v>
          </cell>
          <cell r="AL126">
            <v>40</v>
          </cell>
          <cell r="AM126">
            <v>0</v>
          </cell>
          <cell r="AN126">
            <v>0</v>
          </cell>
          <cell r="AO126">
            <v>0</v>
          </cell>
          <cell r="AP126">
            <v>275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370</v>
          </cell>
          <cell r="AX126">
            <v>0</v>
          </cell>
          <cell r="AY126">
            <v>0</v>
          </cell>
          <cell r="AZ126">
            <v>0</v>
          </cell>
          <cell r="BA126">
            <v>4711984</v>
          </cell>
          <cell r="BB126">
            <v>15584</v>
          </cell>
          <cell r="BC126">
            <v>4696400</v>
          </cell>
        </row>
        <row r="127">
          <cell r="C127" t="str">
            <v>STR104</v>
          </cell>
          <cell r="D127">
            <v>25920</v>
          </cell>
          <cell r="E127">
            <v>21510</v>
          </cell>
          <cell r="F127">
            <v>165</v>
          </cell>
          <cell r="G127">
            <v>0</v>
          </cell>
          <cell r="H127">
            <v>165</v>
          </cell>
          <cell r="I127">
            <v>0</v>
          </cell>
          <cell r="J127">
            <v>4245</v>
          </cell>
          <cell r="K127">
            <v>2235</v>
          </cell>
          <cell r="L127">
            <v>25</v>
          </cell>
          <cell r="M127">
            <v>25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1390</v>
          </cell>
          <cell r="X127">
            <v>950</v>
          </cell>
          <cell r="Y127">
            <v>85</v>
          </cell>
          <cell r="Z127">
            <v>240</v>
          </cell>
          <cell r="AA127">
            <v>0</v>
          </cell>
          <cell r="AB127">
            <v>115</v>
          </cell>
          <cell r="AC127">
            <v>0</v>
          </cell>
          <cell r="AD127">
            <v>0</v>
          </cell>
          <cell r="AE127">
            <v>0</v>
          </cell>
          <cell r="AF127">
            <v>595</v>
          </cell>
          <cell r="AG127">
            <v>0</v>
          </cell>
          <cell r="AH127">
            <v>0</v>
          </cell>
          <cell r="AI127">
            <v>270</v>
          </cell>
          <cell r="AJ127">
            <v>0</v>
          </cell>
          <cell r="AK127">
            <v>165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120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40</v>
          </cell>
          <cell r="AX127">
            <v>0</v>
          </cell>
          <cell r="AY127">
            <v>0</v>
          </cell>
          <cell r="AZ127">
            <v>0</v>
          </cell>
          <cell r="BA127">
            <v>18079</v>
          </cell>
          <cell r="BB127">
            <v>62</v>
          </cell>
          <cell r="BC127">
            <v>18017</v>
          </cell>
        </row>
        <row r="128">
          <cell r="C128" t="str">
            <v>STR103</v>
          </cell>
          <cell r="D128">
            <v>25920</v>
          </cell>
          <cell r="E128">
            <v>16950</v>
          </cell>
          <cell r="F128">
            <v>350</v>
          </cell>
          <cell r="G128">
            <v>0</v>
          </cell>
          <cell r="H128">
            <v>350</v>
          </cell>
          <cell r="I128">
            <v>0</v>
          </cell>
          <cell r="J128">
            <v>8620</v>
          </cell>
          <cell r="K128">
            <v>2975</v>
          </cell>
          <cell r="L128">
            <v>1865</v>
          </cell>
          <cell r="M128">
            <v>1200</v>
          </cell>
          <cell r="N128">
            <v>0</v>
          </cell>
          <cell r="O128">
            <v>665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1725</v>
          </cell>
          <cell r="X128">
            <v>1040</v>
          </cell>
          <cell r="Y128">
            <v>230</v>
          </cell>
          <cell r="Z128">
            <v>325</v>
          </cell>
          <cell r="AA128">
            <v>0</v>
          </cell>
          <cell r="AB128">
            <v>130</v>
          </cell>
          <cell r="AC128">
            <v>505</v>
          </cell>
          <cell r="AD128">
            <v>0</v>
          </cell>
          <cell r="AE128">
            <v>505</v>
          </cell>
          <cell r="AF128">
            <v>1550</v>
          </cell>
          <cell r="AG128">
            <v>0</v>
          </cell>
          <cell r="AH128">
            <v>0</v>
          </cell>
          <cell r="AI128">
            <v>540</v>
          </cell>
          <cell r="AJ128">
            <v>0</v>
          </cell>
          <cell r="AK128">
            <v>450</v>
          </cell>
          <cell r="AL128">
            <v>0</v>
          </cell>
          <cell r="AM128">
            <v>45</v>
          </cell>
          <cell r="AN128">
            <v>0</v>
          </cell>
          <cell r="AO128">
            <v>0</v>
          </cell>
          <cell r="AP128">
            <v>275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215</v>
          </cell>
          <cell r="AX128">
            <v>25</v>
          </cell>
          <cell r="AY128">
            <v>0</v>
          </cell>
          <cell r="AZ128">
            <v>0</v>
          </cell>
          <cell r="BA128">
            <v>1095992</v>
          </cell>
          <cell r="BB128">
            <v>7310</v>
          </cell>
          <cell r="BC128">
            <v>1088682</v>
          </cell>
        </row>
        <row r="129">
          <cell r="C129" t="str">
            <v>STR101</v>
          </cell>
          <cell r="D129">
            <v>25920</v>
          </cell>
          <cell r="E129">
            <v>10500</v>
          </cell>
          <cell r="F129">
            <v>645</v>
          </cell>
          <cell r="G129">
            <v>30</v>
          </cell>
          <cell r="H129">
            <v>615</v>
          </cell>
          <cell r="I129">
            <v>0</v>
          </cell>
          <cell r="J129">
            <v>14775</v>
          </cell>
          <cell r="K129">
            <v>6810</v>
          </cell>
          <cell r="L129">
            <v>2545</v>
          </cell>
          <cell r="M129">
            <v>1125</v>
          </cell>
          <cell r="N129">
            <v>0</v>
          </cell>
          <cell r="O129">
            <v>1420</v>
          </cell>
          <cell r="P129">
            <v>0</v>
          </cell>
          <cell r="Q129">
            <v>65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65</v>
          </cell>
          <cell r="W129">
            <v>2365</v>
          </cell>
          <cell r="X129">
            <v>1205</v>
          </cell>
          <cell r="Y129">
            <v>415</v>
          </cell>
          <cell r="Z129">
            <v>505</v>
          </cell>
          <cell r="AA129">
            <v>0</v>
          </cell>
          <cell r="AB129">
            <v>240</v>
          </cell>
          <cell r="AC129">
            <v>0</v>
          </cell>
          <cell r="AD129">
            <v>0</v>
          </cell>
          <cell r="AE129">
            <v>0</v>
          </cell>
          <cell r="AF129">
            <v>2990</v>
          </cell>
          <cell r="AG129">
            <v>0</v>
          </cell>
          <cell r="AH129">
            <v>0</v>
          </cell>
          <cell r="AI129">
            <v>930</v>
          </cell>
          <cell r="AJ129">
            <v>0</v>
          </cell>
          <cell r="AK129">
            <v>895</v>
          </cell>
          <cell r="AL129">
            <v>0</v>
          </cell>
          <cell r="AM129">
            <v>45</v>
          </cell>
          <cell r="AN129">
            <v>0</v>
          </cell>
          <cell r="AO129">
            <v>0</v>
          </cell>
          <cell r="AP129">
            <v>545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515</v>
          </cell>
          <cell r="AX129">
            <v>60</v>
          </cell>
          <cell r="AY129">
            <v>0</v>
          </cell>
          <cell r="AZ129">
            <v>0</v>
          </cell>
          <cell r="BA129">
            <v>3628176</v>
          </cell>
          <cell r="BB129">
            <v>17836</v>
          </cell>
          <cell r="BC129">
            <v>3610340</v>
          </cell>
        </row>
        <row r="130">
          <cell r="C130" t="str">
            <v>NBL SYR-MIXING</v>
          </cell>
          <cell r="D130">
            <v>25920</v>
          </cell>
          <cell r="E130">
            <v>19590</v>
          </cell>
          <cell r="F130">
            <v>493</v>
          </cell>
          <cell r="G130">
            <v>65</v>
          </cell>
          <cell r="H130">
            <v>428</v>
          </cell>
          <cell r="I130">
            <v>0</v>
          </cell>
          <cell r="J130">
            <v>5837</v>
          </cell>
          <cell r="K130">
            <v>1854</v>
          </cell>
          <cell r="L130">
            <v>61</v>
          </cell>
          <cell r="M130">
            <v>61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2720</v>
          </cell>
          <cell r="X130">
            <v>180</v>
          </cell>
          <cell r="Y130">
            <v>2465</v>
          </cell>
          <cell r="Z130">
            <v>0</v>
          </cell>
          <cell r="AA130">
            <v>0</v>
          </cell>
          <cell r="AB130">
            <v>75</v>
          </cell>
          <cell r="AC130">
            <v>0</v>
          </cell>
          <cell r="AD130">
            <v>0</v>
          </cell>
          <cell r="AE130">
            <v>0</v>
          </cell>
          <cell r="AF130">
            <v>1202</v>
          </cell>
          <cell r="AG130">
            <v>40</v>
          </cell>
          <cell r="AH130">
            <v>0</v>
          </cell>
          <cell r="AI130">
            <v>280</v>
          </cell>
          <cell r="AJ130">
            <v>0</v>
          </cell>
          <cell r="AK130">
            <v>135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115</v>
          </cell>
          <cell r="AT130">
            <v>0</v>
          </cell>
          <cell r="AU130">
            <v>0</v>
          </cell>
          <cell r="AV130">
            <v>0</v>
          </cell>
          <cell r="AW130">
            <v>397</v>
          </cell>
          <cell r="AX130">
            <v>225</v>
          </cell>
          <cell r="AY130">
            <v>10</v>
          </cell>
          <cell r="AZ130">
            <v>0</v>
          </cell>
          <cell r="BA130">
            <v>7910</v>
          </cell>
          <cell r="BB130">
            <v>2.42</v>
          </cell>
          <cell r="BC130">
            <v>7907.58</v>
          </cell>
        </row>
        <row r="131">
          <cell r="C131" t="str">
            <v>LMIXSYR1</v>
          </cell>
          <cell r="D131">
            <v>25920</v>
          </cell>
          <cell r="E131">
            <v>19590</v>
          </cell>
          <cell r="F131">
            <v>493</v>
          </cell>
          <cell r="G131">
            <v>65</v>
          </cell>
          <cell r="H131">
            <v>428</v>
          </cell>
          <cell r="I131">
            <v>0</v>
          </cell>
          <cell r="J131">
            <v>5837</v>
          </cell>
          <cell r="K131">
            <v>1854</v>
          </cell>
          <cell r="L131">
            <v>61</v>
          </cell>
          <cell r="M131">
            <v>61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2720</v>
          </cell>
          <cell r="X131">
            <v>180</v>
          </cell>
          <cell r="Y131">
            <v>2465</v>
          </cell>
          <cell r="Z131">
            <v>0</v>
          </cell>
          <cell r="AA131">
            <v>0</v>
          </cell>
          <cell r="AB131">
            <v>75</v>
          </cell>
          <cell r="AC131">
            <v>0</v>
          </cell>
          <cell r="AD131">
            <v>0</v>
          </cell>
          <cell r="AE131">
            <v>0</v>
          </cell>
          <cell r="AF131">
            <v>1202</v>
          </cell>
          <cell r="AG131">
            <v>40</v>
          </cell>
          <cell r="AH131">
            <v>0</v>
          </cell>
          <cell r="AI131">
            <v>280</v>
          </cell>
          <cell r="AJ131">
            <v>0</v>
          </cell>
          <cell r="AK131">
            <v>135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115</v>
          </cell>
          <cell r="AT131">
            <v>0</v>
          </cell>
          <cell r="AU131">
            <v>0</v>
          </cell>
          <cell r="AV131">
            <v>0</v>
          </cell>
          <cell r="AW131">
            <v>397</v>
          </cell>
          <cell r="AX131">
            <v>225</v>
          </cell>
          <cell r="AY131">
            <v>10</v>
          </cell>
          <cell r="AZ131">
            <v>0</v>
          </cell>
          <cell r="BA131">
            <v>7910</v>
          </cell>
          <cell r="BB131">
            <v>2.42</v>
          </cell>
          <cell r="BC131">
            <v>7907.58</v>
          </cell>
        </row>
        <row r="132">
          <cell r="C132" t="str">
            <v>NBL SYR-FILLING</v>
          </cell>
          <cell r="D132">
            <v>51840</v>
          </cell>
          <cell r="E132">
            <v>43680</v>
          </cell>
          <cell r="F132">
            <v>1450</v>
          </cell>
          <cell r="G132">
            <v>0</v>
          </cell>
          <cell r="H132">
            <v>1450</v>
          </cell>
          <cell r="I132">
            <v>0</v>
          </cell>
          <cell r="J132">
            <v>6710</v>
          </cell>
          <cell r="K132">
            <v>2385</v>
          </cell>
          <cell r="L132">
            <v>635</v>
          </cell>
          <cell r="M132">
            <v>480</v>
          </cell>
          <cell r="N132">
            <v>0</v>
          </cell>
          <cell r="O132">
            <v>105</v>
          </cell>
          <cell r="P132">
            <v>50</v>
          </cell>
          <cell r="Q132">
            <v>295</v>
          </cell>
          <cell r="R132">
            <v>270</v>
          </cell>
          <cell r="S132">
            <v>0</v>
          </cell>
          <cell r="T132">
            <v>0</v>
          </cell>
          <cell r="U132">
            <v>0</v>
          </cell>
          <cell r="V132">
            <v>25</v>
          </cell>
          <cell r="W132">
            <v>2130</v>
          </cell>
          <cell r="X132">
            <v>125</v>
          </cell>
          <cell r="Y132">
            <v>1505</v>
          </cell>
          <cell r="Z132">
            <v>30</v>
          </cell>
          <cell r="AA132">
            <v>0</v>
          </cell>
          <cell r="AB132">
            <v>470</v>
          </cell>
          <cell r="AC132">
            <v>0</v>
          </cell>
          <cell r="AD132">
            <v>0</v>
          </cell>
          <cell r="AE132">
            <v>0</v>
          </cell>
          <cell r="AF132">
            <v>1265</v>
          </cell>
          <cell r="AG132">
            <v>0</v>
          </cell>
          <cell r="AH132">
            <v>0</v>
          </cell>
          <cell r="AI132">
            <v>420</v>
          </cell>
          <cell r="AJ132">
            <v>0</v>
          </cell>
          <cell r="AK132">
            <v>330</v>
          </cell>
          <cell r="AL132">
            <v>0</v>
          </cell>
          <cell r="AM132">
            <v>0</v>
          </cell>
          <cell r="AN132">
            <v>0</v>
          </cell>
          <cell r="AO132">
            <v>485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30</v>
          </cell>
          <cell r="AY132">
            <v>0</v>
          </cell>
          <cell r="AZ132">
            <v>0</v>
          </cell>
          <cell r="BA132">
            <v>125631</v>
          </cell>
          <cell r="BB132">
            <v>294</v>
          </cell>
          <cell r="BC132">
            <v>125337</v>
          </cell>
        </row>
        <row r="133">
          <cell r="C133" t="str">
            <v>SYR109</v>
          </cell>
          <cell r="D133">
            <v>25920</v>
          </cell>
          <cell r="E133">
            <v>19290</v>
          </cell>
          <cell r="F133">
            <v>715</v>
          </cell>
          <cell r="G133">
            <v>0</v>
          </cell>
          <cell r="H133">
            <v>715</v>
          </cell>
          <cell r="I133">
            <v>0</v>
          </cell>
          <cell r="J133">
            <v>5915</v>
          </cell>
          <cell r="K133">
            <v>1960</v>
          </cell>
          <cell r="L133">
            <v>575</v>
          </cell>
          <cell r="M133">
            <v>435</v>
          </cell>
          <cell r="N133">
            <v>0</v>
          </cell>
          <cell r="O133">
            <v>105</v>
          </cell>
          <cell r="P133">
            <v>35</v>
          </cell>
          <cell r="Q133">
            <v>295</v>
          </cell>
          <cell r="R133">
            <v>270</v>
          </cell>
          <cell r="S133">
            <v>0</v>
          </cell>
          <cell r="T133">
            <v>0</v>
          </cell>
          <cell r="U133">
            <v>0</v>
          </cell>
          <cell r="V133">
            <v>25</v>
          </cell>
          <cell r="W133">
            <v>1865</v>
          </cell>
          <cell r="X133">
            <v>100</v>
          </cell>
          <cell r="Y133">
            <v>1370</v>
          </cell>
          <cell r="Z133">
            <v>30</v>
          </cell>
          <cell r="AA133">
            <v>0</v>
          </cell>
          <cell r="AB133">
            <v>365</v>
          </cell>
          <cell r="AC133">
            <v>0</v>
          </cell>
          <cell r="AD133">
            <v>0</v>
          </cell>
          <cell r="AE133">
            <v>0</v>
          </cell>
          <cell r="AF133">
            <v>1220</v>
          </cell>
          <cell r="AG133">
            <v>0</v>
          </cell>
          <cell r="AH133">
            <v>0</v>
          </cell>
          <cell r="AI133">
            <v>390</v>
          </cell>
          <cell r="AJ133">
            <v>0</v>
          </cell>
          <cell r="AK133">
            <v>315</v>
          </cell>
          <cell r="AL133">
            <v>0</v>
          </cell>
          <cell r="AM133">
            <v>0</v>
          </cell>
          <cell r="AN133">
            <v>0</v>
          </cell>
          <cell r="AO133">
            <v>485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30</v>
          </cell>
          <cell r="AY133">
            <v>0</v>
          </cell>
          <cell r="AZ133">
            <v>0</v>
          </cell>
          <cell r="BA133">
            <v>103883</v>
          </cell>
          <cell r="BB133">
            <v>264</v>
          </cell>
          <cell r="BC133">
            <v>103619</v>
          </cell>
        </row>
        <row r="134">
          <cell r="C134" t="str">
            <v>SYR110</v>
          </cell>
          <cell r="D134">
            <v>25920</v>
          </cell>
          <cell r="E134">
            <v>24390</v>
          </cell>
          <cell r="F134">
            <v>735</v>
          </cell>
          <cell r="G134">
            <v>0</v>
          </cell>
          <cell r="H134">
            <v>735</v>
          </cell>
          <cell r="I134">
            <v>0</v>
          </cell>
          <cell r="J134">
            <v>795</v>
          </cell>
          <cell r="K134">
            <v>425</v>
          </cell>
          <cell r="L134">
            <v>60</v>
          </cell>
          <cell r="M134">
            <v>45</v>
          </cell>
          <cell r="N134">
            <v>0</v>
          </cell>
          <cell r="O134">
            <v>0</v>
          </cell>
          <cell r="P134">
            <v>15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265</v>
          </cell>
          <cell r="X134">
            <v>25</v>
          </cell>
          <cell r="Y134">
            <v>135</v>
          </cell>
          <cell r="Z134">
            <v>0</v>
          </cell>
          <cell r="AA134">
            <v>0</v>
          </cell>
          <cell r="AB134">
            <v>105</v>
          </cell>
          <cell r="AC134">
            <v>0</v>
          </cell>
          <cell r="AD134">
            <v>0</v>
          </cell>
          <cell r="AE134">
            <v>0</v>
          </cell>
          <cell r="AF134">
            <v>45</v>
          </cell>
          <cell r="AG134">
            <v>0</v>
          </cell>
          <cell r="AH134">
            <v>0</v>
          </cell>
          <cell r="AI134">
            <v>30</v>
          </cell>
          <cell r="AJ134">
            <v>0</v>
          </cell>
          <cell r="AK134">
            <v>15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21748</v>
          </cell>
          <cell r="BB134">
            <v>30</v>
          </cell>
          <cell r="BC134">
            <v>21718</v>
          </cell>
        </row>
        <row r="135">
          <cell r="C135" t="str">
            <v>NBL INJ-MIXING</v>
          </cell>
          <cell r="D135">
            <v>25920</v>
          </cell>
          <cell r="E135">
            <v>21990</v>
          </cell>
          <cell r="F135">
            <v>10</v>
          </cell>
          <cell r="G135">
            <v>10</v>
          </cell>
          <cell r="H135">
            <v>0</v>
          </cell>
          <cell r="I135">
            <v>0</v>
          </cell>
          <cell r="J135">
            <v>3920</v>
          </cell>
          <cell r="K135">
            <v>1177</v>
          </cell>
          <cell r="L135">
            <v>114</v>
          </cell>
          <cell r="M135">
            <v>114</v>
          </cell>
          <cell r="N135">
            <v>0</v>
          </cell>
          <cell r="O135">
            <v>0</v>
          </cell>
          <cell r="P135">
            <v>0</v>
          </cell>
          <cell r="Q135">
            <v>75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75</v>
          </cell>
          <cell r="W135">
            <v>1568</v>
          </cell>
          <cell r="X135">
            <v>281</v>
          </cell>
          <cell r="Y135">
            <v>1052</v>
          </cell>
          <cell r="Z135">
            <v>0</v>
          </cell>
          <cell r="AA135">
            <v>235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986</v>
          </cell>
          <cell r="AG135">
            <v>0</v>
          </cell>
          <cell r="AH135">
            <v>0</v>
          </cell>
          <cell r="AI135">
            <v>220</v>
          </cell>
          <cell r="AJ135">
            <v>0</v>
          </cell>
          <cell r="AK135">
            <v>215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8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543</v>
          </cell>
          <cell r="AX135">
            <v>0</v>
          </cell>
          <cell r="AY135">
            <v>0</v>
          </cell>
          <cell r="AZ135">
            <v>0</v>
          </cell>
          <cell r="BA135">
            <v>85644</v>
          </cell>
          <cell r="BB135">
            <v>0</v>
          </cell>
          <cell r="BC135">
            <v>85644</v>
          </cell>
        </row>
        <row r="136">
          <cell r="C136" t="str">
            <v>LMIXINJ1</v>
          </cell>
          <cell r="D136">
            <v>25920</v>
          </cell>
          <cell r="E136">
            <v>21990</v>
          </cell>
          <cell r="F136">
            <v>10</v>
          </cell>
          <cell r="G136">
            <v>10</v>
          </cell>
          <cell r="H136">
            <v>0</v>
          </cell>
          <cell r="I136">
            <v>0</v>
          </cell>
          <cell r="J136">
            <v>3920</v>
          </cell>
          <cell r="K136">
            <v>1177</v>
          </cell>
          <cell r="L136">
            <v>114</v>
          </cell>
          <cell r="M136">
            <v>114</v>
          </cell>
          <cell r="N136">
            <v>0</v>
          </cell>
          <cell r="O136">
            <v>0</v>
          </cell>
          <cell r="P136">
            <v>0</v>
          </cell>
          <cell r="Q136">
            <v>75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75</v>
          </cell>
          <cell r="W136">
            <v>1568</v>
          </cell>
          <cell r="X136">
            <v>281</v>
          </cell>
          <cell r="Y136">
            <v>1052</v>
          </cell>
          <cell r="Z136">
            <v>0</v>
          </cell>
          <cell r="AA136">
            <v>235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986</v>
          </cell>
          <cell r="AG136">
            <v>0</v>
          </cell>
          <cell r="AH136">
            <v>0</v>
          </cell>
          <cell r="AI136">
            <v>220</v>
          </cell>
          <cell r="AJ136">
            <v>0</v>
          </cell>
          <cell r="AK136">
            <v>215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8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543</v>
          </cell>
          <cell r="AX136">
            <v>0</v>
          </cell>
          <cell r="AY136">
            <v>0</v>
          </cell>
          <cell r="AZ136">
            <v>0</v>
          </cell>
          <cell r="BA136">
            <v>85644</v>
          </cell>
          <cell r="BB136">
            <v>0</v>
          </cell>
          <cell r="BC136">
            <v>85644</v>
          </cell>
        </row>
        <row r="137">
          <cell r="C137" t="str">
            <v>NBL INJ-FILLING</v>
          </cell>
          <cell r="D137">
            <v>53280</v>
          </cell>
          <cell r="E137">
            <v>35760</v>
          </cell>
          <cell r="F137">
            <v>777</v>
          </cell>
          <cell r="G137">
            <v>60</v>
          </cell>
          <cell r="H137">
            <v>717</v>
          </cell>
          <cell r="I137">
            <v>27</v>
          </cell>
          <cell r="J137">
            <v>16716</v>
          </cell>
          <cell r="K137">
            <v>7269</v>
          </cell>
          <cell r="L137">
            <v>1405</v>
          </cell>
          <cell r="M137">
            <v>1285</v>
          </cell>
          <cell r="N137">
            <v>0</v>
          </cell>
          <cell r="O137">
            <v>65</v>
          </cell>
          <cell r="P137">
            <v>55</v>
          </cell>
          <cell r="Q137">
            <v>722</v>
          </cell>
          <cell r="R137">
            <v>391</v>
          </cell>
          <cell r="S137">
            <v>96</v>
          </cell>
          <cell r="T137">
            <v>0</v>
          </cell>
          <cell r="U137">
            <v>14</v>
          </cell>
          <cell r="V137">
            <v>221</v>
          </cell>
          <cell r="W137">
            <v>3259</v>
          </cell>
          <cell r="X137">
            <v>728</v>
          </cell>
          <cell r="Y137">
            <v>2501</v>
          </cell>
          <cell r="Z137">
            <v>30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4061</v>
          </cell>
          <cell r="AG137">
            <v>0</v>
          </cell>
          <cell r="AH137">
            <v>0</v>
          </cell>
          <cell r="AI137">
            <v>960</v>
          </cell>
          <cell r="AJ137">
            <v>0</v>
          </cell>
          <cell r="AK137">
            <v>1085</v>
          </cell>
          <cell r="AL137">
            <v>0</v>
          </cell>
          <cell r="AM137">
            <v>0</v>
          </cell>
          <cell r="AN137">
            <v>10</v>
          </cell>
          <cell r="AO137">
            <v>0</v>
          </cell>
          <cell r="AP137">
            <v>231</v>
          </cell>
          <cell r="AQ137">
            <v>0</v>
          </cell>
          <cell r="AR137">
            <v>0</v>
          </cell>
          <cell r="AS137">
            <v>1658</v>
          </cell>
          <cell r="AT137">
            <v>0</v>
          </cell>
          <cell r="AU137">
            <v>0</v>
          </cell>
          <cell r="AV137">
            <v>0</v>
          </cell>
          <cell r="AW137">
            <v>117</v>
          </cell>
          <cell r="AX137">
            <v>0</v>
          </cell>
          <cell r="AY137">
            <v>0</v>
          </cell>
          <cell r="AZ137">
            <v>0</v>
          </cell>
          <cell r="BA137">
            <v>706634</v>
          </cell>
          <cell r="BB137">
            <v>47</v>
          </cell>
          <cell r="BC137">
            <v>706587</v>
          </cell>
        </row>
        <row r="138">
          <cell r="C138" t="str">
            <v>GINLINE3</v>
          </cell>
          <cell r="D138">
            <v>25920</v>
          </cell>
          <cell r="E138">
            <v>20280</v>
          </cell>
          <cell r="F138">
            <v>552</v>
          </cell>
          <cell r="G138">
            <v>0</v>
          </cell>
          <cell r="H138">
            <v>552</v>
          </cell>
          <cell r="I138">
            <v>27</v>
          </cell>
          <cell r="J138">
            <v>5061</v>
          </cell>
          <cell r="K138">
            <v>1369</v>
          </cell>
          <cell r="L138">
            <v>565</v>
          </cell>
          <cell r="M138">
            <v>560</v>
          </cell>
          <cell r="N138">
            <v>0</v>
          </cell>
          <cell r="O138">
            <v>0</v>
          </cell>
          <cell r="P138">
            <v>5</v>
          </cell>
          <cell r="Q138">
            <v>216</v>
          </cell>
          <cell r="R138">
            <v>0</v>
          </cell>
          <cell r="S138">
            <v>81</v>
          </cell>
          <cell r="T138">
            <v>0</v>
          </cell>
          <cell r="U138">
            <v>14</v>
          </cell>
          <cell r="V138">
            <v>121</v>
          </cell>
          <cell r="W138">
            <v>1364</v>
          </cell>
          <cell r="X138">
            <v>303</v>
          </cell>
          <cell r="Y138">
            <v>1061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1547</v>
          </cell>
          <cell r="AG138">
            <v>0</v>
          </cell>
          <cell r="AH138">
            <v>0</v>
          </cell>
          <cell r="AI138">
            <v>300</v>
          </cell>
          <cell r="AJ138">
            <v>0</v>
          </cell>
          <cell r="AK138">
            <v>320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166</v>
          </cell>
          <cell r="AQ138">
            <v>0</v>
          </cell>
          <cell r="AR138">
            <v>0</v>
          </cell>
          <cell r="AS138">
            <v>731</v>
          </cell>
          <cell r="AT138">
            <v>0</v>
          </cell>
          <cell r="AU138">
            <v>0</v>
          </cell>
          <cell r="AV138">
            <v>0</v>
          </cell>
          <cell r="AW138">
            <v>30</v>
          </cell>
          <cell r="AX138">
            <v>0</v>
          </cell>
          <cell r="AY138">
            <v>0</v>
          </cell>
          <cell r="AZ138">
            <v>0</v>
          </cell>
          <cell r="BA138">
            <v>198264</v>
          </cell>
          <cell r="BB138">
            <v>0</v>
          </cell>
          <cell r="BC138">
            <v>198264</v>
          </cell>
        </row>
        <row r="139">
          <cell r="C139" t="str">
            <v>GINLINE4</v>
          </cell>
          <cell r="D139">
            <v>27360</v>
          </cell>
          <cell r="E139">
            <v>15480</v>
          </cell>
          <cell r="F139">
            <v>225</v>
          </cell>
          <cell r="G139">
            <v>60</v>
          </cell>
          <cell r="H139">
            <v>165</v>
          </cell>
          <cell r="I139">
            <v>0</v>
          </cell>
          <cell r="J139">
            <v>11655</v>
          </cell>
          <cell r="K139">
            <v>5900</v>
          </cell>
          <cell r="L139">
            <v>840</v>
          </cell>
          <cell r="M139">
            <v>725</v>
          </cell>
          <cell r="N139">
            <v>0</v>
          </cell>
          <cell r="O139">
            <v>65</v>
          </cell>
          <cell r="P139">
            <v>50</v>
          </cell>
          <cell r="Q139">
            <v>506</v>
          </cell>
          <cell r="R139">
            <v>391</v>
          </cell>
          <cell r="S139">
            <v>15</v>
          </cell>
          <cell r="T139">
            <v>0</v>
          </cell>
          <cell r="U139">
            <v>0</v>
          </cell>
          <cell r="V139">
            <v>100</v>
          </cell>
          <cell r="W139">
            <v>1895</v>
          </cell>
          <cell r="X139">
            <v>425</v>
          </cell>
          <cell r="Y139">
            <v>1440</v>
          </cell>
          <cell r="Z139">
            <v>30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2514</v>
          </cell>
          <cell r="AG139">
            <v>0</v>
          </cell>
          <cell r="AH139">
            <v>0</v>
          </cell>
          <cell r="AI139">
            <v>660</v>
          </cell>
          <cell r="AJ139">
            <v>0</v>
          </cell>
          <cell r="AK139">
            <v>765</v>
          </cell>
          <cell r="AL139">
            <v>0</v>
          </cell>
          <cell r="AM139">
            <v>0</v>
          </cell>
          <cell r="AN139">
            <v>10</v>
          </cell>
          <cell r="AO139">
            <v>0</v>
          </cell>
          <cell r="AP139">
            <v>65</v>
          </cell>
          <cell r="AQ139">
            <v>0</v>
          </cell>
          <cell r="AR139">
            <v>0</v>
          </cell>
          <cell r="AS139">
            <v>927</v>
          </cell>
          <cell r="AT139">
            <v>0</v>
          </cell>
          <cell r="AU139">
            <v>0</v>
          </cell>
          <cell r="AV139">
            <v>0</v>
          </cell>
          <cell r="AW139">
            <v>87</v>
          </cell>
          <cell r="AX139">
            <v>0</v>
          </cell>
          <cell r="AY139">
            <v>0</v>
          </cell>
          <cell r="AZ139">
            <v>0</v>
          </cell>
          <cell r="BA139">
            <v>508370</v>
          </cell>
          <cell r="BB139">
            <v>47</v>
          </cell>
          <cell r="BC139">
            <v>508323</v>
          </cell>
        </row>
        <row r="140">
          <cell r="C140" t="str">
            <v>NBL INJ-STERILIZATION</v>
          </cell>
          <cell r="D140">
            <v>83520</v>
          </cell>
          <cell r="E140">
            <v>55798</v>
          </cell>
          <cell r="F140">
            <v>2001</v>
          </cell>
          <cell r="G140">
            <v>690</v>
          </cell>
          <cell r="H140">
            <v>1311</v>
          </cell>
          <cell r="I140">
            <v>0</v>
          </cell>
          <cell r="J140">
            <v>25721</v>
          </cell>
          <cell r="K140">
            <v>13470</v>
          </cell>
          <cell r="L140">
            <v>666</v>
          </cell>
          <cell r="M140">
            <v>666</v>
          </cell>
          <cell r="N140">
            <v>0</v>
          </cell>
          <cell r="O140">
            <v>0</v>
          </cell>
          <cell r="P140">
            <v>0</v>
          </cell>
          <cell r="Q140">
            <v>437</v>
          </cell>
          <cell r="R140">
            <v>405</v>
          </cell>
          <cell r="S140">
            <v>0</v>
          </cell>
          <cell r="T140">
            <v>0</v>
          </cell>
          <cell r="U140">
            <v>0</v>
          </cell>
          <cell r="V140">
            <v>32</v>
          </cell>
          <cell r="W140">
            <v>4163</v>
          </cell>
          <cell r="X140">
            <v>3432</v>
          </cell>
          <cell r="Y140">
            <v>298</v>
          </cell>
          <cell r="Z140">
            <v>93</v>
          </cell>
          <cell r="AA140">
            <v>85</v>
          </cell>
          <cell r="AB140">
            <v>255</v>
          </cell>
          <cell r="AC140">
            <v>0</v>
          </cell>
          <cell r="AD140">
            <v>0</v>
          </cell>
          <cell r="AE140">
            <v>0</v>
          </cell>
          <cell r="AF140">
            <v>6985</v>
          </cell>
          <cell r="AG140">
            <v>0</v>
          </cell>
          <cell r="AH140">
            <v>0</v>
          </cell>
          <cell r="AI140">
            <v>737</v>
          </cell>
          <cell r="AJ140">
            <v>95</v>
          </cell>
          <cell r="AK140">
            <v>616</v>
          </cell>
          <cell r="AL140">
            <v>790</v>
          </cell>
          <cell r="AM140">
            <v>0</v>
          </cell>
          <cell r="AN140">
            <v>0</v>
          </cell>
          <cell r="AO140">
            <v>4573</v>
          </cell>
          <cell r="AP140">
            <v>174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1061</v>
          </cell>
          <cell r="BB140">
            <v>0</v>
          </cell>
          <cell r="BC140">
            <v>1061</v>
          </cell>
        </row>
        <row r="141">
          <cell r="C141" t="str">
            <v>INJ105</v>
          </cell>
          <cell r="D141">
            <v>30240</v>
          </cell>
          <cell r="E141">
            <v>18810</v>
          </cell>
          <cell r="F141">
            <v>1104</v>
          </cell>
          <cell r="G141">
            <v>458</v>
          </cell>
          <cell r="H141">
            <v>646</v>
          </cell>
          <cell r="I141">
            <v>0</v>
          </cell>
          <cell r="J141">
            <v>10326</v>
          </cell>
          <cell r="K141">
            <v>5204</v>
          </cell>
          <cell r="L141">
            <v>212</v>
          </cell>
          <cell r="M141">
            <v>212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1333</v>
          </cell>
          <cell r="X141">
            <v>1048</v>
          </cell>
          <cell r="Y141">
            <v>195</v>
          </cell>
          <cell r="Z141">
            <v>0</v>
          </cell>
          <cell r="AA141">
            <v>0</v>
          </cell>
          <cell r="AB141">
            <v>90</v>
          </cell>
          <cell r="AC141">
            <v>0</v>
          </cell>
          <cell r="AD141">
            <v>0</v>
          </cell>
          <cell r="AE141">
            <v>0</v>
          </cell>
          <cell r="AF141">
            <v>3577</v>
          </cell>
          <cell r="AG141">
            <v>0</v>
          </cell>
          <cell r="AH141">
            <v>0</v>
          </cell>
          <cell r="AI141">
            <v>213</v>
          </cell>
          <cell r="AJ141">
            <v>0</v>
          </cell>
          <cell r="AK141">
            <v>210</v>
          </cell>
          <cell r="AL141">
            <v>0</v>
          </cell>
          <cell r="AM141">
            <v>0</v>
          </cell>
          <cell r="AN141">
            <v>0</v>
          </cell>
          <cell r="AO141">
            <v>3154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481</v>
          </cell>
          <cell r="BB141">
            <v>0</v>
          </cell>
          <cell r="BC141">
            <v>481</v>
          </cell>
        </row>
        <row r="142">
          <cell r="C142" t="str">
            <v>INJ106</v>
          </cell>
          <cell r="D142">
            <v>27360</v>
          </cell>
          <cell r="E142">
            <v>15808</v>
          </cell>
          <cell r="F142">
            <v>358</v>
          </cell>
          <cell r="G142">
            <v>178</v>
          </cell>
          <cell r="H142">
            <v>180</v>
          </cell>
          <cell r="I142">
            <v>0</v>
          </cell>
          <cell r="J142">
            <v>11194</v>
          </cell>
          <cell r="K142">
            <v>7383</v>
          </cell>
          <cell r="L142">
            <v>176</v>
          </cell>
          <cell r="M142">
            <v>176</v>
          </cell>
          <cell r="N142">
            <v>0</v>
          </cell>
          <cell r="O142">
            <v>0</v>
          </cell>
          <cell r="P142">
            <v>0</v>
          </cell>
          <cell r="Q142">
            <v>437</v>
          </cell>
          <cell r="R142">
            <v>405</v>
          </cell>
          <cell r="S142">
            <v>0</v>
          </cell>
          <cell r="T142">
            <v>0</v>
          </cell>
          <cell r="U142">
            <v>0</v>
          </cell>
          <cell r="V142">
            <v>32</v>
          </cell>
          <cell r="W142">
            <v>1566</v>
          </cell>
          <cell r="X142">
            <v>1483</v>
          </cell>
          <cell r="Y142">
            <v>83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1632</v>
          </cell>
          <cell r="AG142">
            <v>0</v>
          </cell>
          <cell r="AH142">
            <v>0</v>
          </cell>
          <cell r="AI142">
            <v>299</v>
          </cell>
          <cell r="AJ142">
            <v>0</v>
          </cell>
          <cell r="AK142">
            <v>205</v>
          </cell>
          <cell r="AL142">
            <v>0</v>
          </cell>
          <cell r="AM142">
            <v>0</v>
          </cell>
          <cell r="AN142">
            <v>0</v>
          </cell>
          <cell r="AO142">
            <v>1109</v>
          </cell>
          <cell r="AP142">
            <v>19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568</v>
          </cell>
          <cell r="BB142">
            <v>0</v>
          </cell>
          <cell r="BC142">
            <v>568</v>
          </cell>
        </row>
        <row r="143">
          <cell r="C143" t="str">
            <v>INJ107</v>
          </cell>
          <cell r="D143">
            <v>25920</v>
          </cell>
          <cell r="E143">
            <v>21180</v>
          </cell>
          <cell r="F143">
            <v>539</v>
          </cell>
          <cell r="G143">
            <v>54</v>
          </cell>
          <cell r="H143">
            <v>485</v>
          </cell>
          <cell r="I143">
            <v>0</v>
          </cell>
          <cell r="J143">
            <v>4201</v>
          </cell>
          <cell r="K143">
            <v>883</v>
          </cell>
          <cell r="L143">
            <v>278</v>
          </cell>
          <cell r="M143">
            <v>278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1264</v>
          </cell>
          <cell r="X143">
            <v>901</v>
          </cell>
          <cell r="Y143">
            <v>20</v>
          </cell>
          <cell r="Z143">
            <v>93</v>
          </cell>
          <cell r="AA143">
            <v>85</v>
          </cell>
          <cell r="AB143">
            <v>165</v>
          </cell>
          <cell r="AC143">
            <v>0</v>
          </cell>
          <cell r="AD143">
            <v>0</v>
          </cell>
          <cell r="AE143">
            <v>0</v>
          </cell>
          <cell r="AF143">
            <v>1776</v>
          </cell>
          <cell r="AG143">
            <v>0</v>
          </cell>
          <cell r="AH143">
            <v>0</v>
          </cell>
          <cell r="AI143">
            <v>225</v>
          </cell>
          <cell r="AJ143">
            <v>95</v>
          </cell>
          <cell r="AK143">
            <v>201</v>
          </cell>
          <cell r="AL143">
            <v>790</v>
          </cell>
          <cell r="AM143">
            <v>0</v>
          </cell>
          <cell r="AN143">
            <v>0</v>
          </cell>
          <cell r="AO143">
            <v>310</v>
          </cell>
          <cell r="AP143">
            <v>155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12</v>
          </cell>
          <cell r="BB143">
            <v>0</v>
          </cell>
          <cell r="BC143">
            <v>12</v>
          </cell>
        </row>
        <row r="144">
          <cell r="C144" t="str">
            <v>NBL SECONDARY PACKING</v>
          </cell>
          <cell r="D144">
            <v>155520</v>
          </cell>
          <cell r="E144">
            <v>121350</v>
          </cell>
          <cell r="F144">
            <v>4545</v>
          </cell>
          <cell r="G144">
            <v>705</v>
          </cell>
          <cell r="H144">
            <v>3840</v>
          </cell>
          <cell r="I144">
            <v>0</v>
          </cell>
          <cell r="J144">
            <v>29625</v>
          </cell>
          <cell r="K144">
            <v>18146</v>
          </cell>
          <cell r="L144">
            <v>2301</v>
          </cell>
          <cell r="M144">
            <v>1244</v>
          </cell>
          <cell r="N144">
            <v>15</v>
          </cell>
          <cell r="O144">
            <v>761</v>
          </cell>
          <cell r="P144">
            <v>281</v>
          </cell>
          <cell r="Q144">
            <v>255</v>
          </cell>
          <cell r="R144">
            <v>0</v>
          </cell>
          <cell r="S144">
            <v>0</v>
          </cell>
          <cell r="T144">
            <v>0</v>
          </cell>
          <cell r="U144">
            <v>255</v>
          </cell>
          <cell r="V144">
            <v>0</v>
          </cell>
          <cell r="W144">
            <v>2663</v>
          </cell>
          <cell r="X144">
            <v>992</v>
          </cell>
          <cell r="Y144">
            <v>1241</v>
          </cell>
          <cell r="Z144">
            <v>40</v>
          </cell>
          <cell r="AA144">
            <v>0</v>
          </cell>
          <cell r="AB144">
            <v>390</v>
          </cell>
          <cell r="AC144">
            <v>515</v>
          </cell>
          <cell r="AD144">
            <v>0</v>
          </cell>
          <cell r="AE144">
            <v>515</v>
          </cell>
          <cell r="AF144">
            <v>5745</v>
          </cell>
          <cell r="AG144">
            <v>0</v>
          </cell>
          <cell r="AH144">
            <v>600</v>
          </cell>
          <cell r="AI144">
            <v>1797</v>
          </cell>
          <cell r="AJ144">
            <v>0</v>
          </cell>
          <cell r="AK144">
            <v>990</v>
          </cell>
          <cell r="AL144">
            <v>0</v>
          </cell>
          <cell r="AM144">
            <v>130</v>
          </cell>
          <cell r="AN144">
            <v>0</v>
          </cell>
          <cell r="AO144">
            <v>622</v>
          </cell>
          <cell r="AP144">
            <v>509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1097</v>
          </cell>
          <cell r="AX144">
            <v>0</v>
          </cell>
          <cell r="AY144">
            <v>0</v>
          </cell>
          <cell r="AZ144">
            <v>0</v>
          </cell>
          <cell r="BA144">
            <v>901052</v>
          </cell>
          <cell r="BB144">
            <v>41</v>
          </cell>
          <cell r="BC144">
            <v>901011</v>
          </cell>
        </row>
        <row r="145">
          <cell r="C145" t="str">
            <v>PAK101</v>
          </cell>
          <cell r="D145">
            <v>25920</v>
          </cell>
          <cell r="E145">
            <v>15570</v>
          </cell>
          <cell r="F145">
            <v>625</v>
          </cell>
          <cell r="G145">
            <v>275</v>
          </cell>
          <cell r="H145">
            <v>350</v>
          </cell>
          <cell r="I145">
            <v>0</v>
          </cell>
          <cell r="J145">
            <v>9725</v>
          </cell>
          <cell r="K145">
            <v>7115</v>
          </cell>
          <cell r="L145">
            <v>206</v>
          </cell>
          <cell r="M145">
            <v>206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704</v>
          </cell>
          <cell r="X145">
            <v>184</v>
          </cell>
          <cell r="Y145">
            <v>400</v>
          </cell>
          <cell r="Z145">
            <v>0</v>
          </cell>
          <cell r="AA145">
            <v>0</v>
          </cell>
          <cell r="AB145">
            <v>120</v>
          </cell>
          <cell r="AC145">
            <v>0</v>
          </cell>
          <cell r="AD145">
            <v>0</v>
          </cell>
          <cell r="AE145">
            <v>0</v>
          </cell>
          <cell r="AF145">
            <v>1700</v>
          </cell>
          <cell r="AG145">
            <v>0</v>
          </cell>
          <cell r="AH145">
            <v>160</v>
          </cell>
          <cell r="AI145">
            <v>600</v>
          </cell>
          <cell r="AJ145">
            <v>0</v>
          </cell>
          <cell r="AK145">
            <v>360</v>
          </cell>
          <cell r="AL145">
            <v>0</v>
          </cell>
          <cell r="AM145">
            <v>55</v>
          </cell>
          <cell r="AN145">
            <v>0</v>
          </cell>
          <cell r="AO145">
            <v>0</v>
          </cell>
          <cell r="AP145">
            <v>165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360</v>
          </cell>
          <cell r="AX145">
            <v>0</v>
          </cell>
          <cell r="AY145">
            <v>0</v>
          </cell>
          <cell r="AZ145">
            <v>0</v>
          </cell>
          <cell r="BA145">
            <v>238167</v>
          </cell>
          <cell r="BB145">
            <v>11</v>
          </cell>
          <cell r="BC145">
            <v>238156</v>
          </cell>
        </row>
        <row r="146">
          <cell r="C146" t="str">
            <v>PAK103</v>
          </cell>
          <cell r="D146">
            <v>25920</v>
          </cell>
          <cell r="E146">
            <v>16320</v>
          </cell>
          <cell r="F146">
            <v>225</v>
          </cell>
          <cell r="G146">
            <v>225</v>
          </cell>
          <cell r="H146">
            <v>0</v>
          </cell>
          <cell r="I146">
            <v>0</v>
          </cell>
          <cell r="J146">
            <v>9375</v>
          </cell>
          <cell r="K146">
            <v>5960</v>
          </cell>
          <cell r="L146">
            <v>186</v>
          </cell>
          <cell r="M146">
            <v>186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721</v>
          </cell>
          <cell r="X146">
            <v>158</v>
          </cell>
          <cell r="Y146">
            <v>443</v>
          </cell>
          <cell r="Z146">
            <v>0</v>
          </cell>
          <cell r="AA146">
            <v>0</v>
          </cell>
          <cell r="AB146">
            <v>120</v>
          </cell>
          <cell r="AC146">
            <v>515</v>
          </cell>
          <cell r="AD146">
            <v>0</v>
          </cell>
          <cell r="AE146">
            <v>515</v>
          </cell>
          <cell r="AF146">
            <v>1993</v>
          </cell>
          <cell r="AG146">
            <v>0</v>
          </cell>
          <cell r="AH146">
            <v>440</v>
          </cell>
          <cell r="AI146">
            <v>507</v>
          </cell>
          <cell r="AJ146">
            <v>0</v>
          </cell>
          <cell r="AK146">
            <v>270</v>
          </cell>
          <cell r="AL146">
            <v>0</v>
          </cell>
          <cell r="AM146">
            <v>55</v>
          </cell>
          <cell r="AN146">
            <v>0</v>
          </cell>
          <cell r="AO146">
            <v>0</v>
          </cell>
          <cell r="AP146">
            <v>158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563</v>
          </cell>
          <cell r="AX146">
            <v>0</v>
          </cell>
          <cell r="AY146">
            <v>0</v>
          </cell>
          <cell r="AZ146">
            <v>0</v>
          </cell>
          <cell r="BA146">
            <v>218837</v>
          </cell>
          <cell r="BB146">
            <v>4</v>
          </cell>
          <cell r="BC146">
            <v>218833</v>
          </cell>
        </row>
        <row r="147">
          <cell r="C147" t="str">
            <v>PAK105</v>
          </cell>
          <cell r="D147">
            <v>25920</v>
          </cell>
          <cell r="E147">
            <v>19800</v>
          </cell>
          <cell r="F147">
            <v>1230</v>
          </cell>
          <cell r="G147">
            <v>0</v>
          </cell>
          <cell r="H147">
            <v>1230</v>
          </cell>
          <cell r="I147">
            <v>0</v>
          </cell>
          <cell r="J147">
            <v>4890</v>
          </cell>
          <cell r="K147">
            <v>2520</v>
          </cell>
          <cell r="L147">
            <v>935</v>
          </cell>
          <cell r="M147">
            <v>400</v>
          </cell>
          <cell r="N147">
            <v>0</v>
          </cell>
          <cell r="O147">
            <v>405</v>
          </cell>
          <cell r="P147">
            <v>130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250</v>
          </cell>
          <cell r="X147">
            <v>110</v>
          </cell>
          <cell r="Y147">
            <v>130</v>
          </cell>
          <cell r="Z147">
            <v>10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1185</v>
          </cell>
          <cell r="AG147">
            <v>0</v>
          </cell>
          <cell r="AH147">
            <v>0</v>
          </cell>
          <cell r="AI147">
            <v>330</v>
          </cell>
          <cell r="AJ147">
            <v>0</v>
          </cell>
          <cell r="AK147">
            <v>165</v>
          </cell>
          <cell r="AL147">
            <v>0</v>
          </cell>
          <cell r="AM147">
            <v>0</v>
          </cell>
          <cell r="AN147">
            <v>0</v>
          </cell>
          <cell r="AO147">
            <v>480</v>
          </cell>
          <cell r="AP147">
            <v>105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105</v>
          </cell>
          <cell r="AX147">
            <v>0</v>
          </cell>
          <cell r="AY147">
            <v>0</v>
          </cell>
          <cell r="AZ147">
            <v>0</v>
          </cell>
          <cell r="BA147">
            <v>143837</v>
          </cell>
          <cell r="BB147">
            <v>0</v>
          </cell>
          <cell r="BC147">
            <v>143837</v>
          </cell>
        </row>
        <row r="148">
          <cell r="C148" t="str">
            <v>PAK102</v>
          </cell>
          <cell r="D148">
            <v>25920</v>
          </cell>
          <cell r="E148">
            <v>25920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</row>
        <row r="149">
          <cell r="C149" t="str">
            <v>PAK104</v>
          </cell>
          <cell r="D149">
            <v>25920</v>
          </cell>
          <cell r="E149">
            <v>23880</v>
          </cell>
          <cell r="F149">
            <v>930</v>
          </cell>
          <cell r="G149">
            <v>30</v>
          </cell>
          <cell r="H149">
            <v>900</v>
          </cell>
          <cell r="I149">
            <v>0</v>
          </cell>
          <cell r="J149">
            <v>1110</v>
          </cell>
          <cell r="K149">
            <v>340</v>
          </cell>
          <cell r="L149">
            <v>215</v>
          </cell>
          <cell r="M149">
            <v>80</v>
          </cell>
          <cell r="N149">
            <v>0</v>
          </cell>
          <cell r="O149">
            <v>135</v>
          </cell>
          <cell r="P149">
            <v>0</v>
          </cell>
          <cell r="Q149">
            <v>255</v>
          </cell>
          <cell r="R149">
            <v>0</v>
          </cell>
          <cell r="S149">
            <v>0</v>
          </cell>
          <cell r="T149">
            <v>0</v>
          </cell>
          <cell r="U149">
            <v>255</v>
          </cell>
          <cell r="V149">
            <v>0</v>
          </cell>
          <cell r="W149">
            <v>190</v>
          </cell>
          <cell r="X149">
            <v>70</v>
          </cell>
          <cell r="Y149">
            <v>120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110</v>
          </cell>
          <cell r="AG149">
            <v>0</v>
          </cell>
          <cell r="AH149">
            <v>0</v>
          </cell>
          <cell r="AI149">
            <v>60</v>
          </cell>
          <cell r="AJ149">
            <v>0</v>
          </cell>
          <cell r="AK149">
            <v>30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10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10</v>
          </cell>
          <cell r="AX149">
            <v>0</v>
          </cell>
          <cell r="AY149">
            <v>0</v>
          </cell>
          <cell r="AZ149">
            <v>0</v>
          </cell>
          <cell r="BA149">
            <v>7660</v>
          </cell>
          <cell r="BB149">
            <v>0</v>
          </cell>
          <cell r="BC149">
            <v>7660</v>
          </cell>
        </row>
        <row r="150">
          <cell r="C150" t="str">
            <v>PAK111</v>
          </cell>
          <cell r="D150">
            <v>25920</v>
          </cell>
          <cell r="E150">
            <v>19860</v>
          </cell>
          <cell r="F150">
            <v>1535</v>
          </cell>
          <cell r="G150">
            <v>175</v>
          </cell>
          <cell r="H150">
            <v>1360</v>
          </cell>
          <cell r="I150">
            <v>0</v>
          </cell>
          <cell r="J150">
            <v>4525</v>
          </cell>
          <cell r="K150">
            <v>2211</v>
          </cell>
          <cell r="L150">
            <v>759</v>
          </cell>
          <cell r="M150">
            <v>372</v>
          </cell>
          <cell r="N150">
            <v>15</v>
          </cell>
          <cell r="O150">
            <v>221</v>
          </cell>
          <cell r="P150">
            <v>151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798</v>
          </cell>
          <cell r="X150">
            <v>470</v>
          </cell>
          <cell r="Y150">
            <v>148</v>
          </cell>
          <cell r="Z150">
            <v>30</v>
          </cell>
          <cell r="AA150">
            <v>0</v>
          </cell>
          <cell r="AB150">
            <v>150</v>
          </cell>
          <cell r="AC150">
            <v>0</v>
          </cell>
          <cell r="AD150">
            <v>0</v>
          </cell>
          <cell r="AE150">
            <v>0</v>
          </cell>
          <cell r="AF150">
            <v>757</v>
          </cell>
          <cell r="AG150">
            <v>0</v>
          </cell>
          <cell r="AH150">
            <v>0</v>
          </cell>
          <cell r="AI150">
            <v>300</v>
          </cell>
          <cell r="AJ150">
            <v>0</v>
          </cell>
          <cell r="AK150">
            <v>165</v>
          </cell>
          <cell r="AL150">
            <v>0</v>
          </cell>
          <cell r="AM150">
            <v>20</v>
          </cell>
          <cell r="AN150">
            <v>0</v>
          </cell>
          <cell r="AO150">
            <v>142</v>
          </cell>
          <cell r="AP150">
            <v>71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59</v>
          </cell>
          <cell r="AX150">
            <v>0</v>
          </cell>
          <cell r="AY150">
            <v>0</v>
          </cell>
          <cell r="AZ150">
            <v>0</v>
          </cell>
          <cell r="BA150">
            <v>292551</v>
          </cell>
          <cell r="BB150">
            <v>26</v>
          </cell>
          <cell r="BC150">
            <v>292525</v>
          </cell>
        </row>
        <row r="151">
          <cell r="C151" t="str">
            <v>CPH SOL-MIXING</v>
          </cell>
          <cell r="D151">
            <v>25920</v>
          </cell>
          <cell r="E151">
            <v>24900</v>
          </cell>
          <cell r="F151">
            <v>360</v>
          </cell>
          <cell r="G151">
            <v>0</v>
          </cell>
          <cell r="H151">
            <v>360</v>
          </cell>
          <cell r="I151">
            <v>0</v>
          </cell>
          <cell r="J151">
            <v>660</v>
          </cell>
          <cell r="K151">
            <v>100</v>
          </cell>
          <cell r="L151">
            <v>17</v>
          </cell>
          <cell r="M151">
            <v>6</v>
          </cell>
          <cell r="N151">
            <v>6</v>
          </cell>
          <cell r="O151">
            <v>5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333</v>
          </cell>
          <cell r="X151">
            <v>125</v>
          </cell>
          <cell r="Y151">
            <v>145</v>
          </cell>
          <cell r="Z151">
            <v>3</v>
          </cell>
          <cell r="AA151">
            <v>0</v>
          </cell>
          <cell r="AB151">
            <v>60</v>
          </cell>
          <cell r="AC151">
            <v>0</v>
          </cell>
          <cell r="AD151">
            <v>0</v>
          </cell>
          <cell r="AE151">
            <v>0</v>
          </cell>
          <cell r="AF151">
            <v>210</v>
          </cell>
          <cell r="AG151">
            <v>150</v>
          </cell>
          <cell r="AH151">
            <v>0</v>
          </cell>
          <cell r="AI151">
            <v>30</v>
          </cell>
          <cell r="AJ151">
            <v>0</v>
          </cell>
          <cell r="AK151">
            <v>15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15</v>
          </cell>
          <cell r="AX151">
            <v>0</v>
          </cell>
          <cell r="AY151">
            <v>0</v>
          </cell>
          <cell r="AZ151">
            <v>0</v>
          </cell>
          <cell r="BA151">
            <v>127.1</v>
          </cell>
          <cell r="BB151">
            <v>0.93</v>
          </cell>
          <cell r="BC151">
            <v>126.17</v>
          </cell>
        </row>
        <row r="152">
          <cell r="C152" t="str">
            <v>MCF101</v>
          </cell>
          <cell r="D152">
            <v>25920</v>
          </cell>
          <cell r="E152">
            <v>24900</v>
          </cell>
          <cell r="F152">
            <v>360</v>
          </cell>
          <cell r="G152">
            <v>0</v>
          </cell>
          <cell r="H152">
            <v>360</v>
          </cell>
          <cell r="I152">
            <v>0</v>
          </cell>
          <cell r="J152">
            <v>660</v>
          </cell>
          <cell r="K152">
            <v>100</v>
          </cell>
          <cell r="L152">
            <v>17</v>
          </cell>
          <cell r="M152">
            <v>6</v>
          </cell>
          <cell r="N152">
            <v>6</v>
          </cell>
          <cell r="O152">
            <v>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333</v>
          </cell>
          <cell r="X152">
            <v>125</v>
          </cell>
          <cell r="Y152">
            <v>145</v>
          </cell>
          <cell r="Z152">
            <v>3</v>
          </cell>
          <cell r="AA152">
            <v>0</v>
          </cell>
          <cell r="AB152">
            <v>60</v>
          </cell>
          <cell r="AC152">
            <v>0</v>
          </cell>
          <cell r="AD152">
            <v>0</v>
          </cell>
          <cell r="AE152">
            <v>0</v>
          </cell>
          <cell r="AF152">
            <v>210</v>
          </cell>
          <cell r="AG152">
            <v>150</v>
          </cell>
          <cell r="AH152">
            <v>0</v>
          </cell>
          <cell r="AI152">
            <v>30</v>
          </cell>
          <cell r="AJ152">
            <v>0</v>
          </cell>
          <cell r="AK152">
            <v>15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15</v>
          </cell>
          <cell r="AX152">
            <v>0</v>
          </cell>
          <cell r="AY152">
            <v>0</v>
          </cell>
          <cell r="AZ152">
            <v>0</v>
          </cell>
          <cell r="BA152">
            <v>127.1</v>
          </cell>
          <cell r="BB152">
            <v>0.93</v>
          </cell>
          <cell r="BC152">
            <v>126.17</v>
          </cell>
        </row>
        <row r="153">
          <cell r="C153" t="str">
            <v>CPH SOL-CAPSULE</v>
          </cell>
          <cell r="D153">
            <v>25920</v>
          </cell>
          <cell r="E153">
            <v>25920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</row>
        <row r="154">
          <cell r="C154" t="str">
            <v>KCF101</v>
          </cell>
          <cell r="D154">
            <v>25920</v>
          </cell>
          <cell r="E154">
            <v>25920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</row>
        <row r="155">
          <cell r="C155" t="str">
            <v>CPH SOL-STRIPPING</v>
          </cell>
          <cell r="D155">
            <v>25920</v>
          </cell>
          <cell r="E155">
            <v>25920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</row>
        <row r="156">
          <cell r="C156" t="str">
            <v>STC101</v>
          </cell>
          <cell r="D156">
            <v>25920</v>
          </cell>
          <cell r="E156">
            <v>25920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</row>
        <row r="157">
          <cell r="C157" t="str">
            <v>CPH SOL-POWDER FILLING</v>
          </cell>
          <cell r="D157">
            <v>25920</v>
          </cell>
          <cell r="E157">
            <v>24390</v>
          </cell>
          <cell r="F157">
            <v>60</v>
          </cell>
          <cell r="G157">
            <v>60</v>
          </cell>
          <cell r="H157">
            <v>0</v>
          </cell>
          <cell r="I157">
            <v>0</v>
          </cell>
          <cell r="J157">
            <v>1470</v>
          </cell>
          <cell r="K157">
            <v>265</v>
          </cell>
          <cell r="L157">
            <v>145</v>
          </cell>
          <cell r="M157">
            <v>105</v>
          </cell>
          <cell r="N157">
            <v>0</v>
          </cell>
          <cell r="O157">
            <v>40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650</v>
          </cell>
          <cell r="X157">
            <v>255</v>
          </cell>
          <cell r="Y157">
            <v>375</v>
          </cell>
          <cell r="Z157">
            <v>0</v>
          </cell>
          <cell r="AA157">
            <v>0</v>
          </cell>
          <cell r="AB157">
            <v>20</v>
          </cell>
          <cell r="AC157">
            <v>0</v>
          </cell>
          <cell r="AD157">
            <v>0</v>
          </cell>
          <cell r="AE157">
            <v>0</v>
          </cell>
          <cell r="AF157">
            <v>410</v>
          </cell>
          <cell r="AG157">
            <v>0</v>
          </cell>
          <cell r="AH157">
            <v>0</v>
          </cell>
          <cell r="AI157">
            <v>90</v>
          </cell>
          <cell r="AJ157">
            <v>0</v>
          </cell>
          <cell r="AK157">
            <v>60</v>
          </cell>
          <cell r="AL157">
            <v>0</v>
          </cell>
          <cell r="AM157">
            <v>0</v>
          </cell>
          <cell r="AN157">
            <v>15</v>
          </cell>
          <cell r="AO157">
            <v>30</v>
          </cell>
          <cell r="AP157">
            <v>45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50</v>
          </cell>
          <cell r="AX157">
            <v>120</v>
          </cell>
          <cell r="AY157">
            <v>0</v>
          </cell>
          <cell r="AZ157">
            <v>0</v>
          </cell>
          <cell r="BA157">
            <v>7924</v>
          </cell>
          <cell r="BB157">
            <v>70</v>
          </cell>
          <cell r="BC157">
            <v>7854</v>
          </cell>
        </row>
        <row r="158">
          <cell r="C158" t="str">
            <v>SCF102</v>
          </cell>
          <cell r="D158">
            <v>25920</v>
          </cell>
          <cell r="E158">
            <v>24390</v>
          </cell>
          <cell r="F158">
            <v>60</v>
          </cell>
          <cell r="G158">
            <v>60</v>
          </cell>
          <cell r="H158">
            <v>0</v>
          </cell>
          <cell r="I158">
            <v>0</v>
          </cell>
          <cell r="J158">
            <v>1470</v>
          </cell>
          <cell r="K158">
            <v>265</v>
          </cell>
          <cell r="L158">
            <v>145</v>
          </cell>
          <cell r="M158">
            <v>105</v>
          </cell>
          <cell r="N158">
            <v>0</v>
          </cell>
          <cell r="O158">
            <v>40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650</v>
          </cell>
          <cell r="X158">
            <v>255</v>
          </cell>
          <cell r="Y158">
            <v>375</v>
          </cell>
          <cell r="Z158">
            <v>0</v>
          </cell>
          <cell r="AA158">
            <v>0</v>
          </cell>
          <cell r="AB158">
            <v>20</v>
          </cell>
          <cell r="AC158">
            <v>0</v>
          </cell>
          <cell r="AD158">
            <v>0</v>
          </cell>
          <cell r="AE158">
            <v>0</v>
          </cell>
          <cell r="AF158">
            <v>410</v>
          </cell>
          <cell r="AG158">
            <v>0</v>
          </cell>
          <cell r="AH158">
            <v>0</v>
          </cell>
          <cell r="AI158">
            <v>90</v>
          </cell>
          <cell r="AJ158">
            <v>0</v>
          </cell>
          <cell r="AK158">
            <v>60</v>
          </cell>
          <cell r="AL158">
            <v>0</v>
          </cell>
          <cell r="AM158">
            <v>0</v>
          </cell>
          <cell r="AN158">
            <v>15</v>
          </cell>
          <cell r="AO158">
            <v>30</v>
          </cell>
          <cell r="AP158">
            <v>45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50</v>
          </cell>
          <cell r="AX158">
            <v>120</v>
          </cell>
          <cell r="AY158">
            <v>0</v>
          </cell>
          <cell r="AZ158">
            <v>0</v>
          </cell>
          <cell r="BA158">
            <v>7924</v>
          </cell>
          <cell r="BB158">
            <v>70</v>
          </cell>
          <cell r="BC158">
            <v>7854</v>
          </cell>
        </row>
        <row r="159">
          <cell r="C159" t="str">
            <v>CPH INJ-FILLING</v>
          </cell>
          <cell r="D159">
            <v>25920</v>
          </cell>
          <cell r="E159">
            <v>18480</v>
          </cell>
          <cell r="F159">
            <v>815</v>
          </cell>
          <cell r="G159">
            <v>0</v>
          </cell>
          <cell r="H159">
            <v>815</v>
          </cell>
          <cell r="I159">
            <v>0</v>
          </cell>
          <cell r="J159">
            <v>6625</v>
          </cell>
          <cell r="K159">
            <v>2326</v>
          </cell>
          <cell r="L159">
            <v>594</v>
          </cell>
          <cell r="M159">
            <v>472</v>
          </cell>
          <cell r="N159">
            <v>0</v>
          </cell>
          <cell r="O159">
            <v>108</v>
          </cell>
          <cell r="P159">
            <v>14</v>
          </cell>
          <cell r="Q159">
            <v>10</v>
          </cell>
          <cell r="R159">
            <v>0</v>
          </cell>
          <cell r="S159">
            <v>10</v>
          </cell>
          <cell r="T159">
            <v>0</v>
          </cell>
          <cell r="U159">
            <v>0</v>
          </cell>
          <cell r="V159">
            <v>0</v>
          </cell>
          <cell r="W159">
            <v>1927</v>
          </cell>
          <cell r="X159">
            <v>683</v>
          </cell>
          <cell r="Y159">
            <v>1244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1768</v>
          </cell>
          <cell r="AG159">
            <v>0</v>
          </cell>
          <cell r="AH159">
            <v>0</v>
          </cell>
          <cell r="AI159">
            <v>532</v>
          </cell>
          <cell r="AJ159">
            <v>28</v>
          </cell>
          <cell r="AK159">
            <v>450</v>
          </cell>
          <cell r="AL159">
            <v>0</v>
          </cell>
          <cell r="AM159">
            <v>10</v>
          </cell>
          <cell r="AN159">
            <v>115</v>
          </cell>
          <cell r="AO159">
            <v>0</v>
          </cell>
          <cell r="AP159">
            <v>85</v>
          </cell>
          <cell r="AQ159">
            <v>0</v>
          </cell>
          <cell r="AR159">
            <v>0</v>
          </cell>
          <cell r="AS159">
            <v>491</v>
          </cell>
          <cell r="AT159">
            <v>0</v>
          </cell>
          <cell r="AU159">
            <v>0</v>
          </cell>
          <cell r="AV159">
            <v>0</v>
          </cell>
          <cell r="AW159">
            <v>57</v>
          </cell>
          <cell r="AX159">
            <v>0</v>
          </cell>
          <cell r="AY159">
            <v>0</v>
          </cell>
          <cell r="AZ159">
            <v>0</v>
          </cell>
          <cell r="BA159">
            <v>372280</v>
          </cell>
          <cell r="BB159">
            <v>0</v>
          </cell>
          <cell r="BC159">
            <v>372280</v>
          </cell>
        </row>
        <row r="160">
          <cell r="C160" t="str">
            <v>GINLINE6</v>
          </cell>
          <cell r="D160">
            <v>25920</v>
          </cell>
          <cell r="E160">
            <v>18480</v>
          </cell>
          <cell r="F160">
            <v>815</v>
          </cell>
          <cell r="G160">
            <v>0</v>
          </cell>
          <cell r="H160">
            <v>815</v>
          </cell>
          <cell r="I160">
            <v>0</v>
          </cell>
          <cell r="J160">
            <v>6625</v>
          </cell>
          <cell r="K160">
            <v>2326</v>
          </cell>
          <cell r="L160">
            <v>594</v>
          </cell>
          <cell r="M160">
            <v>472</v>
          </cell>
          <cell r="N160">
            <v>0</v>
          </cell>
          <cell r="O160">
            <v>108</v>
          </cell>
          <cell r="P160">
            <v>14</v>
          </cell>
          <cell r="Q160">
            <v>10</v>
          </cell>
          <cell r="R160">
            <v>0</v>
          </cell>
          <cell r="S160">
            <v>10</v>
          </cell>
          <cell r="T160">
            <v>0</v>
          </cell>
          <cell r="U160">
            <v>0</v>
          </cell>
          <cell r="V160">
            <v>0</v>
          </cell>
          <cell r="W160">
            <v>1927</v>
          </cell>
          <cell r="X160">
            <v>683</v>
          </cell>
          <cell r="Y160">
            <v>1244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1768</v>
          </cell>
          <cell r="AG160">
            <v>0</v>
          </cell>
          <cell r="AH160">
            <v>0</v>
          </cell>
          <cell r="AI160">
            <v>532</v>
          </cell>
          <cell r="AJ160">
            <v>28</v>
          </cell>
          <cell r="AK160">
            <v>450</v>
          </cell>
          <cell r="AL160">
            <v>0</v>
          </cell>
          <cell r="AM160">
            <v>10</v>
          </cell>
          <cell r="AN160">
            <v>115</v>
          </cell>
          <cell r="AO160">
            <v>0</v>
          </cell>
          <cell r="AP160">
            <v>85</v>
          </cell>
          <cell r="AQ160">
            <v>0</v>
          </cell>
          <cell r="AR160">
            <v>0</v>
          </cell>
          <cell r="AS160">
            <v>491</v>
          </cell>
          <cell r="AT160">
            <v>0</v>
          </cell>
          <cell r="AU160">
            <v>0</v>
          </cell>
          <cell r="AV160">
            <v>0</v>
          </cell>
          <cell r="AW160">
            <v>57</v>
          </cell>
          <cell r="AX160">
            <v>0</v>
          </cell>
          <cell r="AY160">
            <v>0</v>
          </cell>
          <cell r="AZ160">
            <v>0</v>
          </cell>
          <cell r="BA160">
            <v>372280</v>
          </cell>
          <cell r="BB160">
            <v>0</v>
          </cell>
          <cell r="BC160">
            <v>372280</v>
          </cell>
        </row>
        <row r="161">
          <cell r="C161" t="str">
            <v>CPH INJ-STERILIZATION</v>
          </cell>
          <cell r="D161">
            <v>51840</v>
          </cell>
          <cell r="E161">
            <v>35004</v>
          </cell>
          <cell r="F161">
            <v>2641</v>
          </cell>
          <cell r="G161">
            <v>288</v>
          </cell>
          <cell r="H161">
            <v>2353</v>
          </cell>
          <cell r="I161">
            <v>0</v>
          </cell>
          <cell r="J161">
            <v>14195</v>
          </cell>
          <cell r="K161">
            <v>6905</v>
          </cell>
          <cell r="L161">
            <v>655</v>
          </cell>
          <cell r="M161">
            <v>435</v>
          </cell>
          <cell r="N161">
            <v>0</v>
          </cell>
          <cell r="O161">
            <v>220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5457</v>
          </cell>
          <cell r="X161">
            <v>4441</v>
          </cell>
          <cell r="Y161">
            <v>765</v>
          </cell>
          <cell r="Z161">
            <v>251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1178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80</v>
          </cell>
          <cell r="AO161">
            <v>1098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652</v>
          </cell>
          <cell r="BB161">
            <v>0</v>
          </cell>
          <cell r="BC161">
            <v>652</v>
          </cell>
        </row>
        <row r="162">
          <cell r="C162" t="str">
            <v>ICF104</v>
          </cell>
          <cell r="D162">
            <v>25920</v>
          </cell>
          <cell r="E162">
            <v>17484</v>
          </cell>
          <cell r="F162">
            <v>966</v>
          </cell>
          <cell r="G162">
            <v>288</v>
          </cell>
          <cell r="H162">
            <v>678</v>
          </cell>
          <cell r="I162">
            <v>0</v>
          </cell>
          <cell r="J162">
            <v>7470</v>
          </cell>
          <cell r="K162">
            <v>3603</v>
          </cell>
          <cell r="L162">
            <v>312</v>
          </cell>
          <cell r="M162">
            <v>227</v>
          </cell>
          <cell r="N162">
            <v>0</v>
          </cell>
          <cell r="O162">
            <v>85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3276</v>
          </cell>
          <cell r="X162">
            <v>2684</v>
          </cell>
          <cell r="Y162">
            <v>341</v>
          </cell>
          <cell r="Z162">
            <v>251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279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55</v>
          </cell>
          <cell r="AO162">
            <v>224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388</v>
          </cell>
          <cell r="BB162">
            <v>0</v>
          </cell>
          <cell r="BC162">
            <v>388</v>
          </cell>
        </row>
        <row r="163">
          <cell r="C163" t="str">
            <v>ICF105</v>
          </cell>
          <cell r="D163">
            <v>25920</v>
          </cell>
          <cell r="E163">
            <v>17520</v>
          </cell>
          <cell r="F163">
            <v>1675</v>
          </cell>
          <cell r="G163">
            <v>0</v>
          </cell>
          <cell r="H163">
            <v>1675</v>
          </cell>
          <cell r="I163">
            <v>0</v>
          </cell>
          <cell r="J163">
            <v>6725</v>
          </cell>
          <cell r="K163">
            <v>3302</v>
          </cell>
          <cell r="L163">
            <v>343</v>
          </cell>
          <cell r="M163">
            <v>208</v>
          </cell>
          <cell r="N163">
            <v>0</v>
          </cell>
          <cell r="O163">
            <v>135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2181</v>
          </cell>
          <cell r="X163">
            <v>1757</v>
          </cell>
          <cell r="Y163">
            <v>424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899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25</v>
          </cell>
          <cell r="AO163">
            <v>874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264</v>
          </cell>
          <cell r="BB163">
            <v>0</v>
          </cell>
          <cell r="BC163">
            <v>264</v>
          </cell>
        </row>
        <row r="164">
          <cell r="C164" t="str">
            <v>CPH-SECONDARY PACKING</v>
          </cell>
          <cell r="D164">
            <v>51840</v>
          </cell>
          <cell r="E164">
            <v>32790</v>
          </cell>
          <cell r="F164">
            <v>2715</v>
          </cell>
          <cell r="G164">
            <v>280</v>
          </cell>
          <cell r="H164">
            <v>2435</v>
          </cell>
          <cell r="I164">
            <v>0</v>
          </cell>
          <cell r="J164">
            <v>16335</v>
          </cell>
          <cell r="K164">
            <v>6631</v>
          </cell>
          <cell r="L164">
            <v>3458</v>
          </cell>
          <cell r="M164">
            <v>1187</v>
          </cell>
          <cell r="N164">
            <v>120</v>
          </cell>
          <cell r="O164">
            <v>803</v>
          </cell>
          <cell r="P164">
            <v>1348</v>
          </cell>
          <cell r="Q164">
            <v>70</v>
          </cell>
          <cell r="R164">
            <v>20</v>
          </cell>
          <cell r="S164">
            <v>50</v>
          </cell>
          <cell r="T164">
            <v>0</v>
          </cell>
          <cell r="U164">
            <v>0</v>
          </cell>
          <cell r="V164">
            <v>0</v>
          </cell>
          <cell r="W164">
            <v>2129</v>
          </cell>
          <cell r="X164">
            <v>712</v>
          </cell>
          <cell r="Y164">
            <v>459</v>
          </cell>
          <cell r="Z164">
            <v>530</v>
          </cell>
          <cell r="AA164">
            <v>0</v>
          </cell>
          <cell r="AB164">
            <v>428</v>
          </cell>
          <cell r="AC164">
            <v>0</v>
          </cell>
          <cell r="AD164">
            <v>0</v>
          </cell>
          <cell r="AE164">
            <v>0</v>
          </cell>
          <cell r="AF164">
            <v>4047</v>
          </cell>
          <cell r="AG164">
            <v>155</v>
          </cell>
          <cell r="AH164">
            <v>0</v>
          </cell>
          <cell r="AI164">
            <v>1080</v>
          </cell>
          <cell r="AJ164">
            <v>0</v>
          </cell>
          <cell r="AK164">
            <v>675</v>
          </cell>
          <cell r="AL164">
            <v>0</v>
          </cell>
          <cell r="AM164">
            <v>20</v>
          </cell>
          <cell r="AN164">
            <v>0</v>
          </cell>
          <cell r="AO164">
            <v>380</v>
          </cell>
          <cell r="AP164">
            <v>1147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590</v>
          </cell>
          <cell r="AX164">
            <v>0</v>
          </cell>
          <cell r="AY164">
            <v>0</v>
          </cell>
          <cell r="AZ164">
            <v>0</v>
          </cell>
          <cell r="BA164">
            <v>840241</v>
          </cell>
          <cell r="BB164">
            <v>317</v>
          </cell>
          <cell r="BC164">
            <v>839924</v>
          </cell>
        </row>
        <row r="165">
          <cell r="C165" t="str">
            <v>PCF101</v>
          </cell>
          <cell r="D165">
            <v>25920</v>
          </cell>
          <cell r="E165">
            <v>13500</v>
          </cell>
          <cell r="F165">
            <v>590</v>
          </cell>
          <cell r="G165">
            <v>140</v>
          </cell>
          <cell r="H165">
            <v>450</v>
          </cell>
          <cell r="I165">
            <v>0</v>
          </cell>
          <cell r="J165">
            <v>11830</v>
          </cell>
          <cell r="K165">
            <v>4206</v>
          </cell>
          <cell r="L165">
            <v>2975</v>
          </cell>
          <cell r="M165">
            <v>759</v>
          </cell>
          <cell r="N165">
            <v>120</v>
          </cell>
          <cell r="O165">
            <v>748</v>
          </cell>
          <cell r="P165">
            <v>1348</v>
          </cell>
          <cell r="Q165">
            <v>20</v>
          </cell>
          <cell r="R165">
            <v>20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1574</v>
          </cell>
          <cell r="X165">
            <v>657</v>
          </cell>
          <cell r="Y165">
            <v>379</v>
          </cell>
          <cell r="Z165">
            <v>490</v>
          </cell>
          <cell r="AA165">
            <v>0</v>
          </cell>
          <cell r="AB165">
            <v>48</v>
          </cell>
          <cell r="AC165">
            <v>0</v>
          </cell>
          <cell r="AD165">
            <v>0</v>
          </cell>
          <cell r="AE165">
            <v>0</v>
          </cell>
          <cell r="AF165">
            <v>3055</v>
          </cell>
          <cell r="AG165">
            <v>0</v>
          </cell>
          <cell r="AH165">
            <v>0</v>
          </cell>
          <cell r="AI165">
            <v>780</v>
          </cell>
          <cell r="AJ165">
            <v>0</v>
          </cell>
          <cell r="AK165">
            <v>525</v>
          </cell>
          <cell r="AL165">
            <v>0</v>
          </cell>
          <cell r="AM165">
            <v>0</v>
          </cell>
          <cell r="AN165">
            <v>0</v>
          </cell>
          <cell r="AO165">
            <v>380</v>
          </cell>
          <cell r="AP165">
            <v>1025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345</v>
          </cell>
          <cell r="AX165">
            <v>0</v>
          </cell>
          <cell r="AY165">
            <v>0</v>
          </cell>
          <cell r="AZ165">
            <v>0</v>
          </cell>
          <cell r="BA165">
            <v>769681</v>
          </cell>
          <cell r="BB165">
            <v>95</v>
          </cell>
          <cell r="BC165">
            <v>769586</v>
          </cell>
        </row>
        <row r="166">
          <cell r="C166" t="str">
            <v>PCF102</v>
          </cell>
          <cell r="D166">
            <v>25920</v>
          </cell>
          <cell r="E166">
            <v>19290</v>
          </cell>
          <cell r="F166">
            <v>2125</v>
          </cell>
          <cell r="G166">
            <v>140</v>
          </cell>
          <cell r="H166">
            <v>1985</v>
          </cell>
          <cell r="I166">
            <v>0</v>
          </cell>
          <cell r="J166">
            <v>4505</v>
          </cell>
          <cell r="K166">
            <v>2425</v>
          </cell>
          <cell r="L166">
            <v>483</v>
          </cell>
          <cell r="M166">
            <v>428</v>
          </cell>
          <cell r="N166">
            <v>0</v>
          </cell>
          <cell r="O166">
            <v>55</v>
          </cell>
          <cell r="P166">
            <v>0</v>
          </cell>
          <cell r="Q166">
            <v>50</v>
          </cell>
          <cell r="R166">
            <v>0</v>
          </cell>
          <cell r="S166">
            <v>50</v>
          </cell>
          <cell r="T166">
            <v>0</v>
          </cell>
          <cell r="U166">
            <v>0</v>
          </cell>
          <cell r="V166">
            <v>0</v>
          </cell>
          <cell r="W166">
            <v>555</v>
          </cell>
          <cell r="X166">
            <v>55</v>
          </cell>
          <cell r="Y166">
            <v>80</v>
          </cell>
          <cell r="Z166">
            <v>40</v>
          </cell>
          <cell r="AA166">
            <v>0</v>
          </cell>
          <cell r="AB166">
            <v>380</v>
          </cell>
          <cell r="AC166">
            <v>0</v>
          </cell>
          <cell r="AD166">
            <v>0</v>
          </cell>
          <cell r="AE166">
            <v>0</v>
          </cell>
          <cell r="AF166">
            <v>992</v>
          </cell>
          <cell r="AG166">
            <v>155</v>
          </cell>
          <cell r="AH166">
            <v>0</v>
          </cell>
          <cell r="AI166">
            <v>300</v>
          </cell>
          <cell r="AJ166">
            <v>0</v>
          </cell>
          <cell r="AK166">
            <v>150</v>
          </cell>
          <cell r="AL166">
            <v>0</v>
          </cell>
          <cell r="AM166">
            <v>20</v>
          </cell>
          <cell r="AN166">
            <v>0</v>
          </cell>
          <cell r="AO166">
            <v>0</v>
          </cell>
          <cell r="AP166">
            <v>122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245</v>
          </cell>
          <cell r="AX166">
            <v>0</v>
          </cell>
          <cell r="AY166">
            <v>0</v>
          </cell>
          <cell r="AZ166">
            <v>0</v>
          </cell>
          <cell r="BA166">
            <v>70560</v>
          </cell>
          <cell r="BB166">
            <v>222</v>
          </cell>
          <cell r="BC166">
            <v>70338</v>
          </cell>
        </row>
      </sheetData>
      <sheetData sheetId="13" refreshError="1">
        <row r="5">
          <cell r="C5" t="str">
            <v>POT</v>
          </cell>
        </row>
        <row r="109">
          <cell r="B109" t="str">
            <v>PROSES( Menit )</v>
          </cell>
          <cell r="C109" t="str">
            <v>POT</v>
          </cell>
          <cell r="D109" t="str">
            <v>POT Shift Tersedia</v>
          </cell>
          <cell r="E109" t="str">
            <v>Unschedule Time</v>
          </cell>
          <cell r="F109" t="str">
            <v>Unschedule Time Shift Tersedia</v>
          </cell>
          <cell r="G109" t="str">
            <v>Waktu Beproduksi</v>
          </cell>
          <cell r="H109" t="str">
            <v>Waktu Beproduksi Tersedia</v>
          </cell>
          <cell r="I109" t="str">
            <v>Idle Time</v>
          </cell>
          <cell r="J109" t="str">
            <v>Idle Time Tersedia</v>
          </cell>
          <cell r="K109" t="str">
            <v>L2</v>
          </cell>
          <cell r="L109" t="str">
            <v>L21</v>
          </cell>
          <cell r="M109" t="str">
            <v>L22</v>
          </cell>
          <cell r="N109" t="str">
            <v>IG</v>
          </cell>
          <cell r="O109" t="str">
            <v>PPT</v>
          </cell>
          <cell r="P109" t="str">
            <v>PPT Tersedia</v>
          </cell>
          <cell r="Q109" t="str">
            <v>R</v>
          </cell>
          <cell r="R109" t="str">
            <v>R Tersedia</v>
          </cell>
          <cell r="S109" t="str">
            <v>DT</v>
          </cell>
          <cell r="T109" t="str">
            <v>DT Tersedia</v>
          </cell>
          <cell r="U109" t="str">
            <v>Setup</v>
          </cell>
          <cell r="V109" t="str">
            <v>P6</v>
          </cell>
          <cell r="W109" t="str">
            <v>P5</v>
          </cell>
          <cell r="X109" t="str">
            <v>P8</v>
          </cell>
          <cell r="Y109" t="str">
            <v>P9</v>
          </cell>
          <cell r="Z109" t="str">
            <v>Breakdown</v>
          </cell>
          <cell r="AA109" t="str">
            <v>M1</v>
          </cell>
          <cell r="AB109" t="str">
            <v>M2</v>
          </cell>
          <cell r="AC109" t="str">
            <v>M4</v>
          </cell>
          <cell r="AD109" t="str">
            <v>M8</v>
          </cell>
          <cell r="AE109" t="str">
            <v>M9</v>
          </cell>
          <cell r="AF109" t="str">
            <v>Clean</v>
          </cell>
          <cell r="AG109" t="str">
            <v>P2</v>
          </cell>
          <cell r="AH109" t="str">
            <v>P4</v>
          </cell>
          <cell r="AI109" t="str">
            <v>P17</v>
          </cell>
          <cell r="AJ109" t="str">
            <v>P19</v>
          </cell>
          <cell r="AK109" t="str">
            <v>P12</v>
          </cell>
          <cell r="AL109" t="str">
            <v>Trial</v>
          </cell>
          <cell r="AM109" t="str">
            <v>R1</v>
          </cell>
          <cell r="AN109" t="str">
            <v>R2</v>
          </cell>
          <cell r="AO109" t="str">
            <v>Waiting</v>
          </cell>
          <cell r="AP109" t="str">
            <v>L1</v>
          </cell>
          <cell r="AQ109" t="str">
            <v>L3</v>
          </cell>
          <cell r="AR109" t="str">
            <v>H1</v>
          </cell>
          <cell r="AS109" t="str">
            <v>H2</v>
          </cell>
          <cell r="AT109" t="str">
            <v>H4</v>
          </cell>
          <cell r="AU109" t="str">
            <v>H6</v>
          </cell>
          <cell r="AV109" t="str">
            <v>H7</v>
          </cell>
          <cell r="AW109" t="str">
            <v>H8</v>
          </cell>
          <cell r="AX109" t="str">
            <v>P10</v>
          </cell>
          <cell r="AY109" t="str">
            <v>P11</v>
          </cell>
          <cell r="AZ109" t="str">
            <v>P13</v>
          </cell>
          <cell r="BA109" t="str">
            <v>P14</v>
          </cell>
          <cell r="BB109" t="str">
            <v>P16</v>
          </cell>
          <cell r="BC109" t="str">
            <v>M5</v>
          </cell>
          <cell r="BD109" t="str">
            <v>M6</v>
          </cell>
          <cell r="BE109" t="str">
            <v>M7</v>
          </cell>
          <cell r="BF109" t="str">
            <v>Q1</v>
          </cell>
          <cell r="BG109" t="str">
            <v>Q2</v>
          </cell>
          <cell r="BH109" t="str">
            <v>Q3</v>
          </cell>
          <cell r="BI109" t="str">
            <v>Q4</v>
          </cell>
          <cell r="BJ109" t="str">
            <v>Total Output</v>
          </cell>
          <cell r="BK109" t="str">
            <v>Reject Output</v>
          </cell>
          <cell r="BL109" t="str">
            <v>Good Output</v>
          </cell>
        </row>
        <row r="110">
          <cell r="B110" t="str">
            <v>NBL SOL-MIXING</v>
          </cell>
          <cell r="C110">
            <v>77760</v>
          </cell>
          <cell r="D110">
            <v>50220</v>
          </cell>
          <cell r="E110">
            <v>54360</v>
          </cell>
          <cell r="F110">
            <v>26820</v>
          </cell>
          <cell r="G110">
            <v>23400</v>
          </cell>
          <cell r="H110">
            <v>23400</v>
          </cell>
          <cell r="I110">
            <v>4087</v>
          </cell>
          <cell r="J110">
            <v>4087</v>
          </cell>
          <cell r="K110">
            <v>4087</v>
          </cell>
          <cell r="L110">
            <v>1272</v>
          </cell>
          <cell r="M110">
            <v>2815</v>
          </cell>
          <cell r="N110">
            <v>0</v>
          </cell>
          <cell r="O110">
            <v>19313</v>
          </cell>
          <cell r="P110">
            <v>19313</v>
          </cell>
          <cell r="Q110">
            <v>2821</v>
          </cell>
          <cell r="R110">
            <v>2821</v>
          </cell>
          <cell r="S110">
            <v>16492</v>
          </cell>
          <cell r="T110">
            <v>16492</v>
          </cell>
          <cell r="U110">
            <v>610</v>
          </cell>
          <cell r="V110">
            <v>605</v>
          </cell>
          <cell r="W110">
            <v>0</v>
          </cell>
          <cell r="X110">
            <v>5</v>
          </cell>
          <cell r="Y110">
            <v>0</v>
          </cell>
          <cell r="Z110">
            <v>248</v>
          </cell>
          <cell r="AA110">
            <v>248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8104</v>
          </cell>
          <cell r="AG110">
            <v>4056</v>
          </cell>
          <cell r="AH110">
            <v>3481</v>
          </cell>
          <cell r="AI110">
            <v>0</v>
          </cell>
          <cell r="AJ110">
            <v>0</v>
          </cell>
          <cell r="AK110">
            <v>567</v>
          </cell>
          <cell r="AL110">
            <v>270</v>
          </cell>
          <cell r="AM110">
            <v>0</v>
          </cell>
          <cell r="AN110">
            <v>270</v>
          </cell>
          <cell r="AO110">
            <v>7260</v>
          </cell>
          <cell r="AP110">
            <v>40</v>
          </cell>
          <cell r="AQ110">
            <v>0</v>
          </cell>
          <cell r="AR110">
            <v>1410</v>
          </cell>
          <cell r="AS110">
            <v>0</v>
          </cell>
          <cell r="AT110">
            <v>1110</v>
          </cell>
          <cell r="AU110">
            <v>0</v>
          </cell>
          <cell r="AV110">
            <v>0</v>
          </cell>
          <cell r="AW110">
            <v>0</v>
          </cell>
          <cell r="AX110">
            <v>4037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663</v>
          </cell>
          <cell r="BG110">
            <v>0</v>
          </cell>
          <cell r="BH110">
            <v>0</v>
          </cell>
          <cell r="BI110">
            <v>0</v>
          </cell>
          <cell r="BJ110">
            <v>3611.75</v>
          </cell>
          <cell r="BK110">
            <v>0</v>
          </cell>
          <cell r="BL110">
            <v>3611.75</v>
          </cell>
        </row>
        <row r="111">
          <cell r="B111" t="str">
            <v>MIX113</v>
          </cell>
          <cell r="C111">
            <v>25920</v>
          </cell>
          <cell r="D111">
            <v>16740</v>
          </cell>
          <cell r="E111">
            <v>13950</v>
          </cell>
          <cell r="F111">
            <v>4770</v>
          </cell>
          <cell r="G111">
            <v>11970</v>
          </cell>
          <cell r="H111">
            <v>11970</v>
          </cell>
          <cell r="I111">
            <v>2305</v>
          </cell>
          <cell r="J111">
            <v>2305</v>
          </cell>
          <cell r="K111">
            <v>2305</v>
          </cell>
          <cell r="L111">
            <v>470</v>
          </cell>
          <cell r="M111">
            <v>1835</v>
          </cell>
          <cell r="N111">
            <v>0</v>
          </cell>
          <cell r="O111">
            <v>9665</v>
          </cell>
          <cell r="P111">
            <v>9665</v>
          </cell>
          <cell r="Q111">
            <v>379</v>
          </cell>
          <cell r="R111">
            <v>379</v>
          </cell>
          <cell r="S111">
            <v>9286</v>
          </cell>
          <cell r="T111">
            <v>9286</v>
          </cell>
          <cell r="U111">
            <v>298</v>
          </cell>
          <cell r="V111">
            <v>298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3201</v>
          </cell>
          <cell r="AG111">
            <v>1213</v>
          </cell>
          <cell r="AH111">
            <v>1721</v>
          </cell>
          <cell r="AI111">
            <v>0</v>
          </cell>
          <cell r="AJ111">
            <v>0</v>
          </cell>
          <cell r="AK111">
            <v>267</v>
          </cell>
          <cell r="AL111">
            <v>270</v>
          </cell>
          <cell r="AM111">
            <v>0</v>
          </cell>
          <cell r="AN111">
            <v>270</v>
          </cell>
          <cell r="AO111">
            <v>5517</v>
          </cell>
          <cell r="AP111">
            <v>40</v>
          </cell>
          <cell r="AQ111">
            <v>0</v>
          </cell>
          <cell r="AR111">
            <v>690</v>
          </cell>
          <cell r="AS111">
            <v>0</v>
          </cell>
          <cell r="AT111">
            <v>570</v>
          </cell>
          <cell r="AU111">
            <v>0</v>
          </cell>
          <cell r="AV111">
            <v>0</v>
          </cell>
          <cell r="AW111">
            <v>0</v>
          </cell>
          <cell r="AX111">
            <v>4037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180</v>
          </cell>
          <cell r="BG111">
            <v>0</v>
          </cell>
          <cell r="BH111">
            <v>0</v>
          </cell>
          <cell r="BI111">
            <v>0</v>
          </cell>
          <cell r="BJ111">
            <v>2331.1799999999998</v>
          </cell>
          <cell r="BK111">
            <v>0</v>
          </cell>
          <cell r="BL111">
            <v>2331.1799999999998</v>
          </cell>
        </row>
        <row r="112">
          <cell r="B112" t="str">
            <v>LMIXSOL1</v>
          </cell>
          <cell r="C112">
            <v>25920</v>
          </cell>
          <cell r="D112">
            <v>16740</v>
          </cell>
          <cell r="E112">
            <v>16440</v>
          </cell>
          <cell r="F112">
            <v>7260</v>
          </cell>
          <cell r="G112">
            <v>9480</v>
          </cell>
          <cell r="H112">
            <v>9480</v>
          </cell>
          <cell r="I112">
            <v>1782</v>
          </cell>
          <cell r="J112">
            <v>1782</v>
          </cell>
          <cell r="K112">
            <v>1782</v>
          </cell>
          <cell r="L112">
            <v>802</v>
          </cell>
          <cell r="M112">
            <v>980</v>
          </cell>
          <cell r="N112">
            <v>0</v>
          </cell>
          <cell r="O112">
            <v>7698</v>
          </cell>
          <cell r="P112">
            <v>7698</v>
          </cell>
          <cell r="Q112">
            <v>1856</v>
          </cell>
          <cell r="R112">
            <v>1856</v>
          </cell>
          <cell r="S112">
            <v>5842</v>
          </cell>
          <cell r="T112">
            <v>5842</v>
          </cell>
          <cell r="U112">
            <v>242</v>
          </cell>
          <cell r="V112">
            <v>237</v>
          </cell>
          <cell r="W112">
            <v>0</v>
          </cell>
          <cell r="X112">
            <v>5</v>
          </cell>
          <cell r="Y112">
            <v>0</v>
          </cell>
          <cell r="Z112">
            <v>248</v>
          </cell>
          <cell r="AA112">
            <v>248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3999</v>
          </cell>
          <cell r="AG112">
            <v>2014</v>
          </cell>
          <cell r="AH112">
            <v>1730</v>
          </cell>
          <cell r="AI112">
            <v>0</v>
          </cell>
          <cell r="AJ112">
            <v>0</v>
          </cell>
          <cell r="AK112">
            <v>255</v>
          </cell>
          <cell r="AL112">
            <v>0</v>
          </cell>
          <cell r="AM112">
            <v>0</v>
          </cell>
          <cell r="AN112">
            <v>0</v>
          </cell>
          <cell r="AO112">
            <v>1353</v>
          </cell>
          <cell r="AP112">
            <v>0</v>
          </cell>
          <cell r="AQ112">
            <v>0</v>
          </cell>
          <cell r="AR112">
            <v>630</v>
          </cell>
          <cell r="AS112">
            <v>0</v>
          </cell>
          <cell r="AT112">
            <v>450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273</v>
          </cell>
          <cell r="BG112">
            <v>0</v>
          </cell>
          <cell r="BH112">
            <v>0</v>
          </cell>
          <cell r="BI112">
            <v>0</v>
          </cell>
          <cell r="BJ112">
            <v>852.86</v>
          </cell>
          <cell r="BK112">
            <v>0</v>
          </cell>
          <cell r="BL112">
            <v>852.86</v>
          </cell>
        </row>
        <row r="113">
          <cell r="B113" t="str">
            <v>LMIXSOL2</v>
          </cell>
          <cell r="C113">
            <v>25920</v>
          </cell>
          <cell r="D113">
            <v>16740</v>
          </cell>
          <cell r="E113">
            <v>23970</v>
          </cell>
          <cell r="F113">
            <v>14790</v>
          </cell>
          <cell r="G113">
            <v>1950</v>
          </cell>
          <cell r="H113">
            <v>1950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1950</v>
          </cell>
          <cell r="P113">
            <v>1950</v>
          </cell>
          <cell r="Q113">
            <v>586</v>
          </cell>
          <cell r="R113">
            <v>586</v>
          </cell>
          <cell r="S113">
            <v>1364</v>
          </cell>
          <cell r="T113">
            <v>1364</v>
          </cell>
          <cell r="U113">
            <v>70</v>
          </cell>
          <cell r="V113">
            <v>70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904</v>
          </cell>
          <cell r="AG113">
            <v>829</v>
          </cell>
          <cell r="AH113">
            <v>30</v>
          </cell>
          <cell r="AI113">
            <v>0</v>
          </cell>
          <cell r="AJ113">
            <v>0</v>
          </cell>
          <cell r="AK113">
            <v>45</v>
          </cell>
          <cell r="AL113">
            <v>0</v>
          </cell>
          <cell r="AM113">
            <v>0</v>
          </cell>
          <cell r="AN113">
            <v>0</v>
          </cell>
          <cell r="AO113">
            <v>390</v>
          </cell>
          <cell r="AP113">
            <v>0</v>
          </cell>
          <cell r="AQ113">
            <v>0</v>
          </cell>
          <cell r="AR113">
            <v>90</v>
          </cell>
          <cell r="AS113">
            <v>0</v>
          </cell>
          <cell r="AT113">
            <v>90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210</v>
          </cell>
          <cell r="BG113">
            <v>0</v>
          </cell>
          <cell r="BH113">
            <v>0</v>
          </cell>
          <cell r="BI113">
            <v>0</v>
          </cell>
          <cell r="BJ113">
            <v>427.71</v>
          </cell>
          <cell r="BK113">
            <v>0</v>
          </cell>
          <cell r="BL113">
            <v>427.71</v>
          </cell>
        </row>
        <row r="114">
          <cell r="B114" t="str">
            <v>NBL SOL-COATING</v>
          </cell>
          <cell r="C114">
            <v>51840</v>
          </cell>
          <cell r="D114">
            <v>17280</v>
          </cell>
          <cell r="E114">
            <v>40830</v>
          </cell>
          <cell r="F114">
            <v>6270</v>
          </cell>
          <cell r="G114">
            <v>11010</v>
          </cell>
          <cell r="H114">
            <v>11010</v>
          </cell>
          <cell r="I114">
            <v>90</v>
          </cell>
          <cell r="J114">
            <v>90</v>
          </cell>
          <cell r="K114">
            <v>90</v>
          </cell>
          <cell r="L114">
            <v>15</v>
          </cell>
          <cell r="M114">
            <v>75</v>
          </cell>
          <cell r="N114">
            <v>0</v>
          </cell>
          <cell r="O114">
            <v>10920</v>
          </cell>
          <cell r="P114">
            <v>10920</v>
          </cell>
          <cell r="Q114">
            <v>4250</v>
          </cell>
          <cell r="R114">
            <v>4250</v>
          </cell>
          <cell r="S114">
            <v>6670</v>
          </cell>
          <cell r="T114">
            <v>6670</v>
          </cell>
          <cell r="U114">
            <v>270</v>
          </cell>
          <cell r="V114">
            <v>210</v>
          </cell>
          <cell r="W114">
            <v>0</v>
          </cell>
          <cell r="X114">
            <v>60</v>
          </cell>
          <cell r="Y114">
            <v>0</v>
          </cell>
          <cell r="Z114">
            <v>65</v>
          </cell>
          <cell r="AA114">
            <v>65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4490</v>
          </cell>
          <cell r="AG114">
            <v>960</v>
          </cell>
          <cell r="AH114">
            <v>3220</v>
          </cell>
          <cell r="AI114">
            <v>0</v>
          </cell>
          <cell r="AJ114">
            <v>0</v>
          </cell>
          <cell r="AK114">
            <v>310</v>
          </cell>
          <cell r="AL114">
            <v>0</v>
          </cell>
          <cell r="AM114">
            <v>0</v>
          </cell>
          <cell r="AN114">
            <v>0</v>
          </cell>
          <cell r="AO114">
            <v>1845</v>
          </cell>
          <cell r="AP114">
            <v>0</v>
          </cell>
          <cell r="AQ114">
            <v>0</v>
          </cell>
          <cell r="AR114">
            <v>570</v>
          </cell>
          <cell r="AS114">
            <v>0</v>
          </cell>
          <cell r="AT114">
            <v>490</v>
          </cell>
          <cell r="AU114">
            <v>25</v>
          </cell>
          <cell r="AV114">
            <v>0</v>
          </cell>
          <cell r="AW114">
            <v>0</v>
          </cell>
          <cell r="AX114">
            <v>365</v>
          </cell>
          <cell r="AY114">
            <v>200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110</v>
          </cell>
          <cell r="BG114">
            <v>85</v>
          </cell>
          <cell r="BH114">
            <v>0</v>
          </cell>
          <cell r="BI114">
            <v>0</v>
          </cell>
          <cell r="BJ114">
            <v>1444.62</v>
          </cell>
          <cell r="BK114">
            <v>0.45</v>
          </cell>
          <cell r="BL114">
            <v>1444.17</v>
          </cell>
        </row>
        <row r="115">
          <cell r="B115" t="str">
            <v>COT101</v>
          </cell>
          <cell r="C115">
            <v>25920</v>
          </cell>
          <cell r="D115">
            <v>8640</v>
          </cell>
          <cell r="E115">
            <v>19230</v>
          </cell>
          <cell r="F115">
            <v>1950</v>
          </cell>
          <cell r="G115">
            <v>6690</v>
          </cell>
          <cell r="H115">
            <v>6690</v>
          </cell>
          <cell r="I115">
            <v>15</v>
          </cell>
          <cell r="J115">
            <v>15</v>
          </cell>
          <cell r="K115">
            <v>15</v>
          </cell>
          <cell r="L115">
            <v>15</v>
          </cell>
          <cell r="M115">
            <v>0</v>
          </cell>
          <cell r="N115">
            <v>0</v>
          </cell>
          <cell r="O115">
            <v>6675</v>
          </cell>
          <cell r="P115">
            <v>6675</v>
          </cell>
          <cell r="Q115">
            <v>2335</v>
          </cell>
          <cell r="R115">
            <v>2335</v>
          </cell>
          <cell r="S115">
            <v>4340</v>
          </cell>
          <cell r="T115">
            <v>4340</v>
          </cell>
          <cell r="U115">
            <v>165</v>
          </cell>
          <cell r="V115">
            <v>125</v>
          </cell>
          <cell r="W115">
            <v>0</v>
          </cell>
          <cell r="X115">
            <v>40</v>
          </cell>
          <cell r="Y115">
            <v>0</v>
          </cell>
          <cell r="Z115">
            <v>15</v>
          </cell>
          <cell r="AA115">
            <v>15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2940</v>
          </cell>
          <cell r="AG115">
            <v>610</v>
          </cell>
          <cell r="AH115">
            <v>2100</v>
          </cell>
          <cell r="AI115">
            <v>0</v>
          </cell>
          <cell r="AJ115">
            <v>0</v>
          </cell>
          <cell r="AK115">
            <v>230</v>
          </cell>
          <cell r="AL115">
            <v>0</v>
          </cell>
          <cell r="AM115">
            <v>0</v>
          </cell>
          <cell r="AN115">
            <v>0</v>
          </cell>
          <cell r="AO115">
            <v>1220</v>
          </cell>
          <cell r="AP115">
            <v>0</v>
          </cell>
          <cell r="AQ115">
            <v>0</v>
          </cell>
          <cell r="AR115">
            <v>420</v>
          </cell>
          <cell r="AS115">
            <v>0</v>
          </cell>
          <cell r="AT115">
            <v>325</v>
          </cell>
          <cell r="AU115">
            <v>0</v>
          </cell>
          <cell r="AV115">
            <v>0</v>
          </cell>
          <cell r="AW115">
            <v>0</v>
          </cell>
          <cell r="AX115">
            <v>210</v>
          </cell>
          <cell r="AY115">
            <v>125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85</v>
          </cell>
          <cell r="BG115">
            <v>55</v>
          </cell>
          <cell r="BH115">
            <v>0</v>
          </cell>
          <cell r="BI115">
            <v>0</v>
          </cell>
          <cell r="BJ115">
            <v>544.79</v>
          </cell>
          <cell r="BK115">
            <v>0.33</v>
          </cell>
          <cell r="BL115">
            <v>544.46</v>
          </cell>
        </row>
        <row r="116">
          <cell r="B116" t="str">
            <v>COT102</v>
          </cell>
          <cell r="C116">
            <v>25920</v>
          </cell>
          <cell r="D116">
            <v>8640</v>
          </cell>
          <cell r="E116">
            <v>21600</v>
          </cell>
          <cell r="F116">
            <v>4320</v>
          </cell>
          <cell r="G116">
            <v>4320</v>
          </cell>
          <cell r="H116">
            <v>4320</v>
          </cell>
          <cell r="I116">
            <v>75</v>
          </cell>
          <cell r="J116">
            <v>75</v>
          </cell>
          <cell r="K116">
            <v>75</v>
          </cell>
          <cell r="L116">
            <v>0</v>
          </cell>
          <cell r="M116">
            <v>75</v>
          </cell>
          <cell r="N116">
            <v>0</v>
          </cell>
          <cell r="O116">
            <v>4245</v>
          </cell>
          <cell r="P116">
            <v>4245</v>
          </cell>
          <cell r="Q116">
            <v>1915</v>
          </cell>
          <cell r="R116">
            <v>1915</v>
          </cell>
          <cell r="S116">
            <v>2330</v>
          </cell>
          <cell r="T116">
            <v>2330</v>
          </cell>
          <cell r="U116">
            <v>105</v>
          </cell>
          <cell r="V116">
            <v>85</v>
          </cell>
          <cell r="W116">
            <v>0</v>
          </cell>
          <cell r="X116">
            <v>20</v>
          </cell>
          <cell r="Y116">
            <v>0</v>
          </cell>
          <cell r="Z116">
            <v>50</v>
          </cell>
          <cell r="AA116">
            <v>50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1550</v>
          </cell>
          <cell r="AG116">
            <v>350</v>
          </cell>
          <cell r="AH116">
            <v>1120</v>
          </cell>
          <cell r="AI116">
            <v>0</v>
          </cell>
          <cell r="AJ116">
            <v>0</v>
          </cell>
          <cell r="AK116">
            <v>80</v>
          </cell>
          <cell r="AL116">
            <v>0</v>
          </cell>
          <cell r="AM116">
            <v>0</v>
          </cell>
          <cell r="AN116">
            <v>0</v>
          </cell>
          <cell r="AO116">
            <v>625</v>
          </cell>
          <cell r="AP116">
            <v>0</v>
          </cell>
          <cell r="AQ116">
            <v>0</v>
          </cell>
          <cell r="AR116">
            <v>150</v>
          </cell>
          <cell r="AS116">
            <v>0</v>
          </cell>
          <cell r="AT116">
            <v>165</v>
          </cell>
          <cell r="AU116">
            <v>25</v>
          </cell>
          <cell r="AV116">
            <v>0</v>
          </cell>
          <cell r="AW116">
            <v>0</v>
          </cell>
          <cell r="AX116">
            <v>155</v>
          </cell>
          <cell r="AY116">
            <v>75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25</v>
          </cell>
          <cell r="BG116">
            <v>30</v>
          </cell>
          <cell r="BH116">
            <v>0</v>
          </cell>
          <cell r="BI116">
            <v>0</v>
          </cell>
          <cell r="BJ116">
            <v>899.83</v>
          </cell>
          <cell r="BK116">
            <v>0.12</v>
          </cell>
          <cell r="BL116">
            <v>899.71</v>
          </cell>
        </row>
        <row r="117">
          <cell r="B117" t="str">
            <v>NBL SOL-TABLETING</v>
          </cell>
          <cell r="C117">
            <v>77760</v>
          </cell>
          <cell r="D117">
            <v>42120</v>
          </cell>
          <cell r="E117">
            <v>55800</v>
          </cell>
          <cell r="F117">
            <v>20160</v>
          </cell>
          <cell r="G117">
            <v>21960</v>
          </cell>
          <cell r="H117">
            <v>21960</v>
          </cell>
          <cell r="I117">
            <v>2325</v>
          </cell>
          <cell r="J117">
            <v>2325</v>
          </cell>
          <cell r="K117">
            <v>2325</v>
          </cell>
          <cell r="L117">
            <v>0</v>
          </cell>
          <cell r="M117">
            <v>2325</v>
          </cell>
          <cell r="N117">
            <v>0</v>
          </cell>
          <cell r="O117">
            <v>19635</v>
          </cell>
          <cell r="P117">
            <v>19635</v>
          </cell>
          <cell r="Q117">
            <v>7285</v>
          </cell>
          <cell r="R117">
            <v>7285</v>
          </cell>
          <cell r="S117">
            <v>12350</v>
          </cell>
          <cell r="T117">
            <v>12350</v>
          </cell>
          <cell r="U117">
            <v>2080</v>
          </cell>
          <cell r="V117">
            <v>1715</v>
          </cell>
          <cell r="W117">
            <v>0</v>
          </cell>
          <cell r="X117">
            <v>45</v>
          </cell>
          <cell r="Y117">
            <v>320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3565</v>
          </cell>
          <cell r="AG117">
            <v>550</v>
          </cell>
          <cell r="AH117">
            <v>2480</v>
          </cell>
          <cell r="AI117">
            <v>50</v>
          </cell>
          <cell r="AJ117">
            <v>0</v>
          </cell>
          <cell r="AK117">
            <v>485</v>
          </cell>
          <cell r="AL117">
            <v>930</v>
          </cell>
          <cell r="AM117">
            <v>0</v>
          </cell>
          <cell r="AN117">
            <v>930</v>
          </cell>
          <cell r="AO117">
            <v>5775</v>
          </cell>
          <cell r="AP117">
            <v>0</v>
          </cell>
          <cell r="AQ117">
            <v>0</v>
          </cell>
          <cell r="AR117">
            <v>1310</v>
          </cell>
          <cell r="AS117">
            <v>0</v>
          </cell>
          <cell r="AT117">
            <v>1055</v>
          </cell>
          <cell r="AU117">
            <v>80</v>
          </cell>
          <cell r="AV117">
            <v>0</v>
          </cell>
          <cell r="AW117">
            <v>0</v>
          </cell>
          <cell r="AX117">
            <v>350</v>
          </cell>
          <cell r="AY117">
            <v>345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1665</v>
          </cell>
          <cell r="BG117">
            <v>970</v>
          </cell>
          <cell r="BH117">
            <v>0</v>
          </cell>
          <cell r="BI117">
            <v>0</v>
          </cell>
          <cell r="BJ117">
            <v>4865371</v>
          </cell>
          <cell r="BK117">
            <v>830</v>
          </cell>
          <cell r="BL117">
            <v>4864541</v>
          </cell>
        </row>
        <row r="118">
          <cell r="B118" t="str">
            <v>TAB101</v>
          </cell>
          <cell r="C118">
            <v>25920</v>
          </cell>
          <cell r="D118">
            <v>16740</v>
          </cell>
          <cell r="E118">
            <v>22230</v>
          </cell>
          <cell r="F118">
            <v>13050</v>
          </cell>
          <cell r="G118">
            <v>3690</v>
          </cell>
          <cell r="H118">
            <v>3690</v>
          </cell>
          <cell r="I118">
            <v>330</v>
          </cell>
          <cell r="J118">
            <v>330</v>
          </cell>
          <cell r="K118">
            <v>330</v>
          </cell>
          <cell r="L118">
            <v>0</v>
          </cell>
          <cell r="M118">
            <v>330</v>
          </cell>
          <cell r="N118">
            <v>0</v>
          </cell>
          <cell r="O118">
            <v>3360</v>
          </cell>
          <cell r="P118">
            <v>3360</v>
          </cell>
          <cell r="Q118">
            <v>1180</v>
          </cell>
          <cell r="R118">
            <v>1180</v>
          </cell>
          <cell r="S118">
            <v>2180</v>
          </cell>
          <cell r="T118">
            <v>2180</v>
          </cell>
          <cell r="U118">
            <v>515</v>
          </cell>
          <cell r="V118">
            <v>445</v>
          </cell>
          <cell r="W118">
            <v>0</v>
          </cell>
          <cell r="X118">
            <v>0</v>
          </cell>
          <cell r="Y118">
            <v>70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625</v>
          </cell>
          <cell r="AG118">
            <v>80</v>
          </cell>
          <cell r="AH118">
            <v>480</v>
          </cell>
          <cell r="AI118">
            <v>0</v>
          </cell>
          <cell r="AJ118">
            <v>0</v>
          </cell>
          <cell r="AK118">
            <v>65</v>
          </cell>
          <cell r="AL118">
            <v>0</v>
          </cell>
          <cell r="AM118">
            <v>0</v>
          </cell>
          <cell r="AN118">
            <v>0</v>
          </cell>
          <cell r="AO118">
            <v>1040</v>
          </cell>
          <cell r="AP118">
            <v>0</v>
          </cell>
          <cell r="AQ118">
            <v>0</v>
          </cell>
          <cell r="AR118">
            <v>240</v>
          </cell>
          <cell r="AS118">
            <v>0</v>
          </cell>
          <cell r="AT118">
            <v>150</v>
          </cell>
          <cell r="AU118">
            <v>0</v>
          </cell>
          <cell r="AV118">
            <v>0</v>
          </cell>
          <cell r="AW118">
            <v>0</v>
          </cell>
          <cell r="AX118">
            <v>180</v>
          </cell>
          <cell r="AY118">
            <v>65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315</v>
          </cell>
          <cell r="BG118">
            <v>90</v>
          </cell>
          <cell r="BH118">
            <v>0</v>
          </cell>
          <cell r="BI118">
            <v>0</v>
          </cell>
          <cell r="BJ118">
            <v>1050305</v>
          </cell>
          <cell r="BK118">
            <v>0</v>
          </cell>
          <cell r="BL118">
            <v>1050305</v>
          </cell>
        </row>
        <row r="119">
          <cell r="B119" t="str">
            <v>TAB105</v>
          </cell>
          <cell r="C119">
            <v>25920</v>
          </cell>
          <cell r="D119">
            <v>16740</v>
          </cell>
          <cell r="E119">
            <v>14190</v>
          </cell>
          <cell r="F119">
            <v>5010</v>
          </cell>
          <cell r="G119">
            <v>11730</v>
          </cell>
          <cell r="H119">
            <v>11730</v>
          </cell>
          <cell r="I119">
            <v>1215</v>
          </cell>
          <cell r="J119">
            <v>1215</v>
          </cell>
          <cell r="K119">
            <v>1215</v>
          </cell>
          <cell r="L119">
            <v>0</v>
          </cell>
          <cell r="M119">
            <v>1215</v>
          </cell>
          <cell r="N119">
            <v>0</v>
          </cell>
          <cell r="O119">
            <v>10515</v>
          </cell>
          <cell r="P119">
            <v>10515</v>
          </cell>
          <cell r="Q119">
            <v>4110</v>
          </cell>
          <cell r="R119">
            <v>4110</v>
          </cell>
          <cell r="S119">
            <v>6405</v>
          </cell>
          <cell r="T119">
            <v>6405</v>
          </cell>
          <cell r="U119">
            <v>875</v>
          </cell>
          <cell r="V119">
            <v>715</v>
          </cell>
          <cell r="W119">
            <v>0</v>
          </cell>
          <cell r="X119">
            <v>45</v>
          </cell>
          <cell r="Y119">
            <v>115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1870</v>
          </cell>
          <cell r="AG119">
            <v>275</v>
          </cell>
          <cell r="AH119">
            <v>1345</v>
          </cell>
          <cell r="AI119">
            <v>0</v>
          </cell>
          <cell r="AJ119">
            <v>0</v>
          </cell>
          <cell r="AK119">
            <v>250</v>
          </cell>
          <cell r="AL119">
            <v>930</v>
          </cell>
          <cell r="AM119">
            <v>0</v>
          </cell>
          <cell r="AN119">
            <v>930</v>
          </cell>
          <cell r="AO119">
            <v>2730</v>
          </cell>
          <cell r="AP119">
            <v>0</v>
          </cell>
          <cell r="AQ119">
            <v>0</v>
          </cell>
          <cell r="AR119">
            <v>700</v>
          </cell>
          <cell r="AS119">
            <v>0</v>
          </cell>
          <cell r="AT119">
            <v>630</v>
          </cell>
          <cell r="AU119">
            <v>80</v>
          </cell>
          <cell r="AV119">
            <v>0</v>
          </cell>
          <cell r="AW119">
            <v>0</v>
          </cell>
          <cell r="AX119">
            <v>170</v>
          </cell>
          <cell r="AY119">
            <v>125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675</v>
          </cell>
          <cell r="BG119">
            <v>350</v>
          </cell>
          <cell r="BH119">
            <v>0</v>
          </cell>
          <cell r="BI119">
            <v>0</v>
          </cell>
          <cell r="BJ119">
            <v>2341430</v>
          </cell>
          <cell r="BK119">
            <v>830</v>
          </cell>
          <cell r="BL119">
            <v>2340600</v>
          </cell>
        </row>
        <row r="120">
          <cell r="B120" t="str">
            <v>TAB103</v>
          </cell>
          <cell r="C120">
            <v>25920</v>
          </cell>
          <cell r="D120">
            <v>8640</v>
          </cell>
          <cell r="E120">
            <v>19380</v>
          </cell>
          <cell r="F120">
            <v>2100</v>
          </cell>
          <cell r="G120">
            <v>6540</v>
          </cell>
          <cell r="H120">
            <v>6540</v>
          </cell>
          <cell r="I120">
            <v>780</v>
          </cell>
          <cell r="J120">
            <v>780</v>
          </cell>
          <cell r="K120">
            <v>780</v>
          </cell>
          <cell r="L120">
            <v>0</v>
          </cell>
          <cell r="M120">
            <v>780</v>
          </cell>
          <cell r="N120">
            <v>0</v>
          </cell>
          <cell r="O120">
            <v>5760</v>
          </cell>
          <cell r="P120">
            <v>5760</v>
          </cell>
          <cell r="Q120">
            <v>1995</v>
          </cell>
          <cell r="R120">
            <v>1995</v>
          </cell>
          <cell r="S120">
            <v>3765</v>
          </cell>
          <cell r="T120">
            <v>3765</v>
          </cell>
          <cell r="U120">
            <v>690</v>
          </cell>
          <cell r="V120">
            <v>555</v>
          </cell>
          <cell r="W120">
            <v>0</v>
          </cell>
          <cell r="X120">
            <v>0</v>
          </cell>
          <cell r="Y120">
            <v>135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1070</v>
          </cell>
          <cell r="AG120">
            <v>195</v>
          </cell>
          <cell r="AH120">
            <v>655</v>
          </cell>
          <cell r="AI120">
            <v>50</v>
          </cell>
          <cell r="AJ120">
            <v>0</v>
          </cell>
          <cell r="AK120">
            <v>170</v>
          </cell>
          <cell r="AL120">
            <v>0</v>
          </cell>
          <cell r="AM120">
            <v>0</v>
          </cell>
          <cell r="AN120">
            <v>0</v>
          </cell>
          <cell r="AO120">
            <v>2005</v>
          </cell>
          <cell r="AP120">
            <v>0</v>
          </cell>
          <cell r="AQ120">
            <v>0</v>
          </cell>
          <cell r="AR120">
            <v>370</v>
          </cell>
          <cell r="AS120">
            <v>0</v>
          </cell>
          <cell r="AT120">
            <v>275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155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675</v>
          </cell>
          <cell r="BG120">
            <v>530</v>
          </cell>
          <cell r="BH120">
            <v>0</v>
          </cell>
          <cell r="BI120">
            <v>0</v>
          </cell>
          <cell r="BJ120">
            <v>1473636</v>
          </cell>
          <cell r="BK120">
            <v>0</v>
          </cell>
          <cell r="BL120">
            <v>1473636</v>
          </cell>
        </row>
        <row r="121">
          <cell r="B121" t="str">
            <v>NBL SOL-CAPSULE</v>
          </cell>
          <cell r="C121">
            <v>51840</v>
          </cell>
          <cell r="D121">
            <v>17280</v>
          </cell>
          <cell r="E121">
            <v>45990</v>
          </cell>
          <cell r="F121">
            <v>11430</v>
          </cell>
          <cell r="G121">
            <v>5850</v>
          </cell>
          <cell r="H121">
            <v>5850</v>
          </cell>
          <cell r="I121">
            <v>660</v>
          </cell>
          <cell r="J121">
            <v>660</v>
          </cell>
          <cell r="K121">
            <v>660</v>
          </cell>
          <cell r="L121">
            <v>30</v>
          </cell>
          <cell r="M121">
            <v>630</v>
          </cell>
          <cell r="N121">
            <v>0</v>
          </cell>
          <cell r="O121">
            <v>5190</v>
          </cell>
          <cell r="P121">
            <v>5190</v>
          </cell>
          <cell r="Q121">
            <v>2155</v>
          </cell>
          <cell r="R121">
            <v>2155</v>
          </cell>
          <cell r="S121">
            <v>3035</v>
          </cell>
          <cell r="T121">
            <v>3035</v>
          </cell>
          <cell r="U121">
            <v>485</v>
          </cell>
          <cell r="V121">
            <v>485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1345</v>
          </cell>
          <cell r="AG121">
            <v>730</v>
          </cell>
          <cell r="AH121">
            <v>435</v>
          </cell>
          <cell r="AI121">
            <v>0</v>
          </cell>
          <cell r="AJ121">
            <v>0</v>
          </cell>
          <cell r="AK121">
            <v>180</v>
          </cell>
          <cell r="AL121">
            <v>0</v>
          </cell>
          <cell r="AM121">
            <v>0</v>
          </cell>
          <cell r="AN121">
            <v>0</v>
          </cell>
          <cell r="AO121">
            <v>1205</v>
          </cell>
          <cell r="AP121">
            <v>0</v>
          </cell>
          <cell r="AQ121">
            <v>0</v>
          </cell>
          <cell r="AR121">
            <v>330</v>
          </cell>
          <cell r="AS121">
            <v>0</v>
          </cell>
          <cell r="AT121">
            <v>220</v>
          </cell>
          <cell r="AU121">
            <v>0</v>
          </cell>
          <cell r="AV121">
            <v>0</v>
          </cell>
          <cell r="AW121">
            <v>0</v>
          </cell>
          <cell r="AX121">
            <v>405</v>
          </cell>
          <cell r="AY121">
            <v>70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180</v>
          </cell>
          <cell r="BG121">
            <v>0</v>
          </cell>
          <cell r="BH121">
            <v>0</v>
          </cell>
          <cell r="BI121">
            <v>0</v>
          </cell>
          <cell r="BJ121">
            <v>1013027</v>
          </cell>
          <cell r="BK121">
            <v>0</v>
          </cell>
          <cell r="BL121">
            <v>1013027</v>
          </cell>
        </row>
        <row r="122">
          <cell r="B122" t="str">
            <v>KAP101</v>
          </cell>
          <cell r="C122">
            <v>25920</v>
          </cell>
          <cell r="D122">
            <v>8640</v>
          </cell>
          <cell r="E122">
            <v>21600</v>
          </cell>
          <cell r="F122">
            <v>4320</v>
          </cell>
          <cell r="G122">
            <v>4320</v>
          </cell>
          <cell r="H122">
            <v>4320</v>
          </cell>
          <cell r="I122">
            <v>330</v>
          </cell>
          <cell r="J122">
            <v>330</v>
          </cell>
          <cell r="K122">
            <v>330</v>
          </cell>
          <cell r="L122">
            <v>30</v>
          </cell>
          <cell r="M122">
            <v>300</v>
          </cell>
          <cell r="N122">
            <v>0</v>
          </cell>
          <cell r="O122">
            <v>3990</v>
          </cell>
          <cell r="P122">
            <v>3990</v>
          </cell>
          <cell r="Q122">
            <v>1715</v>
          </cell>
          <cell r="R122">
            <v>1715</v>
          </cell>
          <cell r="S122">
            <v>2275</v>
          </cell>
          <cell r="T122">
            <v>2275</v>
          </cell>
          <cell r="U122">
            <v>420</v>
          </cell>
          <cell r="V122">
            <v>420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1210</v>
          </cell>
          <cell r="AG122">
            <v>695</v>
          </cell>
          <cell r="AH122">
            <v>380</v>
          </cell>
          <cell r="AI122">
            <v>0</v>
          </cell>
          <cell r="AJ122">
            <v>0</v>
          </cell>
          <cell r="AK122">
            <v>135</v>
          </cell>
          <cell r="AL122">
            <v>0</v>
          </cell>
          <cell r="AM122">
            <v>0</v>
          </cell>
          <cell r="AN122">
            <v>0</v>
          </cell>
          <cell r="AO122">
            <v>645</v>
          </cell>
          <cell r="AP122">
            <v>0</v>
          </cell>
          <cell r="AQ122">
            <v>0</v>
          </cell>
          <cell r="AR122">
            <v>260</v>
          </cell>
          <cell r="AS122">
            <v>0</v>
          </cell>
          <cell r="AT122">
            <v>135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70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180</v>
          </cell>
          <cell r="BG122">
            <v>0</v>
          </cell>
          <cell r="BH122">
            <v>0</v>
          </cell>
          <cell r="BI122">
            <v>0</v>
          </cell>
          <cell r="BJ122">
            <v>487021</v>
          </cell>
          <cell r="BK122">
            <v>0</v>
          </cell>
          <cell r="BL122">
            <v>487021</v>
          </cell>
        </row>
        <row r="123">
          <cell r="B123" t="str">
            <v>KAP103</v>
          </cell>
          <cell r="C123">
            <v>25920</v>
          </cell>
          <cell r="D123">
            <v>8640</v>
          </cell>
          <cell r="E123">
            <v>24390</v>
          </cell>
          <cell r="F123">
            <v>7110</v>
          </cell>
          <cell r="G123">
            <v>1530</v>
          </cell>
          <cell r="H123">
            <v>1530</v>
          </cell>
          <cell r="I123">
            <v>330</v>
          </cell>
          <cell r="J123">
            <v>330</v>
          </cell>
          <cell r="K123">
            <v>330</v>
          </cell>
          <cell r="L123">
            <v>0</v>
          </cell>
          <cell r="M123">
            <v>330</v>
          </cell>
          <cell r="N123">
            <v>0</v>
          </cell>
          <cell r="O123">
            <v>1200</v>
          </cell>
          <cell r="P123">
            <v>1200</v>
          </cell>
          <cell r="Q123">
            <v>440</v>
          </cell>
          <cell r="R123">
            <v>440</v>
          </cell>
          <cell r="S123">
            <v>760</v>
          </cell>
          <cell r="T123">
            <v>760</v>
          </cell>
          <cell r="U123">
            <v>65</v>
          </cell>
          <cell r="V123">
            <v>65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135</v>
          </cell>
          <cell r="AG123">
            <v>35</v>
          </cell>
          <cell r="AH123">
            <v>55</v>
          </cell>
          <cell r="AI123">
            <v>0</v>
          </cell>
          <cell r="AJ123">
            <v>0</v>
          </cell>
          <cell r="AK123">
            <v>45</v>
          </cell>
          <cell r="AL123">
            <v>0</v>
          </cell>
          <cell r="AM123">
            <v>0</v>
          </cell>
          <cell r="AN123">
            <v>0</v>
          </cell>
          <cell r="AO123">
            <v>560</v>
          </cell>
          <cell r="AP123">
            <v>0</v>
          </cell>
          <cell r="AQ123">
            <v>0</v>
          </cell>
          <cell r="AR123">
            <v>70</v>
          </cell>
          <cell r="AS123">
            <v>0</v>
          </cell>
          <cell r="AT123">
            <v>85</v>
          </cell>
          <cell r="AU123">
            <v>0</v>
          </cell>
          <cell r="AV123">
            <v>0</v>
          </cell>
          <cell r="AW123">
            <v>0</v>
          </cell>
          <cell r="AX123">
            <v>405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526006</v>
          </cell>
          <cell r="BK123">
            <v>0</v>
          </cell>
          <cell r="BL123">
            <v>526006</v>
          </cell>
        </row>
        <row r="124">
          <cell r="B124" t="str">
            <v>NBL SOL-STRIPPING</v>
          </cell>
          <cell r="C124">
            <v>129600</v>
          </cell>
          <cell r="D124">
            <v>59400</v>
          </cell>
          <cell r="E124">
            <v>81450</v>
          </cell>
          <cell r="F124">
            <v>11250</v>
          </cell>
          <cell r="G124">
            <v>48150</v>
          </cell>
          <cell r="H124">
            <v>48150</v>
          </cell>
          <cell r="I124">
            <v>3360</v>
          </cell>
          <cell r="J124">
            <v>3360</v>
          </cell>
          <cell r="K124">
            <v>3360</v>
          </cell>
          <cell r="L124">
            <v>30</v>
          </cell>
          <cell r="M124">
            <v>3330</v>
          </cell>
          <cell r="N124">
            <v>0</v>
          </cell>
          <cell r="O124">
            <v>44790</v>
          </cell>
          <cell r="P124">
            <v>44790</v>
          </cell>
          <cell r="Q124">
            <v>18790</v>
          </cell>
          <cell r="R124">
            <v>18790</v>
          </cell>
          <cell r="S124">
            <v>26000</v>
          </cell>
          <cell r="T124">
            <v>26000</v>
          </cell>
          <cell r="U124">
            <v>7310</v>
          </cell>
          <cell r="V124">
            <v>3835</v>
          </cell>
          <cell r="W124">
            <v>0</v>
          </cell>
          <cell r="X124">
            <v>3455</v>
          </cell>
          <cell r="Y124">
            <v>20</v>
          </cell>
          <cell r="Z124">
            <v>90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90</v>
          </cell>
          <cell r="AF124">
            <v>9075</v>
          </cell>
          <cell r="AG124">
            <v>4860</v>
          </cell>
          <cell r="AH124">
            <v>1510</v>
          </cell>
          <cell r="AI124">
            <v>1855</v>
          </cell>
          <cell r="AJ124">
            <v>35</v>
          </cell>
          <cell r="AK124">
            <v>815</v>
          </cell>
          <cell r="AL124">
            <v>505</v>
          </cell>
          <cell r="AM124">
            <v>0</v>
          </cell>
          <cell r="AN124">
            <v>505</v>
          </cell>
          <cell r="AO124">
            <v>9020</v>
          </cell>
          <cell r="AP124">
            <v>0</v>
          </cell>
          <cell r="AQ124">
            <v>0</v>
          </cell>
          <cell r="AR124">
            <v>2830</v>
          </cell>
          <cell r="AS124">
            <v>0</v>
          </cell>
          <cell r="AT124">
            <v>2495</v>
          </cell>
          <cell r="AU124">
            <v>45</v>
          </cell>
          <cell r="AV124">
            <v>90</v>
          </cell>
          <cell r="AW124">
            <v>0</v>
          </cell>
          <cell r="AX124">
            <v>135</v>
          </cell>
          <cell r="AY124">
            <v>1440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1900</v>
          </cell>
          <cell r="BG124">
            <v>85</v>
          </cell>
          <cell r="BH124">
            <v>0</v>
          </cell>
          <cell r="BI124">
            <v>0</v>
          </cell>
          <cell r="BJ124">
            <v>10294460</v>
          </cell>
          <cell r="BK124">
            <v>48151</v>
          </cell>
          <cell r="BL124">
            <v>10246309</v>
          </cell>
        </row>
        <row r="125">
          <cell r="B125" t="str">
            <v>STR105</v>
          </cell>
          <cell r="C125">
            <v>25920</v>
          </cell>
          <cell r="D125">
            <v>8640</v>
          </cell>
          <cell r="E125">
            <v>17340</v>
          </cell>
          <cell r="F125">
            <v>60</v>
          </cell>
          <cell r="G125">
            <v>8580</v>
          </cell>
          <cell r="H125">
            <v>8580</v>
          </cell>
          <cell r="I125">
            <v>1315</v>
          </cell>
          <cell r="J125">
            <v>1315</v>
          </cell>
          <cell r="K125">
            <v>1315</v>
          </cell>
          <cell r="L125">
            <v>0</v>
          </cell>
          <cell r="M125">
            <v>1315</v>
          </cell>
          <cell r="N125">
            <v>0</v>
          </cell>
          <cell r="O125">
            <v>7265</v>
          </cell>
          <cell r="P125">
            <v>7265</v>
          </cell>
          <cell r="Q125">
            <v>2510</v>
          </cell>
          <cell r="R125">
            <v>2510</v>
          </cell>
          <cell r="S125">
            <v>4755</v>
          </cell>
          <cell r="T125">
            <v>4755</v>
          </cell>
          <cell r="U125">
            <v>1380</v>
          </cell>
          <cell r="V125">
            <v>625</v>
          </cell>
          <cell r="W125">
            <v>0</v>
          </cell>
          <cell r="X125">
            <v>755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1360</v>
          </cell>
          <cell r="AG125">
            <v>605</v>
          </cell>
          <cell r="AH125">
            <v>210</v>
          </cell>
          <cell r="AI125">
            <v>360</v>
          </cell>
          <cell r="AJ125">
            <v>35</v>
          </cell>
          <cell r="AK125">
            <v>150</v>
          </cell>
          <cell r="AL125">
            <v>0</v>
          </cell>
          <cell r="AM125">
            <v>0</v>
          </cell>
          <cell r="AN125">
            <v>0</v>
          </cell>
          <cell r="AO125">
            <v>2015</v>
          </cell>
          <cell r="AP125">
            <v>0</v>
          </cell>
          <cell r="AQ125">
            <v>0</v>
          </cell>
          <cell r="AR125">
            <v>430</v>
          </cell>
          <cell r="AS125">
            <v>0</v>
          </cell>
          <cell r="AT125">
            <v>460</v>
          </cell>
          <cell r="AU125">
            <v>5</v>
          </cell>
          <cell r="AV125">
            <v>0</v>
          </cell>
          <cell r="AW125">
            <v>0</v>
          </cell>
          <cell r="AX125">
            <v>135</v>
          </cell>
          <cell r="AY125">
            <v>225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760</v>
          </cell>
          <cell r="BG125">
            <v>0</v>
          </cell>
          <cell r="BH125">
            <v>0</v>
          </cell>
          <cell r="BI125">
            <v>0</v>
          </cell>
          <cell r="BJ125">
            <v>840229</v>
          </cell>
          <cell r="BK125">
            <v>7359</v>
          </cell>
          <cell r="BL125">
            <v>832870</v>
          </cell>
        </row>
        <row r="126">
          <cell r="B126" t="str">
            <v>STR102</v>
          </cell>
          <cell r="C126">
            <v>25920</v>
          </cell>
          <cell r="D126">
            <v>16740</v>
          </cell>
          <cell r="E126">
            <v>15150</v>
          </cell>
          <cell r="F126">
            <v>5970</v>
          </cell>
          <cell r="G126">
            <v>10770</v>
          </cell>
          <cell r="H126">
            <v>10770</v>
          </cell>
          <cell r="I126">
            <v>885</v>
          </cell>
          <cell r="J126">
            <v>885</v>
          </cell>
          <cell r="K126">
            <v>885</v>
          </cell>
          <cell r="L126">
            <v>0</v>
          </cell>
          <cell r="M126">
            <v>885</v>
          </cell>
          <cell r="N126">
            <v>0</v>
          </cell>
          <cell r="O126">
            <v>9885</v>
          </cell>
          <cell r="P126">
            <v>9885</v>
          </cell>
          <cell r="Q126">
            <v>4260</v>
          </cell>
          <cell r="R126">
            <v>4260</v>
          </cell>
          <cell r="S126">
            <v>5625</v>
          </cell>
          <cell r="T126">
            <v>5625</v>
          </cell>
          <cell r="U126">
            <v>1495</v>
          </cell>
          <cell r="V126">
            <v>860</v>
          </cell>
          <cell r="W126">
            <v>0</v>
          </cell>
          <cell r="X126">
            <v>615</v>
          </cell>
          <cell r="Y126">
            <v>20</v>
          </cell>
          <cell r="Z126">
            <v>25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25</v>
          </cell>
          <cell r="AF126">
            <v>2235</v>
          </cell>
          <cell r="AG126">
            <v>1060</v>
          </cell>
          <cell r="AH126">
            <v>570</v>
          </cell>
          <cell r="AI126">
            <v>425</v>
          </cell>
          <cell r="AJ126">
            <v>0</v>
          </cell>
          <cell r="AK126">
            <v>180</v>
          </cell>
          <cell r="AL126">
            <v>0</v>
          </cell>
          <cell r="AM126">
            <v>0</v>
          </cell>
          <cell r="AN126">
            <v>0</v>
          </cell>
          <cell r="AO126">
            <v>1870</v>
          </cell>
          <cell r="AP126">
            <v>0</v>
          </cell>
          <cell r="AQ126">
            <v>0</v>
          </cell>
          <cell r="AR126">
            <v>660</v>
          </cell>
          <cell r="AS126">
            <v>0</v>
          </cell>
          <cell r="AT126">
            <v>525</v>
          </cell>
          <cell r="AU126">
            <v>40</v>
          </cell>
          <cell r="AV126">
            <v>0</v>
          </cell>
          <cell r="AW126">
            <v>0</v>
          </cell>
          <cell r="AX126">
            <v>0</v>
          </cell>
          <cell r="AY126">
            <v>275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370</v>
          </cell>
          <cell r="BG126">
            <v>0</v>
          </cell>
          <cell r="BH126">
            <v>0</v>
          </cell>
          <cell r="BI126">
            <v>0</v>
          </cell>
          <cell r="BJ126">
            <v>4711984</v>
          </cell>
          <cell r="BK126">
            <v>15584</v>
          </cell>
          <cell r="BL126">
            <v>4696400</v>
          </cell>
        </row>
        <row r="127">
          <cell r="B127" t="str">
            <v>STR104</v>
          </cell>
          <cell r="C127">
            <v>25920</v>
          </cell>
          <cell r="D127">
            <v>8640</v>
          </cell>
          <cell r="E127">
            <v>21510</v>
          </cell>
          <cell r="F127">
            <v>4230</v>
          </cell>
          <cell r="G127">
            <v>4410</v>
          </cell>
          <cell r="H127">
            <v>4410</v>
          </cell>
          <cell r="I127">
            <v>165</v>
          </cell>
          <cell r="J127">
            <v>165</v>
          </cell>
          <cell r="K127">
            <v>165</v>
          </cell>
          <cell r="L127">
            <v>0</v>
          </cell>
          <cell r="M127">
            <v>165</v>
          </cell>
          <cell r="N127">
            <v>0</v>
          </cell>
          <cell r="O127">
            <v>4245</v>
          </cell>
          <cell r="P127">
            <v>4245</v>
          </cell>
          <cell r="Q127">
            <v>2235</v>
          </cell>
          <cell r="R127">
            <v>2235</v>
          </cell>
          <cell r="S127">
            <v>2010</v>
          </cell>
          <cell r="T127">
            <v>2010</v>
          </cell>
          <cell r="U127">
            <v>25</v>
          </cell>
          <cell r="V127">
            <v>25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1390</v>
          </cell>
          <cell r="AG127">
            <v>950</v>
          </cell>
          <cell r="AH127">
            <v>85</v>
          </cell>
          <cell r="AI127">
            <v>240</v>
          </cell>
          <cell r="AJ127">
            <v>0</v>
          </cell>
          <cell r="AK127">
            <v>115</v>
          </cell>
          <cell r="AL127">
            <v>0</v>
          </cell>
          <cell r="AM127">
            <v>0</v>
          </cell>
          <cell r="AN127">
            <v>0</v>
          </cell>
          <cell r="AO127">
            <v>595</v>
          </cell>
          <cell r="AP127">
            <v>0</v>
          </cell>
          <cell r="AQ127">
            <v>0</v>
          </cell>
          <cell r="AR127">
            <v>270</v>
          </cell>
          <cell r="AS127">
            <v>0</v>
          </cell>
          <cell r="AT127">
            <v>165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120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40</v>
          </cell>
          <cell r="BG127">
            <v>0</v>
          </cell>
          <cell r="BH127">
            <v>0</v>
          </cell>
          <cell r="BI127">
            <v>0</v>
          </cell>
          <cell r="BJ127">
            <v>18079</v>
          </cell>
          <cell r="BK127">
            <v>62</v>
          </cell>
          <cell r="BL127">
            <v>18017</v>
          </cell>
        </row>
        <row r="128">
          <cell r="B128" t="str">
            <v>STR103</v>
          </cell>
          <cell r="C128">
            <v>25920</v>
          </cell>
          <cell r="D128">
            <v>8640</v>
          </cell>
          <cell r="E128">
            <v>16950</v>
          </cell>
          <cell r="F128">
            <v>-330</v>
          </cell>
          <cell r="G128">
            <v>8970</v>
          </cell>
          <cell r="H128">
            <v>8970</v>
          </cell>
          <cell r="I128">
            <v>350</v>
          </cell>
          <cell r="J128">
            <v>350</v>
          </cell>
          <cell r="K128">
            <v>350</v>
          </cell>
          <cell r="L128">
            <v>0</v>
          </cell>
          <cell r="M128">
            <v>350</v>
          </cell>
          <cell r="N128">
            <v>0</v>
          </cell>
          <cell r="O128">
            <v>8620</v>
          </cell>
          <cell r="P128">
            <v>8620</v>
          </cell>
          <cell r="Q128">
            <v>2975</v>
          </cell>
          <cell r="R128">
            <v>2975</v>
          </cell>
          <cell r="S128">
            <v>5645</v>
          </cell>
          <cell r="T128">
            <v>5645</v>
          </cell>
          <cell r="U128">
            <v>1865</v>
          </cell>
          <cell r="V128">
            <v>1200</v>
          </cell>
          <cell r="W128">
            <v>0</v>
          </cell>
          <cell r="X128">
            <v>665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1725</v>
          </cell>
          <cell r="AG128">
            <v>1040</v>
          </cell>
          <cell r="AH128">
            <v>230</v>
          </cell>
          <cell r="AI128">
            <v>325</v>
          </cell>
          <cell r="AJ128">
            <v>0</v>
          </cell>
          <cell r="AK128">
            <v>130</v>
          </cell>
          <cell r="AL128">
            <v>505</v>
          </cell>
          <cell r="AM128">
            <v>0</v>
          </cell>
          <cell r="AN128">
            <v>505</v>
          </cell>
          <cell r="AO128">
            <v>1550</v>
          </cell>
          <cell r="AP128">
            <v>0</v>
          </cell>
          <cell r="AQ128">
            <v>0</v>
          </cell>
          <cell r="AR128">
            <v>540</v>
          </cell>
          <cell r="AS128">
            <v>0</v>
          </cell>
          <cell r="AT128">
            <v>450</v>
          </cell>
          <cell r="AU128">
            <v>0</v>
          </cell>
          <cell r="AV128">
            <v>45</v>
          </cell>
          <cell r="AW128">
            <v>0</v>
          </cell>
          <cell r="AX128">
            <v>0</v>
          </cell>
          <cell r="AY128">
            <v>275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215</v>
          </cell>
          <cell r="BG128">
            <v>25</v>
          </cell>
          <cell r="BH128">
            <v>0</v>
          </cell>
          <cell r="BI128">
            <v>0</v>
          </cell>
          <cell r="BJ128">
            <v>1095992</v>
          </cell>
          <cell r="BK128">
            <v>7310</v>
          </cell>
          <cell r="BL128">
            <v>1088682</v>
          </cell>
        </row>
        <row r="129">
          <cell r="B129" t="str">
            <v>STR101</v>
          </cell>
          <cell r="C129">
            <v>25920</v>
          </cell>
          <cell r="D129">
            <v>16740</v>
          </cell>
          <cell r="E129">
            <v>10500</v>
          </cell>
          <cell r="F129">
            <v>1320</v>
          </cell>
          <cell r="G129">
            <v>15420</v>
          </cell>
          <cell r="H129">
            <v>15420</v>
          </cell>
          <cell r="I129">
            <v>645</v>
          </cell>
          <cell r="J129">
            <v>645</v>
          </cell>
          <cell r="K129">
            <v>645</v>
          </cell>
          <cell r="L129">
            <v>30</v>
          </cell>
          <cell r="M129">
            <v>615</v>
          </cell>
          <cell r="N129">
            <v>0</v>
          </cell>
          <cell r="O129">
            <v>14775</v>
          </cell>
          <cell r="P129">
            <v>14775</v>
          </cell>
          <cell r="Q129">
            <v>6810</v>
          </cell>
          <cell r="R129">
            <v>6810</v>
          </cell>
          <cell r="S129">
            <v>7965</v>
          </cell>
          <cell r="T129">
            <v>7965</v>
          </cell>
          <cell r="U129">
            <v>2545</v>
          </cell>
          <cell r="V129">
            <v>1125</v>
          </cell>
          <cell r="W129">
            <v>0</v>
          </cell>
          <cell r="X129">
            <v>1420</v>
          </cell>
          <cell r="Y129">
            <v>0</v>
          </cell>
          <cell r="Z129">
            <v>65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65</v>
          </cell>
          <cell r="AF129">
            <v>2365</v>
          </cell>
          <cell r="AG129">
            <v>1205</v>
          </cell>
          <cell r="AH129">
            <v>415</v>
          </cell>
          <cell r="AI129">
            <v>505</v>
          </cell>
          <cell r="AJ129">
            <v>0</v>
          </cell>
          <cell r="AK129">
            <v>240</v>
          </cell>
          <cell r="AL129">
            <v>0</v>
          </cell>
          <cell r="AM129">
            <v>0</v>
          </cell>
          <cell r="AN129">
            <v>0</v>
          </cell>
          <cell r="AO129">
            <v>2990</v>
          </cell>
          <cell r="AP129">
            <v>0</v>
          </cell>
          <cell r="AQ129">
            <v>0</v>
          </cell>
          <cell r="AR129">
            <v>930</v>
          </cell>
          <cell r="AS129">
            <v>0</v>
          </cell>
          <cell r="AT129">
            <v>895</v>
          </cell>
          <cell r="AU129">
            <v>0</v>
          </cell>
          <cell r="AV129">
            <v>45</v>
          </cell>
          <cell r="AW129">
            <v>0</v>
          </cell>
          <cell r="AX129">
            <v>0</v>
          </cell>
          <cell r="AY129">
            <v>545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515</v>
          </cell>
          <cell r="BG129">
            <v>60</v>
          </cell>
          <cell r="BH129">
            <v>0</v>
          </cell>
          <cell r="BI129">
            <v>0</v>
          </cell>
          <cell r="BJ129">
            <v>3628176</v>
          </cell>
          <cell r="BK129">
            <v>17836</v>
          </cell>
          <cell r="BL129">
            <v>3610340</v>
          </cell>
        </row>
        <row r="130">
          <cell r="B130" t="str">
            <v>NBL SYR-MIXING</v>
          </cell>
          <cell r="C130">
            <v>25920</v>
          </cell>
          <cell r="D130">
            <v>16740</v>
          </cell>
          <cell r="E130">
            <v>19590</v>
          </cell>
          <cell r="F130">
            <v>10410</v>
          </cell>
          <cell r="G130">
            <v>6330</v>
          </cell>
          <cell r="H130">
            <v>6330</v>
          </cell>
          <cell r="I130">
            <v>493</v>
          </cell>
          <cell r="J130">
            <v>493</v>
          </cell>
          <cell r="K130">
            <v>493</v>
          </cell>
          <cell r="L130">
            <v>65</v>
          </cell>
          <cell r="M130">
            <v>428</v>
          </cell>
          <cell r="N130">
            <v>0</v>
          </cell>
          <cell r="O130">
            <v>5837</v>
          </cell>
          <cell r="P130">
            <v>5837</v>
          </cell>
          <cell r="Q130">
            <v>1854</v>
          </cell>
          <cell r="R130">
            <v>1854</v>
          </cell>
          <cell r="S130">
            <v>3983</v>
          </cell>
          <cell r="T130">
            <v>3983</v>
          </cell>
          <cell r="U130">
            <v>61</v>
          </cell>
          <cell r="V130">
            <v>61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2720</v>
          </cell>
          <cell r="AG130">
            <v>180</v>
          </cell>
          <cell r="AH130">
            <v>2465</v>
          </cell>
          <cell r="AI130">
            <v>0</v>
          </cell>
          <cell r="AJ130">
            <v>0</v>
          </cell>
          <cell r="AK130">
            <v>75</v>
          </cell>
          <cell r="AL130">
            <v>0</v>
          </cell>
          <cell r="AM130">
            <v>0</v>
          </cell>
          <cell r="AN130">
            <v>0</v>
          </cell>
          <cell r="AO130">
            <v>1202</v>
          </cell>
          <cell r="AP130">
            <v>40</v>
          </cell>
          <cell r="AQ130">
            <v>0</v>
          </cell>
          <cell r="AR130">
            <v>280</v>
          </cell>
          <cell r="AS130">
            <v>0</v>
          </cell>
          <cell r="AT130">
            <v>135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115</v>
          </cell>
          <cell r="BC130">
            <v>0</v>
          </cell>
          <cell r="BD130">
            <v>0</v>
          </cell>
          <cell r="BE130">
            <v>0</v>
          </cell>
          <cell r="BF130">
            <v>397</v>
          </cell>
          <cell r="BG130">
            <v>225</v>
          </cell>
          <cell r="BH130">
            <v>10</v>
          </cell>
          <cell r="BI130">
            <v>0</v>
          </cell>
          <cell r="BJ130">
            <v>7910</v>
          </cell>
          <cell r="BK130">
            <v>2.42</v>
          </cell>
          <cell r="BL130">
            <v>7907.58</v>
          </cell>
        </row>
        <row r="131">
          <cell r="B131" t="str">
            <v>LMIXSYR1</v>
          </cell>
          <cell r="C131">
            <v>25920</v>
          </cell>
          <cell r="D131">
            <v>16740</v>
          </cell>
          <cell r="E131">
            <v>19590</v>
          </cell>
          <cell r="F131">
            <v>10410</v>
          </cell>
          <cell r="G131">
            <v>6330</v>
          </cell>
          <cell r="H131">
            <v>6330</v>
          </cell>
          <cell r="I131">
            <v>493</v>
          </cell>
          <cell r="J131">
            <v>493</v>
          </cell>
          <cell r="K131">
            <v>493</v>
          </cell>
          <cell r="L131">
            <v>65</v>
          </cell>
          <cell r="M131">
            <v>428</v>
          </cell>
          <cell r="N131">
            <v>0</v>
          </cell>
          <cell r="O131">
            <v>5837</v>
          </cell>
          <cell r="P131">
            <v>5837</v>
          </cell>
          <cell r="Q131">
            <v>1854</v>
          </cell>
          <cell r="R131">
            <v>1854</v>
          </cell>
          <cell r="S131">
            <v>3983</v>
          </cell>
          <cell r="T131">
            <v>3983</v>
          </cell>
          <cell r="U131">
            <v>61</v>
          </cell>
          <cell r="V131">
            <v>61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2720</v>
          </cell>
          <cell r="AG131">
            <v>180</v>
          </cell>
          <cell r="AH131">
            <v>2465</v>
          </cell>
          <cell r="AI131">
            <v>0</v>
          </cell>
          <cell r="AJ131">
            <v>0</v>
          </cell>
          <cell r="AK131">
            <v>75</v>
          </cell>
          <cell r="AL131">
            <v>0</v>
          </cell>
          <cell r="AM131">
            <v>0</v>
          </cell>
          <cell r="AN131">
            <v>0</v>
          </cell>
          <cell r="AO131">
            <v>1202</v>
          </cell>
          <cell r="AP131">
            <v>40</v>
          </cell>
          <cell r="AQ131">
            <v>0</v>
          </cell>
          <cell r="AR131">
            <v>280</v>
          </cell>
          <cell r="AS131">
            <v>0</v>
          </cell>
          <cell r="AT131">
            <v>135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115</v>
          </cell>
          <cell r="BC131">
            <v>0</v>
          </cell>
          <cell r="BD131">
            <v>0</v>
          </cell>
          <cell r="BE131">
            <v>0</v>
          </cell>
          <cell r="BF131">
            <v>397</v>
          </cell>
          <cell r="BG131">
            <v>225</v>
          </cell>
          <cell r="BH131">
            <v>10</v>
          </cell>
          <cell r="BI131">
            <v>0</v>
          </cell>
          <cell r="BJ131">
            <v>7910</v>
          </cell>
          <cell r="BK131">
            <v>2.42</v>
          </cell>
          <cell r="BL131">
            <v>7907.58</v>
          </cell>
        </row>
        <row r="132">
          <cell r="B132" t="str">
            <v>NBL SYR-FILLING</v>
          </cell>
          <cell r="C132">
            <v>51840</v>
          </cell>
          <cell r="D132">
            <v>33480</v>
          </cell>
          <cell r="E132">
            <v>43680</v>
          </cell>
          <cell r="F132">
            <v>25320</v>
          </cell>
          <cell r="G132">
            <v>8160</v>
          </cell>
          <cell r="H132">
            <v>8160</v>
          </cell>
          <cell r="I132">
            <v>1450</v>
          </cell>
          <cell r="J132">
            <v>1450</v>
          </cell>
          <cell r="K132">
            <v>1450</v>
          </cell>
          <cell r="L132">
            <v>0</v>
          </cell>
          <cell r="M132">
            <v>1450</v>
          </cell>
          <cell r="N132">
            <v>0</v>
          </cell>
          <cell r="O132">
            <v>6710</v>
          </cell>
          <cell r="P132">
            <v>6710</v>
          </cell>
          <cell r="Q132">
            <v>2385</v>
          </cell>
          <cell r="R132">
            <v>2385</v>
          </cell>
          <cell r="S132">
            <v>4325</v>
          </cell>
          <cell r="T132">
            <v>4325</v>
          </cell>
          <cell r="U132">
            <v>635</v>
          </cell>
          <cell r="V132">
            <v>480</v>
          </cell>
          <cell r="W132">
            <v>0</v>
          </cell>
          <cell r="X132">
            <v>105</v>
          </cell>
          <cell r="Y132">
            <v>50</v>
          </cell>
          <cell r="Z132">
            <v>295</v>
          </cell>
          <cell r="AA132">
            <v>270</v>
          </cell>
          <cell r="AB132">
            <v>0</v>
          </cell>
          <cell r="AC132">
            <v>0</v>
          </cell>
          <cell r="AD132">
            <v>0</v>
          </cell>
          <cell r="AE132">
            <v>25</v>
          </cell>
          <cell r="AF132">
            <v>2130</v>
          </cell>
          <cell r="AG132">
            <v>125</v>
          </cell>
          <cell r="AH132">
            <v>1505</v>
          </cell>
          <cell r="AI132">
            <v>30</v>
          </cell>
          <cell r="AJ132">
            <v>0</v>
          </cell>
          <cell r="AK132">
            <v>470</v>
          </cell>
          <cell r="AL132">
            <v>0</v>
          </cell>
          <cell r="AM132">
            <v>0</v>
          </cell>
          <cell r="AN132">
            <v>0</v>
          </cell>
          <cell r="AO132">
            <v>1265</v>
          </cell>
          <cell r="AP132">
            <v>0</v>
          </cell>
          <cell r="AQ132">
            <v>0</v>
          </cell>
          <cell r="AR132">
            <v>420</v>
          </cell>
          <cell r="AS132">
            <v>0</v>
          </cell>
          <cell r="AT132">
            <v>330</v>
          </cell>
          <cell r="AU132">
            <v>0</v>
          </cell>
          <cell r="AV132">
            <v>0</v>
          </cell>
          <cell r="AW132">
            <v>0</v>
          </cell>
          <cell r="AX132">
            <v>485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30</v>
          </cell>
          <cell r="BH132">
            <v>0</v>
          </cell>
          <cell r="BI132">
            <v>0</v>
          </cell>
          <cell r="BJ132">
            <v>125631</v>
          </cell>
          <cell r="BK132">
            <v>294</v>
          </cell>
          <cell r="BL132">
            <v>125337</v>
          </cell>
        </row>
        <row r="133">
          <cell r="B133" t="str">
            <v>SYR109</v>
          </cell>
          <cell r="C133">
            <v>25920</v>
          </cell>
          <cell r="D133">
            <v>16740</v>
          </cell>
          <cell r="E133">
            <v>19290</v>
          </cell>
          <cell r="F133">
            <v>10110</v>
          </cell>
          <cell r="G133">
            <v>6630</v>
          </cell>
          <cell r="H133">
            <v>6630</v>
          </cell>
          <cell r="I133">
            <v>715</v>
          </cell>
          <cell r="J133">
            <v>715</v>
          </cell>
          <cell r="K133">
            <v>715</v>
          </cell>
          <cell r="L133">
            <v>0</v>
          </cell>
          <cell r="M133">
            <v>715</v>
          </cell>
          <cell r="N133">
            <v>0</v>
          </cell>
          <cell r="O133">
            <v>5915</v>
          </cell>
          <cell r="P133">
            <v>5915</v>
          </cell>
          <cell r="Q133">
            <v>1960</v>
          </cell>
          <cell r="R133">
            <v>1960</v>
          </cell>
          <cell r="S133">
            <v>3955</v>
          </cell>
          <cell r="T133">
            <v>3955</v>
          </cell>
          <cell r="U133">
            <v>575</v>
          </cell>
          <cell r="V133">
            <v>435</v>
          </cell>
          <cell r="W133">
            <v>0</v>
          </cell>
          <cell r="X133">
            <v>105</v>
          </cell>
          <cell r="Y133">
            <v>35</v>
          </cell>
          <cell r="Z133">
            <v>295</v>
          </cell>
          <cell r="AA133">
            <v>270</v>
          </cell>
          <cell r="AB133">
            <v>0</v>
          </cell>
          <cell r="AC133">
            <v>0</v>
          </cell>
          <cell r="AD133">
            <v>0</v>
          </cell>
          <cell r="AE133">
            <v>25</v>
          </cell>
          <cell r="AF133">
            <v>1865</v>
          </cell>
          <cell r="AG133">
            <v>100</v>
          </cell>
          <cell r="AH133">
            <v>1370</v>
          </cell>
          <cell r="AI133">
            <v>30</v>
          </cell>
          <cell r="AJ133">
            <v>0</v>
          </cell>
          <cell r="AK133">
            <v>365</v>
          </cell>
          <cell r="AL133">
            <v>0</v>
          </cell>
          <cell r="AM133">
            <v>0</v>
          </cell>
          <cell r="AN133">
            <v>0</v>
          </cell>
          <cell r="AO133">
            <v>1220</v>
          </cell>
          <cell r="AP133">
            <v>0</v>
          </cell>
          <cell r="AQ133">
            <v>0</v>
          </cell>
          <cell r="AR133">
            <v>390</v>
          </cell>
          <cell r="AS133">
            <v>0</v>
          </cell>
          <cell r="AT133">
            <v>315</v>
          </cell>
          <cell r="AU133">
            <v>0</v>
          </cell>
          <cell r="AV133">
            <v>0</v>
          </cell>
          <cell r="AW133">
            <v>0</v>
          </cell>
          <cell r="AX133">
            <v>485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30</v>
          </cell>
          <cell r="BH133">
            <v>0</v>
          </cell>
          <cell r="BI133">
            <v>0</v>
          </cell>
          <cell r="BJ133">
            <v>103883</v>
          </cell>
          <cell r="BK133">
            <v>264</v>
          </cell>
          <cell r="BL133">
            <v>103619</v>
          </cell>
        </row>
        <row r="134">
          <cell r="B134" t="str">
            <v>SYR110</v>
          </cell>
          <cell r="C134">
            <v>25920</v>
          </cell>
          <cell r="D134">
            <v>16740</v>
          </cell>
          <cell r="E134">
            <v>24390</v>
          </cell>
          <cell r="F134">
            <v>15210</v>
          </cell>
          <cell r="G134">
            <v>1530</v>
          </cell>
          <cell r="H134">
            <v>1530</v>
          </cell>
          <cell r="I134">
            <v>735</v>
          </cell>
          <cell r="J134">
            <v>735</v>
          </cell>
          <cell r="K134">
            <v>735</v>
          </cell>
          <cell r="L134">
            <v>0</v>
          </cell>
          <cell r="M134">
            <v>735</v>
          </cell>
          <cell r="N134">
            <v>0</v>
          </cell>
          <cell r="O134">
            <v>795</v>
          </cell>
          <cell r="P134">
            <v>795</v>
          </cell>
          <cell r="Q134">
            <v>425</v>
          </cell>
          <cell r="R134">
            <v>425</v>
          </cell>
          <cell r="S134">
            <v>370</v>
          </cell>
          <cell r="T134">
            <v>370</v>
          </cell>
          <cell r="U134">
            <v>60</v>
          </cell>
          <cell r="V134">
            <v>45</v>
          </cell>
          <cell r="W134">
            <v>0</v>
          </cell>
          <cell r="X134">
            <v>0</v>
          </cell>
          <cell r="Y134">
            <v>15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265</v>
          </cell>
          <cell r="AG134">
            <v>25</v>
          </cell>
          <cell r="AH134">
            <v>135</v>
          </cell>
          <cell r="AI134">
            <v>0</v>
          </cell>
          <cell r="AJ134">
            <v>0</v>
          </cell>
          <cell r="AK134">
            <v>105</v>
          </cell>
          <cell r="AL134">
            <v>0</v>
          </cell>
          <cell r="AM134">
            <v>0</v>
          </cell>
          <cell r="AN134">
            <v>0</v>
          </cell>
          <cell r="AO134">
            <v>45</v>
          </cell>
          <cell r="AP134">
            <v>0</v>
          </cell>
          <cell r="AQ134">
            <v>0</v>
          </cell>
          <cell r="AR134">
            <v>30</v>
          </cell>
          <cell r="AS134">
            <v>0</v>
          </cell>
          <cell r="AT134">
            <v>15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21748</v>
          </cell>
          <cell r="BK134">
            <v>30</v>
          </cell>
          <cell r="BL134">
            <v>21718</v>
          </cell>
        </row>
        <row r="135">
          <cell r="B135" t="str">
            <v>NBL INJ-MIXING</v>
          </cell>
          <cell r="C135">
            <v>25920</v>
          </cell>
          <cell r="D135">
            <v>16740</v>
          </cell>
          <cell r="E135">
            <v>21990</v>
          </cell>
          <cell r="F135">
            <v>12810</v>
          </cell>
          <cell r="G135">
            <v>3930</v>
          </cell>
          <cell r="H135">
            <v>3930</v>
          </cell>
          <cell r="I135">
            <v>10</v>
          </cell>
          <cell r="J135">
            <v>10</v>
          </cell>
          <cell r="K135">
            <v>10</v>
          </cell>
          <cell r="L135">
            <v>10</v>
          </cell>
          <cell r="M135">
            <v>0</v>
          </cell>
          <cell r="N135">
            <v>0</v>
          </cell>
          <cell r="O135">
            <v>3920</v>
          </cell>
          <cell r="P135">
            <v>3920</v>
          </cell>
          <cell r="Q135">
            <v>1177</v>
          </cell>
          <cell r="R135">
            <v>1177</v>
          </cell>
          <cell r="S135">
            <v>2743</v>
          </cell>
          <cell r="T135">
            <v>2743</v>
          </cell>
          <cell r="U135">
            <v>114</v>
          </cell>
          <cell r="V135">
            <v>114</v>
          </cell>
          <cell r="W135">
            <v>0</v>
          </cell>
          <cell r="X135">
            <v>0</v>
          </cell>
          <cell r="Y135">
            <v>0</v>
          </cell>
          <cell r="Z135">
            <v>75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75</v>
          </cell>
          <cell r="AF135">
            <v>1568</v>
          </cell>
          <cell r="AG135">
            <v>281</v>
          </cell>
          <cell r="AH135">
            <v>1052</v>
          </cell>
          <cell r="AI135">
            <v>0</v>
          </cell>
          <cell r="AJ135">
            <v>235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986</v>
          </cell>
          <cell r="AP135">
            <v>0</v>
          </cell>
          <cell r="AQ135">
            <v>0</v>
          </cell>
          <cell r="AR135">
            <v>220</v>
          </cell>
          <cell r="AS135">
            <v>0</v>
          </cell>
          <cell r="AT135">
            <v>215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8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543</v>
          </cell>
          <cell r="BG135">
            <v>0</v>
          </cell>
          <cell r="BH135">
            <v>0</v>
          </cell>
          <cell r="BI135">
            <v>0</v>
          </cell>
          <cell r="BJ135">
            <v>85644</v>
          </cell>
          <cell r="BK135">
            <v>0</v>
          </cell>
          <cell r="BL135">
            <v>85644</v>
          </cell>
        </row>
        <row r="136">
          <cell r="B136" t="str">
            <v>LMIXINJ1</v>
          </cell>
          <cell r="C136">
            <v>25920</v>
          </cell>
          <cell r="D136">
            <v>16740</v>
          </cell>
          <cell r="E136">
            <v>21990</v>
          </cell>
          <cell r="F136">
            <v>12810</v>
          </cell>
          <cell r="G136">
            <v>3930</v>
          </cell>
          <cell r="H136">
            <v>3930</v>
          </cell>
          <cell r="I136">
            <v>10</v>
          </cell>
          <cell r="J136">
            <v>10</v>
          </cell>
          <cell r="K136">
            <v>10</v>
          </cell>
          <cell r="L136">
            <v>10</v>
          </cell>
          <cell r="M136">
            <v>0</v>
          </cell>
          <cell r="N136">
            <v>0</v>
          </cell>
          <cell r="O136">
            <v>3920</v>
          </cell>
          <cell r="P136">
            <v>3920</v>
          </cell>
          <cell r="Q136">
            <v>1177</v>
          </cell>
          <cell r="R136">
            <v>1177</v>
          </cell>
          <cell r="S136">
            <v>2743</v>
          </cell>
          <cell r="T136">
            <v>2743</v>
          </cell>
          <cell r="U136">
            <v>114</v>
          </cell>
          <cell r="V136">
            <v>114</v>
          </cell>
          <cell r="W136">
            <v>0</v>
          </cell>
          <cell r="X136">
            <v>0</v>
          </cell>
          <cell r="Y136">
            <v>0</v>
          </cell>
          <cell r="Z136">
            <v>75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75</v>
          </cell>
          <cell r="AF136">
            <v>1568</v>
          </cell>
          <cell r="AG136">
            <v>281</v>
          </cell>
          <cell r="AH136">
            <v>1052</v>
          </cell>
          <cell r="AI136">
            <v>0</v>
          </cell>
          <cell r="AJ136">
            <v>235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986</v>
          </cell>
          <cell r="AP136">
            <v>0</v>
          </cell>
          <cell r="AQ136">
            <v>0</v>
          </cell>
          <cell r="AR136">
            <v>220</v>
          </cell>
          <cell r="AS136">
            <v>0</v>
          </cell>
          <cell r="AT136">
            <v>215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8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543</v>
          </cell>
          <cell r="BG136">
            <v>0</v>
          </cell>
          <cell r="BH136">
            <v>0</v>
          </cell>
          <cell r="BI136">
            <v>0</v>
          </cell>
          <cell r="BJ136">
            <v>85644</v>
          </cell>
          <cell r="BK136">
            <v>0</v>
          </cell>
          <cell r="BL136">
            <v>85644</v>
          </cell>
        </row>
        <row r="137">
          <cell r="B137" t="str">
            <v>NBL INJ-FILLING</v>
          </cell>
          <cell r="C137">
            <v>53280</v>
          </cell>
          <cell r="D137">
            <v>34410</v>
          </cell>
          <cell r="E137">
            <v>35760</v>
          </cell>
          <cell r="F137">
            <v>16890</v>
          </cell>
          <cell r="G137">
            <v>17520</v>
          </cell>
          <cell r="H137">
            <v>17520</v>
          </cell>
          <cell r="I137">
            <v>804</v>
          </cell>
          <cell r="J137">
            <v>804</v>
          </cell>
          <cell r="K137">
            <v>777</v>
          </cell>
          <cell r="L137">
            <v>60</v>
          </cell>
          <cell r="M137">
            <v>717</v>
          </cell>
          <cell r="N137">
            <v>27</v>
          </cell>
          <cell r="O137">
            <v>16716</v>
          </cell>
          <cell r="P137">
            <v>16716</v>
          </cell>
          <cell r="Q137">
            <v>7269</v>
          </cell>
          <cell r="R137">
            <v>7269</v>
          </cell>
          <cell r="S137">
            <v>9447</v>
          </cell>
          <cell r="T137">
            <v>9447</v>
          </cell>
          <cell r="U137">
            <v>1405</v>
          </cell>
          <cell r="V137">
            <v>1285</v>
          </cell>
          <cell r="W137">
            <v>0</v>
          </cell>
          <cell r="X137">
            <v>65</v>
          </cell>
          <cell r="Y137">
            <v>55</v>
          </cell>
          <cell r="Z137">
            <v>722</v>
          </cell>
          <cell r="AA137">
            <v>391</v>
          </cell>
          <cell r="AB137">
            <v>96</v>
          </cell>
          <cell r="AC137">
            <v>0</v>
          </cell>
          <cell r="AD137">
            <v>14</v>
          </cell>
          <cell r="AE137">
            <v>221</v>
          </cell>
          <cell r="AF137">
            <v>3259</v>
          </cell>
          <cell r="AG137">
            <v>728</v>
          </cell>
          <cell r="AH137">
            <v>2501</v>
          </cell>
          <cell r="AI137">
            <v>30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4061</v>
          </cell>
          <cell r="AP137">
            <v>0</v>
          </cell>
          <cell r="AQ137">
            <v>0</v>
          </cell>
          <cell r="AR137">
            <v>960</v>
          </cell>
          <cell r="AS137">
            <v>0</v>
          </cell>
          <cell r="AT137">
            <v>1085</v>
          </cell>
          <cell r="AU137">
            <v>0</v>
          </cell>
          <cell r="AV137">
            <v>0</v>
          </cell>
          <cell r="AW137">
            <v>10</v>
          </cell>
          <cell r="AX137">
            <v>0</v>
          </cell>
          <cell r="AY137">
            <v>231</v>
          </cell>
          <cell r="AZ137">
            <v>0</v>
          </cell>
          <cell r="BA137">
            <v>0</v>
          </cell>
          <cell r="BB137">
            <v>1658</v>
          </cell>
          <cell r="BC137">
            <v>0</v>
          </cell>
          <cell r="BD137">
            <v>0</v>
          </cell>
          <cell r="BE137">
            <v>0</v>
          </cell>
          <cell r="BF137">
            <v>117</v>
          </cell>
          <cell r="BG137">
            <v>0</v>
          </cell>
          <cell r="BH137">
            <v>0</v>
          </cell>
          <cell r="BI137">
            <v>0</v>
          </cell>
          <cell r="BJ137">
            <v>706634</v>
          </cell>
          <cell r="BK137">
            <v>47</v>
          </cell>
          <cell r="BL137">
            <v>706587</v>
          </cell>
        </row>
        <row r="138">
          <cell r="B138" t="str">
            <v>GINLINE3</v>
          </cell>
          <cell r="C138">
            <v>25920</v>
          </cell>
          <cell r="D138">
            <v>16740</v>
          </cell>
          <cell r="E138">
            <v>20280</v>
          </cell>
          <cell r="F138">
            <v>11100</v>
          </cell>
          <cell r="G138">
            <v>5640</v>
          </cell>
          <cell r="H138">
            <v>5640</v>
          </cell>
          <cell r="I138">
            <v>579</v>
          </cell>
          <cell r="J138">
            <v>579</v>
          </cell>
          <cell r="K138">
            <v>552</v>
          </cell>
          <cell r="L138">
            <v>0</v>
          </cell>
          <cell r="M138">
            <v>552</v>
          </cell>
          <cell r="N138">
            <v>27</v>
          </cell>
          <cell r="O138">
            <v>5061</v>
          </cell>
          <cell r="P138">
            <v>5061</v>
          </cell>
          <cell r="Q138">
            <v>1369</v>
          </cell>
          <cell r="R138">
            <v>1369</v>
          </cell>
          <cell r="S138">
            <v>3692</v>
          </cell>
          <cell r="T138">
            <v>3692</v>
          </cell>
          <cell r="U138">
            <v>565</v>
          </cell>
          <cell r="V138">
            <v>560</v>
          </cell>
          <cell r="W138">
            <v>0</v>
          </cell>
          <cell r="X138">
            <v>0</v>
          </cell>
          <cell r="Y138">
            <v>5</v>
          </cell>
          <cell r="Z138">
            <v>216</v>
          </cell>
          <cell r="AA138">
            <v>0</v>
          </cell>
          <cell r="AB138">
            <v>81</v>
          </cell>
          <cell r="AC138">
            <v>0</v>
          </cell>
          <cell r="AD138">
            <v>14</v>
          </cell>
          <cell r="AE138">
            <v>121</v>
          </cell>
          <cell r="AF138">
            <v>1364</v>
          </cell>
          <cell r="AG138">
            <v>303</v>
          </cell>
          <cell r="AH138">
            <v>1061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1547</v>
          </cell>
          <cell r="AP138">
            <v>0</v>
          </cell>
          <cell r="AQ138">
            <v>0</v>
          </cell>
          <cell r="AR138">
            <v>300</v>
          </cell>
          <cell r="AS138">
            <v>0</v>
          </cell>
          <cell r="AT138">
            <v>320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166</v>
          </cell>
          <cell r="AZ138">
            <v>0</v>
          </cell>
          <cell r="BA138">
            <v>0</v>
          </cell>
          <cell r="BB138">
            <v>731</v>
          </cell>
          <cell r="BC138">
            <v>0</v>
          </cell>
          <cell r="BD138">
            <v>0</v>
          </cell>
          <cell r="BE138">
            <v>0</v>
          </cell>
          <cell r="BF138">
            <v>30</v>
          </cell>
          <cell r="BG138">
            <v>0</v>
          </cell>
          <cell r="BH138">
            <v>0</v>
          </cell>
          <cell r="BI138">
            <v>0</v>
          </cell>
          <cell r="BJ138">
            <v>198264</v>
          </cell>
          <cell r="BK138">
            <v>0</v>
          </cell>
          <cell r="BL138">
            <v>198264</v>
          </cell>
        </row>
        <row r="139">
          <cell r="B139" t="str">
            <v>GINLINE4</v>
          </cell>
          <cell r="C139">
            <v>27360</v>
          </cell>
          <cell r="D139">
            <v>17670</v>
          </cell>
          <cell r="E139">
            <v>15480</v>
          </cell>
          <cell r="F139">
            <v>5790</v>
          </cell>
          <cell r="G139">
            <v>11880</v>
          </cell>
          <cell r="H139">
            <v>11880</v>
          </cell>
          <cell r="I139">
            <v>225</v>
          </cell>
          <cell r="J139">
            <v>225</v>
          </cell>
          <cell r="K139">
            <v>225</v>
          </cell>
          <cell r="L139">
            <v>60</v>
          </cell>
          <cell r="M139">
            <v>165</v>
          </cell>
          <cell r="N139">
            <v>0</v>
          </cell>
          <cell r="O139">
            <v>11655</v>
          </cell>
          <cell r="P139">
            <v>11655</v>
          </cell>
          <cell r="Q139">
            <v>5900</v>
          </cell>
          <cell r="R139">
            <v>5900</v>
          </cell>
          <cell r="S139">
            <v>5755</v>
          </cell>
          <cell r="T139">
            <v>5755</v>
          </cell>
          <cell r="U139">
            <v>840</v>
          </cell>
          <cell r="V139">
            <v>725</v>
          </cell>
          <cell r="W139">
            <v>0</v>
          </cell>
          <cell r="X139">
            <v>65</v>
          </cell>
          <cell r="Y139">
            <v>50</v>
          </cell>
          <cell r="Z139">
            <v>506</v>
          </cell>
          <cell r="AA139">
            <v>391</v>
          </cell>
          <cell r="AB139">
            <v>15</v>
          </cell>
          <cell r="AC139">
            <v>0</v>
          </cell>
          <cell r="AD139">
            <v>0</v>
          </cell>
          <cell r="AE139">
            <v>100</v>
          </cell>
          <cell r="AF139">
            <v>1895</v>
          </cell>
          <cell r="AG139">
            <v>425</v>
          </cell>
          <cell r="AH139">
            <v>1440</v>
          </cell>
          <cell r="AI139">
            <v>30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2514</v>
          </cell>
          <cell r="AP139">
            <v>0</v>
          </cell>
          <cell r="AQ139">
            <v>0</v>
          </cell>
          <cell r="AR139">
            <v>660</v>
          </cell>
          <cell r="AS139">
            <v>0</v>
          </cell>
          <cell r="AT139">
            <v>765</v>
          </cell>
          <cell r="AU139">
            <v>0</v>
          </cell>
          <cell r="AV139">
            <v>0</v>
          </cell>
          <cell r="AW139">
            <v>10</v>
          </cell>
          <cell r="AX139">
            <v>0</v>
          </cell>
          <cell r="AY139">
            <v>65</v>
          </cell>
          <cell r="AZ139">
            <v>0</v>
          </cell>
          <cell r="BA139">
            <v>0</v>
          </cell>
          <cell r="BB139">
            <v>927</v>
          </cell>
          <cell r="BC139">
            <v>0</v>
          </cell>
          <cell r="BD139">
            <v>0</v>
          </cell>
          <cell r="BE139">
            <v>0</v>
          </cell>
          <cell r="BF139">
            <v>87</v>
          </cell>
          <cell r="BG139">
            <v>0</v>
          </cell>
          <cell r="BH139">
            <v>0</v>
          </cell>
          <cell r="BI139">
            <v>0</v>
          </cell>
          <cell r="BJ139">
            <v>508370</v>
          </cell>
          <cell r="BK139">
            <v>47</v>
          </cell>
          <cell r="BL139">
            <v>508323</v>
          </cell>
        </row>
        <row r="140">
          <cell r="B140" t="str">
            <v>NBL INJ-STERILIZATION</v>
          </cell>
          <cell r="C140">
            <v>83520</v>
          </cell>
          <cell r="D140">
            <v>53940</v>
          </cell>
          <cell r="E140">
            <v>55798</v>
          </cell>
          <cell r="F140">
            <v>26218</v>
          </cell>
          <cell r="G140">
            <v>27722</v>
          </cell>
          <cell r="H140">
            <v>27722</v>
          </cell>
          <cell r="I140">
            <v>2001</v>
          </cell>
          <cell r="J140">
            <v>2001</v>
          </cell>
          <cell r="K140">
            <v>2001</v>
          </cell>
          <cell r="L140">
            <v>690</v>
          </cell>
          <cell r="M140">
            <v>1311</v>
          </cell>
          <cell r="N140">
            <v>0</v>
          </cell>
          <cell r="O140">
            <v>25721</v>
          </cell>
          <cell r="P140">
            <v>25721</v>
          </cell>
          <cell r="Q140">
            <v>13470</v>
          </cell>
          <cell r="R140">
            <v>13470</v>
          </cell>
          <cell r="S140">
            <v>12251</v>
          </cell>
          <cell r="T140">
            <v>12251</v>
          </cell>
          <cell r="U140">
            <v>666</v>
          </cell>
          <cell r="V140">
            <v>666</v>
          </cell>
          <cell r="W140">
            <v>0</v>
          </cell>
          <cell r="X140">
            <v>0</v>
          </cell>
          <cell r="Y140">
            <v>0</v>
          </cell>
          <cell r="Z140">
            <v>437</v>
          </cell>
          <cell r="AA140">
            <v>405</v>
          </cell>
          <cell r="AB140">
            <v>0</v>
          </cell>
          <cell r="AC140">
            <v>0</v>
          </cell>
          <cell r="AD140">
            <v>0</v>
          </cell>
          <cell r="AE140">
            <v>32</v>
          </cell>
          <cell r="AF140">
            <v>4163</v>
          </cell>
          <cell r="AG140">
            <v>3432</v>
          </cell>
          <cell r="AH140">
            <v>298</v>
          </cell>
          <cell r="AI140">
            <v>93</v>
          </cell>
          <cell r="AJ140">
            <v>85</v>
          </cell>
          <cell r="AK140">
            <v>255</v>
          </cell>
          <cell r="AL140">
            <v>0</v>
          </cell>
          <cell r="AM140">
            <v>0</v>
          </cell>
          <cell r="AN140">
            <v>0</v>
          </cell>
          <cell r="AO140">
            <v>6985</v>
          </cell>
          <cell r="AP140">
            <v>0</v>
          </cell>
          <cell r="AQ140">
            <v>0</v>
          </cell>
          <cell r="AR140">
            <v>737</v>
          </cell>
          <cell r="AS140">
            <v>95</v>
          </cell>
          <cell r="AT140">
            <v>616</v>
          </cell>
          <cell r="AU140">
            <v>790</v>
          </cell>
          <cell r="AV140">
            <v>0</v>
          </cell>
          <cell r="AW140">
            <v>0</v>
          </cell>
          <cell r="AX140">
            <v>4573</v>
          </cell>
          <cell r="AY140">
            <v>174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1061</v>
          </cell>
          <cell r="BK140">
            <v>0</v>
          </cell>
          <cell r="BL140">
            <v>1061</v>
          </cell>
        </row>
        <row r="141">
          <cell r="B141" t="str">
            <v>INJ105</v>
          </cell>
          <cell r="C141">
            <v>30240</v>
          </cell>
          <cell r="D141">
            <v>19530</v>
          </cell>
          <cell r="E141">
            <v>18810</v>
          </cell>
          <cell r="F141">
            <v>8100</v>
          </cell>
          <cell r="G141">
            <v>11430</v>
          </cell>
          <cell r="H141">
            <v>11430</v>
          </cell>
          <cell r="I141">
            <v>1104</v>
          </cell>
          <cell r="J141">
            <v>1104</v>
          </cell>
          <cell r="K141">
            <v>1104</v>
          </cell>
          <cell r="L141">
            <v>458</v>
          </cell>
          <cell r="M141">
            <v>646</v>
          </cell>
          <cell r="N141">
            <v>0</v>
          </cell>
          <cell r="O141">
            <v>10326</v>
          </cell>
          <cell r="P141">
            <v>10326</v>
          </cell>
          <cell r="Q141">
            <v>5204</v>
          </cell>
          <cell r="R141">
            <v>5204</v>
          </cell>
          <cell r="S141">
            <v>5122</v>
          </cell>
          <cell r="T141">
            <v>5122</v>
          </cell>
          <cell r="U141">
            <v>212</v>
          </cell>
          <cell r="V141">
            <v>212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1333</v>
          </cell>
          <cell r="AG141">
            <v>1048</v>
          </cell>
          <cell r="AH141">
            <v>195</v>
          </cell>
          <cell r="AI141">
            <v>0</v>
          </cell>
          <cell r="AJ141">
            <v>0</v>
          </cell>
          <cell r="AK141">
            <v>90</v>
          </cell>
          <cell r="AL141">
            <v>0</v>
          </cell>
          <cell r="AM141">
            <v>0</v>
          </cell>
          <cell r="AN141">
            <v>0</v>
          </cell>
          <cell r="AO141">
            <v>3577</v>
          </cell>
          <cell r="AP141">
            <v>0</v>
          </cell>
          <cell r="AQ141">
            <v>0</v>
          </cell>
          <cell r="AR141">
            <v>213</v>
          </cell>
          <cell r="AS141">
            <v>0</v>
          </cell>
          <cell r="AT141">
            <v>210</v>
          </cell>
          <cell r="AU141">
            <v>0</v>
          </cell>
          <cell r="AV141">
            <v>0</v>
          </cell>
          <cell r="AW141">
            <v>0</v>
          </cell>
          <cell r="AX141">
            <v>3154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481</v>
          </cell>
          <cell r="BK141">
            <v>0</v>
          </cell>
          <cell r="BL141">
            <v>481</v>
          </cell>
        </row>
        <row r="142">
          <cell r="B142" t="str">
            <v>INJ106</v>
          </cell>
          <cell r="C142">
            <v>27360</v>
          </cell>
          <cell r="D142">
            <v>17670</v>
          </cell>
          <cell r="E142">
            <v>15808</v>
          </cell>
          <cell r="F142">
            <v>6118</v>
          </cell>
          <cell r="G142">
            <v>11552</v>
          </cell>
          <cell r="H142">
            <v>11552</v>
          </cell>
          <cell r="I142">
            <v>358</v>
          </cell>
          <cell r="J142">
            <v>358</v>
          </cell>
          <cell r="K142">
            <v>358</v>
          </cell>
          <cell r="L142">
            <v>178</v>
          </cell>
          <cell r="M142">
            <v>180</v>
          </cell>
          <cell r="N142">
            <v>0</v>
          </cell>
          <cell r="O142">
            <v>11194</v>
          </cell>
          <cell r="P142">
            <v>11194</v>
          </cell>
          <cell r="Q142">
            <v>7383</v>
          </cell>
          <cell r="R142">
            <v>7383</v>
          </cell>
          <cell r="S142">
            <v>3811</v>
          </cell>
          <cell r="T142">
            <v>3811</v>
          </cell>
          <cell r="U142">
            <v>176</v>
          </cell>
          <cell r="V142">
            <v>176</v>
          </cell>
          <cell r="W142">
            <v>0</v>
          </cell>
          <cell r="X142">
            <v>0</v>
          </cell>
          <cell r="Y142">
            <v>0</v>
          </cell>
          <cell r="Z142">
            <v>437</v>
          </cell>
          <cell r="AA142">
            <v>405</v>
          </cell>
          <cell r="AB142">
            <v>0</v>
          </cell>
          <cell r="AC142">
            <v>0</v>
          </cell>
          <cell r="AD142">
            <v>0</v>
          </cell>
          <cell r="AE142">
            <v>32</v>
          </cell>
          <cell r="AF142">
            <v>1566</v>
          </cell>
          <cell r="AG142">
            <v>1483</v>
          </cell>
          <cell r="AH142">
            <v>83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1632</v>
          </cell>
          <cell r="AP142">
            <v>0</v>
          </cell>
          <cell r="AQ142">
            <v>0</v>
          </cell>
          <cell r="AR142">
            <v>299</v>
          </cell>
          <cell r="AS142">
            <v>0</v>
          </cell>
          <cell r="AT142">
            <v>205</v>
          </cell>
          <cell r="AU142">
            <v>0</v>
          </cell>
          <cell r="AV142">
            <v>0</v>
          </cell>
          <cell r="AW142">
            <v>0</v>
          </cell>
          <cell r="AX142">
            <v>1109</v>
          </cell>
          <cell r="AY142">
            <v>19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568</v>
          </cell>
          <cell r="BK142">
            <v>0</v>
          </cell>
          <cell r="BL142">
            <v>568</v>
          </cell>
        </row>
        <row r="143">
          <cell r="B143" t="str">
            <v>INJ107</v>
          </cell>
          <cell r="C143">
            <v>25920</v>
          </cell>
          <cell r="D143">
            <v>16740</v>
          </cell>
          <cell r="E143">
            <v>21180</v>
          </cell>
          <cell r="F143">
            <v>12000</v>
          </cell>
          <cell r="G143">
            <v>4740</v>
          </cell>
          <cell r="H143">
            <v>4740</v>
          </cell>
          <cell r="I143">
            <v>539</v>
          </cell>
          <cell r="J143">
            <v>539</v>
          </cell>
          <cell r="K143">
            <v>539</v>
          </cell>
          <cell r="L143">
            <v>54</v>
          </cell>
          <cell r="M143">
            <v>485</v>
          </cell>
          <cell r="N143">
            <v>0</v>
          </cell>
          <cell r="O143">
            <v>4201</v>
          </cell>
          <cell r="P143">
            <v>4201</v>
          </cell>
          <cell r="Q143">
            <v>883</v>
          </cell>
          <cell r="R143">
            <v>883</v>
          </cell>
          <cell r="S143">
            <v>3318</v>
          </cell>
          <cell r="T143">
            <v>3318</v>
          </cell>
          <cell r="U143">
            <v>278</v>
          </cell>
          <cell r="V143">
            <v>278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1264</v>
          </cell>
          <cell r="AG143">
            <v>901</v>
          </cell>
          <cell r="AH143">
            <v>20</v>
          </cell>
          <cell r="AI143">
            <v>93</v>
          </cell>
          <cell r="AJ143">
            <v>85</v>
          </cell>
          <cell r="AK143">
            <v>165</v>
          </cell>
          <cell r="AL143">
            <v>0</v>
          </cell>
          <cell r="AM143">
            <v>0</v>
          </cell>
          <cell r="AN143">
            <v>0</v>
          </cell>
          <cell r="AO143">
            <v>1776</v>
          </cell>
          <cell r="AP143">
            <v>0</v>
          </cell>
          <cell r="AQ143">
            <v>0</v>
          </cell>
          <cell r="AR143">
            <v>225</v>
          </cell>
          <cell r="AS143">
            <v>95</v>
          </cell>
          <cell r="AT143">
            <v>201</v>
          </cell>
          <cell r="AU143">
            <v>790</v>
          </cell>
          <cell r="AV143">
            <v>0</v>
          </cell>
          <cell r="AW143">
            <v>0</v>
          </cell>
          <cell r="AX143">
            <v>310</v>
          </cell>
          <cell r="AY143">
            <v>155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12</v>
          </cell>
          <cell r="BK143">
            <v>0</v>
          </cell>
          <cell r="BL143">
            <v>12</v>
          </cell>
        </row>
        <row r="144">
          <cell r="B144" t="str">
            <v>NBL SECONDARY PACKING</v>
          </cell>
          <cell r="C144">
            <v>155520</v>
          </cell>
          <cell r="D144">
            <v>59940</v>
          </cell>
          <cell r="E144">
            <v>121350</v>
          </cell>
          <cell r="F144">
            <v>25770</v>
          </cell>
          <cell r="G144">
            <v>34170</v>
          </cell>
          <cell r="H144">
            <v>34170</v>
          </cell>
          <cell r="I144">
            <v>4545</v>
          </cell>
          <cell r="J144">
            <v>4545</v>
          </cell>
          <cell r="K144">
            <v>4545</v>
          </cell>
          <cell r="L144">
            <v>705</v>
          </cell>
          <cell r="M144">
            <v>3840</v>
          </cell>
          <cell r="N144">
            <v>0</v>
          </cell>
          <cell r="O144">
            <v>29625</v>
          </cell>
          <cell r="P144">
            <v>29625</v>
          </cell>
          <cell r="Q144">
            <v>18146</v>
          </cell>
          <cell r="R144">
            <v>18146</v>
          </cell>
          <cell r="S144">
            <v>11479</v>
          </cell>
          <cell r="T144">
            <v>11479</v>
          </cell>
          <cell r="U144">
            <v>2301</v>
          </cell>
          <cell r="V144">
            <v>1244</v>
          </cell>
          <cell r="W144">
            <v>15</v>
          </cell>
          <cell r="X144">
            <v>761</v>
          </cell>
          <cell r="Y144">
            <v>281</v>
          </cell>
          <cell r="Z144">
            <v>255</v>
          </cell>
          <cell r="AA144">
            <v>0</v>
          </cell>
          <cell r="AB144">
            <v>0</v>
          </cell>
          <cell r="AC144">
            <v>0</v>
          </cell>
          <cell r="AD144">
            <v>255</v>
          </cell>
          <cell r="AE144">
            <v>0</v>
          </cell>
          <cell r="AF144">
            <v>2663</v>
          </cell>
          <cell r="AG144">
            <v>992</v>
          </cell>
          <cell r="AH144">
            <v>1241</v>
          </cell>
          <cell r="AI144">
            <v>40</v>
          </cell>
          <cell r="AJ144">
            <v>0</v>
          </cell>
          <cell r="AK144">
            <v>390</v>
          </cell>
          <cell r="AL144">
            <v>515</v>
          </cell>
          <cell r="AM144">
            <v>0</v>
          </cell>
          <cell r="AN144">
            <v>515</v>
          </cell>
          <cell r="AO144">
            <v>5745</v>
          </cell>
          <cell r="AP144">
            <v>0</v>
          </cell>
          <cell r="AQ144">
            <v>600</v>
          </cell>
          <cell r="AR144">
            <v>1797</v>
          </cell>
          <cell r="AS144">
            <v>0</v>
          </cell>
          <cell r="AT144">
            <v>990</v>
          </cell>
          <cell r="AU144">
            <v>0</v>
          </cell>
          <cell r="AV144">
            <v>130</v>
          </cell>
          <cell r="AW144">
            <v>0</v>
          </cell>
          <cell r="AX144">
            <v>622</v>
          </cell>
          <cell r="AY144">
            <v>509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1097</v>
          </cell>
          <cell r="BG144">
            <v>0</v>
          </cell>
          <cell r="BH144">
            <v>0</v>
          </cell>
          <cell r="BI144">
            <v>0</v>
          </cell>
          <cell r="BJ144">
            <v>901052</v>
          </cell>
          <cell r="BK144">
            <v>41</v>
          </cell>
          <cell r="BL144">
            <v>901011</v>
          </cell>
        </row>
        <row r="145">
          <cell r="B145" t="str">
            <v>PAK101</v>
          </cell>
          <cell r="C145">
            <v>25920</v>
          </cell>
          <cell r="D145">
            <v>8640</v>
          </cell>
          <cell r="E145">
            <v>15570</v>
          </cell>
          <cell r="F145">
            <v>-1710</v>
          </cell>
          <cell r="G145">
            <v>10350</v>
          </cell>
          <cell r="H145">
            <v>10350</v>
          </cell>
          <cell r="I145">
            <v>625</v>
          </cell>
          <cell r="J145">
            <v>625</v>
          </cell>
          <cell r="K145">
            <v>625</v>
          </cell>
          <cell r="L145">
            <v>275</v>
          </cell>
          <cell r="M145">
            <v>350</v>
          </cell>
          <cell r="N145">
            <v>0</v>
          </cell>
          <cell r="O145">
            <v>9725</v>
          </cell>
          <cell r="P145">
            <v>9725</v>
          </cell>
          <cell r="Q145">
            <v>7115</v>
          </cell>
          <cell r="R145">
            <v>7115</v>
          </cell>
          <cell r="S145">
            <v>2610</v>
          </cell>
          <cell r="T145">
            <v>2610</v>
          </cell>
          <cell r="U145">
            <v>206</v>
          </cell>
          <cell r="V145">
            <v>206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704</v>
          </cell>
          <cell r="AG145">
            <v>184</v>
          </cell>
          <cell r="AH145">
            <v>400</v>
          </cell>
          <cell r="AI145">
            <v>0</v>
          </cell>
          <cell r="AJ145">
            <v>0</v>
          </cell>
          <cell r="AK145">
            <v>120</v>
          </cell>
          <cell r="AL145">
            <v>0</v>
          </cell>
          <cell r="AM145">
            <v>0</v>
          </cell>
          <cell r="AN145">
            <v>0</v>
          </cell>
          <cell r="AO145">
            <v>1700</v>
          </cell>
          <cell r="AP145">
            <v>0</v>
          </cell>
          <cell r="AQ145">
            <v>160</v>
          </cell>
          <cell r="AR145">
            <v>600</v>
          </cell>
          <cell r="AS145">
            <v>0</v>
          </cell>
          <cell r="AT145">
            <v>360</v>
          </cell>
          <cell r="AU145">
            <v>0</v>
          </cell>
          <cell r="AV145">
            <v>55</v>
          </cell>
          <cell r="AW145">
            <v>0</v>
          </cell>
          <cell r="AX145">
            <v>0</v>
          </cell>
          <cell r="AY145">
            <v>165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360</v>
          </cell>
          <cell r="BG145">
            <v>0</v>
          </cell>
          <cell r="BH145">
            <v>0</v>
          </cell>
          <cell r="BI145">
            <v>0</v>
          </cell>
          <cell r="BJ145">
            <v>238167</v>
          </cell>
          <cell r="BK145">
            <v>11</v>
          </cell>
          <cell r="BL145">
            <v>238156</v>
          </cell>
        </row>
        <row r="146">
          <cell r="B146" t="str">
            <v>PAK103</v>
          </cell>
          <cell r="C146">
            <v>25920</v>
          </cell>
          <cell r="D146">
            <v>8640</v>
          </cell>
          <cell r="E146">
            <v>16320</v>
          </cell>
          <cell r="F146">
            <v>-960</v>
          </cell>
          <cell r="G146">
            <v>9600</v>
          </cell>
          <cell r="H146">
            <v>9600</v>
          </cell>
          <cell r="I146">
            <v>225</v>
          </cell>
          <cell r="J146">
            <v>225</v>
          </cell>
          <cell r="K146">
            <v>225</v>
          </cell>
          <cell r="L146">
            <v>225</v>
          </cell>
          <cell r="M146">
            <v>0</v>
          </cell>
          <cell r="N146">
            <v>0</v>
          </cell>
          <cell r="O146">
            <v>9375</v>
          </cell>
          <cell r="P146">
            <v>9375</v>
          </cell>
          <cell r="Q146">
            <v>5960</v>
          </cell>
          <cell r="R146">
            <v>5960</v>
          </cell>
          <cell r="S146">
            <v>3415</v>
          </cell>
          <cell r="T146">
            <v>3415</v>
          </cell>
          <cell r="U146">
            <v>186</v>
          </cell>
          <cell r="V146">
            <v>186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721</v>
          </cell>
          <cell r="AG146">
            <v>158</v>
          </cell>
          <cell r="AH146">
            <v>443</v>
          </cell>
          <cell r="AI146">
            <v>0</v>
          </cell>
          <cell r="AJ146">
            <v>0</v>
          </cell>
          <cell r="AK146">
            <v>120</v>
          </cell>
          <cell r="AL146">
            <v>515</v>
          </cell>
          <cell r="AM146">
            <v>0</v>
          </cell>
          <cell r="AN146">
            <v>515</v>
          </cell>
          <cell r="AO146">
            <v>1993</v>
          </cell>
          <cell r="AP146">
            <v>0</v>
          </cell>
          <cell r="AQ146">
            <v>440</v>
          </cell>
          <cell r="AR146">
            <v>507</v>
          </cell>
          <cell r="AS146">
            <v>0</v>
          </cell>
          <cell r="AT146">
            <v>270</v>
          </cell>
          <cell r="AU146">
            <v>0</v>
          </cell>
          <cell r="AV146">
            <v>55</v>
          </cell>
          <cell r="AW146">
            <v>0</v>
          </cell>
          <cell r="AX146">
            <v>0</v>
          </cell>
          <cell r="AY146">
            <v>158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563</v>
          </cell>
          <cell r="BG146">
            <v>0</v>
          </cell>
          <cell r="BH146">
            <v>0</v>
          </cell>
          <cell r="BI146">
            <v>0</v>
          </cell>
          <cell r="BJ146">
            <v>218837</v>
          </cell>
          <cell r="BK146">
            <v>4</v>
          </cell>
          <cell r="BL146">
            <v>218833</v>
          </cell>
        </row>
        <row r="147">
          <cell r="B147" t="str">
            <v>PAK105</v>
          </cell>
          <cell r="C147">
            <v>25920</v>
          </cell>
          <cell r="D147">
            <v>16740</v>
          </cell>
          <cell r="E147">
            <v>19800</v>
          </cell>
          <cell r="F147">
            <v>10620</v>
          </cell>
          <cell r="G147">
            <v>6120</v>
          </cell>
          <cell r="H147">
            <v>6120</v>
          </cell>
          <cell r="I147">
            <v>1230</v>
          </cell>
          <cell r="J147">
            <v>1230</v>
          </cell>
          <cell r="K147">
            <v>1230</v>
          </cell>
          <cell r="L147">
            <v>0</v>
          </cell>
          <cell r="M147">
            <v>1230</v>
          </cell>
          <cell r="N147">
            <v>0</v>
          </cell>
          <cell r="O147">
            <v>4890</v>
          </cell>
          <cell r="P147">
            <v>4890</v>
          </cell>
          <cell r="Q147">
            <v>2520</v>
          </cell>
          <cell r="R147">
            <v>2520</v>
          </cell>
          <cell r="S147">
            <v>2370</v>
          </cell>
          <cell r="T147">
            <v>2370</v>
          </cell>
          <cell r="U147">
            <v>935</v>
          </cell>
          <cell r="V147">
            <v>400</v>
          </cell>
          <cell r="W147">
            <v>0</v>
          </cell>
          <cell r="X147">
            <v>405</v>
          </cell>
          <cell r="Y147">
            <v>130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250</v>
          </cell>
          <cell r="AG147">
            <v>110</v>
          </cell>
          <cell r="AH147">
            <v>130</v>
          </cell>
          <cell r="AI147">
            <v>10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1185</v>
          </cell>
          <cell r="AP147">
            <v>0</v>
          </cell>
          <cell r="AQ147">
            <v>0</v>
          </cell>
          <cell r="AR147">
            <v>330</v>
          </cell>
          <cell r="AS147">
            <v>0</v>
          </cell>
          <cell r="AT147">
            <v>165</v>
          </cell>
          <cell r="AU147">
            <v>0</v>
          </cell>
          <cell r="AV147">
            <v>0</v>
          </cell>
          <cell r="AW147">
            <v>0</v>
          </cell>
          <cell r="AX147">
            <v>480</v>
          </cell>
          <cell r="AY147">
            <v>105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105</v>
          </cell>
          <cell r="BG147">
            <v>0</v>
          </cell>
          <cell r="BH147">
            <v>0</v>
          </cell>
          <cell r="BI147">
            <v>0</v>
          </cell>
          <cell r="BJ147">
            <v>143837</v>
          </cell>
          <cell r="BK147">
            <v>0</v>
          </cell>
          <cell r="BL147">
            <v>143837</v>
          </cell>
        </row>
        <row r="148">
          <cell r="B148" t="str">
            <v>PAK102</v>
          </cell>
          <cell r="C148">
            <v>25920</v>
          </cell>
          <cell r="D148">
            <v>8640</v>
          </cell>
          <cell r="E148">
            <v>25920</v>
          </cell>
          <cell r="F148">
            <v>8640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</row>
        <row r="149">
          <cell r="B149" t="str">
            <v>PAK104</v>
          </cell>
          <cell r="C149">
            <v>25920</v>
          </cell>
          <cell r="D149">
            <v>8640</v>
          </cell>
          <cell r="E149">
            <v>23880</v>
          </cell>
          <cell r="F149">
            <v>6600</v>
          </cell>
          <cell r="G149">
            <v>2040</v>
          </cell>
          <cell r="H149">
            <v>2040</v>
          </cell>
          <cell r="I149">
            <v>930</v>
          </cell>
          <cell r="J149">
            <v>930</v>
          </cell>
          <cell r="K149">
            <v>930</v>
          </cell>
          <cell r="L149">
            <v>30</v>
          </cell>
          <cell r="M149">
            <v>900</v>
          </cell>
          <cell r="N149">
            <v>0</v>
          </cell>
          <cell r="O149">
            <v>1110</v>
          </cell>
          <cell r="P149">
            <v>1110</v>
          </cell>
          <cell r="Q149">
            <v>340</v>
          </cell>
          <cell r="R149">
            <v>340</v>
          </cell>
          <cell r="S149">
            <v>770</v>
          </cell>
          <cell r="T149">
            <v>770</v>
          </cell>
          <cell r="U149">
            <v>215</v>
          </cell>
          <cell r="V149">
            <v>80</v>
          </cell>
          <cell r="W149">
            <v>0</v>
          </cell>
          <cell r="X149">
            <v>135</v>
          </cell>
          <cell r="Y149">
            <v>0</v>
          </cell>
          <cell r="Z149">
            <v>255</v>
          </cell>
          <cell r="AA149">
            <v>0</v>
          </cell>
          <cell r="AB149">
            <v>0</v>
          </cell>
          <cell r="AC149">
            <v>0</v>
          </cell>
          <cell r="AD149">
            <v>255</v>
          </cell>
          <cell r="AE149">
            <v>0</v>
          </cell>
          <cell r="AF149">
            <v>190</v>
          </cell>
          <cell r="AG149">
            <v>70</v>
          </cell>
          <cell r="AH149">
            <v>120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110</v>
          </cell>
          <cell r="AP149">
            <v>0</v>
          </cell>
          <cell r="AQ149">
            <v>0</v>
          </cell>
          <cell r="AR149">
            <v>60</v>
          </cell>
          <cell r="AS149">
            <v>0</v>
          </cell>
          <cell r="AT149">
            <v>30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10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10</v>
          </cell>
          <cell r="BG149">
            <v>0</v>
          </cell>
          <cell r="BH149">
            <v>0</v>
          </cell>
          <cell r="BI149">
            <v>0</v>
          </cell>
          <cell r="BJ149">
            <v>7660</v>
          </cell>
          <cell r="BK149">
            <v>0</v>
          </cell>
          <cell r="BL149">
            <v>7660</v>
          </cell>
        </row>
        <row r="150">
          <cell r="B150" t="str">
            <v>PAK111</v>
          </cell>
          <cell r="C150">
            <v>25920</v>
          </cell>
          <cell r="D150">
            <v>8640</v>
          </cell>
          <cell r="E150">
            <v>19860</v>
          </cell>
          <cell r="F150">
            <v>2580</v>
          </cell>
          <cell r="G150">
            <v>6060</v>
          </cell>
          <cell r="H150">
            <v>6060</v>
          </cell>
          <cell r="I150">
            <v>1535</v>
          </cell>
          <cell r="J150">
            <v>1535</v>
          </cell>
          <cell r="K150">
            <v>1535</v>
          </cell>
          <cell r="L150">
            <v>175</v>
          </cell>
          <cell r="M150">
            <v>1360</v>
          </cell>
          <cell r="N150">
            <v>0</v>
          </cell>
          <cell r="O150">
            <v>4525</v>
          </cell>
          <cell r="P150">
            <v>4525</v>
          </cell>
          <cell r="Q150">
            <v>2211</v>
          </cell>
          <cell r="R150">
            <v>2211</v>
          </cell>
          <cell r="S150">
            <v>2314</v>
          </cell>
          <cell r="T150">
            <v>2314</v>
          </cell>
          <cell r="U150">
            <v>759</v>
          </cell>
          <cell r="V150">
            <v>372</v>
          </cell>
          <cell r="W150">
            <v>15</v>
          </cell>
          <cell r="X150">
            <v>221</v>
          </cell>
          <cell r="Y150">
            <v>151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798</v>
          </cell>
          <cell r="AG150">
            <v>470</v>
          </cell>
          <cell r="AH150">
            <v>148</v>
          </cell>
          <cell r="AI150">
            <v>30</v>
          </cell>
          <cell r="AJ150">
            <v>0</v>
          </cell>
          <cell r="AK150">
            <v>150</v>
          </cell>
          <cell r="AL150">
            <v>0</v>
          </cell>
          <cell r="AM150">
            <v>0</v>
          </cell>
          <cell r="AN150">
            <v>0</v>
          </cell>
          <cell r="AO150">
            <v>757</v>
          </cell>
          <cell r="AP150">
            <v>0</v>
          </cell>
          <cell r="AQ150">
            <v>0</v>
          </cell>
          <cell r="AR150">
            <v>300</v>
          </cell>
          <cell r="AS150">
            <v>0</v>
          </cell>
          <cell r="AT150">
            <v>165</v>
          </cell>
          <cell r="AU150">
            <v>0</v>
          </cell>
          <cell r="AV150">
            <v>20</v>
          </cell>
          <cell r="AW150">
            <v>0</v>
          </cell>
          <cell r="AX150">
            <v>142</v>
          </cell>
          <cell r="AY150">
            <v>71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59</v>
          </cell>
          <cell r="BG150">
            <v>0</v>
          </cell>
          <cell r="BH150">
            <v>0</v>
          </cell>
          <cell r="BI150">
            <v>0</v>
          </cell>
          <cell r="BJ150">
            <v>292551</v>
          </cell>
          <cell r="BK150">
            <v>26</v>
          </cell>
          <cell r="BL150">
            <v>292525</v>
          </cell>
        </row>
        <row r="151">
          <cell r="B151" t="str">
            <v>CPH SOL-MIXING</v>
          </cell>
          <cell r="C151">
            <v>25920</v>
          </cell>
          <cell r="D151">
            <v>8640</v>
          </cell>
          <cell r="E151">
            <v>24900</v>
          </cell>
          <cell r="F151">
            <v>7620</v>
          </cell>
          <cell r="G151">
            <v>1020</v>
          </cell>
          <cell r="H151">
            <v>1020</v>
          </cell>
          <cell r="I151">
            <v>360</v>
          </cell>
          <cell r="J151">
            <v>360</v>
          </cell>
          <cell r="K151">
            <v>360</v>
          </cell>
          <cell r="L151">
            <v>0</v>
          </cell>
          <cell r="M151">
            <v>360</v>
          </cell>
          <cell r="N151">
            <v>0</v>
          </cell>
          <cell r="O151">
            <v>660</v>
          </cell>
          <cell r="P151">
            <v>660</v>
          </cell>
          <cell r="Q151">
            <v>100</v>
          </cell>
          <cell r="R151">
            <v>100</v>
          </cell>
          <cell r="S151">
            <v>560</v>
          </cell>
          <cell r="T151">
            <v>560</v>
          </cell>
          <cell r="U151">
            <v>17</v>
          </cell>
          <cell r="V151">
            <v>6</v>
          </cell>
          <cell r="W151">
            <v>6</v>
          </cell>
          <cell r="X151">
            <v>5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333</v>
          </cell>
          <cell r="AG151">
            <v>125</v>
          </cell>
          <cell r="AH151">
            <v>145</v>
          </cell>
          <cell r="AI151">
            <v>3</v>
          </cell>
          <cell r="AJ151">
            <v>0</v>
          </cell>
          <cell r="AK151">
            <v>60</v>
          </cell>
          <cell r="AL151">
            <v>0</v>
          </cell>
          <cell r="AM151">
            <v>0</v>
          </cell>
          <cell r="AN151">
            <v>0</v>
          </cell>
          <cell r="AO151">
            <v>210</v>
          </cell>
          <cell r="AP151">
            <v>150</v>
          </cell>
          <cell r="AQ151">
            <v>0</v>
          </cell>
          <cell r="AR151">
            <v>30</v>
          </cell>
          <cell r="AS151">
            <v>0</v>
          </cell>
          <cell r="AT151">
            <v>15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15</v>
          </cell>
          <cell r="BG151">
            <v>0</v>
          </cell>
          <cell r="BH151">
            <v>0</v>
          </cell>
          <cell r="BI151">
            <v>0</v>
          </cell>
          <cell r="BJ151">
            <v>127.1</v>
          </cell>
          <cell r="BK151">
            <v>0.93</v>
          </cell>
          <cell r="BL151">
            <v>126.17</v>
          </cell>
        </row>
        <row r="152">
          <cell r="B152" t="str">
            <v>MCF101</v>
          </cell>
          <cell r="C152">
            <v>25920</v>
          </cell>
          <cell r="D152">
            <v>8640</v>
          </cell>
          <cell r="E152">
            <v>24900</v>
          </cell>
          <cell r="F152">
            <v>7620</v>
          </cell>
          <cell r="G152">
            <v>1020</v>
          </cell>
          <cell r="H152">
            <v>1020</v>
          </cell>
          <cell r="I152">
            <v>360</v>
          </cell>
          <cell r="J152">
            <v>360</v>
          </cell>
          <cell r="K152">
            <v>360</v>
          </cell>
          <cell r="L152">
            <v>0</v>
          </cell>
          <cell r="M152">
            <v>360</v>
          </cell>
          <cell r="N152">
            <v>0</v>
          </cell>
          <cell r="O152">
            <v>660</v>
          </cell>
          <cell r="P152">
            <v>660</v>
          </cell>
          <cell r="Q152">
            <v>100</v>
          </cell>
          <cell r="R152">
            <v>100</v>
          </cell>
          <cell r="S152">
            <v>560</v>
          </cell>
          <cell r="T152">
            <v>560</v>
          </cell>
          <cell r="U152">
            <v>17</v>
          </cell>
          <cell r="V152">
            <v>6</v>
          </cell>
          <cell r="W152">
            <v>6</v>
          </cell>
          <cell r="X152">
            <v>5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333</v>
          </cell>
          <cell r="AG152">
            <v>125</v>
          </cell>
          <cell r="AH152">
            <v>145</v>
          </cell>
          <cell r="AI152">
            <v>3</v>
          </cell>
          <cell r="AJ152">
            <v>0</v>
          </cell>
          <cell r="AK152">
            <v>60</v>
          </cell>
          <cell r="AL152">
            <v>0</v>
          </cell>
          <cell r="AM152">
            <v>0</v>
          </cell>
          <cell r="AN152">
            <v>0</v>
          </cell>
          <cell r="AO152">
            <v>210</v>
          </cell>
          <cell r="AP152">
            <v>150</v>
          </cell>
          <cell r="AQ152">
            <v>0</v>
          </cell>
          <cell r="AR152">
            <v>30</v>
          </cell>
          <cell r="AS152">
            <v>0</v>
          </cell>
          <cell r="AT152">
            <v>15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15</v>
          </cell>
          <cell r="BG152">
            <v>0</v>
          </cell>
          <cell r="BH152">
            <v>0</v>
          </cell>
          <cell r="BI152">
            <v>0</v>
          </cell>
          <cell r="BJ152">
            <v>127.1</v>
          </cell>
          <cell r="BK152">
            <v>0.93</v>
          </cell>
          <cell r="BL152">
            <v>126.17</v>
          </cell>
        </row>
        <row r="153">
          <cell r="B153" t="str">
            <v>CPH SOL-CAPSULE</v>
          </cell>
          <cell r="C153">
            <v>25920</v>
          </cell>
          <cell r="D153">
            <v>8640</v>
          </cell>
          <cell r="E153">
            <v>25920</v>
          </cell>
          <cell r="F153">
            <v>8640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</row>
        <row r="154">
          <cell r="B154" t="str">
            <v>KCF101</v>
          </cell>
          <cell r="C154">
            <v>25920</v>
          </cell>
          <cell r="D154">
            <v>8640</v>
          </cell>
          <cell r="E154">
            <v>25920</v>
          </cell>
          <cell r="F154">
            <v>8640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</row>
        <row r="155">
          <cell r="B155" t="str">
            <v>CPH SOL-STRIPPING</v>
          </cell>
          <cell r="C155">
            <v>25920</v>
          </cell>
          <cell r="D155">
            <v>8640</v>
          </cell>
          <cell r="E155">
            <v>25920</v>
          </cell>
          <cell r="F155">
            <v>8640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</row>
        <row r="156">
          <cell r="B156" t="str">
            <v>STC101</v>
          </cell>
          <cell r="C156">
            <v>25920</v>
          </cell>
          <cell r="D156">
            <v>8640</v>
          </cell>
          <cell r="E156">
            <v>25920</v>
          </cell>
          <cell r="F156">
            <v>8640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</row>
        <row r="157">
          <cell r="B157" t="str">
            <v>CPH SOL-POWDER FILLING</v>
          </cell>
          <cell r="C157">
            <v>25920</v>
          </cell>
          <cell r="D157">
            <v>8640</v>
          </cell>
          <cell r="E157">
            <v>24390</v>
          </cell>
          <cell r="F157">
            <v>7110</v>
          </cell>
          <cell r="G157">
            <v>1530</v>
          </cell>
          <cell r="H157">
            <v>1530</v>
          </cell>
          <cell r="I157">
            <v>60</v>
          </cell>
          <cell r="J157">
            <v>60</v>
          </cell>
          <cell r="K157">
            <v>60</v>
          </cell>
          <cell r="L157">
            <v>60</v>
          </cell>
          <cell r="M157">
            <v>0</v>
          </cell>
          <cell r="N157">
            <v>0</v>
          </cell>
          <cell r="O157">
            <v>1470</v>
          </cell>
          <cell r="P157">
            <v>1470</v>
          </cell>
          <cell r="Q157">
            <v>265</v>
          </cell>
          <cell r="R157">
            <v>265</v>
          </cell>
          <cell r="S157">
            <v>1205</v>
          </cell>
          <cell r="T157">
            <v>1205</v>
          </cell>
          <cell r="U157">
            <v>145</v>
          </cell>
          <cell r="V157">
            <v>105</v>
          </cell>
          <cell r="W157">
            <v>0</v>
          </cell>
          <cell r="X157">
            <v>40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650</v>
          </cell>
          <cell r="AG157">
            <v>255</v>
          </cell>
          <cell r="AH157">
            <v>375</v>
          </cell>
          <cell r="AI157">
            <v>0</v>
          </cell>
          <cell r="AJ157">
            <v>0</v>
          </cell>
          <cell r="AK157">
            <v>20</v>
          </cell>
          <cell r="AL157">
            <v>0</v>
          </cell>
          <cell r="AM157">
            <v>0</v>
          </cell>
          <cell r="AN157">
            <v>0</v>
          </cell>
          <cell r="AO157">
            <v>410</v>
          </cell>
          <cell r="AP157">
            <v>0</v>
          </cell>
          <cell r="AQ157">
            <v>0</v>
          </cell>
          <cell r="AR157">
            <v>90</v>
          </cell>
          <cell r="AS157">
            <v>0</v>
          </cell>
          <cell r="AT157">
            <v>60</v>
          </cell>
          <cell r="AU157">
            <v>0</v>
          </cell>
          <cell r="AV157">
            <v>0</v>
          </cell>
          <cell r="AW157">
            <v>15</v>
          </cell>
          <cell r="AX157">
            <v>30</v>
          </cell>
          <cell r="AY157">
            <v>45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50</v>
          </cell>
          <cell r="BG157">
            <v>120</v>
          </cell>
          <cell r="BH157">
            <v>0</v>
          </cell>
          <cell r="BI157">
            <v>0</v>
          </cell>
          <cell r="BJ157">
            <v>7924</v>
          </cell>
          <cell r="BK157">
            <v>70</v>
          </cell>
          <cell r="BL157">
            <v>7854</v>
          </cell>
        </row>
        <row r="158">
          <cell r="B158" t="str">
            <v>SCF102</v>
          </cell>
          <cell r="C158">
            <v>25920</v>
          </cell>
          <cell r="D158">
            <v>8640</v>
          </cell>
          <cell r="E158">
            <v>24390</v>
          </cell>
          <cell r="F158">
            <v>7110</v>
          </cell>
          <cell r="G158">
            <v>1530</v>
          </cell>
          <cell r="H158">
            <v>1530</v>
          </cell>
          <cell r="I158">
            <v>60</v>
          </cell>
          <cell r="J158">
            <v>60</v>
          </cell>
          <cell r="K158">
            <v>60</v>
          </cell>
          <cell r="L158">
            <v>60</v>
          </cell>
          <cell r="M158">
            <v>0</v>
          </cell>
          <cell r="N158">
            <v>0</v>
          </cell>
          <cell r="O158">
            <v>1470</v>
          </cell>
          <cell r="P158">
            <v>1470</v>
          </cell>
          <cell r="Q158">
            <v>265</v>
          </cell>
          <cell r="R158">
            <v>265</v>
          </cell>
          <cell r="S158">
            <v>1205</v>
          </cell>
          <cell r="T158">
            <v>1205</v>
          </cell>
          <cell r="U158">
            <v>145</v>
          </cell>
          <cell r="V158">
            <v>105</v>
          </cell>
          <cell r="W158">
            <v>0</v>
          </cell>
          <cell r="X158">
            <v>40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650</v>
          </cell>
          <cell r="AG158">
            <v>255</v>
          </cell>
          <cell r="AH158">
            <v>375</v>
          </cell>
          <cell r="AI158">
            <v>0</v>
          </cell>
          <cell r="AJ158">
            <v>0</v>
          </cell>
          <cell r="AK158">
            <v>20</v>
          </cell>
          <cell r="AL158">
            <v>0</v>
          </cell>
          <cell r="AM158">
            <v>0</v>
          </cell>
          <cell r="AN158">
            <v>0</v>
          </cell>
          <cell r="AO158">
            <v>410</v>
          </cell>
          <cell r="AP158">
            <v>0</v>
          </cell>
          <cell r="AQ158">
            <v>0</v>
          </cell>
          <cell r="AR158">
            <v>90</v>
          </cell>
          <cell r="AS158">
            <v>0</v>
          </cell>
          <cell r="AT158">
            <v>60</v>
          </cell>
          <cell r="AU158">
            <v>0</v>
          </cell>
          <cell r="AV158">
            <v>0</v>
          </cell>
          <cell r="AW158">
            <v>15</v>
          </cell>
          <cell r="AX158">
            <v>30</v>
          </cell>
          <cell r="AY158">
            <v>45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50</v>
          </cell>
          <cell r="BG158">
            <v>120</v>
          </cell>
          <cell r="BH158">
            <v>0</v>
          </cell>
          <cell r="BI158">
            <v>0</v>
          </cell>
          <cell r="BJ158">
            <v>7924</v>
          </cell>
          <cell r="BK158">
            <v>70</v>
          </cell>
          <cell r="BL158">
            <v>7854</v>
          </cell>
        </row>
        <row r="159">
          <cell r="B159" t="str">
            <v>CPH INJ-FILLING</v>
          </cell>
          <cell r="C159">
            <v>25920</v>
          </cell>
          <cell r="D159">
            <v>16740</v>
          </cell>
          <cell r="E159">
            <v>18480</v>
          </cell>
          <cell r="F159">
            <v>9300</v>
          </cell>
          <cell r="G159">
            <v>7440</v>
          </cell>
          <cell r="H159">
            <v>7440</v>
          </cell>
          <cell r="I159">
            <v>815</v>
          </cell>
          <cell r="J159">
            <v>815</v>
          </cell>
          <cell r="K159">
            <v>815</v>
          </cell>
          <cell r="L159">
            <v>0</v>
          </cell>
          <cell r="M159">
            <v>815</v>
          </cell>
          <cell r="N159">
            <v>0</v>
          </cell>
          <cell r="O159">
            <v>6625</v>
          </cell>
          <cell r="P159">
            <v>6625</v>
          </cell>
          <cell r="Q159">
            <v>2326</v>
          </cell>
          <cell r="R159">
            <v>2326</v>
          </cell>
          <cell r="S159">
            <v>4299</v>
          </cell>
          <cell r="T159">
            <v>4299</v>
          </cell>
          <cell r="U159">
            <v>594</v>
          </cell>
          <cell r="V159">
            <v>472</v>
          </cell>
          <cell r="W159">
            <v>0</v>
          </cell>
          <cell r="X159">
            <v>108</v>
          </cell>
          <cell r="Y159">
            <v>14</v>
          </cell>
          <cell r="Z159">
            <v>10</v>
          </cell>
          <cell r="AA159">
            <v>0</v>
          </cell>
          <cell r="AB159">
            <v>10</v>
          </cell>
          <cell r="AC159">
            <v>0</v>
          </cell>
          <cell r="AD159">
            <v>0</v>
          </cell>
          <cell r="AE159">
            <v>0</v>
          </cell>
          <cell r="AF159">
            <v>1927</v>
          </cell>
          <cell r="AG159">
            <v>683</v>
          </cell>
          <cell r="AH159">
            <v>1244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1768</v>
          </cell>
          <cell r="AP159">
            <v>0</v>
          </cell>
          <cell r="AQ159">
            <v>0</v>
          </cell>
          <cell r="AR159">
            <v>532</v>
          </cell>
          <cell r="AS159">
            <v>28</v>
          </cell>
          <cell r="AT159">
            <v>450</v>
          </cell>
          <cell r="AU159">
            <v>0</v>
          </cell>
          <cell r="AV159">
            <v>10</v>
          </cell>
          <cell r="AW159">
            <v>115</v>
          </cell>
          <cell r="AX159">
            <v>0</v>
          </cell>
          <cell r="AY159">
            <v>85</v>
          </cell>
          <cell r="AZ159">
            <v>0</v>
          </cell>
          <cell r="BA159">
            <v>0</v>
          </cell>
          <cell r="BB159">
            <v>491</v>
          </cell>
          <cell r="BC159">
            <v>0</v>
          </cell>
          <cell r="BD159">
            <v>0</v>
          </cell>
          <cell r="BE159">
            <v>0</v>
          </cell>
          <cell r="BF159">
            <v>57</v>
          </cell>
          <cell r="BG159">
            <v>0</v>
          </cell>
          <cell r="BH159">
            <v>0</v>
          </cell>
          <cell r="BI159">
            <v>0</v>
          </cell>
          <cell r="BJ159">
            <v>372280</v>
          </cell>
          <cell r="BK159">
            <v>0</v>
          </cell>
          <cell r="BL159">
            <v>372280</v>
          </cell>
        </row>
        <row r="160">
          <cell r="B160" t="str">
            <v>GINLINE6</v>
          </cell>
          <cell r="C160">
            <v>25920</v>
          </cell>
          <cell r="D160">
            <v>16740</v>
          </cell>
          <cell r="E160">
            <v>18480</v>
          </cell>
          <cell r="F160">
            <v>9300</v>
          </cell>
          <cell r="G160">
            <v>7440</v>
          </cell>
          <cell r="H160">
            <v>7440</v>
          </cell>
          <cell r="I160">
            <v>815</v>
          </cell>
          <cell r="J160">
            <v>815</v>
          </cell>
          <cell r="K160">
            <v>815</v>
          </cell>
          <cell r="L160">
            <v>0</v>
          </cell>
          <cell r="M160">
            <v>815</v>
          </cell>
          <cell r="N160">
            <v>0</v>
          </cell>
          <cell r="O160">
            <v>6625</v>
          </cell>
          <cell r="P160">
            <v>6625</v>
          </cell>
          <cell r="Q160">
            <v>2326</v>
          </cell>
          <cell r="R160">
            <v>2326</v>
          </cell>
          <cell r="S160">
            <v>4299</v>
          </cell>
          <cell r="T160">
            <v>4299</v>
          </cell>
          <cell r="U160">
            <v>594</v>
          </cell>
          <cell r="V160">
            <v>472</v>
          </cell>
          <cell r="W160">
            <v>0</v>
          </cell>
          <cell r="X160">
            <v>108</v>
          </cell>
          <cell r="Y160">
            <v>14</v>
          </cell>
          <cell r="Z160">
            <v>10</v>
          </cell>
          <cell r="AA160">
            <v>0</v>
          </cell>
          <cell r="AB160">
            <v>10</v>
          </cell>
          <cell r="AC160">
            <v>0</v>
          </cell>
          <cell r="AD160">
            <v>0</v>
          </cell>
          <cell r="AE160">
            <v>0</v>
          </cell>
          <cell r="AF160">
            <v>1927</v>
          </cell>
          <cell r="AG160">
            <v>683</v>
          </cell>
          <cell r="AH160">
            <v>1244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1768</v>
          </cell>
          <cell r="AP160">
            <v>0</v>
          </cell>
          <cell r="AQ160">
            <v>0</v>
          </cell>
          <cell r="AR160">
            <v>532</v>
          </cell>
          <cell r="AS160">
            <v>28</v>
          </cell>
          <cell r="AT160">
            <v>450</v>
          </cell>
          <cell r="AU160">
            <v>0</v>
          </cell>
          <cell r="AV160">
            <v>10</v>
          </cell>
          <cell r="AW160">
            <v>115</v>
          </cell>
          <cell r="AX160">
            <v>0</v>
          </cell>
          <cell r="AY160">
            <v>85</v>
          </cell>
          <cell r="AZ160">
            <v>0</v>
          </cell>
          <cell r="BA160">
            <v>0</v>
          </cell>
          <cell r="BB160">
            <v>491</v>
          </cell>
          <cell r="BC160">
            <v>0</v>
          </cell>
          <cell r="BD160">
            <v>0</v>
          </cell>
          <cell r="BE160">
            <v>0</v>
          </cell>
          <cell r="BF160">
            <v>57</v>
          </cell>
          <cell r="BG160">
            <v>0</v>
          </cell>
          <cell r="BH160">
            <v>0</v>
          </cell>
          <cell r="BI160">
            <v>0</v>
          </cell>
          <cell r="BJ160">
            <v>372280</v>
          </cell>
          <cell r="BK160">
            <v>0</v>
          </cell>
          <cell r="BL160">
            <v>372280</v>
          </cell>
        </row>
        <row r="161">
          <cell r="B161" t="str">
            <v>CPH INJ-STERILIZATION</v>
          </cell>
          <cell r="C161">
            <v>51840</v>
          </cell>
          <cell r="D161">
            <v>33480</v>
          </cell>
          <cell r="E161">
            <v>35004</v>
          </cell>
          <cell r="F161">
            <v>16644</v>
          </cell>
          <cell r="G161">
            <v>16836</v>
          </cell>
          <cell r="H161">
            <v>16836</v>
          </cell>
          <cell r="I161">
            <v>2641</v>
          </cell>
          <cell r="J161">
            <v>2641</v>
          </cell>
          <cell r="K161">
            <v>2641</v>
          </cell>
          <cell r="L161">
            <v>288</v>
          </cell>
          <cell r="M161">
            <v>2353</v>
          </cell>
          <cell r="N161">
            <v>0</v>
          </cell>
          <cell r="O161">
            <v>14195</v>
          </cell>
          <cell r="P161">
            <v>14195</v>
          </cell>
          <cell r="Q161">
            <v>6905</v>
          </cell>
          <cell r="R161">
            <v>6905</v>
          </cell>
          <cell r="S161">
            <v>7290</v>
          </cell>
          <cell r="T161">
            <v>7290</v>
          </cell>
          <cell r="U161">
            <v>655</v>
          </cell>
          <cell r="V161">
            <v>435</v>
          </cell>
          <cell r="W161">
            <v>0</v>
          </cell>
          <cell r="X161">
            <v>220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5457</v>
          </cell>
          <cell r="AG161">
            <v>4441</v>
          </cell>
          <cell r="AH161">
            <v>765</v>
          </cell>
          <cell r="AI161">
            <v>251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1178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80</v>
          </cell>
          <cell r="AX161">
            <v>1098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652</v>
          </cell>
          <cell r="BK161">
            <v>0</v>
          </cell>
          <cell r="BL161">
            <v>652</v>
          </cell>
        </row>
        <row r="162">
          <cell r="B162" t="str">
            <v>ICF104</v>
          </cell>
          <cell r="C162">
            <v>25920</v>
          </cell>
          <cell r="D162">
            <v>16740</v>
          </cell>
          <cell r="E162">
            <v>17484</v>
          </cell>
          <cell r="F162">
            <v>8304</v>
          </cell>
          <cell r="G162">
            <v>8436</v>
          </cell>
          <cell r="H162">
            <v>8436</v>
          </cell>
          <cell r="I162">
            <v>966</v>
          </cell>
          <cell r="J162">
            <v>966</v>
          </cell>
          <cell r="K162">
            <v>966</v>
          </cell>
          <cell r="L162">
            <v>288</v>
          </cell>
          <cell r="M162">
            <v>678</v>
          </cell>
          <cell r="N162">
            <v>0</v>
          </cell>
          <cell r="O162">
            <v>7470</v>
          </cell>
          <cell r="P162">
            <v>7470</v>
          </cell>
          <cell r="Q162">
            <v>3603</v>
          </cell>
          <cell r="R162">
            <v>3603</v>
          </cell>
          <cell r="S162">
            <v>3867</v>
          </cell>
          <cell r="T162">
            <v>3867</v>
          </cell>
          <cell r="U162">
            <v>312</v>
          </cell>
          <cell r="V162">
            <v>227</v>
          </cell>
          <cell r="W162">
            <v>0</v>
          </cell>
          <cell r="X162">
            <v>85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3276</v>
          </cell>
          <cell r="AG162">
            <v>2684</v>
          </cell>
          <cell r="AH162">
            <v>341</v>
          </cell>
          <cell r="AI162">
            <v>251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279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55</v>
          </cell>
          <cell r="AX162">
            <v>224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388</v>
          </cell>
          <cell r="BK162">
            <v>0</v>
          </cell>
          <cell r="BL162">
            <v>388</v>
          </cell>
        </row>
        <row r="163">
          <cell r="B163" t="str">
            <v>ICF105</v>
          </cell>
          <cell r="C163">
            <v>25920</v>
          </cell>
          <cell r="D163">
            <v>16740</v>
          </cell>
          <cell r="E163">
            <v>17520</v>
          </cell>
          <cell r="F163">
            <v>8340</v>
          </cell>
          <cell r="G163">
            <v>8400</v>
          </cell>
          <cell r="H163">
            <v>8400</v>
          </cell>
          <cell r="I163">
            <v>1675</v>
          </cell>
          <cell r="J163">
            <v>1675</v>
          </cell>
          <cell r="K163">
            <v>1675</v>
          </cell>
          <cell r="L163">
            <v>0</v>
          </cell>
          <cell r="M163">
            <v>1675</v>
          </cell>
          <cell r="N163">
            <v>0</v>
          </cell>
          <cell r="O163">
            <v>6725</v>
          </cell>
          <cell r="P163">
            <v>6725</v>
          </cell>
          <cell r="Q163">
            <v>3302</v>
          </cell>
          <cell r="R163">
            <v>3302</v>
          </cell>
          <cell r="S163">
            <v>3423</v>
          </cell>
          <cell r="T163">
            <v>3423</v>
          </cell>
          <cell r="U163">
            <v>343</v>
          </cell>
          <cell r="V163">
            <v>208</v>
          </cell>
          <cell r="W163">
            <v>0</v>
          </cell>
          <cell r="X163">
            <v>135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2181</v>
          </cell>
          <cell r="AG163">
            <v>1757</v>
          </cell>
          <cell r="AH163">
            <v>424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899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25</v>
          </cell>
          <cell r="AX163">
            <v>874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264</v>
          </cell>
          <cell r="BK163">
            <v>0</v>
          </cell>
          <cell r="BL163">
            <v>264</v>
          </cell>
        </row>
        <row r="164">
          <cell r="B164" t="str">
            <v>CPH-SECONDARY PACKING</v>
          </cell>
          <cell r="C164">
            <v>51840</v>
          </cell>
          <cell r="D164">
            <v>17280</v>
          </cell>
          <cell r="E164">
            <v>32790</v>
          </cell>
          <cell r="F164">
            <v>-1770</v>
          </cell>
          <cell r="G164">
            <v>19050</v>
          </cell>
          <cell r="H164">
            <v>19050</v>
          </cell>
          <cell r="I164">
            <v>2715</v>
          </cell>
          <cell r="J164">
            <v>2715</v>
          </cell>
          <cell r="K164">
            <v>2715</v>
          </cell>
          <cell r="L164">
            <v>280</v>
          </cell>
          <cell r="M164">
            <v>2435</v>
          </cell>
          <cell r="N164">
            <v>0</v>
          </cell>
          <cell r="O164">
            <v>16335</v>
          </cell>
          <cell r="P164">
            <v>16335</v>
          </cell>
          <cell r="Q164">
            <v>6631</v>
          </cell>
          <cell r="R164">
            <v>6631</v>
          </cell>
          <cell r="S164">
            <v>9704</v>
          </cell>
          <cell r="T164">
            <v>9704</v>
          </cell>
          <cell r="U164">
            <v>3458</v>
          </cell>
          <cell r="V164">
            <v>1187</v>
          </cell>
          <cell r="W164">
            <v>120</v>
          </cell>
          <cell r="X164">
            <v>803</v>
          </cell>
          <cell r="Y164">
            <v>1348</v>
          </cell>
          <cell r="Z164">
            <v>70</v>
          </cell>
          <cell r="AA164">
            <v>20</v>
          </cell>
          <cell r="AB164">
            <v>50</v>
          </cell>
          <cell r="AC164">
            <v>0</v>
          </cell>
          <cell r="AD164">
            <v>0</v>
          </cell>
          <cell r="AE164">
            <v>0</v>
          </cell>
          <cell r="AF164">
            <v>2129</v>
          </cell>
          <cell r="AG164">
            <v>712</v>
          </cell>
          <cell r="AH164">
            <v>459</v>
          </cell>
          <cell r="AI164">
            <v>530</v>
          </cell>
          <cell r="AJ164">
            <v>0</v>
          </cell>
          <cell r="AK164">
            <v>428</v>
          </cell>
          <cell r="AL164">
            <v>0</v>
          </cell>
          <cell r="AM164">
            <v>0</v>
          </cell>
          <cell r="AN164">
            <v>0</v>
          </cell>
          <cell r="AO164">
            <v>4047</v>
          </cell>
          <cell r="AP164">
            <v>155</v>
          </cell>
          <cell r="AQ164">
            <v>0</v>
          </cell>
          <cell r="AR164">
            <v>1080</v>
          </cell>
          <cell r="AS164">
            <v>0</v>
          </cell>
          <cell r="AT164">
            <v>675</v>
          </cell>
          <cell r="AU164">
            <v>0</v>
          </cell>
          <cell r="AV164">
            <v>20</v>
          </cell>
          <cell r="AW164">
            <v>0</v>
          </cell>
          <cell r="AX164">
            <v>380</v>
          </cell>
          <cell r="AY164">
            <v>1147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590</v>
          </cell>
          <cell r="BG164">
            <v>0</v>
          </cell>
          <cell r="BH164">
            <v>0</v>
          </cell>
          <cell r="BI164">
            <v>0</v>
          </cell>
          <cell r="BJ164">
            <v>840241</v>
          </cell>
          <cell r="BK164">
            <v>317</v>
          </cell>
          <cell r="BL164">
            <v>839924</v>
          </cell>
        </row>
        <row r="165">
          <cell r="B165" t="str">
            <v>PCF101</v>
          </cell>
          <cell r="C165">
            <v>25920</v>
          </cell>
          <cell r="D165">
            <v>8640</v>
          </cell>
          <cell r="E165">
            <v>13500</v>
          </cell>
          <cell r="F165">
            <v>-3780</v>
          </cell>
          <cell r="G165">
            <v>12420</v>
          </cell>
          <cell r="H165">
            <v>12420</v>
          </cell>
          <cell r="I165">
            <v>590</v>
          </cell>
          <cell r="J165">
            <v>590</v>
          </cell>
          <cell r="K165">
            <v>590</v>
          </cell>
          <cell r="L165">
            <v>140</v>
          </cell>
          <cell r="M165">
            <v>450</v>
          </cell>
          <cell r="N165">
            <v>0</v>
          </cell>
          <cell r="O165">
            <v>11830</v>
          </cell>
          <cell r="P165">
            <v>11830</v>
          </cell>
          <cell r="Q165">
            <v>4206</v>
          </cell>
          <cell r="R165">
            <v>4206</v>
          </cell>
          <cell r="S165">
            <v>7624</v>
          </cell>
          <cell r="T165">
            <v>7624</v>
          </cell>
          <cell r="U165">
            <v>2975</v>
          </cell>
          <cell r="V165">
            <v>759</v>
          </cell>
          <cell r="W165">
            <v>120</v>
          </cell>
          <cell r="X165">
            <v>748</v>
          </cell>
          <cell r="Y165">
            <v>1348</v>
          </cell>
          <cell r="Z165">
            <v>20</v>
          </cell>
          <cell r="AA165">
            <v>20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1574</v>
          </cell>
          <cell r="AG165">
            <v>657</v>
          </cell>
          <cell r="AH165">
            <v>379</v>
          </cell>
          <cell r="AI165">
            <v>490</v>
          </cell>
          <cell r="AJ165">
            <v>0</v>
          </cell>
          <cell r="AK165">
            <v>48</v>
          </cell>
          <cell r="AL165">
            <v>0</v>
          </cell>
          <cell r="AM165">
            <v>0</v>
          </cell>
          <cell r="AN165">
            <v>0</v>
          </cell>
          <cell r="AO165">
            <v>3055</v>
          </cell>
          <cell r="AP165">
            <v>0</v>
          </cell>
          <cell r="AQ165">
            <v>0</v>
          </cell>
          <cell r="AR165">
            <v>780</v>
          </cell>
          <cell r="AS165">
            <v>0</v>
          </cell>
          <cell r="AT165">
            <v>525</v>
          </cell>
          <cell r="AU165">
            <v>0</v>
          </cell>
          <cell r="AV165">
            <v>0</v>
          </cell>
          <cell r="AW165">
            <v>0</v>
          </cell>
          <cell r="AX165">
            <v>380</v>
          </cell>
          <cell r="AY165">
            <v>1025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345</v>
          </cell>
          <cell r="BG165">
            <v>0</v>
          </cell>
          <cell r="BH165">
            <v>0</v>
          </cell>
          <cell r="BI165">
            <v>0</v>
          </cell>
          <cell r="BJ165">
            <v>769681</v>
          </cell>
          <cell r="BK165">
            <v>95</v>
          </cell>
          <cell r="BL165">
            <v>769586</v>
          </cell>
        </row>
        <row r="166">
          <cell r="B166" t="str">
            <v>PCF102</v>
          </cell>
          <cell r="C166">
            <v>25920</v>
          </cell>
          <cell r="D166">
            <v>8640</v>
          </cell>
          <cell r="E166">
            <v>19290</v>
          </cell>
          <cell r="F166">
            <v>2010</v>
          </cell>
          <cell r="G166">
            <v>6630</v>
          </cell>
          <cell r="H166">
            <v>6630</v>
          </cell>
          <cell r="I166">
            <v>2125</v>
          </cell>
          <cell r="J166">
            <v>2125</v>
          </cell>
          <cell r="K166">
            <v>2125</v>
          </cell>
          <cell r="L166">
            <v>140</v>
          </cell>
          <cell r="M166">
            <v>1985</v>
          </cell>
          <cell r="N166">
            <v>0</v>
          </cell>
          <cell r="O166">
            <v>4505</v>
          </cell>
          <cell r="P166">
            <v>4505</v>
          </cell>
          <cell r="Q166">
            <v>2425</v>
          </cell>
          <cell r="R166">
            <v>2425</v>
          </cell>
          <cell r="S166">
            <v>2080</v>
          </cell>
          <cell r="T166">
            <v>2080</v>
          </cell>
          <cell r="U166">
            <v>483</v>
          </cell>
          <cell r="V166">
            <v>428</v>
          </cell>
          <cell r="W166">
            <v>0</v>
          </cell>
          <cell r="X166">
            <v>55</v>
          </cell>
          <cell r="Y166">
            <v>0</v>
          </cell>
          <cell r="Z166">
            <v>50</v>
          </cell>
          <cell r="AA166">
            <v>0</v>
          </cell>
          <cell r="AB166">
            <v>50</v>
          </cell>
          <cell r="AC166">
            <v>0</v>
          </cell>
          <cell r="AD166">
            <v>0</v>
          </cell>
          <cell r="AE166">
            <v>0</v>
          </cell>
          <cell r="AF166">
            <v>555</v>
          </cell>
          <cell r="AG166">
            <v>55</v>
          </cell>
          <cell r="AH166">
            <v>80</v>
          </cell>
          <cell r="AI166">
            <v>40</v>
          </cell>
          <cell r="AJ166">
            <v>0</v>
          </cell>
          <cell r="AK166">
            <v>380</v>
          </cell>
          <cell r="AL166">
            <v>0</v>
          </cell>
          <cell r="AM166">
            <v>0</v>
          </cell>
          <cell r="AN166">
            <v>0</v>
          </cell>
          <cell r="AO166">
            <v>992</v>
          </cell>
          <cell r="AP166">
            <v>155</v>
          </cell>
          <cell r="AQ166">
            <v>0</v>
          </cell>
          <cell r="AR166">
            <v>300</v>
          </cell>
          <cell r="AS166">
            <v>0</v>
          </cell>
          <cell r="AT166">
            <v>150</v>
          </cell>
          <cell r="AU166">
            <v>0</v>
          </cell>
          <cell r="AV166">
            <v>20</v>
          </cell>
          <cell r="AW166">
            <v>0</v>
          </cell>
          <cell r="AX166">
            <v>0</v>
          </cell>
          <cell r="AY166">
            <v>122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245</v>
          </cell>
          <cell r="BG166">
            <v>0</v>
          </cell>
          <cell r="BH166">
            <v>0</v>
          </cell>
          <cell r="BI166">
            <v>0</v>
          </cell>
          <cell r="BJ166">
            <v>70560</v>
          </cell>
          <cell r="BK166">
            <v>222</v>
          </cell>
          <cell r="BL166">
            <v>70338</v>
          </cell>
        </row>
      </sheetData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BEC4F-05EA-4D03-B4C7-EA74C78E45E2}">
  <dimension ref="A1:BF58"/>
  <sheetViews>
    <sheetView workbookViewId="0">
      <selection activeCell="I9" sqref="I9"/>
    </sheetView>
  </sheetViews>
  <sheetFormatPr defaultRowHeight="15" x14ac:dyDescent="0.25"/>
  <cols>
    <col min="1" max="1" width="21.42578125" customWidth="1"/>
  </cols>
  <sheetData>
    <row r="1" spans="1:58" ht="60" x14ac:dyDescent="0.25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8" t="s">
        <v>55</v>
      </c>
      <c r="BE1" s="8" t="s">
        <v>56</v>
      </c>
      <c r="BF1" s="8" t="s">
        <v>57</v>
      </c>
    </row>
    <row r="2" spans="1:58" x14ac:dyDescent="0.25">
      <c r="A2" s="9" t="s">
        <v>58</v>
      </c>
      <c r="B2" s="10">
        <f ca="1">VLOOKUP($B2,'[1]Analisys QBR By Machine Report'!$C$109:$BD$166,2,FALSE)</f>
        <v>77760</v>
      </c>
      <c r="C2" s="11">
        <f ca="1">VLOOKUP($B2,[1]Dasboard_QBR_Report!$B$109:$BL$166,3,FALSE)</f>
        <v>50220</v>
      </c>
      <c r="D2" s="10">
        <f ca="1">VLOOKUP($B2,'[1]Analisys QBR By Machine Report'!$C$109:$BD$166,3,FALSE)</f>
        <v>46980</v>
      </c>
      <c r="E2" s="11">
        <f ca="1">VLOOKUP($B2,[1]Dasboard_QBR_Report!$B$109:$BL$166,5,FALSE)</f>
        <v>19440</v>
      </c>
      <c r="F2" s="10">
        <f t="shared" ref="F2:F58" ca="1" si="0">SUM(G2,L2)</f>
        <v>30780</v>
      </c>
      <c r="G2" s="10">
        <f t="shared" ref="G2:G58" ca="1" si="1">SUM($I2,$L2)</f>
        <v>2895</v>
      </c>
      <c r="H2" s="10">
        <f ca="1">VLOOKUP($B2,'[1]Analisys QBR By Machine Report'!$C$109:$BD$166,4,FALSE)</f>
        <v>2895</v>
      </c>
      <c r="I2" s="10">
        <f ca="1">VLOOKUP($B2,'[1]Analisys QBR By Machine Report'!$C$109:$BD$166,5,FALSE)</f>
        <v>815</v>
      </c>
      <c r="J2" s="10">
        <f ca="1">VLOOKUP($B2,'[1]Analisys QBR By Machine Report'!$C$109:$BD$166,6,FALSE)</f>
        <v>2080</v>
      </c>
      <c r="K2" s="10">
        <f ca="1">VLOOKUP($B2,'[1]Analisys QBR By Machine Report'!$C$109:$BD$166,7,FALSE)</f>
        <v>0</v>
      </c>
      <c r="L2" s="10">
        <f ca="1">VLOOKUP($B2,'[1]Analisys QBR By Machine Report'!$C$109:$BD$166,8,FALSE)</f>
        <v>27885</v>
      </c>
      <c r="M2" s="10">
        <f ca="1">VLOOKUP($B2,'[1]Analisys QBR By Machine Report'!$C$109:$BD$166,9,FALSE)</f>
        <v>4643</v>
      </c>
      <c r="N2" s="10">
        <f ca="1">VLOOKUP($B2,[1]Dasboard_QBR_Report!$B$109:$BL$166,18,FALSE)</f>
        <v>23242</v>
      </c>
      <c r="O2" s="10">
        <f ca="1">VLOOKUP($B2,'[1]Analisys QBR By Machine Report'!$C$109:$BD$166,10,FALSE)</f>
        <v>767</v>
      </c>
      <c r="P2" s="10">
        <f ca="1">VLOOKUP($B2,'[1]Analisys QBR By Machine Report'!$C$109:$BD$166,11,FALSE)</f>
        <v>753</v>
      </c>
      <c r="Q2" s="10">
        <f ca="1">VLOOKUP($B2,'[1]Analisys QBR By Machine Report'!$C$109:$BD$166,12,FALSE)</f>
        <v>0</v>
      </c>
      <c r="R2" s="10">
        <f ca="1">VLOOKUP($B2,'[1]Analisys QBR By Machine Report'!$C$109:$BD$166,13,FALSE)</f>
        <v>14</v>
      </c>
      <c r="S2" s="10">
        <f ca="1">VLOOKUP($B2,'[1]Analisys QBR By Machine Report'!$C$109:$BD$166,14,FALSE)</f>
        <v>0</v>
      </c>
      <c r="T2" s="10">
        <f ca="1">VLOOKUP($B2,'[1]Analisys QBR By Machine Report'!$C$109:$BD$166,15,FALSE)</f>
        <v>355</v>
      </c>
      <c r="U2" s="10">
        <f ca="1">VLOOKUP($B2,'[1]Analisys QBR By Machine Report'!$C$109:$BD$166,16,FALSE)</f>
        <v>105</v>
      </c>
      <c r="V2" s="10">
        <f ca="1">VLOOKUP($B2,'[1]Analisys QBR By Machine Report'!$C$109:$BD$166,17,FALSE)</f>
        <v>0</v>
      </c>
      <c r="W2" s="10">
        <f ca="1">VLOOKUP($B2,'[1]Analisys QBR By Machine Report'!$C$109:$BD$166,18,FALSE)</f>
        <v>0</v>
      </c>
      <c r="X2" s="10">
        <f ca="1">VLOOKUP($B2,'[1]Analisys QBR By Machine Report'!$C$109:$BD$166,19,FALSE)</f>
        <v>250</v>
      </c>
      <c r="Y2" s="10">
        <f ca="1">VLOOKUP($B2,'[1]Analisys QBR By Machine Report'!$C$109:$BD$166,20,FALSE)</f>
        <v>0</v>
      </c>
      <c r="Z2" s="10">
        <f ca="1">VLOOKUP($B2,'[1]Analisys QBR By Machine Report'!$C$109:$BD$166,21,FALSE)</f>
        <v>10871</v>
      </c>
      <c r="AA2" s="10">
        <f ca="1">VLOOKUP($B2,'[1]Analisys QBR By Machine Report'!$C$109:$BD$166,22,FALSE)</f>
        <v>6900</v>
      </c>
      <c r="AB2" s="10">
        <f ca="1">VLOOKUP($B2,'[1]Analisys QBR By Machine Report'!$C$109:$BD$166,23,FALSE)</f>
        <v>3441</v>
      </c>
      <c r="AC2" s="10">
        <f ca="1">VLOOKUP($B2,'[1]Analisys QBR By Machine Report'!$C$109:$BD$166,24,FALSE)</f>
        <v>16</v>
      </c>
      <c r="AD2" s="10">
        <f ca="1">VLOOKUP($B2,'[1]Analisys QBR By Machine Report'!$C$109:$BD$166,25,FALSE)</f>
        <v>0</v>
      </c>
      <c r="AE2" s="10">
        <f ca="1">VLOOKUP($B2,'[1]Analisys QBR By Machine Report'!$C$109:$BD$166,26,FALSE)</f>
        <v>514</v>
      </c>
      <c r="AF2" s="10">
        <f ca="1">VLOOKUP($B2,'[1]Analisys QBR By Machine Report'!$C$109:$BD$166,27,FALSE)</f>
        <v>670</v>
      </c>
      <c r="AG2" s="10">
        <f ca="1">VLOOKUP($B2,'[1]Analisys QBR By Machine Report'!$C$109:$BD$166,28,FALSE)</f>
        <v>120</v>
      </c>
      <c r="AH2" s="10">
        <f ca="1">VLOOKUP($B2,'[1]Analisys QBR By Machine Report'!$C$109:$BD$166,29,FALSE)</f>
        <v>550</v>
      </c>
      <c r="AI2" s="10">
        <f ca="1">VLOOKUP($B2,'[1]Analisys QBR By Machine Report'!$C$109:$BD$166,30,FALSE)</f>
        <v>10579</v>
      </c>
      <c r="AJ2" s="10">
        <f ca="1">VLOOKUP($B2,'[1]Analisys QBR By Machine Report'!$C$109:$BD$166,31,FALSE)</f>
        <v>111</v>
      </c>
      <c r="AK2" s="10">
        <f ca="1">VLOOKUP($B2,'[1]Analisys QBR By Machine Report'!$C$109:$BD$166,32,FALSE)</f>
        <v>0</v>
      </c>
      <c r="AL2" s="10">
        <f ca="1">VLOOKUP($B2,'[1]Analisys QBR By Machine Report'!$C$109:$BD$166,33,FALSE)</f>
        <v>1607</v>
      </c>
      <c r="AM2" s="10">
        <f ca="1">VLOOKUP($B2,'[1]Analisys QBR By Machine Report'!$C$109:$BD$166,34,FALSE)</f>
        <v>0</v>
      </c>
      <c r="AN2" s="10">
        <f ca="1">VLOOKUP($B2,'[1]Analisys QBR By Machine Report'!$C$109:$BD$166,35,FALSE)</f>
        <v>1400</v>
      </c>
      <c r="AO2" s="10">
        <f ca="1">VLOOKUP($B2,'[1]Analisys QBR By Machine Report'!$C$109:$BD$166,36,FALSE)</f>
        <v>0</v>
      </c>
      <c r="AP2" s="10">
        <f ca="1">VLOOKUP($B2,'[1]Analisys QBR By Machine Report'!$C$109:$BD$166,37,FALSE)</f>
        <v>0</v>
      </c>
      <c r="AQ2" s="10">
        <f ca="1">VLOOKUP($B2,'[1]Analisys QBR By Machine Report'!$C$109:$BD$166,38,FALSE)</f>
        <v>0</v>
      </c>
      <c r="AR2" s="10">
        <f ca="1">VLOOKUP($B2,'[1]Analisys QBR By Machine Report'!$C$109:$BD$166,39,FALSE)</f>
        <v>6416</v>
      </c>
      <c r="AS2" s="10">
        <f ca="1">VLOOKUP($B2,'[1]Analisys QBR By Machine Report'!$C$109:$BD$166,40,FALSE)</f>
        <v>69</v>
      </c>
      <c r="AT2" s="10">
        <f ca="1">VLOOKUP($B2,'[1]Analisys QBR By Machine Report'!$C$109:$BD$166,41,FALSE)</f>
        <v>0</v>
      </c>
      <c r="AU2" s="10">
        <f ca="1">VLOOKUP($B2,'[1]Analisys QBR By Machine Report'!$C$109:$BD$166,42,FALSE)</f>
        <v>670</v>
      </c>
      <c r="AV2" s="10">
        <f ca="1">VLOOKUP($B2,'[1]Analisys QBR By Machine Report'!$C$109:$BD$166,43,FALSE)</f>
        <v>0</v>
      </c>
      <c r="AW2" s="10">
        <f ca="1">VLOOKUP($B2,'[1]Analisys QBR By Machine Report'!$C$109:$BD$166,44,FALSE)</f>
        <v>0</v>
      </c>
      <c r="AX2" s="10">
        <f ca="1">VLOOKUP($B2,'[1]Analisys QBR By Machine Report'!$C$109:$BD$166,45,FALSE)</f>
        <v>0</v>
      </c>
      <c r="AY2" s="10">
        <f ca="1">VLOOKUP($B2,'[1]Analisys QBR By Machine Report'!$C$109:$BD$166,46,FALSE)</f>
        <v>0</v>
      </c>
      <c r="AZ2" s="10">
        <f ca="1">VLOOKUP($B2,'[1]Analisys QBR By Machine Report'!$C$109:$BD$166,47,FALSE)</f>
        <v>276</v>
      </c>
      <c r="BA2" s="10">
        <f ca="1">VLOOKUP($B2,'[1]Analisys QBR By Machine Report'!$C$109:$BD$166,48,FALSE)</f>
        <v>0</v>
      </c>
      <c r="BB2" s="10">
        <f ca="1">VLOOKUP($B2,'[1]Analisys QBR By Machine Report'!$C$109:$BD$166,49,FALSE)</f>
        <v>0</v>
      </c>
      <c r="BC2" s="10">
        <f ca="1">VLOOKUP($B2,'[1]Analisys QBR By Machine Report'!$C$109:$BD$166,50,FALSE)</f>
        <v>30</v>
      </c>
      <c r="BD2" s="10">
        <f ca="1">VLOOKUP($B2,'[1]Analisys QBR By Machine Report'!$C$109:$BD$166,51,FALSE)</f>
        <v>7539.5</v>
      </c>
      <c r="BE2" s="10">
        <f ca="1">VLOOKUP($B2,'[1]Analisys QBR By Machine Report'!$C$109:$BD$166,52,FALSE)</f>
        <v>0</v>
      </c>
      <c r="BF2" s="10">
        <f ca="1">VLOOKUP($B2,'[1]Analisys QBR By Machine Report'!$C$109:$BD$166,53,FALSE)</f>
        <v>7539.5</v>
      </c>
    </row>
    <row r="3" spans="1:58" x14ac:dyDescent="0.25">
      <c r="A3" s="12" t="s">
        <v>59</v>
      </c>
      <c r="B3" s="13">
        <f ca="1">VLOOKUP($B3,'[1]Analisys QBR By Machine Report'!$C$109:$BD$166,2,FALSE)</f>
        <v>25920</v>
      </c>
      <c r="C3" s="14">
        <f ca="1">VLOOKUP($B3,[1]Dasboard_QBR_Report!$B$109:$BL$166,3,FALSE)</f>
        <v>16740</v>
      </c>
      <c r="D3" s="13">
        <f ca="1">VLOOKUP($B3,'[1]Analisys QBR By Machine Report'!$C$109:$BD$166,3,FALSE)</f>
        <v>17040</v>
      </c>
      <c r="E3" s="14">
        <f ca="1">VLOOKUP($B3,[1]Dasboard_QBR_Report!$B$109:$BL$166,5,FALSE)</f>
        <v>7860</v>
      </c>
      <c r="F3" s="13">
        <f t="shared" ca="1" si="0"/>
        <v>8880</v>
      </c>
      <c r="G3" s="13">
        <f t="shared" ca="1" si="1"/>
        <v>1040</v>
      </c>
      <c r="H3" s="13">
        <f ca="1">VLOOKUP($B3,'[1]Analisys QBR By Machine Report'!$C$109:$BD$166,4,FALSE)</f>
        <v>1040</v>
      </c>
      <c r="I3" s="13">
        <f ca="1">VLOOKUP($B3,'[1]Analisys QBR By Machine Report'!$C$109:$BD$166,5,FALSE)</f>
        <v>635</v>
      </c>
      <c r="J3" s="13">
        <f ca="1">VLOOKUP($B3,'[1]Analisys QBR By Machine Report'!$C$109:$BD$166,6,FALSE)</f>
        <v>405</v>
      </c>
      <c r="K3" s="13">
        <f ca="1">VLOOKUP($B3,'[1]Analisys QBR By Machine Report'!$C$109:$BD$166,7,FALSE)</f>
        <v>0</v>
      </c>
      <c r="L3" s="13">
        <f ca="1">VLOOKUP($B3,'[1]Analisys QBR By Machine Report'!$C$109:$BD$166,8,FALSE)</f>
        <v>7840</v>
      </c>
      <c r="M3" s="13">
        <f ca="1">VLOOKUP($B3,'[1]Analisys QBR By Machine Report'!$C$109:$BD$166,9,FALSE)</f>
        <v>1944</v>
      </c>
      <c r="N3" s="13">
        <f ca="1">VLOOKUP($B3,[1]Dasboard_QBR_Report!$B$109:$BL$166,18,FALSE)</f>
        <v>5896</v>
      </c>
      <c r="O3" s="13">
        <f ca="1">VLOOKUP($B3,'[1]Analisys QBR By Machine Report'!$C$109:$BD$166,10,FALSE)</f>
        <v>228</v>
      </c>
      <c r="P3" s="13">
        <f ca="1">VLOOKUP($B3,'[1]Analisys QBR By Machine Report'!$C$109:$BD$166,11,FALSE)</f>
        <v>226</v>
      </c>
      <c r="Q3" s="13">
        <f ca="1">VLOOKUP($B3,'[1]Analisys QBR By Machine Report'!$C$109:$BD$166,12,FALSE)</f>
        <v>0</v>
      </c>
      <c r="R3" s="13">
        <f ca="1">VLOOKUP($B3,'[1]Analisys QBR By Machine Report'!$C$109:$BD$166,13,FALSE)</f>
        <v>2</v>
      </c>
      <c r="S3" s="13">
        <f ca="1">VLOOKUP($B3,'[1]Analisys QBR By Machine Report'!$C$109:$BD$166,14,FALSE)</f>
        <v>0</v>
      </c>
      <c r="T3" s="13">
        <f ca="1">VLOOKUP($B3,'[1]Analisys QBR By Machine Report'!$C$109:$BD$166,15,FALSE)</f>
        <v>0</v>
      </c>
      <c r="U3" s="13">
        <f ca="1">VLOOKUP($B3,'[1]Analisys QBR By Machine Report'!$C$109:$BD$166,16,FALSE)</f>
        <v>0</v>
      </c>
      <c r="V3" s="13">
        <f ca="1">VLOOKUP($B3,'[1]Analisys QBR By Machine Report'!$C$109:$BD$166,17,FALSE)</f>
        <v>0</v>
      </c>
      <c r="W3" s="13">
        <f ca="1">VLOOKUP($B3,'[1]Analisys QBR By Machine Report'!$C$109:$BD$166,18,FALSE)</f>
        <v>0</v>
      </c>
      <c r="X3" s="13">
        <f ca="1">VLOOKUP($B3,'[1]Analisys QBR By Machine Report'!$C$109:$BD$166,19,FALSE)</f>
        <v>0</v>
      </c>
      <c r="Y3" s="13">
        <f ca="1">VLOOKUP($B3,'[1]Analisys QBR By Machine Report'!$C$109:$BD$166,20,FALSE)</f>
        <v>0</v>
      </c>
      <c r="Z3" s="13">
        <f ca="1">VLOOKUP($B3,'[1]Analisys QBR By Machine Report'!$C$109:$BD$166,21,FALSE)</f>
        <v>4247</v>
      </c>
      <c r="AA3" s="13">
        <f ca="1">VLOOKUP($B3,'[1]Analisys QBR By Machine Report'!$C$109:$BD$166,22,FALSE)</f>
        <v>3124</v>
      </c>
      <c r="AB3" s="13">
        <f ca="1">VLOOKUP($B3,'[1]Analisys QBR By Machine Report'!$C$109:$BD$166,23,FALSE)</f>
        <v>937</v>
      </c>
      <c r="AC3" s="13">
        <f ca="1">VLOOKUP($B3,'[1]Analisys QBR By Machine Report'!$C$109:$BD$166,24,FALSE)</f>
        <v>8</v>
      </c>
      <c r="AD3" s="13">
        <f ca="1">VLOOKUP($B3,'[1]Analisys QBR By Machine Report'!$C$109:$BD$166,25,FALSE)</f>
        <v>0</v>
      </c>
      <c r="AE3" s="13">
        <f ca="1">VLOOKUP($B3,'[1]Analisys QBR By Machine Report'!$C$109:$BD$166,26,FALSE)</f>
        <v>178</v>
      </c>
      <c r="AF3" s="13">
        <f ca="1">VLOOKUP($B3,'[1]Analisys QBR By Machine Report'!$C$109:$BD$166,27,FALSE)</f>
        <v>0</v>
      </c>
      <c r="AG3" s="13">
        <f ca="1">VLOOKUP($B3,'[1]Analisys QBR By Machine Report'!$C$109:$BD$166,28,FALSE)</f>
        <v>0</v>
      </c>
      <c r="AH3" s="13">
        <f ca="1">VLOOKUP($B3,'[1]Analisys QBR By Machine Report'!$C$109:$BD$166,29,FALSE)</f>
        <v>0</v>
      </c>
      <c r="AI3" s="13">
        <f ca="1">VLOOKUP($B3,'[1]Analisys QBR By Machine Report'!$C$109:$BD$166,30,FALSE)</f>
        <v>1421</v>
      </c>
      <c r="AJ3" s="13">
        <f ca="1">VLOOKUP($B3,'[1]Analisys QBR By Machine Report'!$C$109:$BD$166,31,FALSE)</f>
        <v>65</v>
      </c>
      <c r="AK3" s="13">
        <f ca="1">VLOOKUP($B3,'[1]Analisys QBR By Machine Report'!$C$109:$BD$166,32,FALSE)</f>
        <v>0</v>
      </c>
      <c r="AL3" s="13">
        <f ca="1">VLOOKUP($B3,'[1]Analisys QBR By Machine Report'!$C$109:$BD$166,33,FALSE)</f>
        <v>510</v>
      </c>
      <c r="AM3" s="13">
        <f ca="1">VLOOKUP($B3,'[1]Analisys QBR By Machine Report'!$C$109:$BD$166,34,FALSE)</f>
        <v>0</v>
      </c>
      <c r="AN3" s="13">
        <f ca="1">VLOOKUP($B3,'[1]Analisys QBR By Machine Report'!$C$109:$BD$166,35,FALSE)</f>
        <v>470</v>
      </c>
      <c r="AO3" s="13">
        <f ca="1">VLOOKUP($B3,'[1]Analisys QBR By Machine Report'!$C$109:$BD$166,36,FALSE)</f>
        <v>0</v>
      </c>
      <c r="AP3" s="13">
        <f ca="1">VLOOKUP($B3,'[1]Analisys QBR By Machine Report'!$C$109:$BD$166,37,FALSE)</f>
        <v>0</v>
      </c>
      <c r="AQ3" s="13">
        <f ca="1">VLOOKUP($B3,'[1]Analisys QBR By Machine Report'!$C$109:$BD$166,38,FALSE)</f>
        <v>0</v>
      </c>
      <c r="AR3" s="13">
        <f ca="1">VLOOKUP($B3,'[1]Analisys QBR By Machine Report'!$C$109:$BD$166,39,FALSE)</f>
        <v>0</v>
      </c>
      <c r="AS3" s="13">
        <f ca="1">VLOOKUP($B3,'[1]Analisys QBR By Machine Report'!$C$109:$BD$166,40,FALSE)</f>
        <v>0</v>
      </c>
      <c r="AT3" s="13">
        <f ca="1">VLOOKUP($B3,'[1]Analisys QBR By Machine Report'!$C$109:$BD$166,41,FALSE)</f>
        <v>0</v>
      </c>
      <c r="AU3" s="13">
        <f ca="1">VLOOKUP($B3,'[1]Analisys QBR By Machine Report'!$C$109:$BD$166,42,FALSE)</f>
        <v>376</v>
      </c>
      <c r="AV3" s="13">
        <f ca="1">VLOOKUP($B3,'[1]Analisys QBR By Machine Report'!$C$109:$BD$166,43,FALSE)</f>
        <v>0</v>
      </c>
      <c r="AW3" s="13">
        <f ca="1">VLOOKUP($B3,'[1]Analisys QBR By Machine Report'!$C$109:$BD$166,44,FALSE)</f>
        <v>0</v>
      </c>
      <c r="AX3" s="13">
        <f ca="1">VLOOKUP($B3,'[1]Analisys QBR By Machine Report'!$C$109:$BD$166,45,FALSE)</f>
        <v>0</v>
      </c>
      <c r="AY3" s="13">
        <f ca="1">VLOOKUP($B3,'[1]Analisys QBR By Machine Report'!$C$109:$BD$166,46,FALSE)</f>
        <v>0</v>
      </c>
      <c r="AZ3" s="13">
        <f ca="1">VLOOKUP($B3,'[1]Analisys QBR By Machine Report'!$C$109:$BD$166,47,FALSE)</f>
        <v>0</v>
      </c>
      <c r="BA3" s="13">
        <f ca="1">VLOOKUP($B3,'[1]Analisys QBR By Machine Report'!$C$109:$BD$166,48,FALSE)</f>
        <v>0</v>
      </c>
      <c r="BB3" s="13">
        <f ca="1">VLOOKUP($B3,'[1]Analisys QBR By Machine Report'!$C$109:$BD$166,49,FALSE)</f>
        <v>0</v>
      </c>
      <c r="BC3" s="13">
        <f ca="1">VLOOKUP($B3,'[1]Analisys QBR By Machine Report'!$C$109:$BD$166,50,FALSE)</f>
        <v>0</v>
      </c>
      <c r="BD3" s="13">
        <f ca="1">VLOOKUP($B3,'[1]Analisys QBR By Machine Report'!$C$109:$BD$166,51,FALSE)</f>
        <v>937.09</v>
      </c>
      <c r="BE3" s="13">
        <f ca="1">VLOOKUP($B3,'[1]Analisys QBR By Machine Report'!$C$109:$BD$166,52,FALSE)</f>
        <v>0</v>
      </c>
      <c r="BF3" s="13">
        <f ca="1">VLOOKUP($B3,'[1]Analisys QBR By Machine Report'!$C$109:$BD$166,53,FALSE)</f>
        <v>937.09</v>
      </c>
    </row>
    <row r="4" spans="1:58" x14ac:dyDescent="0.25">
      <c r="A4" s="12" t="s">
        <v>60</v>
      </c>
      <c r="B4" s="13">
        <f ca="1">VLOOKUP($B4,'[1]Analisys QBR By Machine Report'!$C$109:$BD$166,2,FALSE)</f>
        <v>25920</v>
      </c>
      <c r="C4" s="14">
        <f ca="1">VLOOKUP($B4,[1]Dasboard_QBR_Report!$B$109:$BL$166,3,FALSE)</f>
        <v>16740</v>
      </c>
      <c r="D4" s="13">
        <f ca="1">VLOOKUP($B4,'[1]Analisys QBR By Machine Report'!$C$109:$BD$166,3,FALSE)</f>
        <v>20310</v>
      </c>
      <c r="E4" s="14">
        <f ca="1">VLOOKUP($B4,[1]Dasboard_QBR_Report!$B$109:$BL$166,5,FALSE)</f>
        <v>11130</v>
      </c>
      <c r="F4" s="13">
        <f t="shared" ca="1" si="0"/>
        <v>5610</v>
      </c>
      <c r="G4" s="13">
        <f t="shared" ca="1" si="1"/>
        <v>0</v>
      </c>
      <c r="H4" s="13">
        <f ca="1">VLOOKUP($B4,'[1]Analisys QBR By Machine Report'!$C$109:$BD$166,4,FALSE)</f>
        <v>0</v>
      </c>
      <c r="I4" s="13">
        <f ca="1">VLOOKUP($B4,'[1]Analisys QBR By Machine Report'!$C$109:$BD$166,5,FALSE)</f>
        <v>0</v>
      </c>
      <c r="J4" s="13">
        <f ca="1">VLOOKUP($B4,'[1]Analisys QBR By Machine Report'!$C$109:$BD$166,6,FALSE)</f>
        <v>0</v>
      </c>
      <c r="K4" s="13">
        <f ca="1">VLOOKUP($B4,'[1]Analisys QBR By Machine Report'!$C$109:$BD$166,7,FALSE)</f>
        <v>0</v>
      </c>
      <c r="L4" s="13">
        <f ca="1">VLOOKUP($B4,'[1]Analisys QBR By Machine Report'!$C$109:$BD$166,8,FALSE)</f>
        <v>5610</v>
      </c>
      <c r="M4" s="13">
        <f ca="1">VLOOKUP($B4,'[1]Analisys QBR By Machine Report'!$C$109:$BD$166,9,FALSE)</f>
        <v>1852</v>
      </c>
      <c r="N4" s="13">
        <f ca="1">VLOOKUP($B4,[1]Dasboard_QBR_Report!$B$109:$BL$166,18,FALSE)</f>
        <v>3758</v>
      </c>
      <c r="O4" s="13">
        <f ca="1">VLOOKUP($B4,'[1]Analisys QBR By Machine Report'!$C$109:$BD$166,10,FALSE)</f>
        <v>143</v>
      </c>
      <c r="P4" s="13">
        <f ca="1">VLOOKUP($B4,'[1]Analisys QBR By Machine Report'!$C$109:$BD$166,11,FALSE)</f>
        <v>143</v>
      </c>
      <c r="Q4" s="13">
        <f ca="1">VLOOKUP($B4,'[1]Analisys QBR By Machine Report'!$C$109:$BD$166,12,FALSE)</f>
        <v>0</v>
      </c>
      <c r="R4" s="13">
        <f ca="1">VLOOKUP($B4,'[1]Analisys QBR By Machine Report'!$C$109:$BD$166,13,FALSE)</f>
        <v>0</v>
      </c>
      <c r="S4" s="13">
        <f ca="1">VLOOKUP($B4,'[1]Analisys QBR By Machine Report'!$C$109:$BD$166,14,FALSE)</f>
        <v>0</v>
      </c>
      <c r="T4" s="13">
        <f ca="1">VLOOKUP($B4,'[1]Analisys QBR By Machine Report'!$C$109:$BD$166,15,FALSE)</f>
        <v>355</v>
      </c>
      <c r="U4" s="13">
        <f ca="1">VLOOKUP($B4,'[1]Analisys QBR By Machine Report'!$C$109:$BD$166,16,FALSE)</f>
        <v>105</v>
      </c>
      <c r="V4" s="13">
        <f ca="1">VLOOKUP($B4,'[1]Analisys QBR By Machine Report'!$C$109:$BD$166,17,FALSE)</f>
        <v>0</v>
      </c>
      <c r="W4" s="13">
        <f ca="1">VLOOKUP($B4,'[1]Analisys QBR By Machine Report'!$C$109:$BD$166,18,FALSE)</f>
        <v>0</v>
      </c>
      <c r="X4" s="13">
        <f ca="1">VLOOKUP($B4,'[1]Analisys QBR By Machine Report'!$C$109:$BD$166,19,FALSE)</f>
        <v>250</v>
      </c>
      <c r="Y4" s="13">
        <f ca="1">VLOOKUP($B4,'[1]Analisys QBR By Machine Report'!$C$109:$BD$166,20,FALSE)</f>
        <v>0</v>
      </c>
      <c r="Z4" s="13">
        <f ca="1">VLOOKUP($B4,'[1]Analisys QBR By Machine Report'!$C$109:$BD$166,21,FALSE)</f>
        <v>2334</v>
      </c>
      <c r="AA4" s="13">
        <f ca="1">VLOOKUP($B4,'[1]Analisys QBR By Machine Report'!$C$109:$BD$166,22,FALSE)</f>
        <v>1955</v>
      </c>
      <c r="AB4" s="13">
        <f ca="1">VLOOKUP($B4,'[1]Analisys QBR By Machine Report'!$C$109:$BD$166,23,FALSE)</f>
        <v>270</v>
      </c>
      <c r="AC4" s="13">
        <f ca="1">VLOOKUP($B4,'[1]Analisys QBR By Machine Report'!$C$109:$BD$166,24,FALSE)</f>
        <v>8</v>
      </c>
      <c r="AD4" s="13">
        <f ca="1">VLOOKUP($B4,'[1]Analisys QBR By Machine Report'!$C$109:$BD$166,25,FALSE)</f>
        <v>0</v>
      </c>
      <c r="AE4" s="13">
        <f ca="1">VLOOKUP($B4,'[1]Analisys QBR By Machine Report'!$C$109:$BD$166,26,FALSE)</f>
        <v>101</v>
      </c>
      <c r="AF4" s="13">
        <f ca="1">VLOOKUP($B4,'[1]Analisys QBR By Machine Report'!$C$109:$BD$166,27,FALSE)</f>
        <v>0</v>
      </c>
      <c r="AG4" s="13">
        <f ca="1">VLOOKUP($B4,'[1]Analisys QBR By Machine Report'!$C$109:$BD$166,28,FALSE)</f>
        <v>0</v>
      </c>
      <c r="AH4" s="13">
        <f ca="1">VLOOKUP($B4,'[1]Analisys QBR By Machine Report'!$C$109:$BD$166,29,FALSE)</f>
        <v>0</v>
      </c>
      <c r="AI4" s="13">
        <f ca="1">VLOOKUP($B4,'[1]Analisys QBR By Machine Report'!$C$109:$BD$166,30,FALSE)</f>
        <v>926</v>
      </c>
      <c r="AJ4" s="13">
        <f ca="1">VLOOKUP($B4,'[1]Analisys QBR By Machine Report'!$C$109:$BD$166,31,FALSE)</f>
        <v>16</v>
      </c>
      <c r="AK4" s="13">
        <f ca="1">VLOOKUP($B4,'[1]Analisys QBR By Machine Report'!$C$109:$BD$166,32,FALSE)</f>
        <v>0</v>
      </c>
      <c r="AL4" s="13">
        <f ca="1">VLOOKUP($B4,'[1]Analisys QBR By Machine Report'!$C$109:$BD$166,33,FALSE)</f>
        <v>292</v>
      </c>
      <c r="AM4" s="13">
        <f ca="1">VLOOKUP($B4,'[1]Analisys QBR By Machine Report'!$C$109:$BD$166,34,FALSE)</f>
        <v>0</v>
      </c>
      <c r="AN4" s="13">
        <f ca="1">VLOOKUP($B4,'[1]Analisys QBR By Machine Report'!$C$109:$BD$166,35,FALSE)</f>
        <v>285</v>
      </c>
      <c r="AO4" s="13">
        <f ca="1">VLOOKUP($B4,'[1]Analisys QBR By Machine Report'!$C$109:$BD$166,36,FALSE)</f>
        <v>0</v>
      </c>
      <c r="AP4" s="13">
        <f ca="1">VLOOKUP($B4,'[1]Analisys QBR By Machine Report'!$C$109:$BD$166,37,FALSE)</f>
        <v>0</v>
      </c>
      <c r="AQ4" s="13">
        <f ca="1">VLOOKUP($B4,'[1]Analisys QBR By Machine Report'!$C$109:$BD$166,38,FALSE)</f>
        <v>0</v>
      </c>
      <c r="AR4" s="13">
        <f ca="1">VLOOKUP($B4,'[1]Analisys QBR By Machine Report'!$C$109:$BD$166,39,FALSE)</f>
        <v>0</v>
      </c>
      <c r="AS4" s="13">
        <f ca="1">VLOOKUP($B4,'[1]Analisys QBR By Machine Report'!$C$109:$BD$166,40,FALSE)</f>
        <v>9</v>
      </c>
      <c r="AT4" s="13">
        <f ca="1">VLOOKUP($B4,'[1]Analisys QBR By Machine Report'!$C$109:$BD$166,41,FALSE)</f>
        <v>0</v>
      </c>
      <c r="AU4" s="13">
        <f ca="1">VLOOKUP($B4,'[1]Analisys QBR By Machine Report'!$C$109:$BD$166,42,FALSE)</f>
        <v>294</v>
      </c>
      <c r="AV4" s="13">
        <f ca="1">VLOOKUP($B4,'[1]Analisys QBR By Machine Report'!$C$109:$BD$166,43,FALSE)</f>
        <v>0</v>
      </c>
      <c r="AW4" s="13">
        <f ca="1">VLOOKUP($B4,'[1]Analisys QBR By Machine Report'!$C$109:$BD$166,44,FALSE)</f>
        <v>0</v>
      </c>
      <c r="AX4" s="13">
        <f ca="1">VLOOKUP($B4,'[1]Analisys QBR By Machine Report'!$C$109:$BD$166,45,FALSE)</f>
        <v>0</v>
      </c>
      <c r="AY4" s="13">
        <f ca="1">VLOOKUP($B4,'[1]Analisys QBR By Machine Report'!$C$109:$BD$166,46,FALSE)</f>
        <v>0</v>
      </c>
      <c r="AZ4" s="13">
        <f ca="1">VLOOKUP($B4,'[1]Analisys QBR By Machine Report'!$C$109:$BD$166,47,FALSE)</f>
        <v>0</v>
      </c>
      <c r="BA4" s="13">
        <f ca="1">VLOOKUP($B4,'[1]Analisys QBR By Machine Report'!$C$109:$BD$166,48,FALSE)</f>
        <v>0</v>
      </c>
      <c r="BB4" s="13">
        <f ca="1">VLOOKUP($B4,'[1]Analisys QBR By Machine Report'!$C$109:$BD$166,49,FALSE)</f>
        <v>0</v>
      </c>
      <c r="BC4" s="13">
        <f ca="1">VLOOKUP($B4,'[1]Analisys QBR By Machine Report'!$C$109:$BD$166,50,FALSE)</f>
        <v>30</v>
      </c>
      <c r="BD4" s="13">
        <f ca="1">VLOOKUP($B4,'[1]Analisys QBR By Machine Report'!$C$109:$BD$166,51,FALSE)</f>
        <v>1715.51</v>
      </c>
      <c r="BE4" s="13">
        <f ca="1">VLOOKUP($B4,'[1]Analisys QBR By Machine Report'!$C$109:$BD$166,52,FALSE)</f>
        <v>0</v>
      </c>
      <c r="BF4" s="13">
        <f ca="1">VLOOKUP($B4,'[1]Analisys QBR By Machine Report'!$C$109:$BD$166,53,FALSE)</f>
        <v>1715.51</v>
      </c>
    </row>
    <row r="5" spans="1:58" x14ac:dyDescent="0.25">
      <c r="A5" s="12" t="s">
        <v>61</v>
      </c>
      <c r="B5" s="13">
        <f ca="1">VLOOKUP($B5,'[1]Analisys QBR By Machine Report'!$C$109:$BD$166,2,FALSE)</f>
        <v>25920</v>
      </c>
      <c r="C5" s="14">
        <f ca="1">VLOOKUP($B5,[1]Dasboard_QBR_Report!$B$109:$BL$166,3,FALSE)</f>
        <v>16740</v>
      </c>
      <c r="D5" s="13">
        <f ca="1">VLOOKUP($B5,'[1]Analisys QBR By Machine Report'!$C$109:$BD$166,3,FALSE)</f>
        <v>9630</v>
      </c>
      <c r="E5" s="14">
        <f ca="1">VLOOKUP($B5,[1]Dasboard_QBR_Report!$B$109:$BL$166,5,FALSE)</f>
        <v>450</v>
      </c>
      <c r="F5" s="13">
        <f t="shared" ca="1" si="0"/>
        <v>16290</v>
      </c>
      <c r="G5" s="13">
        <f t="shared" ca="1" si="1"/>
        <v>1855</v>
      </c>
      <c r="H5" s="13">
        <f ca="1">VLOOKUP($B5,'[1]Analisys QBR By Machine Report'!$C$109:$BD$166,4,FALSE)</f>
        <v>1855</v>
      </c>
      <c r="I5" s="13">
        <f ca="1">VLOOKUP($B5,'[1]Analisys QBR By Machine Report'!$C$109:$BD$166,5,FALSE)</f>
        <v>180</v>
      </c>
      <c r="J5" s="13">
        <f ca="1">VLOOKUP($B5,'[1]Analisys QBR By Machine Report'!$C$109:$BD$166,6,FALSE)</f>
        <v>1675</v>
      </c>
      <c r="K5" s="13">
        <f ca="1">VLOOKUP($B5,'[1]Analisys QBR By Machine Report'!$C$109:$BD$166,7,FALSE)</f>
        <v>0</v>
      </c>
      <c r="L5" s="13">
        <f ca="1">VLOOKUP($B5,'[1]Analisys QBR By Machine Report'!$C$109:$BD$166,8,FALSE)</f>
        <v>14435</v>
      </c>
      <c r="M5" s="13">
        <f ca="1">VLOOKUP($B5,'[1]Analisys QBR By Machine Report'!$C$109:$BD$166,9,FALSE)</f>
        <v>847</v>
      </c>
      <c r="N5" s="13">
        <f ca="1">VLOOKUP($B5,[1]Dasboard_QBR_Report!$B$109:$BL$166,18,FALSE)</f>
        <v>13588</v>
      </c>
      <c r="O5" s="13">
        <f ca="1">VLOOKUP($B5,'[1]Analisys QBR By Machine Report'!$C$109:$BD$166,10,FALSE)</f>
        <v>396</v>
      </c>
      <c r="P5" s="13">
        <f ca="1">VLOOKUP($B5,'[1]Analisys QBR By Machine Report'!$C$109:$BD$166,11,FALSE)</f>
        <v>384</v>
      </c>
      <c r="Q5" s="13">
        <f ca="1">VLOOKUP($B5,'[1]Analisys QBR By Machine Report'!$C$109:$BD$166,12,FALSE)</f>
        <v>0</v>
      </c>
      <c r="R5" s="13">
        <f ca="1">VLOOKUP($B5,'[1]Analisys QBR By Machine Report'!$C$109:$BD$166,13,FALSE)</f>
        <v>12</v>
      </c>
      <c r="S5" s="13">
        <f ca="1">VLOOKUP($B5,'[1]Analisys QBR By Machine Report'!$C$109:$BD$166,14,FALSE)</f>
        <v>0</v>
      </c>
      <c r="T5" s="13">
        <f ca="1">VLOOKUP($B5,'[1]Analisys QBR By Machine Report'!$C$109:$BD$166,15,FALSE)</f>
        <v>0</v>
      </c>
      <c r="U5" s="13">
        <f ca="1">VLOOKUP($B5,'[1]Analisys QBR By Machine Report'!$C$109:$BD$166,16,FALSE)</f>
        <v>0</v>
      </c>
      <c r="V5" s="13">
        <f ca="1">VLOOKUP($B5,'[1]Analisys QBR By Machine Report'!$C$109:$BD$166,17,FALSE)</f>
        <v>0</v>
      </c>
      <c r="W5" s="13">
        <f ca="1">VLOOKUP($B5,'[1]Analisys QBR By Machine Report'!$C$109:$BD$166,18,FALSE)</f>
        <v>0</v>
      </c>
      <c r="X5" s="13">
        <f ca="1">VLOOKUP($B5,'[1]Analisys QBR By Machine Report'!$C$109:$BD$166,19,FALSE)</f>
        <v>0</v>
      </c>
      <c r="Y5" s="13">
        <f ca="1">VLOOKUP($B5,'[1]Analisys QBR By Machine Report'!$C$109:$BD$166,20,FALSE)</f>
        <v>0</v>
      </c>
      <c r="Z5" s="13">
        <f ca="1">VLOOKUP($B5,'[1]Analisys QBR By Machine Report'!$C$109:$BD$166,21,FALSE)</f>
        <v>4290</v>
      </c>
      <c r="AA5" s="13">
        <f ca="1">VLOOKUP($B5,'[1]Analisys QBR By Machine Report'!$C$109:$BD$166,22,FALSE)</f>
        <v>1821</v>
      </c>
      <c r="AB5" s="13">
        <f ca="1">VLOOKUP($B5,'[1]Analisys QBR By Machine Report'!$C$109:$BD$166,23,FALSE)</f>
        <v>2234</v>
      </c>
      <c r="AC5" s="13">
        <f ca="1">VLOOKUP($B5,'[1]Analisys QBR By Machine Report'!$C$109:$BD$166,24,FALSE)</f>
        <v>0</v>
      </c>
      <c r="AD5" s="13">
        <f ca="1">VLOOKUP($B5,'[1]Analisys QBR By Machine Report'!$C$109:$BD$166,25,FALSE)</f>
        <v>0</v>
      </c>
      <c r="AE5" s="13">
        <f ca="1">VLOOKUP($B5,'[1]Analisys QBR By Machine Report'!$C$109:$BD$166,26,FALSE)</f>
        <v>235</v>
      </c>
      <c r="AF5" s="13">
        <f ca="1">VLOOKUP($B5,'[1]Analisys QBR By Machine Report'!$C$109:$BD$166,27,FALSE)</f>
        <v>670</v>
      </c>
      <c r="AG5" s="13">
        <f ca="1">VLOOKUP($B5,'[1]Analisys QBR By Machine Report'!$C$109:$BD$166,28,FALSE)</f>
        <v>120</v>
      </c>
      <c r="AH5" s="13">
        <f ca="1">VLOOKUP($B5,'[1]Analisys QBR By Machine Report'!$C$109:$BD$166,29,FALSE)</f>
        <v>550</v>
      </c>
      <c r="AI5" s="13">
        <f ca="1">VLOOKUP($B5,'[1]Analisys QBR By Machine Report'!$C$109:$BD$166,30,FALSE)</f>
        <v>8232</v>
      </c>
      <c r="AJ5" s="13">
        <f ca="1">VLOOKUP($B5,'[1]Analisys QBR By Machine Report'!$C$109:$BD$166,31,FALSE)</f>
        <v>30</v>
      </c>
      <c r="AK5" s="13">
        <f ca="1">VLOOKUP($B5,'[1]Analisys QBR By Machine Report'!$C$109:$BD$166,32,FALSE)</f>
        <v>0</v>
      </c>
      <c r="AL5" s="13">
        <f ca="1">VLOOKUP($B5,'[1]Analisys QBR By Machine Report'!$C$109:$BD$166,33,FALSE)</f>
        <v>805</v>
      </c>
      <c r="AM5" s="13">
        <f ca="1">VLOOKUP($B5,'[1]Analisys QBR By Machine Report'!$C$109:$BD$166,34,FALSE)</f>
        <v>0</v>
      </c>
      <c r="AN5" s="13">
        <f ca="1">VLOOKUP($B5,'[1]Analisys QBR By Machine Report'!$C$109:$BD$166,35,FALSE)</f>
        <v>645</v>
      </c>
      <c r="AO5" s="13">
        <f ca="1">VLOOKUP($B5,'[1]Analisys QBR By Machine Report'!$C$109:$BD$166,36,FALSE)</f>
        <v>0</v>
      </c>
      <c r="AP5" s="13">
        <f ca="1">VLOOKUP($B5,'[1]Analisys QBR By Machine Report'!$C$109:$BD$166,37,FALSE)</f>
        <v>0</v>
      </c>
      <c r="AQ5" s="13">
        <f ca="1">VLOOKUP($B5,'[1]Analisys QBR By Machine Report'!$C$109:$BD$166,38,FALSE)</f>
        <v>0</v>
      </c>
      <c r="AR5" s="13">
        <f ca="1">VLOOKUP($B5,'[1]Analisys QBR By Machine Report'!$C$109:$BD$166,39,FALSE)</f>
        <v>6416</v>
      </c>
      <c r="AS5" s="13">
        <f ca="1">VLOOKUP($B5,'[1]Analisys QBR By Machine Report'!$C$109:$BD$166,40,FALSE)</f>
        <v>60</v>
      </c>
      <c r="AT5" s="13">
        <f ca="1">VLOOKUP($B5,'[1]Analisys QBR By Machine Report'!$C$109:$BD$166,41,FALSE)</f>
        <v>0</v>
      </c>
      <c r="AU5" s="13">
        <f ca="1">VLOOKUP($B5,'[1]Analisys QBR By Machine Report'!$C$109:$BD$166,42,FALSE)</f>
        <v>0</v>
      </c>
      <c r="AV5" s="13">
        <f ca="1">VLOOKUP($B5,'[1]Analisys QBR By Machine Report'!$C$109:$BD$166,43,FALSE)</f>
        <v>0</v>
      </c>
      <c r="AW5" s="13">
        <f ca="1">VLOOKUP($B5,'[1]Analisys QBR By Machine Report'!$C$109:$BD$166,44,FALSE)</f>
        <v>0</v>
      </c>
      <c r="AX5" s="13">
        <f ca="1">VLOOKUP($B5,'[1]Analisys QBR By Machine Report'!$C$109:$BD$166,45,FALSE)</f>
        <v>0</v>
      </c>
      <c r="AY5" s="13">
        <f ca="1">VLOOKUP($B5,'[1]Analisys QBR By Machine Report'!$C$109:$BD$166,46,FALSE)</f>
        <v>0</v>
      </c>
      <c r="AZ5" s="13">
        <f ca="1">VLOOKUP($B5,'[1]Analisys QBR By Machine Report'!$C$109:$BD$166,47,FALSE)</f>
        <v>276</v>
      </c>
      <c r="BA5" s="13">
        <f ca="1">VLOOKUP($B5,'[1]Analisys QBR By Machine Report'!$C$109:$BD$166,48,FALSE)</f>
        <v>0</v>
      </c>
      <c r="BB5" s="13">
        <f ca="1">VLOOKUP($B5,'[1]Analisys QBR By Machine Report'!$C$109:$BD$166,49,FALSE)</f>
        <v>0</v>
      </c>
      <c r="BC5" s="13">
        <f ca="1">VLOOKUP($B5,'[1]Analisys QBR By Machine Report'!$C$109:$BD$166,50,FALSE)</f>
        <v>0</v>
      </c>
      <c r="BD5" s="13">
        <f ca="1">VLOOKUP($B5,'[1]Analisys QBR By Machine Report'!$C$109:$BD$166,51,FALSE)</f>
        <v>4886.8999999999996</v>
      </c>
      <c r="BE5" s="13">
        <f ca="1">VLOOKUP($B5,'[1]Analisys QBR By Machine Report'!$C$109:$BD$166,52,FALSE)</f>
        <v>0</v>
      </c>
      <c r="BF5" s="13">
        <f ca="1">VLOOKUP($B5,'[1]Analisys QBR By Machine Report'!$C$109:$BD$166,53,FALSE)</f>
        <v>4886.8999999999996</v>
      </c>
    </row>
    <row r="6" spans="1:58" x14ac:dyDescent="0.25">
      <c r="A6" s="9" t="s">
        <v>62</v>
      </c>
      <c r="B6" s="10">
        <f ca="1">VLOOKUP($B6,'[1]Analisys QBR By Machine Report'!$C$109:$BD$166,2,FALSE)</f>
        <v>51840</v>
      </c>
      <c r="C6" s="11">
        <f ca="1">VLOOKUP($B6,[1]Dasboard_QBR_Report!$B$109:$BL$166,3,FALSE)</f>
        <v>17280</v>
      </c>
      <c r="D6" s="10">
        <f ca="1">VLOOKUP($B6,'[1]Analisys QBR By Machine Report'!$C$109:$BD$166,3,FALSE)</f>
        <v>44280</v>
      </c>
      <c r="E6" s="11">
        <f ca="1">VLOOKUP($B6,[1]Dasboard_QBR_Report!$B$109:$BL$166,5,FALSE)</f>
        <v>9720</v>
      </c>
      <c r="F6" s="10">
        <f t="shared" ca="1" si="0"/>
        <v>7560</v>
      </c>
      <c r="G6" s="10">
        <f t="shared" ca="1" si="1"/>
        <v>580</v>
      </c>
      <c r="H6" s="10">
        <f ca="1">VLOOKUP($B6,'[1]Analisys QBR By Machine Report'!$C$109:$BD$166,4,FALSE)</f>
        <v>580</v>
      </c>
      <c r="I6" s="10">
        <f ca="1">VLOOKUP($B6,'[1]Analisys QBR By Machine Report'!$C$109:$BD$166,5,FALSE)</f>
        <v>0</v>
      </c>
      <c r="J6" s="10">
        <f ca="1">VLOOKUP($B6,'[1]Analisys QBR By Machine Report'!$C$109:$BD$166,6,FALSE)</f>
        <v>580</v>
      </c>
      <c r="K6" s="10">
        <f ca="1">VLOOKUP($B6,'[1]Analisys QBR By Machine Report'!$C$109:$BD$166,7,FALSE)</f>
        <v>0</v>
      </c>
      <c r="L6" s="10">
        <f ca="1">VLOOKUP($B6,'[1]Analisys QBR By Machine Report'!$C$109:$BD$166,8,FALSE)</f>
        <v>6980</v>
      </c>
      <c r="M6" s="10">
        <f ca="1">VLOOKUP($B6,'[1]Analisys QBR By Machine Report'!$C$109:$BD$166,9,FALSE)</f>
        <v>2495</v>
      </c>
      <c r="N6" s="10">
        <f ca="1">VLOOKUP($B6,[1]Dasboard_QBR_Report!$B$109:$BL$166,18,FALSE)</f>
        <v>4485</v>
      </c>
      <c r="O6" s="10">
        <f ca="1">VLOOKUP($B6,'[1]Analisys QBR By Machine Report'!$C$109:$BD$166,10,FALSE)</f>
        <v>385</v>
      </c>
      <c r="P6" s="10">
        <f ca="1">VLOOKUP($B6,'[1]Analisys QBR By Machine Report'!$C$109:$BD$166,11,FALSE)</f>
        <v>270</v>
      </c>
      <c r="Q6" s="10">
        <f ca="1">VLOOKUP($B6,'[1]Analisys QBR By Machine Report'!$C$109:$BD$166,12,FALSE)</f>
        <v>0</v>
      </c>
      <c r="R6" s="10">
        <f ca="1">VLOOKUP($B6,'[1]Analisys QBR By Machine Report'!$C$109:$BD$166,13,FALSE)</f>
        <v>60</v>
      </c>
      <c r="S6" s="10">
        <f ca="1">VLOOKUP($B6,'[1]Analisys QBR By Machine Report'!$C$109:$BD$166,14,FALSE)</f>
        <v>55</v>
      </c>
      <c r="T6" s="10">
        <f ca="1">VLOOKUP($B6,'[1]Analisys QBR By Machine Report'!$C$109:$BD$166,15,FALSE)</f>
        <v>0</v>
      </c>
      <c r="U6" s="10">
        <f ca="1">VLOOKUP($B6,'[1]Analisys QBR By Machine Report'!$C$109:$BD$166,16,FALSE)</f>
        <v>0</v>
      </c>
      <c r="V6" s="10">
        <f ca="1">VLOOKUP($B6,'[1]Analisys QBR By Machine Report'!$C$109:$BD$166,17,FALSE)</f>
        <v>0</v>
      </c>
      <c r="W6" s="10">
        <f ca="1">VLOOKUP($B6,'[1]Analisys QBR By Machine Report'!$C$109:$BD$166,18,FALSE)</f>
        <v>0</v>
      </c>
      <c r="X6" s="10">
        <f ca="1">VLOOKUP($B6,'[1]Analisys QBR By Machine Report'!$C$109:$BD$166,19,FALSE)</f>
        <v>0</v>
      </c>
      <c r="Y6" s="10">
        <f ca="1">VLOOKUP($B6,'[1]Analisys QBR By Machine Report'!$C$109:$BD$166,20,FALSE)</f>
        <v>0</v>
      </c>
      <c r="Z6" s="10">
        <f ca="1">VLOOKUP($B6,'[1]Analisys QBR By Machine Report'!$C$109:$BD$166,21,FALSE)</f>
        <v>795</v>
      </c>
      <c r="AA6" s="10">
        <f ca="1">VLOOKUP($B6,'[1]Analisys QBR By Machine Report'!$C$109:$BD$166,22,FALSE)</f>
        <v>315</v>
      </c>
      <c r="AB6" s="10">
        <f ca="1">VLOOKUP($B6,'[1]Analisys QBR By Machine Report'!$C$109:$BD$166,23,FALSE)</f>
        <v>295</v>
      </c>
      <c r="AC6" s="10">
        <f ca="1">VLOOKUP($B6,'[1]Analisys QBR By Machine Report'!$C$109:$BD$166,24,FALSE)</f>
        <v>135</v>
      </c>
      <c r="AD6" s="10">
        <f ca="1">VLOOKUP($B6,'[1]Analisys QBR By Machine Report'!$C$109:$BD$166,25,FALSE)</f>
        <v>0</v>
      </c>
      <c r="AE6" s="10">
        <f ca="1">VLOOKUP($B6,'[1]Analisys QBR By Machine Report'!$C$109:$BD$166,26,FALSE)</f>
        <v>50</v>
      </c>
      <c r="AF6" s="10">
        <f ca="1">VLOOKUP($B6,'[1]Analisys QBR By Machine Report'!$C$109:$BD$166,27,FALSE)</f>
        <v>460</v>
      </c>
      <c r="AG6" s="10">
        <f ca="1">VLOOKUP($B6,'[1]Analisys QBR By Machine Report'!$C$109:$BD$166,28,FALSE)</f>
        <v>460</v>
      </c>
      <c r="AH6" s="10">
        <f ca="1">VLOOKUP($B6,'[1]Analisys QBR By Machine Report'!$C$109:$BD$166,29,FALSE)</f>
        <v>0</v>
      </c>
      <c r="AI6" s="10">
        <f ca="1">VLOOKUP($B6,'[1]Analisys QBR By Machine Report'!$C$109:$BD$166,30,FALSE)</f>
        <v>2845</v>
      </c>
      <c r="AJ6" s="10">
        <f ca="1">VLOOKUP($B6,'[1]Analisys QBR By Machine Report'!$C$109:$BD$166,31,FALSE)</f>
        <v>0</v>
      </c>
      <c r="AK6" s="10">
        <f ca="1">VLOOKUP($B6,'[1]Analisys QBR By Machine Report'!$C$109:$BD$166,32,FALSE)</f>
        <v>0</v>
      </c>
      <c r="AL6" s="10">
        <f ca="1">VLOOKUP($B6,'[1]Analisys QBR By Machine Report'!$C$109:$BD$166,33,FALSE)</f>
        <v>300</v>
      </c>
      <c r="AM6" s="10">
        <f ca="1">VLOOKUP($B6,'[1]Analisys QBR By Machine Report'!$C$109:$BD$166,34,FALSE)</f>
        <v>15</v>
      </c>
      <c r="AN6" s="10">
        <f ca="1">VLOOKUP($B6,'[1]Analisys QBR By Machine Report'!$C$109:$BD$166,35,FALSE)</f>
        <v>320</v>
      </c>
      <c r="AO6" s="10">
        <f ca="1">VLOOKUP($B6,'[1]Analisys QBR By Machine Report'!$C$109:$BD$166,36,FALSE)</f>
        <v>450</v>
      </c>
      <c r="AP6" s="10">
        <f ca="1">VLOOKUP($B6,'[1]Analisys QBR By Machine Report'!$C$109:$BD$166,37,FALSE)</f>
        <v>0</v>
      </c>
      <c r="AQ6" s="10">
        <f ca="1">VLOOKUP($B6,'[1]Analisys QBR By Machine Report'!$C$109:$BD$166,38,FALSE)</f>
        <v>0</v>
      </c>
      <c r="AR6" s="10">
        <f ca="1">VLOOKUP($B6,'[1]Analisys QBR By Machine Report'!$C$109:$BD$166,39,FALSE)</f>
        <v>1510</v>
      </c>
      <c r="AS6" s="10">
        <f ca="1">VLOOKUP($B6,'[1]Analisys QBR By Machine Report'!$C$109:$BD$166,40,FALSE)</f>
        <v>80</v>
      </c>
      <c r="AT6" s="10">
        <f ca="1">VLOOKUP($B6,'[1]Analisys QBR By Machine Report'!$C$109:$BD$166,41,FALSE)</f>
        <v>0</v>
      </c>
      <c r="AU6" s="10">
        <f ca="1">VLOOKUP($B6,'[1]Analisys QBR By Machine Report'!$C$109:$BD$166,42,FALSE)</f>
        <v>0</v>
      </c>
      <c r="AV6" s="10">
        <f ca="1">VLOOKUP($B6,'[1]Analisys QBR By Machine Report'!$C$109:$BD$166,43,FALSE)</f>
        <v>0</v>
      </c>
      <c r="AW6" s="10">
        <f ca="1">VLOOKUP($B6,'[1]Analisys QBR By Machine Report'!$C$109:$BD$166,44,FALSE)</f>
        <v>0</v>
      </c>
      <c r="AX6" s="10">
        <f ca="1">VLOOKUP($B6,'[1]Analisys QBR By Machine Report'!$C$109:$BD$166,45,FALSE)</f>
        <v>0</v>
      </c>
      <c r="AY6" s="10">
        <f ca="1">VLOOKUP($B6,'[1]Analisys QBR By Machine Report'!$C$109:$BD$166,46,FALSE)</f>
        <v>0</v>
      </c>
      <c r="AZ6" s="10">
        <f ca="1">VLOOKUP($B6,'[1]Analisys QBR By Machine Report'!$C$109:$BD$166,47,FALSE)</f>
        <v>170</v>
      </c>
      <c r="BA6" s="10">
        <f ca="1">VLOOKUP($B6,'[1]Analisys QBR By Machine Report'!$C$109:$BD$166,48,FALSE)</f>
        <v>0</v>
      </c>
      <c r="BB6" s="10">
        <f ca="1">VLOOKUP($B6,'[1]Analisys QBR By Machine Report'!$C$109:$BD$166,49,FALSE)</f>
        <v>0</v>
      </c>
      <c r="BC6" s="10">
        <f ca="1">VLOOKUP($B6,'[1]Analisys QBR By Machine Report'!$C$109:$BD$166,50,FALSE)</f>
        <v>0</v>
      </c>
      <c r="BD6" s="10">
        <f ca="1">VLOOKUP($B6,'[1]Analisys QBR By Machine Report'!$C$109:$BD$166,51,FALSE)</f>
        <v>957292</v>
      </c>
      <c r="BE6" s="10">
        <f ca="1">VLOOKUP($B6,'[1]Analisys QBR By Machine Report'!$C$109:$BD$166,52,FALSE)</f>
        <v>2151</v>
      </c>
      <c r="BF6" s="10">
        <f ca="1">VLOOKUP($B6,'[1]Analisys QBR By Machine Report'!$C$109:$BD$166,53,FALSE)</f>
        <v>955141</v>
      </c>
    </row>
    <row r="7" spans="1:58" x14ac:dyDescent="0.25">
      <c r="A7" s="12" t="s">
        <v>63</v>
      </c>
      <c r="B7" s="13">
        <f ca="1">VLOOKUP($B7,'[1]Analisys QBR By Machine Report'!$C$109:$BD$166,2,FALSE)</f>
        <v>25920</v>
      </c>
      <c r="C7" s="14">
        <f ca="1">VLOOKUP($B7,[1]Dasboard_QBR_Report!$B$109:$BL$166,3,FALSE)</f>
        <v>8640</v>
      </c>
      <c r="D7" s="13">
        <f ca="1">VLOOKUP($B7,'[1]Analisys QBR By Machine Report'!$C$109:$BD$166,3,FALSE)</f>
        <v>20760</v>
      </c>
      <c r="E7" s="14">
        <f ca="1">VLOOKUP($B7,[1]Dasboard_QBR_Report!$B$109:$BL$166,5,FALSE)</f>
        <v>3480</v>
      </c>
      <c r="F7" s="13">
        <f t="shared" ca="1" si="0"/>
        <v>5160</v>
      </c>
      <c r="G7" s="13">
        <f t="shared" ca="1" si="1"/>
        <v>370</v>
      </c>
      <c r="H7" s="13">
        <f ca="1">VLOOKUP($B7,'[1]Analisys QBR By Machine Report'!$C$109:$BD$166,4,FALSE)</f>
        <v>370</v>
      </c>
      <c r="I7" s="13">
        <f ca="1">VLOOKUP($B7,'[1]Analisys QBR By Machine Report'!$C$109:$BD$166,5,FALSE)</f>
        <v>0</v>
      </c>
      <c r="J7" s="13">
        <f ca="1">VLOOKUP($B7,'[1]Analisys QBR By Machine Report'!$C$109:$BD$166,6,FALSE)</f>
        <v>370</v>
      </c>
      <c r="K7" s="13">
        <f ca="1">VLOOKUP($B7,'[1]Analisys QBR By Machine Report'!$C$109:$BD$166,7,FALSE)</f>
        <v>0</v>
      </c>
      <c r="L7" s="13">
        <f ca="1">VLOOKUP($B7,'[1]Analisys QBR By Machine Report'!$C$109:$BD$166,8,FALSE)</f>
        <v>4790</v>
      </c>
      <c r="M7" s="13">
        <f ca="1">VLOOKUP($B7,'[1]Analisys QBR By Machine Report'!$C$109:$BD$166,9,FALSE)</f>
        <v>2115</v>
      </c>
      <c r="N7" s="13">
        <f ca="1">VLOOKUP($B7,[1]Dasboard_QBR_Report!$B$109:$BL$166,18,FALSE)</f>
        <v>2675</v>
      </c>
      <c r="O7" s="13">
        <f ca="1">VLOOKUP($B7,'[1]Analisys QBR By Machine Report'!$C$109:$BD$166,10,FALSE)</f>
        <v>330</v>
      </c>
      <c r="P7" s="13">
        <f ca="1">VLOOKUP($B7,'[1]Analisys QBR By Machine Report'!$C$109:$BD$166,11,FALSE)</f>
        <v>215</v>
      </c>
      <c r="Q7" s="13">
        <f ca="1">VLOOKUP($B7,'[1]Analisys QBR By Machine Report'!$C$109:$BD$166,12,FALSE)</f>
        <v>0</v>
      </c>
      <c r="R7" s="13">
        <f ca="1">VLOOKUP($B7,'[1]Analisys QBR By Machine Report'!$C$109:$BD$166,13,FALSE)</f>
        <v>60</v>
      </c>
      <c r="S7" s="13">
        <f ca="1">VLOOKUP($B7,'[1]Analisys QBR By Machine Report'!$C$109:$BD$166,14,FALSE)</f>
        <v>55</v>
      </c>
      <c r="T7" s="13">
        <f ca="1">VLOOKUP($B7,'[1]Analisys QBR By Machine Report'!$C$109:$BD$166,15,FALSE)</f>
        <v>0</v>
      </c>
      <c r="U7" s="13">
        <f ca="1">VLOOKUP($B7,'[1]Analisys QBR By Machine Report'!$C$109:$BD$166,16,FALSE)</f>
        <v>0</v>
      </c>
      <c r="V7" s="13">
        <f ca="1">VLOOKUP($B7,'[1]Analisys QBR By Machine Report'!$C$109:$BD$166,17,FALSE)</f>
        <v>0</v>
      </c>
      <c r="W7" s="13">
        <f ca="1">VLOOKUP($B7,'[1]Analisys QBR By Machine Report'!$C$109:$BD$166,18,FALSE)</f>
        <v>0</v>
      </c>
      <c r="X7" s="13">
        <f ca="1">VLOOKUP($B7,'[1]Analisys QBR By Machine Report'!$C$109:$BD$166,19,FALSE)</f>
        <v>0</v>
      </c>
      <c r="Y7" s="13">
        <f ca="1">VLOOKUP($B7,'[1]Analisys QBR By Machine Report'!$C$109:$BD$166,20,FALSE)</f>
        <v>0</v>
      </c>
      <c r="Z7" s="13">
        <f ca="1">VLOOKUP($B7,'[1]Analisys QBR By Machine Report'!$C$109:$BD$166,21,FALSE)</f>
        <v>640</v>
      </c>
      <c r="AA7" s="13">
        <f ca="1">VLOOKUP($B7,'[1]Analisys QBR By Machine Report'!$C$109:$BD$166,22,FALSE)</f>
        <v>270</v>
      </c>
      <c r="AB7" s="13">
        <f ca="1">VLOOKUP($B7,'[1]Analisys QBR By Machine Report'!$C$109:$BD$166,23,FALSE)</f>
        <v>245</v>
      </c>
      <c r="AC7" s="13">
        <f ca="1">VLOOKUP($B7,'[1]Analisys QBR By Machine Report'!$C$109:$BD$166,24,FALSE)</f>
        <v>105</v>
      </c>
      <c r="AD7" s="13">
        <f ca="1">VLOOKUP($B7,'[1]Analisys QBR By Machine Report'!$C$109:$BD$166,25,FALSE)</f>
        <v>0</v>
      </c>
      <c r="AE7" s="13">
        <f ca="1">VLOOKUP($B7,'[1]Analisys QBR By Machine Report'!$C$109:$BD$166,26,FALSE)</f>
        <v>20</v>
      </c>
      <c r="AF7" s="13">
        <f ca="1">VLOOKUP($B7,'[1]Analisys QBR By Machine Report'!$C$109:$BD$166,27,FALSE)</f>
        <v>460</v>
      </c>
      <c r="AG7" s="13">
        <f ca="1">VLOOKUP($B7,'[1]Analisys QBR By Machine Report'!$C$109:$BD$166,28,FALSE)</f>
        <v>460</v>
      </c>
      <c r="AH7" s="13">
        <f ca="1">VLOOKUP($B7,'[1]Analisys QBR By Machine Report'!$C$109:$BD$166,29,FALSE)</f>
        <v>0</v>
      </c>
      <c r="AI7" s="13">
        <f ca="1">VLOOKUP($B7,'[1]Analisys QBR By Machine Report'!$C$109:$BD$166,30,FALSE)</f>
        <v>1245</v>
      </c>
      <c r="AJ7" s="13">
        <f ca="1">VLOOKUP($B7,'[1]Analisys QBR By Machine Report'!$C$109:$BD$166,31,FALSE)</f>
        <v>0</v>
      </c>
      <c r="AK7" s="13">
        <f ca="1">VLOOKUP($B7,'[1]Analisys QBR By Machine Report'!$C$109:$BD$166,32,FALSE)</f>
        <v>0</v>
      </c>
      <c r="AL7" s="13">
        <f ca="1">VLOOKUP($B7,'[1]Analisys QBR By Machine Report'!$C$109:$BD$166,33,FALSE)</f>
        <v>240</v>
      </c>
      <c r="AM7" s="13">
        <f ca="1">VLOOKUP($B7,'[1]Analisys QBR By Machine Report'!$C$109:$BD$166,34,FALSE)</f>
        <v>15</v>
      </c>
      <c r="AN7" s="13">
        <f ca="1">VLOOKUP($B7,'[1]Analisys QBR By Machine Report'!$C$109:$BD$166,35,FALSE)</f>
        <v>290</v>
      </c>
      <c r="AO7" s="13">
        <f ca="1">VLOOKUP($B7,'[1]Analisys QBR By Machine Report'!$C$109:$BD$166,36,FALSE)</f>
        <v>450</v>
      </c>
      <c r="AP7" s="13">
        <f ca="1">VLOOKUP($B7,'[1]Analisys QBR By Machine Report'!$C$109:$BD$166,37,FALSE)</f>
        <v>0</v>
      </c>
      <c r="AQ7" s="13">
        <f ca="1">VLOOKUP($B7,'[1]Analisys QBR By Machine Report'!$C$109:$BD$166,38,FALSE)</f>
        <v>0</v>
      </c>
      <c r="AR7" s="13">
        <f ca="1">VLOOKUP($B7,'[1]Analisys QBR By Machine Report'!$C$109:$BD$166,39,FALSE)</f>
        <v>0</v>
      </c>
      <c r="AS7" s="13">
        <f ca="1">VLOOKUP($B7,'[1]Analisys QBR By Machine Report'!$C$109:$BD$166,40,FALSE)</f>
        <v>80</v>
      </c>
      <c r="AT7" s="13">
        <f ca="1">VLOOKUP($B7,'[1]Analisys QBR By Machine Report'!$C$109:$BD$166,41,FALSE)</f>
        <v>0</v>
      </c>
      <c r="AU7" s="13">
        <f ca="1">VLOOKUP($B7,'[1]Analisys QBR By Machine Report'!$C$109:$BD$166,42,FALSE)</f>
        <v>0</v>
      </c>
      <c r="AV7" s="13">
        <f ca="1">VLOOKUP($B7,'[1]Analisys QBR By Machine Report'!$C$109:$BD$166,43,FALSE)</f>
        <v>0</v>
      </c>
      <c r="AW7" s="13">
        <f ca="1">VLOOKUP($B7,'[1]Analisys QBR By Machine Report'!$C$109:$BD$166,44,FALSE)</f>
        <v>0</v>
      </c>
      <c r="AX7" s="13">
        <f ca="1">VLOOKUP($B7,'[1]Analisys QBR By Machine Report'!$C$109:$BD$166,45,FALSE)</f>
        <v>0</v>
      </c>
      <c r="AY7" s="13">
        <f ca="1">VLOOKUP($B7,'[1]Analisys QBR By Machine Report'!$C$109:$BD$166,46,FALSE)</f>
        <v>0</v>
      </c>
      <c r="AZ7" s="13">
        <f ca="1">VLOOKUP($B7,'[1]Analisys QBR By Machine Report'!$C$109:$BD$166,47,FALSE)</f>
        <v>170</v>
      </c>
      <c r="BA7" s="13">
        <f ca="1">VLOOKUP($B7,'[1]Analisys QBR By Machine Report'!$C$109:$BD$166,48,FALSE)</f>
        <v>0</v>
      </c>
      <c r="BB7" s="13">
        <f ca="1">VLOOKUP($B7,'[1]Analisys QBR By Machine Report'!$C$109:$BD$166,49,FALSE)</f>
        <v>0</v>
      </c>
      <c r="BC7" s="13">
        <f ca="1">VLOOKUP($B7,'[1]Analisys QBR By Machine Report'!$C$109:$BD$166,50,FALSE)</f>
        <v>0</v>
      </c>
      <c r="BD7" s="13">
        <f ca="1">VLOOKUP($B7,'[1]Analisys QBR By Machine Report'!$C$109:$BD$166,51,FALSE)</f>
        <v>486354</v>
      </c>
      <c r="BE7" s="13">
        <f ca="1">VLOOKUP($B7,'[1]Analisys QBR By Machine Report'!$C$109:$BD$166,52,FALSE)</f>
        <v>2151</v>
      </c>
      <c r="BF7" s="13">
        <f ca="1">VLOOKUP($B7,'[1]Analisys QBR By Machine Report'!$C$109:$BD$166,53,FALSE)</f>
        <v>484203</v>
      </c>
    </row>
    <row r="8" spans="1:58" x14ac:dyDescent="0.25">
      <c r="A8" s="12" t="s">
        <v>64</v>
      </c>
      <c r="B8" s="13">
        <f ca="1">VLOOKUP($B8,'[1]Analisys QBR By Machine Report'!$C$109:$BD$166,2,FALSE)</f>
        <v>25920</v>
      </c>
      <c r="C8" s="14">
        <f ca="1">VLOOKUP($B8,[1]Dasboard_QBR_Report!$B$109:$BL$166,3,FALSE)</f>
        <v>8640</v>
      </c>
      <c r="D8" s="13">
        <f ca="1">VLOOKUP($B8,'[1]Analisys QBR By Machine Report'!$C$109:$BD$166,3,FALSE)</f>
        <v>23520</v>
      </c>
      <c r="E8" s="14">
        <f ca="1">VLOOKUP($B8,[1]Dasboard_QBR_Report!$B$109:$BL$166,5,FALSE)</f>
        <v>6240</v>
      </c>
      <c r="F8" s="13">
        <f t="shared" ca="1" si="0"/>
        <v>2400</v>
      </c>
      <c r="G8" s="13">
        <f t="shared" ca="1" si="1"/>
        <v>210</v>
      </c>
      <c r="H8" s="13">
        <f ca="1">VLOOKUP($B8,'[1]Analisys QBR By Machine Report'!$C$109:$BD$166,4,FALSE)</f>
        <v>210</v>
      </c>
      <c r="I8" s="13">
        <f ca="1">VLOOKUP($B8,'[1]Analisys QBR By Machine Report'!$C$109:$BD$166,5,FALSE)</f>
        <v>0</v>
      </c>
      <c r="J8" s="13">
        <f ca="1">VLOOKUP($B8,'[1]Analisys QBR By Machine Report'!$C$109:$BD$166,6,FALSE)</f>
        <v>210</v>
      </c>
      <c r="K8" s="13">
        <f ca="1">VLOOKUP($B8,'[1]Analisys QBR By Machine Report'!$C$109:$BD$166,7,FALSE)</f>
        <v>0</v>
      </c>
      <c r="L8" s="13">
        <f ca="1">VLOOKUP($B8,'[1]Analisys QBR By Machine Report'!$C$109:$BD$166,8,FALSE)</f>
        <v>2190</v>
      </c>
      <c r="M8" s="13">
        <f ca="1">VLOOKUP($B8,'[1]Analisys QBR By Machine Report'!$C$109:$BD$166,9,FALSE)</f>
        <v>380</v>
      </c>
      <c r="N8" s="13">
        <f ca="1">VLOOKUP($B8,[1]Dasboard_QBR_Report!$B$109:$BL$166,18,FALSE)</f>
        <v>1810</v>
      </c>
      <c r="O8" s="13">
        <f ca="1">VLOOKUP($B8,'[1]Analisys QBR By Machine Report'!$C$109:$BD$166,10,FALSE)</f>
        <v>55</v>
      </c>
      <c r="P8" s="13">
        <f ca="1">VLOOKUP($B8,'[1]Analisys QBR By Machine Report'!$C$109:$BD$166,11,FALSE)</f>
        <v>55</v>
      </c>
      <c r="Q8" s="13">
        <f ca="1">VLOOKUP($B8,'[1]Analisys QBR By Machine Report'!$C$109:$BD$166,12,FALSE)</f>
        <v>0</v>
      </c>
      <c r="R8" s="13">
        <f ca="1">VLOOKUP($B8,'[1]Analisys QBR By Machine Report'!$C$109:$BD$166,13,FALSE)</f>
        <v>0</v>
      </c>
      <c r="S8" s="13">
        <f ca="1">VLOOKUP($B8,'[1]Analisys QBR By Machine Report'!$C$109:$BD$166,14,FALSE)</f>
        <v>0</v>
      </c>
      <c r="T8" s="13">
        <f ca="1">VLOOKUP($B8,'[1]Analisys QBR By Machine Report'!$C$109:$BD$166,15,FALSE)</f>
        <v>0</v>
      </c>
      <c r="U8" s="13">
        <f ca="1">VLOOKUP($B8,'[1]Analisys QBR By Machine Report'!$C$109:$BD$166,16,FALSE)</f>
        <v>0</v>
      </c>
      <c r="V8" s="13">
        <f ca="1">VLOOKUP($B8,'[1]Analisys QBR By Machine Report'!$C$109:$BD$166,17,FALSE)</f>
        <v>0</v>
      </c>
      <c r="W8" s="13">
        <f ca="1">VLOOKUP($B8,'[1]Analisys QBR By Machine Report'!$C$109:$BD$166,18,FALSE)</f>
        <v>0</v>
      </c>
      <c r="X8" s="13">
        <f ca="1">VLOOKUP($B8,'[1]Analisys QBR By Machine Report'!$C$109:$BD$166,19,FALSE)</f>
        <v>0</v>
      </c>
      <c r="Y8" s="13">
        <f ca="1">VLOOKUP($B8,'[1]Analisys QBR By Machine Report'!$C$109:$BD$166,20,FALSE)</f>
        <v>0</v>
      </c>
      <c r="Z8" s="13">
        <f ca="1">VLOOKUP($B8,'[1]Analisys QBR By Machine Report'!$C$109:$BD$166,21,FALSE)</f>
        <v>155</v>
      </c>
      <c r="AA8" s="13">
        <f ca="1">VLOOKUP($B8,'[1]Analisys QBR By Machine Report'!$C$109:$BD$166,22,FALSE)</f>
        <v>45</v>
      </c>
      <c r="AB8" s="13">
        <f ca="1">VLOOKUP($B8,'[1]Analisys QBR By Machine Report'!$C$109:$BD$166,23,FALSE)</f>
        <v>50</v>
      </c>
      <c r="AC8" s="13">
        <f ca="1">VLOOKUP($B8,'[1]Analisys QBR By Machine Report'!$C$109:$BD$166,24,FALSE)</f>
        <v>30</v>
      </c>
      <c r="AD8" s="13">
        <f ca="1">VLOOKUP($B8,'[1]Analisys QBR By Machine Report'!$C$109:$BD$166,25,FALSE)</f>
        <v>0</v>
      </c>
      <c r="AE8" s="13">
        <f ca="1">VLOOKUP($B8,'[1]Analisys QBR By Machine Report'!$C$109:$BD$166,26,FALSE)</f>
        <v>30</v>
      </c>
      <c r="AF8" s="13">
        <f ca="1">VLOOKUP($B8,'[1]Analisys QBR By Machine Report'!$C$109:$BD$166,27,FALSE)</f>
        <v>0</v>
      </c>
      <c r="AG8" s="13">
        <f ca="1">VLOOKUP($B8,'[1]Analisys QBR By Machine Report'!$C$109:$BD$166,28,FALSE)</f>
        <v>0</v>
      </c>
      <c r="AH8" s="13">
        <f ca="1">VLOOKUP($B8,'[1]Analisys QBR By Machine Report'!$C$109:$BD$166,29,FALSE)</f>
        <v>0</v>
      </c>
      <c r="AI8" s="13">
        <f ca="1">VLOOKUP($B8,'[1]Analisys QBR By Machine Report'!$C$109:$BD$166,30,FALSE)</f>
        <v>1600</v>
      </c>
      <c r="AJ8" s="13">
        <f ca="1">VLOOKUP($B8,'[1]Analisys QBR By Machine Report'!$C$109:$BD$166,31,FALSE)</f>
        <v>0</v>
      </c>
      <c r="AK8" s="13">
        <f ca="1">VLOOKUP($B8,'[1]Analisys QBR By Machine Report'!$C$109:$BD$166,32,FALSE)</f>
        <v>0</v>
      </c>
      <c r="AL8" s="13">
        <f ca="1">VLOOKUP($B8,'[1]Analisys QBR By Machine Report'!$C$109:$BD$166,33,FALSE)</f>
        <v>60</v>
      </c>
      <c r="AM8" s="13">
        <f ca="1">VLOOKUP($B8,'[1]Analisys QBR By Machine Report'!$C$109:$BD$166,34,FALSE)</f>
        <v>0</v>
      </c>
      <c r="AN8" s="13">
        <f ca="1">VLOOKUP($B8,'[1]Analisys QBR By Machine Report'!$C$109:$BD$166,35,FALSE)</f>
        <v>30</v>
      </c>
      <c r="AO8" s="13">
        <f ca="1">VLOOKUP($B8,'[1]Analisys QBR By Machine Report'!$C$109:$BD$166,36,FALSE)</f>
        <v>0</v>
      </c>
      <c r="AP8" s="13">
        <f ca="1">VLOOKUP($B8,'[1]Analisys QBR By Machine Report'!$C$109:$BD$166,37,FALSE)</f>
        <v>0</v>
      </c>
      <c r="AQ8" s="13">
        <f ca="1">VLOOKUP($B8,'[1]Analisys QBR By Machine Report'!$C$109:$BD$166,38,FALSE)</f>
        <v>0</v>
      </c>
      <c r="AR8" s="13">
        <f ca="1">VLOOKUP($B8,'[1]Analisys QBR By Machine Report'!$C$109:$BD$166,39,FALSE)</f>
        <v>1510</v>
      </c>
      <c r="AS8" s="13">
        <f ca="1">VLOOKUP($B8,'[1]Analisys QBR By Machine Report'!$C$109:$BD$166,40,FALSE)</f>
        <v>0</v>
      </c>
      <c r="AT8" s="13">
        <f ca="1">VLOOKUP($B8,'[1]Analisys QBR By Machine Report'!$C$109:$BD$166,41,FALSE)</f>
        <v>0</v>
      </c>
      <c r="AU8" s="13">
        <f ca="1">VLOOKUP($B8,'[1]Analisys QBR By Machine Report'!$C$109:$BD$166,42,FALSE)</f>
        <v>0</v>
      </c>
      <c r="AV8" s="13">
        <f ca="1">VLOOKUP($B8,'[1]Analisys QBR By Machine Report'!$C$109:$BD$166,43,FALSE)</f>
        <v>0</v>
      </c>
      <c r="AW8" s="13">
        <f ca="1">VLOOKUP($B8,'[1]Analisys QBR By Machine Report'!$C$109:$BD$166,44,FALSE)</f>
        <v>0</v>
      </c>
      <c r="AX8" s="13">
        <f ca="1">VLOOKUP($B8,'[1]Analisys QBR By Machine Report'!$C$109:$BD$166,45,FALSE)</f>
        <v>0</v>
      </c>
      <c r="AY8" s="13">
        <f ca="1">VLOOKUP($B8,'[1]Analisys QBR By Machine Report'!$C$109:$BD$166,46,FALSE)</f>
        <v>0</v>
      </c>
      <c r="AZ8" s="13">
        <f ca="1">VLOOKUP($B8,'[1]Analisys QBR By Machine Report'!$C$109:$BD$166,47,FALSE)</f>
        <v>0</v>
      </c>
      <c r="BA8" s="13">
        <f ca="1">VLOOKUP($B8,'[1]Analisys QBR By Machine Report'!$C$109:$BD$166,48,FALSE)</f>
        <v>0</v>
      </c>
      <c r="BB8" s="13">
        <f ca="1">VLOOKUP($B8,'[1]Analisys QBR By Machine Report'!$C$109:$BD$166,49,FALSE)</f>
        <v>0</v>
      </c>
      <c r="BC8" s="13">
        <f ca="1">VLOOKUP($B8,'[1]Analisys QBR By Machine Report'!$C$109:$BD$166,50,FALSE)</f>
        <v>0</v>
      </c>
      <c r="BD8" s="13">
        <f ca="1">VLOOKUP($B8,'[1]Analisys QBR By Machine Report'!$C$109:$BD$166,51,FALSE)</f>
        <v>470938</v>
      </c>
      <c r="BE8" s="13">
        <f ca="1">VLOOKUP($B8,'[1]Analisys QBR By Machine Report'!$C$109:$BD$166,52,FALSE)</f>
        <v>0</v>
      </c>
      <c r="BF8" s="13">
        <f ca="1">VLOOKUP($B8,'[1]Analisys QBR By Machine Report'!$C$109:$BD$166,53,FALSE)</f>
        <v>470938</v>
      </c>
    </row>
    <row r="9" spans="1:58" x14ac:dyDescent="0.25">
      <c r="A9" s="9" t="s">
        <v>65</v>
      </c>
      <c r="B9" s="10">
        <f ca="1">VLOOKUP($B9,'[1]Analisys QBR By Machine Report'!$C$109:$BD$166,2,FALSE)</f>
        <v>79200</v>
      </c>
      <c r="C9" s="11">
        <f ca="1">VLOOKUP($B9,[1]Dasboard_QBR_Report!$B$109:$BL$166,3,FALSE)</f>
        <v>43050</v>
      </c>
      <c r="D9" s="10">
        <f ca="1">VLOOKUP($B9,'[1]Analisys QBR By Machine Report'!$C$109:$BD$166,3,FALSE)</f>
        <v>43110</v>
      </c>
      <c r="E9" s="11">
        <f ca="1">VLOOKUP($B9,[1]Dasboard_QBR_Report!$B$109:$BL$166,5,FALSE)</f>
        <v>6960</v>
      </c>
      <c r="F9" s="10">
        <f t="shared" ca="1" si="0"/>
        <v>36090</v>
      </c>
      <c r="G9" s="10">
        <f t="shared" ca="1" si="1"/>
        <v>1730</v>
      </c>
      <c r="H9" s="10">
        <f ca="1">VLOOKUP($B9,'[1]Analisys QBR By Machine Report'!$C$109:$BD$166,4,FALSE)</f>
        <v>1730</v>
      </c>
      <c r="I9" s="10">
        <f ca="1">VLOOKUP($B9,'[1]Analisys QBR By Machine Report'!$C$109:$BD$166,5,FALSE)</f>
        <v>30</v>
      </c>
      <c r="J9" s="10">
        <f ca="1">VLOOKUP($B9,'[1]Analisys QBR By Machine Report'!$C$109:$BD$166,6,FALSE)</f>
        <v>1700</v>
      </c>
      <c r="K9" s="10">
        <f ca="1">VLOOKUP($B9,'[1]Analisys QBR By Machine Report'!$C$109:$BD$166,7,FALSE)</f>
        <v>0</v>
      </c>
      <c r="L9" s="10">
        <f ca="1">VLOOKUP($B9,'[1]Analisys QBR By Machine Report'!$C$109:$BD$166,8,FALSE)</f>
        <v>34360</v>
      </c>
      <c r="M9" s="10">
        <f ca="1">VLOOKUP($B9,'[1]Analisys QBR By Machine Report'!$C$109:$BD$166,9,FALSE)</f>
        <v>12970</v>
      </c>
      <c r="N9" s="10">
        <f ca="1">VLOOKUP($B9,[1]Dasboard_QBR_Report!$B$109:$BL$166,18,FALSE)</f>
        <v>21390</v>
      </c>
      <c r="O9" s="10">
        <f ca="1">VLOOKUP($B9,'[1]Analisys QBR By Machine Report'!$C$109:$BD$166,10,FALSE)</f>
        <v>2582</v>
      </c>
      <c r="P9" s="10">
        <f ca="1">VLOOKUP($B9,'[1]Analisys QBR By Machine Report'!$C$109:$BD$166,11,FALSE)</f>
        <v>2185</v>
      </c>
      <c r="Q9" s="10">
        <f ca="1">VLOOKUP($B9,'[1]Analisys QBR By Machine Report'!$C$109:$BD$166,12,FALSE)</f>
        <v>0</v>
      </c>
      <c r="R9" s="10">
        <f ca="1">VLOOKUP($B9,'[1]Analisys QBR By Machine Report'!$C$109:$BD$166,13,FALSE)</f>
        <v>50</v>
      </c>
      <c r="S9" s="10">
        <f ca="1">VLOOKUP($B9,'[1]Analisys QBR By Machine Report'!$C$109:$BD$166,14,FALSE)</f>
        <v>347</v>
      </c>
      <c r="T9" s="10">
        <f ca="1">VLOOKUP($B9,'[1]Analisys QBR By Machine Report'!$C$109:$BD$166,15,FALSE)</f>
        <v>480</v>
      </c>
      <c r="U9" s="10">
        <f ca="1">VLOOKUP($B9,'[1]Analisys QBR By Machine Report'!$C$109:$BD$166,16,FALSE)</f>
        <v>480</v>
      </c>
      <c r="V9" s="10">
        <f ca="1">VLOOKUP($B9,'[1]Analisys QBR By Machine Report'!$C$109:$BD$166,17,FALSE)</f>
        <v>0</v>
      </c>
      <c r="W9" s="10">
        <f ca="1">VLOOKUP($B9,'[1]Analisys QBR By Machine Report'!$C$109:$BD$166,18,FALSE)</f>
        <v>0</v>
      </c>
      <c r="X9" s="10">
        <f ca="1">VLOOKUP($B9,'[1]Analisys QBR By Machine Report'!$C$109:$BD$166,19,FALSE)</f>
        <v>0</v>
      </c>
      <c r="Y9" s="10">
        <f ca="1">VLOOKUP($B9,'[1]Analisys QBR By Machine Report'!$C$109:$BD$166,20,FALSE)</f>
        <v>0</v>
      </c>
      <c r="Z9" s="10">
        <f ca="1">VLOOKUP($B9,'[1]Analisys QBR By Machine Report'!$C$109:$BD$166,21,FALSE)</f>
        <v>5005</v>
      </c>
      <c r="AA9" s="10">
        <f ca="1">VLOOKUP($B9,'[1]Analisys QBR By Machine Report'!$C$109:$BD$166,22,FALSE)</f>
        <v>1005</v>
      </c>
      <c r="AB9" s="10">
        <f ca="1">VLOOKUP($B9,'[1]Analisys QBR By Machine Report'!$C$109:$BD$166,23,FALSE)</f>
        <v>3005</v>
      </c>
      <c r="AC9" s="10">
        <f ca="1">VLOOKUP($B9,'[1]Analisys QBR By Machine Report'!$C$109:$BD$166,24,FALSE)</f>
        <v>260</v>
      </c>
      <c r="AD9" s="10">
        <f ca="1">VLOOKUP($B9,'[1]Analisys QBR By Machine Report'!$C$109:$BD$166,25,FALSE)</f>
        <v>0</v>
      </c>
      <c r="AE9" s="10">
        <f ca="1">VLOOKUP($B9,'[1]Analisys QBR By Machine Report'!$C$109:$BD$166,26,FALSE)</f>
        <v>735</v>
      </c>
      <c r="AF9" s="10">
        <f ca="1">VLOOKUP($B9,'[1]Analisys QBR By Machine Report'!$C$109:$BD$166,27,FALSE)</f>
        <v>2698</v>
      </c>
      <c r="AG9" s="10">
        <f ca="1">VLOOKUP($B9,'[1]Analisys QBR By Machine Report'!$C$109:$BD$166,28,FALSE)</f>
        <v>290</v>
      </c>
      <c r="AH9" s="10">
        <f ca="1">VLOOKUP($B9,'[1]Analisys QBR By Machine Report'!$C$109:$BD$166,29,FALSE)</f>
        <v>2408</v>
      </c>
      <c r="AI9" s="10">
        <f ca="1">VLOOKUP($B9,'[1]Analisys QBR By Machine Report'!$C$109:$BD$166,30,FALSE)</f>
        <v>10625</v>
      </c>
      <c r="AJ9" s="10">
        <f ca="1">VLOOKUP($B9,'[1]Analisys QBR By Machine Report'!$C$109:$BD$166,31,FALSE)</f>
        <v>0</v>
      </c>
      <c r="AK9" s="10">
        <f ca="1">VLOOKUP($B9,'[1]Analisys QBR By Machine Report'!$C$109:$BD$166,32,FALSE)</f>
        <v>0</v>
      </c>
      <c r="AL9" s="10">
        <f ca="1">VLOOKUP($B9,'[1]Analisys QBR By Machine Report'!$C$109:$BD$166,33,FALSE)</f>
        <v>1805</v>
      </c>
      <c r="AM9" s="10">
        <f ca="1">VLOOKUP($B9,'[1]Analisys QBR By Machine Report'!$C$109:$BD$166,34,FALSE)</f>
        <v>0</v>
      </c>
      <c r="AN9" s="10">
        <f ca="1">VLOOKUP($B9,'[1]Analisys QBR By Machine Report'!$C$109:$BD$166,35,FALSE)</f>
        <v>1735</v>
      </c>
      <c r="AO9" s="10">
        <f ca="1">VLOOKUP($B9,'[1]Analisys QBR By Machine Report'!$C$109:$BD$166,36,FALSE)</f>
        <v>895</v>
      </c>
      <c r="AP9" s="10">
        <f ca="1">VLOOKUP($B9,'[1]Analisys QBR By Machine Report'!$C$109:$BD$166,37,FALSE)</f>
        <v>20</v>
      </c>
      <c r="AQ9" s="10">
        <f ca="1">VLOOKUP($B9,'[1]Analisys QBR By Machine Report'!$C$109:$BD$166,38,FALSE)</f>
        <v>0</v>
      </c>
      <c r="AR9" s="10">
        <f ca="1">VLOOKUP($B9,'[1]Analisys QBR By Machine Report'!$C$109:$BD$166,39,FALSE)</f>
        <v>1305</v>
      </c>
      <c r="AS9" s="10">
        <f ca="1">VLOOKUP($B9,'[1]Analisys QBR By Machine Report'!$C$109:$BD$166,40,FALSE)</f>
        <v>725</v>
      </c>
      <c r="AT9" s="10">
        <f ca="1">VLOOKUP($B9,'[1]Analisys QBR By Machine Report'!$C$109:$BD$166,41,FALSE)</f>
        <v>0</v>
      </c>
      <c r="AU9" s="10">
        <f ca="1">VLOOKUP($B9,'[1]Analisys QBR By Machine Report'!$C$109:$BD$166,42,FALSE)</f>
        <v>0</v>
      </c>
      <c r="AV9" s="10">
        <f ca="1">VLOOKUP($B9,'[1]Analisys QBR By Machine Report'!$C$109:$BD$166,43,FALSE)</f>
        <v>0</v>
      </c>
      <c r="AW9" s="10">
        <f ca="1">VLOOKUP($B9,'[1]Analisys QBR By Machine Report'!$C$109:$BD$166,44,FALSE)</f>
        <v>150</v>
      </c>
      <c r="AX9" s="10">
        <f ca="1">VLOOKUP($B9,'[1]Analisys QBR By Machine Report'!$C$109:$BD$166,45,FALSE)</f>
        <v>0</v>
      </c>
      <c r="AY9" s="10">
        <f ca="1">VLOOKUP($B9,'[1]Analisys QBR By Machine Report'!$C$109:$BD$166,46,FALSE)</f>
        <v>0</v>
      </c>
      <c r="AZ9" s="10">
        <f ca="1">VLOOKUP($B9,'[1]Analisys QBR By Machine Report'!$C$109:$BD$166,47,FALSE)</f>
        <v>2950</v>
      </c>
      <c r="BA9" s="10">
        <f ca="1">VLOOKUP($B9,'[1]Analisys QBR By Machine Report'!$C$109:$BD$166,48,FALSE)</f>
        <v>895</v>
      </c>
      <c r="BB9" s="10">
        <f ca="1">VLOOKUP($B9,'[1]Analisys QBR By Machine Report'!$C$109:$BD$166,49,FALSE)</f>
        <v>0</v>
      </c>
      <c r="BC9" s="10">
        <f ca="1">VLOOKUP($B9,'[1]Analisys QBR By Machine Report'!$C$109:$BD$166,50,FALSE)</f>
        <v>145</v>
      </c>
      <c r="BD9" s="10">
        <f ca="1">VLOOKUP($B9,'[1]Analisys QBR By Machine Report'!$C$109:$BD$166,51,FALSE)</f>
        <v>10272127</v>
      </c>
      <c r="BE9" s="10">
        <f ca="1">VLOOKUP($B9,'[1]Analisys QBR By Machine Report'!$C$109:$BD$166,52,FALSE)</f>
        <v>7336</v>
      </c>
      <c r="BF9" s="10">
        <f ca="1">VLOOKUP($B9,'[1]Analisys QBR By Machine Report'!$C$109:$BD$166,53,FALSE)</f>
        <v>10264791</v>
      </c>
    </row>
    <row r="10" spans="1:58" x14ac:dyDescent="0.25">
      <c r="A10" s="12" t="s">
        <v>66</v>
      </c>
      <c r="B10" s="13">
        <f ca="1">VLOOKUP($B10,'[1]Analisys QBR By Machine Report'!$C$109:$BD$166,2,FALSE)</f>
        <v>27360</v>
      </c>
      <c r="C10" s="14">
        <f ca="1">VLOOKUP($B10,[1]Dasboard_QBR_Report!$B$109:$BL$166,3,FALSE)</f>
        <v>17670</v>
      </c>
      <c r="D10" s="13">
        <f ca="1">VLOOKUP($B10,'[1]Analisys QBR By Machine Report'!$C$109:$BD$166,3,FALSE)</f>
        <v>10890</v>
      </c>
      <c r="E10" s="14">
        <f ca="1">VLOOKUP($B10,[1]Dasboard_QBR_Report!$B$109:$BL$166,5,FALSE)</f>
        <v>1200</v>
      </c>
      <c r="F10" s="13">
        <f t="shared" ca="1" si="0"/>
        <v>16470</v>
      </c>
      <c r="G10" s="13">
        <f t="shared" ca="1" si="1"/>
        <v>575</v>
      </c>
      <c r="H10" s="13">
        <f ca="1">VLOOKUP($B10,'[1]Analisys QBR By Machine Report'!$C$109:$BD$166,4,FALSE)</f>
        <v>575</v>
      </c>
      <c r="I10" s="13">
        <f ca="1">VLOOKUP($B10,'[1]Analisys QBR By Machine Report'!$C$109:$BD$166,5,FALSE)</f>
        <v>0</v>
      </c>
      <c r="J10" s="13">
        <f ca="1">VLOOKUP($B10,'[1]Analisys QBR By Machine Report'!$C$109:$BD$166,6,FALSE)</f>
        <v>575</v>
      </c>
      <c r="K10" s="13">
        <f ca="1">VLOOKUP($B10,'[1]Analisys QBR By Machine Report'!$C$109:$BD$166,7,FALSE)</f>
        <v>0</v>
      </c>
      <c r="L10" s="13">
        <f ca="1">VLOOKUP($B10,'[1]Analisys QBR By Machine Report'!$C$109:$BD$166,8,FALSE)</f>
        <v>15895</v>
      </c>
      <c r="M10" s="13">
        <f ca="1">VLOOKUP($B10,'[1]Analisys QBR By Machine Report'!$C$109:$BD$166,9,FALSE)</f>
        <v>6180</v>
      </c>
      <c r="N10" s="13">
        <f ca="1">VLOOKUP($B10,[1]Dasboard_QBR_Report!$B$109:$BL$166,18,FALSE)</f>
        <v>9715</v>
      </c>
      <c r="O10" s="13">
        <f ca="1">VLOOKUP($B10,'[1]Analisys QBR By Machine Report'!$C$109:$BD$166,10,FALSE)</f>
        <v>840</v>
      </c>
      <c r="P10" s="13">
        <f ca="1">VLOOKUP($B10,'[1]Analisys QBR By Machine Report'!$C$109:$BD$166,11,FALSE)</f>
        <v>810</v>
      </c>
      <c r="Q10" s="13">
        <f ca="1">VLOOKUP($B10,'[1]Analisys QBR By Machine Report'!$C$109:$BD$166,12,FALSE)</f>
        <v>0</v>
      </c>
      <c r="R10" s="13">
        <f ca="1">VLOOKUP($B10,'[1]Analisys QBR By Machine Report'!$C$109:$BD$166,13,FALSE)</f>
        <v>0</v>
      </c>
      <c r="S10" s="13">
        <f ca="1">VLOOKUP($B10,'[1]Analisys QBR By Machine Report'!$C$109:$BD$166,14,FALSE)</f>
        <v>30</v>
      </c>
      <c r="T10" s="13">
        <f ca="1">VLOOKUP($B10,'[1]Analisys QBR By Machine Report'!$C$109:$BD$166,15,FALSE)</f>
        <v>125</v>
      </c>
      <c r="U10" s="13">
        <f ca="1">VLOOKUP($B10,'[1]Analisys QBR By Machine Report'!$C$109:$BD$166,16,FALSE)</f>
        <v>125</v>
      </c>
      <c r="V10" s="13">
        <f ca="1">VLOOKUP($B10,'[1]Analisys QBR By Machine Report'!$C$109:$BD$166,17,FALSE)</f>
        <v>0</v>
      </c>
      <c r="W10" s="13">
        <f ca="1">VLOOKUP($B10,'[1]Analisys QBR By Machine Report'!$C$109:$BD$166,18,FALSE)</f>
        <v>0</v>
      </c>
      <c r="X10" s="13">
        <f ca="1">VLOOKUP($B10,'[1]Analisys QBR By Machine Report'!$C$109:$BD$166,19,FALSE)</f>
        <v>0</v>
      </c>
      <c r="Y10" s="13">
        <f ca="1">VLOOKUP($B10,'[1]Analisys QBR By Machine Report'!$C$109:$BD$166,20,FALSE)</f>
        <v>0</v>
      </c>
      <c r="Z10" s="13">
        <f ca="1">VLOOKUP($B10,'[1]Analisys QBR By Machine Report'!$C$109:$BD$166,21,FALSE)</f>
        <v>2245</v>
      </c>
      <c r="AA10" s="13">
        <f ca="1">VLOOKUP($B10,'[1]Analisys QBR By Machine Report'!$C$109:$BD$166,22,FALSE)</f>
        <v>440</v>
      </c>
      <c r="AB10" s="13">
        <f ca="1">VLOOKUP($B10,'[1]Analisys QBR By Machine Report'!$C$109:$BD$166,23,FALSE)</f>
        <v>1375</v>
      </c>
      <c r="AC10" s="13">
        <f ca="1">VLOOKUP($B10,'[1]Analisys QBR By Machine Report'!$C$109:$BD$166,24,FALSE)</f>
        <v>125</v>
      </c>
      <c r="AD10" s="13">
        <f ca="1">VLOOKUP($B10,'[1]Analisys QBR By Machine Report'!$C$109:$BD$166,25,FALSE)</f>
        <v>0</v>
      </c>
      <c r="AE10" s="13">
        <f ca="1">VLOOKUP($B10,'[1]Analisys QBR By Machine Report'!$C$109:$BD$166,26,FALSE)</f>
        <v>305</v>
      </c>
      <c r="AF10" s="13">
        <f ca="1">VLOOKUP($B10,'[1]Analisys QBR By Machine Report'!$C$109:$BD$166,27,FALSE)</f>
        <v>2510</v>
      </c>
      <c r="AG10" s="13">
        <f ca="1">VLOOKUP($B10,'[1]Analisys QBR By Machine Report'!$C$109:$BD$166,28,FALSE)</f>
        <v>290</v>
      </c>
      <c r="AH10" s="13">
        <f ca="1">VLOOKUP($B10,'[1]Analisys QBR By Machine Report'!$C$109:$BD$166,29,FALSE)</f>
        <v>2220</v>
      </c>
      <c r="AI10" s="13">
        <f ca="1">VLOOKUP($B10,'[1]Analisys QBR By Machine Report'!$C$109:$BD$166,30,FALSE)</f>
        <v>3995</v>
      </c>
      <c r="AJ10" s="13">
        <f ca="1">VLOOKUP($B10,'[1]Analisys QBR By Machine Report'!$C$109:$BD$166,31,FALSE)</f>
        <v>0</v>
      </c>
      <c r="AK10" s="13">
        <f ca="1">VLOOKUP($B10,'[1]Analisys QBR By Machine Report'!$C$109:$BD$166,32,FALSE)</f>
        <v>0</v>
      </c>
      <c r="AL10" s="13">
        <f ca="1">VLOOKUP($B10,'[1]Analisys QBR By Machine Report'!$C$109:$BD$166,33,FALSE)</f>
        <v>755</v>
      </c>
      <c r="AM10" s="13">
        <f ca="1">VLOOKUP($B10,'[1]Analisys QBR By Machine Report'!$C$109:$BD$166,34,FALSE)</f>
        <v>0</v>
      </c>
      <c r="AN10" s="13">
        <f ca="1">VLOOKUP($B10,'[1]Analisys QBR By Machine Report'!$C$109:$BD$166,35,FALSE)</f>
        <v>655</v>
      </c>
      <c r="AO10" s="13">
        <f ca="1">VLOOKUP($B10,'[1]Analisys QBR By Machine Report'!$C$109:$BD$166,36,FALSE)</f>
        <v>615</v>
      </c>
      <c r="AP10" s="13">
        <f ca="1">VLOOKUP($B10,'[1]Analisys QBR By Machine Report'!$C$109:$BD$166,37,FALSE)</f>
        <v>20</v>
      </c>
      <c r="AQ10" s="13">
        <f ca="1">VLOOKUP($B10,'[1]Analisys QBR By Machine Report'!$C$109:$BD$166,38,FALSE)</f>
        <v>0</v>
      </c>
      <c r="AR10" s="13">
        <f ca="1">VLOOKUP($B10,'[1]Analisys QBR By Machine Report'!$C$109:$BD$166,39,FALSE)</f>
        <v>355</v>
      </c>
      <c r="AS10" s="13">
        <f ca="1">VLOOKUP($B10,'[1]Analisys QBR By Machine Report'!$C$109:$BD$166,40,FALSE)</f>
        <v>350</v>
      </c>
      <c r="AT10" s="13">
        <f ca="1">VLOOKUP($B10,'[1]Analisys QBR By Machine Report'!$C$109:$BD$166,41,FALSE)</f>
        <v>0</v>
      </c>
      <c r="AU10" s="13">
        <f ca="1">VLOOKUP($B10,'[1]Analisys QBR By Machine Report'!$C$109:$BD$166,42,FALSE)</f>
        <v>0</v>
      </c>
      <c r="AV10" s="13">
        <f ca="1">VLOOKUP($B10,'[1]Analisys QBR By Machine Report'!$C$109:$BD$166,43,FALSE)</f>
        <v>0</v>
      </c>
      <c r="AW10" s="13">
        <f ca="1">VLOOKUP($B10,'[1]Analisys QBR By Machine Report'!$C$109:$BD$166,44,FALSE)</f>
        <v>0</v>
      </c>
      <c r="AX10" s="13">
        <f ca="1">VLOOKUP($B10,'[1]Analisys QBR By Machine Report'!$C$109:$BD$166,45,FALSE)</f>
        <v>0</v>
      </c>
      <c r="AY10" s="13">
        <f ca="1">VLOOKUP($B10,'[1]Analisys QBR By Machine Report'!$C$109:$BD$166,46,FALSE)</f>
        <v>0</v>
      </c>
      <c r="AZ10" s="13">
        <f ca="1">VLOOKUP($B10,'[1]Analisys QBR By Machine Report'!$C$109:$BD$166,47,FALSE)</f>
        <v>1100</v>
      </c>
      <c r="BA10" s="13">
        <f ca="1">VLOOKUP($B10,'[1]Analisys QBR By Machine Report'!$C$109:$BD$166,48,FALSE)</f>
        <v>0</v>
      </c>
      <c r="BB10" s="13">
        <f ca="1">VLOOKUP($B10,'[1]Analisys QBR By Machine Report'!$C$109:$BD$166,49,FALSE)</f>
        <v>0</v>
      </c>
      <c r="BC10" s="13">
        <f ca="1">VLOOKUP($B10,'[1]Analisys QBR By Machine Report'!$C$109:$BD$166,50,FALSE)</f>
        <v>145</v>
      </c>
      <c r="BD10" s="13">
        <f ca="1">VLOOKUP($B10,'[1]Analisys QBR By Machine Report'!$C$109:$BD$166,51,FALSE)</f>
        <v>6107160</v>
      </c>
      <c r="BE10" s="13">
        <f ca="1">VLOOKUP($B10,'[1]Analisys QBR By Machine Report'!$C$109:$BD$166,52,FALSE)</f>
        <v>6776</v>
      </c>
      <c r="BF10" s="13">
        <f ca="1">VLOOKUP($B10,'[1]Analisys QBR By Machine Report'!$C$109:$BD$166,53,FALSE)</f>
        <v>6100384</v>
      </c>
    </row>
    <row r="11" spans="1:58" x14ac:dyDescent="0.25">
      <c r="A11" s="12" t="s">
        <v>67</v>
      </c>
      <c r="B11" s="13">
        <f ca="1">VLOOKUP($B11,'[1]Analisys QBR By Machine Report'!$C$109:$BD$166,2,FALSE)</f>
        <v>25920</v>
      </c>
      <c r="C11" s="14">
        <f ca="1">VLOOKUP($B11,[1]Dasboard_QBR_Report!$B$109:$BL$166,3,FALSE)</f>
        <v>8640</v>
      </c>
      <c r="D11" s="13">
        <f ca="1">VLOOKUP($B11,'[1]Analisys QBR By Machine Report'!$C$109:$BD$166,3,FALSE)</f>
        <v>22140</v>
      </c>
      <c r="E11" s="14">
        <f ca="1">VLOOKUP($B11,[1]Dasboard_QBR_Report!$B$109:$BL$166,5,FALSE)</f>
        <v>4860</v>
      </c>
      <c r="F11" s="13">
        <f t="shared" ca="1" si="0"/>
        <v>3780</v>
      </c>
      <c r="G11" s="13">
        <f t="shared" ca="1" si="1"/>
        <v>1065</v>
      </c>
      <c r="H11" s="13">
        <f ca="1">VLOOKUP($B11,'[1]Analisys QBR By Machine Report'!$C$109:$BD$166,4,FALSE)</f>
        <v>1065</v>
      </c>
      <c r="I11" s="13">
        <f ca="1">VLOOKUP($B11,'[1]Analisys QBR By Machine Report'!$C$109:$BD$166,5,FALSE)</f>
        <v>0</v>
      </c>
      <c r="J11" s="13">
        <f ca="1">VLOOKUP($B11,'[1]Analisys QBR By Machine Report'!$C$109:$BD$166,6,FALSE)</f>
        <v>1065</v>
      </c>
      <c r="K11" s="13">
        <f ca="1">VLOOKUP($B11,'[1]Analisys QBR By Machine Report'!$C$109:$BD$166,7,FALSE)</f>
        <v>0</v>
      </c>
      <c r="L11" s="13">
        <f ca="1">VLOOKUP($B11,'[1]Analisys QBR By Machine Report'!$C$109:$BD$166,8,FALSE)</f>
        <v>2715</v>
      </c>
      <c r="M11" s="13">
        <f ca="1">VLOOKUP($B11,'[1]Analisys QBR By Machine Report'!$C$109:$BD$166,9,FALSE)</f>
        <v>635</v>
      </c>
      <c r="N11" s="13">
        <f ca="1">VLOOKUP($B11,[1]Dasboard_QBR_Report!$B$109:$BL$166,18,FALSE)</f>
        <v>2080</v>
      </c>
      <c r="O11" s="13">
        <f ca="1">VLOOKUP($B11,'[1]Analisys QBR By Machine Report'!$C$109:$BD$166,10,FALSE)</f>
        <v>345</v>
      </c>
      <c r="P11" s="13">
        <f ca="1">VLOOKUP($B11,'[1]Analisys QBR By Machine Report'!$C$109:$BD$166,11,FALSE)</f>
        <v>295</v>
      </c>
      <c r="Q11" s="13">
        <f ca="1">VLOOKUP($B11,'[1]Analisys QBR By Machine Report'!$C$109:$BD$166,12,FALSE)</f>
        <v>0</v>
      </c>
      <c r="R11" s="13">
        <f ca="1">VLOOKUP($B11,'[1]Analisys QBR By Machine Report'!$C$109:$BD$166,13,FALSE)</f>
        <v>0</v>
      </c>
      <c r="S11" s="13">
        <f ca="1">VLOOKUP($B11,'[1]Analisys QBR By Machine Report'!$C$109:$BD$166,14,FALSE)</f>
        <v>50</v>
      </c>
      <c r="T11" s="13">
        <f ca="1">VLOOKUP($B11,'[1]Analisys QBR By Machine Report'!$C$109:$BD$166,15,FALSE)</f>
        <v>60</v>
      </c>
      <c r="U11" s="13">
        <f ca="1">VLOOKUP($B11,'[1]Analisys QBR By Machine Report'!$C$109:$BD$166,16,FALSE)</f>
        <v>60</v>
      </c>
      <c r="V11" s="13">
        <f ca="1">VLOOKUP($B11,'[1]Analisys QBR By Machine Report'!$C$109:$BD$166,17,FALSE)</f>
        <v>0</v>
      </c>
      <c r="W11" s="13">
        <f ca="1">VLOOKUP($B11,'[1]Analisys QBR By Machine Report'!$C$109:$BD$166,18,FALSE)</f>
        <v>0</v>
      </c>
      <c r="X11" s="13">
        <f ca="1">VLOOKUP($B11,'[1]Analisys QBR By Machine Report'!$C$109:$BD$166,19,FALSE)</f>
        <v>0</v>
      </c>
      <c r="Y11" s="13">
        <f ca="1">VLOOKUP($B11,'[1]Analisys QBR By Machine Report'!$C$109:$BD$166,20,FALSE)</f>
        <v>0</v>
      </c>
      <c r="Z11" s="13">
        <f ca="1">VLOOKUP($B11,'[1]Analisys QBR By Machine Report'!$C$109:$BD$166,21,FALSE)</f>
        <v>440</v>
      </c>
      <c r="AA11" s="13">
        <f ca="1">VLOOKUP($B11,'[1]Analisys QBR By Machine Report'!$C$109:$BD$166,22,FALSE)</f>
        <v>40</v>
      </c>
      <c r="AB11" s="13">
        <f ca="1">VLOOKUP($B11,'[1]Analisys QBR By Machine Report'!$C$109:$BD$166,23,FALSE)</f>
        <v>270</v>
      </c>
      <c r="AC11" s="13">
        <f ca="1">VLOOKUP($B11,'[1]Analisys QBR By Machine Report'!$C$109:$BD$166,24,FALSE)</f>
        <v>0</v>
      </c>
      <c r="AD11" s="13">
        <f ca="1">VLOOKUP($B11,'[1]Analisys QBR By Machine Report'!$C$109:$BD$166,25,FALSE)</f>
        <v>0</v>
      </c>
      <c r="AE11" s="13">
        <f ca="1">VLOOKUP($B11,'[1]Analisys QBR By Machine Report'!$C$109:$BD$166,26,FALSE)</f>
        <v>130</v>
      </c>
      <c r="AF11" s="13">
        <f ca="1">VLOOKUP($B11,'[1]Analisys QBR By Machine Report'!$C$109:$BD$166,27,FALSE)</f>
        <v>90</v>
      </c>
      <c r="AG11" s="13">
        <f ca="1">VLOOKUP($B11,'[1]Analisys QBR By Machine Report'!$C$109:$BD$166,28,FALSE)</f>
        <v>0</v>
      </c>
      <c r="AH11" s="13">
        <f ca="1">VLOOKUP($B11,'[1]Analisys QBR By Machine Report'!$C$109:$BD$166,29,FALSE)</f>
        <v>90</v>
      </c>
      <c r="AI11" s="13">
        <f ca="1">VLOOKUP($B11,'[1]Analisys QBR By Machine Report'!$C$109:$BD$166,30,FALSE)</f>
        <v>1145</v>
      </c>
      <c r="AJ11" s="13">
        <f ca="1">VLOOKUP($B11,'[1]Analisys QBR By Machine Report'!$C$109:$BD$166,31,FALSE)</f>
        <v>0</v>
      </c>
      <c r="AK11" s="13">
        <f ca="1">VLOOKUP($B11,'[1]Analisys QBR By Machine Report'!$C$109:$BD$166,32,FALSE)</f>
        <v>0</v>
      </c>
      <c r="AL11" s="13">
        <f ca="1">VLOOKUP($B11,'[1]Analisys QBR By Machine Report'!$C$109:$BD$166,33,FALSE)</f>
        <v>120</v>
      </c>
      <c r="AM11" s="13">
        <f ca="1">VLOOKUP($B11,'[1]Analisys QBR By Machine Report'!$C$109:$BD$166,34,FALSE)</f>
        <v>0</v>
      </c>
      <c r="AN11" s="13">
        <f ca="1">VLOOKUP($B11,'[1]Analisys QBR By Machine Report'!$C$109:$BD$166,35,FALSE)</f>
        <v>120</v>
      </c>
      <c r="AO11" s="13">
        <f ca="1">VLOOKUP($B11,'[1]Analisys QBR By Machine Report'!$C$109:$BD$166,36,FALSE)</f>
        <v>280</v>
      </c>
      <c r="AP11" s="13">
        <f ca="1">VLOOKUP($B11,'[1]Analisys QBR By Machine Report'!$C$109:$BD$166,37,FALSE)</f>
        <v>0</v>
      </c>
      <c r="AQ11" s="13">
        <f ca="1">VLOOKUP($B11,'[1]Analisys QBR By Machine Report'!$C$109:$BD$166,38,FALSE)</f>
        <v>0</v>
      </c>
      <c r="AR11" s="13">
        <f ca="1">VLOOKUP($B11,'[1]Analisys QBR By Machine Report'!$C$109:$BD$166,39,FALSE)</f>
        <v>255</v>
      </c>
      <c r="AS11" s="13">
        <f ca="1">VLOOKUP($B11,'[1]Analisys QBR By Machine Report'!$C$109:$BD$166,40,FALSE)</f>
        <v>70</v>
      </c>
      <c r="AT11" s="13">
        <f ca="1">VLOOKUP($B11,'[1]Analisys QBR By Machine Report'!$C$109:$BD$166,41,FALSE)</f>
        <v>0</v>
      </c>
      <c r="AU11" s="13">
        <f ca="1">VLOOKUP($B11,'[1]Analisys QBR By Machine Report'!$C$109:$BD$166,42,FALSE)</f>
        <v>0</v>
      </c>
      <c r="AV11" s="13">
        <f ca="1">VLOOKUP($B11,'[1]Analisys QBR By Machine Report'!$C$109:$BD$166,43,FALSE)</f>
        <v>0</v>
      </c>
      <c r="AW11" s="13">
        <f ca="1">VLOOKUP($B11,'[1]Analisys QBR By Machine Report'!$C$109:$BD$166,44,FALSE)</f>
        <v>0</v>
      </c>
      <c r="AX11" s="13">
        <f ca="1">VLOOKUP($B11,'[1]Analisys QBR By Machine Report'!$C$109:$BD$166,45,FALSE)</f>
        <v>0</v>
      </c>
      <c r="AY11" s="13">
        <f ca="1">VLOOKUP($B11,'[1]Analisys QBR By Machine Report'!$C$109:$BD$166,46,FALSE)</f>
        <v>0</v>
      </c>
      <c r="AZ11" s="13">
        <f ca="1">VLOOKUP($B11,'[1]Analisys QBR By Machine Report'!$C$109:$BD$166,47,FALSE)</f>
        <v>250</v>
      </c>
      <c r="BA11" s="13">
        <f ca="1">VLOOKUP($B11,'[1]Analisys QBR By Machine Report'!$C$109:$BD$166,48,FALSE)</f>
        <v>50</v>
      </c>
      <c r="BB11" s="13">
        <f ca="1">VLOOKUP($B11,'[1]Analisys QBR By Machine Report'!$C$109:$BD$166,49,FALSE)</f>
        <v>0</v>
      </c>
      <c r="BC11" s="13">
        <f ca="1">VLOOKUP($B11,'[1]Analisys QBR By Machine Report'!$C$109:$BD$166,50,FALSE)</f>
        <v>0</v>
      </c>
      <c r="BD11" s="13">
        <f ca="1">VLOOKUP($B11,'[1]Analisys QBR By Machine Report'!$C$109:$BD$166,51,FALSE)</f>
        <v>502104</v>
      </c>
      <c r="BE11" s="13">
        <f ca="1">VLOOKUP($B11,'[1]Analisys QBR By Machine Report'!$C$109:$BD$166,52,FALSE)</f>
        <v>0</v>
      </c>
      <c r="BF11" s="13">
        <f ca="1">VLOOKUP($B11,'[1]Analisys QBR By Machine Report'!$C$109:$BD$166,53,FALSE)</f>
        <v>502104</v>
      </c>
    </row>
    <row r="12" spans="1:58" x14ac:dyDescent="0.25">
      <c r="A12" s="12" t="s">
        <v>68</v>
      </c>
      <c r="B12" s="13">
        <f ca="1">VLOOKUP($B12,'[1]Analisys QBR By Machine Report'!$C$109:$BD$166,2,FALSE)</f>
        <v>25920</v>
      </c>
      <c r="C12" s="14">
        <f ca="1">VLOOKUP($B12,[1]Dasboard_QBR_Report!$B$109:$BL$166,3,FALSE)</f>
        <v>16740</v>
      </c>
      <c r="D12" s="13">
        <f ca="1">VLOOKUP($B12,'[1]Analisys QBR By Machine Report'!$C$109:$BD$166,3,FALSE)</f>
        <v>10080</v>
      </c>
      <c r="E12" s="14">
        <f ca="1">VLOOKUP($B12,[1]Dasboard_QBR_Report!$B$109:$BL$166,5,FALSE)</f>
        <v>900</v>
      </c>
      <c r="F12" s="13">
        <f t="shared" ca="1" si="0"/>
        <v>15840</v>
      </c>
      <c r="G12" s="13">
        <f t="shared" ca="1" si="1"/>
        <v>90</v>
      </c>
      <c r="H12" s="13">
        <f ca="1">VLOOKUP($B12,'[1]Analisys QBR By Machine Report'!$C$109:$BD$166,4,FALSE)</f>
        <v>90</v>
      </c>
      <c r="I12" s="13">
        <f ca="1">VLOOKUP($B12,'[1]Analisys QBR By Machine Report'!$C$109:$BD$166,5,FALSE)</f>
        <v>30</v>
      </c>
      <c r="J12" s="13">
        <f ca="1">VLOOKUP($B12,'[1]Analisys QBR By Machine Report'!$C$109:$BD$166,6,FALSE)</f>
        <v>60</v>
      </c>
      <c r="K12" s="13">
        <f ca="1">VLOOKUP($B12,'[1]Analisys QBR By Machine Report'!$C$109:$BD$166,7,FALSE)</f>
        <v>0</v>
      </c>
      <c r="L12" s="13">
        <f ca="1">VLOOKUP($B12,'[1]Analisys QBR By Machine Report'!$C$109:$BD$166,8,FALSE)</f>
        <v>15750</v>
      </c>
      <c r="M12" s="13">
        <f ca="1">VLOOKUP($B12,'[1]Analisys QBR By Machine Report'!$C$109:$BD$166,9,FALSE)</f>
        <v>6155</v>
      </c>
      <c r="N12" s="13">
        <f ca="1">VLOOKUP($B12,[1]Dasboard_QBR_Report!$B$109:$BL$166,18,FALSE)</f>
        <v>9595</v>
      </c>
      <c r="O12" s="13">
        <f ca="1">VLOOKUP($B12,'[1]Analisys QBR By Machine Report'!$C$109:$BD$166,10,FALSE)</f>
        <v>1397</v>
      </c>
      <c r="P12" s="13">
        <f ca="1">VLOOKUP($B12,'[1]Analisys QBR By Machine Report'!$C$109:$BD$166,11,FALSE)</f>
        <v>1080</v>
      </c>
      <c r="Q12" s="13">
        <f ca="1">VLOOKUP($B12,'[1]Analisys QBR By Machine Report'!$C$109:$BD$166,12,FALSE)</f>
        <v>0</v>
      </c>
      <c r="R12" s="13">
        <f ca="1">VLOOKUP($B12,'[1]Analisys QBR By Machine Report'!$C$109:$BD$166,13,FALSE)</f>
        <v>50</v>
      </c>
      <c r="S12" s="13">
        <f ca="1">VLOOKUP($B12,'[1]Analisys QBR By Machine Report'!$C$109:$BD$166,14,FALSE)</f>
        <v>267</v>
      </c>
      <c r="T12" s="13">
        <f ca="1">VLOOKUP($B12,'[1]Analisys QBR By Machine Report'!$C$109:$BD$166,15,FALSE)</f>
        <v>295</v>
      </c>
      <c r="U12" s="13">
        <f ca="1">VLOOKUP($B12,'[1]Analisys QBR By Machine Report'!$C$109:$BD$166,16,FALSE)</f>
        <v>295</v>
      </c>
      <c r="V12" s="13">
        <f ca="1">VLOOKUP($B12,'[1]Analisys QBR By Machine Report'!$C$109:$BD$166,17,FALSE)</f>
        <v>0</v>
      </c>
      <c r="W12" s="13">
        <f ca="1">VLOOKUP($B12,'[1]Analisys QBR By Machine Report'!$C$109:$BD$166,18,FALSE)</f>
        <v>0</v>
      </c>
      <c r="X12" s="13">
        <f ca="1">VLOOKUP($B12,'[1]Analisys QBR By Machine Report'!$C$109:$BD$166,19,FALSE)</f>
        <v>0</v>
      </c>
      <c r="Y12" s="13">
        <f ca="1">VLOOKUP($B12,'[1]Analisys QBR By Machine Report'!$C$109:$BD$166,20,FALSE)</f>
        <v>0</v>
      </c>
      <c r="Z12" s="13">
        <f ca="1">VLOOKUP($B12,'[1]Analisys QBR By Machine Report'!$C$109:$BD$166,21,FALSE)</f>
        <v>2320</v>
      </c>
      <c r="AA12" s="13">
        <f ca="1">VLOOKUP($B12,'[1]Analisys QBR By Machine Report'!$C$109:$BD$166,22,FALSE)</f>
        <v>525</v>
      </c>
      <c r="AB12" s="13">
        <f ca="1">VLOOKUP($B12,'[1]Analisys QBR By Machine Report'!$C$109:$BD$166,23,FALSE)</f>
        <v>1360</v>
      </c>
      <c r="AC12" s="13">
        <f ca="1">VLOOKUP($B12,'[1]Analisys QBR By Machine Report'!$C$109:$BD$166,24,FALSE)</f>
        <v>135</v>
      </c>
      <c r="AD12" s="13">
        <f ca="1">VLOOKUP($B12,'[1]Analisys QBR By Machine Report'!$C$109:$BD$166,25,FALSE)</f>
        <v>0</v>
      </c>
      <c r="AE12" s="13">
        <f ca="1">VLOOKUP($B12,'[1]Analisys QBR By Machine Report'!$C$109:$BD$166,26,FALSE)</f>
        <v>300</v>
      </c>
      <c r="AF12" s="13">
        <f ca="1">VLOOKUP($B12,'[1]Analisys QBR By Machine Report'!$C$109:$BD$166,27,FALSE)</f>
        <v>98</v>
      </c>
      <c r="AG12" s="13">
        <f ca="1">VLOOKUP($B12,'[1]Analisys QBR By Machine Report'!$C$109:$BD$166,28,FALSE)</f>
        <v>0</v>
      </c>
      <c r="AH12" s="13">
        <f ca="1">VLOOKUP($B12,'[1]Analisys QBR By Machine Report'!$C$109:$BD$166,29,FALSE)</f>
        <v>98</v>
      </c>
      <c r="AI12" s="13">
        <f ca="1">VLOOKUP($B12,'[1]Analisys QBR By Machine Report'!$C$109:$BD$166,30,FALSE)</f>
        <v>5485</v>
      </c>
      <c r="AJ12" s="13">
        <f ca="1">VLOOKUP($B12,'[1]Analisys QBR By Machine Report'!$C$109:$BD$166,31,FALSE)</f>
        <v>0</v>
      </c>
      <c r="AK12" s="13">
        <f ca="1">VLOOKUP($B12,'[1]Analisys QBR By Machine Report'!$C$109:$BD$166,32,FALSE)</f>
        <v>0</v>
      </c>
      <c r="AL12" s="13">
        <f ca="1">VLOOKUP($B12,'[1]Analisys QBR By Machine Report'!$C$109:$BD$166,33,FALSE)</f>
        <v>930</v>
      </c>
      <c r="AM12" s="13">
        <f ca="1">VLOOKUP($B12,'[1]Analisys QBR By Machine Report'!$C$109:$BD$166,34,FALSE)</f>
        <v>0</v>
      </c>
      <c r="AN12" s="13">
        <f ca="1">VLOOKUP($B12,'[1]Analisys QBR By Machine Report'!$C$109:$BD$166,35,FALSE)</f>
        <v>960</v>
      </c>
      <c r="AO12" s="13">
        <f ca="1">VLOOKUP($B12,'[1]Analisys QBR By Machine Report'!$C$109:$BD$166,36,FALSE)</f>
        <v>0</v>
      </c>
      <c r="AP12" s="13">
        <f ca="1">VLOOKUP($B12,'[1]Analisys QBR By Machine Report'!$C$109:$BD$166,37,FALSE)</f>
        <v>0</v>
      </c>
      <c r="AQ12" s="13">
        <f ca="1">VLOOKUP($B12,'[1]Analisys QBR By Machine Report'!$C$109:$BD$166,38,FALSE)</f>
        <v>0</v>
      </c>
      <c r="AR12" s="13">
        <f ca="1">VLOOKUP($B12,'[1]Analisys QBR By Machine Report'!$C$109:$BD$166,39,FALSE)</f>
        <v>695</v>
      </c>
      <c r="AS12" s="13">
        <f ca="1">VLOOKUP($B12,'[1]Analisys QBR By Machine Report'!$C$109:$BD$166,40,FALSE)</f>
        <v>305</v>
      </c>
      <c r="AT12" s="13">
        <f ca="1">VLOOKUP($B12,'[1]Analisys QBR By Machine Report'!$C$109:$BD$166,41,FALSE)</f>
        <v>0</v>
      </c>
      <c r="AU12" s="13">
        <f ca="1">VLOOKUP($B12,'[1]Analisys QBR By Machine Report'!$C$109:$BD$166,42,FALSE)</f>
        <v>0</v>
      </c>
      <c r="AV12" s="13">
        <f ca="1">VLOOKUP($B12,'[1]Analisys QBR By Machine Report'!$C$109:$BD$166,43,FALSE)</f>
        <v>0</v>
      </c>
      <c r="AW12" s="13">
        <f ca="1">VLOOKUP($B12,'[1]Analisys QBR By Machine Report'!$C$109:$BD$166,44,FALSE)</f>
        <v>150</v>
      </c>
      <c r="AX12" s="13">
        <f ca="1">VLOOKUP($B12,'[1]Analisys QBR By Machine Report'!$C$109:$BD$166,45,FALSE)</f>
        <v>0</v>
      </c>
      <c r="AY12" s="13">
        <f ca="1">VLOOKUP($B12,'[1]Analisys QBR By Machine Report'!$C$109:$BD$166,46,FALSE)</f>
        <v>0</v>
      </c>
      <c r="AZ12" s="13">
        <f ca="1">VLOOKUP($B12,'[1]Analisys QBR By Machine Report'!$C$109:$BD$166,47,FALSE)</f>
        <v>1600</v>
      </c>
      <c r="BA12" s="13">
        <f ca="1">VLOOKUP($B12,'[1]Analisys QBR By Machine Report'!$C$109:$BD$166,48,FALSE)</f>
        <v>845</v>
      </c>
      <c r="BB12" s="13">
        <f ca="1">VLOOKUP($B12,'[1]Analisys QBR By Machine Report'!$C$109:$BD$166,49,FALSE)</f>
        <v>0</v>
      </c>
      <c r="BC12" s="13">
        <f ca="1">VLOOKUP($B12,'[1]Analisys QBR By Machine Report'!$C$109:$BD$166,50,FALSE)</f>
        <v>0</v>
      </c>
      <c r="BD12" s="13">
        <f ca="1">VLOOKUP($B12,'[1]Analisys QBR By Machine Report'!$C$109:$BD$166,51,FALSE)</f>
        <v>3662863</v>
      </c>
      <c r="BE12" s="13">
        <f ca="1">VLOOKUP($B12,'[1]Analisys QBR By Machine Report'!$C$109:$BD$166,52,FALSE)</f>
        <v>560</v>
      </c>
      <c r="BF12" s="13">
        <f ca="1">VLOOKUP($B12,'[1]Analisys QBR By Machine Report'!$C$109:$BD$166,53,FALSE)</f>
        <v>3662303</v>
      </c>
    </row>
    <row r="13" spans="1:58" x14ac:dyDescent="0.25">
      <c r="A13" s="9" t="s">
        <v>69</v>
      </c>
      <c r="B13" s="10">
        <f ca="1">VLOOKUP($B13,'[1]Analisys QBR By Machine Report'!$C$109:$BD$166,2,FALSE)</f>
        <v>53280</v>
      </c>
      <c r="C13" s="11">
        <f ca="1">VLOOKUP($B13,[1]Dasboard_QBR_Report!$B$109:$BL$166,3,FALSE)</f>
        <v>17760</v>
      </c>
      <c r="D13" s="10">
        <f ca="1">VLOOKUP($B13,'[1]Analisys QBR By Machine Report'!$C$109:$BD$166,3,FALSE)</f>
        <v>43380</v>
      </c>
      <c r="E13" s="11">
        <f ca="1">VLOOKUP($B13,[1]Dasboard_QBR_Report!$B$109:$BL$166,5,FALSE)</f>
        <v>7860</v>
      </c>
      <c r="F13" s="10">
        <f t="shared" ca="1" si="0"/>
        <v>9900</v>
      </c>
      <c r="G13" s="10">
        <f t="shared" ca="1" si="1"/>
        <v>0</v>
      </c>
      <c r="H13" s="10">
        <f ca="1">VLOOKUP($B13,'[1]Analisys QBR By Machine Report'!$C$109:$BD$166,4,FALSE)</f>
        <v>0</v>
      </c>
      <c r="I13" s="10">
        <f ca="1">VLOOKUP($B13,'[1]Analisys QBR By Machine Report'!$C$109:$BD$166,5,FALSE)</f>
        <v>0</v>
      </c>
      <c r="J13" s="10">
        <f ca="1">VLOOKUP($B13,'[1]Analisys QBR By Machine Report'!$C$109:$BD$166,6,FALSE)</f>
        <v>0</v>
      </c>
      <c r="K13" s="10">
        <f ca="1">VLOOKUP($B13,'[1]Analisys QBR By Machine Report'!$C$109:$BD$166,7,FALSE)</f>
        <v>0</v>
      </c>
      <c r="L13" s="10">
        <f ca="1">VLOOKUP($B13,'[1]Analisys QBR By Machine Report'!$C$109:$BD$166,8,FALSE)</f>
        <v>9900</v>
      </c>
      <c r="M13" s="10">
        <f ca="1">VLOOKUP($B13,'[1]Analisys QBR By Machine Report'!$C$109:$BD$166,9,FALSE)</f>
        <v>4102</v>
      </c>
      <c r="N13" s="10">
        <f ca="1">VLOOKUP($B13,[1]Dasboard_QBR_Report!$B$109:$BL$166,18,FALSE)</f>
        <v>5798</v>
      </c>
      <c r="O13" s="10">
        <f ca="1">VLOOKUP($B13,'[1]Analisys QBR By Machine Report'!$C$109:$BD$166,10,FALSE)</f>
        <v>338</v>
      </c>
      <c r="P13" s="10">
        <f ca="1">VLOOKUP($B13,'[1]Analisys QBR By Machine Report'!$C$109:$BD$166,11,FALSE)</f>
        <v>240</v>
      </c>
      <c r="Q13" s="10">
        <f ca="1">VLOOKUP($B13,'[1]Analisys QBR By Machine Report'!$C$109:$BD$166,12,FALSE)</f>
        <v>0</v>
      </c>
      <c r="R13" s="10">
        <f ca="1">VLOOKUP($B13,'[1]Analisys QBR By Machine Report'!$C$109:$BD$166,13,FALSE)</f>
        <v>98</v>
      </c>
      <c r="S13" s="10">
        <f ca="1">VLOOKUP($B13,'[1]Analisys QBR By Machine Report'!$C$109:$BD$166,14,FALSE)</f>
        <v>0</v>
      </c>
      <c r="T13" s="10">
        <f ca="1">VLOOKUP($B13,'[1]Analisys QBR By Machine Report'!$C$109:$BD$166,15,FALSE)</f>
        <v>118</v>
      </c>
      <c r="U13" s="10">
        <f ca="1">VLOOKUP($B13,'[1]Analisys QBR By Machine Report'!$C$109:$BD$166,16,FALSE)</f>
        <v>118</v>
      </c>
      <c r="V13" s="10">
        <f ca="1">VLOOKUP($B13,'[1]Analisys QBR By Machine Report'!$C$109:$BD$166,17,FALSE)</f>
        <v>0</v>
      </c>
      <c r="W13" s="10">
        <f ca="1">VLOOKUP($B13,'[1]Analisys QBR By Machine Report'!$C$109:$BD$166,18,FALSE)</f>
        <v>0</v>
      </c>
      <c r="X13" s="10">
        <f ca="1">VLOOKUP($B13,'[1]Analisys QBR By Machine Report'!$C$109:$BD$166,19,FALSE)</f>
        <v>0</v>
      </c>
      <c r="Y13" s="10">
        <f ca="1">VLOOKUP($B13,'[1]Analisys QBR By Machine Report'!$C$109:$BD$166,20,FALSE)</f>
        <v>0</v>
      </c>
      <c r="Z13" s="10">
        <f ca="1">VLOOKUP($B13,'[1]Analisys QBR By Machine Report'!$C$109:$BD$166,21,FALSE)</f>
        <v>3647</v>
      </c>
      <c r="AA13" s="10">
        <f ca="1">VLOOKUP($B13,'[1]Analisys QBR By Machine Report'!$C$109:$BD$166,22,FALSE)</f>
        <v>1005</v>
      </c>
      <c r="AB13" s="10">
        <f ca="1">VLOOKUP($B13,'[1]Analisys QBR By Machine Report'!$C$109:$BD$166,23,FALSE)</f>
        <v>2395</v>
      </c>
      <c r="AC13" s="10">
        <f ca="1">VLOOKUP($B13,'[1]Analisys QBR By Machine Report'!$C$109:$BD$166,24,FALSE)</f>
        <v>0</v>
      </c>
      <c r="AD13" s="10">
        <f ca="1">VLOOKUP($B13,'[1]Analisys QBR By Machine Report'!$C$109:$BD$166,25,FALSE)</f>
        <v>0</v>
      </c>
      <c r="AE13" s="10">
        <f ca="1">VLOOKUP($B13,'[1]Analisys QBR By Machine Report'!$C$109:$BD$166,26,FALSE)</f>
        <v>247</v>
      </c>
      <c r="AF13" s="10">
        <f ca="1">VLOOKUP($B13,'[1]Analisys QBR By Machine Report'!$C$109:$BD$166,27,FALSE)</f>
        <v>0</v>
      </c>
      <c r="AG13" s="10">
        <f ca="1">VLOOKUP($B13,'[1]Analisys QBR By Machine Report'!$C$109:$BD$166,28,FALSE)</f>
        <v>0</v>
      </c>
      <c r="AH13" s="10">
        <f ca="1">VLOOKUP($B13,'[1]Analisys QBR By Machine Report'!$C$109:$BD$166,29,FALSE)</f>
        <v>0</v>
      </c>
      <c r="AI13" s="10">
        <f ca="1">VLOOKUP($B13,'[1]Analisys QBR By Machine Report'!$C$109:$BD$166,30,FALSE)</f>
        <v>1695</v>
      </c>
      <c r="AJ13" s="10">
        <f ca="1">VLOOKUP($B13,'[1]Analisys QBR By Machine Report'!$C$109:$BD$166,31,FALSE)</f>
        <v>0</v>
      </c>
      <c r="AK13" s="10">
        <f ca="1">VLOOKUP($B13,'[1]Analisys QBR By Machine Report'!$C$109:$BD$166,32,FALSE)</f>
        <v>0</v>
      </c>
      <c r="AL13" s="10">
        <f ca="1">VLOOKUP($B13,'[1]Analisys QBR By Machine Report'!$C$109:$BD$166,33,FALSE)</f>
        <v>540</v>
      </c>
      <c r="AM13" s="10">
        <f ca="1">VLOOKUP($B13,'[1]Analisys QBR By Machine Report'!$C$109:$BD$166,34,FALSE)</f>
        <v>0</v>
      </c>
      <c r="AN13" s="10">
        <f ca="1">VLOOKUP($B13,'[1]Analisys QBR By Machine Report'!$C$109:$BD$166,35,FALSE)</f>
        <v>590</v>
      </c>
      <c r="AO13" s="10">
        <f ca="1">VLOOKUP($B13,'[1]Analisys QBR By Machine Report'!$C$109:$BD$166,36,FALSE)</f>
        <v>20</v>
      </c>
      <c r="AP13" s="10">
        <f ca="1">VLOOKUP($B13,'[1]Analisys QBR By Machine Report'!$C$109:$BD$166,37,FALSE)</f>
        <v>0</v>
      </c>
      <c r="AQ13" s="10">
        <f ca="1">VLOOKUP($B13,'[1]Analisys QBR By Machine Report'!$C$109:$BD$166,38,FALSE)</f>
        <v>0</v>
      </c>
      <c r="AR13" s="10">
        <f ca="1">VLOOKUP($B13,'[1]Analisys QBR By Machine Report'!$C$109:$BD$166,39,FALSE)</f>
        <v>225</v>
      </c>
      <c r="AS13" s="10">
        <f ca="1">VLOOKUP($B13,'[1]Analisys QBR By Machine Report'!$C$109:$BD$166,40,FALSE)</f>
        <v>240</v>
      </c>
      <c r="AT13" s="10">
        <f ca="1">VLOOKUP($B13,'[1]Analisys QBR By Machine Report'!$C$109:$BD$166,41,FALSE)</f>
        <v>0</v>
      </c>
      <c r="AU13" s="10">
        <f ca="1">VLOOKUP($B13,'[1]Analisys QBR By Machine Report'!$C$109:$BD$166,42,FALSE)</f>
        <v>0</v>
      </c>
      <c r="AV13" s="10">
        <f ca="1">VLOOKUP($B13,'[1]Analisys QBR By Machine Report'!$C$109:$BD$166,43,FALSE)</f>
        <v>0</v>
      </c>
      <c r="AW13" s="10">
        <f ca="1">VLOOKUP($B13,'[1]Analisys QBR By Machine Report'!$C$109:$BD$166,44,FALSE)</f>
        <v>0</v>
      </c>
      <c r="AX13" s="10">
        <f ca="1">VLOOKUP($B13,'[1]Analisys QBR By Machine Report'!$C$109:$BD$166,45,FALSE)</f>
        <v>0</v>
      </c>
      <c r="AY13" s="10">
        <f ca="1">VLOOKUP($B13,'[1]Analisys QBR By Machine Report'!$C$109:$BD$166,46,FALSE)</f>
        <v>0</v>
      </c>
      <c r="AZ13" s="10">
        <f ca="1">VLOOKUP($B13,'[1]Analisys QBR By Machine Report'!$C$109:$BD$166,47,FALSE)</f>
        <v>80</v>
      </c>
      <c r="BA13" s="10">
        <f ca="1">VLOOKUP($B13,'[1]Analisys QBR By Machine Report'!$C$109:$BD$166,48,FALSE)</f>
        <v>0</v>
      </c>
      <c r="BB13" s="10">
        <f ca="1">VLOOKUP($B13,'[1]Analisys QBR By Machine Report'!$C$109:$BD$166,49,FALSE)</f>
        <v>0</v>
      </c>
      <c r="BC13" s="10">
        <f ca="1">VLOOKUP($B13,'[1]Analisys QBR By Machine Report'!$C$109:$BD$166,50,FALSE)</f>
        <v>0</v>
      </c>
      <c r="BD13" s="10">
        <f ca="1">VLOOKUP($B13,'[1]Analisys QBR By Machine Report'!$C$109:$BD$166,51,FALSE)</f>
        <v>2002.18</v>
      </c>
      <c r="BE13" s="10">
        <f ca="1">VLOOKUP($B13,'[1]Analisys QBR By Machine Report'!$C$109:$BD$166,52,FALSE)</f>
        <v>0.28999999999999998</v>
      </c>
      <c r="BF13" s="10">
        <f ca="1">VLOOKUP($B13,'[1]Analisys QBR By Machine Report'!$C$109:$BD$166,53,FALSE)</f>
        <v>2001.89</v>
      </c>
    </row>
    <row r="14" spans="1:58" x14ac:dyDescent="0.25">
      <c r="A14" s="12" t="s">
        <v>70</v>
      </c>
      <c r="B14" s="13">
        <f ca="1">VLOOKUP($B14,'[1]Analisys QBR By Machine Report'!$C$109:$BD$166,2,FALSE)</f>
        <v>27360</v>
      </c>
      <c r="C14" s="14">
        <f ca="1">VLOOKUP($B14,[1]Dasboard_QBR_Report!$B$109:$BL$166,3,FALSE)</f>
        <v>9120</v>
      </c>
      <c r="D14" s="13">
        <f ca="1">VLOOKUP($B14,'[1]Analisys QBR By Machine Report'!$C$109:$BD$166,3,FALSE)</f>
        <v>24420</v>
      </c>
      <c r="E14" s="14">
        <f ca="1">VLOOKUP($B14,[1]Dasboard_QBR_Report!$B$109:$BL$166,5,FALSE)</f>
        <v>6180</v>
      </c>
      <c r="F14" s="13">
        <f t="shared" ca="1" si="0"/>
        <v>2940</v>
      </c>
      <c r="G14" s="13">
        <f t="shared" ca="1" si="1"/>
        <v>0</v>
      </c>
      <c r="H14" s="13">
        <f ca="1">VLOOKUP($B14,'[1]Analisys QBR By Machine Report'!$C$109:$BD$166,4,FALSE)</f>
        <v>0</v>
      </c>
      <c r="I14" s="13">
        <f ca="1">VLOOKUP($B14,'[1]Analisys QBR By Machine Report'!$C$109:$BD$166,5,FALSE)</f>
        <v>0</v>
      </c>
      <c r="J14" s="13">
        <f ca="1">VLOOKUP($B14,'[1]Analisys QBR By Machine Report'!$C$109:$BD$166,6,FALSE)</f>
        <v>0</v>
      </c>
      <c r="K14" s="13">
        <f ca="1">VLOOKUP($B14,'[1]Analisys QBR By Machine Report'!$C$109:$BD$166,7,FALSE)</f>
        <v>0</v>
      </c>
      <c r="L14" s="13">
        <f ca="1">VLOOKUP($B14,'[1]Analisys QBR By Machine Report'!$C$109:$BD$166,8,FALSE)</f>
        <v>2940</v>
      </c>
      <c r="M14" s="13">
        <f ca="1">VLOOKUP($B14,'[1]Analisys QBR By Machine Report'!$C$109:$BD$166,9,FALSE)</f>
        <v>1095</v>
      </c>
      <c r="N14" s="13">
        <f ca="1">VLOOKUP($B14,[1]Dasboard_QBR_Report!$B$109:$BL$166,18,FALSE)</f>
        <v>1845</v>
      </c>
      <c r="O14" s="13">
        <f ca="1">VLOOKUP($B14,'[1]Analisys QBR By Machine Report'!$C$109:$BD$166,10,FALSE)</f>
        <v>105</v>
      </c>
      <c r="P14" s="13">
        <f ca="1">VLOOKUP($B14,'[1]Analisys QBR By Machine Report'!$C$109:$BD$166,11,FALSE)</f>
        <v>65</v>
      </c>
      <c r="Q14" s="13">
        <f ca="1">VLOOKUP($B14,'[1]Analisys QBR By Machine Report'!$C$109:$BD$166,12,FALSE)</f>
        <v>0</v>
      </c>
      <c r="R14" s="13">
        <f ca="1">VLOOKUP($B14,'[1]Analisys QBR By Machine Report'!$C$109:$BD$166,13,FALSE)</f>
        <v>40</v>
      </c>
      <c r="S14" s="13">
        <f ca="1">VLOOKUP($B14,'[1]Analisys QBR By Machine Report'!$C$109:$BD$166,14,FALSE)</f>
        <v>0</v>
      </c>
      <c r="T14" s="13">
        <f ca="1">VLOOKUP($B14,'[1]Analisys QBR By Machine Report'!$C$109:$BD$166,15,FALSE)</f>
        <v>0</v>
      </c>
      <c r="U14" s="13">
        <f ca="1">VLOOKUP($B14,'[1]Analisys QBR By Machine Report'!$C$109:$BD$166,16,FALSE)</f>
        <v>0</v>
      </c>
      <c r="V14" s="13">
        <f ca="1">VLOOKUP($B14,'[1]Analisys QBR By Machine Report'!$C$109:$BD$166,17,FALSE)</f>
        <v>0</v>
      </c>
      <c r="W14" s="13">
        <f ca="1">VLOOKUP($B14,'[1]Analisys QBR By Machine Report'!$C$109:$BD$166,18,FALSE)</f>
        <v>0</v>
      </c>
      <c r="X14" s="13">
        <f ca="1">VLOOKUP($B14,'[1]Analisys QBR By Machine Report'!$C$109:$BD$166,19,FALSE)</f>
        <v>0</v>
      </c>
      <c r="Y14" s="13">
        <f ca="1">VLOOKUP($B14,'[1]Analisys QBR By Machine Report'!$C$109:$BD$166,20,FALSE)</f>
        <v>0</v>
      </c>
      <c r="Z14" s="13">
        <f ca="1">VLOOKUP($B14,'[1]Analisys QBR By Machine Report'!$C$109:$BD$166,21,FALSE)</f>
        <v>1190</v>
      </c>
      <c r="AA14" s="13">
        <f ca="1">VLOOKUP($B14,'[1]Analisys QBR By Machine Report'!$C$109:$BD$166,22,FALSE)</f>
        <v>290</v>
      </c>
      <c r="AB14" s="13">
        <f ca="1">VLOOKUP($B14,'[1]Analisys QBR By Machine Report'!$C$109:$BD$166,23,FALSE)</f>
        <v>785</v>
      </c>
      <c r="AC14" s="13">
        <f ca="1">VLOOKUP($B14,'[1]Analisys QBR By Machine Report'!$C$109:$BD$166,24,FALSE)</f>
        <v>0</v>
      </c>
      <c r="AD14" s="13">
        <f ca="1">VLOOKUP($B14,'[1]Analisys QBR By Machine Report'!$C$109:$BD$166,25,FALSE)</f>
        <v>0</v>
      </c>
      <c r="AE14" s="13">
        <f ca="1">VLOOKUP($B14,'[1]Analisys QBR By Machine Report'!$C$109:$BD$166,26,FALSE)</f>
        <v>115</v>
      </c>
      <c r="AF14" s="13">
        <f ca="1">VLOOKUP($B14,'[1]Analisys QBR By Machine Report'!$C$109:$BD$166,27,FALSE)</f>
        <v>0</v>
      </c>
      <c r="AG14" s="13">
        <f ca="1">VLOOKUP($B14,'[1]Analisys QBR By Machine Report'!$C$109:$BD$166,28,FALSE)</f>
        <v>0</v>
      </c>
      <c r="AH14" s="13">
        <f ca="1">VLOOKUP($B14,'[1]Analisys QBR By Machine Report'!$C$109:$BD$166,29,FALSE)</f>
        <v>0</v>
      </c>
      <c r="AI14" s="13">
        <f ca="1">VLOOKUP($B14,'[1]Analisys QBR By Machine Report'!$C$109:$BD$166,30,FALSE)</f>
        <v>550</v>
      </c>
      <c r="AJ14" s="13">
        <f ca="1">VLOOKUP($B14,'[1]Analisys QBR By Machine Report'!$C$109:$BD$166,31,FALSE)</f>
        <v>0</v>
      </c>
      <c r="AK14" s="13">
        <f ca="1">VLOOKUP($B14,'[1]Analisys QBR By Machine Report'!$C$109:$BD$166,32,FALSE)</f>
        <v>0</v>
      </c>
      <c r="AL14" s="13">
        <f ca="1">VLOOKUP($B14,'[1]Analisys QBR By Machine Report'!$C$109:$BD$166,33,FALSE)</f>
        <v>150</v>
      </c>
      <c r="AM14" s="13">
        <f ca="1">VLOOKUP($B14,'[1]Analisys QBR By Machine Report'!$C$109:$BD$166,34,FALSE)</f>
        <v>0</v>
      </c>
      <c r="AN14" s="13">
        <f ca="1">VLOOKUP($B14,'[1]Analisys QBR By Machine Report'!$C$109:$BD$166,35,FALSE)</f>
        <v>125</v>
      </c>
      <c r="AO14" s="13">
        <f ca="1">VLOOKUP($B14,'[1]Analisys QBR By Machine Report'!$C$109:$BD$166,36,FALSE)</f>
        <v>20</v>
      </c>
      <c r="AP14" s="13">
        <f ca="1">VLOOKUP($B14,'[1]Analisys QBR By Machine Report'!$C$109:$BD$166,37,FALSE)</f>
        <v>0</v>
      </c>
      <c r="AQ14" s="13">
        <f ca="1">VLOOKUP($B14,'[1]Analisys QBR By Machine Report'!$C$109:$BD$166,38,FALSE)</f>
        <v>0</v>
      </c>
      <c r="AR14" s="13">
        <f ca="1">VLOOKUP($B14,'[1]Analisys QBR By Machine Report'!$C$109:$BD$166,39,FALSE)</f>
        <v>160</v>
      </c>
      <c r="AS14" s="13">
        <f ca="1">VLOOKUP($B14,'[1]Analisys QBR By Machine Report'!$C$109:$BD$166,40,FALSE)</f>
        <v>60</v>
      </c>
      <c r="AT14" s="13">
        <f ca="1">VLOOKUP($B14,'[1]Analisys QBR By Machine Report'!$C$109:$BD$166,41,FALSE)</f>
        <v>0</v>
      </c>
      <c r="AU14" s="13">
        <f ca="1">VLOOKUP($B14,'[1]Analisys QBR By Machine Report'!$C$109:$BD$166,42,FALSE)</f>
        <v>0</v>
      </c>
      <c r="AV14" s="13">
        <f ca="1">VLOOKUP($B14,'[1]Analisys QBR By Machine Report'!$C$109:$BD$166,43,FALSE)</f>
        <v>0</v>
      </c>
      <c r="AW14" s="13">
        <f ca="1">VLOOKUP($B14,'[1]Analisys QBR By Machine Report'!$C$109:$BD$166,44,FALSE)</f>
        <v>0</v>
      </c>
      <c r="AX14" s="13">
        <f ca="1">VLOOKUP($B14,'[1]Analisys QBR By Machine Report'!$C$109:$BD$166,45,FALSE)</f>
        <v>0</v>
      </c>
      <c r="AY14" s="13">
        <f ca="1">VLOOKUP($B14,'[1]Analisys QBR By Machine Report'!$C$109:$BD$166,46,FALSE)</f>
        <v>0</v>
      </c>
      <c r="AZ14" s="13">
        <f ca="1">VLOOKUP($B14,'[1]Analisys QBR By Machine Report'!$C$109:$BD$166,47,FALSE)</f>
        <v>35</v>
      </c>
      <c r="BA14" s="13">
        <f ca="1">VLOOKUP($B14,'[1]Analisys QBR By Machine Report'!$C$109:$BD$166,48,FALSE)</f>
        <v>0</v>
      </c>
      <c r="BB14" s="13">
        <f ca="1">VLOOKUP($B14,'[1]Analisys QBR By Machine Report'!$C$109:$BD$166,49,FALSE)</f>
        <v>0</v>
      </c>
      <c r="BC14" s="13">
        <f ca="1">VLOOKUP($B14,'[1]Analisys QBR By Machine Report'!$C$109:$BD$166,50,FALSE)</f>
        <v>0</v>
      </c>
      <c r="BD14" s="13">
        <f ca="1">VLOOKUP($B14,'[1]Analisys QBR By Machine Report'!$C$109:$BD$166,51,FALSE)</f>
        <v>276.49</v>
      </c>
      <c r="BE14" s="13">
        <f ca="1">VLOOKUP($B14,'[1]Analisys QBR By Machine Report'!$C$109:$BD$166,52,FALSE)</f>
        <v>0.11</v>
      </c>
      <c r="BF14" s="13">
        <f ca="1">VLOOKUP($B14,'[1]Analisys QBR By Machine Report'!$C$109:$BD$166,53,FALSE)</f>
        <v>276.38</v>
      </c>
    </row>
    <row r="15" spans="1:58" x14ac:dyDescent="0.25">
      <c r="A15" s="12" t="s">
        <v>71</v>
      </c>
      <c r="B15" s="13">
        <f ca="1">VLOOKUP($B15,'[1]Analisys QBR By Machine Report'!$C$109:$BD$166,2,FALSE)</f>
        <v>25920</v>
      </c>
      <c r="C15" s="14">
        <f ca="1">VLOOKUP($B15,[1]Dasboard_QBR_Report!$B$109:$BL$166,3,FALSE)</f>
        <v>8640</v>
      </c>
      <c r="D15" s="13">
        <f ca="1">VLOOKUP($B15,'[1]Analisys QBR By Machine Report'!$C$109:$BD$166,3,FALSE)</f>
        <v>18960</v>
      </c>
      <c r="E15" s="14">
        <f ca="1">VLOOKUP($B15,[1]Dasboard_QBR_Report!$B$109:$BL$166,5,FALSE)</f>
        <v>1680</v>
      </c>
      <c r="F15" s="13">
        <f t="shared" ca="1" si="0"/>
        <v>6960</v>
      </c>
      <c r="G15" s="13">
        <f t="shared" ca="1" si="1"/>
        <v>0</v>
      </c>
      <c r="H15" s="13">
        <f ca="1">VLOOKUP($B15,'[1]Analisys QBR By Machine Report'!$C$109:$BD$166,4,FALSE)</f>
        <v>0</v>
      </c>
      <c r="I15" s="13">
        <f ca="1">VLOOKUP($B15,'[1]Analisys QBR By Machine Report'!$C$109:$BD$166,5,FALSE)</f>
        <v>0</v>
      </c>
      <c r="J15" s="13">
        <f ca="1">VLOOKUP($B15,'[1]Analisys QBR By Machine Report'!$C$109:$BD$166,6,FALSE)</f>
        <v>0</v>
      </c>
      <c r="K15" s="13">
        <f ca="1">VLOOKUP($B15,'[1]Analisys QBR By Machine Report'!$C$109:$BD$166,7,FALSE)</f>
        <v>0</v>
      </c>
      <c r="L15" s="13">
        <f ca="1">VLOOKUP($B15,'[1]Analisys QBR By Machine Report'!$C$109:$BD$166,8,FALSE)</f>
        <v>6960</v>
      </c>
      <c r="M15" s="13">
        <f ca="1">VLOOKUP($B15,'[1]Analisys QBR By Machine Report'!$C$109:$BD$166,9,FALSE)</f>
        <v>3007</v>
      </c>
      <c r="N15" s="13">
        <f ca="1">VLOOKUP($B15,[1]Dasboard_QBR_Report!$B$109:$BL$166,18,FALSE)</f>
        <v>3953</v>
      </c>
      <c r="O15" s="13">
        <f ca="1">VLOOKUP($B15,'[1]Analisys QBR By Machine Report'!$C$109:$BD$166,10,FALSE)</f>
        <v>233</v>
      </c>
      <c r="P15" s="13">
        <f ca="1">VLOOKUP($B15,'[1]Analisys QBR By Machine Report'!$C$109:$BD$166,11,FALSE)</f>
        <v>175</v>
      </c>
      <c r="Q15" s="13">
        <f ca="1">VLOOKUP($B15,'[1]Analisys QBR By Machine Report'!$C$109:$BD$166,12,FALSE)</f>
        <v>0</v>
      </c>
      <c r="R15" s="13">
        <f ca="1">VLOOKUP($B15,'[1]Analisys QBR By Machine Report'!$C$109:$BD$166,13,FALSE)</f>
        <v>58</v>
      </c>
      <c r="S15" s="13">
        <f ca="1">VLOOKUP($B15,'[1]Analisys QBR By Machine Report'!$C$109:$BD$166,14,FALSE)</f>
        <v>0</v>
      </c>
      <c r="T15" s="13">
        <f ca="1">VLOOKUP($B15,'[1]Analisys QBR By Machine Report'!$C$109:$BD$166,15,FALSE)</f>
        <v>118</v>
      </c>
      <c r="U15" s="13">
        <f ca="1">VLOOKUP($B15,'[1]Analisys QBR By Machine Report'!$C$109:$BD$166,16,FALSE)</f>
        <v>118</v>
      </c>
      <c r="V15" s="13">
        <f ca="1">VLOOKUP($B15,'[1]Analisys QBR By Machine Report'!$C$109:$BD$166,17,FALSE)</f>
        <v>0</v>
      </c>
      <c r="W15" s="13">
        <f ca="1">VLOOKUP($B15,'[1]Analisys QBR By Machine Report'!$C$109:$BD$166,18,FALSE)</f>
        <v>0</v>
      </c>
      <c r="X15" s="13">
        <f ca="1">VLOOKUP($B15,'[1]Analisys QBR By Machine Report'!$C$109:$BD$166,19,FALSE)</f>
        <v>0</v>
      </c>
      <c r="Y15" s="13">
        <f ca="1">VLOOKUP($B15,'[1]Analisys QBR By Machine Report'!$C$109:$BD$166,20,FALSE)</f>
        <v>0</v>
      </c>
      <c r="Z15" s="13">
        <f ca="1">VLOOKUP($B15,'[1]Analisys QBR By Machine Report'!$C$109:$BD$166,21,FALSE)</f>
        <v>2457</v>
      </c>
      <c r="AA15" s="13">
        <f ca="1">VLOOKUP($B15,'[1]Analisys QBR By Machine Report'!$C$109:$BD$166,22,FALSE)</f>
        <v>715</v>
      </c>
      <c r="AB15" s="13">
        <f ca="1">VLOOKUP($B15,'[1]Analisys QBR By Machine Report'!$C$109:$BD$166,23,FALSE)</f>
        <v>1610</v>
      </c>
      <c r="AC15" s="13">
        <f ca="1">VLOOKUP($B15,'[1]Analisys QBR By Machine Report'!$C$109:$BD$166,24,FALSE)</f>
        <v>0</v>
      </c>
      <c r="AD15" s="13">
        <f ca="1">VLOOKUP($B15,'[1]Analisys QBR By Machine Report'!$C$109:$BD$166,25,FALSE)</f>
        <v>0</v>
      </c>
      <c r="AE15" s="13">
        <f ca="1">VLOOKUP($B15,'[1]Analisys QBR By Machine Report'!$C$109:$BD$166,26,FALSE)</f>
        <v>132</v>
      </c>
      <c r="AF15" s="13">
        <f ca="1">VLOOKUP($B15,'[1]Analisys QBR By Machine Report'!$C$109:$BD$166,27,FALSE)</f>
        <v>0</v>
      </c>
      <c r="AG15" s="13">
        <f ca="1">VLOOKUP($B15,'[1]Analisys QBR By Machine Report'!$C$109:$BD$166,28,FALSE)</f>
        <v>0</v>
      </c>
      <c r="AH15" s="13">
        <f ca="1">VLOOKUP($B15,'[1]Analisys QBR By Machine Report'!$C$109:$BD$166,29,FALSE)</f>
        <v>0</v>
      </c>
      <c r="AI15" s="13">
        <f ca="1">VLOOKUP($B15,'[1]Analisys QBR By Machine Report'!$C$109:$BD$166,30,FALSE)</f>
        <v>1145</v>
      </c>
      <c r="AJ15" s="13">
        <f ca="1">VLOOKUP($B15,'[1]Analisys QBR By Machine Report'!$C$109:$BD$166,31,FALSE)</f>
        <v>0</v>
      </c>
      <c r="AK15" s="13">
        <f ca="1">VLOOKUP($B15,'[1]Analisys QBR By Machine Report'!$C$109:$BD$166,32,FALSE)</f>
        <v>0</v>
      </c>
      <c r="AL15" s="13">
        <f ca="1">VLOOKUP($B15,'[1]Analisys QBR By Machine Report'!$C$109:$BD$166,33,FALSE)</f>
        <v>390</v>
      </c>
      <c r="AM15" s="13">
        <f ca="1">VLOOKUP($B15,'[1]Analisys QBR By Machine Report'!$C$109:$BD$166,34,FALSE)</f>
        <v>0</v>
      </c>
      <c r="AN15" s="13">
        <f ca="1">VLOOKUP($B15,'[1]Analisys QBR By Machine Report'!$C$109:$BD$166,35,FALSE)</f>
        <v>465</v>
      </c>
      <c r="AO15" s="13">
        <f ca="1">VLOOKUP($B15,'[1]Analisys QBR By Machine Report'!$C$109:$BD$166,36,FALSE)</f>
        <v>0</v>
      </c>
      <c r="AP15" s="13">
        <f ca="1">VLOOKUP($B15,'[1]Analisys QBR By Machine Report'!$C$109:$BD$166,37,FALSE)</f>
        <v>0</v>
      </c>
      <c r="AQ15" s="13">
        <f ca="1">VLOOKUP($B15,'[1]Analisys QBR By Machine Report'!$C$109:$BD$166,38,FALSE)</f>
        <v>0</v>
      </c>
      <c r="AR15" s="13">
        <f ca="1">VLOOKUP($B15,'[1]Analisys QBR By Machine Report'!$C$109:$BD$166,39,FALSE)</f>
        <v>65</v>
      </c>
      <c r="AS15" s="13">
        <f ca="1">VLOOKUP($B15,'[1]Analisys QBR By Machine Report'!$C$109:$BD$166,40,FALSE)</f>
        <v>180</v>
      </c>
      <c r="AT15" s="13">
        <f ca="1">VLOOKUP($B15,'[1]Analisys QBR By Machine Report'!$C$109:$BD$166,41,FALSE)</f>
        <v>0</v>
      </c>
      <c r="AU15" s="13">
        <f ca="1">VLOOKUP($B15,'[1]Analisys QBR By Machine Report'!$C$109:$BD$166,42,FALSE)</f>
        <v>0</v>
      </c>
      <c r="AV15" s="13">
        <f ca="1">VLOOKUP($B15,'[1]Analisys QBR By Machine Report'!$C$109:$BD$166,43,FALSE)</f>
        <v>0</v>
      </c>
      <c r="AW15" s="13">
        <f ca="1">VLOOKUP($B15,'[1]Analisys QBR By Machine Report'!$C$109:$BD$166,44,FALSE)</f>
        <v>0</v>
      </c>
      <c r="AX15" s="13">
        <f ca="1">VLOOKUP($B15,'[1]Analisys QBR By Machine Report'!$C$109:$BD$166,45,FALSE)</f>
        <v>0</v>
      </c>
      <c r="AY15" s="13">
        <f ca="1">VLOOKUP($B15,'[1]Analisys QBR By Machine Report'!$C$109:$BD$166,46,FALSE)</f>
        <v>0</v>
      </c>
      <c r="AZ15" s="13">
        <f ca="1">VLOOKUP($B15,'[1]Analisys QBR By Machine Report'!$C$109:$BD$166,47,FALSE)</f>
        <v>45</v>
      </c>
      <c r="BA15" s="13">
        <f ca="1">VLOOKUP($B15,'[1]Analisys QBR By Machine Report'!$C$109:$BD$166,48,FALSE)</f>
        <v>0</v>
      </c>
      <c r="BB15" s="13">
        <f ca="1">VLOOKUP($B15,'[1]Analisys QBR By Machine Report'!$C$109:$BD$166,49,FALSE)</f>
        <v>0</v>
      </c>
      <c r="BC15" s="13">
        <f ca="1">VLOOKUP($B15,'[1]Analisys QBR By Machine Report'!$C$109:$BD$166,50,FALSE)</f>
        <v>0</v>
      </c>
      <c r="BD15" s="13">
        <f ca="1">VLOOKUP($B15,'[1]Analisys QBR By Machine Report'!$C$109:$BD$166,51,FALSE)</f>
        <v>1725.69</v>
      </c>
      <c r="BE15" s="13">
        <f ca="1">VLOOKUP($B15,'[1]Analisys QBR By Machine Report'!$C$109:$BD$166,52,FALSE)</f>
        <v>0.18</v>
      </c>
      <c r="BF15" s="13">
        <f ca="1">VLOOKUP($B15,'[1]Analisys QBR By Machine Report'!$C$109:$BD$166,53,FALSE)</f>
        <v>1725.51</v>
      </c>
    </row>
    <row r="16" spans="1:58" x14ac:dyDescent="0.25">
      <c r="A16" s="9" t="s">
        <v>72</v>
      </c>
      <c r="B16" s="10">
        <f ca="1">VLOOKUP($B16,'[1]Analisys QBR By Machine Report'!$C$109:$BD$166,2,FALSE)</f>
        <v>133920</v>
      </c>
      <c r="C16" s="11">
        <f ca="1">VLOOKUP($B16,[1]Dasboard_QBR_Report!$B$109:$BL$166,3,FALSE)</f>
        <v>61290</v>
      </c>
      <c r="D16" s="10">
        <f ca="1">VLOOKUP($B16,'[1]Analisys QBR By Machine Report'!$C$109:$BD$166,3,FALSE)</f>
        <v>79710</v>
      </c>
      <c r="E16" s="11">
        <f ca="1">VLOOKUP($B16,[1]Dasboard_QBR_Report!$B$109:$BL$166,5,FALSE)</f>
        <v>7080</v>
      </c>
      <c r="F16" s="10">
        <f t="shared" ca="1" si="0"/>
        <v>54210</v>
      </c>
      <c r="G16" s="10">
        <f t="shared" ca="1" si="1"/>
        <v>3025</v>
      </c>
      <c r="H16" s="10">
        <f ca="1">VLOOKUP($B16,'[1]Analisys QBR By Machine Report'!$C$109:$BD$166,4,FALSE)</f>
        <v>3025</v>
      </c>
      <c r="I16" s="10">
        <f ca="1">VLOOKUP($B16,'[1]Analisys QBR By Machine Report'!$C$109:$BD$166,5,FALSE)</f>
        <v>540</v>
      </c>
      <c r="J16" s="10">
        <f ca="1">VLOOKUP($B16,'[1]Analisys QBR By Machine Report'!$C$109:$BD$166,6,FALSE)</f>
        <v>2485</v>
      </c>
      <c r="K16" s="10">
        <f ca="1">VLOOKUP($B16,'[1]Analisys QBR By Machine Report'!$C$109:$BD$166,7,FALSE)</f>
        <v>0</v>
      </c>
      <c r="L16" s="10">
        <f ca="1">VLOOKUP($B16,'[1]Analisys QBR By Machine Report'!$C$109:$BD$166,8,FALSE)</f>
        <v>51185</v>
      </c>
      <c r="M16" s="10">
        <f ca="1">VLOOKUP($B16,'[1]Analisys QBR By Machine Report'!$C$109:$BD$166,9,FALSE)</f>
        <v>18275</v>
      </c>
      <c r="N16" s="10">
        <f ca="1">VLOOKUP($B16,[1]Dasboard_QBR_Report!$B$109:$BL$166,18,FALSE)</f>
        <v>32910</v>
      </c>
      <c r="O16" s="10">
        <f ca="1">VLOOKUP($B16,'[1]Analisys QBR By Machine Report'!$C$109:$BD$166,10,FALSE)</f>
        <v>7277</v>
      </c>
      <c r="P16" s="10">
        <f ca="1">VLOOKUP($B16,'[1]Analisys QBR By Machine Report'!$C$109:$BD$166,11,FALSE)</f>
        <v>4272</v>
      </c>
      <c r="Q16" s="10">
        <f ca="1">VLOOKUP($B16,'[1]Analisys QBR By Machine Report'!$C$109:$BD$166,12,FALSE)</f>
        <v>0</v>
      </c>
      <c r="R16" s="10">
        <f ca="1">VLOOKUP($B16,'[1]Analisys QBR By Machine Report'!$C$109:$BD$166,13,FALSE)</f>
        <v>3005</v>
      </c>
      <c r="S16" s="10">
        <f ca="1">VLOOKUP($B16,'[1]Analisys QBR By Machine Report'!$C$109:$BD$166,14,FALSE)</f>
        <v>0</v>
      </c>
      <c r="T16" s="10">
        <f ca="1">VLOOKUP($B16,'[1]Analisys QBR By Machine Report'!$C$109:$BD$166,15,FALSE)</f>
        <v>375</v>
      </c>
      <c r="U16" s="10">
        <f ca="1">VLOOKUP($B16,'[1]Analisys QBR By Machine Report'!$C$109:$BD$166,16,FALSE)</f>
        <v>285</v>
      </c>
      <c r="V16" s="10">
        <f ca="1">VLOOKUP($B16,'[1]Analisys QBR By Machine Report'!$C$109:$BD$166,17,FALSE)</f>
        <v>90</v>
      </c>
      <c r="W16" s="10">
        <f ca="1">VLOOKUP($B16,'[1]Analisys QBR By Machine Report'!$C$109:$BD$166,18,FALSE)</f>
        <v>0</v>
      </c>
      <c r="X16" s="10">
        <f ca="1">VLOOKUP($B16,'[1]Analisys QBR By Machine Report'!$C$109:$BD$166,19,FALSE)</f>
        <v>0</v>
      </c>
      <c r="Y16" s="10">
        <f ca="1">VLOOKUP($B16,'[1]Analisys QBR By Machine Report'!$C$109:$BD$166,20,FALSE)</f>
        <v>0</v>
      </c>
      <c r="Z16" s="10">
        <f ca="1">VLOOKUP($B16,'[1]Analisys QBR By Machine Report'!$C$109:$BD$166,21,FALSE)</f>
        <v>13113</v>
      </c>
      <c r="AA16" s="10">
        <f ca="1">VLOOKUP($B16,'[1]Analisys QBR By Machine Report'!$C$109:$BD$166,22,FALSE)</f>
        <v>8005</v>
      </c>
      <c r="AB16" s="10">
        <f ca="1">VLOOKUP($B16,'[1]Analisys QBR By Machine Report'!$C$109:$BD$166,23,FALSE)</f>
        <v>1758</v>
      </c>
      <c r="AC16" s="10">
        <f ca="1">VLOOKUP($B16,'[1]Analisys QBR By Machine Report'!$C$109:$BD$166,24,FALSE)</f>
        <v>2475</v>
      </c>
      <c r="AD16" s="10">
        <f ca="1">VLOOKUP($B16,'[1]Analisys QBR By Machine Report'!$C$109:$BD$166,25,FALSE)</f>
        <v>60</v>
      </c>
      <c r="AE16" s="10">
        <f ca="1">VLOOKUP($B16,'[1]Analisys QBR By Machine Report'!$C$109:$BD$166,26,FALSE)</f>
        <v>815</v>
      </c>
      <c r="AF16" s="10">
        <f ca="1">VLOOKUP($B16,'[1]Analisys QBR By Machine Report'!$C$109:$BD$166,27,FALSE)</f>
        <v>815</v>
      </c>
      <c r="AG16" s="10">
        <f ca="1">VLOOKUP($B16,'[1]Analisys QBR By Machine Report'!$C$109:$BD$166,28,FALSE)</f>
        <v>0</v>
      </c>
      <c r="AH16" s="10">
        <f ca="1">VLOOKUP($B16,'[1]Analisys QBR By Machine Report'!$C$109:$BD$166,29,FALSE)</f>
        <v>815</v>
      </c>
      <c r="AI16" s="10">
        <f ca="1">VLOOKUP($B16,'[1]Analisys QBR By Machine Report'!$C$109:$BD$166,30,FALSE)</f>
        <v>11330</v>
      </c>
      <c r="AJ16" s="10">
        <f ca="1">VLOOKUP($B16,'[1]Analisys QBR By Machine Report'!$C$109:$BD$166,31,FALSE)</f>
        <v>75</v>
      </c>
      <c r="AK16" s="10">
        <f ca="1">VLOOKUP($B16,'[1]Analisys QBR By Machine Report'!$C$109:$BD$166,32,FALSE)</f>
        <v>0</v>
      </c>
      <c r="AL16" s="10">
        <f ca="1">VLOOKUP($B16,'[1]Analisys QBR By Machine Report'!$C$109:$BD$166,33,FALSE)</f>
        <v>3150</v>
      </c>
      <c r="AM16" s="10">
        <f ca="1">VLOOKUP($B16,'[1]Analisys QBR By Machine Report'!$C$109:$BD$166,34,FALSE)</f>
        <v>0</v>
      </c>
      <c r="AN16" s="10">
        <f ca="1">VLOOKUP($B16,'[1]Analisys QBR By Machine Report'!$C$109:$BD$166,35,FALSE)</f>
        <v>2970</v>
      </c>
      <c r="AO16" s="10">
        <f ca="1">VLOOKUP($B16,'[1]Analisys QBR By Machine Report'!$C$109:$BD$166,36,FALSE)</f>
        <v>685</v>
      </c>
      <c r="AP16" s="10">
        <f ca="1">VLOOKUP($B16,'[1]Analisys QBR By Machine Report'!$C$109:$BD$166,37,FALSE)</f>
        <v>0</v>
      </c>
      <c r="AQ16" s="10">
        <f ca="1">VLOOKUP($B16,'[1]Analisys QBR By Machine Report'!$C$109:$BD$166,38,FALSE)</f>
        <v>0</v>
      </c>
      <c r="AR16" s="10">
        <f ca="1">VLOOKUP($B16,'[1]Analisys QBR By Machine Report'!$C$109:$BD$166,39,FALSE)</f>
        <v>490</v>
      </c>
      <c r="AS16" s="10">
        <f ca="1">VLOOKUP($B16,'[1]Analisys QBR By Machine Report'!$C$109:$BD$166,40,FALSE)</f>
        <v>1790</v>
      </c>
      <c r="AT16" s="10">
        <f ca="1">VLOOKUP($B16,'[1]Analisys QBR By Machine Report'!$C$109:$BD$166,41,FALSE)</f>
        <v>0</v>
      </c>
      <c r="AU16" s="10">
        <f ca="1">VLOOKUP($B16,'[1]Analisys QBR By Machine Report'!$C$109:$BD$166,42,FALSE)</f>
        <v>0</v>
      </c>
      <c r="AV16" s="10">
        <f ca="1">VLOOKUP($B16,'[1]Analisys QBR By Machine Report'!$C$109:$BD$166,43,FALSE)</f>
        <v>0</v>
      </c>
      <c r="AW16" s="10">
        <f ca="1">VLOOKUP($B16,'[1]Analisys QBR By Machine Report'!$C$109:$BD$166,44,FALSE)</f>
        <v>0</v>
      </c>
      <c r="AX16" s="10">
        <f ca="1">VLOOKUP($B16,'[1]Analisys QBR By Machine Report'!$C$109:$BD$166,45,FALSE)</f>
        <v>0</v>
      </c>
      <c r="AY16" s="10">
        <f ca="1">VLOOKUP($B16,'[1]Analisys QBR By Machine Report'!$C$109:$BD$166,46,FALSE)</f>
        <v>0</v>
      </c>
      <c r="AZ16" s="10">
        <f ca="1">VLOOKUP($B16,'[1]Analisys QBR By Machine Report'!$C$109:$BD$166,47,FALSE)</f>
        <v>1980</v>
      </c>
      <c r="BA16" s="10">
        <f ca="1">VLOOKUP($B16,'[1]Analisys QBR By Machine Report'!$C$109:$BD$166,48,FALSE)</f>
        <v>190</v>
      </c>
      <c r="BB16" s="10">
        <f ca="1">VLOOKUP($B16,'[1]Analisys QBR By Machine Report'!$C$109:$BD$166,49,FALSE)</f>
        <v>0</v>
      </c>
      <c r="BC16" s="10">
        <f ca="1">VLOOKUP($B16,'[1]Analisys QBR By Machine Report'!$C$109:$BD$166,50,FALSE)</f>
        <v>0</v>
      </c>
      <c r="BD16" s="10">
        <f ca="1">VLOOKUP($B16,'[1]Analisys QBR By Machine Report'!$C$109:$BD$166,51,FALSE)</f>
        <v>10369900</v>
      </c>
      <c r="BE16" s="10">
        <f ca="1">VLOOKUP($B16,'[1]Analisys QBR By Machine Report'!$C$109:$BD$166,52,FALSE)</f>
        <v>51639</v>
      </c>
      <c r="BF16" s="10">
        <f ca="1">VLOOKUP($B16,'[1]Analisys QBR By Machine Report'!$C$109:$BD$166,53,FALSE)</f>
        <v>10318261</v>
      </c>
    </row>
    <row r="17" spans="1:58" x14ac:dyDescent="0.25">
      <c r="A17" s="12" t="s">
        <v>73</v>
      </c>
      <c r="B17" s="13">
        <f ca="1">VLOOKUP($B17,'[1]Analisys QBR By Machine Report'!$C$109:$BD$166,2,FALSE)</f>
        <v>27360</v>
      </c>
      <c r="C17" s="14">
        <f ca="1">VLOOKUP($B17,[1]Dasboard_QBR_Report!$B$109:$BL$166,3,FALSE)</f>
        <v>17670</v>
      </c>
      <c r="D17" s="13">
        <f ca="1">VLOOKUP($B17,'[1]Analisys QBR By Machine Report'!$C$109:$BD$166,3,FALSE)</f>
        <v>12870</v>
      </c>
      <c r="E17" s="14">
        <f ca="1">VLOOKUP($B17,[1]Dasboard_QBR_Report!$B$109:$BL$166,5,FALSE)</f>
        <v>3180</v>
      </c>
      <c r="F17" s="13">
        <f t="shared" ca="1" si="0"/>
        <v>14490</v>
      </c>
      <c r="G17" s="13">
        <f t="shared" ca="1" si="1"/>
        <v>630</v>
      </c>
      <c r="H17" s="13">
        <f ca="1">VLOOKUP($B17,'[1]Analisys QBR By Machine Report'!$C$109:$BD$166,4,FALSE)</f>
        <v>630</v>
      </c>
      <c r="I17" s="13">
        <f ca="1">VLOOKUP($B17,'[1]Analisys QBR By Machine Report'!$C$109:$BD$166,5,FALSE)</f>
        <v>0</v>
      </c>
      <c r="J17" s="13">
        <f ca="1">VLOOKUP($B17,'[1]Analisys QBR By Machine Report'!$C$109:$BD$166,6,FALSE)</f>
        <v>630</v>
      </c>
      <c r="K17" s="13">
        <f ca="1">VLOOKUP($B17,'[1]Analisys QBR By Machine Report'!$C$109:$BD$166,7,FALSE)</f>
        <v>0</v>
      </c>
      <c r="L17" s="13">
        <f ca="1">VLOOKUP($B17,'[1]Analisys QBR By Machine Report'!$C$109:$BD$166,8,FALSE)</f>
        <v>13860</v>
      </c>
      <c r="M17" s="13">
        <f ca="1">VLOOKUP($B17,'[1]Analisys QBR By Machine Report'!$C$109:$BD$166,9,FALSE)</f>
        <v>4855</v>
      </c>
      <c r="N17" s="13">
        <f ca="1">VLOOKUP($B17,[1]Dasboard_QBR_Report!$B$109:$BL$166,18,FALSE)</f>
        <v>9005</v>
      </c>
      <c r="O17" s="13">
        <f ca="1">VLOOKUP($B17,'[1]Analisys QBR By Machine Report'!$C$109:$BD$166,10,FALSE)</f>
        <v>2050</v>
      </c>
      <c r="P17" s="13">
        <f ca="1">VLOOKUP($B17,'[1]Analisys QBR By Machine Report'!$C$109:$BD$166,11,FALSE)</f>
        <v>840</v>
      </c>
      <c r="Q17" s="13">
        <f ca="1">VLOOKUP($B17,'[1]Analisys QBR By Machine Report'!$C$109:$BD$166,12,FALSE)</f>
        <v>0</v>
      </c>
      <c r="R17" s="13">
        <f ca="1">VLOOKUP($B17,'[1]Analisys QBR By Machine Report'!$C$109:$BD$166,13,FALSE)</f>
        <v>1210</v>
      </c>
      <c r="S17" s="13">
        <f ca="1">VLOOKUP($B17,'[1]Analisys QBR By Machine Report'!$C$109:$BD$166,14,FALSE)</f>
        <v>0</v>
      </c>
      <c r="T17" s="13">
        <f ca="1">VLOOKUP($B17,'[1]Analisys QBR By Machine Report'!$C$109:$BD$166,15,FALSE)</f>
        <v>280</v>
      </c>
      <c r="U17" s="13">
        <f ca="1">VLOOKUP($B17,'[1]Analisys QBR By Machine Report'!$C$109:$BD$166,16,FALSE)</f>
        <v>200</v>
      </c>
      <c r="V17" s="13">
        <f ca="1">VLOOKUP($B17,'[1]Analisys QBR By Machine Report'!$C$109:$BD$166,17,FALSE)</f>
        <v>80</v>
      </c>
      <c r="W17" s="13">
        <f ca="1">VLOOKUP($B17,'[1]Analisys QBR By Machine Report'!$C$109:$BD$166,18,FALSE)</f>
        <v>0</v>
      </c>
      <c r="X17" s="13">
        <f ca="1">VLOOKUP($B17,'[1]Analisys QBR By Machine Report'!$C$109:$BD$166,19,FALSE)</f>
        <v>0</v>
      </c>
      <c r="Y17" s="13">
        <f ca="1">VLOOKUP($B17,'[1]Analisys QBR By Machine Report'!$C$109:$BD$166,20,FALSE)</f>
        <v>0</v>
      </c>
      <c r="Z17" s="13">
        <f ca="1">VLOOKUP($B17,'[1]Analisys QBR By Machine Report'!$C$109:$BD$166,21,FALSE)</f>
        <v>3120</v>
      </c>
      <c r="AA17" s="13">
        <f ca="1">VLOOKUP($B17,'[1]Analisys QBR By Machine Report'!$C$109:$BD$166,22,FALSE)</f>
        <v>1945</v>
      </c>
      <c r="AB17" s="13">
        <f ca="1">VLOOKUP($B17,'[1]Analisys QBR By Machine Report'!$C$109:$BD$166,23,FALSE)</f>
        <v>370</v>
      </c>
      <c r="AC17" s="13">
        <f ca="1">VLOOKUP($B17,'[1]Analisys QBR By Machine Report'!$C$109:$BD$166,24,FALSE)</f>
        <v>625</v>
      </c>
      <c r="AD17" s="13">
        <f ca="1">VLOOKUP($B17,'[1]Analisys QBR By Machine Report'!$C$109:$BD$166,25,FALSE)</f>
        <v>0</v>
      </c>
      <c r="AE17" s="13">
        <f ca="1">VLOOKUP($B17,'[1]Analisys QBR By Machine Report'!$C$109:$BD$166,26,FALSE)</f>
        <v>180</v>
      </c>
      <c r="AF17" s="13">
        <f ca="1">VLOOKUP($B17,'[1]Analisys QBR By Machine Report'!$C$109:$BD$166,27,FALSE)</f>
        <v>815</v>
      </c>
      <c r="AG17" s="13">
        <f ca="1">VLOOKUP($B17,'[1]Analisys QBR By Machine Report'!$C$109:$BD$166,28,FALSE)</f>
        <v>0</v>
      </c>
      <c r="AH17" s="13">
        <f ca="1">VLOOKUP($B17,'[1]Analisys QBR By Machine Report'!$C$109:$BD$166,29,FALSE)</f>
        <v>815</v>
      </c>
      <c r="AI17" s="13">
        <f ca="1">VLOOKUP($B17,'[1]Analisys QBR By Machine Report'!$C$109:$BD$166,30,FALSE)</f>
        <v>2740</v>
      </c>
      <c r="AJ17" s="13">
        <f ca="1">VLOOKUP($B17,'[1]Analisys QBR By Machine Report'!$C$109:$BD$166,31,FALSE)</f>
        <v>0</v>
      </c>
      <c r="AK17" s="13">
        <f ca="1">VLOOKUP($B17,'[1]Analisys QBR By Machine Report'!$C$109:$BD$166,32,FALSE)</f>
        <v>0</v>
      </c>
      <c r="AL17" s="13">
        <f ca="1">VLOOKUP($B17,'[1]Analisys QBR By Machine Report'!$C$109:$BD$166,33,FALSE)</f>
        <v>840</v>
      </c>
      <c r="AM17" s="13">
        <f ca="1">VLOOKUP($B17,'[1]Analisys QBR By Machine Report'!$C$109:$BD$166,34,FALSE)</f>
        <v>0</v>
      </c>
      <c r="AN17" s="13">
        <f ca="1">VLOOKUP($B17,'[1]Analisys QBR By Machine Report'!$C$109:$BD$166,35,FALSE)</f>
        <v>810</v>
      </c>
      <c r="AO17" s="13">
        <f ca="1">VLOOKUP($B17,'[1]Analisys QBR By Machine Report'!$C$109:$BD$166,36,FALSE)</f>
        <v>200</v>
      </c>
      <c r="AP17" s="13">
        <f ca="1">VLOOKUP($B17,'[1]Analisys QBR By Machine Report'!$C$109:$BD$166,37,FALSE)</f>
        <v>0</v>
      </c>
      <c r="AQ17" s="13">
        <f ca="1">VLOOKUP($B17,'[1]Analisys QBR By Machine Report'!$C$109:$BD$166,38,FALSE)</f>
        <v>0</v>
      </c>
      <c r="AR17" s="13">
        <f ca="1">VLOOKUP($B17,'[1]Analisys QBR By Machine Report'!$C$109:$BD$166,39,FALSE)</f>
        <v>0</v>
      </c>
      <c r="AS17" s="13">
        <f ca="1">VLOOKUP($B17,'[1]Analisys QBR By Machine Report'!$C$109:$BD$166,40,FALSE)</f>
        <v>405</v>
      </c>
      <c r="AT17" s="13">
        <f ca="1">VLOOKUP($B17,'[1]Analisys QBR By Machine Report'!$C$109:$BD$166,41,FALSE)</f>
        <v>0</v>
      </c>
      <c r="AU17" s="13">
        <f ca="1">VLOOKUP($B17,'[1]Analisys QBR By Machine Report'!$C$109:$BD$166,42,FALSE)</f>
        <v>0</v>
      </c>
      <c r="AV17" s="13">
        <f ca="1">VLOOKUP($B17,'[1]Analisys QBR By Machine Report'!$C$109:$BD$166,43,FALSE)</f>
        <v>0</v>
      </c>
      <c r="AW17" s="13">
        <f ca="1">VLOOKUP($B17,'[1]Analisys QBR By Machine Report'!$C$109:$BD$166,44,FALSE)</f>
        <v>0</v>
      </c>
      <c r="AX17" s="13">
        <f ca="1">VLOOKUP($B17,'[1]Analisys QBR By Machine Report'!$C$109:$BD$166,45,FALSE)</f>
        <v>0</v>
      </c>
      <c r="AY17" s="13">
        <f ca="1">VLOOKUP($B17,'[1]Analisys QBR By Machine Report'!$C$109:$BD$166,46,FALSE)</f>
        <v>0</v>
      </c>
      <c r="AZ17" s="13">
        <f ca="1">VLOOKUP($B17,'[1]Analisys QBR By Machine Report'!$C$109:$BD$166,47,FALSE)</f>
        <v>485</v>
      </c>
      <c r="BA17" s="13">
        <f ca="1">VLOOKUP($B17,'[1]Analisys QBR By Machine Report'!$C$109:$BD$166,48,FALSE)</f>
        <v>0</v>
      </c>
      <c r="BB17" s="13">
        <f ca="1">VLOOKUP($B17,'[1]Analisys QBR By Machine Report'!$C$109:$BD$166,49,FALSE)</f>
        <v>0</v>
      </c>
      <c r="BC17" s="13">
        <f ca="1">VLOOKUP($B17,'[1]Analisys QBR By Machine Report'!$C$109:$BD$166,50,FALSE)</f>
        <v>0</v>
      </c>
      <c r="BD17" s="13">
        <f ca="1">VLOOKUP($B17,'[1]Analisys QBR By Machine Report'!$C$109:$BD$166,51,FALSE)</f>
        <v>2777036</v>
      </c>
      <c r="BE17" s="13">
        <f ca="1">VLOOKUP($B17,'[1]Analisys QBR By Machine Report'!$C$109:$BD$166,52,FALSE)</f>
        <v>11786</v>
      </c>
      <c r="BF17" s="13">
        <f ca="1">VLOOKUP($B17,'[1]Analisys QBR By Machine Report'!$C$109:$BD$166,53,FALSE)</f>
        <v>2765250</v>
      </c>
    </row>
    <row r="18" spans="1:58" x14ac:dyDescent="0.25">
      <c r="A18" s="12" t="s">
        <v>74</v>
      </c>
      <c r="B18" s="13">
        <f ca="1">VLOOKUP($B18,'[1]Analisys QBR By Machine Report'!$C$109:$BD$166,2,FALSE)</f>
        <v>25920</v>
      </c>
      <c r="C18" s="14">
        <f ca="1">VLOOKUP($B18,[1]Dasboard_QBR_Report!$B$109:$BL$166,3,FALSE)</f>
        <v>16740</v>
      </c>
      <c r="D18" s="13">
        <f ca="1">VLOOKUP($B18,'[1]Analisys QBR By Machine Report'!$C$109:$BD$166,3,FALSE)</f>
        <v>12870</v>
      </c>
      <c r="E18" s="14">
        <f ca="1">VLOOKUP($B18,[1]Dasboard_QBR_Report!$B$109:$BL$166,5,FALSE)</f>
        <v>3690</v>
      </c>
      <c r="F18" s="13">
        <f t="shared" ca="1" si="0"/>
        <v>13050</v>
      </c>
      <c r="G18" s="13">
        <f t="shared" ca="1" si="1"/>
        <v>480</v>
      </c>
      <c r="H18" s="13">
        <f ca="1">VLOOKUP($B18,'[1]Analisys QBR By Machine Report'!$C$109:$BD$166,4,FALSE)</f>
        <v>480</v>
      </c>
      <c r="I18" s="13">
        <f ca="1">VLOOKUP($B18,'[1]Analisys QBR By Machine Report'!$C$109:$BD$166,5,FALSE)</f>
        <v>240</v>
      </c>
      <c r="J18" s="13">
        <f ca="1">VLOOKUP($B18,'[1]Analisys QBR By Machine Report'!$C$109:$BD$166,6,FALSE)</f>
        <v>240</v>
      </c>
      <c r="K18" s="13">
        <f ca="1">VLOOKUP($B18,'[1]Analisys QBR By Machine Report'!$C$109:$BD$166,7,FALSE)</f>
        <v>0</v>
      </c>
      <c r="L18" s="13">
        <f ca="1">VLOOKUP($B18,'[1]Analisys QBR By Machine Report'!$C$109:$BD$166,8,FALSE)</f>
        <v>12570</v>
      </c>
      <c r="M18" s="13">
        <f ca="1">VLOOKUP($B18,'[1]Analisys QBR By Machine Report'!$C$109:$BD$166,9,FALSE)</f>
        <v>4185</v>
      </c>
      <c r="N18" s="13">
        <f ca="1">VLOOKUP($B18,[1]Dasboard_QBR_Report!$B$109:$BL$166,18,FALSE)</f>
        <v>8385</v>
      </c>
      <c r="O18" s="13">
        <f ca="1">VLOOKUP($B18,'[1]Analisys QBR By Machine Report'!$C$109:$BD$166,10,FALSE)</f>
        <v>1827</v>
      </c>
      <c r="P18" s="13">
        <f ca="1">VLOOKUP($B18,'[1]Analisys QBR By Machine Report'!$C$109:$BD$166,11,FALSE)</f>
        <v>1172</v>
      </c>
      <c r="Q18" s="13">
        <f ca="1">VLOOKUP($B18,'[1]Analisys QBR By Machine Report'!$C$109:$BD$166,12,FALSE)</f>
        <v>0</v>
      </c>
      <c r="R18" s="13">
        <f ca="1">VLOOKUP($B18,'[1]Analisys QBR By Machine Report'!$C$109:$BD$166,13,FALSE)</f>
        <v>655</v>
      </c>
      <c r="S18" s="13">
        <f ca="1">VLOOKUP($B18,'[1]Analisys QBR By Machine Report'!$C$109:$BD$166,14,FALSE)</f>
        <v>0</v>
      </c>
      <c r="T18" s="13">
        <f ca="1">VLOOKUP($B18,'[1]Analisys QBR By Machine Report'!$C$109:$BD$166,15,FALSE)</f>
        <v>60</v>
      </c>
      <c r="U18" s="13">
        <f ca="1">VLOOKUP($B18,'[1]Analisys QBR By Machine Report'!$C$109:$BD$166,16,FALSE)</f>
        <v>50</v>
      </c>
      <c r="V18" s="13">
        <f ca="1">VLOOKUP($B18,'[1]Analisys QBR By Machine Report'!$C$109:$BD$166,17,FALSE)</f>
        <v>10</v>
      </c>
      <c r="W18" s="13">
        <f ca="1">VLOOKUP($B18,'[1]Analisys QBR By Machine Report'!$C$109:$BD$166,18,FALSE)</f>
        <v>0</v>
      </c>
      <c r="X18" s="13">
        <f ca="1">VLOOKUP($B18,'[1]Analisys QBR By Machine Report'!$C$109:$BD$166,19,FALSE)</f>
        <v>0</v>
      </c>
      <c r="Y18" s="13">
        <f ca="1">VLOOKUP($B18,'[1]Analisys QBR By Machine Report'!$C$109:$BD$166,20,FALSE)</f>
        <v>0</v>
      </c>
      <c r="Z18" s="13">
        <f ca="1">VLOOKUP($B18,'[1]Analisys QBR By Machine Report'!$C$109:$BD$166,21,FALSE)</f>
        <v>3143</v>
      </c>
      <c r="AA18" s="13">
        <f ca="1">VLOOKUP($B18,'[1]Analisys QBR By Machine Report'!$C$109:$BD$166,22,FALSE)</f>
        <v>1585</v>
      </c>
      <c r="AB18" s="13">
        <f ca="1">VLOOKUP($B18,'[1]Analisys QBR By Machine Report'!$C$109:$BD$166,23,FALSE)</f>
        <v>713</v>
      </c>
      <c r="AC18" s="13">
        <f ca="1">VLOOKUP($B18,'[1]Analisys QBR By Machine Report'!$C$109:$BD$166,24,FALSE)</f>
        <v>560</v>
      </c>
      <c r="AD18" s="13">
        <f ca="1">VLOOKUP($B18,'[1]Analisys QBR By Machine Report'!$C$109:$BD$166,25,FALSE)</f>
        <v>60</v>
      </c>
      <c r="AE18" s="13">
        <f ca="1">VLOOKUP($B18,'[1]Analisys QBR By Machine Report'!$C$109:$BD$166,26,FALSE)</f>
        <v>225</v>
      </c>
      <c r="AF18" s="13">
        <f ca="1">VLOOKUP($B18,'[1]Analisys QBR By Machine Report'!$C$109:$BD$166,27,FALSE)</f>
        <v>0</v>
      </c>
      <c r="AG18" s="13">
        <f ca="1">VLOOKUP($B18,'[1]Analisys QBR By Machine Report'!$C$109:$BD$166,28,FALSE)</f>
        <v>0</v>
      </c>
      <c r="AH18" s="13">
        <f ca="1">VLOOKUP($B18,'[1]Analisys QBR By Machine Report'!$C$109:$BD$166,29,FALSE)</f>
        <v>0</v>
      </c>
      <c r="AI18" s="13">
        <f ca="1">VLOOKUP($B18,'[1]Analisys QBR By Machine Report'!$C$109:$BD$166,30,FALSE)</f>
        <v>3355</v>
      </c>
      <c r="AJ18" s="13">
        <f ca="1">VLOOKUP($B18,'[1]Analisys QBR By Machine Report'!$C$109:$BD$166,31,FALSE)</f>
        <v>0</v>
      </c>
      <c r="AK18" s="13">
        <f ca="1">VLOOKUP($B18,'[1]Analisys QBR By Machine Report'!$C$109:$BD$166,32,FALSE)</f>
        <v>0</v>
      </c>
      <c r="AL18" s="13">
        <f ca="1">VLOOKUP($B18,'[1]Analisys QBR By Machine Report'!$C$109:$BD$166,33,FALSE)</f>
        <v>780</v>
      </c>
      <c r="AM18" s="13">
        <f ca="1">VLOOKUP($B18,'[1]Analisys QBR By Machine Report'!$C$109:$BD$166,34,FALSE)</f>
        <v>0</v>
      </c>
      <c r="AN18" s="13">
        <f ca="1">VLOOKUP($B18,'[1]Analisys QBR By Machine Report'!$C$109:$BD$166,35,FALSE)</f>
        <v>795</v>
      </c>
      <c r="AO18" s="13">
        <f ca="1">VLOOKUP($B18,'[1]Analisys QBR By Machine Report'!$C$109:$BD$166,36,FALSE)</f>
        <v>0</v>
      </c>
      <c r="AP18" s="13">
        <f ca="1">VLOOKUP($B18,'[1]Analisys QBR By Machine Report'!$C$109:$BD$166,37,FALSE)</f>
        <v>0</v>
      </c>
      <c r="AQ18" s="13">
        <f ca="1">VLOOKUP($B18,'[1]Analisys QBR By Machine Report'!$C$109:$BD$166,38,FALSE)</f>
        <v>0</v>
      </c>
      <c r="AR18" s="13">
        <f ca="1">VLOOKUP($B18,'[1]Analisys QBR By Machine Report'!$C$109:$BD$166,39,FALSE)</f>
        <v>445</v>
      </c>
      <c r="AS18" s="13">
        <f ca="1">VLOOKUP($B18,'[1]Analisys QBR By Machine Report'!$C$109:$BD$166,40,FALSE)</f>
        <v>615</v>
      </c>
      <c r="AT18" s="13">
        <f ca="1">VLOOKUP($B18,'[1]Analisys QBR By Machine Report'!$C$109:$BD$166,41,FALSE)</f>
        <v>0</v>
      </c>
      <c r="AU18" s="13">
        <f ca="1">VLOOKUP($B18,'[1]Analisys QBR By Machine Report'!$C$109:$BD$166,42,FALSE)</f>
        <v>0</v>
      </c>
      <c r="AV18" s="13">
        <f ca="1">VLOOKUP($B18,'[1]Analisys QBR By Machine Report'!$C$109:$BD$166,43,FALSE)</f>
        <v>0</v>
      </c>
      <c r="AW18" s="13">
        <f ca="1">VLOOKUP($B18,'[1]Analisys QBR By Machine Report'!$C$109:$BD$166,44,FALSE)</f>
        <v>0</v>
      </c>
      <c r="AX18" s="13">
        <f ca="1">VLOOKUP($B18,'[1]Analisys QBR By Machine Report'!$C$109:$BD$166,45,FALSE)</f>
        <v>0</v>
      </c>
      <c r="AY18" s="13">
        <f ca="1">VLOOKUP($B18,'[1]Analisys QBR By Machine Report'!$C$109:$BD$166,46,FALSE)</f>
        <v>0</v>
      </c>
      <c r="AZ18" s="13">
        <f ca="1">VLOOKUP($B18,'[1]Analisys QBR By Machine Report'!$C$109:$BD$166,47,FALSE)</f>
        <v>530</v>
      </c>
      <c r="BA18" s="13">
        <f ca="1">VLOOKUP($B18,'[1]Analisys QBR By Machine Report'!$C$109:$BD$166,48,FALSE)</f>
        <v>190</v>
      </c>
      <c r="BB18" s="13">
        <f ca="1">VLOOKUP($B18,'[1]Analisys QBR By Machine Report'!$C$109:$BD$166,49,FALSE)</f>
        <v>0</v>
      </c>
      <c r="BC18" s="13">
        <f ca="1">VLOOKUP($B18,'[1]Analisys QBR By Machine Report'!$C$109:$BD$166,50,FALSE)</f>
        <v>0</v>
      </c>
      <c r="BD18" s="13">
        <f ca="1">VLOOKUP($B18,'[1]Analisys QBR By Machine Report'!$C$109:$BD$166,51,FALSE)</f>
        <v>4994674</v>
      </c>
      <c r="BE18" s="13">
        <f ca="1">VLOOKUP($B18,'[1]Analisys QBR By Machine Report'!$C$109:$BD$166,52,FALSE)</f>
        <v>23434</v>
      </c>
      <c r="BF18" s="13">
        <f ca="1">VLOOKUP($B18,'[1]Analisys QBR By Machine Report'!$C$109:$BD$166,53,FALSE)</f>
        <v>4971240</v>
      </c>
    </row>
    <row r="19" spans="1:58" x14ac:dyDescent="0.25">
      <c r="A19" s="12" t="s">
        <v>75</v>
      </c>
      <c r="B19" s="13">
        <f ca="1">VLOOKUP($B19,'[1]Analisys QBR By Machine Report'!$C$109:$BD$166,2,FALSE)</f>
        <v>27360</v>
      </c>
      <c r="C19" s="14">
        <f ca="1">VLOOKUP($B19,[1]Dasboard_QBR_Report!$B$109:$BL$166,3,FALSE)</f>
        <v>9120</v>
      </c>
      <c r="D19" s="13">
        <f ca="1">VLOOKUP($B19,'[1]Analisys QBR By Machine Report'!$C$109:$BD$166,3,FALSE)</f>
        <v>18060</v>
      </c>
      <c r="E19" s="14">
        <f ca="1">VLOOKUP($B19,[1]Dasboard_QBR_Report!$B$109:$BL$166,5,FALSE)</f>
        <v>-180</v>
      </c>
      <c r="F19" s="13">
        <f t="shared" ca="1" si="0"/>
        <v>9300</v>
      </c>
      <c r="G19" s="13">
        <f t="shared" ca="1" si="1"/>
        <v>660</v>
      </c>
      <c r="H19" s="13">
        <f ca="1">VLOOKUP($B19,'[1]Analisys QBR By Machine Report'!$C$109:$BD$166,4,FALSE)</f>
        <v>660</v>
      </c>
      <c r="I19" s="13">
        <f ca="1">VLOOKUP($B19,'[1]Analisys QBR By Machine Report'!$C$109:$BD$166,5,FALSE)</f>
        <v>300</v>
      </c>
      <c r="J19" s="13">
        <f ca="1">VLOOKUP($B19,'[1]Analisys QBR By Machine Report'!$C$109:$BD$166,6,FALSE)</f>
        <v>360</v>
      </c>
      <c r="K19" s="13">
        <f ca="1">VLOOKUP($B19,'[1]Analisys QBR By Machine Report'!$C$109:$BD$166,7,FALSE)</f>
        <v>0</v>
      </c>
      <c r="L19" s="13">
        <f ca="1">VLOOKUP($B19,'[1]Analisys QBR By Machine Report'!$C$109:$BD$166,8,FALSE)</f>
        <v>8640</v>
      </c>
      <c r="M19" s="13">
        <f ca="1">VLOOKUP($B19,'[1]Analisys QBR By Machine Report'!$C$109:$BD$166,9,FALSE)</f>
        <v>2820</v>
      </c>
      <c r="N19" s="13">
        <f ca="1">VLOOKUP($B19,[1]Dasboard_QBR_Report!$B$109:$BL$166,18,FALSE)</f>
        <v>5820</v>
      </c>
      <c r="O19" s="13">
        <f ca="1">VLOOKUP($B19,'[1]Analisys QBR By Machine Report'!$C$109:$BD$166,10,FALSE)</f>
        <v>2095</v>
      </c>
      <c r="P19" s="13">
        <f ca="1">VLOOKUP($B19,'[1]Analisys QBR By Machine Report'!$C$109:$BD$166,11,FALSE)</f>
        <v>1515</v>
      </c>
      <c r="Q19" s="13">
        <f ca="1">VLOOKUP($B19,'[1]Analisys QBR By Machine Report'!$C$109:$BD$166,12,FALSE)</f>
        <v>0</v>
      </c>
      <c r="R19" s="13">
        <f ca="1">VLOOKUP($B19,'[1]Analisys QBR By Machine Report'!$C$109:$BD$166,13,FALSE)</f>
        <v>580</v>
      </c>
      <c r="S19" s="13">
        <f ca="1">VLOOKUP($B19,'[1]Analisys QBR By Machine Report'!$C$109:$BD$166,14,FALSE)</f>
        <v>0</v>
      </c>
      <c r="T19" s="13">
        <f ca="1">VLOOKUP($B19,'[1]Analisys QBR By Machine Report'!$C$109:$BD$166,15,FALSE)</f>
        <v>35</v>
      </c>
      <c r="U19" s="13">
        <f ca="1">VLOOKUP($B19,'[1]Analisys QBR By Machine Report'!$C$109:$BD$166,16,FALSE)</f>
        <v>35</v>
      </c>
      <c r="V19" s="13">
        <f ca="1">VLOOKUP($B19,'[1]Analisys QBR By Machine Report'!$C$109:$BD$166,17,FALSE)</f>
        <v>0</v>
      </c>
      <c r="W19" s="13">
        <f ca="1">VLOOKUP($B19,'[1]Analisys QBR By Machine Report'!$C$109:$BD$166,18,FALSE)</f>
        <v>0</v>
      </c>
      <c r="X19" s="13">
        <f ca="1">VLOOKUP($B19,'[1]Analisys QBR By Machine Report'!$C$109:$BD$166,19,FALSE)</f>
        <v>0</v>
      </c>
      <c r="Y19" s="13">
        <f ca="1">VLOOKUP($B19,'[1]Analisys QBR By Machine Report'!$C$109:$BD$166,20,FALSE)</f>
        <v>0</v>
      </c>
      <c r="Z19" s="13">
        <f ca="1">VLOOKUP($B19,'[1]Analisys QBR By Machine Report'!$C$109:$BD$166,21,FALSE)</f>
        <v>1830</v>
      </c>
      <c r="AA19" s="13">
        <f ca="1">VLOOKUP($B19,'[1]Analisys QBR By Machine Report'!$C$109:$BD$166,22,FALSE)</f>
        <v>1205</v>
      </c>
      <c r="AB19" s="13">
        <f ca="1">VLOOKUP($B19,'[1]Analisys QBR By Machine Report'!$C$109:$BD$166,23,FALSE)</f>
        <v>110</v>
      </c>
      <c r="AC19" s="13">
        <f ca="1">VLOOKUP($B19,'[1]Analisys QBR By Machine Report'!$C$109:$BD$166,24,FALSE)</f>
        <v>390</v>
      </c>
      <c r="AD19" s="13">
        <f ca="1">VLOOKUP($B19,'[1]Analisys QBR By Machine Report'!$C$109:$BD$166,25,FALSE)</f>
        <v>0</v>
      </c>
      <c r="AE19" s="13">
        <f ca="1">VLOOKUP($B19,'[1]Analisys QBR By Machine Report'!$C$109:$BD$166,26,FALSE)</f>
        <v>125</v>
      </c>
      <c r="AF19" s="13">
        <f ca="1">VLOOKUP($B19,'[1]Analisys QBR By Machine Report'!$C$109:$BD$166,27,FALSE)</f>
        <v>0</v>
      </c>
      <c r="AG19" s="13">
        <f ca="1">VLOOKUP($B19,'[1]Analisys QBR By Machine Report'!$C$109:$BD$166,28,FALSE)</f>
        <v>0</v>
      </c>
      <c r="AH19" s="13">
        <f ca="1">VLOOKUP($B19,'[1]Analisys QBR By Machine Report'!$C$109:$BD$166,29,FALSE)</f>
        <v>0</v>
      </c>
      <c r="AI19" s="13">
        <f ca="1">VLOOKUP($B19,'[1]Analisys QBR By Machine Report'!$C$109:$BD$166,30,FALSE)</f>
        <v>1860</v>
      </c>
      <c r="AJ19" s="13">
        <f ca="1">VLOOKUP($B19,'[1]Analisys QBR By Machine Report'!$C$109:$BD$166,31,FALSE)</f>
        <v>0</v>
      </c>
      <c r="AK19" s="13">
        <f ca="1">VLOOKUP($B19,'[1]Analisys QBR By Machine Report'!$C$109:$BD$166,32,FALSE)</f>
        <v>0</v>
      </c>
      <c r="AL19" s="13">
        <f ca="1">VLOOKUP($B19,'[1]Analisys QBR By Machine Report'!$C$109:$BD$166,33,FALSE)</f>
        <v>510</v>
      </c>
      <c r="AM19" s="13">
        <f ca="1">VLOOKUP($B19,'[1]Analisys QBR By Machine Report'!$C$109:$BD$166,34,FALSE)</f>
        <v>0</v>
      </c>
      <c r="AN19" s="13">
        <f ca="1">VLOOKUP($B19,'[1]Analisys QBR By Machine Report'!$C$109:$BD$166,35,FALSE)</f>
        <v>535</v>
      </c>
      <c r="AO19" s="13">
        <f ca="1">VLOOKUP($B19,'[1]Analisys QBR By Machine Report'!$C$109:$BD$166,36,FALSE)</f>
        <v>425</v>
      </c>
      <c r="AP19" s="13">
        <f ca="1">VLOOKUP($B19,'[1]Analisys QBR By Machine Report'!$C$109:$BD$166,37,FALSE)</f>
        <v>0</v>
      </c>
      <c r="AQ19" s="13">
        <f ca="1">VLOOKUP($B19,'[1]Analisys QBR By Machine Report'!$C$109:$BD$166,38,FALSE)</f>
        <v>0</v>
      </c>
      <c r="AR19" s="13">
        <f ca="1">VLOOKUP($B19,'[1]Analisys QBR By Machine Report'!$C$109:$BD$166,39,FALSE)</f>
        <v>0</v>
      </c>
      <c r="AS19" s="13">
        <f ca="1">VLOOKUP($B19,'[1]Analisys QBR By Machine Report'!$C$109:$BD$166,40,FALSE)</f>
        <v>190</v>
      </c>
      <c r="AT19" s="13">
        <f ca="1">VLOOKUP($B19,'[1]Analisys QBR By Machine Report'!$C$109:$BD$166,41,FALSE)</f>
        <v>0</v>
      </c>
      <c r="AU19" s="13">
        <f ca="1">VLOOKUP($B19,'[1]Analisys QBR By Machine Report'!$C$109:$BD$166,42,FALSE)</f>
        <v>0</v>
      </c>
      <c r="AV19" s="13">
        <f ca="1">VLOOKUP($B19,'[1]Analisys QBR By Machine Report'!$C$109:$BD$166,43,FALSE)</f>
        <v>0</v>
      </c>
      <c r="AW19" s="13">
        <f ca="1">VLOOKUP($B19,'[1]Analisys QBR By Machine Report'!$C$109:$BD$166,44,FALSE)</f>
        <v>0</v>
      </c>
      <c r="AX19" s="13">
        <f ca="1">VLOOKUP($B19,'[1]Analisys QBR By Machine Report'!$C$109:$BD$166,45,FALSE)</f>
        <v>0</v>
      </c>
      <c r="AY19" s="13">
        <f ca="1">VLOOKUP($B19,'[1]Analisys QBR By Machine Report'!$C$109:$BD$166,46,FALSE)</f>
        <v>0</v>
      </c>
      <c r="AZ19" s="13">
        <f ca="1">VLOOKUP($B19,'[1]Analisys QBR By Machine Report'!$C$109:$BD$166,47,FALSE)</f>
        <v>200</v>
      </c>
      <c r="BA19" s="13">
        <f ca="1">VLOOKUP($B19,'[1]Analisys QBR By Machine Report'!$C$109:$BD$166,48,FALSE)</f>
        <v>0</v>
      </c>
      <c r="BB19" s="13">
        <f ca="1">VLOOKUP($B19,'[1]Analisys QBR By Machine Report'!$C$109:$BD$166,49,FALSE)</f>
        <v>0</v>
      </c>
      <c r="BC19" s="13">
        <f ca="1">VLOOKUP($B19,'[1]Analisys QBR By Machine Report'!$C$109:$BD$166,50,FALSE)</f>
        <v>0</v>
      </c>
      <c r="BD19" s="13">
        <f ca="1">VLOOKUP($B19,'[1]Analisys QBR By Machine Report'!$C$109:$BD$166,51,FALSE)</f>
        <v>1375861</v>
      </c>
      <c r="BE19" s="13">
        <f ca="1">VLOOKUP($B19,'[1]Analisys QBR By Machine Report'!$C$109:$BD$166,52,FALSE)</f>
        <v>4541</v>
      </c>
      <c r="BF19" s="13">
        <f ca="1">VLOOKUP($B19,'[1]Analisys QBR By Machine Report'!$C$109:$BD$166,53,FALSE)</f>
        <v>1371320</v>
      </c>
    </row>
    <row r="20" spans="1:58" x14ac:dyDescent="0.25">
      <c r="A20" s="12" t="s">
        <v>76</v>
      </c>
      <c r="B20" s="13">
        <f ca="1">VLOOKUP($B20,'[1]Analisys QBR By Machine Report'!$C$109:$BD$166,2,FALSE)</f>
        <v>27360</v>
      </c>
      <c r="C20" s="14">
        <f ca="1">VLOOKUP($B20,[1]Dasboard_QBR_Report!$B$109:$BL$166,3,FALSE)</f>
        <v>9120</v>
      </c>
      <c r="D20" s="13">
        <f ca="1">VLOOKUP($B20,'[1]Analisys QBR By Machine Report'!$C$109:$BD$166,3,FALSE)</f>
        <v>19770</v>
      </c>
      <c r="E20" s="14">
        <f ca="1">VLOOKUP($B20,[1]Dasboard_QBR_Report!$B$109:$BL$166,5,FALSE)</f>
        <v>1530</v>
      </c>
      <c r="F20" s="13">
        <f t="shared" ca="1" si="0"/>
        <v>7590</v>
      </c>
      <c r="G20" s="13">
        <f t="shared" ca="1" si="1"/>
        <v>640</v>
      </c>
      <c r="H20" s="13">
        <f ca="1">VLOOKUP($B20,'[1]Analisys QBR By Machine Report'!$C$109:$BD$166,4,FALSE)</f>
        <v>640</v>
      </c>
      <c r="I20" s="13">
        <f ca="1">VLOOKUP($B20,'[1]Analisys QBR By Machine Report'!$C$109:$BD$166,5,FALSE)</f>
        <v>0</v>
      </c>
      <c r="J20" s="13">
        <f ca="1">VLOOKUP($B20,'[1]Analisys QBR By Machine Report'!$C$109:$BD$166,6,FALSE)</f>
        <v>640</v>
      </c>
      <c r="K20" s="13">
        <f ca="1">VLOOKUP($B20,'[1]Analisys QBR By Machine Report'!$C$109:$BD$166,7,FALSE)</f>
        <v>0</v>
      </c>
      <c r="L20" s="13">
        <f ca="1">VLOOKUP($B20,'[1]Analisys QBR By Machine Report'!$C$109:$BD$166,8,FALSE)</f>
        <v>6950</v>
      </c>
      <c r="M20" s="13">
        <f ca="1">VLOOKUP($B20,'[1]Analisys QBR By Machine Report'!$C$109:$BD$166,9,FALSE)</f>
        <v>2920</v>
      </c>
      <c r="N20" s="13">
        <f ca="1">VLOOKUP($B20,[1]Dasboard_QBR_Report!$B$109:$BL$166,18,FALSE)</f>
        <v>4030</v>
      </c>
      <c r="O20" s="13">
        <f ca="1">VLOOKUP($B20,'[1]Analisys QBR By Machine Report'!$C$109:$BD$166,10,FALSE)</f>
        <v>105</v>
      </c>
      <c r="P20" s="13">
        <f ca="1">VLOOKUP($B20,'[1]Analisys QBR By Machine Report'!$C$109:$BD$166,11,FALSE)</f>
        <v>105</v>
      </c>
      <c r="Q20" s="13">
        <f ca="1">VLOOKUP($B20,'[1]Analisys QBR By Machine Report'!$C$109:$BD$166,12,FALSE)</f>
        <v>0</v>
      </c>
      <c r="R20" s="13">
        <f ca="1">VLOOKUP($B20,'[1]Analisys QBR By Machine Report'!$C$109:$BD$166,13,FALSE)</f>
        <v>0</v>
      </c>
      <c r="S20" s="13">
        <f ca="1">VLOOKUP($B20,'[1]Analisys QBR By Machine Report'!$C$109:$BD$166,14,FALSE)</f>
        <v>0</v>
      </c>
      <c r="T20" s="13">
        <f ca="1">VLOOKUP($B20,'[1]Analisys QBR By Machine Report'!$C$109:$BD$166,15,FALSE)</f>
        <v>0</v>
      </c>
      <c r="U20" s="13">
        <f ca="1">VLOOKUP($B20,'[1]Analisys QBR By Machine Report'!$C$109:$BD$166,16,FALSE)</f>
        <v>0</v>
      </c>
      <c r="V20" s="13">
        <f ca="1">VLOOKUP($B20,'[1]Analisys QBR By Machine Report'!$C$109:$BD$166,17,FALSE)</f>
        <v>0</v>
      </c>
      <c r="W20" s="13">
        <f ca="1">VLOOKUP($B20,'[1]Analisys QBR By Machine Report'!$C$109:$BD$166,18,FALSE)</f>
        <v>0</v>
      </c>
      <c r="X20" s="13">
        <f ca="1">VLOOKUP($B20,'[1]Analisys QBR By Machine Report'!$C$109:$BD$166,19,FALSE)</f>
        <v>0</v>
      </c>
      <c r="Y20" s="13">
        <f ca="1">VLOOKUP($B20,'[1]Analisys QBR By Machine Report'!$C$109:$BD$166,20,FALSE)</f>
        <v>0</v>
      </c>
      <c r="Z20" s="13">
        <f ca="1">VLOOKUP($B20,'[1]Analisys QBR By Machine Report'!$C$109:$BD$166,21,FALSE)</f>
        <v>2765</v>
      </c>
      <c r="AA20" s="13">
        <f ca="1">VLOOKUP($B20,'[1]Analisys QBR By Machine Report'!$C$109:$BD$166,22,FALSE)</f>
        <v>1995</v>
      </c>
      <c r="AB20" s="13">
        <f ca="1">VLOOKUP($B20,'[1]Analisys QBR By Machine Report'!$C$109:$BD$166,23,FALSE)</f>
        <v>260</v>
      </c>
      <c r="AC20" s="13">
        <f ca="1">VLOOKUP($B20,'[1]Analisys QBR By Machine Report'!$C$109:$BD$166,24,FALSE)</f>
        <v>375</v>
      </c>
      <c r="AD20" s="13">
        <f ca="1">VLOOKUP($B20,'[1]Analisys QBR By Machine Report'!$C$109:$BD$166,25,FALSE)</f>
        <v>0</v>
      </c>
      <c r="AE20" s="13">
        <f ca="1">VLOOKUP($B20,'[1]Analisys QBR By Machine Report'!$C$109:$BD$166,26,FALSE)</f>
        <v>135</v>
      </c>
      <c r="AF20" s="13">
        <f ca="1">VLOOKUP($B20,'[1]Analisys QBR By Machine Report'!$C$109:$BD$166,27,FALSE)</f>
        <v>0</v>
      </c>
      <c r="AG20" s="13">
        <f ca="1">VLOOKUP($B20,'[1]Analisys QBR By Machine Report'!$C$109:$BD$166,28,FALSE)</f>
        <v>0</v>
      </c>
      <c r="AH20" s="13">
        <f ca="1">VLOOKUP($B20,'[1]Analisys QBR By Machine Report'!$C$109:$BD$166,29,FALSE)</f>
        <v>0</v>
      </c>
      <c r="AI20" s="13">
        <f ca="1">VLOOKUP($B20,'[1]Analisys QBR By Machine Report'!$C$109:$BD$166,30,FALSE)</f>
        <v>1160</v>
      </c>
      <c r="AJ20" s="13">
        <f ca="1">VLOOKUP($B20,'[1]Analisys QBR By Machine Report'!$C$109:$BD$166,31,FALSE)</f>
        <v>75</v>
      </c>
      <c r="AK20" s="13">
        <f ca="1">VLOOKUP($B20,'[1]Analisys QBR By Machine Report'!$C$109:$BD$166,32,FALSE)</f>
        <v>0</v>
      </c>
      <c r="AL20" s="13">
        <f ca="1">VLOOKUP($B20,'[1]Analisys QBR By Machine Report'!$C$109:$BD$166,33,FALSE)</f>
        <v>420</v>
      </c>
      <c r="AM20" s="13">
        <f ca="1">VLOOKUP($B20,'[1]Analisys QBR By Machine Report'!$C$109:$BD$166,34,FALSE)</f>
        <v>0</v>
      </c>
      <c r="AN20" s="13">
        <f ca="1">VLOOKUP($B20,'[1]Analisys QBR By Machine Report'!$C$109:$BD$166,35,FALSE)</f>
        <v>305</v>
      </c>
      <c r="AO20" s="13">
        <f ca="1">VLOOKUP($B20,'[1]Analisys QBR By Machine Report'!$C$109:$BD$166,36,FALSE)</f>
        <v>60</v>
      </c>
      <c r="AP20" s="13">
        <f ca="1">VLOOKUP($B20,'[1]Analisys QBR By Machine Report'!$C$109:$BD$166,37,FALSE)</f>
        <v>0</v>
      </c>
      <c r="AQ20" s="13">
        <f ca="1">VLOOKUP($B20,'[1]Analisys QBR By Machine Report'!$C$109:$BD$166,38,FALSE)</f>
        <v>0</v>
      </c>
      <c r="AR20" s="13">
        <f ca="1">VLOOKUP($B20,'[1]Analisys QBR By Machine Report'!$C$109:$BD$166,39,FALSE)</f>
        <v>0</v>
      </c>
      <c r="AS20" s="13">
        <f ca="1">VLOOKUP($B20,'[1]Analisys QBR By Machine Report'!$C$109:$BD$166,40,FALSE)</f>
        <v>195</v>
      </c>
      <c r="AT20" s="13">
        <f ca="1">VLOOKUP($B20,'[1]Analisys QBR By Machine Report'!$C$109:$BD$166,41,FALSE)</f>
        <v>0</v>
      </c>
      <c r="AU20" s="13">
        <f ca="1">VLOOKUP($B20,'[1]Analisys QBR By Machine Report'!$C$109:$BD$166,42,FALSE)</f>
        <v>0</v>
      </c>
      <c r="AV20" s="13">
        <f ca="1">VLOOKUP($B20,'[1]Analisys QBR By Machine Report'!$C$109:$BD$166,43,FALSE)</f>
        <v>0</v>
      </c>
      <c r="AW20" s="13">
        <f ca="1">VLOOKUP($B20,'[1]Analisys QBR By Machine Report'!$C$109:$BD$166,44,FALSE)</f>
        <v>0</v>
      </c>
      <c r="AX20" s="13">
        <f ca="1">VLOOKUP($B20,'[1]Analisys QBR By Machine Report'!$C$109:$BD$166,45,FALSE)</f>
        <v>0</v>
      </c>
      <c r="AY20" s="13">
        <f ca="1">VLOOKUP($B20,'[1]Analisys QBR By Machine Report'!$C$109:$BD$166,46,FALSE)</f>
        <v>0</v>
      </c>
      <c r="AZ20" s="13">
        <f ca="1">VLOOKUP($B20,'[1]Analisys QBR By Machine Report'!$C$109:$BD$166,47,FALSE)</f>
        <v>105</v>
      </c>
      <c r="BA20" s="13">
        <f ca="1">VLOOKUP($B20,'[1]Analisys QBR By Machine Report'!$C$109:$BD$166,48,FALSE)</f>
        <v>0</v>
      </c>
      <c r="BB20" s="13">
        <f ca="1">VLOOKUP($B20,'[1]Analisys QBR By Machine Report'!$C$109:$BD$166,49,FALSE)</f>
        <v>0</v>
      </c>
      <c r="BC20" s="13">
        <f ca="1">VLOOKUP($B20,'[1]Analisys QBR By Machine Report'!$C$109:$BD$166,50,FALSE)</f>
        <v>0</v>
      </c>
      <c r="BD20" s="13">
        <f ca="1">VLOOKUP($B20,'[1]Analisys QBR By Machine Report'!$C$109:$BD$166,51,FALSE)</f>
        <v>23308</v>
      </c>
      <c r="BE20" s="13">
        <f ca="1">VLOOKUP($B20,'[1]Analisys QBR By Machine Report'!$C$109:$BD$166,52,FALSE)</f>
        <v>107</v>
      </c>
      <c r="BF20" s="13">
        <f ca="1">VLOOKUP($B20,'[1]Analisys QBR By Machine Report'!$C$109:$BD$166,53,FALSE)</f>
        <v>23201</v>
      </c>
    </row>
    <row r="21" spans="1:58" x14ac:dyDescent="0.25">
      <c r="A21" s="12" t="s">
        <v>77</v>
      </c>
      <c r="B21" s="13">
        <f ca="1">VLOOKUP($B21,'[1]Analisys QBR By Machine Report'!$C$109:$BD$166,2,FALSE)</f>
        <v>25920</v>
      </c>
      <c r="C21" s="14">
        <f ca="1">VLOOKUP($B21,[1]Dasboard_QBR_Report!$B$109:$BL$166,3,FALSE)</f>
        <v>8640</v>
      </c>
      <c r="D21" s="13">
        <f ca="1">VLOOKUP($B21,'[1]Analisys QBR By Machine Report'!$C$109:$BD$166,3,FALSE)</f>
        <v>16140</v>
      </c>
      <c r="E21" s="14">
        <f ca="1">VLOOKUP($B21,[1]Dasboard_QBR_Report!$B$109:$BL$166,5,FALSE)</f>
        <v>-1140</v>
      </c>
      <c r="F21" s="13">
        <f t="shared" ca="1" si="0"/>
        <v>9780</v>
      </c>
      <c r="G21" s="13">
        <f t="shared" ca="1" si="1"/>
        <v>615</v>
      </c>
      <c r="H21" s="13">
        <f ca="1">VLOOKUP($B21,'[1]Analisys QBR By Machine Report'!$C$109:$BD$166,4,FALSE)</f>
        <v>615</v>
      </c>
      <c r="I21" s="13">
        <f ca="1">VLOOKUP($B21,'[1]Analisys QBR By Machine Report'!$C$109:$BD$166,5,FALSE)</f>
        <v>0</v>
      </c>
      <c r="J21" s="13">
        <f ca="1">VLOOKUP($B21,'[1]Analisys QBR By Machine Report'!$C$109:$BD$166,6,FALSE)</f>
        <v>615</v>
      </c>
      <c r="K21" s="13">
        <f ca="1">VLOOKUP($B21,'[1]Analisys QBR By Machine Report'!$C$109:$BD$166,7,FALSE)</f>
        <v>0</v>
      </c>
      <c r="L21" s="13">
        <f ca="1">VLOOKUP($B21,'[1]Analisys QBR By Machine Report'!$C$109:$BD$166,8,FALSE)</f>
        <v>9165</v>
      </c>
      <c r="M21" s="13">
        <f ca="1">VLOOKUP($B21,'[1]Analisys QBR By Machine Report'!$C$109:$BD$166,9,FALSE)</f>
        <v>3495</v>
      </c>
      <c r="N21" s="13">
        <f ca="1">VLOOKUP($B21,[1]Dasboard_QBR_Report!$B$109:$BL$166,18,FALSE)</f>
        <v>5670</v>
      </c>
      <c r="O21" s="13">
        <f ca="1">VLOOKUP($B21,'[1]Analisys QBR By Machine Report'!$C$109:$BD$166,10,FALSE)</f>
        <v>1200</v>
      </c>
      <c r="P21" s="13">
        <f ca="1">VLOOKUP($B21,'[1]Analisys QBR By Machine Report'!$C$109:$BD$166,11,FALSE)</f>
        <v>640</v>
      </c>
      <c r="Q21" s="13">
        <f ca="1">VLOOKUP($B21,'[1]Analisys QBR By Machine Report'!$C$109:$BD$166,12,FALSE)</f>
        <v>0</v>
      </c>
      <c r="R21" s="13">
        <f ca="1">VLOOKUP($B21,'[1]Analisys QBR By Machine Report'!$C$109:$BD$166,13,FALSE)</f>
        <v>560</v>
      </c>
      <c r="S21" s="13">
        <f ca="1">VLOOKUP($B21,'[1]Analisys QBR By Machine Report'!$C$109:$BD$166,14,FALSE)</f>
        <v>0</v>
      </c>
      <c r="T21" s="13">
        <f ca="1">VLOOKUP($B21,'[1]Analisys QBR By Machine Report'!$C$109:$BD$166,15,FALSE)</f>
        <v>0</v>
      </c>
      <c r="U21" s="13">
        <f ca="1">VLOOKUP($B21,'[1]Analisys QBR By Machine Report'!$C$109:$BD$166,16,FALSE)</f>
        <v>0</v>
      </c>
      <c r="V21" s="13">
        <f ca="1">VLOOKUP($B21,'[1]Analisys QBR By Machine Report'!$C$109:$BD$166,17,FALSE)</f>
        <v>0</v>
      </c>
      <c r="W21" s="13">
        <f ca="1">VLOOKUP($B21,'[1]Analisys QBR By Machine Report'!$C$109:$BD$166,18,FALSE)</f>
        <v>0</v>
      </c>
      <c r="X21" s="13">
        <f ca="1">VLOOKUP($B21,'[1]Analisys QBR By Machine Report'!$C$109:$BD$166,19,FALSE)</f>
        <v>0</v>
      </c>
      <c r="Y21" s="13">
        <f ca="1">VLOOKUP($B21,'[1]Analisys QBR By Machine Report'!$C$109:$BD$166,20,FALSE)</f>
        <v>0</v>
      </c>
      <c r="Z21" s="13">
        <f ca="1">VLOOKUP($B21,'[1]Analisys QBR By Machine Report'!$C$109:$BD$166,21,FALSE)</f>
        <v>2255</v>
      </c>
      <c r="AA21" s="13">
        <f ca="1">VLOOKUP($B21,'[1]Analisys QBR By Machine Report'!$C$109:$BD$166,22,FALSE)</f>
        <v>1275</v>
      </c>
      <c r="AB21" s="13">
        <f ca="1">VLOOKUP($B21,'[1]Analisys QBR By Machine Report'!$C$109:$BD$166,23,FALSE)</f>
        <v>305</v>
      </c>
      <c r="AC21" s="13">
        <f ca="1">VLOOKUP($B21,'[1]Analisys QBR By Machine Report'!$C$109:$BD$166,24,FALSE)</f>
        <v>525</v>
      </c>
      <c r="AD21" s="13">
        <f ca="1">VLOOKUP($B21,'[1]Analisys QBR By Machine Report'!$C$109:$BD$166,25,FALSE)</f>
        <v>0</v>
      </c>
      <c r="AE21" s="13">
        <f ca="1">VLOOKUP($B21,'[1]Analisys QBR By Machine Report'!$C$109:$BD$166,26,FALSE)</f>
        <v>150</v>
      </c>
      <c r="AF21" s="13">
        <f ca="1">VLOOKUP($B21,'[1]Analisys QBR By Machine Report'!$C$109:$BD$166,27,FALSE)</f>
        <v>0</v>
      </c>
      <c r="AG21" s="13">
        <f ca="1">VLOOKUP($B21,'[1]Analisys QBR By Machine Report'!$C$109:$BD$166,28,FALSE)</f>
        <v>0</v>
      </c>
      <c r="AH21" s="13">
        <f ca="1">VLOOKUP($B21,'[1]Analisys QBR By Machine Report'!$C$109:$BD$166,29,FALSE)</f>
        <v>0</v>
      </c>
      <c r="AI21" s="13">
        <f ca="1">VLOOKUP($B21,'[1]Analisys QBR By Machine Report'!$C$109:$BD$166,30,FALSE)</f>
        <v>2215</v>
      </c>
      <c r="AJ21" s="13">
        <f ca="1">VLOOKUP($B21,'[1]Analisys QBR By Machine Report'!$C$109:$BD$166,31,FALSE)</f>
        <v>0</v>
      </c>
      <c r="AK21" s="13">
        <f ca="1">VLOOKUP($B21,'[1]Analisys QBR By Machine Report'!$C$109:$BD$166,32,FALSE)</f>
        <v>0</v>
      </c>
      <c r="AL21" s="13">
        <f ca="1">VLOOKUP($B21,'[1]Analisys QBR By Machine Report'!$C$109:$BD$166,33,FALSE)</f>
        <v>600</v>
      </c>
      <c r="AM21" s="13">
        <f ca="1">VLOOKUP($B21,'[1]Analisys QBR By Machine Report'!$C$109:$BD$166,34,FALSE)</f>
        <v>0</v>
      </c>
      <c r="AN21" s="13">
        <f ca="1">VLOOKUP($B21,'[1]Analisys QBR By Machine Report'!$C$109:$BD$166,35,FALSE)</f>
        <v>525</v>
      </c>
      <c r="AO21" s="13">
        <f ca="1">VLOOKUP($B21,'[1]Analisys QBR By Machine Report'!$C$109:$BD$166,36,FALSE)</f>
        <v>0</v>
      </c>
      <c r="AP21" s="13">
        <f ca="1">VLOOKUP($B21,'[1]Analisys QBR By Machine Report'!$C$109:$BD$166,37,FALSE)</f>
        <v>0</v>
      </c>
      <c r="AQ21" s="13">
        <f ca="1">VLOOKUP($B21,'[1]Analisys QBR By Machine Report'!$C$109:$BD$166,38,FALSE)</f>
        <v>0</v>
      </c>
      <c r="AR21" s="13">
        <f ca="1">VLOOKUP($B21,'[1]Analisys QBR By Machine Report'!$C$109:$BD$166,39,FALSE)</f>
        <v>45</v>
      </c>
      <c r="AS21" s="13">
        <f ca="1">VLOOKUP($B21,'[1]Analisys QBR By Machine Report'!$C$109:$BD$166,40,FALSE)</f>
        <v>385</v>
      </c>
      <c r="AT21" s="13">
        <f ca="1">VLOOKUP($B21,'[1]Analisys QBR By Machine Report'!$C$109:$BD$166,41,FALSE)</f>
        <v>0</v>
      </c>
      <c r="AU21" s="13">
        <f ca="1">VLOOKUP($B21,'[1]Analisys QBR By Machine Report'!$C$109:$BD$166,42,FALSE)</f>
        <v>0</v>
      </c>
      <c r="AV21" s="13">
        <f ca="1">VLOOKUP($B21,'[1]Analisys QBR By Machine Report'!$C$109:$BD$166,43,FALSE)</f>
        <v>0</v>
      </c>
      <c r="AW21" s="13">
        <f ca="1">VLOOKUP($B21,'[1]Analisys QBR By Machine Report'!$C$109:$BD$166,44,FALSE)</f>
        <v>0</v>
      </c>
      <c r="AX21" s="13">
        <f ca="1">VLOOKUP($B21,'[1]Analisys QBR By Machine Report'!$C$109:$BD$166,45,FALSE)</f>
        <v>0</v>
      </c>
      <c r="AY21" s="13">
        <f ca="1">VLOOKUP($B21,'[1]Analisys QBR By Machine Report'!$C$109:$BD$166,46,FALSE)</f>
        <v>0</v>
      </c>
      <c r="AZ21" s="13">
        <f ca="1">VLOOKUP($B21,'[1]Analisys QBR By Machine Report'!$C$109:$BD$166,47,FALSE)</f>
        <v>660</v>
      </c>
      <c r="BA21" s="13">
        <f ca="1">VLOOKUP($B21,'[1]Analisys QBR By Machine Report'!$C$109:$BD$166,48,FALSE)</f>
        <v>0</v>
      </c>
      <c r="BB21" s="13">
        <f ca="1">VLOOKUP($B21,'[1]Analisys QBR By Machine Report'!$C$109:$BD$166,49,FALSE)</f>
        <v>0</v>
      </c>
      <c r="BC21" s="13">
        <f ca="1">VLOOKUP($B21,'[1]Analisys QBR By Machine Report'!$C$109:$BD$166,50,FALSE)</f>
        <v>0</v>
      </c>
      <c r="BD21" s="13">
        <f ca="1">VLOOKUP($B21,'[1]Analisys QBR By Machine Report'!$C$109:$BD$166,51,FALSE)</f>
        <v>1199021</v>
      </c>
      <c r="BE21" s="13">
        <f ca="1">VLOOKUP($B21,'[1]Analisys QBR By Machine Report'!$C$109:$BD$166,52,FALSE)</f>
        <v>11771</v>
      </c>
      <c r="BF21" s="13">
        <f ca="1">VLOOKUP($B21,'[1]Analisys QBR By Machine Report'!$C$109:$BD$166,53,FALSE)</f>
        <v>1187250</v>
      </c>
    </row>
    <row r="22" spans="1:58" x14ac:dyDescent="0.25">
      <c r="A22" s="9" t="s">
        <v>78</v>
      </c>
      <c r="B22" s="10">
        <f ca="1">VLOOKUP($B22,'[1]Analisys QBR By Machine Report'!$C$109:$BD$166,2,FALSE)</f>
        <v>25920</v>
      </c>
      <c r="C22" s="11">
        <f ca="1">VLOOKUP($B22,[1]Dasboard_QBR_Report!$B$109:$BL$166,3,FALSE)</f>
        <v>16740</v>
      </c>
      <c r="D22" s="10">
        <f ca="1">VLOOKUP($B22,'[1]Analisys QBR By Machine Report'!$C$109:$BD$166,3,FALSE)</f>
        <v>18720</v>
      </c>
      <c r="E22" s="11">
        <f ca="1">VLOOKUP($B22,[1]Dasboard_QBR_Report!$B$109:$BL$166,5,FALSE)</f>
        <v>9540</v>
      </c>
      <c r="F22" s="10">
        <f t="shared" ca="1" si="0"/>
        <v>7200</v>
      </c>
      <c r="G22" s="10">
        <f t="shared" ca="1" si="1"/>
        <v>657</v>
      </c>
      <c r="H22" s="10">
        <f ca="1">VLOOKUP($B22,'[1]Analisys QBR By Machine Report'!$C$109:$BD$166,4,FALSE)</f>
        <v>657</v>
      </c>
      <c r="I22" s="10">
        <f ca="1">VLOOKUP($B22,'[1]Analisys QBR By Machine Report'!$C$109:$BD$166,5,FALSE)</f>
        <v>150</v>
      </c>
      <c r="J22" s="10">
        <f ca="1">VLOOKUP($B22,'[1]Analisys QBR By Machine Report'!$C$109:$BD$166,6,FALSE)</f>
        <v>507</v>
      </c>
      <c r="K22" s="10">
        <f ca="1">VLOOKUP($B22,'[1]Analisys QBR By Machine Report'!$C$109:$BD$166,7,FALSE)</f>
        <v>0</v>
      </c>
      <c r="L22" s="10">
        <f ca="1">VLOOKUP($B22,'[1]Analisys QBR By Machine Report'!$C$109:$BD$166,8,FALSE)</f>
        <v>6543</v>
      </c>
      <c r="M22" s="10">
        <f ca="1">VLOOKUP($B22,'[1]Analisys QBR By Machine Report'!$C$109:$BD$166,9,FALSE)</f>
        <v>2608</v>
      </c>
      <c r="N22" s="10">
        <f ca="1">VLOOKUP($B22,[1]Dasboard_QBR_Report!$B$109:$BL$166,18,FALSE)</f>
        <v>3935</v>
      </c>
      <c r="O22" s="10">
        <f ca="1">VLOOKUP($B22,'[1]Analisys QBR By Machine Report'!$C$109:$BD$166,10,FALSE)</f>
        <v>181</v>
      </c>
      <c r="P22" s="10">
        <f ca="1">VLOOKUP($B22,'[1]Analisys QBR By Machine Report'!$C$109:$BD$166,11,FALSE)</f>
        <v>181</v>
      </c>
      <c r="Q22" s="10">
        <f ca="1">VLOOKUP($B22,'[1]Analisys QBR By Machine Report'!$C$109:$BD$166,12,FALSE)</f>
        <v>0</v>
      </c>
      <c r="R22" s="10">
        <f ca="1">VLOOKUP($B22,'[1]Analisys QBR By Machine Report'!$C$109:$BD$166,13,FALSE)</f>
        <v>0</v>
      </c>
      <c r="S22" s="10">
        <f ca="1">VLOOKUP($B22,'[1]Analisys QBR By Machine Report'!$C$109:$BD$166,14,FALSE)</f>
        <v>0</v>
      </c>
      <c r="T22" s="10">
        <f ca="1">VLOOKUP($B22,'[1]Analisys QBR By Machine Report'!$C$109:$BD$166,15,FALSE)</f>
        <v>62</v>
      </c>
      <c r="U22" s="10">
        <f ca="1">VLOOKUP($B22,'[1]Analisys QBR By Machine Report'!$C$109:$BD$166,16,FALSE)</f>
        <v>0</v>
      </c>
      <c r="V22" s="10">
        <f ca="1">VLOOKUP($B22,'[1]Analisys QBR By Machine Report'!$C$109:$BD$166,17,FALSE)</f>
        <v>0</v>
      </c>
      <c r="W22" s="10">
        <f ca="1">VLOOKUP($B22,'[1]Analisys QBR By Machine Report'!$C$109:$BD$166,18,FALSE)</f>
        <v>0</v>
      </c>
      <c r="X22" s="10">
        <f ca="1">VLOOKUP($B22,'[1]Analisys QBR By Machine Report'!$C$109:$BD$166,19,FALSE)</f>
        <v>62</v>
      </c>
      <c r="Y22" s="10">
        <f ca="1">VLOOKUP($B22,'[1]Analisys QBR By Machine Report'!$C$109:$BD$166,20,FALSE)</f>
        <v>0</v>
      </c>
      <c r="Z22" s="10">
        <f ca="1">VLOOKUP($B22,'[1]Analisys QBR By Machine Report'!$C$109:$BD$166,21,FALSE)</f>
        <v>2285</v>
      </c>
      <c r="AA22" s="10">
        <f ca="1">VLOOKUP($B22,'[1]Analisys QBR By Machine Report'!$C$109:$BD$166,22,FALSE)</f>
        <v>155</v>
      </c>
      <c r="AB22" s="10">
        <f ca="1">VLOOKUP($B22,'[1]Analisys QBR By Machine Report'!$C$109:$BD$166,23,FALSE)</f>
        <v>2130</v>
      </c>
      <c r="AC22" s="10">
        <f ca="1">VLOOKUP($B22,'[1]Analisys QBR By Machine Report'!$C$109:$BD$166,24,FALSE)</f>
        <v>0</v>
      </c>
      <c r="AD22" s="10">
        <f ca="1">VLOOKUP($B22,'[1]Analisys QBR By Machine Report'!$C$109:$BD$166,25,FALSE)</f>
        <v>0</v>
      </c>
      <c r="AE22" s="10">
        <f ca="1">VLOOKUP($B22,'[1]Analisys QBR By Machine Report'!$C$109:$BD$166,26,FALSE)</f>
        <v>0</v>
      </c>
      <c r="AF22" s="10">
        <f ca="1">VLOOKUP($B22,'[1]Analisys QBR By Machine Report'!$C$109:$BD$166,27,FALSE)</f>
        <v>0</v>
      </c>
      <c r="AG22" s="10">
        <f ca="1">VLOOKUP($B22,'[1]Analisys QBR By Machine Report'!$C$109:$BD$166,28,FALSE)</f>
        <v>0</v>
      </c>
      <c r="AH22" s="10">
        <f ca="1">VLOOKUP($B22,'[1]Analisys QBR By Machine Report'!$C$109:$BD$166,29,FALSE)</f>
        <v>0</v>
      </c>
      <c r="AI22" s="10">
        <f ca="1">VLOOKUP($B22,'[1]Analisys QBR By Machine Report'!$C$109:$BD$166,30,FALSE)</f>
        <v>1407</v>
      </c>
      <c r="AJ22" s="10">
        <f ca="1">VLOOKUP($B22,'[1]Analisys QBR By Machine Report'!$C$109:$BD$166,31,FALSE)</f>
        <v>165</v>
      </c>
      <c r="AK22" s="10">
        <f ca="1">VLOOKUP($B22,'[1]Analisys QBR By Machine Report'!$C$109:$BD$166,32,FALSE)</f>
        <v>0</v>
      </c>
      <c r="AL22" s="10">
        <f ca="1">VLOOKUP($B22,'[1]Analisys QBR By Machine Report'!$C$109:$BD$166,33,FALSE)</f>
        <v>168</v>
      </c>
      <c r="AM22" s="10">
        <f ca="1">VLOOKUP($B22,'[1]Analisys QBR By Machine Report'!$C$109:$BD$166,34,FALSE)</f>
        <v>0</v>
      </c>
      <c r="AN22" s="10">
        <f ca="1">VLOOKUP($B22,'[1]Analisys QBR By Machine Report'!$C$109:$BD$166,35,FALSE)</f>
        <v>102</v>
      </c>
      <c r="AO22" s="10">
        <f ca="1">VLOOKUP($B22,'[1]Analisys QBR By Machine Report'!$C$109:$BD$166,36,FALSE)</f>
        <v>30</v>
      </c>
      <c r="AP22" s="10">
        <f ca="1">VLOOKUP($B22,'[1]Analisys QBR By Machine Report'!$C$109:$BD$166,37,FALSE)</f>
        <v>0</v>
      </c>
      <c r="AQ22" s="10">
        <f ca="1">VLOOKUP($B22,'[1]Analisys QBR By Machine Report'!$C$109:$BD$166,38,FALSE)</f>
        <v>0</v>
      </c>
      <c r="AR22" s="10">
        <f ca="1">VLOOKUP($B22,'[1]Analisys QBR By Machine Report'!$C$109:$BD$166,39,FALSE)</f>
        <v>0</v>
      </c>
      <c r="AS22" s="10">
        <f ca="1">VLOOKUP($B22,'[1]Analisys QBR By Machine Report'!$C$109:$BD$166,40,FALSE)</f>
        <v>0</v>
      </c>
      <c r="AT22" s="10">
        <f ca="1">VLOOKUP($B22,'[1]Analisys QBR By Machine Report'!$C$109:$BD$166,41,FALSE)</f>
        <v>0</v>
      </c>
      <c r="AU22" s="10">
        <f ca="1">VLOOKUP($B22,'[1]Analisys QBR By Machine Report'!$C$109:$BD$166,42,FALSE)</f>
        <v>0</v>
      </c>
      <c r="AV22" s="10">
        <f ca="1">VLOOKUP($B22,'[1]Analisys QBR By Machine Report'!$C$109:$BD$166,43,FALSE)</f>
        <v>459</v>
      </c>
      <c r="AW22" s="10">
        <f ca="1">VLOOKUP($B22,'[1]Analisys QBR By Machine Report'!$C$109:$BD$166,44,FALSE)</f>
        <v>0</v>
      </c>
      <c r="AX22" s="10">
        <f ca="1">VLOOKUP($B22,'[1]Analisys QBR By Machine Report'!$C$109:$BD$166,45,FALSE)</f>
        <v>0</v>
      </c>
      <c r="AY22" s="10">
        <f ca="1">VLOOKUP($B22,'[1]Analisys QBR By Machine Report'!$C$109:$BD$166,46,FALSE)</f>
        <v>0</v>
      </c>
      <c r="AZ22" s="10">
        <f ca="1">VLOOKUP($B22,'[1]Analisys QBR By Machine Report'!$C$109:$BD$166,47,FALSE)</f>
        <v>15</v>
      </c>
      <c r="BA22" s="10">
        <f ca="1">VLOOKUP($B22,'[1]Analisys QBR By Machine Report'!$C$109:$BD$166,48,FALSE)</f>
        <v>458</v>
      </c>
      <c r="BB22" s="10">
        <f ca="1">VLOOKUP($B22,'[1]Analisys QBR By Machine Report'!$C$109:$BD$166,49,FALSE)</f>
        <v>0</v>
      </c>
      <c r="BC22" s="10">
        <f ca="1">VLOOKUP($B22,'[1]Analisys QBR By Machine Report'!$C$109:$BD$166,50,FALSE)</f>
        <v>10</v>
      </c>
      <c r="BD22" s="10">
        <f ca="1">VLOOKUP($B22,'[1]Analisys QBR By Machine Report'!$C$109:$BD$166,51,FALSE)</f>
        <v>11320</v>
      </c>
      <c r="BE22" s="10">
        <f ca="1">VLOOKUP($B22,'[1]Analisys QBR By Machine Report'!$C$109:$BD$166,52,FALSE)</f>
        <v>1.5</v>
      </c>
      <c r="BF22" s="10">
        <f ca="1">VLOOKUP($B22,'[1]Analisys QBR By Machine Report'!$C$109:$BD$166,53,FALSE)</f>
        <v>11318.5</v>
      </c>
    </row>
    <row r="23" spans="1:58" x14ac:dyDescent="0.25">
      <c r="A23" s="12" t="s">
        <v>79</v>
      </c>
      <c r="B23" s="13">
        <f ca="1">VLOOKUP($B23,'[1]Analisys QBR By Machine Report'!$C$109:$BD$166,2,FALSE)</f>
        <v>25920</v>
      </c>
      <c r="C23" s="14">
        <f ca="1">VLOOKUP($B23,[1]Dasboard_QBR_Report!$B$109:$BL$166,3,FALSE)</f>
        <v>16740</v>
      </c>
      <c r="D23" s="13">
        <f ca="1">VLOOKUP($B23,'[1]Analisys QBR By Machine Report'!$C$109:$BD$166,3,FALSE)</f>
        <v>18720</v>
      </c>
      <c r="E23" s="14">
        <f ca="1">VLOOKUP($B23,[1]Dasboard_QBR_Report!$B$109:$BL$166,5,FALSE)</f>
        <v>9540</v>
      </c>
      <c r="F23" s="13">
        <f t="shared" ca="1" si="0"/>
        <v>7200</v>
      </c>
      <c r="G23" s="13">
        <f t="shared" ca="1" si="1"/>
        <v>657</v>
      </c>
      <c r="H23" s="13">
        <f ca="1">VLOOKUP($B23,'[1]Analisys QBR By Machine Report'!$C$109:$BD$166,4,FALSE)</f>
        <v>657</v>
      </c>
      <c r="I23" s="13">
        <f ca="1">VLOOKUP($B23,'[1]Analisys QBR By Machine Report'!$C$109:$BD$166,5,FALSE)</f>
        <v>150</v>
      </c>
      <c r="J23" s="13">
        <f ca="1">VLOOKUP($B23,'[1]Analisys QBR By Machine Report'!$C$109:$BD$166,6,FALSE)</f>
        <v>507</v>
      </c>
      <c r="K23" s="13">
        <f ca="1">VLOOKUP($B23,'[1]Analisys QBR By Machine Report'!$C$109:$BD$166,7,FALSE)</f>
        <v>0</v>
      </c>
      <c r="L23" s="13">
        <f ca="1">VLOOKUP($B23,'[1]Analisys QBR By Machine Report'!$C$109:$BD$166,8,FALSE)</f>
        <v>6543</v>
      </c>
      <c r="M23" s="13">
        <f ca="1">VLOOKUP($B23,'[1]Analisys QBR By Machine Report'!$C$109:$BD$166,9,FALSE)</f>
        <v>2608</v>
      </c>
      <c r="N23" s="13">
        <f ca="1">VLOOKUP($B23,[1]Dasboard_QBR_Report!$B$109:$BL$166,18,FALSE)</f>
        <v>3935</v>
      </c>
      <c r="O23" s="13">
        <f ca="1">VLOOKUP($B23,'[1]Analisys QBR By Machine Report'!$C$109:$BD$166,10,FALSE)</f>
        <v>181</v>
      </c>
      <c r="P23" s="13">
        <f ca="1">VLOOKUP($B23,'[1]Analisys QBR By Machine Report'!$C$109:$BD$166,11,FALSE)</f>
        <v>181</v>
      </c>
      <c r="Q23" s="13">
        <f ca="1">VLOOKUP($B23,'[1]Analisys QBR By Machine Report'!$C$109:$BD$166,12,FALSE)</f>
        <v>0</v>
      </c>
      <c r="R23" s="13">
        <f ca="1">VLOOKUP($B23,'[1]Analisys QBR By Machine Report'!$C$109:$BD$166,13,FALSE)</f>
        <v>0</v>
      </c>
      <c r="S23" s="13">
        <f ca="1">VLOOKUP($B23,'[1]Analisys QBR By Machine Report'!$C$109:$BD$166,14,FALSE)</f>
        <v>0</v>
      </c>
      <c r="T23" s="13">
        <f ca="1">VLOOKUP($B23,'[1]Analisys QBR By Machine Report'!$C$109:$BD$166,15,FALSE)</f>
        <v>62</v>
      </c>
      <c r="U23" s="13">
        <f ca="1">VLOOKUP($B23,'[1]Analisys QBR By Machine Report'!$C$109:$BD$166,16,FALSE)</f>
        <v>0</v>
      </c>
      <c r="V23" s="13">
        <f ca="1">VLOOKUP($B23,'[1]Analisys QBR By Machine Report'!$C$109:$BD$166,17,FALSE)</f>
        <v>0</v>
      </c>
      <c r="W23" s="13">
        <f ca="1">VLOOKUP($B23,'[1]Analisys QBR By Machine Report'!$C$109:$BD$166,18,FALSE)</f>
        <v>0</v>
      </c>
      <c r="X23" s="13">
        <f ca="1">VLOOKUP($B23,'[1]Analisys QBR By Machine Report'!$C$109:$BD$166,19,FALSE)</f>
        <v>62</v>
      </c>
      <c r="Y23" s="13">
        <f ca="1">VLOOKUP($B23,'[1]Analisys QBR By Machine Report'!$C$109:$BD$166,20,FALSE)</f>
        <v>0</v>
      </c>
      <c r="Z23" s="13">
        <f ca="1">VLOOKUP($B23,'[1]Analisys QBR By Machine Report'!$C$109:$BD$166,21,FALSE)</f>
        <v>2285</v>
      </c>
      <c r="AA23" s="13">
        <f ca="1">VLOOKUP($B23,'[1]Analisys QBR By Machine Report'!$C$109:$BD$166,22,FALSE)</f>
        <v>155</v>
      </c>
      <c r="AB23" s="13">
        <f ca="1">VLOOKUP($B23,'[1]Analisys QBR By Machine Report'!$C$109:$BD$166,23,FALSE)</f>
        <v>2130</v>
      </c>
      <c r="AC23" s="13">
        <f ca="1">VLOOKUP($B23,'[1]Analisys QBR By Machine Report'!$C$109:$BD$166,24,FALSE)</f>
        <v>0</v>
      </c>
      <c r="AD23" s="13">
        <f ca="1">VLOOKUP($B23,'[1]Analisys QBR By Machine Report'!$C$109:$BD$166,25,FALSE)</f>
        <v>0</v>
      </c>
      <c r="AE23" s="13">
        <f ca="1">VLOOKUP($B23,'[1]Analisys QBR By Machine Report'!$C$109:$BD$166,26,FALSE)</f>
        <v>0</v>
      </c>
      <c r="AF23" s="13">
        <f ca="1">VLOOKUP($B23,'[1]Analisys QBR By Machine Report'!$C$109:$BD$166,27,FALSE)</f>
        <v>0</v>
      </c>
      <c r="AG23" s="13">
        <f ca="1">VLOOKUP($B23,'[1]Analisys QBR By Machine Report'!$C$109:$BD$166,28,FALSE)</f>
        <v>0</v>
      </c>
      <c r="AH23" s="13">
        <f ca="1">VLOOKUP($B23,'[1]Analisys QBR By Machine Report'!$C$109:$BD$166,29,FALSE)</f>
        <v>0</v>
      </c>
      <c r="AI23" s="13">
        <f ca="1">VLOOKUP($B23,'[1]Analisys QBR By Machine Report'!$C$109:$BD$166,30,FALSE)</f>
        <v>1407</v>
      </c>
      <c r="AJ23" s="13">
        <f ca="1">VLOOKUP($B23,'[1]Analisys QBR By Machine Report'!$C$109:$BD$166,31,FALSE)</f>
        <v>165</v>
      </c>
      <c r="AK23" s="13">
        <f ca="1">VLOOKUP($B23,'[1]Analisys QBR By Machine Report'!$C$109:$BD$166,32,FALSE)</f>
        <v>0</v>
      </c>
      <c r="AL23" s="13">
        <f ca="1">VLOOKUP($B23,'[1]Analisys QBR By Machine Report'!$C$109:$BD$166,33,FALSE)</f>
        <v>168</v>
      </c>
      <c r="AM23" s="13">
        <f ca="1">VLOOKUP($B23,'[1]Analisys QBR By Machine Report'!$C$109:$BD$166,34,FALSE)</f>
        <v>0</v>
      </c>
      <c r="AN23" s="13">
        <f ca="1">VLOOKUP($B23,'[1]Analisys QBR By Machine Report'!$C$109:$BD$166,35,FALSE)</f>
        <v>102</v>
      </c>
      <c r="AO23" s="13">
        <f ca="1">VLOOKUP($B23,'[1]Analisys QBR By Machine Report'!$C$109:$BD$166,36,FALSE)</f>
        <v>30</v>
      </c>
      <c r="AP23" s="13">
        <f ca="1">VLOOKUP($B23,'[1]Analisys QBR By Machine Report'!$C$109:$BD$166,37,FALSE)</f>
        <v>0</v>
      </c>
      <c r="AQ23" s="13">
        <f ca="1">VLOOKUP($B23,'[1]Analisys QBR By Machine Report'!$C$109:$BD$166,38,FALSE)</f>
        <v>0</v>
      </c>
      <c r="AR23" s="13">
        <f ca="1">VLOOKUP($B23,'[1]Analisys QBR By Machine Report'!$C$109:$BD$166,39,FALSE)</f>
        <v>0</v>
      </c>
      <c r="AS23" s="13">
        <f ca="1">VLOOKUP($B23,'[1]Analisys QBR By Machine Report'!$C$109:$BD$166,40,FALSE)</f>
        <v>0</v>
      </c>
      <c r="AT23" s="13">
        <f ca="1">VLOOKUP($B23,'[1]Analisys QBR By Machine Report'!$C$109:$BD$166,41,FALSE)</f>
        <v>0</v>
      </c>
      <c r="AU23" s="13">
        <f ca="1">VLOOKUP($B23,'[1]Analisys QBR By Machine Report'!$C$109:$BD$166,42,FALSE)</f>
        <v>0</v>
      </c>
      <c r="AV23" s="13">
        <f ca="1">VLOOKUP($B23,'[1]Analisys QBR By Machine Report'!$C$109:$BD$166,43,FALSE)</f>
        <v>459</v>
      </c>
      <c r="AW23" s="13">
        <f ca="1">VLOOKUP($B23,'[1]Analisys QBR By Machine Report'!$C$109:$BD$166,44,FALSE)</f>
        <v>0</v>
      </c>
      <c r="AX23" s="13">
        <f ca="1">VLOOKUP($B23,'[1]Analisys QBR By Machine Report'!$C$109:$BD$166,45,FALSE)</f>
        <v>0</v>
      </c>
      <c r="AY23" s="13">
        <f ca="1">VLOOKUP($B23,'[1]Analisys QBR By Machine Report'!$C$109:$BD$166,46,FALSE)</f>
        <v>0</v>
      </c>
      <c r="AZ23" s="13">
        <f ca="1">VLOOKUP($B23,'[1]Analisys QBR By Machine Report'!$C$109:$BD$166,47,FALSE)</f>
        <v>15</v>
      </c>
      <c r="BA23" s="13">
        <f ca="1">VLOOKUP($B23,'[1]Analisys QBR By Machine Report'!$C$109:$BD$166,48,FALSE)</f>
        <v>458</v>
      </c>
      <c r="BB23" s="13">
        <f ca="1">VLOOKUP($B23,'[1]Analisys QBR By Machine Report'!$C$109:$BD$166,49,FALSE)</f>
        <v>0</v>
      </c>
      <c r="BC23" s="13">
        <f ca="1">VLOOKUP($B23,'[1]Analisys QBR By Machine Report'!$C$109:$BD$166,50,FALSE)</f>
        <v>10</v>
      </c>
      <c r="BD23" s="13">
        <f ca="1">VLOOKUP($B23,'[1]Analisys QBR By Machine Report'!$C$109:$BD$166,51,FALSE)</f>
        <v>11320</v>
      </c>
      <c r="BE23" s="13">
        <f ca="1">VLOOKUP($B23,'[1]Analisys QBR By Machine Report'!$C$109:$BD$166,52,FALSE)</f>
        <v>1.5</v>
      </c>
      <c r="BF23" s="13">
        <f ca="1">VLOOKUP($B23,'[1]Analisys QBR By Machine Report'!$C$109:$BD$166,53,FALSE)</f>
        <v>11318.5</v>
      </c>
    </row>
    <row r="24" spans="1:58" x14ac:dyDescent="0.25">
      <c r="A24" s="9" t="s">
        <v>80</v>
      </c>
      <c r="B24" s="10">
        <f ca="1">VLOOKUP($B24,'[1]Analisys QBR By Machine Report'!$C$109:$BD$166,2,FALSE)</f>
        <v>51840</v>
      </c>
      <c r="C24" s="11">
        <f ca="1">VLOOKUP($B24,[1]Dasboard_QBR_Report!$B$109:$BL$166,3,FALSE)</f>
        <v>33480</v>
      </c>
      <c r="D24" s="10">
        <f ca="1">VLOOKUP($B24,'[1]Analisys QBR By Machine Report'!$C$109:$BD$166,3,FALSE)</f>
        <v>38910</v>
      </c>
      <c r="E24" s="11">
        <f ca="1">VLOOKUP($B24,[1]Dasboard_QBR_Report!$B$109:$BL$166,5,FALSE)</f>
        <v>20550</v>
      </c>
      <c r="F24" s="10">
        <f t="shared" ca="1" si="0"/>
        <v>12930</v>
      </c>
      <c r="G24" s="10">
        <f t="shared" ca="1" si="1"/>
        <v>555</v>
      </c>
      <c r="H24" s="10">
        <f ca="1">VLOOKUP($B24,'[1]Analisys QBR By Machine Report'!$C$109:$BD$166,4,FALSE)</f>
        <v>555</v>
      </c>
      <c r="I24" s="10">
        <f ca="1">VLOOKUP($B24,'[1]Analisys QBR By Machine Report'!$C$109:$BD$166,5,FALSE)</f>
        <v>285</v>
      </c>
      <c r="J24" s="10">
        <f ca="1">VLOOKUP($B24,'[1]Analisys QBR By Machine Report'!$C$109:$BD$166,6,FALSE)</f>
        <v>270</v>
      </c>
      <c r="K24" s="10">
        <f ca="1">VLOOKUP($B24,'[1]Analisys QBR By Machine Report'!$C$109:$BD$166,7,FALSE)</f>
        <v>0</v>
      </c>
      <c r="L24" s="10">
        <f ca="1">VLOOKUP($B24,'[1]Analisys QBR By Machine Report'!$C$109:$BD$166,8,FALSE)</f>
        <v>12375</v>
      </c>
      <c r="M24" s="10">
        <f ca="1">VLOOKUP($B24,'[1]Analisys QBR By Machine Report'!$C$109:$BD$166,9,FALSE)</f>
        <v>3160</v>
      </c>
      <c r="N24" s="10">
        <f ca="1">VLOOKUP($B24,[1]Dasboard_QBR_Report!$B$109:$BL$166,18,FALSE)</f>
        <v>9215</v>
      </c>
      <c r="O24" s="10">
        <f ca="1">VLOOKUP($B24,'[1]Analisys QBR By Machine Report'!$C$109:$BD$166,10,FALSE)</f>
        <v>1545</v>
      </c>
      <c r="P24" s="10">
        <f ca="1">VLOOKUP($B24,'[1]Analisys QBR By Machine Report'!$C$109:$BD$166,11,FALSE)</f>
        <v>825</v>
      </c>
      <c r="Q24" s="10">
        <f ca="1">VLOOKUP($B24,'[1]Analisys QBR By Machine Report'!$C$109:$BD$166,12,FALSE)</f>
        <v>0</v>
      </c>
      <c r="R24" s="10">
        <f ca="1">VLOOKUP($B24,'[1]Analisys QBR By Machine Report'!$C$109:$BD$166,13,FALSE)</f>
        <v>550</v>
      </c>
      <c r="S24" s="10">
        <f ca="1">VLOOKUP($B24,'[1]Analisys QBR By Machine Report'!$C$109:$BD$166,14,FALSE)</f>
        <v>170</v>
      </c>
      <c r="T24" s="10">
        <f ca="1">VLOOKUP($B24,'[1]Analisys QBR By Machine Report'!$C$109:$BD$166,15,FALSE)</f>
        <v>865</v>
      </c>
      <c r="U24" s="10">
        <f ca="1">VLOOKUP($B24,'[1]Analisys QBR By Machine Report'!$C$109:$BD$166,16,FALSE)</f>
        <v>840</v>
      </c>
      <c r="V24" s="10">
        <f ca="1">VLOOKUP($B24,'[1]Analisys QBR By Machine Report'!$C$109:$BD$166,17,FALSE)</f>
        <v>0</v>
      </c>
      <c r="W24" s="10">
        <f ca="1">VLOOKUP($B24,'[1]Analisys QBR By Machine Report'!$C$109:$BD$166,18,FALSE)</f>
        <v>0</v>
      </c>
      <c r="X24" s="10">
        <f ca="1">VLOOKUP($B24,'[1]Analisys QBR By Machine Report'!$C$109:$BD$166,19,FALSE)</f>
        <v>25</v>
      </c>
      <c r="Y24" s="10">
        <f ca="1">VLOOKUP($B24,'[1]Analisys QBR By Machine Report'!$C$109:$BD$166,20,FALSE)</f>
        <v>0</v>
      </c>
      <c r="Z24" s="10">
        <f ca="1">VLOOKUP($B24,'[1]Analisys QBR By Machine Report'!$C$109:$BD$166,21,FALSE)</f>
        <v>3740</v>
      </c>
      <c r="AA24" s="10">
        <f ca="1">VLOOKUP($B24,'[1]Analisys QBR By Machine Report'!$C$109:$BD$166,22,FALSE)</f>
        <v>520</v>
      </c>
      <c r="AB24" s="10">
        <f ca="1">VLOOKUP($B24,'[1]Analisys QBR By Machine Report'!$C$109:$BD$166,23,FALSE)</f>
        <v>1895</v>
      </c>
      <c r="AC24" s="10">
        <f ca="1">VLOOKUP($B24,'[1]Analisys QBR By Machine Report'!$C$109:$BD$166,24,FALSE)</f>
        <v>90</v>
      </c>
      <c r="AD24" s="10">
        <f ca="1">VLOOKUP($B24,'[1]Analisys QBR By Machine Report'!$C$109:$BD$166,25,FALSE)</f>
        <v>0</v>
      </c>
      <c r="AE24" s="10">
        <f ca="1">VLOOKUP($B24,'[1]Analisys QBR By Machine Report'!$C$109:$BD$166,26,FALSE)</f>
        <v>1235</v>
      </c>
      <c r="AF24" s="10">
        <f ca="1">VLOOKUP($B24,'[1]Analisys QBR By Machine Report'!$C$109:$BD$166,27,FALSE)</f>
        <v>285</v>
      </c>
      <c r="AG24" s="10">
        <f ca="1">VLOOKUP($B24,'[1]Analisys QBR By Machine Report'!$C$109:$BD$166,28,FALSE)</f>
        <v>0</v>
      </c>
      <c r="AH24" s="10">
        <f ca="1">VLOOKUP($B24,'[1]Analisys QBR By Machine Report'!$C$109:$BD$166,29,FALSE)</f>
        <v>285</v>
      </c>
      <c r="AI24" s="10">
        <f ca="1">VLOOKUP($B24,'[1]Analisys QBR By Machine Report'!$C$109:$BD$166,30,FALSE)</f>
        <v>2780</v>
      </c>
      <c r="AJ24" s="10">
        <f ca="1">VLOOKUP($B24,'[1]Analisys QBR By Machine Report'!$C$109:$BD$166,31,FALSE)</f>
        <v>0</v>
      </c>
      <c r="AK24" s="10">
        <f ca="1">VLOOKUP($B24,'[1]Analisys QBR By Machine Report'!$C$109:$BD$166,32,FALSE)</f>
        <v>0</v>
      </c>
      <c r="AL24" s="10">
        <f ca="1">VLOOKUP($B24,'[1]Analisys QBR By Machine Report'!$C$109:$BD$166,33,FALSE)</f>
        <v>660</v>
      </c>
      <c r="AM24" s="10">
        <f ca="1">VLOOKUP($B24,'[1]Analisys QBR By Machine Report'!$C$109:$BD$166,34,FALSE)</f>
        <v>30</v>
      </c>
      <c r="AN24" s="10">
        <f ca="1">VLOOKUP($B24,'[1]Analisys QBR By Machine Report'!$C$109:$BD$166,35,FALSE)</f>
        <v>525</v>
      </c>
      <c r="AO24" s="10">
        <f ca="1">VLOOKUP($B24,'[1]Analisys QBR By Machine Report'!$C$109:$BD$166,36,FALSE)</f>
        <v>0</v>
      </c>
      <c r="AP24" s="10">
        <f ca="1">VLOOKUP($B24,'[1]Analisys QBR By Machine Report'!$C$109:$BD$166,37,FALSE)</f>
        <v>0</v>
      </c>
      <c r="AQ24" s="10">
        <f ca="1">VLOOKUP($B24,'[1]Analisys QBR By Machine Report'!$C$109:$BD$166,38,FALSE)</f>
        <v>0</v>
      </c>
      <c r="AR24" s="10">
        <f ca="1">VLOOKUP($B24,'[1]Analisys QBR By Machine Report'!$C$109:$BD$166,39,FALSE)</f>
        <v>1460</v>
      </c>
      <c r="AS24" s="10">
        <f ca="1">VLOOKUP($B24,'[1]Analisys QBR By Machine Report'!$C$109:$BD$166,40,FALSE)</f>
        <v>0</v>
      </c>
      <c r="AT24" s="10">
        <f ca="1">VLOOKUP($B24,'[1]Analisys QBR By Machine Report'!$C$109:$BD$166,41,FALSE)</f>
        <v>0</v>
      </c>
      <c r="AU24" s="10">
        <f ca="1">VLOOKUP($B24,'[1]Analisys QBR By Machine Report'!$C$109:$BD$166,42,FALSE)</f>
        <v>0</v>
      </c>
      <c r="AV24" s="10">
        <f ca="1">VLOOKUP($B24,'[1]Analisys QBR By Machine Report'!$C$109:$BD$166,43,FALSE)</f>
        <v>0</v>
      </c>
      <c r="AW24" s="10">
        <f ca="1">VLOOKUP($B24,'[1]Analisys QBR By Machine Report'!$C$109:$BD$166,44,FALSE)</f>
        <v>0</v>
      </c>
      <c r="AX24" s="10">
        <f ca="1">VLOOKUP($B24,'[1]Analisys QBR By Machine Report'!$C$109:$BD$166,45,FALSE)</f>
        <v>0</v>
      </c>
      <c r="AY24" s="10">
        <f ca="1">VLOOKUP($B24,'[1]Analisys QBR By Machine Report'!$C$109:$BD$166,46,FALSE)</f>
        <v>0</v>
      </c>
      <c r="AZ24" s="10">
        <f ca="1">VLOOKUP($B24,'[1]Analisys QBR By Machine Report'!$C$109:$BD$166,47,FALSE)</f>
        <v>0</v>
      </c>
      <c r="BA24" s="10">
        <f ca="1">VLOOKUP($B24,'[1]Analisys QBR By Machine Report'!$C$109:$BD$166,48,FALSE)</f>
        <v>105</v>
      </c>
      <c r="BB24" s="10">
        <f ca="1">VLOOKUP($B24,'[1]Analisys QBR By Machine Report'!$C$109:$BD$166,49,FALSE)</f>
        <v>0</v>
      </c>
      <c r="BC24" s="10">
        <f ca="1">VLOOKUP($B24,'[1]Analisys QBR By Machine Report'!$C$109:$BD$166,50,FALSE)</f>
        <v>0</v>
      </c>
      <c r="BD24" s="10">
        <f ca="1">VLOOKUP($B24,'[1]Analisys QBR By Machine Report'!$C$109:$BD$166,51,FALSE)</f>
        <v>152741</v>
      </c>
      <c r="BE24" s="10">
        <f ca="1">VLOOKUP($B24,'[1]Analisys QBR By Machine Report'!$C$109:$BD$166,52,FALSE)</f>
        <v>321</v>
      </c>
      <c r="BF24" s="10">
        <f ca="1">VLOOKUP($B24,'[1]Analisys QBR By Machine Report'!$C$109:$BD$166,53,FALSE)</f>
        <v>152420</v>
      </c>
    </row>
    <row r="25" spans="1:58" x14ac:dyDescent="0.25">
      <c r="A25" s="12" t="s">
        <v>81</v>
      </c>
      <c r="B25" s="13">
        <f ca="1">VLOOKUP($B25,'[1]Analisys QBR By Machine Report'!$C$109:$BD$166,2,FALSE)</f>
        <v>25920</v>
      </c>
      <c r="C25" s="14">
        <f ca="1">VLOOKUP($B25,[1]Dasboard_QBR_Report!$B$109:$BL$166,3,FALSE)</f>
        <v>16740</v>
      </c>
      <c r="D25" s="13">
        <f ca="1">VLOOKUP($B25,'[1]Analisys QBR By Machine Report'!$C$109:$BD$166,3,FALSE)</f>
        <v>15540</v>
      </c>
      <c r="E25" s="14">
        <f ca="1">VLOOKUP($B25,[1]Dasboard_QBR_Report!$B$109:$BL$166,5,FALSE)</f>
        <v>6360</v>
      </c>
      <c r="F25" s="13">
        <f t="shared" ca="1" si="0"/>
        <v>10380</v>
      </c>
      <c r="G25" s="13">
        <f t="shared" ca="1" si="1"/>
        <v>555</v>
      </c>
      <c r="H25" s="13">
        <f ca="1">VLOOKUP($B25,'[1]Analisys QBR By Machine Report'!$C$109:$BD$166,4,FALSE)</f>
        <v>555</v>
      </c>
      <c r="I25" s="13">
        <f ca="1">VLOOKUP($B25,'[1]Analisys QBR By Machine Report'!$C$109:$BD$166,5,FALSE)</f>
        <v>285</v>
      </c>
      <c r="J25" s="13">
        <f ca="1">VLOOKUP($B25,'[1]Analisys QBR By Machine Report'!$C$109:$BD$166,6,FALSE)</f>
        <v>270</v>
      </c>
      <c r="K25" s="13">
        <f ca="1">VLOOKUP($B25,'[1]Analisys QBR By Machine Report'!$C$109:$BD$166,7,FALSE)</f>
        <v>0</v>
      </c>
      <c r="L25" s="13">
        <f ca="1">VLOOKUP($B25,'[1]Analisys QBR By Machine Report'!$C$109:$BD$166,8,FALSE)</f>
        <v>9825</v>
      </c>
      <c r="M25" s="13">
        <f ca="1">VLOOKUP($B25,'[1]Analisys QBR By Machine Report'!$C$109:$BD$166,9,FALSE)</f>
        <v>2575</v>
      </c>
      <c r="N25" s="13">
        <f ca="1">VLOOKUP($B25,[1]Dasboard_QBR_Report!$B$109:$BL$166,18,FALSE)</f>
        <v>7250</v>
      </c>
      <c r="O25" s="13">
        <f ca="1">VLOOKUP($B25,'[1]Analisys QBR By Machine Report'!$C$109:$BD$166,10,FALSE)</f>
        <v>1110</v>
      </c>
      <c r="P25" s="13">
        <f ca="1">VLOOKUP($B25,'[1]Analisys QBR By Machine Report'!$C$109:$BD$166,11,FALSE)</f>
        <v>780</v>
      </c>
      <c r="Q25" s="13">
        <f ca="1">VLOOKUP($B25,'[1]Analisys QBR By Machine Report'!$C$109:$BD$166,12,FALSE)</f>
        <v>0</v>
      </c>
      <c r="R25" s="13">
        <f ca="1">VLOOKUP($B25,'[1]Analisys QBR By Machine Report'!$C$109:$BD$166,13,FALSE)</f>
        <v>245</v>
      </c>
      <c r="S25" s="13">
        <f ca="1">VLOOKUP($B25,'[1]Analisys QBR By Machine Report'!$C$109:$BD$166,14,FALSE)</f>
        <v>85</v>
      </c>
      <c r="T25" s="13">
        <f ca="1">VLOOKUP($B25,'[1]Analisys QBR By Machine Report'!$C$109:$BD$166,15,FALSE)</f>
        <v>295</v>
      </c>
      <c r="U25" s="13">
        <f ca="1">VLOOKUP($B25,'[1]Analisys QBR By Machine Report'!$C$109:$BD$166,16,FALSE)</f>
        <v>270</v>
      </c>
      <c r="V25" s="13">
        <f ca="1">VLOOKUP($B25,'[1]Analisys QBR By Machine Report'!$C$109:$BD$166,17,FALSE)</f>
        <v>0</v>
      </c>
      <c r="W25" s="13">
        <f ca="1">VLOOKUP($B25,'[1]Analisys QBR By Machine Report'!$C$109:$BD$166,18,FALSE)</f>
        <v>0</v>
      </c>
      <c r="X25" s="13">
        <f ca="1">VLOOKUP($B25,'[1]Analisys QBR By Machine Report'!$C$109:$BD$166,19,FALSE)</f>
        <v>25</v>
      </c>
      <c r="Y25" s="13">
        <f ca="1">VLOOKUP($B25,'[1]Analisys QBR By Machine Report'!$C$109:$BD$166,20,FALSE)</f>
        <v>0</v>
      </c>
      <c r="Z25" s="13">
        <f ca="1">VLOOKUP($B25,'[1]Analisys QBR By Machine Report'!$C$109:$BD$166,21,FALSE)</f>
        <v>3005</v>
      </c>
      <c r="AA25" s="13">
        <f ca="1">VLOOKUP($B25,'[1]Analisys QBR By Machine Report'!$C$109:$BD$166,22,FALSE)</f>
        <v>285</v>
      </c>
      <c r="AB25" s="13">
        <f ca="1">VLOOKUP($B25,'[1]Analisys QBR By Machine Report'!$C$109:$BD$166,23,FALSE)</f>
        <v>1755</v>
      </c>
      <c r="AC25" s="13">
        <f ca="1">VLOOKUP($B25,'[1]Analisys QBR By Machine Report'!$C$109:$BD$166,24,FALSE)</f>
        <v>90</v>
      </c>
      <c r="AD25" s="13">
        <f ca="1">VLOOKUP($B25,'[1]Analisys QBR By Machine Report'!$C$109:$BD$166,25,FALSE)</f>
        <v>0</v>
      </c>
      <c r="AE25" s="13">
        <f ca="1">VLOOKUP($B25,'[1]Analisys QBR By Machine Report'!$C$109:$BD$166,26,FALSE)</f>
        <v>875</v>
      </c>
      <c r="AF25" s="13">
        <f ca="1">VLOOKUP($B25,'[1]Analisys QBR By Machine Report'!$C$109:$BD$166,27,FALSE)</f>
        <v>285</v>
      </c>
      <c r="AG25" s="13">
        <f ca="1">VLOOKUP($B25,'[1]Analisys QBR By Machine Report'!$C$109:$BD$166,28,FALSE)</f>
        <v>0</v>
      </c>
      <c r="AH25" s="13">
        <f ca="1">VLOOKUP($B25,'[1]Analisys QBR By Machine Report'!$C$109:$BD$166,29,FALSE)</f>
        <v>285</v>
      </c>
      <c r="AI25" s="13">
        <f ca="1">VLOOKUP($B25,'[1]Analisys QBR By Machine Report'!$C$109:$BD$166,30,FALSE)</f>
        <v>2555</v>
      </c>
      <c r="AJ25" s="13">
        <f ca="1">VLOOKUP($B25,'[1]Analisys QBR By Machine Report'!$C$109:$BD$166,31,FALSE)</f>
        <v>0</v>
      </c>
      <c r="AK25" s="13">
        <f ca="1">VLOOKUP($B25,'[1]Analisys QBR By Machine Report'!$C$109:$BD$166,32,FALSE)</f>
        <v>0</v>
      </c>
      <c r="AL25" s="13">
        <f ca="1">VLOOKUP($B25,'[1]Analisys QBR By Machine Report'!$C$109:$BD$166,33,FALSE)</f>
        <v>510</v>
      </c>
      <c r="AM25" s="13">
        <f ca="1">VLOOKUP($B25,'[1]Analisys QBR By Machine Report'!$C$109:$BD$166,34,FALSE)</f>
        <v>30</v>
      </c>
      <c r="AN25" s="13">
        <f ca="1">VLOOKUP($B25,'[1]Analisys QBR By Machine Report'!$C$109:$BD$166,35,FALSE)</f>
        <v>450</v>
      </c>
      <c r="AO25" s="13">
        <f ca="1">VLOOKUP($B25,'[1]Analisys QBR By Machine Report'!$C$109:$BD$166,36,FALSE)</f>
        <v>0</v>
      </c>
      <c r="AP25" s="13">
        <f ca="1">VLOOKUP($B25,'[1]Analisys QBR By Machine Report'!$C$109:$BD$166,37,FALSE)</f>
        <v>0</v>
      </c>
      <c r="AQ25" s="13">
        <f ca="1">VLOOKUP($B25,'[1]Analisys QBR By Machine Report'!$C$109:$BD$166,38,FALSE)</f>
        <v>0</v>
      </c>
      <c r="AR25" s="13">
        <f ca="1">VLOOKUP($B25,'[1]Analisys QBR By Machine Report'!$C$109:$BD$166,39,FALSE)</f>
        <v>1460</v>
      </c>
      <c r="AS25" s="13">
        <f ca="1">VLOOKUP($B25,'[1]Analisys QBR By Machine Report'!$C$109:$BD$166,40,FALSE)</f>
        <v>0</v>
      </c>
      <c r="AT25" s="13">
        <f ca="1">VLOOKUP($B25,'[1]Analisys QBR By Machine Report'!$C$109:$BD$166,41,FALSE)</f>
        <v>0</v>
      </c>
      <c r="AU25" s="13">
        <f ca="1">VLOOKUP($B25,'[1]Analisys QBR By Machine Report'!$C$109:$BD$166,42,FALSE)</f>
        <v>0</v>
      </c>
      <c r="AV25" s="13">
        <f ca="1">VLOOKUP($B25,'[1]Analisys QBR By Machine Report'!$C$109:$BD$166,43,FALSE)</f>
        <v>0</v>
      </c>
      <c r="AW25" s="13">
        <f ca="1">VLOOKUP($B25,'[1]Analisys QBR By Machine Report'!$C$109:$BD$166,44,FALSE)</f>
        <v>0</v>
      </c>
      <c r="AX25" s="13">
        <f ca="1">VLOOKUP($B25,'[1]Analisys QBR By Machine Report'!$C$109:$BD$166,45,FALSE)</f>
        <v>0</v>
      </c>
      <c r="AY25" s="13">
        <f ca="1">VLOOKUP($B25,'[1]Analisys QBR By Machine Report'!$C$109:$BD$166,46,FALSE)</f>
        <v>0</v>
      </c>
      <c r="AZ25" s="13">
        <f ca="1">VLOOKUP($B25,'[1]Analisys QBR By Machine Report'!$C$109:$BD$166,47,FALSE)</f>
        <v>0</v>
      </c>
      <c r="BA25" s="13">
        <f ca="1">VLOOKUP($B25,'[1]Analisys QBR By Machine Report'!$C$109:$BD$166,48,FALSE)</f>
        <v>105</v>
      </c>
      <c r="BB25" s="13">
        <f ca="1">VLOOKUP($B25,'[1]Analisys QBR By Machine Report'!$C$109:$BD$166,49,FALSE)</f>
        <v>0</v>
      </c>
      <c r="BC25" s="13">
        <f ca="1">VLOOKUP($B25,'[1]Analisys QBR By Machine Report'!$C$109:$BD$166,50,FALSE)</f>
        <v>0</v>
      </c>
      <c r="BD25" s="13">
        <f ca="1">VLOOKUP($B25,'[1]Analisys QBR By Machine Report'!$C$109:$BD$166,51,FALSE)</f>
        <v>130400</v>
      </c>
      <c r="BE25" s="13">
        <f ca="1">VLOOKUP($B25,'[1]Analisys QBR By Machine Report'!$C$109:$BD$166,52,FALSE)</f>
        <v>291</v>
      </c>
      <c r="BF25" s="13">
        <f ca="1">VLOOKUP($B25,'[1]Analisys QBR By Machine Report'!$C$109:$BD$166,53,FALSE)</f>
        <v>130109</v>
      </c>
    </row>
    <row r="26" spans="1:58" x14ac:dyDescent="0.25">
      <c r="A26" s="12" t="s">
        <v>82</v>
      </c>
      <c r="B26" s="13">
        <f ca="1">VLOOKUP($B26,'[1]Analisys QBR By Machine Report'!$C$109:$BD$166,2,FALSE)</f>
        <v>25920</v>
      </c>
      <c r="C26" s="14">
        <f ca="1">VLOOKUP($B26,[1]Dasboard_QBR_Report!$B$109:$BL$166,3,FALSE)</f>
        <v>16740</v>
      </c>
      <c r="D26" s="13">
        <f ca="1">VLOOKUP($B26,'[1]Analisys QBR By Machine Report'!$C$109:$BD$166,3,FALSE)</f>
        <v>23370</v>
      </c>
      <c r="E26" s="14">
        <f ca="1">VLOOKUP($B26,[1]Dasboard_QBR_Report!$B$109:$BL$166,5,FALSE)</f>
        <v>14190</v>
      </c>
      <c r="F26" s="13">
        <f t="shared" ca="1" si="0"/>
        <v>2550</v>
      </c>
      <c r="G26" s="13">
        <f t="shared" ca="1" si="1"/>
        <v>0</v>
      </c>
      <c r="H26" s="13">
        <f ca="1">VLOOKUP($B26,'[1]Analisys QBR By Machine Report'!$C$109:$BD$166,4,FALSE)</f>
        <v>0</v>
      </c>
      <c r="I26" s="13">
        <f ca="1">VLOOKUP($B26,'[1]Analisys QBR By Machine Report'!$C$109:$BD$166,5,FALSE)</f>
        <v>0</v>
      </c>
      <c r="J26" s="13">
        <f ca="1">VLOOKUP($B26,'[1]Analisys QBR By Machine Report'!$C$109:$BD$166,6,FALSE)</f>
        <v>0</v>
      </c>
      <c r="K26" s="13">
        <f ca="1">VLOOKUP($B26,'[1]Analisys QBR By Machine Report'!$C$109:$BD$166,7,FALSE)</f>
        <v>0</v>
      </c>
      <c r="L26" s="13">
        <f ca="1">VLOOKUP($B26,'[1]Analisys QBR By Machine Report'!$C$109:$BD$166,8,FALSE)</f>
        <v>2550</v>
      </c>
      <c r="M26" s="13">
        <f ca="1">VLOOKUP($B26,'[1]Analisys QBR By Machine Report'!$C$109:$BD$166,9,FALSE)</f>
        <v>585</v>
      </c>
      <c r="N26" s="13">
        <f ca="1">VLOOKUP($B26,[1]Dasboard_QBR_Report!$B$109:$BL$166,18,FALSE)</f>
        <v>1965</v>
      </c>
      <c r="O26" s="13">
        <f ca="1">VLOOKUP($B26,'[1]Analisys QBR By Machine Report'!$C$109:$BD$166,10,FALSE)</f>
        <v>435</v>
      </c>
      <c r="P26" s="13">
        <f ca="1">VLOOKUP($B26,'[1]Analisys QBR By Machine Report'!$C$109:$BD$166,11,FALSE)</f>
        <v>45</v>
      </c>
      <c r="Q26" s="13">
        <f ca="1">VLOOKUP($B26,'[1]Analisys QBR By Machine Report'!$C$109:$BD$166,12,FALSE)</f>
        <v>0</v>
      </c>
      <c r="R26" s="13">
        <f ca="1">VLOOKUP($B26,'[1]Analisys QBR By Machine Report'!$C$109:$BD$166,13,FALSE)</f>
        <v>305</v>
      </c>
      <c r="S26" s="13">
        <f ca="1">VLOOKUP($B26,'[1]Analisys QBR By Machine Report'!$C$109:$BD$166,14,FALSE)</f>
        <v>85</v>
      </c>
      <c r="T26" s="13">
        <f ca="1">VLOOKUP($B26,'[1]Analisys QBR By Machine Report'!$C$109:$BD$166,15,FALSE)</f>
        <v>570</v>
      </c>
      <c r="U26" s="13">
        <f ca="1">VLOOKUP($B26,'[1]Analisys QBR By Machine Report'!$C$109:$BD$166,16,FALSE)</f>
        <v>570</v>
      </c>
      <c r="V26" s="13">
        <f ca="1">VLOOKUP($B26,'[1]Analisys QBR By Machine Report'!$C$109:$BD$166,17,FALSE)</f>
        <v>0</v>
      </c>
      <c r="W26" s="13">
        <f ca="1">VLOOKUP($B26,'[1]Analisys QBR By Machine Report'!$C$109:$BD$166,18,FALSE)</f>
        <v>0</v>
      </c>
      <c r="X26" s="13">
        <f ca="1">VLOOKUP($B26,'[1]Analisys QBR By Machine Report'!$C$109:$BD$166,19,FALSE)</f>
        <v>0</v>
      </c>
      <c r="Y26" s="13">
        <f ca="1">VLOOKUP($B26,'[1]Analisys QBR By Machine Report'!$C$109:$BD$166,20,FALSE)</f>
        <v>0</v>
      </c>
      <c r="Z26" s="13">
        <f ca="1">VLOOKUP($B26,'[1]Analisys QBR By Machine Report'!$C$109:$BD$166,21,FALSE)</f>
        <v>735</v>
      </c>
      <c r="AA26" s="13">
        <f ca="1">VLOOKUP($B26,'[1]Analisys QBR By Machine Report'!$C$109:$BD$166,22,FALSE)</f>
        <v>235</v>
      </c>
      <c r="AB26" s="13">
        <f ca="1">VLOOKUP($B26,'[1]Analisys QBR By Machine Report'!$C$109:$BD$166,23,FALSE)</f>
        <v>140</v>
      </c>
      <c r="AC26" s="13">
        <f ca="1">VLOOKUP($B26,'[1]Analisys QBR By Machine Report'!$C$109:$BD$166,24,FALSE)</f>
        <v>0</v>
      </c>
      <c r="AD26" s="13">
        <f ca="1">VLOOKUP($B26,'[1]Analisys QBR By Machine Report'!$C$109:$BD$166,25,FALSE)</f>
        <v>0</v>
      </c>
      <c r="AE26" s="13">
        <f ca="1">VLOOKUP($B26,'[1]Analisys QBR By Machine Report'!$C$109:$BD$166,26,FALSE)</f>
        <v>360</v>
      </c>
      <c r="AF26" s="13">
        <f ca="1">VLOOKUP($B26,'[1]Analisys QBR By Machine Report'!$C$109:$BD$166,27,FALSE)</f>
        <v>0</v>
      </c>
      <c r="AG26" s="13">
        <f ca="1">VLOOKUP($B26,'[1]Analisys QBR By Machine Report'!$C$109:$BD$166,28,FALSE)</f>
        <v>0</v>
      </c>
      <c r="AH26" s="13">
        <f ca="1">VLOOKUP($B26,'[1]Analisys QBR By Machine Report'!$C$109:$BD$166,29,FALSE)</f>
        <v>0</v>
      </c>
      <c r="AI26" s="13">
        <f ca="1">VLOOKUP($B26,'[1]Analisys QBR By Machine Report'!$C$109:$BD$166,30,FALSE)</f>
        <v>225</v>
      </c>
      <c r="AJ26" s="13">
        <f ca="1">VLOOKUP($B26,'[1]Analisys QBR By Machine Report'!$C$109:$BD$166,31,FALSE)</f>
        <v>0</v>
      </c>
      <c r="AK26" s="13">
        <f ca="1">VLOOKUP($B26,'[1]Analisys QBR By Machine Report'!$C$109:$BD$166,32,FALSE)</f>
        <v>0</v>
      </c>
      <c r="AL26" s="13">
        <f ca="1">VLOOKUP($B26,'[1]Analisys QBR By Machine Report'!$C$109:$BD$166,33,FALSE)</f>
        <v>150</v>
      </c>
      <c r="AM26" s="13">
        <f ca="1">VLOOKUP($B26,'[1]Analisys QBR By Machine Report'!$C$109:$BD$166,34,FALSE)</f>
        <v>0</v>
      </c>
      <c r="AN26" s="13">
        <f ca="1">VLOOKUP($B26,'[1]Analisys QBR By Machine Report'!$C$109:$BD$166,35,FALSE)</f>
        <v>75</v>
      </c>
      <c r="AO26" s="13">
        <f ca="1">VLOOKUP($B26,'[1]Analisys QBR By Machine Report'!$C$109:$BD$166,36,FALSE)</f>
        <v>0</v>
      </c>
      <c r="AP26" s="13">
        <f ca="1">VLOOKUP($B26,'[1]Analisys QBR By Machine Report'!$C$109:$BD$166,37,FALSE)</f>
        <v>0</v>
      </c>
      <c r="AQ26" s="13">
        <f ca="1">VLOOKUP($B26,'[1]Analisys QBR By Machine Report'!$C$109:$BD$166,38,FALSE)</f>
        <v>0</v>
      </c>
      <c r="AR26" s="13">
        <f ca="1">VLOOKUP($B26,'[1]Analisys QBR By Machine Report'!$C$109:$BD$166,39,FALSE)</f>
        <v>0</v>
      </c>
      <c r="AS26" s="13">
        <f ca="1">VLOOKUP($B26,'[1]Analisys QBR By Machine Report'!$C$109:$BD$166,40,FALSE)</f>
        <v>0</v>
      </c>
      <c r="AT26" s="13">
        <f ca="1">VLOOKUP($B26,'[1]Analisys QBR By Machine Report'!$C$109:$BD$166,41,FALSE)</f>
        <v>0</v>
      </c>
      <c r="AU26" s="13">
        <f ca="1">VLOOKUP($B26,'[1]Analisys QBR By Machine Report'!$C$109:$BD$166,42,FALSE)</f>
        <v>0</v>
      </c>
      <c r="AV26" s="13">
        <f ca="1">VLOOKUP($B26,'[1]Analisys QBR By Machine Report'!$C$109:$BD$166,43,FALSE)</f>
        <v>0</v>
      </c>
      <c r="AW26" s="13">
        <f ca="1">VLOOKUP($B26,'[1]Analisys QBR By Machine Report'!$C$109:$BD$166,44,FALSE)</f>
        <v>0</v>
      </c>
      <c r="AX26" s="13">
        <f ca="1">VLOOKUP($B26,'[1]Analisys QBR By Machine Report'!$C$109:$BD$166,45,FALSE)</f>
        <v>0</v>
      </c>
      <c r="AY26" s="13">
        <f ca="1">VLOOKUP($B26,'[1]Analisys QBR By Machine Report'!$C$109:$BD$166,46,FALSE)</f>
        <v>0</v>
      </c>
      <c r="AZ26" s="13">
        <f ca="1">VLOOKUP($B26,'[1]Analisys QBR By Machine Report'!$C$109:$BD$166,47,FALSE)</f>
        <v>0</v>
      </c>
      <c r="BA26" s="13">
        <f ca="1">VLOOKUP($B26,'[1]Analisys QBR By Machine Report'!$C$109:$BD$166,48,FALSE)</f>
        <v>0</v>
      </c>
      <c r="BB26" s="13">
        <f ca="1">VLOOKUP($B26,'[1]Analisys QBR By Machine Report'!$C$109:$BD$166,49,FALSE)</f>
        <v>0</v>
      </c>
      <c r="BC26" s="13">
        <f ca="1">VLOOKUP($B26,'[1]Analisys QBR By Machine Report'!$C$109:$BD$166,50,FALSE)</f>
        <v>0</v>
      </c>
      <c r="BD26" s="13">
        <f ca="1">VLOOKUP($B26,'[1]Analisys QBR By Machine Report'!$C$109:$BD$166,51,FALSE)</f>
        <v>22341</v>
      </c>
      <c r="BE26" s="13">
        <f ca="1">VLOOKUP($B26,'[1]Analisys QBR By Machine Report'!$C$109:$BD$166,52,FALSE)</f>
        <v>30</v>
      </c>
      <c r="BF26" s="13">
        <f ca="1">VLOOKUP($B26,'[1]Analisys QBR By Machine Report'!$C$109:$BD$166,53,FALSE)</f>
        <v>22311</v>
      </c>
    </row>
    <row r="27" spans="1:58" x14ac:dyDescent="0.25">
      <c r="A27" s="9" t="s">
        <v>83</v>
      </c>
      <c r="B27" s="10">
        <f ca="1">VLOOKUP($B27,'[1]Analisys QBR By Machine Report'!$C$109:$BD$166,2,FALSE)</f>
        <v>27360</v>
      </c>
      <c r="C27" s="11">
        <f ca="1">VLOOKUP($B27,[1]Dasboard_QBR_Report!$B$109:$BL$166,3,FALSE)</f>
        <v>17670</v>
      </c>
      <c r="D27" s="10">
        <f ca="1">VLOOKUP($B27,'[1]Analisys QBR By Machine Report'!$C$109:$BD$166,3,FALSE)</f>
        <v>21810</v>
      </c>
      <c r="E27" s="11">
        <f ca="1">VLOOKUP($B27,[1]Dasboard_QBR_Report!$B$109:$BL$166,5,FALSE)</f>
        <v>12120</v>
      </c>
      <c r="F27" s="10">
        <f t="shared" ca="1" si="0"/>
        <v>5550</v>
      </c>
      <c r="G27" s="10">
        <f t="shared" ca="1" si="1"/>
        <v>0</v>
      </c>
      <c r="H27" s="10">
        <f ca="1">VLOOKUP($B27,'[1]Analisys QBR By Machine Report'!$C$109:$BD$166,4,FALSE)</f>
        <v>0</v>
      </c>
      <c r="I27" s="10">
        <f ca="1">VLOOKUP($B27,'[1]Analisys QBR By Machine Report'!$C$109:$BD$166,5,FALSE)</f>
        <v>0</v>
      </c>
      <c r="J27" s="10">
        <f ca="1">VLOOKUP($B27,'[1]Analisys QBR By Machine Report'!$C$109:$BD$166,6,FALSE)</f>
        <v>0</v>
      </c>
      <c r="K27" s="10">
        <f ca="1">VLOOKUP($B27,'[1]Analisys QBR By Machine Report'!$C$109:$BD$166,7,FALSE)</f>
        <v>0</v>
      </c>
      <c r="L27" s="10">
        <f ca="1">VLOOKUP($B27,'[1]Analisys QBR By Machine Report'!$C$109:$BD$166,8,FALSE)</f>
        <v>5550</v>
      </c>
      <c r="M27" s="10">
        <f ca="1">VLOOKUP($B27,'[1]Analisys QBR By Machine Report'!$C$109:$BD$166,9,FALSE)</f>
        <v>1696</v>
      </c>
      <c r="N27" s="10">
        <f ca="1">VLOOKUP($B27,[1]Dasboard_QBR_Report!$B$109:$BL$166,18,FALSE)</f>
        <v>3854</v>
      </c>
      <c r="O27" s="10">
        <f ca="1">VLOOKUP($B27,'[1]Analisys QBR By Machine Report'!$C$109:$BD$166,10,FALSE)</f>
        <v>115</v>
      </c>
      <c r="P27" s="10">
        <f ca="1">VLOOKUP($B27,'[1]Analisys QBR By Machine Report'!$C$109:$BD$166,11,FALSE)</f>
        <v>115</v>
      </c>
      <c r="Q27" s="10">
        <f ca="1">VLOOKUP($B27,'[1]Analisys QBR By Machine Report'!$C$109:$BD$166,12,FALSE)</f>
        <v>0</v>
      </c>
      <c r="R27" s="10">
        <f ca="1">VLOOKUP($B27,'[1]Analisys QBR By Machine Report'!$C$109:$BD$166,13,FALSE)</f>
        <v>0</v>
      </c>
      <c r="S27" s="10">
        <f ca="1">VLOOKUP($B27,'[1]Analisys QBR By Machine Report'!$C$109:$BD$166,14,FALSE)</f>
        <v>0</v>
      </c>
      <c r="T27" s="10">
        <f ca="1">VLOOKUP($B27,'[1]Analisys QBR By Machine Report'!$C$109:$BD$166,15,FALSE)</f>
        <v>254</v>
      </c>
      <c r="U27" s="10">
        <f ca="1">VLOOKUP($B27,'[1]Analisys QBR By Machine Report'!$C$109:$BD$166,16,FALSE)</f>
        <v>254</v>
      </c>
      <c r="V27" s="10">
        <f ca="1">VLOOKUP($B27,'[1]Analisys QBR By Machine Report'!$C$109:$BD$166,17,FALSE)</f>
        <v>0</v>
      </c>
      <c r="W27" s="10">
        <f ca="1">VLOOKUP($B27,'[1]Analisys QBR By Machine Report'!$C$109:$BD$166,18,FALSE)</f>
        <v>0</v>
      </c>
      <c r="X27" s="10">
        <f ca="1">VLOOKUP($B27,'[1]Analisys QBR By Machine Report'!$C$109:$BD$166,19,FALSE)</f>
        <v>0</v>
      </c>
      <c r="Y27" s="10">
        <f ca="1">VLOOKUP($B27,'[1]Analisys QBR By Machine Report'!$C$109:$BD$166,20,FALSE)</f>
        <v>0</v>
      </c>
      <c r="Z27" s="10">
        <f ca="1">VLOOKUP($B27,'[1]Analisys QBR By Machine Report'!$C$109:$BD$166,21,FALSE)</f>
        <v>1444</v>
      </c>
      <c r="AA27" s="10">
        <f ca="1">VLOOKUP($B27,'[1]Analisys QBR By Machine Report'!$C$109:$BD$166,22,FALSE)</f>
        <v>532</v>
      </c>
      <c r="AB27" s="10">
        <f ca="1">VLOOKUP($B27,'[1]Analisys QBR By Machine Report'!$C$109:$BD$166,23,FALSE)</f>
        <v>877</v>
      </c>
      <c r="AC27" s="10">
        <f ca="1">VLOOKUP($B27,'[1]Analisys QBR By Machine Report'!$C$109:$BD$166,24,FALSE)</f>
        <v>0</v>
      </c>
      <c r="AD27" s="10">
        <f ca="1">VLOOKUP($B27,'[1]Analisys QBR By Machine Report'!$C$109:$BD$166,25,FALSE)</f>
        <v>35</v>
      </c>
      <c r="AE27" s="10">
        <f ca="1">VLOOKUP($B27,'[1]Analisys QBR By Machine Report'!$C$109:$BD$166,26,FALSE)</f>
        <v>0</v>
      </c>
      <c r="AF27" s="10">
        <f ca="1">VLOOKUP($B27,'[1]Analisys QBR By Machine Report'!$C$109:$BD$166,27,FALSE)</f>
        <v>0</v>
      </c>
      <c r="AG27" s="10">
        <f ca="1">VLOOKUP($B27,'[1]Analisys QBR By Machine Report'!$C$109:$BD$166,28,FALSE)</f>
        <v>0</v>
      </c>
      <c r="AH27" s="10">
        <f ca="1">VLOOKUP($B27,'[1]Analisys QBR By Machine Report'!$C$109:$BD$166,29,FALSE)</f>
        <v>0</v>
      </c>
      <c r="AI27" s="10">
        <f ca="1">VLOOKUP($B27,'[1]Analisys QBR By Machine Report'!$C$109:$BD$166,30,FALSE)</f>
        <v>2041</v>
      </c>
      <c r="AJ27" s="10">
        <f ca="1">VLOOKUP($B27,'[1]Analisys QBR By Machine Report'!$C$109:$BD$166,31,FALSE)</f>
        <v>81</v>
      </c>
      <c r="AK27" s="10">
        <f ca="1">VLOOKUP($B27,'[1]Analisys QBR By Machine Report'!$C$109:$BD$166,32,FALSE)</f>
        <v>0</v>
      </c>
      <c r="AL27" s="10">
        <f ca="1">VLOOKUP($B27,'[1]Analisys QBR By Machine Report'!$C$109:$BD$166,33,FALSE)</f>
        <v>330</v>
      </c>
      <c r="AM27" s="10">
        <f ca="1">VLOOKUP($B27,'[1]Analisys QBR By Machine Report'!$C$109:$BD$166,34,FALSE)</f>
        <v>0</v>
      </c>
      <c r="AN27" s="10">
        <f ca="1">VLOOKUP($B27,'[1]Analisys QBR By Machine Report'!$C$109:$BD$166,35,FALSE)</f>
        <v>430</v>
      </c>
      <c r="AO27" s="10">
        <f ca="1">VLOOKUP($B27,'[1]Analisys QBR By Machine Report'!$C$109:$BD$166,36,FALSE)</f>
        <v>0</v>
      </c>
      <c r="AP27" s="10">
        <f ca="1">VLOOKUP($B27,'[1]Analisys QBR By Machine Report'!$C$109:$BD$166,37,FALSE)</f>
        <v>100</v>
      </c>
      <c r="AQ27" s="10">
        <f ca="1">VLOOKUP($B27,'[1]Analisys QBR By Machine Report'!$C$109:$BD$166,38,FALSE)</f>
        <v>0</v>
      </c>
      <c r="AR27" s="10">
        <f ca="1">VLOOKUP($B27,'[1]Analisys QBR By Machine Report'!$C$109:$BD$166,39,FALSE)</f>
        <v>140</v>
      </c>
      <c r="AS27" s="10">
        <f ca="1">VLOOKUP($B27,'[1]Analisys QBR By Machine Report'!$C$109:$BD$166,40,FALSE)</f>
        <v>55</v>
      </c>
      <c r="AT27" s="10">
        <f ca="1">VLOOKUP($B27,'[1]Analisys QBR By Machine Report'!$C$109:$BD$166,41,FALSE)</f>
        <v>0</v>
      </c>
      <c r="AU27" s="10">
        <f ca="1">VLOOKUP($B27,'[1]Analisys QBR By Machine Report'!$C$109:$BD$166,42,FALSE)</f>
        <v>0</v>
      </c>
      <c r="AV27" s="10">
        <f ca="1">VLOOKUP($B27,'[1]Analisys QBR By Machine Report'!$C$109:$BD$166,43,FALSE)</f>
        <v>0</v>
      </c>
      <c r="AW27" s="10">
        <f ca="1">VLOOKUP($B27,'[1]Analisys QBR By Machine Report'!$C$109:$BD$166,44,FALSE)</f>
        <v>0</v>
      </c>
      <c r="AX27" s="10">
        <f ca="1">VLOOKUP($B27,'[1]Analisys QBR By Machine Report'!$C$109:$BD$166,45,FALSE)</f>
        <v>0</v>
      </c>
      <c r="AY27" s="10">
        <f ca="1">VLOOKUP($B27,'[1]Analisys QBR By Machine Report'!$C$109:$BD$166,46,FALSE)</f>
        <v>0</v>
      </c>
      <c r="AZ27" s="10">
        <f ca="1">VLOOKUP($B27,'[1]Analisys QBR By Machine Report'!$C$109:$BD$166,47,FALSE)</f>
        <v>905</v>
      </c>
      <c r="BA27" s="10">
        <f ca="1">VLOOKUP($B27,'[1]Analisys QBR By Machine Report'!$C$109:$BD$166,48,FALSE)</f>
        <v>0</v>
      </c>
      <c r="BB27" s="10">
        <f ca="1">VLOOKUP($B27,'[1]Analisys QBR By Machine Report'!$C$109:$BD$166,49,FALSE)</f>
        <v>0</v>
      </c>
      <c r="BC27" s="10">
        <f ca="1">VLOOKUP($B27,'[1]Analisys QBR By Machine Report'!$C$109:$BD$166,50,FALSE)</f>
        <v>0</v>
      </c>
      <c r="BD27" s="10">
        <f ca="1">VLOOKUP($B27,'[1]Analisys QBR By Machine Report'!$C$109:$BD$166,51,FALSE)</f>
        <v>1328</v>
      </c>
      <c r="BE27" s="10">
        <f ca="1">VLOOKUP($B27,'[1]Analisys QBR By Machine Report'!$C$109:$BD$166,52,FALSE)</f>
        <v>0</v>
      </c>
      <c r="BF27" s="10">
        <f ca="1">VLOOKUP($B27,'[1]Analisys QBR By Machine Report'!$C$109:$BD$166,53,FALSE)</f>
        <v>1328</v>
      </c>
    </row>
    <row r="28" spans="1:58" x14ac:dyDescent="0.25">
      <c r="A28" s="12" t="s">
        <v>84</v>
      </c>
      <c r="B28" s="13">
        <f ca="1">VLOOKUP($B28,'[1]Analisys QBR By Machine Report'!$C$109:$BD$166,2,FALSE)</f>
        <v>27360</v>
      </c>
      <c r="C28" s="14">
        <f ca="1">VLOOKUP($B28,[1]Dasboard_QBR_Report!$B$109:$BL$166,3,FALSE)</f>
        <v>17670</v>
      </c>
      <c r="D28" s="13">
        <f ca="1">VLOOKUP($B28,'[1]Analisys QBR By Machine Report'!$C$109:$BD$166,3,FALSE)</f>
        <v>21810</v>
      </c>
      <c r="E28" s="14">
        <f ca="1">VLOOKUP($B28,[1]Dasboard_QBR_Report!$B$109:$BL$166,5,FALSE)</f>
        <v>12120</v>
      </c>
      <c r="F28" s="13">
        <f t="shared" ca="1" si="0"/>
        <v>5550</v>
      </c>
      <c r="G28" s="13">
        <f t="shared" ca="1" si="1"/>
        <v>0</v>
      </c>
      <c r="H28" s="13">
        <f ca="1">VLOOKUP($B28,'[1]Analisys QBR By Machine Report'!$C$109:$BD$166,4,FALSE)</f>
        <v>0</v>
      </c>
      <c r="I28" s="13">
        <f ca="1">VLOOKUP($B28,'[1]Analisys QBR By Machine Report'!$C$109:$BD$166,5,FALSE)</f>
        <v>0</v>
      </c>
      <c r="J28" s="13">
        <f ca="1">VLOOKUP($B28,'[1]Analisys QBR By Machine Report'!$C$109:$BD$166,6,FALSE)</f>
        <v>0</v>
      </c>
      <c r="K28" s="13">
        <f ca="1">VLOOKUP($B28,'[1]Analisys QBR By Machine Report'!$C$109:$BD$166,7,FALSE)</f>
        <v>0</v>
      </c>
      <c r="L28" s="13">
        <f ca="1">VLOOKUP($B28,'[1]Analisys QBR By Machine Report'!$C$109:$BD$166,8,FALSE)</f>
        <v>5550</v>
      </c>
      <c r="M28" s="13">
        <f ca="1">VLOOKUP($B28,'[1]Analisys QBR By Machine Report'!$C$109:$BD$166,9,FALSE)</f>
        <v>1696</v>
      </c>
      <c r="N28" s="13">
        <f ca="1">VLOOKUP($B28,[1]Dasboard_QBR_Report!$B$109:$BL$166,18,FALSE)</f>
        <v>3854</v>
      </c>
      <c r="O28" s="13">
        <f ca="1">VLOOKUP($B28,'[1]Analisys QBR By Machine Report'!$C$109:$BD$166,10,FALSE)</f>
        <v>115</v>
      </c>
      <c r="P28" s="13">
        <f ca="1">VLOOKUP($B28,'[1]Analisys QBR By Machine Report'!$C$109:$BD$166,11,FALSE)</f>
        <v>115</v>
      </c>
      <c r="Q28" s="13">
        <f ca="1">VLOOKUP($B28,'[1]Analisys QBR By Machine Report'!$C$109:$BD$166,12,FALSE)</f>
        <v>0</v>
      </c>
      <c r="R28" s="13">
        <f ca="1">VLOOKUP($B28,'[1]Analisys QBR By Machine Report'!$C$109:$BD$166,13,FALSE)</f>
        <v>0</v>
      </c>
      <c r="S28" s="13">
        <f ca="1">VLOOKUP($B28,'[1]Analisys QBR By Machine Report'!$C$109:$BD$166,14,FALSE)</f>
        <v>0</v>
      </c>
      <c r="T28" s="13">
        <f ca="1">VLOOKUP($B28,'[1]Analisys QBR By Machine Report'!$C$109:$BD$166,15,FALSE)</f>
        <v>254</v>
      </c>
      <c r="U28" s="13">
        <f ca="1">VLOOKUP($B28,'[1]Analisys QBR By Machine Report'!$C$109:$BD$166,16,FALSE)</f>
        <v>254</v>
      </c>
      <c r="V28" s="13">
        <f ca="1">VLOOKUP($B28,'[1]Analisys QBR By Machine Report'!$C$109:$BD$166,17,FALSE)</f>
        <v>0</v>
      </c>
      <c r="W28" s="13">
        <f ca="1">VLOOKUP($B28,'[1]Analisys QBR By Machine Report'!$C$109:$BD$166,18,FALSE)</f>
        <v>0</v>
      </c>
      <c r="X28" s="13">
        <f ca="1">VLOOKUP($B28,'[1]Analisys QBR By Machine Report'!$C$109:$BD$166,19,FALSE)</f>
        <v>0</v>
      </c>
      <c r="Y28" s="13">
        <f ca="1">VLOOKUP($B28,'[1]Analisys QBR By Machine Report'!$C$109:$BD$166,20,FALSE)</f>
        <v>0</v>
      </c>
      <c r="Z28" s="13">
        <f ca="1">VLOOKUP($B28,'[1]Analisys QBR By Machine Report'!$C$109:$BD$166,21,FALSE)</f>
        <v>1444</v>
      </c>
      <c r="AA28" s="13">
        <f ca="1">VLOOKUP($B28,'[1]Analisys QBR By Machine Report'!$C$109:$BD$166,22,FALSE)</f>
        <v>532</v>
      </c>
      <c r="AB28" s="13">
        <f ca="1">VLOOKUP($B28,'[1]Analisys QBR By Machine Report'!$C$109:$BD$166,23,FALSE)</f>
        <v>877</v>
      </c>
      <c r="AC28" s="13">
        <f ca="1">VLOOKUP($B28,'[1]Analisys QBR By Machine Report'!$C$109:$BD$166,24,FALSE)</f>
        <v>0</v>
      </c>
      <c r="AD28" s="13">
        <f ca="1">VLOOKUP($B28,'[1]Analisys QBR By Machine Report'!$C$109:$BD$166,25,FALSE)</f>
        <v>35</v>
      </c>
      <c r="AE28" s="13">
        <f ca="1">VLOOKUP($B28,'[1]Analisys QBR By Machine Report'!$C$109:$BD$166,26,FALSE)</f>
        <v>0</v>
      </c>
      <c r="AF28" s="13">
        <f ca="1">VLOOKUP($B28,'[1]Analisys QBR By Machine Report'!$C$109:$BD$166,27,FALSE)</f>
        <v>0</v>
      </c>
      <c r="AG28" s="13">
        <f ca="1">VLOOKUP($B28,'[1]Analisys QBR By Machine Report'!$C$109:$BD$166,28,FALSE)</f>
        <v>0</v>
      </c>
      <c r="AH28" s="13">
        <f ca="1">VLOOKUP($B28,'[1]Analisys QBR By Machine Report'!$C$109:$BD$166,29,FALSE)</f>
        <v>0</v>
      </c>
      <c r="AI28" s="13">
        <f ca="1">VLOOKUP($B28,'[1]Analisys QBR By Machine Report'!$C$109:$BD$166,30,FALSE)</f>
        <v>2041</v>
      </c>
      <c r="AJ28" s="13">
        <f ca="1">VLOOKUP($B28,'[1]Analisys QBR By Machine Report'!$C$109:$BD$166,31,FALSE)</f>
        <v>81</v>
      </c>
      <c r="AK28" s="13">
        <f ca="1">VLOOKUP($B28,'[1]Analisys QBR By Machine Report'!$C$109:$BD$166,32,FALSE)</f>
        <v>0</v>
      </c>
      <c r="AL28" s="13">
        <f ca="1">VLOOKUP($B28,'[1]Analisys QBR By Machine Report'!$C$109:$BD$166,33,FALSE)</f>
        <v>330</v>
      </c>
      <c r="AM28" s="13">
        <f ca="1">VLOOKUP($B28,'[1]Analisys QBR By Machine Report'!$C$109:$BD$166,34,FALSE)</f>
        <v>0</v>
      </c>
      <c r="AN28" s="13">
        <f ca="1">VLOOKUP($B28,'[1]Analisys QBR By Machine Report'!$C$109:$BD$166,35,FALSE)</f>
        <v>430</v>
      </c>
      <c r="AO28" s="13">
        <f ca="1">VLOOKUP($B28,'[1]Analisys QBR By Machine Report'!$C$109:$BD$166,36,FALSE)</f>
        <v>0</v>
      </c>
      <c r="AP28" s="13">
        <f ca="1">VLOOKUP($B28,'[1]Analisys QBR By Machine Report'!$C$109:$BD$166,37,FALSE)</f>
        <v>100</v>
      </c>
      <c r="AQ28" s="13">
        <f ca="1">VLOOKUP($B28,'[1]Analisys QBR By Machine Report'!$C$109:$BD$166,38,FALSE)</f>
        <v>0</v>
      </c>
      <c r="AR28" s="13">
        <f ca="1">VLOOKUP($B28,'[1]Analisys QBR By Machine Report'!$C$109:$BD$166,39,FALSE)</f>
        <v>140</v>
      </c>
      <c r="AS28" s="13">
        <f ca="1">VLOOKUP($B28,'[1]Analisys QBR By Machine Report'!$C$109:$BD$166,40,FALSE)</f>
        <v>55</v>
      </c>
      <c r="AT28" s="13">
        <f ca="1">VLOOKUP($B28,'[1]Analisys QBR By Machine Report'!$C$109:$BD$166,41,FALSE)</f>
        <v>0</v>
      </c>
      <c r="AU28" s="13">
        <f ca="1">VLOOKUP($B28,'[1]Analisys QBR By Machine Report'!$C$109:$BD$166,42,FALSE)</f>
        <v>0</v>
      </c>
      <c r="AV28" s="13">
        <f ca="1">VLOOKUP($B28,'[1]Analisys QBR By Machine Report'!$C$109:$BD$166,43,FALSE)</f>
        <v>0</v>
      </c>
      <c r="AW28" s="13">
        <f ca="1">VLOOKUP($B28,'[1]Analisys QBR By Machine Report'!$C$109:$BD$166,44,FALSE)</f>
        <v>0</v>
      </c>
      <c r="AX28" s="13">
        <f ca="1">VLOOKUP($B28,'[1]Analisys QBR By Machine Report'!$C$109:$BD$166,45,FALSE)</f>
        <v>0</v>
      </c>
      <c r="AY28" s="13">
        <f ca="1">VLOOKUP($B28,'[1]Analisys QBR By Machine Report'!$C$109:$BD$166,46,FALSE)</f>
        <v>0</v>
      </c>
      <c r="AZ28" s="13">
        <f ca="1">VLOOKUP($B28,'[1]Analisys QBR By Machine Report'!$C$109:$BD$166,47,FALSE)</f>
        <v>905</v>
      </c>
      <c r="BA28" s="13">
        <f ca="1">VLOOKUP($B28,'[1]Analisys QBR By Machine Report'!$C$109:$BD$166,48,FALSE)</f>
        <v>0</v>
      </c>
      <c r="BB28" s="13">
        <f ca="1">VLOOKUP($B28,'[1]Analisys QBR By Machine Report'!$C$109:$BD$166,49,FALSE)</f>
        <v>0</v>
      </c>
      <c r="BC28" s="13">
        <f ca="1">VLOOKUP($B28,'[1]Analisys QBR By Machine Report'!$C$109:$BD$166,50,FALSE)</f>
        <v>0</v>
      </c>
      <c r="BD28" s="13">
        <f ca="1">VLOOKUP($B28,'[1]Analisys QBR By Machine Report'!$C$109:$BD$166,51,FALSE)</f>
        <v>1328</v>
      </c>
      <c r="BE28" s="13">
        <f ca="1">VLOOKUP($B28,'[1]Analisys QBR By Machine Report'!$C$109:$BD$166,52,FALSE)</f>
        <v>0</v>
      </c>
      <c r="BF28" s="13">
        <f ca="1">VLOOKUP($B28,'[1]Analisys QBR By Machine Report'!$C$109:$BD$166,53,FALSE)</f>
        <v>1328</v>
      </c>
    </row>
    <row r="29" spans="1:58" x14ac:dyDescent="0.25">
      <c r="A29" s="9" t="s">
        <v>85</v>
      </c>
      <c r="B29" s="10">
        <f ca="1">VLOOKUP($B29,'[1]Analisys QBR By Machine Report'!$C$109:$BD$166,2,FALSE)</f>
        <v>53280</v>
      </c>
      <c r="C29" s="11">
        <f ca="1">VLOOKUP($B29,[1]Dasboard_QBR_Report!$B$109:$BL$166,3,FALSE)</f>
        <v>34410</v>
      </c>
      <c r="D29" s="10">
        <f ca="1">VLOOKUP($B29,'[1]Analisys QBR By Machine Report'!$C$109:$BD$166,3,FALSE)</f>
        <v>34350</v>
      </c>
      <c r="E29" s="11">
        <f ca="1">VLOOKUP($B29,[1]Dasboard_QBR_Report!$B$109:$BL$166,5,FALSE)</f>
        <v>15480</v>
      </c>
      <c r="F29" s="10">
        <f t="shared" ca="1" si="0"/>
        <v>18930</v>
      </c>
      <c r="G29" s="10">
        <f t="shared" ca="1" si="1"/>
        <v>1041</v>
      </c>
      <c r="H29" s="10">
        <f ca="1">VLOOKUP($B29,'[1]Analisys QBR By Machine Report'!$C$109:$BD$166,4,FALSE)</f>
        <v>1041</v>
      </c>
      <c r="I29" s="10">
        <f ca="1">VLOOKUP($B29,'[1]Analisys QBR By Machine Report'!$C$109:$BD$166,5,FALSE)</f>
        <v>81</v>
      </c>
      <c r="J29" s="10">
        <f ca="1">VLOOKUP($B29,'[1]Analisys QBR By Machine Report'!$C$109:$BD$166,6,FALSE)</f>
        <v>960</v>
      </c>
      <c r="K29" s="10">
        <f ca="1">VLOOKUP($B29,'[1]Analisys QBR By Machine Report'!$C$109:$BD$166,7,FALSE)</f>
        <v>0</v>
      </c>
      <c r="L29" s="10">
        <f ca="1">VLOOKUP($B29,'[1]Analisys QBR By Machine Report'!$C$109:$BD$166,8,FALSE)</f>
        <v>17889</v>
      </c>
      <c r="M29" s="10">
        <f ca="1">VLOOKUP($B29,'[1]Analisys QBR By Machine Report'!$C$109:$BD$166,9,FALSE)</f>
        <v>6869</v>
      </c>
      <c r="N29" s="10">
        <f ca="1">VLOOKUP($B29,[1]Dasboard_QBR_Report!$B$109:$BL$166,18,FALSE)</f>
        <v>11020</v>
      </c>
      <c r="O29" s="10">
        <f ca="1">VLOOKUP($B29,'[1]Analisys QBR By Machine Report'!$C$109:$BD$166,10,FALSE)</f>
        <v>1506</v>
      </c>
      <c r="P29" s="10">
        <f ca="1">VLOOKUP($B29,'[1]Analisys QBR By Machine Report'!$C$109:$BD$166,11,FALSE)</f>
        <v>1332</v>
      </c>
      <c r="Q29" s="10">
        <f ca="1">VLOOKUP($B29,'[1]Analisys QBR By Machine Report'!$C$109:$BD$166,12,FALSE)</f>
        <v>73</v>
      </c>
      <c r="R29" s="10">
        <f ca="1">VLOOKUP($B29,'[1]Analisys QBR By Machine Report'!$C$109:$BD$166,13,FALSE)</f>
        <v>93</v>
      </c>
      <c r="S29" s="10">
        <f ca="1">VLOOKUP($B29,'[1]Analisys QBR By Machine Report'!$C$109:$BD$166,14,FALSE)</f>
        <v>8</v>
      </c>
      <c r="T29" s="10">
        <f ca="1">VLOOKUP($B29,'[1]Analisys QBR By Machine Report'!$C$109:$BD$166,15,FALSE)</f>
        <v>687</v>
      </c>
      <c r="U29" s="10">
        <f ca="1">VLOOKUP($B29,'[1]Analisys QBR By Machine Report'!$C$109:$BD$166,16,FALSE)</f>
        <v>525</v>
      </c>
      <c r="V29" s="10">
        <f ca="1">VLOOKUP($B29,'[1]Analisys QBR By Machine Report'!$C$109:$BD$166,17,FALSE)</f>
        <v>39</v>
      </c>
      <c r="W29" s="10">
        <f ca="1">VLOOKUP($B29,'[1]Analisys QBR By Machine Report'!$C$109:$BD$166,18,FALSE)</f>
        <v>0</v>
      </c>
      <c r="X29" s="10">
        <f ca="1">VLOOKUP($B29,'[1]Analisys QBR By Machine Report'!$C$109:$BD$166,19,FALSE)</f>
        <v>106</v>
      </c>
      <c r="Y29" s="10">
        <f ca="1">VLOOKUP($B29,'[1]Analisys QBR By Machine Report'!$C$109:$BD$166,20,FALSE)</f>
        <v>17</v>
      </c>
      <c r="Z29" s="10">
        <f ca="1">VLOOKUP($B29,'[1]Analisys QBR By Machine Report'!$C$109:$BD$166,21,FALSE)</f>
        <v>3225</v>
      </c>
      <c r="AA29" s="10">
        <f ca="1">VLOOKUP($B29,'[1]Analisys QBR By Machine Report'!$C$109:$BD$166,22,FALSE)</f>
        <v>973</v>
      </c>
      <c r="AB29" s="10">
        <f ca="1">VLOOKUP($B29,'[1]Analisys QBR By Machine Report'!$C$109:$BD$166,23,FALSE)</f>
        <v>2107</v>
      </c>
      <c r="AC29" s="10">
        <f ca="1">VLOOKUP($B29,'[1]Analisys QBR By Machine Report'!$C$109:$BD$166,24,FALSE)</f>
        <v>145</v>
      </c>
      <c r="AD29" s="10">
        <f ca="1">VLOOKUP($B29,'[1]Analisys QBR By Machine Report'!$C$109:$BD$166,25,FALSE)</f>
        <v>0</v>
      </c>
      <c r="AE29" s="10">
        <f ca="1">VLOOKUP($B29,'[1]Analisys QBR By Machine Report'!$C$109:$BD$166,26,FALSE)</f>
        <v>0</v>
      </c>
      <c r="AF29" s="10">
        <f ca="1">VLOOKUP($B29,'[1]Analisys QBR By Machine Report'!$C$109:$BD$166,27,FALSE)</f>
        <v>0</v>
      </c>
      <c r="AG29" s="10">
        <f ca="1">VLOOKUP($B29,'[1]Analisys QBR By Machine Report'!$C$109:$BD$166,28,FALSE)</f>
        <v>0</v>
      </c>
      <c r="AH29" s="10">
        <f ca="1">VLOOKUP($B29,'[1]Analisys QBR By Machine Report'!$C$109:$BD$166,29,FALSE)</f>
        <v>0</v>
      </c>
      <c r="AI29" s="10">
        <f ca="1">VLOOKUP($B29,'[1]Analisys QBR By Machine Report'!$C$109:$BD$166,30,FALSE)</f>
        <v>5602</v>
      </c>
      <c r="AJ29" s="10">
        <f ca="1">VLOOKUP($B29,'[1]Analisys QBR By Machine Report'!$C$109:$BD$166,31,FALSE)</f>
        <v>5</v>
      </c>
      <c r="AK29" s="10">
        <f ca="1">VLOOKUP($B29,'[1]Analisys QBR By Machine Report'!$C$109:$BD$166,32,FALSE)</f>
        <v>0</v>
      </c>
      <c r="AL29" s="10">
        <f ca="1">VLOOKUP($B29,'[1]Analisys QBR By Machine Report'!$C$109:$BD$166,33,FALSE)</f>
        <v>1128</v>
      </c>
      <c r="AM29" s="10">
        <f ca="1">VLOOKUP($B29,'[1]Analisys QBR By Machine Report'!$C$109:$BD$166,34,FALSE)</f>
        <v>0</v>
      </c>
      <c r="AN29" s="10">
        <f ca="1">VLOOKUP($B29,'[1]Analisys QBR By Machine Report'!$C$109:$BD$166,35,FALSE)</f>
        <v>1238</v>
      </c>
      <c r="AO29" s="10">
        <f ca="1">VLOOKUP($B29,'[1]Analisys QBR By Machine Report'!$C$109:$BD$166,36,FALSE)</f>
        <v>0</v>
      </c>
      <c r="AP29" s="10">
        <f ca="1">VLOOKUP($B29,'[1]Analisys QBR By Machine Report'!$C$109:$BD$166,37,FALSE)</f>
        <v>0</v>
      </c>
      <c r="AQ29" s="10">
        <f ca="1">VLOOKUP($B29,'[1]Analisys QBR By Machine Report'!$C$109:$BD$166,38,FALSE)</f>
        <v>0</v>
      </c>
      <c r="AR29" s="10">
        <f ca="1">VLOOKUP($B29,'[1]Analisys QBR By Machine Report'!$C$109:$BD$166,39,FALSE)</f>
        <v>0</v>
      </c>
      <c r="AS29" s="10">
        <f ca="1">VLOOKUP($B29,'[1]Analisys QBR By Machine Report'!$C$109:$BD$166,40,FALSE)</f>
        <v>200</v>
      </c>
      <c r="AT29" s="10">
        <f ca="1">VLOOKUP($B29,'[1]Analisys QBR By Machine Report'!$C$109:$BD$166,41,FALSE)</f>
        <v>0</v>
      </c>
      <c r="AU29" s="10">
        <f ca="1">VLOOKUP($B29,'[1]Analisys QBR By Machine Report'!$C$109:$BD$166,42,FALSE)</f>
        <v>0</v>
      </c>
      <c r="AV29" s="10">
        <f ca="1">VLOOKUP($B29,'[1]Analisys QBR By Machine Report'!$C$109:$BD$166,43,FALSE)</f>
        <v>2662</v>
      </c>
      <c r="AW29" s="10">
        <f ca="1">VLOOKUP($B29,'[1]Analisys QBR By Machine Report'!$C$109:$BD$166,44,FALSE)</f>
        <v>0</v>
      </c>
      <c r="AX29" s="10">
        <f ca="1">VLOOKUP($B29,'[1]Analisys QBR By Machine Report'!$C$109:$BD$166,45,FALSE)</f>
        <v>0</v>
      </c>
      <c r="AY29" s="10">
        <f ca="1">VLOOKUP($B29,'[1]Analisys QBR By Machine Report'!$C$109:$BD$166,46,FALSE)</f>
        <v>0</v>
      </c>
      <c r="AZ29" s="10">
        <f ca="1">VLOOKUP($B29,'[1]Analisys QBR By Machine Report'!$C$109:$BD$166,47,FALSE)</f>
        <v>288</v>
      </c>
      <c r="BA29" s="10">
        <f ca="1">VLOOKUP($B29,'[1]Analisys QBR By Machine Report'!$C$109:$BD$166,48,FALSE)</f>
        <v>81</v>
      </c>
      <c r="BB29" s="10">
        <f ca="1">VLOOKUP($B29,'[1]Analisys QBR By Machine Report'!$C$109:$BD$166,49,FALSE)</f>
        <v>0</v>
      </c>
      <c r="BC29" s="10">
        <f ca="1">VLOOKUP($B29,'[1]Analisys QBR By Machine Report'!$C$109:$BD$166,50,FALSE)</f>
        <v>0</v>
      </c>
      <c r="BD29" s="10">
        <f ca="1">VLOOKUP($B29,'[1]Analisys QBR By Machine Report'!$C$109:$BD$166,51,FALSE)</f>
        <v>845347</v>
      </c>
      <c r="BE29" s="10">
        <f ca="1">VLOOKUP($B29,'[1]Analisys QBR By Machine Report'!$C$109:$BD$166,52,FALSE)</f>
        <v>166</v>
      </c>
      <c r="BF29" s="10">
        <f ca="1">VLOOKUP($B29,'[1]Analisys QBR By Machine Report'!$C$109:$BD$166,53,FALSE)</f>
        <v>845181</v>
      </c>
    </row>
    <row r="30" spans="1:58" x14ac:dyDescent="0.25">
      <c r="A30" s="12" t="s">
        <v>86</v>
      </c>
      <c r="B30" s="13">
        <f ca="1">VLOOKUP($B30,'[1]Analisys QBR By Machine Report'!$C$109:$BD$166,2,FALSE)</f>
        <v>27360</v>
      </c>
      <c r="C30" s="14">
        <f ca="1">VLOOKUP($B30,[1]Dasboard_QBR_Report!$B$109:$BL$166,3,FALSE)</f>
        <v>17670</v>
      </c>
      <c r="D30" s="13">
        <f ca="1">VLOOKUP($B30,'[1]Analisys QBR By Machine Report'!$C$109:$BD$166,3,FALSE)</f>
        <v>18030</v>
      </c>
      <c r="E30" s="14">
        <f ca="1">VLOOKUP($B30,[1]Dasboard_QBR_Report!$B$109:$BL$166,5,FALSE)</f>
        <v>8340</v>
      </c>
      <c r="F30" s="13">
        <f t="shared" ca="1" si="0"/>
        <v>9330</v>
      </c>
      <c r="G30" s="13">
        <f t="shared" ca="1" si="1"/>
        <v>896</v>
      </c>
      <c r="H30" s="13">
        <f ca="1">VLOOKUP($B30,'[1]Analisys QBR By Machine Report'!$C$109:$BD$166,4,FALSE)</f>
        <v>896</v>
      </c>
      <c r="I30" s="13">
        <f ca="1">VLOOKUP($B30,'[1]Analisys QBR By Machine Report'!$C$109:$BD$166,5,FALSE)</f>
        <v>81</v>
      </c>
      <c r="J30" s="13">
        <f ca="1">VLOOKUP($B30,'[1]Analisys QBR By Machine Report'!$C$109:$BD$166,6,FALSE)</f>
        <v>815</v>
      </c>
      <c r="K30" s="13">
        <f ca="1">VLOOKUP($B30,'[1]Analisys QBR By Machine Report'!$C$109:$BD$166,7,FALSE)</f>
        <v>0</v>
      </c>
      <c r="L30" s="13">
        <f ca="1">VLOOKUP($B30,'[1]Analisys QBR By Machine Report'!$C$109:$BD$166,8,FALSE)</f>
        <v>8434</v>
      </c>
      <c r="M30" s="13">
        <f ca="1">VLOOKUP($B30,'[1]Analisys QBR By Machine Report'!$C$109:$BD$166,9,FALSE)</f>
        <v>2525</v>
      </c>
      <c r="N30" s="13">
        <f ca="1">VLOOKUP($B30,[1]Dasboard_QBR_Report!$B$109:$BL$166,18,FALSE)</f>
        <v>5909</v>
      </c>
      <c r="O30" s="13">
        <f ca="1">VLOOKUP($B30,'[1]Analisys QBR By Machine Report'!$C$109:$BD$166,10,FALSE)</f>
        <v>916</v>
      </c>
      <c r="P30" s="13">
        <f ca="1">VLOOKUP($B30,'[1]Analisys QBR By Machine Report'!$C$109:$BD$166,11,FALSE)</f>
        <v>782</v>
      </c>
      <c r="Q30" s="13">
        <f ca="1">VLOOKUP($B30,'[1]Analisys QBR By Machine Report'!$C$109:$BD$166,12,FALSE)</f>
        <v>73</v>
      </c>
      <c r="R30" s="13">
        <f ca="1">VLOOKUP($B30,'[1]Analisys QBR By Machine Report'!$C$109:$BD$166,13,FALSE)</f>
        <v>53</v>
      </c>
      <c r="S30" s="13">
        <f ca="1">VLOOKUP($B30,'[1]Analisys QBR By Machine Report'!$C$109:$BD$166,14,FALSE)</f>
        <v>8</v>
      </c>
      <c r="T30" s="13">
        <f ca="1">VLOOKUP($B30,'[1]Analisys QBR By Machine Report'!$C$109:$BD$166,15,FALSE)</f>
        <v>444</v>
      </c>
      <c r="U30" s="13">
        <f ca="1">VLOOKUP($B30,'[1]Analisys QBR By Machine Report'!$C$109:$BD$166,16,FALSE)</f>
        <v>365</v>
      </c>
      <c r="V30" s="13">
        <f ca="1">VLOOKUP($B30,'[1]Analisys QBR By Machine Report'!$C$109:$BD$166,17,FALSE)</f>
        <v>39</v>
      </c>
      <c r="W30" s="13">
        <f ca="1">VLOOKUP($B30,'[1]Analisys QBR By Machine Report'!$C$109:$BD$166,18,FALSE)</f>
        <v>0</v>
      </c>
      <c r="X30" s="13">
        <f ca="1">VLOOKUP($B30,'[1]Analisys QBR By Machine Report'!$C$109:$BD$166,19,FALSE)</f>
        <v>23</v>
      </c>
      <c r="Y30" s="13">
        <f ca="1">VLOOKUP($B30,'[1]Analisys QBR By Machine Report'!$C$109:$BD$166,20,FALSE)</f>
        <v>17</v>
      </c>
      <c r="Z30" s="13">
        <f ca="1">VLOOKUP($B30,'[1]Analisys QBR By Machine Report'!$C$109:$BD$166,21,FALSE)</f>
        <v>1966</v>
      </c>
      <c r="AA30" s="13">
        <f ca="1">VLOOKUP($B30,'[1]Analisys QBR By Machine Report'!$C$109:$BD$166,22,FALSE)</f>
        <v>720</v>
      </c>
      <c r="AB30" s="13">
        <f ca="1">VLOOKUP($B30,'[1]Analisys QBR By Machine Report'!$C$109:$BD$166,23,FALSE)</f>
        <v>1101</v>
      </c>
      <c r="AC30" s="13">
        <f ca="1">VLOOKUP($B30,'[1]Analisys QBR By Machine Report'!$C$109:$BD$166,24,FALSE)</f>
        <v>145</v>
      </c>
      <c r="AD30" s="13">
        <f ca="1">VLOOKUP($B30,'[1]Analisys QBR By Machine Report'!$C$109:$BD$166,25,FALSE)</f>
        <v>0</v>
      </c>
      <c r="AE30" s="13">
        <f ca="1">VLOOKUP($B30,'[1]Analisys QBR By Machine Report'!$C$109:$BD$166,26,FALSE)</f>
        <v>0</v>
      </c>
      <c r="AF30" s="13">
        <f ca="1">VLOOKUP($B30,'[1]Analisys QBR By Machine Report'!$C$109:$BD$166,27,FALSE)</f>
        <v>0</v>
      </c>
      <c r="AG30" s="13">
        <f ca="1">VLOOKUP($B30,'[1]Analisys QBR By Machine Report'!$C$109:$BD$166,28,FALSE)</f>
        <v>0</v>
      </c>
      <c r="AH30" s="13">
        <f ca="1">VLOOKUP($B30,'[1]Analisys QBR By Machine Report'!$C$109:$BD$166,29,FALSE)</f>
        <v>0</v>
      </c>
      <c r="AI30" s="13">
        <f ca="1">VLOOKUP($B30,'[1]Analisys QBR By Machine Report'!$C$109:$BD$166,30,FALSE)</f>
        <v>2583</v>
      </c>
      <c r="AJ30" s="13">
        <f ca="1">VLOOKUP($B30,'[1]Analisys QBR By Machine Report'!$C$109:$BD$166,31,FALSE)</f>
        <v>5</v>
      </c>
      <c r="AK30" s="13">
        <f ca="1">VLOOKUP($B30,'[1]Analisys QBR By Machine Report'!$C$109:$BD$166,32,FALSE)</f>
        <v>0</v>
      </c>
      <c r="AL30" s="13">
        <f ca="1">VLOOKUP($B30,'[1]Analisys QBR By Machine Report'!$C$109:$BD$166,33,FALSE)</f>
        <v>533</v>
      </c>
      <c r="AM30" s="13">
        <f ca="1">VLOOKUP($B30,'[1]Analisys QBR By Machine Report'!$C$109:$BD$166,34,FALSE)</f>
        <v>0</v>
      </c>
      <c r="AN30" s="13">
        <f ca="1">VLOOKUP($B30,'[1]Analisys QBR By Machine Report'!$C$109:$BD$166,35,FALSE)</f>
        <v>588</v>
      </c>
      <c r="AO30" s="13">
        <f ca="1">VLOOKUP($B30,'[1]Analisys QBR By Machine Report'!$C$109:$BD$166,36,FALSE)</f>
        <v>0</v>
      </c>
      <c r="AP30" s="13">
        <f ca="1">VLOOKUP($B30,'[1]Analisys QBR By Machine Report'!$C$109:$BD$166,37,FALSE)</f>
        <v>0</v>
      </c>
      <c r="AQ30" s="13">
        <f ca="1">VLOOKUP($B30,'[1]Analisys QBR By Machine Report'!$C$109:$BD$166,38,FALSE)</f>
        <v>0</v>
      </c>
      <c r="AR30" s="13">
        <f ca="1">VLOOKUP($B30,'[1]Analisys QBR By Machine Report'!$C$109:$BD$166,39,FALSE)</f>
        <v>0</v>
      </c>
      <c r="AS30" s="13">
        <f ca="1">VLOOKUP($B30,'[1]Analisys QBR By Machine Report'!$C$109:$BD$166,40,FALSE)</f>
        <v>125</v>
      </c>
      <c r="AT30" s="13">
        <f ca="1">VLOOKUP($B30,'[1]Analisys QBR By Machine Report'!$C$109:$BD$166,41,FALSE)</f>
        <v>0</v>
      </c>
      <c r="AU30" s="13">
        <f ca="1">VLOOKUP($B30,'[1]Analisys QBR By Machine Report'!$C$109:$BD$166,42,FALSE)</f>
        <v>0</v>
      </c>
      <c r="AV30" s="13">
        <f ca="1">VLOOKUP($B30,'[1]Analisys QBR By Machine Report'!$C$109:$BD$166,43,FALSE)</f>
        <v>1240</v>
      </c>
      <c r="AW30" s="13">
        <f ca="1">VLOOKUP($B30,'[1]Analisys QBR By Machine Report'!$C$109:$BD$166,44,FALSE)</f>
        <v>0</v>
      </c>
      <c r="AX30" s="13">
        <f ca="1">VLOOKUP($B30,'[1]Analisys QBR By Machine Report'!$C$109:$BD$166,45,FALSE)</f>
        <v>0</v>
      </c>
      <c r="AY30" s="13">
        <f ca="1">VLOOKUP($B30,'[1]Analisys QBR By Machine Report'!$C$109:$BD$166,46,FALSE)</f>
        <v>0</v>
      </c>
      <c r="AZ30" s="13">
        <f ca="1">VLOOKUP($B30,'[1]Analisys QBR By Machine Report'!$C$109:$BD$166,47,FALSE)</f>
        <v>92</v>
      </c>
      <c r="BA30" s="13">
        <f ca="1">VLOOKUP($B30,'[1]Analisys QBR By Machine Report'!$C$109:$BD$166,48,FALSE)</f>
        <v>0</v>
      </c>
      <c r="BB30" s="13">
        <f ca="1">VLOOKUP($B30,'[1]Analisys QBR By Machine Report'!$C$109:$BD$166,49,FALSE)</f>
        <v>0</v>
      </c>
      <c r="BC30" s="13">
        <f ca="1">VLOOKUP($B30,'[1]Analisys QBR By Machine Report'!$C$109:$BD$166,50,FALSE)</f>
        <v>0</v>
      </c>
      <c r="BD30" s="13">
        <f ca="1">VLOOKUP($B30,'[1]Analisys QBR By Machine Report'!$C$109:$BD$166,51,FALSE)</f>
        <v>427869</v>
      </c>
      <c r="BE30" s="13">
        <f ca="1">VLOOKUP($B30,'[1]Analisys QBR By Machine Report'!$C$109:$BD$166,52,FALSE)</f>
        <v>0</v>
      </c>
      <c r="BF30" s="13">
        <f ca="1">VLOOKUP($B30,'[1]Analisys QBR By Machine Report'!$C$109:$BD$166,53,FALSE)</f>
        <v>427869</v>
      </c>
    </row>
    <row r="31" spans="1:58" x14ac:dyDescent="0.25">
      <c r="A31" s="12" t="s">
        <v>87</v>
      </c>
      <c r="B31" s="13">
        <f ca="1">VLOOKUP($B31,'[1]Analisys QBR By Machine Report'!$C$109:$BD$166,2,FALSE)</f>
        <v>25920</v>
      </c>
      <c r="C31" s="14">
        <f ca="1">VLOOKUP($B31,[1]Dasboard_QBR_Report!$B$109:$BL$166,3,FALSE)</f>
        <v>16740</v>
      </c>
      <c r="D31" s="13">
        <f ca="1">VLOOKUP($B31,'[1]Analisys QBR By Machine Report'!$C$109:$BD$166,3,FALSE)</f>
        <v>16320</v>
      </c>
      <c r="E31" s="14">
        <f ca="1">VLOOKUP($B31,[1]Dasboard_QBR_Report!$B$109:$BL$166,5,FALSE)</f>
        <v>7140</v>
      </c>
      <c r="F31" s="13">
        <f t="shared" ca="1" si="0"/>
        <v>9600</v>
      </c>
      <c r="G31" s="13">
        <f t="shared" ca="1" si="1"/>
        <v>145</v>
      </c>
      <c r="H31" s="13">
        <f ca="1">VLOOKUP($B31,'[1]Analisys QBR By Machine Report'!$C$109:$BD$166,4,FALSE)</f>
        <v>145</v>
      </c>
      <c r="I31" s="13">
        <f ca="1">VLOOKUP($B31,'[1]Analisys QBR By Machine Report'!$C$109:$BD$166,5,FALSE)</f>
        <v>0</v>
      </c>
      <c r="J31" s="13">
        <f ca="1">VLOOKUP($B31,'[1]Analisys QBR By Machine Report'!$C$109:$BD$166,6,FALSE)</f>
        <v>145</v>
      </c>
      <c r="K31" s="13">
        <f ca="1">VLOOKUP($B31,'[1]Analisys QBR By Machine Report'!$C$109:$BD$166,7,FALSE)</f>
        <v>0</v>
      </c>
      <c r="L31" s="13">
        <f ca="1">VLOOKUP($B31,'[1]Analisys QBR By Machine Report'!$C$109:$BD$166,8,FALSE)</f>
        <v>9455</v>
      </c>
      <c r="M31" s="13">
        <f ca="1">VLOOKUP($B31,'[1]Analisys QBR By Machine Report'!$C$109:$BD$166,9,FALSE)</f>
        <v>4344</v>
      </c>
      <c r="N31" s="13">
        <f ca="1">VLOOKUP($B31,[1]Dasboard_QBR_Report!$B$109:$BL$166,18,FALSE)</f>
        <v>5111</v>
      </c>
      <c r="O31" s="13">
        <f ca="1">VLOOKUP($B31,'[1]Analisys QBR By Machine Report'!$C$109:$BD$166,10,FALSE)</f>
        <v>590</v>
      </c>
      <c r="P31" s="13">
        <f ca="1">VLOOKUP($B31,'[1]Analisys QBR By Machine Report'!$C$109:$BD$166,11,FALSE)</f>
        <v>550</v>
      </c>
      <c r="Q31" s="13">
        <f ca="1">VLOOKUP($B31,'[1]Analisys QBR By Machine Report'!$C$109:$BD$166,12,FALSE)</f>
        <v>0</v>
      </c>
      <c r="R31" s="13">
        <f ca="1">VLOOKUP($B31,'[1]Analisys QBR By Machine Report'!$C$109:$BD$166,13,FALSE)</f>
        <v>40</v>
      </c>
      <c r="S31" s="13">
        <f ca="1">VLOOKUP($B31,'[1]Analisys QBR By Machine Report'!$C$109:$BD$166,14,FALSE)</f>
        <v>0</v>
      </c>
      <c r="T31" s="13">
        <f ca="1">VLOOKUP($B31,'[1]Analisys QBR By Machine Report'!$C$109:$BD$166,15,FALSE)</f>
        <v>243</v>
      </c>
      <c r="U31" s="13">
        <f ca="1">VLOOKUP($B31,'[1]Analisys QBR By Machine Report'!$C$109:$BD$166,16,FALSE)</f>
        <v>160</v>
      </c>
      <c r="V31" s="13">
        <f ca="1">VLOOKUP($B31,'[1]Analisys QBR By Machine Report'!$C$109:$BD$166,17,FALSE)</f>
        <v>0</v>
      </c>
      <c r="W31" s="13">
        <f ca="1">VLOOKUP($B31,'[1]Analisys QBR By Machine Report'!$C$109:$BD$166,18,FALSE)</f>
        <v>0</v>
      </c>
      <c r="X31" s="13">
        <f ca="1">VLOOKUP($B31,'[1]Analisys QBR By Machine Report'!$C$109:$BD$166,19,FALSE)</f>
        <v>83</v>
      </c>
      <c r="Y31" s="13">
        <f ca="1">VLOOKUP($B31,'[1]Analisys QBR By Machine Report'!$C$109:$BD$166,20,FALSE)</f>
        <v>0</v>
      </c>
      <c r="Z31" s="13">
        <f ca="1">VLOOKUP($B31,'[1]Analisys QBR By Machine Report'!$C$109:$BD$166,21,FALSE)</f>
        <v>1259</v>
      </c>
      <c r="AA31" s="13">
        <f ca="1">VLOOKUP($B31,'[1]Analisys QBR By Machine Report'!$C$109:$BD$166,22,FALSE)</f>
        <v>253</v>
      </c>
      <c r="AB31" s="13">
        <f ca="1">VLOOKUP($B31,'[1]Analisys QBR By Machine Report'!$C$109:$BD$166,23,FALSE)</f>
        <v>1006</v>
      </c>
      <c r="AC31" s="13">
        <f ca="1">VLOOKUP($B31,'[1]Analisys QBR By Machine Report'!$C$109:$BD$166,24,FALSE)</f>
        <v>0</v>
      </c>
      <c r="AD31" s="13">
        <f ca="1">VLOOKUP($B31,'[1]Analisys QBR By Machine Report'!$C$109:$BD$166,25,FALSE)</f>
        <v>0</v>
      </c>
      <c r="AE31" s="13">
        <f ca="1">VLOOKUP($B31,'[1]Analisys QBR By Machine Report'!$C$109:$BD$166,26,FALSE)</f>
        <v>0</v>
      </c>
      <c r="AF31" s="13">
        <f ca="1">VLOOKUP($B31,'[1]Analisys QBR By Machine Report'!$C$109:$BD$166,27,FALSE)</f>
        <v>0</v>
      </c>
      <c r="AG31" s="13">
        <f ca="1">VLOOKUP($B31,'[1]Analisys QBR By Machine Report'!$C$109:$BD$166,28,FALSE)</f>
        <v>0</v>
      </c>
      <c r="AH31" s="13">
        <f ca="1">VLOOKUP($B31,'[1]Analisys QBR By Machine Report'!$C$109:$BD$166,29,FALSE)</f>
        <v>0</v>
      </c>
      <c r="AI31" s="13">
        <f ca="1">VLOOKUP($B31,'[1]Analisys QBR By Machine Report'!$C$109:$BD$166,30,FALSE)</f>
        <v>3019</v>
      </c>
      <c r="AJ31" s="13">
        <f ca="1">VLOOKUP($B31,'[1]Analisys QBR By Machine Report'!$C$109:$BD$166,31,FALSE)</f>
        <v>0</v>
      </c>
      <c r="AK31" s="13">
        <f ca="1">VLOOKUP($B31,'[1]Analisys QBR By Machine Report'!$C$109:$BD$166,32,FALSE)</f>
        <v>0</v>
      </c>
      <c r="AL31" s="13">
        <f ca="1">VLOOKUP($B31,'[1]Analisys QBR By Machine Report'!$C$109:$BD$166,33,FALSE)</f>
        <v>595</v>
      </c>
      <c r="AM31" s="13">
        <f ca="1">VLOOKUP($B31,'[1]Analisys QBR By Machine Report'!$C$109:$BD$166,34,FALSE)</f>
        <v>0</v>
      </c>
      <c r="AN31" s="13">
        <f ca="1">VLOOKUP($B31,'[1]Analisys QBR By Machine Report'!$C$109:$BD$166,35,FALSE)</f>
        <v>650</v>
      </c>
      <c r="AO31" s="13">
        <f ca="1">VLOOKUP($B31,'[1]Analisys QBR By Machine Report'!$C$109:$BD$166,36,FALSE)</f>
        <v>0</v>
      </c>
      <c r="AP31" s="13">
        <f ca="1">VLOOKUP($B31,'[1]Analisys QBR By Machine Report'!$C$109:$BD$166,37,FALSE)</f>
        <v>0</v>
      </c>
      <c r="AQ31" s="13">
        <f ca="1">VLOOKUP($B31,'[1]Analisys QBR By Machine Report'!$C$109:$BD$166,38,FALSE)</f>
        <v>0</v>
      </c>
      <c r="AR31" s="13">
        <f ca="1">VLOOKUP($B31,'[1]Analisys QBR By Machine Report'!$C$109:$BD$166,39,FALSE)</f>
        <v>0</v>
      </c>
      <c r="AS31" s="13">
        <f ca="1">VLOOKUP($B31,'[1]Analisys QBR By Machine Report'!$C$109:$BD$166,40,FALSE)</f>
        <v>75</v>
      </c>
      <c r="AT31" s="13">
        <f ca="1">VLOOKUP($B31,'[1]Analisys QBR By Machine Report'!$C$109:$BD$166,41,FALSE)</f>
        <v>0</v>
      </c>
      <c r="AU31" s="13">
        <f ca="1">VLOOKUP($B31,'[1]Analisys QBR By Machine Report'!$C$109:$BD$166,42,FALSE)</f>
        <v>0</v>
      </c>
      <c r="AV31" s="13">
        <f ca="1">VLOOKUP($B31,'[1]Analisys QBR By Machine Report'!$C$109:$BD$166,43,FALSE)</f>
        <v>1422</v>
      </c>
      <c r="AW31" s="13">
        <f ca="1">VLOOKUP($B31,'[1]Analisys QBR By Machine Report'!$C$109:$BD$166,44,FALSE)</f>
        <v>0</v>
      </c>
      <c r="AX31" s="13">
        <f ca="1">VLOOKUP($B31,'[1]Analisys QBR By Machine Report'!$C$109:$BD$166,45,FALSE)</f>
        <v>0</v>
      </c>
      <c r="AY31" s="13">
        <f ca="1">VLOOKUP($B31,'[1]Analisys QBR By Machine Report'!$C$109:$BD$166,46,FALSE)</f>
        <v>0</v>
      </c>
      <c r="AZ31" s="13">
        <f ca="1">VLOOKUP($B31,'[1]Analisys QBR By Machine Report'!$C$109:$BD$166,47,FALSE)</f>
        <v>196</v>
      </c>
      <c r="BA31" s="13">
        <f ca="1">VLOOKUP($B31,'[1]Analisys QBR By Machine Report'!$C$109:$BD$166,48,FALSE)</f>
        <v>81</v>
      </c>
      <c r="BB31" s="13">
        <f ca="1">VLOOKUP($B31,'[1]Analisys QBR By Machine Report'!$C$109:$BD$166,49,FALSE)</f>
        <v>0</v>
      </c>
      <c r="BC31" s="13">
        <f ca="1">VLOOKUP($B31,'[1]Analisys QBR By Machine Report'!$C$109:$BD$166,50,FALSE)</f>
        <v>0</v>
      </c>
      <c r="BD31" s="13">
        <f ca="1">VLOOKUP($B31,'[1]Analisys QBR By Machine Report'!$C$109:$BD$166,51,FALSE)</f>
        <v>417478</v>
      </c>
      <c r="BE31" s="13">
        <f ca="1">VLOOKUP($B31,'[1]Analisys QBR By Machine Report'!$C$109:$BD$166,52,FALSE)</f>
        <v>166</v>
      </c>
      <c r="BF31" s="13">
        <f ca="1">VLOOKUP($B31,'[1]Analisys QBR By Machine Report'!$C$109:$BD$166,53,FALSE)</f>
        <v>417312</v>
      </c>
    </row>
    <row r="32" spans="1:58" x14ac:dyDescent="0.25">
      <c r="A32" s="9" t="s">
        <v>88</v>
      </c>
      <c r="B32" s="10">
        <f ca="1">VLOOKUP($B32,'[1]Analisys QBR By Machine Report'!$C$109:$BD$166,2,FALSE)</f>
        <v>80640</v>
      </c>
      <c r="C32" s="11">
        <f ca="1">VLOOKUP($B32,[1]Dasboard_QBR_Report!$B$109:$BL$166,3,FALSE)</f>
        <v>52080</v>
      </c>
      <c r="D32" s="10">
        <f ca="1">VLOOKUP($B32,'[1]Analisys QBR By Machine Report'!$C$109:$BD$166,3,FALSE)</f>
        <v>60650</v>
      </c>
      <c r="E32" s="11">
        <f ca="1">VLOOKUP($B32,[1]Dasboard_QBR_Report!$B$109:$BL$166,5,FALSE)</f>
        <v>32090</v>
      </c>
      <c r="F32" s="10">
        <f t="shared" ca="1" si="0"/>
        <v>19990</v>
      </c>
      <c r="G32" s="10">
        <f t="shared" ca="1" si="1"/>
        <v>1437</v>
      </c>
      <c r="H32" s="10">
        <f ca="1">VLOOKUP($B32,'[1]Analisys QBR By Machine Report'!$C$109:$BD$166,4,FALSE)</f>
        <v>1437</v>
      </c>
      <c r="I32" s="10">
        <f ca="1">VLOOKUP($B32,'[1]Analisys QBR By Machine Report'!$C$109:$BD$166,5,FALSE)</f>
        <v>687</v>
      </c>
      <c r="J32" s="10">
        <f ca="1">VLOOKUP($B32,'[1]Analisys QBR By Machine Report'!$C$109:$BD$166,6,FALSE)</f>
        <v>750</v>
      </c>
      <c r="K32" s="10">
        <f ca="1">VLOOKUP($B32,'[1]Analisys QBR By Machine Report'!$C$109:$BD$166,7,FALSE)</f>
        <v>0</v>
      </c>
      <c r="L32" s="10">
        <f ca="1">VLOOKUP($B32,'[1]Analisys QBR By Machine Report'!$C$109:$BD$166,8,FALSE)</f>
        <v>18553</v>
      </c>
      <c r="M32" s="10">
        <f ca="1">VLOOKUP($B32,'[1]Analisys QBR By Machine Report'!$C$109:$BD$166,9,FALSE)</f>
        <v>11551</v>
      </c>
      <c r="N32" s="10">
        <f ca="1">VLOOKUP($B32,[1]Dasboard_QBR_Report!$B$109:$BL$166,18,FALSE)</f>
        <v>7002</v>
      </c>
      <c r="O32" s="10">
        <f ca="1">VLOOKUP($B32,'[1]Analisys QBR By Machine Report'!$C$109:$BD$166,10,FALSE)</f>
        <v>304</v>
      </c>
      <c r="P32" s="10">
        <f ca="1">VLOOKUP($B32,'[1]Analisys QBR By Machine Report'!$C$109:$BD$166,11,FALSE)</f>
        <v>284</v>
      </c>
      <c r="Q32" s="10">
        <f ca="1">VLOOKUP($B32,'[1]Analisys QBR By Machine Report'!$C$109:$BD$166,12,FALSE)</f>
        <v>0</v>
      </c>
      <c r="R32" s="10">
        <f ca="1">VLOOKUP($B32,'[1]Analisys QBR By Machine Report'!$C$109:$BD$166,13,FALSE)</f>
        <v>20</v>
      </c>
      <c r="S32" s="10">
        <f ca="1">VLOOKUP($B32,'[1]Analisys QBR By Machine Report'!$C$109:$BD$166,14,FALSE)</f>
        <v>0</v>
      </c>
      <c r="T32" s="10">
        <f ca="1">VLOOKUP($B32,'[1]Analisys QBR By Machine Report'!$C$109:$BD$166,15,FALSE)</f>
        <v>436</v>
      </c>
      <c r="U32" s="10">
        <f ca="1">VLOOKUP($B32,'[1]Analisys QBR By Machine Report'!$C$109:$BD$166,16,FALSE)</f>
        <v>436</v>
      </c>
      <c r="V32" s="10">
        <f ca="1">VLOOKUP($B32,'[1]Analisys QBR By Machine Report'!$C$109:$BD$166,17,FALSE)</f>
        <v>0</v>
      </c>
      <c r="W32" s="10">
        <f ca="1">VLOOKUP($B32,'[1]Analisys QBR By Machine Report'!$C$109:$BD$166,18,FALSE)</f>
        <v>0</v>
      </c>
      <c r="X32" s="10">
        <f ca="1">VLOOKUP($B32,'[1]Analisys QBR By Machine Report'!$C$109:$BD$166,19,FALSE)</f>
        <v>0</v>
      </c>
      <c r="Y32" s="10">
        <f ca="1">VLOOKUP($B32,'[1]Analisys QBR By Machine Report'!$C$109:$BD$166,20,FALSE)</f>
        <v>0</v>
      </c>
      <c r="Z32" s="10">
        <f ca="1">VLOOKUP($B32,'[1]Analisys QBR By Machine Report'!$C$109:$BD$166,21,FALSE)</f>
        <v>4126</v>
      </c>
      <c r="AA32" s="10">
        <f ca="1">VLOOKUP($B32,'[1]Analisys QBR By Machine Report'!$C$109:$BD$166,22,FALSE)</f>
        <v>3544</v>
      </c>
      <c r="AB32" s="10">
        <f ca="1">VLOOKUP($B32,'[1]Analisys QBR By Machine Report'!$C$109:$BD$166,23,FALSE)</f>
        <v>222</v>
      </c>
      <c r="AC32" s="10">
        <f ca="1">VLOOKUP($B32,'[1]Analisys QBR By Machine Report'!$C$109:$BD$166,24,FALSE)</f>
        <v>45</v>
      </c>
      <c r="AD32" s="10">
        <f ca="1">VLOOKUP($B32,'[1]Analisys QBR By Machine Report'!$C$109:$BD$166,25,FALSE)</f>
        <v>0</v>
      </c>
      <c r="AE32" s="10">
        <f ca="1">VLOOKUP($B32,'[1]Analisys QBR By Machine Report'!$C$109:$BD$166,26,FALSE)</f>
        <v>315</v>
      </c>
      <c r="AF32" s="10">
        <f ca="1">VLOOKUP($B32,'[1]Analisys QBR By Machine Report'!$C$109:$BD$166,27,FALSE)</f>
        <v>0</v>
      </c>
      <c r="AG32" s="10">
        <f ca="1">VLOOKUP($B32,'[1]Analisys QBR By Machine Report'!$C$109:$BD$166,28,FALSE)</f>
        <v>0</v>
      </c>
      <c r="AH32" s="10">
        <f ca="1">VLOOKUP($B32,'[1]Analisys QBR By Machine Report'!$C$109:$BD$166,29,FALSE)</f>
        <v>0</v>
      </c>
      <c r="AI32" s="10">
        <f ca="1">VLOOKUP($B32,'[1]Analisys QBR By Machine Report'!$C$109:$BD$166,30,FALSE)</f>
        <v>2136</v>
      </c>
      <c r="AJ32" s="10">
        <f ca="1">VLOOKUP($B32,'[1]Analisys QBR By Machine Report'!$C$109:$BD$166,31,FALSE)</f>
        <v>0</v>
      </c>
      <c r="AK32" s="10">
        <f ca="1">VLOOKUP($B32,'[1]Analisys QBR By Machine Report'!$C$109:$BD$166,32,FALSE)</f>
        <v>0</v>
      </c>
      <c r="AL32" s="10">
        <f ca="1">VLOOKUP($B32,'[1]Analisys QBR By Machine Report'!$C$109:$BD$166,33,FALSE)</f>
        <v>217</v>
      </c>
      <c r="AM32" s="10">
        <f ca="1">VLOOKUP($B32,'[1]Analisys QBR By Machine Report'!$C$109:$BD$166,34,FALSE)</f>
        <v>60</v>
      </c>
      <c r="AN32" s="10">
        <f ca="1">VLOOKUP($B32,'[1]Analisys QBR By Machine Report'!$C$109:$BD$166,35,FALSE)</f>
        <v>245</v>
      </c>
      <c r="AO32" s="10">
        <f ca="1">VLOOKUP($B32,'[1]Analisys QBR By Machine Report'!$C$109:$BD$166,36,FALSE)</f>
        <v>815</v>
      </c>
      <c r="AP32" s="10">
        <f ca="1">VLOOKUP($B32,'[1]Analisys QBR By Machine Report'!$C$109:$BD$166,37,FALSE)</f>
        <v>0</v>
      </c>
      <c r="AQ32" s="10">
        <f ca="1">VLOOKUP($B32,'[1]Analisys QBR By Machine Report'!$C$109:$BD$166,38,FALSE)</f>
        <v>0</v>
      </c>
      <c r="AR32" s="10">
        <f ca="1">VLOOKUP($B32,'[1]Analisys QBR By Machine Report'!$C$109:$BD$166,39,FALSE)</f>
        <v>594</v>
      </c>
      <c r="AS32" s="10">
        <f ca="1">VLOOKUP($B32,'[1]Analisys QBR By Machine Report'!$C$109:$BD$166,40,FALSE)</f>
        <v>205</v>
      </c>
      <c r="AT32" s="10">
        <f ca="1">VLOOKUP($B32,'[1]Analisys QBR By Machine Report'!$C$109:$BD$166,41,FALSE)</f>
        <v>0</v>
      </c>
      <c r="AU32" s="10">
        <f ca="1">VLOOKUP($B32,'[1]Analisys QBR By Machine Report'!$C$109:$BD$166,42,FALSE)</f>
        <v>0</v>
      </c>
      <c r="AV32" s="10">
        <f ca="1">VLOOKUP($B32,'[1]Analisys QBR By Machine Report'!$C$109:$BD$166,43,FALSE)</f>
        <v>0</v>
      </c>
      <c r="AW32" s="10">
        <f ca="1">VLOOKUP($B32,'[1]Analisys QBR By Machine Report'!$C$109:$BD$166,44,FALSE)</f>
        <v>0</v>
      </c>
      <c r="AX32" s="10">
        <f ca="1">VLOOKUP($B32,'[1]Analisys QBR By Machine Report'!$C$109:$BD$166,45,FALSE)</f>
        <v>0</v>
      </c>
      <c r="AY32" s="10">
        <f ca="1">VLOOKUP($B32,'[1]Analisys QBR By Machine Report'!$C$109:$BD$166,46,FALSE)</f>
        <v>0</v>
      </c>
      <c r="AZ32" s="10">
        <f ca="1">VLOOKUP($B32,'[1]Analisys QBR By Machine Report'!$C$109:$BD$166,47,FALSE)</f>
        <v>0</v>
      </c>
      <c r="BA32" s="10">
        <f ca="1">VLOOKUP($B32,'[1]Analisys QBR By Machine Report'!$C$109:$BD$166,48,FALSE)</f>
        <v>0</v>
      </c>
      <c r="BB32" s="10">
        <f ca="1">VLOOKUP($B32,'[1]Analisys QBR By Machine Report'!$C$109:$BD$166,49,FALSE)</f>
        <v>0</v>
      </c>
      <c r="BC32" s="10">
        <f ca="1">VLOOKUP($B32,'[1]Analisys QBR By Machine Report'!$C$109:$BD$166,50,FALSE)</f>
        <v>0</v>
      </c>
      <c r="BD32" s="10">
        <f ca="1">VLOOKUP($B32,'[1]Analisys QBR By Machine Report'!$C$109:$BD$166,51,FALSE)</f>
        <v>947</v>
      </c>
      <c r="BE32" s="10">
        <f ca="1">VLOOKUP($B32,'[1]Analisys QBR By Machine Report'!$C$109:$BD$166,52,FALSE)</f>
        <v>0</v>
      </c>
      <c r="BF32" s="10">
        <f ca="1">VLOOKUP($B32,'[1]Analisys QBR By Machine Report'!$C$109:$BD$166,53,FALSE)</f>
        <v>947</v>
      </c>
    </row>
    <row r="33" spans="1:58" x14ac:dyDescent="0.25">
      <c r="A33" s="12" t="s">
        <v>89</v>
      </c>
      <c r="B33" s="13">
        <f ca="1">VLOOKUP($B33,'[1]Analisys QBR By Machine Report'!$C$109:$BD$166,2,FALSE)</f>
        <v>25920</v>
      </c>
      <c r="C33" s="14">
        <f ca="1">VLOOKUP($B33,[1]Dasboard_QBR_Report!$B$109:$BL$166,3,FALSE)</f>
        <v>16740</v>
      </c>
      <c r="D33" s="13">
        <f ca="1">VLOOKUP($B33,'[1]Analisys QBR By Machine Report'!$C$109:$BD$166,3,FALSE)</f>
        <v>25920</v>
      </c>
      <c r="E33" s="14">
        <f ca="1">VLOOKUP($B33,[1]Dasboard_QBR_Report!$B$109:$BL$166,5,FALSE)</f>
        <v>16740</v>
      </c>
      <c r="F33" s="13">
        <f t="shared" ca="1" si="0"/>
        <v>0</v>
      </c>
      <c r="G33" s="13">
        <f t="shared" ca="1" si="1"/>
        <v>0</v>
      </c>
      <c r="H33" s="13">
        <f ca="1">VLOOKUP($B33,'[1]Analisys QBR By Machine Report'!$C$109:$BD$166,4,FALSE)</f>
        <v>0</v>
      </c>
      <c r="I33" s="13">
        <f ca="1">VLOOKUP($B33,'[1]Analisys QBR By Machine Report'!$C$109:$BD$166,5,FALSE)</f>
        <v>0</v>
      </c>
      <c r="J33" s="13">
        <f ca="1">VLOOKUP($B33,'[1]Analisys QBR By Machine Report'!$C$109:$BD$166,6,FALSE)</f>
        <v>0</v>
      </c>
      <c r="K33" s="13">
        <f ca="1">VLOOKUP($B33,'[1]Analisys QBR By Machine Report'!$C$109:$BD$166,7,FALSE)</f>
        <v>0</v>
      </c>
      <c r="L33" s="13">
        <f ca="1">VLOOKUP($B33,'[1]Analisys QBR By Machine Report'!$C$109:$BD$166,8,FALSE)</f>
        <v>0</v>
      </c>
      <c r="M33" s="13">
        <f ca="1">VLOOKUP($B33,'[1]Analisys QBR By Machine Report'!$C$109:$BD$166,9,FALSE)</f>
        <v>0</v>
      </c>
      <c r="N33" s="13">
        <f ca="1">VLOOKUP($B33,[1]Dasboard_QBR_Report!$B$109:$BL$166,18,FALSE)</f>
        <v>0</v>
      </c>
      <c r="O33" s="13">
        <f ca="1">VLOOKUP($B33,'[1]Analisys QBR By Machine Report'!$C$109:$BD$166,10,FALSE)</f>
        <v>0</v>
      </c>
      <c r="P33" s="13">
        <f ca="1">VLOOKUP($B33,'[1]Analisys QBR By Machine Report'!$C$109:$BD$166,11,FALSE)</f>
        <v>0</v>
      </c>
      <c r="Q33" s="13">
        <f ca="1">VLOOKUP($B33,'[1]Analisys QBR By Machine Report'!$C$109:$BD$166,12,FALSE)</f>
        <v>0</v>
      </c>
      <c r="R33" s="13">
        <f ca="1">VLOOKUP($B33,'[1]Analisys QBR By Machine Report'!$C$109:$BD$166,13,FALSE)</f>
        <v>0</v>
      </c>
      <c r="S33" s="13">
        <f ca="1">VLOOKUP($B33,'[1]Analisys QBR By Machine Report'!$C$109:$BD$166,14,FALSE)</f>
        <v>0</v>
      </c>
      <c r="T33" s="13">
        <f ca="1">VLOOKUP($B33,'[1]Analisys QBR By Machine Report'!$C$109:$BD$166,15,FALSE)</f>
        <v>0</v>
      </c>
      <c r="U33" s="13">
        <f ca="1">VLOOKUP($B33,'[1]Analisys QBR By Machine Report'!$C$109:$BD$166,16,FALSE)</f>
        <v>0</v>
      </c>
      <c r="V33" s="13">
        <f ca="1">VLOOKUP($B33,'[1]Analisys QBR By Machine Report'!$C$109:$BD$166,17,FALSE)</f>
        <v>0</v>
      </c>
      <c r="W33" s="13">
        <f ca="1">VLOOKUP($B33,'[1]Analisys QBR By Machine Report'!$C$109:$BD$166,18,FALSE)</f>
        <v>0</v>
      </c>
      <c r="X33" s="13">
        <f ca="1">VLOOKUP($B33,'[1]Analisys QBR By Machine Report'!$C$109:$BD$166,19,FALSE)</f>
        <v>0</v>
      </c>
      <c r="Y33" s="13">
        <f ca="1">VLOOKUP($B33,'[1]Analisys QBR By Machine Report'!$C$109:$BD$166,20,FALSE)</f>
        <v>0</v>
      </c>
      <c r="Z33" s="13">
        <f ca="1">VLOOKUP($B33,'[1]Analisys QBR By Machine Report'!$C$109:$BD$166,21,FALSE)</f>
        <v>0</v>
      </c>
      <c r="AA33" s="13">
        <f ca="1">VLOOKUP($B33,'[1]Analisys QBR By Machine Report'!$C$109:$BD$166,22,FALSE)</f>
        <v>0</v>
      </c>
      <c r="AB33" s="13">
        <f ca="1">VLOOKUP($B33,'[1]Analisys QBR By Machine Report'!$C$109:$BD$166,23,FALSE)</f>
        <v>0</v>
      </c>
      <c r="AC33" s="13">
        <f ca="1">VLOOKUP($B33,'[1]Analisys QBR By Machine Report'!$C$109:$BD$166,24,FALSE)</f>
        <v>0</v>
      </c>
      <c r="AD33" s="13">
        <f ca="1">VLOOKUP($B33,'[1]Analisys QBR By Machine Report'!$C$109:$BD$166,25,FALSE)</f>
        <v>0</v>
      </c>
      <c r="AE33" s="13">
        <f ca="1">VLOOKUP($B33,'[1]Analisys QBR By Machine Report'!$C$109:$BD$166,26,FALSE)</f>
        <v>0</v>
      </c>
      <c r="AF33" s="13">
        <f ca="1">VLOOKUP($B33,'[1]Analisys QBR By Machine Report'!$C$109:$BD$166,27,FALSE)</f>
        <v>0</v>
      </c>
      <c r="AG33" s="13">
        <f ca="1">VLOOKUP($B33,'[1]Analisys QBR By Machine Report'!$C$109:$BD$166,28,FALSE)</f>
        <v>0</v>
      </c>
      <c r="AH33" s="13">
        <f ca="1">VLOOKUP($B33,'[1]Analisys QBR By Machine Report'!$C$109:$BD$166,29,FALSE)</f>
        <v>0</v>
      </c>
      <c r="AI33" s="13">
        <f ca="1">VLOOKUP($B33,'[1]Analisys QBR By Machine Report'!$C$109:$BD$166,30,FALSE)</f>
        <v>0</v>
      </c>
      <c r="AJ33" s="13">
        <f ca="1">VLOOKUP($B33,'[1]Analisys QBR By Machine Report'!$C$109:$BD$166,31,FALSE)</f>
        <v>0</v>
      </c>
      <c r="AK33" s="13">
        <f ca="1">VLOOKUP($B33,'[1]Analisys QBR By Machine Report'!$C$109:$BD$166,32,FALSE)</f>
        <v>0</v>
      </c>
      <c r="AL33" s="13">
        <f ca="1">VLOOKUP($B33,'[1]Analisys QBR By Machine Report'!$C$109:$BD$166,33,FALSE)</f>
        <v>0</v>
      </c>
      <c r="AM33" s="13">
        <f ca="1">VLOOKUP($B33,'[1]Analisys QBR By Machine Report'!$C$109:$BD$166,34,FALSE)</f>
        <v>0</v>
      </c>
      <c r="AN33" s="13">
        <f ca="1">VLOOKUP($B33,'[1]Analisys QBR By Machine Report'!$C$109:$BD$166,35,FALSE)</f>
        <v>0</v>
      </c>
      <c r="AO33" s="13">
        <f ca="1">VLOOKUP($B33,'[1]Analisys QBR By Machine Report'!$C$109:$BD$166,36,FALSE)</f>
        <v>0</v>
      </c>
      <c r="AP33" s="13">
        <f ca="1">VLOOKUP($B33,'[1]Analisys QBR By Machine Report'!$C$109:$BD$166,37,FALSE)</f>
        <v>0</v>
      </c>
      <c r="AQ33" s="13">
        <f ca="1">VLOOKUP($B33,'[1]Analisys QBR By Machine Report'!$C$109:$BD$166,38,FALSE)</f>
        <v>0</v>
      </c>
      <c r="AR33" s="13">
        <f ca="1">VLOOKUP($B33,'[1]Analisys QBR By Machine Report'!$C$109:$BD$166,39,FALSE)</f>
        <v>0</v>
      </c>
      <c r="AS33" s="13">
        <f ca="1">VLOOKUP($B33,'[1]Analisys QBR By Machine Report'!$C$109:$BD$166,40,FALSE)</f>
        <v>0</v>
      </c>
      <c r="AT33" s="13">
        <f ca="1">VLOOKUP($B33,'[1]Analisys QBR By Machine Report'!$C$109:$BD$166,41,FALSE)</f>
        <v>0</v>
      </c>
      <c r="AU33" s="13">
        <f ca="1">VLOOKUP($B33,'[1]Analisys QBR By Machine Report'!$C$109:$BD$166,42,FALSE)</f>
        <v>0</v>
      </c>
      <c r="AV33" s="13">
        <f ca="1">VLOOKUP($B33,'[1]Analisys QBR By Machine Report'!$C$109:$BD$166,43,FALSE)</f>
        <v>0</v>
      </c>
      <c r="AW33" s="13">
        <f ca="1">VLOOKUP($B33,'[1]Analisys QBR By Machine Report'!$C$109:$BD$166,44,FALSE)</f>
        <v>0</v>
      </c>
      <c r="AX33" s="13">
        <f ca="1">VLOOKUP($B33,'[1]Analisys QBR By Machine Report'!$C$109:$BD$166,45,FALSE)</f>
        <v>0</v>
      </c>
      <c r="AY33" s="13">
        <f ca="1">VLOOKUP($B33,'[1]Analisys QBR By Machine Report'!$C$109:$BD$166,46,FALSE)</f>
        <v>0</v>
      </c>
      <c r="AZ33" s="13">
        <f ca="1">VLOOKUP($B33,'[1]Analisys QBR By Machine Report'!$C$109:$BD$166,47,FALSE)</f>
        <v>0</v>
      </c>
      <c r="BA33" s="13">
        <f ca="1">VLOOKUP($B33,'[1]Analisys QBR By Machine Report'!$C$109:$BD$166,48,FALSE)</f>
        <v>0</v>
      </c>
      <c r="BB33" s="13">
        <f ca="1">VLOOKUP($B33,'[1]Analisys QBR By Machine Report'!$C$109:$BD$166,49,FALSE)</f>
        <v>0</v>
      </c>
      <c r="BC33" s="13">
        <f ca="1">VLOOKUP($B33,'[1]Analisys QBR By Machine Report'!$C$109:$BD$166,50,FALSE)</f>
        <v>0</v>
      </c>
      <c r="BD33" s="13">
        <f ca="1">VLOOKUP($B33,'[1]Analisys QBR By Machine Report'!$C$109:$BD$166,51,FALSE)</f>
        <v>0</v>
      </c>
      <c r="BE33" s="13">
        <f ca="1">VLOOKUP($B33,'[1]Analisys QBR By Machine Report'!$C$109:$BD$166,52,FALSE)</f>
        <v>0</v>
      </c>
      <c r="BF33" s="13">
        <f ca="1">VLOOKUP($B33,'[1]Analisys QBR By Machine Report'!$C$109:$BD$166,53,FALSE)</f>
        <v>0</v>
      </c>
    </row>
    <row r="34" spans="1:58" x14ac:dyDescent="0.25">
      <c r="A34" s="12" t="s">
        <v>90</v>
      </c>
      <c r="B34" s="13">
        <f ca="1">VLOOKUP($B34,'[1]Analisys QBR By Machine Report'!$C$109:$BD$166,2,FALSE)</f>
        <v>27360</v>
      </c>
      <c r="C34" s="14">
        <f ca="1">VLOOKUP($B34,[1]Dasboard_QBR_Report!$B$109:$BL$166,3,FALSE)</f>
        <v>17670</v>
      </c>
      <c r="D34" s="13">
        <f ca="1">VLOOKUP($B34,'[1]Analisys QBR By Machine Report'!$C$109:$BD$166,3,FALSE)</f>
        <v>12385</v>
      </c>
      <c r="E34" s="14">
        <f ca="1">VLOOKUP($B34,[1]Dasboard_QBR_Report!$B$109:$BL$166,5,FALSE)</f>
        <v>2695</v>
      </c>
      <c r="F34" s="13">
        <f t="shared" ca="1" si="0"/>
        <v>14975</v>
      </c>
      <c r="G34" s="13">
        <f t="shared" ca="1" si="1"/>
        <v>662</v>
      </c>
      <c r="H34" s="13">
        <f ca="1">VLOOKUP($B34,'[1]Analisys QBR By Machine Report'!$C$109:$BD$166,4,FALSE)</f>
        <v>662</v>
      </c>
      <c r="I34" s="13">
        <f ca="1">VLOOKUP($B34,'[1]Analisys QBR By Machine Report'!$C$109:$BD$166,5,FALSE)</f>
        <v>662</v>
      </c>
      <c r="J34" s="13">
        <f ca="1">VLOOKUP($B34,'[1]Analisys QBR By Machine Report'!$C$109:$BD$166,6,FALSE)</f>
        <v>0</v>
      </c>
      <c r="K34" s="13">
        <f ca="1">VLOOKUP($B34,'[1]Analisys QBR By Machine Report'!$C$109:$BD$166,7,FALSE)</f>
        <v>0</v>
      </c>
      <c r="L34" s="13">
        <f ca="1">VLOOKUP($B34,'[1]Analisys QBR By Machine Report'!$C$109:$BD$166,8,FALSE)</f>
        <v>14313</v>
      </c>
      <c r="M34" s="13">
        <f ca="1">VLOOKUP($B34,'[1]Analisys QBR By Machine Report'!$C$109:$BD$166,9,FALSE)</f>
        <v>10688</v>
      </c>
      <c r="N34" s="13">
        <f ca="1">VLOOKUP($B34,[1]Dasboard_QBR_Report!$B$109:$BL$166,18,FALSE)</f>
        <v>3625</v>
      </c>
      <c r="O34" s="13">
        <f ca="1">VLOOKUP($B34,'[1]Analisys QBR By Machine Report'!$C$109:$BD$166,10,FALSE)</f>
        <v>72</v>
      </c>
      <c r="P34" s="13">
        <f ca="1">VLOOKUP($B34,'[1]Analisys QBR By Machine Report'!$C$109:$BD$166,11,FALSE)</f>
        <v>72</v>
      </c>
      <c r="Q34" s="13">
        <f ca="1">VLOOKUP($B34,'[1]Analisys QBR By Machine Report'!$C$109:$BD$166,12,FALSE)</f>
        <v>0</v>
      </c>
      <c r="R34" s="13">
        <f ca="1">VLOOKUP($B34,'[1]Analisys QBR By Machine Report'!$C$109:$BD$166,13,FALSE)</f>
        <v>0</v>
      </c>
      <c r="S34" s="13">
        <f ca="1">VLOOKUP($B34,'[1]Analisys QBR By Machine Report'!$C$109:$BD$166,14,FALSE)</f>
        <v>0</v>
      </c>
      <c r="T34" s="13">
        <f ca="1">VLOOKUP($B34,'[1]Analisys QBR By Machine Report'!$C$109:$BD$166,15,FALSE)</f>
        <v>436</v>
      </c>
      <c r="U34" s="13">
        <f ca="1">VLOOKUP($B34,'[1]Analisys QBR By Machine Report'!$C$109:$BD$166,16,FALSE)</f>
        <v>436</v>
      </c>
      <c r="V34" s="13">
        <f ca="1">VLOOKUP($B34,'[1]Analisys QBR By Machine Report'!$C$109:$BD$166,17,FALSE)</f>
        <v>0</v>
      </c>
      <c r="W34" s="13">
        <f ca="1">VLOOKUP($B34,'[1]Analisys QBR By Machine Report'!$C$109:$BD$166,18,FALSE)</f>
        <v>0</v>
      </c>
      <c r="X34" s="13">
        <f ca="1">VLOOKUP($B34,'[1]Analisys QBR By Machine Report'!$C$109:$BD$166,19,FALSE)</f>
        <v>0</v>
      </c>
      <c r="Y34" s="13">
        <f ca="1">VLOOKUP($B34,'[1]Analisys QBR By Machine Report'!$C$109:$BD$166,20,FALSE)</f>
        <v>0</v>
      </c>
      <c r="Z34" s="13">
        <f ca="1">VLOOKUP($B34,'[1]Analisys QBR By Machine Report'!$C$109:$BD$166,21,FALSE)</f>
        <v>2900</v>
      </c>
      <c r="AA34" s="13">
        <f ca="1">VLOOKUP($B34,'[1]Analisys QBR By Machine Report'!$C$109:$BD$166,22,FALSE)</f>
        <v>2763</v>
      </c>
      <c r="AB34" s="13">
        <f ca="1">VLOOKUP($B34,'[1]Analisys QBR By Machine Report'!$C$109:$BD$166,23,FALSE)</f>
        <v>102</v>
      </c>
      <c r="AC34" s="13">
        <f ca="1">VLOOKUP($B34,'[1]Analisys QBR By Machine Report'!$C$109:$BD$166,24,FALSE)</f>
        <v>0</v>
      </c>
      <c r="AD34" s="13">
        <f ca="1">VLOOKUP($B34,'[1]Analisys QBR By Machine Report'!$C$109:$BD$166,25,FALSE)</f>
        <v>0</v>
      </c>
      <c r="AE34" s="13">
        <f ca="1">VLOOKUP($B34,'[1]Analisys QBR By Machine Report'!$C$109:$BD$166,26,FALSE)</f>
        <v>35</v>
      </c>
      <c r="AF34" s="13">
        <f ca="1">VLOOKUP($B34,'[1]Analisys QBR By Machine Report'!$C$109:$BD$166,27,FALSE)</f>
        <v>0</v>
      </c>
      <c r="AG34" s="13">
        <f ca="1">VLOOKUP($B34,'[1]Analisys QBR By Machine Report'!$C$109:$BD$166,28,FALSE)</f>
        <v>0</v>
      </c>
      <c r="AH34" s="13">
        <f ca="1">VLOOKUP($B34,'[1]Analisys QBR By Machine Report'!$C$109:$BD$166,29,FALSE)</f>
        <v>0</v>
      </c>
      <c r="AI34" s="13">
        <f ca="1">VLOOKUP($B34,'[1]Analisys QBR By Machine Report'!$C$109:$BD$166,30,FALSE)</f>
        <v>217</v>
      </c>
      <c r="AJ34" s="13">
        <f ca="1">VLOOKUP($B34,'[1]Analisys QBR By Machine Report'!$C$109:$BD$166,31,FALSE)</f>
        <v>0</v>
      </c>
      <c r="AK34" s="13">
        <f ca="1">VLOOKUP($B34,'[1]Analisys QBR By Machine Report'!$C$109:$BD$166,32,FALSE)</f>
        <v>0</v>
      </c>
      <c r="AL34" s="13">
        <f ca="1">VLOOKUP($B34,'[1]Analisys QBR By Machine Report'!$C$109:$BD$166,33,FALSE)</f>
        <v>23</v>
      </c>
      <c r="AM34" s="13">
        <f ca="1">VLOOKUP($B34,'[1]Analisys QBR By Machine Report'!$C$109:$BD$166,34,FALSE)</f>
        <v>0</v>
      </c>
      <c r="AN34" s="13">
        <f ca="1">VLOOKUP($B34,'[1]Analisys QBR By Machine Report'!$C$109:$BD$166,35,FALSE)</f>
        <v>40</v>
      </c>
      <c r="AO34" s="13">
        <f ca="1">VLOOKUP($B34,'[1]Analisys QBR By Machine Report'!$C$109:$BD$166,36,FALSE)</f>
        <v>0</v>
      </c>
      <c r="AP34" s="13">
        <f ca="1">VLOOKUP($B34,'[1]Analisys QBR By Machine Report'!$C$109:$BD$166,37,FALSE)</f>
        <v>0</v>
      </c>
      <c r="AQ34" s="13">
        <f ca="1">VLOOKUP($B34,'[1]Analisys QBR By Machine Report'!$C$109:$BD$166,38,FALSE)</f>
        <v>0</v>
      </c>
      <c r="AR34" s="13">
        <f ca="1">VLOOKUP($B34,'[1]Analisys QBR By Machine Report'!$C$109:$BD$166,39,FALSE)</f>
        <v>154</v>
      </c>
      <c r="AS34" s="13">
        <f ca="1">VLOOKUP($B34,'[1]Analisys QBR By Machine Report'!$C$109:$BD$166,40,FALSE)</f>
        <v>0</v>
      </c>
      <c r="AT34" s="13">
        <f ca="1">VLOOKUP($B34,'[1]Analisys QBR By Machine Report'!$C$109:$BD$166,41,FALSE)</f>
        <v>0</v>
      </c>
      <c r="AU34" s="13">
        <f ca="1">VLOOKUP($B34,'[1]Analisys QBR By Machine Report'!$C$109:$BD$166,42,FALSE)</f>
        <v>0</v>
      </c>
      <c r="AV34" s="13">
        <f ca="1">VLOOKUP($B34,'[1]Analisys QBR By Machine Report'!$C$109:$BD$166,43,FALSE)</f>
        <v>0</v>
      </c>
      <c r="AW34" s="13">
        <f ca="1">VLOOKUP($B34,'[1]Analisys QBR By Machine Report'!$C$109:$BD$166,44,FALSE)</f>
        <v>0</v>
      </c>
      <c r="AX34" s="13">
        <f ca="1">VLOOKUP($B34,'[1]Analisys QBR By Machine Report'!$C$109:$BD$166,45,FALSE)</f>
        <v>0</v>
      </c>
      <c r="AY34" s="13">
        <f ca="1">VLOOKUP($B34,'[1]Analisys QBR By Machine Report'!$C$109:$BD$166,46,FALSE)</f>
        <v>0</v>
      </c>
      <c r="AZ34" s="13">
        <f ca="1">VLOOKUP($B34,'[1]Analisys QBR By Machine Report'!$C$109:$BD$166,47,FALSE)</f>
        <v>0</v>
      </c>
      <c r="BA34" s="13">
        <f ca="1">VLOOKUP($B34,'[1]Analisys QBR By Machine Report'!$C$109:$BD$166,48,FALSE)</f>
        <v>0</v>
      </c>
      <c r="BB34" s="13">
        <f ca="1">VLOOKUP($B34,'[1]Analisys QBR By Machine Report'!$C$109:$BD$166,49,FALSE)</f>
        <v>0</v>
      </c>
      <c r="BC34" s="13">
        <f ca="1">VLOOKUP($B34,'[1]Analisys QBR By Machine Report'!$C$109:$BD$166,50,FALSE)</f>
        <v>0</v>
      </c>
      <c r="BD34" s="13">
        <f ca="1">VLOOKUP($B34,'[1]Analisys QBR By Machine Report'!$C$109:$BD$166,51,FALSE)</f>
        <v>931</v>
      </c>
      <c r="BE34" s="13">
        <f ca="1">VLOOKUP($B34,'[1]Analisys QBR By Machine Report'!$C$109:$BD$166,52,FALSE)</f>
        <v>0</v>
      </c>
      <c r="BF34" s="13">
        <f ca="1">VLOOKUP($B34,'[1]Analisys QBR By Machine Report'!$C$109:$BD$166,53,FALSE)</f>
        <v>931</v>
      </c>
    </row>
    <row r="35" spans="1:58" x14ac:dyDescent="0.25">
      <c r="A35" s="12" t="s">
        <v>91</v>
      </c>
      <c r="B35" s="13">
        <f ca="1">VLOOKUP($B35,'[1]Analisys QBR By Machine Report'!$C$109:$BD$166,2,FALSE)</f>
        <v>27360</v>
      </c>
      <c r="C35" s="14">
        <f ca="1">VLOOKUP($B35,[1]Dasboard_QBR_Report!$B$109:$BL$166,3,FALSE)</f>
        <v>17670</v>
      </c>
      <c r="D35" s="13">
        <f ca="1">VLOOKUP($B35,'[1]Analisys QBR By Machine Report'!$C$109:$BD$166,3,FALSE)</f>
        <v>22345</v>
      </c>
      <c r="E35" s="14">
        <f ca="1">VLOOKUP($B35,[1]Dasboard_QBR_Report!$B$109:$BL$166,5,FALSE)</f>
        <v>12655</v>
      </c>
      <c r="F35" s="13">
        <f t="shared" ca="1" si="0"/>
        <v>5015</v>
      </c>
      <c r="G35" s="13">
        <f t="shared" ca="1" si="1"/>
        <v>775</v>
      </c>
      <c r="H35" s="13">
        <f ca="1">VLOOKUP($B35,'[1]Analisys QBR By Machine Report'!$C$109:$BD$166,4,FALSE)</f>
        <v>775</v>
      </c>
      <c r="I35" s="13">
        <f ca="1">VLOOKUP($B35,'[1]Analisys QBR By Machine Report'!$C$109:$BD$166,5,FALSE)</f>
        <v>25</v>
      </c>
      <c r="J35" s="13">
        <f ca="1">VLOOKUP($B35,'[1]Analisys QBR By Machine Report'!$C$109:$BD$166,6,FALSE)</f>
        <v>750</v>
      </c>
      <c r="K35" s="13">
        <f ca="1">VLOOKUP($B35,'[1]Analisys QBR By Machine Report'!$C$109:$BD$166,7,FALSE)</f>
        <v>0</v>
      </c>
      <c r="L35" s="13">
        <f ca="1">VLOOKUP($B35,'[1]Analisys QBR By Machine Report'!$C$109:$BD$166,8,FALSE)</f>
        <v>4240</v>
      </c>
      <c r="M35" s="13">
        <f ca="1">VLOOKUP($B35,'[1]Analisys QBR By Machine Report'!$C$109:$BD$166,9,FALSE)</f>
        <v>863</v>
      </c>
      <c r="N35" s="13">
        <f ca="1">VLOOKUP($B35,[1]Dasboard_QBR_Report!$B$109:$BL$166,18,FALSE)</f>
        <v>3377</v>
      </c>
      <c r="O35" s="13">
        <f ca="1">VLOOKUP($B35,'[1]Analisys QBR By Machine Report'!$C$109:$BD$166,10,FALSE)</f>
        <v>232</v>
      </c>
      <c r="P35" s="13">
        <f ca="1">VLOOKUP($B35,'[1]Analisys QBR By Machine Report'!$C$109:$BD$166,11,FALSE)</f>
        <v>212</v>
      </c>
      <c r="Q35" s="13">
        <f ca="1">VLOOKUP($B35,'[1]Analisys QBR By Machine Report'!$C$109:$BD$166,12,FALSE)</f>
        <v>0</v>
      </c>
      <c r="R35" s="13">
        <f ca="1">VLOOKUP($B35,'[1]Analisys QBR By Machine Report'!$C$109:$BD$166,13,FALSE)</f>
        <v>20</v>
      </c>
      <c r="S35" s="13">
        <f ca="1">VLOOKUP($B35,'[1]Analisys QBR By Machine Report'!$C$109:$BD$166,14,FALSE)</f>
        <v>0</v>
      </c>
      <c r="T35" s="13">
        <f ca="1">VLOOKUP($B35,'[1]Analisys QBR By Machine Report'!$C$109:$BD$166,15,FALSE)</f>
        <v>0</v>
      </c>
      <c r="U35" s="13">
        <f ca="1">VLOOKUP($B35,'[1]Analisys QBR By Machine Report'!$C$109:$BD$166,16,FALSE)</f>
        <v>0</v>
      </c>
      <c r="V35" s="13">
        <f ca="1">VLOOKUP($B35,'[1]Analisys QBR By Machine Report'!$C$109:$BD$166,17,FALSE)</f>
        <v>0</v>
      </c>
      <c r="W35" s="13">
        <f ca="1">VLOOKUP($B35,'[1]Analisys QBR By Machine Report'!$C$109:$BD$166,18,FALSE)</f>
        <v>0</v>
      </c>
      <c r="X35" s="13">
        <f ca="1">VLOOKUP($B35,'[1]Analisys QBR By Machine Report'!$C$109:$BD$166,19,FALSE)</f>
        <v>0</v>
      </c>
      <c r="Y35" s="13">
        <f ca="1">VLOOKUP($B35,'[1]Analisys QBR By Machine Report'!$C$109:$BD$166,20,FALSE)</f>
        <v>0</v>
      </c>
      <c r="Z35" s="13">
        <f ca="1">VLOOKUP($B35,'[1]Analisys QBR By Machine Report'!$C$109:$BD$166,21,FALSE)</f>
        <v>1226</v>
      </c>
      <c r="AA35" s="13">
        <f ca="1">VLOOKUP($B35,'[1]Analisys QBR By Machine Report'!$C$109:$BD$166,22,FALSE)</f>
        <v>781</v>
      </c>
      <c r="AB35" s="13">
        <f ca="1">VLOOKUP($B35,'[1]Analisys QBR By Machine Report'!$C$109:$BD$166,23,FALSE)</f>
        <v>120</v>
      </c>
      <c r="AC35" s="13">
        <f ca="1">VLOOKUP($B35,'[1]Analisys QBR By Machine Report'!$C$109:$BD$166,24,FALSE)</f>
        <v>45</v>
      </c>
      <c r="AD35" s="13">
        <f ca="1">VLOOKUP($B35,'[1]Analisys QBR By Machine Report'!$C$109:$BD$166,25,FALSE)</f>
        <v>0</v>
      </c>
      <c r="AE35" s="13">
        <f ca="1">VLOOKUP($B35,'[1]Analisys QBR By Machine Report'!$C$109:$BD$166,26,FALSE)</f>
        <v>280</v>
      </c>
      <c r="AF35" s="13">
        <f ca="1">VLOOKUP($B35,'[1]Analisys QBR By Machine Report'!$C$109:$BD$166,27,FALSE)</f>
        <v>0</v>
      </c>
      <c r="AG35" s="13">
        <f ca="1">VLOOKUP($B35,'[1]Analisys QBR By Machine Report'!$C$109:$BD$166,28,FALSE)</f>
        <v>0</v>
      </c>
      <c r="AH35" s="13">
        <f ca="1">VLOOKUP($B35,'[1]Analisys QBR By Machine Report'!$C$109:$BD$166,29,FALSE)</f>
        <v>0</v>
      </c>
      <c r="AI35" s="13">
        <f ca="1">VLOOKUP($B35,'[1]Analisys QBR By Machine Report'!$C$109:$BD$166,30,FALSE)</f>
        <v>1919</v>
      </c>
      <c r="AJ35" s="13">
        <f ca="1">VLOOKUP($B35,'[1]Analisys QBR By Machine Report'!$C$109:$BD$166,31,FALSE)</f>
        <v>0</v>
      </c>
      <c r="AK35" s="13">
        <f ca="1">VLOOKUP($B35,'[1]Analisys QBR By Machine Report'!$C$109:$BD$166,32,FALSE)</f>
        <v>0</v>
      </c>
      <c r="AL35" s="13">
        <f ca="1">VLOOKUP($B35,'[1]Analisys QBR By Machine Report'!$C$109:$BD$166,33,FALSE)</f>
        <v>194</v>
      </c>
      <c r="AM35" s="13">
        <f ca="1">VLOOKUP($B35,'[1]Analisys QBR By Machine Report'!$C$109:$BD$166,34,FALSE)</f>
        <v>60</v>
      </c>
      <c r="AN35" s="13">
        <f ca="1">VLOOKUP($B35,'[1]Analisys QBR By Machine Report'!$C$109:$BD$166,35,FALSE)</f>
        <v>205</v>
      </c>
      <c r="AO35" s="13">
        <f ca="1">VLOOKUP($B35,'[1]Analisys QBR By Machine Report'!$C$109:$BD$166,36,FALSE)</f>
        <v>815</v>
      </c>
      <c r="AP35" s="13">
        <f ca="1">VLOOKUP($B35,'[1]Analisys QBR By Machine Report'!$C$109:$BD$166,37,FALSE)</f>
        <v>0</v>
      </c>
      <c r="AQ35" s="13">
        <f ca="1">VLOOKUP($B35,'[1]Analisys QBR By Machine Report'!$C$109:$BD$166,38,FALSE)</f>
        <v>0</v>
      </c>
      <c r="AR35" s="13">
        <f ca="1">VLOOKUP($B35,'[1]Analisys QBR By Machine Report'!$C$109:$BD$166,39,FALSE)</f>
        <v>440</v>
      </c>
      <c r="AS35" s="13">
        <f ca="1">VLOOKUP($B35,'[1]Analisys QBR By Machine Report'!$C$109:$BD$166,40,FALSE)</f>
        <v>205</v>
      </c>
      <c r="AT35" s="13">
        <f ca="1">VLOOKUP($B35,'[1]Analisys QBR By Machine Report'!$C$109:$BD$166,41,FALSE)</f>
        <v>0</v>
      </c>
      <c r="AU35" s="13">
        <f ca="1">VLOOKUP($B35,'[1]Analisys QBR By Machine Report'!$C$109:$BD$166,42,FALSE)</f>
        <v>0</v>
      </c>
      <c r="AV35" s="13">
        <f ca="1">VLOOKUP($B35,'[1]Analisys QBR By Machine Report'!$C$109:$BD$166,43,FALSE)</f>
        <v>0</v>
      </c>
      <c r="AW35" s="13">
        <f ca="1">VLOOKUP($B35,'[1]Analisys QBR By Machine Report'!$C$109:$BD$166,44,FALSE)</f>
        <v>0</v>
      </c>
      <c r="AX35" s="13">
        <f ca="1">VLOOKUP($B35,'[1]Analisys QBR By Machine Report'!$C$109:$BD$166,45,FALSE)</f>
        <v>0</v>
      </c>
      <c r="AY35" s="13">
        <f ca="1">VLOOKUP($B35,'[1]Analisys QBR By Machine Report'!$C$109:$BD$166,46,FALSE)</f>
        <v>0</v>
      </c>
      <c r="AZ35" s="13">
        <f ca="1">VLOOKUP($B35,'[1]Analisys QBR By Machine Report'!$C$109:$BD$166,47,FALSE)</f>
        <v>0</v>
      </c>
      <c r="BA35" s="13">
        <f ca="1">VLOOKUP($B35,'[1]Analisys QBR By Machine Report'!$C$109:$BD$166,48,FALSE)</f>
        <v>0</v>
      </c>
      <c r="BB35" s="13">
        <f ca="1">VLOOKUP($B35,'[1]Analisys QBR By Machine Report'!$C$109:$BD$166,49,FALSE)</f>
        <v>0</v>
      </c>
      <c r="BC35" s="13">
        <f ca="1">VLOOKUP($B35,'[1]Analisys QBR By Machine Report'!$C$109:$BD$166,50,FALSE)</f>
        <v>0</v>
      </c>
      <c r="BD35" s="13">
        <f ca="1">VLOOKUP($B35,'[1]Analisys QBR By Machine Report'!$C$109:$BD$166,51,FALSE)</f>
        <v>16</v>
      </c>
      <c r="BE35" s="13">
        <f ca="1">VLOOKUP($B35,'[1]Analisys QBR By Machine Report'!$C$109:$BD$166,52,FALSE)</f>
        <v>0</v>
      </c>
      <c r="BF35" s="13">
        <f ca="1">VLOOKUP($B35,'[1]Analisys QBR By Machine Report'!$C$109:$BD$166,53,FALSE)</f>
        <v>16</v>
      </c>
    </row>
    <row r="36" spans="1:58" x14ac:dyDescent="0.25">
      <c r="A36" s="9" t="s">
        <v>92</v>
      </c>
      <c r="B36" s="10">
        <f ca="1">VLOOKUP($B36,'[1]Analisys QBR By Machine Report'!$C$109:$BD$166,2,FALSE)</f>
        <v>155520</v>
      </c>
      <c r="C36" s="11">
        <f ca="1">VLOOKUP($B36,[1]Dasboard_QBR_Report!$B$109:$BL$166,3,FALSE)</f>
        <v>59940</v>
      </c>
      <c r="D36" s="10">
        <f ca="1">VLOOKUP($B36,'[1]Analisys QBR By Machine Report'!$C$109:$BD$166,3,FALSE)</f>
        <v>111480</v>
      </c>
      <c r="E36" s="11">
        <f ca="1">VLOOKUP($B36,[1]Dasboard_QBR_Report!$B$109:$BL$166,5,FALSE)</f>
        <v>15900</v>
      </c>
      <c r="F36" s="10">
        <f t="shared" ca="1" si="0"/>
        <v>44040</v>
      </c>
      <c r="G36" s="10">
        <f t="shared" ca="1" si="1"/>
        <v>6040</v>
      </c>
      <c r="H36" s="10">
        <f ca="1">VLOOKUP($B36,'[1]Analisys QBR By Machine Report'!$C$109:$BD$166,4,FALSE)</f>
        <v>6040</v>
      </c>
      <c r="I36" s="10">
        <f ca="1">VLOOKUP($B36,'[1]Analisys QBR By Machine Report'!$C$109:$BD$166,5,FALSE)</f>
        <v>1595</v>
      </c>
      <c r="J36" s="10">
        <f ca="1">VLOOKUP($B36,'[1]Analisys QBR By Machine Report'!$C$109:$BD$166,6,FALSE)</f>
        <v>4445</v>
      </c>
      <c r="K36" s="10">
        <f ca="1">VLOOKUP($B36,'[1]Analisys QBR By Machine Report'!$C$109:$BD$166,7,FALSE)</f>
        <v>0</v>
      </c>
      <c r="L36" s="10">
        <f ca="1">VLOOKUP($B36,'[1]Analisys QBR By Machine Report'!$C$109:$BD$166,8,FALSE)</f>
        <v>38000</v>
      </c>
      <c r="M36" s="10">
        <f ca="1">VLOOKUP($B36,'[1]Analisys QBR By Machine Report'!$C$109:$BD$166,9,FALSE)</f>
        <v>22457</v>
      </c>
      <c r="N36" s="10">
        <f ca="1">VLOOKUP($B36,[1]Dasboard_QBR_Report!$B$109:$BL$166,18,FALSE)</f>
        <v>15543</v>
      </c>
      <c r="O36" s="10">
        <f ca="1">VLOOKUP($B36,'[1]Analisys QBR By Machine Report'!$C$109:$BD$166,10,FALSE)</f>
        <v>2036</v>
      </c>
      <c r="P36" s="10">
        <f ca="1">VLOOKUP($B36,'[1]Analisys QBR By Machine Report'!$C$109:$BD$166,11,FALSE)</f>
        <v>1360</v>
      </c>
      <c r="Q36" s="10">
        <f ca="1">VLOOKUP($B36,'[1]Analisys QBR By Machine Report'!$C$109:$BD$166,12,FALSE)</f>
        <v>144</v>
      </c>
      <c r="R36" s="10">
        <f ca="1">VLOOKUP($B36,'[1]Analisys QBR By Machine Report'!$C$109:$BD$166,13,FALSE)</f>
        <v>218</v>
      </c>
      <c r="S36" s="10">
        <f ca="1">VLOOKUP($B36,'[1]Analisys QBR By Machine Report'!$C$109:$BD$166,14,FALSE)</f>
        <v>314</v>
      </c>
      <c r="T36" s="10">
        <f ca="1">VLOOKUP($B36,'[1]Analisys QBR By Machine Report'!$C$109:$BD$166,15,FALSE)</f>
        <v>220</v>
      </c>
      <c r="U36" s="10">
        <f ca="1">VLOOKUP($B36,'[1]Analisys QBR By Machine Report'!$C$109:$BD$166,16,FALSE)</f>
        <v>0</v>
      </c>
      <c r="V36" s="10">
        <f ca="1">VLOOKUP($B36,'[1]Analisys QBR By Machine Report'!$C$109:$BD$166,17,FALSE)</f>
        <v>220</v>
      </c>
      <c r="W36" s="10">
        <f ca="1">VLOOKUP($B36,'[1]Analisys QBR By Machine Report'!$C$109:$BD$166,18,FALSE)</f>
        <v>0</v>
      </c>
      <c r="X36" s="10">
        <f ca="1">VLOOKUP($B36,'[1]Analisys QBR By Machine Report'!$C$109:$BD$166,19,FALSE)</f>
        <v>0</v>
      </c>
      <c r="Y36" s="10">
        <f ca="1">VLOOKUP($B36,'[1]Analisys QBR By Machine Report'!$C$109:$BD$166,20,FALSE)</f>
        <v>0</v>
      </c>
      <c r="Z36" s="10">
        <f ca="1">VLOOKUP($B36,'[1]Analisys QBR By Machine Report'!$C$109:$BD$166,21,FALSE)</f>
        <v>2922</v>
      </c>
      <c r="AA36" s="10">
        <f ca="1">VLOOKUP($B36,'[1]Analisys QBR By Machine Report'!$C$109:$BD$166,22,FALSE)</f>
        <v>1388</v>
      </c>
      <c r="AB36" s="10">
        <f ca="1">VLOOKUP($B36,'[1]Analisys QBR By Machine Report'!$C$109:$BD$166,23,FALSE)</f>
        <v>1354</v>
      </c>
      <c r="AC36" s="10">
        <f ca="1">VLOOKUP($B36,'[1]Analisys QBR By Machine Report'!$C$109:$BD$166,24,FALSE)</f>
        <v>0</v>
      </c>
      <c r="AD36" s="10">
        <f ca="1">VLOOKUP($B36,'[1]Analisys QBR By Machine Report'!$C$109:$BD$166,25,FALSE)</f>
        <v>0</v>
      </c>
      <c r="AE36" s="10">
        <f ca="1">VLOOKUP($B36,'[1]Analisys QBR By Machine Report'!$C$109:$BD$166,26,FALSE)</f>
        <v>180</v>
      </c>
      <c r="AF36" s="10">
        <f ca="1">VLOOKUP($B36,'[1]Analisys QBR By Machine Report'!$C$109:$BD$166,27,FALSE)</f>
        <v>0</v>
      </c>
      <c r="AG36" s="10">
        <f ca="1">VLOOKUP($B36,'[1]Analisys QBR By Machine Report'!$C$109:$BD$166,28,FALSE)</f>
        <v>0</v>
      </c>
      <c r="AH36" s="10">
        <f ca="1">VLOOKUP($B36,'[1]Analisys QBR By Machine Report'!$C$109:$BD$166,29,FALSE)</f>
        <v>0</v>
      </c>
      <c r="AI36" s="10">
        <f ca="1">VLOOKUP($B36,'[1]Analisys QBR By Machine Report'!$C$109:$BD$166,30,FALSE)</f>
        <v>10365</v>
      </c>
      <c r="AJ36" s="10">
        <f ca="1">VLOOKUP($B36,'[1]Analisys QBR By Machine Report'!$C$109:$BD$166,31,FALSE)</f>
        <v>0</v>
      </c>
      <c r="AK36" s="10">
        <f ca="1">VLOOKUP($B36,'[1]Analisys QBR By Machine Report'!$C$109:$BD$166,32,FALSE)</f>
        <v>1575</v>
      </c>
      <c r="AL36" s="10">
        <f ca="1">VLOOKUP($B36,'[1]Analisys QBR By Machine Report'!$C$109:$BD$166,33,FALSE)</f>
        <v>2265</v>
      </c>
      <c r="AM36" s="10">
        <f ca="1">VLOOKUP($B36,'[1]Analisys QBR By Machine Report'!$C$109:$BD$166,34,FALSE)</f>
        <v>0</v>
      </c>
      <c r="AN36" s="10">
        <f ca="1">VLOOKUP($B36,'[1]Analisys QBR By Machine Report'!$C$109:$BD$166,35,FALSE)</f>
        <v>1140</v>
      </c>
      <c r="AO36" s="10">
        <f ca="1">VLOOKUP($B36,'[1]Analisys QBR By Machine Report'!$C$109:$BD$166,36,FALSE)</f>
        <v>1385</v>
      </c>
      <c r="AP36" s="10">
        <f ca="1">VLOOKUP($B36,'[1]Analisys QBR By Machine Report'!$C$109:$BD$166,37,FALSE)</f>
        <v>20</v>
      </c>
      <c r="AQ36" s="10">
        <f ca="1">VLOOKUP($B36,'[1]Analisys QBR By Machine Report'!$C$109:$BD$166,38,FALSE)</f>
        <v>0</v>
      </c>
      <c r="AR36" s="10">
        <f ca="1">VLOOKUP($B36,'[1]Analisys QBR By Machine Report'!$C$109:$BD$166,39,FALSE)</f>
        <v>1925</v>
      </c>
      <c r="AS36" s="10">
        <f ca="1">VLOOKUP($B36,'[1]Analisys QBR By Machine Report'!$C$109:$BD$166,40,FALSE)</f>
        <v>651</v>
      </c>
      <c r="AT36" s="10">
        <f ca="1">VLOOKUP($B36,'[1]Analisys QBR By Machine Report'!$C$109:$BD$166,41,FALSE)</f>
        <v>0</v>
      </c>
      <c r="AU36" s="10">
        <f ca="1">VLOOKUP($B36,'[1]Analisys QBR By Machine Report'!$C$109:$BD$166,42,FALSE)</f>
        <v>0</v>
      </c>
      <c r="AV36" s="10">
        <f ca="1">VLOOKUP($B36,'[1]Analisys QBR By Machine Report'!$C$109:$BD$166,43,FALSE)</f>
        <v>0</v>
      </c>
      <c r="AW36" s="10">
        <f ca="1">VLOOKUP($B36,'[1]Analisys QBR By Machine Report'!$C$109:$BD$166,44,FALSE)</f>
        <v>0</v>
      </c>
      <c r="AX36" s="10">
        <f ca="1">VLOOKUP($B36,'[1]Analisys QBR By Machine Report'!$C$109:$BD$166,45,FALSE)</f>
        <v>0</v>
      </c>
      <c r="AY36" s="10">
        <f ca="1">VLOOKUP($B36,'[1]Analisys QBR By Machine Report'!$C$109:$BD$166,46,FALSE)</f>
        <v>0</v>
      </c>
      <c r="AZ36" s="10">
        <f ca="1">VLOOKUP($B36,'[1]Analisys QBR By Machine Report'!$C$109:$BD$166,47,FALSE)</f>
        <v>1404</v>
      </c>
      <c r="BA36" s="10">
        <f ca="1">VLOOKUP($B36,'[1]Analisys QBR By Machine Report'!$C$109:$BD$166,48,FALSE)</f>
        <v>0</v>
      </c>
      <c r="BB36" s="10">
        <f ca="1">VLOOKUP($B36,'[1]Analisys QBR By Machine Report'!$C$109:$BD$166,49,FALSE)</f>
        <v>0</v>
      </c>
      <c r="BC36" s="10">
        <f ca="1">VLOOKUP($B36,'[1]Analisys QBR By Machine Report'!$C$109:$BD$166,50,FALSE)</f>
        <v>0</v>
      </c>
      <c r="BD36" s="10">
        <f ca="1">VLOOKUP($B36,'[1]Analisys QBR By Machine Report'!$C$109:$BD$166,51,FALSE)</f>
        <v>1082536</v>
      </c>
      <c r="BE36" s="10">
        <f ca="1">VLOOKUP($B36,'[1]Analisys QBR By Machine Report'!$C$109:$BD$166,52,FALSE)</f>
        <v>78</v>
      </c>
      <c r="BF36" s="10">
        <f ca="1">VLOOKUP($B36,'[1]Analisys QBR By Machine Report'!$C$109:$BD$166,53,FALSE)</f>
        <v>1082458</v>
      </c>
    </row>
    <row r="37" spans="1:58" x14ac:dyDescent="0.25">
      <c r="A37" s="12" t="s">
        <v>93</v>
      </c>
      <c r="B37" s="13">
        <f ca="1">VLOOKUP($B37,'[1]Analisys QBR By Machine Report'!$C$109:$BD$166,2,FALSE)</f>
        <v>25920</v>
      </c>
      <c r="C37" s="14">
        <f ca="1">VLOOKUP($B37,[1]Dasboard_QBR_Report!$B$109:$BL$166,3,FALSE)</f>
        <v>8640</v>
      </c>
      <c r="D37" s="13">
        <f ca="1">VLOOKUP($B37,'[1]Analisys QBR By Machine Report'!$C$109:$BD$166,3,FALSE)</f>
        <v>10950</v>
      </c>
      <c r="E37" s="14">
        <f ca="1">VLOOKUP($B37,[1]Dasboard_QBR_Report!$B$109:$BL$166,5,FALSE)</f>
        <v>-6330</v>
      </c>
      <c r="F37" s="13">
        <f t="shared" ca="1" si="0"/>
        <v>14970</v>
      </c>
      <c r="G37" s="13">
        <f t="shared" ca="1" si="1"/>
        <v>225</v>
      </c>
      <c r="H37" s="13">
        <f ca="1">VLOOKUP($B37,'[1]Analisys QBR By Machine Report'!$C$109:$BD$166,4,FALSE)</f>
        <v>225</v>
      </c>
      <c r="I37" s="13">
        <f ca="1">VLOOKUP($B37,'[1]Analisys QBR By Machine Report'!$C$109:$BD$166,5,FALSE)</f>
        <v>225</v>
      </c>
      <c r="J37" s="13">
        <f ca="1">VLOOKUP($B37,'[1]Analisys QBR By Machine Report'!$C$109:$BD$166,6,FALSE)</f>
        <v>0</v>
      </c>
      <c r="K37" s="13">
        <f ca="1">VLOOKUP($B37,'[1]Analisys QBR By Machine Report'!$C$109:$BD$166,7,FALSE)</f>
        <v>0</v>
      </c>
      <c r="L37" s="13">
        <f ca="1">VLOOKUP($B37,'[1]Analisys QBR By Machine Report'!$C$109:$BD$166,8,FALSE)</f>
        <v>14745</v>
      </c>
      <c r="M37" s="13">
        <f ca="1">VLOOKUP($B37,'[1]Analisys QBR By Machine Report'!$C$109:$BD$166,9,FALSE)</f>
        <v>10185</v>
      </c>
      <c r="N37" s="13">
        <f ca="1">VLOOKUP($B37,[1]Dasboard_QBR_Report!$B$109:$BL$166,18,FALSE)</f>
        <v>4560</v>
      </c>
      <c r="O37" s="13">
        <f ca="1">VLOOKUP($B37,'[1]Analisys QBR By Machine Report'!$C$109:$BD$166,10,FALSE)</f>
        <v>253</v>
      </c>
      <c r="P37" s="13">
        <f ca="1">VLOOKUP($B37,'[1]Analisys QBR By Machine Report'!$C$109:$BD$166,11,FALSE)</f>
        <v>253</v>
      </c>
      <c r="Q37" s="13">
        <f ca="1">VLOOKUP($B37,'[1]Analisys QBR By Machine Report'!$C$109:$BD$166,12,FALSE)</f>
        <v>0</v>
      </c>
      <c r="R37" s="13">
        <f ca="1">VLOOKUP($B37,'[1]Analisys QBR By Machine Report'!$C$109:$BD$166,13,FALSE)</f>
        <v>0</v>
      </c>
      <c r="S37" s="13">
        <f ca="1">VLOOKUP($B37,'[1]Analisys QBR By Machine Report'!$C$109:$BD$166,14,FALSE)</f>
        <v>0</v>
      </c>
      <c r="T37" s="13">
        <f ca="1">VLOOKUP($B37,'[1]Analisys QBR By Machine Report'!$C$109:$BD$166,15,FALSE)</f>
        <v>0</v>
      </c>
      <c r="U37" s="13">
        <f ca="1">VLOOKUP($B37,'[1]Analisys QBR By Machine Report'!$C$109:$BD$166,16,FALSE)</f>
        <v>0</v>
      </c>
      <c r="V37" s="13">
        <f ca="1">VLOOKUP($B37,'[1]Analisys QBR By Machine Report'!$C$109:$BD$166,17,FALSE)</f>
        <v>0</v>
      </c>
      <c r="W37" s="13">
        <f ca="1">VLOOKUP($B37,'[1]Analisys QBR By Machine Report'!$C$109:$BD$166,18,FALSE)</f>
        <v>0</v>
      </c>
      <c r="X37" s="13">
        <f ca="1">VLOOKUP($B37,'[1]Analisys QBR By Machine Report'!$C$109:$BD$166,19,FALSE)</f>
        <v>0</v>
      </c>
      <c r="Y37" s="13">
        <f ca="1">VLOOKUP($B37,'[1]Analisys QBR By Machine Report'!$C$109:$BD$166,20,FALSE)</f>
        <v>0</v>
      </c>
      <c r="Z37" s="13">
        <f ca="1">VLOOKUP($B37,'[1]Analisys QBR By Machine Report'!$C$109:$BD$166,21,FALSE)</f>
        <v>959</v>
      </c>
      <c r="AA37" s="13">
        <f ca="1">VLOOKUP($B37,'[1]Analisys QBR By Machine Report'!$C$109:$BD$166,22,FALSE)</f>
        <v>334</v>
      </c>
      <c r="AB37" s="13">
        <f ca="1">VLOOKUP($B37,'[1]Analisys QBR By Machine Report'!$C$109:$BD$166,23,FALSE)</f>
        <v>515</v>
      </c>
      <c r="AC37" s="13">
        <f ca="1">VLOOKUP($B37,'[1]Analisys QBR By Machine Report'!$C$109:$BD$166,24,FALSE)</f>
        <v>0</v>
      </c>
      <c r="AD37" s="13">
        <f ca="1">VLOOKUP($B37,'[1]Analisys QBR By Machine Report'!$C$109:$BD$166,25,FALSE)</f>
        <v>0</v>
      </c>
      <c r="AE37" s="13">
        <f ca="1">VLOOKUP($B37,'[1]Analisys QBR By Machine Report'!$C$109:$BD$166,26,FALSE)</f>
        <v>110</v>
      </c>
      <c r="AF37" s="13">
        <f ca="1">VLOOKUP($B37,'[1]Analisys QBR By Machine Report'!$C$109:$BD$166,27,FALSE)</f>
        <v>0</v>
      </c>
      <c r="AG37" s="13">
        <f ca="1">VLOOKUP($B37,'[1]Analisys QBR By Machine Report'!$C$109:$BD$166,28,FALSE)</f>
        <v>0</v>
      </c>
      <c r="AH37" s="13">
        <f ca="1">VLOOKUP($B37,'[1]Analisys QBR By Machine Report'!$C$109:$BD$166,29,FALSE)</f>
        <v>0</v>
      </c>
      <c r="AI37" s="13">
        <f ca="1">VLOOKUP($B37,'[1]Analisys QBR By Machine Report'!$C$109:$BD$166,30,FALSE)</f>
        <v>3348</v>
      </c>
      <c r="AJ37" s="13">
        <f ca="1">VLOOKUP($B37,'[1]Analisys QBR By Machine Report'!$C$109:$BD$166,31,FALSE)</f>
        <v>0</v>
      </c>
      <c r="AK37" s="13">
        <f ca="1">VLOOKUP($B37,'[1]Analisys QBR By Machine Report'!$C$109:$BD$166,32,FALSE)</f>
        <v>830</v>
      </c>
      <c r="AL37" s="13">
        <f ca="1">VLOOKUP($B37,'[1]Analisys QBR By Machine Report'!$C$109:$BD$166,33,FALSE)</f>
        <v>900</v>
      </c>
      <c r="AM37" s="13">
        <f ca="1">VLOOKUP($B37,'[1]Analisys QBR By Machine Report'!$C$109:$BD$166,34,FALSE)</f>
        <v>0</v>
      </c>
      <c r="AN37" s="13">
        <f ca="1">VLOOKUP($B37,'[1]Analisys QBR By Machine Report'!$C$109:$BD$166,35,FALSE)</f>
        <v>450</v>
      </c>
      <c r="AO37" s="13">
        <f ca="1">VLOOKUP($B37,'[1]Analisys QBR By Machine Report'!$C$109:$BD$166,36,FALSE)</f>
        <v>300</v>
      </c>
      <c r="AP37" s="13">
        <f ca="1">VLOOKUP($B37,'[1]Analisys QBR By Machine Report'!$C$109:$BD$166,37,FALSE)</f>
        <v>0</v>
      </c>
      <c r="AQ37" s="13">
        <f ca="1">VLOOKUP($B37,'[1]Analisys QBR By Machine Report'!$C$109:$BD$166,38,FALSE)</f>
        <v>0</v>
      </c>
      <c r="AR37" s="13">
        <f ca="1">VLOOKUP($B37,'[1]Analisys QBR By Machine Report'!$C$109:$BD$166,39,FALSE)</f>
        <v>0</v>
      </c>
      <c r="AS37" s="13">
        <f ca="1">VLOOKUP($B37,'[1]Analisys QBR By Machine Report'!$C$109:$BD$166,40,FALSE)</f>
        <v>226</v>
      </c>
      <c r="AT37" s="13">
        <f ca="1">VLOOKUP($B37,'[1]Analisys QBR By Machine Report'!$C$109:$BD$166,41,FALSE)</f>
        <v>0</v>
      </c>
      <c r="AU37" s="13">
        <f ca="1">VLOOKUP($B37,'[1]Analisys QBR By Machine Report'!$C$109:$BD$166,42,FALSE)</f>
        <v>0</v>
      </c>
      <c r="AV37" s="13">
        <f ca="1">VLOOKUP($B37,'[1]Analisys QBR By Machine Report'!$C$109:$BD$166,43,FALSE)</f>
        <v>0</v>
      </c>
      <c r="AW37" s="13">
        <f ca="1">VLOOKUP($B37,'[1]Analisys QBR By Machine Report'!$C$109:$BD$166,44,FALSE)</f>
        <v>0</v>
      </c>
      <c r="AX37" s="13">
        <f ca="1">VLOOKUP($B37,'[1]Analisys QBR By Machine Report'!$C$109:$BD$166,45,FALSE)</f>
        <v>0</v>
      </c>
      <c r="AY37" s="13">
        <f ca="1">VLOOKUP($B37,'[1]Analisys QBR By Machine Report'!$C$109:$BD$166,46,FALSE)</f>
        <v>0</v>
      </c>
      <c r="AZ37" s="13">
        <f ca="1">VLOOKUP($B37,'[1]Analisys QBR By Machine Report'!$C$109:$BD$166,47,FALSE)</f>
        <v>642</v>
      </c>
      <c r="BA37" s="13">
        <f ca="1">VLOOKUP($B37,'[1]Analisys QBR By Machine Report'!$C$109:$BD$166,48,FALSE)</f>
        <v>0</v>
      </c>
      <c r="BB37" s="13">
        <f ca="1">VLOOKUP($B37,'[1]Analisys QBR By Machine Report'!$C$109:$BD$166,49,FALSE)</f>
        <v>0</v>
      </c>
      <c r="BC37" s="13">
        <f ca="1">VLOOKUP($B37,'[1]Analisys QBR By Machine Report'!$C$109:$BD$166,50,FALSE)</f>
        <v>0</v>
      </c>
      <c r="BD37" s="13">
        <f ca="1">VLOOKUP($B37,'[1]Analisys QBR By Machine Report'!$C$109:$BD$166,51,FALSE)</f>
        <v>377468</v>
      </c>
      <c r="BE37" s="13">
        <f ca="1">VLOOKUP($B37,'[1]Analisys QBR By Machine Report'!$C$109:$BD$166,52,FALSE)</f>
        <v>29</v>
      </c>
      <c r="BF37" s="13">
        <f ca="1">VLOOKUP($B37,'[1]Analisys QBR By Machine Report'!$C$109:$BD$166,53,FALSE)</f>
        <v>377439</v>
      </c>
    </row>
    <row r="38" spans="1:58" x14ac:dyDescent="0.25">
      <c r="A38" s="12" t="s">
        <v>94</v>
      </c>
      <c r="B38" s="13">
        <f ca="1">VLOOKUP($B38,'[1]Analisys QBR By Machine Report'!$C$109:$BD$166,2,FALSE)</f>
        <v>25920</v>
      </c>
      <c r="C38" s="14">
        <f ca="1">VLOOKUP($B38,[1]Dasboard_QBR_Report!$B$109:$BL$166,3,FALSE)</f>
        <v>8640</v>
      </c>
      <c r="D38" s="13">
        <f ca="1">VLOOKUP($B38,'[1]Analisys QBR By Machine Report'!$C$109:$BD$166,3,FALSE)</f>
        <v>25920</v>
      </c>
      <c r="E38" s="14">
        <f ca="1">VLOOKUP($B38,[1]Dasboard_QBR_Report!$B$109:$BL$166,5,FALSE)</f>
        <v>8640</v>
      </c>
      <c r="F38" s="13">
        <f t="shared" ca="1" si="0"/>
        <v>0</v>
      </c>
      <c r="G38" s="13">
        <f t="shared" ca="1" si="1"/>
        <v>0</v>
      </c>
      <c r="H38" s="13">
        <f ca="1">VLOOKUP($B38,'[1]Analisys QBR By Machine Report'!$C$109:$BD$166,4,FALSE)</f>
        <v>0</v>
      </c>
      <c r="I38" s="13">
        <f ca="1">VLOOKUP($B38,'[1]Analisys QBR By Machine Report'!$C$109:$BD$166,5,FALSE)</f>
        <v>0</v>
      </c>
      <c r="J38" s="13">
        <f ca="1">VLOOKUP($B38,'[1]Analisys QBR By Machine Report'!$C$109:$BD$166,6,FALSE)</f>
        <v>0</v>
      </c>
      <c r="K38" s="13">
        <f ca="1">VLOOKUP($B38,'[1]Analisys QBR By Machine Report'!$C$109:$BD$166,7,FALSE)</f>
        <v>0</v>
      </c>
      <c r="L38" s="13">
        <f ca="1">VLOOKUP($B38,'[1]Analisys QBR By Machine Report'!$C$109:$BD$166,8,FALSE)</f>
        <v>0</v>
      </c>
      <c r="M38" s="13">
        <f ca="1">VLOOKUP($B38,'[1]Analisys QBR By Machine Report'!$C$109:$BD$166,9,FALSE)</f>
        <v>0</v>
      </c>
      <c r="N38" s="13">
        <f ca="1">VLOOKUP($B38,[1]Dasboard_QBR_Report!$B$109:$BL$166,18,FALSE)</f>
        <v>0</v>
      </c>
      <c r="O38" s="13">
        <f ca="1">VLOOKUP($B38,'[1]Analisys QBR By Machine Report'!$C$109:$BD$166,10,FALSE)</f>
        <v>0</v>
      </c>
      <c r="P38" s="13">
        <f ca="1">VLOOKUP($B38,'[1]Analisys QBR By Machine Report'!$C$109:$BD$166,11,FALSE)</f>
        <v>0</v>
      </c>
      <c r="Q38" s="13">
        <f ca="1">VLOOKUP($B38,'[1]Analisys QBR By Machine Report'!$C$109:$BD$166,12,FALSE)</f>
        <v>0</v>
      </c>
      <c r="R38" s="13">
        <f ca="1">VLOOKUP($B38,'[1]Analisys QBR By Machine Report'!$C$109:$BD$166,13,FALSE)</f>
        <v>0</v>
      </c>
      <c r="S38" s="13">
        <f ca="1">VLOOKUP($B38,'[1]Analisys QBR By Machine Report'!$C$109:$BD$166,14,FALSE)</f>
        <v>0</v>
      </c>
      <c r="T38" s="13">
        <f ca="1">VLOOKUP($B38,'[1]Analisys QBR By Machine Report'!$C$109:$BD$166,15,FALSE)</f>
        <v>0</v>
      </c>
      <c r="U38" s="13">
        <f ca="1">VLOOKUP($B38,'[1]Analisys QBR By Machine Report'!$C$109:$BD$166,16,FALSE)</f>
        <v>0</v>
      </c>
      <c r="V38" s="13">
        <f ca="1">VLOOKUP($B38,'[1]Analisys QBR By Machine Report'!$C$109:$BD$166,17,FALSE)</f>
        <v>0</v>
      </c>
      <c r="W38" s="13">
        <f ca="1">VLOOKUP($B38,'[1]Analisys QBR By Machine Report'!$C$109:$BD$166,18,FALSE)</f>
        <v>0</v>
      </c>
      <c r="X38" s="13">
        <f ca="1">VLOOKUP($B38,'[1]Analisys QBR By Machine Report'!$C$109:$BD$166,19,FALSE)</f>
        <v>0</v>
      </c>
      <c r="Y38" s="13">
        <f ca="1">VLOOKUP($B38,'[1]Analisys QBR By Machine Report'!$C$109:$BD$166,20,FALSE)</f>
        <v>0</v>
      </c>
      <c r="Z38" s="13">
        <f ca="1">VLOOKUP($B38,'[1]Analisys QBR By Machine Report'!$C$109:$BD$166,21,FALSE)</f>
        <v>0</v>
      </c>
      <c r="AA38" s="13">
        <f ca="1">VLOOKUP($B38,'[1]Analisys QBR By Machine Report'!$C$109:$BD$166,22,FALSE)</f>
        <v>0</v>
      </c>
      <c r="AB38" s="13">
        <f ca="1">VLOOKUP($B38,'[1]Analisys QBR By Machine Report'!$C$109:$BD$166,23,FALSE)</f>
        <v>0</v>
      </c>
      <c r="AC38" s="13">
        <f ca="1">VLOOKUP($B38,'[1]Analisys QBR By Machine Report'!$C$109:$BD$166,24,FALSE)</f>
        <v>0</v>
      </c>
      <c r="AD38" s="13">
        <f ca="1">VLOOKUP($B38,'[1]Analisys QBR By Machine Report'!$C$109:$BD$166,25,FALSE)</f>
        <v>0</v>
      </c>
      <c r="AE38" s="13">
        <f ca="1">VLOOKUP($B38,'[1]Analisys QBR By Machine Report'!$C$109:$BD$166,26,FALSE)</f>
        <v>0</v>
      </c>
      <c r="AF38" s="13">
        <f ca="1">VLOOKUP($B38,'[1]Analisys QBR By Machine Report'!$C$109:$BD$166,27,FALSE)</f>
        <v>0</v>
      </c>
      <c r="AG38" s="13">
        <f ca="1">VLOOKUP($B38,'[1]Analisys QBR By Machine Report'!$C$109:$BD$166,28,FALSE)</f>
        <v>0</v>
      </c>
      <c r="AH38" s="13">
        <f ca="1">VLOOKUP($B38,'[1]Analisys QBR By Machine Report'!$C$109:$BD$166,29,FALSE)</f>
        <v>0</v>
      </c>
      <c r="AI38" s="13">
        <f ca="1">VLOOKUP($B38,'[1]Analisys QBR By Machine Report'!$C$109:$BD$166,30,FALSE)</f>
        <v>0</v>
      </c>
      <c r="AJ38" s="13">
        <f ca="1">VLOOKUP($B38,'[1]Analisys QBR By Machine Report'!$C$109:$BD$166,31,FALSE)</f>
        <v>0</v>
      </c>
      <c r="AK38" s="13">
        <f ca="1">VLOOKUP($B38,'[1]Analisys QBR By Machine Report'!$C$109:$BD$166,32,FALSE)</f>
        <v>0</v>
      </c>
      <c r="AL38" s="13">
        <f ca="1">VLOOKUP($B38,'[1]Analisys QBR By Machine Report'!$C$109:$BD$166,33,FALSE)</f>
        <v>0</v>
      </c>
      <c r="AM38" s="13">
        <f ca="1">VLOOKUP($B38,'[1]Analisys QBR By Machine Report'!$C$109:$BD$166,34,FALSE)</f>
        <v>0</v>
      </c>
      <c r="AN38" s="13">
        <f ca="1">VLOOKUP($B38,'[1]Analisys QBR By Machine Report'!$C$109:$BD$166,35,FALSE)</f>
        <v>0</v>
      </c>
      <c r="AO38" s="13">
        <f ca="1">VLOOKUP($B38,'[1]Analisys QBR By Machine Report'!$C$109:$BD$166,36,FALSE)</f>
        <v>0</v>
      </c>
      <c r="AP38" s="13">
        <f ca="1">VLOOKUP($B38,'[1]Analisys QBR By Machine Report'!$C$109:$BD$166,37,FALSE)</f>
        <v>0</v>
      </c>
      <c r="AQ38" s="13">
        <f ca="1">VLOOKUP($B38,'[1]Analisys QBR By Machine Report'!$C$109:$BD$166,38,FALSE)</f>
        <v>0</v>
      </c>
      <c r="AR38" s="13">
        <f ca="1">VLOOKUP($B38,'[1]Analisys QBR By Machine Report'!$C$109:$BD$166,39,FALSE)</f>
        <v>0</v>
      </c>
      <c r="AS38" s="13">
        <f ca="1">VLOOKUP($B38,'[1]Analisys QBR By Machine Report'!$C$109:$BD$166,40,FALSE)</f>
        <v>0</v>
      </c>
      <c r="AT38" s="13">
        <f ca="1">VLOOKUP($B38,'[1]Analisys QBR By Machine Report'!$C$109:$BD$166,41,FALSE)</f>
        <v>0</v>
      </c>
      <c r="AU38" s="13">
        <f ca="1">VLOOKUP($B38,'[1]Analisys QBR By Machine Report'!$C$109:$BD$166,42,FALSE)</f>
        <v>0</v>
      </c>
      <c r="AV38" s="13">
        <f ca="1">VLOOKUP($B38,'[1]Analisys QBR By Machine Report'!$C$109:$BD$166,43,FALSE)</f>
        <v>0</v>
      </c>
      <c r="AW38" s="13">
        <f ca="1">VLOOKUP($B38,'[1]Analisys QBR By Machine Report'!$C$109:$BD$166,44,FALSE)</f>
        <v>0</v>
      </c>
      <c r="AX38" s="13">
        <f ca="1">VLOOKUP($B38,'[1]Analisys QBR By Machine Report'!$C$109:$BD$166,45,FALSE)</f>
        <v>0</v>
      </c>
      <c r="AY38" s="13">
        <f ca="1">VLOOKUP($B38,'[1]Analisys QBR By Machine Report'!$C$109:$BD$166,46,FALSE)</f>
        <v>0</v>
      </c>
      <c r="AZ38" s="13">
        <f ca="1">VLOOKUP($B38,'[1]Analisys QBR By Machine Report'!$C$109:$BD$166,47,FALSE)</f>
        <v>0</v>
      </c>
      <c r="BA38" s="13">
        <f ca="1">VLOOKUP($B38,'[1]Analisys QBR By Machine Report'!$C$109:$BD$166,48,FALSE)</f>
        <v>0</v>
      </c>
      <c r="BB38" s="13">
        <f ca="1">VLOOKUP($B38,'[1]Analisys QBR By Machine Report'!$C$109:$BD$166,49,FALSE)</f>
        <v>0</v>
      </c>
      <c r="BC38" s="13">
        <f ca="1">VLOOKUP($B38,'[1]Analisys QBR By Machine Report'!$C$109:$BD$166,50,FALSE)</f>
        <v>0</v>
      </c>
      <c r="BD38" s="13">
        <f ca="1">VLOOKUP($B38,'[1]Analisys QBR By Machine Report'!$C$109:$BD$166,51,FALSE)</f>
        <v>0</v>
      </c>
      <c r="BE38" s="13">
        <f ca="1">VLOOKUP($B38,'[1]Analisys QBR By Machine Report'!$C$109:$BD$166,52,FALSE)</f>
        <v>0</v>
      </c>
      <c r="BF38" s="13">
        <f ca="1">VLOOKUP($B38,'[1]Analisys QBR By Machine Report'!$C$109:$BD$166,53,FALSE)</f>
        <v>0</v>
      </c>
    </row>
    <row r="39" spans="1:58" x14ac:dyDescent="0.25">
      <c r="A39" s="12" t="s">
        <v>95</v>
      </c>
      <c r="B39" s="13">
        <f ca="1">VLOOKUP($B39,'[1]Analisys QBR By Machine Report'!$C$109:$BD$166,2,FALSE)</f>
        <v>25920</v>
      </c>
      <c r="C39" s="14">
        <f ca="1">VLOOKUP($B39,[1]Dasboard_QBR_Report!$B$109:$BL$166,3,FALSE)</f>
        <v>8640</v>
      </c>
      <c r="D39" s="13">
        <f ca="1">VLOOKUP($B39,'[1]Analisys QBR By Machine Report'!$C$109:$BD$166,3,FALSE)</f>
        <v>14820</v>
      </c>
      <c r="E39" s="14">
        <f ca="1">VLOOKUP($B39,[1]Dasboard_QBR_Report!$B$109:$BL$166,5,FALSE)</f>
        <v>-2460</v>
      </c>
      <c r="F39" s="13">
        <f t="shared" ca="1" si="0"/>
        <v>11100</v>
      </c>
      <c r="G39" s="13">
        <f t="shared" ca="1" si="1"/>
        <v>195</v>
      </c>
      <c r="H39" s="13">
        <f ca="1">VLOOKUP($B39,'[1]Analisys QBR By Machine Report'!$C$109:$BD$166,4,FALSE)</f>
        <v>195</v>
      </c>
      <c r="I39" s="13">
        <f ca="1">VLOOKUP($B39,'[1]Analisys QBR By Machine Report'!$C$109:$BD$166,5,FALSE)</f>
        <v>195</v>
      </c>
      <c r="J39" s="13">
        <f ca="1">VLOOKUP($B39,'[1]Analisys QBR By Machine Report'!$C$109:$BD$166,6,FALSE)</f>
        <v>0</v>
      </c>
      <c r="K39" s="13">
        <f ca="1">VLOOKUP($B39,'[1]Analisys QBR By Machine Report'!$C$109:$BD$166,7,FALSE)</f>
        <v>0</v>
      </c>
      <c r="L39" s="13">
        <f ca="1">VLOOKUP($B39,'[1]Analisys QBR By Machine Report'!$C$109:$BD$166,8,FALSE)</f>
        <v>10905</v>
      </c>
      <c r="M39" s="13">
        <f ca="1">VLOOKUP($B39,'[1]Analisys QBR By Machine Report'!$C$109:$BD$166,9,FALSE)</f>
        <v>7290</v>
      </c>
      <c r="N39" s="13">
        <f ca="1">VLOOKUP($B39,[1]Dasboard_QBR_Report!$B$109:$BL$166,18,FALSE)</f>
        <v>3615</v>
      </c>
      <c r="O39" s="13">
        <f ca="1">VLOOKUP($B39,'[1]Analisys QBR By Machine Report'!$C$109:$BD$166,10,FALSE)</f>
        <v>187</v>
      </c>
      <c r="P39" s="13">
        <f ca="1">VLOOKUP($B39,'[1]Analisys QBR By Machine Report'!$C$109:$BD$166,11,FALSE)</f>
        <v>187</v>
      </c>
      <c r="Q39" s="13">
        <f ca="1">VLOOKUP($B39,'[1]Analisys QBR By Machine Report'!$C$109:$BD$166,12,FALSE)</f>
        <v>0</v>
      </c>
      <c r="R39" s="13">
        <f ca="1">VLOOKUP($B39,'[1]Analisys QBR By Machine Report'!$C$109:$BD$166,13,FALSE)</f>
        <v>0</v>
      </c>
      <c r="S39" s="13">
        <f ca="1">VLOOKUP($B39,'[1]Analisys QBR By Machine Report'!$C$109:$BD$166,14,FALSE)</f>
        <v>0</v>
      </c>
      <c r="T39" s="13">
        <f ca="1">VLOOKUP($B39,'[1]Analisys QBR By Machine Report'!$C$109:$BD$166,15,FALSE)</f>
        <v>85</v>
      </c>
      <c r="U39" s="13">
        <f ca="1">VLOOKUP($B39,'[1]Analisys QBR By Machine Report'!$C$109:$BD$166,16,FALSE)</f>
        <v>0</v>
      </c>
      <c r="V39" s="13">
        <f ca="1">VLOOKUP($B39,'[1]Analisys QBR By Machine Report'!$C$109:$BD$166,17,FALSE)</f>
        <v>85</v>
      </c>
      <c r="W39" s="13">
        <f ca="1">VLOOKUP($B39,'[1]Analisys QBR By Machine Report'!$C$109:$BD$166,18,FALSE)</f>
        <v>0</v>
      </c>
      <c r="X39" s="13">
        <f ca="1">VLOOKUP($B39,'[1]Analisys QBR By Machine Report'!$C$109:$BD$166,19,FALSE)</f>
        <v>0</v>
      </c>
      <c r="Y39" s="13">
        <f ca="1">VLOOKUP($B39,'[1]Analisys QBR By Machine Report'!$C$109:$BD$166,20,FALSE)</f>
        <v>0</v>
      </c>
      <c r="Z39" s="13">
        <f ca="1">VLOOKUP($B39,'[1]Analisys QBR By Machine Report'!$C$109:$BD$166,21,FALSE)</f>
        <v>706</v>
      </c>
      <c r="AA39" s="13">
        <f ca="1">VLOOKUP($B39,'[1]Analisys QBR By Machine Report'!$C$109:$BD$166,22,FALSE)</f>
        <v>234</v>
      </c>
      <c r="AB39" s="13">
        <f ca="1">VLOOKUP($B39,'[1]Analisys QBR By Machine Report'!$C$109:$BD$166,23,FALSE)</f>
        <v>412</v>
      </c>
      <c r="AC39" s="13">
        <f ca="1">VLOOKUP($B39,'[1]Analisys QBR By Machine Report'!$C$109:$BD$166,24,FALSE)</f>
        <v>0</v>
      </c>
      <c r="AD39" s="13">
        <f ca="1">VLOOKUP($B39,'[1]Analisys QBR By Machine Report'!$C$109:$BD$166,25,FALSE)</f>
        <v>0</v>
      </c>
      <c r="AE39" s="13">
        <f ca="1">VLOOKUP($B39,'[1]Analisys QBR By Machine Report'!$C$109:$BD$166,26,FALSE)</f>
        <v>60</v>
      </c>
      <c r="AF39" s="13">
        <f ca="1">VLOOKUP($B39,'[1]Analisys QBR By Machine Report'!$C$109:$BD$166,27,FALSE)</f>
        <v>0</v>
      </c>
      <c r="AG39" s="13">
        <f ca="1">VLOOKUP($B39,'[1]Analisys QBR By Machine Report'!$C$109:$BD$166,28,FALSE)</f>
        <v>0</v>
      </c>
      <c r="AH39" s="13">
        <f ca="1">VLOOKUP($B39,'[1]Analisys QBR By Machine Report'!$C$109:$BD$166,29,FALSE)</f>
        <v>0</v>
      </c>
      <c r="AI39" s="13">
        <f ca="1">VLOOKUP($B39,'[1]Analisys QBR By Machine Report'!$C$109:$BD$166,30,FALSE)</f>
        <v>2637</v>
      </c>
      <c r="AJ39" s="13">
        <f ca="1">VLOOKUP($B39,'[1]Analisys QBR By Machine Report'!$C$109:$BD$166,31,FALSE)</f>
        <v>0</v>
      </c>
      <c r="AK39" s="13">
        <f ca="1">VLOOKUP($B39,'[1]Analisys QBR By Machine Report'!$C$109:$BD$166,32,FALSE)</f>
        <v>745</v>
      </c>
      <c r="AL39" s="13">
        <f ca="1">VLOOKUP($B39,'[1]Analisys QBR By Machine Report'!$C$109:$BD$166,33,FALSE)</f>
        <v>600</v>
      </c>
      <c r="AM39" s="13">
        <f ca="1">VLOOKUP($B39,'[1]Analisys QBR By Machine Report'!$C$109:$BD$166,34,FALSE)</f>
        <v>0</v>
      </c>
      <c r="AN39" s="13">
        <f ca="1">VLOOKUP($B39,'[1]Analisys QBR By Machine Report'!$C$109:$BD$166,35,FALSE)</f>
        <v>300</v>
      </c>
      <c r="AO39" s="13">
        <f ca="1">VLOOKUP($B39,'[1]Analisys QBR By Machine Report'!$C$109:$BD$166,36,FALSE)</f>
        <v>320</v>
      </c>
      <c r="AP39" s="13">
        <f ca="1">VLOOKUP($B39,'[1]Analisys QBR By Machine Report'!$C$109:$BD$166,37,FALSE)</f>
        <v>0</v>
      </c>
      <c r="AQ39" s="13">
        <f ca="1">VLOOKUP($B39,'[1]Analisys QBR By Machine Report'!$C$109:$BD$166,38,FALSE)</f>
        <v>0</v>
      </c>
      <c r="AR39" s="13">
        <f ca="1">VLOOKUP($B39,'[1]Analisys QBR By Machine Report'!$C$109:$BD$166,39,FALSE)</f>
        <v>0</v>
      </c>
      <c r="AS39" s="13">
        <f ca="1">VLOOKUP($B39,'[1]Analisys QBR By Machine Report'!$C$109:$BD$166,40,FALSE)</f>
        <v>175</v>
      </c>
      <c r="AT39" s="13">
        <f ca="1">VLOOKUP($B39,'[1]Analisys QBR By Machine Report'!$C$109:$BD$166,41,FALSE)</f>
        <v>0</v>
      </c>
      <c r="AU39" s="13">
        <f ca="1">VLOOKUP($B39,'[1]Analisys QBR By Machine Report'!$C$109:$BD$166,42,FALSE)</f>
        <v>0</v>
      </c>
      <c r="AV39" s="13">
        <f ca="1">VLOOKUP($B39,'[1]Analisys QBR By Machine Report'!$C$109:$BD$166,43,FALSE)</f>
        <v>0</v>
      </c>
      <c r="AW39" s="13">
        <f ca="1">VLOOKUP($B39,'[1]Analisys QBR By Machine Report'!$C$109:$BD$166,44,FALSE)</f>
        <v>0</v>
      </c>
      <c r="AX39" s="13">
        <f ca="1">VLOOKUP($B39,'[1]Analisys QBR By Machine Report'!$C$109:$BD$166,45,FALSE)</f>
        <v>0</v>
      </c>
      <c r="AY39" s="13">
        <f ca="1">VLOOKUP($B39,'[1]Analisys QBR By Machine Report'!$C$109:$BD$166,46,FALSE)</f>
        <v>0</v>
      </c>
      <c r="AZ39" s="13">
        <f ca="1">VLOOKUP($B39,'[1]Analisys QBR By Machine Report'!$C$109:$BD$166,47,FALSE)</f>
        <v>497</v>
      </c>
      <c r="BA39" s="13">
        <f ca="1">VLOOKUP($B39,'[1]Analisys QBR By Machine Report'!$C$109:$BD$166,48,FALSE)</f>
        <v>0</v>
      </c>
      <c r="BB39" s="13">
        <f ca="1">VLOOKUP($B39,'[1]Analisys QBR By Machine Report'!$C$109:$BD$166,49,FALSE)</f>
        <v>0</v>
      </c>
      <c r="BC39" s="13">
        <f ca="1">VLOOKUP($B39,'[1]Analisys QBR By Machine Report'!$C$109:$BD$166,50,FALSE)</f>
        <v>0</v>
      </c>
      <c r="BD39" s="13">
        <f ca="1">VLOOKUP($B39,'[1]Analisys QBR By Machine Report'!$C$109:$BD$166,51,FALSE)</f>
        <v>333650</v>
      </c>
      <c r="BE39" s="13">
        <f ca="1">VLOOKUP($B39,'[1]Analisys QBR By Machine Report'!$C$109:$BD$166,52,FALSE)</f>
        <v>10</v>
      </c>
      <c r="BF39" s="13">
        <f ca="1">VLOOKUP($B39,'[1]Analisys QBR By Machine Report'!$C$109:$BD$166,53,FALSE)</f>
        <v>333640</v>
      </c>
    </row>
    <row r="40" spans="1:58" x14ac:dyDescent="0.25">
      <c r="A40" s="12" t="s">
        <v>96</v>
      </c>
      <c r="B40" s="13">
        <f ca="1">VLOOKUP($B40,'[1]Analisys QBR By Machine Report'!$C$109:$BD$166,2,FALSE)</f>
        <v>25920</v>
      </c>
      <c r="C40" s="14">
        <f ca="1">VLOOKUP($B40,[1]Dasboard_QBR_Report!$B$109:$BL$166,3,FALSE)</f>
        <v>8640</v>
      </c>
      <c r="D40" s="13">
        <f ca="1">VLOOKUP($B40,'[1]Analisys QBR By Machine Report'!$C$109:$BD$166,3,FALSE)</f>
        <v>25410</v>
      </c>
      <c r="E40" s="14">
        <f ca="1">VLOOKUP($B40,[1]Dasboard_QBR_Report!$B$109:$BL$166,5,FALSE)</f>
        <v>8130</v>
      </c>
      <c r="F40" s="13">
        <f t="shared" ca="1" si="0"/>
        <v>510</v>
      </c>
      <c r="G40" s="13">
        <f t="shared" ca="1" si="1"/>
        <v>280</v>
      </c>
      <c r="H40" s="13">
        <f ca="1">VLOOKUP($B40,'[1]Analisys QBR By Machine Report'!$C$109:$BD$166,4,FALSE)</f>
        <v>280</v>
      </c>
      <c r="I40" s="13">
        <f ca="1">VLOOKUP($B40,'[1]Analisys QBR By Machine Report'!$C$109:$BD$166,5,FALSE)</f>
        <v>0</v>
      </c>
      <c r="J40" s="13">
        <f ca="1">VLOOKUP($B40,'[1]Analisys QBR By Machine Report'!$C$109:$BD$166,6,FALSE)</f>
        <v>280</v>
      </c>
      <c r="K40" s="13">
        <f ca="1">VLOOKUP($B40,'[1]Analisys QBR By Machine Report'!$C$109:$BD$166,7,FALSE)</f>
        <v>0</v>
      </c>
      <c r="L40" s="13">
        <f ca="1">VLOOKUP($B40,'[1]Analisys QBR By Machine Report'!$C$109:$BD$166,8,FALSE)</f>
        <v>230</v>
      </c>
      <c r="M40" s="13">
        <f ca="1">VLOOKUP($B40,'[1]Analisys QBR By Machine Report'!$C$109:$BD$166,9,FALSE)</f>
        <v>45</v>
      </c>
      <c r="N40" s="13">
        <f ca="1">VLOOKUP($B40,[1]Dasboard_QBR_Report!$B$109:$BL$166,18,FALSE)</f>
        <v>185</v>
      </c>
      <c r="O40" s="13">
        <f ca="1">VLOOKUP($B40,'[1]Analisys QBR By Machine Report'!$C$109:$BD$166,10,FALSE)</f>
        <v>25</v>
      </c>
      <c r="P40" s="13">
        <f ca="1">VLOOKUP($B40,'[1]Analisys QBR By Machine Report'!$C$109:$BD$166,11,FALSE)</f>
        <v>25</v>
      </c>
      <c r="Q40" s="13">
        <f ca="1">VLOOKUP($B40,'[1]Analisys QBR By Machine Report'!$C$109:$BD$166,12,FALSE)</f>
        <v>0</v>
      </c>
      <c r="R40" s="13">
        <f ca="1">VLOOKUP($B40,'[1]Analisys QBR By Machine Report'!$C$109:$BD$166,13,FALSE)</f>
        <v>0</v>
      </c>
      <c r="S40" s="13">
        <f ca="1">VLOOKUP($B40,'[1]Analisys QBR By Machine Report'!$C$109:$BD$166,14,FALSE)</f>
        <v>0</v>
      </c>
      <c r="T40" s="13">
        <f ca="1">VLOOKUP($B40,'[1]Analisys QBR By Machine Report'!$C$109:$BD$166,15,FALSE)</f>
        <v>0</v>
      </c>
      <c r="U40" s="13">
        <f ca="1">VLOOKUP($B40,'[1]Analisys QBR By Machine Report'!$C$109:$BD$166,16,FALSE)</f>
        <v>0</v>
      </c>
      <c r="V40" s="13">
        <f ca="1">VLOOKUP($B40,'[1]Analisys QBR By Machine Report'!$C$109:$BD$166,17,FALSE)</f>
        <v>0</v>
      </c>
      <c r="W40" s="13">
        <f ca="1">VLOOKUP($B40,'[1]Analisys QBR By Machine Report'!$C$109:$BD$166,18,FALSE)</f>
        <v>0</v>
      </c>
      <c r="X40" s="13">
        <f ca="1">VLOOKUP($B40,'[1]Analisys QBR By Machine Report'!$C$109:$BD$166,19,FALSE)</f>
        <v>0</v>
      </c>
      <c r="Y40" s="13">
        <f ca="1">VLOOKUP($B40,'[1]Analisys QBR By Machine Report'!$C$109:$BD$166,20,FALSE)</f>
        <v>0</v>
      </c>
      <c r="Z40" s="13">
        <f ca="1">VLOOKUP($B40,'[1]Analisys QBR By Machine Report'!$C$109:$BD$166,21,FALSE)</f>
        <v>100</v>
      </c>
      <c r="AA40" s="13">
        <f ca="1">VLOOKUP($B40,'[1]Analisys QBR By Machine Report'!$C$109:$BD$166,22,FALSE)</f>
        <v>40</v>
      </c>
      <c r="AB40" s="13">
        <f ca="1">VLOOKUP($B40,'[1]Analisys QBR By Machine Report'!$C$109:$BD$166,23,FALSE)</f>
        <v>50</v>
      </c>
      <c r="AC40" s="13">
        <f ca="1">VLOOKUP($B40,'[1]Analisys QBR By Machine Report'!$C$109:$BD$166,24,FALSE)</f>
        <v>0</v>
      </c>
      <c r="AD40" s="13">
        <f ca="1">VLOOKUP($B40,'[1]Analisys QBR By Machine Report'!$C$109:$BD$166,25,FALSE)</f>
        <v>0</v>
      </c>
      <c r="AE40" s="13">
        <f ca="1">VLOOKUP($B40,'[1]Analisys QBR By Machine Report'!$C$109:$BD$166,26,FALSE)</f>
        <v>10</v>
      </c>
      <c r="AF40" s="13">
        <f ca="1">VLOOKUP($B40,'[1]Analisys QBR By Machine Report'!$C$109:$BD$166,27,FALSE)</f>
        <v>0</v>
      </c>
      <c r="AG40" s="13">
        <f ca="1">VLOOKUP($B40,'[1]Analisys QBR By Machine Report'!$C$109:$BD$166,28,FALSE)</f>
        <v>0</v>
      </c>
      <c r="AH40" s="13">
        <f ca="1">VLOOKUP($B40,'[1]Analisys QBR By Machine Report'!$C$109:$BD$166,29,FALSE)</f>
        <v>0</v>
      </c>
      <c r="AI40" s="13">
        <f ca="1">VLOOKUP($B40,'[1]Analisys QBR By Machine Report'!$C$109:$BD$166,30,FALSE)</f>
        <v>60</v>
      </c>
      <c r="AJ40" s="13">
        <f ca="1">VLOOKUP($B40,'[1]Analisys QBR By Machine Report'!$C$109:$BD$166,31,FALSE)</f>
        <v>0</v>
      </c>
      <c r="AK40" s="13">
        <f ca="1">VLOOKUP($B40,'[1]Analisys QBR By Machine Report'!$C$109:$BD$166,32,FALSE)</f>
        <v>0</v>
      </c>
      <c r="AL40" s="13">
        <f ca="1">VLOOKUP($B40,'[1]Analisys QBR By Machine Report'!$C$109:$BD$166,33,FALSE)</f>
        <v>45</v>
      </c>
      <c r="AM40" s="13">
        <f ca="1">VLOOKUP($B40,'[1]Analisys QBR By Machine Report'!$C$109:$BD$166,34,FALSE)</f>
        <v>0</v>
      </c>
      <c r="AN40" s="13">
        <f ca="1">VLOOKUP($B40,'[1]Analisys QBR By Machine Report'!$C$109:$BD$166,35,FALSE)</f>
        <v>0</v>
      </c>
      <c r="AO40" s="13">
        <f ca="1">VLOOKUP($B40,'[1]Analisys QBR By Machine Report'!$C$109:$BD$166,36,FALSE)</f>
        <v>0</v>
      </c>
      <c r="AP40" s="13">
        <f ca="1">VLOOKUP($B40,'[1]Analisys QBR By Machine Report'!$C$109:$BD$166,37,FALSE)</f>
        <v>0</v>
      </c>
      <c r="AQ40" s="13">
        <f ca="1">VLOOKUP($B40,'[1]Analisys QBR By Machine Report'!$C$109:$BD$166,38,FALSE)</f>
        <v>0</v>
      </c>
      <c r="AR40" s="13">
        <f ca="1">VLOOKUP($B40,'[1]Analisys QBR By Machine Report'!$C$109:$BD$166,39,FALSE)</f>
        <v>0</v>
      </c>
      <c r="AS40" s="13">
        <f ca="1">VLOOKUP($B40,'[1]Analisys QBR By Machine Report'!$C$109:$BD$166,40,FALSE)</f>
        <v>10</v>
      </c>
      <c r="AT40" s="13">
        <f ca="1">VLOOKUP($B40,'[1]Analisys QBR By Machine Report'!$C$109:$BD$166,41,FALSE)</f>
        <v>0</v>
      </c>
      <c r="AU40" s="13">
        <f ca="1">VLOOKUP($B40,'[1]Analisys QBR By Machine Report'!$C$109:$BD$166,42,FALSE)</f>
        <v>0</v>
      </c>
      <c r="AV40" s="13">
        <f ca="1">VLOOKUP($B40,'[1]Analisys QBR By Machine Report'!$C$109:$BD$166,43,FALSE)</f>
        <v>0</v>
      </c>
      <c r="AW40" s="13">
        <f ca="1">VLOOKUP($B40,'[1]Analisys QBR By Machine Report'!$C$109:$BD$166,44,FALSE)</f>
        <v>0</v>
      </c>
      <c r="AX40" s="13">
        <f ca="1">VLOOKUP($B40,'[1]Analisys QBR By Machine Report'!$C$109:$BD$166,45,FALSE)</f>
        <v>0</v>
      </c>
      <c r="AY40" s="13">
        <f ca="1">VLOOKUP($B40,'[1]Analisys QBR By Machine Report'!$C$109:$BD$166,46,FALSE)</f>
        <v>0</v>
      </c>
      <c r="AZ40" s="13">
        <f ca="1">VLOOKUP($B40,'[1]Analisys QBR By Machine Report'!$C$109:$BD$166,47,FALSE)</f>
        <v>5</v>
      </c>
      <c r="BA40" s="13">
        <f ca="1">VLOOKUP($B40,'[1]Analisys QBR By Machine Report'!$C$109:$BD$166,48,FALSE)</f>
        <v>0</v>
      </c>
      <c r="BB40" s="13">
        <f ca="1">VLOOKUP($B40,'[1]Analisys QBR By Machine Report'!$C$109:$BD$166,49,FALSE)</f>
        <v>0</v>
      </c>
      <c r="BC40" s="13">
        <f ca="1">VLOOKUP($B40,'[1]Analisys QBR By Machine Report'!$C$109:$BD$166,50,FALSE)</f>
        <v>0</v>
      </c>
      <c r="BD40" s="13">
        <f ca="1">VLOOKUP($B40,'[1]Analisys QBR By Machine Report'!$C$109:$BD$166,51,FALSE)</f>
        <v>1539</v>
      </c>
      <c r="BE40" s="13">
        <f ca="1">VLOOKUP($B40,'[1]Analisys QBR By Machine Report'!$C$109:$BD$166,52,FALSE)</f>
        <v>0</v>
      </c>
      <c r="BF40" s="13">
        <f ca="1">VLOOKUP($B40,'[1]Analisys QBR By Machine Report'!$C$109:$BD$166,53,FALSE)</f>
        <v>1539</v>
      </c>
    </row>
    <row r="41" spans="1:58" x14ac:dyDescent="0.25">
      <c r="A41" s="12" t="s">
        <v>97</v>
      </c>
      <c r="B41" s="13">
        <f ca="1">VLOOKUP($B41,'[1]Analisys QBR By Machine Report'!$C$109:$BD$166,2,FALSE)</f>
        <v>25920</v>
      </c>
      <c r="C41" s="14">
        <f ca="1">VLOOKUP($B41,[1]Dasboard_QBR_Report!$B$109:$BL$166,3,FALSE)</f>
        <v>16740</v>
      </c>
      <c r="D41" s="13">
        <f ca="1">VLOOKUP($B41,'[1]Analisys QBR By Machine Report'!$C$109:$BD$166,3,FALSE)</f>
        <v>13560</v>
      </c>
      <c r="E41" s="14">
        <f ca="1">VLOOKUP($B41,[1]Dasboard_QBR_Report!$B$109:$BL$166,5,FALSE)</f>
        <v>4380</v>
      </c>
      <c r="F41" s="13">
        <f t="shared" ca="1" si="0"/>
        <v>12360</v>
      </c>
      <c r="G41" s="13">
        <f t="shared" ca="1" si="1"/>
        <v>3750</v>
      </c>
      <c r="H41" s="13">
        <f ca="1">VLOOKUP($B41,'[1]Analisys QBR By Machine Report'!$C$109:$BD$166,4,FALSE)</f>
        <v>3750</v>
      </c>
      <c r="I41" s="13">
        <f ca="1">VLOOKUP($B41,'[1]Analisys QBR By Machine Report'!$C$109:$BD$166,5,FALSE)</f>
        <v>995</v>
      </c>
      <c r="J41" s="13">
        <f ca="1">VLOOKUP($B41,'[1]Analisys QBR By Machine Report'!$C$109:$BD$166,6,FALSE)</f>
        <v>2755</v>
      </c>
      <c r="K41" s="13">
        <f ca="1">VLOOKUP($B41,'[1]Analisys QBR By Machine Report'!$C$109:$BD$166,7,FALSE)</f>
        <v>0</v>
      </c>
      <c r="L41" s="13">
        <f ca="1">VLOOKUP($B41,'[1]Analisys QBR By Machine Report'!$C$109:$BD$166,8,FALSE)</f>
        <v>8610</v>
      </c>
      <c r="M41" s="13">
        <f ca="1">VLOOKUP($B41,'[1]Analisys QBR By Machine Report'!$C$109:$BD$166,9,FALSE)</f>
        <v>3310</v>
      </c>
      <c r="N41" s="13">
        <f ca="1">VLOOKUP($B41,[1]Dasboard_QBR_Report!$B$109:$BL$166,18,FALSE)</f>
        <v>5300</v>
      </c>
      <c r="O41" s="13">
        <f ca="1">VLOOKUP($B41,'[1]Analisys QBR By Machine Report'!$C$109:$BD$166,10,FALSE)</f>
        <v>835</v>
      </c>
      <c r="P41" s="13">
        <f ca="1">VLOOKUP($B41,'[1]Analisys QBR By Machine Report'!$C$109:$BD$166,11,FALSE)</f>
        <v>595</v>
      </c>
      <c r="Q41" s="13">
        <f ca="1">VLOOKUP($B41,'[1]Analisys QBR By Machine Report'!$C$109:$BD$166,12,FALSE)</f>
        <v>65</v>
      </c>
      <c r="R41" s="13">
        <f ca="1">VLOOKUP($B41,'[1]Analisys QBR By Machine Report'!$C$109:$BD$166,13,FALSE)</f>
        <v>10</v>
      </c>
      <c r="S41" s="13">
        <f ca="1">VLOOKUP($B41,'[1]Analisys QBR By Machine Report'!$C$109:$BD$166,14,FALSE)</f>
        <v>165</v>
      </c>
      <c r="T41" s="13">
        <f ca="1">VLOOKUP($B41,'[1]Analisys QBR By Machine Report'!$C$109:$BD$166,15,FALSE)</f>
        <v>0</v>
      </c>
      <c r="U41" s="13">
        <f ca="1">VLOOKUP($B41,'[1]Analisys QBR By Machine Report'!$C$109:$BD$166,16,FALSE)</f>
        <v>0</v>
      </c>
      <c r="V41" s="13">
        <f ca="1">VLOOKUP($B41,'[1]Analisys QBR By Machine Report'!$C$109:$BD$166,17,FALSE)</f>
        <v>0</v>
      </c>
      <c r="W41" s="13">
        <f ca="1">VLOOKUP($B41,'[1]Analisys QBR By Machine Report'!$C$109:$BD$166,18,FALSE)</f>
        <v>0</v>
      </c>
      <c r="X41" s="13">
        <f ca="1">VLOOKUP($B41,'[1]Analisys QBR By Machine Report'!$C$109:$BD$166,19,FALSE)</f>
        <v>0</v>
      </c>
      <c r="Y41" s="13">
        <f ca="1">VLOOKUP($B41,'[1]Analisys QBR By Machine Report'!$C$109:$BD$166,20,FALSE)</f>
        <v>0</v>
      </c>
      <c r="Z41" s="13">
        <f ca="1">VLOOKUP($B41,'[1]Analisys QBR By Machine Report'!$C$109:$BD$166,21,FALSE)</f>
        <v>620</v>
      </c>
      <c r="AA41" s="13">
        <f ca="1">VLOOKUP($B41,'[1]Analisys QBR By Machine Report'!$C$109:$BD$166,22,FALSE)</f>
        <v>390</v>
      </c>
      <c r="AB41" s="13">
        <f ca="1">VLOOKUP($B41,'[1]Analisys QBR By Machine Report'!$C$109:$BD$166,23,FALSE)</f>
        <v>230</v>
      </c>
      <c r="AC41" s="13">
        <f ca="1">VLOOKUP($B41,'[1]Analisys QBR By Machine Report'!$C$109:$BD$166,24,FALSE)</f>
        <v>0</v>
      </c>
      <c r="AD41" s="13">
        <f ca="1">VLOOKUP($B41,'[1]Analisys QBR By Machine Report'!$C$109:$BD$166,25,FALSE)</f>
        <v>0</v>
      </c>
      <c r="AE41" s="13">
        <f ca="1">VLOOKUP($B41,'[1]Analisys QBR By Machine Report'!$C$109:$BD$166,26,FALSE)</f>
        <v>0</v>
      </c>
      <c r="AF41" s="13">
        <f ca="1">VLOOKUP($B41,'[1]Analisys QBR By Machine Report'!$C$109:$BD$166,27,FALSE)</f>
        <v>0</v>
      </c>
      <c r="AG41" s="13">
        <f ca="1">VLOOKUP($B41,'[1]Analisys QBR By Machine Report'!$C$109:$BD$166,28,FALSE)</f>
        <v>0</v>
      </c>
      <c r="AH41" s="13">
        <f ca="1">VLOOKUP($B41,'[1]Analisys QBR By Machine Report'!$C$109:$BD$166,29,FALSE)</f>
        <v>0</v>
      </c>
      <c r="AI41" s="13">
        <f ca="1">VLOOKUP($B41,'[1]Analisys QBR By Machine Report'!$C$109:$BD$166,30,FALSE)</f>
        <v>3845</v>
      </c>
      <c r="AJ41" s="13">
        <f ca="1">VLOOKUP($B41,'[1]Analisys QBR By Machine Report'!$C$109:$BD$166,31,FALSE)</f>
        <v>0</v>
      </c>
      <c r="AK41" s="13">
        <f ca="1">VLOOKUP($B41,'[1]Analisys QBR By Machine Report'!$C$109:$BD$166,32,FALSE)</f>
        <v>0</v>
      </c>
      <c r="AL41" s="13">
        <f ca="1">VLOOKUP($B41,'[1]Analisys QBR By Machine Report'!$C$109:$BD$166,33,FALSE)</f>
        <v>540</v>
      </c>
      <c r="AM41" s="13">
        <f ca="1">VLOOKUP($B41,'[1]Analisys QBR By Machine Report'!$C$109:$BD$166,34,FALSE)</f>
        <v>0</v>
      </c>
      <c r="AN41" s="13">
        <f ca="1">VLOOKUP($B41,'[1]Analisys QBR By Machine Report'!$C$109:$BD$166,35,FALSE)</f>
        <v>300</v>
      </c>
      <c r="AO41" s="13">
        <f ca="1">VLOOKUP($B41,'[1]Analisys QBR By Machine Report'!$C$109:$BD$166,36,FALSE)</f>
        <v>765</v>
      </c>
      <c r="AP41" s="13">
        <f ca="1">VLOOKUP($B41,'[1]Analisys QBR By Machine Report'!$C$109:$BD$166,37,FALSE)</f>
        <v>20</v>
      </c>
      <c r="AQ41" s="13">
        <f ca="1">VLOOKUP($B41,'[1]Analisys QBR By Machine Report'!$C$109:$BD$166,38,FALSE)</f>
        <v>0</v>
      </c>
      <c r="AR41" s="13">
        <f ca="1">VLOOKUP($B41,'[1]Analisys QBR By Machine Report'!$C$109:$BD$166,39,FALSE)</f>
        <v>1925</v>
      </c>
      <c r="AS41" s="13">
        <f ca="1">VLOOKUP($B41,'[1]Analisys QBR By Machine Report'!$C$109:$BD$166,40,FALSE)</f>
        <v>140</v>
      </c>
      <c r="AT41" s="13">
        <f ca="1">VLOOKUP($B41,'[1]Analisys QBR By Machine Report'!$C$109:$BD$166,41,FALSE)</f>
        <v>0</v>
      </c>
      <c r="AU41" s="13">
        <f ca="1">VLOOKUP($B41,'[1]Analisys QBR By Machine Report'!$C$109:$BD$166,42,FALSE)</f>
        <v>0</v>
      </c>
      <c r="AV41" s="13">
        <f ca="1">VLOOKUP($B41,'[1]Analisys QBR By Machine Report'!$C$109:$BD$166,43,FALSE)</f>
        <v>0</v>
      </c>
      <c r="AW41" s="13">
        <f ca="1">VLOOKUP($B41,'[1]Analisys QBR By Machine Report'!$C$109:$BD$166,44,FALSE)</f>
        <v>0</v>
      </c>
      <c r="AX41" s="13">
        <f ca="1">VLOOKUP($B41,'[1]Analisys QBR By Machine Report'!$C$109:$BD$166,45,FALSE)</f>
        <v>0</v>
      </c>
      <c r="AY41" s="13">
        <f ca="1">VLOOKUP($B41,'[1]Analisys QBR By Machine Report'!$C$109:$BD$166,46,FALSE)</f>
        <v>0</v>
      </c>
      <c r="AZ41" s="13">
        <f ca="1">VLOOKUP($B41,'[1]Analisys QBR By Machine Report'!$C$109:$BD$166,47,FALSE)</f>
        <v>155</v>
      </c>
      <c r="BA41" s="13">
        <f ca="1">VLOOKUP($B41,'[1]Analisys QBR By Machine Report'!$C$109:$BD$166,48,FALSE)</f>
        <v>0</v>
      </c>
      <c r="BB41" s="13">
        <f ca="1">VLOOKUP($B41,'[1]Analisys QBR By Machine Report'!$C$109:$BD$166,49,FALSE)</f>
        <v>0</v>
      </c>
      <c r="BC41" s="13">
        <f ca="1">VLOOKUP($B41,'[1]Analisys QBR By Machine Report'!$C$109:$BD$166,50,FALSE)</f>
        <v>0</v>
      </c>
      <c r="BD41" s="13">
        <f ca="1">VLOOKUP($B41,'[1]Analisys QBR By Machine Report'!$C$109:$BD$166,51,FALSE)</f>
        <v>182838</v>
      </c>
      <c r="BE41" s="13">
        <f ca="1">VLOOKUP($B41,'[1]Analisys QBR By Machine Report'!$C$109:$BD$166,52,FALSE)</f>
        <v>0</v>
      </c>
      <c r="BF41" s="13">
        <f ca="1">VLOOKUP($B41,'[1]Analisys QBR By Machine Report'!$C$109:$BD$166,53,FALSE)</f>
        <v>182838</v>
      </c>
    </row>
    <row r="42" spans="1:58" x14ac:dyDescent="0.25">
      <c r="A42" s="12" t="s">
        <v>98</v>
      </c>
      <c r="B42" s="13">
        <f ca="1">VLOOKUP($B42,'[1]Analisys QBR By Machine Report'!$C$109:$BD$166,2,FALSE)</f>
        <v>25920</v>
      </c>
      <c r="C42" s="14">
        <f ca="1">VLOOKUP($B42,[1]Dasboard_QBR_Report!$B$109:$BL$166,3,FALSE)</f>
        <v>8640</v>
      </c>
      <c r="D42" s="13">
        <f ca="1">VLOOKUP($B42,'[1]Analisys QBR By Machine Report'!$C$109:$BD$166,3,FALSE)</f>
        <v>20820</v>
      </c>
      <c r="E42" s="14">
        <f ca="1">VLOOKUP($B42,[1]Dasboard_QBR_Report!$B$109:$BL$166,5,FALSE)</f>
        <v>3540</v>
      </c>
      <c r="F42" s="13">
        <f t="shared" ca="1" si="0"/>
        <v>5100</v>
      </c>
      <c r="G42" s="13">
        <f t="shared" ca="1" si="1"/>
        <v>1590</v>
      </c>
      <c r="H42" s="13">
        <f ca="1">VLOOKUP($B42,'[1]Analisys QBR By Machine Report'!$C$109:$BD$166,4,FALSE)</f>
        <v>1590</v>
      </c>
      <c r="I42" s="13">
        <f ca="1">VLOOKUP($B42,'[1]Analisys QBR By Machine Report'!$C$109:$BD$166,5,FALSE)</f>
        <v>180</v>
      </c>
      <c r="J42" s="13">
        <f ca="1">VLOOKUP($B42,'[1]Analisys QBR By Machine Report'!$C$109:$BD$166,6,FALSE)</f>
        <v>1410</v>
      </c>
      <c r="K42" s="13">
        <f ca="1">VLOOKUP($B42,'[1]Analisys QBR By Machine Report'!$C$109:$BD$166,7,FALSE)</f>
        <v>0</v>
      </c>
      <c r="L42" s="13">
        <f ca="1">VLOOKUP($B42,'[1]Analisys QBR By Machine Report'!$C$109:$BD$166,8,FALSE)</f>
        <v>3510</v>
      </c>
      <c r="M42" s="13">
        <f ca="1">VLOOKUP($B42,'[1]Analisys QBR By Machine Report'!$C$109:$BD$166,9,FALSE)</f>
        <v>1627</v>
      </c>
      <c r="N42" s="13">
        <f ca="1">VLOOKUP($B42,[1]Dasboard_QBR_Report!$B$109:$BL$166,18,FALSE)</f>
        <v>1883</v>
      </c>
      <c r="O42" s="13">
        <f ca="1">VLOOKUP($B42,'[1]Analisys QBR By Machine Report'!$C$109:$BD$166,10,FALSE)</f>
        <v>736</v>
      </c>
      <c r="P42" s="13">
        <f ca="1">VLOOKUP($B42,'[1]Analisys QBR By Machine Report'!$C$109:$BD$166,11,FALSE)</f>
        <v>300</v>
      </c>
      <c r="Q42" s="13">
        <f ca="1">VLOOKUP($B42,'[1]Analisys QBR By Machine Report'!$C$109:$BD$166,12,FALSE)</f>
        <v>79</v>
      </c>
      <c r="R42" s="13">
        <f ca="1">VLOOKUP($B42,'[1]Analisys QBR By Machine Report'!$C$109:$BD$166,13,FALSE)</f>
        <v>208</v>
      </c>
      <c r="S42" s="13">
        <f ca="1">VLOOKUP($B42,'[1]Analisys QBR By Machine Report'!$C$109:$BD$166,14,FALSE)</f>
        <v>149</v>
      </c>
      <c r="T42" s="13">
        <f ca="1">VLOOKUP($B42,'[1]Analisys QBR By Machine Report'!$C$109:$BD$166,15,FALSE)</f>
        <v>135</v>
      </c>
      <c r="U42" s="13">
        <f ca="1">VLOOKUP($B42,'[1]Analisys QBR By Machine Report'!$C$109:$BD$166,16,FALSE)</f>
        <v>0</v>
      </c>
      <c r="V42" s="13">
        <f ca="1">VLOOKUP($B42,'[1]Analisys QBR By Machine Report'!$C$109:$BD$166,17,FALSE)</f>
        <v>135</v>
      </c>
      <c r="W42" s="13">
        <f ca="1">VLOOKUP($B42,'[1]Analisys QBR By Machine Report'!$C$109:$BD$166,18,FALSE)</f>
        <v>0</v>
      </c>
      <c r="X42" s="13">
        <f ca="1">VLOOKUP($B42,'[1]Analisys QBR By Machine Report'!$C$109:$BD$166,19,FALSE)</f>
        <v>0</v>
      </c>
      <c r="Y42" s="13">
        <f ca="1">VLOOKUP($B42,'[1]Analisys QBR By Machine Report'!$C$109:$BD$166,20,FALSE)</f>
        <v>0</v>
      </c>
      <c r="Z42" s="13">
        <f ca="1">VLOOKUP($B42,'[1]Analisys QBR By Machine Report'!$C$109:$BD$166,21,FALSE)</f>
        <v>537</v>
      </c>
      <c r="AA42" s="13">
        <f ca="1">VLOOKUP($B42,'[1]Analisys QBR By Machine Report'!$C$109:$BD$166,22,FALSE)</f>
        <v>390</v>
      </c>
      <c r="AB42" s="13">
        <f ca="1">VLOOKUP($B42,'[1]Analisys QBR By Machine Report'!$C$109:$BD$166,23,FALSE)</f>
        <v>147</v>
      </c>
      <c r="AC42" s="13">
        <f ca="1">VLOOKUP($B42,'[1]Analisys QBR By Machine Report'!$C$109:$BD$166,24,FALSE)</f>
        <v>0</v>
      </c>
      <c r="AD42" s="13">
        <f ca="1">VLOOKUP($B42,'[1]Analisys QBR By Machine Report'!$C$109:$BD$166,25,FALSE)</f>
        <v>0</v>
      </c>
      <c r="AE42" s="13">
        <f ca="1">VLOOKUP($B42,'[1]Analisys QBR By Machine Report'!$C$109:$BD$166,26,FALSE)</f>
        <v>0</v>
      </c>
      <c r="AF42" s="13">
        <f ca="1">VLOOKUP($B42,'[1]Analisys QBR By Machine Report'!$C$109:$BD$166,27,FALSE)</f>
        <v>0</v>
      </c>
      <c r="AG42" s="13">
        <f ca="1">VLOOKUP($B42,'[1]Analisys QBR By Machine Report'!$C$109:$BD$166,28,FALSE)</f>
        <v>0</v>
      </c>
      <c r="AH42" s="13">
        <f ca="1">VLOOKUP($B42,'[1]Analisys QBR By Machine Report'!$C$109:$BD$166,29,FALSE)</f>
        <v>0</v>
      </c>
      <c r="AI42" s="13">
        <f ca="1">VLOOKUP($B42,'[1]Analisys QBR By Machine Report'!$C$109:$BD$166,30,FALSE)</f>
        <v>475</v>
      </c>
      <c r="AJ42" s="13">
        <f ca="1">VLOOKUP($B42,'[1]Analisys QBR By Machine Report'!$C$109:$BD$166,31,FALSE)</f>
        <v>0</v>
      </c>
      <c r="AK42" s="13">
        <f ca="1">VLOOKUP($B42,'[1]Analisys QBR By Machine Report'!$C$109:$BD$166,32,FALSE)</f>
        <v>0</v>
      </c>
      <c r="AL42" s="13">
        <f ca="1">VLOOKUP($B42,'[1]Analisys QBR By Machine Report'!$C$109:$BD$166,33,FALSE)</f>
        <v>180</v>
      </c>
      <c r="AM42" s="13">
        <f ca="1">VLOOKUP($B42,'[1]Analisys QBR By Machine Report'!$C$109:$BD$166,34,FALSE)</f>
        <v>0</v>
      </c>
      <c r="AN42" s="13">
        <f ca="1">VLOOKUP($B42,'[1]Analisys QBR By Machine Report'!$C$109:$BD$166,35,FALSE)</f>
        <v>90</v>
      </c>
      <c r="AO42" s="13">
        <f ca="1">VLOOKUP($B42,'[1]Analisys QBR By Machine Report'!$C$109:$BD$166,36,FALSE)</f>
        <v>0</v>
      </c>
      <c r="AP42" s="13">
        <f ca="1">VLOOKUP($B42,'[1]Analisys QBR By Machine Report'!$C$109:$BD$166,37,FALSE)</f>
        <v>0</v>
      </c>
      <c r="AQ42" s="13">
        <f ca="1">VLOOKUP($B42,'[1]Analisys QBR By Machine Report'!$C$109:$BD$166,38,FALSE)</f>
        <v>0</v>
      </c>
      <c r="AR42" s="13">
        <f ca="1">VLOOKUP($B42,'[1]Analisys QBR By Machine Report'!$C$109:$BD$166,39,FALSE)</f>
        <v>0</v>
      </c>
      <c r="AS42" s="13">
        <f ca="1">VLOOKUP($B42,'[1]Analisys QBR By Machine Report'!$C$109:$BD$166,40,FALSE)</f>
        <v>100</v>
      </c>
      <c r="AT42" s="13">
        <f ca="1">VLOOKUP($B42,'[1]Analisys QBR By Machine Report'!$C$109:$BD$166,41,FALSE)</f>
        <v>0</v>
      </c>
      <c r="AU42" s="13">
        <f ca="1">VLOOKUP($B42,'[1]Analisys QBR By Machine Report'!$C$109:$BD$166,42,FALSE)</f>
        <v>0</v>
      </c>
      <c r="AV42" s="13">
        <f ca="1">VLOOKUP($B42,'[1]Analisys QBR By Machine Report'!$C$109:$BD$166,43,FALSE)</f>
        <v>0</v>
      </c>
      <c r="AW42" s="13">
        <f ca="1">VLOOKUP($B42,'[1]Analisys QBR By Machine Report'!$C$109:$BD$166,44,FALSE)</f>
        <v>0</v>
      </c>
      <c r="AX42" s="13">
        <f ca="1">VLOOKUP($B42,'[1]Analisys QBR By Machine Report'!$C$109:$BD$166,45,FALSE)</f>
        <v>0</v>
      </c>
      <c r="AY42" s="13">
        <f ca="1">VLOOKUP($B42,'[1]Analisys QBR By Machine Report'!$C$109:$BD$166,46,FALSE)</f>
        <v>0</v>
      </c>
      <c r="AZ42" s="13">
        <f ca="1">VLOOKUP($B42,'[1]Analisys QBR By Machine Report'!$C$109:$BD$166,47,FALSE)</f>
        <v>105</v>
      </c>
      <c r="BA42" s="13">
        <f ca="1">VLOOKUP($B42,'[1]Analisys QBR By Machine Report'!$C$109:$BD$166,48,FALSE)</f>
        <v>0</v>
      </c>
      <c r="BB42" s="13">
        <f ca="1">VLOOKUP($B42,'[1]Analisys QBR By Machine Report'!$C$109:$BD$166,49,FALSE)</f>
        <v>0</v>
      </c>
      <c r="BC42" s="13">
        <f ca="1">VLOOKUP($B42,'[1]Analisys QBR By Machine Report'!$C$109:$BD$166,50,FALSE)</f>
        <v>0</v>
      </c>
      <c r="BD42" s="13">
        <f ca="1">VLOOKUP($B42,'[1]Analisys QBR By Machine Report'!$C$109:$BD$166,51,FALSE)</f>
        <v>187041</v>
      </c>
      <c r="BE42" s="13">
        <f ca="1">VLOOKUP($B42,'[1]Analisys QBR By Machine Report'!$C$109:$BD$166,52,FALSE)</f>
        <v>39</v>
      </c>
      <c r="BF42" s="13">
        <f ca="1">VLOOKUP($B42,'[1]Analisys QBR By Machine Report'!$C$109:$BD$166,53,FALSE)</f>
        <v>187002</v>
      </c>
    </row>
    <row r="43" spans="1:58" x14ac:dyDescent="0.25">
      <c r="A43" s="9" t="s">
        <v>99</v>
      </c>
      <c r="B43" s="10">
        <f ca="1">VLOOKUP($B43,'[1]Analisys QBR By Machine Report'!$C$109:$BD$166,2,FALSE)</f>
        <v>25920</v>
      </c>
      <c r="C43" s="11">
        <f ca="1">VLOOKUP($B43,[1]Dasboard_QBR_Report!$B$109:$BL$166,3,FALSE)</f>
        <v>8640</v>
      </c>
      <c r="D43" s="10">
        <f ca="1">VLOOKUP($B43,'[1]Analisys QBR By Machine Report'!$C$109:$BD$166,3,FALSE)</f>
        <v>25440</v>
      </c>
      <c r="E43" s="11">
        <f ca="1">VLOOKUP($B43,[1]Dasboard_QBR_Report!$B$109:$BL$166,5,FALSE)</f>
        <v>8160</v>
      </c>
      <c r="F43" s="10">
        <f t="shared" ca="1" si="0"/>
        <v>480</v>
      </c>
      <c r="G43" s="10">
        <f t="shared" ca="1" si="1"/>
        <v>0</v>
      </c>
      <c r="H43" s="10">
        <f ca="1">VLOOKUP($B43,'[1]Analisys QBR By Machine Report'!$C$109:$BD$166,4,FALSE)</f>
        <v>0</v>
      </c>
      <c r="I43" s="10">
        <f ca="1">VLOOKUP($B43,'[1]Analisys QBR By Machine Report'!$C$109:$BD$166,5,FALSE)</f>
        <v>0</v>
      </c>
      <c r="J43" s="10">
        <f ca="1">VLOOKUP($B43,'[1]Analisys QBR By Machine Report'!$C$109:$BD$166,6,FALSE)</f>
        <v>0</v>
      </c>
      <c r="K43" s="10">
        <f ca="1">VLOOKUP($B43,'[1]Analisys QBR By Machine Report'!$C$109:$BD$166,7,FALSE)</f>
        <v>0</v>
      </c>
      <c r="L43" s="10">
        <f ca="1">VLOOKUP($B43,'[1]Analisys QBR By Machine Report'!$C$109:$BD$166,8,FALSE)</f>
        <v>480</v>
      </c>
      <c r="M43" s="10">
        <f ca="1">VLOOKUP($B43,'[1]Analisys QBR By Machine Report'!$C$109:$BD$166,9,FALSE)</f>
        <v>32</v>
      </c>
      <c r="N43" s="10">
        <f ca="1">VLOOKUP($B43,[1]Dasboard_QBR_Report!$B$109:$BL$166,18,FALSE)</f>
        <v>448</v>
      </c>
      <c r="O43" s="10">
        <f ca="1">VLOOKUP($B43,'[1]Analisys QBR By Machine Report'!$C$109:$BD$166,10,FALSE)</f>
        <v>25</v>
      </c>
      <c r="P43" s="10">
        <f ca="1">VLOOKUP($B43,'[1]Analisys QBR By Machine Report'!$C$109:$BD$166,11,FALSE)</f>
        <v>10</v>
      </c>
      <c r="Q43" s="10">
        <f ca="1">VLOOKUP($B43,'[1]Analisys QBR By Machine Report'!$C$109:$BD$166,12,FALSE)</f>
        <v>15</v>
      </c>
      <c r="R43" s="10">
        <f ca="1">VLOOKUP($B43,'[1]Analisys QBR By Machine Report'!$C$109:$BD$166,13,FALSE)</f>
        <v>0</v>
      </c>
      <c r="S43" s="10">
        <f ca="1">VLOOKUP($B43,'[1]Analisys QBR By Machine Report'!$C$109:$BD$166,14,FALSE)</f>
        <v>0</v>
      </c>
      <c r="T43" s="10">
        <f ca="1">VLOOKUP($B43,'[1]Analisys QBR By Machine Report'!$C$109:$BD$166,15,FALSE)</f>
        <v>0</v>
      </c>
      <c r="U43" s="10">
        <f ca="1">VLOOKUP($B43,'[1]Analisys QBR By Machine Report'!$C$109:$BD$166,16,FALSE)</f>
        <v>0</v>
      </c>
      <c r="V43" s="10">
        <f ca="1">VLOOKUP($B43,'[1]Analisys QBR By Machine Report'!$C$109:$BD$166,17,FALSE)</f>
        <v>0</v>
      </c>
      <c r="W43" s="10">
        <f ca="1">VLOOKUP($B43,'[1]Analisys QBR By Machine Report'!$C$109:$BD$166,18,FALSE)</f>
        <v>0</v>
      </c>
      <c r="X43" s="10">
        <f ca="1">VLOOKUP($B43,'[1]Analisys QBR By Machine Report'!$C$109:$BD$166,19,FALSE)</f>
        <v>0</v>
      </c>
      <c r="Y43" s="10">
        <f ca="1">VLOOKUP($B43,'[1]Analisys QBR By Machine Report'!$C$109:$BD$166,20,FALSE)</f>
        <v>0</v>
      </c>
      <c r="Z43" s="10">
        <f ca="1">VLOOKUP($B43,'[1]Analisys QBR By Machine Report'!$C$109:$BD$166,21,FALSE)</f>
        <v>207</v>
      </c>
      <c r="AA43" s="10">
        <f ca="1">VLOOKUP($B43,'[1]Analisys QBR By Machine Report'!$C$109:$BD$166,22,FALSE)</f>
        <v>132</v>
      </c>
      <c r="AB43" s="10">
        <f ca="1">VLOOKUP($B43,'[1]Analisys QBR By Machine Report'!$C$109:$BD$166,23,FALSE)</f>
        <v>65</v>
      </c>
      <c r="AC43" s="10">
        <f ca="1">VLOOKUP($B43,'[1]Analisys QBR By Machine Report'!$C$109:$BD$166,24,FALSE)</f>
        <v>0</v>
      </c>
      <c r="AD43" s="10">
        <f ca="1">VLOOKUP($B43,'[1]Analisys QBR By Machine Report'!$C$109:$BD$166,25,FALSE)</f>
        <v>0</v>
      </c>
      <c r="AE43" s="10">
        <f ca="1">VLOOKUP($B43,'[1]Analisys QBR By Machine Report'!$C$109:$BD$166,26,FALSE)</f>
        <v>10</v>
      </c>
      <c r="AF43" s="10">
        <f ca="1">VLOOKUP($B43,'[1]Analisys QBR By Machine Report'!$C$109:$BD$166,27,FALSE)</f>
        <v>0</v>
      </c>
      <c r="AG43" s="10">
        <f ca="1">VLOOKUP($B43,'[1]Analisys QBR By Machine Report'!$C$109:$BD$166,28,FALSE)</f>
        <v>0</v>
      </c>
      <c r="AH43" s="10">
        <f ca="1">VLOOKUP($B43,'[1]Analisys QBR By Machine Report'!$C$109:$BD$166,29,FALSE)</f>
        <v>0</v>
      </c>
      <c r="AI43" s="10">
        <f ca="1">VLOOKUP($B43,'[1]Analisys QBR By Machine Report'!$C$109:$BD$166,30,FALSE)</f>
        <v>216</v>
      </c>
      <c r="AJ43" s="10">
        <f ca="1">VLOOKUP($B43,'[1]Analisys QBR By Machine Report'!$C$109:$BD$166,31,FALSE)</f>
        <v>115</v>
      </c>
      <c r="AK43" s="10">
        <f ca="1">VLOOKUP($B43,'[1]Analisys QBR By Machine Report'!$C$109:$BD$166,32,FALSE)</f>
        <v>0</v>
      </c>
      <c r="AL43" s="10">
        <f ca="1">VLOOKUP($B43,'[1]Analisys QBR By Machine Report'!$C$109:$BD$166,33,FALSE)</f>
        <v>30</v>
      </c>
      <c r="AM43" s="10">
        <f ca="1">VLOOKUP($B43,'[1]Analisys QBR By Machine Report'!$C$109:$BD$166,34,FALSE)</f>
        <v>0</v>
      </c>
      <c r="AN43" s="10">
        <f ca="1">VLOOKUP($B43,'[1]Analisys QBR By Machine Report'!$C$109:$BD$166,35,FALSE)</f>
        <v>45</v>
      </c>
      <c r="AO43" s="10">
        <f ca="1">VLOOKUP($B43,'[1]Analisys QBR By Machine Report'!$C$109:$BD$166,36,FALSE)</f>
        <v>0</v>
      </c>
      <c r="AP43" s="10">
        <f ca="1">VLOOKUP($B43,'[1]Analisys QBR By Machine Report'!$C$109:$BD$166,37,FALSE)</f>
        <v>0</v>
      </c>
      <c r="AQ43" s="10">
        <f ca="1">VLOOKUP($B43,'[1]Analisys QBR By Machine Report'!$C$109:$BD$166,38,FALSE)</f>
        <v>0</v>
      </c>
      <c r="AR43" s="10">
        <f ca="1">VLOOKUP($B43,'[1]Analisys QBR By Machine Report'!$C$109:$BD$166,39,FALSE)</f>
        <v>0</v>
      </c>
      <c r="AS43" s="10">
        <f ca="1">VLOOKUP($B43,'[1]Analisys QBR By Machine Report'!$C$109:$BD$166,40,FALSE)</f>
        <v>0</v>
      </c>
      <c r="AT43" s="10">
        <f ca="1">VLOOKUP($B43,'[1]Analisys QBR By Machine Report'!$C$109:$BD$166,41,FALSE)</f>
        <v>0</v>
      </c>
      <c r="AU43" s="10">
        <f ca="1">VLOOKUP($B43,'[1]Analisys QBR By Machine Report'!$C$109:$BD$166,42,FALSE)</f>
        <v>0</v>
      </c>
      <c r="AV43" s="10">
        <f ca="1">VLOOKUP($B43,'[1]Analisys QBR By Machine Report'!$C$109:$BD$166,43,FALSE)</f>
        <v>0</v>
      </c>
      <c r="AW43" s="10">
        <f ca="1">VLOOKUP($B43,'[1]Analisys QBR By Machine Report'!$C$109:$BD$166,44,FALSE)</f>
        <v>0</v>
      </c>
      <c r="AX43" s="10">
        <f ca="1">VLOOKUP($B43,'[1]Analisys QBR By Machine Report'!$C$109:$BD$166,45,FALSE)</f>
        <v>0</v>
      </c>
      <c r="AY43" s="10">
        <f ca="1">VLOOKUP($B43,'[1]Analisys QBR By Machine Report'!$C$109:$BD$166,46,FALSE)</f>
        <v>0</v>
      </c>
      <c r="AZ43" s="10">
        <f ca="1">VLOOKUP($B43,'[1]Analisys QBR By Machine Report'!$C$109:$BD$166,47,FALSE)</f>
        <v>26</v>
      </c>
      <c r="BA43" s="10">
        <f ca="1">VLOOKUP($B43,'[1]Analisys QBR By Machine Report'!$C$109:$BD$166,48,FALSE)</f>
        <v>0</v>
      </c>
      <c r="BB43" s="10">
        <f ca="1">VLOOKUP($B43,'[1]Analisys QBR By Machine Report'!$C$109:$BD$166,49,FALSE)</f>
        <v>0</v>
      </c>
      <c r="BC43" s="10">
        <f ca="1">VLOOKUP($B43,'[1]Analisys QBR By Machine Report'!$C$109:$BD$166,50,FALSE)</f>
        <v>0</v>
      </c>
      <c r="BD43" s="10">
        <f ca="1">VLOOKUP($B43,'[1]Analisys QBR By Machine Report'!$C$109:$BD$166,51,FALSE)</f>
        <v>85.13</v>
      </c>
      <c r="BE43" s="10">
        <f ca="1">VLOOKUP($B43,'[1]Analisys QBR By Machine Report'!$C$109:$BD$166,52,FALSE)</f>
        <v>0.4</v>
      </c>
      <c r="BF43" s="10">
        <f ca="1">VLOOKUP($B43,'[1]Analisys QBR By Machine Report'!$C$109:$BD$166,53,FALSE)</f>
        <v>84.73</v>
      </c>
    </row>
    <row r="44" spans="1:58" x14ac:dyDescent="0.25">
      <c r="A44" s="12" t="s">
        <v>100</v>
      </c>
      <c r="B44" s="13">
        <f ca="1">VLOOKUP($B44,'[1]Analisys QBR By Machine Report'!$C$109:$BD$166,2,FALSE)</f>
        <v>25920</v>
      </c>
      <c r="C44" s="14">
        <f ca="1">VLOOKUP($B44,[1]Dasboard_QBR_Report!$B$109:$BL$166,3,FALSE)</f>
        <v>8640</v>
      </c>
      <c r="D44" s="13">
        <f ca="1">VLOOKUP($B44,'[1]Analisys QBR By Machine Report'!$C$109:$BD$166,3,FALSE)</f>
        <v>25440</v>
      </c>
      <c r="E44" s="14">
        <f ca="1">VLOOKUP($B44,[1]Dasboard_QBR_Report!$B$109:$BL$166,5,FALSE)</f>
        <v>8160</v>
      </c>
      <c r="F44" s="13">
        <f t="shared" ca="1" si="0"/>
        <v>480</v>
      </c>
      <c r="G44" s="13">
        <f t="shared" ca="1" si="1"/>
        <v>0</v>
      </c>
      <c r="H44" s="13">
        <f ca="1">VLOOKUP($B44,'[1]Analisys QBR By Machine Report'!$C$109:$BD$166,4,FALSE)</f>
        <v>0</v>
      </c>
      <c r="I44" s="13">
        <f ca="1">VLOOKUP($B44,'[1]Analisys QBR By Machine Report'!$C$109:$BD$166,5,FALSE)</f>
        <v>0</v>
      </c>
      <c r="J44" s="13">
        <f ca="1">VLOOKUP($B44,'[1]Analisys QBR By Machine Report'!$C$109:$BD$166,6,FALSE)</f>
        <v>0</v>
      </c>
      <c r="K44" s="13">
        <f ca="1">VLOOKUP($B44,'[1]Analisys QBR By Machine Report'!$C$109:$BD$166,7,FALSE)</f>
        <v>0</v>
      </c>
      <c r="L44" s="13">
        <f ca="1">VLOOKUP($B44,'[1]Analisys QBR By Machine Report'!$C$109:$BD$166,8,FALSE)</f>
        <v>480</v>
      </c>
      <c r="M44" s="13">
        <f ca="1">VLOOKUP($B44,'[1]Analisys QBR By Machine Report'!$C$109:$BD$166,9,FALSE)</f>
        <v>32</v>
      </c>
      <c r="N44" s="13">
        <f ca="1">VLOOKUP($B44,[1]Dasboard_QBR_Report!$B$109:$BL$166,18,FALSE)</f>
        <v>448</v>
      </c>
      <c r="O44" s="13">
        <f ca="1">VLOOKUP($B44,'[1]Analisys QBR By Machine Report'!$C$109:$BD$166,10,FALSE)</f>
        <v>25</v>
      </c>
      <c r="P44" s="13">
        <f ca="1">VLOOKUP($B44,'[1]Analisys QBR By Machine Report'!$C$109:$BD$166,11,FALSE)</f>
        <v>10</v>
      </c>
      <c r="Q44" s="13">
        <f ca="1">VLOOKUP($B44,'[1]Analisys QBR By Machine Report'!$C$109:$BD$166,12,FALSE)</f>
        <v>15</v>
      </c>
      <c r="R44" s="13">
        <f ca="1">VLOOKUP($B44,'[1]Analisys QBR By Machine Report'!$C$109:$BD$166,13,FALSE)</f>
        <v>0</v>
      </c>
      <c r="S44" s="13">
        <f ca="1">VLOOKUP($B44,'[1]Analisys QBR By Machine Report'!$C$109:$BD$166,14,FALSE)</f>
        <v>0</v>
      </c>
      <c r="T44" s="13">
        <f ca="1">VLOOKUP($B44,'[1]Analisys QBR By Machine Report'!$C$109:$BD$166,15,FALSE)</f>
        <v>0</v>
      </c>
      <c r="U44" s="13">
        <f ca="1">VLOOKUP($B44,'[1]Analisys QBR By Machine Report'!$C$109:$BD$166,16,FALSE)</f>
        <v>0</v>
      </c>
      <c r="V44" s="13">
        <f ca="1">VLOOKUP($B44,'[1]Analisys QBR By Machine Report'!$C$109:$BD$166,17,FALSE)</f>
        <v>0</v>
      </c>
      <c r="W44" s="13">
        <f ca="1">VLOOKUP($B44,'[1]Analisys QBR By Machine Report'!$C$109:$BD$166,18,FALSE)</f>
        <v>0</v>
      </c>
      <c r="X44" s="13">
        <f ca="1">VLOOKUP($B44,'[1]Analisys QBR By Machine Report'!$C$109:$BD$166,19,FALSE)</f>
        <v>0</v>
      </c>
      <c r="Y44" s="13">
        <f ca="1">VLOOKUP($B44,'[1]Analisys QBR By Machine Report'!$C$109:$BD$166,20,FALSE)</f>
        <v>0</v>
      </c>
      <c r="Z44" s="13">
        <f ca="1">VLOOKUP($B44,'[1]Analisys QBR By Machine Report'!$C$109:$BD$166,21,FALSE)</f>
        <v>207</v>
      </c>
      <c r="AA44" s="13">
        <f ca="1">VLOOKUP($B44,'[1]Analisys QBR By Machine Report'!$C$109:$BD$166,22,FALSE)</f>
        <v>132</v>
      </c>
      <c r="AB44" s="13">
        <f ca="1">VLOOKUP($B44,'[1]Analisys QBR By Machine Report'!$C$109:$BD$166,23,FALSE)</f>
        <v>65</v>
      </c>
      <c r="AC44" s="13">
        <f ca="1">VLOOKUP($B44,'[1]Analisys QBR By Machine Report'!$C$109:$BD$166,24,FALSE)</f>
        <v>0</v>
      </c>
      <c r="AD44" s="13">
        <f ca="1">VLOOKUP($B44,'[1]Analisys QBR By Machine Report'!$C$109:$BD$166,25,FALSE)</f>
        <v>0</v>
      </c>
      <c r="AE44" s="13">
        <f ca="1">VLOOKUP($B44,'[1]Analisys QBR By Machine Report'!$C$109:$BD$166,26,FALSE)</f>
        <v>10</v>
      </c>
      <c r="AF44" s="13">
        <f ca="1">VLOOKUP($B44,'[1]Analisys QBR By Machine Report'!$C$109:$BD$166,27,FALSE)</f>
        <v>0</v>
      </c>
      <c r="AG44" s="13">
        <f ca="1">VLOOKUP($B44,'[1]Analisys QBR By Machine Report'!$C$109:$BD$166,28,FALSE)</f>
        <v>0</v>
      </c>
      <c r="AH44" s="13">
        <f ca="1">VLOOKUP($B44,'[1]Analisys QBR By Machine Report'!$C$109:$BD$166,29,FALSE)</f>
        <v>0</v>
      </c>
      <c r="AI44" s="13">
        <f ca="1">VLOOKUP($B44,'[1]Analisys QBR By Machine Report'!$C$109:$BD$166,30,FALSE)</f>
        <v>216</v>
      </c>
      <c r="AJ44" s="13">
        <f ca="1">VLOOKUP($B44,'[1]Analisys QBR By Machine Report'!$C$109:$BD$166,31,FALSE)</f>
        <v>115</v>
      </c>
      <c r="AK44" s="13">
        <f ca="1">VLOOKUP($B44,'[1]Analisys QBR By Machine Report'!$C$109:$BD$166,32,FALSE)</f>
        <v>0</v>
      </c>
      <c r="AL44" s="13">
        <f ca="1">VLOOKUP($B44,'[1]Analisys QBR By Machine Report'!$C$109:$BD$166,33,FALSE)</f>
        <v>30</v>
      </c>
      <c r="AM44" s="13">
        <f ca="1">VLOOKUP($B44,'[1]Analisys QBR By Machine Report'!$C$109:$BD$166,34,FALSE)</f>
        <v>0</v>
      </c>
      <c r="AN44" s="13">
        <f ca="1">VLOOKUP($B44,'[1]Analisys QBR By Machine Report'!$C$109:$BD$166,35,FALSE)</f>
        <v>45</v>
      </c>
      <c r="AO44" s="13">
        <f ca="1">VLOOKUP($B44,'[1]Analisys QBR By Machine Report'!$C$109:$BD$166,36,FALSE)</f>
        <v>0</v>
      </c>
      <c r="AP44" s="13">
        <f ca="1">VLOOKUP($B44,'[1]Analisys QBR By Machine Report'!$C$109:$BD$166,37,FALSE)</f>
        <v>0</v>
      </c>
      <c r="AQ44" s="13">
        <f ca="1">VLOOKUP($B44,'[1]Analisys QBR By Machine Report'!$C$109:$BD$166,38,FALSE)</f>
        <v>0</v>
      </c>
      <c r="AR44" s="13">
        <f ca="1">VLOOKUP($B44,'[1]Analisys QBR By Machine Report'!$C$109:$BD$166,39,FALSE)</f>
        <v>0</v>
      </c>
      <c r="AS44" s="13">
        <f ca="1">VLOOKUP($B44,'[1]Analisys QBR By Machine Report'!$C$109:$BD$166,40,FALSE)</f>
        <v>0</v>
      </c>
      <c r="AT44" s="13">
        <f ca="1">VLOOKUP($B44,'[1]Analisys QBR By Machine Report'!$C$109:$BD$166,41,FALSE)</f>
        <v>0</v>
      </c>
      <c r="AU44" s="13">
        <f ca="1">VLOOKUP($B44,'[1]Analisys QBR By Machine Report'!$C$109:$BD$166,42,FALSE)</f>
        <v>0</v>
      </c>
      <c r="AV44" s="13">
        <f ca="1">VLOOKUP($B44,'[1]Analisys QBR By Machine Report'!$C$109:$BD$166,43,FALSE)</f>
        <v>0</v>
      </c>
      <c r="AW44" s="13">
        <f ca="1">VLOOKUP($B44,'[1]Analisys QBR By Machine Report'!$C$109:$BD$166,44,FALSE)</f>
        <v>0</v>
      </c>
      <c r="AX44" s="13">
        <f ca="1">VLOOKUP($B44,'[1]Analisys QBR By Machine Report'!$C$109:$BD$166,45,FALSE)</f>
        <v>0</v>
      </c>
      <c r="AY44" s="13">
        <f ca="1">VLOOKUP($B44,'[1]Analisys QBR By Machine Report'!$C$109:$BD$166,46,FALSE)</f>
        <v>0</v>
      </c>
      <c r="AZ44" s="13">
        <f ca="1">VLOOKUP($B44,'[1]Analisys QBR By Machine Report'!$C$109:$BD$166,47,FALSE)</f>
        <v>26</v>
      </c>
      <c r="BA44" s="13">
        <f ca="1">VLOOKUP($B44,'[1]Analisys QBR By Machine Report'!$C$109:$BD$166,48,FALSE)</f>
        <v>0</v>
      </c>
      <c r="BB44" s="13">
        <f ca="1">VLOOKUP($B44,'[1]Analisys QBR By Machine Report'!$C$109:$BD$166,49,FALSE)</f>
        <v>0</v>
      </c>
      <c r="BC44" s="13">
        <f ca="1">VLOOKUP($B44,'[1]Analisys QBR By Machine Report'!$C$109:$BD$166,50,FALSE)</f>
        <v>0</v>
      </c>
      <c r="BD44" s="13">
        <f ca="1">VLOOKUP($B44,'[1]Analisys QBR By Machine Report'!$C$109:$BD$166,51,FALSE)</f>
        <v>85.13</v>
      </c>
      <c r="BE44" s="13">
        <f ca="1">VLOOKUP($B44,'[1]Analisys QBR By Machine Report'!$C$109:$BD$166,52,FALSE)</f>
        <v>0.4</v>
      </c>
      <c r="BF44" s="13">
        <f ca="1">VLOOKUP($B44,'[1]Analisys QBR By Machine Report'!$C$109:$BD$166,53,FALSE)</f>
        <v>84.73</v>
      </c>
    </row>
    <row r="45" spans="1:58" x14ac:dyDescent="0.25">
      <c r="A45" s="9" t="s">
        <v>101</v>
      </c>
      <c r="B45" s="10">
        <f ca="1">VLOOKUP($B45,'[1]Analisys QBR By Machine Report'!$C$109:$BD$166,2,FALSE)</f>
        <v>25920</v>
      </c>
      <c r="C45" s="11">
        <f ca="1">VLOOKUP($B45,[1]Dasboard_QBR_Report!$B$109:$BL$166,3,FALSE)</f>
        <v>8640</v>
      </c>
      <c r="D45" s="10">
        <f ca="1">VLOOKUP($B45,'[1]Analisys QBR By Machine Report'!$C$109:$BD$166,3,FALSE)</f>
        <v>25410</v>
      </c>
      <c r="E45" s="11">
        <f ca="1">VLOOKUP($B45,[1]Dasboard_QBR_Report!$B$109:$BL$166,5,FALSE)</f>
        <v>8130</v>
      </c>
      <c r="F45" s="10">
        <f t="shared" ca="1" si="0"/>
        <v>510</v>
      </c>
      <c r="G45" s="10">
        <f t="shared" ca="1" si="1"/>
        <v>30</v>
      </c>
      <c r="H45" s="10">
        <f ca="1">VLOOKUP($B45,'[1]Analisys QBR By Machine Report'!$C$109:$BD$166,4,FALSE)</f>
        <v>30</v>
      </c>
      <c r="I45" s="10">
        <f ca="1">VLOOKUP($B45,'[1]Analisys QBR By Machine Report'!$C$109:$BD$166,5,FALSE)</f>
        <v>30</v>
      </c>
      <c r="J45" s="10">
        <f ca="1">VLOOKUP($B45,'[1]Analisys QBR By Machine Report'!$C$109:$BD$166,6,FALSE)</f>
        <v>0</v>
      </c>
      <c r="K45" s="10">
        <f ca="1">VLOOKUP($B45,'[1]Analisys QBR By Machine Report'!$C$109:$BD$166,7,FALSE)</f>
        <v>0</v>
      </c>
      <c r="L45" s="10">
        <f ca="1">VLOOKUP($B45,'[1]Analisys QBR By Machine Report'!$C$109:$BD$166,8,FALSE)</f>
        <v>480</v>
      </c>
      <c r="M45" s="10">
        <f ca="1">VLOOKUP($B45,'[1]Analisys QBR By Machine Report'!$C$109:$BD$166,9,FALSE)</f>
        <v>85</v>
      </c>
      <c r="N45" s="10">
        <f ca="1">VLOOKUP($B45,[1]Dasboard_QBR_Report!$B$109:$BL$166,18,FALSE)</f>
        <v>395</v>
      </c>
      <c r="O45" s="10">
        <f ca="1">VLOOKUP($B45,'[1]Analisys QBR By Machine Report'!$C$109:$BD$166,10,FALSE)</f>
        <v>50</v>
      </c>
      <c r="P45" s="10">
        <f ca="1">VLOOKUP($B45,'[1]Analisys QBR By Machine Report'!$C$109:$BD$166,11,FALSE)</f>
        <v>20</v>
      </c>
      <c r="Q45" s="10">
        <f ca="1">VLOOKUP($B45,'[1]Analisys QBR By Machine Report'!$C$109:$BD$166,12,FALSE)</f>
        <v>0</v>
      </c>
      <c r="R45" s="10">
        <f ca="1">VLOOKUP($B45,'[1]Analisys QBR By Machine Report'!$C$109:$BD$166,13,FALSE)</f>
        <v>15</v>
      </c>
      <c r="S45" s="10">
        <f ca="1">VLOOKUP($B45,'[1]Analisys QBR By Machine Report'!$C$109:$BD$166,14,FALSE)</f>
        <v>15</v>
      </c>
      <c r="T45" s="10">
        <f ca="1">VLOOKUP($B45,'[1]Analisys QBR By Machine Report'!$C$109:$BD$166,15,FALSE)</f>
        <v>0</v>
      </c>
      <c r="U45" s="10">
        <f ca="1">VLOOKUP($B45,'[1]Analisys QBR By Machine Report'!$C$109:$BD$166,16,FALSE)</f>
        <v>0</v>
      </c>
      <c r="V45" s="10">
        <f ca="1">VLOOKUP($B45,'[1]Analisys QBR By Machine Report'!$C$109:$BD$166,17,FALSE)</f>
        <v>0</v>
      </c>
      <c r="W45" s="10">
        <f ca="1">VLOOKUP($B45,'[1]Analisys QBR By Machine Report'!$C$109:$BD$166,18,FALSE)</f>
        <v>0</v>
      </c>
      <c r="X45" s="10">
        <f ca="1">VLOOKUP($B45,'[1]Analisys QBR By Machine Report'!$C$109:$BD$166,19,FALSE)</f>
        <v>0</v>
      </c>
      <c r="Y45" s="10">
        <f ca="1">VLOOKUP($B45,'[1]Analisys QBR By Machine Report'!$C$109:$BD$166,20,FALSE)</f>
        <v>0</v>
      </c>
      <c r="Z45" s="10">
        <f ca="1">VLOOKUP($B45,'[1]Analisys QBR By Machine Report'!$C$109:$BD$166,21,FALSE)</f>
        <v>220</v>
      </c>
      <c r="AA45" s="10">
        <f ca="1">VLOOKUP($B45,'[1]Analisys QBR By Machine Report'!$C$109:$BD$166,22,FALSE)</f>
        <v>75</v>
      </c>
      <c r="AB45" s="10">
        <f ca="1">VLOOKUP($B45,'[1]Analisys QBR By Machine Report'!$C$109:$BD$166,23,FALSE)</f>
        <v>135</v>
      </c>
      <c r="AC45" s="10">
        <f ca="1">VLOOKUP($B45,'[1]Analisys QBR By Machine Report'!$C$109:$BD$166,24,FALSE)</f>
        <v>0</v>
      </c>
      <c r="AD45" s="10">
        <f ca="1">VLOOKUP($B45,'[1]Analisys QBR By Machine Report'!$C$109:$BD$166,25,FALSE)</f>
        <v>0</v>
      </c>
      <c r="AE45" s="10">
        <f ca="1">VLOOKUP($B45,'[1]Analisys QBR By Machine Report'!$C$109:$BD$166,26,FALSE)</f>
        <v>10</v>
      </c>
      <c r="AF45" s="10">
        <f ca="1">VLOOKUP($B45,'[1]Analisys QBR By Machine Report'!$C$109:$BD$166,27,FALSE)</f>
        <v>0</v>
      </c>
      <c r="AG45" s="10">
        <f ca="1">VLOOKUP($B45,'[1]Analisys QBR By Machine Report'!$C$109:$BD$166,28,FALSE)</f>
        <v>0</v>
      </c>
      <c r="AH45" s="10">
        <f ca="1">VLOOKUP($B45,'[1]Analisys QBR By Machine Report'!$C$109:$BD$166,29,FALSE)</f>
        <v>0</v>
      </c>
      <c r="AI45" s="10">
        <f ca="1">VLOOKUP($B45,'[1]Analisys QBR By Machine Report'!$C$109:$BD$166,30,FALSE)</f>
        <v>125</v>
      </c>
      <c r="AJ45" s="10">
        <f ca="1">VLOOKUP($B45,'[1]Analisys QBR By Machine Report'!$C$109:$BD$166,31,FALSE)</f>
        <v>0</v>
      </c>
      <c r="AK45" s="10">
        <f ca="1">VLOOKUP($B45,'[1]Analisys QBR By Machine Report'!$C$109:$BD$166,32,FALSE)</f>
        <v>0</v>
      </c>
      <c r="AL45" s="10">
        <f ca="1">VLOOKUP($B45,'[1]Analisys QBR By Machine Report'!$C$109:$BD$166,33,FALSE)</f>
        <v>45</v>
      </c>
      <c r="AM45" s="10">
        <f ca="1">VLOOKUP($B45,'[1]Analisys QBR By Machine Report'!$C$109:$BD$166,34,FALSE)</f>
        <v>0</v>
      </c>
      <c r="AN45" s="10">
        <f ca="1">VLOOKUP($B45,'[1]Analisys QBR By Machine Report'!$C$109:$BD$166,35,FALSE)</f>
        <v>0</v>
      </c>
      <c r="AO45" s="10">
        <f ca="1">VLOOKUP($B45,'[1]Analisys QBR By Machine Report'!$C$109:$BD$166,36,FALSE)</f>
        <v>0</v>
      </c>
      <c r="AP45" s="10">
        <f ca="1">VLOOKUP($B45,'[1]Analisys QBR By Machine Report'!$C$109:$BD$166,37,FALSE)</f>
        <v>0</v>
      </c>
      <c r="AQ45" s="10">
        <f ca="1">VLOOKUP($B45,'[1]Analisys QBR By Machine Report'!$C$109:$BD$166,38,FALSE)</f>
        <v>0</v>
      </c>
      <c r="AR45" s="10">
        <f ca="1">VLOOKUP($B45,'[1]Analisys QBR By Machine Report'!$C$109:$BD$166,39,FALSE)</f>
        <v>0</v>
      </c>
      <c r="AS45" s="10">
        <f ca="1">VLOOKUP($B45,'[1]Analisys QBR By Machine Report'!$C$109:$BD$166,40,FALSE)</f>
        <v>20</v>
      </c>
      <c r="AT45" s="10">
        <f ca="1">VLOOKUP($B45,'[1]Analisys QBR By Machine Report'!$C$109:$BD$166,41,FALSE)</f>
        <v>0</v>
      </c>
      <c r="AU45" s="10">
        <f ca="1">VLOOKUP($B45,'[1]Analisys QBR By Machine Report'!$C$109:$BD$166,42,FALSE)</f>
        <v>0</v>
      </c>
      <c r="AV45" s="10">
        <f ca="1">VLOOKUP($B45,'[1]Analisys QBR By Machine Report'!$C$109:$BD$166,43,FALSE)</f>
        <v>0</v>
      </c>
      <c r="AW45" s="10">
        <f ca="1">VLOOKUP($B45,'[1]Analisys QBR By Machine Report'!$C$109:$BD$166,44,FALSE)</f>
        <v>0</v>
      </c>
      <c r="AX45" s="10">
        <f ca="1">VLOOKUP($B45,'[1]Analisys QBR By Machine Report'!$C$109:$BD$166,45,FALSE)</f>
        <v>0</v>
      </c>
      <c r="AY45" s="10">
        <f ca="1">VLOOKUP($B45,'[1]Analisys QBR By Machine Report'!$C$109:$BD$166,46,FALSE)</f>
        <v>0</v>
      </c>
      <c r="AZ45" s="10">
        <f ca="1">VLOOKUP($B45,'[1]Analisys QBR By Machine Report'!$C$109:$BD$166,47,FALSE)</f>
        <v>10</v>
      </c>
      <c r="BA45" s="10">
        <f ca="1">VLOOKUP($B45,'[1]Analisys QBR By Machine Report'!$C$109:$BD$166,48,FALSE)</f>
        <v>50</v>
      </c>
      <c r="BB45" s="10">
        <f ca="1">VLOOKUP($B45,'[1]Analisys QBR By Machine Report'!$C$109:$BD$166,49,FALSE)</f>
        <v>0</v>
      </c>
      <c r="BC45" s="10">
        <f ca="1">VLOOKUP($B45,'[1]Analisys QBR By Machine Report'!$C$109:$BD$166,50,FALSE)</f>
        <v>0</v>
      </c>
      <c r="BD45" s="10">
        <f ca="1">VLOOKUP($B45,'[1]Analisys QBR By Machine Report'!$C$109:$BD$166,51,FALSE)</f>
        <v>1539</v>
      </c>
      <c r="BE45" s="10">
        <f ca="1">VLOOKUP($B45,'[1]Analisys QBR By Machine Report'!$C$109:$BD$166,52,FALSE)</f>
        <v>14</v>
      </c>
      <c r="BF45" s="10">
        <f ca="1">VLOOKUP($B45,'[1]Analisys QBR By Machine Report'!$C$109:$BD$166,53,FALSE)</f>
        <v>1525</v>
      </c>
    </row>
    <row r="46" spans="1:58" x14ac:dyDescent="0.25">
      <c r="A46" s="12" t="s">
        <v>102</v>
      </c>
      <c r="B46" s="13">
        <f ca="1">VLOOKUP($B46,'[1]Analisys QBR By Machine Report'!$C$109:$BD$166,2,FALSE)</f>
        <v>25920</v>
      </c>
      <c r="C46" s="14">
        <f ca="1">VLOOKUP($B46,[1]Dasboard_QBR_Report!$B$109:$BL$166,3,FALSE)</f>
        <v>8640</v>
      </c>
      <c r="D46" s="13">
        <f ca="1">VLOOKUP($B46,'[1]Analisys QBR By Machine Report'!$C$109:$BD$166,3,FALSE)</f>
        <v>25410</v>
      </c>
      <c r="E46" s="14">
        <f ca="1">VLOOKUP($B46,[1]Dasboard_QBR_Report!$B$109:$BL$166,5,FALSE)</f>
        <v>8130</v>
      </c>
      <c r="F46" s="13">
        <f t="shared" ca="1" si="0"/>
        <v>510</v>
      </c>
      <c r="G46" s="13">
        <f t="shared" ca="1" si="1"/>
        <v>30</v>
      </c>
      <c r="H46" s="13">
        <f ca="1">VLOOKUP($B46,'[1]Analisys QBR By Machine Report'!$C$109:$BD$166,4,FALSE)</f>
        <v>30</v>
      </c>
      <c r="I46" s="13">
        <f ca="1">VLOOKUP($B46,'[1]Analisys QBR By Machine Report'!$C$109:$BD$166,5,FALSE)</f>
        <v>30</v>
      </c>
      <c r="J46" s="13">
        <f ca="1">VLOOKUP($B46,'[1]Analisys QBR By Machine Report'!$C$109:$BD$166,6,FALSE)</f>
        <v>0</v>
      </c>
      <c r="K46" s="13">
        <f ca="1">VLOOKUP($B46,'[1]Analisys QBR By Machine Report'!$C$109:$BD$166,7,FALSE)</f>
        <v>0</v>
      </c>
      <c r="L46" s="13">
        <f ca="1">VLOOKUP($B46,'[1]Analisys QBR By Machine Report'!$C$109:$BD$166,8,FALSE)</f>
        <v>480</v>
      </c>
      <c r="M46" s="13">
        <f ca="1">VLOOKUP($B46,'[1]Analisys QBR By Machine Report'!$C$109:$BD$166,9,FALSE)</f>
        <v>85</v>
      </c>
      <c r="N46" s="13">
        <f ca="1">VLOOKUP($B46,[1]Dasboard_QBR_Report!$B$109:$BL$166,18,FALSE)</f>
        <v>395</v>
      </c>
      <c r="O46" s="13">
        <f ca="1">VLOOKUP($B46,'[1]Analisys QBR By Machine Report'!$C$109:$BD$166,10,FALSE)</f>
        <v>50</v>
      </c>
      <c r="P46" s="13">
        <f ca="1">VLOOKUP($B46,'[1]Analisys QBR By Machine Report'!$C$109:$BD$166,11,FALSE)</f>
        <v>20</v>
      </c>
      <c r="Q46" s="13">
        <f ca="1">VLOOKUP($B46,'[1]Analisys QBR By Machine Report'!$C$109:$BD$166,12,FALSE)</f>
        <v>0</v>
      </c>
      <c r="R46" s="13">
        <f ca="1">VLOOKUP($B46,'[1]Analisys QBR By Machine Report'!$C$109:$BD$166,13,FALSE)</f>
        <v>15</v>
      </c>
      <c r="S46" s="13">
        <f ca="1">VLOOKUP($B46,'[1]Analisys QBR By Machine Report'!$C$109:$BD$166,14,FALSE)</f>
        <v>15</v>
      </c>
      <c r="T46" s="13">
        <f ca="1">VLOOKUP($B46,'[1]Analisys QBR By Machine Report'!$C$109:$BD$166,15,FALSE)</f>
        <v>0</v>
      </c>
      <c r="U46" s="13">
        <f ca="1">VLOOKUP($B46,'[1]Analisys QBR By Machine Report'!$C$109:$BD$166,16,FALSE)</f>
        <v>0</v>
      </c>
      <c r="V46" s="13">
        <f ca="1">VLOOKUP($B46,'[1]Analisys QBR By Machine Report'!$C$109:$BD$166,17,FALSE)</f>
        <v>0</v>
      </c>
      <c r="W46" s="13">
        <f ca="1">VLOOKUP($B46,'[1]Analisys QBR By Machine Report'!$C$109:$BD$166,18,FALSE)</f>
        <v>0</v>
      </c>
      <c r="X46" s="13">
        <f ca="1">VLOOKUP($B46,'[1]Analisys QBR By Machine Report'!$C$109:$BD$166,19,FALSE)</f>
        <v>0</v>
      </c>
      <c r="Y46" s="13">
        <f ca="1">VLOOKUP($B46,'[1]Analisys QBR By Machine Report'!$C$109:$BD$166,20,FALSE)</f>
        <v>0</v>
      </c>
      <c r="Z46" s="13">
        <f ca="1">VLOOKUP($B46,'[1]Analisys QBR By Machine Report'!$C$109:$BD$166,21,FALSE)</f>
        <v>220</v>
      </c>
      <c r="AA46" s="13">
        <f ca="1">VLOOKUP($B46,'[1]Analisys QBR By Machine Report'!$C$109:$BD$166,22,FALSE)</f>
        <v>75</v>
      </c>
      <c r="AB46" s="13">
        <f ca="1">VLOOKUP($B46,'[1]Analisys QBR By Machine Report'!$C$109:$BD$166,23,FALSE)</f>
        <v>135</v>
      </c>
      <c r="AC46" s="13">
        <f ca="1">VLOOKUP($B46,'[1]Analisys QBR By Machine Report'!$C$109:$BD$166,24,FALSE)</f>
        <v>0</v>
      </c>
      <c r="AD46" s="13">
        <f ca="1">VLOOKUP($B46,'[1]Analisys QBR By Machine Report'!$C$109:$BD$166,25,FALSE)</f>
        <v>0</v>
      </c>
      <c r="AE46" s="13">
        <f ca="1">VLOOKUP($B46,'[1]Analisys QBR By Machine Report'!$C$109:$BD$166,26,FALSE)</f>
        <v>10</v>
      </c>
      <c r="AF46" s="13">
        <f ca="1">VLOOKUP($B46,'[1]Analisys QBR By Machine Report'!$C$109:$BD$166,27,FALSE)</f>
        <v>0</v>
      </c>
      <c r="AG46" s="13">
        <f ca="1">VLOOKUP($B46,'[1]Analisys QBR By Machine Report'!$C$109:$BD$166,28,FALSE)</f>
        <v>0</v>
      </c>
      <c r="AH46" s="13">
        <f ca="1">VLOOKUP($B46,'[1]Analisys QBR By Machine Report'!$C$109:$BD$166,29,FALSE)</f>
        <v>0</v>
      </c>
      <c r="AI46" s="13">
        <f ca="1">VLOOKUP($B46,'[1]Analisys QBR By Machine Report'!$C$109:$BD$166,30,FALSE)</f>
        <v>125</v>
      </c>
      <c r="AJ46" s="13">
        <f ca="1">VLOOKUP($B46,'[1]Analisys QBR By Machine Report'!$C$109:$BD$166,31,FALSE)</f>
        <v>0</v>
      </c>
      <c r="AK46" s="13">
        <f ca="1">VLOOKUP($B46,'[1]Analisys QBR By Machine Report'!$C$109:$BD$166,32,FALSE)</f>
        <v>0</v>
      </c>
      <c r="AL46" s="13">
        <f ca="1">VLOOKUP($B46,'[1]Analisys QBR By Machine Report'!$C$109:$BD$166,33,FALSE)</f>
        <v>45</v>
      </c>
      <c r="AM46" s="13">
        <f ca="1">VLOOKUP($B46,'[1]Analisys QBR By Machine Report'!$C$109:$BD$166,34,FALSE)</f>
        <v>0</v>
      </c>
      <c r="AN46" s="13">
        <f ca="1">VLOOKUP($B46,'[1]Analisys QBR By Machine Report'!$C$109:$BD$166,35,FALSE)</f>
        <v>0</v>
      </c>
      <c r="AO46" s="13">
        <f ca="1">VLOOKUP($B46,'[1]Analisys QBR By Machine Report'!$C$109:$BD$166,36,FALSE)</f>
        <v>0</v>
      </c>
      <c r="AP46" s="13">
        <f ca="1">VLOOKUP($B46,'[1]Analisys QBR By Machine Report'!$C$109:$BD$166,37,FALSE)</f>
        <v>0</v>
      </c>
      <c r="AQ46" s="13">
        <f ca="1">VLOOKUP($B46,'[1]Analisys QBR By Machine Report'!$C$109:$BD$166,38,FALSE)</f>
        <v>0</v>
      </c>
      <c r="AR46" s="13">
        <f ca="1">VLOOKUP($B46,'[1]Analisys QBR By Machine Report'!$C$109:$BD$166,39,FALSE)</f>
        <v>0</v>
      </c>
      <c r="AS46" s="13">
        <f ca="1">VLOOKUP($B46,'[1]Analisys QBR By Machine Report'!$C$109:$BD$166,40,FALSE)</f>
        <v>20</v>
      </c>
      <c r="AT46" s="13">
        <f ca="1">VLOOKUP($B46,'[1]Analisys QBR By Machine Report'!$C$109:$BD$166,41,FALSE)</f>
        <v>0</v>
      </c>
      <c r="AU46" s="13">
        <f ca="1">VLOOKUP($B46,'[1]Analisys QBR By Machine Report'!$C$109:$BD$166,42,FALSE)</f>
        <v>0</v>
      </c>
      <c r="AV46" s="13">
        <f ca="1">VLOOKUP($B46,'[1]Analisys QBR By Machine Report'!$C$109:$BD$166,43,FALSE)</f>
        <v>0</v>
      </c>
      <c r="AW46" s="13">
        <f ca="1">VLOOKUP($B46,'[1]Analisys QBR By Machine Report'!$C$109:$BD$166,44,FALSE)</f>
        <v>0</v>
      </c>
      <c r="AX46" s="13">
        <f ca="1">VLOOKUP($B46,'[1]Analisys QBR By Machine Report'!$C$109:$BD$166,45,FALSE)</f>
        <v>0</v>
      </c>
      <c r="AY46" s="13">
        <f ca="1">VLOOKUP($B46,'[1]Analisys QBR By Machine Report'!$C$109:$BD$166,46,FALSE)</f>
        <v>0</v>
      </c>
      <c r="AZ46" s="13">
        <f ca="1">VLOOKUP($B46,'[1]Analisys QBR By Machine Report'!$C$109:$BD$166,47,FALSE)</f>
        <v>10</v>
      </c>
      <c r="BA46" s="13">
        <f ca="1">VLOOKUP($B46,'[1]Analisys QBR By Machine Report'!$C$109:$BD$166,48,FALSE)</f>
        <v>50</v>
      </c>
      <c r="BB46" s="13">
        <f ca="1">VLOOKUP($B46,'[1]Analisys QBR By Machine Report'!$C$109:$BD$166,49,FALSE)</f>
        <v>0</v>
      </c>
      <c r="BC46" s="13">
        <f ca="1">VLOOKUP($B46,'[1]Analisys QBR By Machine Report'!$C$109:$BD$166,50,FALSE)</f>
        <v>0</v>
      </c>
      <c r="BD46" s="13">
        <f ca="1">VLOOKUP($B46,'[1]Analisys QBR By Machine Report'!$C$109:$BD$166,51,FALSE)</f>
        <v>1539</v>
      </c>
      <c r="BE46" s="13">
        <f ca="1">VLOOKUP($B46,'[1]Analisys QBR By Machine Report'!$C$109:$BD$166,52,FALSE)</f>
        <v>14</v>
      </c>
      <c r="BF46" s="13">
        <f ca="1">VLOOKUP($B46,'[1]Analisys QBR By Machine Report'!$C$109:$BD$166,53,FALSE)</f>
        <v>1525</v>
      </c>
    </row>
    <row r="47" spans="1:58" x14ac:dyDescent="0.25">
      <c r="A47" s="9" t="s">
        <v>103</v>
      </c>
      <c r="B47" s="10">
        <f ca="1">VLOOKUP($B47,'[1]Analisys QBR By Machine Report'!$C$109:$BD$166,2,FALSE)</f>
        <v>25920</v>
      </c>
      <c r="C47" s="11">
        <f ca="1">VLOOKUP($B47,[1]Dasboard_QBR_Report!$B$109:$BL$166,3,FALSE)</f>
        <v>8640</v>
      </c>
      <c r="D47" s="10">
        <f ca="1">VLOOKUP($B47,'[1]Analisys QBR By Machine Report'!$C$109:$BD$166,3,FALSE)</f>
        <v>25410</v>
      </c>
      <c r="E47" s="11">
        <f ca="1">VLOOKUP($B47,[1]Dasboard_QBR_Report!$B$109:$BL$166,5,FALSE)</f>
        <v>8130</v>
      </c>
      <c r="F47" s="10">
        <f t="shared" ca="1" si="0"/>
        <v>510</v>
      </c>
      <c r="G47" s="10">
        <f t="shared" ca="1" si="1"/>
        <v>90</v>
      </c>
      <c r="H47" s="10">
        <f ca="1">VLOOKUP($B47,'[1]Analisys QBR By Machine Report'!$C$109:$BD$166,4,FALSE)</f>
        <v>90</v>
      </c>
      <c r="I47" s="10">
        <f ca="1">VLOOKUP($B47,'[1]Analisys QBR By Machine Report'!$C$109:$BD$166,5,FALSE)</f>
        <v>0</v>
      </c>
      <c r="J47" s="10">
        <f ca="1">VLOOKUP($B47,'[1]Analisys QBR By Machine Report'!$C$109:$BD$166,6,FALSE)</f>
        <v>90</v>
      </c>
      <c r="K47" s="10">
        <f ca="1">VLOOKUP($B47,'[1]Analisys QBR By Machine Report'!$C$109:$BD$166,7,FALSE)</f>
        <v>0</v>
      </c>
      <c r="L47" s="10">
        <f ca="1">VLOOKUP($B47,'[1]Analisys QBR By Machine Report'!$C$109:$BD$166,8,FALSE)</f>
        <v>420</v>
      </c>
      <c r="M47" s="10">
        <f ca="1">VLOOKUP($B47,'[1]Analisys QBR By Machine Report'!$C$109:$BD$166,9,FALSE)</f>
        <v>135</v>
      </c>
      <c r="N47" s="10">
        <f ca="1">VLOOKUP($B47,[1]Dasboard_QBR_Report!$B$109:$BL$166,18,FALSE)</f>
        <v>285</v>
      </c>
      <c r="O47" s="10">
        <f ca="1">VLOOKUP($B47,'[1]Analisys QBR By Machine Report'!$C$109:$BD$166,10,FALSE)</f>
        <v>10</v>
      </c>
      <c r="P47" s="10">
        <f ca="1">VLOOKUP($B47,'[1]Analisys QBR By Machine Report'!$C$109:$BD$166,11,FALSE)</f>
        <v>10</v>
      </c>
      <c r="Q47" s="10">
        <f ca="1">VLOOKUP($B47,'[1]Analisys QBR By Machine Report'!$C$109:$BD$166,12,FALSE)</f>
        <v>0</v>
      </c>
      <c r="R47" s="10">
        <f ca="1">VLOOKUP($B47,'[1]Analisys QBR By Machine Report'!$C$109:$BD$166,13,FALSE)</f>
        <v>0</v>
      </c>
      <c r="S47" s="10">
        <f ca="1">VLOOKUP($B47,'[1]Analisys QBR By Machine Report'!$C$109:$BD$166,14,FALSE)</f>
        <v>0</v>
      </c>
      <c r="T47" s="10">
        <f ca="1">VLOOKUP($B47,'[1]Analisys QBR By Machine Report'!$C$109:$BD$166,15,FALSE)</f>
        <v>0</v>
      </c>
      <c r="U47" s="10">
        <f ca="1">VLOOKUP($B47,'[1]Analisys QBR By Machine Report'!$C$109:$BD$166,16,FALSE)</f>
        <v>0</v>
      </c>
      <c r="V47" s="10">
        <f ca="1">VLOOKUP($B47,'[1]Analisys QBR By Machine Report'!$C$109:$BD$166,17,FALSE)</f>
        <v>0</v>
      </c>
      <c r="W47" s="10">
        <f ca="1">VLOOKUP($B47,'[1]Analisys QBR By Machine Report'!$C$109:$BD$166,18,FALSE)</f>
        <v>0</v>
      </c>
      <c r="X47" s="10">
        <f ca="1">VLOOKUP($B47,'[1]Analisys QBR By Machine Report'!$C$109:$BD$166,19,FALSE)</f>
        <v>0</v>
      </c>
      <c r="Y47" s="10">
        <f ca="1">VLOOKUP($B47,'[1]Analisys QBR By Machine Report'!$C$109:$BD$166,20,FALSE)</f>
        <v>0</v>
      </c>
      <c r="Z47" s="10">
        <f ca="1">VLOOKUP($B47,'[1]Analisys QBR By Machine Report'!$C$109:$BD$166,21,FALSE)</f>
        <v>140</v>
      </c>
      <c r="AA47" s="10">
        <f ca="1">VLOOKUP($B47,'[1]Analisys QBR By Machine Report'!$C$109:$BD$166,22,FALSE)</f>
        <v>40</v>
      </c>
      <c r="AB47" s="10">
        <f ca="1">VLOOKUP($B47,'[1]Analisys QBR By Machine Report'!$C$109:$BD$166,23,FALSE)</f>
        <v>0</v>
      </c>
      <c r="AC47" s="10">
        <f ca="1">VLOOKUP($B47,'[1]Analisys QBR By Machine Report'!$C$109:$BD$166,24,FALSE)</f>
        <v>0</v>
      </c>
      <c r="AD47" s="10">
        <f ca="1">VLOOKUP($B47,'[1]Analisys QBR By Machine Report'!$C$109:$BD$166,25,FALSE)</f>
        <v>0</v>
      </c>
      <c r="AE47" s="10">
        <f ca="1">VLOOKUP($B47,'[1]Analisys QBR By Machine Report'!$C$109:$BD$166,26,FALSE)</f>
        <v>100</v>
      </c>
      <c r="AF47" s="10">
        <f ca="1">VLOOKUP($B47,'[1]Analisys QBR By Machine Report'!$C$109:$BD$166,27,FALSE)</f>
        <v>0</v>
      </c>
      <c r="AG47" s="10">
        <f ca="1">VLOOKUP($B47,'[1]Analisys QBR By Machine Report'!$C$109:$BD$166,28,FALSE)</f>
        <v>0</v>
      </c>
      <c r="AH47" s="10">
        <f ca="1">VLOOKUP($B47,'[1]Analisys QBR By Machine Report'!$C$109:$BD$166,29,FALSE)</f>
        <v>0</v>
      </c>
      <c r="AI47" s="10">
        <f ca="1">VLOOKUP($B47,'[1]Analisys QBR By Machine Report'!$C$109:$BD$166,30,FALSE)</f>
        <v>135</v>
      </c>
      <c r="AJ47" s="10">
        <f ca="1">VLOOKUP($B47,'[1]Analisys QBR By Machine Report'!$C$109:$BD$166,31,FALSE)</f>
        <v>0</v>
      </c>
      <c r="AK47" s="10">
        <f ca="1">VLOOKUP($B47,'[1]Analisys QBR By Machine Report'!$C$109:$BD$166,32,FALSE)</f>
        <v>0</v>
      </c>
      <c r="AL47" s="10">
        <f ca="1">VLOOKUP($B47,'[1]Analisys QBR By Machine Report'!$C$109:$BD$166,33,FALSE)</f>
        <v>0</v>
      </c>
      <c r="AM47" s="10">
        <f ca="1">VLOOKUP($B47,'[1]Analisys QBR By Machine Report'!$C$109:$BD$166,34,FALSE)</f>
        <v>0</v>
      </c>
      <c r="AN47" s="10">
        <f ca="1">VLOOKUP($B47,'[1]Analisys QBR By Machine Report'!$C$109:$BD$166,35,FALSE)</f>
        <v>45</v>
      </c>
      <c r="AO47" s="10">
        <f ca="1">VLOOKUP($B47,'[1]Analisys QBR By Machine Report'!$C$109:$BD$166,36,FALSE)</f>
        <v>0</v>
      </c>
      <c r="AP47" s="10">
        <f ca="1">VLOOKUP($B47,'[1]Analisys QBR By Machine Report'!$C$109:$BD$166,37,FALSE)</f>
        <v>0</v>
      </c>
      <c r="AQ47" s="10">
        <f ca="1">VLOOKUP($B47,'[1]Analisys QBR By Machine Report'!$C$109:$BD$166,38,FALSE)</f>
        <v>0</v>
      </c>
      <c r="AR47" s="10">
        <f ca="1">VLOOKUP($B47,'[1]Analisys QBR By Machine Report'!$C$109:$BD$166,39,FALSE)</f>
        <v>60</v>
      </c>
      <c r="AS47" s="10">
        <f ca="1">VLOOKUP($B47,'[1]Analisys QBR By Machine Report'!$C$109:$BD$166,40,FALSE)</f>
        <v>20</v>
      </c>
      <c r="AT47" s="10">
        <f ca="1">VLOOKUP($B47,'[1]Analisys QBR By Machine Report'!$C$109:$BD$166,41,FALSE)</f>
        <v>0</v>
      </c>
      <c r="AU47" s="10">
        <f ca="1">VLOOKUP($B47,'[1]Analisys QBR By Machine Report'!$C$109:$BD$166,42,FALSE)</f>
        <v>0</v>
      </c>
      <c r="AV47" s="10">
        <f ca="1">VLOOKUP($B47,'[1]Analisys QBR By Machine Report'!$C$109:$BD$166,43,FALSE)</f>
        <v>0</v>
      </c>
      <c r="AW47" s="10">
        <f ca="1">VLOOKUP($B47,'[1]Analisys QBR By Machine Report'!$C$109:$BD$166,44,FALSE)</f>
        <v>0</v>
      </c>
      <c r="AX47" s="10">
        <f ca="1">VLOOKUP($B47,'[1]Analisys QBR By Machine Report'!$C$109:$BD$166,45,FALSE)</f>
        <v>0</v>
      </c>
      <c r="AY47" s="10">
        <f ca="1">VLOOKUP($B47,'[1]Analisys QBR By Machine Report'!$C$109:$BD$166,46,FALSE)</f>
        <v>0</v>
      </c>
      <c r="AZ47" s="10">
        <f ca="1">VLOOKUP($B47,'[1]Analisys QBR By Machine Report'!$C$109:$BD$166,47,FALSE)</f>
        <v>10</v>
      </c>
      <c r="BA47" s="10">
        <f ca="1">VLOOKUP($B47,'[1]Analisys QBR By Machine Report'!$C$109:$BD$166,48,FALSE)</f>
        <v>0</v>
      </c>
      <c r="BB47" s="10">
        <f ca="1">VLOOKUP($B47,'[1]Analisys QBR By Machine Report'!$C$109:$BD$166,49,FALSE)</f>
        <v>0</v>
      </c>
      <c r="BC47" s="10">
        <f ca="1">VLOOKUP($B47,'[1]Analisys QBR By Machine Report'!$C$109:$BD$166,50,FALSE)</f>
        <v>0</v>
      </c>
      <c r="BD47" s="10">
        <f ca="1">VLOOKUP($B47,'[1]Analisys QBR By Machine Report'!$C$109:$BD$166,51,FALSE)</f>
        <v>100672</v>
      </c>
      <c r="BE47" s="10">
        <f ca="1">VLOOKUP($B47,'[1]Analisys QBR By Machine Report'!$C$109:$BD$166,52,FALSE)</f>
        <v>168</v>
      </c>
      <c r="BF47" s="10">
        <f ca="1">VLOOKUP($B47,'[1]Analisys QBR By Machine Report'!$C$109:$BD$166,53,FALSE)</f>
        <v>100504</v>
      </c>
    </row>
    <row r="48" spans="1:58" x14ac:dyDescent="0.25">
      <c r="A48" s="12" t="s">
        <v>104</v>
      </c>
      <c r="B48" s="13">
        <f ca="1">VLOOKUP($B48,'[1]Analisys QBR By Machine Report'!$C$109:$BD$166,2,FALSE)</f>
        <v>25920</v>
      </c>
      <c r="C48" s="14">
        <f ca="1">VLOOKUP($B48,[1]Dasboard_QBR_Report!$B$109:$BL$166,3,FALSE)</f>
        <v>8640</v>
      </c>
      <c r="D48" s="13">
        <f ca="1">VLOOKUP($B48,'[1]Analisys QBR By Machine Report'!$C$109:$BD$166,3,FALSE)</f>
        <v>25410</v>
      </c>
      <c r="E48" s="14">
        <f ca="1">VLOOKUP($B48,[1]Dasboard_QBR_Report!$B$109:$BL$166,5,FALSE)</f>
        <v>8130</v>
      </c>
      <c r="F48" s="13">
        <f t="shared" ca="1" si="0"/>
        <v>510</v>
      </c>
      <c r="G48" s="13">
        <f t="shared" ca="1" si="1"/>
        <v>90</v>
      </c>
      <c r="H48" s="13">
        <f ca="1">VLOOKUP($B48,'[1]Analisys QBR By Machine Report'!$C$109:$BD$166,4,FALSE)</f>
        <v>90</v>
      </c>
      <c r="I48" s="13">
        <f ca="1">VLOOKUP($B48,'[1]Analisys QBR By Machine Report'!$C$109:$BD$166,5,FALSE)</f>
        <v>0</v>
      </c>
      <c r="J48" s="13">
        <f ca="1">VLOOKUP($B48,'[1]Analisys QBR By Machine Report'!$C$109:$BD$166,6,FALSE)</f>
        <v>90</v>
      </c>
      <c r="K48" s="13">
        <f ca="1">VLOOKUP($B48,'[1]Analisys QBR By Machine Report'!$C$109:$BD$166,7,FALSE)</f>
        <v>0</v>
      </c>
      <c r="L48" s="13">
        <f ca="1">VLOOKUP($B48,'[1]Analisys QBR By Machine Report'!$C$109:$BD$166,8,FALSE)</f>
        <v>420</v>
      </c>
      <c r="M48" s="13">
        <f ca="1">VLOOKUP($B48,'[1]Analisys QBR By Machine Report'!$C$109:$BD$166,9,FALSE)</f>
        <v>135</v>
      </c>
      <c r="N48" s="13">
        <f ca="1">VLOOKUP($B48,[1]Dasboard_QBR_Report!$B$109:$BL$166,18,FALSE)</f>
        <v>285</v>
      </c>
      <c r="O48" s="13">
        <f ca="1">VLOOKUP($B48,'[1]Analisys QBR By Machine Report'!$C$109:$BD$166,10,FALSE)</f>
        <v>10</v>
      </c>
      <c r="P48" s="13">
        <f ca="1">VLOOKUP($B48,'[1]Analisys QBR By Machine Report'!$C$109:$BD$166,11,FALSE)</f>
        <v>10</v>
      </c>
      <c r="Q48" s="13">
        <f ca="1">VLOOKUP($B48,'[1]Analisys QBR By Machine Report'!$C$109:$BD$166,12,FALSE)</f>
        <v>0</v>
      </c>
      <c r="R48" s="13">
        <f ca="1">VLOOKUP($B48,'[1]Analisys QBR By Machine Report'!$C$109:$BD$166,13,FALSE)</f>
        <v>0</v>
      </c>
      <c r="S48" s="13">
        <f ca="1">VLOOKUP($B48,'[1]Analisys QBR By Machine Report'!$C$109:$BD$166,14,FALSE)</f>
        <v>0</v>
      </c>
      <c r="T48" s="13">
        <f ca="1">VLOOKUP($B48,'[1]Analisys QBR By Machine Report'!$C$109:$BD$166,15,FALSE)</f>
        <v>0</v>
      </c>
      <c r="U48" s="13">
        <f ca="1">VLOOKUP($B48,'[1]Analisys QBR By Machine Report'!$C$109:$BD$166,16,FALSE)</f>
        <v>0</v>
      </c>
      <c r="V48" s="13">
        <f ca="1">VLOOKUP($B48,'[1]Analisys QBR By Machine Report'!$C$109:$BD$166,17,FALSE)</f>
        <v>0</v>
      </c>
      <c r="W48" s="13">
        <f ca="1">VLOOKUP($B48,'[1]Analisys QBR By Machine Report'!$C$109:$BD$166,18,FALSE)</f>
        <v>0</v>
      </c>
      <c r="X48" s="13">
        <f ca="1">VLOOKUP($B48,'[1]Analisys QBR By Machine Report'!$C$109:$BD$166,19,FALSE)</f>
        <v>0</v>
      </c>
      <c r="Y48" s="13">
        <f ca="1">VLOOKUP($B48,'[1]Analisys QBR By Machine Report'!$C$109:$BD$166,20,FALSE)</f>
        <v>0</v>
      </c>
      <c r="Z48" s="13">
        <f ca="1">VLOOKUP($B48,'[1]Analisys QBR By Machine Report'!$C$109:$BD$166,21,FALSE)</f>
        <v>140</v>
      </c>
      <c r="AA48" s="13">
        <f ca="1">VLOOKUP($B48,'[1]Analisys QBR By Machine Report'!$C$109:$BD$166,22,FALSE)</f>
        <v>40</v>
      </c>
      <c r="AB48" s="13">
        <f ca="1">VLOOKUP($B48,'[1]Analisys QBR By Machine Report'!$C$109:$BD$166,23,FALSE)</f>
        <v>0</v>
      </c>
      <c r="AC48" s="13">
        <f ca="1">VLOOKUP($B48,'[1]Analisys QBR By Machine Report'!$C$109:$BD$166,24,FALSE)</f>
        <v>0</v>
      </c>
      <c r="AD48" s="13">
        <f ca="1">VLOOKUP($B48,'[1]Analisys QBR By Machine Report'!$C$109:$BD$166,25,FALSE)</f>
        <v>0</v>
      </c>
      <c r="AE48" s="13">
        <f ca="1">VLOOKUP($B48,'[1]Analisys QBR By Machine Report'!$C$109:$BD$166,26,FALSE)</f>
        <v>100</v>
      </c>
      <c r="AF48" s="13">
        <f ca="1">VLOOKUP($B48,'[1]Analisys QBR By Machine Report'!$C$109:$BD$166,27,FALSE)</f>
        <v>0</v>
      </c>
      <c r="AG48" s="13">
        <f ca="1">VLOOKUP($B48,'[1]Analisys QBR By Machine Report'!$C$109:$BD$166,28,FALSE)</f>
        <v>0</v>
      </c>
      <c r="AH48" s="13">
        <f ca="1">VLOOKUP($B48,'[1]Analisys QBR By Machine Report'!$C$109:$BD$166,29,FALSE)</f>
        <v>0</v>
      </c>
      <c r="AI48" s="13">
        <f ca="1">VLOOKUP($B48,'[1]Analisys QBR By Machine Report'!$C$109:$BD$166,30,FALSE)</f>
        <v>135</v>
      </c>
      <c r="AJ48" s="13">
        <f ca="1">VLOOKUP($B48,'[1]Analisys QBR By Machine Report'!$C$109:$BD$166,31,FALSE)</f>
        <v>0</v>
      </c>
      <c r="AK48" s="13">
        <f ca="1">VLOOKUP($B48,'[1]Analisys QBR By Machine Report'!$C$109:$BD$166,32,FALSE)</f>
        <v>0</v>
      </c>
      <c r="AL48" s="13">
        <f ca="1">VLOOKUP($B48,'[1]Analisys QBR By Machine Report'!$C$109:$BD$166,33,FALSE)</f>
        <v>0</v>
      </c>
      <c r="AM48" s="13">
        <f ca="1">VLOOKUP($B48,'[1]Analisys QBR By Machine Report'!$C$109:$BD$166,34,FALSE)</f>
        <v>0</v>
      </c>
      <c r="AN48" s="13">
        <f ca="1">VLOOKUP($B48,'[1]Analisys QBR By Machine Report'!$C$109:$BD$166,35,FALSE)</f>
        <v>45</v>
      </c>
      <c r="AO48" s="13">
        <f ca="1">VLOOKUP($B48,'[1]Analisys QBR By Machine Report'!$C$109:$BD$166,36,FALSE)</f>
        <v>0</v>
      </c>
      <c r="AP48" s="13">
        <f ca="1">VLOOKUP($B48,'[1]Analisys QBR By Machine Report'!$C$109:$BD$166,37,FALSE)</f>
        <v>0</v>
      </c>
      <c r="AQ48" s="13">
        <f ca="1">VLOOKUP($B48,'[1]Analisys QBR By Machine Report'!$C$109:$BD$166,38,FALSE)</f>
        <v>0</v>
      </c>
      <c r="AR48" s="13">
        <f ca="1">VLOOKUP($B48,'[1]Analisys QBR By Machine Report'!$C$109:$BD$166,39,FALSE)</f>
        <v>60</v>
      </c>
      <c r="AS48" s="13">
        <f ca="1">VLOOKUP($B48,'[1]Analisys QBR By Machine Report'!$C$109:$BD$166,40,FALSE)</f>
        <v>20</v>
      </c>
      <c r="AT48" s="13">
        <f ca="1">VLOOKUP($B48,'[1]Analisys QBR By Machine Report'!$C$109:$BD$166,41,FALSE)</f>
        <v>0</v>
      </c>
      <c r="AU48" s="13">
        <f ca="1">VLOOKUP($B48,'[1]Analisys QBR By Machine Report'!$C$109:$BD$166,42,FALSE)</f>
        <v>0</v>
      </c>
      <c r="AV48" s="13">
        <f ca="1">VLOOKUP($B48,'[1]Analisys QBR By Machine Report'!$C$109:$BD$166,43,FALSE)</f>
        <v>0</v>
      </c>
      <c r="AW48" s="13">
        <f ca="1">VLOOKUP($B48,'[1]Analisys QBR By Machine Report'!$C$109:$BD$166,44,FALSE)</f>
        <v>0</v>
      </c>
      <c r="AX48" s="13">
        <f ca="1">VLOOKUP($B48,'[1]Analisys QBR By Machine Report'!$C$109:$BD$166,45,FALSE)</f>
        <v>0</v>
      </c>
      <c r="AY48" s="13">
        <f ca="1">VLOOKUP($B48,'[1]Analisys QBR By Machine Report'!$C$109:$BD$166,46,FALSE)</f>
        <v>0</v>
      </c>
      <c r="AZ48" s="13">
        <f ca="1">VLOOKUP($B48,'[1]Analisys QBR By Machine Report'!$C$109:$BD$166,47,FALSE)</f>
        <v>10</v>
      </c>
      <c r="BA48" s="13">
        <f ca="1">VLOOKUP($B48,'[1]Analisys QBR By Machine Report'!$C$109:$BD$166,48,FALSE)</f>
        <v>0</v>
      </c>
      <c r="BB48" s="13">
        <f ca="1">VLOOKUP($B48,'[1]Analisys QBR By Machine Report'!$C$109:$BD$166,49,FALSE)</f>
        <v>0</v>
      </c>
      <c r="BC48" s="13">
        <f ca="1">VLOOKUP($B48,'[1]Analisys QBR By Machine Report'!$C$109:$BD$166,50,FALSE)</f>
        <v>0</v>
      </c>
      <c r="BD48" s="13">
        <f ca="1">VLOOKUP($B48,'[1]Analisys QBR By Machine Report'!$C$109:$BD$166,51,FALSE)</f>
        <v>100672</v>
      </c>
      <c r="BE48" s="13">
        <f ca="1">VLOOKUP($B48,'[1]Analisys QBR By Machine Report'!$C$109:$BD$166,52,FALSE)</f>
        <v>168</v>
      </c>
      <c r="BF48" s="13">
        <f ca="1">VLOOKUP($B48,'[1]Analisys QBR By Machine Report'!$C$109:$BD$166,53,FALSE)</f>
        <v>100504</v>
      </c>
    </row>
    <row r="49" spans="1:58" x14ac:dyDescent="0.25">
      <c r="A49" s="9" t="s">
        <v>105</v>
      </c>
      <c r="B49" s="10">
        <f ca="1">VLOOKUP($B49,'[1]Analisys QBR By Machine Report'!$C$109:$BD$166,2,FALSE)</f>
        <v>25920</v>
      </c>
      <c r="C49" s="11">
        <f ca="1">VLOOKUP($B49,[1]Dasboard_QBR_Report!$B$109:$BL$166,3,FALSE)</f>
        <v>8640</v>
      </c>
      <c r="D49" s="10">
        <f ca="1">VLOOKUP($B49,'[1]Analisys QBR By Machine Report'!$C$109:$BD$166,3,FALSE)</f>
        <v>25410</v>
      </c>
      <c r="E49" s="11">
        <f ca="1">VLOOKUP($B49,[1]Dasboard_QBR_Report!$B$109:$BL$166,5,FALSE)</f>
        <v>8130</v>
      </c>
      <c r="F49" s="10">
        <f t="shared" ca="1" si="0"/>
        <v>510</v>
      </c>
      <c r="G49" s="10">
        <f t="shared" ca="1" si="1"/>
        <v>30</v>
      </c>
      <c r="H49" s="10">
        <f ca="1">VLOOKUP($B49,'[1]Analisys QBR By Machine Report'!$C$109:$BD$166,4,FALSE)</f>
        <v>30</v>
      </c>
      <c r="I49" s="10">
        <f ca="1">VLOOKUP($B49,'[1]Analisys QBR By Machine Report'!$C$109:$BD$166,5,FALSE)</f>
        <v>30</v>
      </c>
      <c r="J49" s="10">
        <f ca="1">VLOOKUP($B49,'[1]Analisys QBR By Machine Report'!$C$109:$BD$166,6,FALSE)</f>
        <v>0</v>
      </c>
      <c r="K49" s="10">
        <f ca="1">VLOOKUP($B49,'[1]Analisys QBR By Machine Report'!$C$109:$BD$166,7,FALSE)</f>
        <v>0</v>
      </c>
      <c r="L49" s="10">
        <f ca="1">VLOOKUP($B49,'[1]Analisys QBR By Machine Report'!$C$109:$BD$166,8,FALSE)</f>
        <v>480</v>
      </c>
      <c r="M49" s="10">
        <f ca="1">VLOOKUP($B49,'[1]Analisys QBR By Machine Report'!$C$109:$BD$166,9,FALSE)</f>
        <v>125</v>
      </c>
      <c r="N49" s="10">
        <f ca="1">VLOOKUP($B49,[1]Dasboard_QBR_Report!$B$109:$BL$166,18,FALSE)</f>
        <v>355</v>
      </c>
      <c r="O49" s="10">
        <f ca="1">VLOOKUP($B49,'[1]Analisys QBR By Machine Report'!$C$109:$BD$166,10,FALSE)</f>
        <v>105</v>
      </c>
      <c r="P49" s="10">
        <f ca="1">VLOOKUP($B49,'[1]Analisys QBR By Machine Report'!$C$109:$BD$166,11,FALSE)</f>
        <v>45</v>
      </c>
      <c r="Q49" s="10">
        <f ca="1">VLOOKUP($B49,'[1]Analisys QBR By Machine Report'!$C$109:$BD$166,12,FALSE)</f>
        <v>0</v>
      </c>
      <c r="R49" s="10">
        <f ca="1">VLOOKUP($B49,'[1]Analisys QBR By Machine Report'!$C$109:$BD$166,13,FALSE)</f>
        <v>60</v>
      </c>
      <c r="S49" s="10">
        <f ca="1">VLOOKUP($B49,'[1]Analisys QBR By Machine Report'!$C$109:$BD$166,14,FALSE)</f>
        <v>0</v>
      </c>
      <c r="T49" s="10">
        <f ca="1">VLOOKUP($B49,'[1]Analisys QBR By Machine Report'!$C$109:$BD$166,15,FALSE)</f>
        <v>0</v>
      </c>
      <c r="U49" s="10">
        <f ca="1">VLOOKUP($B49,'[1]Analisys QBR By Machine Report'!$C$109:$BD$166,16,FALSE)</f>
        <v>0</v>
      </c>
      <c r="V49" s="10">
        <f ca="1">VLOOKUP($B49,'[1]Analisys QBR By Machine Report'!$C$109:$BD$166,17,FALSE)</f>
        <v>0</v>
      </c>
      <c r="W49" s="10">
        <f ca="1">VLOOKUP($B49,'[1]Analisys QBR By Machine Report'!$C$109:$BD$166,18,FALSE)</f>
        <v>0</v>
      </c>
      <c r="X49" s="10">
        <f ca="1">VLOOKUP($B49,'[1]Analisys QBR By Machine Report'!$C$109:$BD$166,19,FALSE)</f>
        <v>0</v>
      </c>
      <c r="Y49" s="10">
        <f ca="1">VLOOKUP($B49,'[1]Analisys QBR By Machine Report'!$C$109:$BD$166,20,FALSE)</f>
        <v>0</v>
      </c>
      <c r="Z49" s="10">
        <f ca="1">VLOOKUP($B49,'[1]Analisys QBR By Machine Report'!$C$109:$BD$166,21,FALSE)</f>
        <v>175</v>
      </c>
      <c r="AA49" s="10">
        <f ca="1">VLOOKUP($B49,'[1]Analisys QBR By Machine Report'!$C$109:$BD$166,22,FALSE)</f>
        <v>70</v>
      </c>
      <c r="AB49" s="10">
        <f ca="1">VLOOKUP($B49,'[1]Analisys QBR By Machine Report'!$C$109:$BD$166,23,FALSE)</f>
        <v>105</v>
      </c>
      <c r="AC49" s="10">
        <f ca="1">VLOOKUP($B49,'[1]Analisys QBR By Machine Report'!$C$109:$BD$166,24,FALSE)</f>
        <v>0</v>
      </c>
      <c r="AD49" s="10">
        <f ca="1">VLOOKUP($B49,'[1]Analisys QBR By Machine Report'!$C$109:$BD$166,25,FALSE)</f>
        <v>0</v>
      </c>
      <c r="AE49" s="10">
        <f ca="1">VLOOKUP($B49,'[1]Analisys QBR By Machine Report'!$C$109:$BD$166,26,FALSE)</f>
        <v>0</v>
      </c>
      <c r="AF49" s="10">
        <f ca="1">VLOOKUP($B49,'[1]Analisys QBR By Machine Report'!$C$109:$BD$166,27,FALSE)</f>
        <v>0</v>
      </c>
      <c r="AG49" s="10">
        <f ca="1">VLOOKUP($B49,'[1]Analisys QBR By Machine Report'!$C$109:$BD$166,28,FALSE)</f>
        <v>0</v>
      </c>
      <c r="AH49" s="10">
        <f ca="1">VLOOKUP($B49,'[1]Analisys QBR By Machine Report'!$C$109:$BD$166,29,FALSE)</f>
        <v>0</v>
      </c>
      <c r="AI49" s="10">
        <f ca="1">VLOOKUP($B49,'[1]Analisys QBR By Machine Report'!$C$109:$BD$166,30,FALSE)</f>
        <v>75</v>
      </c>
      <c r="AJ49" s="10">
        <f ca="1">VLOOKUP($B49,'[1]Analisys QBR By Machine Report'!$C$109:$BD$166,31,FALSE)</f>
        <v>0</v>
      </c>
      <c r="AK49" s="10">
        <f ca="1">VLOOKUP($B49,'[1]Analisys QBR By Machine Report'!$C$109:$BD$166,32,FALSE)</f>
        <v>0</v>
      </c>
      <c r="AL49" s="10">
        <f ca="1">VLOOKUP($B49,'[1]Analisys QBR By Machine Report'!$C$109:$BD$166,33,FALSE)</f>
        <v>30</v>
      </c>
      <c r="AM49" s="10">
        <f ca="1">VLOOKUP($B49,'[1]Analisys QBR By Machine Report'!$C$109:$BD$166,34,FALSE)</f>
        <v>0</v>
      </c>
      <c r="AN49" s="10">
        <f ca="1">VLOOKUP($B49,'[1]Analisys QBR By Machine Report'!$C$109:$BD$166,35,FALSE)</f>
        <v>15</v>
      </c>
      <c r="AO49" s="10">
        <f ca="1">VLOOKUP($B49,'[1]Analisys QBR By Machine Report'!$C$109:$BD$166,36,FALSE)</f>
        <v>0</v>
      </c>
      <c r="AP49" s="10">
        <f ca="1">VLOOKUP($B49,'[1]Analisys QBR By Machine Report'!$C$109:$BD$166,37,FALSE)</f>
        <v>0</v>
      </c>
      <c r="AQ49" s="10">
        <f ca="1">VLOOKUP($B49,'[1]Analisys QBR By Machine Report'!$C$109:$BD$166,38,FALSE)</f>
        <v>0</v>
      </c>
      <c r="AR49" s="10">
        <f ca="1">VLOOKUP($B49,'[1]Analisys QBR By Machine Report'!$C$109:$BD$166,39,FALSE)</f>
        <v>0</v>
      </c>
      <c r="AS49" s="10">
        <f ca="1">VLOOKUP($B49,'[1]Analisys QBR By Machine Report'!$C$109:$BD$166,40,FALSE)</f>
        <v>0</v>
      </c>
      <c r="AT49" s="10">
        <f ca="1">VLOOKUP($B49,'[1]Analisys QBR By Machine Report'!$C$109:$BD$166,41,FALSE)</f>
        <v>0</v>
      </c>
      <c r="AU49" s="10">
        <f ca="1">VLOOKUP($B49,'[1]Analisys QBR By Machine Report'!$C$109:$BD$166,42,FALSE)</f>
        <v>0</v>
      </c>
      <c r="AV49" s="10">
        <f ca="1">VLOOKUP($B49,'[1]Analisys QBR By Machine Report'!$C$109:$BD$166,43,FALSE)</f>
        <v>0</v>
      </c>
      <c r="AW49" s="10">
        <f ca="1">VLOOKUP($B49,'[1]Analisys QBR By Machine Report'!$C$109:$BD$166,44,FALSE)</f>
        <v>0</v>
      </c>
      <c r="AX49" s="10">
        <f ca="1">VLOOKUP($B49,'[1]Analisys QBR By Machine Report'!$C$109:$BD$166,45,FALSE)</f>
        <v>0</v>
      </c>
      <c r="AY49" s="10">
        <f ca="1">VLOOKUP($B49,'[1]Analisys QBR By Machine Report'!$C$109:$BD$166,46,FALSE)</f>
        <v>0</v>
      </c>
      <c r="AZ49" s="10">
        <f ca="1">VLOOKUP($B49,'[1]Analisys QBR By Machine Report'!$C$109:$BD$166,47,FALSE)</f>
        <v>30</v>
      </c>
      <c r="BA49" s="10">
        <f ca="1">VLOOKUP($B49,'[1]Analisys QBR By Machine Report'!$C$109:$BD$166,48,FALSE)</f>
        <v>0</v>
      </c>
      <c r="BB49" s="10">
        <f ca="1">VLOOKUP($B49,'[1]Analisys QBR By Machine Report'!$C$109:$BD$166,49,FALSE)</f>
        <v>0</v>
      </c>
      <c r="BC49" s="10">
        <f ca="1">VLOOKUP($B49,'[1]Analisys QBR By Machine Report'!$C$109:$BD$166,50,FALSE)</f>
        <v>0</v>
      </c>
      <c r="BD49" s="10">
        <f ca="1">VLOOKUP($B49,'[1]Analisys QBR By Machine Report'!$C$109:$BD$166,51,FALSE)</f>
        <v>100829</v>
      </c>
      <c r="BE49" s="10">
        <f ca="1">VLOOKUP($B49,'[1]Analisys QBR By Machine Report'!$C$109:$BD$166,52,FALSE)</f>
        <v>489</v>
      </c>
      <c r="BF49" s="10">
        <f ca="1">VLOOKUP($B49,'[1]Analisys QBR By Machine Report'!$C$109:$BD$166,53,FALSE)</f>
        <v>100340</v>
      </c>
    </row>
    <row r="50" spans="1:58" x14ac:dyDescent="0.25">
      <c r="A50" s="12" t="s">
        <v>106</v>
      </c>
      <c r="B50" s="13">
        <f ca="1">VLOOKUP($B50,'[1]Analisys QBR By Machine Report'!$C$109:$BD$166,2,FALSE)</f>
        <v>25920</v>
      </c>
      <c r="C50" s="14">
        <f ca="1">VLOOKUP($B50,[1]Dasboard_QBR_Report!$B$109:$BL$166,3,FALSE)</f>
        <v>8640</v>
      </c>
      <c r="D50" s="13">
        <f ca="1">VLOOKUP($B50,'[1]Analisys QBR By Machine Report'!$C$109:$BD$166,3,FALSE)</f>
        <v>25410</v>
      </c>
      <c r="E50" s="14">
        <f ca="1">VLOOKUP($B50,[1]Dasboard_QBR_Report!$B$109:$BL$166,5,FALSE)</f>
        <v>8130</v>
      </c>
      <c r="F50" s="13">
        <f t="shared" ca="1" si="0"/>
        <v>510</v>
      </c>
      <c r="G50" s="13">
        <f t="shared" ca="1" si="1"/>
        <v>30</v>
      </c>
      <c r="H50" s="13">
        <f ca="1">VLOOKUP($B50,'[1]Analisys QBR By Machine Report'!$C$109:$BD$166,4,FALSE)</f>
        <v>30</v>
      </c>
      <c r="I50" s="13">
        <f ca="1">VLOOKUP($B50,'[1]Analisys QBR By Machine Report'!$C$109:$BD$166,5,FALSE)</f>
        <v>30</v>
      </c>
      <c r="J50" s="13">
        <f ca="1">VLOOKUP($B50,'[1]Analisys QBR By Machine Report'!$C$109:$BD$166,6,FALSE)</f>
        <v>0</v>
      </c>
      <c r="K50" s="13">
        <f ca="1">VLOOKUP($B50,'[1]Analisys QBR By Machine Report'!$C$109:$BD$166,7,FALSE)</f>
        <v>0</v>
      </c>
      <c r="L50" s="13">
        <f ca="1">VLOOKUP($B50,'[1]Analisys QBR By Machine Report'!$C$109:$BD$166,8,FALSE)</f>
        <v>480</v>
      </c>
      <c r="M50" s="13">
        <f ca="1">VLOOKUP($B50,'[1]Analisys QBR By Machine Report'!$C$109:$BD$166,9,FALSE)</f>
        <v>125</v>
      </c>
      <c r="N50" s="13">
        <f ca="1">VLOOKUP($B50,[1]Dasboard_QBR_Report!$B$109:$BL$166,18,FALSE)</f>
        <v>355</v>
      </c>
      <c r="O50" s="13">
        <f ca="1">VLOOKUP($B50,'[1]Analisys QBR By Machine Report'!$C$109:$BD$166,10,FALSE)</f>
        <v>105</v>
      </c>
      <c r="P50" s="13">
        <f ca="1">VLOOKUP($B50,'[1]Analisys QBR By Machine Report'!$C$109:$BD$166,11,FALSE)</f>
        <v>45</v>
      </c>
      <c r="Q50" s="13">
        <f ca="1">VLOOKUP($B50,'[1]Analisys QBR By Machine Report'!$C$109:$BD$166,12,FALSE)</f>
        <v>0</v>
      </c>
      <c r="R50" s="13">
        <f ca="1">VLOOKUP($B50,'[1]Analisys QBR By Machine Report'!$C$109:$BD$166,13,FALSE)</f>
        <v>60</v>
      </c>
      <c r="S50" s="13">
        <f ca="1">VLOOKUP($B50,'[1]Analisys QBR By Machine Report'!$C$109:$BD$166,14,FALSE)</f>
        <v>0</v>
      </c>
      <c r="T50" s="13">
        <f ca="1">VLOOKUP($B50,'[1]Analisys QBR By Machine Report'!$C$109:$BD$166,15,FALSE)</f>
        <v>0</v>
      </c>
      <c r="U50" s="13">
        <f ca="1">VLOOKUP($B50,'[1]Analisys QBR By Machine Report'!$C$109:$BD$166,16,FALSE)</f>
        <v>0</v>
      </c>
      <c r="V50" s="13">
        <f ca="1">VLOOKUP($B50,'[1]Analisys QBR By Machine Report'!$C$109:$BD$166,17,FALSE)</f>
        <v>0</v>
      </c>
      <c r="W50" s="13">
        <f ca="1">VLOOKUP($B50,'[1]Analisys QBR By Machine Report'!$C$109:$BD$166,18,FALSE)</f>
        <v>0</v>
      </c>
      <c r="X50" s="13">
        <f ca="1">VLOOKUP($B50,'[1]Analisys QBR By Machine Report'!$C$109:$BD$166,19,FALSE)</f>
        <v>0</v>
      </c>
      <c r="Y50" s="13">
        <f ca="1">VLOOKUP($B50,'[1]Analisys QBR By Machine Report'!$C$109:$BD$166,20,FALSE)</f>
        <v>0</v>
      </c>
      <c r="Z50" s="13">
        <f ca="1">VLOOKUP($B50,'[1]Analisys QBR By Machine Report'!$C$109:$BD$166,21,FALSE)</f>
        <v>175</v>
      </c>
      <c r="AA50" s="13">
        <f ca="1">VLOOKUP($B50,'[1]Analisys QBR By Machine Report'!$C$109:$BD$166,22,FALSE)</f>
        <v>70</v>
      </c>
      <c r="AB50" s="13">
        <f ca="1">VLOOKUP($B50,'[1]Analisys QBR By Machine Report'!$C$109:$BD$166,23,FALSE)</f>
        <v>105</v>
      </c>
      <c r="AC50" s="13">
        <f ca="1">VLOOKUP($B50,'[1]Analisys QBR By Machine Report'!$C$109:$BD$166,24,FALSE)</f>
        <v>0</v>
      </c>
      <c r="AD50" s="13">
        <f ca="1">VLOOKUP($B50,'[1]Analisys QBR By Machine Report'!$C$109:$BD$166,25,FALSE)</f>
        <v>0</v>
      </c>
      <c r="AE50" s="13">
        <f ca="1">VLOOKUP($B50,'[1]Analisys QBR By Machine Report'!$C$109:$BD$166,26,FALSE)</f>
        <v>0</v>
      </c>
      <c r="AF50" s="13">
        <f ca="1">VLOOKUP($B50,'[1]Analisys QBR By Machine Report'!$C$109:$BD$166,27,FALSE)</f>
        <v>0</v>
      </c>
      <c r="AG50" s="13">
        <f ca="1">VLOOKUP($B50,'[1]Analisys QBR By Machine Report'!$C$109:$BD$166,28,FALSE)</f>
        <v>0</v>
      </c>
      <c r="AH50" s="13">
        <f ca="1">VLOOKUP($B50,'[1]Analisys QBR By Machine Report'!$C$109:$BD$166,29,FALSE)</f>
        <v>0</v>
      </c>
      <c r="AI50" s="13">
        <f ca="1">VLOOKUP($B50,'[1]Analisys QBR By Machine Report'!$C$109:$BD$166,30,FALSE)</f>
        <v>75</v>
      </c>
      <c r="AJ50" s="13">
        <f ca="1">VLOOKUP($B50,'[1]Analisys QBR By Machine Report'!$C$109:$BD$166,31,FALSE)</f>
        <v>0</v>
      </c>
      <c r="AK50" s="13">
        <f ca="1">VLOOKUP($B50,'[1]Analisys QBR By Machine Report'!$C$109:$BD$166,32,FALSE)</f>
        <v>0</v>
      </c>
      <c r="AL50" s="13">
        <f ca="1">VLOOKUP($B50,'[1]Analisys QBR By Machine Report'!$C$109:$BD$166,33,FALSE)</f>
        <v>30</v>
      </c>
      <c r="AM50" s="13">
        <f ca="1">VLOOKUP($B50,'[1]Analisys QBR By Machine Report'!$C$109:$BD$166,34,FALSE)</f>
        <v>0</v>
      </c>
      <c r="AN50" s="13">
        <f ca="1">VLOOKUP($B50,'[1]Analisys QBR By Machine Report'!$C$109:$BD$166,35,FALSE)</f>
        <v>15</v>
      </c>
      <c r="AO50" s="13">
        <f ca="1">VLOOKUP($B50,'[1]Analisys QBR By Machine Report'!$C$109:$BD$166,36,FALSE)</f>
        <v>0</v>
      </c>
      <c r="AP50" s="13">
        <f ca="1">VLOOKUP($B50,'[1]Analisys QBR By Machine Report'!$C$109:$BD$166,37,FALSE)</f>
        <v>0</v>
      </c>
      <c r="AQ50" s="13">
        <f ca="1">VLOOKUP($B50,'[1]Analisys QBR By Machine Report'!$C$109:$BD$166,38,FALSE)</f>
        <v>0</v>
      </c>
      <c r="AR50" s="13">
        <f ca="1">VLOOKUP($B50,'[1]Analisys QBR By Machine Report'!$C$109:$BD$166,39,FALSE)</f>
        <v>0</v>
      </c>
      <c r="AS50" s="13">
        <f ca="1">VLOOKUP($B50,'[1]Analisys QBR By Machine Report'!$C$109:$BD$166,40,FALSE)</f>
        <v>0</v>
      </c>
      <c r="AT50" s="13">
        <f ca="1">VLOOKUP($B50,'[1]Analisys QBR By Machine Report'!$C$109:$BD$166,41,FALSE)</f>
        <v>0</v>
      </c>
      <c r="AU50" s="13">
        <f ca="1">VLOOKUP($B50,'[1]Analisys QBR By Machine Report'!$C$109:$BD$166,42,FALSE)</f>
        <v>0</v>
      </c>
      <c r="AV50" s="13">
        <f ca="1">VLOOKUP($B50,'[1]Analisys QBR By Machine Report'!$C$109:$BD$166,43,FALSE)</f>
        <v>0</v>
      </c>
      <c r="AW50" s="13">
        <f ca="1">VLOOKUP($B50,'[1]Analisys QBR By Machine Report'!$C$109:$BD$166,44,FALSE)</f>
        <v>0</v>
      </c>
      <c r="AX50" s="13">
        <f ca="1">VLOOKUP($B50,'[1]Analisys QBR By Machine Report'!$C$109:$BD$166,45,FALSE)</f>
        <v>0</v>
      </c>
      <c r="AY50" s="13">
        <f ca="1">VLOOKUP($B50,'[1]Analisys QBR By Machine Report'!$C$109:$BD$166,46,FALSE)</f>
        <v>0</v>
      </c>
      <c r="AZ50" s="13">
        <f ca="1">VLOOKUP($B50,'[1]Analisys QBR By Machine Report'!$C$109:$BD$166,47,FALSE)</f>
        <v>30</v>
      </c>
      <c r="BA50" s="13">
        <f ca="1">VLOOKUP($B50,'[1]Analisys QBR By Machine Report'!$C$109:$BD$166,48,FALSE)</f>
        <v>0</v>
      </c>
      <c r="BB50" s="13">
        <f ca="1">VLOOKUP($B50,'[1]Analisys QBR By Machine Report'!$C$109:$BD$166,49,FALSE)</f>
        <v>0</v>
      </c>
      <c r="BC50" s="13">
        <f ca="1">VLOOKUP($B50,'[1]Analisys QBR By Machine Report'!$C$109:$BD$166,50,FALSE)</f>
        <v>0</v>
      </c>
      <c r="BD50" s="13">
        <f ca="1">VLOOKUP($B50,'[1]Analisys QBR By Machine Report'!$C$109:$BD$166,51,FALSE)</f>
        <v>100829</v>
      </c>
      <c r="BE50" s="13">
        <f ca="1">VLOOKUP($B50,'[1]Analisys QBR By Machine Report'!$C$109:$BD$166,52,FALSE)</f>
        <v>489</v>
      </c>
      <c r="BF50" s="13">
        <f ca="1">VLOOKUP($B50,'[1]Analisys QBR By Machine Report'!$C$109:$BD$166,53,FALSE)</f>
        <v>100340</v>
      </c>
    </row>
    <row r="51" spans="1:58" x14ac:dyDescent="0.25">
      <c r="A51" s="9" t="s">
        <v>107</v>
      </c>
      <c r="B51" s="10">
        <f ca="1">VLOOKUP($B51,'[1]Analisys QBR By Machine Report'!$C$109:$BD$166,2,FALSE)</f>
        <v>25920</v>
      </c>
      <c r="C51" s="11">
        <f ca="1">VLOOKUP($B51,[1]Dasboard_QBR_Report!$B$109:$BL$166,3,FALSE)</f>
        <v>16740</v>
      </c>
      <c r="D51" s="10">
        <f ca="1">VLOOKUP($B51,'[1]Analisys QBR By Machine Report'!$C$109:$BD$166,3,FALSE)</f>
        <v>19830</v>
      </c>
      <c r="E51" s="11">
        <f ca="1">VLOOKUP($B51,[1]Dasboard_QBR_Report!$B$109:$BL$166,5,FALSE)</f>
        <v>10650</v>
      </c>
      <c r="F51" s="10">
        <f t="shared" ca="1" si="0"/>
        <v>6090</v>
      </c>
      <c r="G51" s="10">
        <f t="shared" ca="1" si="1"/>
        <v>517</v>
      </c>
      <c r="H51" s="10">
        <f ca="1">VLOOKUP($B51,'[1]Analisys QBR By Machine Report'!$C$109:$BD$166,4,FALSE)</f>
        <v>517</v>
      </c>
      <c r="I51" s="10">
        <f ca="1">VLOOKUP($B51,'[1]Analisys QBR By Machine Report'!$C$109:$BD$166,5,FALSE)</f>
        <v>57</v>
      </c>
      <c r="J51" s="10">
        <f ca="1">VLOOKUP($B51,'[1]Analisys QBR By Machine Report'!$C$109:$BD$166,6,FALSE)</f>
        <v>460</v>
      </c>
      <c r="K51" s="10">
        <f ca="1">VLOOKUP($B51,'[1]Analisys QBR By Machine Report'!$C$109:$BD$166,7,FALSE)</f>
        <v>0</v>
      </c>
      <c r="L51" s="10">
        <f ca="1">VLOOKUP($B51,'[1]Analisys QBR By Machine Report'!$C$109:$BD$166,8,FALSE)</f>
        <v>5573</v>
      </c>
      <c r="M51" s="10">
        <f ca="1">VLOOKUP($B51,'[1]Analisys QBR By Machine Report'!$C$109:$BD$166,9,FALSE)</f>
        <v>1839</v>
      </c>
      <c r="N51" s="10">
        <f ca="1">VLOOKUP($B51,[1]Dasboard_QBR_Report!$B$109:$BL$166,18,FALSE)</f>
        <v>3734</v>
      </c>
      <c r="O51" s="10">
        <f ca="1">VLOOKUP($B51,'[1]Analisys QBR By Machine Report'!$C$109:$BD$166,10,FALSE)</f>
        <v>550</v>
      </c>
      <c r="P51" s="10">
        <f ca="1">VLOOKUP($B51,'[1]Analisys QBR By Machine Report'!$C$109:$BD$166,11,FALSE)</f>
        <v>430</v>
      </c>
      <c r="Q51" s="10">
        <f ca="1">VLOOKUP($B51,'[1]Analisys QBR By Machine Report'!$C$109:$BD$166,12,FALSE)</f>
        <v>0</v>
      </c>
      <c r="R51" s="10">
        <f ca="1">VLOOKUP($B51,'[1]Analisys QBR By Machine Report'!$C$109:$BD$166,13,FALSE)</f>
        <v>116</v>
      </c>
      <c r="S51" s="10">
        <f ca="1">VLOOKUP($B51,'[1]Analisys QBR By Machine Report'!$C$109:$BD$166,14,FALSE)</f>
        <v>4</v>
      </c>
      <c r="T51" s="10">
        <f ca="1">VLOOKUP($B51,'[1]Analisys QBR By Machine Report'!$C$109:$BD$166,15,FALSE)</f>
        <v>452</v>
      </c>
      <c r="U51" s="10">
        <f ca="1">VLOOKUP($B51,'[1]Analisys QBR By Machine Report'!$C$109:$BD$166,16,FALSE)</f>
        <v>276</v>
      </c>
      <c r="V51" s="10">
        <f ca="1">VLOOKUP($B51,'[1]Analisys QBR By Machine Report'!$C$109:$BD$166,17,FALSE)</f>
        <v>0</v>
      </c>
      <c r="W51" s="10">
        <f ca="1">VLOOKUP($B51,'[1]Analisys QBR By Machine Report'!$C$109:$BD$166,18,FALSE)</f>
        <v>0</v>
      </c>
      <c r="X51" s="10">
        <f ca="1">VLOOKUP($B51,'[1]Analisys QBR By Machine Report'!$C$109:$BD$166,19,FALSE)</f>
        <v>176</v>
      </c>
      <c r="Y51" s="10">
        <f ca="1">VLOOKUP($B51,'[1]Analisys QBR By Machine Report'!$C$109:$BD$166,20,FALSE)</f>
        <v>0</v>
      </c>
      <c r="Z51" s="10">
        <f ca="1">VLOOKUP($B51,'[1]Analisys QBR By Machine Report'!$C$109:$BD$166,21,FALSE)</f>
        <v>983</v>
      </c>
      <c r="AA51" s="10">
        <f ca="1">VLOOKUP($B51,'[1]Analisys QBR By Machine Report'!$C$109:$BD$166,22,FALSE)</f>
        <v>125</v>
      </c>
      <c r="AB51" s="10">
        <f ca="1">VLOOKUP($B51,'[1]Analisys QBR By Machine Report'!$C$109:$BD$166,23,FALSE)</f>
        <v>858</v>
      </c>
      <c r="AC51" s="10">
        <f ca="1">VLOOKUP($B51,'[1]Analisys QBR By Machine Report'!$C$109:$BD$166,24,FALSE)</f>
        <v>0</v>
      </c>
      <c r="AD51" s="10">
        <f ca="1">VLOOKUP($B51,'[1]Analisys QBR By Machine Report'!$C$109:$BD$166,25,FALSE)</f>
        <v>0</v>
      </c>
      <c r="AE51" s="10">
        <f ca="1">VLOOKUP($B51,'[1]Analisys QBR By Machine Report'!$C$109:$BD$166,26,FALSE)</f>
        <v>0</v>
      </c>
      <c r="AF51" s="10">
        <f ca="1">VLOOKUP($B51,'[1]Analisys QBR By Machine Report'!$C$109:$BD$166,27,FALSE)</f>
        <v>0</v>
      </c>
      <c r="AG51" s="10">
        <f ca="1">VLOOKUP($B51,'[1]Analisys QBR By Machine Report'!$C$109:$BD$166,28,FALSE)</f>
        <v>0</v>
      </c>
      <c r="AH51" s="10">
        <f ca="1">VLOOKUP($B51,'[1]Analisys QBR By Machine Report'!$C$109:$BD$166,29,FALSE)</f>
        <v>0</v>
      </c>
      <c r="AI51" s="10">
        <f ca="1">VLOOKUP($B51,'[1]Analisys QBR By Machine Report'!$C$109:$BD$166,30,FALSE)</f>
        <v>1749</v>
      </c>
      <c r="AJ51" s="10">
        <f ca="1">VLOOKUP($B51,'[1]Analisys QBR By Machine Report'!$C$109:$BD$166,31,FALSE)</f>
        <v>0</v>
      </c>
      <c r="AK51" s="10">
        <f ca="1">VLOOKUP($B51,'[1]Analisys QBR By Machine Report'!$C$109:$BD$166,32,FALSE)</f>
        <v>0</v>
      </c>
      <c r="AL51" s="10">
        <f ca="1">VLOOKUP($B51,'[1]Analisys QBR By Machine Report'!$C$109:$BD$166,33,FALSE)</f>
        <v>430</v>
      </c>
      <c r="AM51" s="10">
        <f ca="1">VLOOKUP($B51,'[1]Analisys QBR By Machine Report'!$C$109:$BD$166,34,FALSE)</f>
        <v>35</v>
      </c>
      <c r="AN51" s="10">
        <f ca="1">VLOOKUP($B51,'[1]Analisys QBR By Machine Report'!$C$109:$BD$166,35,FALSE)</f>
        <v>280</v>
      </c>
      <c r="AO51" s="10">
        <f ca="1">VLOOKUP($B51,'[1]Analisys QBR By Machine Report'!$C$109:$BD$166,36,FALSE)</f>
        <v>0</v>
      </c>
      <c r="AP51" s="10">
        <f ca="1">VLOOKUP($B51,'[1]Analisys QBR By Machine Report'!$C$109:$BD$166,37,FALSE)</f>
        <v>0</v>
      </c>
      <c r="AQ51" s="10">
        <f ca="1">VLOOKUP($B51,'[1]Analisys QBR By Machine Report'!$C$109:$BD$166,38,FALSE)</f>
        <v>247</v>
      </c>
      <c r="AR51" s="10">
        <f ca="1">VLOOKUP($B51,'[1]Analisys QBR By Machine Report'!$C$109:$BD$166,39,FALSE)</f>
        <v>0</v>
      </c>
      <c r="AS51" s="10">
        <f ca="1">VLOOKUP($B51,'[1]Analisys QBR By Machine Report'!$C$109:$BD$166,40,FALSE)</f>
        <v>73</v>
      </c>
      <c r="AT51" s="10">
        <f ca="1">VLOOKUP($B51,'[1]Analisys QBR By Machine Report'!$C$109:$BD$166,41,FALSE)</f>
        <v>0</v>
      </c>
      <c r="AU51" s="10">
        <f ca="1">VLOOKUP($B51,'[1]Analisys QBR By Machine Report'!$C$109:$BD$166,42,FALSE)</f>
        <v>0</v>
      </c>
      <c r="AV51" s="10">
        <f ca="1">VLOOKUP($B51,'[1]Analisys QBR By Machine Report'!$C$109:$BD$166,43,FALSE)</f>
        <v>684</v>
      </c>
      <c r="AW51" s="10">
        <f ca="1">VLOOKUP($B51,'[1]Analisys QBR By Machine Report'!$C$109:$BD$166,44,FALSE)</f>
        <v>0</v>
      </c>
      <c r="AX51" s="10">
        <f ca="1">VLOOKUP($B51,'[1]Analisys QBR By Machine Report'!$C$109:$BD$166,45,FALSE)</f>
        <v>0</v>
      </c>
      <c r="AY51" s="10">
        <f ca="1">VLOOKUP($B51,'[1]Analisys QBR By Machine Report'!$C$109:$BD$166,46,FALSE)</f>
        <v>0</v>
      </c>
      <c r="AZ51" s="10">
        <f ca="1">VLOOKUP($B51,'[1]Analisys QBR By Machine Report'!$C$109:$BD$166,47,FALSE)</f>
        <v>0</v>
      </c>
      <c r="BA51" s="10">
        <f ca="1">VLOOKUP($B51,'[1]Analisys QBR By Machine Report'!$C$109:$BD$166,48,FALSE)</f>
        <v>0</v>
      </c>
      <c r="BB51" s="10">
        <f ca="1">VLOOKUP($B51,'[1]Analisys QBR By Machine Report'!$C$109:$BD$166,49,FALSE)</f>
        <v>0</v>
      </c>
      <c r="BC51" s="10">
        <f ca="1">VLOOKUP($B51,'[1]Analisys QBR By Machine Report'!$C$109:$BD$166,50,FALSE)</f>
        <v>0</v>
      </c>
      <c r="BD51" s="10">
        <f ca="1">VLOOKUP($B51,'[1]Analisys QBR By Machine Report'!$C$109:$BD$166,51,FALSE)</f>
        <v>217220</v>
      </c>
      <c r="BE51" s="10">
        <f ca="1">VLOOKUP($B51,'[1]Analisys QBR By Machine Report'!$C$109:$BD$166,52,FALSE)</f>
        <v>8</v>
      </c>
      <c r="BF51" s="10">
        <f ca="1">VLOOKUP($B51,'[1]Analisys QBR By Machine Report'!$C$109:$BD$166,53,FALSE)</f>
        <v>217212</v>
      </c>
    </row>
    <row r="52" spans="1:58" x14ac:dyDescent="0.25">
      <c r="A52" s="12" t="s">
        <v>108</v>
      </c>
      <c r="B52" s="13">
        <f ca="1">VLOOKUP($B52,'[1]Analisys QBR By Machine Report'!$C$109:$BD$166,2,FALSE)</f>
        <v>25920</v>
      </c>
      <c r="C52" s="14">
        <f ca="1">VLOOKUP($B52,[1]Dasboard_QBR_Report!$B$109:$BL$166,3,FALSE)</f>
        <v>16740</v>
      </c>
      <c r="D52" s="13">
        <f ca="1">VLOOKUP($B52,'[1]Analisys QBR By Machine Report'!$C$109:$BD$166,3,FALSE)</f>
        <v>19830</v>
      </c>
      <c r="E52" s="14">
        <f ca="1">VLOOKUP($B52,[1]Dasboard_QBR_Report!$B$109:$BL$166,5,FALSE)</f>
        <v>10650</v>
      </c>
      <c r="F52" s="13">
        <f t="shared" ca="1" si="0"/>
        <v>6090</v>
      </c>
      <c r="G52" s="13">
        <f t="shared" ca="1" si="1"/>
        <v>517</v>
      </c>
      <c r="H52" s="13">
        <f ca="1">VLOOKUP($B52,'[1]Analisys QBR By Machine Report'!$C$109:$BD$166,4,FALSE)</f>
        <v>517</v>
      </c>
      <c r="I52" s="13">
        <f ca="1">VLOOKUP($B52,'[1]Analisys QBR By Machine Report'!$C$109:$BD$166,5,FALSE)</f>
        <v>57</v>
      </c>
      <c r="J52" s="13">
        <f ca="1">VLOOKUP($B52,'[1]Analisys QBR By Machine Report'!$C$109:$BD$166,6,FALSE)</f>
        <v>460</v>
      </c>
      <c r="K52" s="13">
        <f ca="1">VLOOKUP($B52,'[1]Analisys QBR By Machine Report'!$C$109:$BD$166,7,FALSE)</f>
        <v>0</v>
      </c>
      <c r="L52" s="13">
        <f ca="1">VLOOKUP($B52,'[1]Analisys QBR By Machine Report'!$C$109:$BD$166,8,FALSE)</f>
        <v>5573</v>
      </c>
      <c r="M52" s="13">
        <f ca="1">VLOOKUP($B52,'[1]Analisys QBR By Machine Report'!$C$109:$BD$166,9,FALSE)</f>
        <v>1839</v>
      </c>
      <c r="N52" s="13">
        <f ca="1">VLOOKUP($B52,[1]Dasboard_QBR_Report!$B$109:$BL$166,18,FALSE)</f>
        <v>3734</v>
      </c>
      <c r="O52" s="13">
        <f ca="1">VLOOKUP($B52,'[1]Analisys QBR By Machine Report'!$C$109:$BD$166,10,FALSE)</f>
        <v>550</v>
      </c>
      <c r="P52" s="13">
        <f ca="1">VLOOKUP($B52,'[1]Analisys QBR By Machine Report'!$C$109:$BD$166,11,FALSE)</f>
        <v>430</v>
      </c>
      <c r="Q52" s="13">
        <f ca="1">VLOOKUP($B52,'[1]Analisys QBR By Machine Report'!$C$109:$BD$166,12,FALSE)</f>
        <v>0</v>
      </c>
      <c r="R52" s="13">
        <f ca="1">VLOOKUP($B52,'[1]Analisys QBR By Machine Report'!$C$109:$BD$166,13,FALSE)</f>
        <v>116</v>
      </c>
      <c r="S52" s="13">
        <f ca="1">VLOOKUP($B52,'[1]Analisys QBR By Machine Report'!$C$109:$BD$166,14,FALSE)</f>
        <v>4</v>
      </c>
      <c r="T52" s="13">
        <f ca="1">VLOOKUP($B52,'[1]Analisys QBR By Machine Report'!$C$109:$BD$166,15,FALSE)</f>
        <v>452</v>
      </c>
      <c r="U52" s="13">
        <f ca="1">VLOOKUP($B52,'[1]Analisys QBR By Machine Report'!$C$109:$BD$166,16,FALSE)</f>
        <v>276</v>
      </c>
      <c r="V52" s="13">
        <f ca="1">VLOOKUP($B52,'[1]Analisys QBR By Machine Report'!$C$109:$BD$166,17,FALSE)</f>
        <v>0</v>
      </c>
      <c r="W52" s="13">
        <f ca="1">VLOOKUP($B52,'[1]Analisys QBR By Machine Report'!$C$109:$BD$166,18,FALSE)</f>
        <v>0</v>
      </c>
      <c r="X52" s="13">
        <f ca="1">VLOOKUP($B52,'[1]Analisys QBR By Machine Report'!$C$109:$BD$166,19,FALSE)</f>
        <v>176</v>
      </c>
      <c r="Y52" s="13">
        <f ca="1">VLOOKUP($B52,'[1]Analisys QBR By Machine Report'!$C$109:$BD$166,20,FALSE)</f>
        <v>0</v>
      </c>
      <c r="Z52" s="13">
        <f ca="1">VLOOKUP($B52,'[1]Analisys QBR By Machine Report'!$C$109:$BD$166,21,FALSE)</f>
        <v>983</v>
      </c>
      <c r="AA52" s="13">
        <f ca="1">VLOOKUP($B52,'[1]Analisys QBR By Machine Report'!$C$109:$BD$166,22,FALSE)</f>
        <v>125</v>
      </c>
      <c r="AB52" s="13">
        <f ca="1">VLOOKUP($B52,'[1]Analisys QBR By Machine Report'!$C$109:$BD$166,23,FALSE)</f>
        <v>858</v>
      </c>
      <c r="AC52" s="13">
        <f ca="1">VLOOKUP($B52,'[1]Analisys QBR By Machine Report'!$C$109:$BD$166,24,FALSE)</f>
        <v>0</v>
      </c>
      <c r="AD52" s="13">
        <f ca="1">VLOOKUP($B52,'[1]Analisys QBR By Machine Report'!$C$109:$BD$166,25,FALSE)</f>
        <v>0</v>
      </c>
      <c r="AE52" s="13">
        <f ca="1">VLOOKUP($B52,'[1]Analisys QBR By Machine Report'!$C$109:$BD$166,26,FALSE)</f>
        <v>0</v>
      </c>
      <c r="AF52" s="13">
        <f ca="1">VLOOKUP($B52,'[1]Analisys QBR By Machine Report'!$C$109:$BD$166,27,FALSE)</f>
        <v>0</v>
      </c>
      <c r="AG52" s="13">
        <f ca="1">VLOOKUP($B52,'[1]Analisys QBR By Machine Report'!$C$109:$BD$166,28,FALSE)</f>
        <v>0</v>
      </c>
      <c r="AH52" s="13">
        <f ca="1">VLOOKUP($B52,'[1]Analisys QBR By Machine Report'!$C$109:$BD$166,29,FALSE)</f>
        <v>0</v>
      </c>
      <c r="AI52" s="13">
        <f ca="1">VLOOKUP($B52,'[1]Analisys QBR By Machine Report'!$C$109:$BD$166,30,FALSE)</f>
        <v>1749</v>
      </c>
      <c r="AJ52" s="13">
        <f ca="1">VLOOKUP($B52,'[1]Analisys QBR By Machine Report'!$C$109:$BD$166,31,FALSE)</f>
        <v>0</v>
      </c>
      <c r="AK52" s="13">
        <f ca="1">VLOOKUP($B52,'[1]Analisys QBR By Machine Report'!$C$109:$BD$166,32,FALSE)</f>
        <v>0</v>
      </c>
      <c r="AL52" s="13">
        <f ca="1">VLOOKUP($B52,'[1]Analisys QBR By Machine Report'!$C$109:$BD$166,33,FALSE)</f>
        <v>430</v>
      </c>
      <c r="AM52" s="13">
        <f ca="1">VLOOKUP($B52,'[1]Analisys QBR By Machine Report'!$C$109:$BD$166,34,FALSE)</f>
        <v>35</v>
      </c>
      <c r="AN52" s="13">
        <f ca="1">VLOOKUP($B52,'[1]Analisys QBR By Machine Report'!$C$109:$BD$166,35,FALSE)</f>
        <v>280</v>
      </c>
      <c r="AO52" s="13">
        <f ca="1">VLOOKUP($B52,'[1]Analisys QBR By Machine Report'!$C$109:$BD$166,36,FALSE)</f>
        <v>0</v>
      </c>
      <c r="AP52" s="13">
        <f ca="1">VLOOKUP($B52,'[1]Analisys QBR By Machine Report'!$C$109:$BD$166,37,FALSE)</f>
        <v>0</v>
      </c>
      <c r="AQ52" s="13">
        <f ca="1">VLOOKUP($B52,'[1]Analisys QBR By Machine Report'!$C$109:$BD$166,38,FALSE)</f>
        <v>247</v>
      </c>
      <c r="AR52" s="13">
        <f ca="1">VLOOKUP($B52,'[1]Analisys QBR By Machine Report'!$C$109:$BD$166,39,FALSE)</f>
        <v>0</v>
      </c>
      <c r="AS52" s="13">
        <f ca="1">VLOOKUP($B52,'[1]Analisys QBR By Machine Report'!$C$109:$BD$166,40,FALSE)</f>
        <v>73</v>
      </c>
      <c r="AT52" s="13">
        <f ca="1">VLOOKUP($B52,'[1]Analisys QBR By Machine Report'!$C$109:$BD$166,41,FALSE)</f>
        <v>0</v>
      </c>
      <c r="AU52" s="13">
        <f ca="1">VLOOKUP($B52,'[1]Analisys QBR By Machine Report'!$C$109:$BD$166,42,FALSE)</f>
        <v>0</v>
      </c>
      <c r="AV52" s="13">
        <f ca="1">VLOOKUP($B52,'[1]Analisys QBR By Machine Report'!$C$109:$BD$166,43,FALSE)</f>
        <v>684</v>
      </c>
      <c r="AW52" s="13">
        <f ca="1">VLOOKUP($B52,'[1]Analisys QBR By Machine Report'!$C$109:$BD$166,44,FALSE)</f>
        <v>0</v>
      </c>
      <c r="AX52" s="13">
        <f ca="1">VLOOKUP($B52,'[1]Analisys QBR By Machine Report'!$C$109:$BD$166,45,FALSE)</f>
        <v>0</v>
      </c>
      <c r="AY52" s="13">
        <f ca="1">VLOOKUP($B52,'[1]Analisys QBR By Machine Report'!$C$109:$BD$166,46,FALSE)</f>
        <v>0</v>
      </c>
      <c r="AZ52" s="13">
        <f ca="1">VLOOKUP($B52,'[1]Analisys QBR By Machine Report'!$C$109:$BD$166,47,FALSE)</f>
        <v>0</v>
      </c>
      <c r="BA52" s="13">
        <f ca="1">VLOOKUP($B52,'[1]Analisys QBR By Machine Report'!$C$109:$BD$166,48,FALSE)</f>
        <v>0</v>
      </c>
      <c r="BB52" s="13">
        <f ca="1">VLOOKUP($B52,'[1]Analisys QBR By Machine Report'!$C$109:$BD$166,49,FALSE)</f>
        <v>0</v>
      </c>
      <c r="BC52" s="13">
        <f ca="1">VLOOKUP($B52,'[1]Analisys QBR By Machine Report'!$C$109:$BD$166,50,FALSE)</f>
        <v>0</v>
      </c>
      <c r="BD52" s="13">
        <f ca="1">VLOOKUP($B52,'[1]Analisys QBR By Machine Report'!$C$109:$BD$166,51,FALSE)</f>
        <v>217220</v>
      </c>
      <c r="BE52" s="13">
        <f ca="1">VLOOKUP($B52,'[1]Analisys QBR By Machine Report'!$C$109:$BD$166,52,FALSE)</f>
        <v>8</v>
      </c>
      <c r="BF52" s="13">
        <f ca="1">VLOOKUP($B52,'[1]Analisys QBR By Machine Report'!$C$109:$BD$166,53,FALSE)</f>
        <v>217212</v>
      </c>
    </row>
    <row r="53" spans="1:58" x14ac:dyDescent="0.25">
      <c r="A53" s="9" t="s">
        <v>109</v>
      </c>
      <c r="B53" s="10">
        <f ca="1">VLOOKUP($B53,'[1]Analisys QBR By Machine Report'!$C$109:$BD$166,2,FALSE)</f>
        <v>54720</v>
      </c>
      <c r="C53" s="11">
        <f ca="1">VLOOKUP($B53,[1]Dasboard_QBR_Report!$B$109:$BL$166,3,FALSE)</f>
        <v>35340</v>
      </c>
      <c r="D53" s="10">
        <f ca="1">VLOOKUP($B53,'[1]Analisys QBR By Machine Report'!$C$109:$BD$166,3,FALSE)</f>
        <v>42805</v>
      </c>
      <c r="E53" s="11">
        <f ca="1">VLOOKUP($B53,[1]Dasboard_QBR_Report!$B$109:$BL$166,5,FALSE)</f>
        <v>23425</v>
      </c>
      <c r="F53" s="10">
        <f t="shared" ca="1" si="0"/>
        <v>11915</v>
      </c>
      <c r="G53" s="10">
        <f t="shared" ca="1" si="1"/>
        <v>693</v>
      </c>
      <c r="H53" s="10">
        <f ca="1">VLOOKUP($B53,'[1]Analisys QBR By Machine Report'!$C$109:$BD$166,4,FALSE)</f>
        <v>693</v>
      </c>
      <c r="I53" s="10">
        <f ca="1">VLOOKUP($B53,'[1]Analisys QBR By Machine Report'!$C$109:$BD$166,5,FALSE)</f>
        <v>107</v>
      </c>
      <c r="J53" s="10">
        <f ca="1">VLOOKUP($B53,'[1]Analisys QBR By Machine Report'!$C$109:$BD$166,6,FALSE)</f>
        <v>586</v>
      </c>
      <c r="K53" s="10">
        <f ca="1">VLOOKUP($B53,'[1]Analisys QBR By Machine Report'!$C$109:$BD$166,7,FALSE)</f>
        <v>0</v>
      </c>
      <c r="L53" s="10">
        <f ca="1">VLOOKUP($B53,'[1]Analisys QBR By Machine Report'!$C$109:$BD$166,8,FALSE)</f>
        <v>11222</v>
      </c>
      <c r="M53" s="10">
        <f ca="1">VLOOKUP($B53,'[1]Analisys QBR By Machine Report'!$C$109:$BD$166,9,FALSE)</f>
        <v>4315</v>
      </c>
      <c r="N53" s="10">
        <f ca="1">VLOOKUP($B53,[1]Dasboard_QBR_Report!$B$109:$BL$166,18,FALSE)</f>
        <v>6907</v>
      </c>
      <c r="O53" s="10">
        <f ca="1">VLOOKUP($B53,'[1]Analisys QBR By Machine Report'!$C$109:$BD$166,10,FALSE)</f>
        <v>394</v>
      </c>
      <c r="P53" s="10">
        <f ca="1">VLOOKUP($B53,'[1]Analisys QBR By Machine Report'!$C$109:$BD$166,11,FALSE)</f>
        <v>289</v>
      </c>
      <c r="Q53" s="10">
        <f ca="1">VLOOKUP($B53,'[1]Analisys QBR By Machine Report'!$C$109:$BD$166,12,FALSE)</f>
        <v>0</v>
      </c>
      <c r="R53" s="10">
        <f ca="1">VLOOKUP($B53,'[1]Analisys QBR By Machine Report'!$C$109:$BD$166,13,FALSE)</f>
        <v>105</v>
      </c>
      <c r="S53" s="10">
        <f ca="1">VLOOKUP($B53,'[1]Analisys QBR By Machine Report'!$C$109:$BD$166,14,FALSE)</f>
        <v>0</v>
      </c>
      <c r="T53" s="10">
        <f ca="1">VLOOKUP($B53,'[1]Analisys QBR By Machine Report'!$C$109:$BD$166,15,FALSE)</f>
        <v>0</v>
      </c>
      <c r="U53" s="10">
        <f ca="1">VLOOKUP($B53,'[1]Analisys QBR By Machine Report'!$C$109:$BD$166,16,FALSE)</f>
        <v>0</v>
      </c>
      <c r="V53" s="10">
        <f ca="1">VLOOKUP($B53,'[1]Analisys QBR By Machine Report'!$C$109:$BD$166,17,FALSE)</f>
        <v>0</v>
      </c>
      <c r="W53" s="10">
        <f ca="1">VLOOKUP($B53,'[1]Analisys QBR By Machine Report'!$C$109:$BD$166,18,FALSE)</f>
        <v>0</v>
      </c>
      <c r="X53" s="10">
        <f ca="1">VLOOKUP($B53,'[1]Analisys QBR By Machine Report'!$C$109:$BD$166,19,FALSE)</f>
        <v>0</v>
      </c>
      <c r="Y53" s="10">
        <f ca="1">VLOOKUP($B53,'[1]Analisys QBR By Machine Report'!$C$109:$BD$166,20,FALSE)</f>
        <v>0</v>
      </c>
      <c r="Z53" s="10">
        <f ca="1">VLOOKUP($B53,'[1]Analisys QBR By Machine Report'!$C$109:$BD$166,21,FALSE)</f>
        <v>3132</v>
      </c>
      <c r="AA53" s="10">
        <f ca="1">VLOOKUP($B53,'[1]Analisys QBR By Machine Report'!$C$109:$BD$166,22,FALSE)</f>
        <v>2887</v>
      </c>
      <c r="AB53" s="10">
        <f ca="1">VLOOKUP($B53,'[1]Analisys QBR By Machine Report'!$C$109:$BD$166,23,FALSE)</f>
        <v>245</v>
      </c>
      <c r="AC53" s="10">
        <f ca="1">VLOOKUP($B53,'[1]Analisys QBR By Machine Report'!$C$109:$BD$166,24,FALSE)</f>
        <v>0</v>
      </c>
      <c r="AD53" s="10">
        <f ca="1">VLOOKUP($B53,'[1]Analisys QBR By Machine Report'!$C$109:$BD$166,25,FALSE)</f>
        <v>0</v>
      </c>
      <c r="AE53" s="10">
        <f ca="1">VLOOKUP($B53,'[1]Analisys QBR By Machine Report'!$C$109:$BD$166,26,FALSE)</f>
        <v>0</v>
      </c>
      <c r="AF53" s="10">
        <f ca="1">VLOOKUP($B53,'[1]Analisys QBR By Machine Report'!$C$109:$BD$166,27,FALSE)</f>
        <v>0</v>
      </c>
      <c r="AG53" s="10">
        <f ca="1">VLOOKUP($B53,'[1]Analisys QBR By Machine Report'!$C$109:$BD$166,28,FALSE)</f>
        <v>0</v>
      </c>
      <c r="AH53" s="10">
        <f ca="1">VLOOKUP($B53,'[1]Analisys QBR By Machine Report'!$C$109:$BD$166,29,FALSE)</f>
        <v>0</v>
      </c>
      <c r="AI53" s="10">
        <f ca="1">VLOOKUP($B53,'[1]Analisys QBR By Machine Report'!$C$109:$BD$166,30,FALSE)</f>
        <v>3381</v>
      </c>
      <c r="AJ53" s="10">
        <f ca="1">VLOOKUP($B53,'[1]Analisys QBR By Machine Report'!$C$109:$BD$166,31,FALSE)</f>
        <v>0</v>
      </c>
      <c r="AK53" s="10">
        <f ca="1">VLOOKUP($B53,'[1]Analisys QBR By Machine Report'!$C$109:$BD$166,32,FALSE)</f>
        <v>0</v>
      </c>
      <c r="AL53" s="10">
        <f ca="1">VLOOKUP($B53,'[1]Analisys QBR By Machine Report'!$C$109:$BD$166,33,FALSE)</f>
        <v>0</v>
      </c>
      <c r="AM53" s="10">
        <f ca="1">VLOOKUP($B53,'[1]Analisys QBR By Machine Report'!$C$109:$BD$166,34,FALSE)</f>
        <v>0</v>
      </c>
      <c r="AN53" s="10">
        <f ca="1">VLOOKUP($B53,'[1]Analisys QBR By Machine Report'!$C$109:$BD$166,35,FALSE)</f>
        <v>0</v>
      </c>
      <c r="AO53" s="10">
        <f ca="1">VLOOKUP($B53,'[1]Analisys QBR By Machine Report'!$C$109:$BD$166,36,FALSE)</f>
        <v>0</v>
      </c>
      <c r="AP53" s="10">
        <f ca="1">VLOOKUP($B53,'[1]Analisys QBR By Machine Report'!$C$109:$BD$166,37,FALSE)</f>
        <v>0</v>
      </c>
      <c r="AQ53" s="10">
        <f ca="1">VLOOKUP($B53,'[1]Analisys QBR By Machine Report'!$C$109:$BD$166,38,FALSE)</f>
        <v>60</v>
      </c>
      <c r="AR53" s="10">
        <f ca="1">VLOOKUP($B53,'[1]Analisys QBR By Machine Report'!$C$109:$BD$166,39,FALSE)</f>
        <v>3321</v>
      </c>
      <c r="AS53" s="10">
        <f ca="1">VLOOKUP($B53,'[1]Analisys QBR By Machine Report'!$C$109:$BD$166,40,FALSE)</f>
        <v>0</v>
      </c>
      <c r="AT53" s="10">
        <f ca="1">VLOOKUP($B53,'[1]Analisys QBR By Machine Report'!$C$109:$BD$166,41,FALSE)</f>
        <v>0</v>
      </c>
      <c r="AU53" s="10">
        <f ca="1">VLOOKUP($B53,'[1]Analisys QBR By Machine Report'!$C$109:$BD$166,42,FALSE)</f>
        <v>0</v>
      </c>
      <c r="AV53" s="10">
        <f ca="1">VLOOKUP($B53,'[1]Analisys QBR By Machine Report'!$C$109:$BD$166,43,FALSE)</f>
        <v>0</v>
      </c>
      <c r="AW53" s="10">
        <f ca="1">VLOOKUP($B53,'[1]Analisys QBR By Machine Report'!$C$109:$BD$166,44,FALSE)</f>
        <v>0</v>
      </c>
      <c r="AX53" s="10">
        <f ca="1">VLOOKUP($B53,'[1]Analisys QBR By Machine Report'!$C$109:$BD$166,45,FALSE)</f>
        <v>0</v>
      </c>
      <c r="AY53" s="10">
        <f ca="1">VLOOKUP($B53,'[1]Analisys QBR By Machine Report'!$C$109:$BD$166,46,FALSE)</f>
        <v>0</v>
      </c>
      <c r="AZ53" s="10">
        <f ca="1">VLOOKUP($B53,'[1]Analisys QBR By Machine Report'!$C$109:$BD$166,47,FALSE)</f>
        <v>0</v>
      </c>
      <c r="BA53" s="10">
        <f ca="1">VLOOKUP($B53,'[1]Analisys QBR By Machine Report'!$C$109:$BD$166,48,FALSE)</f>
        <v>0</v>
      </c>
      <c r="BB53" s="10">
        <f ca="1">VLOOKUP($B53,'[1]Analisys QBR By Machine Report'!$C$109:$BD$166,49,FALSE)</f>
        <v>0</v>
      </c>
      <c r="BC53" s="10">
        <f ca="1">VLOOKUP($B53,'[1]Analisys QBR By Machine Report'!$C$109:$BD$166,50,FALSE)</f>
        <v>0</v>
      </c>
      <c r="BD53" s="10">
        <f ca="1">VLOOKUP($B53,'[1]Analisys QBR By Machine Report'!$C$109:$BD$166,51,FALSE)</f>
        <v>572</v>
      </c>
      <c r="BE53" s="10">
        <f ca="1">VLOOKUP($B53,'[1]Analisys QBR By Machine Report'!$C$109:$BD$166,52,FALSE)</f>
        <v>0</v>
      </c>
      <c r="BF53" s="10">
        <f ca="1">VLOOKUP($B53,'[1]Analisys QBR By Machine Report'!$C$109:$BD$166,53,FALSE)</f>
        <v>572</v>
      </c>
    </row>
    <row r="54" spans="1:58" x14ac:dyDescent="0.25">
      <c r="A54" s="12" t="s">
        <v>110</v>
      </c>
      <c r="B54" s="13">
        <f ca="1">VLOOKUP($B54,'[1]Analisys QBR By Machine Report'!$C$109:$BD$166,2,FALSE)</f>
        <v>27360</v>
      </c>
      <c r="C54" s="14">
        <f ca="1">VLOOKUP($B54,[1]Dasboard_QBR_Report!$B$109:$BL$166,3,FALSE)</f>
        <v>17670</v>
      </c>
      <c r="D54" s="13">
        <f ca="1">VLOOKUP($B54,'[1]Analisys QBR By Machine Report'!$C$109:$BD$166,3,FALSE)</f>
        <v>20605</v>
      </c>
      <c r="E54" s="14">
        <f ca="1">VLOOKUP($B54,[1]Dasboard_QBR_Report!$B$109:$BL$166,5,FALSE)</f>
        <v>10915</v>
      </c>
      <c r="F54" s="13">
        <f t="shared" ca="1" si="0"/>
        <v>6755</v>
      </c>
      <c r="G54" s="13">
        <f t="shared" ca="1" si="1"/>
        <v>321</v>
      </c>
      <c r="H54" s="13">
        <f ca="1">VLOOKUP($B54,'[1]Analisys QBR By Machine Report'!$C$109:$BD$166,4,FALSE)</f>
        <v>321</v>
      </c>
      <c r="I54" s="13">
        <f ca="1">VLOOKUP($B54,'[1]Analisys QBR By Machine Report'!$C$109:$BD$166,5,FALSE)</f>
        <v>77</v>
      </c>
      <c r="J54" s="13">
        <f ca="1">VLOOKUP($B54,'[1]Analisys QBR By Machine Report'!$C$109:$BD$166,6,FALSE)</f>
        <v>244</v>
      </c>
      <c r="K54" s="13">
        <f ca="1">VLOOKUP($B54,'[1]Analisys QBR By Machine Report'!$C$109:$BD$166,7,FALSE)</f>
        <v>0</v>
      </c>
      <c r="L54" s="13">
        <f ca="1">VLOOKUP($B54,'[1]Analisys QBR By Machine Report'!$C$109:$BD$166,8,FALSE)</f>
        <v>6434</v>
      </c>
      <c r="M54" s="13">
        <f ca="1">VLOOKUP($B54,'[1]Analisys QBR By Machine Report'!$C$109:$BD$166,9,FALSE)</f>
        <v>2692</v>
      </c>
      <c r="N54" s="13">
        <f ca="1">VLOOKUP($B54,[1]Dasboard_QBR_Report!$B$109:$BL$166,18,FALSE)</f>
        <v>3742</v>
      </c>
      <c r="O54" s="13">
        <f ca="1">VLOOKUP($B54,'[1]Analisys QBR By Machine Report'!$C$109:$BD$166,10,FALSE)</f>
        <v>188</v>
      </c>
      <c r="P54" s="13">
        <f ca="1">VLOOKUP($B54,'[1]Analisys QBR By Machine Report'!$C$109:$BD$166,11,FALSE)</f>
        <v>148</v>
      </c>
      <c r="Q54" s="13">
        <f ca="1">VLOOKUP($B54,'[1]Analisys QBR By Machine Report'!$C$109:$BD$166,12,FALSE)</f>
        <v>0</v>
      </c>
      <c r="R54" s="13">
        <f ca="1">VLOOKUP($B54,'[1]Analisys QBR By Machine Report'!$C$109:$BD$166,13,FALSE)</f>
        <v>40</v>
      </c>
      <c r="S54" s="13">
        <f ca="1">VLOOKUP($B54,'[1]Analisys QBR By Machine Report'!$C$109:$BD$166,14,FALSE)</f>
        <v>0</v>
      </c>
      <c r="T54" s="13">
        <f ca="1">VLOOKUP($B54,'[1]Analisys QBR By Machine Report'!$C$109:$BD$166,15,FALSE)</f>
        <v>0</v>
      </c>
      <c r="U54" s="13">
        <f ca="1">VLOOKUP($B54,'[1]Analisys QBR By Machine Report'!$C$109:$BD$166,16,FALSE)</f>
        <v>0</v>
      </c>
      <c r="V54" s="13">
        <f ca="1">VLOOKUP($B54,'[1]Analisys QBR By Machine Report'!$C$109:$BD$166,17,FALSE)</f>
        <v>0</v>
      </c>
      <c r="W54" s="13">
        <f ca="1">VLOOKUP($B54,'[1]Analisys QBR By Machine Report'!$C$109:$BD$166,18,FALSE)</f>
        <v>0</v>
      </c>
      <c r="X54" s="13">
        <f ca="1">VLOOKUP($B54,'[1]Analisys QBR By Machine Report'!$C$109:$BD$166,19,FALSE)</f>
        <v>0</v>
      </c>
      <c r="Y54" s="13">
        <f ca="1">VLOOKUP($B54,'[1]Analisys QBR By Machine Report'!$C$109:$BD$166,20,FALSE)</f>
        <v>0</v>
      </c>
      <c r="Z54" s="13">
        <f ca="1">VLOOKUP($B54,'[1]Analisys QBR By Machine Report'!$C$109:$BD$166,21,FALSE)</f>
        <v>2418</v>
      </c>
      <c r="AA54" s="13">
        <f ca="1">VLOOKUP($B54,'[1]Analisys QBR By Machine Report'!$C$109:$BD$166,22,FALSE)</f>
        <v>2252</v>
      </c>
      <c r="AB54" s="13">
        <f ca="1">VLOOKUP($B54,'[1]Analisys QBR By Machine Report'!$C$109:$BD$166,23,FALSE)</f>
        <v>166</v>
      </c>
      <c r="AC54" s="13">
        <f ca="1">VLOOKUP($B54,'[1]Analisys QBR By Machine Report'!$C$109:$BD$166,24,FALSE)</f>
        <v>0</v>
      </c>
      <c r="AD54" s="13">
        <f ca="1">VLOOKUP($B54,'[1]Analisys QBR By Machine Report'!$C$109:$BD$166,25,FALSE)</f>
        <v>0</v>
      </c>
      <c r="AE54" s="13">
        <f ca="1">VLOOKUP($B54,'[1]Analisys QBR By Machine Report'!$C$109:$BD$166,26,FALSE)</f>
        <v>0</v>
      </c>
      <c r="AF54" s="13">
        <f ca="1">VLOOKUP($B54,'[1]Analisys QBR By Machine Report'!$C$109:$BD$166,27,FALSE)</f>
        <v>0</v>
      </c>
      <c r="AG54" s="13">
        <f ca="1">VLOOKUP($B54,'[1]Analisys QBR By Machine Report'!$C$109:$BD$166,28,FALSE)</f>
        <v>0</v>
      </c>
      <c r="AH54" s="13">
        <f ca="1">VLOOKUP($B54,'[1]Analisys QBR By Machine Report'!$C$109:$BD$166,29,FALSE)</f>
        <v>0</v>
      </c>
      <c r="AI54" s="13">
        <f ca="1">VLOOKUP($B54,'[1]Analisys QBR By Machine Report'!$C$109:$BD$166,30,FALSE)</f>
        <v>1136</v>
      </c>
      <c r="AJ54" s="13">
        <f ca="1">VLOOKUP($B54,'[1]Analisys QBR By Machine Report'!$C$109:$BD$166,31,FALSE)</f>
        <v>0</v>
      </c>
      <c r="AK54" s="13">
        <f ca="1">VLOOKUP($B54,'[1]Analisys QBR By Machine Report'!$C$109:$BD$166,32,FALSE)</f>
        <v>0</v>
      </c>
      <c r="AL54" s="13">
        <f ca="1">VLOOKUP($B54,'[1]Analisys QBR By Machine Report'!$C$109:$BD$166,33,FALSE)</f>
        <v>0</v>
      </c>
      <c r="AM54" s="13">
        <f ca="1">VLOOKUP($B54,'[1]Analisys QBR By Machine Report'!$C$109:$BD$166,34,FALSE)</f>
        <v>0</v>
      </c>
      <c r="AN54" s="13">
        <f ca="1">VLOOKUP($B54,'[1]Analisys QBR By Machine Report'!$C$109:$BD$166,35,FALSE)</f>
        <v>0</v>
      </c>
      <c r="AO54" s="13">
        <f ca="1">VLOOKUP($B54,'[1]Analisys QBR By Machine Report'!$C$109:$BD$166,36,FALSE)</f>
        <v>0</v>
      </c>
      <c r="AP54" s="13">
        <f ca="1">VLOOKUP($B54,'[1]Analisys QBR By Machine Report'!$C$109:$BD$166,37,FALSE)</f>
        <v>0</v>
      </c>
      <c r="AQ54" s="13">
        <f ca="1">VLOOKUP($B54,'[1]Analisys QBR By Machine Report'!$C$109:$BD$166,38,FALSE)</f>
        <v>40</v>
      </c>
      <c r="AR54" s="13">
        <f ca="1">VLOOKUP($B54,'[1]Analisys QBR By Machine Report'!$C$109:$BD$166,39,FALSE)</f>
        <v>1096</v>
      </c>
      <c r="AS54" s="13">
        <f ca="1">VLOOKUP($B54,'[1]Analisys QBR By Machine Report'!$C$109:$BD$166,40,FALSE)</f>
        <v>0</v>
      </c>
      <c r="AT54" s="13">
        <f ca="1">VLOOKUP($B54,'[1]Analisys QBR By Machine Report'!$C$109:$BD$166,41,FALSE)</f>
        <v>0</v>
      </c>
      <c r="AU54" s="13">
        <f ca="1">VLOOKUP($B54,'[1]Analisys QBR By Machine Report'!$C$109:$BD$166,42,FALSE)</f>
        <v>0</v>
      </c>
      <c r="AV54" s="13">
        <f ca="1">VLOOKUP($B54,'[1]Analisys QBR By Machine Report'!$C$109:$BD$166,43,FALSE)</f>
        <v>0</v>
      </c>
      <c r="AW54" s="13">
        <f ca="1">VLOOKUP($B54,'[1]Analisys QBR By Machine Report'!$C$109:$BD$166,44,FALSE)</f>
        <v>0</v>
      </c>
      <c r="AX54" s="13">
        <f ca="1">VLOOKUP($B54,'[1]Analisys QBR By Machine Report'!$C$109:$BD$166,45,FALSE)</f>
        <v>0</v>
      </c>
      <c r="AY54" s="13">
        <f ca="1">VLOOKUP($B54,'[1]Analisys QBR By Machine Report'!$C$109:$BD$166,46,FALSE)</f>
        <v>0</v>
      </c>
      <c r="AZ54" s="13">
        <f ca="1">VLOOKUP($B54,'[1]Analisys QBR By Machine Report'!$C$109:$BD$166,47,FALSE)</f>
        <v>0</v>
      </c>
      <c r="BA54" s="13">
        <f ca="1">VLOOKUP($B54,'[1]Analisys QBR By Machine Report'!$C$109:$BD$166,48,FALSE)</f>
        <v>0</v>
      </c>
      <c r="BB54" s="13">
        <f ca="1">VLOOKUP($B54,'[1]Analisys QBR By Machine Report'!$C$109:$BD$166,49,FALSE)</f>
        <v>0</v>
      </c>
      <c r="BC54" s="13">
        <f ca="1">VLOOKUP($B54,'[1]Analisys QBR By Machine Report'!$C$109:$BD$166,50,FALSE)</f>
        <v>0</v>
      </c>
      <c r="BD54" s="13">
        <f ca="1">VLOOKUP($B54,'[1]Analisys QBR By Machine Report'!$C$109:$BD$166,51,FALSE)</f>
        <v>438</v>
      </c>
      <c r="BE54" s="13">
        <f ca="1">VLOOKUP($B54,'[1]Analisys QBR By Machine Report'!$C$109:$BD$166,52,FALSE)</f>
        <v>0</v>
      </c>
      <c r="BF54" s="13">
        <f ca="1">VLOOKUP($B54,'[1]Analisys QBR By Machine Report'!$C$109:$BD$166,53,FALSE)</f>
        <v>438</v>
      </c>
    </row>
    <row r="55" spans="1:58" x14ac:dyDescent="0.25">
      <c r="A55" s="12" t="s">
        <v>111</v>
      </c>
      <c r="B55" s="13">
        <f ca="1">VLOOKUP($B55,'[1]Analisys QBR By Machine Report'!$C$109:$BD$166,2,FALSE)</f>
        <v>27360</v>
      </c>
      <c r="C55" s="14">
        <f ca="1">VLOOKUP($B55,[1]Dasboard_QBR_Report!$B$109:$BL$166,3,FALSE)</f>
        <v>17670</v>
      </c>
      <c r="D55" s="13">
        <f ca="1">VLOOKUP($B55,'[1]Analisys QBR By Machine Report'!$C$109:$BD$166,3,FALSE)</f>
        <v>22200</v>
      </c>
      <c r="E55" s="14">
        <f ca="1">VLOOKUP($B55,[1]Dasboard_QBR_Report!$B$109:$BL$166,5,FALSE)</f>
        <v>12510</v>
      </c>
      <c r="F55" s="13">
        <f t="shared" ca="1" si="0"/>
        <v>5160</v>
      </c>
      <c r="G55" s="13">
        <f t="shared" ca="1" si="1"/>
        <v>372</v>
      </c>
      <c r="H55" s="13">
        <f ca="1">VLOOKUP($B55,'[1]Analisys QBR By Machine Report'!$C$109:$BD$166,4,FALSE)</f>
        <v>372</v>
      </c>
      <c r="I55" s="13">
        <f ca="1">VLOOKUP($B55,'[1]Analisys QBR By Machine Report'!$C$109:$BD$166,5,FALSE)</f>
        <v>30</v>
      </c>
      <c r="J55" s="13">
        <f ca="1">VLOOKUP($B55,'[1]Analisys QBR By Machine Report'!$C$109:$BD$166,6,FALSE)</f>
        <v>342</v>
      </c>
      <c r="K55" s="13">
        <f ca="1">VLOOKUP($B55,'[1]Analisys QBR By Machine Report'!$C$109:$BD$166,7,FALSE)</f>
        <v>0</v>
      </c>
      <c r="L55" s="13">
        <f ca="1">VLOOKUP($B55,'[1]Analisys QBR By Machine Report'!$C$109:$BD$166,8,FALSE)</f>
        <v>4788</v>
      </c>
      <c r="M55" s="13">
        <f ca="1">VLOOKUP($B55,'[1]Analisys QBR By Machine Report'!$C$109:$BD$166,9,FALSE)</f>
        <v>1623</v>
      </c>
      <c r="N55" s="13">
        <f ca="1">VLOOKUP($B55,[1]Dasboard_QBR_Report!$B$109:$BL$166,18,FALSE)</f>
        <v>3165</v>
      </c>
      <c r="O55" s="13">
        <f ca="1">VLOOKUP($B55,'[1]Analisys QBR By Machine Report'!$C$109:$BD$166,10,FALSE)</f>
        <v>206</v>
      </c>
      <c r="P55" s="13">
        <f ca="1">VLOOKUP($B55,'[1]Analisys QBR By Machine Report'!$C$109:$BD$166,11,FALSE)</f>
        <v>141</v>
      </c>
      <c r="Q55" s="13">
        <f ca="1">VLOOKUP($B55,'[1]Analisys QBR By Machine Report'!$C$109:$BD$166,12,FALSE)</f>
        <v>0</v>
      </c>
      <c r="R55" s="13">
        <f ca="1">VLOOKUP($B55,'[1]Analisys QBR By Machine Report'!$C$109:$BD$166,13,FALSE)</f>
        <v>65</v>
      </c>
      <c r="S55" s="13">
        <f ca="1">VLOOKUP($B55,'[1]Analisys QBR By Machine Report'!$C$109:$BD$166,14,FALSE)</f>
        <v>0</v>
      </c>
      <c r="T55" s="13">
        <f ca="1">VLOOKUP($B55,'[1]Analisys QBR By Machine Report'!$C$109:$BD$166,15,FALSE)</f>
        <v>0</v>
      </c>
      <c r="U55" s="13">
        <f ca="1">VLOOKUP($B55,'[1]Analisys QBR By Machine Report'!$C$109:$BD$166,16,FALSE)</f>
        <v>0</v>
      </c>
      <c r="V55" s="13">
        <f ca="1">VLOOKUP($B55,'[1]Analisys QBR By Machine Report'!$C$109:$BD$166,17,FALSE)</f>
        <v>0</v>
      </c>
      <c r="W55" s="13">
        <f ca="1">VLOOKUP($B55,'[1]Analisys QBR By Machine Report'!$C$109:$BD$166,18,FALSE)</f>
        <v>0</v>
      </c>
      <c r="X55" s="13">
        <f ca="1">VLOOKUP($B55,'[1]Analisys QBR By Machine Report'!$C$109:$BD$166,19,FALSE)</f>
        <v>0</v>
      </c>
      <c r="Y55" s="13">
        <f ca="1">VLOOKUP($B55,'[1]Analisys QBR By Machine Report'!$C$109:$BD$166,20,FALSE)</f>
        <v>0</v>
      </c>
      <c r="Z55" s="13">
        <f ca="1">VLOOKUP($B55,'[1]Analisys QBR By Machine Report'!$C$109:$BD$166,21,FALSE)</f>
        <v>714</v>
      </c>
      <c r="AA55" s="13">
        <f ca="1">VLOOKUP($B55,'[1]Analisys QBR By Machine Report'!$C$109:$BD$166,22,FALSE)</f>
        <v>635</v>
      </c>
      <c r="AB55" s="13">
        <f ca="1">VLOOKUP($B55,'[1]Analisys QBR By Machine Report'!$C$109:$BD$166,23,FALSE)</f>
        <v>79</v>
      </c>
      <c r="AC55" s="13">
        <f ca="1">VLOOKUP($B55,'[1]Analisys QBR By Machine Report'!$C$109:$BD$166,24,FALSE)</f>
        <v>0</v>
      </c>
      <c r="AD55" s="13">
        <f ca="1">VLOOKUP($B55,'[1]Analisys QBR By Machine Report'!$C$109:$BD$166,25,FALSE)</f>
        <v>0</v>
      </c>
      <c r="AE55" s="13">
        <f ca="1">VLOOKUP($B55,'[1]Analisys QBR By Machine Report'!$C$109:$BD$166,26,FALSE)</f>
        <v>0</v>
      </c>
      <c r="AF55" s="13">
        <f ca="1">VLOOKUP($B55,'[1]Analisys QBR By Machine Report'!$C$109:$BD$166,27,FALSE)</f>
        <v>0</v>
      </c>
      <c r="AG55" s="13">
        <f ca="1">VLOOKUP($B55,'[1]Analisys QBR By Machine Report'!$C$109:$BD$166,28,FALSE)</f>
        <v>0</v>
      </c>
      <c r="AH55" s="13">
        <f ca="1">VLOOKUP($B55,'[1]Analisys QBR By Machine Report'!$C$109:$BD$166,29,FALSE)</f>
        <v>0</v>
      </c>
      <c r="AI55" s="13">
        <f ca="1">VLOOKUP($B55,'[1]Analisys QBR By Machine Report'!$C$109:$BD$166,30,FALSE)</f>
        <v>2245</v>
      </c>
      <c r="AJ55" s="13">
        <f ca="1">VLOOKUP($B55,'[1]Analisys QBR By Machine Report'!$C$109:$BD$166,31,FALSE)</f>
        <v>0</v>
      </c>
      <c r="AK55" s="13">
        <f ca="1">VLOOKUP($B55,'[1]Analisys QBR By Machine Report'!$C$109:$BD$166,32,FALSE)</f>
        <v>0</v>
      </c>
      <c r="AL55" s="13">
        <f ca="1">VLOOKUP($B55,'[1]Analisys QBR By Machine Report'!$C$109:$BD$166,33,FALSE)</f>
        <v>0</v>
      </c>
      <c r="AM55" s="13">
        <f ca="1">VLOOKUP($B55,'[1]Analisys QBR By Machine Report'!$C$109:$BD$166,34,FALSE)</f>
        <v>0</v>
      </c>
      <c r="AN55" s="13">
        <f ca="1">VLOOKUP($B55,'[1]Analisys QBR By Machine Report'!$C$109:$BD$166,35,FALSE)</f>
        <v>0</v>
      </c>
      <c r="AO55" s="13">
        <f ca="1">VLOOKUP($B55,'[1]Analisys QBR By Machine Report'!$C$109:$BD$166,36,FALSE)</f>
        <v>0</v>
      </c>
      <c r="AP55" s="13">
        <f ca="1">VLOOKUP($B55,'[1]Analisys QBR By Machine Report'!$C$109:$BD$166,37,FALSE)</f>
        <v>0</v>
      </c>
      <c r="AQ55" s="13">
        <f ca="1">VLOOKUP($B55,'[1]Analisys QBR By Machine Report'!$C$109:$BD$166,38,FALSE)</f>
        <v>20</v>
      </c>
      <c r="AR55" s="13">
        <f ca="1">VLOOKUP($B55,'[1]Analisys QBR By Machine Report'!$C$109:$BD$166,39,FALSE)</f>
        <v>2225</v>
      </c>
      <c r="AS55" s="13">
        <f ca="1">VLOOKUP($B55,'[1]Analisys QBR By Machine Report'!$C$109:$BD$166,40,FALSE)</f>
        <v>0</v>
      </c>
      <c r="AT55" s="13">
        <f ca="1">VLOOKUP($B55,'[1]Analisys QBR By Machine Report'!$C$109:$BD$166,41,FALSE)</f>
        <v>0</v>
      </c>
      <c r="AU55" s="13">
        <f ca="1">VLOOKUP($B55,'[1]Analisys QBR By Machine Report'!$C$109:$BD$166,42,FALSE)</f>
        <v>0</v>
      </c>
      <c r="AV55" s="13">
        <f ca="1">VLOOKUP($B55,'[1]Analisys QBR By Machine Report'!$C$109:$BD$166,43,FALSE)</f>
        <v>0</v>
      </c>
      <c r="AW55" s="13">
        <f ca="1">VLOOKUP($B55,'[1]Analisys QBR By Machine Report'!$C$109:$BD$166,44,FALSE)</f>
        <v>0</v>
      </c>
      <c r="AX55" s="13">
        <f ca="1">VLOOKUP($B55,'[1]Analisys QBR By Machine Report'!$C$109:$BD$166,45,FALSE)</f>
        <v>0</v>
      </c>
      <c r="AY55" s="13">
        <f ca="1">VLOOKUP($B55,'[1]Analisys QBR By Machine Report'!$C$109:$BD$166,46,FALSE)</f>
        <v>0</v>
      </c>
      <c r="AZ55" s="13">
        <f ca="1">VLOOKUP($B55,'[1]Analisys QBR By Machine Report'!$C$109:$BD$166,47,FALSE)</f>
        <v>0</v>
      </c>
      <c r="BA55" s="13">
        <f ca="1">VLOOKUP($B55,'[1]Analisys QBR By Machine Report'!$C$109:$BD$166,48,FALSE)</f>
        <v>0</v>
      </c>
      <c r="BB55" s="13">
        <f ca="1">VLOOKUP($B55,'[1]Analisys QBR By Machine Report'!$C$109:$BD$166,49,FALSE)</f>
        <v>0</v>
      </c>
      <c r="BC55" s="13">
        <f ca="1">VLOOKUP($B55,'[1]Analisys QBR By Machine Report'!$C$109:$BD$166,50,FALSE)</f>
        <v>0</v>
      </c>
      <c r="BD55" s="13">
        <f ca="1">VLOOKUP($B55,'[1]Analisys QBR By Machine Report'!$C$109:$BD$166,51,FALSE)</f>
        <v>134</v>
      </c>
      <c r="BE55" s="13">
        <f ca="1">VLOOKUP($B55,'[1]Analisys QBR By Machine Report'!$C$109:$BD$166,52,FALSE)</f>
        <v>0</v>
      </c>
      <c r="BF55" s="13">
        <f ca="1">VLOOKUP($B55,'[1]Analisys QBR By Machine Report'!$C$109:$BD$166,53,FALSE)</f>
        <v>134</v>
      </c>
    </row>
    <row r="56" spans="1:58" x14ac:dyDescent="0.25">
      <c r="A56" s="9" t="s">
        <v>112</v>
      </c>
      <c r="B56" s="10">
        <f ca="1">VLOOKUP($B56,'[1]Analisys QBR By Machine Report'!$C$109:$BD$166,2,FALSE)</f>
        <v>51840</v>
      </c>
      <c r="C56" s="11">
        <f ca="1">VLOOKUP($B56,[1]Dasboard_QBR_Report!$B$109:$BL$166,3,FALSE)</f>
        <v>17280</v>
      </c>
      <c r="D56" s="10">
        <f ca="1">VLOOKUP($B56,'[1]Analisys QBR By Machine Report'!$C$109:$BD$166,3,FALSE)</f>
        <v>37800</v>
      </c>
      <c r="E56" s="11">
        <f ca="1">VLOOKUP($B56,[1]Dasboard_QBR_Report!$B$109:$BL$166,5,FALSE)</f>
        <v>3240</v>
      </c>
      <c r="F56" s="10">
        <f t="shared" ca="1" si="0"/>
        <v>14040</v>
      </c>
      <c r="G56" s="10">
        <f t="shared" ca="1" si="1"/>
        <v>2090</v>
      </c>
      <c r="H56" s="10">
        <f ca="1">VLOOKUP($B56,'[1]Analisys QBR By Machine Report'!$C$109:$BD$166,4,FALSE)</f>
        <v>2090</v>
      </c>
      <c r="I56" s="10">
        <f ca="1">VLOOKUP($B56,'[1]Analisys QBR By Machine Report'!$C$109:$BD$166,5,FALSE)</f>
        <v>605</v>
      </c>
      <c r="J56" s="10">
        <f ca="1">VLOOKUP($B56,'[1]Analisys QBR By Machine Report'!$C$109:$BD$166,6,FALSE)</f>
        <v>1485</v>
      </c>
      <c r="K56" s="10">
        <f ca="1">VLOOKUP($B56,'[1]Analisys QBR By Machine Report'!$C$109:$BD$166,7,FALSE)</f>
        <v>0</v>
      </c>
      <c r="L56" s="10">
        <f ca="1">VLOOKUP($B56,'[1]Analisys QBR By Machine Report'!$C$109:$BD$166,8,FALSE)</f>
        <v>11950</v>
      </c>
      <c r="M56" s="10">
        <f ca="1">VLOOKUP($B56,'[1]Analisys QBR By Machine Report'!$C$109:$BD$166,9,FALSE)</f>
        <v>4360</v>
      </c>
      <c r="N56" s="10">
        <f ca="1">VLOOKUP($B56,[1]Dasboard_QBR_Report!$B$109:$BL$166,18,FALSE)</f>
        <v>7590</v>
      </c>
      <c r="O56" s="10">
        <f ca="1">VLOOKUP($B56,'[1]Analisys QBR By Machine Report'!$C$109:$BD$166,10,FALSE)</f>
        <v>2497</v>
      </c>
      <c r="P56" s="10">
        <f ca="1">VLOOKUP($B56,'[1]Analisys QBR By Machine Report'!$C$109:$BD$166,11,FALSE)</f>
        <v>1232</v>
      </c>
      <c r="Q56" s="10">
        <f ca="1">VLOOKUP($B56,'[1]Analisys QBR By Machine Report'!$C$109:$BD$166,12,FALSE)</f>
        <v>80</v>
      </c>
      <c r="R56" s="10">
        <f ca="1">VLOOKUP($B56,'[1]Analisys QBR By Machine Report'!$C$109:$BD$166,13,FALSE)</f>
        <v>515</v>
      </c>
      <c r="S56" s="10">
        <f ca="1">VLOOKUP($B56,'[1]Analisys QBR By Machine Report'!$C$109:$BD$166,14,FALSE)</f>
        <v>670</v>
      </c>
      <c r="T56" s="10">
        <f ca="1">VLOOKUP($B56,'[1]Analisys QBR By Machine Report'!$C$109:$BD$166,15,FALSE)</f>
        <v>0</v>
      </c>
      <c r="U56" s="10">
        <f ca="1">VLOOKUP($B56,'[1]Analisys QBR By Machine Report'!$C$109:$BD$166,16,FALSE)</f>
        <v>0</v>
      </c>
      <c r="V56" s="10">
        <f ca="1">VLOOKUP($B56,'[1]Analisys QBR By Machine Report'!$C$109:$BD$166,17,FALSE)</f>
        <v>0</v>
      </c>
      <c r="W56" s="10">
        <f ca="1">VLOOKUP($B56,'[1]Analisys QBR By Machine Report'!$C$109:$BD$166,18,FALSE)</f>
        <v>0</v>
      </c>
      <c r="X56" s="10">
        <f ca="1">VLOOKUP($B56,'[1]Analisys QBR By Machine Report'!$C$109:$BD$166,19,FALSE)</f>
        <v>0</v>
      </c>
      <c r="Y56" s="10">
        <f ca="1">VLOOKUP($B56,'[1]Analisys QBR By Machine Report'!$C$109:$BD$166,20,FALSE)</f>
        <v>0</v>
      </c>
      <c r="Z56" s="10">
        <f ca="1">VLOOKUP($B56,'[1]Analisys QBR By Machine Report'!$C$109:$BD$166,21,FALSE)</f>
        <v>2220</v>
      </c>
      <c r="AA56" s="10">
        <f ca="1">VLOOKUP($B56,'[1]Analisys QBR By Machine Report'!$C$109:$BD$166,22,FALSE)</f>
        <v>1340</v>
      </c>
      <c r="AB56" s="10">
        <f ca="1">VLOOKUP($B56,'[1]Analisys QBR By Machine Report'!$C$109:$BD$166,23,FALSE)</f>
        <v>590</v>
      </c>
      <c r="AC56" s="10">
        <f ca="1">VLOOKUP($B56,'[1]Analisys QBR By Machine Report'!$C$109:$BD$166,24,FALSE)</f>
        <v>180</v>
      </c>
      <c r="AD56" s="10">
        <f ca="1">VLOOKUP($B56,'[1]Analisys QBR By Machine Report'!$C$109:$BD$166,25,FALSE)</f>
        <v>0</v>
      </c>
      <c r="AE56" s="10">
        <f ca="1">VLOOKUP($B56,'[1]Analisys QBR By Machine Report'!$C$109:$BD$166,26,FALSE)</f>
        <v>110</v>
      </c>
      <c r="AF56" s="10">
        <f ca="1">VLOOKUP($B56,'[1]Analisys QBR By Machine Report'!$C$109:$BD$166,27,FALSE)</f>
        <v>0</v>
      </c>
      <c r="AG56" s="10">
        <f ca="1">VLOOKUP($B56,'[1]Analisys QBR By Machine Report'!$C$109:$BD$166,28,FALSE)</f>
        <v>0</v>
      </c>
      <c r="AH56" s="10">
        <f ca="1">VLOOKUP($B56,'[1]Analisys QBR By Machine Report'!$C$109:$BD$166,29,FALSE)</f>
        <v>0</v>
      </c>
      <c r="AI56" s="10">
        <f ca="1">VLOOKUP($B56,'[1]Analisys QBR By Machine Report'!$C$109:$BD$166,30,FALSE)</f>
        <v>2873</v>
      </c>
      <c r="AJ56" s="10">
        <f ca="1">VLOOKUP($B56,'[1]Analisys QBR By Machine Report'!$C$109:$BD$166,31,FALSE)</f>
        <v>170</v>
      </c>
      <c r="AK56" s="10">
        <f ca="1">VLOOKUP($B56,'[1]Analisys QBR By Machine Report'!$C$109:$BD$166,32,FALSE)</f>
        <v>0</v>
      </c>
      <c r="AL56" s="10">
        <f ca="1">VLOOKUP($B56,'[1]Analisys QBR By Machine Report'!$C$109:$BD$166,33,FALSE)</f>
        <v>690</v>
      </c>
      <c r="AM56" s="10">
        <f ca="1">VLOOKUP($B56,'[1]Analisys QBR By Machine Report'!$C$109:$BD$166,34,FALSE)</f>
        <v>0</v>
      </c>
      <c r="AN56" s="10">
        <f ca="1">VLOOKUP($B56,'[1]Analisys QBR By Machine Report'!$C$109:$BD$166,35,FALSE)</f>
        <v>450</v>
      </c>
      <c r="AO56" s="10">
        <f ca="1">VLOOKUP($B56,'[1]Analisys QBR By Machine Report'!$C$109:$BD$166,36,FALSE)</f>
        <v>665</v>
      </c>
      <c r="AP56" s="10">
        <f ca="1">VLOOKUP($B56,'[1]Analisys QBR By Machine Report'!$C$109:$BD$166,37,FALSE)</f>
        <v>0</v>
      </c>
      <c r="AQ56" s="10">
        <f ca="1">VLOOKUP($B56,'[1]Analisys QBR By Machine Report'!$C$109:$BD$166,38,FALSE)</f>
        <v>0</v>
      </c>
      <c r="AR56" s="10">
        <f ca="1">VLOOKUP($B56,'[1]Analisys QBR By Machine Report'!$C$109:$BD$166,39,FALSE)</f>
        <v>0</v>
      </c>
      <c r="AS56" s="10">
        <f ca="1">VLOOKUP($B56,'[1]Analisys QBR By Machine Report'!$C$109:$BD$166,40,FALSE)</f>
        <v>233</v>
      </c>
      <c r="AT56" s="10">
        <f ca="1">VLOOKUP($B56,'[1]Analisys QBR By Machine Report'!$C$109:$BD$166,41,FALSE)</f>
        <v>0</v>
      </c>
      <c r="AU56" s="10">
        <f ca="1">VLOOKUP($B56,'[1]Analisys QBR By Machine Report'!$C$109:$BD$166,42,FALSE)</f>
        <v>0</v>
      </c>
      <c r="AV56" s="10">
        <f ca="1">VLOOKUP($B56,'[1]Analisys QBR By Machine Report'!$C$109:$BD$166,43,FALSE)</f>
        <v>0</v>
      </c>
      <c r="AW56" s="10">
        <f ca="1">VLOOKUP($B56,'[1]Analisys QBR By Machine Report'!$C$109:$BD$166,44,FALSE)</f>
        <v>0</v>
      </c>
      <c r="AX56" s="10">
        <f ca="1">VLOOKUP($B56,'[1]Analisys QBR By Machine Report'!$C$109:$BD$166,45,FALSE)</f>
        <v>0</v>
      </c>
      <c r="AY56" s="10">
        <f ca="1">VLOOKUP($B56,'[1]Analisys QBR By Machine Report'!$C$109:$BD$166,46,FALSE)</f>
        <v>0</v>
      </c>
      <c r="AZ56" s="10">
        <f ca="1">VLOOKUP($B56,'[1]Analisys QBR By Machine Report'!$C$109:$BD$166,47,FALSE)</f>
        <v>345</v>
      </c>
      <c r="BA56" s="10">
        <f ca="1">VLOOKUP($B56,'[1]Analisys QBR By Machine Report'!$C$109:$BD$166,48,FALSE)</f>
        <v>320</v>
      </c>
      <c r="BB56" s="10">
        <f ca="1">VLOOKUP($B56,'[1]Analisys QBR By Machine Report'!$C$109:$BD$166,49,FALSE)</f>
        <v>0</v>
      </c>
      <c r="BC56" s="10">
        <f ca="1">VLOOKUP($B56,'[1]Analisys QBR By Machine Report'!$C$109:$BD$166,50,FALSE)</f>
        <v>0</v>
      </c>
      <c r="BD56" s="10">
        <f ca="1">VLOOKUP($B56,'[1]Analisys QBR By Machine Report'!$C$109:$BD$166,51,FALSE)</f>
        <v>645786</v>
      </c>
      <c r="BE56" s="10">
        <f ca="1">VLOOKUP($B56,'[1]Analisys QBR By Machine Report'!$C$109:$BD$166,52,FALSE)</f>
        <v>270</v>
      </c>
      <c r="BF56" s="10">
        <f ca="1">VLOOKUP($B56,'[1]Analisys QBR By Machine Report'!$C$109:$BD$166,53,FALSE)</f>
        <v>645516</v>
      </c>
    </row>
    <row r="57" spans="1:58" x14ac:dyDescent="0.25">
      <c r="A57" s="15" t="s">
        <v>113</v>
      </c>
      <c r="B57" s="13">
        <f ca="1">VLOOKUP($B57,'[1]Analisys QBR By Machine Report'!$C$109:$BD$166,2,FALSE)</f>
        <v>25920</v>
      </c>
      <c r="C57" s="14">
        <f ca="1">VLOOKUP($B57,[1]Dasboard_QBR_Report!$B$109:$BL$166,3,FALSE)</f>
        <v>8640</v>
      </c>
      <c r="D57" s="13">
        <f ca="1">VLOOKUP($B57,'[1]Analisys QBR By Machine Report'!$C$109:$BD$166,3,FALSE)</f>
        <v>14430</v>
      </c>
      <c r="E57" s="14">
        <f ca="1">VLOOKUP($B57,[1]Dasboard_QBR_Report!$B$109:$BL$166,5,FALSE)</f>
        <v>-2850</v>
      </c>
      <c r="F57" s="13">
        <f t="shared" ca="1" si="0"/>
        <v>11490</v>
      </c>
      <c r="G57" s="13">
        <f t="shared" ca="1" si="1"/>
        <v>1335</v>
      </c>
      <c r="H57" s="13">
        <f ca="1">VLOOKUP($B57,'[1]Analisys QBR By Machine Report'!$C$109:$BD$166,4,FALSE)</f>
        <v>1335</v>
      </c>
      <c r="I57" s="13">
        <f ca="1">VLOOKUP($B57,'[1]Analisys QBR By Machine Report'!$C$109:$BD$166,5,FALSE)</f>
        <v>550</v>
      </c>
      <c r="J57" s="13">
        <f ca="1">VLOOKUP($B57,'[1]Analisys QBR By Machine Report'!$C$109:$BD$166,6,FALSE)</f>
        <v>785</v>
      </c>
      <c r="K57" s="13">
        <f ca="1">VLOOKUP($B57,'[1]Analisys QBR By Machine Report'!$C$109:$BD$166,7,FALSE)</f>
        <v>0</v>
      </c>
      <c r="L57" s="13">
        <f ca="1">VLOOKUP($B57,'[1]Analisys QBR By Machine Report'!$C$109:$BD$166,8,FALSE)</f>
        <v>10155</v>
      </c>
      <c r="M57" s="13">
        <f ca="1">VLOOKUP($B57,'[1]Analisys QBR By Machine Report'!$C$109:$BD$166,9,FALSE)</f>
        <v>3190</v>
      </c>
      <c r="N57" s="13">
        <f ca="1">VLOOKUP($B57,[1]Dasboard_QBR_Report!$B$109:$BL$166,18,FALSE)</f>
        <v>6965</v>
      </c>
      <c r="O57" s="13">
        <f ca="1">VLOOKUP($B57,'[1]Analisys QBR By Machine Report'!$C$109:$BD$166,10,FALSE)</f>
        <v>2440</v>
      </c>
      <c r="P57" s="13">
        <f ca="1">VLOOKUP($B57,'[1]Analisys QBR By Machine Report'!$C$109:$BD$166,11,FALSE)</f>
        <v>1175</v>
      </c>
      <c r="Q57" s="13">
        <f ca="1">VLOOKUP($B57,'[1]Analisys QBR By Machine Report'!$C$109:$BD$166,12,FALSE)</f>
        <v>80</v>
      </c>
      <c r="R57" s="13">
        <f ca="1">VLOOKUP($B57,'[1]Analisys QBR By Machine Report'!$C$109:$BD$166,13,FALSE)</f>
        <v>515</v>
      </c>
      <c r="S57" s="13">
        <f ca="1">VLOOKUP($B57,'[1]Analisys QBR By Machine Report'!$C$109:$BD$166,14,FALSE)</f>
        <v>670</v>
      </c>
      <c r="T57" s="13">
        <f ca="1">VLOOKUP($B57,'[1]Analisys QBR By Machine Report'!$C$109:$BD$166,15,FALSE)</f>
        <v>0</v>
      </c>
      <c r="U57" s="13">
        <f ca="1">VLOOKUP($B57,'[1]Analisys QBR By Machine Report'!$C$109:$BD$166,16,FALSE)</f>
        <v>0</v>
      </c>
      <c r="V57" s="13">
        <f ca="1">VLOOKUP($B57,'[1]Analisys QBR By Machine Report'!$C$109:$BD$166,17,FALSE)</f>
        <v>0</v>
      </c>
      <c r="W57" s="13">
        <f ca="1">VLOOKUP($B57,'[1]Analisys QBR By Machine Report'!$C$109:$BD$166,18,FALSE)</f>
        <v>0</v>
      </c>
      <c r="X57" s="13">
        <f ca="1">VLOOKUP($B57,'[1]Analisys QBR By Machine Report'!$C$109:$BD$166,19,FALSE)</f>
        <v>0</v>
      </c>
      <c r="Y57" s="13">
        <f ca="1">VLOOKUP($B57,'[1]Analisys QBR By Machine Report'!$C$109:$BD$166,20,FALSE)</f>
        <v>0</v>
      </c>
      <c r="Z57" s="13">
        <f ca="1">VLOOKUP($B57,'[1]Analisys QBR By Machine Report'!$C$109:$BD$166,21,FALSE)</f>
        <v>1985</v>
      </c>
      <c r="AA57" s="13">
        <f ca="1">VLOOKUP($B57,'[1]Analisys QBR By Machine Report'!$C$109:$BD$166,22,FALSE)</f>
        <v>1340</v>
      </c>
      <c r="AB57" s="13">
        <f ca="1">VLOOKUP($B57,'[1]Analisys QBR By Machine Report'!$C$109:$BD$166,23,FALSE)</f>
        <v>465</v>
      </c>
      <c r="AC57" s="13">
        <f ca="1">VLOOKUP($B57,'[1]Analisys QBR By Machine Report'!$C$109:$BD$166,24,FALSE)</f>
        <v>180</v>
      </c>
      <c r="AD57" s="13">
        <f ca="1">VLOOKUP($B57,'[1]Analisys QBR By Machine Report'!$C$109:$BD$166,25,FALSE)</f>
        <v>0</v>
      </c>
      <c r="AE57" s="13">
        <f ca="1">VLOOKUP($B57,'[1]Analisys QBR By Machine Report'!$C$109:$BD$166,26,FALSE)</f>
        <v>0</v>
      </c>
      <c r="AF57" s="13">
        <f ca="1">VLOOKUP($B57,'[1]Analisys QBR By Machine Report'!$C$109:$BD$166,27,FALSE)</f>
        <v>0</v>
      </c>
      <c r="AG57" s="13">
        <f ca="1">VLOOKUP($B57,'[1]Analisys QBR By Machine Report'!$C$109:$BD$166,28,FALSE)</f>
        <v>0</v>
      </c>
      <c r="AH57" s="13">
        <f ca="1">VLOOKUP($B57,'[1]Analisys QBR By Machine Report'!$C$109:$BD$166,29,FALSE)</f>
        <v>0</v>
      </c>
      <c r="AI57" s="13">
        <f ca="1">VLOOKUP($B57,'[1]Analisys QBR By Machine Report'!$C$109:$BD$166,30,FALSE)</f>
        <v>2540</v>
      </c>
      <c r="AJ57" s="13">
        <f ca="1">VLOOKUP($B57,'[1]Analisys QBR By Machine Report'!$C$109:$BD$166,31,FALSE)</f>
        <v>170</v>
      </c>
      <c r="AK57" s="13">
        <f ca="1">VLOOKUP($B57,'[1]Analisys QBR By Machine Report'!$C$109:$BD$166,32,FALSE)</f>
        <v>0</v>
      </c>
      <c r="AL57" s="13">
        <f ca="1">VLOOKUP($B57,'[1]Analisys QBR By Machine Report'!$C$109:$BD$166,33,FALSE)</f>
        <v>600</v>
      </c>
      <c r="AM57" s="13">
        <f ca="1">VLOOKUP($B57,'[1]Analisys QBR By Machine Report'!$C$109:$BD$166,34,FALSE)</f>
        <v>0</v>
      </c>
      <c r="AN57" s="13">
        <f ca="1">VLOOKUP($B57,'[1]Analisys QBR By Machine Report'!$C$109:$BD$166,35,FALSE)</f>
        <v>405</v>
      </c>
      <c r="AO57" s="13">
        <f ca="1">VLOOKUP($B57,'[1]Analisys QBR By Machine Report'!$C$109:$BD$166,36,FALSE)</f>
        <v>585</v>
      </c>
      <c r="AP57" s="13">
        <f ca="1">VLOOKUP($B57,'[1]Analisys QBR By Machine Report'!$C$109:$BD$166,37,FALSE)</f>
        <v>0</v>
      </c>
      <c r="AQ57" s="13">
        <f ca="1">VLOOKUP($B57,'[1]Analisys QBR By Machine Report'!$C$109:$BD$166,38,FALSE)</f>
        <v>0</v>
      </c>
      <c r="AR57" s="13">
        <f ca="1">VLOOKUP($B57,'[1]Analisys QBR By Machine Report'!$C$109:$BD$166,39,FALSE)</f>
        <v>0</v>
      </c>
      <c r="AS57" s="13">
        <f ca="1">VLOOKUP($B57,'[1]Analisys QBR By Machine Report'!$C$109:$BD$166,40,FALSE)</f>
        <v>195</v>
      </c>
      <c r="AT57" s="13">
        <f ca="1">VLOOKUP($B57,'[1]Analisys QBR By Machine Report'!$C$109:$BD$166,41,FALSE)</f>
        <v>0</v>
      </c>
      <c r="AU57" s="13">
        <f ca="1">VLOOKUP($B57,'[1]Analisys QBR By Machine Report'!$C$109:$BD$166,42,FALSE)</f>
        <v>0</v>
      </c>
      <c r="AV57" s="13">
        <f ca="1">VLOOKUP($B57,'[1]Analisys QBR By Machine Report'!$C$109:$BD$166,43,FALSE)</f>
        <v>0</v>
      </c>
      <c r="AW57" s="13">
        <f ca="1">VLOOKUP($B57,'[1]Analisys QBR By Machine Report'!$C$109:$BD$166,44,FALSE)</f>
        <v>0</v>
      </c>
      <c r="AX57" s="13">
        <f ca="1">VLOOKUP($B57,'[1]Analisys QBR By Machine Report'!$C$109:$BD$166,45,FALSE)</f>
        <v>0</v>
      </c>
      <c r="AY57" s="13">
        <f ca="1">VLOOKUP($B57,'[1]Analisys QBR By Machine Report'!$C$109:$BD$166,46,FALSE)</f>
        <v>0</v>
      </c>
      <c r="AZ57" s="13">
        <f ca="1">VLOOKUP($B57,'[1]Analisys QBR By Machine Report'!$C$109:$BD$166,47,FALSE)</f>
        <v>265</v>
      </c>
      <c r="BA57" s="13">
        <f ca="1">VLOOKUP($B57,'[1]Analisys QBR By Machine Report'!$C$109:$BD$166,48,FALSE)</f>
        <v>320</v>
      </c>
      <c r="BB57" s="13">
        <f ca="1">VLOOKUP($B57,'[1]Analisys QBR By Machine Report'!$C$109:$BD$166,49,FALSE)</f>
        <v>0</v>
      </c>
      <c r="BC57" s="13">
        <f ca="1">VLOOKUP($B57,'[1]Analisys QBR By Machine Report'!$C$109:$BD$166,50,FALSE)</f>
        <v>0</v>
      </c>
      <c r="BD57" s="13">
        <f ca="1">VLOOKUP($B57,'[1]Analisys QBR By Machine Report'!$C$109:$BD$166,51,FALSE)</f>
        <v>613294</v>
      </c>
      <c r="BE57" s="13">
        <f ca="1">VLOOKUP($B57,'[1]Analisys QBR By Machine Report'!$C$109:$BD$166,52,FALSE)</f>
        <v>176</v>
      </c>
      <c r="BF57" s="13">
        <f ca="1">VLOOKUP($B57,'[1]Analisys QBR By Machine Report'!$C$109:$BD$166,53,FALSE)</f>
        <v>613118</v>
      </c>
    </row>
    <row r="58" spans="1:58" x14ac:dyDescent="0.25">
      <c r="A58" s="15" t="s">
        <v>114</v>
      </c>
      <c r="B58" s="13">
        <f ca="1">VLOOKUP($B58,'[1]Analisys QBR By Machine Report'!$C$109:$BD$166,2,FALSE)</f>
        <v>25920</v>
      </c>
      <c r="C58" s="14">
        <f ca="1">VLOOKUP($B58,[1]Dasboard_QBR_Report!$B$109:$BL$166,3,FALSE)</f>
        <v>8640</v>
      </c>
      <c r="D58" s="13">
        <f ca="1">VLOOKUP($B58,'[1]Analisys QBR By Machine Report'!$C$109:$BD$166,3,FALSE)</f>
        <v>23370</v>
      </c>
      <c r="E58" s="14">
        <f ca="1">VLOOKUP($B58,[1]Dasboard_QBR_Report!$B$109:$BL$166,5,FALSE)</f>
        <v>6090</v>
      </c>
      <c r="F58" s="13">
        <f t="shared" ca="1" si="0"/>
        <v>2550</v>
      </c>
      <c r="G58" s="13">
        <f t="shared" ca="1" si="1"/>
        <v>755</v>
      </c>
      <c r="H58" s="13">
        <f ca="1">VLOOKUP($B58,'[1]Analisys QBR By Machine Report'!$C$109:$BD$166,4,FALSE)</f>
        <v>755</v>
      </c>
      <c r="I58" s="13">
        <f ca="1">VLOOKUP($B58,'[1]Analisys QBR By Machine Report'!$C$109:$BD$166,5,FALSE)</f>
        <v>55</v>
      </c>
      <c r="J58" s="13">
        <f ca="1">VLOOKUP($B58,'[1]Analisys QBR By Machine Report'!$C$109:$BD$166,6,FALSE)</f>
        <v>700</v>
      </c>
      <c r="K58" s="13">
        <f ca="1">VLOOKUP($B58,'[1]Analisys QBR By Machine Report'!$C$109:$BD$166,7,FALSE)</f>
        <v>0</v>
      </c>
      <c r="L58" s="13">
        <f ca="1">VLOOKUP($B58,'[1]Analisys QBR By Machine Report'!$C$109:$BD$166,8,FALSE)</f>
        <v>1795</v>
      </c>
      <c r="M58" s="13">
        <f ca="1">VLOOKUP($B58,'[1]Analisys QBR By Machine Report'!$C$109:$BD$166,9,FALSE)</f>
        <v>1170</v>
      </c>
      <c r="N58" s="13">
        <f ca="1">VLOOKUP($B58,[1]Dasboard_QBR_Report!$B$109:$BL$166,18,FALSE)</f>
        <v>625</v>
      </c>
      <c r="O58" s="13">
        <f ca="1">VLOOKUP($B58,'[1]Analisys QBR By Machine Report'!$C$109:$BD$166,10,FALSE)</f>
        <v>57</v>
      </c>
      <c r="P58" s="13">
        <f ca="1">VLOOKUP($B58,'[1]Analisys QBR By Machine Report'!$C$109:$BD$166,11,FALSE)</f>
        <v>57</v>
      </c>
      <c r="Q58" s="13">
        <f ca="1">VLOOKUP($B58,'[1]Analisys QBR By Machine Report'!$C$109:$BD$166,12,FALSE)</f>
        <v>0</v>
      </c>
      <c r="R58" s="13">
        <f ca="1">VLOOKUP($B58,'[1]Analisys QBR By Machine Report'!$C$109:$BD$166,13,FALSE)</f>
        <v>0</v>
      </c>
      <c r="S58" s="13">
        <f ca="1">VLOOKUP($B58,'[1]Analisys QBR By Machine Report'!$C$109:$BD$166,14,FALSE)</f>
        <v>0</v>
      </c>
      <c r="T58" s="13">
        <f ca="1">VLOOKUP($B58,'[1]Analisys QBR By Machine Report'!$C$109:$BD$166,15,FALSE)</f>
        <v>0</v>
      </c>
      <c r="U58" s="13">
        <f ca="1">VLOOKUP($B58,'[1]Analisys QBR By Machine Report'!$C$109:$BD$166,16,FALSE)</f>
        <v>0</v>
      </c>
      <c r="V58" s="13">
        <f ca="1">VLOOKUP($B58,'[1]Analisys QBR By Machine Report'!$C$109:$BD$166,17,FALSE)</f>
        <v>0</v>
      </c>
      <c r="W58" s="13">
        <f ca="1">VLOOKUP($B58,'[1]Analisys QBR By Machine Report'!$C$109:$BD$166,18,FALSE)</f>
        <v>0</v>
      </c>
      <c r="X58" s="13">
        <f ca="1">VLOOKUP($B58,'[1]Analisys QBR By Machine Report'!$C$109:$BD$166,19,FALSE)</f>
        <v>0</v>
      </c>
      <c r="Y58" s="13">
        <f ca="1">VLOOKUP($B58,'[1]Analisys QBR By Machine Report'!$C$109:$BD$166,20,FALSE)</f>
        <v>0</v>
      </c>
      <c r="Z58" s="13">
        <f ca="1">VLOOKUP($B58,'[1]Analisys QBR By Machine Report'!$C$109:$BD$166,21,FALSE)</f>
        <v>235</v>
      </c>
      <c r="AA58" s="13">
        <f ca="1">VLOOKUP($B58,'[1]Analisys QBR By Machine Report'!$C$109:$BD$166,22,FALSE)</f>
        <v>0</v>
      </c>
      <c r="AB58" s="13">
        <f ca="1">VLOOKUP($B58,'[1]Analisys QBR By Machine Report'!$C$109:$BD$166,23,FALSE)</f>
        <v>125</v>
      </c>
      <c r="AC58" s="13">
        <f ca="1">VLOOKUP($B58,'[1]Analisys QBR By Machine Report'!$C$109:$BD$166,24,FALSE)</f>
        <v>0</v>
      </c>
      <c r="AD58" s="13">
        <f ca="1">VLOOKUP($B58,'[1]Analisys QBR By Machine Report'!$C$109:$BD$166,25,FALSE)</f>
        <v>0</v>
      </c>
      <c r="AE58" s="13">
        <f ca="1">VLOOKUP($B58,'[1]Analisys QBR By Machine Report'!$C$109:$BD$166,26,FALSE)</f>
        <v>110</v>
      </c>
      <c r="AF58" s="13">
        <f ca="1">VLOOKUP($B58,'[1]Analisys QBR By Machine Report'!$C$109:$BD$166,27,FALSE)</f>
        <v>0</v>
      </c>
      <c r="AG58" s="13">
        <f ca="1">VLOOKUP($B58,'[1]Analisys QBR By Machine Report'!$C$109:$BD$166,28,FALSE)</f>
        <v>0</v>
      </c>
      <c r="AH58" s="13">
        <f ca="1">VLOOKUP($B58,'[1]Analisys QBR By Machine Report'!$C$109:$BD$166,29,FALSE)</f>
        <v>0</v>
      </c>
      <c r="AI58" s="13">
        <f ca="1">VLOOKUP($B58,'[1]Analisys QBR By Machine Report'!$C$109:$BD$166,30,FALSE)</f>
        <v>333</v>
      </c>
      <c r="AJ58" s="13">
        <f ca="1">VLOOKUP($B58,'[1]Analisys QBR By Machine Report'!$C$109:$BD$166,31,FALSE)</f>
        <v>0</v>
      </c>
      <c r="AK58" s="13">
        <f ca="1">VLOOKUP($B58,'[1]Analisys QBR By Machine Report'!$C$109:$BD$166,32,FALSE)</f>
        <v>0</v>
      </c>
      <c r="AL58" s="13">
        <f ca="1">VLOOKUP($B58,'[1]Analisys QBR By Machine Report'!$C$109:$BD$166,33,FALSE)</f>
        <v>90</v>
      </c>
      <c r="AM58" s="13">
        <f ca="1">VLOOKUP($B58,'[1]Analisys QBR By Machine Report'!$C$109:$BD$166,34,FALSE)</f>
        <v>0</v>
      </c>
      <c r="AN58" s="13">
        <f ca="1">VLOOKUP($B58,'[1]Analisys QBR By Machine Report'!$C$109:$BD$166,35,FALSE)</f>
        <v>45</v>
      </c>
      <c r="AO58" s="13">
        <f ca="1">VLOOKUP($B58,'[1]Analisys QBR By Machine Report'!$C$109:$BD$166,36,FALSE)</f>
        <v>80</v>
      </c>
      <c r="AP58" s="13">
        <f ca="1">VLOOKUP($B58,'[1]Analisys QBR By Machine Report'!$C$109:$BD$166,37,FALSE)</f>
        <v>0</v>
      </c>
      <c r="AQ58" s="13">
        <f ca="1">VLOOKUP($B58,'[1]Analisys QBR By Machine Report'!$C$109:$BD$166,38,FALSE)</f>
        <v>0</v>
      </c>
      <c r="AR58" s="13">
        <f ca="1">VLOOKUP($B58,'[1]Analisys QBR By Machine Report'!$C$109:$BD$166,39,FALSE)</f>
        <v>0</v>
      </c>
      <c r="AS58" s="13">
        <f ca="1">VLOOKUP($B58,'[1]Analisys QBR By Machine Report'!$C$109:$BD$166,40,FALSE)</f>
        <v>38</v>
      </c>
      <c r="AT58" s="13">
        <f ca="1">VLOOKUP($B58,'[1]Analisys QBR By Machine Report'!$C$109:$BD$166,41,FALSE)</f>
        <v>0</v>
      </c>
      <c r="AU58" s="13">
        <f ca="1">VLOOKUP($B58,'[1]Analisys QBR By Machine Report'!$C$109:$BD$166,42,FALSE)</f>
        <v>0</v>
      </c>
      <c r="AV58" s="13">
        <f ca="1">VLOOKUP($B58,'[1]Analisys QBR By Machine Report'!$C$109:$BD$166,43,FALSE)</f>
        <v>0</v>
      </c>
      <c r="AW58" s="13">
        <f ca="1">VLOOKUP($B58,'[1]Analisys QBR By Machine Report'!$C$109:$BD$166,44,FALSE)</f>
        <v>0</v>
      </c>
      <c r="AX58" s="13">
        <f ca="1">VLOOKUP($B58,'[1]Analisys QBR By Machine Report'!$C$109:$BD$166,45,FALSE)</f>
        <v>0</v>
      </c>
      <c r="AY58" s="13">
        <f ca="1">VLOOKUP($B58,'[1]Analisys QBR By Machine Report'!$C$109:$BD$166,46,FALSE)</f>
        <v>0</v>
      </c>
      <c r="AZ58" s="13">
        <f ca="1">VLOOKUP($B58,'[1]Analisys QBR By Machine Report'!$C$109:$BD$166,47,FALSE)</f>
        <v>80</v>
      </c>
      <c r="BA58" s="13">
        <f ca="1">VLOOKUP($B58,'[1]Analisys QBR By Machine Report'!$C$109:$BD$166,48,FALSE)</f>
        <v>0</v>
      </c>
      <c r="BB58" s="13">
        <f ca="1">VLOOKUP($B58,'[1]Analisys QBR By Machine Report'!$C$109:$BD$166,49,FALSE)</f>
        <v>0</v>
      </c>
      <c r="BC58" s="13">
        <f ca="1">VLOOKUP($B58,'[1]Analisys QBR By Machine Report'!$C$109:$BD$166,50,FALSE)</f>
        <v>0</v>
      </c>
      <c r="BD58" s="13">
        <f ca="1">VLOOKUP($B58,'[1]Analisys QBR By Machine Report'!$C$109:$BD$166,51,FALSE)</f>
        <v>32492</v>
      </c>
      <c r="BE58" s="13">
        <f ca="1">VLOOKUP($B58,'[1]Analisys QBR By Machine Report'!$C$109:$BD$166,52,FALSE)</f>
        <v>94</v>
      </c>
      <c r="BF58" s="13">
        <f ca="1">VLOOKUP($B58,'[1]Analisys QBR By Machine Report'!$C$109:$BD$166,53,FALSE)</f>
        <v>32398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216CC-4950-4A09-B5DB-AC5F90D20C86}">
  <dimension ref="A1:BF58"/>
  <sheetViews>
    <sheetView workbookViewId="0">
      <selection activeCell="H7" sqref="H7"/>
    </sheetView>
  </sheetViews>
  <sheetFormatPr defaultRowHeight="15" x14ac:dyDescent="0.25"/>
  <cols>
    <col min="1" max="1" width="20" customWidth="1"/>
  </cols>
  <sheetData>
    <row r="1" spans="1:58" ht="60" x14ac:dyDescent="0.25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8" t="s">
        <v>55</v>
      </c>
      <c r="BE1" s="8" t="s">
        <v>56</v>
      </c>
      <c r="BF1" s="8" t="s">
        <v>57</v>
      </c>
    </row>
    <row r="2" spans="1:58" x14ac:dyDescent="0.25">
      <c r="A2" s="9" t="s">
        <v>58</v>
      </c>
      <c r="B2" s="10">
        <f ca="1">VLOOKUP($B2,'[2]Analisys QBR By Machine Report'!$C$109:$BD$166,2,FALSE)</f>
        <v>90720</v>
      </c>
      <c r="C2" s="11">
        <f ca="1">VLOOKUP($B2,[2]Dasboard_QBR_Report!$B$109:$BL$166,3,FALSE)</f>
        <v>58590</v>
      </c>
      <c r="D2" s="10">
        <f ca="1">VLOOKUP($B2,'[2]Analisys QBR By Machine Report'!$C$109:$BD$166,3,FALSE)</f>
        <v>56610</v>
      </c>
      <c r="E2" s="11">
        <f ca="1">VLOOKUP($B2,[2]Dasboard_QBR_Report!$B$109:$BL$166,5,FALSE)</f>
        <v>24480</v>
      </c>
      <c r="F2" s="10">
        <f t="shared" ref="F2:F58" ca="1" si="0">SUM(G2,L2)</f>
        <v>34110</v>
      </c>
      <c r="G2" s="10">
        <f t="shared" ref="G2:G58" ca="1" si="1">SUM($I2,$L2)</f>
        <v>3049</v>
      </c>
      <c r="H2" s="10">
        <f ca="1">VLOOKUP($B2,'[2]Analisys QBR By Machine Report'!$C$109:$BD$166,4,FALSE)</f>
        <v>2889</v>
      </c>
      <c r="I2" s="10">
        <f ca="1">VLOOKUP($B2,'[2]Analisys QBR By Machine Report'!$C$109:$BD$166,5,FALSE)</f>
        <v>955</v>
      </c>
      <c r="J2" s="10">
        <f ca="1">VLOOKUP($B2,'[2]Analisys QBR By Machine Report'!$C$109:$BD$166,6,FALSE)</f>
        <v>1934</v>
      </c>
      <c r="K2" s="10">
        <f ca="1">VLOOKUP($B2,'[2]Analisys QBR By Machine Report'!$C$109:$BD$166,7,FALSE)</f>
        <v>160</v>
      </c>
      <c r="L2" s="10">
        <f ca="1">VLOOKUP($B2,'[2]Analisys QBR By Machine Report'!$C$109:$BD$166,8,FALSE)</f>
        <v>31061</v>
      </c>
      <c r="M2" s="10">
        <f ca="1">VLOOKUP($B2,'[2]Analisys QBR By Machine Report'!$C$109:$BD$166,9,FALSE)</f>
        <v>4441</v>
      </c>
      <c r="N2" s="10">
        <f ca="1">VLOOKUP($B2,[2]Dasboard_QBR_Report!$B$109:$BL$166,18,FALSE)</f>
        <v>26620</v>
      </c>
      <c r="O2" s="10">
        <f ca="1">VLOOKUP($B2,'[2]Analisys QBR By Machine Report'!$C$109:$BD$166,10,FALSE)</f>
        <v>880</v>
      </c>
      <c r="P2" s="10">
        <f ca="1">VLOOKUP($B2,'[2]Analisys QBR By Machine Report'!$C$109:$BD$166,11,FALSE)</f>
        <v>877</v>
      </c>
      <c r="Q2" s="10">
        <f ca="1">VLOOKUP($B2,'[2]Analisys QBR By Machine Report'!$C$109:$BD$166,12,FALSE)</f>
        <v>0</v>
      </c>
      <c r="R2" s="10">
        <f ca="1">VLOOKUP($B2,'[2]Analisys QBR By Machine Report'!$C$109:$BD$166,13,FALSE)</f>
        <v>3</v>
      </c>
      <c r="S2" s="10">
        <f ca="1">VLOOKUP($B2,'[2]Analisys QBR By Machine Report'!$C$109:$BD$166,14,FALSE)</f>
        <v>0</v>
      </c>
      <c r="T2" s="10">
        <f ca="1">VLOOKUP($B2,'[2]Analisys QBR By Machine Report'!$C$109:$BD$166,15,FALSE)</f>
        <v>127</v>
      </c>
      <c r="U2" s="10">
        <f ca="1">VLOOKUP($B2,'[2]Analisys QBR By Machine Report'!$C$109:$BD$166,16,FALSE)</f>
        <v>0</v>
      </c>
      <c r="V2" s="10">
        <f ca="1">VLOOKUP($B2,'[2]Analisys QBR By Machine Report'!$C$109:$BD$166,17,FALSE)</f>
        <v>0</v>
      </c>
      <c r="W2" s="10">
        <f ca="1">VLOOKUP($B2,'[2]Analisys QBR By Machine Report'!$C$109:$BD$166,18,FALSE)</f>
        <v>0</v>
      </c>
      <c r="X2" s="10">
        <f ca="1">VLOOKUP($B2,'[2]Analisys QBR By Machine Report'!$C$109:$BD$166,19,FALSE)</f>
        <v>127</v>
      </c>
      <c r="Y2" s="10">
        <f ca="1">VLOOKUP($B2,'[2]Analisys QBR By Machine Report'!$C$109:$BD$166,20,FALSE)</f>
        <v>0</v>
      </c>
      <c r="Z2" s="10">
        <f ca="1">VLOOKUP($B2,'[2]Analisys QBR By Machine Report'!$C$109:$BD$166,21,FALSE)</f>
        <v>13026</v>
      </c>
      <c r="AA2" s="10">
        <f ca="1">VLOOKUP($B2,'[2]Analisys QBR By Machine Report'!$C$109:$BD$166,22,FALSE)</f>
        <v>6964</v>
      </c>
      <c r="AB2" s="10">
        <f ca="1">VLOOKUP($B2,'[2]Analisys QBR By Machine Report'!$C$109:$BD$166,23,FALSE)</f>
        <v>5210</v>
      </c>
      <c r="AC2" s="10">
        <f ca="1">VLOOKUP($B2,'[2]Analisys QBR By Machine Report'!$C$109:$BD$166,24,FALSE)</f>
        <v>5</v>
      </c>
      <c r="AD2" s="10">
        <f ca="1">VLOOKUP($B2,'[2]Analisys QBR By Machine Report'!$C$109:$BD$166,25,FALSE)</f>
        <v>0</v>
      </c>
      <c r="AE2" s="10">
        <f ca="1">VLOOKUP($B2,'[2]Analisys QBR By Machine Report'!$C$109:$BD$166,26,FALSE)</f>
        <v>847</v>
      </c>
      <c r="AF2" s="10">
        <f ca="1">VLOOKUP($B2,'[2]Analisys QBR By Machine Report'!$C$109:$BD$166,27,FALSE)</f>
        <v>450</v>
      </c>
      <c r="AG2" s="10">
        <f ca="1">VLOOKUP($B2,'[2]Analisys QBR By Machine Report'!$C$109:$BD$166,28,FALSE)</f>
        <v>0</v>
      </c>
      <c r="AH2" s="10">
        <f ca="1">VLOOKUP($B2,'[2]Analisys QBR By Machine Report'!$C$109:$BD$166,29,FALSE)</f>
        <v>450</v>
      </c>
      <c r="AI2" s="10">
        <f ca="1">VLOOKUP($B2,'[2]Analisys QBR By Machine Report'!$C$109:$BD$166,30,FALSE)</f>
        <v>12137</v>
      </c>
      <c r="AJ2" s="10">
        <f ca="1">VLOOKUP($B2,'[2]Analisys QBR By Machine Report'!$C$109:$BD$166,31,FALSE)</f>
        <v>40</v>
      </c>
      <c r="AK2" s="10">
        <f ca="1">VLOOKUP($B2,'[2]Analisys QBR By Machine Report'!$C$109:$BD$166,32,FALSE)</f>
        <v>0</v>
      </c>
      <c r="AL2" s="10">
        <f ca="1">VLOOKUP($B2,'[2]Analisys QBR By Machine Report'!$C$109:$BD$166,33,FALSE)</f>
        <v>1575</v>
      </c>
      <c r="AM2" s="10">
        <f ca="1">VLOOKUP($B2,'[2]Analisys QBR By Machine Report'!$C$109:$BD$166,34,FALSE)</f>
        <v>0</v>
      </c>
      <c r="AN2" s="10">
        <f ca="1">VLOOKUP($B2,'[2]Analisys QBR By Machine Report'!$C$109:$BD$166,35,FALSE)</f>
        <v>1164</v>
      </c>
      <c r="AO2" s="10">
        <f ca="1">VLOOKUP($B2,'[2]Analisys QBR By Machine Report'!$C$109:$BD$166,36,FALSE)</f>
        <v>0</v>
      </c>
      <c r="AP2" s="10">
        <f ca="1">VLOOKUP($B2,'[2]Analisys QBR By Machine Report'!$C$109:$BD$166,37,FALSE)</f>
        <v>0</v>
      </c>
      <c r="AQ2" s="10">
        <f ca="1">VLOOKUP($B2,'[2]Analisys QBR By Machine Report'!$C$109:$BD$166,38,FALSE)</f>
        <v>0</v>
      </c>
      <c r="AR2" s="10">
        <f ca="1">VLOOKUP($B2,'[2]Analisys QBR By Machine Report'!$C$109:$BD$166,39,FALSE)</f>
        <v>8293</v>
      </c>
      <c r="AS2" s="10">
        <f ca="1">VLOOKUP($B2,'[2]Analisys QBR By Machine Report'!$C$109:$BD$166,40,FALSE)</f>
        <v>0</v>
      </c>
      <c r="AT2" s="10">
        <f ca="1">VLOOKUP($B2,'[2]Analisys QBR By Machine Report'!$C$109:$BD$166,41,FALSE)</f>
        <v>0</v>
      </c>
      <c r="AU2" s="10">
        <f ca="1">VLOOKUP($B2,'[2]Analisys QBR By Machine Report'!$C$109:$BD$166,42,FALSE)</f>
        <v>745</v>
      </c>
      <c r="AV2" s="10">
        <f ca="1">VLOOKUP($B2,'[2]Analisys QBR By Machine Report'!$C$109:$BD$166,43,FALSE)</f>
        <v>0</v>
      </c>
      <c r="AW2" s="10">
        <f ca="1">VLOOKUP($B2,'[2]Analisys QBR By Machine Report'!$C$109:$BD$166,44,FALSE)</f>
        <v>0</v>
      </c>
      <c r="AX2" s="10">
        <f ca="1">VLOOKUP($B2,'[2]Analisys QBR By Machine Report'!$C$109:$BD$166,45,FALSE)</f>
        <v>0</v>
      </c>
      <c r="AY2" s="10">
        <f ca="1">VLOOKUP($B2,'[2]Analisys QBR By Machine Report'!$C$109:$BD$166,46,FALSE)</f>
        <v>0</v>
      </c>
      <c r="AZ2" s="10">
        <f ca="1">VLOOKUP($B2,'[2]Analisys QBR By Machine Report'!$C$109:$BD$166,47,FALSE)</f>
        <v>320</v>
      </c>
      <c r="BA2" s="10">
        <f ca="1">VLOOKUP($B2,'[2]Analisys QBR By Machine Report'!$C$109:$BD$166,48,FALSE)</f>
        <v>0</v>
      </c>
      <c r="BB2" s="10">
        <f ca="1">VLOOKUP($B2,'[2]Analisys QBR By Machine Report'!$C$109:$BD$166,49,FALSE)</f>
        <v>0</v>
      </c>
      <c r="BC2" s="10">
        <f ca="1">VLOOKUP($B2,'[2]Analisys QBR By Machine Report'!$C$109:$BD$166,50,FALSE)</f>
        <v>0</v>
      </c>
      <c r="BD2" s="10">
        <f ca="1">VLOOKUP($B2,'[2]Analisys QBR By Machine Report'!$C$109:$BD$166,51,FALSE)</f>
        <v>7811.05</v>
      </c>
      <c r="BE2" s="10">
        <f ca="1">VLOOKUP($B2,'[2]Analisys QBR By Machine Report'!$C$109:$BD$166,52,FALSE)</f>
        <v>0</v>
      </c>
      <c r="BF2" s="10">
        <f ca="1">VLOOKUP($B2,'[2]Analisys QBR By Machine Report'!$C$109:$BD$166,53,FALSE)</f>
        <v>7811.05</v>
      </c>
    </row>
    <row r="3" spans="1:58" x14ac:dyDescent="0.25">
      <c r="A3" s="12" t="s">
        <v>59</v>
      </c>
      <c r="B3" s="13">
        <f ca="1">VLOOKUP($B3,'[2]Analisys QBR By Machine Report'!$C$109:$BD$166,2,FALSE)</f>
        <v>30240</v>
      </c>
      <c r="C3" s="14">
        <f ca="1">VLOOKUP($B3,[2]Dasboard_QBR_Report!$B$109:$BL$166,3,FALSE)</f>
        <v>19530</v>
      </c>
      <c r="D3" s="13">
        <f ca="1">VLOOKUP($B3,'[2]Analisys QBR By Machine Report'!$C$109:$BD$166,3,FALSE)</f>
        <v>19980</v>
      </c>
      <c r="E3" s="14">
        <f ca="1">VLOOKUP($B3,[2]Dasboard_QBR_Report!$B$109:$BL$166,5,FALSE)</f>
        <v>9270</v>
      </c>
      <c r="F3" s="13">
        <f t="shared" ca="1" si="0"/>
        <v>10260</v>
      </c>
      <c r="G3" s="13">
        <f t="shared" ca="1" si="1"/>
        <v>1175</v>
      </c>
      <c r="H3" s="13">
        <f ca="1">VLOOKUP($B3,'[2]Analisys QBR By Machine Report'!$C$109:$BD$166,4,FALSE)</f>
        <v>1175</v>
      </c>
      <c r="I3" s="13">
        <f ca="1">VLOOKUP($B3,'[2]Analisys QBR By Machine Report'!$C$109:$BD$166,5,FALSE)</f>
        <v>715</v>
      </c>
      <c r="J3" s="13">
        <f ca="1">VLOOKUP($B3,'[2]Analisys QBR By Machine Report'!$C$109:$BD$166,6,FALSE)</f>
        <v>460</v>
      </c>
      <c r="K3" s="13">
        <f ca="1">VLOOKUP($B3,'[2]Analisys QBR By Machine Report'!$C$109:$BD$166,7,FALSE)</f>
        <v>0</v>
      </c>
      <c r="L3" s="13">
        <f ca="1">VLOOKUP($B3,'[2]Analisys QBR By Machine Report'!$C$109:$BD$166,8,FALSE)</f>
        <v>9085</v>
      </c>
      <c r="M3" s="13">
        <f ca="1">VLOOKUP($B3,'[2]Analisys QBR By Machine Report'!$C$109:$BD$166,9,FALSE)</f>
        <v>1987</v>
      </c>
      <c r="N3" s="13">
        <f ca="1">VLOOKUP($B3,[2]Dasboard_QBR_Report!$B$109:$BL$166,18,FALSE)</f>
        <v>7098</v>
      </c>
      <c r="O3" s="13">
        <f ca="1">VLOOKUP($B3,'[2]Analisys QBR By Machine Report'!$C$109:$BD$166,10,FALSE)</f>
        <v>251</v>
      </c>
      <c r="P3" s="13">
        <f ca="1">VLOOKUP($B3,'[2]Analisys QBR By Machine Report'!$C$109:$BD$166,11,FALSE)</f>
        <v>248</v>
      </c>
      <c r="Q3" s="13">
        <f ca="1">VLOOKUP($B3,'[2]Analisys QBR By Machine Report'!$C$109:$BD$166,12,FALSE)</f>
        <v>0</v>
      </c>
      <c r="R3" s="13">
        <f ca="1">VLOOKUP($B3,'[2]Analisys QBR By Machine Report'!$C$109:$BD$166,13,FALSE)</f>
        <v>3</v>
      </c>
      <c r="S3" s="13">
        <f ca="1">VLOOKUP($B3,'[2]Analisys QBR By Machine Report'!$C$109:$BD$166,14,FALSE)</f>
        <v>0</v>
      </c>
      <c r="T3" s="13">
        <f ca="1">VLOOKUP($B3,'[2]Analisys QBR By Machine Report'!$C$109:$BD$166,15,FALSE)</f>
        <v>90</v>
      </c>
      <c r="U3" s="13">
        <f ca="1">VLOOKUP($B3,'[2]Analisys QBR By Machine Report'!$C$109:$BD$166,16,FALSE)</f>
        <v>0</v>
      </c>
      <c r="V3" s="13">
        <f ca="1">VLOOKUP($B3,'[2]Analisys QBR By Machine Report'!$C$109:$BD$166,17,FALSE)</f>
        <v>0</v>
      </c>
      <c r="W3" s="13">
        <f ca="1">VLOOKUP($B3,'[2]Analisys QBR By Machine Report'!$C$109:$BD$166,18,FALSE)</f>
        <v>0</v>
      </c>
      <c r="X3" s="13">
        <f ca="1">VLOOKUP($B3,'[2]Analisys QBR By Machine Report'!$C$109:$BD$166,19,FALSE)</f>
        <v>90</v>
      </c>
      <c r="Y3" s="13">
        <f ca="1">VLOOKUP($B3,'[2]Analisys QBR By Machine Report'!$C$109:$BD$166,20,FALSE)</f>
        <v>0</v>
      </c>
      <c r="Z3" s="13">
        <f ca="1">VLOOKUP($B3,'[2]Analisys QBR By Machine Report'!$C$109:$BD$166,21,FALSE)</f>
        <v>5243</v>
      </c>
      <c r="AA3" s="13">
        <f ca="1">VLOOKUP($B3,'[2]Analisys QBR By Machine Report'!$C$109:$BD$166,22,FALSE)</f>
        <v>2951</v>
      </c>
      <c r="AB3" s="13">
        <f ca="1">VLOOKUP($B3,'[2]Analisys QBR By Machine Report'!$C$109:$BD$166,23,FALSE)</f>
        <v>1998</v>
      </c>
      <c r="AC3" s="13">
        <f ca="1">VLOOKUP($B3,'[2]Analisys QBR By Machine Report'!$C$109:$BD$166,24,FALSE)</f>
        <v>4</v>
      </c>
      <c r="AD3" s="13">
        <f ca="1">VLOOKUP($B3,'[2]Analisys QBR By Machine Report'!$C$109:$BD$166,25,FALSE)</f>
        <v>0</v>
      </c>
      <c r="AE3" s="13">
        <f ca="1">VLOOKUP($B3,'[2]Analisys QBR By Machine Report'!$C$109:$BD$166,26,FALSE)</f>
        <v>290</v>
      </c>
      <c r="AF3" s="13">
        <f ca="1">VLOOKUP($B3,'[2]Analisys QBR By Machine Report'!$C$109:$BD$166,27,FALSE)</f>
        <v>0</v>
      </c>
      <c r="AG3" s="13">
        <f ca="1">VLOOKUP($B3,'[2]Analisys QBR By Machine Report'!$C$109:$BD$166,28,FALSE)</f>
        <v>0</v>
      </c>
      <c r="AH3" s="13">
        <f ca="1">VLOOKUP($B3,'[2]Analisys QBR By Machine Report'!$C$109:$BD$166,29,FALSE)</f>
        <v>0</v>
      </c>
      <c r="AI3" s="13">
        <f ca="1">VLOOKUP($B3,'[2]Analisys QBR By Machine Report'!$C$109:$BD$166,30,FALSE)</f>
        <v>1514</v>
      </c>
      <c r="AJ3" s="13">
        <f ca="1">VLOOKUP($B3,'[2]Analisys QBR By Machine Report'!$C$109:$BD$166,31,FALSE)</f>
        <v>0</v>
      </c>
      <c r="AK3" s="13">
        <f ca="1">VLOOKUP($B3,'[2]Analisys QBR By Machine Report'!$C$109:$BD$166,32,FALSE)</f>
        <v>0</v>
      </c>
      <c r="AL3" s="13">
        <f ca="1">VLOOKUP($B3,'[2]Analisys QBR By Machine Report'!$C$109:$BD$166,33,FALSE)</f>
        <v>615</v>
      </c>
      <c r="AM3" s="13">
        <f ca="1">VLOOKUP($B3,'[2]Analisys QBR By Machine Report'!$C$109:$BD$166,34,FALSE)</f>
        <v>0</v>
      </c>
      <c r="AN3" s="13">
        <f ca="1">VLOOKUP($B3,'[2]Analisys QBR By Machine Report'!$C$109:$BD$166,35,FALSE)</f>
        <v>420</v>
      </c>
      <c r="AO3" s="13">
        <f ca="1">VLOOKUP($B3,'[2]Analisys QBR By Machine Report'!$C$109:$BD$166,36,FALSE)</f>
        <v>0</v>
      </c>
      <c r="AP3" s="13">
        <f ca="1">VLOOKUP($B3,'[2]Analisys QBR By Machine Report'!$C$109:$BD$166,37,FALSE)</f>
        <v>0</v>
      </c>
      <c r="AQ3" s="13">
        <f ca="1">VLOOKUP($B3,'[2]Analisys QBR By Machine Report'!$C$109:$BD$166,38,FALSE)</f>
        <v>0</v>
      </c>
      <c r="AR3" s="13">
        <f ca="1">VLOOKUP($B3,'[2]Analisys QBR By Machine Report'!$C$109:$BD$166,39,FALSE)</f>
        <v>0</v>
      </c>
      <c r="AS3" s="13">
        <f ca="1">VLOOKUP($B3,'[2]Analisys QBR By Machine Report'!$C$109:$BD$166,40,FALSE)</f>
        <v>0</v>
      </c>
      <c r="AT3" s="13">
        <f ca="1">VLOOKUP($B3,'[2]Analisys QBR By Machine Report'!$C$109:$BD$166,41,FALSE)</f>
        <v>0</v>
      </c>
      <c r="AU3" s="13">
        <f ca="1">VLOOKUP($B3,'[2]Analisys QBR By Machine Report'!$C$109:$BD$166,42,FALSE)</f>
        <v>479</v>
      </c>
      <c r="AV3" s="13">
        <f ca="1">VLOOKUP($B3,'[2]Analisys QBR By Machine Report'!$C$109:$BD$166,43,FALSE)</f>
        <v>0</v>
      </c>
      <c r="AW3" s="13">
        <f ca="1">VLOOKUP($B3,'[2]Analisys QBR By Machine Report'!$C$109:$BD$166,44,FALSE)</f>
        <v>0</v>
      </c>
      <c r="AX3" s="13">
        <f ca="1">VLOOKUP($B3,'[2]Analisys QBR By Machine Report'!$C$109:$BD$166,45,FALSE)</f>
        <v>0</v>
      </c>
      <c r="AY3" s="13">
        <f ca="1">VLOOKUP($B3,'[2]Analisys QBR By Machine Report'!$C$109:$BD$166,46,FALSE)</f>
        <v>0</v>
      </c>
      <c r="AZ3" s="13">
        <f ca="1">VLOOKUP($B3,'[2]Analisys QBR By Machine Report'!$C$109:$BD$166,47,FALSE)</f>
        <v>0</v>
      </c>
      <c r="BA3" s="13">
        <f ca="1">VLOOKUP($B3,'[2]Analisys QBR By Machine Report'!$C$109:$BD$166,48,FALSE)</f>
        <v>0</v>
      </c>
      <c r="BB3" s="13">
        <f ca="1">VLOOKUP($B3,'[2]Analisys QBR By Machine Report'!$C$109:$BD$166,49,FALSE)</f>
        <v>0</v>
      </c>
      <c r="BC3" s="13">
        <f ca="1">VLOOKUP($B3,'[2]Analisys QBR By Machine Report'!$C$109:$BD$166,50,FALSE)</f>
        <v>0</v>
      </c>
      <c r="BD3" s="13">
        <f ca="1">VLOOKUP($B3,'[2]Analisys QBR By Machine Report'!$C$109:$BD$166,51,FALSE)</f>
        <v>1011.03</v>
      </c>
      <c r="BE3" s="13">
        <f ca="1">VLOOKUP($B3,'[2]Analisys QBR By Machine Report'!$C$109:$BD$166,52,FALSE)</f>
        <v>0</v>
      </c>
      <c r="BF3" s="13">
        <f ca="1">VLOOKUP($B3,'[2]Analisys QBR By Machine Report'!$C$109:$BD$166,53,FALSE)</f>
        <v>1011.03</v>
      </c>
    </row>
    <row r="4" spans="1:58" x14ac:dyDescent="0.25">
      <c r="A4" s="12" t="s">
        <v>60</v>
      </c>
      <c r="B4" s="13">
        <f ca="1">VLOOKUP($B4,'[2]Analisys QBR By Machine Report'!$C$109:$BD$166,2,FALSE)</f>
        <v>30240</v>
      </c>
      <c r="C4" s="14">
        <f ca="1">VLOOKUP($B4,[2]Dasboard_QBR_Report!$B$109:$BL$166,3,FALSE)</f>
        <v>19530</v>
      </c>
      <c r="D4" s="13">
        <f ca="1">VLOOKUP($B4,'[2]Analisys QBR By Machine Report'!$C$109:$BD$166,3,FALSE)</f>
        <v>25020</v>
      </c>
      <c r="E4" s="14">
        <f ca="1">VLOOKUP($B4,[2]Dasboard_QBR_Report!$B$109:$BL$166,5,FALSE)</f>
        <v>14310</v>
      </c>
      <c r="F4" s="13">
        <f t="shared" ca="1" si="0"/>
        <v>5220</v>
      </c>
      <c r="G4" s="13">
        <f t="shared" ca="1" si="1"/>
        <v>35</v>
      </c>
      <c r="H4" s="13">
        <f ca="1">VLOOKUP($B4,'[2]Analisys QBR By Machine Report'!$C$109:$BD$166,4,FALSE)</f>
        <v>0</v>
      </c>
      <c r="I4" s="13">
        <f ca="1">VLOOKUP($B4,'[2]Analisys QBR By Machine Report'!$C$109:$BD$166,5,FALSE)</f>
        <v>0</v>
      </c>
      <c r="J4" s="13">
        <f ca="1">VLOOKUP($B4,'[2]Analisys QBR By Machine Report'!$C$109:$BD$166,6,FALSE)</f>
        <v>0</v>
      </c>
      <c r="K4" s="13">
        <f ca="1">VLOOKUP($B4,'[2]Analisys QBR By Machine Report'!$C$109:$BD$166,7,FALSE)</f>
        <v>35</v>
      </c>
      <c r="L4" s="13">
        <f ca="1">VLOOKUP($B4,'[2]Analisys QBR By Machine Report'!$C$109:$BD$166,8,FALSE)</f>
        <v>5185</v>
      </c>
      <c r="M4" s="13">
        <f ca="1">VLOOKUP($B4,'[2]Analisys QBR By Machine Report'!$C$109:$BD$166,9,FALSE)</f>
        <v>1539</v>
      </c>
      <c r="N4" s="13">
        <f ca="1">VLOOKUP($B4,[2]Dasboard_QBR_Report!$B$109:$BL$166,18,FALSE)</f>
        <v>3646</v>
      </c>
      <c r="O4" s="13">
        <f ca="1">VLOOKUP($B4,'[2]Analisys QBR By Machine Report'!$C$109:$BD$166,10,FALSE)</f>
        <v>165</v>
      </c>
      <c r="P4" s="13">
        <f ca="1">VLOOKUP($B4,'[2]Analisys QBR By Machine Report'!$C$109:$BD$166,11,FALSE)</f>
        <v>165</v>
      </c>
      <c r="Q4" s="13">
        <f ca="1">VLOOKUP($B4,'[2]Analisys QBR By Machine Report'!$C$109:$BD$166,12,FALSE)</f>
        <v>0</v>
      </c>
      <c r="R4" s="13">
        <f ca="1">VLOOKUP($B4,'[2]Analisys QBR By Machine Report'!$C$109:$BD$166,13,FALSE)</f>
        <v>0</v>
      </c>
      <c r="S4" s="13">
        <f ca="1">VLOOKUP($B4,'[2]Analisys QBR By Machine Report'!$C$109:$BD$166,14,FALSE)</f>
        <v>0</v>
      </c>
      <c r="T4" s="13">
        <f ca="1">VLOOKUP($B4,'[2]Analisys QBR By Machine Report'!$C$109:$BD$166,15,FALSE)</f>
        <v>37</v>
      </c>
      <c r="U4" s="13">
        <f ca="1">VLOOKUP($B4,'[2]Analisys QBR By Machine Report'!$C$109:$BD$166,16,FALSE)</f>
        <v>0</v>
      </c>
      <c r="V4" s="13">
        <f ca="1">VLOOKUP($B4,'[2]Analisys QBR By Machine Report'!$C$109:$BD$166,17,FALSE)</f>
        <v>0</v>
      </c>
      <c r="W4" s="13">
        <f ca="1">VLOOKUP($B4,'[2]Analisys QBR By Machine Report'!$C$109:$BD$166,18,FALSE)</f>
        <v>0</v>
      </c>
      <c r="X4" s="13">
        <f ca="1">VLOOKUP($B4,'[2]Analisys QBR By Machine Report'!$C$109:$BD$166,19,FALSE)</f>
        <v>37</v>
      </c>
      <c r="Y4" s="13">
        <f ca="1">VLOOKUP($B4,'[2]Analisys QBR By Machine Report'!$C$109:$BD$166,20,FALSE)</f>
        <v>0</v>
      </c>
      <c r="Z4" s="13">
        <f ca="1">VLOOKUP($B4,'[2]Analisys QBR By Machine Report'!$C$109:$BD$166,21,FALSE)</f>
        <v>2646</v>
      </c>
      <c r="AA4" s="13">
        <f ca="1">VLOOKUP($B4,'[2]Analisys QBR By Machine Report'!$C$109:$BD$166,22,FALSE)</f>
        <v>2175</v>
      </c>
      <c r="AB4" s="13">
        <f ca="1">VLOOKUP($B4,'[2]Analisys QBR By Machine Report'!$C$109:$BD$166,23,FALSE)</f>
        <v>335</v>
      </c>
      <c r="AC4" s="13">
        <f ca="1">VLOOKUP($B4,'[2]Analisys QBR By Machine Report'!$C$109:$BD$166,24,FALSE)</f>
        <v>1</v>
      </c>
      <c r="AD4" s="13">
        <f ca="1">VLOOKUP($B4,'[2]Analisys QBR By Machine Report'!$C$109:$BD$166,25,FALSE)</f>
        <v>0</v>
      </c>
      <c r="AE4" s="13">
        <f ca="1">VLOOKUP($B4,'[2]Analisys QBR By Machine Report'!$C$109:$BD$166,26,FALSE)</f>
        <v>135</v>
      </c>
      <c r="AF4" s="13">
        <f ca="1">VLOOKUP($B4,'[2]Analisys QBR By Machine Report'!$C$109:$BD$166,27,FALSE)</f>
        <v>0</v>
      </c>
      <c r="AG4" s="13">
        <f ca="1">VLOOKUP($B4,'[2]Analisys QBR By Machine Report'!$C$109:$BD$166,28,FALSE)</f>
        <v>0</v>
      </c>
      <c r="AH4" s="13">
        <f ca="1">VLOOKUP($B4,'[2]Analisys QBR By Machine Report'!$C$109:$BD$166,29,FALSE)</f>
        <v>0</v>
      </c>
      <c r="AI4" s="13">
        <f ca="1">VLOOKUP($B4,'[2]Analisys QBR By Machine Report'!$C$109:$BD$166,30,FALSE)</f>
        <v>798</v>
      </c>
      <c r="AJ4" s="13">
        <f ca="1">VLOOKUP($B4,'[2]Analisys QBR By Machine Report'!$C$109:$BD$166,31,FALSE)</f>
        <v>0</v>
      </c>
      <c r="AK4" s="13">
        <f ca="1">VLOOKUP($B4,'[2]Analisys QBR By Machine Report'!$C$109:$BD$166,32,FALSE)</f>
        <v>0</v>
      </c>
      <c r="AL4" s="13">
        <f ca="1">VLOOKUP($B4,'[2]Analisys QBR By Machine Report'!$C$109:$BD$166,33,FALSE)</f>
        <v>300</v>
      </c>
      <c r="AM4" s="13">
        <f ca="1">VLOOKUP($B4,'[2]Analisys QBR By Machine Report'!$C$109:$BD$166,34,FALSE)</f>
        <v>0</v>
      </c>
      <c r="AN4" s="13">
        <f ca="1">VLOOKUP($B4,'[2]Analisys QBR By Machine Report'!$C$109:$BD$166,35,FALSE)</f>
        <v>232</v>
      </c>
      <c r="AO4" s="13">
        <f ca="1">VLOOKUP($B4,'[2]Analisys QBR By Machine Report'!$C$109:$BD$166,36,FALSE)</f>
        <v>0</v>
      </c>
      <c r="AP4" s="13">
        <f ca="1">VLOOKUP($B4,'[2]Analisys QBR By Machine Report'!$C$109:$BD$166,37,FALSE)</f>
        <v>0</v>
      </c>
      <c r="AQ4" s="13">
        <f ca="1">VLOOKUP($B4,'[2]Analisys QBR By Machine Report'!$C$109:$BD$166,38,FALSE)</f>
        <v>0</v>
      </c>
      <c r="AR4" s="13">
        <f ca="1">VLOOKUP($B4,'[2]Analisys QBR By Machine Report'!$C$109:$BD$166,39,FALSE)</f>
        <v>0</v>
      </c>
      <c r="AS4" s="13">
        <f ca="1">VLOOKUP($B4,'[2]Analisys QBR By Machine Report'!$C$109:$BD$166,40,FALSE)</f>
        <v>0</v>
      </c>
      <c r="AT4" s="13">
        <f ca="1">VLOOKUP($B4,'[2]Analisys QBR By Machine Report'!$C$109:$BD$166,41,FALSE)</f>
        <v>0</v>
      </c>
      <c r="AU4" s="13">
        <f ca="1">VLOOKUP($B4,'[2]Analisys QBR By Machine Report'!$C$109:$BD$166,42,FALSE)</f>
        <v>266</v>
      </c>
      <c r="AV4" s="13">
        <f ca="1">VLOOKUP($B4,'[2]Analisys QBR By Machine Report'!$C$109:$BD$166,43,FALSE)</f>
        <v>0</v>
      </c>
      <c r="AW4" s="13">
        <f ca="1">VLOOKUP($B4,'[2]Analisys QBR By Machine Report'!$C$109:$BD$166,44,FALSE)</f>
        <v>0</v>
      </c>
      <c r="AX4" s="13">
        <f ca="1">VLOOKUP($B4,'[2]Analisys QBR By Machine Report'!$C$109:$BD$166,45,FALSE)</f>
        <v>0</v>
      </c>
      <c r="AY4" s="13">
        <f ca="1">VLOOKUP($B4,'[2]Analisys QBR By Machine Report'!$C$109:$BD$166,46,FALSE)</f>
        <v>0</v>
      </c>
      <c r="AZ4" s="13">
        <f ca="1">VLOOKUP($B4,'[2]Analisys QBR By Machine Report'!$C$109:$BD$166,47,FALSE)</f>
        <v>0</v>
      </c>
      <c r="BA4" s="13">
        <f ca="1">VLOOKUP($B4,'[2]Analisys QBR By Machine Report'!$C$109:$BD$166,48,FALSE)</f>
        <v>0</v>
      </c>
      <c r="BB4" s="13">
        <f ca="1">VLOOKUP($B4,'[2]Analisys QBR By Machine Report'!$C$109:$BD$166,49,FALSE)</f>
        <v>0</v>
      </c>
      <c r="BC4" s="13">
        <f ca="1">VLOOKUP($B4,'[2]Analisys QBR By Machine Report'!$C$109:$BD$166,50,FALSE)</f>
        <v>0</v>
      </c>
      <c r="BD4" s="13">
        <f ca="1">VLOOKUP($B4,'[2]Analisys QBR By Machine Report'!$C$109:$BD$166,51,FALSE)</f>
        <v>1501.49</v>
      </c>
      <c r="BE4" s="13">
        <f ca="1">VLOOKUP($B4,'[2]Analisys QBR By Machine Report'!$C$109:$BD$166,52,FALSE)</f>
        <v>0</v>
      </c>
      <c r="BF4" s="13">
        <f ca="1">VLOOKUP($B4,'[2]Analisys QBR By Machine Report'!$C$109:$BD$166,53,FALSE)</f>
        <v>1501.49</v>
      </c>
    </row>
    <row r="5" spans="1:58" x14ac:dyDescent="0.25">
      <c r="A5" s="12" t="s">
        <v>61</v>
      </c>
      <c r="B5" s="13">
        <f ca="1">VLOOKUP($B5,'[2]Analisys QBR By Machine Report'!$C$109:$BD$166,2,FALSE)</f>
        <v>30240</v>
      </c>
      <c r="C5" s="14">
        <f ca="1">VLOOKUP($B5,[2]Dasboard_QBR_Report!$B$109:$BL$166,3,FALSE)</f>
        <v>19530</v>
      </c>
      <c r="D5" s="13">
        <f ca="1">VLOOKUP($B5,'[2]Analisys QBR By Machine Report'!$C$109:$BD$166,3,FALSE)</f>
        <v>11610</v>
      </c>
      <c r="E5" s="14">
        <f ca="1">VLOOKUP($B5,[2]Dasboard_QBR_Report!$B$109:$BL$166,5,FALSE)</f>
        <v>900</v>
      </c>
      <c r="F5" s="13">
        <f t="shared" ca="1" si="0"/>
        <v>18630</v>
      </c>
      <c r="G5" s="13">
        <f t="shared" ca="1" si="1"/>
        <v>1839</v>
      </c>
      <c r="H5" s="13">
        <f ca="1">VLOOKUP($B5,'[2]Analisys QBR By Machine Report'!$C$109:$BD$166,4,FALSE)</f>
        <v>1714</v>
      </c>
      <c r="I5" s="13">
        <f ca="1">VLOOKUP($B5,'[2]Analisys QBR By Machine Report'!$C$109:$BD$166,5,FALSE)</f>
        <v>240</v>
      </c>
      <c r="J5" s="13">
        <f ca="1">VLOOKUP($B5,'[2]Analisys QBR By Machine Report'!$C$109:$BD$166,6,FALSE)</f>
        <v>1474</v>
      </c>
      <c r="K5" s="13">
        <f ca="1">VLOOKUP($B5,'[2]Analisys QBR By Machine Report'!$C$109:$BD$166,7,FALSE)</f>
        <v>125</v>
      </c>
      <c r="L5" s="13">
        <f ca="1">VLOOKUP($B5,'[2]Analisys QBR By Machine Report'!$C$109:$BD$166,8,FALSE)</f>
        <v>16791</v>
      </c>
      <c r="M5" s="13">
        <f ca="1">VLOOKUP($B5,'[2]Analisys QBR By Machine Report'!$C$109:$BD$166,9,FALSE)</f>
        <v>915</v>
      </c>
      <c r="N5" s="13">
        <f ca="1">VLOOKUP($B5,[2]Dasboard_QBR_Report!$B$109:$BL$166,18,FALSE)</f>
        <v>15876</v>
      </c>
      <c r="O5" s="13">
        <f ca="1">VLOOKUP($B5,'[2]Analisys QBR By Machine Report'!$C$109:$BD$166,10,FALSE)</f>
        <v>464</v>
      </c>
      <c r="P5" s="13">
        <f ca="1">VLOOKUP($B5,'[2]Analisys QBR By Machine Report'!$C$109:$BD$166,11,FALSE)</f>
        <v>464</v>
      </c>
      <c r="Q5" s="13">
        <f ca="1">VLOOKUP($B5,'[2]Analisys QBR By Machine Report'!$C$109:$BD$166,12,FALSE)</f>
        <v>0</v>
      </c>
      <c r="R5" s="13">
        <f ca="1">VLOOKUP($B5,'[2]Analisys QBR By Machine Report'!$C$109:$BD$166,13,FALSE)</f>
        <v>0</v>
      </c>
      <c r="S5" s="13">
        <f ca="1">VLOOKUP($B5,'[2]Analisys QBR By Machine Report'!$C$109:$BD$166,14,FALSE)</f>
        <v>0</v>
      </c>
      <c r="T5" s="13">
        <f ca="1">VLOOKUP($B5,'[2]Analisys QBR By Machine Report'!$C$109:$BD$166,15,FALSE)</f>
        <v>0</v>
      </c>
      <c r="U5" s="13">
        <f ca="1">VLOOKUP($B5,'[2]Analisys QBR By Machine Report'!$C$109:$BD$166,16,FALSE)</f>
        <v>0</v>
      </c>
      <c r="V5" s="13">
        <f ca="1">VLOOKUP($B5,'[2]Analisys QBR By Machine Report'!$C$109:$BD$166,17,FALSE)</f>
        <v>0</v>
      </c>
      <c r="W5" s="13">
        <f ca="1">VLOOKUP($B5,'[2]Analisys QBR By Machine Report'!$C$109:$BD$166,18,FALSE)</f>
        <v>0</v>
      </c>
      <c r="X5" s="13">
        <f ca="1">VLOOKUP($B5,'[2]Analisys QBR By Machine Report'!$C$109:$BD$166,19,FALSE)</f>
        <v>0</v>
      </c>
      <c r="Y5" s="13">
        <f ca="1">VLOOKUP($B5,'[2]Analisys QBR By Machine Report'!$C$109:$BD$166,20,FALSE)</f>
        <v>0</v>
      </c>
      <c r="Z5" s="13">
        <f ca="1">VLOOKUP($B5,'[2]Analisys QBR By Machine Report'!$C$109:$BD$166,21,FALSE)</f>
        <v>5137</v>
      </c>
      <c r="AA5" s="13">
        <f ca="1">VLOOKUP($B5,'[2]Analisys QBR By Machine Report'!$C$109:$BD$166,22,FALSE)</f>
        <v>1838</v>
      </c>
      <c r="AB5" s="13">
        <f ca="1">VLOOKUP($B5,'[2]Analisys QBR By Machine Report'!$C$109:$BD$166,23,FALSE)</f>
        <v>2877</v>
      </c>
      <c r="AC5" s="13">
        <f ca="1">VLOOKUP($B5,'[2]Analisys QBR By Machine Report'!$C$109:$BD$166,24,FALSE)</f>
        <v>0</v>
      </c>
      <c r="AD5" s="13">
        <f ca="1">VLOOKUP($B5,'[2]Analisys QBR By Machine Report'!$C$109:$BD$166,25,FALSE)</f>
        <v>0</v>
      </c>
      <c r="AE5" s="13">
        <f ca="1">VLOOKUP($B5,'[2]Analisys QBR By Machine Report'!$C$109:$BD$166,26,FALSE)</f>
        <v>422</v>
      </c>
      <c r="AF5" s="13">
        <f ca="1">VLOOKUP($B5,'[2]Analisys QBR By Machine Report'!$C$109:$BD$166,27,FALSE)</f>
        <v>450</v>
      </c>
      <c r="AG5" s="13">
        <f ca="1">VLOOKUP($B5,'[2]Analisys QBR By Machine Report'!$C$109:$BD$166,28,FALSE)</f>
        <v>0</v>
      </c>
      <c r="AH5" s="13">
        <f ca="1">VLOOKUP($B5,'[2]Analisys QBR By Machine Report'!$C$109:$BD$166,29,FALSE)</f>
        <v>450</v>
      </c>
      <c r="AI5" s="13">
        <f ca="1">VLOOKUP($B5,'[2]Analisys QBR By Machine Report'!$C$109:$BD$166,30,FALSE)</f>
        <v>9825</v>
      </c>
      <c r="AJ5" s="13">
        <f ca="1">VLOOKUP($B5,'[2]Analisys QBR By Machine Report'!$C$109:$BD$166,31,FALSE)</f>
        <v>40</v>
      </c>
      <c r="AK5" s="13">
        <f ca="1">VLOOKUP($B5,'[2]Analisys QBR By Machine Report'!$C$109:$BD$166,32,FALSE)</f>
        <v>0</v>
      </c>
      <c r="AL5" s="13">
        <f ca="1">VLOOKUP($B5,'[2]Analisys QBR By Machine Report'!$C$109:$BD$166,33,FALSE)</f>
        <v>660</v>
      </c>
      <c r="AM5" s="13">
        <f ca="1">VLOOKUP($B5,'[2]Analisys QBR By Machine Report'!$C$109:$BD$166,34,FALSE)</f>
        <v>0</v>
      </c>
      <c r="AN5" s="13">
        <f ca="1">VLOOKUP($B5,'[2]Analisys QBR By Machine Report'!$C$109:$BD$166,35,FALSE)</f>
        <v>512</v>
      </c>
      <c r="AO5" s="13">
        <f ca="1">VLOOKUP($B5,'[2]Analisys QBR By Machine Report'!$C$109:$BD$166,36,FALSE)</f>
        <v>0</v>
      </c>
      <c r="AP5" s="13">
        <f ca="1">VLOOKUP($B5,'[2]Analisys QBR By Machine Report'!$C$109:$BD$166,37,FALSE)</f>
        <v>0</v>
      </c>
      <c r="AQ5" s="13">
        <f ca="1">VLOOKUP($B5,'[2]Analisys QBR By Machine Report'!$C$109:$BD$166,38,FALSE)</f>
        <v>0</v>
      </c>
      <c r="AR5" s="13">
        <f ca="1">VLOOKUP($B5,'[2]Analisys QBR By Machine Report'!$C$109:$BD$166,39,FALSE)</f>
        <v>8293</v>
      </c>
      <c r="AS5" s="13">
        <f ca="1">VLOOKUP($B5,'[2]Analisys QBR By Machine Report'!$C$109:$BD$166,40,FALSE)</f>
        <v>0</v>
      </c>
      <c r="AT5" s="13">
        <f ca="1">VLOOKUP($B5,'[2]Analisys QBR By Machine Report'!$C$109:$BD$166,41,FALSE)</f>
        <v>0</v>
      </c>
      <c r="AU5" s="13">
        <f ca="1">VLOOKUP($B5,'[2]Analisys QBR By Machine Report'!$C$109:$BD$166,42,FALSE)</f>
        <v>0</v>
      </c>
      <c r="AV5" s="13">
        <f ca="1">VLOOKUP($B5,'[2]Analisys QBR By Machine Report'!$C$109:$BD$166,43,FALSE)</f>
        <v>0</v>
      </c>
      <c r="AW5" s="13">
        <f ca="1">VLOOKUP($B5,'[2]Analisys QBR By Machine Report'!$C$109:$BD$166,44,FALSE)</f>
        <v>0</v>
      </c>
      <c r="AX5" s="13">
        <f ca="1">VLOOKUP($B5,'[2]Analisys QBR By Machine Report'!$C$109:$BD$166,45,FALSE)</f>
        <v>0</v>
      </c>
      <c r="AY5" s="13">
        <f ca="1">VLOOKUP($B5,'[2]Analisys QBR By Machine Report'!$C$109:$BD$166,46,FALSE)</f>
        <v>0</v>
      </c>
      <c r="AZ5" s="13">
        <f ca="1">VLOOKUP($B5,'[2]Analisys QBR By Machine Report'!$C$109:$BD$166,47,FALSE)</f>
        <v>320</v>
      </c>
      <c r="BA5" s="13">
        <f ca="1">VLOOKUP($B5,'[2]Analisys QBR By Machine Report'!$C$109:$BD$166,48,FALSE)</f>
        <v>0</v>
      </c>
      <c r="BB5" s="13">
        <f ca="1">VLOOKUP($B5,'[2]Analisys QBR By Machine Report'!$C$109:$BD$166,49,FALSE)</f>
        <v>0</v>
      </c>
      <c r="BC5" s="13">
        <f ca="1">VLOOKUP($B5,'[2]Analisys QBR By Machine Report'!$C$109:$BD$166,50,FALSE)</f>
        <v>0</v>
      </c>
      <c r="BD5" s="13">
        <f ca="1">VLOOKUP($B5,'[2]Analisys QBR By Machine Report'!$C$109:$BD$166,51,FALSE)</f>
        <v>5298.53</v>
      </c>
      <c r="BE5" s="13">
        <f ca="1">VLOOKUP($B5,'[2]Analisys QBR By Machine Report'!$C$109:$BD$166,52,FALSE)</f>
        <v>0</v>
      </c>
      <c r="BF5" s="13">
        <f ca="1">VLOOKUP($B5,'[2]Analisys QBR By Machine Report'!$C$109:$BD$166,53,FALSE)</f>
        <v>5298.53</v>
      </c>
    </row>
    <row r="6" spans="1:58" x14ac:dyDescent="0.25">
      <c r="A6" s="9" t="s">
        <v>62</v>
      </c>
      <c r="B6" s="10">
        <f ca="1">VLOOKUP($B6,'[2]Analisys QBR By Machine Report'!$C$109:$BD$166,2,FALSE)</f>
        <v>60480</v>
      </c>
      <c r="C6" s="11">
        <f ca="1">VLOOKUP($B6,[2]Dasboard_QBR_Report!$B$109:$BL$166,3,FALSE)</f>
        <v>20160</v>
      </c>
      <c r="D6" s="10">
        <f ca="1">VLOOKUP($B6,'[2]Analisys QBR By Machine Report'!$C$109:$BD$166,3,FALSE)</f>
        <v>50790</v>
      </c>
      <c r="E6" s="11">
        <f ca="1">VLOOKUP($B6,[2]Dasboard_QBR_Report!$B$109:$BL$166,5,FALSE)</f>
        <v>10470</v>
      </c>
      <c r="F6" s="10">
        <f t="shared" ca="1" si="0"/>
        <v>9690</v>
      </c>
      <c r="G6" s="10">
        <f t="shared" ca="1" si="1"/>
        <v>885</v>
      </c>
      <c r="H6" s="10">
        <f ca="1">VLOOKUP($B6,'[2]Analisys QBR By Machine Report'!$C$109:$BD$166,4,FALSE)</f>
        <v>885</v>
      </c>
      <c r="I6" s="10">
        <f ca="1">VLOOKUP($B6,'[2]Analisys QBR By Machine Report'!$C$109:$BD$166,5,FALSE)</f>
        <v>0</v>
      </c>
      <c r="J6" s="10">
        <f ca="1">VLOOKUP($B6,'[2]Analisys QBR By Machine Report'!$C$109:$BD$166,6,FALSE)</f>
        <v>885</v>
      </c>
      <c r="K6" s="10">
        <f ca="1">VLOOKUP($B6,'[2]Analisys QBR By Machine Report'!$C$109:$BD$166,7,FALSE)</f>
        <v>0</v>
      </c>
      <c r="L6" s="10">
        <f ca="1">VLOOKUP($B6,'[2]Analisys QBR By Machine Report'!$C$109:$BD$166,8,FALSE)</f>
        <v>8805</v>
      </c>
      <c r="M6" s="10">
        <f ca="1">VLOOKUP($B6,'[2]Analisys QBR By Machine Report'!$C$109:$BD$166,9,FALSE)</f>
        <v>2880</v>
      </c>
      <c r="N6" s="10">
        <f ca="1">VLOOKUP($B6,[2]Dasboard_QBR_Report!$B$109:$BL$166,18,FALSE)</f>
        <v>5925</v>
      </c>
      <c r="O6" s="10">
        <f ca="1">VLOOKUP($B6,'[2]Analisys QBR By Machine Report'!$C$109:$BD$166,10,FALSE)</f>
        <v>1200</v>
      </c>
      <c r="P6" s="10">
        <f ca="1">VLOOKUP($B6,'[2]Analisys QBR By Machine Report'!$C$109:$BD$166,11,FALSE)</f>
        <v>725</v>
      </c>
      <c r="Q6" s="10">
        <f ca="1">VLOOKUP($B6,'[2]Analisys QBR By Machine Report'!$C$109:$BD$166,12,FALSE)</f>
        <v>0</v>
      </c>
      <c r="R6" s="10">
        <f ca="1">VLOOKUP($B6,'[2]Analisys QBR By Machine Report'!$C$109:$BD$166,13,FALSE)</f>
        <v>75</v>
      </c>
      <c r="S6" s="10">
        <f ca="1">VLOOKUP($B6,'[2]Analisys QBR By Machine Report'!$C$109:$BD$166,14,FALSE)</f>
        <v>400</v>
      </c>
      <c r="T6" s="10">
        <f ca="1">VLOOKUP($B6,'[2]Analisys QBR By Machine Report'!$C$109:$BD$166,15,FALSE)</f>
        <v>0</v>
      </c>
      <c r="U6" s="10">
        <f ca="1">VLOOKUP($B6,'[2]Analisys QBR By Machine Report'!$C$109:$BD$166,16,FALSE)</f>
        <v>0</v>
      </c>
      <c r="V6" s="10">
        <f ca="1">VLOOKUP($B6,'[2]Analisys QBR By Machine Report'!$C$109:$BD$166,17,FALSE)</f>
        <v>0</v>
      </c>
      <c r="W6" s="10">
        <f ca="1">VLOOKUP($B6,'[2]Analisys QBR By Machine Report'!$C$109:$BD$166,18,FALSE)</f>
        <v>0</v>
      </c>
      <c r="X6" s="10">
        <f ca="1">VLOOKUP($B6,'[2]Analisys QBR By Machine Report'!$C$109:$BD$166,19,FALSE)</f>
        <v>0</v>
      </c>
      <c r="Y6" s="10">
        <f ca="1">VLOOKUP($B6,'[2]Analisys QBR By Machine Report'!$C$109:$BD$166,20,FALSE)</f>
        <v>0</v>
      </c>
      <c r="Z6" s="10">
        <f ca="1">VLOOKUP($B6,'[2]Analisys QBR By Machine Report'!$C$109:$BD$166,21,FALSE)</f>
        <v>3045</v>
      </c>
      <c r="AA6" s="10">
        <f ca="1">VLOOKUP($B6,'[2]Analisys QBR By Machine Report'!$C$109:$BD$166,22,FALSE)</f>
        <v>1745</v>
      </c>
      <c r="AB6" s="10">
        <f ca="1">VLOOKUP($B6,'[2]Analisys QBR By Machine Report'!$C$109:$BD$166,23,FALSE)</f>
        <v>760</v>
      </c>
      <c r="AC6" s="10">
        <f ca="1">VLOOKUP($B6,'[2]Analisys QBR By Machine Report'!$C$109:$BD$166,24,FALSE)</f>
        <v>310</v>
      </c>
      <c r="AD6" s="10">
        <f ca="1">VLOOKUP($B6,'[2]Analisys QBR By Machine Report'!$C$109:$BD$166,25,FALSE)</f>
        <v>0</v>
      </c>
      <c r="AE6" s="10">
        <f ca="1">VLOOKUP($B6,'[2]Analisys QBR By Machine Report'!$C$109:$BD$166,26,FALSE)</f>
        <v>230</v>
      </c>
      <c r="AF6" s="10">
        <f ca="1">VLOOKUP($B6,'[2]Analisys QBR By Machine Report'!$C$109:$BD$166,27,FALSE)</f>
        <v>0</v>
      </c>
      <c r="AG6" s="10">
        <f ca="1">VLOOKUP($B6,'[2]Analisys QBR By Machine Report'!$C$109:$BD$166,28,FALSE)</f>
        <v>0</v>
      </c>
      <c r="AH6" s="10">
        <f ca="1">VLOOKUP($B6,'[2]Analisys QBR By Machine Report'!$C$109:$BD$166,29,FALSE)</f>
        <v>0</v>
      </c>
      <c r="AI6" s="10">
        <f ca="1">VLOOKUP($B6,'[2]Analisys QBR By Machine Report'!$C$109:$BD$166,30,FALSE)</f>
        <v>1680</v>
      </c>
      <c r="AJ6" s="10">
        <f ca="1">VLOOKUP($B6,'[2]Analisys QBR By Machine Report'!$C$109:$BD$166,31,FALSE)</f>
        <v>0</v>
      </c>
      <c r="AK6" s="10">
        <f ca="1">VLOOKUP($B6,'[2]Analisys QBR By Machine Report'!$C$109:$BD$166,32,FALSE)</f>
        <v>0</v>
      </c>
      <c r="AL6" s="10">
        <f ca="1">VLOOKUP($B6,'[2]Analisys QBR By Machine Report'!$C$109:$BD$166,33,FALSE)</f>
        <v>420</v>
      </c>
      <c r="AM6" s="10">
        <f ca="1">VLOOKUP($B6,'[2]Analisys QBR By Machine Report'!$C$109:$BD$166,34,FALSE)</f>
        <v>0</v>
      </c>
      <c r="AN6" s="10">
        <f ca="1">VLOOKUP($B6,'[2]Analisys QBR By Machine Report'!$C$109:$BD$166,35,FALSE)</f>
        <v>290</v>
      </c>
      <c r="AO6" s="10">
        <f ca="1">VLOOKUP($B6,'[2]Analisys QBR By Machine Report'!$C$109:$BD$166,36,FALSE)</f>
        <v>0</v>
      </c>
      <c r="AP6" s="10">
        <f ca="1">VLOOKUP($B6,'[2]Analisys QBR By Machine Report'!$C$109:$BD$166,37,FALSE)</f>
        <v>0</v>
      </c>
      <c r="AQ6" s="10">
        <f ca="1">VLOOKUP($B6,'[2]Analisys QBR By Machine Report'!$C$109:$BD$166,38,FALSE)</f>
        <v>0</v>
      </c>
      <c r="AR6" s="10">
        <f ca="1">VLOOKUP($B6,'[2]Analisys QBR By Machine Report'!$C$109:$BD$166,39,FALSE)</f>
        <v>245</v>
      </c>
      <c r="AS6" s="10">
        <f ca="1">VLOOKUP($B6,'[2]Analisys QBR By Machine Report'!$C$109:$BD$166,40,FALSE)</f>
        <v>135</v>
      </c>
      <c r="AT6" s="10">
        <f ca="1">VLOOKUP($B6,'[2]Analisys QBR By Machine Report'!$C$109:$BD$166,41,FALSE)</f>
        <v>0</v>
      </c>
      <c r="AU6" s="10">
        <f ca="1">VLOOKUP($B6,'[2]Analisys QBR By Machine Report'!$C$109:$BD$166,42,FALSE)</f>
        <v>0</v>
      </c>
      <c r="AV6" s="10">
        <f ca="1">VLOOKUP($B6,'[2]Analisys QBR By Machine Report'!$C$109:$BD$166,43,FALSE)</f>
        <v>0</v>
      </c>
      <c r="AW6" s="10">
        <f ca="1">VLOOKUP($B6,'[2]Analisys QBR By Machine Report'!$C$109:$BD$166,44,FALSE)</f>
        <v>0</v>
      </c>
      <c r="AX6" s="10">
        <f ca="1">VLOOKUP($B6,'[2]Analisys QBR By Machine Report'!$C$109:$BD$166,45,FALSE)</f>
        <v>60</v>
      </c>
      <c r="AY6" s="10">
        <f ca="1">VLOOKUP($B6,'[2]Analisys QBR By Machine Report'!$C$109:$BD$166,46,FALSE)</f>
        <v>0</v>
      </c>
      <c r="AZ6" s="10">
        <f ca="1">VLOOKUP($B6,'[2]Analisys QBR By Machine Report'!$C$109:$BD$166,47,FALSE)</f>
        <v>320</v>
      </c>
      <c r="BA6" s="10">
        <f ca="1">VLOOKUP($B6,'[2]Analisys QBR By Machine Report'!$C$109:$BD$166,48,FALSE)</f>
        <v>210</v>
      </c>
      <c r="BB6" s="10">
        <f ca="1">VLOOKUP($B6,'[2]Analisys QBR By Machine Report'!$C$109:$BD$166,49,FALSE)</f>
        <v>0</v>
      </c>
      <c r="BC6" s="10">
        <f ca="1">VLOOKUP($B6,'[2]Analisys QBR By Machine Report'!$C$109:$BD$166,50,FALSE)</f>
        <v>0</v>
      </c>
      <c r="BD6" s="10">
        <f ca="1">VLOOKUP($B6,'[2]Analisys QBR By Machine Report'!$C$109:$BD$166,51,FALSE)</f>
        <v>1169548</v>
      </c>
      <c r="BE6" s="10">
        <f ca="1">VLOOKUP($B6,'[2]Analisys QBR By Machine Report'!$C$109:$BD$166,52,FALSE)</f>
        <v>4365</v>
      </c>
      <c r="BF6" s="10">
        <f ca="1">VLOOKUP($B6,'[2]Analisys QBR By Machine Report'!$C$109:$BD$166,53,FALSE)</f>
        <v>1165183</v>
      </c>
    </row>
    <row r="7" spans="1:58" x14ac:dyDescent="0.25">
      <c r="A7" s="12" t="s">
        <v>63</v>
      </c>
      <c r="B7" s="13">
        <f ca="1">VLOOKUP($B7,'[2]Analisys QBR By Machine Report'!$C$109:$BD$166,2,FALSE)</f>
        <v>30240</v>
      </c>
      <c r="C7" s="14">
        <f ca="1">VLOOKUP($B7,[2]Dasboard_QBR_Report!$B$109:$BL$166,3,FALSE)</f>
        <v>10080</v>
      </c>
      <c r="D7" s="13">
        <f ca="1">VLOOKUP($B7,'[2]Analisys QBR By Machine Report'!$C$109:$BD$166,3,FALSE)</f>
        <v>22590</v>
      </c>
      <c r="E7" s="14">
        <f ca="1">VLOOKUP($B7,[2]Dasboard_QBR_Report!$B$109:$BL$166,5,FALSE)</f>
        <v>2430</v>
      </c>
      <c r="F7" s="13">
        <f t="shared" ca="1" si="0"/>
        <v>7650</v>
      </c>
      <c r="G7" s="13">
        <f t="shared" ca="1" si="1"/>
        <v>270</v>
      </c>
      <c r="H7" s="13">
        <f ca="1">VLOOKUP($B7,'[2]Analisys QBR By Machine Report'!$C$109:$BD$166,4,FALSE)</f>
        <v>270</v>
      </c>
      <c r="I7" s="13">
        <f ca="1">VLOOKUP($B7,'[2]Analisys QBR By Machine Report'!$C$109:$BD$166,5,FALSE)</f>
        <v>0</v>
      </c>
      <c r="J7" s="13">
        <f ca="1">VLOOKUP($B7,'[2]Analisys QBR By Machine Report'!$C$109:$BD$166,6,FALSE)</f>
        <v>270</v>
      </c>
      <c r="K7" s="13">
        <f ca="1">VLOOKUP($B7,'[2]Analisys QBR By Machine Report'!$C$109:$BD$166,7,FALSE)</f>
        <v>0</v>
      </c>
      <c r="L7" s="13">
        <f ca="1">VLOOKUP($B7,'[2]Analisys QBR By Machine Report'!$C$109:$BD$166,8,FALSE)</f>
        <v>7380</v>
      </c>
      <c r="M7" s="13">
        <f ca="1">VLOOKUP($B7,'[2]Analisys QBR By Machine Report'!$C$109:$BD$166,9,FALSE)</f>
        <v>2160</v>
      </c>
      <c r="N7" s="13">
        <f ca="1">VLOOKUP($B7,[2]Dasboard_QBR_Report!$B$109:$BL$166,18,FALSE)</f>
        <v>5220</v>
      </c>
      <c r="O7" s="13">
        <f ca="1">VLOOKUP($B7,'[2]Analisys QBR By Machine Report'!$C$109:$BD$166,10,FALSE)</f>
        <v>1055</v>
      </c>
      <c r="P7" s="13">
        <f ca="1">VLOOKUP($B7,'[2]Analisys QBR By Machine Report'!$C$109:$BD$166,11,FALSE)</f>
        <v>580</v>
      </c>
      <c r="Q7" s="13">
        <f ca="1">VLOOKUP($B7,'[2]Analisys QBR By Machine Report'!$C$109:$BD$166,12,FALSE)</f>
        <v>0</v>
      </c>
      <c r="R7" s="13">
        <f ca="1">VLOOKUP($B7,'[2]Analisys QBR By Machine Report'!$C$109:$BD$166,13,FALSE)</f>
        <v>75</v>
      </c>
      <c r="S7" s="13">
        <f ca="1">VLOOKUP($B7,'[2]Analisys QBR By Machine Report'!$C$109:$BD$166,14,FALSE)</f>
        <v>400</v>
      </c>
      <c r="T7" s="13">
        <f ca="1">VLOOKUP($B7,'[2]Analisys QBR By Machine Report'!$C$109:$BD$166,15,FALSE)</f>
        <v>0</v>
      </c>
      <c r="U7" s="13">
        <f ca="1">VLOOKUP($B7,'[2]Analisys QBR By Machine Report'!$C$109:$BD$166,16,FALSE)</f>
        <v>0</v>
      </c>
      <c r="V7" s="13">
        <f ca="1">VLOOKUP($B7,'[2]Analisys QBR By Machine Report'!$C$109:$BD$166,17,FALSE)</f>
        <v>0</v>
      </c>
      <c r="W7" s="13">
        <f ca="1">VLOOKUP($B7,'[2]Analisys QBR By Machine Report'!$C$109:$BD$166,18,FALSE)</f>
        <v>0</v>
      </c>
      <c r="X7" s="13">
        <f ca="1">VLOOKUP($B7,'[2]Analisys QBR By Machine Report'!$C$109:$BD$166,19,FALSE)</f>
        <v>0</v>
      </c>
      <c r="Y7" s="13">
        <f ca="1">VLOOKUP($B7,'[2]Analisys QBR By Machine Report'!$C$109:$BD$166,20,FALSE)</f>
        <v>0</v>
      </c>
      <c r="Z7" s="13">
        <f ca="1">VLOOKUP($B7,'[2]Analisys QBR By Machine Report'!$C$109:$BD$166,21,FALSE)</f>
        <v>2820</v>
      </c>
      <c r="AA7" s="13">
        <f ca="1">VLOOKUP($B7,'[2]Analisys QBR By Machine Report'!$C$109:$BD$166,22,FALSE)</f>
        <v>1650</v>
      </c>
      <c r="AB7" s="13">
        <f ca="1">VLOOKUP($B7,'[2]Analisys QBR By Machine Report'!$C$109:$BD$166,23,FALSE)</f>
        <v>700</v>
      </c>
      <c r="AC7" s="13">
        <f ca="1">VLOOKUP($B7,'[2]Analisys QBR By Machine Report'!$C$109:$BD$166,24,FALSE)</f>
        <v>270</v>
      </c>
      <c r="AD7" s="13">
        <f ca="1">VLOOKUP($B7,'[2]Analisys QBR By Machine Report'!$C$109:$BD$166,25,FALSE)</f>
        <v>0</v>
      </c>
      <c r="AE7" s="13">
        <f ca="1">VLOOKUP($B7,'[2]Analisys QBR By Machine Report'!$C$109:$BD$166,26,FALSE)</f>
        <v>200</v>
      </c>
      <c r="AF7" s="13">
        <f ca="1">VLOOKUP($B7,'[2]Analisys QBR By Machine Report'!$C$109:$BD$166,27,FALSE)</f>
        <v>0</v>
      </c>
      <c r="AG7" s="13">
        <f ca="1">VLOOKUP($B7,'[2]Analisys QBR By Machine Report'!$C$109:$BD$166,28,FALSE)</f>
        <v>0</v>
      </c>
      <c r="AH7" s="13">
        <f ca="1">VLOOKUP($B7,'[2]Analisys QBR By Machine Report'!$C$109:$BD$166,29,FALSE)</f>
        <v>0</v>
      </c>
      <c r="AI7" s="13">
        <f ca="1">VLOOKUP($B7,'[2]Analisys QBR By Machine Report'!$C$109:$BD$166,30,FALSE)</f>
        <v>1345</v>
      </c>
      <c r="AJ7" s="13">
        <f ca="1">VLOOKUP($B7,'[2]Analisys QBR By Machine Report'!$C$109:$BD$166,31,FALSE)</f>
        <v>0</v>
      </c>
      <c r="AK7" s="13">
        <f ca="1">VLOOKUP($B7,'[2]Analisys QBR By Machine Report'!$C$109:$BD$166,32,FALSE)</f>
        <v>0</v>
      </c>
      <c r="AL7" s="13">
        <f ca="1">VLOOKUP($B7,'[2]Analisys QBR By Machine Report'!$C$109:$BD$166,33,FALSE)</f>
        <v>360</v>
      </c>
      <c r="AM7" s="13">
        <f ca="1">VLOOKUP($B7,'[2]Analisys QBR By Machine Report'!$C$109:$BD$166,34,FALSE)</f>
        <v>0</v>
      </c>
      <c r="AN7" s="13">
        <f ca="1">VLOOKUP($B7,'[2]Analisys QBR By Machine Report'!$C$109:$BD$166,35,FALSE)</f>
        <v>260</v>
      </c>
      <c r="AO7" s="13">
        <f ca="1">VLOOKUP($B7,'[2]Analisys QBR By Machine Report'!$C$109:$BD$166,36,FALSE)</f>
        <v>0</v>
      </c>
      <c r="AP7" s="13">
        <f ca="1">VLOOKUP($B7,'[2]Analisys QBR By Machine Report'!$C$109:$BD$166,37,FALSE)</f>
        <v>0</v>
      </c>
      <c r="AQ7" s="13">
        <f ca="1">VLOOKUP($B7,'[2]Analisys QBR By Machine Report'!$C$109:$BD$166,38,FALSE)</f>
        <v>0</v>
      </c>
      <c r="AR7" s="13">
        <f ca="1">VLOOKUP($B7,'[2]Analisys QBR By Machine Report'!$C$109:$BD$166,39,FALSE)</f>
        <v>0</v>
      </c>
      <c r="AS7" s="13">
        <f ca="1">VLOOKUP($B7,'[2]Analisys QBR By Machine Report'!$C$109:$BD$166,40,FALSE)</f>
        <v>135</v>
      </c>
      <c r="AT7" s="13">
        <f ca="1">VLOOKUP($B7,'[2]Analisys QBR By Machine Report'!$C$109:$BD$166,41,FALSE)</f>
        <v>0</v>
      </c>
      <c r="AU7" s="13">
        <f ca="1">VLOOKUP($B7,'[2]Analisys QBR By Machine Report'!$C$109:$BD$166,42,FALSE)</f>
        <v>0</v>
      </c>
      <c r="AV7" s="13">
        <f ca="1">VLOOKUP($B7,'[2]Analisys QBR By Machine Report'!$C$109:$BD$166,43,FALSE)</f>
        <v>0</v>
      </c>
      <c r="AW7" s="13">
        <f ca="1">VLOOKUP($B7,'[2]Analisys QBR By Machine Report'!$C$109:$BD$166,44,FALSE)</f>
        <v>0</v>
      </c>
      <c r="AX7" s="13">
        <f ca="1">VLOOKUP($B7,'[2]Analisys QBR By Machine Report'!$C$109:$BD$166,45,FALSE)</f>
        <v>60</v>
      </c>
      <c r="AY7" s="13">
        <f ca="1">VLOOKUP($B7,'[2]Analisys QBR By Machine Report'!$C$109:$BD$166,46,FALSE)</f>
        <v>0</v>
      </c>
      <c r="AZ7" s="13">
        <f ca="1">VLOOKUP($B7,'[2]Analisys QBR By Machine Report'!$C$109:$BD$166,47,FALSE)</f>
        <v>320</v>
      </c>
      <c r="BA7" s="13">
        <f ca="1">VLOOKUP($B7,'[2]Analisys QBR By Machine Report'!$C$109:$BD$166,48,FALSE)</f>
        <v>210</v>
      </c>
      <c r="BB7" s="13">
        <f ca="1">VLOOKUP($B7,'[2]Analisys QBR By Machine Report'!$C$109:$BD$166,49,FALSE)</f>
        <v>0</v>
      </c>
      <c r="BC7" s="13">
        <f ca="1">VLOOKUP($B7,'[2]Analisys QBR By Machine Report'!$C$109:$BD$166,50,FALSE)</f>
        <v>0</v>
      </c>
      <c r="BD7" s="13">
        <f ca="1">VLOOKUP($B7,'[2]Analisys QBR By Machine Report'!$C$109:$BD$166,51,FALSE)</f>
        <v>592831</v>
      </c>
      <c r="BE7" s="13">
        <f ca="1">VLOOKUP($B7,'[2]Analisys QBR By Machine Report'!$C$109:$BD$166,52,FALSE)</f>
        <v>4365</v>
      </c>
      <c r="BF7" s="13">
        <f ca="1">VLOOKUP($B7,'[2]Analisys QBR By Machine Report'!$C$109:$BD$166,53,FALSE)</f>
        <v>588466</v>
      </c>
    </row>
    <row r="8" spans="1:58" x14ac:dyDescent="0.25">
      <c r="A8" s="12" t="s">
        <v>64</v>
      </c>
      <c r="B8" s="13">
        <f ca="1">VLOOKUP($B8,'[2]Analisys QBR By Machine Report'!$C$109:$BD$166,2,FALSE)</f>
        <v>30240</v>
      </c>
      <c r="C8" s="14">
        <f ca="1">VLOOKUP($B8,[2]Dasboard_QBR_Report!$B$109:$BL$166,3,FALSE)</f>
        <v>10080</v>
      </c>
      <c r="D8" s="13">
        <f ca="1">VLOOKUP($B8,'[2]Analisys QBR By Machine Report'!$C$109:$BD$166,3,FALSE)</f>
        <v>28200</v>
      </c>
      <c r="E8" s="14">
        <f ca="1">VLOOKUP($B8,[2]Dasboard_QBR_Report!$B$109:$BL$166,5,FALSE)</f>
        <v>8040</v>
      </c>
      <c r="F8" s="13">
        <f t="shared" ca="1" si="0"/>
        <v>2040</v>
      </c>
      <c r="G8" s="13">
        <f t="shared" ca="1" si="1"/>
        <v>615</v>
      </c>
      <c r="H8" s="13">
        <f ca="1">VLOOKUP($B8,'[2]Analisys QBR By Machine Report'!$C$109:$BD$166,4,FALSE)</f>
        <v>615</v>
      </c>
      <c r="I8" s="13">
        <f ca="1">VLOOKUP($B8,'[2]Analisys QBR By Machine Report'!$C$109:$BD$166,5,FALSE)</f>
        <v>0</v>
      </c>
      <c r="J8" s="13">
        <f ca="1">VLOOKUP($B8,'[2]Analisys QBR By Machine Report'!$C$109:$BD$166,6,FALSE)</f>
        <v>615</v>
      </c>
      <c r="K8" s="13">
        <f ca="1">VLOOKUP($B8,'[2]Analisys QBR By Machine Report'!$C$109:$BD$166,7,FALSE)</f>
        <v>0</v>
      </c>
      <c r="L8" s="13">
        <f ca="1">VLOOKUP($B8,'[2]Analisys QBR By Machine Report'!$C$109:$BD$166,8,FALSE)</f>
        <v>1425</v>
      </c>
      <c r="M8" s="13">
        <f ca="1">VLOOKUP($B8,'[2]Analisys QBR By Machine Report'!$C$109:$BD$166,9,FALSE)</f>
        <v>720</v>
      </c>
      <c r="N8" s="13">
        <f ca="1">VLOOKUP($B8,[2]Dasboard_QBR_Report!$B$109:$BL$166,18,FALSE)</f>
        <v>705</v>
      </c>
      <c r="O8" s="13">
        <f ca="1">VLOOKUP($B8,'[2]Analisys QBR By Machine Report'!$C$109:$BD$166,10,FALSE)</f>
        <v>145</v>
      </c>
      <c r="P8" s="13">
        <f ca="1">VLOOKUP($B8,'[2]Analisys QBR By Machine Report'!$C$109:$BD$166,11,FALSE)</f>
        <v>145</v>
      </c>
      <c r="Q8" s="13">
        <f ca="1">VLOOKUP($B8,'[2]Analisys QBR By Machine Report'!$C$109:$BD$166,12,FALSE)</f>
        <v>0</v>
      </c>
      <c r="R8" s="13">
        <f ca="1">VLOOKUP($B8,'[2]Analisys QBR By Machine Report'!$C$109:$BD$166,13,FALSE)</f>
        <v>0</v>
      </c>
      <c r="S8" s="13">
        <f ca="1">VLOOKUP($B8,'[2]Analisys QBR By Machine Report'!$C$109:$BD$166,14,FALSE)</f>
        <v>0</v>
      </c>
      <c r="T8" s="13">
        <f ca="1">VLOOKUP($B8,'[2]Analisys QBR By Machine Report'!$C$109:$BD$166,15,FALSE)</f>
        <v>0</v>
      </c>
      <c r="U8" s="13">
        <f ca="1">VLOOKUP($B8,'[2]Analisys QBR By Machine Report'!$C$109:$BD$166,16,FALSE)</f>
        <v>0</v>
      </c>
      <c r="V8" s="13">
        <f ca="1">VLOOKUP($B8,'[2]Analisys QBR By Machine Report'!$C$109:$BD$166,17,FALSE)</f>
        <v>0</v>
      </c>
      <c r="W8" s="13">
        <f ca="1">VLOOKUP($B8,'[2]Analisys QBR By Machine Report'!$C$109:$BD$166,18,FALSE)</f>
        <v>0</v>
      </c>
      <c r="X8" s="13">
        <f ca="1">VLOOKUP($B8,'[2]Analisys QBR By Machine Report'!$C$109:$BD$166,19,FALSE)</f>
        <v>0</v>
      </c>
      <c r="Y8" s="13">
        <f ca="1">VLOOKUP($B8,'[2]Analisys QBR By Machine Report'!$C$109:$BD$166,20,FALSE)</f>
        <v>0</v>
      </c>
      <c r="Z8" s="13">
        <f ca="1">VLOOKUP($B8,'[2]Analisys QBR By Machine Report'!$C$109:$BD$166,21,FALSE)</f>
        <v>225</v>
      </c>
      <c r="AA8" s="13">
        <f ca="1">VLOOKUP($B8,'[2]Analisys QBR By Machine Report'!$C$109:$BD$166,22,FALSE)</f>
        <v>95</v>
      </c>
      <c r="AB8" s="13">
        <f ca="1">VLOOKUP($B8,'[2]Analisys QBR By Machine Report'!$C$109:$BD$166,23,FALSE)</f>
        <v>60</v>
      </c>
      <c r="AC8" s="13">
        <f ca="1">VLOOKUP($B8,'[2]Analisys QBR By Machine Report'!$C$109:$BD$166,24,FALSE)</f>
        <v>40</v>
      </c>
      <c r="AD8" s="13">
        <f ca="1">VLOOKUP($B8,'[2]Analisys QBR By Machine Report'!$C$109:$BD$166,25,FALSE)</f>
        <v>0</v>
      </c>
      <c r="AE8" s="13">
        <f ca="1">VLOOKUP($B8,'[2]Analisys QBR By Machine Report'!$C$109:$BD$166,26,FALSE)</f>
        <v>30</v>
      </c>
      <c r="AF8" s="13">
        <f ca="1">VLOOKUP($B8,'[2]Analisys QBR By Machine Report'!$C$109:$BD$166,27,FALSE)</f>
        <v>0</v>
      </c>
      <c r="AG8" s="13">
        <f ca="1">VLOOKUP($B8,'[2]Analisys QBR By Machine Report'!$C$109:$BD$166,28,FALSE)</f>
        <v>0</v>
      </c>
      <c r="AH8" s="13">
        <f ca="1">VLOOKUP($B8,'[2]Analisys QBR By Machine Report'!$C$109:$BD$166,29,FALSE)</f>
        <v>0</v>
      </c>
      <c r="AI8" s="13">
        <f ca="1">VLOOKUP($B8,'[2]Analisys QBR By Machine Report'!$C$109:$BD$166,30,FALSE)</f>
        <v>335</v>
      </c>
      <c r="AJ8" s="13">
        <f ca="1">VLOOKUP($B8,'[2]Analisys QBR By Machine Report'!$C$109:$BD$166,31,FALSE)</f>
        <v>0</v>
      </c>
      <c r="AK8" s="13">
        <f ca="1">VLOOKUP($B8,'[2]Analisys QBR By Machine Report'!$C$109:$BD$166,32,FALSE)</f>
        <v>0</v>
      </c>
      <c r="AL8" s="13">
        <f ca="1">VLOOKUP($B8,'[2]Analisys QBR By Machine Report'!$C$109:$BD$166,33,FALSE)</f>
        <v>60</v>
      </c>
      <c r="AM8" s="13">
        <f ca="1">VLOOKUP($B8,'[2]Analisys QBR By Machine Report'!$C$109:$BD$166,34,FALSE)</f>
        <v>0</v>
      </c>
      <c r="AN8" s="13">
        <f ca="1">VLOOKUP($B8,'[2]Analisys QBR By Machine Report'!$C$109:$BD$166,35,FALSE)</f>
        <v>30</v>
      </c>
      <c r="AO8" s="13">
        <f ca="1">VLOOKUP($B8,'[2]Analisys QBR By Machine Report'!$C$109:$BD$166,36,FALSE)</f>
        <v>0</v>
      </c>
      <c r="AP8" s="13">
        <f ca="1">VLOOKUP($B8,'[2]Analisys QBR By Machine Report'!$C$109:$BD$166,37,FALSE)</f>
        <v>0</v>
      </c>
      <c r="AQ8" s="13">
        <f ca="1">VLOOKUP($B8,'[2]Analisys QBR By Machine Report'!$C$109:$BD$166,38,FALSE)</f>
        <v>0</v>
      </c>
      <c r="AR8" s="13">
        <f ca="1">VLOOKUP($B8,'[2]Analisys QBR By Machine Report'!$C$109:$BD$166,39,FALSE)</f>
        <v>245</v>
      </c>
      <c r="AS8" s="13">
        <f ca="1">VLOOKUP($B8,'[2]Analisys QBR By Machine Report'!$C$109:$BD$166,40,FALSE)</f>
        <v>0</v>
      </c>
      <c r="AT8" s="13">
        <f ca="1">VLOOKUP($B8,'[2]Analisys QBR By Machine Report'!$C$109:$BD$166,41,FALSE)</f>
        <v>0</v>
      </c>
      <c r="AU8" s="13">
        <f ca="1">VLOOKUP($B8,'[2]Analisys QBR By Machine Report'!$C$109:$BD$166,42,FALSE)</f>
        <v>0</v>
      </c>
      <c r="AV8" s="13">
        <f ca="1">VLOOKUP($B8,'[2]Analisys QBR By Machine Report'!$C$109:$BD$166,43,FALSE)</f>
        <v>0</v>
      </c>
      <c r="AW8" s="13">
        <f ca="1">VLOOKUP($B8,'[2]Analisys QBR By Machine Report'!$C$109:$BD$166,44,FALSE)</f>
        <v>0</v>
      </c>
      <c r="AX8" s="13">
        <f ca="1">VLOOKUP($B8,'[2]Analisys QBR By Machine Report'!$C$109:$BD$166,45,FALSE)</f>
        <v>0</v>
      </c>
      <c r="AY8" s="13">
        <f ca="1">VLOOKUP($B8,'[2]Analisys QBR By Machine Report'!$C$109:$BD$166,46,FALSE)</f>
        <v>0</v>
      </c>
      <c r="AZ8" s="13">
        <f ca="1">VLOOKUP($B8,'[2]Analisys QBR By Machine Report'!$C$109:$BD$166,47,FALSE)</f>
        <v>0</v>
      </c>
      <c r="BA8" s="13">
        <f ca="1">VLOOKUP($B8,'[2]Analisys QBR By Machine Report'!$C$109:$BD$166,48,FALSE)</f>
        <v>0</v>
      </c>
      <c r="BB8" s="13">
        <f ca="1">VLOOKUP($B8,'[2]Analisys QBR By Machine Report'!$C$109:$BD$166,49,FALSE)</f>
        <v>0</v>
      </c>
      <c r="BC8" s="13">
        <f ca="1">VLOOKUP($B8,'[2]Analisys QBR By Machine Report'!$C$109:$BD$166,50,FALSE)</f>
        <v>0</v>
      </c>
      <c r="BD8" s="13">
        <f ca="1">VLOOKUP($B8,'[2]Analisys QBR By Machine Report'!$C$109:$BD$166,51,FALSE)</f>
        <v>576717</v>
      </c>
      <c r="BE8" s="13">
        <f ca="1">VLOOKUP($B8,'[2]Analisys QBR By Machine Report'!$C$109:$BD$166,52,FALSE)</f>
        <v>0</v>
      </c>
      <c r="BF8" s="13">
        <f ca="1">VLOOKUP($B8,'[2]Analisys QBR By Machine Report'!$C$109:$BD$166,53,FALSE)</f>
        <v>576717</v>
      </c>
    </row>
    <row r="9" spans="1:58" x14ac:dyDescent="0.25">
      <c r="A9" s="9" t="s">
        <v>65</v>
      </c>
      <c r="B9" s="10">
        <f ca="1">VLOOKUP($B9,'[2]Analisys QBR By Machine Report'!$C$109:$BD$166,2,FALSE)</f>
        <v>95040</v>
      </c>
      <c r="C9" s="11">
        <f ca="1">VLOOKUP($B9,[2]Dasboard_QBR_Report!$B$109:$BL$166,3,FALSE)</f>
        <v>51930</v>
      </c>
      <c r="D9" s="10">
        <f ca="1">VLOOKUP($B9,'[2]Analisys QBR By Machine Report'!$C$109:$BD$166,3,FALSE)</f>
        <v>48630</v>
      </c>
      <c r="E9" s="11">
        <f ca="1">VLOOKUP($B9,[2]Dasboard_QBR_Report!$B$109:$BL$166,5,FALSE)</f>
        <v>5520</v>
      </c>
      <c r="F9" s="10">
        <f t="shared" ca="1" si="0"/>
        <v>46410</v>
      </c>
      <c r="G9" s="10">
        <f t="shared" ca="1" si="1"/>
        <v>3230</v>
      </c>
      <c r="H9" s="10">
        <f ca="1">VLOOKUP($B9,'[2]Analisys QBR By Machine Report'!$C$109:$BD$166,4,FALSE)</f>
        <v>3230</v>
      </c>
      <c r="I9" s="10">
        <f ca="1">VLOOKUP($B9,'[2]Analisys QBR By Machine Report'!$C$109:$BD$166,5,FALSE)</f>
        <v>975</v>
      </c>
      <c r="J9" s="10">
        <f ca="1">VLOOKUP($B9,'[2]Analisys QBR By Machine Report'!$C$109:$BD$166,6,FALSE)</f>
        <v>2255</v>
      </c>
      <c r="K9" s="10">
        <f ca="1">VLOOKUP($B9,'[2]Analisys QBR By Machine Report'!$C$109:$BD$166,7,FALSE)</f>
        <v>0</v>
      </c>
      <c r="L9" s="10">
        <f ca="1">VLOOKUP($B9,'[2]Analisys QBR By Machine Report'!$C$109:$BD$166,8,FALSE)</f>
        <v>43180</v>
      </c>
      <c r="M9" s="10">
        <f ca="1">VLOOKUP($B9,'[2]Analisys QBR By Machine Report'!$C$109:$BD$166,9,FALSE)</f>
        <v>15230</v>
      </c>
      <c r="N9" s="10">
        <f ca="1">VLOOKUP($B9,[2]Dasboard_QBR_Report!$B$109:$BL$166,18,FALSE)</f>
        <v>27950</v>
      </c>
      <c r="O9" s="10">
        <f ca="1">VLOOKUP($B9,'[2]Analisys QBR By Machine Report'!$C$109:$BD$166,10,FALSE)</f>
        <v>4405</v>
      </c>
      <c r="P9" s="10">
        <f ca="1">VLOOKUP($B9,'[2]Analisys QBR By Machine Report'!$C$109:$BD$166,11,FALSE)</f>
        <v>3535</v>
      </c>
      <c r="Q9" s="10">
        <f ca="1">VLOOKUP($B9,'[2]Analisys QBR By Machine Report'!$C$109:$BD$166,12,FALSE)</f>
        <v>0</v>
      </c>
      <c r="R9" s="10">
        <f ca="1">VLOOKUP($B9,'[2]Analisys QBR By Machine Report'!$C$109:$BD$166,13,FALSE)</f>
        <v>110</v>
      </c>
      <c r="S9" s="10">
        <f ca="1">VLOOKUP($B9,'[2]Analisys QBR By Machine Report'!$C$109:$BD$166,14,FALSE)</f>
        <v>760</v>
      </c>
      <c r="T9" s="10">
        <f ca="1">VLOOKUP($B9,'[2]Analisys QBR By Machine Report'!$C$109:$BD$166,15,FALSE)</f>
        <v>0</v>
      </c>
      <c r="U9" s="10">
        <f ca="1">VLOOKUP($B9,'[2]Analisys QBR By Machine Report'!$C$109:$BD$166,16,FALSE)</f>
        <v>0</v>
      </c>
      <c r="V9" s="10">
        <f ca="1">VLOOKUP($B9,'[2]Analisys QBR By Machine Report'!$C$109:$BD$166,17,FALSE)</f>
        <v>0</v>
      </c>
      <c r="W9" s="10">
        <f ca="1">VLOOKUP($B9,'[2]Analisys QBR By Machine Report'!$C$109:$BD$166,18,FALSE)</f>
        <v>0</v>
      </c>
      <c r="X9" s="10">
        <f ca="1">VLOOKUP($B9,'[2]Analisys QBR By Machine Report'!$C$109:$BD$166,19,FALSE)</f>
        <v>0</v>
      </c>
      <c r="Y9" s="10">
        <f ca="1">VLOOKUP($B9,'[2]Analisys QBR By Machine Report'!$C$109:$BD$166,20,FALSE)</f>
        <v>0</v>
      </c>
      <c r="Z9" s="10">
        <f ca="1">VLOOKUP($B9,'[2]Analisys QBR By Machine Report'!$C$109:$BD$166,21,FALSE)</f>
        <v>7615</v>
      </c>
      <c r="AA9" s="10">
        <f ca="1">VLOOKUP($B9,'[2]Analisys QBR By Machine Report'!$C$109:$BD$166,22,FALSE)</f>
        <v>1830</v>
      </c>
      <c r="AB9" s="10">
        <f ca="1">VLOOKUP($B9,'[2]Analisys QBR By Machine Report'!$C$109:$BD$166,23,FALSE)</f>
        <v>4745</v>
      </c>
      <c r="AC9" s="10">
        <f ca="1">VLOOKUP($B9,'[2]Analisys QBR By Machine Report'!$C$109:$BD$166,24,FALSE)</f>
        <v>415</v>
      </c>
      <c r="AD9" s="10">
        <f ca="1">VLOOKUP($B9,'[2]Analisys QBR By Machine Report'!$C$109:$BD$166,25,FALSE)</f>
        <v>0</v>
      </c>
      <c r="AE9" s="10">
        <f ca="1">VLOOKUP($B9,'[2]Analisys QBR By Machine Report'!$C$109:$BD$166,26,FALSE)</f>
        <v>625</v>
      </c>
      <c r="AF9" s="10">
        <f ca="1">VLOOKUP($B9,'[2]Analisys QBR By Machine Report'!$C$109:$BD$166,27,FALSE)</f>
        <v>2870</v>
      </c>
      <c r="AG9" s="10">
        <f ca="1">VLOOKUP($B9,'[2]Analisys QBR By Machine Report'!$C$109:$BD$166,28,FALSE)</f>
        <v>710</v>
      </c>
      <c r="AH9" s="10">
        <f ca="1">VLOOKUP($B9,'[2]Analisys QBR By Machine Report'!$C$109:$BD$166,29,FALSE)</f>
        <v>2160</v>
      </c>
      <c r="AI9" s="10">
        <f ca="1">VLOOKUP($B9,'[2]Analisys QBR By Machine Report'!$C$109:$BD$166,30,FALSE)</f>
        <v>13060</v>
      </c>
      <c r="AJ9" s="10">
        <f ca="1">VLOOKUP($B9,'[2]Analisys QBR By Machine Report'!$C$109:$BD$166,31,FALSE)</f>
        <v>0</v>
      </c>
      <c r="AK9" s="10">
        <f ca="1">VLOOKUP($B9,'[2]Analisys QBR By Machine Report'!$C$109:$BD$166,32,FALSE)</f>
        <v>0</v>
      </c>
      <c r="AL9" s="10">
        <f ca="1">VLOOKUP($B9,'[2]Analisys QBR By Machine Report'!$C$109:$BD$166,33,FALSE)</f>
        <v>2335</v>
      </c>
      <c r="AM9" s="10">
        <f ca="1">VLOOKUP($B9,'[2]Analisys QBR By Machine Report'!$C$109:$BD$166,34,FALSE)</f>
        <v>0</v>
      </c>
      <c r="AN9" s="10">
        <f ca="1">VLOOKUP($B9,'[2]Analisys QBR By Machine Report'!$C$109:$BD$166,35,FALSE)</f>
        <v>2115</v>
      </c>
      <c r="AO9" s="10">
        <f ca="1">VLOOKUP($B9,'[2]Analisys QBR By Machine Report'!$C$109:$BD$166,36,FALSE)</f>
        <v>1315</v>
      </c>
      <c r="AP9" s="10">
        <f ca="1">VLOOKUP($B9,'[2]Analisys QBR By Machine Report'!$C$109:$BD$166,37,FALSE)</f>
        <v>40</v>
      </c>
      <c r="AQ9" s="10">
        <f ca="1">VLOOKUP($B9,'[2]Analisys QBR By Machine Report'!$C$109:$BD$166,38,FALSE)</f>
        <v>0</v>
      </c>
      <c r="AR9" s="10">
        <f ca="1">VLOOKUP($B9,'[2]Analisys QBR By Machine Report'!$C$109:$BD$166,39,FALSE)</f>
        <v>760</v>
      </c>
      <c r="AS9" s="10">
        <f ca="1">VLOOKUP($B9,'[2]Analisys QBR By Machine Report'!$C$109:$BD$166,40,FALSE)</f>
        <v>775</v>
      </c>
      <c r="AT9" s="10">
        <f ca="1">VLOOKUP($B9,'[2]Analisys QBR By Machine Report'!$C$109:$BD$166,41,FALSE)</f>
        <v>0</v>
      </c>
      <c r="AU9" s="10">
        <f ca="1">VLOOKUP($B9,'[2]Analisys QBR By Machine Report'!$C$109:$BD$166,42,FALSE)</f>
        <v>0</v>
      </c>
      <c r="AV9" s="10">
        <f ca="1">VLOOKUP($B9,'[2]Analisys QBR By Machine Report'!$C$109:$BD$166,43,FALSE)</f>
        <v>0</v>
      </c>
      <c r="AW9" s="10">
        <f ca="1">VLOOKUP($B9,'[2]Analisys QBR By Machine Report'!$C$109:$BD$166,44,FALSE)</f>
        <v>0</v>
      </c>
      <c r="AX9" s="10">
        <f ca="1">VLOOKUP($B9,'[2]Analisys QBR By Machine Report'!$C$109:$BD$166,45,FALSE)</f>
        <v>0</v>
      </c>
      <c r="AY9" s="10">
        <f ca="1">VLOOKUP($B9,'[2]Analisys QBR By Machine Report'!$C$109:$BD$166,46,FALSE)</f>
        <v>0</v>
      </c>
      <c r="AZ9" s="10">
        <f ca="1">VLOOKUP($B9,'[2]Analisys QBR By Machine Report'!$C$109:$BD$166,47,FALSE)</f>
        <v>4435</v>
      </c>
      <c r="BA9" s="10">
        <f ca="1">VLOOKUP($B9,'[2]Analisys QBR By Machine Report'!$C$109:$BD$166,48,FALSE)</f>
        <v>1285</v>
      </c>
      <c r="BB9" s="10">
        <f ca="1">VLOOKUP($B9,'[2]Analisys QBR By Machine Report'!$C$109:$BD$166,49,FALSE)</f>
        <v>0</v>
      </c>
      <c r="BC9" s="10">
        <f ca="1">VLOOKUP($B9,'[2]Analisys QBR By Machine Report'!$C$109:$BD$166,50,FALSE)</f>
        <v>0</v>
      </c>
      <c r="BD9" s="10">
        <f ca="1">VLOOKUP($B9,'[2]Analisys QBR By Machine Report'!$C$109:$BD$166,51,FALSE)</f>
        <v>13480270</v>
      </c>
      <c r="BE9" s="10">
        <f ca="1">VLOOKUP($B9,'[2]Analisys QBR By Machine Report'!$C$109:$BD$166,52,FALSE)</f>
        <v>6034</v>
      </c>
      <c r="BF9" s="10">
        <f ca="1">VLOOKUP($B9,'[2]Analisys QBR By Machine Report'!$C$109:$BD$166,53,FALSE)</f>
        <v>13474236</v>
      </c>
    </row>
    <row r="10" spans="1:58" x14ac:dyDescent="0.25">
      <c r="A10" s="12" t="s">
        <v>66</v>
      </c>
      <c r="B10" s="13">
        <f ca="1">VLOOKUP($B10,'[2]Analisys QBR By Machine Report'!$C$109:$BD$166,2,FALSE)</f>
        <v>31680</v>
      </c>
      <c r="C10" s="14">
        <f ca="1">VLOOKUP($B10,[2]Dasboard_QBR_Report!$B$109:$BL$166,3,FALSE)</f>
        <v>20460</v>
      </c>
      <c r="D10" s="13">
        <f ca="1">VLOOKUP($B10,'[2]Analisys QBR By Machine Report'!$C$109:$BD$166,3,FALSE)</f>
        <v>11640</v>
      </c>
      <c r="E10" s="14">
        <f ca="1">VLOOKUP($B10,[2]Dasboard_QBR_Report!$B$109:$BL$166,5,FALSE)</f>
        <v>420</v>
      </c>
      <c r="F10" s="13">
        <f t="shared" ca="1" si="0"/>
        <v>20040</v>
      </c>
      <c r="G10" s="13">
        <f t="shared" ca="1" si="1"/>
        <v>955</v>
      </c>
      <c r="H10" s="13">
        <f ca="1">VLOOKUP($B10,'[2]Analisys QBR By Machine Report'!$C$109:$BD$166,4,FALSE)</f>
        <v>955</v>
      </c>
      <c r="I10" s="13">
        <f ca="1">VLOOKUP($B10,'[2]Analisys QBR By Machine Report'!$C$109:$BD$166,5,FALSE)</f>
        <v>285</v>
      </c>
      <c r="J10" s="13">
        <f ca="1">VLOOKUP($B10,'[2]Analisys QBR By Machine Report'!$C$109:$BD$166,6,FALSE)</f>
        <v>670</v>
      </c>
      <c r="K10" s="13">
        <f ca="1">VLOOKUP($B10,'[2]Analisys QBR By Machine Report'!$C$109:$BD$166,7,FALSE)</f>
        <v>0</v>
      </c>
      <c r="L10" s="13">
        <f ca="1">VLOOKUP($B10,'[2]Analisys QBR By Machine Report'!$C$109:$BD$166,8,FALSE)</f>
        <v>19085</v>
      </c>
      <c r="M10" s="13">
        <f ca="1">VLOOKUP($B10,'[2]Analisys QBR By Machine Report'!$C$109:$BD$166,9,FALSE)</f>
        <v>7120</v>
      </c>
      <c r="N10" s="13">
        <f ca="1">VLOOKUP($B10,[2]Dasboard_QBR_Report!$B$109:$BL$166,18,FALSE)</f>
        <v>11965</v>
      </c>
      <c r="O10" s="13">
        <f ca="1">VLOOKUP($B10,'[2]Analisys QBR By Machine Report'!$C$109:$BD$166,10,FALSE)</f>
        <v>1555</v>
      </c>
      <c r="P10" s="13">
        <f ca="1">VLOOKUP($B10,'[2]Analisys QBR By Machine Report'!$C$109:$BD$166,11,FALSE)</f>
        <v>1485</v>
      </c>
      <c r="Q10" s="13">
        <f ca="1">VLOOKUP($B10,'[2]Analisys QBR By Machine Report'!$C$109:$BD$166,12,FALSE)</f>
        <v>0</v>
      </c>
      <c r="R10" s="13">
        <f ca="1">VLOOKUP($B10,'[2]Analisys QBR By Machine Report'!$C$109:$BD$166,13,FALSE)</f>
        <v>0</v>
      </c>
      <c r="S10" s="13">
        <f ca="1">VLOOKUP($B10,'[2]Analisys QBR By Machine Report'!$C$109:$BD$166,14,FALSE)</f>
        <v>70</v>
      </c>
      <c r="T10" s="13">
        <f ca="1">VLOOKUP($B10,'[2]Analisys QBR By Machine Report'!$C$109:$BD$166,15,FALSE)</f>
        <v>0</v>
      </c>
      <c r="U10" s="13">
        <f ca="1">VLOOKUP($B10,'[2]Analisys QBR By Machine Report'!$C$109:$BD$166,16,FALSE)</f>
        <v>0</v>
      </c>
      <c r="V10" s="13">
        <f ca="1">VLOOKUP($B10,'[2]Analisys QBR By Machine Report'!$C$109:$BD$166,17,FALSE)</f>
        <v>0</v>
      </c>
      <c r="W10" s="13">
        <f ca="1">VLOOKUP($B10,'[2]Analisys QBR By Machine Report'!$C$109:$BD$166,18,FALSE)</f>
        <v>0</v>
      </c>
      <c r="X10" s="13">
        <f ca="1">VLOOKUP($B10,'[2]Analisys QBR By Machine Report'!$C$109:$BD$166,19,FALSE)</f>
        <v>0</v>
      </c>
      <c r="Y10" s="13">
        <f ca="1">VLOOKUP($B10,'[2]Analisys QBR By Machine Report'!$C$109:$BD$166,20,FALSE)</f>
        <v>0</v>
      </c>
      <c r="Z10" s="13">
        <f ca="1">VLOOKUP($B10,'[2]Analisys QBR By Machine Report'!$C$109:$BD$166,21,FALSE)</f>
        <v>4015</v>
      </c>
      <c r="AA10" s="13">
        <f ca="1">VLOOKUP($B10,'[2]Analisys QBR By Machine Report'!$C$109:$BD$166,22,FALSE)</f>
        <v>1185</v>
      </c>
      <c r="AB10" s="13">
        <f ca="1">VLOOKUP($B10,'[2]Analisys QBR By Machine Report'!$C$109:$BD$166,23,FALSE)</f>
        <v>2405</v>
      </c>
      <c r="AC10" s="13">
        <f ca="1">VLOOKUP($B10,'[2]Analisys QBR By Machine Report'!$C$109:$BD$166,24,FALSE)</f>
        <v>235</v>
      </c>
      <c r="AD10" s="13">
        <f ca="1">VLOOKUP($B10,'[2]Analisys QBR By Machine Report'!$C$109:$BD$166,25,FALSE)</f>
        <v>0</v>
      </c>
      <c r="AE10" s="13">
        <f ca="1">VLOOKUP($B10,'[2]Analisys QBR By Machine Report'!$C$109:$BD$166,26,FALSE)</f>
        <v>190</v>
      </c>
      <c r="AF10" s="13">
        <f ca="1">VLOOKUP($B10,'[2]Analisys QBR By Machine Report'!$C$109:$BD$166,27,FALSE)</f>
        <v>480</v>
      </c>
      <c r="AG10" s="13">
        <f ca="1">VLOOKUP($B10,'[2]Analisys QBR By Machine Report'!$C$109:$BD$166,28,FALSE)</f>
        <v>480</v>
      </c>
      <c r="AH10" s="13">
        <f ca="1">VLOOKUP($B10,'[2]Analisys QBR By Machine Report'!$C$109:$BD$166,29,FALSE)</f>
        <v>0</v>
      </c>
      <c r="AI10" s="13">
        <f ca="1">VLOOKUP($B10,'[2]Analisys QBR By Machine Report'!$C$109:$BD$166,30,FALSE)</f>
        <v>5915</v>
      </c>
      <c r="AJ10" s="13">
        <f ca="1">VLOOKUP($B10,'[2]Analisys QBR By Machine Report'!$C$109:$BD$166,31,FALSE)</f>
        <v>0</v>
      </c>
      <c r="AK10" s="13">
        <f ca="1">VLOOKUP($B10,'[2]Analisys QBR By Machine Report'!$C$109:$BD$166,32,FALSE)</f>
        <v>0</v>
      </c>
      <c r="AL10" s="13">
        <f ca="1">VLOOKUP($B10,'[2]Analisys QBR By Machine Report'!$C$109:$BD$166,33,FALSE)</f>
        <v>1050</v>
      </c>
      <c r="AM10" s="13">
        <f ca="1">VLOOKUP($B10,'[2]Analisys QBR By Machine Report'!$C$109:$BD$166,34,FALSE)</f>
        <v>0</v>
      </c>
      <c r="AN10" s="13">
        <f ca="1">VLOOKUP($B10,'[2]Analisys QBR By Machine Report'!$C$109:$BD$166,35,FALSE)</f>
        <v>850</v>
      </c>
      <c r="AO10" s="13">
        <f ca="1">VLOOKUP($B10,'[2]Analisys QBR By Machine Report'!$C$109:$BD$166,36,FALSE)</f>
        <v>685</v>
      </c>
      <c r="AP10" s="13">
        <f ca="1">VLOOKUP($B10,'[2]Analisys QBR By Machine Report'!$C$109:$BD$166,37,FALSE)</f>
        <v>25</v>
      </c>
      <c r="AQ10" s="13">
        <f ca="1">VLOOKUP($B10,'[2]Analisys QBR By Machine Report'!$C$109:$BD$166,38,FALSE)</f>
        <v>0</v>
      </c>
      <c r="AR10" s="13">
        <f ca="1">VLOOKUP($B10,'[2]Analisys QBR By Machine Report'!$C$109:$BD$166,39,FALSE)</f>
        <v>700</v>
      </c>
      <c r="AS10" s="13">
        <f ca="1">VLOOKUP($B10,'[2]Analisys QBR By Machine Report'!$C$109:$BD$166,40,FALSE)</f>
        <v>360</v>
      </c>
      <c r="AT10" s="13">
        <f ca="1">VLOOKUP($B10,'[2]Analisys QBR By Machine Report'!$C$109:$BD$166,41,FALSE)</f>
        <v>0</v>
      </c>
      <c r="AU10" s="13">
        <f ca="1">VLOOKUP($B10,'[2]Analisys QBR By Machine Report'!$C$109:$BD$166,42,FALSE)</f>
        <v>0</v>
      </c>
      <c r="AV10" s="13">
        <f ca="1">VLOOKUP($B10,'[2]Analisys QBR By Machine Report'!$C$109:$BD$166,43,FALSE)</f>
        <v>0</v>
      </c>
      <c r="AW10" s="13">
        <f ca="1">VLOOKUP($B10,'[2]Analisys QBR By Machine Report'!$C$109:$BD$166,44,FALSE)</f>
        <v>0</v>
      </c>
      <c r="AX10" s="13">
        <f ca="1">VLOOKUP($B10,'[2]Analisys QBR By Machine Report'!$C$109:$BD$166,45,FALSE)</f>
        <v>0</v>
      </c>
      <c r="AY10" s="13">
        <f ca="1">VLOOKUP($B10,'[2]Analisys QBR By Machine Report'!$C$109:$BD$166,46,FALSE)</f>
        <v>0</v>
      </c>
      <c r="AZ10" s="13">
        <f ca="1">VLOOKUP($B10,'[2]Analisys QBR By Machine Report'!$C$109:$BD$166,47,FALSE)</f>
        <v>1795</v>
      </c>
      <c r="BA10" s="13">
        <f ca="1">VLOOKUP($B10,'[2]Analisys QBR By Machine Report'!$C$109:$BD$166,48,FALSE)</f>
        <v>450</v>
      </c>
      <c r="BB10" s="13">
        <f ca="1">VLOOKUP($B10,'[2]Analisys QBR By Machine Report'!$C$109:$BD$166,49,FALSE)</f>
        <v>0</v>
      </c>
      <c r="BC10" s="13">
        <f ca="1">VLOOKUP($B10,'[2]Analisys QBR By Machine Report'!$C$109:$BD$166,50,FALSE)</f>
        <v>0</v>
      </c>
      <c r="BD10" s="13">
        <f ca="1">VLOOKUP($B10,'[2]Analisys QBR By Machine Report'!$C$109:$BD$166,51,FALSE)</f>
        <v>8811830</v>
      </c>
      <c r="BE10" s="13">
        <f ca="1">VLOOKUP($B10,'[2]Analisys QBR By Machine Report'!$C$109:$BD$166,52,FALSE)</f>
        <v>4972</v>
      </c>
      <c r="BF10" s="13">
        <f ca="1">VLOOKUP($B10,'[2]Analisys QBR By Machine Report'!$C$109:$BD$166,53,FALSE)</f>
        <v>8806858</v>
      </c>
    </row>
    <row r="11" spans="1:58" x14ac:dyDescent="0.25">
      <c r="A11" s="12" t="s">
        <v>67</v>
      </c>
      <c r="B11" s="13">
        <f ca="1">VLOOKUP($B11,'[2]Analisys QBR By Machine Report'!$C$109:$BD$166,2,FALSE)</f>
        <v>30240</v>
      </c>
      <c r="C11" s="14">
        <f ca="1">VLOOKUP($B11,[2]Dasboard_QBR_Report!$B$109:$BL$166,3,FALSE)</f>
        <v>10080</v>
      </c>
      <c r="D11" s="13">
        <f ca="1">VLOOKUP($B11,'[2]Analisys QBR By Machine Report'!$C$109:$BD$166,3,FALSE)</f>
        <v>23880</v>
      </c>
      <c r="E11" s="14">
        <f ca="1">VLOOKUP($B11,[2]Dasboard_QBR_Report!$B$109:$BL$166,5,FALSE)</f>
        <v>3720</v>
      </c>
      <c r="F11" s="13">
        <f t="shared" ca="1" si="0"/>
        <v>6360</v>
      </c>
      <c r="G11" s="13">
        <f t="shared" ca="1" si="1"/>
        <v>1575</v>
      </c>
      <c r="H11" s="13">
        <f ca="1">VLOOKUP($B11,'[2]Analisys QBR By Machine Report'!$C$109:$BD$166,4,FALSE)</f>
        <v>1575</v>
      </c>
      <c r="I11" s="13">
        <f ca="1">VLOOKUP($B11,'[2]Analisys QBR By Machine Report'!$C$109:$BD$166,5,FALSE)</f>
        <v>310</v>
      </c>
      <c r="J11" s="13">
        <f ca="1">VLOOKUP($B11,'[2]Analisys QBR By Machine Report'!$C$109:$BD$166,6,FALSE)</f>
        <v>1265</v>
      </c>
      <c r="K11" s="13">
        <f ca="1">VLOOKUP($B11,'[2]Analisys QBR By Machine Report'!$C$109:$BD$166,7,FALSE)</f>
        <v>0</v>
      </c>
      <c r="L11" s="13">
        <f ca="1">VLOOKUP($B11,'[2]Analisys QBR By Machine Report'!$C$109:$BD$166,8,FALSE)</f>
        <v>4785</v>
      </c>
      <c r="M11" s="13">
        <f ca="1">VLOOKUP($B11,'[2]Analisys QBR By Machine Report'!$C$109:$BD$166,9,FALSE)</f>
        <v>555</v>
      </c>
      <c r="N11" s="13">
        <f ca="1">VLOOKUP($B11,[2]Dasboard_QBR_Report!$B$109:$BL$166,18,FALSE)</f>
        <v>4230</v>
      </c>
      <c r="O11" s="13">
        <f ca="1">VLOOKUP($B11,'[2]Analisys QBR By Machine Report'!$C$109:$BD$166,10,FALSE)</f>
        <v>665</v>
      </c>
      <c r="P11" s="13">
        <f ca="1">VLOOKUP($B11,'[2]Analisys QBR By Machine Report'!$C$109:$BD$166,11,FALSE)</f>
        <v>665</v>
      </c>
      <c r="Q11" s="13">
        <f ca="1">VLOOKUP($B11,'[2]Analisys QBR By Machine Report'!$C$109:$BD$166,12,FALSE)</f>
        <v>0</v>
      </c>
      <c r="R11" s="13">
        <f ca="1">VLOOKUP($B11,'[2]Analisys QBR By Machine Report'!$C$109:$BD$166,13,FALSE)</f>
        <v>0</v>
      </c>
      <c r="S11" s="13">
        <f ca="1">VLOOKUP($B11,'[2]Analisys QBR By Machine Report'!$C$109:$BD$166,14,FALSE)</f>
        <v>0</v>
      </c>
      <c r="T11" s="13">
        <f ca="1">VLOOKUP($B11,'[2]Analisys QBR By Machine Report'!$C$109:$BD$166,15,FALSE)</f>
        <v>0</v>
      </c>
      <c r="U11" s="13">
        <f ca="1">VLOOKUP($B11,'[2]Analisys QBR By Machine Report'!$C$109:$BD$166,16,FALSE)</f>
        <v>0</v>
      </c>
      <c r="V11" s="13">
        <f ca="1">VLOOKUP($B11,'[2]Analisys QBR By Machine Report'!$C$109:$BD$166,17,FALSE)</f>
        <v>0</v>
      </c>
      <c r="W11" s="13">
        <f ca="1">VLOOKUP($B11,'[2]Analisys QBR By Machine Report'!$C$109:$BD$166,18,FALSE)</f>
        <v>0</v>
      </c>
      <c r="X11" s="13">
        <f ca="1">VLOOKUP($B11,'[2]Analisys QBR By Machine Report'!$C$109:$BD$166,19,FALSE)</f>
        <v>0</v>
      </c>
      <c r="Y11" s="13">
        <f ca="1">VLOOKUP($B11,'[2]Analisys QBR By Machine Report'!$C$109:$BD$166,20,FALSE)</f>
        <v>0</v>
      </c>
      <c r="Z11" s="13">
        <f ca="1">VLOOKUP($B11,'[2]Analisys QBR By Machine Report'!$C$109:$BD$166,21,FALSE)</f>
        <v>780</v>
      </c>
      <c r="AA11" s="13">
        <f ca="1">VLOOKUP($B11,'[2]Analisys QBR By Machine Report'!$C$109:$BD$166,22,FALSE)</f>
        <v>50</v>
      </c>
      <c r="AB11" s="13">
        <f ca="1">VLOOKUP($B11,'[2]Analisys QBR By Machine Report'!$C$109:$BD$166,23,FALSE)</f>
        <v>560</v>
      </c>
      <c r="AC11" s="13">
        <f ca="1">VLOOKUP($B11,'[2]Analisys QBR By Machine Report'!$C$109:$BD$166,24,FALSE)</f>
        <v>35</v>
      </c>
      <c r="AD11" s="13">
        <f ca="1">VLOOKUP($B11,'[2]Analisys QBR By Machine Report'!$C$109:$BD$166,25,FALSE)</f>
        <v>0</v>
      </c>
      <c r="AE11" s="13">
        <f ca="1">VLOOKUP($B11,'[2]Analisys QBR By Machine Report'!$C$109:$BD$166,26,FALSE)</f>
        <v>135</v>
      </c>
      <c r="AF11" s="13">
        <f ca="1">VLOOKUP($B11,'[2]Analisys QBR By Machine Report'!$C$109:$BD$166,27,FALSE)</f>
        <v>510</v>
      </c>
      <c r="AG11" s="13">
        <f ca="1">VLOOKUP($B11,'[2]Analisys QBR By Machine Report'!$C$109:$BD$166,28,FALSE)</f>
        <v>0</v>
      </c>
      <c r="AH11" s="13">
        <f ca="1">VLOOKUP($B11,'[2]Analisys QBR By Machine Report'!$C$109:$BD$166,29,FALSE)</f>
        <v>510</v>
      </c>
      <c r="AI11" s="13">
        <f ca="1">VLOOKUP($B11,'[2]Analisys QBR By Machine Report'!$C$109:$BD$166,30,FALSE)</f>
        <v>2275</v>
      </c>
      <c r="AJ11" s="13">
        <f ca="1">VLOOKUP($B11,'[2]Analisys QBR By Machine Report'!$C$109:$BD$166,31,FALSE)</f>
        <v>0</v>
      </c>
      <c r="AK11" s="13">
        <f ca="1">VLOOKUP($B11,'[2]Analisys QBR By Machine Report'!$C$109:$BD$166,32,FALSE)</f>
        <v>0</v>
      </c>
      <c r="AL11" s="13">
        <f ca="1">VLOOKUP($B11,'[2]Analisys QBR By Machine Report'!$C$109:$BD$166,33,FALSE)</f>
        <v>180</v>
      </c>
      <c r="AM11" s="13">
        <f ca="1">VLOOKUP($B11,'[2]Analisys QBR By Machine Report'!$C$109:$BD$166,34,FALSE)</f>
        <v>0</v>
      </c>
      <c r="AN11" s="13">
        <f ca="1">VLOOKUP($B11,'[2]Analisys QBR By Machine Report'!$C$109:$BD$166,35,FALSE)</f>
        <v>170</v>
      </c>
      <c r="AO11" s="13">
        <f ca="1">VLOOKUP($B11,'[2]Analisys QBR By Machine Report'!$C$109:$BD$166,36,FALSE)</f>
        <v>600</v>
      </c>
      <c r="AP11" s="13">
        <f ca="1">VLOOKUP($B11,'[2]Analisys QBR By Machine Report'!$C$109:$BD$166,37,FALSE)</f>
        <v>0</v>
      </c>
      <c r="AQ11" s="13">
        <f ca="1">VLOOKUP($B11,'[2]Analisys QBR By Machine Report'!$C$109:$BD$166,38,FALSE)</f>
        <v>0</v>
      </c>
      <c r="AR11" s="13">
        <f ca="1">VLOOKUP($B11,'[2]Analisys QBR By Machine Report'!$C$109:$BD$166,39,FALSE)</f>
        <v>0</v>
      </c>
      <c r="AS11" s="13">
        <f ca="1">VLOOKUP($B11,'[2]Analisys QBR By Machine Report'!$C$109:$BD$166,40,FALSE)</f>
        <v>55</v>
      </c>
      <c r="AT11" s="13">
        <f ca="1">VLOOKUP($B11,'[2]Analisys QBR By Machine Report'!$C$109:$BD$166,41,FALSE)</f>
        <v>0</v>
      </c>
      <c r="AU11" s="13">
        <f ca="1">VLOOKUP($B11,'[2]Analisys QBR By Machine Report'!$C$109:$BD$166,42,FALSE)</f>
        <v>0</v>
      </c>
      <c r="AV11" s="13">
        <f ca="1">VLOOKUP($B11,'[2]Analisys QBR By Machine Report'!$C$109:$BD$166,43,FALSE)</f>
        <v>0</v>
      </c>
      <c r="AW11" s="13">
        <f ca="1">VLOOKUP($B11,'[2]Analisys QBR By Machine Report'!$C$109:$BD$166,44,FALSE)</f>
        <v>0</v>
      </c>
      <c r="AX11" s="13">
        <f ca="1">VLOOKUP($B11,'[2]Analisys QBR By Machine Report'!$C$109:$BD$166,45,FALSE)</f>
        <v>0</v>
      </c>
      <c r="AY11" s="13">
        <f ca="1">VLOOKUP($B11,'[2]Analisys QBR By Machine Report'!$C$109:$BD$166,46,FALSE)</f>
        <v>0</v>
      </c>
      <c r="AZ11" s="13">
        <f ca="1">VLOOKUP($B11,'[2]Analisys QBR By Machine Report'!$C$109:$BD$166,47,FALSE)</f>
        <v>435</v>
      </c>
      <c r="BA11" s="13">
        <f ca="1">VLOOKUP($B11,'[2]Analisys QBR By Machine Report'!$C$109:$BD$166,48,FALSE)</f>
        <v>835</v>
      </c>
      <c r="BB11" s="13">
        <f ca="1">VLOOKUP($B11,'[2]Analisys QBR By Machine Report'!$C$109:$BD$166,49,FALSE)</f>
        <v>0</v>
      </c>
      <c r="BC11" s="13">
        <f ca="1">VLOOKUP($B11,'[2]Analisys QBR By Machine Report'!$C$109:$BD$166,50,FALSE)</f>
        <v>0</v>
      </c>
      <c r="BD11" s="13">
        <f ca="1">VLOOKUP($B11,'[2]Analisys QBR By Machine Report'!$C$109:$BD$166,51,FALSE)</f>
        <v>495381</v>
      </c>
      <c r="BE11" s="13">
        <f ca="1">VLOOKUP($B11,'[2]Analisys QBR By Machine Report'!$C$109:$BD$166,52,FALSE)</f>
        <v>0</v>
      </c>
      <c r="BF11" s="13">
        <f ca="1">VLOOKUP($B11,'[2]Analisys QBR By Machine Report'!$C$109:$BD$166,53,FALSE)</f>
        <v>495381</v>
      </c>
    </row>
    <row r="12" spans="1:58" x14ac:dyDescent="0.25">
      <c r="A12" s="12" t="s">
        <v>68</v>
      </c>
      <c r="B12" s="13">
        <f ca="1">VLOOKUP($B12,'[2]Analisys QBR By Machine Report'!$C$109:$BD$166,2,FALSE)</f>
        <v>33120</v>
      </c>
      <c r="C12" s="14">
        <f ca="1">VLOOKUP($B12,[2]Dasboard_QBR_Report!$B$109:$BL$166,3,FALSE)</f>
        <v>21390</v>
      </c>
      <c r="D12" s="13">
        <f ca="1">VLOOKUP($B12,'[2]Analisys QBR By Machine Report'!$C$109:$BD$166,3,FALSE)</f>
        <v>13110</v>
      </c>
      <c r="E12" s="14">
        <f ca="1">VLOOKUP($B12,[2]Dasboard_QBR_Report!$B$109:$BL$166,5,FALSE)</f>
        <v>1380</v>
      </c>
      <c r="F12" s="13">
        <f t="shared" ca="1" si="0"/>
        <v>20010</v>
      </c>
      <c r="G12" s="13">
        <f t="shared" ca="1" si="1"/>
        <v>700</v>
      </c>
      <c r="H12" s="13">
        <f ca="1">VLOOKUP($B12,'[2]Analisys QBR By Machine Report'!$C$109:$BD$166,4,FALSE)</f>
        <v>700</v>
      </c>
      <c r="I12" s="13">
        <f ca="1">VLOOKUP($B12,'[2]Analisys QBR By Machine Report'!$C$109:$BD$166,5,FALSE)</f>
        <v>380</v>
      </c>
      <c r="J12" s="13">
        <f ca="1">VLOOKUP($B12,'[2]Analisys QBR By Machine Report'!$C$109:$BD$166,6,FALSE)</f>
        <v>320</v>
      </c>
      <c r="K12" s="13">
        <f ca="1">VLOOKUP($B12,'[2]Analisys QBR By Machine Report'!$C$109:$BD$166,7,FALSE)</f>
        <v>0</v>
      </c>
      <c r="L12" s="13">
        <f ca="1">VLOOKUP($B12,'[2]Analisys QBR By Machine Report'!$C$109:$BD$166,8,FALSE)</f>
        <v>19310</v>
      </c>
      <c r="M12" s="13">
        <f ca="1">VLOOKUP($B12,'[2]Analisys QBR By Machine Report'!$C$109:$BD$166,9,FALSE)</f>
        <v>7555</v>
      </c>
      <c r="N12" s="13">
        <f ca="1">VLOOKUP($B12,[2]Dasboard_QBR_Report!$B$109:$BL$166,18,FALSE)</f>
        <v>11755</v>
      </c>
      <c r="O12" s="13">
        <f ca="1">VLOOKUP($B12,'[2]Analisys QBR By Machine Report'!$C$109:$BD$166,10,FALSE)</f>
        <v>2185</v>
      </c>
      <c r="P12" s="13">
        <f ca="1">VLOOKUP($B12,'[2]Analisys QBR By Machine Report'!$C$109:$BD$166,11,FALSE)</f>
        <v>1385</v>
      </c>
      <c r="Q12" s="13">
        <f ca="1">VLOOKUP($B12,'[2]Analisys QBR By Machine Report'!$C$109:$BD$166,12,FALSE)</f>
        <v>0</v>
      </c>
      <c r="R12" s="13">
        <f ca="1">VLOOKUP($B12,'[2]Analisys QBR By Machine Report'!$C$109:$BD$166,13,FALSE)</f>
        <v>110</v>
      </c>
      <c r="S12" s="13">
        <f ca="1">VLOOKUP($B12,'[2]Analisys QBR By Machine Report'!$C$109:$BD$166,14,FALSE)</f>
        <v>690</v>
      </c>
      <c r="T12" s="13">
        <f ca="1">VLOOKUP($B12,'[2]Analisys QBR By Machine Report'!$C$109:$BD$166,15,FALSE)</f>
        <v>0</v>
      </c>
      <c r="U12" s="13">
        <f ca="1">VLOOKUP($B12,'[2]Analisys QBR By Machine Report'!$C$109:$BD$166,16,FALSE)</f>
        <v>0</v>
      </c>
      <c r="V12" s="13">
        <f ca="1">VLOOKUP($B12,'[2]Analisys QBR By Machine Report'!$C$109:$BD$166,17,FALSE)</f>
        <v>0</v>
      </c>
      <c r="W12" s="13">
        <f ca="1">VLOOKUP($B12,'[2]Analisys QBR By Machine Report'!$C$109:$BD$166,18,FALSE)</f>
        <v>0</v>
      </c>
      <c r="X12" s="13">
        <f ca="1">VLOOKUP($B12,'[2]Analisys QBR By Machine Report'!$C$109:$BD$166,19,FALSE)</f>
        <v>0</v>
      </c>
      <c r="Y12" s="13">
        <f ca="1">VLOOKUP($B12,'[2]Analisys QBR By Machine Report'!$C$109:$BD$166,20,FALSE)</f>
        <v>0</v>
      </c>
      <c r="Z12" s="13">
        <f ca="1">VLOOKUP($B12,'[2]Analisys QBR By Machine Report'!$C$109:$BD$166,21,FALSE)</f>
        <v>2820</v>
      </c>
      <c r="AA12" s="13">
        <f ca="1">VLOOKUP($B12,'[2]Analisys QBR By Machine Report'!$C$109:$BD$166,22,FALSE)</f>
        <v>595</v>
      </c>
      <c r="AB12" s="13">
        <f ca="1">VLOOKUP($B12,'[2]Analisys QBR By Machine Report'!$C$109:$BD$166,23,FALSE)</f>
        <v>1780</v>
      </c>
      <c r="AC12" s="13">
        <f ca="1">VLOOKUP($B12,'[2]Analisys QBR By Machine Report'!$C$109:$BD$166,24,FALSE)</f>
        <v>145</v>
      </c>
      <c r="AD12" s="13">
        <f ca="1">VLOOKUP($B12,'[2]Analisys QBR By Machine Report'!$C$109:$BD$166,25,FALSE)</f>
        <v>0</v>
      </c>
      <c r="AE12" s="13">
        <f ca="1">VLOOKUP($B12,'[2]Analisys QBR By Machine Report'!$C$109:$BD$166,26,FALSE)</f>
        <v>300</v>
      </c>
      <c r="AF12" s="13">
        <f ca="1">VLOOKUP($B12,'[2]Analisys QBR By Machine Report'!$C$109:$BD$166,27,FALSE)</f>
        <v>1880</v>
      </c>
      <c r="AG12" s="13">
        <f ca="1">VLOOKUP($B12,'[2]Analisys QBR By Machine Report'!$C$109:$BD$166,28,FALSE)</f>
        <v>230</v>
      </c>
      <c r="AH12" s="13">
        <f ca="1">VLOOKUP($B12,'[2]Analisys QBR By Machine Report'!$C$109:$BD$166,29,FALSE)</f>
        <v>1650</v>
      </c>
      <c r="AI12" s="13">
        <f ca="1">VLOOKUP($B12,'[2]Analisys QBR By Machine Report'!$C$109:$BD$166,30,FALSE)</f>
        <v>4870</v>
      </c>
      <c r="AJ12" s="13">
        <f ca="1">VLOOKUP($B12,'[2]Analisys QBR By Machine Report'!$C$109:$BD$166,31,FALSE)</f>
        <v>0</v>
      </c>
      <c r="AK12" s="13">
        <f ca="1">VLOOKUP($B12,'[2]Analisys QBR By Machine Report'!$C$109:$BD$166,32,FALSE)</f>
        <v>0</v>
      </c>
      <c r="AL12" s="13">
        <f ca="1">VLOOKUP($B12,'[2]Analisys QBR By Machine Report'!$C$109:$BD$166,33,FALSE)</f>
        <v>1105</v>
      </c>
      <c r="AM12" s="13">
        <f ca="1">VLOOKUP($B12,'[2]Analisys QBR By Machine Report'!$C$109:$BD$166,34,FALSE)</f>
        <v>0</v>
      </c>
      <c r="AN12" s="13">
        <f ca="1">VLOOKUP($B12,'[2]Analisys QBR By Machine Report'!$C$109:$BD$166,35,FALSE)</f>
        <v>1095</v>
      </c>
      <c r="AO12" s="13">
        <f ca="1">VLOOKUP($B12,'[2]Analisys QBR By Machine Report'!$C$109:$BD$166,36,FALSE)</f>
        <v>30</v>
      </c>
      <c r="AP12" s="13">
        <f ca="1">VLOOKUP($B12,'[2]Analisys QBR By Machine Report'!$C$109:$BD$166,37,FALSE)</f>
        <v>15</v>
      </c>
      <c r="AQ12" s="13">
        <f ca="1">VLOOKUP($B12,'[2]Analisys QBR By Machine Report'!$C$109:$BD$166,38,FALSE)</f>
        <v>0</v>
      </c>
      <c r="AR12" s="13">
        <f ca="1">VLOOKUP($B12,'[2]Analisys QBR By Machine Report'!$C$109:$BD$166,39,FALSE)</f>
        <v>60</v>
      </c>
      <c r="AS12" s="13">
        <f ca="1">VLOOKUP($B12,'[2]Analisys QBR By Machine Report'!$C$109:$BD$166,40,FALSE)</f>
        <v>360</v>
      </c>
      <c r="AT12" s="13">
        <f ca="1">VLOOKUP($B12,'[2]Analisys QBR By Machine Report'!$C$109:$BD$166,41,FALSE)</f>
        <v>0</v>
      </c>
      <c r="AU12" s="13">
        <f ca="1">VLOOKUP($B12,'[2]Analisys QBR By Machine Report'!$C$109:$BD$166,42,FALSE)</f>
        <v>0</v>
      </c>
      <c r="AV12" s="13">
        <f ca="1">VLOOKUP($B12,'[2]Analisys QBR By Machine Report'!$C$109:$BD$166,43,FALSE)</f>
        <v>0</v>
      </c>
      <c r="AW12" s="13">
        <f ca="1">VLOOKUP($B12,'[2]Analisys QBR By Machine Report'!$C$109:$BD$166,44,FALSE)</f>
        <v>0</v>
      </c>
      <c r="AX12" s="13">
        <f ca="1">VLOOKUP($B12,'[2]Analisys QBR By Machine Report'!$C$109:$BD$166,45,FALSE)</f>
        <v>0</v>
      </c>
      <c r="AY12" s="13">
        <f ca="1">VLOOKUP($B12,'[2]Analisys QBR By Machine Report'!$C$109:$BD$166,46,FALSE)</f>
        <v>0</v>
      </c>
      <c r="AZ12" s="13">
        <f ca="1">VLOOKUP($B12,'[2]Analisys QBR By Machine Report'!$C$109:$BD$166,47,FALSE)</f>
        <v>2205</v>
      </c>
      <c r="BA12" s="13">
        <f ca="1">VLOOKUP($B12,'[2]Analisys QBR By Machine Report'!$C$109:$BD$166,48,FALSE)</f>
        <v>0</v>
      </c>
      <c r="BB12" s="13">
        <f ca="1">VLOOKUP($B12,'[2]Analisys QBR By Machine Report'!$C$109:$BD$166,49,FALSE)</f>
        <v>0</v>
      </c>
      <c r="BC12" s="13">
        <f ca="1">VLOOKUP($B12,'[2]Analisys QBR By Machine Report'!$C$109:$BD$166,50,FALSE)</f>
        <v>0</v>
      </c>
      <c r="BD12" s="13">
        <f ca="1">VLOOKUP($B12,'[2]Analisys QBR By Machine Report'!$C$109:$BD$166,51,FALSE)</f>
        <v>4173059</v>
      </c>
      <c r="BE12" s="13">
        <f ca="1">VLOOKUP($B12,'[2]Analisys QBR By Machine Report'!$C$109:$BD$166,52,FALSE)</f>
        <v>1062</v>
      </c>
      <c r="BF12" s="13">
        <f ca="1">VLOOKUP($B12,'[2]Analisys QBR By Machine Report'!$C$109:$BD$166,53,FALSE)</f>
        <v>4171997</v>
      </c>
    </row>
    <row r="13" spans="1:58" x14ac:dyDescent="0.25">
      <c r="A13" s="9" t="s">
        <v>69</v>
      </c>
      <c r="B13" s="10">
        <f ca="1">VLOOKUP($B13,'[2]Analisys QBR By Machine Report'!$C$109:$BD$166,2,FALSE)</f>
        <v>60480</v>
      </c>
      <c r="C13" s="11">
        <f ca="1">VLOOKUP($B13,[2]Dasboard_QBR_Report!$B$109:$BL$166,3,FALSE)</f>
        <v>20160</v>
      </c>
      <c r="D13" s="10">
        <f ca="1">VLOOKUP($B13,'[2]Analisys QBR By Machine Report'!$C$109:$BD$166,3,FALSE)</f>
        <v>50700</v>
      </c>
      <c r="E13" s="11">
        <f ca="1">VLOOKUP($B13,[2]Dasboard_QBR_Report!$B$109:$BL$166,5,FALSE)</f>
        <v>10380</v>
      </c>
      <c r="F13" s="10">
        <f t="shared" ca="1" si="0"/>
        <v>9780</v>
      </c>
      <c r="G13" s="10">
        <f t="shared" ca="1" si="1"/>
        <v>0</v>
      </c>
      <c r="H13" s="10">
        <f ca="1">VLOOKUP($B13,'[2]Analisys QBR By Machine Report'!$C$109:$BD$166,4,FALSE)</f>
        <v>0</v>
      </c>
      <c r="I13" s="10">
        <f ca="1">VLOOKUP($B13,'[2]Analisys QBR By Machine Report'!$C$109:$BD$166,5,FALSE)</f>
        <v>0</v>
      </c>
      <c r="J13" s="10">
        <f ca="1">VLOOKUP($B13,'[2]Analisys QBR By Machine Report'!$C$109:$BD$166,6,FALSE)</f>
        <v>0</v>
      </c>
      <c r="K13" s="10">
        <f ca="1">VLOOKUP($B13,'[2]Analisys QBR By Machine Report'!$C$109:$BD$166,7,FALSE)</f>
        <v>0</v>
      </c>
      <c r="L13" s="10">
        <f ca="1">VLOOKUP($B13,'[2]Analisys QBR By Machine Report'!$C$109:$BD$166,8,FALSE)</f>
        <v>9780</v>
      </c>
      <c r="M13" s="10">
        <f ca="1">VLOOKUP($B13,'[2]Analisys QBR By Machine Report'!$C$109:$BD$166,9,FALSE)</f>
        <v>3849</v>
      </c>
      <c r="N13" s="10">
        <f ca="1">VLOOKUP($B13,[2]Dasboard_QBR_Report!$B$109:$BL$166,18,FALSE)</f>
        <v>5931</v>
      </c>
      <c r="O13" s="10">
        <f ca="1">VLOOKUP($B13,'[2]Analisys QBR By Machine Report'!$C$109:$BD$166,10,FALSE)</f>
        <v>240</v>
      </c>
      <c r="P13" s="10">
        <f ca="1">VLOOKUP($B13,'[2]Analisys QBR By Machine Report'!$C$109:$BD$166,11,FALSE)</f>
        <v>180</v>
      </c>
      <c r="Q13" s="10">
        <f ca="1">VLOOKUP($B13,'[2]Analisys QBR By Machine Report'!$C$109:$BD$166,12,FALSE)</f>
        <v>0</v>
      </c>
      <c r="R13" s="10">
        <f ca="1">VLOOKUP($B13,'[2]Analisys QBR By Machine Report'!$C$109:$BD$166,13,FALSE)</f>
        <v>60</v>
      </c>
      <c r="S13" s="10">
        <f ca="1">VLOOKUP($B13,'[2]Analisys QBR By Machine Report'!$C$109:$BD$166,14,FALSE)</f>
        <v>0</v>
      </c>
      <c r="T13" s="10">
        <f ca="1">VLOOKUP($B13,'[2]Analisys QBR By Machine Report'!$C$109:$BD$166,15,FALSE)</f>
        <v>25</v>
      </c>
      <c r="U13" s="10">
        <f ca="1">VLOOKUP($B13,'[2]Analisys QBR By Machine Report'!$C$109:$BD$166,16,FALSE)</f>
        <v>0</v>
      </c>
      <c r="V13" s="10">
        <f ca="1">VLOOKUP($B13,'[2]Analisys QBR By Machine Report'!$C$109:$BD$166,17,FALSE)</f>
        <v>0</v>
      </c>
      <c r="W13" s="10">
        <f ca="1">VLOOKUP($B13,'[2]Analisys QBR By Machine Report'!$C$109:$BD$166,18,FALSE)</f>
        <v>0</v>
      </c>
      <c r="X13" s="10">
        <f ca="1">VLOOKUP($B13,'[2]Analisys QBR By Machine Report'!$C$109:$BD$166,19,FALSE)</f>
        <v>25</v>
      </c>
      <c r="Y13" s="10">
        <f ca="1">VLOOKUP($B13,'[2]Analisys QBR By Machine Report'!$C$109:$BD$166,20,FALSE)</f>
        <v>0</v>
      </c>
      <c r="Z13" s="10">
        <f ca="1">VLOOKUP($B13,'[2]Analisys QBR By Machine Report'!$C$109:$BD$166,21,FALSE)</f>
        <v>3690</v>
      </c>
      <c r="AA13" s="10">
        <f ca="1">VLOOKUP($B13,'[2]Analisys QBR By Machine Report'!$C$109:$BD$166,22,FALSE)</f>
        <v>1085</v>
      </c>
      <c r="AB13" s="10">
        <f ca="1">VLOOKUP($B13,'[2]Analisys QBR By Machine Report'!$C$109:$BD$166,23,FALSE)</f>
        <v>2255</v>
      </c>
      <c r="AC13" s="10">
        <f ca="1">VLOOKUP($B13,'[2]Analisys QBR By Machine Report'!$C$109:$BD$166,24,FALSE)</f>
        <v>0</v>
      </c>
      <c r="AD13" s="10">
        <f ca="1">VLOOKUP($B13,'[2]Analisys QBR By Machine Report'!$C$109:$BD$166,25,FALSE)</f>
        <v>0</v>
      </c>
      <c r="AE13" s="10">
        <f ca="1">VLOOKUP($B13,'[2]Analisys QBR By Machine Report'!$C$109:$BD$166,26,FALSE)</f>
        <v>350</v>
      </c>
      <c r="AF13" s="10">
        <f ca="1">VLOOKUP($B13,'[2]Analisys QBR By Machine Report'!$C$109:$BD$166,27,FALSE)</f>
        <v>0</v>
      </c>
      <c r="AG13" s="10">
        <f ca="1">VLOOKUP($B13,'[2]Analisys QBR By Machine Report'!$C$109:$BD$166,28,FALSE)</f>
        <v>0</v>
      </c>
      <c r="AH13" s="10">
        <f ca="1">VLOOKUP($B13,'[2]Analisys QBR By Machine Report'!$C$109:$BD$166,29,FALSE)</f>
        <v>0</v>
      </c>
      <c r="AI13" s="10">
        <f ca="1">VLOOKUP($B13,'[2]Analisys QBR By Machine Report'!$C$109:$BD$166,30,FALSE)</f>
        <v>1976</v>
      </c>
      <c r="AJ13" s="10">
        <f ca="1">VLOOKUP($B13,'[2]Analisys QBR By Machine Report'!$C$109:$BD$166,31,FALSE)</f>
        <v>0</v>
      </c>
      <c r="AK13" s="10">
        <f ca="1">VLOOKUP($B13,'[2]Analisys QBR By Machine Report'!$C$109:$BD$166,32,FALSE)</f>
        <v>0</v>
      </c>
      <c r="AL13" s="10">
        <f ca="1">VLOOKUP($B13,'[2]Analisys QBR By Machine Report'!$C$109:$BD$166,33,FALSE)</f>
        <v>540</v>
      </c>
      <c r="AM13" s="10">
        <f ca="1">VLOOKUP($B13,'[2]Analisys QBR By Machine Report'!$C$109:$BD$166,34,FALSE)</f>
        <v>0</v>
      </c>
      <c r="AN13" s="10">
        <f ca="1">VLOOKUP($B13,'[2]Analisys QBR By Machine Report'!$C$109:$BD$166,35,FALSE)</f>
        <v>495</v>
      </c>
      <c r="AO13" s="10">
        <f ca="1">VLOOKUP($B13,'[2]Analisys QBR By Machine Report'!$C$109:$BD$166,36,FALSE)</f>
        <v>0</v>
      </c>
      <c r="AP13" s="10">
        <f ca="1">VLOOKUP($B13,'[2]Analisys QBR By Machine Report'!$C$109:$BD$166,37,FALSE)</f>
        <v>150</v>
      </c>
      <c r="AQ13" s="10">
        <f ca="1">VLOOKUP($B13,'[2]Analisys QBR By Machine Report'!$C$109:$BD$166,38,FALSE)</f>
        <v>0</v>
      </c>
      <c r="AR13" s="10">
        <f ca="1">VLOOKUP($B13,'[2]Analisys QBR By Machine Report'!$C$109:$BD$166,39,FALSE)</f>
        <v>316</v>
      </c>
      <c r="AS13" s="10">
        <f ca="1">VLOOKUP($B13,'[2]Analisys QBR By Machine Report'!$C$109:$BD$166,40,FALSE)</f>
        <v>255</v>
      </c>
      <c r="AT13" s="10">
        <f ca="1">VLOOKUP($B13,'[2]Analisys QBR By Machine Report'!$C$109:$BD$166,41,FALSE)</f>
        <v>0</v>
      </c>
      <c r="AU13" s="10">
        <f ca="1">VLOOKUP($B13,'[2]Analisys QBR By Machine Report'!$C$109:$BD$166,42,FALSE)</f>
        <v>0</v>
      </c>
      <c r="AV13" s="10">
        <f ca="1">VLOOKUP($B13,'[2]Analisys QBR By Machine Report'!$C$109:$BD$166,43,FALSE)</f>
        <v>0</v>
      </c>
      <c r="AW13" s="10">
        <f ca="1">VLOOKUP($B13,'[2]Analisys QBR By Machine Report'!$C$109:$BD$166,44,FALSE)</f>
        <v>0</v>
      </c>
      <c r="AX13" s="10">
        <f ca="1">VLOOKUP($B13,'[2]Analisys QBR By Machine Report'!$C$109:$BD$166,45,FALSE)</f>
        <v>0</v>
      </c>
      <c r="AY13" s="10">
        <f ca="1">VLOOKUP($B13,'[2]Analisys QBR By Machine Report'!$C$109:$BD$166,46,FALSE)</f>
        <v>0</v>
      </c>
      <c r="AZ13" s="10">
        <f ca="1">VLOOKUP($B13,'[2]Analisys QBR By Machine Report'!$C$109:$BD$166,47,FALSE)</f>
        <v>100</v>
      </c>
      <c r="BA13" s="10">
        <f ca="1">VLOOKUP($B13,'[2]Analisys QBR By Machine Report'!$C$109:$BD$166,48,FALSE)</f>
        <v>85</v>
      </c>
      <c r="BB13" s="10">
        <f ca="1">VLOOKUP($B13,'[2]Analisys QBR By Machine Report'!$C$109:$BD$166,49,FALSE)</f>
        <v>0</v>
      </c>
      <c r="BC13" s="10">
        <f ca="1">VLOOKUP($B13,'[2]Analisys QBR By Machine Report'!$C$109:$BD$166,50,FALSE)</f>
        <v>35</v>
      </c>
      <c r="BD13" s="10">
        <f ca="1">VLOOKUP($B13,'[2]Analisys QBR By Machine Report'!$C$109:$BD$166,51,FALSE)</f>
        <v>1691.77</v>
      </c>
      <c r="BE13" s="10">
        <f ca="1">VLOOKUP($B13,'[2]Analisys QBR By Machine Report'!$C$109:$BD$166,52,FALSE)</f>
        <v>1.49</v>
      </c>
      <c r="BF13" s="10">
        <f ca="1">VLOOKUP($B13,'[2]Analisys QBR By Machine Report'!$C$109:$BD$166,53,FALSE)</f>
        <v>1690.28</v>
      </c>
    </row>
    <row r="14" spans="1:58" x14ac:dyDescent="0.25">
      <c r="A14" s="12" t="s">
        <v>70</v>
      </c>
      <c r="B14" s="13">
        <f ca="1">VLOOKUP($B14,'[2]Analisys QBR By Machine Report'!$C$109:$BD$166,2,FALSE)</f>
        <v>30240</v>
      </c>
      <c r="C14" s="14">
        <f ca="1">VLOOKUP($B14,[2]Dasboard_QBR_Report!$B$109:$BL$166,3,FALSE)</f>
        <v>10080</v>
      </c>
      <c r="D14" s="13">
        <f ca="1">VLOOKUP($B14,'[2]Analisys QBR By Machine Report'!$C$109:$BD$166,3,FALSE)</f>
        <v>24570</v>
      </c>
      <c r="E14" s="14">
        <f ca="1">VLOOKUP($B14,[2]Dasboard_QBR_Report!$B$109:$BL$166,5,FALSE)</f>
        <v>4410</v>
      </c>
      <c r="F14" s="13">
        <f t="shared" ca="1" si="0"/>
        <v>5670</v>
      </c>
      <c r="G14" s="13">
        <f t="shared" ca="1" si="1"/>
        <v>0</v>
      </c>
      <c r="H14" s="13">
        <f ca="1">VLOOKUP($B14,'[2]Analisys QBR By Machine Report'!$C$109:$BD$166,4,FALSE)</f>
        <v>0</v>
      </c>
      <c r="I14" s="13">
        <f ca="1">VLOOKUP($B14,'[2]Analisys QBR By Machine Report'!$C$109:$BD$166,5,FALSE)</f>
        <v>0</v>
      </c>
      <c r="J14" s="13">
        <f ca="1">VLOOKUP($B14,'[2]Analisys QBR By Machine Report'!$C$109:$BD$166,6,FALSE)</f>
        <v>0</v>
      </c>
      <c r="K14" s="13">
        <f ca="1">VLOOKUP($B14,'[2]Analisys QBR By Machine Report'!$C$109:$BD$166,7,FALSE)</f>
        <v>0</v>
      </c>
      <c r="L14" s="13">
        <f ca="1">VLOOKUP($B14,'[2]Analisys QBR By Machine Report'!$C$109:$BD$166,8,FALSE)</f>
        <v>5670</v>
      </c>
      <c r="M14" s="13">
        <f ca="1">VLOOKUP($B14,'[2]Analisys QBR By Machine Report'!$C$109:$BD$166,9,FALSE)</f>
        <v>1974</v>
      </c>
      <c r="N14" s="13">
        <f ca="1">VLOOKUP($B14,[2]Dasboard_QBR_Report!$B$109:$BL$166,18,FALSE)</f>
        <v>3696</v>
      </c>
      <c r="O14" s="13">
        <f ca="1">VLOOKUP($B14,'[2]Analisys QBR By Machine Report'!$C$109:$BD$166,10,FALSE)</f>
        <v>190</v>
      </c>
      <c r="P14" s="13">
        <f ca="1">VLOOKUP($B14,'[2]Analisys QBR By Machine Report'!$C$109:$BD$166,11,FALSE)</f>
        <v>130</v>
      </c>
      <c r="Q14" s="13">
        <f ca="1">VLOOKUP($B14,'[2]Analisys QBR By Machine Report'!$C$109:$BD$166,12,FALSE)</f>
        <v>0</v>
      </c>
      <c r="R14" s="13">
        <f ca="1">VLOOKUP($B14,'[2]Analisys QBR By Machine Report'!$C$109:$BD$166,13,FALSE)</f>
        <v>60</v>
      </c>
      <c r="S14" s="13">
        <f ca="1">VLOOKUP($B14,'[2]Analisys QBR By Machine Report'!$C$109:$BD$166,14,FALSE)</f>
        <v>0</v>
      </c>
      <c r="T14" s="13">
        <f ca="1">VLOOKUP($B14,'[2]Analisys QBR By Machine Report'!$C$109:$BD$166,15,FALSE)</f>
        <v>0</v>
      </c>
      <c r="U14" s="13">
        <f ca="1">VLOOKUP($B14,'[2]Analisys QBR By Machine Report'!$C$109:$BD$166,16,FALSE)</f>
        <v>0</v>
      </c>
      <c r="V14" s="13">
        <f ca="1">VLOOKUP($B14,'[2]Analisys QBR By Machine Report'!$C$109:$BD$166,17,FALSE)</f>
        <v>0</v>
      </c>
      <c r="W14" s="13">
        <f ca="1">VLOOKUP($B14,'[2]Analisys QBR By Machine Report'!$C$109:$BD$166,18,FALSE)</f>
        <v>0</v>
      </c>
      <c r="X14" s="13">
        <f ca="1">VLOOKUP($B14,'[2]Analisys QBR By Machine Report'!$C$109:$BD$166,19,FALSE)</f>
        <v>0</v>
      </c>
      <c r="Y14" s="13">
        <f ca="1">VLOOKUP($B14,'[2]Analisys QBR By Machine Report'!$C$109:$BD$166,20,FALSE)</f>
        <v>0</v>
      </c>
      <c r="Z14" s="13">
        <f ca="1">VLOOKUP($B14,'[2]Analisys QBR By Machine Report'!$C$109:$BD$166,21,FALSE)</f>
        <v>2425</v>
      </c>
      <c r="AA14" s="13">
        <f ca="1">VLOOKUP($B14,'[2]Analisys QBR By Machine Report'!$C$109:$BD$166,22,FALSE)</f>
        <v>680</v>
      </c>
      <c r="AB14" s="13">
        <f ca="1">VLOOKUP($B14,'[2]Analisys QBR By Machine Report'!$C$109:$BD$166,23,FALSE)</f>
        <v>1520</v>
      </c>
      <c r="AC14" s="13">
        <f ca="1">VLOOKUP($B14,'[2]Analisys QBR By Machine Report'!$C$109:$BD$166,24,FALSE)</f>
        <v>0</v>
      </c>
      <c r="AD14" s="13">
        <f ca="1">VLOOKUP($B14,'[2]Analisys QBR By Machine Report'!$C$109:$BD$166,25,FALSE)</f>
        <v>0</v>
      </c>
      <c r="AE14" s="13">
        <f ca="1">VLOOKUP($B14,'[2]Analisys QBR By Machine Report'!$C$109:$BD$166,26,FALSE)</f>
        <v>225</v>
      </c>
      <c r="AF14" s="13">
        <f ca="1">VLOOKUP($B14,'[2]Analisys QBR By Machine Report'!$C$109:$BD$166,27,FALSE)</f>
        <v>0</v>
      </c>
      <c r="AG14" s="13">
        <f ca="1">VLOOKUP($B14,'[2]Analisys QBR By Machine Report'!$C$109:$BD$166,28,FALSE)</f>
        <v>0</v>
      </c>
      <c r="AH14" s="13">
        <f ca="1">VLOOKUP($B14,'[2]Analisys QBR By Machine Report'!$C$109:$BD$166,29,FALSE)</f>
        <v>0</v>
      </c>
      <c r="AI14" s="13">
        <f ca="1">VLOOKUP($B14,'[2]Analisys QBR By Machine Report'!$C$109:$BD$166,30,FALSE)</f>
        <v>1081</v>
      </c>
      <c r="AJ14" s="13">
        <f ca="1">VLOOKUP($B14,'[2]Analisys QBR By Machine Report'!$C$109:$BD$166,31,FALSE)</f>
        <v>0</v>
      </c>
      <c r="AK14" s="13">
        <f ca="1">VLOOKUP($B14,'[2]Analisys QBR By Machine Report'!$C$109:$BD$166,32,FALSE)</f>
        <v>0</v>
      </c>
      <c r="AL14" s="13">
        <f ca="1">VLOOKUP($B14,'[2]Analisys QBR By Machine Report'!$C$109:$BD$166,33,FALSE)</f>
        <v>330</v>
      </c>
      <c r="AM14" s="13">
        <f ca="1">VLOOKUP($B14,'[2]Analisys QBR By Machine Report'!$C$109:$BD$166,34,FALSE)</f>
        <v>0</v>
      </c>
      <c r="AN14" s="13">
        <f ca="1">VLOOKUP($B14,'[2]Analisys QBR By Machine Report'!$C$109:$BD$166,35,FALSE)</f>
        <v>285</v>
      </c>
      <c r="AO14" s="13">
        <f ca="1">VLOOKUP($B14,'[2]Analisys QBR By Machine Report'!$C$109:$BD$166,36,FALSE)</f>
        <v>0</v>
      </c>
      <c r="AP14" s="13">
        <f ca="1">VLOOKUP($B14,'[2]Analisys QBR By Machine Report'!$C$109:$BD$166,37,FALSE)</f>
        <v>0</v>
      </c>
      <c r="AQ14" s="13">
        <f ca="1">VLOOKUP($B14,'[2]Analisys QBR By Machine Report'!$C$109:$BD$166,38,FALSE)</f>
        <v>0</v>
      </c>
      <c r="AR14" s="13">
        <f ca="1">VLOOKUP($B14,'[2]Analisys QBR By Machine Report'!$C$109:$BD$166,39,FALSE)</f>
        <v>166</v>
      </c>
      <c r="AS14" s="13">
        <f ca="1">VLOOKUP($B14,'[2]Analisys QBR By Machine Report'!$C$109:$BD$166,40,FALSE)</f>
        <v>150</v>
      </c>
      <c r="AT14" s="13">
        <f ca="1">VLOOKUP($B14,'[2]Analisys QBR By Machine Report'!$C$109:$BD$166,41,FALSE)</f>
        <v>0</v>
      </c>
      <c r="AU14" s="13">
        <f ca="1">VLOOKUP($B14,'[2]Analisys QBR By Machine Report'!$C$109:$BD$166,42,FALSE)</f>
        <v>0</v>
      </c>
      <c r="AV14" s="13">
        <f ca="1">VLOOKUP($B14,'[2]Analisys QBR By Machine Report'!$C$109:$BD$166,43,FALSE)</f>
        <v>0</v>
      </c>
      <c r="AW14" s="13">
        <f ca="1">VLOOKUP($B14,'[2]Analisys QBR By Machine Report'!$C$109:$BD$166,44,FALSE)</f>
        <v>0</v>
      </c>
      <c r="AX14" s="13">
        <f ca="1">VLOOKUP($B14,'[2]Analisys QBR By Machine Report'!$C$109:$BD$166,45,FALSE)</f>
        <v>0</v>
      </c>
      <c r="AY14" s="13">
        <f ca="1">VLOOKUP($B14,'[2]Analisys QBR By Machine Report'!$C$109:$BD$166,46,FALSE)</f>
        <v>0</v>
      </c>
      <c r="AZ14" s="13">
        <f ca="1">VLOOKUP($B14,'[2]Analisys QBR By Machine Report'!$C$109:$BD$166,47,FALSE)</f>
        <v>50</v>
      </c>
      <c r="BA14" s="13">
        <f ca="1">VLOOKUP($B14,'[2]Analisys QBR By Machine Report'!$C$109:$BD$166,48,FALSE)</f>
        <v>65</v>
      </c>
      <c r="BB14" s="13">
        <f ca="1">VLOOKUP($B14,'[2]Analisys QBR By Machine Report'!$C$109:$BD$166,49,FALSE)</f>
        <v>0</v>
      </c>
      <c r="BC14" s="13">
        <f ca="1">VLOOKUP($B14,'[2]Analisys QBR By Machine Report'!$C$109:$BD$166,50,FALSE)</f>
        <v>35</v>
      </c>
      <c r="BD14" s="13">
        <f ca="1">VLOOKUP($B14,'[2]Analisys QBR By Machine Report'!$C$109:$BD$166,51,FALSE)</f>
        <v>512.46</v>
      </c>
      <c r="BE14" s="13">
        <f ca="1">VLOOKUP($B14,'[2]Analisys QBR By Machine Report'!$C$109:$BD$166,52,FALSE)</f>
        <v>0.57999999999999996</v>
      </c>
      <c r="BF14" s="13">
        <f ca="1">VLOOKUP($B14,'[2]Analisys QBR By Machine Report'!$C$109:$BD$166,53,FALSE)</f>
        <v>511.88</v>
      </c>
    </row>
    <row r="15" spans="1:58" x14ac:dyDescent="0.25">
      <c r="A15" s="12" t="s">
        <v>71</v>
      </c>
      <c r="B15" s="13">
        <f ca="1">VLOOKUP($B15,'[2]Analisys QBR By Machine Report'!$C$109:$BD$166,2,FALSE)</f>
        <v>30240</v>
      </c>
      <c r="C15" s="14">
        <f ca="1">VLOOKUP($B15,[2]Dasboard_QBR_Report!$B$109:$BL$166,3,FALSE)</f>
        <v>10080</v>
      </c>
      <c r="D15" s="13">
        <f ca="1">VLOOKUP($B15,'[2]Analisys QBR By Machine Report'!$C$109:$BD$166,3,FALSE)</f>
        <v>26130</v>
      </c>
      <c r="E15" s="14">
        <f ca="1">VLOOKUP($B15,[2]Dasboard_QBR_Report!$B$109:$BL$166,5,FALSE)</f>
        <v>5970</v>
      </c>
      <c r="F15" s="13">
        <f t="shared" ca="1" si="0"/>
        <v>4110</v>
      </c>
      <c r="G15" s="13">
        <f t="shared" ca="1" si="1"/>
        <v>0</v>
      </c>
      <c r="H15" s="13">
        <f ca="1">VLOOKUP($B15,'[2]Analisys QBR By Machine Report'!$C$109:$BD$166,4,FALSE)</f>
        <v>0</v>
      </c>
      <c r="I15" s="13">
        <f ca="1">VLOOKUP($B15,'[2]Analisys QBR By Machine Report'!$C$109:$BD$166,5,FALSE)</f>
        <v>0</v>
      </c>
      <c r="J15" s="13">
        <f ca="1">VLOOKUP($B15,'[2]Analisys QBR By Machine Report'!$C$109:$BD$166,6,FALSE)</f>
        <v>0</v>
      </c>
      <c r="K15" s="13">
        <f ca="1">VLOOKUP($B15,'[2]Analisys QBR By Machine Report'!$C$109:$BD$166,7,FALSE)</f>
        <v>0</v>
      </c>
      <c r="L15" s="13">
        <f ca="1">VLOOKUP($B15,'[2]Analisys QBR By Machine Report'!$C$109:$BD$166,8,FALSE)</f>
        <v>4110</v>
      </c>
      <c r="M15" s="13">
        <f ca="1">VLOOKUP($B15,'[2]Analisys QBR By Machine Report'!$C$109:$BD$166,9,FALSE)</f>
        <v>1875</v>
      </c>
      <c r="N15" s="13">
        <f ca="1">VLOOKUP($B15,[2]Dasboard_QBR_Report!$B$109:$BL$166,18,FALSE)</f>
        <v>2235</v>
      </c>
      <c r="O15" s="13">
        <f ca="1">VLOOKUP($B15,'[2]Analisys QBR By Machine Report'!$C$109:$BD$166,10,FALSE)</f>
        <v>50</v>
      </c>
      <c r="P15" s="13">
        <f ca="1">VLOOKUP($B15,'[2]Analisys QBR By Machine Report'!$C$109:$BD$166,11,FALSE)</f>
        <v>50</v>
      </c>
      <c r="Q15" s="13">
        <f ca="1">VLOOKUP($B15,'[2]Analisys QBR By Machine Report'!$C$109:$BD$166,12,FALSE)</f>
        <v>0</v>
      </c>
      <c r="R15" s="13">
        <f ca="1">VLOOKUP($B15,'[2]Analisys QBR By Machine Report'!$C$109:$BD$166,13,FALSE)</f>
        <v>0</v>
      </c>
      <c r="S15" s="13">
        <f ca="1">VLOOKUP($B15,'[2]Analisys QBR By Machine Report'!$C$109:$BD$166,14,FALSE)</f>
        <v>0</v>
      </c>
      <c r="T15" s="13">
        <f ca="1">VLOOKUP($B15,'[2]Analisys QBR By Machine Report'!$C$109:$BD$166,15,FALSE)</f>
        <v>25</v>
      </c>
      <c r="U15" s="13">
        <f ca="1">VLOOKUP($B15,'[2]Analisys QBR By Machine Report'!$C$109:$BD$166,16,FALSE)</f>
        <v>0</v>
      </c>
      <c r="V15" s="13">
        <f ca="1">VLOOKUP($B15,'[2]Analisys QBR By Machine Report'!$C$109:$BD$166,17,FALSE)</f>
        <v>0</v>
      </c>
      <c r="W15" s="13">
        <f ca="1">VLOOKUP($B15,'[2]Analisys QBR By Machine Report'!$C$109:$BD$166,18,FALSE)</f>
        <v>0</v>
      </c>
      <c r="X15" s="13">
        <f ca="1">VLOOKUP($B15,'[2]Analisys QBR By Machine Report'!$C$109:$BD$166,19,FALSE)</f>
        <v>25</v>
      </c>
      <c r="Y15" s="13">
        <f ca="1">VLOOKUP($B15,'[2]Analisys QBR By Machine Report'!$C$109:$BD$166,20,FALSE)</f>
        <v>0</v>
      </c>
      <c r="Z15" s="13">
        <f ca="1">VLOOKUP($B15,'[2]Analisys QBR By Machine Report'!$C$109:$BD$166,21,FALSE)</f>
        <v>1265</v>
      </c>
      <c r="AA15" s="13">
        <f ca="1">VLOOKUP($B15,'[2]Analisys QBR By Machine Report'!$C$109:$BD$166,22,FALSE)</f>
        <v>405</v>
      </c>
      <c r="AB15" s="13">
        <f ca="1">VLOOKUP($B15,'[2]Analisys QBR By Machine Report'!$C$109:$BD$166,23,FALSE)</f>
        <v>735</v>
      </c>
      <c r="AC15" s="13">
        <f ca="1">VLOOKUP($B15,'[2]Analisys QBR By Machine Report'!$C$109:$BD$166,24,FALSE)</f>
        <v>0</v>
      </c>
      <c r="AD15" s="13">
        <f ca="1">VLOOKUP($B15,'[2]Analisys QBR By Machine Report'!$C$109:$BD$166,25,FALSE)</f>
        <v>0</v>
      </c>
      <c r="AE15" s="13">
        <f ca="1">VLOOKUP($B15,'[2]Analisys QBR By Machine Report'!$C$109:$BD$166,26,FALSE)</f>
        <v>125</v>
      </c>
      <c r="AF15" s="13">
        <f ca="1">VLOOKUP($B15,'[2]Analisys QBR By Machine Report'!$C$109:$BD$166,27,FALSE)</f>
        <v>0</v>
      </c>
      <c r="AG15" s="13">
        <f ca="1">VLOOKUP($B15,'[2]Analisys QBR By Machine Report'!$C$109:$BD$166,28,FALSE)</f>
        <v>0</v>
      </c>
      <c r="AH15" s="13">
        <f ca="1">VLOOKUP($B15,'[2]Analisys QBR By Machine Report'!$C$109:$BD$166,29,FALSE)</f>
        <v>0</v>
      </c>
      <c r="AI15" s="13">
        <f ca="1">VLOOKUP($B15,'[2]Analisys QBR By Machine Report'!$C$109:$BD$166,30,FALSE)</f>
        <v>895</v>
      </c>
      <c r="AJ15" s="13">
        <f ca="1">VLOOKUP($B15,'[2]Analisys QBR By Machine Report'!$C$109:$BD$166,31,FALSE)</f>
        <v>0</v>
      </c>
      <c r="AK15" s="13">
        <f ca="1">VLOOKUP($B15,'[2]Analisys QBR By Machine Report'!$C$109:$BD$166,32,FALSE)</f>
        <v>0</v>
      </c>
      <c r="AL15" s="13">
        <f ca="1">VLOOKUP($B15,'[2]Analisys QBR By Machine Report'!$C$109:$BD$166,33,FALSE)</f>
        <v>210</v>
      </c>
      <c r="AM15" s="13">
        <f ca="1">VLOOKUP($B15,'[2]Analisys QBR By Machine Report'!$C$109:$BD$166,34,FALSE)</f>
        <v>0</v>
      </c>
      <c r="AN15" s="13">
        <f ca="1">VLOOKUP($B15,'[2]Analisys QBR By Machine Report'!$C$109:$BD$166,35,FALSE)</f>
        <v>210</v>
      </c>
      <c r="AO15" s="13">
        <f ca="1">VLOOKUP($B15,'[2]Analisys QBR By Machine Report'!$C$109:$BD$166,36,FALSE)</f>
        <v>0</v>
      </c>
      <c r="AP15" s="13">
        <f ca="1">VLOOKUP($B15,'[2]Analisys QBR By Machine Report'!$C$109:$BD$166,37,FALSE)</f>
        <v>150</v>
      </c>
      <c r="AQ15" s="13">
        <f ca="1">VLOOKUP($B15,'[2]Analisys QBR By Machine Report'!$C$109:$BD$166,38,FALSE)</f>
        <v>0</v>
      </c>
      <c r="AR15" s="13">
        <f ca="1">VLOOKUP($B15,'[2]Analisys QBR By Machine Report'!$C$109:$BD$166,39,FALSE)</f>
        <v>150</v>
      </c>
      <c r="AS15" s="13">
        <f ca="1">VLOOKUP($B15,'[2]Analisys QBR By Machine Report'!$C$109:$BD$166,40,FALSE)</f>
        <v>105</v>
      </c>
      <c r="AT15" s="13">
        <f ca="1">VLOOKUP($B15,'[2]Analisys QBR By Machine Report'!$C$109:$BD$166,41,FALSE)</f>
        <v>0</v>
      </c>
      <c r="AU15" s="13">
        <f ca="1">VLOOKUP($B15,'[2]Analisys QBR By Machine Report'!$C$109:$BD$166,42,FALSE)</f>
        <v>0</v>
      </c>
      <c r="AV15" s="13">
        <f ca="1">VLOOKUP($B15,'[2]Analisys QBR By Machine Report'!$C$109:$BD$166,43,FALSE)</f>
        <v>0</v>
      </c>
      <c r="AW15" s="13">
        <f ca="1">VLOOKUP($B15,'[2]Analisys QBR By Machine Report'!$C$109:$BD$166,44,FALSE)</f>
        <v>0</v>
      </c>
      <c r="AX15" s="13">
        <f ca="1">VLOOKUP($B15,'[2]Analisys QBR By Machine Report'!$C$109:$BD$166,45,FALSE)</f>
        <v>0</v>
      </c>
      <c r="AY15" s="13">
        <f ca="1">VLOOKUP($B15,'[2]Analisys QBR By Machine Report'!$C$109:$BD$166,46,FALSE)</f>
        <v>0</v>
      </c>
      <c r="AZ15" s="13">
        <f ca="1">VLOOKUP($B15,'[2]Analisys QBR By Machine Report'!$C$109:$BD$166,47,FALSE)</f>
        <v>50</v>
      </c>
      <c r="BA15" s="13">
        <f ca="1">VLOOKUP($B15,'[2]Analisys QBR By Machine Report'!$C$109:$BD$166,48,FALSE)</f>
        <v>20</v>
      </c>
      <c r="BB15" s="13">
        <f ca="1">VLOOKUP($B15,'[2]Analisys QBR By Machine Report'!$C$109:$BD$166,49,FALSE)</f>
        <v>0</v>
      </c>
      <c r="BC15" s="13">
        <f ca="1">VLOOKUP($B15,'[2]Analisys QBR By Machine Report'!$C$109:$BD$166,50,FALSE)</f>
        <v>0</v>
      </c>
      <c r="BD15" s="13">
        <f ca="1">VLOOKUP($B15,'[2]Analisys QBR By Machine Report'!$C$109:$BD$166,51,FALSE)</f>
        <v>1179.31</v>
      </c>
      <c r="BE15" s="13">
        <f ca="1">VLOOKUP($B15,'[2]Analisys QBR By Machine Report'!$C$109:$BD$166,52,FALSE)</f>
        <v>0.91</v>
      </c>
      <c r="BF15" s="13">
        <f ca="1">VLOOKUP($B15,'[2]Analisys QBR By Machine Report'!$C$109:$BD$166,53,FALSE)</f>
        <v>1178.4000000000001</v>
      </c>
    </row>
    <row r="16" spans="1:58" x14ac:dyDescent="0.25">
      <c r="A16" s="9" t="s">
        <v>72</v>
      </c>
      <c r="B16" s="10">
        <f ca="1">VLOOKUP($B16,'[2]Analisys QBR By Machine Report'!$C$109:$BD$166,2,FALSE)</f>
        <v>154080</v>
      </c>
      <c r="C16" s="11">
        <f ca="1">VLOOKUP($B16,[2]Dasboard_QBR_Report!$B$109:$BL$166,3,FALSE)</f>
        <v>70710</v>
      </c>
      <c r="D16" s="10">
        <f ca="1">VLOOKUP($B16,'[2]Analisys QBR By Machine Report'!$C$109:$BD$166,3,FALSE)</f>
        <v>90690</v>
      </c>
      <c r="E16" s="11">
        <f ca="1">VLOOKUP($B16,[2]Dasboard_QBR_Report!$B$109:$BL$166,5,FALSE)</f>
        <v>7320</v>
      </c>
      <c r="F16" s="10">
        <f t="shared" ca="1" si="0"/>
        <v>63390</v>
      </c>
      <c r="G16" s="10">
        <f t="shared" ca="1" si="1"/>
        <v>3200</v>
      </c>
      <c r="H16" s="10">
        <f ca="1">VLOOKUP($B16,'[2]Analisys QBR By Machine Report'!$C$109:$BD$166,4,FALSE)</f>
        <v>3200</v>
      </c>
      <c r="I16" s="10">
        <f ca="1">VLOOKUP($B16,'[2]Analisys QBR By Machine Report'!$C$109:$BD$166,5,FALSE)</f>
        <v>585</v>
      </c>
      <c r="J16" s="10">
        <f ca="1">VLOOKUP($B16,'[2]Analisys QBR By Machine Report'!$C$109:$BD$166,6,FALSE)</f>
        <v>2615</v>
      </c>
      <c r="K16" s="10">
        <f ca="1">VLOOKUP($B16,'[2]Analisys QBR By Machine Report'!$C$109:$BD$166,7,FALSE)</f>
        <v>0</v>
      </c>
      <c r="L16" s="10">
        <f ca="1">VLOOKUP($B16,'[2]Analisys QBR By Machine Report'!$C$109:$BD$166,8,FALSE)</f>
        <v>60190</v>
      </c>
      <c r="M16" s="10">
        <f ca="1">VLOOKUP($B16,'[2]Analisys QBR By Machine Report'!$C$109:$BD$166,9,FALSE)</f>
        <v>19580</v>
      </c>
      <c r="N16" s="10">
        <f ca="1">VLOOKUP($B16,[2]Dasboard_QBR_Report!$B$109:$BL$166,18,FALSE)</f>
        <v>40610</v>
      </c>
      <c r="O16" s="10">
        <f ca="1">VLOOKUP($B16,'[2]Analisys QBR By Machine Report'!$C$109:$BD$166,10,FALSE)</f>
        <v>9640</v>
      </c>
      <c r="P16" s="10">
        <f ca="1">VLOOKUP($B16,'[2]Analisys QBR By Machine Report'!$C$109:$BD$166,11,FALSE)</f>
        <v>4700</v>
      </c>
      <c r="Q16" s="10">
        <f ca="1">VLOOKUP($B16,'[2]Analisys QBR By Machine Report'!$C$109:$BD$166,12,FALSE)</f>
        <v>0</v>
      </c>
      <c r="R16" s="10">
        <f ca="1">VLOOKUP($B16,'[2]Analisys QBR By Machine Report'!$C$109:$BD$166,13,FALSE)</f>
        <v>4900</v>
      </c>
      <c r="S16" s="10">
        <f ca="1">VLOOKUP($B16,'[2]Analisys QBR By Machine Report'!$C$109:$BD$166,14,FALSE)</f>
        <v>40</v>
      </c>
      <c r="T16" s="10">
        <f ca="1">VLOOKUP($B16,'[2]Analisys QBR By Machine Report'!$C$109:$BD$166,15,FALSE)</f>
        <v>205</v>
      </c>
      <c r="U16" s="10">
        <f ca="1">VLOOKUP($B16,'[2]Analisys QBR By Machine Report'!$C$109:$BD$166,16,FALSE)</f>
        <v>155</v>
      </c>
      <c r="V16" s="10">
        <f ca="1">VLOOKUP($B16,'[2]Analisys QBR By Machine Report'!$C$109:$BD$166,17,FALSE)</f>
        <v>50</v>
      </c>
      <c r="W16" s="10">
        <f ca="1">VLOOKUP($B16,'[2]Analisys QBR By Machine Report'!$C$109:$BD$166,18,FALSE)</f>
        <v>0</v>
      </c>
      <c r="X16" s="10">
        <f ca="1">VLOOKUP($B16,'[2]Analisys QBR By Machine Report'!$C$109:$BD$166,19,FALSE)</f>
        <v>0</v>
      </c>
      <c r="Y16" s="10">
        <f ca="1">VLOOKUP($B16,'[2]Analisys QBR By Machine Report'!$C$109:$BD$166,20,FALSE)</f>
        <v>0</v>
      </c>
      <c r="Z16" s="10">
        <f ca="1">VLOOKUP($B16,'[2]Analisys QBR By Machine Report'!$C$109:$BD$166,21,FALSE)</f>
        <v>16177</v>
      </c>
      <c r="AA16" s="10">
        <f ca="1">VLOOKUP($B16,'[2]Analisys QBR By Machine Report'!$C$109:$BD$166,22,FALSE)</f>
        <v>9967</v>
      </c>
      <c r="AB16" s="10">
        <f ca="1">VLOOKUP($B16,'[2]Analisys QBR By Machine Report'!$C$109:$BD$166,23,FALSE)</f>
        <v>2320</v>
      </c>
      <c r="AC16" s="10">
        <f ca="1">VLOOKUP($B16,'[2]Analisys QBR By Machine Report'!$C$109:$BD$166,24,FALSE)</f>
        <v>2855</v>
      </c>
      <c r="AD16" s="10">
        <f ca="1">VLOOKUP($B16,'[2]Analisys QBR By Machine Report'!$C$109:$BD$166,25,FALSE)</f>
        <v>20</v>
      </c>
      <c r="AE16" s="10">
        <f ca="1">VLOOKUP($B16,'[2]Analisys QBR By Machine Report'!$C$109:$BD$166,26,FALSE)</f>
        <v>1015</v>
      </c>
      <c r="AF16" s="10">
        <f ca="1">VLOOKUP($B16,'[2]Analisys QBR By Machine Report'!$C$109:$BD$166,27,FALSE)</f>
        <v>1870</v>
      </c>
      <c r="AG16" s="10">
        <f ca="1">VLOOKUP($B16,'[2]Analisys QBR By Machine Report'!$C$109:$BD$166,28,FALSE)</f>
        <v>510</v>
      </c>
      <c r="AH16" s="10">
        <f ca="1">VLOOKUP($B16,'[2]Analisys QBR By Machine Report'!$C$109:$BD$166,29,FALSE)</f>
        <v>1360</v>
      </c>
      <c r="AI16" s="10">
        <f ca="1">VLOOKUP($B16,'[2]Analisys QBR By Machine Report'!$C$109:$BD$166,30,FALSE)</f>
        <v>12718</v>
      </c>
      <c r="AJ16" s="10">
        <f ca="1">VLOOKUP($B16,'[2]Analisys QBR By Machine Report'!$C$109:$BD$166,31,FALSE)</f>
        <v>0</v>
      </c>
      <c r="AK16" s="10">
        <f ca="1">VLOOKUP($B16,'[2]Analisys QBR By Machine Report'!$C$109:$BD$166,32,FALSE)</f>
        <v>0</v>
      </c>
      <c r="AL16" s="10">
        <f ca="1">VLOOKUP($B16,'[2]Analisys QBR By Machine Report'!$C$109:$BD$166,33,FALSE)</f>
        <v>3575</v>
      </c>
      <c r="AM16" s="10">
        <f ca="1">VLOOKUP($B16,'[2]Analisys QBR By Machine Report'!$C$109:$BD$166,34,FALSE)</f>
        <v>0</v>
      </c>
      <c r="AN16" s="10">
        <f ca="1">VLOOKUP($B16,'[2]Analisys QBR By Machine Report'!$C$109:$BD$166,35,FALSE)</f>
        <v>3430</v>
      </c>
      <c r="AO16" s="10">
        <f ca="1">VLOOKUP($B16,'[2]Analisys QBR By Machine Report'!$C$109:$BD$166,36,FALSE)</f>
        <v>1543</v>
      </c>
      <c r="AP16" s="10">
        <f ca="1">VLOOKUP($B16,'[2]Analisys QBR By Machine Report'!$C$109:$BD$166,37,FALSE)</f>
        <v>0</v>
      </c>
      <c r="AQ16" s="10">
        <f ca="1">VLOOKUP($B16,'[2]Analisys QBR By Machine Report'!$C$109:$BD$166,38,FALSE)</f>
        <v>0</v>
      </c>
      <c r="AR16" s="10">
        <f ca="1">VLOOKUP($B16,'[2]Analisys QBR By Machine Report'!$C$109:$BD$166,39,FALSE)</f>
        <v>110</v>
      </c>
      <c r="AS16" s="10">
        <f ca="1">VLOOKUP($B16,'[2]Analisys QBR By Machine Report'!$C$109:$BD$166,40,FALSE)</f>
        <v>1970</v>
      </c>
      <c r="AT16" s="10">
        <f ca="1">VLOOKUP($B16,'[2]Analisys QBR By Machine Report'!$C$109:$BD$166,41,FALSE)</f>
        <v>0</v>
      </c>
      <c r="AU16" s="10">
        <f ca="1">VLOOKUP($B16,'[2]Analisys QBR By Machine Report'!$C$109:$BD$166,42,FALSE)</f>
        <v>0</v>
      </c>
      <c r="AV16" s="10">
        <f ca="1">VLOOKUP($B16,'[2]Analisys QBR By Machine Report'!$C$109:$BD$166,43,FALSE)</f>
        <v>0</v>
      </c>
      <c r="AW16" s="10">
        <f ca="1">VLOOKUP($B16,'[2]Analisys QBR By Machine Report'!$C$109:$BD$166,44,FALSE)</f>
        <v>0</v>
      </c>
      <c r="AX16" s="10">
        <f ca="1">VLOOKUP($B16,'[2]Analisys QBR By Machine Report'!$C$109:$BD$166,45,FALSE)</f>
        <v>0</v>
      </c>
      <c r="AY16" s="10">
        <f ca="1">VLOOKUP($B16,'[2]Analisys QBR By Machine Report'!$C$109:$BD$166,46,FALSE)</f>
        <v>0</v>
      </c>
      <c r="AZ16" s="10">
        <f ca="1">VLOOKUP($B16,'[2]Analisys QBR By Machine Report'!$C$109:$BD$166,47,FALSE)</f>
        <v>1960</v>
      </c>
      <c r="BA16" s="10">
        <f ca="1">VLOOKUP($B16,'[2]Analisys QBR By Machine Report'!$C$109:$BD$166,48,FALSE)</f>
        <v>130</v>
      </c>
      <c r="BB16" s="10">
        <f ca="1">VLOOKUP($B16,'[2]Analisys QBR By Machine Report'!$C$109:$BD$166,49,FALSE)</f>
        <v>0</v>
      </c>
      <c r="BC16" s="10">
        <f ca="1">VLOOKUP($B16,'[2]Analisys QBR By Machine Report'!$C$109:$BD$166,50,FALSE)</f>
        <v>0</v>
      </c>
      <c r="BD16" s="10">
        <f ca="1">VLOOKUP($B16,'[2]Analisys QBR By Machine Report'!$C$109:$BD$166,51,FALSE)</f>
        <v>12117043</v>
      </c>
      <c r="BE16" s="10">
        <f ca="1">VLOOKUP($B16,'[2]Analisys QBR By Machine Report'!$C$109:$BD$166,52,FALSE)</f>
        <v>78391</v>
      </c>
      <c r="BF16" s="10">
        <f ca="1">VLOOKUP($B16,'[2]Analisys QBR By Machine Report'!$C$109:$BD$166,53,FALSE)</f>
        <v>12038652</v>
      </c>
    </row>
    <row r="17" spans="1:58" x14ac:dyDescent="0.25">
      <c r="A17" s="12" t="s">
        <v>73</v>
      </c>
      <c r="B17" s="13">
        <f ca="1">VLOOKUP($B17,'[2]Analisys QBR By Machine Report'!$C$109:$BD$166,2,FALSE)</f>
        <v>31680</v>
      </c>
      <c r="C17" s="14">
        <f ca="1">VLOOKUP($B17,[2]Dasboard_QBR_Report!$B$109:$BL$166,3,FALSE)</f>
        <v>20460</v>
      </c>
      <c r="D17" s="13">
        <f ca="1">VLOOKUP($B17,'[2]Analisys QBR By Machine Report'!$C$109:$BD$166,3,FALSE)</f>
        <v>17220</v>
      </c>
      <c r="E17" s="14">
        <f ca="1">VLOOKUP($B17,[2]Dasboard_QBR_Report!$B$109:$BL$166,5,FALSE)</f>
        <v>6000</v>
      </c>
      <c r="F17" s="13">
        <f t="shared" ca="1" si="0"/>
        <v>14460</v>
      </c>
      <c r="G17" s="13">
        <f t="shared" ca="1" si="1"/>
        <v>1040</v>
      </c>
      <c r="H17" s="13">
        <f ca="1">VLOOKUP($B17,'[2]Analisys QBR By Machine Report'!$C$109:$BD$166,4,FALSE)</f>
        <v>1040</v>
      </c>
      <c r="I17" s="13">
        <f ca="1">VLOOKUP($B17,'[2]Analisys QBR By Machine Report'!$C$109:$BD$166,5,FALSE)</f>
        <v>0</v>
      </c>
      <c r="J17" s="13">
        <f ca="1">VLOOKUP($B17,'[2]Analisys QBR By Machine Report'!$C$109:$BD$166,6,FALSE)</f>
        <v>1040</v>
      </c>
      <c r="K17" s="13">
        <f ca="1">VLOOKUP($B17,'[2]Analisys QBR By Machine Report'!$C$109:$BD$166,7,FALSE)</f>
        <v>0</v>
      </c>
      <c r="L17" s="13">
        <f ca="1">VLOOKUP($B17,'[2]Analisys QBR By Machine Report'!$C$109:$BD$166,8,FALSE)</f>
        <v>13420</v>
      </c>
      <c r="M17" s="13">
        <f ca="1">VLOOKUP($B17,'[2]Analisys QBR By Machine Report'!$C$109:$BD$166,9,FALSE)</f>
        <v>5470</v>
      </c>
      <c r="N17" s="13">
        <f ca="1">VLOOKUP($B17,[2]Dasboard_QBR_Report!$B$109:$BL$166,18,FALSE)</f>
        <v>7950</v>
      </c>
      <c r="O17" s="13">
        <f ca="1">VLOOKUP($B17,'[2]Analisys QBR By Machine Report'!$C$109:$BD$166,10,FALSE)</f>
        <v>1680</v>
      </c>
      <c r="P17" s="13">
        <f ca="1">VLOOKUP($B17,'[2]Analisys QBR By Machine Report'!$C$109:$BD$166,11,FALSE)</f>
        <v>550</v>
      </c>
      <c r="Q17" s="13">
        <f ca="1">VLOOKUP($B17,'[2]Analisys QBR By Machine Report'!$C$109:$BD$166,12,FALSE)</f>
        <v>0</v>
      </c>
      <c r="R17" s="13">
        <f ca="1">VLOOKUP($B17,'[2]Analisys QBR By Machine Report'!$C$109:$BD$166,13,FALSE)</f>
        <v>1130</v>
      </c>
      <c r="S17" s="13">
        <f ca="1">VLOOKUP($B17,'[2]Analisys QBR By Machine Report'!$C$109:$BD$166,14,FALSE)</f>
        <v>0</v>
      </c>
      <c r="T17" s="13">
        <f ca="1">VLOOKUP($B17,'[2]Analisys QBR By Machine Report'!$C$109:$BD$166,15,FALSE)</f>
        <v>110</v>
      </c>
      <c r="U17" s="13">
        <f ca="1">VLOOKUP($B17,'[2]Analisys QBR By Machine Report'!$C$109:$BD$166,16,FALSE)</f>
        <v>60</v>
      </c>
      <c r="V17" s="13">
        <f ca="1">VLOOKUP($B17,'[2]Analisys QBR By Machine Report'!$C$109:$BD$166,17,FALSE)</f>
        <v>50</v>
      </c>
      <c r="W17" s="13">
        <f ca="1">VLOOKUP($B17,'[2]Analisys QBR By Machine Report'!$C$109:$BD$166,18,FALSE)</f>
        <v>0</v>
      </c>
      <c r="X17" s="13">
        <f ca="1">VLOOKUP($B17,'[2]Analisys QBR By Machine Report'!$C$109:$BD$166,19,FALSE)</f>
        <v>0</v>
      </c>
      <c r="Y17" s="13">
        <f ca="1">VLOOKUP($B17,'[2]Analisys QBR By Machine Report'!$C$109:$BD$166,20,FALSE)</f>
        <v>0</v>
      </c>
      <c r="Z17" s="13">
        <f ca="1">VLOOKUP($B17,'[2]Analisys QBR By Machine Report'!$C$109:$BD$166,21,FALSE)</f>
        <v>3230</v>
      </c>
      <c r="AA17" s="13">
        <f ca="1">VLOOKUP($B17,'[2]Analisys QBR By Machine Report'!$C$109:$BD$166,22,FALSE)</f>
        <v>1915</v>
      </c>
      <c r="AB17" s="13">
        <f ca="1">VLOOKUP($B17,'[2]Analisys QBR By Machine Report'!$C$109:$BD$166,23,FALSE)</f>
        <v>370</v>
      </c>
      <c r="AC17" s="13">
        <f ca="1">VLOOKUP($B17,'[2]Analisys QBR By Machine Report'!$C$109:$BD$166,24,FALSE)</f>
        <v>720</v>
      </c>
      <c r="AD17" s="13">
        <f ca="1">VLOOKUP($B17,'[2]Analisys QBR By Machine Report'!$C$109:$BD$166,25,FALSE)</f>
        <v>0</v>
      </c>
      <c r="AE17" s="13">
        <f ca="1">VLOOKUP($B17,'[2]Analisys QBR By Machine Report'!$C$109:$BD$166,26,FALSE)</f>
        <v>225</v>
      </c>
      <c r="AF17" s="13">
        <f ca="1">VLOOKUP($B17,'[2]Analisys QBR By Machine Report'!$C$109:$BD$166,27,FALSE)</f>
        <v>0</v>
      </c>
      <c r="AG17" s="13">
        <f ca="1">VLOOKUP($B17,'[2]Analisys QBR By Machine Report'!$C$109:$BD$166,28,FALSE)</f>
        <v>0</v>
      </c>
      <c r="AH17" s="13">
        <f ca="1">VLOOKUP($B17,'[2]Analisys QBR By Machine Report'!$C$109:$BD$166,29,FALSE)</f>
        <v>0</v>
      </c>
      <c r="AI17" s="13">
        <f ca="1">VLOOKUP($B17,'[2]Analisys QBR By Machine Report'!$C$109:$BD$166,30,FALSE)</f>
        <v>2930</v>
      </c>
      <c r="AJ17" s="13">
        <f ca="1">VLOOKUP($B17,'[2]Analisys QBR By Machine Report'!$C$109:$BD$166,31,FALSE)</f>
        <v>0</v>
      </c>
      <c r="AK17" s="13">
        <f ca="1">VLOOKUP($B17,'[2]Analisys QBR By Machine Report'!$C$109:$BD$166,32,FALSE)</f>
        <v>0</v>
      </c>
      <c r="AL17" s="13">
        <f ca="1">VLOOKUP($B17,'[2]Analisys QBR By Machine Report'!$C$109:$BD$166,33,FALSE)</f>
        <v>870</v>
      </c>
      <c r="AM17" s="13">
        <f ca="1">VLOOKUP($B17,'[2]Analisys QBR By Machine Report'!$C$109:$BD$166,34,FALSE)</f>
        <v>0</v>
      </c>
      <c r="AN17" s="13">
        <f ca="1">VLOOKUP($B17,'[2]Analisys QBR By Machine Report'!$C$109:$BD$166,35,FALSE)</f>
        <v>855</v>
      </c>
      <c r="AO17" s="13">
        <f ca="1">VLOOKUP($B17,'[2]Analisys QBR By Machine Report'!$C$109:$BD$166,36,FALSE)</f>
        <v>180</v>
      </c>
      <c r="AP17" s="13">
        <f ca="1">VLOOKUP($B17,'[2]Analisys QBR By Machine Report'!$C$109:$BD$166,37,FALSE)</f>
        <v>0</v>
      </c>
      <c r="AQ17" s="13">
        <f ca="1">VLOOKUP($B17,'[2]Analisys QBR By Machine Report'!$C$109:$BD$166,38,FALSE)</f>
        <v>0</v>
      </c>
      <c r="AR17" s="13">
        <f ca="1">VLOOKUP($B17,'[2]Analisys QBR By Machine Report'!$C$109:$BD$166,39,FALSE)</f>
        <v>110</v>
      </c>
      <c r="AS17" s="13">
        <f ca="1">VLOOKUP($B17,'[2]Analisys QBR By Machine Report'!$C$109:$BD$166,40,FALSE)</f>
        <v>455</v>
      </c>
      <c r="AT17" s="13">
        <f ca="1">VLOOKUP($B17,'[2]Analisys QBR By Machine Report'!$C$109:$BD$166,41,FALSE)</f>
        <v>0</v>
      </c>
      <c r="AU17" s="13">
        <f ca="1">VLOOKUP($B17,'[2]Analisys QBR By Machine Report'!$C$109:$BD$166,42,FALSE)</f>
        <v>0</v>
      </c>
      <c r="AV17" s="13">
        <f ca="1">VLOOKUP($B17,'[2]Analisys QBR By Machine Report'!$C$109:$BD$166,43,FALSE)</f>
        <v>0</v>
      </c>
      <c r="AW17" s="13">
        <f ca="1">VLOOKUP($B17,'[2]Analisys QBR By Machine Report'!$C$109:$BD$166,44,FALSE)</f>
        <v>0</v>
      </c>
      <c r="AX17" s="13">
        <f ca="1">VLOOKUP($B17,'[2]Analisys QBR By Machine Report'!$C$109:$BD$166,45,FALSE)</f>
        <v>0</v>
      </c>
      <c r="AY17" s="13">
        <f ca="1">VLOOKUP($B17,'[2]Analisys QBR By Machine Report'!$C$109:$BD$166,46,FALSE)</f>
        <v>0</v>
      </c>
      <c r="AZ17" s="13">
        <f ca="1">VLOOKUP($B17,'[2]Analisys QBR By Machine Report'!$C$109:$BD$166,47,FALSE)</f>
        <v>460</v>
      </c>
      <c r="BA17" s="13">
        <f ca="1">VLOOKUP($B17,'[2]Analisys QBR By Machine Report'!$C$109:$BD$166,48,FALSE)</f>
        <v>0</v>
      </c>
      <c r="BB17" s="13">
        <f ca="1">VLOOKUP($B17,'[2]Analisys QBR By Machine Report'!$C$109:$BD$166,49,FALSE)</f>
        <v>0</v>
      </c>
      <c r="BC17" s="13">
        <f ca="1">VLOOKUP($B17,'[2]Analisys QBR By Machine Report'!$C$109:$BD$166,50,FALSE)</f>
        <v>0</v>
      </c>
      <c r="BD17" s="13">
        <f ca="1">VLOOKUP($B17,'[2]Analisys QBR By Machine Report'!$C$109:$BD$166,51,FALSE)</f>
        <v>3261442</v>
      </c>
      <c r="BE17" s="13">
        <f ca="1">VLOOKUP($B17,'[2]Analisys QBR By Machine Report'!$C$109:$BD$166,52,FALSE)</f>
        <v>15042</v>
      </c>
      <c r="BF17" s="13">
        <f ca="1">VLOOKUP($B17,'[2]Analisys QBR By Machine Report'!$C$109:$BD$166,53,FALSE)</f>
        <v>3246400</v>
      </c>
    </row>
    <row r="18" spans="1:58" x14ac:dyDescent="0.25">
      <c r="A18" s="12" t="s">
        <v>74</v>
      </c>
      <c r="B18" s="13">
        <f ca="1">VLOOKUP($B18,'[2]Analisys QBR By Machine Report'!$C$109:$BD$166,2,FALSE)</f>
        <v>30240</v>
      </c>
      <c r="C18" s="14">
        <f ca="1">VLOOKUP($B18,[2]Dasboard_QBR_Report!$B$109:$BL$166,3,FALSE)</f>
        <v>19530</v>
      </c>
      <c r="D18" s="13">
        <f ca="1">VLOOKUP($B18,'[2]Analisys QBR By Machine Report'!$C$109:$BD$166,3,FALSE)</f>
        <v>13860</v>
      </c>
      <c r="E18" s="14">
        <f ca="1">VLOOKUP($B18,[2]Dasboard_QBR_Report!$B$109:$BL$166,5,FALSE)</f>
        <v>3150</v>
      </c>
      <c r="F18" s="13">
        <f t="shared" ca="1" si="0"/>
        <v>16380</v>
      </c>
      <c r="G18" s="13">
        <f t="shared" ca="1" si="1"/>
        <v>195</v>
      </c>
      <c r="H18" s="13">
        <f ca="1">VLOOKUP($B18,'[2]Analisys QBR By Machine Report'!$C$109:$BD$166,4,FALSE)</f>
        <v>195</v>
      </c>
      <c r="I18" s="13">
        <f ca="1">VLOOKUP($B18,'[2]Analisys QBR By Machine Report'!$C$109:$BD$166,5,FALSE)</f>
        <v>195</v>
      </c>
      <c r="J18" s="13">
        <f ca="1">VLOOKUP($B18,'[2]Analisys QBR By Machine Report'!$C$109:$BD$166,6,FALSE)</f>
        <v>0</v>
      </c>
      <c r="K18" s="13">
        <f ca="1">VLOOKUP($B18,'[2]Analisys QBR By Machine Report'!$C$109:$BD$166,7,FALSE)</f>
        <v>0</v>
      </c>
      <c r="L18" s="13">
        <f ca="1">VLOOKUP($B18,'[2]Analisys QBR By Machine Report'!$C$109:$BD$166,8,FALSE)</f>
        <v>16185</v>
      </c>
      <c r="M18" s="13">
        <f ca="1">VLOOKUP($B18,'[2]Analisys QBR By Machine Report'!$C$109:$BD$166,9,FALSE)</f>
        <v>4935</v>
      </c>
      <c r="N18" s="13">
        <f ca="1">VLOOKUP($B18,[2]Dasboard_QBR_Report!$B$109:$BL$166,18,FALSE)</f>
        <v>11250</v>
      </c>
      <c r="O18" s="13">
        <f ca="1">VLOOKUP($B18,'[2]Analisys QBR By Machine Report'!$C$109:$BD$166,10,FALSE)</f>
        <v>3115</v>
      </c>
      <c r="P18" s="13">
        <f ca="1">VLOOKUP($B18,'[2]Analisys QBR By Machine Report'!$C$109:$BD$166,11,FALSE)</f>
        <v>1505</v>
      </c>
      <c r="Q18" s="13">
        <f ca="1">VLOOKUP($B18,'[2]Analisys QBR By Machine Report'!$C$109:$BD$166,12,FALSE)</f>
        <v>0</v>
      </c>
      <c r="R18" s="13">
        <f ca="1">VLOOKUP($B18,'[2]Analisys QBR By Machine Report'!$C$109:$BD$166,13,FALSE)</f>
        <v>1570</v>
      </c>
      <c r="S18" s="13">
        <f ca="1">VLOOKUP($B18,'[2]Analisys QBR By Machine Report'!$C$109:$BD$166,14,FALSE)</f>
        <v>40</v>
      </c>
      <c r="T18" s="13">
        <f ca="1">VLOOKUP($B18,'[2]Analisys QBR By Machine Report'!$C$109:$BD$166,15,FALSE)</f>
        <v>0</v>
      </c>
      <c r="U18" s="13">
        <f ca="1">VLOOKUP($B18,'[2]Analisys QBR By Machine Report'!$C$109:$BD$166,16,FALSE)</f>
        <v>0</v>
      </c>
      <c r="V18" s="13">
        <f ca="1">VLOOKUP($B18,'[2]Analisys QBR By Machine Report'!$C$109:$BD$166,17,FALSE)</f>
        <v>0</v>
      </c>
      <c r="W18" s="13">
        <f ca="1">VLOOKUP($B18,'[2]Analisys QBR By Machine Report'!$C$109:$BD$166,18,FALSE)</f>
        <v>0</v>
      </c>
      <c r="X18" s="13">
        <f ca="1">VLOOKUP($B18,'[2]Analisys QBR By Machine Report'!$C$109:$BD$166,19,FALSE)</f>
        <v>0</v>
      </c>
      <c r="Y18" s="13">
        <f ca="1">VLOOKUP($B18,'[2]Analisys QBR By Machine Report'!$C$109:$BD$166,20,FALSE)</f>
        <v>0</v>
      </c>
      <c r="Z18" s="13">
        <f ca="1">VLOOKUP($B18,'[2]Analisys QBR By Machine Report'!$C$109:$BD$166,21,FALSE)</f>
        <v>4055</v>
      </c>
      <c r="AA18" s="13">
        <f ca="1">VLOOKUP($B18,'[2]Analisys QBR By Machine Report'!$C$109:$BD$166,22,FALSE)</f>
        <v>1965</v>
      </c>
      <c r="AB18" s="13">
        <f ca="1">VLOOKUP($B18,'[2]Analisys QBR By Machine Report'!$C$109:$BD$166,23,FALSE)</f>
        <v>955</v>
      </c>
      <c r="AC18" s="13">
        <f ca="1">VLOOKUP($B18,'[2]Analisys QBR By Machine Report'!$C$109:$BD$166,24,FALSE)</f>
        <v>845</v>
      </c>
      <c r="AD18" s="13">
        <f ca="1">VLOOKUP($B18,'[2]Analisys QBR By Machine Report'!$C$109:$BD$166,25,FALSE)</f>
        <v>20</v>
      </c>
      <c r="AE18" s="13">
        <f ca="1">VLOOKUP($B18,'[2]Analisys QBR By Machine Report'!$C$109:$BD$166,26,FALSE)</f>
        <v>270</v>
      </c>
      <c r="AF18" s="13">
        <f ca="1">VLOOKUP($B18,'[2]Analisys QBR By Machine Report'!$C$109:$BD$166,27,FALSE)</f>
        <v>690</v>
      </c>
      <c r="AG18" s="13">
        <f ca="1">VLOOKUP($B18,'[2]Analisys QBR By Machine Report'!$C$109:$BD$166,28,FALSE)</f>
        <v>510</v>
      </c>
      <c r="AH18" s="13">
        <f ca="1">VLOOKUP($B18,'[2]Analisys QBR By Machine Report'!$C$109:$BD$166,29,FALSE)</f>
        <v>180</v>
      </c>
      <c r="AI18" s="13">
        <f ca="1">VLOOKUP($B18,'[2]Analisys QBR By Machine Report'!$C$109:$BD$166,30,FALSE)</f>
        <v>3390</v>
      </c>
      <c r="AJ18" s="13">
        <f ca="1">VLOOKUP($B18,'[2]Analisys QBR By Machine Report'!$C$109:$BD$166,31,FALSE)</f>
        <v>0</v>
      </c>
      <c r="AK18" s="13">
        <f ca="1">VLOOKUP($B18,'[2]Analisys QBR By Machine Report'!$C$109:$BD$166,32,FALSE)</f>
        <v>0</v>
      </c>
      <c r="AL18" s="13">
        <f ca="1">VLOOKUP($B18,'[2]Analisys QBR By Machine Report'!$C$109:$BD$166,33,FALSE)</f>
        <v>1020</v>
      </c>
      <c r="AM18" s="13">
        <f ca="1">VLOOKUP($B18,'[2]Analisys QBR By Machine Report'!$C$109:$BD$166,34,FALSE)</f>
        <v>0</v>
      </c>
      <c r="AN18" s="13">
        <f ca="1">VLOOKUP($B18,'[2]Analisys QBR By Machine Report'!$C$109:$BD$166,35,FALSE)</f>
        <v>1010</v>
      </c>
      <c r="AO18" s="13">
        <f ca="1">VLOOKUP($B18,'[2]Analisys QBR By Machine Report'!$C$109:$BD$166,36,FALSE)</f>
        <v>110</v>
      </c>
      <c r="AP18" s="13">
        <f ca="1">VLOOKUP($B18,'[2]Analisys QBR By Machine Report'!$C$109:$BD$166,37,FALSE)</f>
        <v>0</v>
      </c>
      <c r="AQ18" s="13">
        <f ca="1">VLOOKUP($B18,'[2]Analisys QBR By Machine Report'!$C$109:$BD$166,38,FALSE)</f>
        <v>0</v>
      </c>
      <c r="AR18" s="13">
        <f ca="1">VLOOKUP($B18,'[2]Analisys QBR By Machine Report'!$C$109:$BD$166,39,FALSE)</f>
        <v>0</v>
      </c>
      <c r="AS18" s="13">
        <f ca="1">VLOOKUP($B18,'[2]Analisys QBR By Machine Report'!$C$109:$BD$166,40,FALSE)</f>
        <v>625</v>
      </c>
      <c r="AT18" s="13">
        <f ca="1">VLOOKUP($B18,'[2]Analisys QBR By Machine Report'!$C$109:$BD$166,41,FALSE)</f>
        <v>0</v>
      </c>
      <c r="AU18" s="13">
        <f ca="1">VLOOKUP($B18,'[2]Analisys QBR By Machine Report'!$C$109:$BD$166,42,FALSE)</f>
        <v>0</v>
      </c>
      <c r="AV18" s="13">
        <f ca="1">VLOOKUP($B18,'[2]Analisys QBR By Machine Report'!$C$109:$BD$166,43,FALSE)</f>
        <v>0</v>
      </c>
      <c r="AW18" s="13">
        <f ca="1">VLOOKUP($B18,'[2]Analisys QBR By Machine Report'!$C$109:$BD$166,44,FALSE)</f>
        <v>0</v>
      </c>
      <c r="AX18" s="13">
        <f ca="1">VLOOKUP($B18,'[2]Analisys QBR By Machine Report'!$C$109:$BD$166,45,FALSE)</f>
        <v>0</v>
      </c>
      <c r="AY18" s="13">
        <f ca="1">VLOOKUP($B18,'[2]Analisys QBR By Machine Report'!$C$109:$BD$166,46,FALSE)</f>
        <v>0</v>
      </c>
      <c r="AZ18" s="13">
        <f ca="1">VLOOKUP($B18,'[2]Analisys QBR By Machine Report'!$C$109:$BD$166,47,FALSE)</f>
        <v>625</v>
      </c>
      <c r="BA18" s="13">
        <f ca="1">VLOOKUP($B18,'[2]Analisys QBR By Machine Report'!$C$109:$BD$166,48,FALSE)</f>
        <v>0</v>
      </c>
      <c r="BB18" s="13">
        <f ca="1">VLOOKUP($B18,'[2]Analisys QBR By Machine Report'!$C$109:$BD$166,49,FALSE)</f>
        <v>0</v>
      </c>
      <c r="BC18" s="13">
        <f ca="1">VLOOKUP($B18,'[2]Analisys QBR By Machine Report'!$C$109:$BD$166,50,FALSE)</f>
        <v>0</v>
      </c>
      <c r="BD18" s="13">
        <f ca="1">VLOOKUP($B18,'[2]Analisys QBR By Machine Report'!$C$109:$BD$166,51,FALSE)</f>
        <v>5837306</v>
      </c>
      <c r="BE18" s="13">
        <f ca="1">VLOOKUP($B18,'[2]Analisys QBR By Machine Report'!$C$109:$BD$166,52,FALSE)</f>
        <v>35026</v>
      </c>
      <c r="BF18" s="13">
        <f ca="1">VLOOKUP($B18,'[2]Analisys QBR By Machine Report'!$C$109:$BD$166,53,FALSE)</f>
        <v>5802280</v>
      </c>
    </row>
    <row r="19" spans="1:58" x14ac:dyDescent="0.25">
      <c r="A19" s="12" t="s">
        <v>75</v>
      </c>
      <c r="B19" s="13">
        <f ca="1">VLOOKUP($B19,'[2]Analisys QBR By Machine Report'!$C$109:$BD$166,2,FALSE)</f>
        <v>30240</v>
      </c>
      <c r="C19" s="14">
        <f ca="1">VLOOKUP($B19,[2]Dasboard_QBR_Report!$B$109:$BL$166,3,FALSE)</f>
        <v>10080</v>
      </c>
      <c r="D19" s="13">
        <f ca="1">VLOOKUP($B19,'[2]Analisys QBR By Machine Report'!$C$109:$BD$166,3,FALSE)</f>
        <v>15600</v>
      </c>
      <c r="E19" s="14">
        <f ca="1">VLOOKUP($B19,[2]Dasboard_QBR_Report!$B$109:$BL$166,5,FALSE)</f>
        <v>-4560</v>
      </c>
      <c r="F19" s="13">
        <f t="shared" ca="1" si="0"/>
        <v>14640</v>
      </c>
      <c r="G19" s="13">
        <f t="shared" ca="1" si="1"/>
        <v>315</v>
      </c>
      <c r="H19" s="13">
        <f ca="1">VLOOKUP($B19,'[2]Analisys QBR By Machine Report'!$C$109:$BD$166,4,FALSE)</f>
        <v>315</v>
      </c>
      <c r="I19" s="13">
        <f ca="1">VLOOKUP($B19,'[2]Analisys QBR By Machine Report'!$C$109:$BD$166,5,FALSE)</f>
        <v>195</v>
      </c>
      <c r="J19" s="13">
        <f ca="1">VLOOKUP($B19,'[2]Analisys QBR By Machine Report'!$C$109:$BD$166,6,FALSE)</f>
        <v>120</v>
      </c>
      <c r="K19" s="13">
        <f ca="1">VLOOKUP($B19,'[2]Analisys QBR By Machine Report'!$C$109:$BD$166,7,FALSE)</f>
        <v>0</v>
      </c>
      <c r="L19" s="13">
        <f ca="1">VLOOKUP($B19,'[2]Analisys QBR By Machine Report'!$C$109:$BD$166,8,FALSE)</f>
        <v>14325</v>
      </c>
      <c r="M19" s="13">
        <f ca="1">VLOOKUP($B19,'[2]Analisys QBR By Machine Report'!$C$109:$BD$166,9,FALSE)</f>
        <v>4005</v>
      </c>
      <c r="N19" s="13">
        <f ca="1">VLOOKUP($B19,[2]Dasboard_QBR_Report!$B$109:$BL$166,18,FALSE)</f>
        <v>10320</v>
      </c>
      <c r="O19" s="13">
        <f ca="1">VLOOKUP($B19,'[2]Analisys QBR By Machine Report'!$C$109:$BD$166,10,FALSE)</f>
        <v>3410</v>
      </c>
      <c r="P19" s="13">
        <f ca="1">VLOOKUP($B19,'[2]Analisys QBR By Machine Report'!$C$109:$BD$166,11,FALSE)</f>
        <v>1890</v>
      </c>
      <c r="Q19" s="13">
        <f ca="1">VLOOKUP($B19,'[2]Analisys QBR By Machine Report'!$C$109:$BD$166,12,FALSE)</f>
        <v>0</v>
      </c>
      <c r="R19" s="13">
        <f ca="1">VLOOKUP($B19,'[2]Analisys QBR By Machine Report'!$C$109:$BD$166,13,FALSE)</f>
        <v>1520</v>
      </c>
      <c r="S19" s="13">
        <f ca="1">VLOOKUP($B19,'[2]Analisys QBR By Machine Report'!$C$109:$BD$166,14,FALSE)</f>
        <v>0</v>
      </c>
      <c r="T19" s="13">
        <f ca="1">VLOOKUP($B19,'[2]Analisys QBR By Machine Report'!$C$109:$BD$166,15,FALSE)</f>
        <v>95</v>
      </c>
      <c r="U19" s="13">
        <f ca="1">VLOOKUP($B19,'[2]Analisys QBR By Machine Report'!$C$109:$BD$166,16,FALSE)</f>
        <v>95</v>
      </c>
      <c r="V19" s="13">
        <f ca="1">VLOOKUP($B19,'[2]Analisys QBR By Machine Report'!$C$109:$BD$166,17,FALSE)</f>
        <v>0</v>
      </c>
      <c r="W19" s="13">
        <f ca="1">VLOOKUP($B19,'[2]Analisys QBR By Machine Report'!$C$109:$BD$166,18,FALSE)</f>
        <v>0</v>
      </c>
      <c r="X19" s="13">
        <f ca="1">VLOOKUP($B19,'[2]Analisys QBR By Machine Report'!$C$109:$BD$166,19,FALSE)</f>
        <v>0</v>
      </c>
      <c r="Y19" s="13">
        <f ca="1">VLOOKUP($B19,'[2]Analisys QBR By Machine Report'!$C$109:$BD$166,20,FALSE)</f>
        <v>0</v>
      </c>
      <c r="Z19" s="13">
        <f ca="1">VLOOKUP($B19,'[2]Analisys QBR By Machine Report'!$C$109:$BD$166,21,FALSE)</f>
        <v>3215</v>
      </c>
      <c r="AA19" s="13">
        <f ca="1">VLOOKUP($B19,'[2]Analisys QBR By Machine Report'!$C$109:$BD$166,22,FALSE)</f>
        <v>1775</v>
      </c>
      <c r="AB19" s="13">
        <f ca="1">VLOOKUP($B19,'[2]Analisys QBR By Machine Report'!$C$109:$BD$166,23,FALSE)</f>
        <v>495</v>
      </c>
      <c r="AC19" s="13">
        <f ca="1">VLOOKUP($B19,'[2]Analisys QBR By Machine Report'!$C$109:$BD$166,24,FALSE)</f>
        <v>690</v>
      </c>
      <c r="AD19" s="13">
        <f ca="1">VLOOKUP($B19,'[2]Analisys QBR By Machine Report'!$C$109:$BD$166,25,FALSE)</f>
        <v>0</v>
      </c>
      <c r="AE19" s="13">
        <f ca="1">VLOOKUP($B19,'[2]Analisys QBR By Machine Report'!$C$109:$BD$166,26,FALSE)</f>
        <v>255</v>
      </c>
      <c r="AF19" s="13">
        <f ca="1">VLOOKUP($B19,'[2]Analisys QBR By Machine Report'!$C$109:$BD$166,27,FALSE)</f>
        <v>390</v>
      </c>
      <c r="AG19" s="13">
        <f ca="1">VLOOKUP($B19,'[2]Analisys QBR By Machine Report'!$C$109:$BD$166,28,FALSE)</f>
        <v>0</v>
      </c>
      <c r="AH19" s="13">
        <f ca="1">VLOOKUP($B19,'[2]Analisys QBR By Machine Report'!$C$109:$BD$166,29,FALSE)</f>
        <v>390</v>
      </c>
      <c r="AI19" s="13">
        <f ca="1">VLOOKUP($B19,'[2]Analisys QBR By Machine Report'!$C$109:$BD$166,30,FALSE)</f>
        <v>3210</v>
      </c>
      <c r="AJ19" s="13">
        <f ca="1">VLOOKUP($B19,'[2]Analisys QBR By Machine Report'!$C$109:$BD$166,31,FALSE)</f>
        <v>0</v>
      </c>
      <c r="AK19" s="13">
        <f ca="1">VLOOKUP($B19,'[2]Analisys QBR By Machine Report'!$C$109:$BD$166,32,FALSE)</f>
        <v>0</v>
      </c>
      <c r="AL19" s="13">
        <f ca="1">VLOOKUP($B19,'[2]Analisys QBR By Machine Report'!$C$109:$BD$166,33,FALSE)</f>
        <v>900</v>
      </c>
      <c r="AM19" s="13">
        <f ca="1">VLOOKUP($B19,'[2]Analisys QBR By Machine Report'!$C$109:$BD$166,34,FALSE)</f>
        <v>0</v>
      </c>
      <c r="AN19" s="13">
        <f ca="1">VLOOKUP($B19,'[2]Analisys QBR By Machine Report'!$C$109:$BD$166,35,FALSE)</f>
        <v>860</v>
      </c>
      <c r="AO19" s="13">
        <f ca="1">VLOOKUP($B19,'[2]Analisys QBR By Machine Report'!$C$109:$BD$166,36,FALSE)</f>
        <v>300</v>
      </c>
      <c r="AP19" s="13">
        <f ca="1">VLOOKUP($B19,'[2]Analisys QBR By Machine Report'!$C$109:$BD$166,37,FALSE)</f>
        <v>0</v>
      </c>
      <c r="AQ19" s="13">
        <f ca="1">VLOOKUP($B19,'[2]Analisys QBR By Machine Report'!$C$109:$BD$166,38,FALSE)</f>
        <v>0</v>
      </c>
      <c r="AR19" s="13">
        <f ca="1">VLOOKUP($B19,'[2]Analisys QBR By Machine Report'!$C$109:$BD$166,39,FALSE)</f>
        <v>0</v>
      </c>
      <c r="AS19" s="13">
        <f ca="1">VLOOKUP($B19,'[2]Analisys QBR By Machine Report'!$C$109:$BD$166,40,FALSE)</f>
        <v>510</v>
      </c>
      <c r="AT19" s="13">
        <f ca="1">VLOOKUP($B19,'[2]Analisys QBR By Machine Report'!$C$109:$BD$166,41,FALSE)</f>
        <v>0</v>
      </c>
      <c r="AU19" s="13">
        <f ca="1">VLOOKUP($B19,'[2]Analisys QBR By Machine Report'!$C$109:$BD$166,42,FALSE)</f>
        <v>0</v>
      </c>
      <c r="AV19" s="13">
        <f ca="1">VLOOKUP($B19,'[2]Analisys QBR By Machine Report'!$C$109:$BD$166,43,FALSE)</f>
        <v>0</v>
      </c>
      <c r="AW19" s="13">
        <f ca="1">VLOOKUP($B19,'[2]Analisys QBR By Machine Report'!$C$109:$BD$166,44,FALSE)</f>
        <v>0</v>
      </c>
      <c r="AX19" s="13">
        <f ca="1">VLOOKUP($B19,'[2]Analisys QBR By Machine Report'!$C$109:$BD$166,45,FALSE)</f>
        <v>0</v>
      </c>
      <c r="AY19" s="13">
        <f ca="1">VLOOKUP($B19,'[2]Analisys QBR By Machine Report'!$C$109:$BD$166,46,FALSE)</f>
        <v>0</v>
      </c>
      <c r="AZ19" s="13">
        <f ca="1">VLOOKUP($B19,'[2]Analisys QBR By Machine Report'!$C$109:$BD$166,47,FALSE)</f>
        <v>510</v>
      </c>
      <c r="BA19" s="13">
        <f ca="1">VLOOKUP($B19,'[2]Analisys QBR By Machine Report'!$C$109:$BD$166,48,FALSE)</f>
        <v>130</v>
      </c>
      <c r="BB19" s="13">
        <f ca="1">VLOOKUP($B19,'[2]Analisys QBR By Machine Report'!$C$109:$BD$166,49,FALSE)</f>
        <v>0</v>
      </c>
      <c r="BC19" s="13">
        <f ca="1">VLOOKUP($B19,'[2]Analisys QBR By Machine Report'!$C$109:$BD$166,50,FALSE)</f>
        <v>0</v>
      </c>
      <c r="BD19" s="13">
        <f ca="1">VLOOKUP($B19,'[2]Analisys QBR By Machine Report'!$C$109:$BD$166,51,FALSE)</f>
        <v>1954359</v>
      </c>
      <c r="BE19" s="13">
        <f ca="1">VLOOKUP($B19,'[2]Analisys QBR By Machine Report'!$C$109:$BD$166,52,FALSE)</f>
        <v>21253</v>
      </c>
      <c r="BF19" s="13">
        <f ca="1">VLOOKUP($B19,'[2]Analisys QBR By Machine Report'!$C$109:$BD$166,53,FALSE)</f>
        <v>1933106</v>
      </c>
    </row>
    <row r="20" spans="1:58" x14ac:dyDescent="0.25">
      <c r="A20" s="12" t="s">
        <v>76</v>
      </c>
      <c r="B20" s="13">
        <f ca="1">VLOOKUP($B20,'[2]Analisys QBR By Machine Report'!$C$109:$BD$166,2,FALSE)</f>
        <v>31680</v>
      </c>
      <c r="C20" s="14">
        <f ca="1">VLOOKUP($B20,[2]Dasboard_QBR_Report!$B$109:$BL$166,3,FALSE)</f>
        <v>10560</v>
      </c>
      <c r="D20" s="13">
        <f ca="1">VLOOKUP($B20,'[2]Analisys QBR By Machine Report'!$C$109:$BD$166,3,FALSE)</f>
        <v>25080</v>
      </c>
      <c r="E20" s="14">
        <f ca="1">VLOOKUP($B20,[2]Dasboard_QBR_Report!$B$109:$BL$166,5,FALSE)</f>
        <v>3960</v>
      </c>
      <c r="F20" s="13">
        <f t="shared" ca="1" si="0"/>
        <v>6600</v>
      </c>
      <c r="G20" s="13">
        <f t="shared" ca="1" si="1"/>
        <v>480</v>
      </c>
      <c r="H20" s="13">
        <f ca="1">VLOOKUP($B20,'[2]Analisys QBR By Machine Report'!$C$109:$BD$166,4,FALSE)</f>
        <v>480</v>
      </c>
      <c r="I20" s="13">
        <f ca="1">VLOOKUP($B20,'[2]Analisys QBR By Machine Report'!$C$109:$BD$166,5,FALSE)</f>
        <v>0</v>
      </c>
      <c r="J20" s="13">
        <f ca="1">VLOOKUP($B20,'[2]Analisys QBR By Machine Report'!$C$109:$BD$166,6,FALSE)</f>
        <v>480</v>
      </c>
      <c r="K20" s="13">
        <f ca="1">VLOOKUP($B20,'[2]Analisys QBR By Machine Report'!$C$109:$BD$166,7,FALSE)</f>
        <v>0</v>
      </c>
      <c r="L20" s="13">
        <f ca="1">VLOOKUP($B20,'[2]Analisys QBR By Machine Report'!$C$109:$BD$166,8,FALSE)</f>
        <v>6120</v>
      </c>
      <c r="M20" s="13">
        <f ca="1">VLOOKUP($B20,'[2]Analisys QBR By Machine Report'!$C$109:$BD$166,9,FALSE)</f>
        <v>2160</v>
      </c>
      <c r="N20" s="13">
        <f ca="1">VLOOKUP($B20,[2]Dasboard_QBR_Report!$B$109:$BL$166,18,FALSE)</f>
        <v>3960</v>
      </c>
      <c r="O20" s="13">
        <f ca="1">VLOOKUP($B20,'[2]Analisys QBR By Machine Report'!$C$109:$BD$166,10,FALSE)</f>
        <v>75</v>
      </c>
      <c r="P20" s="13">
        <f ca="1">VLOOKUP($B20,'[2]Analisys QBR By Machine Report'!$C$109:$BD$166,11,FALSE)</f>
        <v>75</v>
      </c>
      <c r="Q20" s="13">
        <f ca="1">VLOOKUP($B20,'[2]Analisys QBR By Machine Report'!$C$109:$BD$166,12,FALSE)</f>
        <v>0</v>
      </c>
      <c r="R20" s="13">
        <f ca="1">VLOOKUP($B20,'[2]Analisys QBR By Machine Report'!$C$109:$BD$166,13,FALSE)</f>
        <v>0</v>
      </c>
      <c r="S20" s="13">
        <f ca="1">VLOOKUP($B20,'[2]Analisys QBR By Machine Report'!$C$109:$BD$166,14,FALSE)</f>
        <v>0</v>
      </c>
      <c r="T20" s="13">
        <f ca="1">VLOOKUP($B20,'[2]Analisys QBR By Machine Report'!$C$109:$BD$166,15,FALSE)</f>
        <v>0</v>
      </c>
      <c r="U20" s="13">
        <f ca="1">VLOOKUP($B20,'[2]Analisys QBR By Machine Report'!$C$109:$BD$166,16,FALSE)</f>
        <v>0</v>
      </c>
      <c r="V20" s="13">
        <f ca="1">VLOOKUP($B20,'[2]Analisys QBR By Machine Report'!$C$109:$BD$166,17,FALSE)</f>
        <v>0</v>
      </c>
      <c r="W20" s="13">
        <f ca="1">VLOOKUP($B20,'[2]Analisys QBR By Machine Report'!$C$109:$BD$166,18,FALSE)</f>
        <v>0</v>
      </c>
      <c r="X20" s="13">
        <f ca="1">VLOOKUP($B20,'[2]Analisys QBR By Machine Report'!$C$109:$BD$166,19,FALSE)</f>
        <v>0</v>
      </c>
      <c r="Y20" s="13">
        <f ca="1">VLOOKUP($B20,'[2]Analisys QBR By Machine Report'!$C$109:$BD$166,20,FALSE)</f>
        <v>0</v>
      </c>
      <c r="Z20" s="13">
        <f ca="1">VLOOKUP($B20,'[2]Analisys QBR By Machine Report'!$C$109:$BD$166,21,FALSE)</f>
        <v>3160</v>
      </c>
      <c r="AA20" s="13">
        <f ca="1">VLOOKUP($B20,'[2]Analisys QBR By Machine Report'!$C$109:$BD$166,22,FALSE)</f>
        <v>2815</v>
      </c>
      <c r="AB20" s="13">
        <f ca="1">VLOOKUP($B20,'[2]Analisys QBR By Machine Report'!$C$109:$BD$166,23,FALSE)</f>
        <v>90</v>
      </c>
      <c r="AC20" s="13">
        <f ca="1">VLOOKUP($B20,'[2]Analisys QBR By Machine Report'!$C$109:$BD$166,24,FALSE)</f>
        <v>170</v>
      </c>
      <c r="AD20" s="13">
        <f ca="1">VLOOKUP($B20,'[2]Analisys QBR By Machine Report'!$C$109:$BD$166,25,FALSE)</f>
        <v>0</v>
      </c>
      <c r="AE20" s="13">
        <f ca="1">VLOOKUP($B20,'[2]Analisys QBR By Machine Report'!$C$109:$BD$166,26,FALSE)</f>
        <v>85</v>
      </c>
      <c r="AF20" s="13">
        <f ca="1">VLOOKUP($B20,'[2]Analisys QBR By Machine Report'!$C$109:$BD$166,27,FALSE)</f>
        <v>0</v>
      </c>
      <c r="AG20" s="13">
        <f ca="1">VLOOKUP($B20,'[2]Analisys QBR By Machine Report'!$C$109:$BD$166,28,FALSE)</f>
        <v>0</v>
      </c>
      <c r="AH20" s="13">
        <f ca="1">VLOOKUP($B20,'[2]Analisys QBR By Machine Report'!$C$109:$BD$166,29,FALSE)</f>
        <v>0</v>
      </c>
      <c r="AI20" s="13">
        <f ca="1">VLOOKUP($B20,'[2]Analisys QBR By Machine Report'!$C$109:$BD$166,30,FALSE)</f>
        <v>725</v>
      </c>
      <c r="AJ20" s="13">
        <f ca="1">VLOOKUP($B20,'[2]Analisys QBR By Machine Report'!$C$109:$BD$166,31,FALSE)</f>
        <v>0</v>
      </c>
      <c r="AK20" s="13">
        <f ca="1">VLOOKUP($B20,'[2]Analisys QBR By Machine Report'!$C$109:$BD$166,32,FALSE)</f>
        <v>0</v>
      </c>
      <c r="AL20" s="13">
        <f ca="1">VLOOKUP($B20,'[2]Analisys QBR By Machine Report'!$C$109:$BD$166,33,FALSE)</f>
        <v>240</v>
      </c>
      <c r="AM20" s="13">
        <f ca="1">VLOOKUP($B20,'[2]Analisys QBR By Machine Report'!$C$109:$BD$166,34,FALSE)</f>
        <v>0</v>
      </c>
      <c r="AN20" s="13">
        <f ca="1">VLOOKUP($B20,'[2]Analisys QBR By Machine Report'!$C$109:$BD$166,35,FALSE)</f>
        <v>130</v>
      </c>
      <c r="AO20" s="13">
        <f ca="1">VLOOKUP($B20,'[2]Analisys QBR By Machine Report'!$C$109:$BD$166,36,FALSE)</f>
        <v>165</v>
      </c>
      <c r="AP20" s="13">
        <f ca="1">VLOOKUP($B20,'[2]Analisys QBR By Machine Report'!$C$109:$BD$166,37,FALSE)</f>
        <v>0</v>
      </c>
      <c r="AQ20" s="13">
        <f ca="1">VLOOKUP($B20,'[2]Analisys QBR By Machine Report'!$C$109:$BD$166,38,FALSE)</f>
        <v>0</v>
      </c>
      <c r="AR20" s="13">
        <f ca="1">VLOOKUP($B20,'[2]Analisys QBR By Machine Report'!$C$109:$BD$166,39,FALSE)</f>
        <v>0</v>
      </c>
      <c r="AS20" s="13">
        <f ca="1">VLOOKUP($B20,'[2]Analisys QBR By Machine Report'!$C$109:$BD$166,40,FALSE)</f>
        <v>150</v>
      </c>
      <c r="AT20" s="13">
        <f ca="1">VLOOKUP($B20,'[2]Analisys QBR By Machine Report'!$C$109:$BD$166,41,FALSE)</f>
        <v>0</v>
      </c>
      <c r="AU20" s="13">
        <f ca="1">VLOOKUP($B20,'[2]Analisys QBR By Machine Report'!$C$109:$BD$166,42,FALSE)</f>
        <v>0</v>
      </c>
      <c r="AV20" s="13">
        <f ca="1">VLOOKUP($B20,'[2]Analisys QBR By Machine Report'!$C$109:$BD$166,43,FALSE)</f>
        <v>0</v>
      </c>
      <c r="AW20" s="13">
        <f ca="1">VLOOKUP($B20,'[2]Analisys QBR By Machine Report'!$C$109:$BD$166,44,FALSE)</f>
        <v>0</v>
      </c>
      <c r="AX20" s="13">
        <f ca="1">VLOOKUP($B20,'[2]Analisys QBR By Machine Report'!$C$109:$BD$166,45,FALSE)</f>
        <v>0</v>
      </c>
      <c r="AY20" s="13">
        <f ca="1">VLOOKUP($B20,'[2]Analisys QBR By Machine Report'!$C$109:$BD$166,46,FALSE)</f>
        <v>0</v>
      </c>
      <c r="AZ20" s="13">
        <f ca="1">VLOOKUP($B20,'[2]Analisys QBR By Machine Report'!$C$109:$BD$166,47,FALSE)</f>
        <v>40</v>
      </c>
      <c r="BA20" s="13">
        <f ca="1">VLOOKUP($B20,'[2]Analisys QBR By Machine Report'!$C$109:$BD$166,48,FALSE)</f>
        <v>0</v>
      </c>
      <c r="BB20" s="13">
        <f ca="1">VLOOKUP($B20,'[2]Analisys QBR By Machine Report'!$C$109:$BD$166,49,FALSE)</f>
        <v>0</v>
      </c>
      <c r="BC20" s="13">
        <f ca="1">VLOOKUP($B20,'[2]Analisys QBR By Machine Report'!$C$109:$BD$166,50,FALSE)</f>
        <v>0</v>
      </c>
      <c r="BD20" s="13">
        <f ca="1">VLOOKUP($B20,'[2]Analisys QBR By Machine Report'!$C$109:$BD$166,51,FALSE)</f>
        <v>17611</v>
      </c>
      <c r="BE20" s="13">
        <f ca="1">VLOOKUP($B20,'[2]Analisys QBR By Machine Report'!$C$109:$BD$166,52,FALSE)</f>
        <v>45</v>
      </c>
      <c r="BF20" s="13">
        <f ca="1">VLOOKUP($B20,'[2]Analisys QBR By Machine Report'!$C$109:$BD$166,53,FALSE)</f>
        <v>17566</v>
      </c>
    </row>
    <row r="21" spans="1:58" x14ac:dyDescent="0.25">
      <c r="A21" s="12" t="s">
        <v>77</v>
      </c>
      <c r="B21" s="13">
        <f ca="1">VLOOKUP($B21,'[2]Analisys QBR By Machine Report'!$C$109:$BD$166,2,FALSE)</f>
        <v>30240</v>
      </c>
      <c r="C21" s="14">
        <f ca="1">VLOOKUP($B21,[2]Dasboard_QBR_Report!$B$109:$BL$166,3,FALSE)</f>
        <v>10080</v>
      </c>
      <c r="D21" s="13">
        <f ca="1">VLOOKUP($B21,'[2]Analisys QBR By Machine Report'!$C$109:$BD$166,3,FALSE)</f>
        <v>18930</v>
      </c>
      <c r="E21" s="14">
        <f ca="1">VLOOKUP($B21,[2]Dasboard_QBR_Report!$B$109:$BL$166,5,FALSE)</f>
        <v>-1230</v>
      </c>
      <c r="F21" s="13">
        <f t="shared" ca="1" si="0"/>
        <v>11310</v>
      </c>
      <c r="G21" s="13">
        <f t="shared" ca="1" si="1"/>
        <v>1170</v>
      </c>
      <c r="H21" s="13">
        <f ca="1">VLOOKUP($B21,'[2]Analisys QBR By Machine Report'!$C$109:$BD$166,4,FALSE)</f>
        <v>1170</v>
      </c>
      <c r="I21" s="13">
        <f ca="1">VLOOKUP($B21,'[2]Analisys QBR By Machine Report'!$C$109:$BD$166,5,FALSE)</f>
        <v>195</v>
      </c>
      <c r="J21" s="13">
        <f ca="1">VLOOKUP($B21,'[2]Analisys QBR By Machine Report'!$C$109:$BD$166,6,FALSE)</f>
        <v>975</v>
      </c>
      <c r="K21" s="13">
        <f ca="1">VLOOKUP($B21,'[2]Analisys QBR By Machine Report'!$C$109:$BD$166,7,FALSE)</f>
        <v>0</v>
      </c>
      <c r="L21" s="13">
        <f ca="1">VLOOKUP($B21,'[2]Analisys QBR By Machine Report'!$C$109:$BD$166,8,FALSE)</f>
        <v>10140</v>
      </c>
      <c r="M21" s="13">
        <f ca="1">VLOOKUP($B21,'[2]Analisys QBR By Machine Report'!$C$109:$BD$166,9,FALSE)</f>
        <v>3010</v>
      </c>
      <c r="N21" s="13">
        <f ca="1">VLOOKUP($B21,[2]Dasboard_QBR_Report!$B$109:$BL$166,18,FALSE)</f>
        <v>7130</v>
      </c>
      <c r="O21" s="13">
        <f ca="1">VLOOKUP($B21,'[2]Analisys QBR By Machine Report'!$C$109:$BD$166,10,FALSE)</f>
        <v>1360</v>
      </c>
      <c r="P21" s="13">
        <f ca="1">VLOOKUP($B21,'[2]Analisys QBR By Machine Report'!$C$109:$BD$166,11,FALSE)</f>
        <v>680</v>
      </c>
      <c r="Q21" s="13">
        <f ca="1">VLOOKUP($B21,'[2]Analisys QBR By Machine Report'!$C$109:$BD$166,12,FALSE)</f>
        <v>0</v>
      </c>
      <c r="R21" s="13">
        <f ca="1">VLOOKUP($B21,'[2]Analisys QBR By Machine Report'!$C$109:$BD$166,13,FALSE)</f>
        <v>680</v>
      </c>
      <c r="S21" s="13">
        <f ca="1">VLOOKUP($B21,'[2]Analisys QBR By Machine Report'!$C$109:$BD$166,14,FALSE)</f>
        <v>0</v>
      </c>
      <c r="T21" s="13">
        <f ca="1">VLOOKUP($B21,'[2]Analisys QBR By Machine Report'!$C$109:$BD$166,15,FALSE)</f>
        <v>0</v>
      </c>
      <c r="U21" s="13">
        <f ca="1">VLOOKUP($B21,'[2]Analisys QBR By Machine Report'!$C$109:$BD$166,16,FALSE)</f>
        <v>0</v>
      </c>
      <c r="V21" s="13">
        <f ca="1">VLOOKUP($B21,'[2]Analisys QBR By Machine Report'!$C$109:$BD$166,17,FALSE)</f>
        <v>0</v>
      </c>
      <c r="W21" s="13">
        <f ca="1">VLOOKUP($B21,'[2]Analisys QBR By Machine Report'!$C$109:$BD$166,18,FALSE)</f>
        <v>0</v>
      </c>
      <c r="X21" s="13">
        <f ca="1">VLOOKUP($B21,'[2]Analisys QBR By Machine Report'!$C$109:$BD$166,19,FALSE)</f>
        <v>0</v>
      </c>
      <c r="Y21" s="13">
        <f ca="1">VLOOKUP($B21,'[2]Analisys QBR By Machine Report'!$C$109:$BD$166,20,FALSE)</f>
        <v>0</v>
      </c>
      <c r="Z21" s="13">
        <f ca="1">VLOOKUP($B21,'[2]Analisys QBR By Machine Report'!$C$109:$BD$166,21,FALSE)</f>
        <v>2517</v>
      </c>
      <c r="AA21" s="13">
        <f ca="1">VLOOKUP($B21,'[2]Analisys QBR By Machine Report'!$C$109:$BD$166,22,FALSE)</f>
        <v>1497</v>
      </c>
      <c r="AB21" s="13">
        <f ca="1">VLOOKUP($B21,'[2]Analisys QBR By Machine Report'!$C$109:$BD$166,23,FALSE)</f>
        <v>410</v>
      </c>
      <c r="AC21" s="13">
        <f ca="1">VLOOKUP($B21,'[2]Analisys QBR By Machine Report'!$C$109:$BD$166,24,FALSE)</f>
        <v>430</v>
      </c>
      <c r="AD21" s="13">
        <f ca="1">VLOOKUP($B21,'[2]Analisys QBR By Machine Report'!$C$109:$BD$166,25,FALSE)</f>
        <v>0</v>
      </c>
      <c r="AE21" s="13">
        <f ca="1">VLOOKUP($B21,'[2]Analisys QBR By Machine Report'!$C$109:$BD$166,26,FALSE)</f>
        <v>180</v>
      </c>
      <c r="AF21" s="13">
        <f ca="1">VLOOKUP($B21,'[2]Analisys QBR By Machine Report'!$C$109:$BD$166,27,FALSE)</f>
        <v>790</v>
      </c>
      <c r="AG21" s="13">
        <f ca="1">VLOOKUP($B21,'[2]Analisys QBR By Machine Report'!$C$109:$BD$166,28,FALSE)</f>
        <v>0</v>
      </c>
      <c r="AH21" s="13">
        <f ca="1">VLOOKUP($B21,'[2]Analisys QBR By Machine Report'!$C$109:$BD$166,29,FALSE)</f>
        <v>790</v>
      </c>
      <c r="AI21" s="13">
        <f ca="1">VLOOKUP($B21,'[2]Analisys QBR By Machine Report'!$C$109:$BD$166,30,FALSE)</f>
        <v>2463</v>
      </c>
      <c r="AJ21" s="13">
        <f ca="1">VLOOKUP($B21,'[2]Analisys QBR By Machine Report'!$C$109:$BD$166,31,FALSE)</f>
        <v>0</v>
      </c>
      <c r="AK21" s="13">
        <f ca="1">VLOOKUP($B21,'[2]Analisys QBR By Machine Report'!$C$109:$BD$166,32,FALSE)</f>
        <v>0</v>
      </c>
      <c r="AL21" s="13">
        <f ca="1">VLOOKUP($B21,'[2]Analisys QBR By Machine Report'!$C$109:$BD$166,33,FALSE)</f>
        <v>545</v>
      </c>
      <c r="AM21" s="13">
        <f ca="1">VLOOKUP($B21,'[2]Analisys QBR By Machine Report'!$C$109:$BD$166,34,FALSE)</f>
        <v>0</v>
      </c>
      <c r="AN21" s="13">
        <f ca="1">VLOOKUP($B21,'[2]Analisys QBR By Machine Report'!$C$109:$BD$166,35,FALSE)</f>
        <v>575</v>
      </c>
      <c r="AO21" s="13">
        <f ca="1">VLOOKUP($B21,'[2]Analisys QBR By Machine Report'!$C$109:$BD$166,36,FALSE)</f>
        <v>788</v>
      </c>
      <c r="AP21" s="13">
        <f ca="1">VLOOKUP($B21,'[2]Analisys QBR By Machine Report'!$C$109:$BD$166,37,FALSE)</f>
        <v>0</v>
      </c>
      <c r="AQ21" s="13">
        <f ca="1">VLOOKUP($B21,'[2]Analisys QBR By Machine Report'!$C$109:$BD$166,38,FALSE)</f>
        <v>0</v>
      </c>
      <c r="AR21" s="13">
        <f ca="1">VLOOKUP($B21,'[2]Analisys QBR By Machine Report'!$C$109:$BD$166,39,FALSE)</f>
        <v>0</v>
      </c>
      <c r="AS21" s="13">
        <f ca="1">VLOOKUP($B21,'[2]Analisys QBR By Machine Report'!$C$109:$BD$166,40,FALSE)</f>
        <v>230</v>
      </c>
      <c r="AT21" s="13">
        <f ca="1">VLOOKUP($B21,'[2]Analisys QBR By Machine Report'!$C$109:$BD$166,41,FALSE)</f>
        <v>0</v>
      </c>
      <c r="AU21" s="13">
        <f ca="1">VLOOKUP($B21,'[2]Analisys QBR By Machine Report'!$C$109:$BD$166,42,FALSE)</f>
        <v>0</v>
      </c>
      <c r="AV21" s="13">
        <f ca="1">VLOOKUP($B21,'[2]Analisys QBR By Machine Report'!$C$109:$BD$166,43,FALSE)</f>
        <v>0</v>
      </c>
      <c r="AW21" s="13">
        <f ca="1">VLOOKUP($B21,'[2]Analisys QBR By Machine Report'!$C$109:$BD$166,44,FALSE)</f>
        <v>0</v>
      </c>
      <c r="AX21" s="13">
        <f ca="1">VLOOKUP($B21,'[2]Analisys QBR By Machine Report'!$C$109:$BD$166,45,FALSE)</f>
        <v>0</v>
      </c>
      <c r="AY21" s="13">
        <f ca="1">VLOOKUP($B21,'[2]Analisys QBR By Machine Report'!$C$109:$BD$166,46,FALSE)</f>
        <v>0</v>
      </c>
      <c r="AZ21" s="13">
        <f ca="1">VLOOKUP($B21,'[2]Analisys QBR By Machine Report'!$C$109:$BD$166,47,FALSE)</f>
        <v>325</v>
      </c>
      <c r="BA21" s="13">
        <f ca="1">VLOOKUP($B21,'[2]Analisys QBR By Machine Report'!$C$109:$BD$166,48,FALSE)</f>
        <v>0</v>
      </c>
      <c r="BB21" s="13">
        <f ca="1">VLOOKUP($B21,'[2]Analisys QBR By Machine Report'!$C$109:$BD$166,49,FALSE)</f>
        <v>0</v>
      </c>
      <c r="BC21" s="13">
        <f ca="1">VLOOKUP($B21,'[2]Analisys QBR By Machine Report'!$C$109:$BD$166,50,FALSE)</f>
        <v>0</v>
      </c>
      <c r="BD21" s="13">
        <f ca="1">VLOOKUP($B21,'[2]Analisys QBR By Machine Report'!$C$109:$BD$166,51,FALSE)</f>
        <v>1046325</v>
      </c>
      <c r="BE21" s="13">
        <f ca="1">VLOOKUP($B21,'[2]Analisys QBR By Machine Report'!$C$109:$BD$166,52,FALSE)</f>
        <v>7025</v>
      </c>
      <c r="BF21" s="13">
        <f ca="1">VLOOKUP($B21,'[2]Analisys QBR By Machine Report'!$C$109:$BD$166,53,FALSE)</f>
        <v>1039300</v>
      </c>
    </row>
    <row r="22" spans="1:58" x14ac:dyDescent="0.25">
      <c r="A22" s="9" t="s">
        <v>78</v>
      </c>
      <c r="B22" s="10">
        <f ca="1">VLOOKUP($B22,'[2]Analisys QBR By Machine Report'!$C$109:$BD$166,2,FALSE)</f>
        <v>30240</v>
      </c>
      <c r="C22" s="11">
        <f ca="1">VLOOKUP($B22,[2]Dasboard_QBR_Report!$B$109:$BL$166,3,FALSE)</f>
        <v>19530</v>
      </c>
      <c r="D22" s="10">
        <f ca="1">VLOOKUP($B22,'[2]Analisys QBR By Machine Report'!$C$109:$BD$166,3,FALSE)</f>
        <v>23820</v>
      </c>
      <c r="E22" s="11">
        <f ca="1">VLOOKUP($B22,[2]Dasboard_QBR_Report!$B$109:$BL$166,5,FALSE)</f>
        <v>13110</v>
      </c>
      <c r="F22" s="10">
        <f t="shared" ca="1" si="0"/>
        <v>6420</v>
      </c>
      <c r="G22" s="10">
        <f t="shared" ca="1" si="1"/>
        <v>774</v>
      </c>
      <c r="H22" s="10">
        <f ca="1">VLOOKUP($B22,'[2]Analisys QBR By Machine Report'!$C$109:$BD$166,4,FALSE)</f>
        <v>774</v>
      </c>
      <c r="I22" s="10">
        <f ca="1">VLOOKUP($B22,'[2]Analisys QBR By Machine Report'!$C$109:$BD$166,5,FALSE)</f>
        <v>45</v>
      </c>
      <c r="J22" s="10">
        <f ca="1">VLOOKUP($B22,'[2]Analisys QBR By Machine Report'!$C$109:$BD$166,6,FALSE)</f>
        <v>729</v>
      </c>
      <c r="K22" s="10">
        <f ca="1">VLOOKUP($B22,'[2]Analisys QBR By Machine Report'!$C$109:$BD$166,7,FALSE)</f>
        <v>0</v>
      </c>
      <c r="L22" s="10">
        <f ca="1">VLOOKUP($B22,'[2]Analisys QBR By Machine Report'!$C$109:$BD$166,8,FALSE)</f>
        <v>5646</v>
      </c>
      <c r="M22" s="10">
        <f ca="1">VLOOKUP($B22,'[2]Analisys QBR By Machine Report'!$C$109:$BD$166,9,FALSE)</f>
        <v>2352</v>
      </c>
      <c r="N22" s="10">
        <f ca="1">VLOOKUP($B22,[2]Dasboard_QBR_Report!$B$109:$BL$166,18,FALSE)</f>
        <v>3294</v>
      </c>
      <c r="O22" s="10">
        <f ca="1">VLOOKUP($B22,'[2]Analisys QBR By Machine Report'!$C$109:$BD$166,10,FALSE)</f>
        <v>184</v>
      </c>
      <c r="P22" s="10">
        <f ca="1">VLOOKUP($B22,'[2]Analisys QBR By Machine Report'!$C$109:$BD$166,11,FALSE)</f>
        <v>184</v>
      </c>
      <c r="Q22" s="10">
        <f ca="1">VLOOKUP($B22,'[2]Analisys QBR By Machine Report'!$C$109:$BD$166,12,FALSE)</f>
        <v>0</v>
      </c>
      <c r="R22" s="10">
        <f ca="1">VLOOKUP($B22,'[2]Analisys QBR By Machine Report'!$C$109:$BD$166,13,FALSE)</f>
        <v>0</v>
      </c>
      <c r="S22" s="10">
        <f ca="1">VLOOKUP($B22,'[2]Analisys QBR By Machine Report'!$C$109:$BD$166,14,FALSE)</f>
        <v>0</v>
      </c>
      <c r="T22" s="10">
        <f ca="1">VLOOKUP($B22,'[2]Analisys QBR By Machine Report'!$C$109:$BD$166,15,FALSE)</f>
        <v>60</v>
      </c>
      <c r="U22" s="10">
        <f ca="1">VLOOKUP($B22,'[2]Analisys QBR By Machine Report'!$C$109:$BD$166,16,FALSE)</f>
        <v>60</v>
      </c>
      <c r="V22" s="10">
        <f ca="1">VLOOKUP($B22,'[2]Analisys QBR By Machine Report'!$C$109:$BD$166,17,FALSE)</f>
        <v>0</v>
      </c>
      <c r="W22" s="10">
        <f ca="1">VLOOKUP($B22,'[2]Analisys QBR By Machine Report'!$C$109:$BD$166,18,FALSE)</f>
        <v>0</v>
      </c>
      <c r="X22" s="10">
        <f ca="1">VLOOKUP($B22,'[2]Analisys QBR By Machine Report'!$C$109:$BD$166,19,FALSE)</f>
        <v>0</v>
      </c>
      <c r="Y22" s="10">
        <f ca="1">VLOOKUP($B22,'[2]Analisys QBR By Machine Report'!$C$109:$BD$166,20,FALSE)</f>
        <v>0</v>
      </c>
      <c r="Z22" s="10">
        <f ca="1">VLOOKUP($B22,'[2]Analisys QBR By Machine Report'!$C$109:$BD$166,21,FALSE)</f>
        <v>2031</v>
      </c>
      <c r="AA22" s="10">
        <f ca="1">VLOOKUP($B22,'[2]Analisys QBR By Machine Report'!$C$109:$BD$166,22,FALSE)</f>
        <v>163</v>
      </c>
      <c r="AB22" s="10">
        <f ca="1">VLOOKUP($B22,'[2]Analisys QBR By Machine Report'!$C$109:$BD$166,23,FALSE)</f>
        <v>1868</v>
      </c>
      <c r="AC22" s="10">
        <f ca="1">VLOOKUP($B22,'[2]Analisys QBR By Machine Report'!$C$109:$BD$166,24,FALSE)</f>
        <v>0</v>
      </c>
      <c r="AD22" s="10">
        <f ca="1">VLOOKUP($B22,'[2]Analisys QBR By Machine Report'!$C$109:$BD$166,25,FALSE)</f>
        <v>0</v>
      </c>
      <c r="AE22" s="10">
        <f ca="1">VLOOKUP($B22,'[2]Analisys QBR By Machine Report'!$C$109:$BD$166,26,FALSE)</f>
        <v>0</v>
      </c>
      <c r="AF22" s="10">
        <f ca="1">VLOOKUP($B22,'[2]Analisys QBR By Machine Report'!$C$109:$BD$166,27,FALSE)</f>
        <v>0</v>
      </c>
      <c r="AG22" s="10">
        <f ca="1">VLOOKUP($B22,'[2]Analisys QBR By Machine Report'!$C$109:$BD$166,28,FALSE)</f>
        <v>0</v>
      </c>
      <c r="AH22" s="10">
        <f ca="1">VLOOKUP($B22,'[2]Analisys QBR By Machine Report'!$C$109:$BD$166,29,FALSE)</f>
        <v>0</v>
      </c>
      <c r="AI22" s="10">
        <f ca="1">VLOOKUP($B22,'[2]Analisys QBR By Machine Report'!$C$109:$BD$166,30,FALSE)</f>
        <v>1019</v>
      </c>
      <c r="AJ22" s="10">
        <f ca="1">VLOOKUP($B22,'[2]Analisys QBR By Machine Report'!$C$109:$BD$166,31,FALSE)</f>
        <v>105</v>
      </c>
      <c r="AK22" s="10">
        <f ca="1">VLOOKUP($B22,'[2]Analisys QBR By Machine Report'!$C$109:$BD$166,32,FALSE)</f>
        <v>0</v>
      </c>
      <c r="AL22" s="10">
        <f ca="1">VLOOKUP($B22,'[2]Analisys QBR By Machine Report'!$C$109:$BD$166,33,FALSE)</f>
        <v>165</v>
      </c>
      <c r="AM22" s="10">
        <f ca="1">VLOOKUP($B22,'[2]Analisys QBR By Machine Report'!$C$109:$BD$166,34,FALSE)</f>
        <v>0</v>
      </c>
      <c r="AN22" s="10">
        <f ca="1">VLOOKUP($B22,'[2]Analisys QBR By Machine Report'!$C$109:$BD$166,35,FALSE)</f>
        <v>121</v>
      </c>
      <c r="AO22" s="10">
        <f ca="1">VLOOKUP($B22,'[2]Analisys QBR By Machine Report'!$C$109:$BD$166,36,FALSE)</f>
        <v>0</v>
      </c>
      <c r="AP22" s="10">
        <f ca="1">VLOOKUP($B22,'[2]Analisys QBR By Machine Report'!$C$109:$BD$166,37,FALSE)</f>
        <v>0</v>
      </c>
      <c r="AQ22" s="10">
        <f ca="1">VLOOKUP($B22,'[2]Analisys QBR By Machine Report'!$C$109:$BD$166,38,FALSE)</f>
        <v>0</v>
      </c>
      <c r="AR22" s="10">
        <f ca="1">VLOOKUP($B22,'[2]Analisys QBR By Machine Report'!$C$109:$BD$166,39,FALSE)</f>
        <v>0</v>
      </c>
      <c r="AS22" s="10">
        <f ca="1">VLOOKUP($B22,'[2]Analisys QBR By Machine Report'!$C$109:$BD$166,40,FALSE)</f>
        <v>0</v>
      </c>
      <c r="AT22" s="10">
        <f ca="1">VLOOKUP($B22,'[2]Analisys QBR By Machine Report'!$C$109:$BD$166,41,FALSE)</f>
        <v>0</v>
      </c>
      <c r="AU22" s="10">
        <f ca="1">VLOOKUP($B22,'[2]Analisys QBR By Machine Report'!$C$109:$BD$166,42,FALSE)</f>
        <v>0</v>
      </c>
      <c r="AV22" s="10">
        <f ca="1">VLOOKUP($B22,'[2]Analisys QBR By Machine Report'!$C$109:$BD$166,43,FALSE)</f>
        <v>238</v>
      </c>
      <c r="AW22" s="10">
        <f ca="1">VLOOKUP($B22,'[2]Analisys QBR By Machine Report'!$C$109:$BD$166,44,FALSE)</f>
        <v>0</v>
      </c>
      <c r="AX22" s="10">
        <f ca="1">VLOOKUP($B22,'[2]Analisys QBR By Machine Report'!$C$109:$BD$166,45,FALSE)</f>
        <v>0</v>
      </c>
      <c r="AY22" s="10">
        <f ca="1">VLOOKUP($B22,'[2]Analisys QBR By Machine Report'!$C$109:$BD$166,46,FALSE)</f>
        <v>0</v>
      </c>
      <c r="AZ22" s="10">
        <f ca="1">VLOOKUP($B22,'[2]Analisys QBR By Machine Report'!$C$109:$BD$166,47,FALSE)</f>
        <v>15</v>
      </c>
      <c r="BA22" s="10">
        <f ca="1">VLOOKUP($B22,'[2]Analisys QBR By Machine Report'!$C$109:$BD$166,48,FALSE)</f>
        <v>375</v>
      </c>
      <c r="BB22" s="10">
        <f ca="1">VLOOKUP($B22,'[2]Analisys QBR By Machine Report'!$C$109:$BD$166,49,FALSE)</f>
        <v>0</v>
      </c>
      <c r="BC22" s="10">
        <f ca="1">VLOOKUP($B22,'[2]Analisys QBR By Machine Report'!$C$109:$BD$166,50,FALSE)</f>
        <v>0</v>
      </c>
      <c r="BD22" s="10">
        <f ca="1">VLOOKUP($B22,'[2]Analisys QBR By Machine Report'!$C$109:$BD$166,51,FALSE)</f>
        <v>8874.9</v>
      </c>
      <c r="BE22" s="10">
        <f ca="1">VLOOKUP($B22,'[2]Analisys QBR By Machine Report'!$C$109:$BD$166,52,FALSE)</f>
        <v>1.3</v>
      </c>
      <c r="BF22" s="10">
        <f ca="1">VLOOKUP($B22,'[2]Analisys QBR By Machine Report'!$C$109:$BD$166,53,FALSE)</f>
        <v>8873.6</v>
      </c>
    </row>
    <row r="23" spans="1:58" x14ac:dyDescent="0.25">
      <c r="A23" s="12" t="s">
        <v>79</v>
      </c>
      <c r="B23" s="13">
        <f ca="1">VLOOKUP($B23,'[2]Analisys QBR By Machine Report'!$C$109:$BD$166,2,FALSE)</f>
        <v>30240</v>
      </c>
      <c r="C23" s="14">
        <f ca="1">VLOOKUP($B23,[2]Dasboard_QBR_Report!$B$109:$BL$166,3,FALSE)</f>
        <v>19530</v>
      </c>
      <c r="D23" s="13">
        <f ca="1">VLOOKUP($B23,'[2]Analisys QBR By Machine Report'!$C$109:$BD$166,3,FALSE)</f>
        <v>23820</v>
      </c>
      <c r="E23" s="14">
        <f ca="1">VLOOKUP($B23,[2]Dasboard_QBR_Report!$B$109:$BL$166,5,FALSE)</f>
        <v>13110</v>
      </c>
      <c r="F23" s="13">
        <f t="shared" ca="1" si="0"/>
        <v>6420</v>
      </c>
      <c r="G23" s="13">
        <f t="shared" ca="1" si="1"/>
        <v>774</v>
      </c>
      <c r="H23" s="13">
        <f ca="1">VLOOKUP($B23,'[2]Analisys QBR By Machine Report'!$C$109:$BD$166,4,FALSE)</f>
        <v>774</v>
      </c>
      <c r="I23" s="13">
        <f ca="1">VLOOKUP($B23,'[2]Analisys QBR By Machine Report'!$C$109:$BD$166,5,FALSE)</f>
        <v>45</v>
      </c>
      <c r="J23" s="13">
        <f ca="1">VLOOKUP($B23,'[2]Analisys QBR By Machine Report'!$C$109:$BD$166,6,FALSE)</f>
        <v>729</v>
      </c>
      <c r="K23" s="13">
        <f ca="1">VLOOKUP($B23,'[2]Analisys QBR By Machine Report'!$C$109:$BD$166,7,FALSE)</f>
        <v>0</v>
      </c>
      <c r="L23" s="13">
        <f ca="1">VLOOKUP($B23,'[2]Analisys QBR By Machine Report'!$C$109:$BD$166,8,FALSE)</f>
        <v>5646</v>
      </c>
      <c r="M23" s="13">
        <f ca="1">VLOOKUP($B23,'[2]Analisys QBR By Machine Report'!$C$109:$BD$166,9,FALSE)</f>
        <v>2352</v>
      </c>
      <c r="N23" s="13">
        <f ca="1">VLOOKUP($B23,[2]Dasboard_QBR_Report!$B$109:$BL$166,18,FALSE)</f>
        <v>3294</v>
      </c>
      <c r="O23" s="13">
        <f ca="1">VLOOKUP($B23,'[2]Analisys QBR By Machine Report'!$C$109:$BD$166,10,FALSE)</f>
        <v>184</v>
      </c>
      <c r="P23" s="13">
        <f ca="1">VLOOKUP($B23,'[2]Analisys QBR By Machine Report'!$C$109:$BD$166,11,FALSE)</f>
        <v>184</v>
      </c>
      <c r="Q23" s="13">
        <f ca="1">VLOOKUP($B23,'[2]Analisys QBR By Machine Report'!$C$109:$BD$166,12,FALSE)</f>
        <v>0</v>
      </c>
      <c r="R23" s="13">
        <f ca="1">VLOOKUP($B23,'[2]Analisys QBR By Machine Report'!$C$109:$BD$166,13,FALSE)</f>
        <v>0</v>
      </c>
      <c r="S23" s="13">
        <f ca="1">VLOOKUP($B23,'[2]Analisys QBR By Machine Report'!$C$109:$BD$166,14,FALSE)</f>
        <v>0</v>
      </c>
      <c r="T23" s="13">
        <f ca="1">VLOOKUP($B23,'[2]Analisys QBR By Machine Report'!$C$109:$BD$166,15,FALSE)</f>
        <v>60</v>
      </c>
      <c r="U23" s="13">
        <f ca="1">VLOOKUP($B23,'[2]Analisys QBR By Machine Report'!$C$109:$BD$166,16,FALSE)</f>
        <v>60</v>
      </c>
      <c r="V23" s="13">
        <f ca="1">VLOOKUP($B23,'[2]Analisys QBR By Machine Report'!$C$109:$BD$166,17,FALSE)</f>
        <v>0</v>
      </c>
      <c r="W23" s="13">
        <f ca="1">VLOOKUP($B23,'[2]Analisys QBR By Machine Report'!$C$109:$BD$166,18,FALSE)</f>
        <v>0</v>
      </c>
      <c r="X23" s="13">
        <f ca="1">VLOOKUP($B23,'[2]Analisys QBR By Machine Report'!$C$109:$BD$166,19,FALSE)</f>
        <v>0</v>
      </c>
      <c r="Y23" s="13">
        <f ca="1">VLOOKUP($B23,'[2]Analisys QBR By Machine Report'!$C$109:$BD$166,20,FALSE)</f>
        <v>0</v>
      </c>
      <c r="Z23" s="13">
        <f ca="1">VLOOKUP($B23,'[2]Analisys QBR By Machine Report'!$C$109:$BD$166,21,FALSE)</f>
        <v>2031</v>
      </c>
      <c r="AA23" s="13">
        <f ca="1">VLOOKUP($B23,'[2]Analisys QBR By Machine Report'!$C$109:$BD$166,22,FALSE)</f>
        <v>163</v>
      </c>
      <c r="AB23" s="13">
        <f ca="1">VLOOKUP($B23,'[2]Analisys QBR By Machine Report'!$C$109:$BD$166,23,FALSE)</f>
        <v>1868</v>
      </c>
      <c r="AC23" s="13">
        <f ca="1">VLOOKUP($B23,'[2]Analisys QBR By Machine Report'!$C$109:$BD$166,24,FALSE)</f>
        <v>0</v>
      </c>
      <c r="AD23" s="13">
        <f ca="1">VLOOKUP($B23,'[2]Analisys QBR By Machine Report'!$C$109:$BD$166,25,FALSE)</f>
        <v>0</v>
      </c>
      <c r="AE23" s="13">
        <f ca="1">VLOOKUP($B23,'[2]Analisys QBR By Machine Report'!$C$109:$BD$166,26,FALSE)</f>
        <v>0</v>
      </c>
      <c r="AF23" s="13">
        <f ca="1">VLOOKUP($B23,'[2]Analisys QBR By Machine Report'!$C$109:$BD$166,27,FALSE)</f>
        <v>0</v>
      </c>
      <c r="AG23" s="13">
        <f ca="1">VLOOKUP($B23,'[2]Analisys QBR By Machine Report'!$C$109:$BD$166,28,FALSE)</f>
        <v>0</v>
      </c>
      <c r="AH23" s="13">
        <f ca="1">VLOOKUP($B23,'[2]Analisys QBR By Machine Report'!$C$109:$BD$166,29,FALSE)</f>
        <v>0</v>
      </c>
      <c r="AI23" s="13">
        <f ca="1">VLOOKUP($B23,'[2]Analisys QBR By Machine Report'!$C$109:$BD$166,30,FALSE)</f>
        <v>1019</v>
      </c>
      <c r="AJ23" s="13">
        <f ca="1">VLOOKUP($B23,'[2]Analisys QBR By Machine Report'!$C$109:$BD$166,31,FALSE)</f>
        <v>105</v>
      </c>
      <c r="AK23" s="13">
        <f ca="1">VLOOKUP($B23,'[2]Analisys QBR By Machine Report'!$C$109:$BD$166,32,FALSE)</f>
        <v>0</v>
      </c>
      <c r="AL23" s="13">
        <f ca="1">VLOOKUP($B23,'[2]Analisys QBR By Machine Report'!$C$109:$BD$166,33,FALSE)</f>
        <v>165</v>
      </c>
      <c r="AM23" s="13">
        <f ca="1">VLOOKUP($B23,'[2]Analisys QBR By Machine Report'!$C$109:$BD$166,34,FALSE)</f>
        <v>0</v>
      </c>
      <c r="AN23" s="13">
        <f ca="1">VLOOKUP($B23,'[2]Analisys QBR By Machine Report'!$C$109:$BD$166,35,FALSE)</f>
        <v>121</v>
      </c>
      <c r="AO23" s="13">
        <f ca="1">VLOOKUP($B23,'[2]Analisys QBR By Machine Report'!$C$109:$BD$166,36,FALSE)</f>
        <v>0</v>
      </c>
      <c r="AP23" s="13">
        <f ca="1">VLOOKUP($B23,'[2]Analisys QBR By Machine Report'!$C$109:$BD$166,37,FALSE)</f>
        <v>0</v>
      </c>
      <c r="AQ23" s="13">
        <f ca="1">VLOOKUP($B23,'[2]Analisys QBR By Machine Report'!$C$109:$BD$166,38,FALSE)</f>
        <v>0</v>
      </c>
      <c r="AR23" s="13">
        <f ca="1">VLOOKUP($B23,'[2]Analisys QBR By Machine Report'!$C$109:$BD$166,39,FALSE)</f>
        <v>0</v>
      </c>
      <c r="AS23" s="13">
        <f ca="1">VLOOKUP($B23,'[2]Analisys QBR By Machine Report'!$C$109:$BD$166,40,FALSE)</f>
        <v>0</v>
      </c>
      <c r="AT23" s="13">
        <f ca="1">VLOOKUP($B23,'[2]Analisys QBR By Machine Report'!$C$109:$BD$166,41,FALSE)</f>
        <v>0</v>
      </c>
      <c r="AU23" s="13">
        <f ca="1">VLOOKUP($B23,'[2]Analisys QBR By Machine Report'!$C$109:$BD$166,42,FALSE)</f>
        <v>0</v>
      </c>
      <c r="AV23" s="13">
        <f ca="1">VLOOKUP($B23,'[2]Analisys QBR By Machine Report'!$C$109:$BD$166,43,FALSE)</f>
        <v>238</v>
      </c>
      <c r="AW23" s="13">
        <f ca="1">VLOOKUP($B23,'[2]Analisys QBR By Machine Report'!$C$109:$BD$166,44,FALSE)</f>
        <v>0</v>
      </c>
      <c r="AX23" s="13">
        <f ca="1">VLOOKUP($B23,'[2]Analisys QBR By Machine Report'!$C$109:$BD$166,45,FALSE)</f>
        <v>0</v>
      </c>
      <c r="AY23" s="13">
        <f ca="1">VLOOKUP($B23,'[2]Analisys QBR By Machine Report'!$C$109:$BD$166,46,FALSE)</f>
        <v>0</v>
      </c>
      <c r="AZ23" s="13">
        <f ca="1">VLOOKUP($B23,'[2]Analisys QBR By Machine Report'!$C$109:$BD$166,47,FALSE)</f>
        <v>15</v>
      </c>
      <c r="BA23" s="13">
        <f ca="1">VLOOKUP($B23,'[2]Analisys QBR By Machine Report'!$C$109:$BD$166,48,FALSE)</f>
        <v>375</v>
      </c>
      <c r="BB23" s="13">
        <f ca="1">VLOOKUP($B23,'[2]Analisys QBR By Machine Report'!$C$109:$BD$166,49,FALSE)</f>
        <v>0</v>
      </c>
      <c r="BC23" s="13">
        <f ca="1">VLOOKUP($B23,'[2]Analisys QBR By Machine Report'!$C$109:$BD$166,50,FALSE)</f>
        <v>0</v>
      </c>
      <c r="BD23" s="13">
        <f ca="1">VLOOKUP($B23,'[2]Analisys QBR By Machine Report'!$C$109:$BD$166,51,FALSE)</f>
        <v>8874.9</v>
      </c>
      <c r="BE23" s="13">
        <f ca="1">VLOOKUP($B23,'[2]Analisys QBR By Machine Report'!$C$109:$BD$166,52,FALSE)</f>
        <v>1.3</v>
      </c>
      <c r="BF23" s="13">
        <f ca="1">VLOOKUP($B23,'[2]Analisys QBR By Machine Report'!$C$109:$BD$166,53,FALSE)</f>
        <v>8873.6</v>
      </c>
    </row>
    <row r="24" spans="1:58" x14ac:dyDescent="0.25">
      <c r="A24" s="9" t="s">
        <v>80</v>
      </c>
      <c r="B24" s="10">
        <f ca="1">VLOOKUP($B24,'[2]Analisys QBR By Machine Report'!$C$109:$BD$166,2,FALSE)</f>
        <v>60480</v>
      </c>
      <c r="C24" s="11">
        <f ca="1">VLOOKUP($B24,[2]Dasboard_QBR_Report!$B$109:$BL$166,3,FALSE)</f>
        <v>39060</v>
      </c>
      <c r="D24" s="10">
        <f ca="1">VLOOKUP($B24,'[2]Analisys QBR By Machine Report'!$C$109:$BD$166,3,FALSE)</f>
        <v>46140</v>
      </c>
      <c r="E24" s="11">
        <f ca="1">VLOOKUP($B24,[2]Dasboard_QBR_Report!$B$109:$BL$166,5,FALSE)</f>
        <v>24720</v>
      </c>
      <c r="F24" s="10">
        <f t="shared" ca="1" si="0"/>
        <v>14340</v>
      </c>
      <c r="G24" s="10">
        <f t="shared" ca="1" si="1"/>
        <v>2200</v>
      </c>
      <c r="H24" s="10">
        <f ca="1">VLOOKUP($B24,'[2]Analisys QBR By Machine Report'!$C$109:$BD$166,4,FALSE)</f>
        <v>1990</v>
      </c>
      <c r="I24" s="10">
        <f ca="1">VLOOKUP($B24,'[2]Analisys QBR By Machine Report'!$C$109:$BD$166,5,FALSE)</f>
        <v>330</v>
      </c>
      <c r="J24" s="10">
        <f ca="1">VLOOKUP($B24,'[2]Analisys QBR By Machine Report'!$C$109:$BD$166,6,FALSE)</f>
        <v>1660</v>
      </c>
      <c r="K24" s="10">
        <f ca="1">VLOOKUP($B24,'[2]Analisys QBR By Machine Report'!$C$109:$BD$166,7,FALSE)</f>
        <v>210</v>
      </c>
      <c r="L24" s="10">
        <f ca="1">VLOOKUP($B24,'[2]Analisys QBR By Machine Report'!$C$109:$BD$166,8,FALSE)</f>
        <v>12140</v>
      </c>
      <c r="M24" s="10">
        <f ca="1">VLOOKUP($B24,'[2]Analisys QBR By Machine Report'!$C$109:$BD$166,9,FALSE)</f>
        <v>3755</v>
      </c>
      <c r="N24" s="10">
        <f ca="1">VLOOKUP($B24,[2]Dasboard_QBR_Report!$B$109:$BL$166,18,FALSE)</f>
        <v>8385</v>
      </c>
      <c r="O24" s="10">
        <f ca="1">VLOOKUP($B24,'[2]Analisys QBR By Machine Report'!$C$109:$BD$166,10,FALSE)</f>
        <v>1065</v>
      </c>
      <c r="P24" s="10">
        <f ca="1">VLOOKUP($B24,'[2]Analisys QBR By Machine Report'!$C$109:$BD$166,11,FALSE)</f>
        <v>710</v>
      </c>
      <c r="Q24" s="10">
        <f ca="1">VLOOKUP($B24,'[2]Analisys QBR By Machine Report'!$C$109:$BD$166,12,FALSE)</f>
        <v>0</v>
      </c>
      <c r="R24" s="10">
        <f ca="1">VLOOKUP($B24,'[2]Analisys QBR By Machine Report'!$C$109:$BD$166,13,FALSE)</f>
        <v>145</v>
      </c>
      <c r="S24" s="10">
        <f ca="1">VLOOKUP($B24,'[2]Analisys QBR By Machine Report'!$C$109:$BD$166,14,FALSE)</f>
        <v>210</v>
      </c>
      <c r="T24" s="10">
        <f ca="1">VLOOKUP($B24,'[2]Analisys QBR By Machine Report'!$C$109:$BD$166,15,FALSE)</f>
        <v>650</v>
      </c>
      <c r="U24" s="10">
        <f ca="1">VLOOKUP($B24,'[2]Analisys QBR By Machine Report'!$C$109:$BD$166,16,FALSE)</f>
        <v>315</v>
      </c>
      <c r="V24" s="10">
        <f ca="1">VLOOKUP($B24,'[2]Analisys QBR By Machine Report'!$C$109:$BD$166,17,FALSE)</f>
        <v>220</v>
      </c>
      <c r="W24" s="10">
        <f ca="1">VLOOKUP($B24,'[2]Analisys QBR By Machine Report'!$C$109:$BD$166,18,FALSE)</f>
        <v>0</v>
      </c>
      <c r="X24" s="10">
        <f ca="1">VLOOKUP($B24,'[2]Analisys QBR By Machine Report'!$C$109:$BD$166,19,FALSE)</f>
        <v>115</v>
      </c>
      <c r="Y24" s="10">
        <f ca="1">VLOOKUP($B24,'[2]Analisys QBR By Machine Report'!$C$109:$BD$166,20,FALSE)</f>
        <v>0</v>
      </c>
      <c r="Z24" s="10">
        <f ca="1">VLOOKUP($B24,'[2]Analisys QBR By Machine Report'!$C$109:$BD$166,21,FALSE)</f>
        <v>4050</v>
      </c>
      <c r="AA24" s="10">
        <f ca="1">VLOOKUP($B24,'[2]Analisys QBR By Machine Report'!$C$109:$BD$166,22,FALSE)</f>
        <v>880</v>
      </c>
      <c r="AB24" s="10">
        <f ca="1">VLOOKUP($B24,'[2]Analisys QBR By Machine Report'!$C$109:$BD$166,23,FALSE)</f>
        <v>1850</v>
      </c>
      <c r="AC24" s="10">
        <f ca="1">VLOOKUP($B24,'[2]Analisys QBR By Machine Report'!$C$109:$BD$166,24,FALSE)</f>
        <v>0</v>
      </c>
      <c r="AD24" s="10">
        <f ca="1">VLOOKUP($B24,'[2]Analisys QBR By Machine Report'!$C$109:$BD$166,25,FALSE)</f>
        <v>10</v>
      </c>
      <c r="AE24" s="10">
        <f ca="1">VLOOKUP($B24,'[2]Analisys QBR By Machine Report'!$C$109:$BD$166,26,FALSE)</f>
        <v>1310</v>
      </c>
      <c r="AF24" s="10">
        <f ca="1">VLOOKUP($B24,'[2]Analisys QBR By Machine Report'!$C$109:$BD$166,27,FALSE)</f>
        <v>0</v>
      </c>
      <c r="AG24" s="10">
        <f ca="1">VLOOKUP($B24,'[2]Analisys QBR By Machine Report'!$C$109:$BD$166,28,FALSE)</f>
        <v>0</v>
      </c>
      <c r="AH24" s="10">
        <f ca="1">VLOOKUP($B24,'[2]Analisys QBR By Machine Report'!$C$109:$BD$166,29,FALSE)</f>
        <v>0</v>
      </c>
      <c r="AI24" s="10">
        <f ca="1">VLOOKUP($B24,'[2]Analisys QBR By Machine Report'!$C$109:$BD$166,30,FALSE)</f>
        <v>2620</v>
      </c>
      <c r="AJ24" s="10">
        <f ca="1">VLOOKUP($B24,'[2]Analisys QBR By Machine Report'!$C$109:$BD$166,31,FALSE)</f>
        <v>135</v>
      </c>
      <c r="AK24" s="10">
        <f ca="1">VLOOKUP($B24,'[2]Analisys QBR By Machine Report'!$C$109:$BD$166,32,FALSE)</f>
        <v>0</v>
      </c>
      <c r="AL24" s="10">
        <f ca="1">VLOOKUP($B24,'[2]Analisys QBR By Machine Report'!$C$109:$BD$166,33,FALSE)</f>
        <v>720</v>
      </c>
      <c r="AM24" s="10">
        <f ca="1">VLOOKUP($B24,'[2]Analisys QBR By Machine Report'!$C$109:$BD$166,34,FALSE)</f>
        <v>0</v>
      </c>
      <c r="AN24" s="10">
        <f ca="1">VLOOKUP($B24,'[2]Analisys QBR By Machine Report'!$C$109:$BD$166,35,FALSE)</f>
        <v>450</v>
      </c>
      <c r="AO24" s="10">
        <f ca="1">VLOOKUP($B24,'[2]Analisys QBR By Machine Report'!$C$109:$BD$166,36,FALSE)</f>
        <v>210</v>
      </c>
      <c r="AP24" s="10">
        <f ca="1">VLOOKUP($B24,'[2]Analisys QBR By Machine Report'!$C$109:$BD$166,37,FALSE)</f>
        <v>0</v>
      </c>
      <c r="AQ24" s="10">
        <f ca="1">VLOOKUP($B24,'[2]Analisys QBR By Machine Report'!$C$109:$BD$166,38,FALSE)</f>
        <v>0</v>
      </c>
      <c r="AR24" s="10">
        <f ca="1">VLOOKUP($B24,'[2]Analisys QBR By Machine Report'!$C$109:$BD$166,39,FALSE)</f>
        <v>1090</v>
      </c>
      <c r="AS24" s="10">
        <f ca="1">VLOOKUP($B24,'[2]Analisys QBR By Machine Report'!$C$109:$BD$166,40,FALSE)</f>
        <v>15</v>
      </c>
      <c r="AT24" s="10">
        <f ca="1">VLOOKUP($B24,'[2]Analisys QBR By Machine Report'!$C$109:$BD$166,41,FALSE)</f>
        <v>0</v>
      </c>
      <c r="AU24" s="10">
        <f ca="1">VLOOKUP($B24,'[2]Analisys QBR By Machine Report'!$C$109:$BD$166,42,FALSE)</f>
        <v>0</v>
      </c>
      <c r="AV24" s="10">
        <f ca="1">VLOOKUP($B24,'[2]Analisys QBR By Machine Report'!$C$109:$BD$166,43,FALSE)</f>
        <v>0</v>
      </c>
      <c r="AW24" s="10">
        <f ca="1">VLOOKUP($B24,'[2]Analisys QBR By Machine Report'!$C$109:$BD$166,44,FALSE)</f>
        <v>0</v>
      </c>
      <c r="AX24" s="10">
        <f ca="1">VLOOKUP($B24,'[2]Analisys QBR By Machine Report'!$C$109:$BD$166,45,FALSE)</f>
        <v>0</v>
      </c>
      <c r="AY24" s="10">
        <f ca="1">VLOOKUP($B24,'[2]Analisys QBR By Machine Report'!$C$109:$BD$166,46,FALSE)</f>
        <v>0</v>
      </c>
      <c r="AZ24" s="10">
        <f ca="1">VLOOKUP($B24,'[2]Analisys QBR By Machine Report'!$C$109:$BD$166,47,FALSE)</f>
        <v>0</v>
      </c>
      <c r="BA24" s="10">
        <f ca="1">VLOOKUP($B24,'[2]Analisys QBR By Machine Report'!$C$109:$BD$166,48,FALSE)</f>
        <v>0</v>
      </c>
      <c r="BB24" s="10">
        <f ca="1">VLOOKUP($B24,'[2]Analisys QBR By Machine Report'!$C$109:$BD$166,49,FALSE)</f>
        <v>0</v>
      </c>
      <c r="BC24" s="10">
        <f ca="1">VLOOKUP($B24,'[2]Analisys QBR By Machine Report'!$C$109:$BD$166,50,FALSE)</f>
        <v>0</v>
      </c>
      <c r="BD24" s="10">
        <f ca="1">VLOOKUP($B24,'[2]Analisys QBR By Machine Report'!$C$109:$BD$166,51,FALSE)</f>
        <v>205565</v>
      </c>
      <c r="BE24" s="10">
        <f ca="1">VLOOKUP($B24,'[2]Analisys QBR By Machine Report'!$C$109:$BD$166,52,FALSE)</f>
        <v>385</v>
      </c>
      <c r="BF24" s="10">
        <f ca="1">VLOOKUP($B24,'[2]Analisys QBR By Machine Report'!$C$109:$BD$166,53,FALSE)</f>
        <v>205180</v>
      </c>
    </row>
    <row r="25" spans="1:58" x14ac:dyDescent="0.25">
      <c r="A25" s="12" t="s">
        <v>81</v>
      </c>
      <c r="B25" s="13">
        <f ca="1">VLOOKUP($B25,'[2]Analisys QBR By Machine Report'!$C$109:$BD$166,2,FALSE)</f>
        <v>30240</v>
      </c>
      <c r="C25" s="14">
        <f ca="1">VLOOKUP($B25,[2]Dasboard_QBR_Report!$B$109:$BL$166,3,FALSE)</f>
        <v>19530</v>
      </c>
      <c r="D25" s="13">
        <f ca="1">VLOOKUP($B25,'[2]Analisys QBR By Machine Report'!$C$109:$BD$166,3,FALSE)</f>
        <v>21510</v>
      </c>
      <c r="E25" s="14">
        <f ca="1">VLOOKUP($B25,[2]Dasboard_QBR_Report!$B$109:$BL$166,5,FALSE)</f>
        <v>10800</v>
      </c>
      <c r="F25" s="13">
        <f t="shared" ca="1" si="0"/>
        <v>8730</v>
      </c>
      <c r="G25" s="13">
        <f t="shared" ca="1" si="1"/>
        <v>915</v>
      </c>
      <c r="H25" s="13">
        <f ca="1">VLOOKUP($B25,'[2]Analisys QBR By Machine Report'!$C$109:$BD$166,4,FALSE)</f>
        <v>915</v>
      </c>
      <c r="I25" s="13">
        <f ca="1">VLOOKUP($B25,'[2]Analisys QBR By Machine Report'!$C$109:$BD$166,5,FALSE)</f>
        <v>300</v>
      </c>
      <c r="J25" s="13">
        <f ca="1">VLOOKUP($B25,'[2]Analisys QBR By Machine Report'!$C$109:$BD$166,6,FALSE)</f>
        <v>615</v>
      </c>
      <c r="K25" s="13">
        <f ca="1">VLOOKUP($B25,'[2]Analisys QBR By Machine Report'!$C$109:$BD$166,7,FALSE)</f>
        <v>0</v>
      </c>
      <c r="L25" s="13">
        <f ca="1">VLOOKUP($B25,'[2]Analisys QBR By Machine Report'!$C$109:$BD$166,8,FALSE)</f>
        <v>7815</v>
      </c>
      <c r="M25" s="13">
        <f ca="1">VLOOKUP($B25,'[2]Analisys QBR By Machine Report'!$C$109:$BD$166,9,FALSE)</f>
        <v>2455</v>
      </c>
      <c r="N25" s="13">
        <f ca="1">VLOOKUP($B25,[2]Dasboard_QBR_Report!$B$109:$BL$166,18,FALSE)</f>
        <v>5360</v>
      </c>
      <c r="O25" s="13">
        <f ca="1">VLOOKUP($B25,'[2]Analisys QBR By Machine Report'!$C$109:$BD$166,10,FALSE)</f>
        <v>640</v>
      </c>
      <c r="P25" s="13">
        <f ca="1">VLOOKUP($B25,'[2]Analisys QBR By Machine Report'!$C$109:$BD$166,11,FALSE)</f>
        <v>440</v>
      </c>
      <c r="Q25" s="13">
        <f ca="1">VLOOKUP($B25,'[2]Analisys QBR By Machine Report'!$C$109:$BD$166,12,FALSE)</f>
        <v>0</v>
      </c>
      <c r="R25" s="13">
        <f ca="1">VLOOKUP($B25,'[2]Analisys QBR By Machine Report'!$C$109:$BD$166,13,FALSE)</f>
        <v>55</v>
      </c>
      <c r="S25" s="13">
        <f ca="1">VLOOKUP($B25,'[2]Analisys QBR By Machine Report'!$C$109:$BD$166,14,FALSE)</f>
        <v>145</v>
      </c>
      <c r="T25" s="13">
        <f ca="1">VLOOKUP($B25,'[2]Analisys QBR By Machine Report'!$C$109:$BD$166,15,FALSE)</f>
        <v>160</v>
      </c>
      <c r="U25" s="13">
        <f ca="1">VLOOKUP($B25,'[2]Analisys QBR By Machine Report'!$C$109:$BD$166,16,FALSE)</f>
        <v>45</v>
      </c>
      <c r="V25" s="13">
        <f ca="1">VLOOKUP($B25,'[2]Analisys QBR By Machine Report'!$C$109:$BD$166,17,FALSE)</f>
        <v>0</v>
      </c>
      <c r="W25" s="13">
        <f ca="1">VLOOKUP($B25,'[2]Analisys QBR By Machine Report'!$C$109:$BD$166,18,FALSE)</f>
        <v>0</v>
      </c>
      <c r="X25" s="13">
        <f ca="1">VLOOKUP($B25,'[2]Analisys QBR By Machine Report'!$C$109:$BD$166,19,FALSE)</f>
        <v>115</v>
      </c>
      <c r="Y25" s="13">
        <f ca="1">VLOOKUP($B25,'[2]Analisys QBR By Machine Report'!$C$109:$BD$166,20,FALSE)</f>
        <v>0</v>
      </c>
      <c r="Z25" s="13">
        <f ca="1">VLOOKUP($B25,'[2]Analisys QBR By Machine Report'!$C$109:$BD$166,21,FALSE)</f>
        <v>2450</v>
      </c>
      <c r="AA25" s="13">
        <f ca="1">VLOOKUP($B25,'[2]Analisys QBR By Machine Report'!$C$109:$BD$166,22,FALSE)</f>
        <v>375</v>
      </c>
      <c r="AB25" s="13">
        <f ca="1">VLOOKUP($B25,'[2]Analisys QBR By Machine Report'!$C$109:$BD$166,23,FALSE)</f>
        <v>1490</v>
      </c>
      <c r="AC25" s="13">
        <f ca="1">VLOOKUP($B25,'[2]Analisys QBR By Machine Report'!$C$109:$BD$166,24,FALSE)</f>
        <v>0</v>
      </c>
      <c r="AD25" s="13">
        <f ca="1">VLOOKUP($B25,'[2]Analisys QBR By Machine Report'!$C$109:$BD$166,25,FALSE)</f>
        <v>0</v>
      </c>
      <c r="AE25" s="13">
        <f ca="1">VLOOKUP($B25,'[2]Analisys QBR By Machine Report'!$C$109:$BD$166,26,FALSE)</f>
        <v>585</v>
      </c>
      <c r="AF25" s="13">
        <f ca="1">VLOOKUP($B25,'[2]Analisys QBR By Machine Report'!$C$109:$BD$166,27,FALSE)</f>
        <v>0</v>
      </c>
      <c r="AG25" s="13">
        <f ca="1">VLOOKUP($B25,'[2]Analisys QBR By Machine Report'!$C$109:$BD$166,28,FALSE)</f>
        <v>0</v>
      </c>
      <c r="AH25" s="13">
        <f ca="1">VLOOKUP($B25,'[2]Analisys QBR By Machine Report'!$C$109:$BD$166,29,FALSE)</f>
        <v>0</v>
      </c>
      <c r="AI25" s="13">
        <f ca="1">VLOOKUP($B25,'[2]Analisys QBR By Machine Report'!$C$109:$BD$166,30,FALSE)</f>
        <v>2110</v>
      </c>
      <c r="AJ25" s="13">
        <f ca="1">VLOOKUP($B25,'[2]Analisys QBR By Machine Report'!$C$109:$BD$166,31,FALSE)</f>
        <v>135</v>
      </c>
      <c r="AK25" s="13">
        <f ca="1">VLOOKUP($B25,'[2]Analisys QBR By Machine Report'!$C$109:$BD$166,32,FALSE)</f>
        <v>0</v>
      </c>
      <c r="AL25" s="13">
        <f ca="1">VLOOKUP($B25,'[2]Analisys QBR By Machine Report'!$C$109:$BD$166,33,FALSE)</f>
        <v>450</v>
      </c>
      <c r="AM25" s="13">
        <f ca="1">VLOOKUP($B25,'[2]Analisys QBR By Machine Report'!$C$109:$BD$166,34,FALSE)</f>
        <v>0</v>
      </c>
      <c r="AN25" s="13">
        <f ca="1">VLOOKUP($B25,'[2]Analisys QBR By Machine Report'!$C$109:$BD$166,35,FALSE)</f>
        <v>300</v>
      </c>
      <c r="AO25" s="13">
        <f ca="1">VLOOKUP($B25,'[2]Analisys QBR By Machine Report'!$C$109:$BD$166,36,FALSE)</f>
        <v>210</v>
      </c>
      <c r="AP25" s="13">
        <f ca="1">VLOOKUP($B25,'[2]Analisys QBR By Machine Report'!$C$109:$BD$166,37,FALSE)</f>
        <v>0</v>
      </c>
      <c r="AQ25" s="13">
        <f ca="1">VLOOKUP($B25,'[2]Analisys QBR By Machine Report'!$C$109:$BD$166,38,FALSE)</f>
        <v>0</v>
      </c>
      <c r="AR25" s="13">
        <f ca="1">VLOOKUP($B25,'[2]Analisys QBR By Machine Report'!$C$109:$BD$166,39,FALSE)</f>
        <v>1000</v>
      </c>
      <c r="AS25" s="13">
        <f ca="1">VLOOKUP($B25,'[2]Analisys QBR By Machine Report'!$C$109:$BD$166,40,FALSE)</f>
        <v>15</v>
      </c>
      <c r="AT25" s="13">
        <f ca="1">VLOOKUP($B25,'[2]Analisys QBR By Machine Report'!$C$109:$BD$166,41,FALSE)</f>
        <v>0</v>
      </c>
      <c r="AU25" s="13">
        <f ca="1">VLOOKUP($B25,'[2]Analisys QBR By Machine Report'!$C$109:$BD$166,42,FALSE)</f>
        <v>0</v>
      </c>
      <c r="AV25" s="13">
        <f ca="1">VLOOKUP($B25,'[2]Analisys QBR By Machine Report'!$C$109:$BD$166,43,FALSE)</f>
        <v>0</v>
      </c>
      <c r="AW25" s="13">
        <f ca="1">VLOOKUP($B25,'[2]Analisys QBR By Machine Report'!$C$109:$BD$166,44,FALSE)</f>
        <v>0</v>
      </c>
      <c r="AX25" s="13">
        <f ca="1">VLOOKUP($B25,'[2]Analisys QBR By Machine Report'!$C$109:$BD$166,45,FALSE)</f>
        <v>0</v>
      </c>
      <c r="AY25" s="13">
        <f ca="1">VLOOKUP($B25,'[2]Analisys QBR By Machine Report'!$C$109:$BD$166,46,FALSE)</f>
        <v>0</v>
      </c>
      <c r="AZ25" s="13">
        <f ca="1">VLOOKUP($B25,'[2]Analisys QBR By Machine Report'!$C$109:$BD$166,47,FALSE)</f>
        <v>0</v>
      </c>
      <c r="BA25" s="13">
        <f ca="1">VLOOKUP($B25,'[2]Analisys QBR By Machine Report'!$C$109:$BD$166,48,FALSE)</f>
        <v>0</v>
      </c>
      <c r="BB25" s="13">
        <f ca="1">VLOOKUP($B25,'[2]Analisys QBR By Machine Report'!$C$109:$BD$166,49,FALSE)</f>
        <v>0</v>
      </c>
      <c r="BC25" s="13">
        <f ca="1">VLOOKUP($B25,'[2]Analisys QBR By Machine Report'!$C$109:$BD$166,50,FALSE)</f>
        <v>0</v>
      </c>
      <c r="BD25" s="13">
        <f ca="1">VLOOKUP($B25,'[2]Analisys QBR By Machine Report'!$C$109:$BD$166,51,FALSE)</f>
        <v>138505</v>
      </c>
      <c r="BE25" s="13">
        <f ca="1">VLOOKUP($B25,'[2]Analisys QBR By Machine Report'!$C$109:$BD$166,52,FALSE)</f>
        <v>296</v>
      </c>
      <c r="BF25" s="13">
        <f ca="1">VLOOKUP($B25,'[2]Analisys QBR By Machine Report'!$C$109:$BD$166,53,FALSE)</f>
        <v>138209</v>
      </c>
    </row>
    <row r="26" spans="1:58" x14ac:dyDescent="0.25">
      <c r="A26" s="12" t="s">
        <v>82</v>
      </c>
      <c r="B26" s="13">
        <f ca="1">VLOOKUP($B26,'[2]Analisys QBR By Machine Report'!$C$109:$BD$166,2,FALSE)</f>
        <v>30240</v>
      </c>
      <c r="C26" s="14">
        <f ca="1">VLOOKUP($B26,[2]Dasboard_QBR_Report!$B$109:$BL$166,3,FALSE)</f>
        <v>19530</v>
      </c>
      <c r="D26" s="13">
        <f ca="1">VLOOKUP($B26,'[2]Analisys QBR By Machine Report'!$C$109:$BD$166,3,FALSE)</f>
        <v>24630</v>
      </c>
      <c r="E26" s="14">
        <f ca="1">VLOOKUP($B26,[2]Dasboard_QBR_Report!$B$109:$BL$166,5,FALSE)</f>
        <v>13920</v>
      </c>
      <c r="F26" s="13">
        <f t="shared" ca="1" si="0"/>
        <v>5610</v>
      </c>
      <c r="G26" s="13">
        <f t="shared" ca="1" si="1"/>
        <v>1285</v>
      </c>
      <c r="H26" s="13">
        <f ca="1">VLOOKUP($B26,'[2]Analisys QBR By Machine Report'!$C$109:$BD$166,4,FALSE)</f>
        <v>1075</v>
      </c>
      <c r="I26" s="13">
        <f ca="1">VLOOKUP($B26,'[2]Analisys QBR By Machine Report'!$C$109:$BD$166,5,FALSE)</f>
        <v>30</v>
      </c>
      <c r="J26" s="13">
        <f ca="1">VLOOKUP($B26,'[2]Analisys QBR By Machine Report'!$C$109:$BD$166,6,FALSE)</f>
        <v>1045</v>
      </c>
      <c r="K26" s="13">
        <f ca="1">VLOOKUP($B26,'[2]Analisys QBR By Machine Report'!$C$109:$BD$166,7,FALSE)</f>
        <v>210</v>
      </c>
      <c r="L26" s="13">
        <f ca="1">VLOOKUP($B26,'[2]Analisys QBR By Machine Report'!$C$109:$BD$166,8,FALSE)</f>
        <v>4325</v>
      </c>
      <c r="M26" s="13">
        <f ca="1">VLOOKUP($B26,'[2]Analisys QBR By Machine Report'!$C$109:$BD$166,9,FALSE)</f>
        <v>1300</v>
      </c>
      <c r="N26" s="13">
        <f ca="1">VLOOKUP($B26,[2]Dasboard_QBR_Report!$B$109:$BL$166,18,FALSE)</f>
        <v>3025</v>
      </c>
      <c r="O26" s="13">
        <f ca="1">VLOOKUP($B26,'[2]Analisys QBR By Machine Report'!$C$109:$BD$166,10,FALSE)</f>
        <v>425</v>
      </c>
      <c r="P26" s="13">
        <f ca="1">VLOOKUP($B26,'[2]Analisys QBR By Machine Report'!$C$109:$BD$166,11,FALSE)</f>
        <v>270</v>
      </c>
      <c r="Q26" s="13">
        <f ca="1">VLOOKUP($B26,'[2]Analisys QBR By Machine Report'!$C$109:$BD$166,12,FALSE)</f>
        <v>0</v>
      </c>
      <c r="R26" s="13">
        <f ca="1">VLOOKUP($B26,'[2]Analisys QBR By Machine Report'!$C$109:$BD$166,13,FALSE)</f>
        <v>90</v>
      </c>
      <c r="S26" s="13">
        <f ca="1">VLOOKUP($B26,'[2]Analisys QBR By Machine Report'!$C$109:$BD$166,14,FALSE)</f>
        <v>65</v>
      </c>
      <c r="T26" s="13">
        <f ca="1">VLOOKUP($B26,'[2]Analisys QBR By Machine Report'!$C$109:$BD$166,15,FALSE)</f>
        <v>490</v>
      </c>
      <c r="U26" s="13">
        <f ca="1">VLOOKUP($B26,'[2]Analisys QBR By Machine Report'!$C$109:$BD$166,16,FALSE)</f>
        <v>270</v>
      </c>
      <c r="V26" s="13">
        <f ca="1">VLOOKUP($B26,'[2]Analisys QBR By Machine Report'!$C$109:$BD$166,17,FALSE)</f>
        <v>220</v>
      </c>
      <c r="W26" s="13">
        <f ca="1">VLOOKUP($B26,'[2]Analisys QBR By Machine Report'!$C$109:$BD$166,18,FALSE)</f>
        <v>0</v>
      </c>
      <c r="X26" s="13">
        <f ca="1">VLOOKUP($B26,'[2]Analisys QBR By Machine Report'!$C$109:$BD$166,19,FALSE)</f>
        <v>0</v>
      </c>
      <c r="Y26" s="13">
        <f ca="1">VLOOKUP($B26,'[2]Analisys QBR By Machine Report'!$C$109:$BD$166,20,FALSE)</f>
        <v>0</v>
      </c>
      <c r="Z26" s="13">
        <f ca="1">VLOOKUP($B26,'[2]Analisys QBR By Machine Report'!$C$109:$BD$166,21,FALSE)</f>
        <v>1600</v>
      </c>
      <c r="AA26" s="13">
        <f ca="1">VLOOKUP($B26,'[2]Analisys QBR By Machine Report'!$C$109:$BD$166,22,FALSE)</f>
        <v>505</v>
      </c>
      <c r="AB26" s="13">
        <f ca="1">VLOOKUP($B26,'[2]Analisys QBR By Machine Report'!$C$109:$BD$166,23,FALSE)</f>
        <v>360</v>
      </c>
      <c r="AC26" s="13">
        <f ca="1">VLOOKUP($B26,'[2]Analisys QBR By Machine Report'!$C$109:$BD$166,24,FALSE)</f>
        <v>0</v>
      </c>
      <c r="AD26" s="13">
        <f ca="1">VLOOKUP($B26,'[2]Analisys QBR By Machine Report'!$C$109:$BD$166,25,FALSE)</f>
        <v>10</v>
      </c>
      <c r="AE26" s="13">
        <f ca="1">VLOOKUP($B26,'[2]Analisys QBR By Machine Report'!$C$109:$BD$166,26,FALSE)</f>
        <v>725</v>
      </c>
      <c r="AF26" s="13">
        <f ca="1">VLOOKUP($B26,'[2]Analisys QBR By Machine Report'!$C$109:$BD$166,27,FALSE)</f>
        <v>0</v>
      </c>
      <c r="AG26" s="13">
        <f ca="1">VLOOKUP($B26,'[2]Analisys QBR By Machine Report'!$C$109:$BD$166,28,FALSE)</f>
        <v>0</v>
      </c>
      <c r="AH26" s="13">
        <f ca="1">VLOOKUP($B26,'[2]Analisys QBR By Machine Report'!$C$109:$BD$166,29,FALSE)</f>
        <v>0</v>
      </c>
      <c r="AI26" s="13">
        <f ca="1">VLOOKUP($B26,'[2]Analisys QBR By Machine Report'!$C$109:$BD$166,30,FALSE)</f>
        <v>510</v>
      </c>
      <c r="AJ26" s="13">
        <f ca="1">VLOOKUP($B26,'[2]Analisys QBR By Machine Report'!$C$109:$BD$166,31,FALSE)</f>
        <v>0</v>
      </c>
      <c r="AK26" s="13">
        <f ca="1">VLOOKUP($B26,'[2]Analisys QBR By Machine Report'!$C$109:$BD$166,32,FALSE)</f>
        <v>0</v>
      </c>
      <c r="AL26" s="13">
        <f ca="1">VLOOKUP($B26,'[2]Analisys QBR By Machine Report'!$C$109:$BD$166,33,FALSE)</f>
        <v>270</v>
      </c>
      <c r="AM26" s="13">
        <f ca="1">VLOOKUP($B26,'[2]Analisys QBR By Machine Report'!$C$109:$BD$166,34,FALSE)</f>
        <v>0</v>
      </c>
      <c r="AN26" s="13">
        <f ca="1">VLOOKUP($B26,'[2]Analisys QBR By Machine Report'!$C$109:$BD$166,35,FALSE)</f>
        <v>150</v>
      </c>
      <c r="AO26" s="13">
        <f ca="1">VLOOKUP($B26,'[2]Analisys QBR By Machine Report'!$C$109:$BD$166,36,FALSE)</f>
        <v>0</v>
      </c>
      <c r="AP26" s="13">
        <f ca="1">VLOOKUP($B26,'[2]Analisys QBR By Machine Report'!$C$109:$BD$166,37,FALSE)</f>
        <v>0</v>
      </c>
      <c r="AQ26" s="13">
        <f ca="1">VLOOKUP($B26,'[2]Analisys QBR By Machine Report'!$C$109:$BD$166,38,FALSE)</f>
        <v>0</v>
      </c>
      <c r="AR26" s="13">
        <f ca="1">VLOOKUP($B26,'[2]Analisys QBR By Machine Report'!$C$109:$BD$166,39,FALSE)</f>
        <v>90</v>
      </c>
      <c r="AS26" s="13">
        <f ca="1">VLOOKUP($B26,'[2]Analisys QBR By Machine Report'!$C$109:$BD$166,40,FALSE)</f>
        <v>0</v>
      </c>
      <c r="AT26" s="13">
        <f ca="1">VLOOKUP($B26,'[2]Analisys QBR By Machine Report'!$C$109:$BD$166,41,FALSE)</f>
        <v>0</v>
      </c>
      <c r="AU26" s="13">
        <f ca="1">VLOOKUP($B26,'[2]Analisys QBR By Machine Report'!$C$109:$BD$166,42,FALSE)</f>
        <v>0</v>
      </c>
      <c r="AV26" s="13">
        <f ca="1">VLOOKUP($B26,'[2]Analisys QBR By Machine Report'!$C$109:$BD$166,43,FALSE)</f>
        <v>0</v>
      </c>
      <c r="AW26" s="13">
        <f ca="1">VLOOKUP($B26,'[2]Analisys QBR By Machine Report'!$C$109:$BD$166,44,FALSE)</f>
        <v>0</v>
      </c>
      <c r="AX26" s="13">
        <f ca="1">VLOOKUP($B26,'[2]Analisys QBR By Machine Report'!$C$109:$BD$166,45,FALSE)</f>
        <v>0</v>
      </c>
      <c r="AY26" s="13">
        <f ca="1">VLOOKUP($B26,'[2]Analisys QBR By Machine Report'!$C$109:$BD$166,46,FALSE)</f>
        <v>0</v>
      </c>
      <c r="AZ26" s="13">
        <f ca="1">VLOOKUP($B26,'[2]Analisys QBR By Machine Report'!$C$109:$BD$166,47,FALSE)</f>
        <v>0</v>
      </c>
      <c r="BA26" s="13">
        <f ca="1">VLOOKUP($B26,'[2]Analisys QBR By Machine Report'!$C$109:$BD$166,48,FALSE)</f>
        <v>0</v>
      </c>
      <c r="BB26" s="13">
        <f ca="1">VLOOKUP($B26,'[2]Analisys QBR By Machine Report'!$C$109:$BD$166,49,FALSE)</f>
        <v>0</v>
      </c>
      <c r="BC26" s="13">
        <f ca="1">VLOOKUP($B26,'[2]Analisys QBR By Machine Report'!$C$109:$BD$166,50,FALSE)</f>
        <v>0</v>
      </c>
      <c r="BD26" s="13">
        <f ca="1">VLOOKUP($B26,'[2]Analisys QBR By Machine Report'!$C$109:$BD$166,51,FALSE)</f>
        <v>67060</v>
      </c>
      <c r="BE26" s="13">
        <f ca="1">VLOOKUP($B26,'[2]Analisys QBR By Machine Report'!$C$109:$BD$166,52,FALSE)</f>
        <v>89</v>
      </c>
      <c r="BF26" s="13">
        <f ca="1">VLOOKUP($B26,'[2]Analisys QBR By Machine Report'!$C$109:$BD$166,53,FALSE)</f>
        <v>66971</v>
      </c>
    </row>
    <row r="27" spans="1:58" x14ac:dyDescent="0.25">
      <c r="A27" s="9" t="s">
        <v>83</v>
      </c>
      <c r="B27" s="10">
        <f ca="1">VLOOKUP($B27,'[2]Analisys QBR By Machine Report'!$C$109:$BD$166,2,FALSE)</f>
        <v>33120</v>
      </c>
      <c r="C27" s="11">
        <f ca="1">VLOOKUP($B27,[2]Dasboard_QBR_Report!$B$109:$BL$166,3,FALSE)</f>
        <v>21390</v>
      </c>
      <c r="D27" s="10">
        <f ca="1">VLOOKUP($B27,'[2]Analisys QBR By Machine Report'!$C$109:$BD$166,3,FALSE)</f>
        <v>24750</v>
      </c>
      <c r="E27" s="11">
        <f ca="1">VLOOKUP($B27,[2]Dasboard_QBR_Report!$B$109:$BL$166,5,FALSE)</f>
        <v>13020</v>
      </c>
      <c r="F27" s="10">
        <f t="shared" ca="1" si="0"/>
        <v>8370</v>
      </c>
      <c r="G27" s="10">
        <f t="shared" ca="1" si="1"/>
        <v>300</v>
      </c>
      <c r="H27" s="10">
        <f ca="1">VLOOKUP($B27,'[2]Analisys QBR By Machine Report'!$C$109:$BD$166,4,FALSE)</f>
        <v>300</v>
      </c>
      <c r="I27" s="10">
        <f ca="1">VLOOKUP($B27,'[2]Analisys QBR By Machine Report'!$C$109:$BD$166,5,FALSE)</f>
        <v>300</v>
      </c>
      <c r="J27" s="10">
        <f ca="1">VLOOKUP($B27,'[2]Analisys QBR By Machine Report'!$C$109:$BD$166,6,FALSE)</f>
        <v>0</v>
      </c>
      <c r="K27" s="10">
        <f ca="1">VLOOKUP($B27,'[2]Analisys QBR By Machine Report'!$C$109:$BD$166,7,FALSE)</f>
        <v>0</v>
      </c>
      <c r="L27" s="10">
        <f ca="1">VLOOKUP($B27,'[2]Analisys QBR By Machine Report'!$C$109:$BD$166,8,FALSE)</f>
        <v>8070</v>
      </c>
      <c r="M27" s="10">
        <f ca="1">VLOOKUP($B27,'[2]Analisys QBR By Machine Report'!$C$109:$BD$166,9,FALSE)</f>
        <v>2749</v>
      </c>
      <c r="N27" s="10">
        <f ca="1">VLOOKUP($B27,[2]Dasboard_QBR_Report!$B$109:$BL$166,18,FALSE)</f>
        <v>5321</v>
      </c>
      <c r="O27" s="10">
        <f ca="1">VLOOKUP($B27,'[2]Analisys QBR By Machine Report'!$C$109:$BD$166,10,FALSE)</f>
        <v>170</v>
      </c>
      <c r="P27" s="10">
        <f ca="1">VLOOKUP($B27,'[2]Analisys QBR By Machine Report'!$C$109:$BD$166,11,FALSE)</f>
        <v>170</v>
      </c>
      <c r="Q27" s="10">
        <f ca="1">VLOOKUP($B27,'[2]Analisys QBR By Machine Report'!$C$109:$BD$166,12,FALSE)</f>
        <v>0</v>
      </c>
      <c r="R27" s="10">
        <f ca="1">VLOOKUP($B27,'[2]Analisys QBR By Machine Report'!$C$109:$BD$166,13,FALSE)</f>
        <v>0</v>
      </c>
      <c r="S27" s="10">
        <f ca="1">VLOOKUP($B27,'[2]Analisys QBR By Machine Report'!$C$109:$BD$166,14,FALSE)</f>
        <v>0</v>
      </c>
      <c r="T27" s="10">
        <f ca="1">VLOOKUP($B27,'[2]Analisys QBR By Machine Report'!$C$109:$BD$166,15,FALSE)</f>
        <v>135</v>
      </c>
      <c r="U27" s="10">
        <f ca="1">VLOOKUP($B27,'[2]Analisys QBR By Machine Report'!$C$109:$BD$166,16,FALSE)</f>
        <v>135</v>
      </c>
      <c r="V27" s="10">
        <f ca="1">VLOOKUP($B27,'[2]Analisys QBR By Machine Report'!$C$109:$BD$166,17,FALSE)</f>
        <v>0</v>
      </c>
      <c r="W27" s="10">
        <f ca="1">VLOOKUP($B27,'[2]Analisys QBR By Machine Report'!$C$109:$BD$166,18,FALSE)</f>
        <v>0</v>
      </c>
      <c r="X27" s="10">
        <f ca="1">VLOOKUP($B27,'[2]Analisys QBR By Machine Report'!$C$109:$BD$166,19,FALSE)</f>
        <v>0</v>
      </c>
      <c r="Y27" s="10">
        <f ca="1">VLOOKUP($B27,'[2]Analisys QBR By Machine Report'!$C$109:$BD$166,20,FALSE)</f>
        <v>0</v>
      </c>
      <c r="Z27" s="10">
        <f ca="1">VLOOKUP($B27,'[2]Analisys QBR By Machine Report'!$C$109:$BD$166,21,FALSE)</f>
        <v>2741</v>
      </c>
      <c r="AA27" s="10">
        <f ca="1">VLOOKUP($B27,'[2]Analisys QBR By Machine Report'!$C$109:$BD$166,22,FALSE)</f>
        <v>842</v>
      </c>
      <c r="AB27" s="10">
        <f ca="1">VLOOKUP($B27,'[2]Analisys QBR By Machine Report'!$C$109:$BD$166,23,FALSE)</f>
        <v>1203</v>
      </c>
      <c r="AC27" s="10">
        <f ca="1">VLOOKUP($B27,'[2]Analisys QBR By Machine Report'!$C$109:$BD$166,24,FALSE)</f>
        <v>0</v>
      </c>
      <c r="AD27" s="10">
        <f ca="1">VLOOKUP($B27,'[2]Analisys QBR By Machine Report'!$C$109:$BD$166,25,FALSE)</f>
        <v>696</v>
      </c>
      <c r="AE27" s="10">
        <f ca="1">VLOOKUP($B27,'[2]Analisys QBR By Machine Report'!$C$109:$BD$166,26,FALSE)</f>
        <v>0</v>
      </c>
      <c r="AF27" s="10">
        <f ca="1">VLOOKUP($B27,'[2]Analisys QBR By Machine Report'!$C$109:$BD$166,27,FALSE)</f>
        <v>0</v>
      </c>
      <c r="AG27" s="10">
        <f ca="1">VLOOKUP($B27,'[2]Analisys QBR By Machine Report'!$C$109:$BD$166,28,FALSE)</f>
        <v>0</v>
      </c>
      <c r="AH27" s="10">
        <f ca="1">VLOOKUP($B27,'[2]Analisys QBR By Machine Report'!$C$109:$BD$166,29,FALSE)</f>
        <v>0</v>
      </c>
      <c r="AI27" s="10">
        <f ca="1">VLOOKUP($B27,'[2]Analisys QBR By Machine Report'!$C$109:$BD$166,30,FALSE)</f>
        <v>2275</v>
      </c>
      <c r="AJ27" s="10">
        <f ca="1">VLOOKUP($B27,'[2]Analisys QBR By Machine Report'!$C$109:$BD$166,31,FALSE)</f>
        <v>0</v>
      </c>
      <c r="AK27" s="10">
        <f ca="1">VLOOKUP($B27,'[2]Analisys QBR By Machine Report'!$C$109:$BD$166,32,FALSE)</f>
        <v>0</v>
      </c>
      <c r="AL27" s="10">
        <f ca="1">VLOOKUP($B27,'[2]Analisys QBR By Machine Report'!$C$109:$BD$166,33,FALSE)</f>
        <v>440</v>
      </c>
      <c r="AM27" s="10">
        <f ca="1">VLOOKUP($B27,'[2]Analisys QBR By Machine Report'!$C$109:$BD$166,34,FALSE)</f>
        <v>0</v>
      </c>
      <c r="AN27" s="10">
        <f ca="1">VLOOKUP($B27,'[2]Analisys QBR By Machine Report'!$C$109:$BD$166,35,FALSE)</f>
        <v>465</v>
      </c>
      <c r="AO27" s="10">
        <f ca="1">VLOOKUP($B27,'[2]Analisys QBR By Machine Report'!$C$109:$BD$166,36,FALSE)</f>
        <v>0</v>
      </c>
      <c r="AP27" s="10">
        <f ca="1">VLOOKUP($B27,'[2]Analisys QBR By Machine Report'!$C$109:$BD$166,37,FALSE)</f>
        <v>125</v>
      </c>
      <c r="AQ27" s="10">
        <f ca="1">VLOOKUP($B27,'[2]Analisys QBR By Machine Report'!$C$109:$BD$166,38,FALSE)</f>
        <v>0</v>
      </c>
      <c r="AR27" s="10">
        <f ca="1">VLOOKUP($B27,'[2]Analisys QBR By Machine Report'!$C$109:$BD$166,39,FALSE)</f>
        <v>0</v>
      </c>
      <c r="AS27" s="10">
        <f ca="1">VLOOKUP($B27,'[2]Analisys QBR By Machine Report'!$C$109:$BD$166,40,FALSE)</f>
        <v>20</v>
      </c>
      <c r="AT27" s="10">
        <f ca="1">VLOOKUP($B27,'[2]Analisys QBR By Machine Report'!$C$109:$BD$166,41,FALSE)</f>
        <v>0</v>
      </c>
      <c r="AU27" s="10">
        <f ca="1">VLOOKUP($B27,'[2]Analisys QBR By Machine Report'!$C$109:$BD$166,42,FALSE)</f>
        <v>0</v>
      </c>
      <c r="AV27" s="10">
        <f ca="1">VLOOKUP($B27,'[2]Analisys QBR By Machine Report'!$C$109:$BD$166,43,FALSE)</f>
        <v>0</v>
      </c>
      <c r="AW27" s="10">
        <f ca="1">VLOOKUP($B27,'[2]Analisys QBR By Machine Report'!$C$109:$BD$166,44,FALSE)</f>
        <v>0</v>
      </c>
      <c r="AX27" s="10">
        <f ca="1">VLOOKUP($B27,'[2]Analisys QBR By Machine Report'!$C$109:$BD$166,45,FALSE)</f>
        <v>0</v>
      </c>
      <c r="AY27" s="10">
        <f ca="1">VLOOKUP($B27,'[2]Analisys QBR By Machine Report'!$C$109:$BD$166,46,FALSE)</f>
        <v>0</v>
      </c>
      <c r="AZ27" s="10">
        <f ca="1">VLOOKUP($B27,'[2]Analisys QBR By Machine Report'!$C$109:$BD$166,47,FALSE)</f>
        <v>1225</v>
      </c>
      <c r="BA27" s="10">
        <f ca="1">VLOOKUP($B27,'[2]Analisys QBR By Machine Report'!$C$109:$BD$166,48,FALSE)</f>
        <v>0</v>
      </c>
      <c r="BB27" s="10">
        <f ca="1">VLOOKUP($B27,'[2]Analisys QBR By Machine Report'!$C$109:$BD$166,49,FALSE)</f>
        <v>0</v>
      </c>
      <c r="BC27" s="10">
        <f ca="1">VLOOKUP($B27,'[2]Analisys QBR By Machine Report'!$C$109:$BD$166,50,FALSE)</f>
        <v>0</v>
      </c>
      <c r="BD27" s="10">
        <f ca="1">VLOOKUP($B27,'[2]Analisys QBR By Machine Report'!$C$109:$BD$166,51,FALSE)</f>
        <v>1154</v>
      </c>
      <c r="BE27" s="10">
        <f ca="1">VLOOKUP($B27,'[2]Analisys QBR By Machine Report'!$C$109:$BD$166,52,FALSE)</f>
        <v>172</v>
      </c>
      <c r="BF27" s="10">
        <f ca="1">VLOOKUP($B27,'[2]Analisys QBR By Machine Report'!$C$109:$BD$166,53,FALSE)</f>
        <v>982</v>
      </c>
    </row>
    <row r="28" spans="1:58" x14ac:dyDescent="0.25">
      <c r="A28" s="12" t="s">
        <v>84</v>
      </c>
      <c r="B28" s="13">
        <f ca="1">VLOOKUP($B28,'[2]Analisys QBR By Machine Report'!$C$109:$BD$166,2,FALSE)</f>
        <v>33120</v>
      </c>
      <c r="C28" s="14">
        <f ca="1">VLOOKUP($B28,[2]Dasboard_QBR_Report!$B$109:$BL$166,3,FALSE)</f>
        <v>21390</v>
      </c>
      <c r="D28" s="13">
        <f ca="1">VLOOKUP($B28,'[2]Analisys QBR By Machine Report'!$C$109:$BD$166,3,FALSE)</f>
        <v>24750</v>
      </c>
      <c r="E28" s="14">
        <f ca="1">VLOOKUP($B28,[2]Dasboard_QBR_Report!$B$109:$BL$166,5,FALSE)</f>
        <v>13020</v>
      </c>
      <c r="F28" s="13">
        <f t="shared" ca="1" si="0"/>
        <v>8370</v>
      </c>
      <c r="G28" s="13">
        <f t="shared" ca="1" si="1"/>
        <v>300</v>
      </c>
      <c r="H28" s="13">
        <f ca="1">VLOOKUP($B28,'[2]Analisys QBR By Machine Report'!$C$109:$BD$166,4,FALSE)</f>
        <v>300</v>
      </c>
      <c r="I28" s="13">
        <f ca="1">VLOOKUP($B28,'[2]Analisys QBR By Machine Report'!$C$109:$BD$166,5,FALSE)</f>
        <v>300</v>
      </c>
      <c r="J28" s="13">
        <f ca="1">VLOOKUP($B28,'[2]Analisys QBR By Machine Report'!$C$109:$BD$166,6,FALSE)</f>
        <v>0</v>
      </c>
      <c r="K28" s="13">
        <f ca="1">VLOOKUP($B28,'[2]Analisys QBR By Machine Report'!$C$109:$BD$166,7,FALSE)</f>
        <v>0</v>
      </c>
      <c r="L28" s="13">
        <f ca="1">VLOOKUP($B28,'[2]Analisys QBR By Machine Report'!$C$109:$BD$166,8,FALSE)</f>
        <v>8070</v>
      </c>
      <c r="M28" s="13">
        <f ca="1">VLOOKUP($B28,'[2]Analisys QBR By Machine Report'!$C$109:$BD$166,9,FALSE)</f>
        <v>2749</v>
      </c>
      <c r="N28" s="13">
        <f ca="1">VLOOKUP($B28,[2]Dasboard_QBR_Report!$B$109:$BL$166,18,FALSE)</f>
        <v>5321</v>
      </c>
      <c r="O28" s="13">
        <f ca="1">VLOOKUP($B28,'[2]Analisys QBR By Machine Report'!$C$109:$BD$166,10,FALSE)</f>
        <v>170</v>
      </c>
      <c r="P28" s="13">
        <f ca="1">VLOOKUP($B28,'[2]Analisys QBR By Machine Report'!$C$109:$BD$166,11,FALSE)</f>
        <v>170</v>
      </c>
      <c r="Q28" s="13">
        <f ca="1">VLOOKUP($B28,'[2]Analisys QBR By Machine Report'!$C$109:$BD$166,12,FALSE)</f>
        <v>0</v>
      </c>
      <c r="R28" s="13">
        <f ca="1">VLOOKUP($B28,'[2]Analisys QBR By Machine Report'!$C$109:$BD$166,13,FALSE)</f>
        <v>0</v>
      </c>
      <c r="S28" s="13">
        <f ca="1">VLOOKUP($B28,'[2]Analisys QBR By Machine Report'!$C$109:$BD$166,14,FALSE)</f>
        <v>0</v>
      </c>
      <c r="T28" s="13">
        <f ca="1">VLOOKUP($B28,'[2]Analisys QBR By Machine Report'!$C$109:$BD$166,15,FALSE)</f>
        <v>135</v>
      </c>
      <c r="U28" s="13">
        <f ca="1">VLOOKUP($B28,'[2]Analisys QBR By Machine Report'!$C$109:$BD$166,16,FALSE)</f>
        <v>135</v>
      </c>
      <c r="V28" s="13">
        <f ca="1">VLOOKUP($B28,'[2]Analisys QBR By Machine Report'!$C$109:$BD$166,17,FALSE)</f>
        <v>0</v>
      </c>
      <c r="W28" s="13">
        <f ca="1">VLOOKUP($B28,'[2]Analisys QBR By Machine Report'!$C$109:$BD$166,18,FALSE)</f>
        <v>0</v>
      </c>
      <c r="X28" s="13">
        <f ca="1">VLOOKUP($B28,'[2]Analisys QBR By Machine Report'!$C$109:$BD$166,19,FALSE)</f>
        <v>0</v>
      </c>
      <c r="Y28" s="13">
        <f ca="1">VLOOKUP($B28,'[2]Analisys QBR By Machine Report'!$C$109:$BD$166,20,FALSE)</f>
        <v>0</v>
      </c>
      <c r="Z28" s="13">
        <f ca="1">VLOOKUP($B28,'[2]Analisys QBR By Machine Report'!$C$109:$BD$166,21,FALSE)</f>
        <v>2741</v>
      </c>
      <c r="AA28" s="13">
        <f ca="1">VLOOKUP($B28,'[2]Analisys QBR By Machine Report'!$C$109:$BD$166,22,FALSE)</f>
        <v>842</v>
      </c>
      <c r="AB28" s="13">
        <f ca="1">VLOOKUP($B28,'[2]Analisys QBR By Machine Report'!$C$109:$BD$166,23,FALSE)</f>
        <v>1203</v>
      </c>
      <c r="AC28" s="13">
        <f ca="1">VLOOKUP($B28,'[2]Analisys QBR By Machine Report'!$C$109:$BD$166,24,FALSE)</f>
        <v>0</v>
      </c>
      <c r="AD28" s="13">
        <f ca="1">VLOOKUP($B28,'[2]Analisys QBR By Machine Report'!$C$109:$BD$166,25,FALSE)</f>
        <v>696</v>
      </c>
      <c r="AE28" s="13">
        <f ca="1">VLOOKUP($B28,'[2]Analisys QBR By Machine Report'!$C$109:$BD$166,26,FALSE)</f>
        <v>0</v>
      </c>
      <c r="AF28" s="13">
        <f ca="1">VLOOKUP($B28,'[2]Analisys QBR By Machine Report'!$C$109:$BD$166,27,FALSE)</f>
        <v>0</v>
      </c>
      <c r="AG28" s="13">
        <f ca="1">VLOOKUP($B28,'[2]Analisys QBR By Machine Report'!$C$109:$BD$166,28,FALSE)</f>
        <v>0</v>
      </c>
      <c r="AH28" s="13">
        <f ca="1">VLOOKUP($B28,'[2]Analisys QBR By Machine Report'!$C$109:$BD$166,29,FALSE)</f>
        <v>0</v>
      </c>
      <c r="AI28" s="13">
        <f ca="1">VLOOKUP($B28,'[2]Analisys QBR By Machine Report'!$C$109:$BD$166,30,FALSE)</f>
        <v>2275</v>
      </c>
      <c r="AJ28" s="13">
        <f ca="1">VLOOKUP($B28,'[2]Analisys QBR By Machine Report'!$C$109:$BD$166,31,FALSE)</f>
        <v>0</v>
      </c>
      <c r="AK28" s="13">
        <f ca="1">VLOOKUP($B28,'[2]Analisys QBR By Machine Report'!$C$109:$BD$166,32,FALSE)</f>
        <v>0</v>
      </c>
      <c r="AL28" s="13">
        <f ca="1">VLOOKUP($B28,'[2]Analisys QBR By Machine Report'!$C$109:$BD$166,33,FALSE)</f>
        <v>440</v>
      </c>
      <c r="AM28" s="13">
        <f ca="1">VLOOKUP($B28,'[2]Analisys QBR By Machine Report'!$C$109:$BD$166,34,FALSE)</f>
        <v>0</v>
      </c>
      <c r="AN28" s="13">
        <f ca="1">VLOOKUP($B28,'[2]Analisys QBR By Machine Report'!$C$109:$BD$166,35,FALSE)</f>
        <v>465</v>
      </c>
      <c r="AO28" s="13">
        <f ca="1">VLOOKUP($B28,'[2]Analisys QBR By Machine Report'!$C$109:$BD$166,36,FALSE)</f>
        <v>0</v>
      </c>
      <c r="AP28" s="13">
        <f ca="1">VLOOKUP($B28,'[2]Analisys QBR By Machine Report'!$C$109:$BD$166,37,FALSE)</f>
        <v>125</v>
      </c>
      <c r="AQ28" s="13">
        <f ca="1">VLOOKUP($B28,'[2]Analisys QBR By Machine Report'!$C$109:$BD$166,38,FALSE)</f>
        <v>0</v>
      </c>
      <c r="AR28" s="13">
        <f ca="1">VLOOKUP($B28,'[2]Analisys QBR By Machine Report'!$C$109:$BD$166,39,FALSE)</f>
        <v>0</v>
      </c>
      <c r="AS28" s="13">
        <f ca="1">VLOOKUP($B28,'[2]Analisys QBR By Machine Report'!$C$109:$BD$166,40,FALSE)</f>
        <v>20</v>
      </c>
      <c r="AT28" s="13">
        <f ca="1">VLOOKUP($B28,'[2]Analisys QBR By Machine Report'!$C$109:$BD$166,41,FALSE)</f>
        <v>0</v>
      </c>
      <c r="AU28" s="13">
        <f ca="1">VLOOKUP($B28,'[2]Analisys QBR By Machine Report'!$C$109:$BD$166,42,FALSE)</f>
        <v>0</v>
      </c>
      <c r="AV28" s="13">
        <f ca="1">VLOOKUP($B28,'[2]Analisys QBR By Machine Report'!$C$109:$BD$166,43,FALSE)</f>
        <v>0</v>
      </c>
      <c r="AW28" s="13">
        <f ca="1">VLOOKUP($B28,'[2]Analisys QBR By Machine Report'!$C$109:$BD$166,44,FALSE)</f>
        <v>0</v>
      </c>
      <c r="AX28" s="13">
        <f ca="1">VLOOKUP($B28,'[2]Analisys QBR By Machine Report'!$C$109:$BD$166,45,FALSE)</f>
        <v>0</v>
      </c>
      <c r="AY28" s="13">
        <f ca="1">VLOOKUP($B28,'[2]Analisys QBR By Machine Report'!$C$109:$BD$166,46,FALSE)</f>
        <v>0</v>
      </c>
      <c r="AZ28" s="13">
        <f ca="1">VLOOKUP($B28,'[2]Analisys QBR By Machine Report'!$C$109:$BD$166,47,FALSE)</f>
        <v>1225</v>
      </c>
      <c r="BA28" s="13">
        <f ca="1">VLOOKUP($B28,'[2]Analisys QBR By Machine Report'!$C$109:$BD$166,48,FALSE)</f>
        <v>0</v>
      </c>
      <c r="BB28" s="13">
        <f ca="1">VLOOKUP($B28,'[2]Analisys QBR By Machine Report'!$C$109:$BD$166,49,FALSE)</f>
        <v>0</v>
      </c>
      <c r="BC28" s="13">
        <f ca="1">VLOOKUP($B28,'[2]Analisys QBR By Machine Report'!$C$109:$BD$166,50,FALSE)</f>
        <v>0</v>
      </c>
      <c r="BD28" s="13">
        <f ca="1">VLOOKUP($B28,'[2]Analisys QBR By Machine Report'!$C$109:$BD$166,51,FALSE)</f>
        <v>1154</v>
      </c>
      <c r="BE28" s="13">
        <f ca="1">VLOOKUP($B28,'[2]Analisys QBR By Machine Report'!$C$109:$BD$166,52,FALSE)</f>
        <v>172</v>
      </c>
      <c r="BF28" s="13">
        <f ca="1">VLOOKUP($B28,'[2]Analisys QBR By Machine Report'!$C$109:$BD$166,53,FALSE)</f>
        <v>982</v>
      </c>
    </row>
    <row r="29" spans="1:58" x14ac:dyDescent="0.25">
      <c r="A29" s="9" t="s">
        <v>85</v>
      </c>
      <c r="B29" s="10">
        <f ca="1">VLOOKUP($B29,'[2]Analisys QBR By Machine Report'!$C$109:$BD$166,2,FALSE)</f>
        <v>66240</v>
      </c>
      <c r="C29" s="11">
        <f ca="1">VLOOKUP($B29,[2]Dasboard_QBR_Report!$B$109:$BL$166,3,FALSE)</f>
        <v>42780</v>
      </c>
      <c r="D29" s="10">
        <f ca="1">VLOOKUP($B29,'[2]Analisys QBR By Machine Report'!$C$109:$BD$166,3,FALSE)</f>
        <v>37110</v>
      </c>
      <c r="E29" s="11">
        <f ca="1">VLOOKUP($B29,[2]Dasboard_QBR_Report!$B$109:$BL$166,5,FALSE)</f>
        <v>13650</v>
      </c>
      <c r="F29" s="10">
        <f t="shared" ca="1" si="0"/>
        <v>29130</v>
      </c>
      <c r="G29" s="10">
        <f t="shared" ca="1" si="1"/>
        <v>3670</v>
      </c>
      <c r="H29" s="10">
        <f ca="1">VLOOKUP($B29,'[2]Analisys QBR By Machine Report'!$C$109:$BD$166,4,FALSE)</f>
        <v>3630</v>
      </c>
      <c r="I29" s="10">
        <f ca="1">VLOOKUP($B29,'[2]Analisys QBR By Machine Report'!$C$109:$BD$166,5,FALSE)</f>
        <v>635</v>
      </c>
      <c r="J29" s="10">
        <f ca="1">VLOOKUP($B29,'[2]Analisys QBR By Machine Report'!$C$109:$BD$166,6,FALSE)</f>
        <v>2995</v>
      </c>
      <c r="K29" s="10">
        <f ca="1">VLOOKUP($B29,'[2]Analisys QBR By Machine Report'!$C$109:$BD$166,7,FALSE)</f>
        <v>40</v>
      </c>
      <c r="L29" s="10">
        <f ca="1">VLOOKUP($B29,'[2]Analisys QBR By Machine Report'!$C$109:$BD$166,8,FALSE)</f>
        <v>25460</v>
      </c>
      <c r="M29" s="10">
        <f ca="1">VLOOKUP($B29,'[2]Analisys QBR By Machine Report'!$C$109:$BD$166,9,FALSE)</f>
        <v>8724</v>
      </c>
      <c r="N29" s="10">
        <f ca="1">VLOOKUP($B29,[2]Dasboard_QBR_Report!$B$109:$BL$166,18,FALSE)</f>
        <v>16736</v>
      </c>
      <c r="O29" s="10">
        <f ca="1">VLOOKUP($B29,'[2]Analisys QBR By Machine Report'!$C$109:$BD$166,10,FALSE)</f>
        <v>3042</v>
      </c>
      <c r="P29" s="10">
        <f ca="1">VLOOKUP($B29,'[2]Analisys QBR By Machine Report'!$C$109:$BD$166,11,FALSE)</f>
        <v>2560</v>
      </c>
      <c r="Q29" s="10">
        <f ca="1">VLOOKUP($B29,'[2]Analisys QBR By Machine Report'!$C$109:$BD$166,12,FALSE)</f>
        <v>52</v>
      </c>
      <c r="R29" s="10">
        <f ca="1">VLOOKUP($B29,'[2]Analisys QBR By Machine Report'!$C$109:$BD$166,13,FALSE)</f>
        <v>207</v>
      </c>
      <c r="S29" s="10">
        <f ca="1">VLOOKUP($B29,'[2]Analisys QBR By Machine Report'!$C$109:$BD$166,14,FALSE)</f>
        <v>223</v>
      </c>
      <c r="T29" s="10">
        <f ca="1">VLOOKUP($B29,'[2]Analisys QBR By Machine Report'!$C$109:$BD$166,15,FALSE)</f>
        <v>742</v>
      </c>
      <c r="U29" s="10">
        <f ca="1">VLOOKUP($B29,'[2]Analisys QBR By Machine Report'!$C$109:$BD$166,16,FALSE)</f>
        <v>233</v>
      </c>
      <c r="V29" s="10">
        <f ca="1">VLOOKUP($B29,'[2]Analisys QBR By Machine Report'!$C$109:$BD$166,17,FALSE)</f>
        <v>41</v>
      </c>
      <c r="W29" s="10">
        <f ca="1">VLOOKUP($B29,'[2]Analisys QBR By Machine Report'!$C$109:$BD$166,18,FALSE)</f>
        <v>0</v>
      </c>
      <c r="X29" s="10">
        <f ca="1">VLOOKUP($B29,'[2]Analisys QBR By Machine Report'!$C$109:$BD$166,19,FALSE)</f>
        <v>468</v>
      </c>
      <c r="Y29" s="10">
        <f ca="1">VLOOKUP($B29,'[2]Analisys QBR By Machine Report'!$C$109:$BD$166,20,FALSE)</f>
        <v>0</v>
      </c>
      <c r="Z29" s="10">
        <f ca="1">VLOOKUP($B29,'[2]Analisys QBR By Machine Report'!$C$109:$BD$166,21,FALSE)</f>
        <v>6582</v>
      </c>
      <c r="AA29" s="10">
        <f ca="1">VLOOKUP($B29,'[2]Analisys QBR By Machine Report'!$C$109:$BD$166,22,FALSE)</f>
        <v>1250</v>
      </c>
      <c r="AB29" s="10">
        <f ca="1">VLOOKUP($B29,'[2]Analisys QBR By Machine Report'!$C$109:$BD$166,23,FALSE)</f>
        <v>5332</v>
      </c>
      <c r="AC29" s="10">
        <f ca="1">VLOOKUP($B29,'[2]Analisys QBR By Machine Report'!$C$109:$BD$166,24,FALSE)</f>
        <v>0</v>
      </c>
      <c r="AD29" s="10">
        <f ca="1">VLOOKUP($B29,'[2]Analisys QBR By Machine Report'!$C$109:$BD$166,25,FALSE)</f>
        <v>0</v>
      </c>
      <c r="AE29" s="10">
        <f ca="1">VLOOKUP($B29,'[2]Analisys QBR By Machine Report'!$C$109:$BD$166,26,FALSE)</f>
        <v>0</v>
      </c>
      <c r="AF29" s="10">
        <f ca="1">VLOOKUP($B29,'[2]Analisys QBR By Machine Report'!$C$109:$BD$166,27,FALSE)</f>
        <v>0</v>
      </c>
      <c r="AG29" s="10">
        <f ca="1">VLOOKUP($B29,'[2]Analisys QBR By Machine Report'!$C$109:$BD$166,28,FALSE)</f>
        <v>0</v>
      </c>
      <c r="AH29" s="10">
        <f ca="1">VLOOKUP($B29,'[2]Analisys QBR By Machine Report'!$C$109:$BD$166,29,FALSE)</f>
        <v>0</v>
      </c>
      <c r="AI29" s="10">
        <f ca="1">VLOOKUP($B29,'[2]Analisys QBR By Machine Report'!$C$109:$BD$166,30,FALSE)</f>
        <v>6370</v>
      </c>
      <c r="AJ29" s="10">
        <f ca="1">VLOOKUP($B29,'[2]Analisys QBR By Machine Report'!$C$109:$BD$166,31,FALSE)</f>
        <v>0</v>
      </c>
      <c r="AK29" s="10">
        <f ca="1">VLOOKUP($B29,'[2]Analisys QBR By Machine Report'!$C$109:$BD$166,32,FALSE)</f>
        <v>0</v>
      </c>
      <c r="AL29" s="10">
        <f ca="1">VLOOKUP($B29,'[2]Analisys QBR By Machine Report'!$C$109:$BD$166,33,FALSE)</f>
        <v>1475</v>
      </c>
      <c r="AM29" s="10">
        <f ca="1">VLOOKUP($B29,'[2]Analisys QBR By Machine Report'!$C$109:$BD$166,34,FALSE)</f>
        <v>10</v>
      </c>
      <c r="AN29" s="10">
        <f ca="1">VLOOKUP($B29,'[2]Analisys QBR By Machine Report'!$C$109:$BD$166,35,FALSE)</f>
        <v>1428</v>
      </c>
      <c r="AO29" s="10">
        <f ca="1">VLOOKUP($B29,'[2]Analisys QBR By Machine Report'!$C$109:$BD$166,36,FALSE)</f>
        <v>0</v>
      </c>
      <c r="AP29" s="10">
        <f ca="1">VLOOKUP($B29,'[2]Analisys QBR By Machine Report'!$C$109:$BD$166,37,FALSE)</f>
        <v>0</v>
      </c>
      <c r="AQ29" s="10">
        <f ca="1">VLOOKUP($B29,'[2]Analisys QBR By Machine Report'!$C$109:$BD$166,38,FALSE)</f>
        <v>15</v>
      </c>
      <c r="AR29" s="10">
        <f ca="1">VLOOKUP($B29,'[2]Analisys QBR By Machine Report'!$C$109:$BD$166,39,FALSE)</f>
        <v>0</v>
      </c>
      <c r="AS29" s="10">
        <f ca="1">VLOOKUP($B29,'[2]Analisys QBR By Machine Report'!$C$109:$BD$166,40,FALSE)</f>
        <v>410</v>
      </c>
      <c r="AT29" s="10">
        <f ca="1">VLOOKUP($B29,'[2]Analisys QBR By Machine Report'!$C$109:$BD$166,41,FALSE)</f>
        <v>0</v>
      </c>
      <c r="AU29" s="10">
        <f ca="1">VLOOKUP($B29,'[2]Analisys QBR By Machine Report'!$C$109:$BD$166,42,FALSE)</f>
        <v>0</v>
      </c>
      <c r="AV29" s="10">
        <f ca="1">VLOOKUP($B29,'[2]Analisys QBR By Machine Report'!$C$109:$BD$166,43,FALSE)</f>
        <v>2650</v>
      </c>
      <c r="AW29" s="10">
        <f ca="1">VLOOKUP($B29,'[2]Analisys QBR By Machine Report'!$C$109:$BD$166,44,FALSE)</f>
        <v>0</v>
      </c>
      <c r="AX29" s="10">
        <f ca="1">VLOOKUP($B29,'[2]Analisys QBR By Machine Report'!$C$109:$BD$166,45,FALSE)</f>
        <v>0</v>
      </c>
      <c r="AY29" s="10">
        <f ca="1">VLOOKUP($B29,'[2]Analisys QBR By Machine Report'!$C$109:$BD$166,46,FALSE)</f>
        <v>0</v>
      </c>
      <c r="AZ29" s="10">
        <f ca="1">VLOOKUP($B29,'[2]Analisys QBR By Machine Report'!$C$109:$BD$166,47,FALSE)</f>
        <v>382</v>
      </c>
      <c r="BA29" s="10">
        <f ca="1">VLOOKUP($B29,'[2]Analisys QBR By Machine Report'!$C$109:$BD$166,48,FALSE)</f>
        <v>0</v>
      </c>
      <c r="BB29" s="10">
        <f ca="1">VLOOKUP($B29,'[2]Analisys QBR By Machine Report'!$C$109:$BD$166,49,FALSE)</f>
        <v>0</v>
      </c>
      <c r="BC29" s="10">
        <f ca="1">VLOOKUP($B29,'[2]Analisys QBR By Machine Report'!$C$109:$BD$166,50,FALSE)</f>
        <v>0</v>
      </c>
      <c r="BD29" s="10">
        <f ca="1">VLOOKUP($B29,'[2]Analisys QBR By Machine Report'!$C$109:$BD$166,51,FALSE)</f>
        <v>832318</v>
      </c>
      <c r="BE29" s="10">
        <f ca="1">VLOOKUP($B29,'[2]Analisys QBR By Machine Report'!$C$109:$BD$166,52,FALSE)</f>
        <v>405</v>
      </c>
      <c r="BF29" s="10">
        <f ca="1">VLOOKUP($B29,'[2]Analisys QBR By Machine Report'!$C$109:$BD$166,53,FALSE)</f>
        <v>831913</v>
      </c>
    </row>
    <row r="30" spans="1:58" x14ac:dyDescent="0.25">
      <c r="A30" s="12" t="s">
        <v>86</v>
      </c>
      <c r="B30" s="13">
        <f ca="1">VLOOKUP($B30,'[2]Analisys QBR By Machine Report'!$C$109:$BD$166,2,FALSE)</f>
        <v>33120</v>
      </c>
      <c r="C30" s="14">
        <f ca="1">VLOOKUP($B30,[2]Dasboard_QBR_Report!$B$109:$BL$166,3,FALSE)</f>
        <v>21390</v>
      </c>
      <c r="D30" s="13">
        <f ca="1">VLOOKUP($B30,'[2]Analisys QBR By Machine Report'!$C$109:$BD$166,3,FALSE)</f>
        <v>18900</v>
      </c>
      <c r="E30" s="14">
        <f ca="1">VLOOKUP($B30,[2]Dasboard_QBR_Report!$B$109:$BL$166,5,FALSE)</f>
        <v>7170</v>
      </c>
      <c r="F30" s="13">
        <f t="shared" ca="1" si="0"/>
        <v>14220</v>
      </c>
      <c r="G30" s="13">
        <f t="shared" ca="1" si="1"/>
        <v>2470</v>
      </c>
      <c r="H30" s="13">
        <f ca="1">VLOOKUP($B30,'[2]Analisys QBR By Machine Report'!$C$109:$BD$166,4,FALSE)</f>
        <v>2470</v>
      </c>
      <c r="I30" s="13">
        <f ca="1">VLOOKUP($B30,'[2]Analisys QBR By Machine Report'!$C$109:$BD$166,5,FALSE)</f>
        <v>395</v>
      </c>
      <c r="J30" s="13">
        <f ca="1">VLOOKUP($B30,'[2]Analisys QBR By Machine Report'!$C$109:$BD$166,6,FALSE)</f>
        <v>2075</v>
      </c>
      <c r="K30" s="13">
        <f ca="1">VLOOKUP($B30,'[2]Analisys QBR By Machine Report'!$C$109:$BD$166,7,FALSE)</f>
        <v>0</v>
      </c>
      <c r="L30" s="13">
        <f ca="1">VLOOKUP($B30,'[2]Analisys QBR By Machine Report'!$C$109:$BD$166,8,FALSE)</f>
        <v>11750</v>
      </c>
      <c r="M30" s="13">
        <f ca="1">VLOOKUP($B30,'[2]Analisys QBR By Machine Report'!$C$109:$BD$166,9,FALSE)</f>
        <v>2904</v>
      </c>
      <c r="N30" s="13">
        <f ca="1">VLOOKUP($B30,[2]Dasboard_QBR_Report!$B$109:$BL$166,18,FALSE)</f>
        <v>8846</v>
      </c>
      <c r="O30" s="13">
        <f ca="1">VLOOKUP($B30,'[2]Analisys QBR By Machine Report'!$C$109:$BD$166,10,FALSE)</f>
        <v>1379</v>
      </c>
      <c r="P30" s="13">
        <f ca="1">VLOOKUP($B30,'[2]Analisys QBR By Machine Report'!$C$109:$BD$166,11,FALSE)</f>
        <v>1205</v>
      </c>
      <c r="Q30" s="13">
        <f ca="1">VLOOKUP($B30,'[2]Analisys QBR By Machine Report'!$C$109:$BD$166,12,FALSE)</f>
        <v>47</v>
      </c>
      <c r="R30" s="13">
        <f ca="1">VLOOKUP($B30,'[2]Analisys QBR By Machine Report'!$C$109:$BD$166,13,FALSE)</f>
        <v>108</v>
      </c>
      <c r="S30" s="13">
        <f ca="1">VLOOKUP($B30,'[2]Analisys QBR By Machine Report'!$C$109:$BD$166,14,FALSE)</f>
        <v>19</v>
      </c>
      <c r="T30" s="13">
        <f ca="1">VLOOKUP($B30,'[2]Analisys QBR By Machine Report'!$C$109:$BD$166,15,FALSE)</f>
        <v>488</v>
      </c>
      <c r="U30" s="13">
        <f ca="1">VLOOKUP($B30,'[2]Analisys QBR By Machine Report'!$C$109:$BD$166,16,FALSE)</f>
        <v>173</v>
      </c>
      <c r="V30" s="13">
        <f ca="1">VLOOKUP($B30,'[2]Analisys QBR By Machine Report'!$C$109:$BD$166,17,FALSE)</f>
        <v>36</v>
      </c>
      <c r="W30" s="13">
        <f ca="1">VLOOKUP($B30,'[2]Analisys QBR By Machine Report'!$C$109:$BD$166,18,FALSE)</f>
        <v>0</v>
      </c>
      <c r="X30" s="13">
        <f ca="1">VLOOKUP($B30,'[2]Analisys QBR By Machine Report'!$C$109:$BD$166,19,FALSE)</f>
        <v>279</v>
      </c>
      <c r="Y30" s="13">
        <f ca="1">VLOOKUP($B30,'[2]Analisys QBR By Machine Report'!$C$109:$BD$166,20,FALSE)</f>
        <v>0</v>
      </c>
      <c r="Z30" s="13">
        <f ca="1">VLOOKUP($B30,'[2]Analisys QBR By Machine Report'!$C$109:$BD$166,21,FALSE)</f>
        <v>3402</v>
      </c>
      <c r="AA30" s="13">
        <f ca="1">VLOOKUP($B30,'[2]Analisys QBR By Machine Report'!$C$109:$BD$166,22,FALSE)</f>
        <v>835</v>
      </c>
      <c r="AB30" s="13">
        <f ca="1">VLOOKUP($B30,'[2]Analisys QBR By Machine Report'!$C$109:$BD$166,23,FALSE)</f>
        <v>2567</v>
      </c>
      <c r="AC30" s="13">
        <f ca="1">VLOOKUP($B30,'[2]Analisys QBR By Machine Report'!$C$109:$BD$166,24,FALSE)</f>
        <v>0</v>
      </c>
      <c r="AD30" s="13">
        <f ca="1">VLOOKUP($B30,'[2]Analisys QBR By Machine Report'!$C$109:$BD$166,25,FALSE)</f>
        <v>0</v>
      </c>
      <c r="AE30" s="13">
        <f ca="1">VLOOKUP($B30,'[2]Analisys QBR By Machine Report'!$C$109:$BD$166,26,FALSE)</f>
        <v>0</v>
      </c>
      <c r="AF30" s="13">
        <f ca="1">VLOOKUP($B30,'[2]Analisys QBR By Machine Report'!$C$109:$BD$166,27,FALSE)</f>
        <v>0</v>
      </c>
      <c r="AG30" s="13">
        <f ca="1">VLOOKUP($B30,'[2]Analisys QBR By Machine Report'!$C$109:$BD$166,28,FALSE)</f>
        <v>0</v>
      </c>
      <c r="AH30" s="13">
        <f ca="1">VLOOKUP($B30,'[2]Analisys QBR By Machine Report'!$C$109:$BD$166,29,FALSE)</f>
        <v>0</v>
      </c>
      <c r="AI30" s="13">
        <f ca="1">VLOOKUP($B30,'[2]Analisys QBR By Machine Report'!$C$109:$BD$166,30,FALSE)</f>
        <v>3577</v>
      </c>
      <c r="AJ30" s="13">
        <f ca="1">VLOOKUP($B30,'[2]Analisys QBR By Machine Report'!$C$109:$BD$166,31,FALSE)</f>
        <v>0</v>
      </c>
      <c r="AK30" s="13">
        <f ca="1">VLOOKUP($B30,'[2]Analisys QBR By Machine Report'!$C$109:$BD$166,32,FALSE)</f>
        <v>0</v>
      </c>
      <c r="AL30" s="13">
        <f ca="1">VLOOKUP($B30,'[2]Analisys QBR By Machine Report'!$C$109:$BD$166,33,FALSE)</f>
        <v>630</v>
      </c>
      <c r="AM30" s="13">
        <f ca="1">VLOOKUP($B30,'[2]Analisys QBR By Machine Report'!$C$109:$BD$166,34,FALSE)</f>
        <v>10</v>
      </c>
      <c r="AN30" s="13">
        <f ca="1">VLOOKUP($B30,'[2]Analisys QBR By Machine Report'!$C$109:$BD$166,35,FALSE)</f>
        <v>633</v>
      </c>
      <c r="AO30" s="13">
        <f ca="1">VLOOKUP($B30,'[2]Analisys QBR By Machine Report'!$C$109:$BD$166,36,FALSE)</f>
        <v>0</v>
      </c>
      <c r="AP30" s="13">
        <f ca="1">VLOOKUP($B30,'[2]Analisys QBR By Machine Report'!$C$109:$BD$166,37,FALSE)</f>
        <v>0</v>
      </c>
      <c r="AQ30" s="13">
        <f ca="1">VLOOKUP($B30,'[2]Analisys QBR By Machine Report'!$C$109:$BD$166,38,FALSE)</f>
        <v>0</v>
      </c>
      <c r="AR30" s="13">
        <f ca="1">VLOOKUP($B30,'[2]Analisys QBR By Machine Report'!$C$109:$BD$166,39,FALSE)</f>
        <v>0</v>
      </c>
      <c r="AS30" s="13">
        <f ca="1">VLOOKUP($B30,'[2]Analisys QBR By Machine Report'!$C$109:$BD$166,40,FALSE)</f>
        <v>280</v>
      </c>
      <c r="AT30" s="13">
        <f ca="1">VLOOKUP($B30,'[2]Analisys QBR By Machine Report'!$C$109:$BD$166,41,FALSE)</f>
        <v>0</v>
      </c>
      <c r="AU30" s="13">
        <f ca="1">VLOOKUP($B30,'[2]Analisys QBR By Machine Report'!$C$109:$BD$166,42,FALSE)</f>
        <v>0</v>
      </c>
      <c r="AV30" s="13">
        <f ca="1">VLOOKUP($B30,'[2]Analisys QBR By Machine Report'!$C$109:$BD$166,43,FALSE)</f>
        <v>1944</v>
      </c>
      <c r="AW30" s="13">
        <f ca="1">VLOOKUP($B30,'[2]Analisys QBR By Machine Report'!$C$109:$BD$166,44,FALSE)</f>
        <v>0</v>
      </c>
      <c r="AX30" s="13">
        <f ca="1">VLOOKUP($B30,'[2]Analisys QBR By Machine Report'!$C$109:$BD$166,45,FALSE)</f>
        <v>0</v>
      </c>
      <c r="AY30" s="13">
        <f ca="1">VLOOKUP($B30,'[2]Analisys QBR By Machine Report'!$C$109:$BD$166,46,FALSE)</f>
        <v>0</v>
      </c>
      <c r="AZ30" s="13">
        <f ca="1">VLOOKUP($B30,'[2]Analisys QBR By Machine Report'!$C$109:$BD$166,47,FALSE)</f>
        <v>80</v>
      </c>
      <c r="BA30" s="13">
        <f ca="1">VLOOKUP($B30,'[2]Analisys QBR By Machine Report'!$C$109:$BD$166,48,FALSE)</f>
        <v>0</v>
      </c>
      <c r="BB30" s="13">
        <f ca="1">VLOOKUP($B30,'[2]Analisys QBR By Machine Report'!$C$109:$BD$166,49,FALSE)</f>
        <v>0</v>
      </c>
      <c r="BC30" s="13">
        <f ca="1">VLOOKUP($B30,'[2]Analisys QBR By Machine Report'!$C$109:$BD$166,50,FALSE)</f>
        <v>0</v>
      </c>
      <c r="BD30" s="13">
        <f ca="1">VLOOKUP($B30,'[2]Analisys QBR By Machine Report'!$C$109:$BD$166,51,FALSE)</f>
        <v>417595</v>
      </c>
      <c r="BE30" s="13">
        <f ca="1">VLOOKUP($B30,'[2]Analisys QBR By Machine Report'!$C$109:$BD$166,52,FALSE)</f>
        <v>0</v>
      </c>
      <c r="BF30" s="13">
        <f ca="1">VLOOKUP($B30,'[2]Analisys QBR By Machine Report'!$C$109:$BD$166,53,FALSE)</f>
        <v>417595</v>
      </c>
    </row>
    <row r="31" spans="1:58" x14ac:dyDescent="0.25">
      <c r="A31" s="12" t="s">
        <v>87</v>
      </c>
      <c r="B31" s="13">
        <f ca="1">VLOOKUP($B31,'[2]Analisys QBR By Machine Report'!$C$109:$BD$166,2,FALSE)</f>
        <v>33120</v>
      </c>
      <c r="C31" s="14">
        <f ca="1">VLOOKUP($B31,[2]Dasboard_QBR_Report!$B$109:$BL$166,3,FALSE)</f>
        <v>21390</v>
      </c>
      <c r="D31" s="13">
        <f ca="1">VLOOKUP($B31,'[2]Analisys QBR By Machine Report'!$C$109:$BD$166,3,FALSE)</f>
        <v>18210</v>
      </c>
      <c r="E31" s="14">
        <f ca="1">VLOOKUP($B31,[2]Dasboard_QBR_Report!$B$109:$BL$166,5,FALSE)</f>
        <v>6480</v>
      </c>
      <c r="F31" s="13">
        <f t="shared" ca="1" si="0"/>
        <v>14910</v>
      </c>
      <c r="G31" s="13">
        <f t="shared" ca="1" si="1"/>
        <v>1200</v>
      </c>
      <c r="H31" s="13">
        <f ca="1">VLOOKUP($B31,'[2]Analisys QBR By Machine Report'!$C$109:$BD$166,4,FALSE)</f>
        <v>1160</v>
      </c>
      <c r="I31" s="13">
        <f ca="1">VLOOKUP($B31,'[2]Analisys QBR By Machine Report'!$C$109:$BD$166,5,FALSE)</f>
        <v>240</v>
      </c>
      <c r="J31" s="13">
        <f ca="1">VLOOKUP($B31,'[2]Analisys QBR By Machine Report'!$C$109:$BD$166,6,FALSE)</f>
        <v>920</v>
      </c>
      <c r="K31" s="13">
        <f ca="1">VLOOKUP($B31,'[2]Analisys QBR By Machine Report'!$C$109:$BD$166,7,FALSE)</f>
        <v>40</v>
      </c>
      <c r="L31" s="13">
        <f ca="1">VLOOKUP($B31,'[2]Analisys QBR By Machine Report'!$C$109:$BD$166,8,FALSE)</f>
        <v>13710</v>
      </c>
      <c r="M31" s="13">
        <f ca="1">VLOOKUP($B31,'[2]Analisys QBR By Machine Report'!$C$109:$BD$166,9,FALSE)</f>
        <v>5820</v>
      </c>
      <c r="N31" s="13">
        <f ca="1">VLOOKUP($B31,[2]Dasboard_QBR_Report!$B$109:$BL$166,18,FALSE)</f>
        <v>7890</v>
      </c>
      <c r="O31" s="13">
        <f ca="1">VLOOKUP($B31,'[2]Analisys QBR By Machine Report'!$C$109:$BD$166,10,FALSE)</f>
        <v>1663</v>
      </c>
      <c r="P31" s="13">
        <f ca="1">VLOOKUP($B31,'[2]Analisys QBR By Machine Report'!$C$109:$BD$166,11,FALSE)</f>
        <v>1355</v>
      </c>
      <c r="Q31" s="13">
        <f ca="1">VLOOKUP($B31,'[2]Analisys QBR By Machine Report'!$C$109:$BD$166,12,FALSE)</f>
        <v>5</v>
      </c>
      <c r="R31" s="13">
        <f ca="1">VLOOKUP($B31,'[2]Analisys QBR By Machine Report'!$C$109:$BD$166,13,FALSE)</f>
        <v>99</v>
      </c>
      <c r="S31" s="13">
        <f ca="1">VLOOKUP($B31,'[2]Analisys QBR By Machine Report'!$C$109:$BD$166,14,FALSE)</f>
        <v>204</v>
      </c>
      <c r="T31" s="13">
        <f ca="1">VLOOKUP($B31,'[2]Analisys QBR By Machine Report'!$C$109:$BD$166,15,FALSE)</f>
        <v>254</v>
      </c>
      <c r="U31" s="13">
        <f ca="1">VLOOKUP($B31,'[2]Analisys QBR By Machine Report'!$C$109:$BD$166,16,FALSE)</f>
        <v>60</v>
      </c>
      <c r="V31" s="13">
        <f ca="1">VLOOKUP($B31,'[2]Analisys QBR By Machine Report'!$C$109:$BD$166,17,FALSE)</f>
        <v>5</v>
      </c>
      <c r="W31" s="13">
        <f ca="1">VLOOKUP($B31,'[2]Analisys QBR By Machine Report'!$C$109:$BD$166,18,FALSE)</f>
        <v>0</v>
      </c>
      <c r="X31" s="13">
        <f ca="1">VLOOKUP($B31,'[2]Analisys QBR By Machine Report'!$C$109:$BD$166,19,FALSE)</f>
        <v>189</v>
      </c>
      <c r="Y31" s="13">
        <f ca="1">VLOOKUP($B31,'[2]Analisys QBR By Machine Report'!$C$109:$BD$166,20,FALSE)</f>
        <v>0</v>
      </c>
      <c r="Z31" s="13">
        <f ca="1">VLOOKUP($B31,'[2]Analisys QBR By Machine Report'!$C$109:$BD$166,21,FALSE)</f>
        <v>3180</v>
      </c>
      <c r="AA31" s="13">
        <f ca="1">VLOOKUP($B31,'[2]Analisys QBR By Machine Report'!$C$109:$BD$166,22,FALSE)</f>
        <v>415</v>
      </c>
      <c r="AB31" s="13">
        <f ca="1">VLOOKUP($B31,'[2]Analisys QBR By Machine Report'!$C$109:$BD$166,23,FALSE)</f>
        <v>2765</v>
      </c>
      <c r="AC31" s="13">
        <f ca="1">VLOOKUP($B31,'[2]Analisys QBR By Machine Report'!$C$109:$BD$166,24,FALSE)</f>
        <v>0</v>
      </c>
      <c r="AD31" s="13">
        <f ca="1">VLOOKUP($B31,'[2]Analisys QBR By Machine Report'!$C$109:$BD$166,25,FALSE)</f>
        <v>0</v>
      </c>
      <c r="AE31" s="13">
        <f ca="1">VLOOKUP($B31,'[2]Analisys QBR By Machine Report'!$C$109:$BD$166,26,FALSE)</f>
        <v>0</v>
      </c>
      <c r="AF31" s="13">
        <f ca="1">VLOOKUP($B31,'[2]Analisys QBR By Machine Report'!$C$109:$BD$166,27,FALSE)</f>
        <v>0</v>
      </c>
      <c r="AG31" s="13">
        <f ca="1">VLOOKUP($B31,'[2]Analisys QBR By Machine Report'!$C$109:$BD$166,28,FALSE)</f>
        <v>0</v>
      </c>
      <c r="AH31" s="13">
        <f ca="1">VLOOKUP($B31,'[2]Analisys QBR By Machine Report'!$C$109:$BD$166,29,FALSE)</f>
        <v>0</v>
      </c>
      <c r="AI31" s="13">
        <f ca="1">VLOOKUP($B31,'[2]Analisys QBR By Machine Report'!$C$109:$BD$166,30,FALSE)</f>
        <v>2793</v>
      </c>
      <c r="AJ31" s="13">
        <f ca="1">VLOOKUP($B31,'[2]Analisys QBR By Machine Report'!$C$109:$BD$166,31,FALSE)</f>
        <v>0</v>
      </c>
      <c r="AK31" s="13">
        <f ca="1">VLOOKUP($B31,'[2]Analisys QBR By Machine Report'!$C$109:$BD$166,32,FALSE)</f>
        <v>0</v>
      </c>
      <c r="AL31" s="13">
        <f ca="1">VLOOKUP($B31,'[2]Analisys QBR By Machine Report'!$C$109:$BD$166,33,FALSE)</f>
        <v>845</v>
      </c>
      <c r="AM31" s="13">
        <f ca="1">VLOOKUP($B31,'[2]Analisys QBR By Machine Report'!$C$109:$BD$166,34,FALSE)</f>
        <v>0</v>
      </c>
      <c r="AN31" s="13">
        <f ca="1">VLOOKUP($B31,'[2]Analisys QBR By Machine Report'!$C$109:$BD$166,35,FALSE)</f>
        <v>795</v>
      </c>
      <c r="AO31" s="13">
        <f ca="1">VLOOKUP($B31,'[2]Analisys QBR By Machine Report'!$C$109:$BD$166,36,FALSE)</f>
        <v>0</v>
      </c>
      <c r="AP31" s="13">
        <f ca="1">VLOOKUP($B31,'[2]Analisys QBR By Machine Report'!$C$109:$BD$166,37,FALSE)</f>
        <v>0</v>
      </c>
      <c r="AQ31" s="13">
        <f ca="1">VLOOKUP($B31,'[2]Analisys QBR By Machine Report'!$C$109:$BD$166,38,FALSE)</f>
        <v>15</v>
      </c>
      <c r="AR31" s="13">
        <f ca="1">VLOOKUP($B31,'[2]Analisys QBR By Machine Report'!$C$109:$BD$166,39,FALSE)</f>
        <v>0</v>
      </c>
      <c r="AS31" s="13">
        <f ca="1">VLOOKUP($B31,'[2]Analisys QBR By Machine Report'!$C$109:$BD$166,40,FALSE)</f>
        <v>130</v>
      </c>
      <c r="AT31" s="13">
        <f ca="1">VLOOKUP($B31,'[2]Analisys QBR By Machine Report'!$C$109:$BD$166,41,FALSE)</f>
        <v>0</v>
      </c>
      <c r="AU31" s="13">
        <f ca="1">VLOOKUP($B31,'[2]Analisys QBR By Machine Report'!$C$109:$BD$166,42,FALSE)</f>
        <v>0</v>
      </c>
      <c r="AV31" s="13">
        <f ca="1">VLOOKUP($B31,'[2]Analisys QBR By Machine Report'!$C$109:$BD$166,43,FALSE)</f>
        <v>706</v>
      </c>
      <c r="AW31" s="13">
        <f ca="1">VLOOKUP($B31,'[2]Analisys QBR By Machine Report'!$C$109:$BD$166,44,FALSE)</f>
        <v>0</v>
      </c>
      <c r="AX31" s="13">
        <f ca="1">VLOOKUP($B31,'[2]Analisys QBR By Machine Report'!$C$109:$BD$166,45,FALSE)</f>
        <v>0</v>
      </c>
      <c r="AY31" s="13">
        <f ca="1">VLOOKUP($B31,'[2]Analisys QBR By Machine Report'!$C$109:$BD$166,46,FALSE)</f>
        <v>0</v>
      </c>
      <c r="AZ31" s="13">
        <f ca="1">VLOOKUP($B31,'[2]Analisys QBR By Machine Report'!$C$109:$BD$166,47,FALSE)</f>
        <v>302</v>
      </c>
      <c r="BA31" s="13">
        <f ca="1">VLOOKUP($B31,'[2]Analisys QBR By Machine Report'!$C$109:$BD$166,48,FALSE)</f>
        <v>0</v>
      </c>
      <c r="BB31" s="13">
        <f ca="1">VLOOKUP($B31,'[2]Analisys QBR By Machine Report'!$C$109:$BD$166,49,FALSE)</f>
        <v>0</v>
      </c>
      <c r="BC31" s="13">
        <f ca="1">VLOOKUP($B31,'[2]Analisys QBR By Machine Report'!$C$109:$BD$166,50,FALSE)</f>
        <v>0</v>
      </c>
      <c r="BD31" s="13">
        <f ca="1">VLOOKUP($B31,'[2]Analisys QBR By Machine Report'!$C$109:$BD$166,51,FALSE)</f>
        <v>414723</v>
      </c>
      <c r="BE31" s="13">
        <f ca="1">VLOOKUP($B31,'[2]Analisys QBR By Machine Report'!$C$109:$BD$166,52,FALSE)</f>
        <v>405</v>
      </c>
      <c r="BF31" s="13">
        <f ca="1">VLOOKUP($B31,'[2]Analisys QBR By Machine Report'!$C$109:$BD$166,53,FALSE)</f>
        <v>414318</v>
      </c>
    </row>
    <row r="32" spans="1:58" x14ac:dyDescent="0.25">
      <c r="A32" s="9" t="s">
        <v>88</v>
      </c>
      <c r="B32" s="10">
        <f ca="1">VLOOKUP($B32,'[2]Analisys QBR By Machine Report'!$C$109:$BD$166,2,FALSE)</f>
        <v>97920</v>
      </c>
      <c r="C32" s="11">
        <f ca="1">VLOOKUP($B32,[2]Dasboard_QBR_Report!$B$109:$BL$166,3,FALSE)</f>
        <v>63240</v>
      </c>
      <c r="D32" s="10">
        <f ca="1">VLOOKUP($B32,'[2]Analisys QBR By Machine Report'!$C$109:$BD$166,3,FALSE)</f>
        <v>61191</v>
      </c>
      <c r="E32" s="11">
        <f ca="1">VLOOKUP($B32,[2]Dasboard_QBR_Report!$B$109:$BL$166,5,FALSE)</f>
        <v>26511</v>
      </c>
      <c r="F32" s="10">
        <f t="shared" ca="1" si="0"/>
        <v>36729</v>
      </c>
      <c r="G32" s="10">
        <f t="shared" ca="1" si="1"/>
        <v>3807</v>
      </c>
      <c r="H32" s="10">
        <f ca="1">VLOOKUP($B32,'[2]Analisys QBR By Machine Report'!$C$109:$BD$166,4,FALSE)</f>
        <v>3807</v>
      </c>
      <c r="I32" s="10">
        <f ca="1">VLOOKUP($B32,'[2]Analisys QBR By Machine Report'!$C$109:$BD$166,5,FALSE)</f>
        <v>1085</v>
      </c>
      <c r="J32" s="10">
        <f ca="1">VLOOKUP($B32,'[2]Analisys QBR By Machine Report'!$C$109:$BD$166,6,FALSE)</f>
        <v>2722</v>
      </c>
      <c r="K32" s="10">
        <f ca="1">VLOOKUP($B32,'[2]Analisys QBR By Machine Report'!$C$109:$BD$166,7,FALSE)</f>
        <v>0</v>
      </c>
      <c r="L32" s="10">
        <f ca="1">VLOOKUP($B32,'[2]Analisys QBR By Machine Report'!$C$109:$BD$166,8,FALSE)</f>
        <v>32922</v>
      </c>
      <c r="M32" s="10">
        <f ca="1">VLOOKUP($B32,'[2]Analisys QBR By Machine Report'!$C$109:$BD$166,9,FALSE)</f>
        <v>16012</v>
      </c>
      <c r="N32" s="10">
        <f ca="1">VLOOKUP($B32,[2]Dasboard_QBR_Report!$B$109:$BL$166,18,FALSE)</f>
        <v>16910</v>
      </c>
      <c r="O32" s="10">
        <f ca="1">VLOOKUP($B32,'[2]Analisys QBR By Machine Report'!$C$109:$BD$166,10,FALSE)</f>
        <v>938</v>
      </c>
      <c r="P32" s="10">
        <f ca="1">VLOOKUP($B32,'[2]Analisys QBR By Machine Report'!$C$109:$BD$166,11,FALSE)</f>
        <v>873</v>
      </c>
      <c r="Q32" s="10">
        <f ca="1">VLOOKUP($B32,'[2]Analisys QBR By Machine Report'!$C$109:$BD$166,12,FALSE)</f>
        <v>65</v>
      </c>
      <c r="R32" s="10">
        <f ca="1">VLOOKUP($B32,'[2]Analisys QBR By Machine Report'!$C$109:$BD$166,13,FALSE)</f>
        <v>0</v>
      </c>
      <c r="S32" s="10">
        <f ca="1">VLOOKUP($B32,'[2]Analisys QBR By Machine Report'!$C$109:$BD$166,14,FALSE)</f>
        <v>0</v>
      </c>
      <c r="T32" s="10">
        <f ca="1">VLOOKUP($B32,'[2]Analisys QBR By Machine Report'!$C$109:$BD$166,15,FALSE)</f>
        <v>822</v>
      </c>
      <c r="U32" s="10">
        <f ca="1">VLOOKUP($B32,'[2]Analisys QBR By Machine Report'!$C$109:$BD$166,16,FALSE)</f>
        <v>443</v>
      </c>
      <c r="V32" s="10">
        <f ca="1">VLOOKUP($B32,'[2]Analisys QBR By Machine Report'!$C$109:$BD$166,17,FALSE)</f>
        <v>79</v>
      </c>
      <c r="W32" s="10">
        <f ca="1">VLOOKUP($B32,'[2]Analisys QBR By Machine Report'!$C$109:$BD$166,18,FALSE)</f>
        <v>0</v>
      </c>
      <c r="X32" s="10">
        <f ca="1">VLOOKUP($B32,'[2]Analisys QBR By Machine Report'!$C$109:$BD$166,19,FALSE)</f>
        <v>300</v>
      </c>
      <c r="Y32" s="10">
        <f ca="1">VLOOKUP($B32,'[2]Analisys QBR By Machine Report'!$C$109:$BD$166,20,FALSE)</f>
        <v>0</v>
      </c>
      <c r="Z32" s="10">
        <f ca="1">VLOOKUP($B32,'[2]Analisys QBR By Machine Report'!$C$109:$BD$166,21,FALSE)</f>
        <v>7406</v>
      </c>
      <c r="AA32" s="10">
        <f ca="1">VLOOKUP($B32,'[2]Analisys QBR By Machine Report'!$C$109:$BD$166,22,FALSE)</f>
        <v>6214</v>
      </c>
      <c r="AB32" s="10">
        <f ca="1">VLOOKUP($B32,'[2]Analisys QBR By Machine Report'!$C$109:$BD$166,23,FALSE)</f>
        <v>937</v>
      </c>
      <c r="AC32" s="10">
        <f ca="1">VLOOKUP($B32,'[2]Analisys QBR By Machine Report'!$C$109:$BD$166,24,FALSE)</f>
        <v>70</v>
      </c>
      <c r="AD32" s="10">
        <f ca="1">VLOOKUP($B32,'[2]Analisys QBR By Machine Report'!$C$109:$BD$166,25,FALSE)</f>
        <v>0</v>
      </c>
      <c r="AE32" s="10">
        <f ca="1">VLOOKUP($B32,'[2]Analisys QBR By Machine Report'!$C$109:$BD$166,26,FALSE)</f>
        <v>185</v>
      </c>
      <c r="AF32" s="10">
        <f ca="1">VLOOKUP($B32,'[2]Analisys QBR By Machine Report'!$C$109:$BD$166,27,FALSE)</f>
        <v>0</v>
      </c>
      <c r="AG32" s="10">
        <f ca="1">VLOOKUP($B32,'[2]Analisys QBR By Machine Report'!$C$109:$BD$166,28,FALSE)</f>
        <v>0</v>
      </c>
      <c r="AH32" s="10">
        <f ca="1">VLOOKUP($B32,'[2]Analisys QBR By Machine Report'!$C$109:$BD$166,29,FALSE)</f>
        <v>0</v>
      </c>
      <c r="AI32" s="10">
        <f ca="1">VLOOKUP($B32,'[2]Analisys QBR By Machine Report'!$C$109:$BD$166,30,FALSE)</f>
        <v>7744</v>
      </c>
      <c r="AJ32" s="10">
        <f ca="1">VLOOKUP($B32,'[2]Analisys QBR By Machine Report'!$C$109:$BD$166,31,FALSE)</f>
        <v>0</v>
      </c>
      <c r="AK32" s="10">
        <f ca="1">VLOOKUP($B32,'[2]Analisys QBR By Machine Report'!$C$109:$BD$166,32,FALSE)</f>
        <v>0</v>
      </c>
      <c r="AL32" s="10">
        <f ca="1">VLOOKUP($B32,'[2]Analisys QBR By Machine Report'!$C$109:$BD$166,33,FALSE)</f>
        <v>259</v>
      </c>
      <c r="AM32" s="10">
        <f ca="1">VLOOKUP($B32,'[2]Analisys QBR By Machine Report'!$C$109:$BD$166,34,FALSE)</f>
        <v>60</v>
      </c>
      <c r="AN32" s="10">
        <f ca="1">VLOOKUP($B32,'[2]Analisys QBR By Machine Report'!$C$109:$BD$166,35,FALSE)</f>
        <v>205</v>
      </c>
      <c r="AO32" s="10">
        <f ca="1">VLOOKUP($B32,'[2]Analisys QBR By Machine Report'!$C$109:$BD$166,36,FALSE)</f>
        <v>1692</v>
      </c>
      <c r="AP32" s="10">
        <f ca="1">VLOOKUP($B32,'[2]Analisys QBR By Machine Report'!$C$109:$BD$166,37,FALSE)</f>
        <v>0</v>
      </c>
      <c r="AQ32" s="10">
        <f ca="1">VLOOKUP($B32,'[2]Analisys QBR By Machine Report'!$C$109:$BD$166,38,FALSE)</f>
        <v>0</v>
      </c>
      <c r="AR32" s="10">
        <f ca="1">VLOOKUP($B32,'[2]Analisys QBR By Machine Report'!$C$109:$BD$166,39,FALSE)</f>
        <v>5258</v>
      </c>
      <c r="AS32" s="10">
        <f ca="1">VLOOKUP($B32,'[2]Analisys QBR By Machine Report'!$C$109:$BD$166,40,FALSE)</f>
        <v>270</v>
      </c>
      <c r="AT32" s="10">
        <f ca="1">VLOOKUP($B32,'[2]Analisys QBR By Machine Report'!$C$109:$BD$166,41,FALSE)</f>
        <v>0</v>
      </c>
      <c r="AU32" s="10">
        <f ca="1">VLOOKUP($B32,'[2]Analisys QBR By Machine Report'!$C$109:$BD$166,42,FALSE)</f>
        <v>0</v>
      </c>
      <c r="AV32" s="10">
        <f ca="1">VLOOKUP($B32,'[2]Analisys QBR By Machine Report'!$C$109:$BD$166,43,FALSE)</f>
        <v>0</v>
      </c>
      <c r="AW32" s="10">
        <f ca="1">VLOOKUP($B32,'[2]Analisys QBR By Machine Report'!$C$109:$BD$166,44,FALSE)</f>
        <v>0</v>
      </c>
      <c r="AX32" s="10">
        <f ca="1">VLOOKUP($B32,'[2]Analisys QBR By Machine Report'!$C$109:$BD$166,45,FALSE)</f>
        <v>0</v>
      </c>
      <c r="AY32" s="10">
        <f ca="1">VLOOKUP($B32,'[2]Analisys QBR By Machine Report'!$C$109:$BD$166,46,FALSE)</f>
        <v>0</v>
      </c>
      <c r="AZ32" s="10">
        <f ca="1">VLOOKUP($B32,'[2]Analisys QBR By Machine Report'!$C$109:$BD$166,47,FALSE)</f>
        <v>0</v>
      </c>
      <c r="BA32" s="10">
        <f ca="1">VLOOKUP($B32,'[2]Analisys QBR By Machine Report'!$C$109:$BD$166,48,FALSE)</f>
        <v>0</v>
      </c>
      <c r="BB32" s="10">
        <f ca="1">VLOOKUP($B32,'[2]Analisys QBR By Machine Report'!$C$109:$BD$166,49,FALSE)</f>
        <v>0</v>
      </c>
      <c r="BC32" s="10">
        <f ca="1">VLOOKUP($B32,'[2]Analisys QBR By Machine Report'!$C$109:$BD$166,50,FALSE)</f>
        <v>0</v>
      </c>
      <c r="BD32" s="10">
        <f ca="1">VLOOKUP($B32,'[2]Analisys QBR By Machine Report'!$C$109:$BD$166,51,FALSE)</f>
        <v>1207</v>
      </c>
      <c r="BE32" s="10">
        <f ca="1">VLOOKUP($B32,'[2]Analisys QBR By Machine Report'!$C$109:$BD$166,52,FALSE)</f>
        <v>0</v>
      </c>
      <c r="BF32" s="10">
        <f ca="1">VLOOKUP($B32,'[2]Analisys QBR By Machine Report'!$C$109:$BD$166,53,FALSE)</f>
        <v>1207</v>
      </c>
    </row>
    <row r="33" spans="1:58" x14ac:dyDescent="0.25">
      <c r="A33" s="12" t="s">
        <v>89</v>
      </c>
      <c r="B33" s="13">
        <f ca="1">VLOOKUP($B33,'[2]Analisys QBR By Machine Report'!$C$109:$BD$166,2,FALSE)</f>
        <v>30240</v>
      </c>
      <c r="C33" s="14">
        <f ca="1">VLOOKUP($B33,[2]Dasboard_QBR_Report!$B$109:$BL$166,3,FALSE)</f>
        <v>19530</v>
      </c>
      <c r="D33" s="13">
        <f ca="1">VLOOKUP($B33,'[2]Analisys QBR By Machine Report'!$C$109:$BD$166,3,FALSE)</f>
        <v>24658</v>
      </c>
      <c r="E33" s="14">
        <f ca="1">VLOOKUP($B33,[2]Dasboard_QBR_Report!$B$109:$BL$166,5,FALSE)</f>
        <v>13948</v>
      </c>
      <c r="F33" s="13">
        <f t="shared" ca="1" si="0"/>
        <v>5582</v>
      </c>
      <c r="G33" s="13">
        <f t="shared" ca="1" si="1"/>
        <v>333</v>
      </c>
      <c r="H33" s="13">
        <f ca="1">VLOOKUP($B33,'[2]Analisys QBR By Machine Report'!$C$109:$BD$166,4,FALSE)</f>
        <v>333</v>
      </c>
      <c r="I33" s="13">
        <f ca="1">VLOOKUP($B33,'[2]Analisys QBR By Machine Report'!$C$109:$BD$166,5,FALSE)</f>
        <v>63</v>
      </c>
      <c r="J33" s="13">
        <f ca="1">VLOOKUP($B33,'[2]Analisys QBR By Machine Report'!$C$109:$BD$166,6,FALSE)</f>
        <v>270</v>
      </c>
      <c r="K33" s="13">
        <f ca="1">VLOOKUP($B33,'[2]Analisys QBR By Machine Report'!$C$109:$BD$166,7,FALSE)</f>
        <v>0</v>
      </c>
      <c r="L33" s="13">
        <f ca="1">VLOOKUP($B33,'[2]Analisys QBR By Machine Report'!$C$109:$BD$166,8,FALSE)</f>
        <v>5249</v>
      </c>
      <c r="M33" s="13">
        <f ca="1">VLOOKUP($B33,'[2]Analisys QBR By Machine Report'!$C$109:$BD$166,9,FALSE)</f>
        <v>2139</v>
      </c>
      <c r="N33" s="13">
        <f ca="1">VLOOKUP($B33,[2]Dasboard_QBR_Report!$B$109:$BL$166,18,FALSE)</f>
        <v>3110</v>
      </c>
      <c r="O33" s="13">
        <f ca="1">VLOOKUP($B33,'[2]Analisys QBR By Machine Report'!$C$109:$BD$166,10,FALSE)</f>
        <v>102</v>
      </c>
      <c r="P33" s="13">
        <f ca="1">VLOOKUP($B33,'[2]Analisys QBR By Machine Report'!$C$109:$BD$166,11,FALSE)</f>
        <v>102</v>
      </c>
      <c r="Q33" s="13">
        <f ca="1">VLOOKUP($B33,'[2]Analisys QBR By Machine Report'!$C$109:$BD$166,12,FALSE)</f>
        <v>0</v>
      </c>
      <c r="R33" s="13">
        <f ca="1">VLOOKUP($B33,'[2]Analisys QBR By Machine Report'!$C$109:$BD$166,13,FALSE)</f>
        <v>0</v>
      </c>
      <c r="S33" s="13">
        <f ca="1">VLOOKUP($B33,'[2]Analisys QBR By Machine Report'!$C$109:$BD$166,14,FALSE)</f>
        <v>0</v>
      </c>
      <c r="T33" s="13">
        <f ca="1">VLOOKUP($B33,'[2]Analisys QBR By Machine Report'!$C$109:$BD$166,15,FALSE)</f>
        <v>0</v>
      </c>
      <c r="U33" s="13">
        <f ca="1">VLOOKUP($B33,'[2]Analisys QBR By Machine Report'!$C$109:$BD$166,16,FALSE)</f>
        <v>0</v>
      </c>
      <c r="V33" s="13">
        <f ca="1">VLOOKUP($B33,'[2]Analisys QBR By Machine Report'!$C$109:$BD$166,17,FALSE)</f>
        <v>0</v>
      </c>
      <c r="W33" s="13">
        <f ca="1">VLOOKUP($B33,'[2]Analisys QBR By Machine Report'!$C$109:$BD$166,18,FALSE)</f>
        <v>0</v>
      </c>
      <c r="X33" s="13">
        <f ca="1">VLOOKUP($B33,'[2]Analisys QBR By Machine Report'!$C$109:$BD$166,19,FALSE)</f>
        <v>0</v>
      </c>
      <c r="Y33" s="13">
        <f ca="1">VLOOKUP($B33,'[2]Analisys QBR By Machine Report'!$C$109:$BD$166,20,FALSE)</f>
        <v>0</v>
      </c>
      <c r="Z33" s="13">
        <f ca="1">VLOOKUP($B33,'[2]Analisys QBR By Machine Report'!$C$109:$BD$166,21,FALSE)</f>
        <v>485</v>
      </c>
      <c r="AA33" s="13">
        <f ca="1">VLOOKUP($B33,'[2]Analisys QBR By Machine Report'!$C$109:$BD$166,22,FALSE)</f>
        <v>186</v>
      </c>
      <c r="AB33" s="13">
        <f ca="1">VLOOKUP($B33,'[2]Analisys QBR By Machine Report'!$C$109:$BD$166,23,FALSE)</f>
        <v>299</v>
      </c>
      <c r="AC33" s="13">
        <f ca="1">VLOOKUP($B33,'[2]Analisys QBR By Machine Report'!$C$109:$BD$166,24,FALSE)</f>
        <v>0</v>
      </c>
      <c r="AD33" s="13">
        <f ca="1">VLOOKUP($B33,'[2]Analisys QBR By Machine Report'!$C$109:$BD$166,25,FALSE)</f>
        <v>0</v>
      </c>
      <c r="AE33" s="13">
        <f ca="1">VLOOKUP($B33,'[2]Analisys QBR By Machine Report'!$C$109:$BD$166,26,FALSE)</f>
        <v>0</v>
      </c>
      <c r="AF33" s="13">
        <f ca="1">VLOOKUP($B33,'[2]Analisys QBR By Machine Report'!$C$109:$BD$166,27,FALSE)</f>
        <v>0</v>
      </c>
      <c r="AG33" s="13">
        <f ca="1">VLOOKUP($B33,'[2]Analisys QBR By Machine Report'!$C$109:$BD$166,28,FALSE)</f>
        <v>0</v>
      </c>
      <c r="AH33" s="13">
        <f ca="1">VLOOKUP($B33,'[2]Analisys QBR By Machine Report'!$C$109:$BD$166,29,FALSE)</f>
        <v>0</v>
      </c>
      <c r="AI33" s="13">
        <f ca="1">VLOOKUP($B33,'[2]Analisys QBR By Machine Report'!$C$109:$BD$166,30,FALSE)</f>
        <v>2523</v>
      </c>
      <c r="AJ33" s="13">
        <f ca="1">VLOOKUP($B33,'[2]Analisys QBR By Machine Report'!$C$109:$BD$166,31,FALSE)</f>
        <v>0</v>
      </c>
      <c r="AK33" s="13">
        <f ca="1">VLOOKUP($B33,'[2]Analisys QBR By Machine Report'!$C$109:$BD$166,32,FALSE)</f>
        <v>0</v>
      </c>
      <c r="AL33" s="13">
        <f ca="1">VLOOKUP($B33,'[2]Analisys QBR By Machine Report'!$C$109:$BD$166,33,FALSE)</f>
        <v>0</v>
      </c>
      <c r="AM33" s="13">
        <f ca="1">VLOOKUP($B33,'[2]Analisys QBR By Machine Report'!$C$109:$BD$166,34,FALSE)</f>
        <v>0</v>
      </c>
      <c r="AN33" s="13">
        <f ca="1">VLOOKUP($B33,'[2]Analisys QBR By Machine Report'!$C$109:$BD$166,35,FALSE)</f>
        <v>0</v>
      </c>
      <c r="AO33" s="13">
        <f ca="1">VLOOKUP($B33,'[2]Analisys QBR By Machine Report'!$C$109:$BD$166,36,FALSE)</f>
        <v>0</v>
      </c>
      <c r="AP33" s="13">
        <f ca="1">VLOOKUP($B33,'[2]Analisys QBR By Machine Report'!$C$109:$BD$166,37,FALSE)</f>
        <v>0</v>
      </c>
      <c r="AQ33" s="13">
        <f ca="1">VLOOKUP($B33,'[2]Analisys QBR By Machine Report'!$C$109:$BD$166,38,FALSE)</f>
        <v>0</v>
      </c>
      <c r="AR33" s="13">
        <f ca="1">VLOOKUP($B33,'[2]Analisys QBR By Machine Report'!$C$109:$BD$166,39,FALSE)</f>
        <v>2523</v>
      </c>
      <c r="AS33" s="13">
        <f ca="1">VLOOKUP($B33,'[2]Analisys QBR By Machine Report'!$C$109:$BD$166,40,FALSE)</f>
        <v>0</v>
      </c>
      <c r="AT33" s="13">
        <f ca="1">VLOOKUP($B33,'[2]Analisys QBR By Machine Report'!$C$109:$BD$166,41,FALSE)</f>
        <v>0</v>
      </c>
      <c r="AU33" s="13">
        <f ca="1">VLOOKUP($B33,'[2]Analisys QBR By Machine Report'!$C$109:$BD$166,42,FALSE)</f>
        <v>0</v>
      </c>
      <c r="AV33" s="13">
        <f ca="1">VLOOKUP($B33,'[2]Analisys QBR By Machine Report'!$C$109:$BD$166,43,FALSE)</f>
        <v>0</v>
      </c>
      <c r="AW33" s="13">
        <f ca="1">VLOOKUP($B33,'[2]Analisys QBR By Machine Report'!$C$109:$BD$166,44,FALSE)</f>
        <v>0</v>
      </c>
      <c r="AX33" s="13">
        <f ca="1">VLOOKUP($B33,'[2]Analisys QBR By Machine Report'!$C$109:$BD$166,45,FALSE)</f>
        <v>0</v>
      </c>
      <c r="AY33" s="13">
        <f ca="1">VLOOKUP($B33,'[2]Analisys QBR By Machine Report'!$C$109:$BD$166,46,FALSE)</f>
        <v>0</v>
      </c>
      <c r="AZ33" s="13">
        <f ca="1">VLOOKUP($B33,'[2]Analisys QBR By Machine Report'!$C$109:$BD$166,47,FALSE)</f>
        <v>0</v>
      </c>
      <c r="BA33" s="13">
        <f ca="1">VLOOKUP($B33,'[2]Analisys QBR By Machine Report'!$C$109:$BD$166,48,FALSE)</f>
        <v>0</v>
      </c>
      <c r="BB33" s="13">
        <f ca="1">VLOOKUP($B33,'[2]Analisys QBR By Machine Report'!$C$109:$BD$166,49,FALSE)</f>
        <v>0</v>
      </c>
      <c r="BC33" s="13">
        <f ca="1">VLOOKUP($B33,'[2]Analisys QBR By Machine Report'!$C$109:$BD$166,50,FALSE)</f>
        <v>0</v>
      </c>
      <c r="BD33" s="13">
        <f ca="1">VLOOKUP($B33,'[2]Analisys QBR By Machine Report'!$C$109:$BD$166,51,FALSE)</f>
        <v>209</v>
      </c>
      <c r="BE33" s="13">
        <f ca="1">VLOOKUP($B33,'[2]Analisys QBR By Machine Report'!$C$109:$BD$166,52,FALSE)</f>
        <v>0</v>
      </c>
      <c r="BF33" s="13">
        <f ca="1">VLOOKUP($B33,'[2]Analisys QBR By Machine Report'!$C$109:$BD$166,53,FALSE)</f>
        <v>209</v>
      </c>
    </row>
    <row r="34" spans="1:58" x14ac:dyDescent="0.25">
      <c r="A34" s="12" t="s">
        <v>90</v>
      </c>
      <c r="B34" s="13">
        <f ca="1">VLOOKUP($B34,'[2]Analisys QBR By Machine Report'!$C$109:$BD$166,2,FALSE)</f>
        <v>34560</v>
      </c>
      <c r="C34" s="14">
        <f ca="1">VLOOKUP($B34,[2]Dasboard_QBR_Report!$B$109:$BL$166,3,FALSE)</f>
        <v>22320</v>
      </c>
      <c r="D34" s="13">
        <f ca="1">VLOOKUP($B34,'[2]Analisys QBR By Machine Report'!$C$109:$BD$166,3,FALSE)</f>
        <v>14865</v>
      </c>
      <c r="E34" s="14">
        <f ca="1">VLOOKUP($B34,[2]Dasboard_QBR_Report!$B$109:$BL$166,5,FALSE)</f>
        <v>2625</v>
      </c>
      <c r="F34" s="13">
        <f t="shared" ca="1" si="0"/>
        <v>19695</v>
      </c>
      <c r="G34" s="13">
        <f t="shared" ca="1" si="1"/>
        <v>1344</v>
      </c>
      <c r="H34" s="13">
        <f ca="1">VLOOKUP($B34,'[2]Analisys QBR By Machine Report'!$C$109:$BD$166,4,FALSE)</f>
        <v>1344</v>
      </c>
      <c r="I34" s="13">
        <f ca="1">VLOOKUP($B34,'[2]Analisys QBR By Machine Report'!$C$109:$BD$166,5,FALSE)</f>
        <v>1002</v>
      </c>
      <c r="J34" s="13">
        <f ca="1">VLOOKUP($B34,'[2]Analisys QBR By Machine Report'!$C$109:$BD$166,6,FALSE)</f>
        <v>342</v>
      </c>
      <c r="K34" s="13">
        <f ca="1">VLOOKUP($B34,'[2]Analisys QBR By Machine Report'!$C$109:$BD$166,7,FALSE)</f>
        <v>0</v>
      </c>
      <c r="L34" s="13">
        <f ca="1">VLOOKUP($B34,'[2]Analisys QBR By Machine Report'!$C$109:$BD$166,8,FALSE)</f>
        <v>18351</v>
      </c>
      <c r="M34" s="13">
        <f ca="1">VLOOKUP($B34,'[2]Analisys QBR By Machine Report'!$C$109:$BD$166,9,FALSE)</f>
        <v>12420</v>
      </c>
      <c r="N34" s="13">
        <f ca="1">VLOOKUP($B34,[2]Dasboard_QBR_Report!$B$109:$BL$166,18,FALSE)</f>
        <v>5931</v>
      </c>
      <c r="O34" s="13">
        <f ca="1">VLOOKUP($B34,'[2]Analisys QBR By Machine Report'!$C$109:$BD$166,10,FALSE)</f>
        <v>121</v>
      </c>
      <c r="P34" s="13">
        <f ca="1">VLOOKUP($B34,'[2]Analisys QBR By Machine Report'!$C$109:$BD$166,11,FALSE)</f>
        <v>121</v>
      </c>
      <c r="Q34" s="13">
        <f ca="1">VLOOKUP($B34,'[2]Analisys QBR By Machine Report'!$C$109:$BD$166,12,FALSE)</f>
        <v>0</v>
      </c>
      <c r="R34" s="13">
        <f ca="1">VLOOKUP($B34,'[2]Analisys QBR By Machine Report'!$C$109:$BD$166,13,FALSE)</f>
        <v>0</v>
      </c>
      <c r="S34" s="13">
        <f ca="1">VLOOKUP($B34,'[2]Analisys QBR By Machine Report'!$C$109:$BD$166,14,FALSE)</f>
        <v>0</v>
      </c>
      <c r="T34" s="13">
        <f ca="1">VLOOKUP($B34,'[2]Analisys QBR By Machine Report'!$C$109:$BD$166,15,FALSE)</f>
        <v>822</v>
      </c>
      <c r="U34" s="13">
        <f ca="1">VLOOKUP($B34,'[2]Analisys QBR By Machine Report'!$C$109:$BD$166,16,FALSE)</f>
        <v>443</v>
      </c>
      <c r="V34" s="13">
        <f ca="1">VLOOKUP($B34,'[2]Analisys QBR By Machine Report'!$C$109:$BD$166,17,FALSE)</f>
        <v>79</v>
      </c>
      <c r="W34" s="13">
        <f ca="1">VLOOKUP($B34,'[2]Analisys QBR By Machine Report'!$C$109:$BD$166,18,FALSE)</f>
        <v>0</v>
      </c>
      <c r="X34" s="13">
        <f ca="1">VLOOKUP($B34,'[2]Analisys QBR By Machine Report'!$C$109:$BD$166,19,FALSE)</f>
        <v>300</v>
      </c>
      <c r="Y34" s="13">
        <f ca="1">VLOOKUP($B34,'[2]Analisys QBR By Machine Report'!$C$109:$BD$166,20,FALSE)</f>
        <v>0</v>
      </c>
      <c r="Z34" s="13">
        <f ca="1">VLOOKUP($B34,'[2]Analisys QBR By Machine Report'!$C$109:$BD$166,21,FALSE)</f>
        <v>4963</v>
      </c>
      <c r="AA34" s="13">
        <f ca="1">VLOOKUP($B34,'[2]Analisys QBR By Machine Report'!$C$109:$BD$166,22,FALSE)</f>
        <v>4810</v>
      </c>
      <c r="AB34" s="13">
        <f ca="1">VLOOKUP($B34,'[2]Analisys QBR By Machine Report'!$C$109:$BD$166,23,FALSE)</f>
        <v>153</v>
      </c>
      <c r="AC34" s="13">
        <f ca="1">VLOOKUP($B34,'[2]Analisys QBR By Machine Report'!$C$109:$BD$166,24,FALSE)</f>
        <v>0</v>
      </c>
      <c r="AD34" s="13">
        <f ca="1">VLOOKUP($B34,'[2]Analisys QBR By Machine Report'!$C$109:$BD$166,25,FALSE)</f>
        <v>0</v>
      </c>
      <c r="AE34" s="13">
        <f ca="1">VLOOKUP($B34,'[2]Analisys QBR By Machine Report'!$C$109:$BD$166,26,FALSE)</f>
        <v>0</v>
      </c>
      <c r="AF34" s="13">
        <f ca="1">VLOOKUP($B34,'[2]Analisys QBR By Machine Report'!$C$109:$BD$166,27,FALSE)</f>
        <v>0</v>
      </c>
      <c r="AG34" s="13">
        <f ca="1">VLOOKUP($B34,'[2]Analisys QBR By Machine Report'!$C$109:$BD$166,28,FALSE)</f>
        <v>0</v>
      </c>
      <c r="AH34" s="13">
        <f ca="1">VLOOKUP($B34,'[2]Analisys QBR By Machine Report'!$C$109:$BD$166,29,FALSE)</f>
        <v>0</v>
      </c>
      <c r="AI34" s="13">
        <f ca="1">VLOOKUP($B34,'[2]Analisys QBR By Machine Report'!$C$109:$BD$166,30,FALSE)</f>
        <v>25</v>
      </c>
      <c r="AJ34" s="13">
        <f ca="1">VLOOKUP($B34,'[2]Analisys QBR By Machine Report'!$C$109:$BD$166,31,FALSE)</f>
        <v>0</v>
      </c>
      <c r="AK34" s="13">
        <f ca="1">VLOOKUP($B34,'[2]Analisys QBR By Machine Report'!$C$109:$BD$166,32,FALSE)</f>
        <v>0</v>
      </c>
      <c r="AL34" s="13">
        <f ca="1">VLOOKUP($B34,'[2]Analisys QBR By Machine Report'!$C$109:$BD$166,33,FALSE)</f>
        <v>25</v>
      </c>
      <c r="AM34" s="13">
        <f ca="1">VLOOKUP($B34,'[2]Analisys QBR By Machine Report'!$C$109:$BD$166,34,FALSE)</f>
        <v>0</v>
      </c>
      <c r="AN34" s="13">
        <f ca="1">VLOOKUP($B34,'[2]Analisys QBR By Machine Report'!$C$109:$BD$166,35,FALSE)</f>
        <v>0</v>
      </c>
      <c r="AO34" s="13">
        <f ca="1">VLOOKUP($B34,'[2]Analisys QBR By Machine Report'!$C$109:$BD$166,36,FALSE)</f>
        <v>0</v>
      </c>
      <c r="AP34" s="13">
        <f ca="1">VLOOKUP($B34,'[2]Analisys QBR By Machine Report'!$C$109:$BD$166,37,FALSE)</f>
        <v>0</v>
      </c>
      <c r="AQ34" s="13">
        <f ca="1">VLOOKUP($B34,'[2]Analisys QBR By Machine Report'!$C$109:$BD$166,38,FALSE)</f>
        <v>0</v>
      </c>
      <c r="AR34" s="13">
        <f ca="1">VLOOKUP($B34,'[2]Analisys QBR By Machine Report'!$C$109:$BD$166,39,FALSE)</f>
        <v>0</v>
      </c>
      <c r="AS34" s="13">
        <f ca="1">VLOOKUP($B34,'[2]Analisys QBR By Machine Report'!$C$109:$BD$166,40,FALSE)</f>
        <v>0</v>
      </c>
      <c r="AT34" s="13">
        <f ca="1">VLOOKUP($B34,'[2]Analisys QBR By Machine Report'!$C$109:$BD$166,41,FALSE)</f>
        <v>0</v>
      </c>
      <c r="AU34" s="13">
        <f ca="1">VLOOKUP($B34,'[2]Analisys QBR By Machine Report'!$C$109:$BD$166,42,FALSE)</f>
        <v>0</v>
      </c>
      <c r="AV34" s="13">
        <f ca="1">VLOOKUP($B34,'[2]Analisys QBR By Machine Report'!$C$109:$BD$166,43,FALSE)</f>
        <v>0</v>
      </c>
      <c r="AW34" s="13">
        <f ca="1">VLOOKUP($B34,'[2]Analisys QBR By Machine Report'!$C$109:$BD$166,44,FALSE)</f>
        <v>0</v>
      </c>
      <c r="AX34" s="13">
        <f ca="1">VLOOKUP($B34,'[2]Analisys QBR By Machine Report'!$C$109:$BD$166,45,FALSE)</f>
        <v>0</v>
      </c>
      <c r="AY34" s="13">
        <f ca="1">VLOOKUP($B34,'[2]Analisys QBR By Machine Report'!$C$109:$BD$166,46,FALSE)</f>
        <v>0</v>
      </c>
      <c r="AZ34" s="13">
        <f ca="1">VLOOKUP($B34,'[2]Analisys QBR By Machine Report'!$C$109:$BD$166,47,FALSE)</f>
        <v>0</v>
      </c>
      <c r="BA34" s="13">
        <f ca="1">VLOOKUP($B34,'[2]Analisys QBR By Machine Report'!$C$109:$BD$166,48,FALSE)</f>
        <v>0</v>
      </c>
      <c r="BB34" s="13">
        <f ca="1">VLOOKUP($B34,'[2]Analisys QBR By Machine Report'!$C$109:$BD$166,49,FALSE)</f>
        <v>0</v>
      </c>
      <c r="BC34" s="13">
        <f ca="1">VLOOKUP($B34,'[2]Analisys QBR By Machine Report'!$C$109:$BD$166,50,FALSE)</f>
        <v>0</v>
      </c>
      <c r="BD34" s="13">
        <f ca="1">VLOOKUP($B34,'[2]Analisys QBR By Machine Report'!$C$109:$BD$166,51,FALSE)</f>
        <v>968</v>
      </c>
      <c r="BE34" s="13">
        <f ca="1">VLOOKUP($B34,'[2]Analisys QBR By Machine Report'!$C$109:$BD$166,52,FALSE)</f>
        <v>0</v>
      </c>
      <c r="BF34" s="13">
        <f ca="1">VLOOKUP($B34,'[2]Analisys QBR By Machine Report'!$C$109:$BD$166,53,FALSE)</f>
        <v>968</v>
      </c>
    </row>
    <row r="35" spans="1:58" x14ac:dyDescent="0.25">
      <c r="A35" s="12" t="s">
        <v>91</v>
      </c>
      <c r="B35" s="13">
        <f ca="1">VLOOKUP($B35,'[2]Analisys QBR By Machine Report'!$C$109:$BD$166,2,FALSE)</f>
        <v>33120</v>
      </c>
      <c r="C35" s="14">
        <f ca="1">VLOOKUP($B35,[2]Dasboard_QBR_Report!$B$109:$BL$166,3,FALSE)</f>
        <v>21390</v>
      </c>
      <c r="D35" s="13">
        <f ca="1">VLOOKUP($B35,'[2]Analisys QBR By Machine Report'!$C$109:$BD$166,3,FALSE)</f>
        <v>21668</v>
      </c>
      <c r="E35" s="14">
        <f ca="1">VLOOKUP($B35,[2]Dasboard_QBR_Report!$B$109:$BL$166,5,FALSE)</f>
        <v>9938</v>
      </c>
      <c r="F35" s="13">
        <f t="shared" ca="1" si="0"/>
        <v>11452</v>
      </c>
      <c r="G35" s="13">
        <f t="shared" ca="1" si="1"/>
        <v>2130</v>
      </c>
      <c r="H35" s="13">
        <f ca="1">VLOOKUP($B35,'[2]Analisys QBR By Machine Report'!$C$109:$BD$166,4,FALSE)</f>
        <v>2130</v>
      </c>
      <c r="I35" s="13">
        <f ca="1">VLOOKUP($B35,'[2]Analisys QBR By Machine Report'!$C$109:$BD$166,5,FALSE)</f>
        <v>20</v>
      </c>
      <c r="J35" s="13">
        <f ca="1">VLOOKUP($B35,'[2]Analisys QBR By Machine Report'!$C$109:$BD$166,6,FALSE)</f>
        <v>2110</v>
      </c>
      <c r="K35" s="13">
        <f ca="1">VLOOKUP($B35,'[2]Analisys QBR By Machine Report'!$C$109:$BD$166,7,FALSE)</f>
        <v>0</v>
      </c>
      <c r="L35" s="13">
        <f ca="1">VLOOKUP($B35,'[2]Analisys QBR By Machine Report'!$C$109:$BD$166,8,FALSE)</f>
        <v>9322</v>
      </c>
      <c r="M35" s="13">
        <f ca="1">VLOOKUP($B35,'[2]Analisys QBR By Machine Report'!$C$109:$BD$166,9,FALSE)</f>
        <v>1453</v>
      </c>
      <c r="N35" s="13">
        <f ca="1">VLOOKUP($B35,[2]Dasboard_QBR_Report!$B$109:$BL$166,18,FALSE)</f>
        <v>7869</v>
      </c>
      <c r="O35" s="13">
        <f ca="1">VLOOKUP($B35,'[2]Analisys QBR By Machine Report'!$C$109:$BD$166,10,FALSE)</f>
        <v>715</v>
      </c>
      <c r="P35" s="13">
        <f ca="1">VLOOKUP($B35,'[2]Analisys QBR By Machine Report'!$C$109:$BD$166,11,FALSE)</f>
        <v>650</v>
      </c>
      <c r="Q35" s="13">
        <f ca="1">VLOOKUP($B35,'[2]Analisys QBR By Machine Report'!$C$109:$BD$166,12,FALSE)</f>
        <v>65</v>
      </c>
      <c r="R35" s="13">
        <f ca="1">VLOOKUP($B35,'[2]Analisys QBR By Machine Report'!$C$109:$BD$166,13,FALSE)</f>
        <v>0</v>
      </c>
      <c r="S35" s="13">
        <f ca="1">VLOOKUP($B35,'[2]Analisys QBR By Machine Report'!$C$109:$BD$166,14,FALSE)</f>
        <v>0</v>
      </c>
      <c r="T35" s="13">
        <f ca="1">VLOOKUP($B35,'[2]Analisys QBR By Machine Report'!$C$109:$BD$166,15,FALSE)</f>
        <v>0</v>
      </c>
      <c r="U35" s="13">
        <f ca="1">VLOOKUP($B35,'[2]Analisys QBR By Machine Report'!$C$109:$BD$166,16,FALSE)</f>
        <v>0</v>
      </c>
      <c r="V35" s="13">
        <f ca="1">VLOOKUP($B35,'[2]Analisys QBR By Machine Report'!$C$109:$BD$166,17,FALSE)</f>
        <v>0</v>
      </c>
      <c r="W35" s="13">
        <f ca="1">VLOOKUP($B35,'[2]Analisys QBR By Machine Report'!$C$109:$BD$166,18,FALSE)</f>
        <v>0</v>
      </c>
      <c r="X35" s="13">
        <f ca="1">VLOOKUP($B35,'[2]Analisys QBR By Machine Report'!$C$109:$BD$166,19,FALSE)</f>
        <v>0</v>
      </c>
      <c r="Y35" s="13">
        <f ca="1">VLOOKUP($B35,'[2]Analisys QBR By Machine Report'!$C$109:$BD$166,20,FALSE)</f>
        <v>0</v>
      </c>
      <c r="Z35" s="13">
        <f ca="1">VLOOKUP($B35,'[2]Analisys QBR By Machine Report'!$C$109:$BD$166,21,FALSE)</f>
        <v>1958</v>
      </c>
      <c r="AA35" s="13">
        <f ca="1">VLOOKUP($B35,'[2]Analisys QBR By Machine Report'!$C$109:$BD$166,22,FALSE)</f>
        <v>1218</v>
      </c>
      <c r="AB35" s="13">
        <f ca="1">VLOOKUP($B35,'[2]Analisys QBR By Machine Report'!$C$109:$BD$166,23,FALSE)</f>
        <v>485</v>
      </c>
      <c r="AC35" s="13">
        <f ca="1">VLOOKUP($B35,'[2]Analisys QBR By Machine Report'!$C$109:$BD$166,24,FALSE)</f>
        <v>70</v>
      </c>
      <c r="AD35" s="13">
        <f ca="1">VLOOKUP($B35,'[2]Analisys QBR By Machine Report'!$C$109:$BD$166,25,FALSE)</f>
        <v>0</v>
      </c>
      <c r="AE35" s="13">
        <f ca="1">VLOOKUP($B35,'[2]Analisys QBR By Machine Report'!$C$109:$BD$166,26,FALSE)</f>
        <v>185</v>
      </c>
      <c r="AF35" s="13">
        <f ca="1">VLOOKUP($B35,'[2]Analisys QBR By Machine Report'!$C$109:$BD$166,27,FALSE)</f>
        <v>0</v>
      </c>
      <c r="AG35" s="13">
        <f ca="1">VLOOKUP($B35,'[2]Analisys QBR By Machine Report'!$C$109:$BD$166,28,FALSE)</f>
        <v>0</v>
      </c>
      <c r="AH35" s="13">
        <f ca="1">VLOOKUP($B35,'[2]Analisys QBR By Machine Report'!$C$109:$BD$166,29,FALSE)</f>
        <v>0</v>
      </c>
      <c r="AI35" s="13">
        <f ca="1">VLOOKUP($B35,'[2]Analisys QBR By Machine Report'!$C$109:$BD$166,30,FALSE)</f>
        <v>5196</v>
      </c>
      <c r="AJ35" s="13">
        <f ca="1">VLOOKUP($B35,'[2]Analisys QBR By Machine Report'!$C$109:$BD$166,31,FALSE)</f>
        <v>0</v>
      </c>
      <c r="AK35" s="13">
        <f ca="1">VLOOKUP($B35,'[2]Analisys QBR By Machine Report'!$C$109:$BD$166,32,FALSE)</f>
        <v>0</v>
      </c>
      <c r="AL35" s="13">
        <f ca="1">VLOOKUP($B35,'[2]Analisys QBR By Machine Report'!$C$109:$BD$166,33,FALSE)</f>
        <v>234</v>
      </c>
      <c r="AM35" s="13">
        <f ca="1">VLOOKUP($B35,'[2]Analisys QBR By Machine Report'!$C$109:$BD$166,34,FALSE)</f>
        <v>60</v>
      </c>
      <c r="AN35" s="13">
        <f ca="1">VLOOKUP($B35,'[2]Analisys QBR By Machine Report'!$C$109:$BD$166,35,FALSE)</f>
        <v>205</v>
      </c>
      <c r="AO35" s="13">
        <f ca="1">VLOOKUP($B35,'[2]Analisys QBR By Machine Report'!$C$109:$BD$166,36,FALSE)</f>
        <v>1692</v>
      </c>
      <c r="AP35" s="13">
        <f ca="1">VLOOKUP($B35,'[2]Analisys QBR By Machine Report'!$C$109:$BD$166,37,FALSE)</f>
        <v>0</v>
      </c>
      <c r="AQ35" s="13">
        <f ca="1">VLOOKUP($B35,'[2]Analisys QBR By Machine Report'!$C$109:$BD$166,38,FALSE)</f>
        <v>0</v>
      </c>
      <c r="AR35" s="13">
        <f ca="1">VLOOKUP($B35,'[2]Analisys QBR By Machine Report'!$C$109:$BD$166,39,FALSE)</f>
        <v>2735</v>
      </c>
      <c r="AS35" s="13">
        <f ca="1">VLOOKUP($B35,'[2]Analisys QBR By Machine Report'!$C$109:$BD$166,40,FALSE)</f>
        <v>270</v>
      </c>
      <c r="AT35" s="13">
        <f ca="1">VLOOKUP($B35,'[2]Analisys QBR By Machine Report'!$C$109:$BD$166,41,FALSE)</f>
        <v>0</v>
      </c>
      <c r="AU35" s="13">
        <f ca="1">VLOOKUP($B35,'[2]Analisys QBR By Machine Report'!$C$109:$BD$166,42,FALSE)</f>
        <v>0</v>
      </c>
      <c r="AV35" s="13">
        <f ca="1">VLOOKUP($B35,'[2]Analisys QBR By Machine Report'!$C$109:$BD$166,43,FALSE)</f>
        <v>0</v>
      </c>
      <c r="AW35" s="13">
        <f ca="1">VLOOKUP($B35,'[2]Analisys QBR By Machine Report'!$C$109:$BD$166,44,FALSE)</f>
        <v>0</v>
      </c>
      <c r="AX35" s="13">
        <f ca="1">VLOOKUP($B35,'[2]Analisys QBR By Machine Report'!$C$109:$BD$166,45,FALSE)</f>
        <v>0</v>
      </c>
      <c r="AY35" s="13">
        <f ca="1">VLOOKUP($B35,'[2]Analisys QBR By Machine Report'!$C$109:$BD$166,46,FALSE)</f>
        <v>0</v>
      </c>
      <c r="AZ35" s="13">
        <f ca="1">VLOOKUP($B35,'[2]Analisys QBR By Machine Report'!$C$109:$BD$166,47,FALSE)</f>
        <v>0</v>
      </c>
      <c r="BA35" s="13">
        <f ca="1">VLOOKUP($B35,'[2]Analisys QBR By Machine Report'!$C$109:$BD$166,48,FALSE)</f>
        <v>0</v>
      </c>
      <c r="BB35" s="13">
        <f ca="1">VLOOKUP($B35,'[2]Analisys QBR By Machine Report'!$C$109:$BD$166,49,FALSE)</f>
        <v>0</v>
      </c>
      <c r="BC35" s="13">
        <f ca="1">VLOOKUP($B35,'[2]Analisys QBR By Machine Report'!$C$109:$BD$166,50,FALSE)</f>
        <v>0</v>
      </c>
      <c r="BD35" s="13">
        <f ca="1">VLOOKUP($B35,'[2]Analisys QBR By Machine Report'!$C$109:$BD$166,51,FALSE)</f>
        <v>30</v>
      </c>
      <c r="BE35" s="13">
        <f ca="1">VLOOKUP($B35,'[2]Analisys QBR By Machine Report'!$C$109:$BD$166,52,FALSE)</f>
        <v>0</v>
      </c>
      <c r="BF35" s="13">
        <f ca="1">VLOOKUP($B35,'[2]Analisys QBR By Machine Report'!$C$109:$BD$166,53,FALSE)</f>
        <v>30</v>
      </c>
    </row>
    <row r="36" spans="1:58" x14ac:dyDescent="0.25">
      <c r="A36" s="9" t="s">
        <v>92</v>
      </c>
      <c r="B36" s="10">
        <f ca="1">VLOOKUP($B36,'[2]Analisys QBR By Machine Report'!$C$109:$BD$166,2,FALSE)</f>
        <v>181440</v>
      </c>
      <c r="C36" s="11">
        <f ca="1">VLOOKUP($B36,[2]Dasboard_QBR_Report!$B$109:$BL$166,3,FALSE)</f>
        <v>69930</v>
      </c>
      <c r="D36" s="10">
        <f ca="1">VLOOKUP($B36,'[2]Analisys QBR By Machine Report'!$C$109:$BD$166,3,FALSE)</f>
        <v>131445</v>
      </c>
      <c r="E36" s="11">
        <f ca="1">VLOOKUP($B36,[2]Dasboard_QBR_Report!$B$109:$BL$166,5,FALSE)</f>
        <v>19935</v>
      </c>
      <c r="F36" s="10">
        <f t="shared" ca="1" si="0"/>
        <v>49995</v>
      </c>
      <c r="G36" s="10">
        <f t="shared" ca="1" si="1"/>
        <v>5060</v>
      </c>
      <c r="H36" s="10">
        <f ca="1">VLOOKUP($B36,'[2]Analisys QBR By Machine Report'!$C$109:$BD$166,4,FALSE)</f>
        <v>5060</v>
      </c>
      <c r="I36" s="10">
        <f ca="1">VLOOKUP($B36,'[2]Analisys QBR By Machine Report'!$C$109:$BD$166,5,FALSE)</f>
        <v>2125</v>
      </c>
      <c r="J36" s="10">
        <f ca="1">VLOOKUP($B36,'[2]Analisys QBR By Machine Report'!$C$109:$BD$166,6,FALSE)</f>
        <v>2935</v>
      </c>
      <c r="K36" s="10">
        <f ca="1">VLOOKUP($B36,'[2]Analisys QBR By Machine Report'!$C$109:$BD$166,7,FALSE)</f>
        <v>0</v>
      </c>
      <c r="L36" s="10">
        <f ca="1">VLOOKUP($B36,'[2]Analisys QBR By Machine Report'!$C$109:$BD$166,8,FALSE)</f>
        <v>44935</v>
      </c>
      <c r="M36" s="10">
        <f ca="1">VLOOKUP($B36,'[2]Analisys QBR By Machine Report'!$C$109:$BD$166,9,FALSE)</f>
        <v>27860</v>
      </c>
      <c r="N36" s="10">
        <f ca="1">VLOOKUP($B36,[2]Dasboard_QBR_Report!$B$109:$BL$166,18,FALSE)</f>
        <v>17075</v>
      </c>
      <c r="O36" s="10">
        <f ca="1">VLOOKUP($B36,'[2]Analisys QBR By Machine Report'!$C$109:$BD$166,10,FALSE)</f>
        <v>3840</v>
      </c>
      <c r="P36" s="10">
        <f ca="1">VLOOKUP($B36,'[2]Analisys QBR By Machine Report'!$C$109:$BD$166,11,FALSE)</f>
        <v>2558</v>
      </c>
      <c r="Q36" s="10">
        <f ca="1">VLOOKUP($B36,'[2]Analisys QBR By Machine Report'!$C$109:$BD$166,12,FALSE)</f>
        <v>190</v>
      </c>
      <c r="R36" s="10">
        <f ca="1">VLOOKUP($B36,'[2]Analisys QBR By Machine Report'!$C$109:$BD$166,13,FALSE)</f>
        <v>180</v>
      </c>
      <c r="S36" s="10">
        <f ca="1">VLOOKUP($B36,'[2]Analisys QBR By Machine Report'!$C$109:$BD$166,14,FALSE)</f>
        <v>912</v>
      </c>
      <c r="T36" s="10">
        <f ca="1">VLOOKUP($B36,'[2]Analisys QBR By Machine Report'!$C$109:$BD$166,15,FALSE)</f>
        <v>0</v>
      </c>
      <c r="U36" s="10">
        <f ca="1">VLOOKUP($B36,'[2]Analisys QBR By Machine Report'!$C$109:$BD$166,16,FALSE)</f>
        <v>0</v>
      </c>
      <c r="V36" s="10">
        <f ca="1">VLOOKUP($B36,'[2]Analisys QBR By Machine Report'!$C$109:$BD$166,17,FALSE)</f>
        <v>0</v>
      </c>
      <c r="W36" s="10">
        <f ca="1">VLOOKUP($B36,'[2]Analisys QBR By Machine Report'!$C$109:$BD$166,18,FALSE)</f>
        <v>0</v>
      </c>
      <c r="X36" s="10">
        <f ca="1">VLOOKUP($B36,'[2]Analisys QBR By Machine Report'!$C$109:$BD$166,19,FALSE)</f>
        <v>0</v>
      </c>
      <c r="Y36" s="10">
        <f ca="1">VLOOKUP($B36,'[2]Analisys QBR By Machine Report'!$C$109:$BD$166,20,FALSE)</f>
        <v>0</v>
      </c>
      <c r="Z36" s="10">
        <f ca="1">VLOOKUP($B36,'[2]Analisys QBR By Machine Report'!$C$109:$BD$166,21,FALSE)</f>
        <v>3938</v>
      </c>
      <c r="AA36" s="10">
        <f ca="1">VLOOKUP($B36,'[2]Analisys QBR By Machine Report'!$C$109:$BD$166,22,FALSE)</f>
        <v>1833</v>
      </c>
      <c r="AB36" s="10">
        <f ca="1">VLOOKUP($B36,'[2]Analisys QBR By Machine Report'!$C$109:$BD$166,23,FALSE)</f>
        <v>1850</v>
      </c>
      <c r="AC36" s="10">
        <f ca="1">VLOOKUP($B36,'[2]Analisys QBR By Machine Report'!$C$109:$BD$166,24,FALSE)</f>
        <v>0</v>
      </c>
      <c r="AD36" s="10">
        <f ca="1">VLOOKUP($B36,'[2]Analisys QBR By Machine Report'!$C$109:$BD$166,25,FALSE)</f>
        <v>0</v>
      </c>
      <c r="AE36" s="10">
        <f ca="1">VLOOKUP($B36,'[2]Analisys QBR By Machine Report'!$C$109:$BD$166,26,FALSE)</f>
        <v>255</v>
      </c>
      <c r="AF36" s="10">
        <f ca="1">VLOOKUP($B36,'[2]Analisys QBR By Machine Report'!$C$109:$BD$166,27,FALSE)</f>
        <v>0</v>
      </c>
      <c r="AG36" s="10">
        <f ca="1">VLOOKUP($B36,'[2]Analisys QBR By Machine Report'!$C$109:$BD$166,28,FALSE)</f>
        <v>0</v>
      </c>
      <c r="AH36" s="10">
        <f ca="1">VLOOKUP($B36,'[2]Analisys QBR By Machine Report'!$C$109:$BD$166,29,FALSE)</f>
        <v>0</v>
      </c>
      <c r="AI36" s="10">
        <f ca="1">VLOOKUP($B36,'[2]Analisys QBR By Machine Report'!$C$109:$BD$166,30,FALSE)</f>
        <v>9297</v>
      </c>
      <c r="AJ36" s="10">
        <f ca="1">VLOOKUP($B36,'[2]Analisys QBR By Machine Report'!$C$109:$BD$166,31,FALSE)</f>
        <v>0</v>
      </c>
      <c r="AK36" s="10">
        <f ca="1">VLOOKUP($B36,'[2]Analisys QBR By Machine Report'!$C$109:$BD$166,32,FALSE)</f>
        <v>320</v>
      </c>
      <c r="AL36" s="10">
        <f ca="1">VLOOKUP($B36,'[2]Analisys QBR By Machine Report'!$C$109:$BD$166,33,FALSE)</f>
        <v>2785</v>
      </c>
      <c r="AM36" s="10">
        <f ca="1">VLOOKUP($B36,'[2]Analisys QBR By Machine Report'!$C$109:$BD$166,34,FALSE)</f>
        <v>0</v>
      </c>
      <c r="AN36" s="10">
        <f ca="1">VLOOKUP($B36,'[2]Analisys QBR By Machine Report'!$C$109:$BD$166,35,FALSE)</f>
        <v>1455</v>
      </c>
      <c r="AO36" s="10">
        <f ca="1">VLOOKUP($B36,'[2]Analisys QBR By Machine Report'!$C$109:$BD$166,36,FALSE)</f>
        <v>540</v>
      </c>
      <c r="AP36" s="10">
        <f ca="1">VLOOKUP($B36,'[2]Analisys QBR By Machine Report'!$C$109:$BD$166,37,FALSE)</f>
        <v>0</v>
      </c>
      <c r="AQ36" s="10">
        <f ca="1">VLOOKUP($B36,'[2]Analisys QBR By Machine Report'!$C$109:$BD$166,38,FALSE)</f>
        <v>0</v>
      </c>
      <c r="AR36" s="10">
        <f ca="1">VLOOKUP($B36,'[2]Analisys QBR By Machine Report'!$C$109:$BD$166,39,FALSE)</f>
        <v>1717</v>
      </c>
      <c r="AS36" s="10">
        <f ca="1">VLOOKUP($B36,'[2]Analisys QBR By Machine Report'!$C$109:$BD$166,40,FALSE)</f>
        <v>795</v>
      </c>
      <c r="AT36" s="10">
        <f ca="1">VLOOKUP($B36,'[2]Analisys QBR By Machine Report'!$C$109:$BD$166,41,FALSE)</f>
        <v>0</v>
      </c>
      <c r="AU36" s="10">
        <f ca="1">VLOOKUP($B36,'[2]Analisys QBR By Machine Report'!$C$109:$BD$166,42,FALSE)</f>
        <v>0</v>
      </c>
      <c r="AV36" s="10">
        <f ca="1">VLOOKUP($B36,'[2]Analisys QBR By Machine Report'!$C$109:$BD$166,43,FALSE)</f>
        <v>0</v>
      </c>
      <c r="AW36" s="10">
        <f ca="1">VLOOKUP($B36,'[2]Analisys QBR By Machine Report'!$C$109:$BD$166,44,FALSE)</f>
        <v>0</v>
      </c>
      <c r="AX36" s="10">
        <f ca="1">VLOOKUP($B36,'[2]Analisys QBR By Machine Report'!$C$109:$BD$166,45,FALSE)</f>
        <v>0</v>
      </c>
      <c r="AY36" s="10">
        <f ca="1">VLOOKUP($B36,'[2]Analisys QBR By Machine Report'!$C$109:$BD$166,46,FALSE)</f>
        <v>0</v>
      </c>
      <c r="AZ36" s="10">
        <f ca="1">VLOOKUP($B36,'[2]Analisys QBR By Machine Report'!$C$109:$BD$166,47,FALSE)</f>
        <v>1605</v>
      </c>
      <c r="BA36" s="10">
        <f ca="1">VLOOKUP($B36,'[2]Analisys QBR By Machine Report'!$C$109:$BD$166,48,FALSE)</f>
        <v>80</v>
      </c>
      <c r="BB36" s="10">
        <f ca="1">VLOOKUP($B36,'[2]Analisys QBR By Machine Report'!$C$109:$BD$166,49,FALSE)</f>
        <v>0</v>
      </c>
      <c r="BC36" s="10">
        <f ca="1">VLOOKUP($B36,'[2]Analisys QBR By Machine Report'!$C$109:$BD$166,50,FALSE)</f>
        <v>0</v>
      </c>
      <c r="BD36" s="10">
        <f ca="1">VLOOKUP($B36,'[2]Analisys QBR By Machine Report'!$C$109:$BD$166,51,FALSE)</f>
        <v>1597398</v>
      </c>
      <c r="BE36" s="10">
        <f ca="1">VLOOKUP($B36,'[2]Analisys QBR By Machine Report'!$C$109:$BD$166,52,FALSE)</f>
        <v>73</v>
      </c>
      <c r="BF36" s="10">
        <f ca="1">VLOOKUP($B36,'[2]Analisys QBR By Machine Report'!$C$109:$BD$166,53,FALSE)</f>
        <v>1597325</v>
      </c>
    </row>
    <row r="37" spans="1:58" x14ac:dyDescent="0.25">
      <c r="A37" s="12" t="s">
        <v>93</v>
      </c>
      <c r="B37" s="13">
        <f ca="1">VLOOKUP($B37,'[2]Analisys QBR By Machine Report'!$C$109:$BD$166,2,FALSE)</f>
        <v>30240</v>
      </c>
      <c r="C37" s="14">
        <f ca="1">VLOOKUP($B37,[2]Dasboard_QBR_Report!$B$109:$BL$166,3,FALSE)</f>
        <v>10080</v>
      </c>
      <c r="D37" s="13">
        <f ca="1">VLOOKUP($B37,'[2]Analisys QBR By Machine Report'!$C$109:$BD$166,3,FALSE)</f>
        <v>15975</v>
      </c>
      <c r="E37" s="14">
        <f ca="1">VLOOKUP($B37,[2]Dasboard_QBR_Report!$B$109:$BL$166,5,FALSE)</f>
        <v>-4185</v>
      </c>
      <c r="F37" s="13">
        <f t="shared" ca="1" si="0"/>
        <v>14265</v>
      </c>
      <c r="G37" s="13">
        <f t="shared" ca="1" si="1"/>
        <v>575</v>
      </c>
      <c r="H37" s="13">
        <f ca="1">VLOOKUP($B37,'[2]Analisys QBR By Machine Report'!$C$109:$BD$166,4,FALSE)</f>
        <v>575</v>
      </c>
      <c r="I37" s="13">
        <f ca="1">VLOOKUP($B37,'[2]Analisys QBR By Machine Report'!$C$109:$BD$166,5,FALSE)</f>
        <v>575</v>
      </c>
      <c r="J37" s="13">
        <f ca="1">VLOOKUP($B37,'[2]Analisys QBR By Machine Report'!$C$109:$BD$166,6,FALSE)</f>
        <v>0</v>
      </c>
      <c r="K37" s="13">
        <f ca="1">VLOOKUP($B37,'[2]Analisys QBR By Machine Report'!$C$109:$BD$166,7,FALSE)</f>
        <v>0</v>
      </c>
      <c r="L37" s="13">
        <f ca="1">VLOOKUP($B37,'[2]Analisys QBR By Machine Report'!$C$109:$BD$166,8,FALSE)</f>
        <v>13690</v>
      </c>
      <c r="M37" s="13">
        <f ca="1">VLOOKUP($B37,'[2]Analisys QBR By Machine Report'!$C$109:$BD$166,9,FALSE)</f>
        <v>10075</v>
      </c>
      <c r="N37" s="13">
        <f ca="1">VLOOKUP($B37,[2]Dasboard_QBR_Report!$B$109:$BL$166,18,FALSE)</f>
        <v>3615</v>
      </c>
      <c r="O37" s="13">
        <f ca="1">VLOOKUP($B37,'[2]Analisys QBR By Machine Report'!$C$109:$BD$166,10,FALSE)</f>
        <v>273</v>
      </c>
      <c r="P37" s="13">
        <f ca="1">VLOOKUP($B37,'[2]Analisys QBR By Machine Report'!$C$109:$BD$166,11,FALSE)</f>
        <v>273</v>
      </c>
      <c r="Q37" s="13">
        <f ca="1">VLOOKUP($B37,'[2]Analisys QBR By Machine Report'!$C$109:$BD$166,12,FALSE)</f>
        <v>0</v>
      </c>
      <c r="R37" s="13">
        <f ca="1">VLOOKUP($B37,'[2]Analisys QBR By Machine Report'!$C$109:$BD$166,13,FALSE)</f>
        <v>0</v>
      </c>
      <c r="S37" s="13">
        <f ca="1">VLOOKUP($B37,'[2]Analisys QBR By Machine Report'!$C$109:$BD$166,14,FALSE)</f>
        <v>0</v>
      </c>
      <c r="T37" s="13">
        <f ca="1">VLOOKUP($B37,'[2]Analisys QBR By Machine Report'!$C$109:$BD$166,15,FALSE)</f>
        <v>0</v>
      </c>
      <c r="U37" s="13">
        <f ca="1">VLOOKUP($B37,'[2]Analisys QBR By Machine Report'!$C$109:$BD$166,16,FALSE)</f>
        <v>0</v>
      </c>
      <c r="V37" s="13">
        <f ca="1">VLOOKUP($B37,'[2]Analisys QBR By Machine Report'!$C$109:$BD$166,17,FALSE)</f>
        <v>0</v>
      </c>
      <c r="W37" s="13">
        <f ca="1">VLOOKUP($B37,'[2]Analisys QBR By Machine Report'!$C$109:$BD$166,18,FALSE)</f>
        <v>0</v>
      </c>
      <c r="X37" s="13">
        <f ca="1">VLOOKUP($B37,'[2]Analisys QBR By Machine Report'!$C$109:$BD$166,19,FALSE)</f>
        <v>0</v>
      </c>
      <c r="Y37" s="13">
        <f ca="1">VLOOKUP($B37,'[2]Analisys QBR By Machine Report'!$C$109:$BD$166,20,FALSE)</f>
        <v>0</v>
      </c>
      <c r="Z37" s="13">
        <f ca="1">VLOOKUP($B37,'[2]Analisys QBR By Machine Report'!$C$109:$BD$166,21,FALSE)</f>
        <v>1042</v>
      </c>
      <c r="AA37" s="13">
        <f ca="1">VLOOKUP($B37,'[2]Analisys QBR By Machine Report'!$C$109:$BD$166,22,FALSE)</f>
        <v>307</v>
      </c>
      <c r="AB37" s="13">
        <f ca="1">VLOOKUP($B37,'[2]Analisys QBR By Machine Report'!$C$109:$BD$166,23,FALSE)</f>
        <v>645</v>
      </c>
      <c r="AC37" s="13">
        <f ca="1">VLOOKUP($B37,'[2]Analisys QBR By Machine Report'!$C$109:$BD$166,24,FALSE)</f>
        <v>0</v>
      </c>
      <c r="AD37" s="13">
        <f ca="1">VLOOKUP($B37,'[2]Analisys QBR By Machine Report'!$C$109:$BD$166,25,FALSE)</f>
        <v>0</v>
      </c>
      <c r="AE37" s="13">
        <f ca="1">VLOOKUP($B37,'[2]Analisys QBR By Machine Report'!$C$109:$BD$166,26,FALSE)</f>
        <v>90</v>
      </c>
      <c r="AF37" s="13">
        <f ca="1">VLOOKUP($B37,'[2]Analisys QBR By Machine Report'!$C$109:$BD$166,27,FALSE)</f>
        <v>0</v>
      </c>
      <c r="AG37" s="13">
        <f ca="1">VLOOKUP($B37,'[2]Analisys QBR By Machine Report'!$C$109:$BD$166,28,FALSE)</f>
        <v>0</v>
      </c>
      <c r="AH37" s="13">
        <f ca="1">VLOOKUP($B37,'[2]Analisys QBR By Machine Report'!$C$109:$BD$166,29,FALSE)</f>
        <v>0</v>
      </c>
      <c r="AI37" s="13">
        <f ca="1">VLOOKUP($B37,'[2]Analisys QBR By Machine Report'!$C$109:$BD$166,30,FALSE)</f>
        <v>2300</v>
      </c>
      <c r="AJ37" s="13">
        <f ca="1">VLOOKUP($B37,'[2]Analisys QBR By Machine Report'!$C$109:$BD$166,31,FALSE)</f>
        <v>0</v>
      </c>
      <c r="AK37" s="13">
        <f ca="1">VLOOKUP($B37,'[2]Analisys QBR By Machine Report'!$C$109:$BD$166,32,FALSE)</f>
        <v>185</v>
      </c>
      <c r="AL37" s="13">
        <f ca="1">VLOOKUP($B37,'[2]Analisys QBR By Machine Report'!$C$109:$BD$166,33,FALSE)</f>
        <v>870</v>
      </c>
      <c r="AM37" s="13">
        <f ca="1">VLOOKUP($B37,'[2]Analisys QBR By Machine Report'!$C$109:$BD$166,34,FALSE)</f>
        <v>0</v>
      </c>
      <c r="AN37" s="13">
        <f ca="1">VLOOKUP($B37,'[2]Analisys QBR By Machine Report'!$C$109:$BD$166,35,FALSE)</f>
        <v>435</v>
      </c>
      <c r="AO37" s="13">
        <f ca="1">VLOOKUP($B37,'[2]Analisys QBR By Machine Report'!$C$109:$BD$166,36,FALSE)</f>
        <v>0</v>
      </c>
      <c r="AP37" s="13">
        <f ca="1">VLOOKUP($B37,'[2]Analisys QBR By Machine Report'!$C$109:$BD$166,37,FALSE)</f>
        <v>0</v>
      </c>
      <c r="AQ37" s="13">
        <f ca="1">VLOOKUP($B37,'[2]Analisys QBR By Machine Report'!$C$109:$BD$166,38,FALSE)</f>
        <v>0</v>
      </c>
      <c r="AR37" s="13">
        <f ca="1">VLOOKUP($B37,'[2]Analisys QBR By Machine Report'!$C$109:$BD$166,39,FALSE)</f>
        <v>0</v>
      </c>
      <c r="AS37" s="13">
        <f ca="1">VLOOKUP($B37,'[2]Analisys QBR By Machine Report'!$C$109:$BD$166,40,FALSE)</f>
        <v>231</v>
      </c>
      <c r="AT37" s="13">
        <f ca="1">VLOOKUP($B37,'[2]Analisys QBR By Machine Report'!$C$109:$BD$166,41,FALSE)</f>
        <v>0</v>
      </c>
      <c r="AU37" s="13">
        <f ca="1">VLOOKUP($B37,'[2]Analisys QBR By Machine Report'!$C$109:$BD$166,42,FALSE)</f>
        <v>0</v>
      </c>
      <c r="AV37" s="13">
        <f ca="1">VLOOKUP($B37,'[2]Analisys QBR By Machine Report'!$C$109:$BD$166,43,FALSE)</f>
        <v>0</v>
      </c>
      <c r="AW37" s="13">
        <f ca="1">VLOOKUP($B37,'[2]Analisys QBR By Machine Report'!$C$109:$BD$166,44,FALSE)</f>
        <v>0</v>
      </c>
      <c r="AX37" s="13">
        <f ca="1">VLOOKUP($B37,'[2]Analisys QBR By Machine Report'!$C$109:$BD$166,45,FALSE)</f>
        <v>0</v>
      </c>
      <c r="AY37" s="13">
        <f ca="1">VLOOKUP($B37,'[2]Analisys QBR By Machine Report'!$C$109:$BD$166,46,FALSE)</f>
        <v>0</v>
      </c>
      <c r="AZ37" s="13">
        <f ca="1">VLOOKUP($B37,'[2]Analisys QBR By Machine Report'!$C$109:$BD$166,47,FALSE)</f>
        <v>579</v>
      </c>
      <c r="BA37" s="13">
        <f ca="1">VLOOKUP($B37,'[2]Analisys QBR By Machine Report'!$C$109:$BD$166,48,FALSE)</f>
        <v>0</v>
      </c>
      <c r="BB37" s="13">
        <f ca="1">VLOOKUP($B37,'[2]Analisys QBR By Machine Report'!$C$109:$BD$166,49,FALSE)</f>
        <v>0</v>
      </c>
      <c r="BC37" s="13">
        <f ca="1">VLOOKUP($B37,'[2]Analisys QBR By Machine Report'!$C$109:$BD$166,50,FALSE)</f>
        <v>0</v>
      </c>
      <c r="BD37" s="13">
        <f ca="1">VLOOKUP($B37,'[2]Analisys QBR By Machine Report'!$C$109:$BD$166,51,FALSE)</f>
        <v>442420</v>
      </c>
      <c r="BE37" s="13">
        <f ca="1">VLOOKUP($B37,'[2]Analisys QBR By Machine Report'!$C$109:$BD$166,52,FALSE)</f>
        <v>11</v>
      </c>
      <c r="BF37" s="13">
        <f ca="1">VLOOKUP($B37,'[2]Analisys QBR By Machine Report'!$C$109:$BD$166,53,FALSE)</f>
        <v>442409</v>
      </c>
    </row>
    <row r="38" spans="1:58" x14ac:dyDescent="0.25">
      <c r="A38" s="12" t="s">
        <v>94</v>
      </c>
      <c r="B38" s="13">
        <f ca="1">VLOOKUP($B38,'[2]Analisys QBR By Machine Report'!$C$109:$BD$166,2,FALSE)</f>
        <v>30240</v>
      </c>
      <c r="C38" s="14">
        <f ca="1">VLOOKUP($B38,[2]Dasboard_QBR_Report!$B$109:$BL$166,3,FALSE)</f>
        <v>10080</v>
      </c>
      <c r="D38" s="13">
        <f ca="1">VLOOKUP($B38,'[2]Analisys QBR By Machine Report'!$C$109:$BD$166,3,FALSE)</f>
        <v>30240</v>
      </c>
      <c r="E38" s="14">
        <f ca="1">VLOOKUP($B38,[2]Dasboard_QBR_Report!$B$109:$BL$166,5,FALSE)</f>
        <v>10080</v>
      </c>
      <c r="F38" s="13">
        <f t="shared" ca="1" si="0"/>
        <v>0</v>
      </c>
      <c r="G38" s="13">
        <f t="shared" ca="1" si="1"/>
        <v>0</v>
      </c>
      <c r="H38" s="13">
        <f ca="1">VLOOKUP($B38,'[2]Analisys QBR By Machine Report'!$C$109:$BD$166,4,FALSE)</f>
        <v>0</v>
      </c>
      <c r="I38" s="13">
        <f ca="1">VLOOKUP($B38,'[2]Analisys QBR By Machine Report'!$C$109:$BD$166,5,FALSE)</f>
        <v>0</v>
      </c>
      <c r="J38" s="13">
        <f ca="1">VLOOKUP($B38,'[2]Analisys QBR By Machine Report'!$C$109:$BD$166,6,FALSE)</f>
        <v>0</v>
      </c>
      <c r="K38" s="13">
        <f ca="1">VLOOKUP($B38,'[2]Analisys QBR By Machine Report'!$C$109:$BD$166,7,FALSE)</f>
        <v>0</v>
      </c>
      <c r="L38" s="13">
        <f ca="1">VLOOKUP($B38,'[2]Analisys QBR By Machine Report'!$C$109:$BD$166,8,FALSE)</f>
        <v>0</v>
      </c>
      <c r="M38" s="13">
        <f ca="1">VLOOKUP($B38,'[2]Analisys QBR By Machine Report'!$C$109:$BD$166,9,FALSE)</f>
        <v>0</v>
      </c>
      <c r="N38" s="13">
        <f ca="1">VLOOKUP($B38,[2]Dasboard_QBR_Report!$B$109:$BL$166,18,FALSE)</f>
        <v>0</v>
      </c>
      <c r="O38" s="13">
        <f ca="1">VLOOKUP($B38,'[2]Analisys QBR By Machine Report'!$C$109:$BD$166,10,FALSE)</f>
        <v>0</v>
      </c>
      <c r="P38" s="13">
        <f ca="1">VLOOKUP($B38,'[2]Analisys QBR By Machine Report'!$C$109:$BD$166,11,FALSE)</f>
        <v>0</v>
      </c>
      <c r="Q38" s="13">
        <f ca="1">VLOOKUP($B38,'[2]Analisys QBR By Machine Report'!$C$109:$BD$166,12,FALSE)</f>
        <v>0</v>
      </c>
      <c r="R38" s="13">
        <f ca="1">VLOOKUP($B38,'[2]Analisys QBR By Machine Report'!$C$109:$BD$166,13,FALSE)</f>
        <v>0</v>
      </c>
      <c r="S38" s="13">
        <f ca="1">VLOOKUP($B38,'[2]Analisys QBR By Machine Report'!$C$109:$BD$166,14,FALSE)</f>
        <v>0</v>
      </c>
      <c r="T38" s="13">
        <f ca="1">VLOOKUP($B38,'[2]Analisys QBR By Machine Report'!$C$109:$BD$166,15,FALSE)</f>
        <v>0</v>
      </c>
      <c r="U38" s="13">
        <f ca="1">VLOOKUP($B38,'[2]Analisys QBR By Machine Report'!$C$109:$BD$166,16,FALSE)</f>
        <v>0</v>
      </c>
      <c r="V38" s="13">
        <f ca="1">VLOOKUP($B38,'[2]Analisys QBR By Machine Report'!$C$109:$BD$166,17,FALSE)</f>
        <v>0</v>
      </c>
      <c r="W38" s="13">
        <f ca="1">VLOOKUP($B38,'[2]Analisys QBR By Machine Report'!$C$109:$BD$166,18,FALSE)</f>
        <v>0</v>
      </c>
      <c r="X38" s="13">
        <f ca="1">VLOOKUP($B38,'[2]Analisys QBR By Machine Report'!$C$109:$BD$166,19,FALSE)</f>
        <v>0</v>
      </c>
      <c r="Y38" s="13">
        <f ca="1">VLOOKUP($B38,'[2]Analisys QBR By Machine Report'!$C$109:$BD$166,20,FALSE)</f>
        <v>0</v>
      </c>
      <c r="Z38" s="13">
        <f ca="1">VLOOKUP($B38,'[2]Analisys QBR By Machine Report'!$C$109:$BD$166,21,FALSE)</f>
        <v>0</v>
      </c>
      <c r="AA38" s="13">
        <f ca="1">VLOOKUP($B38,'[2]Analisys QBR By Machine Report'!$C$109:$BD$166,22,FALSE)</f>
        <v>0</v>
      </c>
      <c r="AB38" s="13">
        <f ca="1">VLOOKUP($B38,'[2]Analisys QBR By Machine Report'!$C$109:$BD$166,23,FALSE)</f>
        <v>0</v>
      </c>
      <c r="AC38" s="13">
        <f ca="1">VLOOKUP($B38,'[2]Analisys QBR By Machine Report'!$C$109:$BD$166,24,FALSE)</f>
        <v>0</v>
      </c>
      <c r="AD38" s="13">
        <f ca="1">VLOOKUP($B38,'[2]Analisys QBR By Machine Report'!$C$109:$BD$166,25,FALSE)</f>
        <v>0</v>
      </c>
      <c r="AE38" s="13">
        <f ca="1">VLOOKUP($B38,'[2]Analisys QBR By Machine Report'!$C$109:$BD$166,26,FALSE)</f>
        <v>0</v>
      </c>
      <c r="AF38" s="13">
        <f ca="1">VLOOKUP($B38,'[2]Analisys QBR By Machine Report'!$C$109:$BD$166,27,FALSE)</f>
        <v>0</v>
      </c>
      <c r="AG38" s="13">
        <f ca="1">VLOOKUP($B38,'[2]Analisys QBR By Machine Report'!$C$109:$BD$166,28,FALSE)</f>
        <v>0</v>
      </c>
      <c r="AH38" s="13">
        <f ca="1">VLOOKUP($B38,'[2]Analisys QBR By Machine Report'!$C$109:$BD$166,29,FALSE)</f>
        <v>0</v>
      </c>
      <c r="AI38" s="13">
        <f ca="1">VLOOKUP($B38,'[2]Analisys QBR By Machine Report'!$C$109:$BD$166,30,FALSE)</f>
        <v>0</v>
      </c>
      <c r="AJ38" s="13">
        <f ca="1">VLOOKUP($B38,'[2]Analisys QBR By Machine Report'!$C$109:$BD$166,31,FALSE)</f>
        <v>0</v>
      </c>
      <c r="AK38" s="13">
        <f ca="1">VLOOKUP($B38,'[2]Analisys QBR By Machine Report'!$C$109:$BD$166,32,FALSE)</f>
        <v>0</v>
      </c>
      <c r="AL38" s="13">
        <f ca="1">VLOOKUP($B38,'[2]Analisys QBR By Machine Report'!$C$109:$BD$166,33,FALSE)</f>
        <v>0</v>
      </c>
      <c r="AM38" s="13">
        <f ca="1">VLOOKUP($B38,'[2]Analisys QBR By Machine Report'!$C$109:$BD$166,34,FALSE)</f>
        <v>0</v>
      </c>
      <c r="AN38" s="13">
        <f ca="1">VLOOKUP($B38,'[2]Analisys QBR By Machine Report'!$C$109:$BD$166,35,FALSE)</f>
        <v>0</v>
      </c>
      <c r="AO38" s="13">
        <f ca="1">VLOOKUP($B38,'[2]Analisys QBR By Machine Report'!$C$109:$BD$166,36,FALSE)</f>
        <v>0</v>
      </c>
      <c r="AP38" s="13">
        <f ca="1">VLOOKUP($B38,'[2]Analisys QBR By Machine Report'!$C$109:$BD$166,37,FALSE)</f>
        <v>0</v>
      </c>
      <c r="AQ38" s="13">
        <f ca="1">VLOOKUP($B38,'[2]Analisys QBR By Machine Report'!$C$109:$BD$166,38,FALSE)</f>
        <v>0</v>
      </c>
      <c r="AR38" s="13">
        <f ca="1">VLOOKUP($B38,'[2]Analisys QBR By Machine Report'!$C$109:$BD$166,39,FALSE)</f>
        <v>0</v>
      </c>
      <c r="AS38" s="13">
        <f ca="1">VLOOKUP($B38,'[2]Analisys QBR By Machine Report'!$C$109:$BD$166,40,FALSE)</f>
        <v>0</v>
      </c>
      <c r="AT38" s="13">
        <f ca="1">VLOOKUP($B38,'[2]Analisys QBR By Machine Report'!$C$109:$BD$166,41,FALSE)</f>
        <v>0</v>
      </c>
      <c r="AU38" s="13">
        <f ca="1">VLOOKUP($B38,'[2]Analisys QBR By Machine Report'!$C$109:$BD$166,42,FALSE)</f>
        <v>0</v>
      </c>
      <c r="AV38" s="13">
        <f ca="1">VLOOKUP($B38,'[2]Analisys QBR By Machine Report'!$C$109:$BD$166,43,FALSE)</f>
        <v>0</v>
      </c>
      <c r="AW38" s="13">
        <f ca="1">VLOOKUP($B38,'[2]Analisys QBR By Machine Report'!$C$109:$BD$166,44,FALSE)</f>
        <v>0</v>
      </c>
      <c r="AX38" s="13">
        <f ca="1">VLOOKUP($B38,'[2]Analisys QBR By Machine Report'!$C$109:$BD$166,45,FALSE)</f>
        <v>0</v>
      </c>
      <c r="AY38" s="13">
        <f ca="1">VLOOKUP($B38,'[2]Analisys QBR By Machine Report'!$C$109:$BD$166,46,FALSE)</f>
        <v>0</v>
      </c>
      <c r="AZ38" s="13">
        <f ca="1">VLOOKUP($B38,'[2]Analisys QBR By Machine Report'!$C$109:$BD$166,47,FALSE)</f>
        <v>0</v>
      </c>
      <c r="BA38" s="13">
        <f ca="1">VLOOKUP($B38,'[2]Analisys QBR By Machine Report'!$C$109:$BD$166,48,FALSE)</f>
        <v>0</v>
      </c>
      <c r="BB38" s="13">
        <f ca="1">VLOOKUP($B38,'[2]Analisys QBR By Machine Report'!$C$109:$BD$166,49,FALSE)</f>
        <v>0</v>
      </c>
      <c r="BC38" s="13">
        <f ca="1">VLOOKUP($B38,'[2]Analisys QBR By Machine Report'!$C$109:$BD$166,50,FALSE)</f>
        <v>0</v>
      </c>
      <c r="BD38" s="13">
        <f ca="1">VLOOKUP($B38,'[2]Analisys QBR By Machine Report'!$C$109:$BD$166,51,FALSE)</f>
        <v>0</v>
      </c>
      <c r="BE38" s="13">
        <f ca="1">VLOOKUP($B38,'[2]Analisys QBR By Machine Report'!$C$109:$BD$166,52,FALSE)</f>
        <v>0</v>
      </c>
      <c r="BF38" s="13">
        <f ca="1">VLOOKUP($B38,'[2]Analisys QBR By Machine Report'!$C$109:$BD$166,53,FALSE)</f>
        <v>0</v>
      </c>
    </row>
    <row r="39" spans="1:58" x14ac:dyDescent="0.25">
      <c r="A39" s="12" t="s">
        <v>95</v>
      </c>
      <c r="B39" s="13">
        <f ca="1">VLOOKUP($B39,'[2]Analisys QBR By Machine Report'!$C$109:$BD$166,2,FALSE)</f>
        <v>30240</v>
      </c>
      <c r="C39" s="14">
        <f ca="1">VLOOKUP($B39,[2]Dasboard_QBR_Report!$B$109:$BL$166,3,FALSE)</f>
        <v>10080</v>
      </c>
      <c r="D39" s="13">
        <f ca="1">VLOOKUP($B39,'[2]Analisys QBR By Machine Report'!$C$109:$BD$166,3,FALSE)</f>
        <v>16440</v>
      </c>
      <c r="E39" s="14">
        <f ca="1">VLOOKUP($B39,[2]Dasboard_QBR_Report!$B$109:$BL$166,5,FALSE)</f>
        <v>-3720</v>
      </c>
      <c r="F39" s="13">
        <f t="shared" ca="1" si="0"/>
        <v>13800</v>
      </c>
      <c r="G39" s="13">
        <f t="shared" ca="1" si="1"/>
        <v>435</v>
      </c>
      <c r="H39" s="13">
        <f ca="1">VLOOKUP($B39,'[2]Analisys QBR By Machine Report'!$C$109:$BD$166,4,FALSE)</f>
        <v>435</v>
      </c>
      <c r="I39" s="13">
        <f ca="1">VLOOKUP($B39,'[2]Analisys QBR By Machine Report'!$C$109:$BD$166,5,FALSE)</f>
        <v>435</v>
      </c>
      <c r="J39" s="13">
        <f ca="1">VLOOKUP($B39,'[2]Analisys QBR By Machine Report'!$C$109:$BD$166,6,FALSE)</f>
        <v>0</v>
      </c>
      <c r="K39" s="13">
        <f ca="1">VLOOKUP($B39,'[2]Analisys QBR By Machine Report'!$C$109:$BD$166,7,FALSE)</f>
        <v>0</v>
      </c>
      <c r="L39" s="13">
        <f ca="1">VLOOKUP($B39,'[2]Analisys QBR By Machine Report'!$C$109:$BD$166,8,FALSE)</f>
        <v>13365</v>
      </c>
      <c r="M39" s="13">
        <f ca="1">VLOOKUP($B39,'[2]Analisys QBR By Machine Report'!$C$109:$BD$166,9,FALSE)</f>
        <v>9930</v>
      </c>
      <c r="N39" s="13">
        <f ca="1">VLOOKUP($B39,[2]Dasboard_QBR_Report!$B$109:$BL$166,18,FALSE)</f>
        <v>3435</v>
      </c>
      <c r="O39" s="13">
        <f ca="1">VLOOKUP($B39,'[2]Analisys QBR By Machine Report'!$C$109:$BD$166,10,FALSE)</f>
        <v>242</v>
      </c>
      <c r="P39" s="13">
        <f ca="1">VLOOKUP($B39,'[2]Analisys QBR By Machine Report'!$C$109:$BD$166,11,FALSE)</f>
        <v>242</v>
      </c>
      <c r="Q39" s="13">
        <f ca="1">VLOOKUP($B39,'[2]Analisys QBR By Machine Report'!$C$109:$BD$166,12,FALSE)</f>
        <v>0</v>
      </c>
      <c r="R39" s="13">
        <f ca="1">VLOOKUP($B39,'[2]Analisys QBR By Machine Report'!$C$109:$BD$166,13,FALSE)</f>
        <v>0</v>
      </c>
      <c r="S39" s="13">
        <f ca="1">VLOOKUP($B39,'[2]Analisys QBR By Machine Report'!$C$109:$BD$166,14,FALSE)</f>
        <v>0</v>
      </c>
      <c r="T39" s="13">
        <f ca="1">VLOOKUP($B39,'[2]Analisys QBR By Machine Report'!$C$109:$BD$166,15,FALSE)</f>
        <v>0</v>
      </c>
      <c r="U39" s="13">
        <f ca="1">VLOOKUP($B39,'[2]Analisys QBR By Machine Report'!$C$109:$BD$166,16,FALSE)</f>
        <v>0</v>
      </c>
      <c r="V39" s="13">
        <f ca="1">VLOOKUP($B39,'[2]Analisys QBR By Machine Report'!$C$109:$BD$166,17,FALSE)</f>
        <v>0</v>
      </c>
      <c r="W39" s="13">
        <f ca="1">VLOOKUP($B39,'[2]Analisys QBR By Machine Report'!$C$109:$BD$166,18,FALSE)</f>
        <v>0</v>
      </c>
      <c r="X39" s="13">
        <f ca="1">VLOOKUP($B39,'[2]Analisys QBR By Machine Report'!$C$109:$BD$166,19,FALSE)</f>
        <v>0</v>
      </c>
      <c r="Y39" s="13">
        <f ca="1">VLOOKUP($B39,'[2]Analisys QBR By Machine Report'!$C$109:$BD$166,20,FALSE)</f>
        <v>0</v>
      </c>
      <c r="Z39" s="13">
        <f ca="1">VLOOKUP($B39,'[2]Analisys QBR By Machine Report'!$C$109:$BD$166,21,FALSE)</f>
        <v>880</v>
      </c>
      <c r="AA39" s="13">
        <f ca="1">VLOOKUP($B39,'[2]Analisys QBR By Machine Report'!$C$109:$BD$166,22,FALSE)</f>
        <v>240</v>
      </c>
      <c r="AB39" s="13">
        <f ca="1">VLOOKUP($B39,'[2]Analisys QBR By Machine Report'!$C$109:$BD$166,23,FALSE)</f>
        <v>545</v>
      </c>
      <c r="AC39" s="13">
        <f ca="1">VLOOKUP($B39,'[2]Analisys QBR By Machine Report'!$C$109:$BD$166,24,FALSE)</f>
        <v>0</v>
      </c>
      <c r="AD39" s="13">
        <f ca="1">VLOOKUP($B39,'[2]Analisys QBR By Machine Report'!$C$109:$BD$166,25,FALSE)</f>
        <v>0</v>
      </c>
      <c r="AE39" s="13">
        <f ca="1">VLOOKUP($B39,'[2]Analisys QBR By Machine Report'!$C$109:$BD$166,26,FALSE)</f>
        <v>95</v>
      </c>
      <c r="AF39" s="13">
        <f ca="1">VLOOKUP($B39,'[2]Analisys QBR By Machine Report'!$C$109:$BD$166,27,FALSE)</f>
        <v>0</v>
      </c>
      <c r="AG39" s="13">
        <f ca="1">VLOOKUP($B39,'[2]Analisys QBR By Machine Report'!$C$109:$BD$166,28,FALSE)</f>
        <v>0</v>
      </c>
      <c r="AH39" s="13">
        <f ca="1">VLOOKUP($B39,'[2]Analisys QBR By Machine Report'!$C$109:$BD$166,29,FALSE)</f>
        <v>0</v>
      </c>
      <c r="AI39" s="13">
        <f ca="1">VLOOKUP($B39,'[2]Analisys QBR By Machine Report'!$C$109:$BD$166,30,FALSE)</f>
        <v>2313</v>
      </c>
      <c r="AJ39" s="13">
        <f ca="1">VLOOKUP($B39,'[2]Analisys QBR By Machine Report'!$C$109:$BD$166,31,FALSE)</f>
        <v>0</v>
      </c>
      <c r="AK39" s="13">
        <f ca="1">VLOOKUP($B39,'[2]Analisys QBR By Machine Report'!$C$109:$BD$166,32,FALSE)</f>
        <v>135</v>
      </c>
      <c r="AL39" s="13">
        <f ca="1">VLOOKUP($B39,'[2]Analisys QBR By Machine Report'!$C$109:$BD$166,33,FALSE)</f>
        <v>865</v>
      </c>
      <c r="AM39" s="13">
        <f ca="1">VLOOKUP($B39,'[2]Analisys QBR By Machine Report'!$C$109:$BD$166,34,FALSE)</f>
        <v>0</v>
      </c>
      <c r="AN39" s="13">
        <f ca="1">VLOOKUP($B39,'[2]Analisys QBR By Machine Report'!$C$109:$BD$166,35,FALSE)</f>
        <v>435</v>
      </c>
      <c r="AO39" s="13">
        <f ca="1">VLOOKUP($B39,'[2]Analisys QBR By Machine Report'!$C$109:$BD$166,36,FALSE)</f>
        <v>0</v>
      </c>
      <c r="AP39" s="13">
        <f ca="1">VLOOKUP($B39,'[2]Analisys QBR By Machine Report'!$C$109:$BD$166,37,FALSE)</f>
        <v>0</v>
      </c>
      <c r="AQ39" s="13">
        <f ca="1">VLOOKUP($B39,'[2]Analisys QBR By Machine Report'!$C$109:$BD$166,38,FALSE)</f>
        <v>0</v>
      </c>
      <c r="AR39" s="13">
        <f ca="1">VLOOKUP($B39,'[2]Analisys QBR By Machine Report'!$C$109:$BD$166,39,FALSE)</f>
        <v>0</v>
      </c>
      <c r="AS39" s="13">
        <f ca="1">VLOOKUP($B39,'[2]Analisys QBR By Machine Report'!$C$109:$BD$166,40,FALSE)</f>
        <v>206</v>
      </c>
      <c r="AT39" s="13">
        <f ca="1">VLOOKUP($B39,'[2]Analisys QBR By Machine Report'!$C$109:$BD$166,41,FALSE)</f>
        <v>0</v>
      </c>
      <c r="AU39" s="13">
        <f ca="1">VLOOKUP($B39,'[2]Analisys QBR By Machine Report'!$C$109:$BD$166,42,FALSE)</f>
        <v>0</v>
      </c>
      <c r="AV39" s="13">
        <f ca="1">VLOOKUP($B39,'[2]Analisys QBR By Machine Report'!$C$109:$BD$166,43,FALSE)</f>
        <v>0</v>
      </c>
      <c r="AW39" s="13">
        <f ca="1">VLOOKUP($B39,'[2]Analisys QBR By Machine Report'!$C$109:$BD$166,44,FALSE)</f>
        <v>0</v>
      </c>
      <c r="AX39" s="13">
        <f ca="1">VLOOKUP($B39,'[2]Analisys QBR By Machine Report'!$C$109:$BD$166,45,FALSE)</f>
        <v>0</v>
      </c>
      <c r="AY39" s="13">
        <f ca="1">VLOOKUP($B39,'[2]Analisys QBR By Machine Report'!$C$109:$BD$166,46,FALSE)</f>
        <v>0</v>
      </c>
      <c r="AZ39" s="13">
        <f ca="1">VLOOKUP($B39,'[2]Analisys QBR By Machine Report'!$C$109:$BD$166,47,FALSE)</f>
        <v>672</v>
      </c>
      <c r="BA39" s="13">
        <f ca="1">VLOOKUP($B39,'[2]Analisys QBR By Machine Report'!$C$109:$BD$166,48,FALSE)</f>
        <v>0</v>
      </c>
      <c r="BB39" s="13">
        <f ca="1">VLOOKUP($B39,'[2]Analisys QBR By Machine Report'!$C$109:$BD$166,49,FALSE)</f>
        <v>0</v>
      </c>
      <c r="BC39" s="13">
        <f ca="1">VLOOKUP($B39,'[2]Analisys QBR By Machine Report'!$C$109:$BD$166,50,FALSE)</f>
        <v>0</v>
      </c>
      <c r="BD39" s="13">
        <f ca="1">VLOOKUP($B39,'[2]Analisys QBR By Machine Report'!$C$109:$BD$166,51,FALSE)</f>
        <v>403882</v>
      </c>
      <c r="BE39" s="13">
        <f ca="1">VLOOKUP($B39,'[2]Analisys QBR By Machine Report'!$C$109:$BD$166,52,FALSE)</f>
        <v>8</v>
      </c>
      <c r="BF39" s="13">
        <f ca="1">VLOOKUP($B39,'[2]Analisys QBR By Machine Report'!$C$109:$BD$166,53,FALSE)</f>
        <v>403874</v>
      </c>
    </row>
    <row r="40" spans="1:58" x14ac:dyDescent="0.25">
      <c r="A40" s="12" t="s">
        <v>96</v>
      </c>
      <c r="B40" s="13">
        <f ca="1">VLOOKUP($B40,'[2]Analisys QBR By Machine Report'!$C$109:$BD$166,2,FALSE)</f>
        <v>30240</v>
      </c>
      <c r="C40" s="14">
        <f ca="1">VLOOKUP($B40,[2]Dasboard_QBR_Report!$B$109:$BL$166,3,FALSE)</f>
        <v>10080</v>
      </c>
      <c r="D40" s="13">
        <f ca="1">VLOOKUP($B40,'[2]Analisys QBR By Machine Report'!$C$109:$BD$166,3,FALSE)</f>
        <v>28710</v>
      </c>
      <c r="E40" s="14">
        <f ca="1">VLOOKUP($B40,[2]Dasboard_QBR_Report!$B$109:$BL$166,5,FALSE)</f>
        <v>8550</v>
      </c>
      <c r="F40" s="13">
        <f t="shared" ca="1" si="0"/>
        <v>1530</v>
      </c>
      <c r="G40" s="13">
        <f t="shared" ca="1" si="1"/>
        <v>285</v>
      </c>
      <c r="H40" s="13">
        <f ca="1">VLOOKUP($B40,'[2]Analisys QBR By Machine Report'!$C$109:$BD$166,4,FALSE)</f>
        <v>285</v>
      </c>
      <c r="I40" s="13">
        <f ca="1">VLOOKUP($B40,'[2]Analisys QBR By Machine Report'!$C$109:$BD$166,5,FALSE)</f>
        <v>0</v>
      </c>
      <c r="J40" s="13">
        <f ca="1">VLOOKUP($B40,'[2]Analisys QBR By Machine Report'!$C$109:$BD$166,6,FALSE)</f>
        <v>285</v>
      </c>
      <c r="K40" s="13">
        <f ca="1">VLOOKUP($B40,'[2]Analisys QBR By Machine Report'!$C$109:$BD$166,7,FALSE)</f>
        <v>0</v>
      </c>
      <c r="L40" s="13">
        <f ca="1">VLOOKUP($B40,'[2]Analisys QBR By Machine Report'!$C$109:$BD$166,8,FALSE)</f>
        <v>1245</v>
      </c>
      <c r="M40" s="13">
        <f ca="1">VLOOKUP($B40,'[2]Analisys QBR By Machine Report'!$C$109:$BD$166,9,FALSE)</f>
        <v>460</v>
      </c>
      <c r="N40" s="13">
        <f ca="1">VLOOKUP($B40,[2]Dasboard_QBR_Report!$B$109:$BL$166,18,FALSE)</f>
        <v>785</v>
      </c>
      <c r="O40" s="13">
        <f ca="1">VLOOKUP($B40,'[2]Analisys QBR By Machine Report'!$C$109:$BD$166,10,FALSE)</f>
        <v>185</v>
      </c>
      <c r="P40" s="13">
        <f ca="1">VLOOKUP($B40,'[2]Analisys QBR By Machine Report'!$C$109:$BD$166,11,FALSE)</f>
        <v>110</v>
      </c>
      <c r="Q40" s="13">
        <f ca="1">VLOOKUP($B40,'[2]Analisys QBR By Machine Report'!$C$109:$BD$166,12,FALSE)</f>
        <v>0</v>
      </c>
      <c r="R40" s="13">
        <f ca="1">VLOOKUP($B40,'[2]Analisys QBR By Machine Report'!$C$109:$BD$166,13,FALSE)</f>
        <v>40</v>
      </c>
      <c r="S40" s="13">
        <f ca="1">VLOOKUP($B40,'[2]Analisys QBR By Machine Report'!$C$109:$BD$166,14,FALSE)</f>
        <v>35</v>
      </c>
      <c r="T40" s="13">
        <f ca="1">VLOOKUP($B40,'[2]Analisys QBR By Machine Report'!$C$109:$BD$166,15,FALSE)</f>
        <v>0</v>
      </c>
      <c r="U40" s="13">
        <f ca="1">VLOOKUP($B40,'[2]Analisys QBR By Machine Report'!$C$109:$BD$166,16,FALSE)</f>
        <v>0</v>
      </c>
      <c r="V40" s="13">
        <f ca="1">VLOOKUP($B40,'[2]Analisys QBR By Machine Report'!$C$109:$BD$166,17,FALSE)</f>
        <v>0</v>
      </c>
      <c r="W40" s="13">
        <f ca="1">VLOOKUP($B40,'[2]Analisys QBR By Machine Report'!$C$109:$BD$166,18,FALSE)</f>
        <v>0</v>
      </c>
      <c r="X40" s="13">
        <f ca="1">VLOOKUP($B40,'[2]Analisys QBR By Machine Report'!$C$109:$BD$166,19,FALSE)</f>
        <v>0</v>
      </c>
      <c r="Y40" s="13">
        <f ca="1">VLOOKUP($B40,'[2]Analisys QBR By Machine Report'!$C$109:$BD$166,20,FALSE)</f>
        <v>0</v>
      </c>
      <c r="Z40" s="13">
        <f ca="1">VLOOKUP($B40,'[2]Analisys QBR By Machine Report'!$C$109:$BD$166,21,FALSE)</f>
        <v>340</v>
      </c>
      <c r="AA40" s="13">
        <f ca="1">VLOOKUP($B40,'[2]Analisys QBR By Machine Report'!$C$109:$BD$166,22,FALSE)</f>
        <v>165</v>
      </c>
      <c r="AB40" s="13">
        <f ca="1">VLOOKUP($B40,'[2]Analisys QBR By Machine Report'!$C$109:$BD$166,23,FALSE)</f>
        <v>105</v>
      </c>
      <c r="AC40" s="13">
        <f ca="1">VLOOKUP($B40,'[2]Analisys QBR By Machine Report'!$C$109:$BD$166,24,FALSE)</f>
        <v>0</v>
      </c>
      <c r="AD40" s="13">
        <f ca="1">VLOOKUP($B40,'[2]Analisys QBR By Machine Report'!$C$109:$BD$166,25,FALSE)</f>
        <v>0</v>
      </c>
      <c r="AE40" s="13">
        <f ca="1">VLOOKUP($B40,'[2]Analisys QBR By Machine Report'!$C$109:$BD$166,26,FALSE)</f>
        <v>70</v>
      </c>
      <c r="AF40" s="13">
        <f ca="1">VLOOKUP($B40,'[2]Analisys QBR By Machine Report'!$C$109:$BD$166,27,FALSE)</f>
        <v>0</v>
      </c>
      <c r="AG40" s="13">
        <f ca="1">VLOOKUP($B40,'[2]Analisys QBR By Machine Report'!$C$109:$BD$166,28,FALSE)</f>
        <v>0</v>
      </c>
      <c r="AH40" s="13">
        <f ca="1">VLOOKUP($B40,'[2]Analisys QBR By Machine Report'!$C$109:$BD$166,29,FALSE)</f>
        <v>0</v>
      </c>
      <c r="AI40" s="13">
        <f ca="1">VLOOKUP($B40,'[2]Analisys QBR By Machine Report'!$C$109:$BD$166,30,FALSE)</f>
        <v>260</v>
      </c>
      <c r="AJ40" s="13">
        <f ca="1">VLOOKUP($B40,'[2]Analisys QBR By Machine Report'!$C$109:$BD$166,31,FALSE)</f>
        <v>0</v>
      </c>
      <c r="AK40" s="13">
        <f ca="1">VLOOKUP($B40,'[2]Analisys QBR By Machine Report'!$C$109:$BD$166,32,FALSE)</f>
        <v>0</v>
      </c>
      <c r="AL40" s="13">
        <f ca="1">VLOOKUP($B40,'[2]Analisys QBR By Machine Report'!$C$109:$BD$166,33,FALSE)</f>
        <v>60</v>
      </c>
      <c r="AM40" s="13">
        <f ca="1">VLOOKUP($B40,'[2]Analisys QBR By Machine Report'!$C$109:$BD$166,34,FALSE)</f>
        <v>0</v>
      </c>
      <c r="AN40" s="13">
        <f ca="1">VLOOKUP($B40,'[2]Analisys QBR By Machine Report'!$C$109:$BD$166,35,FALSE)</f>
        <v>90</v>
      </c>
      <c r="AO40" s="13">
        <f ca="1">VLOOKUP($B40,'[2]Analisys QBR By Machine Report'!$C$109:$BD$166,36,FALSE)</f>
        <v>0</v>
      </c>
      <c r="AP40" s="13">
        <f ca="1">VLOOKUP($B40,'[2]Analisys QBR By Machine Report'!$C$109:$BD$166,37,FALSE)</f>
        <v>0</v>
      </c>
      <c r="AQ40" s="13">
        <f ca="1">VLOOKUP($B40,'[2]Analisys QBR By Machine Report'!$C$109:$BD$166,38,FALSE)</f>
        <v>0</v>
      </c>
      <c r="AR40" s="13">
        <f ca="1">VLOOKUP($B40,'[2]Analisys QBR By Machine Report'!$C$109:$BD$166,39,FALSE)</f>
        <v>0</v>
      </c>
      <c r="AS40" s="13">
        <f ca="1">VLOOKUP($B40,'[2]Analisys QBR By Machine Report'!$C$109:$BD$166,40,FALSE)</f>
        <v>20</v>
      </c>
      <c r="AT40" s="13">
        <f ca="1">VLOOKUP($B40,'[2]Analisys QBR By Machine Report'!$C$109:$BD$166,41,FALSE)</f>
        <v>0</v>
      </c>
      <c r="AU40" s="13">
        <f ca="1">VLOOKUP($B40,'[2]Analisys QBR By Machine Report'!$C$109:$BD$166,42,FALSE)</f>
        <v>0</v>
      </c>
      <c r="AV40" s="13">
        <f ca="1">VLOOKUP($B40,'[2]Analisys QBR By Machine Report'!$C$109:$BD$166,43,FALSE)</f>
        <v>0</v>
      </c>
      <c r="AW40" s="13">
        <f ca="1">VLOOKUP($B40,'[2]Analisys QBR By Machine Report'!$C$109:$BD$166,44,FALSE)</f>
        <v>0</v>
      </c>
      <c r="AX40" s="13">
        <f ca="1">VLOOKUP($B40,'[2]Analisys QBR By Machine Report'!$C$109:$BD$166,45,FALSE)</f>
        <v>0</v>
      </c>
      <c r="AY40" s="13">
        <f ca="1">VLOOKUP($B40,'[2]Analisys QBR By Machine Report'!$C$109:$BD$166,46,FALSE)</f>
        <v>0</v>
      </c>
      <c r="AZ40" s="13">
        <f ca="1">VLOOKUP($B40,'[2]Analisys QBR By Machine Report'!$C$109:$BD$166,47,FALSE)</f>
        <v>10</v>
      </c>
      <c r="BA40" s="13">
        <f ca="1">VLOOKUP($B40,'[2]Analisys QBR By Machine Report'!$C$109:$BD$166,48,FALSE)</f>
        <v>80</v>
      </c>
      <c r="BB40" s="13">
        <f ca="1">VLOOKUP($B40,'[2]Analisys QBR By Machine Report'!$C$109:$BD$166,49,FALSE)</f>
        <v>0</v>
      </c>
      <c r="BC40" s="13">
        <f ca="1">VLOOKUP($B40,'[2]Analisys QBR By Machine Report'!$C$109:$BD$166,50,FALSE)</f>
        <v>0</v>
      </c>
      <c r="BD40" s="13">
        <f ca="1">VLOOKUP($B40,'[2]Analisys QBR By Machine Report'!$C$109:$BD$166,51,FALSE)</f>
        <v>17639</v>
      </c>
      <c r="BE40" s="13">
        <f ca="1">VLOOKUP($B40,'[2]Analisys QBR By Machine Report'!$C$109:$BD$166,52,FALSE)</f>
        <v>0</v>
      </c>
      <c r="BF40" s="13">
        <f ca="1">VLOOKUP($B40,'[2]Analisys QBR By Machine Report'!$C$109:$BD$166,53,FALSE)</f>
        <v>17639</v>
      </c>
    </row>
    <row r="41" spans="1:58" x14ac:dyDescent="0.25">
      <c r="A41" s="12" t="s">
        <v>97</v>
      </c>
      <c r="B41" s="13">
        <f ca="1">VLOOKUP($B41,'[2]Analisys QBR By Machine Report'!$C$109:$BD$166,2,FALSE)</f>
        <v>30240</v>
      </c>
      <c r="C41" s="14">
        <f ca="1">VLOOKUP($B41,[2]Dasboard_QBR_Report!$B$109:$BL$166,3,FALSE)</f>
        <v>19530</v>
      </c>
      <c r="D41" s="13">
        <f ca="1">VLOOKUP($B41,'[2]Analisys QBR By Machine Report'!$C$109:$BD$166,3,FALSE)</f>
        <v>18930</v>
      </c>
      <c r="E41" s="14">
        <f ca="1">VLOOKUP($B41,[2]Dasboard_QBR_Report!$B$109:$BL$166,5,FALSE)</f>
        <v>8220</v>
      </c>
      <c r="F41" s="13">
        <f t="shared" ca="1" si="0"/>
        <v>11310</v>
      </c>
      <c r="G41" s="13">
        <f t="shared" ca="1" si="1"/>
        <v>2745</v>
      </c>
      <c r="H41" s="13">
        <f ca="1">VLOOKUP($B41,'[2]Analisys QBR By Machine Report'!$C$109:$BD$166,4,FALSE)</f>
        <v>2745</v>
      </c>
      <c r="I41" s="13">
        <f ca="1">VLOOKUP($B41,'[2]Analisys QBR By Machine Report'!$C$109:$BD$166,5,FALSE)</f>
        <v>710</v>
      </c>
      <c r="J41" s="13">
        <f ca="1">VLOOKUP($B41,'[2]Analisys QBR By Machine Report'!$C$109:$BD$166,6,FALSE)</f>
        <v>2035</v>
      </c>
      <c r="K41" s="13">
        <f ca="1">VLOOKUP($B41,'[2]Analisys QBR By Machine Report'!$C$109:$BD$166,7,FALSE)</f>
        <v>0</v>
      </c>
      <c r="L41" s="13">
        <f ca="1">VLOOKUP($B41,'[2]Analisys QBR By Machine Report'!$C$109:$BD$166,8,FALSE)</f>
        <v>8565</v>
      </c>
      <c r="M41" s="13">
        <f ca="1">VLOOKUP($B41,'[2]Analisys QBR By Machine Report'!$C$109:$BD$166,9,FALSE)</f>
        <v>3590</v>
      </c>
      <c r="N41" s="13">
        <f ca="1">VLOOKUP($B41,[2]Dasboard_QBR_Report!$B$109:$BL$166,18,FALSE)</f>
        <v>4975</v>
      </c>
      <c r="O41" s="13">
        <f ca="1">VLOOKUP($B41,'[2]Analisys QBR By Machine Report'!$C$109:$BD$166,10,FALSE)</f>
        <v>965</v>
      </c>
      <c r="P41" s="13">
        <f ca="1">VLOOKUP($B41,'[2]Analisys QBR By Machine Report'!$C$109:$BD$166,11,FALSE)</f>
        <v>620</v>
      </c>
      <c r="Q41" s="13">
        <f ca="1">VLOOKUP($B41,'[2]Analisys QBR By Machine Report'!$C$109:$BD$166,12,FALSE)</f>
        <v>75</v>
      </c>
      <c r="R41" s="13">
        <f ca="1">VLOOKUP($B41,'[2]Analisys QBR By Machine Report'!$C$109:$BD$166,13,FALSE)</f>
        <v>10</v>
      </c>
      <c r="S41" s="13">
        <f ca="1">VLOOKUP($B41,'[2]Analisys QBR By Machine Report'!$C$109:$BD$166,14,FALSE)</f>
        <v>260</v>
      </c>
      <c r="T41" s="13">
        <f ca="1">VLOOKUP($B41,'[2]Analisys QBR By Machine Report'!$C$109:$BD$166,15,FALSE)</f>
        <v>0</v>
      </c>
      <c r="U41" s="13">
        <f ca="1">VLOOKUP($B41,'[2]Analisys QBR By Machine Report'!$C$109:$BD$166,16,FALSE)</f>
        <v>0</v>
      </c>
      <c r="V41" s="13">
        <f ca="1">VLOOKUP($B41,'[2]Analisys QBR By Machine Report'!$C$109:$BD$166,17,FALSE)</f>
        <v>0</v>
      </c>
      <c r="W41" s="13">
        <f ca="1">VLOOKUP($B41,'[2]Analisys QBR By Machine Report'!$C$109:$BD$166,18,FALSE)</f>
        <v>0</v>
      </c>
      <c r="X41" s="13">
        <f ca="1">VLOOKUP($B41,'[2]Analisys QBR By Machine Report'!$C$109:$BD$166,19,FALSE)</f>
        <v>0</v>
      </c>
      <c r="Y41" s="13">
        <f ca="1">VLOOKUP($B41,'[2]Analisys QBR By Machine Report'!$C$109:$BD$166,20,FALSE)</f>
        <v>0</v>
      </c>
      <c r="Z41" s="13">
        <f ca="1">VLOOKUP($B41,'[2]Analisys QBR By Machine Report'!$C$109:$BD$166,21,FALSE)</f>
        <v>675</v>
      </c>
      <c r="AA41" s="13">
        <f ca="1">VLOOKUP($B41,'[2]Analisys QBR By Machine Report'!$C$109:$BD$166,22,FALSE)</f>
        <v>450</v>
      </c>
      <c r="AB41" s="13">
        <f ca="1">VLOOKUP($B41,'[2]Analisys QBR By Machine Report'!$C$109:$BD$166,23,FALSE)</f>
        <v>225</v>
      </c>
      <c r="AC41" s="13">
        <f ca="1">VLOOKUP($B41,'[2]Analisys QBR By Machine Report'!$C$109:$BD$166,24,FALSE)</f>
        <v>0</v>
      </c>
      <c r="AD41" s="13">
        <f ca="1">VLOOKUP($B41,'[2]Analisys QBR By Machine Report'!$C$109:$BD$166,25,FALSE)</f>
        <v>0</v>
      </c>
      <c r="AE41" s="13">
        <f ca="1">VLOOKUP($B41,'[2]Analisys QBR By Machine Report'!$C$109:$BD$166,26,FALSE)</f>
        <v>0</v>
      </c>
      <c r="AF41" s="13">
        <f ca="1">VLOOKUP($B41,'[2]Analisys QBR By Machine Report'!$C$109:$BD$166,27,FALSE)</f>
        <v>0</v>
      </c>
      <c r="AG41" s="13">
        <f ca="1">VLOOKUP($B41,'[2]Analisys QBR By Machine Report'!$C$109:$BD$166,28,FALSE)</f>
        <v>0</v>
      </c>
      <c r="AH41" s="13">
        <f ca="1">VLOOKUP($B41,'[2]Analisys QBR By Machine Report'!$C$109:$BD$166,29,FALSE)</f>
        <v>0</v>
      </c>
      <c r="AI41" s="13">
        <f ca="1">VLOOKUP($B41,'[2]Analisys QBR By Machine Report'!$C$109:$BD$166,30,FALSE)</f>
        <v>3335</v>
      </c>
      <c r="AJ41" s="13">
        <f ca="1">VLOOKUP($B41,'[2]Analisys QBR By Machine Report'!$C$109:$BD$166,31,FALSE)</f>
        <v>0</v>
      </c>
      <c r="AK41" s="13">
        <f ca="1">VLOOKUP($B41,'[2]Analisys QBR By Machine Report'!$C$109:$BD$166,32,FALSE)</f>
        <v>0</v>
      </c>
      <c r="AL41" s="13">
        <f ca="1">VLOOKUP($B41,'[2]Analisys QBR By Machine Report'!$C$109:$BD$166,33,FALSE)</f>
        <v>510</v>
      </c>
      <c r="AM41" s="13">
        <f ca="1">VLOOKUP($B41,'[2]Analisys QBR By Machine Report'!$C$109:$BD$166,34,FALSE)</f>
        <v>0</v>
      </c>
      <c r="AN41" s="13">
        <f ca="1">VLOOKUP($B41,'[2]Analisys QBR By Machine Report'!$C$109:$BD$166,35,FALSE)</f>
        <v>255</v>
      </c>
      <c r="AO41" s="13">
        <f ca="1">VLOOKUP($B41,'[2]Analisys QBR By Machine Report'!$C$109:$BD$166,36,FALSE)</f>
        <v>540</v>
      </c>
      <c r="AP41" s="13">
        <f ca="1">VLOOKUP($B41,'[2]Analisys QBR By Machine Report'!$C$109:$BD$166,37,FALSE)</f>
        <v>0</v>
      </c>
      <c r="AQ41" s="13">
        <f ca="1">VLOOKUP($B41,'[2]Analisys QBR By Machine Report'!$C$109:$BD$166,38,FALSE)</f>
        <v>0</v>
      </c>
      <c r="AR41" s="13">
        <f ca="1">VLOOKUP($B41,'[2]Analisys QBR By Machine Report'!$C$109:$BD$166,39,FALSE)</f>
        <v>1710</v>
      </c>
      <c r="AS41" s="13">
        <f ca="1">VLOOKUP($B41,'[2]Analisys QBR By Machine Report'!$C$109:$BD$166,40,FALSE)</f>
        <v>160</v>
      </c>
      <c r="AT41" s="13">
        <f ca="1">VLOOKUP($B41,'[2]Analisys QBR By Machine Report'!$C$109:$BD$166,41,FALSE)</f>
        <v>0</v>
      </c>
      <c r="AU41" s="13">
        <f ca="1">VLOOKUP($B41,'[2]Analisys QBR By Machine Report'!$C$109:$BD$166,42,FALSE)</f>
        <v>0</v>
      </c>
      <c r="AV41" s="13">
        <f ca="1">VLOOKUP($B41,'[2]Analisys QBR By Machine Report'!$C$109:$BD$166,43,FALSE)</f>
        <v>0</v>
      </c>
      <c r="AW41" s="13">
        <f ca="1">VLOOKUP($B41,'[2]Analisys QBR By Machine Report'!$C$109:$BD$166,44,FALSE)</f>
        <v>0</v>
      </c>
      <c r="AX41" s="13">
        <f ca="1">VLOOKUP($B41,'[2]Analisys QBR By Machine Report'!$C$109:$BD$166,45,FALSE)</f>
        <v>0</v>
      </c>
      <c r="AY41" s="13">
        <f ca="1">VLOOKUP($B41,'[2]Analisys QBR By Machine Report'!$C$109:$BD$166,46,FALSE)</f>
        <v>0</v>
      </c>
      <c r="AZ41" s="13">
        <f ca="1">VLOOKUP($B41,'[2]Analisys QBR By Machine Report'!$C$109:$BD$166,47,FALSE)</f>
        <v>160</v>
      </c>
      <c r="BA41" s="13">
        <f ca="1">VLOOKUP($B41,'[2]Analisys QBR By Machine Report'!$C$109:$BD$166,48,FALSE)</f>
        <v>0</v>
      </c>
      <c r="BB41" s="13">
        <f ca="1">VLOOKUP($B41,'[2]Analisys QBR By Machine Report'!$C$109:$BD$166,49,FALSE)</f>
        <v>0</v>
      </c>
      <c r="BC41" s="13">
        <f ca="1">VLOOKUP($B41,'[2]Analisys QBR By Machine Report'!$C$109:$BD$166,50,FALSE)</f>
        <v>0</v>
      </c>
      <c r="BD41" s="13">
        <f ca="1">VLOOKUP($B41,'[2]Analisys QBR By Machine Report'!$C$109:$BD$166,51,FALSE)</f>
        <v>311827</v>
      </c>
      <c r="BE41" s="13">
        <f ca="1">VLOOKUP($B41,'[2]Analisys QBR By Machine Report'!$C$109:$BD$166,52,FALSE)</f>
        <v>0</v>
      </c>
      <c r="BF41" s="13">
        <f ca="1">VLOOKUP($B41,'[2]Analisys QBR By Machine Report'!$C$109:$BD$166,53,FALSE)</f>
        <v>311827</v>
      </c>
    </row>
    <row r="42" spans="1:58" x14ac:dyDescent="0.25">
      <c r="A42" s="12" t="s">
        <v>98</v>
      </c>
      <c r="B42" s="13">
        <f ca="1">VLOOKUP($B42,'[2]Analisys QBR By Machine Report'!$C$109:$BD$166,2,FALSE)</f>
        <v>30240</v>
      </c>
      <c r="C42" s="14">
        <f ca="1">VLOOKUP($B42,[2]Dasboard_QBR_Report!$B$109:$BL$166,3,FALSE)</f>
        <v>10080</v>
      </c>
      <c r="D42" s="13">
        <f ca="1">VLOOKUP($B42,'[2]Analisys QBR By Machine Report'!$C$109:$BD$166,3,FALSE)</f>
        <v>21150</v>
      </c>
      <c r="E42" s="14">
        <f ca="1">VLOOKUP($B42,[2]Dasboard_QBR_Report!$B$109:$BL$166,5,FALSE)</f>
        <v>990</v>
      </c>
      <c r="F42" s="13">
        <f t="shared" ca="1" si="0"/>
        <v>9090</v>
      </c>
      <c r="G42" s="13">
        <f t="shared" ca="1" si="1"/>
        <v>1020</v>
      </c>
      <c r="H42" s="13">
        <f ca="1">VLOOKUP($B42,'[2]Analisys QBR By Machine Report'!$C$109:$BD$166,4,FALSE)</f>
        <v>1020</v>
      </c>
      <c r="I42" s="13">
        <f ca="1">VLOOKUP($B42,'[2]Analisys QBR By Machine Report'!$C$109:$BD$166,5,FALSE)</f>
        <v>405</v>
      </c>
      <c r="J42" s="13">
        <f ca="1">VLOOKUP($B42,'[2]Analisys QBR By Machine Report'!$C$109:$BD$166,6,FALSE)</f>
        <v>615</v>
      </c>
      <c r="K42" s="13">
        <f ca="1">VLOOKUP($B42,'[2]Analisys QBR By Machine Report'!$C$109:$BD$166,7,FALSE)</f>
        <v>0</v>
      </c>
      <c r="L42" s="13">
        <f ca="1">VLOOKUP($B42,'[2]Analisys QBR By Machine Report'!$C$109:$BD$166,8,FALSE)</f>
        <v>8070</v>
      </c>
      <c r="M42" s="13">
        <f ca="1">VLOOKUP($B42,'[2]Analisys QBR By Machine Report'!$C$109:$BD$166,9,FALSE)</f>
        <v>3805</v>
      </c>
      <c r="N42" s="13">
        <f ca="1">VLOOKUP($B42,[2]Dasboard_QBR_Report!$B$109:$BL$166,18,FALSE)</f>
        <v>4265</v>
      </c>
      <c r="O42" s="13">
        <f ca="1">VLOOKUP($B42,'[2]Analisys QBR By Machine Report'!$C$109:$BD$166,10,FALSE)</f>
        <v>2175</v>
      </c>
      <c r="P42" s="13">
        <f ca="1">VLOOKUP($B42,'[2]Analisys QBR By Machine Report'!$C$109:$BD$166,11,FALSE)</f>
        <v>1313</v>
      </c>
      <c r="Q42" s="13">
        <f ca="1">VLOOKUP($B42,'[2]Analisys QBR By Machine Report'!$C$109:$BD$166,12,FALSE)</f>
        <v>115</v>
      </c>
      <c r="R42" s="13">
        <f ca="1">VLOOKUP($B42,'[2]Analisys QBR By Machine Report'!$C$109:$BD$166,13,FALSE)</f>
        <v>130</v>
      </c>
      <c r="S42" s="13">
        <f ca="1">VLOOKUP($B42,'[2]Analisys QBR By Machine Report'!$C$109:$BD$166,14,FALSE)</f>
        <v>617</v>
      </c>
      <c r="T42" s="13">
        <f ca="1">VLOOKUP($B42,'[2]Analisys QBR By Machine Report'!$C$109:$BD$166,15,FALSE)</f>
        <v>0</v>
      </c>
      <c r="U42" s="13">
        <f ca="1">VLOOKUP($B42,'[2]Analisys QBR By Machine Report'!$C$109:$BD$166,16,FALSE)</f>
        <v>0</v>
      </c>
      <c r="V42" s="13">
        <f ca="1">VLOOKUP($B42,'[2]Analisys QBR By Machine Report'!$C$109:$BD$166,17,FALSE)</f>
        <v>0</v>
      </c>
      <c r="W42" s="13">
        <f ca="1">VLOOKUP($B42,'[2]Analisys QBR By Machine Report'!$C$109:$BD$166,18,FALSE)</f>
        <v>0</v>
      </c>
      <c r="X42" s="13">
        <f ca="1">VLOOKUP($B42,'[2]Analisys QBR By Machine Report'!$C$109:$BD$166,19,FALSE)</f>
        <v>0</v>
      </c>
      <c r="Y42" s="13">
        <f ca="1">VLOOKUP($B42,'[2]Analisys QBR By Machine Report'!$C$109:$BD$166,20,FALSE)</f>
        <v>0</v>
      </c>
      <c r="Z42" s="13">
        <f ca="1">VLOOKUP($B42,'[2]Analisys QBR By Machine Report'!$C$109:$BD$166,21,FALSE)</f>
        <v>1001</v>
      </c>
      <c r="AA42" s="13">
        <f ca="1">VLOOKUP($B42,'[2]Analisys QBR By Machine Report'!$C$109:$BD$166,22,FALSE)</f>
        <v>671</v>
      </c>
      <c r="AB42" s="13">
        <f ca="1">VLOOKUP($B42,'[2]Analisys QBR By Machine Report'!$C$109:$BD$166,23,FALSE)</f>
        <v>330</v>
      </c>
      <c r="AC42" s="13">
        <f ca="1">VLOOKUP($B42,'[2]Analisys QBR By Machine Report'!$C$109:$BD$166,24,FALSE)</f>
        <v>0</v>
      </c>
      <c r="AD42" s="13">
        <f ca="1">VLOOKUP($B42,'[2]Analisys QBR By Machine Report'!$C$109:$BD$166,25,FALSE)</f>
        <v>0</v>
      </c>
      <c r="AE42" s="13">
        <f ca="1">VLOOKUP($B42,'[2]Analisys QBR By Machine Report'!$C$109:$BD$166,26,FALSE)</f>
        <v>0</v>
      </c>
      <c r="AF42" s="13">
        <f ca="1">VLOOKUP($B42,'[2]Analisys QBR By Machine Report'!$C$109:$BD$166,27,FALSE)</f>
        <v>0</v>
      </c>
      <c r="AG42" s="13">
        <f ca="1">VLOOKUP($B42,'[2]Analisys QBR By Machine Report'!$C$109:$BD$166,28,FALSE)</f>
        <v>0</v>
      </c>
      <c r="AH42" s="13">
        <f ca="1">VLOOKUP($B42,'[2]Analisys QBR By Machine Report'!$C$109:$BD$166,29,FALSE)</f>
        <v>0</v>
      </c>
      <c r="AI42" s="13">
        <f ca="1">VLOOKUP($B42,'[2]Analisys QBR By Machine Report'!$C$109:$BD$166,30,FALSE)</f>
        <v>1089</v>
      </c>
      <c r="AJ42" s="13">
        <f ca="1">VLOOKUP($B42,'[2]Analisys QBR By Machine Report'!$C$109:$BD$166,31,FALSE)</f>
        <v>0</v>
      </c>
      <c r="AK42" s="13">
        <f ca="1">VLOOKUP($B42,'[2]Analisys QBR By Machine Report'!$C$109:$BD$166,32,FALSE)</f>
        <v>0</v>
      </c>
      <c r="AL42" s="13">
        <f ca="1">VLOOKUP($B42,'[2]Analisys QBR By Machine Report'!$C$109:$BD$166,33,FALSE)</f>
        <v>480</v>
      </c>
      <c r="AM42" s="13">
        <f ca="1">VLOOKUP($B42,'[2]Analisys QBR By Machine Report'!$C$109:$BD$166,34,FALSE)</f>
        <v>0</v>
      </c>
      <c r="AN42" s="13">
        <f ca="1">VLOOKUP($B42,'[2]Analisys QBR By Machine Report'!$C$109:$BD$166,35,FALSE)</f>
        <v>240</v>
      </c>
      <c r="AO42" s="13">
        <f ca="1">VLOOKUP($B42,'[2]Analisys QBR By Machine Report'!$C$109:$BD$166,36,FALSE)</f>
        <v>0</v>
      </c>
      <c r="AP42" s="13">
        <f ca="1">VLOOKUP($B42,'[2]Analisys QBR By Machine Report'!$C$109:$BD$166,37,FALSE)</f>
        <v>0</v>
      </c>
      <c r="AQ42" s="13">
        <f ca="1">VLOOKUP($B42,'[2]Analisys QBR By Machine Report'!$C$109:$BD$166,38,FALSE)</f>
        <v>0</v>
      </c>
      <c r="AR42" s="13">
        <f ca="1">VLOOKUP($B42,'[2]Analisys QBR By Machine Report'!$C$109:$BD$166,39,FALSE)</f>
        <v>7</v>
      </c>
      <c r="AS42" s="13">
        <f ca="1">VLOOKUP($B42,'[2]Analisys QBR By Machine Report'!$C$109:$BD$166,40,FALSE)</f>
        <v>178</v>
      </c>
      <c r="AT42" s="13">
        <f ca="1">VLOOKUP($B42,'[2]Analisys QBR By Machine Report'!$C$109:$BD$166,41,FALSE)</f>
        <v>0</v>
      </c>
      <c r="AU42" s="13">
        <f ca="1">VLOOKUP($B42,'[2]Analisys QBR By Machine Report'!$C$109:$BD$166,42,FALSE)</f>
        <v>0</v>
      </c>
      <c r="AV42" s="13">
        <f ca="1">VLOOKUP($B42,'[2]Analisys QBR By Machine Report'!$C$109:$BD$166,43,FALSE)</f>
        <v>0</v>
      </c>
      <c r="AW42" s="13">
        <f ca="1">VLOOKUP($B42,'[2]Analisys QBR By Machine Report'!$C$109:$BD$166,44,FALSE)</f>
        <v>0</v>
      </c>
      <c r="AX42" s="13">
        <f ca="1">VLOOKUP($B42,'[2]Analisys QBR By Machine Report'!$C$109:$BD$166,45,FALSE)</f>
        <v>0</v>
      </c>
      <c r="AY42" s="13">
        <f ca="1">VLOOKUP($B42,'[2]Analisys QBR By Machine Report'!$C$109:$BD$166,46,FALSE)</f>
        <v>0</v>
      </c>
      <c r="AZ42" s="13">
        <f ca="1">VLOOKUP($B42,'[2]Analisys QBR By Machine Report'!$C$109:$BD$166,47,FALSE)</f>
        <v>184</v>
      </c>
      <c r="BA42" s="13">
        <f ca="1">VLOOKUP($B42,'[2]Analisys QBR By Machine Report'!$C$109:$BD$166,48,FALSE)</f>
        <v>0</v>
      </c>
      <c r="BB42" s="13">
        <f ca="1">VLOOKUP($B42,'[2]Analisys QBR By Machine Report'!$C$109:$BD$166,49,FALSE)</f>
        <v>0</v>
      </c>
      <c r="BC42" s="13">
        <f ca="1">VLOOKUP($B42,'[2]Analisys QBR By Machine Report'!$C$109:$BD$166,50,FALSE)</f>
        <v>0</v>
      </c>
      <c r="BD42" s="13">
        <f ca="1">VLOOKUP($B42,'[2]Analisys QBR By Machine Report'!$C$109:$BD$166,51,FALSE)</f>
        <v>421630</v>
      </c>
      <c r="BE42" s="13">
        <f ca="1">VLOOKUP($B42,'[2]Analisys QBR By Machine Report'!$C$109:$BD$166,52,FALSE)</f>
        <v>54</v>
      </c>
      <c r="BF42" s="13">
        <f ca="1">VLOOKUP($B42,'[2]Analisys QBR By Machine Report'!$C$109:$BD$166,53,FALSE)</f>
        <v>421576</v>
      </c>
    </row>
    <row r="43" spans="1:58" x14ac:dyDescent="0.25">
      <c r="A43" s="9" t="s">
        <v>99</v>
      </c>
      <c r="B43" s="10">
        <f ca="1">VLOOKUP($B43,'[2]Analisys QBR By Machine Report'!$C$109:$BD$166,2,FALSE)</f>
        <v>30240</v>
      </c>
      <c r="C43" s="11">
        <f ca="1">VLOOKUP($B43,[2]Dasboard_QBR_Report!$B$109:$BL$166,3,FALSE)</f>
        <v>10080</v>
      </c>
      <c r="D43" s="10">
        <f ca="1">VLOOKUP($B43,'[2]Analisys QBR By Machine Report'!$C$109:$BD$166,3,FALSE)</f>
        <v>29220</v>
      </c>
      <c r="E43" s="11">
        <f ca="1">VLOOKUP($B43,[2]Dasboard_QBR_Report!$B$109:$BL$166,5,FALSE)</f>
        <v>9060</v>
      </c>
      <c r="F43" s="10">
        <f t="shared" ca="1" si="0"/>
        <v>1020</v>
      </c>
      <c r="G43" s="10">
        <f t="shared" ca="1" si="1"/>
        <v>20</v>
      </c>
      <c r="H43" s="10">
        <f ca="1">VLOOKUP($B43,'[2]Analisys QBR By Machine Report'!$C$109:$BD$166,4,FALSE)</f>
        <v>20</v>
      </c>
      <c r="I43" s="10">
        <f ca="1">VLOOKUP($B43,'[2]Analisys QBR By Machine Report'!$C$109:$BD$166,5,FALSE)</f>
        <v>20</v>
      </c>
      <c r="J43" s="10">
        <f ca="1">VLOOKUP($B43,'[2]Analisys QBR By Machine Report'!$C$109:$BD$166,6,FALSE)</f>
        <v>0</v>
      </c>
      <c r="K43" s="10">
        <f ca="1">VLOOKUP($B43,'[2]Analisys QBR By Machine Report'!$C$109:$BD$166,7,FALSE)</f>
        <v>0</v>
      </c>
      <c r="L43" s="10">
        <f ca="1">VLOOKUP($B43,'[2]Analisys QBR By Machine Report'!$C$109:$BD$166,8,FALSE)</f>
        <v>1000</v>
      </c>
      <c r="M43" s="10">
        <f ca="1">VLOOKUP($B43,'[2]Analisys QBR By Machine Report'!$C$109:$BD$166,9,FALSE)</f>
        <v>80</v>
      </c>
      <c r="N43" s="10">
        <f ca="1">VLOOKUP($B43,[2]Dasboard_QBR_Report!$B$109:$BL$166,18,FALSE)</f>
        <v>920</v>
      </c>
      <c r="O43" s="10">
        <f ca="1">VLOOKUP($B43,'[2]Analisys QBR By Machine Report'!$C$109:$BD$166,10,FALSE)</f>
        <v>30</v>
      </c>
      <c r="P43" s="10">
        <f ca="1">VLOOKUP($B43,'[2]Analisys QBR By Machine Report'!$C$109:$BD$166,11,FALSE)</f>
        <v>30</v>
      </c>
      <c r="Q43" s="10">
        <f ca="1">VLOOKUP($B43,'[2]Analisys QBR By Machine Report'!$C$109:$BD$166,12,FALSE)</f>
        <v>0</v>
      </c>
      <c r="R43" s="10">
        <f ca="1">VLOOKUP($B43,'[2]Analisys QBR By Machine Report'!$C$109:$BD$166,13,FALSE)</f>
        <v>0</v>
      </c>
      <c r="S43" s="10">
        <f ca="1">VLOOKUP($B43,'[2]Analisys QBR By Machine Report'!$C$109:$BD$166,14,FALSE)</f>
        <v>0</v>
      </c>
      <c r="T43" s="10">
        <f ca="1">VLOOKUP($B43,'[2]Analisys QBR By Machine Report'!$C$109:$BD$166,15,FALSE)</f>
        <v>0</v>
      </c>
      <c r="U43" s="10">
        <f ca="1">VLOOKUP($B43,'[2]Analisys QBR By Machine Report'!$C$109:$BD$166,16,FALSE)</f>
        <v>0</v>
      </c>
      <c r="V43" s="10">
        <f ca="1">VLOOKUP($B43,'[2]Analisys QBR By Machine Report'!$C$109:$BD$166,17,FALSE)</f>
        <v>0</v>
      </c>
      <c r="W43" s="10">
        <f ca="1">VLOOKUP($B43,'[2]Analisys QBR By Machine Report'!$C$109:$BD$166,18,FALSE)</f>
        <v>0</v>
      </c>
      <c r="X43" s="10">
        <f ca="1">VLOOKUP($B43,'[2]Analisys QBR By Machine Report'!$C$109:$BD$166,19,FALSE)</f>
        <v>0</v>
      </c>
      <c r="Y43" s="10">
        <f ca="1">VLOOKUP($B43,'[2]Analisys QBR By Machine Report'!$C$109:$BD$166,20,FALSE)</f>
        <v>0</v>
      </c>
      <c r="Z43" s="10">
        <f ca="1">VLOOKUP($B43,'[2]Analisys QBR By Machine Report'!$C$109:$BD$166,21,FALSE)</f>
        <v>346</v>
      </c>
      <c r="AA43" s="10">
        <f ca="1">VLOOKUP($B43,'[2]Analisys QBR By Machine Report'!$C$109:$BD$166,22,FALSE)</f>
        <v>256</v>
      </c>
      <c r="AB43" s="10">
        <f ca="1">VLOOKUP($B43,'[2]Analisys QBR By Machine Report'!$C$109:$BD$166,23,FALSE)</f>
        <v>80</v>
      </c>
      <c r="AC43" s="10">
        <f ca="1">VLOOKUP($B43,'[2]Analisys QBR By Machine Report'!$C$109:$BD$166,24,FALSE)</f>
        <v>0</v>
      </c>
      <c r="AD43" s="10">
        <f ca="1">VLOOKUP($B43,'[2]Analisys QBR By Machine Report'!$C$109:$BD$166,25,FALSE)</f>
        <v>0</v>
      </c>
      <c r="AE43" s="10">
        <f ca="1">VLOOKUP($B43,'[2]Analisys QBR By Machine Report'!$C$109:$BD$166,26,FALSE)</f>
        <v>10</v>
      </c>
      <c r="AF43" s="10">
        <f ca="1">VLOOKUP($B43,'[2]Analisys QBR By Machine Report'!$C$109:$BD$166,27,FALSE)</f>
        <v>0</v>
      </c>
      <c r="AG43" s="10">
        <f ca="1">VLOOKUP($B43,'[2]Analisys QBR By Machine Report'!$C$109:$BD$166,28,FALSE)</f>
        <v>0</v>
      </c>
      <c r="AH43" s="10">
        <f ca="1">VLOOKUP($B43,'[2]Analisys QBR By Machine Report'!$C$109:$BD$166,29,FALSE)</f>
        <v>0</v>
      </c>
      <c r="AI43" s="10">
        <f ca="1">VLOOKUP($B43,'[2]Analisys QBR By Machine Report'!$C$109:$BD$166,30,FALSE)</f>
        <v>544</v>
      </c>
      <c r="AJ43" s="10">
        <f ca="1">VLOOKUP($B43,'[2]Analisys QBR By Machine Report'!$C$109:$BD$166,31,FALSE)</f>
        <v>380</v>
      </c>
      <c r="AK43" s="10">
        <f ca="1">VLOOKUP($B43,'[2]Analisys QBR By Machine Report'!$C$109:$BD$166,32,FALSE)</f>
        <v>0</v>
      </c>
      <c r="AL43" s="10">
        <f ca="1">VLOOKUP($B43,'[2]Analisys QBR By Machine Report'!$C$109:$BD$166,33,FALSE)</f>
        <v>30</v>
      </c>
      <c r="AM43" s="10">
        <f ca="1">VLOOKUP($B43,'[2]Analisys QBR By Machine Report'!$C$109:$BD$166,34,FALSE)</f>
        <v>0</v>
      </c>
      <c r="AN43" s="10">
        <f ca="1">VLOOKUP($B43,'[2]Analisys QBR By Machine Report'!$C$109:$BD$166,35,FALSE)</f>
        <v>15</v>
      </c>
      <c r="AO43" s="10">
        <f ca="1">VLOOKUP($B43,'[2]Analisys QBR By Machine Report'!$C$109:$BD$166,36,FALSE)</f>
        <v>0</v>
      </c>
      <c r="AP43" s="10">
        <f ca="1">VLOOKUP($B43,'[2]Analisys QBR By Machine Report'!$C$109:$BD$166,37,FALSE)</f>
        <v>90</v>
      </c>
      <c r="AQ43" s="10">
        <f ca="1">VLOOKUP($B43,'[2]Analisys QBR By Machine Report'!$C$109:$BD$166,38,FALSE)</f>
        <v>0</v>
      </c>
      <c r="AR43" s="10">
        <f ca="1">VLOOKUP($B43,'[2]Analisys QBR By Machine Report'!$C$109:$BD$166,39,FALSE)</f>
        <v>0</v>
      </c>
      <c r="AS43" s="10">
        <f ca="1">VLOOKUP($B43,'[2]Analisys QBR By Machine Report'!$C$109:$BD$166,40,FALSE)</f>
        <v>0</v>
      </c>
      <c r="AT43" s="10">
        <f ca="1">VLOOKUP($B43,'[2]Analisys QBR By Machine Report'!$C$109:$BD$166,41,FALSE)</f>
        <v>0</v>
      </c>
      <c r="AU43" s="10">
        <f ca="1">VLOOKUP($B43,'[2]Analisys QBR By Machine Report'!$C$109:$BD$166,42,FALSE)</f>
        <v>0</v>
      </c>
      <c r="AV43" s="10">
        <f ca="1">VLOOKUP($B43,'[2]Analisys QBR By Machine Report'!$C$109:$BD$166,43,FALSE)</f>
        <v>0</v>
      </c>
      <c r="AW43" s="10">
        <f ca="1">VLOOKUP($B43,'[2]Analisys QBR By Machine Report'!$C$109:$BD$166,44,FALSE)</f>
        <v>0</v>
      </c>
      <c r="AX43" s="10">
        <f ca="1">VLOOKUP($B43,'[2]Analisys QBR By Machine Report'!$C$109:$BD$166,45,FALSE)</f>
        <v>0</v>
      </c>
      <c r="AY43" s="10">
        <f ca="1">VLOOKUP($B43,'[2]Analisys QBR By Machine Report'!$C$109:$BD$166,46,FALSE)</f>
        <v>0</v>
      </c>
      <c r="AZ43" s="10">
        <f ca="1">VLOOKUP($B43,'[2]Analisys QBR By Machine Report'!$C$109:$BD$166,47,FALSE)</f>
        <v>29</v>
      </c>
      <c r="BA43" s="10">
        <f ca="1">VLOOKUP($B43,'[2]Analisys QBR By Machine Report'!$C$109:$BD$166,48,FALSE)</f>
        <v>0</v>
      </c>
      <c r="BB43" s="10">
        <f ca="1">VLOOKUP($B43,'[2]Analisys QBR By Machine Report'!$C$109:$BD$166,49,FALSE)</f>
        <v>0</v>
      </c>
      <c r="BC43" s="10">
        <f ca="1">VLOOKUP($B43,'[2]Analisys QBR By Machine Report'!$C$109:$BD$166,50,FALSE)</f>
        <v>0</v>
      </c>
      <c r="BD43" s="10">
        <f ca="1">VLOOKUP($B43,'[2]Analisys QBR By Machine Report'!$C$109:$BD$166,51,FALSE)</f>
        <v>200.46</v>
      </c>
      <c r="BE43" s="10">
        <f ca="1">VLOOKUP($B43,'[2]Analisys QBR By Machine Report'!$C$109:$BD$166,52,FALSE)</f>
        <v>0.55000000000000004</v>
      </c>
      <c r="BF43" s="10">
        <f ca="1">VLOOKUP($B43,'[2]Analisys QBR By Machine Report'!$C$109:$BD$166,53,FALSE)</f>
        <v>199.91</v>
      </c>
    </row>
    <row r="44" spans="1:58" x14ac:dyDescent="0.25">
      <c r="A44" s="12" t="s">
        <v>100</v>
      </c>
      <c r="B44" s="13">
        <f ca="1">VLOOKUP($B44,'[2]Analisys QBR By Machine Report'!$C$109:$BD$166,2,FALSE)</f>
        <v>30240</v>
      </c>
      <c r="C44" s="14">
        <f ca="1">VLOOKUP($B44,[2]Dasboard_QBR_Report!$B$109:$BL$166,3,FALSE)</f>
        <v>10080</v>
      </c>
      <c r="D44" s="13">
        <f ca="1">VLOOKUP($B44,'[2]Analisys QBR By Machine Report'!$C$109:$BD$166,3,FALSE)</f>
        <v>29220</v>
      </c>
      <c r="E44" s="14">
        <f ca="1">VLOOKUP($B44,[2]Dasboard_QBR_Report!$B$109:$BL$166,5,FALSE)</f>
        <v>9060</v>
      </c>
      <c r="F44" s="13">
        <f t="shared" ca="1" si="0"/>
        <v>1020</v>
      </c>
      <c r="G44" s="13">
        <f t="shared" ca="1" si="1"/>
        <v>20</v>
      </c>
      <c r="H44" s="13">
        <f ca="1">VLOOKUP($B44,'[2]Analisys QBR By Machine Report'!$C$109:$BD$166,4,FALSE)</f>
        <v>20</v>
      </c>
      <c r="I44" s="13">
        <f ca="1">VLOOKUP($B44,'[2]Analisys QBR By Machine Report'!$C$109:$BD$166,5,FALSE)</f>
        <v>20</v>
      </c>
      <c r="J44" s="13">
        <f ca="1">VLOOKUP($B44,'[2]Analisys QBR By Machine Report'!$C$109:$BD$166,6,FALSE)</f>
        <v>0</v>
      </c>
      <c r="K44" s="13">
        <f ca="1">VLOOKUP($B44,'[2]Analisys QBR By Machine Report'!$C$109:$BD$166,7,FALSE)</f>
        <v>0</v>
      </c>
      <c r="L44" s="13">
        <f ca="1">VLOOKUP($B44,'[2]Analisys QBR By Machine Report'!$C$109:$BD$166,8,FALSE)</f>
        <v>1000</v>
      </c>
      <c r="M44" s="13">
        <f ca="1">VLOOKUP($B44,'[2]Analisys QBR By Machine Report'!$C$109:$BD$166,9,FALSE)</f>
        <v>80</v>
      </c>
      <c r="N44" s="13">
        <f ca="1">VLOOKUP($B44,[2]Dasboard_QBR_Report!$B$109:$BL$166,18,FALSE)</f>
        <v>920</v>
      </c>
      <c r="O44" s="13">
        <f ca="1">VLOOKUP($B44,'[2]Analisys QBR By Machine Report'!$C$109:$BD$166,10,FALSE)</f>
        <v>30</v>
      </c>
      <c r="P44" s="13">
        <f ca="1">VLOOKUP($B44,'[2]Analisys QBR By Machine Report'!$C$109:$BD$166,11,FALSE)</f>
        <v>30</v>
      </c>
      <c r="Q44" s="13">
        <f ca="1">VLOOKUP($B44,'[2]Analisys QBR By Machine Report'!$C$109:$BD$166,12,FALSE)</f>
        <v>0</v>
      </c>
      <c r="R44" s="13">
        <f ca="1">VLOOKUP($B44,'[2]Analisys QBR By Machine Report'!$C$109:$BD$166,13,FALSE)</f>
        <v>0</v>
      </c>
      <c r="S44" s="13">
        <f ca="1">VLOOKUP($B44,'[2]Analisys QBR By Machine Report'!$C$109:$BD$166,14,FALSE)</f>
        <v>0</v>
      </c>
      <c r="T44" s="13">
        <f ca="1">VLOOKUP($B44,'[2]Analisys QBR By Machine Report'!$C$109:$BD$166,15,FALSE)</f>
        <v>0</v>
      </c>
      <c r="U44" s="13">
        <f ca="1">VLOOKUP($B44,'[2]Analisys QBR By Machine Report'!$C$109:$BD$166,16,FALSE)</f>
        <v>0</v>
      </c>
      <c r="V44" s="13">
        <f ca="1">VLOOKUP($B44,'[2]Analisys QBR By Machine Report'!$C$109:$BD$166,17,FALSE)</f>
        <v>0</v>
      </c>
      <c r="W44" s="13">
        <f ca="1">VLOOKUP($B44,'[2]Analisys QBR By Machine Report'!$C$109:$BD$166,18,FALSE)</f>
        <v>0</v>
      </c>
      <c r="X44" s="13">
        <f ca="1">VLOOKUP($B44,'[2]Analisys QBR By Machine Report'!$C$109:$BD$166,19,FALSE)</f>
        <v>0</v>
      </c>
      <c r="Y44" s="13">
        <f ca="1">VLOOKUP($B44,'[2]Analisys QBR By Machine Report'!$C$109:$BD$166,20,FALSE)</f>
        <v>0</v>
      </c>
      <c r="Z44" s="13">
        <f ca="1">VLOOKUP($B44,'[2]Analisys QBR By Machine Report'!$C$109:$BD$166,21,FALSE)</f>
        <v>346</v>
      </c>
      <c r="AA44" s="13">
        <f ca="1">VLOOKUP($B44,'[2]Analisys QBR By Machine Report'!$C$109:$BD$166,22,FALSE)</f>
        <v>256</v>
      </c>
      <c r="AB44" s="13">
        <f ca="1">VLOOKUP($B44,'[2]Analisys QBR By Machine Report'!$C$109:$BD$166,23,FALSE)</f>
        <v>80</v>
      </c>
      <c r="AC44" s="13">
        <f ca="1">VLOOKUP($B44,'[2]Analisys QBR By Machine Report'!$C$109:$BD$166,24,FALSE)</f>
        <v>0</v>
      </c>
      <c r="AD44" s="13">
        <f ca="1">VLOOKUP($B44,'[2]Analisys QBR By Machine Report'!$C$109:$BD$166,25,FALSE)</f>
        <v>0</v>
      </c>
      <c r="AE44" s="13">
        <f ca="1">VLOOKUP($B44,'[2]Analisys QBR By Machine Report'!$C$109:$BD$166,26,FALSE)</f>
        <v>10</v>
      </c>
      <c r="AF44" s="13">
        <f ca="1">VLOOKUP($B44,'[2]Analisys QBR By Machine Report'!$C$109:$BD$166,27,FALSE)</f>
        <v>0</v>
      </c>
      <c r="AG44" s="13">
        <f ca="1">VLOOKUP($B44,'[2]Analisys QBR By Machine Report'!$C$109:$BD$166,28,FALSE)</f>
        <v>0</v>
      </c>
      <c r="AH44" s="13">
        <f ca="1">VLOOKUP($B44,'[2]Analisys QBR By Machine Report'!$C$109:$BD$166,29,FALSE)</f>
        <v>0</v>
      </c>
      <c r="AI44" s="13">
        <f ca="1">VLOOKUP($B44,'[2]Analisys QBR By Machine Report'!$C$109:$BD$166,30,FALSE)</f>
        <v>544</v>
      </c>
      <c r="AJ44" s="13">
        <f ca="1">VLOOKUP($B44,'[2]Analisys QBR By Machine Report'!$C$109:$BD$166,31,FALSE)</f>
        <v>380</v>
      </c>
      <c r="AK44" s="13">
        <f ca="1">VLOOKUP($B44,'[2]Analisys QBR By Machine Report'!$C$109:$BD$166,32,FALSE)</f>
        <v>0</v>
      </c>
      <c r="AL44" s="13">
        <f ca="1">VLOOKUP($B44,'[2]Analisys QBR By Machine Report'!$C$109:$BD$166,33,FALSE)</f>
        <v>30</v>
      </c>
      <c r="AM44" s="13">
        <f ca="1">VLOOKUP($B44,'[2]Analisys QBR By Machine Report'!$C$109:$BD$166,34,FALSE)</f>
        <v>0</v>
      </c>
      <c r="AN44" s="13">
        <f ca="1">VLOOKUP($B44,'[2]Analisys QBR By Machine Report'!$C$109:$BD$166,35,FALSE)</f>
        <v>15</v>
      </c>
      <c r="AO44" s="13">
        <f ca="1">VLOOKUP($B44,'[2]Analisys QBR By Machine Report'!$C$109:$BD$166,36,FALSE)</f>
        <v>0</v>
      </c>
      <c r="AP44" s="13">
        <f ca="1">VLOOKUP($B44,'[2]Analisys QBR By Machine Report'!$C$109:$BD$166,37,FALSE)</f>
        <v>90</v>
      </c>
      <c r="AQ44" s="13">
        <f ca="1">VLOOKUP($B44,'[2]Analisys QBR By Machine Report'!$C$109:$BD$166,38,FALSE)</f>
        <v>0</v>
      </c>
      <c r="AR44" s="13">
        <f ca="1">VLOOKUP($B44,'[2]Analisys QBR By Machine Report'!$C$109:$BD$166,39,FALSE)</f>
        <v>0</v>
      </c>
      <c r="AS44" s="13">
        <f ca="1">VLOOKUP($B44,'[2]Analisys QBR By Machine Report'!$C$109:$BD$166,40,FALSE)</f>
        <v>0</v>
      </c>
      <c r="AT44" s="13">
        <f ca="1">VLOOKUP($B44,'[2]Analisys QBR By Machine Report'!$C$109:$BD$166,41,FALSE)</f>
        <v>0</v>
      </c>
      <c r="AU44" s="13">
        <f ca="1">VLOOKUP($B44,'[2]Analisys QBR By Machine Report'!$C$109:$BD$166,42,FALSE)</f>
        <v>0</v>
      </c>
      <c r="AV44" s="13">
        <f ca="1">VLOOKUP($B44,'[2]Analisys QBR By Machine Report'!$C$109:$BD$166,43,FALSE)</f>
        <v>0</v>
      </c>
      <c r="AW44" s="13">
        <f ca="1">VLOOKUP($B44,'[2]Analisys QBR By Machine Report'!$C$109:$BD$166,44,FALSE)</f>
        <v>0</v>
      </c>
      <c r="AX44" s="13">
        <f ca="1">VLOOKUP($B44,'[2]Analisys QBR By Machine Report'!$C$109:$BD$166,45,FALSE)</f>
        <v>0</v>
      </c>
      <c r="AY44" s="13">
        <f ca="1">VLOOKUP($B44,'[2]Analisys QBR By Machine Report'!$C$109:$BD$166,46,FALSE)</f>
        <v>0</v>
      </c>
      <c r="AZ44" s="13">
        <f ca="1">VLOOKUP($B44,'[2]Analisys QBR By Machine Report'!$C$109:$BD$166,47,FALSE)</f>
        <v>29</v>
      </c>
      <c r="BA44" s="13">
        <f ca="1">VLOOKUP($B44,'[2]Analisys QBR By Machine Report'!$C$109:$BD$166,48,FALSE)</f>
        <v>0</v>
      </c>
      <c r="BB44" s="13">
        <f ca="1">VLOOKUP($B44,'[2]Analisys QBR By Machine Report'!$C$109:$BD$166,49,FALSE)</f>
        <v>0</v>
      </c>
      <c r="BC44" s="13">
        <f ca="1">VLOOKUP($B44,'[2]Analisys QBR By Machine Report'!$C$109:$BD$166,50,FALSE)</f>
        <v>0</v>
      </c>
      <c r="BD44" s="13">
        <f ca="1">VLOOKUP($B44,'[2]Analisys QBR By Machine Report'!$C$109:$BD$166,51,FALSE)</f>
        <v>200.46</v>
      </c>
      <c r="BE44" s="13">
        <f ca="1">VLOOKUP($B44,'[2]Analisys QBR By Machine Report'!$C$109:$BD$166,52,FALSE)</f>
        <v>0.55000000000000004</v>
      </c>
      <c r="BF44" s="13">
        <f ca="1">VLOOKUP($B44,'[2]Analisys QBR By Machine Report'!$C$109:$BD$166,53,FALSE)</f>
        <v>199.91</v>
      </c>
    </row>
    <row r="45" spans="1:58" x14ac:dyDescent="0.25">
      <c r="A45" s="9" t="s">
        <v>101</v>
      </c>
      <c r="B45" s="10">
        <f ca="1">VLOOKUP($B45,'[2]Analisys QBR By Machine Report'!$C$109:$BD$166,2,FALSE)</f>
        <v>30240</v>
      </c>
      <c r="C45" s="11">
        <f ca="1">VLOOKUP($B45,[2]Dasboard_QBR_Report!$B$109:$BL$166,3,FALSE)</f>
        <v>10080</v>
      </c>
      <c r="D45" s="10">
        <f ca="1">VLOOKUP($B45,'[2]Analisys QBR By Machine Report'!$C$109:$BD$166,3,FALSE)</f>
        <v>28200</v>
      </c>
      <c r="E45" s="11">
        <f ca="1">VLOOKUP($B45,[2]Dasboard_QBR_Report!$B$109:$BL$166,5,FALSE)</f>
        <v>8040</v>
      </c>
      <c r="F45" s="10">
        <f t="shared" ca="1" si="0"/>
        <v>2040</v>
      </c>
      <c r="G45" s="10">
        <f t="shared" ca="1" si="1"/>
        <v>60</v>
      </c>
      <c r="H45" s="10">
        <f ca="1">VLOOKUP($B45,'[2]Analisys QBR By Machine Report'!$C$109:$BD$166,4,FALSE)</f>
        <v>60</v>
      </c>
      <c r="I45" s="10">
        <f ca="1">VLOOKUP($B45,'[2]Analisys QBR By Machine Report'!$C$109:$BD$166,5,FALSE)</f>
        <v>60</v>
      </c>
      <c r="J45" s="10">
        <f ca="1">VLOOKUP($B45,'[2]Analisys QBR By Machine Report'!$C$109:$BD$166,6,FALSE)</f>
        <v>0</v>
      </c>
      <c r="K45" s="10">
        <f ca="1">VLOOKUP($B45,'[2]Analisys QBR By Machine Report'!$C$109:$BD$166,7,FALSE)</f>
        <v>0</v>
      </c>
      <c r="L45" s="10">
        <f ca="1">VLOOKUP($B45,'[2]Analisys QBR By Machine Report'!$C$109:$BD$166,8,FALSE)</f>
        <v>1980</v>
      </c>
      <c r="M45" s="10">
        <f ca="1">VLOOKUP($B45,'[2]Analisys QBR By Machine Report'!$C$109:$BD$166,9,FALSE)</f>
        <v>590</v>
      </c>
      <c r="N45" s="10">
        <f ca="1">VLOOKUP($B45,[2]Dasboard_QBR_Report!$B$109:$BL$166,18,FALSE)</f>
        <v>1390</v>
      </c>
      <c r="O45" s="10">
        <f ca="1">VLOOKUP($B45,'[2]Analisys QBR By Machine Report'!$C$109:$BD$166,10,FALSE)</f>
        <v>130</v>
      </c>
      <c r="P45" s="10">
        <f ca="1">VLOOKUP($B45,'[2]Analisys QBR By Machine Report'!$C$109:$BD$166,11,FALSE)</f>
        <v>115</v>
      </c>
      <c r="Q45" s="10">
        <f ca="1">VLOOKUP($B45,'[2]Analisys QBR By Machine Report'!$C$109:$BD$166,12,FALSE)</f>
        <v>0</v>
      </c>
      <c r="R45" s="10">
        <f ca="1">VLOOKUP($B45,'[2]Analisys QBR By Machine Report'!$C$109:$BD$166,13,FALSE)</f>
        <v>0</v>
      </c>
      <c r="S45" s="10">
        <f ca="1">VLOOKUP($B45,'[2]Analisys QBR By Machine Report'!$C$109:$BD$166,14,FALSE)</f>
        <v>15</v>
      </c>
      <c r="T45" s="10">
        <f ca="1">VLOOKUP($B45,'[2]Analisys QBR By Machine Report'!$C$109:$BD$166,15,FALSE)</f>
        <v>0</v>
      </c>
      <c r="U45" s="10">
        <f ca="1">VLOOKUP($B45,'[2]Analisys QBR By Machine Report'!$C$109:$BD$166,16,FALSE)</f>
        <v>0</v>
      </c>
      <c r="V45" s="10">
        <f ca="1">VLOOKUP($B45,'[2]Analisys QBR By Machine Report'!$C$109:$BD$166,17,FALSE)</f>
        <v>0</v>
      </c>
      <c r="W45" s="10">
        <f ca="1">VLOOKUP($B45,'[2]Analisys QBR By Machine Report'!$C$109:$BD$166,18,FALSE)</f>
        <v>0</v>
      </c>
      <c r="X45" s="10">
        <f ca="1">VLOOKUP($B45,'[2]Analisys QBR By Machine Report'!$C$109:$BD$166,19,FALSE)</f>
        <v>0</v>
      </c>
      <c r="Y45" s="10">
        <f ca="1">VLOOKUP($B45,'[2]Analisys QBR By Machine Report'!$C$109:$BD$166,20,FALSE)</f>
        <v>0</v>
      </c>
      <c r="Z45" s="10">
        <f ca="1">VLOOKUP($B45,'[2]Analisys QBR By Machine Report'!$C$109:$BD$166,21,FALSE)</f>
        <v>530</v>
      </c>
      <c r="AA45" s="10">
        <f ca="1">VLOOKUP($B45,'[2]Analisys QBR By Machine Report'!$C$109:$BD$166,22,FALSE)</f>
        <v>240</v>
      </c>
      <c r="AB45" s="10">
        <f ca="1">VLOOKUP($B45,'[2]Analisys QBR By Machine Report'!$C$109:$BD$166,23,FALSE)</f>
        <v>215</v>
      </c>
      <c r="AC45" s="10">
        <f ca="1">VLOOKUP($B45,'[2]Analisys QBR By Machine Report'!$C$109:$BD$166,24,FALSE)</f>
        <v>0</v>
      </c>
      <c r="AD45" s="10">
        <f ca="1">VLOOKUP($B45,'[2]Analisys QBR By Machine Report'!$C$109:$BD$166,25,FALSE)</f>
        <v>0</v>
      </c>
      <c r="AE45" s="10">
        <f ca="1">VLOOKUP($B45,'[2]Analisys QBR By Machine Report'!$C$109:$BD$166,26,FALSE)</f>
        <v>75</v>
      </c>
      <c r="AF45" s="10">
        <f ca="1">VLOOKUP($B45,'[2]Analisys QBR By Machine Report'!$C$109:$BD$166,27,FALSE)</f>
        <v>0</v>
      </c>
      <c r="AG45" s="10">
        <f ca="1">VLOOKUP($B45,'[2]Analisys QBR By Machine Report'!$C$109:$BD$166,28,FALSE)</f>
        <v>0</v>
      </c>
      <c r="AH45" s="10">
        <f ca="1">VLOOKUP($B45,'[2]Analisys QBR By Machine Report'!$C$109:$BD$166,29,FALSE)</f>
        <v>0</v>
      </c>
      <c r="AI45" s="10">
        <f ca="1">VLOOKUP($B45,'[2]Analisys QBR By Machine Report'!$C$109:$BD$166,30,FALSE)</f>
        <v>730</v>
      </c>
      <c r="AJ45" s="10">
        <f ca="1">VLOOKUP($B45,'[2]Analisys QBR By Machine Report'!$C$109:$BD$166,31,FALSE)</f>
        <v>0</v>
      </c>
      <c r="AK45" s="10">
        <f ca="1">VLOOKUP($B45,'[2]Analisys QBR By Machine Report'!$C$109:$BD$166,32,FALSE)</f>
        <v>0</v>
      </c>
      <c r="AL45" s="10">
        <f ca="1">VLOOKUP($B45,'[2]Analisys QBR By Machine Report'!$C$109:$BD$166,33,FALSE)</f>
        <v>120</v>
      </c>
      <c r="AM45" s="10">
        <f ca="1">VLOOKUP($B45,'[2]Analisys QBR By Machine Report'!$C$109:$BD$166,34,FALSE)</f>
        <v>0</v>
      </c>
      <c r="AN45" s="10">
        <f ca="1">VLOOKUP($B45,'[2]Analisys QBR By Machine Report'!$C$109:$BD$166,35,FALSE)</f>
        <v>150</v>
      </c>
      <c r="AO45" s="10">
        <f ca="1">VLOOKUP($B45,'[2]Analisys QBR By Machine Report'!$C$109:$BD$166,36,FALSE)</f>
        <v>0</v>
      </c>
      <c r="AP45" s="10">
        <f ca="1">VLOOKUP($B45,'[2]Analisys QBR By Machine Report'!$C$109:$BD$166,37,FALSE)</f>
        <v>90</v>
      </c>
      <c r="AQ45" s="10">
        <f ca="1">VLOOKUP($B45,'[2]Analisys QBR By Machine Report'!$C$109:$BD$166,38,FALSE)</f>
        <v>30</v>
      </c>
      <c r="AR45" s="10">
        <f ca="1">VLOOKUP($B45,'[2]Analisys QBR By Machine Report'!$C$109:$BD$166,39,FALSE)</f>
        <v>185</v>
      </c>
      <c r="AS45" s="10">
        <f ca="1">VLOOKUP($B45,'[2]Analisys QBR By Machine Report'!$C$109:$BD$166,40,FALSE)</f>
        <v>40</v>
      </c>
      <c r="AT45" s="10">
        <f ca="1">VLOOKUP($B45,'[2]Analisys QBR By Machine Report'!$C$109:$BD$166,41,FALSE)</f>
        <v>0</v>
      </c>
      <c r="AU45" s="10">
        <f ca="1">VLOOKUP($B45,'[2]Analisys QBR By Machine Report'!$C$109:$BD$166,42,FALSE)</f>
        <v>0</v>
      </c>
      <c r="AV45" s="10">
        <f ca="1">VLOOKUP($B45,'[2]Analisys QBR By Machine Report'!$C$109:$BD$166,43,FALSE)</f>
        <v>0</v>
      </c>
      <c r="AW45" s="10">
        <f ca="1">VLOOKUP($B45,'[2]Analisys QBR By Machine Report'!$C$109:$BD$166,44,FALSE)</f>
        <v>0</v>
      </c>
      <c r="AX45" s="10">
        <f ca="1">VLOOKUP($B45,'[2]Analisys QBR By Machine Report'!$C$109:$BD$166,45,FALSE)</f>
        <v>0</v>
      </c>
      <c r="AY45" s="10">
        <f ca="1">VLOOKUP($B45,'[2]Analisys QBR By Machine Report'!$C$109:$BD$166,46,FALSE)</f>
        <v>0</v>
      </c>
      <c r="AZ45" s="10">
        <f ca="1">VLOOKUP($B45,'[2]Analisys QBR By Machine Report'!$C$109:$BD$166,47,FALSE)</f>
        <v>30</v>
      </c>
      <c r="BA45" s="10">
        <f ca="1">VLOOKUP($B45,'[2]Analisys QBR By Machine Report'!$C$109:$BD$166,48,FALSE)</f>
        <v>85</v>
      </c>
      <c r="BB45" s="10">
        <f ca="1">VLOOKUP($B45,'[2]Analisys QBR By Machine Report'!$C$109:$BD$166,49,FALSE)</f>
        <v>0</v>
      </c>
      <c r="BC45" s="10">
        <f ca="1">VLOOKUP($B45,'[2]Analisys QBR By Machine Report'!$C$109:$BD$166,50,FALSE)</f>
        <v>0</v>
      </c>
      <c r="BD45" s="10">
        <f ca="1">VLOOKUP($B45,'[2]Analisys QBR By Machine Report'!$C$109:$BD$166,51,FALSE)</f>
        <v>22804</v>
      </c>
      <c r="BE45" s="10">
        <f ca="1">VLOOKUP($B45,'[2]Analisys QBR By Machine Report'!$C$109:$BD$166,52,FALSE)</f>
        <v>49</v>
      </c>
      <c r="BF45" s="10">
        <f ca="1">VLOOKUP($B45,'[2]Analisys QBR By Machine Report'!$C$109:$BD$166,53,FALSE)</f>
        <v>22755</v>
      </c>
    </row>
    <row r="46" spans="1:58" x14ac:dyDescent="0.25">
      <c r="A46" s="12" t="s">
        <v>102</v>
      </c>
      <c r="B46" s="13">
        <f ca="1">VLOOKUP($B46,'[2]Analisys QBR By Machine Report'!$C$109:$BD$166,2,FALSE)</f>
        <v>30240</v>
      </c>
      <c r="C46" s="14">
        <f ca="1">VLOOKUP($B46,[2]Dasboard_QBR_Report!$B$109:$BL$166,3,FALSE)</f>
        <v>10080</v>
      </c>
      <c r="D46" s="13">
        <f ca="1">VLOOKUP($B46,'[2]Analisys QBR By Machine Report'!$C$109:$BD$166,3,FALSE)</f>
        <v>28200</v>
      </c>
      <c r="E46" s="14">
        <f ca="1">VLOOKUP($B46,[2]Dasboard_QBR_Report!$B$109:$BL$166,5,FALSE)</f>
        <v>8040</v>
      </c>
      <c r="F46" s="13">
        <f t="shared" ca="1" si="0"/>
        <v>2040</v>
      </c>
      <c r="G46" s="13">
        <f t="shared" ca="1" si="1"/>
        <v>60</v>
      </c>
      <c r="H46" s="13">
        <f ca="1">VLOOKUP($B46,'[2]Analisys QBR By Machine Report'!$C$109:$BD$166,4,FALSE)</f>
        <v>60</v>
      </c>
      <c r="I46" s="13">
        <f ca="1">VLOOKUP($B46,'[2]Analisys QBR By Machine Report'!$C$109:$BD$166,5,FALSE)</f>
        <v>60</v>
      </c>
      <c r="J46" s="13">
        <f ca="1">VLOOKUP($B46,'[2]Analisys QBR By Machine Report'!$C$109:$BD$166,6,FALSE)</f>
        <v>0</v>
      </c>
      <c r="K46" s="13">
        <f ca="1">VLOOKUP($B46,'[2]Analisys QBR By Machine Report'!$C$109:$BD$166,7,FALSE)</f>
        <v>0</v>
      </c>
      <c r="L46" s="13">
        <f ca="1">VLOOKUP($B46,'[2]Analisys QBR By Machine Report'!$C$109:$BD$166,8,FALSE)</f>
        <v>1980</v>
      </c>
      <c r="M46" s="13">
        <f ca="1">VLOOKUP($B46,'[2]Analisys QBR By Machine Report'!$C$109:$BD$166,9,FALSE)</f>
        <v>590</v>
      </c>
      <c r="N46" s="13">
        <f ca="1">VLOOKUP($B46,[2]Dasboard_QBR_Report!$B$109:$BL$166,18,FALSE)</f>
        <v>1390</v>
      </c>
      <c r="O46" s="13">
        <f ca="1">VLOOKUP($B46,'[2]Analisys QBR By Machine Report'!$C$109:$BD$166,10,FALSE)</f>
        <v>130</v>
      </c>
      <c r="P46" s="13">
        <f ca="1">VLOOKUP($B46,'[2]Analisys QBR By Machine Report'!$C$109:$BD$166,11,FALSE)</f>
        <v>115</v>
      </c>
      <c r="Q46" s="13">
        <f ca="1">VLOOKUP($B46,'[2]Analisys QBR By Machine Report'!$C$109:$BD$166,12,FALSE)</f>
        <v>0</v>
      </c>
      <c r="R46" s="13">
        <f ca="1">VLOOKUP($B46,'[2]Analisys QBR By Machine Report'!$C$109:$BD$166,13,FALSE)</f>
        <v>0</v>
      </c>
      <c r="S46" s="13">
        <f ca="1">VLOOKUP($B46,'[2]Analisys QBR By Machine Report'!$C$109:$BD$166,14,FALSE)</f>
        <v>15</v>
      </c>
      <c r="T46" s="13">
        <f ca="1">VLOOKUP($B46,'[2]Analisys QBR By Machine Report'!$C$109:$BD$166,15,FALSE)</f>
        <v>0</v>
      </c>
      <c r="U46" s="13">
        <f ca="1">VLOOKUP($B46,'[2]Analisys QBR By Machine Report'!$C$109:$BD$166,16,FALSE)</f>
        <v>0</v>
      </c>
      <c r="V46" s="13">
        <f ca="1">VLOOKUP($B46,'[2]Analisys QBR By Machine Report'!$C$109:$BD$166,17,FALSE)</f>
        <v>0</v>
      </c>
      <c r="W46" s="13">
        <f ca="1">VLOOKUP($B46,'[2]Analisys QBR By Machine Report'!$C$109:$BD$166,18,FALSE)</f>
        <v>0</v>
      </c>
      <c r="X46" s="13">
        <f ca="1">VLOOKUP($B46,'[2]Analisys QBR By Machine Report'!$C$109:$BD$166,19,FALSE)</f>
        <v>0</v>
      </c>
      <c r="Y46" s="13">
        <f ca="1">VLOOKUP($B46,'[2]Analisys QBR By Machine Report'!$C$109:$BD$166,20,FALSE)</f>
        <v>0</v>
      </c>
      <c r="Z46" s="13">
        <f ca="1">VLOOKUP($B46,'[2]Analisys QBR By Machine Report'!$C$109:$BD$166,21,FALSE)</f>
        <v>530</v>
      </c>
      <c r="AA46" s="13">
        <f ca="1">VLOOKUP($B46,'[2]Analisys QBR By Machine Report'!$C$109:$BD$166,22,FALSE)</f>
        <v>240</v>
      </c>
      <c r="AB46" s="13">
        <f ca="1">VLOOKUP($B46,'[2]Analisys QBR By Machine Report'!$C$109:$BD$166,23,FALSE)</f>
        <v>215</v>
      </c>
      <c r="AC46" s="13">
        <f ca="1">VLOOKUP($B46,'[2]Analisys QBR By Machine Report'!$C$109:$BD$166,24,FALSE)</f>
        <v>0</v>
      </c>
      <c r="AD46" s="13">
        <f ca="1">VLOOKUP($B46,'[2]Analisys QBR By Machine Report'!$C$109:$BD$166,25,FALSE)</f>
        <v>0</v>
      </c>
      <c r="AE46" s="13">
        <f ca="1">VLOOKUP($B46,'[2]Analisys QBR By Machine Report'!$C$109:$BD$166,26,FALSE)</f>
        <v>75</v>
      </c>
      <c r="AF46" s="13">
        <f ca="1">VLOOKUP($B46,'[2]Analisys QBR By Machine Report'!$C$109:$BD$166,27,FALSE)</f>
        <v>0</v>
      </c>
      <c r="AG46" s="13">
        <f ca="1">VLOOKUP($B46,'[2]Analisys QBR By Machine Report'!$C$109:$BD$166,28,FALSE)</f>
        <v>0</v>
      </c>
      <c r="AH46" s="13">
        <f ca="1">VLOOKUP($B46,'[2]Analisys QBR By Machine Report'!$C$109:$BD$166,29,FALSE)</f>
        <v>0</v>
      </c>
      <c r="AI46" s="13">
        <f ca="1">VLOOKUP($B46,'[2]Analisys QBR By Machine Report'!$C$109:$BD$166,30,FALSE)</f>
        <v>730</v>
      </c>
      <c r="AJ46" s="13">
        <f ca="1">VLOOKUP($B46,'[2]Analisys QBR By Machine Report'!$C$109:$BD$166,31,FALSE)</f>
        <v>0</v>
      </c>
      <c r="AK46" s="13">
        <f ca="1">VLOOKUP($B46,'[2]Analisys QBR By Machine Report'!$C$109:$BD$166,32,FALSE)</f>
        <v>0</v>
      </c>
      <c r="AL46" s="13">
        <f ca="1">VLOOKUP($B46,'[2]Analisys QBR By Machine Report'!$C$109:$BD$166,33,FALSE)</f>
        <v>120</v>
      </c>
      <c r="AM46" s="13">
        <f ca="1">VLOOKUP($B46,'[2]Analisys QBR By Machine Report'!$C$109:$BD$166,34,FALSE)</f>
        <v>0</v>
      </c>
      <c r="AN46" s="13">
        <f ca="1">VLOOKUP($B46,'[2]Analisys QBR By Machine Report'!$C$109:$BD$166,35,FALSE)</f>
        <v>150</v>
      </c>
      <c r="AO46" s="13">
        <f ca="1">VLOOKUP($B46,'[2]Analisys QBR By Machine Report'!$C$109:$BD$166,36,FALSE)</f>
        <v>0</v>
      </c>
      <c r="AP46" s="13">
        <f ca="1">VLOOKUP($B46,'[2]Analisys QBR By Machine Report'!$C$109:$BD$166,37,FALSE)</f>
        <v>90</v>
      </c>
      <c r="AQ46" s="13">
        <f ca="1">VLOOKUP($B46,'[2]Analisys QBR By Machine Report'!$C$109:$BD$166,38,FALSE)</f>
        <v>30</v>
      </c>
      <c r="AR46" s="13">
        <f ca="1">VLOOKUP($B46,'[2]Analisys QBR By Machine Report'!$C$109:$BD$166,39,FALSE)</f>
        <v>185</v>
      </c>
      <c r="AS46" s="13">
        <f ca="1">VLOOKUP($B46,'[2]Analisys QBR By Machine Report'!$C$109:$BD$166,40,FALSE)</f>
        <v>40</v>
      </c>
      <c r="AT46" s="13">
        <f ca="1">VLOOKUP($B46,'[2]Analisys QBR By Machine Report'!$C$109:$BD$166,41,FALSE)</f>
        <v>0</v>
      </c>
      <c r="AU46" s="13">
        <f ca="1">VLOOKUP($B46,'[2]Analisys QBR By Machine Report'!$C$109:$BD$166,42,FALSE)</f>
        <v>0</v>
      </c>
      <c r="AV46" s="13">
        <f ca="1">VLOOKUP($B46,'[2]Analisys QBR By Machine Report'!$C$109:$BD$166,43,FALSE)</f>
        <v>0</v>
      </c>
      <c r="AW46" s="13">
        <f ca="1">VLOOKUP($B46,'[2]Analisys QBR By Machine Report'!$C$109:$BD$166,44,FALSE)</f>
        <v>0</v>
      </c>
      <c r="AX46" s="13">
        <f ca="1">VLOOKUP($B46,'[2]Analisys QBR By Machine Report'!$C$109:$BD$166,45,FALSE)</f>
        <v>0</v>
      </c>
      <c r="AY46" s="13">
        <f ca="1">VLOOKUP($B46,'[2]Analisys QBR By Machine Report'!$C$109:$BD$166,46,FALSE)</f>
        <v>0</v>
      </c>
      <c r="AZ46" s="13">
        <f ca="1">VLOOKUP($B46,'[2]Analisys QBR By Machine Report'!$C$109:$BD$166,47,FALSE)</f>
        <v>30</v>
      </c>
      <c r="BA46" s="13">
        <f ca="1">VLOOKUP($B46,'[2]Analisys QBR By Machine Report'!$C$109:$BD$166,48,FALSE)</f>
        <v>85</v>
      </c>
      <c r="BB46" s="13">
        <f ca="1">VLOOKUP($B46,'[2]Analisys QBR By Machine Report'!$C$109:$BD$166,49,FALSE)</f>
        <v>0</v>
      </c>
      <c r="BC46" s="13">
        <f ca="1">VLOOKUP($B46,'[2]Analisys QBR By Machine Report'!$C$109:$BD$166,50,FALSE)</f>
        <v>0</v>
      </c>
      <c r="BD46" s="13">
        <f ca="1">VLOOKUP($B46,'[2]Analisys QBR By Machine Report'!$C$109:$BD$166,51,FALSE)</f>
        <v>22804</v>
      </c>
      <c r="BE46" s="13">
        <f ca="1">VLOOKUP($B46,'[2]Analisys QBR By Machine Report'!$C$109:$BD$166,52,FALSE)</f>
        <v>49</v>
      </c>
      <c r="BF46" s="13">
        <f ca="1">VLOOKUP($B46,'[2]Analisys QBR By Machine Report'!$C$109:$BD$166,53,FALSE)</f>
        <v>22755</v>
      </c>
    </row>
    <row r="47" spans="1:58" x14ac:dyDescent="0.25">
      <c r="A47" s="9" t="s">
        <v>103</v>
      </c>
      <c r="B47" s="10">
        <f ca="1">VLOOKUP($B47,'[2]Analisys QBR By Machine Report'!$C$109:$BD$166,2,FALSE)</f>
        <v>30240</v>
      </c>
      <c r="C47" s="11">
        <f ca="1">VLOOKUP($B47,[2]Dasboard_QBR_Report!$B$109:$BL$166,3,FALSE)</f>
        <v>10080</v>
      </c>
      <c r="D47" s="10">
        <f ca="1">VLOOKUP($B47,'[2]Analisys QBR By Machine Report'!$C$109:$BD$166,3,FALSE)</f>
        <v>30240</v>
      </c>
      <c r="E47" s="11">
        <f ca="1">VLOOKUP($B47,[2]Dasboard_QBR_Report!$B$109:$BL$166,5,FALSE)</f>
        <v>10080</v>
      </c>
      <c r="F47" s="10">
        <f t="shared" ca="1" si="0"/>
        <v>0</v>
      </c>
      <c r="G47" s="10">
        <f t="shared" ca="1" si="1"/>
        <v>0</v>
      </c>
      <c r="H47" s="10">
        <f ca="1">VLOOKUP($B47,'[2]Analisys QBR By Machine Report'!$C$109:$BD$166,4,FALSE)</f>
        <v>0</v>
      </c>
      <c r="I47" s="10">
        <f ca="1">VLOOKUP($B47,'[2]Analisys QBR By Machine Report'!$C$109:$BD$166,5,FALSE)</f>
        <v>0</v>
      </c>
      <c r="J47" s="10">
        <f ca="1">VLOOKUP($B47,'[2]Analisys QBR By Machine Report'!$C$109:$BD$166,6,FALSE)</f>
        <v>0</v>
      </c>
      <c r="K47" s="10">
        <f ca="1">VLOOKUP($B47,'[2]Analisys QBR By Machine Report'!$C$109:$BD$166,7,FALSE)</f>
        <v>0</v>
      </c>
      <c r="L47" s="10">
        <f ca="1">VLOOKUP($B47,'[2]Analisys QBR By Machine Report'!$C$109:$BD$166,8,FALSE)</f>
        <v>0</v>
      </c>
      <c r="M47" s="10">
        <f ca="1">VLOOKUP($B47,'[2]Analisys QBR By Machine Report'!$C$109:$BD$166,9,FALSE)</f>
        <v>0</v>
      </c>
      <c r="N47" s="10">
        <f ca="1">VLOOKUP($B47,[2]Dasboard_QBR_Report!$B$109:$BL$166,18,FALSE)</f>
        <v>0</v>
      </c>
      <c r="O47" s="10">
        <f ca="1">VLOOKUP($B47,'[2]Analisys QBR By Machine Report'!$C$109:$BD$166,10,FALSE)</f>
        <v>0</v>
      </c>
      <c r="P47" s="10">
        <f ca="1">VLOOKUP($B47,'[2]Analisys QBR By Machine Report'!$C$109:$BD$166,11,FALSE)</f>
        <v>0</v>
      </c>
      <c r="Q47" s="10">
        <f ca="1">VLOOKUP($B47,'[2]Analisys QBR By Machine Report'!$C$109:$BD$166,12,FALSE)</f>
        <v>0</v>
      </c>
      <c r="R47" s="10">
        <f ca="1">VLOOKUP($B47,'[2]Analisys QBR By Machine Report'!$C$109:$BD$166,13,FALSE)</f>
        <v>0</v>
      </c>
      <c r="S47" s="10">
        <f ca="1">VLOOKUP($B47,'[2]Analisys QBR By Machine Report'!$C$109:$BD$166,14,FALSE)</f>
        <v>0</v>
      </c>
      <c r="T47" s="10">
        <f ca="1">VLOOKUP($B47,'[2]Analisys QBR By Machine Report'!$C$109:$BD$166,15,FALSE)</f>
        <v>0</v>
      </c>
      <c r="U47" s="10">
        <f ca="1">VLOOKUP($B47,'[2]Analisys QBR By Machine Report'!$C$109:$BD$166,16,FALSE)</f>
        <v>0</v>
      </c>
      <c r="V47" s="10">
        <f ca="1">VLOOKUP($B47,'[2]Analisys QBR By Machine Report'!$C$109:$BD$166,17,FALSE)</f>
        <v>0</v>
      </c>
      <c r="W47" s="10">
        <f ca="1">VLOOKUP($B47,'[2]Analisys QBR By Machine Report'!$C$109:$BD$166,18,FALSE)</f>
        <v>0</v>
      </c>
      <c r="X47" s="10">
        <f ca="1">VLOOKUP($B47,'[2]Analisys QBR By Machine Report'!$C$109:$BD$166,19,FALSE)</f>
        <v>0</v>
      </c>
      <c r="Y47" s="10">
        <f ca="1">VLOOKUP($B47,'[2]Analisys QBR By Machine Report'!$C$109:$BD$166,20,FALSE)</f>
        <v>0</v>
      </c>
      <c r="Z47" s="10">
        <f ca="1">VLOOKUP($B47,'[2]Analisys QBR By Machine Report'!$C$109:$BD$166,21,FALSE)</f>
        <v>0</v>
      </c>
      <c r="AA47" s="10">
        <f ca="1">VLOOKUP($B47,'[2]Analisys QBR By Machine Report'!$C$109:$BD$166,22,FALSE)</f>
        <v>0</v>
      </c>
      <c r="AB47" s="10">
        <f ca="1">VLOOKUP($B47,'[2]Analisys QBR By Machine Report'!$C$109:$BD$166,23,FALSE)</f>
        <v>0</v>
      </c>
      <c r="AC47" s="10">
        <f ca="1">VLOOKUP($B47,'[2]Analisys QBR By Machine Report'!$C$109:$BD$166,24,FALSE)</f>
        <v>0</v>
      </c>
      <c r="AD47" s="10">
        <f ca="1">VLOOKUP($B47,'[2]Analisys QBR By Machine Report'!$C$109:$BD$166,25,FALSE)</f>
        <v>0</v>
      </c>
      <c r="AE47" s="10">
        <f ca="1">VLOOKUP($B47,'[2]Analisys QBR By Machine Report'!$C$109:$BD$166,26,FALSE)</f>
        <v>0</v>
      </c>
      <c r="AF47" s="10">
        <f ca="1">VLOOKUP($B47,'[2]Analisys QBR By Machine Report'!$C$109:$BD$166,27,FALSE)</f>
        <v>0</v>
      </c>
      <c r="AG47" s="10">
        <f ca="1">VLOOKUP($B47,'[2]Analisys QBR By Machine Report'!$C$109:$BD$166,28,FALSE)</f>
        <v>0</v>
      </c>
      <c r="AH47" s="10">
        <f ca="1">VLOOKUP($B47,'[2]Analisys QBR By Machine Report'!$C$109:$BD$166,29,FALSE)</f>
        <v>0</v>
      </c>
      <c r="AI47" s="10">
        <f ca="1">VLOOKUP($B47,'[2]Analisys QBR By Machine Report'!$C$109:$BD$166,30,FALSE)</f>
        <v>0</v>
      </c>
      <c r="AJ47" s="10">
        <f ca="1">VLOOKUP($B47,'[2]Analisys QBR By Machine Report'!$C$109:$BD$166,31,FALSE)</f>
        <v>0</v>
      </c>
      <c r="AK47" s="10">
        <f ca="1">VLOOKUP($B47,'[2]Analisys QBR By Machine Report'!$C$109:$BD$166,32,FALSE)</f>
        <v>0</v>
      </c>
      <c r="AL47" s="10">
        <f ca="1">VLOOKUP($B47,'[2]Analisys QBR By Machine Report'!$C$109:$BD$166,33,FALSE)</f>
        <v>0</v>
      </c>
      <c r="AM47" s="10">
        <f ca="1">VLOOKUP($B47,'[2]Analisys QBR By Machine Report'!$C$109:$BD$166,34,FALSE)</f>
        <v>0</v>
      </c>
      <c r="AN47" s="10">
        <f ca="1">VLOOKUP($B47,'[2]Analisys QBR By Machine Report'!$C$109:$BD$166,35,FALSE)</f>
        <v>0</v>
      </c>
      <c r="AO47" s="10">
        <f ca="1">VLOOKUP($B47,'[2]Analisys QBR By Machine Report'!$C$109:$BD$166,36,FALSE)</f>
        <v>0</v>
      </c>
      <c r="AP47" s="10">
        <f ca="1">VLOOKUP($B47,'[2]Analisys QBR By Machine Report'!$C$109:$BD$166,37,FALSE)</f>
        <v>0</v>
      </c>
      <c r="AQ47" s="10">
        <f ca="1">VLOOKUP($B47,'[2]Analisys QBR By Machine Report'!$C$109:$BD$166,38,FALSE)</f>
        <v>0</v>
      </c>
      <c r="AR47" s="10">
        <f ca="1">VLOOKUP($B47,'[2]Analisys QBR By Machine Report'!$C$109:$BD$166,39,FALSE)</f>
        <v>0</v>
      </c>
      <c r="AS47" s="10">
        <f ca="1">VLOOKUP($B47,'[2]Analisys QBR By Machine Report'!$C$109:$BD$166,40,FALSE)</f>
        <v>0</v>
      </c>
      <c r="AT47" s="10">
        <f ca="1">VLOOKUP($B47,'[2]Analisys QBR By Machine Report'!$C$109:$BD$166,41,FALSE)</f>
        <v>0</v>
      </c>
      <c r="AU47" s="10">
        <f ca="1">VLOOKUP($B47,'[2]Analisys QBR By Machine Report'!$C$109:$BD$166,42,FALSE)</f>
        <v>0</v>
      </c>
      <c r="AV47" s="10">
        <f ca="1">VLOOKUP($B47,'[2]Analisys QBR By Machine Report'!$C$109:$BD$166,43,FALSE)</f>
        <v>0</v>
      </c>
      <c r="AW47" s="10">
        <f ca="1">VLOOKUP($B47,'[2]Analisys QBR By Machine Report'!$C$109:$BD$166,44,FALSE)</f>
        <v>0</v>
      </c>
      <c r="AX47" s="10">
        <f ca="1">VLOOKUP($B47,'[2]Analisys QBR By Machine Report'!$C$109:$BD$166,45,FALSE)</f>
        <v>0</v>
      </c>
      <c r="AY47" s="10">
        <f ca="1">VLOOKUP($B47,'[2]Analisys QBR By Machine Report'!$C$109:$BD$166,46,FALSE)</f>
        <v>0</v>
      </c>
      <c r="AZ47" s="10">
        <f ca="1">VLOOKUP($B47,'[2]Analisys QBR By Machine Report'!$C$109:$BD$166,47,FALSE)</f>
        <v>0</v>
      </c>
      <c r="BA47" s="10">
        <f ca="1">VLOOKUP($B47,'[2]Analisys QBR By Machine Report'!$C$109:$BD$166,48,FALSE)</f>
        <v>0</v>
      </c>
      <c r="BB47" s="10">
        <f ca="1">VLOOKUP($B47,'[2]Analisys QBR By Machine Report'!$C$109:$BD$166,49,FALSE)</f>
        <v>0</v>
      </c>
      <c r="BC47" s="10">
        <f ca="1">VLOOKUP($B47,'[2]Analisys QBR By Machine Report'!$C$109:$BD$166,50,FALSE)</f>
        <v>0</v>
      </c>
      <c r="BD47" s="10">
        <f ca="1">VLOOKUP($B47,'[2]Analisys QBR By Machine Report'!$C$109:$BD$166,51,FALSE)</f>
        <v>0</v>
      </c>
      <c r="BE47" s="10">
        <f ca="1">VLOOKUP($B47,'[2]Analisys QBR By Machine Report'!$C$109:$BD$166,52,FALSE)</f>
        <v>0</v>
      </c>
      <c r="BF47" s="10">
        <f ca="1">VLOOKUP($B47,'[2]Analisys QBR By Machine Report'!$C$109:$BD$166,53,FALSE)</f>
        <v>0</v>
      </c>
    </row>
    <row r="48" spans="1:58" x14ac:dyDescent="0.25">
      <c r="A48" s="12" t="s">
        <v>104</v>
      </c>
      <c r="B48" s="13">
        <f ca="1">VLOOKUP($B48,'[2]Analisys QBR By Machine Report'!$C$109:$BD$166,2,FALSE)</f>
        <v>30240</v>
      </c>
      <c r="C48" s="14">
        <f ca="1">VLOOKUP($B48,[2]Dasboard_QBR_Report!$B$109:$BL$166,3,FALSE)</f>
        <v>10080</v>
      </c>
      <c r="D48" s="13">
        <f ca="1">VLOOKUP($B48,'[2]Analisys QBR By Machine Report'!$C$109:$BD$166,3,FALSE)</f>
        <v>30240</v>
      </c>
      <c r="E48" s="14">
        <f ca="1">VLOOKUP($B48,[2]Dasboard_QBR_Report!$B$109:$BL$166,5,FALSE)</f>
        <v>10080</v>
      </c>
      <c r="F48" s="13">
        <f t="shared" ca="1" si="0"/>
        <v>0</v>
      </c>
      <c r="G48" s="13">
        <f t="shared" ca="1" si="1"/>
        <v>0</v>
      </c>
      <c r="H48" s="13">
        <f ca="1">VLOOKUP($B48,'[2]Analisys QBR By Machine Report'!$C$109:$BD$166,4,FALSE)</f>
        <v>0</v>
      </c>
      <c r="I48" s="13">
        <f ca="1">VLOOKUP($B48,'[2]Analisys QBR By Machine Report'!$C$109:$BD$166,5,FALSE)</f>
        <v>0</v>
      </c>
      <c r="J48" s="13">
        <f ca="1">VLOOKUP($B48,'[2]Analisys QBR By Machine Report'!$C$109:$BD$166,6,FALSE)</f>
        <v>0</v>
      </c>
      <c r="K48" s="13">
        <f ca="1">VLOOKUP($B48,'[2]Analisys QBR By Machine Report'!$C$109:$BD$166,7,FALSE)</f>
        <v>0</v>
      </c>
      <c r="L48" s="13">
        <f ca="1">VLOOKUP($B48,'[2]Analisys QBR By Machine Report'!$C$109:$BD$166,8,FALSE)</f>
        <v>0</v>
      </c>
      <c r="M48" s="13">
        <f ca="1">VLOOKUP($B48,'[2]Analisys QBR By Machine Report'!$C$109:$BD$166,9,FALSE)</f>
        <v>0</v>
      </c>
      <c r="N48" s="13">
        <f ca="1">VLOOKUP($B48,[2]Dasboard_QBR_Report!$B$109:$BL$166,18,FALSE)</f>
        <v>0</v>
      </c>
      <c r="O48" s="13">
        <f ca="1">VLOOKUP($B48,'[2]Analisys QBR By Machine Report'!$C$109:$BD$166,10,FALSE)</f>
        <v>0</v>
      </c>
      <c r="P48" s="13">
        <f ca="1">VLOOKUP($B48,'[2]Analisys QBR By Machine Report'!$C$109:$BD$166,11,FALSE)</f>
        <v>0</v>
      </c>
      <c r="Q48" s="13">
        <f ca="1">VLOOKUP($B48,'[2]Analisys QBR By Machine Report'!$C$109:$BD$166,12,FALSE)</f>
        <v>0</v>
      </c>
      <c r="R48" s="13">
        <f ca="1">VLOOKUP($B48,'[2]Analisys QBR By Machine Report'!$C$109:$BD$166,13,FALSE)</f>
        <v>0</v>
      </c>
      <c r="S48" s="13">
        <f ca="1">VLOOKUP($B48,'[2]Analisys QBR By Machine Report'!$C$109:$BD$166,14,FALSE)</f>
        <v>0</v>
      </c>
      <c r="T48" s="13">
        <f ca="1">VLOOKUP($B48,'[2]Analisys QBR By Machine Report'!$C$109:$BD$166,15,FALSE)</f>
        <v>0</v>
      </c>
      <c r="U48" s="13">
        <f ca="1">VLOOKUP($B48,'[2]Analisys QBR By Machine Report'!$C$109:$BD$166,16,FALSE)</f>
        <v>0</v>
      </c>
      <c r="V48" s="13">
        <f ca="1">VLOOKUP($B48,'[2]Analisys QBR By Machine Report'!$C$109:$BD$166,17,FALSE)</f>
        <v>0</v>
      </c>
      <c r="W48" s="13">
        <f ca="1">VLOOKUP($B48,'[2]Analisys QBR By Machine Report'!$C$109:$BD$166,18,FALSE)</f>
        <v>0</v>
      </c>
      <c r="X48" s="13">
        <f ca="1">VLOOKUP($B48,'[2]Analisys QBR By Machine Report'!$C$109:$BD$166,19,FALSE)</f>
        <v>0</v>
      </c>
      <c r="Y48" s="13">
        <f ca="1">VLOOKUP($B48,'[2]Analisys QBR By Machine Report'!$C$109:$BD$166,20,FALSE)</f>
        <v>0</v>
      </c>
      <c r="Z48" s="13">
        <f ca="1">VLOOKUP($B48,'[2]Analisys QBR By Machine Report'!$C$109:$BD$166,21,FALSE)</f>
        <v>0</v>
      </c>
      <c r="AA48" s="13">
        <f ca="1">VLOOKUP($B48,'[2]Analisys QBR By Machine Report'!$C$109:$BD$166,22,FALSE)</f>
        <v>0</v>
      </c>
      <c r="AB48" s="13">
        <f ca="1">VLOOKUP($B48,'[2]Analisys QBR By Machine Report'!$C$109:$BD$166,23,FALSE)</f>
        <v>0</v>
      </c>
      <c r="AC48" s="13">
        <f ca="1">VLOOKUP($B48,'[2]Analisys QBR By Machine Report'!$C$109:$BD$166,24,FALSE)</f>
        <v>0</v>
      </c>
      <c r="AD48" s="13">
        <f ca="1">VLOOKUP($B48,'[2]Analisys QBR By Machine Report'!$C$109:$BD$166,25,FALSE)</f>
        <v>0</v>
      </c>
      <c r="AE48" s="13">
        <f ca="1">VLOOKUP($B48,'[2]Analisys QBR By Machine Report'!$C$109:$BD$166,26,FALSE)</f>
        <v>0</v>
      </c>
      <c r="AF48" s="13">
        <f ca="1">VLOOKUP($B48,'[2]Analisys QBR By Machine Report'!$C$109:$BD$166,27,FALSE)</f>
        <v>0</v>
      </c>
      <c r="AG48" s="13">
        <f ca="1">VLOOKUP($B48,'[2]Analisys QBR By Machine Report'!$C$109:$BD$166,28,FALSE)</f>
        <v>0</v>
      </c>
      <c r="AH48" s="13">
        <f ca="1">VLOOKUP($B48,'[2]Analisys QBR By Machine Report'!$C$109:$BD$166,29,FALSE)</f>
        <v>0</v>
      </c>
      <c r="AI48" s="13">
        <f ca="1">VLOOKUP($B48,'[2]Analisys QBR By Machine Report'!$C$109:$BD$166,30,FALSE)</f>
        <v>0</v>
      </c>
      <c r="AJ48" s="13">
        <f ca="1">VLOOKUP($B48,'[2]Analisys QBR By Machine Report'!$C$109:$BD$166,31,FALSE)</f>
        <v>0</v>
      </c>
      <c r="AK48" s="13">
        <f ca="1">VLOOKUP($B48,'[2]Analisys QBR By Machine Report'!$C$109:$BD$166,32,FALSE)</f>
        <v>0</v>
      </c>
      <c r="AL48" s="13">
        <f ca="1">VLOOKUP($B48,'[2]Analisys QBR By Machine Report'!$C$109:$BD$166,33,FALSE)</f>
        <v>0</v>
      </c>
      <c r="AM48" s="13">
        <f ca="1">VLOOKUP($B48,'[2]Analisys QBR By Machine Report'!$C$109:$BD$166,34,FALSE)</f>
        <v>0</v>
      </c>
      <c r="AN48" s="13">
        <f ca="1">VLOOKUP($B48,'[2]Analisys QBR By Machine Report'!$C$109:$BD$166,35,FALSE)</f>
        <v>0</v>
      </c>
      <c r="AO48" s="13">
        <f ca="1">VLOOKUP($B48,'[2]Analisys QBR By Machine Report'!$C$109:$BD$166,36,FALSE)</f>
        <v>0</v>
      </c>
      <c r="AP48" s="13">
        <f ca="1">VLOOKUP($B48,'[2]Analisys QBR By Machine Report'!$C$109:$BD$166,37,FALSE)</f>
        <v>0</v>
      </c>
      <c r="AQ48" s="13">
        <f ca="1">VLOOKUP($B48,'[2]Analisys QBR By Machine Report'!$C$109:$BD$166,38,FALSE)</f>
        <v>0</v>
      </c>
      <c r="AR48" s="13">
        <f ca="1">VLOOKUP($B48,'[2]Analisys QBR By Machine Report'!$C$109:$BD$166,39,FALSE)</f>
        <v>0</v>
      </c>
      <c r="AS48" s="13">
        <f ca="1">VLOOKUP($B48,'[2]Analisys QBR By Machine Report'!$C$109:$BD$166,40,FALSE)</f>
        <v>0</v>
      </c>
      <c r="AT48" s="13">
        <f ca="1">VLOOKUP($B48,'[2]Analisys QBR By Machine Report'!$C$109:$BD$166,41,FALSE)</f>
        <v>0</v>
      </c>
      <c r="AU48" s="13">
        <f ca="1">VLOOKUP($B48,'[2]Analisys QBR By Machine Report'!$C$109:$BD$166,42,FALSE)</f>
        <v>0</v>
      </c>
      <c r="AV48" s="13">
        <f ca="1">VLOOKUP($B48,'[2]Analisys QBR By Machine Report'!$C$109:$BD$166,43,FALSE)</f>
        <v>0</v>
      </c>
      <c r="AW48" s="13">
        <f ca="1">VLOOKUP($B48,'[2]Analisys QBR By Machine Report'!$C$109:$BD$166,44,FALSE)</f>
        <v>0</v>
      </c>
      <c r="AX48" s="13">
        <f ca="1">VLOOKUP($B48,'[2]Analisys QBR By Machine Report'!$C$109:$BD$166,45,FALSE)</f>
        <v>0</v>
      </c>
      <c r="AY48" s="13">
        <f ca="1">VLOOKUP($B48,'[2]Analisys QBR By Machine Report'!$C$109:$BD$166,46,FALSE)</f>
        <v>0</v>
      </c>
      <c r="AZ48" s="13">
        <f ca="1">VLOOKUP($B48,'[2]Analisys QBR By Machine Report'!$C$109:$BD$166,47,FALSE)</f>
        <v>0</v>
      </c>
      <c r="BA48" s="13">
        <f ca="1">VLOOKUP($B48,'[2]Analisys QBR By Machine Report'!$C$109:$BD$166,48,FALSE)</f>
        <v>0</v>
      </c>
      <c r="BB48" s="13">
        <f ca="1">VLOOKUP($B48,'[2]Analisys QBR By Machine Report'!$C$109:$BD$166,49,FALSE)</f>
        <v>0</v>
      </c>
      <c r="BC48" s="13">
        <f ca="1">VLOOKUP($B48,'[2]Analisys QBR By Machine Report'!$C$109:$BD$166,50,FALSE)</f>
        <v>0</v>
      </c>
      <c r="BD48" s="13">
        <f ca="1">VLOOKUP($B48,'[2]Analisys QBR By Machine Report'!$C$109:$BD$166,51,FALSE)</f>
        <v>0</v>
      </c>
      <c r="BE48" s="13">
        <f ca="1">VLOOKUP($B48,'[2]Analisys QBR By Machine Report'!$C$109:$BD$166,52,FALSE)</f>
        <v>0</v>
      </c>
      <c r="BF48" s="13">
        <f ca="1">VLOOKUP($B48,'[2]Analisys QBR By Machine Report'!$C$109:$BD$166,53,FALSE)</f>
        <v>0</v>
      </c>
    </row>
    <row r="49" spans="1:58" x14ac:dyDescent="0.25">
      <c r="A49" s="9" t="s">
        <v>105</v>
      </c>
      <c r="B49" s="10">
        <f ca="1">VLOOKUP($B49,'[2]Analisys QBR By Machine Report'!$C$109:$BD$166,2,FALSE)</f>
        <v>30240</v>
      </c>
      <c r="C49" s="11">
        <f ca="1">VLOOKUP($B49,[2]Dasboard_QBR_Report!$B$109:$BL$166,3,FALSE)</f>
        <v>10080</v>
      </c>
      <c r="D49" s="10">
        <f ca="1">VLOOKUP($B49,'[2]Analisys QBR By Machine Report'!$C$109:$BD$166,3,FALSE)</f>
        <v>30240</v>
      </c>
      <c r="E49" s="11">
        <f ca="1">VLOOKUP($B49,[2]Dasboard_QBR_Report!$B$109:$BL$166,5,FALSE)</f>
        <v>10080</v>
      </c>
      <c r="F49" s="10">
        <f t="shared" ca="1" si="0"/>
        <v>0</v>
      </c>
      <c r="G49" s="10">
        <f t="shared" ca="1" si="1"/>
        <v>0</v>
      </c>
      <c r="H49" s="10">
        <f ca="1">VLOOKUP($B49,'[2]Analisys QBR By Machine Report'!$C$109:$BD$166,4,FALSE)</f>
        <v>0</v>
      </c>
      <c r="I49" s="10">
        <f ca="1">VLOOKUP($B49,'[2]Analisys QBR By Machine Report'!$C$109:$BD$166,5,FALSE)</f>
        <v>0</v>
      </c>
      <c r="J49" s="10">
        <f ca="1">VLOOKUP($B49,'[2]Analisys QBR By Machine Report'!$C$109:$BD$166,6,FALSE)</f>
        <v>0</v>
      </c>
      <c r="K49" s="10">
        <f ca="1">VLOOKUP($B49,'[2]Analisys QBR By Machine Report'!$C$109:$BD$166,7,FALSE)</f>
        <v>0</v>
      </c>
      <c r="L49" s="10">
        <f ca="1">VLOOKUP($B49,'[2]Analisys QBR By Machine Report'!$C$109:$BD$166,8,FALSE)</f>
        <v>0</v>
      </c>
      <c r="M49" s="10">
        <f ca="1">VLOOKUP($B49,'[2]Analisys QBR By Machine Report'!$C$109:$BD$166,9,FALSE)</f>
        <v>0</v>
      </c>
      <c r="N49" s="10">
        <f ca="1">VLOOKUP($B49,[2]Dasboard_QBR_Report!$B$109:$BL$166,18,FALSE)</f>
        <v>0</v>
      </c>
      <c r="O49" s="10">
        <f ca="1">VLOOKUP($B49,'[2]Analisys QBR By Machine Report'!$C$109:$BD$166,10,FALSE)</f>
        <v>0</v>
      </c>
      <c r="P49" s="10">
        <f ca="1">VLOOKUP($B49,'[2]Analisys QBR By Machine Report'!$C$109:$BD$166,11,FALSE)</f>
        <v>0</v>
      </c>
      <c r="Q49" s="10">
        <f ca="1">VLOOKUP($B49,'[2]Analisys QBR By Machine Report'!$C$109:$BD$166,12,FALSE)</f>
        <v>0</v>
      </c>
      <c r="R49" s="10">
        <f ca="1">VLOOKUP($B49,'[2]Analisys QBR By Machine Report'!$C$109:$BD$166,13,FALSE)</f>
        <v>0</v>
      </c>
      <c r="S49" s="10">
        <f ca="1">VLOOKUP($B49,'[2]Analisys QBR By Machine Report'!$C$109:$BD$166,14,FALSE)</f>
        <v>0</v>
      </c>
      <c r="T49" s="10">
        <f ca="1">VLOOKUP($B49,'[2]Analisys QBR By Machine Report'!$C$109:$BD$166,15,FALSE)</f>
        <v>0</v>
      </c>
      <c r="U49" s="10">
        <f ca="1">VLOOKUP($B49,'[2]Analisys QBR By Machine Report'!$C$109:$BD$166,16,FALSE)</f>
        <v>0</v>
      </c>
      <c r="V49" s="10">
        <f ca="1">VLOOKUP($B49,'[2]Analisys QBR By Machine Report'!$C$109:$BD$166,17,FALSE)</f>
        <v>0</v>
      </c>
      <c r="W49" s="10">
        <f ca="1">VLOOKUP($B49,'[2]Analisys QBR By Machine Report'!$C$109:$BD$166,18,FALSE)</f>
        <v>0</v>
      </c>
      <c r="X49" s="10">
        <f ca="1">VLOOKUP($B49,'[2]Analisys QBR By Machine Report'!$C$109:$BD$166,19,FALSE)</f>
        <v>0</v>
      </c>
      <c r="Y49" s="10">
        <f ca="1">VLOOKUP($B49,'[2]Analisys QBR By Machine Report'!$C$109:$BD$166,20,FALSE)</f>
        <v>0</v>
      </c>
      <c r="Z49" s="10">
        <f ca="1">VLOOKUP($B49,'[2]Analisys QBR By Machine Report'!$C$109:$BD$166,21,FALSE)</f>
        <v>0</v>
      </c>
      <c r="AA49" s="10">
        <f ca="1">VLOOKUP($B49,'[2]Analisys QBR By Machine Report'!$C$109:$BD$166,22,FALSE)</f>
        <v>0</v>
      </c>
      <c r="AB49" s="10">
        <f ca="1">VLOOKUP($B49,'[2]Analisys QBR By Machine Report'!$C$109:$BD$166,23,FALSE)</f>
        <v>0</v>
      </c>
      <c r="AC49" s="10">
        <f ca="1">VLOOKUP($B49,'[2]Analisys QBR By Machine Report'!$C$109:$BD$166,24,FALSE)</f>
        <v>0</v>
      </c>
      <c r="AD49" s="10">
        <f ca="1">VLOOKUP($B49,'[2]Analisys QBR By Machine Report'!$C$109:$BD$166,25,FALSE)</f>
        <v>0</v>
      </c>
      <c r="AE49" s="10">
        <f ca="1">VLOOKUP($B49,'[2]Analisys QBR By Machine Report'!$C$109:$BD$166,26,FALSE)</f>
        <v>0</v>
      </c>
      <c r="AF49" s="10">
        <f ca="1">VLOOKUP($B49,'[2]Analisys QBR By Machine Report'!$C$109:$BD$166,27,FALSE)</f>
        <v>0</v>
      </c>
      <c r="AG49" s="10">
        <f ca="1">VLOOKUP($B49,'[2]Analisys QBR By Machine Report'!$C$109:$BD$166,28,FALSE)</f>
        <v>0</v>
      </c>
      <c r="AH49" s="10">
        <f ca="1">VLOOKUP($B49,'[2]Analisys QBR By Machine Report'!$C$109:$BD$166,29,FALSE)</f>
        <v>0</v>
      </c>
      <c r="AI49" s="10">
        <f ca="1">VLOOKUP($B49,'[2]Analisys QBR By Machine Report'!$C$109:$BD$166,30,FALSE)</f>
        <v>0</v>
      </c>
      <c r="AJ49" s="10">
        <f ca="1">VLOOKUP($B49,'[2]Analisys QBR By Machine Report'!$C$109:$BD$166,31,FALSE)</f>
        <v>0</v>
      </c>
      <c r="AK49" s="10">
        <f ca="1">VLOOKUP($B49,'[2]Analisys QBR By Machine Report'!$C$109:$BD$166,32,FALSE)</f>
        <v>0</v>
      </c>
      <c r="AL49" s="10">
        <f ca="1">VLOOKUP($B49,'[2]Analisys QBR By Machine Report'!$C$109:$BD$166,33,FALSE)</f>
        <v>0</v>
      </c>
      <c r="AM49" s="10">
        <f ca="1">VLOOKUP($B49,'[2]Analisys QBR By Machine Report'!$C$109:$BD$166,34,FALSE)</f>
        <v>0</v>
      </c>
      <c r="AN49" s="10">
        <f ca="1">VLOOKUP($B49,'[2]Analisys QBR By Machine Report'!$C$109:$BD$166,35,FALSE)</f>
        <v>0</v>
      </c>
      <c r="AO49" s="10">
        <f ca="1">VLOOKUP($B49,'[2]Analisys QBR By Machine Report'!$C$109:$BD$166,36,FALSE)</f>
        <v>0</v>
      </c>
      <c r="AP49" s="10">
        <f ca="1">VLOOKUP($B49,'[2]Analisys QBR By Machine Report'!$C$109:$BD$166,37,FALSE)</f>
        <v>0</v>
      </c>
      <c r="AQ49" s="10">
        <f ca="1">VLOOKUP($B49,'[2]Analisys QBR By Machine Report'!$C$109:$BD$166,38,FALSE)</f>
        <v>0</v>
      </c>
      <c r="AR49" s="10">
        <f ca="1">VLOOKUP($B49,'[2]Analisys QBR By Machine Report'!$C$109:$BD$166,39,FALSE)</f>
        <v>0</v>
      </c>
      <c r="AS49" s="10">
        <f ca="1">VLOOKUP($B49,'[2]Analisys QBR By Machine Report'!$C$109:$BD$166,40,FALSE)</f>
        <v>0</v>
      </c>
      <c r="AT49" s="10">
        <f ca="1">VLOOKUP($B49,'[2]Analisys QBR By Machine Report'!$C$109:$BD$166,41,FALSE)</f>
        <v>0</v>
      </c>
      <c r="AU49" s="10">
        <f ca="1">VLOOKUP($B49,'[2]Analisys QBR By Machine Report'!$C$109:$BD$166,42,FALSE)</f>
        <v>0</v>
      </c>
      <c r="AV49" s="10">
        <f ca="1">VLOOKUP($B49,'[2]Analisys QBR By Machine Report'!$C$109:$BD$166,43,FALSE)</f>
        <v>0</v>
      </c>
      <c r="AW49" s="10">
        <f ca="1">VLOOKUP($B49,'[2]Analisys QBR By Machine Report'!$C$109:$BD$166,44,FALSE)</f>
        <v>0</v>
      </c>
      <c r="AX49" s="10">
        <f ca="1">VLOOKUP($B49,'[2]Analisys QBR By Machine Report'!$C$109:$BD$166,45,FALSE)</f>
        <v>0</v>
      </c>
      <c r="AY49" s="10">
        <f ca="1">VLOOKUP($B49,'[2]Analisys QBR By Machine Report'!$C$109:$BD$166,46,FALSE)</f>
        <v>0</v>
      </c>
      <c r="AZ49" s="10">
        <f ca="1">VLOOKUP($B49,'[2]Analisys QBR By Machine Report'!$C$109:$BD$166,47,FALSE)</f>
        <v>0</v>
      </c>
      <c r="BA49" s="10">
        <f ca="1">VLOOKUP($B49,'[2]Analisys QBR By Machine Report'!$C$109:$BD$166,48,FALSE)</f>
        <v>0</v>
      </c>
      <c r="BB49" s="10">
        <f ca="1">VLOOKUP($B49,'[2]Analisys QBR By Machine Report'!$C$109:$BD$166,49,FALSE)</f>
        <v>0</v>
      </c>
      <c r="BC49" s="10">
        <f ca="1">VLOOKUP($B49,'[2]Analisys QBR By Machine Report'!$C$109:$BD$166,50,FALSE)</f>
        <v>0</v>
      </c>
      <c r="BD49" s="10">
        <f ca="1">VLOOKUP($B49,'[2]Analisys QBR By Machine Report'!$C$109:$BD$166,51,FALSE)</f>
        <v>0</v>
      </c>
      <c r="BE49" s="10">
        <f ca="1">VLOOKUP($B49,'[2]Analisys QBR By Machine Report'!$C$109:$BD$166,52,FALSE)</f>
        <v>0</v>
      </c>
      <c r="BF49" s="10">
        <f ca="1">VLOOKUP($B49,'[2]Analisys QBR By Machine Report'!$C$109:$BD$166,53,FALSE)</f>
        <v>0</v>
      </c>
    </row>
    <row r="50" spans="1:58" x14ac:dyDescent="0.25">
      <c r="A50" s="12" t="s">
        <v>106</v>
      </c>
      <c r="B50" s="13">
        <f ca="1">VLOOKUP($B50,'[2]Analisys QBR By Machine Report'!$C$109:$BD$166,2,FALSE)</f>
        <v>30240</v>
      </c>
      <c r="C50" s="14">
        <f ca="1">VLOOKUP($B50,[2]Dasboard_QBR_Report!$B$109:$BL$166,3,FALSE)</f>
        <v>10080</v>
      </c>
      <c r="D50" s="13">
        <f ca="1">VLOOKUP($B50,'[2]Analisys QBR By Machine Report'!$C$109:$BD$166,3,FALSE)</f>
        <v>30240</v>
      </c>
      <c r="E50" s="14">
        <f ca="1">VLOOKUP($B50,[2]Dasboard_QBR_Report!$B$109:$BL$166,5,FALSE)</f>
        <v>10080</v>
      </c>
      <c r="F50" s="13">
        <f t="shared" ca="1" si="0"/>
        <v>0</v>
      </c>
      <c r="G50" s="13">
        <f t="shared" ca="1" si="1"/>
        <v>0</v>
      </c>
      <c r="H50" s="13">
        <f ca="1">VLOOKUP($B50,'[2]Analisys QBR By Machine Report'!$C$109:$BD$166,4,FALSE)</f>
        <v>0</v>
      </c>
      <c r="I50" s="13">
        <f ca="1">VLOOKUP($B50,'[2]Analisys QBR By Machine Report'!$C$109:$BD$166,5,FALSE)</f>
        <v>0</v>
      </c>
      <c r="J50" s="13">
        <f ca="1">VLOOKUP($B50,'[2]Analisys QBR By Machine Report'!$C$109:$BD$166,6,FALSE)</f>
        <v>0</v>
      </c>
      <c r="K50" s="13">
        <f ca="1">VLOOKUP($B50,'[2]Analisys QBR By Machine Report'!$C$109:$BD$166,7,FALSE)</f>
        <v>0</v>
      </c>
      <c r="L50" s="13">
        <f ca="1">VLOOKUP($B50,'[2]Analisys QBR By Machine Report'!$C$109:$BD$166,8,FALSE)</f>
        <v>0</v>
      </c>
      <c r="M50" s="13">
        <f ca="1">VLOOKUP($B50,'[2]Analisys QBR By Machine Report'!$C$109:$BD$166,9,FALSE)</f>
        <v>0</v>
      </c>
      <c r="N50" s="13">
        <f ca="1">VLOOKUP($B50,[2]Dasboard_QBR_Report!$B$109:$BL$166,18,FALSE)</f>
        <v>0</v>
      </c>
      <c r="O50" s="13">
        <f ca="1">VLOOKUP($B50,'[2]Analisys QBR By Machine Report'!$C$109:$BD$166,10,FALSE)</f>
        <v>0</v>
      </c>
      <c r="P50" s="13">
        <f ca="1">VLOOKUP($B50,'[2]Analisys QBR By Machine Report'!$C$109:$BD$166,11,FALSE)</f>
        <v>0</v>
      </c>
      <c r="Q50" s="13">
        <f ca="1">VLOOKUP($B50,'[2]Analisys QBR By Machine Report'!$C$109:$BD$166,12,FALSE)</f>
        <v>0</v>
      </c>
      <c r="R50" s="13">
        <f ca="1">VLOOKUP($B50,'[2]Analisys QBR By Machine Report'!$C$109:$BD$166,13,FALSE)</f>
        <v>0</v>
      </c>
      <c r="S50" s="13">
        <f ca="1">VLOOKUP($B50,'[2]Analisys QBR By Machine Report'!$C$109:$BD$166,14,FALSE)</f>
        <v>0</v>
      </c>
      <c r="T50" s="13">
        <f ca="1">VLOOKUP($B50,'[2]Analisys QBR By Machine Report'!$C$109:$BD$166,15,FALSE)</f>
        <v>0</v>
      </c>
      <c r="U50" s="13">
        <f ca="1">VLOOKUP($B50,'[2]Analisys QBR By Machine Report'!$C$109:$BD$166,16,FALSE)</f>
        <v>0</v>
      </c>
      <c r="V50" s="13">
        <f ca="1">VLOOKUP($B50,'[2]Analisys QBR By Machine Report'!$C$109:$BD$166,17,FALSE)</f>
        <v>0</v>
      </c>
      <c r="W50" s="13">
        <f ca="1">VLOOKUP($B50,'[2]Analisys QBR By Machine Report'!$C$109:$BD$166,18,FALSE)</f>
        <v>0</v>
      </c>
      <c r="X50" s="13">
        <f ca="1">VLOOKUP($B50,'[2]Analisys QBR By Machine Report'!$C$109:$BD$166,19,FALSE)</f>
        <v>0</v>
      </c>
      <c r="Y50" s="13">
        <f ca="1">VLOOKUP($B50,'[2]Analisys QBR By Machine Report'!$C$109:$BD$166,20,FALSE)</f>
        <v>0</v>
      </c>
      <c r="Z50" s="13">
        <f ca="1">VLOOKUP($B50,'[2]Analisys QBR By Machine Report'!$C$109:$BD$166,21,FALSE)</f>
        <v>0</v>
      </c>
      <c r="AA50" s="13">
        <f ca="1">VLOOKUP($B50,'[2]Analisys QBR By Machine Report'!$C$109:$BD$166,22,FALSE)</f>
        <v>0</v>
      </c>
      <c r="AB50" s="13">
        <f ca="1">VLOOKUP($B50,'[2]Analisys QBR By Machine Report'!$C$109:$BD$166,23,FALSE)</f>
        <v>0</v>
      </c>
      <c r="AC50" s="13">
        <f ca="1">VLOOKUP($B50,'[2]Analisys QBR By Machine Report'!$C$109:$BD$166,24,FALSE)</f>
        <v>0</v>
      </c>
      <c r="AD50" s="13">
        <f ca="1">VLOOKUP($B50,'[2]Analisys QBR By Machine Report'!$C$109:$BD$166,25,FALSE)</f>
        <v>0</v>
      </c>
      <c r="AE50" s="13">
        <f ca="1">VLOOKUP($B50,'[2]Analisys QBR By Machine Report'!$C$109:$BD$166,26,FALSE)</f>
        <v>0</v>
      </c>
      <c r="AF50" s="13">
        <f ca="1">VLOOKUP($B50,'[2]Analisys QBR By Machine Report'!$C$109:$BD$166,27,FALSE)</f>
        <v>0</v>
      </c>
      <c r="AG50" s="13">
        <f ca="1">VLOOKUP($B50,'[2]Analisys QBR By Machine Report'!$C$109:$BD$166,28,FALSE)</f>
        <v>0</v>
      </c>
      <c r="AH50" s="13">
        <f ca="1">VLOOKUP($B50,'[2]Analisys QBR By Machine Report'!$C$109:$BD$166,29,FALSE)</f>
        <v>0</v>
      </c>
      <c r="AI50" s="13">
        <f ca="1">VLOOKUP($B50,'[2]Analisys QBR By Machine Report'!$C$109:$BD$166,30,FALSE)</f>
        <v>0</v>
      </c>
      <c r="AJ50" s="13">
        <f ca="1">VLOOKUP($B50,'[2]Analisys QBR By Machine Report'!$C$109:$BD$166,31,FALSE)</f>
        <v>0</v>
      </c>
      <c r="AK50" s="13">
        <f ca="1">VLOOKUP($B50,'[2]Analisys QBR By Machine Report'!$C$109:$BD$166,32,FALSE)</f>
        <v>0</v>
      </c>
      <c r="AL50" s="13">
        <f ca="1">VLOOKUP($B50,'[2]Analisys QBR By Machine Report'!$C$109:$BD$166,33,FALSE)</f>
        <v>0</v>
      </c>
      <c r="AM50" s="13">
        <f ca="1">VLOOKUP($B50,'[2]Analisys QBR By Machine Report'!$C$109:$BD$166,34,FALSE)</f>
        <v>0</v>
      </c>
      <c r="AN50" s="13">
        <f ca="1">VLOOKUP($B50,'[2]Analisys QBR By Machine Report'!$C$109:$BD$166,35,FALSE)</f>
        <v>0</v>
      </c>
      <c r="AO50" s="13">
        <f ca="1">VLOOKUP($B50,'[2]Analisys QBR By Machine Report'!$C$109:$BD$166,36,FALSE)</f>
        <v>0</v>
      </c>
      <c r="AP50" s="13">
        <f ca="1">VLOOKUP($B50,'[2]Analisys QBR By Machine Report'!$C$109:$BD$166,37,FALSE)</f>
        <v>0</v>
      </c>
      <c r="AQ50" s="13">
        <f ca="1">VLOOKUP($B50,'[2]Analisys QBR By Machine Report'!$C$109:$BD$166,38,FALSE)</f>
        <v>0</v>
      </c>
      <c r="AR50" s="13">
        <f ca="1">VLOOKUP($B50,'[2]Analisys QBR By Machine Report'!$C$109:$BD$166,39,FALSE)</f>
        <v>0</v>
      </c>
      <c r="AS50" s="13">
        <f ca="1">VLOOKUP($B50,'[2]Analisys QBR By Machine Report'!$C$109:$BD$166,40,FALSE)</f>
        <v>0</v>
      </c>
      <c r="AT50" s="13">
        <f ca="1">VLOOKUP($B50,'[2]Analisys QBR By Machine Report'!$C$109:$BD$166,41,FALSE)</f>
        <v>0</v>
      </c>
      <c r="AU50" s="13">
        <f ca="1">VLOOKUP($B50,'[2]Analisys QBR By Machine Report'!$C$109:$BD$166,42,FALSE)</f>
        <v>0</v>
      </c>
      <c r="AV50" s="13">
        <f ca="1">VLOOKUP($B50,'[2]Analisys QBR By Machine Report'!$C$109:$BD$166,43,FALSE)</f>
        <v>0</v>
      </c>
      <c r="AW50" s="13">
        <f ca="1">VLOOKUP($B50,'[2]Analisys QBR By Machine Report'!$C$109:$BD$166,44,FALSE)</f>
        <v>0</v>
      </c>
      <c r="AX50" s="13">
        <f ca="1">VLOOKUP($B50,'[2]Analisys QBR By Machine Report'!$C$109:$BD$166,45,FALSE)</f>
        <v>0</v>
      </c>
      <c r="AY50" s="13">
        <f ca="1">VLOOKUP($B50,'[2]Analisys QBR By Machine Report'!$C$109:$BD$166,46,FALSE)</f>
        <v>0</v>
      </c>
      <c r="AZ50" s="13">
        <f ca="1">VLOOKUP($B50,'[2]Analisys QBR By Machine Report'!$C$109:$BD$166,47,FALSE)</f>
        <v>0</v>
      </c>
      <c r="BA50" s="13">
        <f ca="1">VLOOKUP($B50,'[2]Analisys QBR By Machine Report'!$C$109:$BD$166,48,FALSE)</f>
        <v>0</v>
      </c>
      <c r="BB50" s="13">
        <f ca="1">VLOOKUP($B50,'[2]Analisys QBR By Machine Report'!$C$109:$BD$166,49,FALSE)</f>
        <v>0</v>
      </c>
      <c r="BC50" s="13">
        <f ca="1">VLOOKUP($B50,'[2]Analisys QBR By Machine Report'!$C$109:$BD$166,50,FALSE)</f>
        <v>0</v>
      </c>
      <c r="BD50" s="13">
        <f ca="1">VLOOKUP($B50,'[2]Analisys QBR By Machine Report'!$C$109:$BD$166,51,FALSE)</f>
        <v>0</v>
      </c>
      <c r="BE50" s="13">
        <f ca="1">VLOOKUP($B50,'[2]Analisys QBR By Machine Report'!$C$109:$BD$166,52,FALSE)</f>
        <v>0</v>
      </c>
      <c r="BF50" s="13">
        <f ca="1">VLOOKUP($B50,'[2]Analisys QBR By Machine Report'!$C$109:$BD$166,53,FALSE)</f>
        <v>0</v>
      </c>
    </row>
    <row r="51" spans="1:58" x14ac:dyDescent="0.25">
      <c r="A51" s="9" t="s">
        <v>107</v>
      </c>
      <c r="B51" s="10">
        <f ca="1">VLOOKUP($B51,'[2]Analisys QBR By Machine Report'!$C$109:$BD$166,2,FALSE)</f>
        <v>30240</v>
      </c>
      <c r="C51" s="11">
        <f ca="1">VLOOKUP($B51,[2]Dasboard_QBR_Report!$B$109:$BL$166,3,FALSE)</f>
        <v>19530</v>
      </c>
      <c r="D51" s="10">
        <f ca="1">VLOOKUP($B51,'[2]Analisys QBR By Machine Report'!$C$109:$BD$166,3,FALSE)</f>
        <v>20640</v>
      </c>
      <c r="E51" s="11">
        <f ca="1">VLOOKUP($B51,[2]Dasboard_QBR_Report!$B$109:$BL$166,5,FALSE)</f>
        <v>9930</v>
      </c>
      <c r="F51" s="10">
        <f t="shared" ca="1" si="0"/>
        <v>9600</v>
      </c>
      <c r="G51" s="10">
        <f t="shared" ca="1" si="1"/>
        <v>905</v>
      </c>
      <c r="H51" s="10">
        <f ca="1">VLOOKUP($B51,'[2]Analisys QBR By Machine Report'!$C$109:$BD$166,4,FALSE)</f>
        <v>905</v>
      </c>
      <c r="I51" s="10">
        <f ca="1">VLOOKUP($B51,'[2]Analisys QBR By Machine Report'!$C$109:$BD$166,5,FALSE)</f>
        <v>30</v>
      </c>
      <c r="J51" s="10">
        <f ca="1">VLOOKUP($B51,'[2]Analisys QBR By Machine Report'!$C$109:$BD$166,6,FALSE)</f>
        <v>875</v>
      </c>
      <c r="K51" s="10">
        <f ca="1">VLOOKUP($B51,'[2]Analisys QBR By Machine Report'!$C$109:$BD$166,7,FALSE)</f>
        <v>0</v>
      </c>
      <c r="L51" s="10">
        <f ca="1">VLOOKUP($B51,'[2]Analisys QBR By Machine Report'!$C$109:$BD$166,8,FALSE)</f>
        <v>8695</v>
      </c>
      <c r="M51" s="10">
        <f ca="1">VLOOKUP($B51,'[2]Analisys QBR By Machine Report'!$C$109:$BD$166,9,FALSE)</f>
        <v>3164</v>
      </c>
      <c r="N51" s="10">
        <f ca="1">VLOOKUP($B51,[2]Dasboard_QBR_Report!$B$109:$BL$166,18,FALSE)</f>
        <v>5531</v>
      </c>
      <c r="O51" s="10">
        <f ca="1">VLOOKUP($B51,'[2]Analisys QBR By Machine Report'!$C$109:$BD$166,10,FALSE)</f>
        <v>759</v>
      </c>
      <c r="P51" s="10">
        <f ca="1">VLOOKUP($B51,'[2]Analisys QBR By Machine Report'!$C$109:$BD$166,11,FALSE)</f>
        <v>694</v>
      </c>
      <c r="Q51" s="10">
        <f ca="1">VLOOKUP($B51,'[2]Analisys QBR By Machine Report'!$C$109:$BD$166,12,FALSE)</f>
        <v>0</v>
      </c>
      <c r="R51" s="10">
        <f ca="1">VLOOKUP($B51,'[2]Analisys QBR By Machine Report'!$C$109:$BD$166,13,FALSE)</f>
        <v>65</v>
      </c>
      <c r="S51" s="10">
        <f ca="1">VLOOKUP($B51,'[2]Analisys QBR By Machine Report'!$C$109:$BD$166,14,FALSE)</f>
        <v>0</v>
      </c>
      <c r="T51" s="10">
        <f ca="1">VLOOKUP($B51,'[2]Analisys QBR By Machine Report'!$C$109:$BD$166,15,FALSE)</f>
        <v>443</v>
      </c>
      <c r="U51" s="10">
        <f ca="1">VLOOKUP($B51,'[2]Analisys QBR By Machine Report'!$C$109:$BD$166,16,FALSE)</f>
        <v>433</v>
      </c>
      <c r="V51" s="10">
        <f ca="1">VLOOKUP($B51,'[2]Analisys QBR By Machine Report'!$C$109:$BD$166,17,FALSE)</f>
        <v>0</v>
      </c>
      <c r="W51" s="10">
        <f ca="1">VLOOKUP($B51,'[2]Analisys QBR By Machine Report'!$C$109:$BD$166,18,FALSE)</f>
        <v>0</v>
      </c>
      <c r="X51" s="10">
        <f ca="1">VLOOKUP($B51,'[2]Analisys QBR By Machine Report'!$C$109:$BD$166,19,FALSE)</f>
        <v>10</v>
      </c>
      <c r="Y51" s="10">
        <f ca="1">VLOOKUP($B51,'[2]Analisys QBR By Machine Report'!$C$109:$BD$166,20,FALSE)</f>
        <v>0</v>
      </c>
      <c r="Z51" s="10">
        <f ca="1">VLOOKUP($B51,'[2]Analisys QBR By Machine Report'!$C$109:$BD$166,21,FALSE)</f>
        <v>1812</v>
      </c>
      <c r="AA51" s="10">
        <f ca="1">VLOOKUP($B51,'[2]Analisys QBR By Machine Report'!$C$109:$BD$166,22,FALSE)</f>
        <v>226</v>
      </c>
      <c r="AB51" s="10">
        <f ca="1">VLOOKUP($B51,'[2]Analisys QBR By Machine Report'!$C$109:$BD$166,23,FALSE)</f>
        <v>1586</v>
      </c>
      <c r="AC51" s="10">
        <f ca="1">VLOOKUP($B51,'[2]Analisys QBR By Machine Report'!$C$109:$BD$166,24,FALSE)</f>
        <v>0</v>
      </c>
      <c r="AD51" s="10">
        <f ca="1">VLOOKUP($B51,'[2]Analisys QBR By Machine Report'!$C$109:$BD$166,25,FALSE)</f>
        <v>0</v>
      </c>
      <c r="AE51" s="10">
        <f ca="1">VLOOKUP($B51,'[2]Analisys QBR By Machine Report'!$C$109:$BD$166,26,FALSE)</f>
        <v>0</v>
      </c>
      <c r="AF51" s="10">
        <f ca="1">VLOOKUP($B51,'[2]Analisys QBR By Machine Report'!$C$109:$BD$166,27,FALSE)</f>
        <v>0</v>
      </c>
      <c r="AG51" s="10">
        <f ca="1">VLOOKUP($B51,'[2]Analisys QBR By Machine Report'!$C$109:$BD$166,28,FALSE)</f>
        <v>0</v>
      </c>
      <c r="AH51" s="10">
        <f ca="1">VLOOKUP($B51,'[2]Analisys QBR By Machine Report'!$C$109:$BD$166,29,FALSE)</f>
        <v>0</v>
      </c>
      <c r="AI51" s="10">
        <f ca="1">VLOOKUP($B51,'[2]Analisys QBR By Machine Report'!$C$109:$BD$166,30,FALSE)</f>
        <v>2517</v>
      </c>
      <c r="AJ51" s="10">
        <f ca="1">VLOOKUP($B51,'[2]Analisys QBR By Machine Report'!$C$109:$BD$166,31,FALSE)</f>
        <v>0</v>
      </c>
      <c r="AK51" s="10">
        <f ca="1">VLOOKUP($B51,'[2]Analisys QBR By Machine Report'!$C$109:$BD$166,32,FALSE)</f>
        <v>0</v>
      </c>
      <c r="AL51" s="10">
        <f ca="1">VLOOKUP($B51,'[2]Analisys QBR By Machine Report'!$C$109:$BD$166,33,FALSE)</f>
        <v>573</v>
      </c>
      <c r="AM51" s="10">
        <f ca="1">VLOOKUP($B51,'[2]Analisys QBR By Machine Report'!$C$109:$BD$166,34,FALSE)</f>
        <v>25</v>
      </c>
      <c r="AN51" s="10">
        <f ca="1">VLOOKUP($B51,'[2]Analisys QBR By Machine Report'!$C$109:$BD$166,35,FALSE)</f>
        <v>438</v>
      </c>
      <c r="AO51" s="10">
        <f ca="1">VLOOKUP($B51,'[2]Analisys QBR By Machine Report'!$C$109:$BD$166,36,FALSE)</f>
        <v>0</v>
      </c>
      <c r="AP51" s="10">
        <f ca="1">VLOOKUP($B51,'[2]Analisys QBR By Machine Report'!$C$109:$BD$166,37,FALSE)</f>
        <v>0</v>
      </c>
      <c r="AQ51" s="10">
        <f ca="1">VLOOKUP($B51,'[2]Analisys QBR By Machine Report'!$C$109:$BD$166,38,FALSE)</f>
        <v>152</v>
      </c>
      <c r="AR51" s="10">
        <f ca="1">VLOOKUP($B51,'[2]Analisys QBR By Machine Report'!$C$109:$BD$166,39,FALSE)</f>
        <v>0</v>
      </c>
      <c r="AS51" s="10">
        <f ca="1">VLOOKUP($B51,'[2]Analisys QBR By Machine Report'!$C$109:$BD$166,40,FALSE)</f>
        <v>88</v>
      </c>
      <c r="AT51" s="10">
        <f ca="1">VLOOKUP($B51,'[2]Analisys QBR By Machine Report'!$C$109:$BD$166,41,FALSE)</f>
        <v>0</v>
      </c>
      <c r="AU51" s="10">
        <f ca="1">VLOOKUP($B51,'[2]Analisys QBR By Machine Report'!$C$109:$BD$166,42,FALSE)</f>
        <v>0</v>
      </c>
      <c r="AV51" s="10">
        <f ca="1">VLOOKUP($B51,'[2]Analisys QBR By Machine Report'!$C$109:$BD$166,43,FALSE)</f>
        <v>1229</v>
      </c>
      <c r="AW51" s="10">
        <f ca="1">VLOOKUP($B51,'[2]Analisys QBR By Machine Report'!$C$109:$BD$166,44,FALSE)</f>
        <v>0</v>
      </c>
      <c r="AX51" s="10">
        <f ca="1">VLOOKUP($B51,'[2]Analisys QBR By Machine Report'!$C$109:$BD$166,45,FALSE)</f>
        <v>0</v>
      </c>
      <c r="AY51" s="10">
        <f ca="1">VLOOKUP($B51,'[2]Analisys QBR By Machine Report'!$C$109:$BD$166,46,FALSE)</f>
        <v>0</v>
      </c>
      <c r="AZ51" s="10">
        <f ca="1">VLOOKUP($B51,'[2]Analisys QBR By Machine Report'!$C$109:$BD$166,47,FALSE)</f>
        <v>12</v>
      </c>
      <c r="BA51" s="10">
        <f ca="1">VLOOKUP($B51,'[2]Analisys QBR By Machine Report'!$C$109:$BD$166,48,FALSE)</f>
        <v>0</v>
      </c>
      <c r="BB51" s="10">
        <f ca="1">VLOOKUP($B51,'[2]Analisys QBR By Machine Report'!$C$109:$BD$166,49,FALSE)</f>
        <v>0</v>
      </c>
      <c r="BC51" s="10">
        <f ca="1">VLOOKUP($B51,'[2]Analisys QBR By Machine Report'!$C$109:$BD$166,50,FALSE)</f>
        <v>0</v>
      </c>
      <c r="BD51" s="10">
        <f ca="1">VLOOKUP($B51,'[2]Analisys QBR By Machine Report'!$C$109:$BD$166,51,FALSE)</f>
        <v>496778</v>
      </c>
      <c r="BE51" s="10">
        <f ca="1">VLOOKUP($B51,'[2]Analisys QBR By Machine Report'!$C$109:$BD$166,52,FALSE)</f>
        <v>21</v>
      </c>
      <c r="BF51" s="10">
        <f ca="1">VLOOKUP($B51,'[2]Analisys QBR By Machine Report'!$C$109:$BD$166,53,FALSE)</f>
        <v>496757</v>
      </c>
    </row>
    <row r="52" spans="1:58" x14ac:dyDescent="0.25">
      <c r="A52" s="12" t="s">
        <v>108</v>
      </c>
      <c r="B52" s="13">
        <f ca="1">VLOOKUP($B52,'[2]Analisys QBR By Machine Report'!$C$109:$BD$166,2,FALSE)</f>
        <v>30240</v>
      </c>
      <c r="C52" s="14">
        <f ca="1">VLOOKUP($B52,[2]Dasboard_QBR_Report!$B$109:$BL$166,3,FALSE)</f>
        <v>19530</v>
      </c>
      <c r="D52" s="13">
        <f ca="1">VLOOKUP($B52,'[2]Analisys QBR By Machine Report'!$C$109:$BD$166,3,FALSE)</f>
        <v>20640</v>
      </c>
      <c r="E52" s="14">
        <f ca="1">VLOOKUP($B52,[2]Dasboard_QBR_Report!$B$109:$BL$166,5,FALSE)</f>
        <v>9930</v>
      </c>
      <c r="F52" s="13">
        <f t="shared" ca="1" si="0"/>
        <v>9600</v>
      </c>
      <c r="G52" s="13">
        <f t="shared" ca="1" si="1"/>
        <v>905</v>
      </c>
      <c r="H52" s="13">
        <f ca="1">VLOOKUP($B52,'[2]Analisys QBR By Machine Report'!$C$109:$BD$166,4,FALSE)</f>
        <v>905</v>
      </c>
      <c r="I52" s="13">
        <f ca="1">VLOOKUP($B52,'[2]Analisys QBR By Machine Report'!$C$109:$BD$166,5,FALSE)</f>
        <v>30</v>
      </c>
      <c r="J52" s="13">
        <f ca="1">VLOOKUP($B52,'[2]Analisys QBR By Machine Report'!$C$109:$BD$166,6,FALSE)</f>
        <v>875</v>
      </c>
      <c r="K52" s="13">
        <f ca="1">VLOOKUP($B52,'[2]Analisys QBR By Machine Report'!$C$109:$BD$166,7,FALSE)</f>
        <v>0</v>
      </c>
      <c r="L52" s="13">
        <f ca="1">VLOOKUP($B52,'[2]Analisys QBR By Machine Report'!$C$109:$BD$166,8,FALSE)</f>
        <v>8695</v>
      </c>
      <c r="M52" s="13">
        <f ca="1">VLOOKUP($B52,'[2]Analisys QBR By Machine Report'!$C$109:$BD$166,9,FALSE)</f>
        <v>3164</v>
      </c>
      <c r="N52" s="13">
        <f ca="1">VLOOKUP($B52,[2]Dasboard_QBR_Report!$B$109:$BL$166,18,FALSE)</f>
        <v>5531</v>
      </c>
      <c r="O52" s="13">
        <f ca="1">VLOOKUP($B52,'[2]Analisys QBR By Machine Report'!$C$109:$BD$166,10,FALSE)</f>
        <v>759</v>
      </c>
      <c r="P52" s="13">
        <f ca="1">VLOOKUP($B52,'[2]Analisys QBR By Machine Report'!$C$109:$BD$166,11,FALSE)</f>
        <v>694</v>
      </c>
      <c r="Q52" s="13">
        <f ca="1">VLOOKUP($B52,'[2]Analisys QBR By Machine Report'!$C$109:$BD$166,12,FALSE)</f>
        <v>0</v>
      </c>
      <c r="R52" s="13">
        <f ca="1">VLOOKUP($B52,'[2]Analisys QBR By Machine Report'!$C$109:$BD$166,13,FALSE)</f>
        <v>65</v>
      </c>
      <c r="S52" s="13">
        <f ca="1">VLOOKUP($B52,'[2]Analisys QBR By Machine Report'!$C$109:$BD$166,14,FALSE)</f>
        <v>0</v>
      </c>
      <c r="T52" s="13">
        <f ca="1">VLOOKUP($B52,'[2]Analisys QBR By Machine Report'!$C$109:$BD$166,15,FALSE)</f>
        <v>443</v>
      </c>
      <c r="U52" s="13">
        <f ca="1">VLOOKUP($B52,'[2]Analisys QBR By Machine Report'!$C$109:$BD$166,16,FALSE)</f>
        <v>433</v>
      </c>
      <c r="V52" s="13">
        <f ca="1">VLOOKUP($B52,'[2]Analisys QBR By Machine Report'!$C$109:$BD$166,17,FALSE)</f>
        <v>0</v>
      </c>
      <c r="W52" s="13">
        <f ca="1">VLOOKUP($B52,'[2]Analisys QBR By Machine Report'!$C$109:$BD$166,18,FALSE)</f>
        <v>0</v>
      </c>
      <c r="X52" s="13">
        <f ca="1">VLOOKUP($B52,'[2]Analisys QBR By Machine Report'!$C$109:$BD$166,19,FALSE)</f>
        <v>10</v>
      </c>
      <c r="Y52" s="13">
        <f ca="1">VLOOKUP($B52,'[2]Analisys QBR By Machine Report'!$C$109:$BD$166,20,FALSE)</f>
        <v>0</v>
      </c>
      <c r="Z52" s="13">
        <f ca="1">VLOOKUP($B52,'[2]Analisys QBR By Machine Report'!$C$109:$BD$166,21,FALSE)</f>
        <v>1812</v>
      </c>
      <c r="AA52" s="13">
        <f ca="1">VLOOKUP($B52,'[2]Analisys QBR By Machine Report'!$C$109:$BD$166,22,FALSE)</f>
        <v>226</v>
      </c>
      <c r="AB52" s="13">
        <f ca="1">VLOOKUP($B52,'[2]Analisys QBR By Machine Report'!$C$109:$BD$166,23,FALSE)</f>
        <v>1586</v>
      </c>
      <c r="AC52" s="13">
        <f ca="1">VLOOKUP($B52,'[2]Analisys QBR By Machine Report'!$C$109:$BD$166,24,FALSE)</f>
        <v>0</v>
      </c>
      <c r="AD52" s="13">
        <f ca="1">VLOOKUP($B52,'[2]Analisys QBR By Machine Report'!$C$109:$BD$166,25,FALSE)</f>
        <v>0</v>
      </c>
      <c r="AE52" s="13">
        <f ca="1">VLOOKUP($B52,'[2]Analisys QBR By Machine Report'!$C$109:$BD$166,26,FALSE)</f>
        <v>0</v>
      </c>
      <c r="AF52" s="13">
        <f ca="1">VLOOKUP($B52,'[2]Analisys QBR By Machine Report'!$C$109:$BD$166,27,FALSE)</f>
        <v>0</v>
      </c>
      <c r="AG52" s="13">
        <f ca="1">VLOOKUP($B52,'[2]Analisys QBR By Machine Report'!$C$109:$BD$166,28,FALSE)</f>
        <v>0</v>
      </c>
      <c r="AH52" s="13">
        <f ca="1">VLOOKUP($B52,'[2]Analisys QBR By Machine Report'!$C$109:$BD$166,29,FALSE)</f>
        <v>0</v>
      </c>
      <c r="AI52" s="13">
        <f ca="1">VLOOKUP($B52,'[2]Analisys QBR By Machine Report'!$C$109:$BD$166,30,FALSE)</f>
        <v>2517</v>
      </c>
      <c r="AJ52" s="13">
        <f ca="1">VLOOKUP($B52,'[2]Analisys QBR By Machine Report'!$C$109:$BD$166,31,FALSE)</f>
        <v>0</v>
      </c>
      <c r="AK52" s="13">
        <f ca="1">VLOOKUP($B52,'[2]Analisys QBR By Machine Report'!$C$109:$BD$166,32,FALSE)</f>
        <v>0</v>
      </c>
      <c r="AL52" s="13">
        <f ca="1">VLOOKUP($B52,'[2]Analisys QBR By Machine Report'!$C$109:$BD$166,33,FALSE)</f>
        <v>573</v>
      </c>
      <c r="AM52" s="13">
        <f ca="1">VLOOKUP($B52,'[2]Analisys QBR By Machine Report'!$C$109:$BD$166,34,FALSE)</f>
        <v>25</v>
      </c>
      <c r="AN52" s="13">
        <f ca="1">VLOOKUP($B52,'[2]Analisys QBR By Machine Report'!$C$109:$BD$166,35,FALSE)</f>
        <v>438</v>
      </c>
      <c r="AO52" s="13">
        <f ca="1">VLOOKUP($B52,'[2]Analisys QBR By Machine Report'!$C$109:$BD$166,36,FALSE)</f>
        <v>0</v>
      </c>
      <c r="AP52" s="13">
        <f ca="1">VLOOKUP($B52,'[2]Analisys QBR By Machine Report'!$C$109:$BD$166,37,FALSE)</f>
        <v>0</v>
      </c>
      <c r="AQ52" s="13">
        <f ca="1">VLOOKUP($B52,'[2]Analisys QBR By Machine Report'!$C$109:$BD$166,38,FALSE)</f>
        <v>152</v>
      </c>
      <c r="AR52" s="13">
        <f ca="1">VLOOKUP($B52,'[2]Analisys QBR By Machine Report'!$C$109:$BD$166,39,FALSE)</f>
        <v>0</v>
      </c>
      <c r="AS52" s="13">
        <f ca="1">VLOOKUP($B52,'[2]Analisys QBR By Machine Report'!$C$109:$BD$166,40,FALSE)</f>
        <v>88</v>
      </c>
      <c r="AT52" s="13">
        <f ca="1">VLOOKUP($B52,'[2]Analisys QBR By Machine Report'!$C$109:$BD$166,41,FALSE)</f>
        <v>0</v>
      </c>
      <c r="AU52" s="13">
        <f ca="1">VLOOKUP($B52,'[2]Analisys QBR By Machine Report'!$C$109:$BD$166,42,FALSE)</f>
        <v>0</v>
      </c>
      <c r="AV52" s="13">
        <f ca="1">VLOOKUP($B52,'[2]Analisys QBR By Machine Report'!$C$109:$BD$166,43,FALSE)</f>
        <v>1229</v>
      </c>
      <c r="AW52" s="13">
        <f ca="1">VLOOKUP($B52,'[2]Analisys QBR By Machine Report'!$C$109:$BD$166,44,FALSE)</f>
        <v>0</v>
      </c>
      <c r="AX52" s="13">
        <f ca="1">VLOOKUP($B52,'[2]Analisys QBR By Machine Report'!$C$109:$BD$166,45,FALSE)</f>
        <v>0</v>
      </c>
      <c r="AY52" s="13">
        <f ca="1">VLOOKUP($B52,'[2]Analisys QBR By Machine Report'!$C$109:$BD$166,46,FALSE)</f>
        <v>0</v>
      </c>
      <c r="AZ52" s="13">
        <f ca="1">VLOOKUP($B52,'[2]Analisys QBR By Machine Report'!$C$109:$BD$166,47,FALSE)</f>
        <v>12</v>
      </c>
      <c r="BA52" s="13">
        <f ca="1">VLOOKUP($B52,'[2]Analisys QBR By Machine Report'!$C$109:$BD$166,48,FALSE)</f>
        <v>0</v>
      </c>
      <c r="BB52" s="13">
        <f ca="1">VLOOKUP($B52,'[2]Analisys QBR By Machine Report'!$C$109:$BD$166,49,FALSE)</f>
        <v>0</v>
      </c>
      <c r="BC52" s="13">
        <f ca="1">VLOOKUP($B52,'[2]Analisys QBR By Machine Report'!$C$109:$BD$166,50,FALSE)</f>
        <v>0</v>
      </c>
      <c r="BD52" s="13">
        <f ca="1">VLOOKUP($B52,'[2]Analisys QBR By Machine Report'!$C$109:$BD$166,51,FALSE)</f>
        <v>496778</v>
      </c>
      <c r="BE52" s="13">
        <f ca="1">VLOOKUP($B52,'[2]Analisys QBR By Machine Report'!$C$109:$BD$166,52,FALSE)</f>
        <v>21</v>
      </c>
      <c r="BF52" s="13">
        <f ca="1">VLOOKUP($B52,'[2]Analisys QBR By Machine Report'!$C$109:$BD$166,53,FALSE)</f>
        <v>496757</v>
      </c>
    </row>
    <row r="53" spans="1:58" x14ac:dyDescent="0.25">
      <c r="A53" s="9" t="s">
        <v>109</v>
      </c>
      <c r="B53" s="10">
        <f ca="1">VLOOKUP($B53,'[2]Analisys QBR By Machine Report'!$C$109:$BD$166,2,FALSE)</f>
        <v>66240</v>
      </c>
      <c r="C53" s="11">
        <f ca="1">VLOOKUP($B53,[2]Dasboard_QBR_Report!$B$109:$BL$166,3,FALSE)</f>
        <v>42780</v>
      </c>
      <c r="D53" s="10">
        <f ca="1">VLOOKUP($B53,'[2]Analisys QBR By Machine Report'!$C$109:$BD$166,3,FALSE)</f>
        <v>47070</v>
      </c>
      <c r="E53" s="11">
        <f ca="1">VLOOKUP($B53,[2]Dasboard_QBR_Report!$B$109:$BL$166,5,FALSE)</f>
        <v>23610</v>
      </c>
      <c r="F53" s="10">
        <f t="shared" ca="1" si="0"/>
        <v>19170</v>
      </c>
      <c r="G53" s="10">
        <f t="shared" ca="1" si="1"/>
        <v>2272</v>
      </c>
      <c r="H53" s="10">
        <f ca="1">VLOOKUP($B53,'[2]Analisys QBR By Machine Report'!$C$109:$BD$166,4,FALSE)</f>
        <v>2272</v>
      </c>
      <c r="I53" s="10">
        <f ca="1">VLOOKUP($B53,'[2]Analisys QBR By Machine Report'!$C$109:$BD$166,5,FALSE)</f>
        <v>951</v>
      </c>
      <c r="J53" s="10">
        <f ca="1">VLOOKUP($B53,'[2]Analisys QBR By Machine Report'!$C$109:$BD$166,6,FALSE)</f>
        <v>1321</v>
      </c>
      <c r="K53" s="10">
        <f ca="1">VLOOKUP($B53,'[2]Analisys QBR By Machine Report'!$C$109:$BD$166,7,FALSE)</f>
        <v>0</v>
      </c>
      <c r="L53" s="10">
        <f ca="1">VLOOKUP($B53,'[2]Analisys QBR By Machine Report'!$C$109:$BD$166,8,FALSE)</f>
        <v>16898</v>
      </c>
      <c r="M53" s="10">
        <f ca="1">VLOOKUP($B53,'[2]Analisys QBR By Machine Report'!$C$109:$BD$166,9,FALSE)</f>
        <v>7119</v>
      </c>
      <c r="N53" s="10">
        <f ca="1">VLOOKUP($B53,[2]Dasboard_QBR_Report!$B$109:$BL$166,18,FALSE)</f>
        <v>9779</v>
      </c>
      <c r="O53" s="10">
        <f ca="1">VLOOKUP($B53,'[2]Analisys QBR By Machine Report'!$C$109:$BD$166,10,FALSE)</f>
        <v>796</v>
      </c>
      <c r="P53" s="10">
        <f ca="1">VLOOKUP($B53,'[2]Analisys QBR By Machine Report'!$C$109:$BD$166,11,FALSE)</f>
        <v>601</v>
      </c>
      <c r="Q53" s="10">
        <f ca="1">VLOOKUP($B53,'[2]Analisys QBR By Machine Report'!$C$109:$BD$166,12,FALSE)</f>
        <v>0</v>
      </c>
      <c r="R53" s="10">
        <f ca="1">VLOOKUP($B53,'[2]Analisys QBR By Machine Report'!$C$109:$BD$166,13,FALSE)</f>
        <v>195</v>
      </c>
      <c r="S53" s="10">
        <f ca="1">VLOOKUP($B53,'[2]Analisys QBR By Machine Report'!$C$109:$BD$166,14,FALSE)</f>
        <v>0</v>
      </c>
      <c r="T53" s="10">
        <f ca="1">VLOOKUP($B53,'[2]Analisys QBR By Machine Report'!$C$109:$BD$166,15,FALSE)</f>
        <v>41</v>
      </c>
      <c r="U53" s="10">
        <f ca="1">VLOOKUP($B53,'[2]Analisys QBR By Machine Report'!$C$109:$BD$166,16,FALSE)</f>
        <v>41</v>
      </c>
      <c r="V53" s="10">
        <f ca="1">VLOOKUP($B53,'[2]Analisys QBR By Machine Report'!$C$109:$BD$166,17,FALSE)</f>
        <v>0</v>
      </c>
      <c r="W53" s="10">
        <f ca="1">VLOOKUP($B53,'[2]Analisys QBR By Machine Report'!$C$109:$BD$166,18,FALSE)</f>
        <v>0</v>
      </c>
      <c r="X53" s="10">
        <f ca="1">VLOOKUP($B53,'[2]Analisys QBR By Machine Report'!$C$109:$BD$166,19,FALSE)</f>
        <v>0</v>
      </c>
      <c r="Y53" s="10">
        <f ca="1">VLOOKUP($B53,'[2]Analisys QBR By Machine Report'!$C$109:$BD$166,20,FALSE)</f>
        <v>0</v>
      </c>
      <c r="Z53" s="10">
        <f ca="1">VLOOKUP($B53,'[2]Analisys QBR By Machine Report'!$C$109:$BD$166,21,FALSE)</f>
        <v>4338</v>
      </c>
      <c r="AA53" s="10">
        <f ca="1">VLOOKUP($B53,'[2]Analisys QBR By Machine Report'!$C$109:$BD$166,22,FALSE)</f>
        <v>3964</v>
      </c>
      <c r="AB53" s="10">
        <f ca="1">VLOOKUP($B53,'[2]Analisys QBR By Machine Report'!$C$109:$BD$166,23,FALSE)</f>
        <v>374</v>
      </c>
      <c r="AC53" s="10">
        <f ca="1">VLOOKUP($B53,'[2]Analisys QBR By Machine Report'!$C$109:$BD$166,24,FALSE)</f>
        <v>0</v>
      </c>
      <c r="AD53" s="10">
        <f ca="1">VLOOKUP($B53,'[2]Analisys QBR By Machine Report'!$C$109:$BD$166,25,FALSE)</f>
        <v>0</v>
      </c>
      <c r="AE53" s="10">
        <f ca="1">VLOOKUP($B53,'[2]Analisys QBR By Machine Report'!$C$109:$BD$166,26,FALSE)</f>
        <v>0</v>
      </c>
      <c r="AF53" s="10">
        <f ca="1">VLOOKUP($B53,'[2]Analisys QBR By Machine Report'!$C$109:$BD$166,27,FALSE)</f>
        <v>0</v>
      </c>
      <c r="AG53" s="10">
        <f ca="1">VLOOKUP($B53,'[2]Analisys QBR By Machine Report'!$C$109:$BD$166,28,FALSE)</f>
        <v>0</v>
      </c>
      <c r="AH53" s="10">
        <f ca="1">VLOOKUP($B53,'[2]Analisys QBR By Machine Report'!$C$109:$BD$166,29,FALSE)</f>
        <v>0</v>
      </c>
      <c r="AI53" s="10">
        <f ca="1">VLOOKUP($B53,'[2]Analisys QBR By Machine Report'!$C$109:$BD$166,30,FALSE)</f>
        <v>4604</v>
      </c>
      <c r="AJ53" s="10">
        <f ca="1">VLOOKUP($B53,'[2]Analisys QBR By Machine Report'!$C$109:$BD$166,31,FALSE)</f>
        <v>0</v>
      </c>
      <c r="AK53" s="10">
        <f ca="1">VLOOKUP($B53,'[2]Analisys QBR By Machine Report'!$C$109:$BD$166,32,FALSE)</f>
        <v>0</v>
      </c>
      <c r="AL53" s="10">
        <f ca="1">VLOOKUP($B53,'[2]Analisys QBR By Machine Report'!$C$109:$BD$166,33,FALSE)</f>
        <v>88</v>
      </c>
      <c r="AM53" s="10">
        <f ca="1">VLOOKUP($B53,'[2]Analisys QBR By Machine Report'!$C$109:$BD$166,34,FALSE)</f>
        <v>0</v>
      </c>
      <c r="AN53" s="10">
        <f ca="1">VLOOKUP($B53,'[2]Analisys QBR By Machine Report'!$C$109:$BD$166,35,FALSE)</f>
        <v>15</v>
      </c>
      <c r="AO53" s="10">
        <f ca="1">VLOOKUP($B53,'[2]Analisys QBR By Machine Report'!$C$109:$BD$166,36,FALSE)</f>
        <v>0</v>
      </c>
      <c r="AP53" s="10">
        <f ca="1">VLOOKUP($B53,'[2]Analisys QBR By Machine Report'!$C$109:$BD$166,37,FALSE)</f>
        <v>0</v>
      </c>
      <c r="AQ53" s="10">
        <f ca="1">VLOOKUP($B53,'[2]Analisys QBR By Machine Report'!$C$109:$BD$166,38,FALSE)</f>
        <v>170</v>
      </c>
      <c r="AR53" s="10">
        <f ca="1">VLOOKUP($B53,'[2]Analisys QBR By Machine Report'!$C$109:$BD$166,39,FALSE)</f>
        <v>4331</v>
      </c>
      <c r="AS53" s="10">
        <f ca="1">VLOOKUP($B53,'[2]Analisys QBR By Machine Report'!$C$109:$BD$166,40,FALSE)</f>
        <v>0</v>
      </c>
      <c r="AT53" s="10">
        <f ca="1">VLOOKUP($B53,'[2]Analisys QBR By Machine Report'!$C$109:$BD$166,41,FALSE)</f>
        <v>0</v>
      </c>
      <c r="AU53" s="10">
        <f ca="1">VLOOKUP($B53,'[2]Analisys QBR By Machine Report'!$C$109:$BD$166,42,FALSE)</f>
        <v>0</v>
      </c>
      <c r="AV53" s="10">
        <f ca="1">VLOOKUP($B53,'[2]Analisys QBR By Machine Report'!$C$109:$BD$166,43,FALSE)</f>
        <v>0</v>
      </c>
      <c r="AW53" s="10">
        <f ca="1">VLOOKUP($B53,'[2]Analisys QBR By Machine Report'!$C$109:$BD$166,44,FALSE)</f>
        <v>0</v>
      </c>
      <c r="AX53" s="10">
        <f ca="1">VLOOKUP($B53,'[2]Analisys QBR By Machine Report'!$C$109:$BD$166,45,FALSE)</f>
        <v>0</v>
      </c>
      <c r="AY53" s="10">
        <f ca="1">VLOOKUP($B53,'[2]Analisys QBR By Machine Report'!$C$109:$BD$166,46,FALSE)</f>
        <v>0</v>
      </c>
      <c r="AZ53" s="10">
        <f ca="1">VLOOKUP($B53,'[2]Analisys QBR By Machine Report'!$C$109:$BD$166,47,FALSE)</f>
        <v>0</v>
      </c>
      <c r="BA53" s="10">
        <f ca="1">VLOOKUP($B53,'[2]Analisys QBR By Machine Report'!$C$109:$BD$166,48,FALSE)</f>
        <v>0</v>
      </c>
      <c r="BB53" s="10">
        <f ca="1">VLOOKUP($B53,'[2]Analisys QBR By Machine Report'!$C$109:$BD$166,49,FALSE)</f>
        <v>0</v>
      </c>
      <c r="BC53" s="10">
        <f ca="1">VLOOKUP($B53,'[2]Analisys QBR By Machine Report'!$C$109:$BD$166,50,FALSE)</f>
        <v>0</v>
      </c>
      <c r="BD53" s="10">
        <f ca="1">VLOOKUP($B53,'[2]Analisys QBR By Machine Report'!$C$109:$BD$166,51,FALSE)</f>
        <v>993</v>
      </c>
      <c r="BE53" s="10">
        <f ca="1">VLOOKUP($B53,'[2]Analisys QBR By Machine Report'!$C$109:$BD$166,52,FALSE)</f>
        <v>0</v>
      </c>
      <c r="BF53" s="10">
        <f ca="1">VLOOKUP($B53,'[2]Analisys QBR By Machine Report'!$C$109:$BD$166,53,FALSE)</f>
        <v>993</v>
      </c>
    </row>
    <row r="54" spans="1:58" x14ac:dyDescent="0.25">
      <c r="A54" s="12" t="s">
        <v>110</v>
      </c>
      <c r="B54" s="13">
        <f ca="1">VLOOKUP($B54,'[2]Analisys QBR By Machine Report'!$C$109:$BD$166,2,FALSE)</f>
        <v>33120</v>
      </c>
      <c r="C54" s="14">
        <f ca="1">VLOOKUP($B54,[2]Dasboard_QBR_Report!$B$109:$BL$166,3,FALSE)</f>
        <v>21390</v>
      </c>
      <c r="D54" s="13">
        <f ca="1">VLOOKUP($B54,'[2]Analisys QBR By Machine Report'!$C$109:$BD$166,3,FALSE)</f>
        <v>23310</v>
      </c>
      <c r="E54" s="14">
        <f ca="1">VLOOKUP($B54,[2]Dasboard_QBR_Report!$B$109:$BL$166,5,FALSE)</f>
        <v>11580</v>
      </c>
      <c r="F54" s="13">
        <f t="shared" ca="1" si="0"/>
        <v>9810</v>
      </c>
      <c r="G54" s="13">
        <f t="shared" ca="1" si="1"/>
        <v>1024</v>
      </c>
      <c r="H54" s="13">
        <f ca="1">VLOOKUP($B54,'[2]Analisys QBR By Machine Report'!$C$109:$BD$166,4,FALSE)</f>
        <v>1024</v>
      </c>
      <c r="I54" s="13">
        <f ca="1">VLOOKUP($B54,'[2]Analisys QBR By Machine Report'!$C$109:$BD$166,5,FALSE)</f>
        <v>122</v>
      </c>
      <c r="J54" s="13">
        <f ca="1">VLOOKUP($B54,'[2]Analisys QBR By Machine Report'!$C$109:$BD$166,6,FALSE)</f>
        <v>902</v>
      </c>
      <c r="K54" s="13">
        <f ca="1">VLOOKUP($B54,'[2]Analisys QBR By Machine Report'!$C$109:$BD$166,7,FALSE)</f>
        <v>0</v>
      </c>
      <c r="L54" s="13">
        <f ca="1">VLOOKUP($B54,'[2]Analisys QBR By Machine Report'!$C$109:$BD$166,8,FALSE)</f>
        <v>8786</v>
      </c>
      <c r="M54" s="13">
        <f ca="1">VLOOKUP($B54,'[2]Analisys QBR By Machine Report'!$C$109:$BD$166,9,FALSE)</f>
        <v>4177</v>
      </c>
      <c r="N54" s="13">
        <f ca="1">VLOOKUP($B54,[2]Dasboard_QBR_Report!$B$109:$BL$166,18,FALSE)</f>
        <v>4609</v>
      </c>
      <c r="O54" s="13">
        <f ca="1">VLOOKUP($B54,'[2]Analisys QBR By Machine Report'!$C$109:$BD$166,10,FALSE)</f>
        <v>359</v>
      </c>
      <c r="P54" s="13">
        <f ca="1">VLOOKUP($B54,'[2]Analisys QBR By Machine Report'!$C$109:$BD$166,11,FALSE)</f>
        <v>294</v>
      </c>
      <c r="Q54" s="13">
        <f ca="1">VLOOKUP($B54,'[2]Analisys QBR By Machine Report'!$C$109:$BD$166,12,FALSE)</f>
        <v>0</v>
      </c>
      <c r="R54" s="13">
        <f ca="1">VLOOKUP($B54,'[2]Analisys QBR By Machine Report'!$C$109:$BD$166,13,FALSE)</f>
        <v>65</v>
      </c>
      <c r="S54" s="13">
        <f ca="1">VLOOKUP($B54,'[2]Analisys QBR By Machine Report'!$C$109:$BD$166,14,FALSE)</f>
        <v>0</v>
      </c>
      <c r="T54" s="13">
        <f ca="1">VLOOKUP($B54,'[2]Analisys QBR By Machine Report'!$C$109:$BD$166,15,FALSE)</f>
        <v>41</v>
      </c>
      <c r="U54" s="13">
        <f ca="1">VLOOKUP($B54,'[2]Analisys QBR By Machine Report'!$C$109:$BD$166,16,FALSE)</f>
        <v>41</v>
      </c>
      <c r="V54" s="13">
        <f ca="1">VLOOKUP($B54,'[2]Analisys QBR By Machine Report'!$C$109:$BD$166,17,FALSE)</f>
        <v>0</v>
      </c>
      <c r="W54" s="13">
        <f ca="1">VLOOKUP($B54,'[2]Analisys QBR By Machine Report'!$C$109:$BD$166,18,FALSE)</f>
        <v>0</v>
      </c>
      <c r="X54" s="13">
        <f ca="1">VLOOKUP($B54,'[2]Analisys QBR By Machine Report'!$C$109:$BD$166,19,FALSE)</f>
        <v>0</v>
      </c>
      <c r="Y54" s="13">
        <f ca="1">VLOOKUP($B54,'[2]Analisys QBR By Machine Report'!$C$109:$BD$166,20,FALSE)</f>
        <v>0</v>
      </c>
      <c r="Z54" s="13">
        <f ca="1">VLOOKUP($B54,'[2]Analisys QBR By Machine Report'!$C$109:$BD$166,21,FALSE)</f>
        <v>3086</v>
      </c>
      <c r="AA54" s="13">
        <f ca="1">VLOOKUP($B54,'[2]Analisys QBR By Machine Report'!$C$109:$BD$166,22,FALSE)</f>
        <v>2977</v>
      </c>
      <c r="AB54" s="13">
        <f ca="1">VLOOKUP($B54,'[2]Analisys QBR By Machine Report'!$C$109:$BD$166,23,FALSE)</f>
        <v>109</v>
      </c>
      <c r="AC54" s="13">
        <f ca="1">VLOOKUP($B54,'[2]Analisys QBR By Machine Report'!$C$109:$BD$166,24,FALSE)</f>
        <v>0</v>
      </c>
      <c r="AD54" s="13">
        <f ca="1">VLOOKUP($B54,'[2]Analisys QBR By Machine Report'!$C$109:$BD$166,25,FALSE)</f>
        <v>0</v>
      </c>
      <c r="AE54" s="13">
        <f ca="1">VLOOKUP($B54,'[2]Analisys QBR By Machine Report'!$C$109:$BD$166,26,FALSE)</f>
        <v>0</v>
      </c>
      <c r="AF54" s="13">
        <f ca="1">VLOOKUP($B54,'[2]Analisys QBR By Machine Report'!$C$109:$BD$166,27,FALSE)</f>
        <v>0</v>
      </c>
      <c r="AG54" s="13">
        <f ca="1">VLOOKUP($B54,'[2]Analisys QBR By Machine Report'!$C$109:$BD$166,28,FALSE)</f>
        <v>0</v>
      </c>
      <c r="AH54" s="13">
        <f ca="1">VLOOKUP($B54,'[2]Analisys QBR By Machine Report'!$C$109:$BD$166,29,FALSE)</f>
        <v>0</v>
      </c>
      <c r="AI54" s="13">
        <f ca="1">VLOOKUP($B54,'[2]Analisys QBR By Machine Report'!$C$109:$BD$166,30,FALSE)</f>
        <v>1123</v>
      </c>
      <c r="AJ54" s="13">
        <f ca="1">VLOOKUP($B54,'[2]Analisys QBR By Machine Report'!$C$109:$BD$166,31,FALSE)</f>
        <v>0</v>
      </c>
      <c r="AK54" s="13">
        <f ca="1">VLOOKUP($B54,'[2]Analisys QBR By Machine Report'!$C$109:$BD$166,32,FALSE)</f>
        <v>0</v>
      </c>
      <c r="AL54" s="13">
        <f ca="1">VLOOKUP($B54,'[2]Analisys QBR By Machine Report'!$C$109:$BD$166,33,FALSE)</f>
        <v>88</v>
      </c>
      <c r="AM54" s="13">
        <f ca="1">VLOOKUP($B54,'[2]Analisys QBR By Machine Report'!$C$109:$BD$166,34,FALSE)</f>
        <v>0</v>
      </c>
      <c r="AN54" s="13">
        <f ca="1">VLOOKUP($B54,'[2]Analisys QBR By Machine Report'!$C$109:$BD$166,35,FALSE)</f>
        <v>15</v>
      </c>
      <c r="AO54" s="13">
        <f ca="1">VLOOKUP($B54,'[2]Analisys QBR By Machine Report'!$C$109:$BD$166,36,FALSE)</f>
        <v>0</v>
      </c>
      <c r="AP54" s="13">
        <f ca="1">VLOOKUP($B54,'[2]Analisys QBR By Machine Report'!$C$109:$BD$166,37,FALSE)</f>
        <v>0</v>
      </c>
      <c r="AQ54" s="13">
        <f ca="1">VLOOKUP($B54,'[2]Analisys QBR By Machine Report'!$C$109:$BD$166,38,FALSE)</f>
        <v>80</v>
      </c>
      <c r="AR54" s="13">
        <f ca="1">VLOOKUP($B54,'[2]Analisys QBR By Machine Report'!$C$109:$BD$166,39,FALSE)</f>
        <v>940</v>
      </c>
      <c r="AS54" s="13">
        <f ca="1">VLOOKUP($B54,'[2]Analisys QBR By Machine Report'!$C$109:$BD$166,40,FALSE)</f>
        <v>0</v>
      </c>
      <c r="AT54" s="13">
        <f ca="1">VLOOKUP($B54,'[2]Analisys QBR By Machine Report'!$C$109:$BD$166,41,FALSE)</f>
        <v>0</v>
      </c>
      <c r="AU54" s="13">
        <f ca="1">VLOOKUP($B54,'[2]Analisys QBR By Machine Report'!$C$109:$BD$166,42,FALSE)</f>
        <v>0</v>
      </c>
      <c r="AV54" s="13">
        <f ca="1">VLOOKUP($B54,'[2]Analisys QBR By Machine Report'!$C$109:$BD$166,43,FALSE)</f>
        <v>0</v>
      </c>
      <c r="AW54" s="13">
        <f ca="1">VLOOKUP($B54,'[2]Analisys QBR By Machine Report'!$C$109:$BD$166,44,FALSE)</f>
        <v>0</v>
      </c>
      <c r="AX54" s="13">
        <f ca="1">VLOOKUP($B54,'[2]Analisys QBR By Machine Report'!$C$109:$BD$166,45,FALSE)</f>
        <v>0</v>
      </c>
      <c r="AY54" s="13">
        <f ca="1">VLOOKUP($B54,'[2]Analisys QBR By Machine Report'!$C$109:$BD$166,46,FALSE)</f>
        <v>0</v>
      </c>
      <c r="AZ54" s="13">
        <f ca="1">VLOOKUP($B54,'[2]Analisys QBR By Machine Report'!$C$109:$BD$166,47,FALSE)</f>
        <v>0</v>
      </c>
      <c r="BA54" s="13">
        <f ca="1">VLOOKUP($B54,'[2]Analisys QBR By Machine Report'!$C$109:$BD$166,48,FALSE)</f>
        <v>0</v>
      </c>
      <c r="BB54" s="13">
        <f ca="1">VLOOKUP($B54,'[2]Analisys QBR By Machine Report'!$C$109:$BD$166,49,FALSE)</f>
        <v>0</v>
      </c>
      <c r="BC54" s="13">
        <f ca="1">VLOOKUP($B54,'[2]Analisys QBR By Machine Report'!$C$109:$BD$166,50,FALSE)</f>
        <v>0</v>
      </c>
      <c r="BD54" s="13">
        <f ca="1">VLOOKUP($B54,'[2]Analisys QBR By Machine Report'!$C$109:$BD$166,51,FALSE)</f>
        <v>754</v>
      </c>
      <c r="BE54" s="13">
        <f ca="1">VLOOKUP($B54,'[2]Analisys QBR By Machine Report'!$C$109:$BD$166,52,FALSE)</f>
        <v>0</v>
      </c>
      <c r="BF54" s="13">
        <f ca="1">VLOOKUP($B54,'[2]Analisys QBR By Machine Report'!$C$109:$BD$166,53,FALSE)</f>
        <v>754</v>
      </c>
    </row>
    <row r="55" spans="1:58" x14ac:dyDescent="0.25">
      <c r="A55" s="12" t="s">
        <v>111</v>
      </c>
      <c r="B55" s="13">
        <f ca="1">VLOOKUP($B55,'[2]Analisys QBR By Machine Report'!$C$109:$BD$166,2,FALSE)</f>
        <v>33120</v>
      </c>
      <c r="C55" s="14">
        <f ca="1">VLOOKUP($B55,[2]Dasboard_QBR_Report!$B$109:$BL$166,3,FALSE)</f>
        <v>21390</v>
      </c>
      <c r="D55" s="13">
        <f ca="1">VLOOKUP($B55,'[2]Analisys QBR By Machine Report'!$C$109:$BD$166,3,FALSE)</f>
        <v>23760</v>
      </c>
      <c r="E55" s="14">
        <f ca="1">VLOOKUP($B55,[2]Dasboard_QBR_Report!$B$109:$BL$166,5,FALSE)</f>
        <v>12030</v>
      </c>
      <c r="F55" s="13">
        <f t="shared" ca="1" si="0"/>
        <v>9360</v>
      </c>
      <c r="G55" s="13">
        <f t="shared" ca="1" si="1"/>
        <v>1248</v>
      </c>
      <c r="H55" s="13">
        <f ca="1">VLOOKUP($B55,'[2]Analisys QBR By Machine Report'!$C$109:$BD$166,4,FALSE)</f>
        <v>1248</v>
      </c>
      <c r="I55" s="13">
        <f ca="1">VLOOKUP($B55,'[2]Analisys QBR By Machine Report'!$C$109:$BD$166,5,FALSE)</f>
        <v>829</v>
      </c>
      <c r="J55" s="13">
        <f ca="1">VLOOKUP($B55,'[2]Analisys QBR By Machine Report'!$C$109:$BD$166,6,FALSE)</f>
        <v>419</v>
      </c>
      <c r="K55" s="13">
        <f ca="1">VLOOKUP($B55,'[2]Analisys QBR By Machine Report'!$C$109:$BD$166,7,FALSE)</f>
        <v>0</v>
      </c>
      <c r="L55" s="13">
        <f ca="1">VLOOKUP($B55,'[2]Analisys QBR By Machine Report'!$C$109:$BD$166,8,FALSE)</f>
        <v>8112</v>
      </c>
      <c r="M55" s="13">
        <f ca="1">VLOOKUP($B55,'[2]Analisys QBR By Machine Report'!$C$109:$BD$166,9,FALSE)</f>
        <v>2942</v>
      </c>
      <c r="N55" s="13">
        <f ca="1">VLOOKUP($B55,[2]Dasboard_QBR_Report!$B$109:$BL$166,18,FALSE)</f>
        <v>5170</v>
      </c>
      <c r="O55" s="13">
        <f ca="1">VLOOKUP($B55,'[2]Analisys QBR By Machine Report'!$C$109:$BD$166,10,FALSE)</f>
        <v>437</v>
      </c>
      <c r="P55" s="13">
        <f ca="1">VLOOKUP($B55,'[2]Analisys QBR By Machine Report'!$C$109:$BD$166,11,FALSE)</f>
        <v>307</v>
      </c>
      <c r="Q55" s="13">
        <f ca="1">VLOOKUP($B55,'[2]Analisys QBR By Machine Report'!$C$109:$BD$166,12,FALSE)</f>
        <v>0</v>
      </c>
      <c r="R55" s="13">
        <f ca="1">VLOOKUP($B55,'[2]Analisys QBR By Machine Report'!$C$109:$BD$166,13,FALSE)</f>
        <v>130</v>
      </c>
      <c r="S55" s="13">
        <f ca="1">VLOOKUP($B55,'[2]Analisys QBR By Machine Report'!$C$109:$BD$166,14,FALSE)</f>
        <v>0</v>
      </c>
      <c r="T55" s="13">
        <f ca="1">VLOOKUP($B55,'[2]Analisys QBR By Machine Report'!$C$109:$BD$166,15,FALSE)</f>
        <v>0</v>
      </c>
      <c r="U55" s="13">
        <f ca="1">VLOOKUP($B55,'[2]Analisys QBR By Machine Report'!$C$109:$BD$166,16,FALSE)</f>
        <v>0</v>
      </c>
      <c r="V55" s="13">
        <f ca="1">VLOOKUP($B55,'[2]Analisys QBR By Machine Report'!$C$109:$BD$166,17,FALSE)</f>
        <v>0</v>
      </c>
      <c r="W55" s="13">
        <f ca="1">VLOOKUP($B55,'[2]Analisys QBR By Machine Report'!$C$109:$BD$166,18,FALSE)</f>
        <v>0</v>
      </c>
      <c r="X55" s="13">
        <f ca="1">VLOOKUP($B55,'[2]Analisys QBR By Machine Report'!$C$109:$BD$166,19,FALSE)</f>
        <v>0</v>
      </c>
      <c r="Y55" s="13">
        <f ca="1">VLOOKUP($B55,'[2]Analisys QBR By Machine Report'!$C$109:$BD$166,20,FALSE)</f>
        <v>0</v>
      </c>
      <c r="Z55" s="13">
        <f ca="1">VLOOKUP($B55,'[2]Analisys QBR By Machine Report'!$C$109:$BD$166,21,FALSE)</f>
        <v>1252</v>
      </c>
      <c r="AA55" s="13">
        <f ca="1">VLOOKUP($B55,'[2]Analisys QBR By Machine Report'!$C$109:$BD$166,22,FALSE)</f>
        <v>987</v>
      </c>
      <c r="AB55" s="13">
        <f ca="1">VLOOKUP($B55,'[2]Analisys QBR By Machine Report'!$C$109:$BD$166,23,FALSE)</f>
        <v>265</v>
      </c>
      <c r="AC55" s="13">
        <f ca="1">VLOOKUP($B55,'[2]Analisys QBR By Machine Report'!$C$109:$BD$166,24,FALSE)</f>
        <v>0</v>
      </c>
      <c r="AD55" s="13">
        <f ca="1">VLOOKUP($B55,'[2]Analisys QBR By Machine Report'!$C$109:$BD$166,25,FALSE)</f>
        <v>0</v>
      </c>
      <c r="AE55" s="13">
        <f ca="1">VLOOKUP($B55,'[2]Analisys QBR By Machine Report'!$C$109:$BD$166,26,FALSE)</f>
        <v>0</v>
      </c>
      <c r="AF55" s="13">
        <f ca="1">VLOOKUP($B55,'[2]Analisys QBR By Machine Report'!$C$109:$BD$166,27,FALSE)</f>
        <v>0</v>
      </c>
      <c r="AG55" s="13">
        <f ca="1">VLOOKUP($B55,'[2]Analisys QBR By Machine Report'!$C$109:$BD$166,28,FALSE)</f>
        <v>0</v>
      </c>
      <c r="AH55" s="13">
        <f ca="1">VLOOKUP($B55,'[2]Analisys QBR By Machine Report'!$C$109:$BD$166,29,FALSE)</f>
        <v>0</v>
      </c>
      <c r="AI55" s="13">
        <f ca="1">VLOOKUP($B55,'[2]Analisys QBR By Machine Report'!$C$109:$BD$166,30,FALSE)</f>
        <v>3481</v>
      </c>
      <c r="AJ55" s="13">
        <f ca="1">VLOOKUP($B55,'[2]Analisys QBR By Machine Report'!$C$109:$BD$166,31,FALSE)</f>
        <v>0</v>
      </c>
      <c r="AK55" s="13">
        <f ca="1">VLOOKUP($B55,'[2]Analisys QBR By Machine Report'!$C$109:$BD$166,32,FALSE)</f>
        <v>0</v>
      </c>
      <c r="AL55" s="13">
        <f ca="1">VLOOKUP($B55,'[2]Analisys QBR By Machine Report'!$C$109:$BD$166,33,FALSE)</f>
        <v>0</v>
      </c>
      <c r="AM55" s="13">
        <f ca="1">VLOOKUP($B55,'[2]Analisys QBR By Machine Report'!$C$109:$BD$166,34,FALSE)</f>
        <v>0</v>
      </c>
      <c r="AN55" s="13">
        <f ca="1">VLOOKUP($B55,'[2]Analisys QBR By Machine Report'!$C$109:$BD$166,35,FALSE)</f>
        <v>0</v>
      </c>
      <c r="AO55" s="13">
        <f ca="1">VLOOKUP($B55,'[2]Analisys QBR By Machine Report'!$C$109:$BD$166,36,FALSE)</f>
        <v>0</v>
      </c>
      <c r="AP55" s="13">
        <f ca="1">VLOOKUP($B55,'[2]Analisys QBR By Machine Report'!$C$109:$BD$166,37,FALSE)</f>
        <v>0</v>
      </c>
      <c r="AQ55" s="13">
        <f ca="1">VLOOKUP($B55,'[2]Analisys QBR By Machine Report'!$C$109:$BD$166,38,FALSE)</f>
        <v>90</v>
      </c>
      <c r="AR55" s="13">
        <f ca="1">VLOOKUP($B55,'[2]Analisys QBR By Machine Report'!$C$109:$BD$166,39,FALSE)</f>
        <v>3391</v>
      </c>
      <c r="AS55" s="13">
        <f ca="1">VLOOKUP($B55,'[2]Analisys QBR By Machine Report'!$C$109:$BD$166,40,FALSE)</f>
        <v>0</v>
      </c>
      <c r="AT55" s="13">
        <f ca="1">VLOOKUP($B55,'[2]Analisys QBR By Machine Report'!$C$109:$BD$166,41,FALSE)</f>
        <v>0</v>
      </c>
      <c r="AU55" s="13">
        <f ca="1">VLOOKUP($B55,'[2]Analisys QBR By Machine Report'!$C$109:$BD$166,42,FALSE)</f>
        <v>0</v>
      </c>
      <c r="AV55" s="13">
        <f ca="1">VLOOKUP($B55,'[2]Analisys QBR By Machine Report'!$C$109:$BD$166,43,FALSE)</f>
        <v>0</v>
      </c>
      <c r="AW55" s="13">
        <f ca="1">VLOOKUP($B55,'[2]Analisys QBR By Machine Report'!$C$109:$BD$166,44,FALSE)</f>
        <v>0</v>
      </c>
      <c r="AX55" s="13">
        <f ca="1">VLOOKUP($B55,'[2]Analisys QBR By Machine Report'!$C$109:$BD$166,45,FALSE)</f>
        <v>0</v>
      </c>
      <c r="AY55" s="13">
        <f ca="1">VLOOKUP($B55,'[2]Analisys QBR By Machine Report'!$C$109:$BD$166,46,FALSE)</f>
        <v>0</v>
      </c>
      <c r="AZ55" s="13">
        <f ca="1">VLOOKUP($B55,'[2]Analisys QBR By Machine Report'!$C$109:$BD$166,47,FALSE)</f>
        <v>0</v>
      </c>
      <c r="BA55" s="13">
        <f ca="1">VLOOKUP($B55,'[2]Analisys QBR By Machine Report'!$C$109:$BD$166,48,FALSE)</f>
        <v>0</v>
      </c>
      <c r="BB55" s="13">
        <f ca="1">VLOOKUP($B55,'[2]Analisys QBR By Machine Report'!$C$109:$BD$166,49,FALSE)</f>
        <v>0</v>
      </c>
      <c r="BC55" s="13">
        <f ca="1">VLOOKUP($B55,'[2]Analisys QBR By Machine Report'!$C$109:$BD$166,50,FALSE)</f>
        <v>0</v>
      </c>
      <c r="BD55" s="13">
        <f ca="1">VLOOKUP($B55,'[2]Analisys QBR By Machine Report'!$C$109:$BD$166,51,FALSE)</f>
        <v>239</v>
      </c>
      <c r="BE55" s="13">
        <f ca="1">VLOOKUP($B55,'[2]Analisys QBR By Machine Report'!$C$109:$BD$166,52,FALSE)</f>
        <v>0</v>
      </c>
      <c r="BF55" s="13">
        <f ca="1">VLOOKUP($B55,'[2]Analisys QBR By Machine Report'!$C$109:$BD$166,53,FALSE)</f>
        <v>239</v>
      </c>
    </row>
    <row r="56" spans="1:58" x14ac:dyDescent="0.25">
      <c r="A56" s="9" t="s">
        <v>112</v>
      </c>
      <c r="B56" s="10">
        <f ca="1">VLOOKUP($B56,'[2]Analisys QBR By Machine Report'!$C$109:$BD$166,2,FALSE)</f>
        <v>60480</v>
      </c>
      <c r="C56" s="11">
        <f ca="1">VLOOKUP($B56,[2]Dasboard_QBR_Report!$B$109:$BL$166,3,FALSE)</f>
        <v>20160</v>
      </c>
      <c r="D56" s="10">
        <f ca="1">VLOOKUP($B56,'[2]Analisys QBR By Machine Report'!$C$109:$BD$166,3,FALSE)</f>
        <v>39450</v>
      </c>
      <c r="E56" s="11">
        <f ca="1">VLOOKUP($B56,[2]Dasboard_QBR_Report!$B$109:$BL$166,5,FALSE)</f>
        <v>-870</v>
      </c>
      <c r="F56" s="10">
        <f t="shared" ca="1" si="0"/>
        <v>21030</v>
      </c>
      <c r="G56" s="10">
        <f t="shared" ca="1" si="1"/>
        <v>3300</v>
      </c>
      <c r="H56" s="10">
        <f ca="1">VLOOKUP($B56,'[2]Analisys QBR By Machine Report'!$C$109:$BD$166,4,FALSE)</f>
        <v>3300</v>
      </c>
      <c r="I56" s="10">
        <f ca="1">VLOOKUP($B56,'[2]Analisys QBR By Machine Report'!$C$109:$BD$166,5,FALSE)</f>
        <v>945</v>
      </c>
      <c r="J56" s="10">
        <f ca="1">VLOOKUP($B56,'[2]Analisys QBR By Machine Report'!$C$109:$BD$166,6,FALSE)</f>
        <v>2355</v>
      </c>
      <c r="K56" s="10">
        <f ca="1">VLOOKUP($B56,'[2]Analisys QBR By Machine Report'!$C$109:$BD$166,7,FALSE)</f>
        <v>0</v>
      </c>
      <c r="L56" s="10">
        <f ca="1">VLOOKUP($B56,'[2]Analisys QBR By Machine Report'!$C$109:$BD$166,8,FALSE)</f>
        <v>17730</v>
      </c>
      <c r="M56" s="10">
        <f ca="1">VLOOKUP($B56,'[2]Analisys QBR By Machine Report'!$C$109:$BD$166,9,FALSE)</f>
        <v>7468</v>
      </c>
      <c r="N56" s="10">
        <f ca="1">VLOOKUP($B56,[2]Dasboard_QBR_Report!$B$109:$BL$166,18,FALSE)</f>
        <v>10262</v>
      </c>
      <c r="O56" s="10">
        <f ca="1">VLOOKUP($B56,'[2]Analisys QBR By Machine Report'!$C$109:$BD$166,10,FALSE)</f>
        <v>3418</v>
      </c>
      <c r="P56" s="10">
        <f ca="1">VLOOKUP($B56,'[2]Analisys QBR By Machine Report'!$C$109:$BD$166,11,FALSE)</f>
        <v>2108</v>
      </c>
      <c r="Q56" s="10">
        <f ca="1">VLOOKUP($B56,'[2]Analisys QBR By Machine Report'!$C$109:$BD$166,12,FALSE)</f>
        <v>160</v>
      </c>
      <c r="R56" s="10">
        <f ca="1">VLOOKUP($B56,'[2]Analisys QBR By Machine Report'!$C$109:$BD$166,13,FALSE)</f>
        <v>300</v>
      </c>
      <c r="S56" s="10">
        <f ca="1">VLOOKUP($B56,'[2]Analisys QBR By Machine Report'!$C$109:$BD$166,14,FALSE)</f>
        <v>850</v>
      </c>
      <c r="T56" s="10">
        <f ca="1">VLOOKUP($B56,'[2]Analisys QBR By Machine Report'!$C$109:$BD$166,15,FALSE)</f>
        <v>0</v>
      </c>
      <c r="U56" s="10">
        <f ca="1">VLOOKUP($B56,'[2]Analisys QBR By Machine Report'!$C$109:$BD$166,16,FALSE)</f>
        <v>0</v>
      </c>
      <c r="V56" s="10">
        <f ca="1">VLOOKUP($B56,'[2]Analisys QBR By Machine Report'!$C$109:$BD$166,17,FALSE)</f>
        <v>0</v>
      </c>
      <c r="W56" s="10">
        <f ca="1">VLOOKUP($B56,'[2]Analisys QBR By Machine Report'!$C$109:$BD$166,18,FALSE)</f>
        <v>0</v>
      </c>
      <c r="X56" s="10">
        <f ca="1">VLOOKUP($B56,'[2]Analisys QBR By Machine Report'!$C$109:$BD$166,19,FALSE)</f>
        <v>0</v>
      </c>
      <c r="Y56" s="10">
        <f ca="1">VLOOKUP($B56,'[2]Analisys QBR By Machine Report'!$C$109:$BD$166,20,FALSE)</f>
        <v>0</v>
      </c>
      <c r="Z56" s="10">
        <f ca="1">VLOOKUP($B56,'[2]Analisys QBR By Machine Report'!$C$109:$BD$166,21,FALSE)</f>
        <v>3177</v>
      </c>
      <c r="AA56" s="10">
        <f ca="1">VLOOKUP($B56,'[2]Analisys QBR By Machine Report'!$C$109:$BD$166,22,FALSE)</f>
        <v>1707</v>
      </c>
      <c r="AB56" s="10">
        <f ca="1">VLOOKUP($B56,'[2]Analisys QBR By Machine Report'!$C$109:$BD$166,23,FALSE)</f>
        <v>820</v>
      </c>
      <c r="AC56" s="10">
        <f ca="1">VLOOKUP($B56,'[2]Analisys QBR By Machine Report'!$C$109:$BD$166,24,FALSE)</f>
        <v>440</v>
      </c>
      <c r="AD56" s="10">
        <f ca="1">VLOOKUP($B56,'[2]Analisys QBR By Machine Report'!$C$109:$BD$166,25,FALSE)</f>
        <v>0</v>
      </c>
      <c r="AE56" s="10">
        <f ca="1">VLOOKUP($B56,'[2]Analisys QBR By Machine Report'!$C$109:$BD$166,26,FALSE)</f>
        <v>210</v>
      </c>
      <c r="AF56" s="10">
        <f ca="1">VLOOKUP($B56,'[2]Analisys QBR By Machine Report'!$C$109:$BD$166,27,FALSE)</f>
        <v>0</v>
      </c>
      <c r="AG56" s="10">
        <f ca="1">VLOOKUP($B56,'[2]Analisys QBR By Machine Report'!$C$109:$BD$166,28,FALSE)</f>
        <v>0</v>
      </c>
      <c r="AH56" s="10">
        <f ca="1">VLOOKUP($B56,'[2]Analisys QBR By Machine Report'!$C$109:$BD$166,29,FALSE)</f>
        <v>0</v>
      </c>
      <c r="AI56" s="10">
        <f ca="1">VLOOKUP($B56,'[2]Analisys QBR By Machine Report'!$C$109:$BD$166,30,FALSE)</f>
        <v>3667</v>
      </c>
      <c r="AJ56" s="10">
        <f ca="1">VLOOKUP($B56,'[2]Analisys QBR By Machine Report'!$C$109:$BD$166,31,FALSE)</f>
        <v>0</v>
      </c>
      <c r="AK56" s="10">
        <f ca="1">VLOOKUP($B56,'[2]Analisys QBR By Machine Report'!$C$109:$BD$166,32,FALSE)</f>
        <v>0</v>
      </c>
      <c r="AL56" s="10">
        <f ca="1">VLOOKUP($B56,'[2]Analisys QBR By Machine Report'!$C$109:$BD$166,33,FALSE)</f>
        <v>1115</v>
      </c>
      <c r="AM56" s="10">
        <f ca="1">VLOOKUP($B56,'[2]Analisys QBR By Machine Report'!$C$109:$BD$166,34,FALSE)</f>
        <v>0</v>
      </c>
      <c r="AN56" s="10">
        <f ca="1">VLOOKUP($B56,'[2]Analisys QBR By Machine Report'!$C$109:$BD$166,35,FALSE)</f>
        <v>725</v>
      </c>
      <c r="AO56" s="10">
        <f ca="1">VLOOKUP($B56,'[2]Analisys QBR By Machine Report'!$C$109:$BD$166,36,FALSE)</f>
        <v>570</v>
      </c>
      <c r="AP56" s="10">
        <f ca="1">VLOOKUP($B56,'[2]Analisys QBR By Machine Report'!$C$109:$BD$166,37,FALSE)</f>
        <v>0</v>
      </c>
      <c r="AQ56" s="10">
        <f ca="1">VLOOKUP($B56,'[2]Analisys QBR By Machine Report'!$C$109:$BD$166,38,FALSE)</f>
        <v>0</v>
      </c>
      <c r="AR56" s="10">
        <f ca="1">VLOOKUP($B56,'[2]Analisys QBR By Machine Report'!$C$109:$BD$166,39,FALSE)</f>
        <v>145</v>
      </c>
      <c r="AS56" s="10">
        <f ca="1">VLOOKUP($B56,'[2]Analisys QBR By Machine Report'!$C$109:$BD$166,40,FALSE)</f>
        <v>440</v>
      </c>
      <c r="AT56" s="10">
        <f ca="1">VLOOKUP($B56,'[2]Analisys QBR By Machine Report'!$C$109:$BD$166,41,FALSE)</f>
        <v>0</v>
      </c>
      <c r="AU56" s="10">
        <f ca="1">VLOOKUP($B56,'[2]Analisys QBR By Machine Report'!$C$109:$BD$166,42,FALSE)</f>
        <v>0</v>
      </c>
      <c r="AV56" s="10">
        <f ca="1">VLOOKUP($B56,'[2]Analisys QBR By Machine Report'!$C$109:$BD$166,43,FALSE)</f>
        <v>0</v>
      </c>
      <c r="AW56" s="10">
        <f ca="1">VLOOKUP($B56,'[2]Analisys QBR By Machine Report'!$C$109:$BD$166,44,FALSE)</f>
        <v>0</v>
      </c>
      <c r="AX56" s="10">
        <f ca="1">VLOOKUP($B56,'[2]Analisys QBR By Machine Report'!$C$109:$BD$166,45,FALSE)</f>
        <v>0</v>
      </c>
      <c r="AY56" s="10">
        <f ca="1">VLOOKUP($B56,'[2]Analisys QBR By Machine Report'!$C$109:$BD$166,46,FALSE)</f>
        <v>0</v>
      </c>
      <c r="AZ56" s="10">
        <f ca="1">VLOOKUP($B56,'[2]Analisys QBR By Machine Report'!$C$109:$BD$166,47,FALSE)</f>
        <v>592</v>
      </c>
      <c r="BA56" s="10">
        <f ca="1">VLOOKUP($B56,'[2]Analisys QBR By Machine Report'!$C$109:$BD$166,48,FALSE)</f>
        <v>80</v>
      </c>
      <c r="BB56" s="10">
        <f ca="1">VLOOKUP($B56,'[2]Analisys QBR By Machine Report'!$C$109:$BD$166,49,FALSE)</f>
        <v>0</v>
      </c>
      <c r="BC56" s="10">
        <f ca="1">VLOOKUP($B56,'[2]Analisys QBR By Machine Report'!$C$109:$BD$166,50,FALSE)</f>
        <v>0</v>
      </c>
      <c r="BD56" s="10">
        <f ca="1">VLOOKUP($B56,'[2]Analisys QBR By Machine Report'!$C$109:$BD$166,51,FALSE)</f>
        <v>882334</v>
      </c>
      <c r="BE56" s="10">
        <f ca="1">VLOOKUP($B56,'[2]Analisys QBR By Machine Report'!$C$109:$BD$166,52,FALSE)</f>
        <v>597</v>
      </c>
      <c r="BF56" s="10">
        <f ca="1">VLOOKUP($B56,'[2]Analisys QBR By Machine Report'!$C$109:$BD$166,53,FALSE)</f>
        <v>881737</v>
      </c>
    </row>
    <row r="57" spans="1:58" x14ac:dyDescent="0.25">
      <c r="A57" s="15" t="s">
        <v>113</v>
      </c>
      <c r="B57" s="13">
        <f ca="1">VLOOKUP($B57,'[2]Analisys QBR By Machine Report'!$C$109:$BD$166,2,FALSE)</f>
        <v>30240</v>
      </c>
      <c r="C57" s="14">
        <f ca="1">VLOOKUP($B57,[2]Dasboard_QBR_Report!$B$109:$BL$166,3,FALSE)</f>
        <v>10080</v>
      </c>
      <c r="D57" s="13">
        <f ca="1">VLOOKUP($B57,'[2]Analisys QBR By Machine Report'!$C$109:$BD$166,3,FALSE)</f>
        <v>16860</v>
      </c>
      <c r="E57" s="14">
        <f ca="1">VLOOKUP($B57,[2]Dasboard_QBR_Report!$B$109:$BL$166,5,FALSE)</f>
        <v>-3300</v>
      </c>
      <c r="F57" s="13">
        <f t="shared" ca="1" si="0"/>
        <v>13380</v>
      </c>
      <c r="G57" s="13">
        <f t="shared" ca="1" si="1"/>
        <v>1540</v>
      </c>
      <c r="H57" s="13">
        <f ca="1">VLOOKUP($B57,'[2]Analisys QBR By Machine Report'!$C$109:$BD$166,4,FALSE)</f>
        <v>1540</v>
      </c>
      <c r="I57" s="13">
        <f ca="1">VLOOKUP($B57,'[2]Analisys QBR By Machine Report'!$C$109:$BD$166,5,FALSE)</f>
        <v>485</v>
      </c>
      <c r="J57" s="13">
        <f ca="1">VLOOKUP($B57,'[2]Analisys QBR By Machine Report'!$C$109:$BD$166,6,FALSE)</f>
        <v>1055</v>
      </c>
      <c r="K57" s="13">
        <f ca="1">VLOOKUP($B57,'[2]Analisys QBR By Machine Report'!$C$109:$BD$166,7,FALSE)</f>
        <v>0</v>
      </c>
      <c r="L57" s="13">
        <f ca="1">VLOOKUP($B57,'[2]Analisys QBR By Machine Report'!$C$109:$BD$166,8,FALSE)</f>
        <v>11840</v>
      </c>
      <c r="M57" s="13">
        <f ca="1">VLOOKUP($B57,'[2]Analisys QBR By Machine Report'!$C$109:$BD$166,9,FALSE)</f>
        <v>3773</v>
      </c>
      <c r="N57" s="13">
        <f ca="1">VLOOKUP($B57,[2]Dasboard_QBR_Report!$B$109:$BL$166,18,FALSE)</f>
        <v>8067</v>
      </c>
      <c r="O57" s="13">
        <f ca="1">VLOOKUP($B57,'[2]Analisys QBR By Machine Report'!$C$109:$BD$166,10,FALSE)</f>
        <v>3220</v>
      </c>
      <c r="P57" s="13">
        <f ca="1">VLOOKUP($B57,'[2]Analisys QBR By Machine Report'!$C$109:$BD$166,11,FALSE)</f>
        <v>1910</v>
      </c>
      <c r="Q57" s="13">
        <f ca="1">VLOOKUP($B57,'[2]Analisys QBR By Machine Report'!$C$109:$BD$166,12,FALSE)</f>
        <v>160</v>
      </c>
      <c r="R57" s="13">
        <f ca="1">VLOOKUP($B57,'[2]Analisys QBR By Machine Report'!$C$109:$BD$166,13,FALSE)</f>
        <v>300</v>
      </c>
      <c r="S57" s="13">
        <f ca="1">VLOOKUP($B57,'[2]Analisys QBR By Machine Report'!$C$109:$BD$166,14,FALSE)</f>
        <v>850</v>
      </c>
      <c r="T57" s="13">
        <f ca="1">VLOOKUP($B57,'[2]Analisys QBR By Machine Report'!$C$109:$BD$166,15,FALSE)</f>
        <v>0</v>
      </c>
      <c r="U57" s="13">
        <f ca="1">VLOOKUP($B57,'[2]Analisys QBR By Machine Report'!$C$109:$BD$166,16,FALSE)</f>
        <v>0</v>
      </c>
      <c r="V57" s="13">
        <f ca="1">VLOOKUP($B57,'[2]Analisys QBR By Machine Report'!$C$109:$BD$166,17,FALSE)</f>
        <v>0</v>
      </c>
      <c r="W57" s="13">
        <f ca="1">VLOOKUP($B57,'[2]Analisys QBR By Machine Report'!$C$109:$BD$166,18,FALSE)</f>
        <v>0</v>
      </c>
      <c r="X57" s="13">
        <f ca="1">VLOOKUP($B57,'[2]Analisys QBR By Machine Report'!$C$109:$BD$166,19,FALSE)</f>
        <v>0</v>
      </c>
      <c r="Y57" s="13">
        <f ca="1">VLOOKUP($B57,'[2]Analisys QBR By Machine Report'!$C$109:$BD$166,20,FALSE)</f>
        <v>0</v>
      </c>
      <c r="Z57" s="13">
        <f ca="1">VLOOKUP($B57,'[2]Analisys QBR By Machine Report'!$C$109:$BD$166,21,FALSE)</f>
        <v>2827</v>
      </c>
      <c r="AA57" s="13">
        <f ca="1">VLOOKUP($B57,'[2]Analisys QBR By Machine Report'!$C$109:$BD$166,22,FALSE)</f>
        <v>1707</v>
      </c>
      <c r="AB57" s="13">
        <f ca="1">VLOOKUP($B57,'[2]Analisys QBR By Machine Report'!$C$109:$BD$166,23,FALSE)</f>
        <v>680</v>
      </c>
      <c r="AC57" s="13">
        <f ca="1">VLOOKUP($B57,'[2]Analisys QBR By Machine Report'!$C$109:$BD$166,24,FALSE)</f>
        <v>440</v>
      </c>
      <c r="AD57" s="13">
        <f ca="1">VLOOKUP($B57,'[2]Analisys QBR By Machine Report'!$C$109:$BD$166,25,FALSE)</f>
        <v>0</v>
      </c>
      <c r="AE57" s="13">
        <f ca="1">VLOOKUP($B57,'[2]Analisys QBR By Machine Report'!$C$109:$BD$166,26,FALSE)</f>
        <v>0</v>
      </c>
      <c r="AF57" s="13">
        <f ca="1">VLOOKUP($B57,'[2]Analisys QBR By Machine Report'!$C$109:$BD$166,27,FALSE)</f>
        <v>0</v>
      </c>
      <c r="AG57" s="13">
        <f ca="1">VLOOKUP($B57,'[2]Analisys QBR By Machine Report'!$C$109:$BD$166,28,FALSE)</f>
        <v>0</v>
      </c>
      <c r="AH57" s="13">
        <f ca="1">VLOOKUP($B57,'[2]Analisys QBR By Machine Report'!$C$109:$BD$166,29,FALSE)</f>
        <v>0</v>
      </c>
      <c r="AI57" s="13">
        <f ca="1">VLOOKUP($B57,'[2]Analisys QBR By Machine Report'!$C$109:$BD$166,30,FALSE)</f>
        <v>2020</v>
      </c>
      <c r="AJ57" s="13">
        <f ca="1">VLOOKUP($B57,'[2]Analisys QBR By Machine Report'!$C$109:$BD$166,31,FALSE)</f>
        <v>0</v>
      </c>
      <c r="AK57" s="13">
        <f ca="1">VLOOKUP($B57,'[2]Analisys QBR By Machine Report'!$C$109:$BD$166,32,FALSE)</f>
        <v>0</v>
      </c>
      <c r="AL57" s="13">
        <f ca="1">VLOOKUP($B57,'[2]Analisys QBR By Machine Report'!$C$109:$BD$166,33,FALSE)</f>
        <v>755</v>
      </c>
      <c r="AM57" s="13">
        <f ca="1">VLOOKUP($B57,'[2]Analisys QBR By Machine Report'!$C$109:$BD$166,34,FALSE)</f>
        <v>0</v>
      </c>
      <c r="AN57" s="13">
        <f ca="1">VLOOKUP($B57,'[2]Analisys QBR By Machine Report'!$C$109:$BD$166,35,FALSE)</f>
        <v>550</v>
      </c>
      <c r="AO57" s="13">
        <f ca="1">VLOOKUP($B57,'[2]Analisys QBR By Machine Report'!$C$109:$BD$166,36,FALSE)</f>
        <v>0</v>
      </c>
      <c r="AP57" s="13">
        <f ca="1">VLOOKUP($B57,'[2]Analisys QBR By Machine Report'!$C$109:$BD$166,37,FALSE)</f>
        <v>0</v>
      </c>
      <c r="AQ57" s="13">
        <f ca="1">VLOOKUP($B57,'[2]Analisys QBR By Machine Report'!$C$109:$BD$166,38,FALSE)</f>
        <v>0</v>
      </c>
      <c r="AR57" s="13">
        <f ca="1">VLOOKUP($B57,'[2]Analisys QBR By Machine Report'!$C$109:$BD$166,39,FALSE)</f>
        <v>0</v>
      </c>
      <c r="AS57" s="13">
        <f ca="1">VLOOKUP($B57,'[2]Analisys QBR By Machine Report'!$C$109:$BD$166,40,FALSE)</f>
        <v>295</v>
      </c>
      <c r="AT57" s="13">
        <f ca="1">VLOOKUP($B57,'[2]Analisys QBR By Machine Report'!$C$109:$BD$166,41,FALSE)</f>
        <v>0</v>
      </c>
      <c r="AU57" s="13">
        <f ca="1">VLOOKUP($B57,'[2]Analisys QBR By Machine Report'!$C$109:$BD$166,42,FALSE)</f>
        <v>0</v>
      </c>
      <c r="AV57" s="13">
        <f ca="1">VLOOKUP($B57,'[2]Analisys QBR By Machine Report'!$C$109:$BD$166,43,FALSE)</f>
        <v>0</v>
      </c>
      <c r="AW57" s="13">
        <f ca="1">VLOOKUP($B57,'[2]Analisys QBR By Machine Report'!$C$109:$BD$166,44,FALSE)</f>
        <v>0</v>
      </c>
      <c r="AX57" s="13">
        <f ca="1">VLOOKUP($B57,'[2]Analisys QBR By Machine Report'!$C$109:$BD$166,45,FALSE)</f>
        <v>0</v>
      </c>
      <c r="AY57" s="13">
        <f ca="1">VLOOKUP($B57,'[2]Analisys QBR By Machine Report'!$C$109:$BD$166,46,FALSE)</f>
        <v>0</v>
      </c>
      <c r="AZ57" s="13">
        <f ca="1">VLOOKUP($B57,'[2]Analisys QBR By Machine Report'!$C$109:$BD$166,47,FALSE)</f>
        <v>340</v>
      </c>
      <c r="BA57" s="13">
        <f ca="1">VLOOKUP($B57,'[2]Analisys QBR By Machine Report'!$C$109:$BD$166,48,FALSE)</f>
        <v>80</v>
      </c>
      <c r="BB57" s="13">
        <f ca="1">VLOOKUP($B57,'[2]Analisys QBR By Machine Report'!$C$109:$BD$166,49,FALSE)</f>
        <v>0</v>
      </c>
      <c r="BC57" s="13">
        <f ca="1">VLOOKUP($B57,'[2]Analisys QBR By Machine Report'!$C$109:$BD$166,50,FALSE)</f>
        <v>0</v>
      </c>
      <c r="BD57" s="13">
        <f ca="1">VLOOKUP($B57,'[2]Analisys QBR By Machine Report'!$C$109:$BD$166,51,FALSE)</f>
        <v>760624</v>
      </c>
      <c r="BE57" s="13">
        <f ca="1">VLOOKUP($B57,'[2]Analisys QBR By Machine Report'!$C$109:$BD$166,52,FALSE)</f>
        <v>237</v>
      </c>
      <c r="BF57" s="13">
        <f ca="1">VLOOKUP($B57,'[2]Analisys QBR By Machine Report'!$C$109:$BD$166,53,FALSE)</f>
        <v>760387</v>
      </c>
    </row>
    <row r="58" spans="1:58" x14ac:dyDescent="0.25">
      <c r="A58" s="15" t="s">
        <v>114</v>
      </c>
      <c r="B58" s="13">
        <f ca="1">VLOOKUP($B58,'[2]Analisys QBR By Machine Report'!$C$109:$BD$166,2,FALSE)</f>
        <v>30240</v>
      </c>
      <c r="C58" s="14">
        <f ca="1">VLOOKUP($B58,[2]Dasboard_QBR_Report!$B$109:$BL$166,3,FALSE)</f>
        <v>10080</v>
      </c>
      <c r="D58" s="13">
        <f ca="1">VLOOKUP($B58,'[2]Analisys QBR By Machine Report'!$C$109:$BD$166,3,FALSE)</f>
        <v>22590</v>
      </c>
      <c r="E58" s="14">
        <f ca="1">VLOOKUP($B58,[2]Dasboard_QBR_Report!$B$109:$BL$166,5,FALSE)</f>
        <v>2430</v>
      </c>
      <c r="F58" s="13">
        <f t="shared" ca="1" si="0"/>
        <v>7650</v>
      </c>
      <c r="G58" s="13">
        <f t="shared" ca="1" si="1"/>
        <v>1760</v>
      </c>
      <c r="H58" s="13">
        <f ca="1">VLOOKUP($B58,'[2]Analisys QBR By Machine Report'!$C$109:$BD$166,4,FALSE)</f>
        <v>1760</v>
      </c>
      <c r="I58" s="13">
        <f ca="1">VLOOKUP($B58,'[2]Analisys QBR By Machine Report'!$C$109:$BD$166,5,FALSE)</f>
        <v>460</v>
      </c>
      <c r="J58" s="13">
        <f ca="1">VLOOKUP($B58,'[2]Analisys QBR By Machine Report'!$C$109:$BD$166,6,FALSE)</f>
        <v>1300</v>
      </c>
      <c r="K58" s="13">
        <f ca="1">VLOOKUP($B58,'[2]Analisys QBR By Machine Report'!$C$109:$BD$166,7,FALSE)</f>
        <v>0</v>
      </c>
      <c r="L58" s="13">
        <f ca="1">VLOOKUP($B58,'[2]Analisys QBR By Machine Report'!$C$109:$BD$166,8,FALSE)</f>
        <v>5890</v>
      </c>
      <c r="M58" s="13">
        <f ca="1">VLOOKUP($B58,'[2]Analisys QBR By Machine Report'!$C$109:$BD$166,9,FALSE)</f>
        <v>3695</v>
      </c>
      <c r="N58" s="13">
        <f ca="1">VLOOKUP($B58,[2]Dasboard_QBR_Report!$B$109:$BL$166,18,FALSE)</f>
        <v>2195</v>
      </c>
      <c r="O58" s="13">
        <f ca="1">VLOOKUP($B58,'[2]Analisys QBR By Machine Report'!$C$109:$BD$166,10,FALSE)</f>
        <v>198</v>
      </c>
      <c r="P58" s="13">
        <f ca="1">VLOOKUP($B58,'[2]Analisys QBR By Machine Report'!$C$109:$BD$166,11,FALSE)</f>
        <v>198</v>
      </c>
      <c r="Q58" s="13">
        <f ca="1">VLOOKUP($B58,'[2]Analisys QBR By Machine Report'!$C$109:$BD$166,12,FALSE)</f>
        <v>0</v>
      </c>
      <c r="R58" s="13">
        <f ca="1">VLOOKUP($B58,'[2]Analisys QBR By Machine Report'!$C$109:$BD$166,13,FALSE)</f>
        <v>0</v>
      </c>
      <c r="S58" s="13">
        <f ca="1">VLOOKUP($B58,'[2]Analisys QBR By Machine Report'!$C$109:$BD$166,14,FALSE)</f>
        <v>0</v>
      </c>
      <c r="T58" s="13">
        <f ca="1">VLOOKUP($B58,'[2]Analisys QBR By Machine Report'!$C$109:$BD$166,15,FALSE)</f>
        <v>0</v>
      </c>
      <c r="U58" s="13">
        <f ca="1">VLOOKUP($B58,'[2]Analisys QBR By Machine Report'!$C$109:$BD$166,16,FALSE)</f>
        <v>0</v>
      </c>
      <c r="V58" s="13">
        <f ca="1">VLOOKUP($B58,'[2]Analisys QBR By Machine Report'!$C$109:$BD$166,17,FALSE)</f>
        <v>0</v>
      </c>
      <c r="W58" s="13">
        <f ca="1">VLOOKUP($B58,'[2]Analisys QBR By Machine Report'!$C$109:$BD$166,18,FALSE)</f>
        <v>0</v>
      </c>
      <c r="X58" s="13">
        <f ca="1">VLOOKUP($B58,'[2]Analisys QBR By Machine Report'!$C$109:$BD$166,19,FALSE)</f>
        <v>0</v>
      </c>
      <c r="Y58" s="13">
        <f ca="1">VLOOKUP($B58,'[2]Analisys QBR By Machine Report'!$C$109:$BD$166,20,FALSE)</f>
        <v>0</v>
      </c>
      <c r="Z58" s="13">
        <f ca="1">VLOOKUP($B58,'[2]Analisys QBR By Machine Report'!$C$109:$BD$166,21,FALSE)</f>
        <v>350</v>
      </c>
      <c r="AA58" s="13">
        <f ca="1">VLOOKUP($B58,'[2]Analisys QBR By Machine Report'!$C$109:$BD$166,22,FALSE)</f>
        <v>0</v>
      </c>
      <c r="AB58" s="13">
        <f ca="1">VLOOKUP($B58,'[2]Analisys QBR By Machine Report'!$C$109:$BD$166,23,FALSE)</f>
        <v>140</v>
      </c>
      <c r="AC58" s="13">
        <f ca="1">VLOOKUP($B58,'[2]Analisys QBR By Machine Report'!$C$109:$BD$166,24,FALSE)</f>
        <v>0</v>
      </c>
      <c r="AD58" s="13">
        <f ca="1">VLOOKUP($B58,'[2]Analisys QBR By Machine Report'!$C$109:$BD$166,25,FALSE)</f>
        <v>0</v>
      </c>
      <c r="AE58" s="13">
        <f ca="1">VLOOKUP($B58,'[2]Analisys QBR By Machine Report'!$C$109:$BD$166,26,FALSE)</f>
        <v>210</v>
      </c>
      <c r="AF58" s="13">
        <f ca="1">VLOOKUP($B58,'[2]Analisys QBR By Machine Report'!$C$109:$BD$166,27,FALSE)</f>
        <v>0</v>
      </c>
      <c r="AG58" s="13">
        <f ca="1">VLOOKUP($B58,'[2]Analisys QBR By Machine Report'!$C$109:$BD$166,28,FALSE)</f>
        <v>0</v>
      </c>
      <c r="AH58" s="13">
        <f ca="1">VLOOKUP($B58,'[2]Analisys QBR By Machine Report'!$C$109:$BD$166,29,FALSE)</f>
        <v>0</v>
      </c>
      <c r="AI58" s="13">
        <f ca="1">VLOOKUP($B58,'[2]Analisys QBR By Machine Report'!$C$109:$BD$166,30,FALSE)</f>
        <v>1647</v>
      </c>
      <c r="AJ58" s="13">
        <f ca="1">VLOOKUP($B58,'[2]Analisys QBR By Machine Report'!$C$109:$BD$166,31,FALSE)</f>
        <v>0</v>
      </c>
      <c r="AK58" s="13">
        <f ca="1">VLOOKUP($B58,'[2]Analisys QBR By Machine Report'!$C$109:$BD$166,32,FALSE)</f>
        <v>0</v>
      </c>
      <c r="AL58" s="13">
        <f ca="1">VLOOKUP($B58,'[2]Analisys QBR By Machine Report'!$C$109:$BD$166,33,FALSE)</f>
        <v>360</v>
      </c>
      <c r="AM58" s="13">
        <f ca="1">VLOOKUP($B58,'[2]Analisys QBR By Machine Report'!$C$109:$BD$166,34,FALSE)</f>
        <v>0</v>
      </c>
      <c r="AN58" s="13">
        <f ca="1">VLOOKUP($B58,'[2]Analisys QBR By Machine Report'!$C$109:$BD$166,35,FALSE)</f>
        <v>175</v>
      </c>
      <c r="AO58" s="13">
        <f ca="1">VLOOKUP($B58,'[2]Analisys QBR By Machine Report'!$C$109:$BD$166,36,FALSE)</f>
        <v>570</v>
      </c>
      <c r="AP58" s="13">
        <f ca="1">VLOOKUP($B58,'[2]Analisys QBR By Machine Report'!$C$109:$BD$166,37,FALSE)</f>
        <v>0</v>
      </c>
      <c r="AQ58" s="13">
        <f ca="1">VLOOKUP($B58,'[2]Analisys QBR By Machine Report'!$C$109:$BD$166,38,FALSE)</f>
        <v>0</v>
      </c>
      <c r="AR58" s="13">
        <f ca="1">VLOOKUP($B58,'[2]Analisys QBR By Machine Report'!$C$109:$BD$166,39,FALSE)</f>
        <v>145</v>
      </c>
      <c r="AS58" s="13">
        <f ca="1">VLOOKUP($B58,'[2]Analisys QBR By Machine Report'!$C$109:$BD$166,40,FALSE)</f>
        <v>145</v>
      </c>
      <c r="AT58" s="13">
        <f ca="1">VLOOKUP($B58,'[2]Analisys QBR By Machine Report'!$C$109:$BD$166,41,FALSE)</f>
        <v>0</v>
      </c>
      <c r="AU58" s="13">
        <f ca="1">VLOOKUP($B58,'[2]Analisys QBR By Machine Report'!$C$109:$BD$166,42,FALSE)</f>
        <v>0</v>
      </c>
      <c r="AV58" s="13">
        <f ca="1">VLOOKUP($B58,'[2]Analisys QBR By Machine Report'!$C$109:$BD$166,43,FALSE)</f>
        <v>0</v>
      </c>
      <c r="AW58" s="13">
        <f ca="1">VLOOKUP($B58,'[2]Analisys QBR By Machine Report'!$C$109:$BD$166,44,FALSE)</f>
        <v>0</v>
      </c>
      <c r="AX58" s="13">
        <f ca="1">VLOOKUP($B58,'[2]Analisys QBR By Machine Report'!$C$109:$BD$166,45,FALSE)</f>
        <v>0</v>
      </c>
      <c r="AY58" s="13">
        <f ca="1">VLOOKUP($B58,'[2]Analisys QBR By Machine Report'!$C$109:$BD$166,46,FALSE)</f>
        <v>0</v>
      </c>
      <c r="AZ58" s="13">
        <f ca="1">VLOOKUP($B58,'[2]Analisys QBR By Machine Report'!$C$109:$BD$166,47,FALSE)</f>
        <v>252</v>
      </c>
      <c r="BA58" s="13">
        <f ca="1">VLOOKUP($B58,'[2]Analisys QBR By Machine Report'!$C$109:$BD$166,48,FALSE)</f>
        <v>0</v>
      </c>
      <c r="BB58" s="13">
        <f ca="1">VLOOKUP($B58,'[2]Analisys QBR By Machine Report'!$C$109:$BD$166,49,FALSE)</f>
        <v>0</v>
      </c>
      <c r="BC58" s="13">
        <f ca="1">VLOOKUP($B58,'[2]Analisys QBR By Machine Report'!$C$109:$BD$166,50,FALSE)</f>
        <v>0</v>
      </c>
      <c r="BD58" s="13">
        <f ca="1">VLOOKUP($B58,'[2]Analisys QBR By Machine Report'!$C$109:$BD$166,51,FALSE)</f>
        <v>121710</v>
      </c>
      <c r="BE58" s="13">
        <f ca="1">VLOOKUP($B58,'[2]Analisys QBR By Machine Report'!$C$109:$BD$166,52,FALSE)</f>
        <v>360</v>
      </c>
      <c r="BF58" s="13">
        <f ca="1">VLOOKUP($B58,'[2]Analisys QBR By Machine Report'!$C$109:$BD$166,53,FALSE)</f>
        <v>121350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6F938-0EC3-4BAD-9B2E-870D5DF7B49F}">
  <dimension ref="A1:BF58"/>
  <sheetViews>
    <sheetView workbookViewId="0">
      <selection activeCell="H9" sqref="H9"/>
    </sheetView>
  </sheetViews>
  <sheetFormatPr defaultRowHeight="15" x14ac:dyDescent="0.25"/>
  <sheetData>
    <row r="1" spans="1:58" ht="60" x14ac:dyDescent="0.25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8" t="s">
        <v>55</v>
      </c>
      <c r="BE1" s="8" t="s">
        <v>56</v>
      </c>
      <c r="BF1" s="8" t="s">
        <v>57</v>
      </c>
    </row>
    <row r="2" spans="1:58" x14ac:dyDescent="0.25">
      <c r="A2" s="9" t="s">
        <v>58</v>
      </c>
      <c r="B2" s="10">
        <f ca="1">VLOOKUP($B2,'[3]Analisys QBR By Machine Report'!$C$109:$BD$166,2,FALSE)</f>
        <v>0</v>
      </c>
      <c r="C2" s="11">
        <f ca="1">VLOOKUP($B2,[3]Dasboard_QBR_Report!$B$109:$BL$166,3,FALSE)</f>
        <v>58590</v>
      </c>
      <c r="D2" s="10">
        <f ca="1">VLOOKUP($B2,'[3]Analisys QBR By Machine Report'!$C$109:$BD$166,3,FALSE)</f>
        <v>55620</v>
      </c>
      <c r="E2" s="11">
        <f ca="1">VLOOKUP($B2,[3]Dasboard_QBR_Report!$B$109:$BL$166,5,FALSE)</f>
        <v>23490</v>
      </c>
      <c r="F2" s="10">
        <f t="shared" ref="F2:F58" ca="1" si="0">SUM(G2,L2)</f>
        <v>35100</v>
      </c>
      <c r="G2" s="10">
        <f t="shared" ref="G2:G58" ca="1" si="1">SUM($I2,$L2)</f>
        <v>4278</v>
      </c>
      <c r="H2" s="10">
        <f ca="1">VLOOKUP($B2,'[3]Analisys QBR By Machine Report'!$C$109:$BD$166,4,FALSE)</f>
        <v>3609</v>
      </c>
      <c r="I2" s="10">
        <f ca="1">VLOOKUP($B2,'[3]Analisys QBR By Machine Report'!$C$109:$BD$166,5,FALSE)</f>
        <v>640</v>
      </c>
      <c r="J2" s="10">
        <f ca="1">VLOOKUP($B2,'[3]Analisys QBR By Machine Report'!$C$109:$BD$166,6,FALSE)</f>
        <v>2969</v>
      </c>
      <c r="K2" s="10">
        <f ca="1">VLOOKUP($B2,'[3]Analisys QBR By Machine Report'!$C$109:$BD$166,7,FALSE)</f>
        <v>669</v>
      </c>
      <c r="L2" s="10">
        <f ca="1">VLOOKUP($B2,'[3]Analisys QBR By Machine Report'!$C$109:$BD$166,8,FALSE)</f>
        <v>30822</v>
      </c>
      <c r="M2" s="10">
        <f ca="1">VLOOKUP($B2,'[3]Analisys QBR By Machine Report'!$C$109:$BD$166,9,FALSE)</f>
        <v>5281</v>
      </c>
      <c r="N2" s="10">
        <f ca="1">VLOOKUP($B2,[3]Dasboard_QBR_Report!$B$109:$BL$166,18,FALSE)</f>
        <v>25541</v>
      </c>
      <c r="O2" s="10">
        <f ca="1">VLOOKUP($B2,'[3]Analisys QBR By Machine Report'!$C$109:$BD$166,10,FALSE)</f>
        <v>816</v>
      </c>
      <c r="P2" s="10">
        <f ca="1">VLOOKUP($B2,'[3]Analisys QBR By Machine Report'!$C$109:$BD$166,11,FALSE)</f>
        <v>816</v>
      </c>
      <c r="Q2" s="10">
        <f ca="1">VLOOKUP($B2,'[3]Analisys QBR By Machine Report'!$C$109:$BD$166,12,FALSE)</f>
        <v>0</v>
      </c>
      <c r="R2" s="10">
        <f ca="1">VLOOKUP($B2,'[3]Analisys QBR By Machine Report'!$C$109:$BD$166,13,FALSE)</f>
        <v>0</v>
      </c>
      <c r="S2" s="10">
        <f ca="1">VLOOKUP($B2,'[3]Analisys QBR By Machine Report'!$C$109:$BD$166,14,FALSE)</f>
        <v>0</v>
      </c>
      <c r="T2" s="10">
        <f ca="1">VLOOKUP($B2,'[3]Analisys QBR By Machine Report'!$C$109:$BD$166,15,FALSE)</f>
        <v>135</v>
      </c>
      <c r="U2" s="10">
        <f ca="1">VLOOKUP($B2,'[3]Analisys QBR By Machine Report'!$C$109:$BD$166,16,FALSE)</f>
        <v>0</v>
      </c>
      <c r="V2" s="10">
        <f ca="1">VLOOKUP($B2,'[3]Analisys QBR By Machine Report'!$C$109:$BD$166,17,FALSE)</f>
        <v>0</v>
      </c>
      <c r="W2" s="10">
        <f ca="1">VLOOKUP($B2,'[3]Analisys QBR By Machine Report'!$C$109:$BD$166,18,FALSE)</f>
        <v>0</v>
      </c>
      <c r="X2" s="10">
        <f ca="1">VLOOKUP($B2,'[3]Analisys QBR By Machine Report'!$C$109:$BD$166,19,FALSE)</f>
        <v>135</v>
      </c>
      <c r="Y2" s="10">
        <f ca="1">VLOOKUP($B2,'[3]Analisys QBR By Machine Report'!$C$109:$BD$166,20,FALSE)</f>
        <v>0</v>
      </c>
      <c r="Z2" s="10">
        <f ca="1">VLOOKUP($B2,'[3]Analisys QBR By Machine Report'!$C$109:$BD$166,21,FALSE)</f>
        <v>14182</v>
      </c>
      <c r="AA2" s="10">
        <f ca="1">VLOOKUP($B2,'[3]Analisys QBR By Machine Report'!$C$109:$BD$166,22,FALSE)</f>
        <v>8480</v>
      </c>
      <c r="AB2" s="10">
        <f ca="1">VLOOKUP($B2,'[3]Analisys QBR By Machine Report'!$C$109:$BD$166,23,FALSE)</f>
        <v>5150</v>
      </c>
      <c r="AC2" s="10">
        <f ca="1">VLOOKUP($B2,'[3]Analisys QBR By Machine Report'!$C$109:$BD$166,24,FALSE)</f>
        <v>22</v>
      </c>
      <c r="AD2" s="10">
        <f ca="1">VLOOKUP($B2,'[3]Analisys QBR By Machine Report'!$C$109:$BD$166,25,FALSE)</f>
        <v>0</v>
      </c>
      <c r="AE2" s="10">
        <f ca="1">VLOOKUP($B2,'[3]Analisys QBR By Machine Report'!$C$109:$BD$166,26,FALSE)</f>
        <v>530</v>
      </c>
      <c r="AF2" s="10">
        <f ca="1">VLOOKUP($B2,'[3]Analisys QBR By Machine Report'!$C$109:$BD$166,27,FALSE)</f>
        <v>855</v>
      </c>
      <c r="AG2" s="10">
        <f ca="1">VLOOKUP($B2,'[3]Analisys QBR By Machine Report'!$C$109:$BD$166,28,FALSE)</f>
        <v>0</v>
      </c>
      <c r="AH2" s="10">
        <f ca="1">VLOOKUP($B2,'[3]Analisys QBR By Machine Report'!$C$109:$BD$166,29,FALSE)</f>
        <v>855</v>
      </c>
      <c r="AI2" s="10">
        <f ca="1">VLOOKUP($B2,'[3]Analisys QBR By Machine Report'!$C$109:$BD$166,30,FALSE)</f>
        <v>9553</v>
      </c>
      <c r="AJ2" s="10">
        <f ca="1">VLOOKUP($B2,'[3]Analisys QBR By Machine Report'!$C$109:$BD$166,31,FALSE)</f>
        <v>205</v>
      </c>
      <c r="AK2" s="10">
        <f ca="1">VLOOKUP($B2,'[3]Analisys QBR By Machine Report'!$C$109:$BD$166,32,FALSE)</f>
        <v>0</v>
      </c>
      <c r="AL2" s="10">
        <f ca="1">VLOOKUP($B2,'[3]Analisys QBR By Machine Report'!$C$109:$BD$166,33,FALSE)</f>
        <v>550</v>
      </c>
      <c r="AM2" s="10">
        <f ca="1">VLOOKUP($B2,'[3]Analisys QBR By Machine Report'!$C$109:$BD$166,34,FALSE)</f>
        <v>0</v>
      </c>
      <c r="AN2" s="10">
        <f ca="1">VLOOKUP($B2,'[3]Analisys QBR By Machine Report'!$C$109:$BD$166,35,FALSE)</f>
        <v>1418</v>
      </c>
      <c r="AO2" s="10">
        <f ca="1">VLOOKUP($B2,'[3]Analisys QBR By Machine Report'!$C$109:$BD$166,36,FALSE)</f>
        <v>0</v>
      </c>
      <c r="AP2" s="10">
        <f ca="1">VLOOKUP($B2,'[3]Analisys QBR By Machine Report'!$C$109:$BD$166,37,FALSE)</f>
        <v>0</v>
      </c>
      <c r="AQ2" s="10">
        <f ca="1">VLOOKUP($B2,'[3]Analisys QBR By Machine Report'!$C$109:$BD$166,38,FALSE)</f>
        <v>0</v>
      </c>
      <c r="AR2" s="10">
        <f ca="1">VLOOKUP($B2,'[3]Analisys QBR By Machine Report'!$C$109:$BD$166,39,FALSE)</f>
        <v>6455</v>
      </c>
      <c r="AS2" s="10">
        <f ca="1">VLOOKUP($B2,'[3]Analisys QBR By Machine Report'!$C$109:$BD$166,40,FALSE)</f>
        <v>20</v>
      </c>
      <c r="AT2" s="10">
        <f ca="1">VLOOKUP($B2,'[3]Analisys QBR By Machine Report'!$C$109:$BD$166,41,FALSE)</f>
        <v>0</v>
      </c>
      <c r="AU2" s="10">
        <f ca="1">VLOOKUP($B2,'[3]Analisys QBR By Machine Report'!$C$109:$BD$166,42,FALSE)</f>
        <v>583</v>
      </c>
      <c r="AV2" s="10">
        <f ca="1">VLOOKUP($B2,'[3]Analisys QBR By Machine Report'!$C$109:$BD$166,43,FALSE)</f>
        <v>0</v>
      </c>
      <c r="AW2" s="10">
        <f ca="1">VLOOKUP($B2,'[3]Analisys QBR By Machine Report'!$C$109:$BD$166,44,FALSE)</f>
        <v>0</v>
      </c>
      <c r="AX2" s="10">
        <f ca="1">VLOOKUP($B2,'[3]Analisys QBR By Machine Report'!$C$109:$BD$166,45,FALSE)</f>
        <v>0</v>
      </c>
      <c r="AY2" s="10">
        <f ca="1">VLOOKUP($B2,'[3]Analisys QBR By Machine Report'!$C$109:$BD$166,46,FALSE)</f>
        <v>0</v>
      </c>
      <c r="AZ2" s="10">
        <f ca="1">VLOOKUP($B2,'[3]Analisys QBR By Machine Report'!$C$109:$BD$166,47,FALSE)</f>
        <v>322</v>
      </c>
      <c r="BA2" s="10">
        <f ca="1">VLOOKUP($B2,'[3]Analisys QBR By Machine Report'!$C$109:$BD$166,48,FALSE)</f>
        <v>0</v>
      </c>
      <c r="BB2" s="10">
        <f ca="1">VLOOKUP($B2,'[3]Analisys QBR By Machine Report'!$C$109:$BD$166,49,FALSE)</f>
        <v>0</v>
      </c>
      <c r="BC2" s="10">
        <f ca="1">VLOOKUP($B2,'[3]Analisys QBR By Machine Report'!$C$109:$BD$166,50,FALSE)</f>
        <v>0</v>
      </c>
      <c r="BD2" s="10">
        <f ca="1">VLOOKUP($B2,'[3]Analisys QBR By Machine Report'!$C$109:$BD$166,51,FALSE)</f>
        <v>8589.74</v>
      </c>
      <c r="BE2" s="10">
        <f ca="1">VLOOKUP($B2,'[3]Analisys QBR By Machine Report'!$C$109:$BD$166,52,FALSE)</f>
        <v>0</v>
      </c>
      <c r="BF2" s="10">
        <f ca="1">VLOOKUP($B2,'[3]Analisys QBR By Machine Report'!$C$109:$BD$166,53,FALSE)</f>
        <v>8589.74</v>
      </c>
    </row>
    <row r="3" spans="1:58" x14ac:dyDescent="0.25">
      <c r="A3" s="12" t="s">
        <v>59</v>
      </c>
      <c r="B3" s="13">
        <f ca="1">VLOOKUP($B3,'[3]Analisys QBR By Machine Report'!$C$109:$BD$166,2,FALSE)</f>
        <v>30240</v>
      </c>
      <c r="C3" s="14">
        <f ca="1">VLOOKUP($B3,[3]Dasboard_QBR_Report!$B$109:$BL$166,3,FALSE)</f>
        <v>19530</v>
      </c>
      <c r="D3" s="13">
        <f ca="1">VLOOKUP($B3,'[3]Analisys QBR By Machine Report'!$C$109:$BD$166,3,FALSE)</f>
        <v>18855</v>
      </c>
      <c r="E3" s="14">
        <f ca="1">VLOOKUP($B3,[3]Dasboard_QBR_Report!$B$109:$BL$166,5,FALSE)</f>
        <v>8145</v>
      </c>
      <c r="F3" s="13">
        <f t="shared" ca="1" si="0"/>
        <v>11385</v>
      </c>
      <c r="G3" s="13">
        <f t="shared" ca="1" si="1"/>
        <v>1207</v>
      </c>
      <c r="H3" s="13">
        <f ca="1">VLOOKUP($B3,'[3]Analisys QBR By Machine Report'!$C$109:$BD$166,4,FALSE)</f>
        <v>980</v>
      </c>
      <c r="I3" s="13">
        <f ca="1">VLOOKUP($B3,'[3]Analisys QBR By Machine Report'!$C$109:$BD$166,5,FALSE)</f>
        <v>580</v>
      </c>
      <c r="J3" s="13">
        <f ca="1">VLOOKUP($B3,'[3]Analisys QBR By Machine Report'!$C$109:$BD$166,6,FALSE)</f>
        <v>400</v>
      </c>
      <c r="K3" s="13">
        <f ca="1">VLOOKUP($B3,'[3]Analisys QBR By Machine Report'!$C$109:$BD$166,7,FALSE)</f>
        <v>227</v>
      </c>
      <c r="L3" s="13">
        <f ca="1">VLOOKUP($B3,'[3]Analisys QBR By Machine Report'!$C$109:$BD$166,8,FALSE)</f>
        <v>10178</v>
      </c>
      <c r="M3" s="13">
        <f ca="1">VLOOKUP($B3,'[3]Analisys QBR By Machine Report'!$C$109:$BD$166,9,FALSE)</f>
        <v>2680</v>
      </c>
      <c r="N3" s="13">
        <f ca="1">VLOOKUP($B3,[3]Dasboard_QBR_Report!$B$109:$BL$166,18,FALSE)</f>
        <v>7498</v>
      </c>
      <c r="O3" s="13">
        <f ca="1">VLOOKUP($B3,'[3]Analisys QBR By Machine Report'!$C$109:$BD$166,10,FALSE)</f>
        <v>256</v>
      </c>
      <c r="P3" s="13">
        <f ca="1">VLOOKUP($B3,'[3]Analisys QBR By Machine Report'!$C$109:$BD$166,11,FALSE)</f>
        <v>256</v>
      </c>
      <c r="Q3" s="13">
        <f ca="1">VLOOKUP($B3,'[3]Analisys QBR By Machine Report'!$C$109:$BD$166,12,FALSE)</f>
        <v>0</v>
      </c>
      <c r="R3" s="13">
        <f ca="1">VLOOKUP($B3,'[3]Analisys QBR By Machine Report'!$C$109:$BD$166,13,FALSE)</f>
        <v>0</v>
      </c>
      <c r="S3" s="13">
        <f ca="1">VLOOKUP($B3,'[3]Analisys QBR By Machine Report'!$C$109:$BD$166,14,FALSE)</f>
        <v>0</v>
      </c>
      <c r="T3" s="13">
        <f ca="1">VLOOKUP($B3,'[3]Analisys QBR By Machine Report'!$C$109:$BD$166,15,FALSE)</f>
        <v>60</v>
      </c>
      <c r="U3" s="13">
        <f ca="1">VLOOKUP($B3,'[3]Analisys QBR By Machine Report'!$C$109:$BD$166,16,FALSE)</f>
        <v>0</v>
      </c>
      <c r="V3" s="13">
        <f ca="1">VLOOKUP($B3,'[3]Analisys QBR By Machine Report'!$C$109:$BD$166,17,FALSE)</f>
        <v>0</v>
      </c>
      <c r="W3" s="13">
        <f ca="1">VLOOKUP($B3,'[3]Analisys QBR By Machine Report'!$C$109:$BD$166,18,FALSE)</f>
        <v>0</v>
      </c>
      <c r="X3" s="13">
        <f ca="1">VLOOKUP($B3,'[3]Analisys QBR By Machine Report'!$C$109:$BD$166,19,FALSE)</f>
        <v>60</v>
      </c>
      <c r="Y3" s="13">
        <f ca="1">VLOOKUP($B3,'[3]Analisys QBR By Machine Report'!$C$109:$BD$166,20,FALSE)</f>
        <v>0</v>
      </c>
      <c r="Z3" s="13">
        <f ca="1">VLOOKUP($B3,'[3]Analisys QBR By Machine Report'!$C$109:$BD$166,21,FALSE)</f>
        <v>5910</v>
      </c>
      <c r="AA3" s="13">
        <f ca="1">VLOOKUP($B3,'[3]Analisys QBR By Machine Report'!$C$109:$BD$166,22,FALSE)</f>
        <v>3950</v>
      </c>
      <c r="AB3" s="13">
        <f ca="1">VLOOKUP($B3,'[3]Analisys QBR By Machine Report'!$C$109:$BD$166,23,FALSE)</f>
        <v>1779</v>
      </c>
      <c r="AC3" s="13">
        <f ca="1">VLOOKUP($B3,'[3]Analisys QBR By Machine Report'!$C$109:$BD$166,24,FALSE)</f>
        <v>6</v>
      </c>
      <c r="AD3" s="13">
        <f ca="1">VLOOKUP($B3,'[3]Analisys QBR By Machine Report'!$C$109:$BD$166,25,FALSE)</f>
        <v>0</v>
      </c>
      <c r="AE3" s="13">
        <f ca="1">VLOOKUP($B3,'[3]Analisys QBR By Machine Report'!$C$109:$BD$166,26,FALSE)</f>
        <v>175</v>
      </c>
      <c r="AF3" s="13">
        <f ca="1">VLOOKUP($B3,'[3]Analisys QBR By Machine Report'!$C$109:$BD$166,27,FALSE)</f>
        <v>0</v>
      </c>
      <c r="AG3" s="13">
        <f ca="1">VLOOKUP($B3,'[3]Analisys QBR By Machine Report'!$C$109:$BD$166,28,FALSE)</f>
        <v>0</v>
      </c>
      <c r="AH3" s="13">
        <f ca="1">VLOOKUP($B3,'[3]Analisys QBR By Machine Report'!$C$109:$BD$166,29,FALSE)</f>
        <v>0</v>
      </c>
      <c r="AI3" s="13">
        <f ca="1">VLOOKUP($B3,'[3]Analisys QBR By Machine Report'!$C$109:$BD$166,30,FALSE)</f>
        <v>1272</v>
      </c>
      <c r="AJ3" s="13">
        <f ca="1">VLOOKUP($B3,'[3]Analisys QBR By Machine Report'!$C$109:$BD$166,31,FALSE)</f>
        <v>95</v>
      </c>
      <c r="AK3" s="13">
        <f ca="1">VLOOKUP($B3,'[3]Analisys QBR By Machine Report'!$C$109:$BD$166,32,FALSE)</f>
        <v>0</v>
      </c>
      <c r="AL3" s="13">
        <f ca="1">VLOOKUP($B3,'[3]Analisys QBR By Machine Report'!$C$109:$BD$166,33,FALSE)</f>
        <v>235</v>
      </c>
      <c r="AM3" s="13">
        <f ca="1">VLOOKUP($B3,'[3]Analisys QBR By Machine Report'!$C$109:$BD$166,34,FALSE)</f>
        <v>0</v>
      </c>
      <c r="AN3" s="13">
        <f ca="1">VLOOKUP($B3,'[3]Analisys QBR By Machine Report'!$C$109:$BD$166,35,FALSE)</f>
        <v>540</v>
      </c>
      <c r="AO3" s="13">
        <f ca="1">VLOOKUP($B3,'[3]Analisys QBR By Machine Report'!$C$109:$BD$166,36,FALSE)</f>
        <v>0</v>
      </c>
      <c r="AP3" s="13">
        <f ca="1">VLOOKUP($B3,'[3]Analisys QBR By Machine Report'!$C$109:$BD$166,37,FALSE)</f>
        <v>0</v>
      </c>
      <c r="AQ3" s="13">
        <f ca="1">VLOOKUP($B3,'[3]Analisys QBR By Machine Report'!$C$109:$BD$166,38,FALSE)</f>
        <v>0</v>
      </c>
      <c r="AR3" s="13">
        <f ca="1">VLOOKUP($B3,'[3]Analisys QBR By Machine Report'!$C$109:$BD$166,39,FALSE)</f>
        <v>0</v>
      </c>
      <c r="AS3" s="13">
        <f ca="1">VLOOKUP($B3,'[3]Analisys QBR By Machine Report'!$C$109:$BD$166,40,FALSE)</f>
        <v>0</v>
      </c>
      <c r="AT3" s="13">
        <f ca="1">VLOOKUP($B3,'[3]Analisys QBR By Machine Report'!$C$109:$BD$166,41,FALSE)</f>
        <v>0</v>
      </c>
      <c r="AU3" s="13">
        <f ca="1">VLOOKUP($B3,'[3]Analisys QBR By Machine Report'!$C$109:$BD$166,42,FALSE)</f>
        <v>402</v>
      </c>
      <c r="AV3" s="13">
        <f ca="1">VLOOKUP($B3,'[3]Analisys QBR By Machine Report'!$C$109:$BD$166,43,FALSE)</f>
        <v>0</v>
      </c>
      <c r="AW3" s="13">
        <f ca="1">VLOOKUP($B3,'[3]Analisys QBR By Machine Report'!$C$109:$BD$166,44,FALSE)</f>
        <v>0</v>
      </c>
      <c r="AX3" s="13">
        <f ca="1">VLOOKUP($B3,'[3]Analisys QBR By Machine Report'!$C$109:$BD$166,45,FALSE)</f>
        <v>0</v>
      </c>
      <c r="AY3" s="13">
        <f ca="1">VLOOKUP($B3,'[3]Analisys QBR By Machine Report'!$C$109:$BD$166,46,FALSE)</f>
        <v>0</v>
      </c>
      <c r="AZ3" s="13">
        <f ca="1">VLOOKUP($B3,'[3]Analisys QBR By Machine Report'!$C$109:$BD$166,47,FALSE)</f>
        <v>0</v>
      </c>
      <c r="BA3" s="13">
        <f ca="1">VLOOKUP($B3,'[3]Analisys QBR By Machine Report'!$C$109:$BD$166,48,FALSE)</f>
        <v>0</v>
      </c>
      <c r="BB3" s="13">
        <f ca="1">VLOOKUP($B3,'[3]Analisys QBR By Machine Report'!$C$109:$BD$166,49,FALSE)</f>
        <v>0</v>
      </c>
      <c r="BC3" s="13">
        <f ca="1">VLOOKUP($B3,'[3]Analisys QBR By Machine Report'!$C$109:$BD$166,50,FALSE)</f>
        <v>0</v>
      </c>
      <c r="BD3" s="13">
        <f ca="1">VLOOKUP($B3,'[3]Analisys QBR By Machine Report'!$C$109:$BD$166,51,FALSE)</f>
        <v>1411.21</v>
      </c>
      <c r="BE3" s="13">
        <f ca="1">VLOOKUP($B3,'[3]Analisys QBR By Machine Report'!$C$109:$BD$166,52,FALSE)</f>
        <v>0</v>
      </c>
      <c r="BF3" s="13">
        <f ca="1">VLOOKUP($B3,'[3]Analisys QBR By Machine Report'!$C$109:$BD$166,53,FALSE)</f>
        <v>1411.21</v>
      </c>
    </row>
    <row r="4" spans="1:58" x14ac:dyDescent="0.25">
      <c r="A4" s="12" t="s">
        <v>60</v>
      </c>
      <c r="B4" s="13">
        <f ca="1">VLOOKUP($B4,'[3]Analisys QBR By Machine Report'!$C$109:$BD$166,2,FALSE)</f>
        <v>30240</v>
      </c>
      <c r="C4" s="14">
        <f ca="1">VLOOKUP($B4,[3]Dasboard_QBR_Report!$B$109:$BL$166,3,FALSE)</f>
        <v>19530</v>
      </c>
      <c r="D4" s="13">
        <f ca="1">VLOOKUP($B4,'[3]Analisys QBR By Machine Report'!$C$109:$BD$166,3,FALSE)</f>
        <v>24645</v>
      </c>
      <c r="E4" s="14">
        <f ca="1">VLOOKUP($B4,[3]Dasboard_QBR_Report!$B$109:$BL$166,5,FALSE)</f>
        <v>13935</v>
      </c>
      <c r="F4" s="13">
        <f t="shared" ca="1" si="0"/>
        <v>5595</v>
      </c>
      <c r="G4" s="13">
        <f t="shared" ca="1" si="1"/>
        <v>75</v>
      </c>
      <c r="H4" s="13">
        <f ca="1">VLOOKUP($B4,'[3]Analisys QBR By Machine Report'!$C$109:$BD$166,4,FALSE)</f>
        <v>75</v>
      </c>
      <c r="I4" s="13">
        <f ca="1">VLOOKUP($B4,'[3]Analisys QBR By Machine Report'!$C$109:$BD$166,5,FALSE)</f>
        <v>30</v>
      </c>
      <c r="J4" s="13">
        <f ca="1">VLOOKUP($B4,'[3]Analisys QBR By Machine Report'!$C$109:$BD$166,6,FALSE)</f>
        <v>45</v>
      </c>
      <c r="K4" s="13">
        <f ca="1">VLOOKUP($B4,'[3]Analisys QBR By Machine Report'!$C$109:$BD$166,7,FALSE)</f>
        <v>0</v>
      </c>
      <c r="L4" s="13">
        <f ca="1">VLOOKUP($B4,'[3]Analisys QBR By Machine Report'!$C$109:$BD$166,8,FALSE)</f>
        <v>5520</v>
      </c>
      <c r="M4" s="13">
        <f ca="1">VLOOKUP($B4,'[3]Analisys QBR By Machine Report'!$C$109:$BD$166,9,FALSE)</f>
        <v>1656</v>
      </c>
      <c r="N4" s="13">
        <f ca="1">VLOOKUP($B4,[3]Dasboard_QBR_Report!$B$109:$BL$166,18,FALSE)</f>
        <v>3864</v>
      </c>
      <c r="O4" s="13">
        <f ca="1">VLOOKUP($B4,'[3]Analisys QBR By Machine Report'!$C$109:$BD$166,10,FALSE)</f>
        <v>142</v>
      </c>
      <c r="P4" s="13">
        <f ca="1">VLOOKUP($B4,'[3]Analisys QBR By Machine Report'!$C$109:$BD$166,11,FALSE)</f>
        <v>142</v>
      </c>
      <c r="Q4" s="13">
        <f ca="1">VLOOKUP($B4,'[3]Analisys QBR By Machine Report'!$C$109:$BD$166,12,FALSE)</f>
        <v>0</v>
      </c>
      <c r="R4" s="13">
        <f ca="1">VLOOKUP($B4,'[3]Analisys QBR By Machine Report'!$C$109:$BD$166,13,FALSE)</f>
        <v>0</v>
      </c>
      <c r="S4" s="13">
        <f ca="1">VLOOKUP($B4,'[3]Analisys QBR By Machine Report'!$C$109:$BD$166,14,FALSE)</f>
        <v>0</v>
      </c>
      <c r="T4" s="13">
        <f ca="1">VLOOKUP($B4,'[3]Analisys QBR By Machine Report'!$C$109:$BD$166,15,FALSE)</f>
        <v>75</v>
      </c>
      <c r="U4" s="13">
        <f ca="1">VLOOKUP($B4,'[3]Analisys QBR By Machine Report'!$C$109:$BD$166,16,FALSE)</f>
        <v>0</v>
      </c>
      <c r="V4" s="13">
        <f ca="1">VLOOKUP($B4,'[3]Analisys QBR By Machine Report'!$C$109:$BD$166,17,FALSE)</f>
        <v>0</v>
      </c>
      <c r="W4" s="13">
        <f ca="1">VLOOKUP($B4,'[3]Analisys QBR By Machine Report'!$C$109:$BD$166,18,FALSE)</f>
        <v>0</v>
      </c>
      <c r="X4" s="13">
        <f ca="1">VLOOKUP($B4,'[3]Analisys QBR By Machine Report'!$C$109:$BD$166,19,FALSE)</f>
        <v>75</v>
      </c>
      <c r="Y4" s="13">
        <f ca="1">VLOOKUP($B4,'[3]Analisys QBR By Machine Report'!$C$109:$BD$166,20,FALSE)</f>
        <v>0</v>
      </c>
      <c r="Z4" s="13">
        <f ca="1">VLOOKUP($B4,'[3]Analisys QBR By Machine Report'!$C$109:$BD$166,21,FALSE)</f>
        <v>3202</v>
      </c>
      <c r="AA4" s="13">
        <f ca="1">VLOOKUP($B4,'[3]Analisys QBR By Machine Report'!$C$109:$BD$166,22,FALSE)</f>
        <v>2274</v>
      </c>
      <c r="AB4" s="13">
        <f ca="1">VLOOKUP($B4,'[3]Analisys QBR By Machine Report'!$C$109:$BD$166,23,FALSE)</f>
        <v>827</v>
      </c>
      <c r="AC4" s="13">
        <f ca="1">VLOOKUP($B4,'[3]Analisys QBR By Machine Report'!$C$109:$BD$166,24,FALSE)</f>
        <v>1</v>
      </c>
      <c r="AD4" s="13">
        <f ca="1">VLOOKUP($B4,'[3]Analisys QBR By Machine Report'!$C$109:$BD$166,25,FALSE)</f>
        <v>0</v>
      </c>
      <c r="AE4" s="13">
        <f ca="1">VLOOKUP($B4,'[3]Analisys QBR By Machine Report'!$C$109:$BD$166,26,FALSE)</f>
        <v>100</v>
      </c>
      <c r="AF4" s="13">
        <f ca="1">VLOOKUP($B4,'[3]Analisys QBR By Machine Report'!$C$109:$BD$166,27,FALSE)</f>
        <v>0</v>
      </c>
      <c r="AG4" s="13">
        <f ca="1">VLOOKUP($B4,'[3]Analisys QBR By Machine Report'!$C$109:$BD$166,28,FALSE)</f>
        <v>0</v>
      </c>
      <c r="AH4" s="13">
        <f ca="1">VLOOKUP($B4,'[3]Analisys QBR By Machine Report'!$C$109:$BD$166,29,FALSE)</f>
        <v>0</v>
      </c>
      <c r="AI4" s="13">
        <f ca="1">VLOOKUP($B4,'[3]Analisys QBR By Machine Report'!$C$109:$BD$166,30,FALSE)</f>
        <v>445</v>
      </c>
      <c r="AJ4" s="13">
        <f ca="1">VLOOKUP($B4,'[3]Analisys QBR By Machine Report'!$C$109:$BD$166,31,FALSE)</f>
        <v>0</v>
      </c>
      <c r="AK4" s="13">
        <f ca="1">VLOOKUP($B4,'[3]Analisys QBR By Machine Report'!$C$109:$BD$166,32,FALSE)</f>
        <v>0</v>
      </c>
      <c r="AL4" s="13">
        <f ca="1">VLOOKUP($B4,'[3]Analisys QBR By Machine Report'!$C$109:$BD$166,33,FALSE)</f>
        <v>45</v>
      </c>
      <c r="AM4" s="13">
        <f ca="1">VLOOKUP($B4,'[3]Analisys QBR By Machine Report'!$C$109:$BD$166,34,FALSE)</f>
        <v>0</v>
      </c>
      <c r="AN4" s="13">
        <f ca="1">VLOOKUP($B4,'[3]Analisys QBR By Machine Report'!$C$109:$BD$166,35,FALSE)</f>
        <v>230</v>
      </c>
      <c r="AO4" s="13">
        <f ca="1">VLOOKUP($B4,'[3]Analisys QBR By Machine Report'!$C$109:$BD$166,36,FALSE)</f>
        <v>0</v>
      </c>
      <c r="AP4" s="13">
        <f ca="1">VLOOKUP($B4,'[3]Analisys QBR By Machine Report'!$C$109:$BD$166,37,FALSE)</f>
        <v>0</v>
      </c>
      <c r="AQ4" s="13">
        <f ca="1">VLOOKUP($B4,'[3]Analisys QBR By Machine Report'!$C$109:$BD$166,38,FALSE)</f>
        <v>0</v>
      </c>
      <c r="AR4" s="13">
        <f ca="1">VLOOKUP($B4,'[3]Analisys QBR By Machine Report'!$C$109:$BD$166,39,FALSE)</f>
        <v>0</v>
      </c>
      <c r="AS4" s="13">
        <f ca="1">VLOOKUP($B4,'[3]Analisys QBR By Machine Report'!$C$109:$BD$166,40,FALSE)</f>
        <v>0</v>
      </c>
      <c r="AT4" s="13">
        <f ca="1">VLOOKUP($B4,'[3]Analisys QBR By Machine Report'!$C$109:$BD$166,41,FALSE)</f>
        <v>0</v>
      </c>
      <c r="AU4" s="13">
        <f ca="1">VLOOKUP($B4,'[3]Analisys QBR By Machine Report'!$C$109:$BD$166,42,FALSE)</f>
        <v>170</v>
      </c>
      <c r="AV4" s="13">
        <f ca="1">VLOOKUP($B4,'[3]Analisys QBR By Machine Report'!$C$109:$BD$166,43,FALSE)</f>
        <v>0</v>
      </c>
      <c r="AW4" s="13">
        <f ca="1">VLOOKUP($B4,'[3]Analisys QBR By Machine Report'!$C$109:$BD$166,44,FALSE)</f>
        <v>0</v>
      </c>
      <c r="AX4" s="13">
        <f ca="1">VLOOKUP($B4,'[3]Analisys QBR By Machine Report'!$C$109:$BD$166,45,FALSE)</f>
        <v>0</v>
      </c>
      <c r="AY4" s="13">
        <f ca="1">VLOOKUP($B4,'[3]Analisys QBR By Machine Report'!$C$109:$BD$166,46,FALSE)</f>
        <v>0</v>
      </c>
      <c r="AZ4" s="13">
        <f ca="1">VLOOKUP($B4,'[3]Analisys QBR By Machine Report'!$C$109:$BD$166,47,FALSE)</f>
        <v>0</v>
      </c>
      <c r="BA4" s="13">
        <f ca="1">VLOOKUP($B4,'[3]Analisys QBR By Machine Report'!$C$109:$BD$166,48,FALSE)</f>
        <v>0</v>
      </c>
      <c r="BB4" s="13">
        <f ca="1">VLOOKUP($B4,'[3]Analisys QBR By Machine Report'!$C$109:$BD$166,49,FALSE)</f>
        <v>0</v>
      </c>
      <c r="BC4" s="13">
        <f ca="1">VLOOKUP($B4,'[3]Analisys QBR By Machine Report'!$C$109:$BD$166,50,FALSE)</f>
        <v>0</v>
      </c>
      <c r="BD4" s="13">
        <f ca="1">VLOOKUP($B4,'[3]Analisys QBR By Machine Report'!$C$109:$BD$166,51,FALSE)</f>
        <v>1807.79</v>
      </c>
      <c r="BE4" s="13">
        <f ca="1">VLOOKUP($B4,'[3]Analisys QBR By Machine Report'!$C$109:$BD$166,52,FALSE)</f>
        <v>0</v>
      </c>
      <c r="BF4" s="13">
        <f ca="1">VLOOKUP($B4,'[3]Analisys QBR By Machine Report'!$C$109:$BD$166,53,FALSE)</f>
        <v>1807.79</v>
      </c>
    </row>
    <row r="5" spans="1:58" x14ac:dyDescent="0.25">
      <c r="A5" s="12" t="s">
        <v>61</v>
      </c>
      <c r="B5" s="13">
        <f ca="1">VLOOKUP($B5,'[3]Analisys QBR By Machine Report'!$C$109:$BD$166,2,FALSE)</f>
        <v>30240</v>
      </c>
      <c r="C5" s="14">
        <f ca="1">VLOOKUP($B5,[3]Dasboard_QBR_Report!$B$109:$BL$166,3,FALSE)</f>
        <v>19530</v>
      </c>
      <c r="D5" s="13">
        <f ca="1">VLOOKUP($B5,'[3]Analisys QBR By Machine Report'!$C$109:$BD$166,3,FALSE)</f>
        <v>12120</v>
      </c>
      <c r="E5" s="14">
        <f ca="1">VLOOKUP($B5,[3]Dasboard_QBR_Report!$B$109:$BL$166,5,FALSE)</f>
        <v>1410</v>
      </c>
      <c r="F5" s="13">
        <f t="shared" ca="1" si="0"/>
        <v>18120</v>
      </c>
      <c r="G5" s="13">
        <f t="shared" ca="1" si="1"/>
        <v>2996</v>
      </c>
      <c r="H5" s="13">
        <f ca="1">VLOOKUP($B5,'[3]Analisys QBR By Machine Report'!$C$109:$BD$166,4,FALSE)</f>
        <v>2554</v>
      </c>
      <c r="I5" s="13">
        <f ca="1">VLOOKUP($B5,'[3]Analisys QBR By Machine Report'!$C$109:$BD$166,5,FALSE)</f>
        <v>30</v>
      </c>
      <c r="J5" s="13">
        <f ca="1">VLOOKUP($B5,'[3]Analisys QBR By Machine Report'!$C$109:$BD$166,6,FALSE)</f>
        <v>2524</v>
      </c>
      <c r="K5" s="13">
        <f ca="1">VLOOKUP($B5,'[3]Analisys QBR By Machine Report'!$C$109:$BD$166,7,FALSE)</f>
        <v>442</v>
      </c>
      <c r="L5" s="13">
        <f ca="1">VLOOKUP($B5,'[3]Analisys QBR By Machine Report'!$C$109:$BD$166,8,FALSE)</f>
        <v>15124</v>
      </c>
      <c r="M5" s="13">
        <f ca="1">VLOOKUP($B5,'[3]Analisys QBR By Machine Report'!$C$109:$BD$166,9,FALSE)</f>
        <v>945</v>
      </c>
      <c r="N5" s="13">
        <f ca="1">VLOOKUP($B5,[3]Dasboard_QBR_Report!$B$109:$BL$166,18,FALSE)</f>
        <v>14179</v>
      </c>
      <c r="O5" s="13">
        <f ca="1">VLOOKUP($B5,'[3]Analisys QBR By Machine Report'!$C$109:$BD$166,10,FALSE)</f>
        <v>418</v>
      </c>
      <c r="P5" s="13">
        <f ca="1">VLOOKUP($B5,'[3]Analisys QBR By Machine Report'!$C$109:$BD$166,11,FALSE)</f>
        <v>418</v>
      </c>
      <c r="Q5" s="13">
        <f ca="1">VLOOKUP($B5,'[3]Analisys QBR By Machine Report'!$C$109:$BD$166,12,FALSE)</f>
        <v>0</v>
      </c>
      <c r="R5" s="13">
        <f ca="1">VLOOKUP($B5,'[3]Analisys QBR By Machine Report'!$C$109:$BD$166,13,FALSE)</f>
        <v>0</v>
      </c>
      <c r="S5" s="13">
        <f ca="1">VLOOKUP($B5,'[3]Analisys QBR By Machine Report'!$C$109:$BD$166,14,FALSE)</f>
        <v>0</v>
      </c>
      <c r="T5" s="13">
        <f ca="1">VLOOKUP($B5,'[3]Analisys QBR By Machine Report'!$C$109:$BD$166,15,FALSE)</f>
        <v>0</v>
      </c>
      <c r="U5" s="13">
        <f ca="1">VLOOKUP($B5,'[3]Analisys QBR By Machine Report'!$C$109:$BD$166,16,FALSE)</f>
        <v>0</v>
      </c>
      <c r="V5" s="13">
        <f ca="1">VLOOKUP($B5,'[3]Analisys QBR By Machine Report'!$C$109:$BD$166,17,FALSE)</f>
        <v>0</v>
      </c>
      <c r="W5" s="13">
        <f ca="1">VLOOKUP($B5,'[3]Analisys QBR By Machine Report'!$C$109:$BD$166,18,FALSE)</f>
        <v>0</v>
      </c>
      <c r="X5" s="13">
        <f ca="1">VLOOKUP($B5,'[3]Analisys QBR By Machine Report'!$C$109:$BD$166,19,FALSE)</f>
        <v>0</v>
      </c>
      <c r="Y5" s="13">
        <f ca="1">VLOOKUP($B5,'[3]Analisys QBR By Machine Report'!$C$109:$BD$166,20,FALSE)</f>
        <v>0</v>
      </c>
      <c r="Z5" s="13">
        <f ca="1">VLOOKUP($B5,'[3]Analisys QBR By Machine Report'!$C$109:$BD$166,21,FALSE)</f>
        <v>5070</v>
      </c>
      <c r="AA5" s="13">
        <f ca="1">VLOOKUP($B5,'[3]Analisys QBR By Machine Report'!$C$109:$BD$166,22,FALSE)</f>
        <v>2256</v>
      </c>
      <c r="AB5" s="13">
        <f ca="1">VLOOKUP($B5,'[3]Analisys QBR By Machine Report'!$C$109:$BD$166,23,FALSE)</f>
        <v>2544</v>
      </c>
      <c r="AC5" s="13">
        <f ca="1">VLOOKUP($B5,'[3]Analisys QBR By Machine Report'!$C$109:$BD$166,24,FALSE)</f>
        <v>15</v>
      </c>
      <c r="AD5" s="13">
        <f ca="1">VLOOKUP($B5,'[3]Analisys QBR By Machine Report'!$C$109:$BD$166,25,FALSE)</f>
        <v>0</v>
      </c>
      <c r="AE5" s="13">
        <f ca="1">VLOOKUP($B5,'[3]Analisys QBR By Machine Report'!$C$109:$BD$166,26,FALSE)</f>
        <v>255</v>
      </c>
      <c r="AF5" s="13">
        <f ca="1">VLOOKUP($B5,'[3]Analisys QBR By Machine Report'!$C$109:$BD$166,27,FALSE)</f>
        <v>855</v>
      </c>
      <c r="AG5" s="13">
        <f ca="1">VLOOKUP($B5,'[3]Analisys QBR By Machine Report'!$C$109:$BD$166,28,FALSE)</f>
        <v>0</v>
      </c>
      <c r="AH5" s="13">
        <f ca="1">VLOOKUP($B5,'[3]Analisys QBR By Machine Report'!$C$109:$BD$166,29,FALSE)</f>
        <v>855</v>
      </c>
      <c r="AI5" s="13">
        <f ca="1">VLOOKUP($B5,'[3]Analisys QBR By Machine Report'!$C$109:$BD$166,30,FALSE)</f>
        <v>7836</v>
      </c>
      <c r="AJ5" s="13">
        <f ca="1">VLOOKUP($B5,'[3]Analisys QBR By Machine Report'!$C$109:$BD$166,31,FALSE)</f>
        <v>110</v>
      </c>
      <c r="AK5" s="13">
        <f ca="1">VLOOKUP($B5,'[3]Analisys QBR By Machine Report'!$C$109:$BD$166,32,FALSE)</f>
        <v>0</v>
      </c>
      <c r="AL5" s="13">
        <f ca="1">VLOOKUP($B5,'[3]Analisys QBR By Machine Report'!$C$109:$BD$166,33,FALSE)</f>
        <v>270</v>
      </c>
      <c r="AM5" s="13">
        <f ca="1">VLOOKUP($B5,'[3]Analisys QBR By Machine Report'!$C$109:$BD$166,34,FALSE)</f>
        <v>0</v>
      </c>
      <c r="AN5" s="13">
        <f ca="1">VLOOKUP($B5,'[3]Analisys QBR By Machine Report'!$C$109:$BD$166,35,FALSE)</f>
        <v>648</v>
      </c>
      <c r="AO5" s="13">
        <f ca="1">VLOOKUP($B5,'[3]Analisys QBR By Machine Report'!$C$109:$BD$166,36,FALSE)</f>
        <v>0</v>
      </c>
      <c r="AP5" s="13">
        <f ca="1">VLOOKUP($B5,'[3]Analisys QBR By Machine Report'!$C$109:$BD$166,37,FALSE)</f>
        <v>0</v>
      </c>
      <c r="AQ5" s="13">
        <f ca="1">VLOOKUP($B5,'[3]Analisys QBR By Machine Report'!$C$109:$BD$166,38,FALSE)</f>
        <v>0</v>
      </c>
      <c r="AR5" s="13">
        <f ca="1">VLOOKUP($B5,'[3]Analisys QBR By Machine Report'!$C$109:$BD$166,39,FALSE)</f>
        <v>6455</v>
      </c>
      <c r="AS5" s="13">
        <f ca="1">VLOOKUP($B5,'[3]Analisys QBR By Machine Report'!$C$109:$BD$166,40,FALSE)</f>
        <v>20</v>
      </c>
      <c r="AT5" s="13">
        <f ca="1">VLOOKUP($B5,'[3]Analisys QBR By Machine Report'!$C$109:$BD$166,41,FALSE)</f>
        <v>0</v>
      </c>
      <c r="AU5" s="13">
        <f ca="1">VLOOKUP($B5,'[3]Analisys QBR By Machine Report'!$C$109:$BD$166,42,FALSE)</f>
        <v>11</v>
      </c>
      <c r="AV5" s="13">
        <f ca="1">VLOOKUP($B5,'[3]Analisys QBR By Machine Report'!$C$109:$BD$166,43,FALSE)</f>
        <v>0</v>
      </c>
      <c r="AW5" s="13">
        <f ca="1">VLOOKUP($B5,'[3]Analisys QBR By Machine Report'!$C$109:$BD$166,44,FALSE)</f>
        <v>0</v>
      </c>
      <c r="AX5" s="13">
        <f ca="1">VLOOKUP($B5,'[3]Analisys QBR By Machine Report'!$C$109:$BD$166,45,FALSE)</f>
        <v>0</v>
      </c>
      <c r="AY5" s="13">
        <f ca="1">VLOOKUP($B5,'[3]Analisys QBR By Machine Report'!$C$109:$BD$166,46,FALSE)</f>
        <v>0</v>
      </c>
      <c r="AZ5" s="13">
        <f ca="1">VLOOKUP($B5,'[3]Analisys QBR By Machine Report'!$C$109:$BD$166,47,FALSE)</f>
        <v>322</v>
      </c>
      <c r="BA5" s="13">
        <f ca="1">VLOOKUP($B5,'[3]Analisys QBR By Machine Report'!$C$109:$BD$166,48,FALSE)</f>
        <v>0</v>
      </c>
      <c r="BB5" s="13">
        <f ca="1">VLOOKUP($B5,'[3]Analisys QBR By Machine Report'!$C$109:$BD$166,49,FALSE)</f>
        <v>0</v>
      </c>
      <c r="BC5" s="13">
        <f ca="1">VLOOKUP($B5,'[3]Analisys QBR By Machine Report'!$C$109:$BD$166,50,FALSE)</f>
        <v>0</v>
      </c>
      <c r="BD5" s="13">
        <f ca="1">VLOOKUP($B5,'[3]Analisys QBR By Machine Report'!$C$109:$BD$166,51,FALSE)</f>
        <v>5370.74</v>
      </c>
      <c r="BE5" s="13">
        <f ca="1">VLOOKUP($B5,'[3]Analisys QBR By Machine Report'!$C$109:$BD$166,52,FALSE)</f>
        <v>0</v>
      </c>
      <c r="BF5" s="13">
        <f ca="1">VLOOKUP($B5,'[3]Analisys QBR By Machine Report'!$C$109:$BD$166,53,FALSE)</f>
        <v>5370.74</v>
      </c>
    </row>
    <row r="6" spans="1:58" x14ac:dyDescent="0.25">
      <c r="A6" s="9" t="s">
        <v>62</v>
      </c>
      <c r="B6" s="10">
        <f ca="1">VLOOKUP($B6,'[3]Analisys QBR By Machine Report'!$C$109:$BD$166,2,FALSE)</f>
        <v>57600</v>
      </c>
      <c r="C6" s="11">
        <f ca="1">VLOOKUP($B6,[3]Dasboard_QBR_Report!$B$109:$BL$166,3,FALSE)</f>
        <v>19200</v>
      </c>
      <c r="D6" s="10">
        <f ca="1">VLOOKUP($B6,'[3]Analisys QBR By Machine Report'!$C$109:$BD$166,3,FALSE)</f>
        <v>55620</v>
      </c>
      <c r="E6" s="11">
        <f ca="1">VLOOKUP($B6,[3]Dasboard_QBR_Report!$B$109:$BL$166,5,FALSE)</f>
        <v>17220</v>
      </c>
      <c r="F6" s="10">
        <f t="shared" ca="1" si="0"/>
        <v>1980</v>
      </c>
      <c r="G6" s="10">
        <f t="shared" ca="1" si="1"/>
        <v>0</v>
      </c>
      <c r="H6" s="10">
        <f ca="1">VLOOKUP($B6,'[3]Analisys QBR By Machine Report'!$C$109:$BD$166,4,FALSE)</f>
        <v>0</v>
      </c>
      <c r="I6" s="10">
        <f ca="1">VLOOKUP($B6,'[3]Analisys QBR By Machine Report'!$C$109:$BD$166,5,FALSE)</f>
        <v>0</v>
      </c>
      <c r="J6" s="10">
        <f ca="1">VLOOKUP($B6,'[3]Analisys QBR By Machine Report'!$C$109:$BD$166,6,FALSE)</f>
        <v>0</v>
      </c>
      <c r="K6" s="10">
        <f ca="1">VLOOKUP($B6,'[3]Analisys QBR By Machine Report'!$C$109:$BD$166,7,FALSE)</f>
        <v>0</v>
      </c>
      <c r="L6" s="10">
        <f ca="1">VLOOKUP($B6,'[3]Analisys QBR By Machine Report'!$C$109:$BD$166,8,FALSE)</f>
        <v>1980</v>
      </c>
      <c r="M6" s="10">
        <f ca="1">VLOOKUP($B6,'[3]Analisys QBR By Machine Report'!$C$109:$BD$166,9,FALSE)</f>
        <v>510</v>
      </c>
      <c r="N6" s="10">
        <f ca="1">VLOOKUP($B6,[3]Dasboard_QBR_Report!$B$109:$BL$166,18,FALSE)</f>
        <v>1470</v>
      </c>
      <c r="O6" s="10">
        <f ca="1">VLOOKUP($B6,'[3]Analisys QBR By Machine Report'!$C$109:$BD$166,10,FALSE)</f>
        <v>300</v>
      </c>
      <c r="P6" s="10">
        <f ca="1">VLOOKUP($B6,'[3]Analisys QBR By Machine Report'!$C$109:$BD$166,11,FALSE)</f>
        <v>300</v>
      </c>
      <c r="Q6" s="10">
        <f ca="1">VLOOKUP($B6,'[3]Analisys QBR By Machine Report'!$C$109:$BD$166,12,FALSE)</f>
        <v>0</v>
      </c>
      <c r="R6" s="10">
        <f ca="1">VLOOKUP($B6,'[3]Analisys QBR By Machine Report'!$C$109:$BD$166,13,FALSE)</f>
        <v>0</v>
      </c>
      <c r="S6" s="10">
        <f ca="1">VLOOKUP($B6,'[3]Analisys QBR By Machine Report'!$C$109:$BD$166,14,FALSE)</f>
        <v>0</v>
      </c>
      <c r="T6" s="10">
        <f ca="1">VLOOKUP($B6,'[3]Analisys QBR By Machine Report'!$C$109:$BD$166,15,FALSE)</f>
        <v>0</v>
      </c>
      <c r="U6" s="10">
        <f ca="1">VLOOKUP($B6,'[3]Analisys QBR By Machine Report'!$C$109:$BD$166,16,FALSE)</f>
        <v>0</v>
      </c>
      <c r="V6" s="10">
        <f ca="1">VLOOKUP($B6,'[3]Analisys QBR By Machine Report'!$C$109:$BD$166,17,FALSE)</f>
        <v>0</v>
      </c>
      <c r="W6" s="10">
        <f ca="1">VLOOKUP($B6,'[3]Analisys QBR By Machine Report'!$C$109:$BD$166,18,FALSE)</f>
        <v>0</v>
      </c>
      <c r="X6" s="10">
        <f ca="1">VLOOKUP($B6,'[3]Analisys QBR By Machine Report'!$C$109:$BD$166,19,FALSE)</f>
        <v>0</v>
      </c>
      <c r="Y6" s="10">
        <f ca="1">VLOOKUP($B6,'[3]Analisys QBR By Machine Report'!$C$109:$BD$166,20,FALSE)</f>
        <v>0</v>
      </c>
      <c r="Z6" s="10">
        <f ca="1">VLOOKUP($B6,'[3]Analisys QBR By Machine Report'!$C$109:$BD$166,21,FALSE)</f>
        <v>420</v>
      </c>
      <c r="AA6" s="10">
        <f ca="1">VLOOKUP($B6,'[3]Analisys QBR By Machine Report'!$C$109:$BD$166,22,FALSE)</f>
        <v>285</v>
      </c>
      <c r="AB6" s="10">
        <f ca="1">VLOOKUP($B6,'[3]Analisys QBR By Machine Report'!$C$109:$BD$166,23,FALSE)</f>
        <v>60</v>
      </c>
      <c r="AC6" s="10">
        <f ca="1">VLOOKUP($B6,'[3]Analisys QBR By Machine Report'!$C$109:$BD$166,24,FALSE)</f>
        <v>35</v>
      </c>
      <c r="AD6" s="10">
        <f ca="1">VLOOKUP($B6,'[3]Analisys QBR By Machine Report'!$C$109:$BD$166,25,FALSE)</f>
        <v>0</v>
      </c>
      <c r="AE6" s="10">
        <f ca="1">VLOOKUP($B6,'[3]Analisys QBR By Machine Report'!$C$109:$BD$166,26,FALSE)</f>
        <v>40</v>
      </c>
      <c r="AF6" s="10">
        <f ca="1">VLOOKUP($B6,'[3]Analisys QBR By Machine Report'!$C$109:$BD$166,27,FALSE)</f>
        <v>0</v>
      </c>
      <c r="AG6" s="10">
        <f ca="1">VLOOKUP($B6,'[3]Analisys QBR By Machine Report'!$C$109:$BD$166,28,FALSE)</f>
        <v>0</v>
      </c>
      <c r="AH6" s="10">
        <f ca="1">VLOOKUP($B6,'[3]Analisys QBR By Machine Report'!$C$109:$BD$166,29,FALSE)</f>
        <v>0</v>
      </c>
      <c r="AI6" s="10">
        <f ca="1">VLOOKUP($B6,'[3]Analisys QBR By Machine Report'!$C$109:$BD$166,30,FALSE)</f>
        <v>750</v>
      </c>
      <c r="AJ6" s="10">
        <f ca="1">VLOOKUP($B6,'[3]Analisys QBR By Machine Report'!$C$109:$BD$166,31,FALSE)</f>
        <v>0</v>
      </c>
      <c r="AK6" s="10">
        <f ca="1">VLOOKUP($B6,'[3]Analisys QBR By Machine Report'!$C$109:$BD$166,32,FALSE)</f>
        <v>0</v>
      </c>
      <c r="AL6" s="10">
        <f ca="1">VLOOKUP($B6,'[3]Analisys QBR By Machine Report'!$C$109:$BD$166,33,FALSE)</f>
        <v>0</v>
      </c>
      <c r="AM6" s="10">
        <f ca="1">VLOOKUP($B6,'[3]Analisys QBR By Machine Report'!$C$109:$BD$166,34,FALSE)</f>
        <v>0</v>
      </c>
      <c r="AN6" s="10">
        <f ca="1">VLOOKUP($B6,'[3]Analisys QBR By Machine Report'!$C$109:$BD$166,35,FALSE)</f>
        <v>60</v>
      </c>
      <c r="AO6" s="10">
        <f ca="1">VLOOKUP($B6,'[3]Analisys QBR By Machine Report'!$C$109:$BD$166,36,FALSE)</f>
        <v>90</v>
      </c>
      <c r="AP6" s="10">
        <f ca="1">VLOOKUP($B6,'[3]Analisys QBR By Machine Report'!$C$109:$BD$166,37,FALSE)</f>
        <v>0</v>
      </c>
      <c r="AQ6" s="10">
        <f ca="1">VLOOKUP($B6,'[3]Analisys QBR By Machine Report'!$C$109:$BD$166,38,FALSE)</f>
        <v>0</v>
      </c>
      <c r="AR6" s="10">
        <f ca="1">VLOOKUP($B6,'[3]Analisys QBR By Machine Report'!$C$109:$BD$166,39,FALSE)</f>
        <v>480</v>
      </c>
      <c r="AS6" s="10">
        <f ca="1">VLOOKUP($B6,'[3]Analisys QBR By Machine Report'!$C$109:$BD$166,40,FALSE)</f>
        <v>30</v>
      </c>
      <c r="AT6" s="10">
        <f ca="1">VLOOKUP($B6,'[3]Analisys QBR By Machine Report'!$C$109:$BD$166,41,FALSE)</f>
        <v>0</v>
      </c>
      <c r="AU6" s="10">
        <f ca="1">VLOOKUP($B6,'[3]Analisys QBR By Machine Report'!$C$109:$BD$166,42,FALSE)</f>
        <v>0</v>
      </c>
      <c r="AV6" s="10">
        <f ca="1">VLOOKUP($B6,'[3]Analisys QBR By Machine Report'!$C$109:$BD$166,43,FALSE)</f>
        <v>0</v>
      </c>
      <c r="AW6" s="10">
        <f ca="1">VLOOKUP($B6,'[3]Analisys QBR By Machine Report'!$C$109:$BD$166,44,FALSE)</f>
        <v>0</v>
      </c>
      <c r="AX6" s="10">
        <f ca="1">VLOOKUP($B6,'[3]Analisys QBR By Machine Report'!$C$109:$BD$166,45,FALSE)</f>
        <v>0</v>
      </c>
      <c r="AY6" s="10">
        <f ca="1">VLOOKUP($B6,'[3]Analisys QBR By Machine Report'!$C$109:$BD$166,46,FALSE)</f>
        <v>0</v>
      </c>
      <c r="AZ6" s="10">
        <f ca="1">VLOOKUP($B6,'[3]Analisys QBR By Machine Report'!$C$109:$BD$166,47,FALSE)</f>
        <v>90</v>
      </c>
      <c r="BA6" s="10">
        <f ca="1">VLOOKUP($B6,'[3]Analisys QBR By Machine Report'!$C$109:$BD$166,48,FALSE)</f>
        <v>0</v>
      </c>
      <c r="BB6" s="10">
        <f ca="1">VLOOKUP($B6,'[3]Analisys QBR By Machine Report'!$C$109:$BD$166,49,FALSE)</f>
        <v>0</v>
      </c>
      <c r="BC6" s="10">
        <f ca="1">VLOOKUP($B6,'[3]Analisys QBR By Machine Report'!$C$109:$BD$166,50,FALSE)</f>
        <v>0</v>
      </c>
      <c r="BD6" s="10">
        <f ca="1">VLOOKUP($B6,'[3]Analisys QBR By Machine Report'!$C$109:$BD$166,51,FALSE)</f>
        <v>191748</v>
      </c>
      <c r="BE6" s="10">
        <f ca="1">VLOOKUP($B6,'[3]Analisys QBR By Machine Report'!$C$109:$BD$166,52,FALSE)</f>
        <v>0</v>
      </c>
      <c r="BF6" s="10">
        <f ca="1">VLOOKUP($B6,'[3]Analisys QBR By Machine Report'!$C$109:$BD$166,53,FALSE)</f>
        <v>191748</v>
      </c>
    </row>
    <row r="7" spans="1:58" x14ac:dyDescent="0.25">
      <c r="A7" s="12" t="s">
        <v>63</v>
      </c>
      <c r="B7" s="13">
        <f ca="1">VLOOKUP($B7,'[3]Analisys QBR By Machine Report'!$C$109:$BD$166,2,FALSE)</f>
        <v>28800</v>
      </c>
      <c r="C7" s="14">
        <f ca="1">VLOOKUP($B7,[3]Dasboard_QBR_Report!$B$109:$BL$166,3,FALSE)</f>
        <v>9600</v>
      </c>
      <c r="D7" s="13">
        <f ca="1">VLOOKUP($B7,'[3]Analisys QBR By Machine Report'!$C$109:$BD$166,3,FALSE)</f>
        <v>27315</v>
      </c>
      <c r="E7" s="14">
        <f ca="1">VLOOKUP($B7,[3]Dasboard_QBR_Report!$B$109:$BL$166,5,FALSE)</f>
        <v>8115</v>
      </c>
      <c r="F7" s="13">
        <f t="shared" ca="1" si="0"/>
        <v>1485</v>
      </c>
      <c r="G7" s="13">
        <f t="shared" ca="1" si="1"/>
        <v>0</v>
      </c>
      <c r="H7" s="13">
        <f ca="1">VLOOKUP($B7,'[3]Analisys QBR By Machine Report'!$C$109:$BD$166,4,FALSE)</f>
        <v>0</v>
      </c>
      <c r="I7" s="13">
        <f ca="1">VLOOKUP($B7,'[3]Analisys QBR By Machine Report'!$C$109:$BD$166,5,FALSE)</f>
        <v>0</v>
      </c>
      <c r="J7" s="13">
        <f ca="1">VLOOKUP($B7,'[3]Analisys QBR By Machine Report'!$C$109:$BD$166,6,FALSE)</f>
        <v>0</v>
      </c>
      <c r="K7" s="13">
        <f ca="1">VLOOKUP($B7,'[3]Analisys QBR By Machine Report'!$C$109:$BD$166,7,FALSE)</f>
        <v>0</v>
      </c>
      <c r="L7" s="13">
        <f ca="1">VLOOKUP($B7,'[3]Analisys QBR By Machine Report'!$C$109:$BD$166,8,FALSE)</f>
        <v>1485</v>
      </c>
      <c r="M7" s="13">
        <f ca="1">VLOOKUP($B7,'[3]Analisys QBR By Machine Report'!$C$109:$BD$166,9,FALSE)</f>
        <v>380</v>
      </c>
      <c r="N7" s="13">
        <f ca="1">VLOOKUP($B7,[3]Dasboard_QBR_Report!$B$109:$BL$166,18,FALSE)</f>
        <v>1105</v>
      </c>
      <c r="O7" s="13">
        <f ca="1">VLOOKUP($B7,'[3]Analisys QBR By Machine Report'!$C$109:$BD$166,10,FALSE)</f>
        <v>260</v>
      </c>
      <c r="P7" s="13">
        <f ca="1">VLOOKUP($B7,'[3]Analisys QBR By Machine Report'!$C$109:$BD$166,11,FALSE)</f>
        <v>260</v>
      </c>
      <c r="Q7" s="13">
        <f ca="1">VLOOKUP($B7,'[3]Analisys QBR By Machine Report'!$C$109:$BD$166,12,FALSE)</f>
        <v>0</v>
      </c>
      <c r="R7" s="13">
        <f ca="1">VLOOKUP($B7,'[3]Analisys QBR By Machine Report'!$C$109:$BD$166,13,FALSE)</f>
        <v>0</v>
      </c>
      <c r="S7" s="13">
        <f ca="1">VLOOKUP($B7,'[3]Analisys QBR By Machine Report'!$C$109:$BD$166,14,FALSE)</f>
        <v>0</v>
      </c>
      <c r="T7" s="13">
        <f ca="1">VLOOKUP($B7,'[3]Analisys QBR By Machine Report'!$C$109:$BD$166,15,FALSE)</f>
        <v>0</v>
      </c>
      <c r="U7" s="13">
        <f ca="1">VLOOKUP($B7,'[3]Analisys QBR By Machine Report'!$C$109:$BD$166,16,FALSE)</f>
        <v>0</v>
      </c>
      <c r="V7" s="13">
        <f ca="1">VLOOKUP($B7,'[3]Analisys QBR By Machine Report'!$C$109:$BD$166,17,FALSE)</f>
        <v>0</v>
      </c>
      <c r="W7" s="13">
        <f ca="1">VLOOKUP($B7,'[3]Analisys QBR By Machine Report'!$C$109:$BD$166,18,FALSE)</f>
        <v>0</v>
      </c>
      <c r="X7" s="13">
        <f ca="1">VLOOKUP($B7,'[3]Analisys QBR By Machine Report'!$C$109:$BD$166,19,FALSE)</f>
        <v>0</v>
      </c>
      <c r="Y7" s="13">
        <f ca="1">VLOOKUP($B7,'[3]Analisys QBR By Machine Report'!$C$109:$BD$166,20,FALSE)</f>
        <v>0</v>
      </c>
      <c r="Z7" s="13">
        <f ca="1">VLOOKUP($B7,'[3]Analisys QBR By Machine Report'!$C$109:$BD$166,21,FALSE)</f>
        <v>400</v>
      </c>
      <c r="AA7" s="13">
        <f ca="1">VLOOKUP($B7,'[3]Analisys QBR By Machine Report'!$C$109:$BD$166,22,FALSE)</f>
        <v>270</v>
      </c>
      <c r="AB7" s="13">
        <f ca="1">VLOOKUP($B7,'[3]Analisys QBR By Machine Report'!$C$109:$BD$166,23,FALSE)</f>
        <v>60</v>
      </c>
      <c r="AC7" s="13">
        <f ca="1">VLOOKUP($B7,'[3]Analisys QBR By Machine Report'!$C$109:$BD$166,24,FALSE)</f>
        <v>35</v>
      </c>
      <c r="AD7" s="13">
        <f ca="1">VLOOKUP($B7,'[3]Analisys QBR By Machine Report'!$C$109:$BD$166,25,FALSE)</f>
        <v>0</v>
      </c>
      <c r="AE7" s="13">
        <f ca="1">VLOOKUP($B7,'[3]Analisys QBR By Machine Report'!$C$109:$BD$166,26,FALSE)</f>
        <v>35</v>
      </c>
      <c r="AF7" s="13">
        <f ca="1">VLOOKUP($B7,'[3]Analisys QBR By Machine Report'!$C$109:$BD$166,27,FALSE)</f>
        <v>0</v>
      </c>
      <c r="AG7" s="13">
        <f ca="1">VLOOKUP($B7,'[3]Analisys QBR By Machine Report'!$C$109:$BD$166,28,FALSE)</f>
        <v>0</v>
      </c>
      <c r="AH7" s="13">
        <f ca="1">VLOOKUP($B7,'[3]Analisys QBR By Machine Report'!$C$109:$BD$166,29,FALSE)</f>
        <v>0</v>
      </c>
      <c r="AI7" s="13">
        <f ca="1">VLOOKUP($B7,'[3]Analisys QBR By Machine Report'!$C$109:$BD$166,30,FALSE)</f>
        <v>445</v>
      </c>
      <c r="AJ7" s="13">
        <f ca="1">VLOOKUP($B7,'[3]Analisys QBR By Machine Report'!$C$109:$BD$166,31,FALSE)</f>
        <v>0</v>
      </c>
      <c r="AK7" s="13">
        <f ca="1">VLOOKUP($B7,'[3]Analisys QBR By Machine Report'!$C$109:$BD$166,32,FALSE)</f>
        <v>0</v>
      </c>
      <c r="AL7" s="13">
        <f ca="1">VLOOKUP($B7,'[3]Analisys QBR By Machine Report'!$C$109:$BD$166,33,FALSE)</f>
        <v>0</v>
      </c>
      <c r="AM7" s="13">
        <f ca="1">VLOOKUP($B7,'[3]Analisys QBR By Machine Report'!$C$109:$BD$166,34,FALSE)</f>
        <v>0</v>
      </c>
      <c r="AN7" s="13">
        <f ca="1">VLOOKUP($B7,'[3]Analisys QBR By Machine Report'!$C$109:$BD$166,35,FALSE)</f>
        <v>60</v>
      </c>
      <c r="AO7" s="13">
        <f ca="1">VLOOKUP($B7,'[3]Analisys QBR By Machine Report'!$C$109:$BD$166,36,FALSE)</f>
        <v>90</v>
      </c>
      <c r="AP7" s="13">
        <f ca="1">VLOOKUP($B7,'[3]Analisys QBR By Machine Report'!$C$109:$BD$166,37,FALSE)</f>
        <v>0</v>
      </c>
      <c r="AQ7" s="13">
        <f ca="1">VLOOKUP($B7,'[3]Analisys QBR By Machine Report'!$C$109:$BD$166,38,FALSE)</f>
        <v>0</v>
      </c>
      <c r="AR7" s="13">
        <f ca="1">VLOOKUP($B7,'[3]Analisys QBR By Machine Report'!$C$109:$BD$166,39,FALSE)</f>
        <v>180</v>
      </c>
      <c r="AS7" s="13">
        <f ca="1">VLOOKUP($B7,'[3]Analisys QBR By Machine Report'!$C$109:$BD$166,40,FALSE)</f>
        <v>25</v>
      </c>
      <c r="AT7" s="13">
        <f ca="1">VLOOKUP($B7,'[3]Analisys QBR By Machine Report'!$C$109:$BD$166,41,FALSE)</f>
        <v>0</v>
      </c>
      <c r="AU7" s="13">
        <f ca="1">VLOOKUP($B7,'[3]Analisys QBR By Machine Report'!$C$109:$BD$166,42,FALSE)</f>
        <v>0</v>
      </c>
      <c r="AV7" s="13">
        <f ca="1">VLOOKUP($B7,'[3]Analisys QBR By Machine Report'!$C$109:$BD$166,43,FALSE)</f>
        <v>0</v>
      </c>
      <c r="AW7" s="13">
        <f ca="1">VLOOKUP($B7,'[3]Analisys QBR By Machine Report'!$C$109:$BD$166,44,FALSE)</f>
        <v>0</v>
      </c>
      <c r="AX7" s="13">
        <f ca="1">VLOOKUP($B7,'[3]Analisys QBR By Machine Report'!$C$109:$BD$166,45,FALSE)</f>
        <v>0</v>
      </c>
      <c r="AY7" s="13">
        <f ca="1">VLOOKUP($B7,'[3]Analisys QBR By Machine Report'!$C$109:$BD$166,46,FALSE)</f>
        <v>0</v>
      </c>
      <c r="AZ7" s="13">
        <f ca="1">VLOOKUP($B7,'[3]Analisys QBR By Machine Report'!$C$109:$BD$166,47,FALSE)</f>
        <v>90</v>
      </c>
      <c r="BA7" s="13">
        <f ca="1">VLOOKUP($B7,'[3]Analisys QBR By Machine Report'!$C$109:$BD$166,48,FALSE)</f>
        <v>0</v>
      </c>
      <c r="BB7" s="13">
        <f ca="1">VLOOKUP($B7,'[3]Analisys QBR By Machine Report'!$C$109:$BD$166,49,FALSE)</f>
        <v>0</v>
      </c>
      <c r="BC7" s="13">
        <f ca="1">VLOOKUP($B7,'[3]Analisys QBR By Machine Report'!$C$109:$BD$166,50,FALSE)</f>
        <v>0</v>
      </c>
      <c r="BD7" s="13">
        <f ca="1">VLOOKUP($B7,'[3]Analisys QBR By Machine Report'!$C$109:$BD$166,51,FALSE)</f>
        <v>95874</v>
      </c>
      <c r="BE7" s="13">
        <f ca="1">VLOOKUP($B7,'[3]Analisys QBR By Machine Report'!$C$109:$BD$166,52,FALSE)</f>
        <v>0</v>
      </c>
      <c r="BF7" s="13">
        <f ca="1">VLOOKUP($B7,'[3]Analisys QBR By Machine Report'!$C$109:$BD$166,53,FALSE)</f>
        <v>95874</v>
      </c>
    </row>
    <row r="8" spans="1:58" x14ac:dyDescent="0.25">
      <c r="A8" s="12" t="s">
        <v>64</v>
      </c>
      <c r="B8" s="13">
        <f ca="1">VLOOKUP($B8,'[3]Analisys QBR By Machine Report'!$C$109:$BD$166,2,FALSE)</f>
        <v>28800</v>
      </c>
      <c r="C8" s="14">
        <f ca="1">VLOOKUP($B8,[3]Dasboard_QBR_Report!$B$109:$BL$166,3,FALSE)</f>
        <v>9600</v>
      </c>
      <c r="D8" s="13">
        <f ca="1">VLOOKUP($B8,'[3]Analisys QBR By Machine Report'!$C$109:$BD$166,3,FALSE)</f>
        <v>28305</v>
      </c>
      <c r="E8" s="14">
        <f ca="1">VLOOKUP($B8,[3]Dasboard_QBR_Report!$B$109:$BL$166,5,FALSE)</f>
        <v>9105</v>
      </c>
      <c r="F8" s="13">
        <f t="shared" ca="1" si="0"/>
        <v>495</v>
      </c>
      <c r="G8" s="13">
        <f t="shared" ca="1" si="1"/>
        <v>0</v>
      </c>
      <c r="H8" s="13">
        <f ca="1">VLOOKUP($B8,'[3]Analisys QBR By Machine Report'!$C$109:$BD$166,4,FALSE)</f>
        <v>0</v>
      </c>
      <c r="I8" s="13">
        <f ca="1">VLOOKUP($B8,'[3]Analisys QBR By Machine Report'!$C$109:$BD$166,5,FALSE)</f>
        <v>0</v>
      </c>
      <c r="J8" s="13">
        <f ca="1">VLOOKUP($B8,'[3]Analisys QBR By Machine Report'!$C$109:$BD$166,6,FALSE)</f>
        <v>0</v>
      </c>
      <c r="K8" s="13">
        <f ca="1">VLOOKUP($B8,'[3]Analisys QBR By Machine Report'!$C$109:$BD$166,7,FALSE)</f>
        <v>0</v>
      </c>
      <c r="L8" s="13">
        <f ca="1">VLOOKUP($B8,'[3]Analisys QBR By Machine Report'!$C$109:$BD$166,8,FALSE)</f>
        <v>495</v>
      </c>
      <c r="M8" s="13">
        <f ca="1">VLOOKUP($B8,'[3]Analisys QBR By Machine Report'!$C$109:$BD$166,9,FALSE)</f>
        <v>130</v>
      </c>
      <c r="N8" s="13">
        <f ca="1">VLOOKUP($B8,[3]Dasboard_QBR_Report!$B$109:$BL$166,18,FALSE)</f>
        <v>365</v>
      </c>
      <c r="O8" s="13">
        <f ca="1">VLOOKUP($B8,'[3]Analisys QBR By Machine Report'!$C$109:$BD$166,10,FALSE)</f>
        <v>40</v>
      </c>
      <c r="P8" s="13">
        <f ca="1">VLOOKUP($B8,'[3]Analisys QBR By Machine Report'!$C$109:$BD$166,11,FALSE)</f>
        <v>40</v>
      </c>
      <c r="Q8" s="13">
        <f ca="1">VLOOKUP($B8,'[3]Analisys QBR By Machine Report'!$C$109:$BD$166,12,FALSE)</f>
        <v>0</v>
      </c>
      <c r="R8" s="13">
        <f ca="1">VLOOKUP($B8,'[3]Analisys QBR By Machine Report'!$C$109:$BD$166,13,FALSE)</f>
        <v>0</v>
      </c>
      <c r="S8" s="13">
        <f ca="1">VLOOKUP($B8,'[3]Analisys QBR By Machine Report'!$C$109:$BD$166,14,FALSE)</f>
        <v>0</v>
      </c>
      <c r="T8" s="13">
        <f ca="1">VLOOKUP($B8,'[3]Analisys QBR By Machine Report'!$C$109:$BD$166,15,FALSE)</f>
        <v>0</v>
      </c>
      <c r="U8" s="13">
        <f ca="1">VLOOKUP($B8,'[3]Analisys QBR By Machine Report'!$C$109:$BD$166,16,FALSE)</f>
        <v>0</v>
      </c>
      <c r="V8" s="13">
        <f ca="1">VLOOKUP($B8,'[3]Analisys QBR By Machine Report'!$C$109:$BD$166,17,FALSE)</f>
        <v>0</v>
      </c>
      <c r="W8" s="13">
        <f ca="1">VLOOKUP($B8,'[3]Analisys QBR By Machine Report'!$C$109:$BD$166,18,FALSE)</f>
        <v>0</v>
      </c>
      <c r="X8" s="13">
        <f ca="1">VLOOKUP($B8,'[3]Analisys QBR By Machine Report'!$C$109:$BD$166,19,FALSE)</f>
        <v>0</v>
      </c>
      <c r="Y8" s="13">
        <f ca="1">VLOOKUP($B8,'[3]Analisys QBR By Machine Report'!$C$109:$BD$166,20,FALSE)</f>
        <v>0</v>
      </c>
      <c r="Z8" s="13">
        <f ca="1">VLOOKUP($B8,'[3]Analisys QBR By Machine Report'!$C$109:$BD$166,21,FALSE)</f>
        <v>20</v>
      </c>
      <c r="AA8" s="13">
        <f ca="1">VLOOKUP($B8,'[3]Analisys QBR By Machine Report'!$C$109:$BD$166,22,FALSE)</f>
        <v>15</v>
      </c>
      <c r="AB8" s="13">
        <f ca="1">VLOOKUP($B8,'[3]Analisys QBR By Machine Report'!$C$109:$BD$166,23,FALSE)</f>
        <v>0</v>
      </c>
      <c r="AC8" s="13">
        <f ca="1">VLOOKUP($B8,'[3]Analisys QBR By Machine Report'!$C$109:$BD$166,24,FALSE)</f>
        <v>0</v>
      </c>
      <c r="AD8" s="13">
        <f ca="1">VLOOKUP($B8,'[3]Analisys QBR By Machine Report'!$C$109:$BD$166,25,FALSE)</f>
        <v>0</v>
      </c>
      <c r="AE8" s="13">
        <f ca="1">VLOOKUP($B8,'[3]Analisys QBR By Machine Report'!$C$109:$BD$166,26,FALSE)</f>
        <v>5</v>
      </c>
      <c r="AF8" s="13">
        <f ca="1">VLOOKUP($B8,'[3]Analisys QBR By Machine Report'!$C$109:$BD$166,27,FALSE)</f>
        <v>0</v>
      </c>
      <c r="AG8" s="13">
        <f ca="1">VLOOKUP($B8,'[3]Analisys QBR By Machine Report'!$C$109:$BD$166,28,FALSE)</f>
        <v>0</v>
      </c>
      <c r="AH8" s="13">
        <f ca="1">VLOOKUP($B8,'[3]Analisys QBR By Machine Report'!$C$109:$BD$166,29,FALSE)</f>
        <v>0</v>
      </c>
      <c r="AI8" s="13">
        <f ca="1">VLOOKUP($B8,'[3]Analisys QBR By Machine Report'!$C$109:$BD$166,30,FALSE)</f>
        <v>305</v>
      </c>
      <c r="AJ8" s="13">
        <f ca="1">VLOOKUP($B8,'[3]Analisys QBR By Machine Report'!$C$109:$BD$166,31,FALSE)</f>
        <v>0</v>
      </c>
      <c r="AK8" s="13">
        <f ca="1">VLOOKUP($B8,'[3]Analisys QBR By Machine Report'!$C$109:$BD$166,32,FALSE)</f>
        <v>0</v>
      </c>
      <c r="AL8" s="13">
        <f ca="1">VLOOKUP($B8,'[3]Analisys QBR By Machine Report'!$C$109:$BD$166,33,FALSE)</f>
        <v>0</v>
      </c>
      <c r="AM8" s="13">
        <f ca="1">VLOOKUP($B8,'[3]Analisys QBR By Machine Report'!$C$109:$BD$166,34,FALSE)</f>
        <v>0</v>
      </c>
      <c r="AN8" s="13">
        <f ca="1">VLOOKUP($B8,'[3]Analisys QBR By Machine Report'!$C$109:$BD$166,35,FALSE)</f>
        <v>0</v>
      </c>
      <c r="AO8" s="13">
        <f ca="1">VLOOKUP($B8,'[3]Analisys QBR By Machine Report'!$C$109:$BD$166,36,FALSE)</f>
        <v>0</v>
      </c>
      <c r="AP8" s="13">
        <f ca="1">VLOOKUP($B8,'[3]Analisys QBR By Machine Report'!$C$109:$BD$166,37,FALSE)</f>
        <v>0</v>
      </c>
      <c r="AQ8" s="13">
        <f ca="1">VLOOKUP($B8,'[3]Analisys QBR By Machine Report'!$C$109:$BD$166,38,FALSE)</f>
        <v>0</v>
      </c>
      <c r="AR8" s="13">
        <f ca="1">VLOOKUP($B8,'[3]Analisys QBR By Machine Report'!$C$109:$BD$166,39,FALSE)</f>
        <v>300</v>
      </c>
      <c r="AS8" s="13">
        <f ca="1">VLOOKUP($B8,'[3]Analisys QBR By Machine Report'!$C$109:$BD$166,40,FALSE)</f>
        <v>5</v>
      </c>
      <c r="AT8" s="13">
        <f ca="1">VLOOKUP($B8,'[3]Analisys QBR By Machine Report'!$C$109:$BD$166,41,FALSE)</f>
        <v>0</v>
      </c>
      <c r="AU8" s="13">
        <f ca="1">VLOOKUP($B8,'[3]Analisys QBR By Machine Report'!$C$109:$BD$166,42,FALSE)</f>
        <v>0</v>
      </c>
      <c r="AV8" s="13">
        <f ca="1">VLOOKUP($B8,'[3]Analisys QBR By Machine Report'!$C$109:$BD$166,43,FALSE)</f>
        <v>0</v>
      </c>
      <c r="AW8" s="13">
        <f ca="1">VLOOKUP($B8,'[3]Analisys QBR By Machine Report'!$C$109:$BD$166,44,FALSE)</f>
        <v>0</v>
      </c>
      <c r="AX8" s="13">
        <f ca="1">VLOOKUP($B8,'[3]Analisys QBR By Machine Report'!$C$109:$BD$166,45,FALSE)</f>
        <v>0</v>
      </c>
      <c r="AY8" s="13">
        <f ca="1">VLOOKUP($B8,'[3]Analisys QBR By Machine Report'!$C$109:$BD$166,46,FALSE)</f>
        <v>0</v>
      </c>
      <c r="AZ8" s="13">
        <f ca="1">VLOOKUP($B8,'[3]Analisys QBR By Machine Report'!$C$109:$BD$166,47,FALSE)</f>
        <v>0</v>
      </c>
      <c r="BA8" s="13">
        <f ca="1">VLOOKUP($B8,'[3]Analisys QBR By Machine Report'!$C$109:$BD$166,48,FALSE)</f>
        <v>0</v>
      </c>
      <c r="BB8" s="13">
        <f ca="1">VLOOKUP($B8,'[3]Analisys QBR By Machine Report'!$C$109:$BD$166,49,FALSE)</f>
        <v>0</v>
      </c>
      <c r="BC8" s="13">
        <f ca="1">VLOOKUP($B8,'[3]Analisys QBR By Machine Report'!$C$109:$BD$166,50,FALSE)</f>
        <v>0</v>
      </c>
      <c r="BD8" s="13">
        <f ca="1">VLOOKUP($B8,'[3]Analisys QBR By Machine Report'!$C$109:$BD$166,51,FALSE)</f>
        <v>95874</v>
      </c>
      <c r="BE8" s="13">
        <f ca="1">VLOOKUP($B8,'[3]Analisys QBR By Machine Report'!$C$109:$BD$166,52,FALSE)</f>
        <v>0</v>
      </c>
      <c r="BF8" s="13">
        <f ca="1">VLOOKUP($B8,'[3]Analisys QBR By Machine Report'!$C$109:$BD$166,53,FALSE)</f>
        <v>95874</v>
      </c>
    </row>
    <row r="9" spans="1:58" x14ac:dyDescent="0.25">
      <c r="A9" s="9" t="s">
        <v>65</v>
      </c>
      <c r="B9" s="10">
        <f ca="1">VLOOKUP($B9,'[3]Analisys QBR By Machine Report'!$C$109:$BD$166,2,FALSE)</f>
        <v>89280</v>
      </c>
      <c r="C9" s="11">
        <f ca="1">VLOOKUP($B9,[3]Dasboard_QBR_Report!$B$109:$BL$166,3,FALSE)</f>
        <v>48660</v>
      </c>
      <c r="D9" s="10">
        <f ca="1">VLOOKUP($B9,'[3]Analisys QBR By Machine Report'!$C$109:$BD$166,3,FALSE)</f>
        <v>48765</v>
      </c>
      <c r="E9" s="11">
        <f ca="1">VLOOKUP($B9,[3]Dasboard_QBR_Report!$B$109:$BL$166,5,FALSE)</f>
        <v>8145</v>
      </c>
      <c r="F9" s="10">
        <f t="shared" ca="1" si="0"/>
        <v>40515</v>
      </c>
      <c r="G9" s="10">
        <f t="shared" ca="1" si="1"/>
        <v>1490</v>
      </c>
      <c r="H9" s="10">
        <f ca="1">VLOOKUP($B9,'[3]Analisys QBR By Machine Report'!$C$109:$BD$166,4,FALSE)</f>
        <v>1490</v>
      </c>
      <c r="I9" s="10">
        <f ca="1">VLOOKUP($B9,'[3]Analisys QBR By Machine Report'!$C$109:$BD$166,5,FALSE)</f>
        <v>0</v>
      </c>
      <c r="J9" s="10">
        <f ca="1">VLOOKUP($B9,'[3]Analisys QBR By Machine Report'!$C$109:$BD$166,6,FALSE)</f>
        <v>1490</v>
      </c>
      <c r="K9" s="10">
        <f ca="1">VLOOKUP($B9,'[3]Analisys QBR By Machine Report'!$C$109:$BD$166,7,FALSE)</f>
        <v>0</v>
      </c>
      <c r="L9" s="10">
        <f ca="1">VLOOKUP($B9,'[3]Analisys QBR By Machine Report'!$C$109:$BD$166,8,FALSE)</f>
        <v>39025</v>
      </c>
      <c r="M9" s="10">
        <f ca="1">VLOOKUP($B9,'[3]Analisys QBR By Machine Report'!$C$109:$BD$166,9,FALSE)</f>
        <v>15550</v>
      </c>
      <c r="N9" s="10">
        <f ca="1">VLOOKUP($B9,[3]Dasboard_QBR_Report!$B$109:$BL$166,18,FALSE)</f>
        <v>23475</v>
      </c>
      <c r="O9" s="10">
        <f ca="1">VLOOKUP($B9,'[3]Analisys QBR By Machine Report'!$C$109:$BD$166,10,FALSE)</f>
        <v>3890</v>
      </c>
      <c r="P9" s="10">
        <f ca="1">VLOOKUP($B9,'[3]Analisys QBR By Machine Report'!$C$109:$BD$166,11,FALSE)</f>
        <v>3085</v>
      </c>
      <c r="Q9" s="10">
        <f ca="1">VLOOKUP($B9,'[3]Analisys QBR By Machine Report'!$C$109:$BD$166,12,FALSE)</f>
        <v>0</v>
      </c>
      <c r="R9" s="10">
        <f ca="1">VLOOKUP($B9,'[3]Analisys QBR By Machine Report'!$C$109:$BD$166,13,FALSE)</f>
        <v>70</v>
      </c>
      <c r="S9" s="10">
        <f ca="1">VLOOKUP($B9,'[3]Analisys QBR By Machine Report'!$C$109:$BD$166,14,FALSE)</f>
        <v>735</v>
      </c>
      <c r="T9" s="10">
        <f ca="1">VLOOKUP($B9,'[3]Analisys QBR By Machine Report'!$C$109:$BD$166,15,FALSE)</f>
        <v>40</v>
      </c>
      <c r="U9" s="10">
        <f ca="1">VLOOKUP($B9,'[3]Analisys QBR By Machine Report'!$C$109:$BD$166,16,FALSE)</f>
        <v>0</v>
      </c>
      <c r="V9" s="10">
        <f ca="1">VLOOKUP($B9,'[3]Analisys QBR By Machine Report'!$C$109:$BD$166,17,FALSE)</f>
        <v>0</v>
      </c>
      <c r="W9" s="10">
        <f ca="1">VLOOKUP($B9,'[3]Analisys QBR By Machine Report'!$C$109:$BD$166,18,FALSE)</f>
        <v>0</v>
      </c>
      <c r="X9" s="10">
        <f ca="1">VLOOKUP($B9,'[3]Analisys QBR By Machine Report'!$C$109:$BD$166,19,FALSE)</f>
        <v>40</v>
      </c>
      <c r="Y9" s="10">
        <f ca="1">VLOOKUP($B9,'[3]Analisys QBR By Machine Report'!$C$109:$BD$166,20,FALSE)</f>
        <v>0</v>
      </c>
      <c r="Z9" s="10">
        <f ca="1">VLOOKUP($B9,'[3]Analisys QBR By Machine Report'!$C$109:$BD$166,21,FALSE)</f>
        <v>6695</v>
      </c>
      <c r="AA9" s="10">
        <f ca="1">VLOOKUP($B9,'[3]Analisys QBR By Machine Report'!$C$109:$BD$166,22,FALSE)</f>
        <v>1490</v>
      </c>
      <c r="AB9" s="10">
        <f ca="1">VLOOKUP($B9,'[3]Analisys QBR By Machine Report'!$C$109:$BD$166,23,FALSE)</f>
        <v>4120</v>
      </c>
      <c r="AC9" s="10">
        <f ca="1">VLOOKUP($B9,'[3]Analisys QBR By Machine Report'!$C$109:$BD$166,24,FALSE)</f>
        <v>395</v>
      </c>
      <c r="AD9" s="10">
        <f ca="1">VLOOKUP($B9,'[3]Analisys QBR By Machine Report'!$C$109:$BD$166,25,FALSE)</f>
        <v>0</v>
      </c>
      <c r="AE9" s="10">
        <f ca="1">VLOOKUP($B9,'[3]Analisys QBR By Machine Report'!$C$109:$BD$166,26,FALSE)</f>
        <v>690</v>
      </c>
      <c r="AF9" s="10">
        <f ca="1">VLOOKUP($B9,'[3]Analisys QBR By Machine Report'!$C$109:$BD$166,27,FALSE)</f>
        <v>3055</v>
      </c>
      <c r="AG9" s="10">
        <f ca="1">VLOOKUP($B9,'[3]Analisys QBR By Machine Report'!$C$109:$BD$166,28,FALSE)</f>
        <v>195</v>
      </c>
      <c r="AH9" s="10">
        <f ca="1">VLOOKUP($B9,'[3]Analisys QBR By Machine Report'!$C$109:$BD$166,29,FALSE)</f>
        <v>2860</v>
      </c>
      <c r="AI9" s="10">
        <f ca="1">VLOOKUP($B9,'[3]Analisys QBR By Machine Report'!$C$109:$BD$166,30,FALSE)</f>
        <v>9795</v>
      </c>
      <c r="AJ9" s="10">
        <f ca="1">VLOOKUP($B9,'[3]Analisys QBR By Machine Report'!$C$109:$BD$166,31,FALSE)</f>
        <v>0</v>
      </c>
      <c r="AK9" s="10">
        <f ca="1">VLOOKUP($B9,'[3]Analisys QBR By Machine Report'!$C$109:$BD$166,32,FALSE)</f>
        <v>0</v>
      </c>
      <c r="AL9" s="10">
        <f ca="1">VLOOKUP($B9,'[3]Analisys QBR By Machine Report'!$C$109:$BD$166,33,FALSE)</f>
        <v>1085</v>
      </c>
      <c r="AM9" s="10">
        <f ca="1">VLOOKUP($B9,'[3]Analisys QBR By Machine Report'!$C$109:$BD$166,34,FALSE)</f>
        <v>0</v>
      </c>
      <c r="AN9" s="10">
        <f ca="1">VLOOKUP($B9,'[3]Analisys QBR By Machine Report'!$C$109:$BD$166,35,FALSE)</f>
        <v>1890</v>
      </c>
      <c r="AO9" s="10">
        <f ca="1">VLOOKUP($B9,'[3]Analisys QBR By Machine Report'!$C$109:$BD$166,36,FALSE)</f>
        <v>1940</v>
      </c>
      <c r="AP9" s="10">
        <f ca="1">VLOOKUP($B9,'[3]Analisys QBR By Machine Report'!$C$109:$BD$166,37,FALSE)</f>
        <v>60</v>
      </c>
      <c r="AQ9" s="10">
        <f ca="1">VLOOKUP($B9,'[3]Analisys QBR By Machine Report'!$C$109:$BD$166,38,FALSE)</f>
        <v>0</v>
      </c>
      <c r="AR9" s="10">
        <f ca="1">VLOOKUP($B9,'[3]Analisys QBR By Machine Report'!$C$109:$BD$166,39,FALSE)</f>
        <v>530</v>
      </c>
      <c r="AS9" s="10">
        <f ca="1">VLOOKUP($B9,'[3]Analisys QBR By Machine Report'!$C$109:$BD$166,40,FALSE)</f>
        <v>630</v>
      </c>
      <c r="AT9" s="10">
        <f ca="1">VLOOKUP($B9,'[3]Analisys QBR By Machine Report'!$C$109:$BD$166,41,FALSE)</f>
        <v>0</v>
      </c>
      <c r="AU9" s="10">
        <f ca="1">VLOOKUP($B9,'[3]Analisys QBR By Machine Report'!$C$109:$BD$166,42,FALSE)</f>
        <v>0</v>
      </c>
      <c r="AV9" s="10">
        <f ca="1">VLOOKUP($B9,'[3]Analisys QBR By Machine Report'!$C$109:$BD$166,43,FALSE)</f>
        <v>0</v>
      </c>
      <c r="AW9" s="10">
        <f ca="1">VLOOKUP($B9,'[3]Analisys QBR By Machine Report'!$C$109:$BD$166,44,FALSE)</f>
        <v>0</v>
      </c>
      <c r="AX9" s="10">
        <f ca="1">VLOOKUP($B9,'[3]Analisys QBR By Machine Report'!$C$109:$BD$166,45,FALSE)</f>
        <v>0</v>
      </c>
      <c r="AY9" s="10">
        <f ca="1">VLOOKUP($B9,'[3]Analisys QBR By Machine Report'!$C$109:$BD$166,46,FALSE)</f>
        <v>0</v>
      </c>
      <c r="AZ9" s="10">
        <f ca="1">VLOOKUP($B9,'[3]Analisys QBR By Machine Report'!$C$109:$BD$166,47,FALSE)</f>
        <v>3440</v>
      </c>
      <c r="BA9" s="10">
        <f ca="1">VLOOKUP($B9,'[3]Analisys QBR By Machine Report'!$C$109:$BD$166,48,FALSE)</f>
        <v>220</v>
      </c>
      <c r="BB9" s="10">
        <f ca="1">VLOOKUP($B9,'[3]Analisys QBR By Machine Report'!$C$109:$BD$166,49,FALSE)</f>
        <v>0</v>
      </c>
      <c r="BC9" s="10">
        <f ca="1">VLOOKUP($B9,'[3]Analisys QBR By Machine Report'!$C$109:$BD$166,50,FALSE)</f>
        <v>0</v>
      </c>
      <c r="BD9" s="10">
        <f ca="1">VLOOKUP($B9,'[3]Analisys QBR By Machine Report'!$C$109:$BD$166,51,FALSE)</f>
        <v>11438714</v>
      </c>
      <c r="BE9" s="10">
        <f ca="1">VLOOKUP($B9,'[3]Analisys QBR By Machine Report'!$C$109:$BD$166,52,FALSE)</f>
        <v>1279</v>
      </c>
      <c r="BF9" s="10">
        <f ca="1">VLOOKUP($B9,'[3]Analisys QBR By Machine Report'!$C$109:$BD$166,53,FALSE)</f>
        <v>11437435</v>
      </c>
    </row>
    <row r="10" spans="1:58" x14ac:dyDescent="0.25">
      <c r="A10" s="12" t="s">
        <v>66</v>
      </c>
      <c r="B10" s="13">
        <f ca="1">VLOOKUP($B10,'[3]Analisys QBR By Machine Report'!$C$109:$BD$166,2,FALSE)</f>
        <v>30240</v>
      </c>
      <c r="C10" s="14">
        <f ca="1">VLOOKUP($B10,[3]Dasboard_QBR_Report!$B$109:$BL$166,3,FALSE)</f>
        <v>19530</v>
      </c>
      <c r="D10" s="13">
        <f ca="1">VLOOKUP($B10,'[3]Analisys QBR By Machine Report'!$C$109:$BD$166,3,FALSE)</f>
        <v>12225</v>
      </c>
      <c r="E10" s="14">
        <f ca="1">VLOOKUP($B10,[3]Dasboard_QBR_Report!$B$109:$BL$166,5,FALSE)</f>
        <v>1515</v>
      </c>
      <c r="F10" s="13">
        <f t="shared" ca="1" si="0"/>
        <v>18015</v>
      </c>
      <c r="G10" s="13">
        <f t="shared" ca="1" si="1"/>
        <v>300</v>
      </c>
      <c r="H10" s="13">
        <f ca="1">VLOOKUP($B10,'[3]Analisys QBR By Machine Report'!$C$109:$BD$166,4,FALSE)</f>
        <v>300</v>
      </c>
      <c r="I10" s="13">
        <f ca="1">VLOOKUP($B10,'[3]Analisys QBR By Machine Report'!$C$109:$BD$166,5,FALSE)</f>
        <v>0</v>
      </c>
      <c r="J10" s="13">
        <f ca="1">VLOOKUP($B10,'[3]Analisys QBR By Machine Report'!$C$109:$BD$166,6,FALSE)</f>
        <v>300</v>
      </c>
      <c r="K10" s="13">
        <f ca="1">VLOOKUP($B10,'[3]Analisys QBR By Machine Report'!$C$109:$BD$166,7,FALSE)</f>
        <v>0</v>
      </c>
      <c r="L10" s="13">
        <f ca="1">VLOOKUP($B10,'[3]Analisys QBR By Machine Report'!$C$109:$BD$166,8,FALSE)</f>
        <v>17715</v>
      </c>
      <c r="M10" s="13">
        <f ca="1">VLOOKUP($B10,'[3]Analisys QBR By Machine Report'!$C$109:$BD$166,9,FALSE)</f>
        <v>6995</v>
      </c>
      <c r="N10" s="13">
        <f ca="1">VLOOKUP($B10,[3]Dasboard_QBR_Report!$B$109:$BL$166,18,FALSE)</f>
        <v>10720</v>
      </c>
      <c r="O10" s="13">
        <f ca="1">VLOOKUP($B10,'[3]Analisys QBR By Machine Report'!$C$109:$BD$166,10,FALSE)</f>
        <v>1180</v>
      </c>
      <c r="P10" s="13">
        <f ca="1">VLOOKUP($B10,'[3]Analisys QBR By Machine Report'!$C$109:$BD$166,11,FALSE)</f>
        <v>1095</v>
      </c>
      <c r="Q10" s="13">
        <f ca="1">VLOOKUP($B10,'[3]Analisys QBR By Machine Report'!$C$109:$BD$166,12,FALSE)</f>
        <v>0</v>
      </c>
      <c r="R10" s="13">
        <f ca="1">VLOOKUP($B10,'[3]Analisys QBR By Machine Report'!$C$109:$BD$166,13,FALSE)</f>
        <v>0</v>
      </c>
      <c r="S10" s="13">
        <f ca="1">VLOOKUP($B10,'[3]Analisys QBR By Machine Report'!$C$109:$BD$166,14,FALSE)</f>
        <v>85</v>
      </c>
      <c r="T10" s="13">
        <f ca="1">VLOOKUP($B10,'[3]Analisys QBR By Machine Report'!$C$109:$BD$166,15,FALSE)</f>
        <v>40</v>
      </c>
      <c r="U10" s="13">
        <f ca="1">VLOOKUP($B10,'[3]Analisys QBR By Machine Report'!$C$109:$BD$166,16,FALSE)</f>
        <v>0</v>
      </c>
      <c r="V10" s="13">
        <f ca="1">VLOOKUP($B10,'[3]Analisys QBR By Machine Report'!$C$109:$BD$166,17,FALSE)</f>
        <v>0</v>
      </c>
      <c r="W10" s="13">
        <f ca="1">VLOOKUP($B10,'[3]Analisys QBR By Machine Report'!$C$109:$BD$166,18,FALSE)</f>
        <v>0</v>
      </c>
      <c r="X10" s="13">
        <f ca="1">VLOOKUP($B10,'[3]Analisys QBR By Machine Report'!$C$109:$BD$166,19,FALSE)</f>
        <v>40</v>
      </c>
      <c r="Y10" s="13">
        <f ca="1">VLOOKUP($B10,'[3]Analisys QBR By Machine Report'!$C$109:$BD$166,20,FALSE)</f>
        <v>0</v>
      </c>
      <c r="Z10" s="13">
        <f ca="1">VLOOKUP($B10,'[3]Analisys QBR By Machine Report'!$C$109:$BD$166,21,FALSE)</f>
        <v>2650</v>
      </c>
      <c r="AA10" s="13">
        <f ca="1">VLOOKUP($B10,'[3]Analisys QBR By Machine Report'!$C$109:$BD$166,22,FALSE)</f>
        <v>605</v>
      </c>
      <c r="AB10" s="13">
        <f ca="1">VLOOKUP($B10,'[3]Analisys QBR By Machine Report'!$C$109:$BD$166,23,FALSE)</f>
        <v>1635</v>
      </c>
      <c r="AC10" s="13">
        <f ca="1">VLOOKUP($B10,'[3]Analisys QBR By Machine Report'!$C$109:$BD$166,24,FALSE)</f>
        <v>105</v>
      </c>
      <c r="AD10" s="13">
        <f ca="1">VLOOKUP($B10,'[3]Analisys QBR By Machine Report'!$C$109:$BD$166,25,FALSE)</f>
        <v>0</v>
      </c>
      <c r="AE10" s="13">
        <f ca="1">VLOOKUP($B10,'[3]Analisys QBR By Machine Report'!$C$109:$BD$166,26,FALSE)</f>
        <v>305</v>
      </c>
      <c r="AF10" s="13">
        <f ca="1">VLOOKUP($B10,'[3]Analisys QBR By Machine Report'!$C$109:$BD$166,27,FALSE)</f>
        <v>2380</v>
      </c>
      <c r="AG10" s="13">
        <f ca="1">VLOOKUP($B10,'[3]Analisys QBR By Machine Report'!$C$109:$BD$166,28,FALSE)</f>
        <v>0</v>
      </c>
      <c r="AH10" s="13">
        <f ca="1">VLOOKUP($B10,'[3]Analisys QBR By Machine Report'!$C$109:$BD$166,29,FALSE)</f>
        <v>2380</v>
      </c>
      <c r="AI10" s="13">
        <f ca="1">VLOOKUP($B10,'[3]Analisys QBR By Machine Report'!$C$109:$BD$166,30,FALSE)</f>
        <v>4470</v>
      </c>
      <c r="AJ10" s="13">
        <f ca="1">VLOOKUP($B10,'[3]Analisys QBR By Machine Report'!$C$109:$BD$166,31,FALSE)</f>
        <v>0</v>
      </c>
      <c r="AK10" s="13">
        <f ca="1">VLOOKUP($B10,'[3]Analisys QBR By Machine Report'!$C$109:$BD$166,32,FALSE)</f>
        <v>0</v>
      </c>
      <c r="AL10" s="13">
        <f ca="1">VLOOKUP($B10,'[3]Analisys QBR By Machine Report'!$C$109:$BD$166,33,FALSE)</f>
        <v>435</v>
      </c>
      <c r="AM10" s="13">
        <f ca="1">VLOOKUP($B10,'[3]Analisys QBR By Machine Report'!$C$109:$BD$166,34,FALSE)</f>
        <v>0</v>
      </c>
      <c r="AN10" s="13">
        <f ca="1">VLOOKUP($B10,'[3]Analisys QBR By Machine Report'!$C$109:$BD$166,35,FALSE)</f>
        <v>730</v>
      </c>
      <c r="AO10" s="13">
        <f ca="1">VLOOKUP($B10,'[3]Analisys QBR By Machine Report'!$C$109:$BD$166,36,FALSE)</f>
        <v>1220</v>
      </c>
      <c r="AP10" s="13">
        <f ca="1">VLOOKUP($B10,'[3]Analisys QBR By Machine Report'!$C$109:$BD$166,37,FALSE)</f>
        <v>60</v>
      </c>
      <c r="AQ10" s="13">
        <f ca="1">VLOOKUP($B10,'[3]Analisys QBR By Machine Report'!$C$109:$BD$166,38,FALSE)</f>
        <v>0</v>
      </c>
      <c r="AR10" s="13">
        <f ca="1">VLOOKUP($B10,'[3]Analisys QBR By Machine Report'!$C$109:$BD$166,39,FALSE)</f>
        <v>220</v>
      </c>
      <c r="AS10" s="13">
        <f ca="1">VLOOKUP($B10,'[3]Analisys QBR By Machine Report'!$C$109:$BD$166,40,FALSE)</f>
        <v>290</v>
      </c>
      <c r="AT10" s="13">
        <f ca="1">VLOOKUP($B10,'[3]Analisys QBR By Machine Report'!$C$109:$BD$166,41,FALSE)</f>
        <v>0</v>
      </c>
      <c r="AU10" s="13">
        <f ca="1">VLOOKUP($B10,'[3]Analisys QBR By Machine Report'!$C$109:$BD$166,42,FALSE)</f>
        <v>0</v>
      </c>
      <c r="AV10" s="13">
        <f ca="1">VLOOKUP($B10,'[3]Analisys QBR By Machine Report'!$C$109:$BD$166,43,FALSE)</f>
        <v>0</v>
      </c>
      <c r="AW10" s="13">
        <f ca="1">VLOOKUP($B10,'[3]Analisys QBR By Machine Report'!$C$109:$BD$166,44,FALSE)</f>
        <v>0</v>
      </c>
      <c r="AX10" s="13">
        <f ca="1">VLOOKUP($B10,'[3]Analisys QBR By Machine Report'!$C$109:$BD$166,45,FALSE)</f>
        <v>0</v>
      </c>
      <c r="AY10" s="13">
        <f ca="1">VLOOKUP($B10,'[3]Analisys QBR By Machine Report'!$C$109:$BD$166,46,FALSE)</f>
        <v>0</v>
      </c>
      <c r="AZ10" s="13">
        <f ca="1">VLOOKUP($B10,'[3]Analisys QBR By Machine Report'!$C$109:$BD$166,47,FALSE)</f>
        <v>1295</v>
      </c>
      <c r="BA10" s="13">
        <f ca="1">VLOOKUP($B10,'[3]Analisys QBR By Machine Report'!$C$109:$BD$166,48,FALSE)</f>
        <v>220</v>
      </c>
      <c r="BB10" s="13">
        <f ca="1">VLOOKUP($B10,'[3]Analisys QBR By Machine Report'!$C$109:$BD$166,49,FALSE)</f>
        <v>0</v>
      </c>
      <c r="BC10" s="13">
        <f ca="1">VLOOKUP($B10,'[3]Analisys QBR By Machine Report'!$C$109:$BD$166,50,FALSE)</f>
        <v>0</v>
      </c>
      <c r="BD10" s="13">
        <f ca="1">VLOOKUP($B10,'[3]Analisys QBR By Machine Report'!$C$109:$BD$166,51,FALSE)</f>
        <v>6605781</v>
      </c>
      <c r="BE10" s="13">
        <f ca="1">VLOOKUP($B10,'[3]Analisys QBR By Machine Report'!$C$109:$BD$166,52,FALSE)</f>
        <v>0</v>
      </c>
      <c r="BF10" s="13">
        <f ca="1">VLOOKUP($B10,'[3]Analisys QBR By Machine Report'!$C$109:$BD$166,53,FALSE)</f>
        <v>6605781</v>
      </c>
    </row>
    <row r="11" spans="1:58" x14ac:dyDescent="0.25">
      <c r="A11" s="12" t="s">
        <v>67</v>
      </c>
      <c r="B11" s="13">
        <f ca="1">VLOOKUP($B11,'[3]Analisys QBR By Machine Report'!$C$109:$BD$166,2,FALSE)</f>
        <v>28800</v>
      </c>
      <c r="C11" s="14">
        <f ca="1">VLOOKUP($B11,[3]Dasboard_QBR_Report!$B$109:$BL$166,3,FALSE)</f>
        <v>9600</v>
      </c>
      <c r="D11" s="13">
        <f ca="1">VLOOKUP($B11,'[3]Analisys QBR By Machine Report'!$C$109:$BD$166,3,FALSE)</f>
        <v>23880</v>
      </c>
      <c r="E11" s="14">
        <f ca="1">VLOOKUP($B11,[3]Dasboard_QBR_Report!$B$109:$BL$166,5,FALSE)</f>
        <v>4680</v>
      </c>
      <c r="F11" s="13">
        <f t="shared" ca="1" si="0"/>
        <v>4920</v>
      </c>
      <c r="G11" s="13">
        <f t="shared" ca="1" si="1"/>
        <v>735</v>
      </c>
      <c r="H11" s="13">
        <f ca="1">VLOOKUP($B11,'[3]Analisys QBR By Machine Report'!$C$109:$BD$166,4,FALSE)</f>
        <v>735</v>
      </c>
      <c r="I11" s="13">
        <f ca="1">VLOOKUP($B11,'[3]Analisys QBR By Machine Report'!$C$109:$BD$166,5,FALSE)</f>
        <v>0</v>
      </c>
      <c r="J11" s="13">
        <f ca="1">VLOOKUP($B11,'[3]Analisys QBR By Machine Report'!$C$109:$BD$166,6,FALSE)</f>
        <v>735</v>
      </c>
      <c r="K11" s="13">
        <f ca="1">VLOOKUP($B11,'[3]Analisys QBR By Machine Report'!$C$109:$BD$166,7,FALSE)</f>
        <v>0</v>
      </c>
      <c r="L11" s="13">
        <f ca="1">VLOOKUP($B11,'[3]Analisys QBR By Machine Report'!$C$109:$BD$166,8,FALSE)</f>
        <v>4185</v>
      </c>
      <c r="M11" s="13">
        <f ca="1">VLOOKUP($B11,'[3]Analisys QBR By Machine Report'!$C$109:$BD$166,9,FALSE)</f>
        <v>1125</v>
      </c>
      <c r="N11" s="13">
        <f ca="1">VLOOKUP($B11,[3]Dasboard_QBR_Report!$B$109:$BL$166,18,FALSE)</f>
        <v>3060</v>
      </c>
      <c r="O11" s="13">
        <f ca="1">VLOOKUP($B11,'[3]Analisys QBR By Machine Report'!$C$109:$BD$166,10,FALSE)</f>
        <v>495</v>
      </c>
      <c r="P11" s="13">
        <f ca="1">VLOOKUP($B11,'[3]Analisys QBR By Machine Report'!$C$109:$BD$166,11,FALSE)</f>
        <v>335</v>
      </c>
      <c r="Q11" s="13">
        <f ca="1">VLOOKUP($B11,'[3]Analisys QBR By Machine Report'!$C$109:$BD$166,12,FALSE)</f>
        <v>0</v>
      </c>
      <c r="R11" s="13">
        <f ca="1">VLOOKUP($B11,'[3]Analisys QBR By Machine Report'!$C$109:$BD$166,13,FALSE)</f>
        <v>0</v>
      </c>
      <c r="S11" s="13">
        <f ca="1">VLOOKUP($B11,'[3]Analisys QBR By Machine Report'!$C$109:$BD$166,14,FALSE)</f>
        <v>160</v>
      </c>
      <c r="T11" s="13">
        <f ca="1">VLOOKUP($B11,'[3]Analisys QBR By Machine Report'!$C$109:$BD$166,15,FALSE)</f>
        <v>0</v>
      </c>
      <c r="U11" s="13">
        <f ca="1">VLOOKUP($B11,'[3]Analisys QBR By Machine Report'!$C$109:$BD$166,16,FALSE)</f>
        <v>0</v>
      </c>
      <c r="V11" s="13">
        <f ca="1">VLOOKUP($B11,'[3]Analisys QBR By Machine Report'!$C$109:$BD$166,17,FALSE)</f>
        <v>0</v>
      </c>
      <c r="W11" s="13">
        <f ca="1">VLOOKUP($B11,'[3]Analisys QBR By Machine Report'!$C$109:$BD$166,18,FALSE)</f>
        <v>0</v>
      </c>
      <c r="X11" s="13">
        <f ca="1">VLOOKUP($B11,'[3]Analisys QBR By Machine Report'!$C$109:$BD$166,19,FALSE)</f>
        <v>0</v>
      </c>
      <c r="Y11" s="13">
        <f ca="1">VLOOKUP($B11,'[3]Analisys QBR By Machine Report'!$C$109:$BD$166,20,FALSE)</f>
        <v>0</v>
      </c>
      <c r="Z11" s="13">
        <f ca="1">VLOOKUP($B11,'[3]Analisys QBR By Machine Report'!$C$109:$BD$166,21,FALSE)</f>
        <v>865</v>
      </c>
      <c r="AA11" s="13">
        <f ca="1">VLOOKUP($B11,'[3]Analisys QBR By Machine Report'!$C$109:$BD$166,22,FALSE)</f>
        <v>280</v>
      </c>
      <c r="AB11" s="13">
        <f ca="1">VLOOKUP($B11,'[3]Analisys QBR By Machine Report'!$C$109:$BD$166,23,FALSE)</f>
        <v>465</v>
      </c>
      <c r="AC11" s="13">
        <f ca="1">VLOOKUP($B11,'[3]Analisys QBR By Machine Report'!$C$109:$BD$166,24,FALSE)</f>
        <v>40</v>
      </c>
      <c r="AD11" s="13">
        <f ca="1">VLOOKUP($B11,'[3]Analisys QBR By Machine Report'!$C$109:$BD$166,25,FALSE)</f>
        <v>0</v>
      </c>
      <c r="AE11" s="13">
        <f ca="1">VLOOKUP($B11,'[3]Analisys QBR By Machine Report'!$C$109:$BD$166,26,FALSE)</f>
        <v>80</v>
      </c>
      <c r="AF11" s="13">
        <f ca="1">VLOOKUP($B11,'[3]Analisys QBR By Machine Report'!$C$109:$BD$166,27,FALSE)</f>
        <v>0</v>
      </c>
      <c r="AG11" s="13">
        <f ca="1">VLOOKUP($B11,'[3]Analisys QBR By Machine Report'!$C$109:$BD$166,28,FALSE)</f>
        <v>0</v>
      </c>
      <c r="AH11" s="13">
        <f ca="1">VLOOKUP($B11,'[3]Analisys QBR By Machine Report'!$C$109:$BD$166,29,FALSE)</f>
        <v>0</v>
      </c>
      <c r="AI11" s="13">
        <f ca="1">VLOOKUP($B11,'[3]Analisys QBR By Machine Report'!$C$109:$BD$166,30,FALSE)</f>
        <v>1700</v>
      </c>
      <c r="AJ11" s="13">
        <f ca="1">VLOOKUP($B11,'[3]Analisys QBR By Machine Report'!$C$109:$BD$166,31,FALSE)</f>
        <v>0</v>
      </c>
      <c r="AK11" s="13">
        <f ca="1">VLOOKUP($B11,'[3]Analisys QBR By Machine Report'!$C$109:$BD$166,32,FALSE)</f>
        <v>0</v>
      </c>
      <c r="AL11" s="13">
        <f ca="1">VLOOKUP($B11,'[3]Analisys QBR By Machine Report'!$C$109:$BD$166,33,FALSE)</f>
        <v>145</v>
      </c>
      <c r="AM11" s="13">
        <f ca="1">VLOOKUP($B11,'[3]Analisys QBR By Machine Report'!$C$109:$BD$166,34,FALSE)</f>
        <v>0</v>
      </c>
      <c r="AN11" s="13">
        <f ca="1">VLOOKUP($B11,'[3]Analisys QBR By Machine Report'!$C$109:$BD$166,35,FALSE)</f>
        <v>280</v>
      </c>
      <c r="AO11" s="13">
        <f ca="1">VLOOKUP($B11,'[3]Analisys QBR By Machine Report'!$C$109:$BD$166,36,FALSE)</f>
        <v>515</v>
      </c>
      <c r="AP11" s="13">
        <f ca="1">VLOOKUP($B11,'[3]Analisys QBR By Machine Report'!$C$109:$BD$166,37,FALSE)</f>
        <v>0</v>
      </c>
      <c r="AQ11" s="13">
        <f ca="1">VLOOKUP($B11,'[3]Analisys QBR By Machine Report'!$C$109:$BD$166,38,FALSE)</f>
        <v>0</v>
      </c>
      <c r="AR11" s="13">
        <f ca="1">VLOOKUP($B11,'[3]Analisys QBR By Machine Report'!$C$109:$BD$166,39,FALSE)</f>
        <v>0</v>
      </c>
      <c r="AS11" s="13">
        <f ca="1">VLOOKUP($B11,'[3]Analisys QBR By Machine Report'!$C$109:$BD$166,40,FALSE)</f>
        <v>120</v>
      </c>
      <c r="AT11" s="13">
        <f ca="1">VLOOKUP($B11,'[3]Analisys QBR By Machine Report'!$C$109:$BD$166,41,FALSE)</f>
        <v>0</v>
      </c>
      <c r="AU11" s="13">
        <f ca="1">VLOOKUP($B11,'[3]Analisys QBR By Machine Report'!$C$109:$BD$166,42,FALSE)</f>
        <v>0</v>
      </c>
      <c r="AV11" s="13">
        <f ca="1">VLOOKUP($B11,'[3]Analisys QBR By Machine Report'!$C$109:$BD$166,43,FALSE)</f>
        <v>0</v>
      </c>
      <c r="AW11" s="13">
        <f ca="1">VLOOKUP($B11,'[3]Analisys QBR By Machine Report'!$C$109:$BD$166,44,FALSE)</f>
        <v>0</v>
      </c>
      <c r="AX11" s="13">
        <f ca="1">VLOOKUP($B11,'[3]Analisys QBR By Machine Report'!$C$109:$BD$166,45,FALSE)</f>
        <v>0</v>
      </c>
      <c r="AY11" s="13">
        <f ca="1">VLOOKUP($B11,'[3]Analisys QBR By Machine Report'!$C$109:$BD$166,46,FALSE)</f>
        <v>0</v>
      </c>
      <c r="AZ11" s="13">
        <f ca="1">VLOOKUP($B11,'[3]Analisys QBR By Machine Report'!$C$109:$BD$166,47,FALSE)</f>
        <v>640</v>
      </c>
      <c r="BA11" s="13">
        <f ca="1">VLOOKUP($B11,'[3]Analisys QBR By Machine Report'!$C$109:$BD$166,48,FALSE)</f>
        <v>0</v>
      </c>
      <c r="BB11" s="13">
        <f ca="1">VLOOKUP($B11,'[3]Analisys QBR By Machine Report'!$C$109:$BD$166,49,FALSE)</f>
        <v>0</v>
      </c>
      <c r="BC11" s="13">
        <f ca="1">VLOOKUP($B11,'[3]Analisys QBR By Machine Report'!$C$109:$BD$166,50,FALSE)</f>
        <v>0</v>
      </c>
      <c r="BD11" s="13">
        <f ca="1">VLOOKUP($B11,'[3]Analisys QBR By Machine Report'!$C$109:$BD$166,51,FALSE)</f>
        <v>769377</v>
      </c>
      <c r="BE11" s="13">
        <f ca="1">VLOOKUP($B11,'[3]Analisys QBR By Machine Report'!$C$109:$BD$166,52,FALSE)</f>
        <v>0</v>
      </c>
      <c r="BF11" s="13">
        <f ca="1">VLOOKUP($B11,'[3]Analisys QBR By Machine Report'!$C$109:$BD$166,53,FALSE)</f>
        <v>769377</v>
      </c>
    </row>
    <row r="12" spans="1:58" x14ac:dyDescent="0.25">
      <c r="A12" s="12" t="s">
        <v>68</v>
      </c>
      <c r="B12" s="13">
        <f ca="1">VLOOKUP($B12,'[3]Analisys QBR By Machine Report'!$C$109:$BD$166,2,FALSE)</f>
        <v>30240</v>
      </c>
      <c r="C12" s="14">
        <f ca="1">VLOOKUP($B12,[3]Dasboard_QBR_Report!$B$109:$BL$166,3,FALSE)</f>
        <v>19530</v>
      </c>
      <c r="D12" s="13">
        <f ca="1">VLOOKUP($B12,'[3]Analisys QBR By Machine Report'!$C$109:$BD$166,3,FALSE)</f>
        <v>12660</v>
      </c>
      <c r="E12" s="14">
        <f ca="1">VLOOKUP($B12,[3]Dasboard_QBR_Report!$B$109:$BL$166,5,FALSE)</f>
        <v>1950</v>
      </c>
      <c r="F12" s="13">
        <f t="shared" ca="1" si="0"/>
        <v>17580</v>
      </c>
      <c r="G12" s="13">
        <f t="shared" ca="1" si="1"/>
        <v>455</v>
      </c>
      <c r="H12" s="13">
        <f ca="1">VLOOKUP($B12,'[3]Analisys QBR By Machine Report'!$C$109:$BD$166,4,FALSE)</f>
        <v>455</v>
      </c>
      <c r="I12" s="13">
        <f ca="1">VLOOKUP($B12,'[3]Analisys QBR By Machine Report'!$C$109:$BD$166,5,FALSE)</f>
        <v>0</v>
      </c>
      <c r="J12" s="13">
        <f ca="1">VLOOKUP($B12,'[3]Analisys QBR By Machine Report'!$C$109:$BD$166,6,FALSE)</f>
        <v>455</v>
      </c>
      <c r="K12" s="13">
        <f ca="1">VLOOKUP($B12,'[3]Analisys QBR By Machine Report'!$C$109:$BD$166,7,FALSE)</f>
        <v>0</v>
      </c>
      <c r="L12" s="13">
        <f ca="1">VLOOKUP($B12,'[3]Analisys QBR By Machine Report'!$C$109:$BD$166,8,FALSE)</f>
        <v>17125</v>
      </c>
      <c r="M12" s="13">
        <f ca="1">VLOOKUP($B12,'[3]Analisys QBR By Machine Report'!$C$109:$BD$166,9,FALSE)</f>
        <v>7430</v>
      </c>
      <c r="N12" s="13">
        <f ca="1">VLOOKUP($B12,[3]Dasboard_QBR_Report!$B$109:$BL$166,18,FALSE)</f>
        <v>9695</v>
      </c>
      <c r="O12" s="13">
        <f ca="1">VLOOKUP($B12,'[3]Analisys QBR By Machine Report'!$C$109:$BD$166,10,FALSE)</f>
        <v>2215</v>
      </c>
      <c r="P12" s="13">
        <f ca="1">VLOOKUP($B12,'[3]Analisys QBR By Machine Report'!$C$109:$BD$166,11,FALSE)</f>
        <v>1655</v>
      </c>
      <c r="Q12" s="13">
        <f ca="1">VLOOKUP($B12,'[3]Analisys QBR By Machine Report'!$C$109:$BD$166,12,FALSE)</f>
        <v>0</v>
      </c>
      <c r="R12" s="13">
        <f ca="1">VLOOKUP($B12,'[3]Analisys QBR By Machine Report'!$C$109:$BD$166,13,FALSE)</f>
        <v>70</v>
      </c>
      <c r="S12" s="13">
        <f ca="1">VLOOKUP($B12,'[3]Analisys QBR By Machine Report'!$C$109:$BD$166,14,FALSE)</f>
        <v>490</v>
      </c>
      <c r="T12" s="13">
        <f ca="1">VLOOKUP($B12,'[3]Analisys QBR By Machine Report'!$C$109:$BD$166,15,FALSE)</f>
        <v>0</v>
      </c>
      <c r="U12" s="13">
        <f ca="1">VLOOKUP($B12,'[3]Analisys QBR By Machine Report'!$C$109:$BD$166,16,FALSE)</f>
        <v>0</v>
      </c>
      <c r="V12" s="13">
        <f ca="1">VLOOKUP($B12,'[3]Analisys QBR By Machine Report'!$C$109:$BD$166,17,FALSE)</f>
        <v>0</v>
      </c>
      <c r="W12" s="13">
        <f ca="1">VLOOKUP($B12,'[3]Analisys QBR By Machine Report'!$C$109:$BD$166,18,FALSE)</f>
        <v>0</v>
      </c>
      <c r="X12" s="13">
        <f ca="1">VLOOKUP($B12,'[3]Analisys QBR By Machine Report'!$C$109:$BD$166,19,FALSE)</f>
        <v>0</v>
      </c>
      <c r="Y12" s="13">
        <f ca="1">VLOOKUP($B12,'[3]Analisys QBR By Machine Report'!$C$109:$BD$166,20,FALSE)</f>
        <v>0</v>
      </c>
      <c r="Z12" s="13">
        <f ca="1">VLOOKUP($B12,'[3]Analisys QBR By Machine Report'!$C$109:$BD$166,21,FALSE)</f>
        <v>3180</v>
      </c>
      <c r="AA12" s="13">
        <f ca="1">VLOOKUP($B12,'[3]Analisys QBR By Machine Report'!$C$109:$BD$166,22,FALSE)</f>
        <v>605</v>
      </c>
      <c r="AB12" s="13">
        <f ca="1">VLOOKUP($B12,'[3]Analisys QBR By Machine Report'!$C$109:$BD$166,23,FALSE)</f>
        <v>2020</v>
      </c>
      <c r="AC12" s="13">
        <f ca="1">VLOOKUP($B12,'[3]Analisys QBR By Machine Report'!$C$109:$BD$166,24,FALSE)</f>
        <v>250</v>
      </c>
      <c r="AD12" s="13">
        <f ca="1">VLOOKUP($B12,'[3]Analisys QBR By Machine Report'!$C$109:$BD$166,25,FALSE)</f>
        <v>0</v>
      </c>
      <c r="AE12" s="13">
        <f ca="1">VLOOKUP($B12,'[3]Analisys QBR By Machine Report'!$C$109:$BD$166,26,FALSE)</f>
        <v>305</v>
      </c>
      <c r="AF12" s="13">
        <f ca="1">VLOOKUP($B12,'[3]Analisys QBR By Machine Report'!$C$109:$BD$166,27,FALSE)</f>
        <v>675</v>
      </c>
      <c r="AG12" s="13">
        <f ca="1">VLOOKUP($B12,'[3]Analisys QBR By Machine Report'!$C$109:$BD$166,28,FALSE)</f>
        <v>195</v>
      </c>
      <c r="AH12" s="13">
        <f ca="1">VLOOKUP($B12,'[3]Analisys QBR By Machine Report'!$C$109:$BD$166,29,FALSE)</f>
        <v>480</v>
      </c>
      <c r="AI12" s="13">
        <f ca="1">VLOOKUP($B12,'[3]Analisys QBR By Machine Report'!$C$109:$BD$166,30,FALSE)</f>
        <v>3625</v>
      </c>
      <c r="AJ12" s="13">
        <f ca="1">VLOOKUP($B12,'[3]Analisys QBR By Machine Report'!$C$109:$BD$166,31,FALSE)</f>
        <v>0</v>
      </c>
      <c r="AK12" s="13">
        <f ca="1">VLOOKUP($B12,'[3]Analisys QBR By Machine Report'!$C$109:$BD$166,32,FALSE)</f>
        <v>0</v>
      </c>
      <c r="AL12" s="13">
        <f ca="1">VLOOKUP($B12,'[3]Analisys QBR By Machine Report'!$C$109:$BD$166,33,FALSE)</f>
        <v>505</v>
      </c>
      <c r="AM12" s="13">
        <f ca="1">VLOOKUP($B12,'[3]Analisys QBR By Machine Report'!$C$109:$BD$166,34,FALSE)</f>
        <v>0</v>
      </c>
      <c r="AN12" s="13">
        <f ca="1">VLOOKUP($B12,'[3]Analisys QBR By Machine Report'!$C$109:$BD$166,35,FALSE)</f>
        <v>880</v>
      </c>
      <c r="AO12" s="13">
        <f ca="1">VLOOKUP($B12,'[3]Analisys QBR By Machine Report'!$C$109:$BD$166,36,FALSE)</f>
        <v>205</v>
      </c>
      <c r="AP12" s="13">
        <f ca="1">VLOOKUP($B12,'[3]Analisys QBR By Machine Report'!$C$109:$BD$166,37,FALSE)</f>
        <v>0</v>
      </c>
      <c r="AQ12" s="13">
        <f ca="1">VLOOKUP($B12,'[3]Analisys QBR By Machine Report'!$C$109:$BD$166,38,FALSE)</f>
        <v>0</v>
      </c>
      <c r="AR12" s="13">
        <f ca="1">VLOOKUP($B12,'[3]Analisys QBR By Machine Report'!$C$109:$BD$166,39,FALSE)</f>
        <v>310</v>
      </c>
      <c r="AS12" s="13">
        <f ca="1">VLOOKUP($B12,'[3]Analisys QBR By Machine Report'!$C$109:$BD$166,40,FALSE)</f>
        <v>220</v>
      </c>
      <c r="AT12" s="13">
        <f ca="1">VLOOKUP($B12,'[3]Analisys QBR By Machine Report'!$C$109:$BD$166,41,FALSE)</f>
        <v>0</v>
      </c>
      <c r="AU12" s="13">
        <f ca="1">VLOOKUP($B12,'[3]Analisys QBR By Machine Report'!$C$109:$BD$166,42,FALSE)</f>
        <v>0</v>
      </c>
      <c r="AV12" s="13">
        <f ca="1">VLOOKUP($B12,'[3]Analisys QBR By Machine Report'!$C$109:$BD$166,43,FALSE)</f>
        <v>0</v>
      </c>
      <c r="AW12" s="13">
        <f ca="1">VLOOKUP($B12,'[3]Analisys QBR By Machine Report'!$C$109:$BD$166,44,FALSE)</f>
        <v>0</v>
      </c>
      <c r="AX12" s="13">
        <f ca="1">VLOOKUP($B12,'[3]Analisys QBR By Machine Report'!$C$109:$BD$166,45,FALSE)</f>
        <v>0</v>
      </c>
      <c r="AY12" s="13">
        <f ca="1">VLOOKUP($B12,'[3]Analisys QBR By Machine Report'!$C$109:$BD$166,46,FALSE)</f>
        <v>0</v>
      </c>
      <c r="AZ12" s="13">
        <f ca="1">VLOOKUP($B12,'[3]Analisys QBR By Machine Report'!$C$109:$BD$166,47,FALSE)</f>
        <v>1505</v>
      </c>
      <c r="BA12" s="13">
        <f ca="1">VLOOKUP($B12,'[3]Analisys QBR By Machine Report'!$C$109:$BD$166,48,FALSE)</f>
        <v>0</v>
      </c>
      <c r="BB12" s="13">
        <f ca="1">VLOOKUP($B12,'[3]Analisys QBR By Machine Report'!$C$109:$BD$166,49,FALSE)</f>
        <v>0</v>
      </c>
      <c r="BC12" s="13">
        <f ca="1">VLOOKUP($B12,'[3]Analisys QBR By Machine Report'!$C$109:$BD$166,50,FALSE)</f>
        <v>0</v>
      </c>
      <c r="BD12" s="13">
        <f ca="1">VLOOKUP($B12,'[3]Analisys QBR By Machine Report'!$C$109:$BD$166,51,FALSE)</f>
        <v>4063556</v>
      </c>
      <c r="BE12" s="13">
        <f ca="1">VLOOKUP($B12,'[3]Analisys QBR By Machine Report'!$C$109:$BD$166,52,FALSE)</f>
        <v>1279</v>
      </c>
      <c r="BF12" s="13">
        <f ca="1">VLOOKUP($B12,'[3]Analisys QBR By Machine Report'!$C$109:$BD$166,53,FALSE)</f>
        <v>4062277</v>
      </c>
    </row>
    <row r="13" spans="1:58" x14ac:dyDescent="0.25">
      <c r="A13" s="9" t="s">
        <v>69</v>
      </c>
      <c r="B13" s="10">
        <f ca="1">VLOOKUP($B13,'[3]Analisys QBR By Machine Report'!$C$109:$BD$166,2,FALSE)</f>
        <v>57600</v>
      </c>
      <c r="C13" s="11">
        <f ca="1">VLOOKUP($B13,[3]Dasboard_QBR_Report!$B$109:$BL$166,3,FALSE)</f>
        <v>19200</v>
      </c>
      <c r="D13" s="10">
        <f ca="1">VLOOKUP($B13,'[3]Analisys QBR By Machine Report'!$C$109:$BD$166,3,FALSE)</f>
        <v>47670</v>
      </c>
      <c r="E13" s="11">
        <f ca="1">VLOOKUP($B13,[3]Dasboard_QBR_Report!$B$109:$BL$166,5,FALSE)</f>
        <v>9270</v>
      </c>
      <c r="F13" s="10">
        <f t="shared" ca="1" si="0"/>
        <v>9930</v>
      </c>
      <c r="G13" s="10">
        <f t="shared" ca="1" si="1"/>
        <v>0</v>
      </c>
      <c r="H13" s="10">
        <f ca="1">VLOOKUP($B13,'[3]Analisys QBR By Machine Report'!$C$109:$BD$166,4,FALSE)</f>
        <v>0</v>
      </c>
      <c r="I13" s="10">
        <f ca="1">VLOOKUP($B13,'[3]Analisys QBR By Machine Report'!$C$109:$BD$166,5,FALSE)</f>
        <v>0</v>
      </c>
      <c r="J13" s="10">
        <f ca="1">VLOOKUP($B13,'[3]Analisys QBR By Machine Report'!$C$109:$BD$166,6,FALSE)</f>
        <v>0</v>
      </c>
      <c r="K13" s="10">
        <f ca="1">VLOOKUP($B13,'[3]Analisys QBR By Machine Report'!$C$109:$BD$166,7,FALSE)</f>
        <v>0</v>
      </c>
      <c r="L13" s="10">
        <f ca="1">VLOOKUP($B13,'[3]Analisys QBR By Machine Report'!$C$109:$BD$166,8,FALSE)</f>
        <v>9930</v>
      </c>
      <c r="M13" s="10">
        <f ca="1">VLOOKUP($B13,'[3]Analisys QBR By Machine Report'!$C$109:$BD$166,9,FALSE)</f>
        <v>4234</v>
      </c>
      <c r="N13" s="10">
        <f ca="1">VLOOKUP($B13,[3]Dasboard_QBR_Report!$B$109:$BL$166,18,FALSE)</f>
        <v>5696</v>
      </c>
      <c r="O13" s="10">
        <f ca="1">VLOOKUP($B13,'[3]Analisys QBR By Machine Report'!$C$109:$BD$166,10,FALSE)</f>
        <v>256</v>
      </c>
      <c r="P13" s="10">
        <f ca="1">VLOOKUP($B13,'[3]Analisys QBR By Machine Report'!$C$109:$BD$166,11,FALSE)</f>
        <v>196</v>
      </c>
      <c r="Q13" s="10">
        <f ca="1">VLOOKUP($B13,'[3]Analisys QBR By Machine Report'!$C$109:$BD$166,12,FALSE)</f>
        <v>0</v>
      </c>
      <c r="R13" s="10">
        <f ca="1">VLOOKUP($B13,'[3]Analisys QBR By Machine Report'!$C$109:$BD$166,13,FALSE)</f>
        <v>60</v>
      </c>
      <c r="S13" s="10">
        <f ca="1">VLOOKUP($B13,'[3]Analisys QBR By Machine Report'!$C$109:$BD$166,14,FALSE)</f>
        <v>0</v>
      </c>
      <c r="T13" s="10">
        <f ca="1">VLOOKUP($B13,'[3]Analisys QBR By Machine Report'!$C$109:$BD$166,15,FALSE)</f>
        <v>30</v>
      </c>
      <c r="U13" s="10">
        <f ca="1">VLOOKUP($B13,'[3]Analisys QBR By Machine Report'!$C$109:$BD$166,16,FALSE)</f>
        <v>30</v>
      </c>
      <c r="V13" s="10">
        <f ca="1">VLOOKUP($B13,'[3]Analisys QBR By Machine Report'!$C$109:$BD$166,17,FALSE)</f>
        <v>0</v>
      </c>
      <c r="W13" s="10">
        <f ca="1">VLOOKUP($B13,'[3]Analisys QBR By Machine Report'!$C$109:$BD$166,18,FALSE)</f>
        <v>0</v>
      </c>
      <c r="X13" s="10">
        <f ca="1">VLOOKUP($B13,'[3]Analisys QBR By Machine Report'!$C$109:$BD$166,19,FALSE)</f>
        <v>0</v>
      </c>
      <c r="Y13" s="10">
        <f ca="1">VLOOKUP($B13,'[3]Analisys QBR By Machine Report'!$C$109:$BD$166,20,FALSE)</f>
        <v>0</v>
      </c>
      <c r="Z13" s="10">
        <f ca="1">VLOOKUP($B13,'[3]Analisys QBR By Machine Report'!$C$109:$BD$166,21,FALSE)</f>
        <v>3597</v>
      </c>
      <c r="AA13" s="10">
        <f ca="1">VLOOKUP($B13,'[3]Analisys QBR By Machine Report'!$C$109:$BD$166,22,FALSE)</f>
        <v>982</v>
      </c>
      <c r="AB13" s="10">
        <f ca="1">VLOOKUP($B13,'[3]Analisys QBR By Machine Report'!$C$109:$BD$166,23,FALSE)</f>
        <v>2290</v>
      </c>
      <c r="AC13" s="10">
        <f ca="1">VLOOKUP($B13,'[3]Analisys QBR By Machine Report'!$C$109:$BD$166,24,FALSE)</f>
        <v>0</v>
      </c>
      <c r="AD13" s="10">
        <f ca="1">VLOOKUP($B13,'[3]Analisys QBR By Machine Report'!$C$109:$BD$166,25,FALSE)</f>
        <v>0</v>
      </c>
      <c r="AE13" s="10">
        <f ca="1">VLOOKUP($B13,'[3]Analisys QBR By Machine Report'!$C$109:$BD$166,26,FALSE)</f>
        <v>325</v>
      </c>
      <c r="AF13" s="10">
        <f ca="1">VLOOKUP($B13,'[3]Analisys QBR By Machine Report'!$C$109:$BD$166,27,FALSE)</f>
        <v>0</v>
      </c>
      <c r="AG13" s="10">
        <f ca="1">VLOOKUP($B13,'[3]Analisys QBR By Machine Report'!$C$109:$BD$166,28,FALSE)</f>
        <v>0</v>
      </c>
      <c r="AH13" s="10">
        <f ca="1">VLOOKUP($B13,'[3]Analisys QBR By Machine Report'!$C$109:$BD$166,29,FALSE)</f>
        <v>0</v>
      </c>
      <c r="AI13" s="10">
        <f ca="1">VLOOKUP($B13,'[3]Analisys QBR By Machine Report'!$C$109:$BD$166,30,FALSE)</f>
        <v>1813</v>
      </c>
      <c r="AJ13" s="10">
        <f ca="1">VLOOKUP($B13,'[3]Analisys QBR By Machine Report'!$C$109:$BD$166,31,FALSE)</f>
        <v>0</v>
      </c>
      <c r="AK13" s="10">
        <f ca="1">VLOOKUP($B13,'[3]Analisys QBR By Machine Report'!$C$109:$BD$166,32,FALSE)</f>
        <v>0</v>
      </c>
      <c r="AL13" s="10">
        <f ca="1">VLOOKUP($B13,'[3]Analisys QBR By Machine Report'!$C$109:$BD$166,33,FALSE)</f>
        <v>150</v>
      </c>
      <c r="AM13" s="10">
        <f ca="1">VLOOKUP($B13,'[3]Analisys QBR By Machine Report'!$C$109:$BD$166,34,FALSE)</f>
        <v>0</v>
      </c>
      <c r="AN13" s="10">
        <f ca="1">VLOOKUP($B13,'[3]Analisys QBR By Machine Report'!$C$109:$BD$166,35,FALSE)</f>
        <v>460</v>
      </c>
      <c r="AO13" s="10">
        <f ca="1">VLOOKUP($B13,'[3]Analisys QBR By Machine Report'!$C$109:$BD$166,36,FALSE)</f>
        <v>160</v>
      </c>
      <c r="AP13" s="10">
        <f ca="1">VLOOKUP($B13,'[3]Analisys QBR By Machine Report'!$C$109:$BD$166,37,FALSE)</f>
        <v>0</v>
      </c>
      <c r="AQ13" s="10">
        <f ca="1">VLOOKUP($B13,'[3]Analisys QBR By Machine Report'!$C$109:$BD$166,38,FALSE)</f>
        <v>0</v>
      </c>
      <c r="AR13" s="10">
        <f ca="1">VLOOKUP($B13,'[3]Analisys QBR By Machine Report'!$C$109:$BD$166,39,FALSE)</f>
        <v>297</v>
      </c>
      <c r="AS13" s="10">
        <f ca="1">VLOOKUP($B13,'[3]Analisys QBR By Machine Report'!$C$109:$BD$166,40,FALSE)</f>
        <v>236</v>
      </c>
      <c r="AT13" s="10">
        <f ca="1">VLOOKUP($B13,'[3]Analisys QBR By Machine Report'!$C$109:$BD$166,41,FALSE)</f>
        <v>0</v>
      </c>
      <c r="AU13" s="10">
        <f ca="1">VLOOKUP($B13,'[3]Analisys QBR By Machine Report'!$C$109:$BD$166,42,FALSE)</f>
        <v>0</v>
      </c>
      <c r="AV13" s="10">
        <f ca="1">VLOOKUP($B13,'[3]Analisys QBR By Machine Report'!$C$109:$BD$166,43,FALSE)</f>
        <v>0</v>
      </c>
      <c r="AW13" s="10">
        <f ca="1">VLOOKUP($B13,'[3]Analisys QBR By Machine Report'!$C$109:$BD$166,44,FALSE)</f>
        <v>0</v>
      </c>
      <c r="AX13" s="10">
        <f ca="1">VLOOKUP($B13,'[3]Analisys QBR By Machine Report'!$C$109:$BD$166,45,FALSE)</f>
        <v>0</v>
      </c>
      <c r="AY13" s="10">
        <f ca="1">VLOOKUP($B13,'[3]Analisys QBR By Machine Report'!$C$109:$BD$166,46,FALSE)</f>
        <v>120</v>
      </c>
      <c r="AZ13" s="10">
        <f ca="1">VLOOKUP($B13,'[3]Analisys QBR By Machine Report'!$C$109:$BD$166,47,FALSE)</f>
        <v>95</v>
      </c>
      <c r="BA13" s="10">
        <f ca="1">VLOOKUP($B13,'[3]Analisys QBR By Machine Report'!$C$109:$BD$166,48,FALSE)</f>
        <v>295</v>
      </c>
      <c r="BB13" s="10">
        <f ca="1">VLOOKUP($B13,'[3]Analisys QBR By Machine Report'!$C$109:$BD$166,49,FALSE)</f>
        <v>0</v>
      </c>
      <c r="BC13" s="10">
        <f ca="1">VLOOKUP($B13,'[3]Analisys QBR By Machine Report'!$C$109:$BD$166,50,FALSE)</f>
        <v>0</v>
      </c>
      <c r="BD13" s="10">
        <f ca="1">VLOOKUP($B13,'[3]Analisys QBR By Machine Report'!$C$109:$BD$166,51,FALSE)</f>
        <v>2231.33</v>
      </c>
      <c r="BE13" s="10">
        <f ca="1">VLOOKUP($B13,'[3]Analisys QBR By Machine Report'!$C$109:$BD$166,52,FALSE)</f>
        <v>0.93</v>
      </c>
      <c r="BF13" s="10">
        <f ca="1">VLOOKUP($B13,'[3]Analisys QBR By Machine Report'!$C$109:$BD$166,53,FALSE)</f>
        <v>2230.4</v>
      </c>
    </row>
    <row r="14" spans="1:58" x14ac:dyDescent="0.25">
      <c r="A14" s="12" t="s">
        <v>70</v>
      </c>
      <c r="B14" s="13">
        <f ca="1">VLOOKUP($B14,'[3]Analisys QBR By Machine Report'!$C$109:$BD$166,2,FALSE)</f>
        <v>28800</v>
      </c>
      <c r="C14" s="14">
        <f ca="1">VLOOKUP($B14,[3]Dasboard_QBR_Report!$B$109:$BL$166,3,FALSE)</f>
        <v>9600</v>
      </c>
      <c r="D14" s="13">
        <f ca="1">VLOOKUP($B14,'[3]Analisys QBR By Machine Report'!$C$109:$BD$166,3,FALSE)</f>
        <v>23595</v>
      </c>
      <c r="E14" s="14">
        <f ca="1">VLOOKUP($B14,[3]Dasboard_QBR_Report!$B$109:$BL$166,5,FALSE)</f>
        <v>4395</v>
      </c>
      <c r="F14" s="13">
        <f t="shared" ca="1" si="0"/>
        <v>5205</v>
      </c>
      <c r="G14" s="13">
        <f t="shared" ca="1" si="1"/>
        <v>0</v>
      </c>
      <c r="H14" s="13">
        <f ca="1">VLOOKUP($B14,'[3]Analisys QBR By Machine Report'!$C$109:$BD$166,4,FALSE)</f>
        <v>0</v>
      </c>
      <c r="I14" s="13">
        <f ca="1">VLOOKUP($B14,'[3]Analisys QBR By Machine Report'!$C$109:$BD$166,5,FALSE)</f>
        <v>0</v>
      </c>
      <c r="J14" s="13">
        <f ca="1">VLOOKUP($B14,'[3]Analisys QBR By Machine Report'!$C$109:$BD$166,6,FALSE)</f>
        <v>0</v>
      </c>
      <c r="K14" s="13">
        <f ca="1">VLOOKUP($B14,'[3]Analisys QBR By Machine Report'!$C$109:$BD$166,7,FALSE)</f>
        <v>0</v>
      </c>
      <c r="L14" s="13">
        <f ca="1">VLOOKUP($B14,'[3]Analisys QBR By Machine Report'!$C$109:$BD$166,8,FALSE)</f>
        <v>5205</v>
      </c>
      <c r="M14" s="13">
        <f ca="1">VLOOKUP($B14,'[3]Analisys QBR By Machine Report'!$C$109:$BD$166,9,FALSE)</f>
        <v>2149</v>
      </c>
      <c r="N14" s="13">
        <f ca="1">VLOOKUP($B14,[3]Dasboard_QBR_Report!$B$109:$BL$166,18,FALSE)</f>
        <v>3056</v>
      </c>
      <c r="O14" s="13">
        <f ca="1">VLOOKUP($B14,'[3]Analisys QBR By Machine Report'!$C$109:$BD$166,10,FALSE)</f>
        <v>131</v>
      </c>
      <c r="P14" s="13">
        <f ca="1">VLOOKUP($B14,'[3]Analisys QBR By Machine Report'!$C$109:$BD$166,11,FALSE)</f>
        <v>91</v>
      </c>
      <c r="Q14" s="13">
        <f ca="1">VLOOKUP($B14,'[3]Analisys QBR By Machine Report'!$C$109:$BD$166,12,FALSE)</f>
        <v>0</v>
      </c>
      <c r="R14" s="13">
        <f ca="1">VLOOKUP($B14,'[3]Analisys QBR By Machine Report'!$C$109:$BD$166,13,FALSE)</f>
        <v>40</v>
      </c>
      <c r="S14" s="13">
        <f ca="1">VLOOKUP($B14,'[3]Analisys QBR By Machine Report'!$C$109:$BD$166,14,FALSE)</f>
        <v>0</v>
      </c>
      <c r="T14" s="13">
        <f ca="1">VLOOKUP($B14,'[3]Analisys QBR By Machine Report'!$C$109:$BD$166,15,FALSE)</f>
        <v>30</v>
      </c>
      <c r="U14" s="13">
        <f ca="1">VLOOKUP($B14,'[3]Analisys QBR By Machine Report'!$C$109:$BD$166,16,FALSE)</f>
        <v>30</v>
      </c>
      <c r="V14" s="13">
        <f ca="1">VLOOKUP($B14,'[3]Analisys QBR By Machine Report'!$C$109:$BD$166,17,FALSE)</f>
        <v>0</v>
      </c>
      <c r="W14" s="13">
        <f ca="1">VLOOKUP($B14,'[3]Analisys QBR By Machine Report'!$C$109:$BD$166,18,FALSE)</f>
        <v>0</v>
      </c>
      <c r="X14" s="13">
        <f ca="1">VLOOKUP($B14,'[3]Analisys QBR By Machine Report'!$C$109:$BD$166,19,FALSE)</f>
        <v>0</v>
      </c>
      <c r="Y14" s="13">
        <f ca="1">VLOOKUP($B14,'[3]Analisys QBR By Machine Report'!$C$109:$BD$166,20,FALSE)</f>
        <v>0</v>
      </c>
      <c r="Z14" s="13">
        <f ca="1">VLOOKUP($B14,'[3]Analisys QBR By Machine Report'!$C$109:$BD$166,21,FALSE)</f>
        <v>1983</v>
      </c>
      <c r="AA14" s="13">
        <f ca="1">VLOOKUP($B14,'[3]Analisys QBR By Machine Report'!$C$109:$BD$166,22,FALSE)</f>
        <v>483</v>
      </c>
      <c r="AB14" s="13">
        <f ca="1">VLOOKUP($B14,'[3]Analisys QBR By Machine Report'!$C$109:$BD$166,23,FALSE)</f>
        <v>1325</v>
      </c>
      <c r="AC14" s="13">
        <f ca="1">VLOOKUP($B14,'[3]Analisys QBR By Machine Report'!$C$109:$BD$166,24,FALSE)</f>
        <v>0</v>
      </c>
      <c r="AD14" s="13">
        <f ca="1">VLOOKUP($B14,'[3]Analisys QBR By Machine Report'!$C$109:$BD$166,25,FALSE)</f>
        <v>0</v>
      </c>
      <c r="AE14" s="13">
        <f ca="1">VLOOKUP($B14,'[3]Analisys QBR By Machine Report'!$C$109:$BD$166,26,FALSE)</f>
        <v>175</v>
      </c>
      <c r="AF14" s="13">
        <f ca="1">VLOOKUP($B14,'[3]Analisys QBR By Machine Report'!$C$109:$BD$166,27,FALSE)</f>
        <v>0</v>
      </c>
      <c r="AG14" s="13">
        <f ca="1">VLOOKUP($B14,'[3]Analisys QBR By Machine Report'!$C$109:$BD$166,28,FALSE)</f>
        <v>0</v>
      </c>
      <c r="AH14" s="13">
        <f ca="1">VLOOKUP($B14,'[3]Analisys QBR By Machine Report'!$C$109:$BD$166,29,FALSE)</f>
        <v>0</v>
      </c>
      <c r="AI14" s="13">
        <f ca="1">VLOOKUP($B14,'[3]Analisys QBR By Machine Report'!$C$109:$BD$166,30,FALSE)</f>
        <v>912</v>
      </c>
      <c r="AJ14" s="13">
        <f ca="1">VLOOKUP($B14,'[3]Analisys QBR By Machine Report'!$C$109:$BD$166,31,FALSE)</f>
        <v>0</v>
      </c>
      <c r="AK14" s="13">
        <f ca="1">VLOOKUP($B14,'[3]Analisys QBR By Machine Report'!$C$109:$BD$166,32,FALSE)</f>
        <v>0</v>
      </c>
      <c r="AL14" s="13">
        <f ca="1">VLOOKUP($B14,'[3]Analisys QBR By Machine Report'!$C$109:$BD$166,33,FALSE)</f>
        <v>60</v>
      </c>
      <c r="AM14" s="13">
        <f ca="1">VLOOKUP($B14,'[3]Analisys QBR By Machine Report'!$C$109:$BD$166,34,FALSE)</f>
        <v>0</v>
      </c>
      <c r="AN14" s="13">
        <f ca="1">VLOOKUP($B14,'[3]Analisys QBR By Machine Report'!$C$109:$BD$166,35,FALSE)</f>
        <v>250</v>
      </c>
      <c r="AO14" s="13">
        <f ca="1">VLOOKUP($B14,'[3]Analisys QBR By Machine Report'!$C$109:$BD$166,36,FALSE)</f>
        <v>40</v>
      </c>
      <c r="AP14" s="13">
        <f ca="1">VLOOKUP($B14,'[3]Analisys QBR By Machine Report'!$C$109:$BD$166,37,FALSE)</f>
        <v>0</v>
      </c>
      <c r="AQ14" s="13">
        <f ca="1">VLOOKUP($B14,'[3]Analisys QBR By Machine Report'!$C$109:$BD$166,38,FALSE)</f>
        <v>0</v>
      </c>
      <c r="AR14" s="13">
        <f ca="1">VLOOKUP($B14,'[3]Analisys QBR By Machine Report'!$C$109:$BD$166,39,FALSE)</f>
        <v>142</v>
      </c>
      <c r="AS14" s="13">
        <f ca="1">VLOOKUP($B14,'[3]Analisys QBR By Machine Report'!$C$109:$BD$166,40,FALSE)</f>
        <v>135</v>
      </c>
      <c r="AT14" s="13">
        <f ca="1">VLOOKUP($B14,'[3]Analisys QBR By Machine Report'!$C$109:$BD$166,41,FALSE)</f>
        <v>0</v>
      </c>
      <c r="AU14" s="13">
        <f ca="1">VLOOKUP($B14,'[3]Analisys QBR By Machine Report'!$C$109:$BD$166,42,FALSE)</f>
        <v>0</v>
      </c>
      <c r="AV14" s="13">
        <f ca="1">VLOOKUP($B14,'[3]Analisys QBR By Machine Report'!$C$109:$BD$166,43,FALSE)</f>
        <v>0</v>
      </c>
      <c r="AW14" s="13">
        <f ca="1">VLOOKUP($B14,'[3]Analisys QBR By Machine Report'!$C$109:$BD$166,44,FALSE)</f>
        <v>0</v>
      </c>
      <c r="AX14" s="13">
        <f ca="1">VLOOKUP($B14,'[3]Analisys QBR By Machine Report'!$C$109:$BD$166,45,FALSE)</f>
        <v>0</v>
      </c>
      <c r="AY14" s="13">
        <f ca="1">VLOOKUP($B14,'[3]Analisys QBR By Machine Report'!$C$109:$BD$166,46,FALSE)</f>
        <v>120</v>
      </c>
      <c r="AZ14" s="13">
        <f ca="1">VLOOKUP($B14,'[3]Analisys QBR By Machine Report'!$C$109:$BD$166,47,FALSE)</f>
        <v>50</v>
      </c>
      <c r="BA14" s="13">
        <f ca="1">VLOOKUP($B14,'[3]Analisys QBR By Machine Report'!$C$109:$BD$166,48,FALSE)</f>
        <v>115</v>
      </c>
      <c r="BB14" s="13">
        <f ca="1">VLOOKUP($B14,'[3]Analisys QBR By Machine Report'!$C$109:$BD$166,49,FALSE)</f>
        <v>0</v>
      </c>
      <c r="BC14" s="13">
        <f ca="1">VLOOKUP($B14,'[3]Analisys QBR By Machine Report'!$C$109:$BD$166,50,FALSE)</f>
        <v>0</v>
      </c>
      <c r="BD14" s="13">
        <f ca="1">VLOOKUP($B14,'[3]Analisys QBR By Machine Report'!$C$109:$BD$166,51,FALSE)</f>
        <v>544.44000000000005</v>
      </c>
      <c r="BE14" s="13">
        <f ca="1">VLOOKUP($B14,'[3]Analisys QBR By Machine Report'!$C$109:$BD$166,52,FALSE)</f>
        <v>0.4</v>
      </c>
      <c r="BF14" s="13">
        <f ca="1">VLOOKUP($B14,'[3]Analisys QBR By Machine Report'!$C$109:$BD$166,53,FALSE)</f>
        <v>544.04</v>
      </c>
    </row>
    <row r="15" spans="1:58" x14ac:dyDescent="0.25">
      <c r="A15" s="12" t="s">
        <v>71</v>
      </c>
      <c r="B15" s="13">
        <f ca="1">VLOOKUP($B15,'[3]Analisys QBR By Machine Report'!$C$109:$BD$166,2,FALSE)</f>
        <v>28800</v>
      </c>
      <c r="C15" s="14">
        <f ca="1">VLOOKUP($B15,[3]Dasboard_QBR_Report!$B$109:$BL$166,3,FALSE)</f>
        <v>9600</v>
      </c>
      <c r="D15" s="13">
        <f ca="1">VLOOKUP($B15,'[3]Analisys QBR By Machine Report'!$C$109:$BD$166,3,FALSE)</f>
        <v>24075</v>
      </c>
      <c r="E15" s="14">
        <f ca="1">VLOOKUP($B15,[3]Dasboard_QBR_Report!$B$109:$BL$166,5,FALSE)</f>
        <v>4875</v>
      </c>
      <c r="F15" s="13">
        <f t="shared" ca="1" si="0"/>
        <v>4725</v>
      </c>
      <c r="G15" s="13">
        <f t="shared" ca="1" si="1"/>
        <v>0</v>
      </c>
      <c r="H15" s="13">
        <f ca="1">VLOOKUP($B15,'[3]Analisys QBR By Machine Report'!$C$109:$BD$166,4,FALSE)</f>
        <v>0</v>
      </c>
      <c r="I15" s="13">
        <f ca="1">VLOOKUP($B15,'[3]Analisys QBR By Machine Report'!$C$109:$BD$166,5,FALSE)</f>
        <v>0</v>
      </c>
      <c r="J15" s="13">
        <f ca="1">VLOOKUP($B15,'[3]Analisys QBR By Machine Report'!$C$109:$BD$166,6,FALSE)</f>
        <v>0</v>
      </c>
      <c r="K15" s="13">
        <f ca="1">VLOOKUP($B15,'[3]Analisys QBR By Machine Report'!$C$109:$BD$166,7,FALSE)</f>
        <v>0</v>
      </c>
      <c r="L15" s="13">
        <f ca="1">VLOOKUP($B15,'[3]Analisys QBR By Machine Report'!$C$109:$BD$166,8,FALSE)</f>
        <v>4725</v>
      </c>
      <c r="M15" s="13">
        <f ca="1">VLOOKUP($B15,'[3]Analisys QBR By Machine Report'!$C$109:$BD$166,9,FALSE)</f>
        <v>2085</v>
      </c>
      <c r="N15" s="13">
        <f ca="1">VLOOKUP($B15,[3]Dasboard_QBR_Report!$B$109:$BL$166,18,FALSE)</f>
        <v>2640</v>
      </c>
      <c r="O15" s="13">
        <f ca="1">VLOOKUP($B15,'[3]Analisys QBR By Machine Report'!$C$109:$BD$166,10,FALSE)</f>
        <v>125</v>
      </c>
      <c r="P15" s="13">
        <f ca="1">VLOOKUP($B15,'[3]Analisys QBR By Machine Report'!$C$109:$BD$166,11,FALSE)</f>
        <v>105</v>
      </c>
      <c r="Q15" s="13">
        <f ca="1">VLOOKUP($B15,'[3]Analisys QBR By Machine Report'!$C$109:$BD$166,12,FALSE)</f>
        <v>0</v>
      </c>
      <c r="R15" s="13">
        <f ca="1">VLOOKUP($B15,'[3]Analisys QBR By Machine Report'!$C$109:$BD$166,13,FALSE)</f>
        <v>20</v>
      </c>
      <c r="S15" s="13">
        <f ca="1">VLOOKUP($B15,'[3]Analisys QBR By Machine Report'!$C$109:$BD$166,14,FALSE)</f>
        <v>0</v>
      </c>
      <c r="T15" s="13">
        <f ca="1">VLOOKUP($B15,'[3]Analisys QBR By Machine Report'!$C$109:$BD$166,15,FALSE)</f>
        <v>0</v>
      </c>
      <c r="U15" s="13">
        <f ca="1">VLOOKUP($B15,'[3]Analisys QBR By Machine Report'!$C$109:$BD$166,16,FALSE)</f>
        <v>0</v>
      </c>
      <c r="V15" s="13">
        <f ca="1">VLOOKUP($B15,'[3]Analisys QBR By Machine Report'!$C$109:$BD$166,17,FALSE)</f>
        <v>0</v>
      </c>
      <c r="W15" s="13">
        <f ca="1">VLOOKUP($B15,'[3]Analisys QBR By Machine Report'!$C$109:$BD$166,18,FALSE)</f>
        <v>0</v>
      </c>
      <c r="X15" s="13">
        <f ca="1">VLOOKUP($B15,'[3]Analisys QBR By Machine Report'!$C$109:$BD$166,19,FALSE)</f>
        <v>0</v>
      </c>
      <c r="Y15" s="13">
        <f ca="1">VLOOKUP($B15,'[3]Analisys QBR By Machine Report'!$C$109:$BD$166,20,FALSE)</f>
        <v>0</v>
      </c>
      <c r="Z15" s="13">
        <f ca="1">VLOOKUP($B15,'[3]Analisys QBR By Machine Report'!$C$109:$BD$166,21,FALSE)</f>
        <v>1614</v>
      </c>
      <c r="AA15" s="13">
        <f ca="1">VLOOKUP($B15,'[3]Analisys QBR By Machine Report'!$C$109:$BD$166,22,FALSE)</f>
        <v>499</v>
      </c>
      <c r="AB15" s="13">
        <f ca="1">VLOOKUP($B15,'[3]Analisys QBR By Machine Report'!$C$109:$BD$166,23,FALSE)</f>
        <v>965</v>
      </c>
      <c r="AC15" s="13">
        <f ca="1">VLOOKUP($B15,'[3]Analisys QBR By Machine Report'!$C$109:$BD$166,24,FALSE)</f>
        <v>0</v>
      </c>
      <c r="AD15" s="13">
        <f ca="1">VLOOKUP($B15,'[3]Analisys QBR By Machine Report'!$C$109:$BD$166,25,FALSE)</f>
        <v>0</v>
      </c>
      <c r="AE15" s="13">
        <f ca="1">VLOOKUP($B15,'[3]Analisys QBR By Machine Report'!$C$109:$BD$166,26,FALSE)</f>
        <v>150</v>
      </c>
      <c r="AF15" s="13">
        <f ca="1">VLOOKUP($B15,'[3]Analisys QBR By Machine Report'!$C$109:$BD$166,27,FALSE)</f>
        <v>0</v>
      </c>
      <c r="AG15" s="13">
        <f ca="1">VLOOKUP($B15,'[3]Analisys QBR By Machine Report'!$C$109:$BD$166,28,FALSE)</f>
        <v>0</v>
      </c>
      <c r="AH15" s="13">
        <f ca="1">VLOOKUP($B15,'[3]Analisys QBR By Machine Report'!$C$109:$BD$166,29,FALSE)</f>
        <v>0</v>
      </c>
      <c r="AI15" s="13">
        <f ca="1">VLOOKUP($B15,'[3]Analisys QBR By Machine Report'!$C$109:$BD$166,30,FALSE)</f>
        <v>901</v>
      </c>
      <c r="AJ15" s="13">
        <f ca="1">VLOOKUP($B15,'[3]Analisys QBR By Machine Report'!$C$109:$BD$166,31,FALSE)</f>
        <v>0</v>
      </c>
      <c r="AK15" s="13">
        <f ca="1">VLOOKUP($B15,'[3]Analisys QBR By Machine Report'!$C$109:$BD$166,32,FALSE)</f>
        <v>0</v>
      </c>
      <c r="AL15" s="13">
        <f ca="1">VLOOKUP($B15,'[3]Analisys QBR By Machine Report'!$C$109:$BD$166,33,FALSE)</f>
        <v>90</v>
      </c>
      <c r="AM15" s="13">
        <f ca="1">VLOOKUP($B15,'[3]Analisys QBR By Machine Report'!$C$109:$BD$166,34,FALSE)</f>
        <v>0</v>
      </c>
      <c r="AN15" s="13">
        <f ca="1">VLOOKUP($B15,'[3]Analisys QBR By Machine Report'!$C$109:$BD$166,35,FALSE)</f>
        <v>210</v>
      </c>
      <c r="AO15" s="13">
        <f ca="1">VLOOKUP($B15,'[3]Analisys QBR By Machine Report'!$C$109:$BD$166,36,FALSE)</f>
        <v>120</v>
      </c>
      <c r="AP15" s="13">
        <f ca="1">VLOOKUP($B15,'[3]Analisys QBR By Machine Report'!$C$109:$BD$166,37,FALSE)</f>
        <v>0</v>
      </c>
      <c r="AQ15" s="13">
        <f ca="1">VLOOKUP($B15,'[3]Analisys QBR By Machine Report'!$C$109:$BD$166,38,FALSE)</f>
        <v>0</v>
      </c>
      <c r="AR15" s="13">
        <f ca="1">VLOOKUP($B15,'[3]Analisys QBR By Machine Report'!$C$109:$BD$166,39,FALSE)</f>
        <v>155</v>
      </c>
      <c r="AS15" s="13">
        <f ca="1">VLOOKUP($B15,'[3]Analisys QBR By Machine Report'!$C$109:$BD$166,40,FALSE)</f>
        <v>101</v>
      </c>
      <c r="AT15" s="13">
        <f ca="1">VLOOKUP($B15,'[3]Analisys QBR By Machine Report'!$C$109:$BD$166,41,FALSE)</f>
        <v>0</v>
      </c>
      <c r="AU15" s="13">
        <f ca="1">VLOOKUP($B15,'[3]Analisys QBR By Machine Report'!$C$109:$BD$166,42,FALSE)</f>
        <v>0</v>
      </c>
      <c r="AV15" s="13">
        <f ca="1">VLOOKUP($B15,'[3]Analisys QBR By Machine Report'!$C$109:$BD$166,43,FALSE)</f>
        <v>0</v>
      </c>
      <c r="AW15" s="13">
        <f ca="1">VLOOKUP($B15,'[3]Analisys QBR By Machine Report'!$C$109:$BD$166,44,FALSE)</f>
        <v>0</v>
      </c>
      <c r="AX15" s="13">
        <f ca="1">VLOOKUP($B15,'[3]Analisys QBR By Machine Report'!$C$109:$BD$166,45,FALSE)</f>
        <v>0</v>
      </c>
      <c r="AY15" s="13">
        <f ca="1">VLOOKUP($B15,'[3]Analisys QBR By Machine Report'!$C$109:$BD$166,46,FALSE)</f>
        <v>0</v>
      </c>
      <c r="AZ15" s="13">
        <f ca="1">VLOOKUP($B15,'[3]Analisys QBR By Machine Report'!$C$109:$BD$166,47,FALSE)</f>
        <v>45</v>
      </c>
      <c r="BA15" s="13">
        <f ca="1">VLOOKUP($B15,'[3]Analisys QBR By Machine Report'!$C$109:$BD$166,48,FALSE)</f>
        <v>180</v>
      </c>
      <c r="BB15" s="13">
        <f ca="1">VLOOKUP($B15,'[3]Analisys QBR By Machine Report'!$C$109:$BD$166,49,FALSE)</f>
        <v>0</v>
      </c>
      <c r="BC15" s="13">
        <f ca="1">VLOOKUP($B15,'[3]Analisys QBR By Machine Report'!$C$109:$BD$166,50,FALSE)</f>
        <v>0</v>
      </c>
      <c r="BD15" s="13">
        <f ca="1">VLOOKUP($B15,'[3]Analisys QBR By Machine Report'!$C$109:$BD$166,51,FALSE)</f>
        <v>1686.89</v>
      </c>
      <c r="BE15" s="13">
        <f ca="1">VLOOKUP($B15,'[3]Analisys QBR By Machine Report'!$C$109:$BD$166,52,FALSE)</f>
        <v>0.53</v>
      </c>
      <c r="BF15" s="13">
        <f ca="1">VLOOKUP($B15,'[3]Analisys QBR By Machine Report'!$C$109:$BD$166,53,FALSE)</f>
        <v>1686.36</v>
      </c>
    </row>
    <row r="16" spans="1:58" x14ac:dyDescent="0.25">
      <c r="A16" s="9" t="s">
        <v>72</v>
      </c>
      <c r="B16" s="10">
        <f ca="1">VLOOKUP($B16,'[3]Analisys QBR By Machine Report'!$C$109:$BD$166,2,FALSE)</f>
        <v>146880</v>
      </c>
      <c r="C16" s="11">
        <f ca="1">VLOOKUP($B16,[3]Dasboard_QBR_Report!$B$109:$BL$166,3,FALSE)</f>
        <v>67410</v>
      </c>
      <c r="D16" s="10">
        <f ca="1">VLOOKUP($B16,'[3]Analisys QBR By Machine Report'!$C$109:$BD$166,3,FALSE)</f>
        <v>88680</v>
      </c>
      <c r="E16" s="11">
        <f ca="1">VLOOKUP($B16,[3]Dasboard_QBR_Report!$B$109:$BL$166,5,FALSE)</f>
        <v>9210</v>
      </c>
      <c r="F16" s="10">
        <f t="shared" ca="1" si="0"/>
        <v>58200</v>
      </c>
      <c r="G16" s="10">
        <f t="shared" ca="1" si="1"/>
        <v>1890</v>
      </c>
      <c r="H16" s="10">
        <f ca="1">VLOOKUP($B16,'[3]Analisys QBR By Machine Report'!$C$109:$BD$166,4,FALSE)</f>
        <v>1890</v>
      </c>
      <c r="I16" s="10">
        <f ca="1">VLOOKUP($B16,'[3]Analisys QBR By Machine Report'!$C$109:$BD$166,5,FALSE)</f>
        <v>0</v>
      </c>
      <c r="J16" s="10">
        <f ca="1">VLOOKUP($B16,'[3]Analisys QBR By Machine Report'!$C$109:$BD$166,6,FALSE)</f>
        <v>1890</v>
      </c>
      <c r="K16" s="10">
        <f ca="1">VLOOKUP($B16,'[3]Analisys QBR By Machine Report'!$C$109:$BD$166,7,FALSE)</f>
        <v>0</v>
      </c>
      <c r="L16" s="10">
        <f ca="1">VLOOKUP($B16,'[3]Analisys QBR By Machine Report'!$C$109:$BD$166,8,FALSE)</f>
        <v>56310</v>
      </c>
      <c r="M16" s="10">
        <f ca="1">VLOOKUP($B16,'[3]Analisys QBR By Machine Report'!$C$109:$BD$166,9,FALSE)</f>
        <v>20565</v>
      </c>
      <c r="N16" s="10">
        <f ca="1">VLOOKUP($B16,[3]Dasboard_QBR_Report!$B$109:$BL$166,18,FALSE)</f>
        <v>35745</v>
      </c>
      <c r="O16" s="10">
        <f ca="1">VLOOKUP($B16,'[3]Analisys QBR By Machine Report'!$C$109:$BD$166,10,FALSE)</f>
        <v>9075</v>
      </c>
      <c r="P16" s="10">
        <f ca="1">VLOOKUP($B16,'[3]Analisys QBR By Machine Report'!$C$109:$BD$166,11,FALSE)</f>
        <v>4730</v>
      </c>
      <c r="Q16" s="10">
        <f ca="1">VLOOKUP($B16,'[3]Analisys QBR By Machine Report'!$C$109:$BD$166,12,FALSE)</f>
        <v>100</v>
      </c>
      <c r="R16" s="10">
        <f ca="1">VLOOKUP($B16,'[3]Analisys QBR By Machine Report'!$C$109:$BD$166,13,FALSE)</f>
        <v>4240</v>
      </c>
      <c r="S16" s="10">
        <f ca="1">VLOOKUP($B16,'[3]Analisys QBR By Machine Report'!$C$109:$BD$166,14,FALSE)</f>
        <v>5</v>
      </c>
      <c r="T16" s="10">
        <f ca="1">VLOOKUP($B16,'[3]Analisys QBR By Machine Report'!$C$109:$BD$166,15,FALSE)</f>
        <v>1130</v>
      </c>
      <c r="U16" s="10">
        <f ca="1">VLOOKUP($B16,'[3]Analisys QBR By Machine Report'!$C$109:$BD$166,16,FALSE)</f>
        <v>855</v>
      </c>
      <c r="V16" s="10">
        <f ca="1">VLOOKUP($B16,'[3]Analisys QBR By Machine Report'!$C$109:$BD$166,17,FALSE)</f>
        <v>245</v>
      </c>
      <c r="W16" s="10">
        <f ca="1">VLOOKUP($B16,'[3]Analisys QBR By Machine Report'!$C$109:$BD$166,18,FALSE)</f>
        <v>0</v>
      </c>
      <c r="X16" s="10">
        <f ca="1">VLOOKUP($B16,'[3]Analisys QBR By Machine Report'!$C$109:$BD$166,19,FALSE)</f>
        <v>0</v>
      </c>
      <c r="Y16" s="10">
        <f ca="1">VLOOKUP($B16,'[3]Analisys QBR By Machine Report'!$C$109:$BD$166,20,FALSE)</f>
        <v>30</v>
      </c>
      <c r="Z16" s="10">
        <f ca="1">VLOOKUP($B16,'[3]Analisys QBR By Machine Report'!$C$109:$BD$166,21,FALSE)</f>
        <v>13945</v>
      </c>
      <c r="AA16" s="10">
        <f ca="1">VLOOKUP($B16,'[3]Analisys QBR By Machine Report'!$C$109:$BD$166,22,FALSE)</f>
        <v>7925</v>
      </c>
      <c r="AB16" s="10">
        <f ca="1">VLOOKUP($B16,'[3]Analisys QBR By Machine Report'!$C$109:$BD$166,23,FALSE)</f>
        <v>2170</v>
      </c>
      <c r="AC16" s="10">
        <f ca="1">VLOOKUP($B16,'[3]Analisys QBR By Machine Report'!$C$109:$BD$166,24,FALSE)</f>
        <v>2915</v>
      </c>
      <c r="AD16" s="10">
        <f ca="1">VLOOKUP($B16,'[3]Analisys QBR By Machine Report'!$C$109:$BD$166,25,FALSE)</f>
        <v>0</v>
      </c>
      <c r="AE16" s="10">
        <f ca="1">VLOOKUP($B16,'[3]Analisys QBR By Machine Report'!$C$109:$BD$166,26,FALSE)</f>
        <v>935</v>
      </c>
      <c r="AF16" s="10">
        <f ca="1">VLOOKUP($B16,'[3]Analisys QBR By Machine Report'!$C$109:$BD$166,27,FALSE)</f>
        <v>1530</v>
      </c>
      <c r="AG16" s="10">
        <f ca="1">VLOOKUP($B16,'[3]Analisys QBR By Machine Report'!$C$109:$BD$166,28,FALSE)</f>
        <v>0</v>
      </c>
      <c r="AH16" s="10">
        <f ca="1">VLOOKUP($B16,'[3]Analisys QBR By Machine Report'!$C$109:$BD$166,29,FALSE)</f>
        <v>1530</v>
      </c>
      <c r="AI16" s="10">
        <f ca="1">VLOOKUP($B16,'[3]Analisys QBR By Machine Report'!$C$109:$BD$166,30,FALSE)</f>
        <v>10065</v>
      </c>
      <c r="AJ16" s="10">
        <f ca="1">VLOOKUP($B16,'[3]Analisys QBR By Machine Report'!$C$109:$BD$166,31,FALSE)</f>
        <v>0</v>
      </c>
      <c r="AK16" s="10">
        <f ca="1">VLOOKUP($B16,'[3]Analisys QBR By Machine Report'!$C$109:$BD$166,32,FALSE)</f>
        <v>10</v>
      </c>
      <c r="AL16" s="10">
        <f ca="1">VLOOKUP($B16,'[3]Analisys QBR By Machine Report'!$C$109:$BD$166,33,FALSE)</f>
        <v>1830</v>
      </c>
      <c r="AM16" s="10">
        <f ca="1">VLOOKUP($B16,'[3]Analisys QBR By Machine Report'!$C$109:$BD$166,34,FALSE)</f>
        <v>0</v>
      </c>
      <c r="AN16" s="10">
        <f ca="1">VLOOKUP($B16,'[3]Analisys QBR By Machine Report'!$C$109:$BD$166,35,FALSE)</f>
        <v>3325</v>
      </c>
      <c r="AO16" s="10">
        <f ca="1">VLOOKUP($B16,'[3]Analisys QBR By Machine Report'!$C$109:$BD$166,36,FALSE)</f>
        <v>650</v>
      </c>
      <c r="AP16" s="10">
        <f ca="1">VLOOKUP($B16,'[3]Analisys QBR By Machine Report'!$C$109:$BD$166,37,FALSE)</f>
        <v>0</v>
      </c>
      <c r="AQ16" s="10">
        <f ca="1">VLOOKUP($B16,'[3]Analisys QBR By Machine Report'!$C$109:$BD$166,38,FALSE)</f>
        <v>0</v>
      </c>
      <c r="AR16" s="10">
        <f ca="1">VLOOKUP($B16,'[3]Analisys QBR By Machine Report'!$C$109:$BD$166,39,FALSE)</f>
        <v>0</v>
      </c>
      <c r="AS16" s="10">
        <f ca="1">VLOOKUP($B16,'[3]Analisys QBR By Machine Report'!$C$109:$BD$166,40,FALSE)</f>
        <v>1990</v>
      </c>
      <c r="AT16" s="10">
        <f ca="1">VLOOKUP($B16,'[3]Analisys QBR By Machine Report'!$C$109:$BD$166,41,FALSE)</f>
        <v>0</v>
      </c>
      <c r="AU16" s="10">
        <f ca="1">VLOOKUP($B16,'[3]Analisys QBR By Machine Report'!$C$109:$BD$166,42,FALSE)</f>
        <v>0</v>
      </c>
      <c r="AV16" s="10">
        <f ca="1">VLOOKUP($B16,'[3]Analisys QBR By Machine Report'!$C$109:$BD$166,43,FALSE)</f>
        <v>0</v>
      </c>
      <c r="AW16" s="10">
        <f ca="1">VLOOKUP($B16,'[3]Analisys QBR By Machine Report'!$C$109:$BD$166,44,FALSE)</f>
        <v>0</v>
      </c>
      <c r="AX16" s="10">
        <f ca="1">VLOOKUP($B16,'[3]Analisys QBR By Machine Report'!$C$109:$BD$166,45,FALSE)</f>
        <v>0</v>
      </c>
      <c r="AY16" s="10">
        <f ca="1">VLOOKUP($B16,'[3]Analisys QBR By Machine Report'!$C$109:$BD$166,46,FALSE)</f>
        <v>0</v>
      </c>
      <c r="AZ16" s="10">
        <f ca="1">VLOOKUP($B16,'[3]Analisys QBR By Machine Report'!$C$109:$BD$166,47,FALSE)</f>
        <v>1960</v>
      </c>
      <c r="BA16" s="10">
        <f ca="1">VLOOKUP($B16,'[3]Analisys QBR By Machine Report'!$C$109:$BD$166,48,FALSE)</f>
        <v>300</v>
      </c>
      <c r="BB16" s="10">
        <f ca="1">VLOOKUP($B16,'[3]Analisys QBR By Machine Report'!$C$109:$BD$166,49,FALSE)</f>
        <v>0</v>
      </c>
      <c r="BC16" s="10">
        <f ca="1">VLOOKUP($B16,'[3]Analisys QBR By Machine Report'!$C$109:$BD$166,50,FALSE)</f>
        <v>0</v>
      </c>
      <c r="BD16" s="10">
        <f ca="1">VLOOKUP($B16,'[3]Analisys QBR By Machine Report'!$C$109:$BD$166,51,FALSE)</f>
        <v>13748568</v>
      </c>
      <c r="BE16" s="10">
        <f ca="1">VLOOKUP($B16,'[3]Analisys QBR By Machine Report'!$C$109:$BD$166,52,FALSE)</f>
        <v>78451</v>
      </c>
      <c r="BF16" s="10">
        <f ca="1">VLOOKUP($B16,'[3]Analisys QBR By Machine Report'!$C$109:$BD$166,53,FALSE)</f>
        <v>13670117</v>
      </c>
    </row>
    <row r="17" spans="1:58" x14ac:dyDescent="0.25">
      <c r="A17" s="12" t="s">
        <v>73</v>
      </c>
      <c r="B17" s="13">
        <f ca="1">VLOOKUP($B17,'[3]Analisys QBR By Machine Report'!$C$109:$BD$166,2,FALSE)</f>
        <v>28800</v>
      </c>
      <c r="C17" s="14">
        <f ca="1">VLOOKUP($B17,[3]Dasboard_QBR_Report!$B$109:$BL$166,3,FALSE)</f>
        <v>18600</v>
      </c>
      <c r="D17" s="13">
        <f ca="1">VLOOKUP($B17,'[3]Analisys QBR By Machine Report'!$C$109:$BD$166,3,FALSE)</f>
        <v>20220</v>
      </c>
      <c r="E17" s="14">
        <f ca="1">VLOOKUP($B17,[3]Dasboard_QBR_Report!$B$109:$BL$166,5,FALSE)</f>
        <v>10020</v>
      </c>
      <c r="F17" s="13">
        <f t="shared" ca="1" si="0"/>
        <v>8580</v>
      </c>
      <c r="G17" s="13">
        <f t="shared" ca="1" si="1"/>
        <v>425</v>
      </c>
      <c r="H17" s="13">
        <f ca="1">VLOOKUP($B17,'[3]Analisys QBR By Machine Report'!$C$109:$BD$166,4,FALSE)</f>
        <v>425</v>
      </c>
      <c r="I17" s="13">
        <f ca="1">VLOOKUP($B17,'[3]Analisys QBR By Machine Report'!$C$109:$BD$166,5,FALSE)</f>
        <v>0</v>
      </c>
      <c r="J17" s="13">
        <f ca="1">VLOOKUP($B17,'[3]Analisys QBR By Machine Report'!$C$109:$BD$166,6,FALSE)</f>
        <v>425</v>
      </c>
      <c r="K17" s="13">
        <f ca="1">VLOOKUP($B17,'[3]Analisys QBR By Machine Report'!$C$109:$BD$166,7,FALSE)</f>
        <v>0</v>
      </c>
      <c r="L17" s="13">
        <f ca="1">VLOOKUP($B17,'[3]Analisys QBR By Machine Report'!$C$109:$BD$166,8,FALSE)</f>
        <v>8155</v>
      </c>
      <c r="M17" s="13">
        <f ca="1">VLOOKUP($B17,'[3]Analisys QBR By Machine Report'!$C$109:$BD$166,9,FALSE)</f>
        <v>3095</v>
      </c>
      <c r="N17" s="13">
        <f ca="1">VLOOKUP($B17,[3]Dasboard_QBR_Report!$B$109:$BL$166,18,FALSE)</f>
        <v>5060</v>
      </c>
      <c r="O17" s="13">
        <f ca="1">VLOOKUP($B17,'[3]Analisys QBR By Machine Report'!$C$109:$BD$166,10,FALSE)</f>
        <v>1390</v>
      </c>
      <c r="P17" s="13">
        <f ca="1">VLOOKUP($B17,'[3]Analisys QBR By Machine Report'!$C$109:$BD$166,11,FALSE)</f>
        <v>615</v>
      </c>
      <c r="Q17" s="13">
        <f ca="1">VLOOKUP($B17,'[3]Analisys QBR By Machine Report'!$C$109:$BD$166,12,FALSE)</f>
        <v>0</v>
      </c>
      <c r="R17" s="13">
        <f ca="1">VLOOKUP($B17,'[3]Analisys QBR By Machine Report'!$C$109:$BD$166,13,FALSE)</f>
        <v>775</v>
      </c>
      <c r="S17" s="13">
        <f ca="1">VLOOKUP($B17,'[3]Analisys QBR By Machine Report'!$C$109:$BD$166,14,FALSE)</f>
        <v>0</v>
      </c>
      <c r="T17" s="13">
        <f ca="1">VLOOKUP($B17,'[3]Analisys QBR By Machine Report'!$C$109:$BD$166,15,FALSE)</f>
        <v>0</v>
      </c>
      <c r="U17" s="13">
        <f ca="1">VLOOKUP($B17,'[3]Analisys QBR By Machine Report'!$C$109:$BD$166,16,FALSE)</f>
        <v>0</v>
      </c>
      <c r="V17" s="13">
        <f ca="1">VLOOKUP($B17,'[3]Analisys QBR By Machine Report'!$C$109:$BD$166,17,FALSE)</f>
        <v>0</v>
      </c>
      <c r="W17" s="13">
        <f ca="1">VLOOKUP($B17,'[3]Analisys QBR By Machine Report'!$C$109:$BD$166,18,FALSE)</f>
        <v>0</v>
      </c>
      <c r="X17" s="13">
        <f ca="1">VLOOKUP($B17,'[3]Analisys QBR By Machine Report'!$C$109:$BD$166,19,FALSE)</f>
        <v>0</v>
      </c>
      <c r="Y17" s="13">
        <f ca="1">VLOOKUP($B17,'[3]Analisys QBR By Machine Report'!$C$109:$BD$166,20,FALSE)</f>
        <v>0</v>
      </c>
      <c r="Z17" s="13">
        <f ca="1">VLOOKUP($B17,'[3]Analisys QBR By Machine Report'!$C$109:$BD$166,21,FALSE)</f>
        <v>1650</v>
      </c>
      <c r="AA17" s="13">
        <f ca="1">VLOOKUP($B17,'[3]Analisys QBR By Machine Report'!$C$109:$BD$166,22,FALSE)</f>
        <v>855</v>
      </c>
      <c r="AB17" s="13">
        <f ca="1">VLOOKUP($B17,'[3]Analisys QBR By Machine Report'!$C$109:$BD$166,23,FALSE)</f>
        <v>210</v>
      </c>
      <c r="AC17" s="13">
        <f ca="1">VLOOKUP($B17,'[3]Analisys QBR By Machine Report'!$C$109:$BD$166,24,FALSE)</f>
        <v>435</v>
      </c>
      <c r="AD17" s="13">
        <f ca="1">VLOOKUP($B17,'[3]Analisys QBR By Machine Report'!$C$109:$BD$166,25,FALSE)</f>
        <v>0</v>
      </c>
      <c r="AE17" s="13">
        <f ca="1">VLOOKUP($B17,'[3]Analisys QBR By Machine Report'!$C$109:$BD$166,26,FALSE)</f>
        <v>150</v>
      </c>
      <c r="AF17" s="13">
        <f ca="1">VLOOKUP($B17,'[3]Analisys QBR By Machine Report'!$C$109:$BD$166,27,FALSE)</f>
        <v>255</v>
      </c>
      <c r="AG17" s="13">
        <f ca="1">VLOOKUP($B17,'[3]Analisys QBR By Machine Report'!$C$109:$BD$166,28,FALSE)</f>
        <v>0</v>
      </c>
      <c r="AH17" s="13">
        <f ca="1">VLOOKUP($B17,'[3]Analisys QBR By Machine Report'!$C$109:$BD$166,29,FALSE)</f>
        <v>255</v>
      </c>
      <c r="AI17" s="13">
        <f ca="1">VLOOKUP($B17,'[3]Analisys QBR By Machine Report'!$C$109:$BD$166,30,FALSE)</f>
        <v>1765</v>
      </c>
      <c r="AJ17" s="13">
        <f ca="1">VLOOKUP($B17,'[3]Analisys QBR By Machine Report'!$C$109:$BD$166,31,FALSE)</f>
        <v>0</v>
      </c>
      <c r="AK17" s="13">
        <f ca="1">VLOOKUP($B17,'[3]Analisys QBR By Machine Report'!$C$109:$BD$166,32,FALSE)</f>
        <v>0</v>
      </c>
      <c r="AL17" s="13">
        <f ca="1">VLOOKUP($B17,'[3]Analisys QBR By Machine Report'!$C$109:$BD$166,33,FALSE)</f>
        <v>255</v>
      </c>
      <c r="AM17" s="13">
        <f ca="1">VLOOKUP($B17,'[3]Analisys QBR By Machine Report'!$C$109:$BD$166,34,FALSE)</f>
        <v>0</v>
      </c>
      <c r="AN17" s="13">
        <f ca="1">VLOOKUP($B17,'[3]Analisys QBR By Machine Report'!$C$109:$BD$166,35,FALSE)</f>
        <v>485</v>
      </c>
      <c r="AO17" s="13">
        <f ca="1">VLOOKUP($B17,'[3]Analisys QBR By Machine Report'!$C$109:$BD$166,36,FALSE)</f>
        <v>530</v>
      </c>
      <c r="AP17" s="13">
        <f ca="1">VLOOKUP($B17,'[3]Analisys QBR By Machine Report'!$C$109:$BD$166,37,FALSE)</f>
        <v>0</v>
      </c>
      <c r="AQ17" s="13">
        <f ca="1">VLOOKUP($B17,'[3]Analisys QBR By Machine Report'!$C$109:$BD$166,38,FALSE)</f>
        <v>0</v>
      </c>
      <c r="AR17" s="13">
        <f ca="1">VLOOKUP($B17,'[3]Analisys QBR By Machine Report'!$C$109:$BD$166,39,FALSE)</f>
        <v>0</v>
      </c>
      <c r="AS17" s="13">
        <f ca="1">VLOOKUP($B17,'[3]Analisys QBR By Machine Report'!$C$109:$BD$166,40,FALSE)</f>
        <v>285</v>
      </c>
      <c r="AT17" s="13">
        <f ca="1">VLOOKUP($B17,'[3]Analisys QBR By Machine Report'!$C$109:$BD$166,41,FALSE)</f>
        <v>0</v>
      </c>
      <c r="AU17" s="13">
        <f ca="1">VLOOKUP($B17,'[3]Analisys QBR By Machine Report'!$C$109:$BD$166,42,FALSE)</f>
        <v>0</v>
      </c>
      <c r="AV17" s="13">
        <f ca="1">VLOOKUP($B17,'[3]Analisys QBR By Machine Report'!$C$109:$BD$166,43,FALSE)</f>
        <v>0</v>
      </c>
      <c r="AW17" s="13">
        <f ca="1">VLOOKUP($B17,'[3]Analisys QBR By Machine Report'!$C$109:$BD$166,44,FALSE)</f>
        <v>0</v>
      </c>
      <c r="AX17" s="13">
        <f ca="1">VLOOKUP($B17,'[3]Analisys QBR By Machine Report'!$C$109:$BD$166,45,FALSE)</f>
        <v>0</v>
      </c>
      <c r="AY17" s="13">
        <f ca="1">VLOOKUP($B17,'[3]Analisys QBR By Machine Report'!$C$109:$BD$166,46,FALSE)</f>
        <v>0</v>
      </c>
      <c r="AZ17" s="13">
        <f ca="1">VLOOKUP($B17,'[3]Analisys QBR By Machine Report'!$C$109:$BD$166,47,FALSE)</f>
        <v>210</v>
      </c>
      <c r="BA17" s="13">
        <f ca="1">VLOOKUP($B17,'[3]Analisys QBR By Machine Report'!$C$109:$BD$166,48,FALSE)</f>
        <v>0</v>
      </c>
      <c r="BB17" s="13">
        <f ca="1">VLOOKUP($B17,'[3]Analisys QBR By Machine Report'!$C$109:$BD$166,49,FALSE)</f>
        <v>0</v>
      </c>
      <c r="BC17" s="13">
        <f ca="1">VLOOKUP($B17,'[3]Analisys QBR By Machine Report'!$C$109:$BD$166,50,FALSE)</f>
        <v>0</v>
      </c>
      <c r="BD17" s="13">
        <f ca="1">VLOOKUP($B17,'[3]Analisys QBR By Machine Report'!$C$109:$BD$166,51,FALSE)</f>
        <v>1691983</v>
      </c>
      <c r="BE17" s="13">
        <f ca="1">VLOOKUP($B17,'[3]Analisys QBR By Machine Report'!$C$109:$BD$166,52,FALSE)</f>
        <v>8113</v>
      </c>
      <c r="BF17" s="13">
        <f ca="1">VLOOKUP($B17,'[3]Analisys QBR By Machine Report'!$C$109:$BD$166,53,FALSE)</f>
        <v>1683870</v>
      </c>
    </row>
    <row r="18" spans="1:58" x14ac:dyDescent="0.25">
      <c r="A18" s="12" t="s">
        <v>74</v>
      </c>
      <c r="B18" s="13">
        <f ca="1">VLOOKUP($B18,'[3]Analisys QBR By Machine Report'!$C$109:$BD$166,2,FALSE)</f>
        <v>30240</v>
      </c>
      <c r="C18" s="14">
        <f ca="1">VLOOKUP($B18,[3]Dasboard_QBR_Report!$B$109:$BL$166,3,FALSE)</f>
        <v>19530</v>
      </c>
      <c r="D18" s="13">
        <f ca="1">VLOOKUP($B18,'[3]Analisys QBR By Machine Report'!$C$109:$BD$166,3,FALSE)</f>
        <v>12210</v>
      </c>
      <c r="E18" s="14">
        <f ca="1">VLOOKUP($B18,[3]Dasboard_QBR_Report!$B$109:$BL$166,5,FALSE)</f>
        <v>1500</v>
      </c>
      <c r="F18" s="13">
        <f t="shared" ca="1" si="0"/>
        <v>18030</v>
      </c>
      <c r="G18" s="13">
        <f t="shared" ca="1" si="1"/>
        <v>180</v>
      </c>
      <c r="H18" s="13">
        <f ca="1">VLOOKUP($B18,'[3]Analisys QBR By Machine Report'!$C$109:$BD$166,4,FALSE)</f>
        <v>180</v>
      </c>
      <c r="I18" s="13">
        <f ca="1">VLOOKUP($B18,'[3]Analisys QBR By Machine Report'!$C$109:$BD$166,5,FALSE)</f>
        <v>0</v>
      </c>
      <c r="J18" s="13">
        <f ca="1">VLOOKUP($B18,'[3]Analisys QBR By Machine Report'!$C$109:$BD$166,6,FALSE)</f>
        <v>180</v>
      </c>
      <c r="K18" s="13">
        <f ca="1">VLOOKUP($B18,'[3]Analisys QBR By Machine Report'!$C$109:$BD$166,7,FALSE)</f>
        <v>0</v>
      </c>
      <c r="L18" s="13">
        <f ca="1">VLOOKUP($B18,'[3]Analisys QBR By Machine Report'!$C$109:$BD$166,8,FALSE)</f>
        <v>17850</v>
      </c>
      <c r="M18" s="13">
        <f ca="1">VLOOKUP($B18,'[3]Analisys QBR By Machine Report'!$C$109:$BD$166,9,FALSE)</f>
        <v>5775</v>
      </c>
      <c r="N18" s="13">
        <f ca="1">VLOOKUP($B18,[3]Dasboard_QBR_Report!$B$109:$BL$166,18,FALSE)</f>
        <v>12075</v>
      </c>
      <c r="O18" s="13">
        <f ca="1">VLOOKUP($B18,'[3]Analisys QBR By Machine Report'!$C$109:$BD$166,10,FALSE)</f>
        <v>2735</v>
      </c>
      <c r="P18" s="13">
        <f ca="1">VLOOKUP($B18,'[3]Analisys QBR By Machine Report'!$C$109:$BD$166,11,FALSE)</f>
        <v>1850</v>
      </c>
      <c r="Q18" s="13">
        <f ca="1">VLOOKUP($B18,'[3]Analisys QBR By Machine Report'!$C$109:$BD$166,12,FALSE)</f>
        <v>0</v>
      </c>
      <c r="R18" s="13">
        <f ca="1">VLOOKUP($B18,'[3]Analisys QBR By Machine Report'!$C$109:$BD$166,13,FALSE)</f>
        <v>885</v>
      </c>
      <c r="S18" s="13">
        <f ca="1">VLOOKUP($B18,'[3]Analisys QBR By Machine Report'!$C$109:$BD$166,14,FALSE)</f>
        <v>0</v>
      </c>
      <c r="T18" s="13">
        <f ca="1">VLOOKUP($B18,'[3]Analisys QBR By Machine Report'!$C$109:$BD$166,15,FALSE)</f>
        <v>975</v>
      </c>
      <c r="U18" s="13">
        <f ca="1">VLOOKUP($B18,'[3]Analisys QBR By Machine Report'!$C$109:$BD$166,16,FALSE)</f>
        <v>760</v>
      </c>
      <c r="V18" s="13">
        <f ca="1">VLOOKUP($B18,'[3]Analisys QBR By Machine Report'!$C$109:$BD$166,17,FALSE)</f>
        <v>200</v>
      </c>
      <c r="W18" s="13">
        <f ca="1">VLOOKUP($B18,'[3]Analisys QBR By Machine Report'!$C$109:$BD$166,18,FALSE)</f>
        <v>0</v>
      </c>
      <c r="X18" s="13">
        <f ca="1">VLOOKUP($B18,'[3]Analisys QBR By Machine Report'!$C$109:$BD$166,19,FALSE)</f>
        <v>0</v>
      </c>
      <c r="Y18" s="13">
        <f ca="1">VLOOKUP($B18,'[3]Analisys QBR By Machine Report'!$C$109:$BD$166,20,FALSE)</f>
        <v>15</v>
      </c>
      <c r="Z18" s="13">
        <f ca="1">VLOOKUP($B18,'[3]Analisys QBR By Machine Report'!$C$109:$BD$166,21,FALSE)</f>
        <v>4125</v>
      </c>
      <c r="AA18" s="13">
        <f ca="1">VLOOKUP($B18,'[3]Analisys QBR By Machine Report'!$C$109:$BD$166,22,FALSE)</f>
        <v>2080</v>
      </c>
      <c r="AB18" s="13">
        <f ca="1">VLOOKUP($B18,'[3]Analisys QBR By Machine Report'!$C$109:$BD$166,23,FALSE)</f>
        <v>945</v>
      </c>
      <c r="AC18" s="13">
        <f ca="1">VLOOKUP($B18,'[3]Analisys QBR By Machine Report'!$C$109:$BD$166,24,FALSE)</f>
        <v>825</v>
      </c>
      <c r="AD18" s="13">
        <f ca="1">VLOOKUP($B18,'[3]Analisys QBR By Machine Report'!$C$109:$BD$166,25,FALSE)</f>
        <v>0</v>
      </c>
      <c r="AE18" s="13">
        <f ca="1">VLOOKUP($B18,'[3]Analisys QBR By Machine Report'!$C$109:$BD$166,26,FALSE)</f>
        <v>275</v>
      </c>
      <c r="AF18" s="13">
        <f ca="1">VLOOKUP($B18,'[3]Analisys QBR By Machine Report'!$C$109:$BD$166,27,FALSE)</f>
        <v>1275</v>
      </c>
      <c r="AG18" s="13">
        <f ca="1">VLOOKUP($B18,'[3]Analisys QBR By Machine Report'!$C$109:$BD$166,28,FALSE)</f>
        <v>0</v>
      </c>
      <c r="AH18" s="13">
        <f ca="1">VLOOKUP($B18,'[3]Analisys QBR By Machine Report'!$C$109:$BD$166,29,FALSE)</f>
        <v>1275</v>
      </c>
      <c r="AI18" s="13">
        <f ca="1">VLOOKUP($B18,'[3]Analisys QBR By Machine Report'!$C$109:$BD$166,30,FALSE)</f>
        <v>2965</v>
      </c>
      <c r="AJ18" s="13">
        <f ca="1">VLOOKUP($B18,'[3]Analisys QBR By Machine Report'!$C$109:$BD$166,31,FALSE)</f>
        <v>0</v>
      </c>
      <c r="AK18" s="13">
        <f ca="1">VLOOKUP($B18,'[3]Analisys QBR By Machine Report'!$C$109:$BD$166,32,FALSE)</f>
        <v>0</v>
      </c>
      <c r="AL18" s="13">
        <f ca="1">VLOOKUP($B18,'[3]Analisys QBR By Machine Report'!$C$109:$BD$166,33,FALSE)</f>
        <v>555</v>
      </c>
      <c r="AM18" s="13">
        <f ca="1">VLOOKUP($B18,'[3]Analisys QBR By Machine Report'!$C$109:$BD$166,34,FALSE)</f>
        <v>0</v>
      </c>
      <c r="AN18" s="13">
        <f ca="1">VLOOKUP($B18,'[3]Analisys QBR By Machine Report'!$C$109:$BD$166,35,FALSE)</f>
        <v>985</v>
      </c>
      <c r="AO18" s="13">
        <f ca="1">VLOOKUP($B18,'[3]Analisys QBR By Machine Report'!$C$109:$BD$166,36,FALSE)</f>
        <v>0</v>
      </c>
      <c r="AP18" s="13">
        <f ca="1">VLOOKUP($B18,'[3]Analisys QBR By Machine Report'!$C$109:$BD$166,37,FALSE)</f>
        <v>0</v>
      </c>
      <c r="AQ18" s="13">
        <f ca="1">VLOOKUP($B18,'[3]Analisys QBR By Machine Report'!$C$109:$BD$166,38,FALSE)</f>
        <v>0</v>
      </c>
      <c r="AR18" s="13">
        <f ca="1">VLOOKUP($B18,'[3]Analisys QBR By Machine Report'!$C$109:$BD$166,39,FALSE)</f>
        <v>0</v>
      </c>
      <c r="AS18" s="13">
        <f ca="1">VLOOKUP($B18,'[3]Analisys QBR By Machine Report'!$C$109:$BD$166,40,FALSE)</f>
        <v>715</v>
      </c>
      <c r="AT18" s="13">
        <f ca="1">VLOOKUP($B18,'[3]Analisys QBR By Machine Report'!$C$109:$BD$166,41,FALSE)</f>
        <v>0</v>
      </c>
      <c r="AU18" s="13">
        <f ca="1">VLOOKUP($B18,'[3]Analisys QBR By Machine Report'!$C$109:$BD$166,42,FALSE)</f>
        <v>0</v>
      </c>
      <c r="AV18" s="13">
        <f ca="1">VLOOKUP($B18,'[3]Analisys QBR By Machine Report'!$C$109:$BD$166,43,FALSE)</f>
        <v>0</v>
      </c>
      <c r="AW18" s="13">
        <f ca="1">VLOOKUP($B18,'[3]Analisys QBR By Machine Report'!$C$109:$BD$166,44,FALSE)</f>
        <v>0</v>
      </c>
      <c r="AX18" s="13">
        <f ca="1">VLOOKUP($B18,'[3]Analisys QBR By Machine Report'!$C$109:$BD$166,45,FALSE)</f>
        <v>0</v>
      </c>
      <c r="AY18" s="13">
        <f ca="1">VLOOKUP($B18,'[3]Analisys QBR By Machine Report'!$C$109:$BD$166,46,FALSE)</f>
        <v>0</v>
      </c>
      <c r="AZ18" s="13">
        <f ca="1">VLOOKUP($B18,'[3]Analisys QBR By Machine Report'!$C$109:$BD$166,47,FALSE)</f>
        <v>620</v>
      </c>
      <c r="BA18" s="13">
        <f ca="1">VLOOKUP($B18,'[3]Analisys QBR By Machine Report'!$C$109:$BD$166,48,FALSE)</f>
        <v>90</v>
      </c>
      <c r="BB18" s="13">
        <f ca="1">VLOOKUP($B18,'[3]Analisys QBR By Machine Report'!$C$109:$BD$166,49,FALSE)</f>
        <v>0</v>
      </c>
      <c r="BC18" s="13">
        <f ca="1">VLOOKUP($B18,'[3]Analisys QBR By Machine Report'!$C$109:$BD$166,50,FALSE)</f>
        <v>0</v>
      </c>
      <c r="BD18" s="13">
        <f ca="1">VLOOKUP($B18,'[3]Analisys QBR By Machine Report'!$C$109:$BD$166,51,FALSE)</f>
        <v>6870905</v>
      </c>
      <c r="BE18" s="13">
        <f ca="1">VLOOKUP($B18,'[3]Analisys QBR By Machine Report'!$C$109:$BD$166,52,FALSE)</f>
        <v>40035</v>
      </c>
      <c r="BF18" s="13">
        <f ca="1">VLOOKUP($B18,'[3]Analisys QBR By Machine Report'!$C$109:$BD$166,53,FALSE)</f>
        <v>6830870</v>
      </c>
    </row>
    <row r="19" spans="1:58" x14ac:dyDescent="0.25">
      <c r="A19" s="12" t="s">
        <v>75</v>
      </c>
      <c r="B19" s="13">
        <f ca="1">VLOOKUP($B19,'[3]Analisys QBR By Machine Report'!$C$109:$BD$166,2,FALSE)</f>
        <v>30240</v>
      </c>
      <c r="C19" s="14">
        <f ca="1">VLOOKUP($B19,[3]Dasboard_QBR_Report!$B$109:$BL$166,3,FALSE)</f>
        <v>10080</v>
      </c>
      <c r="D19" s="13">
        <f ca="1">VLOOKUP($B19,'[3]Analisys QBR By Machine Report'!$C$109:$BD$166,3,FALSE)</f>
        <v>11760</v>
      </c>
      <c r="E19" s="14">
        <f ca="1">VLOOKUP($B19,[3]Dasboard_QBR_Report!$B$109:$BL$166,5,FALSE)</f>
        <v>-8400</v>
      </c>
      <c r="F19" s="13">
        <f t="shared" ca="1" si="0"/>
        <v>18480</v>
      </c>
      <c r="G19" s="13">
        <f t="shared" ca="1" si="1"/>
        <v>0</v>
      </c>
      <c r="H19" s="13">
        <f ca="1">VLOOKUP($B19,'[3]Analisys QBR By Machine Report'!$C$109:$BD$166,4,FALSE)</f>
        <v>0</v>
      </c>
      <c r="I19" s="13">
        <f ca="1">VLOOKUP($B19,'[3]Analisys QBR By Machine Report'!$C$109:$BD$166,5,FALSE)</f>
        <v>0</v>
      </c>
      <c r="J19" s="13">
        <f ca="1">VLOOKUP($B19,'[3]Analisys QBR By Machine Report'!$C$109:$BD$166,6,FALSE)</f>
        <v>0</v>
      </c>
      <c r="K19" s="13">
        <f ca="1">VLOOKUP($B19,'[3]Analisys QBR By Machine Report'!$C$109:$BD$166,7,FALSE)</f>
        <v>0</v>
      </c>
      <c r="L19" s="13">
        <f ca="1">VLOOKUP($B19,'[3]Analisys QBR By Machine Report'!$C$109:$BD$166,8,FALSE)</f>
        <v>18480</v>
      </c>
      <c r="M19" s="13">
        <f ca="1">VLOOKUP($B19,'[3]Analisys QBR By Machine Report'!$C$109:$BD$166,9,FALSE)</f>
        <v>7280</v>
      </c>
      <c r="N19" s="13">
        <f ca="1">VLOOKUP($B19,[3]Dasboard_QBR_Report!$B$109:$BL$166,18,FALSE)</f>
        <v>11200</v>
      </c>
      <c r="O19" s="13">
        <f ca="1">VLOOKUP($B19,'[3]Analisys QBR By Machine Report'!$C$109:$BD$166,10,FALSE)</f>
        <v>3030</v>
      </c>
      <c r="P19" s="13">
        <f ca="1">VLOOKUP($B19,'[3]Analisys QBR By Machine Report'!$C$109:$BD$166,11,FALSE)</f>
        <v>1435</v>
      </c>
      <c r="Q19" s="13">
        <f ca="1">VLOOKUP($B19,'[3]Analisys QBR By Machine Report'!$C$109:$BD$166,12,FALSE)</f>
        <v>100</v>
      </c>
      <c r="R19" s="13">
        <f ca="1">VLOOKUP($B19,'[3]Analisys QBR By Machine Report'!$C$109:$BD$166,13,FALSE)</f>
        <v>1495</v>
      </c>
      <c r="S19" s="13">
        <f ca="1">VLOOKUP($B19,'[3]Analisys QBR By Machine Report'!$C$109:$BD$166,14,FALSE)</f>
        <v>0</v>
      </c>
      <c r="T19" s="13">
        <f ca="1">VLOOKUP($B19,'[3]Analisys QBR By Machine Report'!$C$109:$BD$166,15,FALSE)</f>
        <v>30</v>
      </c>
      <c r="U19" s="13">
        <f ca="1">VLOOKUP($B19,'[3]Analisys QBR By Machine Report'!$C$109:$BD$166,16,FALSE)</f>
        <v>15</v>
      </c>
      <c r="V19" s="13">
        <f ca="1">VLOOKUP($B19,'[3]Analisys QBR By Machine Report'!$C$109:$BD$166,17,FALSE)</f>
        <v>15</v>
      </c>
      <c r="W19" s="13">
        <f ca="1">VLOOKUP($B19,'[3]Analisys QBR By Machine Report'!$C$109:$BD$166,18,FALSE)</f>
        <v>0</v>
      </c>
      <c r="X19" s="13">
        <f ca="1">VLOOKUP($B19,'[3]Analisys QBR By Machine Report'!$C$109:$BD$166,19,FALSE)</f>
        <v>0</v>
      </c>
      <c r="Y19" s="13">
        <f ca="1">VLOOKUP($B19,'[3]Analisys QBR By Machine Report'!$C$109:$BD$166,20,FALSE)</f>
        <v>0</v>
      </c>
      <c r="Z19" s="13">
        <f ca="1">VLOOKUP($B19,'[3]Analisys QBR By Machine Report'!$C$109:$BD$166,21,FALSE)</f>
        <v>5095</v>
      </c>
      <c r="AA19" s="13">
        <f ca="1">VLOOKUP($B19,'[3]Analisys QBR By Machine Report'!$C$109:$BD$166,22,FALSE)</f>
        <v>3200</v>
      </c>
      <c r="AB19" s="13">
        <f ca="1">VLOOKUP($B19,'[3]Analisys QBR By Machine Report'!$C$109:$BD$166,23,FALSE)</f>
        <v>595</v>
      </c>
      <c r="AC19" s="13">
        <f ca="1">VLOOKUP($B19,'[3]Analisys QBR By Machine Report'!$C$109:$BD$166,24,FALSE)</f>
        <v>985</v>
      </c>
      <c r="AD19" s="13">
        <f ca="1">VLOOKUP($B19,'[3]Analisys QBR By Machine Report'!$C$109:$BD$166,25,FALSE)</f>
        <v>0</v>
      </c>
      <c r="AE19" s="13">
        <f ca="1">VLOOKUP($B19,'[3]Analisys QBR By Machine Report'!$C$109:$BD$166,26,FALSE)</f>
        <v>315</v>
      </c>
      <c r="AF19" s="13">
        <f ca="1">VLOOKUP($B19,'[3]Analisys QBR By Machine Report'!$C$109:$BD$166,27,FALSE)</f>
        <v>0</v>
      </c>
      <c r="AG19" s="13">
        <f ca="1">VLOOKUP($B19,'[3]Analisys QBR By Machine Report'!$C$109:$BD$166,28,FALSE)</f>
        <v>0</v>
      </c>
      <c r="AH19" s="13">
        <f ca="1">VLOOKUP($B19,'[3]Analisys QBR By Machine Report'!$C$109:$BD$166,29,FALSE)</f>
        <v>0</v>
      </c>
      <c r="AI19" s="13">
        <f ca="1">VLOOKUP($B19,'[3]Analisys QBR By Machine Report'!$C$109:$BD$166,30,FALSE)</f>
        <v>3045</v>
      </c>
      <c r="AJ19" s="13">
        <f ca="1">VLOOKUP($B19,'[3]Analisys QBR By Machine Report'!$C$109:$BD$166,31,FALSE)</f>
        <v>0</v>
      </c>
      <c r="AK19" s="13">
        <f ca="1">VLOOKUP($B19,'[3]Analisys QBR By Machine Report'!$C$109:$BD$166,32,FALSE)</f>
        <v>0</v>
      </c>
      <c r="AL19" s="13">
        <f ca="1">VLOOKUP($B19,'[3]Analisys QBR By Machine Report'!$C$109:$BD$166,33,FALSE)</f>
        <v>615</v>
      </c>
      <c r="AM19" s="13">
        <f ca="1">VLOOKUP($B19,'[3]Analisys QBR By Machine Report'!$C$109:$BD$166,34,FALSE)</f>
        <v>0</v>
      </c>
      <c r="AN19" s="13">
        <f ca="1">VLOOKUP($B19,'[3]Analisys QBR By Machine Report'!$C$109:$BD$166,35,FALSE)</f>
        <v>1185</v>
      </c>
      <c r="AO19" s="13">
        <f ca="1">VLOOKUP($B19,'[3]Analisys QBR By Machine Report'!$C$109:$BD$166,36,FALSE)</f>
        <v>0</v>
      </c>
      <c r="AP19" s="13">
        <f ca="1">VLOOKUP($B19,'[3]Analisys QBR By Machine Report'!$C$109:$BD$166,37,FALSE)</f>
        <v>0</v>
      </c>
      <c r="AQ19" s="13">
        <f ca="1">VLOOKUP($B19,'[3]Analisys QBR By Machine Report'!$C$109:$BD$166,38,FALSE)</f>
        <v>0</v>
      </c>
      <c r="AR19" s="13">
        <f ca="1">VLOOKUP($B19,'[3]Analisys QBR By Machine Report'!$C$109:$BD$166,39,FALSE)</f>
        <v>0</v>
      </c>
      <c r="AS19" s="13">
        <f ca="1">VLOOKUP($B19,'[3]Analisys QBR By Machine Report'!$C$109:$BD$166,40,FALSE)</f>
        <v>600</v>
      </c>
      <c r="AT19" s="13">
        <f ca="1">VLOOKUP($B19,'[3]Analisys QBR By Machine Report'!$C$109:$BD$166,41,FALSE)</f>
        <v>0</v>
      </c>
      <c r="AU19" s="13">
        <f ca="1">VLOOKUP($B19,'[3]Analisys QBR By Machine Report'!$C$109:$BD$166,42,FALSE)</f>
        <v>0</v>
      </c>
      <c r="AV19" s="13">
        <f ca="1">VLOOKUP($B19,'[3]Analisys QBR By Machine Report'!$C$109:$BD$166,43,FALSE)</f>
        <v>0</v>
      </c>
      <c r="AW19" s="13">
        <f ca="1">VLOOKUP($B19,'[3]Analisys QBR By Machine Report'!$C$109:$BD$166,44,FALSE)</f>
        <v>0</v>
      </c>
      <c r="AX19" s="13">
        <f ca="1">VLOOKUP($B19,'[3]Analisys QBR By Machine Report'!$C$109:$BD$166,45,FALSE)</f>
        <v>0</v>
      </c>
      <c r="AY19" s="13">
        <f ca="1">VLOOKUP($B19,'[3]Analisys QBR By Machine Report'!$C$109:$BD$166,46,FALSE)</f>
        <v>0</v>
      </c>
      <c r="AZ19" s="13">
        <f ca="1">VLOOKUP($B19,'[3]Analisys QBR By Machine Report'!$C$109:$BD$166,47,FALSE)</f>
        <v>495</v>
      </c>
      <c r="BA19" s="13">
        <f ca="1">VLOOKUP($B19,'[3]Analisys QBR By Machine Report'!$C$109:$BD$166,48,FALSE)</f>
        <v>150</v>
      </c>
      <c r="BB19" s="13">
        <f ca="1">VLOOKUP($B19,'[3]Analisys QBR By Machine Report'!$C$109:$BD$166,49,FALSE)</f>
        <v>0</v>
      </c>
      <c r="BC19" s="13">
        <f ca="1">VLOOKUP($B19,'[3]Analisys QBR By Machine Report'!$C$109:$BD$166,50,FALSE)</f>
        <v>0</v>
      </c>
      <c r="BD19" s="13">
        <f ca="1">VLOOKUP($B19,'[3]Analisys QBR By Machine Report'!$C$109:$BD$166,51,FALSE)</f>
        <v>4130369</v>
      </c>
      <c r="BE19" s="13">
        <f ca="1">VLOOKUP($B19,'[3]Analisys QBR By Machine Report'!$C$109:$BD$166,52,FALSE)</f>
        <v>19507</v>
      </c>
      <c r="BF19" s="13">
        <f ca="1">VLOOKUP($B19,'[3]Analisys QBR By Machine Report'!$C$109:$BD$166,53,FALSE)</f>
        <v>4110862</v>
      </c>
    </row>
    <row r="20" spans="1:58" x14ac:dyDescent="0.25">
      <c r="A20" s="12" t="s">
        <v>76</v>
      </c>
      <c r="B20" s="13">
        <f ca="1">VLOOKUP($B20,'[3]Analisys QBR By Machine Report'!$C$109:$BD$166,2,FALSE)</f>
        <v>28800</v>
      </c>
      <c r="C20" s="14">
        <f ca="1">VLOOKUP($B20,[3]Dasboard_QBR_Report!$B$109:$BL$166,3,FALSE)</f>
        <v>9600</v>
      </c>
      <c r="D20" s="13">
        <f ca="1">VLOOKUP($B20,'[3]Analisys QBR By Machine Report'!$C$109:$BD$166,3,FALSE)</f>
        <v>25620</v>
      </c>
      <c r="E20" s="14">
        <f ca="1">VLOOKUP($B20,[3]Dasboard_QBR_Report!$B$109:$BL$166,5,FALSE)</f>
        <v>6420</v>
      </c>
      <c r="F20" s="13">
        <f t="shared" ca="1" si="0"/>
        <v>3180</v>
      </c>
      <c r="G20" s="13">
        <f t="shared" ca="1" si="1"/>
        <v>300</v>
      </c>
      <c r="H20" s="13">
        <f ca="1">VLOOKUP($B20,'[3]Analisys QBR By Machine Report'!$C$109:$BD$166,4,FALSE)</f>
        <v>300</v>
      </c>
      <c r="I20" s="13">
        <f ca="1">VLOOKUP($B20,'[3]Analisys QBR By Machine Report'!$C$109:$BD$166,5,FALSE)</f>
        <v>0</v>
      </c>
      <c r="J20" s="13">
        <f ca="1">VLOOKUP($B20,'[3]Analisys QBR By Machine Report'!$C$109:$BD$166,6,FALSE)</f>
        <v>300</v>
      </c>
      <c r="K20" s="13">
        <f ca="1">VLOOKUP($B20,'[3]Analisys QBR By Machine Report'!$C$109:$BD$166,7,FALSE)</f>
        <v>0</v>
      </c>
      <c r="L20" s="13">
        <f ca="1">VLOOKUP($B20,'[3]Analisys QBR By Machine Report'!$C$109:$BD$166,8,FALSE)</f>
        <v>2880</v>
      </c>
      <c r="M20" s="13">
        <f ca="1">VLOOKUP($B20,'[3]Analisys QBR By Machine Report'!$C$109:$BD$166,9,FALSE)</f>
        <v>1690</v>
      </c>
      <c r="N20" s="13">
        <f ca="1">VLOOKUP($B20,[3]Dasboard_QBR_Report!$B$109:$BL$166,18,FALSE)</f>
        <v>1190</v>
      </c>
      <c r="O20" s="13">
        <f ca="1">VLOOKUP($B20,'[3]Analisys QBR By Machine Report'!$C$109:$BD$166,10,FALSE)</f>
        <v>75</v>
      </c>
      <c r="P20" s="13">
        <f ca="1">VLOOKUP($B20,'[3]Analisys QBR By Machine Report'!$C$109:$BD$166,11,FALSE)</f>
        <v>45</v>
      </c>
      <c r="Q20" s="13">
        <f ca="1">VLOOKUP($B20,'[3]Analisys QBR By Machine Report'!$C$109:$BD$166,12,FALSE)</f>
        <v>0</v>
      </c>
      <c r="R20" s="13">
        <f ca="1">VLOOKUP($B20,'[3]Analisys QBR By Machine Report'!$C$109:$BD$166,13,FALSE)</f>
        <v>30</v>
      </c>
      <c r="S20" s="13">
        <f ca="1">VLOOKUP($B20,'[3]Analisys QBR By Machine Report'!$C$109:$BD$166,14,FALSE)</f>
        <v>0</v>
      </c>
      <c r="T20" s="13">
        <f ca="1">VLOOKUP($B20,'[3]Analisys QBR By Machine Report'!$C$109:$BD$166,15,FALSE)</f>
        <v>0</v>
      </c>
      <c r="U20" s="13">
        <f ca="1">VLOOKUP($B20,'[3]Analisys QBR By Machine Report'!$C$109:$BD$166,16,FALSE)</f>
        <v>0</v>
      </c>
      <c r="V20" s="13">
        <f ca="1">VLOOKUP($B20,'[3]Analisys QBR By Machine Report'!$C$109:$BD$166,17,FALSE)</f>
        <v>0</v>
      </c>
      <c r="W20" s="13">
        <f ca="1">VLOOKUP($B20,'[3]Analisys QBR By Machine Report'!$C$109:$BD$166,18,FALSE)</f>
        <v>0</v>
      </c>
      <c r="X20" s="13">
        <f ca="1">VLOOKUP($B20,'[3]Analisys QBR By Machine Report'!$C$109:$BD$166,19,FALSE)</f>
        <v>0</v>
      </c>
      <c r="Y20" s="13">
        <f ca="1">VLOOKUP($B20,'[3]Analisys QBR By Machine Report'!$C$109:$BD$166,20,FALSE)</f>
        <v>0</v>
      </c>
      <c r="Z20" s="13">
        <f ca="1">VLOOKUP($B20,'[3]Analisys QBR By Machine Report'!$C$109:$BD$166,21,FALSE)</f>
        <v>705</v>
      </c>
      <c r="AA20" s="13">
        <f ca="1">VLOOKUP($B20,'[3]Analisys QBR By Machine Report'!$C$109:$BD$166,22,FALSE)</f>
        <v>420</v>
      </c>
      <c r="AB20" s="13">
        <f ca="1">VLOOKUP($B20,'[3]Analisys QBR By Machine Report'!$C$109:$BD$166,23,FALSE)</f>
        <v>30</v>
      </c>
      <c r="AC20" s="13">
        <f ca="1">VLOOKUP($B20,'[3]Analisys QBR By Machine Report'!$C$109:$BD$166,24,FALSE)</f>
        <v>195</v>
      </c>
      <c r="AD20" s="13">
        <f ca="1">VLOOKUP($B20,'[3]Analisys QBR By Machine Report'!$C$109:$BD$166,25,FALSE)</f>
        <v>0</v>
      </c>
      <c r="AE20" s="13">
        <f ca="1">VLOOKUP($B20,'[3]Analisys QBR By Machine Report'!$C$109:$BD$166,26,FALSE)</f>
        <v>60</v>
      </c>
      <c r="AF20" s="13">
        <f ca="1">VLOOKUP($B20,'[3]Analisys QBR By Machine Report'!$C$109:$BD$166,27,FALSE)</f>
        <v>0</v>
      </c>
      <c r="AG20" s="13">
        <f ca="1">VLOOKUP($B20,'[3]Analisys QBR By Machine Report'!$C$109:$BD$166,28,FALSE)</f>
        <v>0</v>
      </c>
      <c r="AH20" s="13">
        <f ca="1">VLOOKUP($B20,'[3]Analisys QBR By Machine Report'!$C$109:$BD$166,29,FALSE)</f>
        <v>0</v>
      </c>
      <c r="AI20" s="13">
        <f ca="1">VLOOKUP($B20,'[3]Analisys QBR By Machine Report'!$C$109:$BD$166,30,FALSE)</f>
        <v>410</v>
      </c>
      <c r="AJ20" s="13">
        <f ca="1">VLOOKUP($B20,'[3]Analisys QBR By Machine Report'!$C$109:$BD$166,31,FALSE)</f>
        <v>0</v>
      </c>
      <c r="AK20" s="13">
        <f ca="1">VLOOKUP($B20,'[3]Analisys QBR By Machine Report'!$C$109:$BD$166,32,FALSE)</f>
        <v>0</v>
      </c>
      <c r="AL20" s="13">
        <f ca="1">VLOOKUP($B20,'[3]Analisys QBR By Machine Report'!$C$109:$BD$166,33,FALSE)</f>
        <v>75</v>
      </c>
      <c r="AM20" s="13">
        <f ca="1">VLOOKUP($B20,'[3]Analisys QBR By Machine Report'!$C$109:$BD$166,34,FALSE)</f>
        <v>0</v>
      </c>
      <c r="AN20" s="13">
        <f ca="1">VLOOKUP($B20,'[3]Analisys QBR By Machine Report'!$C$109:$BD$166,35,FALSE)</f>
        <v>180</v>
      </c>
      <c r="AO20" s="13">
        <f ca="1">VLOOKUP($B20,'[3]Analisys QBR By Machine Report'!$C$109:$BD$166,36,FALSE)</f>
        <v>0</v>
      </c>
      <c r="AP20" s="13">
        <f ca="1">VLOOKUP($B20,'[3]Analisys QBR By Machine Report'!$C$109:$BD$166,37,FALSE)</f>
        <v>0</v>
      </c>
      <c r="AQ20" s="13">
        <f ca="1">VLOOKUP($B20,'[3]Analisys QBR By Machine Report'!$C$109:$BD$166,38,FALSE)</f>
        <v>0</v>
      </c>
      <c r="AR20" s="13">
        <f ca="1">VLOOKUP($B20,'[3]Analisys QBR By Machine Report'!$C$109:$BD$166,39,FALSE)</f>
        <v>0</v>
      </c>
      <c r="AS20" s="13">
        <f ca="1">VLOOKUP($B20,'[3]Analisys QBR By Machine Report'!$C$109:$BD$166,40,FALSE)</f>
        <v>90</v>
      </c>
      <c r="AT20" s="13">
        <f ca="1">VLOOKUP($B20,'[3]Analisys QBR By Machine Report'!$C$109:$BD$166,41,FALSE)</f>
        <v>0</v>
      </c>
      <c r="AU20" s="13">
        <f ca="1">VLOOKUP($B20,'[3]Analisys QBR By Machine Report'!$C$109:$BD$166,42,FALSE)</f>
        <v>0</v>
      </c>
      <c r="AV20" s="13">
        <f ca="1">VLOOKUP($B20,'[3]Analisys QBR By Machine Report'!$C$109:$BD$166,43,FALSE)</f>
        <v>0</v>
      </c>
      <c r="AW20" s="13">
        <f ca="1">VLOOKUP($B20,'[3]Analisys QBR By Machine Report'!$C$109:$BD$166,44,FALSE)</f>
        <v>0</v>
      </c>
      <c r="AX20" s="13">
        <f ca="1">VLOOKUP($B20,'[3]Analisys QBR By Machine Report'!$C$109:$BD$166,45,FALSE)</f>
        <v>0</v>
      </c>
      <c r="AY20" s="13">
        <f ca="1">VLOOKUP($B20,'[3]Analisys QBR By Machine Report'!$C$109:$BD$166,46,FALSE)</f>
        <v>0</v>
      </c>
      <c r="AZ20" s="13">
        <f ca="1">VLOOKUP($B20,'[3]Analisys QBR By Machine Report'!$C$109:$BD$166,47,FALSE)</f>
        <v>65</v>
      </c>
      <c r="BA20" s="13">
        <f ca="1">VLOOKUP($B20,'[3]Analisys QBR By Machine Report'!$C$109:$BD$166,48,FALSE)</f>
        <v>0</v>
      </c>
      <c r="BB20" s="13">
        <f ca="1">VLOOKUP($B20,'[3]Analisys QBR By Machine Report'!$C$109:$BD$166,49,FALSE)</f>
        <v>0</v>
      </c>
      <c r="BC20" s="13">
        <f ca="1">VLOOKUP($B20,'[3]Analisys QBR By Machine Report'!$C$109:$BD$166,50,FALSE)</f>
        <v>0</v>
      </c>
      <c r="BD20" s="13">
        <f ca="1">VLOOKUP($B20,'[3]Analisys QBR By Machine Report'!$C$109:$BD$166,51,FALSE)</f>
        <v>41682</v>
      </c>
      <c r="BE20" s="13">
        <f ca="1">VLOOKUP($B20,'[3]Analisys QBR By Machine Report'!$C$109:$BD$166,52,FALSE)</f>
        <v>37</v>
      </c>
      <c r="BF20" s="13">
        <f ca="1">VLOOKUP($B20,'[3]Analisys QBR By Machine Report'!$C$109:$BD$166,53,FALSE)</f>
        <v>41645</v>
      </c>
    </row>
    <row r="21" spans="1:58" x14ac:dyDescent="0.25">
      <c r="A21" s="12" t="s">
        <v>77</v>
      </c>
      <c r="B21" s="13">
        <f ca="1">VLOOKUP($B21,'[3]Analisys QBR By Machine Report'!$C$109:$BD$166,2,FALSE)</f>
        <v>28800</v>
      </c>
      <c r="C21" s="14">
        <f ca="1">VLOOKUP($B21,[3]Dasboard_QBR_Report!$B$109:$BL$166,3,FALSE)</f>
        <v>9600</v>
      </c>
      <c r="D21" s="13">
        <f ca="1">VLOOKUP($B21,'[3]Analisys QBR By Machine Report'!$C$109:$BD$166,3,FALSE)</f>
        <v>18870</v>
      </c>
      <c r="E21" s="14">
        <f ca="1">VLOOKUP($B21,[3]Dasboard_QBR_Report!$B$109:$BL$166,5,FALSE)</f>
        <v>-330</v>
      </c>
      <c r="F21" s="13">
        <f t="shared" ca="1" si="0"/>
        <v>9930</v>
      </c>
      <c r="G21" s="13">
        <f t="shared" ca="1" si="1"/>
        <v>985</v>
      </c>
      <c r="H21" s="13">
        <f ca="1">VLOOKUP($B21,'[3]Analisys QBR By Machine Report'!$C$109:$BD$166,4,FALSE)</f>
        <v>985</v>
      </c>
      <c r="I21" s="13">
        <f ca="1">VLOOKUP($B21,'[3]Analisys QBR By Machine Report'!$C$109:$BD$166,5,FALSE)</f>
        <v>0</v>
      </c>
      <c r="J21" s="13">
        <f ca="1">VLOOKUP($B21,'[3]Analisys QBR By Machine Report'!$C$109:$BD$166,6,FALSE)</f>
        <v>985</v>
      </c>
      <c r="K21" s="13">
        <f ca="1">VLOOKUP($B21,'[3]Analisys QBR By Machine Report'!$C$109:$BD$166,7,FALSE)</f>
        <v>0</v>
      </c>
      <c r="L21" s="13">
        <f ca="1">VLOOKUP($B21,'[3]Analisys QBR By Machine Report'!$C$109:$BD$166,8,FALSE)</f>
        <v>8945</v>
      </c>
      <c r="M21" s="13">
        <f ca="1">VLOOKUP($B21,'[3]Analisys QBR By Machine Report'!$C$109:$BD$166,9,FALSE)</f>
        <v>2725</v>
      </c>
      <c r="N21" s="13">
        <f ca="1">VLOOKUP($B21,[3]Dasboard_QBR_Report!$B$109:$BL$166,18,FALSE)</f>
        <v>6220</v>
      </c>
      <c r="O21" s="13">
        <f ca="1">VLOOKUP($B21,'[3]Analisys QBR By Machine Report'!$C$109:$BD$166,10,FALSE)</f>
        <v>1845</v>
      </c>
      <c r="P21" s="13">
        <f ca="1">VLOOKUP($B21,'[3]Analisys QBR By Machine Report'!$C$109:$BD$166,11,FALSE)</f>
        <v>785</v>
      </c>
      <c r="Q21" s="13">
        <f ca="1">VLOOKUP($B21,'[3]Analisys QBR By Machine Report'!$C$109:$BD$166,12,FALSE)</f>
        <v>0</v>
      </c>
      <c r="R21" s="13">
        <f ca="1">VLOOKUP($B21,'[3]Analisys QBR By Machine Report'!$C$109:$BD$166,13,FALSE)</f>
        <v>1055</v>
      </c>
      <c r="S21" s="13">
        <f ca="1">VLOOKUP($B21,'[3]Analisys QBR By Machine Report'!$C$109:$BD$166,14,FALSE)</f>
        <v>5</v>
      </c>
      <c r="T21" s="13">
        <f ca="1">VLOOKUP($B21,'[3]Analisys QBR By Machine Report'!$C$109:$BD$166,15,FALSE)</f>
        <v>125</v>
      </c>
      <c r="U21" s="13">
        <f ca="1">VLOOKUP($B21,'[3]Analisys QBR By Machine Report'!$C$109:$BD$166,16,FALSE)</f>
        <v>80</v>
      </c>
      <c r="V21" s="13">
        <f ca="1">VLOOKUP($B21,'[3]Analisys QBR By Machine Report'!$C$109:$BD$166,17,FALSE)</f>
        <v>30</v>
      </c>
      <c r="W21" s="13">
        <f ca="1">VLOOKUP($B21,'[3]Analisys QBR By Machine Report'!$C$109:$BD$166,18,FALSE)</f>
        <v>0</v>
      </c>
      <c r="X21" s="13">
        <f ca="1">VLOOKUP($B21,'[3]Analisys QBR By Machine Report'!$C$109:$BD$166,19,FALSE)</f>
        <v>0</v>
      </c>
      <c r="Y21" s="13">
        <f ca="1">VLOOKUP($B21,'[3]Analisys QBR By Machine Report'!$C$109:$BD$166,20,FALSE)</f>
        <v>15</v>
      </c>
      <c r="Z21" s="13">
        <f ca="1">VLOOKUP($B21,'[3]Analisys QBR By Machine Report'!$C$109:$BD$166,21,FALSE)</f>
        <v>2370</v>
      </c>
      <c r="AA21" s="13">
        <f ca="1">VLOOKUP($B21,'[3]Analisys QBR By Machine Report'!$C$109:$BD$166,22,FALSE)</f>
        <v>1370</v>
      </c>
      <c r="AB21" s="13">
        <f ca="1">VLOOKUP($B21,'[3]Analisys QBR By Machine Report'!$C$109:$BD$166,23,FALSE)</f>
        <v>390</v>
      </c>
      <c r="AC21" s="13">
        <f ca="1">VLOOKUP($B21,'[3]Analisys QBR By Machine Report'!$C$109:$BD$166,24,FALSE)</f>
        <v>475</v>
      </c>
      <c r="AD21" s="13">
        <f ca="1">VLOOKUP($B21,'[3]Analisys QBR By Machine Report'!$C$109:$BD$166,25,FALSE)</f>
        <v>0</v>
      </c>
      <c r="AE21" s="13">
        <f ca="1">VLOOKUP($B21,'[3]Analisys QBR By Machine Report'!$C$109:$BD$166,26,FALSE)</f>
        <v>135</v>
      </c>
      <c r="AF21" s="13">
        <f ca="1">VLOOKUP($B21,'[3]Analisys QBR By Machine Report'!$C$109:$BD$166,27,FALSE)</f>
        <v>0</v>
      </c>
      <c r="AG21" s="13">
        <f ca="1">VLOOKUP($B21,'[3]Analisys QBR By Machine Report'!$C$109:$BD$166,28,FALSE)</f>
        <v>0</v>
      </c>
      <c r="AH21" s="13">
        <f ca="1">VLOOKUP($B21,'[3]Analisys QBR By Machine Report'!$C$109:$BD$166,29,FALSE)</f>
        <v>0</v>
      </c>
      <c r="AI21" s="13">
        <f ca="1">VLOOKUP($B21,'[3]Analisys QBR By Machine Report'!$C$109:$BD$166,30,FALSE)</f>
        <v>1880</v>
      </c>
      <c r="AJ21" s="13">
        <f ca="1">VLOOKUP($B21,'[3]Analisys QBR By Machine Report'!$C$109:$BD$166,31,FALSE)</f>
        <v>0</v>
      </c>
      <c r="AK21" s="13">
        <f ca="1">VLOOKUP($B21,'[3]Analisys QBR By Machine Report'!$C$109:$BD$166,32,FALSE)</f>
        <v>10</v>
      </c>
      <c r="AL21" s="13">
        <f ca="1">VLOOKUP($B21,'[3]Analisys QBR By Machine Report'!$C$109:$BD$166,33,FALSE)</f>
        <v>330</v>
      </c>
      <c r="AM21" s="13">
        <f ca="1">VLOOKUP($B21,'[3]Analisys QBR By Machine Report'!$C$109:$BD$166,34,FALSE)</f>
        <v>0</v>
      </c>
      <c r="AN21" s="13">
        <f ca="1">VLOOKUP($B21,'[3]Analisys QBR By Machine Report'!$C$109:$BD$166,35,FALSE)</f>
        <v>490</v>
      </c>
      <c r="AO21" s="13">
        <f ca="1">VLOOKUP($B21,'[3]Analisys QBR By Machine Report'!$C$109:$BD$166,36,FALSE)</f>
        <v>120</v>
      </c>
      <c r="AP21" s="13">
        <f ca="1">VLOOKUP($B21,'[3]Analisys QBR By Machine Report'!$C$109:$BD$166,37,FALSE)</f>
        <v>0</v>
      </c>
      <c r="AQ21" s="13">
        <f ca="1">VLOOKUP($B21,'[3]Analisys QBR By Machine Report'!$C$109:$BD$166,38,FALSE)</f>
        <v>0</v>
      </c>
      <c r="AR21" s="13">
        <f ca="1">VLOOKUP($B21,'[3]Analisys QBR By Machine Report'!$C$109:$BD$166,39,FALSE)</f>
        <v>0</v>
      </c>
      <c r="AS21" s="13">
        <f ca="1">VLOOKUP($B21,'[3]Analisys QBR By Machine Report'!$C$109:$BD$166,40,FALSE)</f>
        <v>300</v>
      </c>
      <c r="AT21" s="13">
        <f ca="1">VLOOKUP($B21,'[3]Analisys QBR By Machine Report'!$C$109:$BD$166,41,FALSE)</f>
        <v>0</v>
      </c>
      <c r="AU21" s="13">
        <f ca="1">VLOOKUP($B21,'[3]Analisys QBR By Machine Report'!$C$109:$BD$166,42,FALSE)</f>
        <v>0</v>
      </c>
      <c r="AV21" s="13">
        <f ca="1">VLOOKUP($B21,'[3]Analisys QBR By Machine Report'!$C$109:$BD$166,43,FALSE)</f>
        <v>0</v>
      </c>
      <c r="AW21" s="13">
        <f ca="1">VLOOKUP($B21,'[3]Analisys QBR By Machine Report'!$C$109:$BD$166,44,FALSE)</f>
        <v>0</v>
      </c>
      <c r="AX21" s="13">
        <f ca="1">VLOOKUP($B21,'[3]Analisys QBR By Machine Report'!$C$109:$BD$166,45,FALSE)</f>
        <v>0</v>
      </c>
      <c r="AY21" s="13">
        <f ca="1">VLOOKUP($B21,'[3]Analisys QBR By Machine Report'!$C$109:$BD$166,46,FALSE)</f>
        <v>0</v>
      </c>
      <c r="AZ21" s="13">
        <f ca="1">VLOOKUP($B21,'[3]Analisys QBR By Machine Report'!$C$109:$BD$166,47,FALSE)</f>
        <v>570</v>
      </c>
      <c r="BA21" s="13">
        <f ca="1">VLOOKUP($B21,'[3]Analisys QBR By Machine Report'!$C$109:$BD$166,48,FALSE)</f>
        <v>60</v>
      </c>
      <c r="BB21" s="13">
        <f ca="1">VLOOKUP($B21,'[3]Analisys QBR By Machine Report'!$C$109:$BD$166,49,FALSE)</f>
        <v>0</v>
      </c>
      <c r="BC21" s="13">
        <f ca="1">VLOOKUP($B21,'[3]Analisys QBR By Machine Report'!$C$109:$BD$166,50,FALSE)</f>
        <v>0</v>
      </c>
      <c r="BD21" s="13">
        <f ca="1">VLOOKUP($B21,'[3]Analisys QBR By Machine Report'!$C$109:$BD$166,51,FALSE)</f>
        <v>1013629</v>
      </c>
      <c r="BE21" s="13">
        <f ca="1">VLOOKUP($B21,'[3]Analisys QBR By Machine Report'!$C$109:$BD$166,52,FALSE)</f>
        <v>10759</v>
      </c>
      <c r="BF21" s="13">
        <f ca="1">VLOOKUP($B21,'[3]Analisys QBR By Machine Report'!$C$109:$BD$166,53,FALSE)</f>
        <v>1002870</v>
      </c>
    </row>
    <row r="22" spans="1:58" x14ac:dyDescent="0.25">
      <c r="A22" s="9" t="s">
        <v>78</v>
      </c>
      <c r="B22" s="10">
        <f ca="1">VLOOKUP($B22,'[3]Analisys QBR By Machine Report'!$C$109:$BD$166,2,FALSE)</f>
        <v>28800</v>
      </c>
      <c r="C22" s="11">
        <f ca="1">VLOOKUP($B22,[3]Dasboard_QBR_Report!$B$109:$BL$166,3,FALSE)</f>
        <v>18600</v>
      </c>
      <c r="D22" s="10">
        <f ca="1">VLOOKUP($B22,'[3]Analisys QBR By Machine Report'!$C$109:$BD$166,3,FALSE)</f>
        <v>21090</v>
      </c>
      <c r="E22" s="11">
        <f ca="1">VLOOKUP($B22,[3]Dasboard_QBR_Report!$B$109:$BL$166,5,FALSE)</f>
        <v>10890</v>
      </c>
      <c r="F22" s="10">
        <f t="shared" ca="1" si="0"/>
        <v>7710</v>
      </c>
      <c r="G22" s="10">
        <f t="shared" ca="1" si="1"/>
        <v>653</v>
      </c>
      <c r="H22" s="10">
        <f ca="1">VLOOKUP($B22,'[3]Analisys QBR By Machine Report'!$C$109:$BD$166,4,FALSE)</f>
        <v>653</v>
      </c>
      <c r="I22" s="10">
        <f ca="1">VLOOKUP($B22,'[3]Analisys QBR By Machine Report'!$C$109:$BD$166,5,FALSE)</f>
        <v>270</v>
      </c>
      <c r="J22" s="10">
        <f ca="1">VLOOKUP($B22,'[3]Analisys QBR By Machine Report'!$C$109:$BD$166,6,FALSE)</f>
        <v>383</v>
      </c>
      <c r="K22" s="10">
        <f ca="1">VLOOKUP($B22,'[3]Analisys QBR By Machine Report'!$C$109:$BD$166,7,FALSE)</f>
        <v>0</v>
      </c>
      <c r="L22" s="10">
        <f ca="1">VLOOKUP($B22,'[3]Analisys QBR By Machine Report'!$C$109:$BD$166,8,FALSE)</f>
        <v>7057</v>
      </c>
      <c r="M22" s="10">
        <f ca="1">VLOOKUP($B22,'[3]Analisys QBR By Machine Report'!$C$109:$BD$166,9,FALSE)</f>
        <v>2778</v>
      </c>
      <c r="N22" s="10">
        <f ca="1">VLOOKUP($B22,[3]Dasboard_QBR_Report!$B$109:$BL$166,18,FALSE)</f>
        <v>4279</v>
      </c>
      <c r="O22" s="10">
        <f ca="1">VLOOKUP($B22,'[3]Analisys QBR By Machine Report'!$C$109:$BD$166,10,FALSE)</f>
        <v>224</v>
      </c>
      <c r="P22" s="10">
        <f ca="1">VLOOKUP($B22,'[3]Analisys QBR By Machine Report'!$C$109:$BD$166,11,FALSE)</f>
        <v>224</v>
      </c>
      <c r="Q22" s="10">
        <f ca="1">VLOOKUP($B22,'[3]Analisys QBR By Machine Report'!$C$109:$BD$166,12,FALSE)</f>
        <v>0</v>
      </c>
      <c r="R22" s="10">
        <f ca="1">VLOOKUP($B22,'[3]Analisys QBR By Machine Report'!$C$109:$BD$166,13,FALSE)</f>
        <v>0</v>
      </c>
      <c r="S22" s="10">
        <f ca="1">VLOOKUP($B22,'[3]Analisys QBR By Machine Report'!$C$109:$BD$166,14,FALSE)</f>
        <v>0</v>
      </c>
      <c r="T22" s="10">
        <f ca="1">VLOOKUP($B22,'[3]Analisys QBR By Machine Report'!$C$109:$BD$166,15,FALSE)</f>
        <v>0</v>
      </c>
      <c r="U22" s="10">
        <f ca="1">VLOOKUP($B22,'[3]Analisys QBR By Machine Report'!$C$109:$BD$166,16,FALSE)</f>
        <v>0</v>
      </c>
      <c r="V22" s="10">
        <f ca="1">VLOOKUP($B22,'[3]Analisys QBR By Machine Report'!$C$109:$BD$166,17,FALSE)</f>
        <v>0</v>
      </c>
      <c r="W22" s="10">
        <f ca="1">VLOOKUP($B22,'[3]Analisys QBR By Machine Report'!$C$109:$BD$166,18,FALSE)</f>
        <v>0</v>
      </c>
      <c r="X22" s="10">
        <f ca="1">VLOOKUP($B22,'[3]Analisys QBR By Machine Report'!$C$109:$BD$166,19,FALSE)</f>
        <v>0</v>
      </c>
      <c r="Y22" s="10">
        <f ca="1">VLOOKUP($B22,'[3]Analisys QBR By Machine Report'!$C$109:$BD$166,20,FALSE)</f>
        <v>0</v>
      </c>
      <c r="Z22" s="10">
        <f ca="1">VLOOKUP($B22,'[3]Analisys QBR By Machine Report'!$C$109:$BD$166,21,FALSE)</f>
        <v>2862</v>
      </c>
      <c r="AA22" s="10">
        <f ca="1">VLOOKUP($B22,'[3]Analisys QBR By Machine Report'!$C$109:$BD$166,22,FALSE)</f>
        <v>228</v>
      </c>
      <c r="AB22" s="10">
        <f ca="1">VLOOKUP($B22,'[3]Analisys QBR By Machine Report'!$C$109:$BD$166,23,FALSE)</f>
        <v>2599</v>
      </c>
      <c r="AC22" s="10">
        <f ca="1">VLOOKUP($B22,'[3]Analisys QBR By Machine Report'!$C$109:$BD$166,24,FALSE)</f>
        <v>0</v>
      </c>
      <c r="AD22" s="10">
        <f ca="1">VLOOKUP($B22,'[3]Analisys QBR By Machine Report'!$C$109:$BD$166,25,FALSE)</f>
        <v>0</v>
      </c>
      <c r="AE22" s="10">
        <f ca="1">VLOOKUP($B22,'[3]Analisys QBR By Machine Report'!$C$109:$BD$166,26,FALSE)</f>
        <v>35</v>
      </c>
      <c r="AF22" s="10">
        <f ca="1">VLOOKUP($B22,'[3]Analisys QBR By Machine Report'!$C$109:$BD$166,27,FALSE)</f>
        <v>0</v>
      </c>
      <c r="AG22" s="10">
        <f ca="1">VLOOKUP($B22,'[3]Analisys QBR By Machine Report'!$C$109:$BD$166,28,FALSE)</f>
        <v>0</v>
      </c>
      <c r="AH22" s="10">
        <f ca="1">VLOOKUP($B22,'[3]Analisys QBR By Machine Report'!$C$109:$BD$166,29,FALSE)</f>
        <v>0</v>
      </c>
      <c r="AI22" s="10">
        <f ca="1">VLOOKUP($B22,'[3]Analisys QBR By Machine Report'!$C$109:$BD$166,30,FALSE)</f>
        <v>1193</v>
      </c>
      <c r="AJ22" s="10">
        <f ca="1">VLOOKUP($B22,'[3]Analisys QBR By Machine Report'!$C$109:$BD$166,31,FALSE)</f>
        <v>90</v>
      </c>
      <c r="AK22" s="10">
        <f ca="1">VLOOKUP($B22,'[3]Analisys QBR By Machine Report'!$C$109:$BD$166,32,FALSE)</f>
        <v>0</v>
      </c>
      <c r="AL22" s="10">
        <f ca="1">VLOOKUP($B22,'[3]Analisys QBR By Machine Report'!$C$109:$BD$166,33,FALSE)</f>
        <v>15</v>
      </c>
      <c r="AM22" s="10">
        <f ca="1">VLOOKUP($B22,'[3]Analisys QBR By Machine Report'!$C$109:$BD$166,34,FALSE)</f>
        <v>0</v>
      </c>
      <c r="AN22" s="10">
        <f ca="1">VLOOKUP($B22,'[3]Analisys QBR By Machine Report'!$C$109:$BD$166,35,FALSE)</f>
        <v>61</v>
      </c>
      <c r="AO22" s="10">
        <f ca="1">VLOOKUP($B22,'[3]Analisys QBR By Machine Report'!$C$109:$BD$166,36,FALSE)</f>
        <v>0</v>
      </c>
      <c r="AP22" s="10">
        <f ca="1">VLOOKUP($B22,'[3]Analisys QBR By Machine Report'!$C$109:$BD$166,37,FALSE)</f>
        <v>0</v>
      </c>
      <c r="AQ22" s="10">
        <f ca="1">VLOOKUP($B22,'[3]Analisys QBR By Machine Report'!$C$109:$BD$166,38,FALSE)</f>
        <v>0</v>
      </c>
      <c r="AR22" s="10">
        <f ca="1">VLOOKUP($B22,'[3]Analisys QBR By Machine Report'!$C$109:$BD$166,39,FALSE)</f>
        <v>0</v>
      </c>
      <c r="AS22" s="10">
        <f ca="1">VLOOKUP($B22,'[3]Analisys QBR By Machine Report'!$C$109:$BD$166,40,FALSE)</f>
        <v>0</v>
      </c>
      <c r="AT22" s="10">
        <f ca="1">VLOOKUP($B22,'[3]Analisys QBR By Machine Report'!$C$109:$BD$166,41,FALSE)</f>
        <v>0</v>
      </c>
      <c r="AU22" s="10">
        <f ca="1">VLOOKUP($B22,'[3]Analisys QBR By Machine Report'!$C$109:$BD$166,42,FALSE)</f>
        <v>0</v>
      </c>
      <c r="AV22" s="10">
        <f ca="1">VLOOKUP($B22,'[3]Analisys QBR By Machine Report'!$C$109:$BD$166,43,FALSE)</f>
        <v>515</v>
      </c>
      <c r="AW22" s="10">
        <f ca="1">VLOOKUP($B22,'[3]Analisys QBR By Machine Report'!$C$109:$BD$166,44,FALSE)</f>
        <v>0</v>
      </c>
      <c r="AX22" s="10">
        <f ca="1">VLOOKUP($B22,'[3]Analisys QBR By Machine Report'!$C$109:$BD$166,45,FALSE)</f>
        <v>0</v>
      </c>
      <c r="AY22" s="10">
        <f ca="1">VLOOKUP($B22,'[3]Analisys QBR By Machine Report'!$C$109:$BD$166,46,FALSE)</f>
        <v>0</v>
      </c>
      <c r="AZ22" s="10">
        <f ca="1">VLOOKUP($B22,'[3]Analisys QBR By Machine Report'!$C$109:$BD$166,47,FALSE)</f>
        <v>0</v>
      </c>
      <c r="BA22" s="10">
        <f ca="1">VLOOKUP($B22,'[3]Analisys QBR By Machine Report'!$C$109:$BD$166,48,FALSE)</f>
        <v>410</v>
      </c>
      <c r="BB22" s="10">
        <f ca="1">VLOOKUP($B22,'[3]Analisys QBR By Machine Report'!$C$109:$BD$166,49,FALSE)</f>
        <v>42</v>
      </c>
      <c r="BC22" s="10">
        <f ca="1">VLOOKUP($B22,'[3]Analisys QBR By Machine Report'!$C$109:$BD$166,50,FALSE)</f>
        <v>60</v>
      </c>
      <c r="BD22" s="10">
        <f ca="1">VLOOKUP($B22,'[3]Analisys QBR By Machine Report'!$C$109:$BD$166,51,FALSE)</f>
        <v>10635</v>
      </c>
      <c r="BE22" s="10">
        <f ca="1">VLOOKUP($B22,'[3]Analisys QBR By Machine Report'!$C$109:$BD$166,52,FALSE)</f>
        <v>2.04</v>
      </c>
      <c r="BF22" s="10">
        <f ca="1">VLOOKUP($B22,'[3]Analisys QBR By Machine Report'!$C$109:$BD$166,53,FALSE)</f>
        <v>10632.96</v>
      </c>
    </row>
    <row r="23" spans="1:58" x14ac:dyDescent="0.25">
      <c r="A23" s="12" t="s">
        <v>79</v>
      </c>
      <c r="B23" s="13">
        <f ca="1">VLOOKUP($B23,'[3]Analisys QBR By Machine Report'!$C$109:$BD$166,2,FALSE)</f>
        <v>28800</v>
      </c>
      <c r="C23" s="14">
        <f ca="1">VLOOKUP($B23,[3]Dasboard_QBR_Report!$B$109:$BL$166,3,FALSE)</f>
        <v>18600</v>
      </c>
      <c r="D23" s="13">
        <f ca="1">VLOOKUP($B23,'[3]Analisys QBR By Machine Report'!$C$109:$BD$166,3,FALSE)</f>
        <v>21090</v>
      </c>
      <c r="E23" s="14">
        <f ca="1">VLOOKUP($B23,[3]Dasboard_QBR_Report!$B$109:$BL$166,5,FALSE)</f>
        <v>10890</v>
      </c>
      <c r="F23" s="13">
        <f t="shared" ca="1" si="0"/>
        <v>7710</v>
      </c>
      <c r="G23" s="13">
        <f t="shared" ca="1" si="1"/>
        <v>653</v>
      </c>
      <c r="H23" s="13">
        <f ca="1">VLOOKUP($B23,'[3]Analisys QBR By Machine Report'!$C$109:$BD$166,4,FALSE)</f>
        <v>653</v>
      </c>
      <c r="I23" s="13">
        <f ca="1">VLOOKUP($B23,'[3]Analisys QBR By Machine Report'!$C$109:$BD$166,5,FALSE)</f>
        <v>270</v>
      </c>
      <c r="J23" s="13">
        <f ca="1">VLOOKUP($B23,'[3]Analisys QBR By Machine Report'!$C$109:$BD$166,6,FALSE)</f>
        <v>383</v>
      </c>
      <c r="K23" s="13">
        <f ca="1">VLOOKUP($B23,'[3]Analisys QBR By Machine Report'!$C$109:$BD$166,7,FALSE)</f>
        <v>0</v>
      </c>
      <c r="L23" s="13">
        <f ca="1">VLOOKUP($B23,'[3]Analisys QBR By Machine Report'!$C$109:$BD$166,8,FALSE)</f>
        <v>7057</v>
      </c>
      <c r="M23" s="13">
        <f ca="1">VLOOKUP($B23,'[3]Analisys QBR By Machine Report'!$C$109:$BD$166,9,FALSE)</f>
        <v>2778</v>
      </c>
      <c r="N23" s="13">
        <f ca="1">VLOOKUP($B23,[3]Dasboard_QBR_Report!$B$109:$BL$166,18,FALSE)</f>
        <v>4279</v>
      </c>
      <c r="O23" s="13">
        <f ca="1">VLOOKUP($B23,'[3]Analisys QBR By Machine Report'!$C$109:$BD$166,10,FALSE)</f>
        <v>224</v>
      </c>
      <c r="P23" s="13">
        <f ca="1">VLOOKUP($B23,'[3]Analisys QBR By Machine Report'!$C$109:$BD$166,11,FALSE)</f>
        <v>224</v>
      </c>
      <c r="Q23" s="13">
        <f ca="1">VLOOKUP($B23,'[3]Analisys QBR By Machine Report'!$C$109:$BD$166,12,FALSE)</f>
        <v>0</v>
      </c>
      <c r="R23" s="13">
        <f ca="1">VLOOKUP($B23,'[3]Analisys QBR By Machine Report'!$C$109:$BD$166,13,FALSE)</f>
        <v>0</v>
      </c>
      <c r="S23" s="13">
        <f ca="1">VLOOKUP($B23,'[3]Analisys QBR By Machine Report'!$C$109:$BD$166,14,FALSE)</f>
        <v>0</v>
      </c>
      <c r="T23" s="13">
        <f ca="1">VLOOKUP($B23,'[3]Analisys QBR By Machine Report'!$C$109:$BD$166,15,FALSE)</f>
        <v>0</v>
      </c>
      <c r="U23" s="13">
        <f ca="1">VLOOKUP($B23,'[3]Analisys QBR By Machine Report'!$C$109:$BD$166,16,FALSE)</f>
        <v>0</v>
      </c>
      <c r="V23" s="13">
        <f ca="1">VLOOKUP($B23,'[3]Analisys QBR By Machine Report'!$C$109:$BD$166,17,FALSE)</f>
        <v>0</v>
      </c>
      <c r="W23" s="13">
        <f ca="1">VLOOKUP($B23,'[3]Analisys QBR By Machine Report'!$C$109:$BD$166,18,FALSE)</f>
        <v>0</v>
      </c>
      <c r="X23" s="13">
        <f ca="1">VLOOKUP($B23,'[3]Analisys QBR By Machine Report'!$C$109:$BD$166,19,FALSE)</f>
        <v>0</v>
      </c>
      <c r="Y23" s="13">
        <f ca="1">VLOOKUP($B23,'[3]Analisys QBR By Machine Report'!$C$109:$BD$166,20,FALSE)</f>
        <v>0</v>
      </c>
      <c r="Z23" s="13">
        <f ca="1">VLOOKUP($B23,'[3]Analisys QBR By Machine Report'!$C$109:$BD$166,21,FALSE)</f>
        <v>2862</v>
      </c>
      <c r="AA23" s="13">
        <f ca="1">VLOOKUP($B23,'[3]Analisys QBR By Machine Report'!$C$109:$BD$166,22,FALSE)</f>
        <v>228</v>
      </c>
      <c r="AB23" s="13">
        <f ca="1">VLOOKUP($B23,'[3]Analisys QBR By Machine Report'!$C$109:$BD$166,23,FALSE)</f>
        <v>2599</v>
      </c>
      <c r="AC23" s="13">
        <f ca="1">VLOOKUP($B23,'[3]Analisys QBR By Machine Report'!$C$109:$BD$166,24,FALSE)</f>
        <v>0</v>
      </c>
      <c r="AD23" s="13">
        <f ca="1">VLOOKUP($B23,'[3]Analisys QBR By Machine Report'!$C$109:$BD$166,25,FALSE)</f>
        <v>0</v>
      </c>
      <c r="AE23" s="13">
        <f ca="1">VLOOKUP($B23,'[3]Analisys QBR By Machine Report'!$C$109:$BD$166,26,FALSE)</f>
        <v>35</v>
      </c>
      <c r="AF23" s="13">
        <f ca="1">VLOOKUP($B23,'[3]Analisys QBR By Machine Report'!$C$109:$BD$166,27,FALSE)</f>
        <v>0</v>
      </c>
      <c r="AG23" s="13">
        <f ca="1">VLOOKUP($B23,'[3]Analisys QBR By Machine Report'!$C$109:$BD$166,28,FALSE)</f>
        <v>0</v>
      </c>
      <c r="AH23" s="13">
        <f ca="1">VLOOKUP($B23,'[3]Analisys QBR By Machine Report'!$C$109:$BD$166,29,FALSE)</f>
        <v>0</v>
      </c>
      <c r="AI23" s="13">
        <f ca="1">VLOOKUP($B23,'[3]Analisys QBR By Machine Report'!$C$109:$BD$166,30,FALSE)</f>
        <v>1193</v>
      </c>
      <c r="AJ23" s="13">
        <f ca="1">VLOOKUP($B23,'[3]Analisys QBR By Machine Report'!$C$109:$BD$166,31,FALSE)</f>
        <v>90</v>
      </c>
      <c r="AK23" s="13">
        <f ca="1">VLOOKUP($B23,'[3]Analisys QBR By Machine Report'!$C$109:$BD$166,32,FALSE)</f>
        <v>0</v>
      </c>
      <c r="AL23" s="13">
        <f ca="1">VLOOKUP($B23,'[3]Analisys QBR By Machine Report'!$C$109:$BD$166,33,FALSE)</f>
        <v>15</v>
      </c>
      <c r="AM23" s="13">
        <f ca="1">VLOOKUP($B23,'[3]Analisys QBR By Machine Report'!$C$109:$BD$166,34,FALSE)</f>
        <v>0</v>
      </c>
      <c r="AN23" s="13">
        <f ca="1">VLOOKUP($B23,'[3]Analisys QBR By Machine Report'!$C$109:$BD$166,35,FALSE)</f>
        <v>61</v>
      </c>
      <c r="AO23" s="13">
        <f ca="1">VLOOKUP($B23,'[3]Analisys QBR By Machine Report'!$C$109:$BD$166,36,FALSE)</f>
        <v>0</v>
      </c>
      <c r="AP23" s="13">
        <f ca="1">VLOOKUP($B23,'[3]Analisys QBR By Machine Report'!$C$109:$BD$166,37,FALSE)</f>
        <v>0</v>
      </c>
      <c r="AQ23" s="13">
        <f ca="1">VLOOKUP($B23,'[3]Analisys QBR By Machine Report'!$C$109:$BD$166,38,FALSE)</f>
        <v>0</v>
      </c>
      <c r="AR23" s="13">
        <f ca="1">VLOOKUP($B23,'[3]Analisys QBR By Machine Report'!$C$109:$BD$166,39,FALSE)</f>
        <v>0</v>
      </c>
      <c r="AS23" s="13">
        <f ca="1">VLOOKUP($B23,'[3]Analisys QBR By Machine Report'!$C$109:$BD$166,40,FALSE)</f>
        <v>0</v>
      </c>
      <c r="AT23" s="13">
        <f ca="1">VLOOKUP($B23,'[3]Analisys QBR By Machine Report'!$C$109:$BD$166,41,FALSE)</f>
        <v>0</v>
      </c>
      <c r="AU23" s="13">
        <f ca="1">VLOOKUP($B23,'[3]Analisys QBR By Machine Report'!$C$109:$BD$166,42,FALSE)</f>
        <v>0</v>
      </c>
      <c r="AV23" s="13">
        <f ca="1">VLOOKUP($B23,'[3]Analisys QBR By Machine Report'!$C$109:$BD$166,43,FALSE)</f>
        <v>515</v>
      </c>
      <c r="AW23" s="13">
        <f ca="1">VLOOKUP($B23,'[3]Analisys QBR By Machine Report'!$C$109:$BD$166,44,FALSE)</f>
        <v>0</v>
      </c>
      <c r="AX23" s="13">
        <f ca="1">VLOOKUP($B23,'[3]Analisys QBR By Machine Report'!$C$109:$BD$166,45,FALSE)</f>
        <v>0</v>
      </c>
      <c r="AY23" s="13">
        <f ca="1">VLOOKUP($B23,'[3]Analisys QBR By Machine Report'!$C$109:$BD$166,46,FALSE)</f>
        <v>0</v>
      </c>
      <c r="AZ23" s="13">
        <f ca="1">VLOOKUP($B23,'[3]Analisys QBR By Machine Report'!$C$109:$BD$166,47,FALSE)</f>
        <v>0</v>
      </c>
      <c r="BA23" s="13">
        <f ca="1">VLOOKUP($B23,'[3]Analisys QBR By Machine Report'!$C$109:$BD$166,48,FALSE)</f>
        <v>410</v>
      </c>
      <c r="BB23" s="13">
        <f ca="1">VLOOKUP($B23,'[3]Analisys QBR By Machine Report'!$C$109:$BD$166,49,FALSE)</f>
        <v>42</v>
      </c>
      <c r="BC23" s="13">
        <f ca="1">VLOOKUP($B23,'[3]Analisys QBR By Machine Report'!$C$109:$BD$166,50,FALSE)</f>
        <v>60</v>
      </c>
      <c r="BD23" s="13">
        <f ca="1">VLOOKUP($B23,'[3]Analisys QBR By Machine Report'!$C$109:$BD$166,51,FALSE)</f>
        <v>10635</v>
      </c>
      <c r="BE23" s="13">
        <f ca="1">VLOOKUP($B23,'[3]Analisys QBR By Machine Report'!$C$109:$BD$166,52,FALSE)</f>
        <v>2.04</v>
      </c>
      <c r="BF23" s="13">
        <f ca="1">VLOOKUP($B23,'[3]Analisys QBR By Machine Report'!$C$109:$BD$166,53,FALSE)</f>
        <v>10632.96</v>
      </c>
    </row>
    <row r="24" spans="1:58" x14ac:dyDescent="0.25">
      <c r="A24" s="9" t="s">
        <v>80</v>
      </c>
      <c r="B24" s="10">
        <f ca="1">VLOOKUP($B24,'[3]Analisys QBR By Machine Report'!$C$109:$BD$166,2,FALSE)</f>
        <v>57600</v>
      </c>
      <c r="C24" s="11">
        <f ca="1">VLOOKUP($B24,[3]Dasboard_QBR_Report!$B$109:$BL$166,3,FALSE)</f>
        <v>37200</v>
      </c>
      <c r="D24" s="10">
        <f ca="1">VLOOKUP($B24,'[3]Analisys QBR By Machine Report'!$C$109:$BD$166,3,FALSE)</f>
        <v>44085</v>
      </c>
      <c r="E24" s="11">
        <f ca="1">VLOOKUP($B24,[3]Dasboard_QBR_Report!$B$109:$BL$166,5,FALSE)</f>
        <v>23685</v>
      </c>
      <c r="F24" s="10">
        <f t="shared" ca="1" si="0"/>
        <v>13515</v>
      </c>
      <c r="G24" s="10">
        <f t="shared" ca="1" si="1"/>
        <v>1860</v>
      </c>
      <c r="H24" s="10">
        <f ca="1">VLOOKUP($B24,'[3]Analisys QBR By Machine Report'!$C$109:$BD$166,4,FALSE)</f>
        <v>1860</v>
      </c>
      <c r="I24" s="10">
        <f ca="1">VLOOKUP($B24,'[3]Analisys QBR By Machine Report'!$C$109:$BD$166,5,FALSE)</f>
        <v>45</v>
      </c>
      <c r="J24" s="10">
        <f ca="1">VLOOKUP($B24,'[3]Analisys QBR By Machine Report'!$C$109:$BD$166,6,FALSE)</f>
        <v>1815</v>
      </c>
      <c r="K24" s="10">
        <f ca="1">VLOOKUP($B24,'[3]Analisys QBR By Machine Report'!$C$109:$BD$166,7,FALSE)</f>
        <v>0</v>
      </c>
      <c r="L24" s="10">
        <f ca="1">VLOOKUP($B24,'[3]Analisys QBR By Machine Report'!$C$109:$BD$166,8,FALSE)</f>
        <v>11655</v>
      </c>
      <c r="M24" s="10">
        <f ca="1">VLOOKUP($B24,'[3]Analisys QBR By Machine Report'!$C$109:$BD$166,9,FALSE)</f>
        <v>3330</v>
      </c>
      <c r="N24" s="10">
        <f ca="1">VLOOKUP($B24,[3]Dasboard_QBR_Report!$B$109:$BL$166,18,FALSE)</f>
        <v>8325</v>
      </c>
      <c r="O24" s="10">
        <f ca="1">VLOOKUP($B24,'[3]Analisys QBR By Machine Report'!$C$109:$BD$166,10,FALSE)</f>
        <v>955</v>
      </c>
      <c r="P24" s="10">
        <f ca="1">VLOOKUP($B24,'[3]Analisys QBR By Machine Report'!$C$109:$BD$166,11,FALSE)</f>
        <v>750</v>
      </c>
      <c r="Q24" s="10">
        <f ca="1">VLOOKUP($B24,'[3]Analisys QBR By Machine Report'!$C$109:$BD$166,12,FALSE)</f>
        <v>0</v>
      </c>
      <c r="R24" s="10">
        <f ca="1">VLOOKUP($B24,'[3]Analisys QBR By Machine Report'!$C$109:$BD$166,13,FALSE)</f>
        <v>150</v>
      </c>
      <c r="S24" s="10">
        <f ca="1">VLOOKUP($B24,'[3]Analisys QBR By Machine Report'!$C$109:$BD$166,14,FALSE)</f>
        <v>55</v>
      </c>
      <c r="T24" s="10">
        <f ca="1">VLOOKUP($B24,'[3]Analisys QBR By Machine Report'!$C$109:$BD$166,15,FALSE)</f>
        <v>5</v>
      </c>
      <c r="U24" s="10">
        <f ca="1">VLOOKUP($B24,'[3]Analisys QBR By Machine Report'!$C$109:$BD$166,16,FALSE)</f>
        <v>0</v>
      </c>
      <c r="V24" s="10">
        <f ca="1">VLOOKUP($B24,'[3]Analisys QBR By Machine Report'!$C$109:$BD$166,17,FALSE)</f>
        <v>0</v>
      </c>
      <c r="W24" s="10">
        <f ca="1">VLOOKUP($B24,'[3]Analisys QBR By Machine Report'!$C$109:$BD$166,18,FALSE)</f>
        <v>0</v>
      </c>
      <c r="X24" s="10">
        <f ca="1">VLOOKUP($B24,'[3]Analisys QBR By Machine Report'!$C$109:$BD$166,19,FALSE)</f>
        <v>0</v>
      </c>
      <c r="Y24" s="10">
        <f ca="1">VLOOKUP($B24,'[3]Analisys QBR By Machine Report'!$C$109:$BD$166,20,FALSE)</f>
        <v>5</v>
      </c>
      <c r="Z24" s="10">
        <f ca="1">VLOOKUP($B24,'[3]Analisys QBR By Machine Report'!$C$109:$BD$166,21,FALSE)</f>
        <v>4215</v>
      </c>
      <c r="AA24" s="10">
        <f ca="1">VLOOKUP($B24,'[3]Analisys QBR By Machine Report'!$C$109:$BD$166,22,FALSE)</f>
        <v>890</v>
      </c>
      <c r="AB24" s="10">
        <f ca="1">VLOOKUP($B24,'[3]Analisys QBR By Machine Report'!$C$109:$BD$166,23,FALSE)</f>
        <v>2180</v>
      </c>
      <c r="AC24" s="10">
        <f ca="1">VLOOKUP($B24,'[3]Analisys QBR By Machine Report'!$C$109:$BD$166,24,FALSE)</f>
        <v>0</v>
      </c>
      <c r="AD24" s="10">
        <f ca="1">VLOOKUP($B24,'[3]Analisys QBR By Machine Report'!$C$109:$BD$166,25,FALSE)</f>
        <v>0</v>
      </c>
      <c r="AE24" s="10">
        <f ca="1">VLOOKUP($B24,'[3]Analisys QBR By Machine Report'!$C$109:$BD$166,26,FALSE)</f>
        <v>1145</v>
      </c>
      <c r="AF24" s="10">
        <f ca="1">VLOOKUP($B24,'[3]Analisys QBR By Machine Report'!$C$109:$BD$166,27,FALSE)</f>
        <v>30</v>
      </c>
      <c r="AG24" s="10">
        <f ca="1">VLOOKUP($B24,'[3]Analisys QBR By Machine Report'!$C$109:$BD$166,28,FALSE)</f>
        <v>30</v>
      </c>
      <c r="AH24" s="10">
        <f ca="1">VLOOKUP($B24,'[3]Analisys QBR By Machine Report'!$C$109:$BD$166,29,FALSE)</f>
        <v>0</v>
      </c>
      <c r="AI24" s="10">
        <f ca="1">VLOOKUP($B24,'[3]Analisys QBR By Machine Report'!$C$109:$BD$166,30,FALSE)</f>
        <v>3120</v>
      </c>
      <c r="AJ24" s="10">
        <f ca="1">VLOOKUP($B24,'[3]Analisys QBR By Machine Report'!$C$109:$BD$166,31,FALSE)</f>
        <v>120</v>
      </c>
      <c r="AK24" s="10">
        <f ca="1">VLOOKUP($B24,'[3]Analisys QBR By Machine Report'!$C$109:$BD$166,32,FALSE)</f>
        <v>0</v>
      </c>
      <c r="AL24" s="10">
        <f ca="1">VLOOKUP($B24,'[3]Analisys QBR By Machine Report'!$C$109:$BD$166,33,FALSE)</f>
        <v>210</v>
      </c>
      <c r="AM24" s="10">
        <f ca="1">VLOOKUP($B24,'[3]Analisys QBR By Machine Report'!$C$109:$BD$166,34,FALSE)</f>
        <v>0</v>
      </c>
      <c r="AN24" s="10">
        <f ca="1">VLOOKUP($B24,'[3]Analisys QBR By Machine Report'!$C$109:$BD$166,35,FALSE)</f>
        <v>435</v>
      </c>
      <c r="AO24" s="10">
        <f ca="1">VLOOKUP($B24,'[3]Analisys QBR By Machine Report'!$C$109:$BD$166,36,FALSE)</f>
        <v>0</v>
      </c>
      <c r="AP24" s="10">
        <f ca="1">VLOOKUP($B24,'[3]Analisys QBR By Machine Report'!$C$109:$BD$166,37,FALSE)</f>
        <v>0</v>
      </c>
      <c r="AQ24" s="10">
        <f ca="1">VLOOKUP($B24,'[3]Analisys QBR By Machine Report'!$C$109:$BD$166,38,FALSE)</f>
        <v>0</v>
      </c>
      <c r="AR24" s="10">
        <f ca="1">VLOOKUP($B24,'[3]Analisys QBR By Machine Report'!$C$109:$BD$166,39,FALSE)</f>
        <v>1940</v>
      </c>
      <c r="AS24" s="10">
        <f ca="1">VLOOKUP($B24,'[3]Analisys QBR By Machine Report'!$C$109:$BD$166,40,FALSE)</f>
        <v>10</v>
      </c>
      <c r="AT24" s="10">
        <f ca="1">VLOOKUP($B24,'[3]Analisys QBR By Machine Report'!$C$109:$BD$166,41,FALSE)</f>
        <v>0</v>
      </c>
      <c r="AU24" s="10">
        <f ca="1">VLOOKUP($B24,'[3]Analisys QBR By Machine Report'!$C$109:$BD$166,42,FALSE)</f>
        <v>0</v>
      </c>
      <c r="AV24" s="10">
        <f ca="1">VLOOKUP($B24,'[3]Analisys QBR By Machine Report'!$C$109:$BD$166,43,FALSE)</f>
        <v>0</v>
      </c>
      <c r="AW24" s="10">
        <f ca="1">VLOOKUP($B24,'[3]Analisys QBR By Machine Report'!$C$109:$BD$166,44,FALSE)</f>
        <v>0</v>
      </c>
      <c r="AX24" s="10">
        <f ca="1">VLOOKUP($B24,'[3]Analisys QBR By Machine Report'!$C$109:$BD$166,45,FALSE)</f>
        <v>0</v>
      </c>
      <c r="AY24" s="10">
        <f ca="1">VLOOKUP($B24,'[3]Analisys QBR By Machine Report'!$C$109:$BD$166,46,FALSE)</f>
        <v>0</v>
      </c>
      <c r="AZ24" s="10">
        <f ca="1">VLOOKUP($B24,'[3]Analisys QBR By Machine Report'!$C$109:$BD$166,47,FALSE)</f>
        <v>0</v>
      </c>
      <c r="BA24" s="10">
        <f ca="1">VLOOKUP($B24,'[3]Analisys QBR By Machine Report'!$C$109:$BD$166,48,FALSE)</f>
        <v>195</v>
      </c>
      <c r="BB24" s="10">
        <f ca="1">VLOOKUP($B24,'[3]Analisys QBR By Machine Report'!$C$109:$BD$166,49,FALSE)</f>
        <v>0</v>
      </c>
      <c r="BC24" s="10">
        <f ca="1">VLOOKUP($B24,'[3]Analisys QBR By Machine Report'!$C$109:$BD$166,50,FALSE)</f>
        <v>210</v>
      </c>
      <c r="BD24" s="10">
        <f ca="1">VLOOKUP($B24,'[3]Analisys QBR By Machine Report'!$C$109:$BD$166,51,FALSE)</f>
        <v>168270</v>
      </c>
      <c r="BE24" s="10">
        <f ca="1">VLOOKUP($B24,'[3]Analisys QBR By Machine Report'!$C$109:$BD$166,52,FALSE)</f>
        <v>374</v>
      </c>
      <c r="BF24" s="10">
        <f ca="1">VLOOKUP($B24,'[3]Analisys QBR By Machine Report'!$C$109:$BD$166,53,FALSE)</f>
        <v>167896</v>
      </c>
    </row>
    <row r="25" spans="1:58" x14ac:dyDescent="0.25">
      <c r="A25" s="12" t="s">
        <v>81</v>
      </c>
      <c r="B25" s="13">
        <f ca="1">VLOOKUP($B25,'[3]Analisys QBR By Machine Report'!$C$109:$BD$166,2,FALSE)</f>
        <v>28800</v>
      </c>
      <c r="C25" s="14">
        <f ca="1">VLOOKUP($B25,[3]Dasboard_QBR_Report!$B$109:$BL$166,3,FALSE)</f>
        <v>18600</v>
      </c>
      <c r="D25" s="13">
        <f ca="1">VLOOKUP($B25,'[3]Analisys QBR By Machine Report'!$C$109:$BD$166,3,FALSE)</f>
        <v>19365</v>
      </c>
      <c r="E25" s="14">
        <f ca="1">VLOOKUP($B25,[3]Dasboard_QBR_Report!$B$109:$BL$166,5,FALSE)</f>
        <v>9165</v>
      </c>
      <c r="F25" s="13">
        <f t="shared" ca="1" si="0"/>
        <v>9435</v>
      </c>
      <c r="G25" s="13">
        <f t="shared" ca="1" si="1"/>
        <v>855</v>
      </c>
      <c r="H25" s="13">
        <f ca="1">VLOOKUP($B25,'[3]Analisys QBR By Machine Report'!$C$109:$BD$166,4,FALSE)</f>
        <v>855</v>
      </c>
      <c r="I25" s="13">
        <f ca="1">VLOOKUP($B25,'[3]Analisys QBR By Machine Report'!$C$109:$BD$166,5,FALSE)</f>
        <v>30</v>
      </c>
      <c r="J25" s="13">
        <f ca="1">VLOOKUP($B25,'[3]Analisys QBR By Machine Report'!$C$109:$BD$166,6,FALSE)</f>
        <v>825</v>
      </c>
      <c r="K25" s="13">
        <f ca="1">VLOOKUP($B25,'[3]Analisys QBR By Machine Report'!$C$109:$BD$166,7,FALSE)</f>
        <v>0</v>
      </c>
      <c r="L25" s="13">
        <f ca="1">VLOOKUP($B25,'[3]Analisys QBR By Machine Report'!$C$109:$BD$166,8,FALSE)</f>
        <v>8580</v>
      </c>
      <c r="M25" s="13">
        <f ca="1">VLOOKUP($B25,'[3]Analisys QBR By Machine Report'!$C$109:$BD$166,9,FALSE)</f>
        <v>2225</v>
      </c>
      <c r="N25" s="13">
        <f ca="1">VLOOKUP($B25,[3]Dasboard_QBR_Report!$B$109:$BL$166,18,FALSE)</f>
        <v>6355</v>
      </c>
      <c r="O25" s="13">
        <f ca="1">VLOOKUP($B25,'[3]Analisys QBR By Machine Report'!$C$109:$BD$166,10,FALSE)</f>
        <v>710</v>
      </c>
      <c r="P25" s="13">
        <f ca="1">VLOOKUP($B25,'[3]Analisys QBR By Machine Report'!$C$109:$BD$166,11,FALSE)</f>
        <v>600</v>
      </c>
      <c r="Q25" s="13">
        <f ca="1">VLOOKUP($B25,'[3]Analisys QBR By Machine Report'!$C$109:$BD$166,12,FALSE)</f>
        <v>0</v>
      </c>
      <c r="R25" s="13">
        <f ca="1">VLOOKUP($B25,'[3]Analisys QBR By Machine Report'!$C$109:$BD$166,13,FALSE)</f>
        <v>80</v>
      </c>
      <c r="S25" s="13">
        <f ca="1">VLOOKUP($B25,'[3]Analisys QBR By Machine Report'!$C$109:$BD$166,14,FALSE)</f>
        <v>30</v>
      </c>
      <c r="T25" s="13">
        <f ca="1">VLOOKUP($B25,'[3]Analisys QBR By Machine Report'!$C$109:$BD$166,15,FALSE)</f>
        <v>5</v>
      </c>
      <c r="U25" s="13">
        <f ca="1">VLOOKUP($B25,'[3]Analisys QBR By Machine Report'!$C$109:$BD$166,16,FALSE)</f>
        <v>0</v>
      </c>
      <c r="V25" s="13">
        <f ca="1">VLOOKUP($B25,'[3]Analisys QBR By Machine Report'!$C$109:$BD$166,17,FALSE)</f>
        <v>0</v>
      </c>
      <c r="W25" s="13">
        <f ca="1">VLOOKUP($B25,'[3]Analisys QBR By Machine Report'!$C$109:$BD$166,18,FALSE)</f>
        <v>0</v>
      </c>
      <c r="X25" s="13">
        <f ca="1">VLOOKUP($B25,'[3]Analisys QBR By Machine Report'!$C$109:$BD$166,19,FALSE)</f>
        <v>0</v>
      </c>
      <c r="Y25" s="13">
        <f ca="1">VLOOKUP($B25,'[3]Analisys QBR By Machine Report'!$C$109:$BD$166,20,FALSE)</f>
        <v>5</v>
      </c>
      <c r="Z25" s="13">
        <f ca="1">VLOOKUP($B25,'[3]Analisys QBR By Machine Report'!$C$109:$BD$166,21,FALSE)</f>
        <v>3060</v>
      </c>
      <c r="AA25" s="13">
        <f ca="1">VLOOKUP($B25,'[3]Analisys QBR By Machine Report'!$C$109:$BD$166,22,FALSE)</f>
        <v>440</v>
      </c>
      <c r="AB25" s="13">
        <f ca="1">VLOOKUP($B25,'[3]Analisys QBR By Machine Report'!$C$109:$BD$166,23,FALSE)</f>
        <v>1760</v>
      </c>
      <c r="AC25" s="13">
        <f ca="1">VLOOKUP($B25,'[3]Analisys QBR By Machine Report'!$C$109:$BD$166,24,FALSE)</f>
        <v>0</v>
      </c>
      <c r="AD25" s="13">
        <f ca="1">VLOOKUP($B25,'[3]Analisys QBR By Machine Report'!$C$109:$BD$166,25,FALSE)</f>
        <v>0</v>
      </c>
      <c r="AE25" s="13">
        <f ca="1">VLOOKUP($B25,'[3]Analisys QBR By Machine Report'!$C$109:$BD$166,26,FALSE)</f>
        <v>860</v>
      </c>
      <c r="AF25" s="13">
        <f ca="1">VLOOKUP($B25,'[3]Analisys QBR By Machine Report'!$C$109:$BD$166,27,FALSE)</f>
        <v>30</v>
      </c>
      <c r="AG25" s="13">
        <f ca="1">VLOOKUP($B25,'[3]Analisys QBR By Machine Report'!$C$109:$BD$166,28,FALSE)</f>
        <v>30</v>
      </c>
      <c r="AH25" s="13">
        <f ca="1">VLOOKUP($B25,'[3]Analisys QBR By Machine Report'!$C$109:$BD$166,29,FALSE)</f>
        <v>0</v>
      </c>
      <c r="AI25" s="13">
        <f ca="1">VLOOKUP($B25,'[3]Analisys QBR By Machine Report'!$C$109:$BD$166,30,FALSE)</f>
        <v>2550</v>
      </c>
      <c r="AJ25" s="13">
        <f ca="1">VLOOKUP($B25,'[3]Analisys QBR By Machine Report'!$C$109:$BD$166,31,FALSE)</f>
        <v>30</v>
      </c>
      <c r="AK25" s="13">
        <f ca="1">VLOOKUP($B25,'[3]Analisys QBR By Machine Report'!$C$109:$BD$166,32,FALSE)</f>
        <v>0</v>
      </c>
      <c r="AL25" s="13">
        <f ca="1">VLOOKUP($B25,'[3]Analisys QBR By Machine Report'!$C$109:$BD$166,33,FALSE)</f>
        <v>150</v>
      </c>
      <c r="AM25" s="13">
        <f ca="1">VLOOKUP($B25,'[3]Analisys QBR By Machine Report'!$C$109:$BD$166,34,FALSE)</f>
        <v>0</v>
      </c>
      <c r="AN25" s="13">
        <f ca="1">VLOOKUP($B25,'[3]Analisys QBR By Machine Report'!$C$109:$BD$166,35,FALSE)</f>
        <v>300</v>
      </c>
      <c r="AO25" s="13">
        <f ca="1">VLOOKUP($B25,'[3]Analisys QBR By Machine Report'!$C$109:$BD$166,36,FALSE)</f>
        <v>0</v>
      </c>
      <c r="AP25" s="13">
        <f ca="1">VLOOKUP($B25,'[3]Analisys QBR By Machine Report'!$C$109:$BD$166,37,FALSE)</f>
        <v>0</v>
      </c>
      <c r="AQ25" s="13">
        <f ca="1">VLOOKUP($B25,'[3]Analisys QBR By Machine Report'!$C$109:$BD$166,38,FALSE)</f>
        <v>0</v>
      </c>
      <c r="AR25" s="13">
        <f ca="1">VLOOKUP($B25,'[3]Analisys QBR By Machine Report'!$C$109:$BD$166,39,FALSE)</f>
        <v>1655</v>
      </c>
      <c r="AS25" s="13">
        <f ca="1">VLOOKUP($B25,'[3]Analisys QBR By Machine Report'!$C$109:$BD$166,40,FALSE)</f>
        <v>10</v>
      </c>
      <c r="AT25" s="13">
        <f ca="1">VLOOKUP($B25,'[3]Analisys QBR By Machine Report'!$C$109:$BD$166,41,FALSE)</f>
        <v>0</v>
      </c>
      <c r="AU25" s="13">
        <f ca="1">VLOOKUP($B25,'[3]Analisys QBR By Machine Report'!$C$109:$BD$166,42,FALSE)</f>
        <v>0</v>
      </c>
      <c r="AV25" s="13">
        <f ca="1">VLOOKUP($B25,'[3]Analisys QBR By Machine Report'!$C$109:$BD$166,43,FALSE)</f>
        <v>0</v>
      </c>
      <c r="AW25" s="13">
        <f ca="1">VLOOKUP($B25,'[3]Analisys QBR By Machine Report'!$C$109:$BD$166,44,FALSE)</f>
        <v>0</v>
      </c>
      <c r="AX25" s="13">
        <f ca="1">VLOOKUP($B25,'[3]Analisys QBR By Machine Report'!$C$109:$BD$166,45,FALSE)</f>
        <v>0</v>
      </c>
      <c r="AY25" s="13">
        <f ca="1">VLOOKUP($B25,'[3]Analisys QBR By Machine Report'!$C$109:$BD$166,46,FALSE)</f>
        <v>0</v>
      </c>
      <c r="AZ25" s="13">
        <f ca="1">VLOOKUP($B25,'[3]Analisys QBR By Machine Report'!$C$109:$BD$166,47,FALSE)</f>
        <v>0</v>
      </c>
      <c r="BA25" s="13">
        <f ca="1">VLOOKUP($B25,'[3]Analisys QBR By Machine Report'!$C$109:$BD$166,48,FALSE)</f>
        <v>195</v>
      </c>
      <c r="BB25" s="13">
        <f ca="1">VLOOKUP($B25,'[3]Analisys QBR By Machine Report'!$C$109:$BD$166,49,FALSE)</f>
        <v>0</v>
      </c>
      <c r="BC25" s="13">
        <f ca="1">VLOOKUP($B25,'[3]Analisys QBR By Machine Report'!$C$109:$BD$166,50,FALSE)</f>
        <v>210</v>
      </c>
      <c r="BD25" s="13">
        <f ca="1">VLOOKUP($B25,'[3]Analisys QBR By Machine Report'!$C$109:$BD$166,51,FALSE)</f>
        <v>119184</v>
      </c>
      <c r="BE25" s="13">
        <f ca="1">VLOOKUP($B25,'[3]Analisys QBR By Machine Report'!$C$109:$BD$166,52,FALSE)</f>
        <v>284</v>
      </c>
      <c r="BF25" s="13">
        <f ca="1">VLOOKUP($B25,'[3]Analisys QBR By Machine Report'!$C$109:$BD$166,53,FALSE)</f>
        <v>118900</v>
      </c>
    </row>
    <row r="26" spans="1:58" x14ac:dyDescent="0.25">
      <c r="A26" s="12" t="s">
        <v>82</v>
      </c>
      <c r="B26" s="13">
        <f ca="1">VLOOKUP($B26,'[3]Analisys QBR By Machine Report'!$C$109:$BD$166,2,FALSE)</f>
        <v>28800</v>
      </c>
      <c r="C26" s="14">
        <f ca="1">VLOOKUP($B26,[3]Dasboard_QBR_Report!$B$109:$BL$166,3,FALSE)</f>
        <v>18600</v>
      </c>
      <c r="D26" s="13">
        <f ca="1">VLOOKUP($B26,'[3]Analisys QBR By Machine Report'!$C$109:$BD$166,3,FALSE)</f>
        <v>24720</v>
      </c>
      <c r="E26" s="14">
        <f ca="1">VLOOKUP($B26,[3]Dasboard_QBR_Report!$B$109:$BL$166,5,FALSE)</f>
        <v>14520</v>
      </c>
      <c r="F26" s="13">
        <f t="shared" ca="1" si="0"/>
        <v>4080</v>
      </c>
      <c r="G26" s="13">
        <f t="shared" ca="1" si="1"/>
        <v>1005</v>
      </c>
      <c r="H26" s="13">
        <f ca="1">VLOOKUP($B26,'[3]Analisys QBR By Machine Report'!$C$109:$BD$166,4,FALSE)</f>
        <v>1005</v>
      </c>
      <c r="I26" s="13">
        <f ca="1">VLOOKUP($B26,'[3]Analisys QBR By Machine Report'!$C$109:$BD$166,5,FALSE)</f>
        <v>15</v>
      </c>
      <c r="J26" s="13">
        <f ca="1">VLOOKUP($B26,'[3]Analisys QBR By Machine Report'!$C$109:$BD$166,6,FALSE)</f>
        <v>990</v>
      </c>
      <c r="K26" s="13">
        <f ca="1">VLOOKUP($B26,'[3]Analisys QBR By Machine Report'!$C$109:$BD$166,7,FALSE)</f>
        <v>0</v>
      </c>
      <c r="L26" s="13">
        <f ca="1">VLOOKUP($B26,'[3]Analisys QBR By Machine Report'!$C$109:$BD$166,8,FALSE)</f>
        <v>3075</v>
      </c>
      <c r="M26" s="13">
        <f ca="1">VLOOKUP($B26,'[3]Analisys QBR By Machine Report'!$C$109:$BD$166,9,FALSE)</f>
        <v>1105</v>
      </c>
      <c r="N26" s="13">
        <f ca="1">VLOOKUP($B26,[3]Dasboard_QBR_Report!$B$109:$BL$166,18,FALSE)</f>
        <v>1970</v>
      </c>
      <c r="O26" s="13">
        <f ca="1">VLOOKUP($B26,'[3]Analisys QBR By Machine Report'!$C$109:$BD$166,10,FALSE)</f>
        <v>245</v>
      </c>
      <c r="P26" s="13">
        <f ca="1">VLOOKUP($B26,'[3]Analisys QBR By Machine Report'!$C$109:$BD$166,11,FALSE)</f>
        <v>150</v>
      </c>
      <c r="Q26" s="13">
        <f ca="1">VLOOKUP($B26,'[3]Analisys QBR By Machine Report'!$C$109:$BD$166,12,FALSE)</f>
        <v>0</v>
      </c>
      <c r="R26" s="13">
        <f ca="1">VLOOKUP($B26,'[3]Analisys QBR By Machine Report'!$C$109:$BD$166,13,FALSE)</f>
        <v>70</v>
      </c>
      <c r="S26" s="13">
        <f ca="1">VLOOKUP($B26,'[3]Analisys QBR By Machine Report'!$C$109:$BD$166,14,FALSE)</f>
        <v>25</v>
      </c>
      <c r="T26" s="13">
        <f ca="1">VLOOKUP($B26,'[3]Analisys QBR By Machine Report'!$C$109:$BD$166,15,FALSE)</f>
        <v>0</v>
      </c>
      <c r="U26" s="13">
        <f ca="1">VLOOKUP($B26,'[3]Analisys QBR By Machine Report'!$C$109:$BD$166,16,FALSE)</f>
        <v>0</v>
      </c>
      <c r="V26" s="13">
        <f ca="1">VLOOKUP($B26,'[3]Analisys QBR By Machine Report'!$C$109:$BD$166,17,FALSE)</f>
        <v>0</v>
      </c>
      <c r="W26" s="13">
        <f ca="1">VLOOKUP($B26,'[3]Analisys QBR By Machine Report'!$C$109:$BD$166,18,FALSE)</f>
        <v>0</v>
      </c>
      <c r="X26" s="13">
        <f ca="1">VLOOKUP($B26,'[3]Analisys QBR By Machine Report'!$C$109:$BD$166,19,FALSE)</f>
        <v>0</v>
      </c>
      <c r="Y26" s="13">
        <f ca="1">VLOOKUP($B26,'[3]Analisys QBR By Machine Report'!$C$109:$BD$166,20,FALSE)</f>
        <v>0</v>
      </c>
      <c r="Z26" s="13">
        <f ca="1">VLOOKUP($B26,'[3]Analisys QBR By Machine Report'!$C$109:$BD$166,21,FALSE)</f>
        <v>1155</v>
      </c>
      <c r="AA26" s="13">
        <f ca="1">VLOOKUP($B26,'[3]Analisys QBR By Machine Report'!$C$109:$BD$166,22,FALSE)</f>
        <v>450</v>
      </c>
      <c r="AB26" s="13">
        <f ca="1">VLOOKUP($B26,'[3]Analisys QBR By Machine Report'!$C$109:$BD$166,23,FALSE)</f>
        <v>420</v>
      </c>
      <c r="AC26" s="13">
        <f ca="1">VLOOKUP($B26,'[3]Analisys QBR By Machine Report'!$C$109:$BD$166,24,FALSE)</f>
        <v>0</v>
      </c>
      <c r="AD26" s="13">
        <f ca="1">VLOOKUP($B26,'[3]Analisys QBR By Machine Report'!$C$109:$BD$166,25,FALSE)</f>
        <v>0</v>
      </c>
      <c r="AE26" s="13">
        <f ca="1">VLOOKUP($B26,'[3]Analisys QBR By Machine Report'!$C$109:$BD$166,26,FALSE)</f>
        <v>285</v>
      </c>
      <c r="AF26" s="13">
        <f ca="1">VLOOKUP($B26,'[3]Analisys QBR By Machine Report'!$C$109:$BD$166,27,FALSE)</f>
        <v>0</v>
      </c>
      <c r="AG26" s="13">
        <f ca="1">VLOOKUP($B26,'[3]Analisys QBR By Machine Report'!$C$109:$BD$166,28,FALSE)</f>
        <v>0</v>
      </c>
      <c r="AH26" s="13">
        <f ca="1">VLOOKUP($B26,'[3]Analisys QBR By Machine Report'!$C$109:$BD$166,29,FALSE)</f>
        <v>0</v>
      </c>
      <c r="AI26" s="13">
        <f ca="1">VLOOKUP($B26,'[3]Analisys QBR By Machine Report'!$C$109:$BD$166,30,FALSE)</f>
        <v>570</v>
      </c>
      <c r="AJ26" s="13">
        <f ca="1">VLOOKUP($B26,'[3]Analisys QBR By Machine Report'!$C$109:$BD$166,31,FALSE)</f>
        <v>90</v>
      </c>
      <c r="AK26" s="13">
        <f ca="1">VLOOKUP($B26,'[3]Analisys QBR By Machine Report'!$C$109:$BD$166,32,FALSE)</f>
        <v>0</v>
      </c>
      <c r="AL26" s="13">
        <f ca="1">VLOOKUP($B26,'[3]Analisys QBR By Machine Report'!$C$109:$BD$166,33,FALSE)</f>
        <v>60</v>
      </c>
      <c r="AM26" s="13">
        <f ca="1">VLOOKUP($B26,'[3]Analisys QBR By Machine Report'!$C$109:$BD$166,34,FALSE)</f>
        <v>0</v>
      </c>
      <c r="AN26" s="13">
        <f ca="1">VLOOKUP($B26,'[3]Analisys QBR By Machine Report'!$C$109:$BD$166,35,FALSE)</f>
        <v>135</v>
      </c>
      <c r="AO26" s="13">
        <f ca="1">VLOOKUP($B26,'[3]Analisys QBR By Machine Report'!$C$109:$BD$166,36,FALSE)</f>
        <v>0</v>
      </c>
      <c r="AP26" s="13">
        <f ca="1">VLOOKUP($B26,'[3]Analisys QBR By Machine Report'!$C$109:$BD$166,37,FALSE)</f>
        <v>0</v>
      </c>
      <c r="AQ26" s="13">
        <f ca="1">VLOOKUP($B26,'[3]Analisys QBR By Machine Report'!$C$109:$BD$166,38,FALSE)</f>
        <v>0</v>
      </c>
      <c r="AR26" s="13">
        <f ca="1">VLOOKUP($B26,'[3]Analisys QBR By Machine Report'!$C$109:$BD$166,39,FALSE)</f>
        <v>285</v>
      </c>
      <c r="AS26" s="13">
        <f ca="1">VLOOKUP($B26,'[3]Analisys QBR By Machine Report'!$C$109:$BD$166,40,FALSE)</f>
        <v>0</v>
      </c>
      <c r="AT26" s="13">
        <f ca="1">VLOOKUP($B26,'[3]Analisys QBR By Machine Report'!$C$109:$BD$166,41,FALSE)</f>
        <v>0</v>
      </c>
      <c r="AU26" s="13">
        <f ca="1">VLOOKUP($B26,'[3]Analisys QBR By Machine Report'!$C$109:$BD$166,42,FALSE)</f>
        <v>0</v>
      </c>
      <c r="AV26" s="13">
        <f ca="1">VLOOKUP($B26,'[3]Analisys QBR By Machine Report'!$C$109:$BD$166,43,FALSE)</f>
        <v>0</v>
      </c>
      <c r="AW26" s="13">
        <f ca="1">VLOOKUP($B26,'[3]Analisys QBR By Machine Report'!$C$109:$BD$166,44,FALSE)</f>
        <v>0</v>
      </c>
      <c r="AX26" s="13">
        <f ca="1">VLOOKUP($B26,'[3]Analisys QBR By Machine Report'!$C$109:$BD$166,45,FALSE)</f>
        <v>0</v>
      </c>
      <c r="AY26" s="13">
        <f ca="1">VLOOKUP($B26,'[3]Analisys QBR By Machine Report'!$C$109:$BD$166,46,FALSE)</f>
        <v>0</v>
      </c>
      <c r="AZ26" s="13">
        <f ca="1">VLOOKUP($B26,'[3]Analisys QBR By Machine Report'!$C$109:$BD$166,47,FALSE)</f>
        <v>0</v>
      </c>
      <c r="BA26" s="13">
        <f ca="1">VLOOKUP($B26,'[3]Analisys QBR By Machine Report'!$C$109:$BD$166,48,FALSE)</f>
        <v>0</v>
      </c>
      <c r="BB26" s="13">
        <f ca="1">VLOOKUP($B26,'[3]Analisys QBR By Machine Report'!$C$109:$BD$166,49,FALSE)</f>
        <v>0</v>
      </c>
      <c r="BC26" s="13">
        <f ca="1">VLOOKUP($B26,'[3]Analisys QBR By Machine Report'!$C$109:$BD$166,50,FALSE)</f>
        <v>0</v>
      </c>
      <c r="BD26" s="13">
        <f ca="1">VLOOKUP($B26,'[3]Analisys QBR By Machine Report'!$C$109:$BD$166,51,FALSE)</f>
        <v>49086</v>
      </c>
      <c r="BE26" s="13">
        <f ca="1">VLOOKUP($B26,'[3]Analisys QBR By Machine Report'!$C$109:$BD$166,52,FALSE)</f>
        <v>90</v>
      </c>
      <c r="BF26" s="13">
        <f ca="1">VLOOKUP($B26,'[3]Analisys QBR By Machine Report'!$C$109:$BD$166,53,FALSE)</f>
        <v>48996</v>
      </c>
    </row>
    <row r="27" spans="1:58" x14ac:dyDescent="0.25">
      <c r="A27" s="9" t="s">
        <v>83</v>
      </c>
      <c r="B27" s="10">
        <f ca="1">VLOOKUP($B27,'[3]Analisys QBR By Machine Report'!$C$109:$BD$166,2,FALSE)</f>
        <v>28800</v>
      </c>
      <c r="C27" s="11">
        <f ca="1">VLOOKUP($B27,[3]Dasboard_QBR_Report!$B$109:$BL$166,3,FALSE)</f>
        <v>18600</v>
      </c>
      <c r="D27" s="10">
        <f ca="1">VLOOKUP($B27,'[3]Analisys QBR By Machine Report'!$C$109:$BD$166,3,FALSE)</f>
        <v>21120</v>
      </c>
      <c r="E27" s="11">
        <f ca="1">VLOOKUP($B27,[3]Dasboard_QBR_Report!$B$109:$BL$166,5,FALSE)</f>
        <v>10920</v>
      </c>
      <c r="F27" s="10">
        <f t="shared" ca="1" si="0"/>
        <v>7680</v>
      </c>
      <c r="G27" s="10">
        <f t="shared" ca="1" si="1"/>
        <v>270</v>
      </c>
      <c r="H27" s="10">
        <f ca="1">VLOOKUP($B27,'[3]Analisys QBR By Machine Report'!$C$109:$BD$166,4,FALSE)</f>
        <v>270</v>
      </c>
      <c r="I27" s="10">
        <f ca="1">VLOOKUP($B27,'[3]Analisys QBR By Machine Report'!$C$109:$BD$166,5,FALSE)</f>
        <v>0</v>
      </c>
      <c r="J27" s="10">
        <f ca="1">VLOOKUP($B27,'[3]Analisys QBR By Machine Report'!$C$109:$BD$166,6,FALSE)</f>
        <v>270</v>
      </c>
      <c r="K27" s="10">
        <f ca="1">VLOOKUP($B27,'[3]Analisys QBR By Machine Report'!$C$109:$BD$166,7,FALSE)</f>
        <v>0</v>
      </c>
      <c r="L27" s="10">
        <f ca="1">VLOOKUP($B27,'[3]Analisys QBR By Machine Report'!$C$109:$BD$166,8,FALSE)</f>
        <v>7410</v>
      </c>
      <c r="M27" s="10">
        <f ca="1">VLOOKUP($B27,'[3]Analisys QBR By Machine Report'!$C$109:$BD$166,9,FALSE)</f>
        <v>2187</v>
      </c>
      <c r="N27" s="10">
        <f ca="1">VLOOKUP($B27,[3]Dasboard_QBR_Report!$B$109:$BL$166,18,FALSE)</f>
        <v>5223</v>
      </c>
      <c r="O27" s="10">
        <f ca="1">VLOOKUP($B27,'[3]Analisys QBR By Machine Report'!$C$109:$BD$166,10,FALSE)</f>
        <v>190</v>
      </c>
      <c r="P27" s="10">
        <f ca="1">VLOOKUP($B27,'[3]Analisys QBR By Machine Report'!$C$109:$BD$166,11,FALSE)</f>
        <v>190</v>
      </c>
      <c r="Q27" s="10">
        <f ca="1">VLOOKUP($B27,'[3]Analisys QBR By Machine Report'!$C$109:$BD$166,12,FALSE)</f>
        <v>0</v>
      </c>
      <c r="R27" s="10">
        <f ca="1">VLOOKUP($B27,'[3]Analisys QBR By Machine Report'!$C$109:$BD$166,13,FALSE)</f>
        <v>0</v>
      </c>
      <c r="S27" s="10">
        <f ca="1">VLOOKUP($B27,'[3]Analisys QBR By Machine Report'!$C$109:$BD$166,14,FALSE)</f>
        <v>0</v>
      </c>
      <c r="T27" s="10">
        <f ca="1">VLOOKUP($B27,'[3]Analisys QBR By Machine Report'!$C$109:$BD$166,15,FALSE)</f>
        <v>0</v>
      </c>
      <c r="U27" s="10">
        <f ca="1">VLOOKUP($B27,'[3]Analisys QBR By Machine Report'!$C$109:$BD$166,16,FALSE)</f>
        <v>0</v>
      </c>
      <c r="V27" s="10">
        <f ca="1">VLOOKUP($B27,'[3]Analisys QBR By Machine Report'!$C$109:$BD$166,17,FALSE)</f>
        <v>0</v>
      </c>
      <c r="W27" s="10">
        <f ca="1">VLOOKUP($B27,'[3]Analisys QBR By Machine Report'!$C$109:$BD$166,18,FALSE)</f>
        <v>0</v>
      </c>
      <c r="X27" s="10">
        <f ca="1">VLOOKUP($B27,'[3]Analisys QBR By Machine Report'!$C$109:$BD$166,19,FALSE)</f>
        <v>0</v>
      </c>
      <c r="Y27" s="10">
        <f ca="1">VLOOKUP($B27,'[3]Analisys QBR By Machine Report'!$C$109:$BD$166,20,FALSE)</f>
        <v>0</v>
      </c>
      <c r="Z27" s="10">
        <f ca="1">VLOOKUP($B27,'[3]Analisys QBR By Machine Report'!$C$109:$BD$166,21,FALSE)</f>
        <v>3187</v>
      </c>
      <c r="AA27" s="10">
        <f ca="1">VLOOKUP($B27,'[3]Analisys QBR By Machine Report'!$C$109:$BD$166,22,FALSE)</f>
        <v>624</v>
      </c>
      <c r="AB27" s="10">
        <f ca="1">VLOOKUP($B27,'[3]Analisys QBR By Machine Report'!$C$109:$BD$166,23,FALSE)</f>
        <v>1923</v>
      </c>
      <c r="AC27" s="10">
        <f ca="1">VLOOKUP($B27,'[3]Analisys QBR By Machine Report'!$C$109:$BD$166,24,FALSE)</f>
        <v>0</v>
      </c>
      <c r="AD27" s="10">
        <f ca="1">VLOOKUP($B27,'[3]Analisys QBR By Machine Report'!$C$109:$BD$166,25,FALSE)</f>
        <v>640</v>
      </c>
      <c r="AE27" s="10">
        <f ca="1">VLOOKUP($B27,'[3]Analisys QBR By Machine Report'!$C$109:$BD$166,26,FALSE)</f>
        <v>0</v>
      </c>
      <c r="AF27" s="10">
        <f ca="1">VLOOKUP($B27,'[3]Analisys QBR By Machine Report'!$C$109:$BD$166,27,FALSE)</f>
        <v>0</v>
      </c>
      <c r="AG27" s="10">
        <f ca="1">VLOOKUP($B27,'[3]Analisys QBR By Machine Report'!$C$109:$BD$166,28,FALSE)</f>
        <v>0</v>
      </c>
      <c r="AH27" s="10">
        <f ca="1">VLOOKUP($B27,'[3]Analisys QBR By Machine Report'!$C$109:$BD$166,29,FALSE)</f>
        <v>0</v>
      </c>
      <c r="AI27" s="10">
        <f ca="1">VLOOKUP($B27,'[3]Analisys QBR By Machine Report'!$C$109:$BD$166,30,FALSE)</f>
        <v>1846</v>
      </c>
      <c r="AJ27" s="10">
        <f ca="1">VLOOKUP($B27,'[3]Analisys QBR By Machine Report'!$C$109:$BD$166,31,FALSE)</f>
        <v>0</v>
      </c>
      <c r="AK27" s="10">
        <f ca="1">VLOOKUP($B27,'[3]Analisys QBR By Machine Report'!$C$109:$BD$166,32,FALSE)</f>
        <v>0</v>
      </c>
      <c r="AL27" s="10">
        <f ca="1">VLOOKUP($B27,'[3]Analisys QBR By Machine Report'!$C$109:$BD$166,33,FALSE)</f>
        <v>0</v>
      </c>
      <c r="AM27" s="10">
        <f ca="1">VLOOKUP($B27,'[3]Analisys QBR By Machine Report'!$C$109:$BD$166,34,FALSE)</f>
        <v>0</v>
      </c>
      <c r="AN27" s="10">
        <f ca="1">VLOOKUP($B27,'[3]Analisys QBR By Machine Report'!$C$109:$BD$166,35,FALSE)</f>
        <v>520</v>
      </c>
      <c r="AO27" s="10">
        <f ca="1">VLOOKUP($B27,'[3]Analisys QBR By Machine Report'!$C$109:$BD$166,36,FALSE)</f>
        <v>0</v>
      </c>
      <c r="AP27" s="10">
        <f ca="1">VLOOKUP($B27,'[3]Analisys QBR By Machine Report'!$C$109:$BD$166,37,FALSE)</f>
        <v>130</v>
      </c>
      <c r="AQ27" s="10">
        <f ca="1">VLOOKUP($B27,'[3]Analisys QBR By Machine Report'!$C$109:$BD$166,38,FALSE)</f>
        <v>0</v>
      </c>
      <c r="AR27" s="10">
        <f ca="1">VLOOKUP($B27,'[3]Analisys QBR By Machine Report'!$C$109:$BD$166,39,FALSE)</f>
        <v>0</v>
      </c>
      <c r="AS27" s="10">
        <f ca="1">VLOOKUP($B27,'[3]Analisys QBR By Machine Report'!$C$109:$BD$166,40,FALSE)</f>
        <v>100</v>
      </c>
      <c r="AT27" s="10">
        <f ca="1">VLOOKUP($B27,'[3]Analisys QBR By Machine Report'!$C$109:$BD$166,41,FALSE)</f>
        <v>0</v>
      </c>
      <c r="AU27" s="10">
        <f ca="1">VLOOKUP($B27,'[3]Analisys QBR By Machine Report'!$C$109:$BD$166,42,FALSE)</f>
        <v>0</v>
      </c>
      <c r="AV27" s="10">
        <f ca="1">VLOOKUP($B27,'[3]Analisys QBR By Machine Report'!$C$109:$BD$166,43,FALSE)</f>
        <v>0</v>
      </c>
      <c r="AW27" s="10">
        <f ca="1">VLOOKUP($B27,'[3]Analisys QBR By Machine Report'!$C$109:$BD$166,44,FALSE)</f>
        <v>0</v>
      </c>
      <c r="AX27" s="10">
        <f ca="1">VLOOKUP($B27,'[3]Analisys QBR By Machine Report'!$C$109:$BD$166,45,FALSE)</f>
        <v>0</v>
      </c>
      <c r="AY27" s="10">
        <f ca="1">VLOOKUP($B27,'[3]Analisys QBR By Machine Report'!$C$109:$BD$166,46,FALSE)</f>
        <v>0</v>
      </c>
      <c r="AZ27" s="10">
        <f ca="1">VLOOKUP($B27,'[3]Analisys QBR By Machine Report'!$C$109:$BD$166,47,FALSE)</f>
        <v>1096</v>
      </c>
      <c r="BA27" s="10">
        <f ca="1">VLOOKUP($B27,'[3]Analisys QBR By Machine Report'!$C$109:$BD$166,48,FALSE)</f>
        <v>0</v>
      </c>
      <c r="BB27" s="10">
        <f ca="1">VLOOKUP($B27,'[3]Analisys QBR By Machine Report'!$C$109:$BD$166,49,FALSE)</f>
        <v>0</v>
      </c>
      <c r="BC27" s="10">
        <f ca="1">VLOOKUP($B27,'[3]Analisys QBR By Machine Report'!$C$109:$BD$166,50,FALSE)</f>
        <v>0</v>
      </c>
      <c r="BD27" s="10">
        <f ca="1">VLOOKUP($B27,'[3]Analisys QBR By Machine Report'!$C$109:$BD$166,51,FALSE)</f>
        <v>845</v>
      </c>
      <c r="BE27" s="10">
        <f ca="1">VLOOKUP($B27,'[3]Analisys QBR By Machine Report'!$C$109:$BD$166,52,FALSE)</f>
        <v>0</v>
      </c>
      <c r="BF27" s="10">
        <f ca="1">VLOOKUP($B27,'[3]Analisys QBR By Machine Report'!$C$109:$BD$166,53,FALSE)</f>
        <v>845</v>
      </c>
    </row>
    <row r="28" spans="1:58" x14ac:dyDescent="0.25">
      <c r="A28" s="12" t="s">
        <v>84</v>
      </c>
      <c r="B28" s="13">
        <f ca="1">VLOOKUP($B28,'[3]Analisys QBR By Machine Report'!$C$109:$BD$166,2,FALSE)</f>
        <v>28800</v>
      </c>
      <c r="C28" s="14">
        <f ca="1">VLOOKUP($B28,[3]Dasboard_QBR_Report!$B$109:$BL$166,3,FALSE)</f>
        <v>18600</v>
      </c>
      <c r="D28" s="13">
        <f ca="1">VLOOKUP($B28,'[3]Analisys QBR By Machine Report'!$C$109:$BD$166,3,FALSE)</f>
        <v>21120</v>
      </c>
      <c r="E28" s="14">
        <f ca="1">VLOOKUP($B28,[3]Dasboard_QBR_Report!$B$109:$BL$166,5,FALSE)</f>
        <v>10920</v>
      </c>
      <c r="F28" s="13">
        <f t="shared" ca="1" si="0"/>
        <v>7680</v>
      </c>
      <c r="G28" s="13">
        <f t="shared" ca="1" si="1"/>
        <v>270</v>
      </c>
      <c r="H28" s="13">
        <f ca="1">VLOOKUP($B28,'[3]Analisys QBR By Machine Report'!$C$109:$BD$166,4,FALSE)</f>
        <v>270</v>
      </c>
      <c r="I28" s="13">
        <f ca="1">VLOOKUP($B28,'[3]Analisys QBR By Machine Report'!$C$109:$BD$166,5,FALSE)</f>
        <v>0</v>
      </c>
      <c r="J28" s="13">
        <f ca="1">VLOOKUP($B28,'[3]Analisys QBR By Machine Report'!$C$109:$BD$166,6,FALSE)</f>
        <v>270</v>
      </c>
      <c r="K28" s="13">
        <f ca="1">VLOOKUP($B28,'[3]Analisys QBR By Machine Report'!$C$109:$BD$166,7,FALSE)</f>
        <v>0</v>
      </c>
      <c r="L28" s="13">
        <f ca="1">VLOOKUP($B28,'[3]Analisys QBR By Machine Report'!$C$109:$BD$166,8,FALSE)</f>
        <v>7410</v>
      </c>
      <c r="M28" s="13">
        <f ca="1">VLOOKUP($B28,'[3]Analisys QBR By Machine Report'!$C$109:$BD$166,9,FALSE)</f>
        <v>2187</v>
      </c>
      <c r="N28" s="13">
        <f ca="1">VLOOKUP($B28,[3]Dasboard_QBR_Report!$B$109:$BL$166,18,FALSE)</f>
        <v>5223</v>
      </c>
      <c r="O28" s="13">
        <f ca="1">VLOOKUP($B28,'[3]Analisys QBR By Machine Report'!$C$109:$BD$166,10,FALSE)</f>
        <v>190</v>
      </c>
      <c r="P28" s="13">
        <f ca="1">VLOOKUP($B28,'[3]Analisys QBR By Machine Report'!$C$109:$BD$166,11,FALSE)</f>
        <v>190</v>
      </c>
      <c r="Q28" s="13">
        <f ca="1">VLOOKUP($B28,'[3]Analisys QBR By Machine Report'!$C$109:$BD$166,12,FALSE)</f>
        <v>0</v>
      </c>
      <c r="R28" s="13">
        <f ca="1">VLOOKUP($B28,'[3]Analisys QBR By Machine Report'!$C$109:$BD$166,13,FALSE)</f>
        <v>0</v>
      </c>
      <c r="S28" s="13">
        <f ca="1">VLOOKUP($B28,'[3]Analisys QBR By Machine Report'!$C$109:$BD$166,14,FALSE)</f>
        <v>0</v>
      </c>
      <c r="T28" s="13">
        <f ca="1">VLOOKUP($B28,'[3]Analisys QBR By Machine Report'!$C$109:$BD$166,15,FALSE)</f>
        <v>0</v>
      </c>
      <c r="U28" s="13">
        <f ca="1">VLOOKUP($B28,'[3]Analisys QBR By Machine Report'!$C$109:$BD$166,16,FALSE)</f>
        <v>0</v>
      </c>
      <c r="V28" s="13">
        <f ca="1">VLOOKUP($B28,'[3]Analisys QBR By Machine Report'!$C$109:$BD$166,17,FALSE)</f>
        <v>0</v>
      </c>
      <c r="W28" s="13">
        <f ca="1">VLOOKUP($B28,'[3]Analisys QBR By Machine Report'!$C$109:$BD$166,18,FALSE)</f>
        <v>0</v>
      </c>
      <c r="X28" s="13">
        <f ca="1">VLOOKUP($B28,'[3]Analisys QBR By Machine Report'!$C$109:$BD$166,19,FALSE)</f>
        <v>0</v>
      </c>
      <c r="Y28" s="13">
        <f ca="1">VLOOKUP($B28,'[3]Analisys QBR By Machine Report'!$C$109:$BD$166,20,FALSE)</f>
        <v>0</v>
      </c>
      <c r="Z28" s="13">
        <f ca="1">VLOOKUP($B28,'[3]Analisys QBR By Machine Report'!$C$109:$BD$166,21,FALSE)</f>
        <v>3187</v>
      </c>
      <c r="AA28" s="13">
        <f ca="1">VLOOKUP($B28,'[3]Analisys QBR By Machine Report'!$C$109:$BD$166,22,FALSE)</f>
        <v>624</v>
      </c>
      <c r="AB28" s="13">
        <f ca="1">VLOOKUP($B28,'[3]Analisys QBR By Machine Report'!$C$109:$BD$166,23,FALSE)</f>
        <v>1923</v>
      </c>
      <c r="AC28" s="13">
        <f ca="1">VLOOKUP($B28,'[3]Analisys QBR By Machine Report'!$C$109:$BD$166,24,FALSE)</f>
        <v>0</v>
      </c>
      <c r="AD28" s="13">
        <f ca="1">VLOOKUP($B28,'[3]Analisys QBR By Machine Report'!$C$109:$BD$166,25,FALSE)</f>
        <v>640</v>
      </c>
      <c r="AE28" s="13">
        <f ca="1">VLOOKUP($B28,'[3]Analisys QBR By Machine Report'!$C$109:$BD$166,26,FALSE)</f>
        <v>0</v>
      </c>
      <c r="AF28" s="13">
        <f ca="1">VLOOKUP($B28,'[3]Analisys QBR By Machine Report'!$C$109:$BD$166,27,FALSE)</f>
        <v>0</v>
      </c>
      <c r="AG28" s="13">
        <f ca="1">VLOOKUP($B28,'[3]Analisys QBR By Machine Report'!$C$109:$BD$166,28,FALSE)</f>
        <v>0</v>
      </c>
      <c r="AH28" s="13">
        <f ca="1">VLOOKUP($B28,'[3]Analisys QBR By Machine Report'!$C$109:$BD$166,29,FALSE)</f>
        <v>0</v>
      </c>
      <c r="AI28" s="13">
        <f ca="1">VLOOKUP($B28,'[3]Analisys QBR By Machine Report'!$C$109:$BD$166,30,FALSE)</f>
        <v>1846</v>
      </c>
      <c r="AJ28" s="13">
        <f ca="1">VLOOKUP($B28,'[3]Analisys QBR By Machine Report'!$C$109:$BD$166,31,FALSE)</f>
        <v>0</v>
      </c>
      <c r="AK28" s="13">
        <f ca="1">VLOOKUP($B28,'[3]Analisys QBR By Machine Report'!$C$109:$BD$166,32,FALSE)</f>
        <v>0</v>
      </c>
      <c r="AL28" s="13">
        <f ca="1">VLOOKUP($B28,'[3]Analisys QBR By Machine Report'!$C$109:$BD$166,33,FALSE)</f>
        <v>0</v>
      </c>
      <c r="AM28" s="13">
        <f ca="1">VLOOKUP($B28,'[3]Analisys QBR By Machine Report'!$C$109:$BD$166,34,FALSE)</f>
        <v>0</v>
      </c>
      <c r="AN28" s="13">
        <f ca="1">VLOOKUP($B28,'[3]Analisys QBR By Machine Report'!$C$109:$BD$166,35,FALSE)</f>
        <v>520</v>
      </c>
      <c r="AO28" s="13">
        <f ca="1">VLOOKUP($B28,'[3]Analisys QBR By Machine Report'!$C$109:$BD$166,36,FALSE)</f>
        <v>0</v>
      </c>
      <c r="AP28" s="13">
        <f ca="1">VLOOKUP($B28,'[3]Analisys QBR By Machine Report'!$C$109:$BD$166,37,FALSE)</f>
        <v>130</v>
      </c>
      <c r="AQ28" s="13">
        <f ca="1">VLOOKUP($B28,'[3]Analisys QBR By Machine Report'!$C$109:$BD$166,38,FALSE)</f>
        <v>0</v>
      </c>
      <c r="AR28" s="13">
        <f ca="1">VLOOKUP($B28,'[3]Analisys QBR By Machine Report'!$C$109:$BD$166,39,FALSE)</f>
        <v>0</v>
      </c>
      <c r="AS28" s="13">
        <f ca="1">VLOOKUP($B28,'[3]Analisys QBR By Machine Report'!$C$109:$BD$166,40,FALSE)</f>
        <v>100</v>
      </c>
      <c r="AT28" s="13">
        <f ca="1">VLOOKUP($B28,'[3]Analisys QBR By Machine Report'!$C$109:$BD$166,41,FALSE)</f>
        <v>0</v>
      </c>
      <c r="AU28" s="13">
        <f ca="1">VLOOKUP($B28,'[3]Analisys QBR By Machine Report'!$C$109:$BD$166,42,FALSE)</f>
        <v>0</v>
      </c>
      <c r="AV28" s="13">
        <f ca="1">VLOOKUP($B28,'[3]Analisys QBR By Machine Report'!$C$109:$BD$166,43,FALSE)</f>
        <v>0</v>
      </c>
      <c r="AW28" s="13">
        <f ca="1">VLOOKUP($B28,'[3]Analisys QBR By Machine Report'!$C$109:$BD$166,44,FALSE)</f>
        <v>0</v>
      </c>
      <c r="AX28" s="13">
        <f ca="1">VLOOKUP($B28,'[3]Analisys QBR By Machine Report'!$C$109:$BD$166,45,FALSE)</f>
        <v>0</v>
      </c>
      <c r="AY28" s="13">
        <f ca="1">VLOOKUP($B28,'[3]Analisys QBR By Machine Report'!$C$109:$BD$166,46,FALSE)</f>
        <v>0</v>
      </c>
      <c r="AZ28" s="13">
        <f ca="1">VLOOKUP($B28,'[3]Analisys QBR By Machine Report'!$C$109:$BD$166,47,FALSE)</f>
        <v>1096</v>
      </c>
      <c r="BA28" s="13">
        <f ca="1">VLOOKUP($B28,'[3]Analisys QBR By Machine Report'!$C$109:$BD$166,48,FALSE)</f>
        <v>0</v>
      </c>
      <c r="BB28" s="13">
        <f ca="1">VLOOKUP($B28,'[3]Analisys QBR By Machine Report'!$C$109:$BD$166,49,FALSE)</f>
        <v>0</v>
      </c>
      <c r="BC28" s="13">
        <f ca="1">VLOOKUP($B28,'[3]Analisys QBR By Machine Report'!$C$109:$BD$166,50,FALSE)</f>
        <v>0</v>
      </c>
      <c r="BD28" s="13">
        <f ca="1">VLOOKUP($B28,'[3]Analisys QBR By Machine Report'!$C$109:$BD$166,51,FALSE)</f>
        <v>845</v>
      </c>
      <c r="BE28" s="13">
        <f ca="1">VLOOKUP($B28,'[3]Analisys QBR By Machine Report'!$C$109:$BD$166,52,FALSE)</f>
        <v>0</v>
      </c>
      <c r="BF28" s="13">
        <f ca="1">VLOOKUP($B28,'[3]Analisys QBR By Machine Report'!$C$109:$BD$166,53,FALSE)</f>
        <v>845</v>
      </c>
    </row>
    <row r="29" spans="1:58" x14ac:dyDescent="0.25">
      <c r="A29" s="9" t="s">
        <v>85</v>
      </c>
      <c r="B29" s="10">
        <f ca="1">VLOOKUP($B29,'[3]Analisys QBR By Machine Report'!$C$109:$BD$166,2,FALSE)</f>
        <v>57600</v>
      </c>
      <c r="C29" s="11">
        <f ca="1">VLOOKUP($B29,[3]Dasboard_QBR_Report!$B$109:$BL$166,3,FALSE)</f>
        <v>37200</v>
      </c>
      <c r="D29" s="10">
        <f ca="1">VLOOKUP($B29,'[3]Analisys QBR By Machine Report'!$C$109:$BD$166,3,FALSE)</f>
        <v>30240</v>
      </c>
      <c r="E29" s="11">
        <f ca="1">VLOOKUP($B29,[3]Dasboard_QBR_Report!$B$109:$BL$166,5,FALSE)</f>
        <v>9840</v>
      </c>
      <c r="F29" s="10">
        <f t="shared" ca="1" si="0"/>
        <v>27360</v>
      </c>
      <c r="G29" s="10">
        <f t="shared" ca="1" si="1"/>
        <v>1465</v>
      </c>
      <c r="H29" s="10">
        <f ca="1">VLOOKUP($B29,'[3]Analisys QBR By Machine Report'!$C$109:$BD$166,4,FALSE)</f>
        <v>1465</v>
      </c>
      <c r="I29" s="10">
        <f ca="1">VLOOKUP($B29,'[3]Analisys QBR By Machine Report'!$C$109:$BD$166,5,FALSE)</f>
        <v>75</v>
      </c>
      <c r="J29" s="10">
        <f ca="1">VLOOKUP($B29,'[3]Analisys QBR By Machine Report'!$C$109:$BD$166,6,FALSE)</f>
        <v>1390</v>
      </c>
      <c r="K29" s="10">
        <f ca="1">VLOOKUP($B29,'[3]Analisys QBR By Machine Report'!$C$109:$BD$166,7,FALSE)</f>
        <v>0</v>
      </c>
      <c r="L29" s="10">
        <f ca="1">VLOOKUP($B29,'[3]Analisys QBR By Machine Report'!$C$109:$BD$166,8,FALSE)</f>
        <v>25895</v>
      </c>
      <c r="M29" s="10">
        <f ca="1">VLOOKUP($B29,'[3]Analisys QBR By Machine Report'!$C$109:$BD$166,9,FALSE)</f>
        <v>11254</v>
      </c>
      <c r="N29" s="10">
        <f ca="1">VLOOKUP($B29,[3]Dasboard_QBR_Report!$B$109:$BL$166,18,FALSE)</f>
        <v>14641</v>
      </c>
      <c r="O29" s="10">
        <f ca="1">VLOOKUP($B29,'[3]Analisys QBR By Machine Report'!$C$109:$BD$166,10,FALSE)</f>
        <v>2371</v>
      </c>
      <c r="P29" s="10">
        <f ca="1">VLOOKUP($B29,'[3]Analisys QBR By Machine Report'!$C$109:$BD$166,11,FALSE)</f>
        <v>2030</v>
      </c>
      <c r="Q29" s="10">
        <f ca="1">VLOOKUP($B29,'[3]Analisys QBR By Machine Report'!$C$109:$BD$166,12,FALSE)</f>
        <v>79</v>
      </c>
      <c r="R29" s="10">
        <f ca="1">VLOOKUP($B29,'[3]Analisys QBR By Machine Report'!$C$109:$BD$166,13,FALSE)</f>
        <v>251</v>
      </c>
      <c r="S29" s="10">
        <f ca="1">VLOOKUP($B29,'[3]Analisys QBR By Machine Report'!$C$109:$BD$166,14,FALSE)</f>
        <v>11</v>
      </c>
      <c r="T29" s="10">
        <f ca="1">VLOOKUP($B29,'[3]Analisys QBR By Machine Report'!$C$109:$BD$166,15,FALSE)</f>
        <v>452</v>
      </c>
      <c r="U29" s="10">
        <f ca="1">VLOOKUP($B29,'[3]Analisys QBR By Machine Report'!$C$109:$BD$166,16,FALSE)</f>
        <v>250</v>
      </c>
      <c r="V29" s="10">
        <f ca="1">VLOOKUP($B29,'[3]Analisys QBR By Machine Report'!$C$109:$BD$166,17,FALSE)</f>
        <v>0</v>
      </c>
      <c r="W29" s="10">
        <f ca="1">VLOOKUP($B29,'[3]Analisys QBR By Machine Report'!$C$109:$BD$166,18,FALSE)</f>
        <v>0</v>
      </c>
      <c r="X29" s="10">
        <f ca="1">VLOOKUP($B29,'[3]Analisys QBR By Machine Report'!$C$109:$BD$166,19,FALSE)</f>
        <v>202</v>
      </c>
      <c r="Y29" s="10">
        <f ca="1">VLOOKUP($B29,'[3]Analisys QBR By Machine Report'!$C$109:$BD$166,20,FALSE)</f>
        <v>0</v>
      </c>
      <c r="Z29" s="10">
        <f ca="1">VLOOKUP($B29,'[3]Analisys QBR By Machine Report'!$C$109:$BD$166,21,FALSE)</f>
        <v>5365</v>
      </c>
      <c r="AA29" s="10">
        <f ca="1">VLOOKUP($B29,'[3]Analisys QBR By Machine Report'!$C$109:$BD$166,22,FALSE)</f>
        <v>1303</v>
      </c>
      <c r="AB29" s="10">
        <f ca="1">VLOOKUP($B29,'[3]Analisys QBR By Machine Report'!$C$109:$BD$166,23,FALSE)</f>
        <v>4059</v>
      </c>
      <c r="AC29" s="10">
        <f ca="1">VLOOKUP($B29,'[3]Analisys QBR By Machine Report'!$C$109:$BD$166,24,FALSE)</f>
        <v>3</v>
      </c>
      <c r="AD29" s="10">
        <f ca="1">VLOOKUP($B29,'[3]Analisys QBR By Machine Report'!$C$109:$BD$166,25,FALSE)</f>
        <v>0</v>
      </c>
      <c r="AE29" s="10">
        <f ca="1">VLOOKUP($B29,'[3]Analisys QBR By Machine Report'!$C$109:$BD$166,26,FALSE)</f>
        <v>0</v>
      </c>
      <c r="AF29" s="10">
        <f ca="1">VLOOKUP($B29,'[3]Analisys QBR By Machine Report'!$C$109:$BD$166,27,FALSE)</f>
        <v>0</v>
      </c>
      <c r="AG29" s="10">
        <f ca="1">VLOOKUP($B29,'[3]Analisys QBR By Machine Report'!$C$109:$BD$166,28,FALSE)</f>
        <v>0</v>
      </c>
      <c r="AH29" s="10">
        <f ca="1">VLOOKUP($B29,'[3]Analisys QBR By Machine Report'!$C$109:$BD$166,29,FALSE)</f>
        <v>0</v>
      </c>
      <c r="AI29" s="10">
        <f ca="1">VLOOKUP($B29,'[3]Analisys QBR By Machine Report'!$C$109:$BD$166,30,FALSE)</f>
        <v>6453</v>
      </c>
      <c r="AJ29" s="10">
        <f ca="1">VLOOKUP($B29,'[3]Analisys QBR By Machine Report'!$C$109:$BD$166,31,FALSE)</f>
        <v>30</v>
      </c>
      <c r="AK29" s="10">
        <f ca="1">VLOOKUP($B29,'[3]Analisys QBR By Machine Report'!$C$109:$BD$166,32,FALSE)</f>
        <v>0</v>
      </c>
      <c r="AL29" s="10">
        <f ca="1">VLOOKUP($B29,'[3]Analisys QBR By Machine Report'!$C$109:$BD$166,33,FALSE)</f>
        <v>810</v>
      </c>
      <c r="AM29" s="10">
        <f ca="1">VLOOKUP($B29,'[3]Analisys QBR By Machine Report'!$C$109:$BD$166,34,FALSE)</f>
        <v>0</v>
      </c>
      <c r="AN29" s="10">
        <f ca="1">VLOOKUP($B29,'[3]Analisys QBR By Machine Report'!$C$109:$BD$166,35,FALSE)</f>
        <v>1495</v>
      </c>
      <c r="AO29" s="10">
        <f ca="1">VLOOKUP($B29,'[3]Analisys QBR By Machine Report'!$C$109:$BD$166,36,FALSE)</f>
        <v>0</v>
      </c>
      <c r="AP29" s="10">
        <f ca="1">VLOOKUP($B29,'[3]Analisys QBR By Machine Report'!$C$109:$BD$166,37,FALSE)</f>
        <v>0</v>
      </c>
      <c r="AQ29" s="10">
        <f ca="1">VLOOKUP($B29,'[3]Analisys QBR By Machine Report'!$C$109:$BD$166,38,FALSE)</f>
        <v>0</v>
      </c>
      <c r="AR29" s="10">
        <f ca="1">VLOOKUP($B29,'[3]Analisys QBR By Machine Report'!$C$109:$BD$166,39,FALSE)</f>
        <v>0</v>
      </c>
      <c r="AS29" s="10">
        <f ca="1">VLOOKUP($B29,'[3]Analisys QBR By Machine Report'!$C$109:$BD$166,40,FALSE)</f>
        <v>310</v>
      </c>
      <c r="AT29" s="10">
        <f ca="1">VLOOKUP($B29,'[3]Analisys QBR By Machine Report'!$C$109:$BD$166,41,FALSE)</f>
        <v>0</v>
      </c>
      <c r="AU29" s="10">
        <f ca="1">VLOOKUP($B29,'[3]Analisys QBR By Machine Report'!$C$109:$BD$166,42,FALSE)</f>
        <v>0</v>
      </c>
      <c r="AV29" s="10">
        <f ca="1">VLOOKUP($B29,'[3]Analisys QBR By Machine Report'!$C$109:$BD$166,43,FALSE)</f>
        <v>3591</v>
      </c>
      <c r="AW29" s="10">
        <f ca="1">VLOOKUP($B29,'[3]Analisys QBR By Machine Report'!$C$109:$BD$166,44,FALSE)</f>
        <v>0</v>
      </c>
      <c r="AX29" s="10">
        <f ca="1">VLOOKUP($B29,'[3]Analisys QBR By Machine Report'!$C$109:$BD$166,45,FALSE)</f>
        <v>0</v>
      </c>
      <c r="AY29" s="10">
        <f ca="1">VLOOKUP($B29,'[3]Analisys QBR By Machine Report'!$C$109:$BD$166,46,FALSE)</f>
        <v>0</v>
      </c>
      <c r="AZ29" s="10">
        <f ca="1">VLOOKUP($B29,'[3]Analisys QBR By Machine Report'!$C$109:$BD$166,47,FALSE)</f>
        <v>217</v>
      </c>
      <c r="BA29" s="10">
        <f ca="1">VLOOKUP($B29,'[3]Analisys QBR By Machine Report'!$C$109:$BD$166,48,FALSE)</f>
        <v>0</v>
      </c>
      <c r="BB29" s="10">
        <f ca="1">VLOOKUP($B29,'[3]Analisys QBR By Machine Report'!$C$109:$BD$166,49,FALSE)</f>
        <v>0</v>
      </c>
      <c r="BC29" s="10">
        <f ca="1">VLOOKUP($B29,'[3]Analisys QBR By Machine Report'!$C$109:$BD$166,50,FALSE)</f>
        <v>0</v>
      </c>
      <c r="BD29" s="10">
        <f ca="1">VLOOKUP($B29,'[3]Analisys QBR By Machine Report'!$C$109:$BD$166,51,FALSE)</f>
        <v>1213747</v>
      </c>
      <c r="BE29" s="10">
        <f ca="1">VLOOKUP($B29,'[3]Analisys QBR By Machine Report'!$C$109:$BD$166,52,FALSE)</f>
        <v>479</v>
      </c>
      <c r="BF29" s="10">
        <f ca="1">VLOOKUP($B29,'[3]Analisys QBR By Machine Report'!$C$109:$BD$166,53,FALSE)</f>
        <v>1213268</v>
      </c>
    </row>
    <row r="30" spans="1:58" x14ac:dyDescent="0.25">
      <c r="A30" s="12" t="s">
        <v>86</v>
      </c>
      <c r="B30" s="13">
        <f ca="1">VLOOKUP($B30,'[3]Analisys QBR By Machine Report'!$C$109:$BD$166,2,FALSE)</f>
        <v>28800</v>
      </c>
      <c r="C30" s="14">
        <f ca="1">VLOOKUP($B30,[3]Dasboard_QBR_Report!$B$109:$BL$166,3,FALSE)</f>
        <v>18600</v>
      </c>
      <c r="D30" s="13">
        <f ca="1">VLOOKUP($B30,'[3]Analisys QBR By Machine Report'!$C$109:$BD$166,3,FALSE)</f>
        <v>18600</v>
      </c>
      <c r="E30" s="14">
        <f ca="1">VLOOKUP($B30,[3]Dasboard_QBR_Report!$B$109:$BL$166,5,FALSE)</f>
        <v>8400</v>
      </c>
      <c r="F30" s="13">
        <f t="shared" ca="1" si="0"/>
        <v>10200</v>
      </c>
      <c r="G30" s="13">
        <f t="shared" ca="1" si="1"/>
        <v>980</v>
      </c>
      <c r="H30" s="13">
        <f ca="1">VLOOKUP($B30,'[3]Analisys QBR By Machine Report'!$C$109:$BD$166,4,FALSE)</f>
        <v>980</v>
      </c>
      <c r="I30" s="13">
        <f ca="1">VLOOKUP($B30,'[3]Analisys QBR By Machine Report'!$C$109:$BD$166,5,FALSE)</f>
        <v>75</v>
      </c>
      <c r="J30" s="13">
        <f ca="1">VLOOKUP($B30,'[3]Analisys QBR By Machine Report'!$C$109:$BD$166,6,FALSE)</f>
        <v>905</v>
      </c>
      <c r="K30" s="13">
        <f ca="1">VLOOKUP($B30,'[3]Analisys QBR By Machine Report'!$C$109:$BD$166,7,FALSE)</f>
        <v>0</v>
      </c>
      <c r="L30" s="13">
        <f ca="1">VLOOKUP($B30,'[3]Analisys QBR By Machine Report'!$C$109:$BD$166,8,FALSE)</f>
        <v>9220</v>
      </c>
      <c r="M30" s="13">
        <f ca="1">VLOOKUP($B30,'[3]Analisys QBR By Machine Report'!$C$109:$BD$166,9,FALSE)</f>
        <v>2609</v>
      </c>
      <c r="N30" s="13">
        <f ca="1">VLOOKUP($B30,[3]Dasboard_QBR_Report!$B$109:$BL$166,18,FALSE)</f>
        <v>6611</v>
      </c>
      <c r="O30" s="13">
        <f ca="1">VLOOKUP($B30,'[3]Analisys QBR By Machine Report'!$C$109:$BD$166,10,FALSE)</f>
        <v>1286</v>
      </c>
      <c r="P30" s="13">
        <f ca="1">VLOOKUP($B30,'[3]Analisys QBR By Machine Report'!$C$109:$BD$166,11,FALSE)</f>
        <v>1140</v>
      </c>
      <c r="Q30" s="13">
        <f ca="1">VLOOKUP($B30,'[3]Analisys QBR By Machine Report'!$C$109:$BD$166,12,FALSE)</f>
        <v>29</v>
      </c>
      <c r="R30" s="13">
        <f ca="1">VLOOKUP($B30,'[3]Analisys QBR By Machine Report'!$C$109:$BD$166,13,FALSE)</f>
        <v>106</v>
      </c>
      <c r="S30" s="13">
        <f ca="1">VLOOKUP($B30,'[3]Analisys QBR By Machine Report'!$C$109:$BD$166,14,FALSE)</f>
        <v>11</v>
      </c>
      <c r="T30" s="13">
        <f ca="1">VLOOKUP($B30,'[3]Analisys QBR By Machine Report'!$C$109:$BD$166,15,FALSE)</f>
        <v>122</v>
      </c>
      <c r="U30" s="13">
        <f ca="1">VLOOKUP($B30,'[3]Analisys QBR By Machine Report'!$C$109:$BD$166,16,FALSE)</f>
        <v>0</v>
      </c>
      <c r="V30" s="13">
        <f ca="1">VLOOKUP($B30,'[3]Analisys QBR By Machine Report'!$C$109:$BD$166,17,FALSE)</f>
        <v>0</v>
      </c>
      <c r="W30" s="13">
        <f ca="1">VLOOKUP($B30,'[3]Analisys QBR By Machine Report'!$C$109:$BD$166,18,FALSE)</f>
        <v>0</v>
      </c>
      <c r="X30" s="13">
        <f ca="1">VLOOKUP($B30,'[3]Analisys QBR By Machine Report'!$C$109:$BD$166,19,FALSE)</f>
        <v>122</v>
      </c>
      <c r="Y30" s="13">
        <f ca="1">VLOOKUP($B30,'[3]Analisys QBR By Machine Report'!$C$109:$BD$166,20,FALSE)</f>
        <v>0</v>
      </c>
      <c r="Z30" s="13">
        <f ca="1">VLOOKUP($B30,'[3]Analisys QBR By Machine Report'!$C$109:$BD$166,21,FALSE)</f>
        <v>2530</v>
      </c>
      <c r="AA30" s="13">
        <f ca="1">VLOOKUP($B30,'[3]Analisys QBR By Machine Report'!$C$109:$BD$166,22,FALSE)</f>
        <v>808</v>
      </c>
      <c r="AB30" s="13">
        <f ca="1">VLOOKUP($B30,'[3]Analisys QBR By Machine Report'!$C$109:$BD$166,23,FALSE)</f>
        <v>1722</v>
      </c>
      <c r="AC30" s="13">
        <f ca="1">VLOOKUP($B30,'[3]Analisys QBR By Machine Report'!$C$109:$BD$166,24,FALSE)</f>
        <v>0</v>
      </c>
      <c r="AD30" s="13">
        <f ca="1">VLOOKUP($B30,'[3]Analisys QBR By Machine Report'!$C$109:$BD$166,25,FALSE)</f>
        <v>0</v>
      </c>
      <c r="AE30" s="13">
        <f ca="1">VLOOKUP($B30,'[3]Analisys QBR By Machine Report'!$C$109:$BD$166,26,FALSE)</f>
        <v>0</v>
      </c>
      <c r="AF30" s="13">
        <f ca="1">VLOOKUP($B30,'[3]Analisys QBR By Machine Report'!$C$109:$BD$166,27,FALSE)</f>
        <v>0</v>
      </c>
      <c r="AG30" s="13">
        <f ca="1">VLOOKUP($B30,'[3]Analisys QBR By Machine Report'!$C$109:$BD$166,28,FALSE)</f>
        <v>0</v>
      </c>
      <c r="AH30" s="13">
        <f ca="1">VLOOKUP($B30,'[3]Analisys QBR By Machine Report'!$C$109:$BD$166,29,FALSE)</f>
        <v>0</v>
      </c>
      <c r="AI30" s="13">
        <f ca="1">VLOOKUP($B30,'[3]Analisys QBR By Machine Report'!$C$109:$BD$166,30,FALSE)</f>
        <v>2673</v>
      </c>
      <c r="AJ30" s="13">
        <f ca="1">VLOOKUP($B30,'[3]Analisys QBR By Machine Report'!$C$109:$BD$166,31,FALSE)</f>
        <v>0</v>
      </c>
      <c r="AK30" s="13">
        <f ca="1">VLOOKUP($B30,'[3]Analisys QBR By Machine Report'!$C$109:$BD$166,32,FALSE)</f>
        <v>0</v>
      </c>
      <c r="AL30" s="13">
        <f ca="1">VLOOKUP($B30,'[3]Analisys QBR By Machine Report'!$C$109:$BD$166,33,FALSE)</f>
        <v>210</v>
      </c>
      <c r="AM30" s="13">
        <f ca="1">VLOOKUP($B30,'[3]Analisys QBR By Machine Report'!$C$109:$BD$166,34,FALSE)</f>
        <v>0</v>
      </c>
      <c r="AN30" s="13">
        <f ca="1">VLOOKUP($B30,'[3]Analisys QBR By Machine Report'!$C$109:$BD$166,35,FALSE)</f>
        <v>675</v>
      </c>
      <c r="AO30" s="13">
        <f ca="1">VLOOKUP($B30,'[3]Analisys QBR By Machine Report'!$C$109:$BD$166,36,FALSE)</f>
        <v>0</v>
      </c>
      <c r="AP30" s="13">
        <f ca="1">VLOOKUP($B30,'[3]Analisys QBR By Machine Report'!$C$109:$BD$166,37,FALSE)</f>
        <v>0</v>
      </c>
      <c r="AQ30" s="13">
        <f ca="1">VLOOKUP($B30,'[3]Analisys QBR By Machine Report'!$C$109:$BD$166,38,FALSE)</f>
        <v>0</v>
      </c>
      <c r="AR30" s="13">
        <f ca="1">VLOOKUP($B30,'[3]Analisys QBR By Machine Report'!$C$109:$BD$166,39,FALSE)</f>
        <v>0</v>
      </c>
      <c r="AS30" s="13">
        <f ca="1">VLOOKUP($B30,'[3]Analisys QBR By Machine Report'!$C$109:$BD$166,40,FALSE)</f>
        <v>180</v>
      </c>
      <c r="AT30" s="13">
        <f ca="1">VLOOKUP($B30,'[3]Analisys QBR By Machine Report'!$C$109:$BD$166,41,FALSE)</f>
        <v>0</v>
      </c>
      <c r="AU30" s="13">
        <f ca="1">VLOOKUP($B30,'[3]Analisys QBR By Machine Report'!$C$109:$BD$166,42,FALSE)</f>
        <v>0</v>
      </c>
      <c r="AV30" s="13">
        <f ca="1">VLOOKUP($B30,'[3]Analisys QBR By Machine Report'!$C$109:$BD$166,43,FALSE)</f>
        <v>1533</v>
      </c>
      <c r="AW30" s="13">
        <f ca="1">VLOOKUP($B30,'[3]Analisys QBR By Machine Report'!$C$109:$BD$166,44,FALSE)</f>
        <v>0</v>
      </c>
      <c r="AX30" s="13">
        <f ca="1">VLOOKUP($B30,'[3]Analisys QBR By Machine Report'!$C$109:$BD$166,45,FALSE)</f>
        <v>0</v>
      </c>
      <c r="AY30" s="13">
        <f ca="1">VLOOKUP($B30,'[3]Analisys QBR By Machine Report'!$C$109:$BD$166,46,FALSE)</f>
        <v>0</v>
      </c>
      <c r="AZ30" s="13">
        <f ca="1">VLOOKUP($B30,'[3]Analisys QBR By Machine Report'!$C$109:$BD$166,47,FALSE)</f>
        <v>75</v>
      </c>
      <c r="BA30" s="13">
        <f ca="1">VLOOKUP($B30,'[3]Analisys QBR By Machine Report'!$C$109:$BD$166,48,FALSE)</f>
        <v>0</v>
      </c>
      <c r="BB30" s="13">
        <f ca="1">VLOOKUP($B30,'[3]Analisys QBR By Machine Report'!$C$109:$BD$166,49,FALSE)</f>
        <v>0</v>
      </c>
      <c r="BC30" s="13">
        <f ca="1">VLOOKUP($B30,'[3]Analisys QBR By Machine Report'!$C$109:$BD$166,50,FALSE)</f>
        <v>0</v>
      </c>
      <c r="BD30" s="13">
        <f ca="1">VLOOKUP($B30,'[3]Analisys QBR By Machine Report'!$C$109:$BD$166,51,FALSE)</f>
        <v>467427</v>
      </c>
      <c r="BE30" s="13">
        <f ca="1">VLOOKUP($B30,'[3]Analisys QBR By Machine Report'!$C$109:$BD$166,52,FALSE)</f>
        <v>286</v>
      </c>
      <c r="BF30" s="13">
        <f ca="1">VLOOKUP($B30,'[3]Analisys QBR By Machine Report'!$C$109:$BD$166,53,FALSE)</f>
        <v>467141</v>
      </c>
    </row>
    <row r="31" spans="1:58" x14ac:dyDescent="0.25">
      <c r="A31" s="12" t="s">
        <v>87</v>
      </c>
      <c r="B31" s="13">
        <f ca="1">VLOOKUP($B31,'[3]Analisys QBR By Machine Report'!$C$109:$BD$166,2,FALSE)</f>
        <v>28800</v>
      </c>
      <c r="C31" s="14">
        <f ca="1">VLOOKUP($B31,[3]Dasboard_QBR_Report!$B$109:$BL$166,3,FALSE)</f>
        <v>18600</v>
      </c>
      <c r="D31" s="13">
        <f ca="1">VLOOKUP($B31,'[3]Analisys QBR By Machine Report'!$C$109:$BD$166,3,FALSE)</f>
        <v>11640</v>
      </c>
      <c r="E31" s="14">
        <f ca="1">VLOOKUP($B31,[3]Dasboard_QBR_Report!$B$109:$BL$166,5,FALSE)</f>
        <v>1440</v>
      </c>
      <c r="F31" s="13">
        <f t="shared" ca="1" si="0"/>
        <v>17160</v>
      </c>
      <c r="G31" s="13">
        <f t="shared" ca="1" si="1"/>
        <v>485</v>
      </c>
      <c r="H31" s="13">
        <f ca="1">VLOOKUP($B31,'[3]Analisys QBR By Machine Report'!$C$109:$BD$166,4,FALSE)</f>
        <v>485</v>
      </c>
      <c r="I31" s="13">
        <f ca="1">VLOOKUP($B31,'[3]Analisys QBR By Machine Report'!$C$109:$BD$166,5,FALSE)</f>
        <v>0</v>
      </c>
      <c r="J31" s="13">
        <f ca="1">VLOOKUP($B31,'[3]Analisys QBR By Machine Report'!$C$109:$BD$166,6,FALSE)</f>
        <v>485</v>
      </c>
      <c r="K31" s="13">
        <f ca="1">VLOOKUP($B31,'[3]Analisys QBR By Machine Report'!$C$109:$BD$166,7,FALSE)</f>
        <v>0</v>
      </c>
      <c r="L31" s="13">
        <f ca="1">VLOOKUP($B31,'[3]Analisys QBR By Machine Report'!$C$109:$BD$166,8,FALSE)</f>
        <v>16675</v>
      </c>
      <c r="M31" s="13">
        <f ca="1">VLOOKUP($B31,'[3]Analisys QBR By Machine Report'!$C$109:$BD$166,9,FALSE)</f>
        <v>8645</v>
      </c>
      <c r="N31" s="13">
        <f ca="1">VLOOKUP($B31,[3]Dasboard_QBR_Report!$B$109:$BL$166,18,FALSE)</f>
        <v>8030</v>
      </c>
      <c r="O31" s="13">
        <f ca="1">VLOOKUP($B31,'[3]Analisys QBR By Machine Report'!$C$109:$BD$166,10,FALSE)</f>
        <v>1085</v>
      </c>
      <c r="P31" s="13">
        <f ca="1">VLOOKUP($B31,'[3]Analisys QBR By Machine Report'!$C$109:$BD$166,11,FALSE)</f>
        <v>890</v>
      </c>
      <c r="Q31" s="13">
        <f ca="1">VLOOKUP($B31,'[3]Analisys QBR By Machine Report'!$C$109:$BD$166,12,FALSE)</f>
        <v>50</v>
      </c>
      <c r="R31" s="13">
        <f ca="1">VLOOKUP($B31,'[3]Analisys QBR By Machine Report'!$C$109:$BD$166,13,FALSE)</f>
        <v>145</v>
      </c>
      <c r="S31" s="13">
        <f ca="1">VLOOKUP($B31,'[3]Analisys QBR By Machine Report'!$C$109:$BD$166,14,FALSE)</f>
        <v>0</v>
      </c>
      <c r="T31" s="13">
        <f ca="1">VLOOKUP($B31,'[3]Analisys QBR By Machine Report'!$C$109:$BD$166,15,FALSE)</f>
        <v>330</v>
      </c>
      <c r="U31" s="13">
        <f ca="1">VLOOKUP($B31,'[3]Analisys QBR By Machine Report'!$C$109:$BD$166,16,FALSE)</f>
        <v>250</v>
      </c>
      <c r="V31" s="13">
        <f ca="1">VLOOKUP($B31,'[3]Analisys QBR By Machine Report'!$C$109:$BD$166,17,FALSE)</f>
        <v>0</v>
      </c>
      <c r="W31" s="13">
        <f ca="1">VLOOKUP($B31,'[3]Analisys QBR By Machine Report'!$C$109:$BD$166,18,FALSE)</f>
        <v>0</v>
      </c>
      <c r="X31" s="13">
        <f ca="1">VLOOKUP($B31,'[3]Analisys QBR By Machine Report'!$C$109:$BD$166,19,FALSE)</f>
        <v>80</v>
      </c>
      <c r="Y31" s="13">
        <f ca="1">VLOOKUP($B31,'[3]Analisys QBR By Machine Report'!$C$109:$BD$166,20,FALSE)</f>
        <v>0</v>
      </c>
      <c r="Z31" s="13">
        <f ca="1">VLOOKUP($B31,'[3]Analisys QBR By Machine Report'!$C$109:$BD$166,21,FALSE)</f>
        <v>2835</v>
      </c>
      <c r="AA31" s="13">
        <f ca="1">VLOOKUP($B31,'[3]Analisys QBR By Machine Report'!$C$109:$BD$166,22,FALSE)</f>
        <v>495</v>
      </c>
      <c r="AB31" s="13">
        <f ca="1">VLOOKUP($B31,'[3]Analisys QBR By Machine Report'!$C$109:$BD$166,23,FALSE)</f>
        <v>2337</v>
      </c>
      <c r="AC31" s="13">
        <f ca="1">VLOOKUP($B31,'[3]Analisys QBR By Machine Report'!$C$109:$BD$166,24,FALSE)</f>
        <v>3</v>
      </c>
      <c r="AD31" s="13">
        <f ca="1">VLOOKUP($B31,'[3]Analisys QBR By Machine Report'!$C$109:$BD$166,25,FALSE)</f>
        <v>0</v>
      </c>
      <c r="AE31" s="13">
        <f ca="1">VLOOKUP($B31,'[3]Analisys QBR By Machine Report'!$C$109:$BD$166,26,FALSE)</f>
        <v>0</v>
      </c>
      <c r="AF31" s="13">
        <f ca="1">VLOOKUP($B31,'[3]Analisys QBR By Machine Report'!$C$109:$BD$166,27,FALSE)</f>
        <v>0</v>
      </c>
      <c r="AG31" s="13">
        <f ca="1">VLOOKUP($B31,'[3]Analisys QBR By Machine Report'!$C$109:$BD$166,28,FALSE)</f>
        <v>0</v>
      </c>
      <c r="AH31" s="13">
        <f ca="1">VLOOKUP($B31,'[3]Analisys QBR By Machine Report'!$C$109:$BD$166,29,FALSE)</f>
        <v>0</v>
      </c>
      <c r="AI31" s="13">
        <f ca="1">VLOOKUP($B31,'[3]Analisys QBR By Machine Report'!$C$109:$BD$166,30,FALSE)</f>
        <v>3780</v>
      </c>
      <c r="AJ31" s="13">
        <f ca="1">VLOOKUP($B31,'[3]Analisys QBR By Machine Report'!$C$109:$BD$166,31,FALSE)</f>
        <v>30</v>
      </c>
      <c r="AK31" s="13">
        <f ca="1">VLOOKUP($B31,'[3]Analisys QBR By Machine Report'!$C$109:$BD$166,32,FALSE)</f>
        <v>0</v>
      </c>
      <c r="AL31" s="13">
        <f ca="1">VLOOKUP($B31,'[3]Analisys QBR By Machine Report'!$C$109:$BD$166,33,FALSE)</f>
        <v>600</v>
      </c>
      <c r="AM31" s="13">
        <f ca="1">VLOOKUP($B31,'[3]Analisys QBR By Machine Report'!$C$109:$BD$166,34,FALSE)</f>
        <v>0</v>
      </c>
      <c r="AN31" s="13">
        <f ca="1">VLOOKUP($B31,'[3]Analisys QBR By Machine Report'!$C$109:$BD$166,35,FALSE)</f>
        <v>820</v>
      </c>
      <c r="AO31" s="13">
        <f ca="1">VLOOKUP($B31,'[3]Analisys QBR By Machine Report'!$C$109:$BD$166,36,FALSE)</f>
        <v>0</v>
      </c>
      <c r="AP31" s="13">
        <f ca="1">VLOOKUP($B31,'[3]Analisys QBR By Machine Report'!$C$109:$BD$166,37,FALSE)</f>
        <v>0</v>
      </c>
      <c r="AQ31" s="13">
        <f ca="1">VLOOKUP($B31,'[3]Analisys QBR By Machine Report'!$C$109:$BD$166,38,FALSE)</f>
        <v>0</v>
      </c>
      <c r="AR31" s="13">
        <f ca="1">VLOOKUP($B31,'[3]Analisys QBR By Machine Report'!$C$109:$BD$166,39,FALSE)</f>
        <v>0</v>
      </c>
      <c r="AS31" s="13">
        <f ca="1">VLOOKUP($B31,'[3]Analisys QBR By Machine Report'!$C$109:$BD$166,40,FALSE)</f>
        <v>130</v>
      </c>
      <c r="AT31" s="13">
        <f ca="1">VLOOKUP($B31,'[3]Analisys QBR By Machine Report'!$C$109:$BD$166,41,FALSE)</f>
        <v>0</v>
      </c>
      <c r="AU31" s="13">
        <f ca="1">VLOOKUP($B31,'[3]Analisys QBR By Machine Report'!$C$109:$BD$166,42,FALSE)</f>
        <v>0</v>
      </c>
      <c r="AV31" s="13">
        <f ca="1">VLOOKUP($B31,'[3]Analisys QBR By Machine Report'!$C$109:$BD$166,43,FALSE)</f>
        <v>2058</v>
      </c>
      <c r="AW31" s="13">
        <f ca="1">VLOOKUP($B31,'[3]Analisys QBR By Machine Report'!$C$109:$BD$166,44,FALSE)</f>
        <v>0</v>
      </c>
      <c r="AX31" s="13">
        <f ca="1">VLOOKUP($B31,'[3]Analisys QBR By Machine Report'!$C$109:$BD$166,45,FALSE)</f>
        <v>0</v>
      </c>
      <c r="AY31" s="13">
        <f ca="1">VLOOKUP($B31,'[3]Analisys QBR By Machine Report'!$C$109:$BD$166,46,FALSE)</f>
        <v>0</v>
      </c>
      <c r="AZ31" s="13">
        <f ca="1">VLOOKUP($B31,'[3]Analisys QBR By Machine Report'!$C$109:$BD$166,47,FALSE)</f>
        <v>142</v>
      </c>
      <c r="BA31" s="13">
        <f ca="1">VLOOKUP($B31,'[3]Analisys QBR By Machine Report'!$C$109:$BD$166,48,FALSE)</f>
        <v>0</v>
      </c>
      <c r="BB31" s="13">
        <f ca="1">VLOOKUP($B31,'[3]Analisys QBR By Machine Report'!$C$109:$BD$166,49,FALSE)</f>
        <v>0</v>
      </c>
      <c r="BC31" s="13">
        <f ca="1">VLOOKUP($B31,'[3]Analisys QBR By Machine Report'!$C$109:$BD$166,50,FALSE)</f>
        <v>0</v>
      </c>
      <c r="BD31" s="13">
        <f ca="1">VLOOKUP($B31,'[3]Analisys QBR By Machine Report'!$C$109:$BD$166,51,FALSE)</f>
        <v>746320</v>
      </c>
      <c r="BE31" s="13">
        <f ca="1">VLOOKUP($B31,'[3]Analisys QBR By Machine Report'!$C$109:$BD$166,52,FALSE)</f>
        <v>193</v>
      </c>
      <c r="BF31" s="13">
        <f ca="1">VLOOKUP($B31,'[3]Analisys QBR By Machine Report'!$C$109:$BD$166,53,FALSE)</f>
        <v>746127</v>
      </c>
    </row>
    <row r="32" spans="1:58" x14ac:dyDescent="0.25">
      <c r="A32" s="9" t="s">
        <v>88</v>
      </c>
      <c r="B32" s="10">
        <f ca="1">VLOOKUP($B32,'[3]Analisys QBR By Machine Report'!$C$109:$BD$166,2,FALSE)</f>
        <v>89280</v>
      </c>
      <c r="C32" s="11">
        <f ca="1">VLOOKUP($B32,[3]Dasboard_QBR_Report!$B$109:$BL$166,3,FALSE)</f>
        <v>57660</v>
      </c>
      <c r="D32" s="10">
        <f ca="1">VLOOKUP($B32,'[3]Analisys QBR By Machine Report'!$C$109:$BD$166,3,FALSE)</f>
        <v>41513</v>
      </c>
      <c r="E32" s="11">
        <f ca="1">VLOOKUP($B32,[3]Dasboard_QBR_Report!$B$109:$BL$166,5,FALSE)</f>
        <v>9893</v>
      </c>
      <c r="F32" s="10">
        <f t="shared" ca="1" si="0"/>
        <v>47767</v>
      </c>
      <c r="G32" s="10">
        <f t="shared" ca="1" si="1"/>
        <v>5875</v>
      </c>
      <c r="H32" s="10">
        <f ca="1">VLOOKUP($B32,'[3]Analisys QBR By Machine Report'!$C$109:$BD$166,4,FALSE)</f>
        <v>5875</v>
      </c>
      <c r="I32" s="10">
        <f ca="1">VLOOKUP($B32,'[3]Analisys QBR By Machine Report'!$C$109:$BD$166,5,FALSE)</f>
        <v>3931</v>
      </c>
      <c r="J32" s="10">
        <f ca="1">VLOOKUP($B32,'[3]Analisys QBR By Machine Report'!$C$109:$BD$166,6,FALSE)</f>
        <v>1944</v>
      </c>
      <c r="K32" s="10">
        <f ca="1">VLOOKUP($B32,'[3]Analisys QBR By Machine Report'!$C$109:$BD$166,7,FALSE)</f>
        <v>0</v>
      </c>
      <c r="L32" s="10">
        <f ca="1">VLOOKUP($B32,'[3]Analisys QBR By Machine Report'!$C$109:$BD$166,8,FALSE)</f>
        <v>41892</v>
      </c>
      <c r="M32" s="10">
        <f ca="1">VLOOKUP($B32,'[3]Analisys QBR By Machine Report'!$C$109:$BD$166,9,FALSE)</f>
        <v>20542</v>
      </c>
      <c r="N32" s="10">
        <f ca="1">VLOOKUP($B32,[3]Dasboard_QBR_Report!$B$109:$BL$166,18,FALSE)</f>
        <v>21350</v>
      </c>
      <c r="O32" s="10">
        <f ca="1">VLOOKUP($B32,'[3]Analisys QBR By Machine Report'!$C$109:$BD$166,10,FALSE)</f>
        <v>895</v>
      </c>
      <c r="P32" s="10">
        <f ca="1">VLOOKUP($B32,'[3]Analisys QBR By Machine Report'!$C$109:$BD$166,11,FALSE)</f>
        <v>835</v>
      </c>
      <c r="Q32" s="10">
        <f ca="1">VLOOKUP($B32,'[3]Analisys QBR By Machine Report'!$C$109:$BD$166,12,FALSE)</f>
        <v>60</v>
      </c>
      <c r="R32" s="10">
        <f ca="1">VLOOKUP($B32,'[3]Analisys QBR By Machine Report'!$C$109:$BD$166,13,FALSE)</f>
        <v>0</v>
      </c>
      <c r="S32" s="10">
        <f ca="1">VLOOKUP($B32,'[3]Analisys QBR By Machine Report'!$C$109:$BD$166,14,FALSE)</f>
        <v>0</v>
      </c>
      <c r="T32" s="10">
        <f ca="1">VLOOKUP($B32,'[3]Analisys QBR By Machine Report'!$C$109:$BD$166,15,FALSE)</f>
        <v>180</v>
      </c>
      <c r="U32" s="10">
        <f ca="1">VLOOKUP($B32,'[3]Analisys QBR By Machine Report'!$C$109:$BD$166,16,FALSE)</f>
        <v>0</v>
      </c>
      <c r="V32" s="10">
        <f ca="1">VLOOKUP($B32,'[3]Analisys QBR By Machine Report'!$C$109:$BD$166,17,FALSE)</f>
        <v>0</v>
      </c>
      <c r="W32" s="10">
        <f ca="1">VLOOKUP($B32,'[3]Analisys QBR By Machine Report'!$C$109:$BD$166,18,FALSE)</f>
        <v>0</v>
      </c>
      <c r="X32" s="10">
        <f ca="1">VLOOKUP($B32,'[3]Analisys QBR By Machine Report'!$C$109:$BD$166,19,FALSE)</f>
        <v>180</v>
      </c>
      <c r="Y32" s="10">
        <f ca="1">VLOOKUP($B32,'[3]Analisys QBR By Machine Report'!$C$109:$BD$166,20,FALSE)</f>
        <v>0</v>
      </c>
      <c r="Z32" s="10">
        <f ca="1">VLOOKUP($B32,'[3]Analisys QBR By Machine Report'!$C$109:$BD$166,21,FALSE)</f>
        <v>10093</v>
      </c>
      <c r="AA32" s="10">
        <f ca="1">VLOOKUP($B32,'[3]Analisys QBR By Machine Report'!$C$109:$BD$166,22,FALSE)</f>
        <v>8534</v>
      </c>
      <c r="AB32" s="10">
        <f ca="1">VLOOKUP($B32,'[3]Analisys QBR By Machine Report'!$C$109:$BD$166,23,FALSE)</f>
        <v>1034</v>
      </c>
      <c r="AC32" s="10">
        <f ca="1">VLOOKUP($B32,'[3]Analisys QBR By Machine Report'!$C$109:$BD$166,24,FALSE)</f>
        <v>50</v>
      </c>
      <c r="AD32" s="10">
        <f ca="1">VLOOKUP($B32,'[3]Analisys QBR By Machine Report'!$C$109:$BD$166,25,FALSE)</f>
        <v>0</v>
      </c>
      <c r="AE32" s="10">
        <f ca="1">VLOOKUP($B32,'[3]Analisys QBR By Machine Report'!$C$109:$BD$166,26,FALSE)</f>
        <v>475</v>
      </c>
      <c r="AF32" s="10">
        <f ca="1">VLOOKUP($B32,'[3]Analisys QBR By Machine Report'!$C$109:$BD$166,27,FALSE)</f>
        <v>0</v>
      </c>
      <c r="AG32" s="10">
        <f ca="1">VLOOKUP($B32,'[3]Analisys QBR By Machine Report'!$C$109:$BD$166,28,FALSE)</f>
        <v>0</v>
      </c>
      <c r="AH32" s="10">
        <f ca="1">VLOOKUP($B32,'[3]Analisys QBR By Machine Report'!$C$109:$BD$166,29,FALSE)</f>
        <v>0</v>
      </c>
      <c r="AI32" s="10">
        <f ca="1">VLOOKUP($B32,'[3]Analisys QBR By Machine Report'!$C$109:$BD$166,30,FALSE)</f>
        <v>10182</v>
      </c>
      <c r="AJ32" s="10">
        <f ca="1">VLOOKUP($B32,'[3]Analisys QBR By Machine Report'!$C$109:$BD$166,31,FALSE)</f>
        <v>0</v>
      </c>
      <c r="AK32" s="10">
        <f ca="1">VLOOKUP($B32,'[3]Analisys QBR By Machine Report'!$C$109:$BD$166,32,FALSE)</f>
        <v>0</v>
      </c>
      <c r="AL32" s="10">
        <f ca="1">VLOOKUP($B32,'[3]Analisys QBR By Machine Report'!$C$109:$BD$166,33,FALSE)</f>
        <v>622</v>
      </c>
      <c r="AM32" s="10">
        <f ca="1">VLOOKUP($B32,'[3]Analisys QBR By Machine Report'!$C$109:$BD$166,34,FALSE)</f>
        <v>20</v>
      </c>
      <c r="AN32" s="10">
        <f ca="1">VLOOKUP($B32,'[3]Analisys QBR By Machine Report'!$C$109:$BD$166,35,FALSE)</f>
        <v>447</v>
      </c>
      <c r="AO32" s="10">
        <f ca="1">VLOOKUP($B32,'[3]Analisys QBR By Machine Report'!$C$109:$BD$166,36,FALSE)</f>
        <v>2088</v>
      </c>
      <c r="AP32" s="10">
        <f ca="1">VLOOKUP($B32,'[3]Analisys QBR By Machine Report'!$C$109:$BD$166,37,FALSE)</f>
        <v>0</v>
      </c>
      <c r="AQ32" s="10">
        <f ca="1">VLOOKUP($B32,'[3]Analisys QBR By Machine Report'!$C$109:$BD$166,38,FALSE)</f>
        <v>0</v>
      </c>
      <c r="AR32" s="10">
        <f ca="1">VLOOKUP($B32,'[3]Analisys QBR By Machine Report'!$C$109:$BD$166,39,FALSE)</f>
        <v>6769</v>
      </c>
      <c r="AS32" s="10">
        <f ca="1">VLOOKUP($B32,'[3]Analisys QBR By Machine Report'!$C$109:$BD$166,40,FALSE)</f>
        <v>236</v>
      </c>
      <c r="AT32" s="10">
        <f ca="1">VLOOKUP($B32,'[3]Analisys QBR By Machine Report'!$C$109:$BD$166,41,FALSE)</f>
        <v>0</v>
      </c>
      <c r="AU32" s="10">
        <f ca="1">VLOOKUP($B32,'[3]Analisys QBR By Machine Report'!$C$109:$BD$166,42,FALSE)</f>
        <v>0</v>
      </c>
      <c r="AV32" s="10">
        <f ca="1">VLOOKUP($B32,'[3]Analisys QBR By Machine Report'!$C$109:$BD$166,43,FALSE)</f>
        <v>0</v>
      </c>
      <c r="AW32" s="10">
        <f ca="1">VLOOKUP($B32,'[3]Analisys QBR By Machine Report'!$C$109:$BD$166,44,FALSE)</f>
        <v>0</v>
      </c>
      <c r="AX32" s="10">
        <f ca="1">VLOOKUP($B32,'[3]Analisys QBR By Machine Report'!$C$109:$BD$166,45,FALSE)</f>
        <v>0</v>
      </c>
      <c r="AY32" s="10">
        <f ca="1">VLOOKUP($B32,'[3]Analisys QBR By Machine Report'!$C$109:$BD$166,46,FALSE)</f>
        <v>0</v>
      </c>
      <c r="AZ32" s="10">
        <f ca="1">VLOOKUP($B32,'[3]Analisys QBR By Machine Report'!$C$109:$BD$166,47,FALSE)</f>
        <v>0</v>
      </c>
      <c r="BA32" s="10">
        <f ca="1">VLOOKUP($B32,'[3]Analisys QBR By Machine Report'!$C$109:$BD$166,48,FALSE)</f>
        <v>0</v>
      </c>
      <c r="BB32" s="10">
        <f ca="1">VLOOKUP($B32,'[3]Analisys QBR By Machine Report'!$C$109:$BD$166,49,FALSE)</f>
        <v>0</v>
      </c>
      <c r="BC32" s="10">
        <f ca="1">VLOOKUP($B32,'[3]Analisys QBR By Machine Report'!$C$109:$BD$166,50,FALSE)</f>
        <v>0</v>
      </c>
      <c r="BD32" s="10">
        <f ca="1">VLOOKUP($B32,'[3]Analisys QBR By Machine Report'!$C$109:$BD$166,51,FALSE)</f>
        <v>1589</v>
      </c>
      <c r="BE32" s="10">
        <f ca="1">VLOOKUP($B32,'[3]Analisys QBR By Machine Report'!$C$109:$BD$166,52,FALSE)</f>
        <v>0</v>
      </c>
      <c r="BF32" s="10">
        <f ca="1">VLOOKUP($B32,'[3]Analisys QBR By Machine Report'!$C$109:$BD$166,53,FALSE)</f>
        <v>1589</v>
      </c>
    </row>
    <row r="33" spans="1:58" x14ac:dyDescent="0.25">
      <c r="A33" s="12" t="s">
        <v>89</v>
      </c>
      <c r="B33" s="13">
        <f ca="1">VLOOKUP($B33,'[3]Analisys QBR By Machine Report'!$C$109:$BD$166,2,FALSE)</f>
        <v>30240</v>
      </c>
      <c r="C33" s="14">
        <f ca="1">VLOOKUP($B33,[3]Dasboard_QBR_Report!$B$109:$BL$166,3,FALSE)</f>
        <v>19530</v>
      </c>
      <c r="D33" s="13">
        <f ca="1">VLOOKUP($B33,'[3]Analisys QBR By Machine Report'!$C$109:$BD$166,3,FALSE)</f>
        <v>10440</v>
      </c>
      <c r="E33" s="14">
        <f ca="1">VLOOKUP($B33,[3]Dasboard_QBR_Report!$B$109:$BL$166,5,FALSE)</f>
        <v>-270</v>
      </c>
      <c r="F33" s="13">
        <f t="shared" ca="1" si="0"/>
        <v>19800</v>
      </c>
      <c r="G33" s="13">
        <f t="shared" ca="1" si="1"/>
        <v>4001</v>
      </c>
      <c r="H33" s="13">
        <f ca="1">VLOOKUP($B33,'[3]Analisys QBR By Machine Report'!$C$109:$BD$166,4,FALSE)</f>
        <v>4001</v>
      </c>
      <c r="I33" s="13">
        <f ca="1">VLOOKUP($B33,'[3]Analisys QBR By Machine Report'!$C$109:$BD$166,5,FALSE)</f>
        <v>3486</v>
      </c>
      <c r="J33" s="13">
        <f ca="1">VLOOKUP($B33,'[3]Analisys QBR By Machine Report'!$C$109:$BD$166,6,FALSE)</f>
        <v>515</v>
      </c>
      <c r="K33" s="13">
        <f ca="1">VLOOKUP($B33,'[3]Analisys QBR By Machine Report'!$C$109:$BD$166,7,FALSE)</f>
        <v>0</v>
      </c>
      <c r="L33" s="13">
        <f ca="1">VLOOKUP($B33,'[3]Analisys QBR By Machine Report'!$C$109:$BD$166,8,FALSE)</f>
        <v>15799</v>
      </c>
      <c r="M33" s="13">
        <f ca="1">VLOOKUP($B33,'[3]Analisys QBR By Machine Report'!$C$109:$BD$166,9,FALSE)</f>
        <v>6619</v>
      </c>
      <c r="N33" s="13">
        <f ca="1">VLOOKUP($B33,[3]Dasboard_QBR_Report!$B$109:$BL$166,18,FALSE)</f>
        <v>9180</v>
      </c>
      <c r="O33" s="13">
        <f ca="1">VLOOKUP($B33,'[3]Analisys QBR By Machine Report'!$C$109:$BD$166,10,FALSE)</f>
        <v>190</v>
      </c>
      <c r="P33" s="13">
        <f ca="1">VLOOKUP($B33,'[3]Analisys QBR By Machine Report'!$C$109:$BD$166,11,FALSE)</f>
        <v>190</v>
      </c>
      <c r="Q33" s="13">
        <f ca="1">VLOOKUP($B33,'[3]Analisys QBR By Machine Report'!$C$109:$BD$166,12,FALSE)</f>
        <v>0</v>
      </c>
      <c r="R33" s="13">
        <f ca="1">VLOOKUP($B33,'[3]Analisys QBR By Machine Report'!$C$109:$BD$166,13,FALSE)</f>
        <v>0</v>
      </c>
      <c r="S33" s="13">
        <f ca="1">VLOOKUP($B33,'[3]Analisys QBR By Machine Report'!$C$109:$BD$166,14,FALSE)</f>
        <v>0</v>
      </c>
      <c r="T33" s="13">
        <f ca="1">VLOOKUP($B33,'[3]Analisys QBR By Machine Report'!$C$109:$BD$166,15,FALSE)</f>
        <v>90</v>
      </c>
      <c r="U33" s="13">
        <f ca="1">VLOOKUP($B33,'[3]Analisys QBR By Machine Report'!$C$109:$BD$166,16,FALSE)</f>
        <v>0</v>
      </c>
      <c r="V33" s="13">
        <f ca="1">VLOOKUP($B33,'[3]Analisys QBR By Machine Report'!$C$109:$BD$166,17,FALSE)</f>
        <v>0</v>
      </c>
      <c r="W33" s="13">
        <f ca="1">VLOOKUP($B33,'[3]Analisys QBR By Machine Report'!$C$109:$BD$166,18,FALSE)</f>
        <v>0</v>
      </c>
      <c r="X33" s="13">
        <f ca="1">VLOOKUP($B33,'[3]Analisys QBR By Machine Report'!$C$109:$BD$166,19,FALSE)</f>
        <v>90</v>
      </c>
      <c r="Y33" s="13">
        <f ca="1">VLOOKUP($B33,'[3]Analisys QBR By Machine Report'!$C$109:$BD$166,20,FALSE)</f>
        <v>0</v>
      </c>
      <c r="Z33" s="13">
        <f ca="1">VLOOKUP($B33,'[3]Analisys QBR By Machine Report'!$C$109:$BD$166,21,FALSE)</f>
        <v>2961</v>
      </c>
      <c r="AA33" s="13">
        <f ca="1">VLOOKUP($B33,'[3]Analisys QBR By Machine Report'!$C$109:$BD$166,22,FALSE)</f>
        <v>2042</v>
      </c>
      <c r="AB33" s="13">
        <f ca="1">VLOOKUP($B33,'[3]Analisys QBR By Machine Report'!$C$109:$BD$166,23,FALSE)</f>
        <v>669</v>
      </c>
      <c r="AC33" s="13">
        <f ca="1">VLOOKUP($B33,'[3]Analisys QBR By Machine Report'!$C$109:$BD$166,24,FALSE)</f>
        <v>0</v>
      </c>
      <c r="AD33" s="13">
        <f ca="1">VLOOKUP($B33,'[3]Analisys QBR By Machine Report'!$C$109:$BD$166,25,FALSE)</f>
        <v>0</v>
      </c>
      <c r="AE33" s="13">
        <f ca="1">VLOOKUP($B33,'[3]Analisys QBR By Machine Report'!$C$109:$BD$166,26,FALSE)</f>
        <v>250</v>
      </c>
      <c r="AF33" s="13">
        <f ca="1">VLOOKUP($B33,'[3]Analisys QBR By Machine Report'!$C$109:$BD$166,27,FALSE)</f>
        <v>0</v>
      </c>
      <c r="AG33" s="13">
        <f ca="1">VLOOKUP($B33,'[3]Analisys QBR By Machine Report'!$C$109:$BD$166,28,FALSE)</f>
        <v>0</v>
      </c>
      <c r="AH33" s="13">
        <f ca="1">VLOOKUP($B33,'[3]Analisys QBR By Machine Report'!$C$109:$BD$166,29,FALSE)</f>
        <v>0</v>
      </c>
      <c r="AI33" s="13">
        <f ca="1">VLOOKUP($B33,'[3]Analisys QBR By Machine Report'!$C$109:$BD$166,30,FALSE)</f>
        <v>5939</v>
      </c>
      <c r="AJ33" s="13">
        <f ca="1">VLOOKUP($B33,'[3]Analisys QBR By Machine Report'!$C$109:$BD$166,31,FALSE)</f>
        <v>0</v>
      </c>
      <c r="AK33" s="13">
        <f ca="1">VLOOKUP($B33,'[3]Analisys QBR By Machine Report'!$C$109:$BD$166,32,FALSE)</f>
        <v>0</v>
      </c>
      <c r="AL33" s="13">
        <f ca="1">VLOOKUP($B33,'[3]Analisys QBR By Machine Report'!$C$109:$BD$166,33,FALSE)</f>
        <v>273</v>
      </c>
      <c r="AM33" s="13">
        <f ca="1">VLOOKUP($B33,'[3]Analisys QBR By Machine Report'!$C$109:$BD$166,34,FALSE)</f>
        <v>0</v>
      </c>
      <c r="AN33" s="13">
        <f ca="1">VLOOKUP($B33,'[3]Analisys QBR By Machine Report'!$C$109:$BD$166,35,FALSE)</f>
        <v>90</v>
      </c>
      <c r="AO33" s="13">
        <f ca="1">VLOOKUP($B33,'[3]Analisys QBR By Machine Report'!$C$109:$BD$166,36,FALSE)</f>
        <v>0</v>
      </c>
      <c r="AP33" s="13">
        <f ca="1">VLOOKUP($B33,'[3]Analisys QBR By Machine Report'!$C$109:$BD$166,37,FALSE)</f>
        <v>0</v>
      </c>
      <c r="AQ33" s="13">
        <f ca="1">VLOOKUP($B33,'[3]Analisys QBR By Machine Report'!$C$109:$BD$166,38,FALSE)</f>
        <v>0</v>
      </c>
      <c r="AR33" s="13">
        <f ca="1">VLOOKUP($B33,'[3]Analisys QBR By Machine Report'!$C$109:$BD$166,39,FALSE)</f>
        <v>5576</v>
      </c>
      <c r="AS33" s="13">
        <f ca="1">VLOOKUP($B33,'[3]Analisys QBR By Machine Report'!$C$109:$BD$166,40,FALSE)</f>
        <v>0</v>
      </c>
      <c r="AT33" s="13">
        <f ca="1">VLOOKUP($B33,'[3]Analisys QBR By Machine Report'!$C$109:$BD$166,41,FALSE)</f>
        <v>0</v>
      </c>
      <c r="AU33" s="13">
        <f ca="1">VLOOKUP($B33,'[3]Analisys QBR By Machine Report'!$C$109:$BD$166,42,FALSE)</f>
        <v>0</v>
      </c>
      <c r="AV33" s="13">
        <f ca="1">VLOOKUP($B33,'[3]Analisys QBR By Machine Report'!$C$109:$BD$166,43,FALSE)</f>
        <v>0</v>
      </c>
      <c r="AW33" s="13">
        <f ca="1">VLOOKUP($B33,'[3]Analisys QBR By Machine Report'!$C$109:$BD$166,44,FALSE)</f>
        <v>0</v>
      </c>
      <c r="AX33" s="13">
        <f ca="1">VLOOKUP($B33,'[3]Analisys QBR By Machine Report'!$C$109:$BD$166,45,FALSE)</f>
        <v>0</v>
      </c>
      <c r="AY33" s="13">
        <f ca="1">VLOOKUP($B33,'[3]Analisys QBR By Machine Report'!$C$109:$BD$166,46,FALSE)</f>
        <v>0</v>
      </c>
      <c r="AZ33" s="13">
        <f ca="1">VLOOKUP($B33,'[3]Analisys QBR By Machine Report'!$C$109:$BD$166,47,FALSE)</f>
        <v>0</v>
      </c>
      <c r="BA33" s="13">
        <f ca="1">VLOOKUP($B33,'[3]Analisys QBR By Machine Report'!$C$109:$BD$166,48,FALSE)</f>
        <v>0</v>
      </c>
      <c r="BB33" s="13">
        <f ca="1">VLOOKUP($B33,'[3]Analisys QBR By Machine Report'!$C$109:$BD$166,49,FALSE)</f>
        <v>0</v>
      </c>
      <c r="BC33" s="13">
        <f ca="1">VLOOKUP($B33,'[3]Analisys QBR By Machine Report'!$C$109:$BD$166,50,FALSE)</f>
        <v>0</v>
      </c>
      <c r="BD33" s="13">
        <f ca="1">VLOOKUP($B33,'[3]Analisys QBR By Machine Report'!$C$109:$BD$166,51,FALSE)</f>
        <v>646</v>
      </c>
      <c r="BE33" s="13">
        <f ca="1">VLOOKUP($B33,'[3]Analisys QBR By Machine Report'!$C$109:$BD$166,52,FALSE)</f>
        <v>0</v>
      </c>
      <c r="BF33" s="13">
        <f ca="1">VLOOKUP($B33,'[3]Analisys QBR By Machine Report'!$C$109:$BD$166,53,FALSE)</f>
        <v>646</v>
      </c>
    </row>
    <row r="34" spans="1:58" x14ac:dyDescent="0.25">
      <c r="A34" s="12" t="s">
        <v>90</v>
      </c>
      <c r="B34" s="13">
        <f ca="1">VLOOKUP($B34,'[3]Analisys QBR By Machine Report'!$C$109:$BD$166,2,FALSE)</f>
        <v>30240</v>
      </c>
      <c r="C34" s="14">
        <f ca="1">VLOOKUP($B34,[3]Dasboard_QBR_Report!$B$109:$BL$166,3,FALSE)</f>
        <v>19530</v>
      </c>
      <c r="D34" s="13">
        <f ca="1">VLOOKUP($B34,'[3]Analisys QBR By Machine Report'!$C$109:$BD$166,3,FALSE)</f>
        <v>10403</v>
      </c>
      <c r="E34" s="14">
        <f ca="1">VLOOKUP($B34,[3]Dasboard_QBR_Report!$B$109:$BL$166,5,FALSE)</f>
        <v>-307</v>
      </c>
      <c r="F34" s="13">
        <f t="shared" ca="1" si="0"/>
        <v>19837</v>
      </c>
      <c r="G34" s="13">
        <f t="shared" ca="1" si="1"/>
        <v>1107</v>
      </c>
      <c r="H34" s="13">
        <f ca="1">VLOOKUP($B34,'[3]Analisys QBR By Machine Report'!$C$109:$BD$166,4,FALSE)</f>
        <v>1107</v>
      </c>
      <c r="I34" s="13">
        <f ca="1">VLOOKUP($B34,'[3]Analisys QBR By Machine Report'!$C$109:$BD$166,5,FALSE)</f>
        <v>438</v>
      </c>
      <c r="J34" s="13">
        <f ca="1">VLOOKUP($B34,'[3]Analisys QBR By Machine Report'!$C$109:$BD$166,6,FALSE)</f>
        <v>669</v>
      </c>
      <c r="K34" s="13">
        <f ca="1">VLOOKUP($B34,'[3]Analisys QBR By Machine Report'!$C$109:$BD$166,7,FALSE)</f>
        <v>0</v>
      </c>
      <c r="L34" s="13">
        <f ca="1">VLOOKUP($B34,'[3]Analisys QBR By Machine Report'!$C$109:$BD$166,8,FALSE)</f>
        <v>18730</v>
      </c>
      <c r="M34" s="13">
        <f ca="1">VLOOKUP($B34,'[3]Analisys QBR By Machine Report'!$C$109:$BD$166,9,FALSE)</f>
        <v>12982</v>
      </c>
      <c r="N34" s="13">
        <f ca="1">VLOOKUP($B34,[3]Dasboard_QBR_Report!$B$109:$BL$166,18,FALSE)</f>
        <v>5748</v>
      </c>
      <c r="O34" s="13">
        <f ca="1">VLOOKUP($B34,'[3]Analisys QBR By Machine Report'!$C$109:$BD$166,10,FALSE)</f>
        <v>100</v>
      </c>
      <c r="P34" s="13">
        <f ca="1">VLOOKUP($B34,'[3]Analisys QBR By Machine Report'!$C$109:$BD$166,11,FALSE)</f>
        <v>100</v>
      </c>
      <c r="Q34" s="13">
        <f ca="1">VLOOKUP($B34,'[3]Analisys QBR By Machine Report'!$C$109:$BD$166,12,FALSE)</f>
        <v>0</v>
      </c>
      <c r="R34" s="13">
        <f ca="1">VLOOKUP($B34,'[3]Analisys QBR By Machine Report'!$C$109:$BD$166,13,FALSE)</f>
        <v>0</v>
      </c>
      <c r="S34" s="13">
        <f ca="1">VLOOKUP($B34,'[3]Analisys QBR By Machine Report'!$C$109:$BD$166,14,FALSE)</f>
        <v>0</v>
      </c>
      <c r="T34" s="13">
        <f ca="1">VLOOKUP($B34,'[3]Analisys QBR By Machine Report'!$C$109:$BD$166,15,FALSE)</f>
        <v>90</v>
      </c>
      <c r="U34" s="13">
        <f ca="1">VLOOKUP($B34,'[3]Analisys QBR By Machine Report'!$C$109:$BD$166,16,FALSE)</f>
        <v>0</v>
      </c>
      <c r="V34" s="13">
        <f ca="1">VLOOKUP($B34,'[3]Analisys QBR By Machine Report'!$C$109:$BD$166,17,FALSE)</f>
        <v>0</v>
      </c>
      <c r="W34" s="13">
        <f ca="1">VLOOKUP($B34,'[3]Analisys QBR By Machine Report'!$C$109:$BD$166,18,FALSE)</f>
        <v>0</v>
      </c>
      <c r="X34" s="13">
        <f ca="1">VLOOKUP($B34,'[3]Analisys QBR By Machine Report'!$C$109:$BD$166,19,FALSE)</f>
        <v>90</v>
      </c>
      <c r="Y34" s="13">
        <f ca="1">VLOOKUP($B34,'[3]Analisys QBR By Machine Report'!$C$109:$BD$166,20,FALSE)</f>
        <v>0</v>
      </c>
      <c r="Z34" s="13">
        <f ca="1">VLOOKUP($B34,'[3]Analisys QBR By Machine Report'!$C$109:$BD$166,21,FALSE)</f>
        <v>5413</v>
      </c>
      <c r="AA34" s="13">
        <f ca="1">VLOOKUP($B34,'[3]Analisys QBR By Machine Report'!$C$109:$BD$166,22,FALSE)</f>
        <v>5218</v>
      </c>
      <c r="AB34" s="13">
        <f ca="1">VLOOKUP($B34,'[3]Analisys QBR By Machine Report'!$C$109:$BD$166,23,FALSE)</f>
        <v>195</v>
      </c>
      <c r="AC34" s="13">
        <f ca="1">VLOOKUP($B34,'[3]Analisys QBR By Machine Report'!$C$109:$BD$166,24,FALSE)</f>
        <v>0</v>
      </c>
      <c r="AD34" s="13">
        <f ca="1">VLOOKUP($B34,'[3]Analisys QBR By Machine Report'!$C$109:$BD$166,25,FALSE)</f>
        <v>0</v>
      </c>
      <c r="AE34" s="13">
        <f ca="1">VLOOKUP($B34,'[3]Analisys QBR By Machine Report'!$C$109:$BD$166,26,FALSE)</f>
        <v>0</v>
      </c>
      <c r="AF34" s="13">
        <f ca="1">VLOOKUP($B34,'[3]Analisys QBR By Machine Report'!$C$109:$BD$166,27,FALSE)</f>
        <v>0</v>
      </c>
      <c r="AG34" s="13">
        <f ca="1">VLOOKUP($B34,'[3]Analisys QBR By Machine Report'!$C$109:$BD$166,28,FALSE)</f>
        <v>0</v>
      </c>
      <c r="AH34" s="13">
        <f ca="1">VLOOKUP($B34,'[3]Analisys QBR By Machine Report'!$C$109:$BD$166,29,FALSE)</f>
        <v>0</v>
      </c>
      <c r="AI34" s="13">
        <f ca="1">VLOOKUP($B34,'[3]Analisys QBR By Machine Report'!$C$109:$BD$166,30,FALSE)</f>
        <v>145</v>
      </c>
      <c r="AJ34" s="13">
        <f ca="1">VLOOKUP($B34,'[3]Analisys QBR By Machine Report'!$C$109:$BD$166,31,FALSE)</f>
        <v>0</v>
      </c>
      <c r="AK34" s="13">
        <f ca="1">VLOOKUP($B34,'[3]Analisys QBR By Machine Report'!$C$109:$BD$166,32,FALSE)</f>
        <v>0</v>
      </c>
      <c r="AL34" s="13">
        <f ca="1">VLOOKUP($B34,'[3]Analisys QBR By Machine Report'!$C$109:$BD$166,33,FALSE)</f>
        <v>70</v>
      </c>
      <c r="AM34" s="13">
        <f ca="1">VLOOKUP($B34,'[3]Analisys QBR By Machine Report'!$C$109:$BD$166,34,FALSE)</f>
        <v>0</v>
      </c>
      <c r="AN34" s="13">
        <f ca="1">VLOOKUP($B34,'[3]Analisys QBR By Machine Report'!$C$109:$BD$166,35,FALSE)</f>
        <v>62</v>
      </c>
      <c r="AO34" s="13">
        <f ca="1">VLOOKUP($B34,'[3]Analisys QBR By Machine Report'!$C$109:$BD$166,36,FALSE)</f>
        <v>0</v>
      </c>
      <c r="AP34" s="13">
        <f ca="1">VLOOKUP($B34,'[3]Analisys QBR By Machine Report'!$C$109:$BD$166,37,FALSE)</f>
        <v>0</v>
      </c>
      <c r="AQ34" s="13">
        <f ca="1">VLOOKUP($B34,'[3]Analisys QBR By Machine Report'!$C$109:$BD$166,38,FALSE)</f>
        <v>0</v>
      </c>
      <c r="AR34" s="13">
        <f ca="1">VLOOKUP($B34,'[3]Analisys QBR By Machine Report'!$C$109:$BD$166,39,FALSE)</f>
        <v>0</v>
      </c>
      <c r="AS34" s="13">
        <f ca="1">VLOOKUP($B34,'[3]Analisys QBR By Machine Report'!$C$109:$BD$166,40,FALSE)</f>
        <v>13</v>
      </c>
      <c r="AT34" s="13">
        <f ca="1">VLOOKUP($B34,'[3]Analisys QBR By Machine Report'!$C$109:$BD$166,41,FALSE)</f>
        <v>0</v>
      </c>
      <c r="AU34" s="13">
        <f ca="1">VLOOKUP($B34,'[3]Analisys QBR By Machine Report'!$C$109:$BD$166,42,FALSE)</f>
        <v>0</v>
      </c>
      <c r="AV34" s="13">
        <f ca="1">VLOOKUP($B34,'[3]Analisys QBR By Machine Report'!$C$109:$BD$166,43,FALSE)</f>
        <v>0</v>
      </c>
      <c r="AW34" s="13">
        <f ca="1">VLOOKUP($B34,'[3]Analisys QBR By Machine Report'!$C$109:$BD$166,44,FALSE)</f>
        <v>0</v>
      </c>
      <c r="AX34" s="13">
        <f ca="1">VLOOKUP($B34,'[3]Analisys QBR By Machine Report'!$C$109:$BD$166,45,FALSE)</f>
        <v>0</v>
      </c>
      <c r="AY34" s="13">
        <f ca="1">VLOOKUP($B34,'[3]Analisys QBR By Machine Report'!$C$109:$BD$166,46,FALSE)</f>
        <v>0</v>
      </c>
      <c r="AZ34" s="13">
        <f ca="1">VLOOKUP($B34,'[3]Analisys QBR By Machine Report'!$C$109:$BD$166,47,FALSE)</f>
        <v>0</v>
      </c>
      <c r="BA34" s="13">
        <f ca="1">VLOOKUP($B34,'[3]Analisys QBR By Machine Report'!$C$109:$BD$166,48,FALSE)</f>
        <v>0</v>
      </c>
      <c r="BB34" s="13">
        <f ca="1">VLOOKUP($B34,'[3]Analisys QBR By Machine Report'!$C$109:$BD$166,49,FALSE)</f>
        <v>0</v>
      </c>
      <c r="BC34" s="13">
        <f ca="1">VLOOKUP($B34,'[3]Analisys QBR By Machine Report'!$C$109:$BD$166,50,FALSE)</f>
        <v>0</v>
      </c>
      <c r="BD34" s="13">
        <f ca="1">VLOOKUP($B34,'[3]Analisys QBR By Machine Report'!$C$109:$BD$166,51,FALSE)</f>
        <v>923</v>
      </c>
      <c r="BE34" s="13">
        <f ca="1">VLOOKUP($B34,'[3]Analisys QBR By Machine Report'!$C$109:$BD$166,52,FALSE)</f>
        <v>0</v>
      </c>
      <c r="BF34" s="13">
        <f ca="1">VLOOKUP($B34,'[3]Analisys QBR By Machine Report'!$C$109:$BD$166,53,FALSE)</f>
        <v>923</v>
      </c>
    </row>
    <row r="35" spans="1:58" x14ac:dyDescent="0.25">
      <c r="A35" s="12" t="s">
        <v>91</v>
      </c>
      <c r="B35" s="13">
        <f ca="1">VLOOKUP($B35,'[3]Analisys QBR By Machine Report'!$C$109:$BD$166,2,FALSE)</f>
        <v>28800</v>
      </c>
      <c r="C35" s="14">
        <f ca="1">VLOOKUP($B35,[3]Dasboard_QBR_Report!$B$109:$BL$166,3,FALSE)</f>
        <v>18600</v>
      </c>
      <c r="D35" s="13">
        <f ca="1">VLOOKUP($B35,'[3]Analisys QBR By Machine Report'!$C$109:$BD$166,3,FALSE)</f>
        <v>20670</v>
      </c>
      <c r="E35" s="14">
        <f ca="1">VLOOKUP($B35,[3]Dasboard_QBR_Report!$B$109:$BL$166,5,FALSE)</f>
        <v>10470</v>
      </c>
      <c r="F35" s="13">
        <f t="shared" ca="1" si="0"/>
        <v>8130</v>
      </c>
      <c r="G35" s="13">
        <f t="shared" ca="1" si="1"/>
        <v>767</v>
      </c>
      <c r="H35" s="13">
        <f ca="1">VLOOKUP($B35,'[3]Analisys QBR By Machine Report'!$C$109:$BD$166,4,FALSE)</f>
        <v>767</v>
      </c>
      <c r="I35" s="13">
        <f ca="1">VLOOKUP($B35,'[3]Analisys QBR By Machine Report'!$C$109:$BD$166,5,FALSE)</f>
        <v>7</v>
      </c>
      <c r="J35" s="13">
        <f ca="1">VLOOKUP($B35,'[3]Analisys QBR By Machine Report'!$C$109:$BD$166,6,FALSE)</f>
        <v>760</v>
      </c>
      <c r="K35" s="13">
        <f ca="1">VLOOKUP($B35,'[3]Analisys QBR By Machine Report'!$C$109:$BD$166,7,FALSE)</f>
        <v>0</v>
      </c>
      <c r="L35" s="13">
        <f ca="1">VLOOKUP($B35,'[3]Analisys QBR By Machine Report'!$C$109:$BD$166,8,FALSE)</f>
        <v>7363</v>
      </c>
      <c r="M35" s="13">
        <f ca="1">VLOOKUP($B35,'[3]Analisys QBR By Machine Report'!$C$109:$BD$166,9,FALSE)</f>
        <v>941</v>
      </c>
      <c r="N35" s="13">
        <f ca="1">VLOOKUP($B35,[3]Dasboard_QBR_Report!$B$109:$BL$166,18,FALSE)</f>
        <v>6422</v>
      </c>
      <c r="O35" s="13">
        <f ca="1">VLOOKUP($B35,'[3]Analisys QBR By Machine Report'!$C$109:$BD$166,10,FALSE)</f>
        <v>605</v>
      </c>
      <c r="P35" s="13">
        <f ca="1">VLOOKUP($B35,'[3]Analisys QBR By Machine Report'!$C$109:$BD$166,11,FALSE)</f>
        <v>545</v>
      </c>
      <c r="Q35" s="13">
        <f ca="1">VLOOKUP($B35,'[3]Analisys QBR By Machine Report'!$C$109:$BD$166,12,FALSE)</f>
        <v>60</v>
      </c>
      <c r="R35" s="13">
        <f ca="1">VLOOKUP($B35,'[3]Analisys QBR By Machine Report'!$C$109:$BD$166,13,FALSE)</f>
        <v>0</v>
      </c>
      <c r="S35" s="13">
        <f ca="1">VLOOKUP($B35,'[3]Analisys QBR By Machine Report'!$C$109:$BD$166,14,FALSE)</f>
        <v>0</v>
      </c>
      <c r="T35" s="13">
        <f ca="1">VLOOKUP($B35,'[3]Analisys QBR By Machine Report'!$C$109:$BD$166,15,FALSE)</f>
        <v>0</v>
      </c>
      <c r="U35" s="13">
        <f ca="1">VLOOKUP($B35,'[3]Analisys QBR By Machine Report'!$C$109:$BD$166,16,FALSE)</f>
        <v>0</v>
      </c>
      <c r="V35" s="13">
        <f ca="1">VLOOKUP($B35,'[3]Analisys QBR By Machine Report'!$C$109:$BD$166,17,FALSE)</f>
        <v>0</v>
      </c>
      <c r="W35" s="13">
        <f ca="1">VLOOKUP($B35,'[3]Analisys QBR By Machine Report'!$C$109:$BD$166,18,FALSE)</f>
        <v>0</v>
      </c>
      <c r="X35" s="13">
        <f ca="1">VLOOKUP($B35,'[3]Analisys QBR By Machine Report'!$C$109:$BD$166,19,FALSE)</f>
        <v>0</v>
      </c>
      <c r="Y35" s="13">
        <f ca="1">VLOOKUP($B35,'[3]Analisys QBR By Machine Report'!$C$109:$BD$166,20,FALSE)</f>
        <v>0</v>
      </c>
      <c r="Z35" s="13">
        <f ca="1">VLOOKUP($B35,'[3]Analisys QBR By Machine Report'!$C$109:$BD$166,21,FALSE)</f>
        <v>1719</v>
      </c>
      <c r="AA35" s="13">
        <f ca="1">VLOOKUP($B35,'[3]Analisys QBR By Machine Report'!$C$109:$BD$166,22,FALSE)</f>
        <v>1274</v>
      </c>
      <c r="AB35" s="13">
        <f ca="1">VLOOKUP($B35,'[3]Analisys QBR By Machine Report'!$C$109:$BD$166,23,FALSE)</f>
        <v>170</v>
      </c>
      <c r="AC35" s="13">
        <f ca="1">VLOOKUP($B35,'[3]Analisys QBR By Machine Report'!$C$109:$BD$166,24,FALSE)</f>
        <v>50</v>
      </c>
      <c r="AD35" s="13">
        <f ca="1">VLOOKUP($B35,'[3]Analisys QBR By Machine Report'!$C$109:$BD$166,25,FALSE)</f>
        <v>0</v>
      </c>
      <c r="AE35" s="13">
        <f ca="1">VLOOKUP($B35,'[3]Analisys QBR By Machine Report'!$C$109:$BD$166,26,FALSE)</f>
        <v>225</v>
      </c>
      <c r="AF35" s="13">
        <f ca="1">VLOOKUP($B35,'[3]Analisys QBR By Machine Report'!$C$109:$BD$166,27,FALSE)</f>
        <v>0</v>
      </c>
      <c r="AG35" s="13">
        <f ca="1">VLOOKUP($B35,'[3]Analisys QBR By Machine Report'!$C$109:$BD$166,28,FALSE)</f>
        <v>0</v>
      </c>
      <c r="AH35" s="13">
        <f ca="1">VLOOKUP($B35,'[3]Analisys QBR By Machine Report'!$C$109:$BD$166,29,FALSE)</f>
        <v>0</v>
      </c>
      <c r="AI35" s="13">
        <f ca="1">VLOOKUP($B35,'[3]Analisys QBR By Machine Report'!$C$109:$BD$166,30,FALSE)</f>
        <v>4098</v>
      </c>
      <c r="AJ35" s="13">
        <f ca="1">VLOOKUP($B35,'[3]Analisys QBR By Machine Report'!$C$109:$BD$166,31,FALSE)</f>
        <v>0</v>
      </c>
      <c r="AK35" s="13">
        <f ca="1">VLOOKUP($B35,'[3]Analisys QBR By Machine Report'!$C$109:$BD$166,32,FALSE)</f>
        <v>0</v>
      </c>
      <c r="AL35" s="13">
        <f ca="1">VLOOKUP($B35,'[3]Analisys QBR By Machine Report'!$C$109:$BD$166,33,FALSE)</f>
        <v>279</v>
      </c>
      <c r="AM35" s="13">
        <f ca="1">VLOOKUP($B35,'[3]Analisys QBR By Machine Report'!$C$109:$BD$166,34,FALSE)</f>
        <v>20</v>
      </c>
      <c r="AN35" s="13">
        <f ca="1">VLOOKUP($B35,'[3]Analisys QBR By Machine Report'!$C$109:$BD$166,35,FALSE)</f>
        <v>295</v>
      </c>
      <c r="AO35" s="13">
        <f ca="1">VLOOKUP($B35,'[3]Analisys QBR By Machine Report'!$C$109:$BD$166,36,FALSE)</f>
        <v>2088</v>
      </c>
      <c r="AP35" s="13">
        <f ca="1">VLOOKUP($B35,'[3]Analisys QBR By Machine Report'!$C$109:$BD$166,37,FALSE)</f>
        <v>0</v>
      </c>
      <c r="AQ35" s="13">
        <f ca="1">VLOOKUP($B35,'[3]Analisys QBR By Machine Report'!$C$109:$BD$166,38,FALSE)</f>
        <v>0</v>
      </c>
      <c r="AR35" s="13">
        <f ca="1">VLOOKUP($B35,'[3]Analisys QBR By Machine Report'!$C$109:$BD$166,39,FALSE)</f>
        <v>1193</v>
      </c>
      <c r="AS35" s="13">
        <f ca="1">VLOOKUP($B35,'[3]Analisys QBR By Machine Report'!$C$109:$BD$166,40,FALSE)</f>
        <v>223</v>
      </c>
      <c r="AT35" s="13">
        <f ca="1">VLOOKUP($B35,'[3]Analisys QBR By Machine Report'!$C$109:$BD$166,41,FALSE)</f>
        <v>0</v>
      </c>
      <c r="AU35" s="13">
        <f ca="1">VLOOKUP($B35,'[3]Analisys QBR By Machine Report'!$C$109:$BD$166,42,FALSE)</f>
        <v>0</v>
      </c>
      <c r="AV35" s="13">
        <f ca="1">VLOOKUP($B35,'[3]Analisys QBR By Machine Report'!$C$109:$BD$166,43,FALSE)</f>
        <v>0</v>
      </c>
      <c r="AW35" s="13">
        <f ca="1">VLOOKUP($B35,'[3]Analisys QBR By Machine Report'!$C$109:$BD$166,44,FALSE)</f>
        <v>0</v>
      </c>
      <c r="AX35" s="13">
        <f ca="1">VLOOKUP($B35,'[3]Analisys QBR By Machine Report'!$C$109:$BD$166,45,FALSE)</f>
        <v>0</v>
      </c>
      <c r="AY35" s="13">
        <f ca="1">VLOOKUP($B35,'[3]Analisys QBR By Machine Report'!$C$109:$BD$166,46,FALSE)</f>
        <v>0</v>
      </c>
      <c r="AZ35" s="13">
        <f ca="1">VLOOKUP($B35,'[3]Analisys QBR By Machine Report'!$C$109:$BD$166,47,FALSE)</f>
        <v>0</v>
      </c>
      <c r="BA35" s="13">
        <f ca="1">VLOOKUP($B35,'[3]Analisys QBR By Machine Report'!$C$109:$BD$166,48,FALSE)</f>
        <v>0</v>
      </c>
      <c r="BB35" s="13">
        <f ca="1">VLOOKUP($B35,'[3]Analisys QBR By Machine Report'!$C$109:$BD$166,49,FALSE)</f>
        <v>0</v>
      </c>
      <c r="BC35" s="13">
        <f ca="1">VLOOKUP($B35,'[3]Analisys QBR By Machine Report'!$C$109:$BD$166,50,FALSE)</f>
        <v>0</v>
      </c>
      <c r="BD35" s="13">
        <f ca="1">VLOOKUP($B35,'[3]Analisys QBR By Machine Report'!$C$109:$BD$166,51,FALSE)</f>
        <v>20</v>
      </c>
      <c r="BE35" s="13">
        <f ca="1">VLOOKUP($B35,'[3]Analisys QBR By Machine Report'!$C$109:$BD$166,52,FALSE)</f>
        <v>0</v>
      </c>
      <c r="BF35" s="13">
        <f ca="1">VLOOKUP($B35,'[3]Analisys QBR By Machine Report'!$C$109:$BD$166,53,FALSE)</f>
        <v>20</v>
      </c>
    </row>
    <row r="36" spans="1:58" x14ac:dyDescent="0.25">
      <c r="A36" s="9" t="s">
        <v>92</v>
      </c>
      <c r="B36" s="10">
        <f ca="1">VLOOKUP($B36,'[3]Analisys QBR By Machine Report'!$C$109:$BD$166,2,FALSE)</f>
        <v>175680</v>
      </c>
      <c r="C36" s="11">
        <f ca="1">VLOOKUP($B36,[3]Dasboard_QBR_Report!$B$109:$BL$166,3,FALSE)</f>
        <v>67560</v>
      </c>
      <c r="D36" s="10">
        <f ca="1">VLOOKUP($B36,'[3]Analisys QBR By Machine Report'!$C$109:$BD$166,3,FALSE)</f>
        <v>128220</v>
      </c>
      <c r="E36" s="11">
        <f ca="1">VLOOKUP($B36,[3]Dasboard_QBR_Report!$B$109:$BL$166,5,FALSE)</f>
        <v>20100</v>
      </c>
      <c r="F36" s="10">
        <f t="shared" ca="1" si="0"/>
        <v>47460</v>
      </c>
      <c r="G36" s="10">
        <f t="shared" ca="1" si="1"/>
        <v>4070</v>
      </c>
      <c r="H36" s="10">
        <f ca="1">VLOOKUP($B36,'[3]Analisys QBR By Machine Report'!$C$109:$BD$166,4,FALSE)</f>
        <v>4070</v>
      </c>
      <c r="I36" s="10">
        <f ca="1">VLOOKUP($B36,'[3]Analisys QBR By Machine Report'!$C$109:$BD$166,5,FALSE)</f>
        <v>835</v>
      </c>
      <c r="J36" s="10">
        <f ca="1">VLOOKUP($B36,'[3]Analisys QBR By Machine Report'!$C$109:$BD$166,6,FALSE)</f>
        <v>3235</v>
      </c>
      <c r="K36" s="10">
        <f ca="1">VLOOKUP($B36,'[3]Analisys QBR By Machine Report'!$C$109:$BD$166,7,FALSE)</f>
        <v>0</v>
      </c>
      <c r="L36" s="10">
        <f ca="1">VLOOKUP($B36,'[3]Analisys QBR By Machine Report'!$C$109:$BD$166,8,FALSE)</f>
        <v>43390</v>
      </c>
      <c r="M36" s="10">
        <f ca="1">VLOOKUP($B36,'[3]Analisys QBR By Machine Report'!$C$109:$BD$166,9,FALSE)</f>
        <v>26744</v>
      </c>
      <c r="N36" s="10">
        <f ca="1">VLOOKUP($B36,[3]Dasboard_QBR_Report!$B$109:$BL$166,18,FALSE)</f>
        <v>16646</v>
      </c>
      <c r="O36" s="10">
        <f ca="1">VLOOKUP($B36,'[3]Analisys QBR By Machine Report'!$C$109:$BD$166,10,FALSE)</f>
        <v>2608</v>
      </c>
      <c r="P36" s="10">
        <f ca="1">VLOOKUP($B36,'[3]Analisys QBR By Machine Report'!$C$109:$BD$166,11,FALSE)</f>
        <v>2038</v>
      </c>
      <c r="Q36" s="10">
        <f ca="1">VLOOKUP($B36,'[3]Analisys QBR By Machine Report'!$C$109:$BD$166,12,FALSE)</f>
        <v>154</v>
      </c>
      <c r="R36" s="10">
        <f ca="1">VLOOKUP($B36,'[3]Analisys QBR By Machine Report'!$C$109:$BD$166,13,FALSE)</f>
        <v>125</v>
      </c>
      <c r="S36" s="10">
        <f ca="1">VLOOKUP($B36,'[3]Analisys QBR By Machine Report'!$C$109:$BD$166,14,FALSE)</f>
        <v>291</v>
      </c>
      <c r="T36" s="10">
        <f ca="1">VLOOKUP($B36,'[3]Analisys QBR By Machine Report'!$C$109:$BD$166,15,FALSE)</f>
        <v>0</v>
      </c>
      <c r="U36" s="10">
        <f ca="1">VLOOKUP($B36,'[3]Analisys QBR By Machine Report'!$C$109:$BD$166,16,FALSE)</f>
        <v>0</v>
      </c>
      <c r="V36" s="10">
        <f ca="1">VLOOKUP($B36,'[3]Analisys QBR By Machine Report'!$C$109:$BD$166,17,FALSE)</f>
        <v>0</v>
      </c>
      <c r="W36" s="10">
        <f ca="1">VLOOKUP($B36,'[3]Analisys QBR By Machine Report'!$C$109:$BD$166,18,FALSE)</f>
        <v>0</v>
      </c>
      <c r="X36" s="10">
        <f ca="1">VLOOKUP($B36,'[3]Analisys QBR By Machine Report'!$C$109:$BD$166,19,FALSE)</f>
        <v>0</v>
      </c>
      <c r="Y36" s="10">
        <f ca="1">VLOOKUP($B36,'[3]Analisys QBR By Machine Report'!$C$109:$BD$166,20,FALSE)</f>
        <v>0</v>
      </c>
      <c r="Z36" s="10">
        <f ca="1">VLOOKUP($B36,'[3]Analisys QBR By Machine Report'!$C$109:$BD$166,21,FALSE)</f>
        <v>3679</v>
      </c>
      <c r="AA36" s="10">
        <f ca="1">VLOOKUP($B36,'[3]Analisys QBR By Machine Report'!$C$109:$BD$166,22,FALSE)</f>
        <v>1504</v>
      </c>
      <c r="AB36" s="10">
        <f ca="1">VLOOKUP($B36,'[3]Analisys QBR By Machine Report'!$C$109:$BD$166,23,FALSE)</f>
        <v>2005</v>
      </c>
      <c r="AC36" s="10">
        <f ca="1">VLOOKUP($B36,'[3]Analisys QBR By Machine Report'!$C$109:$BD$166,24,FALSE)</f>
        <v>0</v>
      </c>
      <c r="AD36" s="10">
        <f ca="1">VLOOKUP($B36,'[3]Analisys QBR By Machine Report'!$C$109:$BD$166,25,FALSE)</f>
        <v>0</v>
      </c>
      <c r="AE36" s="10">
        <f ca="1">VLOOKUP($B36,'[3]Analisys QBR By Machine Report'!$C$109:$BD$166,26,FALSE)</f>
        <v>170</v>
      </c>
      <c r="AF36" s="10">
        <f ca="1">VLOOKUP($B36,'[3]Analisys QBR By Machine Report'!$C$109:$BD$166,27,FALSE)</f>
        <v>0</v>
      </c>
      <c r="AG36" s="10">
        <f ca="1">VLOOKUP($B36,'[3]Analisys QBR By Machine Report'!$C$109:$BD$166,28,FALSE)</f>
        <v>0</v>
      </c>
      <c r="AH36" s="10">
        <f ca="1">VLOOKUP($B36,'[3]Analisys QBR By Machine Report'!$C$109:$BD$166,29,FALSE)</f>
        <v>0</v>
      </c>
      <c r="AI36" s="10">
        <f ca="1">VLOOKUP($B36,'[3]Analisys QBR By Machine Report'!$C$109:$BD$166,30,FALSE)</f>
        <v>10359</v>
      </c>
      <c r="AJ36" s="10">
        <f ca="1">VLOOKUP($B36,'[3]Analisys QBR By Machine Report'!$C$109:$BD$166,31,FALSE)</f>
        <v>70</v>
      </c>
      <c r="AK36" s="10">
        <f ca="1">VLOOKUP($B36,'[3]Analisys QBR By Machine Report'!$C$109:$BD$166,32,FALSE)</f>
        <v>1300</v>
      </c>
      <c r="AL36" s="10">
        <f ca="1">VLOOKUP($B36,'[3]Analisys QBR By Machine Report'!$C$109:$BD$166,33,FALSE)</f>
        <v>780</v>
      </c>
      <c r="AM36" s="10">
        <f ca="1">VLOOKUP($B36,'[3]Analisys QBR By Machine Report'!$C$109:$BD$166,34,FALSE)</f>
        <v>0</v>
      </c>
      <c r="AN36" s="10">
        <f ca="1">VLOOKUP($B36,'[3]Analisys QBR By Machine Report'!$C$109:$BD$166,35,FALSE)</f>
        <v>1697</v>
      </c>
      <c r="AO36" s="10">
        <f ca="1">VLOOKUP($B36,'[3]Analisys QBR By Machine Report'!$C$109:$BD$166,36,FALSE)</f>
        <v>2000</v>
      </c>
      <c r="AP36" s="10">
        <f ca="1">VLOOKUP($B36,'[3]Analisys QBR By Machine Report'!$C$109:$BD$166,37,FALSE)</f>
        <v>120</v>
      </c>
      <c r="AQ36" s="10">
        <f ca="1">VLOOKUP($B36,'[3]Analisys QBR By Machine Report'!$C$109:$BD$166,38,FALSE)</f>
        <v>0</v>
      </c>
      <c r="AR36" s="10">
        <f ca="1">VLOOKUP($B36,'[3]Analisys QBR By Machine Report'!$C$109:$BD$166,39,FALSE)</f>
        <v>1862</v>
      </c>
      <c r="AS36" s="10">
        <f ca="1">VLOOKUP($B36,'[3]Analisys QBR By Machine Report'!$C$109:$BD$166,40,FALSE)</f>
        <v>764</v>
      </c>
      <c r="AT36" s="10">
        <f ca="1">VLOOKUP($B36,'[3]Analisys QBR By Machine Report'!$C$109:$BD$166,41,FALSE)</f>
        <v>0</v>
      </c>
      <c r="AU36" s="10">
        <f ca="1">VLOOKUP($B36,'[3]Analisys QBR By Machine Report'!$C$109:$BD$166,42,FALSE)</f>
        <v>0</v>
      </c>
      <c r="AV36" s="10">
        <f ca="1">VLOOKUP($B36,'[3]Analisys QBR By Machine Report'!$C$109:$BD$166,43,FALSE)</f>
        <v>0</v>
      </c>
      <c r="AW36" s="10">
        <f ca="1">VLOOKUP($B36,'[3]Analisys QBR By Machine Report'!$C$109:$BD$166,44,FALSE)</f>
        <v>0</v>
      </c>
      <c r="AX36" s="10">
        <f ca="1">VLOOKUP($B36,'[3]Analisys QBR By Machine Report'!$C$109:$BD$166,45,FALSE)</f>
        <v>0</v>
      </c>
      <c r="AY36" s="10">
        <f ca="1">VLOOKUP($B36,'[3]Analisys QBR By Machine Report'!$C$109:$BD$166,46,FALSE)</f>
        <v>0</v>
      </c>
      <c r="AZ36" s="10">
        <f ca="1">VLOOKUP($B36,'[3]Analisys QBR By Machine Report'!$C$109:$BD$166,47,FALSE)</f>
        <v>1611</v>
      </c>
      <c r="BA36" s="10">
        <f ca="1">VLOOKUP($B36,'[3]Analisys QBR By Machine Report'!$C$109:$BD$166,48,FALSE)</f>
        <v>35</v>
      </c>
      <c r="BB36" s="10">
        <f ca="1">VLOOKUP($B36,'[3]Analisys QBR By Machine Report'!$C$109:$BD$166,49,FALSE)</f>
        <v>0</v>
      </c>
      <c r="BC36" s="10">
        <f ca="1">VLOOKUP($B36,'[3]Analisys QBR By Machine Report'!$C$109:$BD$166,50,FALSE)</f>
        <v>120</v>
      </c>
      <c r="BD36" s="10">
        <f ca="1">VLOOKUP($B36,'[3]Analisys QBR By Machine Report'!$C$109:$BD$166,51,FALSE)</f>
        <v>1220477</v>
      </c>
      <c r="BE36" s="10">
        <f ca="1">VLOOKUP($B36,'[3]Analisys QBR By Machine Report'!$C$109:$BD$166,52,FALSE)</f>
        <v>119</v>
      </c>
      <c r="BF36" s="10">
        <f ca="1">VLOOKUP($B36,'[3]Analisys QBR By Machine Report'!$C$109:$BD$166,53,FALSE)</f>
        <v>1220358</v>
      </c>
    </row>
    <row r="37" spans="1:58" x14ac:dyDescent="0.25">
      <c r="A37" s="12" t="s">
        <v>93</v>
      </c>
      <c r="B37" s="13">
        <f ca="1">VLOOKUP($B37,'[3]Analisys QBR By Machine Report'!$C$109:$BD$166,2,FALSE)</f>
        <v>30240</v>
      </c>
      <c r="C37" s="14">
        <f ca="1">VLOOKUP($B37,[3]Dasboard_QBR_Report!$B$109:$BL$166,3,FALSE)</f>
        <v>10080</v>
      </c>
      <c r="D37" s="13">
        <f ca="1">VLOOKUP($B37,'[3]Analisys QBR By Machine Report'!$C$109:$BD$166,3,FALSE)</f>
        <v>16605</v>
      </c>
      <c r="E37" s="14">
        <f ca="1">VLOOKUP($B37,[3]Dasboard_QBR_Report!$B$109:$BL$166,5,FALSE)</f>
        <v>-3555</v>
      </c>
      <c r="F37" s="13">
        <f t="shared" ca="1" si="0"/>
        <v>13635</v>
      </c>
      <c r="G37" s="13">
        <f t="shared" ca="1" si="1"/>
        <v>215</v>
      </c>
      <c r="H37" s="13">
        <f ca="1">VLOOKUP($B37,'[3]Analisys QBR By Machine Report'!$C$109:$BD$166,4,FALSE)</f>
        <v>215</v>
      </c>
      <c r="I37" s="13">
        <f ca="1">VLOOKUP($B37,'[3]Analisys QBR By Machine Report'!$C$109:$BD$166,5,FALSE)</f>
        <v>215</v>
      </c>
      <c r="J37" s="13">
        <f ca="1">VLOOKUP($B37,'[3]Analisys QBR By Machine Report'!$C$109:$BD$166,6,FALSE)</f>
        <v>0</v>
      </c>
      <c r="K37" s="13">
        <f ca="1">VLOOKUP($B37,'[3]Analisys QBR By Machine Report'!$C$109:$BD$166,7,FALSE)</f>
        <v>0</v>
      </c>
      <c r="L37" s="13">
        <f ca="1">VLOOKUP($B37,'[3]Analisys QBR By Machine Report'!$C$109:$BD$166,8,FALSE)</f>
        <v>13420</v>
      </c>
      <c r="M37" s="13">
        <f ca="1">VLOOKUP($B37,'[3]Analisys QBR By Machine Report'!$C$109:$BD$166,9,FALSE)</f>
        <v>9385</v>
      </c>
      <c r="N37" s="13">
        <f ca="1">VLOOKUP($B37,[3]Dasboard_QBR_Report!$B$109:$BL$166,18,FALSE)</f>
        <v>4035</v>
      </c>
      <c r="O37" s="13">
        <f ca="1">VLOOKUP($B37,'[3]Analisys QBR By Machine Report'!$C$109:$BD$166,10,FALSE)</f>
        <v>302</v>
      </c>
      <c r="P37" s="13">
        <f ca="1">VLOOKUP($B37,'[3]Analisys QBR By Machine Report'!$C$109:$BD$166,11,FALSE)</f>
        <v>302</v>
      </c>
      <c r="Q37" s="13">
        <f ca="1">VLOOKUP($B37,'[3]Analisys QBR By Machine Report'!$C$109:$BD$166,12,FALSE)</f>
        <v>0</v>
      </c>
      <c r="R37" s="13">
        <f ca="1">VLOOKUP($B37,'[3]Analisys QBR By Machine Report'!$C$109:$BD$166,13,FALSE)</f>
        <v>0</v>
      </c>
      <c r="S37" s="13">
        <f ca="1">VLOOKUP($B37,'[3]Analisys QBR By Machine Report'!$C$109:$BD$166,14,FALSE)</f>
        <v>0</v>
      </c>
      <c r="T37" s="13">
        <f ca="1">VLOOKUP($B37,'[3]Analisys QBR By Machine Report'!$C$109:$BD$166,15,FALSE)</f>
        <v>0</v>
      </c>
      <c r="U37" s="13">
        <f ca="1">VLOOKUP($B37,'[3]Analisys QBR By Machine Report'!$C$109:$BD$166,16,FALSE)</f>
        <v>0</v>
      </c>
      <c r="V37" s="13">
        <f ca="1">VLOOKUP($B37,'[3]Analisys QBR By Machine Report'!$C$109:$BD$166,17,FALSE)</f>
        <v>0</v>
      </c>
      <c r="W37" s="13">
        <f ca="1">VLOOKUP($B37,'[3]Analisys QBR By Machine Report'!$C$109:$BD$166,18,FALSE)</f>
        <v>0</v>
      </c>
      <c r="X37" s="13">
        <f ca="1">VLOOKUP($B37,'[3]Analisys QBR By Machine Report'!$C$109:$BD$166,19,FALSE)</f>
        <v>0</v>
      </c>
      <c r="Y37" s="13">
        <f ca="1">VLOOKUP($B37,'[3]Analisys QBR By Machine Report'!$C$109:$BD$166,20,FALSE)</f>
        <v>0</v>
      </c>
      <c r="Z37" s="13">
        <f ca="1">VLOOKUP($B37,'[3]Analisys QBR By Machine Report'!$C$109:$BD$166,21,FALSE)</f>
        <v>1029</v>
      </c>
      <c r="AA37" s="13">
        <f ca="1">VLOOKUP($B37,'[3]Analisys QBR By Machine Report'!$C$109:$BD$166,22,FALSE)</f>
        <v>324</v>
      </c>
      <c r="AB37" s="13">
        <f ca="1">VLOOKUP($B37,'[3]Analisys QBR By Machine Report'!$C$109:$BD$166,23,FALSE)</f>
        <v>675</v>
      </c>
      <c r="AC37" s="13">
        <f ca="1">VLOOKUP($B37,'[3]Analisys QBR By Machine Report'!$C$109:$BD$166,24,FALSE)</f>
        <v>0</v>
      </c>
      <c r="AD37" s="13">
        <f ca="1">VLOOKUP($B37,'[3]Analisys QBR By Machine Report'!$C$109:$BD$166,25,FALSE)</f>
        <v>0</v>
      </c>
      <c r="AE37" s="13">
        <f ca="1">VLOOKUP($B37,'[3]Analisys QBR By Machine Report'!$C$109:$BD$166,26,FALSE)</f>
        <v>30</v>
      </c>
      <c r="AF37" s="13">
        <f ca="1">VLOOKUP($B37,'[3]Analisys QBR By Machine Report'!$C$109:$BD$166,27,FALSE)</f>
        <v>0</v>
      </c>
      <c r="AG37" s="13">
        <f ca="1">VLOOKUP($B37,'[3]Analisys QBR By Machine Report'!$C$109:$BD$166,28,FALSE)</f>
        <v>0</v>
      </c>
      <c r="AH37" s="13">
        <f ca="1">VLOOKUP($B37,'[3]Analisys QBR By Machine Report'!$C$109:$BD$166,29,FALSE)</f>
        <v>0</v>
      </c>
      <c r="AI37" s="13">
        <f ca="1">VLOOKUP($B37,'[3]Analisys QBR By Machine Report'!$C$109:$BD$166,30,FALSE)</f>
        <v>2704</v>
      </c>
      <c r="AJ37" s="13">
        <f ca="1">VLOOKUP($B37,'[3]Analisys QBR By Machine Report'!$C$109:$BD$166,31,FALSE)</f>
        <v>0</v>
      </c>
      <c r="AK37" s="13">
        <f ca="1">VLOOKUP($B37,'[3]Analisys QBR By Machine Report'!$C$109:$BD$166,32,FALSE)</f>
        <v>545</v>
      </c>
      <c r="AL37" s="13">
        <f ca="1">VLOOKUP($B37,'[3]Analisys QBR By Machine Report'!$C$109:$BD$166,33,FALSE)</f>
        <v>300</v>
      </c>
      <c r="AM37" s="13">
        <f ca="1">VLOOKUP($B37,'[3]Analisys QBR By Machine Report'!$C$109:$BD$166,34,FALSE)</f>
        <v>0</v>
      </c>
      <c r="AN37" s="13">
        <f ca="1">VLOOKUP($B37,'[3]Analisys QBR By Machine Report'!$C$109:$BD$166,35,FALSE)</f>
        <v>615</v>
      </c>
      <c r="AO37" s="13">
        <f ca="1">VLOOKUP($B37,'[3]Analisys QBR By Machine Report'!$C$109:$BD$166,36,FALSE)</f>
        <v>180</v>
      </c>
      <c r="AP37" s="13">
        <f ca="1">VLOOKUP($B37,'[3]Analisys QBR By Machine Report'!$C$109:$BD$166,37,FALSE)</f>
        <v>0</v>
      </c>
      <c r="AQ37" s="13">
        <f ca="1">VLOOKUP($B37,'[3]Analisys QBR By Machine Report'!$C$109:$BD$166,38,FALSE)</f>
        <v>0</v>
      </c>
      <c r="AR37" s="13">
        <f ca="1">VLOOKUP($B37,'[3]Analisys QBR By Machine Report'!$C$109:$BD$166,39,FALSE)</f>
        <v>0</v>
      </c>
      <c r="AS37" s="13">
        <f ca="1">VLOOKUP($B37,'[3]Analisys QBR By Machine Report'!$C$109:$BD$166,40,FALSE)</f>
        <v>275</v>
      </c>
      <c r="AT37" s="13">
        <f ca="1">VLOOKUP($B37,'[3]Analisys QBR By Machine Report'!$C$109:$BD$166,41,FALSE)</f>
        <v>0</v>
      </c>
      <c r="AU37" s="13">
        <f ca="1">VLOOKUP($B37,'[3]Analisys QBR By Machine Report'!$C$109:$BD$166,42,FALSE)</f>
        <v>0</v>
      </c>
      <c r="AV37" s="13">
        <f ca="1">VLOOKUP($B37,'[3]Analisys QBR By Machine Report'!$C$109:$BD$166,43,FALSE)</f>
        <v>0</v>
      </c>
      <c r="AW37" s="13">
        <f ca="1">VLOOKUP($B37,'[3]Analisys QBR By Machine Report'!$C$109:$BD$166,44,FALSE)</f>
        <v>0</v>
      </c>
      <c r="AX37" s="13">
        <f ca="1">VLOOKUP($B37,'[3]Analisys QBR By Machine Report'!$C$109:$BD$166,45,FALSE)</f>
        <v>0</v>
      </c>
      <c r="AY37" s="13">
        <f ca="1">VLOOKUP($B37,'[3]Analisys QBR By Machine Report'!$C$109:$BD$166,46,FALSE)</f>
        <v>0</v>
      </c>
      <c r="AZ37" s="13">
        <f ca="1">VLOOKUP($B37,'[3]Analisys QBR By Machine Report'!$C$109:$BD$166,47,FALSE)</f>
        <v>669</v>
      </c>
      <c r="BA37" s="13">
        <f ca="1">VLOOKUP($B37,'[3]Analisys QBR By Machine Report'!$C$109:$BD$166,48,FALSE)</f>
        <v>0</v>
      </c>
      <c r="BB37" s="13">
        <f ca="1">VLOOKUP($B37,'[3]Analisys QBR By Machine Report'!$C$109:$BD$166,49,FALSE)</f>
        <v>0</v>
      </c>
      <c r="BC37" s="13">
        <f ca="1">VLOOKUP($B37,'[3]Analisys QBR By Machine Report'!$C$109:$BD$166,50,FALSE)</f>
        <v>120</v>
      </c>
      <c r="BD37" s="13">
        <f ca="1">VLOOKUP($B37,'[3]Analisys QBR By Machine Report'!$C$109:$BD$166,51,FALSE)</f>
        <v>308580</v>
      </c>
      <c r="BE37" s="13">
        <f ca="1">VLOOKUP($B37,'[3]Analisys QBR By Machine Report'!$C$109:$BD$166,52,FALSE)</f>
        <v>0</v>
      </c>
      <c r="BF37" s="13">
        <f ca="1">VLOOKUP($B37,'[3]Analisys QBR By Machine Report'!$C$109:$BD$166,53,FALSE)</f>
        <v>308580</v>
      </c>
    </row>
    <row r="38" spans="1:58" x14ac:dyDescent="0.25">
      <c r="A38" s="12" t="s">
        <v>94</v>
      </c>
      <c r="B38" s="13">
        <f ca="1">VLOOKUP($B38,'[3]Analisys QBR By Machine Report'!$C$109:$BD$166,2,FALSE)</f>
        <v>28800</v>
      </c>
      <c r="C38" s="14">
        <f ca="1">VLOOKUP($B38,[3]Dasboard_QBR_Report!$B$109:$BL$166,3,FALSE)</f>
        <v>9600</v>
      </c>
      <c r="D38" s="13">
        <f ca="1">VLOOKUP($B38,'[3]Analisys QBR By Machine Report'!$C$109:$BD$166,3,FALSE)</f>
        <v>27810</v>
      </c>
      <c r="E38" s="14">
        <f ca="1">VLOOKUP($B38,[3]Dasboard_QBR_Report!$B$109:$BL$166,5,FALSE)</f>
        <v>8610</v>
      </c>
      <c r="F38" s="13">
        <f t="shared" ca="1" si="0"/>
        <v>990</v>
      </c>
      <c r="G38" s="13">
        <f t="shared" ca="1" si="1"/>
        <v>65</v>
      </c>
      <c r="H38" s="13">
        <f ca="1">VLOOKUP($B38,'[3]Analisys QBR By Machine Report'!$C$109:$BD$166,4,FALSE)</f>
        <v>65</v>
      </c>
      <c r="I38" s="13">
        <f ca="1">VLOOKUP($B38,'[3]Analisys QBR By Machine Report'!$C$109:$BD$166,5,FALSE)</f>
        <v>65</v>
      </c>
      <c r="J38" s="13">
        <f ca="1">VLOOKUP($B38,'[3]Analisys QBR By Machine Report'!$C$109:$BD$166,6,FALSE)</f>
        <v>0</v>
      </c>
      <c r="K38" s="13">
        <f ca="1">VLOOKUP($B38,'[3]Analisys QBR By Machine Report'!$C$109:$BD$166,7,FALSE)</f>
        <v>0</v>
      </c>
      <c r="L38" s="13">
        <f ca="1">VLOOKUP($B38,'[3]Analisys QBR By Machine Report'!$C$109:$BD$166,8,FALSE)</f>
        <v>925</v>
      </c>
      <c r="M38" s="13">
        <f ca="1">VLOOKUP($B38,'[3]Analisys QBR By Machine Report'!$C$109:$BD$166,9,FALSE)</f>
        <v>510</v>
      </c>
      <c r="N38" s="13">
        <f ca="1">VLOOKUP($B38,[3]Dasboard_QBR_Report!$B$109:$BL$166,18,FALSE)</f>
        <v>415</v>
      </c>
      <c r="O38" s="13">
        <f ca="1">VLOOKUP($B38,'[3]Analisys QBR By Machine Report'!$C$109:$BD$166,10,FALSE)</f>
        <v>35</v>
      </c>
      <c r="P38" s="13">
        <f ca="1">VLOOKUP($B38,'[3]Analisys QBR By Machine Report'!$C$109:$BD$166,11,FALSE)</f>
        <v>35</v>
      </c>
      <c r="Q38" s="13">
        <f ca="1">VLOOKUP($B38,'[3]Analisys QBR By Machine Report'!$C$109:$BD$166,12,FALSE)</f>
        <v>0</v>
      </c>
      <c r="R38" s="13">
        <f ca="1">VLOOKUP($B38,'[3]Analisys QBR By Machine Report'!$C$109:$BD$166,13,FALSE)</f>
        <v>0</v>
      </c>
      <c r="S38" s="13">
        <f ca="1">VLOOKUP($B38,'[3]Analisys QBR By Machine Report'!$C$109:$BD$166,14,FALSE)</f>
        <v>0</v>
      </c>
      <c r="T38" s="13">
        <f ca="1">VLOOKUP($B38,'[3]Analisys QBR By Machine Report'!$C$109:$BD$166,15,FALSE)</f>
        <v>0</v>
      </c>
      <c r="U38" s="13">
        <f ca="1">VLOOKUP($B38,'[3]Analisys QBR By Machine Report'!$C$109:$BD$166,16,FALSE)</f>
        <v>0</v>
      </c>
      <c r="V38" s="13">
        <f ca="1">VLOOKUP($B38,'[3]Analisys QBR By Machine Report'!$C$109:$BD$166,17,FALSE)</f>
        <v>0</v>
      </c>
      <c r="W38" s="13">
        <f ca="1">VLOOKUP($B38,'[3]Analisys QBR By Machine Report'!$C$109:$BD$166,18,FALSE)</f>
        <v>0</v>
      </c>
      <c r="X38" s="13">
        <f ca="1">VLOOKUP($B38,'[3]Analisys QBR By Machine Report'!$C$109:$BD$166,19,FALSE)</f>
        <v>0</v>
      </c>
      <c r="Y38" s="13">
        <f ca="1">VLOOKUP($B38,'[3]Analisys QBR By Machine Report'!$C$109:$BD$166,20,FALSE)</f>
        <v>0</v>
      </c>
      <c r="Z38" s="13">
        <f ca="1">VLOOKUP($B38,'[3]Analisys QBR By Machine Report'!$C$109:$BD$166,21,FALSE)</f>
        <v>140</v>
      </c>
      <c r="AA38" s="13">
        <f ca="1">VLOOKUP($B38,'[3]Analisys QBR By Machine Report'!$C$109:$BD$166,22,FALSE)</f>
        <v>0</v>
      </c>
      <c r="AB38" s="13">
        <f ca="1">VLOOKUP($B38,'[3]Analisys QBR By Machine Report'!$C$109:$BD$166,23,FALSE)</f>
        <v>55</v>
      </c>
      <c r="AC38" s="13">
        <f ca="1">VLOOKUP($B38,'[3]Analisys QBR By Machine Report'!$C$109:$BD$166,24,FALSE)</f>
        <v>0</v>
      </c>
      <c r="AD38" s="13">
        <f ca="1">VLOOKUP($B38,'[3]Analisys QBR By Machine Report'!$C$109:$BD$166,25,FALSE)</f>
        <v>0</v>
      </c>
      <c r="AE38" s="13">
        <f ca="1">VLOOKUP($B38,'[3]Analisys QBR By Machine Report'!$C$109:$BD$166,26,FALSE)</f>
        <v>85</v>
      </c>
      <c r="AF38" s="13">
        <f ca="1">VLOOKUP($B38,'[3]Analisys QBR By Machine Report'!$C$109:$BD$166,27,FALSE)</f>
        <v>0</v>
      </c>
      <c r="AG38" s="13">
        <f ca="1">VLOOKUP($B38,'[3]Analisys QBR By Machine Report'!$C$109:$BD$166,28,FALSE)</f>
        <v>0</v>
      </c>
      <c r="AH38" s="13">
        <f ca="1">VLOOKUP($B38,'[3]Analisys QBR By Machine Report'!$C$109:$BD$166,29,FALSE)</f>
        <v>0</v>
      </c>
      <c r="AI38" s="13">
        <f ca="1">VLOOKUP($B38,'[3]Analisys QBR By Machine Report'!$C$109:$BD$166,30,FALSE)</f>
        <v>240</v>
      </c>
      <c r="AJ38" s="13">
        <f ca="1">VLOOKUP($B38,'[3]Analisys QBR By Machine Report'!$C$109:$BD$166,31,FALSE)</f>
        <v>70</v>
      </c>
      <c r="AK38" s="13">
        <f ca="1">VLOOKUP($B38,'[3]Analisys QBR By Machine Report'!$C$109:$BD$166,32,FALSE)</f>
        <v>0</v>
      </c>
      <c r="AL38" s="13">
        <f ca="1">VLOOKUP($B38,'[3]Analisys QBR By Machine Report'!$C$109:$BD$166,33,FALSE)</f>
        <v>0</v>
      </c>
      <c r="AM38" s="13">
        <f ca="1">VLOOKUP($B38,'[3]Analisys QBR By Machine Report'!$C$109:$BD$166,34,FALSE)</f>
        <v>0</v>
      </c>
      <c r="AN38" s="13">
        <f ca="1">VLOOKUP($B38,'[3]Analisys QBR By Machine Report'!$C$109:$BD$166,35,FALSE)</f>
        <v>30</v>
      </c>
      <c r="AO38" s="13">
        <f ca="1">VLOOKUP($B38,'[3]Analisys QBR By Machine Report'!$C$109:$BD$166,36,FALSE)</f>
        <v>0</v>
      </c>
      <c r="AP38" s="13">
        <f ca="1">VLOOKUP($B38,'[3]Analisys QBR By Machine Report'!$C$109:$BD$166,37,FALSE)</f>
        <v>0</v>
      </c>
      <c r="AQ38" s="13">
        <f ca="1">VLOOKUP($B38,'[3]Analisys QBR By Machine Report'!$C$109:$BD$166,38,FALSE)</f>
        <v>0</v>
      </c>
      <c r="AR38" s="13">
        <f ca="1">VLOOKUP($B38,'[3]Analisys QBR By Machine Report'!$C$109:$BD$166,39,FALSE)</f>
        <v>45</v>
      </c>
      <c r="AS38" s="13">
        <f ca="1">VLOOKUP($B38,'[3]Analisys QBR By Machine Report'!$C$109:$BD$166,40,FALSE)</f>
        <v>35</v>
      </c>
      <c r="AT38" s="13">
        <f ca="1">VLOOKUP($B38,'[3]Analisys QBR By Machine Report'!$C$109:$BD$166,41,FALSE)</f>
        <v>0</v>
      </c>
      <c r="AU38" s="13">
        <f ca="1">VLOOKUP($B38,'[3]Analisys QBR By Machine Report'!$C$109:$BD$166,42,FALSE)</f>
        <v>0</v>
      </c>
      <c r="AV38" s="13">
        <f ca="1">VLOOKUP($B38,'[3]Analisys QBR By Machine Report'!$C$109:$BD$166,43,FALSE)</f>
        <v>0</v>
      </c>
      <c r="AW38" s="13">
        <f ca="1">VLOOKUP($B38,'[3]Analisys QBR By Machine Report'!$C$109:$BD$166,44,FALSE)</f>
        <v>0</v>
      </c>
      <c r="AX38" s="13">
        <f ca="1">VLOOKUP($B38,'[3]Analisys QBR By Machine Report'!$C$109:$BD$166,45,FALSE)</f>
        <v>0</v>
      </c>
      <c r="AY38" s="13">
        <f ca="1">VLOOKUP($B38,'[3]Analisys QBR By Machine Report'!$C$109:$BD$166,46,FALSE)</f>
        <v>0</v>
      </c>
      <c r="AZ38" s="13">
        <f ca="1">VLOOKUP($B38,'[3]Analisys QBR By Machine Report'!$C$109:$BD$166,47,FALSE)</f>
        <v>60</v>
      </c>
      <c r="BA38" s="13">
        <f ca="1">VLOOKUP($B38,'[3]Analisys QBR By Machine Report'!$C$109:$BD$166,48,FALSE)</f>
        <v>0</v>
      </c>
      <c r="BB38" s="13">
        <f ca="1">VLOOKUP($B38,'[3]Analisys QBR By Machine Report'!$C$109:$BD$166,49,FALSE)</f>
        <v>0</v>
      </c>
      <c r="BC38" s="13">
        <f ca="1">VLOOKUP($B38,'[3]Analisys QBR By Machine Report'!$C$109:$BD$166,50,FALSE)</f>
        <v>0</v>
      </c>
      <c r="BD38" s="13">
        <f ca="1">VLOOKUP($B38,'[3]Analisys QBR By Machine Report'!$C$109:$BD$166,51,FALSE)</f>
        <v>15272</v>
      </c>
      <c r="BE38" s="13">
        <f ca="1">VLOOKUP($B38,'[3]Analisys QBR By Machine Report'!$C$109:$BD$166,52,FALSE)</f>
        <v>88</v>
      </c>
      <c r="BF38" s="13">
        <f ca="1">VLOOKUP($B38,'[3]Analisys QBR By Machine Report'!$C$109:$BD$166,53,FALSE)</f>
        <v>15184</v>
      </c>
    </row>
    <row r="39" spans="1:58" x14ac:dyDescent="0.25">
      <c r="A39" s="12" t="s">
        <v>95</v>
      </c>
      <c r="B39" s="13">
        <f ca="1">VLOOKUP($B39,'[3]Analisys QBR By Machine Report'!$C$109:$BD$166,2,FALSE)</f>
        <v>30240</v>
      </c>
      <c r="C39" s="14">
        <f ca="1">VLOOKUP($B39,[3]Dasboard_QBR_Report!$B$109:$BL$166,3,FALSE)</f>
        <v>10080</v>
      </c>
      <c r="D39" s="13">
        <f ca="1">VLOOKUP($B39,'[3]Analisys QBR By Machine Report'!$C$109:$BD$166,3,FALSE)</f>
        <v>15480</v>
      </c>
      <c r="E39" s="14">
        <f ca="1">VLOOKUP($B39,[3]Dasboard_QBR_Report!$B$109:$BL$166,5,FALSE)</f>
        <v>-4680</v>
      </c>
      <c r="F39" s="13">
        <f t="shared" ca="1" si="0"/>
        <v>14760</v>
      </c>
      <c r="G39" s="13">
        <f t="shared" ca="1" si="1"/>
        <v>490</v>
      </c>
      <c r="H39" s="13">
        <f ca="1">VLOOKUP($B39,'[3]Analisys QBR By Machine Report'!$C$109:$BD$166,4,FALSE)</f>
        <v>490</v>
      </c>
      <c r="I39" s="13">
        <f ca="1">VLOOKUP($B39,'[3]Analisys QBR By Machine Report'!$C$109:$BD$166,5,FALSE)</f>
        <v>210</v>
      </c>
      <c r="J39" s="13">
        <f ca="1">VLOOKUP($B39,'[3]Analisys QBR By Machine Report'!$C$109:$BD$166,6,FALSE)</f>
        <v>280</v>
      </c>
      <c r="K39" s="13">
        <f ca="1">VLOOKUP($B39,'[3]Analisys QBR By Machine Report'!$C$109:$BD$166,7,FALSE)</f>
        <v>0</v>
      </c>
      <c r="L39" s="13">
        <f ca="1">VLOOKUP($B39,'[3]Analisys QBR By Machine Report'!$C$109:$BD$166,8,FALSE)</f>
        <v>14270</v>
      </c>
      <c r="M39" s="13">
        <f ca="1">VLOOKUP($B39,'[3]Analisys QBR By Machine Report'!$C$109:$BD$166,9,FALSE)</f>
        <v>10420</v>
      </c>
      <c r="N39" s="13">
        <f ca="1">VLOOKUP($B39,[3]Dasboard_QBR_Report!$B$109:$BL$166,18,FALSE)</f>
        <v>3850</v>
      </c>
      <c r="O39" s="13">
        <f ca="1">VLOOKUP($B39,'[3]Analisys QBR By Machine Report'!$C$109:$BD$166,10,FALSE)</f>
        <v>231</v>
      </c>
      <c r="P39" s="13">
        <f ca="1">VLOOKUP($B39,'[3]Analisys QBR By Machine Report'!$C$109:$BD$166,11,FALSE)</f>
        <v>231</v>
      </c>
      <c r="Q39" s="13">
        <f ca="1">VLOOKUP($B39,'[3]Analisys QBR By Machine Report'!$C$109:$BD$166,12,FALSE)</f>
        <v>0</v>
      </c>
      <c r="R39" s="13">
        <f ca="1">VLOOKUP($B39,'[3]Analisys QBR By Machine Report'!$C$109:$BD$166,13,FALSE)</f>
        <v>0</v>
      </c>
      <c r="S39" s="13">
        <f ca="1">VLOOKUP($B39,'[3]Analisys QBR By Machine Report'!$C$109:$BD$166,14,FALSE)</f>
        <v>0</v>
      </c>
      <c r="T39" s="13">
        <f ca="1">VLOOKUP($B39,'[3]Analisys QBR By Machine Report'!$C$109:$BD$166,15,FALSE)</f>
        <v>0</v>
      </c>
      <c r="U39" s="13">
        <f ca="1">VLOOKUP($B39,'[3]Analisys QBR By Machine Report'!$C$109:$BD$166,16,FALSE)</f>
        <v>0</v>
      </c>
      <c r="V39" s="13">
        <f ca="1">VLOOKUP($B39,'[3]Analisys QBR By Machine Report'!$C$109:$BD$166,17,FALSE)</f>
        <v>0</v>
      </c>
      <c r="W39" s="13">
        <f ca="1">VLOOKUP($B39,'[3]Analisys QBR By Machine Report'!$C$109:$BD$166,18,FALSE)</f>
        <v>0</v>
      </c>
      <c r="X39" s="13">
        <f ca="1">VLOOKUP($B39,'[3]Analisys QBR By Machine Report'!$C$109:$BD$166,19,FALSE)</f>
        <v>0</v>
      </c>
      <c r="Y39" s="13">
        <f ca="1">VLOOKUP($B39,'[3]Analisys QBR By Machine Report'!$C$109:$BD$166,20,FALSE)</f>
        <v>0</v>
      </c>
      <c r="Z39" s="13">
        <f ca="1">VLOOKUP($B39,'[3]Analisys QBR By Machine Report'!$C$109:$BD$166,21,FALSE)</f>
        <v>903</v>
      </c>
      <c r="AA39" s="13">
        <f ca="1">VLOOKUP($B39,'[3]Analisys QBR By Machine Report'!$C$109:$BD$166,22,FALSE)</f>
        <v>233</v>
      </c>
      <c r="AB39" s="13">
        <f ca="1">VLOOKUP($B39,'[3]Analisys QBR By Machine Report'!$C$109:$BD$166,23,FALSE)</f>
        <v>640</v>
      </c>
      <c r="AC39" s="13">
        <f ca="1">VLOOKUP($B39,'[3]Analisys QBR By Machine Report'!$C$109:$BD$166,24,FALSE)</f>
        <v>0</v>
      </c>
      <c r="AD39" s="13">
        <f ca="1">VLOOKUP($B39,'[3]Analisys QBR By Machine Report'!$C$109:$BD$166,25,FALSE)</f>
        <v>0</v>
      </c>
      <c r="AE39" s="13">
        <f ca="1">VLOOKUP($B39,'[3]Analisys QBR By Machine Report'!$C$109:$BD$166,26,FALSE)</f>
        <v>30</v>
      </c>
      <c r="AF39" s="13">
        <f ca="1">VLOOKUP($B39,'[3]Analisys QBR By Machine Report'!$C$109:$BD$166,27,FALSE)</f>
        <v>0</v>
      </c>
      <c r="AG39" s="13">
        <f ca="1">VLOOKUP($B39,'[3]Analisys QBR By Machine Report'!$C$109:$BD$166,28,FALSE)</f>
        <v>0</v>
      </c>
      <c r="AH39" s="13">
        <f ca="1">VLOOKUP($B39,'[3]Analisys QBR By Machine Report'!$C$109:$BD$166,29,FALSE)</f>
        <v>0</v>
      </c>
      <c r="AI39" s="13">
        <f ca="1">VLOOKUP($B39,'[3]Analisys QBR By Machine Report'!$C$109:$BD$166,30,FALSE)</f>
        <v>2716</v>
      </c>
      <c r="AJ39" s="13">
        <f ca="1">VLOOKUP($B39,'[3]Analisys QBR By Machine Report'!$C$109:$BD$166,31,FALSE)</f>
        <v>0</v>
      </c>
      <c r="AK39" s="13">
        <f ca="1">VLOOKUP($B39,'[3]Analisys QBR By Machine Report'!$C$109:$BD$166,32,FALSE)</f>
        <v>755</v>
      </c>
      <c r="AL39" s="13">
        <f ca="1">VLOOKUP($B39,'[3]Analisys QBR By Machine Report'!$C$109:$BD$166,33,FALSE)</f>
        <v>300</v>
      </c>
      <c r="AM39" s="13">
        <f ca="1">VLOOKUP($B39,'[3]Analisys QBR By Machine Report'!$C$109:$BD$166,34,FALSE)</f>
        <v>0</v>
      </c>
      <c r="AN39" s="13">
        <f ca="1">VLOOKUP($B39,'[3]Analisys QBR By Machine Report'!$C$109:$BD$166,35,FALSE)</f>
        <v>690</v>
      </c>
      <c r="AO39" s="13">
        <f ca="1">VLOOKUP($B39,'[3]Analisys QBR By Machine Report'!$C$109:$BD$166,36,FALSE)</f>
        <v>175</v>
      </c>
      <c r="AP39" s="13">
        <f ca="1">VLOOKUP($B39,'[3]Analisys QBR By Machine Report'!$C$109:$BD$166,37,FALSE)</f>
        <v>0</v>
      </c>
      <c r="AQ39" s="13">
        <f ca="1">VLOOKUP($B39,'[3]Analisys QBR By Machine Report'!$C$109:$BD$166,38,FALSE)</f>
        <v>0</v>
      </c>
      <c r="AR39" s="13">
        <f ca="1">VLOOKUP($B39,'[3]Analisys QBR By Machine Report'!$C$109:$BD$166,39,FALSE)</f>
        <v>0</v>
      </c>
      <c r="AS39" s="13">
        <f ca="1">VLOOKUP($B39,'[3]Analisys QBR By Machine Report'!$C$109:$BD$166,40,FALSE)</f>
        <v>184</v>
      </c>
      <c r="AT39" s="13">
        <f ca="1">VLOOKUP($B39,'[3]Analisys QBR By Machine Report'!$C$109:$BD$166,41,FALSE)</f>
        <v>0</v>
      </c>
      <c r="AU39" s="13">
        <f ca="1">VLOOKUP($B39,'[3]Analisys QBR By Machine Report'!$C$109:$BD$166,42,FALSE)</f>
        <v>0</v>
      </c>
      <c r="AV39" s="13">
        <f ca="1">VLOOKUP($B39,'[3]Analisys QBR By Machine Report'!$C$109:$BD$166,43,FALSE)</f>
        <v>0</v>
      </c>
      <c r="AW39" s="13">
        <f ca="1">VLOOKUP($B39,'[3]Analisys QBR By Machine Report'!$C$109:$BD$166,44,FALSE)</f>
        <v>0</v>
      </c>
      <c r="AX39" s="13">
        <f ca="1">VLOOKUP($B39,'[3]Analisys QBR By Machine Report'!$C$109:$BD$166,45,FALSE)</f>
        <v>0</v>
      </c>
      <c r="AY39" s="13">
        <f ca="1">VLOOKUP($B39,'[3]Analisys QBR By Machine Report'!$C$109:$BD$166,46,FALSE)</f>
        <v>0</v>
      </c>
      <c r="AZ39" s="13">
        <f ca="1">VLOOKUP($B39,'[3]Analisys QBR By Machine Report'!$C$109:$BD$166,47,FALSE)</f>
        <v>612</v>
      </c>
      <c r="BA39" s="13">
        <f ca="1">VLOOKUP($B39,'[3]Analisys QBR By Machine Report'!$C$109:$BD$166,48,FALSE)</f>
        <v>0</v>
      </c>
      <c r="BB39" s="13">
        <f ca="1">VLOOKUP($B39,'[3]Analisys QBR By Machine Report'!$C$109:$BD$166,49,FALSE)</f>
        <v>0</v>
      </c>
      <c r="BC39" s="13">
        <f ca="1">VLOOKUP($B39,'[3]Analisys QBR By Machine Report'!$C$109:$BD$166,50,FALSE)</f>
        <v>0</v>
      </c>
      <c r="BD39" s="13">
        <f ca="1">VLOOKUP($B39,'[3]Analisys QBR By Machine Report'!$C$109:$BD$166,51,FALSE)</f>
        <v>455982</v>
      </c>
      <c r="BE39" s="13">
        <f ca="1">VLOOKUP($B39,'[3]Analisys QBR By Machine Report'!$C$109:$BD$166,52,FALSE)</f>
        <v>9</v>
      </c>
      <c r="BF39" s="13">
        <f ca="1">VLOOKUP($B39,'[3]Analisys QBR By Machine Report'!$C$109:$BD$166,53,FALSE)</f>
        <v>455973</v>
      </c>
    </row>
    <row r="40" spans="1:58" x14ac:dyDescent="0.25">
      <c r="A40" s="12" t="s">
        <v>96</v>
      </c>
      <c r="B40" s="13">
        <f ca="1">VLOOKUP($B40,'[3]Analisys QBR By Machine Report'!$C$109:$BD$166,2,FALSE)</f>
        <v>28800</v>
      </c>
      <c r="C40" s="14">
        <f ca="1">VLOOKUP($B40,[3]Dasboard_QBR_Report!$B$109:$BL$166,3,FALSE)</f>
        <v>9600</v>
      </c>
      <c r="D40" s="13">
        <f ca="1">VLOOKUP($B40,'[3]Analisys QBR By Machine Report'!$C$109:$BD$166,3,FALSE)</f>
        <v>27810</v>
      </c>
      <c r="E40" s="14">
        <f ca="1">VLOOKUP($B40,[3]Dasboard_QBR_Report!$B$109:$BL$166,5,FALSE)</f>
        <v>8610</v>
      </c>
      <c r="F40" s="13">
        <f t="shared" ca="1" si="0"/>
        <v>990</v>
      </c>
      <c r="G40" s="13">
        <f t="shared" ca="1" si="1"/>
        <v>370</v>
      </c>
      <c r="H40" s="13">
        <f ca="1">VLOOKUP($B40,'[3]Analisys QBR By Machine Report'!$C$109:$BD$166,4,FALSE)</f>
        <v>370</v>
      </c>
      <c r="I40" s="13">
        <f ca="1">VLOOKUP($B40,'[3]Analisys QBR By Machine Report'!$C$109:$BD$166,5,FALSE)</f>
        <v>0</v>
      </c>
      <c r="J40" s="13">
        <f ca="1">VLOOKUP($B40,'[3]Analisys QBR By Machine Report'!$C$109:$BD$166,6,FALSE)</f>
        <v>370</v>
      </c>
      <c r="K40" s="13">
        <f ca="1">VLOOKUP($B40,'[3]Analisys QBR By Machine Report'!$C$109:$BD$166,7,FALSE)</f>
        <v>0</v>
      </c>
      <c r="L40" s="13">
        <f ca="1">VLOOKUP($B40,'[3]Analisys QBR By Machine Report'!$C$109:$BD$166,8,FALSE)</f>
        <v>620</v>
      </c>
      <c r="M40" s="13">
        <f ca="1">VLOOKUP($B40,'[3]Analisys QBR By Machine Report'!$C$109:$BD$166,9,FALSE)</f>
        <v>210</v>
      </c>
      <c r="N40" s="13">
        <f ca="1">VLOOKUP($B40,[3]Dasboard_QBR_Report!$B$109:$BL$166,18,FALSE)</f>
        <v>410</v>
      </c>
      <c r="O40" s="13">
        <f ca="1">VLOOKUP($B40,'[3]Analisys QBR By Machine Report'!$C$109:$BD$166,10,FALSE)</f>
        <v>145</v>
      </c>
      <c r="P40" s="13">
        <f ca="1">VLOOKUP($B40,'[3]Analisys QBR By Machine Report'!$C$109:$BD$166,11,FALSE)</f>
        <v>125</v>
      </c>
      <c r="Q40" s="13">
        <f ca="1">VLOOKUP($B40,'[3]Analisys QBR By Machine Report'!$C$109:$BD$166,12,FALSE)</f>
        <v>0</v>
      </c>
      <c r="R40" s="13">
        <f ca="1">VLOOKUP($B40,'[3]Analisys QBR By Machine Report'!$C$109:$BD$166,13,FALSE)</f>
        <v>20</v>
      </c>
      <c r="S40" s="13">
        <f ca="1">VLOOKUP($B40,'[3]Analisys QBR By Machine Report'!$C$109:$BD$166,14,FALSE)</f>
        <v>0</v>
      </c>
      <c r="T40" s="13">
        <f ca="1">VLOOKUP($B40,'[3]Analisys QBR By Machine Report'!$C$109:$BD$166,15,FALSE)</f>
        <v>0</v>
      </c>
      <c r="U40" s="13">
        <f ca="1">VLOOKUP($B40,'[3]Analisys QBR By Machine Report'!$C$109:$BD$166,16,FALSE)</f>
        <v>0</v>
      </c>
      <c r="V40" s="13">
        <f ca="1">VLOOKUP($B40,'[3]Analisys QBR By Machine Report'!$C$109:$BD$166,17,FALSE)</f>
        <v>0</v>
      </c>
      <c r="W40" s="13">
        <f ca="1">VLOOKUP($B40,'[3]Analisys QBR By Machine Report'!$C$109:$BD$166,18,FALSE)</f>
        <v>0</v>
      </c>
      <c r="X40" s="13">
        <f ca="1">VLOOKUP($B40,'[3]Analisys QBR By Machine Report'!$C$109:$BD$166,19,FALSE)</f>
        <v>0</v>
      </c>
      <c r="Y40" s="13">
        <f ca="1">VLOOKUP($B40,'[3]Analisys QBR By Machine Report'!$C$109:$BD$166,20,FALSE)</f>
        <v>0</v>
      </c>
      <c r="Z40" s="13">
        <f ca="1">VLOOKUP($B40,'[3]Analisys QBR By Machine Report'!$C$109:$BD$166,21,FALSE)</f>
        <v>235</v>
      </c>
      <c r="AA40" s="13">
        <f ca="1">VLOOKUP($B40,'[3]Analisys QBR By Machine Report'!$C$109:$BD$166,22,FALSE)</f>
        <v>70</v>
      </c>
      <c r="AB40" s="13">
        <f ca="1">VLOOKUP($B40,'[3]Analisys QBR By Machine Report'!$C$109:$BD$166,23,FALSE)</f>
        <v>140</v>
      </c>
      <c r="AC40" s="13">
        <f ca="1">VLOOKUP($B40,'[3]Analisys QBR By Machine Report'!$C$109:$BD$166,24,FALSE)</f>
        <v>0</v>
      </c>
      <c r="AD40" s="13">
        <f ca="1">VLOOKUP($B40,'[3]Analisys QBR By Machine Report'!$C$109:$BD$166,25,FALSE)</f>
        <v>0</v>
      </c>
      <c r="AE40" s="13">
        <f ca="1">VLOOKUP($B40,'[3]Analisys QBR By Machine Report'!$C$109:$BD$166,26,FALSE)</f>
        <v>25</v>
      </c>
      <c r="AF40" s="13">
        <f ca="1">VLOOKUP($B40,'[3]Analisys QBR By Machine Report'!$C$109:$BD$166,27,FALSE)</f>
        <v>0</v>
      </c>
      <c r="AG40" s="13">
        <f ca="1">VLOOKUP($B40,'[3]Analisys QBR By Machine Report'!$C$109:$BD$166,28,FALSE)</f>
        <v>0</v>
      </c>
      <c r="AH40" s="13">
        <f ca="1">VLOOKUP($B40,'[3]Analisys QBR By Machine Report'!$C$109:$BD$166,29,FALSE)</f>
        <v>0</v>
      </c>
      <c r="AI40" s="13">
        <f ca="1">VLOOKUP($B40,'[3]Analisys QBR By Machine Report'!$C$109:$BD$166,30,FALSE)</f>
        <v>30</v>
      </c>
      <c r="AJ40" s="13">
        <f ca="1">VLOOKUP($B40,'[3]Analisys QBR By Machine Report'!$C$109:$BD$166,31,FALSE)</f>
        <v>0</v>
      </c>
      <c r="AK40" s="13">
        <f ca="1">VLOOKUP($B40,'[3]Analisys QBR By Machine Report'!$C$109:$BD$166,32,FALSE)</f>
        <v>0</v>
      </c>
      <c r="AL40" s="13">
        <f ca="1">VLOOKUP($B40,'[3]Analisys QBR By Machine Report'!$C$109:$BD$166,33,FALSE)</f>
        <v>0</v>
      </c>
      <c r="AM40" s="13">
        <f ca="1">VLOOKUP($B40,'[3]Analisys QBR By Machine Report'!$C$109:$BD$166,34,FALSE)</f>
        <v>0</v>
      </c>
      <c r="AN40" s="13">
        <f ca="1">VLOOKUP($B40,'[3]Analisys QBR By Machine Report'!$C$109:$BD$166,35,FALSE)</f>
        <v>0</v>
      </c>
      <c r="AO40" s="13">
        <f ca="1">VLOOKUP($B40,'[3]Analisys QBR By Machine Report'!$C$109:$BD$166,36,FALSE)</f>
        <v>0</v>
      </c>
      <c r="AP40" s="13">
        <f ca="1">VLOOKUP($B40,'[3]Analisys QBR By Machine Report'!$C$109:$BD$166,37,FALSE)</f>
        <v>0</v>
      </c>
      <c r="AQ40" s="13">
        <f ca="1">VLOOKUP($B40,'[3]Analisys QBR By Machine Report'!$C$109:$BD$166,38,FALSE)</f>
        <v>0</v>
      </c>
      <c r="AR40" s="13">
        <f ca="1">VLOOKUP($B40,'[3]Analisys QBR By Machine Report'!$C$109:$BD$166,39,FALSE)</f>
        <v>0</v>
      </c>
      <c r="AS40" s="13">
        <f ca="1">VLOOKUP($B40,'[3]Analisys QBR By Machine Report'!$C$109:$BD$166,40,FALSE)</f>
        <v>10</v>
      </c>
      <c r="AT40" s="13">
        <f ca="1">VLOOKUP($B40,'[3]Analisys QBR By Machine Report'!$C$109:$BD$166,41,FALSE)</f>
        <v>0</v>
      </c>
      <c r="AU40" s="13">
        <f ca="1">VLOOKUP($B40,'[3]Analisys QBR By Machine Report'!$C$109:$BD$166,42,FALSE)</f>
        <v>0</v>
      </c>
      <c r="AV40" s="13">
        <f ca="1">VLOOKUP($B40,'[3]Analisys QBR By Machine Report'!$C$109:$BD$166,43,FALSE)</f>
        <v>0</v>
      </c>
      <c r="AW40" s="13">
        <f ca="1">VLOOKUP($B40,'[3]Analisys QBR By Machine Report'!$C$109:$BD$166,44,FALSE)</f>
        <v>0</v>
      </c>
      <c r="AX40" s="13">
        <f ca="1">VLOOKUP($B40,'[3]Analisys QBR By Machine Report'!$C$109:$BD$166,45,FALSE)</f>
        <v>0</v>
      </c>
      <c r="AY40" s="13">
        <f ca="1">VLOOKUP($B40,'[3]Analisys QBR By Machine Report'!$C$109:$BD$166,46,FALSE)</f>
        <v>0</v>
      </c>
      <c r="AZ40" s="13">
        <f ca="1">VLOOKUP($B40,'[3]Analisys QBR By Machine Report'!$C$109:$BD$166,47,FALSE)</f>
        <v>20</v>
      </c>
      <c r="BA40" s="13">
        <f ca="1">VLOOKUP($B40,'[3]Analisys QBR By Machine Report'!$C$109:$BD$166,48,FALSE)</f>
        <v>0</v>
      </c>
      <c r="BB40" s="13">
        <f ca="1">VLOOKUP($B40,'[3]Analisys QBR By Machine Report'!$C$109:$BD$166,49,FALSE)</f>
        <v>0</v>
      </c>
      <c r="BC40" s="13">
        <f ca="1">VLOOKUP($B40,'[3]Analisys QBR By Machine Report'!$C$109:$BD$166,50,FALSE)</f>
        <v>0</v>
      </c>
      <c r="BD40" s="13">
        <f ca="1">VLOOKUP($B40,'[3]Analisys QBR By Machine Report'!$C$109:$BD$166,51,FALSE)</f>
        <v>5632</v>
      </c>
      <c r="BE40" s="13">
        <f ca="1">VLOOKUP($B40,'[3]Analisys QBR By Machine Report'!$C$109:$BD$166,52,FALSE)</f>
        <v>0</v>
      </c>
      <c r="BF40" s="13">
        <f ca="1">VLOOKUP($B40,'[3]Analisys QBR By Machine Report'!$C$109:$BD$166,53,FALSE)</f>
        <v>5632</v>
      </c>
    </row>
    <row r="41" spans="1:58" x14ac:dyDescent="0.25">
      <c r="A41" s="12" t="s">
        <v>97</v>
      </c>
      <c r="B41" s="13">
        <f ca="1">VLOOKUP($B41,'[3]Analisys QBR By Machine Report'!$C$109:$BD$166,2,FALSE)</f>
        <v>28800</v>
      </c>
      <c r="C41" s="14">
        <f ca="1">VLOOKUP($B41,[3]Dasboard_QBR_Report!$B$109:$BL$166,3,FALSE)</f>
        <v>18600</v>
      </c>
      <c r="D41" s="13">
        <f ca="1">VLOOKUP($B41,'[3]Analisys QBR By Machine Report'!$C$109:$BD$166,3,FALSE)</f>
        <v>17145</v>
      </c>
      <c r="E41" s="14">
        <f ca="1">VLOOKUP($B41,[3]Dasboard_QBR_Report!$B$109:$BL$166,5,FALSE)</f>
        <v>6945</v>
      </c>
      <c r="F41" s="13">
        <f t="shared" ca="1" si="0"/>
        <v>11655</v>
      </c>
      <c r="G41" s="13">
        <f t="shared" ca="1" si="1"/>
        <v>2460</v>
      </c>
      <c r="H41" s="13">
        <f ca="1">VLOOKUP($B41,'[3]Analisys QBR By Machine Report'!$C$109:$BD$166,4,FALSE)</f>
        <v>2460</v>
      </c>
      <c r="I41" s="13">
        <f ca="1">VLOOKUP($B41,'[3]Analisys QBR By Machine Report'!$C$109:$BD$166,5,FALSE)</f>
        <v>195</v>
      </c>
      <c r="J41" s="13">
        <f ca="1">VLOOKUP($B41,'[3]Analisys QBR By Machine Report'!$C$109:$BD$166,6,FALSE)</f>
        <v>2265</v>
      </c>
      <c r="K41" s="13">
        <f ca="1">VLOOKUP($B41,'[3]Analisys QBR By Machine Report'!$C$109:$BD$166,7,FALSE)</f>
        <v>0</v>
      </c>
      <c r="L41" s="13">
        <f ca="1">VLOOKUP($B41,'[3]Analisys QBR By Machine Report'!$C$109:$BD$166,8,FALSE)</f>
        <v>9195</v>
      </c>
      <c r="M41" s="13">
        <f ca="1">VLOOKUP($B41,'[3]Analisys QBR By Machine Report'!$C$109:$BD$166,9,FALSE)</f>
        <v>3765</v>
      </c>
      <c r="N41" s="13">
        <f ca="1">VLOOKUP($B41,[3]Dasboard_QBR_Report!$B$109:$BL$166,18,FALSE)</f>
        <v>5430</v>
      </c>
      <c r="O41" s="13">
        <f ca="1">VLOOKUP($B41,'[3]Analisys QBR By Machine Report'!$C$109:$BD$166,10,FALSE)</f>
        <v>745</v>
      </c>
      <c r="P41" s="13">
        <f ca="1">VLOOKUP($B41,'[3]Analisys QBR By Machine Report'!$C$109:$BD$166,11,FALSE)</f>
        <v>580</v>
      </c>
      <c r="Q41" s="13">
        <f ca="1">VLOOKUP($B41,'[3]Analisys QBR By Machine Report'!$C$109:$BD$166,12,FALSE)</f>
        <v>45</v>
      </c>
      <c r="R41" s="13">
        <f ca="1">VLOOKUP($B41,'[3]Analisys QBR By Machine Report'!$C$109:$BD$166,13,FALSE)</f>
        <v>35</v>
      </c>
      <c r="S41" s="13">
        <f ca="1">VLOOKUP($B41,'[3]Analisys QBR By Machine Report'!$C$109:$BD$166,14,FALSE)</f>
        <v>85</v>
      </c>
      <c r="T41" s="13">
        <f ca="1">VLOOKUP($B41,'[3]Analisys QBR By Machine Report'!$C$109:$BD$166,15,FALSE)</f>
        <v>0</v>
      </c>
      <c r="U41" s="13">
        <f ca="1">VLOOKUP($B41,'[3]Analisys QBR By Machine Report'!$C$109:$BD$166,16,FALSE)</f>
        <v>0</v>
      </c>
      <c r="V41" s="13">
        <f ca="1">VLOOKUP($B41,'[3]Analisys QBR By Machine Report'!$C$109:$BD$166,17,FALSE)</f>
        <v>0</v>
      </c>
      <c r="W41" s="13">
        <f ca="1">VLOOKUP($B41,'[3]Analisys QBR By Machine Report'!$C$109:$BD$166,18,FALSE)</f>
        <v>0</v>
      </c>
      <c r="X41" s="13">
        <f ca="1">VLOOKUP($B41,'[3]Analisys QBR By Machine Report'!$C$109:$BD$166,19,FALSE)</f>
        <v>0</v>
      </c>
      <c r="Y41" s="13">
        <f ca="1">VLOOKUP($B41,'[3]Analisys QBR By Machine Report'!$C$109:$BD$166,20,FALSE)</f>
        <v>0</v>
      </c>
      <c r="Z41" s="13">
        <f ca="1">VLOOKUP($B41,'[3]Analisys QBR By Machine Report'!$C$109:$BD$166,21,FALSE)</f>
        <v>570</v>
      </c>
      <c r="AA41" s="13">
        <f ca="1">VLOOKUP($B41,'[3]Analisys QBR By Machine Report'!$C$109:$BD$166,22,FALSE)</f>
        <v>350</v>
      </c>
      <c r="AB41" s="13">
        <f ca="1">VLOOKUP($B41,'[3]Analisys QBR By Machine Report'!$C$109:$BD$166,23,FALSE)</f>
        <v>220</v>
      </c>
      <c r="AC41" s="13">
        <f ca="1">VLOOKUP($B41,'[3]Analisys QBR By Machine Report'!$C$109:$BD$166,24,FALSE)</f>
        <v>0</v>
      </c>
      <c r="AD41" s="13">
        <f ca="1">VLOOKUP($B41,'[3]Analisys QBR By Machine Report'!$C$109:$BD$166,25,FALSE)</f>
        <v>0</v>
      </c>
      <c r="AE41" s="13">
        <f ca="1">VLOOKUP($B41,'[3]Analisys QBR By Machine Report'!$C$109:$BD$166,26,FALSE)</f>
        <v>0</v>
      </c>
      <c r="AF41" s="13">
        <f ca="1">VLOOKUP($B41,'[3]Analisys QBR By Machine Report'!$C$109:$BD$166,27,FALSE)</f>
        <v>0</v>
      </c>
      <c r="AG41" s="13">
        <f ca="1">VLOOKUP($B41,'[3]Analisys QBR By Machine Report'!$C$109:$BD$166,28,FALSE)</f>
        <v>0</v>
      </c>
      <c r="AH41" s="13">
        <f ca="1">VLOOKUP($B41,'[3]Analisys QBR By Machine Report'!$C$109:$BD$166,29,FALSE)</f>
        <v>0</v>
      </c>
      <c r="AI41" s="13">
        <f ca="1">VLOOKUP($B41,'[3]Analisys QBR By Machine Report'!$C$109:$BD$166,30,FALSE)</f>
        <v>4115</v>
      </c>
      <c r="AJ41" s="13">
        <f ca="1">VLOOKUP($B41,'[3]Analisys QBR By Machine Report'!$C$109:$BD$166,31,FALSE)</f>
        <v>0</v>
      </c>
      <c r="AK41" s="13">
        <f ca="1">VLOOKUP($B41,'[3]Analisys QBR By Machine Report'!$C$109:$BD$166,32,FALSE)</f>
        <v>0</v>
      </c>
      <c r="AL41" s="13">
        <f ca="1">VLOOKUP($B41,'[3]Analisys QBR By Machine Report'!$C$109:$BD$166,33,FALSE)</f>
        <v>180</v>
      </c>
      <c r="AM41" s="13">
        <f ca="1">VLOOKUP($B41,'[3]Analisys QBR By Machine Report'!$C$109:$BD$166,34,FALSE)</f>
        <v>0</v>
      </c>
      <c r="AN41" s="13">
        <f ca="1">VLOOKUP($B41,'[3]Analisys QBR By Machine Report'!$C$109:$BD$166,35,FALSE)</f>
        <v>220</v>
      </c>
      <c r="AO41" s="13">
        <f ca="1">VLOOKUP($B41,'[3]Analisys QBR By Machine Report'!$C$109:$BD$166,36,FALSE)</f>
        <v>1645</v>
      </c>
      <c r="AP41" s="13">
        <f ca="1">VLOOKUP($B41,'[3]Analisys QBR By Machine Report'!$C$109:$BD$166,37,FALSE)</f>
        <v>0</v>
      </c>
      <c r="AQ41" s="13">
        <f ca="1">VLOOKUP($B41,'[3]Analisys QBR By Machine Report'!$C$109:$BD$166,38,FALSE)</f>
        <v>0</v>
      </c>
      <c r="AR41" s="13">
        <f ca="1">VLOOKUP($B41,'[3]Analisys QBR By Machine Report'!$C$109:$BD$166,39,FALSE)</f>
        <v>1800</v>
      </c>
      <c r="AS41" s="13">
        <f ca="1">VLOOKUP($B41,'[3]Analisys QBR By Machine Report'!$C$109:$BD$166,40,FALSE)</f>
        <v>135</v>
      </c>
      <c r="AT41" s="13">
        <f ca="1">VLOOKUP($B41,'[3]Analisys QBR By Machine Report'!$C$109:$BD$166,41,FALSE)</f>
        <v>0</v>
      </c>
      <c r="AU41" s="13">
        <f ca="1">VLOOKUP($B41,'[3]Analisys QBR By Machine Report'!$C$109:$BD$166,42,FALSE)</f>
        <v>0</v>
      </c>
      <c r="AV41" s="13">
        <f ca="1">VLOOKUP($B41,'[3]Analisys QBR By Machine Report'!$C$109:$BD$166,43,FALSE)</f>
        <v>0</v>
      </c>
      <c r="AW41" s="13">
        <f ca="1">VLOOKUP($B41,'[3]Analisys QBR By Machine Report'!$C$109:$BD$166,44,FALSE)</f>
        <v>0</v>
      </c>
      <c r="AX41" s="13">
        <f ca="1">VLOOKUP($B41,'[3]Analisys QBR By Machine Report'!$C$109:$BD$166,45,FALSE)</f>
        <v>0</v>
      </c>
      <c r="AY41" s="13">
        <f ca="1">VLOOKUP($B41,'[3]Analisys QBR By Machine Report'!$C$109:$BD$166,46,FALSE)</f>
        <v>0</v>
      </c>
      <c r="AZ41" s="13">
        <f ca="1">VLOOKUP($B41,'[3]Analisys QBR By Machine Report'!$C$109:$BD$166,47,FALSE)</f>
        <v>135</v>
      </c>
      <c r="BA41" s="13">
        <f ca="1">VLOOKUP($B41,'[3]Analisys QBR By Machine Report'!$C$109:$BD$166,48,FALSE)</f>
        <v>0</v>
      </c>
      <c r="BB41" s="13">
        <f ca="1">VLOOKUP($B41,'[3]Analisys QBR By Machine Report'!$C$109:$BD$166,49,FALSE)</f>
        <v>0</v>
      </c>
      <c r="BC41" s="13">
        <f ca="1">VLOOKUP($B41,'[3]Analisys QBR By Machine Report'!$C$109:$BD$166,50,FALSE)</f>
        <v>0</v>
      </c>
      <c r="BD41" s="13">
        <f ca="1">VLOOKUP($B41,'[3]Analisys QBR By Machine Report'!$C$109:$BD$166,51,FALSE)</f>
        <v>186959</v>
      </c>
      <c r="BE41" s="13">
        <f ca="1">VLOOKUP($B41,'[3]Analisys QBR By Machine Report'!$C$109:$BD$166,52,FALSE)</f>
        <v>0</v>
      </c>
      <c r="BF41" s="13">
        <f ca="1">VLOOKUP($B41,'[3]Analisys QBR By Machine Report'!$C$109:$BD$166,53,FALSE)</f>
        <v>186959</v>
      </c>
    </row>
    <row r="42" spans="1:58" x14ac:dyDescent="0.25">
      <c r="A42" s="12" t="s">
        <v>98</v>
      </c>
      <c r="B42" s="13">
        <f ca="1">VLOOKUP($B42,'[3]Analisys QBR By Machine Report'!$C$109:$BD$166,2,FALSE)</f>
        <v>28800</v>
      </c>
      <c r="C42" s="14">
        <f ca="1">VLOOKUP($B42,[3]Dasboard_QBR_Report!$B$109:$BL$166,3,FALSE)</f>
        <v>9600</v>
      </c>
      <c r="D42" s="13">
        <f ca="1">VLOOKUP($B42,'[3]Analisys QBR By Machine Report'!$C$109:$BD$166,3,FALSE)</f>
        <v>23370</v>
      </c>
      <c r="E42" s="14">
        <f ca="1">VLOOKUP($B42,[3]Dasboard_QBR_Report!$B$109:$BL$166,5,FALSE)</f>
        <v>4170</v>
      </c>
      <c r="F42" s="13">
        <f t="shared" ca="1" si="0"/>
        <v>5430</v>
      </c>
      <c r="G42" s="13">
        <f t="shared" ca="1" si="1"/>
        <v>470</v>
      </c>
      <c r="H42" s="13">
        <f ca="1">VLOOKUP($B42,'[3]Analisys QBR By Machine Report'!$C$109:$BD$166,4,FALSE)</f>
        <v>470</v>
      </c>
      <c r="I42" s="13">
        <f ca="1">VLOOKUP($B42,'[3]Analisys QBR By Machine Report'!$C$109:$BD$166,5,FALSE)</f>
        <v>150</v>
      </c>
      <c r="J42" s="13">
        <f ca="1">VLOOKUP($B42,'[3]Analisys QBR By Machine Report'!$C$109:$BD$166,6,FALSE)</f>
        <v>320</v>
      </c>
      <c r="K42" s="13">
        <f ca="1">VLOOKUP($B42,'[3]Analisys QBR By Machine Report'!$C$109:$BD$166,7,FALSE)</f>
        <v>0</v>
      </c>
      <c r="L42" s="13">
        <f ca="1">VLOOKUP($B42,'[3]Analisys QBR By Machine Report'!$C$109:$BD$166,8,FALSE)</f>
        <v>4960</v>
      </c>
      <c r="M42" s="13">
        <f ca="1">VLOOKUP($B42,'[3]Analisys QBR By Machine Report'!$C$109:$BD$166,9,FALSE)</f>
        <v>2454</v>
      </c>
      <c r="N42" s="13">
        <f ca="1">VLOOKUP($B42,[3]Dasboard_QBR_Report!$B$109:$BL$166,18,FALSE)</f>
        <v>2506</v>
      </c>
      <c r="O42" s="13">
        <f ca="1">VLOOKUP($B42,'[3]Analisys QBR By Machine Report'!$C$109:$BD$166,10,FALSE)</f>
        <v>1150</v>
      </c>
      <c r="P42" s="13">
        <f ca="1">VLOOKUP($B42,'[3]Analisys QBR By Machine Report'!$C$109:$BD$166,11,FALSE)</f>
        <v>765</v>
      </c>
      <c r="Q42" s="13">
        <f ca="1">VLOOKUP($B42,'[3]Analisys QBR By Machine Report'!$C$109:$BD$166,12,FALSE)</f>
        <v>109</v>
      </c>
      <c r="R42" s="13">
        <f ca="1">VLOOKUP($B42,'[3]Analisys QBR By Machine Report'!$C$109:$BD$166,13,FALSE)</f>
        <v>70</v>
      </c>
      <c r="S42" s="13">
        <f ca="1">VLOOKUP($B42,'[3]Analisys QBR By Machine Report'!$C$109:$BD$166,14,FALSE)</f>
        <v>206</v>
      </c>
      <c r="T42" s="13">
        <f ca="1">VLOOKUP($B42,'[3]Analisys QBR By Machine Report'!$C$109:$BD$166,15,FALSE)</f>
        <v>0</v>
      </c>
      <c r="U42" s="13">
        <f ca="1">VLOOKUP($B42,'[3]Analisys QBR By Machine Report'!$C$109:$BD$166,16,FALSE)</f>
        <v>0</v>
      </c>
      <c r="V42" s="13">
        <f ca="1">VLOOKUP($B42,'[3]Analisys QBR By Machine Report'!$C$109:$BD$166,17,FALSE)</f>
        <v>0</v>
      </c>
      <c r="W42" s="13">
        <f ca="1">VLOOKUP($B42,'[3]Analisys QBR By Machine Report'!$C$109:$BD$166,18,FALSE)</f>
        <v>0</v>
      </c>
      <c r="X42" s="13">
        <f ca="1">VLOOKUP($B42,'[3]Analisys QBR By Machine Report'!$C$109:$BD$166,19,FALSE)</f>
        <v>0</v>
      </c>
      <c r="Y42" s="13">
        <f ca="1">VLOOKUP($B42,'[3]Analisys QBR By Machine Report'!$C$109:$BD$166,20,FALSE)</f>
        <v>0</v>
      </c>
      <c r="Z42" s="13">
        <f ca="1">VLOOKUP($B42,'[3]Analisys QBR By Machine Report'!$C$109:$BD$166,21,FALSE)</f>
        <v>802</v>
      </c>
      <c r="AA42" s="13">
        <f ca="1">VLOOKUP($B42,'[3]Analisys QBR By Machine Report'!$C$109:$BD$166,22,FALSE)</f>
        <v>527</v>
      </c>
      <c r="AB42" s="13">
        <f ca="1">VLOOKUP($B42,'[3]Analisys QBR By Machine Report'!$C$109:$BD$166,23,FALSE)</f>
        <v>275</v>
      </c>
      <c r="AC42" s="13">
        <f ca="1">VLOOKUP($B42,'[3]Analisys QBR By Machine Report'!$C$109:$BD$166,24,FALSE)</f>
        <v>0</v>
      </c>
      <c r="AD42" s="13">
        <f ca="1">VLOOKUP($B42,'[3]Analisys QBR By Machine Report'!$C$109:$BD$166,25,FALSE)</f>
        <v>0</v>
      </c>
      <c r="AE42" s="13">
        <f ca="1">VLOOKUP($B42,'[3]Analisys QBR By Machine Report'!$C$109:$BD$166,26,FALSE)</f>
        <v>0</v>
      </c>
      <c r="AF42" s="13">
        <f ca="1">VLOOKUP($B42,'[3]Analisys QBR By Machine Report'!$C$109:$BD$166,27,FALSE)</f>
        <v>0</v>
      </c>
      <c r="AG42" s="13">
        <f ca="1">VLOOKUP($B42,'[3]Analisys QBR By Machine Report'!$C$109:$BD$166,28,FALSE)</f>
        <v>0</v>
      </c>
      <c r="AH42" s="13">
        <f ca="1">VLOOKUP($B42,'[3]Analisys QBR By Machine Report'!$C$109:$BD$166,29,FALSE)</f>
        <v>0</v>
      </c>
      <c r="AI42" s="13">
        <f ca="1">VLOOKUP($B42,'[3]Analisys QBR By Machine Report'!$C$109:$BD$166,30,FALSE)</f>
        <v>554</v>
      </c>
      <c r="AJ42" s="13">
        <f ca="1">VLOOKUP($B42,'[3]Analisys QBR By Machine Report'!$C$109:$BD$166,31,FALSE)</f>
        <v>0</v>
      </c>
      <c r="AK42" s="13">
        <f ca="1">VLOOKUP($B42,'[3]Analisys QBR By Machine Report'!$C$109:$BD$166,32,FALSE)</f>
        <v>0</v>
      </c>
      <c r="AL42" s="13">
        <f ca="1">VLOOKUP($B42,'[3]Analisys QBR By Machine Report'!$C$109:$BD$166,33,FALSE)</f>
        <v>0</v>
      </c>
      <c r="AM42" s="13">
        <f ca="1">VLOOKUP($B42,'[3]Analisys QBR By Machine Report'!$C$109:$BD$166,34,FALSE)</f>
        <v>0</v>
      </c>
      <c r="AN42" s="13">
        <f ca="1">VLOOKUP($B42,'[3]Analisys QBR By Machine Report'!$C$109:$BD$166,35,FALSE)</f>
        <v>142</v>
      </c>
      <c r="AO42" s="13">
        <f ca="1">VLOOKUP($B42,'[3]Analisys QBR By Machine Report'!$C$109:$BD$166,36,FALSE)</f>
        <v>0</v>
      </c>
      <c r="AP42" s="13">
        <f ca="1">VLOOKUP($B42,'[3]Analisys QBR By Machine Report'!$C$109:$BD$166,37,FALSE)</f>
        <v>120</v>
      </c>
      <c r="AQ42" s="13">
        <f ca="1">VLOOKUP($B42,'[3]Analisys QBR By Machine Report'!$C$109:$BD$166,38,FALSE)</f>
        <v>0</v>
      </c>
      <c r="AR42" s="13">
        <f ca="1">VLOOKUP($B42,'[3]Analisys QBR By Machine Report'!$C$109:$BD$166,39,FALSE)</f>
        <v>17</v>
      </c>
      <c r="AS42" s="13">
        <f ca="1">VLOOKUP($B42,'[3]Analisys QBR By Machine Report'!$C$109:$BD$166,40,FALSE)</f>
        <v>125</v>
      </c>
      <c r="AT42" s="13">
        <f ca="1">VLOOKUP($B42,'[3]Analisys QBR By Machine Report'!$C$109:$BD$166,41,FALSE)</f>
        <v>0</v>
      </c>
      <c r="AU42" s="13">
        <f ca="1">VLOOKUP($B42,'[3]Analisys QBR By Machine Report'!$C$109:$BD$166,42,FALSE)</f>
        <v>0</v>
      </c>
      <c r="AV42" s="13">
        <f ca="1">VLOOKUP($B42,'[3]Analisys QBR By Machine Report'!$C$109:$BD$166,43,FALSE)</f>
        <v>0</v>
      </c>
      <c r="AW42" s="13">
        <f ca="1">VLOOKUP($B42,'[3]Analisys QBR By Machine Report'!$C$109:$BD$166,44,FALSE)</f>
        <v>0</v>
      </c>
      <c r="AX42" s="13">
        <f ca="1">VLOOKUP($B42,'[3]Analisys QBR By Machine Report'!$C$109:$BD$166,45,FALSE)</f>
        <v>0</v>
      </c>
      <c r="AY42" s="13">
        <f ca="1">VLOOKUP($B42,'[3]Analisys QBR By Machine Report'!$C$109:$BD$166,46,FALSE)</f>
        <v>0</v>
      </c>
      <c r="AZ42" s="13">
        <f ca="1">VLOOKUP($B42,'[3]Analisys QBR By Machine Report'!$C$109:$BD$166,47,FALSE)</f>
        <v>115</v>
      </c>
      <c r="BA42" s="13">
        <f ca="1">VLOOKUP($B42,'[3]Analisys QBR By Machine Report'!$C$109:$BD$166,48,FALSE)</f>
        <v>35</v>
      </c>
      <c r="BB42" s="13">
        <f ca="1">VLOOKUP($B42,'[3]Analisys QBR By Machine Report'!$C$109:$BD$166,49,FALSE)</f>
        <v>0</v>
      </c>
      <c r="BC42" s="13">
        <f ca="1">VLOOKUP($B42,'[3]Analisys QBR By Machine Report'!$C$109:$BD$166,50,FALSE)</f>
        <v>0</v>
      </c>
      <c r="BD42" s="13">
        <f ca="1">VLOOKUP($B42,'[3]Analisys QBR By Machine Report'!$C$109:$BD$166,51,FALSE)</f>
        <v>248052</v>
      </c>
      <c r="BE42" s="13">
        <f ca="1">VLOOKUP($B42,'[3]Analisys QBR By Machine Report'!$C$109:$BD$166,52,FALSE)</f>
        <v>22</v>
      </c>
      <c r="BF42" s="13">
        <f ca="1">VLOOKUP($B42,'[3]Analisys QBR By Machine Report'!$C$109:$BD$166,53,FALSE)</f>
        <v>248030</v>
      </c>
    </row>
    <row r="43" spans="1:58" x14ac:dyDescent="0.25">
      <c r="A43" s="9" t="s">
        <v>99</v>
      </c>
      <c r="B43" s="10">
        <f ca="1">VLOOKUP($B43,'[3]Analisys QBR By Machine Report'!$C$109:$BD$166,2,FALSE)</f>
        <v>28800</v>
      </c>
      <c r="C43" s="11">
        <f ca="1">VLOOKUP($B43,[3]Dasboard_QBR_Report!$B$109:$BL$166,3,FALSE)</f>
        <v>9600</v>
      </c>
      <c r="D43" s="10">
        <f ca="1">VLOOKUP($B43,'[3]Analisys QBR By Machine Report'!$C$109:$BD$166,3,FALSE)</f>
        <v>27810</v>
      </c>
      <c r="E43" s="11">
        <f ca="1">VLOOKUP($B43,[3]Dasboard_QBR_Report!$B$109:$BL$166,5,FALSE)</f>
        <v>8610</v>
      </c>
      <c r="F43" s="10">
        <f t="shared" ca="1" si="0"/>
        <v>990</v>
      </c>
      <c r="G43" s="10">
        <f t="shared" ca="1" si="1"/>
        <v>495</v>
      </c>
      <c r="H43" s="10">
        <f ca="1">VLOOKUP($B43,'[3]Analisys QBR By Machine Report'!$C$109:$BD$166,4,FALSE)</f>
        <v>495</v>
      </c>
      <c r="I43" s="10">
        <f ca="1">VLOOKUP($B43,'[3]Analisys QBR By Machine Report'!$C$109:$BD$166,5,FALSE)</f>
        <v>240</v>
      </c>
      <c r="J43" s="10">
        <f ca="1">VLOOKUP($B43,'[3]Analisys QBR By Machine Report'!$C$109:$BD$166,6,FALSE)</f>
        <v>255</v>
      </c>
      <c r="K43" s="10">
        <f ca="1">VLOOKUP($B43,'[3]Analisys QBR By Machine Report'!$C$109:$BD$166,7,FALSE)</f>
        <v>0</v>
      </c>
      <c r="L43" s="10">
        <f ca="1">VLOOKUP($B43,'[3]Analisys QBR By Machine Report'!$C$109:$BD$166,8,FALSE)</f>
        <v>495</v>
      </c>
      <c r="M43" s="10">
        <f ca="1">VLOOKUP($B43,'[3]Analisys QBR By Machine Report'!$C$109:$BD$166,9,FALSE)</f>
        <v>44</v>
      </c>
      <c r="N43" s="10">
        <f ca="1">VLOOKUP($B43,[3]Dasboard_QBR_Report!$B$109:$BL$166,18,FALSE)</f>
        <v>451</v>
      </c>
      <c r="O43" s="10">
        <f ca="1">VLOOKUP($B43,'[3]Analisys QBR By Machine Report'!$C$109:$BD$166,10,FALSE)</f>
        <v>45</v>
      </c>
      <c r="P43" s="10">
        <f ca="1">VLOOKUP($B43,'[3]Analisys QBR By Machine Report'!$C$109:$BD$166,11,FALSE)</f>
        <v>15</v>
      </c>
      <c r="Q43" s="10">
        <f ca="1">VLOOKUP($B43,'[3]Analisys QBR By Machine Report'!$C$109:$BD$166,12,FALSE)</f>
        <v>30</v>
      </c>
      <c r="R43" s="10">
        <f ca="1">VLOOKUP($B43,'[3]Analisys QBR By Machine Report'!$C$109:$BD$166,13,FALSE)</f>
        <v>0</v>
      </c>
      <c r="S43" s="10">
        <f ca="1">VLOOKUP($B43,'[3]Analisys QBR By Machine Report'!$C$109:$BD$166,14,FALSE)</f>
        <v>0</v>
      </c>
      <c r="T43" s="10">
        <f ca="1">VLOOKUP($B43,'[3]Analisys QBR By Machine Report'!$C$109:$BD$166,15,FALSE)</f>
        <v>0</v>
      </c>
      <c r="U43" s="10">
        <f ca="1">VLOOKUP($B43,'[3]Analisys QBR By Machine Report'!$C$109:$BD$166,16,FALSE)</f>
        <v>0</v>
      </c>
      <c r="V43" s="10">
        <f ca="1">VLOOKUP($B43,'[3]Analisys QBR By Machine Report'!$C$109:$BD$166,17,FALSE)</f>
        <v>0</v>
      </c>
      <c r="W43" s="10">
        <f ca="1">VLOOKUP($B43,'[3]Analisys QBR By Machine Report'!$C$109:$BD$166,18,FALSE)</f>
        <v>0</v>
      </c>
      <c r="X43" s="10">
        <f ca="1">VLOOKUP($B43,'[3]Analisys QBR By Machine Report'!$C$109:$BD$166,19,FALSE)</f>
        <v>0</v>
      </c>
      <c r="Y43" s="10">
        <f ca="1">VLOOKUP($B43,'[3]Analisys QBR By Machine Report'!$C$109:$BD$166,20,FALSE)</f>
        <v>0</v>
      </c>
      <c r="Z43" s="10">
        <f ca="1">VLOOKUP($B43,'[3]Analisys QBR By Machine Report'!$C$109:$BD$166,21,FALSE)</f>
        <v>332</v>
      </c>
      <c r="AA43" s="10">
        <f ca="1">VLOOKUP($B43,'[3]Analisys QBR By Machine Report'!$C$109:$BD$166,22,FALSE)</f>
        <v>232</v>
      </c>
      <c r="AB43" s="10">
        <f ca="1">VLOOKUP($B43,'[3]Analisys QBR By Machine Report'!$C$109:$BD$166,23,FALSE)</f>
        <v>90</v>
      </c>
      <c r="AC43" s="10">
        <f ca="1">VLOOKUP($B43,'[3]Analisys QBR By Machine Report'!$C$109:$BD$166,24,FALSE)</f>
        <v>0</v>
      </c>
      <c r="AD43" s="10">
        <f ca="1">VLOOKUP($B43,'[3]Analisys QBR By Machine Report'!$C$109:$BD$166,25,FALSE)</f>
        <v>0</v>
      </c>
      <c r="AE43" s="10">
        <f ca="1">VLOOKUP($B43,'[3]Analisys QBR By Machine Report'!$C$109:$BD$166,26,FALSE)</f>
        <v>10</v>
      </c>
      <c r="AF43" s="10">
        <f ca="1">VLOOKUP($B43,'[3]Analisys QBR By Machine Report'!$C$109:$BD$166,27,FALSE)</f>
        <v>0</v>
      </c>
      <c r="AG43" s="10">
        <f ca="1">VLOOKUP($B43,'[3]Analisys QBR By Machine Report'!$C$109:$BD$166,28,FALSE)</f>
        <v>0</v>
      </c>
      <c r="AH43" s="10">
        <f ca="1">VLOOKUP($B43,'[3]Analisys QBR By Machine Report'!$C$109:$BD$166,29,FALSE)</f>
        <v>0</v>
      </c>
      <c r="AI43" s="10">
        <f ca="1">VLOOKUP($B43,'[3]Analisys QBR By Machine Report'!$C$109:$BD$166,30,FALSE)</f>
        <v>74</v>
      </c>
      <c r="AJ43" s="10">
        <f ca="1">VLOOKUP($B43,'[3]Analisys QBR By Machine Report'!$C$109:$BD$166,31,FALSE)</f>
        <v>60</v>
      </c>
      <c r="AK43" s="10">
        <f ca="1">VLOOKUP($B43,'[3]Analisys QBR By Machine Report'!$C$109:$BD$166,32,FALSE)</f>
        <v>0</v>
      </c>
      <c r="AL43" s="10">
        <f ca="1">VLOOKUP($B43,'[3]Analisys QBR By Machine Report'!$C$109:$BD$166,33,FALSE)</f>
        <v>0</v>
      </c>
      <c r="AM43" s="10">
        <f ca="1">VLOOKUP($B43,'[3]Analisys QBR By Machine Report'!$C$109:$BD$166,34,FALSE)</f>
        <v>0</v>
      </c>
      <c r="AN43" s="10">
        <f ca="1">VLOOKUP($B43,'[3]Analisys QBR By Machine Report'!$C$109:$BD$166,35,FALSE)</f>
        <v>0</v>
      </c>
      <c r="AO43" s="10">
        <f ca="1">VLOOKUP($B43,'[3]Analisys QBR By Machine Report'!$C$109:$BD$166,36,FALSE)</f>
        <v>0</v>
      </c>
      <c r="AP43" s="10">
        <f ca="1">VLOOKUP($B43,'[3]Analisys QBR By Machine Report'!$C$109:$BD$166,37,FALSE)</f>
        <v>0</v>
      </c>
      <c r="AQ43" s="10">
        <f ca="1">VLOOKUP($B43,'[3]Analisys QBR By Machine Report'!$C$109:$BD$166,38,FALSE)</f>
        <v>0</v>
      </c>
      <c r="AR43" s="10">
        <f ca="1">VLOOKUP($B43,'[3]Analisys QBR By Machine Report'!$C$109:$BD$166,39,FALSE)</f>
        <v>0</v>
      </c>
      <c r="AS43" s="10">
        <f ca="1">VLOOKUP($B43,'[3]Analisys QBR By Machine Report'!$C$109:$BD$166,40,FALSE)</f>
        <v>0</v>
      </c>
      <c r="AT43" s="10">
        <f ca="1">VLOOKUP($B43,'[3]Analisys QBR By Machine Report'!$C$109:$BD$166,41,FALSE)</f>
        <v>0</v>
      </c>
      <c r="AU43" s="10">
        <f ca="1">VLOOKUP($B43,'[3]Analisys QBR By Machine Report'!$C$109:$BD$166,42,FALSE)</f>
        <v>0</v>
      </c>
      <c r="AV43" s="10">
        <f ca="1">VLOOKUP($B43,'[3]Analisys QBR By Machine Report'!$C$109:$BD$166,43,FALSE)</f>
        <v>0</v>
      </c>
      <c r="AW43" s="10">
        <f ca="1">VLOOKUP($B43,'[3]Analisys QBR By Machine Report'!$C$109:$BD$166,44,FALSE)</f>
        <v>0</v>
      </c>
      <c r="AX43" s="10">
        <f ca="1">VLOOKUP($B43,'[3]Analisys QBR By Machine Report'!$C$109:$BD$166,45,FALSE)</f>
        <v>0</v>
      </c>
      <c r="AY43" s="10">
        <f ca="1">VLOOKUP($B43,'[3]Analisys QBR By Machine Report'!$C$109:$BD$166,46,FALSE)</f>
        <v>0</v>
      </c>
      <c r="AZ43" s="10">
        <f ca="1">VLOOKUP($B43,'[3]Analisys QBR By Machine Report'!$C$109:$BD$166,47,FALSE)</f>
        <v>14</v>
      </c>
      <c r="BA43" s="10">
        <f ca="1">VLOOKUP($B43,'[3]Analisys QBR By Machine Report'!$C$109:$BD$166,48,FALSE)</f>
        <v>0</v>
      </c>
      <c r="BB43" s="10">
        <f ca="1">VLOOKUP($B43,'[3]Analisys QBR By Machine Report'!$C$109:$BD$166,49,FALSE)</f>
        <v>0</v>
      </c>
      <c r="BC43" s="10">
        <f ca="1">VLOOKUP($B43,'[3]Analisys QBR By Machine Report'!$C$109:$BD$166,50,FALSE)</f>
        <v>0</v>
      </c>
      <c r="BD43" s="10">
        <f ca="1">VLOOKUP($B43,'[3]Analisys QBR By Machine Report'!$C$109:$BD$166,51,FALSE)</f>
        <v>325.16000000000003</v>
      </c>
      <c r="BE43" s="10">
        <f ca="1">VLOOKUP($B43,'[3]Analisys QBR By Machine Report'!$C$109:$BD$166,52,FALSE)</f>
        <v>0.43</v>
      </c>
      <c r="BF43" s="10">
        <f ca="1">VLOOKUP($B43,'[3]Analisys QBR By Machine Report'!$C$109:$BD$166,53,FALSE)</f>
        <v>324.73</v>
      </c>
    </row>
    <row r="44" spans="1:58" x14ac:dyDescent="0.25">
      <c r="A44" s="12" t="s">
        <v>100</v>
      </c>
      <c r="B44" s="13">
        <f ca="1">VLOOKUP($B44,'[3]Analisys QBR By Machine Report'!$C$109:$BD$166,2,FALSE)</f>
        <v>28800</v>
      </c>
      <c r="C44" s="14">
        <f ca="1">VLOOKUP($B44,[3]Dasboard_QBR_Report!$B$109:$BL$166,3,FALSE)</f>
        <v>9600</v>
      </c>
      <c r="D44" s="13">
        <f ca="1">VLOOKUP($B44,'[3]Analisys QBR By Machine Report'!$C$109:$BD$166,3,FALSE)</f>
        <v>27810</v>
      </c>
      <c r="E44" s="14">
        <f ca="1">VLOOKUP($B44,[3]Dasboard_QBR_Report!$B$109:$BL$166,5,FALSE)</f>
        <v>8610</v>
      </c>
      <c r="F44" s="13">
        <f t="shared" ca="1" si="0"/>
        <v>990</v>
      </c>
      <c r="G44" s="13">
        <f t="shared" ca="1" si="1"/>
        <v>495</v>
      </c>
      <c r="H44" s="13">
        <f ca="1">VLOOKUP($B44,'[3]Analisys QBR By Machine Report'!$C$109:$BD$166,4,FALSE)</f>
        <v>495</v>
      </c>
      <c r="I44" s="13">
        <f ca="1">VLOOKUP($B44,'[3]Analisys QBR By Machine Report'!$C$109:$BD$166,5,FALSE)</f>
        <v>240</v>
      </c>
      <c r="J44" s="13">
        <f ca="1">VLOOKUP($B44,'[3]Analisys QBR By Machine Report'!$C$109:$BD$166,6,FALSE)</f>
        <v>255</v>
      </c>
      <c r="K44" s="13">
        <f ca="1">VLOOKUP($B44,'[3]Analisys QBR By Machine Report'!$C$109:$BD$166,7,FALSE)</f>
        <v>0</v>
      </c>
      <c r="L44" s="13">
        <f ca="1">VLOOKUP($B44,'[3]Analisys QBR By Machine Report'!$C$109:$BD$166,8,FALSE)</f>
        <v>495</v>
      </c>
      <c r="M44" s="13">
        <f ca="1">VLOOKUP($B44,'[3]Analisys QBR By Machine Report'!$C$109:$BD$166,9,FALSE)</f>
        <v>44</v>
      </c>
      <c r="N44" s="13">
        <f ca="1">VLOOKUP($B44,[3]Dasboard_QBR_Report!$B$109:$BL$166,18,FALSE)</f>
        <v>451</v>
      </c>
      <c r="O44" s="13">
        <f ca="1">VLOOKUP($B44,'[3]Analisys QBR By Machine Report'!$C$109:$BD$166,10,FALSE)</f>
        <v>45</v>
      </c>
      <c r="P44" s="13">
        <f ca="1">VLOOKUP($B44,'[3]Analisys QBR By Machine Report'!$C$109:$BD$166,11,FALSE)</f>
        <v>15</v>
      </c>
      <c r="Q44" s="13">
        <f ca="1">VLOOKUP($B44,'[3]Analisys QBR By Machine Report'!$C$109:$BD$166,12,FALSE)</f>
        <v>30</v>
      </c>
      <c r="R44" s="13">
        <f ca="1">VLOOKUP($B44,'[3]Analisys QBR By Machine Report'!$C$109:$BD$166,13,FALSE)</f>
        <v>0</v>
      </c>
      <c r="S44" s="13">
        <f ca="1">VLOOKUP($B44,'[3]Analisys QBR By Machine Report'!$C$109:$BD$166,14,FALSE)</f>
        <v>0</v>
      </c>
      <c r="T44" s="13">
        <f ca="1">VLOOKUP($B44,'[3]Analisys QBR By Machine Report'!$C$109:$BD$166,15,FALSE)</f>
        <v>0</v>
      </c>
      <c r="U44" s="13">
        <f ca="1">VLOOKUP($B44,'[3]Analisys QBR By Machine Report'!$C$109:$BD$166,16,FALSE)</f>
        <v>0</v>
      </c>
      <c r="V44" s="13">
        <f ca="1">VLOOKUP($B44,'[3]Analisys QBR By Machine Report'!$C$109:$BD$166,17,FALSE)</f>
        <v>0</v>
      </c>
      <c r="W44" s="13">
        <f ca="1">VLOOKUP($B44,'[3]Analisys QBR By Machine Report'!$C$109:$BD$166,18,FALSE)</f>
        <v>0</v>
      </c>
      <c r="X44" s="13">
        <f ca="1">VLOOKUP($B44,'[3]Analisys QBR By Machine Report'!$C$109:$BD$166,19,FALSE)</f>
        <v>0</v>
      </c>
      <c r="Y44" s="13">
        <f ca="1">VLOOKUP($B44,'[3]Analisys QBR By Machine Report'!$C$109:$BD$166,20,FALSE)</f>
        <v>0</v>
      </c>
      <c r="Z44" s="13">
        <f ca="1">VLOOKUP($B44,'[3]Analisys QBR By Machine Report'!$C$109:$BD$166,21,FALSE)</f>
        <v>332</v>
      </c>
      <c r="AA44" s="13">
        <f ca="1">VLOOKUP($B44,'[3]Analisys QBR By Machine Report'!$C$109:$BD$166,22,FALSE)</f>
        <v>232</v>
      </c>
      <c r="AB44" s="13">
        <f ca="1">VLOOKUP($B44,'[3]Analisys QBR By Machine Report'!$C$109:$BD$166,23,FALSE)</f>
        <v>90</v>
      </c>
      <c r="AC44" s="13">
        <f ca="1">VLOOKUP($B44,'[3]Analisys QBR By Machine Report'!$C$109:$BD$166,24,FALSE)</f>
        <v>0</v>
      </c>
      <c r="AD44" s="13">
        <f ca="1">VLOOKUP($B44,'[3]Analisys QBR By Machine Report'!$C$109:$BD$166,25,FALSE)</f>
        <v>0</v>
      </c>
      <c r="AE44" s="13">
        <f ca="1">VLOOKUP($B44,'[3]Analisys QBR By Machine Report'!$C$109:$BD$166,26,FALSE)</f>
        <v>10</v>
      </c>
      <c r="AF44" s="13">
        <f ca="1">VLOOKUP($B44,'[3]Analisys QBR By Machine Report'!$C$109:$BD$166,27,FALSE)</f>
        <v>0</v>
      </c>
      <c r="AG44" s="13">
        <f ca="1">VLOOKUP($B44,'[3]Analisys QBR By Machine Report'!$C$109:$BD$166,28,FALSE)</f>
        <v>0</v>
      </c>
      <c r="AH44" s="13">
        <f ca="1">VLOOKUP($B44,'[3]Analisys QBR By Machine Report'!$C$109:$BD$166,29,FALSE)</f>
        <v>0</v>
      </c>
      <c r="AI44" s="13">
        <f ca="1">VLOOKUP($B44,'[3]Analisys QBR By Machine Report'!$C$109:$BD$166,30,FALSE)</f>
        <v>74</v>
      </c>
      <c r="AJ44" s="13">
        <f ca="1">VLOOKUP($B44,'[3]Analisys QBR By Machine Report'!$C$109:$BD$166,31,FALSE)</f>
        <v>60</v>
      </c>
      <c r="AK44" s="13">
        <f ca="1">VLOOKUP($B44,'[3]Analisys QBR By Machine Report'!$C$109:$BD$166,32,FALSE)</f>
        <v>0</v>
      </c>
      <c r="AL44" s="13">
        <f ca="1">VLOOKUP($B44,'[3]Analisys QBR By Machine Report'!$C$109:$BD$166,33,FALSE)</f>
        <v>0</v>
      </c>
      <c r="AM44" s="13">
        <f ca="1">VLOOKUP($B44,'[3]Analisys QBR By Machine Report'!$C$109:$BD$166,34,FALSE)</f>
        <v>0</v>
      </c>
      <c r="AN44" s="13">
        <f ca="1">VLOOKUP($B44,'[3]Analisys QBR By Machine Report'!$C$109:$BD$166,35,FALSE)</f>
        <v>0</v>
      </c>
      <c r="AO44" s="13">
        <f ca="1">VLOOKUP($B44,'[3]Analisys QBR By Machine Report'!$C$109:$BD$166,36,FALSE)</f>
        <v>0</v>
      </c>
      <c r="AP44" s="13">
        <f ca="1">VLOOKUP($B44,'[3]Analisys QBR By Machine Report'!$C$109:$BD$166,37,FALSE)</f>
        <v>0</v>
      </c>
      <c r="AQ44" s="13">
        <f ca="1">VLOOKUP($B44,'[3]Analisys QBR By Machine Report'!$C$109:$BD$166,38,FALSE)</f>
        <v>0</v>
      </c>
      <c r="AR44" s="13">
        <f ca="1">VLOOKUP($B44,'[3]Analisys QBR By Machine Report'!$C$109:$BD$166,39,FALSE)</f>
        <v>0</v>
      </c>
      <c r="AS44" s="13">
        <f ca="1">VLOOKUP($B44,'[3]Analisys QBR By Machine Report'!$C$109:$BD$166,40,FALSE)</f>
        <v>0</v>
      </c>
      <c r="AT44" s="13">
        <f ca="1">VLOOKUP($B44,'[3]Analisys QBR By Machine Report'!$C$109:$BD$166,41,FALSE)</f>
        <v>0</v>
      </c>
      <c r="AU44" s="13">
        <f ca="1">VLOOKUP($B44,'[3]Analisys QBR By Machine Report'!$C$109:$BD$166,42,FALSE)</f>
        <v>0</v>
      </c>
      <c r="AV44" s="13">
        <f ca="1">VLOOKUP($B44,'[3]Analisys QBR By Machine Report'!$C$109:$BD$166,43,FALSE)</f>
        <v>0</v>
      </c>
      <c r="AW44" s="13">
        <f ca="1">VLOOKUP($B44,'[3]Analisys QBR By Machine Report'!$C$109:$BD$166,44,FALSE)</f>
        <v>0</v>
      </c>
      <c r="AX44" s="13">
        <f ca="1">VLOOKUP($B44,'[3]Analisys QBR By Machine Report'!$C$109:$BD$166,45,FALSE)</f>
        <v>0</v>
      </c>
      <c r="AY44" s="13">
        <f ca="1">VLOOKUP($B44,'[3]Analisys QBR By Machine Report'!$C$109:$BD$166,46,FALSE)</f>
        <v>0</v>
      </c>
      <c r="AZ44" s="13">
        <f ca="1">VLOOKUP($B44,'[3]Analisys QBR By Machine Report'!$C$109:$BD$166,47,FALSE)</f>
        <v>14</v>
      </c>
      <c r="BA44" s="13">
        <f ca="1">VLOOKUP($B44,'[3]Analisys QBR By Machine Report'!$C$109:$BD$166,48,FALSE)</f>
        <v>0</v>
      </c>
      <c r="BB44" s="13">
        <f ca="1">VLOOKUP($B44,'[3]Analisys QBR By Machine Report'!$C$109:$BD$166,49,FALSE)</f>
        <v>0</v>
      </c>
      <c r="BC44" s="13">
        <f ca="1">VLOOKUP($B44,'[3]Analisys QBR By Machine Report'!$C$109:$BD$166,50,FALSE)</f>
        <v>0</v>
      </c>
      <c r="BD44" s="13">
        <f ca="1">VLOOKUP($B44,'[3]Analisys QBR By Machine Report'!$C$109:$BD$166,51,FALSE)</f>
        <v>325.16000000000003</v>
      </c>
      <c r="BE44" s="13">
        <f ca="1">VLOOKUP($B44,'[3]Analisys QBR By Machine Report'!$C$109:$BD$166,52,FALSE)</f>
        <v>0.43</v>
      </c>
      <c r="BF44" s="13">
        <f ca="1">VLOOKUP($B44,'[3]Analisys QBR By Machine Report'!$C$109:$BD$166,53,FALSE)</f>
        <v>324.73</v>
      </c>
    </row>
    <row r="45" spans="1:58" x14ac:dyDescent="0.25">
      <c r="A45" s="9" t="s">
        <v>101</v>
      </c>
      <c r="B45" s="10">
        <f ca="1">VLOOKUP($B45,'[3]Analisys QBR By Machine Report'!$C$109:$BD$166,2,FALSE)</f>
        <v>28800</v>
      </c>
      <c r="C45" s="11">
        <f ca="1">VLOOKUP($B45,[3]Dasboard_QBR_Report!$B$109:$BL$166,3,FALSE)</f>
        <v>9600</v>
      </c>
      <c r="D45" s="10">
        <f ca="1">VLOOKUP($B45,'[3]Analisys QBR By Machine Report'!$C$109:$BD$166,3,FALSE)</f>
        <v>28305</v>
      </c>
      <c r="E45" s="11">
        <f ca="1">VLOOKUP($B45,[3]Dasboard_QBR_Report!$B$109:$BL$166,5,FALSE)</f>
        <v>9105</v>
      </c>
      <c r="F45" s="10">
        <f t="shared" ca="1" si="0"/>
        <v>495</v>
      </c>
      <c r="G45" s="10">
        <f t="shared" ca="1" si="1"/>
        <v>0</v>
      </c>
      <c r="H45" s="10">
        <f ca="1">VLOOKUP($B45,'[3]Analisys QBR By Machine Report'!$C$109:$BD$166,4,FALSE)</f>
        <v>0</v>
      </c>
      <c r="I45" s="10">
        <f ca="1">VLOOKUP($B45,'[3]Analisys QBR By Machine Report'!$C$109:$BD$166,5,FALSE)</f>
        <v>0</v>
      </c>
      <c r="J45" s="10">
        <f ca="1">VLOOKUP($B45,'[3]Analisys QBR By Machine Report'!$C$109:$BD$166,6,FALSE)</f>
        <v>0</v>
      </c>
      <c r="K45" s="10">
        <f ca="1">VLOOKUP($B45,'[3]Analisys QBR By Machine Report'!$C$109:$BD$166,7,FALSE)</f>
        <v>0</v>
      </c>
      <c r="L45" s="10">
        <f ca="1">VLOOKUP($B45,'[3]Analisys QBR By Machine Report'!$C$109:$BD$166,8,FALSE)</f>
        <v>495</v>
      </c>
      <c r="M45" s="10">
        <f ca="1">VLOOKUP($B45,'[3]Analisys QBR By Machine Report'!$C$109:$BD$166,9,FALSE)</f>
        <v>70</v>
      </c>
      <c r="N45" s="10">
        <f ca="1">VLOOKUP($B45,[3]Dasboard_QBR_Report!$B$109:$BL$166,18,FALSE)</f>
        <v>425</v>
      </c>
      <c r="O45" s="10">
        <f ca="1">VLOOKUP($B45,'[3]Analisys QBR By Machine Report'!$C$109:$BD$166,10,FALSE)</f>
        <v>40</v>
      </c>
      <c r="P45" s="10">
        <f ca="1">VLOOKUP($B45,'[3]Analisys QBR By Machine Report'!$C$109:$BD$166,11,FALSE)</f>
        <v>40</v>
      </c>
      <c r="Q45" s="10">
        <f ca="1">VLOOKUP($B45,'[3]Analisys QBR By Machine Report'!$C$109:$BD$166,12,FALSE)</f>
        <v>0</v>
      </c>
      <c r="R45" s="10">
        <f ca="1">VLOOKUP($B45,'[3]Analisys QBR By Machine Report'!$C$109:$BD$166,13,FALSE)</f>
        <v>0</v>
      </c>
      <c r="S45" s="10">
        <f ca="1">VLOOKUP($B45,'[3]Analisys QBR By Machine Report'!$C$109:$BD$166,14,FALSE)</f>
        <v>0</v>
      </c>
      <c r="T45" s="10">
        <f ca="1">VLOOKUP($B45,'[3]Analisys QBR By Machine Report'!$C$109:$BD$166,15,FALSE)</f>
        <v>40</v>
      </c>
      <c r="U45" s="10">
        <f ca="1">VLOOKUP($B45,'[3]Analisys QBR By Machine Report'!$C$109:$BD$166,16,FALSE)</f>
        <v>0</v>
      </c>
      <c r="V45" s="10">
        <f ca="1">VLOOKUP($B45,'[3]Analisys QBR By Machine Report'!$C$109:$BD$166,17,FALSE)</f>
        <v>0</v>
      </c>
      <c r="W45" s="10">
        <f ca="1">VLOOKUP($B45,'[3]Analisys QBR By Machine Report'!$C$109:$BD$166,18,FALSE)</f>
        <v>0</v>
      </c>
      <c r="X45" s="10">
        <f ca="1">VLOOKUP($B45,'[3]Analisys QBR By Machine Report'!$C$109:$BD$166,19,FALSE)</f>
        <v>40</v>
      </c>
      <c r="Y45" s="10">
        <f ca="1">VLOOKUP($B45,'[3]Analisys QBR By Machine Report'!$C$109:$BD$166,20,FALSE)</f>
        <v>0</v>
      </c>
      <c r="Z45" s="10">
        <f ca="1">VLOOKUP($B45,'[3]Analisys QBR By Machine Report'!$C$109:$BD$166,21,FALSE)</f>
        <v>305</v>
      </c>
      <c r="AA45" s="10">
        <f ca="1">VLOOKUP($B45,'[3]Analisys QBR By Machine Report'!$C$109:$BD$166,22,FALSE)</f>
        <v>85</v>
      </c>
      <c r="AB45" s="10">
        <f ca="1">VLOOKUP($B45,'[3]Analisys QBR By Machine Report'!$C$109:$BD$166,23,FALSE)</f>
        <v>210</v>
      </c>
      <c r="AC45" s="10">
        <f ca="1">VLOOKUP($B45,'[3]Analisys QBR By Machine Report'!$C$109:$BD$166,24,FALSE)</f>
        <v>0</v>
      </c>
      <c r="AD45" s="10">
        <f ca="1">VLOOKUP($B45,'[3]Analisys QBR By Machine Report'!$C$109:$BD$166,25,FALSE)</f>
        <v>0</v>
      </c>
      <c r="AE45" s="10">
        <f ca="1">VLOOKUP($B45,'[3]Analisys QBR By Machine Report'!$C$109:$BD$166,26,FALSE)</f>
        <v>10</v>
      </c>
      <c r="AF45" s="10">
        <f ca="1">VLOOKUP($B45,'[3]Analisys QBR By Machine Report'!$C$109:$BD$166,27,FALSE)</f>
        <v>0</v>
      </c>
      <c r="AG45" s="10">
        <f ca="1">VLOOKUP($B45,'[3]Analisys QBR By Machine Report'!$C$109:$BD$166,28,FALSE)</f>
        <v>0</v>
      </c>
      <c r="AH45" s="10">
        <f ca="1">VLOOKUP($B45,'[3]Analisys QBR By Machine Report'!$C$109:$BD$166,29,FALSE)</f>
        <v>0</v>
      </c>
      <c r="AI45" s="10">
        <f ca="1">VLOOKUP($B45,'[3]Analisys QBR By Machine Report'!$C$109:$BD$166,30,FALSE)</f>
        <v>40</v>
      </c>
      <c r="AJ45" s="10">
        <f ca="1">VLOOKUP($B45,'[3]Analisys QBR By Machine Report'!$C$109:$BD$166,31,FALSE)</f>
        <v>0</v>
      </c>
      <c r="AK45" s="10">
        <f ca="1">VLOOKUP($B45,'[3]Analisys QBR By Machine Report'!$C$109:$BD$166,32,FALSE)</f>
        <v>0</v>
      </c>
      <c r="AL45" s="10">
        <f ca="1">VLOOKUP($B45,'[3]Analisys QBR By Machine Report'!$C$109:$BD$166,33,FALSE)</f>
        <v>15</v>
      </c>
      <c r="AM45" s="10">
        <f ca="1">VLOOKUP($B45,'[3]Analisys QBR By Machine Report'!$C$109:$BD$166,34,FALSE)</f>
        <v>0</v>
      </c>
      <c r="AN45" s="10">
        <f ca="1">VLOOKUP($B45,'[3]Analisys QBR By Machine Report'!$C$109:$BD$166,35,FALSE)</f>
        <v>0</v>
      </c>
      <c r="AO45" s="10">
        <f ca="1">VLOOKUP($B45,'[3]Analisys QBR By Machine Report'!$C$109:$BD$166,36,FALSE)</f>
        <v>0</v>
      </c>
      <c r="AP45" s="10">
        <f ca="1">VLOOKUP($B45,'[3]Analisys QBR By Machine Report'!$C$109:$BD$166,37,FALSE)</f>
        <v>0</v>
      </c>
      <c r="AQ45" s="10">
        <f ca="1">VLOOKUP($B45,'[3]Analisys QBR By Machine Report'!$C$109:$BD$166,38,FALSE)</f>
        <v>15</v>
      </c>
      <c r="AR45" s="10">
        <f ca="1">VLOOKUP($B45,'[3]Analisys QBR By Machine Report'!$C$109:$BD$166,39,FALSE)</f>
        <v>0</v>
      </c>
      <c r="AS45" s="10">
        <f ca="1">VLOOKUP($B45,'[3]Analisys QBR By Machine Report'!$C$109:$BD$166,40,FALSE)</f>
        <v>0</v>
      </c>
      <c r="AT45" s="10">
        <f ca="1">VLOOKUP($B45,'[3]Analisys QBR By Machine Report'!$C$109:$BD$166,41,FALSE)</f>
        <v>0</v>
      </c>
      <c r="AU45" s="10">
        <f ca="1">VLOOKUP($B45,'[3]Analisys QBR By Machine Report'!$C$109:$BD$166,42,FALSE)</f>
        <v>0</v>
      </c>
      <c r="AV45" s="10">
        <f ca="1">VLOOKUP($B45,'[3]Analisys QBR By Machine Report'!$C$109:$BD$166,43,FALSE)</f>
        <v>0</v>
      </c>
      <c r="AW45" s="10">
        <f ca="1">VLOOKUP($B45,'[3]Analisys QBR By Machine Report'!$C$109:$BD$166,44,FALSE)</f>
        <v>0</v>
      </c>
      <c r="AX45" s="10">
        <f ca="1">VLOOKUP($B45,'[3]Analisys QBR By Machine Report'!$C$109:$BD$166,45,FALSE)</f>
        <v>0</v>
      </c>
      <c r="AY45" s="10">
        <f ca="1">VLOOKUP($B45,'[3]Analisys QBR By Machine Report'!$C$109:$BD$166,46,FALSE)</f>
        <v>0</v>
      </c>
      <c r="AZ45" s="10">
        <f ca="1">VLOOKUP($B45,'[3]Analisys QBR By Machine Report'!$C$109:$BD$166,47,FALSE)</f>
        <v>10</v>
      </c>
      <c r="BA45" s="10">
        <f ca="1">VLOOKUP($B45,'[3]Analisys QBR By Machine Report'!$C$109:$BD$166,48,FALSE)</f>
        <v>0</v>
      </c>
      <c r="BB45" s="10">
        <f ca="1">VLOOKUP($B45,'[3]Analisys QBR By Machine Report'!$C$109:$BD$166,49,FALSE)</f>
        <v>0</v>
      </c>
      <c r="BC45" s="10">
        <f ca="1">VLOOKUP($B45,'[3]Analisys QBR By Machine Report'!$C$109:$BD$166,50,FALSE)</f>
        <v>0</v>
      </c>
      <c r="BD45" s="10">
        <f ca="1">VLOOKUP($B45,'[3]Analisys QBR By Machine Report'!$C$109:$BD$166,51,FALSE)</f>
        <v>1582</v>
      </c>
      <c r="BE45" s="10">
        <f ca="1">VLOOKUP($B45,'[3]Analisys QBR By Machine Report'!$C$109:$BD$166,52,FALSE)</f>
        <v>14</v>
      </c>
      <c r="BF45" s="10">
        <f ca="1">VLOOKUP($B45,'[3]Analisys QBR By Machine Report'!$C$109:$BD$166,53,FALSE)</f>
        <v>1568</v>
      </c>
    </row>
    <row r="46" spans="1:58" x14ac:dyDescent="0.25">
      <c r="A46" s="12" t="s">
        <v>102</v>
      </c>
      <c r="B46" s="13">
        <f ca="1">VLOOKUP($B46,'[3]Analisys QBR By Machine Report'!$C$109:$BD$166,2,FALSE)</f>
        <v>28800</v>
      </c>
      <c r="C46" s="14">
        <f ca="1">VLOOKUP($B46,[3]Dasboard_QBR_Report!$B$109:$BL$166,3,FALSE)</f>
        <v>9600</v>
      </c>
      <c r="D46" s="13">
        <f ca="1">VLOOKUP($B46,'[3]Analisys QBR By Machine Report'!$C$109:$BD$166,3,FALSE)</f>
        <v>28305</v>
      </c>
      <c r="E46" s="14">
        <f ca="1">VLOOKUP($B46,[3]Dasboard_QBR_Report!$B$109:$BL$166,5,FALSE)</f>
        <v>9105</v>
      </c>
      <c r="F46" s="13">
        <f t="shared" ca="1" si="0"/>
        <v>495</v>
      </c>
      <c r="G46" s="13">
        <f t="shared" ca="1" si="1"/>
        <v>0</v>
      </c>
      <c r="H46" s="13">
        <f ca="1">VLOOKUP($B46,'[3]Analisys QBR By Machine Report'!$C$109:$BD$166,4,FALSE)</f>
        <v>0</v>
      </c>
      <c r="I46" s="13">
        <f ca="1">VLOOKUP($B46,'[3]Analisys QBR By Machine Report'!$C$109:$BD$166,5,FALSE)</f>
        <v>0</v>
      </c>
      <c r="J46" s="13">
        <f ca="1">VLOOKUP($B46,'[3]Analisys QBR By Machine Report'!$C$109:$BD$166,6,FALSE)</f>
        <v>0</v>
      </c>
      <c r="K46" s="13">
        <f ca="1">VLOOKUP($B46,'[3]Analisys QBR By Machine Report'!$C$109:$BD$166,7,FALSE)</f>
        <v>0</v>
      </c>
      <c r="L46" s="13">
        <f ca="1">VLOOKUP($B46,'[3]Analisys QBR By Machine Report'!$C$109:$BD$166,8,FALSE)</f>
        <v>495</v>
      </c>
      <c r="M46" s="13">
        <f ca="1">VLOOKUP($B46,'[3]Analisys QBR By Machine Report'!$C$109:$BD$166,9,FALSE)</f>
        <v>70</v>
      </c>
      <c r="N46" s="13">
        <f ca="1">VLOOKUP($B46,[3]Dasboard_QBR_Report!$B$109:$BL$166,18,FALSE)</f>
        <v>425</v>
      </c>
      <c r="O46" s="13">
        <f ca="1">VLOOKUP($B46,'[3]Analisys QBR By Machine Report'!$C$109:$BD$166,10,FALSE)</f>
        <v>40</v>
      </c>
      <c r="P46" s="13">
        <f ca="1">VLOOKUP($B46,'[3]Analisys QBR By Machine Report'!$C$109:$BD$166,11,FALSE)</f>
        <v>40</v>
      </c>
      <c r="Q46" s="13">
        <f ca="1">VLOOKUP($B46,'[3]Analisys QBR By Machine Report'!$C$109:$BD$166,12,FALSE)</f>
        <v>0</v>
      </c>
      <c r="R46" s="13">
        <f ca="1">VLOOKUP($B46,'[3]Analisys QBR By Machine Report'!$C$109:$BD$166,13,FALSE)</f>
        <v>0</v>
      </c>
      <c r="S46" s="13">
        <f ca="1">VLOOKUP($B46,'[3]Analisys QBR By Machine Report'!$C$109:$BD$166,14,FALSE)</f>
        <v>0</v>
      </c>
      <c r="T46" s="13">
        <f ca="1">VLOOKUP($B46,'[3]Analisys QBR By Machine Report'!$C$109:$BD$166,15,FALSE)</f>
        <v>40</v>
      </c>
      <c r="U46" s="13">
        <f ca="1">VLOOKUP($B46,'[3]Analisys QBR By Machine Report'!$C$109:$BD$166,16,FALSE)</f>
        <v>0</v>
      </c>
      <c r="V46" s="13">
        <f ca="1">VLOOKUP($B46,'[3]Analisys QBR By Machine Report'!$C$109:$BD$166,17,FALSE)</f>
        <v>0</v>
      </c>
      <c r="W46" s="13">
        <f ca="1">VLOOKUP($B46,'[3]Analisys QBR By Machine Report'!$C$109:$BD$166,18,FALSE)</f>
        <v>0</v>
      </c>
      <c r="X46" s="13">
        <f ca="1">VLOOKUP($B46,'[3]Analisys QBR By Machine Report'!$C$109:$BD$166,19,FALSE)</f>
        <v>40</v>
      </c>
      <c r="Y46" s="13">
        <f ca="1">VLOOKUP($B46,'[3]Analisys QBR By Machine Report'!$C$109:$BD$166,20,FALSE)</f>
        <v>0</v>
      </c>
      <c r="Z46" s="13">
        <f ca="1">VLOOKUP($B46,'[3]Analisys QBR By Machine Report'!$C$109:$BD$166,21,FALSE)</f>
        <v>305</v>
      </c>
      <c r="AA46" s="13">
        <f ca="1">VLOOKUP($B46,'[3]Analisys QBR By Machine Report'!$C$109:$BD$166,22,FALSE)</f>
        <v>85</v>
      </c>
      <c r="AB46" s="13">
        <f ca="1">VLOOKUP($B46,'[3]Analisys QBR By Machine Report'!$C$109:$BD$166,23,FALSE)</f>
        <v>210</v>
      </c>
      <c r="AC46" s="13">
        <f ca="1">VLOOKUP($B46,'[3]Analisys QBR By Machine Report'!$C$109:$BD$166,24,FALSE)</f>
        <v>0</v>
      </c>
      <c r="AD46" s="13">
        <f ca="1">VLOOKUP($B46,'[3]Analisys QBR By Machine Report'!$C$109:$BD$166,25,FALSE)</f>
        <v>0</v>
      </c>
      <c r="AE46" s="13">
        <f ca="1">VLOOKUP($B46,'[3]Analisys QBR By Machine Report'!$C$109:$BD$166,26,FALSE)</f>
        <v>10</v>
      </c>
      <c r="AF46" s="13">
        <f ca="1">VLOOKUP($B46,'[3]Analisys QBR By Machine Report'!$C$109:$BD$166,27,FALSE)</f>
        <v>0</v>
      </c>
      <c r="AG46" s="13">
        <f ca="1">VLOOKUP($B46,'[3]Analisys QBR By Machine Report'!$C$109:$BD$166,28,FALSE)</f>
        <v>0</v>
      </c>
      <c r="AH46" s="13">
        <f ca="1">VLOOKUP($B46,'[3]Analisys QBR By Machine Report'!$C$109:$BD$166,29,FALSE)</f>
        <v>0</v>
      </c>
      <c r="AI46" s="13">
        <f ca="1">VLOOKUP($B46,'[3]Analisys QBR By Machine Report'!$C$109:$BD$166,30,FALSE)</f>
        <v>40</v>
      </c>
      <c r="AJ46" s="13">
        <f ca="1">VLOOKUP($B46,'[3]Analisys QBR By Machine Report'!$C$109:$BD$166,31,FALSE)</f>
        <v>0</v>
      </c>
      <c r="AK46" s="13">
        <f ca="1">VLOOKUP($B46,'[3]Analisys QBR By Machine Report'!$C$109:$BD$166,32,FALSE)</f>
        <v>0</v>
      </c>
      <c r="AL46" s="13">
        <f ca="1">VLOOKUP($B46,'[3]Analisys QBR By Machine Report'!$C$109:$BD$166,33,FALSE)</f>
        <v>15</v>
      </c>
      <c r="AM46" s="13">
        <f ca="1">VLOOKUP($B46,'[3]Analisys QBR By Machine Report'!$C$109:$BD$166,34,FALSE)</f>
        <v>0</v>
      </c>
      <c r="AN46" s="13">
        <f ca="1">VLOOKUP($B46,'[3]Analisys QBR By Machine Report'!$C$109:$BD$166,35,FALSE)</f>
        <v>0</v>
      </c>
      <c r="AO46" s="13">
        <f ca="1">VLOOKUP($B46,'[3]Analisys QBR By Machine Report'!$C$109:$BD$166,36,FALSE)</f>
        <v>0</v>
      </c>
      <c r="AP46" s="13">
        <f ca="1">VLOOKUP($B46,'[3]Analisys QBR By Machine Report'!$C$109:$BD$166,37,FALSE)</f>
        <v>0</v>
      </c>
      <c r="AQ46" s="13">
        <f ca="1">VLOOKUP($B46,'[3]Analisys QBR By Machine Report'!$C$109:$BD$166,38,FALSE)</f>
        <v>15</v>
      </c>
      <c r="AR46" s="13">
        <f ca="1">VLOOKUP($B46,'[3]Analisys QBR By Machine Report'!$C$109:$BD$166,39,FALSE)</f>
        <v>0</v>
      </c>
      <c r="AS46" s="13">
        <f ca="1">VLOOKUP($B46,'[3]Analisys QBR By Machine Report'!$C$109:$BD$166,40,FALSE)</f>
        <v>0</v>
      </c>
      <c r="AT46" s="13">
        <f ca="1">VLOOKUP($B46,'[3]Analisys QBR By Machine Report'!$C$109:$BD$166,41,FALSE)</f>
        <v>0</v>
      </c>
      <c r="AU46" s="13">
        <f ca="1">VLOOKUP($B46,'[3]Analisys QBR By Machine Report'!$C$109:$BD$166,42,FALSE)</f>
        <v>0</v>
      </c>
      <c r="AV46" s="13">
        <f ca="1">VLOOKUP($B46,'[3]Analisys QBR By Machine Report'!$C$109:$BD$166,43,FALSE)</f>
        <v>0</v>
      </c>
      <c r="AW46" s="13">
        <f ca="1">VLOOKUP($B46,'[3]Analisys QBR By Machine Report'!$C$109:$BD$166,44,FALSE)</f>
        <v>0</v>
      </c>
      <c r="AX46" s="13">
        <f ca="1">VLOOKUP($B46,'[3]Analisys QBR By Machine Report'!$C$109:$BD$166,45,FALSE)</f>
        <v>0</v>
      </c>
      <c r="AY46" s="13">
        <f ca="1">VLOOKUP($B46,'[3]Analisys QBR By Machine Report'!$C$109:$BD$166,46,FALSE)</f>
        <v>0</v>
      </c>
      <c r="AZ46" s="13">
        <f ca="1">VLOOKUP($B46,'[3]Analisys QBR By Machine Report'!$C$109:$BD$166,47,FALSE)</f>
        <v>10</v>
      </c>
      <c r="BA46" s="13">
        <f ca="1">VLOOKUP($B46,'[3]Analisys QBR By Machine Report'!$C$109:$BD$166,48,FALSE)</f>
        <v>0</v>
      </c>
      <c r="BB46" s="13">
        <f ca="1">VLOOKUP($B46,'[3]Analisys QBR By Machine Report'!$C$109:$BD$166,49,FALSE)</f>
        <v>0</v>
      </c>
      <c r="BC46" s="13">
        <f ca="1">VLOOKUP($B46,'[3]Analisys QBR By Machine Report'!$C$109:$BD$166,50,FALSE)</f>
        <v>0</v>
      </c>
      <c r="BD46" s="13">
        <f ca="1">VLOOKUP($B46,'[3]Analisys QBR By Machine Report'!$C$109:$BD$166,51,FALSE)</f>
        <v>1582</v>
      </c>
      <c r="BE46" s="13">
        <f ca="1">VLOOKUP($B46,'[3]Analisys QBR By Machine Report'!$C$109:$BD$166,52,FALSE)</f>
        <v>14</v>
      </c>
      <c r="BF46" s="13">
        <f ca="1">VLOOKUP($B46,'[3]Analisys QBR By Machine Report'!$C$109:$BD$166,53,FALSE)</f>
        <v>1568</v>
      </c>
    </row>
    <row r="47" spans="1:58" x14ac:dyDescent="0.25">
      <c r="A47" s="9" t="s">
        <v>103</v>
      </c>
      <c r="B47" s="10">
        <f ca="1">VLOOKUP($B47,'[3]Analisys QBR By Machine Report'!$C$109:$BD$166,2,FALSE)</f>
        <v>28800</v>
      </c>
      <c r="C47" s="11">
        <f ca="1">VLOOKUP($B47,[3]Dasboard_QBR_Report!$B$109:$BL$166,3,FALSE)</f>
        <v>9600</v>
      </c>
      <c r="D47" s="10">
        <f ca="1">VLOOKUP($B47,'[3]Analisys QBR By Machine Report'!$C$109:$BD$166,3,FALSE)</f>
        <v>27810</v>
      </c>
      <c r="E47" s="11">
        <f ca="1">VLOOKUP($B47,[3]Dasboard_QBR_Report!$B$109:$BL$166,5,FALSE)</f>
        <v>8610</v>
      </c>
      <c r="F47" s="10">
        <f t="shared" ca="1" si="0"/>
        <v>990</v>
      </c>
      <c r="G47" s="10">
        <f t="shared" ca="1" si="1"/>
        <v>0</v>
      </c>
      <c r="H47" s="10">
        <f ca="1">VLOOKUP($B47,'[3]Analisys QBR By Machine Report'!$C$109:$BD$166,4,FALSE)</f>
        <v>0</v>
      </c>
      <c r="I47" s="10">
        <f ca="1">VLOOKUP($B47,'[3]Analisys QBR By Machine Report'!$C$109:$BD$166,5,FALSE)</f>
        <v>0</v>
      </c>
      <c r="J47" s="10">
        <f ca="1">VLOOKUP($B47,'[3]Analisys QBR By Machine Report'!$C$109:$BD$166,6,FALSE)</f>
        <v>0</v>
      </c>
      <c r="K47" s="10">
        <f ca="1">VLOOKUP($B47,'[3]Analisys QBR By Machine Report'!$C$109:$BD$166,7,FALSE)</f>
        <v>0</v>
      </c>
      <c r="L47" s="10">
        <f ca="1">VLOOKUP($B47,'[3]Analisys QBR By Machine Report'!$C$109:$BD$166,8,FALSE)</f>
        <v>990</v>
      </c>
      <c r="M47" s="10">
        <f ca="1">VLOOKUP($B47,'[3]Analisys QBR By Machine Report'!$C$109:$BD$166,9,FALSE)</f>
        <v>160</v>
      </c>
      <c r="N47" s="10">
        <f ca="1">VLOOKUP($B47,[3]Dasboard_QBR_Report!$B$109:$BL$166,18,FALSE)</f>
        <v>830</v>
      </c>
      <c r="O47" s="10">
        <f ca="1">VLOOKUP($B47,'[3]Analisys QBR By Machine Report'!$C$109:$BD$166,10,FALSE)</f>
        <v>365</v>
      </c>
      <c r="P47" s="10">
        <f ca="1">VLOOKUP($B47,'[3]Analisys QBR By Machine Report'!$C$109:$BD$166,11,FALSE)</f>
        <v>80</v>
      </c>
      <c r="Q47" s="10">
        <f ca="1">VLOOKUP($B47,'[3]Analisys QBR By Machine Report'!$C$109:$BD$166,12,FALSE)</f>
        <v>0</v>
      </c>
      <c r="R47" s="10">
        <f ca="1">VLOOKUP($B47,'[3]Analisys QBR By Machine Report'!$C$109:$BD$166,13,FALSE)</f>
        <v>15</v>
      </c>
      <c r="S47" s="10">
        <f ca="1">VLOOKUP($B47,'[3]Analisys QBR By Machine Report'!$C$109:$BD$166,14,FALSE)</f>
        <v>270</v>
      </c>
      <c r="T47" s="10">
        <f ca="1">VLOOKUP($B47,'[3]Analisys QBR By Machine Report'!$C$109:$BD$166,15,FALSE)</f>
        <v>60</v>
      </c>
      <c r="U47" s="10">
        <f ca="1">VLOOKUP($B47,'[3]Analisys QBR By Machine Report'!$C$109:$BD$166,16,FALSE)</f>
        <v>60</v>
      </c>
      <c r="V47" s="10">
        <f ca="1">VLOOKUP($B47,'[3]Analisys QBR By Machine Report'!$C$109:$BD$166,17,FALSE)</f>
        <v>0</v>
      </c>
      <c r="W47" s="10">
        <f ca="1">VLOOKUP($B47,'[3]Analisys QBR By Machine Report'!$C$109:$BD$166,18,FALSE)</f>
        <v>0</v>
      </c>
      <c r="X47" s="10">
        <f ca="1">VLOOKUP($B47,'[3]Analisys QBR By Machine Report'!$C$109:$BD$166,19,FALSE)</f>
        <v>0</v>
      </c>
      <c r="Y47" s="10">
        <f ca="1">VLOOKUP($B47,'[3]Analisys QBR By Machine Report'!$C$109:$BD$166,20,FALSE)</f>
        <v>0</v>
      </c>
      <c r="Z47" s="10">
        <f ca="1">VLOOKUP($B47,'[3]Analisys QBR By Machine Report'!$C$109:$BD$166,21,FALSE)</f>
        <v>185</v>
      </c>
      <c r="AA47" s="10">
        <f ca="1">VLOOKUP($B47,'[3]Analisys QBR By Machine Report'!$C$109:$BD$166,22,FALSE)</f>
        <v>65</v>
      </c>
      <c r="AB47" s="10">
        <f ca="1">VLOOKUP($B47,'[3]Analisys QBR By Machine Report'!$C$109:$BD$166,23,FALSE)</f>
        <v>55</v>
      </c>
      <c r="AC47" s="10">
        <f ca="1">VLOOKUP($B47,'[3]Analisys QBR By Machine Report'!$C$109:$BD$166,24,FALSE)</f>
        <v>0</v>
      </c>
      <c r="AD47" s="10">
        <f ca="1">VLOOKUP($B47,'[3]Analisys QBR By Machine Report'!$C$109:$BD$166,25,FALSE)</f>
        <v>0</v>
      </c>
      <c r="AE47" s="10">
        <f ca="1">VLOOKUP($B47,'[3]Analisys QBR By Machine Report'!$C$109:$BD$166,26,FALSE)</f>
        <v>65</v>
      </c>
      <c r="AF47" s="10">
        <f ca="1">VLOOKUP($B47,'[3]Analisys QBR By Machine Report'!$C$109:$BD$166,27,FALSE)</f>
        <v>0</v>
      </c>
      <c r="AG47" s="10">
        <f ca="1">VLOOKUP($B47,'[3]Analisys QBR By Machine Report'!$C$109:$BD$166,28,FALSE)</f>
        <v>0</v>
      </c>
      <c r="AH47" s="10">
        <f ca="1">VLOOKUP($B47,'[3]Analisys QBR By Machine Report'!$C$109:$BD$166,29,FALSE)</f>
        <v>0</v>
      </c>
      <c r="AI47" s="10">
        <f ca="1">VLOOKUP($B47,'[3]Analisys QBR By Machine Report'!$C$109:$BD$166,30,FALSE)</f>
        <v>220</v>
      </c>
      <c r="AJ47" s="10">
        <f ca="1">VLOOKUP($B47,'[3]Analisys QBR By Machine Report'!$C$109:$BD$166,31,FALSE)</f>
        <v>0</v>
      </c>
      <c r="AK47" s="10">
        <f ca="1">VLOOKUP($B47,'[3]Analisys QBR By Machine Report'!$C$109:$BD$166,32,FALSE)</f>
        <v>0</v>
      </c>
      <c r="AL47" s="10">
        <f ca="1">VLOOKUP($B47,'[3]Analisys QBR By Machine Report'!$C$109:$BD$166,33,FALSE)</f>
        <v>0</v>
      </c>
      <c r="AM47" s="10">
        <f ca="1">VLOOKUP($B47,'[3]Analisys QBR By Machine Report'!$C$109:$BD$166,34,FALSE)</f>
        <v>0</v>
      </c>
      <c r="AN47" s="10">
        <f ca="1">VLOOKUP($B47,'[3]Analisys QBR By Machine Report'!$C$109:$BD$166,35,FALSE)</f>
        <v>30</v>
      </c>
      <c r="AO47" s="10">
        <f ca="1">VLOOKUP($B47,'[3]Analisys QBR By Machine Report'!$C$109:$BD$166,36,FALSE)</f>
        <v>0</v>
      </c>
      <c r="AP47" s="10">
        <f ca="1">VLOOKUP($B47,'[3]Analisys QBR By Machine Report'!$C$109:$BD$166,37,FALSE)</f>
        <v>0</v>
      </c>
      <c r="AQ47" s="10">
        <f ca="1">VLOOKUP($B47,'[3]Analisys QBR By Machine Report'!$C$109:$BD$166,38,FALSE)</f>
        <v>60</v>
      </c>
      <c r="AR47" s="10">
        <f ca="1">VLOOKUP($B47,'[3]Analisys QBR By Machine Report'!$C$109:$BD$166,39,FALSE)</f>
        <v>90</v>
      </c>
      <c r="AS47" s="10">
        <f ca="1">VLOOKUP($B47,'[3]Analisys QBR By Machine Report'!$C$109:$BD$166,40,FALSE)</f>
        <v>30</v>
      </c>
      <c r="AT47" s="10">
        <f ca="1">VLOOKUP($B47,'[3]Analisys QBR By Machine Report'!$C$109:$BD$166,41,FALSE)</f>
        <v>0</v>
      </c>
      <c r="AU47" s="10">
        <f ca="1">VLOOKUP($B47,'[3]Analisys QBR By Machine Report'!$C$109:$BD$166,42,FALSE)</f>
        <v>0</v>
      </c>
      <c r="AV47" s="10">
        <f ca="1">VLOOKUP($B47,'[3]Analisys QBR By Machine Report'!$C$109:$BD$166,43,FALSE)</f>
        <v>0</v>
      </c>
      <c r="AW47" s="10">
        <f ca="1">VLOOKUP($B47,'[3]Analisys QBR By Machine Report'!$C$109:$BD$166,44,FALSE)</f>
        <v>0</v>
      </c>
      <c r="AX47" s="10">
        <f ca="1">VLOOKUP($B47,'[3]Analisys QBR By Machine Report'!$C$109:$BD$166,45,FALSE)</f>
        <v>0</v>
      </c>
      <c r="AY47" s="10">
        <f ca="1">VLOOKUP($B47,'[3]Analisys QBR By Machine Report'!$C$109:$BD$166,46,FALSE)</f>
        <v>0</v>
      </c>
      <c r="AZ47" s="10">
        <f ca="1">VLOOKUP($B47,'[3]Analisys QBR By Machine Report'!$C$109:$BD$166,47,FALSE)</f>
        <v>10</v>
      </c>
      <c r="BA47" s="10">
        <f ca="1">VLOOKUP($B47,'[3]Analisys QBR By Machine Report'!$C$109:$BD$166,48,FALSE)</f>
        <v>0</v>
      </c>
      <c r="BB47" s="10">
        <f ca="1">VLOOKUP($B47,'[3]Analisys QBR By Machine Report'!$C$109:$BD$166,49,FALSE)</f>
        <v>0</v>
      </c>
      <c r="BC47" s="10">
        <f ca="1">VLOOKUP($B47,'[3]Analisys QBR By Machine Report'!$C$109:$BD$166,50,FALSE)</f>
        <v>0</v>
      </c>
      <c r="BD47" s="10">
        <f ca="1">VLOOKUP($B47,'[3]Analisys QBR By Machine Report'!$C$109:$BD$166,51,FALSE)</f>
        <v>99200</v>
      </c>
      <c r="BE47" s="10">
        <f ca="1">VLOOKUP($B47,'[3]Analisys QBR By Machine Report'!$C$109:$BD$166,52,FALSE)</f>
        <v>0</v>
      </c>
      <c r="BF47" s="10">
        <f ca="1">VLOOKUP($B47,'[3]Analisys QBR By Machine Report'!$C$109:$BD$166,53,FALSE)</f>
        <v>99200</v>
      </c>
    </row>
    <row r="48" spans="1:58" x14ac:dyDescent="0.25">
      <c r="A48" s="12" t="s">
        <v>104</v>
      </c>
      <c r="B48" s="13">
        <f ca="1">VLOOKUP($B48,'[3]Analisys QBR By Machine Report'!$C$109:$BD$166,2,FALSE)</f>
        <v>28800</v>
      </c>
      <c r="C48" s="14">
        <f ca="1">VLOOKUP($B48,[3]Dasboard_QBR_Report!$B$109:$BL$166,3,FALSE)</f>
        <v>9600</v>
      </c>
      <c r="D48" s="13">
        <f ca="1">VLOOKUP($B48,'[3]Analisys QBR By Machine Report'!$C$109:$BD$166,3,FALSE)</f>
        <v>27810</v>
      </c>
      <c r="E48" s="14">
        <f ca="1">VLOOKUP($B48,[3]Dasboard_QBR_Report!$B$109:$BL$166,5,FALSE)</f>
        <v>8610</v>
      </c>
      <c r="F48" s="13">
        <f t="shared" ca="1" si="0"/>
        <v>990</v>
      </c>
      <c r="G48" s="13">
        <f t="shared" ca="1" si="1"/>
        <v>0</v>
      </c>
      <c r="H48" s="13">
        <f ca="1">VLOOKUP($B48,'[3]Analisys QBR By Machine Report'!$C$109:$BD$166,4,FALSE)</f>
        <v>0</v>
      </c>
      <c r="I48" s="13">
        <f ca="1">VLOOKUP($B48,'[3]Analisys QBR By Machine Report'!$C$109:$BD$166,5,FALSE)</f>
        <v>0</v>
      </c>
      <c r="J48" s="13">
        <f ca="1">VLOOKUP($B48,'[3]Analisys QBR By Machine Report'!$C$109:$BD$166,6,FALSE)</f>
        <v>0</v>
      </c>
      <c r="K48" s="13">
        <f ca="1">VLOOKUP($B48,'[3]Analisys QBR By Machine Report'!$C$109:$BD$166,7,FALSE)</f>
        <v>0</v>
      </c>
      <c r="L48" s="13">
        <f ca="1">VLOOKUP($B48,'[3]Analisys QBR By Machine Report'!$C$109:$BD$166,8,FALSE)</f>
        <v>990</v>
      </c>
      <c r="M48" s="13">
        <f ca="1">VLOOKUP($B48,'[3]Analisys QBR By Machine Report'!$C$109:$BD$166,9,FALSE)</f>
        <v>160</v>
      </c>
      <c r="N48" s="13">
        <f ca="1">VLOOKUP($B48,[3]Dasboard_QBR_Report!$B$109:$BL$166,18,FALSE)</f>
        <v>830</v>
      </c>
      <c r="O48" s="13">
        <f ca="1">VLOOKUP($B48,'[3]Analisys QBR By Machine Report'!$C$109:$BD$166,10,FALSE)</f>
        <v>365</v>
      </c>
      <c r="P48" s="13">
        <f ca="1">VLOOKUP($B48,'[3]Analisys QBR By Machine Report'!$C$109:$BD$166,11,FALSE)</f>
        <v>80</v>
      </c>
      <c r="Q48" s="13">
        <f ca="1">VLOOKUP($B48,'[3]Analisys QBR By Machine Report'!$C$109:$BD$166,12,FALSE)</f>
        <v>0</v>
      </c>
      <c r="R48" s="13">
        <f ca="1">VLOOKUP($B48,'[3]Analisys QBR By Machine Report'!$C$109:$BD$166,13,FALSE)</f>
        <v>15</v>
      </c>
      <c r="S48" s="13">
        <f ca="1">VLOOKUP($B48,'[3]Analisys QBR By Machine Report'!$C$109:$BD$166,14,FALSE)</f>
        <v>270</v>
      </c>
      <c r="T48" s="13">
        <f ca="1">VLOOKUP($B48,'[3]Analisys QBR By Machine Report'!$C$109:$BD$166,15,FALSE)</f>
        <v>60</v>
      </c>
      <c r="U48" s="13">
        <f ca="1">VLOOKUP($B48,'[3]Analisys QBR By Machine Report'!$C$109:$BD$166,16,FALSE)</f>
        <v>60</v>
      </c>
      <c r="V48" s="13">
        <f ca="1">VLOOKUP($B48,'[3]Analisys QBR By Machine Report'!$C$109:$BD$166,17,FALSE)</f>
        <v>0</v>
      </c>
      <c r="W48" s="13">
        <f ca="1">VLOOKUP($B48,'[3]Analisys QBR By Machine Report'!$C$109:$BD$166,18,FALSE)</f>
        <v>0</v>
      </c>
      <c r="X48" s="13">
        <f ca="1">VLOOKUP($B48,'[3]Analisys QBR By Machine Report'!$C$109:$BD$166,19,FALSE)</f>
        <v>0</v>
      </c>
      <c r="Y48" s="13">
        <f ca="1">VLOOKUP($B48,'[3]Analisys QBR By Machine Report'!$C$109:$BD$166,20,FALSE)</f>
        <v>0</v>
      </c>
      <c r="Z48" s="13">
        <f ca="1">VLOOKUP($B48,'[3]Analisys QBR By Machine Report'!$C$109:$BD$166,21,FALSE)</f>
        <v>185</v>
      </c>
      <c r="AA48" s="13">
        <f ca="1">VLOOKUP($B48,'[3]Analisys QBR By Machine Report'!$C$109:$BD$166,22,FALSE)</f>
        <v>65</v>
      </c>
      <c r="AB48" s="13">
        <f ca="1">VLOOKUP($B48,'[3]Analisys QBR By Machine Report'!$C$109:$BD$166,23,FALSE)</f>
        <v>55</v>
      </c>
      <c r="AC48" s="13">
        <f ca="1">VLOOKUP($B48,'[3]Analisys QBR By Machine Report'!$C$109:$BD$166,24,FALSE)</f>
        <v>0</v>
      </c>
      <c r="AD48" s="13">
        <f ca="1">VLOOKUP($B48,'[3]Analisys QBR By Machine Report'!$C$109:$BD$166,25,FALSE)</f>
        <v>0</v>
      </c>
      <c r="AE48" s="13">
        <f ca="1">VLOOKUP($B48,'[3]Analisys QBR By Machine Report'!$C$109:$BD$166,26,FALSE)</f>
        <v>65</v>
      </c>
      <c r="AF48" s="13">
        <f ca="1">VLOOKUP($B48,'[3]Analisys QBR By Machine Report'!$C$109:$BD$166,27,FALSE)</f>
        <v>0</v>
      </c>
      <c r="AG48" s="13">
        <f ca="1">VLOOKUP($B48,'[3]Analisys QBR By Machine Report'!$C$109:$BD$166,28,FALSE)</f>
        <v>0</v>
      </c>
      <c r="AH48" s="13">
        <f ca="1">VLOOKUP($B48,'[3]Analisys QBR By Machine Report'!$C$109:$BD$166,29,FALSE)</f>
        <v>0</v>
      </c>
      <c r="AI48" s="13">
        <f ca="1">VLOOKUP($B48,'[3]Analisys QBR By Machine Report'!$C$109:$BD$166,30,FALSE)</f>
        <v>220</v>
      </c>
      <c r="AJ48" s="13">
        <f ca="1">VLOOKUP($B48,'[3]Analisys QBR By Machine Report'!$C$109:$BD$166,31,FALSE)</f>
        <v>0</v>
      </c>
      <c r="AK48" s="13">
        <f ca="1">VLOOKUP($B48,'[3]Analisys QBR By Machine Report'!$C$109:$BD$166,32,FALSE)</f>
        <v>0</v>
      </c>
      <c r="AL48" s="13">
        <f ca="1">VLOOKUP($B48,'[3]Analisys QBR By Machine Report'!$C$109:$BD$166,33,FALSE)</f>
        <v>0</v>
      </c>
      <c r="AM48" s="13">
        <f ca="1">VLOOKUP($B48,'[3]Analisys QBR By Machine Report'!$C$109:$BD$166,34,FALSE)</f>
        <v>0</v>
      </c>
      <c r="AN48" s="13">
        <f ca="1">VLOOKUP($B48,'[3]Analisys QBR By Machine Report'!$C$109:$BD$166,35,FALSE)</f>
        <v>30</v>
      </c>
      <c r="AO48" s="13">
        <f ca="1">VLOOKUP($B48,'[3]Analisys QBR By Machine Report'!$C$109:$BD$166,36,FALSE)</f>
        <v>0</v>
      </c>
      <c r="AP48" s="13">
        <f ca="1">VLOOKUP($B48,'[3]Analisys QBR By Machine Report'!$C$109:$BD$166,37,FALSE)</f>
        <v>0</v>
      </c>
      <c r="AQ48" s="13">
        <f ca="1">VLOOKUP($B48,'[3]Analisys QBR By Machine Report'!$C$109:$BD$166,38,FALSE)</f>
        <v>60</v>
      </c>
      <c r="AR48" s="13">
        <f ca="1">VLOOKUP($B48,'[3]Analisys QBR By Machine Report'!$C$109:$BD$166,39,FALSE)</f>
        <v>90</v>
      </c>
      <c r="AS48" s="13">
        <f ca="1">VLOOKUP($B48,'[3]Analisys QBR By Machine Report'!$C$109:$BD$166,40,FALSE)</f>
        <v>30</v>
      </c>
      <c r="AT48" s="13">
        <f ca="1">VLOOKUP($B48,'[3]Analisys QBR By Machine Report'!$C$109:$BD$166,41,FALSE)</f>
        <v>0</v>
      </c>
      <c r="AU48" s="13">
        <f ca="1">VLOOKUP($B48,'[3]Analisys QBR By Machine Report'!$C$109:$BD$166,42,FALSE)</f>
        <v>0</v>
      </c>
      <c r="AV48" s="13">
        <f ca="1">VLOOKUP($B48,'[3]Analisys QBR By Machine Report'!$C$109:$BD$166,43,FALSE)</f>
        <v>0</v>
      </c>
      <c r="AW48" s="13">
        <f ca="1">VLOOKUP($B48,'[3]Analisys QBR By Machine Report'!$C$109:$BD$166,44,FALSE)</f>
        <v>0</v>
      </c>
      <c r="AX48" s="13">
        <f ca="1">VLOOKUP($B48,'[3]Analisys QBR By Machine Report'!$C$109:$BD$166,45,FALSE)</f>
        <v>0</v>
      </c>
      <c r="AY48" s="13">
        <f ca="1">VLOOKUP($B48,'[3]Analisys QBR By Machine Report'!$C$109:$BD$166,46,FALSE)</f>
        <v>0</v>
      </c>
      <c r="AZ48" s="13">
        <f ca="1">VLOOKUP($B48,'[3]Analisys QBR By Machine Report'!$C$109:$BD$166,47,FALSE)</f>
        <v>10</v>
      </c>
      <c r="BA48" s="13">
        <f ca="1">VLOOKUP($B48,'[3]Analisys QBR By Machine Report'!$C$109:$BD$166,48,FALSE)</f>
        <v>0</v>
      </c>
      <c r="BB48" s="13">
        <f ca="1">VLOOKUP($B48,'[3]Analisys QBR By Machine Report'!$C$109:$BD$166,49,FALSE)</f>
        <v>0</v>
      </c>
      <c r="BC48" s="13">
        <f ca="1">VLOOKUP($B48,'[3]Analisys QBR By Machine Report'!$C$109:$BD$166,50,FALSE)</f>
        <v>0</v>
      </c>
      <c r="BD48" s="13">
        <f ca="1">VLOOKUP($B48,'[3]Analisys QBR By Machine Report'!$C$109:$BD$166,51,FALSE)</f>
        <v>99200</v>
      </c>
      <c r="BE48" s="13">
        <f ca="1">VLOOKUP($B48,'[3]Analisys QBR By Machine Report'!$C$109:$BD$166,52,FALSE)</f>
        <v>0</v>
      </c>
      <c r="BF48" s="13">
        <f ca="1">VLOOKUP($B48,'[3]Analisys QBR By Machine Report'!$C$109:$BD$166,53,FALSE)</f>
        <v>99200</v>
      </c>
    </row>
    <row r="49" spans="1:58" x14ac:dyDescent="0.25">
      <c r="A49" s="9" t="s">
        <v>105</v>
      </c>
      <c r="B49" s="10">
        <f ca="1">VLOOKUP($B49,'[3]Analisys QBR By Machine Report'!$C$109:$BD$166,2,FALSE)</f>
        <v>28800</v>
      </c>
      <c r="C49" s="11">
        <f ca="1">VLOOKUP($B49,[3]Dasboard_QBR_Report!$B$109:$BL$166,3,FALSE)</f>
        <v>9600</v>
      </c>
      <c r="D49" s="10">
        <f ca="1">VLOOKUP($B49,'[3]Analisys QBR By Machine Report'!$C$109:$BD$166,3,FALSE)</f>
        <v>28305</v>
      </c>
      <c r="E49" s="11">
        <f ca="1">VLOOKUP($B49,[3]Dasboard_QBR_Report!$B$109:$BL$166,5,FALSE)</f>
        <v>9105</v>
      </c>
      <c r="F49" s="10">
        <f t="shared" ca="1" si="0"/>
        <v>495</v>
      </c>
      <c r="G49" s="10">
        <f t="shared" ca="1" si="1"/>
        <v>75</v>
      </c>
      <c r="H49" s="10">
        <f ca="1">VLOOKUP($B49,'[3]Analisys QBR By Machine Report'!$C$109:$BD$166,4,FALSE)</f>
        <v>75</v>
      </c>
      <c r="I49" s="10">
        <f ca="1">VLOOKUP($B49,'[3]Analisys QBR By Machine Report'!$C$109:$BD$166,5,FALSE)</f>
        <v>0</v>
      </c>
      <c r="J49" s="10">
        <f ca="1">VLOOKUP($B49,'[3]Analisys QBR By Machine Report'!$C$109:$BD$166,6,FALSE)</f>
        <v>75</v>
      </c>
      <c r="K49" s="10">
        <f ca="1">VLOOKUP($B49,'[3]Analisys QBR By Machine Report'!$C$109:$BD$166,7,FALSE)</f>
        <v>0</v>
      </c>
      <c r="L49" s="10">
        <f ca="1">VLOOKUP($B49,'[3]Analisys QBR By Machine Report'!$C$109:$BD$166,8,FALSE)</f>
        <v>420</v>
      </c>
      <c r="M49" s="10">
        <f ca="1">VLOOKUP($B49,'[3]Analisys QBR By Machine Report'!$C$109:$BD$166,9,FALSE)</f>
        <v>120</v>
      </c>
      <c r="N49" s="10">
        <f ca="1">VLOOKUP($B49,[3]Dasboard_QBR_Report!$B$109:$BL$166,18,FALSE)</f>
        <v>300</v>
      </c>
      <c r="O49" s="10">
        <f ca="1">VLOOKUP($B49,'[3]Analisys QBR By Machine Report'!$C$109:$BD$166,10,FALSE)</f>
        <v>85</v>
      </c>
      <c r="P49" s="10">
        <f ca="1">VLOOKUP($B49,'[3]Analisys QBR By Machine Report'!$C$109:$BD$166,11,FALSE)</f>
        <v>85</v>
      </c>
      <c r="Q49" s="10">
        <f ca="1">VLOOKUP($B49,'[3]Analisys QBR By Machine Report'!$C$109:$BD$166,12,FALSE)</f>
        <v>0</v>
      </c>
      <c r="R49" s="10">
        <f ca="1">VLOOKUP($B49,'[3]Analisys QBR By Machine Report'!$C$109:$BD$166,13,FALSE)</f>
        <v>0</v>
      </c>
      <c r="S49" s="10">
        <f ca="1">VLOOKUP($B49,'[3]Analisys QBR By Machine Report'!$C$109:$BD$166,14,FALSE)</f>
        <v>0</v>
      </c>
      <c r="T49" s="10">
        <f ca="1">VLOOKUP($B49,'[3]Analisys QBR By Machine Report'!$C$109:$BD$166,15,FALSE)</f>
        <v>0</v>
      </c>
      <c r="U49" s="10">
        <f ca="1">VLOOKUP($B49,'[3]Analisys QBR By Machine Report'!$C$109:$BD$166,16,FALSE)</f>
        <v>0</v>
      </c>
      <c r="V49" s="10">
        <f ca="1">VLOOKUP($B49,'[3]Analisys QBR By Machine Report'!$C$109:$BD$166,17,FALSE)</f>
        <v>0</v>
      </c>
      <c r="W49" s="10">
        <f ca="1">VLOOKUP($B49,'[3]Analisys QBR By Machine Report'!$C$109:$BD$166,18,FALSE)</f>
        <v>0</v>
      </c>
      <c r="X49" s="10">
        <f ca="1">VLOOKUP($B49,'[3]Analisys QBR By Machine Report'!$C$109:$BD$166,19,FALSE)</f>
        <v>0</v>
      </c>
      <c r="Y49" s="10">
        <f ca="1">VLOOKUP($B49,'[3]Analisys QBR By Machine Report'!$C$109:$BD$166,20,FALSE)</f>
        <v>0</v>
      </c>
      <c r="Z49" s="10">
        <f ca="1">VLOOKUP($B49,'[3]Analisys QBR By Machine Report'!$C$109:$BD$166,21,FALSE)</f>
        <v>175</v>
      </c>
      <c r="AA49" s="10">
        <f ca="1">VLOOKUP($B49,'[3]Analisys QBR By Machine Report'!$C$109:$BD$166,22,FALSE)</f>
        <v>70</v>
      </c>
      <c r="AB49" s="10">
        <f ca="1">VLOOKUP($B49,'[3]Analisys QBR By Machine Report'!$C$109:$BD$166,23,FALSE)</f>
        <v>80</v>
      </c>
      <c r="AC49" s="10">
        <f ca="1">VLOOKUP($B49,'[3]Analisys QBR By Machine Report'!$C$109:$BD$166,24,FALSE)</f>
        <v>0</v>
      </c>
      <c r="AD49" s="10">
        <f ca="1">VLOOKUP($B49,'[3]Analisys QBR By Machine Report'!$C$109:$BD$166,25,FALSE)</f>
        <v>0</v>
      </c>
      <c r="AE49" s="10">
        <f ca="1">VLOOKUP($B49,'[3]Analisys QBR By Machine Report'!$C$109:$BD$166,26,FALSE)</f>
        <v>25</v>
      </c>
      <c r="AF49" s="10">
        <f ca="1">VLOOKUP($B49,'[3]Analisys QBR By Machine Report'!$C$109:$BD$166,27,FALSE)</f>
        <v>0</v>
      </c>
      <c r="AG49" s="10">
        <f ca="1">VLOOKUP($B49,'[3]Analisys QBR By Machine Report'!$C$109:$BD$166,28,FALSE)</f>
        <v>0</v>
      </c>
      <c r="AH49" s="10">
        <f ca="1">VLOOKUP($B49,'[3]Analisys QBR By Machine Report'!$C$109:$BD$166,29,FALSE)</f>
        <v>0</v>
      </c>
      <c r="AI49" s="10">
        <f ca="1">VLOOKUP($B49,'[3]Analisys QBR By Machine Report'!$C$109:$BD$166,30,FALSE)</f>
        <v>40</v>
      </c>
      <c r="AJ49" s="10">
        <f ca="1">VLOOKUP($B49,'[3]Analisys QBR By Machine Report'!$C$109:$BD$166,31,FALSE)</f>
        <v>0</v>
      </c>
      <c r="AK49" s="10">
        <f ca="1">VLOOKUP($B49,'[3]Analisys QBR By Machine Report'!$C$109:$BD$166,32,FALSE)</f>
        <v>0</v>
      </c>
      <c r="AL49" s="10">
        <f ca="1">VLOOKUP($B49,'[3]Analisys QBR By Machine Report'!$C$109:$BD$166,33,FALSE)</f>
        <v>0</v>
      </c>
      <c r="AM49" s="10">
        <f ca="1">VLOOKUP($B49,'[3]Analisys QBR By Machine Report'!$C$109:$BD$166,34,FALSE)</f>
        <v>0</v>
      </c>
      <c r="AN49" s="10">
        <f ca="1">VLOOKUP($B49,'[3]Analisys QBR By Machine Report'!$C$109:$BD$166,35,FALSE)</f>
        <v>30</v>
      </c>
      <c r="AO49" s="10">
        <f ca="1">VLOOKUP($B49,'[3]Analisys QBR By Machine Report'!$C$109:$BD$166,36,FALSE)</f>
        <v>0</v>
      </c>
      <c r="AP49" s="10">
        <f ca="1">VLOOKUP($B49,'[3]Analisys QBR By Machine Report'!$C$109:$BD$166,37,FALSE)</f>
        <v>0</v>
      </c>
      <c r="AQ49" s="10">
        <f ca="1">VLOOKUP($B49,'[3]Analisys QBR By Machine Report'!$C$109:$BD$166,38,FALSE)</f>
        <v>0</v>
      </c>
      <c r="AR49" s="10">
        <f ca="1">VLOOKUP($B49,'[3]Analisys QBR By Machine Report'!$C$109:$BD$166,39,FALSE)</f>
        <v>0</v>
      </c>
      <c r="AS49" s="10">
        <f ca="1">VLOOKUP($B49,'[3]Analisys QBR By Machine Report'!$C$109:$BD$166,40,FALSE)</f>
        <v>0</v>
      </c>
      <c r="AT49" s="10">
        <f ca="1">VLOOKUP($B49,'[3]Analisys QBR By Machine Report'!$C$109:$BD$166,41,FALSE)</f>
        <v>0</v>
      </c>
      <c r="AU49" s="10">
        <f ca="1">VLOOKUP($B49,'[3]Analisys QBR By Machine Report'!$C$109:$BD$166,42,FALSE)</f>
        <v>0</v>
      </c>
      <c r="AV49" s="10">
        <f ca="1">VLOOKUP($B49,'[3]Analisys QBR By Machine Report'!$C$109:$BD$166,43,FALSE)</f>
        <v>0</v>
      </c>
      <c r="AW49" s="10">
        <f ca="1">VLOOKUP($B49,'[3]Analisys QBR By Machine Report'!$C$109:$BD$166,44,FALSE)</f>
        <v>0</v>
      </c>
      <c r="AX49" s="10">
        <f ca="1">VLOOKUP($B49,'[3]Analisys QBR By Machine Report'!$C$109:$BD$166,45,FALSE)</f>
        <v>0</v>
      </c>
      <c r="AY49" s="10">
        <f ca="1">VLOOKUP($B49,'[3]Analisys QBR By Machine Report'!$C$109:$BD$166,46,FALSE)</f>
        <v>0</v>
      </c>
      <c r="AZ49" s="10">
        <f ca="1">VLOOKUP($B49,'[3]Analisys QBR By Machine Report'!$C$109:$BD$166,47,FALSE)</f>
        <v>10</v>
      </c>
      <c r="BA49" s="10">
        <f ca="1">VLOOKUP($B49,'[3]Analisys QBR By Machine Report'!$C$109:$BD$166,48,FALSE)</f>
        <v>0</v>
      </c>
      <c r="BB49" s="10">
        <f ca="1">VLOOKUP($B49,'[3]Analisys QBR By Machine Report'!$C$109:$BD$166,49,FALSE)</f>
        <v>0</v>
      </c>
      <c r="BC49" s="10">
        <f ca="1">VLOOKUP($B49,'[3]Analisys QBR By Machine Report'!$C$109:$BD$166,50,FALSE)</f>
        <v>0</v>
      </c>
      <c r="BD49" s="10">
        <f ca="1">VLOOKUP($B49,'[3]Analisys QBR By Machine Report'!$C$109:$BD$166,51,FALSE)</f>
        <v>100183</v>
      </c>
      <c r="BE49" s="10">
        <f ca="1">VLOOKUP($B49,'[3]Analisys QBR By Machine Report'!$C$109:$BD$166,52,FALSE)</f>
        <v>473</v>
      </c>
      <c r="BF49" s="10">
        <f ca="1">VLOOKUP($B49,'[3]Analisys QBR By Machine Report'!$C$109:$BD$166,53,FALSE)</f>
        <v>99710</v>
      </c>
    </row>
    <row r="50" spans="1:58" x14ac:dyDescent="0.25">
      <c r="A50" s="12" t="s">
        <v>106</v>
      </c>
      <c r="B50" s="13">
        <f ca="1">VLOOKUP($B50,'[3]Analisys QBR By Machine Report'!$C$109:$BD$166,2,FALSE)</f>
        <v>28800</v>
      </c>
      <c r="C50" s="14">
        <f ca="1">VLOOKUP($B50,[3]Dasboard_QBR_Report!$B$109:$BL$166,3,FALSE)</f>
        <v>9600</v>
      </c>
      <c r="D50" s="13">
        <f ca="1">VLOOKUP($B50,'[3]Analisys QBR By Machine Report'!$C$109:$BD$166,3,FALSE)</f>
        <v>28305</v>
      </c>
      <c r="E50" s="14">
        <f ca="1">VLOOKUP($B50,[3]Dasboard_QBR_Report!$B$109:$BL$166,5,FALSE)</f>
        <v>9105</v>
      </c>
      <c r="F50" s="13">
        <f t="shared" ca="1" si="0"/>
        <v>495</v>
      </c>
      <c r="G50" s="13">
        <f t="shared" ca="1" si="1"/>
        <v>75</v>
      </c>
      <c r="H50" s="13">
        <f ca="1">VLOOKUP($B50,'[3]Analisys QBR By Machine Report'!$C$109:$BD$166,4,FALSE)</f>
        <v>75</v>
      </c>
      <c r="I50" s="13">
        <f ca="1">VLOOKUP($B50,'[3]Analisys QBR By Machine Report'!$C$109:$BD$166,5,FALSE)</f>
        <v>0</v>
      </c>
      <c r="J50" s="13">
        <f ca="1">VLOOKUP($B50,'[3]Analisys QBR By Machine Report'!$C$109:$BD$166,6,FALSE)</f>
        <v>75</v>
      </c>
      <c r="K50" s="13">
        <f ca="1">VLOOKUP($B50,'[3]Analisys QBR By Machine Report'!$C$109:$BD$166,7,FALSE)</f>
        <v>0</v>
      </c>
      <c r="L50" s="13">
        <f ca="1">VLOOKUP($B50,'[3]Analisys QBR By Machine Report'!$C$109:$BD$166,8,FALSE)</f>
        <v>420</v>
      </c>
      <c r="M50" s="13">
        <f ca="1">VLOOKUP($B50,'[3]Analisys QBR By Machine Report'!$C$109:$BD$166,9,FALSE)</f>
        <v>120</v>
      </c>
      <c r="N50" s="13">
        <f ca="1">VLOOKUP($B50,[3]Dasboard_QBR_Report!$B$109:$BL$166,18,FALSE)</f>
        <v>300</v>
      </c>
      <c r="O50" s="13">
        <f ca="1">VLOOKUP($B50,'[3]Analisys QBR By Machine Report'!$C$109:$BD$166,10,FALSE)</f>
        <v>85</v>
      </c>
      <c r="P50" s="13">
        <f ca="1">VLOOKUP($B50,'[3]Analisys QBR By Machine Report'!$C$109:$BD$166,11,FALSE)</f>
        <v>85</v>
      </c>
      <c r="Q50" s="13">
        <f ca="1">VLOOKUP($B50,'[3]Analisys QBR By Machine Report'!$C$109:$BD$166,12,FALSE)</f>
        <v>0</v>
      </c>
      <c r="R50" s="13">
        <f ca="1">VLOOKUP($B50,'[3]Analisys QBR By Machine Report'!$C$109:$BD$166,13,FALSE)</f>
        <v>0</v>
      </c>
      <c r="S50" s="13">
        <f ca="1">VLOOKUP($B50,'[3]Analisys QBR By Machine Report'!$C$109:$BD$166,14,FALSE)</f>
        <v>0</v>
      </c>
      <c r="T50" s="13">
        <f ca="1">VLOOKUP($B50,'[3]Analisys QBR By Machine Report'!$C$109:$BD$166,15,FALSE)</f>
        <v>0</v>
      </c>
      <c r="U50" s="13">
        <f ca="1">VLOOKUP($B50,'[3]Analisys QBR By Machine Report'!$C$109:$BD$166,16,FALSE)</f>
        <v>0</v>
      </c>
      <c r="V50" s="13">
        <f ca="1">VLOOKUP($B50,'[3]Analisys QBR By Machine Report'!$C$109:$BD$166,17,FALSE)</f>
        <v>0</v>
      </c>
      <c r="W50" s="13">
        <f ca="1">VLOOKUP($B50,'[3]Analisys QBR By Machine Report'!$C$109:$BD$166,18,FALSE)</f>
        <v>0</v>
      </c>
      <c r="X50" s="13">
        <f ca="1">VLOOKUP($B50,'[3]Analisys QBR By Machine Report'!$C$109:$BD$166,19,FALSE)</f>
        <v>0</v>
      </c>
      <c r="Y50" s="13">
        <f ca="1">VLOOKUP($B50,'[3]Analisys QBR By Machine Report'!$C$109:$BD$166,20,FALSE)</f>
        <v>0</v>
      </c>
      <c r="Z50" s="13">
        <f ca="1">VLOOKUP($B50,'[3]Analisys QBR By Machine Report'!$C$109:$BD$166,21,FALSE)</f>
        <v>175</v>
      </c>
      <c r="AA50" s="13">
        <f ca="1">VLOOKUP($B50,'[3]Analisys QBR By Machine Report'!$C$109:$BD$166,22,FALSE)</f>
        <v>70</v>
      </c>
      <c r="AB50" s="13">
        <f ca="1">VLOOKUP($B50,'[3]Analisys QBR By Machine Report'!$C$109:$BD$166,23,FALSE)</f>
        <v>80</v>
      </c>
      <c r="AC50" s="13">
        <f ca="1">VLOOKUP($B50,'[3]Analisys QBR By Machine Report'!$C$109:$BD$166,24,FALSE)</f>
        <v>0</v>
      </c>
      <c r="AD50" s="13">
        <f ca="1">VLOOKUP($B50,'[3]Analisys QBR By Machine Report'!$C$109:$BD$166,25,FALSE)</f>
        <v>0</v>
      </c>
      <c r="AE50" s="13">
        <f ca="1">VLOOKUP($B50,'[3]Analisys QBR By Machine Report'!$C$109:$BD$166,26,FALSE)</f>
        <v>25</v>
      </c>
      <c r="AF50" s="13">
        <f ca="1">VLOOKUP($B50,'[3]Analisys QBR By Machine Report'!$C$109:$BD$166,27,FALSE)</f>
        <v>0</v>
      </c>
      <c r="AG50" s="13">
        <f ca="1">VLOOKUP($B50,'[3]Analisys QBR By Machine Report'!$C$109:$BD$166,28,FALSE)</f>
        <v>0</v>
      </c>
      <c r="AH50" s="13">
        <f ca="1">VLOOKUP($B50,'[3]Analisys QBR By Machine Report'!$C$109:$BD$166,29,FALSE)</f>
        <v>0</v>
      </c>
      <c r="AI50" s="13">
        <f ca="1">VLOOKUP($B50,'[3]Analisys QBR By Machine Report'!$C$109:$BD$166,30,FALSE)</f>
        <v>40</v>
      </c>
      <c r="AJ50" s="13">
        <f ca="1">VLOOKUP($B50,'[3]Analisys QBR By Machine Report'!$C$109:$BD$166,31,FALSE)</f>
        <v>0</v>
      </c>
      <c r="AK50" s="13">
        <f ca="1">VLOOKUP($B50,'[3]Analisys QBR By Machine Report'!$C$109:$BD$166,32,FALSE)</f>
        <v>0</v>
      </c>
      <c r="AL50" s="13">
        <f ca="1">VLOOKUP($B50,'[3]Analisys QBR By Machine Report'!$C$109:$BD$166,33,FALSE)</f>
        <v>0</v>
      </c>
      <c r="AM50" s="13">
        <f ca="1">VLOOKUP($B50,'[3]Analisys QBR By Machine Report'!$C$109:$BD$166,34,FALSE)</f>
        <v>0</v>
      </c>
      <c r="AN50" s="13">
        <f ca="1">VLOOKUP($B50,'[3]Analisys QBR By Machine Report'!$C$109:$BD$166,35,FALSE)</f>
        <v>30</v>
      </c>
      <c r="AO50" s="13">
        <f ca="1">VLOOKUP($B50,'[3]Analisys QBR By Machine Report'!$C$109:$BD$166,36,FALSE)</f>
        <v>0</v>
      </c>
      <c r="AP50" s="13">
        <f ca="1">VLOOKUP($B50,'[3]Analisys QBR By Machine Report'!$C$109:$BD$166,37,FALSE)</f>
        <v>0</v>
      </c>
      <c r="AQ50" s="13">
        <f ca="1">VLOOKUP($B50,'[3]Analisys QBR By Machine Report'!$C$109:$BD$166,38,FALSE)</f>
        <v>0</v>
      </c>
      <c r="AR50" s="13">
        <f ca="1">VLOOKUP($B50,'[3]Analisys QBR By Machine Report'!$C$109:$BD$166,39,FALSE)</f>
        <v>0</v>
      </c>
      <c r="AS50" s="13">
        <f ca="1">VLOOKUP($B50,'[3]Analisys QBR By Machine Report'!$C$109:$BD$166,40,FALSE)</f>
        <v>0</v>
      </c>
      <c r="AT50" s="13">
        <f ca="1">VLOOKUP($B50,'[3]Analisys QBR By Machine Report'!$C$109:$BD$166,41,FALSE)</f>
        <v>0</v>
      </c>
      <c r="AU50" s="13">
        <f ca="1">VLOOKUP($B50,'[3]Analisys QBR By Machine Report'!$C$109:$BD$166,42,FALSE)</f>
        <v>0</v>
      </c>
      <c r="AV50" s="13">
        <f ca="1">VLOOKUP($B50,'[3]Analisys QBR By Machine Report'!$C$109:$BD$166,43,FALSE)</f>
        <v>0</v>
      </c>
      <c r="AW50" s="13">
        <f ca="1">VLOOKUP($B50,'[3]Analisys QBR By Machine Report'!$C$109:$BD$166,44,FALSE)</f>
        <v>0</v>
      </c>
      <c r="AX50" s="13">
        <f ca="1">VLOOKUP($B50,'[3]Analisys QBR By Machine Report'!$C$109:$BD$166,45,FALSE)</f>
        <v>0</v>
      </c>
      <c r="AY50" s="13">
        <f ca="1">VLOOKUP($B50,'[3]Analisys QBR By Machine Report'!$C$109:$BD$166,46,FALSE)</f>
        <v>0</v>
      </c>
      <c r="AZ50" s="13">
        <f ca="1">VLOOKUP($B50,'[3]Analisys QBR By Machine Report'!$C$109:$BD$166,47,FALSE)</f>
        <v>10</v>
      </c>
      <c r="BA50" s="13">
        <f ca="1">VLOOKUP($B50,'[3]Analisys QBR By Machine Report'!$C$109:$BD$166,48,FALSE)</f>
        <v>0</v>
      </c>
      <c r="BB50" s="13">
        <f ca="1">VLOOKUP($B50,'[3]Analisys QBR By Machine Report'!$C$109:$BD$166,49,FALSE)</f>
        <v>0</v>
      </c>
      <c r="BC50" s="13">
        <f ca="1">VLOOKUP($B50,'[3]Analisys QBR By Machine Report'!$C$109:$BD$166,50,FALSE)</f>
        <v>0</v>
      </c>
      <c r="BD50" s="13">
        <f ca="1">VLOOKUP($B50,'[3]Analisys QBR By Machine Report'!$C$109:$BD$166,51,FALSE)</f>
        <v>100183</v>
      </c>
      <c r="BE50" s="13">
        <f ca="1">VLOOKUP($B50,'[3]Analisys QBR By Machine Report'!$C$109:$BD$166,52,FALSE)</f>
        <v>473</v>
      </c>
      <c r="BF50" s="13">
        <f ca="1">VLOOKUP($B50,'[3]Analisys QBR By Machine Report'!$C$109:$BD$166,53,FALSE)</f>
        <v>99710</v>
      </c>
    </row>
    <row r="51" spans="1:58" x14ac:dyDescent="0.25">
      <c r="A51" s="9" t="s">
        <v>107</v>
      </c>
      <c r="B51" s="10">
        <f ca="1">VLOOKUP($B51,'[3]Analisys QBR By Machine Report'!$C$109:$BD$166,2,FALSE)</f>
        <v>28800</v>
      </c>
      <c r="C51" s="11">
        <f ca="1">VLOOKUP($B51,[3]Dasboard_QBR_Report!$B$109:$BL$166,3,FALSE)</f>
        <v>18600</v>
      </c>
      <c r="D51" s="10">
        <f ca="1">VLOOKUP($B51,'[3]Analisys QBR By Machine Report'!$C$109:$BD$166,3,FALSE)</f>
        <v>24660</v>
      </c>
      <c r="E51" s="11">
        <f ca="1">VLOOKUP($B51,[3]Dasboard_QBR_Report!$B$109:$BL$166,5,FALSE)</f>
        <v>14460</v>
      </c>
      <c r="F51" s="10">
        <f t="shared" ca="1" si="0"/>
        <v>4140</v>
      </c>
      <c r="G51" s="10">
        <f t="shared" ca="1" si="1"/>
        <v>235</v>
      </c>
      <c r="H51" s="10">
        <f ca="1">VLOOKUP($B51,'[3]Analisys QBR By Machine Report'!$C$109:$BD$166,4,FALSE)</f>
        <v>235</v>
      </c>
      <c r="I51" s="10">
        <f ca="1">VLOOKUP($B51,'[3]Analisys QBR By Machine Report'!$C$109:$BD$166,5,FALSE)</f>
        <v>0</v>
      </c>
      <c r="J51" s="10">
        <f ca="1">VLOOKUP($B51,'[3]Analisys QBR By Machine Report'!$C$109:$BD$166,6,FALSE)</f>
        <v>235</v>
      </c>
      <c r="K51" s="10">
        <f ca="1">VLOOKUP($B51,'[3]Analisys QBR By Machine Report'!$C$109:$BD$166,7,FALSE)</f>
        <v>0</v>
      </c>
      <c r="L51" s="10">
        <f ca="1">VLOOKUP($B51,'[3]Analisys QBR By Machine Report'!$C$109:$BD$166,8,FALSE)</f>
        <v>3905</v>
      </c>
      <c r="M51" s="10">
        <f ca="1">VLOOKUP($B51,'[3]Analisys QBR By Machine Report'!$C$109:$BD$166,9,FALSE)</f>
        <v>1476</v>
      </c>
      <c r="N51" s="10">
        <f ca="1">VLOOKUP($B51,[3]Dasboard_QBR_Report!$B$109:$BL$166,18,FALSE)</f>
        <v>2429</v>
      </c>
      <c r="O51" s="10">
        <f ca="1">VLOOKUP($B51,'[3]Analisys QBR By Machine Report'!$C$109:$BD$166,10,FALSE)</f>
        <v>488</v>
      </c>
      <c r="P51" s="10">
        <f ca="1">VLOOKUP($B51,'[3]Analisys QBR By Machine Report'!$C$109:$BD$166,11,FALSE)</f>
        <v>417</v>
      </c>
      <c r="Q51" s="10">
        <f ca="1">VLOOKUP($B51,'[3]Analisys QBR By Machine Report'!$C$109:$BD$166,12,FALSE)</f>
        <v>0</v>
      </c>
      <c r="R51" s="10">
        <f ca="1">VLOOKUP($B51,'[3]Analisys QBR By Machine Report'!$C$109:$BD$166,13,FALSE)</f>
        <v>71</v>
      </c>
      <c r="S51" s="10">
        <f ca="1">VLOOKUP($B51,'[3]Analisys QBR By Machine Report'!$C$109:$BD$166,14,FALSE)</f>
        <v>0</v>
      </c>
      <c r="T51" s="10">
        <f ca="1">VLOOKUP($B51,'[3]Analisys QBR By Machine Report'!$C$109:$BD$166,15,FALSE)</f>
        <v>112</v>
      </c>
      <c r="U51" s="10">
        <f ca="1">VLOOKUP($B51,'[3]Analisys QBR By Machine Report'!$C$109:$BD$166,16,FALSE)</f>
        <v>50</v>
      </c>
      <c r="V51" s="10">
        <f ca="1">VLOOKUP($B51,'[3]Analisys QBR By Machine Report'!$C$109:$BD$166,17,FALSE)</f>
        <v>0</v>
      </c>
      <c r="W51" s="10">
        <f ca="1">VLOOKUP($B51,'[3]Analisys QBR By Machine Report'!$C$109:$BD$166,18,FALSE)</f>
        <v>0</v>
      </c>
      <c r="X51" s="10">
        <f ca="1">VLOOKUP($B51,'[3]Analisys QBR By Machine Report'!$C$109:$BD$166,19,FALSE)</f>
        <v>62</v>
      </c>
      <c r="Y51" s="10">
        <f ca="1">VLOOKUP($B51,'[3]Analisys QBR By Machine Report'!$C$109:$BD$166,20,FALSE)</f>
        <v>0</v>
      </c>
      <c r="Z51" s="10">
        <f ca="1">VLOOKUP($B51,'[3]Analisys QBR By Machine Report'!$C$109:$BD$166,21,FALSE)</f>
        <v>692</v>
      </c>
      <c r="AA51" s="10">
        <f ca="1">VLOOKUP($B51,'[3]Analisys QBR By Machine Report'!$C$109:$BD$166,22,FALSE)</f>
        <v>78</v>
      </c>
      <c r="AB51" s="10">
        <f ca="1">VLOOKUP($B51,'[3]Analisys QBR By Machine Report'!$C$109:$BD$166,23,FALSE)</f>
        <v>614</v>
      </c>
      <c r="AC51" s="10">
        <f ca="1">VLOOKUP($B51,'[3]Analisys QBR By Machine Report'!$C$109:$BD$166,24,FALSE)</f>
        <v>0</v>
      </c>
      <c r="AD51" s="10">
        <f ca="1">VLOOKUP($B51,'[3]Analisys QBR By Machine Report'!$C$109:$BD$166,25,FALSE)</f>
        <v>0</v>
      </c>
      <c r="AE51" s="10">
        <f ca="1">VLOOKUP($B51,'[3]Analisys QBR By Machine Report'!$C$109:$BD$166,26,FALSE)</f>
        <v>0</v>
      </c>
      <c r="AF51" s="10">
        <f ca="1">VLOOKUP($B51,'[3]Analisys QBR By Machine Report'!$C$109:$BD$166,27,FALSE)</f>
        <v>0</v>
      </c>
      <c r="AG51" s="10">
        <f ca="1">VLOOKUP($B51,'[3]Analisys QBR By Machine Report'!$C$109:$BD$166,28,FALSE)</f>
        <v>0</v>
      </c>
      <c r="AH51" s="10">
        <f ca="1">VLOOKUP($B51,'[3]Analisys QBR By Machine Report'!$C$109:$BD$166,29,FALSE)</f>
        <v>0</v>
      </c>
      <c r="AI51" s="10">
        <f ca="1">VLOOKUP($B51,'[3]Analisys QBR By Machine Report'!$C$109:$BD$166,30,FALSE)</f>
        <v>1137</v>
      </c>
      <c r="AJ51" s="10">
        <f ca="1">VLOOKUP($B51,'[3]Analisys QBR By Machine Report'!$C$109:$BD$166,31,FALSE)</f>
        <v>0</v>
      </c>
      <c r="AK51" s="10">
        <f ca="1">VLOOKUP($B51,'[3]Analisys QBR By Machine Report'!$C$109:$BD$166,32,FALSE)</f>
        <v>0</v>
      </c>
      <c r="AL51" s="10">
        <f ca="1">VLOOKUP($B51,'[3]Analisys QBR By Machine Report'!$C$109:$BD$166,33,FALSE)</f>
        <v>95</v>
      </c>
      <c r="AM51" s="10">
        <f ca="1">VLOOKUP($B51,'[3]Analisys QBR By Machine Report'!$C$109:$BD$166,34,FALSE)</f>
        <v>5</v>
      </c>
      <c r="AN51" s="10">
        <f ca="1">VLOOKUP($B51,'[3]Analisys QBR By Machine Report'!$C$109:$BD$166,35,FALSE)</f>
        <v>235</v>
      </c>
      <c r="AO51" s="10">
        <f ca="1">VLOOKUP($B51,'[3]Analisys QBR By Machine Report'!$C$109:$BD$166,36,FALSE)</f>
        <v>0</v>
      </c>
      <c r="AP51" s="10">
        <f ca="1">VLOOKUP($B51,'[3]Analisys QBR By Machine Report'!$C$109:$BD$166,37,FALSE)</f>
        <v>0</v>
      </c>
      <c r="AQ51" s="10">
        <f ca="1">VLOOKUP($B51,'[3]Analisys QBR By Machine Report'!$C$109:$BD$166,38,FALSE)</f>
        <v>75</v>
      </c>
      <c r="AR51" s="10">
        <f ca="1">VLOOKUP($B51,'[3]Analisys QBR By Machine Report'!$C$109:$BD$166,39,FALSE)</f>
        <v>0</v>
      </c>
      <c r="AS51" s="10">
        <f ca="1">VLOOKUP($B51,'[3]Analisys QBR By Machine Report'!$C$109:$BD$166,40,FALSE)</f>
        <v>40</v>
      </c>
      <c r="AT51" s="10">
        <f ca="1">VLOOKUP($B51,'[3]Analisys QBR By Machine Report'!$C$109:$BD$166,41,FALSE)</f>
        <v>0</v>
      </c>
      <c r="AU51" s="10">
        <f ca="1">VLOOKUP($B51,'[3]Analisys QBR By Machine Report'!$C$109:$BD$166,42,FALSE)</f>
        <v>0</v>
      </c>
      <c r="AV51" s="10">
        <f ca="1">VLOOKUP($B51,'[3]Analisys QBR By Machine Report'!$C$109:$BD$166,43,FALSE)</f>
        <v>675</v>
      </c>
      <c r="AW51" s="10">
        <f ca="1">VLOOKUP($B51,'[3]Analisys QBR By Machine Report'!$C$109:$BD$166,44,FALSE)</f>
        <v>0</v>
      </c>
      <c r="AX51" s="10">
        <f ca="1">VLOOKUP($B51,'[3]Analisys QBR By Machine Report'!$C$109:$BD$166,45,FALSE)</f>
        <v>0</v>
      </c>
      <c r="AY51" s="10">
        <f ca="1">VLOOKUP($B51,'[3]Analisys QBR By Machine Report'!$C$109:$BD$166,46,FALSE)</f>
        <v>0</v>
      </c>
      <c r="AZ51" s="10">
        <f ca="1">VLOOKUP($B51,'[3]Analisys QBR By Machine Report'!$C$109:$BD$166,47,FALSE)</f>
        <v>12</v>
      </c>
      <c r="BA51" s="10">
        <f ca="1">VLOOKUP($B51,'[3]Analisys QBR By Machine Report'!$C$109:$BD$166,48,FALSE)</f>
        <v>0</v>
      </c>
      <c r="BB51" s="10">
        <f ca="1">VLOOKUP($B51,'[3]Analisys QBR By Machine Report'!$C$109:$BD$166,49,FALSE)</f>
        <v>0</v>
      </c>
      <c r="BC51" s="10">
        <f ca="1">VLOOKUP($B51,'[3]Analisys QBR By Machine Report'!$C$109:$BD$166,50,FALSE)</f>
        <v>0</v>
      </c>
      <c r="BD51" s="10">
        <f ca="1">VLOOKUP($B51,'[3]Analisys QBR By Machine Report'!$C$109:$BD$166,51,FALSE)</f>
        <v>199466</v>
      </c>
      <c r="BE51" s="10">
        <f ca="1">VLOOKUP($B51,'[3]Analisys QBR By Machine Report'!$C$109:$BD$166,52,FALSE)</f>
        <v>0</v>
      </c>
      <c r="BF51" s="10">
        <f ca="1">VLOOKUP($B51,'[3]Analisys QBR By Machine Report'!$C$109:$BD$166,53,FALSE)</f>
        <v>199466</v>
      </c>
    </row>
    <row r="52" spans="1:58" x14ac:dyDescent="0.25">
      <c r="A52" s="12" t="s">
        <v>108</v>
      </c>
      <c r="B52" s="13">
        <f ca="1">VLOOKUP($B52,'[3]Analisys QBR By Machine Report'!$C$109:$BD$166,2,FALSE)</f>
        <v>28800</v>
      </c>
      <c r="C52" s="14">
        <f ca="1">VLOOKUP($B52,[3]Dasboard_QBR_Report!$B$109:$BL$166,3,FALSE)</f>
        <v>18600</v>
      </c>
      <c r="D52" s="13">
        <f ca="1">VLOOKUP($B52,'[3]Analisys QBR By Machine Report'!$C$109:$BD$166,3,FALSE)</f>
        <v>24660</v>
      </c>
      <c r="E52" s="14">
        <f ca="1">VLOOKUP($B52,[3]Dasboard_QBR_Report!$B$109:$BL$166,5,FALSE)</f>
        <v>14460</v>
      </c>
      <c r="F52" s="13">
        <f t="shared" ca="1" si="0"/>
        <v>4140</v>
      </c>
      <c r="G52" s="13">
        <f t="shared" ca="1" si="1"/>
        <v>235</v>
      </c>
      <c r="H52" s="13">
        <f ca="1">VLOOKUP($B52,'[3]Analisys QBR By Machine Report'!$C$109:$BD$166,4,FALSE)</f>
        <v>235</v>
      </c>
      <c r="I52" s="13">
        <f ca="1">VLOOKUP($B52,'[3]Analisys QBR By Machine Report'!$C$109:$BD$166,5,FALSE)</f>
        <v>0</v>
      </c>
      <c r="J52" s="13">
        <f ca="1">VLOOKUP($B52,'[3]Analisys QBR By Machine Report'!$C$109:$BD$166,6,FALSE)</f>
        <v>235</v>
      </c>
      <c r="K52" s="13">
        <f ca="1">VLOOKUP($B52,'[3]Analisys QBR By Machine Report'!$C$109:$BD$166,7,FALSE)</f>
        <v>0</v>
      </c>
      <c r="L52" s="13">
        <f ca="1">VLOOKUP($B52,'[3]Analisys QBR By Machine Report'!$C$109:$BD$166,8,FALSE)</f>
        <v>3905</v>
      </c>
      <c r="M52" s="13">
        <f ca="1">VLOOKUP($B52,'[3]Analisys QBR By Machine Report'!$C$109:$BD$166,9,FALSE)</f>
        <v>1476</v>
      </c>
      <c r="N52" s="13">
        <f ca="1">VLOOKUP($B52,[3]Dasboard_QBR_Report!$B$109:$BL$166,18,FALSE)</f>
        <v>2429</v>
      </c>
      <c r="O52" s="13">
        <f ca="1">VLOOKUP($B52,'[3]Analisys QBR By Machine Report'!$C$109:$BD$166,10,FALSE)</f>
        <v>488</v>
      </c>
      <c r="P52" s="13">
        <f ca="1">VLOOKUP($B52,'[3]Analisys QBR By Machine Report'!$C$109:$BD$166,11,FALSE)</f>
        <v>417</v>
      </c>
      <c r="Q52" s="13">
        <f ca="1">VLOOKUP($B52,'[3]Analisys QBR By Machine Report'!$C$109:$BD$166,12,FALSE)</f>
        <v>0</v>
      </c>
      <c r="R52" s="13">
        <f ca="1">VLOOKUP($B52,'[3]Analisys QBR By Machine Report'!$C$109:$BD$166,13,FALSE)</f>
        <v>71</v>
      </c>
      <c r="S52" s="13">
        <f ca="1">VLOOKUP($B52,'[3]Analisys QBR By Machine Report'!$C$109:$BD$166,14,FALSE)</f>
        <v>0</v>
      </c>
      <c r="T52" s="13">
        <f ca="1">VLOOKUP($B52,'[3]Analisys QBR By Machine Report'!$C$109:$BD$166,15,FALSE)</f>
        <v>112</v>
      </c>
      <c r="U52" s="13">
        <f ca="1">VLOOKUP($B52,'[3]Analisys QBR By Machine Report'!$C$109:$BD$166,16,FALSE)</f>
        <v>50</v>
      </c>
      <c r="V52" s="13">
        <f ca="1">VLOOKUP($B52,'[3]Analisys QBR By Machine Report'!$C$109:$BD$166,17,FALSE)</f>
        <v>0</v>
      </c>
      <c r="W52" s="13">
        <f ca="1">VLOOKUP($B52,'[3]Analisys QBR By Machine Report'!$C$109:$BD$166,18,FALSE)</f>
        <v>0</v>
      </c>
      <c r="X52" s="13">
        <f ca="1">VLOOKUP($B52,'[3]Analisys QBR By Machine Report'!$C$109:$BD$166,19,FALSE)</f>
        <v>62</v>
      </c>
      <c r="Y52" s="13">
        <f ca="1">VLOOKUP($B52,'[3]Analisys QBR By Machine Report'!$C$109:$BD$166,20,FALSE)</f>
        <v>0</v>
      </c>
      <c r="Z52" s="13">
        <f ca="1">VLOOKUP($B52,'[3]Analisys QBR By Machine Report'!$C$109:$BD$166,21,FALSE)</f>
        <v>692</v>
      </c>
      <c r="AA52" s="13">
        <f ca="1">VLOOKUP($B52,'[3]Analisys QBR By Machine Report'!$C$109:$BD$166,22,FALSE)</f>
        <v>78</v>
      </c>
      <c r="AB52" s="13">
        <f ca="1">VLOOKUP($B52,'[3]Analisys QBR By Machine Report'!$C$109:$BD$166,23,FALSE)</f>
        <v>614</v>
      </c>
      <c r="AC52" s="13">
        <f ca="1">VLOOKUP($B52,'[3]Analisys QBR By Machine Report'!$C$109:$BD$166,24,FALSE)</f>
        <v>0</v>
      </c>
      <c r="AD52" s="13">
        <f ca="1">VLOOKUP($B52,'[3]Analisys QBR By Machine Report'!$C$109:$BD$166,25,FALSE)</f>
        <v>0</v>
      </c>
      <c r="AE52" s="13">
        <f ca="1">VLOOKUP($B52,'[3]Analisys QBR By Machine Report'!$C$109:$BD$166,26,FALSE)</f>
        <v>0</v>
      </c>
      <c r="AF52" s="13">
        <f ca="1">VLOOKUP($B52,'[3]Analisys QBR By Machine Report'!$C$109:$BD$166,27,FALSE)</f>
        <v>0</v>
      </c>
      <c r="AG52" s="13">
        <f ca="1">VLOOKUP($B52,'[3]Analisys QBR By Machine Report'!$C$109:$BD$166,28,FALSE)</f>
        <v>0</v>
      </c>
      <c r="AH52" s="13">
        <f ca="1">VLOOKUP($B52,'[3]Analisys QBR By Machine Report'!$C$109:$BD$166,29,FALSE)</f>
        <v>0</v>
      </c>
      <c r="AI52" s="13">
        <f ca="1">VLOOKUP($B52,'[3]Analisys QBR By Machine Report'!$C$109:$BD$166,30,FALSE)</f>
        <v>1137</v>
      </c>
      <c r="AJ52" s="13">
        <f ca="1">VLOOKUP($B52,'[3]Analisys QBR By Machine Report'!$C$109:$BD$166,31,FALSE)</f>
        <v>0</v>
      </c>
      <c r="AK52" s="13">
        <f ca="1">VLOOKUP($B52,'[3]Analisys QBR By Machine Report'!$C$109:$BD$166,32,FALSE)</f>
        <v>0</v>
      </c>
      <c r="AL52" s="13">
        <f ca="1">VLOOKUP($B52,'[3]Analisys QBR By Machine Report'!$C$109:$BD$166,33,FALSE)</f>
        <v>95</v>
      </c>
      <c r="AM52" s="13">
        <f ca="1">VLOOKUP($B52,'[3]Analisys QBR By Machine Report'!$C$109:$BD$166,34,FALSE)</f>
        <v>5</v>
      </c>
      <c r="AN52" s="13">
        <f ca="1">VLOOKUP($B52,'[3]Analisys QBR By Machine Report'!$C$109:$BD$166,35,FALSE)</f>
        <v>235</v>
      </c>
      <c r="AO52" s="13">
        <f ca="1">VLOOKUP($B52,'[3]Analisys QBR By Machine Report'!$C$109:$BD$166,36,FALSE)</f>
        <v>0</v>
      </c>
      <c r="AP52" s="13">
        <f ca="1">VLOOKUP($B52,'[3]Analisys QBR By Machine Report'!$C$109:$BD$166,37,FALSE)</f>
        <v>0</v>
      </c>
      <c r="AQ52" s="13">
        <f ca="1">VLOOKUP($B52,'[3]Analisys QBR By Machine Report'!$C$109:$BD$166,38,FALSE)</f>
        <v>75</v>
      </c>
      <c r="AR52" s="13">
        <f ca="1">VLOOKUP($B52,'[3]Analisys QBR By Machine Report'!$C$109:$BD$166,39,FALSE)</f>
        <v>0</v>
      </c>
      <c r="AS52" s="13">
        <f ca="1">VLOOKUP($B52,'[3]Analisys QBR By Machine Report'!$C$109:$BD$166,40,FALSE)</f>
        <v>40</v>
      </c>
      <c r="AT52" s="13">
        <f ca="1">VLOOKUP($B52,'[3]Analisys QBR By Machine Report'!$C$109:$BD$166,41,FALSE)</f>
        <v>0</v>
      </c>
      <c r="AU52" s="13">
        <f ca="1">VLOOKUP($B52,'[3]Analisys QBR By Machine Report'!$C$109:$BD$166,42,FALSE)</f>
        <v>0</v>
      </c>
      <c r="AV52" s="13">
        <f ca="1">VLOOKUP($B52,'[3]Analisys QBR By Machine Report'!$C$109:$BD$166,43,FALSE)</f>
        <v>675</v>
      </c>
      <c r="AW52" s="13">
        <f ca="1">VLOOKUP($B52,'[3]Analisys QBR By Machine Report'!$C$109:$BD$166,44,FALSE)</f>
        <v>0</v>
      </c>
      <c r="AX52" s="13">
        <f ca="1">VLOOKUP($B52,'[3]Analisys QBR By Machine Report'!$C$109:$BD$166,45,FALSE)</f>
        <v>0</v>
      </c>
      <c r="AY52" s="13">
        <f ca="1">VLOOKUP($B52,'[3]Analisys QBR By Machine Report'!$C$109:$BD$166,46,FALSE)</f>
        <v>0</v>
      </c>
      <c r="AZ52" s="13">
        <f ca="1">VLOOKUP($B52,'[3]Analisys QBR By Machine Report'!$C$109:$BD$166,47,FALSE)</f>
        <v>12</v>
      </c>
      <c r="BA52" s="13">
        <f ca="1">VLOOKUP($B52,'[3]Analisys QBR By Machine Report'!$C$109:$BD$166,48,FALSE)</f>
        <v>0</v>
      </c>
      <c r="BB52" s="13">
        <f ca="1">VLOOKUP($B52,'[3]Analisys QBR By Machine Report'!$C$109:$BD$166,49,FALSE)</f>
        <v>0</v>
      </c>
      <c r="BC52" s="13">
        <f ca="1">VLOOKUP($B52,'[3]Analisys QBR By Machine Report'!$C$109:$BD$166,50,FALSE)</f>
        <v>0</v>
      </c>
      <c r="BD52" s="13">
        <f ca="1">VLOOKUP($B52,'[3]Analisys QBR By Machine Report'!$C$109:$BD$166,51,FALSE)</f>
        <v>199466</v>
      </c>
      <c r="BE52" s="13">
        <f ca="1">VLOOKUP($B52,'[3]Analisys QBR By Machine Report'!$C$109:$BD$166,52,FALSE)</f>
        <v>0</v>
      </c>
      <c r="BF52" s="13">
        <f ca="1">VLOOKUP($B52,'[3]Analisys QBR By Machine Report'!$C$109:$BD$166,53,FALSE)</f>
        <v>199466</v>
      </c>
    </row>
    <row r="53" spans="1:58" x14ac:dyDescent="0.25">
      <c r="A53" s="9" t="s">
        <v>109</v>
      </c>
      <c r="B53" s="10">
        <f ca="1">VLOOKUP($B53,'[3]Analisys QBR By Machine Report'!$C$109:$BD$166,2,FALSE)</f>
        <v>60480</v>
      </c>
      <c r="C53" s="11">
        <f ca="1">VLOOKUP($B53,[3]Dasboard_QBR_Report!$B$109:$BL$166,3,FALSE)</f>
        <v>39060</v>
      </c>
      <c r="D53" s="10">
        <f ca="1">VLOOKUP($B53,'[3]Analisys QBR By Machine Report'!$C$109:$BD$166,3,FALSE)</f>
        <v>49620</v>
      </c>
      <c r="E53" s="11">
        <f ca="1">VLOOKUP($B53,[3]Dasboard_QBR_Report!$B$109:$BL$166,5,FALSE)</f>
        <v>28200</v>
      </c>
      <c r="F53" s="10">
        <f t="shared" ca="1" si="0"/>
        <v>10860</v>
      </c>
      <c r="G53" s="10">
        <f t="shared" ca="1" si="1"/>
        <v>1129</v>
      </c>
      <c r="H53" s="10">
        <f ca="1">VLOOKUP($B53,'[3]Analisys QBR By Machine Report'!$C$109:$BD$166,4,FALSE)</f>
        <v>1129</v>
      </c>
      <c r="I53" s="10">
        <f ca="1">VLOOKUP($B53,'[3]Analisys QBR By Machine Report'!$C$109:$BD$166,5,FALSE)</f>
        <v>512</v>
      </c>
      <c r="J53" s="10">
        <f ca="1">VLOOKUP($B53,'[3]Analisys QBR By Machine Report'!$C$109:$BD$166,6,FALSE)</f>
        <v>617</v>
      </c>
      <c r="K53" s="10">
        <f ca="1">VLOOKUP($B53,'[3]Analisys QBR By Machine Report'!$C$109:$BD$166,7,FALSE)</f>
        <v>0</v>
      </c>
      <c r="L53" s="10">
        <f ca="1">VLOOKUP($B53,'[3]Analisys QBR By Machine Report'!$C$109:$BD$166,8,FALSE)</f>
        <v>9731</v>
      </c>
      <c r="M53" s="10">
        <f ca="1">VLOOKUP($B53,'[3]Analisys QBR By Machine Report'!$C$109:$BD$166,9,FALSE)</f>
        <v>4223</v>
      </c>
      <c r="N53" s="10">
        <f ca="1">VLOOKUP($B53,[3]Dasboard_QBR_Report!$B$109:$BL$166,18,FALSE)</f>
        <v>5508</v>
      </c>
      <c r="O53" s="10">
        <f ca="1">VLOOKUP($B53,'[3]Analisys QBR By Machine Report'!$C$109:$BD$166,10,FALSE)</f>
        <v>405</v>
      </c>
      <c r="P53" s="10">
        <f ca="1">VLOOKUP($B53,'[3]Analisys QBR By Machine Report'!$C$109:$BD$166,11,FALSE)</f>
        <v>275</v>
      </c>
      <c r="Q53" s="10">
        <f ca="1">VLOOKUP($B53,'[3]Analisys QBR By Machine Report'!$C$109:$BD$166,12,FALSE)</f>
        <v>0</v>
      </c>
      <c r="R53" s="10">
        <f ca="1">VLOOKUP($B53,'[3]Analisys QBR By Machine Report'!$C$109:$BD$166,13,FALSE)</f>
        <v>130</v>
      </c>
      <c r="S53" s="10">
        <f ca="1">VLOOKUP($B53,'[3]Analisys QBR By Machine Report'!$C$109:$BD$166,14,FALSE)</f>
        <v>0</v>
      </c>
      <c r="T53" s="10">
        <f ca="1">VLOOKUP($B53,'[3]Analisys QBR By Machine Report'!$C$109:$BD$166,15,FALSE)</f>
        <v>221</v>
      </c>
      <c r="U53" s="10">
        <f ca="1">VLOOKUP($B53,'[3]Analisys QBR By Machine Report'!$C$109:$BD$166,16,FALSE)</f>
        <v>135</v>
      </c>
      <c r="V53" s="10">
        <f ca="1">VLOOKUP($B53,'[3]Analisys QBR By Machine Report'!$C$109:$BD$166,17,FALSE)</f>
        <v>0</v>
      </c>
      <c r="W53" s="10">
        <f ca="1">VLOOKUP($B53,'[3]Analisys QBR By Machine Report'!$C$109:$BD$166,18,FALSE)</f>
        <v>0</v>
      </c>
      <c r="X53" s="10">
        <f ca="1">VLOOKUP($B53,'[3]Analisys QBR By Machine Report'!$C$109:$BD$166,19,FALSE)</f>
        <v>86</v>
      </c>
      <c r="Y53" s="10">
        <f ca="1">VLOOKUP($B53,'[3]Analisys QBR By Machine Report'!$C$109:$BD$166,20,FALSE)</f>
        <v>0</v>
      </c>
      <c r="Z53" s="10">
        <f ca="1">VLOOKUP($B53,'[3]Analisys QBR By Machine Report'!$C$109:$BD$166,21,FALSE)</f>
        <v>2756</v>
      </c>
      <c r="AA53" s="10">
        <f ca="1">VLOOKUP($B53,'[3]Analisys QBR By Machine Report'!$C$109:$BD$166,22,FALSE)</f>
        <v>2496</v>
      </c>
      <c r="AB53" s="10">
        <f ca="1">VLOOKUP($B53,'[3]Analisys QBR By Machine Report'!$C$109:$BD$166,23,FALSE)</f>
        <v>260</v>
      </c>
      <c r="AC53" s="10">
        <f ca="1">VLOOKUP($B53,'[3]Analisys QBR By Machine Report'!$C$109:$BD$166,24,FALSE)</f>
        <v>0</v>
      </c>
      <c r="AD53" s="10">
        <f ca="1">VLOOKUP($B53,'[3]Analisys QBR By Machine Report'!$C$109:$BD$166,25,FALSE)</f>
        <v>0</v>
      </c>
      <c r="AE53" s="10">
        <f ca="1">VLOOKUP($B53,'[3]Analisys QBR By Machine Report'!$C$109:$BD$166,26,FALSE)</f>
        <v>0</v>
      </c>
      <c r="AF53" s="10">
        <f ca="1">VLOOKUP($B53,'[3]Analisys QBR By Machine Report'!$C$109:$BD$166,27,FALSE)</f>
        <v>0</v>
      </c>
      <c r="AG53" s="10">
        <f ca="1">VLOOKUP($B53,'[3]Analisys QBR By Machine Report'!$C$109:$BD$166,28,FALSE)</f>
        <v>0</v>
      </c>
      <c r="AH53" s="10">
        <f ca="1">VLOOKUP($B53,'[3]Analisys QBR By Machine Report'!$C$109:$BD$166,29,FALSE)</f>
        <v>0</v>
      </c>
      <c r="AI53" s="10">
        <f ca="1">VLOOKUP($B53,'[3]Analisys QBR By Machine Report'!$C$109:$BD$166,30,FALSE)</f>
        <v>2126</v>
      </c>
      <c r="AJ53" s="10">
        <f ca="1">VLOOKUP($B53,'[3]Analisys QBR By Machine Report'!$C$109:$BD$166,31,FALSE)</f>
        <v>0</v>
      </c>
      <c r="AK53" s="10">
        <f ca="1">VLOOKUP($B53,'[3]Analisys QBR By Machine Report'!$C$109:$BD$166,32,FALSE)</f>
        <v>0</v>
      </c>
      <c r="AL53" s="10">
        <f ca="1">VLOOKUP($B53,'[3]Analisys QBR By Machine Report'!$C$109:$BD$166,33,FALSE)</f>
        <v>0</v>
      </c>
      <c r="AM53" s="10">
        <f ca="1">VLOOKUP($B53,'[3]Analisys QBR By Machine Report'!$C$109:$BD$166,34,FALSE)</f>
        <v>0</v>
      </c>
      <c r="AN53" s="10">
        <f ca="1">VLOOKUP($B53,'[3]Analisys QBR By Machine Report'!$C$109:$BD$166,35,FALSE)</f>
        <v>0</v>
      </c>
      <c r="AO53" s="10">
        <f ca="1">VLOOKUP($B53,'[3]Analisys QBR By Machine Report'!$C$109:$BD$166,36,FALSE)</f>
        <v>0</v>
      </c>
      <c r="AP53" s="10">
        <f ca="1">VLOOKUP($B53,'[3]Analisys QBR By Machine Report'!$C$109:$BD$166,37,FALSE)</f>
        <v>0</v>
      </c>
      <c r="AQ53" s="10">
        <f ca="1">VLOOKUP($B53,'[3]Analisys QBR By Machine Report'!$C$109:$BD$166,38,FALSE)</f>
        <v>50</v>
      </c>
      <c r="AR53" s="10">
        <f ca="1">VLOOKUP($B53,'[3]Analisys QBR By Machine Report'!$C$109:$BD$166,39,FALSE)</f>
        <v>2076</v>
      </c>
      <c r="AS53" s="10">
        <f ca="1">VLOOKUP($B53,'[3]Analisys QBR By Machine Report'!$C$109:$BD$166,40,FALSE)</f>
        <v>0</v>
      </c>
      <c r="AT53" s="10">
        <f ca="1">VLOOKUP($B53,'[3]Analisys QBR By Machine Report'!$C$109:$BD$166,41,FALSE)</f>
        <v>0</v>
      </c>
      <c r="AU53" s="10">
        <f ca="1">VLOOKUP($B53,'[3]Analisys QBR By Machine Report'!$C$109:$BD$166,42,FALSE)</f>
        <v>0</v>
      </c>
      <c r="AV53" s="10">
        <f ca="1">VLOOKUP($B53,'[3]Analisys QBR By Machine Report'!$C$109:$BD$166,43,FALSE)</f>
        <v>0</v>
      </c>
      <c r="AW53" s="10">
        <f ca="1">VLOOKUP($B53,'[3]Analisys QBR By Machine Report'!$C$109:$BD$166,44,FALSE)</f>
        <v>0</v>
      </c>
      <c r="AX53" s="10">
        <f ca="1">VLOOKUP($B53,'[3]Analisys QBR By Machine Report'!$C$109:$BD$166,45,FALSE)</f>
        <v>0</v>
      </c>
      <c r="AY53" s="10">
        <f ca="1">VLOOKUP($B53,'[3]Analisys QBR By Machine Report'!$C$109:$BD$166,46,FALSE)</f>
        <v>0</v>
      </c>
      <c r="AZ53" s="10">
        <f ca="1">VLOOKUP($B53,'[3]Analisys QBR By Machine Report'!$C$109:$BD$166,47,FALSE)</f>
        <v>0</v>
      </c>
      <c r="BA53" s="10">
        <f ca="1">VLOOKUP($B53,'[3]Analisys QBR By Machine Report'!$C$109:$BD$166,48,FALSE)</f>
        <v>0</v>
      </c>
      <c r="BB53" s="10">
        <f ca="1">VLOOKUP($B53,'[3]Analisys QBR By Machine Report'!$C$109:$BD$166,49,FALSE)</f>
        <v>0</v>
      </c>
      <c r="BC53" s="10">
        <f ca="1">VLOOKUP($B53,'[3]Analisys QBR By Machine Report'!$C$109:$BD$166,50,FALSE)</f>
        <v>0</v>
      </c>
      <c r="BD53" s="10">
        <f ca="1">VLOOKUP($B53,'[3]Analisys QBR By Machine Report'!$C$109:$BD$166,51,FALSE)</f>
        <v>412</v>
      </c>
      <c r="BE53" s="10">
        <f ca="1">VLOOKUP($B53,'[3]Analisys QBR By Machine Report'!$C$109:$BD$166,52,FALSE)</f>
        <v>0</v>
      </c>
      <c r="BF53" s="10">
        <f ca="1">VLOOKUP($B53,'[3]Analisys QBR By Machine Report'!$C$109:$BD$166,53,FALSE)</f>
        <v>412</v>
      </c>
    </row>
    <row r="54" spans="1:58" x14ac:dyDescent="0.25">
      <c r="A54" s="12" t="s">
        <v>110</v>
      </c>
      <c r="B54" s="13">
        <f ca="1">VLOOKUP($B54,'[3]Analisys QBR By Machine Report'!$C$109:$BD$166,2,FALSE)</f>
        <v>30240</v>
      </c>
      <c r="C54" s="14">
        <f ca="1">VLOOKUP($B54,[3]Dasboard_QBR_Report!$B$109:$BL$166,3,FALSE)</f>
        <v>19530</v>
      </c>
      <c r="D54" s="13">
        <f ca="1">VLOOKUP($B54,'[3]Analisys QBR By Machine Report'!$C$109:$BD$166,3,FALSE)</f>
        <v>24360</v>
      </c>
      <c r="E54" s="14">
        <f ca="1">VLOOKUP($B54,[3]Dasboard_QBR_Report!$B$109:$BL$166,5,FALSE)</f>
        <v>13650</v>
      </c>
      <c r="F54" s="13">
        <f t="shared" ca="1" si="0"/>
        <v>5880</v>
      </c>
      <c r="G54" s="13">
        <f t="shared" ca="1" si="1"/>
        <v>542</v>
      </c>
      <c r="H54" s="13">
        <f ca="1">VLOOKUP($B54,'[3]Analisys QBR By Machine Report'!$C$109:$BD$166,4,FALSE)</f>
        <v>542</v>
      </c>
      <c r="I54" s="13">
        <f ca="1">VLOOKUP($B54,'[3]Analisys QBR By Machine Report'!$C$109:$BD$166,5,FALSE)</f>
        <v>155</v>
      </c>
      <c r="J54" s="13">
        <f ca="1">VLOOKUP($B54,'[3]Analisys QBR By Machine Report'!$C$109:$BD$166,6,FALSE)</f>
        <v>387</v>
      </c>
      <c r="K54" s="13">
        <f ca="1">VLOOKUP($B54,'[3]Analisys QBR By Machine Report'!$C$109:$BD$166,7,FALSE)</f>
        <v>0</v>
      </c>
      <c r="L54" s="13">
        <f ca="1">VLOOKUP($B54,'[3]Analisys QBR By Machine Report'!$C$109:$BD$166,8,FALSE)</f>
        <v>5338</v>
      </c>
      <c r="M54" s="13">
        <f ca="1">VLOOKUP($B54,'[3]Analisys QBR By Machine Report'!$C$109:$BD$166,9,FALSE)</f>
        <v>2631</v>
      </c>
      <c r="N54" s="13">
        <f ca="1">VLOOKUP($B54,[3]Dasboard_QBR_Report!$B$109:$BL$166,18,FALSE)</f>
        <v>2707</v>
      </c>
      <c r="O54" s="13">
        <f ca="1">VLOOKUP($B54,'[3]Analisys QBR By Machine Report'!$C$109:$BD$166,10,FALSE)</f>
        <v>194</v>
      </c>
      <c r="P54" s="13">
        <f ca="1">VLOOKUP($B54,'[3]Analisys QBR By Machine Report'!$C$109:$BD$166,11,FALSE)</f>
        <v>154</v>
      </c>
      <c r="Q54" s="13">
        <f ca="1">VLOOKUP($B54,'[3]Analisys QBR By Machine Report'!$C$109:$BD$166,12,FALSE)</f>
        <v>0</v>
      </c>
      <c r="R54" s="13">
        <f ca="1">VLOOKUP($B54,'[3]Analisys QBR By Machine Report'!$C$109:$BD$166,13,FALSE)</f>
        <v>40</v>
      </c>
      <c r="S54" s="13">
        <f ca="1">VLOOKUP($B54,'[3]Analisys QBR By Machine Report'!$C$109:$BD$166,14,FALSE)</f>
        <v>0</v>
      </c>
      <c r="T54" s="13">
        <f ca="1">VLOOKUP($B54,'[3]Analisys QBR By Machine Report'!$C$109:$BD$166,15,FALSE)</f>
        <v>135</v>
      </c>
      <c r="U54" s="13">
        <f ca="1">VLOOKUP($B54,'[3]Analisys QBR By Machine Report'!$C$109:$BD$166,16,FALSE)</f>
        <v>135</v>
      </c>
      <c r="V54" s="13">
        <f ca="1">VLOOKUP($B54,'[3]Analisys QBR By Machine Report'!$C$109:$BD$166,17,FALSE)</f>
        <v>0</v>
      </c>
      <c r="W54" s="13">
        <f ca="1">VLOOKUP($B54,'[3]Analisys QBR By Machine Report'!$C$109:$BD$166,18,FALSE)</f>
        <v>0</v>
      </c>
      <c r="X54" s="13">
        <f ca="1">VLOOKUP($B54,'[3]Analisys QBR By Machine Report'!$C$109:$BD$166,19,FALSE)</f>
        <v>0</v>
      </c>
      <c r="Y54" s="13">
        <f ca="1">VLOOKUP($B54,'[3]Analisys QBR By Machine Report'!$C$109:$BD$166,20,FALSE)</f>
        <v>0</v>
      </c>
      <c r="Z54" s="13">
        <f ca="1">VLOOKUP($B54,'[3]Analisys QBR By Machine Report'!$C$109:$BD$166,21,FALSE)</f>
        <v>1926</v>
      </c>
      <c r="AA54" s="13">
        <f ca="1">VLOOKUP($B54,'[3]Analisys QBR By Machine Report'!$C$109:$BD$166,22,FALSE)</f>
        <v>1824</v>
      </c>
      <c r="AB54" s="13">
        <f ca="1">VLOOKUP($B54,'[3]Analisys QBR By Machine Report'!$C$109:$BD$166,23,FALSE)</f>
        <v>102</v>
      </c>
      <c r="AC54" s="13">
        <f ca="1">VLOOKUP($B54,'[3]Analisys QBR By Machine Report'!$C$109:$BD$166,24,FALSE)</f>
        <v>0</v>
      </c>
      <c r="AD54" s="13">
        <f ca="1">VLOOKUP($B54,'[3]Analisys QBR By Machine Report'!$C$109:$BD$166,25,FALSE)</f>
        <v>0</v>
      </c>
      <c r="AE54" s="13">
        <f ca="1">VLOOKUP($B54,'[3]Analisys QBR By Machine Report'!$C$109:$BD$166,26,FALSE)</f>
        <v>0</v>
      </c>
      <c r="AF54" s="13">
        <f ca="1">VLOOKUP($B54,'[3]Analisys QBR By Machine Report'!$C$109:$BD$166,27,FALSE)</f>
        <v>0</v>
      </c>
      <c r="AG54" s="13">
        <f ca="1">VLOOKUP($B54,'[3]Analisys QBR By Machine Report'!$C$109:$BD$166,28,FALSE)</f>
        <v>0</v>
      </c>
      <c r="AH54" s="13">
        <f ca="1">VLOOKUP($B54,'[3]Analisys QBR By Machine Report'!$C$109:$BD$166,29,FALSE)</f>
        <v>0</v>
      </c>
      <c r="AI54" s="13">
        <f ca="1">VLOOKUP($B54,'[3]Analisys QBR By Machine Report'!$C$109:$BD$166,30,FALSE)</f>
        <v>452</v>
      </c>
      <c r="AJ54" s="13">
        <f ca="1">VLOOKUP($B54,'[3]Analisys QBR By Machine Report'!$C$109:$BD$166,31,FALSE)</f>
        <v>0</v>
      </c>
      <c r="AK54" s="13">
        <f ca="1">VLOOKUP($B54,'[3]Analisys QBR By Machine Report'!$C$109:$BD$166,32,FALSE)</f>
        <v>0</v>
      </c>
      <c r="AL54" s="13">
        <f ca="1">VLOOKUP($B54,'[3]Analisys QBR By Machine Report'!$C$109:$BD$166,33,FALSE)</f>
        <v>0</v>
      </c>
      <c r="AM54" s="13">
        <f ca="1">VLOOKUP($B54,'[3]Analisys QBR By Machine Report'!$C$109:$BD$166,34,FALSE)</f>
        <v>0</v>
      </c>
      <c r="AN54" s="13">
        <f ca="1">VLOOKUP($B54,'[3]Analisys QBR By Machine Report'!$C$109:$BD$166,35,FALSE)</f>
        <v>0</v>
      </c>
      <c r="AO54" s="13">
        <f ca="1">VLOOKUP($B54,'[3]Analisys QBR By Machine Report'!$C$109:$BD$166,36,FALSE)</f>
        <v>0</v>
      </c>
      <c r="AP54" s="13">
        <f ca="1">VLOOKUP($B54,'[3]Analisys QBR By Machine Report'!$C$109:$BD$166,37,FALSE)</f>
        <v>0</v>
      </c>
      <c r="AQ54" s="13">
        <f ca="1">VLOOKUP($B54,'[3]Analisys QBR By Machine Report'!$C$109:$BD$166,38,FALSE)</f>
        <v>30</v>
      </c>
      <c r="AR54" s="13">
        <f ca="1">VLOOKUP($B54,'[3]Analisys QBR By Machine Report'!$C$109:$BD$166,39,FALSE)</f>
        <v>422</v>
      </c>
      <c r="AS54" s="13">
        <f ca="1">VLOOKUP($B54,'[3]Analisys QBR By Machine Report'!$C$109:$BD$166,40,FALSE)</f>
        <v>0</v>
      </c>
      <c r="AT54" s="13">
        <f ca="1">VLOOKUP($B54,'[3]Analisys QBR By Machine Report'!$C$109:$BD$166,41,FALSE)</f>
        <v>0</v>
      </c>
      <c r="AU54" s="13">
        <f ca="1">VLOOKUP($B54,'[3]Analisys QBR By Machine Report'!$C$109:$BD$166,42,FALSE)</f>
        <v>0</v>
      </c>
      <c r="AV54" s="13">
        <f ca="1">VLOOKUP($B54,'[3]Analisys QBR By Machine Report'!$C$109:$BD$166,43,FALSE)</f>
        <v>0</v>
      </c>
      <c r="AW54" s="13">
        <f ca="1">VLOOKUP($B54,'[3]Analisys QBR By Machine Report'!$C$109:$BD$166,44,FALSE)</f>
        <v>0</v>
      </c>
      <c r="AX54" s="13">
        <f ca="1">VLOOKUP($B54,'[3]Analisys QBR By Machine Report'!$C$109:$BD$166,45,FALSE)</f>
        <v>0</v>
      </c>
      <c r="AY54" s="13">
        <f ca="1">VLOOKUP($B54,'[3]Analisys QBR By Machine Report'!$C$109:$BD$166,46,FALSE)</f>
        <v>0</v>
      </c>
      <c r="AZ54" s="13">
        <f ca="1">VLOOKUP($B54,'[3]Analisys QBR By Machine Report'!$C$109:$BD$166,47,FALSE)</f>
        <v>0</v>
      </c>
      <c r="BA54" s="13">
        <f ca="1">VLOOKUP($B54,'[3]Analisys QBR By Machine Report'!$C$109:$BD$166,48,FALSE)</f>
        <v>0</v>
      </c>
      <c r="BB54" s="13">
        <f ca="1">VLOOKUP($B54,'[3]Analisys QBR By Machine Report'!$C$109:$BD$166,49,FALSE)</f>
        <v>0</v>
      </c>
      <c r="BC54" s="13">
        <f ca="1">VLOOKUP($B54,'[3]Analisys QBR By Machine Report'!$C$109:$BD$166,50,FALSE)</f>
        <v>0</v>
      </c>
      <c r="BD54" s="13">
        <f ca="1">VLOOKUP($B54,'[3]Analisys QBR By Machine Report'!$C$109:$BD$166,51,FALSE)</f>
        <v>277</v>
      </c>
      <c r="BE54" s="13">
        <f ca="1">VLOOKUP($B54,'[3]Analisys QBR By Machine Report'!$C$109:$BD$166,52,FALSE)</f>
        <v>0</v>
      </c>
      <c r="BF54" s="13">
        <f ca="1">VLOOKUP($B54,'[3]Analisys QBR By Machine Report'!$C$109:$BD$166,53,FALSE)</f>
        <v>277</v>
      </c>
    </row>
    <row r="55" spans="1:58" x14ac:dyDescent="0.25">
      <c r="A55" s="12" t="s">
        <v>111</v>
      </c>
      <c r="B55" s="13">
        <f ca="1">VLOOKUP($B55,'[3]Analisys QBR By Machine Report'!$C$109:$BD$166,2,FALSE)</f>
        <v>30240</v>
      </c>
      <c r="C55" s="14">
        <f ca="1">VLOOKUP($B55,[3]Dasboard_QBR_Report!$B$109:$BL$166,3,FALSE)</f>
        <v>19530</v>
      </c>
      <c r="D55" s="13">
        <f ca="1">VLOOKUP($B55,'[3]Analisys QBR By Machine Report'!$C$109:$BD$166,3,FALSE)</f>
        <v>25260</v>
      </c>
      <c r="E55" s="14">
        <f ca="1">VLOOKUP($B55,[3]Dasboard_QBR_Report!$B$109:$BL$166,5,FALSE)</f>
        <v>14550</v>
      </c>
      <c r="F55" s="13">
        <f t="shared" ca="1" si="0"/>
        <v>4980</v>
      </c>
      <c r="G55" s="13">
        <f t="shared" ca="1" si="1"/>
        <v>587</v>
      </c>
      <c r="H55" s="13">
        <f ca="1">VLOOKUP($B55,'[3]Analisys QBR By Machine Report'!$C$109:$BD$166,4,FALSE)</f>
        <v>587</v>
      </c>
      <c r="I55" s="13">
        <f ca="1">VLOOKUP($B55,'[3]Analisys QBR By Machine Report'!$C$109:$BD$166,5,FALSE)</f>
        <v>357</v>
      </c>
      <c r="J55" s="13">
        <f ca="1">VLOOKUP($B55,'[3]Analisys QBR By Machine Report'!$C$109:$BD$166,6,FALSE)</f>
        <v>230</v>
      </c>
      <c r="K55" s="13">
        <f ca="1">VLOOKUP($B55,'[3]Analisys QBR By Machine Report'!$C$109:$BD$166,7,FALSE)</f>
        <v>0</v>
      </c>
      <c r="L55" s="13">
        <f ca="1">VLOOKUP($B55,'[3]Analisys QBR By Machine Report'!$C$109:$BD$166,8,FALSE)</f>
        <v>4393</v>
      </c>
      <c r="M55" s="13">
        <f ca="1">VLOOKUP($B55,'[3]Analisys QBR By Machine Report'!$C$109:$BD$166,9,FALSE)</f>
        <v>1592</v>
      </c>
      <c r="N55" s="13">
        <f ca="1">VLOOKUP($B55,[3]Dasboard_QBR_Report!$B$109:$BL$166,18,FALSE)</f>
        <v>2801</v>
      </c>
      <c r="O55" s="13">
        <f ca="1">VLOOKUP($B55,'[3]Analisys QBR By Machine Report'!$C$109:$BD$166,10,FALSE)</f>
        <v>211</v>
      </c>
      <c r="P55" s="13">
        <f ca="1">VLOOKUP($B55,'[3]Analisys QBR By Machine Report'!$C$109:$BD$166,11,FALSE)</f>
        <v>121</v>
      </c>
      <c r="Q55" s="13">
        <f ca="1">VLOOKUP($B55,'[3]Analisys QBR By Machine Report'!$C$109:$BD$166,12,FALSE)</f>
        <v>0</v>
      </c>
      <c r="R55" s="13">
        <f ca="1">VLOOKUP($B55,'[3]Analisys QBR By Machine Report'!$C$109:$BD$166,13,FALSE)</f>
        <v>90</v>
      </c>
      <c r="S55" s="13">
        <f ca="1">VLOOKUP($B55,'[3]Analisys QBR By Machine Report'!$C$109:$BD$166,14,FALSE)</f>
        <v>0</v>
      </c>
      <c r="T55" s="13">
        <f ca="1">VLOOKUP($B55,'[3]Analisys QBR By Machine Report'!$C$109:$BD$166,15,FALSE)</f>
        <v>86</v>
      </c>
      <c r="U55" s="13">
        <f ca="1">VLOOKUP($B55,'[3]Analisys QBR By Machine Report'!$C$109:$BD$166,16,FALSE)</f>
        <v>0</v>
      </c>
      <c r="V55" s="13">
        <f ca="1">VLOOKUP($B55,'[3]Analisys QBR By Machine Report'!$C$109:$BD$166,17,FALSE)</f>
        <v>0</v>
      </c>
      <c r="W55" s="13">
        <f ca="1">VLOOKUP($B55,'[3]Analisys QBR By Machine Report'!$C$109:$BD$166,18,FALSE)</f>
        <v>0</v>
      </c>
      <c r="X55" s="13">
        <f ca="1">VLOOKUP($B55,'[3]Analisys QBR By Machine Report'!$C$109:$BD$166,19,FALSE)</f>
        <v>86</v>
      </c>
      <c r="Y55" s="13">
        <f ca="1">VLOOKUP($B55,'[3]Analisys QBR By Machine Report'!$C$109:$BD$166,20,FALSE)</f>
        <v>0</v>
      </c>
      <c r="Z55" s="13">
        <f ca="1">VLOOKUP($B55,'[3]Analisys QBR By Machine Report'!$C$109:$BD$166,21,FALSE)</f>
        <v>830</v>
      </c>
      <c r="AA55" s="13">
        <f ca="1">VLOOKUP($B55,'[3]Analisys QBR By Machine Report'!$C$109:$BD$166,22,FALSE)</f>
        <v>672</v>
      </c>
      <c r="AB55" s="13">
        <f ca="1">VLOOKUP($B55,'[3]Analisys QBR By Machine Report'!$C$109:$BD$166,23,FALSE)</f>
        <v>158</v>
      </c>
      <c r="AC55" s="13">
        <f ca="1">VLOOKUP($B55,'[3]Analisys QBR By Machine Report'!$C$109:$BD$166,24,FALSE)</f>
        <v>0</v>
      </c>
      <c r="AD55" s="13">
        <f ca="1">VLOOKUP($B55,'[3]Analisys QBR By Machine Report'!$C$109:$BD$166,25,FALSE)</f>
        <v>0</v>
      </c>
      <c r="AE55" s="13">
        <f ca="1">VLOOKUP($B55,'[3]Analisys QBR By Machine Report'!$C$109:$BD$166,26,FALSE)</f>
        <v>0</v>
      </c>
      <c r="AF55" s="13">
        <f ca="1">VLOOKUP($B55,'[3]Analisys QBR By Machine Report'!$C$109:$BD$166,27,FALSE)</f>
        <v>0</v>
      </c>
      <c r="AG55" s="13">
        <f ca="1">VLOOKUP($B55,'[3]Analisys QBR By Machine Report'!$C$109:$BD$166,28,FALSE)</f>
        <v>0</v>
      </c>
      <c r="AH55" s="13">
        <f ca="1">VLOOKUP($B55,'[3]Analisys QBR By Machine Report'!$C$109:$BD$166,29,FALSE)</f>
        <v>0</v>
      </c>
      <c r="AI55" s="13">
        <f ca="1">VLOOKUP($B55,'[3]Analisys QBR By Machine Report'!$C$109:$BD$166,30,FALSE)</f>
        <v>1674</v>
      </c>
      <c r="AJ55" s="13">
        <f ca="1">VLOOKUP($B55,'[3]Analisys QBR By Machine Report'!$C$109:$BD$166,31,FALSE)</f>
        <v>0</v>
      </c>
      <c r="AK55" s="13">
        <f ca="1">VLOOKUP($B55,'[3]Analisys QBR By Machine Report'!$C$109:$BD$166,32,FALSE)</f>
        <v>0</v>
      </c>
      <c r="AL55" s="13">
        <f ca="1">VLOOKUP($B55,'[3]Analisys QBR By Machine Report'!$C$109:$BD$166,33,FALSE)</f>
        <v>0</v>
      </c>
      <c r="AM55" s="13">
        <f ca="1">VLOOKUP($B55,'[3]Analisys QBR By Machine Report'!$C$109:$BD$166,34,FALSE)</f>
        <v>0</v>
      </c>
      <c r="AN55" s="13">
        <f ca="1">VLOOKUP($B55,'[3]Analisys QBR By Machine Report'!$C$109:$BD$166,35,FALSE)</f>
        <v>0</v>
      </c>
      <c r="AO55" s="13">
        <f ca="1">VLOOKUP($B55,'[3]Analisys QBR By Machine Report'!$C$109:$BD$166,36,FALSE)</f>
        <v>0</v>
      </c>
      <c r="AP55" s="13">
        <f ca="1">VLOOKUP($B55,'[3]Analisys QBR By Machine Report'!$C$109:$BD$166,37,FALSE)</f>
        <v>0</v>
      </c>
      <c r="AQ55" s="13">
        <f ca="1">VLOOKUP($B55,'[3]Analisys QBR By Machine Report'!$C$109:$BD$166,38,FALSE)</f>
        <v>20</v>
      </c>
      <c r="AR55" s="13">
        <f ca="1">VLOOKUP($B55,'[3]Analisys QBR By Machine Report'!$C$109:$BD$166,39,FALSE)</f>
        <v>1654</v>
      </c>
      <c r="AS55" s="13">
        <f ca="1">VLOOKUP($B55,'[3]Analisys QBR By Machine Report'!$C$109:$BD$166,40,FALSE)</f>
        <v>0</v>
      </c>
      <c r="AT55" s="13">
        <f ca="1">VLOOKUP($B55,'[3]Analisys QBR By Machine Report'!$C$109:$BD$166,41,FALSE)</f>
        <v>0</v>
      </c>
      <c r="AU55" s="13">
        <f ca="1">VLOOKUP($B55,'[3]Analisys QBR By Machine Report'!$C$109:$BD$166,42,FALSE)</f>
        <v>0</v>
      </c>
      <c r="AV55" s="13">
        <f ca="1">VLOOKUP($B55,'[3]Analisys QBR By Machine Report'!$C$109:$BD$166,43,FALSE)</f>
        <v>0</v>
      </c>
      <c r="AW55" s="13">
        <f ca="1">VLOOKUP($B55,'[3]Analisys QBR By Machine Report'!$C$109:$BD$166,44,FALSE)</f>
        <v>0</v>
      </c>
      <c r="AX55" s="13">
        <f ca="1">VLOOKUP($B55,'[3]Analisys QBR By Machine Report'!$C$109:$BD$166,45,FALSE)</f>
        <v>0</v>
      </c>
      <c r="AY55" s="13">
        <f ca="1">VLOOKUP($B55,'[3]Analisys QBR By Machine Report'!$C$109:$BD$166,46,FALSE)</f>
        <v>0</v>
      </c>
      <c r="AZ55" s="13">
        <f ca="1">VLOOKUP($B55,'[3]Analisys QBR By Machine Report'!$C$109:$BD$166,47,FALSE)</f>
        <v>0</v>
      </c>
      <c r="BA55" s="13">
        <f ca="1">VLOOKUP($B55,'[3]Analisys QBR By Machine Report'!$C$109:$BD$166,48,FALSE)</f>
        <v>0</v>
      </c>
      <c r="BB55" s="13">
        <f ca="1">VLOOKUP($B55,'[3]Analisys QBR By Machine Report'!$C$109:$BD$166,49,FALSE)</f>
        <v>0</v>
      </c>
      <c r="BC55" s="13">
        <f ca="1">VLOOKUP($B55,'[3]Analisys QBR By Machine Report'!$C$109:$BD$166,50,FALSE)</f>
        <v>0</v>
      </c>
      <c r="BD55" s="13">
        <f ca="1">VLOOKUP($B55,'[3]Analisys QBR By Machine Report'!$C$109:$BD$166,51,FALSE)</f>
        <v>135</v>
      </c>
      <c r="BE55" s="13">
        <f ca="1">VLOOKUP($B55,'[3]Analisys QBR By Machine Report'!$C$109:$BD$166,52,FALSE)</f>
        <v>0</v>
      </c>
      <c r="BF55" s="13">
        <f ca="1">VLOOKUP($B55,'[3]Analisys QBR By Machine Report'!$C$109:$BD$166,53,FALSE)</f>
        <v>135</v>
      </c>
    </row>
    <row r="56" spans="1:58" x14ac:dyDescent="0.25">
      <c r="A56" s="9" t="s">
        <v>112</v>
      </c>
      <c r="B56" s="10">
        <f ca="1">VLOOKUP($B56,'[3]Analisys QBR By Machine Report'!$C$109:$BD$166,2,FALSE)</f>
        <v>59040</v>
      </c>
      <c r="C56" s="11">
        <f ca="1">VLOOKUP($B56,[3]Dasboard_QBR_Report!$B$109:$BL$166,3,FALSE)</f>
        <v>19680</v>
      </c>
      <c r="D56" s="10">
        <f ca="1">VLOOKUP($B56,'[3]Analisys QBR By Machine Report'!$C$109:$BD$166,3,FALSE)</f>
        <v>38505</v>
      </c>
      <c r="E56" s="11">
        <f ca="1">VLOOKUP($B56,[3]Dasboard_QBR_Report!$B$109:$BL$166,5,FALSE)</f>
        <v>-855</v>
      </c>
      <c r="F56" s="10">
        <f t="shared" ca="1" si="0"/>
        <v>20535</v>
      </c>
      <c r="G56" s="10">
        <f t="shared" ca="1" si="1"/>
        <v>2000</v>
      </c>
      <c r="H56" s="10">
        <f ca="1">VLOOKUP($B56,'[3]Analisys QBR By Machine Report'!$C$109:$BD$166,4,FALSE)</f>
        <v>2000</v>
      </c>
      <c r="I56" s="10">
        <f ca="1">VLOOKUP($B56,'[3]Analisys QBR By Machine Report'!$C$109:$BD$166,5,FALSE)</f>
        <v>655</v>
      </c>
      <c r="J56" s="10">
        <f ca="1">VLOOKUP($B56,'[3]Analisys QBR By Machine Report'!$C$109:$BD$166,6,FALSE)</f>
        <v>1345</v>
      </c>
      <c r="K56" s="10">
        <f ca="1">VLOOKUP($B56,'[3]Analisys QBR By Machine Report'!$C$109:$BD$166,7,FALSE)</f>
        <v>0</v>
      </c>
      <c r="L56" s="10">
        <f ca="1">VLOOKUP($B56,'[3]Analisys QBR By Machine Report'!$C$109:$BD$166,8,FALSE)</f>
        <v>18535</v>
      </c>
      <c r="M56" s="10">
        <f ca="1">VLOOKUP($B56,'[3]Analisys QBR By Machine Report'!$C$109:$BD$166,9,FALSE)</f>
        <v>7865</v>
      </c>
      <c r="N56" s="10">
        <f ca="1">VLOOKUP($B56,[3]Dasboard_QBR_Report!$B$109:$BL$166,18,FALSE)</f>
        <v>10670</v>
      </c>
      <c r="O56" s="10">
        <f ca="1">VLOOKUP($B56,'[3]Analisys QBR By Machine Report'!$C$109:$BD$166,10,FALSE)</f>
        <v>3400</v>
      </c>
      <c r="P56" s="10">
        <f ca="1">VLOOKUP($B56,'[3]Analisys QBR By Machine Report'!$C$109:$BD$166,11,FALSE)</f>
        <v>2060</v>
      </c>
      <c r="Q56" s="10">
        <f ca="1">VLOOKUP($B56,'[3]Analisys QBR By Machine Report'!$C$109:$BD$166,12,FALSE)</f>
        <v>120</v>
      </c>
      <c r="R56" s="10">
        <f ca="1">VLOOKUP($B56,'[3]Analisys QBR By Machine Report'!$C$109:$BD$166,13,FALSE)</f>
        <v>215</v>
      </c>
      <c r="S56" s="10">
        <f ca="1">VLOOKUP($B56,'[3]Analisys QBR By Machine Report'!$C$109:$BD$166,14,FALSE)</f>
        <v>1005</v>
      </c>
      <c r="T56" s="10">
        <f ca="1">VLOOKUP($B56,'[3]Analisys QBR By Machine Report'!$C$109:$BD$166,15,FALSE)</f>
        <v>150</v>
      </c>
      <c r="U56" s="10">
        <f ca="1">VLOOKUP($B56,'[3]Analisys QBR By Machine Report'!$C$109:$BD$166,16,FALSE)</f>
        <v>90</v>
      </c>
      <c r="V56" s="10">
        <f ca="1">VLOOKUP($B56,'[3]Analisys QBR By Machine Report'!$C$109:$BD$166,17,FALSE)</f>
        <v>60</v>
      </c>
      <c r="W56" s="10">
        <f ca="1">VLOOKUP($B56,'[3]Analisys QBR By Machine Report'!$C$109:$BD$166,18,FALSE)</f>
        <v>0</v>
      </c>
      <c r="X56" s="10">
        <f ca="1">VLOOKUP($B56,'[3]Analisys QBR By Machine Report'!$C$109:$BD$166,19,FALSE)</f>
        <v>0</v>
      </c>
      <c r="Y56" s="10">
        <f ca="1">VLOOKUP($B56,'[3]Analisys QBR By Machine Report'!$C$109:$BD$166,20,FALSE)</f>
        <v>0</v>
      </c>
      <c r="Z56" s="10">
        <f ca="1">VLOOKUP($B56,'[3]Analisys QBR By Machine Report'!$C$109:$BD$166,21,FALSE)</f>
        <v>3505</v>
      </c>
      <c r="AA56" s="10">
        <f ca="1">VLOOKUP($B56,'[3]Analisys QBR By Machine Report'!$C$109:$BD$166,22,FALSE)</f>
        <v>1875</v>
      </c>
      <c r="AB56" s="10">
        <f ca="1">VLOOKUP($B56,'[3]Analisys QBR By Machine Report'!$C$109:$BD$166,23,FALSE)</f>
        <v>905</v>
      </c>
      <c r="AC56" s="10">
        <f ca="1">VLOOKUP($B56,'[3]Analisys QBR By Machine Report'!$C$109:$BD$166,24,FALSE)</f>
        <v>455</v>
      </c>
      <c r="AD56" s="10">
        <f ca="1">VLOOKUP($B56,'[3]Analisys QBR By Machine Report'!$C$109:$BD$166,25,FALSE)</f>
        <v>15</v>
      </c>
      <c r="AE56" s="10">
        <f ca="1">VLOOKUP($B56,'[3]Analisys QBR By Machine Report'!$C$109:$BD$166,26,FALSE)</f>
        <v>255</v>
      </c>
      <c r="AF56" s="10">
        <f ca="1">VLOOKUP($B56,'[3]Analisys QBR By Machine Report'!$C$109:$BD$166,27,FALSE)</f>
        <v>0</v>
      </c>
      <c r="AG56" s="10">
        <f ca="1">VLOOKUP($B56,'[3]Analisys QBR By Machine Report'!$C$109:$BD$166,28,FALSE)</f>
        <v>0</v>
      </c>
      <c r="AH56" s="10">
        <f ca="1">VLOOKUP($B56,'[3]Analisys QBR By Machine Report'!$C$109:$BD$166,29,FALSE)</f>
        <v>0</v>
      </c>
      <c r="AI56" s="10">
        <f ca="1">VLOOKUP($B56,'[3]Analisys QBR By Machine Report'!$C$109:$BD$166,30,FALSE)</f>
        <v>3615</v>
      </c>
      <c r="AJ56" s="10">
        <f ca="1">VLOOKUP($B56,'[3]Analisys QBR By Machine Report'!$C$109:$BD$166,31,FALSE)</f>
        <v>335</v>
      </c>
      <c r="AK56" s="10">
        <f ca="1">VLOOKUP($B56,'[3]Analisys QBR By Machine Report'!$C$109:$BD$166,32,FALSE)</f>
        <v>0</v>
      </c>
      <c r="AL56" s="10">
        <f ca="1">VLOOKUP($B56,'[3]Analisys QBR By Machine Report'!$C$109:$BD$166,33,FALSE)</f>
        <v>390</v>
      </c>
      <c r="AM56" s="10">
        <f ca="1">VLOOKUP($B56,'[3]Analisys QBR By Machine Report'!$C$109:$BD$166,34,FALSE)</f>
        <v>0</v>
      </c>
      <c r="AN56" s="10">
        <f ca="1">VLOOKUP($B56,'[3]Analisys QBR By Machine Report'!$C$109:$BD$166,35,FALSE)</f>
        <v>570</v>
      </c>
      <c r="AO56" s="10">
        <f ca="1">VLOOKUP($B56,'[3]Analisys QBR By Machine Report'!$C$109:$BD$166,36,FALSE)</f>
        <v>390</v>
      </c>
      <c r="AP56" s="10">
        <f ca="1">VLOOKUP($B56,'[3]Analisys QBR By Machine Report'!$C$109:$BD$166,37,FALSE)</f>
        <v>110</v>
      </c>
      <c r="AQ56" s="10">
        <f ca="1">VLOOKUP($B56,'[3]Analisys QBR By Machine Report'!$C$109:$BD$166,38,FALSE)</f>
        <v>0</v>
      </c>
      <c r="AR56" s="10">
        <f ca="1">VLOOKUP($B56,'[3]Analisys QBR By Machine Report'!$C$109:$BD$166,39,FALSE)</f>
        <v>670</v>
      </c>
      <c r="AS56" s="10">
        <f ca="1">VLOOKUP($B56,'[3]Analisys QBR By Machine Report'!$C$109:$BD$166,40,FALSE)</f>
        <v>460</v>
      </c>
      <c r="AT56" s="10">
        <f ca="1">VLOOKUP($B56,'[3]Analisys QBR By Machine Report'!$C$109:$BD$166,41,FALSE)</f>
        <v>0</v>
      </c>
      <c r="AU56" s="10">
        <f ca="1">VLOOKUP($B56,'[3]Analisys QBR By Machine Report'!$C$109:$BD$166,42,FALSE)</f>
        <v>0</v>
      </c>
      <c r="AV56" s="10">
        <f ca="1">VLOOKUP($B56,'[3]Analisys QBR By Machine Report'!$C$109:$BD$166,43,FALSE)</f>
        <v>0</v>
      </c>
      <c r="AW56" s="10">
        <f ca="1">VLOOKUP($B56,'[3]Analisys QBR By Machine Report'!$C$109:$BD$166,44,FALSE)</f>
        <v>0</v>
      </c>
      <c r="AX56" s="10">
        <f ca="1">VLOOKUP($B56,'[3]Analisys QBR By Machine Report'!$C$109:$BD$166,45,FALSE)</f>
        <v>0</v>
      </c>
      <c r="AY56" s="10">
        <f ca="1">VLOOKUP($B56,'[3]Analisys QBR By Machine Report'!$C$109:$BD$166,46,FALSE)</f>
        <v>0</v>
      </c>
      <c r="AZ56" s="10">
        <f ca="1">VLOOKUP($B56,'[3]Analisys QBR By Machine Report'!$C$109:$BD$166,47,FALSE)</f>
        <v>560</v>
      </c>
      <c r="BA56" s="10">
        <f ca="1">VLOOKUP($B56,'[3]Analisys QBR By Machine Report'!$C$109:$BD$166,48,FALSE)</f>
        <v>130</v>
      </c>
      <c r="BB56" s="10">
        <f ca="1">VLOOKUP($B56,'[3]Analisys QBR By Machine Report'!$C$109:$BD$166,49,FALSE)</f>
        <v>0</v>
      </c>
      <c r="BC56" s="10">
        <f ca="1">VLOOKUP($B56,'[3]Analisys QBR By Machine Report'!$C$109:$BD$166,50,FALSE)</f>
        <v>0</v>
      </c>
      <c r="BD56" s="10">
        <f ca="1">VLOOKUP($B56,'[3]Analisys QBR By Machine Report'!$C$109:$BD$166,51,FALSE)</f>
        <v>1092191</v>
      </c>
      <c r="BE56" s="10">
        <f ca="1">VLOOKUP($B56,'[3]Analisys QBR By Machine Report'!$C$109:$BD$166,52,FALSE)</f>
        <v>449</v>
      </c>
      <c r="BF56" s="10">
        <f ca="1">VLOOKUP($B56,'[3]Analisys QBR By Machine Report'!$C$109:$BD$166,53,FALSE)</f>
        <v>1091742</v>
      </c>
    </row>
    <row r="57" spans="1:58" x14ac:dyDescent="0.25">
      <c r="A57" s="15" t="s">
        <v>113</v>
      </c>
      <c r="B57" s="13">
        <f ca="1">VLOOKUP($B57,'[3]Analisys QBR By Machine Report'!$C$109:$BD$166,2,FALSE)</f>
        <v>30240</v>
      </c>
      <c r="C57" s="14">
        <f ca="1">VLOOKUP($B57,[3]Dasboard_QBR_Report!$B$109:$BL$166,3,FALSE)</f>
        <v>10080</v>
      </c>
      <c r="D57" s="13">
        <f ca="1">VLOOKUP($B57,'[3]Analisys QBR By Machine Report'!$C$109:$BD$166,3,FALSE)</f>
        <v>14655</v>
      </c>
      <c r="E57" s="14">
        <f ca="1">VLOOKUP($B57,[3]Dasboard_QBR_Report!$B$109:$BL$166,5,FALSE)</f>
        <v>-5505</v>
      </c>
      <c r="F57" s="13">
        <f t="shared" ca="1" si="0"/>
        <v>15585</v>
      </c>
      <c r="G57" s="13">
        <f t="shared" ca="1" si="1"/>
        <v>1270</v>
      </c>
      <c r="H57" s="13">
        <f ca="1">VLOOKUP($B57,'[3]Analisys QBR By Machine Report'!$C$109:$BD$166,4,FALSE)</f>
        <v>1270</v>
      </c>
      <c r="I57" s="13">
        <f ca="1">VLOOKUP($B57,'[3]Analisys QBR By Machine Report'!$C$109:$BD$166,5,FALSE)</f>
        <v>595</v>
      </c>
      <c r="J57" s="13">
        <f ca="1">VLOOKUP($B57,'[3]Analisys QBR By Machine Report'!$C$109:$BD$166,6,FALSE)</f>
        <v>675</v>
      </c>
      <c r="K57" s="13">
        <f ca="1">VLOOKUP($B57,'[3]Analisys QBR By Machine Report'!$C$109:$BD$166,7,FALSE)</f>
        <v>0</v>
      </c>
      <c r="L57" s="13">
        <f ca="1">VLOOKUP($B57,'[3]Analisys QBR By Machine Report'!$C$109:$BD$166,8,FALSE)</f>
        <v>14315</v>
      </c>
      <c r="M57" s="13">
        <f ca="1">VLOOKUP($B57,'[3]Analisys QBR By Machine Report'!$C$109:$BD$166,9,FALSE)</f>
        <v>5645</v>
      </c>
      <c r="N57" s="13">
        <f ca="1">VLOOKUP($B57,[3]Dasboard_QBR_Report!$B$109:$BL$166,18,FALSE)</f>
        <v>8670</v>
      </c>
      <c r="O57" s="13">
        <f ca="1">VLOOKUP($B57,'[3]Analisys QBR By Machine Report'!$C$109:$BD$166,10,FALSE)</f>
        <v>3305</v>
      </c>
      <c r="P57" s="13">
        <f ca="1">VLOOKUP($B57,'[3]Analisys QBR By Machine Report'!$C$109:$BD$166,11,FALSE)</f>
        <v>1975</v>
      </c>
      <c r="Q57" s="13">
        <f ca="1">VLOOKUP($B57,'[3]Analisys QBR By Machine Report'!$C$109:$BD$166,12,FALSE)</f>
        <v>120</v>
      </c>
      <c r="R57" s="13">
        <f ca="1">VLOOKUP($B57,'[3]Analisys QBR By Machine Report'!$C$109:$BD$166,13,FALSE)</f>
        <v>205</v>
      </c>
      <c r="S57" s="13">
        <f ca="1">VLOOKUP($B57,'[3]Analisys QBR By Machine Report'!$C$109:$BD$166,14,FALSE)</f>
        <v>1005</v>
      </c>
      <c r="T57" s="13">
        <f ca="1">VLOOKUP($B57,'[3]Analisys QBR By Machine Report'!$C$109:$BD$166,15,FALSE)</f>
        <v>150</v>
      </c>
      <c r="U57" s="13">
        <f ca="1">VLOOKUP($B57,'[3]Analisys QBR By Machine Report'!$C$109:$BD$166,16,FALSE)</f>
        <v>90</v>
      </c>
      <c r="V57" s="13">
        <f ca="1">VLOOKUP($B57,'[3]Analisys QBR By Machine Report'!$C$109:$BD$166,17,FALSE)</f>
        <v>60</v>
      </c>
      <c r="W57" s="13">
        <f ca="1">VLOOKUP($B57,'[3]Analisys QBR By Machine Report'!$C$109:$BD$166,18,FALSE)</f>
        <v>0</v>
      </c>
      <c r="X57" s="13">
        <f ca="1">VLOOKUP($B57,'[3]Analisys QBR By Machine Report'!$C$109:$BD$166,19,FALSE)</f>
        <v>0</v>
      </c>
      <c r="Y57" s="13">
        <f ca="1">VLOOKUP($B57,'[3]Analisys QBR By Machine Report'!$C$109:$BD$166,20,FALSE)</f>
        <v>0</v>
      </c>
      <c r="Z57" s="13">
        <f ca="1">VLOOKUP($B57,'[3]Analisys QBR By Machine Report'!$C$109:$BD$166,21,FALSE)</f>
        <v>3125</v>
      </c>
      <c r="AA57" s="13">
        <f ca="1">VLOOKUP($B57,'[3]Analisys QBR By Machine Report'!$C$109:$BD$166,22,FALSE)</f>
        <v>1875</v>
      </c>
      <c r="AB57" s="13">
        <f ca="1">VLOOKUP($B57,'[3]Analisys QBR By Machine Report'!$C$109:$BD$166,23,FALSE)</f>
        <v>780</v>
      </c>
      <c r="AC57" s="13">
        <f ca="1">VLOOKUP($B57,'[3]Analisys QBR By Machine Report'!$C$109:$BD$166,24,FALSE)</f>
        <v>455</v>
      </c>
      <c r="AD57" s="13">
        <f ca="1">VLOOKUP($B57,'[3]Analisys QBR By Machine Report'!$C$109:$BD$166,25,FALSE)</f>
        <v>15</v>
      </c>
      <c r="AE57" s="13">
        <f ca="1">VLOOKUP($B57,'[3]Analisys QBR By Machine Report'!$C$109:$BD$166,26,FALSE)</f>
        <v>0</v>
      </c>
      <c r="AF57" s="13">
        <f ca="1">VLOOKUP($B57,'[3]Analisys QBR By Machine Report'!$C$109:$BD$166,27,FALSE)</f>
        <v>0</v>
      </c>
      <c r="AG57" s="13">
        <f ca="1">VLOOKUP($B57,'[3]Analisys QBR By Machine Report'!$C$109:$BD$166,28,FALSE)</f>
        <v>0</v>
      </c>
      <c r="AH57" s="13">
        <f ca="1">VLOOKUP($B57,'[3]Analisys QBR By Machine Report'!$C$109:$BD$166,29,FALSE)</f>
        <v>0</v>
      </c>
      <c r="AI57" s="13">
        <f ca="1">VLOOKUP($B57,'[3]Analisys QBR By Machine Report'!$C$109:$BD$166,30,FALSE)</f>
        <v>2090</v>
      </c>
      <c r="AJ57" s="13">
        <f ca="1">VLOOKUP($B57,'[3]Analisys QBR By Machine Report'!$C$109:$BD$166,31,FALSE)</f>
        <v>335</v>
      </c>
      <c r="AK57" s="13">
        <f ca="1">VLOOKUP($B57,'[3]Analisys QBR By Machine Report'!$C$109:$BD$166,32,FALSE)</f>
        <v>0</v>
      </c>
      <c r="AL57" s="13">
        <f ca="1">VLOOKUP($B57,'[3]Analisys QBR By Machine Report'!$C$109:$BD$166,33,FALSE)</f>
        <v>390</v>
      </c>
      <c r="AM57" s="13">
        <f ca="1">VLOOKUP($B57,'[3]Analisys QBR By Machine Report'!$C$109:$BD$166,34,FALSE)</f>
        <v>0</v>
      </c>
      <c r="AN57" s="13">
        <f ca="1">VLOOKUP($B57,'[3]Analisys QBR By Machine Report'!$C$109:$BD$166,35,FALSE)</f>
        <v>450</v>
      </c>
      <c r="AO57" s="13">
        <f ca="1">VLOOKUP($B57,'[3]Analisys QBR By Machine Report'!$C$109:$BD$166,36,FALSE)</f>
        <v>0</v>
      </c>
      <c r="AP57" s="13">
        <f ca="1">VLOOKUP($B57,'[3]Analisys QBR By Machine Report'!$C$109:$BD$166,37,FALSE)</f>
        <v>0</v>
      </c>
      <c r="AQ57" s="13">
        <f ca="1">VLOOKUP($B57,'[3]Analisys QBR By Machine Report'!$C$109:$BD$166,38,FALSE)</f>
        <v>0</v>
      </c>
      <c r="AR57" s="13">
        <f ca="1">VLOOKUP($B57,'[3]Analisys QBR By Machine Report'!$C$109:$BD$166,39,FALSE)</f>
        <v>0</v>
      </c>
      <c r="AS57" s="13">
        <f ca="1">VLOOKUP($B57,'[3]Analisys QBR By Machine Report'!$C$109:$BD$166,40,FALSE)</f>
        <v>380</v>
      </c>
      <c r="AT57" s="13">
        <f ca="1">VLOOKUP($B57,'[3]Analisys QBR By Machine Report'!$C$109:$BD$166,41,FALSE)</f>
        <v>0</v>
      </c>
      <c r="AU57" s="13">
        <f ca="1">VLOOKUP($B57,'[3]Analisys QBR By Machine Report'!$C$109:$BD$166,42,FALSE)</f>
        <v>0</v>
      </c>
      <c r="AV57" s="13">
        <f ca="1">VLOOKUP($B57,'[3]Analisys QBR By Machine Report'!$C$109:$BD$166,43,FALSE)</f>
        <v>0</v>
      </c>
      <c r="AW57" s="13">
        <f ca="1">VLOOKUP($B57,'[3]Analisys QBR By Machine Report'!$C$109:$BD$166,44,FALSE)</f>
        <v>0</v>
      </c>
      <c r="AX57" s="13">
        <f ca="1">VLOOKUP($B57,'[3]Analisys QBR By Machine Report'!$C$109:$BD$166,45,FALSE)</f>
        <v>0</v>
      </c>
      <c r="AY57" s="13">
        <f ca="1">VLOOKUP($B57,'[3]Analisys QBR By Machine Report'!$C$109:$BD$166,46,FALSE)</f>
        <v>0</v>
      </c>
      <c r="AZ57" s="13">
        <f ca="1">VLOOKUP($B57,'[3]Analisys QBR By Machine Report'!$C$109:$BD$166,47,FALSE)</f>
        <v>405</v>
      </c>
      <c r="BA57" s="13">
        <f ca="1">VLOOKUP($B57,'[3]Analisys QBR By Machine Report'!$C$109:$BD$166,48,FALSE)</f>
        <v>130</v>
      </c>
      <c r="BB57" s="13">
        <f ca="1">VLOOKUP($B57,'[3]Analisys QBR By Machine Report'!$C$109:$BD$166,49,FALSE)</f>
        <v>0</v>
      </c>
      <c r="BC57" s="13">
        <f ca="1">VLOOKUP($B57,'[3]Analisys QBR By Machine Report'!$C$109:$BD$166,50,FALSE)</f>
        <v>0</v>
      </c>
      <c r="BD57" s="13">
        <f ca="1">VLOOKUP($B57,'[3]Analisys QBR By Machine Report'!$C$109:$BD$166,51,FALSE)</f>
        <v>1030410</v>
      </c>
      <c r="BE57" s="13">
        <f ca="1">VLOOKUP($B57,'[3]Analisys QBR By Machine Report'!$C$109:$BD$166,52,FALSE)</f>
        <v>220</v>
      </c>
      <c r="BF57" s="13">
        <f ca="1">VLOOKUP($B57,'[3]Analisys QBR By Machine Report'!$C$109:$BD$166,53,FALSE)</f>
        <v>1030190</v>
      </c>
    </row>
    <row r="58" spans="1:58" x14ac:dyDescent="0.25">
      <c r="A58" s="15" t="s">
        <v>114</v>
      </c>
      <c r="B58" s="13">
        <f ca="1">VLOOKUP($B58,'[3]Analisys QBR By Machine Report'!$C$109:$BD$166,2,FALSE)</f>
        <v>28800</v>
      </c>
      <c r="C58" s="14">
        <f ca="1">VLOOKUP($B58,[3]Dasboard_QBR_Report!$B$109:$BL$166,3,FALSE)</f>
        <v>9600</v>
      </c>
      <c r="D58" s="13">
        <f ca="1">VLOOKUP($B58,'[3]Analisys QBR By Machine Report'!$C$109:$BD$166,3,FALSE)</f>
        <v>23850</v>
      </c>
      <c r="E58" s="14">
        <f ca="1">VLOOKUP($B58,[3]Dasboard_QBR_Report!$B$109:$BL$166,5,FALSE)</f>
        <v>4650</v>
      </c>
      <c r="F58" s="13">
        <f t="shared" ca="1" si="0"/>
        <v>4950</v>
      </c>
      <c r="G58" s="13">
        <f t="shared" ca="1" si="1"/>
        <v>730</v>
      </c>
      <c r="H58" s="13">
        <f ca="1">VLOOKUP($B58,'[3]Analisys QBR By Machine Report'!$C$109:$BD$166,4,FALSE)</f>
        <v>730</v>
      </c>
      <c r="I58" s="13">
        <f ca="1">VLOOKUP($B58,'[3]Analisys QBR By Machine Report'!$C$109:$BD$166,5,FALSE)</f>
        <v>60</v>
      </c>
      <c r="J58" s="13">
        <f ca="1">VLOOKUP($B58,'[3]Analisys QBR By Machine Report'!$C$109:$BD$166,6,FALSE)</f>
        <v>670</v>
      </c>
      <c r="K58" s="13">
        <f ca="1">VLOOKUP($B58,'[3]Analisys QBR By Machine Report'!$C$109:$BD$166,7,FALSE)</f>
        <v>0</v>
      </c>
      <c r="L58" s="13">
        <f ca="1">VLOOKUP($B58,'[3]Analisys QBR By Machine Report'!$C$109:$BD$166,8,FALSE)</f>
        <v>4220</v>
      </c>
      <c r="M58" s="13">
        <f ca="1">VLOOKUP($B58,'[3]Analisys QBR By Machine Report'!$C$109:$BD$166,9,FALSE)</f>
        <v>2220</v>
      </c>
      <c r="N58" s="13">
        <f ca="1">VLOOKUP($B58,[3]Dasboard_QBR_Report!$B$109:$BL$166,18,FALSE)</f>
        <v>2000</v>
      </c>
      <c r="O58" s="13">
        <f ca="1">VLOOKUP($B58,'[3]Analisys QBR By Machine Report'!$C$109:$BD$166,10,FALSE)</f>
        <v>95</v>
      </c>
      <c r="P58" s="13">
        <f ca="1">VLOOKUP($B58,'[3]Analisys QBR By Machine Report'!$C$109:$BD$166,11,FALSE)</f>
        <v>85</v>
      </c>
      <c r="Q58" s="13">
        <f ca="1">VLOOKUP($B58,'[3]Analisys QBR By Machine Report'!$C$109:$BD$166,12,FALSE)</f>
        <v>0</v>
      </c>
      <c r="R58" s="13">
        <f ca="1">VLOOKUP($B58,'[3]Analisys QBR By Machine Report'!$C$109:$BD$166,13,FALSE)</f>
        <v>10</v>
      </c>
      <c r="S58" s="13">
        <f ca="1">VLOOKUP($B58,'[3]Analisys QBR By Machine Report'!$C$109:$BD$166,14,FALSE)</f>
        <v>0</v>
      </c>
      <c r="T58" s="13">
        <f ca="1">VLOOKUP($B58,'[3]Analisys QBR By Machine Report'!$C$109:$BD$166,15,FALSE)</f>
        <v>0</v>
      </c>
      <c r="U58" s="13">
        <f ca="1">VLOOKUP($B58,'[3]Analisys QBR By Machine Report'!$C$109:$BD$166,16,FALSE)</f>
        <v>0</v>
      </c>
      <c r="V58" s="13">
        <f ca="1">VLOOKUP($B58,'[3]Analisys QBR By Machine Report'!$C$109:$BD$166,17,FALSE)</f>
        <v>0</v>
      </c>
      <c r="W58" s="13">
        <f ca="1">VLOOKUP($B58,'[3]Analisys QBR By Machine Report'!$C$109:$BD$166,18,FALSE)</f>
        <v>0</v>
      </c>
      <c r="X58" s="13">
        <f ca="1">VLOOKUP($B58,'[3]Analisys QBR By Machine Report'!$C$109:$BD$166,19,FALSE)</f>
        <v>0</v>
      </c>
      <c r="Y58" s="13">
        <f ca="1">VLOOKUP($B58,'[3]Analisys QBR By Machine Report'!$C$109:$BD$166,20,FALSE)</f>
        <v>0</v>
      </c>
      <c r="Z58" s="13">
        <f ca="1">VLOOKUP($B58,'[3]Analisys QBR By Machine Report'!$C$109:$BD$166,21,FALSE)</f>
        <v>380</v>
      </c>
      <c r="AA58" s="13">
        <f ca="1">VLOOKUP($B58,'[3]Analisys QBR By Machine Report'!$C$109:$BD$166,22,FALSE)</f>
        <v>0</v>
      </c>
      <c r="AB58" s="13">
        <f ca="1">VLOOKUP($B58,'[3]Analisys QBR By Machine Report'!$C$109:$BD$166,23,FALSE)</f>
        <v>125</v>
      </c>
      <c r="AC58" s="13">
        <f ca="1">VLOOKUP($B58,'[3]Analisys QBR By Machine Report'!$C$109:$BD$166,24,FALSE)</f>
        <v>0</v>
      </c>
      <c r="AD58" s="13">
        <f ca="1">VLOOKUP($B58,'[3]Analisys QBR By Machine Report'!$C$109:$BD$166,25,FALSE)</f>
        <v>0</v>
      </c>
      <c r="AE58" s="13">
        <f ca="1">VLOOKUP($B58,'[3]Analisys QBR By Machine Report'!$C$109:$BD$166,26,FALSE)</f>
        <v>255</v>
      </c>
      <c r="AF58" s="13">
        <f ca="1">VLOOKUP($B58,'[3]Analisys QBR By Machine Report'!$C$109:$BD$166,27,FALSE)</f>
        <v>0</v>
      </c>
      <c r="AG58" s="13">
        <f ca="1">VLOOKUP($B58,'[3]Analisys QBR By Machine Report'!$C$109:$BD$166,28,FALSE)</f>
        <v>0</v>
      </c>
      <c r="AH58" s="13">
        <f ca="1">VLOOKUP($B58,'[3]Analisys QBR By Machine Report'!$C$109:$BD$166,29,FALSE)</f>
        <v>0</v>
      </c>
      <c r="AI58" s="13">
        <f ca="1">VLOOKUP($B58,'[3]Analisys QBR By Machine Report'!$C$109:$BD$166,30,FALSE)</f>
        <v>1525</v>
      </c>
      <c r="AJ58" s="13">
        <f ca="1">VLOOKUP($B58,'[3]Analisys QBR By Machine Report'!$C$109:$BD$166,31,FALSE)</f>
        <v>0</v>
      </c>
      <c r="AK58" s="13">
        <f ca="1">VLOOKUP($B58,'[3]Analisys QBR By Machine Report'!$C$109:$BD$166,32,FALSE)</f>
        <v>0</v>
      </c>
      <c r="AL58" s="13">
        <f ca="1">VLOOKUP($B58,'[3]Analisys QBR By Machine Report'!$C$109:$BD$166,33,FALSE)</f>
        <v>0</v>
      </c>
      <c r="AM58" s="13">
        <f ca="1">VLOOKUP($B58,'[3]Analisys QBR By Machine Report'!$C$109:$BD$166,34,FALSE)</f>
        <v>0</v>
      </c>
      <c r="AN58" s="13">
        <f ca="1">VLOOKUP($B58,'[3]Analisys QBR By Machine Report'!$C$109:$BD$166,35,FALSE)</f>
        <v>120</v>
      </c>
      <c r="AO58" s="13">
        <f ca="1">VLOOKUP($B58,'[3]Analisys QBR By Machine Report'!$C$109:$BD$166,36,FALSE)</f>
        <v>390</v>
      </c>
      <c r="AP58" s="13">
        <f ca="1">VLOOKUP($B58,'[3]Analisys QBR By Machine Report'!$C$109:$BD$166,37,FALSE)</f>
        <v>110</v>
      </c>
      <c r="AQ58" s="13">
        <f ca="1">VLOOKUP($B58,'[3]Analisys QBR By Machine Report'!$C$109:$BD$166,38,FALSE)</f>
        <v>0</v>
      </c>
      <c r="AR58" s="13">
        <f ca="1">VLOOKUP($B58,'[3]Analisys QBR By Machine Report'!$C$109:$BD$166,39,FALSE)</f>
        <v>670</v>
      </c>
      <c r="AS58" s="13">
        <f ca="1">VLOOKUP($B58,'[3]Analisys QBR By Machine Report'!$C$109:$BD$166,40,FALSE)</f>
        <v>80</v>
      </c>
      <c r="AT58" s="13">
        <f ca="1">VLOOKUP($B58,'[3]Analisys QBR By Machine Report'!$C$109:$BD$166,41,FALSE)</f>
        <v>0</v>
      </c>
      <c r="AU58" s="13">
        <f ca="1">VLOOKUP($B58,'[3]Analisys QBR By Machine Report'!$C$109:$BD$166,42,FALSE)</f>
        <v>0</v>
      </c>
      <c r="AV58" s="13">
        <f ca="1">VLOOKUP($B58,'[3]Analisys QBR By Machine Report'!$C$109:$BD$166,43,FALSE)</f>
        <v>0</v>
      </c>
      <c r="AW58" s="13">
        <f ca="1">VLOOKUP($B58,'[3]Analisys QBR By Machine Report'!$C$109:$BD$166,44,FALSE)</f>
        <v>0</v>
      </c>
      <c r="AX58" s="13">
        <f ca="1">VLOOKUP($B58,'[3]Analisys QBR By Machine Report'!$C$109:$BD$166,45,FALSE)</f>
        <v>0</v>
      </c>
      <c r="AY58" s="13">
        <f ca="1">VLOOKUP($B58,'[3]Analisys QBR By Machine Report'!$C$109:$BD$166,46,FALSE)</f>
        <v>0</v>
      </c>
      <c r="AZ58" s="13">
        <f ca="1">VLOOKUP($B58,'[3]Analisys QBR By Machine Report'!$C$109:$BD$166,47,FALSE)</f>
        <v>155</v>
      </c>
      <c r="BA58" s="13">
        <f ca="1">VLOOKUP($B58,'[3]Analisys QBR By Machine Report'!$C$109:$BD$166,48,FALSE)</f>
        <v>0</v>
      </c>
      <c r="BB58" s="13">
        <f ca="1">VLOOKUP($B58,'[3]Analisys QBR By Machine Report'!$C$109:$BD$166,49,FALSE)</f>
        <v>0</v>
      </c>
      <c r="BC58" s="13">
        <f ca="1">VLOOKUP($B58,'[3]Analisys QBR By Machine Report'!$C$109:$BD$166,50,FALSE)</f>
        <v>0</v>
      </c>
      <c r="BD58" s="13">
        <f ca="1">VLOOKUP($B58,'[3]Analisys QBR By Machine Report'!$C$109:$BD$166,51,FALSE)</f>
        <v>61781</v>
      </c>
      <c r="BE58" s="13">
        <f ca="1">VLOOKUP($B58,'[3]Analisys QBR By Machine Report'!$C$109:$BD$166,52,FALSE)</f>
        <v>229</v>
      </c>
      <c r="BF58" s="13">
        <f ca="1">VLOOKUP($B58,'[3]Analisys QBR By Machine Report'!$C$109:$BD$166,53,FALSE)</f>
        <v>61552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69946-789E-4148-9998-3BE9AFECE2D4}">
  <dimension ref="A1:BF58"/>
  <sheetViews>
    <sheetView workbookViewId="0">
      <selection sqref="A1:BF58"/>
    </sheetView>
  </sheetViews>
  <sheetFormatPr defaultRowHeight="15" x14ac:dyDescent="0.25"/>
  <sheetData>
    <row r="1" spans="1:58" ht="60" x14ac:dyDescent="0.25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8" t="s">
        <v>55</v>
      </c>
      <c r="BE1" s="8" t="s">
        <v>56</v>
      </c>
      <c r="BF1" s="8" t="s">
        <v>57</v>
      </c>
    </row>
    <row r="2" spans="1:58" x14ac:dyDescent="0.25">
      <c r="A2" s="9" t="s">
        <v>58</v>
      </c>
      <c r="B2" s="10">
        <f ca="1">VLOOKUP($B2,'[4]Analisys QBR By Machine Report'!$C$109:$BD$166,2,FALSE)</f>
        <v>73440</v>
      </c>
      <c r="C2" s="11">
        <f ca="1">VLOOKUP($B2,[4]Dasboard_QBR_Report!$B$109:$BL$166,3,FALSE)</f>
        <v>47430</v>
      </c>
      <c r="D2" s="10">
        <f ca="1">VLOOKUP($B2,'[4]Analisys QBR By Machine Report'!$C$109:$BD$166,3,FALSE)</f>
        <v>47760</v>
      </c>
      <c r="E2" s="11">
        <f ca="1">VLOOKUP($B2,[4]Dasboard_QBR_Report!$B$109:$BL$166,5,FALSE)</f>
        <v>21750</v>
      </c>
      <c r="F2" s="10">
        <f t="shared" ref="F2:F58" ca="1" si="0">SUM(G2,L2)</f>
        <v>25680</v>
      </c>
      <c r="G2" s="10">
        <f t="shared" ref="G2:G58" ca="1" si="1">SUM($I2,$L2)</f>
        <v>3065</v>
      </c>
      <c r="H2" s="10">
        <f ca="1">VLOOKUP($B2,'[4]Analisys QBR By Machine Report'!$C$109:$BD$166,4,FALSE)</f>
        <v>3010</v>
      </c>
      <c r="I2" s="10">
        <f ca="1">VLOOKUP($B2,'[4]Analisys QBR By Machine Report'!$C$109:$BD$166,5,FALSE)</f>
        <v>475</v>
      </c>
      <c r="J2" s="10">
        <f ca="1">VLOOKUP($B2,'[4]Analisys QBR By Machine Report'!$C$109:$BD$166,6,FALSE)</f>
        <v>2535</v>
      </c>
      <c r="K2" s="10">
        <f ca="1">VLOOKUP($B2,'[4]Analisys QBR By Machine Report'!$C$109:$BD$166,7,FALSE)</f>
        <v>55</v>
      </c>
      <c r="L2" s="10">
        <f ca="1">VLOOKUP($B2,'[4]Analisys QBR By Machine Report'!$C$109:$BD$166,8,FALSE)</f>
        <v>22615</v>
      </c>
      <c r="M2" s="10">
        <f ca="1">VLOOKUP($B2,'[4]Analisys QBR By Machine Report'!$C$109:$BD$166,9,FALSE)</f>
        <v>3213</v>
      </c>
      <c r="N2" s="10">
        <f ca="1">VLOOKUP($B2,[4]Dasboard_QBR_Report!$B$109:$BL$166,18,FALSE)</f>
        <v>19402</v>
      </c>
      <c r="O2" s="10">
        <f ca="1">VLOOKUP($B2,'[4]Analisys QBR By Machine Report'!$C$109:$BD$166,10,FALSE)</f>
        <v>792</v>
      </c>
      <c r="P2" s="10">
        <f ca="1">VLOOKUP($B2,'[4]Analisys QBR By Machine Report'!$C$109:$BD$166,11,FALSE)</f>
        <v>792</v>
      </c>
      <c r="Q2" s="10">
        <f ca="1">VLOOKUP($B2,'[4]Analisys QBR By Machine Report'!$C$109:$BD$166,12,FALSE)</f>
        <v>0</v>
      </c>
      <c r="R2" s="10">
        <f ca="1">VLOOKUP($B2,'[4]Analisys QBR By Machine Report'!$C$109:$BD$166,13,FALSE)</f>
        <v>0</v>
      </c>
      <c r="S2" s="10">
        <f ca="1">VLOOKUP($B2,'[4]Analisys QBR By Machine Report'!$C$109:$BD$166,14,FALSE)</f>
        <v>0</v>
      </c>
      <c r="T2" s="10">
        <f ca="1">VLOOKUP($B2,'[4]Analisys QBR By Machine Report'!$C$109:$BD$166,15,FALSE)</f>
        <v>65</v>
      </c>
      <c r="U2" s="10">
        <f ca="1">VLOOKUP($B2,'[4]Analisys QBR By Machine Report'!$C$109:$BD$166,16,FALSE)</f>
        <v>0</v>
      </c>
      <c r="V2" s="10">
        <f ca="1">VLOOKUP($B2,'[4]Analisys QBR By Machine Report'!$C$109:$BD$166,17,FALSE)</f>
        <v>0</v>
      </c>
      <c r="W2" s="10">
        <f ca="1">VLOOKUP($B2,'[4]Analisys QBR By Machine Report'!$C$109:$BD$166,18,FALSE)</f>
        <v>0</v>
      </c>
      <c r="X2" s="10">
        <f ca="1">VLOOKUP($B2,'[4]Analisys QBR By Machine Report'!$C$109:$BD$166,19,FALSE)</f>
        <v>65</v>
      </c>
      <c r="Y2" s="10">
        <f ca="1">VLOOKUP($B2,'[4]Analisys QBR By Machine Report'!$C$109:$BD$166,20,FALSE)</f>
        <v>0</v>
      </c>
      <c r="Z2" s="10">
        <f ca="1">VLOOKUP($B2,'[4]Analisys QBR By Machine Report'!$C$109:$BD$166,21,FALSE)</f>
        <v>11122</v>
      </c>
      <c r="AA2" s="10">
        <f ca="1">VLOOKUP($B2,'[4]Analisys QBR By Machine Report'!$C$109:$BD$166,22,FALSE)</f>
        <v>6797</v>
      </c>
      <c r="AB2" s="10">
        <f ca="1">VLOOKUP($B2,'[4]Analisys QBR By Machine Report'!$C$109:$BD$166,23,FALSE)</f>
        <v>3886</v>
      </c>
      <c r="AC2" s="10">
        <f ca="1">VLOOKUP($B2,'[4]Analisys QBR By Machine Report'!$C$109:$BD$166,24,FALSE)</f>
        <v>4</v>
      </c>
      <c r="AD2" s="10">
        <f ca="1">VLOOKUP($B2,'[4]Analisys QBR By Machine Report'!$C$109:$BD$166,25,FALSE)</f>
        <v>0</v>
      </c>
      <c r="AE2" s="10">
        <f ca="1">VLOOKUP($B2,'[4]Analisys QBR By Machine Report'!$C$109:$BD$166,26,FALSE)</f>
        <v>435</v>
      </c>
      <c r="AF2" s="10">
        <f ca="1">VLOOKUP($B2,'[4]Analisys QBR By Machine Report'!$C$109:$BD$166,27,FALSE)</f>
        <v>480</v>
      </c>
      <c r="AG2" s="10">
        <f ca="1">VLOOKUP($B2,'[4]Analisys QBR By Machine Report'!$C$109:$BD$166,28,FALSE)</f>
        <v>0</v>
      </c>
      <c r="AH2" s="10">
        <f ca="1">VLOOKUP($B2,'[4]Analisys QBR By Machine Report'!$C$109:$BD$166,29,FALSE)</f>
        <v>480</v>
      </c>
      <c r="AI2" s="10">
        <f ca="1">VLOOKUP($B2,'[4]Analisys QBR By Machine Report'!$C$109:$BD$166,30,FALSE)</f>
        <v>6943</v>
      </c>
      <c r="AJ2" s="10">
        <f ca="1">VLOOKUP($B2,'[4]Analisys QBR By Machine Report'!$C$109:$BD$166,31,FALSE)</f>
        <v>115</v>
      </c>
      <c r="AK2" s="10">
        <f ca="1">VLOOKUP($B2,'[4]Analisys QBR By Machine Report'!$C$109:$BD$166,32,FALSE)</f>
        <v>0</v>
      </c>
      <c r="AL2" s="10">
        <f ca="1">VLOOKUP($B2,'[4]Analisys QBR By Machine Report'!$C$109:$BD$166,33,FALSE)</f>
        <v>1230</v>
      </c>
      <c r="AM2" s="10">
        <f ca="1">VLOOKUP($B2,'[4]Analisys QBR By Machine Report'!$C$109:$BD$166,34,FALSE)</f>
        <v>0</v>
      </c>
      <c r="AN2" s="10">
        <f ca="1">VLOOKUP($B2,'[4]Analisys QBR By Machine Report'!$C$109:$BD$166,35,FALSE)</f>
        <v>700</v>
      </c>
      <c r="AO2" s="10">
        <f ca="1">VLOOKUP($B2,'[4]Analisys QBR By Machine Report'!$C$109:$BD$166,36,FALSE)</f>
        <v>105</v>
      </c>
      <c r="AP2" s="10">
        <f ca="1">VLOOKUP($B2,'[4]Analisys QBR By Machine Report'!$C$109:$BD$166,37,FALSE)</f>
        <v>0</v>
      </c>
      <c r="AQ2" s="10">
        <f ca="1">VLOOKUP($B2,'[4]Analisys QBR By Machine Report'!$C$109:$BD$166,38,FALSE)</f>
        <v>0</v>
      </c>
      <c r="AR2" s="10">
        <f ca="1">VLOOKUP($B2,'[4]Analisys QBR By Machine Report'!$C$109:$BD$166,39,FALSE)</f>
        <v>4122</v>
      </c>
      <c r="AS2" s="10">
        <f ca="1">VLOOKUP($B2,'[4]Analisys QBR By Machine Report'!$C$109:$BD$166,40,FALSE)</f>
        <v>0</v>
      </c>
      <c r="AT2" s="10">
        <f ca="1">VLOOKUP($B2,'[4]Analisys QBR By Machine Report'!$C$109:$BD$166,41,FALSE)</f>
        <v>0</v>
      </c>
      <c r="AU2" s="10">
        <f ca="1">VLOOKUP($B2,'[4]Analisys QBR By Machine Report'!$C$109:$BD$166,42,FALSE)</f>
        <v>433</v>
      </c>
      <c r="AV2" s="10">
        <f ca="1">VLOOKUP($B2,'[4]Analisys QBR By Machine Report'!$C$109:$BD$166,43,FALSE)</f>
        <v>0</v>
      </c>
      <c r="AW2" s="10">
        <f ca="1">VLOOKUP($B2,'[4]Analisys QBR By Machine Report'!$C$109:$BD$166,44,FALSE)</f>
        <v>0</v>
      </c>
      <c r="AX2" s="10">
        <f ca="1">VLOOKUP($B2,'[4]Analisys QBR By Machine Report'!$C$109:$BD$166,45,FALSE)</f>
        <v>0</v>
      </c>
      <c r="AY2" s="10">
        <f ca="1">VLOOKUP($B2,'[4]Analisys QBR By Machine Report'!$C$109:$BD$166,46,FALSE)</f>
        <v>0</v>
      </c>
      <c r="AZ2" s="10">
        <f ca="1">VLOOKUP($B2,'[4]Analisys QBR By Machine Report'!$C$109:$BD$166,47,FALSE)</f>
        <v>238</v>
      </c>
      <c r="BA2" s="10">
        <f ca="1">VLOOKUP($B2,'[4]Analisys QBR By Machine Report'!$C$109:$BD$166,48,FALSE)</f>
        <v>0</v>
      </c>
      <c r="BB2" s="10">
        <f ca="1">VLOOKUP($B2,'[4]Analisys QBR By Machine Report'!$C$109:$BD$166,49,FALSE)</f>
        <v>0</v>
      </c>
      <c r="BC2" s="10">
        <f ca="1">VLOOKUP($B2,'[4]Analisys QBR By Machine Report'!$C$109:$BD$166,50,FALSE)</f>
        <v>0</v>
      </c>
      <c r="BD2" s="10">
        <f ca="1">VLOOKUP($B2,'[4]Analisys QBR By Machine Report'!$C$109:$BD$166,51,FALSE)</f>
        <v>6165.38</v>
      </c>
      <c r="BE2" s="10">
        <f ca="1">VLOOKUP($B2,'[4]Analisys QBR By Machine Report'!$C$109:$BD$166,52,FALSE)</f>
        <v>0</v>
      </c>
      <c r="BF2" s="10">
        <f ca="1">VLOOKUP($B2,'[4]Analisys QBR By Machine Report'!$C$109:$BD$166,53,FALSE)</f>
        <v>6165.38</v>
      </c>
    </row>
    <row r="3" spans="1:58" x14ac:dyDescent="0.25">
      <c r="A3" s="12" t="s">
        <v>59</v>
      </c>
      <c r="B3" s="13">
        <f ca="1">VLOOKUP($B3,'[4]Analisys QBR By Machine Report'!$C$109:$BD$166,2,FALSE)</f>
        <v>24480</v>
      </c>
      <c r="C3" s="14">
        <f ca="1">VLOOKUP($B3,[4]Dasboard_QBR_Report!$B$109:$BL$166,3,FALSE)</f>
        <v>15810</v>
      </c>
      <c r="D3" s="13">
        <f ca="1">VLOOKUP($B3,'[4]Analisys QBR By Machine Report'!$C$109:$BD$166,3,FALSE)</f>
        <v>15600</v>
      </c>
      <c r="E3" s="14">
        <f ca="1">VLOOKUP($B3,[4]Dasboard_QBR_Report!$B$109:$BL$166,5,FALSE)</f>
        <v>6930</v>
      </c>
      <c r="F3" s="13">
        <f t="shared" ca="1" si="0"/>
        <v>8880</v>
      </c>
      <c r="G3" s="13">
        <f t="shared" ca="1" si="1"/>
        <v>460</v>
      </c>
      <c r="H3" s="13">
        <f ca="1">VLOOKUP($B3,'[4]Analisys QBR By Machine Report'!$C$109:$BD$166,4,FALSE)</f>
        <v>460</v>
      </c>
      <c r="I3" s="13">
        <f ca="1">VLOOKUP($B3,'[4]Analisys QBR By Machine Report'!$C$109:$BD$166,5,FALSE)</f>
        <v>100</v>
      </c>
      <c r="J3" s="13">
        <f ca="1">VLOOKUP($B3,'[4]Analisys QBR By Machine Report'!$C$109:$BD$166,6,FALSE)</f>
        <v>360</v>
      </c>
      <c r="K3" s="13">
        <f ca="1">VLOOKUP($B3,'[4]Analisys QBR By Machine Report'!$C$109:$BD$166,7,FALSE)</f>
        <v>0</v>
      </c>
      <c r="L3" s="13">
        <f ca="1">VLOOKUP($B3,'[4]Analisys QBR By Machine Report'!$C$109:$BD$166,8,FALSE)</f>
        <v>8420</v>
      </c>
      <c r="M3" s="13">
        <f ca="1">VLOOKUP($B3,'[4]Analisys QBR By Machine Report'!$C$109:$BD$166,9,FALSE)</f>
        <v>1769</v>
      </c>
      <c r="N3" s="13">
        <f ca="1">VLOOKUP($B3,[4]Dasboard_QBR_Report!$B$109:$BL$166,18,FALSE)</f>
        <v>6651</v>
      </c>
      <c r="O3" s="13">
        <f ca="1">VLOOKUP($B3,'[4]Analisys QBR By Machine Report'!$C$109:$BD$166,10,FALSE)</f>
        <v>193</v>
      </c>
      <c r="P3" s="13">
        <f ca="1">VLOOKUP($B3,'[4]Analisys QBR By Machine Report'!$C$109:$BD$166,11,FALSE)</f>
        <v>193</v>
      </c>
      <c r="Q3" s="13">
        <f ca="1">VLOOKUP($B3,'[4]Analisys QBR By Machine Report'!$C$109:$BD$166,12,FALSE)</f>
        <v>0</v>
      </c>
      <c r="R3" s="13">
        <f ca="1">VLOOKUP($B3,'[4]Analisys QBR By Machine Report'!$C$109:$BD$166,13,FALSE)</f>
        <v>0</v>
      </c>
      <c r="S3" s="13">
        <f ca="1">VLOOKUP($B3,'[4]Analisys QBR By Machine Report'!$C$109:$BD$166,14,FALSE)</f>
        <v>0</v>
      </c>
      <c r="T3" s="13">
        <f ca="1">VLOOKUP($B3,'[4]Analisys QBR By Machine Report'!$C$109:$BD$166,15,FALSE)</f>
        <v>0</v>
      </c>
      <c r="U3" s="13">
        <f ca="1">VLOOKUP($B3,'[4]Analisys QBR By Machine Report'!$C$109:$BD$166,16,FALSE)</f>
        <v>0</v>
      </c>
      <c r="V3" s="13">
        <f ca="1">VLOOKUP($B3,'[4]Analisys QBR By Machine Report'!$C$109:$BD$166,17,FALSE)</f>
        <v>0</v>
      </c>
      <c r="W3" s="13">
        <f ca="1">VLOOKUP($B3,'[4]Analisys QBR By Machine Report'!$C$109:$BD$166,18,FALSE)</f>
        <v>0</v>
      </c>
      <c r="X3" s="13">
        <f ca="1">VLOOKUP($B3,'[4]Analisys QBR By Machine Report'!$C$109:$BD$166,19,FALSE)</f>
        <v>0</v>
      </c>
      <c r="Y3" s="13">
        <f ca="1">VLOOKUP($B3,'[4]Analisys QBR By Machine Report'!$C$109:$BD$166,20,FALSE)</f>
        <v>0</v>
      </c>
      <c r="Z3" s="13">
        <f ca="1">VLOOKUP($B3,'[4]Analisys QBR By Machine Report'!$C$109:$BD$166,21,FALSE)</f>
        <v>5369</v>
      </c>
      <c r="AA3" s="13">
        <f ca="1">VLOOKUP($B3,'[4]Analisys QBR By Machine Report'!$C$109:$BD$166,22,FALSE)</f>
        <v>3355</v>
      </c>
      <c r="AB3" s="13">
        <f ca="1">VLOOKUP($B3,'[4]Analisys QBR By Machine Report'!$C$109:$BD$166,23,FALSE)</f>
        <v>1865</v>
      </c>
      <c r="AC3" s="13">
        <f ca="1">VLOOKUP($B3,'[4]Analisys QBR By Machine Report'!$C$109:$BD$166,24,FALSE)</f>
        <v>4</v>
      </c>
      <c r="AD3" s="13">
        <f ca="1">VLOOKUP($B3,'[4]Analisys QBR By Machine Report'!$C$109:$BD$166,25,FALSE)</f>
        <v>0</v>
      </c>
      <c r="AE3" s="13">
        <f ca="1">VLOOKUP($B3,'[4]Analisys QBR By Machine Report'!$C$109:$BD$166,26,FALSE)</f>
        <v>145</v>
      </c>
      <c r="AF3" s="13">
        <f ca="1">VLOOKUP($B3,'[4]Analisys QBR By Machine Report'!$C$109:$BD$166,27,FALSE)</f>
        <v>0</v>
      </c>
      <c r="AG3" s="13">
        <f ca="1">VLOOKUP($B3,'[4]Analisys QBR By Machine Report'!$C$109:$BD$166,28,FALSE)</f>
        <v>0</v>
      </c>
      <c r="AH3" s="13">
        <f ca="1">VLOOKUP($B3,'[4]Analisys QBR By Machine Report'!$C$109:$BD$166,29,FALSE)</f>
        <v>0</v>
      </c>
      <c r="AI3" s="13">
        <f ca="1">VLOOKUP($B3,'[4]Analisys QBR By Machine Report'!$C$109:$BD$166,30,FALSE)</f>
        <v>1089</v>
      </c>
      <c r="AJ3" s="13">
        <f ca="1">VLOOKUP($B3,'[4]Analisys QBR By Machine Report'!$C$109:$BD$166,31,FALSE)</f>
        <v>45</v>
      </c>
      <c r="AK3" s="13">
        <f ca="1">VLOOKUP($B3,'[4]Analisys QBR By Machine Report'!$C$109:$BD$166,32,FALSE)</f>
        <v>0</v>
      </c>
      <c r="AL3" s="13">
        <f ca="1">VLOOKUP($B3,'[4]Analisys QBR By Machine Report'!$C$109:$BD$166,33,FALSE)</f>
        <v>420</v>
      </c>
      <c r="AM3" s="13">
        <f ca="1">VLOOKUP($B3,'[4]Analisys QBR By Machine Report'!$C$109:$BD$166,34,FALSE)</f>
        <v>0</v>
      </c>
      <c r="AN3" s="13">
        <f ca="1">VLOOKUP($B3,'[4]Analisys QBR By Machine Report'!$C$109:$BD$166,35,FALSE)</f>
        <v>240</v>
      </c>
      <c r="AO3" s="13">
        <f ca="1">VLOOKUP($B3,'[4]Analisys QBR By Machine Report'!$C$109:$BD$166,36,FALSE)</f>
        <v>105</v>
      </c>
      <c r="AP3" s="13">
        <f ca="1">VLOOKUP($B3,'[4]Analisys QBR By Machine Report'!$C$109:$BD$166,37,FALSE)</f>
        <v>0</v>
      </c>
      <c r="AQ3" s="13">
        <f ca="1">VLOOKUP($B3,'[4]Analisys QBR By Machine Report'!$C$109:$BD$166,38,FALSE)</f>
        <v>0</v>
      </c>
      <c r="AR3" s="13">
        <f ca="1">VLOOKUP($B3,'[4]Analisys QBR By Machine Report'!$C$109:$BD$166,39,FALSE)</f>
        <v>0</v>
      </c>
      <c r="AS3" s="13">
        <f ca="1">VLOOKUP($B3,'[4]Analisys QBR By Machine Report'!$C$109:$BD$166,40,FALSE)</f>
        <v>0</v>
      </c>
      <c r="AT3" s="13">
        <f ca="1">VLOOKUP($B3,'[4]Analisys QBR By Machine Report'!$C$109:$BD$166,41,FALSE)</f>
        <v>0</v>
      </c>
      <c r="AU3" s="13">
        <f ca="1">VLOOKUP($B3,'[4]Analisys QBR By Machine Report'!$C$109:$BD$166,42,FALSE)</f>
        <v>279</v>
      </c>
      <c r="AV3" s="13">
        <f ca="1">VLOOKUP($B3,'[4]Analisys QBR By Machine Report'!$C$109:$BD$166,43,FALSE)</f>
        <v>0</v>
      </c>
      <c r="AW3" s="13">
        <f ca="1">VLOOKUP($B3,'[4]Analisys QBR By Machine Report'!$C$109:$BD$166,44,FALSE)</f>
        <v>0</v>
      </c>
      <c r="AX3" s="13">
        <f ca="1">VLOOKUP($B3,'[4]Analisys QBR By Machine Report'!$C$109:$BD$166,45,FALSE)</f>
        <v>0</v>
      </c>
      <c r="AY3" s="13">
        <f ca="1">VLOOKUP($B3,'[4]Analisys QBR By Machine Report'!$C$109:$BD$166,46,FALSE)</f>
        <v>0</v>
      </c>
      <c r="AZ3" s="13">
        <f ca="1">VLOOKUP($B3,'[4]Analisys QBR By Machine Report'!$C$109:$BD$166,47,FALSE)</f>
        <v>0</v>
      </c>
      <c r="BA3" s="13">
        <f ca="1">VLOOKUP($B3,'[4]Analisys QBR By Machine Report'!$C$109:$BD$166,48,FALSE)</f>
        <v>0</v>
      </c>
      <c r="BB3" s="13">
        <f ca="1">VLOOKUP($B3,'[4]Analisys QBR By Machine Report'!$C$109:$BD$166,49,FALSE)</f>
        <v>0</v>
      </c>
      <c r="BC3" s="13">
        <f ca="1">VLOOKUP($B3,'[4]Analisys QBR By Machine Report'!$C$109:$BD$166,50,FALSE)</f>
        <v>0</v>
      </c>
      <c r="BD3" s="13">
        <f ca="1">VLOOKUP($B3,'[4]Analisys QBR By Machine Report'!$C$109:$BD$166,51,FALSE)</f>
        <v>932.27</v>
      </c>
      <c r="BE3" s="13">
        <f ca="1">VLOOKUP($B3,'[4]Analisys QBR By Machine Report'!$C$109:$BD$166,52,FALSE)</f>
        <v>0</v>
      </c>
      <c r="BF3" s="13">
        <f ca="1">VLOOKUP($B3,'[4]Analisys QBR By Machine Report'!$C$109:$BD$166,53,FALSE)</f>
        <v>932.27</v>
      </c>
    </row>
    <row r="4" spans="1:58" x14ac:dyDescent="0.25">
      <c r="A4" s="12" t="s">
        <v>60</v>
      </c>
      <c r="B4" s="13">
        <f ca="1">VLOOKUP($B4,'[4]Analisys QBR By Machine Report'!$C$109:$BD$166,2,FALSE)</f>
        <v>24480</v>
      </c>
      <c r="C4" s="14">
        <f ca="1">VLOOKUP($B4,[4]Dasboard_QBR_Report!$B$109:$BL$166,3,FALSE)</f>
        <v>15810</v>
      </c>
      <c r="D4" s="13">
        <f ca="1">VLOOKUP($B4,'[4]Analisys QBR By Machine Report'!$C$109:$BD$166,3,FALSE)</f>
        <v>21150</v>
      </c>
      <c r="E4" s="14">
        <f ca="1">VLOOKUP($B4,[4]Dasboard_QBR_Report!$B$109:$BL$166,5,FALSE)</f>
        <v>12480</v>
      </c>
      <c r="F4" s="13">
        <f t="shared" ca="1" si="0"/>
        <v>3330</v>
      </c>
      <c r="G4" s="13">
        <f t="shared" ca="1" si="1"/>
        <v>0</v>
      </c>
      <c r="H4" s="13">
        <f ca="1">VLOOKUP($B4,'[4]Analisys QBR By Machine Report'!$C$109:$BD$166,4,FALSE)</f>
        <v>0</v>
      </c>
      <c r="I4" s="13">
        <f ca="1">VLOOKUP($B4,'[4]Analisys QBR By Machine Report'!$C$109:$BD$166,5,FALSE)</f>
        <v>0</v>
      </c>
      <c r="J4" s="13">
        <f ca="1">VLOOKUP($B4,'[4]Analisys QBR By Machine Report'!$C$109:$BD$166,6,FALSE)</f>
        <v>0</v>
      </c>
      <c r="K4" s="13">
        <f ca="1">VLOOKUP($B4,'[4]Analisys QBR By Machine Report'!$C$109:$BD$166,7,FALSE)</f>
        <v>0</v>
      </c>
      <c r="L4" s="13">
        <f ca="1">VLOOKUP($B4,'[4]Analisys QBR By Machine Report'!$C$109:$BD$166,8,FALSE)</f>
        <v>3330</v>
      </c>
      <c r="M4" s="13">
        <f ca="1">VLOOKUP($B4,'[4]Analisys QBR By Machine Report'!$C$109:$BD$166,9,FALSE)</f>
        <v>787</v>
      </c>
      <c r="N4" s="13">
        <f ca="1">VLOOKUP($B4,[4]Dasboard_QBR_Report!$B$109:$BL$166,18,FALSE)</f>
        <v>2543</v>
      </c>
      <c r="O4" s="13">
        <f ca="1">VLOOKUP($B4,'[4]Analisys QBR By Machine Report'!$C$109:$BD$166,10,FALSE)</f>
        <v>105</v>
      </c>
      <c r="P4" s="13">
        <f ca="1">VLOOKUP($B4,'[4]Analisys QBR By Machine Report'!$C$109:$BD$166,11,FALSE)</f>
        <v>105</v>
      </c>
      <c r="Q4" s="13">
        <f ca="1">VLOOKUP($B4,'[4]Analisys QBR By Machine Report'!$C$109:$BD$166,12,FALSE)</f>
        <v>0</v>
      </c>
      <c r="R4" s="13">
        <f ca="1">VLOOKUP($B4,'[4]Analisys QBR By Machine Report'!$C$109:$BD$166,13,FALSE)</f>
        <v>0</v>
      </c>
      <c r="S4" s="13">
        <f ca="1">VLOOKUP($B4,'[4]Analisys QBR By Machine Report'!$C$109:$BD$166,14,FALSE)</f>
        <v>0</v>
      </c>
      <c r="T4" s="13">
        <f ca="1">VLOOKUP($B4,'[4]Analisys QBR By Machine Report'!$C$109:$BD$166,15,FALSE)</f>
        <v>65</v>
      </c>
      <c r="U4" s="13">
        <f ca="1">VLOOKUP($B4,'[4]Analisys QBR By Machine Report'!$C$109:$BD$166,16,FALSE)</f>
        <v>0</v>
      </c>
      <c r="V4" s="13">
        <f ca="1">VLOOKUP($B4,'[4]Analisys QBR By Machine Report'!$C$109:$BD$166,17,FALSE)</f>
        <v>0</v>
      </c>
      <c r="W4" s="13">
        <f ca="1">VLOOKUP($B4,'[4]Analisys QBR By Machine Report'!$C$109:$BD$166,18,FALSE)</f>
        <v>0</v>
      </c>
      <c r="X4" s="13">
        <f ca="1">VLOOKUP($B4,'[4]Analisys QBR By Machine Report'!$C$109:$BD$166,19,FALSE)</f>
        <v>65</v>
      </c>
      <c r="Y4" s="13">
        <f ca="1">VLOOKUP($B4,'[4]Analisys QBR By Machine Report'!$C$109:$BD$166,20,FALSE)</f>
        <v>0</v>
      </c>
      <c r="Z4" s="13">
        <f ca="1">VLOOKUP($B4,'[4]Analisys QBR By Machine Report'!$C$109:$BD$166,21,FALSE)</f>
        <v>1736</v>
      </c>
      <c r="AA4" s="13">
        <f ca="1">VLOOKUP($B4,'[4]Analisys QBR By Machine Report'!$C$109:$BD$166,22,FALSE)</f>
        <v>1471</v>
      </c>
      <c r="AB4" s="13">
        <f ca="1">VLOOKUP($B4,'[4]Analisys QBR By Machine Report'!$C$109:$BD$166,23,FALSE)</f>
        <v>225</v>
      </c>
      <c r="AC4" s="13">
        <f ca="1">VLOOKUP($B4,'[4]Analisys QBR By Machine Report'!$C$109:$BD$166,24,FALSE)</f>
        <v>0</v>
      </c>
      <c r="AD4" s="13">
        <f ca="1">VLOOKUP($B4,'[4]Analisys QBR By Machine Report'!$C$109:$BD$166,25,FALSE)</f>
        <v>0</v>
      </c>
      <c r="AE4" s="13">
        <f ca="1">VLOOKUP($B4,'[4]Analisys QBR By Machine Report'!$C$109:$BD$166,26,FALSE)</f>
        <v>40</v>
      </c>
      <c r="AF4" s="13">
        <f ca="1">VLOOKUP($B4,'[4]Analisys QBR By Machine Report'!$C$109:$BD$166,27,FALSE)</f>
        <v>0</v>
      </c>
      <c r="AG4" s="13">
        <f ca="1">VLOOKUP($B4,'[4]Analisys QBR By Machine Report'!$C$109:$BD$166,28,FALSE)</f>
        <v>0</v>
      </c>
      <c r="AH4" s="13">
        <f ca="1">VLOOKUP($B4,'[4]Analisys QBR By Machine Report'!$C$109:$BD$166,29,FALSE)</f>
        <v>0</v>
      </c>
      <c r="AI4" s="13">
        <f ca="1">VLOOKUP($B4,'[4]Analisys QBR By Machine Report'!$C$109:$BD$166,30,FALSE)</f>
        <v>637</v>
      </c>
      <c r="AJ4" s="13">
        <f ca="1">VLOOKUP($B4,'[4]Analisys QBR By Machine Report'!$C$109:$BD$166,31,FALSE)</f>
        <v>0</v>
      </c>
      <c r="AK4" s="13">
        <f ca="1">VLOOKUP($B4,'[4]Analisys QBR By Machine Report'!$C$109:$BD$166,32,FALSE)</f>
        <v>0</v>
      </c>
      <c r="AL4" s="13">
        <f ca="1">VLOOKUP($B4,'[4]Analisys QBR By Machine Report'!$C$109:$BD$166,33,FALSE)</f>
        <v>210</v>
      </c>
      <c r="AM4" s="13">
        <f ca="1">VLOOKUP($B4,'[4]Analisys QBR By Machine Report'!$C$109:$BD$166,34,FALSE)</f>
        <v>0</v>
      </c>
      <c r="AN4" s="13">
        <f ca="1">VLOOKUP($B4,'[4]Analisys QBR By Machine Report'!$C$109:$BD$166,35,FALSE)</f>
        <v>190</v>
      </c>
      <c r="AO4" s="13">
        <f ca="1">VLOOKUP($B4,'[4]Analisys QBR By Machine Report'!$C$109:$BD$166,36,FALSE)</f>
        <v>0</v>
      </c>
      <c r="AP4" s="13">
        <f ca="1">VLOOKUP($B4,'[4]Analisys QBR By Machine Report'!$C$109:$BD$166,37,FALSE)</f>
        <v>0</v>
      </c>
      <c r="AQ4" s="13">
        <f ca="1">VLOOKUP($B4,'[4]Analisys QBR By Machine Report'!$C$109:$BD$166,38,FALSE)</f>
        <v>0</v>
      </c>
      <c r="AR4" s="13">
        <f ca="1">VLOOKUP($B4,'[4]Analisys QBR By Machine Report'!$C$109:$BD$166,39,FALSE)</f>
        <v>95</v>
      </c>
      <c r="AS4" s="13">
        <f ca="1">VLOOKUP($B4,'[4]Analisys QBR By Machine Report'!$C$109:$BD$166,40,FALSE)</f>
        <v>0</v>
      </c>
      <c r="AT4" s="13">
        <f ca="1">VLOOKUP($B4,'[4]Analisys QBR By Machine Report'!$C$109:$BD$166,41,FALSE)</f>
        <v>0</v>
      </c>
      <c r="AU4" s="13">
        <f ca="1">VLOOKUP($B4,'[4]Analisys QBR By Machine Report'!$C$109:$BD$166,42,FALSE)</f>
        <v>142</v>
      </c>
      <c r="AV4" s="13">
        <f ca="1">VLOOKUP($B4,'[4]Analisys QBR By Machine Report'!$C$109:$BD$166,43,FALSE)</f>
        <v>0</v>
      </c>
      <c r="AW4" s="13">
        <f ca="1">VLOOKUP($B4,'[4]Analisys QBR By Machine Report'!$C$109:$BD$166,44,FALSE)</f>
        <v>0</v>
      </c>
      <c r="AX4" s="13">
        <f ca="1">VLOOKUP($B4,'[4]Analisys QBR By Machine Report'!$C$109:$BD$166,45,FALSE)</f>
        <v>0</v>
      </c>
      <c r="AY4" s="13">
        <f ca="1">VLOOKUP($B4,'[4]Analisys QBR By Machine Report'!$C$109:$BD$166,46,FALSE)</f>
        <v>0</v>
      </c>
      <c r="AZ4" s="13">
        <f ca="1">VLOOKUP($B4,'[4]Analisys QBR By Machine Report'!$C$109:$BD$166,47,FALSE)</f>
        <v>0</v>
      </c>
      <c r="BA4" s="13">
        <f ca="1">VLOOKUP($B4,'[4]Analisys QBR By Machine Report'!$C$109:$BD$166,48,FALSE)</f>
        <v>0</v>
      </c>
      <c r="BB4" s="13">
        <f ca="1">VLOOKUP($B4,'[4]Analisys QBR By Machine Report'!$C$109:$BD$166,49,FALSE)</f>
        <v>0</v>
      </c>
      <c r="BC4" s="13">
        <f ca="1">VLOOKUP($B4,'[4]Analisys QBR By Machine Report'!$C$109:$BD$166,50,FALSE)</f>
        <v>0</v>
      </c>
      <c r="BD4" s="13">
        <f ca="1">VLOOKUP($B4,'[4]Analisys QBR By Machine Report'!$C$109:$BD$166,51,FALSE)</f>
        <v>965.95</v>
      </c>
      <c r="BE4" s="13">
        <f ca="1">VLOOKUP($B4,'[4]Analisys QBR By Machine Report'!$C$109:$BD$166,52,FALSE)</f>
        <v>0</v>
      </c>
      <c r="BF4" s="13">
        <f ca="1">VLOOKUP($B4,'[4]Analisys QBR By Machine Report'!$C$109:$BD$166,53,FALSE)</f>
        <v>965.95</v>
      </c>
    </row>
    <row r="5" spans="1:58" x14ac:dyDescent="0.25">
      <c r="A5" s="12" t="s">
        <v>61</v>
      </c>
      <c r="B5" s="13">
        <f ca="1">VLOOKUP($B5,'[4]Analisys QBR By Machine Report'!$C$109:$BD$166,2,FALSE)</f>
        <v>24480</v>
      </c>
      <c r="C5" s="14">
        <f ca="1">VLOOKUP($B5,[4]Dasboard_QBR_Report!$B$109:$BL$166,3,FALSE)</f>
        <v>15810</v>
      </c>
      <c r="D5" s="13">
        <f ca="1">VLOOKUP($B5,'[4]Analisys QBR By Machine Report'!$C$109:$BD$166,3,FALSE)</f>
        <v>11010</v>
      </c>
      <c r="E5" s="14">
        <f ca="1">VLOOKUP($B5,[4]Dasboard_QBR_Report!$B$109:$BL$166,5,FALSE)</f>
        <v>2340</v>
      </c>
      <c r="F5" s="13">
        <f t="shared" ca="1" si="0"/>
        <v>13470</v>
      </c>
      <c r="G5" s="13">
        <f t="shared" ca="1" si="1"/>
        <v>2605</v>
      </c>
      <c r="H5" s="13">
        <f ca="1">VLOOKUP($B5,'[4]Analisys QBR By Machine Report'!$C$109:$BD$166,4,FALSE)</f>
        <v>2550</v>
      </c>
      <c r="I5" s="13">
        <f ca="1">VLOOKUP($B5,'[4]Analisys QBR By Machine Report'!$C$109:$BD$166,5,FALSE)</f>
        <v>375</v>
      </c>
      <c r="J5" s="13">
        <f ca="1">VLOOKUP($B5,'[4]Analisys QBR By Machine Report'!$C$109:$BD$166,6,FALSE)</f>
        <v>2175</v>
      </c>
      <c r="K5" s="13">
        <f ca="1">VLOOKUP($B5,'[4]Analisys QBR By Machine Report'!$C$109:$BD$166,7,FALSE)</f>
        <v>55</v>
      </c>
      <c r="L5" s="13">
        <f ca="1">VLOOKUP($B5,'[4]Analisys QBR By Machine Report'!$C$109:$BD$166,8,FALSE)</f>
        <v>10865</v>
      </c>
      <c r="M5" s="13">
        <f ca="1">VLOOKUP($B5,'[4]Analisys QBR By Machine Report'!$C$109:$BD$166,9,FALSE)</f>
        <v>657</v>
      </c>
      <c r="N5" s="13">
        <f ca="1">VLOOKUP($B5,[4]Dasboard_QBR_Report!$B$109:$BL$166,18,FALSE)</f>
        <v>10208</v>
      </c>
      <c r="O5" s="13">
        <f ca="1">VLOOKUP($B5,'[4]Analisys QBR By Machine Report'!$C$109:$BD$166,10,FALSE)</f>
        <v>494</v>
      </c>
      <c r="P5" s="13">
        <f ca="1">VLOOKUP($B5,'[4]Analisys QBR By Machine Report'!$C$109:$BD$166,11,FALSE)</f>
        <v>494</v>
      </c>
      <c r="Q5" s="13">
        <f ca="1">VLOOKUP($B5,'[4]Analisys QBR By Machine Report'!$C$109:$BD$166,12,FALSE)</f>
        <v>0</v>
      </c>
      <c r="R5" s="13">
        <f ca="1">VLOOKUP($B5,'[4]Analisys QBR By Machine Report'!$C$109:$BD$166,13,FALSE)</f>
        <v>0</v>
      </c>
      <c r="S5" s="13">
        <f ca="1">VLOOKUP($B5,'[4]Analisys QBR By Machine Report'!$C$109:$BD$166,14,FALSE)</f>
        <v>0</v>
      </c>
      <c r="T5" s="13">
        <f ca="1">VLOOKUP($B5,'[4]Analisys QBR By Machine Report'!$C$109:$BD$166,15,FALSE)</f>
        <v>0</v>
      </c>
      <c r="U5" s="13">
        <f ca="1">VLOOKUP($B5,'[4]Analisys QBR By Machine Report'!$C$109:$BD$166,16,FALSE)</f>
        <v>0</v>
      </c>
      <c r="V5" s="13">
        <f ca="1">VLOOKUP($B5,'[4]Analisys QBR By Machine Report'!$C$109:$BD$166,17,FALSE)</f>
        <v>0</v>
      </c>
      <c r="W5" s="13">
        <f ca="1">VLOOKUP($B5,'[4]Analisys QBR By Machine Report'!$C$109:$BD$166,18,FALSE)</f>
        <v>0</v>
      </c>
      <c r="X5" s="13">
        <f ca="1">VLOOKUP($B5,'[4]Analisys QBR By Machine Report'!$C$109:$BD$166,19,FALSE)</f>
        <v>0</v>
      </c>
      <c r="Y5" s="13">
        <f ca="1">VLOOKUP($B5,'[4]Analisys QBR By Machine Report'!$C$109:$BD$166,20,FALSE)</f>
        <v>0</v>
      </c>
      <c r="Z5" s="13">
        <f ca="1">VLOOKUP($B5,'[4]Analisys QBR By Machine Report'!$C$109:$BD$166,21,FALSE)</f>
        <v>4017</v>
      </c>
      <c r="AA5" s="13">
        <f ca="1">VLOOKUP($B5,'[4]Analisys QBR By Machine Report'!$C$109:$BD$166,22,FALSE)</f>
        <v>1971</v>
      </c>
      <c r="AB5" s="13">
        <f ca="1">VLOOKUP($B5,'[4]Analisys QBR By Machine Report'!$C$109:$BD$166,23,FALSE)</f>
        <v>1796</v>
      </c>
      <c r="AC5" s="13">
        <f ca="1">VLOOKUP($B5,'[4]Analisys QBR By Machine Report'!$C$109:$BD$166,24,FALSE)</f>
        <v>0</v>
      </c>
      <c r="AD5" s="13">
        <f ca="1">VLOOKUP($B5,'[4]Analisys QBR By Machine Report'!$C$109:$BD$166,25,FALSE)</f>
        <v>0</v>
      </c>
      <c r="AE5" s="13">
        <f ca="1">VLOOKUP($B5,'[4]Analisys QBR By Machine Report'!$C$109:$BD$166,26,FALSE)</f>
        <v>250</v>
      </c>
      <c r="AF5" s="13">
        <f ca="1">VLOOKUP($B5,'[4]Analisys QBR By Machine Report'!$C$109:$BD$166,27,FALSE)</f>
        <v>480</v>
      </c>
      <c r="AG5" s="13">
        <f ca="1">VLOOKUP($B5,'[4]Analisys QBR By Machine Report'!$C$109:$BD$166,28,FALSE)</f>
        <v>0</v>
      </c>
      <c r="AH5" s="13">
        <f ca="1">VLOOKUP($B5,'[4]Analisys QBR By Machine Report'!$C$109:$BD$166,29,FALSE)</f>
        <v>480</v>
      </c>
      <c r="AI5" s="13">
        <f ca="1">VLOOKUP($B5,'[4]Analisys QBR By Machine Report'!$C$109:$BD$166,30,FALSE)</f>
        <v>5217</v>
      </c>
      <c r="AJ5" s="13">
        <f ca="1">VLOOKUP($B5,'[4]Analisys QBR By Machine Report'!$C$109:$BD$166,31,FALSE)</f>
        <v>70</v>
      </c>
      <c r="AK5" s="13">
        <f ca="1">VLOOKUP($B5,'[4]Analisys QBR By Machine Report'!$C$109:$BD$166,32,FALSE)</f>
        <v>0</v>
      </c>
      <c r="AL5" s="13">
        <f ca="1">VLOOKUP($B5,'[4]Analisys QBR By Machine Report'!$C$109:$BD$166,33,FALSE)</f>
        <v>600</v>
      </c>
      <c r="AM5" s="13">
        <f ca="1">VLOOKUP($B5,'[4]Analisys QBR By Machine Report'!$C$109:$BD$166,34,FALSE)</f>
        <v>0</v>
      </c>
      <c r="AN5" s="13">
        <f ca="1">VLOOKUP($B5,'[4]Analisys QBR By Machine Report'!$C$109:$BD$166,35,FALSE)</f>
        <v>270</v>
      </c>
      <c r="AO5" s="13">
        <f ca="1">VLOOKUP($B5,'[4]Analisys QBR By Machine Report'!$C$109:$BD$166,36,FALSE)</f>
        <v>0</v>
      </c>
      <c r="AP5" s="13">
        <f ca="1">VLOOKUP($B5,'[4]Analisys QBR By Machine Report'!$C$109:$BD$166,37,FALSE)</f>
        <v>0</v>
      </c>
      <c r="AQ5" s="13">
        <f ca="1">VLOOKUP($B5,'[4]Analisys QBR By Machine Report'!$C$109:$BD$166,38,FALSE)</f>
        <v>0</v>
      </c>
      <c r="AR5" s="13">
        <f ca="1">VLOOKUP($B5,'[4]Analisys QBR By Machine Report'!$C$109:$BD$166,39,FALSE)</f>
        <v>4027</v>
      </c>
      <c r="AS5" s="13">
        <f ca="1">VLOOKUP($B5,'[4]Analisys QBR By Machine Report'!$C$109:$BD$166,40,FALSE)</f>
        <v>0</v>
      </c>
      <c r="AT5" s="13">
        <f ca="1">VLOOKUP($B5,'[4]Analisys QBR By Machine Report'!$C$109:$BD$166,41,FALSE)</f>
        <v>0</v>
      </c>
      <c r="AU5" s="13">
        <f ca="1">VLOOKUP($B5,'[4]Analisys QBR By Machine Report'!$C$109:$BD$166,42,FALSE)</f>
        <v>12</v>
      </c>
      <c r="AV5" s="13">
        <f ca="1">VLOOKUP($B5,'[4]Analisys QBR By Machine Report'!$C$109:$BD$166,43,FALSE)</f>
        <v>0</v>
      </c>
      <c r="AW5" s="13">
        <f ca="1">VLOOKUP($B5,'[4]Analisys QBR By Machine Report'!$C$109:$BD$166,44,FALSE)</f>
        <v>0</v>
      </c>
      <c r="AX5" s="13">
        <f ca="1">VLOOKUP($B5,'[4]Analisys QBR By Machine Report'!$C$109:$BD$166,45,FALSE)</f>
        <v>0</v>
      </c>
      <c r="AY5" s="13">
        <f ca="1">VLOOKUP($B5,'[4]Analisys QBR By Machine Report'!$C$109:$BD$166,46,FALSE)</f>
        <v>0</v>
      </c>
      <c r="AZ5" s="13">
        <f ca="1">VLOOKUP($B5,'[4]Analisys QBR By Machine Report'!$C$109:$BD$166,47,FALSE)</f>
        <v>238</v>
      </c>
      <c r="BA5" s="13">
        <f ca="1">VLOOKUP($B5,'[4]Analisys QBR By Machine Report'!$C$109:$BD$166,48,FALSE)</f>
        <v>0</v>
      </c>
      <c r="BB5" s="13">
        <f ca="1">VLOOKUP($B5,'[4]Analisys QBR By Machine Report'!$C$109:$BD$166,49,FALSE)</f>
        <v>0</v>
      </c>
      <c r="BC5" s="13">
        <f ca="1">VLOOKUP($B5,'[4]Analisys QBR By Machine Report'!$C$109:$BD$166,50,FALSE)</f>
        <v>0</v>
      </c>
      <c r="BD5" s="13">
        <f ca="1">VLOOKUP($B5,'[4]Analisys QBR By Machine Report'!$C$109:$BD$166,51,FALSE)</f>
        <v>4267.16</v>
      </c>
      <c r="BE5" s="13">
        <f ca="1">VLOOKUP($B5,'[4]Analisys QBR By Machine Report'!$C$109:$BD$166,52,FALSE)</f>
        <v>0</v>
      </c>
      <c r="BF5" s="13">
        <f ca="1">VLOOKUP($B5,'[4]Analisys QBR By Machine Report'!$C$109:$BD$166,53,FALSE)</f>
        <v>4267.16</v>
      </c>
    </row>
    <row r="6" spans="1:58" x14ac:dyDescent="0.25">
      <c r="A6" s="9" t="s">
        <v>62</v>
      </c>
      <c r="B6" s="10">
        <f ca="1">VLOOKUP($B6,'[4]Analisys QBR By Machine Report'!$C$109:$BD$166,2,FALSE)</f>
        <v>48960</v>
      </c>
      <c r="C6" s="11">
        <f ca="1">VLOOKUP($B6,[4]Dasboard_QBR_Report!$B$109:$BL$166,3,FALSE)</f>
        <v>16320</v>
      </c>
      <c r="D6" s="10">
        <f ca="1">VLOOKUP($B6,'[4]Analisys QBR By Machine Report'!$C$109:$BD$166,3,FALSE)</f>
        <v>42840</v>
      </c>
      <c r="E6" s="11">
        <f ca="1">VLOOKUP($B6,[4]Dasboard_QBR_Report!$B$109:$BL$166,5,FALSE)</f>
        <v>10200</v>
      </c>
      <c r="F6" s="10">
        <f t="shared" ca="1" si="0"/>
        <v>6120</v>
      </c>
      <c r="G6" s="10">
        <f t="shared" ca="1" si="1"/>
        <v>1009</v>
      </c>
      <c r="H6" s="10">
        <f ca="1">VLOOKUP($B6,'[4]Analisys QBR By Machine Report'!$C$109:$BD$166,4,FALSE)</f>
        <v>1009</v>
      </c>
      <c r="I6" s="10">
        <f ca="1">VLOOKUP($B6,'[4]Analisys QBR By Machine Report'!$C$109:$BD$166,5,FALSE)</f>
        <v>64</v>
      </c>
      <c r="J6" s="10">
        <f ca="1">VLOOKUP($B6,'[4]Analisys QBR By Machine Report'!$C$109:$BD$166,6,FALSE)</f>
        <v>945</v>
      </c>
      <c r="K6" s="10">
        <f ca="1">VLOOKUP($B6,'[4]Analisys QBR By Machine Report'!$C$109:$BD$166,7,FALSE)</f>
        <v>0</v>
      </c>
      <c r="L6" s="10">
        <f ca="1">VLOOKUP($B6,'[4]Analisys QBR By Machine Report'!$C$109:$BD$166,8,FALSE)</f>
        <v>5111</v>
      </c>
      <c r="M6" s="10">
        <f ca="1">VLOOKUP($B6,'[4]Analisys QBR By Machine Report'!$C$109:$BD$166,9,FALSE)</f>
        <v>1505</v>
      </c>
      <c r="N6" s="10">
        <f ca="1">VLOOKUP($B6,[4]Dasboard_QBR_Report!$B$109:$BL$166,18,FALSE)</f>
        <v>3606</v>
      </c>
      <c r="O6" s="10">
        <f ca="1">VLOOKUP($B6,'[4]Analisys QBR By Machine Report'!$C$109:$BD$166,10,FALSE)</f>
        <v>645</v>
      </c>
      <c r="P6" s="10">
        <f ca="1">VLOOKUP($B6,'[4]Analisys QBR By Machine Report'!$C$109:$BD$166,11,FALSE)</f>
        <v>645</v>
      </c>
      <c r="Q6" s="10">
        <f ca="1">VLOOKUP($B6,'[4]Analisys QBR By Machine Report'!$C$109:$BD$166,12,FALSE)</f>
        <v>0</v>
      </c>
      <c r="R6" s="10">
        <f ca="1">VLOOKUP($B6,'[4]Analisys QBR By Machine Report'!$C$109:$BD$166,13,FALSE)</f>
        <v>0</v>
      </c>
      <c r="S6" s="10">
        <f ca="1">VLOOKUP($B6,'[4]Analisys QBR By Machine Report'!$C$109:$BD$166,14,FALSE)</f>
        <v>0</v>
      </c>
      <c r="T6" s="10">
        <f ca="1">VLOOKUP($B6,'[4]Analisys QBR By Machine Report'!$C$109:$BD$166,15,FALSE)</f>
        <v>0</v>
      </c>
      <c r="U6" s="10">
        <f ca="1">VLOOKUP($B6,'[4]Analisys QBR By Machine Report'!$C$109:$BD$166,16,FALSE)</f>
        <v>0</v>
      </c>
      <c r="V6" s="10">
        <f ca="1">VLOOKUP($B6,'[4]Analisys QBR By Machine Report'!$C$109:$BD$166,17,FALSE)</f>
        <v>0</v>
      </c>
      <c r="W6" s="10">
        <f ca="1">VLOOKUP($B6,'[4]Analisys QBR By Machine Report'!$C$109:$BD$166,18,FALSE)</f>
        <v>0</v>
      </c>
      <c r="X6" s="10">
        <f ca="1">VLOOKUP($B6,'[4]Analisys QBR By Machine Report'!$C$109:$BD$166,19,FALSE)</f>
        <v>0</v>
      </c>
      <c r="Y6" s="10">
        <f ca="1">VLOOKUP($B6,'[4]Analisys QBR By Machine Report'!$C$109:$BD$166,20,FALSE)</f>
        <v>0</v>
      </c>
      <c r="Z6" s="10">
        <f ca="1">VLOOKUP($B6,'[4]Analisys QBR By Machine Report'!$C$109:$BD$166,21,FALSE)</f>
        <v>1616</v>
      </c>
      <c r="AA6" s="10">
        <f ca="1">VLOOKUP($B6,'[4]Analisys QBR By Machine Report'!$C$109:$BD$166,22,FALSE)</f>
        <v>866</v>
      </c>
      <c r="AB6" s="10">
        <f ca="1">VLOOKUP($B6,'[4]Analisys QBR By Machine Report'!$C$109:$BD$166,23,FALSE)</f>
        <v>555</v>
      </c>
      <c r="AC6" s="10">
        <f ca="1">VLOOKUP($B6,'[4]Analisys QBR By Machine Report'!$C$109:$BD$166,24,FALSE)</f>
        <v>90</v>
      </c>
      <c r="AD6" s="10">
        <f ca="1">VLOOKUP($B6,'[4]Analisys QBR By Machine Report'!$C$109:$BD$166,25,FALSE)</f>
        <v>0</v>
      </c>
      <c r="AE6" s="10">
        <f ca="1">VLOOKUP($B6,'[4]Analisys QBR By Machine Report'!$C$109:$BD$166,26,FALSE)</f>
        <v>105</v>
      </c>
      <c r="AF6" s="10">
        <f ca="1">VLOOKUP($B6,'[4]Analisys QBR By Machine Report'!$C$109:$BD$166,27,FALSE)</f>
        <v>0</v>
      </c>
      <c r="AG6" s="10">
        <f ca="1">VLOOKUP($B6,'[4]Analisys QBR By Machine Report'!$C$109:$BD$166,28,FALSE)</f>
        <v>0</v>
      </c>
      <c r="AH6" s="10">
        <f ca="1">VLOOKUP($B6,'[4]Analisys QBR By Machine Report'!$C$109:$BD$166,29,FALSE)</f>
        <v>0</v>
      </c>
      <c r="AI6" s="10">
        <f ca="1">VLOOKUP($B6,'[4]Analisys QBR By Machine Report'!$C$109:$BD$166,30,FALSE)</f>
        <v>1345</v>
      </c>
      <c r="AJ6" s="10">
        <f ca="1">VLOOKUP($B6,'[4]Analisys QBR By Machine Report'!$C$109:$BD$166,31,FALSE)</f>
        <v>0</v>
      </c>
      <c r="AK6" s="10">
        <f ca="1">VLOOKUP($B6,'[4]Analisys QBR By Machine Report'!$C$109:$BD$166,32,FALSE)</f>
        <v>0</v>
      </c>
      <c r="AL6" s="10">
        <f ca="1">VLOOKUP($B6,'[4]Analisys QBR By Machine Report'!$C$109:$BD$166,33,FALSE)</f>
        <v>240</v>
      </c>
      <c r="AM6" s="10">
        <f ca="1">VLOOKUP($B6,'[4]Analisys QBR By Machine Report'!$C$109:$BD$166,34,FALSE)</f>
        <v>0</v>
      </c>
      <c r="AN6" s="10">
        <f ca="1">VLOOKUP($B6,'[4]Analisys QBR By Machine Report'!$C$109:$BD$166,35,FALSE)</f>
        <v>185</v>
      </c>
      <c r="AO6" s="10">
        <f ca="1">VLOOKUP($B6,'[4]Analisys QBR By Machine Report'!$C$109:$BD$166,36,FALSE)</f>
        <v>310</v>
      </c>
      <c r="AP6" s="10">
        <f ca="1">VLOOKUP($B6,'[4]Analisys QBR By Machine Report'!$C$109:$BD$166,37,FALSE)</f>
        <v>0</v>
      </c>
      <c r="AQ6" s="10">
        <f ca="1">VLOOKUP($B6,'[4]Analisys QBR By Machine Report'!$C$109:$BD$166,38,FALSE)</f>
        <v>0</v>
      </c>
      <c r="AR6" s="10">
        <f ca="1">VLOOKUP($B6,'[4]Analisys QBR By Machine Report'!$C$109:$BD$166,39,FALSE)</f>
        <v>170</v>
      </c>
      <c r="AS6" s="10">
        <f ca="1">VLOOKUP($B6,'[4]Analisys QBR By Machine Report'!$C$109:$BD$166,40,FALSE)</f>
        <v>80</v>
      </c>
      <c r="AT6" s="10">
        <f ca="1">VLOOKUP($B6,'[4]Analisys QBR By Machine Report'!$C$109:$BD$166,41,FALSE)</f>
        <v>0</v>
      </c>
      <c r="AU6" s="10">
        <f ca="1">VLOOKUP($B6,'[4]Analisys QBR By Machine Report'!$C$109:$BD$166,42,FALSE)</f>
        <v>0</v>
      </c>
      <c r="AV6" s="10">
        <f ca="1">VLOOKUP($B6,'[4]Analisys QBR By Machine Report'!$C$109:$BD$166,43,FALSE)</f>
        <v>0</v>
      </c>
      <c r="AW6" s="10">
        <f ca="1">VLOOKUP($B6,'[4]Analisys QBR By Machine Report'!$C$109:$BD$166,44,FALSE)</f>
        <v>0</v>
      </c>
      <c r="AX6" s="10">
        <f ca="1">VLOOKUP($B6,'[4]Analisys QBR By Machine Report'!$C$109:$BD$166,45,FALSE)</f>
        <v>0</v>
      </c>
      <c r="AY6" s="10">
        <f ca="1">VLOOKUP($B6,'[4]Analisys QBR By Machine Report'!$C$109:$BD$166,46,FALSE)</f>
        <v>0</v>
      </c>
      <c r="AZ6" s="10">
        <f ca="1">VLOOKUP($B6,'[4]Analisys QBR By Machine Report'!$C$109:$BD$166,47,FALSE)</f>
        <v>210</v>
      </c>
      <c r="BA6" s="10">
        <f ca="1">VLOOKUP($B6,'[4]Analisys QBR By Machine Report'!$C$109:$BD$166,48,FALSE)</f>
        <v>150</v>
      </c>
      <c r="BB6" s="10">
        <f ca="1">VLOOKUP($B6,'[4]Analisys QBR By Machine Report'!$C$109:$BD$166,49,FALSE)</f>
        <v>0</v>
      </c>
      <c r="BC6" s="10">
        <f ca="1">VLOOKUP($B6,'[4]Analisys QBR By Machine Report'!$C$109:$BD$166,50,FALSE)</f>
        <v>0</v>
      </c>
      <c r="BD6" s="10">
        <f ca="1">VLOOKUP($B6,'[4]Analisys QBR By Machine Report'!$C$109:$BD$166,51,FALSE)</f>
        <v>570050</v>
      </c>
      <c r="BE6" s="10">
        <f ca="1">VLOOKUP($B6,'[4]Analisys QBR By Machine Report'!$C$109:$BD$166,52,FALSE)</f>
        <v>0</v>
      </c>
      <c r="BF6" s="10">
        <f ca="1">VLOOKUP($B6,'[4]Analisys QBR By Machine Report'!$C$109:$BD$166,53,FALSE)</f>
        <v>570050</v>
      </c>
    </row>
    <row r="7" spans="1:58" x14ac:dyDescent="0.25">
      <c r="A7" s="12" t="s">
        <v>63</v>
      </c>
      <c r="B7" s="13">
        <f ca="1">VLOOKUP($B7,'[4]Analisys QBR By Machine Report'!$C$109:$BD$166,2,FALSE)</f>
        <v>24480</v>
      </c>
      <c r="C7" s="14">
        <f ca="1">VLOOKUP($B7,[4]Dasboard_QBR_Report!$B$109:$BL$166,3,FALSE)</f>
        <v>8160</v>
      </c>
      <c r="D7" s="13">
        <f ca="1">VLOOKUP($B7,'[4]Analisys QBR By Machine Report'!$C$109:$BD$166,3,FALSE)</f>
        <v>19890</v>
      </c>
      <c r="E7" s="14">
        <f ca="1">VLOOKUP($B7,[4]Dasboard_QBR_Report!$B$109:$BL$166,5,FALSE)</f>
        <v>3570</v>
      </c>
      <c r="F7" s="13">
        <f t="shared" ca="1" si="0"/>
        <v>4590</v>
      </c>
      <c r="G7" s="13">
        <f t="shared" ca="1" si="1"/>
        <v>694</v>
      </c>
      <c r="H7" s="13">
        <f ca="1">VLOOKUP($B7,'[4]Analisys QBR By Machine Report'!$C$109:$BD$166,4,FALSE)</f>
        <v>694</v>
      </c>
      <c r="I7" s="13">
        <f ca="1">VLOOKUP($B7,'[4]Analisys QBR By Machine Report'!$C$109:$BD$166,5,FALSE)</f>
        <v>64</v>
      </c>
      <c r="J7" s="13">
        <f ca="1">VLOOKUP($B7,'[4]Analisys QBR By Machine Report'!$C$109:$BD$166,6,FALSE)</f>
        <v>630</v>
      </c>
      <c r="K7" s="13">
        <f ca="1">VLOOKUP($B7,'[4]Analisys QBR By Machine Report'!$C$109:$BD$166,7,FALSE)</f>
        <v>0</v>
      </c>
      <c r="L7" s="13">
        <f ca="1">VLOOKUP($B7,'[4]Analisys QBR By Machine Report'!$C$109:$BD$166,8,FALSE)</f>
        <v>3896</v>
      </c>
      <c r="M7" s="13">
        <f ca="1">VLOOKUP($B7,'[4]Analisys QBR By Machine Report'!$C$109:$BD$166,9,FALSE)</f>
        <v>1160</v>
      </c>
      <c r="N7" s="13">
        <f ca="1">VLOOKUP($B7,[4]Dasboard_QBR_Report!$B$109:$BL$166,18,FALSE)</f>
        <v>2736</v>
      </c>
      <c r="O7" s="13">
        <f ca="1">VLOOKUP($B7,'[4]Analisys QBR By Machine Report'!$C$109:$BD$166,10,FALSE)</f>
        <v>510</v>
      </c>
      <c r="P7" s="13">
        <f ca="1">VLOOKUP($B7,'[4]Analisys QBR By Machine Report'!$C$109:$BD$166,11,FALSE)</f>
        <v>510</v>
      </c>
      <c r="Q7" s="13">
        <f ca="1">VLOOKUP($B7,'[4]Analisys QBR By Machine Report'!$C$109:$BD$166,12,FALSE)</f>
        <v>0</v>
      </c>
      <c r="R7" s="13">
        <f ca="1">VLOOKUP($B7,'[4]Analisys QBR By Machine Report'!$C$109:$BD$166,13,FALSE)</f>
        <v>0</v>
      </c>
      <c r="S7" s="13">
        <f ca="1">VLOOKUP($B7,'[4]Analisys QBR By Machine Report'!$C$109:$BD$166,14,FALSE)</f>
        <v>0</v>
      </c>
      <c r="T7" s="13">
        <f ca="1">VLOOKUP($B7,'[4]Analisys QBR By Machine Report'!$C$109:$BD$166,15,FALSE)</f>
        <v>0</v>
      </c>
      <c r="U7" s="13">
        <f ca="1">VLOOKUP($B7,'[4]Analisys QBR By Machine Report'!$C$109:$BD$166,16,FALSE)</f>
        <v>0</v>
      </c>
      <c r="V7" s="13">
        <f ca="1">VLOOKUP($B7,'[4]Analisys QBR By Machine Report'!$C$109:$BD$166,17,FALSE)</f>
        <v>0</v>
      </c>
      <c r="W7" s="13">
        <f ca="1">VLOOKUP($B7,'[4]Analisys QBR By Machine Report'!$C$109:$BD$166,18,FALSE)</f>
        <v>0</v>
      </c>
      <c r="X7" s="13">
        <f ca="1">VLOOKUP($B7,'[4]Analisys QBR By Machine Report'!$C$109:$BD$166,19,FALSE)</f>
        <v>0</v>
      </c>
      <c r="Y7" s="13">
        <f ca="1">VLOOKUP($B7,'[4]Analisys QBR By Machine Report'!$C$109:$BD$166,20,FALSE)</f>
        <v>0</v>
      </c>
      <c r="Z7" s="13">
        <f ca="1">VLOOKUP($B7,'[4]Analisys QBR By Machine Report'!$C$109:$BD$166,21,FALSE)</f>
        <v>1381</v>
      </c>
      <c r="AA7" s="13">
        <f ca="1">VLOOKUP($B7,'[4]Analisys QBR By Machine Report'!$C$109:$BD$166,22,FALSE)</f>
        <v>826</v>
      </c>
      <c r="AB7" s="13">
        <f ca="1">VLOOKUP($B7,'[4]Analisys QBR By Machine Report'!$C$109:$BD$166,23,FALSE)</f>
        <v>400</v>
      </c>
      <c r="AC7" s="13">
        <f ca="1">VLOOKUP($B7,'[4]Analisys QBR By Machine Report'!$C$109:$BD$166,24,FALSE)</f>
        <v>90</v>
      </c>
      <c r="AD7" s="13">
        <f ca="1">VLOOKUP($B7,'[4]Analisys QBR By Machine Report'!$C$109:$BD$166,25,FALSE)</f>
        <v>0</v>
      </c>
      <c r="AE7" s="13">
        <f ca="1">VLOOKUP($B7,'[4]Analisys QBR By Machine Report'!$C$109:$BD$166,26,FALSE)</f>
        <v>65</v>
      </c>
      <c r="AF7" s="13">
        <f ca="1">VLOOKUP($B7,'[4]Analisys QBR By Machine Report'!$C$109:$BD$166,27,FALSE)</f>
        <v>0</v>
      </c>
      <c r="AG7" s="13">
        <f ca="1">VLOOKUP($B7,'[4]Analisys QBR By Machine Report'!$C$109:$BD$166,28,FALSE)</f>
        <v>0</v>
      </c>
      <c r="AH7" s="13">
        <f ca="1">VLOOKUP($B7,'[4]Analisys QBR By Machine Report'!$C$109:$BD$166,29,FALSE)</f>
        <v>0</v>
      </c>
      <c r="AI7" s="13">
        <f ca="1">VLOOKUP($B7,'[4]Analisys QBR By Machine Report'!$C$109:$BD$166,30,FALSE)</f>
        <v>845</v>
      </c>
      <c r="AJ7" s="13">
        <f ca="1">VLOOKUP($B7,'[4]Analisys QBR By Machine Report'!$C$109:$BD$166,31,FALSE)</f>
        <v>0</v>
      </c>
      <c r="AK7" s="13">
        <f ca="1">VLOOKUP($B7,'[4]Analisys QBR By Machine Report'!$C$109:$BD$166,32,FALSE)</f>
        <v>0</v>
      </c>
      <c r="AL7" s="13">
        <f ca="1">VLOOKUP($B7,'[4]Analisys QBR By Machine Report'!$C$109:$BD$166,33,FALSE)</f>
        <v>210</v>
      </c>
      <c r="AM7" s="13">
        <f ca="1">VLOOKUP($B7,'[4]Analisys QBR By Machine Report'!$C$109:$BD$166,34,FALSE)</f>
        <v>0</v>
      </c>
      <c r="AN7" s="13">
        <f ca="1">VLOOKUP($B7,'[4]Analisys QBR By Machine Report'!$C$109:$BD$166,35,FALSE)</f>
        <v>170</v>
      </c>
      <c r="AO7" s="13">
        <f ca="1">VLOOKUP($B7,'[4]Analisys QBR By Machine Report'!$C$109:$BD$166,36,FALSE)</f>
        <v>25</v>
      </c>
      <c r="AP7" s="13">
        <f ca="1">VLOOKUP($B7,'[4]Analisys QBR By Machine Report'!$C$109:$BD$166,37,FALSE)</f>
        <v>0</v>
      </c>
      <c r="AQ7" s="13">
        <f ca="1">VLOOKUP($B7,'[4]Analisys QBR By Machine Report'!$C$109:$BD$166,38,FALSE)</f>
        <v>0</v>
      </c>
      <c r="AR7" s="13">
        <f ca="1">VLOOKUP($B7,'[4]Analisys QBR By Machine Report'!$C$109:$BD$166,39,FALSE)</f>
        <v>0</v>
      </c>
      <c r="AS7" s="13">
        <f ca="1">VLOOKUP($B7,'[4]Analisys QBR By Machine Report'!$C$109:$BD$166,40,FALSE)</f>
        <v>80</v>
      </c>
      <c r="AT7" s="13">
        <f ca="1">VLOOKUP($B7,'[4]Analisys QBR By Machine Report'!$C$109:$BD$166,41,FALSE)</f>
        <v>0</v>
      </c>
      <c r="AU7" s="13">
        <f ca="1">VLOOKUP($B7,'[4]Analisys QBR By Machine Report'!$C$109:$BD$166,42,FALSE)</f>
        <v>0</v>
      </c>
      <c r="AV7" s="13">
        <f ca="1">VLOOKUP($B7,'[4]Analisys QBR By Machine Report'!$C$109:$BD$166,43,FALSE)</f>
        <v>0</v>
      </c>
      <c r="AW7" s="13">
        <f ca="1">VLOOKUP($B7,'[4]Analisys QBR By Machine Report'!$C$109:$BD$166,44,FALSE)</f>
        <v>0</v>
      </c>
      <c r="AX7" s="13">
        <f ca="1">VLOOKUP($B7,'[4]Analisys QBR By Machine Report'!$C$109:$BD$166,45,FALSE)</f>
        <v>0</v>
      </c>
      <c r="AY7" s="13">
        <f ca="1">VLOOKUP($B7,'[4]Analisys QBR By Machine Report'!$C$109:$BD$166,46,FALSE)</f>
        <v>0</v>
      </c>
      <c r="AZ7" s="13">
        <f ca="1">VLOOKUP($B7,'[4]Analisys QBR By Machine Report'!$C$109:$BD$166,47,FALSE)</f>
        <v>210</v>
      </c>
      <c r="BA7" s="13">
        <f ca="1">VLOOKUP($B7,'[4]Analisys QBR By Machine Report'!$C$109:$BD$166,48,FALSE)</f>
        <v>150</v>
      </c>
      <c r="BB7" s="13">
        <f ca="1">VLOOKUP($B7,'[4]Analisys QBR By Machine Report'!$C$109:$BD$166,49,FALSE)</f>
        <v>0</v>
      </c>
      <c r="BC7" s="13">
        <f ca="1">VLOOKUP($B7,'[4]Analisys QBR By Machine Report'!$C$109:$BD$166,50,FALSE)</f>
        <v>0</v>
      </c>
      <c r="BD7" s="13">
        <f ca="1">VLOOKUP($B7,'[4]Analisys QBR By Machine Report'!$C$109:$BD$166,51,FALSE)</f>
        <v>284946</v>
      </c>
      <c r="BE7" s="13">
        <f ca="1">VLOOKUP($B7,'[4]Analisys QBR By Machine Report'!$C$109:$BD$166,52,FALSE)</f>
        <v>0</v>
      </c>
      <c r="BF7" s="13">
        <f ca="1">VLOOKUP($B7,'[4]Analisys QBR By Machine Report'!$C$109:$BD$166,53,FALSE)</f>
        <v>284946</v>
      </c>
    </row>
    <row r="8" spans="1:58" x14ac:dyDescent="0.25">
      <c r="A8" s="12" t="s">
        <v>64</v>
      </c>
      <c r="B8" s="13">
        <f ca="1">VLOOKUP($B8,'[4]Analisys QBR By Machine Report'!$C$109:$BD$166,2,FALSE)</f>
        <v>24480</v>
      </c>
      <c r="C8" s="14">
        <f ca="1">VLOOKUP($B8,[4]Dasboard_QBR_Report!$B$109:$BL$166,3,FALSE)</f>
        <v>8160</v>
      </c>
      <c r="D8" s="13">
        <f ca="1">VLOOKUP($B8,'[4]Analisys QBR By Machine Report'!$C$109:$BD$166,3,FALSE)</f>
        <v>22950</v>
      </c>
      <c r="E8" s="14">
        <f ca="1">VLOOKUP($B8,[4]Dasboard_QBR_Report!$B$109:$BL$166,5,FALSE)</f>
        <v>6630</v>
      </c>
      <c r="F8" s="13">
        <f t="shared" ca="1" si="0"/>
        <v>1530</v>
      </c>
      <c r="G8" s="13">
        <f t="shared" ca="1" si="1"/>
        <v>315</v>
      </c>
      <c r="H8" s="13">
        <f ca="1">VLOOKUP($B8,'[4]Analisys QBR By Machine Report'!$C$109:$BD$166,4,FALSE)</f>
        <v>315</v>
      </c>
      <c r="I8" s="13">
        <f ca="1">VLOOKUP($B8,'[4]Analisys QBR By Machine Report'!$C$109:$BD$166,5,FALSE)</f>
        <v>0</v>
      </c>
      <c r="J8" s="13">
        <f ca="1">VLOOKUP($B8,'[4]Analisys QBR By Machine Report'!$C$109:$BD$166,6,FALSE)</f>
        <v>315</v>
      </c>
      <c r="K8" s="13">
        <f ca="1">VLOOKUP($B8,'[4]Analisys QBR By Machine Report'!$C$109:$BD$166,7,FALSE)</f>
        <v>0</v>
      </c>
      <c r="L8" s="13">
        <f ca="1">VLOOKUP($B8,'[4]Analisys QBR By Machine Report'!$C$109:$BD$166,8,FALSE)</f>
        <v>1215</v>
      </c>
      <c r="M8" s="13">
        <f ca="1">VLOOKUP($B8,'[4]Analisys QBR By Machine Report'!$C$109:$BD$166,9,FALSE)</f>
        <v>345</v>
      </c>
      <c r="N8" s="13">
        <f ca="1">VLOOKUP($B8,[4]Dasboard_QBR_Report!$B$109:$BL$166,18,FALSE)</f>
        <v>870</v>
      </c>
      <c r="O8" s="13">
        <f ca="1">VLOOKUP($B8,'[4]Analisys QBR By Machine Report'!$C$109:$BD$166,10,FALSE)</f>
        <v>135</v>
      </c>
      <c r="P8" s="13">
        <f ca="1">VLOOKUP($B8,'[4]Analisys QBR By Machine Report'!$C$109:$BD$166,11,FALSE)</f>
        <v>135</v>
      </c>
      <c r="Q8" s="13">
        <f ca="1">VLOOKUP($B8,'[4]Analisys QBR By Machine Report'!$C$109:$BD$166,12,FALSE)</f>
        <v>0</v>
      </c>
      <c r="R8" s="13">
        <f ca="1">VLOOKUP($B8,'[4]Analisys QBR By Machine Report'!$C$109:$BD$166,13,FALSE)</f>
        <v>0</v>
      </c>
      <c r="S8" s="13">
        <f ca="1">VLOOKUP($B8,'[4]Analisys QBR By Machine Report'!$C$109:$BD$166,14,FALSE)</f>
        <v>0</v>
      </c>
      <c r="T8" s="13">
        <f ca="1">VLOOKUP($B8,'[4]Analisys QBR By Machine Report'!$C$109:$BD$166,15,FALSE)</f>
        <v>0</v>
      </c>
      <c r="U8" s="13">
        <f ca="1">VLOOKUP($B8,'[4]Analisys QBR By Machine Report'!$C$109:$BD$166,16,FALSE)</f>
        <v>0</v>
      </c>
      <c r="V8" s="13">
        <f ca="1">VLOOKUP($B8,'[4]Analisys QBR By Machine Report'!$C$109:$BD$166,17,FALSE)</f>
        <v>0</v>
      </c>
      <c r="W8" s="13">
        <f ca="1">VLOOKUP($B8,'[4]Analisys QBR By Machine Report'!$C$109:$BD$166,18,FALSE)</f>
        <v>0</v>
      </c>
      <c r="X8" s="13">
        <f ca="1">VLOOKUP($B8,'[4]Analisys QBR By Machine Report'!$C$109:$BD$166,19,FALSE)</f>
        <v>0</v>
      </c>
      <c r="Y8" s="13">
        <f ca="1">VLOOKUP($B8,'[4]Analisys QBR By Machine Report'!$C$109:$BD$166,20,FALSE)</f>
        <v>0</v>
      </c>
      <c r="Z8" s="13">
        <f ca="1">VLOOKUP($B8,'[4]Analisys QBR By Machine Report'!$C$109:$BD$166,21,FALSE)</f>
        <v>235</v>
      </c>
      <c r="AA8" s="13">
        <f ca="1">VLOOKUP($B8,'[4]Analisys QBR By Machine Report'!$C$109:$BD$166,22,FALSE)</f>
        <v>40</v>
      </c>
      <c r="AB8" s="13">
        <f ca="1">VLOOKUP($B8,'[4]Analisys QBR By Machine Report'!$C$109:$BD$166,23,FALSE)</f>
        <v>155</v>
      </c>
      <c r="AC8" s="13">
        <f ca="1">VLOOKUP($B8,'[4]Analisys QBR By Machine Report'!$C$109:$BD$166,24,FALSE)</f>
        <v>0</v>
      </c>
      <c r="AD8" s="13">
        <f ca="1">VLOOKUP($B8,'[4]Analisys QBR By Machine Report'!$C$109:$BD$166,25,FALSE)</f>
        <v>0</v>
      </c>
      <c r="AE8" s="13">
        <f ca="1">VLOOKUP($B8,'[4]Analisys QBR By Machine Report'!$C$109:$BD$166,26,FALSE)</f>
        <v>40</v>
      </c>
      <c r="AF8" s="13">
        <f ca="1">VLOOKUP($B8,'[4]Analisys QBR By Machine Report'!$C$109:$BD$166,27,FALSE)</f>
        <v>0</v>
      </c>
      <c r="AG8" s="13">
        <f ca="1">VLOOKUP($B8,'[4]Analisys QBR By Machine Report'!$C$109:$BD$166,28,FALSE)</f>
        <v>0</v>
      </c>
      <c r="AH8" s="13">
        <f ca="1">VLOOKUP($B8,'[4]Analisys QBR By Machine Report'!$C$109:$BD$166,29,FALSE)</f>
        <v>0</v>
      </c>
      <c r="AI8" s="13">
        <f ca="1">VLOOKUP($B8,'[4]Analisys QBR By Machine Report'!$C$109:$BD$166,30,FALSE)</f>
        <v>500</v>
      </c>
      <c r="AJ8" s="13">
        <f ca="1">VLOOKUP($B8,'[4]Analisys QBR By Machine Report'!$C$109:$BD$166,31,FALSE)</f>
        <v>0</v>
      </c>
      <c r="AK8" s="13">
        <f ca="1">VLOOKUP($B8,'[4]Analisys QBR By Machine Report'!$C$109:$BD$166,32,FALSE)</f>
        <v>0</v>
      </c>
      <c r="AL8" s="13">
        <f ca="1">VLOOKUP($B8,'[4]Analisys QBR By Machine Report'!$C$109:$BD$166,33,FALSE)</f>
        <v>30</v>
      </c>
      <c r="AM8" s="13">
        <f ca="1">VLOOKUP($B8,'[4]Analisys QBR By Machine Report'!$C$109:$BD$166,34,FALSE)</f>
        <v>0</v>
      </c>
      <c r="AN8" s="13">
        <f ca="1">VLOOKUP($B8,'[4]Analisys QBR By Machine Report'!$C$109:$BD$166,35,FALSE)</f>
        <v>15</v>
      </c>
      <c r="AO8" s="13">
        <f ca="1">VLOOKUP($B8,'[4]Analisys QBR By Machine Report'!$C$109:$BD$166,36,FALSE)</f>
        <v>285</v>
      </c>
      <c r="AP8" s="13">
        <f ca="1">VLOOKUP($B8,'[4]Analisys QBR By Machine Report'!$C$109:$BD$166,37,FALSE)</f>
        <v>0</v>
      </c>
      <c r="AQ8" s="13">
        <f ca="1">VLOOKUP($B8,'[4]Analisys QBR By Machine Report'!$C$109:$BD$166,38,FALSE)</f>
        <v>0</v>
      </c>
      <c r="AR8" s="13">
        <f ca="1">VLOOKUP($B8,'[4]Analisys QBR By Machine Report'!$C$109:$BD$166,39,FALSE)</f>
        <v>170</v>
      </c>
      <c r="AS8" s="13">
        <f ca="1">VLOOKUP($B8,'[4]Analisys QBR By Machine Report'!$C$109:$BD$166,40,FALSE)</f>
        <v>0</v>
      </c>
      <c r="AT8" s="13">
        <f ca="1">VLOOKUP($B8,'[4]Analisys QBR By Machine Report'!$C$109:$BD$166,41,FALSE)</f>
        <v>0</v>
      </c>
      <c r="AU8" s="13">
        <f ca="1">VLOOKUP($B8,'[4]Analisys QBR By Machine Report'!$C$109:$BD$166,42,FALSE)</f>
        <v>0</v>
      </c>
      <c r="AV8" s="13">
        <f ca="1">VLOOKUP($B8,'[4]Analisys QBR By Machine Report'!$C$109:$BD$166,43,FALSE)</f>
        <v>0</v>
      </c>
      <c r="AW8" s="13">
        <f ca="1">VLOOKUP($B8,'[4]Analisys QBR By Machine Report'!$C$109:$BD$166,44,FALSE)</f>
        <v>0</v>
      </c>
      <c r="AX8" s="13">
        <f ca="1">VLOOKUP($B8,'[4]Analisys QBR By Machine Report'!$C$109:$BD$166,45,FALSE)</f>
        <v>0</v>
      </c>
      <c r="AY8" s="13">
        <f ca="1">VLOOKUP($B8,'[4]Analisys QBR By Machine Report'!$C$109:$BD$166,46,FALSE)</f>
        <v>0</v>
      </c>
      <c r="AZ8" s="13">
        <f ca="1">VLOOKUP($B8,'[4]Analisys QBR By Machine Report'!$C$109:$BD$166,47,FALSE)</f>
        <v>0</v>
      </c>
      <c r="BA8" s="13">
        <f ca="1">VLOOKUP($B8,'[4]Analisys QBR By Machine Report'!$C$109:$BD$166,48,FALSE)</f>
        <v>0</v>
      </c>
      <c r="BB8" s="13">
        <f ca="1">VLOOKUP($B8,'[4]Analisys QBR By Machine Report'!$C$109:$BD$166,49,FALSE)</f>
        <v>0</v>
      </c>
      <c r="BC8" s="13">
        <f ca="1">VLOOKUP($B8,'[4]Analisys QBR By Machine Report'!$C$109:$BD$166,50,FALSE)</f>
        <v>0</v>
      </c>
      <c r="BD8" s="13">
        <f ca="1">VLOOKUP($B8,'[4]Analisys QBR By Machine Report'!$C$109:$BD$166,51,FALSE)</f>
        <v>285104</v>
      </c>
      <c r="BE8" s="13">
        <f ca="1">VLOOKUP($B8,'[4]Analisys QBR By Machine Report'!$C$109:$BD$166,52,FALSE)</f>
        <v>0</v>
      </c>
      <c r="BF8" s="13">
        <f ca="1">VLOOKUP($B8,'[4]Analisys QBR By Machine Report'!$C$109:$BD$166,53,FALSE)</f>
        <v>285104</v>
      </c>
    </row>
    <row r="9" spans="1:58" x14ac:dyDescent="0.25">
      <c r="A9" s="9" t="s">
        <v>65</v>
      </c>
      <c r="B9" s="10">
        <f ca="1">VLOOKUP($B9,'[4]Analisys QBR By Machine Report'!$C$109:$BD$166,2,FALSE)</f>
        <v>73440</v>
      </c>
      <c r="C9" s="11">
        <f ca="1">VLOOKUP($B9,[4]Dasboard_QBR_Report!$B$109:$BL$166,3,FALSE)</f>
        <v>39780</v>
      </c>
      <c r="D9" s="10">
        <f ca="1">VLOOKUP($B9,'[4]Analisys QBR By Machine Report'!$C$109:$BD$166,3,FALSE)</f>
        <v>43260</v>
      </c>
      <c r="E9" s="11">
        <f ca="1">VLOOKUP($B9,[4]Dasboard_QBR_Report!$B$109:$BL$166,5,FALSE)</f>
        <v>9600</v>
      </c>
      <c r="F9" s="10">
        <f t="shared" ca="1" si="0"/>
        <v>30180</v>
      </c>
      <c r="G9" s="10">
        <f t="shared" ca="1" si="1"/>
        <v>2110</v>
      </c>
      <c r="H9" s="10">
        <f ca="1">VLOOKUP($B9,'[4]Analisys QBR By Machine Report'!$C$109:$BD$166,4,FALSE)</f>
        <v>2110</v>
      </c>
      <c r="I9" s="10">
        <f ca="1">VLOOKUP($B9,'[4]Analisys QBR By Machine Report'!$C$109:$BD$166,5,FALSE)</f>
        <v>70</v>
      </c>
      <c r="J9" s="10">
        <f ca="1">VLOOKUP($B9,'[4]Analisys QBR By Machine Report'!$C$109:$BD$166,6,FALSE)</f>
        <v>2040</v>
      </c>
      <c r="K9" s="10">
        <f ca="1">VLOOKUP($B9,'[4]Analisys QBR By Machine Report'!$C$109:$BD$166,7,FALSE)</f>
        <v>0</v>
      </c>
      <c r="L9" s="10">
        <f ca="1">VLOOKUP($B9,'[4]Analisys QBR By Machine Report'!$C$109:$BD$166,8,FALSE)</f>
        <v>28070</v>
      </c>
      <c r="M9" s="10">
        <f ca="1">VLOOKUP($B9,'[4]Analisys QBR By Machine Report'!$C$109:$BD$166,9,FALSE)</f>
        <v>9035</v>
      </c>
      <c r="N9" s="10">
        <f ca="1">VLOOKUP($B9,[4]Dasboard_QBR_Report!$B$109:$BL$166,18,FALSE)</f>
        <v>19035</v>
      </c>
      <c r="O9" s="10">
        <f ca="1">VLOOKUP($B9,'[4]Analisys QBR By Machine Report'!$C$109:$BD$166,10,FALSE)</f>
        <v>2910</v>
      </c>
      <c r="P9" s="10">
        <f ca="1">VLOOKUP($B9,'[4]Analisys QBR By Machine Report'!$C$109:$BD$166,11,FALSE)</f>
        <v>2540</v>
      </c>
      <c r="Q9" s="10">
        <f ca="1">VLOOKUP($B9,'[4]Analisys QBR By Machine Report'!$C$109:$BD$166,12,FALSE)</f>
        <v>0</v>
      </c>
      <c r="R9" s="10">
        <f ca="1">VLOOKUP($B9,'[4]Analisys QBR By Machine Report'!$C$109:$BD$166,13,FALSE)</f>
        <v>0</v>
      </c>
      <c r="S9" s="10">
        <f ca="1">VLOOKUP($B9,'[4]Analisys QBR By Machine Report'!$C$109:$BD$166,14,FALSE)</f>
        <v>370</v>
      </c>
      <c r="T9" s="10">
        <f ca="1">VLOOKUP($B9,'[4]Analisys QBR By Machine Report'!$C$109:$BD$166,15,FALSE)</f>
        <v>0</v>
      </c>
      <c r="U9" s="10">
        <f ca="1">VLOOKUP($B9,'[4]Analisys QBR By Machine Report'!$C$109:$BD$166,16,FALSE)</f>
        <v>0</v>
      </c>
      <c r="V9" s="10">
        <f ca="1">VLOOKUP($B9,'[4]Analisys QBR By Machine Report'!$C$109:$BD$166,17,FALSE)</f>
        <v>0</v>
      </c>
      <c r="W9" s="10">
        <f ca="1">VLOOKUP($B9,'[4]Analisys QBR By Machine Report'!$C$109:$BD$166,18,FALSE)</f>
        <v>0</v>
      </c>
      <c r="X9" s="10">
        <f ca="1">VLOOKUP($B9,'[4]Analisys QBR By Machine Report'!$C$109:$BD$166,19,FALSE)</f>
        <v>0</v>
      </c>
      <c r="Y9" s="10">
        <f ca="1">VLOOKUP($B9,'[4]Analisys QBR By Machine Report'!$C$109:$BD$166,20,FALSE)</f>
        <v>0</v>
      </c>
      <c r="Z9" s="10">
        <f ca="1">VLOOKUP($B9,'[4]Analisys QBR By Machine Report'!$C$109:$BD$166,21,FALSE)</f>
        <v>4595</v>
      </c>
      <c r="AA9" s="10">
        <f ca="1">VLOOKUP($B9,'[4]Analisys QBR By Machine Report'!$C$109:$BD$166,22,FALSE)</f>
        <v>930</v>
      </c>
      <c r="AB9" s="10">
        <f ca="1">VLOOKUP($B9,'[4]Analisys QBR By Machine Report'!$C$109:$BD$166,23,FALSE)</f>
        <v>2725</v>
      </c>
      <c r="AC9" s="10">
        <f ca="1">VLOOKUP($B9,'[4]Analisys QBR By Machine Report'!$C$109:$BD$166,24,FALSE)</f>
        <v>135</v>
      </c>
      <c r="AD9" s="10">
        <f ca="1">VLOOKUP($B9,'[4]Analisys QBR By Machine Report'!$C$109:$BD$166,25,FALSE)</f>
        <v>0</v>
      </c>
      <c r="AE9" s="10">
        <f ca="1">VLOOKUP($B9,'[4]Analisys QBR By Machine Report'!$C$109:$BD$166,26,FALSE)</f>
        <v>805</v>
      </c>
      <c r="AF9" s="10">
        <f ca="1">VLOOKUP($B9,'[4]Analisys QBR By Machine Report'!$C$109:$BD$166,27,FALSE)</f>
        <v>925</v>
      </c>
      <c r="AG9" s="10">
        <f ca="1">VLOOKUP($B9,'[4]Analisys QBR By Machine Report'!$C$109:$BD$166,28,FALSE)</f>
        <v>15</v>
      </c>
      <c r="AH9" s="10">
        <f ca="1">VLOOKUP($B9,'[4]Analisys QBR By Machine Report'!$C$109:$BD$166,29,FALSE)</f>
        <v>910</v>
      </c>
      <c r="AI9" s="10">
        <f ca="1">VLOOKUP($B9,'[4]Analisys QBR By Machine Report'!$C$109:$BD$166,30,FALSE)</f>
        <v>10605</v>
      </c>
      <c r="AJ9" s="10">
        <f ca="1">VLOOKUP($B9,'[4]Analisys QBR By Machine Report'!$C$109:$BD$166,31,FALSE)</f>
        <v>0</v>
      </c>
      <c r="AK9" s="10">
        <f ca="1">VLOOKUP($B9,'[4]Analisys QBR By Machine Report'!$C$109:$BD$166,32,FALSE)</f>
        <v>0</v>
      </c>
      <c r="AL9" s="10">
        <f ca="1">VLOOKUP($B9,'[4]Analisys QBR By Machine Report'!$C$109:$BD$166,33,FALSE)</f>
        <v>1610</v>
      </c>
      <c r="AM9" s="10">
        <f ca="1">VLOOKUP($B9,'[4]Analisys QBR By Machine Report'!$C$109:$BD$166,34,FALSE)</f>
        <v>0</v>
      </c>
      <c r="AN9" s="10">
        <f ca="1">VLOOKUP($B9,'[4]Analisys QBR By Machine Report'!$C$109:$BD$166,35,FALSE)</f>
        <v>1385</v>
      </c>
      <c r="AO9" s="10">
        <f ca="1">VLOOKUP($B9,'[4]Analisys QBR By Machine Report'!$C$109:$BD$166,36,FALSE)</f>
        <v>2240</v>
      </c>
      <c r="AP9" s="10">
        <f ca="1">VLOOKUP($B9,'[4]Analisys QBR By Machine Report'!$C$109:$BD$166,37,FALSE)</f>
        <v>0</v>
      </c>
      <c r="AQ9" s="10">
        <f ca="1">VLOOKUP($B9,'[4]Analisys QBR By Machine Report'!$C$109:$BD$166,38,FALSE)</f>
        <v>0</v>
      </c>
      <c r="AR9" s="10">
        <f ca="1">VLOOKUP($B9,'[4]Analisys QBR By Machine Report'!$C$109:$BD$166,39,FALSE)</f>
        <v>875</v>
      </c>
      <c r="AS9" s="10">
        <f ca="1">VLOOKUP($B9,'[4]Analisys QBR By Machine Report'!$C$109:$BD$166,40,FALSE)</f>
        <v>825</v>
      </c>
      <c r="AT9" s="10">
        <f ca="1">VLOOKUP($B9,'[4]Analisys QBR By Machine Report'!$C$109:$BD$166,41,FALSE)</f>
        <v>0</v>
      </c>
      <c r="AU9" s="10">
        <f ca="1">VLOOKUP($B9,'[4]Analisys QBR By Machine Report'!$C$109:$BD$166,42,FALSE)</f>
        <v>0</v>
      </c>
      <c r="AV9" s="10">
        <f ca="1">VLOOKUP($B9,'[4]Analisys QBR By Machine Report'!$C$109:$BD$166,43,FALSE)</f>
        <v>0</v>
      </c>
      <c r="AW9" s="10">
        <f ca="1">VLOOKUP($B9,'[4]Analisys QBR By Machine Report'!$C$109:$BD$166,44,FALSE)</f>
        <v>0</v>
      </c>
      <c r="AX9" s="10">
        <f ca="1">VLOOKUP($B9,'[4]Analisys QBR By Machine Report'!$C$109:$BD$166,45,FALSE)</f>
        <v>90</v>
      </c>
      <c r="AY9" s="10">
        <f ca="1">VLOOKUP($B9,'[4]Analisys QBR By Machine Report'!$C$109:$BD$166,46,FALSE)</f>
        <v>0</v>
      </c>
      <c r="AZ9" s="10">
        <f ca="1">VLOOKUP($B9,'[4]Analisys QBR By Machine Report'!$C$109:$BD$166,47,FALSE)</f>
        <v>3395</v>
      </c>
      <c r="BA9" s="10">
        <f ca="1">VLOOKUP($B9,'[4]Analisys QBR By Machine Report'!$C$109:$BD$166,48,FALSE)</f>
        <v>185</v>
      </c>
      <c r="BB9" s="10">
        <f ca="1">VLOOKUP($B9,'[4]Analisys QBR By Machine Report'!$C$109:$BD$166,49,FALSE)</f>
        <v>0</v>
      </c>
      <c r="BC9" s="10">
        <f ca="1">VLOOKUP($B9,'[4]Analisys QBR By Machine Report'!$C$109:$BD$166,50,FALSE)</f>
        <v>0</v>
      </c>
      <c r="BD9" s="10">
        <f ca="1">VLOOKUP($B9,'[4]Analisys QBR By Machine Report'!$C$109:$BD$166,51,FALSE)</f>
        <v>6938162</v>
      </c>
      <c r="BE9" s="10">
        <f ca="1">VLOOKUP($B9,'[4]Analisys QBR By Machine Report'!$C$109:$BD$166,52,FALSE)</f>
        <v>1479</v>
      </c>
      <c r="BF9" s="10">
        <f ca="1">VLOOKUP($B9,'[4]Analisys QBR By Machine Report'!$C$109:$BD$166,53,FALSE)</f>
        <v>6936683</v>
      </c>
    </row>
    <row r="10" spans="1:58" x14ac:dyDescent="0.25">
      <c r="A10" s="12" t="s">
        <v>66</v>
      </c>
      <c r="B10" s="13">
        <f ca="1">VLOOKUP($B10,'[4]Analisys QBR By Machine Report'!$C$109:$BD$166,2,FALSE)</f>
        <v>24480</v>
      </c>
      <c r="C10" s="14">
        <f ca="1">VLOOKUP($B10,[4]Dasboard_QBR_Report!$B$109:$BL$166,3,FALSE)</f>
        <v>15810</v>
      </c>
      <c r="D10" s="13">
        <f ca="1">VLOOKUP($B10,'[4]Analisys QBR By Machine Report'!$C$109:$BD$166,3,FALSE)</f>
        <v>13590</v>
      </c>
      <c r="E10" s="14">
        <f ca="1">VLOOKUP($B10,[4]Dasboard_QBR_Report!$B$109:$BL$166,5,FALSE)</f>
        <v>4920</v>
      </c>
      <c r="F10" s="13">
        <f t="shared" ca="1" si="0"/>
        <v>10890</v>
      </c>
      <c r="G10" s="13">
        <f t="shared" ca="1" si="1"/>
        <v>1325</v>
      </c>
      <c r="H10" s="13">
        <f ca="1">VLOOKUP($B10,'[4]Analisys QBR By Machine Report'!$C$109:$BD$166,4,FALSE)</f>
        <v>1325</v>
      </c>
      <c r="I10" s="13">
        <f ca="1">VLOOKUP($B10,'[4]Analisys QBR By Machine Report'!$C$109:$BD$166,5,FALSE)</f>
        <v>0</v>
      </c>
      <c r="J10" s="13">
        <f ca="1">VLOOKUP($B10,'[4]Analisys QBR By Machine Report'!$C$109:$BD$166,6,FALSE)</f>
        <v>1325</v>
      </c>
      <c r="K10" s="13">
        <f ca="1">VLOOKUP($B10,'[4]Analisys QBR By Machine Report'!$C$109:$BD$166,7,FALSE)</f>
        <v>0</v>
      </c>
      <c r="L10" s="13">
        <f ca="1">VLOOKUP($B10,'[4]Analisys QBR By Machine Report'!$C$109:$BD$166,8,FALSE)</f>
        <v>9565</v>
      </c>
      <c r="M10" s="13">
        <f ca="1">VLOOKUP($B10,'[4]Analisys QBR By Machine Report'!$C$109:$BD$166,9,FALSE)</f>
        <v>2580</v>
      </c>
      <c r="N10" s="13">
        <f ca="1">VLOOKUP($B10,[4]Dasboard_QBR_Report!$B$109:$BL$166,18,FALSE)</f>
        <v>6985</v>
      </c>
      <c r="O10" s="13">
        <f ca="1">VLOOKUP($B10,'[4]Analisys QBR By Machine Report'!$C$109:$BD$166,10,FALSE)</f>
        <v>1000</v>
      </c>
      <c r="P10" s="13">
        <f ca="1">VLOOKUP($B10,'[4]Analisys QBR By Machine Report'!$C$109:$BD$166,11,FALSE)</f>
        <v>960</v>
      </c>
      <c r="Q10" s="13">
        <f ca="1">VLOOKUP($B10,'[4]Analisys QBR By Machine Report'!$C$109:$BD$166,12,FALSE)</f>
        <v>0</v>
      </c>
      <c r="R10" s="13">
        <f ca="1">VLOOKUP($B10,'[4]Analisys QBR By Machine Report'!$C$109:$BD$166,13,FALSE)</f>
        <v>0</v>
      </c>
      <c r="S10" s="13">
        <f ca="1">VLOOKUP($B10,'[4]Analisys QBR By Machine Report'!$C$109:$BD$166,14,FALSE)</f>
        <v>40</v>
      </c>
      <c r="T10" s="13">
        <f ca="1">VLOOKUP($B10,'[4]Analisys QBR By Machine Report'!$C$109:$BD$166,15,FALSE)</f>
        <v>0</v>
      </c>
      <c r="U10" s="13">
        <f ca="1">VLOOKUP($B10,'[4]Analisys QBR By Machine Report'!$C$109:$BD$166,16,FALSE)</f>
        <v>0</v>
      </c>
      <c r="V10" s="13">
        <f ca="1">VLOOKUP($B10,'[4]Analisys QBR By Machine Report'!$C$109:$BD$166,17,FALSE)</f>
        <v>0</v>
      </c>
      <c r="W10" s="13">
        <f ca="1">VLOOKUP($B10,'[4]Analisys QBR By Machine Report'!$C$109:$BD$166,18,FALSE)</f>
        <v>0</v>
      </c>
      <c r="X10" s="13">
        <f ca="1">VLOOKUP($B10,'[4]Analisys QBR By Machine Report'!$C$109:$BD$166,19,FALSE)</f>
        <v>0</v>
      </c>
      <c r="Y10" s="13">
        <f ca="1">VLOOKUP($B10,'[4]Analisys QBR By Machine Report'!$C$109:$BD$166,20,FALSE)</f>
        <v>0</v>
      </c>
      <c r="Z10" s="13">
        <f ca="1">VLOOKUP($B10,'[4]Analisys QBR By Machine Report'!$C$109:$BD$166,21,FALSE)</f>
        <v>1745</v>
      </c>
      <c r="AA10" s="13">
        <f ca="1">VLOOKUP($B10,'[4]Analisys QBR By Machine Report'!$C$109:$BD$166,22,FALSE)</f>
        <v>335</v>
      </c>
      <c r="AB10" s="13">
        <f ca="1">VLOOKUP($B10,'[4]Analisys QBR By Machine Report'!$C$109:$BD$166,23,FALSE)</f>
        <v>1065</v>
      </c>
      <c r="AC10" s="13">
        <f ca="1">VLOOKUP($B10,'[4]Analisys QBR By Machine Report'!$C$109:$BD$166,24,FALSE)</f>
        <v>70</v>
      </c>
      <c r="AD10" s="13">
        <f ca="1">VLOOKUP($B10,'[4]Analisys QBR By Machine Report'!$C$109:$BD$166,25,FALSE)</f>
        <v>0</v>
      </c>
      <c r="AE10" s="13">
        <f ca="1">VLOOKUP($B10,'[4]Analisys QBR By Machine Report'!$C$109:$BD$166,26,FALSE)</f>
        <v>275</v>
      </c>
      <c r="AF10" s="13">
        <f ca="1">VLOOKUP($B10,'[4]Analisys QBR By Machine Report'!$C$109:$BD$166,27,FALSE)</f>
        <v>925</v>
      </c>
      <c r="AG10" s="13">
        <f ca="1">VLOOKUP($B10,'[4]Analisys QBR By Machine Report'!$C$109:$BD$166,28,FALSE)</f>
        <v>15</v>
      </c>
      <c r="AH10" s="13">
        <f ca="1">VLOOKUP($B10,'[4]Analisys QBR By Machine Report'!$C$109:$BD$166,29,FALSE)</f>
        <v>910</v>
      </c>
      <c r="AI10" s="13">
        <f ca="1">VLOOKUP($B10,'[4]Analisys QBR By Machine Report'!$C$109:$BD$166,30,FALSE)</f>
        <v>3315</v>
      </c>
      <c r="AJ10" s="13">
        <f ca="1">VLOOKUP($B10,'[4]Analisys QBR By Machine Report'!$C$109:$BD$166,31,FALSE)</f>
        <v>0</v>
      </c>
      <c r="AK10" s="13">
        <f ca="1">VLOOKUP($B10,'[4]Analisys QBR By Machine Report'!$C$109:$BD$166,32,FALSE)</f>
        <v>0</v>
      </c>
      <c r="AL10" s="13">
        <f ca="1">VLOOKUP($B10,'[4]Analisys QBR By Machine Report'!$C$109:$BD$166,33,FALSE)</f>
        <v>440</v>
      </c>
      <c r="AM10" s="13">
        <f ca="1">VLOOKUP($B10,'[4]Analisys QBR By Machine Report'!$C$109:$BD$166,34,FALSE)</f>
        <v>0</v>
      </c>
      <c r="AN10" s="13">
        <f ca="1">VLOOKUP($B10,'[4]Analisys QBR By Machine Report'!$C$109:$BD$166,35,FALSE)</f>
        <v>435</v>
      </c>
      <c r="AO10" s="13">
        <f ca="1">VLOOKUP($B10,'[4]Analisys QBR By Machine Report'!$C$109:$BD$166,36,FALSE)</f>
        <v>1095</v>
      </c>
      <c r="AP10" s="13">
        <f ca="1">VLOOKUP($B10,'[4]Analisys QBR By Machine Report'!$C$109:$BD$166,37,FALSE)</f>
        <v>0</v>
      </c>
      <c r="AQ10" s="13">
        <f ca="1">VLOOKUP($B10,'[4]Analisys QBR By Machine Report'!$C$109:$BD$166,38,FALSE)</f>
        <v>0</v>
      </c>
      <c r="AR10" s="13">
        <f ca="1">VLOOKUP($B10,'[4]Analisys QBR By Machine Report'!$C$109:$BD$166,39,FALSE)</f>
        <v>405</v>
      </c>
      <c r="AS10" s="13">
        <f ca="1">VLOOKUP($B10,'[4]Analisys QBR By Machine Report'!$C$109:$BD$166,40,FALSE)</f>
        <v>195</v>
      </c>
      <c r="AT10" s="13">
        <f ca="1">VLOOKUP($B10,'[4]Analisys QBR By Machine Report'!$C$109:$BD$166,41,FALSE)</f>
        <v>0</v>
      </c>
      <c r="AU10" s="13">
        <f ca="1">VLOOKUP($B10,'[4]Analisys QBR By Machine Report'!$C$109:$BD$166,42,FALSE)</f>
        <v>0</v>
      </c>
      <c r="AV10" s="13">
        <f ca="1">VLOOKUP($B10,'[4]Analisys QBR By Machine Report'!$C$109:$BD$166,43,FALSE)</f>
        <v>0</v>
      </c>
      <c r="AW10" s="13">
        <f ca="1">VLOOKUP($B10,'[4]Analisys QBR By Machine Report'!$C$109:$BD$166,44,FALSE)</f>
        <v>0</v>
      </c>
      <c r="AX10" s="13">
        <f ca="1">VLOOKUP($B10,'[4]Analisys QBR By Machine Report'!$C$109:$BD$166,45,FALSE)</f>
        <v>0</v>
      </c>
      <c r="AY10" s="13">
        <f ca="1">VLOOKUP($B10,'[4]Analisys QBR By Machine Report'!$C$109:$BD$166,46,FALSE)</f>
        <v>0</v>
      </c>
      <c r="AZ10" s="13">
        <f ca="1">VLOOKUP($B10,'[4]Analisys QBR By Machine Report'!$C$109:$BD$166,47,FALSE)</f>
        <v>745</v>
      </c>
      <c r="BA10" s="13">
        <f ca="1">VLOOKUP($B10,'[4]Analisys QBR By Machine Report'!$C$109:$BD$166,48,FALSE)</f>
        <v>0</v>
      </c>
      <c r="BB10" s="13">
        <f ca="1">VLOOKUP($B10,'[4]Analisys QBR By Machine Report'!$C$109:$BD$166,49,FALSE)</f>
        <v>0</v>
      </c>
      <c r="BC10" s="13">
        <f ca="1">VLOOKUP($B10,'[4]Analisys QBR By Machine Report'!$C$109:$BD$166,50,FALSE)</f>
        <v>0</v>
      </c>
      <c r="BD10" s="13">
        <f ca="1">VLOOKUP($B10,'[4]Analisys QBR By Machine Report'!$C$109:$BD$166,51,FALSE)</f>
        <v>2607619</v>
      </c>
      <c r="BE10" s="13">
        <f ca="1">VLOOKUP($B10,'[4]Analisys QBR By Machine Report'!$C$109:$BD$166,52,FALSE)</f>
        <v>932</v>
      </c>
      <c r="BF10" s="13">
        <f ca="1">VLOOKUP($B10,'[4]Analisys QBR By Machine Report'!$C$109:$BD$166,53,FALSE)</f>
        <v>2606687</v>
      </c>
    </row>
    <row r="11" spans="1:58" x14ac:dyDescent="0.25">
      <c r="A11" s="12" t="s">
        <v>67</v>
      </c>
      <c r="B11" s="13">
        <f ca="1">VLOOKUP($B11,'[4]Analisys QBR By Machine Report'!$C$109:$BD$166,2,FALSE)</f>
        <v>24480</v>
      </c>
      <c r="C11" s="14">
        <f ca="1">VLOOKUP($B11,[4]Dasboard_QBR_Report!$B$109:$BL$166,3,FALSE)</f>
        <v>8160</v>
      </c>
      <c r="D11" s="13">
        <f ca="1">VLOOKUP($B11,'[4]Analisys QBR By Machine Report'!$C$109:$BD$166,3,FALSE)</f>
        <v>17370</v>
      </c>
      <c r="E11" s="14">
        <f ca="1">VLOOKUP($B11,[4]Dasboard_QBR_Report!$B$109:$BL$166,5,FALSE)</f>
        <v>1050</v>
      </c>
      <c r="F11" s="13">
        <f t="shared" ca="1" si="0"/>
        <v>7110</v>
      </c>
      <c r="G11" s="13">
        <f t="shared" ca="1" si="1"/>
        <v>645</v>
      </c>
      <c r="H11" s="13">
        <f ca="1">VLOOKUP($B11,'[4]Analisys QBR By Machine Report'!$C$109:$BD$166,4,FALSE)</f>
        <v>645</v>
      </c>
      <c r="I11" s="13">
        <f ca="1">VLOOKUP($B11,'[4]Analisys QBR By Machine Report'!$C$109:$BD$166,5,FALSE)</f>
        <v>20</v>
      </c>
      <c r="J11" s="13">
        <f ca="1">VLOOKUP($B11,'[4]Analisys QBR By Machine Report'!$C$109:$BD$166,6,FALSE)</f>
        <v>625</v>
      </c>
      <c r="K11" s="13">
        <f ca="1">VLOOKUP($B11,'[4]Analisys QBR By Machine Report'!$C$109:$BD$166,7,FALSE)</f>
        <v>0</v>
      </c>
      <c r="L11" s="13">
        <f ca="1">VLOOKUP($B11,'[4]Analisys QBR By Machine Report'!$C$109:$BD$166,8,FALSE)</f>
        <v>6465</v>
      </c>
      <c r="M11" s="13">
        <f ca="1">VLOOKUP($B11,'[4]Analisys QBR By Machine Report'!$C$109:$BD$166,9,FALSE)</f>
        <v>1725</v>
      </c>
      <c r="N11" s="13">
        <f ca="1">VLOOKUP($B11,[4]Dasboard_QBR_Report!$B$109:$BL$166,18,FALSE)</f>
        <v>4740</v>
      </c>
      <c r="O11" s="13">
        <f ca="1">VLOOKUP($B11,'[4]Analisys QBR By Machine Report'!$C$109:$BD$166,10,FALSE)</f>
        <v>750</v>
      </c>
      <c r="P11" s="13">
        <f ca="1">VLOOKUP($B11,'[4]Analisys QBR By Machine Report'!$C$109:$BD$166,11,FALSE)</f>
        <v>640</v>
      </c>
      <c r="Q11" s="13">
        <f ca="1">VLOOKUP($B11,'[4]Analisys QBR By Machine Report'!$C$109:$BD$166,12,FALSE)</f>
        <v>0</v>
      </c>
      <c r="R11" s="13">
        <f ca="1">VLOOKUP($B11,'[4]Analisys QBR By Machine Report'!$C$109:$BD$166,13,FALSE)</f>
        <v>0</v>
      </c>
      <c r="S11" s="13">
        <f ca="1">VLOOKUP($B11,'[4]Analisys QBR By Machine Report'!$C$109:$BD$166,14,FALSE)</f>
        <v>110</v>
      </c>
      <c r="T11" s="13">
        <f ca="1">VLOOKUP($B11,'[4]Analisys QBR By Machine Report'!$C$109:$BD$166,15,FALSE)</f>
        <v>0</v>
      </c>
      <c r="U11" s="13">
        <f ca="1">VLOOKUP($B11,'[4]Analisys QBR By Machine Report'!$C$109:$BD$166,16,FALSE)</f>
        <v>0</v>
      </c>
      <c r="V11" s="13">
        <f ca="1">VLOOKUP($B11,'[4]Analisys QBR By Machine Report'!$C$109:$BD$166,17,FALSE)</f>
        <v>0</v>
      </c>
      <c r="W11" s="13">
        <f ca="1">VLOOKUP($B11,'[4]Analisys QBR By Machine Report'!$C$109:$BD$166,18,FALSE)</f>
        <v>0</v>
      </c>
      <c r="X11" s="13">
        <f ca="1">VLOOKUP($B11,'[4]Analisys QBR By Machine Report'!$C$109:$BD$166,19,FALSE)</f>
        <v>0</v>
      </c>
      <c r="Y11" s="13">
        <f ca="1">VLOOKUP($B11,'[4]Analisys QBR By Machine Report'!$C$109:$BD$166,20,FALSE)</f>
        <v>0</v>
      </c>
      <c r="Z11" s="13">
        <f ca="1">VLOOKUP($B11,'[4]Analisys QBR By Machine Report'!$C$109:$BD$166,21,FALSE)</f>
        <v>1285</v>
      </c>
      <c r="AA11" s="13">
        <f ca="1">VLOOKUP($B11,'[4]Analisys QBR By Machine Report'!$C$109:$BD$166,22,FALSE)</f>
        <v>430</v>
      </c>
      <c r="AB11" s="13">
        <f ca="1">VLOOKUP($B11,'[4]Analisys QBR By Machine Report'!$C$109:$BD$166,23,FALSE)</f>
        <v>640</v>
      </c>
      <c r="AC11" s="13">
        <f ca="1">VLOOKUP($B11,'[4]Analisys QBR By Machine Report'!$C$109:$BD$166,24,FALSE)</f>
        <v>0</v>
      </c>
      <c r="AD11" s="13">
        <f ca="1">VLOOKUP($B11,'[4]Analisys QBR By Machine Report'!$C$109:$BD$166,25,FALSE)</f>
        <v>0</v>
      </c>
      <c r="AE11" s="13">
        <f ca="1">VLOOKUP($B11,'[4]Analisys QBR By Machine Report'!$C$109:$BD$166,26,FALSE)</f>
        <v>215</v>
      </c>
      <c r="AF11" s="13">
        <f ca="1">VLOOKUP($B11,'[4]Analisys QBR By Machine Report'!$C$109:$BD$166,27,FALSE)</f>
        <v>0</v>
      </c>
      <c r="AG11" s="13">
        <f ca="1">VLOOKUP($B11,'[4]Analisys QBR By Machine Report'!$C$109:$BD$166,28,FALSE)</f>
        <v>0</v>
      </c>
      <c r="AH11" s="13">
        <f ca="1">VLOOKUP($B11,'[4]Analisys QBR By Machine Report'!$C$109:$BD$166,29,FALSE)</f>
        <v>0</v>
      </c>
      <c r="AI11" s="13">
        <f ca="1">VLOOKUP($B11,'[4]Analisys QBR By Machine Report'!$C$109:$BD$166,30,FALSE)</f>
        <v>2705</v>
      </c>
      <c r="AJ11" s="13">
        <f ca="1">VLOOKUP($B11,'[4]Analisys QBR By Machine Report'!$C$109:$BD$166,31,FALSE)</f>
        <v>0</v>
      </c>
      <c r="AK11" s="13">
        <f ca="1">VLOOKUP($B11,'[4]Analisys QBR By Machine Report'!$C$109:$BD$166,32,FALSE)</f>
        <v>0</v>
      </c>
      <c r="AL11" s="13">
        <f ca="1">VLOOKUP($B11,'[4]Analisys QBR By Machine Report'!$C$109:$BD$166,33,FALSE)</f>
        <v>360</v>
      </c>
      <c r="AM11" s="13">
        <f ca="1">VLOOKUP($B11,'[4]Analisys QBR By Machine Report'!$C$109:$BD$166,34,FALSE)</f>
        <v>0</v>
      </c>
      <c r="AN11" s="13">
        <f ca="1">VLOOKUP($B11,'[4]Analisys QBR By Machine Report'!$C$109:$BD$166,35,FALSE)</f>
        <v>255</v>
      </c>
      <c r="AO11" s="13">
        <f ca="1">VLOOKUP($B11,'[4]Analisys QBR By Machine Report'!$C$109:$BD$166,36,FALSE)</f>
        <v>435</v>
      </c>
      <c r="AP11" s="13">
        <f ca="1">VLOOKUP($B11,'[4]Analisys QBR By Machine Report'!$C$109:$BD$166,37,FALSE)</f>
        <v>0</v>
      </c>
      <c r="AQ11" s="13">
        <f ca="1">VLOOKUP($B11,'[4]Analisys QBR By Machine Report'!$C$109:$BD$166,38,FALSE)</f>
        <v>0</v>
      </c>
      <c r="AR11" s="13">
        <f ca="1">VLOOKUP($B11,'[4]Analisys QBR By Machine Report'!$C$109:$BD$166,39,FALSE)</f>
        <v>0</v>
      </c>
      <c r="AS11" s="13">
        <f ca="1">VLOOKUP($B11,'[4]Analisys QBR By Machine Report'!$C$109:$BD$166,40,FALSE)</f>
        <v>315</v>
      </c>
      <c r="AT11" s="13">
        <f ca="1">VLOOKUP($B11,'[4]Analisys QBR By Machine Report'!$C$109:$BD$166,41,FALSE)</f>
        <v>0</v>
      </c>
      <c r="AU11" s="13">
        <f ca="1">VLOOKUP($B11,'[4]Analisys QBR By Machine Report'!$C$109:$BD$166,42,FALSE)</f>
        <v>0</v>
      </c>
      <c r="AV11" s="13">
        <f ca="1">VLOOKUP($B11,'[4]Analisys QBR By Machine Report'!$C$109:$BD$166,43,FALSE)</f>
        <v>0</v>
      </c>
      <c r="AW11" s="13">
        <f ca="1">VLOOKUP($B11,'[4]Analisys QBR By Machine Report'!$C$109:$BD$166,44,FALSE)</f>
        <v>0</v>
      </c>
      <c r="AX11" s="13">
        <f ca="1">VLOOKUP($B11,'[4]Analisys QBR By Machine Report'!$C$109:$BD$166,45,FALSE)</f>
        <v>0</v>
      </c>
      <c r="AY11" s="13">
        <f ca="1">VLOOKUP($B11,'[4]Analisys QBR By Machine Report'!$C$109:$BD$166,46,FALSE)</f>
        <v>0</v>
      </c>
      <c r="AZ11" s="13">
        <f ca="1">VLOOKUP($B11,'[4]Analisys QBR By Machine Report'!$C$109:$BD$166,47,FALSE)</f>
        <v>1155</v>
      </c>
      <c r="BA11" s="13">
        <f ca="1">VLOOKUP($B11,'[4]Analisys QBR By Machine Report'!$C$109:$BD$166,48,FALSE)</f>
        <v>185</v>
      </c>
      <c r="BB11" s="13">
        <f ca="1">VLOOKUP($B11,'[4]Analisys QBR By Machine Report'!$C$109:$BD$166,49,FALSE)</f>
        <v>0</v>
      </c>
      <c r="BC11" s="13">
        <f ca="1">VLOOKUP($B11,'[4]Analisys QBR By Machine Report'!$C$109:$BD$166,50,FALSE)</f>
        <v>0</v>
      </c>
      <c r="BD11" s="13">
        <f ca="1">VLOOKUP($B11,'[4]Analisys QBR By Machine Report'!$C$109:$BD$166,51,FALSE)</f>
        <v>1481549</v>
      </c>
      <c r="BE11" s="13">
        <f ca="1">VLOOKUP($B11,'[4]Analisys QBR By Machine Report'!$C$109:$BD$166,52,FALSE)</f>
        <v>0</v>
      </c>
      <c r="BF11" s="13">
        <f ca="1">VLOOKUP($B11,'[4]Analisys QBR By Machine Report'!$C$109:$BD$166,53,FALSE)</f>
        <v>1481549</v>
      </c>
    </row>
    <row r="12" spans="1:58" x14ac:dyDescent="0.25">
      <c r="A12" s="12" t="s">
        <v>68</v>
      </c>
      <c r="B12" s="13">
        <f ca="1">VLOOKUP($B12,'[4]Analisys QBR By Machine Report'!$C$109:$BD$166,2,FALSE)</f>
        <v>24480</v>
      </c>
      <c r="C12" s="14">
        <f ca="1">VLOOKUP($B12,[4]Dasboard_QBR_Report!$B$109:$BL$166,3,FALSE)</f>
        <v>15810</v>
      </c>
      <c r="D12" s="13">
        <f ca="1">VLOOKUP($B12,'[4]Analisys QBR By Machine Report'!$C$109:$BD$166,3,FALSE)</f>
        <v>12300</v>
      </c>
      <c r="E12" s="14">
        <f ca="1">VLOOKUP($B12,[4]Dasboard_QBR_Report!$B$109:$BL$166,5,FALSE)</f>
        <v>3630</v>
      </c>
      <c r="F12" s="13">
        <f t="shared" ca="1" si="0"/>
        <v>12180</v>
      </c>
      <c r="G12" s="13">
        <f t="shared" ca="1" si="1"/>
        <v>140</v>
      </c>
      <c r="H12" s="13">
        <f ca="1">VLOOKUP($B12,'[4]Analisys QBR By Machine Report'!$C$109:$BD$166,4,FALSE)</f>
        <v>140</v>
      </c>
      <c r="I12" s="13">
        <f ca="1">VLOOKUP($B12,'[4]Analisys QBR By Machine Report'!$C$109:$BD$166,5,FALSE)</f>
        <v>50</v>
      </c>
      <c r="J12" s="13">
        <f ca="1">VLOOKUP($B12,'[4]Analisys QBR By Machine Report'!$C$109:$BD$166,6,FALSE)</f>
        <v>90</v>
      </c>
      <c r="K12" s="13">
        <f ca="1">VLOOKUP($B12,'[4]Analisys QBR By Machine Report'!$C$109:$BD$166,7,FALSE)</f>
        <v>0</v>
      </c>
      <c r="L12" s="13">
        <f ca="1">VLOOKUP($B12,'[4]Analisys QBR By Machine Report'!$C$109:$BD$166,8,FALSE)</f>
        <v>12040</v>
      </c>
      <c r="M12" s="13">
        <f ca="1">VLOOKUP($B12,'[4]Analisys QBR By Machine Report'!$C$109:$BD$166,9,FALSE)</f>
        <v>4730</v>
      </c>
      <c r="N12" s="13">
        <f ca="1">VLOOKUP($B12,[4]Dasboard_QBR_Report!$B$109:$BL$166,18,FALSE)</f>
        <v>7310</v>
      </c>
      <c r="O12" s="13">
        <f ca="1">VLOOKUP($B12,'[4]Analisys QBR By Machine Report'!$C$109:$BD$166,10,FALSE)</f>
        <v>1160</v>
      </c>
      <c r="P12" s="13">
        <f ca="1">VLOOKUP($B12,'[4]Analisys QBR By Machine Report'!$C$109:$BD$166,11,FALSE)</f>
        <v>940</v>
      </c>
      <c r="Q12" s="13">
        <f ca="1">VLOOKUP($B12,'[4]Analisys QBR By Machine Report'!$C$109:$BD$166,12,FALSE)</f>
        <v>0</v>
      </c>
      <c r="R12" s="13">
        <f ca="1">VLOOKUP($B12,'[4]Analisys QBR By Machine Report'!$C$109:$BD$166,13,FALSE)</f>
        <v>0</v>
      </c>
      <c r="S12" s="13">
        <f ca="1">VLOOKUP($B12,'[4]Analisys QBR By Machine Report'!$C$109:$BD$166,14,FALSE)</f>
        <v>220</v>
      </c>
      <c r="T12" s="13">
        <f ca="1">VLOOKUP($B12,'[4]Analisys QBR By Machine Report'!$C$109:$BD$166,15,FALSE)</f>
        <v>0</v>
      </c>
      <c r="U12" s="13">
        <f ca="1">VLOOKUP($B12,'[4]Analisys QBR By Machine Report'!$C$109:$BD$166,16,FALSE)</f>
        <v>0</v>
      </c>
      <c r="V12" s="13">
        <f ca="1">VLOOKUP($B12,'[4]Analisys QBR By Machine Report'!$C$109:$BD$166,17,FALSE)</f>
        <v>0</v>
      </c>
      <c r="W12" s="13">
        <f ca="1">VLOOKUP($B12,'[4]Analisys QBR By Machine Report'!$C$109:$BD$166,18,FALSE)</f>
        <v>0</v>
      </c>
      <c r="X12" s="13">
        <f ca="1">VLOOKUP($B12,'[4]Analisys QBR By Machine Report'!$C$109:$BD$166,19,FALSE)</f>
        <v>0</v>
      </c>
      <c r="Y12" s="13">
        <f ca="1">VLOOKUP($B12,'[4]Analisys QBR By Machine Report'!$C$109:$BD$166,20,FALSE)</f>
        <v>0</v>
      </c>
      <c r="Z12" s="13">
        <f ca="1">VLOOKUP($B12,'[4]Analisys QBR By Machine Report'!$C$109:$BD$166,21,FALSE)</f>
        <v>1565</v>
      </c>
      <c r="AA12" s="13">
        <f ca="1">VLOOKUP($B12,'[4]Analisys QBR By Machine Report'!$C$109:$BD$166,22,FALSE)</f>
        <v>165</v>
      </c>
      <c r="AB12" s="13">
        <f ca="1">VLOOKUP($B12,'[4]Analisys QBR By Machine Report'!$C$109:$BD$166,23,FALSE)</f>
        <v>1020</v>
      </c>
      <c r="AC12" s="13">
        <f ca="1">VLOOKUP($B12,'[4]Analisys QBR By Machine Report'!$C$109:$BD$166,24,FALSE)</f>
        <v>65</v>
      </c>
      <c r="AD12" s="13">
        <f ca="1">VLOOKUP($B12,'[4]Analisys QBR By Machine Report'!$C$109:$BD$166,25,FALSE)</f>
        <v>0</v>
      </c>
      <c r="AE12" s="13">
        <f ca="1">VLOOKUP($B12,'[4]Analisys QBR By Machine Report'!$C$109:$BD$166,26,FALSE)</f>
        <v>315</v>
      </c>
      <c r="AF12" s="13">
        <f ca="1">VLOOKUP($B12,'[4]Analisys QBR By Machine Report'!$C$109:$BD$166,27,FALSE)</f>
        <v>0</v>
      </c>
      <c r="AG12" s="13">
        <f ca="1">VLOOKUP($B12,'[4]Analisys QBR By Machine Report'!$C$109:$BD$166,28,FALSE)</f>
        <v>0</v>
      </c>
      <c r="AH12" s="13">
        <f ca="1">VLOOKUP($B12,'[4]Analisys QBR By Machine Report'!$C$109:$BD$166,29,FALSE)</f>
        <v>0</v>
      </c>
      <c r="AI12" s="13">
        <f ca="1">VLOOKUP($B12,'[4]Analisys QBR By Machine Report'!$C$109:$BD$166,30,FALSE)</f>
        <v>4585</v>
      </c>
      <c r="AJ12" s="13">
        <f ca="1">VLOOKUP($B12,'[4]Analisys QBR By Machine Report'!$C$109:$BD$166,31,FALSE)</f>
        <v>0</v>
      </c>
      <c r="AK12" s="13">
        <f ca="1">VLOOKUP($B12,'[4]Analisys QBR By Machine Report'!$C$109:$BD$166,32,FALSE)</f>
        <v>0</v>
      </c>
      <c r="AL12" s="13">
        <f ca="1">VLOOKUP($B12,'[4]Analisys QBR By Machine Report'!$C$109:$BD$166,33,FALSE)</f>
        <v>810</v>
      </c>
      <c r="AM12" s="13">
        <f ca="1">VLOOKUP($B12,'[4]Analisys QBR By Machine Report'!$C$109:$BD$166,34,FALSE)</f>
        <v>0</v>
      </c>
      <c r="AN12" s="13">
        <f ca="1">VLOOKUP($B12,'[4]Analisys QBR By Machine Report'!$C$109:$BD$166,35,FALSE)</f>
        <v>695</v>
      </c>
      <c r="AO12" s="13">
        <f ca="1">VLOOKUP($B12,'[4]Analisys QBR By Machine Report'!$C$109:$BD$166,36,FALSE)</f>
        <v>710</v>
      </c>
      <c r="AP12" s="13">
        <f ca="1">VLOOKUP($B12,'[4]Analisys QBR By Machine Report'!$C$109:$BD$166,37,FALSE)</f>
        <v>0</v>
      </c>
      <c r="AQ12" s="13">
        <f ca="1">VLOOKUP($B12,'[4]Analisys QBR By Machine Report'!$C$109:$BD$166,38,FALSE)</f>
        <v>0</v>
      </c>
      <c r="AR12" s="13">
        <f ca="1">VLOOKUP($B12,'[4]Analisys QBR By Machine Report'!$C$109:$BD$166,39,FALSE)</f>
        <v>470</v>
      </c>
      <c r="AS12" s="13">
        <f ca="1">VLOOKUP($B12,'[4]Analisys QBR By Machine Report'!$C$109:$BD$166,40,FALSE)</f>
        <v>315</v>
      </c>
      <c r="AT12" s="13">
        <f ca="1">VLOOKUP($B12,'[4]Analisys QBR By Machine Report'!$C$109:$BD$166,41,FALSE)</f>
        <v>0</v>
      </c>
      <c r="AU12" s="13">
        <f ca="1">VLOOKUP($B12,'[4]Analisys QBR By Machine Report'!$C$109:$BD$166,42,FALSE)</f>
        <v>0</v>
      </c>
      <c r="AV12" s="13">
        <f ca="1">VLOOKUP($B12,'[4]Analisys QBR By Machine Report'!$C$109:$BD$166,43,FALSE)</f>
        <v>0</v>
      </c>
      <c r="AW12" s="13">
        <f ca="1">VLOOKUP($B12,'[4]Analisys QBR By Machine Report'!$C$109:$BD$166,44,FALSE)</f>
        <v>0</v>
      </c>
      <c r="AX12" s="13">
        <f ca="1">VLOOKUP($B12,'[4]Analisys QBR By Machine Report'!$C$109:$BD$166,45,FALSE)</f>
        <v>90</v>
      </c>
      <c r="AY12" s="13">
        <f ca="1">VLOOKUP($B12,'[4]Analisys QBR By Machine Report'!$C$109:$BD$166,46,FALSE)</f>
        <v>0</v>
      </c>
      <c r="AZ12" s="13">
        <f ca="1">VLOOKUP($B12,'[4]Analisys QBR By Machine Report'!$C$109:$BD$166,47,FALSE)</f>
        <v>1495</v>
      </c>
      <c r="BA12" s="13">
        <f ca="1">VLOOKUP($B12,'[4]Analisys QBR By Machine Report'!$C$109:$BD$166,48,FALSE)</f>
        <v>0</v>
      </c>
      <c r="BB12" s="13">
        <f ca="1">VLOOKUP($B12,'[4]Analisys QBR By Machine Report'!$C$109:$BD$166,49,FALSE)</f>
        <v>0</v>
      </c>
      <c r="BC12" s="13">
        <f ca="1">VLOOKUP($B12,'[4]Analisys QBR By Machine Report'!$C$109:$BD$166,50,FALSE)</f>
        <v>0</v>
      </c>
      <c r="BD12" s="13">
        <f ca="1">VLOOKUP($B12,'[4]Analisys QBR By Machine Report'!$C$109:$BD$166,51,FALSE)</f>
        <v>2848994</v>
      </c>
      <c r="BE12" s="13">
        <f ca="1">VLOOKUP($B12,'[4]Analisys QBR By Machine Report'!$C$109:$BD$166,52,FALSE)</f>
        <v>547</v>
      </c>
      <c r="BF12" s="13">
        <f ca="1">VLOOKUP($B12,'[4]Analisys QBR By Machine Report'!$C$109:$BD$166,53,FALSE)</f>
        <v>2848447</v>
      </c>
    </row>
    <row r="13" spans="1:58" x14ac:dyDescent="0.25">
      <c r="A13" s="9" t="s">
        <v>69</v>
      </c>
      <c r="B13" s="10">
        <f ca="1">VLOOKUP($B13,'[4]Analisys QBR By Machine Report'!$C$109:$BD$166,2,FALSE)</f>
        <v>48960</v>
      </c>
      <c r="C13" s="11">
        <f ca="1">VLOOKUP($B13,[4]Dasboard_QBR_Report!$B$109:$BL$166,3,FALSE)</f>
        <v>16320</v>
      </c>
      <c r="D13" s="10">
        <f ca="1">VLOOKUP($B13,'[4]Analisys QBR By Machine Report'!$C$109:$BD$166,3,FALSE)</f>
        <v>37590</v>
      </c>
      <c r="E13" s="11">
        <f ca="1">VLOOKUP($B13,[4]Dasboard_QBR_Report!$B$109:$BL$166,5,FALSE)</f>
        <v>4950</v>
      </c>
      <c r="F13" s="10">
        <f t="shared" ca="1" si="0"/>
        <v>11370</v>
      </c>
      <c r="G13" s="10">
        <f t="shared" ca="1" si="1"/>
        <v>0</v>
      </c>
      <c r="H13" s="10">
        <f ca="1">VLOOKUP($B13,'[4]Analisys QBR By Machine Report'!$C$109:$BD$166,4,FALSE)</f>
        <v>0</v>
      </c>
      <c r="I13" s="10">
        <f ca="1">VLOOKUP($B13,'[4]Analisys QBR By Machine Report'!$C$109:$BD$166,5,FALSE)</f>
        <v>0</v>
      </c>
      <c r="J13" s="10">
        <f ca="1">VLOOKUP($B13,'[4]Analisys QBR By Machine Report'!$C$109:$BD$166,6,FALSE)</f>
        <v>0</v>
      </c>
      <c r="K13" s="10">
        <f ca="1">VLOOKUP($B13,'[4]Analisys QBR By Machine Report'!$C$109:$BD$166,7,FALSE)</f>
        <v>0</v>
      </c>
      <c r="L13" s="10">
        <f ca="1">VLOOKUP($B13,'[4]Analisys QBR By Machine Report'!$C$109:$BD$166,8,FALSE)</f>
        <v>11370</v>
      </c>
      <c r="M13" s="10">
        <f ca="1">VLOOKUP($B13,'[4]Analisys QBR By Machine Report'!$C$109:$BD$166,9,FALSE)</f>
        <v>4621</v>
      </c>
      <c r="N13" s="10">
        <f ca="1">VLOOKUP($B13,[4]Dasboard_QBR_Report!$B$109:$BL$166,18,FALSE)</f>
        <v>6749</v>
      </c>
      <c r="O13" s="10">
        <f ca="1">VLOOKUP($B13,'[4]Analisys QBR By Machine Report'!$C$109:$BD$166,10,FALSE)</f>
        <v>249</v>
      </c>
      <c r="P13" s="10">
        <f ca="1">VLOOKUP($B13,'[4]Analisys QBR By Machine Report'!$C$109:$BD$166,11,FALSE)</f>
        <v>214</v>
      </c>
      <c r="Q13" s="10">
        <f ca="1">VLOOKUP($B13,'[4]Analisys QBR By Machine Report'!$C$109:$BD$166,12,FALSE)</f>
        <v>0</v>
      </c>
      <c r="R13" s="10">
        <f ca="1">VLOOKUP($B13,'[4]Analisys QBR By Machine Report'!$C$109:$BD$166,13,FALSE)</f>
        <v>35</v>
      </c>
      <c r="S13" s="10">
        <f ca="1">VLOOKUP($B13,'[4]Analisys QBR By Machine Report'!$C$109:$BD$166,14,FALSE)</f>
        <v>0</v>
      </c>
      <c r="T13" s="10">
        <f ca="1">VLOOKUP($B13,'[4]Analisys QBR By Machine Report'!$C$109:$BD$166,15,FALSE)</f>
        <v>0</v>
      </c>
      <c r="U13" s="10">
        <f ca="1">VLOOKUP($B13,'[4]Analisys QBR By Machine Report'!$C$109:$BD$166,16,FALSE)</f>
        <v>0</v>
      </c>
      <c r="V13" s="10">
        <f ca="1">VLOOKUP($B13,'[4]Analisys QBR By Machine Report'!$C$109:$BD$166,17,FALSE)</f>
        <v>0</v>
      </c>
      <c r="W13" s="10">
        <f ca="1">VLOOKUP($B13,'[4]Analisys QBR By Machine Report'!$C$109:$BD$166,18,FALSE)</f>
        <v>0</v>
      </c>
      <c r="X13" s="10">
        <f ca="1">VLOOKUP($B13,'[4]Analisys QBR By Machine Report'!$C$109:$BD$166,19,FALSE)</f>
        <v>0</v>
      </c>
      <c r="Y13" s="10">
        <f ca="1">VLOOKUP($B13,'[4]Analisys QBR By Machine Report'!$C$109:$BD$166,20,FALSE)</f>
        <v>0</v>
      </c>
      <c r="Z13" s="10">
        <f ca="1">VLOOKUP($B13,'[4]Analisys QBR By Machine Report'!$C$109:$BD$166,21,FALSE)</f>
        <v>4505</v>
      </c>
      <c r="AA13" s="10">
        <f ca="1">VLOOKUP($B13,'[4]Analisys QBR By Machine Report'!$C$109:$BD$166,22,FALSE)</f>
        <v>1140</v>
      </c>
      <c r="AB13" s="10">
        <f ca="1">VLOOKUP($B13,'[4]Analisys QBR By Machine Report'!$C$109:$BD$166,23,FALSE)</f>
        <v>2955</v>
      </c>
      <c r="AC13" s="10">
        <f ca="1">VLOOKUP($B13,'[4]Analisys QBR By Machine Report'!$C$109:$BD$166,24,FALSE)</f>
        <v>0</v>
      </c>
      <c r="AD13" s="10">
        <f ca="1">VLOOKUP($B13,'[4]Analisys QBR By Machine Report'!$C$109:$BD$166,25,FALSE)</f>
        <v>0</v>
      </c>
      <c r="AE13" s="10">
        <f ca="1">VLOOKUP($B13,'[4]Analisys QBR By Machine Report'!$C$109:$BD$166,26,FALSE)</f>
        <v>410</v>
      </c>
      <c r="AF13" s="10">
        <f ca="1">VLOOKUP($B13,'[4]Analisys QBR By Machine Report'!$C$109:$BD$166,27,FALSE)</f>
        <v>0</v>
      </c>
      <c r="AG13" s="10">
        <f ca="1">VLOOKUP($B13,'[4]Analisys QBR By Machine Report'!$C$109:$BD$166,28,FALSE)</f>
        <v>0</v>
      </c>
      <c r="AH13" s="10">
        <f ca="1">VLOOKUP($B13,'[4]Analisys QBR By Machine Report'!$C$109:$BD$166,29,FALSE)</f>
        <v>0</v>
      </c>
      <c r="AI13" s="10">
        <f ca="1">VLOOKUP($B13,'[4]Analisys QBR By Machine Report'!$C$109:$BD$166,30,FALSE)</f>
        <v>1995</v>
      </c>
      <c r="AJ13" s="10">
        <f ca="1">VLOOKUP($B13,'[4]Analisys QBR By Machine Report'!$C$109:$BD$166,31,FALSE)</f>
        <v>0</v>
      </c>
      <c r="AK13" s="10">
        <f ca="1">VLOOKUP($B13,'[4]Analisys QBR By Machine Report'!$C$109:$BD$166,32,FALSE)</f>
        <v>0</v>
      </c>
      <c r="AL13" s="10">
        <f ca="1">VLOOKUP($B13,'[4]Analisys QBR By Machine Report'!$C$109:$BD$166,33,FALSE)</f>
        <v>675</v>
      </c>
      <c r="AM13" s="10">
        <f ca="1">VLOOKUP($B13,'[4]Analisys QBR By Machine Report'!$C$109:$BD$166,34,FALSE)</f>
        <v>0</v>
      </c>
      <c r="AN13" s="10">
        <f ca="1">VLOOKUP($B13,'[4]Analisys QBR By Machine Report'!$C$109:$BD$166,35,FALSE)</f>
        <v>490</v>
      </c>
      <c r="AO13" s="10">
        <f ca="1">VLOOKUP($B13,'[4]Analisys QBR By Machine Report'!$C$109:$BD$166,36,FALSE)</f>
        <v>0</v>
      </c>
      <c r="AP13" s="10">
        <f ca="1">VLOOKUP($B13,'[4]Analisys QBR By Machine Report'!$C$109:$BD$166,37,FALSE)</f>
        <v>0</v>
      </c>
      <c r="AQ13" s="10">
        <f ca="1">VLOOKUP($B13,'[4]Analisys QBR By Machine Report'!$C$109:$BD$166,38,FALSE)</f>
        <v>0</v>
      </c>
      <c r="AR13" s="10">
        <f ca="1">VLOOKUP($B13,'[4]Analisys QBR By Machine Report'!$C$109:$BD$166,39,FALSE)</f>
        <v>380</v>
      </c>
      <c r="AS13" s="10">
        <f ca="1">VLOOKUP($B13,'[4]Analisys QBR By Machine Report'!$C$109:$BD$166,40,FALSE)</f>
        <v>295</v>
      </c>
      <c r="AT13" s="10">
        <f ca="1">VLOOKUP($B13,'[4]Analisys QBR By Machine Report'!$C$109:$BD$166,41,FALSE)</f>
        <v>0</v>
      </c>
      <c r="AU13" s="10">
        <f ca="1">VLOOKUP($B13,'[4]Analisys QBR By Machine Report'!$C$109:$BD$166,42,FALSE)</f>
        <v>0</v>
      </c>
      <c r="AV13" s="10">
        <f ca="1">VLOOKUP($B13,'[4]Analisys QBR By Machine Report'!$C$109:$BD$166,43,FALSE)</f>
        <v>0</v>
      </c>
      <c r="AW13" s="10">
        <f ca="1">VLOOKUP($B13,'[4]Analisys QBR By Machine Report'!$C$109:$BD$166,44,FALSE)</f>
        <v>0</v>
      </c>
      <c r="AX13" s="10">
        <f ca="1">VLOOKUP($B13,'[4]Analisys QBR By Machine Report'!$C$109:$BD$166,45,FALSE)</f>
        <v>0</v>
      </c>
      <c r="AY13" s="10">
        <f ca="1">VLOOKUP($B13,'[4]Analisys QBR By Machine Report'!$C$109:$BD$166,46,FALSE)</f>
        <v>0</v>
      </c>
      <c r="AZ13" s="10">
        <f ca="1">VLOOKUP($B13,'[4]Analisys QBR By Machine Report'!$C$109:$BD$166,47,FALSE)</f>
        <v>105</v>
      </c>
      <c r="BA13" s="10">
        <f ca="1">VLOOKUP($B13,'[4]Analisys QBR By Machine Report'!$C$109:$BD$166,48,FALSE)</f>
        <v>50</v>
      </c>
      <c r="BB13" s="10">
        <f ca="1">VLOOKUP($B13,'[4]Analisys QBR By Machine Report'!$C$109:$BD$166,49,FALSE)</f>
        <v>0</v>
      </c>
      <c r="BC13" s="10">
        <f ca="1">VLOOKUP($B13,'[4]Analisys QBR By Machine Report'!$C$109:$BD$166,50,FALSE)</f>
        <v>0</v>
      </c>
      <c r="BD13" s="10">
        <f ca="1">VLOOKUP($B13,'[4]Analisys QBR By Machine Report'!$C$109:$BD$166,51,FALSE)</f>
        <v>2024.19</v>
      </c>
      <c r="BE13" s="10">
        <f ca="1">VLOOKUP($B13,'[4]Analisys QBR By Machine Report'!$C$109:$BD$166,52,FALSE)</f>
        <v>0.78</v>
      </c>
      <c r="BF13" s="10">
        <f ca="1">VLOOKUP($B13,'[4]Analisys QBR By Machine Report'!$C$109:$BD$166,53,FALSE)</f>
        <v>2023.41</v>
      </c>
    </row>
    <row r="14" spans="1:58" x14ac:dyDescent="0.25">
      <c r="A14" s="12" t="s">
        <v>70</v>
      </c>
      <c r="B14" s="13">
        <f ca="1">VLOOKUP($B14,'[4]Analisys QBR By Machine Report'!$C$109:$BD$166,2,FALSE)</f>
        <v>24480</v>
      </c>
      <c r="C14" s="14">
        <f ca="1">VLOOKUP($B14,[4]Dasboard_QBR_Report!$B$109:$BL$166,3,FALSE)</f>
        <v>8160</v>
      </c>
      <c r="D14" s="13">
        <f ca="1">VLOOKUP($B14,'[4]Analisys QBR By Machine Report'!$C$109:$BD$166,3,FALSE)</f>
        <v>19290</v>
      </c>
      <c r="E14" s="14">
        <f ca="1">VLOOKUP($B14,[4]Dasboard_QBR_Report!$B$109:$BL$166,5,FALSE)</f>
        <v>2970</v>
      </c>
      <c r="F14" s="13">
        <f t="shared" ca="1" si="0"/>
        <v>5190</v>
      </c>
      <c r="G14" s="13">
        <f t="shared" ca="1" si="1"/>
        <v>0</v>
      </c>
      <c r="H14" s="13">
        <f ca="1">VLOOKUP($B14,'[4]Analisys QBR By Machine Report'!$C$109:$BD$166,4,FALSE)</f>
        <v>0</v>
      </c>
      <c r="I14" s="13">
        <f ca="1">VLOOKUP($B14,'[4]Analisys QBR By Machine Report'!$C$109:$BD$166,5,FALSE)</f>
        <v>0</v>
      </c>
      <c r="J14" s="13">
        <f ca="1">VLOOKUP($B14,'[4]Analisys QBR By Machine Report'!$C$109:$BD$166,6,FALSE)</f>
        <v>0</v>
      </c>
      <c r="K14" s="13">
        <f ca="1">VLOOKUP($B14,'[4]Analisys QBR By Machine Report'!$C$109:$BD$166,7,FALSE)</f>
        <v>0</v>
      </c>
      <c r="L14" s="13">
        <f ca="1">VLOOKUP($B14,'[4]Analisys QBR By Machine Report'!$C$109:$BD$166,8,FALSE)</f>
        <v>5190</v>
      </c>
      <c r="M14" s="13">
        <f ca="1">VLOOKUP($B14,'[4]Analisys QBR By Machine Report'!$C$109:$BD$166,9,FALSE)</f>
        <v>1920</v>
      </c>
      <c r="N14" s="13">
        <f ca="1">VLOOKUP($B14,[4]Dasboard_QBR_Report!$B$109:$BL$166,18,FALSE)</f>
        <v>3270</v>
      </c>
      <c r="O14" s="13">
        <f ca="1">VLOOKUP($B14,'[4]Analisys QBR By Machine Report'!$C$109:$BD$166,10,FALSE)</f>
        <v>85</v>
      </c>
      <c r="P14" s="13">
        <f ca="1">VLOOKUP($B14,'[4]Analisys QBR By Machine Report'!$C$109:$BD$166,11,FALSE)</f>
        <v>85</v>
      </c>
      <c r="Q14" s="13">
        <f ca="1">VLOOKUP($B14,'[4]Analisys QBR By Machine Report'!$C$109:$BD$166,12,FALSE)</f>
        <v>0</v>
      </c>
      <c r="R14" s="13">
        <f ca="1">VLOOKUP($B14,'[4]Analisys QBR By Machine Report'!$C$109:$BD$166,13,FALSE)</f>
        <v>0</v>
      </c>
      <c r="S14" s="13">
        <f ca="1">VLOOKUP($B14,'[4]Analisys QBR By Machine Report'!$C$109:$BD$166,14,FALSE)</f>
        <v>0</v>
      </c>
      <c r="T14" s="13">
        <f ca="1">VLOOKUP($B14,'[4]Analisys QBR By Machine Report'!$C$109:$BD$166,15,FALSE)</f>
        <v>0</v>
      </c>
      <c r="U14" s="13">
        <f ca="1">VLOOKUP($B14,'[4]Analisys QBR By Machine Report'!$C$109:$BD$166,16,FALSE)</f>
        <v>0</v>
      </c>
      <c r="V14" s="13">
        <f ca="1">VLOOKUP($B14,'[4]Analisys QBR By Machine Report'!$C$109:$BD$166,17,FALSE)</f>
        <v>0</v>
      </c>
      <c r="W14" s="13">
        <f ca="1">VLOOKUP($B14,'[4]Analisys QBR By Machine Report'!$C$109:$BD$166,18,FALSE)</f>
        <v>0</v>
      </c>
      <c r="X14" s="13">
        <f ca="1">VLOOKUP($B14,'[4]Analisys QBR By Machine Report'!$C$109:$BD$166,19,FALSE)</f>
        <v>0</v>
      </c>
      <c r="Y14" s="13">
        <f ca="1">VLOOKUP($B14,'[4]Analisys QBR By Machine Report'!$C$109:$BD$166,20,FALSE)</f>
        <v>0</v>
      </c>
      <c r="Z14" s="13">
        <f ca="1">VLOOKUP($B14,'[4]Analisys QBR By Machine Report'!$C$109:$BD$166,21,FALSE)</f>
        <v>2220</v>
      </c>
      <c r="AA14" s="13">
        <f ca="1">VLOOKUP($B14,'[4]Analisys QBR By Machine Report'!$C$109:$BD$166,22,FALSE)</f>
        <v>465</v>
      </c>
      <c r="AB14" s="13">
        <f ca="1">VLOOKUP($B14,'[4]Analisys QBR By Machine Report'!$C$109:$BD$166,23,FALSE)</f>
        <v>1570</v>
      </c>
      <c r="AC14" s="13">
        <f ca="1">VLOOKUP($B14,'[4]Analisys QBR By Machine Report'!$C$109:$BD$166,24,FALSE)</f>
        <v>0</v>
      </c>
      <c r="AD14" s="13">
        <f ca="1">VLOOKUP($B14,'[4]Analisys QBR By Machine Report'!$C$109:$BD$166,25,FALSE)</f>
        <v>0</v>
      </c>
      <c r="AE14" s="13">
        <f ca="1">VLOOKUP($B14,'[4]Analisys QBR By Machine Report'!$C$109:$BD$166,26,FALSE)</f>
        <v>185</v>
      </c>
      <c r="AF14" s="13">
        <f ca="1">VLOOKUP($B14,'[4]Analisys QBR By Machine Report'!$C$109:$BD$166,27,FALSE)</f>
        <v>0</v>
      </c>
      <c r="AG14" s="13">
        <f ca="1">VLOOKUP($B14,'[4]Analisys QBR By Machine Report'!$C$109:$BD$166,28,FALSE)</f>
        <v>0</v>
      </c>
      <c r="AH14" s="13">
        <f ca="1">VLOOKUP($B14,'[4]Analisys QBR By Machine Report'!$C$109:$BD$166,29,FALSE)</f>
        <v>0</v>
      </c>
      <c r="AI14" s="13">
        <f ca="1">VLOOKUP($B14,'[4]Analisys QBR By Machine Report'!$C$109:$BD$166,30,FALSE)</f>
        <v>965</v>
      </c>
      <c r="AJ14" s="13">
        <f ca="1">VLOOKUP($B14,'[4]Analisys QBR By Machine Report'!$C$109:$BD$166,31,FALSE)</f>
        <v>0</v>
      </c>
      <c r="AK14" s="13">
        <f ca="1">VLOOKUP($B14,'[4]Analisys QBR By Machine Report'!$C$109:$BD$166,32,FALSE)</f>
        <v>0</v>
      </c>
      <c r="AL14" s="13">
        <f ca="1">VLOOKUP($B14,'[4]Analisys QBR By Machine Report'!$C$109:$BD$166,33,FALSE)</f>
        <v>330</v>
      </c>
      <c r="AM14" s="13">
        <f ca="1">VLOOKUP($B14,'[4]Analisys QBR By Machine Report'!$C$109:$BD$166,34,FALSE)</f>
        <v>0</v>
      </c>
      <c r="AN14" s="13">
        <f ca="1">VLOOKUP($B14,'[4]Analisys QBR By Machine Report'!$C$109:$BD$166,35,FALSE)</f>
        <v>200</v>
      </c>
      <c r="AO14" s="13">
        <f ca="1">VLOOKUP($B14,'[4]Analisys QBR By Machine Report'!$C$109:$BD$166,36,FALSE)</f>
        <v>0</v>
      </c>
      <c r="AP14" s="13">
        <f ca="1">VLOOKUP($B14,'[4]Analisys QBR By Machine Report'!$C$109:$BD$166,37,FALSE)</f>
        <v>0</v>
      </c>
      <c r="AQ14" s="13">
        <f ca="1">VLOOKUP($B14,'[4]Analisys QBR By Machine Report'!$C$109:$BD$166,38,FALSE)</f>
        <v>0</v>
      </c>
      <c r="AR14" s="13">
        <f ca="1">VLOOKUP($B14,'[4]Analisys QBR By Machine Report'!$C$109:$BD$166,39,FALSE)</f>
        <v>210</v>
      </c>
      <c r="AS14" s="13">
        <f ca="1">VLOOKUP($B14,'[4]Analisys QBR By Machine Report'!$C$109:$BD$166,40,FALSE)</f>
        <v>155</v>
      </c>
      <c r="AT14" s="13">
        <f ca="1">VLOOKUP($B14,'[4]Analisys QBR By Machine Report'!$C$109:$BD$166,41,FALSE)</f>
        <v>0</v>
      </c>
      <c r="AU14" s="13">
        <f ca="1">VLOOKUP($B14,'[4]Analisys QBR By Machine Report'!$C$109:$BD$166,42,FALSE)</f>
        <v>0</v>
      </c>
      <c r="AV14" s="13">
        <f ca="1">VLOOKUP($B14,'[4]Analisys QBR By Machine Report'!$C$109:$BD$166,43,FALSE)</f>
        <v>0</v>
      </c>
      <c r="AW14" s="13">
        <f ca="1">VLOOKUP($B14,'[4]Analisys QBR By Machine Report'!$C$109:$BD$166,44,FALSE)</f>
        <v>0</v>
      </c>
      <c r="AX14" s="13">
        <f ca="1">VLOOKUP($B14,'[4]Analisys QBR By Machine Report'!$C$109:$BD$166,45,FALSE)</f>
        <v>0</v>
      </c>
      <c r="AY14" s="13">
        <f ca="1">VLOOKUP($B14,'[4]Analisys QBR By Machine Report'!$C$109:$BD$166,46,FALSE)</f>
        <v>0</v>
      </c>
      <c r="AZ14" s="13">
        <f ca="1">VLOOKUP($B14,'[4]Analisys QBR By Machine Report'!$C$109:$BD$166,47,FALSE)</f>
        <v>70</v>
      </c>
      <c r="BA14" s="13">
        <f ca="1">VLOOKUP($B14,'[4]Analisys QBR By Machine Report'!$C$109:$BD$166,48,FALSE)</f>
        <v>0</v>
      </c>
      <c r="BB14" s="13">
        <f ca="1">VLOOKUP($B14,'[4]Analisys QBR By Machine Report'!$C$109:$BD$166,49,FALSE)</f>
        <v>0</v>
      </c>
      <c r="BC14" s="13">
        <f ca="1">VLOOKUP($B14,'[4]Analisys QBR By Machine Report'!$C$109:$BD$166,50,FALSE)</f>
        <v>0</v>
      </c>
      <c r="BD14" s="13">
        <f ca="1">VLOOKUP($B14,'[4]Analisys QBR By Machine Report'!$C$109:$BD$166,51,FALSE)</f>
        <v>444.25</v>
      </c>
      <c r="BE14" s="13">
        <f ca="1">VLOOKUP($B14,'[4]Analisys QBR By Machine Report'!$C$109:$BD$166,52,FALSE)</f>
        <v>0.27</v>
      </c>
      <c r="BF14" s="13">
        <f ca="1">VLOOKUP($B14,'[4]Analisys QBR By Machine Report'!$C$109:$BD$166,53,FALSE)</f>
        <v>443.98</v>
      </c>
    </row>
    <row r="15" spans="1:58" x14ac:dyDescent="0.25">
      <c r="A15" s="12" t="s">
        <v>71</v>
      </c>
      <c r="B15" s="13">
        <f ca="1">VLOOKUP($B15,'[4]Analisys QBR By Machine Report'!$C$109:$BD$166,2,FALSE)</f>
        <v>24480</v>
      </c>
      <c r="C15" s="14">
        <f ca="1">VLOOKUP($B15,[4]Dasboard_QBR_Report!$B$109:$BL$166,3,FALSE)</f>
        <v>8160</v>
      </c>
      <c r="D15" s="13">
        <f ca="1">VLOOKUP($B15,'[4]Analisys QBR By Machine Report'!$C$109:$BD$166,3,FALSE)</f>
        <v>18300</v>
      </c>
      <c r="E15" s="14">
        <f ca="1">VLOOKUP($B15,[4]Dasboard_QBR_Report!$B$109:$BL$166,5,FALSE)</f>
        <v>1980</v>
      </c>
      <c r="F15" s="13">
        <f t="shared" ca="1" si="0"/>
        <v>6180</v>
      </c>
      <c r="G15" s="13">
        <f t="shared" ca="1" si="1"/>
        <v>0</v>
      </c>
      <c r="H15" s="13">
        <f ca="1">VLOOKUP($B15,'[4]Analisys QBR By Machine Report'!$C$109:$BD$166,4,FALSE)</f>
        <v>0</v>
      </c>
      <c r="I15" s="13">
        <f ca="1">VLOOKUP($B15,'[4]Analisys QBR By Machine Report'!$C$109:$BD$166,5,FALSE)</f>
        <v>0</v>
      </c>
      <c r="J15" s="13">
        <f ca="1">VLOOKUP($B15,'[4]Analisys QBR By Machine Report'!$C$109:$BD$166,6,FALSE)</f>
        <v>0</v>
      </c>
      <c r="K15" s="13">
        <f ca="1">VLOOKUP($B15,'[4]Analisys QBR By Machine Report'!$C$109:$BD$166,7,FALSE)</f>
        <v>0</v>
      </c>
      <c r="L15" s="13">
        <f ca="1">VLOOKUP($B15,'[4]Analisys QBR By Machine Report'!$C$109:$BD$166,8,FALSE)</f>
        <v>6180</v>
      </c>
      <c r="M15" s="13">
        <f ca="1">VLOOKUP($B15,'[4]Analisys QBR By Machine Report'!$C$109:$BD$166,9,FALSE)</f>
        <v>2701</v>
      </c>
      <c r="N15" s="13">
        <f ca="1">VLOOKUP($B15,[4]Dasboard_QBR_Report!$B$109:$BL$166,18,FALSE)</f>
        <v>3479</v>
      </c>
      <c r="O15" s="13">
        <f ca="1">VLOOKUP($B15,'[4]Analisys QBR By Machine Report'!$C$109:$BD$166,10,FALSE)</f>
        <v>164</v>
      </c>
      <c r="P15" s="13">
        <f ca="1">VLOOKUP($B15,'[4]Analisys QBR By Machine Report'!$C$109:$BD$166,11,FALSE)</f>
        <v>129</v>
      </c>
      <c r="Q15" s="13">
        <f ca="1">VLOOKUP($B15,'[4]Analisys QBR By Machine Report'!$C$109:$BD$166,12,FALSE)</f>
        <v>0</v>
      </c>
      <c r="R15" s="13">
        <f ca="1">VLOOKUP($B15,'[4]Analisys QBR By Machine Report'!$C$109:$BD$166,13,FALSE)</f>
        <v>35</v>
      </c>
      <c r="S15" s="13">
        <f ca="1">VLOOKUP($B15,'[4]Analisys QBR By Machine Report'!$C$109:$BD$166,14,FALSE)</f>
        <v>0</v>
      </c>
      <c r="T15" s="13">
        <f ca="1">VLOOKUP($B15,'[4]Analisys QBR By Machine Report'!$C$109:$BD$166,15,FALSE)</f>
        <v>0</v>
      </c>
      <c r="U15" s="13">
        <f ca="1">VLOOKUP($B15,'[4]Analisys QBR By Machine Report'!$C$109:$BD$166,16,FALSE)</f>
        <v>0</v>
      </c>
      <c r="V15" s="13">
        <f ca="1">VLOOKUP($B15,'[4]Analisys QBR By Machine Report'!$C$109:$BD$166,17,FALSE)</f>
        <v>0</v>
      </c>
      <c r="W15" s="13">
        <f ca="1">VLOOKUP($B15,'[4]Analisys QBR By Machine Report'!$C$109:$BD$166,18,FALSE)</f>
        <v>0</v>
      </c>
      <c r="X15" s="13">
        <f ca="1">VLOOKUP($B15,'[4]Analisys QBR By Machine Report'!$C$109:$BD$166,19,FALSE)</f>
        <v>0</v>
      </c>
      <c r="Y15" s="13">
        <f ca="1">VLOOKUP($B15,'[4]Analisys QBR By Machine Report'!$C$109:$BD$166,20,FALSE)</f>
        <v>0</v>
      </c>
      <c r="Z15" s="13">
        <f ca="1">VLOOKUP($B15,'[4]Analisys QBR By Machine Report'!$C$109:$BD$166,21,FALSE)</f>
        <v>2285</v>
      </c>
      <c r="AA15" s="13">
        <f ca="1">VLOOKUP($B15,'[4]Analisys QBR By Machine Report'!$C$109:$BD$166,22,FALSE)</f>
        <v>675</v>
      </c>
      <c r="AB15" s="13">
        <f ca="1">VLOOKUP($B15,'[4]Analisys QBR By Machine Report'!$C$109:$BD$166,23,FALSE)</f>
        <v>1385</v>
      </c>
      <c r="AC15" s="13">
        <f ca="1">VLOOKUP($B15,'[4]Analisys QBR By Machine Report'!$C$109:$BD$166,24,FALSE)</f>
        <v>0</v>
      </c>
      <c r="AD15" s="13">
        <f ca="1">VLOOKUP($B15,'[4]Analisys QBR By Machine Report'!$C$109:$BD$166,25,FALSE)</f>
        <v>0</v>
      </c>
      <c r="AE15" s="13">
        <f ca="1">VLOOKUP($B15,'[4]Analisys QBR By Machine Report'!$C$109:$BD$166,26,FALSE)</f>
        <v>225</v>
      </c>
      <c r="AF15" s="13">
        <f ca="1">VLOOKUP($B15,'[4]Analisys QBR By Machine Report'!$C$109:$BD$166,27,FALSE)</f>
        <v>0</v>
      </c>
      <c r="AG15" s="13">
        <f ca="1">VLOOKUP($B15,'[4]Analisys QBR By Machine Report'!$C$109:$BD$166,28,FALSE)</f>
        <v>0</v>
      </c>
      <c r="AH15" s="13">
        <f ca="1">VLOOKUP($B15,'[4]Analisys QBR By Machine Report'!$C$109:$BD$166,29,FALSE)</f>
        <v>0</v>
      </c>
      <c r="AI15" s="13">
        <f ca="1">VLOOKUP($B15,'[4]Analisys QBR By Machine Report'!$C$109:$BD$166,30,FALSE)</f>
        <v>1030</v>
      </c>
      <c r="AJ15" s="13">
        <f ca="1">VLOOKUP($B15,'[4]Analisys QBR By Machine Report'!$C$109:$BD$166,31,FALSE)</f>
        <v>0</v>
      </c>
      <c r="AK15" s="13">
        <f ca="1">VLOOKUP($B15,'[4]Analisys QBR By Machine Report'!$C$109:$BD$166,32,FALSE)</f>
        <v>0</v>
      </c>
      <c r="AL15" s="13">
        <f ca="1">VLOOKUP($B15,'[4]Analisys QBR By Machine Report'!$C$109:$BD$166,33,FALSE)</f>
        <v>345</v>
      </c>
      <c r="AM15" s="13">
        <f ca="1">VLOOKUP($B15,'[4]Analisys QBR By Machine Report'!$C$109:$BD$166,34,FALSE)</f>
        <v>0</v>
      </c>
      <c r="AN15" s="13">
        <f ca="1">VLOOKUP($B15,'[4]Analisys QBR By Machine Report'!$C$109:$BD$166,35,FALSE)</f>
        <v>290</v>
      </c>
      <c r="AO15" s="13">
        <f ca="1">VLOOKUP($B15,'[4]Analisys QBR By Machine Report'!$C$109:$BD$166,36,FALSE)</f>
        <v>0</v>
      </c>
      <c r="AP15" s="13">
        <f ca="1">VLOOKUP($B15,'[4]Analisys QBR By Machine Report'!$C$109:$BD$166,37,FALSE)</f>
        <v>0</v>
      </c>
      <c r="AQ15" s="13">
        <f ca="1">VLOOKUP($B15,'[4]Analisys QBR By Machine Report'!$C$109:$BD$166,38,FALSE)</f>
        <v>0</v>
      </c>
      <c r="AR15" s="13">
        <f ca="1">VLOOKUP($B15,'[4]Analisys QBR By Machine Report'!$C$109:$BD$166,39,FALSE)</f>
        <v>170</v>
      </c>
      <c r="AS15" s="13">
        <f ca="1">VLOOKUP($B15,'[4]Analisys QBR By Machine Report'!$C$109:$BD$166,40,FALSE)</f>
        <v>140</v>
      </c>
      <c r="AT15" s="13">
        <f ca="1">VLOOKUP($B15,'[4]Analisys QBR By Machine Report'!$C$109:$BD$166,41,FALSE)</f>
        <v>0</v>
      </c>
      <c r="AU15" s="13">
        <f ca="1">VLOOKUP($B15,'[4]Analisys QBR By Machine Report'!$C$109:$BD$166,42,FALSE)</f>
        <v>0</v>
      </c>
      <c r="AV15" s="13">
        <f ca="1">VLOOKUP($B15,'[4]Analisys QBR By Machine Report'!$C$109:$BD$166,43,FALSE)</f>
        <v>0</v>
      </c>
      <c r="AW15" s="13">
        <f ca="1">VLOOKUP($B15,'[4]Analisys QBR By Machine Report'!$C$109:$BD$166,44,FALSE)</f>
        <v>0</v>
      </c>
      <c r="AX15" s="13">
        <f ca="1">VLOOKUP($B15,'[4]Analisys QBR By Machine Report'!$C$109:$BD$166,45,FALSE)</f>
        <v>0</v>
      </c>
      <c r="AY15" s="13">
        <f ca="1">VLOOKUP($B15,'[4]Analisys QBR By Machine Report'!$C$109:$BD$166,46,FALSE)</f>
        <v>0</v>
      </c>
      <c r="AZ15" s="13">
        <f ca="1">VLOOKUP($B15,'[4]Analisys QBR By Machine Report'!$C$109:$BD$166,47,FALSE)</f>
        <v>35</v>
      </c>
      <c r="BA15" s="13">
        <f ca="1">VLOOKUP($B15,'[4]Analisys QBR By Machine Report'!$C$109:$BD$166,48,FALSE)</f>
        <v>50</v>
      </c>
      <c r="BB15" s="13">
        <f ca="1">VLOOKUP($B15,'[4]Analisys QBR By Machine Report'!$C$109:$BD$166,49,FALSE)</f>
        <v>0</v>
      </c>
      <c r="BC15" s="13">
        <f ca="1">VLOOKUP($B15,'[4]Analisys QBR By Machine Report'!$C$109:$BD$166,50,FALSE)</f>
        <v>0</v>
      </c>
      <c r="BD15" s="13">
        <f ca="1">VLOOKUP($B15,'[4]Analisys QBR By Machine Report'!$C$109:$BD$166,51,FALSE)</f>
        <v>1579.94</v>
      </c>
      <c r="BE15" s="13">
        <f ca="1">VLOOKUP($B15,'[4]Analisys QBR By Machine Report'!$C$109:$BD$166,52,FALSE)</f>
        <v>0.51</v>
      </c>
      <c r="BF15" s="13">
        <f ca="1">VLOOKUP($B15,'[4]Analisys QBR By Machine Report'!$C$109:$BD$166,53,FALSE)</f>
        <v>1579.43</v>
      </c>
    </row>
    <row r="16" spans="1:58" x14ac:dyDescent="0.25">
      <c r="A16" s="9" t="s">
        <v>72</v>
      </c>
      <c r="B16" s="10">
        <f ca="1">VLOOKUP($B16,'[4]Analisys QBR By Machine Report'!$C$109:$BD$166,2,FALSE)</f>
        <v>126720</v>
      </c>
      <c r="C16" s="11">
        <f ca="1">VLOOKUP($B16,[4]Dasboard_QBR_Report!$B$109:$BL$166,3,FALSE)</f>
        <v>58440</v>
      </c>
      <c r="D16" s="10">
        <f ca="1">VLOOKUP($B16,'[4]Analisys QBR By Machine Report'!$C$109:$BD$166,3,FALSE)</f>
        <v>77100</v>
      </c>
      <c r="E16" s="11">
        <f ca="1">VLOOKUP($B16,[4]Dasboard_QBR_Report!$B$109:$BL$166,5,FALSE)</f>
        <v>8820</v>
      </c>
      <c r="F16" s="10">
        <f t="shared" ca="1" si="0"/>
        <v>49620</v>
      </c>
      <c r="G16" s="10">
        <f t="shared" ca="1" si="1"/>
        <v>645</v>
      </c>
      <c r="H16" s="10">
        <f ca="1">VLOOKUP($B16,'[4]Analisys QBR By Machine Report'!$C$109:$BD$166,4,FALSE)</f>
        <v>645</v>
      </c>
      <c r="I16" s="10">
        <f ca="1">VLOOKUP($B16,'[4]Analisys QBR By Machine Report'!$C$109:$BD$166,5,FALSE)</f>
        <v>30</v>
      </c>
      <c r="J16" s="10">
        <f ca="1">VLOOKUP($B16,'[4]Analisys QBR By Machine Report'!$C$109:$BD$166,6,FALSE)</f>
        <v>615</v>
      </c>
      <c r="K16" s="10">
        <f ca="1">VLOOKUP($B16,'[4]Analisys QBR By Machine Report'!$C$109:$BD$166,7,FALSE)</f>
        <v>0</v>
      </c>
      <c r="L16" s="10">
        <f ca="1">VLOOKUP($B16,'[4]Analisys QBR By Machine Report'!$C$109:$BD$166,8,FALSE)</f>
        <v>48975</v>
      </c>
      <c r="M16" s="10">
        <f ca="1">VLOOKUP($B16,'[4]Analisys QBR By Machine Report'!$C$109:$BD$166,9,FALSE)</f>
        <v>17400</v>
      </c>
      <c r="N16" s="10">
        <f ca="1">VLOOKUP($B16,[4]Dasboard_QBR_Report!$B$109:$BL$166,18,FALSE)</f>
        <v>31575</v>
      </c>
      <c r="O16" s="10">
        <f ca="1">VLOOKUP($B16,'[4]Analisys QBR By Machine Report'!$C$109:$BD$166,10,FALSE)</f>
        <v>7650</v>
      </c>
      <c r="P16" s="10">
        <f ca="1">VLOOKUP($B16,'[4]Analisys QBR By Machine Report'!$C$109:$BD$166,11,FALSE)</f>
        <v>4680</v>
      </c>
      <c r="Q16" s="10">
        <f ca="1">VLOOKUP($B16,'[4]Analisys QBR By Machine Report'!$C$109:$BD$166,12,FALSE)</f>
        <v>0</v>
      </c>
      <c r="R16" s="10">
        <f ca="1">VLOOKUP($B16,'[4]Analisys QBR By Machine Report'!$C$109:$BD$166,13,FALSE)</f>
        <v>2920</v>
      </c>
      <c r="S16" s="10">
        <f ca="1">VLOOKUP($B16,'[4]Analisys QBR By Machine Report'!$C$109:$BD$166,14,FALSE)</f>
        <v>50</v>
      </c>
      <c r="T16" s="10">
        <f ca="1">VLOOKUP($B16,'[4]Analisys QBR By Machine Report'!$C$109:$BD$166,15,FALSE)</f>
        <v>845</v>
      </c>
      <c r="U16" s="10">
        <f ca="1">VLOOKUP($B16,'[4]Analisys QBR By Machine Report'!$C$109:$BD$166,16,FALSE)</f>
        <v>595</v>
      </c>
      <c r="V16" s="10">
        <f ca="1">VLOOKUP($B16,'[4]Analisys QBR By Machine Report'!$C$109:$BD$166,17,FALSE)</f>
        <v>155</v>
      </c>
      <c r="W16" s="10">
        <f ca="1">VLOOKUP($B16,'[4]Analisys QBR By Machine Report'!$C$109:$BD$166,18,FALSE)</f>
        <v>0</v>
      </c>
      <c r="X16" s="10">
        <f ca="1">VLOOKUP($B16,'[4]Analisys QBR By Machine Report'!$C$109:$BD$166,19,FALSE)</f>
        <v>0</v>
      </c>
      <c r="Y16" s="10">
        <f ca="1">VLOOKUP($B16,'[4]Analisys QBR By Machine Report'!$C$109:$BD$166,20,FALSE)</f>
        <v>95</v>
      </c>
      <c r="Z16" s="10">
        <f ca="1">VLOOKUP($B16,'[4]Analisys QBR By Machine Report'!$C$109:$BD$166,21,FALSE)</f>
        <v>12270</v>
      </c>
      <c r="AA16" s="10">
        <f ca="1">VLOOKUP($B16,'[4]Analisys QBR By Machine Report'!$C$109:$BD$166,22,FALSE)</f>
        <v>6785</v>
      </c>
      <c r="AB16" s="10">
        <f ca="1">VLOOKUP($B16,'[4]Analisys QBR By Machine Report'!$C$109:$BD$166,23,FALSE)</f>
        <v>1990</v>
      </c>
      <c r="AC16" s="10">
        <f ca="1">VLOOKUP($B16,'[4]Analisys QBR By Machine Report'!$C$109:$BD$166,24,FALSE)</f>
        <v>2590</v>
      </c>
      <c r="AD16" s="10">
        <f ca="1">VLOOKUP($B16,'[4]Analisys QBR By Machine Report'!$C$109:$BD$166,25,FALSE)</f>
        <v>0</v>
      </c>
      <c r="AE16" s="10">
        <f ca="1">VLOOKUP($B16,'[4]Analisys QBR By Machine Report'!$C$109:$BD$166,26,FALSE)</f>
        <v>905</v>
      </c>
      <c r="AF16" s="10">
        <f ca="1">VLOOKUP($B16,'[4]Analisys QBR By Machine Report'!$C$109:$BD$166,27,FALSE)</f>
        <v>440</v>
      </c>
      <c r="AG16" s="10">
        <f ca="1">VLOOKUP($B16,'[4]Analisys QBR By Machine Report'!$C$109:$BD$166,28,FALSE)</f>
        <v>0</v>
      </c>
      <c r="AH16" s="10">
        <f ca="1">VLOOKUP($B16,'[4]Analisys QBR By Machine Report'!$C$109:$BD$166,29,FALSE)</f>
        <v>440</v>
      </c>
      <c r="AI16" s="10">
        <f ca="1">VLOOKUP($B16,'[4]Analisys QBR By Machine Report'!$C$109:$BD$166,30,FALSE)</f>
        <v>10370</v>
      </c>
      <c r="AJ16" s="10">
        <f ca="1">VLOOKUP($B16,'[4]Analisys QBR By Machine Report'!$C$109:$BD$166,31,FALSE)</f>
        <v>0</v>
      </c>
      <c r="AK16" s="10">
        <f ca="1">VLOOKUP($B16,'[4]Analisys QBR By Machine Report'!$C$109:$BD$166,32,FALSE)</f>
        <v>0</v>
      </c>
      <c r="AL16" s="10">
        <f ca="1">VLOOKUP($B16,'[4]Analisys QBR By Machine Report'!$C$109:$BD$166,33,FALSE)</f>
        <v>3145</v>
      </c>
      <c r="AM16" s="10">
        <f ca="1">VLOOKUP($B16,'[4]Analisys QBR By Machine Report'!$C$109:$BD$166,34,FALSE)</f>
        <v>0</v>
      </c>
      <c r="AN16" s="10">
        <f ca="1">VLOOKUP($B16,'[4]Analisys QBR By Machine Report'!$C$109:$BD$166,35,FALSE)</f>
        <v>2655</v>
      </c>
      <c r="AO16" s="10">
        <f ca="1">VLOOKUP($B16,'[4]Analisys QBR By Machine Report'!$C$109:$BD$166,36,FALSE)</f>
        <v>585</v>
      </c>
      <c r="AP16" s="10">
        <f ca="1">VLOOKUP($B16,'[4]Analisys QBR By Machine Report'!$C$109:$BD$166,37,FALSE)</f>
        <v>0</v>
      </c>
      <c r="AQ16" s="10">
        <f ca="1">VLOOKUP($B16,'[4]Analisys QBR By Machine Report'!$C$109:$BD$166,38,FALSE)</f>
        <v>0</v>
      </c>
      <c r="AR16" s="10">
        <f ca="1">VLOOKUP($B16,'[4]Analisys QBR By Machine Report'!$C$109:$BD$166,39,FALSE)</f>
        <v>0</v>
      </c>
      <c r="AS16" s="10">
        <f ca="1">VLOOKUP($B16,'[4]Analisys QBR By Machine Report'!$C$109:$BD$166,40,FALSE)</f>
        <v>1810</v>
      </c>
      <c r="AT16" s="10">
        <f ca="1">VLOOKUP($B16,'[4]Analisys QBR By Machine Report'!$C$109:$BD$166,41,FALSE)</f>
        <v>0</v>
      </c>
      <c r="AU16" s="10">
        <f ca="1">VLOOKUP($B16,'[4]Analisys QBR By Machine Report'!$C$109:$BD$166,42,FALSE)</f>
        <v>0</v>
      </c>
      <c r="AV16" s="10">
        <f ca="1">VLOOKUP($B16,'[4]Analisys QBR By Machine Report'!$C$109:$BD$166,43,FALSE)</f>
        <v>0</v>
      </c>
      <c r="AW16" s="10">
        <f ca="1">VLOOKUP($B16,'[4]Analisys QBR By Machine Report'!$C$109:$BD$166,44,FALSE)</f>
        <v>0</v>
      </c>
      <c r="AX16" s="10">
        <f ca="1">VLOOKUP($B16,'[4]Analisys QBR By Machine Report'!$C$109:$BD$166,45,FALSE)</f>
        <v>0</v>
      </c>
      <c r="AY16" s="10">
        <f ca="1">VLOOKUP($B16,'[4]Analisys QBR By Machine Report'!$C$109:$BD$166,46,FALSE)</f>
        <v>0</v>
      </c>
      <c r="AZ16" s="10">
        <f ca="1">VLOOKUP($B16,'[4]Analisys QBR By Machine Report'!$C$109:$BD$166,47,FALSE)</f>
        <v>2065</v>
      </c>
      <c r="BA16" s="10">
        <f ca="1">VLOOKUP($B16,'[4]Analisys QBR By Machine Report'!$C$109:$BD$166,48,FALSE)</f>
        <v>105</v>
      </c>
      <c r="BB16" s="10">
        <f ca="1">VLOOKUP($B16,'[4]Analisys QBR By Machine Report'!$C$109:$BD$166,49,FALSE)</f>
        <v>0</v>
      </c>
      <c r="BC16" s="10">
        <f ca="1">VLOOKUP($B16,'[4]Analisys QBR By Machine Report'!$C$109:$BD$166,50,FALSE)</f>
        <v>5</v>
      </c>
      <c r="BD16" s="10">
        <f ca="1">VLOOKUP($B16,'[4]Analisys QBR By Machine Report'!$C$109:$BD$166,51,FALSE)</f>
        <v>10042341</v>
      </c>
      <c r="BE16" s="10">
        <f ca="1">VLOOKUP($B16,'[4]Analisys QBR By Machine Report'!$C$109:$BD$166,52,FALSE)</f>
        <v>69797</v>
      </c>
      <c r="BF16" s="10">
        <f ca="1">VLOOKUP($B16,'[4]Analisys QBR By Machine Report'!$C$109:$BD$166,53,FALSE)</f>
        <v>9972544</v>
      </c>
    </row>
    <row r="17" spans="1:58" x14ac:dyDescent="0.25">
      <c r="A17" s="12" t="s">
        <v>73</v>
      </c>
      <c r="B17" s="13">
        <f ca="1">VLOOKUP($B17,'[4]Analisys QBR By Machine Report'!$C$109:$BD$166,2,FALSE)</f>
        <v>25920</v>
      </c>
      <c r="C17" s="14">
        <f ca="1">VLOOKUP($B17,[4]Dasboard_QBR_Report!$B$109:$BL$166,3,FALSE)</f>
        <v>16740</v>
      </c>
      <c r="D17" s="13">
        <f ca="1">VLOOKUP($B17,'[4]Analisys QBR By Machine Report'!$C$109:$BD$166,3,FALSE)</f>
        <v>10500</v>
      </c>
      <c r="E17" s="14">
        <f ca="1">VLOOKUP($B17,[4]Dasboard_QBR_Report!$B$109:$BL$166,5,FALSE)</f>
        <v>1320</v>
      </c>
      <c r="F17" s="13">
        <f t="shared" ca="1" si="0"/>
        <v>15420</v>
      </c>
      <c r="G17" s="13">
        <f t="shared" ca="1" si="1"/>
        <v>0</v>
      </c>
      <c r="H17" s="13">
        <f ca="1">VLOOKUP($B17,'[4]Analisys QBR By Machine Report'!$C$109:$BD$166,4,FALSE)</f>
        <v>0</v>
      </c>
      <c r="I17" s="13">
        <f ca="1">VLOOKUP($B17,'[4]Analisys QBR By Machine Report'!$C$109:$BD$166,5,FALSE)</f>
        <v>0</v>
      </c>
      <c r="J17" s="13">
        <f ca="1">VLOOKUP($B17,'[4]Analisys QBR By Machine Report'!$C$109:$BD$166,6,FALSE)</f>
        <v>0</v>
      </c>
      <c r="K17" s="13">
        <f ca="1">VLOOKUP($B17,'[4]Analisys QBR By Machine Report'!$C$109:$BD$166,7,FALSE)</f>
        <v>0</v>
      </c>
      <c r="L17" s="13">
        <f ca="1">VLOOKUP($B17,'[4]Analisys QBR By Machine Report'!$C$109:$BD$166,8,FALSE)</f>
        <v>15420</v>
      </c>
      <c r="M17" s="13">
        <f ca="1">VLOOKUP($B17,'[4]Analisys QBR By Machine Report'!$C$109:$BD$166,9,FALSE)</f>
        <v>5535</v>
      </c>
      <c r="N17" s="13">
        <f ca="1">VLOOKUP($B17,[4]Dasboard_QBR_Report!$B$109:$BL$166,18,FALSE)</f>
        <v>9885</v>
      </c>
      <c r="O17" s="13">
        <f ca="1">VLOOKUP($B17,'[4]Analisys QBR By Machine Report'!$C$109:$BD$166,10,FALSE)</f>
        <v>3070</v>
      </c>
      <c r="P17" s="13">
        <f ca="1">VLOOKUP($B17,'[4]Analisys QBR By Machine Report'!$C$109:$BD$166,11,FALSE)</f>
        <v>1475</v>
      </c>
      <c r="Q17" s="13">
        <f ca="1">VLOOKUP($B17,'[4]Analisys QBR By Machine Report'!$C$109:$BD$166,12,FALSE)</f>
        <v>0</v>
      </c>
      <c r="R17" s="13">
        <f ca="1">VLOOKUP($B17,'[4]Analisys QBR By Machine Report'!$C$109:$BD$166,13,FALSE)</f>
        <v>1595</v>
      </c>
      <c r="S17" s="13">
        <f ca="1">VLOOKUP($B17,'[4]Analisys QBR By Machine Report'!$C$109:$BD$166,14,FALSE)</f>
        <v>0</v>
      </c>
      <c r="T17" s="13">
        <f ca="1">VLOOKUP($B17,'[4]Analisys QBR By Machine Report'!$C$109:$BD$166,15,FALSE)</f>
        <v>170</v>
      </c>
      <c r="U17" s="13">
        <f ca="1">VLOOKUP($B17,'[4]Analisys QBR By Machine Report'!$C$109:$BD$166,16,FALSE)</f>
        <v>115</v>
      </c>
      <c r="V17" s="13">
        <f ca="1">VLOOKUP($B17,'[4]Analisys QBR By Machine Report'!$C$109:$BD$166,17,FALSE)</f>
        <v>0</v>
      </c>
      <c r="W17" s="13">
        <f ca="1">VLOOKUP($B17,'[4]Analisys QBR By Machine Report'!$C$109:$BD$166,18,FALSE)</f>
        <v>0</v>
      </c>
      <c r="X17" s="13">
        <f ca="1">VLOOKUP($B17,'[4]Analisys QBR By Machine Report'!$C$109:$BD$166,19,FALSE)</f>
        <v>0</v>
      </c>
      <c r="Y17" s="13">
        <f ca="1">VLOOKUP($B17,'[4]Analisys QBR By Machine Report'!$C$109:$BD$166,20,FALSE)</f>
        <v>55</v>
      </c>
      <c r="Z17" s="13">
        <f ca="1">VLOOKUP($B17,'[4]Analisys QBR By Machine Report'!$C$109:$BD$166,21,FALSE)</f>
        <v>3140</v>
      </c>
      <c r="AA17" s="13">
        <f ca="1">VLOOKUP($B17,'[4]Analisys QBR By Machine Report'!$C$109:$BD$166,22,FALSE)</f>
        <v>1560</v>
      </c>
      <c r="AB17" s="13">
        <f ca="1">VLOOKUP($B17,'[4]Analisys QBR By Machine Report'!$C$109:$BD$166,23,FALSE)</f>
        <v>590</v>
      </c>
      <c r="AC17" s="13">
        <f ca="1">VLOOKUP($B17,'[4]Analisys QBR By Machine Report'!$C$109:$BD$166,24,FALSE)</f>
        <v>690</v>
      </c>
      <c r="AD17" s="13">
        <f ca="1">VLOOKUP($B17,'[4]Analisys QBR By Machine Report'!$C$109:$BD$166,25,FALSE)</f>
        <v>0</v>
      </c>
      <c r="AE17" s="13">
        <f ca="1">VLOOKUP($B17,'[4]Analisys QBR By Machine Report'!$C$109:$BD$166,26,FALSE)</f>
        <v>300</v>
      </c>
      <c r="AF17" s="13">
        <f ca="1">VLOOKUP($B17,'[4]Analisys QBR By Machine Report'!$C$109:$BD$166,27,FALSE)</f>
        <v>5</v>
      </c>
      <c r="AG17" s="13">
        <f ca="1">VLOOKUP($B17,'[4]Analisys QBR By Machine Report'!$C$109:$BD$166,28,FALSE)</f>
        <v>0</v>
      </c>
      <c r="AH17" s="13">
        <f ca="1">VLOOKUP($B17,'[4]Analisys QBR By Machine Report'!$C$109:$BD$166,29,FALSE)</f>
        <v>5</v>
      </c>
      <c r="AI17" s="13">
        <f ca="1">VLOOKUP($B17,'[4]Analisys QBR By Machine Report'!$C$109:$BD$166,30,FALSE)</f>
        <v>3500</v>
      </c>
      <c r="AJ17" s="13">
        <f ca="1">VLOOKUP($B17,'[4]Analisys QBR By Machine Report'!$C$109:$BD$166,31,FALSE)</f>
        <v>0</v>
      </c>
      <c r="AK17" s="13">
        <f ca="1">VLOOKUP($B17,'[4]Analisys QBR By Machine Report'!$C$109:$BD$166,32,FALSE)</f>
        <v>0</v>
      </c>
      <c r="AL17" s="13">
        <f ca="1">VLOOKUP($B17,'[4]Analisys QBR By Machine Report'!$C$109:$BD$166,33,FALSE)</f>
        <v>1020</v>
      </c>
      <c r="AM17" s="13">
        <f ca="1">VLOOKUP($B17,'[4]Analisys QBR By Machine Report'!$C$109:$BD$166,34,FALSE)</f>
        <v>0</v>
      </c>
      <c r="AN17" s="13">
        <f ca="1">VLOOKUP($B17,'[4]Analisys QBR By Machine Report'!$C$109:$BD$166,35,FALSE)</f>
        <v>955</v>
      </c>
      <c r="AO17" s="13">
        <f ca="1">VLOOKUP($B17,'[4]Analisys QBR By Machine Report'!$C$109:$BD$166,36,FALSE)</f>
        <v>0</v>
      </c>
      <c r="AP17" s="13">
        <f ca="1">VLOOKUP($B17,'[4]Analisys QBR By Machine Report'!$C$109:$BD$166,37,FALSE)</f>
        <v>0</v>
      </c>
      <c r="AQ17" s="13">
        <f ca="1">VLOOKUP($B17,'[4]Analisys QBR By Machine Report'!$C$109:$BD$166,38,FALSE)</f>
        <v>0</v>
      </c>
      <c r="AR17" s="13">
        <f ca="1">VLOOKUP($B17,'[4]Analisys QBR By Machine Report'!$C$109:$BD$166,39,FALSE)</f>
        <v>0</v>
      </c>
      <c r="AS17" s="13">
        <f ca="1">VLOOKUP($B17,'[4]Analisys QBR By Machine Report'!$C$109:$BD$166,40,FALSE)</f>
        <v>685</v>
      </c>
      <c r="AT17" s="13">
        <f ca="1">VLOOKUP($B17,'[4]Analisys QBR By Machine Report'!$C$109:$BD$166,41,FALSE)</f>
        <v>0</v>
      </c>
      <c r="AU17" s="13">
        <f ca="1">VLOOKUP($B17,'[4]Analisys QBR By Machine Report'!$C$109:$BD$166,42,FALSE)</f>
        <v>0</v>
      </c>
      <c r="AV17" s="13">
        <f ca="1">VLOOKUP($B17,'[4]Analisys QBR By Machine Report'!$C$109:$BD$166,43,FALSE)</f>
        <v>0</v>
      </c>
      <c r="AW17" s="13">
        <f ca="1">VLOOKUP($B17,'[4]Analisys QBR By Machine Report'!$C$109:$BD$166,44,FALSE)</f>
        <v>0</v>
      </c>
      <c r="AX17" s="13">
        <f ca="1">VLOOKUP($B17,'[4]Analisys QBR By Machine Report'!$C$109:$BD$166,45,FALSE)</f>
        <v>0</v>
      </c>
      <c r="AY17" s="13">
        <f ca="1">VLOOKUP($B17,'[4]Analisys QBR By Machine Report'!$C$109:$BD$166,46,FALSE)</f>
        <v>0</v>
      </c>
      <c r="AZ17" s="13">
        <f ca="1">VLOOKUP($B17,'[4]Analisys QBR By Machine Report'!$C$109:$BD$166,47,FALSE)</f>
        <v>730</v>
      </c>
      <c r="BA17" s="13">
        <f ca="1">VLOOKUP($B17,'[4]Analisys QBR By Machine Report'!$C$109:$BD$166,48,FALSE)</f>
        <v>105</v>
      </c>
      <c r="BB17" s="13">
        <f ca="1">VLOOKUP($B17,'[4]Analisys QBR By Machine Report'!$C$109:$BD$166,49,FALSE)</f>
        <v>0</v>
      </c>
      <c r="BC17" s="13">
        <f ca="1">VLOOKUP($B17,'[4]Analisys QBR By Machine Report'!$C$109:$BD$166,50,FALSE)</f>
        <v>5</v>
      </c>
      <c r="BD17" s="13">
        <f ca="1">VLOOKUP($B17,'[4]Analisys QBR By Machine Report'!$C$109:$BD$166,51,FALSE)</f>
        <v>3904720</v>
      </c>
      <c r="BE17" s="13">
        <f ca="1">VLOOKUP($B17,'[4]Analisys QBR By Machine Report'!$C$109:$BD$166,52,FALSE)</f>
        <v>18170</v>
      </c>
      <c r="BF17" s="13">
        <f ca="1">VLOOKUP($B17,'[4]Analisys QBR By Machine Report'!$C$109:$BD$166,53,FALSE)</f>
        <v>3886550</v>
      </c>
    </row>
    <row r="18" spans="1:58" x14ac:dyDescent="0.25">
      <c r="A18" s="12" t="s">
        <v>74</v>
      </c>
      <c r="B18" s="13">
        <f ca="1">VLOOKUP($B18,'[4]Analisys QBR By Machine Report'!$C$109:$BD$166,2,FALSE)</f>
        <v>25920</v>
      </c>
      <c r="C18" s="14">
        <f ca="1">VLOOKUP($B18,[4]Dasboard_QBR_Report!$B$109:$BL$166,3,FALSE)</f>
        <v>16740</v>
      </c>
      <c r="D18" s="13">
        <f ca="1">VLOOKUP($B18,'[4]Analisys QBR By Machine Report'!$C$109:$BD$166,3,FALSE)</f>
        <v>11460</v>
      </c>
      <c r="E18" s="14">
        <f ca="1">VLOOKUP($B18,[4]Dasboard_QBR_Report!$B$109:$BL$166,5,FALSE)</f>
        <v>2280</v>
      </c>
      <c r="F18" s="13">
        <f t="shared" ca="1" si="0"/>
        <v>14460</v>
      </c>
      <c r="G18" s="13">
        <f t="shared" ca="1" si="1"/>
        <v>0</v>
      </c>
      <c r="H18" s="13">
        <f ca="1">VLOOKUP($B18,'[4]Analisys QBR By Machine Report'!$C$109:$BD$166,4,FALSE)</f>
        <v>0</v>
      </c>
      <c r="I18" s="13">
        <f ca="1">VLOOKUP($B18,'[4]Analisys QBR By Machine Report'!$C$109:$BD$166,5,FALSE)</f>
        <v>0</v>
      </c>
      <c r="J18" s="13">
        <f ca="1">VLOOKUP($B18,'[4]Analisys QBR By Machine Report'!$C$109:$BD$166,6,FALSE)</f>
        <v>0</v>
      </c>
      <c r="K18" s="13">
        <f ca="1">VLOOKUP($B18,'[4]Analisys QBR By Machine Report'!$C$109:$BD$166,7,FALSE)</f>
        <v>0</v>
      </c>
      <c r="L18" s="13">
        <f ca="1">VLOOKUP($B18,'[4]Analisys QBR By Machine Report'!$C$109:$BD$166,8,FALSE)</f>
        <v>14460</v>
      </c>
      <c r="M18" s="13">
        <f ca="1">VLOOKUP($B18,'[4]Analisys QBR By Machine Report'!$C$109:$BD$166,9,FALSE)</f>
        <v>4095</v>
      </c>
      <c r="N18" s="13">
        <f ca="1">VLOOKUP($B18,[4]Dasboard_QBR_Report!$B$109:$BL$166,18,FALSE)</f>
        <v>10365</v>
      </c>
      <c r="O18" s="13">
        <f ca="1">VLOOKUP($B18,'[4]Analisys QBR By Machine Report'!$C$109:$BD$166,10,FALSE)</f>
        <v>2145</v>
      </c>
      <c r="P18" s="13">
        <f ca="1">VLOOKUP($B18,'[4]Analisys QBR By Machine Report'!$C$109:$BD$166,11,FALSE)</f>
        <v>1460</v>
      </c>
      <c r="Q18" s="13">
        <f ca="1">VLOOKUP($B18,'[4]Analisys QBR By Machine Report'!$C$109:$BD$166,12,FALSE)</f>
        <v>0</v>
      </c>
      <c r="R18" s="13">
        <f ca="1">VLOOKUP($B18,'[4]Analisys QBR By Machine Report'!$C$109:$BD$166,13,FALSE)</f>
        <v>685</v>
      </c>
      <c r="S18" s="13">
        <f ca="1">VLOOKUP($B18,'[4]Analisys QBR By Machine Report'!$C$109:$BD$166,14,FALSE)</f>
        <v>0</v>
      </c>
      <c r="T18" s="13">
        <f ca="1">VLOOKUP($B18,'[4]Analisys QBR By Machine Report'!$C$109:$BD$166,15,FALSE)</f>
        <v>440</v>
      </c>
      <c r="U18" s="13">
        <f ca="1">VLOOKUP($B18,'[4]Analisys QBR By Machine Report'!$C$109:$BD$166,16,FALSE)</f>
        <v>355</v>
      </c>
      <c r="V18" s="13">
        <f ca="1">VLOOKUP($B18,'[4]Analisys QBR By Machine Report'!$C$109:$BD$166,17,FALSE)</f>
        <v>85</v>
      </c>
      <c r="W18" s="13">
        <f ca="1">VLOOKUP($B18,'[4]Analisys QBR By Machine Report'!$C$109:$BD$166,18,FALSE)</f>
        <v>0</v>
      </c>
      <c r="X18" s="13">
        <f ca="1">VLOOKUP($B18,'[4]Analisys QBR By Machine Report'!$C$109:$BD$166,19,FALSE)</f>
        <v>0</v>
      </c>
      <c r="Y18" s="13">
        <f ca="1">VLOOKUP($B18,'[4]Analisys QBR By Machine Report'!$C$109:$BD$166,20,FALSE)</f>
        <v>0</v>
      </c>
      <c r="Z18" s="13">
        <f ca="1">VLOOKUP($B18,'[4]Analisys QBR By Machine Report'!$C$109:$BD$166,21,FALSE)</f>
        <v>4130</v>
      </c>
      <c r="AA18" s="13">
        <f ca="1">VLOOKUP($B18,'[4]Analisys QBR By Machine Report'!$C$109:$BD$166,22,FALSE)</f>
        <v>2320</v>
      </c>
      <c r="AB18" s="13">
        <f ca="1">VLOOKUP($B18,'[4]Analisys QBR By Machine Report'!$C$109:$BD$166,23,FALSE)</f>
        <v>755</v>
      </c>
      <c r="AC18" s="13">
        <f ca="1">VLOOKUP($B18,'[4]Analisys QBR By Machine Report'!$C$109:$BD$166,24,FALSE)</f>
        <v>845</v>
      </c>
      <c r="AD18" s="13">
        <f ca="1">VLOOKUP($B18,'[4]Analisys QBR By Machine Report'!$C$109:$BD$166,25,FALSE)</f>
        <v>0</v>
      </c>
      <c r="AE18" s="13">
        <f ca="1">VLOOKUP($B18,'[4]Analisys QBR By Machine Report'!$C$109:$BD$166,26,FALSE)</f>
        <v>210</v>
      </c>
      <c r="AF18" s="13">
        <f ca="1">VLOOKUP($B18,'[4]Analisys QBR By Machine Report'!$C$109:$BD$166,27,FALSE)</f>
        <v>435</v>
      </c>
      <c r="AG18" s="13">
        <f ca="1">VLOOKUP($B18,'[4]Analisys QBR By Machine Report'!$C$109:$BD$166,28,FALSE)</f>
        <v>0</v>
      </c>
      <c r="AH18" s="13">
        <f ca="1">VLOOKUP($B18,'[4]Analisys QBR By Machine Report'!$C$109:$BD$166,29,FALSE)</f>
        <v>435</v>
      </c>
      <c r="AI18" s="13">
        <f ca="1">VLOOKUP($B18,'[4]Analisys QBR By Machine Report'!$C$109:$BD$166,30,FALSE)</f>
        <v>3215</v>
      </c>
      <c r="AJ18" s="13">
        <f ca="1">VLOOKUP($B18,'[4]Analisys QBR By Machine Report'!$C$109:$BD$166,31,FALSE)</f>
        <v>0</v>
      </c>
      <c r="AK18" s="13">
        <f ca="1">VLOOKUP($B18,'[4]Analisys QBR By Machine Report'!$C$109:$BD$166,32,FALSE)</f>
        <v>0</v>
      </c>
      <c r="AL18" s="13">
        <f ca="1">VLOOKUP($B18,'[4]Analisys QBR By Machine Report'!$C$109:$BD$166,33,FALSE)</f>
        <v>925</v>
      </c>
      <c r="AM18" s="13">
        <f ca="1">VLOOKUP($B18,'[4]Analisys QBR By Machine Report'!$C$109:$BD$166,34,FALSE)</f>
        <v>0</v>
      </c>
      <c r="AN18" s="13">
        <f ca="1">VLOOKUP($B18,'[4]Analisys QBR By Machine Report'!$C$109:$BD$166,35,FALSE)</f>
        <v>805</v>
      </c>
      <c r="AO18" s="13">
        <f ca="1">VLOOKUP($B18,'[4]Analisys QBR By Machine Report'!$C$109:$BD$166,36,FALSE)</f>
        <v>460</v>
      </c>
      <c r="AP18" s="13">
        <f ca="1">VLOOKUP($B18,'[4]Analisys QBR By Machine Report'!$C$109:$BD$166,37,FALSE)</f>
        <v>0</v>
      </c>
      <c r="AQ18" s="13">
        <f ca="1">VLOOKUP($B18,'[4]Analisys QBR By Machine Report'!$C$109:$BD$166,38,FALSE)</f>
        <v>0</v>
      </c>
      <c r="AR18" s="13">
        <f ca="1">VLOOKUP($B18,'[4]Analisys QBR By Machine Report'!$C$109:$BD$166,39,FALSE)</f>
        <v>0</v>
      </c>
      <c r="AS18" s="13">
        <f ca="1">VLOOKUP($B18,'[4]Analisys QBR By Machine Report'!$C$109:$BD$166,40,FALSE)</f>
        <v>465</v>
      </c>
      <c r="AT18" s="13">
        <f ca="1">VLOOKUP($B18,'[4]Analisys QBR By Machine Report'!$C$109:$BD$166,41,FALSE)</f>
        <v>0</v>
      </c>
      <c r="AU18" s="13">
        <f ca="1">VLOOKUP($B18,'[4]Analisys QBR By Machine Report'!$C$109:$BD$166,42,FALSE)</f>
        <v>0</v>
      </c>
      <c r="AV18" s="13">
        <f ca="1">VLOOKUP($B18,'[4]Analisys QBR By Machine Report'!$C$109:$BD$166,43,FALSE)</f>
        <v>0</v>
      </c>
      <c r="AW18" s="13">
        <f ca="1">VLOOKUP($B18,'[4]Analisys QBR By Machine Report'!$C$109:$BD$166,44,FALSE)</f>
        <v>0</v>
      </c>
      <c r="AX18" s="13">
        <f ca="1">VLOOKUP($B18,'[4]Analisys QBR By Machine Report'!$C$109:$BD$166,45,FALSE)</f>
        <v>0</v>
      </c>
      <c r="AY18" s="13">
        <f ca="1">VLOOKUP($B18,'[4]Analisys QBR By Machine Report'!$C$109:$BD$166,46,FALSE)</f>
        <v>0</v>
      </c>
      <c r="AZ18" s="13">
        <f ca="1">VLOOKUP($B18,'[4]Analisys QBR By Machine Report'!$C$109:$BD$166,47,FALSE)</f>
        <v>560</v>
      </c>
      <c r="BA18" s="13">
        <f ca="1">VLOOKUP($B18,'[4]Analisys QBR By Machine Report'!$C$109:$BD$166,48,FALSE)</f>
        <v>0</v>
      </c>
      <c r="BB18" s="13">
        <f ca="1">VLOOKUP($B18,'[4]Analisys QBR By Machine Report'!$C$109:$BD$166,49,FALSE)</f>
        <v>0</v>
      </c>
      <c r="BC18" s="13">
        <f ca="1">VLOOKUP($B18,'[4]Analisys QBR By Machine Report'!$C$109:$BD$166,50,FALSE)</f>
        <v>0</v>
      </c>
      <c r="BD18" s="13">
        <f ca="1">VLOOKUP($B18,'[4]Analisys QBR By Machine Report'!$C$109:$BD$166,51,FALSE)</f>
        <v>4633930</v>
      </c>
      <c r="BE18" s="13">
        <f ca="1">VLOOKUP($B18,'[4]Analisys QBR By Machine Report'!$C$109:$BD$166,52,FALSE)</f>
        <v>42660</v>
      </c>
      <c r="BF18" s="13">
        <f ca="1">VLOOKUP($B18,'[4]Analisys QBR By Machine Report'!$C$109:$BD$166,53,FALSE)</f>
        <v>4591270</v>
      </c>
    </row>
    <row r="19" spans="1:58" x14ac:dyDescent="0.25">
      <c r="A19" s="12" t="s">
        <v>75</v>
      </c>
      <c r="B19" s="13">
        <f ca="1">VLOOKUP($B19,'[4]Analisys QBR By Machine Report'!$C$109:$BD$166,2,FALSE)</f>
        <v>25920</v>
      </c>
      <c r="C19" s="14">
        <f ca="1">VLOOKUP($B19,[4]Dasboard_QBR_Report!$B$109:$BL$166,3,FALSE)</f>
        <v>8640</v>
      </c>
      <c r="D19" s="13">
        <f ca="1">VLOOKUP($B19,'[4]Analisys QBR By Machine Report'!$C$109:$BD$166,3,FALSE)</f>
        <v>17550</v>
      </c>
      <c r="E19" s="14">
        <f ca="1">VLOOKUP($B19,[4]Dasboard_QBR_Report!$B$109:$BL$166,5,FALSE)</f>
        <v>270</v>
      </c>
      <c r="F19" s="13">
        <f t="shared" ca="1" si="0"/>
        <v>8370</v>
      </c>
      <c r="G19" s="13">
        <f t="shared" ca="1" si="1"/>
        <v>0</v>
      </c>
      <c r="H19" s="13">
        <f ca="1">VLOOKUP($B19,'[4]Analisys QBR By Machine Report'!$C$109:$BD$166,4,FALSE)</f>
        <v>0</v>
      </c>
      <c r="I19" s="13">
        <f ca="1">VLOOKUP($B19,'[4]Analisys QBR By Machine Report'!$C$109:$BD$166,5,FALSE)</f>
        <v>0</v>
      </c>
      <c r="J19" s="13">
        <f ca="1">VLOOKUP($B19,'[4]Analisys QBR By Machine Report'!$C$109:$BD$166,6,FALSE)</f>
        <v>0</v>
      </c>
      <c r="K19" s="13">
        <f ca="1">VLOOKUP($B19,'[4]Analisys QBR By Machine Report'!$C$109:$BD$166,7,FALSE)</f>
        <v>0</v>
      </c>
      <c r="L19" s="13">
        <f ca="1">VLOOKUP($B19,'[4]Analisys QBR By Machine Report'!$C$109:$BD$166,8,FALSE)</f>
        <v>8370</v>
      </c>
      <c r="M19" s="13">
        <f ca="1">VLOOKUP($B19,'[4]Analisys QBR By Machine Report'!$C$109:$BD$166,9,FALSE)</f>
        <v>2310</v>
      </c>
      <c r="N19" s="13">
        <f ca="1">VLOOKUP($B19,[4]Dasboard_QBR_Report!$B$109:$BL$166,18,FALSE)</f>
        <v>6060</v>
      </c>
      <c r="O19" s="13">
        <f ca="1">VLOOKUP($B19,'[4]Analisys QBR By Machine Report'!$C$109:$BD$166,10,FALSE)</f>
        <v>1735</v>
      </c>
      <c r="P19" s="13">
        <f ca="1">VLOOKUP($B19,'[4]Analisys QBR By Machine Report'!$C$109:$BD$166,11,FALSE)</f>
        <v>1240</v>
      </c>
      <c r="Q19" s="13">
        <f ca="1">VLOOKUP($B19,'[4]Analisys QBR By Machine Report'!$C$109:$BD$166,12,FALSE)</f>
        <v>0</v>
      </c>
      <c r="R19" s="13">
        <f ca="1">VLOOKUP($B19,'[4]Analisys QBR By Machine Report'!$C$109:$BD$166,13,FALSE)</f>
        <v>445</v>
      </c>
      <c r="S19" s="13">
        <f ca="1">VLOOKUP($B19,'[4]Analisys QBR By Machine Report'!$C$109:$BD$166,14,FALSE)</f>
        <v>50</v>
      </c>
      <c r="T19" s="13">
        <f ca="1">VLOOKUP($B19,'[4]Analisys QBR By Machine Report'!$C$109:$BD$166,15,FALSE)</f>
        <v>235</v>
      </c>
      <c r="U19" s="13">
        <f ca="1">VLOOKUP($B19,'[4]Analisys QBR By Machine Report'!$C$109:$BD$166,16,FALSE)</f>
        <v>125</v>
      </c>
      <c r="V19" s="13">
        <f ca="1">VLOOKUP($B19,'[4]Analisys QBR By Machine Report'!$C$109:$BD$166,17,FALSE)</f>
        <v>70</v>
      </c>
      <c r="W19" s="13">
        <f ca="1">VLOOKUP($B19,'[4]Analisys QBR By Machine Report'!$C$109:$BD$166,18,FALSE)</f>
        <v>0</v>
      </c>
      <c r="X19" s="13">
        <f ca="1">VLOOKUP($B19,'[4]Analisys QBR By Machine Report'!$C$109:$BD$166,19,FALSE)</f>
        <v>0</v>
      </c>
      <c r="Y19" s="13">
        <f ca="1">VLOOKUP($B19,'[4]Analisys QBR By Machine Report'!$C$109:$BD$166,20,FALSE)</f>
        <v>40</v>
      </c>
      <c r="Z19" s="13">
        <f ca="1">VLOOKUP($B19,'[4]Analisys QBR By Machine Report'!$C$109:$BD$166,21,FALSE)</f>
        <v>2455</v>
      </c>
      <c r="AA19" s="13">
        <f ca="1">VLOOKUP($B19,'[4]Analisys QBR By Machine Report'!$C$109:$BD$166,22,FALSE)</f>
        <v>1580</v>
      </c>
      <c r="AB19" s="13">
        <f ca="1">VLOOKUP($B19,'[4]Analisys QBR By Machine Report'!$C$109:$BD$166,23,FALSE)</f>
        <v>340</v>
      </c>
      <c r="AC19" s="13">
        <f ca="1">VLOOKUP($B19,'[4]Analisys QBR By Machine Report'!$C$109:$BD$166,24,FALSE)</f>
        <v>395</v>
      </c>
      <c r="AD19" s="13">
        <f ca="1">VLOOKUP($B19,'[4]Analisys QBR By Machine Report'!$C$109:$BD$166,25,FALSE)</f>
        <v>0</v>
      </c>
      <c r="AE19" s="13">
        <f ca="1">VLOOKUP($B19,'[4]Analisys QBR By Machine Report'!$C$109:$BD$166,26,FALSE)</f>
        <v>140</v>
      </c>
      <c r="AF19" s="13">
        <f ca="1">VLOOKUP($B19,'[4]Analisys QBR By Machine Report'!$C$109:$BD$166,27,FALSE)</f>
        <v>0</v>
      </c>
      <c r="AG19" s="13">
        <f ca="1">VLOOKUP($B19,'[4]Analisys QBR By Machine Report'!$C$109:$BD$166,28,FALSE)</f>
        <v>0</v>
      </c>
      <c r="AH19" s="13">
        <f ca="1">VLOOKUP($B19,'[4]Analisys QBR By Machine Report'!$C$109:$BD$166,29,FALSE)</f>
        <v>0</v>
      </c>
      <c r="AI19" s="13">
        <f ca="1">VLOOKUP($B19,'[4]Analisys QBR By Machine Report'!$C$109:$BD$166,30,FALSE)</f>
        <v>1635</v>
      </c>
      <c r="AJ19" s="13">
        <f ca="1">VLOOKUP($B19,'[4]Analisys QBR By Machine Report'!$C$109:$BD$166,31,FALSE)</f>
        <v>0</v>
      </c>
      <c r="AK19" s="13">
        <f ca="1">VLOOKUP($B19,'[4]Analisys QBR By Machine Report'!$C$109:$BD$166,32,FALSE)</f>
        <v>0</v>
      </c>
      <c r="AL19" s="13">
        <f ca="1">VLOOKUP($B19,'[4]Analisys QBR By Machine Report'!$C$109:$BD$166,33,FALSE)</f>
        <v>540</v>
      </c>
      <c r="AM19" s="13">
        <f ca="1">VLOOKUP($B19,'[4]Analisys QBR By Machine Report'!$C$109:$BD$166,34,FALSE)</f>
        <v>0</v>
      </c>
      <c r="AN19" s="13">
        <f ca="1">VLOOKUP($B19,'[4]Analisys QBR By Machine Report'!$C$109:$BD$166,35,FALSE)</f>
        <v>505</v>
      </c>
      <c r="AO19" s="13">
        <f ca="1">VLOOKUP($B19,'[4]Analisys QBR By Machine Report'!$C$109:$BD$166,36,FALSE)</f>
        <v>20</v>
      </c>
      <c r="AP19" s="13">
        <f ca="1">VLOOKUP($B19,'[4]Analisys QBR By Machine Report'!$C$109:$BD$166,37,FALSE)</f>
        <v>0</v>
      </c>
      <c r="AQ19" s="13">
        <f ca="1">VLOOKUP($B19,'[4]Analisys QBR By Machine Report'!$C$109:$BD$166,38,FALSE)</f>
        <v>0</v>
      </c>
      <c r="AR19" s="13">
        <f ca="1">VLOOKUP($B19,'[4]Analisys QBR By Machine Report'!$C$109:$BD$166,39,FALSE)</f>
        <v>0</v>
      </c>
      <c r="AS19" s="13">
        <f ca="1">VLOOKUP($B19,'[4]Analisys QBR By Machine Report'!$C$109:$BD$166,40,FALSE)</f>
        <v>300</v>
      </c>
      <c r="AT19" s="13">
        <f ca="1">VLOOKUP($B19,'[4]Analisys QBR By Machine Report'!$C$109:$BD$166,41,FALSE)</f>
        <v>0</v>
      </c>
      <c r="AU19" s="13">
        <f ca="1">VLOOKUP($B19,'[4]Analisys QBR By Machine Report'!$C$109:$BD$166,42,FALSE)</f>
        <v>0</v>
      </c>
      <c r="AV19" s="13">
        <f ca="1">VLOOKUP($B19,'[4]Analisys QBR By Machine Report'!$C$109:$BD$166,43,FALSE)</f>
        <v>0</v>
      </c>
      <c r="AW19" s="13">
        <f ca="1">VLOOKUP($B19,'[4]Analisys QBR By Machine Report'!$C$109:$BD$166,44,FALSE)</f>
        <v>0</v>
      </c>
      <c r="AX19" s="13">
        <f ca="1">VLOOKUP($B19,'[4]Analisys QBR By Machine Report'!$C$109:$BD$166,45,FALSE)</f>
        <v>0</v>
      </c>
      <c r="AY19" s="13">
        <f ca="1">VLOOKUP($B19,'[4]Analisys QBR By Machine Report'!$C$109:$BD$166,46,FALSE)</f>
        <v>0</v>
      </c>
      <c r="AZ19" s="13">
        <f ca="1">VLOOKUP($B19,'[4]Analisys QBR By Machine Report'!$C$109:$BD$166,47,FALSE)</f>
        <v>270</v>
      </c>
      <c r="BA19" s="13">
        <f ca="1">VLOOKUP($B19,'[4]Analisys QBR By Machine Report'!$C$109:$BD$166,48,FALSE)</f>
        <v>0</v>
      </c>
      <c r="BB19" s="13">
        <f ca="1">VLOOKUP($B19,'[4]Analisys QBR By Machine Report'!$C$109:$BD$166,49,FALSE)</f>
        <v>0</v>
      </c>
      <c r="BC19" s="13">
        <f ca="1">VLOOKUP($B19,'[4]Analisys QBR By Machine Report'!$C$109:$BD$166,50,FALSE)</f>
        <v>0</v>
      </c>
      <c r="BD19" s="13">
        <f ca="1">VLOOKUP($B19,'[4]Analisys QBR By Machine Report'!$C$109:$BD$166,51,FALSE)</f>
        <v>1131644</v>
      </c>
      <c r="BE19" s="13">
        <f ca="1">VLOOKUP($B19,'[4]Analisys QBR By Machine Report'!$C$109:$BD$166,52,FALSE)</f>
        <v>5680</v>
      </c>
      <c r="BF19" s="13">
        <f ca="1">VLOOKUP($B19,'[4]Analisys QBR By Machine Report'!$C$109:$BD$166,53,FALSE)</f>
        <v>1125964</v>
      </c>
    </row>
    <row r="20" spans="1:58" x14ac:dyDescent="0.25">
      <c r="A20" s="12" t="s">
        <v>76</v>
      </c>
      <c r="B20" s="13">
        <f ca="1">VLOOKUP($B20,'[4]Analisys QBR By Machine Report'!$C$109:$BD$166,2,FALSE)</f>
        <v>24480</v>
      </c>
      <c r="C20" s="14">
        <f ca="1">VLOOKUP($B20,[4]Dasboard_QBR_Report!$B$109:$BL$166,3,FALSE)</f>
        <v>8160</v>
      </c>
      <c r="D20" s="13">
        <f ca="1">VLOOKUP($B20,'[4]Analisys QBR By Machine Report'!$C$109:$BD$166,3,FALSE)</f>
        <v>16410</v>
      </c>
      <c r="E20" s="14">
        <f ca="1">VLOOKUP($B20,[4]Dasboard_QBR_Report!$B$109:$BL$166,5,FALSE)</f>
        <v>90</v>
      </c>
      <c r="F20" s="13">
        <f t="shared" ca="1" si="0"/>
        <v>8070</v>
      </c>
      <c r="G20" s="13">
        <f t="shared" ca="1" si="1"/>
        <v>645</v>
      </c>
      <c r="H20" s="13">
        <f ca="1">VLOOKUP($B20,'[4]Analisys QBR By Machine Report'!$C$109:$BD$166,4,FALSE)</f>
        <v>645</v>
      </c>
      <c r="I20" s="13">
        <f ca="1">VLOOKUP($B20,'[4]Analisys QBR By Machine Report'!$C$109:$BD$166,5,FALSE)</f>
        <v>30</v>
      </c>
      <c r="J20" s="13">
        <f ca="1">VLOOKUP($B20,'[4]Analisys QBR By Machine Report'!$C$109:$BD$166,6,FALSE)</f>
        <v>615</v>
      </c>
      <c r="K20" s="13">
        <f ca="1">VLOOKUP($B20,'[4]Analisys QBR By Machine Report'!$C$109:$BD$166,7,FALSE)</f>
        <v>0</v>
      </c>
      <c r="L20" s="13">
        <f ca="1">VLOOKUP($B20,'[4]Analisys QBR By Machine Report'!$C$109:$BD$166,8,FALSE)</f>
        <v>7425</v>
      </c>
      <c r="M20" s="13">
        <f ca="1">VLOOKUP($B20,'[4]Analisys QBR By Machine Report'!$C$109:$BD$166,9,FALSE)</f>
        <v>4520</v>
      </c>
      <c r="N20" s="13">
        <f ca="1">VLOOKUP($B20,[4]Dasboard_QBR_Report!$B$109:$BL$166,18,FALSE)</f>
        <v>2905</v>
      </c>
      <c r="O20" s="13">
        <f ca="1">VLOOKUP($B20,'[4]Analisys QBR By Machine Report'!$C$109:$BD$166,10,FALSE)</f>
        <v>95</v>
      </c>
      <c r="P20" s="13">
        <f ca="1">VLOOKUP($B20,'[4]Analisys QBR By Machine Report'!$C$109:$BD$166,11,FALSE)</f>
        <v>95</v>
      </c>
      <c r="Q20" s="13">
        <f ca="1">VLOOKUP($B20,'[4]Analisys QBR By Machine Report'!$C$109:$BD$166,12,FALSE)</f>
        <v>0</v>
      </c>
      <c r="R20" s="13">
        <f ca="1">VLOOKUP($B20,'[4]Analisys QBR By Machine Report'!$C$109:$BD$166,13,FALSE)</f>
        <v>0</v>
      </c>
      <c r="S20" s="13">
        <f ca="1">VLOOKUP($B20,'[4]Analisys QBR By Machine Report'!$C$109:$BD$166,14,FALSE)</f>
        <v>0</v>
      </c>
      <c r="T20" s="13">
        <f ca="1">VLOOKUP($B20,'[4]Analisys QBR By Machine Report'!$C$109:$BD$166,15,FALSE)</f>
        <v>0</v>
      </c>
      <c r="U20" s="13">
        <f ca="1">VLOOKUP($B20,'[4]Analisys QBR By Machine Report'!$C$109:$BD$166,16,FALSE)</f>
        <v>0</v>
      </c>
      <c r="V20" s="13">
        <f ca="1">VLOOKUP($B20,'[4]Analisys QBR By Machine Report'!$C$109:$BD$166,17,FALSE)</f>
        <v>0</v>
      </c>
      <c r="W20" s="13">
        <f ca="1">VLOOKUP($B20,'[4]Analisys QBR By Machine Report'!$C$109:$BD$166,18,FALSE)</f>
        <v>0</v>
      </c>
      <c r="X20" s="13">
        <f ca="1">VLOOKUP($B20,'[4]Analisys QBR By Machine Report'!$C$109:$BD$166,19,FALSE)</f>
        <v>0</v>
      </c>
      <c r="Y20" s="13">
        <f ca="1">VLOOKUP($B20,'[4]Analisys QBR By Machine Report'!$C$109:$BD$166,20,FALSE)</f>
        <v>0</v>
      </c>
      <c r="Z20" s="13">
        <f ca="1">VLOOKUP($B20,'[4]Analisys QBR By Machine Report'!$C$109:$BD$166,21,FALSE)</f>
        <v>1785</v>
      </c>
      <c r="AA20" s="13">
        <f ca="1">VLOOKUP($B20,'[4]Analisys QBR By Machine Report'!$C$109:$BD$166,22,FALSE)</f>
        <v>830</v>
      </c>
      <c r="AB20" s="13">
        <f ca="1">VLOOKUP($B20,'[4]Analisys QBR By Machine Report'!$C$109:$BD$166,23,FALSE)</f>
        <v>240</v>
      </c>
      <c r="AC20" s="13">
        <f ca="1">VLOOKUP($B20,'[4]Analisys QBR By Machine Report'!$C$109:$BD$166,24,FALSE)</f>
        <v>505</v>
      </c>
      <c r="AD20" s="13">
        <f ca="1">VLOOKUP($B20,'[4]Analisys QBR By Machine Report'!$C$109:$BD$166,25,FALSE)</f>
        <v>0</v>
      </c>
      <c r="AE20" s="13">
        <f ca="1">VLOOKUP($B20,'[4]Analisys QBR By Machine Report'!$C$109:$BD$166,26,FALSE)</f>
        <v>210</v>
      </c>
      <c r="AF20" s="13">
        <f ca="1">VLOOKUP($B20,'[4]Analisys QBR By Machine Report'!$C$109:$BD$166,27,FALSE)</f>
        <v>0</v>
      </c>
      <c r="AG20" s="13">
        <f ca="1">VLOOKUP($B20,'[4]Analisys QBR By Machine Report'!$C$109:$BD$166,28,FALSE)</f>
        <v>0</v>
      </c>
      <c r="AH20" s="13">
        <f ca="1">VLOOKUP($B20,'[4]Analisys QBR By Machine Report'!$C$109:$BD$166,29,FALSE)</f>
        <v>0</v>
      </c>
      <c r="AI20" s="13">
        <f ca="1">VLOOKUP($B20,'[4]Analisys QBR By Machine Report'!$C$109:$BD$166,30,FALSE)</f>
        <v>1025</v>
      </c>
      <c r="AJ20" s="13">
        <f ca="1">VLOOKUP($B20,'[4]Analisys QBR By Machine Report'!$C$109:$BD$166,31,FALSE)</f>
        <v>0</v>
      </c>
      <c r="AK20" s="13">
        <f ca="1">VLOOKUP($B20,'[4]Analisys QBR By Machine Report'!$C$109:$BD$166,32,FALSE)</f>
        <v>0</v>
      </c>
      <c r="AL20" s="13">
        <f ca="1">VLOOKUP($B20,'[4]Analisys QBR By Machine Report'!$C$109:$BD$166,33,FALSE)</f>
        <v>450</v>
      </c>
      <c r="AM20" s="13">
        <f ca="1">VLOOKUP($B20,'[4]Analisys QBR By Machine Report'!$C$109:$BD$166,34,FALSE)</f>
        <v>0</v>
      </c>
      <c r="AN20" s="13">
        <f ca="1">VLOOKUP($B20,'[4]Analisys QBR By Machine Report'!$C$109:$BD$166,35,FALSE)</f>
        <v>225</v>
      </c>
      <c r="AO20" s="13">
        <f ca="1">VLOOKUP($B20,'[4]Analisys QBR By Machine Report'!$C$109:$BD$166,36,FALSE)</f>
        <v>0</v>
      </c>
      <c r="AP20" s="13">
        <f ca="1">VLOOKUP($B20,'[4]Analisys QBR By Machine Report'!$C$109:$BD$166,37,FALSE)</f>
        <v>0</v>
      </c>
      <c r="AQ20" s="13">
        <f ca="1">VLOOKUP($B20,'[4]Analisys QBR By Machine Report'!$C$109:$BD$166,38,FALSE)</f>
        <v>0</v>
      </c>
      <c r="AR20" s="13">
        <f ca="1">VLOOKUP($B20,'[4]Analisys QBR By Machine Report'!$C$109:$BD$166,39,FALSE)</f>
        <v>0</v>
      </c>
      <c r="AS20" s="13">
        <f ca="1">VLOOKUP($B20,'[4]Analisys QBR By Machine Report'!$C$109:$BD$166,40,FALSE)</f>
        <v>240</v>
      </c>
      <c r="AT20" s="13">
        <f ca="1">VLOOKUP($B20,'[4]Analisys QBR By Machine Report'!$C$109:$BD$166,41,FALSE)</f>
        <v>0</v>
      </c>
      <c r="AU20" s="13">
        <f ca="1">VLOOKUP($B20,'[4]Analisys QBR By Machine Report'!$C$109:$BD$166,42,FALSE)</f>
        <v>0</v>
      </c>
      <c r="AV20" s="13">
        <f ca="1">VLOOKUP($B20,'[4]Analisys QBR By Machine Report'!$C$109:$BD$166,43,FALSE)</f>
        <v>0</v>
      </c>
      <c r="AW20" s="13">
        <f ca="1">VLOOKUP($B20,'[4]Analisys QBR By Machine Report'!$C$109:$BD$166,44,FALSE)</f>
        <v>0</v>
      </c>
      <c r="AX20" s="13">
        <f ca="1">VLOOKUP($B20,'[4]Analisys QBR By Machine Report'!$C$109:$BD$166,45,FALSE)</f>
        <v>0</v>
      </c>
      <c r="AY20" s="13">
        <f ca="1">VLOOKUP($B20,'[4]Analisys QBR By Machine Report'!$C$109:$BD$166,46,FALSE)</f>
        <v>0</v>
      </c>
      <c r="AZ20" s="13">
        <f ca="1">VLOOKUP($B20,'[4]Analisys QBR By Machine Report'!$C$109:$BD$166,47,FALSE)</f>
        <v>110</v>
      </c>
      <c r="BA20" s="13">
        <f ca="1">VLOOKUP($B20,'[4]Analisys QBR By Machine Report'!$C$109:$BD$166,48,FALSE)</f>
        <v>0</v>
      </c>
      <c r="BB20" s="13">
        <f ca="1">VLOOKUP($B20,'[4]Analisys QBR By Machine Report'!$C$109:$BD$166,49,FALSE)</f>
        <v>0</v>
      </c>
      <c r="BC20" s="13">
        <f ca="1">VLOOKUP($B20,'[4]Analisys QBR By Machine Report'!$C$109:$BD$166,50,FALSE)</f>
        <v>0</v>
      </c>
      <c r="BD20" s="13">
        <f ca="1">VLOOKUP($B20,'[4]Analisys QBR By Machine Report'!$C$109:$BD$166,51,FALSE)</f>
        <v>32660</v>
      </c>
      <c r="BE20" s="13">
        <f ca="1">VLOOKUP($B20,'[4]Analisys QBR By Machine Report'!$C$109:$BD$166,52,FALSE)</f>
        <v>152</v>
      </c>
      <c r="BF20" s="13">
        <f ca="1">VLOOKUP($B20,'[4]Analisys QBR By Machine Report'!$C$109:$BD$166,53,FALSE)</f>
        <v>32508</v>
      </c>
    </row>
    <row r="21" spans="1:58" x14ac:dyDescent="0.25">
      <c r="A21" s="12" t="s">
        <v>77</v>
      </c>
      <c r="B21" s="13">
        <f ca="1">VLOOKUP($B21,'[4]Analisys QBR By Machine Report'!$C$109:$BD$166,2,FALSE)</f>
        <v>24480</v>
      </c>
      <c r="C21" s="14">
        <f ca="1">VLOOKUP($B21,[4]Dasboard_QBR_Report!$B$109:$BL$166,3,FALSE)</f>
        <v>8160</v>
      </c>
      <c r="D21" s="13">
        <f ca="1">VLOOKUP($B21,'[4]Analisys QBR By Machine Report'!$C$109:$BD$166,3,FALSE)</f>
        <v>21180</v>
      </c>
      <c r="E21" s="14">
        <f ca="1">VLOOKUP($B21,[4]Dasboard_QBR_Report!$B$109:$BL$166,5,FALSE)</f>
        <v>4860</v>
      </c>
      <c r="F21" s="13">
        <f t="shared" ca="1" si="0"/>
        <v>3300</v>
      </c>
      <c r="G21" s="13">
        <f t="shared" ca="1" si="1"/>
        <v>0</v>
      </c>
      <c r="H21" s="13">
        <f ca="1">VLOOKUP($B21,'[4]Analisys QBR By Machine Report'!$C$109:$BD$166,4,FALSE)</f>
        <v>0</v>
      </c>
      <c r="I21" s="13">
        <f ca="1">VLOOKUP($B21,'[4]Analisys QBR By Machine Report'!$C$109:$BD$166,5,FALSE)</f>
        <v>0</v>
      </c>
      <c r="J21" s="13">
        <f ca="1">VLOOKUP($B21,'[4]Analisys QBR By Machine Report'!$C$109:$BD$166,6,FALSE)</f>
        <v>0</v>
      </c>
      <c r="K21" s="13">
        <f ca="1">VLOOKUP($B21,'[4]Analisys QBR By Machine Report'!$C$109:$BD$166,7,FALSE)</f>
        <v>0</v>
      </c>
      <c r="L21" s="13">
        <f ca="1">VLOOKUP($B21,'[4]Analisys QBR By Machine Report'!$C$109:$BD$166,8,FALSE)</f>
        <v>3300</v>
      </c>
      <c r="M21" s="13">
        <f ca="1">VLOOKUP($B21,'[4]Analisys QBR By Machine Report'!$C$109:$BD$166,9,FALSE)</f>
        <v>940</v>
      </c>
      <c r="N21" s="13">
        <f ca="1">VLOOKUP($B21,[4]Dasboard_QBR_Report!$B$109:$BL$166,18,FALSE)</f>
        <v>2360</v>
      </c>
      <c r="O21" s="13">
        <f ca="1">VLOOKUP($B21,'[4]Analisys QBR By Machine Report'!$C$109:$BD$166,10,FALSE)</f>
        <v>605</v>
      </c>
      <c r="P21" s="13">
        <f ca="1">VLOOKUP($B21,'[4]Analisys QBR By Machine Report'!$C$109:$BD$166,11,FALSE)</f>
        <v>410</v>
      </c>
      <c r="Q21" s="13">
        <f ca="1">VLOOKUP($B21,'[4]Analisys QBR By Machine Report'!$C$109:$BD$166,12,FALSE)</f>
        <v>0</v>
      </c>
      <c r="R21" s="13">
        <f ca="1">VLOOKUP($B21,'[4]Analisys QBR By Machine Report'!$C$109:$BD$166,13,FALSE)</f>
        <v>195</v>
      </c>
      <c r="S21" s="13">
        <f ca="1">VLOOKUP($B21,'[4]Analisys QBR By Machine Report'!$C$109:$BD$166,14,FALSE)</f>
        <v>0</v>
      </c>
      <c r="T21" s="13">
        <f ca="1">VLOOKUP($B21,'[4]Analisys QBR By Machine Report'!$C$109:$BD$166,15,FALSE)</f>
        <v>0</v>
      </c>
      <c r="U21" s="13">
        <f ca="1">VLOOKUP($B21,'[4]Analisys QBR By Machine Report'!$C$109:$BD$166,16,FALSE)</f>
        <v>0</v>
      </c>
      <c r="V21" s="13">
        <f ca="1">VLOOKUP($B21,'[4]Analisys QBR By Machine Report'!$C$109:$BD$166,17,FALSE)</f>
        <v>0</v>
      </c>
      <c r="W21" s="13">
        <f ca="1">VLOOKUP($B21,'[4]Analisys QBR By Machine Report'!$C$109:$BD$166,18,FALSE)</f>
        <v>0</v>
      </c>
      <c r="X21" s="13">
        <f ca="1">VLOOKUP($B21,'[4]Analisys QBR By Machine Report'!$C$109:$BD$166,19,FALSE)</f>
        <v>0</v>
      </c>
      <c r="Y21" s="13">
        <f ca="1">VLOOKUP($B21,'[4]Analisys QBR By Machine Report'!$C$109:$BD$166,20,FALSE)</f>
        <v>0</v>
      </c>
      <c r="Z21" s="13">
        <f ca="1">VLOOKUP($B21,'[4]Analisys QBR By Machine Report'!$C$109:$BD$166,21,FALSE)</f>
        <v>760</v>
      </c>
      <c r="AA21" s="13">
        <f ca="1">VLOOKUP($B21,'[4]Analisys QBR By Machine Report'!$C$109:$BD$166,22,FALSE)</f>
        <v>495</v>
      </c>
      <c r="AB21" s="13">
        <f ca="1">VLOOKUP($B21,'[4]Analisys QBR By Machine Report'!$C$109:$BD$166,23,FALSE)</f>
        <v>65</v>
      </c>
      <c r="AC21" s="13">
        <f ca="1">VLOOKUP($B21,'[4]Analisys QBR By Machine Report'!$C$109:$BD$166,24,FALSE)</f>
        <v>155</v>
      </c>
      <c r="AD21" s="13">
        <f ca="1">VLOOKUP($B21,'[4]Analisys QBR By Machine Report'!$C$109:$BD$166,25,FALSE)</f>
        <v>0</v>
      </c>
      <c r="AE21" s="13">
        <f ca="1">VLOOKUP($B21,'[4]Analisys QBR By Machine Report'!$C$109:$BD$166,26,FALSE)</f>
        <v>45</v>
      </c>
      <c r="AF21" s="13">
        <f ca="1">VLOOKUP($B21,'[4]Analisys QBR By Machine Report'!$C$109:$BD$166,27,FALSE)</f>
        <v>0</v>
      </c>
      <c r="AG21" s="13">
        <f ca="1">VLOOKUP($B21,'[4]Analisys QBR By Machine Report'!$C$109:$BD$166,28,FALSE)</f>
        <v>0</v>
      </c>
      <c r="AH21" s="13">
        <f ca="1">VLOOKUP($B21,'[4]Analisys QBR By Machine Report'!$C$109:$BD$166,29,FALSE)</f>
        <v>0</v>
      </c>
      <c r="AI21" s="13">
        <f ca="1">VLOOKUP($B21,'[4]Analisys QBR By Machine Report'!$C$109:$BD$166,30,FALSE)</f>
        <v>995</v>
      </c>
      <c r="AJ21" s="13">
        <f ca="1">VLOOKUP($B21,'[4]Analisys QBR By Machine Report'!$C$109:$BD$166,31,FALSE)</f>
        <v>0</v>
      </c>
      <c r="AK21" s="13">
        <f ca="1">VLOOKUP($B21,'[4]Analisys QBR By Machine Report'!$C$109:$BD$166,32,FALSE)</f>
        <v>0</v>
      </c>
      <c r="AL21" s="13">
        <f ca="1">VLOOKUP($B21,'[4]Analisys QBR By Machine Report'!$C$109:$BD$166,33,FALSE)</f>
        <v>210</v>
      </c>
      <c r="AM21" s="13">
        <f ca="1">VLOOKUP($B21,'[4]Analisys QBR By Machine Report'!$C$109:$BD$166,34,FALSE)</f>
        <v>0</v>
      </c>
      <c r="AN21" s="13">
        <f ca="1">VLOOKUP($B21,'[4]Analisys QBR By Machine Report'!$C$109:$BD$166,35,FALSE)</f>
        <v>165</v>
      </c>
      <c r="AO21" s="13">
        <f ca="1">VLOOKUP($B21,'[4]Analisys QBR By Machine Report'!$C$109:$BD$166,36,FALSE)</f>
        <v>105</v>
      </c>
      <c r="AP21" s="13">
        <f ca="1">VLOOKUP($B21,'[4]Analisys QBR By Machine Report'!$C$109:$BD$166,37,FALSE)</f>
        <v>0</v>
      </c>
      <c r="AQ21" s="13">
        <f ca="1">VLOOKUP($B21,'[4]Analisys QBR By Machine Report'!$C$109:$BD$166,38,FALSE)</f>
        <v>0</v>
      </c>
      <c r="AR21" s="13">
        <f ca="1">VLOOKUP($B21,'[4]Analisys QBR By Machine Report'!$C$109:$BD$166,39,FALSE)</f>
        <v>0</v>
      </c>
      <c r="AS21" s="13">
        <f ca="1">VLOOKUP($B21,'[4]Analisys QBR By Machine Report'!$C$109:$BD$166,40,FALSE)</f>
        <v>120</v>
      </c>
      <c r="AT21" s="13">
        <f ca="1">VLOOKUP($B21,'[4]Analisys QBR By Machine Report'!$C$109:$BD$166,41,FALSE)</f>
        <v>0</v>
      </c>
      <c r="AU21" s="13">
        <f ca="1">VLOOKUP($B21,'[4]Analisys QBR By Machine Report'!$C$109:$BD$166,42,FALSE)</f>
        <v>0</v>
      </c>
      <c r="AV21" s="13">
        <f ca="1">VLOOKUP($B21,'[4]Analisys QBR By Machine Report'!$C$109:$BD$166,43,FALSE)</f>
        <v>0</v>
      </c>
      <c r="AW21" s="13">
        <f ca="1">VLOOKUP($B21,'[4]Analisys QBR By Machine Report'!$C$109:$BD$166,44,FALSE)</f>
        <v>0</v>
      </c>
      <c r="AX21" s="13">
        <f ca="1">VLOOKUP($B21,'[4]Analisys QBR By Machine Report'!$C$109:$BD$166,45,FALSE)</f>
        <v>0</v>
      </c>
      <c r="AY21" s="13">
        <f ca="1">VLOOKUP($B21,'[4]Analisys QBR By Machine Report'!$C$109:$BD$166,46,FALSE)</f>
        <v>0</v>
      </c>
      <c r="AZ21" s="13">
        <f ca="1">VLOOKUP($B21,'[4]Analisys QBR By Machine Report'!$C$109:$BD$166,47,FALSE)</f>
        <v>395</v>
      </c>
      <c r="BA21" s="13">
        <f ca="1">VLOOKUP($B21,'[4]Analisys QBR By Machine Report'!$C$109:$BD$166,48,FALSE)</f>
        <v>0</v>
      </c>
      <c r="BB21" s="13">
        <f ca="1">VLOOKUP($B21,'[4]Analisys QBR By Machine Report'!$C$109:$BD$166,49,FALSE)</f>
        <v>0</v>
      </c>
      <c r="BC21" s="13">
        <f ca="1">VLOOKUP($B21,'[4]Analisys QBR By Machine Report'!$C$109:$BD$166,50,FALSE)</f>
        <v>0</v>
      </c>
      <c r="BD21" s="13">
        <f ca="1">VLOOKUP($B21,'[4]Analisys QBR By Machine Report'!$C$109:$BD$166,51,FALSE)</f>
        <v>339387</v>
      </c>
      <c r="BE21" s="13">
        <f ca="1">VLOOKUP($B21,'[4]Analisys QBR By Machine Report'!$C$109:$BD$166,52,FALSE)</f>
        <v>3135</v>
      </c>
      <c r="BF21" s="13">
        <f ca="1">VLOOKUP($B21,'[4]Analisys QBR By Machine Report'!$C$109:$BD$166,53,FALSE)</f>
        <v>336252</v>
      </c>
    </row>
    <row r="22" spans="1:58" x14ac:dyDescent="0.25">
      <c r="A22" s="9" t="s">
        <v>78</v>
      </c>
      <c r="B22" s="10">
        <f ca="1">VLOOKUP($B22,'[4]Analisys QBR By Machine Report'!$C$109:$BD$166,2,FALSE)</f>
        <v>24480</v>
      </c>
      <c r="C22" s="11">
        <f ca="1">VLOOKUP($B22,[4]Dasboard_QBR_Report!$B$109:$BL$166,3,FALSE)</f>
        <v>15810</v>
      </c>
      <c r="D22" s="10">
        <f ca="1">VLOOKUP($B22,'[4]Analisys QBR By Machine Report'!$C$109:$BD$166,3,FALSE)</f>
        <v>17280</v>
      </c>
      <c r="E22" s="11">
        <f ca="1">VLOOKUP($B22,[4]Dasboard_QBR_Report!$B$109:$BL$166,5,FALSE)</f>
        <v>8610</v>
      </c>
      <c r="F22" s="10">
        <f t="shared" ca="1" si="0"/>
        <v>7200</v>
      </c>
      <c r="G22" s="10">
        <f t="shared" ca="1" si="1"/>
        <v>886</v>
      </c>
      <c r="H22" s="10">
        <f ca="1">VLOOKUP($B22,'[4]Analisys QBR By Machine Report'!$C$109:$BD$166,4,FALSE)</f>
        <v>886</v>
      </c>
      <c r="I22" s="10">
        <f ca="1">VLOOKUP($B22,'[4]Analisys QBR By Machine Report'!$C$109:$BD$166,5,FALSE)</f>
        <v>211</v>
      </c>
      <c r="J22" s="10">
        <f ca="1">VLOOKUP($B22,'[4]Analisys QBR By Machine Report'!$C$109:$BD$166,6,FALSE)</f>
        <v>675</v>
      </c>
      <c r="K22" s="10">
        <f ca="1">VLOOKUP($B22,'[4]Analisys QBR By Machine Report'!$C$109:$BD$166,7,FALSE)</f>
        <v>0</v>
      </c>
      <c r="L22" s="10">
        <f ca="1">VLOOKUP($B22,'[4]Analisys QBR By Machine Report'!$C$109:$BD$166,8,FALSE)</f>
        <v>6314</v>
      </c>
      <c r="M22" s="10">
        <f ca="1">VLOOKUP($B22,'[4]Analisys QBR By Machine Report'!$C$109:$BD$166,9,FALSE)</f>
        <v>2592</v>
      </c>
      <c r="N22" s="10">
        <f ca="1">VLOOKUP($B22,[4]Dasboard_QBR_Report!$B$109:$BL$166,18,FALSE)</f>
        <v>3722</v>
      </c>
      <c r="O22" s="10">
        <f ca="1">VLOOKUP($B22,'[4]Analisys QBR By Machine Report'!$C$109:$BD$166,10,FALSE)</f>
        <v>222</v>
      </c>
      <c r="P22" s="10">
        <f ca="1">VLOOKUP($B22,'[4]Analisys QBR By Machine Report'!$C$109:$BD$166,11,FALSE)</f>
        <v>214</v>
      </c>
      <c r="Q22" s="10">
        <f ca="1">VLOOKUP($B22,'[4]Analisys QBR By Machine Report'!$C$109:$BD$166,12,FALSE)</f>
        <v>0</v>
      </c>
      <c r="R22" s="10">
        <f ca="1">VLOOKUP($B22,'[4]Analisys QBR By Machine Report'!$C$109:$BD$166,13,FALSE)</f>
        <v>8</v>
      </c>
      <c r="S22" s="10">
        <f ca="1">VLOOKUP($B22,'[4]Analisys QBR By Machine Report'!$C$109:$BD$166,14,FALSE)</f>
        <v>0</v>
      </c>
      <c r="T22" s="10">
        <f ca="1">VLOOKUP($B22,'[4]Analisys QBR By Machine Report'!$C$109:$BD$166,15,FALSE)</f>
        <v>82</v>
      </c>
      <c r="U22" s="10">
        <f ca="1">VLOOKUP($B22,'[4]Analisys QBR By Machine Report'!$C$109:$BD$166,16,FALSE)</f>
        <v>0</v>
      </c>
      <c r="V22" s="10">
        <f ca="1">VLOOKUP($B22,'[4]Analisys QBR By Machine Report'!$C$109:$BD$166,17,FALSE)</f>
        <v>0</v>
      </c>
      <c r="W22" s="10">
        <f ca="1">VLOOKUP($B22,'[4]Analisys QBR By Machine Report'!$C$109:$BD$166,18,FALSE)</f>
        <v>0</v>
      </c>
      <c r="X22" s="10">
        <f ca="1">VLOOKUP($B22,'[4]Analisys QBR By Machine Report'!$C$109:$BD$166,19,FALSE)</f>
        <v>0</v>
      </c>
      <c r="Y22" s="10">
        <f ca="1">VLOOKUP($B22,'[4]Analisys QBR By Machine Report'!$C$109:$BD$166,20,FALSE)</f>
        <v>82</v>
      </c>
      <c r="Z22" s="10">
        <f ca="1">VLOOKUP($B22,'[4]Analisys QBR By Machine Report'!$C$109:$BD$166,21,FALSE)</f>
        <v>1876</v>
      </c>
      <c r="AA22" s="10">
        <f ca="1">VLOOKUP($B22,'[4]Analisys QBR By Machine Report'!$C$109:$BD$166,22,FALSE)</f>
        <v>73</v>
      </c>
      <c r="AB22" s="10">
        <f ca="1">VLOOKUP($B22,'[4]Analisys QBR By Machine Report'!$C$109:$BD$166,23,FALSE)</f>
        <v>1743</v>
      </c>
      <c r="AC22" s="10">
        <f ca="1">VLOOKUP($B22,'[4]Analisys QBR By Machine Report'!$C$109:$BD$166,24,FALSE)</f>
        <v>0</v>
      </c>
      <c r="AD22" s="10">
        <f ca="1">VLOOKUP($B22,'[4]Analisys QBR By Machine Report'!$C$109:$BD$166,25,FALSE)</f>
        <v>0</v>
      </c>
      <c r="AE22" s="10">
        <f ca="1">VLOOKUP($B22,'[4]Analisys QBR By Machine Report'!$C$109:$BD$166,26,FALSE)</f>
        <v>60</v>
      </c>
      <c r="AF22" s="10">
        <f ca="1">VLOOKUP($B22,'[4]Analisys QBR By Machine Report'!$C$109:$BD$166,27,FALSE)</f>
        <v>0</v>
      </c>
      <c r="AG22" s="10">
        <f ca="1">VLOOKUP($B22,'[4]Analisys QBR By Machine Report'!$C$109:$BD$166,28,FALSE)</f>
        <v>0</v>
      </c>
      <c r="AH22" s="10">
        <f ca="1">VLOOKUP($B22,'[4]Analisys QBR By Machine Report'!$C$109:$BD$166,29,FALSE)</f>
        <v>0</v>
      </c>
      <c r="AI22" s="10">
        <f ca="1">VLOOKUP($B22,'[4]Analisys QBR By Machine Report'!$C$109:$BD$166,30,FALSE)</f>
        <v>1542</v>
      </c>
      <c r="AJ22" s="10">
        <f ca="1">VLOOKUP($B22,'[4]Analisys QBR By Machine Report'!$C$109:$BD$166,31,FALSE)</f>
        <v>313</v>
      </c>
      <c r="AK22" s="10">
        <f ca="1">VLOOKUP($B22,'[4]Analisys QBR By Machine Report'!$C$109:$BD$166,32,FALSE)</f>
        <v>0</v>
      </c>
      <c r="AL22" s="10">
        <f ca="1">VLOOKUP($B22,'[4]Analisys QBR By Machine Report'!$C$109:$BD$166,33,FALSE)</f>
        <v>223</v>
      </c>
      <c r="AM22" s="10">
        <f ca="1">VLOOKUP($B22,'[4]Analisys QBR By Machine Report'!$C$109:$BD$166,34,FALSE)</f>
        <v>0</v>
      </c>
      <c r="AN22" s="10">
        <f ca="1">VLOOKUP($B22,'[4]Analisys QBR By Machine Report'!$C$109:$BD$166,35,FALSE)</f>
        <v>111</v>
      </c>
      <c r="AO22" s="10">
        <f ca="1">VLOOKUP($B22,'[4]Analisys QBR By Machine Report'!$C$109:$BD$166,36,FALSE)</f>
        <v>0</v>
      </c>
      <c r="AP22" s="10">
        <f ca="1">VLOOKUP($B22,'[4]Analisys QBR By Machine Report'!$C$109:$BD$166,37,FALSE)</f>
        <v>0</v>
      </c>
      <c r="AQ22" s="10">
        <f ca="1">VLOOKUP($B22,'[4]Analisys QBR By Machine Report'!$C$109:$BD$166,38,FALSE)</f>
        <v>0</v>
      </c>
      <c r="AR22" s="10">
        <f ca="1">VLOOKUP($B22,'[4]Analisys QBR By Machine Report'!$C$109:$BD$166,39,FALSE)</f>
        <v>0</v>
      </c>
      <c r="AS22" s="10">
        <f ca="1">VLOOKUP($B22,'[4]Analisys QBR By Machine Report'!$C$109:$BD$166,40,FALSE)</f>
        <v>0</v>
      </c>
      <c r="AT22" s="10">
        <f ca="1">VLOOKUP($B22,'[4]Analisys QBR By Machine Report'!$C$109:$BD$166,41,FALSE)</f>
        <v>0</v>
      </c>
      <c r="AU22" s="10">
        <f ca="1">VLOOKUP($B22,'[4]Analisys QBR By Machine Report'!$C$109:$BD$166,42,FALSE)</f>
        <v>0</v>
      </c>
      <c r="AV22" s="10">
        <f ca="1">VLOOKUP($B22,'[4]Analisys QBR By Machine Report'!$C$109:$BD$166,43,FALSE)</f>
        <v>571</v>
      </c>
      <c r="AW22" s="10">
        <f ca="1">VLOOKUP($B22,'[4]Analisys QBR By Machine Report'!$C$109:$BD$166,44,FALSE)</f>
        <v>0</v>
      </c>
      <c r="AX22" s="10">
        <f ca="1">VLOOKUP($B22,'[4]Analisys QBR By Machine Report'!$C$109:$BD$166,45,FALSE)</f>
        <v>0</v>
      </c>
      <c r="AY22" s="10">
        <f ca="1">VLOOKUP($B22,'[4]Analisys QBR By Machine Report'!$C$109:$BD$166,46,FALSE)</f>
        <v>0</v>
      </c>
      <c r="AZ22" s="10">
        <f ca="1">VLOOKUP($B22,'[4]Analisys QBR By Machine Report'!$C$109:$BD$166,47,FALSE)</f>
        <v>25</v>
      </c>
      <c r="BA22" s="10">
        <f ca="1">VLOOKUP($B22,'[4]Analisys QBR By Machine Report'!$C$109:$BD$166,48,FALSE)</f>
        <v>279</v>
      </c>
      <c r="BB22" s="10">
        <f ca="1">VLOOKUP($B22,'[4]Analisys QBR By Machine Report'!$C$109:$BD$166,49,FALSE)</f>
        <v>0</v>
      </c>
      <c r="BC22" s="10">
        <f ca="1">VLOOKUP($B22,'[4]Analisys QBR By Machine Report'!$C$109:$BD$166,50,FALSE)</f>
        <v>20</v>
      </c>
      <c r="BD22" s="10">
        <f ca="1">VLOOKUP($B22,'[4]Analisys QBR By Machine Report'!$C$109:$BD$166,51,FALSE)</f>
        <v>13489.9</v>
      </c>
      <c r="BE22" s="10">
        <f ca="1">VLOOKUP($B22,'[4]Analisys QBR By Machine Report'!$C$109:$BD$166,52,FALSE)</f>
        <v>1.2</v>
      </c>
      <c r="BF22" s="10">
        <f ca="1">VLOOKUP($B22,'[4]Analisys QBR By Machine Report'!$C$109:$BD$166,53,FALSE)</f>
        <v>13488.7</v>
      </c>
    </row>
    <row r="23" spans="1:58" x14ac:dyDescent="0.25">
      <c r="A23" s="12" t="s">
        <v>79</v>
      </c>
      <c r="B23" s="13">
        <f ca="1">VLOOKUP($B23,'[4]Analisys QBR By Machine Report'!$C$109:$BD$166,2,FALSE)</f>
        <v>24480</v>
      </c>
      <c r="C23" s="14">
        <f ca="1">VLOOKUP($B23,[4]Dasboard_QBR_Report!$B$109:$BL$166,3,FALSE)</f>
        <v>15810</v>
      </c>
      <c r="D23" s="13">
        <f ca="1">VLOOKUP($B23,'[4]Analisys QBR By Machine Report'!$C$109:$BD$166,3,FALSE)</f>
        <v>17280</v>
      </c>
      <c r="E23" s="14">
        <f ca="1">VLOOKUP($B23,[4]Dasboard_QBR_Report!$B$109:$BL$166,5,FALSE)</f>
        <v>8610</v>
      </c>
      <c r="F23" s="13">
        <f t="shared" ca="1" si="0"/>
        <v>7200</v>
      </c>
      <c r="G23" s="13">
        <f t="shared" ca="1" si="1"/>
        <v>886</v>
      </c>
      <c r="H23" s="13">
        <f ca="1">VLOOKUP($B23,'[4]Analisys QBR By Machine Report'!$C$109:$BD$166,4,FALSE)</f>
        <v>886</v>
      </c>
      <c r="I23" s="13">
        <f ca="1">VLOOKUP($B23,'[4]Analisys QBR By Machine Report'!$C$109:$BD$166,5,FALSE)</f>
        <v>211</v>
      </c>
      <c r="J23" s="13">
        <f ca="1">VLOOKUP($B23,'[4]Analisys QBR By Machine Report'!$C$109:$BD$166,6,FALSE)</f>
        <v>675</v>
      </c>
      <c r="K23" s="13">
        <f ca="1">VLOOKUP($B23,'[4]Analisys QBR By Machine Report'!$C$109:$BD$166,7,FALSE)</f>
        <v>0</v>
      </c>
      <c r="L23" s="13">
        <f ca="1">VLOOKUP($B23,'[4]Analisys QBR By Machine Report'!$C$109:$BD$166,8,FALSE)</f>
        <v>6314</v>
      </c>
      <c r="M23" s="13">
        <f ca="1">VLOOKUP($B23,'[4]Analisys QBR By Machine Report'!$C$109:$BD$166,9,FALSE)</f>
        <v>2592</v>
      </c>
      <c r="N23" s="13">
        <f ca="1">VLOOKUP($B23,[4]Dasboard_QBR_Report!$B$109:$BL$166,18,FALSE)</f>
        <v>3722</v>
      </c>
      <c r="O23" s="13">
        <f ca="1">VLOOKUP($B23,'[4]Analisys QBR By Machine Report'!$C$109:$BD$166,10,FALSE)</f>
        <v>222</v>
      </c>
      <c r="P23" s="13">
        <f ca="1">VLOOKUP($B23,'[4]Analisys QBR By Machine Report'!$C$109:$BD$166,11,FALSE)</f>
        <v>214</v>
      </c>
      <c r="Q23" s="13">
        <f ca="1">VLOOKUP($B23,'[4]Analisys QBR By Machine Report'!$C$109:$BD$166,12,FALSE)</f>
        <v>0</v>
      </c>
      <c r="R23" s="13">
        <f ca="1">VLOOKUP($B23,'[4]Analisys QBR By Machine Report'!$C$109:$BD$166,13,FALSE)</f>
        <v>8</v>
      </c>
      <c r="S23" s="13">
        <f ca="1">VLOOKUP($B23,'[4]Analisys QBR By Machine Report'!$C$109:$BD$166,14,FALSE)</f>
        <v>0</v>
      </c>
      <c r="T23" s="13">
        <f ca="1">VLOOKUP($B23,'[4]Analisys QBR By Machine Report'!$C$109:$BD$166,15,FALSE)</f>
        <v>82</v>
      </c>
      <c r="U23" s="13">
        <f ca="1">VLOOKUP($B23,'[4]Analisys QBR By Machine Report'!$C$109:$BD$166,16,FALSE)</f>
        <v>0</v>
      </c>
      <c r="V23" s="13">
        <f ca="1">VLOOKUP($B23,'[4]Analisys QBR By Machine Report'!$C$109:$BD$166,17,FALSE)</f>
        <v>0</v>
      </c>
      <c r="W23" s="13">
        <f ca="1">VLOOKUP($B23,'[4]Analisys QBR By Machine Report'!$C$109:$BD$166,18,FALSE)</f>
        <v>0</v>
      </c>
      <c r="X23" s="13">
        <f ca="1">VLOOKUP($B23,'[4]Analisys QBR By Machine Report'!$C$109:$BD$166,19,FALSE)</f>
        <v>0</v>
      </c>
      <c r="Y23" s="13">
        <f ca="1">VLOOKUP($B23,'[4]Analisys QBR By Machine Report'!$C$109:$BD$166,20,FALSE)</f>
        <v>82</v>
      </c>
      <c r="Z23" s="13">
        <f ca="1">VLOOKUP($B23,'[4]Analisys QBR By Machine Report'!$C$109:$BD$166,21,FALSE)</f>
        <v>1876</v>
      </c>
      <c r="AA23" s="13">
        <f ca="1">VLOOKUP($B23,'[4]Analisys QBR By Machine Report'!$C$109:$BD$166,22,FALSE)</f>
        <v>73</v>
      </c>
      <c r="AB23" s="13">
        <f ca="1">VLOOKUP($B23,'[4]Analisys QBR By Machine Report'!$C$109:$BD$166,23,FALSE)</f>
        <v>1743</v>
      </c>
      <c r="AC23" s="13">
        <f ca="1">VLOOKUP($B23,'[4]Analisys QBR By Machine Report'!$C$109:$BD$166,24,FALSE)</f>
        <v>0</v>
      </c>
      <c r="AD23" s="13">
        <f ca="1">VLOOKUP($B23,'[4]Analisys QBR By Machine Report'!$C$109:$BD$166,25,FALSE)</f>
        <v>0</v>
      </c>
      <c r="AE23" s="13">
        <f ca="1">VLOOKUP($B23,'[4]Analisys QBR By Machine Report'!$C$109:$BD$166,26,FALSE)</f>
        <v>60</v>
      </c>
      <c r="AF23" s="13">
        <f ca="1">VLOOKUP($B23,'[4]Analisys QBR By Machine Report'!$C$109:$BD$166,27,FALSE)</f>
        <v>0</v>
      </c>
      <c r="AG23" s="13">
        <f ca="1">VLOOKUP($B23,'[4]Analisys QBR By Machine Report'!$C$109:$BD$166,28,FALSE)</f>
        <v>0</v>
      </c>
      <c r="AH23" s="13">
        <f ca="1">VLOOKUP($B23,'[4]Analisys QBR By Machine Report'!$C$109:$BD$166,29,FALSE)</f>
        <v>0</v>
      </c>
      <c r="AI23" s="13">
        <f ca="1">VLOOKUP($B23,'[4]Analisys QBR By Machine Report'!$C$109:$BD$166,30,FALSE)</f>
        <v>1542</v>
      </c>
      <c r="AJ23" s="13">
        <f ca="1">VLOOKUP($B23,'[4]Analisys QBR By Machine Report'!$C$109:$BD$166,31,FALSE)</f>
        <v>313</v>
      </c>
      <c r="AK23" s="13">
        <f ca="1">VLOOKUP($B23,'[4]Analisys QBR By Machine Report'!$C$109:$BD$166,32,FALSE)</f>
        <v>0</v>
      </c>
      <c r="AL23" s="13">
        <f ca="1">VLOOKUP($B23,'[4]Analisys QBR By Machine Report'!$C$109:$BD$166,33,FALSE)</f>
        <v>223</v>
      </c>
      <c r="AM23" s="13">
        <f ca="1">VLOOKUP($B23,'[4]Analisys QBR By Machine Report'!$C$109:$BD$166,34,FALSE)</f>
        <v>0</v>
      </c>
      <c r="AN23" s="13">
        <f ca="1">VLOOKUP($B23,'[4]Analisys QBR By Machine Report'!$C$109:$BD$166,35,FALSE)</f>
        <v>111</v>
      </c>
      <c r="AO23" s="13">
        <f ca="1">VLOOKUP($B23,'[4]Analisys QBR By Machine Report'!$C$109:$BD$166,36,FALSE)</f>
        <v>0</v>
      </c>
      <c r="AP23" s="13">
        <f ca="1">VLOOKUP($B23,'[4]Analisys QBR By Machine Report'!$C$109:$BD$166,37,FALSE)</f>
        <v>0</v>
      </c>
      <c r="AQ23" s="13">
        <f ca="1">VLOOKUP($B23,'[4]Analisys QBR By Machine Report'!$C$109:$BD$166,38,FALSE)</f>
        <v>0</v>
      </c>
      <c r="AR23" s="13">
        <f ca="1">VLOOKUP($B23,'[4]Analisys QBR By Machine Report'!$C$109:$BD$166,39,FALSE)</f>
        <v>0</v>
      </c>
      <c r="AS23" s="13">
        <f ca="1">VLOOKUP($B23,'[4]Analisys QBR By Machine Report'!$C$109:$BD$166,40,FALSE)</f>
        <v>0</v>
      </c>
      <c r="AT23" s="13">
        <f ca="1">VLOOKUP($B23,'[4]Analisys QBR By Machine Report'!$C$109:$BD$166,41,FALSE)</f>
        <v>0</v>
      </c>
      <c r="AU23" s="13">
        <f ca="1">VLOOKUP($B23,'[4]Analisys QBR By Machine Report'!$C$109:$BD$166,42,FALSE)</f>
        <v>0</v>
      </c>
      <c r="AV23" s="13">
        <f ca="1">VLOOKUP($B23,'[4]Analisys QBR By Machine Report'!$C$109:$BD$166,43,FALSE)</f>
        <v>571</v>
      </c>
      <c r="AW23" s="13">
        <f ca="1">VLOOKUP($B23,'[4]Analisys QBR By Machine Report'!$C$109:$BD$166,44,FALSE)</f>
        <v>0</v>
      </c>
      <c r="AX23" s="13">
        <f ca="1">VLOOKUP($B23,'[4]Analisys QBR By Machine Report'!$C$109:$BD$166,45,FALSE)</f>
        <v>0</v>
      </c>
      <c r="AY23" s="13">
        <f ca="1">VLOOKUP($B23,'[4]Analisys QBR By Machine Report'!$C$109:$BD$166,46,FALSE)</f>
        <v>0</v>
      </c>
      <c r="AZ23" s="13">
        <f ca="1">VLOOKUP($B23,'[4]Analisys QBR By Machine Report'!$C$109:$BD$166,47,FALSE)</f>
        <v>25</v>
      </c>
      <c r="BA23" s="13">
        <f ca="1">VLOOKUP($B23,'[4]Analisys QBR By Machine Report'!$C$109:$BD$166,48,FALSE)</f>
        <v>279</v>
      </c>
      <c r="BB23" s="13">
        <f ca="1">VLOOKUP($B23,'[4]Analisys QBR By Machine Report'!$C$109:$BD$166,49,FALSE)</f>
        <v>0</v>
      </c>
      <c r="BC23" s="13">
        <f ca="1">VLOOKUP($B23,'[4]Analisys QBR By Machine Report'!$C$109:$BD$166,50,FALSE)</f>
        <v>20</v>
      </c>
      <c r="BD23" s="13">
        <f ca="1">VLOOKUP($B23,'[4]Analisys QBR By Machine Report'!$C$109:$BD$166,51,FALSE)</f>
        <v>13489.9</v>
      </c>
      <c r="BE23" s="13">
        <f ca="1">VLOOKUP($B23,'[4]Analisys QBR By Machine Report'!$C$109:$BD$166,52,FALSE)</f>
        <v>1.2</v>
      </c>
      <c r="BF23" s="13">
        <f ca="1">VLOOKUP($B23,'[4]Analisys QBR By Machine Report'!$C$109:$BD$166,53,FALSE)</f>
        <v>13488.7</v>
      </c>
    </row>
    <row r="24" spans="1:58" x14ac:dyDescent="0.25">
      <c r="A24" s="9" t="s">
        <v>80</v>
      </c>
      <c r="B24" s="10">
        <f ca="1">VLOOKUP($B24,'[4]Analisys QBR By Machine Report'!$C$109:$BD$166,2,FALSE)</f>
        <v>48960</v>
      </c>
      <c r="C24" s="11">
        <f ca="1">VLOOKUP($B24,[4]Dasboard_QBR_Report!$B$109:$BL$166,3,FALSE)</f>
        <v>31620</v>
      </c>
      <c r="D24" s="10">
        <f ca="1">VLOOKUP($B24,'[4]Analisys QBR By Machine Report'!$C$109:$BD$166,3,FALSE)</f>
        <v>34230</v>
      </c>
      <c r="E24" s="11">
        <f ca="1">VLOOKUP($B24,[4]Dasboard_QBR_Report!$B$109:$BL$166,5,FALSE)</f>
        <v>16890</v>
      </c>
      <c r="F24" s="10">
        <f t="shared" ca="1" si="0"/>
        <v>14730</v>
      </c>
      <c r="G24" s="10">
        <f t="shared" ca="1" si="1"/>
        <v>1140</v>
      </c>
      <c r="H24" s="10">
        <f ca="1">VLOOKUP($B24,'[4]Analisys QBR By Machine Report'!$C$109:$BD$166,4,FALSE)</f>
        <v>1140</v>
      </c>
      <c r="I24" s="10">
        <f ca="1">VLOOKUP($B24,'[4]Analisys QBR By Machine Report'!$C$109:$BD$166,5,FALSE)</f>
        <v>0</v>
      </c>
      <c r="J24" s="10">
        <f ca="1">VLOOKUP($B24,'[4]Analisys QBR By Machine Report'!$C$109:$BD$166,6,FALSE)</f>
        <v>1140</v>
      </c>
      <c r="K24" s="10">
        <f ca="1">VLOOKUP($B24,'[4]Analisys QBR By Machine Report'!$C$109:$BD$166,7,FALSE)</f>
        <v>0</v>
      </c>
      <c r="L24" s="10">
        <f ca="1">VLOOKUP($B24,'[4]Analisys QBR By Machine Report'!$C$109:$BD$166,8,FALSE)</f>
        <v>13590</v>
      </c>
      <c r="M24" s="10">
        <f ca="1">VLOOKUP($B24,'[4]Analisys QBR By Machine Report'!$C$109:$BD$166,9,FALSE)</f>
        <v>3845</v>
      </c>
      <c r="N24" s="10">
        <f ca="1">VLOOKUP($B24,[4]Dasboard_QBR_Report!$B$109:$BL$166,18,FALSE)</f>
        <v>9745</v>
      </c>
      <c r="O24" s="10">
        <f ca="1">VLOOKUP($B24,'[4]Analisys QBR By Machine Report'!$C$109:$BD$166,10,FALSE)</f>
        <v>825</v>
      </c>
      <c r="P24" s="10">
        <f ca="1">VLOOKUP($B24,'[4]Analisys QBR By Machine Report'!$C$109:$BD$166,11,FALSE)</f>
        <v>555</v>
      </c>
      <c r="Q24" s="10">
        <f ca="1">VLOOKUP($B24,'[4]Analisys QBR By Machine Report'!$C$109:$BD$166,12,FALSE)</f>
        <v>0</v>
      </c>
      <c r="R24" s="10">
        <f ca="1">VLOOKUP($B24,'[4]Analisys QBR By Machine Report'!$C$109:$BD$166,13,FALSE)</f>
        <v>240</v>
      </c>
      <c r="S24" s="10">
        <f ca="1">VLOOKUP($B24,'[4]Analisys QBR By Machine Report'!$C$109:$BD$166,14,FALSE)</f>
        <v>30</v>
      </c>
      <c r="T24" s="10">
        <f ca="1">VLOOKUP($B24,'[4]Analisys QBR By Machine Report'!$C$109:$BD$166,15,FALSE)</f>
        <v>665</v>
      </c>
      <c r="U24" s="10">
        <f ca="1">VLOOKUP($B24,'[4]Analisys QBR By Machine Report'!$C$109:$BD$166,16,FALSE)</f>
        <v>665</v>
      </c>
      <c r="V24" s="10">
        <f ca="1">VLOOKUP($B24,'[4]Analisys QBR By Machine Report'!$C$109:$BD$166,17,FALSE)</f>
        <v>0</v>
      </c>
      <c r="W24" s="10">
        <f ca="1">VLOOKUP($B24,'[4]Analisys QBR By Machine Report'!$C$109:$BD$166,18,FALSE)</f>
        <v>0</v>
      </c>
      <c r="X24" s="10">
        <f ca="1">VLOOKUP($B24,'[4]Analisys QBR By Machine Report'!$C$109:$BD$166,19,FALSE)</f>
        <v>0</v>
      </c>
      <c r="Y24" s="10">
        <f ca="1">VLOOKUP($B24,'[4]Analisys QBR By Machine Report'!$C$109:$BD$166,20,FALSE)</f>
        <v>0</v>
      </c>
      <c r="Z24" s="10">
        <f ca="1">VLOOKUP($B24,'[4]Analisys QBR By Machine Report'!$C$109:$BD$166,21,FALSE)</f>
        <v>3555</v>
      </c>
      <c r="AA24" s="10">
        <f ca="1">VLOOKUP($B24,'[4]Analisys QBR By Machine Report'!$C$109:$BD$166,22,FALSE)</f>
        <v>620</v>
      </c>
      <c r="AB24" s="10">
        <f ca="1">VLOOKUP($B24,'[4]Analisys QBR By Machine Report'!$C$109:$BD$166,23,FALSE)</f>
        <v>1355</v>
      </c>
      <c r="AC24" s="10">
        <f ca="1">VLOOKUP($B24,'[4]Analisys QBR By Machine Report'!$C$109:$BD$166,24,FALSE)</f>
        <v>0</v>
      </c>
      <c r="AD24" s="10">
        <f ca="1">VLOOKUP($B24,'[4]Analisys QBR By Machine Report'!$C$109:$BD$166,25,FALSE)</f>
        <v>0</v>
      </c>
      <c r="AE24" s="10">
        <f ca="1">VLOOKUP($B24,'[4]Analisys QBR By Machine Report'!$C$109:$BD$166,26,FALSE)</f>
        <v>1580</v>
      </c>
      <c r="AF24" s="10">
        <f ca="1">VLOOKUP($B24,'[4]Analisys QBR By Machine Report'!$C$109:$BD$166,27,FALSE)</f>
        <v>0</v>
      </c>
      <c r="AG24" s="10">
        <f ca="1">VLOOKUP($B24,'[4]Analisys QBR By Machine Report'!$C$109:$BD$166,28,FALSE)</f>
        <v>0</v>
      </c>
      <c r="AH24" s="10">
        <f ca="1">VLOOKUP($B24,'[4]Analisys QBR By Machine Report'!$C$109:$BD$166,29,FALSE)</f>
        <v>0</v>
      </c>
      <c r="AI24" s="10">
        <f ca="1">VLOOKUP($B24,'[4]Analisys QBR By Machine Report'!$C$109:$BD$166,30,FALSE)</f>
        <v>4700</v>
      </c>
      <c r="AJ24" s="10">
        <f ca="1">VLOOKUP($B24,'[4]Analisys QBR By Machine Report'!$C$109:$BD$166,31,FALSE)</f>
        <v>0</v>
      </c>
      <c r="AK24" s="10">
        <f ca="1">VLOOKUP($B24,'[4]Analisys QBR By Machine Report'!$C$109:$BD$166,32,FALSE)</f>
        <v>0</v>
      </c>
      <c r="AL24" s="10">
        <f ca="1">VLOOKUP($B24,'[4]Analisys QBR By Machine Report'!$C$109:$BD$166,33,FALSE)</f>
        <v>820</v>
      </c>
      <c r="AM24" s="10">
        <f ca="1">VLOOKUP($B24,'[4]Analisys QBR By Machine Report'!$C$109:$BD$166,34,FALSE)</f>
        <v>20</v>
      </c>
      <c r="AN24" s="10">
        <f ca="1">VLOOKUP($B24,'[4]Analisys QBR By Machine Report'!$C$109:$BD$166,35,FALSE)</f>
        <v>660</v>
      </c>
      <c r="AO24" s="10">
        <f ca="1">VLOOKUP($B24,'[4]Analisys QBR By Machine Report'!$C$109:$BD$166,36,FALSE)</f>
        <v>90</v>
      </c>
      <c r="AP24" s="10">
        <f ca="1">VLOOKUP($B24,'[4]Analisys QBR By Machine Report'!$C$109:$BD$166,37,FALSE)</f>
        <v>0</v>
      </c>
      <c r="AQ24" s="10">
        <f ca="1">VLOOKUP($B24,'[4]Analisys QBR By Machine Report'!$C$109:$BD$166,38,FALSE)</f>
        <v>0</v>
      </c>
      <c r="AR24" s="10">
        <f ca="1">VLOOKUP($B24,'[4]Analisys QBR By Machine Report'!$C$109:$BD$166,39,FALSE)</f>
        <v>2990</v>
      </c>
      <c r="AS24" s="10">
        <f ca="1">VLOOKUP($B24,'[4]Analisys QBR By Machine Report'!$C$109:$BD$166,40,FALSE)</f>
        <v>0</v>
      </c>
      <c r="AT24" s="10">
        <f ca="1">VLOOKUP($B24,'[4]Analisys QBR By Machine Report'!$C$109:$BD$166,41,FALSE)</f>
        <v>0</v>
      </c>
      <c r="AU24" s="10">
        <f ca="1">VLOOKUP($B24,'[4]Analisys QBR By Machine Report'!$C$109:$BD$166,42,FALSE)</f>
        <v>0</v>
      </c>
      <c r="AV24" s="10">
        <f ca="1">VLOOKUP($B24,'[4]Analisys QBR By Machine Report'!$C$109:$BD$166,43,FALSE)</f>
        <v>0</v>
      </c>
      <c r="AW24" s="10">
        <f ca="1">VLOOKUP($B24,'[4]Analisys QBR By Machine Report'!$C$109:$BD$166,44,FALSE)</f>
        <v>0</v>
      </c>
      <c r="AX24" s="10">
        <f ca="1">VLOOKUP($B24,'[4]Analisys QBR By Machine Report'!$C$109:$BD$166,45,FALSE)</f>
        <v>0</v>
      </c>
      <c r="AY24" s="10">
        <f ca="1">VLOOKUP($B24,'[4]Analisys QBR By Machine Report'!$C$109:$BD$166,46,FALSE)</f>
        <v>0</v>
      </c>
      <c r="AZ24" s="10">
        <f ca="1">VLOOKUP($B24,'[4]Analisys QBR By Machine Report'!$C$109:$BD$166,47,FALSE)</f>
        <v>30</v>
      </c>
      <c r="BA24" s="10">
        <f ca="1">VLOOKUP($B24,'[4]Analisys QBR By Machine Report'!$C$109:$BD$166,48,FALSE)</f>
        <v>90</v>
      </c>
      <c r="BB24" s="10">
        <f ca="1">VLOOKUP($B24,'[4]Analisys QBR By Machine Report'!$C$109:$BD$166,49,FALSE)</f>
        <v>0</v>
      </c>
      <c r="BC24" s="10">
        <f ca="1">VLOOKUP($B24,'[4]Analisys QBR By Machine Report'!$C$109:$BD$166,50,FALSE)</f>
        <v>0</v>
      </c>
      <c r="BD24" s="10">
        <f ca="1">VLOOKUP($B24,'[4]Analisys QBR By Machine Report'!$C$109:$BD$166,51,FALSE)</f>
        <v>189950</v>
      </c>
      <c r="BE24" s="10">
        <f ca="1">VLOOKUP($B24,'[4]Analisys QBR By Machine Report'!$C$109:$BD$166,52,FALSE)</f>
        <v>289</v>
      </c>
      <c r="BF24" s="10">
        <f ca="1">VLOOKUP($B24,'[4]Analisys QBR By Machine Report'!$C$109:$BD$166,53,FALSE)</f>
        <v>189661</v>
      </c>
    </row>
    <row r="25" spans="1:58" x14ac:dyDescent="0.25">
      <c r="A25" s="12" t="s">
        <v>81</v>
      </c>
      <c r="B25" s="13">
        <f ca="1">VLOOKUP($B25,'[4]Analisys QBR By Machine Report'!$C$109:$BD$166,2,FALSE)</f>
        <v>24480</v>
      </c>
      <c r="C25" s="14">
        <f ca="1">VLOOKUP($B25,[4]Dasboard_QBR_Report!$B$109:$BL$166,3,FALSE)</f>
        <v>15810</v>
      </c>
      <c r="D25" s="13">
        <f ca="1">VLOOKUP($B25,'[4]Analisys QBR By Machine Report'!$C$109:$BD$166,3,FALSE)</f>
        <v>13650</v>
      </c>
      <c r="E25" s="14">
        <f ca="1">VLOOKUP($B25,[4]Dasboard_QBR_Report!$B$109:$BL$166,5,FALSE)</f>
        <v>4980</v>
      </c>
      <c r="F25" s="13">
        <f t="shared" ca="1" si="0"/>
        <v>10830</v>
      </c>
      <c r="G25" s="13">
        <f t="shared" ca="1" si="1"/>
        <v>630</v>
      </c>
      <c r="H25" s="13">
        <f ca="1">VLOOKUP($B25,'[4]Analisys QBR By Machine Report'!$C$109:$BD$166,4,FALSE)</f>
        <v>630</v>
      </c>
      <c r="I25" s="13">
        <f ca="1">VLOOKUP($B25,'[4]Analisys QBR By Machine Report'!$C$109:$BD$166,5,FALSE)</f>
        <v>0</v>
      </c>
      <c r="J25" s="13">
        <f ca="1">VLOOKUP($B25,'[4]Analisys QBR By Machine Report'!$C$109:$BD$166,6,FALSE)</f>
        <v>630</v>
      </c>
      <c r="K25" s="13">
        <f ca="1">VLOOKUP($B25,'[4]Analisys QBR By Machine Report'!$C$109:$BD$166,7,FALSE)</f>
        <v>0</v>
      </c>
      <c r="L25" s="13">
        <f ca="1">VLOOKUP($B25,'[4]Analisys QBR By Machine Report'!$C$109:$BD$166,8,FALSE)</f>
        <v>10200</v>
      </c>
      <c r="M25" s="13">
        <f ca="1">VLOOKUP($B25,'[4]Analisys QBR By Machine Report'!$C$109:$BD$166,9,FALSE)</f>
        <v>2920</v>
      </c>
      <c r="N25" s="13">
        <f ca="1">VLOOKUP($B25,[4]Dasboard_QBR_Report!$B$109:$BL$166,18,FALSE)</f>
        <v>7280</v>
      </c>
      <c r="O25" s="13">
        <f ca="1">VLOOKUP($B25,'[4]Analisys QBR By Machine Report'!$C$109:$BD$166,10,FALSE)</f>
        <v>740</v>
      </c>
      <c r="P25" s="13">
        <f ca="1">VLOOKUP($B25,'[4]Analisys QBR By Machine Report'!$C$109:$BD$166,11,FALSE)</f>
        <v>510</v>
      </c>
      <c r="Q25" s="13">
        <f ca="1">VLOOKUP($B25,'[4]Analisys QBR By Machine Report'!$C$109:$BD$166,12,FALSE)</f>
        <v>0</v>
      </c>
      <c r="R25" s="13">
        <f ca="1">VLOOKUP($B25,'[4]Analisys QBR By Machine Report'!$C$109:$BD$166,13,FALSE)</f>
        <v>200</v>
      </c>
      <c r="S25" s="13">
        <f ca="1">VLOOKUP($B25,'[4]Analisys QBR By Machine Report'!$C$109:$BD$166,14,FALSE)</f>
        <v>30</v>
      </c>
      <c r="T25" s="13">
        <f ca="1">VLOOKUP($B25,'[4]Analisys QBR By Machine Report'!$C$109:$BD$166,15,FALSE)</f>
        <v>240</v>
      </c>
      <c r="U25" s="13">
        <f ca="1">VLOOKUP($B25,'[4]Analisys QBR By Machine Report'!$C$109:$BD$166,16,FALSE)</f>
        <v>240</v>
      </c>
      <c r="V25" s="13">
        <f ca="1">VLOOKUP($B25,'[4]Analisys QBR By Machine Report'!$C$109:$BD$166,17,FALSE)</f>
        <v>0</v>
      </c>
      <c r="W25" s="13">
        <f ca="1">VLOOKUP($B25,'[4]Analisys QBR By Machine Report'!$C$109:$BD$166,18,FALSE)</f>
        <v>0</v>
      </c>
      <c r="X25" s="13">
        <f ca="1">VLOOKUP($B25,'[4]Analisys QBR By Machine Report'!$C$109:$BD$166,19,FALSE)</f>
        <v>0</v>
      </c>
      <c r="Y25" s="13">
        <f ca="1">VLOOKUP($B25,'[4]Analisys QBR By Machine Report'!$C$109:$BD$166,20,FALSE)</f>
        <v>0</v>
      </c>
      <c r="Z25" s="13">
        <f ca="1">VLOOKUP($B25,'[4]Analisys QBR By Machine Report'!$C$109:$BD$166,21,FALSE)</f>
        <v>2830</v>
      </c>
      <c r="AA25" s="13">
        <f ca="1">VLOOKUP($B25,'[4]Analisys QBR By Machine Report'!$C$109:$BD$166,22,FALSE)</f>
        <v>540</v>
      </c>
      <c r="AB25" s="13">
        <f ca="1">VLOOKUP($B25,'[4]Analisys QBR By Machine Report'!$C$109:$BD$166,23,FALSE)</f>
        <v>1145</v>
      </c>
      <c r="AC25" s="13">
        <f ca="1">VLOOKUP($B25,'[4]Analisys QBR By Machine Report'!$C$109:$BD$166,24,FALSE)</f>
        <v>0</v>
      </c>
      <c r="AD25" s="13">
        <f ca="1">VLOOKUP($B25,'[4]Analisys QBR By Machine Report'!$C$109:$BD$166,25,FALSE)</f>
        <v>0</v>
      </c>
      <c r="AE25" s="13">
        <f ca="1">VLOOKUP($B25,'[4]Analisys QBR By Machine Report'!$C$109:$BD$166,26,FALSE)</f>
        <v>1145</v>
      </c>
      <c r="AF25" s="13">
        <f ca="1">VLOOKUP($B25,'[4]Analisys QBR By Machine Report'!$C$109:$BD$166,27,FALSE)</f>
        <v>0</v>
      </c>
      <c r="AG25" s="13">
        <f ca="1">VLOOKUP($B25,'[4]Analisys QBR By Machine Report'!$C$109:$BD$166,28,FALSE)</f>
        <v>0</v>
      </c>
      <c r="AH25" s="13">
        <f ca="1">VLOOKUP($B25,'[4]Analisys QBR By Machine Report'!$C$109:$BD$166,29,FALSE)</f>
        <v>0</v>
      </c>
      <c r="AI25" s="13">
        <f ca="1">VLOOKUP($B25,'[4]Analisys QBR By Machine Report'!$C$109:$BD$166,30,FALSE)</f>
        <v>3470</v>
      </c>
      <c r="AJ25" s="13">
        <f ca="1">VLOOKUP($B25,'[4]Analisys QBR By Machine Report'!$C$109:$BD$166,31,FALSE)</f>
        <v>0</v>
      </c>
      <c r="AK25" s="13">
        <f ca="1">VLOOKUP($B25,'[4]Analisys QBR By Machine Report'!$C$109:$BD$166,32,FALSE)</f>
        <v>0</v>
      </c>
      <c r="AL25" s="13">
        <f ca="1">VLOOKUP($B25,'[4]Analisys QBR By Machine Report'!$C$109:$BD$166,33,FALSE)</f>
        <v>640</v>
      </c>
      <c r="AM25" s="13">
        <f ca="1">VLOOKUP($B25,'[4]Analisys QBR By Machine Report'!$C$109:$BD$166,34,FALSE)</f>
        <v>20</v>
      </c>
      <c r="AN25" s="13">
        <f ca="1">VLOOKUP($B25,'[4]Analisys QBR By Machine Report'!$C$109:$BD$166,35,FALSE)</f>
        <v>540</v>
      </c>
      <c r="AO25" s="13">
        <f ca="1">VLOOKUP($B25,'[4]Analisys QBR By Machine Report'!$C$109:$BD$166,36,FALSE)</f>
        <v>90</v>
      </c>
      <c r="AP25" s="13">
        <f ca="1">VLOOKUP($B25,'[4]Analisys QBR By Machine Report'!$C$109:$BD$166,37,FALSE)</f>
        <v>0</v>
      </c>
      <c r="AQ25" s="13">
        <f ca="1">VLOOKUP($B25,'[4]Analisys QBR By Machine Report'!$C$109:$BD$166,38,FALSE)</f>
        <v>0</v>
      </c>
      <c r="AR25" s="13">
        <f ca="1">VLOOKUP($B25,'[4]Analisys QBR By Machine Report'!$C$109:$BD$166,39,FALSE)</f>
        <v>2060</v>
      </c>
      <c r="AS25" s="13">
        <f ca="1">VLOOKUP($B25,'[4]Analisys QBR By Machine Report'!$C$109:$BD$166,40,FALSE)</f>
        <v>0</v>
      </c>
      <c r="AT25" s="13">
        <f ca="1">VLOOKUP($B25,'[4]Analisys QBR By Machine Report'!$C$109:$BD$166,41,FALSE)</f>
        <v>0</v>
      </c>
      <c r="AU25" s="13">
        <f ca="1">VLOOKUP($B25,'[4]Analisys QBR By Machine Report'!$C$109:$BD$166,42,FALSE)</f>
        <v>0</v>
      </c>
      <c r="AV25" s="13">
        <f ca="1">VLOOKUP($B25,'[4]Analisys QBR By Machine Report'!$C$109:$BD$166,43,FALSE)</f>
        <v>0</v>
      </c>
      <c r="AW25" s="13">
        <f ca="1">VLOOKUP($B25,'[4]Analisys QBR By Machine Report'!$C$109:$BD$166,44,FALSE)</f>
        <v>0</v>
      </c>
      <c r="AX25" s="13">
        <f ca="1">VLOOKUP($B25,'[4]Analisys QBR By Machine Report'!$C$109:$BD$166,45,FALSE)</f>
        <v>0</v>
      </c>
      <c r="AY25" s="13">
        <f ca="1">VLOOKUP($B25,'[4]Analisys QBR By Machine Report'!$C$109:$BD$166,46,FALSE)</f>
        <v>0</v>
      </c>
      <c r="AZ25" s="13">
        <f ca="1">VLOOKUP($B25,'[4]Analisys QBR By Machine Report'!$C$109:$BD$166,47,FALSE)</f>
        <v>30</v>
      </c>
      <c r="BA25" s="13">
        <f ca="1">VLOOKUP($B25,'[4]Analisys QBR By Machine Report'!$C$109:$BD$166,48,FALSE)</f>
        <v>90</v>
      </c>
      <c r="BB25" s="13">
        <f ca="1">VLOOKUP($B25,'[4]Analisys QBR By Machine Report'!$C$109:$BD$166,49,FALSE)</f>
        <v>0</v>
      </c>
      <c r="BC25" s="13">
        <f ca="1">VLOOKUP($B25,'[4]Analisys QBR By Machine Report'!$C$109:$BD$166,50,FALSE)</f>
        <v>0</v>
      </c>
      <c r="BD25" s="13">
        <f ca="1">VLOOKUP($B25,'[4]Analisys QBR By Machine Report'!$C$109:$BD$166,51,FALSE)</f>
        <v>145197</v>
      </c>
      <c r="BE25" s="13">
        <f ca="1">VLOOKUP($B25,'[4]Analisys QBR By Machine Report'!$C$109:$BD$166,52,FALSE)</f>
        <v>259</v>
      </c>
      <c r="BF25" s="13">
        <f ca="1">VLOOKUP($B25,'[4]Analisys QBR By Machine Report'!$C$109:$BD$166,53,FALSE)</f>
        <v>144938</v>
      </c>
    </row>
    <row r="26" spans="1:58" x14ac:dyDescent="0.25">
      <c r="A26" s="12" t="s">
        <v>82</v>
      </c>
      <c r="B26" s="13">
        <f ca="1">VLOOKUP($B26,'[4]Analisys QBR By Machine Report'!$C$109:$BD$166,2,FALSE)</f>
        <v>24480</v>
      </c>
      <c r="C26" s="14">
        <f ca="1">VLOOKUP($B26,[4]Dasboard_QBR_Report!$B$109:$BL$166,3,FALSE)</f>
        <v>15810</v>
      </c>
      <c r="D26" s="13">
        <f ca="1">VLOOKUP($B26,'[4]Analisys QBR By Machine Report'!$C$109:$BD$166,3,FALSE)</f>
        <v>20580</v>
      </c>
      <c r="E26" s="14">
        <f ca="1">VLOOKUP($B26,[4]Dasboard_QBR_Report!$B$109:$BL$166,5,FALSE)</f>
        <v>11910</v>
      </c>
      <c r="F26" s="13">
        <f t="shared" ca="1" si="0"/>
        <v>3900</v>
      </c>
      <c r="G26" s="13">
        <f t="shared" ca="1" si="1"/>
        <v>510</v>
      </c>
      <c r="H26" s="13">
        <f ca="1">VLOOKUP($B26,'[4]Analisys QBR By Machine Report'!$C$109:$BD$166,4,FALSE)</f>
        <v>510</v>
      </c>
      <c r="I26" s="13">
        <f ca="1">VLOOKUP($B26,'[4]Analisys QBR By Machine Report'!$C$109:$BD$166,5,FALSE)</f>
        <v>0</v>
      </c>
      <c r="J26" s="13">
        <f ca="1">VLOOKUP($B26,'[4]Analisys QBR By Machine Report'!$C$109:$BD$166,6,FALSE)</f>
        <v>510</v>
      </c>
      <c r="K26" s="13">
        <f ca="1">VLOOKUP($B26,'[4]Analisys QBR By Machine Report'!$C$109:$BD$166,7,FALSE)</f>
        <v>0</v>
      </c>
      <c r="L26" s="13">
        <f ca="1">VLOOKUP($B26,'[4]Analisys QBR By Machine Report'!$C$109:$BD$166,8,FALSE)</f>
        <v>3390</v>
      </c>
      <c r="M26" s="13">
        <f ca="1">VLOOKUP($B26,'[4]Analisys QBR By Machine Report'!$C$109:$BD$166,9,FALSE)</f>
        <v>925</v>
      </c>
      <c r="N26" s="13">
        <f ca="1">VLOOKUP($B26,[4]Dasboard_QBR_Report!$B$109:$BL$166,18,FALSE)</f>
        <v>2465</v>
      </c>
      <c r="O26" s="13">
        <f ca="1">VLOOKUP($B26,'[4]Analisys QBR By Machine Report'!$C$109:$BD$166,10,FALSE)</f>
        <v>85</v>
      </c>
      <c r="P26" s="13">
        <f ca="1">VLOOKUP($B26,'[4]Analisys QBR By Machine Report'!$C$109:$BD$166,11,FALSE)</f>
        <v>45</v>
      </c>
      <c r="Q26" s="13">
        <f ca="1">VLOOKUP($B26,'[4]Analisys QBR By Machine Report'!$C$109:$BD$166,12,FALSE)</f>
        <v>0</v>
      </c>
      <c r="R26" s="13">
        <f ca="1">VLOOKUP($B26,'[4]Analisys QBR By Machine Report'!$C$109:$BD$166,13,FALSE)</f>
        <v>40</v>
      </c>
      <c r="S26" s="13">
        <f ca="1">VLOOKUP($B26,'[4]Analisys QBR By Machine Report'!$C$109:$BD$166,14,FALSE)</f>
        <v>0</v>
      </c>
      <c r="T26" s="13">
        <f ca="1">VLOOKUP($B26,'[4]Analisys QBR By Machine Report'!$C$109:$BD$166,15,FALSE)</f>
        <v>425</v>
      </c>
      <c r="U26" s="13">
        <f ca="1">VLOOKUP($B26,'[4]Analisys QBR By Machine Report'!$C$109:$BD$166,16,FALSE)</f>
        <v>425</v>
      </c>
      <c r="V26" s="13">
        <f ca="1">VLOOKUP($B26,'[4]Analisys QBR By Machine Report'!$C$109:$BD$166,17,FALSE)</f>
        <v>0</v>
      </c>
      <c r="W26" s="13">
        <f ca="1">VLOOKUP($B26,'[4]Analisys QBR By Machine Report'!$C$109:$BD$166,18,FALSE)</f>
        <v>0</v>
      </c>
      <c r="X26" s="13">
        <f ca="1">VLOOKUP($B26,'[4]Analisys QBR By Machine Report'!$C$109:$BD$166,19,FALSE)</f>
        <v>0</v>
      </c>
      <c r="Y26" s="13">
        <f ca="1">VLOOKUP($B26,'[4]Analisys QBR By Machine Report'!$C$109:$BD$166,20,FALSE)</f>
        <v>0</v>
      </c>
      <c r="Z26" s="13">
        <f ca="1">VLOOKUP($B26,'[4]Analisys QBR By Machine Report'!$C$109:$BD$166,21,FALSE)</f>
        <v>725</v>
      </c>
      <c r="AA26" s="13">
        <f ca="1">VLOOKUP($B26,'[4]Analisys QBR By Machine Report'!$C$109:$BD$166,22,FALSE)</f>
        <v>80</v>
      </c>
      <c r="AB26" s="13">
        <f ca="1">VLOOKUP($B26,'[4]Analisys QBR By Machine Report'!$C$109:$BD$166,23,FALSE)</f>
        <v>210</v>
      </c>
      <c r="AC26" s="13">
        <f ca="1">VLOOKUP($B26,'[4]Analisys QBR By Machine Report'!$C$109:$BD$166,24,FALSE)</f>
        <v>0</v>
      </c>
      <c r="AD26" s="13">
        <f ca="1">VLOOKUP($B26,'[4]Analisys QBR By Machine Report'!$C$109:$BD$166,25,FALSE)</f>
        <v>0</v>
      </c>
      <c r="AE26" s="13">
        <f ca="1">VLOOKUP($B26,'[4]Analisys QBR By Machine Report'!$C$109:$BD$166,26,FALSE)</f>
        <v>435</v>
      </c>
      <c r="AF26" s="13">
        <f ca="1">VLOOKUP($B26,'[4]Analisys QBR By Machine Report'!$C$109:$BD$166,27,FALSE)</f>
        <v>0</v>
      </c>
      <c r="AG26" s="13">
        <f ca="1">VLOOKUP($B26,'[4]Analisys QBR By Machine Report'!$C$109:$BD$166,28,FALSE)</f>
        <v>0</v>
      </c>
      <c r="AH26" s="13">
        <f ca="1">VLOOKUP($B26,'[4]Analisys QBR By Machine Report'!$C$109:$BD$166,29,FALSE)</f>
        <v>0</v>
      </c>
      <c r="AI26" s="13">
        <f ca="1">VLOOKUP($B26,'[4]Analisys QBR By Machine Report'!$C$109:$BD$166,30,FALSE)</f>
        <v>1230</v>
      </c>
      <c r="AJ26" s="13">
        <f ca="1">VLOOKUP($B26,'[4]Analisys QBR By Machine Report'!$C$109:$BD$166,31,FALSE)</f>
        <v>0</v>
      </c>
      <c r="AK26" s="13">
        <f ca="1">VLOOKUP($B26,'[4]Analisys QBR By Machine Report'!$C$109:$BD$166,32,FALSE)</f>
        <v>0</v>
      </c>
      <c r="AL26" s="13">
        <f ca="1">VLOOKUP($B26,'[4]Analisys QBR By Machine Report'!$C$109:$BD$166,33,FALSE)</f>
        <v>180</v>
      </c>
      <c r="AM26" s="13">
        <f ca="1">VLOOKUP($B26,'[4]Analisys QBR By Machine Report'!$C$109:$BD$166,34,FALSE)</f>
        <v>0</v>
      </c>
      <c r="AN26" s="13">
        <f ca="1">VLOOKUP($B26,'[4]Analisys QBR By Machine Report'!$C$109:$BD$166,35,FALSE)</f>
        <v>120</v>
      </c>
      <c r="AO26" s="13">
        <f ca="1">VLOOKUP($B26,'[4]Analisys QBR By Machine Report'!$C$109:$BD$166,36,FALSE)</f>
        <v>0</v>
      </c>
      <c r="AP26" s="13">
        <f ca="1">VLOOKUP($B26,'[4]Analisys QBR By Machine Report'!$C$109:$BD$166,37,FALSE)</f>
        <v>0</v>
      </c>
      <c r="AQ26" s="13">
        <f ca="1">VLOOKUP($B26,'[4]Analisys QBR By Machine Report'!$C$109:$BD$166,38,FALSE)</f>
        <v>0</v>
      </c>
      <c r="AR26" s="13">
        <f ca="1">VLOOKUP($B26,'[4]Analisys QBR By Machine Report'!$C$109:$BD$166,39,FALSE)</f>
        <v>930</v>
      </c>
      <c r="AS26" s="13">
        <f ca="1">VLOOKUP($B26,'[4]Analisys QBR By Machine Report'!$C$109:$BD$166,40,FALSE)</f>
        <v>0</v>
      </c>
      <c r="AT26" s="13">
        <f ca="1">VLOOKUP($B26,'[4]Analisys QBR By Machine Report'!$C$109:$BD$166,41,FALSE)</f>
        <v>0</v>
      </c>
      <c r="AU26" s="13">
        <f ca="1">VLOOKUP($B26,'[4]Analisys QBR By Machine Report'!$C$109:$BD$166,42,FALSE)</f>
        <v>0</v>
      </c>
      <c r="AV26" s="13">
        <f ca="1">VLOOKUP($B26,'[4]Analisys QBR By Machine Report'!$C$109:$BD$166,43,FALSE)</f>
        <v>0</v>
      </c>
      <c r="AW26" s="13">
        <f ca="1">VLOOKUP($B26,'[4]Analisys QBR By Machine Report'!$C$109:$BD$166,44,FALSE)</f>
        <v>0</v>
      </c>
      <c r="AX26" s="13">
        <f ca="1">VLOOKUP($B26,'[4]Analisys QBR By Machine Report'!$C$109:$BD$166,45,FALSE)</f>
        <v>0</v>
      </c>
      <c r="AY26" s="13">
        <f ca="1">VLOOKUP($B26,'[4]Analisys QBR By Machine Report'!$C$109:$BD$166,46,FALSE)</f>
        <v>0</v>
      </c>
      <c r="AZ26" s="13">
        <f ca="1">VLOOKUP($B26,'[4]Analisys QBR By Machine Report'!$C$109:$BD$166,47,FALSE)</f>
        <v>0</v>
      </c>
      <c r="BA26" s="13">
        <f ca="1">VLOOKUP($B26,'[4]Analisys QBR By Machine Report'!$C$109:$BD$166,48,FALSE)</f>
        <v>0</v>
      </c>
      <c r="BB26" s="13">
        <f ca="1">VLOOKUP($B26,'[4]Analisys QBR By Machine Report'!$C$109:$BD$166,49,FALSE)</f>
        <v>0</v>
      </c>
      <c r="BC26" s="13">
        <f ca="1">VLOOKUP($B26,'[4]Analisys QBR By Machine Report'!$C$109:$BD$166,50,FALSE)</f>
        <v>0</v>
      </c>
      <c r="BD26" s="13">
        <f ca="1">VLOOKUP($B26,'[4]Analisys QBR By Machine Report'!$C$109:$BD$166,51,FALSE)</f>
        <v>44753</v>
      </c>
      <c r="BE26" s="13">
        <f ca="1">VLOOKUP($B26,'[4]Analisys QBR By Machine Report'!$C$109:$BD$166,52,FALSE)</f>
        <v>30</v>
      </c>
      <c r="BF26" s="13">
        <f ca="1">VLOOKUP($B26,'[4]Analisys QBR By Machine Report'!$C$109:$BD$166,53,FALSE)</f>
        <v>44723</v>
      </c>
    </row>
    <row r="27" spans="1:58" x14ac:dyDescent="0.25">
      <c r="A27" s="9" t="s">
        <v>83</v>
      </c>
      <c r="B27" s="10">
        <f ca="1">VLOOKUP($B27,'[4]Analisys QBR By Machine Report'!$C$109:$BD$166,2,FALSE)</f>
        <v>24480</v>
      </c>
      <c r="C27" s="11">
        <f ca="1">VLOOKUP($B27,[4]Dasboard_QBR_Report!$B$109:$BL$166,3,FALSE)</f>
        <v>15810</v>
      </c>
      <c r="D27" s="10">
        <f ca="1">VLOOKUP($B27,'[4]Analisys QBR By Machine Report'!$C$109:$BD$166,3,FALSE)</f>
        <v>17665</v>
      </c>
      <c r="E27" s="11">
        <f ca="1">VLOOKUP($B27,[4]Dasboard_QBR_Report!$B$109:$BL$166,5,FALSE)</f>
        <v>8995</v>
      </c>
      <c r="F27" s="10">
        <f t="shared" ca="1" si="0"/>
        <v>6815</v>
      </c>
      <c r="G27" s="10">
        <f t="shared" ca="1" si="1"/>
        <v>240</v>
      </c>
      <c r="H27" s="10">
        <f ca="1">VLOOKUP($B27,'[4]Analisys QBR By Machine Report'!$C$109:$BD$166,4,FALSE)</f>
        <v>240</v>
      </c>
      <c r="I27" s="10">
        <f ca="1">VLOOKUP($B27,'[4]Analisys QBR By Machine Report'!$C$109:$BD$166,5,FALSE)</f>
        <v>0</v>
      </c>
      <c r="J27" s="10">
        <f ca="1">VLOOKUP($B27,'[4]Analisys QBR By Machine Report'!$C$109:$BD$166,6,FALSE)</f>
        <v>240</v>
      </c>
      <c r="K27" s="10">
        <f ca="1">VLOOKUP($B27,'[4]Analisys QBR By Machine Report'!$C$109:$BD$166,7,FALSE)</f>
        <v>0</v>
      </c>
      <c r="L27" s="10">
        <f ca="1">VLOOKUP($B27,'[4]Analisys QBR By Machine Report'!$C$109:$BD$166,8,FALSE)</f>
        <v>6575</v>
      </c>
      <c r="M27" s="10">
        <f ca="1">VLOOKUP($B27,'[4]Analisys QBR By Machine Report'!$C$109:$BD$166,9,FALSE)</f>
        <v>2152</v>
      </c>
      <c r="N27" s="10">
        <f ca="1">VLOOKUP($B27,[4]Dasboard_QBR_Report!$B$109:$BL$166,18,FALSE)</f>
        <v>4423</v>
      </c>
      <c r="O27" s="10">
        <f ca="1">VLOOKUP($B27,'[4]Analisys QBR By Machine Report'!$C$109:$BD$166,10,FALSE)</f>
        <v>165</v>
      </c>
      <c r="P27" s="10">
        <f ca="1">VLOOKUP($B27,'[4]Analisys QBR By Machine Report'!$C$109:$BD$166,11,FALSE)</f>
        <v>165</v>
      </c>
      <c r="Q27" s="10">
        <f ca="1">VLOOKUP($B27,'[4]Analisys QBR By Machine Report'!$C$109:$BD$166,12,FALSE)</f>
        <v>0</v>
      </c>
      <c r="R27" s="10">
        <f ca="1">VLOOKUP($B27,'[4]Analisys QBR By Machine Report'!$C$109:$BD$166,13,FALSE)</f>
        <v>0</v>
      </c>
      <c r="S27" s="10">
        <f ca="1">VLOOKUP($B27,'[4]Analisys QBR By Machine Report'!$C$109:$BD$166,14,FALSE)</f>
        <v>0</v>
      </c>
      <c r="T27" s="10">
        <f ca="1">VLOOKUP($B27,'[4]Analisys QBR By Machine Report'!$C$109:$BD$166,15,FALSE)</f>
        <v>170</v>
      </c>
      <c r="U27" s="10">
        <f ca="1">VLOOKUP($B27,'[4]Analisys QBR By Machine Report'!$C$109:$BD$166,16,FALSE)</f>
        <v>0</v>
      </c>
      <c r="V27" s="10">
        <f ca="1">VLOOKUP($B27,'[4]Analisys QBR By Machine Report'!$C$109:$BD$166,17,FALSE)</f>
        <v>0</v>
      </c>
      <c r="W27" s="10">
        <f ca="1">VLOOKUP($B27,'[4]Analisys QBR By Machine Report'!$C$109:$BD$166,18,FALSE)</f>
        <v>0</v>
      </c>
      <c r="X27" s="10">
        <f ca="1">VLOOKUP($B27,'[4]Analisys QBR By Machine Report'!$C$109:$BD$166,19,FALSE)</f>
        <v>170</v>
      </c>
      <c r="Y27" s="10">
        <f ca="1">VLOOKUP($B27,'[4]Analisys QBR By Machine Report'!$C$109:$BD$166,20,FALSE)</f>
        <v>0</v>
      </c>
      <c r="Z27" s="10">
        <f ca="1">VLOOKUP($B27,'[4]Analisys QBR By Machine Report'!$C$109:$BD$166,21,FALSE)</f>
        <v>2025</v>
      </c>
      <c r="AA27" s="10">
        <f ca="1">VLOOKUP($B27,'[4]Analisys QBR By Machine Report'!$C$109:$BD$166,22,FALSE)</f>
        <v>475</v>
      </c>
      <c r="AB27" s="10">
        <f ca="1">VLOOKUP($B27,'[4]Analisys QBR By Machine Report'!$C$109:$BD$166,23,FALSE)</f>
        <v>1417</v>
      </c>
      <c r="AC27" s="10">
        <f ca="1">VLOOKUP($B27,'[4]Analisys QBR By Machine Report'!$C$109:$BD$166,24,FALSE)</f>
        <v>0</v>
      </c>
      <c r="AD27" s="10">
        <f ca="1">VLOOKUP($B27,'[4]Analisys QBR By Machine Report'!$C$109:$BD$166,25,FALSE)</f>
        <v>133</v>
      </c>
      <c r="AE27" s="10">
        <f ca="1">VLOOKUP($B27,'[4]Analisys QBR By Machine Report'!$C$109:$BD$166,26,FALSE)</f>
        <v>0</v>
      </c>
      <c r="AF27" s="10">
        <f ca="1">VLOOKUP($B27,'[4]Analisys QBR By Machine Report'!$C$109:$BD$166,27,FALSE)</f>
        <v>0</v>
      </c>
      <c r="AG27" s="10">
        <f ca="1">VLOOKUP($B27,'[4]Analisys QBR By Machine Report'!$C$109:$BD$166,28,FALSE)</f>
        <v>0</v>
      </c>
      <c r="AH27" s="10">
        <f ca="1">VLOOKUP($B27,'[4]Analisys QBR By Machine Report'!$C$109:$BD$166,29,FALSE)</f>
        <v>0</v>
      </c>
      <c r="AI27" s="10">
        <f ca="1">VLOOKUP($B27,'[4]Analisys QBR By Machine Report'!$C$109:$BD$166,30,FALSE)</f>
        <v>2063</v>
      </c>
      <c r="AJ27" s="10">
        <f ca="1">VLOOKUP($B27,'[4]Analisys QBR By Machine Report'!$C$109:$BD$166,31,FALSE)</f>
        <v>0</v>
      </c>
      <c r="AK27" s="10">
        <f ca="1">VLOOKUP($B27,'[4]Analisys QBR By Machine Report'!$C$109:$BD$166,32,FALSE)</f>
        <v>0</v>
      </c>
      <c r="AL27" s="10">
        <f ca="1">VLOOKUP($B27,'[4]Analisys QBR By Machine Report'!$C$109:$BD$166,33,FALSE)</f>
        <v>500</v>
      </c>
      <c r="AM27" s="10">
        <f ca="1">VLOOKUP($B27,'[4]Analisys QBR By Machine Report'!$C$109:$BD$166,34,FALSE)</f>
        <v>0</v>
      </c>
      <c r="AN27" s="10">
        <f ca="1">VLOOKUP($B27,'[4]Analisys QBR By Machine Report'!$C$109:$BD$166,35,FALSE)</f>
        <v>285</v>
      </c>
      <c r="AO27" s="10">
        <f ca="1">VLOOKUP($B27,'[4]Analisys QBR By Machine Report'!$C$109:$BD$166,36,FALSE)</f>
        <v>0</v>
      </c>
      <c r="AP27" s="10">
        <f ca="1">VLOOKUP($B27,'[4]Analisys QBR By Machine Report'!$C$109:$BD$166,37,FALSE)</f>
        <v>50</v>
      </c>
      <c r="AQ27" s="10">
        <f ca="1">VLOOKUP($B27,'[4]Analisys QBR By Machine Report'!$C$109:$BD$166,38,FALSE)</f>
        <v>0</v>
      </c>
      <c r="AR27" s="10">
        <f ca="1">VLOOKUP($B27,'[4]Analisys QBR By Machine Report'!$C$109:$BD$166,39,FALSE)</f>
        <v>0</v>
      </c>
      <c r="AS27" s="10">
        <f ca="1">VLOOKUP($B27,'[4]Analisys QBR By Machine Report'!$C$109:$BD$166,40,FALSE)</f>
        <v>55</v>
      </c>
      <c r="AT27" s="10">
        <f ca="1">VLOOKUP($B27,'[4]Analisys QBR By Machine Report'!$C$109:$BD$166,41,FALSE)</f>
        <v>0</v>
      </c>
      <c r="AU27" s="10">
        <f ca="1">VLOOKUP($B27,'[4]Analisys QBR By Machine Report'!$C$109:$BD$166,42,FALSE)</f>
        <v>0</v>
      </c>
      <c r="AV27" s="10">
        <f ca="1">VLOOKUP($B27,'[4]Analisys QBR By Machine Report'!$C$109:$BD$166,43,FALSE)</f>
        <v>0</v>
      </c>
      <c r="AW27" s="10">
        <f ca="1">VLOOKUP($B27,'[4]Analisys QBR By Machine Report'!$C$109:$BD$166,44,FALSE)</f>
        <v>0</v>
      </c>
      <c r="AX27" s="10">
        <f ca="1">VLOOKUP($B27,'[4]Analisys QBR By Machine Report'!$C$109:$BD$166,45,FALSE)</f>
        <v>0</v>
      </c>
      <c r="AY27" s="10">
        <f ca="1">VLOOKUP($B27,'[4]Analisys QBR By Machine Report'!$C$109:$BD$166,46,FALSE)</f>
        <v>0</v>
      </c>
      <c r="AZ27" s="10">
        <f ca="1">VLOOKUP($B27,'[4]Analisys QBR By Machine Report'!$C$109:$BD$166,47,FALSE)</f>
        <v>1113</v>
      </c>
      <c r="BA27" s="10">
        <f ca="1">VLOOKUP($B27,'[4]Analisys QBR By Machine Report'!$C$109:$BD$166,48,FALSE)</f>
        <v>60</v>
      </c>
      <c r="BB27" s="10">
        <f ca="1">VLOOKUP($B27,'[4]Analisys QBR By Machine Report'!$C$109:$BD$166,49,FALSE)</f>
        <v>0</v>
      </c>
      <c r="BC27" s="10">
        <f ca="1">VLOOKUP($B27,'[4]Analisys QBR By Machine Report'!$C$109:$BD$166,50,FALSE)</f>
        <v>0</v>
      </c>
      <c r="BD27" s="10">
        <f ca="1">VLOOKUP($B27,'[4]Analisys QBR By Machine Report'!$C$109:$BD$166,51,FALSE)</f>
        <v>860</v>
      </c>
      <c r="BE27" s="10">
        <f ca="1">VLOOKUP($B27,'[4]Analisys QBR By Machine Report'!$C$109:$BD$166,52,FALSE)</f>
        <v>0</v>
      </c>
      <c r="BF27" s="10">
        <f ca="1">VLOOKUP($B27,'[4]Analisys QBR By Machine Report'!$C$109:$BD$166,53,FALSE)</f>
        <v>860</v>
      </c>
    </row>
    <row r="28" spans="1:58" x14ac:dyDescent="0.25">
      <c r="A28" s="12" t="s">
        <v>84</v>
      </c>
      <c r="B28" s="13">
        <f ca="1">VLOOKUP($B28,'[4]Analisys QBR By Machine Report'!$C$109:$BD$166,2,FALSE)</f>
        <v>24480</v>
      </c>
      <c r="C28" s="14">
        <f ca="1">VLOOKUP($B28,[4]Dasboard_QBR_Report!$B$109:$BL$166,3,FALSE)</f>
        <v>15810</v>
      </c>
      <c r="D28" s="13">
        <f ca="1">VLOOKUP($B28,'[4]Analisys QBR By Machine Report'!$C$109:$BD$166,3,FALSE)</f>
        <v>17665</v>
      </c>
      <c r="E28" s="14">
        <f ca="1">VLOOKUP($B28,[4]Dasboard_QBR_Report!$B$109:$BL$166,5,FALSE)</f>
        <v>8995</v>
      </c>
      <c r="F28" s="13">
        <f t="shared" ca="1" si="0"/>
        <v>6815</v>
      </c>
      <c r="G28" s="13">
        <f t="shared" ca="1" si="1"/>
        <v>240</v>
      </c>
      <c r="H28" s="13">
        <f ca="1">VLOOKUP($B28,'[4]Analisys QBR By Machine Report'!$C$109:$BD$166,4,FALSE)</f>
        <v>240</v>
      </c>
      <c r="I28" s="13">
        <f ca="1">VLOOKUP($B28,'[4]Analisys QBR By Machine Report'!$C$109:$BD$166,5,FALSE)</f>
        <v>0</v>
      </c>
      <c r="J28" s="13">
        <f ca="1">VLOOKUP($B28,'[4]Analisys QBR By Machine Report'!$C$109:$BD$166,6,FALSE)</f>
        <v>240</v>
      </c>
      <c r="K28" s="13">
        <f ca="1">VLOOKUP($B28,'[4]Analisys QBR By Machine Report'!$C$109:$BD$166,7,FALSE)</f>
        <v>0</v>
      </c>
      <c r="L28" s="13">
        <f ca="1">VLOOKUP($B28,'[4]Analisys QBR By Machine Report'!$C$109:$BD$166,8,FALSE)</f>
        <v>6575</v>
      </c>
      <c r="M28" s="13">
        <f ca="1">VLOOKUP($B28,'[4]Analisys QBR By Machine Report'!$C$109:$BD$166,9,FALSE)</f>
        <v>2152</v>
      </c>
      <c r="N28" s="13">
        <f ca="1">VLOOKUP($B28,[4]Dasboard_QBR_Report!$B$109:$BL$166,18,FALSE)</f>
        <v>4423</v>
      </c>
      <c r="O28" s="13">
        <f ca="1">VLOOKUP($B28,'[4]Analisys QBR By Machine Report'!$C$109:$BD$166,10,FALSE)</f>
        <v>165</v>
      </c>
      <c r="P28" s="13">
        <f ca="1">VLOOKUP($B28,'[4]Analisys QBR By Machine Report'!$C$109:$BD$166,11,FALSE)</f>
        <v>165</v>
      </c>
      <c r="Q28" s="13">
        <f ca="1">VLOOKUP($B28,'[4]Analisys QBR By Machine Report'!$C$109:$BD$166,12,FALSE)</f>
        <v>0</v>
      </c>
      <c r="R28" s="13">
        <f ca="1">VLOOKUP($B28,'[4]Analisys QBR By Machine Report'!$C$109:$BD$166,13,FALSE)</f>
        <v>0</v>
      </c>
      <c r="S28" s="13">
        <f ca="1">VLOOKUP($B28,'[4]Analisys QBR By Machine Report'!$C$109:$BD$166,14,FALSE)</f>
        <v>0</v>
      </c>
      <c r="T28" s="13">
        <f ca="1">VLOOKUP($B28,'[4]Analisys QBR By Machine Report'!$C$109:$BD$166,15,FALSE)</f>
        <v>170</v>
      </c>
      <c r="U28" s="13">
        <f ca="1">VLOOKUP($B28,'[4]Analisys QBR By Machine Report'!$C$109:$BD$166,16,FALSE)</f>
        <v>0</v>
      </c>
      <c r="V28" s="13">
        <f ca="1">VLOOKUP($B28,'[4]Analisys QBR By Machine Report'!$C$109:$BD$166,17,FALSE)</f>
        <v>0</v>
      </c>
      <c r="W28" s="13">
        <f ca="1">VLOOKUP($B28,'[4]Analisys QBR By Machine Report'!$C$109:$BD$166,18,FALSE)</f>
        <v>0</v>
      </c>
      <c r="X28" s="13">
        <f ca="1">VLOOKUP($B28,'[4]Analisys QBR By Machine Report'!$C$109:$BD$166,19,FALSE)</f>
        <v>170</v>
      </c>
      <c r="Y28" s="13">
        <f ca="1">VLOOKUP($B28,'[4]Analisys QBR By Machine Report'!$C$109:$BD$166,20,FALSE)</f>
        <v>0</v>
      </c>
      <c r="Z28" s="13">
        <f ca="1">VLOOKUP($B28,'[4]Analisys QBR By Machine Report'!$C$109:$BD$166,21,FALSE)</f>
        <v>2025</v>
      </c>
      <c r="AA28" s="13">
        <f ca="1">VLOOKUP($B28,'[4]Analisys QBR By Machine Report'!$C$109:$BD$166,22,FALSE)</f>
        <v>475</v>
      </c>
      <c r="AB28" s="13">
        <f ca="1">VLOOKUP($B28,'[4]Analisys QBR By Machine Report'!$C$109:$BD$166,23,FALSE)</f>
        <v>1417</v>
      </c>
      <c r="AC28" s="13">
        <f ca="1">VLOOKUP($B28,'[4]Analisys QBR By Machine Report'!$C$109:$BD$166,24,FALSE)</f>
        <v>0</v>
      </c>
      <c r="AD28" s="13">
        <f ca="1">VLOOKUP($B28,'[4]Analisys QBR By Machine Report'!$C$109:$BD$166,25,FALSE)</f>
        <v>133</v>
      </c>
      <c r="AE28" s="13">
        <f ca="1">VLOOKUP($B28,'[4]Analisys QBR By Machine Report'!$C$109:$BD$166,26,FALSE)</f>
        <v>0</v>
      </c>
      <c r="AF28" s="13">
        <f ca="1">VLOOKUP($B28,'[4]Analisys QBR By Machine Report'!$C$109:$BD$166,27,FALSE)</f>
        <v>0</v>
      </c>
      <c r="AG28" s="13">
        <f ca="1">VLOOKUP($B28,'[4]Analisys QBR By Machine Report'!$C$109:$BD$166,28,FALSE)</f>
        <v>0</v>
      </c>
      <c r="AH28" s="13">
        <f ca="1">VLOOKUP($B28,'[4]Analisys QBR By Machine Report'!$C$109:$BD$166,29,FALSE)</f>
        <v>0</v>
      </c>
      <c r="AI28" s="13">
        <f ca="1">VLOOKUP($B28,'[4]Analisys QBR By Machine Report'!$C$109:$BD$166,30,FALSE)</f>
        <v>2063</v>
      </c>
      <c r="AJ28" s="13">
        <f ca="1">VLOOKUP($B28,'[4]Analisys QBR By Machine Report'!$C$109:$BD$166,31,FALSE)</f>
        <v>0</v>
      </c>
      <c r="AK28" s="13">
        <f ca="1">VLOOKUP($B28,'[4]Analisys QBR By Machine Report'!$C$109:$BD$166,32,FALSE)</f>
        <v>0</v>
      </c>
      <c r="AL28" s="13">
        <f ca="1">VLOOKUP($B28,'[4]Analisys QBR By Machine Report'!$C$109:$BD$166,33,FALSE)</f>
        <v>500</v>
      </c>
      <c r="AM28" s="13">
        <f ca="1">VLOOKUP($B28,'[4]Analisys QBR By Machine Report'!$C$109:$BD$166,34,FALSE)</f>
        <v>0</v>
      </c>
      <c r="AN28" s="13">
        <f ca="1">VLOOKUP($B28,'[4]Analisys QBR By Machine Report'!$C$109:$BD$166,35,FALSE)</f>
        <v>285</v>
      </c>
      <c r="AO28" s="13">
        <f ca="1">VLOOKUP($B28,'[4]Analisys QBR By Machine Report'!$C$109:$BD$166,36,FALSE)</f>
        <v>0</v>
      </c>
      <c r="AP28" s="13">
        <f ca="1">VLOOKUP($B28,'[4]Analisys QBR By Machine Report'!$C$109:$BD$166,37,FALSE)</f>
        <v>50</v>
      </c>
      <c r="AQ28" s="13">
        <f ca="1">VLOOKUP($B28,'[4]Analisys QBR By Machine Report'!$C$109:$BD$166,38,FALSE)</f>
        <v>0</v>
      </c>
      <c r="AR28" s="13">
        <f ca="1">VLOOKUP($B28,'[4]Analisys QBR By Machine Report'!$C$109:$BD$166,39,FALSE)</f>
        <v>0</v>
      </c>
      <c r="AS28" s="13">
        <f ca="1">VLOOKUP($B28,'[4]Analisys QBR By Machine Report'!$C$109:$BD$166,40,FALSE)</f>
        <v>55</v>
      </c>
      <c r="AT28" s="13">
        <f ca="1">VLOOKUP($B28,'[4]Analisys QBR By Machine Report'!$C$109:$BD$166,41,FALSE)</f>
        <v>0</v>
      </c>
      <c r="AU28" s="13">
        <f ca="1">VLOOKUP($B28,'[4]Analisys QBR By Machine Report'!$C$109:$BD$166,42,FALSE)</f>
        <v>0</v>
      </c>
      <c r="AV28" s="13">
        <f ca="1">VLOOKUP($B28,'[4]Analisys QBR By Machine Report'!$C$109:$BD$166,43,FALSE)</f>
        <v>0</v>
      </c>
      <c r="AW28" s="13">
        <f ca="1">VLOOKUP($B28,'[4]Analisys QBR By Machine Report'!$C$109:$BD$166,44,FALSE)</f>
        <v>0</v>
      </c>
      <c r="AX28" s="13">
        <f ca="1">VLOOKUP($B28,'[4]Analisys QBR By Machine Report'!$C$109:$BD$166,45,FALSE)</f>
        <v>0</v>
      </c>
      <c r="AY28" s="13">
        <f ca="1">VLOOKUP($B28,'[4]Analisys QBR By Machine Report'!$C$109:$BD$166,46,FALSE)</f>
        <v>0</v>
      </c>
      <c r="AZ28" s="13">
        <f ca="1">VLOOKUP($B28,'[4]Analisys QBR By Machine Report'!$C$109:$BD$166,47,FALSE)</f>
        <v>1113</v>
      </c>
      <c r="BA28" s="13">
        <f ca="1">VLOOKUP($B28,'[4]Analisys QBR By Machine Report'!$C$109:$BD$166,48,FALSE)</f>
        <v>60</v>
      </c>
      <c r="BB28" s="13">
        <f ca="1">VLOOKUP($B28,'[4]Analisys QBR By Machine Report'!$C$109:$BD$166,49,FALSE)</f>
        <v>0</v>
      </c>
      <c r="BC28" s="13">
        <f ca="1">VLOOKUP($B28,'[4]Analisys QBR By Machine Report'!$C$109:$BD$166,50,FALSE)</f>
        <v>0</v>
      </c>
      <c r="BD28" s="13">
        <f ca="1">VLOOKUP($B28,'[4]Analisys QBR By Machine Report'!$C$109:$BD$166,51,FALSE)</f>
        <v>860</v>
      </c>
      <c r="BE28" s="13">
        <f ca="1">VLOOKUP($B28,'[4]Analisys QBR By Machine Report'!$C$109:$BD$166,52,FALSE)</f>
        <v>0</v>
      </c>
      <c r="BF28" s="13">
        <f ca="1">VLOOKUP($B28,'[4]Analisys QBR By Machine Report'!$C$109:$BD$166,53,FALSE)</f>
        <v>860</v>
      </c>
    </row>
    <row r="29" spans="1:58" x14ac:dyDescent="0.25">
      <c r="A29" s="9" t="s">
        <v>85</v>
      </c>
      <c r="B29" s="10">
        <f ca="1">VLOOKUP($B29,'[4]Analisys QBR By Machine Report'!$C$109:$BD$166,2,FALSE)</f>
        <v>48960</v>
      </c>
      <c r="C29" s="11">
        <f ca="1">VLOOKUP($B29,[4]Dasboard_QBR_Report!$B$109:$BL$166,3,FALSE)</f>
        <v>31620</v>
      </c>
      <c r="D29" s="10">
        <f ca="1">VLOOKUP($B29,'[4]Analisys QBR By Machine Report'!$C$109:$BD$166,3,FALSE)</f>
        <v>20010</v>
      </c>
      <c r="E29" s="11">
        <f ca="1">VLOOKUP($B29,[4]Dasboard_QBR_Report!$B$109:$BL$166,5,FALSE)</f>
        <v>2670</v>
      </c>
      <c r="F29" s="10">
        <f t="shared" ca="1" si="0"/>
        <v>28950</v>
      </c>
      <c r="G29" s="10">
        <f t="shared" ca="1" si="1"/>
        <v>2393</v>
      </c>
      <c r="H29" s="10">
        <f ca="1">VLOOKUP($B29,'[4]Analisys QBR By Machine Report'!$C$109:$BD$166,4,FALSE)</f>
        <v>2365</v>
      </c>
      <c r="I29" s="10">
        <f ca="1">VLOOKUP($B29,'[4]Analisys QBR By Machine Report'!$C$109:$BD$166,5,FALSE)</f>
        <v>265</v>
      </c>
      <c r="J29" s="10">
        <f ca="1">VLOOKUP($B29,'[4]Analisys QBR By Machine Report'!$C$109:$BD$166,6,FALSE)</f>
        <v>2100</v>
      </c>
      <c r="K29" s="10">
        <f ca="1">VLOOKUP($B29,'[4]Analisys QBR By Machine Report'!$C$109:$BD$166,7,FALSE)</f>
        <v>28</v>
      </c>
      <c r="L29" s="10">
        <f ca="1">VLOOKUP($B29,'[4]Analisys QBR By Machine Report'!$C$109:$BD$166,8,FALSE)</f>
        <v>26557</v>
      </c>
      <c r="M29" s="10">
        <f ca="1">VLOOKUP($B29,'[4]Analisys QBR By Machine Report'!$C$109:$BD$166,9,FALSE)</f>
        <v>10912</v>
      </c>
      <c r="N29" s="10">
        <f ca="1">VLOOKUP($B29,[4]Dasboard_QBR_Report!$B$109:$BL$166,18,FALSE)</f>
        <v>15645</v>
      </c>
      <c r="O29" s="10">
        <f ca="1">VLOOKUP($B29,'[4]Analisys QBR By Machine Report'!$C$109:$BD$166,10,FALSE)</f>
        <v>2351</v>
      </c>
      <c r="P29" s="10">
        <f ca="1">VLOOKUP($B29,'[4]Analisys QBR By Machine Report'!$C$109:$BD$166,11,FALSE)</f>
        <v>1965</v>
      </c>
      <c r="Q29" s="10">
        <f ca="1">VLOOKUP($B29,'[4]Analisys QBR By Machine Report'!$C$109:$BD$166,12,FALSE)</f>
        <v>188</v>
      </c>
      <c r="R29" s="10">
        <f ca="1">VLOOKUP($B29,'[4]Analisys QBR By Machine Report'!$C$109:$BD$166,13,FALSE)</f>
        <v>187</v>
      </c>
      <c r="S29" s="10">
        <f ca="1">VLOOKUP($B29,'[4]Analisys QBR By Machine Report'!$C$109:$BD$166,14,FALSE)</f>
        <v>11</v>
      </c>
      <c r="T29" s="10">
        <f ca="1">VLOOKUP($B29,'[4]Analisys QBR By Machine Report'!$C$109:$BD$166,15,FALSE)</f>
        <v>476</v>
      </c>
      <c r="U29" s="10">
        <f ca="1">VLOOKUP($B29,'[4]Analisys QBR By Machine Report'!$C$109:$BD$166,16,FALSE)</f>
        <v>60</v>
      </c>
      <c r="V29" s="10">
        <f ca="1">VLOOKUP($B29,'[4]Analisys QBR By Machine Report'!$C$109:$BD$166,17,FALSE)</f>
        <v>56</v>
      </c>
      <c r="W29" s="10">
        <f ca="1">VLOOKUP($B29,'[4]Analisys QBR By Machine Report'!$C$109:$BD$166,18,FALSE)</f>
        <v>0</v>
      </c>
      <c r="X29" s="10">
        <f ca="1">VLOOKUP($B29,'[4]Analisys QBR By Machine Report'!$C$109:$BD$166,19,FALSE)</f>
        <v>75</v>
      </c>
      <c r="Y29" s="10">
        <f ca="1">VLOOKUP($B29,'[4]Analisys QBR By Machine Report'!$C$109:$BD$166,20,FALSE)</f>
        <v>285</v>
      </c>
      <c r="Z29" s="10">
        <f ca="1">VLOOKUP($B29,'[4]Analisys QBR By Machine Report'!$C$109:$BD$166,21,FALSE)</f>
        <v>5410</v>
      </c>
      <c r="AA29" s="10">
        <f ca="1">VLOOKUP($B29,'[4]Analisys QBR By Machine Report'!$C$109:$BD$166,22,FALSE)</f>
        <v>1135</v>
      </c>
      <c r="AB29" s="10">
        <f ca="1">VLOOKUP($B29,'[4]Analisys QBR By Machine Report'!$C$109:$BD$166,23,FALSE)</f>
        <v>3950</v>
      </c>
      <c r="AC29" s="10">
        <f ca="1">VLOOKUP($B29,'[4]Analisys QBR By Machine Report'!$C$109:$BD$166,24,FALSE)</f>
        <v>0</v>
      </c>
      <c r="AD29" s="10">
        <f ca="1">VLOOKUP($B29,'[4]Analisys QBR By Machine Report'!$C$109:$BD$166,25,FALSE)</f>
        <v>0</v>
      </c>
      <c r="AE29" s="10">
        <f ca="1">VLOOKUP($B29,'[4]Analisys QBR By Machine Report'!$C$109:$BD$166,26,FALSE)</f>
        <v>325</v>
      </c>
      <c r="AF29" s="10">
        <f ca="1">VLOOKUP($B29,'[4]Analisys QBR By Machine Report'!$C$109:$BD$166,27,FALSE)</f>
        <v>0</v>
      </c>
      <c r="AG29" s="10">
        <f ca="1">VLOOKUP($B29,'[4]Analisys QBR By Machine Report'!$C$109:$BD$166,28,FALSE)</f>
        <v>0</v>
      </c>
      <c r="AH29" s="10">
        <f ca="1">VLOOKUP($B29,'[4]Analisys QBR By Machine Report'!$C$109:$BD$166,29,FALSE)</f>
        <v>0</v>
      </c>
      <c r="AI29" s="10">
        <f ca="1">VLOOKUP($B29,'[4]Analisys QBR By Machine Report'!$C$109:$BD$166,30,FALSE)</f>
        <v>7408</v>
      </c>
      <c r="AJ29" s="10">
        <f ca="1">VLOOKUP($B29,'[4]Analisys QBR By Machine Report'!$C$109:$BD$166,31,FALSE)</f>
        <v>0</v>
      </c>
      <c r="AK29" s="10">
        <f ca="1">VLOOKUP($B29,'[4]Analisys QBR By Machine Report'!$C$109:$BD$166,32,FALSE)</f>
        <v>0</v>
      </c>
      <c r="AL29" s="10">
        <f ca="1">VLOOKUP($B29,'[4]Analisys QBR By Machine Report'!$C$109:$BD$166,33,FALSE)</f>
        <v>1765</v>
      </c>
      <c r="AM29" s="10">
        <f ca="1">VLOOKUP($B29,'[4]Analisys QBR By Machine Report'!$C$109:$BD$166,34,FALSE)</f>
        <v>0</v>
      </c>
      <c r="AN29" s="10">
        <f ca="1">VLOOKUP($B29,'[4]Analisys QBR By Machine Report'!$C$109:$BD$166,35,FALSE)</f>
        <v>1585</v>
      </c>
      <c r="AO29" s="10">
        <f ca="1">VLOOKUP($B29,'[4]Analisys QBR By Machine Report'!$C$109:$BD$166,36,FALSE)</f>
        <v>0</v>
      </c>
      <c r="AP29" s="10">
        <f ca="1">VLOOKUP($B29,'[4]Analisys QBR By Machine Report'!$C$109:$BD$166,37,FALSE)</f>
        <v>0</v>
      </c>
      <c r="AQ29" s="10">
        <f ca="1">VLOOKUP($B29,'[4]Analisys QBR By Machine Report'!$C$109:$BD$166,38,FALSE)</f>
        <v>0</v>
      </c>
      <c r="AR29" s="10">
        <f ca="1">VLOOKUP($B29,'[4]Analisys QBR By Machine Report'!$C$109:$BD$166,39,FALSE)</f>
        <v>0</v>
      </c>
      <c r="AS29" s="10">
        <f ca="1">VLOOKUP($B29,'[4]Analisys QBR By Machine Report'!$C$109:$BD$166,40,FALSE)</f>
        <v>510</v>
      </c>
      <c r="AT29" s="10">
        <f ca="1">VLOOKUP($B29,'[4]Analisys QBR By Machine Report'!$C$109:$BD$166,41,FALSE)</f>
        <v>0</v>
      </c>
      <c r="AU29" s="10">
        <f ca="1">VLOOKUP($B29,'[4]Analisys QBR By Machine Report'!$C$109:$BD$166,42,FALSE)</f>
        <v>0</v>
      </c>
      <c r="AV29" s="10">
        <f ca="1">VLOOKUP($B29,'[4]Analisys QBR By Machine Report'!$C$109:$BD$166,43,FALSE)</f>
        <v>3294</v>
      </c>
      <c r="AW29" s="10">
        <f ca="1">VLOOKUP($B29,'[4]Analisys QBR By Machine Report'!$C$109:$BD$166,44,FALSE)</f>
        <v>0</v>
      </c>
      <c r="AX29" s="10">
        <f ca="1">VLOOKUP($B29,'[4]Analisys QBR By Machine Report'!$C$109:$BD$166,45,FALSE)</f>
        <v>0</v>
      </c>
      <c r="AY29" s="10">
        <f ca="1">VLOOKUP($B29,'[4]Analisys QBR By Machine Report'!$C$109:$BD$166,46,FALSE)</f>
        <v>0</v>
      </c>
      <c r="AZ29" s="10">
        <f ca="1">VLOOKUP($B29,'[4]Analisys QBR By Machine Report'!$C$109:$BD$166,47,FALSE)</f>
        <v>254</v>
      </c>
      <c r="BA29" s="10">
        <f ca="1">VLOOKUP($B29,'[4]Analisys QBR By Machine Report'!$C$109:$BD$166,48,FALSE)</f>
        <v>0</v>
      </c>
      <c r="BB29" s="10">
        <f ca="1">VLOOKUP($B29,'[4]Analisys QBR By Machine Report'!$C$109:$BD$166,49,FALSE)</f>
        <v>0</v>
      </c>
      <c r="BC29" s="10">
        <f ca="1">VLOOKUP($B29,'[4]Analisys QBR By Machine Report'!$C$109:$BD$166,50,FALSE)</f>
        <v>0</v>
      </c>
      <c r="BD29" s="10">
        <f ca="1">VLOOKUP($B29,'[4]Analisys QBR By Machine Report'!$C$109:$BD$166,51,FALSE)</f>
        <v>1107542</v>
      </c>
      <c r="BE29" s="10">
        <f ca="1">VLOOKUP($B29,'[4]Analisys QBR By Machine Report'!$C$109:$BD$166,52,FALSE)</f>
        <v>165</v>
      </c>
      <c r="BF29" s="10">
        <f ca="1">VLOOKUP($B29,'[4]Analisys QBR By Machine Report'!$C$109:$BD$166,53,FALSE)</f>
        <v>1107377</v>
      </c>
    </row>
    <row r="30" spans="1:58" x14ac:dyDescent="0.25">
      <c r="A30" s="12" t="s">
        <v>86</v>
      </c>
      <c r="B30" s="13">
        <f ca="1">VLOOKUP($B30,'[4]Analisys QBR By Machine Report'!$C$109:$BD$166,2,FALSE)</f>
        <v>24480</v>
      </c>
      <c r="C30" s="14">
        <f ca="1">VLOOKUP($B30,[4]Dasboard_QBR_Report!$B$109:$BL$166,3,FALSE)</f>
        <v>15810</v>
      </c>
      <c r="D30" s="13">
        <f ca="1">VLOOKUP($B30,'[4]Analisys QBR By Machine Report'!$C$109:$BD$166,3,FALSE)</f>
        <v>13740</v>
      </c>
      <c r="E30" s="14">
        <f ca="1">VLOOKUP($B30,[4]Dasboard_QBR_Report!$B$109:$BL$166,5,FALSE)</f>
        <v>5070</v>
      </c>
      <c r="F30" s="13">
        <f t="shared" ca="1" si="0"/>
        <v>10740</v>
      </c>
      <c r="G30" s="13">
        <f t="shared" ca="1" si="1"/>
        <v>1248</v>
      </c>
      <c r="H30" s="13">
        <f ca="1">VLOOKUP($B30,'[4]Analisys QBR By Machine Report'!$C$109:$BD$166,4,FALSE)</f>
        <v>1220</v>
      </c>
      <c r="I30" s="13">
        <f ca="1">VLOOKUP($B30,'[4]Analisys QBR By Machine Report'!$C$109:$BD$166,5,FALSE)</f>
        <v>60</v>
      </c>
      <c r="J30" s="13">
        <f ca="1">VLOOKUP($B30,'[4]Analisys QBR By Machine Report'!$C$109:$BD$166,6,FALSE)</f>
        <v>1160</v>
      </c>
      <c r="K30" s="13">
        <f ca="1">VLOOKUP($B30,'[4]Analisys QBR By Machine Report'!$C$109:$BD$166,7,FALSE)</f>
        <v>28</v>
      </c>
      <c r="L30" s="13">
        <f ca="1">VLOOKUP($B30,'[4]Analisys QBR By Machine Report'!$C$109:$BD$166,8,FALSE)</f>
        <v>9492</v>
      </c>
      <c r="M30" s="13">
        <f ca="1">VLOOKUP($B30,'[4]Analisys QBR By Machine Report'!$C$109:$BD$166,9,FALSE)</f>
        <v>2170</v>
      </c>
      <c r="N30" s="13">
        <f ca="1">VLOOKUP($B30,[4]Dasboard_QBR_Report!$B$109:$BL$166,18,FALSE)</f>
        <v>7322</v>
      </c>
      <c r="O30" s="13">
        <f ca="1">VLOOKUP($B30,'[4]Analisys QBR By Machine Report'!$C$109:$BD$166,10,FALSE)</f>
        <v>1141</v>
      </c>
      <c r="P30" s="13">
        <f ca="1">VLOOKUP($B30,'[4]Analisys QBR By Machine Report'!$C$109:$BD$166,11,FALSE)</f>
        <v>945</v>
      </c>
      <c r="Q30" s="13">
        <f ca="1">VLOOKUP($B30,'[4]Analisys QBR By Machine Report'!$C$109:$BD$166,12,FALSE)</f>
        <v>123</v>
      </c>
      <c r="R30" s="13">
        <f ca="1">VLOOKUP($B30,'[4]Analisys QBR By Machine Report'!$C$109:$BD$166,13,FALSE)</f>
        <v>62</v>
      </c>
      <c r="S30" s="13">
        <f ca="1">VLOOKUP($B30,'[4]Analisys QBR By Machine Report'!$C$109:$BD$166,14,FALSE)</f>
        <v>11</v>
      </c>
      <c r="T30" s="13">
        <f ca="1">VLOOKUP($B30,'[4]Analisys QBR By Machine Report'!$C$109:$BD$166,15,FALSE)</f>
        <v>176</v>
      </c>
      <c r="U30" s="13">
        <f ca="1">VLOOKUP($B30,'[4]Analisys QBR By Machine Report'!$C$109:$BD$166,16,FALSE)</f>
        <v>60</v>
      </c>
      <c r="V30" s="13">
        <f ca="1">VLOOKUP($B30,'[4]Analisys QBR By Machine Report'!$C$109:$BD$166,17,FALSE)</f>
        <v>56</v>
      </c>
      <c r="W30" s="13">
        <f ca="1">VLOOKUP($B30,'[4]Analisys QBR By Machine Report'!$C$109:$BD$166,18,FALSE)</f>
        <v>0</v>
      </c>
      <c r="X30" s="13">
        <f ca="1">VLOOKUP($B30,'[4]Analisys QBR By Machine Report'!$C$109:$BD$166,19,FALSE)</f>
        <v>60</v>
      </c>
      <c r="Y30" s="13">
        <f ca="1">VLOOKUP($B30,'[4]Analisys QBR By Machine Report'!$C$109:$BD$166,20,FALSE)</f>
        <v>0</v>
      </c>
      <c r="Z30" s="13">
        <f ca="1">VLOOKUP($B30,'[4]Analisys QBR By Machine Report'!$C$109:$BD$166,21,FALSE)</f>
        <v>2950</v>
      </c>
      <c r="AA30" s="13">
        <f ca="1">VLOOKUP($B30,'[4]Analisys QBR By Machine Report'!$C$109:$BD$166,22,FALSE)</f>
        <v>767</v>
      </c>
      <c r="AB30" s="13">
        <f ca="1">VLOOKUP($B30,'[4]Analisys QBR By Machine Report'!$C$109:$BD$166,23,FALSE)</f>
        <v>1858</v>
      </c>
      <c r="AC30" s="13">
        <f ca="1">VLOOKUP($B30,'[4]Analisys QBR By Machine Report'!$C$109:$BD$166,24,FALSE)</f>
        <v>0</v>
      </c>
      <c r="AD30" s="13">
        <f ca="1">VLOOKUP($B30,'[4]Analisys QBR By Machine Report'!$C$109:$BD$166,25,FALSE)</f>
        <v>0</v>
      </c>
      <c r="AE30" s="13">
        <f ca="1">VLOOKUP($B30,'[4]Analisys QBR By Machine Report'!$C$109:$BD$166,26,FALSE)</f>
        <v>325</v>
      </c>
      <c r="AF30" s="13">
        <f ca="1">VLOOKUP($B30,'[4]Analisys QBR By Machine Report'!$C$109:$BD$166,27,FALSE)</f>
        <v>0</v>
      </c>
      <c r="AG30" s="13">
        <f ca="1">VLOOKUP($B30,'[4]Analisys QBR By Machine Report'!$C$109:$BD$166,28,FALSE)</f>
        <v>0</v>
      </c>
      <c r="AH30" s="13">
        <f ca="1">VLOOKUP($B30,'[4]Analisys QBR By Machine Report'!$C$109:$BD$166,29,FALSE)</f>
        <v>0</v>
      </c>
      <c r="AI30" s="13">
        <f ca="1">VLOOKUP($B30,'[4]Analisys QBR By Machine Report'!$C$109:$BD$166,30,FALSE)</f>
        <v>3055</v>
      </c>
      <c r="AJ30" s="13">
        <f ca="1">VLOOKUP($B30,'[4]Analisys QBR By Machine Report'!$C$109:$BD$166,31,FALSE)</f>
        <v>0</v>
      </c>
      <c r="AK30" s="13">
        <f ca="1">VLOOKUP($B30,'[4]Analisys QBR By Machine Report'!$C$109:$BD$166,32,FALSE)</f>
        <v>0</v>
      </c>
      <c r="AL30" s="13">
        <f ca="1">VLOOKUP($B30,'[4]Analisys QBR By Machine Report'!$C$109:$BD$166,33,FALSE)</f>
        <v>630</v>
      </c>
      <c r="AM30" s="13">
        <f ca="1">VLOOKUP($B30,'[4]Analisys QBR By Machine Report'!$C$109:$BD$166,34,FALSE)</f>
        <v>0</v>
      </c>
      <c r="AN30" s="13">
        <f ca="1">VLOOKUP($B30,'[4]Analisys QBR By Machine Report'!$C$109:$BD$166,35,FALSE)</f>
        <v>665</v>
      </c>
      <c r="AO30" s="13">
        <f ca="1">VLOOKUP($B30,'[4]Analisys QBR By Machine Report'!$C$109:$BD$166,36,FALSE)</f>
        <v>0</v>
      </c>
      <c r="AP30" s="13">
        <f ca="1">VLOOKUP($B30,'[4]Analisys QBR By Machine Report'!$C$109:$BD$166,37,FALSE)</f>
        <v>0</v>
      </c>
      <c r="AQ30" s="13">
        <f ca="1">VLOOKUP($B30,'[4]Analisys QBR By Machine Report'!$C$109:$BD$166,38,FALSE)</f>
        <v>0</v>
      </c>
      <c r="AR30" s="13">
        <f ca="1">VLOOKUP($B30,'[4]Analisys QBR By Machine Report'!$C$109:$BD$166,39,FALSE)</f>
        <v>0</v>
      </c>
      <c r="AS30" s="13">
        <f ca="1">VLOOKUP($B30,'[4]Analisys QBR By Machine Report'!$C$109:$BD$166,40,FALSE)</f>
        <v>225</v>
      </c>
      <c r="AT30" s="13">
        <f ca="1">VLOOKUP($B30,'[4]Analisys QBR By Machine Report'!$C$109:$BD$166,41,FALSE)</f>
        <v>0</v>
      </c>
      <c r="AU30" s="13">
        <f ca="1">VLOOKUP($B30,'[4]Analisys QBR By Machine Report'!$C$109:$BD$166,42,FALSE)</f>
        <v>0</v>
      </c>
      <c r="AV30" s="13">
        <f ca="1">VLOOKUP($B30,'[4]Analisys QBR By Machine Report'!$C$109:$BD$166,43,FALSE)</f>
        <v>1521</v>
      </c>
      <c r="AW30" s="13">
        <f ca="1">VLOOKUP($B30,'[4]Analisys QBR By Machine Report'!$C$109:$BD$166,44,FALSE)</f>
        <v>0</v>
      </c>
      <c r="AX30" s="13">
        <f ca="1">VLOOKUP($B30,'[4]Analisys QBR By Machine Report'!$C$109:$BD$166,45,FALSE)</f>
        <v>0</v>
      </c>
      <c r="AY30" s="13">
        <f ca="1">VLOOKUP($B30,'[4]Analisys QBR By Machine Report'!$C$109:$BD$166,46,FALSE)</f>
        <v>0</v>
      </c>
      <c r="AZ30" s="13">
        <f ca="1">VLOOKUP($B30,'[4]Analisys QBR By Machine Report'!$C$109:$BD$166,47,FALSE)</f>
        <v>14</v>
      </c>
      <c r="BA30" s="13">
        <f ca="1">VLOOKUP($B30,'[4]Analisys QBR By Machine Report'!$C$109:$BD$166,48,FALSE)</f>
        <v>0</v>
      </c>
      <c r="BB30" s="13">
        <f ca="1">VLOOKUP($B30,'[4]Analisys QBR By Machine Report'!$C$109:$BD$166,49,FALSE)</f>
        <v>0</v>
      </c>
      <c r="BC30" s="13">
        <f ca="1">VLOOKUP($B30,'[4]Analisys QBR By Machine Report'!$C$109:$BD$166,50,FALSE)</f>
        <v>0</v>
      </c>
      <c r="BD30" s="13">
        <f ca="1">VLOOKUP($B30,'[4]Analisys QBR By Machine Report'!$C$109:$BD$166,51,FALSE)</f>
        <v>375039</v>
      </c>
      <c r="BE30" s="13">
        <f ca="1">VLOOKUP($B30,'[4]Analisys QBR By Machine Report'!$C$109:$BD$166,52,FALSE)</f>
        <v>0</v>
      </c>
      <c r="BF30" s="13">
        <f ca="1">VLOOKUP($B30,'[4]Analisys QBR By Machine Report'!$C$109:$BD$166,53,FALSE)</f>
        <v>375039</v>
      </c>
    </row>
    <row r="31" spans="1:58" x14ac:dyDescent="0.25">
      <c r="A31" s="12" t="s">
        <v>87</v>
      </c>
      <c r="B31" s="13">
        <f ca="1">VLOOKUP($B31,'[4]Analisys QBR By Machine Report'!$C$109:$BD$166,2,FALSE)</f>
        <v>24480</v>
      </c>
      <c r="C31" s="14">
        <f ca="1">VLOOKUP($B31,[4]Dasboard_QBR_Report!$B$109:$BL$166,3,FALSE)</f>
        <v>15810</v>
      </c>
      <c r="D31" s="13">
        <f ca="1">VLOOKUP($B31,'[4]Analisys QBR By Machine Report'!$C$109:$BD$166,3,FALSE)</f>
        <v>6270</v>
      </c>
      <c r="E31" s="14">
        <f ca="1">VLOOKUP($B31,[4]Dasboard_QBR_Report!$B$109:$BL$166,5,FALSE)</f>
        <v>-2400</v>
      </c>
      <c r="F31" s="13">
        <f t="shared" ca="1" si="0"/>
        <v>18210</v>
      </c>
      <c r="G31" s="13">
        <f t="shared" ca="1" si="1"/>
        <v>1145</v>
      </c>
      <c r="H31" s="13">
        <f ca="1">VLOOKUP($B31,'[4]Analisys QBR By Machine Report'!$C$109:$BD$166,4,FALSE)</f>
        <v>1145</v>
      </c>
      <c r="I31" s="13">
        <f ca="1">VLOOKUP($B31,'[4]Analisys QBR By Machine Report'!$C$109:$BD$166,5,FALSE)</f>
        <v>205</v>
      </c>
      <c r="J31" s="13">
        <f ca="1">VLOOKUP($B31,'[4]Analisys QBR By Machine Report'!$C$109:$BD$166,6,FALSE)</f>
        <v>940</v>
      </c>
      <c r="K31" s="13">
        <f ca="1">VLOOKUP($B31,'[4]Analisys QBR By Machine Report'!$C$109:$BD$166,7,FALSE)</f>
        <v>0</v>
      </c>
      <c r="L31" s="13">
        <f ca="1">VLOOKUP($B31,'[4]Analisys QBR By Machine Report'!$C$109:$BD$166,8,FALSE)</f>
        <v>17065</v>
      </c>
      <c r="M31" s="13">
        <f ca="1">VLOOKUP($B31,'[4]Analisys QBR By Machine Report'!$C$109:$BD$166,9,FALSE)</f>
        <v>8742</v>
      </c>
      <c r="N31" s="13">
        <f ca="1">VLOOKUP($B31,[4]Dasboard_QBR_Report!$B$109:$BL$166,18,FALSE)</f>
        <v>8323</v>
      </c>
      <c r="O31" s="13">
        <f ca="1">VLOOKUP($B31,'[4]Analisys QBR By Machine Report'!$C$109:$BD$166,10,FALSE)</f>
        <v>1210</v>
      </c>
      <c r="P31" s="13">
        <f ca="1">VLOOKUP($B31,'[4]Analisys QBR By Machine Report'!$C$109:$BD$166,11,FALSE)</f>
        <v>1020</v>
      </c>
      <c r="Q31" s="13">
        <f ca="1">VLOOKUP($B31,'[4]Analisys QBR By Machine Report'!$C$109:$BD$166,12,FALSE)</f>
        <v>65</v>
      </c>
      <c r="R31" s="13">
        <f ca="1">VLOOKUP($B31,'[4]Analisys QBR By Machine Report'!$C$109:$BD$166,13,FALSE)</f>
        <v>125</v>
      </c>
      <c r="S31" s="13">
        <f ca="1">VLOOKUP($B31,'[4]Analisys QBR By Machine Report'!$C$109:$BD$166,14,FALSE)</f>
        <v>0</v>
      </c>
      <c r="T31" s="13">
        <f ca="1">VLOOKUP($B31,'[4]Analisys QBR By Machine Report'!$C$109:$BD$166,15,FALSE)</f>
        <v>300</v>
      </c>
      <c r="U31" s="13">
        <f ca="1">VLOOKUP($B31,'[4]Analisys QBR By Machine Report'!$C$109:$BD$166,16,FALSE)</f>
        <v>0</v>
      </c>
      <c r="V31" s="13">
        <f ca="1">VLOOKUP($B31,'[4]Analisys QBR By Machine Report'!$C$109:$BD$166,17,FALSE)</f>
        <v>0</v>
      </c>
      <c r="W31" s="13">
        <f ca="1">VLOOKUP($B31,'[4]Analisys QBR By Machine Report'!$C$109:$BD$166,18,FALSE)</f>
        <v>0</v>
      </c>
      <c r="X31" s="13">
        <f ca="1">VLOOKUP($B31,'[4]Analisys QBR By Machine Report'!$C$109:$BD$166,19,FALSE)</f>
        <v>15</v>
      </c>
      <c r="Y31" s="13">
        <f ca="1">VLOOKUP($B31,'[4]Analisys QBR By Machine Report'!$C$109:$BD$166,20,FALSE)</f>
        <v>285</v>
      </c>
      <c r="Z31" s="13">
        <f ca="1">VLOOKUP($B31,'[4]Analisys QBR By Machine Report'!$C$109:$BD$166,21,FALSE)</f>
        <v>2460</v>
      </c>
      <c r="AA31" s="13">
        <f ca="1">VLOOKUP($B31,'[4]Analisys QBR By Machine Report'!$C$109:$BD$166,22,FALSE)</f>
        <v>368</v>
      </c>
      <c r="AB31" s="13">
        <f ca="1">VLOOKUP($B31,'[4]Analisys QBR By Machine Report'!$C$109:$BD$166,23,FALSE)</f>
        <v>2092</v>
      </c>
      <c r="AC31" s="13">
        <f ca="1">VLOOKUP($B31,'[4]Analisys QBR By Machine Report'!$C$109:$BD$166,24,FALSE)</f>
        <v>0</v>
      </c>
      <c r="AD31" s="13">
        <f ca="1">VLOOKUP($B31,'[4]Analisys QBR By Machine Report'!$C$109:$BD$166,25,FALSE)</f>
        <v>0</v>
      </c>
      <c r="AE31" s="13">
        <f ca="1">VLOOKUP($B31,'[4]Analisys QBR By Machine Report'!$C$109:$BD$166,26,FALSE)</f>
        <v>0</v>
      </c>
      <c r="AF31" s="13">
        <f ca="1">VLOOKUP($B31,'[4]Analisys QBR By Machine Report'!$C$109:$BD$166,27,FALSE)</f>
        <v>0</v>
      </c>
      <c r="AG31" s="13">
        <f ca="1">VLOOKUP($B31,'[4]Analisys QBR By Machine Report'!$C$109:$BD$166,28,FALSE)</f>
        <v>0</v>
      </c>
      <c r="AH31" s="13">
        <f ca="1">VLOOKUP($B31,'[4]Analisys QBR By Machine Report'!$C$109:$BD$166,29,FALSE)</f>
        <v>0</v>
      </c>
      <c r="AI31" s="13">
        <f ca="1">VLOOKUP($B31,'[4]Analisys QBR By Machine Report'!$C$109:$BD$166,30,FALSE)</f>
        <v>4353</v>
      </c>
      <c r="AJ31" s="13">
        <f ca="1">VLOOKUP($B31,'[4]Analisys QBR By Machine Report'!$C$109:$BD$166,31,FALSE)</f>
        <v>0</v>
      </c>
      <c r="AK31" s="13">
        <f ca="1">VLOOKUP($B31,'[4]Analisys QBR By Machine Report'!$C$109:$BD$166,32,FALSE)</f>
        <v>0</v>
      </c>
      <c r="AL31" s="13">
        <f ca="1">VLOOKUP($B31,'[4]Analisys QBR By Machine Report'!$C$109:$BD$166,33,FALSE)</f>
        <v>1135</v>
      </c>
      <c r="AM31" s="13">
        <f ca="1">VLOOKUP($B31,'[4]Analisys QBR By Machine Report'!$C$109:$BD$166,34,FALSE)</f>
        <v>0</v>
      </c>
      <c r="AN31" s="13">
        <f ca="1">VLOOKUP($B31,'[4]Analisys QBR By Machine Report'!$C$109:$BD$166,35,FALSE)</f>
        <v>920</v>
      </c>
      <c r="AO31" s="13">
        <f ca="1">VLOOKUP($B31,'[4]Analisys QBR By Machine Report'!$C$109:$BD$166,36,FALSE)</f>
        <v>0</v>
      </c>
      <c r="AP31" s="13">
        <f ca="1">VLOOKUP($B31,'[4]Analisys QBR By Machine Report'!$C$109:$BD$166,37,FALSE)</f>
        <v>0</v>
      </c>
      <c r="AQ31" s="13">
        <f ca="1">VLOOKUP($B31,'[4]Analisys QBR By Machine Report'!$C$109:$BD$166,38,FALSE)</f>
        <v>0</v>
      </c>
      <c r="AR31" s="13">
        <f ca="1">VLOOKUP($B31,'[4]Analisys QBR By Machine Report'!$C$109:$BD$166,39,FALSE)</f>
        <v>0</v>
      </c>
      <c r="AS31" s="13">
        <f ca="1">VLOOKUP($B31,'[4]Analisys QBR By Machine Report'!$C$109:$BD$166,40,FALSE)</f>
        <v>285</v>
      </c>
      <c r="AT31" s="13">
        <f ca="1">VLOOKUP($B31,'[4]Analisys QBR By Machine Report'!$C$109:$BD$166,41,FALSE)</f>
        <v>0</v>
      </c>
      <c r="AU31" s="13">
        <f ca="1">VLOOKUP($B31,'[4]Analisys QBR By Machine Report'!$C$109:$BD$166,42,FALSE)</f>
        <v>0</v>
      </c>
      <c r="AV31" s="13">
        <f ca="1">VLOOKUP($B31,'[4]Analisys QBR By Machine Report'!$C$109:$BD$166,43,FALSE)</f>
        <v>1773</v>
      </c>
      <c r="AW31" s="13">
        <f ca="1">VLOOKUP($B31,'[4]Analisys QBR By Machine Report'!$C$109:$BD$166,44,FALSE)</f>
        <v>0</v>
      </c>
      <c r="AX31" s="13">
        <f ca="1">VLOOKUP($B31,'[4]Analisys QBR By Machine Report'!$C$109:$BD$166,45,FALSE)</f>
        <v>0</v>
      </c>
      <c r="AY31" s="13">
        <f ca="1">VLOOKUP($B31,'[4]Analisys QBR By Machine Report'!$C$109:$BD$166,46,FALSE)</f>
        <v>0</v>
      </c>
      <c r="AZ31" s="13">
        <f ca="1">VLOOKUP($B31,'[4]Analisys QBR By Machine Report'!$C$109:$BD$166,47,FALSE)</f>
        <v>240</v>
      </c>
      <c r="BA31" s="13">
        <f ca="1">VLOOKUP($B31,'[4]Analisys QBR By Machine Report'!$C$109:$BD$166,48,FALSE)</f>
        <v>0</v>
      </c>
      <c r="BB31" s="13">
        <f ca="1">VLOOKUP($B31,'[4]Analisys QBR By Machine Report'!$C$109:$BD$166,49,FALSE)</f>
        <v>0</v>
      </c>
      <c r="BC31" s="13">
        <f ca="1">VLOOKUP($B31,'[4]Analisys QBR By Machine Report'!$C$109:$BD$166,50,FALSE)</f>
        <v>0</v>
      </c>
      <c r="BD31" s="13">
        <f ca="1">VLOOKUP($B31,'[4]Analisys QBR By Machine Report'!$C$109:$BD$166,51,FALSE)</f>
        <v>732503</v>
      </c>
      <c r="BE31" s="13">
        <f ca="1">VLOOKUP($B31,'[4]Analisys QBR By Machine Report'!$C$109:$BD$166,52,FALSE)</f>
        <v>165</v>
      </c>
      <c r="BF31" s="13">
        <f ca="1">VLOOKUP($B31,'[4]Analisys QBR By Machine Report'!$C$109:$BD$166,53,FALSE)</f>
        <v>732338</v>
      </c>
    </row>
    <row r="32" spans="1:58" x14ac:dyDescent="0.25">
      <c r="A32" s="9" t="s">
        <v>88</v>
      </c>
      <c r="B32" s="10">
        <f ca="1">VLOOKUP($B32,'[4]Analisys QBR By Machine Report'!$C$109:$BD$166,2,FALSE)</f>
        <v>73440</v>
      </c>
      <c r="C32" s="11">
        <f ca="1">VLOOKUP($B32,[4]Dasboard_QBR_Report!$B$109:$BL$166,3,FALSE)</f>
        <v>47430</v>
      </c>
      <c r="D32" s="10">
        <f ca="1">VLOOKUP($B32,'[4]Analisys QBR By Machine Report'!$C$109:$BD$166,3,FALSE)</f>
        <v>29297</v>
      </c>
      <c r="E32" s="11">
        <f ca="1">VLOOKUP($B32,[4]Dasboard_QBR_Report!$B$109:$BL$166,5,FALSE)</f>
        <v>3287</v>
      </c>
      <c r="F32" s="10">
        <f t="shared" ca="1" si="0"/>
        <v>44143</v>
      </c>
      <c r="G32" s="10">
        <f t="shared" ca="1" si="1"/>
        <v>7327</v>
      </c>
      <c r="H32" s="10">
        <f ca="1">VLOOKUP($B32,'[4]Analisys QBR By Machine Report'!$C$109:$BD$166,4,FALSE)</f>
        <v>7202</v>
      </c>
      <c r="I32" s="10">
        <f ca="1">VLOOKUP($B32,'[4]Analisys QBR By Machine Report'!$C$109:$BD$166,5,FALSE)</f>
        <v>4972</v>
      </c>
      <c r="J32" s="10">
        <f ca="1">VLOOKUP($B32,'[4]Analisys QBR By Machine Report'!$C$109:$BD$166,6,FALSE)</f>
        <v>2230</v>
      </c>
      <c r="K32" s="10">
        <f ca="1">VLOOKUP($B32,'[4]Analisys QBR By Machine Report'!$C$109:$BD$166,7,FALSE)</f>
        <v>125</v>
      </c>
      <c r="L32" s="10">
        <f ca="1">VLOOKUP($B32,'[4]Analisys QBR By Machine Report'!$C$109:$BD$166,8,FALSE)</f>
        <v>36816</v>
      </c>
      <c r="M32" s="10">
        <f ca="1">VLOOKUP($B32,'[4]Analisys QBR By Machine Report'!$C$109:$BD$166,9,FALSE)</f>
        <v>17951</v>
      </c>
      <c r="N32" s="10">
        <f ca="1">VLOOKUP($B32,[4]Dasboard_QBR_Report!$B$109:$BL$166,18,FALSE)</f>
        <v>18865</v>
      </c>
      <c r="O32" s="10">
        <f ca="1">VLOOKUP($B32,'[4]Analisys QBR By Machine Report'!$C$109:$BD$166,10,FALSE)</f>
        <v>667</v>
      </c>
      <c r="P32" s="10">
        <f ca="1">VLOOKUP($B32,'[4]Analisys QBR By Machine Report'!$C$109:$BD$166,11,FALSE)</f>
        <v>601</v>
      </c>
      <c r="Q32" s="10">
        <f ca="1">VLOOKUP($B32,'[4]Analisys QBR By Machine Report'!$C$109:$BD$166,12,FALSE)</f>
        <v>59</v>
      </c>
      <c r="R32" s="10">
        <f ca="1">VLOOKUP($B32,'[4]Analisys QBR By Machine Report'!$C$109:$BD$166,13,FALSE)</f>
        <v>0</v>
      </c>
      <c r="S32" s="10">
        <f ca="1">VLOOKUP($B32,'[4]Analisys QBR By Machine Report'!$C$109:$BD$166,14,FALSE)</f>
        <v>7</v>
      </c>
      <c r="T32" s="10">
        <f ca="1">VLOOKUP($B32,'[4]Analisys QBR By Machine Report'!$C$109:$BD$166,15,FALSE)</f>
        <v>92</v>
      </c>
      <c r="U32" s="10">
        <f ca="1">VLOOKUP($B32,'[4]Analisys QBR By Machine Report'!$C$109:$BD$166,16,FALSE)</f>
        <v>0</v>
      </c>
      <c r="V32" s="10">
        <f ca="1">VLOOKUP($B32,'[4]Analisys QBR By Machine Report'!$C$109:$BD$166,17,FALSE)</f>
        <v>0</v>
      </c>
      <c r="W32" s="10">
        <f ca="1">VLOOKUP($B32,'[4]Analisys QBR By Machine Report'!$C$109:$BD$166,18,FALSE)</f>
        <v>0</v>
      </c>
      <c r="X32" s="10">
        <f ca="1">VLOOKUP($B32,'[4]Analisys QBR By Machine Report'!$C$109:$BD$166,19,FALSE)</f>
        <v>92</v>
      </c>
      <c r="Y32" s="10">
        <f ca="1">VLOOKUP($B32,'[4]Analisys QBR By Machine Report'!$C$109:$BD$166,20,FALSE)</f>
        <v>0</v>
      </c>
      <c r="Z32" s="10">
        <f ca="1">VLOOKUP($B32,'[4]Analisys QBR By Machine Report'!$C$109:$BD$166,21,FALSE)</f>
        <v>8038</v>
      </c>
      <c r="AA32" s="10">
        <f ca="1">VLOOKUP($B32,'[4]Analisys QBR By Machine Report'!$C$109:$BD$166,22,FALSE)</f>
        <v>6325</v>
      </c>
      <c r="AB32" s="10">
        <f ca="1">VLOOKUP($B32,'[4]Analisys QBR By Machine Report'!$C$109:$BD$166,23,FALSE)</f>
        <v>1210</v>
      </c>
      <c r="AC32" s="10">
        <f ca="1">VLOOKUP($B32,'[4]Analisys QBR By Machine Report'!$C$109:$BD$166,24,FALSE)</f>
        <v>58</v>
      </c>
      <c r="AD32" s="10">
        <f ca="1">VLOOKUP($B32,'[4]Analisys QBR By Machine Report'!$C$109:$BD$166,25,FALSE)</f>
        <v>0</v>
      </c>
      <c r="AE32" s="10">
        <f ca="1">VLOOKUP($B32,'[4]Analisys QBR By Machine Report'!$C$109:$BD$166,26,FALSE)</f>
        <v>445</v>
      </c>
      <c r="AF32" s="10">
        <f ca="1">VLOOKUP($B32,'[4]Analisys QBR By Machine Report'!$C$109:$BD$166,27,FALSE)</f>
        <v>0</v>
      </c>
      <c r="AG32" s="10">
        <f ca="1">VLOOKUP($B32,'[4]Analisys QBR By Machine Report'!$C$109:$BD$166,28,FALSE)</f>
        <v>0</v>
      </c>
      <c r="AH32" s="10">
        <f ca="1">VLOOKUP($B32,'[4]Analisys QBR By Machine Report'!$C$109:$BD$166,29,FALSE)</f>
        <v>0</v>
      </c>
      <c r="AI32" s="10">
        <f ca="1">VLOOKUP($B32,'[4]Analisys QBR By Machine Report'!$C$109:$BD$166,30,FALSE)</f>
        <v>10068</v>
      </c>
      <c r="AJ32" s="10">
        <f ca="1">VLOOKUP($B32,'[4]Analisys QBR By Machine Report'!$C$109:$BD$166,31,FALSE)</f>
        <v>0</v>
      </c>
      <c r="AK32" s="10">
        <f ca="1">VLOOKUP($B32,'[4]Analisys QBR By Machine Report'!$C$109:$BD$166,32,FALSE)</f>
        <v>0</v>
      </c>
      <c r="AL32" s="10">
        <f ca="1">VLOOKUP($B32,'[4]Analisys QBR By Machine Report'!$C$109:$BD$166,33,FALSE)</f>
        <v>849</v>
      </c>
      <c r="AM32" s="10">
        <f ca="1">VLOOKUP($B32,'[4]Analisys QBR By Machine Report'!$C$109:$BD$166,34,FALSE)</f>
        <v>60</v>
      </c>
      <c r="AN32" s="10">
        <f ca="1">VLOOKUP($B32,'[4]Analisys QBR By Machine Report'!$C$109:$BD$166,35,FALSE)</f>
        <v>538</v>
      </c>
      <c r="AO32" s="10">
        <f ca="1">VLOOKUP($B32,'[4]Analisys QBR By Machine Report'!$C$109:$BD$166,36,FALSE)</f>
        <v>2111</v>
      </c>
      <c r="AP32" s="10">
        <f ca="1">VLOOKUP($B32,'[4]Analisys QBR By Machine Report'!$C$109:$BD$166,37,FALSE)</f>
        <v>0</v>
      </c>
      <c r="AQ32" s="10">
        <f ca="1">VLOOKUP($B32,'[4]Analisys QBR By Machine Report'!$C$109:$BD$166,38,FALSE)</f>
        <v>25</v>
      </c>
      <c r="AR32" s="10">
        <f ca="1">VLOOKUP($B32,'[4]Analisys QBR By Machine Report'!$C$109:$BD$166,39,FALSE)</f>
        <v>6250</v>
      </c>
      <c r="AS32" s="10">
        <f ca="1">VLOOKUP($B32,'[4]Analisys QBR By Machine Report'!$C$109:$BD$166,40,FALSE)</f>
        <v>195</v>
      </c>
      <c r="AT32" s="10">
        <f ca="1">VLOOKUP($B32,'[4]Analisys QBR By Machine Report'!$C$109:$BD$166,41,FALSE)</f>
        <v>0</v>
      </c>
      <c r="AU32" s="10">
        <f ca="1">VLOOKUP($B32,'[4]Analisys QBR By Machine Report'!$C$109:$BD$166,42,FALSE)</f>
        <v>0</v>
      </c>
      <c r="AV32" s="10">
        <f ca="1">VLOOKUP($B32,'[4]Analisys QBR By Machine Report'!$C$109:$BD$166,43,FALSE)</f>
        <v>0</v>
      </c>
      <c r="AW32" s="10">
        <f ca="1">VLOOKUP($B32,'[4]Analisys QBR By Machine Report'!$C$109:$BD$166,44,FALSE)</f>
        <v>0</v>
      </c>
      <c r="AX32" s="10">
        <f ca="1">VLOOKUP($B32,'[4]Analisys QBR By Machine Report'!$C$109:$BD$166,45,FALSE)</f>
        <v>0</v>
      </c>
      <c r="AY32" s="10">
        <f ca="1">VLOOKUP($B32,'[4]Analisys QBR By Machine Report'!$C$109:$BD$166,46,FALSE)</f>
        <v>0</v>
      </c>
      <c r="AZ32" s="10">
        <f ca="1">VLOOKUP($B32,'[4]Analisys QBR By Machine Report'!$C$109:$BD$166,47,FALSE)</f>
        <v>40</v>
      </c>
      <c r="BA32" s="10">
        <f ca="1">VLOOKUP($B32,'[4]Analisys QBR By Machine Report'!$C$109:$BD$166,48,FALSE)</f>
        <v>0</v>
      </c>
      <c r="BB32" s="10">
        <f ca="1">VLOOKUP($B32,'[4]Analisys QBR By Machine Report'!$C$109:$BD$166,49,FALSE)</f>
        <v>0</v>
      </c>
      <c r="BC32" s="10">
        <f ca="1">VLOOKUP($B32,'[4]Analisys QBR By Machine Report'!$C$109:$BD$166,50,FALSE)</f>
        <v>0</v>
      </c>
      <c r="BD32" s="10">
        <f ca="1">VLOOKUP($B32,'[4]Analisys QBR By Machine Report'!$C$109:$BD$166,51,FALSE)</f>
        <v>36584</v>
      </c>
      <c r="BE32" s="10">
        <f ca="1">VLOOKUP($B32,'[4]Analisys QBR By Machine Report'!$C$109:$BD$166,52,FALSE)</f>
        <v>0</v>
      </c>
      <c r="BF32" s="10">
        <f ca="1">VLOOKUP($B32,'[4]Analisys QBR By Machine Report'!$C$109:$BD$166,53,FALSE)</f>
        <v>36584</v>
      </c>
    </row>
    <row r="33" spans="1:58" x14ac:dyDescent="0.25">
      <c r="A33" s="12" t="s">
        <v>89</v>
      </c>
      <c r="B33" s="13">
        <f ca="1">VLOOKUP($B33,'[4]Analisys QBR By Machine Report'!$C$109:$BD$166,2,FALSE)</f>
        <v>24480</v>
      </c>
      <c r="C33" s="14">
        <f ca="1">VLOOKUP($B33,[4]Dasboard_QBR_Report!$B$109:$BL$166,3,FALSE)</f>
        <v>15810</v>
      </c>
      <c r="D33" s="13">
        <f ca="1">VLOOKUP($B33,'[4]Analisys QBR By Machine Report'!$C$109:$BD$166,3,FALSE)</f>
        <v>6360</v>
      </c>
      <c r="E33" s="14">
        <f ca="1">VLOOKUP($B33,[4]Dasboard_QBR_Report!$B$109:$BL$166,5,FALSE)</f>
        <v>-2310</v>
      </c>
      <c r="F33" s="13">
        <f t="shared" ca="1" si="0"/>
        <v>18120</v>
      </c>
      <c r="G33" s="13">
        <f t="shared" ca="1" si="1"/>
        <v>4665</v>
      </c>
      <c r="H33" s="13">
        <f ca="1">VLOOKUP($B33,'[4]Analisys QBR By Machine Report'!$C$109:$BD$166,4,FALSE)</f>
        <v>4665</v>
      </c>
      <c r="I33" s="13">
        <f ca="1">VLOOKUP($B33,'[4]Analisys QBR By Machine Report'!$C$109:$BD$166,5,FALSE)</f>
        <v>4029</v>
      </c>
      <c r="J33" s="13">
        <f ca="1">VLOOKUP($B33,'[4]Analisys QBR By Machine Report'!$C$109:$BD$166,6,FALSE)</f>
        <v>636</v>
      </c>
      <c r="K33" s="13">
        <f ca="1">VLOOKUP($B33,'[4]Analisys QBR By Machine Report'!$C$109:$BD$166,7,FALSE)</f>
        <v>0</v>
      </c>
      <c r="L33" s="13">
        <f ca="1">VLOOKUP($B33,'[4]Analisys QBR By Machine Report'!$C$109:$BD$166,8,FALSE)</f>
        <v>13455</v>
      </c>
      <c r="M33" s="13">
        <f ca="1">VLOOKUP($B33,'[4]Analisys QBR By Machine Report'!$C$109:$BD$166,9,FALSE)</f>
        <v>5759</v>
      </c>
      <c r="N33" s="13">
        <f ca="1">VLOOKUP($B33,[4]Dasboard_QBR_Report!$B$109:$BL$166,18,FALSE)</f>
        <v>7696</v>
      </c>
      <c r="O33" s="13">
        <f ca="1">VLOOKUP($B33,'[4]Analisys QBR By Machine Report'!$C$109:$BD$166,10,FALSE)</f>
        <v>174</v>
      </c>
      <c r="P33" s="13">
        <f ca="1">VLOOKUP($B33,'[4]Analisys QBR By Machine Report'!$C$109:$BD$166,11,FALSE)</f>
        <v>174</v>
      </c>
      <c r="Q33" s="13">
        <f ca="1">VLOOKUP($B33,'[4]Analisys QBR By Machine Report'!$C$109:$BD$166,12,FALSE)</f>
        <v>0</v>
      </c>
      <c r="R33" s="13">
        <f ca="1">VLOOKUP($B33,'[4]Analisys QBR By Machine Report'!$C$109:$BD$166,13,FALSE)</f>
        <v>0</v>
      </c>
      <c r="S33" s="13">
        <f ca="1">VLOOKUP($B33,'[4]Analisys QBR By Machine Report'!$C$109:$BD$166,14,FALSE)</f>
        <v>0</v>
      </c>
      <c r="T33" s="13">
        <f ca="1">VLOOKUP($B33,'[4]Analisys QBR By Machine Report'!$C$109:$BD$166,15,FALSE)</f>
        <v>0</v>
      </c>
      <c r="U33" s="13">
        <f ca="1">VLOOKUP($B33,'[4]Analisys QBR By Machine Report'!$C$109:$BD$166,16,FALSE)</f>
        <v>0</v>
      </c>
      <c r="V33" s="13">
        <f ca="1">VLOOKUP($B33,'[4]Analisys QBR By Machine Report'!$C$109:$BD$166,17,FALSE)</f>
        <v>0</v>
      </c>
      <c r="W33" s="13">
        <f ca="1">VLOOKUP($B33,'[4]Analisys QBR By Machine Report'!$C$109:$BD$166,18,FALSE)</f>
        <v>0</v>
      </c>
      <c r="X33" s="13">
        <f ca="1">VLOOKUP($B33,'[4]Analisys QBR By Machine Report'!$C$109:$BD$166,19,FALSE)</f>
        <v>0</v>
      </c>
      <c r="Y33" s="13">
        <f ca="1">VLOOKUP($B33,'[4]Analisys QBR By Machine Report'!$C$109:$BD$166,20,FALSE)</f>
        <v>0</v>
      </c>
      <c r="Z33" s="13">
        <f ca="1">VLOOKUP($B33,'[4]Analisys QBR By Machine Report'!$C$109:$BD$166,21,FALSE)</f>
        <v>1820</v>
      </c>
      <c r="AA33" s="13">
        <f ca="1">VLOOKUP($B33,'[4]Analisys QBR By Machine Report'!$C$109:$BD$166,22,FALSE)</f>
        <v>793</v>
      </c>
      <c r="AB33" s="13">
        <f ca="1">VLOOKUP($B33,'[4]Analisys QBR By Machine Report'!$C$109:$BD$166,23,FALSE)</f>
        <v>767</v>
      </c>
      <c r="AC33" s="13">
        <f ca="1">VLOOKUP($B33,'[4]Analisys QBR By Machine Report'!$C$109:$BD$166,24,FALSE)</f>
        <v>0</v>
      </c>
      <c r="AD33" s="13">
        <f ca="1">VLOOKUP($B33,'[4]Analisys QBR By Machine Report'!$C$109:$BD$166,25,FALSE)</f>
        <v>0</v>
      </c>
      <c r="AE33" s="13">
        <f ca="1">VLOOKUP($B33,'[4]Analisys QBR By Machine Report'!$C$109:$BD$166,26,FALSE)</f>
        <v>260</v>
      </c>
      <c r="AF33" s="13">
        <f ca="1">VLOOKUP($B33,'[4]Analisys QBR By Machine Report'!$C$109:$BD$166,27,FALSE)</f>
        <v>0</v>
      </c>
      <c r="AG33" s="13">
        <f ca="1">VLOOKUP($B33,'[4]Analisys QBR By Machine Report'!$C$109:$BD$166,28,FALSE)</f>
        <v>0</v>
      </c>
      <c r="AH33" s="13">
        <f ca="1">VLOOKUP($B33,'[4]Analisys QBR By Machine Report'!$C$109:$BD$166,29,FALSE)</f>
        <v>0</v>
      </c>
      <c r="AI33" s="13">
        <f ca="1">VLOOKUP($B33,'[4]Analisys QBR By Machine Report'!$C$109:$BD$166,30,FALSE)</f>
        <v>5702</v>
      </c>
      <c r="AJ33" s="13">
        <f ca="1">VLOOKUP($B33,'[4]Analisys QBR By Machine Report'!$C$109:$BD$166,31,FALSE)</f>
        <v>0</v>
      </c>
      <c r="AK33" s="13">
        <f ca="1">VLOOKUP($B33,'[4]Analisys QBR By Machine Report'!$C$109:$BD$166,32,FALSE)</f>
        <v>0</v>
      </c>
      <c r="AL33" s="13">
        <f ca="1">VLOOKUP($B33,'[4]Analisys QBR By Machine Report'!$C$109:$BD$166,33,FALSE)</f>
        <v>337</v>
      </c>
      <c r="AM33" s="13">
        <f ca="1">VLOOKUP($B33,'[4]Analisys QBR By Machine Report'!$C$109:$BD$166,34,FALSE)</f>
        <v>0</v>
      </c>
      <c r="AN33" s="13">
        <f ca="1">VLOOKUP($B33,'[4]Analisys QBR By Machine Report'!$C$109:$BD$166,35,FALSE)</f>
        <v>135</v>
      </c>
      <c r="AO33" s="13">
        <f ca="1">VLOOKUP($B33,'[4]Analisys QBR By Machine Report'!$C$109:$BD$166,36,FALSE)</f>
        <v>0</v>
      </c>
      <c r="AP33" s="13">
        <f ca="1">VLOOKUP($B33,'[4]Analisys QBR By Machine Report'!$C$109:$BD$166,37,FALSE)</f>
        <v>0</v>
      </c>
      <c r="AQ33" s="13">
        <f ca="1">VLOOKUP($B33,'[4]Analisys QBR By Machine Report'!$C$109:$BD$166,38,FALSE)</f>
        <v>0</v>
      </c>
      <c r="AR33" s="13">
        <f ca="1">VLOOKUP($B33,'[4]Analisys QBR By Machine Report'!$C$109:$BD$166,39,FALSE)</f>
        <v>5230</v>
      </c>
      <c r="AS33" s="13">
        <f ca="1">VLOOKUP($B33,'[4]Analisys QBR By Machine Report'!$C$109:$BD$166,40,FALSE)</f>
        <v>0</v>
      </c>
      <c r="AT33" s="13">
        <f ca="1">VLOOKUP($B33,'[4]Analisys QBR By Machine Report'!$C$109:$BD$166,41,FALSE)</f>
        <v>0</v>
      </c>
      <c r="AU33" s="13">
        <f ca="1">VLOOKUP($B33,'[4]Analisys QBR By Machine Report'!$C$109:$BD$166,42,FALSE)</f>
        <v>0</v>
      </c>
      <c r="AV33" s="13">
        <f ca="1">VLOOKUP($B33,'[4]Analisys QBR By Machine Report'!$C$109:$BD$166,43,FALSE)</f>
        <v>0</v>
      </c>
      <c r="AW33" s="13">
        <f ca="1">VLOOKUP($B33,'[4]Analisys QBR By Machine Report'!$C$109:$BD$166,44,FALSE)</f>
        <v>0</v>
      </c>
      <c r="AX33" s="13">
        <f ca="1">VLOOKUP($B33,'[4]Analisys QBR By Machine Report'!$C$109:$BD$166,45,FALSE)</f>
        <v>0</v>
      </c>
      <c r="AY33" s="13">
        <f ca="1">VLOOKUP($B33,'[4]Analisys QBR By Machine Report'!$C$109:$BD$166,46,FALSE)</f>
        <v>0</v>
      </c>
      <c r="AZ33" s="13">
        <f ca="1">VLOOKUP($B33,'[4]Analisys QBR By Machine Report'!$C$109:$BD$166,47,FALSE)</f>
        <v>0</v>
      </c>
      <c r="BA33" s="13">
        <f ca="1">VLOOKUP($B33,'[4]Analisys QBR By Machine Report'!$C$109:$BD$166,48,FALSE)</f>
        <v>0</v>
      </c>
      <c r="BB33" s="13">
        <f ca="1">VLOOKUP($B33,'[4]Analisys QBR By Machine Report'!$C$109:$BD$166,49,FALSE)</f>
        <v>0</v>
      </c>
      <c r="BC33" s="13">
        <f ca="1">VLOOKUP($B33,'[4]Analisys QBR By Machine Report'!$C$109:$BD$166,50,FALSE)</f>
        <v>0</v>
      </c>
      <c r="BD33" s="13">
        <f ca="1">VLOOKUP($B33,'[4]Analisys QBR By Machine Report'!$C$109:$BD$166,51,FALSE)</f>
        <v>564</v>
      </c>
      <c r="BE33" s="13">
        <f ca="1">VLOOKUP($B33,'[4]Analisys QBR By Machine Report'!$C$109:$BD$166,52,FALSE)</f>
        <v>0</v>
      </c>
      <c r="BF33" s="13">
        <f ca="1">VLOOKUP($B33,'[4]Analisys QBR By Machine Report'!$C$109:$BD$166,53,FALSE)</f>
        <v>564</v>
      </c>
    </row>
    <row r="34" spans="1:58" x14ac:dyDescent="0.25">
      <c r="A34" s="12" t="s">
        <v>90</v>
      </c>
      <c r="B34" s="13">
        <f ca="1">VLOOKUP($B34,'[4]Analisys QBR By Machine Report'!$C$109:$BD$166,2,FALSE)</f>
        <v>24480</v>
      </c>
      <c r="C34" s="14">
        <f ca="1">VLOOKUP($B34,[4]Dasboard_QBR_Report!$B$109:$BL$166,3,FALSE)</f>
        <v>15810</v>
      </c>
      <c r="D34" s="13">
        <f ca="1">VLOOKUP($B34,'[4]Analisys QBR By Machine Report'!$C$109:$BD$166,3,FALSE)</f>
        <v>6827</v>
      </c>
      <c r="E34" s="14">
        <f ca="1">VLOOKUP($B34,[4]Dasboard_QBR_Report!$B$109:$BL$166,5,FALSE)</f>
        <v>-1843</v>
      </c>
      <c r="F34" s="13">
        <f t="shared" ca="1" si="0"/>
        <v>17653</v>
      </c>
      <c r="G34" s="13">
        <f t="shared" ca="1" si="1"/>
        <v>1062</v>
      </c>
      <c r="H34" s="13">
        <f ca="1">VLOOKUP($B34,'[4]Analisys QBR By Machine Report'!$C$109:$BD$166,4,FALSE)</f>
        <v>1062</v>
      </c>
      <c r="I34" s="13">
        <f ca="1">VLOOKUP($B34,'[4]Analisys QBR By Machine Report'!$C$109:$BD$166,5,FALSE)</f>
        <v>793</v>
      </c>
      <c r="J34" s="13">
        <f ca="1">VLOOKUP($B34,'[4]Analisys QBR By Machine Report'!$C$109:$BD$166,6,FALSE)</f>
        <v>269</v>
      </c>
      <c r="K34" s="13">
        <f ca="1">VLOOKUP($B34,'[4]Analisys QBR By Machine Report'!$C$109:$BD$166,7,FALSE)</f>
        <v>0</v>
      </c>
      <c r="L34" s="13">
        <f ca="1">VLOOKUP($B34,'[4]Analisys QBR By Machine Report'!$C$109:$BD$166,8,FALSE)</f>
        <v>16591</v>
      </c>
      <c r="M34" s="13">
        <f ca="1">VLOOKUP($B34,'[4]Analisys QBR By Machine Report'!$C$109:$BD$166,9,FALSE)</f>
        <v>11174</v>
      </c>
      <c r="N34" s="13">
        <f ca="1">VLOOKUP($B34,[4]Dasboard_QBR_Report!$B$109:$BL$166,18,FALSE)</f>
        <v>5417</v>
      </c>
      <c r="O34" s="13">
        <f ca="1">VLOOKUP($B34,'[4]Analisys QBR By Machine Report'!$C$109:$BD$166,10,FALSE)</f>
        <v>89</v>
      </c>
      <c r="P34" s="13">
        <f ca="1">VLOOKUP($B34,'[4]Analisys QBR By Machine Report'!$C$109:$BD$166,11,FALSE)</f>
        <v>89</v>
      </c>
      <c r="Q34" s="13">
        <f ca="1">VLOOKUP($B34,'[4]Analisys QBR By Machine Report'!$C$109:$BD$166,12,FALSE)</f>
        <v>0</v>
      </c>
      <c r="R34" s="13">
        <f ca="1">VLOOKUP($B34,'[4]Analisys QBR By Machine Report'!$C$109:$BD$166,13,FALSE)</f>
        <v>0</v>
      </c>
      <c r="S34" s="13">
        <f ca="1">VLOOKUP($B34,'[4]Analisys QBR By Machine Report'!$C$109:$BD$166,14,FALSE)</f>
        <v>0</v>
      </c>
      <c r="T34" s="13">
        <f ca="1">VLOOKUP($B34,'[4]Analisys QBR By Machine Report'!$C$109:$BD$166,15,FALSE)</f>
        <v>61</v>
      </c>
      <c r="U34" s="13">
        <f ca="1">VLOOKUP($B34,'[4]Analisys QBR By Machine Report'!$C$109:$BD$166,16,FALSE)</f>
        <v>0</v>
      </c>
      <c r="V34" s="13">
        <f ca="1">VLOOKUP($B34,'[4]Analisys QBR By Machine Report'!$C$109:$BD$166,17,FALSE)</f>
        <v>0</v>
      </c>
      <c r="W34" s="13">
        <f ca="1">VLOOKUP($B34,'[4]Analisys QBR By Machine Report'!$C$109:$BD$166,18,FALSE)</f>
        <v>0</v>
      </c>
      <c r="X34" s="13">
        <f ca="1">VLOOKUP($B34,'[4]Analisys QBR By Machine Report'!$C$109:$BD$166,19,FALSE)</f>
        <v>61</v>
      </c>
      <c r="Y34" s="13">
        <f ca="1">VLOOKUP($B34,'[4]Analisys QBR By Machine Report'!$C$109:$BD$166,20,FALSE)</f>
        <v>0</v>
      </c>
      <c r="Z34" s="13">
        <f ca="1">VLOOKUP($B34,'[4]Analisys QBR By Machine Report'!$C$109:$BD$166,21,FALSE)</f>
        <v>4814</v>
      </c>
      <c r="AA34" s="13">
        <f ca="1">VLOOKUP($B34,'[4]Analisys QBR By Machine Report'!$C$109:$BD$166,22,FALSE)</f>
        <v>4591</v>
      </c>
      <c r="AB34" s="13">
        <f ca="1">VLOOKUP($B34,'[4]Analisys QBR By Machine Report'!$C$109:$BD$166,23,FALSE)</f>
        <v>223</v>
      </c>
      <c r="AC34" s="13">
        <f ca="1">VLOOKUP($B34,'[4]Analisys QBR By Machine Report'!$C$109:$BD$166,24,FALSE)</f>
        <v>0</v>
      </c>
      <c r="AD34" s="13">
        <f ca="1">VLOOKUP($B34,'[4]Analisys QBR By Machine Report'!$C$109:$BD$166,25,FALSE)</f>
        <v>0</v>
      </c>
      <c r="AE34" s="13">
        <f ca="1">VLOOKUP($B34,'[4]Analisys QBR By Machine Report'!$C$109:$BD$166,26,FALSE)</f>
        <v>0</v>
      </c>
      <c r="AF34" s="13">
        <f ca="1">VLOOKUP($B34,'[4]Analisys QBR By Machine Report'!$C$109:$BD$166,27,FALSE)</f>
        <v>0</v>
      </c>
      <c r="AG34" s="13">
        <f ca="1">VLOOKUP($B34,'[4]Analisys QBR By Machine Report'!$C$109:$BD$166,28,FALSE)</f>
        <v>0</v>
      </c>
      <c r="AH34" s="13">
        <f ca="1">VLOOKUP($B34,'[4]Analisys QBR By Machine Report'!$C$109:$BD$166,29,FALSE)</f>
        <v>0</v>
      </c>
      <c r="AI34" s="13">
        <f ca="1">VLOOKUP($B34,'[4]Analisys QBR By Machine Report'!$C$109:$BD$166,30,FALSE)</f>
        <v>453</v>
      </c>
      <c r="AJ34" s="13">
        <f ca="1">VLOOKUP($B34,'[4]Analisys QBR By Machine Report'!$C$109:$BD$166,31,FALSE)</f>
        <v>0</v>
      </c>
      <c r="AK34" s="13">
        <f ca="1">VLOOKUP($B34,'[4]Analisys QBR By Machine Report'!$C$109:$BD$166,32,FALSE)</f>
        <v>0</v>
      </c>
      <c r="AL34" s="13">
        <f ca="1">VLOOKUP($B34,'[4]Analisys QBR By Machine Report'!$C$109:$BD$166,33,FALSE)</f>
        <v>333</v>
      </c>
      <c r="AM34" s="13">
        <f ca="1">VLOOKUP($B34,'[4]Analisys QBR By Machine Report'!$C$109:$BD$166,34,FALSE)</f>
        <v>0</v>
      </c>
      <c r="AN34" s="13">
        <f ca="1">VLOOKUP($B34,'[4]Analisys QBR By Machine Report'!$C$109:$BD$166,35,FALSE)</f>
        <v>120</v>
      </c>
      <c r="AO34" s="13">
        <f ca="1">VLOOKUP($B34,'[4]Analisys QBR By Machine Report'!$C$109:$BD$166,36,FALSE)</f>
        <v>0</v>
      </c>
      <c r="AP34" s="13">
        <f ca="1">VLOOKUP($B34,'[4]Analisys QBR By Machine Report'!$C$109:$BD$166,37,FALSE)</f>
        <v>0</v>
      </c>
      <c r="AQ34" s="13">
        <f ca="1">VLOOKUP($B34,'[4]Analisys QBR By Machine Report'!$C$109:$BD$166,38,FALSE)</f>
        <v>0</v>
      </c>
      <c r="AR34" s="13">
        <f ca="1">VLOOKUP($B34,'[4]Analisys QBR By Machine Report'!$C$109:$BD$166,39,FALSE)</f>
        <v>0</v>
      </c>
      <c r="AS34" s="13">
        <f ca="1">VLOOKUP($B34,'[4]Analisys QBR By Machine Report'!$C$109:$BD$166,40,FALSE)</f>
        <v>0</v>
      </c>
      <c r="AT34" s="13">
        <f ca="1">VLOOKUP($B34,'[4]Analisys QBR By Machine Report'!$C$109:$BD$166,41,FALSE)</f>
        <v>0</v>
      </c>
      <c r="AU34" s="13">
        <f ca="1">VLOOKUP($B34,'[4]Analisys QBR By Machine Report'!$C$109:$BD$166,42,FALSE)</f>
        <v>0</v>
      </c>
      <c r="AV34" s="13">
        <f ca="1">VLOOKUP($B34,'[4]Analisys QBR By Machine Report'!$C$109:$BD$166,43,FALSE)</f>
        <v>0</v>
      </c>
      <c r="AW34" s="13">
        <f ca="1">VLOOKUP($B34,'[4]Analisys QBR By Machine Report'!$C$109:$BD$166,44,FALSE)</f>
        <v>0</v>
      </c>
      <c r="AX34" s="13">
        <f ca="1">VLOOKUP($B34,'[4]Analisys QBR By Machine Report'!$C$109:$BD$166,45,FALSE)</f>
        <v>0</v>
      </c>
      <c r="AY34" s="13">
        <f ca="1">VLOOKUP($B34,'[4]Analisys QBR By Machine Report'!$C$109:$BD$166,46,FALSE)</f>
        <v>0</v>
      </c>
      <c r="AZ34" s="13">
        <f ca="1">VLOOKUP($B34,'[4]Analisys QBR By Machine Report'!$C$109:$BD$166,47,FALSE)</f>
        <v>0</v>
      </c>
      <c r="BA34" s="13">
        <f ca="1">VLOOKUP($B34,'[4]Analisys QBR By Machine Report'!$C$109:$BD$166,48,FALSE)</f>
        <v>0</v>
      </c>
      <c r="BB34" s="13">
        <f ca="1">VLOOKUP($B34,'[4]Analisys QBR By Machine Report'!$C$109:$BD$166,49,FALSE)</f>
        <v>0</v>
      </c>
      <c r="BC34" s="13">
        <f ca="1">VLOOKUP($B34,'[4]Analisys QBR By Machine Report'!$C$109:$BD$166,50,FALSE)</f>
        <v>0</v>
      </c>
      <c r="BD34" s="13">
        <f ca="1">VLOOKUP($B34,'[4]Analisys QBR By Machine Report'!$C$109:$BD$166,51,FALSE)</f>
        <v>814</v>
      </c>
      <c r="BE34" s="13">
        <f ca="1">VLOOKUP($B34,'[4]Analisys QBR By Machine Report'!$C$109:$BD$166,52,FALSE)</f>
        <v>0</v>
      </c>
      <c r="BF34" s="13">
        <f ca="1">VLOOKUP($B34,'[4]Analisys QBR By Machine Report'!$C$109:$BD$166,53,FALSE)</f>
        <v>814</v>
      </c>
    </row>
    <row r="35" spans="1:58" x14ac:dyDescent="0.25">
      <c r="A35" s="12" t="s">
        <v>91</v>
      </c>
      <c r="B35" s="13">
        <f ca="1">VLOOKUP($B35,'[4]Analisys QBR By Machine Report'!$C$109:$BD$166,2,FALSE)</f>
        <v>24480</v>
      </c>
      <c r="C35" s="14">
        <f ca="1">VLOOKUP($B35,[4]Dasboard_QBR_Report!$B$109:$BL$166,3,FALSE)</f>
        <v>15810</v>
      </c>
      <c r="D35" s="13">
        <f ca="1">VLOOKUP($B35,'[4]Analisys QBR By Machine Report'!$C$109:$BD$166,3,FALSE)</f>
        <v>16110</v>
      </c>
      <c r="E35" s="14">
        <f ca="1">VLOOKUP($B35,[4]Dasboard_QBR_Report!$B$109:$BL$166,5,FALSE)</f>
        <v>7440</v>
      </c>
      <c r="F35" s="13">
        <f t="shared" ca="1" si="0"/>
        <v>8370</v>
      </c>
      <c r="G35" s="13">
        <f t="shared" ca="1" si="1"/>
        <v>1600</v>
      </c>
      <c r="H35" s="13">
        <f ca="1">VLOOKUP($B35,'[4]Analisys QBR By Machine Report'!$C$109:$BD$166,4,FALSE)</f>
        <v>1475</v>
      </c>
      <c r="I35" s="13">
        <f ca="1">VLOOKUP($B35,'[4]Analisys QBR By Machine Report'!$C$109:$BD$166,5,FALSE)</f>
        <v>150</v>
      </c>
      <c r="J35" s="13">
        <f ca="1">VLOOKUP($B35,'[4]Analisys QBR By Machine Report'!$C$109:$BD$166,6,FALSE)</f>
        <v>1325</v>
      </c>
      <c r="K35" s="13">
        <f ca="1">VLOOKUP($B35,'[4]Analisys QBR By Machine Report'!$C$109:$BD$166,7,FALSE)</f>
        <v>125</v>
      </c>
      <c r="L35" s="13">
        <f ca="1">VLOOKUP($B35,'[4]Analisys QBR By Machine Report'!$C$109:$BD$166,8,FALSE)</f>
        <v>6770</v>
      </c>
      <c r="M35" s="13">
        <f ca="1">VLOOKUP($B35,'[4]Analisys QBR By Machine Report'!$C$109:$BD$166,9,FALSE)</f>
        <v>1018</v>
      </c>
      <c r="N35" s="13">
        <f ca="1">VLOOKUP($B35,[4]Dasboard_QBR_Report!$B$109:$BL$166,18,FALSE)</f>
        <v>5752</v>
      </c>
      <c r="O35" s="13">
        <f ca="1">VLOOKUP($B35,'[4]Analisys QBR By Machine Report'!$C$109:$BD$166,10,FALSE)</f>
        <v>404</v>
      </c>
      <c r="P35" s="13">
        <f ca="1">VLOOKUP($B35,'[4]Analisys QBR By Machine Report'!$C$109:$BD$166,11,FALSE)</f>
        <v>338</v>
      </c>
      <c r="Q35" s="13">
        <f ca="1">VLOOKUP($B35,'[4]Analisys QBR By Machine Report'!$C$109:$BD$166,12,FALSE)</f>
        <v>59</v>
      </c>
      <c r="R35" s="13">
        <f ca="1">VLOOKUP($B35,'[4]Analisys QBR By Machine Report'!$C$109:$BD$166,13,FALSE)</f>
        <v>0</v>
      </c>
      <c r="S35" s="13">
        <f ca="1">VLOOKUP($B35,'[4]Analisys QBR By Machine Report'!$C$109:$BD$166,14,FALSE)</f>
        <v>7</v>
      </c>
      <c r="T35" s="13">
        <f ca="1">VLOOKUP($B35,'[4]Analisys QBR By Machine Report'!$C$109:$BD$166,15,FALSE)</f>
        <v>31</v>
      </c>
      <c r="U35" s="13">
        <f ca="1">VLOOKUP($B35,'[4]Analisys QBR By Machine Report'!$C$109:$BD$166,16,FALSE)</f>
        <v>0</v>
      </c>
      <c r="V35" s="13">
        <f ca="1">VLOOKUP($B35,'[4]Analisys QBR By Machine Report'!$C$109:$BD$166,17,FALSE)</f>
        <v>0</v>
      </c>
      <c r="W35" s="13">
        <f ca="1">VLOOKUP($B35,'[4]Analisys QBR By Machine Report'!$C$109:$BD$166,18,FALSE)</f>
        <v>0</v>
      </c>
      <c r="X35" s="13">
        <f ca="1">VLOOKUP($B35,'[4]Analisys QBR By Machine Report'!$C$109:$BD$166,19,FALSE)</f>
        <v>31</v>
      </c>
      <c r="Y35" s="13">
        <f ca="1">VLOOKUP($B35,'[4]Analisys QBR By Machine Report'!$C$109:$BD$166,20,FALSE)</f>
        <v>0</v>
      </c>
      <c r="Z35" s="13">
        <f ca="1">VLOOKUP($B35,'[4]Analisys QBR By Machine Report'!$C$109:$BD$166,21,FALSE)</f>
        <v>1404</v>
      </c>
      <c r="AA35" s="13">
        <f ca="1">VLOOKUP($B35,'[4]Analisys QBR By Machine Report'!$C$109:$BD$166,22,FALSE)</f>
        <v>941</v>
      </c>
      <c r="AB35" s="13">
        <f ca="1">VLOOKUP($B35,'[4]Analisys QBR By Machine Report'!$C$109:$BD$166,23,FALSE)</f>
        <v>220</v>
      </c>
      <c r="AC35" s="13">
        <f ca="1">VLOOKUP($B35,'[4]Analisys QBR By Machine Report'!$C$109:$BD$166,24,FALSE)</f>
        <v>58</v>
      </c>
      <c r="AD35" s="13">
        <f ca="1">VLOOKUP($B35,'[4]Analisys QBR By Machine Report'!$C$109:$BD$166,25,FALSE)</f>
        <v>0</v>
      </c>
      <c r="AE35" s="13">
        <f ca="1">VLOOKUP($B35,'[4]Analisys QBR By Machine Report'!$C$109:$BD$166,26,FALSE)</f>
        <v>185</v>
      </c>
      <c r="AF35" s="13">
        <f ca="1">VLOOKUP($B35,'[4]Analisys QBR By Machine Report'!$C$109:$BD$166,27,FALSE)</f>
        <v>0</v>
      </c>
      <c r="AG35" s="13">
        <f ca="1">VLOOKUP($B35,'[4]Analisys QBR By Machine Report'!$C$109:$BD$166,28,FALSE)</f>
        <v>0</v>
      </c>
      <c r="AH35" s="13">
        <f ca="1">VLOOKUP($B35,'[4]Analisys QBR By Machine Report'!$C$109:$BD$166,29,FALSE)</f>
        <v>0</v>
      </c>
      <c r="AI35" s="13">
        <f ca="1">VLOOKUP($B35,'[4]Analisys QBR By Machine Report'!$C$109:$BD$166,30,FALSE)</f>
        <v>3913</v>
      </c>
      <c r="AJ35" s="13">
        <f ca="1">VLOOKUP($B35,'[4]Analisys QBR By Machine Report'!$C$109:$BD$166,31,FALSE)</f>
        <v>0</v>
      </c>
      <c r="AK35" s="13">
        <f ca="1">VLOOKUP($B35,'[4]Analisys QBR By Machine Report'!$C$109:$BD$166,32,FALSE)</f>
        <v>0</v>
      </c>
      <c r="AL35" s="13">
        <f ca="1">VLOOKUP($B35,'[4]Analisys QBR By Machine Report'!$C$109:$BD$166,33,FALSE)</f>
        <v>179</v>
      </c>
      <c r="AM35" s="13">
        <f ca="1">VLOOKUP($B35,'[4]Analisys QBR By Machine Report'!$C$109:$BD$166,34,FALSE)</f>
        <v>60</v>
      </c>
      <c r="AN35" s="13">
        <f ca="1">VLOOKUP($B35,'[4]Analisys QBR By Machine Report'!$C$109:$BD$166,35,FALSE)</f>
        <v>283</v>
      </c>
      <c r="AO35" s="13">
        <f ca="1">VLOOKUP($B35,'[4]Analisys QBR By Machine Report'!$C$109:$BD$166,36,FALSE)</f>
        <v>2111</v>
      </c>
      <c r="AP35" s="13">
        <f ca="1">VLOOKUP($B35,'[4]Analisys QBR By Machine Report'!$C$109:$BD$166,37,FALSE)</f>
        <v>0</v>
      </c>
      <c r="AQ35" s="13">
        <f ca="1">VLOOKUP($B35,'[4]Analisys QBR By Machine Report'!$C$109:$BD$166,38,FALSE)</f>
        <v>25</v>
      </c>
      <c r="AR35" s="13">
        <f ca="1">VLOOKUP($B35,'[4]Analisys QBR By Machine Report'!$C$109:$BD$166,39,FALSE)</f>
        <v>1020</v>
      </c>
      <c r="AS35" s="13">
        <f ca="1">VLOOKUP($B35,'[4]Analisys QBR By Machine Report'!$C$109:$BD$166,40,FALSE)</f>
        <v>195</v>
      </c>
      <c r="AT35" s="13">
        <f ca="1">VLOOKUP($B35,'[4]Analisys QBR By Machine Report'!$C$109:$BD$166,41,FALSE)</f>
        <v>0</v>
      </c>
      <c r="AU35" s="13">
        <f ca="1">VLOOKUP($B35,'[4]Analisys QBR By Machine Report'!$C$109:$BD$166,42,FALSE)</f>
        <v>0</v>
      </c>
      <c r="AV35" s="13">
        <f ca="1">VLOOKUP($B35,'[4]Analisys QBR By Machine Report'!$C$109:$BD$166,43,FALSE)</f>
        <v>0</v>
      </c>
      <c r="AW35" s="13">
        <f ca="1">VLOOKUP($B35,'[4]Analisys QBR By Machine Report'!$C$109:$BD$166,44,FALSE)</f>
        <v>0</v>
      </c>
      <c r="AX35" s="13">
        <f ca="1">VLOOKUP($B35,'[4]Analisys QBR By Machine Report'!$C$109:$BD$166,45,FALSE)</f>
        <v>0</v>
      </c>
      <c r="AY35" s="13">
        <f ca="1">VLOOKUP($B35,'[4]Analisys QBR By Machine Report'!$C$109:$BD$166,46,FALSE)</f>
        <v>0</v>
      </c>
      <c r="AZ35" s="13">
        <f ca="1">VLOOKUP($B35,'[4]Analisys QBR By Machine Report'!$C$109:$BD$166,47,FALSE)</f>
        <v>40</v>
      </c>
      <c r="BA35" s="13">
        <f ca="1">VLOOKUP($B35,'[4]Analisys QBR By Machine Report'!$C$109:$BD$166,48,FALSE)</f>
        <v>0</v>
      </c>
      <c r="BB35" s="13">
        <f ca="1">VLOOKUP($B35,'[4]Analisys QBR By Machine Report'!$C$109:$BD$166,49,FALSE)</f>
        <v>0</v>
      </c>
      <c r="BC35" s="13">
        <f ca="1">VLOOKUP($B35,'[4]Analisys QBR By Machine Report'!$C$109:$BD$166,50,FALSE)</f>
        <v>0</v>
      </c>
      <c r="BD35" s="13">
        <f ca="1">VLOOKUP($B35,'[4]Analisys QBR By Machine Report'!$C$109:$BD$166,51,FALSE)</f>
        <v>35206</v>
      </c>
      <c r="BE35" s="13">
        <f ca="1">VLOOKUP($B35,'[4]Analisys QBR By Machine Report'!$C$109:$BD$166,52,FALSE)</f>
        <v>0</v>
      </c>
      <c r="BF35" s="13">
        <f ca="1">VLOOKUP($B35,'[4]Analisys QBR By Machine Report'!$C$109:$BD$166,53,FALSE)</f>
        <v>35206</v>
      </c>
    </row>
    <row r="36" spans="1:58" x14ac:dyDescent="0.25">
      <c r="A36" s="9" t="s">
        <v>92</v>
      </c>
      <c r="B36" s="10">
        <f ca="1">VLOOKUP($B36,'[4]Analisys QBR By Machine Report'!$C$109:$BD$166,2,FALSE)</f>
        <v>149760</v>
      </c>
      <c r="C36" s="11">
        <f ca="1">VLOOKUP($B36,[4]Dasboard_QBR_Report!$B$109:$BL$166,3,FALSE)</f>
        <v>57570</v>
      </c>
      <c r="D36" s="10">
        <f ca="1">VLOOKUP($B36,'[4]Analisys QBR By Machine Report'!$C$109:$BD$166,3,FALSE)</f>
        <v>103470</v>
      </c>
      <c r="E36" s="11">
        <f ca="1">VLOOKUP($B36,[4]Dasboard_QBR_Report!$B$109:$BL$166,5,FALSE)</f>
        <v>11280</v>
      </c>
      <c r="F36" s="10">
        <f t="shared" ca="1" si="0"/>
        <v>46290</v>
      </c>
      <c r="G36" s="10">
        <f t="shared" ca="1" si="1"/>
        <v>4290</v>
      </c>
      <c r="H36" s="10">
        <f ca="1">VLOOKUP($B36,'[4]Analisys QBR By Machine Report'!$C$109:$BD$166,4,FALSE)</f>
        <v>4290</v>
      </c>
      <c r="I36" s="10">
        <f ca="1">VLOOKUP($B36,'[4]Analisys QBR By Machine Report'!$C$109:$BD$166,5,FALSE)</f>
        <v>2310</v>
      </c>
      <c r="J36" s="10">
        <f ca="1">VLOOKUP($B36,'[4]Analisys QBR By Machine Report'!$C$109:$BD$166,6,FALSE)</f>
        <v>1980</v>
      </c>
      <c r="K36" s="10">
        <f ca="1">VLOOKUP($B36,'[4]Analisys QBR By Machine Report'!$C$109:$BD$166,7,FALSE)</f>
        <v>0</v>
      </c>
      <c r="L36" s="10">
        <f ca="1">VLOOKUP($B36,'[4]Analisys QBR By Machine Report'!$C$109:$BD$166,8,FALSE)</f>
        <v>42000</v>
      </c>
      <c r="M36" s="10">
        <f ca="1">VLOOKUP($B36,'[4]Analisys QBR By Machine Report'!$C$109:$BD$166,9,FALSE)</f>
        <v>25839</v>
      </c>
      <c r="N36" s="10">
        <f ca="1">VLOOKUP($B36,[4]Dasboard_QBR_Report!$B$109:$BL$166,18,FALSE)</f>
        <v>16161</v>
      </c>
      <c r="O36" s="10">
        <f ca="1">VLOOKUP($B36,'[4]Analisys QBR By Machine Report'!$C$109:$BD$166,10,FALSE)</f>
        <v>2625</v>
      </c>
      <c r="P36" s="10">
        <f ca="1">VLOOKUP($B36,'[4]Analisys QBR By Machine Report'!$C$109:$BD$166,11,FALSE)</f>
        <v>1682</v>
      </c>
      <c r="Q36" s="10">
        <f ca="1">VLOOKUP($B36,'[4]Analisys QBR By Machine Report'!$C$109:$BD$166,12,FALSE)</f>
        <v>85</v>
      </c>
      <c r="R36" s="10">
        <f ca="1">VLOOKUP($B36,'[4]Analisys QBR By Machine Report'!$C$109:$BD$166,13,FALSE)</f>
        <v>215</v>
      </c>
      <c r="S36" s="10">
        <f ca="1">VLOOKUP($B36,'[4]Analisys QBR By Machine Report'!$C$109:$BD$166,14,FALSE)</f>
        <v>643</v>
      </c>
      <c r="T36" s="10">
        <f ca="1">VLOOKUP($B36,'[4]Analisys QBR By Machine Report'!$C$109:$BD$166,15,FALSE)</f>
        <v>800</v>
      </c>
      <c r="U36" s="10">
        <f ca="1">VLOOKUP($B36,'[4]Analisys QBR By Machine Report'!$C$109:$BD$166,16,FALSE)</f>
        <v>800</v>
      </c>
      <c r="V36" s="10">
        <f ca="1">VLOOKUP($B36,'[4]Analisys QBR By Machine Report'!$C$109:$BD$166,17,FALSE)</f>
        <v>0</v>
      </c>
      <c r="W36" s="10">
        <f ca="1">VLOOKUP($B36,'[4]Analisys QBR By Machine Report'!$C$109:$BD$166,18,FALSE)</f>
        <v>0</v>
      </c>
      <c r="X36" s="10">
        <f ca="1">VLOOKUP($B36,'[4]Analisys QBR By Machine Report'!$C$109:$BD$166,19,FALSE)</f>
        <v>0</v>
      </c>
      <c r="Y36" s="10">
        <f ca="1">VLOOKUP($B36,'[4]Analisys QBR By Machine Report'!$C$109:$BD$166,20,FALSE)</f>
        <v>0</v>
      </c>
      <c r="Z36" s="10">
        <f ca="1">VLOOKUP($B36,'[4]Analisys QBR By Machine Report'!$C$109:$BD$166,21,FALSE)</f>
        <v>3457</v>
      </c>
      <c r="AA36" s="10">
        <f ca="1">VLOOKUP($B36,'[4]Analisys QBR By Machine Report'!$C$109:$BD$166,22,FALSE)</f>
        <v>1572</v>
      </c>
      <c r="AB36" s="10">
        <f ca="1">VLOOKUP($B36,'[4]Analisys QBR By Machine Report'!$C$109:$BD$166,23,FALSE)</f>
        <v>1490</v>
      </c>
      <c r="AC36" s="10">
        <f ca="1">VLOOKUP($B36,'[4]Analisys QBR By Machine Report'!$C$109:$BD$166,24,FALSE)</f>
        <v>0</v>
      </c>
      <c r="AD36" s="10">
        <f ca="1">VLOOKUP($B36,'[4]Analisys QBR By Machine Report'!$C$109:$BD$166,25,FALSE)</f>
        <v>0</v>
      </c>
      <c r="AE36" s="10">
        <f ca="1">VLOOKUP($B36,'[4]Analisys QBR By Machine Report'!$C$109:$BD$166,26,FALSE)</f>
        <v>395</v>
      </c>
      <c r="AF36" s="10">
        <f ca="1">VLOOKUP($B36,'[4]Analisys QBR By Machine Report'!$C$109:$BD$166,27,FALSE)</f>
        <v>120</v>
      </c>
      <c r="AG36" s="10">
        <f ca="1">VLOOKUP($B36,'[4]Analisys QBR By Machine Report'!$C$109:$BD$166,28,FALSE)</f>
        <v>0</v>
      </c>
      <c r="AH36" s="10">
        <f ca="1">VLOOKUP($B36,'[4]Analisys QBR By Machine Report'!$C$109:$BD$166,29,FALSE)</f>
        <v>120</v>
      </c>
      <c r="AI36" s="10">
        <f ca="1">VLOOKUP($B36,'[4]Analisys QBR By Machine Report'!$C$109:$BD$166,30,FALSE)</f>
        <v>9159</v>
      </c>
      <c r="AJ36" s="10">
        <f ca="1">VLOOKUP($B36,'[4]Analisys QBR By Machine Report'!$C$109:$BD$166,31,FALSE)</f>
        <v>0</v>
      </c>
      <c r="AK36" s="10">
        <f ca="1">VLOOKUP($B36,'[4]Analisys QBR By Machine Report'!$C$109:$BD$166,32,FALSE)</f>
        <v>265</v>
      </c>
      <c r="AL36" s="10">
        <f ca="1">VLOOKUP($B36,'[4]Analisys QBR By Machine Report'!$C$109:$BD$166,33,FALSE)</f>
        <v>2760</v>
      </c>
      <c r="AM36" s="10">
        <f ca="1">VLOOKUP($B36,'[4]Analisys QBR By Machine Report'!$C$109:$BD$166,34,FALSE)</f>
        <v>0</v>
      </c>
      <c r="AN36" s="10">
        <f ca="1">VLOOKUP($B36,'[4]Analisys QBR By Machine Report'!$C$109:$BD$166,35,FALSE)</f>
        <v>1395</v>
      </c>
      <c r="AO36" s="10">
        <f ca="1">VLOOKUP($B36,'[4]Analisys QBR By Machine Report'!$C$109:$BD$166,36,FALSE)</f>
        <v>800</v>
      </c>
      <c r="AP36" s="10">
        <f ca="1">VLOOKUP($B36,'[4]Analisys QBR By Machine Report'!$C$109:$BD$166,37,FALSE)</f>
        <v>0</v>
      </c>
      <c r="AQ36" s="10">
        <f ca="1">VLOOKUP($B36,'[4]Analisys QBR By Machine Report'!$C$109:$BD$166,38,FALSE)</f>
        <v>0</v>
      </c>
      <c r="AR36" s="10">
        <f ca="1">VLOOKUP($B36,'[4]Analisys QBR By Machine Report'!$C$109:$BD$166,39,FALSE)</f>
        <v>1830</v>
      </c>
      <c r="AS36" s="10">
        <f ca="1">VLOOKUP($B36,'[4]Analisys QBR By Machine Report'!$C$109:$BD$166,40,FALSE)</f>
        <v>617</v>
      </c>
      <c r="AT36" s="10">
        <f ca="1">VLOOKUP($B36,'[4]Analisys QBR By Machine Report'!$C$109:$BD$166,41,FALSE)</f>
        <v>0</v>
      </c>
      <c r="AU36" s="10">
        <f ca="1">VLOOKUP($B36,'[4]Analisys QBR By Machine Report'!$C$109:$BD$166,42,FALSE)</f>
        <v>0</v>
      </c>
      <c r="AV36" s="10">
        <f ca="1">VLOOKUP($B36,'[4]Analisys QBR By Machine Report'!$C$109:$BD$166,43,FALSE)</f>
        <v>0</v>
      </c>
      <c r="AW36" s="10">
        <f ca="1">VLOOKUP($B36,'[4]Analisys QBR By Machine Report'!$C$109:$BD$166,44,FALSE)</f>
        <v>0</v>
      </c>
      <c r="AX36" s="10">
        <f ca="1">VLOOKUP($B36,'[4]Analisys QBR By Machine Report'!$C$109:$BD$166,45,FALSE)</f>
        <v>0</v>
      </c>
      <c r="AY36" s="10">
        <f ca="1">VLOOKUP($B36,'[4]Analisys QBR By Machine Report'!$C$109:$BD$166,46,FALSE)</f>
        <v>0</v>
      </c>
      <c r="AZ36" s="10">
        <f ca="1">VLOOKUP($B36,'[4]Analisys QBR By Machine Report'!$C$109:$BD$166,47,FALSE)</f>
        <v>1492</v>
      </c>
      <c r="BA36" s="10">
        <f ca="1">VLOOKUP($B36,'[4]Analisys QBR By Machine Report'!$C$109:$BD$166,48,FALSE)</f>
        <v>0</v>
      </c>
      <c r="BB36" s="10">
        <f ca="1">VLOOKUP($B36,'[4]Analisys QBR By Machine Report'!$C$109:$BD$166,49,FALSE)</f>
        <v>0</v>
      </c>
      <c r="BC36" s="10">
        <f ca="1">VLOOKUP($B36,'[4]Analisys QBR By Machine Report'!$C$109:$BD$166,50,FALSE)</f>
        <v>0</v>
      </c>
      <c r="BD36" s="10">
        <f ca="1">VLOOKUP($B36,'[4]Analisys QBR By Machine Report'!$C$109:$BD$166,51,FALSE)</f>
        <v>1281222</v>
      </c>
      <c r="BE36" s="10">
        <f ca="1">VLOOKUP($B36,'[4]Analisys QBR By Machine Report'!$C$109:$BD$166,52,FALSE)</f>
        <v>40</v>
      </c>
      <c r="BF36" s="10">
        <f ca="1">VLOOKUP($B36,'[4]Analisys QBR By Machine Report'!$C$109:$BD$166,53,FALSE)</f>
        <v>1281182</v>
      </c>
    </row>
    <row r="37" spans="1:58" x14ac:dyDescent="0.25">
      <c r="A37" s="12" t="s">
        <v>93</v>
      </c>
      <c r="B37" s="13">
        <f ca="1">VLOOKUP($B37,'[4]Analisys QBR By Machine Report'!$C$109:$BD$166,2,FALSE)</f>
        <v>25920</v>
      </c>
      <c r="C37" s="14">
        <f ca="1">VLOOKUP($B37,[4]Dasboard_QBR_Report!$B$109:$BL$166,3,FALSE)</f>
        <v>8640</v>
      </c>
      <c r="D37" s="13">
        <f ca="1">VLOOKUP($B37,'[4]Analisys QBR By Machine Report'!$C$109:$BD$166,3,FALSE)</f>
        <v>12990</v>
      </c>
      <c r="E37" s="14">
        <f ca="1">VLOOKUP($B37,[4]Dasboard_QBR_Report!$B$109:$BL$166,5,FALSE)</f>
        <v>-4290</v>
      </c>
      <c r="F37" s="13">
        <f t="shared" ca="1" si="0"/>
        <v>12930</v>
      </c>
      <c r="G37" s="13">
        <f t="shared" ca="1" si="1"/>
        <v>255</v>
      </c>
      <c r="H37" s="13">
        <f ca="1">VLOOKUP($B37,'[4]Analisys QBR By Machine Report'!$C$109:$BD$166,4,FALSE)</f>
        <v>255</v>
      </c>
      <c r="I37" s="13">
        <f ca="1">VLOOKUP($B37,'[4]Analisys QBR By Machine Report'!$C$109:$BD$166,5,FALSE)</f>
        <v>255</v>
      </c>
      <c r="J37" s="13">
        <f ca="1">VLOOKUP($B37,'[4]Analisys QBR By Machine Report'!$C$109:$BD$166,6,FALSE)</f>
        <v>0</v>
      </c>
      <c r="K37" s="13">
        <f ca="1">VLOOKUP($B37,'[4]Analisys QBR By Machine Report'!$C$109:$BD$166,7,FALSE)</f>
        <v>0</v>
      </c>
      <c r="L37" s="13">
        <f ca="1">VLOOKUP($B37,'[4]Analisys QBR By Machine Report'!$C$109:$BD$166,8,FALSE)</f>
        <v>12675</v>
      </c>
      <c r="M37" s="13">
        <f ca="1">VLOOKUP($B37,'[4]Analisys QBR By Machine Report'!$C$109:$BD$166,9,FALSE)</f>
        <v>9130</v>
      </c>
      <c r="N37" s="13">
        <f ca="1">VLOOKUP($B37,[4]Dasboard_QBR_Report!$B$109:$BL$166,18,FALSE)</f>
        <v>3545</v>
      </c>
      <c r="O37" s="13">
        <f ca="1">VLOOKUP($B37,'[4]Analisys QBR By Machine Report'!$C$109:$BD$166,10,FALSE)</f>
        <v>258</v>
      </c>
      <c r="P37" s="13">
        <f ca="1">VLOOKUP($B37,'[4]Analisys QBR By Machine Report'!$C$109:$BD$166,11,FALSE)</f>
        <v>258</v>
      </c>
      <c r="Q37" s="13">
        <f ca="1">VLOOKUP($B37,'[4]Analisys QBR By Machine Report'!$C$109:$BD$166,12,FALSE)</f>
        <v>0</v>
      </c>
      <c r="R37" s="13">
        <f ca="1">VLOOKUP($B37,'[4]Analisys QBR By Machine Report'!$C$109:$BD$166,13,FALSE)</f>
        <v>0</v>
      </c>
      <c r="S37" s="13">
        <f ca="1">VLOOKUP($B37,'[4]Analisys QBR By Machine Report'!$C$109:$BD$166,14,FALSE)</f>
        <v>0</v>
      </c>
      <c r="T37" s="13">
        <f ca="1">VLOOKUP($B37,'[4]Analisys QBR By Machine Report'!$C$109:$BD$166,15,FALSE)</f>
        <v>0</v>
      </c>
      <c r="U37" s="13">
        <f ca="1">VLOOKUP($B37,'[4]Analisys QBR By Machine Report'!$C$109:$BD$166,16,FALSE)</f>
        <v>0</v>
      </c>
      <c r="V37" s="13">
        <f ca="1">VLOOKUP($B37,'[4]Analisys QBR By Machine Report'!$C$109:$BD$166,17,FALSE)</f>
        <v>0</v>
      </c>
      <c r="W37" s="13">
        <f ca="1">VLOOKUP($B37,'[4]Analisys QBR By Machine Report'!$C$109:$BD$166,18,FALSE)</f>
        <v>0</v>
      </c>
      <c r="X37" s="13">
        <f ca="1">VLOOKUP($B37,'[4]Analisys QBR By Machine Report'!$C$109:$BD$166,19,FALSE)</f>
        <v>0</v>
      </c>
      <c r="Y37" s="13">
        <f ca="1">VLOOKUP($B37,'[4]Analisys QBR By Machine Report'!$C$109:$BD$166,20,FALSE)</f>
        <v>0</v>
      </c>
      <c r="Z37" s="13">
        <f ca="1">VLOOKUP($B37,'[4]Analisys QBR By Machine Report'!$C$109:$BD$166,21,FALSE)</f>
        <v>1019</v>
      </c>
      <c r="AA37" s="13">
        <f ca="1">VLOOKUP($B37,'[4]Analisys QBR By Machine Report'!$C$109:$BD$166,22,FALSE)</f>
        <v>349</v>
      </c>
      <c r="AB37" s="13">
        <f ca="1">VLOOKUP($B37,'[4]Analisys QBR By Machine Report'!$C$109:$BD$166,23,FALSE)</f>
        <v>550</v>
      </c>
      <c r="AC37" s="13">
        <f ca="1">VLOOKUP($B37,'[4]Analisys QBR By Machine Report'!$C$109:$BD$166,24,FALSE)</f>
        <v>0</v>
      </c>
      <c r="AD37" s="13">
        <f ca="1">VLOOKUP($B37,'[4]Analisys QBR By Machine Report'!$C$109:$BD$166,25,FALSE)</f>
        <v>0</v>
      </c>
      <c r="AE37" s="13">
        <f ca="1">VLOOKUP($B37,'[4]Analisys QBR By Machine Report'!$C$109:$BD$166,26,FALSE)</f>
        <v>120</v>
      </c>
      <c r="AF37" s="13">
        <f ca="1">VLOOKUP($B37,'[4]Analisys QBR By Machine Report'!$C$109:$BD$166,27,FALSE)</f>
        <v>120</v>
      </c>
      <c r="AG37" s="13">
        <f ca="1">VLOOKUP($B37,'[4]Analisys QBR By Machine Report'!$C$109:$BD$166,28,FALSE)</f>
        <v>0</v>
      </c>
      <c r="AH37" s="13">
        <f ca="1">VLOOKUP($B37,'[4]Analisys QBR By Machine Report'!$C$109:$BD$166,29,FALSE)</f>
        <v>120</v>
      </c>
      <c r="AI37" s="13">
        <f ca="1">VLOOKUP($B37,'[4]Analisys QBR By Machine Report'!$C$109:$BD$166,30,FALSE)</f>
        <v>2148</v>
      </c>
      <c r="AJ37" s="13">
        <f ca="1">VLOOKUP($B37,'[4]Analisys QBR By Machine Report'!$C$109:$BD$166,31,FALSE)</f>
        <v>0</v>
      </c>
      <c r="AK37" s="13">
        <f ca="1">VLOOKUP($B37,'[4]Analisys QBR By Machine Report'!$C$109:$BD$166,32,FALSE)</f>
        <v>145</v>
      </c>
      <c r="AL37" s="13">
        <f ca="1">VLOOKUP($B37,'[4]Analisys QBR By Machine Report'!$C$109:$BD$166,33,FALSE)</f>
        <v>825</v>
      </c>
      <c r="AM37" s="13">
        <f ca="1">VLOOKUP($B37,'[4]Analisys QBR By Machine Report'!$C$109:$BD$166,34,FALSE)</f>
        <v>0</v>
      </c>
      <c r="AN37" s="13">
        <f ca="1">VLOOKUP($B37,'[4]Analisys QBR By Machine Report'!$C$109:$BD$166,35,FALSE)</f>
        <v>405</v>
      </c>
      <c r="AO37" s="13">
        <f ca="1">VLOOKUP($B37,'[4]Analisys QBR By Machine Report'!$C$109:$BD$166,36,FALSE)</f>
        <v>0</v>
      </c>
      <c r="AP37" s="13">
        <f ca="1">VLOOKUP($B37,'[4]Analisys QBR By Machine Report'!$C$109:$BD$166,37,FALSE)</f>
        <v>0</v>
      </c>
      <c r="AQ37" s="13">
        <f ca="1">VLOOKUP($B37,'[4]Analisys QBR By Machine Report'!$C$109:$BD$166,38,FALSE)</f>
        <v>0</v>
      </c>
      <c r="AR37" s="13">
        <f ca="1">VLOOKUP($B37,'[4]Analisys QBR By Machine Report'!$C$109:$BD$166,39,FALSE)</f>
        <v>0</v>
      </c>
      <c r="AS37" s="13">
        <f ca="1">VLOOKUP($B37,'[4]Analisys QBR By Machine Report'!$C$109:$BD$166,40,FALSE)</f>
        <v>231</v>
      </c>
      <c r="AT37" s="13">
        <f ca="1">VLOOKUP($B37,'[4]Analisys QBR By Machine Report'!$C$109:$BD$166,41,FALSE)</f>
        <v>0</v>
      </c>
      <c r="AU37" s="13">
        <f ca="1">VLOOKUP($B37,'[4]Analisys QBR By Machine Report'!$C$109:$BD$166,42,FALSE)</f>
        <v>0</v>
      </c>
      <c r="AV37" s="13">
        <f ca="1">VLOOKUP($B37,'[4]Analisys QBR By Machine Report'!$C$109:$BD$166,43,FALSE)</f>
        <v>0</v>
      </c>
      <c r="AW37" s="13">
        <f ca="1">VLOOKUP($B37,'[4]Analisys QBR By Machine Report'!$C$109:$BD$166,44,FALSE)</f>
        <v>0</v>
      </c>
      <c r="AX37" s="13">
        <f ca="1">VLOOKUP($B37,'[4]Analisys QBR By Machine Report'!$C$109:$BD$166,45,FALSE)</f>
        <v>0</v>
      </c>
      <c r="AY37" s="13">
        <f ca="1">VLOOKUP($B37,'[4]Analisys QBR By Machine Report'!$C$109:$BD$166,46,FALSE)</f>
        <v>0</v>
      </c>
      <c r="AZ37" s="13">
        <f ca="1">VLOOKUP($B37,'[4]Analisys QBR By Machine Report'!$C$109:$BD$166,47,FALSE)</f>
        <v>542</v>
      </c>
      <c r="BA37" s="13">
        <f ca="1">VLOOKUP($B37,'[4]Analisys QBR By Machine Report'!$C$109:$BD$166,48,FALSE)</f>
        <v>0</v>
      </c>
      <c r="BB37" s="13">
        <f ca="1">VLOOKUP($B37,'[4]Analisys QBR By Machine Report'!$C$109:$BD$166,49,FALSE)</f>
        <v>0</v>
      </c>
      <c r="BC37" s="13">
        <f ca="1">VLOOKUP($B37,'[4]Analisys QBR By Machine Report'!$C$109:$BD$166,50,FALSE)</f>
        <v>0</v>
      </c>
      <c r="BD37" s="13">
        <f ca="1">VLOOKUP($B37,'[4]Analisys QBR By Machine Report'!$C$109:$BD$166,51,FALSE)</f>
        <v>338019</v>
      </c>
      <c r="BE37" s="13">
        <f ca="1">VLOOKUP($B37,'[4]Analisys QBR By Machine Report'!$C$109:$BD$166,52,FALSE)</f>
        <v>24</v>
      </c>
      <c r="BF37" s="13">
        <f ca="1">VLOOKUP($B37,'[4]Analisys QBR By Machine Report'!$C$109:$BD$166,53,FALSE)</f>
        <v>337995</v>
      </c>
    </row>
    <row r="38" spans="1:58" x14ac:dyDescent="0.25">
      <c r="A38" s="12" t="s">
        <v>94</v>
      </c>
      <c r="B38" s="13">
        <f ca="1">VLOOKUP($B38,'[4]Analisys QBR By Machine Report'!$C$109:$BD$166,2,FALSE)</f>
        <v>24480</v>
      </c>
      <c r="C38" s="14">
        <f ca="1">VLOOKUP($B38,[4]Dasboard_QBR_Report!$B$109:$BL$166,3,FALSE)</f>
        <v>8160</v>
      </c>
      <c r="D38" s="13">
        <f ca="1">VLOOKUP($B38,'[4]Analisys QBR By Machine Report'!$C$109:$BD$166,3,FALSE)</f>
        <v>24480</v>
      </c>
      <c r="E38" s="14">
        <f ca="1">VLOOKUP($B38,[4]Dasboard_QBR_Report!$B$109:$BL$166,5,FALSE)</f>
        <v>8160</v>
      </c>
      <c r="F38" s="13">
        <f t="shared" ca="1" si="0"/>
        <v>0</v>
      </c>
      <c r="G38" s="13">
        <f t="shared" ca="1" si="1"/>
        <v>0</v>
      </c>
      <c r="H38" s="13">
        <f ca="1">VLOOKUP($B38,'[4]Analisys QBR By Machine Report'!$C$109:$BD$166,4,FALSE)</f>
        <v>0</v>
      </c>
      <c r="I38" s="13">
        <f ca="1">VLOOKUP($B38,'[4]Analisys QBR By Machine Report'!$C$109:$BD$166,5,FALSE)</f>
        <v>0</v>
      </c>
      <c r="J38" s="13">
        <f ca="1">VLOOKUP($B38,'[4]Analisys QBR By Machine Report'!$C$109:$BD$166,6,FALSE)</f>
        <v>0</v>
      </c>
      <c r="K38" s="13">
        <f ca="1">VLOOKUP($B38,'[4]Analisys QBR By Machine Report'!$C$109:$BD$166,7,FALSE)</f>
        <v>0</v>
      </c>
      <c r="L38" s="13">
        <f ca="1">VLOOKUP($B38,'[4]Analisys QBR By Machine Report'!$C$109:$BD$166,8,FALSE)</f>
        <v>0</v>
      </c>
      <c r="M38" s="13">
        <f ca="1">VLOOKUP($B38,'[4]Analisys QBR By Machine Report'!$C$109:$BD$166,9,FALSE)</f>
        <v>0</v>
      </c>
      <c r="N38" s="13">
        <f ca="1">VLOOKUP($B38,[4]Dasboard_QBR_Report!$B$109:$BL$166,18,FALSE)</f>
        <v>0</v>
      </c>
      <c r="O38" s="13">
        <f ca="1">VLOOKUP($B38,'[4]Analisys QBR By Machine Report'!$C$109:$BD$166,10,FALSE)</f>
        <v>0</v>
      </c>
      <c r="P38" s="13">
        <f ca="1">VLOOKUP($B38,'[4]Analisys QBR By Machine Report'!$C$109:$BD$166,11,FALSE)</f>
        <v>0</v>
      </c>
      <c r="Q38" s="13">
        <f ca="1">VLOOKUP($B38,'[4]Analisys QBR By Machine Report'!$C$109:$BD$166,12,FALSE)</f>
        <v>0</v>
      </c>
      <c r="R38" s="13">
        <f ca="1">VLOOKUP($B38,'[4]Analisys QBR By Machine Report'!$C$109:$BD$166,13,FALSE)</f>
        <v>0</v>
      </c>
      <c r="S38" s="13">
        <f ca="1">VLOOKUP($B38,'[4]Analisys QBR By Machine Report'!$C$109:$BD$166,14,FALSE)</f>
        <v>0</v>
      </c>
      <c r="T38" s="13">
        <f ca="1">VLOOKUP($B38,'[4]Analisys QBR By Machine Report'!$C$109:$BD$166,15,FALSE)</f>
        <v>0</v>
      </c>
      <c r="U38" s="13">
        <f ca="1">VLOOKUP($B38,'[4]Analisys QBR By Machine Report'!$C$109:$BD$166,16,FALSE)</f>
        <v>0</v>
      </c>
      <c r="V38" s="13">
        <f ca="1">VLOOKUP($B38,'[4]Analisys QBR By Machine Report'!$C$109:$BD$166,17,FALSE)</f>
        <v>0</v>
      </c>
      <c r="W38" s="13">
        <f ca="1">VLOOKUP($B38,'[4]Analisys QBR By Machine Report'!$C$109:$BD$166,18,FALSE)</f>
        <v>0</v>
      </c>
      <c r="X38" s="13">
        <f ca="1">VLOOKUP($B38,'[4]Analisys QBR By Machine Report'!$C$109:$BD$166,19,FALSE)</f>
        <v>0</v>
      </c>
      <c r="Y38" s="13">
        <f ca="1">VLOOKUP($B38,'[4]Analisys QBR By Machine Report'!$C$109:$BD$166,20,FALSE)</f>
        <v>0</v>
      </c>
      <c r="Z38" s="13">
        <f ca="1">VLOOKUP($B38,'[4]Analisys QBR By Machine Report'!$C$109:$BD$166,21,FALSE)</f>
        <v>0</v>
      </c>
      <c r="AA38" s="13">
        <f ca="1">VLOOKUP($B38,'[4]Analisys QBR By Machine Report'!$C$109:$BD$166,22,FALSE)</f>
        <v>0</v>
      </c>
      <c r="AB38" s="13">
        <f ca="1">VLOOKUP($B38,'[4]Analisys QBR By Machine Report'!$C$109:$BD$166,23,FALSE)</f>
        <v>0</v>
      </c>
      <c r="AC38" s="13">
        <f ca="1">VLOOKUP($B38,'[4]Analisys QBR By Machine Report'!$C$109:$BD$166,24,FALSE)</f>
        <v>0</v>
      </c>
      <c r="AD38" s="13">
        <f ca="1">VLOOKUP($B38,'[4]Analisys QBR By Machine Report'!$C$109:$BD$166,25,FALSE)</f>
        <v>0</v>
      </c>
      <c r="AE38" s="13">
        <f ca="1">VLOOKUP($B38,'[4]Analisys QBR By Machine Report'!$C$109:$BD$166,26,FALSE)</f>
        <v>0</v>
      </c>
      <c r="AF38" s="13">
        <f ca="1">VLOOKUP($B38,'[4]Analisys QBR By Machine Report'!$C$109:$BD$166,27,FALSE)</f>
        <v>0</v>
      </c>
      <c r="AG38" s="13">
        <f ca="1">VLOOKUP($B38,'[4]Analisys QBR By Machine Report'!$C$109:$BD$166,28,FALSE)</f>
        <v>0</v>
      </c>
      <c r="AH38" s="13">
        <f ca="1">VLOOKUP($B38,'[4]Analisys QBR By Machine Report'!$C$109:$BD$166,29,FALSE)</f>
        <v>0</v>
      </c>
      <c r="AI38" s="13">
        <f ca="1">VLOOKUP($B38,'[4]Analisys QBR By Machine Report'!$C$109:$BD$166,30,FALSE)</f>
        <v>0</v>
      </c>
      <c r="AJ38" s="13">
        <f ca="1">VLOOKUP($B38,'[4]Analisys QBR By Machine Report'!$C$109:$BD$166,31,FALSE)</f>
        <v>0</v>
      </c>
      <c r="AK38" s="13">
        <f ca="1">VLOOKUP($B38,'[4]Analisys QBR By Machine Report'!$C$109:$BD$166,32,FALSE)</f>
        <v>0</v>
      </c>
      <c r="AL38" s="13">
        <f ca="1">VLOOKUP($B38,'[4]Analisys QBR By Machine Report'!$C$109:$BD$166,33,FALSE)</f>
        <v>0</v>
      </c>
      <c r="AM38" s="13">
        <f ca="1">VLOOKUP($B38,'[4]Analisys QBR By Machine Report'!$C$109:$BD$166,34,FALSE)</f>
        <v>0</v>
      </c>
      <c r="AN38" s="13">
        <f ca="1">VLOOKUP($B38,'[4]Analisys QBR By Machine Report'!$C$109:$BD$166,35,FALSE)</f>
        <v>0</v>
      </c>
      <c r="AO38" s="13">
        <f ca="1">VLOOKUP($B38,'[4]Analisys QBR By Machine Report'!$C$109:$BD$166,36,FALSE)</f>
        <v>0</v>
      </c>
      <c r="AP38" s="13">
        <f ca="1">VLOOKUP($B38,'[4]Analisys QBR By Machine Report'!$C$109:$BD$166,37,FALSE)</f>
        <v>0</v>
      </c>
      <c r="AQ38" s="13">
        <f ca="1">VLOOKUP($B38,'[4]Analisys QBR By Machine Report'!$C$109:$BD$166,38,FALSE)</f>
        <v>0</v>
      </c>
      <c r="AR38" s="13">
        <f ca="1">VLOOKUP($B38,'[4]Analisys QBR By Machine Report'!$C$109:$BD$166,39,FALSE)</f>
        <v>0</v>
      </c>
      <c r="AS38" s="13">
        <f ca="1">VLOOKUP($B38,'[4]Analisys QBR By Machine Report'!$C$109:$BD$166,40,FALSE)</f>
        <v>0</v>
      </c>
      <c r="AT38" s="13">
        <f ca="1">VLOOKUP($B38,'[4]Analisys QBR By Machine Report'!$C$109:$BD$166,41,FALSE)</f>
        <v>0</v>
      </c>
      <c r="AU38" s="13">
        <f ca="1">VLOOKUP($B38,'[4]Analisys QBR By Machine Report'!$C$109:$BD$166,42,FALSE)</f>
        <v>0</v>
      </c>
      <c r="AV38" s="13">
        <f ca="1">VLOOKUP($B38,'[4]Analisys QBR By Machine Report'!$C$109:$BD$166,43,FALSE)</f>
        <v>0</v>
      </c>
      <c r="AW38" s="13">
        <f ca="1">VLOOKUP($B38,'[4]Analisys QBR By Machine Report'!$C$109:$BD$166,44,FALSE)</f>
        <v>0</v>
      </c>
      <c r="AX38" s="13">
        <f ca="1">VLOOKUP($B38,'[4]Analisys QBR By Machine Report'!$C$109:$BD$166,45,FALSE)</f>
        <v>0</v>
      </c>
      <c r="AY38" s="13">
        <f ca="1">VLOOKUP($B38,'[4]Analisys QBR By Machine Report'!$C$109:$BD$166,46,FALSE)</f>
        <v>0</v>
      </c>
      <c r="AZ38" s="13">
        <f ca="1">VLOOKUP($B38,'[4]Analisys QBR By Machine Report'!$C$109:$BD$166,47,FALSE)</f>
        <v>0</v>
      </c>
      <c r="BA38" s="13">
        <f ca="1">VLOOKUP($B38,'[4]Analisys QBR By Machine Report'!$C$109:$BD$166,48,FALSE)</f>
        <v>0</v>
      </c>
      <c r="BB38" s="13">
        <f ca="1">VLOOKUP($B38,'[4]Analisys QBR By Machine Report'!$C$109:$BD$166,49,FALSE)</f>
        <v>0</v>
      </c>
      <c r="BC38" s="13">
        <f ca="1">VLOOKUP($B38,'[4]Analisys QBR By Machine Report'!$C$109:$BD$166,50,FALSE)</f>
        <v>0</v>
      </c>
      <c r="BD38" s="13">
        <f ca="1">VLOOKUP($B38,'[4]Analisys QBR By Machine Report'!$C$109:$BD$166,51,FALSE)</f>
        <v>0</v>
      </c>
      <c r="BE38" s="13">
        <f ca="1">VLOOKUP($B38,'[4]Analisys QBR By Machine Report'!$C$109:$BD$166,52,FALSE)</f>
        <v>0</v>
      </c>
      <c r="BF38" s="13">
        <f ca="1">VLOOKUP($B38,'[4]Analisys QBR By Machine Report'!$C$109:$BD$166,53,FALSE)</f>
        <v>0</v>
      </c>
    </row>
    <row r="39" spans="1:58" x14ac:dyDescent="0.25">
      <c r="A39" s="12" t="s">
        <v>95</v>
      </c>
      <c r="B39" s="13">
        <f ca="1">VLOOKUP($B39,'[4]Analisys QBR By Machine Report'!$C$109:$BD$166,2,FALSE)</f>
        <v>25920</v>
      </c>
      <c r="C39" s="14">
        <f ca="1">VLOOKUP($B39,[4]Dasboard_QBR_Report!$B$109:$BL$166,3,FALSE)</f>
        <v>8640</v>
      </c>
      <c r="D39" s="13">
        <f ca="1">VLOOKUP($B39,'[4]Analisys QBR By Machine Report'!$C$109:$BD$166,3,FALSE)</f>
        <v>11310</v>
      </c>
      <c r="E39" s="14">
        <f ca="1">VLOOKUP($B39,[4]Dasboard_QBR_Report!$B$109:$BL$166,5,FALSE)</f>
        <v>-5970</v>
      </c>
      <c r="F39" s="13">
        <f t="shared" ca="1" si="0"/>
        <v>14610</v>
      </c>
      <c r="G39" s="13">
        <f t="shared" ca="1" si="1"/>
        <v>240</v>
      </c>
      <c r="H39" s="13">
        <f ca="1">VLOOKUP($B39,'[4]Analisys QBR By Machine Report'!$C$109:$BD$166,4,FALSE)</f>
        <v>240</v>
      </c>
      <c r="I39" s="13">
        <f ca="1">VLOOKUP($B39,'[4]Analisys QBR By Machine Report'!$C$109:$BD$166,5,FALSE)</f>
        <v>240</v>
      </c>
      <c r="J39" s="13">
        <f ca="1">VLOOKUP($B39,'[4]Analisys QBR By Machine Report'!$C$109:$BD$166,6,FALSE)</f>
        <v>0</v>
      </c>
      <c r="K39" s="13">
        <f ca="1">VLOOKUP($B39,'[4]Analisys QBR By Machine Report'!$C$109:$BD$166,7,FALSE)</f>
        <v>0</v>
      </c>
      <c r="L39" s="13">
        <f ca="1">VLOOKUP($B39,'[4]Analisys QBR By Machine Report'!$C$109:$BD$166,8,FALSE)</f>
        <v>14370</v>
      </c>
      <c r="M39" s="13">
        <f ca="1">VLOOKUP($B39,'[4]Analisys QBR By Machine Report'!$C$109:$BD$166,9,FALSE)</f>
        <v>10575</v>
      </c>
      <c r="N39" s="13">
        <f ca="1">VLOOKUP($B39,[4]Dasboard_QBR_Report!$B$109:$BL$166,18,FALSE)</f>
        <v>3795</v>
      </c>
      <c r="O39" s="13">
        <f ca="1">VLOOKUP($B39,'[4]Analisys QBR By Machine Report'!$C$109:$BD$166,10,FALSE)</f>
        <v>209</v>
      </c>
      <c r="P39" s="13">
        <f ca="1">VLOOKUP($B39,'[4]Analisys QBR By Machine Report'!$C$109:$BD$166,11,FALSE)</f>
        <v>209</v>
      </c>
      <c r="Q39" s="13">
        <f ca="1">VLOOKUP($B39,'[4]Analisys QBR By Machine Report'!$C$109:$BD$166,12,FALSE)</f>
        <v>0</v>
      </c>
      <c r="R39" s="13">
        <f ca="1">VLOOKUP($B39,'[4]Analisys QBR By Machine Report'!$C$109:$BD$166,13,FALSE)</f>
        <v>0</v>
      </c>
      <c r="S39" s="13">
        <f ca="1">VLOOKUP($B39,'[4]Analisys QBR By Machine Report'!$C$109:$BD$166,14,FALSE)</f>
        <v>0</v>
      </c>
      <c r="T39" s="13">
        <f ca="1">VLOOKUP($B39,'[4]Analisys QBR By Machine Report'!$C$109:$BD$166,15,FALSE)</f>
        <v>225</v>
      </c>
      <c r="U39" s="13">
        <f ca="1">VLOOKUP($B39,'[4]Analisys QBR By Machine Report'!$C$109:$BD$166,16,FALSE)</f>
        <v>225</v>
      </c>
      <c r="V39" s="13">
        <f ca="1">VLOOKUP($B39,'[4]Analisys QBR By Machine Report'!$C$109:$BD$166,17,FALSE)</f>
        <v>0</v>
      </c>
      <c r="W39" s="13">
        <f ca="1">VLOOKUP($B39,'[4]Analisys QBR By Machine Report'!$C$109:$BD$166,18,FALSE)</f>
        <v>0</v>
      </c>
      <c r="X39" s="13">
        <f ca="1">VLOOKUP($B39,'[4]Analisys QBR By Machine Report'!$C$109:$BD$166,19,FALSE)</f>
        <v>0</v>
      </c>
      <c r="Y39" s="13">
        <f ca="1">VLOOKUP($B39,'[4]Analisys QBR By Machine Report'!$C$109:$BD$166,20,FALSE)</f>
        <v>0</v>
      </c>
      <c r="Z39" s="13">
        <f ca="1">VLOOKUP($B39,'[4]Analisys QBR By Machine Report'!$C$109:$BD$166,21,FALSE)</f>
        <v>940</v>
      </c>
      <c r="AA39" s="13">
        <f ca="1">VLOOKUP($B39,'[4]Analisys QBR By Machine Report'!$C$109:$BD$166,22,FALSE)</f>
        <v>260</v>
      </c>
      <c r="AB39" s="13">
        <f ca="1">VLOOKUP($B39,'[4]Analisys QBR By Machine Report'!$C$109:$BD$166,23,FALSE)</f>
        <v>520</v>
      </c>
      <c r="AC39" s="13">
        <f ca="1">VLOOKUP($B39,'[4]Analisys QBR By Machine Report'!$C$109:$BD$166,24,FALSE)</f>
        <v>0</v>
      </c>
      <c r="AD39" s="13">
        <f ca="1">VLOOKUP($B39,'[4]Analisys QBR By Machine Report'!$C$109:$BD$166,25,FALSE)</f>
        <v>0</v>
      </c>
      <c r="AE39" s="13">
        <f ca="1">VLOOKUP($B39,'[4]Analisys QBR By Machine Report'!$C$109:$BD$166,26,FALSE)</f>
        <v>160</v>
      </c>
      <c r="AF39" s="13">
        <f ca="1">VLOOKUP($B39,'[4]Analisys QBR By Machine Report'!$C$109:$BD$166,27,FALSE)</f>
        <v>0</v>
      </c>
      <c r="AG39" s="13">
        <f ca="1">VLOOKUP($B39,'[4]Analisys QBR By Machine Report'!$C$109:$BD$166,28,FALSE)</f>
        <v>0</v>
      </c>
      <c r="AH39" s="13">
        <f ca="1">VLOOKUP($B39,'[4]Analisys QBR By Machine Report'!$C$109:$BD$166,29,FALSE)</f>
        <v>0</v>
      </c>
      <c r="AI39" s="13">
        <f ca="1">VLOOKUP($B39,'[4]Analisys QBR By Machine Report'!$C$109:$BD$166,30,FALSE)</f>
        <v>2421</v>
      </c>
      <c r="AJ39" s="13">
        <f ca="1">VLOOKUP($B39,'[4]Analisys QBR By Machine Report'!$C$109:$BD$166,31,FALSE)</f>
        <v>0</v>
      </c>
      <c r="AK39" s="13">
        <f ca="1">VLOOKUP($B39,'[4]Analisys QBR By Machine Report'!$C$109:$BD$166,32,FALSE)</f>
        <v>120</v>
      </c>
      <c r="AL39" s="13">
        <f ca="1">VLOOKUP($B39,'[4]Analisys QBR By Machine Report'!$C$109:$BD$166,33,FALSE)</f>
        <v>945</v>
      </c>
      <c r="AM39" s="13">
        <f ca="1">VLOOKUP($B39,'[4]Analisys QBR By Machine Report'!$C$109:$BD$166,34,FALSE)</f>
        <v>0</v>
      </c>
      <c r="AN39" s="13">
        <f ca="1">VLOOKUP($B39,'[4]Analisys QBR By Machine Report'!$C$109:$BD$166,35,FALSE)</f>
        <v>465</v>
      </c>
      <c r="AO39" s="13">
        <f ca="1">VLOOKUP($B39,'[4]Analisys QBR By Machine Report'!$C$109:$BD$166,36,FALSE)</f>
        <v>0</v>
      </c>
      <c r="AP39" s="13">
        <f ca="1">VLOOKUP($B39,'[4]Analisys QBR By Machine Report'!$C$109:$BD$166,37,FALSE)</f>
        <v>0</v>
      </c>
      <c r="AQ39" s="13">
        <f ca="1">VLOOKUP($B39,'[4]Analisys QBR By Machine Report'!$C$109:$BD$166,38,FALSE)</f>
        <v>0</v>
      </c>
      <c r="AR39" s="13">
        <f ca="1">VLOOKUP($B39,'[4]Analisys QBR By Machine Report'!$C$109:$BD$166,39,FALSE)</f>
        <v>0</v>
      </c>
      <c r="AS39" s="13">
        <f ca="1">VLOOKUP($B39,'[4]Analisys QBR By Machine Report'!$C$109:$BD$166,40,FALSE)</f>
        <v>181</v>
      </c>
      <c r="AT39" s="13">
        <f ca="1">VLOOKUP($B39,'[4]Analisys QBR By Machine Report'!$C$109:$BD$166,41,FALSE)</f>
        <v>0</v>
      </c>
      <c r="AU39" s="13">
        <f ca="1">VLOOKUP($B39,'[4]Analisys QBR By Machine Report'!$C$109:$BD$166,42,FALSE)</f>
        <v>0</v>
      </c>
      <c r="AV39" s="13">
        <f ca="1">VLOOKUP($B39,'[4]Analisys QBR By Machine Report'!$C$109:$BD$166,43,FALSE)</f>
        <v>0</v>
      </c>
      <c r="AW39" s="13">
        <f ca="1">VLOOKUP($B39,'[4]Analisys QBR By Machine Report'!$C$109:$BD$166,44,FALSE)</f>
        <v>0</v>
      </c>
      <c r="AX39" s="13">
        <f ca="1">VLOOKUP($B39,'[4]Analisys QBR By Machine Report'!$C$109:$BD$166,45,FALSE)</f>
        <v>0</v>
      </c>
      <c r="AY39" s="13">
        <f ca="1">VLOOKUP($B39,'[4]Analisys QBR By Machine Report'!$C$109:$BD$166,46,FALSE)</f>
        <v>0</v>
      </c>
      <c r="AZ39" s="13">
        <f ca="1">VLOOKUP($B39,'[4]Analisys QBR By Machine Report'!$C$109:$BD$166,47,FALSE)</f>
        <v>710</v>
      </c>
      <c r="BA39" s="13">
        <f ca="1">VLOOKUP($B39,'[4]Analisys QBR By Machine Report'!$C$109:$BD$166,48,FALSE)</f>
        <v>0</v>
      </c>
      <c r="BB39" s="13">
        <f ca="1">VLOOKUP($B39,'[4]Analisys QBR By Machine Report'!$C$109:$BD$166,49,FALSE)</f>
        <v>0</v>
      </c>
      <c r="BC39" s="13">
        <f ca="1">VLOOKUP($B39,'[4]Analisys QBR By Machine Report'!$C$109:$BD$166,50,FALSE)</f>
        <v>0</v>
      </c>
      <c r="BD39" s="13">
        <f ca="1">VLOOKUP($B39,'[4]Analisys QBR By Machine Report'!$C$109:$BD$166,51,FALSE)</f>
        <v>467478</v>
      </c>
      <c r="BE39" s="13">
        <f ca="1">VLOOKUP($B39,'[4]Analisys QBR By Machine Report'!$C$109:$BD$166,52,FALSE)</f>
        <v>0</v>
      </c>
      <c r="BF39" s="13">
        <f ca="1">VLOOKUP($B39,'[4]Analisys QBR By Machine Report'!$C$109:$BD$166,53,FALSE)</f>
        <v>467478</v>
      </c>
    </row>
    <row r="40" spans="1:58" x14ac:dyDescent="0.25">
      <c r="A40" s="12" t="s">
        <v>96</v>
      </c>
      <c r="B40" s="13">
        <f ca="1">VLOOKUP($B40,'[4]Analisys QBR By Machine Report'!$C$109:$BD$166,2,FALSE)</f>
        <v>24480</v>
      </c>
      <c r="C40" s="14">
        <f ca="1">VLOOKUP($B40,[4]Dasboard_QBR_Report!$B$109:$BL$166,3,FALSE)</f>
        <v>8160</v>
      </c>
      <c r="D40" s="13">
        <f ca="1">VLOOKUP($B40,'[4]Analisys QBR By Machine Report'!$C$109:$BD$166,3,FALSE)</f>
        <v>23460</v>
      </c>
      <c r="E40" s="14">
        <f ca="1">VLOOKUP($B40,[4]Dasboard_QBR_Report!$B$109:$BL$166,5,FALSE)</f>
        <v>7140</v>
      </c>
      <c r="F40" s="13">
        <f t="shared" ca="1" si="0"/>
        <v>1020</v>
      </c>
      <c r="G40" s="13">
        <f t="shared" ca="1" si="1"/>
        <v>115</v>
      </c>
      <c r="H40" s="13">
        <f ca="1">VLOOKUP($B40,'[4]Analisys QBR By Machine Report'!$C$109:$BD$166,4,FALSE)</f>
        <v>115</v>
      </c>
      <c r="I40" s="13">
        <f ca="1">VLOOKUP($B40,'[4]Analisys QBR By Machine Report'!$C$109:$BD$166,5,FALSE)</f>
        <v>0</v>
      </c>
      <c r="J40" s="13">
        <f ca="1">VLOOKUP($B40,'[4]Analisys QBR By Machine Report'!$C$109:$BD$166,6,FALSE)</f>
        <v>115</v>
      </c>
      <c r="K40" s="13">
        <f ca="1">VLOOKUP($B40,'[4]Analisys QBR By Machine Report'!$C$109:$BD$166,7,FALSE)</f>
        <v>0</v>
      </c>
      <c r="L40" s="13">
        <f ca="1">VLOOKUP($B40,'[4]Analisys QBR By Machine Report'!$C$109:$BD$166,8,FALSE)</f>
        <v>905</v>
      </c>
      <c r="M40" s="13">
        <f ca="1">VLOOKUP($B40,'[4]Analisys QBR By Machine Report'!$C$109:$BD$166,9,FALSE)</f>
        <v>400</v>
      </c>
      <c r="N40" s="13">
        <f ca="1">VLOOKUP($B40,[4]Dasboard_QBR_Report!$B$109:$BL$166,18,FALSE)</f>
        <v>505</v>
      </c>
      <c r="O40" s="13">
        <f ca="1">VLOOKUP($B40,'[4]Analisys QBR By Machine Report'!$C$109:$BD$166,10,FALSE)</f>
        <v>185</v>
      </c>
      <c r="P40" s="13">
        <f ca="1">VLOOKUP($B40,'[4]Analisys QBR By Machine Report'!$C$109:$BD$166,11,FALSE)</f>
        <v>105</v>
      </c>
      <c r="Q40" s="13">
        <f ca="1">VLOOKUP($B40,'[4]Analisys QBR By Machine Report'!$C$109:$BD$166,12,FALSE)</f>
        <v>0</v>
      </c>
      <c r="R40" s="13">
        <f ca="1">VLOOKUP($B40,'[4]Analisys QBR By Machine Report'!$C$109:$BD$166,13,FALSE)</f>
        <v>80</v>
      </c>
      <c r="S40" s="13">
        <f ca="1">VLOOKUP($B40,'[4]Analisys QBR By Machine Report'!$C$109:$BD$166,14,FALSE)</f>
        <v>0</v>
      </c>
      <c r="T40" s="13">
        <f ca="1">VLOOKUP($B40,'[4]Analisys QBR By Machine Report'!$C$109:$BD$166,15,FALSE)</f>
        <v>0</v>
      </c>
      <c r="U40" s="13">
        <f ca="1">VLOOKUP($B40,'[4]Analisys QBR By Machine Report'!$C$109:$BD$166,16,FALSE)</f>
        <v>0</v>
      </c>
      <c r="V40" s="13">
        <f ca="1">VLOOKUP($B40,'[4]Analisys QBR By Machine Report'!$C$109:$BD$166,17,FALSE)</f>
        <v>0</v>
      </c>
      <c r="W40" s="13">
        <f ca="1">VLOOKUP($B40,'[4]Analisys QBR By Machine Report'!$C$109:$BD$166,18,FALSE)</f>
        <v>0</v>
      </c>
      <c r="X40" s="13">
        <f ca="1">VLOOKUP($B40,'[4]Analisys QBR By Machine Report'!$C$109:$BD$166,19,FALSE)</f>
        <v>0</v>
      </c>
      <c r="Y40" s="13">
        <f ca="1">VLOOKUP($B40,'[4]Analisys QBR By Machine Report'!$C$109:$BD$166,20,FALSE)</f>
        <v>0</v>
      </c>
      <c r="Z40" s="13">
        <f ca="1">VLOOKUP($B40,'[4]Analisys QBR By Machine Report'!$C$109:$BD$166,21,FALSE)</f>
        <v>230</v>
      </c>
      <c r="AA40" s="13">
        <f ca="1">VLOOKUP($B40,'[4]Analisys QBR By Machine Report'!$C$109:$BD$166,22,FALSE)</f>
        <v>120</v>
      </c>
      <c r="AB40" s="13">
        <f ca="1">VLOOKUP($B40,'[4]Analisys QBR By Machine Report'!$C$109:$BD$166,23,FALSE)</f>
        <v>0</v>
      </c>
      <c r="AC40" s="13">
        <f ca="1">VLOOKUP($B40,'[4]Analisys QBR By Machine Report'!$C$109:$BD$166,24,FALSE)</f>
        <v>0</v>
      </c>
      <c r="AD40" s="13">
        <f ca="1">VLOOKUP($B40,'[4]Analisys QBR By Machine Report'!$C$109:$BD$166,25,FALSE)</f>
        <v>0</v>
      </c>
      <c r="AE40" s="13">
        <f ca="1">VLOOKUP($B40,'[4]Analisys QBR By Machine Report'!$C$109:$BD$166,26,FALSE)</f>
        <v>110</v>
      </c>
      <c r="AF40" s="13">
        <f ca="1">VLOOKUP($B40,'[4]Analisys QBR By Machine Report'!$C$109:$BD$166,27,FALSE)</f>
        <v>0</v>
      </c>
      <c r="AG40" s="13">
        <f ca="1">VLOOKUP($B40,'[4]Analisys QBR By Machine Report'!$C$109:$BD$166,28,FALSE)</f>
        <v>0</v>
      </c>
      <c r="AH40" s="13">
        <f ca="1">VLOOKUP($B40,'[4]Analisys QBR By Machine Report'!$C$109:$BD$166,29,FALSE)</f>
        <v>0</v>
      </c>
      <c r="AI40" s="13">
        <f ca="1">VLOOKUP($B40,'[4]Analisys QBR By Machine Report'!$C$109:$BD$166,30,FALSE)</f>
        <v>90</v>
      </c>
      <c r="AJ40" s="13">
        <f ca="1">VLOOKUP($B40,'[4]Analisys QBR By Machine Report'!$C$109:$BD$166,31,FALSE)</f>
        <v>0</v>
      </c>
      <c r="AK40" s="13">
        <f ca="1">VLOOKUP($B40,'[4]Analisys QBR By Machine Report'!$C$109:$BD$166,32,FALSE)</f>
        <v>0</v>
      </c>
      <c r="AL40" s="13">
        <f ca="1">VLOOKUP($B40,'[4]Analisys QBR By Machine Report'!$C$109:$BD$166,33,FALSE)</f>
        <v>60</v>
      </c>
      <c r="AM40" s="13">
        <f ca="1">VLOOKUP($B40,'[4]Analisys QBR By Machine Report'!$C$109:$BD$166,34,FALSE)</f>
        <v>0</v>
      </c>
      <c r="AN40" s="13">
        <f ca="1">VLOOKUP($B40,'[4]Analisys QBR By Machine Report'!$C$109:$BD$166,35,FALSE)</f>
        <v>30</v>
      </c>
      <c r="AO40" s="13">
        <f ca="1">VLOOKUP($B40,'[4]Analisys QBR By Machine Report'!$C$109:$BD$166,36,FALSE)</f>
        <v>0</v>
      </c>
      <c r="AP40" s="13">
        <f ca="1">VLOOKUP($B40,'[4]Analisys QBR By Machine Report'!$C$109:$BD$166,37,FALSE)</f>
        <v>0</v>
      </c>
      <c r="AQ40" s="13">
        <f ca="1">VLOOKUP($B40,'[4]Analisys QBR By Machine Report'!$C$109:$BD$166,38,FALSE)</f>
        <v>0</v>
      </c>
      <c r="AR40" s="13">
        <f ca="1">VLOOKUP($B40,'[4]Analisys QBR By Machine Report'!$C$109:$BD$166,39,FALSE)</f>
        <v>0</v>
      </c>
      <c r="AS40" s="13">
        <f ca="1">VLOOKUP($B40,'[4]Analisys QBR By Machine Report'!$C$109:$BD$166,40,FALSE)</f>
        <v>0</v>
      </c>
      <c r="AT40" s="13">
        <f ca="1">VLOOKUP($B40,'[4]Analisys QBR By Machine Report'!$C$109:$BD$166,41,FALSE)</f>
        <v>0</v>
      </c>
      <c r="AU40" s="13">
        <f ca="1">VLOOKUP($B40,'[4]Analisys QBR By Machine Report'!$C$109:$BD$166,42,FALSE)</f>
        <v>0</v>
      </c>
      <c r="AV40" s="13">
        <f ca="1">VLOOKUP($B40,'[4]Analisys QBR By Machine Report'!$C$109:$BD$166,43,FALSE)</f>
        <v>0</v>
      </c>
      <c r="AW40" s="13">
        <f ca="1">VLOOKUP($B40,'[4]Analisys QBR By Machine Report'!$C$109:$BD$166,44,FALSE)</f>
        <v>0</v>
      </c>
      <c r="AX40" s="13">
        <f ca="1">VLOOKUP($B40,'[4]Analisys QBR By Machine Report'!$C$109:$BD$166,45,FALSE)</f>
        <v>0</v>
      </c>
      <c r="AY40" s="13">
        <f ca="1">VLOOKUP($B40,'[4]Analisys QBR By Machine Report'!$C$109:$BD$166,46,FALSE)</f>
        <v>0</v>
      </c>
      <c r="AZ40" s="13">
        <f ca="1">VLOOKUP($B40,'[4]Analisys QBR By Machine Report'!$C$109:$BD$166,47,FALSE)</f>
        <v>0</v>
      </c>
      <c r="BA40" s="13">
        <f ca="1">VLOOKUP($B40,'[4]Analisys QBR By Machine Report'!$C$109:$BD$166,48,FALSE)</f>
        <v>0</v>
      </c>
      <c r="BB40" s="13">
        <f ca="1">VLOOKUP($B40,'[4]Analisys QBR By Machine Report'!$C$109:$BD$166,49,FALSE)</f>
        <v>0</v>
      </c>
      <c r="BC40" s="13">
        <f ca="1">VLOOKUP($B40,'[4]Analisys QBR By Machine Report'!$C$109:$BD$166,50,FALSE)</f>
        <v>0</v>
      </c>
      <c r="BD40" s="13">
        <f ca="1">VLOOKUP($B40,'[4]Analisys QBR By Machine Report'!$C$109:$BD$166,51,FALSE)</f>
        <v>9570</v>
      </c>
      <c r="BE40" s="13">
        <f ca="1">VLOOKUP($B40,'[4]Analisys QBR By Machine Report'!$C$109:$BD$166,52,FALSE)</f>
        <v>0</v>
      </c>
      <c r="BF40" s="13">
        <f ca="1">VLOOKUP($B40,'[4]Analisys QBR By Machine Report'!$C$109:$BD$166,53,FALSE)</f>
        <v>9570</v>
      </c>
    </row>
    <row r="41" spans="1:58" x14ac:dyDescent="0.25">
      <c r="A41" s="12" t="s">
        <v>97</v>
      </c>
      <c r="B41" s="13">
        <f ca="1">VLOOKUP($B41,'[4]Analisys QBR By Machine Report'!$C$109:$BD$166,2,FALSE)</f>
        <v>24480</v>
      </c>
      <c r="C41" s="14">
        <f ca="1">VLOOKUP($B41,[4]Dasboard_QBR_Report!$B$109:$BL$166,3,FALSE)</f>
        <v>15810</v>
      </c>
      <c r="D41" s="13">
        <f ca="1">VLOOKUP($B41,'[4]Analisys QBR By Machine Report'!$C$109:$BD$166,3,FALSE)</f>
        <v>10830</v>
      </c>
      <c r="E41" s="14">
        <f ca="1">VLOOKUP($B41,[4]Dasboard_QBR_Report!$B$109:$BL$166,5,FALSE)</f>
        <v>2160</v>
      </c>
      <c r="F41" s="13">
        <f t="shared" ca="1" si="0"/>
        <v>13650</v>
      </c>
      <c r="G41" s="13">
        <f t="shared" ca="1" si="1"/>
        <v>2735</v>
      </c>
      <c r="H41" s="13">
        <f ca="1">VLOOKUP($B41,'[4]Analisys QBR By Machine Report'!$C$109:$BD$166,4,FALSE)</f>
        <v>2735</v>
      </c>
      <c r="I41" s="13">
        <f ca="1">VLOOKUP($B41,'[4]Analisys QBR By Machine Report'!$C$109:$BD$166,5,FALSE)</f>
        <v>1310</v>
      </c>
      <c r="J41" s="13">
        <f ca="1">VLOOKUP($B41,'[4]Analisys QBR By Machine Report'!$C$109:$BD$166,6,FALSE)</f>
        <v>1425</v>
      </c>
      <c r="K41" s="13">
        <f ca="1">VLOOKUP($B41,'[4]Analisys QBR By Machine Report'!$C$109:$BD$166,7,FALSE)</f>
        <v>0</v>
      </c>
      <c r="L41" s="13">
        <f ca="1">VLOOKUP($B41,'[4]Analisys QBR By Machine Report'!$C$109:$BD$166,8,FALSE)</f>
        <v>10915</v>
      </c>
      <c r="M41" s="13">
        <f ca="1">VLOOKUP($B41,'[4]Analisys QBR By Machine Report'!$C$109:$BD$166,9,FALSE)</f>
        <v>4670</v>
      </c>
      <c r="N41" s="13">
        <f ca="1">VLOOKUP($B41,[4]Dasboard_QBR_Report!$B$109:$BL$166,18,FALSE)</f>
        <v>6245</v>
      </c>
      <c r="O41" s="13">
        <f ca="1">VLOOKUP($B41,'[4]Analisys QBR By Machine Report'!$C$109:$BD$166,10,FALSE)</f>
        <v>1255</v>
      </c>
      <c r="P41" s="13">
        <f ca="1">VLOOKUP($B41,'[4]Analisys QBR By Machine Report'!$C$109:$BD$166,11,FALSE)</f>
        <v>650</v>
      </c>
      <c r="Q41" s="13">
        <f ca="1">VLOOKUP($B41,'[4]Analisys QBR By Machine Report'!$C$109:$BD$166,12,FALSE)</f>
        <v>50</v>
      </c>
      <c r="R41" s="13">
        <f ca="1">VLOOKUP($B41,'[4]Analisys QBR By Machine Report'!$C$109:$BD$166,13,FALSE)</f>
        <v>95</v>
      </c>
      <c r="S41" s="13">
        <f ca="1">VLOOKUP($B41,'[4]Analisys QBR By Machine Report'!$C$109:$BD$166,14,FALSE)</f>
        <v>460</v>
      </c>
      <c r="T41" s="13">
        <f ca="1">VLOOKUP($B41,'[4]Analisys QBR By Machine Report'!$C$109:$BD$166,15,FALSE)</f>
        <v>0</v>
      </c>
      <c r="U41" s="13">
        <f ca="1">VLOOKUP($B41,'[4]Analisys QBR By Machine Report'!$C$109:$BD$166,16,FALSE)</f>
        <v>0</v>
      </c>
      <c r="V41" s="13">
        <f ca="1">VLOOKUP($B41,'[4]Analisys QBR By Machine Report'!$C$109:$BD$166,17,FALSE)</f>
        <v>0</v>
      </c>
      <c r="W41" s="13">
        <f ca="1">VLOOKUP($B41,'[4]Analisys QBR By Machine Report'!$C$109:$BD$166,18,FALSE)</f>
        <v>0</v>
      </c>
      <c r="X41" s="13">
        <f ca="1">VLOOKUP($B41,'[4]Analisys QBR By Machine Report'!$C$109:$BD$166,19,FALSE)</f>
        <v>0</v>
      </c>
      <c r="Y41" s="13">
        <f ca="1">VLOOKUP($B41,'[4]Analisys QBR By Machine Report'!$C$109:$BD$166,20,FALSE)</f>
        <v>0</v>
      </c>
      <c r="Z41" s="13">
        <f ca="1">VLOOKUP($B41,'[4]Analisys QBR By Machine Report'!$C$109:$BD$166,21,FALSE)</f>
        <v>915</v>
      </c>
      <c r="AA41" s="13">
        <f ca="1">VLOOKUP($B41,'[4]Analisys QBR By Machine Report'!$C$109:$BD$166,22,FALSE)</f>
        <v>630</v>
      </c>
      <c r="AB41" s="13">
        <f ca="1">VLOOKUP($B41,'[4]Analisys QBR By Machine Report'!$C$109:$BD$166,23,FALSE)</f>
        <v>285</v>
      </c>
      <c r="AC41" s="13">
        <f ca="1">VLOOKUP($B41,'[4]Analisys QBR By Machine Report'!$C$109:$BD$166,24,FALSE)</f>
        <v>0</v>
      </c>
      <c r="AD41" s="13">
        <f ca="1">VLOOKUP($B41,'[4]Analisys QBR By Machine Report'!$C$109:$BD$166,25,FALSE)</f>
        <v>0</v>
      </c>
      <c r="AE41" s="13">
        <f ca="1">VLOOKUP($B41,'[4]Analisys QBR By Machine Report'!$C$109:$BD$166,26,FALSE)</f>
        <v>0</v>
      </c>
      <c r="AF41" s="13">
        <f ca="1">VLOOKUP($B41,'[4]Analisys QBR By Machine Report'!$C$109:$BD$166,27,FALSE)</f>
        <v>0</v>
      </c>
      <c r="AG41" s="13">
        <f ca="1">VLOOKUP($B41,'[4]Analisys QBR By Machine Report'!$C$109:$BD$166,28,FALSE)</f>
        <v>0</v>
      </c>
      <c r="AH41" s="13">
        <f ca="1">VLOOKUP($B41,'[4]Analisys QBR By Machine Report'!$C$109:$BD$166,29,FALSE)</f>
        <v>0</v>
      </c>
      <c r="AI41" s="13">
        <f ca="1">VLOOKUP($B41,'[4]Analisys QBR By Machine Report'!$C$109:$BD$166,30,FALSE)</f>
        <v>4075</v>
      </c>
      <c r="AJ41" s="13">
        <f ca="1">VLOOKUP($B41,'[4]Analisys QBR By Machine Report'!$C$109:$BD$166,31,FALSE)</f>
        <v>0</v>
      </c>
      <c r="AK41" s="13">
        <f ca="1">VLOOKUP($B41,'[4]Analisys QBR By Machine Report'!$C$109:$BD$166,32,FALSE)</f>
        <v>0</v>
      </c>
      <c r="AL41" s="13">
        <f ca="1">VLOOKUP($B41,'[4]Analisys QBR By Machine Report'!$C$109:$BD$166,33,FALSE)</f>
        <v>720</v>
      </c>
      <c r="AM41" s="13">
        <f ca="1">VLOOKUP($B41,'[4]Analisys QBR By Machine Report'!$C$109:$BD$166,34,FALSE)</f>
        <v>0</v>
      </c>
      <c r="AN41" s="13">
        <f ca="1">VLOOKUP($B41,'[4]Analisys QBR By Machine Report'!$C$109:$BD$166,35,FALSE)</f>
        <v>390</v>
      </c>
      <c r="AO41" s="13">
        <f ca="1">VLOOKUP($B41,'[4]Analisys QBR By Machine Report'!$C$109:$BD$166,36,FALSE)</f>
        <v>800</v>
      </c>
      <c r="AP41" s="13">
        <f ca="1">VLOOKUP($B41,'[4]Analisys QBR By Machine Report'!$C$109:$BD$166,37,FALSE)</f>
        <v>0</v>
      </c>
      <c r="AQ41" s="13">
        <f ca="1">VLOOKUP($B41,'[4]Analisys QBR By Machine Report'!$C$109:$BD$166,38,FALSE)</f>
        <v>0</v>
      </c>
      <c r="AR41" s="13">
        <f ca="1">VLOOKUP($B41,'[4]Analisys QBR By Machine Report'!$C$109:$BD$166,39,FALSE)</f>
        <v>1830</v>
      </c>
      <c r="AS41" s="13">
        <f ca="1">VLOOKUP($B41,'[4]Analisys QBR By Machine Report'!$C$109:$BD$166,40,FALSE)</f>
        <v>155</v>
      </c>
      <c r="AT41" s="13">
        <f ca="1">VLOOKUP($B41,'[4]Analisys QBR By Machine Report'!$C$109:$BD$166,41,FALSE)</f>
        <v>0</v>
      </c>
      <c r="AU41" s="13">
        <f ca="1">VLOOKUP($B41,'[4]Analisys QBR By Machine Report'!$C$109:$BD$166,42,FALSE)</f>
        <v>0</v>
      </c>
      <c r="AV41" s="13">
        <f ca="1">VLOOKUP($B41,'[4]Analisys QBR By Machine Report'!$C$109:$BD$166,43,FALSE)</f>
        <v>0</v>
      </c>
      <c r="AW41" s="13">
        <f ca="1">VLOOKUP($B41,'[4]Analisys QBR By Machine Report'!$C$109:$BD$166,44,FALSE)</f>
        <v>0</v>
      </c>
      <c r="AX41" s="13">
        <f ca="1">VLOOKUP($B41,'[4]Analisys QBR By Machine Report'!$C$109:$BD$166,45,FALSE)</f>
        <v>0</v>
      </c>
      <c r="AY41" s="13">
        <f ca="1">VLOOKUP($B41,'[4]Analisys QBR By Machine Report'!$C$109:$BD$166,46,FALSE)</f>
        <v>0</v>
      </c>
      <c r="AZ41" s="13">
        <f ca="1">VLOOKUP($B41,'[4]Analisys QBR By Machine Report'!$C$109:$BD$166,47,FALSE)</f>
        <v>180</v>
      </c>
      <c r="BA41" s="13">
        <f ca="1">VLOOKUP($B41,'[4]Analisys QBR By Machine Report'!$C$109:$BD$166,48,FALSE)</f>
        <v>0</v>
      </c>
      <c r="BB41" s="13">
        <f ca="1">VLOOKUP($B41,'[4]Analisys QBR By Machine Report'!$C$109:$BD$166,49,FALSE)</f>
        <v>0</v>
      </c>
      <c r="BC41" s="13">
        <f ca="1">VLOOKUP($B41,'[4]Analisys QBR By Machine Report'!$C$109:$BD$166,50,FALSE)</f>
        <v>0</v>
      </c>
      <c r="BD41" s="13">
        <f ca="1">VLOOKUP($B41,'[4]Analisys QBR By Machine Report'!$C$109:$BD$166,51,FALSE)</f>
        <v>219997</v>
      </c>
      <c r="BE41" s="13">
        <f ca="1">VLOOKUP($B41,'[4]Analisys QBR By Machine Report'!$C$109:$BD$166,52,FALSE)</f>
        <v>0</v>
      </c>
      <c r="BF41" s="13">
        <f ca="1">VLOOKUP($B41,'[4]Analisys QBR By Machine Report'!$C$109:$BD$166,53,FALSE)</f>
        <v>219997</v>
      </c>
    </row>
    <row r="42" spans="1:58" x14ac:dyDescent="0.25">
      <c r="A42" s="12" t="s">
        <v>98</v>
      </c>
      <c r="B42" s="13">
        <f ca="1">VLOOKUP($B42,'[4]Analisys QBR By Machine Report'!$C$109:$BD$166,2,FALSE)</f>
        <v>24480</v>
      </c>
      <c r="C42" s="14">
        <f ca="1">VLOOKUP($B42,[4]Dasboard_QBR_Report!$B$109:$BL$166,3,FALSE)</f>
        <v>8160</v>
      </c>
      <c r="D42" s="13">
        <f ca="1">VLOOKUP($B42,'[4]Analisys QBR By Machine Report'!$C$109:$BD$166,3,FALSE)</f>
        <v>20400</v>
      </c>
      <c r="E42" s="14">
        <f ca="1">VLOOKUP($B42,[4]Dasboard_QBR_Report!$B$109:$BL$166,5,FALSE)</f>
        <v>4080</v>
      </c>
      <c r="F42" s="13">
        <f t="shared" ca="1" si="0"/>
        <v>4080</v>
      </c>
      <c r="G42" s="13">
        <f t="shared" ca="1" si="1"/>
        <v>945</v>
      </c>
      <c r="H42" s="13">
        <f ca="1">VLOOKUP($B42,'[4]Analisys QBR By Machine Report'!$C$109:$BD$166,4,FALSE)</f>
        <v>945</v>
      </c>
      <c r="I42" s="13">
        <f ca="1">VLOOKUP($B42,'[4]Analisys QBR By Machine Report'!$C$109:$BD$166,5,FALSE)</f>
        <v>505</v>
      </c>
      <c r="J42" s="13">
        <f ca="1">VLOOKUP($B42,'[4]Analisys QBR By Machine Report'!$C$109:$BD$166,6,FALSE)</f>
        <v>440</v>
      </c>
      <c r="K42" s="13">
        <f ca="1">VLOOKUP($B42,'[4]Analisys QBR By Machine Report'!$C$109:$BD$166,7,FALSE)</f>
        <v>0</v>
      </c>
      <c r="L42" s="13">
        <f ca="1">VLOOKUP($B42,'[4]Analisys QBR By Machine Report'!$C$109:$BD$166,8,FALSE)</f>
        <v>3135</v>
      </c>
      <c r="M42" s="13">
        <f ca="1">VLOOKUP($B42,'[4]Analisys QBR By Machine Report'!$C$109:$BD$166,9,FALSE)</f>
        <v>1064</v>
      </c>
      <c r="N42" s="13">
        <f ca="1">VLOOKUP($B42,[4]Dasboard_QBR_Report!$B$109:$BL$166,18,FALSE)</f>
        <v>2071</v>
      </c>
      <c r="O42" s="13">
        <f ca="1">VLOOKUP($B42,'[4]Analisys QBR By Machine Report'!$C$109:$BD$166,10,FALSE)</f>
        <v>718</v>
      </c>
      <c r="P42" s="13">
        <f ca="1">VLOOKUP($B42,'[4]Analisys QBR By Machine Report'!$C$109:$BD$166,11,FALSE)</f>
        <v>460</v>
      </c>
      <c r="Q42" s="13">
        <f ca="1">VLOOKUP($B42,'[4]Analisys QBR By Machine Report'!$C$109:$BD$166,12,FALSE)</f>
        <v>35</v>
      </c>
      <c r="R42" s="13">
        <f ca="1">VLOOKUP($B42,'[4]Analisys QBR By Machine Report'!$C$109:$BD$166,13,FALSE)</f>
        <v>40</v>
      </c>
      <c r="S42" s="13">
        <f ca="1">VLOOKUP($B42,'[4]Analisys QBR By Machine Report'!$C$109:$BD$166,14,FALSE)</f>
        <v>183</v>
      </c>
      <c r="T42" s="13">
        <f ca="1">VLOOKUP($B42,'[4]Analisys QBR By Machine Report'!$C$109:$BD$166,15,FALSE)</f>
        <v>575</v>
      </c>
      <c r="U42" s="13">
        <f ca="1">VLOOKUP($B42,'[4]Analisys QBR By Machine Report'!$C$109:$BD$166,16,FALSE)</f>
        <v>575</v>
      </c>
      <c r="V42" s="13">
        <f ca="1">VLOOKUP($B42,'[4]Analisys QBR By Machine Report'!$C$109:$BD$166,17,FALSE)</f>
        <v>0</v>
      </c>
      <c r="W42" s="13">
        <f ca="1">VLOOKUP($B42,'[4]Analisys QBR By Machine Report'!$C$109:$BD$166,18,FALSE)</f>
        <v>0</v>
      </c>
      <c r="X42" s="13">
        <f ca="1">VLOOKUP($B42,'[4]Analisys QBR By Machine Report'!$C$109:$BD$166,19,FALSE)</f>
        <v>0</v>
      </c>
      <c r="Y42" s="13">
        <f ca="1">VLOOKUP($B42,'[4]Analisys QBR By Machine Report'!$C$109:$BD$166,20,FALSE)</f>
        <v>0</v>
      </c>
      <c r="Z42" s="13">
        <f ca="1">VLOOKUP($B42,'[4]Analisys QBR By Machine Report'!$C$109:$BD$166,21,FALSE)</f>
        <v>353</v>
      </c>
      <c r="AA42" s="13">
        <f ca="1">VLOOKUP($B42,'[4]Analisys QBR By Machine Report'!$C$109:$BD$166,22,FALSE)</f>
        <v>213</v>
      </c>
      <c r="AB42" s="13">
        <f ca="1">VLOOKUP($B42,'[4]Analisys QBR By Machine Report'!$C$109:$BD$166,23,FALSE)</f>
        <v>135</v>
      </c>
      <c r="AC42" s="13">
        <f ca="1">VLOOKUP($B42,'[4]Analisys QBR By Machine Report'!$C$109:$BD$166,24,FALSE)</f>
        <v>0</v>
      </c>
      <c r="AD42" s="13">
        <f ca="1">VLOOKUP($B42,'[4]Analisys QBR By Machine Report'!$C$109:$BD$166,25,FALSE)</f>
        <v>0</v>
      </c>
      <c r="AE42" s="13">
        <f ca="1">VLOOKUP($B42,'[4]Analisys QBR By Machine Report'!$C$109:$BD$166,26,FALSE)</f>
        <v>5</v>
      </c>
      <c r="AF42" s="13">
        <f ca="1">VLOOKUP($B42,'[4]Analisys QBR By Machine Report'!$C$109:$BD$166,27,FALSE)</f>
        <v>0</v>
      </c>
      <c r="AG42" s="13">
        <f ca="1">VLOOKUP($B42,'[4]Analisys QBR By Machine Report'!$C$109:$BD$166,28,FALSE)</f>
        <v>0</v>
      </c>
      <c r="AH42" s="13">
        <f ca="1">VLOOKUP($B42,'[4]Analisys QBR By Machine Report'!$C$109:$BD$166,29,FALSE)</f>
        <v>0</v>
      </c>
      <c r="AI42" s="13">
        <f ca="1">VLOOKUP($B42,'[4]Analisys QBR By Machine Report'!$C$109:$BD$166,30,FALSE)</f>
        <v>425</v>
      </c>
      <c r="AJ42" s="13">
        <f ca="1">VLOOKUP($B42,'[4]Analisys QBR By Machine Report'!$C$109:$BD$166,31,FALSE)</f>
        <v>0</v>
      </c>
      <c r="AK42" s="13">
        <f ca="1">VLOOKUP($B42,'[4]Analisys QBR By Machine Report'!$C$109:$BD$166,32,FALSE)</f>
        <v>0</v>
      </c>
      <c r="AL42" s="13">
        <f ca="1">VLOOKUP($B42,'[4]Analisys QBR By Machine Report'!$C$109:$BD$166,33,FALSE)</f>
        <v>210</v>
      </c>
      <c r="AM42" s="13">
        <f ca="1">VLOOKUP($B42,'[4]Analisys QBR By Machine Report'!$C$109:$BD$166,34,FALSE)</f>
        <v>0</v>
      </c>
      <c r="AN42" s="13">
        <f ca="1">VLOOKUP($B42,'[4]Analisys QBR By Machine Report'!$C$109:$BD$166,35,FALSE)</f>
        <v>105</v>
      </c>
      <c r="AO42" s="13">
        <f ca="1">VLOOKUP($B42,'[4]Analisys QBR By Machine Report'!$C$109:$BD$166,36,FALSE)</f>
        <v>0</v>
      </c>
      <c r="AP42" s="13">
        <f ca="1">VLOOKUP($B42,'[4]Analisys QBR By Machine Report'!$C$109:$BD$166,37,FALSE)</f>
        <v>0</v>
      </c>
      <c r="AQ42" s="13">
        <f ca="1">VLOOKUP($B42,'[4]Analisys QBR By Machine Report'!$C$109:$BD$166,38,FALSE)</f>
        <v>0</v>
      </c>
      <c r="AR42" s="13">
        <f ca="1">VLOOKUP($B42,'[4]Analisys QBR By Machine Report'!$C$109:$BD$166,39,FALSE)</f>
        <v>0</v>
      </c>
      <c r="AS42" s="13">
        <f ca="1">VLOOKUP($B42,'[4]Analisys QBR By Machine Report'!$C$109:$BD$166,40,FALSE)</f>
        <v>50</v>
      </c>
      <c r="AT42" s="13">
        <f ca="1">VLOOKUP($B42,'[4]Analisys QBR By Machine Report'!$C$109:$BD$166,41,FALSE)</f>
        <v>0</v>
      </c>
      <c r="AU42" s="13">
        <f ca="1">VLOOKUP($B42,'[4]Analisys QBR By Machine Report'!$C$109:$BD$166,42,FALSE)</f>
        <v>0</v>
      </c>
      <c r="AV42" s="13">
        <f ca="1">VLOOKUP($B42,'[4]Analisys QBR By Machine Report'!$C$109:$BD$166,43,FALSE)</f>
        <v>0</v>
      </c>
      <c r="AW42" s="13">
        <f ca="1">VLOOKUP($B42,'[4]Analisys QBR By Machine Report'!$C$109:$BD$166,44,FALSE)</f>
        <v>0</v>
      </c>
      <c r="AX42" s="13">
        <f ca="1">VLOOKUP($B42,'[4]Analisys QBR By Machine Report'!$C$109:$BD$166,45,FALSE)</f>
        <v>0</v>
      </c>
      <c r="AY42" s="13">
        <f ca="1">VLOOKUP($B42,'[4]Analisys QBR By Machine Report'!$C$109:$BD$166,46,FALSE)</f>
        <v>0</v>
      </c>
      <c r="AZ42" s="13">
        <f ca="1">VLOOKUP($B42,'[4]Analisys QBR By Machine Report'!$C$109:$BD$166,47,FALSE)</f>
        <v>60</v>
      </c>
      <c r="BA42" s="13">
        <f ca="1">VLOOKUP($B42,'[4]Analisys QBR By Machine Report'!$C$109:$BD$166,48,FALSE)</f>
        <v>0</v>
      </c>
      <c r="BB42" s="13">
        <f ca="1">VLOOKUP($B42,'[4]Analisys QBR By Machine Report'!$C$109:$BD$166,49,FALSE)</f>
        <v>0</v>
      </c>
      <c r="BC42" s="13">
        <f ca="1">VLOOKUP($B42,'[4]Analisys QBR By Machine Report'!$C$109:$BD$166,50,FALSE)</f>
        <v>0</v>
      </c>
      <c r="BD42" s="13">
        <f ca="1">VLOOKUP($B42,'[4]Analisys QBR By Machine Report'!$C$109:$BD$166,51,FALSE)</f>
        <v>246158</v>
      </c>
      <c r="BE42" s="13">
        <f ca="1">VLOOKUP($B42,'[4]Analisys QBR By Machine Report'!$C$109:$BD$166,52,FALSE)</f>
        <v>16</v>
      </c>
      <c r="BF42" s="13">
        <f ca="1">VLOOKUP($B42,'[4]Analisys QBR By Machine Report'!$C$109:$BD$166,53,FALSE)</f>
        <v>246142</v>
      </c>
    </row>
    <row r="43" spans="1:58" x14ac:dyDescent="0.25">
      <c r="A43" s="9" t="s">
        <v>99</v>
      </c>
      <c r="B43" s="10">
        <f ca="1">VLOOKUP($B43,'[4]Analisys QBR By Machine Report'!$C$109:$BD$166,2,FALSE)</f>
        <v>24480</v>
      </c>
      <c r="C43" s="11">
        <f ca="1">VLOOKUP($B43,[4]Dasboard_QBR_Report!$B$109:$BL$166,3,FALSE)</f>
        <v>8160</v>
      </c>
      <c r="D43" s="10">
        <f ca="1">VLOOKUP($B43,'[4]Analisys QBR By Machine Report'!$C$109:$BD$166,3,FALSE)</f>
        <v>22440</v>
      </c>
      <c r="E43" s="11">
        <f ca="1">VLOOKUP($B43,[4]Dasboard_QBR_Report!$B$109:$BL$166,5,FALSE)</f>
        <v>6120</v>
      </c>
      <c r="F43" s="10">
        <f t="shared" ca="1" si="0"/>
        <v>2040</v>
      </c>
      <c r="G43" s="10">
        <f t="shared" ca="1" si="1"/>
        <v>230</v>
      </c>
      <c r="H43" s="10">
        <f ca="1">VLOOKUP($B43,'[4]Analisys QBR By Machine Report'!$C$109:$BD$166,4,FALSE)</f>
        <v>230</v>
      </c>
      <c r="I43" s="10">
        <f ca="1">VLOOKUP($B43,'[4]Analisys QBR By Machine Report'!$C$109:$BD$166,5,FALSE)</f>
        <v>0</v>
      </c>
      <c r="J43" s="10">
        <f ca="1">VLOOKUP($B43,'[4]Analisys QBR By Machine Report'!$C$109:$BD$166,6,FALSE)</f>
        <v>230</v>
      </c>
      <c r="K43" s="10">
        <f ca="1">VLOOKUP($B43,'[4]Analisys QBR By Machine Report'!$C$109:$BD$166,7,FALSE)</f>
        <v>0</v>
      </c>
      <c r="L43" s="10">
        <f ca="1">VLOOKUP($B43,'[4]Analisys QBR By Machine Report'!$C$109:$BD$166,8,FALSE)</f>
        <v>1810</v>
      </c>
      <c r="M43" s="10">
        <f ca="1">VLOOKUP($B43,'[4]Analisys QBR By Machine Report'!$C$109:$BD$166,9,FALSE)</f>
        <v>92</v>
      </c>
      <c r="N43" s="10">
        <f ca="1">VLOOKUP($B43,[4]Dasboard_QBR_Report!$B$109:$BL$166,18,FALSE)</f>
        <v>1718</v>
      </c>
      <c r="O43" s="10">
        <f ca="1">VLOOKUP($B43,'[4]Analisys QBR By Machine Report'!$C$109:$BD$166,10,FALSE)</f>
        <v>38</v>
      </c>
      <c r="P43" s="10">
        <f ca="1">VLOOKUP($B43,'[4]Analisys QBR By Machine Report'!$C$109:$BD$166,11,FALSE)</f>
        <v>28</v>
      </c>
      <c r="Q43" s="10">
        <f ca="1">VLOOKUP($B43,'[4]Analisys QBR By Machine Report'!$C$109:$BD$166,12,FALSE)</f>
        <v>10</v>
      </c>
      <c r="R43" s="10">
        <f ca="1">VLOOKUP($B43,'[4]Analisys QBR By Machine Report'!$C$109:$BD$166,13,FALSE)</f>
        <v>0</v>
      </c>
      <c r="S43" s="10">
        <f ca="1">VLOOKUP($B43,'[4]Analisys QBR By Machine Report'!$C$109:$BD$166,14,FALSE)</f>
        <v>0</v>
      </c>
      <c r="T43" s="10">
        <f ca="1">VLOOKUP($B43,'[4]Analisys QBR By Machine Report'!$C$109:$BD$166,15,FALSE)</f>
        <v>0</v>
      </c>
      <c r="U43" s="10">
        <f ca="1">VLOOKUP($B43,'[4]Analisys QBR By Machine Report'!$C$109:$BD$166,16,FALSE)</f>
        <v>0</v>
      </c>
      <c r="V43" s="10">
        <f ca="1">VLOOKUP($B43,'[4]Analisys QBR By Machine Report'!$C$109:$BD$166,17,FALSE)</f>
        <v>0</v>
      </c>
      <c r="W43" s="10">
        <f ca="1">VLOOKUP($B43,'[4]Analisys QBR By Machine Report'!$C$109:$BD$166,18,FALSE)</f>
        <v>0</v>
      </c>
      <c r="X43" s="10">
        <f ca="1">VLOOKUP($B43,'[4]Analisys QBR By Machine Report'!$C$109:$BD$166,19,FALSE)</f>
        <v>0</v>
      </c>
      <c r="Y43" s="10">
        <f ca="1">VLOOKUP($B43,'[4]Analisys QBR By Machine Report'!$C$109:$BD$166,20,FALSE)</f>
        <v>0</v>
      </c>
      <c r="Z43" s="10">
        <f ca="1">VLOOKUP($B43,'[4]Analisys QBR By Machine Report'!$C$109:$BD$166,21,FALSE)</f>
        <v>1423</v>
      </c>
      <c r="AA43" s="10">
        <f ca="1">VLOOKUP($B43,'[4]Analisys QBR By Machine Report'!$C$109:$BD$166,22,FALSE)</f>
        <v>1273</v>
      </c>
      <c r="AB43" s="10">
        <f ca="1">VLOOKUP($B43,'[4]Analisys QBR By Machine Report'!$C$109:$BD$166,23,FALSE)</f>
        <v>130</v>
      </c>
      <c r="AC43" s="10">
        <f ca="1">VLOOKUP($B43,'[4]Analisys QBR By Machine Report'!$C$109:$BD$166,24,FALSE)</f>
        <v>0</v>
      </c>
      <c r="AD43" s="10">
        <f ca="1">VLOOKUP($B43,'[4]Analisys QBR By Machine Report'!$C$109:$BD$166,25,FALSE)</f>
        <v>0</v>
      </c>
      <c r="AE43" s="10">
        <f ca="1">VLOOKUP($B43,'[4]Analisys QBR By Machine Report'!$C$109:$BD$166,26,FALSE)</f>
        <v>20</v>
      </c>
      <c r="AF43" s="10">
        <f ca="1">VLOOKUP($B43,'[4]Analisys QBR By Machine Report'!$C$109:$BD$166,27,FALSE)</f>
        <v>0</v>
      </c>
      <c r="AG43" s="10">
        <f ca="1">VLOOKUP($B43,'[4]Analisys QBR By Machine Report'!$C$109:$BD$166,28,FALSE)</f>
        <v>0</v>
      </c>
      <c r="AH43" s="10">
        <f ca="1">VLOOKUP($B43,'[4]Analisys QBR By Machine Report'!$C$109:$BD$166,29,FALSE)</f>
        <v>0</v>
      </c>
      <c r="AI43" s="10">
        <f ca="1">VLOOKUP($B43,'[4]Analisys QBR By Machine Report'!$C$109:$BD$166,30,FALSE)</f>
        <v>257</v>
      </c>
      <c r="AJ43" s="10">
        <f ca="1">VLOOKUP($B43,'[4]Analisys QBR By Machine Report'!$C$109:$BD$166,31,FALSE)</f>
        <v>160</v>
      </c>
      <c r="AK43" s="10">
        <f ca="1">VLOOKUP($B43,'[4]Analisys QBR By Machine Report'!$C$109:$BD$166,32,FALSE)</f>
        <v>0</v>
      </c>
      <c r="AL43" s="10">
        <f ca="1">VLOOKUP($B43,'[4]Analisys QBR By Machine Report'!$C$109:$BD$166,33,FALSE)</f>
        <v>60</v>
      </c>
      <c r="AM43" s="10">
        <f ca="1">VLOOKUP($B43,'[4]Analisys QBR By Machine Report'!$C$109:$BD$166,34,FALSE)</f>
        <v>0</v>
      </c>
      <c r="AN43" s="10">
        <f ca="1">VLOOKUP($B43,'[4]Analisys QBR By Machine Report'!$C$109:$BD$166,35,FALSE)</f>
        <v>30</v>
      </c>
      <c r="AO43" s="10">
        <f ca="1">VLOOKUP($B43,'[4]Analisys QBR By Machine Report'!$C$109:$BD$166,36,FALSE)</f>
        <v>0</v>
      </c>
      <c r="AP43" s="10">
        <f ca="1">VLOOKUP($B43,'[4]Analisys QBR By Machine Report'!$C$109:$BD$166,37,FALSE)</f>
        <v>0</v>
      </c>
      <c r="AQ43" s="10">
        <f ca="1">VLOOKUP($B43,'[4]Analisys QBR By Machine Report'!$C$109:$BD$166,38,FALSE)</f>
        <v>0</v>
      </c>
      <c r="AR43" s="10">
        <f ca="1">VLOOKUP($B43,'[4]Analisys QBR By Machine Report'!$C$109:$BD$166,39,FALSE)</f>
        <v>0</v>
      </c>
      <c r="AS43" s="10">
        <f ca="1">VLOOKUP($B43,'[4]Analisys QBR By Machine Report'!$C$109:$BD$166,40,FALSE)</f>
        <v>0</v>
      </c>
      <c r="AT43" s="10">
        <f ca="1">VLOOKUP($B43,'[4]Analisys QBR By Machine Report'!$C$109:$BD$166,41,FALSE)</f>
        <v>0</v>
      </c>
      <c r="AU43" s="10">
        <f ca="1">VLOOKUP($B43,'[4]Analisys QBR By Machine Report'!$C$109:$BD$166,42,FALSE)</f>
        <v>0</v>
      </c>
      <c r="AV43" s="10">
        <f ca="1">VLOOKUP($B43,'[4]Analisys QBR By Machine Report'!$C$109:$BD$166,43,FALSE)</f>
        <v>0</v>
      </c>
      <c r="AW43" s="10">
        <f ca="1">VLOOKUP($B43,'[4]Analisys QBR By Machine Report'!$C$109:$BD$166,44,FALSE)</f>
        <v>0</v>
      </c>
      <c r="AX43" s="10">
        <f ca="1">VLOOKUP($B43,'[4]Analisys QBR By Machine Report'!$C$109:$BD$166,45,FALSE)</f>
        <v>0</v>
      </c>
      <c r="AY43" s="10">
        <f ca="1">VLOOKUP($B43,'[4]Analisys QBR By Machine Report'!$C$109:$BD$166,46,FALSE)</f>
        <v>0</v>
      </c>
      <c r="AZ43" s="10">
        <f ca="1">VLOOKUP($B43,'[4]Analisys QBR By Machine Report'!$C$109:$BD$166,47,FALSE)</f>
        <v>7</v>
      </c>
      <c r="BA43" s="10">
        <f ca="1">VLOOKUP($B43,'[4]Analisys QBR By Machine Report'!$C$109:$BD$166,48,FALSE)</f>
        <v>0</v>
      </c>
      <c r="BB43" s="10">
        <f ca="1">VLOOKUP($B43,'[4]Analisys QBR By Machine Report'!$C$109:$BD$166,49,FALSE)</f>
        <v>0</v>
      </c>
      <c r="BC43" s="10">
        <f ca="1">VLOOKUP($B43,'[4]Analisys QBR By Machine Report'!$C$109:$BD$166,50,FALSE)</f>
        <v>0</v>
      </c>
      <c r="BD43" s="10">
        <f ca="1">VLOOKUP($B43,'[4]Analisys QBR By Machine Report'!$C$109:$BD$166,51,FALSE)</f>
        <v>404.58</v>
      </c>
      <c r="BE43" s="10">
        <f ca="1">VLOOKUP($B43,'[4]Analisys QBR By Machine Report'!$C$109:$BD$166,52,FALSE)</f>
        <v>0.18</v>
      </c>
      <c r="BF43" s="10">
        <f ca="1">VLOOKUP($B43,'[4]Analisys QBR By Machine Report'!$C$109:$BD$166,53,FALSE)</f>
        <v>404.4</v>
      </c>
    </row>
    <row r="44" spans="1:58" x14ac:dyDescent="0.25">
      <c r="A44" s="12" t="s">
        <v>100</v>
      </c>
      <c r="B44" s="13">
        <f ca="1">VLOOKUP($B44,'[4]Analisys QBR By Machine Report'!$C$109:$BD$166,2,FALSE)</f>
        <v>24480</v>
      </c>
      <c r="C44" s="14">
        <f ca="1">VLOOKUP($B44,[4]Dasboard_QBR_Report!$B$109:$BL$166,3,FALSE)</f>
        <v>8160</v>
      </c>
      <c r="D44" s="13">
        <f ca="1">VLOOKUP($B44,'[4]Analisys QBR By Machine Report'!$C$109:$BD$166,3,FALSE)</f>
        <v>22440</v>
      </c>
      <c r="E44" s="14">
        <f ca="1">VLOOKUP($B44,[4]Dasboard_QBR_Report!$B$109:$BL$166,5,FALSE)</f>
        <v>6120</v>
      </c>
      <c r="F44" s="13">
        <f t="shared" ca="1" si="0"/>
        <v>2040</v>
      </c>
      <c r="G44" s="13">
        <f t="shared" ca="1" si="1"/>
        <v>230</v>
      </c>
      <c r="H44" s="13">
        <f ca="1">VLOOKUP($B44,'[4]Analisys QBR By Machine Report'!$C$109:$BD$166,4,FALSE)</f>
        <v>230</v>
      </c>
      <c r="I44" s="13">
        <f ca="1">VLOOKUP($B44,'[4]Analisys QBR By Machine Report'!$C$109:$BD$166,5,FALSE)</f>
        <v>0</v>
      </c>
      <c r="J44" s="13">
        <f ca="1">VLOOKUP($B44,'[4]Analisys QBR By Machine Report'!$C$109:$BD$166,6,FALSE)</f>
        <v>230</v>
      </c>
      <c r="K44" s="13">
        <f ca="1">VLOOKUP($B44,'[4]Analisys QBR By Machine Report'!$C$109:$BD$166,7,FALSE)</f>
        <v>0</v>
      </c>
      <c r="L44" s="13">
        <f ca="1">VLOOKUP($B44,'[4]Analisys QBR By Machine Report'!$C$109:$BD$166,8,FALSE)</f>
        <v>1810</v>
      </c>
      <c r="M44" s="13">
        <f ca="1">VLOOKUP($B44,'[4]Analisys QBR By Machine Report'!$C$109:$BD$166,9,FALSE)</f>
        <v>92</v>
      </c>
      <c r="N44" s="13">
        <f ca="1">VLOOKUP($B44,[4]Dasboard_QBR_Report!$B$109:$BL$166,18,FALSE)</f>
        <v>1718</v>
      </c>
      <c r="O44" s="13">
        <f ca="1">VLOOKUP($B44,'[4]Analisys QBR By Machine Report'!$C$109:$BD$166,10,FALSE)</f>
        <v>38</v>
      </c>
      <c r="P44" s="13">
        <f ca="1">VLOOKUP($B44,'[4]Analisys QBR By Machine Report'!$C$109:$BD$166,11,FALSE)</f>
        <v>28</v>
      </c>
      <c r="Q44" s="13">
        <f ca="1">VLOOKUP($B44,'[4]Analisys QBR By Machine Report'!$C$109:$BD$166,12,FALSE)</f>
        <v>10</v>
      </c>
      <c r="R44" s="13">
        <f ca="1">VLOOKUP($B44,'[4]Analisys QBR By Machine Report'!$C$109:$BD$166,13,FALSE)</f>
        <v>0</v>
      </c>
      <c r="S44" s="13">
        <f ca="1">VLOOKUP($B44,'[4]Analisys QBR By Machine Report'!$C$109:$BD$166,14,FALSE)</f>
        <v>0</v>
      </c>
      <c r="T44" s="13">
        <f ca="1">VLOOKUP($B44,'[4]Analisys QBR By Machine Report'!$C$109:$BD$166,15,FALSE)</f>
        <v>0</v>
      </c>
      <c r="U44" s="13">
        <f ca="1">VLOOKUP($B44,'[4]Analisys QBR By Machine Report'!$C$109:$BD$166,16,FALSE)</f>
        <v>0</v>
      </c>
      <c r="V44" s="13">
        <f ca="1">VLOOKUP($B44,'[4]Analisys QBR By Machine Report'!$C$109:$BD$166,17,FALSE)</f>
        <v>0</v>
      </c>
      <c r="W44" s="13">
        <f ca="1">VLOOKUP($B44,'[4]Analisys QBR By Machine Report'!$C$109:$BD$166,18,FALSE)</f>
        <v>0</v>
      </c>
      <c r="X44" s="13">
        <f ca="1">VLOOKUP($B44,'[4]Analisys QBR By Machine Report'!$C$109:$BD$166,19,FALSE)</f>
        <v>0</v>
      </c>
      <c r="Y44" s="13">
        <f ca="1">VLOOKUP($B44,'[4]Analisys QBR By Machine Report'!$C$109:$BD$166,20,FALSE)</f>
        <v>0</v>
      </c>
      <c r="Z44" s="13">
        <f ca="1">VLOOKUP($B44,'[4]Analisys QBR By Machine Report'!$C$109:$BD$166,21,FALSE)</f>
        <v>1423</v>
      </c>
      <c r="AA44" s="13">
        <f ca="1">VLOOKUP($B44,'[4]Analisys QBR By Machine Report'!$C$109:$BD$166,22,FALSE)</f>
        <v>1273</v>
      </c>
      <c r="AB44" s="13">
        <f ca="1">VLOOKUP($B44,'[4]Analisys QBR By Machine Report'!$C$109:$BD$166,23,FALSE)</f>
        <v>130</v>
      </c>
      <c r="AC44" s="13">
        <f ca="1">VLOOKUP($B44,'[4]Analisys QBR By Machine Report'!$C$109:$BD$166,24,FALSE)</f>
        <v>0</v>
      </c>
      <c r="AD44" s="13">
        <f ca="1">VLOOKUP($B44,'[4]Analisys QBR By Machine Report'!$C$109:$BD$166,25,FALSE)</f>
        <v>0</v>
      </c>
      <c r="AE44" s="13">
        <f ca="1">VLOOKUP($B44,'[4]Analisys QBR By Machine Report'!$C$109:$BD$166,26,FALSE)</f>
        <v>20</v>
      </c>
      <c r="AF44" s="13">
        <f ca="1">VLOOKUP($B44,'[4]Analisys QBR By Machine Report'!$C$109:$BD$166,27,FALSE)</f>
        <v>0</v>
      </c>
      <c r="AG44" s="13">
        <f ca="1">VLOOKUP($B44,'[4]Analisys QBR By Machine Report'!$C$109:$BD$166,28,FALSE)</f>
        <v>0</v>
      </c>
      <c r="AH44" s="13">
        <f ca="1">VLOOKUP($B44,'[4]Analisys QBR By Machine Report'!$C$109:$BD$166,29,FALSE)</f>
        <v>0</v>
      </c>
      <c r="AI44" s="13">
        <f ca="1">VLOOKUP($B44,'[4]Analisys QBR By Machine Report'!$C$109:$BD$166,30,FALSE)</f>
        <v>257</v>
      </c>
      <c r="AJ44" s="13">
        <f ca="1">VLOOKUP($B44,'[4]Analisys QBR By Machine Report'!$C$109:$BD$166,31,FALSE)</f>
        <v>160</v>
      </c>
      <c r="AK44" s="13">
        <f ca="1">VLOOKUP($B44,'[4]Analisys QBR By Machine Report'!$C$109:$BD$166,32,FALSE)</f>
        <v>0</v>
      </c>
      <c r="AL44" s="13">
        <f ca="1">VLOOKUP($B44,'[4]Analisys QBR By Machine Report'!$C$109:$BD$166,33,FALSE)</f>
        <v>60</v>
      </c>
      <c r="AM44" s="13">
        <f ca="1">VLOOKUP($B44,'[4]Analisys QBR By Machine Report'!$C$109:$BD$166,34,FALSE)</f>
        <v>0</v>
      </c>
      <c r="AN44" s="13">
        <f ca="1">VLOOKUP($B44,'[4]Analisys QBR By Machine Report'!$C$109:$BD$166,35,FALSE)</f>
        <v>30</v>
      </c>
      <c r="AO44" s="13">
        <f ca="1">VLOOKUP($B44,'[4]Analisys QBR By Machine Report'!$C$109:$BD$166,36,FALSE)</f>
        <v>0</v>
      </c>
      <c r="AP44" s="13">
        <f ca="1">VLOOKUP($B44,'[4]Analisys QBR By Machine Report'!$C$109:$BD$166,37,FALSE)</f>
        <v>0</v>
      </c>
      <c r="AQ44" s="13">
        <f ca="1">VLOOKUP($B44,'[4]Analisys QBR By Machine Report'!$C$109:$BD$166,38,FALSE)</f>
        <v>0</v>
      </c>
      <c r="AR44" s="13">
        <f ca="1">VLOOKUP($B44,'[4]Analisys QBR By Machine Report'!$C$109:$BD$166,39,FALSE)</f>
        <v>0</v>
      </c>
      <c r="AS44" s="13">
        <f ca="1">VLOOKUP($B44,'[4]Analisys QBR By Machine Report'!$C$109:$BD$166,40,FALSE)</f>
        <v>0</v>
      </c>
      <c r="AT44" s="13">
        <f ca="1">VLOOKUP($B44,'[4]Analisys QBR By Machine Report'!$C$109:$BD$166,41,FALSE)</f>
        <v>0</v>
      </c>
      <c r="AU44" s="13">
        <f ca="1">VLOOKUP($B44,'[4]Analisys QBR By Machine Report'!$C$109:$BD$166,42,FALSE)</f>
        <v>0</v>
      </c>
      <c r="AV44" s="13">
        <f ca="1">VLOOKUP($B44,'[4]Analisys QBR By Machine Report'!$C$109:$BD$166,43,FALSE)</f>
        <v>0</v>
      </c>
      <c r="AW44" s="13">
        <f ca="1">VLOOKUP($B44,'[4]Analisys QBR By Machine Report'!$C$109:$BD$166,44,FALSE)</f>
        <v>0</v>
      </c>
      <c r="AX44" s="13">
        <f ca="1">VLOOKUP($B44,'[4]Analisys QBR By Machine Report'!$C$109:$BD$166,45,FALSE)</f>
        <v>0</v>
      </c>
      <c r="AY44" s="13">
        <f ca="1">VLOOKUP($B44,'[4]Analisys QBR By Machine Report'!$C$109:$BD$166,46,FALSE)</f>
        <v>0</v>
      </c>
      <c r="AZ44" s="13">
        <f ca="1">VLOOKUP($B44,'[4]Analisys QBR By Machine Report'!$C$109:$BD$166,47,FALSE)</f>
        <v>7</v>
      </c>
      <c r="BA44" s="13">
        <f ca="1">VLOOKUP($B44,'[4]Analisys QBR By Machine Report'!$C$109:$BD$166,48,FALSE)</f>
        <v>0</v>
      </c>
      <c r="BB44" s="13">
        <f ca="1">VLOOKUP($B44,'[4]Analisys QBR By Machine Report'!$C$109:$BD$166,49,FALSE)</f>
        <v>0</v>
      </c>
      <c r="BC44" s="13">
        <f ca="1">VLOOKUP($B44,'[4]Analisys QBR By Machine Report'!$C$109:$BD$166,50,FALSE)</f>
        <v>0</v>
      </c>
      <c r="BD44" s="13">
        <f ca="1">VLOOKUP($B44,'[4]Analisys QBR By Machine Report'!$C$109:$BD$166,51,FALSE)</f>
        <v>404.58</v>
      </c>
      <c r="BE44" s="13">
        <f ca="1">VLOOKUP($B44,'[4]Analisys QBR By Machine Report'!$C$109:$BD$166,52,FALSE)</f>
        <v>0.18</v>
      </c>
      <c r="BF44" s="13">
        <f ca="1">VLOOKUP($B44,'[4]Analisys QBR By Machine Report'!$C$109:$BD$166,53,FALSE)</f>
        <v>404.4</v>
      </c>
    </row>
    <row r="45" spans="1:58" x14ac:dyDescent="0.25">
      <c r="A45" s="9" t="s">
        <v>101</v>
      </c>
      <c r="B45" s="10">
        <f ca="1">VLOOKUP($B45,'[4]Analisys QBR By Machine Report'!$C$109:$BD$166,2,FALSE)</f>
        <v>24480</v>
      </c>
      <c r="C45" s="11">
        <f ca="1">VLOOKUP($B45,[4]Dasboard_QBR_Report!$B$109:$BL$166,3,FALSE)</f>
        <v>8160</v>
      </c>
      <c r="D45" s="10">
        <f ca="1">VLOOKUP($B45,'[4]Analisys QBR By Machine Report'!$C$109:$BD$166,3,FALSE)</f>
        <v>22950</v>
      </c>
      <c r="E45" s="11">
        <f ca="1">VLOOKUP($B45,[4]Dasboard_QBR_Report!$B$109:$BL$166,5,FALSE)</f>
        <v>6630</v>
      </c>
      <c r="F45" s="10">
        <f t="shared" ca="1" si="0"/>
        <v>1530</v>
      </c>
      <c r="G45" s="10">
        <f t="shared" ca="1" si="1"/>
        <v>90</v>
      </c>
      <c r="H45" s="10">
        <f ca="1">VLOOKUP($B45,'[4]Analisys QBR By Machine Report'!$C$109:$BD$166,4,FALSE)</f>
        <v>90</v>
      </c>
      <c r="I45" s="10">
        <f ca="1">VLOOKUP($B45,'[4]Analisys QBR By Machine Report'!$C$109:$BD$166,5,FALSE)</f>
        <v>90</v>
      </c>
      <c r="J45" s="10">
        <f ca="1">VLOOKUP($B45,'[4]Analisys QBR By Machine Report'!$C$109:$BD$166,6,FALSE)</f>
        <v>0</v>
      </c>
      <c r="K45" s="10">
        <f ca="1">VLOOKUP($B45,'[4]Analisys QBR By Machine Report'!$C$109:$BD$166,7,FALSE)</f>
        <v>0</v>
      </c>
      <c r="L45" s="10">
        <f ca="1">VLOOKUP($B45,'[4]Analisys QBR By Machine Report'!$C$109:$BD$166,8,FALSE)</f>
        <v>1440</v>
      </c>
      <c r="M45" s="10">
        <f ca="1">VLOOKUP($B45,'[4]Analisys QBR By Machine Report'!$C$109:$BD$166,9,FALSE)</f>
        <v>595</v>
      </c>
      <c r="N45" s="10">
        <f ca="1">VLOOKUP($B45,[4]Dasboard_QBR_Report!$B$109:$BL$166,18,FALSE)</f>
        <v>845</v>
      </c>
      <c r="O45" s="10">
        <f ca="1">VLOOKUP($B45,'[4]Analisys QBR By Machine Report'!$C$109:$BD$166,10,FALSE)</f>
        <v>135</v>
      </c>
      <c r="P45" s="10">
        <f ca="1">VLOOKUP($B45,'[4]Analisys QBR By Machine Report'!$C$109:$BD$166,11,FALSE)</f>
        <v>135</v>
      </c>
      <c r="Q45" s="10">
        <f ca="1">VLOOKUP($B45,'[4]Analisys QBR By Machine Report'!$C$109:$BD$166,12,FALSE)</f>
        <v>0</v>
      </c>
      <c r="R45" s="10">
        <f ca="1">VLOOKUP($B45,'[4]Analisys QBR By Machine Report'!$C$109:$BD$166,13,FALSE)</f>
        <v>0</v>
      </c>
      <c r="S45" s="10">
        <f ca="1">VLOOKUP($B45,'[4]Analisys QBR By Machine Report'!$C$109:$BD$166,14,FALSE)</f>
        <v>0</v>
      </c>
      <c r="T45" s="10">
        <f ca="1">VLOOKUP($B45,'[4]Analisys QBR By Machine Report'!$C$109:$BD$166,15,FALSE)</f>
        <v>0</v>
      </c>
      <c r="U45" s="10">
        <f ca="1">VLOOKUP($B45,'[4]Analisys QBR By Machine Report'!$C$109:$BD$166,16,FALSE)</f>
        <v>0</v>
      </c>
      <c r="V45" s="10">
        <f ca="1">VLOOKUP($B45,'[4]Analisys QBR By Machine Report'!$C$109:$BD$166,17,FALSE)</f>
        <v>0</v>
      </c>
      <c r="W45" s="10">
        <f ca="1">VLOOKUP($B45,'[4]Analisys QBR By Machine Report'!$C$109:$BD$166,18,FALSE)</f>
        <v>0</v>
      </c>
      <c r="X45" s="10">
        <f ca="1">VLOOKUP($B45,'[4]Analisys QBR By Machine Report'!$C$109:$BD$166,19,FALSE)</f>
        <v>0</v>
      </c>
      <c r="Y45" s="10">
        <f ca="1">VLOOKUP($B45,'[4]Analisys QBR By Machine Report'!$C$109:$BD$166,20,FALSE)</f>
        <v>0</v>
      </c>
      <c r="Z45" s="10">
        <f ca="1">VLOOKUP($B45,'[4]Analisys QBR By Machine Report'!$C$109:$BD$166,21,FALSE)</f>
        <v>425</v>
      </c>
      <c r="AA45" s="10">
        <f ca="1">VLOOKUP($B45,'[4]Analisys QBR By Machine Report'!$C$109:$BD$166,22,FALSE)</f>
        <v>310</v>
      </c>
      <c r="AB45" s="10">
        <f ca="1">VLOOKUP($B45,'[4]Analisys QBR By Machine Report'!$C$109:$BD$166,23,FALSE)</f>
        <v>45</v>
      </c>
      <c r="AC45" s="10">
        <f ca="1">VLOOKUP($B45,'[4]Analisys QBR By Machine Report'!$C$109:$BD$166,24,FALSE)</f>
        <v>0</v>
      </c>
      <c r="AD45" s="10">
        <f ca="1">VLOOKUP($B45,'[4]Analisys QBR By Machine Report'!$C$109:$BD$166,25,FALSE)</f>
        <v>0</v>
      </c>
      <c r="AE45" s="10">
        <f ca="1">VLOOKUP($B45,'[4]Analisys QBR By Machine Report'!$C$109:$BD$166,26,FALSE)</f>
        <v>70</v>
      </c>
      <c r="AF45" s="10">
        <f ca="1">VLOOKUP($B45,'[4]Analisys QBR By Machine Report'!$C$109:$BD$166,27,FALSE)</f>
        <v>0</v>
      </c>
      <c r="AG45" s="10">
        <f ca="1">VLOOKUP($B45,'[4]Analisys QBR By Machine Report'!$C$109:$BD$166,28,FALSE)</f>
        <v>0</v>
      </c>
      <c r="AH45" s="10">
        <f ca="1">VLOOKUP($B45,'[4]Analisys QBR By Machine Report'!$C$109:$BD$166,29,FALSE)</f>
        <v>0</v>
      </c>
      <c r="AI45" s="10">
        <f ca="1">VLOOKUP($B45,'[4]Analisys QBR By Machine Report'!$C$109:$BD$166,30,FALSE)</f>
        <v>285</v>
      </c>
      <c r="AJ45" s="10">
        <f ca="1">VLOOKUP($B45,'[4]Analisys QBR By Machine Report'!$C$109:$BD$166,31,FALSE)</f>
        <v>0</v>
      </c>
      <c r="AK45" s="10">
        <f ca="1">VLOOKUP($B45,'[4]Analisys QBR By Machine Report'!$C$109:$BD$166,32,FALSE)</f>
        <v>0</v>
      </c>
      <c r="AL45" s="10">
        <f ca="1">VLOOKUP($B45,'[4]Analisys QBR By Machine Report'!$C$109:$BD$166,33,FALSE)</f>
        <v>90</v>
      </c>
      <c r="AM45" s="10">
        <f ca="1">VLOOKUP($B45,'[4]Analisys QBR By Machine Report'!$C$109:$BD$166,34,FALSE)</f>
        <v>0</v>
      </c>
      <c r="AN45" s="10">
        <f ca="1">VLOOKUP($B45,'[4]Analisys QBR By Machine Report'!$C$109:$BD$166,35,FALSE)</f>
        <v>135</v>
      </c>
      <c r="AO45" s="10">
        <f ca="1">VLOOKUP($B45,'[4]Analisys QBR By Machine Report'!$C$109:$BD$166,36,FALSE)</f>
        <v>0</v>
      </c>
      <c r="AP45" s="10">
        <f ca="1">VLOOKUP($B45,'[4]Analisys QBR By Machine Report'!$C$109:$BD$166,37,FALSE)</f>
        <v>0</v>
      </c>
      <c r="AQ45" s="10">
        <f ca="1">VLOOKUP($B45,'[4]Analisys QBR By Machine Report'!$C$109:$BD$166,38,FALSE)</f>
        <v>0</v>
      </c>
      <c r="AR45" s="10">
        <f ca="1">VLOOKUP($B45,'[4]Analisys QBR By Machine Report'!$C$109:$BD$166,39,FALSE)</f>
        <v>0</v>
      </c>
      <c r="AS45" s="10">
        <f ca="1">VLOOKUP($B45,'[4]Analisys QBR By Machine Report'!$C$109:$BD$166,40,FALSE)</f>
        <v>40</v>
      </c>
      <c r="AT45" s="10">
        <f ca="1">VLOOKUP($B45,'[4]Analisys QBR By Machine Report'!$C$109:$BD$166,41,FALSE)</f>
        <v>0</v>
      </c>
      <c r="AU45" s="10">
        <f ca="1">VLOOKUP($B45,'[4]Analisys QBR By Machine Report'!$C$109:$BD$166,42,FALSE)</f>
        <v>0</v>
      </c>
      <c r="AV45" s="10">
        <f ca="1">VLOOKUP($B45,'[4]Analisys QBR By Machine Report'!$C$109:$BD$166,43,FALSE)</f>
        <v>0</v>
      </c>
      <c r="AW45" s="10">
        <f ca="1">VLOOKUP($B45,'[4]Analisys QBR By Machine Report'!$C$109:$BD$166,44,FALSE)</f>
        <v>0</v>
      </c>
      <c r="AX45" s="10">
        <f ca="1">VLOOKUP($B45,'[4]Analisys QBR By Machine Report'!$C$109:$BD$166,45,FALSE)</f>
        <v>0</v>
      </c>
      <c r="AY45" s="10">
        <f ca="1">VLOOKUP($B45,'[4]Analisys QBR By Machine Report'!$C$109:$BD$166,46,FALSE)</f>
        <v>0</v>
      </c>
      <c r="AZ45" s="10">
        <f ca="1">VLOOKUP($B45,'[4]Analisys QBR By Machine Report'!$C$109:$BD$166,47,FALSE)</f>
        <v>20</v>
      </c>
      <c r="BA45" s="10">
        <f ca="1">VLOOKUP($B45,'[4]Analisys QBR By Machine Report'!$C$109:$BD$166,48,FALSE)</f>
        <v>0</v>
      </c>
      <c r="BB45" s="10">
        <f ca="1">VLOOKUP($B45,'[4]Analisys QBR By Machine Report'!$C$109:$BD$166,49,FALSE)</f>
        <v>0</v>
      </c>
      <c r="BC45" s="10">
        <f ca="1">VLOOKUP($B45,'[4]Analisys QBR By Machine Report'!$C$109:$BD$166,50,FALSE)</f>
        <v>0</v>
      </c>
      <c r="BD45" s="10">
        <f ca="1">VLOOKUP($B45,'[4]Analisys QBR By Machine Report'!$C$109:$BD$166,51,FALSE)</f>
        <v>21311</v>
      </c>
      <c r="BE45" s="10">
        <f ca="1">VLOOKUP($B45,'[4]Analisys QBR By Machine Report'!$C$109:$BD$166,52,FALSE)</f>
        <v>34</v>
      </c>
      <c r="BF45" s="10">
        <f ca="1">VLOOKUP($B45,'[4]Analisys QBR By Machine Report'!$C$109:$BD$166,53,FALSE)</f>
        <v>21277</v>
      </c>
    </row>
    <row r="46" spans="1:58" x14ac:dyDescent="0.25">
      <c r="A46" s="12" t="s">
        <v>102</v>
      </c>
      <c r="B46" s="13">
        <f ca="1">VLOOKUP($B46,'[4]Analisys QBR By Machine Report'!$C$109:$BD$166,2,FALSE)</f>
        <v>24480</v>
      </c>
      <c r="C46" s="14">
        <f ca="1">VLOOKUP($B46,[4]Dasboard_QBR_Report!$B$109:$BL$166,3,FALSE)</f>
        <v>8160</v>
      </c>
      <c r="D46" s="13">
        <f ca="1">VLOOKUP($B46,'[4]Analisys QBR By Machine Report'!$C$109:$BD$166,3,FALSE)</f>
        <v>22950</v>
      </c>
      <c r="E46" s="14">
        <f ca="1">VLOOKUP($B46,[4]Dasboard_QBR_Report!$B$109:$BL$166,5,FALSE)</f>
        <v>6630</v>
      </c>
      <c r="F46" s="13">
        <f t="shared" ca="1" si="0"/>
        <v>1530</v>
      </c>
      <c r="G46" s="13">
        <f t="shared" ca="1" si="1"/>
        <v>90</v>
      </c>
      <c r="H46" s="13">
        <f ca="1">VLOOKUP($B46,'[4]Analisys QBR By Machine Report'!$C$109:$BD$166,4,FALSE)</f>
        <v>90</v>
      </c>
      <c r="I46" s="13">
        <f ca="1">VLOOKUP($B46,'[4]Analisys QBR By Machine Report'!$C$109:$BD$166,5,FALSE)</f>
        <v>90</v>
      </c>
      <c r="J46" s="13">
        <f ca="1">VLOOKUP($B46,'[4]Analisys QBR By Machine Report'!$C$109:$BD$166,6,FALSE)</f>
        <v>0</v>
      </c>
      <c r="K46" s="13">
        <f ca="1">VLOOKUP($B46,'[4]Analisys QBR By Machine Report'!$C$109:$BD$166,7,FALSE)</f>
        <v>0</v>
      </c>
      <c r="L46" s="13">
        <f ca="1">VLOOKUP($B46,'[4]Analisys QBR By Machine Report'!$C$109:$BD$166,8,FALSE)</f>
        <v>1440</v>
      </c>
      <c r="M46" s="13">
        <f ca="1">VLOOKUP($B46,'[4]Analisys QBR By Machine Report'!$C$109:$BD$166,9,FALSE)</f>
        <v>595</v>
      </c>
      <c r="N46" s="13">
        <f ca="1">VLOOKUP($B46,[4]Dasboard_QBR_Report!$B$109:$BL$166,18,FALSE)</f>
        <v>845</v>
      </c>
      <c r="O46" s="13">
        <f ca="1">VLOOKUP($B46,'[4]Analisys QBR By Machine Report'!$C$109:$BD$166,10,FALSE)</f>
        <v>135</v>
      </c>
      <c r="P46" s="13">
        <f ca="1">VLOOKUP($B46,'[4]Analisys QBR By Machine Report'!$C$109:$BD$166,11,FALSE)</f>
        <v>135</v>
      </c>
      <c r="Q46" s="13">
        <f ca="1">VLOOKUP($B46,'[4]Analisys QBR By Machine Report'!$C$109:$BD$166,12,FALSE)</f>
        <v>0</v>
      </c>
      <c r="R46" s="13">
        <f ca="1">VLOOKUP($B46,'[4]Analisys QBR By Machine Report'!$C$109:$BD$166,13,FALSE)</f>
        <v>0</v>
      </c>
      <c r="S46" s="13">
        <f ca="1">VLOOKUP($B46,'[4]Analisys QBR By Machine Report'!$C$109:$BD$166,14,FALSE)</f>
        <v>0</v>
      </c>
      <c r="T46" s="13">
        <f ca="1">VLOOKUP($B46,'[4]Analisys QBR By Machine Report'!$C$109:$BD$166,15,FALSE)</f>
        <v>0</v>
      </c>
      <c r="U46" s="13">
        <f ca="1">VLOOKUP($B46,'[4]Analisys QBR By Machine Report'!$C$109:$BD$166,16,FALSE)</f>
        <v>0</v>
      </c>
      <c r="V46" s="13">
        <f ca="1">VLOOKUP($B46,'[4]Analisys QBR By Machine Report'!$C$109:$BD$166,17,FALSE)</f>
        <v>0</v>
      </c>
      <c r="W46" s="13">
        <f ca="1">VLOOKUP($B46,'[4]Analisys QBR By Machine Report'!$C$109:$BD$166,18,FALSE)</f>
        <v>0</v>
      </c>
      <c r="X46" s="13">
        <f ca="1">VLOOKUP($B46,'[4]Analisys QBR By Machine Report'!$C$109:$BD$166,19,FALSE)</f>
        <v>0</v>
      </c>
      <c r="Y46" s="13">
        <f ca="1">VLOOKUP($B46,'[4]Analisys QBR By Machine Report'!$C$109:$BD$166,20,FALSE)</f>
        <v>0</v>
      </c>
      <c r="Z46" s="13">
        <f ca="1">VLOOKUP($B46,'[4]Analisys QBR By Machine Report'!$C$109:$BD$166,21,FALSE)</f>
        <v>425</v>
      </c>
      <c r="AA46" s="13">
        <f ca="1">VLOOKUP($B46,'[4]Analisys QBR By Machine Report'!$C$109:$BD$166,22,FALSE)</f>
        <v>310</v>
      </c>
      <c r="AB46" s="13">
        <f ca="1">VLOOKUP($B46,'[4]Analisys QBR By Machine Report'!$C$109:$BD$166,23,FALSE)</f>
        <v>45</v>
      </c>
      <c r="AC46" s="13">
        <f ca="1">VLOOKUP($B46,'[4]Analisys QBR By Machine Report'!$C$109:$BD$166,24,FALSE)</f>
        <v>0</v>
      </c>
      <c r="AD46" s="13">
        <f ca="1">VLOOKUP($B46,'[4]Analisys QBR By Machine Report'!$C$109:$BD$166,25,FALSE)</f>
        <v>0</v>
      </c>
      <c r="AE46" s="13">
        <f ca="1">VLOOKUP($B46,'[4]Analisys QBR By Machine Report'!$C$109:$BD$166,26,FALSE)</f>
        <v>70</v>
      </c>
      <c r="AF46" s="13">
        <f ca="1">VLOOKUP($B46,'[4]Analisys QBR By Machine Report'!$C$109:$BD$166,27,FALSE)</f>
        <v>0</v>
      </c>
      <c r="AG46" s="13">
        <f ca="1">VLOOKUP($B46,'[4]Analisys QBR By Machine Report'!$C$109:$BD$166,28,FALSE)</f>
        <v>0</v>
      </c>
      <c r="AH46" s="13">
        <f ca="1">VLOOKUP($B46,'[4]Analisys QBR By Machine Report'!$C$109:$BD$166,29,FALSE)</f>
        <v>0</v>
      </c>
      <c r="AI46" s="13">
        <f ca="1">VLOOKUP($B46,'[4]Analisys QBR By Machine Report'!$C$109:$BD$166,30,FALSE)</f>
        <v>285</v>
      </c>
      <c r="AJ46" s="13">
        <f ca="1">VLOOKUP($B46,'[4]Analisys QBR By Machine Report'!$C$109:$BD$166,31,FALSE)</f>
        <v>0</v>
      </c>
      <c r="AK46" s="13">
        <f ca="1">VLOOKUP($B46,'[4]Analisys QBR By Machine Report'!$C$109:$BD$166,32,FALSE)</f>
        <v>0</v>
      </c>
      <c r="AL46" s="13">
        <f ca="1">VLOOKUP($B46,'[4]Analisys QBR By Machine Report'!$C$109:$BD$166,33,FALSE)</f>
        <v>90</v>
      </c>
      <c r="AM46" s="13">
        <f ca="1">VLOOKUP($B46,'[4]Analisys QBR By Machine Report'!$C$109:$BD$166,34,FALSE)</f>
        <v>0</v>
      </c>
      <c r="AN46" s="13">
        <f ca="1">VLOOKUP($B46,'[4]Analisys QBR By Machine Report'!$C$109:$BD$166,35,FALSE)</f>
        <v>135</v>
      </c>
      <c r="AO46" s="13">
        <f ca="1">VLOOKUP($B46,'[4]Analisys QBR By Machine Report'!$C$109:$BD$166,36,FALSE)</f>
        <v>0</v>
      </c>
      <c r="AP46" s="13">
        <f ca="1">VLOOKUP($B46,'[4]Analisys QBR By Machine Report'!$C$109:$BD$166,37,FALSE)</f>
        <v>0</v>
      </c>
      <c r="AQ46" s="13">
        <f ca="1">VLOOKUP($B46,'[4]Analisys QBR By Machine Report'!$C$109:$BD$166,38,FALSE)</f>
        <v>0</v>
      </c>
      <c r="AR46" s="13">
        <f ca="1">VLOOKUP($B46,'[4]Analisys QBR By Machine Report'!$C$109:$BD$166,39,FALSE)</f>
        <v>0</v>
      </c>
      <c r="AS46" s="13">
        <f ca="1">VLOOKUP($B46,'[4]Analisys QBR By Machine Report'!$C$109:$BD$166,40,FALSE)</f>
        <v>40</v>
      </c>
      <c r="AT46" s="13">
        <f ca="1">VLOOKUP($B46,'[4]Analisys QBR By Machine Report'!$C$109:$BD$166,41,FALSE)</f>
        <v>0</v>
      </c>
      <c r="AU46" s="13">
        <f ca="1">VLOOKUP($B46,'[4]Analisys QBR By Machine Report'!$C$109:$BD$166,42,FALSE)</f>
        <v>0</v>
      </c>
      <c r="AV46" s="13">
        <f ca="1">VLOOKUP($B46,'[4]Analisys QBR By Machine Report'!$C$109:$BD$166,43,FALSE)</f>
        <v>0</v>
      </c>
      <c r="AW46" s="13">
        <f ca="1">VLOOKUP($B46,'[4]Analisys QBR By Machine Report'!$C$109:$BD$166,44,FALSE)</f>
        <v>0</v>
      </c>
      <c r="AX46" s="13">
        <f ca="1">VLOOKUP($B46,'[4]Analisys QBR By Machine Report'!$C$109:$BD$166,45,FALSE)</f>
        <v>0</v>
      </c>
      <c r="AY46" s="13">
        <f ca="1">VLOOKUP($B46,'[4]Analisys QBR By Machine Report'!$C$109:$BD$166,46,FALSE)</f>
        <v>0</v>
      </c>
      <c r="AZ46" s="13">
        <f ca="1">VLOOKUP($B46,'[4]Analisys QBR By Machine Report'!$C$109:$BD$166,47,FALSE)</f>
        <v>20</v>
      </c>
      <c r="BA46" s="13">
        <f ca="1">VLOOKUP($B46,'[4]Analisys QBR By Machine Report'!$C$109:$BD$166,48,FALSE)</f>
        <v>0</v>
      </c>
      <c r="BB46" s="13">
        <f ca="1">VLOOKUP($B46,'[4]Analisys QBR By Machine Report'!$C$109:$BD$166,49,FALSE)</f>
        <v>0</v>
      </c>
      <c r="BC46" s="13">
        <f ca="1">VLOOKUP($B46,'[4]Analisys QBR By Machine Report'!$C$109:$BD$166,50,FALSE)</f>
        <v>0</v>
      </c>
      <c r="BD46" s="13">
        <f ca="1">VLOOKUP($B46,'[4]Analisys QBR By Machine Report'!$C$109:$BD$166,51,FALSE)</f>
        <v>21311</v>
      </c>
      <c r="BE46" s="13">
        <f ca="1">VLOOKUP($B46,'[4]Analisys QBR By Machine Report'!$C$109:$BD$166,52,FALSE)</f>
        <v>34</v>
      </c>
      <c r="BF46" s="13">
        <f ca="1">VLOOKUP($B46,'[4]Analisys QBR By Machine Report'!$C$109:$BD$166,53,FALSE)</f>
        <v>21277</v>
      </c>
    </row>
    <row r="47" spans="1:58" x14ac:dyDescent="0.25">
      <c r="A47" s="9" t="s">
        <v>103</v>
      </c>
      <c r="B47" s="10">
        <f ca="1">VLOOKUP($B47,'[4]Analisys QBR By Machine Report'!$C$109:$BD$166,2,FALSE)</f>
        <v>24480</v>
      </c>
      <c r="C47" s="11">
        <f ca="1">VLOOKUP($B47,[4]Dasboard_QBR_Report!$B$109:$BL$166,3,FALSE)</f>
        <v>8160</v>
      </c>
      <c r="D47" s="10">
        <f ca="1">VLOOKUP($B47,'[4]Analisys QBR By Machine Report'!$C$109:$BD$166,3,FALSE)</f>
        <v>22440</v>
      </c>
      <c r="E47" s="11">
        <f ca="1">VLOOKUP($B47,[4]Dasboard_QBR_Report!$B$109:$BL$166,5,FALSE)</f>
        <v>6120</v>
      </c>
      <c r="F47" s="10">
        <f t="shared" ca="1" si="0"/>
        <v>2040</v>
      </c>
      <c r="G47" s="10">
        <f t="shared" ca="1" si="1"/>
        <v>0</v>
      </c>
      <c r="H47" s="10">
        <f ca="1">VLOOKUP($B47,'[4]Analisys QBR By Machine Report'!$C$109:$BD$166,4,FALSE)</f>
        <v>0</v>
      </c>
      <c r="I47" s="10">
        <f ca="1">VLOOKUP($B47,'[4]Analisys QBR By Machine Report'!$C$109:$BD$166,5,FALSE)</f>
        <v>0</v>
      </c>
      <c r="J47" s="10">
        <f ca="1">VLOOKUP($B47,'[4]Analisys QBR By Machine Report'!$C$109:$BD$166,6,FALSE)</f>
        <v>0</v>
      </c>
      <c r="K47" s="10">
        <f ca="1">VLOOKUP($B47,'[4]Analisys QBR By Machine Report'!$C$109:$BD$166,7,FALSE)</f>
        <v>0</v>
      </c>
      <c r="L47" s="10">
        <f ca="1">VLOOKUP($B47,'[4]Analisys QBR By Machine Report'!$C$109:$BD$166,8,FALSE)</f>
        <v>2040</v>
      </c>
      <c r="M47" s="10">
        <f ca="1">VLOOKUP($B47,'[4]Analisys QBR By Machine Report'!$C$109:$BD$166,9,FALSE)</f>
        <v>615</v>
      </c>
      <c r="N47" s="10">
        <f ca="1">VLOOKUP($B47,[4]Dasboard_QBR_Report!$B$109:$BL$166,18,FALSE)</f>
        <v>1425</v>
      </c>
      <c r="O47" s="10">
        <f ca="1">VLOOKUP($B47,'[4]Analisys QBR By Machine Report'!$C$109:$BD$166,10,FALSE)</f>
        <v>270</v>
      </c>
      <c r="P47" s="10">
        <f ca="1">VLOOKUP($B47,'[4]Analisys QBR By Machine Report'!$C$109:$BD$166,11,FALSE)</f>
        <v>220</v>
      </c>
      <c r="Q47" s="10">
        <f ca="1">VLOOKUP($B47,'[4]Analisys QBR By Machine Report'!$C$109:$BD$166,12,FALSE)</f>
        <v>0</v>
      </c>
      <c r="R47" s="10">
        <f ca="1">VLOOKUP($B47,'[4]Analisys QBR By Machine Report'!$C$109:$BD$166,13,FALSE)</f>
        <v>50</v>
      </c>
      <c r="S47" s="10">
        <f ca="1">VLOOKUP($B47,'[4]Analisys QBR By Machine Report'!$C$109:$BD$166,14,FALSE)</f>
        <v>0</v>
      </c>
      <c r="T47" s="10">
        <f ca="1">VLOOKUP($B47,'[4]Analisys QBR By Machine Report'!$C$109:$BD$166,15,FALSE)</f>
        <v>0</v>
      </c>
      <c r="U47" s="10">
        <f ca="1">VLOOKUP($B47,'[4]Analisys QBR By Machine Report'!$C$109:$BD$166,16,FALSE)</f>
        <v>0</v>
      </c>
      <c r="V47" s="10">
        <f ca="1">VLOOKUP($B47,'[4]Analisys QBR By Machine Report'!$C$109:$BD$166,17,FALSE)</f>
        <v>0</v>
      </c>
      <c r="W47" s="10">
        <f ca="1">VLOOKUP($B47,'[4]Analisys QBR By Machine Report'!$C$109:$BD$166,18,FALSE)</f>
        <v>0</v>
      </c>
      <c r="X47" s="10">
        <f ca="1">VLOOKUP($B47,'[4]Analisys QBR By Machine Report'!$C$109:$BD$166,19,FALSE)</f>
        <v>0</v>
      </c>
      <c r="Y47" s="10">
        <f ca="1">VLOOKUP($B47,'[4]Analisys QBR By Machine Report'!$C$109:$BD$166,20,FALSE)</f>
        <v>0</v>
      </c>
      <c r="Z47" s="10">
        <f ca="1">VLOOKUP($B47,'[4]Analisys QBR By Machine Report'!$C$109:$BD$166,21,FALSE)</f>
        <v>455</v>
      </c>
      <c r="AA47" s="10">
        <f ca="1">VLOOKUP($B47,'[4]Analisys QBR By Machine Report'!$C$109:$BD$166,22,FALSE)</f>
        <v>135</v>
      </c>
      <c r="AB47" s="10">
        <f ca="1">VLOOKUP($B47,'[4]Analisys QBR By Machine Report'!$C$109:$BD$166,23,FALSE)</f>
        <v>0</v>
      </c>
      <c r="AC47" s="10">
        <f ca="1">VLOOKUP($B47,'[4]Analisys QBR By Machine Report'!$C$109:$BD$166,24,FALSE)</f>
        <v>0</v>
      </c>
      <c r="AD47" s="10">
        <f ca="1">VLOOKUP($B47,'[4]Analisys QBR By Machine Report'!$C$109:$BD$166,25,FALSE)</f>
        <v>0</v>
      </c>
      <c r="AE47" s="10">
        <f ca="1">VLOOKUP($B47,'[4]Analisys QBR By Machine Report'!$C$109:$BD$166,26,FALSE)</f>
        <v>320</v>
      </c>
      <c r="AF47" s="10">
        <f ca="1">VLOOKUP($B47,'[4]Analisys QBR By Machine Report'!$C$109:$BD$166,27,FALSE)</f>
        <v>0</v>
      </c>
      <c r="AG47" s="10">
        <f ca="1">VLOOKUP($B47,'[4]Analisys QBR By Machine Report'!$C$109:$BD$166,28,FALSE)</f>
        <v>0</v>
      </c>
      <c r="AH47" s="10">
        <f ca="1">VLOOKUP($B47,'[4]Analisys QBR By Machine Report'!$C$109:$BD$166,29,FALSE)</f>
        <v>0</v>
      </c>
      <c r="AI47" s="10">
        <f ca="1">VLOOKUP($B47,'[4]Analisys QBR By Machine Report'!$C$109:$BD$166,30,FALSE)</f>
        <v>700</v>
      </c>
      <c r="AJ47" s="10">
        <f ca="1">VLOOKUP($B47,'[4]Analisys QBR By Machine Report'!$C$109:$BD$166,31,FALSE)</f>
        <v>0</v>
      </c>
      <c r="AK47" s="10">
        <f ca="1">VLOOKUP($B47,'[4]Analisys QBR By Machine Report'!$C$109:$BD$166,32,FALSE)</f>
        <v>0</v>
      </c>
      <c r="AL47" s="10">
        <f ca="1">VLOOKUP($B47,'[4]Analisys QBR By Machine Report'!$C$109:$BD$166,33,FALSE)</f>
        <v>120</v>
      </c>
      <c r="AM47" s="10">
        <f ca="1">VLOOKUP($B47,'[4]Analisys QBR By Machine Report'!$C$109:$BD$166,34,FALSE)</f>
        <v>0</v>
      </c>
      <c r="AN47" s="10">
        <f ca="1">VLOOKUP($B47,'[4]Analisys QBR By Machine Report'!$C$109:$BD$166,35,FALSE)</f>
        <v>120</v>
      </c>
      <c r="AO47" s="10">
        <f ca="1">VLOOKUP($B47,'[4]Analisys QBR By Machine Report'!$C$109:$BD$166,36,FALSE)</f>
        <v>210</v>
      </c>
      <c r="AP47" s="10">
        <f ca="1">VLOOKUP($B47,'[4]Analisys QBR By Machine Report'!$C$109:$BD$166,37,FALSE)</f>
        <v>0</v>
      </c>
      <c r="AQ47" s="10">
        <f ca="1">VLOOKUP($B47,'[4]Analisys QBR By Machine Report'!$C$109:$BD$166,38,FALSE)</f>
        <v>60</v>
      </c>
      <c r="AR47" s="10">
        <f ca="1">VLOOKUP($B47,'[4]Analisys QBR By Machine Report'!$C$109:$BD$166,39,FALSE)</f>
        <v>60</v>
      </c>
      <c r="AS47" s="10">
        <f ca="1">VLOOKUP($B47,'[4]Analisys QBR By Machine Report'!$C$109:$BD$166,40,FALSE)</f>
        <v>75</v>
      </c>
      <c r="AT47" s="10">
        <f ca="1">VLOOKUP($B47,'[4]Analisys QBR By Machine Report'!$C$109:$BD$166,41,FALSE)</f>
        <v>0</v>
      </c>
      <c r="AU47" s="10">
        <f ca="1">VLOOKUP($B47,'[4]Analisys QBR By Machine Report'!$C$109:$BD$166,42,FALSE)</f>
        <v>0</v>
      </c>
      <c r="AV47" s="10">
        <f ca="1">VLOOKUP($B47,'[4]Analisys QBR By Machine Report'!$C$109:$BD$166,43,FALSE)</f>
        <v>0</v>
      </c>
      <c r="AW47" s="10">
        <f ca="1">VLOOKUP($B47,'[4]Analisys QBR By Machine Report'!$C$109:$BD$166,44,FALSE)</f>
        <v>0</v>
      </c>
      <c r="AX47" s="10">
        <f ca="1">VLOOKUP($B47,'[4]Analisys QBR By Machine Report'!$C$109:$BD$166,45,FALSE)</f>
        <v>0</v>
      </c>
      <c r="AY47" s="10">
        <f ca="1">VLOOKUP($B47,'[4]Analisys QBR By Machine Report'!$C$109:$BD$166,46,FALSE)</f>
        <v>0</v>
      </c>
      <c r="AZ47" s="10">
        <f ca="1">VLOOKUP($B47,'[4]Analisys QBR By Machine Report'!$C$109:$BD$166,47,FALSE)</f>
        <v>55</v>
      </c>
      <c r="BA47" s="10">
        <f ca="1">VLOOKUP($B47,'[4]Analisys QBR By Machine Report'!$C$109:$BD$166,48,FALSE)</f>
        <v>0</v>
      </c>
      <c r="BB47" s="10">
        <f ca="1">VLOOKUP($B47,'[4]Analisys QBR By Machine Report'!$C$109:$BD$166,49,FALSE)</f>
        <v>0</v>
      </c>
      <c r="BC47" s="10">
        <f ca="1">VLOOKUP($B47,'[4]Analisys QBR By Machine Report'!$C$109:$BD$166,50,FALSE)</f>
        <v>0</v>
      </c>
      <c r="BD47" s="10">
        <f ca="1">VLOOKUP($B47,'[4]Analisys QBR By Machine Report'!$C$109:$BD$166,51,FALSE)</f>
        <v>242716</v>
      </c>
      <c r="BE47" s="10">
        <f ca="1">VLOOKUP($B47,'[4]Analisys QBR By Machine Report'!$C$109:$BD$166,52,FALSE)</f>
        <v>0</v>
      </c>
      <c r="BF47" s="10">
        <f ca="1">VLOOKUP($B47,'[4]Analisys QBR By Machine Report'!$C$109:$BD$166,53,FALSE)</f>
        <v>242716</v>
      </c>
    </row>
    <row r="48" spans="1:58" x14ac:dyDescent="0.25">
      <c r="A48" s="12" t="s">
        <v>104</v>
      </c>
      <c r="B48" s="13">
        <f ca="1">VLOOKUP($B48,'[4]Analisys QBR By Machine Report'!$C$109:$BD$166,2,FALSE)</f>
        <v>24480</v>
      </c>
      <c r="C48" s="14">
        <f ca="1">VLOOKUP($B48,[4]Dasboard_QBR_Report!$B$109:$BL$166,3,FALSE)</f>
        <v>8160</v>
      </c>
      <c r="D48" s="13">
        <f ca="1">VLOOKUP($B48,'[4]Analisys QBR By Machine Report'!$C$109:$BD$166,3,FALSE)</f>
        <v>22440</v>
      </c>
      <c r="E48" s="14">
        <f ca="1">VLOOKUP($B48,[4]Dasboard_QBR_Report!$B$109:$BL$166,5,FALSE)</f>
        <v>6120</v>
      </c>
      <c r="F48" s="13">
        <f t="shared" ca="1" si="0"/>
        <v>2040</v>
      </c>
      <c r="G48" s="13">
        <f t="shared" ca="1" si="1"/>
        <v>0</v>
      </c>
      <c r="H48" s="13">
        <f ca="1">VLOOKUP($B48,'[4]Analisys QBR By Machine Report'!$C$109:$BD$166,4,FALSE)</f>
        <v>0</v>
      </c>
      <c r="I48" s="13">
        <f ca="1">VLOOKUP($B48,'[4]Analisys QBR By Machine Report'!$C$109:$BD$166,5,FALSE)</f>
        <v>0</v>
      </c>
      <c r="J48" s="13">
        <f ca="1">VLOOKUP($B48,'[4]Analisys QBR By Machine Report'!$C$109:$BD$166,6,FALSE)</f>
        <v>0</v>
      </c>
      <c r="K48" s="13">
        <f ca="1">VLOOKUP($B48,'[4]Analisys QBR By Machine Report'!$C$109:$BD$166,7,FALSE)</f>
        <v>0</v>
      </c>
      <c r="L48" s="13">
        <f ca="1">VLOOKUP($B48,'[4]Analisys QBR By Machine Report'!$C$109:$BD$166,8,FALSE)</f>
        <v>2040</v>
      </c>
      <c r="M48" s="13">
        <f ca="1">VLOOKUP($B48,'[4]Analisys QBR By Machine Report'!$C$109:$BD$166,9,FALSE)</f>
        <v>615</v>
      </c>
      <c r="N48" s="13">
        <f ca="1">VLOOKUP($B48,[4]Dasboard_QBR_Report!$B$109:$BL$166,18,FALSE)</f>
        <v>1425</v>
      </c>
      <c r="O48" s="13">
        <f ca="1">VLOOKUP($B48,'[4]Analisys QBR By Machine Report'!$C$109:$BD$166,10,FALSE)</f>
        <v>270</v>
      </c>
      <c r="P48" s="13">
        <f ca="1">VLOOKUP($B48,'[4]Analisys QBR By Machine Report'!$C$109:$BD$166,11,FALSE)</f>
        <v>220</v>
      </c>
      <c r="Q48" s="13">
        <f ca="1">VLOOKUP($B48,'[4]Analisys QBR By Machine Report'!$C$109:$BD$166,12,FALSE)</f>
        <v>0</v>
      </c>
      <c r="R48" s="13">
        <f ca="1">VLOOKUP($B48,'[4]Analisys QBR By Machine Report'!$C$109:$BD$166,13,FALSE)</f>
        <v>50</v>
      </c>
      <c r="S48" s="13">
        <f ca="1">VLOOKUP($B48,'[4]Analisys QBR By Machine Report'!$C$109:$BD$166,14,FALSE)</f>
        <v>0</v>
      </c>
      <c r="T48" s="13">
        <f ca="1">VLOOKUP($B48,'[4]Analisys QBR By Machine Report'!$C$109:$BD$166,15,FALSE)</f>
        <v>0</v>
      </c>
      <c r="U48" s="13">
        <f ca="1">VLOOKUP($B48,'[4]Analisys QBR By Machine Report'!$C$109:$BD$166,16,FALSE)</f>
        <v>0</v>
      </c>
      <c r="V48" s="13">
        <f ca="1">VLOOKUP($B48,'[4]Analisys QBR By Machine Report'!$C$109:$BD$166,17,FALSE)</f>
        <v>0</v>
      </c>
      <c r="W48" s="13">
        <f ca="1">VLOOKUP($B48,'[4]Analisys QBR By Machine Report'!$C$109:$BD$166,18,FALSE)</f>
        <v>0</v>
      </c>
      <c r="X48" s="13">
        <f ca="1">VLOOKUP($B48,'[4]Analisys QBR By Machine Report'!$C$109:$BD$166,19,FALSE)</f>
        <v>0</v>
      </c>
      <c r="Y48" s="13">
        <f ca="1">VLOOKUP($B48,'[4]Analisys QBR By Machine Report'!$C$109:$BD$166,20,FALSE)</f>
        <v>0</v>
      </c>
      <c r="Z48" s="13">
        <f ca="1">VLOOKUP($B48,'[4]Analisys QBR By Machine Report'!$C$109:$BD$166,21,FALSE)</f>
        <v>455</v>
      </c>
      <c r="AA48" s="13">
        <f ca="1">VLOOKUP($B48,'[4]Analisys QBR By Machine Report'!$C$109:$BD$166,22,FALSE)</f>
        <v>135</v>
      </c>
      <c r="AB48" s="13">
        <f ca="1">VLOOKUP($B48,'[4]Analisys QBR By Machine Report'!$C$109:$BD$166,23,FALSE)</f>
        <v>0</v>
      </c>
      <c r="AC48" s="13">
        <f ca="1">VLOOKUP($B48,'[4]Analisys QBR By Machine Report'!$C$109:$BD$166,24,FALSE)</f>
        <v>0</v>
      </c>
      <c r="AD48" s="13">
        <f ca="1">VLOOKUP($B48,'[4]Analisys QBR By Machine Report'!$C$109:$BD$166,25,FALSE)</f>
        <v>0</v>
      </c>
      <c r="AE48" s="13">
        <f ca="1">VLOOKUP($B48,'[4]Analisys QBR By Machine Report'!$C$109:$BD$166,26,FALSE)</f>
        <v>320</v>
      </c>
      <c r="AF48" s="13">
        <f ca="1">VLOOKUP($B48,'[4]Analisys QBR By Machine Report'!$C$109:$BD$166,27,FALSE)</f>
        <v>0</v>
      </c>
      <c r="AG48" s="13">
        <f ca="1">VLOOKUP($B48,'[4]Analisys QBR By Machine Report'!$C$109:$BD$166,28,FALSE)</f>
        <v>0</v>
      </c>
      <c r="AH48" s="13">
        <f ca="1">VLOOKUP($B48,'[4]Analisys QBR By Machine Report'!$C$109:$BD$166,29,FALSE)</f>
        <v>0</v>
      </c>
      <c r="AI48" s="13">
        <f ca="1">VLOOKUP($B48,'[4]Analisys QBR By Machine Report'!$C$109:$BD$166,30,FALSE)</f>
        <v>700</v>
      </c>
      <c r="AJ48" s="13">
        <f ca="1">VLOOKUP($B48,'[4]Analisys QBR By Machine Report'!$C$109:$BD$166,31,FALSE)</f>
        <v>0</v>
      </c>
      <c r="AK48" s="13">
        <f ca="1">VLOOKUP($B48,'[4]Analisys QBR By Machine Report'!$C$109:$BD$166,32,FALSE)</f>
        <v>0</v>
      </c>
      <c r="AL48" s="13">
        <f ca="1">VLOOKUP($B48,'[4]Analisys QBR By Machine Report'!$C$109:$BD$166,33,FALSE)</f>
        <v>120</v>
      </c>
      <c r="AM48" s="13">
        <f ca="1">VLOOKUP($B48,'[4]Analisys QBR By Machine Report'!$C$109:$BD$166,34,FALSE)</f>
        <v>0</v>
      </c>
      <c r="AN48" s="13">
        <f ca="1">VLOOKUP($B48,'[4]Analisys QBR By Machine Report'!$C$109:$BD$166,35,FALSE)</f>
        <v>120</v>
      </c>
      <c r="AO48" s="13">
        <f ca="1">VLOOKUP($B48,'[4]Analisys QBR By Machine Report'!$C$109:$BD$166,36,FALSE)</f>
        <v>210</v>
      </c>
      <c r="AP48" s="13">
        <f ca="1">VLOOKUP($B48,'[4]Analisys QBR By Machine Report'!$C$109:$BD$166,37,FALSE)</f>
        <v>0</v>
      </c>
      <c r="AQ48" s="13">
        <f ca="1">VLOOKUP($B48,'[4]Analisys QBR By Machine Report'!$C$109:$BD$166,38,FALSE)</f>
        <v>60</v>
      </c>
      <c r="AR48" s="13">
        <f ca="1">VLOOKUP($B48,'[4]Analisys QBR By Machine Report'!$C$109:$BD$166,39,FALSE)</f>
        <v>60</v>
      </c>
      <c r="AS48" s="13">
        <f ca="1">VLOOKUP($B48,'[4]Analisys QBR By Machine Report'!$C$109:$BD$166,40,FALSE)</f>
        <v>75</v>
      </c>
      <c r="AT48" s="13">
        <f ca="1">VLOOKUP($B48,'[4]Analisys QBR By Machine Report'!$C$109:$BD$166,41,FALSE)</f>
        <v>0</v>
      </c>
      <c r="AU48" s="13">
        <f ca="1">VLOOKUP($B48,'[4]Analisys QBR By Machine Report'!$C$109:$BD$166,42,FALSE)</f>
        <v>0</v>
      </c>
      <c r="AV48" s="13">
        <f ca="1">VLOOKUP($B48,'[4]Analisys QBR By Machine Report'!$C$109:$BD$166,43,FALSE)</f>
        <v>0</v>
      </c>
      <c r="AW48" s="13">
        <f ca="1">VLOOKUP($B48,'[4]Analisys QBR By Machine Report'!$C$109:$BD$166,44,FALSE)</f>
        <v>0</v>
      </c>
      <c r="AX48" s="13">
        <f ca="1">VLOOKUP($B48,'[4]Analisys QBR By Machine Report'!$C$109:$BD$166,45,FALSE)</f>
        <v>0</v>
      </c>
      <c r="AY48" s="13">
        <f ca="1">VLOOKUP($B48,'[4]Analisys QBR By Machine Report'!$C$109:$BD$166,46,FALSE)</f>
        <v>0</v>
      </c>
      <c r="AZ48" s="13">
        <f ca="1">VLOOKUP($B48,'[4]Analisys QBR By Machine Report'!$C$109:$BD$166,47,FALSE)</f>
        <v>55</v>
      </c>
      <c r="BA48" s="13">
        <f ca="1">VLOOKUP($B48,'[4]Analisys QBR By Machine Report'!$C$109:$BD$166,48,FALSE)</f>
        <v>0</v>
      </c>
      <c r="BB48" s="13">
        <f ca="1">VLOOKUP($B48,'[4]Analisys QBR By Machine Report'!$C$109:$BD$166,49,FALSE)</f>
        <v>0</v>
      </c>
      <c r="BC48" s="13">
        <f ca="1">VLOOKUP($B48,'[4]Analisys QBR By Machine Report'!$C$109:$BD$166,50,FALSE)</f>
        <v>0</v>
      </c>
      <c r="BD48" s="13">
        <f ca="1">VLOOKUP($B48,'[4]Analisys QBR By Machine Report'!$C$109:$BD$166,51,FALSE)</f>
        <v>242716</v>
      </c>
      <c r="BE48" s="13">
        <f ca="1">VLOOKUP($B48,'[4]Analisys QBR By Machine Report'!$C$109:$BD$166,52,FALSE)</f>
        <v>0</v>
      </c>
      <c r="BF48" s="13">
        <f ca="1">VLOOKUP($B48,'[4]Analisys QBR By Machine Report'!$C$109:$BD$166,53,FALSE)</f>
        <v>242716</v>
      </c>
    </row>
    <row r="49" spans="1:58" x14ac:dyDescent="0.25">
      <c r="A49" s="9" t="s">
        <v>105</v>
      </c>
      <c r="B49" s="10">
        <f ca="1">VLOOKUP($B49,'[4]Analisys QBR By Machine Report'!$C$109:$BD$166,2,FALSE)</f>
        <v>24480</v>
      </c>
      <c r="C49" s="11">
        <f ca="1">VLOOKUP($B49,[4]Dasboard_QBR_Report!$B$109:$BL$166,3,FALSE)</f>
        <v>8160</v>
      </c>
      <c r="D49" s="10">
        <f ca="1">VLOOKUP($B49,'[4]Analisys QBR By Machine Report'!$C$109:$BD$166,3,FALSE)</f>
        <v>22440</v>
      </c>
      <c r="E49" s="11">
        <f ca="1">VLOOKUP($B49,[4]Dasboard_QBR_Report!$B$109:$BL$166,5,FALSE)</f>
        <v>6120</v>
      </c>
      <c r="F49" s="10">
        <f t="shared" ca="1" si="0"/>
        <v>2040</v>
      </c>
      <c r="G49" s="10">
        <f t="shared" ca="1" si="1"/>
        <v>150</v>
      </c>
      <c r="H49" s="10">
        <f ca="1">VLOOKUP($B49,'[4]Analisys QBR By Machine Report'!$C$109:$BD$166,4,FALSE)</f>
        <v>150</v>
      </c>
      <c r="I49" s="10">
        <f ca="1">VLOOKUP($B49,'[4]Analisys QBR By Machine Report'!$C$109:$BD$166,5,FALSE)</f>
        <v>30</v>
      </c>
      <c r="J49" s="10">
        <f ca="1">VLOOKUP($B49,'[4]Analisys QBR By Machine Report'!$C$109:$BD$166,6,FALSE)</f>
        <v>120</v>
      </c>
      <c r="K49" s="10">
        <f ca="1">VLOOKUP($B49,'[4]Analisys QBR By Machine Report'!$C$109:$BD$166,7,FALSE)</f>
        <v>0</v>
      </c>
      <c r="L49" s="10">
        <f ca="1">VLOOKUP($B49,'[4]Analisys QBR By Machine Report'!$C$109:$BD$166,8,FALSE)</f>
        <v>1890</v>
      </c>
      <c r="M49" s="10">
        <f ca="1">VLOOKUP($B49,'[4]Analisys QBR By Machine Report'!$C$109:$BD$166,9,FALSE)</f>
        <v>510</v>
      </c>
      <c r="N49" s="10">
        <f ca="1">VLOOKUP($B49,[4]Dasboard_QBR_Report!$B$109:$BL$166,18,FALSE)</f>
        <v>1380</v>
      </c>
      <c r="O49" s="10">
        <f ca="1">VLOOKUP($B49,'[4]Analisys QBR By Machine Report'!$C$109:$BD$166,10,FALSE)</f>
        <v>390</v>
      </c>
      <c r="P49" s="10">
        <f ca="1">VLOOKUP($B49,'[4]Analisys QBR By Machine Report'!$C$109:$BD$166,11,FALSE)</f>
        <v>370</v>
      </c>
      <c r="Q49" s="10">
        <f ca="1">VLOOKUP($B49,'[4]Analisys QBR By Machine Report'!$C$109:$BD$166,12,FALSE)</f>
        <v>0</v>
      </c>
      <c r="R49" s="10">
        <f ca="1">VLOOKUP($B49,'[4]Analisys QBR By Machine Report'!$C$109:$BD$166,13,FALSE)</f>
        <v>0</v>
      </c>
      <c r="S49" s="10">
        <f ca="1">VLOOKUP($B49,'[4]Analisys QBR By Machine Report'!$C$109:$BD$166,14,FALSE)</f>
        <v>20</v>
      </c>
      <c r="T49" s="10">
        <f ca="1">VLOOKUP($B49,'[4]Analisys QBR By Machine Report'!$C$109:$BD$166,15,FALSE)</f>
        <v>135</v>
      </c>
      <c r="U49" s="10">
        <f ca="1">VLOOKUP($B49,'[4]Analisys QBR By Machine Report'!$C$109:$BD$166,16,FALSE)</f>
        <v>135</v>
      </c>
      <c r="V49" s="10">
        <f ca="1">VLOOKUP($B49,'[4]Analisys QBR By Machine Report'!$C$109:$BD$166,17,FALSE)</f>
        <v>0</v>
      </c>
      <c r="W49" s="10">
        <f ca="1">VLOOKUP($B49,'[4]Analisys QBR By Machine Report'!$C$109:$BD$166,18,FALSE)</f>
        <v>0</v>
      </c>
      <c r="X49" s="10">
        <f ca="1">VLOOKUP($B49,'[4]Analisys QBR By Machine Report'!$C$109:$BD$166,19,FALSE)</f>
        <v>0</v>
      </c>
      <c r="Y49" s="10">
        <f ca="1">VLOOKUP($B49,'[4]Analisys QBR By Machine Report'!$C$109:$BD$166,20,FALSE)</f>
        <v>0</v>
      </c>
      <c r="Z49" s="10">
        <f ca="1">VLOOKUP($B49,'[4]Analisys QBR By Machine Report'!$C$109:$BD$166,21,FALSE)</f>
        <v>540</v>
      </c>
      <c r="AA49" s="10">
        <f ca="1">VLOOKUP($B49,'[4]Analisys QBR By Machine Report'!$C$109:$BD$166,22,FALSE)</f>
        <v>255</v>
      </c>
      <c r="AB49" s="10">
        <f ca="1">VLOOKUP($B49,'[4]Analisys QBR By Machine Report'!$C$109:$BD$166,23,FALSE)</f>
        <v>130</v>
      </c>
      <c r="AC49" s="10">
        <f ca="1">VLOOKUP($B49,'[4]Analisys QBR By Machine Report'!$C$109:$BD$166,24,FALSE)</f>
        <v>0</v>
      </c>
      <c r="AD49" s="10">
        <f ca="1">VLOOKUP($B49,'[4]Analisys QBR By Machine Report'!$C$109:$BD$166,25,FALSE)</f>
        <v>0</v>
      </c>
      <c r="AE49" s="10">
        <f ca="1">VLOOKUP($B49,'[4]Analisys QBR By Machine Report'!$C$109:$BD$166,26,FALSE)</f>
        <v>155</v>
      </c>
      <c r="AF49" s="10">
        <f ca="1">VLOOKUP($B49,'[4]Analisys QBR By Machine Report'!$C$109:$BD$166,27,FALSE)</f>
        <v>0</v>
      </c>
      <c r="AG49" s="10">
        <f ca="1">VLOOKUP($B49,'[4]Analisys QBR By Machine Report'!$C$109:$BD$166,28,FALSE)</f>
        <v>0</v>
      </c>
      <c r="AH49" s="10">
        <f ca="1">VLOOKUP($B49,'[4]Analisys QBR By Machine Report'!$C$109:$BD$166,29,FALSE)</f>
        <v>0</v>
      </c>
      <c r="AI49" s="10">
        <f ca="1">VLOOKUP($B49,'[4]Analisys QBR By Machine Report'!$C$109:$BD$166,30,FALSE)</f>
        <v>315</v>
      </c>
      <c r="AJ49" s="10">
        <f ca="1">VLOOKUP($B49,'[4]Analisys QBR By Machine Report'!$C$109:$BD$166,31,FALSE)</f>
        <v>0</v>
      </c>
      <c r="AK49" s="10">
        <f ca="1">VLOOKUP($B49,'[4]Analisys QBR By Machine Report'!$C$109:$BD$166,32,FALSE)</f>
        <v>0</v>
      </c>
      <c r="AL49" s="10">
        <f ca="1">VLOOKUP($B49,'[4]Analisys QBR By Machine Report'!$C$109:$BD$166,33,FALSE)</f>
        <v>120</v>
      </c>
      <c r="AM49" s="10">
        <f ca="1">VLOOKUP($B49,'[4]Analisys QBR By Machine Report'!$C$109:$BD$166,34,FALSE)</f>
        <v>0</v>
      </c>
      <c r="AN49" s="10">
        <f ca="1">VLOOKUP($B49,'[4]Analisys QBR By Machine Report'!$C$109:$BD$166,35,FALSE)</f>
        <v>90</v>
      </c>
      <c r="AO49" s="10">
        <f ca="1">VLOOKUP($B49,'[4]Analisys QBR By Machine Report'!$C$109:$BD$166,36,FALSE)</f>
        <v>0</v>
      </c>
      <c r="AP49" s="10">
        <f ca="1">VLOOKUP($B49,'[4]Analisys QBR By Machine Report'!$C$109:$BD$166,37,FALSE)</f>
        <v>0</v>
      </c>
      <c r="AQ49" s="10">
        <f ca="1">VLOOKUP($B49,'[4]Analisys QBR By Machine Report'!$C$109:$BD$166,38,FALSE)</f>
        <v>30</v>
      </c>
      <c r="AR49" s="10">
        <f ca="1">VLOOKUP($B49,'[4]Analisys QBR By Machine Report'!$C$109:$BD$166,39,FALSE)</f>
        <v>0</v>
      </c>
      <c r="AS49" s="10">
        <f ca="1">VLOOKUP($B49,'[4]Analisys QBR By Machine Report'!$C$109:$BD$166,40,FALSE)</f>
        <v>0</v>
      </c>
      <c r="AT49" s="10">
        <f ca="1">VLOOKUP($B49,'[4]Analisys QBR By Machine Report'!$C$109:$BD$166,41,FALSE)</f>
        <v>0</v>
      </c>
      <c r="AU49" s="10">
        <f ca="1">VLOOKUP($B49,'[4]Analisys QBR By Machine Report'!$C$109:$BD$166,42,FALSE)</f>
        <v>0</v>
      </c>
      <c r="AV49" s="10">
        <f ca="1">VLOOKUP($B49,'[4]Analisys QBR By Machine Report'!$C$109:$BD$166,43,FALSE)</f>
        <v>0</v>
      </c>
      <c r="AW49" s="10">
        <f ca="1">VLOOKUP($B49,'[4]Analisys QBR By Machine Report'!$C$109:$BD$166,44,FALSE)</f>
        <v>0</v>
      </c>
      <c r="AX49" s="10">
        <f ca="1">VLOOKUP($B49,'[4]Analisys QBR By Machine Report'!$C$109:$BD$166,45,FALSE)</f>
        <v>0</v>
      </c>
      <c r="AY49" s="10">
        <f ca="1">VLOOKUP($B49,'[4]Analisys QBR By Machine Report'!$C$109:$BD$166,46,FALSE)</f>
        <v>0</v>
      </c>
      <c r="AZ49" s="10">
        <f ca="1">VLOOKUP($B49,'[4]Analisys QBR By Machine Report'!$C$109:$BD$166,47,FALSE)</f>
        <v>75</v>
      </c>
      <c r="BA49" s="10">
        <f ca="1">VLOOKUP($B49,'[4]Analisys QBR By Machine Report'!$C$109:$BD$166,48,FALSE)</f>
        <v>0</v>
      </c>
      <c r="BB49" s="10">
        <f ca="1">VLOOKUP($B49,'[4]Analisys QBR By Machine Report'!$C$109:$BD$166,49,FALSE)</f>
        <v>0</v>
      </c>
      <c r="BC49" s="10">
        <f ca="1">VLOOKUP($B49,'[4]Analisys QBR By Machine Report'!$C$109:$BD$166,50,FALSE)</f>
        <v>0</v>
      </c>
      <c r="BD49" s="10">
        <f ca="1">VLOOKUP($B49,'[4]Analisys QBR By Machine Report'!$C$109:$BD$166,51,FALSE)</f>
        <v>190427.04</v>
      </c>
      <c r="BE49" s="10">
        <f ca="1">VLOOKUP($B49,'[4]Analisys QBR By Machine Report'!$C$109:$BD$166,52,FALSE)</f>
        <v>1594</v>
      </c>
      <c r="BF49" s="10">
        <f ca="1">VLOOKUP($B49,'[4]Analisys QBR By Machine Report'!$C$109:$BD$166,53,FALSE)</f>
        <v>188833.04</v>
      </c>
    </row>
    <row r="50" spans="1:58" x14ac:dyDescent="0.25">
      <c r="A50" s="12" t="s">
        <v>106</v>
      </c>
      <c r="B50" s="13">
        <f ca="1">VLOOKUP($B50,'[4]Analisys QBR By Machine Report'!$C$109:$BD$166,2,FALSE)</f>
        <v>24480</v>
      </c>
      <c r="C50" s="14">
        <f ca="1">VLOOKUP($B50,[4]Dasboard_QBR_Report!$B$109:$BL$166,3,FALSE)</f>
        <v>8160</v>
      </c>
      <c r="D50" s="13">
        <f ca="1">VLOOKUP($B50,'[4]Analisys QBR By Machine Report'!$C$109:$BD$166,3,FALSE)</f>
        <v>22440</v>
      </c>
      <c r="E50" s="14">
        <f ca="1">VLOOKUP($B50,[4]Dasboard_QBR_Report!$B$109:$BL$166,5,FALSE)</f>
        <v>6120</v>
      </c>
      <c r="F50" s="13">
        <f t="shared" ca="1" si="0"/>
        <v>2040</v>
      </c>
      <c r="G50" s="13">
        <f t="shared" ca="1" si="1"/>
        <v>150</v>
      </c>
      <c r="H50" s="13">
        <f ca="1">VLOOKUP($B50,'[4]Analisys QBR By Machine Report'!$C$109:$BD$166,4,FALSE)</f>
        <v>150</v>
      </c>
      <c r="I50" s="13">
        <f ca="1">VLOOKUP($B50,'[4]Analisys QBR By Machine Report'!$C$109:$BD$166,5,FALSE)</f>
        <v>30</v>
      </c>
      <c r="J50" s="13">
        <f ca="1">VLOOKUP($B50,'[4]Analisys QBR By Machine Report'!$C$109:$BD$166,6,FALSE)</f>
        <v>120</v>
      </c>
      <c r="K50" s="13">
        <f ca="1">VLOOKUP($B50,'[4]Analisys QBR By Machine Report'!$C$109:$BD$166,7,FALSE)</f>
        <v>0</v>
      </c>
      <c r="L50" s="13">
        <f ca="1">VLOOKUP($B50,'[4]Analisys QBR By Machine Report'!$C$109:$BD$166,8,FALSE)</f>
        <v>1890</v>
      </c>
      <c r="M50" s="13">
        <f ca="1">VLOOKUP($B50,'[4]Analisys QBR By Machine Report'!$C$109:$BD$166,9,FALSE)</f>
        <v>510</v>
      </c>
      <c r="N50" s="13">
        <f ca="1">VLOOKUP($B50,[4]Dasboard_QBR_Report!$B$109:$BL$166,18,FALSE)</f>
        <v>1380</v>
      </c>
      <c r="O50" s="13">
        <f ca="1">VLOOKUP($B50,'[4]Analisys QBR By Machine Report'!$C$109:$BD$166,10,FALSE)</f>
        <v>390</v>
      </c>
      <c r="P50" s="13">
        <f ca="1">VLOOKUP($B50,'[4]Analisys QBR By Machine Report'!$C$109:$BD$166,11,FALSE)</f>
        <v>370</v>
      </c>
      <c r="Q50" s="13">
        <f ca="1">VLOOKUP($B50,'[4]Analisys QBR By Machine Report'!$C$109:$BD$166,12,FALSE)</f>
        <v>0</v>
      </c>
      <c r="R50" s="13">
        <f ca="1">VLOOKUP($B50,'[4]Analisys QBR By Machine Report'!$C$109:$BD$166,13,FALSE)</f>
        <v>0</v>
      </c>
      <c r="S50" s="13">
        <f ca="1">VLOOKUP($B50,'[4]Analisys QBR By Machine Report'!$C$109:$BD$166,14,FALSE)</f>
        <v>20</v>
      </c>
      <c r="T50" s="13">
        <f ca="1">VLOOKUP($B50,'[4]Analisys QBR By Machine Report'!$C$109:$BD$166,15,FALSE)</f>
        <v>135</v>
      </c>
      <c r="U50" s="13">
        <f ca="1">VLOOKUP($B50,'[4]Analisys QBR By Machine Report'!$C$109:$BD$166,16,FALSE)</f>
        <v>135</v>
      </c>
      <c r="V50" s="13">
        <f ca="1">VLOOKUP($B50,'[4]Analisys QBR By Machine Report'!$C$109:$BD$166,17,FALSE)</f>
        <v>0</v>
      </c>
      <c r="W50" s="13">
        <f ca="1">VLOOKUP($B50,'[4]Analisys QBR By Machine Report'!$C$109:$BD$166,18,FALSE)</f>
        <v>0</v>
      </c>
      <c r="X50" s="13">
        <f ca="1">VLOOKUP($B50,'[4]Analisys QBR By Machine Report'!$C$109:$BD$166,19,FALSE)</f>
        <v>0</v>
      </c>
      <c r="Y50" s="13">
        <f ca="1">VLOOKUP($B50,'[4]Analisys QBR By Machine Report'!$C$109:$BD$166,20,FALSE)</f>
        <v>0</v>
      </c>
      <c r="Z50" s="13">
        <f ca="1">VLOOKUP($B50,'[4]Analisys QBR By Machine Report'!$C$109:$BD$166,21,FALSE)</f>
        <v>540</v>
      </c>
      <c r="AA50" s="13">
        <f ca="1">VLOOKUP($B50,'[4]Analisys QBR By Machine Report'!$C$109:$BD$166,22,FALSE)</f>
        <v>255</v>
      </c>
      <c r="AB50" s="13">
        <f ca="1">VLOOKUP($B50,'[4]Analisys QBR By Machine Report'!$C$109:$BD$166,23,FALSE)</f>
        <v>130</v>
      </c>
      <c r="AC50" s="13">
        <f ca="1">VLOOKUP($B50,'[4]Analisys QBR By Machine Report'!$C$109:$BD$166,24,FALSE)</f>
        <v>0</v>
      </c>
      <c r="AD50" s="13">
        <f ca="1">VLOOKUP($B50,'[4]Analisys QBR By Machine Report'!$C$109:$BD$166,25,FALSE)</f>
        <v>0</v>
      </c>
      <c r="AE50" s="13">
        <f ca="1">VLOOKUP($B50,'[4]Analisys QBR By Machine Report'!$C$109:$BD$166,26,FALSE)</f>
        <v>155</v>
      </c>
      <c r="AF50" s="13">
        <f ca="1">VLOOKUP($B50,'[4]Analisys QBR By Machine Report'!$C$109:$BD$166,27,FALSE)</f>
        <v>0</v>
      </c>
      <c r="AG50" s="13">
        <f ca="1">VLOOKUP($B50,'[4]Analisys QBR By Machine Report'!$C$109:$BD$166,28,FALSE)</f>
        <v>0</v>
      </c>
      <c r="AH50" s="13">
        <f ca="1">VLOOKUP($B50,'[4]Analisys QBR By Machine Report'!$C$109:$BD$166,29,FALSE)</f>
        <v>0</v>
      </c>
      <c r="AI50" s="13">
        <f ca="1">VLOOKUP($B50,'[4]Analisys QBR By Machine Report'!$C$109:$BD$166,30,FALSE)</f>
        <v>315</v>
      </c>
      <c r="AJ50" s="13">
        <f ca="1">VLOOKUP($B50,'[4]Analisys QBR By Machine Report'!$C$109:$BD$166,31,FALSE)</f>
        <v>0</v>
      </c>
      <c r="AK50" s="13">
        <f ca="1">VLOOKUP($B50,'[4]Analisys QBR By Machine Report'!$C$109:$BD$166,32,FALSE)</f>
        <v>0</v>
      </c>
      <c r="AL50" s="13">
        <f ca="1">VLOOKUP($B50,'[4]Analisys QBR By Machine Report'!$C$109:$BD$166,33,FALSE)</f>
        <v>120</v>
      </c>
      <c r="AM50" s="13">
        <f ca="1">VLOOKUP($B50,'[4]Analisys QBR By Machine Report'!$C$109:$BD$166,34,FALSE)</f>
        <v>0</v>
      </c>
      <c r="AN50" s="13">
        <f ca="1">VLOOKUP($B50,'[4]Analisys QBR By Machine Report'!$C$109:$BD$166,35,FALSE)</f>
        <v>90</v>
      </c>
      <c r="AO50" s="13">
        <f ca="1">VLOOKUP($B50,'[4]Analisys QBR By Machine Report'!$C$109:$BD$166,36,FALSE)</f>
        <v>0</v>
      </c>
      <c r="AP50" s="13">
        <f ca="1">VLOOKUP($B50,'[4]Analisys QBR By Machine Report'!$C$109:$BD$166,37,FALSE)</f>
        <v>0</v>
      </c>
      <c r="AQ50" s="13">
        <f ca="1">VLOOKUP($B50,'[4]Analisys QBR By Machine Report'!$C$109:$BD$166,38,FALSE)</f>
        <v>30</v>
      </c>
      <c r="AR50" s="13">
        <f ca="1">VLOOKUP($B50,'[4]Analisys QBR By Machine Report'!$C$109:$BD$166,39,FALSE)</f>
        <v>0</v>
      </c>
      <c r="AS50" s="13">
        <f ca="1">VLOOKUP($B50,'[4]Analisys QBR By Machine Report'!$C$109:$BD$166,40,FALSE)</f>
        <v>0</v>
      </c>
      <c r="AT50" s="13">
        <f ca="1">VLOOKUP($B50,'[4]Analisys QBR By Machine Report'!$C$109:$BD$166,41,FALSE)</f>
        <v>0</v>
      </c>
      <c r="AU50" s="13">
        <f ca="1">VLOOKUP($B50,'[4]Analisys QBR By Machine Report'!$C$109:$BD$166,42,FALSE)</f>
        <v>0</v>
      </c>
      <c r="AV50" s="13">
        <f ca="1">VLOOKUP($B50,'[4]Analisys QBR By Machine Report'!$C$109:$BD$166,43,FALSE)</f>
        <v>0</v>
      </c>
      <c r="AW50" s="13">
        <f ca="1">VLOOKUP($B50,'[4]Analisys QBR By Machine Report'!$C$109:$BD$166,44,FALSE)</f>
        <v>0</v>
      </c>
      <c r="AX50" s="13">
        <f ca="1">VLOOKUP($B50,'[4]Analisys QBR By Machine Report'!$C$109:$BD$166,45,FALSE)</f>
        <v>0</v>
      </c>
      <c r="AY50" s="13">
        <f ca="1">VLOOKUP($B50,'[4]Analisys QBR By Machine Report'!$C$109:$BD$166,46,FALSE)</f>
        <v>0</v>
      </c>
      <c r="AZ50" s="13">
        <f ca="1">VLOOKUP($B50,'[4]Analisys QBR By Machine Report'!$C$109:$BD$166,47,FALSE)</f>
        <v>75</v>
      </c>
      <c r="BA50" s="13">
        <f ca="1">VLOOKUP($B50,'[4]Analisys QBR By Machine Report'!$C$109:$BD$166,48,FALSE)</f>
        <v>0</v>
      </c>
      <c r="BB50" s="13">
        <f ca="1">VLOOKUP($B50,'[4]Analisys QBR By Machine Report'!$C$109:$BD$166,49,FALSE)</f>
        <v>0</v>
      </c>
      <c r="BC50" s="13">
        <f ca="1">VLOOKUP($B50,'[4]Analisys QBR By Machine Report'!$C$109:$BD$166,50,FALSE)</f>
        <v>0</v>
      </c>
      <c r="BD50" s="13">
        <f ca="1">VLOOKUP($B50,'[4]Analisys QBR By Machine Report'!$C$109:$BD$166,51,FALSE)</f>
        <v>190427.04</v>
      </c>
      <c r="BE50" s="13">
        <f ca="1">VLOOKUP($B50,'[4]Analisys QBR By Machine Report'!$C$109:$BD$166,52,FALSE)</f>
        <v>1594</v>
      </c>
      <c r="BF50" s="13">
        <f ca="1">VLOOKUP($B50,'[4]Analisys QBR By Machine Report'!$C$109:$BD$166,53,FALSE)</f>
        <v>188833.04</v>
      </c>
    </row>
    <row r="51" spans="1:58" x14ac:dyDescent="0.25">
      <c r="A51" s="9" t="s">
        <v>107</v>
      </c>
      <c r="B51" s="10">
        <f ca="1">VLOOKUP($B51,'[4]Analisys QBR By Machine Report'!$C$109:$BD$166,2,FALSE)</f>
        <v>24480</v>
      </c>
      <c r="C51" s="11">
        <f ca="1">VLOOKUP($B51,[4]Dasboard_QBR_Report!$B$109:$BL$166,3,FALSE)</f>
        <v>15810</v>
      </c>
      <c r="D51" s="10">
        <f ca="1">VLOOKUP($B51,'[4]Analisys QBR By Machine Report'!$C$109:$BD$166,3,FALSE)</f>
        <v>20760</v>
      </c>
      <c r="E51" s="11">
        <f ca="1">VLOOKUP($B51,[4]Dasboard_QBR_Report!$B$109:$BL$166,5,FALSE)</f>
        <v>12090</v>
      </c>
      <c r="F51" s="10">
        <f t="shared" ca="1" si="0"/>
        <v>3720</v>
      </c>
      <c r="G51" s="10">
        <f t="shared" ca="1" si="1"/>
        <v>225</v>
      </c>
      <c r="H51" s="10">
        <f ca="1">VLOOKUP($B51,'[4]Analisys QBR By Machine Report'!$C$109:$BD$166,4,FALSE)</f>
        <v>225</v>
      </c>
      <c r="I51" s="10">
        <f ca="1">VLOOKUP($B51,'[4]Analisys QBR By Machine Report'!$C$109:$BD$166,5,FALSE)</f>
        <v>45</v>
      </c>
      <c r="J51" s="10">
        <f ca="1">VLOOKUP($B51,'[4]Analisys QBR By Machine Report'!$C$109:$BD$166,6,FALSE)</f>
        <v>180</v>
      </c>
      <c r="K51" s="10">
        <f ca="1">VLOOKUP($B51,'[4]Analisys QBR By Machine Report'!$C$109:$BD$166,7,FALSE)</f>
        <v>0</v>
      </c>
      <c r="L51" s="10">
        <f ca="1">VLOOKUP($B51,'[4]Analisys QBR By Machine Report'!$C$109:$BD$166,8,FALSE)</f>
        <v>3495</v>
      </c>
      <c r="M51" s="10">
        <f ca="1">VLOOKUP($B51,'[4]Analisys QBR By Machine Report'!$C$109:$BD$166,9,FALSE)</f>
        <v>1367</v>
      </c>
      <c r="N51" s="10">
        <f ca="1">VLOOKUP($B51,[4]Dasboard_QBR_Report!$B$109:$BL$166,18,FALSE)</f>
        <v>2128</v>
      </c>
      <c r="O51" s="10">
        <f ca="1">VLOOKUP($B51,'[4]Analisys QBR By Machine Report'!$C$109:$BD$166,10,FALSE)</f>
        <v>320</v>
      </c>
      <c r="P51" s="10">
        <f ca="1">VLOOKUP($B51,'[4]Analisys QBR By Machine Report'!$C$109:$BD$166,11,FALSE)</f>
        <v>250</v>
      </c>
      <c r="Q51" s="10">
        <f ca="1">VLOOKUP($B51,'[4]Analisys QBR By Machine Report'!$C$109:$BD$166,12,FALSE)</f>
        <v>0</v>
      </c>
      <c r="R51" s="10">
        <f ca="1">VLOOKUP($B51,'[4]Analisys QBR By Machine Report'!$C$109:$BD$166,13,FALSE)</f>
        <v>70</v>
      </c>
      <c r="S51" s="10">
        <f ca="1">VLOOKUP($B51,'[4]Analisys QBR By Machine Report'!$C$109:$BD$166,14,FALSE)</f>
        <v>0</v>
      </c>
      <c r="T51" s="10">
        <f ca="1">VLOOKUP($B51,'[4]Analisys QBR By Machine Report'!$C$109:$BD$166,15,FALSE)</f>
        <v>46</v>
      </c>
      <c r="U51" s="10">
        <f ca="1">VLOOKUP($B51,'[4]Analisys QBR By Machine Report'!$C$109:$BD$166,16,FALSE)</f>
        <v>46</v>
      </c>
      <c r="V51" s="10">
        <f ca="1">VLOOKUP($B51,'[4]Analisys QBR By Machine Report'!$C$109:$BD$166,17,FALSE)</f>
        <v>0</v>
      </c>
      <c r="W51" s="10">
        <f ca="1">VLOOKUP($B51,'[4]Analisys QBR By Machine Report'!$C$109:$BD$166,18,FALSE)</f>
        <v>0</v>
      </c>
      <c r="X51" s="10">
        <f ca="1">VLOOKUP($B51,'[4]Analisys QBR By Machine Report'!$C$109:$BD$166,19,FALSE)</f>
        <v>0</v>
      </c>
      <c r="Y51" s="10">
        <f ca="1">VLOOKUP($B51,'[4]Analisys QBR By Machine Report'!$C$109:$BD$166,20,FALSE)</f>
        <v>0</v>
      </c>
      <c r="Z51" s="10">
        <f ca="1">VLOOKUP($B51,'[4]Analisys QBR By Machine Report'!$C$109:$BD$166,21,FALSE)</f>
        <v>1061</v>
      </c>
      <c r="AA51" s="10">
        <f ca="1">VLOOKUP($B51,'[4]Analisys QBR By Machine Report'!$C$109:$BD$166,22,FALSE)</f>
        <v>351</v>
      </c>
      <c r="AB51" s="10">
        <f ca="1">VLOOKUP($B51,'[4]Analisys QBR By Machine Report'!$C$109:$BD$166,23,FALSE)</f>
        <v>710</v>
      </c>
      <c r="AC51" s="10">
        <f ca="1">VLOOKUP($B51,'[4]Analisys QBR By Machine Report'!$C$109:$BD$166,24,FALSE)</f>
        <v>0</v>
      </c>
      <c r="AD51" s="10">
        <f ca="1">VLOOKUP($B51,'[4]Analisys QBR By Machine Report'!$C$109:$BD$166,25,FALSE)</f>
        <v>0</v>
      </c>
      <c r="AE51" s="10">
        <f ca="1">VLOOKUP($B51,'[4]Analisys QBR By Machine Report'!$C$109:$BD$166,26,FALSE)</f>
        <v>0</v>
      </c>
      <c r="AF51" s="10">
        <f ca="1">VLOOKUP($B51,'[4]Analisys QBR By Machine Report'!$C$109:$BD$166,27,FALSE)</f>
        <v>0</v>
      </c>
      <c r="AG51" s="10">
        <f ca="1">VLOOKUP($B51,'[4]Analisys QBR By Machine Report'!$C$109:$BD$166,28,FALSE)</f>
        <v>0</v>
      </c>
      <c r="AH51" s="10">
        <f ca="1">VLOOKUP($B51,'[4]Analisys QBR By Machine Report'!$C$109:$BD$166,29,FALSE)</f>
        <v>0</v>
      </c>
      <c r="AI51" s="10">
        <f ca="1">VLOOKUP($B51,'[4]Analisys QBR By Machine Report'!$C$109:$BD$166,30,FALSE)</f>
        <v>701</v>
      </c>
      <c r="AJ51" s="10">
        <f ca="1">VLOOKUP($B51,'[4]Analisys QBR By Machine Report'!$C$109:$BD$166,31,FALSE)</f>
        <v>0</v>
      </c>
      <c r="AK51" s="10">
        <f ca="1">VLOOKUP($B51,'[4]Analisys QBR By Machine Report'!$C$109:$BD$166,32,FALSE)</f>
        <v>0</v>
      </c>
      <c r="AL51" s="10">
        <f ca="1">VLOOKUP($B51,'[4]Analisys QBR By Machine Report'!$C$109:$BD$166,33,FALSE)</f>
        <v>260</v>
      </c>
      <c r="AM51" s="10">
        <f ca="1">VLOOKUP($B51,'[4]Analisys QBR By Machine Report'!$C$109:$BD$166,34,FALSE)</f>
        <v>10</v>
      </c>
      <c r="AN51" s="10">
        <f ca="1">VLOOKUP($B51,'[4]Analisys QBR By Machine Report'!$C$109:$BD$166,35,FALSE)</f>
        <v>242</v>
      </c>
      <c r="AO51" s="10">
        <f ca="1">VLOOKUP($B51,'[4]Analisys QBR By Machine Report'!$C$109:$BD$166,36,FALSE)</f>
        <v>0</v>
      </c>
      <c r="AP51" s="10">
        <f ca="1">VLOOKUP($B51,'[4]Analisys QBR By Machine Report'!$C$109:$BD$166,37,FALSE)</f>
        <v>0</v>
      </c>
      <c r="AQ51" s="10">
        <f ca="1">VLOOKUP($B51,'[4]Analisys QBR By Machine Report'!$C$109:$BD$166,38,FALSE)</f>
        <v>35</v>
      </c>
      <c r="AR51" s="10">
        <f ca="1">VLOOKUP($B51,'[4]Analisys QBR By Machine Report'!$C$109:$BD$166,39,FALSE)</f>
        <v>0</v>
      </c>
      <c r="AS51" s="10">
        <f ca="1">VLOOKUP($B51,'[4]Analisys QBR By Machine Report'!$C$109:$BD$166,40,FALSE)</f>
        <v>44</v>
      </c>
      <c r="AT51" s="10">
        <f ca="1">VLOOKUP($B51,'[4]Analisys QBR By Machine Report'!$C$109:$BD$166,41,FALSE)</f>
        <v>0</v>
      </c>
      <c r="AU51" s="10">
        <f ca="1">VLOOKUP($B51,'[4]Analisys QBR By Machine Report'!$C$109:$BD$166,42,FALSE)</f>
        <v>0</v>
      </c>
      <c r="AV51" s="10">
        <f ca="1">VLOOKUP($B51,'[4]Analisys QBR By Machine Report'!$C$109:$BD$166,43,FALSE)</f>
        <v>110</v>
      </c>
      <c r="AW51" s="10">
        <f ca="1">VLOOKUP($B51,'[4]Analisys QBR By Machine Report'!$C$109:$BD$166,44,FALSE)</f>
        <v>0</v>
      </c>
      <c r="AX51" s="10">
        <f ca="1">VLOOKUP($B51,'[4]Analisys QBR By Machine Report'!$C$109:$BD$166,45,FALSE)</f>
        <v>0</v>
      </c>
      <c r="AY51" s="10">
        <f ca="1">VLOOKUP($B51,'[4]Analisys QBR By Machine Report'!$C$109:$BD$166,46,FALSE)</f>
        <v>0</v>
      </c>
      <c r="AZ51" s="10">
        <f ca="1">VLOOKUP($B51,'[4]Analisys QBR By Machine Report'!$C$109:$BD$166,47,FALSE)</f>
        <v>0</v>
      </c>
      <c r="BA51" s="10">
        <f ca="1">VLOOKUP($B51,'[4]Analisys QBR By Machine Report'!$C$109:$BD$166,48,FALSE)</f>
        <v>0</v>
      </c>
      <c r="BB51" s="10">
        <f ca="1">VLOOKUP($B51,'[4]Analisys QBR By Machine Report'!$C$109:$BD$166,49,FALSE)</f>
        <v>0</v>
      </c>
      <c r="BC51" s="10">
        <f ca="1">VLOOKUP($B51,'[4]Analisys QBR By Machine Report'!$C$109:$BD$166,50,FALSE)</f>
        <v>0</v>
      </c>
      <c r="BD51" s="10">
        <f ca="1">VLOOKUP($B51,'[4]Analisys QBR By Machine Report'!$C$109:$BD$166,51,FALSE)</f>
        <v>197512</v>
      </c>
      <c r="BE51" s="10">
        <f ca="1">VLOOKUP($B51,'[4]Analisys QBR By Machine Report'!$C$109:$BD$166,52,FALSE)</f>
        <v>6</v>
      </c>
      <c r="BF51" s="10">
        <f ca="1">VLOOKUP($B51,'[4]Analisys QBR By Machine Report'!$C$109:$BD$166,53,FALSE)</f>
        <v>197506</v>
      </c>
    </row>
    <row r="52" spans="1:58" x14ac:dyDescent="0.25">
      <c r="A52" s="12" t="s">
        <v>108</v>
      </c>
      <c r="B52" s="13">
        <f ca="1">VLOOKUP($B52,'[4]Analisys QBR By Machine Report'!$C$109:$BD$166,2,FALSE)</f>
        <v>24480</v>
      </c>
      <c r="C52" s="14">
        <f ca="1">VLOOKUP($B52,[4]Dasboard_QBR_Report!$B$109:$BL$166,3,FALSE)</f>
        <v>15810</v>
      </c>
      <c r="D52" s="13">
        <f ca="1">VLOOKUP($B52,'[4]Analisys QBR By Machine Report'!$C$109:$BD$166,3,FALSE)</f>
        <v>20760</v>
      </c>
      <c r="E52" s="14">
        <f ca="1">VLOOKUP($B52,[4]Dasboard_QBR_Report!$B$109:$BL$166,5,FALSE)</f>
        <v>12090</v>
      </c>
      <c r="F52" s="13">
        <f t="shared" ca="1" si="0"/>
        <v>3720</v>
      </c>
      <c r="G52" s="13">
        <f t="shared" ca="1" si="1"/>
        <v>225</v>
      </c>
      <c r="H52" s="13">
        <f ca="1">VLOOKUP($B52,'[4]Analisys QBR By Machine Report'!$C$109:$BD$166,4,FALSE)</f>
        <v>225</v>
      </c>
      <c r="I52" s="13">
        <f ca="1">VLOOKUP($B52,'[4]Analisys QBR By Machine Report'!$C$109:$BD$166,5,FALSE)</f>
        <v>45</v>
      </c>
      <c r="J52" s="13">
        <f ca="1">VLOOKUP($B52,'[4]Analisys QBR By Machine Report'!$C$109:$BD$166,6,FALSE)</f>
        <v>180</v>
      </c>
      <c r="K52" s="13">
        <f ca="1">VLOOKUP($B52,'[4]Analisys QBR By Machine Report'!$C$109:$BD$166,7,FALSE)</f>
        <v>0</v>
      </c>
      <c r="L52" s="13">
        <f ca="1">VLOOKUP($B52,'[4]Analisys QBR By Machine Report'!$C$109:$BD$166,8,FALSE)</f>
        <v>3495</v>
      </c>
      <c r="M52" s="13">
        <f ca="1">VLOOKUP($B52,'[4]Analisys QBR By Machine Report'!$C$109:$BD$166,9,FALSE)</f>
        <v>1367</v>
      </c>
      <c r="N52" s="13">
        <f ca="1">VLOOKUP($B52,[4]Dasboard_QBR_Report!$B$109:$BL$166,18,FALSE)</f>
        <v>2128</v>
      </c>
      <c r="O52" s="13">
        <f ca="1">VLOOKUP($B52,'[4]Analisys QBR By Machine Report'!$C$109:$BD$166,10,FALSE)</f>
        <v>320</v>
      </c>
      <c r="P52" s="13">
        <f ca="1">VLOOKUP($B52,'[4]Analisys QBR By Machine Report'!$C$109:$BD$166,11,FALSE)</f>
        <v>250</v>
      </c>
      <c r="Q52" s="13">
        <f ca="1">VLOOKUP($B52,'[4]Analisys QBR By Machine Report'!$C$109:$BD$166,12,FALSE)</f>
        <v>0</v>
      </c>
      <c r="R52" s="13">
        <f ca="1">VLOOKUP($B52,'[4]Analisys QBR By Machine Report'!$C$109:$BD$166,13,FALSE)</f>
        <v>70</v>
      </c>
      <c r="S52" s="13">
        <f ca="1">VLOOKUP($B52,'[4]Analisys QBR By Machine Report'!$C$109:$BD$166,14,FALSE)</f>
        <v>0</v>
      </c>
      <c r="T52" s="13">
        <f ca="1">VLOOKUP($B52,'[4]Analisys QBR By Machine Report'!$C$109:$BD$166,15,FALSE)</f>
        <v>46</v>
      </c>
      <c r="U52" s="13">
        <f ca="1">VLOOKUP($B52,'[4]Analisys QBR By Machine Report'!$C$109:$BD$166,16,FALSE)</f>
        <v>46</v>
      </c>
      <c r="V52" s="13">
        <f ca="1">VLOOKUP($B52,'[4]Analisys QBR By Machine Report'!$C$109:$BD$166,17,FALSE)</f>
        <v>0</v>
      </c>
      <c r="W52" s="13">
        <f ca="1">VLOOKUP($B52,'[4]Analisys QBR By Machine Report'!$C$109:$BD$166,18,FALSE)</f>
        <v>0</v>
      </c>
      <c r="X52" s="13">
        <f ca="1">VLOOKUP($B52,'[4]Analisys QBR By Machine Report'!$C$109:$BD$166,19,FALSE)</f>
        <v>0</v>
      </c>
      <c r="Y52" s="13">
        <f ca="1">VLOOKUP($B52,'[4]Analisys QBR By Machine Report'!$C$109:$BD$166,20,FALSE)</f>
        <v>0</v>
      </c>
      <c r="Z52" s="13">
        <f ca="1">VLOOKUP($B52,'[4]Analisys QBR By Machine Report'!$C$109:$BD$166,21,FALSE)</f>
        <v>1061</v>
      </c>
      <c r="AA52" s="13">
        <f ca="1">VLOOKUP($B52,'[4]Analisys QBR By Machine Report'!$C$109:$BD$166,22,FALSE)</f>
        <v>351</v>
      </c>
      <c r="AB52" s="13">
        <f ca="1">VLOOKUP($B52,'[4]Analisys QBR By Machine Report'!$C$109:$BD$166,23,FALSE)</f>
        <v>710</v>
      </c>
      <c r="AC52" s="13">
        <f ca="1">VLOOKUP($B52,'[4]Analisys QBR By Machine Report'!$C$109:$BD$166,24,FALSE)</f>
        <v>0</v>
      </c>
      <c r="AD52" s="13">
        <f ca="1">VLOOKUP($B52,'[4]Analisys QBR By Machine Report'!$C$109:$BD$166,25,FALSE)</f>
        <v>0</v>
      </c>
      <c r="AE52" s="13">
        <f ca="1">VLOOKUP($B52,'[4]Analisys QBR By Machine Report'!$C$109:$BD$166,26,FALSE)</f>
        <v>0</v>
      </c>
      <c r="AF52" s="13">
        <f ca="1">VLOOKUP($B52,'[4]Analisys QBR By Machine Report'!$C$109:$BD$166,27,FALSE)</f>
        <v>0</v>
      </c>
      <c r="AG52" s="13">
        <f ca="1">VLOOKUP($B52,'[4]Analisys QBR By Machine Report'!$C$109:$BD$166,28,FALSE)</f>
        <v>0</v>
      </c>
      <c r="AH52" s="13">
        <f ca="1">VLOOKUP($B52,'[4]Analisys QBR By Machine Report'!$C$109:$BD$166,29,FALSE)</f>
        <v>0</v>
      </c>
      <c r="AI52" s="13">
        <f ca="1">VLOOKUP($B52,'[4]Analisys QBR By Machine Report'!$C$109:$BD$166,30,FALSE)</f>
        <v>701</v>
      </c>
      <c r="AJ52" s="13">
        <f ca="1">VLOOKUP($B52,'[4]Analisys QBR By Machine Report'!$C$109:$BD$166,31,FALSE)</f>
        <v>0</v>
      </c>
      <c r="AK52" s="13">
        <f ca="1">VLOOKUP($B52,'[4]Analisys QBR By Machine Report'!$C$109:$BD$166,32,FALSE)</f>
        <v>0</v>
      </c>
      <c r="AL52" s="13">
        <f ca="1">VLOOKUP($B52,'[4]Analisys QBR By Machine Report'!$C$109:$BD$166,33,FALSE)</f>
        <v>260</v>
      </c>
      <c r="AM52" s="13">
        <f ca="1">VLOOKUP($B52,'[4]Analisys QBR By Machine Report'!$C$109:$BD$166,34,FALSE)</f>
        <v>10</v>
      </c>
      <c r="AN52" s="13">
        <f ca="1">VLOOKUP($B52,'[4]Analisys QBR By Machine Report'!$C$109:$BD$166,35,FALSE)</f>
        <v>242</v>
      </c>
      <c r="AO52" s="13">
        <f ca="1">VLOOKUP($B52,'[4]Analisys QBR By Machine Report'!$C$109:$BD$166,36,FALSE)</f>
        <v>0</v>
      </c>
      <c r="AP52" s="13">
        <f ca="1">VLOOKUP($B52,'[4]Analisys QBR By Machine Report'!$C$109:$BD$166,37,FALSE)</f>
        <v>0</v>
      </c>
      <c r="AQ52" s="13">
        <f ca="1">VLOOKUP($B52,'[4]Analisys QBR By Machine Report'!$C$109:$BD$166,38,FALSE)</f>
        <v>35</v>
      </c>
      <c r="AR52" s="13">
        <f ca="1">VLOOKUP($B52,'[4]Analisys QBR By Machine Report'!$C$109:$BD$166,39,FALSE)</f>
        <v>0</v>
      </c>
      <c r="AS52" s="13">
        <f ca="1">VLOOKUP($B52,'[4]Analisys QBR By Machine Report'!$C$109:$BD$166,40,FALSE)</f>
        <v>44</v>
      </c>
      <c r="AT52" s="13">
        <f ca="1">VLOOKUP($B52,'[4]Analisys QBR By Machine Report'!$C$109:$BD$166,41,FALSE)</f>
        <v>0</v>
      </c>
      <c r="AU52" s="13">
        <f ca="1">VLOOKUP($B52,'[4]Analisys QBR By Machine Report'!$C$109:$BD$166,42,FALSE)</f>
        <v>0</v>
      </c>
      <c r="AV52" s="13">
        <f ca="1">VLOOKUP($B52,'[4]Analisys QBR By Machine Report'!$C$109:$BD$166,43,FALSE)</f>
        <v>110</v>
      </c>
      <c r="AW52" s="13">
        <f ca="1">VLOOKUP($B52,'[4]Analisys QBR By Machine Report'!$C$109:$BD$166,44,FALSE)</f>
        <v>0</v>
      </c>
      <c r="AX52" s="13">
        <f ca="1">VLOOKUP($B52,'[4]Analisys QBR By Machine Report'!$C$109:$BD$166,45,FALSE)</f>
        <v>0</v>
      </c>
      <c r="AY52" s="13">
        <f ca="1">VLOOKUP($B52,'[4]Analisys QBR By Machine Report'!$C$109:$BD$166,46,FALSE)</f>
        <v>0</v>
      </c>
      <c r="AZ52" s="13">
        <f ca="1">VLOOKUP($B52,'[4]Analisys QBR By Machine Report'!$C$109:$BD$166,47,FALSE)</f>
        <v>0</v>
      </c>
      <c r="BA52" s="13">
        <f ca="1">VLOOKUP($B52,'[4]Analisys QBR By Machine Report'!$C$109:$BD$166,48,FALSE)</f>
        <v>0</v>
      </c>
      <c r="BB52" s="13">
        <f ca="1">VLOOKUP($B52,'[4]Analisys QBR By Machine Report'!$C$109:$BD$166,49,FALSE)</f>
        <v>0</v>
      </c>
      <c r="BC52" s="13">
        <f ca="1">VLOOKUP($B52,'[4]Analisys QBR By Machine Report'!$C$109:$BD$166,50,FALSE)</f>
        <v>0</v>
      </c>
      <c r="BD52" s="13">
        <f ca="1">VLOOKUP($B52,'[4]Analisys QBR By Machine Report'!$C$109:$BD$166,51,FALSE)</f>
        <v>197512</v>
      </c>
      <c r="BE52" s="13">
        <f ca="1">VLOOKUP($B52,'[4]Analisys QBR By Machine Report'!$C$109:$BD$166,52,FALSE)</f>
        <v>6</v>
      </c>
      <c r="BF52" s="13">
        <f ca="1">VLOOKUP($B52,'[4]Analisys QBR By Machine Report'!$C$109:$BD$166,53,FALSE)</f>
        <v>197506</v>
      </c>
    </row>
    <row r="53" spans="1:58" x14ac:dyDescent="0.25">
      <c r="A53" s="9" t="s">
        <v>109</v>
      </c>
      <c r="B53" s="10">
        <f ca="1">VLOOKUP($B53,'[4]Analisys QBR By Machine Report'!$C$109:$BD$166,2,FALSE)</f>
        <v>48960</v>
      </c>
      <c r="C53" s="11">
        <f ca="1">VLOOKUP($B53,[4]Dasboard_QBR_Report!$B$109:$BL$166,3,FALSE)</f>
        <v>31620</v>
      </c>
      <c r="D53" s="10">
        <f ca="1">VLOOKUP($B53,'[4]Analisys QBR By Machine Report'!$C$109:$BD$166,3,FALSE)</f>
        <v>41010</v>
      </c>
      <c r="E53" s="11">
        <f ca="1">VLOOKUP($B53,[4]Dasboard_QBR_Report!$B$109:$BL$166,5,FALSE)</f>
        <v>23670</v>
      </c>
      <c r="F53" s="10">
        <f t="shared" ca="1" si="0"/>
        <v>7950</v>
      </c>
      <c r="G53" s="10">
        <f t="shared" ca="1" si="1"/>
        <v>150</v>
      </c>
      <c r="H53" s="10">
        <f ca="1">VLOOKUP($B53,'[4]Analisys QBR By Machine Report'!$C$109:$BD$166,4,FALSE)</f>
        <v>150</v>
      </c>
      <c r="I53" s="10">
        <f ca="1">VLOOKUP($B53,'[4]Analisys QBR By Machine Report'!$C$109:$BD$166,5,FALSE)</f>
        <v>150</v>
      </c>
      <c r="J53" s="10">
        <f ca="1">VLOOKUP($B53,'[4]Analisys QBR By Machine Report'!$C$109:$BD$166,6,FALSE)</f>
        <v>0</v>
      </c>
      <c r="K53" s="10">
        <f ca="1">VLOOKUP($B53,'[4]Analisys QBR By Machine Report'!$C$109:$BD$166,7,FALSE)</f>
        <v>0</v>
      </c>
      <c r="L53" s="10">
        <f ca="1">VLOOKUP($B53,'[4]Analisys QBR By Machine Report'!$C$109:$BD$166,8,FALSE)</f>
        <v>7800</v>
      </c>
      <c r="M53" s="10">
        <f ca="1">VLOOKUP($B53,'[4]Analisys QBR By Machine Report'!$C$109:$BD$166,9,FALSE)</f>
        <v>3039</v>
      </c>
      <c r="N53" s="10">
        <f ca="1">VLOOKUP($B53,[4]Dasboard_QBR_Report!$B$109:$BL$166,18,FALSE)</f>
        <v>4761</v>
      </c>
      <c r="O53" s="10">
        <f ca="1">VLOOKUP($B53,'[4]Analisys QBR By Machine Report'!$C$109:$BD$166,10,FALSE)</f>
        <v>222</v>
      </c>
      <c r="P53" s="10">
        <f ca="1">VLOOKUP($B53,'[4]Analisys QBR By Machine Report'!$C$109:$BD$166,11,FALSE)</f>
        <v>222</v>
      </c>
      <c r="Q53" s="10">
        <f ca="1">VLOOKUP($B53,'[4]Analisys QBR By Machine Report'!$C$109:$BD$166,12,FALSE)</f>
        <v>0</v>
      </c>
      <c r="R53" s="10">
        <f ca="1">VLOOKUP($B53,'[4]Analisys QBR By Machine Report'!$C$109:$BD$166,13,FALSE)</f>
        <v>0</v>
      </c>
      <c r="S53" s="10">
        <f ca="1">VLOOKUP($B53,'[4]Analisys QBR By Machine Report'!$C$109:$BD$166,14,FALSE)</f>
        <v>0</v>
      </c>
      <c r="T53" s="10">
        <f ca="1">VLOOKUP($B53,'[4]Analisys QBR By Machine Report'!$C$109:$BD$166,15,FALSE)</f>
        <v>0</v>
      </c>
      <c r="U53" s="10">
        <f ca="1">VLOOKUP($B53,'[4]Analisys QBR By Machine Report'!$C$109:$BD$166,16,FALSE)</f>
        <v>0</v>
      </c>
      <c r="V53" s="10">
        <f ca="1">VLOOKUP($B53,'[4]Analisys QBR By Machine Report'!$C$109:$BD$166,17,FALSE)</f>
        <v>0</v>
      </c>
      <c r="W53" s="10">
        <f ca="1">VLOOKUP($B53,'[4]Analisys QBR By Machine Report'!$C$109:$BD$166,18,FALSE)</f>
        <v>0</v>
      </c>
      <c r="X53" s="10">
        <f ca="1">VLOOKUP($B53,'[4]Analisys QBR By Machine Report'!$C$109:$BD$166,19,FALSE)</f>
        <v>0</v>
      </c>
      <c r="Y53" s="10">
        <f ca="1">VLOOKUP($B53,'[4]Analisys QBR By Machine Report'!$C$109:$BD$166,20,FALSE)</f>
        <v>0</v>
      </c>
      <c r="Z53" s="10">
        <f ca="1">VLOOKUP($B53,'[4]Analisys QBR By Machine Report'!$C$109:$BD$166,21,FALSE)</f>
        <v>2330</v>
      </c>
      <c r="AA53" s="10">
        <f ca="1">VLOOKUP($B53,'[4]Analisys QBR By Machine Report'!$C$109:$BD$166,22,FALSE)</f>
        <v>2009</v>
      </c>
      <c r="AB53" s="10">
        <f ca="1">VLOOKUP($B53,'[4]Analisys QBR By Machine Report'!$C$109:$BD$166,23,FALSE)</f>
        <v>321</v>
      </c>
      <c r="AC53" s="10">
        <f ca="1">VLOOKUP($B53,'[4]Analisys QBR By Machine Report'!$C$109:$BD$166,24,FALSE)</f>
        <v>0</v>
      </c>
      <c r="AD53" s="10">
        <f ca="1">VLOOKUP($B53,'[4]Analisys QBR By Machine Report'!$C$109:$BD$166,25,FALSE)</f>
        <v>0</v>
      </c>
      <c r="AE53" s="10">
        <f ca="1">VLOOKUP($B53,'[4]Analisys QBR By Machine Report'!$C$109:$BD$166,26,FALSE)</f>
        <v>0</v>
      </c>
      <c r="AF53" s="10">
        <f ca="1">VLOOKUP($B53,'[4]Analisys QBR By Machine Report'!$C$109:$BD$166,27,FALSE)</f>
        <v>0</v>
      </c>
      <c r="AG53" s="10">
        <f ca="1">VLOOKUP($B53,'[4]Analisys QBR By Machine Report'!$C$109:$BD$166,28,FALSE)</f>
        <v>0</v>
      </c>
      <c r="AH53" s="10">
        <f ca="1">VLOOKUP($B53,'[4]Analisys QBR By Machine Report'!$C$109:$BD$166,29,FALSE)</f>
        <v>0</v>
      </c>
      <c r="AI53" s="10">
        <f ca="1">VLOOKUP($B53,'[4]Analisys QBR By Machine Report'!$C$109:$BD$166,30,FALSE)</f>
        <v>2209</v>
      </c>
      <c r="AJ53" s="10">
        <f ca="1">VLOOKUP($B53,'[4]Analisys QBR By Machine Report'!$C$109:$BD$166,31,FALSE)</f>
        <v>0</v>
      </c>
      <c r="AK53" s="10">
        <f ca="1">VLOOKUP($B53,'[4]Analisys QBR By Machine Report'!$C$109:$BD$166,32,FALSE)</f>
        <v>0</v>
      </c>
      <c r="AL53" s="10">
        <f ca="1">VLOOKUP($B53,'[4]Analisys QBR By Machine Report'!$C$109:$BD$166,33,FALSE)</f>
        <v>0</v>
      </c>
      <c r="AM53" s="10">
        <f ca="1">VLOOKUP($B53,'[4]Analisys QBR By Machine Report'!$C$109:$BD$166,34,FALSE)</f>
        <v>0</v>
      </c>
      <c r="AN53" s="10">
        <f ca="1">VLOOKUP($B53,'[4]Analisys QBR By Machine Report'!$C$109:$BD$166,35,FALSE)</f>
        <v>0</v>
      </c>
      <c r="AO53" s="10">
        <f ca="1">VLOOKUP($B53,'[4]Analisys QBR By Machine Report'!$C$109:$BD$166,36,FALSE)</f>
        <v>0</v>
      </c>
      <c r="AP53" s="10">
        <f ca="1">VLOOKUP($B53,'[4]Analisys QBR By Machine Report'!$C$109:$BD$166,37,FALSE)</f>
        <v>0</v>
      </c>
      <c r="AQ53" s="10">
        <f ca="1">VLOOKUP($B53,'[4]Analisys QBR By Machine Report'!$C$109:$BD$166,38,FALSE)</f>
        <v>100</v>
      </c>
      <c r="AR53" s="10">
        <f ca="1">VLOOKUP($B53,'[4]Analisys QBR By Machine Report'!$C$109:$BD$166,39,FALSE)</f>
        <v>2109</v>
      </c>
      <c r="AS53" s="10">
        <f ca="1">VLOOKUP($B53,'[4]Analisys QBR By Machine Report'!$C$109:$BD$166,40,FALSE)</f>
        <v>0</v>
      </c>
      <c r="AT53" s="10">
        <f ca="1">VLOOKUP($B53,'[4]Analisys QBR By Machine Report'!$C$109:$BD$166,41,FALSE)</f>
        <v>0</v>
      </c>
      <c r="AU53" s="10">
        <f ca="1">VLOOKUP($B53,'[4]Analisys QBR By Machine Report'!$C$109:$BD$166,42,FALSE)</f>
        <v>0</v>
      </c>
      <c r="AV53" s="10">
        <f ca="1">VLOOKUP($B53,'[4]Analisys QBR By Machine Report'!$C$109:$BD$166,43,FALSE)</f>
        <v>0</v>
      </c>
      <c r="AW53" s="10">
        <f ca="1">VLOOKUP($B53,'[4]Analisys QBR By Machine Report'!$C$109:$BD$166,44,FALSE)</f>
        <v>0</v>
      </c>
      <c r="AX53" s="10">
        <f ca="1">VLOOKUP($B53,'[4]Analisys QBR By Machine Report'!$C$109:$BD$166,45,FALSE)</f>
        <v>0</v>
      </c>
      <c r="AY53" s="10">
        <f ca="1">VLOOKUP($B53,'[4]Analisys QBR By Machine Report'!$C$109:$BD$166,46,FALSE)</f>
        <v>0</v>
      </c>
      <c r="AZ53" s="10">
        <f ca="1">VLOOKUP($B53,'[4]Analisys QBR By Machine Report'!$C$109:$BD$166,47,FALSE)</f>
        <v>0</v>
      </c>
      <c r="BA53" s="10">
        <f ca="1">VLOOKUP($B53,'[4]Analisys QBR By Machine Report'!$C$109:$BD$166,48,FALSE)</f>
        <v>0</v>
      </c>
      <c r="BB53" s="10">
        <f ca="1">VLOOKUP($B53,'[4]Analisys QBR By Machine Report'!$C$109:$BD$166,49,FALSE)</f>
        <v>0</v>
      </c>
      <c r="BC53" s="10">
        <f ca="1">VLOOKUP($B53,'[4]Analisys QBR By Machine Report'!$C$109:$BD$166,50,FALSE)</f>
        <v>0</v>
      </c>
      <c r="BD53" s="10">
        <f ca="1">VLOOKUP($B53,'[4]Analisys QBR By Machine Report'!$C$109:$BD$166,51,FALSE)</f>
        <v>298</v>
      </c>
      <c r="BE53" s="10">
        <f ca="1">VLOOKUP($B53,'[4]Analisys QBR By Machine Report'!$C$109:$BD$166,52,FALSE)</f>
        <v>0</v>
      </c>
      <c r="BF53" s="10">
        <f ca="1">VLOOKUP($B53,'[4]Analisys QBR By Machine Report'!$C$109:$BD$166,53,FALSE)</f>
        <v>298</v>
      </c>
    </row>
    <row r="54" spans="1:58" x14ac:dyDescent="0.25">
      <c r="A54" s="12" t="s">
        <v>110</v>
      </c>
      <c r="B54" s="13">
        <f ca="1">VLOOKUP($B54,'[4]Analisys QBR By Machine Report'!$C$109:$BD$166,2,FALSE)</f>
        <v>24480</v>
      </c>
      <c r="C54" s="14">
        <f ca="1">VLOOKUP($B54,[4]Dasboard_QBR_Report!$B$109:$BL$166,3,FALSE)</f>
        <v>15810</v>
      </c>
      <c r="D54" s="13">
        <f ca="1">VLOOKUP($B54,'[4]Analisys QBR By Machine Report'!$C$109:$BD$166,3,FALSE)</f>
        <v>20280</v>
      </c>
      <c r="E54" s="14">
        <f ca="1">VLOOKUP($B54,[4]Dasboard_QBR_Report!$B$109:$BL$166,5,FALSE)</f>
        <v>11610</v>
      </c>
      <c r="F54" s="13">
        <f t="shared" ca="1" si="0"/>
        <v>4200</v>
      </c>
      <c r="G54" s="13">
        <f t="shared" ca="1" si="1"/>
        <v>90</v>
      </c>
      <c r="H54" s="13">
        <f ca="1">VLOOKUP($B54,'[4]Analisys QBR By Machine Report'!$C$109:$BD$166,4,FALSE)</f>
        <v>90</v>
      </c>
      <c r="I54" s="13">
        <f ca="1">VLOOKUP($B54,'[4]Analisys QBR By Machine Report'!$C$109:$BD$166,5,FALSE)</f>
        <v>90</v>
      </c>
      <c r="J54" s="13">
        <f ca="1">VLOOKUP($B54,'[4]Analisys QBR By Machine Report'!$C$109:$BD$166,6,FALSE)</f>
        <v>0</v>
      </c>
      <c r="K54" s="13">
        <f ca="1">VLOOKUP($B54,'[4]Analisys QBR By Machine Report'!$C$109:$BD$166,7,FALSE)</f>
        <v>0</v>
      </c>
      <c r="L54" s="13">
        <f ca="1">VLOOKUP($B54,'[4]Analisys QBR By Machine Report'!$C$109:$BD$166,8,FALSE)</f>
        <v>4110</v>
      </c>
      <c r="M54" s="13">
        <f ca="1">VLOOKUP($B54,'[4]Analisys QBR By Machine Report'!$C$109:$BD$166,9,FALSE)</f>
        <v>1842</v>
      </c>
      <c r="N54" s="13">
        <f ca="1">VLOOKUP($B54,[4]Dasboard_QBR_Report!$B$109:$BL$166,18,FALSE)</f>
        <v>2268</v>
      </c>
      <c r="O54" s="13">
        <f ca="1">VLOOKUP($B54,'[4]Analisys QBR By Machine Report'!$C$109:$BD$166,10,FALSE)</f>
        <v>112</v>
      </c>
      <c r="P54" s="13">
        <f ca="1">VLOOKUP($B54,'[4]Analisys QBR By Machine Report'!$C$109:$BD$166,11,FALSE)</f>
        <v>112</v>
      </c>
      <c r="Q54" s="13">
        <f ca="1">VLOOKUP($B54,'[4]Analisys QBR By Machine Report'!$C$109:$BD$166,12,FALSE)</f>
        <v>0</v>
      </c>
      <c r="R54" s="13">
        <f ca="1">VLOOKUP($B54,'[4]Analisys QBR By Machine Report'!$C$109:$BD$166,13,FALSE)</f>
        <v>0</v>
      </c>
      <c r="S54" s="13">
        <f ca="1">VLOOKUP($B54,'[4]Analisys QBR By Machine Report'!$C$109:$BD$166,14,FALSE)</f>
        <v>0</v>
      </c>
      <c r="T54" s="13">
        <f ca="1">VLOOKUP($B54,'[4]Analisys QBR By Machine Report'!$C$109:$BD$166,15,FALSE)</f>
        <v>0</v>
      </c>
      <c r="U54" s="13">
        <f ca="1">VLOOKUP($B54,'[4]Analisys QBR By Machine Report'!$C$109:$BD$166,16,FALSE)</f>
        <v>0</v>
      </c>
      <c r="V54" s="13">
        <f ca="1">VLOOKUP($B54,'[4]Analisys QBR By Machine Report'!$C$109:$BD$166,17,FALSE)</f>
        <v>0</v>
      </c>
      <c r="W54" s="13">
        <f ca="1">VLOOKUP($B54,'[4]Analisys QBR By Machine Report'!$C$109:$BD$166,18,FALSE)</f>
        <v>0</v>
      </c>
      <c r="X54" s="13">
        <f ca="1">VLOOKUP($B54,'[4]Analisys QBR By Machine Report'!$C$109:$BD$166,19,FALSE)</f>
        <v>0</v>
      </c>
      <c r="Y54" s="13">
        <f ca="1">VLOOKUP($B54,'[4]Analisys QBR By Machine Report'!$C$109:$BD$166,20,FALSE)</f>
        <v>0</v>
      </c>
      <c r="Z54" s="13">
        <f ca="1">VLOOKUP($B54,'[4]Analisys QBR By Machine Report'!$C$109:$BD$166,21,FALSE)</f>
        <v>1885</v>
      </c>
      <c r="AA54" s="13">
        <f ca="1">VLOOKUP($B54,'[4]Analisys QBR By Machine Report'!$C$109:$BD$166,22,FALSE)</f>
        <v>1730</v>
      </c>
      <c r="AB54" s="13">
        <f ca="1">VLOOKUP($B54,'[4]Analisys QBR By Machine Report'!$C$109:$BD$166,23,FALSE)</f>
        <v>155</v>
      </c>
      <c r="AC54" s="13">
        <f ca="1">VLOOKUP($B54,'[4]Analisys QBR By Machine Report'!$C$109:$BD$166,24,FALSE)</f>
        <v>0</v>
      </c>
      <c r="AD54" s="13">
        <f ca="1">VLOOKUP($B54,'[4]Analisys QBR By Machine Report'!$C$109:$BD$166,25,FALSE)</f>
        <v>0</v>
      </c>
      <c r="AE54" s="13">
        <f ca="1">VLOOKUP($B54,'[4]Analisys QBR By Machine Report'!$C$109:$BD$166,26,FALSE)</f>
        <v>0</v>
      </c>
      <c r="AF54" s="13">
        <f ca="1">VLOOKUP($B54,'[4]Analisys QBR By Machine Report'!$C$109:$BD$166,27,FALSE)</f>
        <v>0</v>
      </c>
      <c r="AG54" s="13">
        <f ca="1">VLOOKUP($B54,'[4]Analisys QBR By Machine Report'!$C$109:$BD$166,28,FALSE)</f>
        <v>0</v>
      </c>
      <c r="AH54" s="13">
        <f ca="1">VLOOKUP($B54,'[4]Analisys QBR By Machine Report'!$C$109:$BD$166,29,FALSE)</f>
        <v>0</v>
      </c>
      <c r="AI54" s="13">
        <f ca="1">VLOOKUP($B54,'[4]Analisys QBR By Machine Report'!$C$109:$BD$166,30,FALSE)</f>
        <v>271</v>
      </c>
      <c r="AJ54" s="13">
        <f ca="1">VLOOKUP($B54,'[4]Analisys QBR By Machine Report'!$C$109:$BD$166,31,FALSE)</f>
        <v>0</v>
      </c>
      <c r="AK54" s="13">
        <f ca="1">VLOOKUP($B54,'[4]Analisys QBR By Machine Report'!$C$109:$BD$166,32,FALSE)</f>
        <v>0</v>
      </c>
      <c r="AL54" s="13">
        <f ca="1">VLOOKUP($B54,'[4]Analisys QBR By Machine Report'!$C$109:$BD$166,33,FALSE)</f>
        <v>0</v>
      </c>
      <c r="AM54" s="13">
        <f ca="1">VLOOKUP($B54,'[4]Analisys QBR By Machine Report'!$C$109:$BD$166,34,FALSE)</f>
        <v>0</v>
      </c>
      <c r="AN54" s="13">
        <f ca="1">VLOOKUP($B54,'[4]Analisys QBR By Machine Report'!$C$109:$BD$166,35,FALSE)</f>
        <v>0</v>
      </c>
      <c r="AO54" s="13">
        <f ca="1">VLOOKUP($B54,'[4]Analisys QBR By Machine Report'!$C$109:$BD$166,36,FALSE)</f>
        <v>0</v>
      </c>
      <c r="AP54" s="13">
        <f ca="1">VLOOKUP($B54,'[4]Analisys QBR By Machine Report'!$C$109:$BD$166,37,FALSE)</f>
        <v>0</v>
      </c>
      <c r="AQ54" s="13">
        <f ca="1">VLOOKUP($B54,'[4]Analisys QBR By Machine Report'!$C$109:$BD$166,38,FALSE)</f>
        <v>50</v>
      </c>
      <c r="AR54" s="13">
        <f ca="1">VLOOKUP($B54,'[4]Analisys QBR By Machine Report'!$C$109:$BD$166,39,FALSE)</f>
        <v>221</v>
      </c>
      <c r="AS54" s="13">
        <f ca="1">VLOOKUP($B54,'[4]Analisys QBR By Machine Report'!$C$109:$BD$166,40,FALSE)</f>
        <v>0</v>
      </c>
      <c r="AT54" s="13">
        <f ca="1">VLOOKUP($B54,'[4]Analisys QBR By Machine Report'!$C$109:$BD$166,41,FALSE)</f>
        <v>0</v>
      </c>
      <c r="AU54" s="13">
        <f ca="1">VLOOKUP($B54,'[4]Analisys QBR By Machine Report'!$C$109:$BD$166,42,FALSE)</f>
        <v>0</v>
      </c>
      <c r="AV54" s="13">
        <f ca="1">VLOOKUP($B54,'[4]Analisys QBR By Machine Report'!$C$109:$BD$166,43,FALSE)</f>
        <v>0</v>
      </c>
      <c r="AW54" s="13">
        <f ca="1">VLOOKUP($B54,'[4]Analisys QBR By Machine Report'!$C$109:$BD$166,44,FALSE)</f>
        <v>0</v>
      </c>
      <c r="AX54" s="13">
        <f ca="1">VLOOKUP($B54,'[4]Analisys QBR By Machine Report'!$C$109:$BD$166,45,FALSE)</f>
        <v>0</v>
      </c>
      <c r="AY54" s="13">
        <f ca="1">VLOOKUP($B54,'[4]Analisys QBR By Machine Report'!$C$109:$BD$166,46,FALSE)</f>
        <v>0</v>
      </c>
      <c r="AZ54" s="13">
        <f ca="1">VLOOKUP($B54,'[4]Analisys QBR By Machine Report'!$C$109:$BD$166,47,FALSE)</f>
        <v>0</v>
      </c>
      <c r="BA54" s="13">
        <f ca="1">VLOOKUP($B54,'[4]Analisys QBR By Machine Report'!$C$109:$BD$166,48,FALSE)</f>
        <v>0</v>
      </c>
      <c r="BB54" s="13">
        <f ca="1">VLOOKUP($B54,'[4]Analisys QBR By Machine Report'!$C$109:$BD$166,49,FALSE)</f>
        <v>0</v>
      </c>
      <c r="BC54" s="13">
        <f ca="1">VLOOKUP($B54,'[4]Analisys QBR By Machine Report'!$C$109:$BD$166,50,FALSE)</f>
        <v>0</v>
      </c>
      <c r="BD54" s="13">
        <f ca="1">VLOOKUP($B54,'[4]Analisys QBR By Machine Report'!$C$109:$BD$166,51,FALSE)</f>
        <v>199</v>
      </c>
      <c r="BE54" s="13">
        <f ca="1">VLOOKUP($B54,'[4]Analisys QBR By Machine Report'!$C$109:$BD$166,52,FALSE)</f>
        <v>0</v>
      </c>
      <c r="BF54" s="13">
        <f ca="1">VLOOKUP($B54,'[4]Analisys QBR By Machine Report'!$C$109:$BD$166,53,FALSE)</f>
        <v>199</v>
      </c>
    </row>
    <row r="55" spans="1:58" x14ac:dyDescent="0.25">
      <c r="A55" s="12" t="s">
        <v>111</v>
      </c>
      <c r="B55" s="13">
        <f ca="1">VLOOKUP($B55,'[4]Analisys QBR By Machine Report'!$C$109:$BD$166,2,FALSE)</f>
        <v>24480</v>
      </c>
      <c r="C55" s="14">
        <f ca="1">VLOOKUP($B55,[4]Dasboard_QBR_Report!$B$109:$BL$166,3,FALSE)</f>
        <v>15810</v>
      </c>
      <c r="D55" s="13">
        <f ca="1">VLOOKUP($B55,'[4]Analisys QBR By Machine Report'!$C$109:$BD$166,3,FALSE)</f>
        <v>20730</v>
      </c>
      <c r="E55" s="14">
        <f ca="1">VLOOKUP($B55,[4]Dasboard_QBR_Report!$B$109:$BL$166,5,FALSE)</f>
        <v>12060</v>
      </c>
      <c r="F55" s="13">
        <f t="shared" ca="1" si="0"/>
        <v>3750</v>
      </c>
      <c r="G55" s="13">
        <f t="shared" ca="1" si="1"/>
        <v>60</v>
      </c>
      <c r="H55" s="13">
        <f ca="1">VLOOKUP($B55,'[4]Analisys QBR By Machine Report'!$C$109:$BD$166,4,FALSE)</f>
        <v>60</v>
      </c>
      <c r="I55" s="13">
        <f ca="1">VLOOKUP($B55,'[4]Analisys QBR By Machine Report'!$C$109:$BD$166,5,FALSE)</f>
        <v>60</v>
      </c>
      <c r="J55" s="13">
        <f ca="1">VLOOKUP($B55,'[4]Analisys QBR By Machine Report'!$C$109:$BD$166,6,FALSE)</f>
        <v>0</v>
      </c>
      <c r="K55" s="13">
        <f ca="1">VLOOKUP($B55,'[4]Analisys QBR By Machine Report'!$C$109:$BD$166,7,FALSE)</f>
        <v>0</v>
      </c>
      <c r="L55" s="13">
        <f ca="1">VLOOKUP($B55,'[4]Analisys QBR By Machine Report'!$C$109:$BD$166,8,FALSE)</f>
        <v>3690</v>
      </c>
      <c r="M55" s="13">
        <f ca="1">VLOOKUP($B55,'[4]Analisys QBR By Machine Report'!$C$109:$BD$166,9,FALSE)</f>
        <v>1197</v>
      </c>
      <c r="N55" s="13">
        <f ca="1">VLOOKUP($B55,[4]Dasboard_QBR_Report!$B$109:$BL$166,18,FALSE)</f>
        <v>2493</v>
      </c>
      <c r="O55" s="13">
        <f ca="1">VLOOKUP($B55,'[4]Analisys QBR By Machine Report'!$C$109:$BD$166,10,FALSE)</f>
        <v>110</v>
      </c>
      <c r="P55" s="13">
        <f ca="1">VLOOKUP($B55,'[4]Analisys QBR By Machine Report'!$C$109:$BD$166,11,FALSE)</f>
        <v>110</v>
      </c>
      <c r="Q55" s="13">
        <f ca="1">VLOOKUP($B55,'[4]Analisys QBR By Machine Report'!$C$109:$BD$166,12,FALSE)</f>
        <v>0</v>
      </c>
      <c r="R55" s="13">
        <f ca="1">VLOOKUP($B55,'[4]Analisys QBR By Machine Report'!$C$109:$BD$166,13,FALSE)</f>
        <v>0</v>
      </c>
      <c r="S55" s="13">
        <f ca="1">VLOOKUP($B55,'[4]Analisys QBR By Machine Report'!$C$109:$BD$166,14,FALSE)</f>
        <v>0</v>
      </c>
      <c r="T55" s="13">
        <f ca="1">VLOOKUP($B55,'[4]Analisys QBR By Machine Report'!$C$109:$BD$166,15,FALSE)</f>
        <v>0</v>
      </c>
      <c r="U55" s="13">
        <f ca="1">VLOOKUP($B55,'[4]Analisys QBR By Machine Report'!$C$109:$BD$166,16,FALSE)</f>
        <v>0</v>
      </c>
      <c r="V55" s="13">
        <f ca="1">VLOOKUP($B55,'[4]Analisys QBR By Machine Report'!$C$109:$BD$166,17,FALSE)</f>
        <v>0</v>
      </c>
      <c r="W55" s="13">
        <f ca="1">VLOOKUP($B55,'[4]Analisys QBR By Machine Report'!$C$109:$BD$166,18,FALSE)</f>
        <v>0</v>
      </c>
      <c r="X55" s="13">
        <f ca="1">VLOOKUP($B55,'[4]Analisys QBR By Machine Report'!$C$109:$BD$166,19,FALSE)</f>
        <v>0</v>
      </c>
      <c r="Y55" s="13">
        <f ca="1">VLOOKUP($B55,'[4]Analisys QBR By Machine Report'!$C$109:$BD$166,20,FALSE)</f>
        <v>0</v>
      </c>
      <c r="Z55" s="13">
        <f ca="1">VLOOKUP($B55,'[4]Analisys QBR By Machine Report'!$C$109:$BD$166,21,FALSE)</f>
        <v>445</v>
      </c>
      <c r="AA55" s="13">
        <f ca="1">VLOOKUP($B55,'[4]Analisys QBR By Machine Report'!$C$109:$BD$166,22,FALSE)</f>
        <v>279</v>
      </c>
      <c r="AB55" s="13">
        <f ca="1">VLOOKUP($B55,'[4]Analisys QBR By Machine Report'!$C$109:$BD$166,23,FALSE)</f>
        <v>166</v>
      </c>
      <c r="AC55" s="13">
        <f ca="1">VLOOKUP($B55,'[4]Analisys QBR By Machine Report'!$C$109:$BD$166,24,FALSE)</f>
        <v>0</v>
      </c>
      <c r="AD55" s="13">
        <f ca="1">VLOOKUP($B55,'[4]Analisys QBR By Machine Report'!$C$109:$BD$166,25,FALSE)</f>
        <v>0</v>
      </c>
      <c r="AE55" s="13">
        <f ca="1">VLOOKUP($B55,'[4]Analisys QBR By Machine Report'!$C$109:$BD$166,26,FALSE)</f>
        <v>0</v>
      </c>
      <c r="AF55" s="13">
        <f ca="1">VLOOKUP($B55,'[4]Analisys QBR By Machine Report'!$C$109:$BD$166,27,FALSE)</f>
        <v>0</v>
      </c>
      <c r="AG55" s="13">
        <f ca="1">VLOOKUP($B55,'[4]Analisys QBR By Machine Report'!$C$109:$BD$166,28,FALSE)</f>
        <v>0</v>
      </c>
      <c r="AH55" s="13">
        <f ca="1">VLOOKUP($B55,'[4]Analisys QBR By Machine Report'!$C$109:$BD$166,29,FALSE)</f>
        <v>0</v>
      </c>
      <c r="AI55" s="13">
        <f ca="1">VLOOKUP($B55,'[4]Analisys QBR By Machine Report'!$C$109:$BD$166,30,FALSE)</f>
        <v>1938</v>
      </c>
      <c r="AJ55" s="13">
        <f ca="1">VLOOKUP($B55,'[4]Analisys QBR By Machine Report'!$C$109:$BD$166,31,FALSE)</f>
        <v>0</v>
      </c>
      <c r="AK55" s="13">
        <f ca="1">VLOOKUP($B55,'[4]Analisys QBR By Machine Report'!$C$109:$BD$166,32,FALSE)</f>
        <v>0</v>
      </c>
      <c r="AL55" s="13">
        <f ca="1">VLOOKUP($B55,'[4]Analisys QBR By Machine Report'!$C$109:$BD$166,33,FALSE)</f>
        <v>0</v>
      </c>
      <c r="AM55" s="13">
        <f ca="1">VLOOKUP($B55,'[4]Analisys QBR By Machine Report'!$C$109:$BD$166,34,FALSE)</f>
        <v>0</v>
      </c>
      <c r="AN55" s="13">
        <f ca="1">VLOOKUP($B55,'[4]Analisys QBR By Machine Report'!$C$109:$BD$166,35,FALSE)</f>
        <v>0</v>
      </c>
      <c r="AO55" s="13">
        <f ca="1">VLOOKUP($B55,'[4]Analisys QBR By Machine Report'!$C$109:$BD$166,36,FALSE)</f>
        <v>0</v>
      </c>
      <c r="AP55" s="13">
        <f ca="1">VLOOKUP($B55,'[4]Analisys QBR By Machine Report'!$C$109:$BD$166,37,FALSE)</f>
        <v>0</v>
      </c>
      <c r="AQ55" s="13">
        <f ca="1">VLOOKUP($B55,'[4]Analisys QBR By Machine Report'!$C$109:$BD$166,38,FALSE)</f>
        <v>50</v>
      </c>
      <c r="AR55" s="13">
        <f ca="1">VLOOKUP($B55,'[4]Analisys QBR By Machine Report'!$C$109:$BD$166,39,FALSE)</f>
        <v>1888</v>
      </c>
      <c r="AS55" s="13">
        <f ca="1">VLOOKUP($B55,'[4]Analisys QBR By Machine Report'!$C$109:$BD$166,40,FALSE)</f>
        <v>0</v>
      </c>
      <c r="AT55" s="13">
        <f ca="1">VLOOKUP($B55,'[4]Analisys QBR By Machine Report'!$C$109:$BD$166,41,FALSE)</f>
        <v>0</v>
      </c>
      <c r="AU55" s="13">
        <f ca="1">VLOOKUP($B55,'[4]Analisys QBR By Machine Report'!$C$109:$BD$166,42,FALSE)</f>
        <v>0</v>
      </c>
      <c r="AV55" s="13">
        <f ca="1">VLOOKUP($B55,'[4]Analisys QBR By Machine Report'!$C$109:$BD$166,43,FALSE)</f>
        <v>0</v>
      </c>
      <c r="AW55" s="13">
        <f ca="1">VLOOKUP($B55,'[4]Analisys QBR By Machine Report'!$C$109:$BD$166,44,FALSE)</f>
        <v>0</v>
      </c>
      <c r="AX55" s="13">
        <f ca="1">VLOOKUP($B55,'[4]Analisys QBR By Machine Report'!$C$109:$BD$166,45,FALSE)</f>
        <v>0</v>
      </c>
      <c r="AY55" s="13">
        <f ca="1">VLOOKUP($B55,'[4]Analisys QBR By Machine Report'!$C$109:$BD$166,46,FALSE)</f>
        <v>0</v>
      </c>
      <c r="AZ55" s="13">
        <f ca="1">VLOOKUP($B55,'[4]Analisys QBR By Machine Report'!$C$109:$BD$166,47,FALSE)</f>
        <v>0</v>
      </c>
      <c r="BA55" s="13">
        <f ca="1">VLOOKUP($B55,'[4]Analisys QBR By Machine Report'!$C$109:$BD$166,48,FALSE)</f>
        <v>0</v>
      </c>
      <c r="BB55" s="13">
        <f ca="1">VLOOKUP($B55,'[4]Analisys QBR By Machine Report'!$C$109:$BD$166,49,FALSE)</f>
        <v>0</v>
      </c>
      <c r="BC55" s="13">
        <f ca="1">VLOOKUP($B55,'[4]Analisys QBR By Machine Report'!$C$109:$BD$166,50,FALSE)</f>
        <v>0</v>
      </c>
      <c r="BD55" s="13">
        <f ca="1">VLOOKUP($B55,'[4]Analisys QBR By Machine Report'!$C$109:$BD$166,51,FALSE)</f>
        <v>99</v>
      </c>
      <c r="BE55" s="13">
        <f ca="1">VLOOKUP($B55,'[4]Analisys QBR By Machine Report'!$C$109:$BD$166,52,FALSE)</f>
        <v>0</v>
      </c>
      <c r="BF55" s="13">
        <f ca="1">VLOOKUP($B55,'[4]Analisys QBR By Machine Report'!$C$109:$BD$166,53,FALSE)</f>
        <v>99</v>
      </c>
    </row>
    <row r="56" spans="1:58" x14ac:dyDescent="0.25">
      <c r="A56" s="9" t="s">
        <v>112</v>
      </c>
      <c r="B56" s="10">
        <f ca="1">VLOOKUP($B56,'[4]Analisys QBR By Machine Report'!$C$109:$BD$166,2,FALSE)</f>
        <v>48960</v>
      </c>
      <c r="C56" s="11">
        <f ca="1">VLOOKUP($B56,[4]Dasboard_QBR_Report!$B$109:$BL$166,3,FALSE)</f>
        <v>16320</v>
      </c>
      <c r="D56" s="10">
        <f ca="1">VLOOKUP($B56,'[4]Analisys QBR By Machine Report'!$C$109:$BD$166,3,FALSE)</f>
        <v>29970</v>
      </c>
      <c r="E56" s="11">
        <f ca="1">VLOOKUP($B56,[4]Dasboard_QBR_Report!$B$109:$BL$166,5,FALSE)</f>
        <v>-2670</v>
      </c>
      <c r="F56" s="10">
        <f t="shared" ca="1" si="0"/>
        <v>18990</v>
      </c>
      <c r="G56" s="10">
        <f t="shared" ca="1" si="1"/>
        <v>1370</v>
      </c>
      <c r="H56" s="10">
        <f ca="1">VLOOKUP($B56,'[4]Analisys QBR By Machine Report'!$C$109:$BD$166,4,FALSE)</f>
        <v>1370</v>
      </c>
      <c r="I56" s="10">
        <f ca="1">VLOOKUP($B56,'[4]Analisys QBR By Machine Report'!$C$109:$BD$166,5,FALSE)</f>
        <v>515</v>
      </c>
      <c r="J56" s="10">
        <f ca="1">VLOOKUP($B56,'[4]Analisys QBR By Machine Report'!$C$109:$BD$166,6,FALSE)</f>
        <v>855</v>
      </c>
      <c r="K56" s="10">
        <f ca="1">VLOOKUP($B56,'[4]Analisys QBR By Machine Report'!$C$109:$BD$166,7,FALSE)</f>
        <v>0</v>
      </c>
      <c r="L56" s="10">
        <f ca="1">VLOOKUP($B56,'[4]Analisys QBR By Machine Report'!$C$109:$BD$166,8,FALSE)</f>
        <v>17620</v>
      </c>
      <c r="M56" s="10">
        <f ca="1">VLOOKUP($B56,'[4]Analisys QBR By Machine Report'!$C$109:$BD$166,9,FALSE)</f>
        <v>7070</v>
      </c>
      <c r="N56" s="10">
        <f ca="1">VLOOKUP($B56,[4]Dasboard_QBR_Report!$B$109:$BL$166,18,FALSE)</f>
        <v>10550</v>
      </c>
      <c r="O56" s="10">
        <f ca="1">VLOOKUP($B56,'[4]Analisys QBR By Machine Report'!$C$109:$BD$166,10,FALSE)</f>
        <v>3174</v>
      </c>
      <c r="P56" s="10">
        <f ca="1">VLOOKUP($B56,'[4]Analisys QBR By Machine Report'!$C$109:$BD$166,11,FALSE)</f>
        <v>2064</v>
      </c>
      <c r="Q56" s="10">
        <f ca="1">VLOOKUP($B56,'[4]Analisys QBR By Machine Report'!$C$109:$BD$166,12,FALSE)</f>
        <v>125</v>
      </c>
      <c r="R56" s="10">
        <f ca="1">VLOOKUP($B56,'[4]Analisys QBR By Machine Report'!$C$109:$BD$166,13,FALSE)</f>
        <v>105</v>
      </c>
      <c r="S56" s="10">
        <f ca="1">VLOOKUP($B56,'[4]Analisys QBR By Machine Report'!$C$109:$BD$166,14,FALSE)</f>
        <v>880</v>
      </c>
      <c r="T56" s="10">
        <f ca="1">VLOOKUP($B56,'[4]Analisys QBR By Machine Report'!$C$109:$BD$166,15,FALSE)</f>
        <v>0</v>
      </c>
      <c r="U56" s="10">
        <f ca="1">VLOOKUP($B56,'[4]Analisys QBR By Machine Report'!$C$109:$BD$166,16,FALSE)</f>
        <v>0</v>
      </c>
      <c r="V56" s="10">
        <f ca="1">VLOOKUP($B56,'[4]Analisys QBR By Machine Report'!$C$109:$BD$166,17,FALSE)</f>
        <v>0</v>
      </c>
      <c r="W56" s="10">
        <f ca="1">VLOOKUP($B56,'[4]Analisys QBR By Machine Report'!$C$109:$BD$166,18,FALSE)</f>
        <v>0</v>
      </c>
      <c r="X56" s="10">
        <f ca="1">VLOOKUP($B56,'[4]Analisys QBR By Machine Report'!$C$109:$BD$166,19,FALSE)</f>
        <v>0</v>
      </c>
      <c r="Y56" s="10">
        <f ca="1">VLOOKUP($B56,'[4]Analisys QBR By Machine Report'!$C$109:$BD$166,20,FALSE)</f>
        <v>0</v>
      </c>
      <c r="Z56" s="10">
        <f ca="1">VLOOKUP($B56,'[4]Analisys QBR By Machine Report'!$C$109:$BD$166,21,FALSE)</f>
        <v>3160</v>
      </c>
      <c r="AA56" s="10">
        <f ca="1">VLOOKUP($B56,'[4]Analisys QBR By Machine Report'!$C$109:$BD$166,22,FALSE)</f>
        <v>2020</v>
      </c>
      <c r="AB56" s="10">
        <f ca="1">VLOOKUP($B56,'[4]Analisys QBR By Machine Report'!$C$109:$BD$166,23,FALSE)</f>
        <v>690</v>
      </c>
      <c r="AC56" s="10">
        <f ca="1">VLOOKUP($B56,'[4]Analisys QBR By Machine Report'!$C$109:$BD$166,24,FALSE)</f>
        <v>175</v>
      </c>
      <c r="AD56" s="10">
        <f ca="1">VLOOKUP($B56,'[4]Analisys QBR By Machine Report'!$C$109:$BD$166,25,FALSE)</f>
        <v>0</v>
      </c>
      <c r="AE56" s="10">
        <f ca="1">VLOOKUP($B56,'[4]Analisys QBR By Machine Report'!$C$109:$BD$166,26,FALSE)</f>
        <v>275</v>
      </c>
      <c r="AF56" s="10">
        <f ca="1">VLOOKUP($B56,'[4]Analisys QBR By Machine Report'!$C$109:$BD$166,27,FALSE)</f>
        <v>30</v>
      </c>
      <c r="AG56" s="10">
        <f ca="1">VLOOKUP($B56,'[4]Analisys QBR By Machine Report'!$C$109:$BD$166,28,FALSE)</f>
        <v>0</v>
      </c>
      <c r="AH56" s="10">
        <f ca="1">VLOOKUP($B56,'[4]Analisys QBR By Machine Report'!$C$109:$BD$166,29,FALSE)</f>
        <v>30</v>
      </c>
      <c r="AI56" s="10">
        <f ca="1">VLOOKUP($B56,'[4]Analisys QBR By Machine Report'!$C$109:$BD$166,30,FALSE)</f>
        <v>4186</v>
      </c>
      <c r="AJ56" s="10">
        <f ca="1">VLOOKUP($B56,'[4]Analisys QBR By Machine Report'!$C$109:$BD$166,31,FALSE)</f>
        <v>465</v>
      </c>
      <c r="AK56" s="10">
        <f ca="1">VLOOKUP($B56,'[4]Analisys QBR By Machine Report'!$C$109:$BD$166,32,FALSE)</f>
        <v>0</v>
      </c>
      <c r="AL56" s="10">
        <f ca="1">VLOOKUP($B56,'[4]Analisys QBR By Machine Report'!$C$109:$BD$166,33,FALSE)</f>
        <v>1080</v>
      </c>
      <c r="AM56" s="10">
        <f ca="1">VLOOKUP($B56,'[4]Analisys QBR By Machine Report'!$C$109:$BD$166,34,FALSE)</f>
        <v>0</v>
      </c>
      <c r="AN56" s="10">
        <f ca="1">VLOOKUP($B56,'[4]Analisys QBR By Machine Report'!$C$109:$BD$166,35,FALSE)</f>
        <v>750</v>
      </c>
      <c r="AO56" s="10">
        <f ca="1">VLOOKUP($B56,'[4]Analisys QBR By Machine Report'!$C$109:$BD$166,36,FALSE)</f>
        <v>890</v>
      </c>
      <c r="AP56" s="10">
        <f ca="1">VLOOKUP($B56,'[4]Analisys QBR By Machine Report'!$C$109:$BD$166,37,FALSE)</f>
        <v>0</v>
      </c>
      <c r="AQ56" s="10">
        <f ca="1">VLOOKUP($B56,'[4]Analisys QBR By Machine Report'!$C$109:$BD$166,38,FALSE)</f>
        <v>0</v>
      </c>
      <c r="AR56" s="10">
        <f ca="1">VLOOKUP($B56,'[4]Analisys QBR By Machine Report'!$C$109:$BD$166,39,FALSE)</f>
        <v>235</v>
      </c>
      <c r="AS56" s="10">
        <f ca="1">VLOOKUP($B56,'[4]Analisys QBR By Machine Report'!$C$109:$BD$166,40,FALSE)</f>
        <v>328</v>
      </c>
      <c r="AT56" s="10">
        <f ca="1">VLOOKUP($B56,'[4]Analisys QBR By Machine Report'!$C$109:$BD$166,41,FALSE)</f>
        <v>0</v>
      </c>
      <c r="AU56" s="10">
        <f ca="1">VLOOKUP($B56,'[4]Analisys QBR By Machine Report'!$C$109:$BD$166,42,FALSE)</f>
        <v>15</v>
      </c>
      <c r="AV56" s="10">
        <f ca="1">VLOOKUP($B56,'[4]Analisys QBR By Machine Report'!$C$109:$BD$166,43,FALSE)</f>
        <v>0</v>
      </c>
      <c r="AW56" s="10">
        <f ca="1">VLOOKUP($B56,'[4]Analisys QBR By Machine Report'!$C$109:$BD$166,44,FALSE)</f>
        <v>0</v>
      </c>
      <c r="AX56" s="10">
        <f ca="1">VLOOKUP($B56,'[4]Analisys QBR By Machine Report'!$C$109:$BD$166,45,FALSE)</f>
        <v>0</v>
      </c>
      <c r="AY56" s="10">
        <f ca="1">VLOOKUP($B56,'[4]Analisys QBR By Machine Report'!$C$109:$BD$166,46,FALSE)</f>
        <v>0</v>
      </c>
      <c r="AZ56" s="10">
        <f ca="1">VLOOKUP($B56,'[4]Analisys QBR By Machine Report'!$C$109:$BD$166,47,FALSE)</f>
        <v>418</v>
      </c>
      <c r="BA56" s="10">
        <f ca="1">VLOOKUP($B56,'[4]Analisys QBR By Machine Report'!$C$109:$BD$166,48,FALSE)</f>
        <v>5</v>
      </c>
      <c r="BB56" s="10">
        <f ca="1">VLOOKUP($B56,'[4]Analisys QBR By Machine Report'!$C$109:$BD$166,49,FALSE)</f>
        <v>0</v>
      </c>
      <c r="BC56" s="10">
        <f ca="1">VLOOKUP($B56,'[4]Analisys QBR By Machine Report'!$C$109:$BD$166,50,FALSE)</f>
        <v>0</v>
      </c>
      <c r="BD56" s="10">
        <f ca="1">VLOOKUP($B56,'[4]Analisys QBR By Machine Report'!$C$109:$BD$166,51,FALSE)</f>
        <v>902779</v>
      </c>
      <c r="BE56" s="10">
        <f ca="1">VLOOKUP($B56,'[4]Analisys QBR By Machine Report'!$C$109:$BD$166,52,FALSE)</f>
        <v>534</v>
      </c>
      <c r="BF56" s="10">
        <f ca="1">VLOOKUP($B56,'[4]Analisys QBR By Machine Report'!$C$109:$BD$166,53,FALSE)</f>
        <v>902245</v>
      </c>
    </row>
    <row r="57" spans="1:58" x14ac:dyDescent="0.25">
      <c r="A57" s="15" t="s">
        <v>113</v>
      </c>
      <c r="B57" s="13">
        <f ca="1">VLOOKUP($B57,'[4]Analisys QBR By Machine Report'!$C$109:$BD$166,2,FALSE)</f>
        <v>24480</v>
      </c>
      <c r="C57" s="14">
        <f ca="1">VLOOKUP($B57,[4]Dasboard_QBR_Report!$B$109:$BL$166,3,FALSE)</f>
        <v>8160</v>
      </c>
      <c r="D57" s="13">
        <f ca="1">VLOOKUP($B57,'[4]Analisys QBR By Machine Report'!$C$109:$BD$166,3,FALSE)</f>
        <v>10080</v>
      </c>
      <c r="E57" s="14">
        <f ca="1">VLOOKUP($B57,[4]Dasboard_QBR_Report!$B$109:$BL$166,5,FALSE)</f>
        <v>-6240</v>
      </c>
      <c r="F57" s="13">
        <f t="shared" ca="1" si="0"/>
        <v>14400</v>
      </c>
      <c r="G57" s="13">
        <f t="shared" ca="1" si="1"/>
        <v>1150</v>
      </c>
      <c r="H57" s="13">
        <f ca="1">VLOOKUP($B57,'[4]Analisys QBR By Machine Report'!$C$109:$BD$166,4,FALSE)</f>
        <v>1150</v>
      </c>
      <c r="I57" s="13">
        <f ca="1">VLOOKUP($B57,'[4]Analisys QBR By Machine Report'!$C$109:$BD$166,5,FALSE)</f>
        <v>295</v>
      </c>
      <c r="J57" s="13">
        <f ca="1">VLOOKUP($B57,'[4]Analisys QBR By Machine Report'!$C$109:$BD$166,6,FALSE)</f>
        <v>855</v>
      </c>
      <c r="K57" s="13">
        <f ca="1">VLOOKUP($B57,'[4]Analisys QBR By Machine Report'!$C$109:$BD$166,7,FALSE)</f>
        <v>0</v>
      </c>
      <c r="L57" s="13">
        <f ca="1">VLOOKUP($B57,'[4]Analisys QBR By Machine Report'!$C$109:$BD$166,8,FALSE)</f>
        <v>13250</v>
      </c>
      <c r="M57" s="13">
        <f ca="1">VLOOKUP($B57,'[4]Analisys QBR By Machine Report'!$C$109:$BD$166,9,FALSE)</f>
        <v>4530</v>
      </c>
      <c r="N57" s="13">
        <f ca="1">VLOOKUP($B57,[4]Dasboard_QBR_Report!$B$109:$BL$166,18,FALSE)</f>
        <v>8720</v>
      </c>
      <c r="O57" s="13">
        <f ca="1">VLOOKUP($B57,'[4]Analisys QBR By Machine Report'!$C$109:$BD$166,10,FALSE)</f>
        <v>3025</v>
      </c>
      <c r="P57" s="13">
        <f ca="1">VLOOKUP($B57,'[4]Analisys QBR By Machine Report'!$C$109:$BD$166,11,FALSE)</f>
        <v>1980</v>
      </c>
      <c r="Q57" s="13">
        <f ca="1">VLOOKUP($B57,'[4]Analisys QBR By Machine Report'!$C$109:$BD$166,12,FALSE)</f>
        <v>125</v>
      </c>
      <c r="R57" s="13">
        <f ca="1">VLOOKUP($B57,'[4]Analisys QBR By Machine Report'!$C$109:$BD$166,13,FALSE)</f>
        <v>40</v>
      </c>
      <c r="S57" s="13">
        <f ca="1">VLOOKUP($B57,'[4]Analisys QBR By Machine Report'!$C$109:$BD$166,14,FALSE)</f>
        <v>880</v>
      </c>
      <c r="T57" s="13">
        <f ca="1">VLOOKUP($B57,'[4]Analisys QBR By Machine Report'!$C$109:$BD$166,15,FALSE)</f>
        <v>0</v>
      </c>
      <c r="U57" s="13">
        <f ca="1">VLOOKUP($B57,'[4]Analisys QBR By Machine Report'!$C$109:$BD$166,16,FALSE)</f>
        <v>0</v>
      </c>
      <c r="V57" s="13">
        <f ca="1">VLOOKUP($B57,'[4]Analisys QBR By Machine Report'!$C$109:$BD$166,17,FALSE)</f>
        <v>0</v>
      </c>
      <c r="W57" s="13">
        <f ca="1">VLOOKUP($B57,'[4]Analisys QBR By Machine Report'!$C$109:$BD$166,18,FALSE)</f>
        <v>0</v>
      </c>
      <c r="X57" s="13">
        <f ca="1">VLOOKUP($B57,'[4]Analisys QBR By Machine Report'!$C$109:$BD$166,19,FALSE)</f>
        <v>0</v>
      </c>
      <c r="Y57" s="13">
        <f ca="1">VLOOKUP($B57,'[4]Analisys QBR By Machine Report'!$C$109:$BD$166,20,FALSE)</f>
        <v>0</v>
      </c>
      <c r="Z57" s="13">
        <f ca="1">VLOOKUP($B57,'[4]Analisys QBR By Machine Report'!$C$109:$BD$166,21,FALSE)</f>
        <v>2755</v>
      </c>
      <c r="AA57" s="13">
        <f ca="1">VLOOKUP($B57,'[4]Analisys QBR By Machine Report'!$C$109:$BD$166,22,FALSE)</f>
        <v>1945</v>
      </c>
      <c r="AB57" s="13">
        <f ca="1">VLOOKUP($B57,'[4]Analisys QBR By Machine Report'!$C$109:$BD$166,23,FALSE)</f>
        <v>635</v>
      </c>
      <c r="AC57" s="13">
        <f ca="1">VLOOKUP($B57,'[4]Analisys QBR By Machine Report'!$C$109:$BD$166,24,FALSE)</f>
        <v>175</v>
      </c>
      <c r="AD57" s="13">
        <f ca="1">VLOOKUP($B57,'[4]Analisys QBR By Machine Report'!$C$109:$BD$166,25,FALSE)</f>
        <v>0</v>
      </c>
      <c r="AE57" s="13">
        <f ca="1">VLOOKUP($B57,'[4]Analisys QBR By Machine Report'!$C$109:$BD$166,26,FALSE)</f>
        <v>0</v>
      </c>
      <c r="AF57" s="13">
        <f ca="1">VLOOKUP($B57,'[4]Analisys QBR By Machine Report'!$C$109:$BD$166,27,FALSE)</f>
        <v>0</v>
      </c>
      <c r="AG57" s="13">
        <f ca="1">VLOOKUP($B57,'[4]Analisys QBR By Machine Report'!$C$109:$BD$166,28,FALSE)</f>
        <v>0</v>
      </c>
      <c r="AH57" s="13">
        <f ca="1">VLOOKUP($B57,'[4]Analisys QBR By Machine Report'!$C$109:$BD$166,29,FALSE)</f>
        <v>0</v>
      </c>
      <c r="AI57" s="13">
        <f ca="1">VLOOKUP($B57,'[4]Analisys QBR By Machine Report'!$C$109:$BD$166,30,FALSE)</f>
        <v>2940</v>
      </c>
      <c r="AJ57" s="13">
        <f ca="1">VLOOKUP($B57,'[4]Analisys QBR By Machine Report'!$C$109:$BD$166,31,FALSE)</f>
        <v>465</v>
      </c>
      <c r="AK57" s="13">
        <f ca="1">VLOOKUP($B57,'[4]Analisys QBR By Machine Report'!$C$109:$BD$166,32,FALSE)</f>
        <v>0</v>
      </c>
      <c r="AL57" s="13">
        <f ca="1">VLOOKUP($B57,'[4]Analisys QBR By Machine Report'!$C$109:$BD$166,33,FALSE)</f>
        <v>840</v>
      </c>
      <c r="AM57" s="13">
        <f ca="1">VLOOKUP($B57,'[4]Analisys QBR By Machine Report'!$C$109:$BD$166,34,FALSE)</f>
        <v>0</v>
      </c>
      <c r="AN57" s="13">
        <f ca="1">VLOOKUP($B57,'[4]Analisys QBR By Machine Report'!$C$109:$BD$166,35,FALSE)</f>
        <v>630</v>
      </c>
      <c r="AO57" s="13">
        <f ca="1">VLOOKUP($B57,'[4]Analisys QBR By Machine Report'!$C$109:$BD$166,36,FALSE)</f>
        <v>465</v>
      </c>
      <c r="AP57" s="13">
        <f ca="1">VLOOKUP($B57,'[4]Analisys QBR By Machine Report'!$C$109:$BD$166,37,FALSE)</f>
        <v>0</v>
      </c>
      <c r="AQ57" s="13">
        <f ca="1">VLOOKUP($B57,'[4]Analisys QBR By Machine Report'!$C$109:$BD$166,38,FALSE)</f>
        <v>0</v>
      </c>
      <c r="AR57" s="13">
        <f ca="1">VLOOKUP($B57,'[4]Analisys QBR By Machine Report'!$C$109:$BD$166,39,FALSE)</f>
        <v>0</v>
      </c>
      <c r="AS57" s="13">
        <f ca="1">VLOOKUP($B57,'[4]Analisys QBR By Machine Report'!$C$109:$BD$166,40,FALSE)</f>
        <v>250</v>
      </c>
      <c r="AT57" s="13">
        <f ca="1">VLOOKUP($B57,'[4]Analisys QBR By Machine Report'!$C$109:$BD$166,41,FALSE)</f>
        <v>0</v>
      </c>
      <c r="AU57" s="13">
        <f ca="1">VLOOKUP($B57,'[4]Analisys QBR By Machine Report'!$C$109:$BD$166,42,FALSE)</f>
        <v>15</v>
      </c>
      <c r="AV57" s="13">
        <f ca="1">VLOOKUP($B57,'[4]Analisys QBR By Machine Report'!$C$109:$BD$166,43,FALSE)</f>
        <v>0</v>
      </c>
      <c r="AW57" s="13">
        <f ca="1">VLOOKUP($B57,'[4]Analisys QBR By Machine Report'!$C$109:$BD$166,44,FALSE)</f>
        <v>0</v>
      </c>
      <c r="AX57" s="13">
        <f ca="1">VLOOKUP($B57,'[4]Analisys QBR By Machine Report'!$C$109:$BD$166,45,FALSE)</f>
        <v>0</v>
      </c>
      <c r="AY57" s="13">
        <f ca="1">VLOOKUP($B57,'[4]Analisys QBR By Machine Report'!$C$109:$BD$166,46,FALSE)</f>
        <v>0</v>
      </c>
      <c r="AZ57" s="13">
        <f ca="1">VLOOKUP($B57,'[4]Analisys QBR By Machine Report'!$C$109:$BD$166,47,FALSE)</f>
        <v>270</v>
      </c>
      <c r="BA57" s="13">
        <f ca="1">VLOOKUP($B57,'[4]Analisys QBR By Machine Report'!$C$109:$BD$166,48,FALSE)</f>
        <v>5</v>
      </c>
      <c r="BB57" s="13">
        <f ca="1">VLOOKUP($B57,'[4]Analisys QBR By Machine Report'!$C$109:$BD$166,49,FALSE)</f>
        <v>0</v>
      </c>
      <c r="BC57" s="13">
        <f ca="1">VLOOKUP($B57,'[4]Analisys QBR By Machine Report'!$C$109:$BD$166,50,FALSE)</f>
        <v>0</v>
      </c>
      <c r="BD57" s="13">
        <f ca="1">VLOOKUP($B57,'[4]Analisys QBR By Machine Report'!$C$109:$BD$166,51,FALSE)</f>
        <v>839424</v>
      </c>
      <c r="BE57" s="13">
        <f ca="1">VLOOKUP($B57,'[4]Analisys QBR By Machine Report'!$C$109:$BD$166,52,FALSE)</f>
        <v>209</v>
      </c>
      <c r="BF57" s="13">
        <f ca="1">VLOOKUP($B57,'[4]Analisys QBR By Machine Report'!$C$109:$BD$166,53,FALSE)</f>
        <v>839215</v>
      </c>
    </row>
    <row r="58" spans="1:58" x14ac:dyDescent="0.25">
      <c r="A58" s="15" t="s">
        <v>114</v>
      </c>
      <c r="B58" s="13">
        <f ca="1">VLOOKUP($B58,'[4]Analisys QBR By Machine Report'!$C$109:$BD$166,2,FALSE)</f>
        <v>24480</v>
      </c>
      <c r="C58" s="14">
        <f ca="1">VLOOKUP($B58,[4]Dasboard_QBR_Report!$B$109:$BL$166,3,FALSE)</f>
        <v>8160</v>
      </c>
      <c r="D58" s="13">
        <f ca="1">VLOOKUP($B58,'[4]Analisys QBR By Machine Report'!$C$109:$BD$166,3,FALSE)</f>
        <v>19890</v>
      </c>
      <c r="E58" s="14">
        <f ca="1">VLOOKUP($B58,[4]Dasboard_QBR_Report!$B$109:$BL$166,5,FALSE)</f>
        <v>3570</v>
      </c>
      <c r="F58" s="13">
        <f t="shared" ca="1" si="0"/>
        <v>4590</v>
      </c>
      <c r="G58" s="13">
        <f t="shared" ca="1" si="1"/>
        <v>220</v>
      </c>
      <c r="H58" s="13">
        <f ca="1">VLOOKUP($B58,'[4]Analisys QBR By Machine Report'!$C$109:$BD$166,4,FALSE)</f>
        <v>220</v>
      </c>
      <c r="I58" s="13">
        <f ca="1">VLOOKUP($B58,'[4]Analisys QBR By Machine Report'!$C$109:$BD$166,5,FALSE)</f>
        <v>220</v>
      </c>
      <c r="J58" s="13">
        <f ca="1">VLOOKUP($B58,'[4]Analisys QBR By Machine Report'!$C$109:$BD$166,6,FALSE)</f>
        <v>0</v>
      </c>
      <c r="K58" s="13">
        <f ca="1">VLOOKUP($B58,'[4]Analisys QBR By Machine Report'!$C$109:$BD$166,7,FALSE)</f>
        <v>0</v>
      </c>
      <c r="L58" s="13">
        <f ca="1">VLOOKUP($B58,'[4]Analisys QBR By Machine Report'!$C$109:$BD$166,8,FALSE)</f>
        <v>4370</v>
      </c>
      <c r="M58" s="13">
        <f ca="1">VLOOKUP($B58,'[4]Analisys QBR By Machine Report'!$C$109:$BD$166,9,FALSE)</f>
        <v>2540</v>
      </c>
      <c r="N58" s="13">
        <f ca="1">VLOOKUP($B58,[4]Dasboard_QBR_Report!$B$109:$BL$166,18,FALSE)</f>
        <v>1830</v>
      </c>
      <c r="O58" s="13">
        <f ca="1">VLOOKUP($B58,'[4]Analisys QBR By Machine Report'!$C$109:$BD$166,10,FALSE)</f>
        <v>149</v>
      </c>
      <c r="P58" s="13">
        <f ca="1">VLOOKUP($B58,'[4]Analisys QBR By Machine Report'!$C$109:$BD$166,11,FALSE)</f>
        <v>84</v>
      </c>
      <c r="Q58" s="13">
        <f ca="1">VLOOKUP($B58,'[4]Analisys QBR By Machine Report'!$C$109:$BD$166,12,FALSE)</f>
        <v>0</v>
      </c>
      <c r="R58" s="13">
        <f ca="1">VLOOKUP($B58,'[4]Analisys QBR By Machine Report'!$C$109:$BD$166,13,FALSE)</f>
        <v>65</v>
      </c>
      <c r="S58" s="13">
        <f ca="1">VLOOKUP($B58,'[4]Analisys QBR By Machine Report'!$C$109:$BD$166,14,FALSE)</f>
        <v>0</v>
      </c>
      <c r="T58" s="13">
        <f ca="1">VLOOKUP($B58,'[4]Analisys QBR By Machine Report'!$C$109:$BD$166,15,FALSE)</f>
        <v>0</v>
      </c>
      <c r="U58" s="13">
        <f ca="1">VLOOKUP($B58,'[4]Analisys QBR By Machine Report'!$C$109:$BD$166,16,FALSE)</f>
        <v>0</v>
      </c>
      <c r="V58" s="13">
        <f ca="1">VLOOKUP($B58,'[4]Analisys QBR By Machine Report'!$C$109:$BD$166,17,FALSE)</f>
        <v>0</v>
      </c>
      <c r="W58" s="13">
        <f ca="1">VLOOKUP($B58,'[4]Analisys QBR By Machine Report'!$C$109:$BD$166,18,FALSE)</f>
        <v>0</v>
      </c>
      <c r="X58" s="13">
        <f ca="1">VLOOKUP($B58,'[4]Analisys QBR By Machine Report'!$C$109:$BD$166,19,FALSE)</f>
        <v>0</v>
      </c>
      <c r="Y58" s="13">
        <f ca="1">VLOOKUP($B58,'[4]Analisys QBR By Machine Report'!$C$109:$BD$166,20,FALSE)</f>
        <v>0</v>
      </c>
      <c r="Z58" s="13">
        <f ca="1">VLOOKUP($B58,'[4]Analisys QBR By Machine Report'!$C$109:$BD$166,21,FALSE)</f>
        <v>405</v>
      </c>
      <c r="AA58" s="13">
        <f ca="1">VLOOKUP($B58,'[4]Analisys QBR By Machine Report'!$C$109:$BD$166,22,FALSE)</f>
        <v>75</v>
      </c>
      <c r="AB58" s="13">
        <f ca="1">VLOOKUP($B58,'[4]Analisys QBR By Machine Report'!$C$109:$BD$166,23,FALSE)</f>
        <v>55</v>
      </c>
      <c r="AC58" s="13">
        <f ca="1">VLOOKUP($B58,'[4]Analisys QBR By Machine Report'!$C$109:$BD$166,24,FALSE)</f>
        <v>0</v>
      </c>
      <c r="AD58" s="13">
        <f ca="1">VLOOKUP($B58,'[4]Analisys QBR By Machine Report'!$C$109:$BD$166,25,FALSE)</f>
        <v>0</v>
      </c>
      <c r="AE58" s="13">
        <f ca="1">VLOOKUP($B58,'[4]Analisys QBR By Machine Report'!$C$109:$BD$166,26,FALSE)</f>
        <v>275</v>
      </c>
      <c r="AF58" s="13">
        <f ca="1">VLOOKUP($B58,'[4]Analisys QBR By Machine Report'!$C$109:$BD$166,27,FALSE)</f>
        <v>30</v>
      </c>
      <c r="AG58" s="13">
        <f ca="1">VLOOKUP($B58,'[4]Analisys QBR By Machine Report'!$C$109:$BD$166,28,FALSE)</f>
        <v>0</v>
      </c>
      <c r="AH58" s="13">
        <f ca="1">VLOOKUP($B58,'[4]Analisys QBR By Machine Report'!$C$109:$BD$166,29,FALSE)</f>
        <v>30</v>
      </c>
      <c r="AI58" s="13">
        <f ca="1">VLOOKUP($B58,'[4]Analisys QBR By Machine Report'!$C$109:$BD$166,30,FALSE)</f>
        <v>1246</v>
      </c>
      <c r="AJ58" s="13">
        <f ca="1">VLOOKUP($B58,'[4]Analisys QBR By Machine Report'!$C$109:$BD$166,31,FALSE)</f>
        <v>0</v>
      </c>
      <c r="AK58" s="13">
        <f ca="1">VLOOKUP($B58,'[4]Analisys QBR By Machine Report'!$C$109:$BD$166,32,FALSE)</f>
        <v>0</v>
      </c>
      <c r="AL58" s="13">
        <f ca="1">VLOOKUP($B58,'[4]Analisys QBR By Machine Report'!$C$109:$BD$166,33,FALSE)</f>
        <v>240</v>
      </c>
      <c r="AM58" s="13">
        <f ca="1">VLOOKUP($B58,'[4]Analisys QBR By Machine Report'!$C$109:$BD$166,34,FALSE)</f>
        <v>0</v>
      </c>
      <c r="AN58" s="13">
        <f ca="1">VLOOKUP($B58,'[4]Analisys QBR By Machine Report'!$C$109:$BD$166,35,FALSE)</f>
        <v>120</v>
      </c>
      <c r="AO58" s="13">
        <f ca="1">VLOOKUP($B58,'[4]Analisys QBR By Machine Report'!$C$109:$BD$166,36,FALSE)</f>
        <v>425</v>
      </c>
      <c r="AP58" s="13">
        <f ca="1">VLOOKUP($B58,'[4]Analisys QBR By Machine Report'!$C$109:$BD$166,37,FALSE)</f>
        <v>0</v>
      </c>
      <c r="AQ58" s="13">
        <f ca="1">VLOOKUP($B58,'[4]Analisys QBR By Machine Report'!$C$109:$BD$166,38,FALSE)</f>
        <v>0</v>
      </c>
      <c r="AR58" s="13">
        <f ca="1">VLOOKUP($B58,'[4]Analisys QBR By Machine Report'!$C$109:$BD$166,39,FALSE)</f>
        <v>235</v>
      </c>
      <c r="AS58" s="13">
        <f ca="1">VLOOKUP($B58,'[4]Analisys QBR By Machine Report'!$C$109:$BD$166,40,FALSE)</f>
        <v>78</v>
      </c>
      <c r="AT58" s="13">
        <f ca="1">VLOOKUP($B58,'[4]Analisys QBR By Machine Report'!$C$109:$BD$166,41,FALSE)</f>
        <v>0</v>
      </c>
      <c r="AU58" s="13">
        <f ca="1">VLOOKUP($B58,'[4]Analisys QBR By Machine Report'!$C$109:$BD$166,42,FALSE)</f>
        <v>0</v>
      </c>
      <c r="AV58" s="13">
        <f ca="1">VLOOKUP($B58,'[4]Analisys QBR By Machine Report'!$C$109:$BD$166,43,FALSE)</f>
        <v>0</v>
      </c>
      <c r="AW58" s="13">
        <f ca="1">VLOOKUP($B58,'[4]Analisys QBR By Machine Report'!$C$109:$BD$166,44,FALSE)</f>
        <v>0</v>
      </c>
      <c r="AX58" s="13">
        <f ca="1">VLOOKUP($B58,'[4]Analisys QBR By Machine Report'!$C$109:$BD$166,45,FALSE)</f>
        <v>0</v>
      </c>
      <c r="AY58" s="13">
        <f ca="1">VLOOKUP($B58,'[4]Analisys QBR By Machine Report'!$C$109:$BD$166,46,FALSE)</f>
        <v>0</v>
      </c>
      <c r="AZ58" s="13">
        <f ca="1">VLOOKUP($B58,'[4]Analisys QBR By Machine Report'!$C$109:$BD$166,47,FALSE)</f>
        <v>148</v>
      </c>
      <c r="BA58" s="13">
        <f ca="1">VLOOKUP($B58,'[4]Analisys QBR By Machine Report'!$C$109:$BD$166,48,FALSE)</f>
        <v>0</v>
      </c>
      <c r="BB58" s="13">
        <f ca="1">VLOOKUP($B58,'[4]Analisys QBR By Machine Report'!$C$109:$BD$166,49,FALSE)</f>
        <v>0</v>
      </c>
      <c r="BC58" s="13">
        <f ca="1">VLOOKUP($B58,'[4]Analisys QBR By Machine Report'!$C$109:$BD$166,50,FALSE)</f>
        <v>0</v>
      </c>
      <c r="BD58" s="13">
        <f ca="1">VLOOKUP($B58,'[4]Analisys QBR By Machine Report'!$C$109:$BD$166,51,FALSE)</f>
        <v>63355</v>
      </c>
      <c r="BE58" s="13">
        <f ca="1">VLOOKUP($B58,'[4]Analisys QBR By Machine Report'!$C$109:$BD$166,52,FALSE)</f>
        <v>325</v>
      </c>
      <c r="BF58" s="13">
        <f ca="1">VLOOKUP($B58,'[4]Analisys QBR By Machine Report'!$C$109:$BD$166,53,FALSE)</f>
        <v>63030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2B59A-0F77-4AA2-AB19-CE12C5366B47}">
  <dimension ref="A1:BF58"/>
  <sheetViews>
    <sheetView workbookViewId="0">
      <selection sqref="A1:BF58"/>
    </sheetView>
  </sheetViews>
  <sheetFormatPr defaultRowHeight="15" x14ac:dyDescent="0.25"/>
  <sheetData>
    <row r="1" spans="1:58" ht="60" x14ac:dyDescent="0.25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8" t="s">
        <v>55</v>
      </c>
      <c r="BE1" s="8" t="s">
        <v>56</v>
      </c>
      <c r="BF1" s="8" t="s">
        <v>57</v>
      </c>
    </row>
    <row r="2" spans="1:58" x14ac:dyDescent="0.25">
      <c r="A2" s="9" t="s">
        <v>58</v>
      </c>
      <c r="B2" s="10">
        <f ca="1">VLOOKUP($B2,'[5]Analisys QBR By Machine Report'!$C$109:$BD$166,2,FALSE)</f>
        <v>86400</v>
      </c>
      <c r="C2" s="11">
        <f ca="1">VLOOKUP($B2,[5]Dasboard_QBR_Report!$B$109:$BL$166,3,FALSE)</f>
        <v>55800</v>
      </c>
      <c r="D2" s="10">
        <f ca="1">VLOOKUP($B2,'[5]Analisys QBR By Machine Report'!$C$109:$BD$166,3,FALSE)</f>
        <v>56490</v>
      </c>
      <c r="E2" s="11">
        <f ca="1">VLOOKUP($B2,[5]Dasboard_QBR_Report!$B$109:$BL$166,5,FALSE)</f>
        <v>25890</v>
      </c>
      <c r="F2" s="10">
        <f t="shared" ref="F2:F58" ca="1" si="0">SUM(G2,L2)</f>
        <v>29910</v>
      </c>
      <c r="G2" s="10">
        <f t="shared" ref="G2:G58" ca="1" si="1">SUM($I2,$L2)</f>
        <v>3402</v>
      </c>
      <c r="H2" s="10">
        <f ca="1">VLOOKUP($B2,'[5]Analisys QBR By Machine Report'!$C$109:$BD$166,4,FALSE)</f>
        <v>3092</v>
      </c>
      <c r="I2" s="10">
        <f ca="1">VLOOKUP($B2,'[5]Analisys QBR By Machine Report'!$C$109:$BD$166,5,FALSE)</f>
        <v>52</v>
      </c>
      <c r="J2" s="10">
        <f ca="1">VLOOKUP($B2,'[5]Analisys QBR By Machine Report'!$C$109:$BD$166,6,FALSE)</f>
        <v>3040</v>
      </c>
      <c r="K2" s="10">
        <f ca="1">VLOOKUP($B2,'[5]Analisys QBR By Machine Report'!$C$109:$BD$166,7,FALSE)</f>
        <v>310</v>
      </c>
      <c r="L2" s="10">
        <f ca="1">VLOOKUP($B2,'[5]Analisys QBR By Machine Report'!$C$109:$BD$166,8,FALSE)</f>
        <v>26508</v>
      </c>
      <c r="M2" s="10">
        <f ca="1">VLOOKUP($B2,'[5]Analisys QBR By Machine Report'!$C$109:$BD$166,9,FALSE)</f>
        <v>4293</v>
      </c>
      <c r="N2" s="10">
        <f ca="1">VLOOKUP($B2,[5]Dasboard_QBR_Report!$B$109:$BL$166,18,FALSE)</f>
        <v>22215</v>
      </c>
      <c r="O2" s="10">
        <f ca="1">VLOOKUP($B2,'[5]Analisys QBR By Machine Report'!$C$109:$BD$166,10,FALSE)</f>
        <v>715</v>
      </c>
      <c r="P2" s="10">
        <f ca="1">VLOOKUP($B2,'[5]Analisys QBR By Machine Report'!$C$109:$BD$166,11,FALSE)</f>
        <v>715</v>
      </c>
      <c r="Q2" s="10">
        <f ca="1">VLOOKUP($B2,'[5]Analisys QBR By Machine Report'!$C$109:$BD$166,12,FALSE)</f>
        <v>0</v>
      </c>
      <c r="R2" s="10">
        <f ca="1">VLOOKUP($B2,'[5]Analisys QBR By Machine Report'!$C$109:$BD$166,13,FALSE)</f>
        <v>0</v>
      </c>
      <c r="S2" s="10">
        <f ca="1">VLOOKUP($B2,'[5]Analisys QBR By Machine Report'!$C$109:$BD$166,14,FALSE)</f>
        <v>0</v>
      </c>
      <c r="T2" s="10">
        <f ca="1">VLOOKUP($B2,'[5]Analisys QBR By Machine Report'!$C$109:$BD$166,15,FALSE)</f>
        <v>0</v>
      </c>
      <c r="U2" s="10">
        <f ca="1">VLOOKUP($B2,'[5]Analisys QBR By Machine Report'!$C$109:$BD$166,16,FALSE)</f>
        <v>0</v>
      </c>
      <c r="V2" s="10">
        <f ca="1">VLOOKUP($B2,'[5]Analisys QBR By Machine Report'!$C$109:$BD$166,17,FALSE)</f>
        <v>0</v>
      </c>
      <c r="W2" s="10">
        <f ca="1">VLOOKUP($B2,'[5]Analisys QBR By Machine Report'!$C$109:$BD$166,18,FALSE)</f>
        <v>0</v>
      </c>
      <c r="X2" s="10">
        <f ca="1">VLOOKUP($B2,'[5]Analisys QBR By Machine Report'!$C$109:$BD$166,19,FALSE)</f>
        <v>0</v>
      </c>
      <c r="Y2" s="10">
        <f ca="1">VLOOKUP($B2,'[5]Analisys QBR By Machine Report'!$C$109:$BD$166,20,FALSE)</f>
        <v>0</v>
      </c>
      <c r="Z2" s="10">
        <f ca="1">VLOOKUP($B2,'[5]Analisys QBR By Machine Report'!$C$109:$BD$166,21,FALSE)</f>
        <v>11758</v>
      </c>
      <c r="AA2" s="10">
        <f ca="1">VLOOKUP($B2,'[5]Analisys QBR By Machine Report'!$C$109:$BD$166,22,FALSE)</f>
        <v>7247</v>
      </c>
      <c r="AB2" s="10">
        <f ca="1">VLOOKUP($B2,'[5]Analisys QBR By Machine Report'!$C$109:$BD$166,23,FALSE)</f>
        <v>3804</v>
      </c>
      <c r="AC2" s="10">
        <f ca="1">VLOOKUP($B2,'[5]Analisys QBR By Machine Report'!$C$109:$BD$166,24,FALSE)</f>
        <v>96</v>
      </c>
      <c r="AD2" s="10">
        <f ca="1">VLOOKUP($B2,'[5]Analisys QBR By Machine Report'!$C$109:$BD$166,25,FALSE)</f>
        <v>0</v>
      </c>
      <c r="AE2" s="10">
        <f ca="1">VLOOKUP($B2,'[5]Analisys QBR By Machine Report'!$C$109:$BD$166,26,FALSE)</f>
        <v>611</v>
      </c>
      <c r="AF2" s="10">
        <f ca="1">VLOOKUP($B2,'[5]Analisys QBR By Machine Report'!$C$109:$BD$166,27,FALSE)</f>
        <v>690</v>
      </c>
      <c r="AG2" s="10">
        <f ca="1">VLOOKUP($B2,'[5]Analisys QBR By Machine Report'!$C$109:$BD$166,28,FALSE)</f>
        <v>0</v>
      </c>
      <c r="AH2" s="10">
        <f ca="1">VLOOKUP($B2,'[5]Analisys QBR By Machine Report'!$C$109:$BD$166,29,FALSE)</f>
        <v>690</v>
      </c>
      <c r="AI2" s="10">
        <f ca="1">VLOOKUP($B2,'[5]Analisys QBR By Machine Report'!$C$109:$BD$166,30,FALSE)</f>
        <v>9052</v>
      </c>
      <c r="AJ2" s="10">
        <f ca="1">VLOOKUP($B2,'[5]Analisys QBR By Machine Report'!$C$109:$BD$166,31,FALSE)</f>
        <v>255</v>
      </c>
      <c r="AK2" s="10">
        <f ca="1">VLOOKUP($B2,'[5]Analisys QBR By Machine Report'!$C$109:$BD$166,32,FALSE)</f>
        <v>0</v>
      </c>
      <c r="AL2" s="10">
        <f ca="1">VLOOKUP($B2,'[5]Analisys QBR By Machine Report'!$C$109:$BD$166,33,FALSE)</f>
        <v>1380</v>
      </c>
      <c r="AM2" s="10">
        <f ca="1">VLOOKUP($B2,'[5]Analisys QBR By Machine Report'!$C$109:$BD$166,34,FALSE)</f>
        <v>0</v>
      </c>
      <c r="AN2" s="10">
        <f ca="1">VLOOKUP($B2,'[5]Analisys QBR By Machine Report'!$C$109:$BD$166,35,FALSE)</f>
        <v>1095</v>
      </c>
      <c r="AO2" s="10">
        <f ca="1">VLOOKUP($B2,'[5]Analisys QBR By Machine Report'!$C$109:$BD$166,36,FALSE)</f>
        <v>0</v>
      </c>
      <c r="AP2" s="10">
        <f ca="1">VLOOKUP($B2,'[5]Analisys QBR By Machine Report'!$C$109:$BD$166,37,FALSE)</f>
        <v>0</v>
      </c>
      <c r="AQ2" s="10">
        <f ca="1">VLOOKUP($B2,'[5]Analisys QBR By Machine Report'!$C$109:$BD$166,38,FALSE)</f>
        <v>0</v>
      </c>
      <c r="AR2" s="10">
        <f ca="1">VLOOKUP($B2,'[5]Analisys QBR By Machine Report'!$C$109:$BD$166,39,FALSE)</f>
        <v>5651</v>
      </c>
      <c r="AS2" s="10">
        <f ca="1">VLOOKUP($B2,'[5]Analisys QBR By Machine Report'!$C$109:$BD$166,40,FALSE)</f>
        <v>17</v>
      </c>
      <c r="AT2" s="10">
        <f ca="1">VLOOKUP($B2,'[5]Analisys QBR By Machine Report'!$C$109:$BD$166,41,FALSE)</f>
        <v>0</v>
      </c>
      <c r="AU2" s="10">
        <f ca="1">VLOOKUP($B2,'[5]Analisys QBR By Machine Report'!$C$109:$BD$166,42,FALSE)</f>
        <v>432</v>
      </c>
      <c r="AV2" s="10">
        <f ca="1">VLOOKUP($B2,'[5]Analisys QBR By Machine Report'!$C$109:$BD$166,43,FALSE)</f>
        <v>0</v>
      </c>
      <c r="AW2" s="10">
        <f ca="1">VLOOKUP($B2,'[5]Analisys QBR By Machine Report'!$C$109:$BD$166,44,FALSE)</f>
        <v>0</v>
      </c>
      <c r="AX2" s="10">
        <f ca="1">VLOOKUP($B2,'[5]Analisys QBR By Machine Report'!$C$109:$BD$166,45,FALSE)</f>
        <v>0</v>
      </c>
      <c r="AY2" s="10">
        <f ca="1">VLOOKUP($B2,'[5]Analisys QBR By Machine Report'!$C$109:$BD$166,46,FALSE)</f>
        <v>0</v>
      </c>
      <c r="AZ2" s="10">
        <f ca="1">VLOOKUP($B2,'[5]Analisys QBR By Machine Report'!$C$109:$BD$166,47,FALSE)</f>
        <v>222</v>
      </c>
      <c r="BA2" s="10">
        <f ca="1">VLOOKUP($B2,'[5]Analisys QBR By Machine Report'!$C$109:$BD$166,48,FALSE)</f>
        <v>0</v>
      </c>
      <c r="BB2" s="10">
        <f ca="1">VLOOKUP($B2,'[5]Analisys QBR By Machine Report'!$C$109:$BD$166,49,FALSE)</f>
        <v>0</v>
      </c>
      <c r="BC2" s="10">
        <f ca="1">VLOOKUP($B2,'[5]Analisys QBR By Machine Report'!$C$109:$BD$166,50,FALSE)</f>
        <v>0</v>
      </c>
      <c r="BD2" s="10">
        <f ca="1">VLOOKUP($B2,'[5]Analisys QBR By Machine Report'!$C$109:$BD$166,51,FALSE)</f>
        <v>7483.03</v>
      </c>
      <c r="BE2" s="10">
        <f ca="1">VLOOKUP($B2,'[5]Analisys QBR By Machine Report'!$C$109:$BD$166,52,FALSE)</f>
        <v>0</v>
      </c>
      <c r="BF2" s="10">
        <f ca="1">VLOOKUP($B2,'[5]Analisys QBR By Machine Report'!$C$109:$BD$166,53,FALSE)</f>
        <v>7483.03</v>
      </c>
    </row>
    <row r="3" spans="1:58" x14ac:dyDescent="0.25">
      <c r="A3" s="12" t="s">
        <v>59</v>
      </c>
      <c r="B3" s="13">
        <f ca="1">VLOOKUP($B3,'[5]Analisys QBR By Machine Report'!$C$109:$BD$166,2,FALSE)</f>
        <v>28800</v>
      </c>
      <c r="C3" s="14">
        <f ca="1">VLOOKUP($B3,[5]Dasboard_QBR_Report!$B$109:$BL$166,3,FALSE)</f>
        <v>18600</v>
      </c>
      <c r="D3" s="13">
        <f ca="1">VLOOKUP($B3,'[5]Analisys QBR By Machine Report'!$C$109:$BD$166,3,FALSE)</f>
        <v>21270</v>
      </c>
      <c r="E3" s="14">
        <f ca="1">VLOOKUP($B3,[5]Dasboard_QBR_Report!$B$109:$BL$166,5,FALSE)</f>
        <v>11070</v>
      </c>
      <c r="F3" s="13">
        <f t="shared" ca="1" si="0"/>
        <v>7530</v>
      </c>
      <c r="G3" s="13">
        <f t="shared" ca="1" si="1"/>
        <v>592</v>
      </c>
      <c r="H3" s="13">
        <f ca="1">VLOOKUP($B3,'[5]Analisys QBR By Machine Report'!$C$109:$BD$166,4,FALSE)</f>
        <v>402</v>
      </c>
      <c r="I3" s="13">
        <f ca="1">VLOOKUP($B3,'[5]Analisys QBR By Machine Report'!$C$109:$BD$166,5,FALSE)</f>
        <v>52</v>
      </c>
      <c r="J3" s="13">
        <f ca="1">VLOOKUP($B3,'[5]Analisys QBR By Machine Report'!$C$109:$BD$166,6,FALSE)</f>
        <v>350</v>
      </c>
      <c r="K3" s="13">
        <f ca="1">VLOOKUP($B3,'[5]Analisys QBR By Machine Report'!$C$109:$BD$166,7,FALSE)</f>
        <v>190</v>
      </c>
      <c r="L3" s="13">
        <f ca="1">VLOOKUP($B3,'[5]Analisys QBR By Machine Report'!$C$109:$BD$166,8,FALSE)</f>
        <v>6938</v>
      </c>
      <c r="M3" s="13">
        <f ca="1">VLOOKUP($B3,'[5]Analisys QBR By Machine Report'!$C$109:$BD$166,9,FALSE)</f>
        <v>1575</v>
      </c>
      <c r="N3" s="13">
        <f ca="1">VLOOKUP($B3,[5]Dasboard_QBR_Report!$B$109:$BL$166,18,FALSE)</f>
        <v>5363</v>
      </c>
      <c r="O3" s="13">
        <f ca="1">VLOOKUP($B3,'[5]Analisys QBR By Machine Report'!$C$109:$BD$166,10,FALSE)</f>
        <v>198</v>
      </c>
      <c r="P3" s="13">
        <f ca="1">VLOOKUP($B3,'[5]Analisys QBR By Machine Report'!$C$109:$BD$166,11,FALSE)</f>
        <v>198</v>
      </c>
      <c r="Q3" s="13">
        <f ca="1">VLOOKUP($B3,'[5]Analisys QBR By Machine Report'!$C$109:$BD$166,12,FALSE)</f>
        <v>0</v>
      </c>
      <c r="R3" s="13">
        <f ca="1">VLOOKUP($B3,'[5]Analisys QBR By Machine Report'!$C$109:$BD$166,13,FALSE)</f>
        <v>0</v>
      </c>
      <c r="S3" s="13">
        <f ca="1">VLOOKUP($B3,'[5]Analisys QBR By Machine Report'!$C$109:$BD$166,14,FALSE)</f>
        <v>0</v>
      </c>
      <c r="T3" s="13">
        <f ca="1">VLOOKUP($B3,'[5]Analisys QBR By Machine Report'!$C$109:$BD$166,15,FALSE)</f>
        <v>0</v>
      </c>
      <c r="U3" s="13">
        <f ca="1">VLOOKUP($B3,'[5]Analisys QBR By Machine Report'!$C$109:$BD$166,16,FALSE)</f>
        <v>0</v>
      </c>
      <c r="V3" s="13">
        <f ca="1">VLOOKUP($B3,'[5]Analisys QBR By Machine Report'!$C$109:$BD$166,17,FALSE)</f>
        <v>0</v>
      </c>
      <c r="W3" s="13">
        <f ca="1">VLOOKUP($B3,'[5]Analisys QBR By Machine Report'!$C$109:$BD$166,18,FALSE)</f>
        <v>0</v>
      </c>
      <c r="X3" s="13">
        <f ca="1">VLOOKUP($B3,'[5]Analisys QBR By Machine Report'!$C$109:$BD$166,19,FALSE)</f>
        <v>0</v>
      </c>
      <c r="Y3" s="13">
        <f ca="1">VLOOKUP($B3,'[5]Analisys QBR By Machine Report'!$C$109:$BD$166,20,FALSE)</f>
        <v>0</v>
      </c>
      <c r="Z3" s="13">
        <f ca="1">VLOOKUP($B3,'[5]Analisys QBR By Machine Report'!$C$109:$BD$166,21,FALSE)</f>
        <v>4011</v>
      </c>
      <c r="AA3" s="13">
        <f ca="1">VLOOKUP($B3,'[5]Analisys QBR By Machine Report'!$C$109:$BD$166,22,FALSE)</f>
        <v>2661</v>
      </c>
      <c r="AB3" s="13">
        <f ca="1">VLOOKUP($B3,'[5]Analisys QBR By Machine Report'!$C$109:$BD$166,23,FALSE)</f>
        <v>1061</v>
      </c>
      <c r="AC3" s="13">
        <f ca="1">VLOOKUP($B3,'[5]Analisys QBR By Machine Report'!$C$109:$BD$166,24,FALSE)</f>
        <v>94</v>
      </c>
      <c r="AD3" s="13">
        <f ca="1">VLOOKUP($B3,'[5]Analisys QBR By Machine Report'!$C$109:$BD$166,25,FALSE)</f>
        <v>0</v>
      </c>
      <c r="AE3" s="13">
        <f ca="1">VLOOKUP($B3,'[5]Analisys QBR By Machine Report'!$C$109:$BD$166,26,FALSE)</f>
        <v>195</v>
      </c>
      <c r="AF3" s="13">
        <f ca="1">VLOOKUP($B3,'[5]Analisys QBR By Machine Report'!$C$109:$BD$166,27,FALSE)</f>
        <v>0</v>
      </c>
      <c r="AG3" s="13">
        <f ca="1">VLOOKUP($B3,'[5]Analisys QBR By Machine Report'!$C$109:$BD$166,28,FALSE)</f>
        <v>0</v>
      </c>
      <c r="AH3" s="13">
        <f ca="1">VLOOKUP($B3,'[5]Analisys QBR By Machine Report'!$C$109:$BD$166,29,FALSE)</f>
        <v>0</v>
      </c>
      <c r="AI3" s="13">
        <f ca="1">VLOOKUP($B3,'[5]Analisys QBR By Machine Report'!$C$109:$BD$166,30,FALSE)</f>
        <v>1154</v>
      </c>
      <c r="AJ3" s="13">
        <f ca="1">VLOOKUP($B3,'[5]Analisys QBR By Machine Report'!$C$109:$BD$166,31,FALSE)</f>
        <v>120</v>
      </c>
      <c r="AK3" s="13">
        <f ca="1">VLOOKUP($B3,'[5]Analisys QBR By Machine Report'!$C$109:$BD$166,32,FALSE)</f>
        <v>0</v>
      </c>
      <c r="AL3" s="13">
        <f ca="1">VLOOKUP($B3,'[5]Analisys QBR By Machine Report'!$C$109:$BD$166,33,FALSE)</f>
        <v>450</v>
      </c>
      <c r="AM3" s="13">
        <f ca="1">VLOOKUP($B3,'[5]Analisys QBR By Machine Report'!$C$109:$BD$166,34,FALSE)</f>
        <v>0</v>
      </c>
      <c r="AN3" s="13">
        <f ca="1">VLOOKUP($B3,'[5]Analisys QBR By Machine Report'!$C$109:$BD$166,35,FALSE)</f>
        <v>330</v>
      </c>
      <c r="AO3" s="13">
        <f ca="1">VLOOKUP($B3,'[5]Analisys QBR By Machine Report'!$C$109:$BD$166,36,FALSE)</f>
        <v>0</v>
      </c>
      <c r="AP3" s="13">
        <f ca="1">VLOOKUP($B3,'[5]Analisys QBR By Machine Report'!$C$109:$BD$166,37,FALSE)</f>
        <v>0</v>
      </c>
      <c r="AQ3" s="13">
        <f ca="1">VLOOKUP($B3,'[5]Analisys QBR By Machine Report'!$C$109:$BD$166,38,FALSE)</f>
        <v>0</v>
      </c>
      <c r="AR3" s="13">
        <f ca="1">VLOOKUP($B3,'[5]Analisys QBR By Machine Report'!$C$109:$BD$166,39,FALSE)</f>
        <v>0</v>
      </c>
      <c r="AS3" s="13">
        <f ca="1">VLOOKUP($B3,'[5]Analisys QBR By Machine Report'!$C$109:$BD$166,40,FALSE)</f>
        <v>0</v>
      </c>
      <c r="AT3" s="13">
        <f ca="1">VLOOKUP($B3,'[5]Analisys QBR By Machine Report'!$C$109:$BD$166,41,FALSE)</f>
        <v>0</v>
      </c>
      <c r="AU3" s="13">
        <f ca="1">VLOOKUP($B3,'[5]Analisys QBR By Machine Report'!$C$109:$BD$166,42,FALSE)</f>
        <v>254</v>
      </c>
      <c r="AV3" s="13">
        <f ca="1">VLOOKUP($B3,'[5]Analisys QBR By Machine Report'!$C$109:$BD$166,43,FALSE)</f>
        <v>0</v>
      </c>
      <c r="AW3" s="13">
        <f ca="1">VLOOKUP($B3,'[5]Analisys QBR By Machine Report'!$C$109:$BD$166,44,FALSE)</f>
        <v>0</v>
      </c>
      <c r="AX3" s="13">
        <f ca="1">VLOOKUP($B3,'[5]Analisys QBR By Machine Report'!$C$109:$BD$166,45,FALSE)</f>
        <v>0</v>
      </c>
      <c r="AY3" s="13">
        <f ca="1">VLOOKUP($B3,'[5]Analisys QBR By Machine Report'!$C$109:$BD$166,46,FALSE)</f>
        <v>0</v>
      </c>
      <c r="AZ3" s="13">
        <f ca="1">VLOOKUP($B3,'[5]Analisys QBR By Machine Report'!$C$109:$BD$166,47,FALSE)</f>
        <v>0</v>
      </c>
      <c r="BA3" s="13">
        <f ca="1">VLOOKUP($B3,'[5]Analisys QBR By Machine Report'!$C$109:$BD$166,48,FALSE)</f>
        <v>0</v>
      </c>
      <c r="BB3" s="13">
        <f ca="1">VLOOKUP($B3,'[5]Analisys QBR By Machine Report'!$C$109:$BD$166,49,FALSE)</f>
        <v>0</v>
      </c>
      <c r="BC3" s="13">
        <f ca="1">VLOOKUP($B3,'[5]Analisys QBR By Machine Report'!$C$109:$BD$166,50,FALSE)</f>
        <v>0</v>
      </c>
      <c r="BD3" s="13">
        <f ca="1">VLOOKUP($B3,'[5]Analisys QBR By Machine Report'!$C$109:$BD$166,51,FALSE)</f>
        <v>779.04</v>
      </c>
      <c r="BE3" s="13">
        <f ca="1">VLOOKUP($B3,'[5]Analisys QBR By Machine Report'!$C$109:$BD$166,52,FALSE)</f>
        <v>0</v>
      </c>
      <c r="BF3" s="13">
        <f ca="1">VLOOKUP($B3,'[5]Analisys QBR By Machine Report'!$C$109:$BD$166,53,FALSE)</f>
        <v>779.04</v>
      </c>
    </row>
    <row r="4" spans="1:58" x14ac:dyDescent="0.25">
      <c r="A4" s="12" t="s">
        <v>60</v>
      </c>
      <c r="B4" s="13">
        <f ca="1">VLOOKUP($B4,'[5]Analisys QBR By Machine Report'!$C$109:$BD$166,2,FALSE)</f>
        <v>28800</v>
      </c>
      <c r="C4" s="14">
        <f ca="1">VLOOKUP($B4,[5]Dasboard_QBR_Report!$B$109:$BL$166,3,FALSE)</f>
        <v>18600</v>
      </c>
      <c r="D4" s="13">
        <f ca="1">VLOOKUP($B4,'[5]Analisys QBR By Machine Report'!$C$109:$BD$166,3,FALSE)</f>
        <v>23160</v>
      </c>
      <c r="E4" s="14">
        <f ca="1">VLOOKUP($B4,[5]Dasboard_QBR_Report!$B$109:$BL$166,5,FALSE)</f>
        <v>12960</v>
      </c>
      <c r="F4" s="13">
        <f t="shared" ca="1" si="0"/>
        <v>5640</v>
      </c>
      <c r="G4" s="13">
        <f t="shared" ca="1" si="1"/>
        <v>165</v>
      </c>
      <c r="H4" s="13">
        <f ca="1">VLOOKUP($B4,'[5]Analisys QBR By Machine Report'!$C$109:$BD$166,4,FALSE)</f>
        <v>165</v>
      </c>
      <c r="I4" s="13">
        <f ca="1">VLOOKUP($B4,'[5]Analisys QBR By Machine Report'!$C$109:$BD$166,5,FALSE)</f>
        <v>0</v>
      </c>
      <c r="J4" s="13">
        <f ca="1">VLOOKUP($B4,'[5]Analisys QBR By Machine Report'!$C$109:$BD$166,6,FALSE)</f>
        <v>165</v>
      </c>
      <c r="K4" s="13">
        <f ca="1">VLOOKUP($B4,'[5]Analisys QBR By Machine Report'!$C$109:$BD$166,7,FALSE)</f>
        <v>0</v>
      </c>
      <c r="L4" s="13">
        <f ca="1">VLOOKUP($B4,'[5]Analisys QBR By Machine Report'!$C$109:$BD$166,8,FALSE)</f>
        <v>5475</v>
      </c>
      <c r="M4" s="13">
        <f ca="1">VLOOKUP($B4,'[5]Analisys QBR By Machine Report'!$C$109:$BD$166,9,FALSE)</f>
        <v>1817</v>
      </c>
      <c r="N4" s="13">
        <f ca="1">VLOOKUP($B4,[5]Dasboard_QBR_Report!$B$109:$BL$166,18,FALSE)</f>
        <v>3658</v>
      </c>
      <c r="O4" s="13">
        <f ca="1">VLOOKUP($B4,'[5]Analisys QBR By Machine Report'!$C$109:$BD$166,10,FALSE)</f>
        <v>115</v>
      </c>
      <c r="P4" s="13">
        <f ca="1">VLOOKUP($B4,'[5]Analisys QBR By Machine Report'!$C$109:$BD$166,11,FALSE)</f>
        <v>115</v>
      </c>
      <c r="Q4" s="13">
        <f ca="1">VLOOKUP($B4,'[5]Analisys QBR By Machine Report'!$C$109:$BD$166,12,FALSE)</f>
        <v>0</v>
      </c>
      <c r="R4" s="13">
        <f ca="1">VLOOKUP($B4,'[5]Analisys QBR By Machine Report'!$C$109:$BD$166,13,FALSE)</f>
        <v>0</v>
      </c>
      <c r="S4" s="13">
        <f ca="1">VLOOKUP($B4,'[5]Analisys QBR By Machine Report'!$C$109:$BD$166,14,FALSE)</f>
        <v>0</v>
      </c>
      <c r="T4" s="13">
        <f ca="1">VLOOKUP($B4,'[5]Analisys QBR By Machine Report'!$C$109:$BD$166,15,FALSE)</f>
        <v>0</v>
      </c>
      <c r="U4" s="13">
        <f ca="1">VLOOKUP($B4,'[5]Analisys QBR By Machine Report'!$C$109:$BD$166,16,FALSE)</f>
        <v>0</v>
      </c>
      <c r="V4" s="13">
        <f ca="1">VLOOKUP($B4,'[5]Analisys QBR By Machine Report'!$C$109:$BD$166,17,FALSE)</f>
        <v>0</v>
      </c>
      <c r="W4" s="13">
        <f ca="1">VLOOKUP($B4,'[5]Analisys QBR By Machine Report'!$C$109:$BD$166,18,FALSE)</f>
        <v>0</v>
      </c>
      <c r="X4" s="13">
        <f ca="1">VLOOKUP($B4,'[5]Analisys QBR By Machine Report'!$C$109:$BD$166,19,FALSE)</f>
        <v>0</v>
      </c>
      <c r="Y4" s="13">
        <f ca="1">VLOOKUP($B4,'[5]Analisys QBR By Machine Report'!$C$109:$BD$166,20,FALSE)</f>
        <v>0</v>
      </c>
      <c r="Z4" s="13">
        <f ca="1">VLOOKUP($B4,'[5]Analisys QBR By Machine Report'!$C$109:$BD$166,21,FALSE)</f>
        <v>2871</v>
      </c>
      <c r="AA4" s="13">
        <f ca="1">VLOOKUP($B4,'[5]Analisys QBR By Machine Report'!$C$109:$BD$166,22,FALSE)</f>
        <v>2286</v>
      </c>
      <c r="AB4" s="13">
        <f ca="1">VLOOKUP($B4,'[5]Analisys QBR By Machine Report'!$C$109:$BD$166,23,FALSE)</f>
        <v>463</v>
      </c>
      <c r="AC4" s="13">
        <f ca="1">VLOOKUP($B4,'[5]Analisys QBR By Machine Report'!$C$109:$BD$166,24,FALSE)</f>
        <v>2</v>
      </c>
      <c r="AD4" s="13">
        <f ca="1">VLOOKUP($B4,'[5]Analisys QBR By Machine Report'!$C$109:$BD$166,25,FALSE)</f>
        <v>0</v>
      </c>
      <c r="AE4" s="13">
        <f ca="1">VLOOKUP($B4,'[5]Analisys QBR By Machine Report'!$C$109:$BD$166,26,FALSE)</f>
        <v>120</v>
      </c>
      <c r="AF4" s="13">
        <f ca="1">VLOOKUP($B4,'[5]Analisys QBR By Machine Report'!$C$109:$BD$166,27,FALSE)</f>
        <v>0</v>
      </c>
      <c r="AG4" s="13">
        <f ca="1">VLOOKUP($B4,'[5]Analisys QBR By Machine Report'!$C$109:$BD$166,28,FALSE)</f>
        <v>0</v>
      </c>
      <c r="AH4" s="13">
        <f ca="1">VLOOKUP($B4,'[5]Analisys QBR By Machine Report'!$C$109:$BD$166,29,FALSE)</f>
        <v>0</v>
      </c>
      <c r="AI4" s="13">
        <f ca="1">VLOOKUP($B4,'[5]Analisys QBR By Machine Report'!$C$109:$BD$166,30,FALSE)</f>
        <v>672</v>
      </c>
      <c r="AJ4" s="13">
        <f ca="1">VLOOKUP($B4,'[5]Analisys QBR By Machine Report'!$C$109:$BD$166,31,FALSE)</f>
        <v>25</v>
      </c>
      <c r="AK4" s="13">
        <f ca="1">VLOOKUP($B4,'[5]Analisys QBR By Machine Report'!$C$109:$BD$166,32,FALSE)</f>
        <v>0</v>
      </c>
      <c r="AL4" s="13">
        <f ca="1">VLOOKUP($B4,'[5]Analisys QBR By Machine Report'!$C$109:$BD$166,33,FALSE)</f>
        <v>270</v>
      </c>
      <c r="AM4" s="13">
        <f ca="1">VLOOKUP($B4,'[5]Analisys QBR By Machine Report'!$C$109:$BD$166,34,FALSE)</f>
        <v>0</v>
      </c>
      <c r="AN4" s="13">
        <f ca="1">VLOOKUP($B4,'[5]Analisys QBR By Machine Report'!$C$109:$BD$166,35,FALSE)</f>
        <v>255</v>
      </c>
      <c r="AO4" s="13">
        <f ca="1">VLOOKUP($B4,'[5]Analisys QBR By Machine Report'!$C$109:$BD$166,36,FALSE)</f>
        <v>0</v>
      </c>
      <c r="AP4" s="13">
        <f ca="1">VLOOKUP($B4,'[5]Analisys QBR By Machine Report'!$C$109:$BD$166,37,FALSE)</f>
        <v>0</v>
      </c>
      <c r="AQ4" s="13">
        <f ca="1">VLOOKUP($B4,'[5]Analisys QBR By Machine Report'!$C$109:$BD$166,38,FALSE)</f>
        <v>0</v>
      </c>
      <c r="AR4" s="13">
        <f ca="1">VLOOKUP($B4,'[5]Analisys QBR By Machine Report'!$C$109:$BD$166,39,FALSE)</f>
        <v>0</v>
      </c>
      <c r="AS4" s="13">
        <f ca="1">VLOOKUP($B4,'[5]Analisys QBR By Machine Report'!$C$109:$BD$166,40,FALSE)</f>
        <v>0</v>
      </c>
      <c r="AT4" s="13">
        <f ca="1">VLOOKUP($B4,'[5]Analisys QBR By Machine Report'!$C$109:$BD$166,41,FALSE)</f>
        <v>0</v>
      </c>
      <c r="AU4" s="13">
        <f ca="1">VLOOKUP($B4,'[5]Analisys QBR By Machine Report'!$C$109:$BD$166,42,FALSE)</f>
        <v>122</v>
      </c>
      <c r="AV4" s="13">
        <f ca="1">VLOOKUP($B4,'[5]Analisys QBR By Machine Report'!$C$109:$BD$166,43,FALSE)</f>
        <v>0</v>
      </c>
      <c r="AW4" s="13">
        <f ca="1">VLOOKUP($B4,'[5]Analisys QBR By Machine Report'!$C$109:$BD$166,44,FALSE)</f>
        <v>0</v>
      </c>
      <c r="AX4" s="13">
        <f ca="1">VLOOKUP($B4,'[5]Analisys QBR By Machine Report'!$C$109:$BD$166,45,FALSE)</f>
        <v>0</v>
      </c>
      <c r="AY4" s="13">
        <f ca="1">VLOOKUP($B4,'[5]Analisys QBR By Machine Report'!$C$109:$BD$166,46,FALSE)</f>
        <v>0</v>
      </c>
      <c r="AZ4" s="13">
        <f ca="1">VLOOKUP($B4,'[5]Analisys QBR By Machine Report'!$C$109:$BD$166,47,FALSE)</f>
        <v>0</v>
      </c>
      <c r="BA4" s="13">
        <f ca="1">VLOOKUP($B4,'[5]Analisys QBR By Machine Report'!$C$109:$BD$166,48,FALSE)</f>
        <v>0</v>
      </c>
      <c r="BB4" s="13">
        <f ca="1">VLOOKUP($B4,'[5]Analisys QBR By Machine Report'!$C$109:$BD$166,49,FALSE)</f>
        <v>0</v>
      </c>
      <c r="BC4" s="13">
        <f ca="1">VLOOKUP($B4,'[5]Analisys QBR By Machine Report'!$C$109:$BD$166,50,FALSE)</f>
        <v>0</v>
      </c>
      <c r="BD4" s="13">
        <f ca="1">VLOOKUP($B4,'[5]Analisys QBR By Machine Report'!$C$109:$BD$166,51,FALSE)</f>
        <v>1739.13</v>
      </c>
      <c r="BE4" s="13">
        <f ca="1">VLOOKUP($B4,'[5]Analisys QBR By Machine Report'!$C$109:$BD$166,52,FALSE)</f>
        <v>0</v>
      </c>
      <c r="BF4" s="13">
        <f ca="1">VLOOKUP($B4,'[5]Analisys QBR By Machine Report'!$C$109:$BD$166,53,FALSE)</f>
        <v>1739.13</v>
      </c>
    </row>
    <row r="5" spans="1:58" x14ac:dyDescent="0.25">
      <c r="A5" s="12" t="s">
        <v>61</v>
      </c>
      <c r="B5" s="13">
        <f ca="1">VLOOKUP($B5,'[5]Analisys QBR By Machine Report'!$C$109:$BD$166,2,FALSE)</f>
        <v>28800</v>
      </c>
      <c r="C5" s="14">
        <f ca="1">VLOOKUP($B5,[5]Dasboard_QBR_Report!$B$109:$BL$166,3,FALSE)</f>
        <v>18600</v>
      </c>
      <c r="D5" s="13">
        <f ca="1">VLOOKUP($B5,'[5]Analisys QBR By Machine Report'!$C$109:$BD$166,3,FALSE)</f>
        <v>12060</v>
      </c>
      <c r="E5" s="14">
        <f ca="1">VLOOKUP($B5,[5]Dasboard_QBR_Report!$B$109:$BL$166,5,FALSE)</f>
        <v>1860</v>
      </c>
      <c r="F5" s="13">
        <f t="shared" ca="1" si="0"/>
        <v>16740</v>
      </c>
      <c r="G5" s="13">
        <f t="shared" ca="1" si="1"/>
        <v>2645</v>
      </c>
      <c r="H5" s="13">
        <f ca="1">VLOOKUP($B5,'[5]Analisys QBR By Machine Report'!$C$109:$BD$166,4,FALSE)</f>
        <v>2525</v>
      </c>
      <c r="I5" s="13">
        <f ca="1">VLOOKUP($B5,'[5]Analisys QBR By Machine Report'!$C$109:$BD$166,5,FALSE)</f>
        <v>0</v>
      </c>
      <c r="J5" s="13">
        <f ca="1">VLOOKUP($B5,'[5]Analisys QBR By Machine Report'!$C$109:$BD$166,6,FALSE)</f>
        <v>2525</v>
      </c>
      <c r="K5" s="13">
        <f ca="1">VLOOKUP($B5,'[5]Analisys QBR By Machine Report'!$C$109:$BD$166,7,FALSE)</f>
        <v>120</v>
      </c>
      <c r="L5" s="13">
        <f ca="1">VLOOKUP($B5,'[5]Analisys QBR By Machine Report'!$C$109:$BD$166,8,FALSE)</f>
        <v>14095</v>
      </c>
      <c r="M5" s="13">
        <f ca="1">VLOOKUP($B5,'[5]Analisys QBR By Machine Report'!$C$109:$BD$166,9,FALSE)</f>
        <v>901</v>
      </c>
      <c r="N5" s="13">
        <f ca="1">VLOOKUP($B5,[5]Dasboard_QBR_Report!$B$109:$BL$166,18,FALSE)</f>
        <v>13194</v>
      </c>
      <c r="O5" s="13">
        <f ca="1">VLOOKUP($B5,'[5]Analisys QBR By Machine Report'!$C$109:$BD$166,10,FALSE)</f>
        <v>402</v>
      </c>
      <c r="P5" s="13">
        <f ca="1">VLOOKUP($B5,'[5]Analisys QBR By Machine Report'!$C$109:$BD$166,11,FALSE)</f>
        <v>402</v>
      </c>
      <c r="Q5" s="13">
        <f ca="1">VLOOKUP($B5,'[5]Analisys QBR By Machine Report'!$C$109:$BD$166,12,FALSE)</f>
        <v>0</v>
      </c>
      <c r="R5" s="13">
        <f ca="1">VLOOKUP($B5,'[5]Analisys QBR By Machine Report'!$C$109:$BD$166,13,FALSE)</f>
        <v>0</v>
      </c>
      <c r="S5" s="13">
        <f ca="1">VLOOKUP($B5,'[5]Analisys QBR By Machine Report'!$C$109:$BD$166,14,FALSE)</f>
        <v>0</v>
      </c>
      <c r="T5" s="13">
        <f ca="1">VLOOKUP($B5,'[5]Analisys QBR By Machine Report'!$C$109:$BD$166,15,FALSE)</f>
        <v>0</v>
      </c>
      <c r="U5" s="13">
        <f ca="1">VLOOKUP($B5,'[5]Analisys QBR By Machine Report'!$C$109:$BD$166,16,FALSE)</f>
        <v>0</v>
      </c>
      <c r="V5" s="13">
        <f ca="1">VLOOKUP($B5,'[5]Analisys QBR By Machine Report'!$C$109:$BD$166,17,FALSE)</f>
        <v>0</v>
      </c>
      <c r="W5" s="13">
        <f ca="1">VLOOKUP($B5,'[5]Analisys QBR By Machine Report'!$C$109:$BD$166,18,FALSE)</f>
        <v>0</v>
      </c>
      <c r="X5" s="13">
        <f ca="1">VLOOKUP($B5,'[5]Analisys QBR By Machine Report'!$C$109:$BD$166,19,FALSE)</f>
        <v>0</v>
      </c>
      <c r="Y5" s="13">
        <f ca="1">VLOOKUP($B5,'[5]Analisys QBR By Machine Report'!$C$109:$BD$166,20,FALSE)</f>
        <v>0</v>
      </c>
      <c r="Z5" s="13">
        <f ca="1">VLOOKUP($B5,'[5]Analisys QBR By Machine Report'!$C$109:$BD$166,21,FALSE)</f>
        <v>4876</v>
      </c>
      <c r="AA5" s="13">
        <f ca="1">VLOOKUP($B5,'[5]Analisys QBR By Machine Report'!$C$109:$BD$166,22,FALSE)</f>
        <v>2300</v>
      </c>
      <c r="AB5" s="13">
        <f ca="1">VLOOKUP($B5,'[5]Analisys QBR By Machine Report'!$C$109:$BD$166,23,FALSE)</f>
        <v>2280</v>
      </c>
      <c r="AC5" s="13">
        <f ca="1">VLOOKUP($B5,'[5]Analisys QBR By Machine Report'!$C$109:$BD$166,24,FALSE)</f>
        <v>0</v>
      </c>
      <c r="AD5" s="13">
        <f ca="1">VLOOKUP($B5,'[5]Analisys QBR By Machine Report'!$C$109:$BD$166,25,FALSE)</f>
        <v>0</v>
      </c>
      <c r="AE5" s="13">
        <f ca="1">VLOOKUP($B5,'[5]Analisys QBR By Machine Report'!$C$109:$BD$166,26,FALSE)</f>
        <v>296</v>
      </c>
      <c r="AF5" s="13">
        <f ca="1">VLOOKUP($B5,'[5]Analisys QBR By Machine Report'!$C$109:$BD$166,27,FALSE)</f>
        <v>690</v>
      </c>
      <c r="AG5" s="13">
        <f ca="1">VLOOKUP($B5,'[5]Analisys QBR By Machine Report'!$C$109:$BD$166,28,FALSE)</f>
        <v>0</v>
      </c>
      <c r="AH5" s="13">
        <f ca="1">VLOOKUP($B5,'[5]Analisys QBR By Machine Report'!$C$109:$BD$166,29,FALSE)</f>
        <v>690</v>
      </c>
      <c r="AI5" s="13">
        <f ca="1">VLOOKUP($B5,'[5]Analisys QBR By Machine Report'!$C$109:$BD$166,30,FALSE)</f>
        <v>7226</v>
      </c>
      <c r="AJ5" s="13">
        <f ca="1">VLOOKUP($B5,'[5]Analisys QBR By Machine Report'!$C$109:$BD$166,31,FALSE)</f>
        <v>110</v>
      </c>
      <c r="AK5" s="13">
        <f ca="1">VLOOKUP($B5,'[5]Analisys QBR By Machine Report'!$C$109:$BD$166,32,FALSE)</f>
        <v>0</v>
      </c>
      <c r="AL5" s="13">
        <f ca="1">VLOOKUP($B5,'[5]Analisys QBR By Machine Report'!$C$109:$BD$166,33,FALSE)</f>
        <v>660</v>
      </c>
      <c r="AM5" s="13">
        <f ca="1">VLOOKUP($B5,'[5]Analisys QBR By Machine Report'!$C$109:$BD$166,34,FALSE)</f>
        <v>0</v>
      </c>
      <c r="AN5" s="13">
        <f ca="1">VLOOKUP($B5,'[5]Analisys QBR By Machine Report'!$C$109:$BD$166,35,FALSE)</f>
        <v>510</v>
      </c>
      <c r="AO5" s="13">
        <f ca="1">VLOOKUP($B5,'[5]Analisys QBR By Machine Report'!$C$109:$BD$166,36,FALSE)</f>
        <v>0</v>
      </c>
      <c r="AP5" s="13">
        <f ca="1">VLOOKUP($B5,'[5]Analisys QBR By Machine Report'!$C$109:$BD$166,37,FALSE)</f>
        <v>0</v>
      </c>
      <c r="AQ5" s="13">
        <f ca="1">VLOOKUP($B5,'[5]Analisys QBR By Machine Report'!$C$109:$BD$166,38,FALSE)</f>
        <v>0</v>
      </c>
      <c r="AR5" s="13">
        <f ca="1">VLOOKUP($B5,'[5]Analisys QBR By Machine Report'!$C$109:$BD$166,39,FALSE)</f>
        <v>5651</v>
      </c>
      <c r="AS5" s="13">
        <f ca="1">VLOOKUP($B5,'[5]Analisys QBR By Machine Report'!$C$109:$BD$166,40,FALSE)</f>
        <v>17</v>
      </c>
      <c r="AT5" s="13">
        <f ca="1">VLOOKUP($B5,'[5]Analisys QBR By Machine Report'!$C$109:$BD$166,41,FALSE)</f>
        <v>0</v>
      </c>
      <c r="AU5" s="13">
        <f ca="1">VLOOKUP($B5,'[5]Analisys QBR By Machine Report'!$C$109:$BD$166,42,FALSE)</f>
        <v>56</v>
      </c>
      <c r="AV5" s="13">
        <f ca="1">VLOOKUP($B5,'[5]Analisys QBR By Machine Report'!$C$109:$BD$166,43,FALSE)</f>
        <v>0</v>
      </c>
      <c r="AW5" s="13">
        <f ca="1">VLOOKUP($B5,'[5]Analisys QBR By Machine Report'!$C$109:$BD$166,44,FALSE)</f>
        <v>0</v>
      </c>
      <c r="AX5" s="13">
        <f ca="1">VLOOKUP($B5,'[5]Analisys QBR By Machine Report'!$C$109:$BD$166,45,FALSE)</f>
        <v>0</v>
      </c>
      <c r="AY5" s="13">
        <f ca="1">VLOOKUP($B5,'[5]Analisys QBR By Machine Report'!$C$109:$BD$166,46,FALSE)</f>
        <v>0</v>
      </c>
      <c r="AZ5" s="13">
        <f ca="1">VLOOKUP($B5,'[5]Analisys QBR By Machine Report'!$C$109:$BD$166,47,FALSE)</f>
        <v>222</v>
      </c>
      <c r="BA5" s="13">
        <f ca="1">VLOOKUP($B5,'[5]Analisys QBR By Machine Report'!$C$109:$BD$166,48,FALSE)</f>
        <v>0</v>
      </c>
      <c r="BB5" s="13">
        <f ca="1">VLOOKUP($B5,'[5]Analisys QBR By Machine Report'!$C$109:$BD$166,49,FALSE)</f>
        <v>0</v>
      </c>
      <c r="BC5" s="13">
        <f ca="1">VLOOKUP($B5,'[5]Analisys QBR By Machine Report'!$C$109:$BD$166,50,FALSE)</f>
        <v>0</v>
      </c>
      <c r="BD5" s="13">
        <f ca="1">VLOOKUP($B5,'[5]Analisys QBR By Machine Report'!$C$109:$BD$166,51,FALSE)</f>
        <v>4964.8599999999997</v>
      </c>
      <c r="BE5" s="13">
        <f ca="1">VLOOKUP($B5,'[5]Analisys QBR By Machine Report'!$C$109:$BD$166,52,FALSE)</f>
        <v>0</v>
      </c>
      <c r="BF5" s="13">
        <f ca="1">VLOOKUP($B5,'[5]Analisys QBR By Machine Report'!$C$109:$BD$166,53,FALSE)</f>
        <v>4964.8599999999997</v>
      </c>
    </row>
    <row r="6" spans="1:58" x14ac:dyDescent="0.25">
      <c r="A6" s="9" t="s">
        <v>62</v>
      </c>
      <c r="B6" s="10">
        <f ca="1">VLOOKUP($B6,'[5]Analisys QBR By Machine Report'!$C$109:$BD$166,2,FALSE)</f>
        <v>54720</v>
      </c>
      <c r="C6" s="11">
        <f ca="1">VLOOKUP($B6,[5]Dasboard_QBR_Report!$B$109:$BL$166,3,FALSE)</f>
        <v>18240</v>
      </c>
      <c r="D6" s="10">
        <f ca="1">VLOOKUP($B6,'[5]Analisys QBR By Machine Report'!$C$109:$BD$166,3,FALSE)</f>
        <v>45030</v>
      </c>
      <c r="E6" s="11">
        <f ca="1">VLOOKUP($B6,[5]Dasboard_QBR_Report!$B$109:$BL$166,5,FALSE)</f>
        <v>8550</v>
      </c>
      <c r="F6" s="10">
        <f t="shared" ca="1" si="0"/>
        <v>9690</v>
      </c>
      <c r="G6" s="10">
        <f t="shared" ca="1" si="1"/>
        <v>1040</v>
      </c>
      <c r="H6" s="10">
        <f ca="1">VLOOKUP($B6,'[5]Analisys QBR By Machine Report'!$C$109:$BD$166,4,FALSE)</f>
        <v>1040</v>
      </c>
      <c r="I6" s="10">
        <f ca="1">VLOOKUP($B6,'[5]Analisys QBR By Machine Report'!$C$109:$BD$166,5,FALSE)</f>
        <v>180</v>
      </c>
      <c r="J6" s="10">
        <f ca="1">VLOOKUP($B6,'[5]Analisys QBR By Machine Report'!$C$109:$BD$166,6,FALSE)</f>
        <v>860</v>
      </c>
      <c r="K6" s="10">
        <f ca="1">VLOOKUP($B6,'[5]Analisys QBR By Machine Report'!$C$109:$BD$166,7,FALSE)</f>
        <v>0</v>
      </c>
      <c r="L6" s="10">
        <f ca="1">VLOOKUP($B6,'[5]Analisys QBR By Machine Report'!$C$109:$BD$166,8,FALSE)</f>
        <v>8650</v>
      </c>
      <c r="M6" s="10">
        <f ca="1">VLOOKUP($B6,'[5]Analisys QBR By Machine Report'!$C$109:$BD$166,9,FALSE)</f>
        <v>3225</v>
      </c>
      <c r="N6" s="10">
        <f ca="1">VLOOKUP($B6,[5]Dasboard_QBR_Report!$B$109:$BL$166,18,FALSE)</f>
        <v>5425</v>
      </c>
      <c r="O6" s="10">
        <f ca="1">VLOOKUP($B6,'[5]Analisys QBR By Machine Report'!$C$109:$BD$166,10,FALSE)</f>
        <v>1170</v>
      </c>
      <c r="P6" s="10">
        <f ca="1">VLOOKUP($B6,'[5]Analisys QBR By Machine Report'!$C$109:$BD$166,11,FALSE)</f>
        <v>645</v>
      </c>
      <c r="Q6" s="10">
        <f ca="1">VLOOKUP($B6,'[5]Analisys QBR By Machine Report'!$C$109:$BD$166,12,FALSE)</f>
        <v>30</v>
      </c>
      <c r="R6" s="10">
        <f ca="1">VLOOKUP($B6,'[5]Analisys QBR By Machine Report'!$C$109:$BD$166,13,FALSE)</f>
        <v>215</v>
      </c>
      <c r="S6" s="10">
        <f ca="1">VLOOKUP($B6,'[5]Analisys QBR By Machine Report'!$C$109:$BD$166,14,FALSE)</f>
        <v>280</v>
      </c>
      <c r="T6" s="10">
        <f ca="1">VLOOKUP($B6,'[5]Analisys QBR By Machine Report'!$C$109:$BD$166,15,FALSE)</f>
        <v>0</v>
      </c>
      <c r="U6" s="10">
        <f ca="1">VLOOKUP($B6,'[5]Analisys QBR By Machine Report'!$C$109:$BD$166,16,FALSE)</f>
        <v>0</v>
      </c>
      <c r="V6" s="10">
        <f ca="1">VLOOKUP($B6,'[5]Analisys QBR By Machine Report'!$C$109:$BD$166,17,FALSE)</f>
        <v>0</v>
      </c>
      <c r="W6" s="10">
        <f ca="1">VLOOKUP($B6,'[5]Analisys QBR By Machine Report'!$C$109:$BD$166,18,FALSE)</f>
        <v>0</v>
      </c>
      <c r="X6" s="10">
        <f ca="1">VLOOKUP($B6,'[5]Analisys QBR By Machine Report'!$C$109:$BD$166,19,FALSE)</f>
        <v>0</v>
      </c>
      <c r="Y6" s="10">
        <f ca="1">VLOOKUP($B6,'[5]Analisys QBR By Machine Report'!$C$109:$BD$166,20,FALSE)</f>
        <v>0</v>
      </c>
      <c r="Z6" s="10">
        <f ca="1">VLOOKUP($B6,'[5]Analisys QBR By Machine Report'!$C$109:$BD$166,21,FALSE)</f>
        <v>2305</v>
      </c>
      <c r="AA6" s="10">
        <f ca="1">VLOOKUP($B6,'[5]Analisys QBR By Machine Report'!$C$109:$BD$166,22,FALSE)</f>
        <v>895</v>
      </c>
      <c r="AB6" s="10">
        <f ca="1">VLOOKUP($B6,'[5]Analisys QBR By Machine Report'!$C$109:$BD$166,23,FALSE)</f>
        <v>960</v>
      </c>
      <c r="AC6" s="10">
        <f ca="1">VLOOKUP($B6,'[5]Analisys QBR By Machine Report'!$C$109:$BD$166,24,FALSE)</f>
        <v>260</v>
      </c>
      <c r="AD6" s="10">
        <f ca="1">VLOOKUP($B6,'[5]Analisys QBR By Machine Report'!$C$109:$BD$166,25,FALSE)</f>
        <v>0</v>
      </c>
      <c r="AE6" s="10">
        <f ca="1">VLOOKUP($B6,'[5]Analisys QBR By Machine Report'!$C$109:$BD$166,26,FALSE)</f>
        <v>190</v>
      </c>
      <c r="AF6" s="10">
        <f ca="1">VLOOKUP($B6,'[5]Analisys QBR By Machine Report'!$C$109:$BD$166,27,FALSE)</f>
        <v>255</v>
      </c>
      <c r="AG6" s="10">
        <f ca="1">VLOOKUP($B6,'[5]Analisys QBR By Machine Report'!$C$109:$BD$166,28,FALSE)</f>
        <v>255</v>
      </c>
      <c r="AH6" s="10">
        <f ca="1">VLOOKUP($B6,'[5]Analisys QBR By Machine Report'!$C$109:$BD$166,29,FALSE)</f>
        <v>0</v>
      </c>
      <c r="AI6" s="10">
        <f ca="1">VLOOKUP($B6,'[5]Analisys QBR By Machine Report'!$C$109:$BD$166,30,FALSE)</f>
        <v>1695</v>
      </c>
      <c r="AJ6" s="10">
        <f ca="1">VLOOKUP($B6,'[5]Analisys QBR By Machine Report'!$C$109:$BD$166,31,FALSE)</f>
        <v>0</v>
      </c>
      <c r="AK6" s="10">
        <f ca="1">VLOOKUP($B6,'[5]Analisys QBR By Machine Report'!$C$109:$BD$166,32,FALSE)</f>
        <v>0</v>
      </c>
      <c r="AL6" s="10">
        <f ca="1">VLOOKUP($B6,'[5]Analisys QBR By Machine Report'!$C$109:$BD$166,33,FALSE)</f>
        <v>425</v>
      </c>
      <c r="AM6" s="10">
        <f ca="1">VLOOKUP($B6,'[5]Analisys QBR By Machine Report'!$C$109:$BD$166,34,FALSE)</f>
        <v>0</v>
      </c>
      <c r="AN6" s="10">
        <f ca="1">VLOOKUP($B6,'[5]Analisys QBR By Machine Report'!$C$109:$BD$166,35,FALSE)</f>
        <v>300</v>
      </c>
      <c r="AO6" s="10">
        <f ca="1">VLOOKUP($B6,'[5]Analisys QBR By Machine Report'!$C$109:$BD$166,36,FALSE)</f>
        <v>0</v>
      </c>
      <c r="AP6" s="10">
        <f ca="1">VLOOKUP($B6,'[5]Analisys QBR By Machine Report'!$C$109:$BD$166,37,FALSE)</f>
        <v>0</v>
      </c>
      <c r="AQ6" s="10">
        <f ca="1">VLOOKUP($B6,'[5]Analisys QBR By Machine Report'!$C$109:$BD$166,38,FALSE)</f>
        <v>0</v>
      </c>
      <c r="AR6" s="10">
        <f ca="1">VLOOKUP($B6,'[5]Analisys QBR By Machine Report'!$C$109:$BD$166,39,FALSE)</f>
        <v>330</v>
      </c>
      <c r="AS6" s="10">
        <f ca="1">VLOOKUP($B6,'[5]Analisys QBR By Machine Report'!$C$109:$BD$166,40,FALSE)</f>
        <v>130</v>
      </c>
      <c r="AT6" s="10">
        <f ca="1">VLOOKUP($B6,'[5]Analisys QBR By Machine Report'!$C$109:$BD$166,41,FALSE)</f>
        <v>0</v>
      </c>
      <c r="AU6" s="10">
        <f ca="1">VLOOKUP($B6,'[5]Analisys QBR By Machine Report'!$C$109:$BD$166,42,FALSE)</f>
        <v>0</v>
      </c>
      <c r="AV6" s="10">
        <f ca="1">VLOOKUP($B6,'[5]Analisys QBR By Machine Report'!$C$109:$BD$166,43,FALSE)</f>
        <v>0</v>
      </c>
      <c r="AW6" s="10">
        <f ca="1">VLOOKUP($B6,'[5]Analisys QBR By Machine Report'!$C$109:$BD$166,44,FALSE)</f>
        <v>0</v>
      </c>
      <c r="AX6" s="10">
        <f ca="1">VLOOKUP($B6,'[5]Analisys QBR By Machine Report'!$C$109:$BD$166,45,FALSE)</f>
        <v>0</v>
      </c>
      <c r="AY6" s="10">
        <f ca="1">VLOOKUP($B6,'[5]Analisys QBR By Machine Report'!$C$109:$BD$166,46,FALSE)</f>
        <v>0</v>
      </c>
      <c r="AZ6" s="10">
        <f ca="1">VLOOKUP($B6,'[5]Analisys QBR By Machine Report'!$C$109:$BD$166,47,FALSE)</f>
        <v>310</v>
      </c>
      <c r="BA6" s="10">
        <f ca="1">VLOOKUP($B6,'[5]Analisys QBR By Machine Report'!$C$109:$BD$166,48,FALSE)</f>
        <v>200</v>
      </c>
      <c r="BB6" s="10">
        <f ca="1">VLOOKUP($B6,'[5]Analisys QBR By Machine Report'!$C$109:$BD$166,49,FALSE)</f>
        <v>0</v>
      </c>
      <c r="BC6" s="10">
        <f ca="1">VLOOKUP($B6,'[5]Analisys QBR By Machine Report'!$C$109:$BD$166,50,FALSE)</f>
        <v>0</v>
      </c>
      <c r="BD6" s="10">
        <f ca="1">VLOOKUP($B6,'[5]Analisys QBR By Machine Report'!$C$109:$BD$166,51,FALSE)</f>
        <v>1244245</v>
      </c>
      <c r="BE6" s="10">
        <f ca="1">VLOOKUP($B6,'[5]Analisys QBR By Machine Report'!$C$109:$BD$166,52,FALSE)</f>
        <v>0</v>
      </c>
      <c r="BF6" s="10">
        <f ca="1">VLOOKUP($B6,'[5]Analisys QBR By Machine Report'!$C$109:$BD$166,53,FALSE)</f>
        <v>1244245</v>
      </c>
    </row>
    <row r="7" spans="1:58" x14ac:dyDescent="0.25">
      <c r="A7" s="12" t="s">
        <v>63</v>
      </c>
      <c r="B7" s="13">
        <f ca="1">VLOOKUP($B7,'[5]Analisys QBR By Machine Report'!$C$109:$BD$166,2,FALSE)</f>
        <v>27360</v>
      </c>
      <c r="C7" s="14">
        <f ca="1">VLOOKUP($B7,[5]Dasboard_QBR_Report!$B$109:$BL$166,3,FALSE)</f>
        <v>9120</v>
      </c>
      <c r="D7" s="13">
        <f ca="1">VLOOKUP($B7,'[5]Analisys QBR By Machine Report'!$C$109:$BD$166,3,FALSE)</f>
        <v>19710</v>
      </c>
      <c r="E7" s="14">
        <f ca="1">VLOOKUP($B7,[5]Dasboard_QBR_Report!$B$109:$BL$166,5,FALSE)</f>
        <v>1470</v>
      </c>
      <c r="F7" s="13">
        <f t="shared" ca="1" si="0"/>
        <v>7650</v>
      </c>
      <c r="G7" s="13">
        <f t="shared" ca="1" si="1"/>
        <v>350</v>
      </c>
      <c r="H7" s="13">
        <f ca="1">VLOOKUP($B7,'[5]Analisys QBR By Machine Report'!$C$109:$BD$166,4,FALSE)</f>
        <v>350</v>
      </c>
      <c r="I7" s="13">
        <f ca="1">VLOOKUP($B7,'[5]Analisys QBR By Machine Report'!$C$109:$BD$166,5,FALSE)</f>
        <v>180</v>
      </c>
      <c r="J7" s="13">
        <f ca="1">VLOOKUP($B7,'[5]Analisys QBR By Machine Report'!$C$109:$BD$166,6,FALSE)</f>
        <v>170</v>
      </c>
      <c r="K7" s="13">
        <f ca="1">VLOOKUP($B7,'[5]Analisys QBR By Machine Report'!$C$109:$BD$166,7,FALSE)</f>
        <v>0</v>
      </c>
      <c r="L7" s="13">
        <f ca="1">VLOOKUP($B7,'[5]Analisys QBR By Machine Report'!$C$109:$BD$166,8,FALSE)</f>
        <v>7300</v>
      </c>
      <c r="M7" s="13">
        <f ca="1">VLOOKUP($B7,'[5]Analisys QBR By Machine Report'!$C$109:$BD$166,9,FALSE)</f>
        <v>2660</v>
      </c>
      <c r="N7" s="13">
        <f ca="1">VLOOKUP($B7,[5]Dasboard_QBR_Report!$B$109:$BL$166,18,FALSE)</f>
        <v>4640</v>
      </c>
      <c r="O7" s="13">
        <f ca="1">VLOOKUP($B7,'[5]Analisys QBR By Machine Report'!$C$109:$BD$166,10,FALSE)</f>
        <v>1065</v>
      </c>
      <c r="P7" s="13">
        <f ca="1">VLOOKUP($B7,'[5]Analisys QBR By Machine Report'!$C$109:$BD$166,11,FALSE)</f>
        <v>540</v>
      </c>
      <c r="Q7" s="13">
        <f ca="1">VLOOKUP($B7,'[5]Analisys QBR By Machine Report'!$C$109:$BD$166,12,FALSE)</f>
        <v>30</v>
      </c>
      <c r="R7" s="13">
        <f ca="1">VLOOKUP($B7,'[5]Analisys QBR By Machine Report'!$C$109:$BD$166,13,FALSE)</f>
        <v>215</v>
      </c>
      <c r="S7" s="13">
        <f ca="1">VLOOKUP($B7,'[5]Analisys QBR By Machine Report'!$C$109:$BD$166,14,FALSE)</f>
        <v>280</v>
      </c>
      <c r="T7" s="13">
        <f ca="1">VLOOKUP($B7,'[5]Analisys QBR By Machine Report'!$C$109:$BD$166,15,FALSE)</f>
        <v>0</v>
      </c>
      <c r="U7" s="13">
        <f ca="1">VLOOKUP($B7,'[5]Analisys QBR By Machine Report'!$C$109:$BD$166,16,FALSE)</f>
        <v>0</v>
      </c>
      <c r="V7" s="13">
        <f ca="1">VLOOKUP($B7,'[5]Analisys QBR By Machine Report'!$C$109:$BD$166,17,FALSE)</f>
        <v>0</v>
      </c>
      <c r="W7" s="13">
        <f ca="1">VLOOKUP($B7,'[5]Analisys QBR By Machine Report'!$C$109:$BD$166,18,FALSE)</f>
        <v>0</v>
      </c>
      <c r="X7" s="13">
        <f ca="1">VLOOKUP($B7,'[5]Analisys QBR By Machine Report'!$C$109:$BD$166,19,FALSE)</f>
        <v>0</v>
      </c>
      <c r="Y7" s="13">
        <f ca="1">VLOOKUP($B7,'[5]Analisys QBR By Machine Report'!$C$109:$BD$166,20,FALSE)</f>
        <v>0</v>
      </c>
      <c r="Z7" s="13">
        <f ca="1">VLOOKUP($B7,'[5]Analisys QBR By Machine Report'!$C$109:$BD$166,21,FALSE)</f>
        <v>2000</v>
      </c>
      <c r="AA7" s="13">
        <f ca="1">VLOOKUP($B7,'[5]Analisys QBR By Machine Report'!$C$109:$BD$166,22,FALSE)</f>
        <v>825</v>
      </c>
      <c r="AB7" s="13">
        <f ca="1">VLOOKUP($B7,'[5]Analisys QBR By Machine Report'!$C$109:$BD$166,23,FALSE)</f>
        <v>735</v>
      </c>
      <c r="AC7" s="13">
        <f ca="1">VLOOKUP($B7,'[5]Analisys QBR By Machine Report'!$C$109:$BD$166,24,FALSE)</f>
        <v>260</v>
      </c>
      <c r="AD7" s="13">
        <f ca="1">VLOOKUP($B7,'[5]Analisys QBR By Machine Report'!$C$109:$BD$166,25,FALSE)</f>
        <v>0</v>
      </c>
      <c r="AE7" s="13">
        <f ca="1">VLOOKUP($B7,'[5]Analisys QBR By Machine Report'!$C$109:$BD$166,26,FALSE)</f>
        <v>180</v>
      </c>
      <c r="AF7" s="13">
        <f ca="1">VLOOKUP($B7,'[5]Analisys QBR By Machine Report'!$C$109:$BD$166,27,FALSE)</f>
        <v>255</v>
      </c>
      <c r="AG7" s="13">
        <f ca="1">VLOOKUP($B7,'[5]Analisys QBR By Machine Report'!$C$109:$BD$166,28,FALSE)</f>
        <v>255</v>
      </c>
      <c r="AH7" s="13">
        <f ca="1">VLOOKUP($B7,'[5]Analisys QBR By Machine Report'!$C$109:$BD$166,29,FALSE)</f>
        <v>0</v>
      </c>
      <c r="AI7" s="13">
        <f ca="1">VLOOKUP($B7,'[5]Analisys QBR By Machine Report'!$C$109:$BD$166,30,FALSE)</f>
        <v>1320</v>
      </c>
      <c r="AJ7" s="13">
        <f ca="1">VLOOKUP($B7,'[5]Analisys QBR By Machine Report'!$C$109:$BD$166,31,FALSE)</f>
        <v>0</v>
      </c>
      <c r="AK7" s="13">
        <f ca="1">VLOOKUP($B7,'[5]Analisys QBR By Machine Report'!$C$109:$BD$166,32,FALSE)</f>
        <v>0</v>
      </c>
      <c r="AL7" s="13">
        <f ca="1">VLOOKUP($B7,'[5]Analisys QBR By Machine Report'!$C$109:$BD$166,33,FALSE)</f>
        <v>395</v>
      </c>
      <c r="AM7" s="13">
        <f ca="1">VLOOKUP($B7,'[5]Analisys QBR By Machine Report'!$C$109:$BD$166,34,FALSE)</f>
        <v>0</v>
      </c>
      <c r="AN7" s="13">
        <f ca="1">VLOOKUP($B7,'[5]Analisys QBR By Machine Report'!$C$109:$BD$166,35,FALSE)</f>
        <v>285</v>
      </c>
      <c r="AO7" s="13">
        <f ca="1">VLOOKUP($B7,'[5]Analisys QBR By Machine Report'!$C$109:$BD$166,36,FALSE)</f>
        <v>0</v>
      </c>
      <c r="AP7" s="13">
        <f ca="1">VLOOKUP($B7,'[5]Analisys QBR By Machine Report'!$C$109:$BD$166,37,FALSE)</f>
        <v>0</v>
      </c>
      <c r="AQ7" s="13">
        <f ca="1">VLOOKUP($B7,'[5]Analisys QBR By Machine Report'!$C$109:$BD$166,38,FALSE)</f>
        <v>0</v>
      </c>
      <c r="AR7" s="13">
        <f ca="1">VLOOKUP($B7,'[5]Analisys QBR By Machine Report'!$C$109:$BD$166,39,FALSE)</f>
        <v>0</v>
      </c>
      <c r="AS7" s="13">
        <f ca="1">VLOOKUP($B7,'[5]Analisys QBR By Machine Report'!$C$109:$BD$166,40,FALSE)</f>
        <v>130</v>
      </c>
      <c r="AT7" s="13">
        <f ca="1">VLOOKUP($B7,'[5]Analisys QBR By Machine Report'!$C$109:$BD$166,41,FALSE)</f>
        <v>0</v>
      </c>
      <c r="AU7" s="13">
        <f ca="1">VLOOKUP($B7,'[5]Analisys QBR By Machine Report'!$C$109:$BD$166,42,FALSE)</f>
        <v>0</v>
      </c>
      <c r="AV7" s="13">
        <f ca="1">VLOOKUP($B7,'[5]Analisys QBR By Machine Report'!$C$109:$BD$166,43,FALSE)</f>
        <v>0</v>
      </c>
      <c r="AW7" s="13">
        <f ca="1">VLOOKUP($B7,'[5]Analisys QBR By Machine Report'!$C$109:$BD$166,44,FALSE)</f>
        <v>0</v>
      </c>
      <c r="AX7" s="13">
        <f ca="1">VLOOKUP($B7,'[5]Analisys QBR By Machine Report'!$C$109:$BD$166,45,FALSE)</f>
        <v>0</v>
      </c>
      <c r="AY7" s="13">
        <f ca="1">VLOOKUP($B7,'[5]Analisys QBR By Machine Report'!$C$109:$BD$166,46,FALSE)</f>
        <v>0</v>
      </c>
      <c r="AZ7" s="13">
        <f ca="1">VLOOKUP($B7,'[5]Analisys QBR By Machine Report'!$C$109:$BD$166,47,FALSE)</f>
        <v>310</v>
      </c>
      <c r="BA7" s="13">
        <f ca="1">VLOOKUP($B7,'[5]Analisys QBR By Machine Report'!$C$109:$BD$166,48,FALSE)</f>
        <v>200</v>
      </c>
      <c r="BB7" s="13">
        <f ca="1">VLOOKUP($B7,'[5]Analisys QBR By Machine Report'!$C$109:$BD$166,49,FALSE)</f>
        <v>0</v>
      </c>
      <c r="BC7" s="13">
        <f ca="1">VLOOKUP($B7,'[5]Analisys QBR By Machine Report'!$C$109:$BD$166,50,FALSE)</f>
        <v>0</v>
      </c>
      <c r="BD7" s="13">
        <f ca="1">VLOOKUP($B7,'[5]Analisys QBR By Machine Report'!$C$109:$BD$166,51,FALSE)</f>
        <v>621218</v>
      </c>
      <c r="BE7" s="13">
        <f ca="1">VLOOKUP($B7,'[5]Analisys QBR By Machine Report'!$C$109:$BD$166,52,FALSE)</f>
        <v>0</v>
      </c>
      <c r="BF7" s="13">
        <f ca="1">VLOOKUP($B7,'[5]Analisys QBR By Machine Report'!$C$109:$BD$166,53,FALSE)</f>
        <v>621218</v>
      </c>
    </row>
    <row r="8" spans="1:58" x14ac:dyDescent="0.25">
      <c r="A8" s="12" t="s">
        <v>64</v>
      </c>
      <c r="B8" s="13">
        <f ca="1">VLOOKUP($B8,'[5]Analisys QBR By Machine Report'!$C$109:$BD$166,2,FALSE)</f>
        <v>27360</v>
      </c>
      <c r="C8" s="14">
        <f ca="1">VLOOKUP($B8,[5]Dasboard_QBR_Report!$B$109:$BL$166,3,FALSE)</f>
        <v>9120</v>
      </c>
      <c r="D8" s="13">
        <f ca="1">VLOOKUP($B8,'[5]Analisys QBR By Machine Report'!$C$109:$BD$166,3,FALSE)</f>
        <v>25320</v>
      </c>
      <c r="E8" s="14">
        <f ca="1">VLOOKUP($B8,[5]Dasboard_QBR_Report!$B$109:$BL$166,5,FALSE)</f>
        <v>7080</v>
      </c>
      <c r="F8" s="13">
        <f t="shared" ca="1" si="0"/>
        <v>2040</v>
      </c>
      <c r="G8" s="13">
        <f t="shared" ca="1" si="1"/>
        <v>690</v>
      </c>
      <c r="H8" s="13">
        <f ca="1">VLOOKUP($B8,'[5]Analisys QBR By Machine Report'!$C$109:$BD$166,4,FALSE)</f>
        <v>690</v>
      </c>
      <c r="I8" s="13">
        <f ca="1">VLOOKUP($B8,'[5]Analisys QBR By Machine Report'!$C$109:$BD$166,5,FALSE)</f>
        <v>0</v>
      </c>
      <c r="J8" s="13">
        <f ca="1">VLOOKUP($B8,'[5]Analisys QBR By Machine Report'!$C$109:$BD$166,6,FALSE)</f>
        <v>690</v>
      </c>
      <c r="K8" s="13">
        <f ca="1">VLOOKUP($B8,'[5]Analisys QBR By Machine Report'!$C$109:$BD$166,7,FALSE)</f>
        <v>0</v>
      </c>
      <c r="L8" s="13">
        <f ca="1">VLOOKUP($B8,'[5]Analisys QBR By Machine Report'!$C$109:$BD$166,8,FALSE)</f>
        <v>1350</v>
      </c>
      <c r="M8" s="13">
        <f ca="1">VLOOKUP($B8,'[5]Analisys QBR By Machine Report'!$C$109:$BD$166,9,FALSE)</f>
        <v>565</v>
      </c>
      <c r="N8" s="13">
        <f ca="1">VLOOKUP($B8,[5]Dasboard_QBR_Report!$B$109:$BL$166,18,FALSE)</f>
        <v>785</v>
      </c>
      <c r="O8" s="13">
        <f ca="1">VLOOKUP($B8,'[5]Analisys QBR By Machine Report'!$C$109:$BD$166,10,FALSE)</f>
        <v>105</v>
      </c>
      <c r="P8" s="13">
        <f ca="1">VLOOKUP($B8,'[5]Analisys QBR By Machine Report'!$C$109:$BD$166,11,FALSE)</f>
        <v>105</v>
      </c>
      <c r="Q8" s="13">
        <f ca="1">VLOOKUP($B8,'[5]Analisys QBR By Machine Report'!$C$109:$BD$166,12,FALSE)</f>
        <v>0</v>
      </c>
      <c r="R8" s="13">
        <f ca="1">VLOOKUP($B8,'[5]Analisys QBR By Machine Report'!$C$109:$BD$166,13,FALSE)</f>
        <v>0</v>
      </c>
      <c r="S8" s="13">
        <f ca="1">VLOOKUP($B8,'[5]Analisys QBR By Machine Report'!$C$109:$BD$166,14,FALSE)</f>
        <v>0</v>
      </c>
      <c r="T8" s="13">
        <f ca="1">VLOOKUP($B8,'[5]Analisys QBR By Machine Report'!$C$109:$BD$166,15,FALSE)</f>
        <v>0</v>
      </c>
      <c r="U8" s="13">
        <f ca="1">VLOOKUP($B8,'[5]Analisys QBR By Machine Report'!$C$109:$BD$166,16,FALSE)</f>
        <v>0</v>
      </c>
      <c r="V8" s="13">
        <f ca="1">VLOOKUP($B8,'[5]Analisys QBR By Machine Report'!$C$109:$BD$166,17,FALSE)</f>
        <v>0</v>
      </c>
      <c r="W8" s="13">
        <f ca="1">VLOOKUP($B8,'[5]Analisys QBR By Machine Report'!$C$109:$BD$166,18,FALSE)</f>
        <v>0</v>
      </c>
      <c r="X8" s="13">
        <f ca="1">VLOOKUP($B8,'[5]Analisys QBR By Machine Report'!$C$109:$BD$166,19,FALSE)</f>
        <v>0</v>
      </c>
      <c r="Y8" s="13">
        <f ca="1">VLOOKUP($B8,'[5]Analisys QBR By Machine Report'!$C$109:$BD$166,20,FALSE)</f>
        <v>0</v>
      </c>
      <c r="Z8" s="13">
        <f ca="1">VLOOKUP($B8,'[5]Analisys QBR By Machine Report'!$C$109:$BD$166,21,FALSE)</f>
        <v>305</v>
      </c>
      <c r="AA8" s="13">
        <f ca="1">VLOOKUP($B8,'[5]Analisys QBR By Machine Report'!$C$109:$BD$166,22,FALSE)</f>
        <v>70</v>
      </c>
      <c r="AB8" s="13">
        <f ca="1">VLOOKUP($B8,'[5]Analisys QBR By Machine Report'!$C$109:$BD$166,23,FALSE)</f>
        <v>225</v>
      </c>
      <c r="AC8" s="13">
        <f ca="1">VLOOKUP($B8,'[5]Analisys QBR By Machine Report'!$C$109:$BD$166,24,FALSE)</f>
        <v>0</v>
      </c>
      <c r="AD8" s="13">
        <f ca="1">VLOOKUP($B8,'[5]Analisys QBR By Machine Report'!$C$109:$BD$166,25,FALSE)</f>
        <v>0</v>
      </c>
      <c r="AE8" s="13">
        <f ca="1">VLOOKUP($B8,'[5]Analisys QBR By Machine Report'!$C$109:$BD$166,26,FALSE)</f>
        <v>10</v>
      </c>
      <c r="AF8" s="13">
        <f ca="1">VLOOKUP($B8,'[5]Analisys QBR By Machine Report'!$C$109:$BD$166,27,FALSE)</f>
        <v>0</v>
      </c>
      <c r="AG8" s="13">
        <f ca="1">VLOOKUP($B8,'[5]Analisys QBR By Machine Report'!$C$109:$BD$166,28,FALSE)</f>
        <v>0</v>
      </c>
      <c r="AH8" s="13">
        <f ca="1">VLOOKUP($B8,'[5]Analisys QBR By Machine Report'!$C$109:$BD$166,29,FALSE)</f>
        <v>0</v>
      </c>
      <c r="AI8" s="13">
        <f ca="1">VLOOKUP($B8,'[5]Analisys QBR By Machine Report'!$C$109:$BD$166,30,FALSE)</f>
        <v>375</v>
      </c>
      <c r="AJ8" s="13">
        <f ca="1">VLOOKUP($B8,'[5]Analisys QBR By Machine Report'!$C$109:$BD$166,31,FALSE)</f>
        <v>0</v>
      </c>
      <c r="AK8" s="13">
        <f ca="1">VLOOKUP($B8,'[5]Analisys QBR By Machine Report'!$C$109:$BD$166,32,FALSE)</f>
        <v>0</v>
      </c>
      <c r="AL8" s="13">
        <f ca="1">VLOOKUP($B8,'[5]Analisys QBR By Machine Report'!$C$109:$BD$166,33,FALSE)</f>
        <v>30</v>
      </c>
      <c r="AM8" s="13">
        <f ca="1">VLOOKUP($B8,'[5]Analisys QBR By Machine Report'!$C$109:$BD$166,34,FALSE)</f>
        <v>0</v>
      </c>
      <c r="AN8" s="13">
        <f ca="1">VLOOKUP($B8,'[5]Analisys QBR By Machine Report'!$C$109:$BD$166,35,FALSE)</f>
        <v>15</v>
      </c>
      <c r="AO8" s="13">
        <f ca="1">VLOOKUP($B8,'[5]Analisys QBR By Machine Report'!$C$109:$BD$166,36,FALSE)</f>
        <v>0</v>
      </c>
      <c r="AP8" s="13">
        <f ca="1">VLOOKUP($B8,'[5]Analisys QBR By Machine Report'!$C$109:$BD$166,37,FALSE)</f>
        <v>0</v>
      </c>
      <c r="AQ8" s="13">
        <f ca="1">VLOOKUP($B8,'[5]Analisys QBR By Machine Report'!$C$109:$BD$166,38,FALSE)</f>
        <v>0</v>
      </c>
      <c r="AR8" s="13">
        <f ca="1">VLOOKUP($B8,'[5]Analisys QBR By Machine Report'!$C$109:$BD$166,39,FALSE)</f>
        <v>330</v>
      </c>
      <c r="AS8" s="13">
        <f ca="1">VLOOKUP($B8,'[5]Analisys QBR By Machine Report'!$C$109:$BD$166,40,FALSE)</f>
        <v>0</v>
      </c>
      <c r="AT8" s="13">
        <f ca="1">VLOOKUP($B8,'[5]Analisys QBR By Machine Report'!$C$109:$BD$166,41,FALSE)</f>
        <v>0</v>
      </c>
      <c r="AU8" s="13">
        <f ca="1">VLOOKUP($B8,'[5]Analisys QBR By Machine Report'!$C$109:$BD$166,42,FALSE)</f>
        <v>0</v>
      </c>
      <c r="AV8" s="13">
        <f ca="1">VLOOKUP($B8,'[5]Analisys QBR By Machine Report'!$C$109:$BD$166,43,FALSE)</f>
        <v>0</v>
      </c>
      <c r="AW8" s="13">
        <f ca="1">VLOOKUP($B8,'[5]Analisys QBR By Machine Report'!$C$109:$BD$166,44,FALSE)</f>
        <v>0</v>
      </c>
      <c r="AX8" s="13">
        <f ca="1">VLOOKUP($B8,'[5]Analisys QBR By Machine Report'!$C$109:$BD$166,45,FALSE)</f>
        <v>0</v>
      </c>
      <c r="AY8" s="13">
        <f ca="1">VLOOKUP($B8,'[5]Analisys QBR By Machine Report'!$C$109:$BD$166,46,FALSE)</f>
        <v>0</v>
      </c>
      <c r="AZ8" s="13">
        <f ca="1">VLOOKUP($B8,'[5]Analisys QBR By Machine Report'!$C$109:$BD$166,47,FALSE)</f>
        <v>0</v>
      </c>
      <c r="BA8" s="13">
        <f ca="1">VLOOKUP($B8,'[5]Analisys QBR By Machine Report'!$C$109:$BD$166,48,FALSE)</f>
        <v>0</v>
      </c>
      <c r="BB8" s="13">
        <f ca="1">VLOOKUP($B8,'[5]Analisys QBR By Machine Report'!$C$109:$BD$166,49,FALSE)</f>
        <v>0</v>
      </c>
      <c r="BC8" s="13">
        <f ca="1">VLOOKUP($B8,'[5]Analisys QBR By Machine Report'!$C$109:$BD$166,50,FALSE)</f>
        <v>0</v>
      </c>
      <c r="BD8" s="13">
        <f ca="1">VLOOKUP($B8,'[5]Analisys QBR By Machine Report'!$C$109:$BD$166,51,FALSE)</f>
        <v>623027</v>
      </c>
      <c r="BE8" s="13">
        <f ca="1">VLOOKUP($B8,'[5]Analisys QBR By Machine Report'!$C$109:$BD$166,52,FALSE)</f>
        <v>0</v>
      </c>
      <c r="BF8" s="13">
        <f ca="1">VLOOKUP($B8,'[5]Analisys QBR By Machine Report'!$C$109:$BD$166,53,FALSE)</f>
        <v>623027</v>
      </c>
    </row>
    <row r="9" spans="1:58" x14ac:dyDescent="0.25">
      <c r="A9" s="9" t="s">
        <v>65</v>
      </c>
      <c r="B9" s="10">
        <f ca="1">VLOOKUP($B9,'[5]Analisys QBR By Machine Report'!$C$109:$BD$166,2,FALSE)</f>
        <v>84960</v>
      </c>
      <c r="C9" s="11">
        <f ca="1">VLOOKUP($B9,[5]Dasboard_QBR_Report!$B$109:$BL$166,3,FALSE)</f>
        <v>45870</v>
      </c>
      <c r="D9" s="10">
        <f ca="1">VLOOKUP($B9,'[5]Analisys QBR By Machine Report'!$C$109:$BD$166,3,FALSE)</f>
        <v>49860</v>
      </c>
      <c r="E9" s="11">
        <f ca="1">VLOOKUP($B9,[5]Dasboard_QBR_Report!$B$109:$BL$166,5,FALSE)</f>
        <v>10770</v>
      </c>
      <c r="F9" s="10">
        <f t="shared" ca="1" si="0"/>
        <v>35100</v>
      </c>
      <c r="G9" s="10">
        <f t="shared" ca="1" si="1"/>
        <v>3175</v>
      </c>
      <c r="H9" s="10">
        <f ca="1">VLOOKUP($B9,'[5]Analisys QBR By Machine Report'!$C$109:$BD$166,4,FALSE)</f>
        <v>3175</v>
      </c>
      <c r="I9" s="10">
        <f ca="1">VLOOKUP($B9,'[5]Analisys QBR By Machine Report'!$C$109:$BD$166,5,FALSE)</f>
        <v>70</v>
      </c>
      <c r="J9" s="10">
        <f ca="1">VLOOKUP($B9,'[5]Analisys QBR By Machine Report'!$C$109:$BD$166,6,FALSE)</f>
        <v>3105</v>
      </c>
      <c r="K9" s="10">
        <f ca="1">VLOOKUP($B9,'[5]Analisys QBR By Machine Report'!$C$109:$BD$166,7,FALSE)</f>
        <v>0</v>
      </c>
      <c r="L9" s="10">
        <f ca="1">VLOOKUP($B9,'[5]Analisys QBR By Machine Report'!$C$109:$BD$166,8,FALSE)</f>
        <v>31925</v>
      </c>
      <c r="M9" s="10">
        <f ca="1">VLOOKUP($B9,'[5]Analisys QBR By Machine Report'!$C$109:$BD$166,9,FALSE)</f>
        <v>11835</v>
      </c>
      <c r="N9" s="10">
        <f ca="1">VLOOKUP($B9,[5]Dasboard_QBR_Report!$B$109:$BL$166,18,FALSE)</f>
        <v>20090</v>
      </c>
      <c r="O9" s="10">
        <f ca="1">VLOOKUP($B9,'[5]Analisys QBR By Machine Report'!$C$109:$BD$166,10,FALSE)</f>
        <v>4015</v>
      </c>
      <c r="P9" s="10">
        <f ca="1">VLOOKUP($B9,'[5]Analisys QBR By Machine Report'!$C$109:$BD$166,11,FALSE)</f>
        <v>2875</v>
      </c>
      <c r="Q9" s="10">
        <f ca="1">VLOOKUP($B9,'[5]Analisys QBR By Machine Report'!$C$109:$BD$166,12,FALSE)</f>
        <v>70</v>
      </c>
      <c r="R9" s="10">
        <f ca="1">VLOOKUP($B9,'[5]Analisys QBR By Machine Report'!$C$109:$BD$166,13,FALSE)</f>
        <v>265</v>
      </c>
      <c r="S9" s="10">
        <f ca="1">VLOOKUP($B9,'[5]Analisys QBR By Machine Report'!$C$109:$BD$166,14,FALSE)</f>
        <v>805</v>
      </c>
      <c r="T9" s="10">
        <f ca="1">VLOOKUP($B9,'[5]Analisys QBR By Machine Report'!$C$109:$BD$166,15,FALSE)</f>
        <v>0</v>
      </c>
      <c r="U9" s="10">
        <f ca="1">VLOOKUP($B9,'[5]Analisys QBR By Machine Report'!$C$109:$BD$166,16,FALSE)</f>
        <v>0</v>
      </c>
      <c r="V9" s="10">
        <f ca="1">VLOOKUP($B9,'[5]Analisys QBR By Machine Report'!$C$109:$BD$166,17,FALSE)</f>
        <v>0</v>
      </c>
      <c r="W9" s="10">
        <f ca="1">VLOOKUP($B9,'[5]Analisys QBR By Machine Report'!$C$109:$BD$166,18,FALSE)</f>
        <v>0</v>
      </c>
      <c r="X9" s="10">
        <f ca="1">VLOOKUP($B9,'[5]Analisys QBR By Machine Report'!$C$109:$BD$166,19,FALSE)</f>
        <v>0</v>
      </c>
      <c r="Y9" s="10">
        <f ca="1">VLOOKUP($B9,'[5]Analisys QBR By Machine Report'!$C$109:$BD$166,20,FALSE)</f>
        <v>0</v>
      </c>
      <c r="Z9" s="10">
        <f ca="1">VLOOKUP($B9,'[5]Analisys QBR By Machine Report'!$C$109:$BD$166,21,FALSE)</f>
        <v>5435</v>
      </c>
      <c r="AA9" s="10">
        <f ca="1">VLOOKUP($B9,'[5]Analisys QBR By Machine Report'!$C$109:$BD$166,22,FALSE)</f>
        <v>1278</v>
      </c>
      <c r="AB9" s="10">
        <f ca="1">VLOOKUP($B9,'[5]Analisys QBR By Machine Report'!$C$109:$BD$166,23,FALSE)</f>
        <v>3232</v>
      </c>
      <c r="AC9" s="10">
        <f ca="1">VLOOKUP($B9,'[5]Analisys QBR By Machine Report'!$C$109:$BD$166,24,FALSE)</f>
        <v>190</v>
      </c>
      <c r="AD9" s="10">
        <f ca="1">VLOOKUP($B9,'[5]Analisys QBR By Machine Report'!$C$109:$BD$166,25,FALSE)</f>
        <v>0</v>
      </c>
      <c r="AE9" s="10">
        <f ca="1">VLOOKUP($B9,'[5]Analisys QBR By Machine Report'!$C$109:$BD$166,26,FALSE)</f>
        <v>735</v>
      </c>
      <c r="AF9" s="10">
        <f ca="1">VLOOKUP($B9,'[5]Analisys QBR By Machine Report'!$C$109:$BD$166,27,FALSE)</f>
        <v>565</v>
      </c>
      <c r="AG9" s="10">
        <f ca="1">VLOOKUP($B9,'[5]Analisys QBR By Machine Report'!$C$109:$BD$166,28,FALSE)</f>
        <v>0</v>
      </c>
      <c r="AH9" s="10">
        <f ca="1">VLOOKUP($B9,'[5]Analisys QBR By Machine Report'!$C$109:$BD$166,29,FALSE)</f>
        <v>565</v>
      </c>
      <c r="AI9" s="10">
        <f ca="1">VLOOKUP($B9,'[5]Analisys QBR By Machine Report'!$C$109:$BD$166,30,FALSE)</f>
        <v>10075</v>
      </c>
      <c r="AJ9" s="10">
        <f ca="1">VLOOKUP($B9,'[5]Analisys QBR By Machine Report'!$C$109:$BD$166,31,FALSE)</f>
        <v>0</v>
      </c>
      <c r="AK9" s="10">
        <f ca="1">VLOOKUP($B9,'[5]Analisys QBR By Machine Report'!$C$109:$BD$166,32,FALSE)</f>
        <v>0</v>
      </c>
      <c r="AL9" s="10">
        <f ca="1">VLOOKUP($B9,'[5]Analisys QBR By Machine Report'!$C$109:$BD$166,33,FALSE)</f>
        <v>1850</v>
      </c>
      <c r="AM9" s="10">
        <f ca="1">VLOOKUP($B9,'[5]Analisys QBR By Machine Report'!$C$109:$BD$166,34,FALSE)</f>
        <v>0</v>
      </c>
      <c r="AN9" s="10">
        <f ca="1">VLOOKUP($B9,'[5]Analisys QBR By Machine Report'!$C$109:$BD$166,35,FALSE)</f>
        <v>1640</v>
      </c>
      <c r="AO9" s="10">
        <f ca="1">VLOOKUP($B9,'[5]Analisys QBR By Machine Report'!$C$109:$BD$166,36,FALSE)</f>
        <v>1695</v>
      </c>
      <c r="AP9" s="10">
        <f ca="1">VLOOKUP($B9,'[5]Analisys QBR By Machine Report'!$C$109:$BD$166,37,FALSE)</f>
        <v>20</v>
      </c>
      <c r="AQ9" s="10">
        <f ca="1">VLOOKUP($B9,'[5]Analisys QBR By Machine Report'!$C$109:$BD$166,38,FALSE)</f>
        <v>0</v>
      </c>
      <c r="AR9" s="10">
        <f ca="1">VLOOKUP($B9,'[5]Analisys QBR By Machine Report'!$C$109:$BD$166,39,FALSE)</f>
        <v>325</v>
      </c>
      <c r="AS9" s="10">
        <f ca="1">VLOOKUP($B9,'[5]Analisys QBR By Machine Report'!$C$109:$BD$166,40,FALSE)</f>
        <v>1255</v>
      </c>
      <c r="AT9" s="10">
        <f ca="1">VLOOKUP($B9,'[5]Analisys QBR By Machine Report'!$C$109:$BD$166,41,FALSE)</f>
        <v>0</v>
      </c>
      <c r="AU9" s="10">
        <f ca="1">VLOOKUP($B9,'[5]Analisys QBR By Machine Report'!$C$109:$BD$166,42,FALSE)</f>
        <v>0</v>
      </c>
      <c r="AV9" s="10">
        <f ca="1">VLOOKUP($B9,'[5]Analisys QBR By Machine Report'!$C$109:$BD$166,43,FALSE)</f>
        <v>0</v>
      </c>
      <c r="AW9" s="10">
        <f ca="1">VLOOKUP($B9,'[5]Analisys QBR By Machine Report'!$C$109:$BD$166,44,FALSE)</f>
        <v>0</v>
      </c>
      <c r="AX9" s="10">
        <f ca="1">VLOOKUP($B9,'[5]Analisys QBR By Machine Report'!$C$109:$BD$166,45,FALSE)</f>
        <v>0</v>
      </c>
      <c r="AY9" s="10">
        <f ca="1">VLOOKUP($B9,'[5]Analisys QBR By Machine Report'!$C$109:$BD$166,46,FALSE)</f>
        <v>0</v>
      </c>
      <c r="AZ9" s="10">
        <f ca="1">VLOOKUP($B9,'[5]Analisys QBR By Machine Report'!$C$109:$BD$166,47,FALSE)</f>
        <v>2875</v>
      </c>
      <c r="BA9" s="10">
        <f ca="1">VLOOKUP($B9,'[5]Analisys QBR By Machine Report'!$C$109:$BD$166,48,FALSE)</f>
        <v>415</v>
      </c>
      <c r="BB9" s="10">
        <f ca="1">VLOOKUP($B9,'[5]Analisys QBR By Machine Report'!$C$109:$BD$166,49,FALSE)</f>
        <v>0</v>
      </c>
      <c r="BC9" s="10">
        <f ca="1">VLOOKUP($B9,'[5]Analisys QBR By Machine Report'!$C$109:$BD$166,50,FALSE)</f>
        <v>0</v>
      </c>
      <c r="BD9" s="10">
        <f ca="1">VLOOKUP($B9,'[5]Analisys QBR By Machine Report'!$C$109:$BD$166,51,FALSE)</f>
        <v>8238568</v>
      </c>
      <c r="BE9" s="10">
        <f ca="1">VLOOKUP($B9,'[5]Analisys QBR By Machine Report'!$C$109:$BD$166,52,FALSE)</f>
        <v>3813</v>
      </c>
      <c r="BF9" s="10">
        <f ca="1">VLOOKUP($B9,'[5]Analisys QBR By Machine Report'!$C$109:$BD$166,53,FALSE)</f>
        <v>8234755</v>
      </c>
    </row>
    <row r="10" spans="1:58" x14ac:dyDescent="0.25">
      <c r="A10" s="12" t="s">
        <v>66</v>
      </c>
      <c r="B10" s="13">
        <f ca="1">VLOOKUP($B10,'[5]Analisys QBR By Machine Report'!$C$109:$BD$166,2,FALSE)</f>
        <v>27360</v>
      </c>
      <c r="C10" s="14">
        <f ca="1">VLOOKUP($B10,[5]Dasboard_QBR_Report!$B$109:$BL$166,3,FALSE)</f>
        <v>17670</v>
      </c>
      <c r="D10" s="13">
        <f ca="1">VLOOKUP($B10,'[5]Analisys QBR By Machine Report'!$C$109:$BD$166,3,FALSE)</f>
        <v>15630</v>
      </c>
      <c r="E10" s="14">
        <f ca="1">VLOOKUP($B10,[5]Dasboard_QBR_Report!$B$109:$BL$166,5,FALSE)</f>
        <v>5940</v>
      </c>
      <c r="F10" s="13">
        <f t="shared" ca="1" si="0"/>
        <v>11730</v>
      </c>
      <c r="G10" s="13">
        <f t="shared" ca="1" si="1"/>
        <v>655</v>
      </c>
      <c r="H10" s="13">
        <f ca="1">VLOOKUP($B10,'[5]Analisys QBR By Machine Report'!$C$109:$BD$166,4,FALSE)</f>
        <v>655</v>
      </c>
      <c r="I10" s="13">
        <f ca="1">VLOOKUP($B10,'[5]Analisys QBR By Machine Report'!$C$109:$BD$166,5,FALSE)</f>
        <v>0</v>
      </c>
      <c r="J10" s="13">
        <f ca="1">VLOOKUP($B10,'[5]Analisys QBR By Machine Report'!$C$109:$BD$166,6,FALSE)</f>
        <v>655</v>
      </c>
      <c r="K10" s="13">
        <f ca="1">VLOOKUP($B10,'[5]Analisys QBR By Machine Report'!$C$109:$BD$166,7,FALSE)</f>
        <v>0</v>
      </c>
      <c r="L10" s="13">
        <f ca="1">VLOOKUP($B10,'[5]Analisys QBR By Machine Report'!$C$109:$BD$166,8,FALSE)</f>
        <v>11075</v>
      </c>
      <c r="M10" s="13">
        <f ca="1">VLOOKUP($B10,'[5]Analisys QBR By Machine Report'!$C$109:$BD$166,9,FALSE)</f>
        <v>3900</v>
      </c>
      <c r="N10" s="13">
        <f ca="1">VLOOKUP($B10,[5]Dasboard_QBR_Report!$B$109:$BL$166,18,FALSE)</f>
        <v>7175</v>
      </c>
      <c r="O10" s="13">
        <f ca="1">VLOOKUP($B10,'[5]Analisys QBR By Machine Report'!$C$109:$BD$166,10,FALSE)</f>
        <v>1320</v>
      </c>
      <c r="P10" s="13">
        <f ca="1">VLOOKUP($B10,'[5]Analisys QBR By Machine Report'!$C$109:$BD$166,11,FALSE)</f>
        <v>1295</v>
      </c>
      <c r="Q10" s="13">
        <f ca="1">VLOOKUP($B10,'[5]Analisys QBR By Machine Report'!$C$109:$BD$166,12,FALSE)</f>
        <v>0</v>
      </c>
      <c r="R10" s="13">
        <f ca="1">VLOOKUP($B10,'[5]Analisys QBR By Machine Report'!$C$109:$BD$166,13,FALSE)</f>
        <v>0</v>
      </c>
      <c r="S10" s="13">
        <f ca="1">VLOOKUP($B10,'[5]Analisys QBR By Machine Report'!$C$109:$BD$166,14,FALSE)</f>
        <v>25</v>
      </c>
      <c r="T10" s="13">
        <f ca="1">VLOOKUP($B10,'[5]Analisys QBR By Machine Report'!$C$109:$BD$166,15,FALSE)</f>
        <v>0</v>
      </c>
      <c r="U10" s="13">
        <f ca="1">VLOOKUP($B10,'[5]Analisys QBR By Machine Report'!$C$109:$BD$166,16,FALSE)</f>
        <v>0</v>
      </c>
      <c r="V10" s="13">
        <f ca="1">VLOOKUP($B10,'[5]Analisys QBR By Machine Report'!$C$109:$BD$166,17,FALSE)</f>
        <v>0</v>
      </c>
      <c r="W10" s="13">
        <f ca="1">VLOOKUP($B10,'[5]Analisys QBR By Machine Report'!$C$109:$BD$166,18,FALSE)</f>
        <v>0</v>
      </c>
      <c r="X10" s="13">
        <f ca="1">VLOOKUP($B10,'[5]Analisys QBR By Machine Report'!$C$109:$BD$166,19,FALSE)</f>
        <v>0</v>
      </c>
      <c r="Y10" s="13">
        <f ca="1">VLOOKUP($B10,'[5]Analisys QBR By Machine Report'!$C$109:$BD$166,20,FALSE)</f>
        <v>0</v>
      </c>
      <c r="Z10" s="13">
        <f ca="1">VLOOKUP($B10,'[5]Analisys QBR By Machine Report'!$C$109:$BD$166,21,FALSE)</f>
        <v>2220</v>
      </c>
      <c r="AA10" s="13">
        <f ca="1">VLOOKUP($B10,'[5]Analisys QBR By Machine Report'!$C$109:$BD$166,22,FALSE)</f>
        <v>668</v>
      </c>
      <c r="AB10" s="13">
        <f ca="1">VLOOKUP($B10,'[5]Analisys QBR By Machine Report'!$C$109:$BD$166,23,FALSE)</f>
        <v>1332</v>
      </c>
      <c r="AC10" s="13">
        <f ca="1">VLOOKUP($B10,'[5]Analisys QBR By Machine Report'!$C$109:$BD$166,24,FALSE)</f>
        <v>30</v>
      </c>
      <c r="AD10" s="13">
        <f ca="1">VLOOKUP($B10,'[5]Analisys QBR By Machine Report'!$C$109:$BD$166,25,FALSE)</f>
        <v>0</v>
      </c>
      <c r="AE10" s="13">
        <f ca="1">VLOOKUP($B10,'[5]Analisys QBR By Machine Report'!$C$109:$BD$166,26,FALSE)</f>
        <v>190</v>
      </c>
      <c r="AF10" s="13">
        <f ca="1">VLOOKUP($B10,'[5]Analisys QBR By Machine Report'!$C$109:$BD$166,27,FALSE)</f>
        <v>130</v>
      </c>
      <c r="AG10" s="13">
        <f ca="1">VLOOKUP($B10,'[5]Analisys QBR By Machine Report'!$C$109:$BD$166,28,FALSE)</f>
        <v>0</v>
      </c>
      <c r="AH10" s="13">
        <f ca="1">VLOOKUP($B10,'[5]Analisys QBR By Machine Report'!$C$109:$BD$166,29,FALSE)</f>
        <v>130</v>
      </c>
      <c r="AI10" s="13">
        <f ca="1">VLOOKUP($B10,'[5]Analisys QBR By Machine Report'!$C$109:$BD$166,30,FALSE)</f>
        <v>3505</v>
      </c>
      <c r="AJ10" s="13">
        <f ca="1">VLOOKUP($B10,'[5]Analisys QBR By Machine Report'!$C$109:$BD$166,31,FALSE)</f>
        <v>0</v>
      </c>
      <c r="AK10" s="13">
        <f ca="1">VLOOKUP($B10,'[5]Analisys QBR By Machine Report'!$C$109:$BD$166,32,FALSE)</f>
        <v>0</v>
      </c>
      <c r="AL10" s="13">
        <f ca="1">VLOOKUP($B10,'[5]Analisys QBR By Machine Report'!$C$109:$BD$166,33,FALSE)</f>
        <v>630</v>
      </c>
      <c r="AM10" s="13">
        <f ca="1">VLOOKUP($B10,'[5]Analisys QBR By Machine Report'!$C$109:$BD$166,34,FALSE)</f>
        <v>0</v>
      </c>
      <c r="AN10" s="13">
        <f ca="1">VLOOKUP($B10,'[5]Analisys QBR By Machine Report'!$C$109:$BD$166,35,FALSE)</f>
        <v>555</v>
      </c>
      <c r="AO10" s="13">
        <f ca="1">VLOOKUP($B10,'[5]Analisys QBR By Machine Report'!$C$109:$BD$166,36,FALSE)</f>
        <v>835</v>
      </c>
      <c r="AP10" s="13">
        <f ca="1">VLOOKUP($B10,'[5]Analisys QBR By Machine Report'!$C$109:$BD$166,37,FALSE)</f>
        <v>0</v>
      </c>
      <c r="AQ10" s="13">
        <f ca="1">VLOOKUP($B10,'[5]Analisys QBR By Machine Report'!$C$109:$BD$166,38,FALSE)</f>
        <v>0</v>
      </c>
      <c r="AR10" s="13">
        <f ca="1">VLOOKUP($B10,'[5]Analisys QBR By Machine Report'!$C$109:$BD$166,39,FALSE)</f>
        <v>165</v>
      </c>
      <c r="AS10" s="13">
        <f ca="1">VLOOKUP($B10,'[5]Analisys QBR By Machine Report'!$C$109:$BD$166,40,FALSE)</f>
        <v>305</v>
      </c>
      <c r="AT10" s="13">
        <f ca="1">VLOOKUP($B10,'[5]Analisys QBR By Machine Report'!$C$109:$BD$166,41,FALSE)</f>
        <v>0</v>
      </c>
      <c r="AU10" s="13">
        <f ca="1">VLOOKUP($B10,'[5]Analisys QBR By Machine Report'!$C$109:$BD$166,42,FALSE)</f>
        <v>0</v>
      </c>
      <c r="AV10" s="13">
        <f ca="1">VLOOKUP($B10,'[5]Analisys QBR By Machine Report'!$C$109:$BD$166,43,FALSE)</f>
        <v>0</v>
      </c>
      <c r="AW10" s="13">
        <f ca="1">VLOOKUP($B10,'[5]Analisys QBR By Machine Report'!$C$109:$BD$166,44,FALSE)</f>
        <v>0</v>
      </c>
      <c r="AX10" s="13">
        <f ca="1">VLOOKUP($B10,'[5]Analisys QBR By Machine Report'!$C$109:$BD$166,45,FALSE)</f>
        <v>0</v>
      </c>
      <c r="AY10" s="13">
        <f ca="1">VLOOKUP($B10,'[5]Analisys QBR By Machine Report'!$C$109:$BD$166,46,FALSE)</f>
        <v>0</v>
      </c>
      <c r="AZ10" s="13">
        <f ca="1">VLOOKUP($B10,'[5]Analisys QBR By Machine Report'!$C$109:$BD$166,47,FALSE)</f>
        <v>1015</v>
      </c>
      <c r="BA10" s="13">
        <f ca="1">VLOOKUP($B10,'[5]Analisys QBR By Machine Report'!$C$109:$BD$166,48,FALSE)</f>
        <v>0</v>
      </c>
      <c r="BB10" s="13">
        <f ca="1">VLOOKUP($B10,'[5]Analisys QBR By Machine Report'!$C$109:$BD$166,49,FALSE)</f>
        <v>0</v>
      </c>
      <c r="BC10" s="13">
        <f ca="1">VLOOKUP($B10,'[5]Analisys QBR By Machine Report'!$C$109:$BD$166,50,FALSE)</f>
        <v>0</v>
      </c>
      <c r="BD10" s="13">
        <f ca="1">VLOOKUP($B10,'[5]Analisys QBR By Machine Report'!$C$109:$BD$166,51,FALSE)</f>
        <v>3724462</v>
      </c>
      <c r="BE10" s="13">
        <f ca="1">VLOOKUP($B10,'[5]Analisys QBR By Machine Report'!$C$109:$BD$166,52,FALSE)</f>
        <v>2642</v>
      </c>
      <c r="BF10" s="13">
        <f ca="1">VLOOKUP($B10,'[5]Analisys QBR By Machine Report'!$C$109:$BD$166,53,FALSE)</f>
        <v>3721820</v>
      </c>
    </row>
    <row r="11" spans="1:58" x14ac:dyDescent="0.25">
      <c r="A11" s="12" t="s">
        <v>67</v>
      </c>
      <c r="B11" s="13">
        <f ca="1">VLOOKUP($B11,'[5]Analisys QBR By Machine Report'!$C$109:$BD$166,2,FALSE)</f>
        <v>28800</v>
      </c>
      <c r="C11" s="14">
        <f ca="1">VLOOKUP($B11,[5]Dasboard_QBR_Report!$B$109:$BL$166,3,FALSE)</f>
        <v>9600</v>
      </c>
      <c r="D11" s="13">
        <f ca="1">VLOOKUP($B11,'[5]Analisys QBR By Machine Report'!$C$109:$BD$166,3,FALSE)</f>
        <v>20820</v>
      </c>
      <c r="E11" s="14">
        <f ca="1">VLOOKUP($B11,[5]Dasboard_QBR_Report!$B$109:$BL$166,5,FALSE)</f>
        <v>1620</v>
      </c>
      <c r="F11" s="13">
        <f t="shared" ca="1" si="0"/>
        <v>7980</v>
      </c>
      <c r="G11" s="13">
        <f t="shared" ca="1" si="1"/>
        <v>1225</v>
      </c>
      <c r="H11" s="13">
        <f ca="1">VLOOKUP($B11,'[5]Analisys QBR By Machine Report'!$C$109:$BD$166,4,FALSE)</f>
        <v>1225</v>
      </c>
      <c r="I11" s="13">
        <f ca="1">VLOOKUP($B11,'[5]Analisys QBR By Machine Report'!$C$109:$BD$166,5,FALSE)</f>
        <v>0</v>
      </c>
      <c r="J11" s="13">
        <f ca="1">VLOOKUP($B11,'[5]Analisys QBR By Machine Report'!$C$109:$BD$166,6,FALSE)</f>
        <v>1225</v>
      </c>
      <c r="K11" s="13">
        <f ca="1">VLOOKUP($B11,'[5]Analisys QBR By Machine Report'!$C$109:$BD$166,7,FALSE)</f>
        <v>0</v>
      </c>
      <c r="L11" s="13">
        <f ca="1">VLOOKUP($B11,'[5]Analisys QBR By Machine Report'!$C$109:$BD$166,8,FALSE)</f>
        <v>6755</v>
      </c>
      <c r="M11" s="13">
        <f ca="1">VLOOKUP($B11,'[5]Analisys QBR By Machine Report'!$C$109:$BD$166,9,FALSE)</f>
        <v>1515</v>
      </c>
      <c r="N11" s="13">
        <f ca="1">VLOOKUP($B11,[5]Dasboard_QBR_Report!$B$109:$BL$166,18,FALSE)</f>
        <v>5240</v>
      </c>
      <c r="O11" s="13">
        <f ca="1">VLOOKUP($B11,'[5]Analisys QBR By Machine Report'!$C$109:$BD$166,10,FALSE)</f>
        <v>1065</v>
      </c>
      <c r="P11" s="13">
        <f ca="1">VLOOKUP($B11,'[5]Analisys QBR By Machine Report'!$C$109:$BD$166,11,FALSE)</f>
        <v>535</v>
      </c>
      <c r="Q11" s="13">
        <f ca="1">VLOOKUP($B11,'[5]Analisys QBR By Machine Report'!$C$109:$BD$166,12,FALSE)</f>
        <v>70</v>
      </c>
      <c r="R11" s="13">
        <f ca="1">VLOOKUP($B11,'[5]Analisys QBR By Machine Report'!$C$109:$BD$166,13,FALSE)</f>
        <v>175</v>
      </c>
      <c r="S11" s="13">
        <f ca="1">VLOOKUP($B11,'[5]Analisys QBR By Machine Report'!$C$109:$BD$166,14,FALSE)</f>
        <v>285</v>
      </c>
      <c r="T11" s="13">
        <f ca="1">VLOOKUP($B11,'[5]Analisys QBR By Machine Report'!$C$109:$BD$166,15,FALSE)</f>
        <v>0</v>
      </c>
      <c r="U11" s="13">
        <f ca="1">VLOOKUP($B11,'[5]Analisys QBR By Machine Report'!$C$109:$BD$166,16,FALSE)</f>
        <v>0</v>
      </c>
      <c r="V11" s="13">
        <f ca="1">VLOOKUP($B11,'[5]Analisys QBR By Machine Report'!$C$109:$BD$166,17,FALSE)</f>
        <v>0</v>
      </c>
      <c r="W11" s="13">
        <f ca="1">VLOOKUP($B11,'[5]Analisys QBR By Machine Report'!$C$109:$BD$166,18,FALSE)</f>
        <v>0</v>
      </c>
      <c r="X11" s="13">
        <f ca="1">VLOOKUP($B11,'[5]Analisys QBR By Machine Report'!$C$109:$BD$166,19,FALSE)</f>
        <v>0</v>
      </c>
      <c r="Y11" s="13">
        <f ca="1">VLOOKUP($B11,'[5]Analisys QBR By Machine Report'!$C$109:$BD$166,20,FALSE)</f>
        <v>0</v>
      </c>
      <c r="Z11" s="13">
        <f ca="1">VLOOKUP($B11,'[5]Analisys QBR By Machine Report'!$C$109:$BD$166,21,FALSE)</f>
        <v>1200</v>
      </c>
      <c r="AA11" s="13">
        <f ca="1">VLOOKUP($B11,'[5]Analisys QBR By Machine Report'!$C$109:$BD$166,22,FALSE)</f>
        <v>210</v>
      </c>
      <c r="AB11" s="13">
        <f ca="1">VLOOKUP($B11,'[5]Analisys QBR By Machine Report'!$C$109:$BD$166,23,FALSE)</f>
        <v>720</v>
      </c>
      <c r="AC11" s="13">
        <f ca="1">VLOOKUP($B11,'[5]Analisys QBR By Machine Report'!$C$109:$BD$166,24,FALSE)</f>
        <v>90</v>
      </c>
      <c r="AD11" s="13">
        <f ca="1">VLOOKUP($B11,'[5]Analisys QBR By Machine Report'!$C$109:$BD$166,25,FALSE)</f>
        <v>0</v>
      </c>
      <c r="AE11" s="13">
        <f ca="1">VLOOKUP($B11,'[5]Analisys QBR By Machine Report'!$C$109:$BD$166,26,FALSE)</f>
        <v>180</v>
      </c>
      <c r="AF11" s="13">
        <f ca="1">VLOOKUP($B11,'[5]Analisys QBR By Machine Report'!$C$109:$BD$166,27,FALSE)</f>
        <v>0</v>
      </c>
      <c r="AG11" s="13">
        <f ca="1">VLOOKUP($B11,'[5]Analisys QBR By Machine Report'!$C$109:$BD$166,28,FALSE)</f>
        <v>0</v>
      </c>
      <c r="AH11" s="13">
        <f ca="1">VLOOKUP($B11,'[5]Analisys QBR By Machine Report'!$C$109:$BD$166,29,FALSE)</f>
        <v>0</v>
      </c>
      <c r="AI11" s="13">
        <f ca="1">VLOOKUP($B11,'[5]Analisys QBR By Machine Report'!$C$109:$BD$166,30,FALSE)</f>
        <v>2975</v>
      </c>
      <c r="AJ11" s="13">
        <f ca="1">VLOOKUP($B11,'[5]Analisys QBR By Machine Report'!$C$109:$BD$166,31,FALSE)</f>
        <v>0</v>
      </c>
      <c r="AK11" s="13">
        <f ca="1">VLOOKUP($B11,'[5]Analisys QBR By Machine Report'!$C$109:$BD$166,32,FALSE)</f>
        <v>0</v>
      </c>
      <c r="AL11" s="13">
        <f ca="1">VLOOKUP($B11,'[5]Analisys QBR By Machine Report'!$C$109:$BD$166,33,FALSE)</f>
        <v>325</v>
      </c>
      <c r="AM11" s="13">
        <f ca="1">VLOOKUP($B11,'[5]Analisys QBR By Machine Report'!$C$109:$BD$166,34,FALSE)</f>
        <v>0</v>
      </c>
      <c r="AN11" s="13">
        <f ca="1">VLOOKUP($B11,'[5]Analisys QBR By Machine Report'!$C$109:$BD$166,35,FALSE)</f>
        <v>280</v>
      </c>
      <c r="AO11" s="13">
        <f ca="1">VLOOKUP($B11,'[5]Analisys QBR By Machine Report'!$C$109:$BD$166,36,FALSE)</f>
        <v>860</v>
      </c>
      <c r="AP11" s="13">
        <f ca="1">VLOOKUP($B11,'[5]Analisys QBR By Machine Report'!$C$109:$BD$166,37,FALSE)</f>
        <v>20</v>
      </c>
      <c r="AQ11" s="13">
        <f ca="1">VLOOKUP($B11,'[5]Analisys QBR By Machine Report'!$C$109:$BD$166,38,FALSE)</f>
        <v>0</v>
      </c>
      <c r="AR11" s="13">
        <f ca="1">VLOOKUP($B11,'[5]Analisys QBR By Machine Report'!$C$109:$BD$166,39,FALSE)</f>
        <v>0</v>
      </c>
      <c r="AS11" s="13">
        <f ca="1">VLOOKUP($B11,'[5]Analisys QBR By Machine Report'!$C$109:$BD$166,40,FALSE)</f>
        <v>575</v>
      </c>
      <c r="AT11" s="13">
        <f ca="1">VLOOKUP($B11,'[5]Analisys QBR By Machine Report'!$C$109:$BD$166,41,FALSE)</f>
        <v>0</v>
      </c>
      <c r="AU11" s="13">
        <f ca="1">VLOOKUP($B11,'[5]Analisys QBR By Machine Report'!$C$109:$BD$166,42,FALSE)</f>
        <v>0</v>
      </c>
      <c r="AV11" s="13">
        <f ca="1">VLOOKUP($B11,'[5]Analisys QBR By Machine Report'!$C$109:$BD$166,43,FALSE)</f>
        <v>0</v>
      </c>
      <c r="AW11" s="13">
        <f ca="1">VLOOKUP($B11,'[5]Analisys QBR By Machine Report'!$C$109:$BD$166,44,FALSE)</f>
        <v>0</v>
      </c>
      <c r="AX11" s="13">
        <f ca="1">VLOOKUP($B11,'[5]Analisys QBR By Machine Report'!$C$109:$BD$166,45,FALSE)</f>
        <v>0</v>
      </c>
      <c r="AY11" s="13">
        <f ca="1">VLOOKUP($B11,'[5]Analisys QBR By Machine Report'!$C$109:$BD$166,46,FALSE)</f>
        <v>0</v>
      </c>
      <c r="AZ11" s="13">
        <f ca="1">VLOOKUP($B11,'[5]Analisys QBR By Machine Report'!$C$109:$BD$166,47,FALSE)</f>
        <v>915</v>
      </c>
      <c r="BA11" s="13">
        <f ca="1">VLOOKUP($B11,'[5]Analisys QBR By Machine Report'!$C$109:$BD$166,48,FALSE)</f>
        <v>0</v>
      </c>
      <c r="BB11" s="13">
        <f ca="1">VLOOKUP($B11,'[5]Analisys QBR By Machine Report'!$C$109:$BD$166,49,FALSE)</f>
        <v>0</v>
      </c>
      <c r="BC11" s="13">
        <f ca="1">VLOOKUP($B11,'[5]Analisys QBR By Machine Report'!$C$109:$BD$166,50,FALSE)</f>
        <v>0</v>
      </c>
      <c r="BD11" s="13">
        <f ca="1">VLOOKUP($B11,'[5]Analisys QBR By Machine Report'!$C$109:$BD$166,51,FALSE)</f>
        <v>1163109</v>
      </c>
      <c r="BE11" s="13">
        <f ca="1">VLOOKUP($B11,'[5]Analisys QBR By Machine Report'!$C$109:$BD$166,52,FALSE)</f>
        <v>0</v>
      </c>
      <c r="BF11" s="13">
        <f ca="1">VLOOKUP($B11,'[5]Analisys QBR By Machine Report'!$C$109:$BD$166,53,FALSE)</f>
        <v>1163109</v>
      </c>
    </row>
    <row r="12" spans="1:58" x14ac:dyDescent="0.25">
      <c r="A12" s="12" t="s">
        <v>68</v>
      </c>
      <c r="B12" s="13">
        <f ca="1">VLOOKUP($B12,'[5]Analisys QBR By Machine Report'!$C$109:$BD$166,2,FALSE)</f>
        <v>28800</v>
      </c>
      <c r="C12" s="14">
        <f ca="1">VLOOKUP($B12,[5]Dasboard_QBR_Report!$B$109:$BL$166,3,FALSE)</f>
        <v>18600</v>
      </c>
      <c r="D12" s="13">
        <f ca="1">VLOOKUP($B12,'[5]Analisys QBR By Machine Report'!$C$109:$BD$166,3,FALSE)</f>
        <v>13410</v>
      </c>
      <c r="E12" s="14">
        <f ca="1">VLOOKUP($B12,[5]Dasboard_QBR_Report!$B$109:$BL$166,5,FALSE)</f>
        <v>3210</v>
      </c>
      <c r="F12" s="13">
        <f t="shared" ca="1" si="0"/>
        <v>15390</v>
      </c>
      <c r="G12" s="13">
        <f t="shared" ca="1" si="1"/>
        <v>1295</v>
      </c>
      <c r="H12" s="13">
        <f ca="1">VLOOKUP($B12,'[5]Analisys QBR By Machine Report'!$C$109:$BD$166,4,FALSE)</f>
        <v>1295</v>
      </c>
      <c r="I12" s="13">
        <f ca="1">VLOOKUP($B12,'[5]Analisys QBR By Machine Report'!$C$109:$BD$166,5,FALSE)</f>
        <v>70</v>
      </c>
      <c r="J12" s="13">
        <f ca="1">VLOOKUP($B12,'[5]Analisys QBR By Machine Report'!$C$109:$BD$166,6,FALSE)</f>
        <v>1225</v>
      </c>
      <c r="K12" s="13">
        <f ca="1">VLOOKUP($B12,'[5]Analisys QBR By Machine Report'!$C$109:$BD$166,7,FALSE)</f>
        <v>0</v>
      </c>
      <c r="L12" s="13">
        <f ca="1">VLOOKUP($B12,'[5]Analisys QBR By Machine Report'!$C$109:$BD$166,8,FALSE)</f>
        <v>14095</v>
      </c>
      <c r="M12" s="13">
        <f ca="1">VLOOKUP($B12,'[5]Analisys QBR By Machine Report'!$C$109:$BD$166,9,FALSE)</f>
        <v>6420</v>
      </c>
      <c r="N12" s="13">
        <f ca="1">VLOOKUP($B12,[5]Dasboard_QBR_Report!$B$109:$BL$166,18,FALSE)</f>
        <v>7675</v>
      </c>
      <c r="O12" s="13">
        <f ca="1">VLOOKUP($B12,'[5]Analisys QBR By Machine Report'!$C$109:$BD$166,10,FALSE)</f>
        <v>1630</v>
      </c>
      <c r="P12" s="13">
        <f ca="1">VLOOKUP($B12,'[5]Analisys QBR By Machine Report'!$C$109:$BD$166,11,FALSE)</f>
        <v>1045</v>
      </c>
      <c r="Q12" s="13">
        <f ca="1">VLOOKUP($B12,'[5]Analisys QBR By Machine Report'!$C$109:$BD$166,12,FALSE)</f>
        <v>0</v>
      </c>
      <c r="R12" s="13">
        <f ca="1">VLOOKUP($B12,'[5]Analisys QBR By Machine Report'!$C$109:$BD$166,13,FALSE)</f>
        <v>90</v>
      </c>
      <c r="S12" s="13">
        <f ca="1">VLOOKUP($B12,'[5]Analisys QBR By Machine Report'!$C$109:$BD$166,14,FALSE)</f>
        <v>495</v>
      </c>
      <c r="T12" s="13">
        <f ca="1">VLOOKUP($B12,'[5]Analisys QBR By Machine Report'!$C$109:$BD$166,15,FALSE)</f>
        <v>0</v>
      </c>
      <c r="U12" s="13">
        <f ca="1">VLOOKUP($B12,'[5]Analisys QBR By Machine Report'!$C$109:$BD$166,16,FALSE)</f>
        <v>0</v>
      </c>
      <c r="V12" s="13">
        <f ca="1">VLOOKUP($B12,'[5]Analisys QBR By Machine Report'!$C$109:$BD$166,17,FALSE)</f>
        <v>0</v>
      </c>
      <c r="W12" s="13">
        <f ca="1">VLOOKUP($B12,'[5]Analisys QBR By Machine Report'!$C$109:$BD$166,18,FALSE)</f>
        <v>0</v>
      </c>
      <c r="X12" s="13">
        <f ca="1">VLOOKUP($B12,'[5]Analisys QBR By Machine Report'!$C$109:$BD$166,19,FALSE)</f>
        <v>0</v>
      </c>
      <c r="Y12" s="13">
        <f ca="1">VLOOKUP($B12,'[5]Analisys QBR By Machine Report'!$C$109:$BD$166,20,FALSE)</f>
        <v>0</v>
      </c>
      <c r="Z12" s="13">
        <f ca="1">VLOOKUP($B12,'[5]Analisys QBR By Machine Report'!$C$109:$BD$166,21,FALSE)</f>
        <v>2015</v>
      </c>
      <c r="AA12" s="13">
        <f ca="1">VLOOKUP($B12,'[5]Analisys QBR By Machine Report'!$C$109:$BD$166,22,FALSE)</f>
        <v>400</v>
      </c>
      <c r="AB12" s="13">
        <f ca="1">VLOOKUP($B12,'[5]Analisys QBR By Machine Report'!$C$109:$BD$166,23,FALSE)</f>
        <v>1180</v>
      </c>
      <c r="AC12" s="13">
        <f ca="1">VLOOKUP($B12,'[5]Analisys QBR By Machine Report'!$C$109:$BD$166,24,FALSE)</f>
        <v>70</v>
      </c>
      <c r="AD12" s="13">
        <f ca="1">VLOOKUP($B12,'[5]Analisys QBR By Machine Report'!$C$109:$BD$166,25,FALSE)</f>
        <v>0</v>
      </c>
      <c r="AE12" s="13">
        <f ca="1">VLOOKUP($B12,'[5]Analisys QBR By Machine Report'!$C$109:$BD$166,26,FALSE)</f>
        <v>365</v>
      </c>
      <c r="AF12" s="13">
        <f ca="1">VLOOKUP($B12,'[5]Analisys QBR By Machine Report'!$C$109:$BD$166,27,FALSE)</f>
        <v>435</v>
      </c>
      <c r="AG12" s="13">
        <f ca="1">VLOOKUP($B12,'[5]Analisys QBR By Machine Report'!$C$109:$BD$166,28,FALSE)</f>
        <v>0</v>
      </c>
      <c r="AH12" s="13">
        <f ca="1">VLOOKUP($B12,'[5]Analisys QBR By Machine Report'!$C$109:$BD$166,29,FALSE)</f>
        <v>435</v>
      </c>
      <c r="AI12" s="13">
        <f ca="1">VLOOKUP($B12,'[5]Analisys QBR By Machine Report'!$C$109:$BD$166,30,FALSE)</f>
        <v>3595</v>
      </c>
      <c r="AJ12" s="13">
        <f ca="1">VLOOKUP($B12,'[5]Analisys QBR By Machine Report'!$C$109:$BD$166,31,FALSE)</f>
        <v>0</v>
      </c>
      <c r="AK12" s="13">
        <f ca="1">VLOOKUP($B12,'[5]Analisys QBR By Machine Report'!$C$109:$BD$166,32,FALSE)</f>
        <v>0</v>
      </c>
      <c r="AL12" s="13">
        <f ca="1">VLOOKUP($B12,'[5]Analisys QBR By Machine Report'!$C$109:$BD$166,33,FALSE)</f>
        <v>895</v>
      </c>
      <c r="AM12" s="13">
        <f ca="1">VLOOKUP($B12,'[5]Analisys QBR By Machine Report'!$C$109:$BD$166,34,FALSE)</f>
        <v>0</v>
      </c>
      <c r="AN12" s="13">
        <f ca="1">VLOOKUP($B12,'[5]Analisys QBR By Machine Report'!$C$109:$BD$166,35,FALSE)</f>
        <v>805</v>
      </c>
      <c r="AO12" s="13">
        <f ca="1">VLOOKUP($B12,'[5]Analisys QBR By Machine Report'!$C$109:$BD$166,36,FALSE)</f>
        <v>0</v>
      </c>
      <c r="AP12" s="13">
        <f ca="1">VLOOKUP($B12,'[5]Analisys QBR By Machine Report'!$C$109:$BD$166,37,FALSE)</f>
        <v>0</v>
      </c>
      <c r="AQ12" s="13">
        <f ca="1">VLOOKUP($B12,'[5]Analisys QBR By Machine Report'!$C$109:$BD$166,38,FALSE)</f>
        <v>0</v>
      </c>
      <c r="AR12" s="13">
        <f ca="1">VLOOKUP($B12,'[5]Analisys QBR By Machine Report'!$C$109:$BD$166,39,FALSE)</f>
        <v>160</v>
      </c>
      <c r="AS12" s="13">
        <f ca="1">VLOOKUP($B12,'[5]Analisys QBR By Machine Report'!$C$109:$BD$166,40,FALSE)</f>
        <v>375</v>
      </c>
      <c r="AT12" s="13">
        <f ca="1">VLOOKUP($B12,'[5]Analisys QBR By Machine Report'!$C$109:$BD$166,41,FALSE)</f>
        <v>0</v>
      </c>
      <c r="AU12" s="13">
        <f ca="1">VLOOKUP($B12,'[5]Analisys QBR By Machine Report'!$C$109:$BD$166,42,FALSE)</f>
        <v>0</v>
      </c>
      <c r="AV12" s="13">
        <f ca="1">VLOOKUP($B12,'[5]Analisys QBR By Machine Report'!$C$109:$BD$166,43,FALSE)</f>
        <v>0</v>
      </c>
      <c r="AW12" s="13">
        <f ca="1">VLOOKUP($B12,'[5]Analisys QBR By Machine Report'!$C$109:$BD$166,44,FALSE)</f>
        <v>0</v>
      </c>
      <c r="AX12" s="13">
        <f ca="1">VLOOKUP($B12,'[5]Analisys QBR By Machine Report'!$C$109:$BD$166,45,FALSE)</f>
        <v>0</v>
      </c>
      <c r="AY12" s="13">
        <f ca="1">VLOOKUP($B12,'[5]Analisys QBR By Machine Report'!$C$109:$BD$166,46,FALSE)</f>
        <v>0</v>
      </c>
      <c r="AZ12" s="13">
        <f ca="1">VLOOKUP($B12,'[5]Analisys QBR By Machine Report'!$C$109:$BD$166,47,FALSE)</f>
        <v>945</v>
      </c>
      <c r="BA12" s="13">
        <f ca="1">VLOOKUP($B12,'[5]Analisys QBR By Machine Report'!$C$109:$BD$166,48,FALSE)</f>
        <v>415</v>
      </c>
      <c r="BB12" s="13">
        <f ca="1">VLOOKUP($B12,'[5]Analisys QBR By Machine Report'!$C$109:$BD$166,49,FALSE)</f>
        <v>0</v>
      </c>
      <c r="BC12" s="13">
        <f ca="1">VLOOKUP($B12,'[5]Analisys QBR By Machine Report'!$C$109:$BD$166,50,FALSE)</f>
        <v>0</v>
      </c>
      <c r="BD12" s="13">
        <f ca="1">VLOOKUP($B12,'[5]Analisys QBR By Machine Report'!$C$109:$BD$166,51,FALSE)</f>
        <v>3350997</v>
      </c>
      <c r="BE12" s="13">
        <f ca="1">VLOOKUP($B12,'[5]Analisys QBR By Machine Report'!$C$109:$BD$166,52,FALSE)</f>
        <v>1171</v>
      </c>
      <c r="BF12" s="13">
        <f ca="1">VLOOKUP($B12,'[5]Analisys QBR By Machine Report'!$C$109:$BD$166,53,FALSE)</f>
        <v>3349826</v>
      </c>
    </row>
    <row r="13" spans="1:58" x14ac:dyDescent="0.25">
      <c r="A13" s="9" t="s">
        <v>69</v>
      </c>
      <c r="B13" s="10">
        <f ca="1">VLOOKUP($B13,'[5]Analisys QBR By Machine Report'!$C$109:$BD$166,2,FALSE)</f>
        <v>54720</v>
      </c>
      <c r="C13" s="11">
        <f ca="1">VLOOKUP($B13,[5]Dasboard_QBR_Report!$B$109:$BL$166,3,FALSE)</f>
        <v>18240</v>
      </c>
      <c r="D13" s="10">
        <f ca="1">VLOOKUP($B13,'[5]Analisys QBR By Machine Report'!$C$109:$BD$166,3,FALSE)</f>
        <v>45960</v>
      </c>
      <c r="E13" s="11">
        <f ca="1">VLOOKUP($B13,[5]Dasboard_QBR_Report!$B$109:$BL$166,5,FALSE)</f>
        <v>9480</v>
      </c>
      <c r="F13" s="10">
        <f t="shared" ca="1" si="0"/>
        <v>8760</v>
      </c>
      <c r="G13" s="10">
        <f t="shared" ca="1" si="1"/>
        <v>0</v>
      </c>
      <c r="H13" s="10">
        <f ca="1">VLOOKUP($B13,'[5]Analisys QBR By Machine Report'!$C$109:$BD$166,4,FALSE)</f>
        <v>0</v>
      </c>
      <c r="I13" s="10">
        <f ca="1">VLOOKUP($B13,'[5]Analisys QBR By Machine Report'!$C$109:$BD$166,5,FALSE)</f>
        <v>0</v>
      </c>
      <c r="J13" s="10">
        <f ca="1">VLOOKUP($B13,'[5]Analisys QBR By Machine Report'!$C$109:$BD$166,6,FALSE)</f>
        <v>0</v>
      </c>
      <c r="K13" s="10">
        <f ca="1">VLOOKUP($B13,'[5]Analisys QBR By Machine Report'!$C$109:$BD$166,7,FALSE)</f>
        <v>0</v>
      </c>
      <c r="L13" s="10">
        <f ca="1">VLOOKUP($B13,'[5]Analisys QBR By Machine Report'!$C$109:$BD$166,8,FALSE)</f>
        <v>8760</v>
      </c>
      <c r="M13" s="10">
        <f ca="1">VLOOKUP($B13,'[5]Analisys QBR By Machine Report'!$C$109:$BD$166,9,FALSE)</f>
        <v>3695</v>
      </c>
      <c r="N13" s="10">
        <f ca="1">VLOOKUP($B13,[5]Dasboard_QBR_Report!$B$109:$BL$166,18,FALSE)</f>
        <v>5065</v>
      </c>
      <c r="O13" s="10">
        <f ca="1">VLOOKUP($B13,'[5]Analisys QBR By Machine Report'!$C$109:$BD$166,10,FALSE)</f>
        <v>170</v>
      </c>
      <c r="P13" s="10">
        <f ca="1">VLOOKUP($B13,'[5]Analisys QBR By Machine Report'!$C$109:$BD$166,11,FALSE)</f>
        <v>155</v>
      </c>
      <c r="Q13" s="10">
        <f ca="1">VLOOKUP($B13,'[5]Analisys QBR By Machine Report'!$C$109:$BD$166,12,FALSE)</f>
        <v>0</v>
      </c>
      <c r="R13" s="10">
        <f ca="1">VLOOKUP($B13,'[5]Analisys QBR By Machine Report'!$C$109:$BD$166,13,FALSE)</f>
        <v>15</v>
      </c>
      <c r="S13" s="10">
        <f ca="1">VLOOKUP($B13,'[5]Analisys QBR By Machine Report'!$C$109:$BD$166,14,FALSE)</f>
        <v>0</v>
      </c>
      <c r="T13" s="10">
        <f ca="1">VLOOKUP($B13,'[5]Analisys QBR By Machine Report'!$C$109:$BD$166,15,FALSE)</f>
        <v>125</v>
      </c>
      <c r="U13" s="10">
        <f ca="1">VLOOKUP($B13,'[5]Analisys QBR By Machine Report'!$C$109:$BD$166,16,FALSE)</f>
        <v>70</v>
      </c>
      <c r="V13" s="10">
        <f ca="1">VLOOKUP($B13,'[5]Analisys QBR By Machine Report'!$C$109:$BD$166,17,FALSE)</f>
        <v>0</v>
      </c>
      <c r="W13" s="10">
        <f ca="1">VLOOKUP($B13,'[5]Analisys QBR By Machine Report'!$C$109:$BD$166,18,FALSE)</f>
        <v>0</v>
      </c>
      <c r="X13" s="10">
        <f ca="1">VLOOKUP($B13,'[5]Analisys QBR By Machine Report'!$C$109:$BD$166,19,FALSE)</f>
        <v>55</v>
      </c>
      <c r="Y13" s="10">
        <f ca="1">VLOOKUP($B13,'[5]Analisys QBR By Machine Report'!$C$109:$BD$166,20,FALSE)</f>
        <v>0</v>
      </c>
      <c r="Z13" s="10">
        <f ca="1">VLOOKUP($B13,'[5]Analisys QBR By Machine Report'!$C$109:$BD$166,21,FALSE)</f>
        <v>3435</v>
      </c>
      <c r="AA13" s="10">
        <f ca="1">VLOOKUP($B13,'[5]Analisys QBR By Machine Report'!$C$109:$BD$166,22,FALSE)</f>
        <v>960</v>
      </c>
      <c r="AB13" s="10">
        <f ca="1">VLOOKUP($B13,'[5]Analisys QBR By Machine Report'!$C$109:$BD$166,23,FALSE)</f>
        <v>2145</v>
      </c>
      <c r="AC13" s="10">
        <f ca="1">VLOOKUP($B13,'[5]Analisys QBR By Machine Report'!$C$109:$BD$166,24,FALSE)</f>
        <v>0</v>
      </c>
      <c r="AD13" s="10">
        <f ca="1">VLOOKUP($B13,'[5]Analisys QBR By Machine Report'!$C$109:$BD$166,25,FALSE)</f>
        <v>0</v>
      </c>
      <c r="AE13" s="10">
        <f ca="1">VLOOKUP($B13,'[5]Analisys QBR By Machine Report'!$C$109:$BD$166,26,FALSE)</f>
        <v>330</v>
      </c>
      <c r="AF13" s="10">
        <f ca="1">VLOOKUP($B13,'[5]Analisys QBR By Machine Report'!$C$109:$BD$166,27,FALSE)</f>
        <v>0</v>
      </c>
      <c r="AG13" s="10">
        <f ca="1">VLOOKUP($B13,'[5]Analisys QBR By Machine Report'!$C$109:$BD$166,28,FALSE)</f>
        <v>0</v>
      </c>
      <c r="AH13" s="10">
        <f ca="1">VLOOKUP($B13,'[5]Analisys QBR By Machine Report'!$C$109:$BD$166,29,FALSE)</f>
        <v>0</v>
      </c>
      <c r="AI13" s="10">
        <f ca="1">VLOOKUP($B13,'[5]Analisys QBR By Machine Report'!$C$109:$BD$166,30,FALSE)</f>
        <v>1335</v>
      </c>
      <c r="AJ13" s="10">
        <f ca="1">VLOOKUP($B13,'[5]Analisys QBR By Machine Report'!$C$109:$BD$166,31,FALSE)</f>
        <v>0</v>
      </c>
      <c r="AK13" s="10">
        <f ca="1">VLOOKUP($B13,'[5]Analisys QBR By Machine Report'!$C$109:$BD$166,32,FALSE)</f>
        <v>0</v>
      </c>
      <c r="AL13" s="10">
        <f ca="1">VLOOKUP($B13,'[5]Analisys QBR By Machine Report'!$C$109:$BD$166,33,FALSE)</f>
        <v>390</v>
      </c>
      <c r="AM13" s="10">
        <f ca="1">VLOOKUP($B13,'[5]Analisys QBR By Machine Report'!$C$109:$BD$166,34,FALSE)</f>
        <v>0</v>
      </c>
      <c r="AN13" s="10">
        <f ca="1">VLOOKUP($B13,'[5]Analisys QBR By Machine Report'!$C$109:$BD$166,35,FALSE)</f>
        <v>325</v>
      </c>
      <c r="AO13" s="10">
        <f ca="1">VLOOKUP($B13,'[5]Analisys QBR By Machine Report'!$C$109:$BD$166,36,FALSE)</f>
        <v>0</v>
      </c>
      <c r="AP13" s="10">
        <f ca="1">VLOOKUP($B13,'[5]Analisys QBR By Machine Report'!$C$109:$BD$166,37,FALSE)</f>
        <v>0</v>
      </c>
      <c r="AQ13" s="10">
        <f ca="1">VLOOKUP($B13,'[5]Analisys QBR By Machine Report'!$C$109:$BD$166,38,FALSE)</f>
        <v>0</v>
      </c>
      <c r="AR13" s="10">
        <f ca="1">VLOOKUP($B13,'[5]Analisys QBR By Machine Report'!$C$109:$BD$166,39,FALSE)</f>
        <v>270</v>
      </c>
      <c r="AS13" s="10">
        <f ca="1">VLOOKUP($B13,'[5]Analisys QBR By Machine Report'!$C$109:$BD$166,40,FALSE)</f>
        <v>220</v>
      </c>
      <c r="AT13" s="10">
        <f ca="1">VLOOKUP($B13,'[5]Analisys QBR By Machine Report'!$C$109:$BD$166,41,FALSE)</f>
        <v>0</v>
      </c>
      <c r="AU13" s="10">
        <f ca="1">VLOOKUP($B13,'[5]Analisys QBR By Machine Report'!$C$109:$BD$166,42,FALSE)</f>
        <v>0</v>
      </c>
      <c r="AV13" s="10">
        <f ca="1">VLOOKUP($B13,'[5]Analisys QBR By Machine Report'!$C$109:$BD$166,43,FALSE)</f>
        <v>0</v>
      </c>
      <c r="AW13" s="10">
        <f ca="1">VLOOKUP($B13,'[5]Analisys QBR By Machine Report'!$C$109:$BD$166,44,FALSE)</f>
        <v>0</v>
      </c>
      <c r="AX13" s="10">
        <f ca="1">VLOOKUP($B13,'[5]Analisys QBR By Machine Report'!$C$109:$BD$166,45,FALSE)</f>
        <v>0</v>
      </c>
      <c r="AY13" s="10">
        <f ca="1">VLOOKUP($B13,'[5]Analisys QBR By Machine Report'!$C$109:$BD$166,46,FALSE)</f>
        <v>0</v>
      </c>
      <c r="AZ13" s="10">
        <f ca="1">VLOOKUP($B13,'[5]Analisys QBR By Machine Report'!$C$109:$BD$166,47,FALSE)</f>
        <v>85</v>
      </c>
      <c r="BA13" s="10">
        <f ca="1">VLOOKUP($B13,'[5]Analisys QBR By Machine Report'!$C$109:$BD$166,48,FALSE)</f>
        <v>45</v>
      </c>
      <c r="BB13" s="10">
        <f ca="1">VLOOKUP($B13,'[5]Analisys QBR By Machine Report'!$C$109:$BD$166,49,FALSE)</f>
        <v>0</v>
      </c>
      <c r="BC13" s="10">
        <f ca="1">VLOOKUP($B13,'[5]Analisys QBR By Machine Report'!$C$109:$BD$166,50,FALSE)</f>
        <v>0</v>
      </c>
      <c r="BD13" s="10">
        <f ca="1">VLOOKUP($B13,'[5]Analisys QBR By Machine Report'!$C$109:$BD$166,51,FALSE)</f>
        <v>1935.44</v>
      </c>
      <c r="BE13" s="10">
        <f ca="1">VLOOKUP($B13,'[5]Analisys QBR By Machine Report'!$C$109:$BD$166,52,FALSE)</f>
        <v>0.78</v>
      </c>
      <c r="BF13" s="10">
        <f ca="1">VLOOKUP($B13,'[5]Analisys QBR By Machine Report'!$C$109:$BD$166,53,FALSE)</f>
        <v>1934.66</v>
      </c>
    </row>
    <row r="14" spans="1:58" x14ac:dyDescent="0.25">
      <c r="A14" s="12" t="s">
        <v>70</v>
      </c>
      <c r="B14" s="13">
        <f ca="1">VLOOKUP($B14,'[5]Analisys QBR By Machine Report'!$C$109:$BD$166,2,FALSE)</f>
        <v>27360</v>
      </c>
      <c r="C14" s="14">
        <f ca="1">VLOOKUP($B14,[5]Dasboard_QBR_Report!$B$109:$BL$166,3,FALSE)</f>
        <v>9120</v>
      </c>
      <c r="D14" s="13">
        <f ca="1">VLOOKUP($B14,'[5]Analisys QBR By Machine Report'!$C$109:$BD$166,3,FALSE)</f>
        <v>23940</v>
      </c>
      <c r="E14" s="14">
        <f ca="1">VLOOKUP($B14,[5]Dasboard_QBR_Report!$B$109:$BL$166,5,FALSE)</f>
        <v>5700</v>
      </c>
      <c r="F14" s="13">
        <f t="shared" ca="1" si="0"/>
        <v>3420</v>
      </c>
      <c r="G14" s="13">
        <f t="shared" ca="1" si="1"/>
        <v>0</v>
      </c>
      <c r="H14" s="13">
        <f ca="1">VLOOKUP($B14,'[5]Analisys QBR By Machine Report'!$C$109:$BD$166,4,FALSE)</f>
        <v>0</v>
      </c>
      <c r="I14" s="13">
        <f ca="1">VLOOKUP($B14,'[5]Analisys QBR By Machine Report'!$C$109:$BD$166,5,FALSE)</f>
        <v>0</v>
      </c>
      <c r="J14" s="13">
        <f ca="1">VLOOKUP($B14,'[5]Analisys QBR By Machine Report'!$C$109:$BD$166,6,FALSE)</f>
        <v>0</v>
      </c>
      <c r="K14" s="13">
        <f ca="1">VLOOKUP($B14,'[5]Analisys QBR By Machine Report'!$C$109:$BD$166,7,FALSE)</f>
        <v>0</v>
      </c>
      <c r="L14" s="13">
        <f ca="1">VLOOKUP($B14,'[5]Analisys QBR By Machine Report'!$C$109:$BD$166,8,FALSE)</f>
        <v>3420</v>
      </c>
      <c r="M14" s="13">
        <f ca="1">VLOOKUP($B14,'[5]Analisys QBR By Machine Report'!$C$109:$BD$166,9,FALSE)</f>
        <v>1210</v>
      </c>
      <c r="N14" s="13">
        <f ca="1">VLOOKUP($B14,[5]Dasboard_QBR_Report!$B$109:$BL$166,18,FALSE)</f>
        <v>2210</v>
      </c>
      <c r="O14" s="13">
        <f ca="1">VLOOKUP($B14,'[5]Analisys QBR By Machine Report'!$C$109:$BD$166,10,FALSE)</f>
        <v>50</v>
      </c>
      <c r="P14" s="13">
        <f ca="1">VLOOKUP($B14,'[5]Analisys QBR By Machine Report'!$C$109:$BD$166,11,FALSE)</f>
        <v>50</v>
      </c>
      <c r="Q14" s="13">
        <f ca="1">VLOOKUP($B14,'[5]Analisys QBR By Machine Report'!$C$109:$BD$166,12,FALSE)</f>
        <v>0</v>
      </c>
      <c r="R14" s="13">
        <f ca="1">VLOOKUP($B14,'[5]Analisys QBR By Machine Report'!$C$109:$BD$166,13,FALSE)</f>
        <v>0</v>
      </c>
      <c r="S14" s="13">
        <f ca="1">VLOOKUP($B14,'[5]Analisys QBR By Machine Report'!$C$109:$BD$166,14,FALSE)</f>
        <v>0</v>
      </c>
      <c r="T14" s="13">
        <f ca="1">VLOOKUP($B14,'[5]Analisys QBR By Machine Report'!$C$109:$BD$166,15,FALSE)</f>
        <v>0</v>
      </c>
      <c r="U14" s="13">
        <f ca="1">VLOOKUP($B14,'[5]Analisys QBR By Machine Report'!$C$109:$BD$166,16,FALSE)</f>
        <v>0</v>
      </c>
      <c r="V14" s="13">
        <f ca="1">VLOOKUP($B14,'[5]Analisys QBR By Machine Report'!$C$109:$BD$166,17,FALSE)</f>
        <v>0</v>
      </c>
      <c r="W14" s="13">
        <f ca="1">VLOOKUP($B14,'[5]Analisys QBR By Machine Report'!$C$109:$BD$166,18,FALSE)</f>
        <v>0</v>
      </c>
      <c r="X14" s="13">
        <f ca="1">VLOOKUP($B14,'[5]Analisys QBR By Machine Report'!$C$109:$BD$166,19,FALSE)</f>
        <v>0</v>
      </c>
      <c r="Y14" s="13">
        <f ca="1">VLOOKUP($B14,'[5]Analisys QBR By Machine Report'!$C$109:$BD$166,20,FALSE)</f>
        <v>0</v>
      </c>
      <c r="Z14" s="13">
        <f ca="1">VLOOKUP($B14,'[5]Analisys QBR By Machine Report'!$C$109:$BD$166,21,FALSE)</f>
        <v>1625</v>
      </c>
      <c r="AA14" s="13">
        <f ca="1">VLOOKUP($B14,'[5]Analisys QBR By Machine Report'!$C$109:$BD$166,22,FALSE)</f>
        <v>320</v>
      </c>
      <c r="AB14" s="13">
        <f ca="1">VLOOKUP($B14,'[5]Analisys QBR By Machine Report'!$C$109:$BD$166,23,FALSE)</f>
        <v>1175</v>
      </c>
      <c r="AC14" s="13">
        <f ca="1">VLOOKUP($B14,'[5]Analisys QBR By Machine Report'!$C$109:$BD$166,24,FALSE)</f>
        <v>0</v>
      </c>
      <c r="AD14" s="13">
        <f ca="1">VLOOKUP($B14,'[5]Analisys QBR By Machine Report'!$C$109:$BD$166,25,FALSE)</f>
        <v>0</v>
      </c>
      <c r="AE14" s="13">
        <f ca="1">VLOOKUP($B14,'[5]Analisys QBR By Machine Report'!$C$109:$BD$166,26,FALSE)</f>
        <v>130</v>
      </c>
      <c r="AF14" s="13">
        <f ca="1">VLOOKUP($B14,'[5]Analisys QBR By Machine Report'!$C$109:$BD$166,27,FALSE)</f>
        <v>0</v>
      </c>
      <c r="AG14" s="13">
        <f ca="1">VLOOKUP($B14,'[5]Analisys QBR By Machine Report'!$C$109:$BD$166,28,FALSE)</f>
        <v>0</v>
      </c>
      <c r="AH14" s="13">
        <f ca="1">VLOOKUP($B14,'[5]Analisys QBR By Machine Report'!$C$109:$BD$166,29,FALSE)</f>
        <v>0</v>
      </c>
      <c r="AI14" s="13">
        <f ca="1">VLOOKUP($B14,'[5]Analisys QBR By Machine Report'!$C$109:$BD$166,30,FALSE)</f>
        <v>535</v>
      </c>
      <c r="AJ14" s="13">
        <f ca="1">VLOOKUP($B14,'[5]Analisys QBR By Machine Report'!$C$109:$BD$166,31,FALSE)</f>
        <v>0</v>
      </c>
      <c r="AK14" s="13">
        <f ca="1">VLOOKUP($B14,'[5]Analisys QBR By Machine Report'!$C$109:$BD$166,32,FALSE)</f>
        <v>0</v>
      </c>
      <c r="AL14" s="13">
        <f ca="1">VLOOKUP($B14,'[5]Analisys QBR By Machine Report'!$C$109:$BD$166,33,FALSE)</f>
        <v>180</v>
      </c>
      <c r="AM14" s="13">
        <f ca="1">VLOOKUP($B14,'[5]Analisys QBR By Machine Report'!$C$109:$BD$166,34,FALSE)</f>
        <v>0</v>
      </c>
      <c r="AN14" s="13">
        <f ca="1">VLOOKUP($B14,'[5]Analisys QBR By Machine Report'!$C$109:$BD$166,35,FALSE)</f>
        <v>115</v>
      </c>
      <c r="AO14" s="13">
        <f ca="1">VLOOKUP($B14,'[5]Analisys QBR By Machine Report'!$C$109:$BD$166,36,FALSE)</f>
        <v>0</v>
      </c>
      <c r="AP14" s="13">
        <f ca="1">VLOOKUP($B14,'[5]Analisys QBR By Machine Report'!$C$109:$BD$166,37,FALSE)</f>
        <v>0</v>
      </c>
      <c r="AQ14" s="13">
        <f ca="1">VLOOKUP($B14,'[5]Analisys QBR By Machine Report'!$C$109:$BD$166,38,FALSE)</f>
        <v>0</v>
      </c>
      <c r="AR14" s="13">
        <f ca="1">VLOOKUP($B14,'[5]Analisys QBR By Machine Report'!$C$109:$BD$166,39,FALSE)</f>
        <v>100</v>
      </c>
      <c r="AS14" s="13">
        <f ca="1">VLOOKUP($B14,'[5]Analisys QBR By Machine Report'!$C$109:$BD$166,40,FALSE)</f>
        <v>100</v>
      </c>
      <c r="AT14" s="13">
        <f ca="1">VLOOKUP($B14,'[5]Analisys QBR By Machine Report'!$C$109:$BD$166,41,FALSE)</f>
        <v>0</v>
      </c>
      <c r="AU14" s="13">
        <f ca="1">VLOOKUP($B14,'[5]Analisys QBR By Machine Report'!$C$109:$BD$166,42,FALSE)</f>
        <v>0</v>
      </c>
      <c r="AV14" s="13">
        <f ca="1">VLOOKUP($B14,'[5]Analisys QBR By Machine Report'!$C$109:$BD$166,43,FALSE)</f>
        <v>0</v>
      </c>
      <c r="AW14" s="13">
        <f ca="1">VLOOKUP($B14,'[5]Analisys QBR By Machine Report'!$C$109:$BD$166,44,FALSE)</f>
        <v>0</v>
      </c>
      <c r="AX14" s="13">
        <f ca="1">VLOOKUP($B14,'[5]Analisys QBR By Machine Report'!$C$109:$BD$166,45,FALSE)</f>
        <v>0</v>
      </c>
      <c r="AY14" s="13">
        <f ca="1">VLOOKUP($B14,'[5]Analisys QBR By Machine Report'!$C$109:$BD$166,46,FALSE)</f>
        <v>0</v>
      </c>
      <c r="AZ14" s="13">
        <f ca="1">VLOOKUP($B14,'[5]Analisys QBR By Machine Report'!$C$109:$BD$166,47,FALSE)</f>
        <v>40</v>
      </c>
      <c r="BA14" s="13">
        <f ca="1">VLOOKUP($B14,'[5]Analisys QBR By Machine Report'!$C$109:$BD$166,48,FALSE)</f>
        <v>0</v>
      </c>
      <c r="BB14" s="13">
        <f ca="1">VLOOKUP($B14,'[5]Analisys QBR By Machine Report'!$C$109:$BD$166,49,FALSE)</f>
        <v>0</v>
      </c>
      <c r="BC14" s="13">
        <f ca="1">VLOOKUP($B14,'[5]Analisys QBR By Machine Report'!$C$109:$BD$166,50,FALSE)</f>
        <v>0</v>
      </c>
      <c r="BD14" s="13">
        <f ca="1">VLOOKUP($B14,'[5]Analisys QBR By Machine Report'!$C$109:$BD$166,51,FALSE)</f>
        <v>304.52</v>
      </c>
      <c r="BE14" s="13">
        <f ca="1">VLOOKUP($B14,'[5]Analisys QBR By Machine Report'!$C$109:$BD$166,52,FALSE)</f>
        <v>0.26</v>
      </c>
      <c r="BF14" s="13">
        <f ca="1">VLOOKUP($B14,'[5]Analisys QBR By Machine Report'!$C$109:$BD$166,53,FALSE)</f>
        <v>304.26</v>
      </c>
    </row>
    <row r="15" spans="1:58" x14ac:dyDescent="0.25">
      <c r="A15" s="12" t="s">
        <v>71</v>
      </c>
      <c r="B15" s="13">
        <f ca="1">VLOOKUP($B15,'[5]Analisys QBR By Machine Report'!$C$109:$BD$166,2,FALSE)</f>
        <v>27360</v>
      </c>
      <c r="C15" s="14">
        <f ca="1">VLOOKUP($B15,[5]Dasboard_QBR_Report!$B$109:$BL$166,3,FALSE)</f>
        <v>9120</v>
      </c>
      <c r="D15" s="13">
        <f ca="1">VLOOKUP($B15,'[5]Analisys QBR By Machine Report'!$C$109:$BD$166,3,FALSE)</f>
        <v>22020</v>
      </c>
      <c r="E15" s="14">
        <f ca="1">VLOOKUP($B15,[5]Dasboard_QBR_Report!$B$109:$BL$166,5,FALSE)</f>
        <v>3780</v>
      </c>
      <c r="F15" s="13">
        <f t="shared" ca="1" si="0"/>
        <v>5340</v>
      </c>
      <c r="G15" s="13">
        <f t="shared" ca="1" si="1"/>
        <v>0</v>
      </c>
      <c r="H15" s="13">
        <f ca="1">VLOOKUP($B15,'[5]Analisys QBR By Machine Report'!$C$109:$BD$166,4,FALSE)</f>
        <v>0</v>
      </c>
      <c r="I15" s="13">
        <f ca="1">VLOOKUP($B15,'[5]Analisys QBR By Machine Report'!$C$109:$BD$166,5,FALSE)</f>
        <v>0</v>
      </c>
      <c r="J15" s="13">
        <f ca="1">VLOOKUP($B15,'[5]Analisys QBR By Machine Report'!$C$109:$BD$166,6,FALSE)</f>
        <v>0</v>
      </c>
      <c r="K15" s="13">
        <f ca="1">VLOOKUP($B15,'[5]Analisys QBR By Machine Report'!$C$109:$BD$166,7,FALSE)</f>
        <v>0</v>
      </c>
      <c r="L15" s="13">
        <f ca="1">VLOOKUP($B15,'[5]Analisys QBR By Machine Report'!$C$109:$BD$166,8,FALSE)</f>
        <v>5340</v>
      </c>
      <c r="M15" s="13">
        <f ca="1">VLOOKUP($B15,'[5]Analisys QBR By Machine Report'!$C$109:$BD$166,9,FALSE)</f>
        <v>2485</v>
      </c>
      <c r="N15" s="13">
        <f ca="1">VLOOKUP($B15,[5]Dasboard_QBR_Report!$B$109:$BL$166,18,FALSE)</f>
        <v>2855</v>
      </c>
      <c r="O15" s="13">
        <f ca="1">VLOOKUP($B15,'[5]Analisys QBR By Machine Report'!$C$109:$BD$166,10,FALSE)</f>
        <v>120</v>
      </c>
      <c r="P15" s="13">
        <f ca="1">VLOOKUP($B15,'[5]Analisys QBR By Machine Report'!$C$109:$BD$166,11,FALSE)</f>
        <v>105</v>
      </c>
      <c r="Q15" s="13">
        <f ca="1">VLOOKUP($B15,'[5]Analisys QBR By Machine Report'!$C$109:$BD$166,12,FALSE)</f>
        <v>0</v>
      </c>
      <c r="R15" s="13">
        <f ca="1">VLOOKUP($B15,'[5]Analisys QBR By Machine Report'!$C$109:$BD$166,13,FALSE)</f>
        <v>15</v>
      </c>
      <c r="S15" s="13">
        <f ca="1">VLOOKUP($B15,'[5]Analisys QBR By Machine Report'!$C$109:$BD$166,14,FALSE)</f>
        <v>0</v>
      </c>
      <c r="T15" s="13">
        <f ca="1">VLOOKUP($B15,'[5]Analisys QBR By Machine Report'!$C$109:$BD$166,15,FALSE)</f>
        <v>125</v>
      </c>
      <c r="U15" s="13">
        <f ca="1">VLOOKUP($B15,'[5]Analisys QBR By Machine Report'!$C$109:$BD$166,16,FALSE)</f>
        <v>70</v>
      </c>
      <c r="V15" s="13">
        <f ca="1">VLOOKUP($B15,'[5]Analisys QBR By Machine Report'!$C$109:$BD$166,17,FALSE)</f>
        <v>0</v>
      </c>
      <c r="W15" s="13">
        <f ca="1">VLOOKUP($B15,'[5]Analisys QBR By Machine Report'!$C$109:$BD$166,18,FALSE)</f>
        <v>0</v>
      </c>
      <c r="X15" s="13">
        <f ca="1">VLOOKUP($B15,'[5]Analisys QBR By Machine Report'!$C$109:$BD$166,19,FALSE)</f>
        <v>55</v>
      </c>
      <c r="Y15" s="13">
        <f ca="1">VLOOKUP($B15,'[5]Analisys QBR By Machine Report'!$C$109:$BD$166,20,FALSE)</f>
        <v>0</v>
      </c>
      <c r="Z15" s="13">
        <f ca="1">VLOOKUP($B15,'[5]Analisys QBR By Machine Report'!$C$109:$BD$166,21,FALSE)</f>
        <v>1810</v>
      </c>
      <c r="AA15" s="13">
        <f ca="1">VLOOKUP($B15,'[5]Analisys QBR By Machine Report'!$C$109:$BD$166,22,FALSE)</f>
        <v>640</v>
      </c>
      <c r="AB15" s="13">
        <f ca="1">VLOOKUP($B15,'[5]Analisys QBR By Machine Report'!$C$109:$BD$166,23,FALSE)</f>
        <v>970</v>
      </c>
      <c r="AC15" s="13">
        <f ca="1">VLOOKUP($B15,'[5]Analisys QBR By Machine Report'!$C$109:$BD$166,24,FALSE)</f>
        <v>0</v>
      </c>
      <c r="AD15" s="13">
        <f ca="1">VLOOKUP($B15,'[5]Analisys QBR By Machine Report'!$C$109:$BD$166,25,FALSE)</f>
        <v>0</v>
      </c>
      <c r="AE15" s="13">
        <f ca="1">VLOOKUP($B15,'[5]Analisys QBR By Machine Report'!$C$109:$BD$166,26,FALSE)</f>
        <v>200</v>
      </c>
      <c r="AF15" s="13">
        <f ca="1">VLOOKUP($B15,'[5]Analisys QBR By Machine Report'!$C$109:$BD$166,27,FALSE)</f>
        <v>0</v>
      </c>
      <c r="AG15" s="13">
        <f ca="1">VLOOKUP($B15,'[5]Analisys QBR By Machine Report'!$C$109:$BD$166,28,FALSE)</f>
        <v>0</v>
      </c>
      <c r="AH15" s="13">
        <f ca="1">VLOOKUP($B15,'[5]Analisys QBR By Machine Report'!$C$109:$BD$166,29,FALSE)</f>
        <v>0</v>
      </c>
      <c r="AI15" s="13">
        <f ca="1">VLOOKUP($B15,'[5]Analisys QBR By Machine Report'!$C$109:$BD$166,30,FALSE)</f>
        <v>800</v>
      </c>
      <c r="AJ15" s="13">
        <f ca="1">VLOOKUP($B15,'[5]Analisys QBR By Machine Report'!$C$109:$BD$166,31,FALSE)</f>
        <v>0</v>
      </c>
      <c r="AK15" s="13">
        <f ca="1">VLOOKUP($B15,'[5]Analisys QBR By Machine Report'!$C$109:$BD$166,32,FALSE)</f>
        <v>0</v>
      </c>
      <c r="AL15" s="13">
        <f ca="1">VLOOKUP($B15,'[5]Analisys QBR By Machine Report'!$C$109:$BD$166,33,FALSE)</f>
        <v>210</v>
      </c>
      <c r="AM15" s="13">
        <f ca="1">VLOOKUP($B15,'[5]Analisys QBR By Machine Report'!$C$109:$BD$166,34,FALSE)</f>
        <v>0</v>
      </c>
      <c r="AN15" s="13">
        <f ca="1">VLOOKUP($B15,'[5]Analisys QBR By Machine Report'!$C$109:$BD$166,35,FALSE)</f>
        <v>210</v>
      </c>
      <c r="AO15" s="13">
        <f ca="1">VLOOKUP($B15,'[5]Analisys QBR By Machine Report'!$C$109:$BD$166,36,FALSE)</f>
        <v>0</v>
      </c>
      <c r="AP15" s="13">
        <f ca="1">VLOOKUP($B15,'[5]Analisys QBR By Machine Report'!$C$109:$BD$166,37,FALSE)</f>
        <v>0</v>
      </c>
      <c r="AQ15" s="13">
        <f ca="1">VLOOKUP($B15,'[5]Analisys QBR By Machine Report'!$C$109:$BD$166,38,FALSE)</f>
        <v>0</v>
      </c>
      <c r="AR15" s="13">
        <f ca="1">VLOOKUP($B15,'[5]Analisys QBR By Machine Report'!$C$109:$BD$166,39,FALSE)</f>
        <v>170</v>
      </c>
      <c r="AS15" s="13">
        <f ca="1">VLOOKUP($B15,'[5]Analisys QBR By Machine Report'!$C$109:$BD$166,40,FALSE)</f>
        <v>120</v>
      </c>
      <c r="AT15" s="13">
        <f ca="1">VLOOKUP($B15,'[5]Analisys QBR By Machine Report'!$C$109:$BD$166,41,FALSE)</f>
        <v>0</v>
      </c>
      <c r="AU15" s="13">
        <f ca="1">VLOOKUP($B15,'[5]Analisys QBR By Machine Report'!$C$109:$BD$166,42,FALSE)</f>
        <v>0</v>
      </c>
      <c r="AV15" s="13">
        <f ca="1">VLOOKUP($B15,'[5]Analisys QBR By Machine Report'!$C$109:$BD$166,43,FALSE)</f>
        <v>0</v>
      </c>
      <c r="AW15" s="13">
        <f ca="1">VLOOKUP($B15,'[5]Analisys QBR By Machine Report'!$C$109:$BD$166,44,FALSE)</f>
        <v>0</v>
      </c>
      <c r="AX15" s="13">
        <f ca="1">VLOOKUP($B15,'[5]Analisys QBR By Machine Report'!$C$109:$BD$166,45,FALSE)</f>
        <v>0</v>
      </c>
      <c r="AY15" s="13">
        <f ca="1">VLOOKUP($B15,'[5]Analisys QBR By Machine Report'!$C$109:$BD$166,46,FALSE)</f>
        <v>0</v>
      </c>
      <c r="AZ15" s="13">
        <f ca="1">VLOOKUP($B15,'[5]Analisys QBR By Machine Report'!$C$109:$BD$166,47,FALSE)</f>
        <v>45</v>
      </c>
      <c r="BA15" s="13">
        <f ca="1">VLOOKUP($B15,'[5]Analisys QBR By Machine Report'!$C$109:$BD$166,48,FALSE)</f>
        <v>45</v>
      </c>
      <c r="BB15" s="13">
        <f ca="1">VLOOKUP($B15,'[5]Analisys QBR By Machine Report'!$C$109:$BD$166,49,FALSE)</f>
        <v>0</v>
      </c>
      <c r="BC15" s="13">
        <f ca="1">VLOOKUP($B15,'[5]Analisys QBR By Machine Report'!$C$109:$BD$166,50,FALSE)</f>
        <v>0</v>
      </c>
      <c r="BD15" s="13">
        <f ca="1">VLOOKUP($B15,'[5]Analisys QBR By Machine Report'!$C$109:$BD$166,51,FALSE)</f>
        <v>1630.92</v>
      </c>
      <c r="BE15" s="13">
        <f ca="1">VLOOKUP($B15,'[5]Analisys QBR By Machine Report'!$C$109:$BD$166,52,FALSE)</f>
        <v>0.52</v>
      </c>
      <c r="BF15" s="13">
        <f ca="1">VLOOKUP($B15,'[5]Analisys QBR By Machine Report'!$C$109:$BD$166,53,FALSE)</f>
        <v>1630.4</v>
      </c>
    </row>
    <row r="16" spans="1:58" x14ac:dyDescent="0.25">
      <c r="A16" s="9" t="s">
        <v>72</v>
      </c>
      <c r="B16" s="10">
        <f ca="1">VLOOKUP($B16,'[5]Analisys QBR By Machine Report'!$C$109:$BD$166,2,FALSE)</f>
        <v>139680</v>
      </c>
      <c r="C16" s="11">
        <f ca="1">VLOOKUP($B16,[5]Dasboard_QBR_Report!$B$109:$BL$166,3,FALSE)</f>
        <v>64560</v>
      </c>
      <c r="D16" s="10">
        <f ca="1">VLOOKUP($B16,'[5]Analisys QBR By Machine Report'!$C$109:$BD$166,3,FALSE)</f>
        <v>79380</v>
      </c>
      <c r="E16" s="11">
        <f ca="1">VLOOKUP($B16,[5]Dasboard_QBR_Report!$B$109:$BL$166,5,FALSE)</f>
        <v>4260</v>
      </c>
      <c r="F16" s="10">
        <f t="shared" ca="1" si="0"/>
        <v>60300</v>
      </c>
      <c r="G16" s="10">
        <f t="shared" ca="1" si="1"/>
        <v>1870</v>
      </c>
      <c r="H16" s="10">
        <f ca="1">VLOOKUP($B16,'[5]Analisys QBR By Machine Report'!$C$109:$BD$166,4,FALSE)</f>
        <v>1870</v>
      </c>
      <c r="I16" s="10">
        <f ca="1">VLOOKUP($B16,'[5]Analisys QBR By Machine Report'!$C$109:$BD$166,5,FALSE)</f>
        <v>95</v>
      </c>
      <c r="J16" s="10">
        <f ca="1">VLOOKUP($B16,'[5]Analisys QBR By Machine Report'!$C$109:$BD$166,6,FALSE)</f>
        <v>1775</v>
      </c>
      <c r="K16" s="10">
        <f ca="1">VLOOKUP($B16,'[5]Analisys QBR By Machine Report'!$C$109:$BD$166,7,FALSE)</f>
        <v>0</v>
      </c>
      <c r="L16" s="10">
        <f ca="1">VLOOKUP($B16,'[5]Analisys QBR By Machine Report'!$C$109:$BD$166,8,FALSE)</f>
        <v>58430</v>
      </c>
      <c r="M16" s="10">
        <f ca="1">VLOOKUP($B16,'[5]Analisys QBR By Machine Report'!$C$109:$BD$166,9,FALSE)</f>
        <v>21525</v>
      </c>
      <c r="N16" s="10">
        <f ca="1">VLOOKUP($B16,[5]Dasboard_QBR_Report!$B$109:$BL$166,18,FALSE)</f>
        <v>36905</v>
      </c>
      <c r="O16" s="10">
        <f ca="1">VLOOKUP($B16,'[5]Analisys QBR By Machine Report'!$C$109:$BD$166,10,FALSE)</f>
        <v>8485</v>
      </c>
      <c r="P16" s="10">
        <f ca="1">VLOOKUP($B16,'[5]Analisys QBR By Machine Report'!$C$109:$BD$166,11,FALSE)</f>
        <v>4625</v>
      </c>
      <c r="Q16" s="10">
        <f ca="1">VLOOKUP($B16,'[5]Analisys QBR By Machine Report'!$C$109:$BD$166,12,FALSE)</f>
        <v>0</v>
      </c>
      <c r="R16" s="10">
        <f ca="1">VLOOKUP($B16,'[5]Analisys QBR By Machine Report'!$C$109:$BD$166,13,FALSE)</f>
        <v>3860</v>
      </c>
      <c r="S16" s="10">
        <f ca="1">VLOOKUP($B16,'[5]Analisys QBR By Machine Report'!$C$109:$BD$166,14,FALSE)</f>
        <v>0</v>
      </c>
      <c r="T16" s="10">
        <f ca="1">VLOOKUP($B16,'[5]Analisys QBR By Machine Report'!$C$109:$BD$166,15,FALSE)</f>
        <v>850</v>
      </c>
      <c r="U16" s="10">
        <f ca="1">VLOOKUP($B16,'[5]Analisys QBR By Machine Report'!$C$109:$BD$166,16,FALSE)</f>
        <v>550</v>
      </c>
      <c r="V16" s="10">
        <f ca="1">VLOOKUP($B16,'[5]Analisys QBR By Machine Report'!$C$109:$BD$166,17,FALSE)</f>
        <v>240</v>
      </c>
      <c r="W16" s="10">
        <f ca="1">VLOOKUP($B16,'[5]Analisys QBR By Machine Report'!$C$109:$BD$166,18,FALSE)</f>
        <v>0</v>
      </c>
      <c r="X16" s="10">
        <f ca="1">VLOOKUP($B16,'[5]Analisys QBR By Machine Report'!$C$109:$BD$166,19,FALSE)</f>
        <v>0</v>
      </c>
      <c r="Y16" s="10">
        <f ca="1">VLOOKUP($B16,'[5]Analisys QBR By Machine Report'!$C$109:$BD$166,20,FALSE)</f>
        <v>60</v>
      </c>
      <c r="Z16" s="10">
        <f ca="1">VLOOKUP($B16,'[5]Analisys QBR By Machine Report'!$C$109:$BD$166,21,FALSE)</f>
        <v>13875</v>
      </c>
      <c r="AA16" s="10">
        <f ca="1">VLOOKUP($B16,'[5]Analisys QBR By Machine Report'!$C$109:$BD$166,22,FALSE)</f>
        <v>7575</v>
      </c>
      <c r="AB16" s="10">
        <f ca="1">VLOOKUP($B16,'[5]Analisys QBR By Machine Report'!$C$109:$BD$166,23,FALSE)</f>
        <v>2455</v>
      </c>
      <c r="AC16" s="10">
        <f ca="1">VLOOKUP($B16,'[5]Analisys QBR By Machine Report'!$C$109:$BD$166,24,FALSE)</f>
        <v>2910</v>
      </c>
      <c r="AD16" s="10">
        <f ca="1">VLOOKUP($B16,'[5]Analisys QBR By Machine Report'!$C$109:$BD$166,25,FALSE)</f>
        <v>0</v>
      </c>
      <c r="AE16" s="10">
        <f ca="1">VLOOKUP($B16,'[5]Analisys QBR By Machine Report'!$C$109:$BD$166,26,FALSE)</f>
        <v>935</v>
      </c>
      <c r="AF16" s="10">
        <f ca="1">VLOOKUP($B16,'[5]Analisys QBR By Machine Report'!$C$109:$BD$166,27,FALSE)</f>
        <v>525</v>
      </c>
      <c r="AG16" s="10">
        <f ca="1">VLOOKUP($B16,'[5]Analisys QBR By Machine Report'!$C$109:$BD$166,28,FALSE)</f>
        <v>0</v>
      </c>
      <c r="AH16" s="10">
        <f ca="1">VLOOKUP($B16,'[5]Analisys QBR By Machine Report'!$C$109:$BD$166,29,FALSE)</f>
        <v>525</v>
      </c>
      <c r="AI16" s="10">
        <f ca="1">VLOOKUP($B16,'[5]Analisys QBR By Machine Report'!$C$109:$BD$166,30,FALSE)</f>
        <v>13170</v>
      </c>
      <c r="AJ16" s="10">
        <f ca="1">VLOOKUP($B16,'[5]Analisys QBR By Machine Report'!$C$109:$BD$166,31,FALSE)</f>
        <v>0</v>
      </c>
      <c r="AK16" s="10">
        <f ca="1">VLOOKUP($B16,'[5]Analisys QBR By Machine Report'!$C$109:$BD$166,32,FALSE)</f>
        <v>0</v>
      </c>
      <c r="AL16" s="10">
        <f ca="1">VLOOKUP($B16,'[5]Analisys QBR By Machine Report'!$C$109:$BD$166,33,FALSE)</f>
        <v>3540</v>
      </c>
      <c r="AM16" s="10">
        <f ca="1">VLOOKUP($B16,'[5]Analisys QBR By Machine Report'!$C$109:$BD$166,34,FALSE)</f>
        <v>0</v>
      </c>
      <c r="AN16" s="10">
        <f ca="1">VLOOKUP($B16,'[5]Analisys QBR By Machine Report'!$C$109:$BD$166,35,FALSE)</f>
        <v>3450</v>
      </c>
      <c r="AO16" s="10">
        <f ca="1">VLOOKUP($B16,'[5]Analisys QBR By Machine Report'!$C$109:$BD$166,36,FALSE)</f>
        <v>2100</v>
      </c>
      <c r="AP16" s="10">
        <f ca="1">VLOOKUP($B16,'[5]Analisys QBR By Machine Report'!$C$109:$BD$166,37,FALSE)</f>
        <v>0</v>
      </c>
      <c r="AQ16" s="10">
        <f ca="1">VLOOKUP($B16,'[5]Analisys QBR By Machine Report'!$C$109:$BD$166,38,FALSE)</f>
        <v>0</v>
      </c>
      <c r="AR16" s="10">
        <f ca="1">VLOOKUP($B16,'[5]Analisys QBR By Machine Report'!$C$109:$BD$166,39,FALSE)</f>
        <v>0</v>
      </c>
      <c r="AS16" s="10">
        <f ca="1">VLOOKUP($B16,'[5]Analisys QBR By Machine Report'!$C$109:$BD$166,40,FALSE)</f>
        <v>2135</v>
      </c>
      <c r="AT16" s="10">
        <f ca="1">VLOOKUP($B16,'[5]Analisys QBR By Machine Report'!$C$109:$BD$166,41,FALSE)</f>
        <v>0</v>
      </c>
      <c r="AU16" s="10">
        <f ca="1">VLOOKUP($B16,'[5]Analisys QBR By Machine Report'!$C$109:$BD$166,42,FALSE)</f>
        <v>0</v>
      </c>
      <c r="AV16" s="10">
        <f ca="1">VLOOKUP($B16,'[5]Analisys QBR By Machine Report'!$C$109:$BD$166,43,FALSE)</f>
        <v>0</v>
      </c>
      <c r="AW16" s="10">
        <f ca="1">VLOOKUP($B16,'[5]Analisys QBR By Machine Report'!$C$109:$BD$166,44,FALSE)</f>
        <v>0</v>
      </c>
      <c r="AX16" s="10">
        <f ca="1">VLOOKUP($B16,'[5]Analisys QBR By Machine Report'!$C$109:$BD$166,45,FALSE)</f>
        <v>0</v>
      </c>
      <c r="AY16" s="10">
        <f ca="1">VLOOKUP($B16,'[5]Analisys QBR By Machine Report'!$C$109:$BD$166,46,FALSE)</f>
        <v>0</v>
      </c>
      <c r="AZ16" s="10">
        <f ca="1">VLOOKUP($B16,'[5]Analisys QBR By Machine Report'!$C$109:$BD$166,47,FALSE)</f>
        <v>1830</v>
      </c>
      <c r="BA16" s="10">
        <f ca="1">VLOOKUP($B16,'[5]Analisys QBR By Machine Report'!$C$109:$BD$166,48,FALSE)</f>
        <v>115</v>
      </c>
      <c r="BB16" s="10">
        <f ca="1">VLOOKUP($B16,'[5]Analisys QBR By Machine Report'!$C$109:$BD$166,49,FALSE)</f>
        <v>0</v>
      </c>
      <c r="BC16" s="10">
        <f ca="1">VLOOKUP($B16,'[5]Analisys QBR By Machine Report'!$C$109:$BD$166,50,FALSE)</f>
        <v>0</v>
      </c>
      <c r="BD16" s="10">
        <f ca="1">VLOOKUP($B16,'[5]Analisys QBR By Machine Report'!$C$109:$BD$166,51,FALSE)</f>
        <v>12668220</v>
      </c>
      <c r="BE16" s="10">
        <f ca="1">VLOOKUP($B16,'[5]Analisys QBR By Machine Report'!$C$109:$BD$166,52,FALSE)</f>
        <v>70160</v>
      </c>
      <c r="BF16" s="10">
        <f ca="1">VLOOKUP($B16,'[5]Analisys QBR By Machine Report'!$C$109:$BD$166,53,FALSE)</f>
        <v>12598060</v>
      </c>
    </row>
    <row r="17" spans="1:58" x14ac:dyDescent="0.25">
      <c r="A17" s="12" t="s">
        <v>73</v>
      </c>
      <c r="B17" s="13">
        <f ca="1">VLOOKUP($B17,'[5]Analisys QBR By Machine Report'!$C$109:$BD$166,2,FALSE)</f>
        <v>28800</v>
      </c>
      <c r="C17" s="14">
        <f ca="1">VLOOKUP($B17,[5]Dasboard_QBR_Report!$B$109:$BL$166,3,FALSE)</f>
        <v>18600</v>
      </c>
      <c r="D17" s="13">
        <f ca="1">VLOOKUP($B17,'[5]Analisys QBR By Machine Report'!$C$109:$BD$166,3,FALSE)</f>
        <v>13020</v>
      </c>
      <c r="E17" s="14">
        <f ca="1">VLOOKUP($B17,[5]Dasboard_QBR_Report!$B$109:$BL$166,5,FALSE)</f>
        <v>2820</v>
      </c>
      <c r="F17" s="13">
        <f t="shared" ca="1" si="0"/>
        <v>15780</v>
      </c>
      <c r="G17" s="13">
        <f t="shared" ca="1" si="1"/>
        <v>0</v>
      </c>
      <c r="H17" s="13">
        <f ca="1">VLOOKUP($B17,'[5]Analisys QBR By Machine Report'!$C$109:$BD$166,4,FALSE)</f>
        <v>0</v>
      </c>
      <c r="I17" s="13">
        <f ca="1">VLOOKUP($B17,'[5]Analisys QBR By Machine Report'!$C$109:$BD$166,5,FALSE)</f>
        <v>0</v>
      </c>
      <c r="J17" s="13">
        <f ca="1">VLOOKUP($B17,'[5]Analisys QBR By Machine Report'!$C$109:$BD$166,6,FALSE)</f>
        <v>0</v>
      </c>
      <c r="K17" s="13">
        <f ca="1">VLOOKUP($B17,'[5]Analisys QBR By Machine Report'!$C$109:$BD$166,7,FALSE)</f>
        <v>0</v>
      </c>
      <c r="L17" s="13">
        <f ca="1">VLOOKUP($B17,'[5]Analisys QBR By Machine Report'!$C$109:$BD$166,8,FALSE)</f>
        <v>15780</v>
      </c>
      <c r="M17" s="13">
        <f ca="1">VLOOKUP($B17,'[5]Analisys QBR By Machine Report'!$C$109:$BD$166,9,FALSE)</f>
        <v>5710</v>
      </c>
      <c r="N17" s="13">
        <f ca="1">VLOOKUP($B17,[5]Dasboard_QBR_Report!$B$109:$BL$166,18,FALSE)</f>
        <v>10070</v>
      </c>
      <c r="O17" s="13">
        <f ca="1">VLOOKUP($B17,'[5]Analisys QBR By Machine Report'!$C$109:$BD$166,10,FALSE)</f>
        <v>2500</v>
      </c>
      <c r="P17" s="13">
        <f ca="1">VLOOKUP($B17,'[5]Analisys QBR By Machine Report'!$C$109:$BD$166,11,FALSE)</f>
        <v>840</v>
      </c>
      <c r="Q17" s="13">
        <f ca="1">VLOOKUP($B17,'[5]Analisys QBR By Machine Report'!$C$109:$BD$166,12,FALSE)</f>
        <v>0</v>
      </c>
      <c r="R17" s="13">
        <f ca="1">VLOOKUP($B17,'[5]Analisys QBR By Machine Report'!$C$109:$BD$166,13,FALSE)</f>
        <v>1660</v>
      </c>
      <c r="S17" s="13">
        <f ca="1">VLOOKUP($B17,'[5]Analisys QBR By Machine Report'!$C$109:$BD$166,14,FALSE)</f>
        <v>0</v>
      </c>
      <c r="T17" s="13">
        <f ca="1">VLOOKUP($B17,'[5]Analisys QBR By Machine Report'!$C$109:$BD$166,15,FALSE)</f>
        <v>790</v>
      </c>
      <c r="U17" s="13">
        <f ca="1">VLOOKUP($B17,'[5]Analisys QBR By Machine Report'!$C$109:$BD$166,16,FALSE)</f>
        <v>550</v>
      </c>
      <c r="V17" s="13">
        <f ca="1">VLOOKUP($B17,'[5]Analisys QBR By Machine Report'!$C$109:$BD$166,17,FALSE)</f>
        <v>240</v>
      </c>
      <c r="W17" s="13">
        <f ca="1">VLOOKUP($B17,'[5]Analisys QBR By Machine Report'!$C$109:$BD$166,18,FALSE)</f>
        <v>0</v>
      </c>
      <c r="X17" s="13">
        <f ca="1">VLOOKUP($B17,'[5]Analisys QBR By Machine Report'!$C$109:$BD$166,19,FALSE)</f>
        <v>0</v>
      </c>
      <c r="Y17" s="13">
        <f ca="1">VLOOKUP($B17,'[5]Analisys QBR By Machine Report'!$C$109:$BD$166,20,FALSE)</f>
        <v>0</v>
      </c>
      <c r="Z17" s="13">
        <f ca="1">VLOOKUP($B17,'[5]Analisys QBR By Machine Report'!$C$109:$BD$166,21,FALSE)</f>
        <v>3200</v>
      </c>
      <c r="AA17" s="13">
        <f ca="1">VLOOKUP($B17,'[5]Analisys QBR By Machine Report'!$C$109:$BD$166,22,FALSE)</f>
        <v>1575</v>
      </c>
      <c r="AB17" s="13">
        <f ca="1">VLOOKUP($B17,'[5]Analisys QBR By Machine Report'!$C$109:$BD$166,23,FALSE)</f>
        <v>675</v>
      </c>
      <c r="AC17" s="13">
        <f ca="1">VLOOKUP($B17,'[5]Analisys QBR By Machine Report'!$C$109:$BD$166,24,FALSE)</f>
        <v>710</v>
      </c>
      <c r="AD17" s="13">
        <f ca="1">VLOOKUP($B17,'[5]Analisys QBR By Machine Report'!$C$109:$BD$166,25,FALSE)</f>
        <v>0</v>
      </c>
      <c r="AE17" s="13">
        <f ca="1">VLOOKUP($B17,'[5]Analisys QBR By Machine Report'!$C$109:$BD$166,26,FALSE)</f>
        <v>240</v>
      </c>
      <c r="AF17" s="13">
        <f ca="1">VLOOKUP($B17,'[5]Analisys QBR By Machine Report'!$C$109:$BD$166,27,FALSE)</f>
        <v>0</v>
      </c>
      <c r="AG17" s="13">
        <f ca="1">VLOOKUP($B17,'[5]Analisys QBR By Machine Report'!$C$109:$BD$166,28,FALSE)</f>
        <v>0</v>
      </c>
      <c r="AH17" s="13">
        <f ca="1">VLOOKUP($B17,'[5]Analisys QBR By Machine Report'!$C$109:$BD$166,29,FALSE)</f>
        <v>0</v>
      </c>
      <c r="AI17" s="13">
        <f ca="1">VLOOKUP($B17,'[5]Analisys QBR By Machine Report'!$C$109:$BD$166,30,FALSE)</f>
        <v>3580</v>
      </c>
      <c r="AJ17" s="13">
        <f ca="1">VLOOKUP($B17,'[5]Analisys QBR By Machine Report'!$C$109:$BD$166,31,FALSE)</f>
        <v>0</v>
      </c>
      <c r="AK17" s="13">
        <f ca="1">VLOOKUP($B17,'[5]Analisys QBR By Machine Report'!$C$109:$BD$166,32,FALSE)</f>
        <v>0</v>
      </c>
      <c r="AL17" s="13">
        <f ca="1">VLOOKUP($B17,'[5]Analisys QBR By Machine Report'!$C$109:$BD$166,33,FALSE)</f>
        <v>990</v>
      </c>
      <c r="AM17" s="13">
        <f ca="1">VLOOKUP($B17,'[5]Analisys QBR By Machine Report'!$C$109:$BD$166,34,FALSE)</f>
        <v>0</v>
      </c>
      <c r="AN17" s="13">
        <f ca="1">VLOOKUP($B17,'[5]Analisys QBR By Machine Report'!$C$109:$BD$166,35,FALSE)</f>
        <v>1070</v>
      </c>
      <c r="AO17" s="13">
        <f ca="1">VLOOKUP($B17,'[5]Analisys QBR By Machine Report'!$C$109:$BD$166,36,FALSE)</f>
        <v>495</v>
      </c>
      <c r="AP17" s="13">
        <f ca="1">VLOOKUP($B17,'[5]Analisys QBR By Machine Report'!$C$109:$BD$166,37,FALSE)</f>
        <v>0</v>
      </c>
      <c r="AQ17" s="13">
        <f ca="1">VLOOKUP($B17,'[5]Analisys QBR By Machine Report'!$C$109:$BD$166,38,FALSE)</f>
        <v>0</v>
      </c>
      <c r="AR17" s="13">
        <f ca="1">VLOOKUP($B17,'[5]Analisys QBR By Machine Report'!$C$109:$BD$166,39,FALSE)</f>
        <v>0</v>
      </c>
      <c r="AS17" s="13">
        <f ca="1">VLOOKUP($B17,'[5]Analisys QBR By Machine Report'!$C$109:$BD$166,40,FALSE)</f>
        <v>520</v>
      </c>
      <c r="AT17" s="13">
        <f ca="1">VLOOKUP($B17,'[5]Analisys QBR By Machine Report'!$C$109:$BD$166,41,FALSE)</f>
        <v>0</v>
      </c>
      <c r="AU17" s="13">
        <f ca="1">VLOOKUP($B17,'[5]Analisys QBR By Machine Report'!$C$109:$BD$166,42,FALSE)</f>
        <v>0</v>
      </c>
      <c r="AV17" s="13">
        <f ca="1">VLOOKUP($B17,'[5]Analisys QBR By Machine Report'!$C$109:$BD$166,43,FALSE)</f>
        <v>0</v>
      </c>
      <c r="AW17" s="13">
        <f ca="1">VLOOKUP($B17,'[5]Analisys QBR By Machine Report'!$C$109:$BD$166,44,FALSE)</f>
        <v>0</v>
      </c>
      <c r="AX17" s="13">
        <f ca="1">VLOOKUP($B17,'[5]Analisys QBR By Machine Report'!$C$109:$BD$166,45,FALSE)</f>
        <v>0</v>
      </c>
      <c r="AY17" s="13">
        <f ca="1">VLOOKUP($B17,'[5]Analisys QBR By Machine Report'!$C$109:$BD$166,46,FALSE)</f>
        <v>0</v>
      </c>
      <c r="AZ17" s="13">
        <f ca="1">VLOOKUP($B17,'[5]Analisys QBR By Machine Report'!$C$109:$BD$166,47,FALSE)</f>
        <v>390</v>
      </c>
      <c r="BA17" s="13">
        <f ca="1">VLOOKUP($B17,'[5]Analisys QBR By Machine Report'!$C$109:$BD$166,48,FALSE)</f>
        <v>115</v>
      </c>
      <c r="BB17" s="13">
        <f ca="1">VLOOKUP($B17,'[5]Analisys QBR By Machine Report'!$C$109:$BD$166,49,FALSE)</f>
        <v>0</v>
      </c>
      <c r="BC17" s="13">
        <f ca="1">VLOOKUP($B17,'[5]Analisys QBR By Machine Report'!$C$109:$BD$166,50,FALSE)</f>
        <v>0</v>
      </c>
      <c r="BD17" s="13">
        <f ca="1">VLOOKUP($B17,'[5]Analisys QBR By Machine Report'!$C$109:$BD$166,51,FALSE)</f>
        <v>4317673</v>
      </c>
      <c r="BE17" s="13">
        <f ca="1">VLOOKUP($B17,'[5]Analisys QBR By Machine Report'!$C$109:$BD$166,52,FALSE)</f>
        <v>22933</v>
      </c>
      <c r="BF17" s="13">
        <f ca="1">VLOOKUP($B17,'[5]Analisys QBR By Machine Report'!$C$109:$BD$166,53,FALSE)</f>
        <v>4294740</v>
      </c>
    </row>
    <row r="18" spans="1:58" x14ac:dyDescent="0.25">
      <c r="A18" s="12" t="s">
        <v>74</v>
      </c>
      <c r="B18" s="13">
        <f ca="1">VLOOKUP($B18,'[5]Analisys QBR By Machine Report'!$C$109:$BD$166,2,FALSE)</f>
        <v>28800</v>
      </c>
      <c r="C18" s="14">
        <f ca="1">VLOOKUP($B18,[5]Dasboard_QBR_Report!$B$109:$BL$166,3,FALSE)</f>
        <v>18600</v>
      </c>
      <c r="D18" s="13">
        <f ca="1">VLOOKUP($B18,'[5]Analisys QBR By Machine Report'!$C$109:$BD$166,3,FALSE)</f>
        <v>14850</v>
      </c>
      <c r="E18" s="14">
        <f ca="1">VLOOKUP($B18,[5]Dasboard_QBR_Report!$B$109:$BL$166,5,FALSE)</f>
        <v>4650</v>
      </c>
      <c r="F18" s="13">
        <f t="shared" ca="1" si="0"/>
        <v>13950</v>
      </c>
      <c r="G18" s="13">
        <f t="shared" ca="1" si="1"/>
        <v>495</v>
      </c>
      <c r="H18" s="13">
        <f ca="1">VLOOKUP($B18,'[5]Analisys QBR By Machine Report'!$C$109:$BD$166,4,FALSE)</f>
        <v>495</v>
      </c>
      <c r="I18" s="13">
        <f ca="1">VLOOKUP($B18,'[5]Analisys QBR By Machine Report'!$C$109:$BD$166,5,FALSE)</f>
        <v>0</v>
      </c>
      <c r="J18" s="13">
        <f ca="1">VLOOKUP($B18,'[5]Analisys QBR By Machine Report'!$C$109:$BD$166,6,FALSE)</f>
        <v>495</v>
      </c>
      <c r="K18" s="13">
        <f ca="1">VLOOKUP($B18,'[5]Analisys QBR By Machine Report'!$C$109:$BD$166,7,FALSE)</f>
        <v>0</v>
      </c>
      <c r="L18" s="13">
        <f ca="1">VLOOKUP($B18,'[5]Analisys QBR By Machine Report'!$C$109:$BD$166,8,FALSE)</f>
        <v>13455</v>
      </c>
      <c r="M18" s="13">
        <f ca="1">VLOOKUP($B18,'[5]Analisys QBR By Machine Report'!$C$109:$BD$166,9,FALSE)</f>
        <v>4195</v>
      </c>
      <c r="N18" s="13">
        <f ca="1">VLOOKUP($B18,[5]Dasboard_QBR_Report!$B$109:$BL$166,18,FALSE)</f>
        <v>9260</v>
      </c>
      <c r="O18" s="13">
        <f ca="1">VLOOKUP($B18,'[5]Analisys QBR By Machine Report'!$C$109:$BD$166,10,FALSE)</f>
        <v>2125</v>
      </c>
      <c r="P18" s="13">
        <f ca="1">VLOOKUP($B18,'[5]Analisys QBR By Machine Report'!$C$109:$BD$166,11,FALSE)</f>
        <v>1510</v>
      </c>
      <c r="Q18" s="13">
        <f ca="1">VLOOKUP($B18,'[5]Analisys QBR By Machine Report'!$C$109:$BD$166,12,FALSE)</f>
        <v>0</v>
      </c>
      <c r="R18" s="13">
        <f ca="1">VLOOKUP($B18,'[5]Analisys QBR By Machine Report'!$C$109:$BD$166,13,FALSE)</f>
        <v>615</v>
      </c>
      <c r="S18" s="13">
        <f ca="1">VLOOKUP($B18,'[5]Analisys QBR By Machine Report'!$C$109:$BD$166,14,FALSE)</f>
        <v>0</v>
      </c>
      <c r="T18" s="13">
        <f ca="1">VLOOKUP($B18,'[5]Analisys QBR By Machine Report'!$C$109:$BD$166,15,FALSE)</f>
        <v>30</v>
      </c>
      <c r="U18" s="13">
        <f ca="1">VLOOKUP($B18,'[5]Analisys QBR By Machine Report'!$C$109:$BD$166,16,FALSE)</f>
        <v>0</v>
      </c>
      <c r="V18" s="13">
        <f ca="1">VLOOKUP($B18,'[5]Analisys QBR By Machine Report'!$C$109:$BD$166,17,FALSE)</f>
        <v>0</v>
      </c>
      <c r="W18" s="13">
        <f ca="1">VLOOKUP($B18,'[5]Analisys QBR By Machine Report'!$C$109:$BD$166,18,FALSE)</f>
        <v>0</v>
      </c>
      <c r="X18" s="13">
        <f ca="1">VLOOKUP($B18,'[5]Analisys QBR By Machine Report'!$C$109:$BD$166,19,FALSE)</f>
        <v>0</v>
      </c>
      <c r="Y18" s="13">
        <f ca="1">VLOOKUP($B18,'[5]Analisys QBR By Machine Report'!$C$109:$BD$166,20,FALSE)</f>
        <v>30</v>
      </c>
      <c r="Z18" s="13">
        <f ca="1">VLOOKUP($B18,'[5]Analisys QBR By Machine Report'!$C$109:$BD$166,21,FALSE)</f>
        <v>3165</v>
      </c>
      <c r="AA18" s="13">
        <f ca="1">VLOOKUP($B18,'[5]Analisys QBR By Machine Report'!$C$109:$BD$166,22,FALSE)</f>
        <v>1375</v>
      </c>
      <c r="AB18" s="13">
        <f ca="1">VLOOKUP($B18,'[5]Analisys QBR By Machine Report'!$C$109:$BD$166,23,FALSE)</f>
        <v>920</v>
      </c>
      <c r="AC18" s="13">
        <f ca="1">VLOOKUP($B18,'[5]Analisys QBR By Machine Report'!$C$109:$BD$166,24,FALSE)</f>
        <v>700</v>
      </c>
      <c r="AD18" s="13">
        <f ca="1">VLOOKUP($B18,'[5]Analisys QBR By Machine Report'!$C$109:$BD$166,25,FALSE)</f>
        <v>0</v>
      </c>
      <c r="AE18" s="13">
        <f ca="1">VLOOKUP($B18,'[5]Analisys QBR By Machine Report'!$C$109:$BD$166,26,FALSE)</f>
        <v>170</v>
      </c>
      <c r="AF18" s="13">
        <f ca="1">VLOOKUP($B18,'[5]Analisys QBR By Machine Report'!$C$109:$BD$166,27,FALSE)</f>
        <v>525</v>
      </c>
      <c r="AG18" s="13">
        <f ca="1">VLOOKUP($B18,'[5]Analisys QBR By Machine Report'!$C$109:$BD$166,28,FALSE)</f>
        <v>0</v>
      </c>
      <c r="AH18" s="13">
        <f ca="1">VLOOKUP($B18,'[5]Analisys QBR By Machine Report'!$C$109:$BD$166,29,FALSE)</f>
        <v>525</v>
      </c>
      <c r="AI18" s="13">
        <f ca="1">VLOOKUP($B18,'[5]Analisys QBR By Machine Report'!$C$109:$BD$166,30,FALSE)</f>
        <v>3415</v>
      </c>
      <c r="AJ18" s="13">
        <f ca="1">VLOOKUP($B18,'[5]Analisys QBR By Machine Report'!$C$109:$BD$166,31,FALSE)</f>
        <v>0</v>
      </c>
      <c r="AK18" s="13">
        <f ca="1">VLOOKUP($B18,'[5]Analisys QBR By Machine Report'!$C$109:$BD$166,32,FALSE)</f>
        <v>0</v>
      </c>
      <c r="AL18" s="13">
        <f ca="1">VLOOKUP($B18,'[5]Analisys QBR By Machine Report'!$C$109:$BD$166,33,FALSE)</f>
        <v>780</v>
      </c>
      <c r="AM18" s="13">
        <f ca="1">VLOOKUP($B18,'[5]Analisys QBR By Machine Report'!$C$109:$BD$166,34,FALSE)</f>
        <v>0</v>
      </c>
      <c r="AN18" s="13">
        <f ca="1">VLOOKUP($B18,'[5]Analisys QBR By Machine Report'!$C$109:$BD$166,35,FALSE)</f>
        <v>800</v>
      </c>
      <c r="AO18" s="13">
        <f ca="1">VLOOKUP($B18,'[5]Analisys QBR By Machine Report'!$C$109:$BD$166,36,FALSE)</f>
        <v>645</v>
      </c>
      <c r="AP18" s="13">
        <f ca="1">VLOOKUP($B18,'[5]Analisys QBR By Machine Report'!$C$109:$BD$166,37,FALSE)</f>
        <v>0</v>
      </c>
      <c r="AQ18" s="13">
        <f ca="1">VLOOKUP($B18,'[5]Analisys QBR By Machine Report'!$C$109:$BD$166,38,FALSE)</f>
        <v>0</v>
      </c>
      <c r="AR18" s="13">
        <f ca="1">VLOOKUP($B18,'[5]Analisys QBR By Machine Report'!$C$109:$BD$166,39,FALSE)</f>
        <v>0</v>
      </c>
      <c r="AS18" s="13">
        <f ca="1">VLOOKUP($B18,'[5]Analisys QBR By Machine Report'!$C$109:$BD$166,40,FALSE)</f>
        <v>590</v>
      </c>
      <c r="AT18" s="13">
        <f ca="1">VLOOKUP($B18,'[5]Analisys QBR By Machine Report'!$C$109:$BD$166,41,FALSE)</f>
        <v>0</v>
      </c>
      <c r="AU18" s="13">
        <f ca="1">VLOOKUP($B18,'[5]Analisys QBR By Machine Report'!$C$109:$BD$166,42,FALSE)</f>
        <v>0</v>
      </c>
      <c r="AV18" s="13">
        <f ca="1">VLOOKUP($B18,'[5]Analisys QBR By Machine Report'!$C$109:$BD$166,43,FALSE)</f>
        <v>0</v>
      </c>
      <c r="AW18" s="13">
        <f ca="1">VLOOKUP($B18,'[5]Analisys QBR By Machine Report'!$C$109:$BD$166,44,FALSE)</f>
        <v>0</v>
      </c>
      <c r="AX18" s="13">
        <f ca="1">VLOOKUP($B18,'[5]Analisys QBR By Machine Report'!$C$109:$BD$166,45,FALSE)</f>
        <v>0</v>
      </c>
      <c r="AY18" s="13">
        <f ca="1">VLOOKUP($B18,'[5]Analisys QBR By Machine Report'!$C$109:$BD$166,46,FALSE)</f>
        <v>0</v>
      </c>
      <c r="AZ18" s="13">
        <f ca="1">VLOOKUP($B18,'[5]Analisys QBR By Machine Report'!$C$109:$BD$166,47,FALSE)</f>
        <v>600</v>
      </c>
      <c r="BA18" s="13">
        <f ca="1">VLOOKUP($B18,'[5]Analisys QBR By Machine Report'!$C$109:$BD$166,48,FALSE)</f>
        <v>0</v>
      </c>
      <c r="BB18" s="13">
        <f ca="1">VLOOKUP($B18,'[5]Analisys QBR By Machine Report'!$C$109:$BD$166,49,FALSE)</f>
        <v>0</v>
      </c>
      <c r="BC18" s="13">
        <f ca="1">VLOOKUP($B18,'[5]Analisys QBR By Machine Report'!$C$109:$BD$166,50,FALSE)</f>
        <v>0</v>
      </c>
      <c r="BD18" s="13">
        <f ca="1">VLOOKUP($B18,'[5]Analisys QBR By Machine Report'!$C$109:$BD$166,51,FALSE)</f>
        <v>5429383</v>
      </c>
      <c r="BE18" s="13">
        <f ca="1">VLOOKUP($B18,'[5]Analisys QBR By Machine Report'!$C$109:$BD$166,52,FALSE)</f>
        <v>18675</v>
      </c>
      <c r="BF18" s="13">
        <f ca="1">VLOOKUP($B18,'[5]Analisys QBR By Machine Report'!$C$109:$BD$166,53,FALSE)</f>
        <v>5410708</v>
      </c>
    </row>
    <row r="19" spans="1:58" x14ac:dyDescent="0.25">
      <c r="A19" s="12" t="s">
        <v>75</v>
      </c>
      <c r="B19" s="13">
        <f ca="1">VLOOKUP($B19,'[5]Analisys QBR By Machine Report'!$C$109:$BD$166,2,FALSE)</f>
        <v>27360</v>
      </c>
      <c r="C19" s="14">
        <f ca="1">VLOOKUP($B19,[5]Dasboard_QBR_Report!$B$109:$BL$166,3,FALSE)</f>
        <v>9120</v>
      </c>
      <c r="D19" s="13">
        <f ca="1">VLOOKUP($B19,'[5]Analisys QBR By Machine Report'!$C$109:$BD$166,3,FALSE)</f>
        <v>14730</v>
      </c>
      <c r="E19" s="14">
        <f ca="1">VLOOKUP($B19,[5]Dasboard_QBR_Report!$B$109:$BL$166,5,FALSE)</f>
        <v>-3510</v>
      </c>
      <c r="F19" s="13">
        <f t="shared" ca="1" si="0"/>
        <v>12630</v>
      </c>
      <c r="G19" s="13">
        <f t="shared" ca="1" si="1"/>
        <v>695</v>
      </c>
      <c r="H19" s="13">
        <f ca="1">VLOOKUP($B19,'[5]Analisys QBR By Machine Report'!$C$109:$BD$166,4,FALSE)</f>
        <v>695</v>
      </c>
      <c r="I19" s="13">
        <f ca="1">VLOOKUP($B19,'[5]Analisys QBR By Machine Report'!$C$109:$BD$166,5,FALSE)</f>
        <v>0</v>
      </c>
      <c r="J19" s="13">
        <f ca="1">VLOOKUP($B19,'[5]Analisys QBR By Machine Report'!$C$109:$BD$166,6,FALSE)</f>
        <v>695</v>
      </c>
      <c r="K19" s="13">
        <f ca="1">VLOOKUP($B19,'[5]Analisys QBR By Machine Report'!$C$109:$BD$166,7,FALSE)</f>
        <v>0</v>
      </c>
      <c r="L19" s="13">
        <f ca="1">VLOOKUP($B19,'[5]Analisys QBR By Machine Report'!$C$109:$BD$166,8,FALSE)</f>
        <v>11935</v>
      </c>
      <c r="M19" s="13">
        <f ca="1">VLOOKUP($B19,'[5]Analisys QBR By Machine Report'!$C$109:$BD$166,9,FALSE)</f>
        <v>3845</v>
      </c>
      <c r="N19" s="13">
        <f ca="1">VLOOKUP($B19,[5]Dasboard_QBR_Report!$B$109:$BL$166,18,FALSE)</f>
        <v>8090</v>
      </c>
      <c r="O19" s="13">
        <f ca="1">VLOOKUP($B19,'[5]Analisys QBR By Machine Report'!$C$109:$BD$166,10,FALSE)</f>
        <v>2515</v>
      </c>
      <c r="P19" s="13">
        <f ca="1">VLOOKUP($B19,'[5]Analisys QBR By Machine Report'!$C$109:$BD$166,11,FALSE)</f>
        <v>1495</v>
      </c>
      <c r="Q19" s="13">
        <f ca="1">VLOOKUP($B19,'[5]Analisys QBR By Machine Report'!$C$109:$BD$166,12,FALSE)</f>
        <v>0</v>
      </c>
      <c r="R19" s="13">
        <f ca="1">VLOOKUP($B19,'[5]Analisys QBR By Machine Report'!$C$109:$BD$166,13,FALSE)</f>
        <v>1020</v>
      </c>
      <c r="S19" s="13">
        <f ca="1">VLOOKUP($B19,'[5]Analisys QBR By Machine Report'!$C$109:$BD$166,14,FALSE)</f>
        <v>0</v>
      </c>
      <c r="T19" s="13">
        <f ca="1">VLOOKUP($B19,'[5]Analisys QBR By Machine Report'!$C$109:$BD$166,15,FALSE)</f>
        <v>0</v>
      </c>
      <c r="U19" s="13">
        <f ca="1">VLOOKUP($B19,'[5]Analisys QBR By Machine Report'!$C$109:$BD$166,16,FALSE)</f>
        <v>0</v>
      </c>
      <c r="V19" s="13">
        <f ca="1">VLOOKUP($B19,'[5]Analisys QBR By Machine Report'!$C$109:$BD$166,17,FALSE)</f>
        <v>0</v>
      </c>
      <c r="W19" s="13">
        <f ca="1">VLOOKUP($B19,'[5]Analisys QBR By Machine Report'!$C$109:$BD$166,18,FALSE)</f>
        <v>0</v>
      </c>
      <c r="X19" s="13">
        <f ca="1">VLOOKUP($B19,'[5]Analisys QBR By Machine Report'!$C$109:$BD$166,19,FALSE)</f>
        <v>0</v>
      </c>
      <c r="Y19" s="13">
        <f ca="1">VLOOKUP($B19,'[5]Analisys QBR By Machine Report'!$C$109:$BD$166,20,FALSE)</f>
        <v>0</v>
      </c>
      <c r="Z19" s="13">
        <f ca="1">VLOOKUP($B19,'[5]Analisys QBR By Machine Report'!$C$109:$BD$166,21,FALSE)</f>
        <v>2915</v>
      </c>
      <c r="AA19" s="13">
        <f ca="1">VLOOKUP($B19,'[5]Analisys QBR By Machine Report'!$C$109:$BD$166,22,FALSE)</f>
        <v>1780</v>
      </c>
      <c r="AB19" s="13">
        <f ca="1">VLOOKUP($B19,'[5]Analisys QBR By Machine Report'!$C$109:$BD$166,23,FALSE)</f>
        <v>385</v>
      </c>
      <c r="AC19" s="13">
        <f ca="1">VLOOKUP($B19,'[5]Analisys QBR By Machine Report'!$C$109:$BD$166,24,FALSE)</f>
        <v>570</v>
      </c>
      <c r="AD19" s="13">
        <f ca="1">VLOOKUP($B19,'[5]Analisys QBR By Machine Report'!$C$109:$BD$166,25,FALSE)</f>
        <v>0</v>
      </c>
      <c r="AE19" s="13">
        <f ca="1">VLOOKUP($B19,'[5]Analisys QBR By Machine Report'!$C$109:$BD$166,26,FALSE)</f>
        <v>180</v>
      </c>
      <c r="AF19" s="13">
        <f ca="1">VLOOKUP($B19,'[5]Analisys QBR By Machine Report'!$C$109:$BD$166,27,FALSE)</f>
        <v>0</v>
      </c>
      <c r="AG19" s="13">
        <f ca="1">VLOOKUP($B19,'[5]Analisys QBR By Machine Report'!$C$109:$BD$166,28,FALSE)</f>
        <v>0</v>
      </c>
      <c r="AH19" s="13">
        <f ca="1">VLOOKUP($B19,'[5]Analisys QBR By Machine Report'!$C$109:$BD$166,29,FALSE)</f>
        <v>0</v>
      </c>
      <c r="AI19" s="13">
        <f ca="1">VLOOKUP($B19,'[5]Analisys QBR By Machine Report'!$C$109:$BD$166,30,FALSE)</f>
        <v>2660</v>
      </c>
      <c r="AJ19" s="13">
        <f ca="1">VLOOKUP($B19,'[5]Analisys QBR By Machine Report'!$C$109:$BD$166,31,FALSE)</f>
        <v>0</v>
      </c>
      <c r="AK19" s="13">
        <f ca="1">VLOOKUP($B19,'[5]Analisys QBR By Machine Report'!$C$109:$BD$166,32,FALSE)</f>
        <v>0</v>
      </c>
      <c r="AL19" s="13">
        <f ca="1">VLOOKUP($B19,'[5]Analisys QBR By Machine Report'!$C$109:$BD$166,33,FALSE)</f>
        <v>750</v>
      </c>
      <c r="AM19" s="13">
        <f ca="1">VLOOKUP($B19,'[5]Analisys QBR By Machine Report'!$C$109:$BD$166,34,FALSE)</f>
        <v>0</v>
      </c>
      <c r="AN19" s="13">
        <f ca="1">VLOOKUP($B19,'[5]Analisys QBR By Machine Report'!$C$109:$BD$166,35,FALSE)</f>
        <v>695</v>
      </c>
      <c r="AO19" s="13">
        <f ca="1">VLOOKUP($B19,'[5]Analisys QBR By Machine Report'!$C$109:$BD$166,36,FALSE)</f>
        <v>365</v>
      </c>
      <c r="AP19" s="13">
        <f ca="1">VLOOKUP($B19,'[5]Analisys QBR By Machine Report'!$C$109:$BD$166,37,FALSE)</f>
        <v>0</v>
      </c>
      <c r="AQ19" s="13">
        <f ca="1">VLOOKUP($B19,'[5]Analisys QBR By Machine Report'!$C$109:$BD$166,38,FALSE)</f>
        <v>0</v>
      </c>
      <c r="AR19" s="13">
        <f ca="1">VLOOKUP($B19,'[5]Analisys QBR By Machine Report'!$C$109:$BD$166,39,FALSE)</f>
        <v>0</v>
      </c>
      <c r="AS19" s="13">
        <f ca="1">VLOOKUP($B19,'[5]Analisys QBR By Machine Report'!$C$109:$BD$166,40,FALSE)</f>
        <v>390</v>
      </c>
      <c r="AT19" s="13">
        <f ca="1">VLOOKUP($B19,'[5]Analisys QBR By Machine Report'!$C$109:$BD$166,41,FALSE)</f>
        <v>0</v>
      </c>
      <c r="AU19" s="13">
        <f ca="1">VLOOKUP($B19,'[5]Analisys QBR By Machine Report'!$C$109:$BD$166,42,FALSE)</f>
        <v>0</v>
      </c>
      <c r="AV19" s="13">
        <f ca="1">VLOOKUP($B19,'[5]Analisys QBR By Machine Report'!$C$109:$BD$166,43,FALSE)</f>
        <v>0</v>
      </c>
      <c r="AW19" s="13">
        <f ca="1">VLOOKUP($B19,'[5]Analisys QBR By Machine Report'!$C$109:$BD$166,44,FALSE)</f>
        <v>0</v>
      </c>
      <c r="AX19" s="13">
        <f ca="1">VLOOKUP($B19,'[5]Analisys QBR By Machine Report'!$C$109:$BD$166,45,FALSE)</f>
        <v>0</v>
      </c>
      <c r="AY19" s="13">
        <f ca="1">VLOOKUP($B19,'[5]Analisys QBR By Machine Report'!$C$109:$BD$166,46,FALSE)</f>
        <v>0</v>
      </c>
      <c r="AZ19" s="13">
        <f ca="1">VLOOKUP($B19,'[5]Analisys QBR By Machine Report'!$C$109:$BD$166,47,FALSE)</f>
        <v>460</v>
      </c>
      <c r="BA19" s="13">
        <f ca="1">VLOOKUP($B19,'[5]Analisys QBR By Machine Report'!$C$109:$BD$166,48,FALSE)</f>
        <v>0</v>
      </c>
      <c r="BB19" s="13">
        <f ca="1">VLOOKUP($B19,'[5]Analisys QBR By Machine Report'!$C$109:$BD$166,49,FALSE)</f>
        <v>0</v>
      </c>
      <c r="BC19" s="13">
        <f ca="1">VLOOKUP($B19,'[5]Analisys QBR By Machine Report'!$C$109:$BD$166,50,FALSE)</f>
        <v>0</v>
      </c>
      <c r="BD19" s="13">
        <f ca="1">VLOOKUP($B19,'[5]Analisys QBR By Machine Report'!$C$109:$BD$166,51,FALSE)</f>
        <v>1824750</v>
      </c>
      <c r="BE19" s="13">
        <f ca="1">VLOOKUP($B19,'[5]Analisys QBR By Machine Report'!$C$109:$BD$166,52,FALSE)</f>
        <v>9660</v>
      </c>
      <c r="BF19" s="13">
        <f ca="1">VLOOKUP($B19,'[5]Analisys QBR By Machine Report'!$C$109:$BD$166,53,FALSE)</f>
        <v>1815090</v>
      </c>
    </row>
    <row r="20" spans="1:58" x14ac:dyDescent="0.25">
      <c r="A20" s="12" t="s">
        <v>76</v>
      </c>
      <c r="B20" s="13">
        <f ca="1">VLOOKUP($B20,'[5]Analisys QBR By Machine Report'!$C$109:$BD$166,2,FALSE)</f>
        <v>27360</v>
      </c>
      <c r="C20" s="14">
        <f ca="1">VLOOKUP($B20,[5]Dasboard_QBR_Report!$B$109:$BL$166,3,FALSE)</f>
        <v>9120</v>
      </c>
      <c r="D20" s="13">
        <f ca="1">VLOOKUP($B20,'[5]Analisys QBR By Machine Report'!$C$109:$BD$166,3,FALSE)</f>
        <v>17730</v>
      </c>
      <c r="E20" s="14">
        <f ca="1">VLOOKUP($B20,[5]Dasboard_QBR_Report!$B$109:$BL$166,5,FALSE)</f>
        <v>-510</v>
      </c>
      <c r="F20" s="13">
        <f t="shared" ca="1" si="0"/>
        <v>9630</v>
      </c>
      <c r="G20" s="13">
        <f t="shared" ca="1" si="1"/>
        <v>425</v>
      </c>
      <c r="H20" s="13">
        <f ca="1">VLOOKUP($B20,'[5]Analisys QBR By Machine Report'!$C$109:$BD$166,4,FALSE)</f>
        <v>425</v>
      </c>
      <c r="I20" s="13">
        <f ca="1">VLOOKUP($B20,'[5]Analisys QBR By Machine Report'!$C$109:$BD$166,5,FALSE)</f>
        <v>95</v>
      </c>
      <c r="J20" s="13">
        <f ca="1">VLOOKUP($B20,'[5]Analisys QBR By Machine Report'!$C$109:$BD$166,6,FALSE)</f>
        <v>330</v>
      </c>
      <c r="K20" s="13">
        <f ca="1">VLOOKUP($B20,'[5]Analisys QBR By Machine Report'!$C$109:$BD$166,7,FALSE)</f>
        <v>0</v>
      </c>
      <c r="L20" s="13">
        <f ca="1">VLOOKUP($B20,'[5]Analisys QBR By Machine Report'!$C$109:$BD$166,8,FALSE)</f>
        <v>9205</v>
      </c>
      <c r="M20" s="13">
        <f ca="1">VLOOKUP($B20,'[5]Analisys QBR By Machine Report'!$C$109:$BD$166,9,FALSE)</f>
        <v>4655</v>
      </c>
      <c r="N20" s="13">
        <f ca="1">VLOOKUP($B20,[5]Dasboard_QBR_Report!$B$109:$BL$166,18,FALSE)</f>
        <v>4550</v>
      </c>
      <c r="O20" s="13">
        <f ca="1">VLOOKUP($B20,'[5]Analisys QBR By Machine Report'!$C$109:$BD$166,10,FALSE)</f>
        <v>155</v>
      </c>
      <c r="P20" s="13">
        <f ca="1">VLOOKUP($B20,'[5]Analisys QBR By Machine Report'!$C$109:$BD$166,11,FALSE)</f>
        <v>155</v>
      </c>
      <c r="Q20" s="13">
        <f ca="1">VLOOKUP($B20,'[5]Analisys QBR By Machine Report'!$C$109:$BD$166,12,FALSE)</f>
        <v>0</v>
      </c>
      <c r="R20" s="13">
        <f ca="1">VLOOKUP($B20,'[5]Analisys QBR By Machine Report'!$C$109:$BD$166,13,FALSE)</f>
        <v>0</v>
      </c>
      <c r="S20" s="13">
        <f ca="1">VLOOKUP($B20,'[5]Analisys QBR By Machine Report'!$C$109:$BD$166,14,FALSE)</f>
        <v>0</v>
      </c>
      <c r="T20" s="13">
        <f ca="1">VLOOKUP($B20,'[5]Analisys QBR By Machine Report'!$C$109:$BD$166,15,FALSE)</f>
        <v>0</v>
      </c>
      <c r="U20" s="13">
        <f ca="1">VLOOKUP($B20,'[5]Analisys QBR By Machine Report'!$C$109:$BD$166,16,FALSE)</f>
        <v>0</v>
      </c>
      <c r="V20" s="13">
        <f ca="1">VLOOKUP($B20,'[5]Analisys QBR By Machine Report'!$C$109:$BD$166,17,FALSE)</f>
        <v>0</v>
      </c>
      <c r="W20" s="13">
        <f ca="1">VLOOKUP($B20,'[5]Analisys QBR By Machine Report'!$C$109:$BD$166,18,FALSE)</f>
        <v>0</v>
      </c>
      <c r="X20" s="13">
        <f ca="1">VLOOKUP($B20,'[5]Analisys QBR By Machine Report'!$C$109:$BD$166,19,FALSE)</f>
        <v>0</v>
      </c>
      <c r="Y20" s="13">
        <f ca="1">VLOOKUP($B20,'[5]Analisys QBR By Machine Report'!$C$109:$BD$166,20,FALSE)</f>
        <v>0</v>
      </c>
      <c r="Z20" s="13">
        <f ca="1">VLOOKUP($B20,'[5]Analisys QBR By Machine Report'!$C$109:$BD$166,21,FALSE)</f>
        <v>2665</v>
      </c>
      <c r="AA20" s="13">
        <f ca="1">VLOOKUP($B20,'[5]Analisys QBR By Machine Report'!$C$109:$BD$166,22,FALSE)</f>
        <v>1625</v>
      </c>
      <c r="AB20" s="13">
        <f ca="1">VLOOKUP($B20,'[5]Analisys QBR By Machine Report'!$C$109:$BD$166,23,FALSE)</f>
        <v>275</v>
      </c>
      <c r="AC20" s="13">
        <f ca="1">VLOOKUP($B20,'[5]Analisys QBR By Machine Report'!$C$109:$BD$166,24,FALSE)</f>
        <v>555</v>
      </c>
      <c r="AD20" s="13">
        <f ca="1">VLOOKUP($B20,'[5]Analisys QBR By Machine Report'!$C$109:$BD$166,25,FALSE)</f>
        <v>0</v>
      </c>
      <c r="AE20" s="13">
        <f ca="1">VLOOKUP($B20,'[5]Analisys QBR By Machine Report'!$C$109:$BD$166,26,FALSE)</f>
        <v>210</v>
      </c>
      <c r="AF20" s="13">
        <f ca="1">VLOOKUP($B20,'[5]Analisys QBR By Machine Report'!$C$109:$BD$166,27,FALSE)</f>
        <v>0</v>
      </c>
      <c r="AG20" s="13">
        <f ca="1">VLOOKUP($B20,'[5]Analisys QBR By Machine Report'!$C$109:$BD$166,28,FALSE)</f>
        <v>0</v>
      </c>
      <c r="AH20" s="13">
        <f ca="1">VLOOKUP($B20,'[5]Analisys QBR By Machine Report'!$C$109:$BD$166,29,FALSE)</f>
        <v>0</v>
      </c>
      <c r="AI20" s="13">
        <f ca="1">VLOOKUP($B20,'[5]Analisys QBR By Machine Report'!$C$109:$BD$166,30,FALSE)</f>
        <v>1730</v>
      </c>
      <c r="AJ20" s="13">
        <f ca="1">VLOOKUP($B20,'[5]Analisys QBR By Machine Report'!$C$109:$BD$166,31,FALSE)</f>
        <v>0</v>
      </c>
      <c r="AK20" s="13">
        <f ca="1">VLOOKUP($B20,'[5]Analisys QBR By Machine Report'!$C$109:$BD$166,32,FALSE)</f>
        <v>0</v>
      </c>
      <c r="AL20" s="13">
        <f ca="1">VLOOKUP($B20,'[5]Analisys QBR By Machine Report'!$C$109:$BD$166,33,FALSE)</f>
        <v>540</v>
      </c>
      <c r="AM20" s="13">
        <f ca="1">VLOOKUP($B20,'[5]Analisys QBR By Machine Report'!$C$109:$BD$166,34,FALSE)</f>
        <v>0</v>
      </c>
      <c r="AN20" s="13">
        <f ca="1">VLOOKUP($B20,'[5]Analisys QBR By Machine Report'!$C$109:$BD$166,35,FALSE)</f>
        <v>360</v>
      </c>
      <c r="AO20" s="13">
        <f ca="1">VLOOKUP($B20,'[5]Analisys QBR By Machine Report'!$C$109:$BD$166,36,FALSE)</f>
        <v>400</v>
      </c>
      <c r="AP20" s="13">
        <f ca="1">VLOOKUP($B20,'[5]Analisys QBR By Machine Report'!$C$109:$BD$166,37,FALSE)</f>
        <v>0</v>
      </c>
      <c r="AQ20" s="13">
        <f ca="1">VLOOKUP($B20,'[5]Analisys QBR By Machine Report'!$C$109:$BD$166,38,FALSE)</f>
        <v>0</v>
      </c>
      <c r="AR20" s="13">
        <f ca="1">VLOOKUP($B20,'[5]Analisys QBR By Machine Report'!$C$109:$BD$166,39,FALSE)</f>
        <v>0</v>
      </c>
      <c r="AS20" s="13">
        <f ca="1">VLOOKUP($B20,'[5]Analisys QBR By Machine Report'!$C$109:$BD$166,40,FALSE)</f>
        <v>340</v>
      </c>
      <c r="AT20" s="13">
        <f ca="1">VLOOKUP($B20,'[5]Analisys QBR By Machine Report'!$C$109:$BD$166,41,FALSE)</f>
        <v>0</v>
      </c>
      <c r="AU20" s="13">
        <f ca="1">VLOOKUP($B20,'[5]Analisys QBR By Machine Report'!$C$109:$BD$166,42,FALSE)</f>
        <v>0</v>
      </c>
      <c r="AV20" s="13">
        <f ca="1">VLOOKUP($B20,'[5]Analisys QBR By Machine Report'!$C$109:$BD$166,43,FALSE)</f>
        <v>0</v>
      </c>
      <c r="AW20" s="13">
        <f ca="1">VLOOKUP($B20,'[5]Analisys QBR By Machine Report'!$C$109:$BD$166,44,FALSE)</f>
        <v>0</v>
      </c>
      <c r="AX20" s="13">
        <f ca="1">VLOOKUP($B20,'[5]Analisys QBR By Machine Report'!$C$109:$BD$166,45,FALSE)</f>
        <v>0</v>
      </c>
      <c r="AY20" s="13">
        <f ca="1">VLOOKUP($B20,'[5]Analisys QBR By Machine Report'!$C$109:$BD$166,46,FALSE)</f>
        <v>0</v>
      </c>
      <c r="AZ20" s="13">
        <f ca="1">VLOOKUP($B20,'[5]Analisys QBR By Machine Report'!$C$109:$BD$166,47,FALSE)</f>
        <v>90</v>
      </c>
      <c r="BA20" s="13">
        <f ca="1">VLOOKUP($B20,'[5]Analisys QBR By Machine Report'!$C$109:$BD$166,48,FALSE)</f>
        <v>0</v>
      </c>
      <c r="BB20" s="13">
        <f ca="1">VLOOKUP($B20,'[5]Analisys QBR By Machine Report'!$C$109:$BD$166,49,FALSE)</f>
        <v>0</v>
      </c>
      <c r="BC20" s="13">
        <f ca="1">VLOOKUP($B20,'[5]Analisys QBR By Machine Report'!$C$109:$BD$166,50,FALSE)</f>
        <v>0</v>
      </c>
      <c r="BD20" s="13">
        <f ca="1">VLOOKUP($B20,'[5]Analisys QBR By Machine Report'!$C$109:$BD$166,51,FALSE)</f>
        <v>29513</v>
      </c>
      <c r="BE20" s="13">
        <f ca="1">VLOOKUP($B20,'[5]Analisys QBR By Machine Report'!$C$109:$BD$166,52,FALSE)</f>
        <v>141</v>
      </c>
      <c r="BF20" s="13">
        <f ca="1">VLOOKUP($B20,'[5]Analisys QBR By Machine Report'!$C$109:$BD$166,53,FALSE)</f>
        <v>29372</v>
      </c>
    </row>
    <row r="21" spans="1:58" x14ac:dyDescent="0.25">
      <c r="A21" s="12" t="s">
        <v>77</v>
      </c>
      <c r="B21" s="13">
        <f ca="1">VLOOKUP($B21,'[5]Analisys QBR By Machine Report'!$C$109:$BD$166,2,FALSE)</f>
        <v>27360</v>
      </c>
      <c r="C21" s="14">
        <f ca="1">VLOOKUP($B21,[5]Dasboard_QBR_Report!$B$109:$BL$166,3,FALSE)</f>
        <v>9120</v>
      </c>
      <c r="D21" s="13">
        <f ca="1">VLOOKUP($B21,'[5]Analisys QBR By Machine Report'!$C$109:$BD$166,3,FALSE)</f>
        <v>19050</v>
      </c>
      <c r="E21" s="14">
        <f ca="1">VLOOKUP($B21,[5]Dasboard_QBR_Report!$B$109:$BL$166,5,FALSE)</f>
        <v>810</v>
      </c>
      <c r="F21" s="13">
        <f t="shared" ca="1" si="0"/>
        <v>8310</v>
      </c>
      <c r="G21" s="13">
        <f t="shared" ca="1" si="1"/>
        <v>255</v>
      </c>
      <c r="H21" s="13">
        <f ca="1">VLOOKUP($B21,'[5]Analisys QBR By Machine Report'!$C$109:$BD$166,4,FALSE)</f>
        <v>255</v>
      </c>
      <c r="I21" s="13">
        <f ca="1">VLOOKUP($B21,'[5]Analisys QBR By Machine Report'!$C$109:$BD$166,5,FALSE)</f>
        <v>0</v>
      </c>
      <c r="J21" s="13">
        <f ca="1">VLOOKUP($B21,'[5]Analisys QBR By Machine Report'!$C$109:$BD$166,6,FALSE)</f>
        <v>255</v>
      </c>
      <c r="K21" s="13">
        <f ca="1">VLOOKUP($B21,'[5]Analisys QBR By Machine Report'!$C$109:$BD$166,7,FALSE)</f>
        <v>0</v>
      </c>
      <c r="L21" s="13">
        <f ca="1">VLOOKUP($B21,'[5]Analisys QBR By Machine Report'!$C$109:$BD$166,8,FALSE)</f>
        <v>8055</v>
      </c>
      <c r="M21" s="13">
        <f ca="1">VLOOKUP($B21,'[5]Analisys QBR By Machine Report'!$C$109:$BD$166,9,FALSE)</f>
        <v>3120</v>
      </c>
      <c r="N21" s="13">
        <f ca="1">VLOOKUP($B21,[5]Dasboard_QBR_Report!$B$109:$BL$166,18,FALSE)</f>
        <v>4935</v>
      </c>
      <c r="O21" s="13">
        <f ca="1">VLOOKUP($B21,'[5]Analisys QBR By Machine Report'!$C$109:$BD$166,10,FALSE)</f>
        <v>1190</v>
      </c>
      <c r="P21" s="13">
        <f ca="1">VLOOKUP($B21,'[5]Analisys QBR By Machine Report'!$C$109:$BD$166,11,FALSE)</f>
        <v>625</v>
      </c>
      <c r="Q21" s="13">
        <f ca="1">VLOOKUP($B21,'[5]Analisys QBR By Machine Report'!$C$109:$BD$166,12,FALSE)</f>
        <v>0</v>
      </c>
      <c r="R21" s="13">
        <f ca="1">VLOOKUP($B21,'[5]Analisys QBR By Machine Report'!$C$109:$BD$166,13,FALSE)</f>
        <v>565</v>
      </c>
      <c r="S21" s="13">
        <f ca="1">VLOOKUP($B21,'[5]Analisys QBR By Machine Report'!$C$109:$BD$166,14,FALSE)</f>
        <v>0</v>
      </c>
      <c r="T21" s="13">
        <f ca="1">VLOOKUP($B21,'[5]Analisys QBR By Machine Report'!$C$109:$BD$166,15,FALSE)</f>
        <v>30</v>
      </c>
      <c r="U21" s="13">
        <f ca="1">VLOOKUP($B21,'[5]Analisys QBR By Machine Report'!$C$109:$BD$166,16,FALSE)</f>
        <v>0</v>
      </c>
      <c r="V21" s="13">
        <f ca="1">VLOOKUP($B21,'[5]Analisys QBR By Machine Report'!$C$109:$BD$166,17,FALSE)</f>
        <v>0</v>
      </c>
      <c r="W21" s="13">
        <f ca="1">VLOOKUP($B21,'[5]Analisys QBR By Machine Report'!$C$109:$BD$166,18,FALSE)</f>
        <v>0</v>
      </c>
      <c r="X21" s="13">
        <f ca="1">VLOOKUP($B21,'[5]Analisys QBR By Machine Report'!$C$109:$BD$166,19,FALSE)</f>
        <v>0</v>
      </c>
      <c r="Y21" s="13">
        <f ca="1">VLOOKUP($B21,'[5]Analisys QBR By Machine Report'!$C$109:$BD$166,20,FALSE)</f>
        <v>30</v>
      </c>
      <c r="Z21" s="13">
        <f ca="1">VLOOKUP($B21,'[5]Analisys QBR By Machine Report'!$C$109:$BD$166,21,FALSE)</f>
        <v>1930</v>
      </c>
      <c r="AA21" s="13">
        <f ca="1">VLOOKUP($B21,'[5]Analisys QBR By Machine Report'!$C$109:$BD$166,22,FALSE)</f>
        <v>1220</v>
      </c>
      <c r="AB21" s="13">
        <f ca="1">VLOOKUP($B21,'[5]Analisys QBR By Machine Report'!$C$109:$BD$166,23,FALSE)</f>
        <v>200</v>
      </c>
      <c r="AC21" s="13">
        <f ca="1">VLOOKUP($B21,'[5]Analisys QBR By Machine Report'!$C$109:$BD$166,24,FALSE)</f>
        <v>375</v>
      </c>
      <c r="AD21" s="13">
        <f ca="1">VLOOKUP($B21,'[5]Analisys QBR By Machine Report'!$C$109:$BD$166,25,FALSE)</f>
        <v>0</v>
      </c>
      <c r="AE21" s="13">
        <f ca="1">VLOOKUP($B21,'[5]Analisys QBR By Machine Report'!$C$109:$BD$166,26,FALSE)</f>
        <v>135</v>
      </c>
      <c r="AF21" s="13">
        <f ca="1">VLOOKUP($B21,'[5]Analisys QBR By Machine Report'!$C$109:$BD$166,27,FALSE)</f>
        <v>0</v>
      </c>
      <c r="AG21" s="13">
        <f ca="1">VLOOKUP($B21,'[5]Analisys QBR By Machine Report'!$C$109:$BD$166,28,FALSE)</f>
        <v>0</v>
      </c>
      <c r="AH21" s="13">
        <f ca="1">VLOOKUP($B21,'[5]Analisys QBR By Machine Report'!$C$109:$BD$166,29,FALSE)</f>
        <v>0</v>
      </c>
      <c r="AI21" s="13">
        <f ca="1">VLOOKUP($B21,'[5]Analisys QBR By Machine Report'!$C$109:$BD$166,30,FALSE)</f>
        <v>1785</v>
      </c>
      <c r="AJ21" s="13">
        <f ca="1">VLOOKUP($B21,'[5]Analisys QBR By Machine Report'!$C$109:$BD$166,31,FALSE)</f>
        <v>0</v>
      </c>
      <c r="AK21" s="13">
        <f ca="1">VLOOKUP($B21,'[5]Analisys QBR By Machine Report'!$C$109:$BD$166,32,FALSE)</f>
        <v>0</v>
      </c>
      <c r="AL21" s="13">
        <f ca="1">VLOOKUP($B21,'[5]Analisys QBR By Machine Report'!$C$109:$BD$166,33,FALSE)</f>
        <v>480</v>
      </c>
      <c r="AM21" s="13">
        <f ca="1">VLOOKUP($B21,'[5]Analisys QBR By Machine Report'!$C$109:$BD$166,34,FALSE)</f>
        <v>0</v>
      </c>
      <c r="AN21" s="13">
        <f ca="1">VLOOKUP($B21,'[5]Analisys QBR By Machine Report'!$C$109:$BD$166,35,FALSE)</f>
        <v>525</v>
      </c>
      <c r="AO21" s="13">
        <f ca="1">VLOOKUP($B21,'[5]Analisys QBR By Machine Report'!$C$109:$BD$166,36,FALSE)</f>
        <v>195</v>
      </c>
      <c r="AP21" s="13">
        <f ca="1">VLOOKUP($B21,'[5]Analisys QBR By Machine Report'!$C$109:$BD$166,37,FALSE)</f>
        <v>0</v>
      </c>
      <c r="AQ21" s="13">
        <f ca="1">VLOOKUP($B21,'[5]Analisys QBR By Machine Report'!$C$109:$BD$166,38,FALSE)</f>
        <v>0</v>
      </c>
      <c r="AR21" s="13">
        <f ca="1">VLOOKUP($B21,'[5]Analisys QBR By Machine Report'!$C$109:$BD$166,39,FALSE)</f>
        <v>0</v>
      </c>
      <c r="AS21" s="13">
        <f ca="1">VLOOKUP($B21,'[5]Analisys QBR By Machine Report'!$C$109:$BD$166,40,FALSE)</f>
        <v>295</v>
      </c>
      <c r="AT21" s="13">
        <f ca="1">VLOOKUP($B21,'[5]Analisys QBR By Machine Report'!$C$109:$BD$166,41,FALSE)</f>
        <v>0</v>
      </c>
      <c r="AU21" s="13">
        <f ca="1">VLOOKUP($B21,'[5]Analisys QBR By Machine Report'!$C$109:$BD$166,42,FALSE)</f>
        <v>0</v>
      </c>
      <c r="AV21" s="13">
        <f ca="1">VLOOKUP($B21,'[5]Analisys QBR By Machine Report'!$C$109:$BD$166,43,FALSE)</f>
        <v>0</v>
      </c>
      <c r="AW21" s="13">
        <f ca="1">VLOOKUP($B21,'[5]Analisys QBR By Machine Report'!$C$109:$BD$166,44,FALSE)</f>
        <v>0</v>
      </c>
      <c r="AX21" s="13">
        <f ca="1">VLOOKUP($B21,'[5]Analisys QBR By Machine Report'!$C$109:$BD$166,45,FALSE)</f>
        <v>0</v>
      </c>
      <c r="AY21" s="13">
        <f ca="1">VLOOKUP($B21,'[5]Analisys QBR By Machine Report'!$C$109:$BD$166,46,FALSE)</f>
        <v>0</v>
      </c>
      <c r="AZ21" s="13">
        <f ca="1">VLOOKUP($B21,'[5]Analisys QBR By Machine Report'!$C$109:$BD$166,47,FALSE)</f>
        <v>290</v>
      </c>
      <c r="BA21" s="13">
        <f ca="1">VLOOKUP($B21,'[5]Analisys QBR By Machine Report'!$C$109:$BD$166,48,FALSE)</f>
        <v>0</v>
      </c>
      <c r="BB21" s="13">
        <f ca="1">VLOOKUP($B21,'[5]Analisys QBR By Machine Report'!$C$109:$BD$166,49,FALSE)</f>
        <v>0</v>
      </c>
      <c r="BC21" s="13">
        <f ca="1">VLOOKUP($B21,'[5]Analisys QBR By Machine Report'!$C$109:$BD$166,50,FALSE)</f>
        <v>0</v>
      </c>
      <c r="BD21" s="13">
        <f ca="1">VLOOKUP($B21,'[5]Analisys QBR By Machine Report'!$C$109:$BD$166,51,FALSE)</f>
        <v>1066901</v>
      </c>
      <c r="BE21" s="13">
        <f ca="1">VLOOKUP($B21,'[5]Analisys QBR By Machine Report'!$C$109:$BD$166,52,FALSE)</f>
        <v>18751</v>
      </c>
      <c r="BF21" s="13">
        <f ca="1">VLOOKUP($B21,'[5]Analisys QBR By Machine Report'!$C$109:$BD$166,53,FALSE)</f>
        <v>1048150</v>
      </c>
    </row>
    <row r="22" spans="1:58" x14ac:dyDescent="0.25">
      <c r="A22" s="9" t="s">
        <v>78</v>
      </c>
      <c r="B22" s="10">
        <f ca="1">VLOOKUP($B22,'[5]Analisys QBR By Machine Report'!$C$109:$BD$166,2,FALSE)</f>
        <v>27360</v>
      </c>
      <c r="C22" s="11">
        <f ca="1">VLOOKUP($B22,[5]Dasboard_QBR_Report!$B$109:$BL$166,3,FALSE)</f>
        <v>17670</v>
      </c>
      <c r="D22" s="10">
        <f ca="1">VLOOKUP($B22,'[5]Analisys QBR By Machine Report'!$C$109:$BD$166,3,FALSE)</f>
        <v>20970</v>
      </c>
      <c r="E22" s="11">
        <f ca="1">VLOOKUP($B22,[5]Dasboard_QBR_Report!$B$109:$BL$166,5,FALSE)</f>
        <v>11280</v>
      </c>
      <c r="F22" s="10">
        <f t="shared" ca="1" si="0"/>
        <v>6390</v>
      </c>
      <c r="G22" s="10">
        <f t="shared" ca="1" si="1"/>
        <v>702</v>
      </c>
      <c r="H22" s="10">
        <f ca="1">VLOOKUP($B22,'[5]Analisys QBR By Machine Report'!$C$109:$BD$166,4,FALSE)</f>
        <v>542</v>
      </c>
      <c r="I22" s="10">
        <f ca="1">VLOOKUP($B22,'[5]Analisys QBR By Machine Report'!$C$109:$BD$166,5,FALSE)</f>
        <v>135</v>
      </c>
      <c r="J22" s="10">
        <f ca="1">VLOOKUP($B22,'[5]Analisys QBR By Machine Report'!$C$109:$BD$166,6,FALSE)</f>
        <v>407</v>
      </c>
      <c r="K22" s="10">
        <f ca="1">VLOOKUP($B22,'[5]Analisys QBR By Machine Report'!$C$109:$BD$166,7,FALSE)</f>
        <v>160</v>
      </c>
      <c r="L22" s="10">
        <f ca="1">VLOOKUP($B22,'[5]Analisys QBR By Machine Report'!$C$109:$BD$166,8,FALSE)</f>
        <v>5688</v>
      </c>
      <c r="M22" s="10">
        <f ca="1">VLOOKUP($B22,'[5]Analisys QBR By Machine Report'!$C$109:$BD$166,9,FALSE)</f>
        <v>1761</v>
      </c>
      <c r="N22" s="10">
        <f ca="1">VLOOKUP($B22,[5]Dasboard_QBR_Report!$B$109:$BL$166,18,FALSE)</f>
        <v>3927</v>
      </c>
      <c r="O22" s="10">
        <f ca="1">VLOOKUP($B22,'[5]Analisys QBR By Machine Report'!$C$109:$BD$166,10,FALSE)</f>
        <v>191</v>
      </c>
      <c r="P22" s="10">
        <f ca="1">VLOOKUP($B22,'[5]Analisys QBR By Machine Report'!$C$109:$BD$166,11,FALSE)</f>
        <v>191</v>
      </c>
      <c r="Q22" s="10">
        <f ca="1">VLOOKUP($B22,'[5]Analisys QBR By Machine Report'!$C$109:$BD$166,12,FALSE)</f>
        <v>0</v>
      </c>
      <c r="R22" s="10">
        <f ca="1">VLOOKUP($B22,'[5]Analisys QBR By Machine Report'!$C$109:$BD$166,13,FALSE)</f>
        <v>0</v>
      </c>
      <c r="S22" s="10">
        <f ca="1">VLOOKUP($B22,'[5]Analisys QBR By Machine Report'!$C$109:$BD$166,14,FALSE)</f>
        <v>0</v>
      </c>
      <c r="T22" s="10">
        <f ca="1">VLOOKUP($B22,'[5]Analisys QBR By Machine Report'!$C$109:$BD$166,15,FALSE)</f>
        <v>55</v>
      </c>
      <c r="U22" s="10">
        <f ca="1">VLOOKUP($B22,'[5]Analisys QBR By Machine Report'!$C$109:$BD$166,16,FALSE)</f>
        <v>0</v>
      </c>
      <c r="V22" s="10">
        <f ca="1">VLOOKUP($B22,'[5]Analisys QBR By Machine Report'!$C$109:$BD$166,17,FALSE)</f>
        <v>0</v>
      </c>
      <c r="W22" s="10">
        <f ca="1">VLOOKUP($B22,'[5]Analisys QBR By Machine Report'!$C$109:$BD$166,18,FALSE)</f>
        <v>0</v>
      </c>
      <c r="X22" s="10">
        <f ca="1">VLOOKUP($B22,'[5]Analisys QBR By Machine Report'!$C$109:$BD$166,19,FALSE)</f>
        <v>55</v>
      </c>
      <c r="Y22" s="10">
        <f ca="1">VLOOKUP($B22,'[5]Analisys QBR By Machine Report'!$C$109:$BD$166,20,FALSE)</f>
        <v>0</v>
      </c>
      <c r="Z22" s="10">
        <f ca="1">VLOOKUP($B22,'[5]Analisys QBR By Machine Report'!$C$109:$BD$166,21,FALSE)</f>
        <v>2078</v>
      </c>
      <c r="AA22" s="10">
        <f ca="1">VLOOKUP($B22,'[5]Analisys QBR By Machine Report'!$C$109:$BD$166,22,FALSE)</f>
        <v>324</v>
      </c>
      <c r="AB22" s="10">
        <f ca="1">VLOOKUP($B22,'[5]Analisys QBR By Machine Report'!$C$109:$BD$166,23,FALSE)</f>
        <v>1754</v>
      </c>
      <c r="AC22" s="10">
        <f ca="1">VLOOKUP($B22,'[5]Analisys QBR By Machine Report'!$C$109:$BD$166,24,FALSE)</f>
        <v>0</v>
      </c>
      <c r="AD22" s="10">
        <f ca="1">VLOOKUP($B22,'[5]Analisys QBR By Machine Report'!$C$109:$BD$166,25,FALSE)</f>
        <v>0</v>
      </c>
      <c r="AE22" s="10">
        <f ca="1">VLOOKUP($B22,'[5]Analisys QBR By Machine Report'!$C$109:$BD$166,26,FALSE)</f>
        <v>0</v>
      </c>
      <c r="AF22" s="10">
        <f ca="1">VLOOKUP($B22,'[5]Analisys QBR By Machine Report'!$C$109:$BD$166,27,FALSE)</f>
        <v>510</v>
      </c>
      <c r="AG22" s="10">
        <f ca="1">VLOOKUP($B22,'[5]Analisys QBR By Machine Report'!$C$109:$BD$166,28,FALSE)</f>
        <v>0</v>
      </c>
      <c r="AH22" s="10">
        <f ca="1">VLOOKUP($B22,'[5]Analisys QBR By Machine Report'!$C$109:$BD$166,29,FALSE)</f>
        <v>510</v>
      </c>
      <c r="AI22" s="10">
        <f ca="1">VLOOKUP($B22,'[5]Analisys QBR By Machine Report'!$C$109:$BD$166,30,FALSE)</f>
        <v>1093</v>
      </c>
      <c r="AJ22" s="10">
        <f ca="1">VLOOKUP($B22,'[5]Analisys QBR By Machine Report'!$C$109:$BD$166,31,FALSE)</f>
        <v>146</v>
      </c>
      <c r="AK22" s="10">
        <f ca="1">VLOOKUP($B22,'[5]Analisys QBR By Machine Report'!$C$109:$BD$166,32,FALSE)</f>
        <v>0</v>
      </c>
      <c r="AL22" s="10">
        <f ca="1">VLOOKUP($B22,'[5]Analisys QBR By Machine Report'!$C$109:$BD$166,33,FALSE)</f>
        <v>261</v>
      </c>
      <c r="AM22" s="10">
        <f ca="1">VLOOKUP($B22,'[5]Analisys QBR By Machine Report'!$C$109:$BD$166,34,FALSE)</f>
        <v>0</v>
      </c>
      <c r="AN22" s="10">
        <f ca="1">VLOOKUP($B22,'[5]Analisys QBR By Machine Report'!$C$109:$BD$166,35,FALSE)</f>
        <v>160</v>
      </c>
      <c r="AO22" s="10">
        <f ca="1">VLOOKUP($B22,'[5]Analisys QBR By Machine Report'!$C$109:$BD$166,36,FALSE)</f>
        <v>0</v>
      </c>
      <c r="AP22" s="10">
        <f ca="1">VLOOKUP($B22,'[5]Analisys QBR By Machine Report'!$C$109:$BD$166,37,FALSE)</f>
        <v>0</v>
      </c>
      <c r="AQ22" s="10">
        <f ca="1">VLOOKUP($B22,'[5]Analisys QBR By Machine Report'!$C$109:$BD$166,38,FALSE)</f>
        <v>0</v>
      </c>
      <c r="AR22" s="10">
        <f ca="1">VLOOKUP($B22,'[5]Analisys QBR By Machine Report'!$C$109:$BD$166,39,FALSE)</f>
        <v>0</v>
      </c>
      <c r="AS22" s="10">
        <f ca="1">VLOOKUP($B22,'[5]Analisys QBR By Machine Report'!$C$109:$BD$166,40,FALSE)</f>
        <v>0</v>
      </c>
      <c r="AT22" s="10">
        <f ca="1">VLOOKUP($B22,'[5]Analisys QBR By Machine Report'!$C$109:$BD$166,41,FALSE)</f>
        <v>0</v>
      </c>
      <c r="AU22" s="10">
        <f ca="1">VLOOKUP($B22,'[5]Analisys QBR By Machine Report'!$C$109:$BD$166,42,FALSE)</f>
        <v>0</v>
      </c>
      <c r="AV22" s="10">
        <f ca="1">VLOOKUP($B22,'[5]Analisys QBR By Machine Report'!$C$109:$BD$166,43,FALSE)</f>
        <v>225</v>
      </c>
      <c r="AW22" s="10">
        <f ca="1">VLOOKUP($B22,'[5]Analisys QBR By Machine Report'!$C$109:$BD$166,44,FALSE)</f>
        <v>0</v>
      </c>
      <c r="AX22" s="10">
        <f ca="1">VLOOKUP($B22,'[5]Analisys QBR By Machine Report'!$C$109:$BD$166,45,FALSE)</f>
        <v>0</v>
      </c>
      <c r="AY22" s="10">
        <f ca="1">VLOOKUP($B22,'[5]Analisys QBR By Machine Report'!$C$109:$BD$166,46,FALSE)</f>
        <v>0</v>
      </c>
      <c r="AZ22" s="10">
        <f ca="1">VLOOKUP($B22,'[5]Analisys QBR By Machine Report'!$C$109:$BD$166,47,FALSE)</f>
        <v>15</v>
      </c>
      <c r="BA22" s="10">
        <f ca="1">VLOOKUP($B22,'[5]Analisys QBR By Machine Report'!$C$109:$BD$166,48,FALSE)</f>
        <v>286</v>
      </c>
      <c r="BB22" s="10">
        <f ca="1">VLOOKUP($B22,'[5]Analisys QBR By Machine Report'!$C$109:$BD$166,49,FALSE)</f>
        <v>0</v>
      </c>
      <c r="BC22" s="10">
        <f ca="1">VLOOKUP($B22,'[5]Analisys QBR By Machine Report'!$C$109:$BD$166,50,FALSE)</f>
        <v>0</v>
      </c>
      <c r="BD22" s="10">
        <f ca="1">VLOOKUP($B22,'[5]Analisys QBR By Machine Report'!$C$109:$BD$166,51,FALSE)</f>
        <v>20160</v>
      </c>
      <c r="BE22" s="10">
        <f ca="1">VLOOKUP($B22,'[5]Analisys QBR By Machine Report'!$C$109:$BD$166,52,FALSE)</f>
        <v>2</v>
      </c>
      <c r="BF22" s="10">
        <f ca="1">VLOOKUP($B22,'[5]Analisys QBR By Machine Report'!$C$109:$BD$166,53,FALSE)</f>
        <v>20158</v>
      </c>
    </row>
    <row r="23" spans="1:58" x14ac:dyDescent="0.25">
      <c r="A23" s="12" t="s">
        <v>79</v>
      </c>
      <c r="B23" s="13">
        <f ca="1">VLOOKUP($B23,'[5]Analisys QBR By Machine Report'!$C$109:$BD$166,2,FALSE)</f>
        <v>27360</v>
      </c>
      <c r="C23" s="14">
        <f ca="1">VLOOKUP($B23,[5]Dasboard_QBR_Report!$B$109:$BL$166,3,FALSE)</f>
        <v>17670</v>
      </c>
      <c r="D23" s="13">
        <f ca="1">VLOOKUP($B23,'[5]Analisys QBR By Machine Report'!$C$109:$BD$166,3,FALSE)</f>
        <v>20970</v>
      </c>
      <c r="E23" s="14">
        <f ca="1">VLOOKUP($B23,[5]Dasboard_QBR_Report!$B$109:$BL$166,5,FALSE)</f>
        <v>11280</v>
      </c>
      <c r="F23" s="13">
        <f t="shared" ca="1" si="0"/>
        <v>6390</v>
      </c>
      <c r="G23" s="13">
        <f t="shared" ca="1" si="1"/>
        <v>702</v>
      </c>
      <c r="H23" s="13">
        <f ca="1">VLOOKUP($B23,'[5]Analisys QBR By Machine Report'!$C$109:$BD$166,4,FALSE)</f>
        <v>542</v>
      </c>
      <c r="I23" s="13">
        <f ca="1">VLOOKUP($B23,'[5]Analisys QBR By Machine Report'!$C$109:$BD$166,5,FALSE)</f>
        <v>135</v>
      </c>
      <c r="J23" s="13">
        <f ca="1">VLOOKUP($B23,'[5]Analisys QBR By Machine Report'!$C$109:$BD$166,6,FALSE)</f>
        <v>407</v>
      </c>
      <c r="K23" s="13">
        <f ca="1">VLOOKUP($B23,'[5]Analisys QBR By Machine Report'!$C$109:$BD$166,7,FALSE)</f>
        <v>160</v>
      </c>
      <c r="L23" s="13">
        <f ca="1">VLOOKUP($B23,'[5]Analisys QBR By Machine Report'!$C$109:$BD$166,8,FALSE)</f>
        <v>5688</v>
      </c>
      <c r="M23" s="13">
        <f ca="1">VLOOKUP($B23,'[5]Analisys QBR By Machine Report'!$C$109:$BD$166,9,FALSE)</f>
        <v>1761</v>
      </c>
      <c r="N23" s="13">
        <f ca="1">VLOOKUP($B23,[5]Dasboard_QBR_Report!$B$109:$BL$166,18,FALSE)</f>
        <v>3927</v>
      </c>
      <c r="O23" s="13">
        <f ca="1">VLOOKUP($B23,'[5]Analisys QBR By Machine Report'!$C$109:$BD$166,10,FALSE)</f>
        <v>191</v>
      </c>
      <c r="P23" s="13">
        <f ca="1">VLOOKUP($B23,'[5]Analisys QBR By Machine Report'!$C$109:$BD$166,11,FALSE)</f>
        <v>191</v>
      </c>
      <c r="Q23" s="13">
        <f ca="1">VLOOKUP($B23,'[5]Analisys QBR By Machine Report'!$C$109:$BD$166,12,FALSE)</f>
        <v>0</v>
      </c>
      <c r="R23" s="13">
        <f ca="1">VLOOKUP($B23,'[5]Analisys QBR By Machine Report'!$C$109:$BD$166,13,FALSE)</f>
        <v>0</v>
      </c>
      <c r="S23" s="13">
        <f ca="1">VLOOKUP($B23,'[5]Analisys QBR By Machine Report'!$C$109:$BD$166,14,FALSE)</f>
        <v>0</v>
      </c>
      <c r="T23" s="13">
        <f ca="1">VLOOKUP($B23,'[5]Analisys QBR By Machine Report'!$C$109:$BD$166,15,FALSE)</f>
        <v>55</v>
      </c>
      <c r="U23" s="13">
        <f ca="1">VLOOKUP($B23,'[5]Analisys QBR By Machine Report'!$C$109:$BD$166,16,FALSE)</f>
        <v>0</v>
      </c>
      <c r="V23" s="13">
        <f ca="1">VLOOKUP($B23,'[5]Analisys QBR By Machine Report'!$C$109:$BD$166,17,FALSE)</f>
        <v>0</v>
      </c>
      <c r="W23" s="13">
        <f ca="1">VLOOKUP($B23,'[5]Analisys QBR By Machine Report'!$C$109:$BD$166,18,FALSE)</f>
        <v>0</v>
      </c>
      <c r="X23" s="13">
        <f ca="1">VLOOKUP($B23,'[5]Analisys QBR By Machine Report'!$C$109:$BD$166,19,FALSE)</f>
        <v>55</v>
      </c>
      <c r="Y23" s="13">
        <f ca="1">VLOOKUP($B23,'[5]Analisys QBR By Machine Report'!$C$109:$BD$166,20,FALSE)</f>
        <v>0</v>
      </c>
      <c r="Z23" s="13">
        <f ca="1">VLOOKUP($B23,'[5]Analisys QBR By Machine Report'!$C$109:$BD$166,21,FALSE)</f>
        <v>2078</v>
      </c>
      <c r="AA23" s="13">
        <f ca="1">VLOOKUP($B23,'[5]Analisys QBR By Machine Report'!$C$109:$BD$166,22,FALSE)</f>
        <v>324</v>
      </c>
      <c r="AB23" s="13">
        <f ca="1">VLOOKUP($B23,'[5]Analisys QBR By Machine Report'!$C$109:$BD$166,23,FALSE)</f>
        <v>1754</v>
      </c>
      <c r="AC23" s="13">
        <f ca="1">VLOOKUP($B23,'[5]Analisys QBR By Machine Report'!$C$109:$BD$166,24,FALSE)</f>
        <v>0</v>
      </c>
      <c r="AD23" s="13">
        <f ca="1">VLOOKUP($B23,'[5]Analisys QBR By Machine Report'!$C$109:$BD$166,25,FALSE)</f>
        <v>0</v>
      </c>
      <c r="AE23" s="13">
        <f ca="1">VLOOKUP($B23,'[5]Analisys QBR By Machine Report'!$C$109:$BD$166,26,FALSE)</f>
        <v>0</v>
      </c>
      <c r="AF23" s="13">
        <f ca="1">VLOOKUP($B23,'[5]Analisys QBR By Machine Report'!$C$109:$BD$166,27,FALSE)</f>
        <v>510</v>
      </c>
      <c r="AG23" s="13">
        <f ca="1">VLOOKUP($B23,'[5]Analisys QBR By Machine Report'!$C$109:$BD$166,28,FALSE)</f>
        <v>0</v>
      </c>
      <c r="AH23" s="13">
        <f ca="1">VLOOKUP($B23,'[5]Analisys QBR By Machine Report'!$C$109:$BD$166,29,FALSE)</f>
        <v>510</v>
      </c>
      <c r="AI23" s="13">
        <f ca="1">VLOOKUP($B23,'[5]Analisys QBR By Machine Report'!$C$109:$BD$166,30,FALSE)</f>
        <v>1093</v>
      </c>
      <c r="AJ23" s="13">
        <f ca="1">VLOOKUP($B23,'[5]Analisys QBR By Machine Report'!$C$109:$BD$166,31,FALSE)</f>
        <v>146</v>
      </c>
      <c r="AK23" s="13">
        <f ca="1">VLOOKUP($B23,'[5]Analisys QBR By Machine Report'!$C$109:$BD$166,32,FALSE)</f>
        <v>0</v>
      </c>
      <c r="AL23" s="13">
        <f ca="1">VLOOKUP($B23,'[5]Analisys QBR By Machine Report'!$C$109:$BD$166,33,FALSE)</f>
        <v>261</v>
      </c>
      <c r="AM23" s="13">
        <f ca="1">VLOOKUP($B23,'[5]Analisys QBR By Machine Report'!$C$109:$BD$166,34,FALSE)</f>
        <v>0</v>
      </c>
      <c r="AN23" s="13">
        <f ca="1">VLOOKUP($B23,'[5]Analisys QBR By Machine Report'!$C$109:$BD$166,35,FALSE)</f>
        <v>160</v>
      </c>
      <c r="AO23" s="13">
        <f ca="1">VLOOKUP($B23,'[5]Analisys QBR By Machine Report'!$C$109:$BD$166,36,FALSE)</f>
        <v>0</v>
      </c>
      <c r="AP23" s="13">
        <f ca="1">VLOOKUP($B23,'[5]Analisys QBR By Machine Report'!$C$109:$BD$166,37,FALSE)</f>
        <v>0</v>
      </c>
      <c r="AQ23" s="13">
        <f ca="1">VLOOKUP($B23,'[5]Analisys QBR By Machine Report'!$C$109:$BD$166,38,FALSE)</f>
        <v>0</v>
      </c>
      <c r="AR23" s="13">
        <f ca="1">VLOOKUP($B23,'[5]Analisys QBR By Machine Report'!$C$109:$BD$166,39,FALSE)</f>
        <v>0</v>
      </c>
      <c r="AS23" s="13">
        <f ca="1">VLOOKUP($B23,'[5]Analisys QBR By Machine Report'!$C$109:$BD$166,40,FALSE)</f>
        <v>0</v>
      </c>
      <c r="AT23" s="13">
        <f ca="1">VLOOKUP($B23,'[5]Analisys QBR By Machine Report'!$C$109:$BD$166,41,FALSE)</f>
        <v>0</v>
      </c>
      <c r="AU23" s="13">
        <f ca="1">VLOOKUP($B23,'[5]Analisys QBR By Machine Report'!$C$109:$BD$166,42,FALSE)</f>
        <v>0</v>
      </c>
      <c r="AV23" s="13">
        <f ca="1">VLOOKUP($B23,'[5]Analisys QBR By Machine Report'!$C$109:$BD$166,43,FALSE)</f>
        <v>225</v>
      </c>
      <c r="AW23" s="13">
        <f ca="1">VLOOKUP($B23,'[5]Analisys QBR By Machine Report'!$C$109:$BD$166,44,FALSE)</f>
        <v>0</v>
      </c>
      <c r="AX23" s="13">
        <f ca="1">VLOOKUP($B23,'[5]Analisys QBR By Machine Report'!$C$109:$BD$166,45,FALSE)</f>
        <v>0</v>
      </c>
      <c r="AY23" s="13">
        <f ca="1">VLOOKUP($B23,'[5]Analisys QBR By Machine Report'!$C$109:$BD$166,46,FALSE)</f>
        <v>0</v>
      </c>
      <c r="AZ23" s="13">
        <f ca="1">VLOOKUP($B23,'[5]Analisys QBR By Machine Report'!$C$109:$BD$166,47,FALSE)</f>
        <v>15</v>
      </c>
      <c r="BA23" s="13">
        <f ca="1">VLOOKUP($B23,'[5]Analisys QBR By Machine Report'!$C$109:$BD$166,48,FALSE)</f>
        <v>286</v>
      </c>
      <c r="BB23" s="13">
        <f ca="1">VLOOKUP($B23,'[5]Analisys QBR By Machine Report'!$C$109:$BD$166,49,FALSE)</f>
        <v>0</v>
      </c>
      <c r="BC23" s="13">
        <f ca="1">VLOOKUP($B23,'[5]Analisys QBR By Machine Report'!$C$109:$BD$166,50,FALSE)</f>
        <v>0</v>
      </c>
      <c r="BD23" s="13">
        <f ca="1">VLOOKUP($B23,'[5]Analisys QBR By Machine Report'!$C$109:$BD$166,51,FALSE)</f>
        <v>20160</v>
      </c>
      <c r="BE23" s="13">
        <f ca="1">VLOOKUP($B23,'[5]Analisys QBR By Machine Report'!$C$109:$BD$166,52,FALSE)</f>
        <v>2</v>
      </c>
      <c r="BF23" s="13">
        <f ca="1">VLOOKUP($B23,'[5]Analisys QBR By Machine Report'!$C$109:$BD$166,53,FALSE)</f>
        <v>20158</v>
      </c>
    </row>
    <row r="24" spans="1:58" x14ac:dyDescent="0.25">
      <c r="A24" s="9" t="s">
        <v>80</v>
      </c>
      <c r="B24" s="10">
        <f ca="1">VLOOKUP($B24,'[5]Analisys QBR By Machine Report'!$C$109:$BD$166,2,FALSE)</f>
        <v>54720</v>
      </c>
      <c r="C24" s="11">
        <f ca="1">VLOOKUP($B24,[5]Dasboard_QBR_Report!$B$109:$BL$166,3,FALSE)</f>
        <v>35340</v>
      </c>
      <c r="D24" s="10">
        <f ca="1">VLOOKUP($B24,'[5]Analisys QBR By Machine Report'!$C$109:$BD$166,3,FALSE)</f>
        <v>41310</v>
      </c>
      <c r="E24" s="11">
        <f ca="1">VLOOKUP($B24,[5]Dasboard_QBR_Report!$B$109:$BL$166,5,FALSE)</f>
        <v>21930</v>
      </c>
      <c r="F24" s="10">
        <f t="shared" ca="1" si="0"/>
        <v>13410</v>
      </c>
      <c r="G24" s="10">
        <f t="shared" ca="1" si="1"/>
        <v>2580</v>
      </c>
      <c r="H24" s="10">
        <f ca="1">VLOOKUP($B24,'[5]Analisys QBR By Machine Report'!$C$109:$BD$166,4,FALSE)</f>
        <v>2580</v>
      </c>
      <c r="I24" s="10">
        <f ca="1">VLOOKUP($B24,'[5]Analisys QBR By Machine Report'!$C$109:$BD$166,5,FALSE)</f>
        <v>30</v>
      </c>
      <c r="J24" s="10">
        <f ca="1">VLOOKUP($B24,'[5]Analisys QBR By Machine Report'!$C$109:$BD$166,6,FALSE)</f>
        <v>2550</v>
      </c>
      <c r="K24" s="10">
        <f ca="1">VLOOKUP($B24,'[5]Analisys QBR By Machine Report'!$C$109:$BD$166,7,FALSE)</f>
        <v>0</v>
      </c>
      <c r="L24" s="10">
        <f ca="1">VLOOKUP($B24,'[5]Analisys QBR By Machine Report'!$C$109:$BD$166,8,FALSE)</f>
        <v>10830</v>
      </c>
      <c r="M24" s="10">
        <f ca="1">VLOOKUP($B24,'[5]Analisys QBR By Machine Report'!$C$109:$BD$166,9,FALSE)</f>
        <v>3700</v>
      </c>
      <c r="N24" s="10">
        <f ca="1">VLOOKUP($B24,[5]Dasboard_QBR_Report!$B$109:$BL$166,18,FALSE)</f>
        <v>7130</v>
      </c>
      <c r="O24" s="10">
        <f ca="1">VLOOKUP($B24,'[5]Analisys QBR By Machine Report'!$C$109:$BD$166,10,FALSE)</f>
        <v>775</v>
      </c>
      <c r="P24" s="10">
        <f ca="1">VLOOKUP($B24,'[5]Analisys QBR By Machine Report'!$C$109:$BD$166,11,FALSE)</f>
        <v>640</v>
      </c>
      <c r="Q24" s="10">
        <f ca="1">VLOOKUP($B24,'[5]Analisys QBR By Machine Report'!$C$109:$BD$166,12,FALSE)</f>
        <v>0</v>
      </c>
      <c r="R24" s="10">
        <f ca="1">VLOOKUP($B24,'[5]Analisys QBR By Machine Report'!$C$109:$BD$166,13,FALSE)</f>
        <v>115</v>
      </c>
      <c r="S24" s="10">
        <f ca="1">VLOOKUP($B24,'[5]Analisys QBR By Machine Report'!$C$109:$BD$166,14,FALSE)</f>
        <v>20</v>
      </c>
      <c r="T24" s="10">
        <f ca="1">VLOOKUP($B24,'[5]Analisys QBR By Machine Report'!$C$109:$BD$166,15,FALSE)</f>
        <v>120</v>
      </c>
      <c r="U24" s="10">
        <f ca="1">VLOOKUP($B24,'[5]Analisys QBR By Machine Report'!$C$109:$BD$166,16,FALSE)</f>
        <v>120</v>
      </c>
      <c r="V24" s="10">
        <f ca="1">VLOOKUP($B24,'[5]Analisys QBR By Machine Report'!$C$109:$BD$166,17,FALSE)</f>
        <v>0</v>
      </c>
      <c r="W24" s="10">
        <f ca="1">VLOOKUP($B24,'[5]Analisys QBR By Machine Report'!$C$109:$BD$166,18,FALSE)</f>
        <v>0</v>
      </c>
      <c r="X24" s="10">
        <f ca="1">VLOOKUP($B24,'[5]Analisys QBR By Machine Report'!$C$109:$BD$166,19,FALSE)</f>
        <v>0</v>
      </c>
      <c r="Y24" s="10">
        <f ca="1">VLOOKUP($B24,'[5]Analisys QBR By Machine Report'!$C$109:$BD$166,20,FALSE)</f>
        <v>0</v>
      </c>
      <c r="Z24" s="10">
        <f ca="1">VLOOKUP($B24,'[5]Analisys QBR By Machine Report'!$C$109:$BD$166,21,FALSE)</f>
        <v>3320</v>
      </c>
      <c r="AA24" s="10">
        <f ca="1">VLOOKUP($B24,'[5]Analisys QBR By Machine Report'!$C$109:$BD$166,22,FALSE)</f>
        <v>535</v>
      </c>
      <c r="AB24" s="10">
        <f ca="1">VLOOKUP($B24,'[5]Analisys QBR By Machine Report'!$C$109:$BD$166,23,FALSE)</f>
        <v>1495</v>
      </c>
      <c r="AC24" s="10">
        <f ca="1">VLOOKUP($B24,'[5]Analisys QBR By Machine Report'!$C$109:$BD$166,24,FALSE)</f>
        <v>0</v>
      </c>
      <c r="AD24" s="10">
        <f ca="1">VLOOKUP($B24,'[5]Analisys QBR By Machine Report'!$C$109:$BD$166,25,FALSE)</f>
        <v>0</v>
      </c>
      <c r="AE24" s="10">
        <f ca="1">VLOOKUP($B24,'[5]Analisys QBR By Machine Report'!$C$109:$BD$166,26,FALSE)</f>
        <v>1290</v>
      </c>
      <c r="AF24" s="10">
        <f ca="1">VLOOKUP($B24,'[5]Analisys QBR By Machine Report'!$C$109:$BD$166,27,FALSE)</f>
        <v>360</v>
      </c>
      <c r="AG24" s="10">
        <f ca="1">VLOOKUP($B24,'[5]Analisys QBR By Machine Report'!$C$109:$BD$166,28,FALSE)</f>
        <v>0</v>
      </c>
      <c r="AH24" s="10">
        <f ca="1">VLOOKUP($B24,'[5]Analisys QBR By Machine Report'!$C$109:$BD$166,29,FALSE)</f>
        <v>360</v>
      </c>
      <c r="AI24" s="10">
        <f ca="1">VLOOKUP($B24,'[5]Analisys QBR By Machine Report'!$C$109:$BD$166,30,FALSE)</f>
        <v>2555</v>
      </c>
      <c r="AJ24" s="10">
        <f ca="1">VLOOKUP($B24,'[5]Analisys QBR By Machine Report'!$C$109:$BD$166,31,FALSE)</f>
        <v>30</v>
      </c>
      <c r="AK24" s="10">
        <f ca="1">VLOOKUP($B24,'[5]Analisys QBR By Machine Report'!$C$109:$BD$166,32,FALSE)</f>
        <v>0</v>
      </c>
      <c r="AL24" s="10">
        <f ca="1">VLOOKUP($B24,'[5]Analisys QBR By Machine Report'!$C$109:$BD$166,33,FALSE)</f>
        <v>615</v>
      </c>
      <c r="AM24" s="10">
        <f ca="1">VLOOKUP($B24,'[5]Analisys QBR By Machine Report'!$C$109:$BD$166,34,FALSE)</f>
        <v>0</v>
      </c>
      <c r="AN24" s="10">
        <f ca="1">VLOOKUP($B24,'[5]Analisys QBR By Machine Report'!$C$109:$BD$166,35,FALSE)</f>
        <v>390</v>
      </c>
      <c r="AO24" s="10">
        <f ca="1">VLOOKUP($B24,'[5]Analisys QBR By Machine Report'!$C$109:$BD$166,36,FALSE)</f>
        <v>15</v>
      </c>
      <c r="AP24" s="10">
        <f ca="1">VLOOKUP($B24,'[5]Analisys QBR By Machine Report'!$C$109:$BD$166,37,FALSE)</f>
        <v>0</v>
      </c>
      <c r="AQ24" s="10">
        <f ca="1">VLOOKUP($B24,'[5]Analisys QBR By Machine Report'!$C$109:$BD$166,38,FALSE)</f>
        <v>0</v>
      </c>
      <c r="AR24" s="10">
        <f ca="1">VLOOKUP($B24,'[5]Analisys QBR By Machine Report'!$C$109:$BD$166,39,FALSE)</f>
        <v>1325</v>
      </c>
      <c r="AS24" s="10">
        <f ca="1">VLOOKUP($B24,'[5]Analisys QBR By Machine Report'!$C$109:$BD$166,40,FALSE)</f>
        <v>0</v>
      </c>
      <c r="AT24" s="10">
        <f ca="1">VLOOKUP($B24,'[5]Analisys QBR By Machine Report'!$C$109:$BD$166,41,FALSE)</f>
        <v>0</v>
      </c>
      <c r="AU24" s="10">
        <f ca="1">VLOOKUP($B24,'[5]Analisys QBR By Machine Report'!$C$109:$BD$166,42,FALSE)</f>
        <v>0</v>
      </c>
      <c r="AV24" s="10">
        <f ca="1">VLOOKUP($B24,'[5]Analisys QBR By Machine Report'!$C$109:$BD$166,43,FALSE)</f>
        <v>120</v>
      </c>
      <c r="AW24" s="10">
        <f ca="1">VLOOKUP($B24,'[5]Analisys QBR By Machine Report'!$C$109:$BD$166,44,FALSE)</f>
        <v>0</v>
      </c>
      <c r="AX24" s="10">
        <f ca="1">VLOOKUP($B24,'[5]Analisys QBR By Machine Report'!$C$109:$BD$166,45,FALSE)</f>
        <v>0</v>
      </c>
      <c r="AY24" s="10">
        <f ca="1">VLOOKUP($B24,'[5]Analisys QBR By Machine Report'!$C$109:$BD$166,46,FALSE)</f>
        <v>0</v>
      </c>
      <c r="AZ24" s="10">
        <f ca="1">VLOOKUP($B24,'[5]Analisys QBR By Machine Report'!$C$109:$BD$166,47,FALSE)</f>
        <v>0</v>
      </c>
      <c r="BA24" s="10">
        <f ca="1">VLOOKUP($B24,'[5]Analisys QBR By Machine Report'!$C$109:$BD$166,48,FALSE)</f>
        <v>60</v>
      </c>
      <c r="BB24" s="10">
        <f ca="1">VLOOKUP($B24,'[5]Analisys QBR By Machine Report'!$C$109:$BD$166,49,FALSE)</f>
        <v>0</v>
      </c>
      <c r="BC24" s="10">
        <f ca="1">VLOOKUP($B24,'[5]Analisys QBR By Machine Report'!$C$109:$BD$166,50,FALSE)</f>
        <v>0</v>
      </c>
      <c r="BD24" s="10">
        <f ca="1">VLOOKUP($B24,'[5]Analisys QBR By Machine Report'!$C$109:$BD$166,51,FALSE)</f>
        <v>194603</v>
      </c>
      <c r="BE24" s="10">
        <f ca="1">VLOOKUP($B24,'[5]Analisys QBR By Machine Report'!$C$109:$BD$166,52,FALSE)</f>
        <v>250</v>
      </c>
      <c r="BF24" s="10">
        <f ca="1">VLOOKUP($B24,'[5]Analisys QBR By Machine Report'!$C$109:$BD$166,53,FALSE)</f>
        <v>194353</v>
      </c>
    </row>
    <row r="25" spans="1:58" x14ac:dyDescent="0.25">
      <c r="A25" s="12" t="s">
        <v>81</v>
      </c>
      <c r="B25" s="13">
        <f ca="1">VLOOKUP($B25,'[5]Analisys QBR By Machine Report'!$C$109:$BD$166,2,FALSE)</f>
        <v>27360</v>
      </c>
      <c r="C25" s="14">
        <f ca="1">VLOOKUP($B25,[5]Dasboard_QBR_Report!$B$109:$BL$166,3,FALSE)</f>
        <v>17670</v>
      </c>
      <c r="D25" s="13">
        <f ca="1">VLOOKUP($B25,'[5]Analisys QBR By Machine Report'!$C$109:$BD$166,3,FALSE)</f>
        <v>17730</v>
      </c>
      <c r="E25" s="14">
        <f ca="1">VLOOKUP($B25,[5]Dasboard_QBR_Report!$B$109:$BL$166,5,FALSE)</f>
        <v>8040</v>
      </c>
      <c r="F25" s="13">
        <f t="shared" ca="1" si="0"/>
        <v>9630</v>
      </c>
      <c r="G25" s="13">
        <f t="shared" ca="1" si="1"/>
        <v>1710</v>
      </c>
      <c r="H25" s="13">
        <f ca="1">VLOOKUP($B25,'[5]Analisys QBR By Machine Report'!$C$109:$BD$166,4,FALSE)</f>
        <v>1710</v>
      </c>
      <c r="I25" s="13">
        <f ca="1">VLOOKUP($B25,'[5]Analisys QBR By Machine Report'!$C$109:$BD$166,5,FALSE)</f>
        <v>30</v>
      </c>
      <c r="J25" s="13">
        <f ca="1">VLOOKUP($B25,'[5]Analisys QBR By Machine Report'!$C$109:$BD$166,6,FALSE)</f>
        <v>1680</v>
      </c>
      <c r="K25" s="13">
        <f ca="1">VLOOKUP($B25,'[5]Analisys QBR By Machine Report'!$C$109:$BD$166,7,FALSE)</f>
        <v>0</v>
      </c>
      <c r="L25" s="13">
        <f ca="1">VLOOKUP($B25,'[5]Analisys QBR By Machine Report'!$C$109:$BD$166,8,FALSE)</f>
        <v>7920</v>
      </c>
      <c r="M25" s="13">
        <f ca="1">VLOOKUP($B25,'[5]Analisys QBR By Machine Report'!$C$109:$BD$166,9,FALSE)</f>
        <v>2750</v>
      </c>
      <c r="N25" s="13">
        <f ca="1">VLOOKUP($B25,[5]Dasboard_QBR_Report!$B$109:$BL$166,18,FALSE)</f>
        <v>5170</v>
      </c>
      <c r="O25" s="13">
        <f ca="1">VLOOKUP($B25,'[5]Analisys QBR By Machine Report'!$C$109:$BD$166,10,FALSE)</f>
        <v>495</v>
      </c>
      <c r="P25" s="13">
        <f ca="1">VLOOKUP($B25,'[5]Analisys QBR By Machine Report'!$C$109:$BD$166,11,FALSE)</f>
        <v>460</v>
      </c>
      <c r="Q25" s="13">
        <f ca="1">VLOOKUP($B25,'[5]Analisys QBR By Machine Report'!$C$109:$BD$166,12,FALSE)</f>
        <v>0</v>
      </c>
      <c r="R25" s="13">
        <f ca="1">VLOOKUP($B25,'[5]Analisys QBR By Machine Report'!$C$109:$BD$166,13,FALSE)</f>
        <v>35</v>
      </c>
      <c r="S25" s="13">
        <f ca="1">VLOOKUP($B25,'[5]Analisys QBR By Machine Report'!$C$109:$BD$166,14,FALSE)</f>
        <v>0</v>
      </c>
      <c r="T25" s="13">
        <f ca="1">VLOOKUP($B25,'[5]Analisys QBR By Machine Report'!$C$109:$BD$166,15,FALSE)</f>
        <v>0</v>
      </c>
      <c r="U25" s="13">
        <f ca="1">VLOOKUP($B25,'[5]Analisys QBR By Machine Report'!$C$109:$BD$166,16,FALSE)</f>
        <v>0</v>
      </c>
      <c r="V25" s="13">
        <f ca="1">VLOOKUP($B25,'[5]Analisys QBR By Machine Report'!$C$109:$BD$166,17,FALSE)</f>
        <v>0</v>
      </c>
      <c r="W25" s="13">
        <f ca="1">VLOOKUP($B25,'[5]Analisys QBR By Machine Report'!$C$109:$BD$166,18,FALSE)</f>
        <v>0</v>
      </c>
      <c r="X25" s="13">
        <f ca="1">VLOOKUP($B25,'[5]Analisys QBR By Machine Report'!$C$109:$BD$166,19,FALSE)</f>
        <v>0</v>
      </c>
      <c r="Y25" s="13">
        <f ca="1">VLOOKUP($B25,'[5]Analisys QBR By Machine Report'!$C$109:$BD$166,20,FALSE)</f>
        <v>0</v>
      </c>
      <c r="Z25" s="13">
        <f ca="1">VLOOKUP($B25,'[5]Analisys QBR By Machine Report'!$C$109:$BD$166,21,FALSE)</f>
        <v>2390</v>
      </c>
      <c r="AA25" s="13">
        <f ca="1">VLOOKUP($B25,'[5]Analisys QBR By Machine Report'!$C$109:$BD$166,22,FALSE)</f>
        <v>240</v>
      </c>
      <c r="AB25" s="13">
        <f ca="1">VLOOKUP($B25,'[5]Analisys QBR By Machine Report'!$C$109:$BD$166,23,FALSE)</f>
        <v>1225</v>
      </c>
      <c r="AC25" s="13">
        <f ca="1">VLOOKUP($B25,'[5]Analisys QBR By Machine Report'!$C$109:$BD$166,24,FALSE)</f>
        <v>0</v>
      </c>
      <c r="AD25" s="13">
        <f ca="1">VLOOKUP($B25,'[5]Analisys QBR By Machine Report'!$C$109:$BD$166,25,FALSE)</f>
        <v>0</v>
      </c>
      <c r="AE25" s="13">
        <f ca="1">VLOOKUP($B25,'[5]Analisys QBR By Machine Report'!$C$109:$BD$166,26,FALSE)</f>
        <v>925</v>
      </c>
      <c r="AF25" s="13">
        <f ca="1">VLOOKUP($B25,'[5]Analisys QBR By Machine Report'!$C$109:$BD$166,27,FALSE)</f>
        <v>360</v>
      </c>
      <c r="AG25" s="13">
        <f ca="1">VLOOKUP($B25,'[5]Analisys QBR By Machine Report'!$C$109:$BD$166,28,FALSE)</f>
        <v>0</v>
      </c>
      <c r="AH25" s="13">
        <f ca="1">VLOOKUP($B25,'[5]Analisys QBR By Machine Report'!$C$109:$BD$166,29,FALSE)</f>
        <v>360</v>
      </c>
      <c r="AI25" s="13">
        <f ca="1">VLOOKUP($B25,'[5]Analisys QBR By Machine Report'!$C$109:$BD$166,30,FALSE)</f>
        <v>1925</v>
      </c>
      <c r="AJ25" s="13">
        <f ca="1">VLOOKUP($B25,'[5]Analisys QBR By Machine Report'!$C$109:$BD$166,31,FALSE)</f>
        <v>30</v>
      </c>
      <c r="AK25" s="13">
        <f ca="1">VLOOKUP($B25,'[5]Analisys QBR By Machine Report'!$C$109:$BD$166,32,FALSE)</f>
        <v>0</v>
      </c>
      <c r="AL25" s="13">
        <f ca="1">VLOOKUP($B25,'[5]Analisys QBR By Machine Report'!$C$109:$BD$166,33,FALSE)</f>
        <v>465</v>
      </c>
      <c r="AM25" s="13">
        <f ca="1">VLOOKUP($B25,'[5]Analisys QBR By Machine Report'!$C$109:$BD$166,34,FALSE)</f>
        <v>0</v>
      </c>
      <c r="AN25" s="13">
        <f ca="1">VLOOKUP($B25,'[5]Analisys QBR By Machine Report'!$C$109:$BD$166,35,FALSE)</f>
        <v>270</v>
      </c>
      <c r="AO25" s="13">
        <f ca="1">VLOOKUP($B25,'[5]Analisys QBR By Machine Report'!$C$109:$BD$166,36,FALSE)</f>
        <v>0</v>
      </c>
      <c r="AP25" s="13">
        <f ca="1">VLOOKUP($B25,'[5]Analisys QBR By Machine Report'!$C$109:$BD$166,37,FALSE)</f>
        <v>0</v>
      </c>
      <c r="AQ25" s="13">
        <f ca="1">VLOOKUP($B25,'[5]Analisys QBR By Machine Report'!$C$109:$BD$166,38,FALSE)</f>
        <v>0</v>
      </c>
      <c r="AR25" s="13">
        <f ca="1">VLOOKUP($B25,'[5]Analisys QBR By Machine Report'!$C$109:$BD$166,39,FALSE)</f>
        <v>1010</v>
      </c>
      <c r="AS25" s="13">
        <f ca="1">VLOOKUP($B25,'[5]Analisys QBR By Machine Report'!$C$109:$BD$166,40,FALSE)</f>
        <v>0</v>
      </c>
      <c r="AT25" s="13">
        <f ca="1">VLOOKUP($B25,'[5]Analisys QBR By Machine Report'!$C$109:$BD$166,41,FALSE)</f>
        <v>0</v>
      </c>
      <c r="AU25" s="13">
        <f ca="1">VLOOKUP($B25,'[5]Analisys QBR By Machine Report'!$C$109:$BD$166,42,FALSE)</f>
        <v>0</v>
      </c>
      <c r="AV25" s="13">
        <f ca="1">VLOOKUP($B25,'[5]Analisys QBR By Machine Report'!$C$109:$BD$166,43,FALSE)</f>
        <v>120</v>
      </c>
      <c r="AW25" s="13">
        <f ca="1">VLOOKUP($B25,'[5]Analisys QBR By Machine Report'!$C$109:$BD$166,44,FALSE)</f>
        <v>0</v>
      </c>
      <c r="AX25" s="13">
        <f ca="1">VLOOKUP($B25,'[5]Analisys QBR By Machine Report'!$C$109:$BD$166,45,FALSE)</f>
        <v>0</v>
      </c>
      <c r="AY25" s="13">
        <f ca="1">VLOOKUP($B25,'[5]Analisys QBR By Machine Report'!$C$109:$BD$166,46,FALSE)</f>
        <v>0</v>
      </c>
      <c r="AZ25" s="13">
        <f ca="1">VLOOKUP($B25,'[5]Analisys QBR By Machine Report'!$C$109:$BD$166,47,FALSE)</f>
        <v>0</v>
      </c>
      <c r="BA25" s="13">
        <f ca="1">VLOOKUP($B25,'[5]Analisys QBR By Machine Report'!$C$109:$BD$166,48,FALSE)</f>
        <v>30</v>
      </c>
      <c r="BB25" s="13">
        <f ca="1">VLOOKUP($B25,'[5]Analisys QBR By Machine Report'!$C$109:$BD$166,49,FALSE)</f>
        <v>0</v>
      </c>
      <c r="BC25" s="13">
        <f ca="1">VLOOKUP($B25,'[5]Analisys QBR By Machine Report'!$C$109:$BD$166,50,FALSE)</f>
        <v>0</v>
      </c>
      <c r="BD25" s="13">
        <f ca="1">VLOOKUP($B25,'[5]Analisys QBR By Machine Report'!$C$109:$BD$166,51,FALSE)</f>
        <v>143931</v>
      </c>
      <c r="BE25" s="13">
        <f ca="1">VLOOKUP($B25,'[5]Analisys QBR By Machine Report'!$C$109:$BD$166,52,FALSE)</f>
        <v>174</v>
      </c>
      <c r="BF25" s="13">
        <f ca="1">VLOOKUP($B25,'[5]Analisys QBR By Machine Report'!$C$109:$BD$166,53,FALSE)</f>
        <v>143757</v>
      </c>
    </row>
    <row r="26" spans="1:58" x14ac:dyDescent="0.25">
      <c r="A26" s="12" t="s">
        <v>82</v>
      </c>
      <c r="B26" s="13">
        <f ca="1">VLOOKUP($B26,'[5]Analisys QBR By Machine Report'!$C$109:$BD$166,2,FALSE)</f>
        <v>27360</v>
      </c>
      <c r="C26" s="14">
        <f ca="1">VLOOKUP($B26,[5]Dasboard_QBR_Report!$B$109:$BL$166,3,FALSE)</f>
        <v>17670</v>
      </c>
      <c r="D26" s="13">
        <f ca="1">VLOOKUP($B26,'[5]Analisys QBR By Machine Report'!$C$109:$BD$166,3,FALSE)</f>
        <v>23580</v>
      </c>
      <c r="E26" s="14">
        <f ca="1">VLOOKUP($B26,[5]Dasboard_QBR_Report!$B$109:$BL$166,5,FALSE)</f>
        <v>13890</v>
      </c>
      <c r="F26" s="13">
        <f t="shared" ca="1" si="0"/>
        <v>3780</v>
      </c>
      <c r="G26" s="13">
        <f t="shared" ca="1" si="1"/>
        <v>870</v>
      </c>
      <c r="H26" s="13">
        <f ca="1">VLOOKUP($B26,'[5]Analisys QBR By Machine Report'!$C$109:$BD$166,4,FALSE)</f>
        <v>870</v>
      </c>
      <c r="I26" s="13">
        <f ca="1">VLOOKUP($B26,'[5]Analisys QBR By Machine Report'!$C$109:$BD$166,5,FALSE)</f>
        <v>0</v>
      </c>
      <c r="J26" s="13">
        <f ca="1">VLOOKUP($B26,'[5]Analisys QBR By Machine Report'!$C$109:$BD$166,6,FALSE)</f>
        <v>870</v>
      </c>
      <c r="K26" s="13">
        <f ca="1">VLOOKUP($B26,'[5]Analisys QBR By Machine Report'!$C$109:$BD$166,7,FALSE)</f>
        <v>0</v>
      </c>
      <c r="L26" s="13">
        <f ca="1">VLOOKUP($B26,'[5]Analisys QBR By Machine Report'!$C$109:$BD$166,8,FALSE)</f>
        <v>2910</v>
      </c>
      <c r="M26" s="13">
        <f ca="1">VLOOKUP($B26,'[5]Analisys QBR By Machine Report'!$C$109:$BD$166,9,FALSE)</f>
        <v>950</v>
      </c>
      <c r="N26" s="13">
        <f ca="1">VLOOKUP($B26,[5]Dasboard_QBR_Report!$B$109:$BL$166,18,FALSE)</f>
        <v>1960</v>
      </c>
      <c r="O26" s="13">
        <f ca="1">VLOOKUP($B26,'[5]Analisys QBR By Machine Report'!$C$109:$BD$166,10,FALSE)</f>
        <v>280</v>
      </c>
      <c r="P26" s="13">
        <f ca="1">VLOOKUP($B26,'[5]Analisys QBR By Machine Report'!$C$109:$BD$166,11,FALSE)</f>
        <v>180</v>
      </c>
      <c r="Q26" s="13">
        <f ca="1">VLOOKUP($B26,'[5]Analisys QBR By Machine Report'!$C$109:$BD$166,12,FALSE)</f>
        <v>0</v>
      </c>
      <c r="R26" s="13">
        <f ca="1">VLOOKUP($B26,'[5]Analisys QBR By Machine Report'!$C$109:$BD$166,13,FALSE)</f>
        <v>80</v>
      </c>
      <c r="S26" s="13">
        <f ca="1">VLOOKUP($B26,'[5]Analisys QBR By Machine Report'!$C$109:$BD$166,14,FALSE)</f>
        <v>20</v>
      </c>
      <c r="T26" s="13">
        <f ca="1">VLOOKUP($B26,'[5]Analisys QBR By Machine Report'!$C$109:$BD$166,15,FALSE)</f>
        <v>120</v>
      </c>
      <c r="U26" s="13">
        <f ca="1">VLOOKUP($B26,'[5]Analisys QBR By Machine Report'!$C$109:$BD$166,16,FALSE)</f>
        <v>120</v>
      </c>
      <c r="V26" s="13">
        <f ca="1">VLOOKUP($B26,'[5]Analisys QBR By Machine Report'!$C$109:$BD$166,17,FALSE)</f>
        <v>0</v>
      </c>
      <c r="W26" s="13">
        <f ca="1">VLOOKUP($B26,'[5]Analisys QBR By Machine Report'!$C$109:$BD$166,18,FALSE)</f>
        <v>0</v>
      </c>
      <c r="X26" s="13">
        <f ca="1">VLOOKUP($B26,'[5]Analisys QBR By Machine Report'!$C$109:$BD$166,19,FALSE)</f>
        <v>0</v>
      </c>
      <c r="Y26" s="13">
        <f ca="1">VLOOKUP($B26,'[5]Analisys QBR By Machine Report'!$C$109:$BD$166,20,FALSE)</f>
        <v>0</v>
      </c>
      <c r="Z26" s="13">
        <f ca="1">VLOOKUP($B26,'[5]Analisys QBR By Machine Report'!$C$109:$BD$166,21,FALSE)</f>
        <v>930</v>
      </c>
      <c r="AA26" s="13">
        <f ca="1">VLOOKUP($B26,'[5]Analisys QBR By Machine Report'!$C$109:$BD$166,22,FALSE)</f>
        <v>295</v>
      </c>
      <c r="AB26" s="13">
        <f ca="1">VLOOKUP($B26,'[5]Analisys QBR By Machine Report'!$C$109:$BD$166,23,FALSE)</f>
        <v>270</v>
      </c>
      <c r="AC26" s="13">
        <f ca="1">VLOOKUP($B26,'[5]Analisys QBR By Machine Report'!$C$109:$BD$166,24,FALSE)</f>
        <v>0</v>
      </c>
      <c r="AD26" s="13">
        <f ca="1">VLOOKUP($B26,'[5]Analisys QBR By Machine Report'!$C$109:$BD$166,25,FALSE)</f>
        <v>0</v>
      </c>
      <c r="AE26" s="13">
        <f ca="1">VLOOKUP($B26,'[5]Analisys QBR By Machine Report'!$C$109:$BD$166,26,FALSE)</f>
        <v>365</v>
      </c>
      <c r="AF26" s="13">
        <f ca="1">VLOOKUP($B26,'[5]Analisys QBR By Machine Report'!$C$109:$BD$166,27,FALSE)</f>
        <v>0</v>
      </c>
      <c r="AG26" s="13">
        <f ca="1">VLOOKUP($B26,'[5]Analisys QBR By Machine Report'!$C$109:$BD$166,28,FALSE)</f>
        <v>0</v>
      </c>
      <c r="AH26" s="13">
        <f ca="1">VLOOKUP($B26,'[5]Analisys QBR By Machine Report'!$C$109:$BD$166,29,FALSE)</f>
        <v>0</v>
      </c>
      <c r="AI26" s="13">
        <f ca="1">VLOOKUP($B26,'[5]Analisys QBR By Machine Report'!$C$109:$BD$166,30,FALSE)</f>
        <v>630</v>
      </c>
      <c r="AJ26" s="13">
        <f ca="1">VLOOKUP($B26,'[5]Analisys QBR By Machine Report'!$C$109:$BD$166,31,FALSE)</f>
        <v>0</v>
      </c>
      <c r="AK26" s="13">
        <f ca="1">VLOOKUP($B26,'[5]Analisys QBR By Machine Report'!$C$109:$BD$166,32,FALSE)</f>
        <v>0</v>
      </c>
      <c r="AL26" s="13">
        <f ca="1">VLOOKUP($B26,'[5]Analisys QBR By Machine Report'!$C$109:$BD$166,33,FALSE)</f>
        <v>150</v>
      </c>
      <c r="AM26" s="13">
        <f ca="1">VLOOKUP($B26,'[5]Analisys QBR By Machine Report'!$C$109:$BD$166,34,FALSE)</f>
        <v>0</v>
      </c>
      <c r="AN26" s="13">
        <f ca="1">VLOOKUP($B26,'[5]Analisys QBR By Machine Report'!$C$109:$BD$166,35,FALSE)</f>
        <v>120</v>
      </c>
      <c r="AO26" s="13">
        <f ca="1">VLOOKUP($B26,'[5]Analisys QBR By Machine Report'!$C$109:$BD$166,36,FALSE)</f>
        <v>15</v>
      </c>
      <c r="AP26" s="13">
        <f ca="1">VLOOKUP($B26,'[5]Analisys QBR By Machine Report'!$C$109:$BD$166,37,FALSE)</f>
        <v>0</v>
      </c>
      <c r="AQ26" s="13">
        <f ca="1">VLOOKUP($B26,'[5]Analisys QBR By Machine Report'!$C$109:$BD$166,38,FALSE)</f>
        <v>0</v>
      </c>
      <c r="AR26" s="13">
        <f ca="1">VLOOKUP($B26,'[5]Analisys QBR By Machine Report'!$C$109:$BD$166,39,FALSE)</f>
        <v>315</v>
      </c>
      <c r="AS26" s="13">
        <f ca="1">VLOOKUP($B26,'[5]Analisys QBR By Machine Report'!$C$109:$BD$166,40,FALSE)</f>
        <v>0</v>
      </c>
      <c r="AT26" s="13">
        <f ca="1">VLOOKUP($B26,'[5]Analisys QBR By Machine Report'!$C$109:$BD$166,41,FALSE)</f>
        <v>0</v>
      </c>
      <c r="AU26" s="13">
        <f ca="1">VLOOKUP($B26,'[5]Analisys QBR By Machine Report'!$C$109:$BD$166,42,FALSE)</f>
        <v>0</v>
      </c>
      <c r="AV26" s="13">
        <f ca="1">VLOOKUP($B26,'[5]Analisys QBR By Machine Report'!$C$109:$BD$166,43,FALSE)</f>
        <v>0</v>
      </c>
      <c r="AW26" s="13">
        <f ca="1">VLOOKUP($B26,'[5]Analisys QBR By Machine Report'!$C$109:$BD$166,44,FALSE)</f>
        <v>0</v>
      </c>
      <c r="AX26" s="13">
        <f ca="1">VLOOKUP($B26,'[5]Analisys QBR By Machine Report'!$C$109:$BD$166,45,FALSE)</f>
        <v>0</v>
      </c>
      <c r="AY26" s="13">
        <f ca="1">VLOOKUP($B26,'[5]Analisys QBR By Machine Report'!$C$109:$BD$166,46,FALSE)</f>
        <v>0</v>
      </c>
      <c r="AZ26" s="13">
        <f ca="1">VLOOKUP($B26,'[5]Analisys QBR By Machine Report'!$C$109:$BD$166,47,FALSE)</f>
        <v>0</v>
      </c>
      <c r="BA26" s="13">
        <f ca="1">VLOOKUP($B26,'[5]Analisys QBR By Machine Report'!$C$109:$BD$166,48,FALSE)</f>
        <v>30</v>
      </c>
      <c r="BB26" s="13">
        <f ca="1">VLOOKUP($B26,'[5]Analisys QBR By Machine Report'!$C$109:$BD$166,49,FALSE)</f>
        <v>0</v>
      </c>
      <c r="BC26" s="13">
        <f ca="1">VLOOKUP($B26,'[5]Analisys QBR By Machine Report'!$C$109:$BD$166,50,FALSE)</f>
        <v>0</v>
      </c>
      <c r="BD26" s="13">
        <f ca="1">VLOOKUP($B26,'[5]Analisys QBR By Machine Report'!$C$109:$BD$166,51,FALSE)</f>
        <v>50672</v>
      </c>
      <c r="BE26" s="13">
        <f ca="1">VLOOKUP($B26,'[5]Analisys QBR By Machine Report'!$C$109:$BD$166,52,FALSE)</f>
        <v>76</v>
      </c>
      <c r="BF26" s="13">
        <f ca="1">VLOOKUP($B26,'[5]Analisys QBR By Machine Report'!$C$109:$BD$166,53,FALSE)</f>
        <v>50596</v>
      </c>
    </row>
    <row r="27" spans="1:58" x14ac:dyDescent="0.25">
      <c r="A27" s="9" t="s">
        <v>83</v>
      </c>
      <c r="B27" s="10">
        <f ca="1">VLOOKUP($B27,'[5]Analisys QBR By Machine Report'!$C$109:$BD$166,2,FALSE)</f>
        <v>27360</v>
      </c>
      <c r="C27" s="11">
        <f ca="1">VLOOKUP($B27,[5]Dasboard_QBR_Report!$B$109:$BL$166,3,FALSE)</f>
        <v>17670</v>
      </c>
      <c r="D27" s="10">
        <f ca="1">VLOOKUP($B27,'[5]Analisys QBR By Machine Report'!$C$109:$BD$166,3,FALSE)</f>
        <v>18990</v>
      </c>
      <c r="E27" s="11">
        <f ca="1">VLOOKUP($B27,[5]Dasboard_QBR_Report!$B$109:$BL$166,5,FALSE)</f>
        <v>9300</v>
      </c>
      <c r="F27" s="10">
        <f t="shared" ca="1" si="0"/>
        <v>8370</v>
      </c>
      <c r="G27" s="10">
        <f t="shared" ca="1" si="1"/>
        <v>375</v>
      </c>
      <c r="H27" s="10">
        <f ca="1">VLOOKUP($B27,'[5]Analisys QBR By Machine Report'!$C$109:$BD$166,4,FALSE)</f>
        <v>375</v>
      </c>
      <c r="I27" s="10">
        <f ca="1">VLOOKUP($B27,'[5]Analisys QBR By Machine Report'!$C$109:$BD$166,5,FALSE)</f>
        <v>10</v>
      </c>
      <c r="J27" s="10">
        <f ca="1">VLOOKUP($B27,'[5]Analisys QBR By Machine Report'!$C$109:$BD$166,6,FALSE)</f>
        <v>365</v>
      </c>
      <c r="K27" s="10">
        <f ca="1">VLOOKUP($B27,'[5]Analisys QBR By Machine Report'!$C$109:$BD$166,7,FALSE)</f>
        <v>0</v>
      </c>
      <c r="L27" s="10">
        <f ca="1">VLOOKUP($B27,'[5]Analisys QBR By Machine Report'!$C$109:$BD$166,8,FALSE)</f>
        <v>7995</v>
      </c>
      <c r="M27" s="10">
        <f ca="1">VLOOKUP($B27,'[5]Analisys QBR By Machine Report'!$C$109:$BD$166,9,FALSE)</f>
        <v>2325</v>
      </c>
      <c r="N27" s="10">
        <f ca="1">VLOOKUP($B27,[5]Dasboard_QBR_Report!$B$109:$BL$166,18,FALSE)</f>
        <v>5670</v>
      </c>
      <c r="O27" s="10">
        <f ca="1">VLOOKUP($B27,'[5]Analisys QBR By Machine Report'!$C$109:$BD$166,10,FALSE)</f>
        <v>185</v>
      </c>
      <c r="P27" s="10">
        <f ca="1">VLOOKUP($B27,'[5]Analisys QBR By Machine Report'!$C$109:$BD$166,11,FALSE)</f>
        <v>185</v>
      </c>
      <c r="Q27" s="10">
        <f ca="1">VLOOKUP($B27,'[5]Analisys QBR By Machine Report'!$C$109:$BD$166,12,FALSE)</f>
        <v>0</v>
      </c>
      <c r="R27" s="10">
        <f ca="1">VLOOKUP($B27,'[5]Analisys QBR By Machine Report'!$C$109:$BD$166,13,FALSE)</f>
        <v>0</v>
      </c>
      <c r="S27" s="10">
        <f ca="1">VLOOKUP($B27,'[5]Analisys QBR By Machine Report'!$C$109:$BD$166,14,FALSE)</f>
        <v>0</v>
      </c>
      <c r="T27" s="10">
        <f ca="1">VLOOKUP($B27,'[5]Analisys QBR By Machine Report'!$C$109:$BD$166,15,FALSE)</f>
        <v>577</v>
      </c>
      <c r="U27" s="10">
        <f ca="1">VLOOKUP($B27,'[5]Analisys QBR By Machine Report'!$C$109:$BD$166,16,FALSE)</f>
        <v>367</v>
      </c>
      <c r="V27" s="10">
        <f ca="1">VLOOKUP($B27,'[5]Analisys QBR By Machine Report'!$C$109:$BD$166,17,FALSE)</f>
        <v>0</v>
      </c>
      <c r="W27" s="10">
        <f ca="1">VLOOKUP($B27,'[5]Analisys QBR By Machine Report'!$C$109:$BD$166,18,FALSE)</f>
        <v>0</v>
      </c>
      <c r="X27" s="10">
        <f ca="1">VLOOKUP($B27,'[5]Analisys QBR By Machine Report'!$C$109:$BD$166,19,FALSE)</f>
        <v>210</v>
      </c>
      <c r="Y27" s="10">
        <f ca="1">VLOOKUP($B27,'[5]Analisys QBR By Machine Report'!$C$109:$BD$166,20,FALSE)</f>
        <v>0</v>
      </c>
      <c r="Z27" s="10">
        <f ca="1">VLOOKUP($B27,'[5]Analisys QBR By Machine Report'!$C$109:$BD$166,21,FALSE)</f>
        <v>2891</v>
      </c>
      <c r="AA27" s="10">
        <f ca="1">VLOOKUP($B27,'[5]Analisys QBR By Machine Report'!$C$109:$BD$166,22,FALSE)</f>
        <v>601</v>
      </c>
      <c r="AB27" s="10">
        <f ca="1">VLOOKUP($B27,'[5]Analisys QBR By Machine Report'!$C$109:$BD$166,23,FALSE)</f>
        <v>1403</v>
      </c>
      <c r="AC27" s="10">
        <f ca="1">VLOOKUP($B27,'[5]Analisys QBR By Machine Report'!$C$109:$BD$166,24,FALSE)</f>
        <v>0</v>
      </c>
      <c r="AD27" s="10">
        <f ca="1">VLOOKUP($B27,'[5]Analisys QBR By Machine Report'!$C$109:$BD$166,25,FALSE)</f>
        <v>887</v>
      </c>
      <c r="AE27" s="10">
        <f ca="1">VLOOKUP($B27,'[5]Analisys QBR By Machine Report'!$C$109:$BD$166,26,FALSE)</f>
        <v>0</v>
      </c>
      <c r="AF27" s="10">
        <f ca="1">VLOOKUP($B27,'[5]Analisys QBR By Machine Report'!$C$109:$BD$166,27,FALSE)</f>
        <v>0</v>
      </c>
      <c r="AG27" s="10">
        <f ca="1">VLOOKUP($B27,'[5]Analisys QBR By Machine Report'!$C$109:$BD$166,28,FALSE)</f>
        <v>0</v>
      </c>
      <c r="AH27" s="10">
        <f ca="1">VLOOKUP($B27,'[5]Analisys QBR By Machine Report'!$C$109:$BD$166,29,FALSE)</f>
        <v>0</v>
      </c>
      <c r="AI27" s="10">
        <f ca="1">VLOOKUP($B27,'[5]Analisys QBR By Machine Report'!$C$109:$BD$166,30,FALSE)</f>
        <v>2017</v>
      </c>
      <c r="AJ27" s="10">
        <f ca="1">VLOOKUP($B27,'[5]Analisys QBR By Machine Report'!$C$109:$BD$166,31,FALSE)</f>
        <v>0</v>
      </c>
      <c r="AK27" s="10">
        <f ca="1">VLOOKUP($B27,'[5]Analisys QBR By Machine Report'!$C$109:$BD$166,32,FALSE)</f>
        <v>0</v>
      </c>
      <c r="AL27" s="10">
        <f ca="1">VLOOKUP($B27,'[5]Analisys QBR By Machine Report'!$C$109:$BD$166,33,FALSE)</f>
        <v>385</v>
      </c>
      <c r="AM27" s="10">
        <f ca="1">VLOOKUP($B27,'[5]Analisys QBR By Machine Report'!$C$109:$BD$166,34,FALSE)</f>
        <v>15</v>
      </c>
      <c r="AN27" s="10">
        <f ca="1">VLOOKUP($B27,'[5]Analisys QBR By Machine Report'!$C$109:$BD$166,35,FALSE)</f>
        <v>395</v>
      </c>
      <c r="AO27" s="10">
        <f ca="1">VLOOKUP($B27,'[5]Analisys QBR By Machine Report'!$C$109:$BD$166,36,FALSE)</f>
        <v>0</v>
      </c>
      <c r="AP27" s="10">
        <f ca="1">VLOOKUP($B27,'[5]Analisys QBR By Machine Report'!$C$109:$BD$166,37,FALSE)</f>
        <v>60</v>
      </c>
      <c r="AQ27" s="10">
        <f ca="1">VLOOKUP($B27,'[5]Analisys QBR By Machine Report'!$C$109:$BD$166,38,FALSE)</f>
        <v>0</v>
      </c>
      <c r="AR27" s="10">
        <f ca="1">VLOOKUP($B27,'[5]Analisys QBR By Machine Report'!$C$109:$BD$166,39,FALSE)</f>
        <v>0</v>
      </c>
      <c r="AS27" s="10">
        <f ca="1">VLOOKUP($B27,'[5]Analisys QBR By Machine Report'!$C$109:$BD$166,40,FALSE)</f>
        <v>40</v>
      </c>
      <c r="AT27" s="10">
        <f ca="1">VLOOKUP($B27,'[5]Analisys QBR By Machine Report'!$C$109:$BD$166,41,FALSE)</f>
        <v>0</v>
      </c>
      <c r="AU27" s="10">
        <f ca="1">VLOOKUP($B27,'[5]Analisys QBR By Machine Report'!$C$109:$BD$166,42,FALSE)</f>
        <v>0</v>
      </c>
      <c r="AV27" s="10">
        <f ca="1">VLOOKUP($B27,'[5]Analisys QBR By Machine Report'!$C$109:$BD$166,43,FALSE)</f>
        <v>0</v>
      </c>
      <c r="AW27" s="10">
        <f ca="1">VLOOKUP($B27,'[5]Analisys QBR By Machine Report'!$C$109:$BD$166,44,FALSE)</f>
        <v>0</v>
      </c>
      <c r="AX27" s="10">
        <f ca="1">VLOOKUP($B27,'[5]Analisys QBR By Machine Report'!$C$109:$BD$166,45,FALSE)</f>
        <v>0</v>
      </c>
      <c r="AY27" s="10">
        <f ca="1">VLOOKUP($B27,'[5]Analisys QBR By Machine Report'!$C$109:$BD$166,46,FALSE)</f>
        <v>0</v>
      </c>
      <c r="AZ27" s="10">
        <f ca="1">VLOOKUP($B27,'[5]Analisys QBR By Machine Report'!$C$109:$BD$166,47,FALSE)</f>
        <v>1122</v>
      </c>
      <c r="BA27" s="10">
        <f ca="1">VLOOKUP($B27,'[5]Analisys QBR By Machine Report'!$C$109:$BD$166,48,FALSE)</f>
        <v>0</v>
      </c>
      <c r="BB27" s="10">
        <f ca="1">VLOOKUP($B27,'[5]Analisys QBR By Machine Report'!$C$109:$BD$166,49,FALSE)</f>
        <v>0</v>
      </c>
      <c r="BC27" s="10">
        <f ca="1">VLOOKUP($B27,'[5]Analisys QBR By Machine Report'!$C$109:$BD$166,50,FALSE)</f>
        <v>0</v>
      </c>
      <c r="BD27" s="10">
        <f ca="1">VLOOKUP($B27,'[5]Analisys QBR By Machine Report'!$C$109:$BD$166,51,FALSE)</f>
        <v>1254</v>
      </c>
      <c r="BE27" s="10">
        <f ca="1">VLOOKUP($B27,'[5]Analisys QBR By Machine Report'!$C$109:$BD$166,52,FALSE)</f>
        <v>0</v>
      </c>
      <c r="BF27" s="10">
        <f ca="1">VLOOKUP($B27,'[5]Analisys QBR By Machine Report'!$C$109:$BD$166,53,FALSE)</f>
        <v>1254</v>
      </c>
    </row>
    <row r="28" spans="1:58" x14ac:dyDescent="0.25">
      <c r="A28" s="12" t="s">
        <v>84</v>
      </c>
      <c r="B28" s="13">
        <f ca="1">VLOOKUP($B28,'[5]Analisys QBR By Machine Report'!$C$109:$BD$166,2,FALSE)</f>
        <v>27360</v>
      </c>
      <c r="C28" s="14">
        <f ca="1">VLOOKUP($B28,[5]Dasboard_QBR_Report!$B$109:$BL$166,3,FALSE)</f>
        <v>17670</v>
      </c>
      <c r="D28" s="13">
        <f ca="1">VLOOKUP($B28,'[5]Analisys QBR By Machine Report'!$C$109:$BD$166,3,FALSE)</f>
        <v>18990</v>
      </c>
      <c r="E28" s="14">
        <f ca="1">VLOOKUP($B28,[5]Dasboard_QBR_Report!$B$109:$BL$166,5,FALSE)</f>
        <v>9300</v>
      </c>
      <c r="F28" s="13">
        <f t="shared" ca="1" si="0"/>
        <v>8370</v>
      </c>
      <c r="G28" s="13">
        <f t="shared" ca="1" si="1"/>
        <v>375</v>
      </c>
      <c r="H28" s="13">
        <f ca="1">VLOOKUP($B28,'[5]Analisys QBR By Machine Report'!$C$109:$BD$166,4,FALSE)</f>
        <v>375</v>
      </c>
      <c r="I28" s="13">
        <f ca="1">VLOOKUP($B28,'[5]Analisys QBR By Machine Report'!$C$109:$BD$166,5,FALSE)</f>
        <v>10</v>
      </c>
      <c r="J28" s="13">
        <f ca="1">VLOOKUP($B28,'[5]Analisys QBR By Machine Report'!$C$109:$BD$166,6,FALSE)</f>
        <v>365</v>
      </c>
      <c r="K28" s="13">
        <f ca="1">VLOOKUP($B28,'[5]Analisys QBR By Machine Report'!$C$109:$BD$166,7,FALSE)</f>
        <v>0</v>
      </c>
      <c r="L28" s="13">
        <f ca="1">VLOOKUP($B28,'[5]Analisys QBR By Machine Report'!$C$109:$BD$166,8,FALSE)</f>
        <v>7995</v>
      </c>
      <c r="M28" s="13">
        <f ca="1">VLOOKUP($B28,'[5]Analisys QBR By Machine Report'!$C$109:$BD$166,9,FALSE)</f>
        <v>2325</v>
      </c>
      <c r="N28" s="13">
        <f ca="1">VLOOKUP($B28,[5]Dasboard_QBR_Report!$B$109:$BL$166,18,FALSE)</f>
        <v>5670</v>
      </c>
      <c r="O28" s="13">
        <f ca="1">VLOOKUP($B28,'[5]Analisys QBR By Machine Report'!$C$109:$BD$166,10,FALSE)</f>
        <v>185</v>
      </c>
      <c r="P28" s="13">
        <f ca="1">VLOOKUP($B28,'[5]Analisys QBR By Machine Report'!$C$109:$BD$166,11,FALSE)</f>
        <v>185</v>
      </c>
      <c r="Q28" s="13">
        <f ca="1">VLOOKUP($B28,'[5]Analisys QBR By Machine Report'!$C$109:$BD$166,12,FALSE)</f>
        <v>0</v>
      </c>
      <c r="R28" s="13">
        <f ca="1">VLOOKUP($B28,'[5]Analisys QBR By Machine Report'!$C$109:$BD$166,13,FALSE)</f>
        <v>0</v>
      </c>
      <c r="S28" s="13">
        <f ca="1">VLOOKUP($B28,'[5]Analisys QBR By Machine Report'!$C$109:$BD$166,14,FALSE)</f>
        <v>0</v>
      </c>
      <c r="T28" s="13">
        <f ca="1">VLOOKUP($B28,'[5]Analisys QBR By Machine Report'!$C$109:$BD$166,15,FALSE)</f>
        <v>577</v>
      </c>
      <c r="U28" s="13">
        <f ca="1">VLOOKUP($B28,'[5]Analisys QBR By Machine Report'!$C$109:$BD$166,16,FALSE)</f>
        <v>367</v>
      </c>
      <c r="V28" s="13">
        <f ca="1">VLOOKUP($B28,'[5]Analisys QBR By Machine Report'!$C$109:$BD$166,17,FALSE)</f>
        <v>0</v>
      </c>
      <c r="W28" s="13">
        <f ca="1">VLOOKUP($B28,'[5]Analisys QBR By Machine Report'!$C$109:$BD$166,18,FALSE)</f>
        <v>0</v>
      </c>
      <c r="X28" s="13">
        <f ca="1">VLOOKUP($B28,'[5]Analisys QBR By Machine Report'!$C$109:$BD$166,19,FALSE)</f>
        <v>210</v>
      </c>
      <c r="Y28" s="13">
        <f ca="1">VLOOKUP($B28,'[5]Analisys QBR By Machine Report'!$C$109:$BD$166,20,FALSE)</f>
        <v>0</v>
      </c>
      <c r="Z28" s="13">
        <f ca="1">VLOOKUP($B28,'[5]Analisys QBR By Machine Report'!$C$109:$BD$166,21,FALSE)</f>
        <v>2891</v>
      </c>
      <c r="AA28" s="13">
        <f ca="1">VLOOKUP($B28,'[5]Analisys QBR By Machine Report'!$C$109:$BD$166,22,FALSE)</f>
        <v>601</v>
      </c>
      <c r="AB28" s="13">
        <f ca="1">VLOOKUP($B28,'[5]Analisys QBR By Machine Report'!$C$109:$BD$166,23,FALSE)</f>
        <v>1403</v>
      </c>
      <c r="AC28" s="13">
        <f ca="1">VLOOKUP($B28,'[5]Analisys QBR By Machine Report'!$C$109:$BD$166,24,FALSE)</f>
        <v>0</v>
      </c>
      <c r="AD28" s="13">
        <f ca="1">VLOOKUP($B28,'[5]Analisys QBR By Machine Report'!$C$109:$BD$166,25,FALSE)</f>
        <v>887</v>
      </c>
      <c r="AE28" s="13">
        <f ca="1">VLOOKUP($B28,'[5]Analisys QBR By Machine Report'!$C$109:$BD$166,26,FALSE)</f>
        <v>0</v>
      </c>
      <c r="AF28" s="13">
        <f ca="1">VLOOKUP($B28,'[5]Analisys QBR By Machine Report'!$C$109:$BD$166,27,FALSE)</f>
        <v>0</v>
      </c>
      <c r="AG28" s="13">
        <f ca="1">VLOOKUP($B28,'[5]Analisys QBR By Machine Report'!$C$109:$BD$166,28,FALSE)</f>
        <v>0</v>
      </c>
      <c r="AH28" s="13">
        <f ca="1">VLOOKUP($B28,'[5]Analisys QBR By Machine Report'!$C$109:$BD$166,29,FALSE)</f>
        <v>0</v>
      </c>
      <c r="AI28" s="13">
        <f ca="1">VLOOKUP($B28,'[5]Analisys QBR By Machine Report'!$C$109:$BD$166,30,FALSE)</f>
        <v>2017</v>
      </c>
      <c r="AJ28" s="13">
        <f ca="1">VLOOKUP($B28,'[5]Analisys QBR By Machine Report'!$C$109:$BD$166,31,FALSE)</f>
        <v>0</v>
      </c>
      <c r="AK28" s="13">
        <f ca="1">VLOOKUP($B28,'[5]Analisys QBR By Machine Report'!$C$109:$BD$166,32,FALSE)</f>
        <v>0</v>
      </c>
      <c r="AL28" s="13">
        <f ca="1">VLOOKUP($B28,'[5]Analisys QBR By Machine Report'!$C$109:$BD$166,33,FALSE)</f>
        <v>385</v>
      </c>
      <c r="AM28" s="13">
        <f ca="1">VLOOKUP($B28,'[5]Analisys QBR By Machine Report'!$C$109:$BD$166,34,FALSE)</f>
        <v>15</v>
      </c>
      <c r="AN28" s="13">
        <f ca="1">VLOOKUP($B28,'[5]Analisys QBR By Machine Report'!$C$109:$BD$166,35,FALSE)</f>
        <v>395</v>
      </c>
      <c r="AO28" s="13">
        <f ca="1">VLOOKUP($B28,'[5]Analisys QBR By Machine Report'!$C$109:$BD$166,36,FALSE)</f>
        <v>0</v>
      </c>
      <c r="AP28" s="13">
        <f ca="1">VLOOKUP($B28,'[5]Analisys QBR By Machine Report'!$C$109:$BD$166,37,FALSE)</f>
        <v>60</v>
      </c>
      <c r="AQ28" s="13">
        <f ca="1">VLOOKUP($B28,'[5]Analisys QBR By Machine Report'!$C$109:$BD$166,38,FALSE)</f>
        <v>0</v>
      </c>
      <c r="AR28" s="13">
        <f ca="1">VLOOKUP($B28,'[5]Analisys QBR By Machine Report'!$C$109:$BD$166,39,FALSE)</f>
        <v>0</v>
      </c>
      <c r="AS28" s="13">
        <f ca="1">VLOOKUP($B28,'[5]Analisys QBR By Machine Report'!$C$109:$BD$166,40,FALSE)</f>
        <v>40</v>
      </c>
      <c r="AT28" s="13">
        <f ca="1">VLOOKUP($B28,'[5]Analisys QBR By Machine Report'!$C$109:$BD$166,41,FALSE)</f>
        <v>0</v>
      </c>
      <c r="AU28" s="13">
        <f ca="1">VLOOKUP($B28,'[5]Analisys QBR By Machine Report'!$C$109:$BD$166,42,FALSE)</f>
        <v>0</v>
      </c>
      <c r="AV28" s="13">
        <f ca="1">VLOOKUP($B28,'[5]Analisys QBR By Machine Report'!$C$109:$BD$166,43,FALSE)</f>
        <v>0</v>
      </c>
      <c r="AW28" s="13">
        <f ca="1">VLOOKUP($B28,'[5]Analisys QBR By Machine Report'!$C$109:$BD$166,44,FALSE)</f>
        <v>0</v>
      </c>
      <c r="AX28" s="13">
        <f ca="1">VLOOKUP($B28,'[5]Analisys QBR By Machine Report'!$C$109:$BD$166,45,FALSE)</f>
        <v>0</v>
      </c>
      <c r="AY28" s="13">
        <f ca="1">VLOOKUP($B28,'[5]Analisys QBR By Machine Report'!$C$109:$BD$166,46,FALSE)</f>
        <v>0</v>
      </c>
      <c r="AZ28" s="13">
        <f ca="1">VLOOKUP($B28,'[5]Analisys QBR By Machine Report'!$C$109:$BD$166,47,FALSE)</f>
        <v>1122</v>
      </c>
      <c r="BA28" s="13">
        <f ca="1">VLOOKUP($B28,'[5]Analisys QBR By Machine Report'!$C$109:$BD$166,48,FALSE)</f>
        <v>0</v>
      </c>
      <c r="BB28" s="13">
        <f ca="1">VLOOKUP($B28,'[5]Analisys QBR By Machine Report'!$C$109:$BD$166,49,FALSE)</f>
        <v>0</v>
      </c>
      <c r="BC28" s="13">
        <f ca="1">VLOOKUP($B28,'[5]Analisys QBR By Machine Report'!$C$109:$BD$166,50,FALSE)</f>
        <v>0</v>
      </c>
      <c r="BD28" s="13">
        <f ca="1">VLOOKUP($B28,'[5]Analisys QBR By Machine Report'!$C$109:$BD$166,51,FALSE)</f>
        <v>1254</v>
      </c>
      <c r="BE28" s="13">
        <f ca="1">VLOOKUP($B28,'[5]Analisys QBR By Machine Report'!$C$109:$BD$166,52,FALSE)</f>
        <v>0</v>
      </c>
      <c r="BF28" s="13">
        <f ca="1">VLOOKUP($B28,'[5]Analisys QBR By Machine Report'!$C$109:$BD$166,53,FALSE)</f>
        <v>1254</v>
      </c>
    </row>
    <row r="29" spans="1:58" x14ac:dyDescent="0.25">
      <c r="A29" s="9" t="s">
        <v>85</v>
      </c>
      <c r="B29" s="10">
        <f ca="1">VLOOKUP($B29,'[5]Analisys QBR By Machine Report'!$C$109:$BD$166,2,FALSE)</f>
        <v>54720</v>
      </c>
      <c r="C29" s="11">
        <f ca="1">VLOOKUP($B29,[5]Dasboard_QBR_Report!$B$109:$BL$166,3,FALSE)</f>
        <v>35340</v>
      </c>
      <c r="D29" s="10">
        <f ca="1">VLOOKUP($B29,'[5]Analisys QBR By Machine Report'!$C$109:$BD$166,3,FALSE)</f>
        <v>27120</v>
      </c>
      <c r="E29" s="11">
        <f ca="1">VLOOKUP($B29,[5]Dasboard_QBR_Report!$B$109:$BL$166,5,FALSE)</f>
        <v>7740</v>
      </c>
      <c r="F29" s="10">
        <f t="shared" ca="1" si="0"/>
        <v>27600</v>
      </c>
      <c r="G29" s="10">
        <f t="shared" ca="1" si="1"/>
        <v>1620</v>
      </c>
      <c r="H29" s="10">
        <f ca="1">VLOOKUP($B29,'[5]Analisys QBR By Machine Report'!$C$109:$BD$166,4,FALSE)</f>
        <v>1620</v>
      </c>
      <c r="I29" s="10">
        <f ca="1">VLOOKUP($B29,'[5]Analisys QBR By Machine Report'!$C$109:$BD$166,5,FALSE)</f>
        <v>165</v>
      </c>
      <c r="J29" s="10">
        <f ca="1">VLOOKUP($B29,'[5]Analisys QBR By Machine Report'!$C$109:$BD$166,6,FALSE)</f>
        <v>1455</v>
      </c>
      <c r="K29" s="10">
        <f ca="1">VLOOKUP($B29,'[5]Analisys QBR By Machine Report'!$C$109:$BD$166,7,FALSE)</f>
        <v>0</v>
      </c>
      <c r="L29" s="10">
        <f ca="1">VLOOKUP($B29,'[5]Analisys QBR By Machine Report'!$C$109:$BD$166,8,FALSE)</f>
        <v>25980</v>
      </c>
      <c r="M29" s="10">
        <f ca="1">VLOOKUP($B29,'[5]Analisys QBR By Machine Report'!$C$109:$BD$166,9,FALSE)</f>
        <v>9448</v>
      </c>
      <c r="N29" s="10">
        <f ca="1">VLOOKUP($B29,[5]Dasboard_QBR_Report!$B$109:$BL$166,18,FALSE)</f>
        <v>16532</v>
      </c>
      <c r="O29" s="10">
        <f ca="1">VLOOKUP($B29,'[5]Analisys QBR By Machine Report'!$C$109:$BD$166,10,FALSE)</f>
        <v>2395</v>
      </c>
      <c r="P29" s="10">
        <f ca="1">VLOOKUP($B29,'[5]Analisys QBR By Machine Report'!$C$109:$BD$166,11,FALSE)</f>
        <v>2033</v>
      </c>
      <c r="Q29" s="10">
        <f ca="1">VLOOKUP($B29,'[5]Analisys QBR By Machine Report'!$C$109:$BD$166,12,FALSE)</f>
        <v>137</v>
      </c>
      <c r="R29" s="10">
        <f ca="1">VLOOKUP($B29,'[5]Analisys QBR By Machine Report'!$C$109:$BD$166,13,FALSE)</f>
        <v>202</v>
      </c>
      <c r="S29" s="10">
        <f ca="1">VLOOKUP($B29,'[5]Analisys QBR By Machine Report'!$C$109:$BD$166,14,FALSE)</f>
        <v>23</v>
      </c>
      <c r="T29" s="10">
        <f ca="1">VLOOKUP($B29,'[5]Analisys QBR By Machine Report'!$C$109:$BD$166,15,FALSE)</f>
        <v>1098</v>
      </c>
      <c r="U29" s="10">
        <f ca="1">VLOOKUP($B29,'[5]Analisys QBR By Machine Report'!$C$109:$BD$166,16,FALSE)</f>
        <v>868</v>
      </c>
      <c r="V29" s="10">
        <f ca="1">VLOOKUP($B29,'[5]Analisys QBR By Machine Report'!$C$109:$BD$166,17,FALSE)</f>
        <v>120</v>
      </c>
      <c r="W29" s="10">
        <f ca="1">VLOOKUP($B29,'[5]Analisys QBR By Machine Report'!$C$109:$BD$166,18,FALSE)</f>
        <v>0</v>
      </c>
      <c r="X29" s="10">
        <f ca="1">VLOOKUP($B29,'[5]Analisys QBR By Machine Report'!$C$109:$BD$166,19,FALSE)</f>
        <v>110</v>
      </c>
      <c r="Y29" s="10">
        <f ca="1">VLOOKUP($B29,'[5]Analisys QBR By Machine Report'!$C$109:$BD$166,20,FALSE)</f>
        <v>0</v>
      </c>
      <c r="Z29" s="10">
        <f ca="1">VLOOKUP($B29,'[5]Analisys QBR By Machine Report'!$C$109:$BD$166,21,FALSE)</f>
        <v>5483</v>
      </c>
      <c r="AA29" s="10">
        <f ca="1">VLOOKUP($B29,'[5]Analisys QBR By Machine Report'!$C$109:$BD$166,22,FALSE)</f>
        <v>1385</v>
      </c>
      <c r="AB29" s="10">
        <f ca="1">VLOOKUP($B29,'[5]Analisys QBR By Machine Report'!$C$109:$BD$166,23,FALSE)</f>
        <v>4073</v>
      </c>
      <c r="AC29" s="10">
        <f ca="1">VLOOKUP($B29,'[5]Analisys QBR By Machine Report'!$C$109:$BD$166,24,FALSE)</f>
        <v>25</v>
      </c>
      <c r="AD29" s="10">
        <f ca="1">VLOOKUP($B29,'[5]Analisys QBR By Machine Report'!$C$109:$BD$166,25,FALSE)</f>
        <v>0</v>
      </c>
      <c r="AE29" s="10">
        <f ca="1">VLOOKUP($B29,'[5]Analisys QBR By Machine Report'!$C$109:$BD$166,26,FALSE)</f>
        <v>0</v>
      </c>
      <c r="AF29" s="10">
        <f ca="1">VLOOKUP($B29,'[5]Analisys QBR By Machine Report'!$C$109:$BD$166,27,FALSE)</f>
        <v>0</v>
      </c>
      <c r="AG29" s="10">
        <f ca="1">VLOOKUP($B29,'[5]Analisys QBR By Machine Report'!$C$109:$BD$166,28,FALSE)</f>
        <v>0</v>
      </c>
      <c r="AH29" s="10">
        <f ca="1">VLOOKUP($B29,'[5]Analisys QBR By Machine Report'!$C$109:$BD$166,29,FALSE)</f>
        <v>0</v>
      </c>
      <c r="AI29" s="10">
        <f ca="1">VLOOKUP($B29,'[5]Analisys QBR By Machine Report'!$C$109:$BD$166,30,FALSE)</f>
        <v>7556</v>
      </c>
      <c r="AJ29" s="10">
        <f ca="1">VLOOKUP($B29,'[5]Analisys QBR By Machine Report'!$C$109:$BD$166,31,FALSE)</f>
        <v>0</v>
      </c>
      <c r="AK29" s="10">
        <f ca="1">VLOOKUP($B29,'[5]Analisys QBR By Machine Report'!$C$109:$BD$166,32,FALSE)</f>
        <v>0</v>
      </c>
      <c r="AL29" s="10">
        <f ca="1">VLOOKUP($B29,'[5]Analisys QBR By Machine Report'!$C$109:$BD$166,33,FALSE)</f>
        <v>1640</v>
      </c>
      <c r="AM29" s="10">
        <f ca="1">VLOOKUP($B29,'[5]Analisys QBR By Machine Report'!$C$109:$BD$166,34,FALSE)</f>
        <v>60</v>
      </c>
      <c r="AN29" s="10">
        <f ca="1">VLOOKUP($B29,'[5]Analisys QBR By Machine Report'!$C$109:$BD$166,35,FALSE)</f>
        <v>1737</v>
      </c>
      <c r="AO29" s="10">
        <f ca="1">VLOOKUP($B29,'[5]Analisys QBR By Machine Report'!$C$109:$BD$166,36,FALSE)</f>
        <v>0</v>
      </c>
      <c r="AP29" s="10">
        <f ca="1">VLOOKUP($B29,'[5]Analisys QBR By Machine Report'!$C$109:$BD$166,37,FALSE)</f>
        <v>40</v>
      </c>
      <c r="AQ29" s="10">
        <f ca="1">VLOOKUP($B29,'[5]Analisys QBR By Machine Report'!$C$109:$BD$166,38,FALSE)</f>
        <v>20</v>
      </c>
      <c r="AR29" s="10">
        <f ca="1">VLOOKUP($B29,'[5]Analisys QBR By Machine Report'!$C$109:$BD$166,39,FALSE)</f>
        <v>0</v>
      </c>
      <c r="AS29" s="10">
        <f ca="1">VLOOKUP($B29,'[5]Analisys QBR By Machine Report'!$C$109:$BD$166,40,FALSE)</f>
        <v>555</v>
      </c>
      <c r="AT29" s="10">
        <f ca="1">VLOOKUP($B29,'[5]Analisys QBR By Machine Report'!$C$109:$BD$166,41,FALSE)</f>
        <v>0</v>
      </c>
      <c r="AU29" s="10">
        <f ca="1">VLOOKUP($B29,'[5]Analisys QBR By Machine Report'!$C$109:$BD$166,42,FALSE)</f>
        <v>0</v>
      </c>
      <c r="AV29" s="10">
        <f ca="1">VLOOKUP($B29,'[5]Analisys QBR By Machine Report'!$C$109:$BD$166,43,FALSE)</f>
        <v>3358</v>
      </c>
      <c r="AW29" s="10">
        <f ca="1">VLOOKUP($B29,'[5]Analisys QBR By Machine Report'!$C$109:$BD$166,44,FALSE)</f>
        <v>0</v>
      </c>
      <c r="AX29" s="10">
        <f ca="1">VLOOKUP($B29,'[5]Analisys QBR By Machine Report'!$C$109:$BD$166,45,FALSE)</f>
        <v>0</v>
      </c>
      <c r="AY29" s="10">
        <f ca="1">VLOOKUP($B29,'[5]Analisys QBR By Machine Report'!$C$109:$BD$166,46,FALSE)</f>
        <v>0</v>
      </c>
      <c r="AZ29" s="10">
        <f ca="1">VLOOKUP($B29,'[5]Analisys QBR By Machine Report'!$C$109:$BD$166,47,FALSE)</f>
        <v>76</v>
      </c>
      <c r="BA29" s="10">
        <f ca="1">VLOOKUP($B29,'[5]Analisys QBR By Machine Report'!$C$109:$BD$166,48,FALSE)</f>
        <v>70</v>
      </c>
      <c r="BB29" s="10">
        <f ca="1">VLOOKUP($B29,'[5]Analisys QBR By Machine Report'!$C$109:$BD$166,49,FALSE)</f>
        <v>0</v>
      </c>
      <c r="BC29" s="10">
        <f ca="1">VLOOKUP($B29,'[5]Analisys QBR By Machine Report'!$C$109:$BD$166,50,FALSE)</f>
        <v>0</v>
      </c>
      <c r="BD29" s="10">
        <f ca="1">VLOOKUP($B29,'[5]Analisys QBR By Machine Report'!$C$109:$BD$166,51,FALSE)</f>
        <v>955506</v>
      </c>
      <c r="BE29" s="10">
        <f ca="1">VLOOKUP($B29,'[5]Analisys QBR By Machine Report'!$C$109:$BD$166,52,FALSE)</f>
        <v>205</v>
      </c>
      <c r="BF29" s="10">
        <f ca="1">VLOOKUP($B29,'[5]Analisys QBR By Machine Report'!$C$109:$BD$166,53,FALSE)</f>
        <v>955301</v>
      </c>
    </row>
    <row r="30" spans="1:58" x14ac:dyDescent="0.25">
      <c r="A30" s="12" t="s">
        <v>86</v>
      </c>
      <c r="B30" s="13">
        <f ca="1">VLOOKUP($B30,'[5]Analisys QBR By Machine Report'!$C$109:$BD$166,2,FALSE)</f>
        <v>27360</v>
      </c>
      <c r="C30" s="14">
        <f ca="1">VLOOKUP($B30,[5]Dasboard_QBR_Report!$B$109:$BL$166,3,FALSE)</f>
        <v>17670</v>
      </c>
      <c r="D30" s="13">
        <f ca="1">VLOOKUP($B30,'[5]Analisys QBR By Machine Report'!$C$109:$BD$166,3,FALSE)</f>
        <v>15840</v>
      </c>
      <c r="E30" s="14">
        <f ca="1">VLOOKUP($B30,[5]Dasboard_QBR_Report!$B$109:$BL$166,5,FALSE)</f>
        <v>6150</v>
      </c>
      <c r="F30" s="13">
        <f t="shared" ca="1" si="0"/>
        <v>11520</v>
      </c>
      <c r="G30" s="13">
        <f t="shared" ca="1" si="1"/>
        <v>920</v>
      </c>
      <c r="H30" s="13">
        <f ca="1">VLOOKUP($B30,'[5]Analisys QBR By Machine Report'!$C$109:$BD$166,4,FALSE)</f>
        <v>920</v>
      </c>
      <c r="I30" s="13">
        <f ca="1">VLOOKUP($B30,'[5]Analisys QBR By Machine Report'!$C$109:$BD$166,5,FALSE)</f>
        <v>130</v>
      </c>
      <c r="J30" s="13">
        <f ca="1">VLOOKUP($B30,'[5]Analisys QBR By Machine Report'!$C$109:$BD$166,6,FALSE)</f>
        <v>790</v>
      </c>
      <c r="K30" s="13">
        <f ca="1">VLOOKUP($B30,'[5]Analisys QBR By Machine Report'!$C$109:$BD$166,7,FALSE)</f>
        <v>0</v>
      </c>
      <c r="L30" s="13">
        <f ca="1">VLOOKUP($B30,'[5]Analisys QBR By Machine Report'!$C$109:$BD$166,8,FALSE)</f>
        <v>10600</v>
      </c>
      <c r="M30" s="13">
        <f ca="1">VLOOKUP($B30,'[5]Analisys QBR By Machine Report'!$C$109:$BD$166,9,FALSE)</f>
        <v>2482</v>
      </c>
      <c r="N30" s="13">
        <f ca="1">VLOOKUP($B30,[5]Dasboard_QBR_Report!$B$109:$BL$166,18,FALSE)</f>
        <v>8118</v>
      </c>
      <c r="O30" s="13">
        <f ca="1">VLOOKUP($B30,'[5]Analisys QBR By Machine Report'!$C$109:$BD$166,10,FALSE)</f>
        <v>1190</v>
      </c>
      <c r="P30" s="13">
        <f ca="1">VLOOKUP($B30,'[5]Analisys QBR By Machine Report'!$C$109:$BD$166,11,FALSE)</f>
        <v>998</v>
      </c>
      <c r="Q30" s="13">
        <f ca="1">VLOOKUP($B30,'[5]Analisys QBR By Machine Report'!$C$109:$BD$166,12,FALSE)</f>
        <v>137</v>
      </c>
      <c r="R30" s="13">
        <f ca="1">VLOOKUP($B30,'[5]Analisys QBR By Machine Report'!$C$109:$BD$166,13,FALSE)</f>
        <v>32</v>
      </c>
      <c r="S30" s="13">
        <f ca="1">VLOOKUP($B30,'[5]Analisys QBR By Machine Report'!$C$109:$BD$166,14,FALSE)</f>
        <v>23</v>
      </c>
      <c r="T30" s="13">
        <f ca="1">VLOOKUP($B30,'[5]Analisys QBR By Machine Report'!$C$109:$BD$166,15,FALSE)</f>
        <v>300</v>
      </c>
      <c r="U30" s="13">
        <f ca="1">VLOOKUP($B30,'[5]Analisys QBR By Machine Report'!$C$109:$BD$166,16,FALSE)</f>
        <v>200</v>
      </c>
      <c r="V30" s="13">
        <f ca="1">VLOOKUP($B30,'[5]Analisys QBR By Machine Report'!$C$109:$BD$166,17,FALSE)</f>
        <v>20</v>
      </c>
      <c r="W30" s="13">
        <f ca="1">VLOOKUP($B30,'[5]Analisys QBR By Machine Report'!$C$109:$BD$166,18,FALSE)</f>
        <v>0</v>
      </c>
      <c r="X30" s="13">
        <f ca="1">VLOOKUP($B30,'[5]Analisys QBR By Machine Report'!$C$109:$BD$166,19,FALSE)</f>
        <v>80</v>
      </c>
      <c r="Y30" s="13">
        <f ca="1">VLOOKUP($B30,'[5]Analisys QBR By Machine Report'!$C$109:$BD$166,20,FALSE)</f>
        <v>0</v>
      </c>
      <c r="Z30" s="13">
        <f ca="1">VLOOKUP($B30,'[5]Analisys QBR By Machine Report'!$C$109:$BD$166,21,FALSE)</f>
        <v>2944</v>
      </c>
      <c r="AA30" s="13">
        <f ca="1">VLOOKUP($B30,'[5]Analisys QBR By Machine Report'!$C$109:$BD$166,22,FALSE)</f>
        <v>1036</v>
      </c>
      <c r="AB30" s="13">
        <f ca="1">VLOOKUP($B30,'[5]Analisys QBR By Machine Report'!$C$109:$BD$166,23,FALSE)</f>
        <v>1883</v>
      </c>
      <c r="AC30" s="13">
        <f ca="1">VLOOKUP($B30,'[5]Analisys QBR By Machine Report'!$C$109:$BD$166,24,FALSE)</f>
        <v>25</v>
      </c>
      <c r="AD30" s="13">
        <f ca="1">VLOOKUP($B30,'[5]Analisys QBR By Machine Report'!$C$109:$BD$166,25,FALSE)</f>
        <v>0</v>
      </c>
      <c r="AE30" s="13">
        <f ca="1">VLOOKUP($B30,'[5]Analisys QBR By Machine Report'!$C$109:$BD$166,26,FALSE)</f>
        <v>0</v>
      </c>
      <c r="AF30" s="13">
        <f ca="1">VLOOKUP($B30,'[5]Analisys QBR By Machine Report'!$C$109:$BD$166,27,FALSE)</f>
        <v>0</v>
      </c>
      <c r="AG30" s="13">
        <f ca="1">VLOOKUP($B30,'[5]Analisys QBR By Machine Report'!$C$109:$BD$166,28,FALSE)</f>
        <v>0</v>
      </c>
      <c r="AH30" s="13">
        <f ca="1">VLOOKUP($B30,'[5]Analisys QBR By Machine Report'!$C$109:$BD$166,29,FALSE)</f>
        <v>0</v>
      </c>
      <c r="AI30" s="13">
        <f ca="1">VLOOKUP($B30,'[5]Analisys QBR By Machine Report'!$C$109:$BD$166,30,FALSE)</f>
        <v>3684</v>
      </c>
      <c r="AJ30" s="13">
        <f ca="1">VLOOKUP($B30,'[5]Analisys QBR By Machine Report'!$C$109:$BD$166,31,FALSE)</f>
        <v>0</v>
      </c>
      <c r="AK30" s="13">
        <f ca="1">VLOOKUP($B30,'[5]Analisys QBR By Machine Report'!$C$109:$BD$166,32,FALSE)</f>
        <v>0</v>
      </c>
      <c r="AL30" s="13">
        <f ca="1">VLOOKUP($B30,'[5]Analisys QBR By Machine Report'!$C$109:$BD$166,33,FALSE)</f>
        <v>660</v>
      </c>
      <c r="AM30" s="13">
        <f ca="1">VLOOKUP($B30,'[5]Analisys QBR By Machine Report'!$C$109:$BD$166,34,FALSE)</f>
        <v>30</v>
      </c>
      <c r="AN30" s="13">
        <f ca="1">VLOOKUP($B30,'[5]Analisys QBR By Machine Report'!$C$109:$BD$166,35,FALSE)</f>
        <v>782</v>
      </c>
      <c r="AO30" s="13">
        <f ca="1">VLOOKUP($B30,'[5]Analisys QBR By Machine Report'!$C$109:$BD$166,36,FALSE)</f>
        <v>0</v>
      </c>
      <c r="AP30" s="13">
        <f ca="1">VLOOKUP($B30,'[5]Analisys QBR By Machine Report'!$C$109:$BD$166,37,FALSE)</f>
        <v>0</v>
      </c>
      <c r="AQ30" s="13">
        <f ca="1">VLOOKUP($B30,'[5]Analisys QBR By Machine Report'!$C$109:$BD$166,38,FALSE)</f>
        <v>20</v>
      </c>
      <c r="AR30" s="13">
        <f ca="1">VLOOKUP($B30,'[5]Analisys QBR By Machine Report'!$C$109:$BD$166,39,FALSE)</f>
        <v>0</v>
      </c>
      <c r="AS30" s="13">
        <f ca="1">VLOOKUP($B30,'[5]Analisys QBR By Machine Report'!$C$109:$BD$166,40,FALSE)</f>
        <v>255</v>
      </c>
      <c r="AT30" s="13">
        <f ca="1">VLOOKUP($B30,'[5]Analisys QBR By Machine Report'!$C$109:$BD$166,41,FALSE)</f>
        <v>0</v>
      </c>
      <c r="AU30" s="13">
        <f ca="1">VLOOKUP($B30,'[5]Analisys QBR By Machine Report'!$C$109:$BD$166,42,FALSE)</f>
        <v>0</v>
      </c>
      <c r="AV30" s="13">
        <f ca="1">VLOOKUP($B30,'[5]Analisys QBR By Machine Report'!$C$109:$BD$166,43,FALSE)</f>
        <v>1891</v>
      </c>
      <c r="AW30" s="13">
        <f ca="1">VLOOKUP($B30,'[5]Analisys QBR By Machine Report'!$C$109:$BD$166,44,FALSE)</f>
        <v>0</v>
      </c>
      <c r="AX30" s="13">
        <f ca="1">VLOOKUP($B30,'[5]Analisys QBR By Machine Report'!$C$109:$BD$166,45,FALSE)</f>
        <v>0</v>
      </c>
      <c r="AY30" s="13">
        <f ca="1">VLOOKUP($B30,'[5]Analisys QBR By Machine Report'!$C$109:$BD$166,46,FALSE)</f>
        <v>0</v>
      </c>
      <c r="AZ30" s="13">
        <f ca="1">VLOOKUP($B30,'[5]Analisys QBR By Machine Report'!$C$109:$BD$166,47,FALSE)</f>
        <v>46</v>
      </c>
      <c r="BA30" s="13">
        <f ca="1">VLOOKUP($B30,'[5]Analisys QBR By Machine Report'!$C$109:$BD$166,48,FALSE)</f>
        <v>0</v>
      </c>
      <c r="BB30" s="13">
        <f ca="1">VLOOKUP($B30,'[5]Analisys QBR By Machine Report'!$C$109:$BD$166,49,FALSE)</f>
        <v>0</v>
      </c>
      <c r="BC30" s="13">
        <f ca="1">VLOOKUP($B30,'[5]Analisys QBR By Machine Report'!$C$109:$BD$166,50,FALSE)</f>
        <v>0</v>
      </c>
      <c r="BD30" s="13">
        <f ca="1">VLOOKUP($B30,'[5]Analisys QBR By Machine Report'!$C$109:$BD$166,51,FALSE)</f>
        <v>355408</v>
      </c>
      <c r="BE30" s="13">
        <f ca="1">VLOOKUP($B30,'[5]Analisys QBR By Machine Report'!$C$109:$BD$166,52,FALSE)</f>
        <v>0</v>
      </c>
      <c r="BF30" s="13">
        <f ca="1">VLOOKUP($B30,'[5]Analisys QBR By Machine Report'!$C$109:$BD$166,53,FALSE)</f>
        <v>355408</v>
      </c>
    </row>
    <row r="31" spans="1:58" x14ac:dyDescent="0.25">
      <c r="A31" s="12" t="s">
        <v>87</v>
      </c>
      <c r="B31" s="13">
        <f ca="1">VLOOKUP($B31,'[5]Analisys QBR By Machine Report'!$C$109:$BD$166,2,FALSE)</f>
        <v>27360</v>
      </c>
      <c r="C31" s="14">
        <f ca="1">VLOOKUP($B31,[5]Dasboard_QBR_Report!$B$109:$BL$166,3,FALSE)</f>
        <v>17670</v>
      </c>
      <c r="D31" s="13">
        <f ca="1">VLOOKUP($B31,'[5]Analisys QBR By Machine Report'!$C$109:$BD$166,3,FALSE)</f>
        <v>11280</v>
      </c>
      <c r="E31" s="14">
        <f ca="1">VLOOKUP($B31,[5]Dasboard_QBR_Report!$B$109:$BL$166,5,FALSE)</f>
        <v>1590</v>
      </c>
      <c r="F31" s="13">
        <f t="shared" ca="1" si="0"/>
        <v>16080</v>
      </c>
      <c r="G31" s="13">
        <f t="shared" ca="1" si="1"/>
        <v>700</v>
      </c>
      <c r="H31" s="13">
        <f ca="1">VLOOKUP($B31,'[5]Analisys QBR By Machine Report'!$C$109:$BD$166,4,FALSE)</f>
        <v>700</v>
      </c>
      <c r="I31" s="13">
        <f ca="1">VLOOKUP($B31,'[5]Analisys QBR By Machine Report'!$C$109:$BD$166,5,FALSE)</f>
        <v>35</v>
      </c>
      <c r="J31" s="13">
        <f ca="1">VLOOKUP($B31,'[5]Analisys QBR By Machine Report'!$C$109:$BD$166,6,FALSE)</f>
        <v>665</v>
      </c>
      <c r="K31" s="13">
        <f ca="1">VLOOKUP($B31,'[5]Analisys QBR By Machine Report'!$C$109:$BD$166,7,FALSE)</f>
        <v>0</v>
      </c>
      <c r="L31" s="13">
        <f ca="1">VLOOKUP($B31,'[5]Analisys QBR By Machine Report'!$C$109:$BD$166,8,FALSE)</f>
        <v>15380</v>
      </c>
      <c r="M31" s="13">
        <f ca="1">VLOOKUP($B31,'[5]Analisys QBR By Machine Report'!$C$109:$BD$166,9,FALSE)</f>
        <v>6966</v>
      </c>
      <c r="N31" s="13">
        <f ca="1">VLOOKUP($B31,[5]Dasboard_QBR_Report!$B$109:$BL$166,18,FALSE)</f>
        <v>8414</v>
      </c>
      <c r="O31" s="13">
        <f ca="1">VLOOKUP($B31,'[5]Analisys QBR By Machine Report'!$C$109:$BD$166,10,FALSE)</f>
        <v>1205</v>
      </c>
      <c r="P31" s="13">
        <f ca="1">VLOOKUP($B31,'[5]Analisys QBR By Machine Report'!$C$109:$BD$166,11,FALSE)</f>
        <v>1035</v>
      </c>
      <c r="Q31" s="13">
        <f ca="1">VLOOKUP($B31,'[5]Analisys QBR By Machine Report'!$C$109:$BD$166,12,FALSE)</f>
        <v>0</v>
      </c>
      <c r="R31" s="13">
        <f ca="1">VLOOKUP($B31,'[5]Analisys QBR By Machine Report'!$C$109:$BD$166,13,FALSE)</f>
        <v>170</v>
      </c>
      <c r="S31" s="13">
        <f ca="1">VLOOKUP($B31,'[5]Analisys QBR By Machine Report'!$C$109:$BD$166,14,FALSE)</f>
        <v>0</v>
      </c>
      <c r="T31" s="13">
        <f ca="1">VLOOKUP($B31,'[5]Analisys QBR By Machine Report'!$C$109:$BD$166,15,FALSE)</f>
        <v>798</v>
      </c>
      <c r="U31" s="13">
        <f ca="1">VLOOKUP($B31,'[5]Analisys QBR By Machine Report'!$C$109:$BD$166,16,FALSE)</f>
        <v>668</v>
      </c>
      <c r="V31" s="13">
        <f ca="1">VLOOKUP($B31,'[5]Analisys QBR By Machine Report'!$C$109:$BD$166,17,FALSE)</f>
        <v>100</v>
      </c>
      <c r="W31" s="13">
        <f ca="1">VLOOKUP($B31,'[5]Analisys QBR By Machine Report'!$C$109:$BD$166,18,FALSE)</f>
        <v>0</v>
      </c>
      <c r="X31" s="13">
        <f ca="1">VLOOKUP($B31,'[5]Analisys QBR By Machine Report'!$C$109:$BD$166,19,FALSE)</f>
        <v>30</v>
      </c>
      <c r="Y31" s="13">
        <f ca="1">VLOOKUP($B31,'[5]Analisys QBR By Machine Report'!$C$109:$BD$166,20,FALSE)</f>
        <v>0</v>
      </c>
      <c r="Z31" s="13">
        <f ca="1">VLOOKUP($B31,'[5]Analisys QBR By Machine Report'!$C$109:$BD$166,21,FALSE)</f>
        <v>2539</v>
      </c>
      <c r="AA31" s="13">
        <f ca="1">VLOOKUP($B31,'[5]Analisys QBR By Machine Report'!$C$109:$BD$166,22,FALSE)</f>
        <v>349</v>
      </c>
      <c r="AB31" s="13">
        <f ca="1">VLOOKUP($B31,'[5]Analisys QBR By Machine Report'!$C$109:$BD$166,23,FALSE)</f>
        <v>2190</v>
      </c>
      <c r="AC31" s="13">
        <f ca="1">VLOOKUP($B31,'[5]Analisys QBR By Machine Report'!$C$109:$BD$166,24,FALSE)</f>
        <v>0</v>
      </c>
      <c r="AD31" s="13">
        <f ca="1">VLOOKUP($B31,'[5]Analisys QBR By Machine Report'!$C$109:$BD$166,25,FALSE)</f>
        <v>0</v>
      </c>
      <c r="AE31" s="13">
        <f ca="1">VLOOKUP($B31,'[5]Analisys QBR By Machine Report'!$C$109:$BD$166,26,FALSE)</f>
        <v>0</v>
      </c>
      <c r="AF31" s="13">
        <f ca="1">VLOOKUP($B31,'[5]Analisys QBR By Machine Report'!$C$109:$BD$166,27,FALSE)</f>
        <v>0</v>
      </c>
      <c r="AG31" s="13">
        <f ca="1">VLOOKUP($B31,'[5]Analisys QBR By Machine Report'!$C$109:$BD$166,28,FALSE)</f>
        <v>0</v>
      </c>
      <c r="AH31" s="13">
        <f ca="1">VLOOKUP($B31,'[5]Analisys QBR By Machine Report'!$C$109:$BD$166,29,FALSE)</f>
        <v>0</v>
      </c>
      <c r="AI31" s="13">
        <f ca="1">VLOOKUP($B31,'[5]Analisys QBR By Machine Report'!$C$109:$BD$166,30,FALSE)</f>
        <v>3872</v>
      </c>
      <c r="AJ31" s="13">
        <f ca="1">VLOOKUP($B31,'[5]Analisys QBR By Machine Report'!$C$109:$BD$166,31,FALSE)</f>
        <v>0</v>
      </c>
      <c r="AK31" s="13">
        <f ca="1">VLOOKUP($B31,'[5]Analisys QBR By Machine Report'!$C$109:$BD$166,32,FALSE)</f>
        <v>0</v>
      </c>
      <c r="AL31" s="13">
        <f ca="1">VLOOKUP($B31,'[5]Analisys QBR By Machine Report'!$C$109:$BD$166,33,FALSE)</f>
        <v>980</v>
      </c>
      <c r="AM31" s="13">
        <f ca="1">VLOOKUP($B31,'[5]Analisys QBR By Machine Report'!$C$109:$BD$166,34,FALSE)</f>
        <v>30</v>
      </c>
      <c r="AN31" s="13">
        <f ca="1">VLOOKUP($B31,'[5]Analisys QBR By Machine Report'!$C$109:$BD$166,35,FALSE)</f>
        <v>955</v>
      </c>
      <c r="AO31" s="13">
        <f ca="1">VLOOKUP($B31,'[5]Analisys QBR By Machine Report'!$C$109:$BD$166,36,FALSE)</f>
        <v>0</v>
      </c>
      <c r="AP31" s="13">
        <f ca="1">VLOOKUP($B31,'[5]Analisys QBR By Machine Report'!$C$109:$BD$166,37,FALSE)</f>
        <v>40</v>
      </c>
      <c r="AQ31" s="13">
        <f ca="1">VLOOKUP($B31,'[5]Analisys QBR By Machine Report'!$C$109:$BD$166,38,FALSE)</f>
        <v>0</v>
      </c>
      <c r="AR31" s="13">
        <f ca="1">VLOOKUP($B31,'[5]Analisys QBR By Machine Report'!$C$109:$BD$166,39,FALSE)</f>
        <v>0</v>
      </c>
      <c r="AS31" s="13">
        <f ca="1">VLOOKUP($B31,'[5]Analisys QBR By Machine Report'!$C$109:$BD$166,40,FALSE)</f>
        <v>300</v>
      </c>
      <c r="AT31" s="13">
        <f ca="1">VLOOKUP($B31,'[5]Analisys QBR By Machine Report'!$C$109:$BD$166,41,FALSE)</f>
        <v>0</v>
      </c>
      <c r="AU31" s="13">
        <f ca="1">VLOOKUP($B31,'[5]Analisys QBR By Machine Report'!$C$109:$BD$166,42,FALSE)</f>
        <v>0</v>
      </c>
      <c r="AV31" s="13">
        <f ca="1">VLOOKUP($B31,'[5]Analisys QBR By Machine Report'!$C$109:$BD$166,43,FALSE)</f>
        <v>1467</v>
      </c>
      <c r="AW31" s="13">
        <f ca="1">VLOOKUP($B31,'[5]Analisys QBR By Machine Report'!$C$109:$BD$166,44,FALSE)</f>
        <v>0</v>
      </c>
      <c r="AX31" s="13">
        <f ca="1">VLOOKUP($B31,'[5]Analisys QBR By Machine Report'!$C$109:$BD$166,45,FALSE)</f>
        <v>0</v>
      </c>
      <c r="AY31" s="13">
        <f ca="1">VLOOKUP($B31,'[5]Analisys QBR By Machine Report'!$C$109:$BD$166,46,FALSE)</f>
        <v>0</v>
      </c>
      <c r="AZ31" s="13">
        <f ca="1">VLOOKUP($B31,'[5]Analisys QBR By Machine Report'!$C$109:$BD$166,47,FALSE)</f>
        <v>30</v>
      </c>
      <c r="BA31" s="13">
        <f ca="1">VLOOKUP($B31,'[5]Analisys QBR By Machine Report'!$C$109:$BD$166,48,FALSE)</f>
        <v>70</v>
      </c>
      <c r="BB31" s="13">
        <f ca="1">VLOOKUP($B31,'[5]Analisys QBR By Machine Report'!$C$109:$BD$166,49,FALSE)</f>
        <v>0</v>
      </c>
      <c r="BC31" s="13">
        <f ca="1">VLOOKUP($B31,'[5]Analisys QBR By Machine Report'!$C$109:$BD$166,50,FALSE)</f>
        <v>0</v>
      </c>
      <c r="BD31" s="13">
        <f ca="1">VLOOKUP($B31,'[5]Analisys QBR By Machine Report'!$C$109:$BD$166,51,FALSE)</f>
        <v>600098</v>
      </c>
      <c r="BE31" s="13">
        <f ca="1">VLOOKUP($B31,'[5]Analisys QBR By Machine Report'!$C$109:$BD$166,52,FALSE)</f>
        <v>205</v>
      </c>
      <c r="BF31" s="13">
        <f ca="1">VLOOKUP($B31,'[5]Analisys QBR By Machine Report'!$C$109:$BD$166,53,FALSE)</f>
        <v>599893</v>
      </c>
    </row>
    <row r="32" spans="1:58" x14ac:dyDescent="0.25">
      <c r="A32" s="9" t="s">
        <v>88</v>
      </c>
      <c r="B32" s="10">
        <f ca="1">VLOOKUP($B32,'[5]Analisys QBR By Machine Report'!$C$109:$BD$166,2,FALSE)</f>
        <v>84960</v>
      </c>
      <c r="C32" s="11">
        <f ca="1">VLOOKUP($B32,[5]Dasboard_QBR_Report!$B$109:$BL$166,3,FALSE)</f>
        <v>54870</v>
      </c>
      <c r="D32" s="10">
        <f ca="1">VLOOKUP($B32,'[5]Analisys QBR By Machine Report'!$C$109:$BD$166,3,FALSE)</f>
        <v>42195</v>
      </c>
      <c r="E32" s="11">
        <f ca="1">VLOOKUP($B32,[5]Dasboard_QBR_Report!$B$109:$BL$166,5,FALSE)</f>
        <v>12105</v>
      </c>
      <c r="F32" s="10">
        <f t="shared" ca="1" si="0"/>
        <v>42765</v>
      </c>
      <c r="G32" s="10">
        <f t="shared" ca="1" si="1"/>
        <v>7336</v>
      </c>
      <c r="H32" s="10">
        <f ca="1">VLOOKUP($B32,'[5]Analisys QBR By Machine Report'!$C$109:$BD$166,4,FALSE)</f>
        <v>7336</v>
      </c>
      <c r="I32" s="10">
        <f ca="1">VLOOKUP($B32,'[5]Analisys QBR By Machine Report'!$C$109:$BD$166,5,FALSE)</f>
        <v>4942</v>
      </c>
      <c r="J32" s="10">
        <f ca="1">VLOOKUP($B32,'[5]Analisys QBR By Machine Report'!$C$109:$BD$166,6,FALSE)</f>
        <v>2394</v>
      </c>
      <c r="K32" s="10">
        <f ca="1">VLOOKUP($B32,'[5]Analisys QBR By Machine Report'!$C$109:$BD$166,7,FALSE)</f>
        <v>0</v>
      </c>
      <c r="L32" s="10">
        <f ca="1">VLOOKUP($B32,'[5]Analisys QBR By Machine Report'!$C$109:$BD$166,8,FALSE)</f>
        <v>35429</v>
      </c>
      <c r="M32" s="10">
        <f ca="1">VLOOKUP($B32,'[5]Analisys QBR By Machine Report'!$C$109:$BD$166,9,FALSE)</f>
        <v>16043</v>
      </c>
      <c r="N32" s="10">
        <f ca="1">VLOOKUP($B32,[5]Dasboard_QBR_Report!$B$109:$BL$166,18,FALSE)</f>
        <v>19386</v>
      </c>
      <c r="O32" s="10">
        <f ca="1">VLOOKUP($B32,'[5]Analisys QBR By Machine Report'!$C$109:$BD$166,10,FALSE)</f>
        <v>815</v>
      </c>
      <c r="P32" s="10">
        <f ca="1">VLOOKUP($B32,'[5]Analisys QBR By Machine Report'!$C$109:$BD$166,11,FALSE)</f>
        <v>698</v>
      </c>
      <c r="Q32" s="10">
        <f ca="1">VLOOKUP($B32,'[5]Analisys QBR By Machine Report'!$C$109:$BD$166,12,FALSE)</f>
        <v>60</v>
      </c>
      <c r="R32" s="10">
        <f ca="1">VLOOKUP($B32,'[5]Analisys QBR By Machine Report'!$C$109:$BD$166,13,FALSE)</f>
        <v>57</v>
      </c>
      <c r="S32" s="10">
        <f ca="1">VLOOKUP($B32,'[5]Analisys QBR By Machine Report'!$C$109:$BD$166,14,FALSE)</f>
        <v>0</v>
      </c>
      <c r="T32" s="10">
        <f ca="1">VLOOKUP($B32,'[5]Analisys QBR By Machine Report'!$C$109:$BD$166,15,FALSE)</f>
        <v>402</v>
      </c>
      <c r="U32" s="10">
        <f ca="1">VLOOKUP($B32,'[5]Analisys QBR By Machine Report'!$C$109:$BD$166,16,FALSE)</f>
        <v>0</v>
      </c>
      <c r="V32" s="10">
        <f ca="1">VLOOKUP($B32,'[5]Analisys QBR By Machine Report'!$C$109:$BD$166,17,FALSE)</f>
        <v>0</v>
      </c>
      <c r="W32" s="10">
        <f ca="1">VLOOKUP($B32,'[5]Analisys QBR By Machine Report'!$C$109:$BD$166,18,FALSE)</f>
        <v>0</v>
      </c>
      <c r="X32" s="10">
        <f ca="1">VLOOKUP($B32,'[5]Analisys QBR By Machine Report'!$C$109:$BD$166,19,FALSE)</f>
        <v>402</v>
      </c>
      <c r="Y32" s="10">
        <f ca="1">VLOOKUP($B32,'[5]Analisys QBR By Machine Report'!$C$109:$BD$166,20,FALSE)</f>
        <v>0</v>
      </c>
      <c r="Z32" s="10">
        <f ca="1">VLOOKUP($B32,'[5]Analisys QBR By Machine Report'!$C$109:$BD$166,21,FALSE)</f>
        <v>9233</v>
      </c>
      <c r="AA32" s="10">
        <f ca="1">VLOOKUP($B32,'[5]Analisys QBR By Machine Report'!$C$109:$BD$166,22,FALSE)</f>
        <v>6887</v>
      </c>
      <c r="AB32" s="10">
        <f ca="1">VLOOKUP($B32,'[5]Analisys QBR By Machine Report'!$C$109:$BD$166,23,FALSE)</f>
        <v>2036</v>
      </c>
      <c r="AC32" s="10">
        <f ca="1">VLOOKUP($B32,'[5]Analisys QBR By Machine Report'!$C$109:$BD$166,24,FALSE)</f>
        <v>95</v>
      </c>
      <c r="AD32" s="10">
        <f ca="1">VLOOKUP($B32,'[5]Analisys QBR By Machine Report'!$C$109:$BD$166,25,FALSE)</f>
        <v>0</v>
      </c>
      <c r="AE32" s="10">
        <f ca="1">VLOOKUP($B32,'[5]Analisys QBR By Machine Report'!$C$109:$BD$166,26,FALSE)</f>
        <v>215</v>
      </c>
      <c r="AF32" s="10">
        <f ca="1">VLOOKUP($B32,'[5]Analisys QBR By Machine Report'!$C$109:$BD$166,27,FALSE)</f>
        <v>0</v>
      </c>
      <c r="AG32" s="10">
        <f ca="1">VLOOKUP($B32,'[5]Analisys QBR By Machine Report'!$C$109:$BD$166,28,FALSE)</f>
        <v>0</v>
      </c>
      <c r="AH32" s="10">
        <f ca="1">VLOOKUP($B32,'[5]Analisys QBR By Machine Report'!$C$109:$BD$166,29,FALSE)</f>
        <v>0</v>
      </c>
      <c r="AI32" s="10">
        <f ca="1">VLOOKUP($B32,'[5]Analisys QBR By Machine Report'!$C$109:$BD$166,30,FALSE)</f>
        <v>8936</v>
      </c>
      <c r="AJ32" s="10">
        <f ca="1">VLOOKUP($B32,'[5]Analisys QBR By Machine Report'!$C$109:$BD$166,31,FALSE)</f>
        <v>0</v>
      </c>
      <c r="AK32" s="10">
        <f ca="1">VLOOKUP($B32,'[5]Analisys QBR By Machine Report'!$C$109:$BD$166,32,FALSE)</f>
        <v>0</v>
      </c>
      <c r="AL32" s="10">
        <f ca="1">VLOOKUP($B32,'[5]Analisys QBR By Machine Report'!$C$109:$BD$166,33,FALSE)</f>
        <v>832</v>
      </c>
      <c r="AM32" s="10">
        <f ca="1">VLOOKUP($B32,'[5]Analisys QBR By Machine Report'!$C$109:$BD$166,34,FALSE)</f>
        <v>50</v>
      </c>
      <c r="AN32" s="10">
        <f ca="1">VLOOKUP($B32,'[5]Analisys QBR By Machine Report'!$C$109:$BD$166,35,FALSE)</f>
        <v>462</v>
      </c>
      <c r="AO32" s="10">
        <f ca="1">VLOOKUP($B32,'[5]Analisys QBR By Machine Report'!$C$109:$BD$166,36,FALSE)</f>
        <v>1495</v>
      </c>
      <c r="AP32" s="10">
        <f ca="1">VLOOKUP($B32,'[5]Analisys QBR By Machine Report'!$C$109:$BD$166,37,FALSE)</f>
        <v>0</v>
      </c>
      <c r="AQ32" s="10">
        <f ca="1">VLOOKUP($B32,'[5]Analisys QBR By Machine Report'!$C$109:$BD$166,38,FALSE)</f>
        <v>0</v>
      </c>
      <c r="AR32" s="10">
        <f ca="1">VLOOKUP($B32,'[5]Analisys QBR By Machine Report'!$C$109:$BD$166,39,FALSE)</f>
        <v>5790</v>
      </c>
      <c r="AS32" s="10">
        <f ca="1">VLOOKUP($B32,'[5]Analisys QBR By Machine Report'!$C$109:$BD$166,40,FALSE)</f>
        <v>307</v>
      </c>
      <c r="AT32" s="10">
        <f ca="1">VLOOKUP($B32,'[5]Analisys QBR By Machine Report'!$C$109:$BD$166,41,FALSE)</f>
        <v>0</v>
      </c>
      <c r="AU32" s="10">
        <f ca="1">VLOOKUP($B32,'[5]Analisys QBR By Machine Report'!$C$109:$BD$166,42,FALSE)</f>
        <v>0</v>
      </c>
      <c r="AV32" s="10">
        <f ca="1">VLOOKUP($B32,'[5]Analisys QBR By Machine Report'!$C$109:$BD$166,43,FALSE)</f>
        <v>0</v>
      </c>
      <c r="AW32" s="10">
        <f ca="1">VLOOKUP($B32,'[5]Analisys QBR By Machine Report'!$C$109:$BD$166,44,FALSE)</f>
        <v>0</v>
      </c>
      <c r="AX32" s="10">
        <f ca="1">VLOOKUP($B32,'[5]Analisys QBR By Machine Report'!$C$109:$BD$166,45,FALSE)</f>
        <v>0</v>
      </c>
      <c r="AY32" s="10">
        <f ca="1">VLOOKUP($B32,'[5]Analisys QBR By Machine Report'!$C$109:$BD$166,46,FALSE)</f>
        <v>0</v>
      </c>
      <c r="AZ32" s="10">
        <f ca="1">VLOOKUP($B32,'[5]Analisys QBR By Machine Report'!$C$109:$BD$166,47,FALSE)</f>
        <v>0</v>
      </c>
      <c r="BA32" s="10">
        <f ca="1">VLOOKUP($B32,'[5]Analisys QBR By Machine Report'!$C$109:$BD$166,48,FALSE)</f>
        <v>0</v>
      </c>
      <c r="BB32" s="10">
        <f ca="1">VLOOKUP($B32,'[5]Analisys QBR By Machine Report'!$C$109:$BD$166,49,FALSE)</f>
        <v>0</v>
      </c>
      <c r="BC32" s="10">
        <f ca="1">VLOOKUP($B32,'[5]Analisys QBR By Machine Report'!$C$109:$BD$166,50,FALSE)</f>
        <v>0</v>
      </c>
      <c r="BD32" s="10">
        <f ca="1">VLOOKUP($B32,'[5]Analisys QBR By Machine Report'!$C$109:$BD$166,51,FALSE)</f>
        <v>1221</v>
      </c>
      <c r="BE32" s="10">
        <f ca="1">VLOOKUP($B32,'[5]Analisys QBR By Machine Report'!$C$109:$BD$166,52,FALSE)</f>
        <v>0</v>
      </c>
      <c r="BF32" s="10">
        <f ca="1">VLOOKUP($B32,'[5]Analisys QBR By Machine Report'!$C$109:$BD$166,53,FALSE)</f>
        <v>1221</v>
      </c>
    </row>
    <row r="33" spans="1:58" x14ac:dyDescent="0.25">
      <c r="A33" s="12" t="s">
        <v>89</v>
      </c>
      <c r="B33" s="13">
        <f ca="1">VLOOKUP($B33,'[5]Analisys QBR By Machine Report'!$C$109:$BD$166,2,FALSE)</f>
        <v>28800</v>
      </c>
      <c r="C33" s="14">
        <f ca="1">VLOOKUP($B33,[5]Dasboard_QBR_Report!$B$109:$BL$166,3,FALSE)</f>
        <v>18600</v>
      </c>
      <c r="D33" s="13">
        <f ca="1">VLOOKUP($B33,'[5]Analisys QBR By Machine Report'!$C$109:$BD$166,3,FALSE)</f>
        <v>12300</v>
      </c>
      <c r="E33" s="14">
        <f ca="1">VLOOKUP($B33,[5]Dasboard_QBR_Report!$B$109:$BL$166,5,FALSE)</f>
        <v>2100</v>
      </c>
      <c r="F33" s="13">
        <f t="shared" ca="1" si="0"/>
        <v>16500</v>
      </c>
      <c r="G33" s="13">
        <f t="shared" ca="1" si="1"/>
        <v>4619</v>
      </c>
      <c r="H33" s="13">
        <f ca="1">VLOOKUP($B33,'[5]Analisys QBR By Machine Report'!$C$109:$BD$166,4,FALSE)</f>
        <v>4619</v>
      </c>
      <c r="I33" s="13">
        <f ca="1">VLOOKUP($B33,'[5]Analisys QBR By Machine Report'!$C$109:$BD$166,5,FALSE)</f>
        <v>3999</v>
      </c>
      <c r="J33" s="13">
        <f ca="1">VLOOKUP($B33,'[5]Analisys QBR By Machine Report'!$C$109:$BD$166,6,FALSE)</f>
        <v>620</v>
      </c>
      <c r="K33" s="13">
        <f ca="1">VLOOKUP($B33,'[5]Analisys QBR By Machine Report'!$C$109:$BD$166,7,FALSE)</f>
        <v>0</v>
      </c>
      <c r="L33" s="13">
        <f ca="1">VLOOKUP($B33,'[5]Analisys QBR By Machine Report'!$C$109:$BD$166,8,FALSE)</f>
        <v>11881</v>
      </c>
      <c r="M33" s="13">
        <f ca="1">VLOOKUP($B33,'[5]Analisys QBR By Machine Report'!$C$109:$BD$166,9,FALSE)</f>
        <v>5131</v>
      </c>
      <c r="N33" s="13">
        <f ca="1">VLOOKUP($B33,[5]Dasboard_QBR_Report!$B$109:$BL$166,18,FALSE)</f>
        <v>6750</v>
      </c>
      <c r="O33" s="13">
        <f ca="1">VLOOKUP($B33,'[5]Analisys QBR By Machine Report'!$C$109:$BD$166,10,FALSE)</f>
        <v>165</v>
      </c>
      <c r="P33" s="13">
        <f ca="1">VLOOKUP($B33,'[5]Analisys QBR By Machine Report'!$C$109:$BD$166,11,FALSE)</f>
        <v>165</v>
      </c>
      <c r="Q33" s="13">
        <f ca="1">VLOOKUP($B33,'[5]Analisys QBR By Machine Report'!$C$109:$BD$166,12,FALSE)</f>
        <v>0</v>
      </c>
      <c r="R33" s="13">
        <f ca="1">VLOOKUP($B33,'[5]Analisys QBR By Machine Report'!$C$109:$BD$166,13,FALSE)</f>
        <v>0</v>
      </c>
      <c r="S33" s="13">
        <f ca="1">VLOOKUP($B33,'[5]Analisys QBR By Machine Report'!$C$109:$BD$166,14,FALSE)</f>
        <v>0</v>
      </c>
      <c r="T33" s="13">
        <f ca="1">VLOOKUP($B33,'[5]Analisys QBR By Machine Report'!$C$109:$BD$166,15,FALSE)</f>
        <v>116</v>
      </c>
      <c r="U33" s="13">
        <f ca="1">VLOOKUP($B33,'[5]Analisys QBR By Machine Report'!$C$109:$BD$166,16,FALSE)</f>
        <v>0</v>
      </c>
      <c r="V33" s="13">
        <f ca="1">VLOOKUP($B33,'[5]Analisys QBR By Machine Report'!$C$109:$BD$166,17,FALSE)</f>
        <v>0</v>
      </c>
      <c r="W33" s="13">
        <f ca="1">VLOOKUP($B33,'[5]Analisys QBR By Machine Report'!$C$109:$BD$166,18,FALSE)</f>
        <v>0</v>
      </c>
      <c r="X33" s="13">
        <f ca="1">VLOOKUP($B33,'[5]Analisys QBR By Machine Report'!$C$109:$BD$166,19,FALSE)</f>
        <v>116</v>
      </c>
      <c r="Y33" s="13">
        <f ca="1">VLOOKUP($B33,'[5]Analisys QBR By Machine Report'!$C$109:$BD$166,20,FALSE)</f>
        <v>0</v>
      </c>
      <c r="Z33" s="13">
        <f ca="1">VLOOKUP($B33,'[5]Analisys QBR By Machine Report'!$C$109:$BD$166,21,FALSE)</f>
        <v>2166</v>
      </c>
      <c r="AA33" s="13">
        <f ca="1">VLOOKUP($B33,'[5]Analisys QBR By Machine Report'!$C$109:$BD$166,22,FALSE)</f>
        <v>1077</v>
      </c>
      <c r="AB33" s="13">
        <f ca="1">VLOOKUP($B33,'[5]Analisys QBR By Machine Report'!$C$109:$BD$166,23,FALSE)</f>
        <v>1089</v>
      </c>
      <c r="AC33" s="13">
        <f ca="1">VLOOKUP($B33,'[5]Analisys QBR By Machine Report'!$C$109:$BD$166,24,FALSE)</f>
        <v>0</v>
      </c>
      <c r="AD33" s="13">
        <f ca="1">VLOOKUP($B33,'[5]Analisys QBR By Machine Report'!$C$109:$BD$166,25,FALSE)</f>
        <v>0</v>
      </c>
      <c r="AE33" s="13">
        <f ca="1">VLOOKUP($B33,'[5]Analisys QBR By Machine Report'!$C$109:$BD$166,26,FALSE)</f>
        <v>0</v>
      </c>
      <c r="AF33" s="13">
        <f ca="1">VLOOKUP($B33,'[5]Analisys QBR By Machine Report'!$C$109:$BD$166,27,FALSE)</f>
        <v>0</v>
      </c>
      <c r="AG33" s="13">
        <f ca="1">VLOOKUP($B33,'[5]Analisys QBR By Machine Report'!$C$109:$BD$166,28,FALSE)</f>
        <v>0</v>
      </c>
      <c r="AH33" s="13">
        <f ca="1">VLOOKUP($B33,'[5]Analisys QBR By Machine Report'!$C$109:$BD$166,29,FALSE)</f>
        <v>0</v>
      </c>
      <c r="AI33" s="13">
        <f ca="1">VLOOKUP($B33,'[5]Analisys QBR By Machine Report'!$C$109:$BD$166,30,FALSE)</f>
        <v>4303</v>
      </c>
      <c r="AJ33" s="13">
        <f ca="1">VLOOKUP($B33,'[5]Analisys QBR By Machine Report'!$C$109:$BD$166,31,FALSE)</f>
        <v>0</v>
      </c>
      <c r="AK33" s="13">
        <f ca="1">VLOOKUP($B33,'[5]Analisys QBR By Machine Report'!$C$109:$BD$166,32,FALSE)</f>
        <v>0</v>
      </c>
      <c r="AL33" s="13">
        <f ca="1">VLOOKUP($B33,'[5]Analisys QBR By Machine Report'!$C$109:$BD$166,33,FALSE)</f>
        <v>170</v>
      </c>
      <c r="AM33" s="13">
        <f ca="1">VLOOKUP($B33,'[5]Analisys QBR By Machine Report'!$C$109:$BD$166,34,FALSE)</f>
        <v>0</v>
      </c>
      <c r="AN33" s="13">
        <f ca="1">VLOOKUP($B33,'[5]Analisys QBR By Machine Report'!$C$109:$BD$166,35,FALSE)</f>
        <v>40</v>
      </c>
      <c r="AO33" s="13">
        <f ca="1">VLOOKUP($B33,'[5]Analisys QBR By Machine Report'!$C$109:$BD$166,36,FALSE)</f>
        <v>0</v>
      </c>
      <c r="AP33" s="13">
        <f ca="1">VLOOKUP($B33,'[5]Analisys QBR By Machine Report'!$C$109:$BD$166,37,FALSE)</f>
        <v>0</v>
      </c>
      <c r="AQ33" s="13">
        <f ca="1">VLOOKUP($B33,'[5]Analisys QBR By Machine Report'!$C$109:$BD$166,38,FALSE)</f>
        <v>0</v>
      </c>
      <c r="AR33" s="13">
        <f ca="1">VLOOKUP($B33,'[5]Analisys QBR By Machine Report'!$C$109:$BD$166,39,FALSE)</f>
        <v>4075</v>
      </c>
      <c r="AS33" s="13">
        <f ca="1">VLOOKUP($B33,'[5]Analisys QBR By Machine Report'!$C$109:$BD$166,40,FALSE)</f>
        <v>18</v>
      </c>
      <c r="AT33" s="13">
        <f ca="1">VLOOKUP($B33,'[5]Analisys QBR By Machine Report'!$C$109:$BD$166,41,FALSE)</f>
        <v>0</v>
      </c>
      <c r="AU33" s="13">
        <f ca="1">VLOOKUP($B33,'[5]Analisys QBR By Machine Report'!$C$109:$BD$166,42,FALSE)</f>
        <v>0</v>
      </c>
      <c r="AV33" s="13">
        <f ca="1">VLOOKUP($B33,'[5]Analisys QBR By Machine Report'!$C$109:$BD$166,43,FALSE)</f>
        <v>0</v>
      </c>
      <c r="AW33" s="13">
        <f ca="1">VLOOKUP($B33,'[5]Analisys QBR By Machine Report'!$C$109:$BD$166,44,FALSE)</f>
        <v>0</v>
      </c>
      <c r="AX33" s="13">
        <f ca="1">VLOOKUP($B33,'[5]Analisys QBR By Machine Report'!$C$109:$BD$166,45,FALSE)</f>
        <v>0</v>
      </c>
      <c r="AY33" s="13">
        <f ca="1">VLOOKUP($B33,'[5]Analisys QBR By Machine Report'!$C$109:$BD$166,46,FALSE)</f>
        <v>0</v>
      </c>
      <c r="AZ33" s="13">
        <f ca="1">VLOOKUP($B33,'[5]Analisys QBR By Machine Report'!$C$109:$BD$166,47,FALSE)</f>
        <v>0</v>
      </c>
      <c r="BA33" s="13">
        <f ca="1">VLOOKUP($B33,'[5]Analisys QBR By Machine Report'!$C$109:$BD$166,48,FALSE)</f>
        <v>0</v>
      </c>
      <c r="BB33" s="13">
        <f ca="1">VLOOKUP($B33,'[5]Analisys QBR By Machine Report'!$C$109:$BD$166,49,FALSE)</f>
        <v>0</v>
      </c>
      <c r="BC33" s="13">
        <f ca="1">VLOOKUP($B33,'[5]Analisys QBR By Machine Report'!$C$109:$BD$166,50,FALSE)</f>
        <v>0</v>
      </c>
      <c r="BD33" s="13">
        <f ca="1">VLOOKUP($B33,'[5]Analisys QBR By Machine Report'!$C$109:$BD$166,51,FALSE)</f>
        <v>511</v>
      </c>
      <c r="BE33" s="13">
        <f ca="1">VLOOKUP($B33,'[5]Analisys QBR By Machine Report'!$C$109:$BD$166,52,FALSE)</f>
        <v>0</v>
      </c>
      <c r="BF33" s="13">
        <f ca="1">VLOOKUP($B33,'[5]Analisys QBR By Machine Report'!$C$109:$BD$166,53,FALSE)</f>
        <v>511</v>
      </c>
    </row>
    <row r="34" spans="1:58" x14ac:dyDescent="0.25">
      <c r="A34" s="12" t="s">
        <v>90</v>
      </c>
      <c r="B34" s="13">
        <f ca="1">VLOOKUP($B34,'[5]Analisys QBR By Machine Report'!$C$109:$BD$166,2,FALSE)</f>
        <v>28800</v>
      </c>
      <c r="C34" s="14">
        <f ca="1">VLOOKUP($B34,[5]Dasboard_QBR_Report!$B$109:$BL$166,3,FALSE)</f>
        <v>18600</v>
      </c>
      <c r="D34" s="13">
        <f ca="1">VLOOKUP($B34,'[5]Analisys QBR By Machine Report'!$C$109:$BD$166,3,FALSE)</f>
        <v>11857</v>
      </c>
      <c r="E34" s="14">
        <f ca="1">VLOOKUP($B34,[5]Dasboard_QBR_Report!$B$109:$BL$166,5,FALSE)</f>
        <v>1657</v>
      </c>
      <c r="F34" s="13">
        <f t="shared" ca="1" si="0"/>
        <v>16943</v>
      </c>
      <c r="G34" s="13">
        <f t="shared" ca="1" si="1"/>
        <v>1267</v>
      </c>
      <c r="H34" s="13">
        <f ca="1">VLOOKUP($B34,'[5]Analisys QBR By Machine Report'!$C$109:$BD$166,4,FALSE)</f>
        <v>1267</v>
      </c>
      <c r="I34" s="13">
        <f ca="1">VLOOKUP($B34,'[5]Analisys QBR By Machine Report'!$C$109:$BD$166,5,FALSE)</f>
        <v>898</v>
      </c>
      <c r="J34" s="13">
        <f ca="1">VLOOKUP($B34,'[5]Analisys QBR By Machine Report'!$C$109:$BD$166,6,FALSE)</f>
        <v>369</v>
      </c>
      <c r="K34" s="13">
        <f ca="1">VLOOKUP($B34,'[5]Analisys QBR By Machine Report'!$C$109:$BD$166,7,FALSE)</f>
        <v>0</v>
      </c>
      <c r="L34" s="13">
        <f ca="1">VLOOKUP($B34,'[5]Analisys QBR By Machine Report'!$C$109:$BD$166,8,FALSE)</f>
        <v>15676</v>
      </c>
      <c r="M34" s="13">
        <f ca="1">VLOOKUP($B34,'[5]Analisys QBR By Machine Report'!$C$109:$BD$166,9,FALSE)</f>
        <v>9713</v>
      </c>
      <c r="N34" s="13">
        <f ca="1">VLOOKUP($B34,[5]Dasboard_QBR_Report!$B$109:$BL$166,18,FALSE)</f>
        <v>5963</v>
      </c>
      <c r="O34" s="13">
        <f ca="1">VLOOKUP($B34,'[5]Analisys QBR By Machine Report'!$C$109:$BD$166,10,FALSE)</f>
        <v>52</v>
      </c>
      <c r="P34" s="13">
        <f ca="1">VLOOKUP($B34,'[5]Analisys QBR By Machine Report'!$C$109:$BD$166,11,FALSE)</f>
        <v>52</v>
      </c>
      <c r="Q34" s="13">
        <f ca="1">VLOOKUP($B34,'[5]Analisys QBR By Machine Report'!$C$109:$BD$166,12,FALSE)</f>
        <v>0</v>
      </c>
      <c r="R34" s="13">
        <f ca="1">VLOOKUP($B34,'[5]Analisys QBR By Machine Report'!$C$109:$BD$166,13,FALSE)</f>
        <v>0</v>
      </c>
      <c r="S34" s="13">
        <f ca="1">VLOOKUP($B34,'[5]Analisys QBR By Machine Report'!$C$109:$BD$166,14,FALSE)</f>
        <v>0</v>
      </c>
      <c r="T34" s="13">
        <f ca="1">VLOOKUP($B34,'[5]Analisys QBR By Machine Report'!$C$109:$BD$166,15,FALSE)</f>
        <v>286</v>
      </c>
      <c r="U34" s="13">
        <f ca="1">VLOOKUP($B34,'[5]Analisys QBR By Machine Report'!$C$109:$BD$166,16,FALSE)</f>
        <v>0</v>
      </c>
      <c r="V34" s="13">
        <f ca="1">VLOOKUP($B34,'[5]Analisys QBR By Machine Report'!$C$109:$BD$166,17,FALSE)</f>
        <v>0</v>
      </c>
      <c r="W34" s="13">
        <f ca="1">VLOOKUP($B34,'[5]Analisys QBR By Machine Report'!$C$109:$BD$166,18,FALSE)</f>
        <v>0</v>
      </c>
      <c r="X34" s="13">
        <f ca="1">VLOOKUP($B34,'[5]Analisys QBR By Machine Report'!$C$109:$BD$166,19,FALSE)</f>
        <v>286</v>
      </c>
      <c r="Y34" s="13">
        <f ca="1">VLOOKUP($B34,'[5]Analisys QBR By Machine Report'!$C$109:$BD$166,20,FALSE)</f>
        <v>0</v>
      </c>
      <c r="Z34" s="13">
        <f ca="1">VLOOKUP($B34,'[5]Analisys QBR By Machine Report'!$C$109:$BD$166,21,FALSE)</f>
        <v>5029</v>
      </c>
      <c r="AA34" s="13">
        <f ca="1">VLOOKUP($B34,'[5]Analisys QBR By Machine Report'!$C$109:$BD$166,22,FALSE)</f>
        <v>4542</v>
      </c>
      <c r="AB34" s="13">
        <f ca="1">VLOOKUP($B34,'[5]Analisys QBR By Machine Report'!$C$109:$BD$166,23,FALSE)</f>
        <v>487</v>
      </c>
      <c r="AC34" s="13">
        <f ca="1">VLOOKUP($B34,'[5]Analisys QBR By Machine Report'!$C$109:$BD$166,24,FALSE)</f>
        <v>0</v>
      </c>
      <c r="AD34" s="13">
        <f ca="1">VLOOKUP($B34,'[5]Analisys QBR By Machine Report'!$C$109:$BD$166,25,FALSE)</f>
        <v>0</v>
      </c>
      <c r="AE34" s="13">
        <f ca="1">VLOOKUP($B34,'[5]Analisys QBR By Machine Report'!$C$109:$BD$166,26,FALSE)</f>
        <v>0</v>
      </c>
      <c r="AF34" s="13">
        <f ca="1">VLOOKUP($B34,'[5]Analisys QBR By Machine Report'!$C$109:$BD$166,27,FALSE)</f>
        <v>0</v>
      </c>
      <c r="AG34" s="13">
        <f ca="1">VLOOKUP($B34,'[5]Analisys QBR By Machine Report'!$C$109:$BD$166,28,FALSE)</f>
        <v>0</v>
      </c>
      <c r="AH34" s="13">
        <f ca="1">VLOOKUP($B34,'[5]Analisys QBR By Machine Report'!$C$109:$BD$166,29,FALSE)</f>
        <v>0</v>
      </c>
      <c r="AI34" s="13">
        <f ca="1">VLOOKUP($B34,'[5]Analisys QBR By Machine Report'!$C$109:$BD$166,30,FALSE)</f>
        <v>596</v>
      </c>
      <c r="AJ34" s="13">
        <f ca="1">VLOOKUP($B34,'[5]Analisys QBR By Machine Report'!$C$109:$BD$166,31,FALSE)</f>
        <v>0</v>
      </c>
      <c r="AK34" s="13">
        <f ca="1">VLOOKUP($B34,'[5]Analisys QBR By Machine Report'!$C$109:$BD$166,32,FALSE)</f>
        <v>0</v>
      </c>
      <c r="AL34" s="13">
        <f ca="1">VLOOKUP($B34,'[5]Analisys QBR By Machine Report'!$C$109:$BD$166,33,FALSE)</f>
        <v>327</v>
      </c>
      <c r="AM34" s="13">
        <f ca="1">VLOOKUP($B34,'[5]Analisys QBR By Machine Report'!$C$109:$BD$166,34,FALSE)</f>
        <v>0</v>
      </c>
      <c r="AN34" s="13">
        <f ca="1">VLOOKUP($B34,'[5]Analisys QBR By Machine Report'!$C$109:$BD$166,35,FALSE)</f>
        <v>130</v>
      </c>
      <c r="AO34" s="13">
        <f ca="1">VLOOKUP($B34,'[5]Analisys QBR By Machine Report'!$C$109:$BD$166,36,FALSE)</f>
        <v>0</v>
      </c>
      <c r="AP34" s="13">
        <f ca="1">VLOOKUP($B34,'[5]Analisys QBR By Machine Report'!$C$109:$BD$166,37,FALSE)</f>
        <v>0</v>
      </c>
      <c r="AQ34" s="13">
        <f ca="1">VLOOKUP($B34,'[5]Analisys QBR By Machine Report'!$C$109:$BD$166,38,FALSE)</f>
        <v>0</v>
      </c>
      <c r="AR34" s="13">
        <f ca="1">VLOOKUP($B34,'[5]Analisys QBR By Machine Report'!$C$109:$BD$166,39,FALSE)</f>
        <v>90</v>
      </c>
      <c r="AS34" s="13">
        <f ca="1">VLOOKUP($B34,'[5]Analisys QBR By Machine Report'!$C$109:$BD$166,40,FALSE)</f>
        <v>49</v>
      </c>
      <c r="AT34" s="13">
        <f ca="1">VLOOKUP($B34,'[5]Analisys QBR By Machine Report'!$C$109:$BD$166,41,FALSE)</f>
        <v>0</v>
      </c>
      <c r="AU34" s="13">
        <f ca="1">VLOOKUP($B34,'[5]Analisys QBR By Machine Report'!$C$109:$BD$166,42,FALSE)</f>
        <v>0</v>
      </c>
      <c r="AV34" s="13">
        <f ca="1">VLOOKUP($B34,'[5]Analisys QBR By Machine Report'!$C$109:$BD$166,43,FALSE)</f>
        <v>0</v>
      </c>
      <c r="AW34" s="13">
        <f ca="1">VLOOKUP($B34,'[5]Analisys QBR By Machine Report'!$C$109:$BD$166,44,FALSE)</f>
        <v>0</v>
      </c>
      <c r="AX34" s="13">
        <f ca="1">VLOOKUP($B34,'[5]Analisys QBR By Machine Report'!$C$109:$BD$166,45,FALSE)</f>
        <v>0</v>
      </c>
      <c r="AY34" s="13">
        <f ca="1">VLOOKUP($B34,'[5]Analisys QBR By Machine Report'!$C$109:$BD$166,46,FALSE)</f>
        <v>0</v>
      </c>
      <c r="AZ34" s="13">
        <f ca="1">VLOOKUP($B34,'[5]Analisys QBR By Machine Report'!$C$109:$BD$166,47,FALSE)</f>
        <v>0</v>
      </c>
      <c r="BA34" s="13">
        <f ca="1">VLOOKUP($B34,'[5]Analisys QBR By Machine Report'!$C$109:$BD$166,48,FALSE)</f>
        <v>0</v>
      </c>
      <c r="BB34" s="13">
        <f ca="1">VLOOKUP($B34,'[5]Analisys QBR By Machine Report'!$C$109:$BD$166,49,FALSE)</f>
        <v>0</v>
      </c>
      <c r="BC34" s="13">
        <f ca="1">VLOOKUP($B34,'[5]Analisys QBR By Machine Report'!$C$109:$BD$166,50,FALSE)</f>
        <v>0</v>
      </c>
      <c r="BD34" s="13">
        <f ca="1">VLOOKUP($B34,'[5]Analisys QBR By Machine Report'!$C$109:$BD$166,51,FALSE)</f>
        <v>686</v>
      </c>
      <c r="BE34" s="13">
        <f ca="1">VLOOKUP($B34,'[5]Analisys QBR By Machine Report'!$C$109:$BD$166,52,FALSE)</f>
        <v>0</v>
      </c>
      <c r="BF34" s="13">
        <f ca="1">VLOOKUP($B34,'[5]Analisys QBR By Machine Report'!$C$109:$BD$166,53,FALSE)</f>
        <v>686</v>
      </c>
    </row>
    <row r="35" spans="1:58" x14ac:dyDescent="0.25">
      <c r="A35" s="12" t="s">
        <v>91</v>
      </c>
      <c r="B35" s="13">
        <f ca="1">VLOOKUP($B35,'[5]Analisys QBR By Machine Report'!$C$109:$BD$166,2,FALSE)</f>
        <v>27360</v>
      </c>
      <c r="C35" s="14">
        <f ca="1">VLOOKUP($B35,[5]Dasboard_QBR_Report!$B$109:$BL$166,3,FALSE)</f>
        <v>17670</v>
      </c>
      <c r="D35" s="13">
        <f ca="1">VLOOKUP($B35,'[5]Analisys QBR By Machine Report'!$C$109:$BD$166,3,FALSE)</f>
        <v>18038</v>
      </c>
      <c r="E35" s="14">
        <f ca="1">VLOOKUP($B35,[5]Dasboard_QBR_Report!$B$109:$BL$166,5,FALSE)</f>
        <v>8348</v>
      </c>
      <c r="F35" s="13">
        <f t="shared" ca="1" si="0"/>
        <v>9322</v>
      </c>
      <c r="G35" s="13">
        <f t="shared" ca="1" si="1"/>
        <v>1450</v>
      </c>
      <c r="H35" s="13">
        <f ca="1">VLOOKUP($B35,'[5]Analisys QBR By Machine Report'!$C$109:$BD$166,4,FALSE)</f>
        <v>1450</v>
      </c>
      <c r="I35" s="13">
        <f ca="1">VLOOKUP($B35,'[5]Analisys QBR By Machine Report'!$C$109:$BD$166,5,FALSE)</f>
        <v>45</v>
      </c>
      <c r="J35" s="13">
        <f ca="1">VLOOKUP($B35,'[5]Analisys QBR By Machine Report'!$C$109:$BD$166,6,FALSE)</f>
        <v>1405</v>
      </c>
      <c r="K35" s="13">
        <f ca="1">VLOOKUP($B35,'[5]Analisys QBR By Machine Report'!$C$109:$BD$166,7,FALSE)</f>
        <v>0</v>
      </c>
      <c r="L35" s="13">
        <f ca="1">VLOOKUP($B35,'[5]Analisys QBR By Machine Report'!$C$109:$BD$166,8,FALSE)</f>
        <v>7872</v>
      </c>
      <c r="M35" s="13">
        <f ca="1">VLOOKUP($B35,'[5]Analisys QBR By Machine Report'!$C$109:$BD$166,9,FALSE)</f>
        <v>1199</v>
      </c>
      <c r="N35" s="13">
        <f ca="1">VLOOKUP($B35,[5]Dasboard_QBR_Report!$B$109:$BL$166,18,FALSE)</f>
        <v>6673</v>
      </c>
      <c r="O35" s="13">
        <f ca="1">VLOOKUP($B35,'[5]Analisys QBR By Machine Report'!$C$109:$BD$166,10,FALSE)</f>
        <v>598</v>
      </c>
      <c r="P35" s="13">
        <f ca="1">VLOOKUP($B35,'[5]Analisys QBR By Machine Report'!$C$109:$BD$166,11,FALSE)</f>
        <v>481</v>
      </c>
      <c r="Q35" s="13">
        <f ca="1">VLOOKUP($B35,'[5]Analisys QBR By Machine Report'!$C$109:$BD$166,12,FALSE)</f>
        <v>60</v>
      </c>
      <c r="R35" s="13">
        <f ca="1">VLOOKUP($B35,'[5]Analisys QBR By Machine Report'!$C$109:$BD$166,13,FALSE)</f>
        <v>57</v>
      </c>
      <c r="S35" s="13">
        <f ca="1">VLOOKUP($B35,'[5]Analisys QBR By Machine Report'!$C$109:$BD$166,14,FALSE)</f>
        <v>0</v>
      </c>
      <c r="T35" s="13">
        <f ca="1">VLOOKUP($B35,'[5]Analisys QBR By Machine Report'!$C$109:$BD$166,15,FALSE)</f>
        <v>0</v>
      </c>
      <c r="U35" s="13">
        <f ca="1">VLOOKUP($B35,'[5]Analisys QBR By Machine Report'!$C$109:$BD$166,16,FALSE)</f>
        <v>0</v>
      </c>
      <c r="V35" s="13">
        <f ca="1">VLOOKUP($B35,'[5]Analisys QBR By Machine Report'!$C$109:$BD$166,17,FALSE)</f>
        <v>0</v>
      </c>
      <c r="W35" s="13">
        <f ca="1">VLOOKUP($B35,'[5]Analisys QBR By Machine Report'!$C$109:$BD$166,18,FALSE)</f>
        <v>0</v>
      </c>
      <c r="X35" s="13">
        <f ca="1">VLOOKUP($B35,'[5]Analisys QBR By Machine Report'!$C$109:$BD$166,19,FALSE)</f>
        <v>0</v>
      </c>
      <c r="Y35" s="13">
        <f ca="1">VLOOKUP($B35,'[5]Analisys QBR By Machine Report'!$C$109:$BD$166,20,FALSE)</f>
        <v>0</v>
      </c>
      <c r="Z35" s="13">
        <f ca="1">VLOOKUP($B35,'[5]Analisys QBR By Machine Report'!$C$109:$BD$166,21,FALSE)</f>
        <v>2038</v>
      </c>
      <c r="AA35" s="13">
        <f ca="1">VLOOKUP($B35,'[5]Analisys QBR By Machine Report'!$C$109:$BD$166,22,FALSE)</f>
        <v>1268</v>
      </c>
      <c r="AB35" s="13">
        <f ca="1">VLOOKUP($B35,'[5]Analisys QBR By Machine Report'!$C$109:$BD$166,23,FALSE)</f>
        <v>460</v>
      </c>
      <c r="AC35" s="13">
        <f ca="1">VLOOKUP($B35,'[5]Analisys QBR By Machine Report'!$C$109:$BD$166,24,FALSE)</f>
        <v>95</v>
      </c>
      <c r="AD35" s="13">
        <f ca="1">VLOOKUP($B35,'[5]Analisys QBR By Machine Report'!$C$109:$BD$166,25,FALSE)</f>
        <v>0</v>
      </c>
      <c r="AE35" s="13">
        <f ca="1">VLOOKUP($B35,'[5]Analisys QBR By Machine Report'!$C$109:$BD$166,26,FALSE)</f>
        <v>215</v>
      </c>
      <c r="AF35" s="13">
        <f ca="1">VLOOKUP($B35,'[5]Analisys QBR By Machine Report'!$C$109:$BD$166,27,FALSE)</f>
        <v>0</v>
      </c>
      <c r="AG35" s="13">
        <f ca="1">VLOOKUP($B35,'[5]Analisys QBR By Machine Report'!$C$109:$BD$166,28,FALSE)</f>
        <v>0</v>
      </c>
      <c r="AH35" s="13">
        <f ca="1">VLOOKUP($B35,'[5]Analisys QBR By Machine Report'!$C$109:$BD$166,29,FALSE)</f>
        <v>0</v>
      </c>
      <c r="AI35" s="13">
        <f ca="1">VLOOKUP($B35,'[5]Analisys QBR By Machine Report'!$C$109:$BD$166,30,FALSE)</f>
        <v>4037</v>
      </c>
      <c r="AJ35" s="13">
        <f ca="1">VLOOKUP($B35,'[5]Analisys QBR By Machine Report'!$C$109:$BD$166,31,FALSE)</f>
        <v>0</v>
      </c>
      <c r="AK35" s="13">
        <f ca="1">VLOOKUP($B35,'[5]Analisys QBR By Machine Report'!$C$109:$BD$166,32,FALSE)</f>
        <v>0</v>
      </c>
      <c r="AL35" s="13">
        <f ca="1">VLOOKUP($B35,'[5]Analisys QBR By Machine Report'!$C$109:$BD$166,33,FALSE)</f>
        <v>335</v>
      </c>
      <c r="AM35" s="13">
        <f ca="1">VLOOKUP($B35,'[5]Analisys QBR By Machine Report'!$C$109:$BD$166,34,FALSE)</f>
        <v>50</v>
      </c>
      <c r="AN35" s="13">
        <f ca="1">VLOOKUP($B35,'[5]Analisys QBR By Machine Report'!$C$109:$BD$166,35,FALSE)</f>
        <v>292</v>
      </c>
      <c r="AO35" s="13">
        <f ca="1">VLOOKUP($B35,'[5]Analisys QBR By Machine Report'!$C$109:$BD$166,36,FALSE)</f>
        <v>1495</v>
      </c>
      <c r="AP35" s="13">
        <f ca="1">VLOOKUP($B35,'[5]Analisys QBR By Machine Report'!$C$109:$BD$166,37,FALSE)</f>
        <v>0</v>
      </c>
      <c r="AQ35" s="13">
        <f ca="1">VLOOKUP($B35,'[5]Analisys QBR By Machine Report'!$C$109:$BD$166,38,FALSE)</f>
        <v>0</v>
      </c>
      <c r="AR35" s="13">
        <f ca="1">VLOOKUP($B35,'[5]Analisys QBR By Machine Report'!$C$109:$BD$166,39,FALSE)</f>
        <v>1625</v>
      </c>
      <c r="AS35" s="13">
        <f ca="1">VLOOKUP($B35,'[5]Analisys QBR By Machine Report'!$C$109:$BD$166,40,FALSE)</f>
        <v>240</v>
      </c>
      <c r="AT35" s="13">
        <f ca="1">VLOOKUP($B35,'[5]Analisys QBR By Machine Report'!$C$109:$BD$166,41,FALSE)</f>
        <v>0</v>
      </c>
      <c r="AU35" s="13">
        <f ca="1">VLOOKUP($B35,'[5]Analisys QBR By Machine Report'!$C$109:$BD$166,42,FALSE)</f>
        <v>0</v>
      </c>
      <c r="AV35" s="13">
        <f ca="1">VLOOKUP($B35,'[5]Analisys QBR By Machine Report'!$C$109:$BD$166,43,FALSE)</f>
        <v>0</v>
      </c>
      <c r="AW35" s="13">
        <f ca="1">VLOOKUP($B35,'[5]Analisys QBR By Machine Report'!$C$109:$BD$166,44,FALSE)</f>
        <v>0</v>
      </c>
      <c r="AX35" s="13">
        <f ca="1">VLOOKUP($B35,'[5]Analisys QBR By Machine Report'!$C$109:$BD$166,45,FALSE)</f>
        <v>0</v>
      </c>
      <c r="AY35" s="13">
        <f ca="1">VLOOKUP($B35,'[5]Analisys QBR By Machine Report'!$C$109:$BD$166,46,FALSE)</f>
        <v>0</v>
      </c>
      <c r="AZ35" s="13">
        <f ca="1">VLOOKUP($B35,'[5]Analisys QBR By Machine Report'!$C$109:$BD$166,47,FALSE)</f>
        <v>0</v>
      </c>
      <c r="BA35" s="13">
        <f ca="1">VLOOKUP($B35,'[5]Analisys QBR By Machine Report'!$C$109:$BD$166,48,FALSE)</f>
        <v>0</v>
      </c>
      <c r="BB35" s="13">
        <f ca="1">VLOOKUP($B35,'[5]Analisys QBR By Machine Report'!$C$109:$BD$166,49,FALSE)</f>
        <v>0</v>
      </c>
      <c r="BC35" s="13">
        <f ca="1">VLOOKUP($B35,'[5]Analisys QBR By Machine Report'!$C$109:$BD$166,50,FALSE)</f>
        <v>0</v>
      </c>
      <c r="BD35" s="13">
        <f ca="1">VLOOKUP($B35,'[5]Analisys QBR By Machine Report'!$C$109:$BD$166,51,FALSE)</f>
        <v>24</v>
      </c>
      <c r="BE35" s="13">
        <f ca="1">VLOOKUP($B35,'[5]Analisys QBR By Machine Report'!$C$109:$BD$166,52,FALSE)</f>
        <v>0</v>
      </c>
      <c r="BF35" s="13">
        <f ca="1">VLOOKUP($B35,'[5]Analisys QBR By Machine Report'!$C$109:$BD$166,53,FALSE)</f>
        <v>24</v>
      </c>
    </row>
    <row r="36" spans="1:58" x14ac:dyDescent="0.25">
      <c r="A36" s="9" t="s">
        <v>92</v>
      </c>
      <c r="B36" s="10">
        <f ca="1">VLOOKUP($B36,'[5]Analisys QBR By Machine Report'!$C$109:$BD$166,2,FALSE)</f>
        <v>167040</v>
      </c>
      <c r="C36" s="11">
        <f ca="1">VLOOKUP($B36,[5]Dasboard_QBR_Report!$B$109:$BL$166,3,FALSE)</f>
        <v>64230</v>
      </c>
      <c r="D36" s="10">
        <f ca="1">VLOOKUP($B36,'[5]Analisys QBR By Machine Report'!$C$109:$BD$166,3,FALSE)</f>
        <v>118230</v>
      </c>
      <c r="E36" s="11">
        <f ca="1">VLOOKUP($B36,[5]Dasboard_QBR_Report!$B$109:$BL$166,5,FALSE)</f>
        <v>15420</v>
      </c>
      <c r="F36" s="10">
        <f t="shared" ca="1" si="0"/>
        <v>48810</v>
      </c>
      <c r="G36" s="10">
        <f t="shared" ca="1" si="1"/>
        <v>5040</v>
      </c>
      <c r="H36" s="10">
        <f ca="1">VLOOKUP($B36,'[5]Analisys QBR By Machine Report'!$C$109:$BD$166,4,FALSE)</f>
        <v>5040</v>
      </c>
      <c r="I36" s="10">
        <f ca="1">VLOOKUP($B36,'[5]Analisys QBR By Machine Report'!$C$109:$BD$166,5,FALSE)</f>
        <v>1350</v>
      </c>
      <c r="J36" s="10">
        <f ca="1">VLOOKUP($B36,'[5]Analisys QBR By Machine Report'!$C$109:$BD$166,6,FALSE)</f>
        <v>3690</v>
      </c>
      <c r="K36" s="10">
        <f ca="1">VLOOKUP($B36,'[5]Analisys QBR By Machine Report'!$C$109:$BD$166,7,FALSE)</f>
        <v>0</v>
      </c>
      <c r="L36" s="10">
        <f ca="1">VLOOKUP($B36,'[5]Analisys QBR By Machine Report'!$C$109:$BD$166,8,FALSE)</f>
        <v>43770</v>
      </c>
      <c r="M36" s="10">
        <f ca="1">VLOOKUP($B36,'[5]Analisys QBR By Machine Report'!$C$109:$BD$166,9,FALSE)</f>
        <v>27709</v>
      </c>
      <c r="N36" s="10">
        <f ca="1">VLOOKUP($B36,[5]Dasboard_QBR_Report!$B$109:$BL$166,18,FALSE)</f>
        <v>16061</v>
      </c>
      <c r="O36" s="10">
        <f ca="1">VLOOKUP($B36,'[5]Analisys QBR By Machine Report'!$C$109:$BD$166,10,FALSE)</f>
        <v>2721</v>
      </c>
      <c r="P36" s="10">
        <f ca="1">VLOOKUP($B36,'[5]Analisys QBR By Machine Report'!$C$109:$BD$166,11,FALSE)</f>
        <v>1796</v>
      </c>
      <c r="Q36" s="10">
        <f ca="1">VLOOKUP($B36,'[5]Analisys QBR By Machine Report'!$C$109:$BD$166,12,FALSE)</f>
        <v>148</v>
      </c>
      <c r="R36" s="10">
        <f ca="1">VLOOKUP($B36,'[5]Analisys QBR By Machine Report'!$C$109:$BD$166,13,FALSE)</f>
        <v>55</v>
      </c>
      <c r="S36" s="10">
        <f ca="1">VLOOKUP($B36,'[5]Analisys QBR By Machine Report'!$C$109:$BD$166,14,FALSE)</f>
        <v>722</v>
      </c>
      <c r="T36" s="10">
        <f ca="1">VLOOKUP($B36,'[5]Analisys QBR By Machine Report'!$C$109:$BD$166,15,FALSE)</f>
        <v>65</v>
      </c>
      <c r="U36" s="10">
        <f ca="1">VLOOKUP($B36,'[5]Analisys QBR By Machine Report'!$C$109:$BD$166,16,FALSE)</f>
        <v>65</v>
      </c>
      <c r="V36" s="10">
        <f ca="1">VLOOKUP($B36,'[5]Analisys QBR By Machine Report'!$C$109:$BD$166,17,FALSE)</f>
        <v>0</v>
      </c>
      <c r="W36" s="10">
        <f ca="1">VLOOKUP($B36,'[5]Analisys QBR By Machine Report'!$C$109:$BD$166,18,FALSE)</f>
        <v>0</v>
      </c>
      <c r="X36" s="10">
        <f ca="1">VLOOKUP($B36,'[5]Analisys QBR By Machine Report'!$C$109:$BD$166,19,FALSE)</f>
        <v>0</v>
      </c>
      <c r="Y36" s="10">
        <f ca="1">VLOOKUP($B36,'[5]Analisys QBR By Machine Report'!$C$109:$BD$166,20,FALSE)</f>
        <v>0</v>
      </c>
      <c r="Z36" s="10">
        <f ca="1">VLOOKUP($B36,'[5]Analisys QBR By Machine Report'!$C$109:$BD$166,21,FALSE)</f>
        <v>3838</v>
      </c>
      <c r="AA36" s="10">
        <f ca="1">VLOOKUP($B36,'[5]Analisys QBR By Machine Report'!$C$109:$BD$166,22,FALSE)</f>
        <v>2093</v>
      </c>
      <c r="AB36" s="10">
        <f ca="1">VLOOKUP($B36,'[5]Analisys QBR By Machine Report'!$C$109:$BD$166,23,FALSE)</f>
        <v>1655</v>
      </c>
      <c r="AC36" s="10">
        <f ca="1">VLOOKUP($B36,'[5]Analisys QBR By Machine Report'!$C$109:$BD$166,24,FALSE)</f>
        <v>0</v>
      </c>
      <c r="AD36" s="10">
        <f ca="1">VLOOKUP($B36,'[5]Analisys QBR By Machine Report'!$C$109:$BD$166,25,FALSE)</f>
        <v>0</v>
      </c>
      <c r="AE36" s="10">
        <f ca="1">VLOOKUP($B36,'[5]Analisys QBR By Machine Report'!$C$109:$BD$166,26,FALSE)</f>
        <v>90</v>
      </c>
      <c r="AF36" s="10">
        <f ca="1">VLOOKUP($B36,'[5]Analisys QBR By Machine Report'!$C$109:$BD$166,27,FALSE)</f>
        <v>0</v>
      </c>
      <c r="AG36" s="10">
        <f ca="1">VLOOKUP($B36,'[5]Analisys QBR By Machine Report'!$C$109:$BD$166,28,FALSE)</f>
        <v>0</v>
      </c>
      <c r="AH36" s="10">
        <f ca="1">VLOOKUP($B36,'[5]Analisys QBR By Machine Report'!$C$109:$BD$166,29,FALSE)</f>
        <v>0</v>
      </c>
      <c r="AI36" s="10">
        <f ca="1">VLOOKUP($B36,'[5]Analisys QBR By Machine Report'!$C$109:$BD$166,30,FALSE)</f>
        <v>9437</v>
      </c>
      <c r="AJ36" s="10">
        <f ca="1">VLOOKUP($B36,'[5]Analisys QBR By Machine Report'!$C$109:$BD$166,31,FALSE)</f>
        <v>0</v>
      </c>
      <c r="AK36" s="10">
        <f ca="1">VLOOKUP($B36,'[5]Analisys QBR By Machine Report'!$C$109:$BD$166,32,FALSE)</f>
        <v>975</v>
      </c>
      <c r="AL36" s="10">
        <f ca="1">VLOOKUP($B36,'[5]Analisys QBR By Machine Report'!$C$109:$BD$166,33,FALSE)</f>
        <v>2610</v>
      </c>
      <c r="AM36" s="10">
        <f ca="1">VLOOKUP($B36,'[5]Analisys QBR By Machine Report'!$C$109:$BD$166,34,FALSE)</f>
        <v>0</v>
      </c>
      <c r="AN36" s="10">
        <f ca="1">VLOOKUP($B36,'[5]Analisys QBR By Machine Report'!$C$109:$BD$166,35,FALSE)</f>
        <v>1405</v>
      </c>
      <c r="AO36" s="10">
        <f ca="1">VLOOKUP($B36,'[5]Analisys QBR By Machine Report'!$C$109:$BD$166,36,FALSE)</f>
        <v>430</v>
      </c>
      <c r="AP36" s="10">
        <f ca="1">VLOOKUP($B36,'[5]Analisys QBR By Machine Report'!$C$109:$BD$166,37,FALSE)</f>
        <v>0</v>
      </c>
      <c r="AQ36" s="10">
        <f ca="1">VLOOKUP($B36,'[5]Analisys QBR By Machine Report'!$C$109:$BD$166,38,FALSE)</f>
        <v>0</v>
      </c>
      <c r="AR36" s="10">
        <f ca="1">VLOOKUP($B36,'[5]Analisys QBR By Machine Report'!$C$109:$BD$166,39,FALSE)</f>
        <v>1725</v>
      </c>
      <c r="AS36" s="10">
        <f ca="1">VLOOKUP($B36,'[5]Analisys QBR By Machine Report'!$C$109:$BD$166,40,FALSE)</f>
        <v>709</v>
      </c>
      <c r="AT36" s="10">
        <f ca="1">VLOOKUP($B36,'[5]Analisys QBR By Machine Report'!$C$109:$BD$166,41,FALSE)</f>
        <v>0</v>
      </c>
      <c r="AU36" s="10">
        <f ca="1">VLOOKUP($B36,'[5]Analisys QBR By Machine Report'!$C$109:$BD$166,42,FALSE)</f>
        <v>0</v>
      </c>
      <c r="AV36" s="10">
        <f ca="1">VLOOKUP($B36,'[5]Analisys QBR By Machine Report'!$C$109:$BD$166,43,FALSE)</f>
        <v>0</v>
      </c>
      <c r="AW36" s="10">
        <f ca="1">VLOOKUP($B36,'[5]Analisys QBR By Machine Report'!$C$109:$BD$166,44,FALSE)</f>
        <v>0</v>
      </c>
      <c r="AX36" s="10">
        <f ca="1">VLOOKUP($B36,'[5]Analisys QBR By Machine Report'!$C$109:$BD$166,45,FALSE)</f>
        <v>0</v>
      </c>
      <c r="AY36" s="10">
        <f ca="1">VLOOKUP($B36,'[5]Analisys QBR By Machine Report'!$C$109:$BD$166,46,FALSE)</f>
        <v>0</v>
      </c>
      <c r="AZ36" s="10">
        <f ca="1">VLOOKUP($B36,'[5]Analisys QBR By Machine Report'!$C$109:$BD$166,47,FALSE)</f>
        <v>1583</v>
      </c>
      <c r="BA36" s="10">
        <f ca="1">VLOOKUP($B36,'[5]Analisys QBR By Machine Report'!$C$109:$BD$166,48,FALSE)</f>
        <v>0</v>
      </c>
      <c r="BB36" s="10">
        <f ca="1">VLOOKUP($B36,'[5]Analisys QBR By Machine Report'!$C$109:$BD$166,49,FALSE)</f>
        <v>0</v>
      </c>
      <c r="BC36" s="10">
        <f ca="1">VLOOKUP($B36,'[5]Analisys QBR By Machine Report'!$C$109:$BD$166,50,FALSE)</f>
        <v>0</v>
      </c>
      <c r="BD36" s="10">
        <f ca="1">VLOOKUP($B36,'[5]Analisys QBR By Machine Report'!$C$109:$BD$166,51,FALSE)</f>
        <v>1443293</v>
      </c>
      <c r="BE36" s="10">
        <f ca="1">VLOOKUP($B36,'[5]Analisys QBR By Machine Report'!$C$109:$BD$166,52,FALSE)</f>
        <v>75</v>
      </c>
      <c r="BF36" s="10">
        <f ca="1">VLOOKUP($B36,'[5]Analisys QBR By Machine Report'!$C$109:$BD$166,53,FALSE)</f>
        <v>1443218</v>
      </c>
    </row>
    <row r="37" spans="1:58" x14ac:dyDescent="0.25">
      <c r="A37" s="12" t="s">
        <v>93</v>
      </c>
      <c r="B37" s="13">
        <f ca="1">VLOOKUP($B37,'[5]Analisys QBR By Machine Report'!$C$109:$BD$166,2,FALSE)</f>
        <v>28800</v>
      </c>
      <c r="C37" s="14">
        <f ca="1">VLOOKUP($B37,[5]Dasboard_QBR_Report!$B$109:$BL$166,3,FALSE)</f>
        <v>9600</v>
      </c>
      <c r="D37" s="13">
        <f ca="1">VLOOKUP($B37,'[5]Analisys QBR By Machine Report'!$C$109:$BD$166,3,FALSE)</f>
        <v>14610</v>
      </c>
      <c r="E37" s="14">
        <f ca="1">VLOOKUP($B37,[5]Dasboard_QBR_Report!$B$109:$BL$166,5,FALSE)</f>
        <v>-4590</v>
      </c>
      <c r="F37" s="13">
        <f t="shared" ca="1" si="0"/>
        <v>14190</v>
      </c>
      <c r="G37" s="13">
        <f t="shared" ca="1" si="1"/>
        <v>310</v>
      </c>
      <c r="H37" s="13">
        <f ca="1">VLOOKUP($B37,'[5]Analisys QBR By Machine Report'!$C$109:$BD$166,4,FALSE)</f>
        <v>310</v>
      </c>
      <c r="I37" s="13">
        <f ca="1">VLOOKUP($B37,'[5]Analisys QBR By Machine Report'!$C$109:$BD$166,5,FALSE)</f>
        <v>255</v>
      </c>
      <c r="J37" s="13">
        <f ca="1">VLOOKUP($B37,'[5]Analisys QBR By Machine Report'!$C$109:$BD$166,6,FALSE)</f>
        <v>55</v>
      </c>
      <c r="K37" s="13">
        <f ca="1">VLOOKUP($B37,'[5]Analisys QBR By Machine Report'!$C$109:$BD$166,7,FALSE)</f>
        <v>0</v>
      </c>
      <c r="L37" s="13">
        <f ca="1">VLOOKUP($B37,'[5]Analisys QBR By Machine Report'!$C$109:$BD$166,8,FALSE)</f>
        <v>13880</v>
      </c>
      <c r="M37" s="13">
        <f ca="1">VLOOKUP($B37,'[5]Analisys QBR By Machine Report'!$C$109:$BD$166,9,FALSE)</f>
        <v>9633</v>
      </c>
      <c r="N37" s="13">
        <f ca="1">VLOOKUP($B37,[5]Dasboard_QBR_Report!$B$109:$BL$166,18,FALSE)</f>
        <v>4247</v>
      </c>
      <c r="O37" s="13">
        <f ca="1">VLOOKUP($B37,'[5]Analisys QBR By Machine Report'!$C$109:$BD$166,10,FALSE)</f>
        <v>445</v>
      </c>
      <c r="P37" s="13">
        <f ca="1">VLOOKUP($B37,'[5]Analisys QBR By Machine Report'!$C$109:$BD$166,11,FALSE)</f>
        <v>442</v>
      </c>
      <c r="Q37" s="13">
        <f ca="1">VLOOKUP($B37,'[5]Analisys QBR By Machine Report'!$C$109:$BD$166,12,FALSE)</f>
        <v>3</v>
      </c>
      <c r="R37" s="13">
        <f ca="1">VLOOKUP($B37,'[5]Analisys QBR By Machine Report'!$C$109:$BD$166,13,FALSE)</f>
        <v>0</v>
      </c>
      <c r="S37" s="13">
        <f ca="1">VLOOKUP($B37,'[5]Analisys QBR By Machine Report'!$C$109:$BD$166,14,FALSE)</f>
        <v>0</v>
      </c>
      <c r="T37" s="13">
        <f ca="1">VLOOKUP($B37,'[5]Analisys QBR By Machine Report'!$C$109:$BD$166,15,FALSE)</f>
        <v>0</v>
      </c>
      <c r="U37" s="13">
        <f ca="1">VLOOKUP($B37,'[5]Analisys QBR By Machine Report'!$C$109:$BD$166,16,FALSE)</f>
        <v>0</v>
      </c>
      <c r="V37" s="13">
        <f ca="1">VLOOKUP($B37,'[5]Analisys QBR By Machine Report'!$C$109:$BD$166,17,FALSE)</f>
        <v>0</v>
      </c>
      <c r="W37" s="13">
        <f ca="1">VLOOKUP($B37,'[5]Analisys QBR By Machine Report'!$C$109:$BD$166,18,FALSE)</f>
        <v>0</v>
      </c>
      <c r="X37" s="13">
        <f ca="1">VLOOKUP($B37,'[5]Analisys QBR By Machine Report'!$C$109:$BD$166,19,FALSE)</f>
        <v>0</v>
      </c>
      <c r="Y37" s="13">
        <f ca="1">VLOOKUP($B37,'[5]Analisys QBR By Machine Report'!$C$109:$BD$166,20,FALSE)</f>
        <v>0</v>
      </c>
      <c r="Z37" s="13">
        <f ca="1">VLOOKUP($B37,'[5]Analisys QBR By Machine Report'!$C$109:$BD$166,21,FALSE)</f>
        <v>957</v>
      </c>
      <c r="AA37" s="13">
        <f ca="1">VLOOKUP($B37,'[5]Analisys QBR By Machine Report'!$C$109:$BD$166,22,FALSE)</f>
        <v>347</v>
      </c>
      <c r="AB37" s="13">
        <f ca="1">VLOOKUP($B37,'[5]Analisys QBR By Machine Report'!$C$109:$BD$166,23,FALSE)</f>
        <v>580</v>
      </c>
      <c r="AC37" s="13">
        <f ca="1">VLOOKUP($B37,'[5]Analisys QBR By Machine Report'!$C$109:$BD$166,24,FALSE)</f>
        <v>0</v>
      </c>
      <c r="AD37" s="13">
        <f ca="1">VLOOKUP($B37,'[5]Analisys QBR By Machine Report'!$C$109:$BD$166,25,FALSE)</f>
        <v>0</v>
      </c>
      <c r="AE37" s="13">
        <f ca="1">VLOOKUP($B37,'[5]Analisys QBR By Machine Report'!$C$109:$BD$166,26,FALSE)</f>
        <v>30</v>
      </c>
      <c r="AF37" s="13">
        <f ca="1">VLOOKUP($B37,'[5]Analisys QBR By Machine Report'!$C$109:$BD$166,27,FALSE)</f>
        <v>0</v>
      </c>
      <c r="AG37" s="13">
        <f ca="1">VLOOKUP($B37,'[5]Analisys QBR By Machine Report'!$C$109:$BD$166,28,FALSE)</f>
        <v>0</v>
      </c>
      <c r="AH37" s="13">
        <f ca="1">VLOOKUP($B37,'[5]Analisys QBR By Machine Report'!$C$109:$BD$166,29,FALSE)</f>
        <v>0</v>
      </c>
      <c r="AI37" s="13">
        <f ca="1">VLOOKUP($B37,'[5]Analisys QBR By Machine Report'!$C$109:$BD$166,30,FALSE)</f>
        <v>2845</v>
      </c>
      <c r="AJ37" s="13">
        <f ca="1">VLOOKUP($B37,'[5]Analisys QBR By Machine Report'!$C$109:$BD$166,31,FALSE)</f>
        <v>0</v>
      </c>
      <c r="AK37" s="13">
        <f ca="1">VLOOKUP($B37,'[5]Analisys QBR By Machine Report'!$C$109:$BD$166,32,FALSE)</f>
        <v>720</v>
      </c>
      <c r="AL37" s="13">
        <f ca="1">VLOOKUP($B37,'[5]Analisys QBR By Machine Report'!$C$109:$BD$166,33,FALSE)</f>
        <v>870</v>
      </c>
      <c r="AM37" s="13">
        <f ca="1">VLOOKUP($B37,'[5]Analisys QBR By Machine Report'!$C$109:$BD$166,34,FALSE)</f>
        <v>0</v>
      </c>
      <c r="AN37" s="13">
        <f ca="1">VLOOKUP($B37,'[5]Analisys QBR By Machine Report'!$C$109:$BD$166,35,FALSE)</f>
        <v>420</v>
      </c>
      <c r="AO37" s="13">
        <f ca="1">VLOOKUP($B37,'[5]Analisys QBR By Machine Report'!$C$109:$BD$166,36,FALSE)</f>
        <v>0</v>
      </c>
      <c r="AP37" s="13">
        <f ca="1">VLOOKUP($B37,'[5]Analisys QBR By Machine Report'!$C$109:$BD$166,37,FALSE)</f>
        <v>0</v>
      </c>
      <c r="AQ37" s="13">
        <f ca="1">VLOOKUP($B37,'[5]Analisys QBR By Machine Report'!$C$109:$BD$166,38,FALSE)</f>
        <v>0</v>
      </c>
      <c r="AR37" s="13">
        <f ca="1">VLOOKUP($B37,'[5]Analisys QBR By Machine Report'!$C$109:$BD$166,39,FALSE)</f>
        <v>0</v>
      </c>
      <c r="AS37" s="13">
        <f ca="1">VLOOKUP($B37,'[5]Analisys QBR By Machine Report'!$C$109:$BD$166,40,FALSE)</f>
        <v>254</v>
      </c>
      <c r="AT37" s="13">
        <f ca="1">VLOOKUP($B37,'[5]Analisys QBR By Machine Report'!$C$109:$BD$166,41,FALSE)</f>
        <v>0</v>
      </c>
      <c r="AU37" s="13">
        <f ca="1">VLOOKUP($B37,'[5]Analisys QBR By Machine Report'!$C$109:$BD$166,42,FALSE)</f>
        <v>0</v>
      </c>
      <c r="AV37" s="13">
        <f ca="1">VLOOKUP($B37,'[5]Analisys QBR By Machine Report'!$C$109:$BD$166,43,FALSE)</f>
        <v>0</v>
      </c>
      <c r="AW37" s="13">
        <f ca="1">VLOOKUP($B37,'[5]Analisys QBR By Machine Report'!$C$109:$BD$166,44,FALSE)</f>
        <v>0</v>
      </c>
      <c r="AX37" s="13">
        <f ca="1">VLOOKUP($B37,'[5]Analisys QBR By Machine Report'!$C$109:$BD$166,45,FALSE)</f>
        <v>0</v>
      </c>
      <c r="AY37" s="13">
        <f ca="1">VLOOKUP($B37,'[5]Analisys QBR By Machine Report'!$C$109:$BD$166,46,FALSE)</f>
        <v>0</v>
      </c>
      <c r="AZ37" s="13">
        <f ca="1">VLOOKUP($B37,'[5]Analisys QBR By Machine Report'!$C$109:$BD$166,47,FALSE)</f>
        <v>581</v>
      </c>
      <c r="BA37" s="13">
        <f ca="1">VLOOKUP($B37,'[5]Analisys QBR By Machine Report'!$C$109:$BD$166,48,FALSE)</f>
        <v>0</v>
      </c>
      <c r="BB37" s="13">
        <f ca="1">VLOOKUP($B37,'[5]Analisys QBR By Machine Report'!$C$109:$BD$166,49,FALSE)</f>
        <v>0</v>
      </c>
      <c r="BC37" s="13">
        <f ca="1">VLOOKUP($B37,'[5]Analisys QBR By Machine Report'!$C$109:$BD$166,50,FALSE)</f>
        <v>0</v>
      </c>
      <c r="BD37" s="13">
        <f ca="1">VLOOKUP($B37,'[5]Analisys QBR By Machine Report'!$C$109:$BD$166,51,FALSE)</f>
        <v>394220</v>
      </c>
      <c r="BE37" s="13">
        <f ca="1">VLOOKUP($B37,'[5]Analisys QBR By Machine Report'!$C$109:$BD$166,52,FALSE)</f>
        <v>38</v>
      </c>
      <c r="BF37" s="13">
        <f ca="1">VLOOKUP($B37,'[5]Analisys QBR By Machine Report'!$C$109:$BD$166,53,FALSE)</f>
        <v>394182</v>
      </c>
    </row>
    <row r="38" spans="1:58" x14ac:dyDescent="0.25">
      <c r="A38" s="12" t="s">
        <v>94</v>
      </c>
      <c r="B38" s="13">
        <f ca="1">VLOOKUP($B38,'[5]Analisys QBR By Machine Report'!$C$109:$BD$166,2,FALSE)</f>
        <v>27360</v>
      </c>
      <c r="C38" s="14">
        <f ca="1">VLOOKUP($B38,[5]Dasboard_QBR_Report!$B$109:$BL$166,3,FALSE)</f>
        <v>9120</v>
      </c>
      <c r="D38" s="13">
        <f ca="1">VLOOKUP($B38,'[5]Analisys QBR By Machine Report'!$C$109:$BD$166,3,FALSE)</f>
        <v>27360</v>
      </c>
      <c r="E38" s="14">
        <f ca="1">VLOOKUP($B38,[5]Dasboard_QBR_Report!$B$109:$BL$166,5,FALSE)</f>
        <v>9120</v>
      </c>
      <c r="F38" s="13">
        <f t="shared" ca="1" si="0"/>
        <v>0</v>
      </c>
      <c r="G38" s="13">
        <f t="shared" ca="1" si="1"/>
        <v>0</v>
      </c>
      <c r="H38" s="13">
        <f ca="1">VLOOKUP($B38,'[5]Analisys QBR By Machine Report'!$C$109:$BD$166,4,FALSE)</f>
        <v>0</v>
      </c>
      <c r="I38" s="13">
        <f ca="1">VLOOKUP($B38,'[5]Analisys QBR By Machine Report'!$C$109:$BD$166,5,FALSE)</f>
        <v>0</v>
      </c>
      <c r="J38" s="13">
        <f ca="1">VLOOKUP($B38,'[5]Analisys QBR By Machine Report'!$C$109:$BD$166,6,FALSE)</f>
        <v>0</v>
      </c>
      <c r="K38" s="13">
        <f ca="1">VLOOKUP($B38,'[5]Analisys QBR By Machine Report'!$C$109:$BD$166,7,FALSE)</f>
        <v>0</v>
      </c>
      <c r="L38" s="13">
        <f ca="1">VLOOKUP($B38,'[5]Analisys QBR By Machine Report'!$C$109:$BD$166,8,FALSE)</f>
        <v>0</v>
      </c>
      <c r="M38" s="13">
        <f ca="1">VLOOKUP($B38,'[5]Analisys QBR By Machine Report'!$C$109:$BD$166,9,FALSE)</f>
        <v>0</v>
      </c>
      <c r="N38" s="13">
        <f ca="1">VLOOKUP($B38,[5]Dasboard_QBR_Report!$B$109:$BL$166,18,FALSE)</f>
        <v>0</v>
      </c>
      <c r="O38" s="13">
        <f ca="1">VLOOKUP($B38,'[5]Analisys QBR By Machine Report'!$C$109:$BD$166,10,FALSE)</f>
        <v>0</v>
      </c>
      <c r="P38" s="13">
        <f ca="1">VLOOKUP($B38,'[5]Analisys QBR By Machine Report'!$C$109:$BD$166,11,FALSE)</f>
        <v>0</v>
      </c>
      <c r="Q38" s="13">
        <f ca="1">VLOOKUP($B38,'[5]Analisys QBR By Machine Report'!$C$109:$BD$166,12,FALSE)</f>
        <v>0</v>
      </c>
      <c r="R38" s="13">
        <f ca="1">VLOOKUP($B38,'[5]Analisys QBR By Machine Report'!$C$109:$BD$166,13,FALSE)</f>
        <v>0</v>
      </c>
      <c r="S38" s="13">
        <f ca="1">VLOOKUP($B38,'[5]Analisys QBR By Machine Report'!$C$109:$BD$166,14,FALSE)</f>
        <v>0</v>
      </c>
      <c r="T38" s="13">
        <f ca="1">VLOOKUP($B38,'[5]Analisys QBR By Machine Report'!$C$109:$BD$166,15,FALSE)</f>
        <v>0</v>
      </c>
      <c r="U38" s="13">
        <f ca="1">VLOOKUP($B38,'[5]Analisys QBR By Machine Report'!$C$109:$BD$166,16,FALSE)</f>
        <v>0</v>
      </c>
      <c r="V38" s="13">
        <f ca="1">VLOOKUP($B38,'[5]Analisys QBR By Machine Report'!$C$109:$BD$166,17,FALSE)</f>
        <v>0</v>
      </c>
      <c r="W38" s="13">
        <f ca="1">VLOOKUP($B38,'[5]Analisys QBR By Machine Report'!$C$109:$BD$166,18,FALSE)</f>
        <v>0</v>
      </c>
      <c r="X38" s="13">
        <f ca="1">VLOOKUP($B38,'[5]Analisys QBR By Machine Report'!$C$109:$BD$166,19,FALSE)</f>
        <v>0</v>
      </c>
      <c r="Y38" s="13">
        <f ca="1">VLOOKUP($B38,'[5]Analisys QBR By Machine Report'!$C$109:$BD$166,20,FALSE)</f>
        <v>0</v>
      </c>
      <c r="Z38" s="13">
        <f ca="1">VLOOKUP($B38,'[5]Analisys QBR By Machine Report'!$C$109:$BD$166,21,FALSE)</f>
        <v>0</v>
      </c>
      <c r="AA38" s="13">
        <f ca="1">VLOOKUP($B38,'[5]Analisys QBR By Machine Report'!$C$109:$BD$166,22,FALSE)</f>
        <v>0</v>
      </c>
      <c r="AB38" s="13">
        <f ca="1">VLOOKUP($B38,'[5]Analisys QBR By Machine Report'!$C$109:$BD$166,23,FALSE)</f>
        <v>0</v>
      </c>
      <c r="AC38" s="13">
        <f ca="1">VLOOKUP($B38,'[5]Analisys QBR By Machine Report'!$C$109:$BD$166,24,FALSE)</f>
        <v>0</v>
      </c>
      <c r="AD38" s="13">
        <f ca="1">VLOOKUP($B38,'[5]Analisys QBR By Machine Report'!$C$109:$BD$166,25,FALSE)</f>
        <v>0</v>
      </c>
      <c r="AE38" s="13">
        <f ca="1">VLOOKUP($B38,'[5]Analisys QBR By Machine Report'!$C$109:$BD$166,26,FALSE)</f>
        <v>0</v>
      </c>
      <c r="AF38" s="13">
        <f ca="1">VLOOKUP($B38,'[5]Analisys QBR By Machine Report'!$C$109:$BD$166,27,FALSE)</f>
        <v>0</v>
      </c>
      <c r="AG38" s="13">
        <f ca="1">VLOOKUP($B38,'[5]Analisys QBR By Machine Report'!$C$109:$BD$166,28,FALSE)</f>
        <v>0</v>
      </c>
      <c r="AH38" s="13">
        <f ca="1">VLOOKUP($B38,'[5]Analisys QBR By Machine Report'!$C$109:$BD$166,29,FALSE)</f>
        <v>0</v>
      </c>
      <c r="AI38" s="13">
        <f ca="1">VLOOKUP($B38,'[5]Analisys QBR By Machine Report'!$C$109:$BD$166,30,FALSE)</f>
        <v>0</v>
      </c>
      <c r="AJ38" s="13">
        <f ca="1">VLOOKUP($B38,'[5]Analisys QBR By Machine Report'!$C$109:$BD$166,31,FALSE)</f>
        <v>0</v>
      </c>
      <c r="AK38" s="13">
        <f ca="1">VLOOKUP($B38,'[5]Analisys QBR By Machine Report'!$C$109:$BD$166,32,FALSE)</f>
        <v>0</v>
      </c>
      <c r="AL38" s="13">
        <f ca="1">VLOOKUP($B38,'[5]Analisys QBR By Machine Report'!$C$109:$BD$166,33,FALSE)</f>
        <v>0</v>
      </c>
      <c r="AM38" s="13">
        <f ca="1">VLOOKUP($B38,'[5]Analisys QBR By Machine Report'!$C$109:$BD$166,34,FALSE)</f>
        <v>0</v>
      </c>
      <c r="AN38" s="13">
        <f ca="1">VLOOKUP($B38,'[5]Analisys QBR By Machine Report'!$C$109:$BD$166,35,FALSE)</f>
        <v>0</v>
      </c>
      <c r="AO38" s="13">
        <f ca="1">VLOOKUP($B38,'[5]Analisys QBR By Machine Report'!$C$109:$BD$166,36,FALSE)</f>
        <v>0</v>
      </c>
      <c r="AP38" s="13">
        <f ca="1">VLOOKUP($B38,'[5]Analisys QBR By Machine Report'!$C$109:$BD$166,37,FALSE)</f>
        <v>0</v>
      </c>
      <c r="AQ38" s="13">
        <f ca="1">VLOOKUP($B38,'[5]Analisys QBR By Machine Report'!$C$109:$BD$166,38,FALSE)</f>
        <v>0</v>
      </c>
      <c r="AR38" s="13">
        <f ca="1">VLOOKUP($B38,'[5]Analisys QBR By Machine Report'!$C$109:$BD$166,39,FALSE)</f>
        <v>0</v>
      </c>
      <c r="AS38" s="13">
        <f ca="1">VLOOKUP($B38,'[5]Analisys QBR By Machine Report'!$C$109:$BD$166,40,FALSE)</f>
        <v>0</v>
      </c>
      <c r="AT38" s="13">
        <f ca="1">VLOOKUP($B38,'[5]Analisys QBR By Machine Report'!$C$109:$BD$166,41,FALSE)</f>
        <v>0</v>
      </c>
      <c r="AU38" s="13">
        <f ca="1">VLOOKUP($B38,'[5]Analisys QBR By Machine Report'!$C$109:$BD$166,42,FALSE)</f>
        <v>0</v>
      </c>
      <c r="AV38" s="13">
        <f ca="1">VLOOKUP($B38,'[5]Analisys QBR By Machine Report'!$C$109:$BD$166,43,FALSE)</f>
        <v>0</v>
      </c>
      <c r="AW38" s="13">
        <f ca="1">VLOOKUP($B38,'[5]Analisys QBR By Machine Report'!$C$109:$BD$166,44,FALSE)</f>
        <v>0</v>
      </c>
      <c r="AX38" s="13">
        <f ca="1">VLOOKUP($B38,'[5]Analisys QBR By Machine Report'!$C$109:$BD$166,45,FALSE)</f>
        <v>0</v>
      </c>
      <c r="AY38" s="13">
        <f ca="1">VLOOKUP($B38,'[5]Analisys QBR By Machine Report'!$C$109:$BD$166,46,FALSE)</f>
        <v>0</v>
      </c>
      <c r="AZ38" s="13">
        <f ca="1">VLOOKUP($B38,'[5]Analisys QBR By Machine Report'!$C$109:$BD$166,47,FALSE)</f>
        <v>0</v>
      </c>
      <c r="BA38" s="13">
        <f ca="1">VLOOKUP($B38,'[5]Analisys QBR By Machine Report'!$C$109:$BD$166,48,FALSE)</f>
        <v>0</v>
      </c>
      <c r="BB38" s="13">
        <f ca="1">VLOOKUP($B38,'[5]Analisys QBR By Machine Report'!$C$109:$BD$166,49,FALSE)</f>
        <v>0</v>
      </c>
      <c r="BC38" s="13">
        <f ca="1">VLOOKUP($B38,'[5]Analisys QBR By Machine Report'!$C$109:$BD$166,50,FALSE)</f>
        <v>0</v>
      </c>
      <c r="BD38" s="13">
        <f ca="1">VLOOKUP($B38,'[5]Analisys QBR By Machine Report'!$C$109:$BD$166,51,FALSE)</f>
        <v>0</v>
      </c>
      <c r="BE38" s="13">
        <f ca="1">VLOOKUP($B38,'[5]Analisys QBR By Machine Report'!$C$109:$BD$166,52,FALSE)</f>
        <v>0</v>
      </c>
      <c r="BF38" s="13">
        <f ca="1">VLOOKUP($B38,'[5]Analisys QBR By Machine Report'!$C$109:$BD$166,53,FALSE)</f>
        <v>0</v>
      </c>
    </row>
    <row r="39" spans="1:58" x14ac:dyDescent="0.25">
      <c r="A39" s="12" t="s">
        <v>95</v>
      </c>
      <c r="B39" s="13">
        <f ca="1">VLOOKUP($B39,'[5]Analisys QBR By Machine Report'!$C$109:$BD$166,2,FALSE)</f>
        <v>28800</v>
      </c>
      <c r="C39" s="14">
        <f ca="1">VLOOKUP($B39,[5]Dasboard_QBR_Report!$B$109:$BL$166,3,FALSE)</f>
        <v>9600</v>
      </c>
      <c r="D39" s="13">
        <f ca="1">VLOOKUP($B39,'[5]Analisys QBR By Machine Report'!$C$109:$BD$166,3,FALSE)</f>
        <v>13230</v>
      </c>
      <c r="E39" s="14">
        <f ca="1">VLOOKUP($B39,[5]Dasboard_QBR_Report!$B$109:$BL$166,5,FALSE)</f>
        <v>-5970</v>
      </c>
      <c r="F39" s="13">
        <f t="shared" ca="1" si="0"/>
        <v>15570</v>
      </c>
      <c r="G39" s="13">
        <f t="shared" ca="1" si="1"/>
        <v>845</v>
      </c>
      <c r="H39" s="13">
        <f ca="1">VLOOKUP($B39,'[5]Analisys QBR By Machine Report'!$C$109:$BD$166,4,FALSE)</f>
        <v>845</v>
      </c>
      <c r="I39" s="13">
        <f ca="1">VLOOKUP($B39,'[5]Analisys QBR By Machine Report'!$C$109:$BD$166,5,FALSE)</f>
        <v>615</v>
      </c>
      <c r="J39" s="13">
        <f ca="1">VLOOKUP($B39,'[5]Analisys QBR By Machine Report'!$C$109:$BD$166,6,FALSE)</f>
        <v>230</v>
      </c>
      <c r="K39" s="13">
        <f ca="1">VLOOKUP($B39,'[5]Analisys QBR By Machine Report'!$C$109:$BD$166,7,FALSE)</f>
        <v>0</v>
      </c>
      <c r="L39" s="13">
        <f ca="1">VLOOKUP($B39,'[5]Analisys QBR By Machine Report'!$C$109:$BD$166,8,FALSE)</f>
        <v>14725</v>
      </c>
      <c r="M39" s="13">
        <f ca="1">VLOOKUP($B39,'[5]Analisys QBR By Machine Report'!$C$109:$BD$166,9,FALSE)</f>
        <v>11045</v>
      </c>
      <c r="N39" s="13">
        <f ca="1">VLOOKUP($B39,[5]Dasboard_QBR_Report!$B$109:$BL$166,18,FALSE)</f>
        <v>3680</v>
      </c>
      <c r="O39" s="13">
        <f ca="1">VLOOKUP($B39,'[5]Analisys QBR By Machine Report'!$C$109:$BD$166,10,FALSE)</f>
        <v>209</v>
      </c>
      <c r="P39" s="13">
        <f ca="1">VLOOKUP($B39,'[5]Analisys QBR By Machine Report'!$C$109:$BD$166,11,FALSE)</f>
        <v>209</v>
      </c>
      <c r="Q39" s="13">
        <f ca="1">VLOOKUP($B39,'[5]Analisys QBR By Machine Report'!$C$109:$BD$166,12,FALSE)</f>
        <v>0</v>
      </c>
      <c r="R39" s="13">
        <f ca="1">VLOOKUP($B39,'[5]Analisys QBR By Machine Report'!$C$109:$BD$166,13,FALSE)</f>
        <v>0</v>
      </c>
      <c r="S39" s="13">
        <f ca="1">VLOOKUP($B39,'[5]Analisys QBR By Machine Report'!$C$109:$BD$166,14,FALSE)</f>
        <v>0</v>
      </c>
      <c r="T39" s="13">
        <f ca="1">VLOOKUP($B39,'[5]Analisys QBR By Machine Report'!$C$109:$BD$166,15,FALSE)</f>
        <v>0</v>
      </c>
      <c r="U39" s="13">
        <f ca="1">VLOOKUP($B39,'[5]Analisys QBR By Machine Report'!$C$109:$BD$166,16,FALSE)</f>
        <v>0</v>
      </c>
      <c r="V39" s="13">
        <f ca="1">VLOOKUP($B39,'[5]Analisys QBR By Machine Report'!$C$109:$BD$166,17,FALSE)</f>
        <v>0</v>
      </c>
      <c r="W39" s="13">
        <f ca="1">VLOOKUP($B39,'[5]Analisys QBR By Machine Report'!$C$109:$BD$166,18,FALSE)</f>
        <v>0</v>
      </c>
      <c r="X39" s="13">
        <f ca="1">VLOOKUP($B39,'[5]Analisys QBR By Machine Report'!$C$109:$BD$166,19,FALSE)</f>
        <v>0</v>
      </c>
      <c r="Y39" s="13">
        <f ca="1">VLOOKUP($B39,'[5]Analisys QBR By Machine Report'!$C$109:$BD$166,20,FALSE)</f>
        <v>0</v>
      </c>
      <c r="Z39" s="13">
        <f ca="1">VLOOKUP($B39,'[5]Analisys QBR By Machine Report'!$C$109:$BD$166,21,FALSE)</f>
        <v>839</v>
      </c>
      <c r="AA39" s="13">
        <f ca="1">VLOOKUP($B39,'[5]Analisys QBR By Machine Report'!$C$109:$BD$166,22,FALSE)</f>
        <v>239</v>
      </c>
      <c r="AB39" s="13">
        <f ca="1">VLOOKUP($B39,'[5]Analisys QBR By Machine Report'!$C$109:$BD$166,23,FALSE)</f>
        <v>540</v>
      </c>
      <c r="AC39" s="13">
        <f ca="1">VLOOKUP($B39,'[5]Analisys QBR By Machine Report'!$C$109:$BD$166,24,FALSE)</f>
        <v>0</v>
      </c>
      <c r="AD39" s="13">
        <f ca="1">VLOOKUP($B39,'[5]Analisys QBR By Machine Report'!$C$109:$BD$166,25,FALSE)</f>
        <v>0</v>
      </c>
      <c r="AE39" s="13">
        <f ca="1">VLOOKUP($B39,'[5]Analisys QBR By Machine Report'!$C$109:$BD$166,26,FALSE)</f>
        <v>60</v>
      </c>
      <c r="AF39" s="13">
        <f ca="1">VLOOKUP($B39,'[5]Analisys QBR By Machine Report'!$C$109:$BD$166,27,FALSE)</f>
        <v>0</v>
      </c>
      <c r="AG39" s="13">
        <f ca="1">VLOOKUP($B39,'[5]Analisys QBR By Machine Report'!$C$109:$BD$166,28,FALSE)</f>
        <v>0</v>
      </c>
      <c r="AH39" s="13">
        <f ca="1">VLOOKUP($B39,'[5]Analisys QBR By Machine Report'!$C$109:$BD$166,29,FALSE)</f>
        <v>0</v>
      </c>
      <c r="AI39" s="13">
        <f ca="1">VLOOKUP($B39,'[5]Analisys QBR By Machine Report'!$C$109:$BD$166,30,FALSE)</f>
        <v>2632</v>
      </c>
      <c r="AJ39" s="13">
        <f ca="1">VLOOKUP($B39,'[5]Analisys QBR By Machine Report'!$C$109:$BD$166,31,FALSE)</f>
        <v>0</v>
      </c>
      <c r="AK39" s="13">
        <f ca="1">VLOOKUP($B39,'[5]Analisys QBR By Machine Report'!$C$109:$BD$166,32,FALSE)</f>
        <v>255</v>
      </c>
      <c r="AL39" s="13">
        <f ca="1">VLOOKUP($B39,'[5]Analisys QBR By Machine Report'!$C$109:$BD$166,33,FALSE)</f>
        <v>900</v>
      </c>
      <c r="AM39" s="13">
        <f ca="1">VLOOKUP($B39,'[5]Analisys QBR By Machine Report'!$C$109:$BD$166,34,FALSE)</f>
        <v>0</v>
      </c>
      <c r="AN39" s="13">
        <f ca="1">VLOOKUP($B39,'[5]Analisys QBR By Machine Report'!$C$109:$BD$166,35,FALSE)</f>
        <v>435</v>
      </c>
      <c r="AO39" s="13">
        <f ca="1">VLOOKUP($B39,'[5]Analisys QBR By Machine Report'!$C$109:$BD$166,36,FALSE)</f>
        <v>170</v>
      </c>
      <c r="AP39" s="13">
        <f ca="1">VLOOKUP($B39,'[5]Analisys QBR By Machine Report'!$C$109:$BD$166,37,FALSE)</f>
        <v>0</v>
      </c>
      <c r="AQ39" s="13">
        <f ca="1">VLOOKUP($B39,'[5]Analisys QBR By Machine Report'!$C$109:$BD$166,38,FALSE)</f>
        <v>0</v>
      </c>
      <c r="AR39" s="13">
        <f ca="1">VLOOKUP($B39,'[5]Analisys QBR By Machine Report'!$C$109:$BD$166,39,FALSE)</f>
        <v>0</v>
      </c>
      <c r="AS39" s="13">
        <f ca="1">VLOOKUP($B39,'[5]Analisys QBR By Machine Report'!$C$109:$BD$166,40,FALSE)</f>
        <v>175</v>
      </c>
      <c r="AT39" s="13">
        <f ca="1">VLOOKUP($B39,'[5]Analisys QBR By Machine Report'!$C$109:$BD$166,41,FALSE)</f>
        <v>0</v>
      </c>
      <c r="AU39" s="13">
        <f ca="1">VLOOKUP($B39,'[5]Analisys QBR By Machine Report'!$C$109:$BD$166,42,FALSE)</f>
        <v>0</v>
      </c>
      <c r="AV39" s="13">
        <f ca="1">VLOOKUP($B39,'[5]Analisys QBR By Machine Report'!$C$109:$BD$166,43,FALSE)</f>
        <v>0</v>
      </c>
      <c r="AW39" s="13">
        <f ca="1">VLOOKUP($B39,'[5]Analisys QBR By Machine Report'!$C$109:$BD$166,44,FALSE)</f>
        <v>0</v>
      </c>
      <c r="AX39" s="13">
        <f ca="1">VLOOKUP($B39,'[5]Analisys QBR By Machine Report'!$C$109:$BD$166,45,FALSE)</f>
        <v>0</v>
      </c>
      <c r="AY39" s="13">
        <f ca="1">VLOOKUP($B39,'[5]Analisys QBR By Machine Report'!$C$109:$BD$166,46,FALSE)</f>
        <v>0</v>
      </c>
      <c r="AZ39" s="13">
        <f ca="1">VLOOKUP($B39,'[5]Analisys QBR By Machine Report'!$C$109:$BD$166,47,FALSE)</f>
        <v>697</v>
      </c>
      <c r="BA39" s="13">
        <f ca="1">VLOOKUP($B39,'[5]Analisys QBR By Machine Report'!$C$109:$BD$166,48,FALSE)</f>
        <v>0</v>
      </c>
      <c r="BB39" s="13">
        <f ca="1">VLOOKUP($B39,'[5]Analisys QBR By Machine Report'!$C$109:$BD$166,49,FALSE)</f>
        <v>0</v>
      </c>
      <c r="BC39" s="13">
        <f ca="1">VLOOKUP($B39,'[5]Analisys QBR By Machine Report'!$C$109:$BD$166,50,FALSE)</f>
        <v>0</v>
      </c>
      <c r="BD39" s="13">
        <f ca="1">VLOOKUP($B39,'[5]Analisys QBR By Machine Report'!$C$109:$BD$166,51,FALSE)</f>
        <v>539520</v>
      </c>
      <c r="BE39" s="13">
        <f ca="1">VLOOKUP($B39,'[5]Analisys QBR By Machine Report'!$C$109:$BD$166,52,FALSE)</f>
        <v>0</v>
      </c>
      <c r="BF39" s="13">
        <f ca="1">VLOOKUP($B39,'[5]Analisys QBR By Machine Report'!$C$109:$BD$166,53,FALSE)</f>
        <v>539520</v>
      </c>
    </row>
    <row r="40" spans="1:58" x14ac:dyDescent="0.25">
      <c r="A40" s="12" t="s">
        <v>96</v>
      </c>
      <c r="B40" s="13">
        <f ca="1">VLOOKUP($B40,'[5]Analisys QBR By Machine Report'!$C$109:$BD$166,2,FALSE)</f>
        <v>27360</v>
      </c>
      <c r="C40" s="14">
        <f ca="1">VLOOKUP($B40,[5]Dasboard_QBR_Report!$B$109:$BL$166,3,FALSE)</f>
        <v>9120</v>
      </c>
      <c r="D40" s="13">
        <f ca="1">VLOOKUP($B40,'[5]Analisys QBR By Machine Report'!$C$109:$BD$166,3,FALSE)</f>
        <v>27360</v>
      </c>
      <c r="E40" s="14">
        <f ca="1">VLOOKUP($B40,[5]Dasboard_QBR_Report!$B$109:$BL$166,5,FALSE)</f>
        <v>9120</v>
      </c>
      <c r="F40" s="13">
        <f t="shared" ca="1" si="0"/>
        <v>0</v>
      </c>
      <c r="G40" s="13">
        <f t="shared" ca="1" si="1"/>
        <v>0</v>
      </c>
      <c r="H40" s="13">
        <f ca="1">VLOOKUP($B40,'[5]Analisys QBR By Machine Report'!$C$109:$BD$166,4,FALSE)</f>
        <v>0</v>
      </c>
      <c r="I40" s="13">
        <f ca="1">VLOOKUP($B40,'[5]Analisys QBR By Machine Report'!$C$109:$BD$166,5,FALSE)</f>
        <v>0</v>
      </c>
      <c r="J40" s="13">
        <f ca="1">VLOOKUP($B40,'[5]Analisys QBR By Machine Report'!$C$109:$BD$166,6,FALSE)</f>
        <v>0</v>
      </c>
      <c r="K40" s="13">
        <f ca="1">VLOOKUP($B40,'[5]Analisys QBR By Machine Report'!$C$109:$BD$166,7,FALSE)</f>
        <v>0</v>
      </c>
      <c r="L40" s="13">
        <f ca="1">VLOOKUP($B40,'[5]Analisys QBR By Machine Report'!$C$109:$BD$166,8,FALSE)</f>
        <v>0</v>
      </c>
      <c r="M40" s="13">
        <f ca="1">VLOOKUP($B40,'[5]Analisys QBR By Machine Report'!$C$109:$BD$166,9,FALSE)</f>
        <v>0</v>
      </c>
      <c r="N40" s="13">
        <f ca="1">VLOOKUP($B40,[5]Dasboard_QBR_Report!$B$109:$BL$166,18,FALSE)</f>
        <v>0</v>
      </c>
      <c r="O40" s="13">
        <f ca="1">VLOOKUP($B40,'[5]Analisys QBR By Machine Report'!$C$109:$BD$166,10,FALSE)</f>
        <v>0</v>
      </c>
      <c r="P40" s="13">
        <f ca="1">VLOOKUP($B40,'[5]Analisys QBR By Machine Report'!$C$109:$BD$166,11,FALSE)</f>
        <v>0</v>
      </c>
      <c r="Q40" s="13">
        <f ca="1">VLOOKUP($B40,'[5]Analisys QBR By Machine Report'!$C$109:$BD$166,12,FALSE)</f>
        <v>0</v>
      </c>
      <c r="R40" s="13">
        <f ca="1">VLOOKUP($B40,'[5]Analisys QBR By Machine Report'!$C$109:$BD$166,13,FALSE)</f>
        <v>0</v>
      </c>
      <c r="S40" s="13">
        <f ca="1">VLOOKUP($B40,'[5]Analisys QBR By Machine Report'!$C$109:$BD$166,14,FALSE)</f>
        <v>0</v>
      </c>
      <c r="T40" s="13">
        <f ca="1">VLOOKUP($B40,'[5]Analisys QBR By Machine Report'!$C$109:$BD$166,15,FALSE)</f>
        <v>0</v>
      </c>
      <c r="U40" s="13">
        <f ca="1">VLOOKUP($B40,'[5]Analisys QBR By Machine Report'!$C$109:$BD$166,16,FALSE)</f>
        <v>0</v>
      </c>
      <c r="V40" s="13">
        <f ca="1">VLOOKUP($B40,'[5]Analisys QBR By Machine Report'!$C$109:$BD$166,17,FALSE)</f>
        <v>0</v>
      </c>
      <c r="W40" s="13">
        <f ca="1">VLOOKUP($B40,'[5]Analisys QBR By Machine Report'!$C$109:$BD$166,18,FALSE)</f>
        <v>0</v>
      </c>
      <c r="X40" s="13">
        <f ca="1">VLOOKUP($B40,'[5]Analisys QBR By Machine Report'!$C$109:$BD$166,19,FALSE)</f>
        <v>0</v>
      </c>
      <c r="Y40" s="13">
        <f ca="1">VLOOKUP($B40,'[5]Analisys QBR By Machine Report'!$C$109:$BD$166,20,FALSE)</f>
        <v>0</v>
      </c>
      <c r="Z40" s="13">
        <f ca="1">VLOOKUP($B40,'[5]Analisys QBR By Machine Report'!$C$109:$BD$166,21,FALSE)</f>
        <v>0</v>
      </c>
      <c r="AA40" s="13">
        <f ca="1">VLOOKUP($B40,'[5]Analisys QBR By Machine Report'!$C$109:$BD$166,22,FALSE)</f>
        <v>0</v>
      </c>
      <c r="AB40" s="13">
        <f ca="1">VLOOKUP($B40,'[5]Analisys QBR By Machine Report'!$C$109:$BD$166,23,FALSE)</f>
        <v>0</v>
      </c>
      <c r="AC40" s="13">
        <f ca="1">VLOOKUP($B40,'[5]Analisys QBR By Machine Report'!$C$109:$BD$166,24,FALSE)</f>
        <v>0</v>
      </c>
      <c r="AD40" s="13">
        <f ca="1">VLOOKUP($B40,'[5]Analisys QBR By Machine Report'!$C$109:$BD$166,25,FALSE)</f>
        <v>0</v>
      </c>
      <c r="AE40" s="13">
        <f ca="1">VLOOKUP($B40,'[5]Analisys QBR By Machine Report'!$C$109:$BD$166,26,FALSE)</f>
        <v>0</v>
      </c>
      <c r="AF40" s="13">
        <f ca="1">VLOOKUP($B40,'[5]Analisys QBR By Machine Report'!$C$109:$BD$166,27,FALSE)</f>
        <v>0</v>
      </c>
      <c r="AG40" s="13">
        <f ca="1">VLOOKUP($B40,'[5]Analisys QBR By Machine Report'!$C$109:$BD$166,28,FALSE)</f>
        <v>0</v>
      </c>
      <c r="AH40" s="13">
        <f ca="1">VLOOKUP($B40,'[5]Analisys QBR By Machine Report'!$C$109:$BD$166,29,FALSE)</f>
        <v>0</v>
      </c>
      <c r="AI40" s="13">
        <f ca="1">VLOOKUP($B40,'[5]Analisys QBR By Machine Report'!$C$109:$BD$166,30,FALSE)</f>
        <v>0</v>
      </c>
      <c r="AJ40" s="13">
        <f ca="1">VLOOKUP($B40,'[5]Analisys QBR By Machine Report'!$C$109:$BD$166,31,FALSE)</f>
        <v>0</v>
      </c>
      <c r="AK40" s="13">
        <f ca="1">VLOOKUP($B40,'[5]Analisys QBR By Machine Report'!$C$109:$BD$166,32,FALSE)</f>
        <v>0</v>
      </c>
      <c r="AL40" s="13">
        <f ca="1">VLOOKUP($B40,'[5]Analisys QBR By Machine Report'!$C$109:$BD$166,33,FALSE)</f>
        <v>0</v>
      </c>
      <c r="AM40" s="13">
        <f ca="1">VLOOKUP($B40,'[5]Analisys QBR By Machine Report'!$C$109:$BD$166,34,FALSE)</f>
        <v>0</v>
      </c>
      <c r="AN40" s="13">
        <f ca="1">VLOOKUP($B40,'[5]Analisys QBR By Machine Report'!$C$109:$BD$166,35,FALSE)</f>
        <v>0</v>
      </c>
      <c r="AO40" s="13">
        <f ca="1">VLOOKUP($B40,'[5]Analisys QBR By Machine Report'!$C$109:$BD$166,36,FALSE)</f>
        <v>0</v>
      </c>
      <c r="AP40" s="13">
        <f ca="1">VLOOKUP($B40,'[5]Analisys QBR By Machine Report'!$C$109:$BD$166,37,FALSE)</f>
        <v>0</v>
      </c>
      <c r="AQ40" s="13">
        <f ca="1">VLOOKUP($B40,'[5]Analisys QBR By Machine Report'!$C$109:$BD$166,38,FALSE)</f>
        <v>0</v>
      </c>
      <c r="AR40" s="13">
        <f ca="1">VLOOKUP($B40,'[5]Analisys QBR By Machine Report'!$C$109:$BD$166,39,FALSE)</f>
        <v>0</v>
      </c>
      <c r="AS40" s="13">
        <f ca="1">VLOOKUP($B40,'[5]Analisys QBR By Machine Report'!$C$109:$BD$166,40,FALSE)</f>
        <v>0</v>
      </c>
      <c r="AT40" s="13">
        <f ca="1">VLOOKUP($B40,'[5]Analisys QBR By Machine Report'!$C$109:$BD$166,41,FALSE)</f>
        <v>0</v>
      </c>
      <c r="AU40" s="13">
        <f ca="1">VLOOKUP($B40,'[5]Analisys QBR By Machine Report'!$C$109:$BD$166,42,FALSE)</f>
        <v>0</v>
      </c>
      <c r="AV40" s="13">
        <f ca="1">VLOOKUP($B40,'[5]Analisys QBR By Machine Report'!$C$109:$BD$166,43,FALSE)</f>
        <v>0</v>
      </c>
      <c r="AW40" s="13">
        <f ca="1">VLOOKUP($B40,'[5]Analisys QBR By Machine Report'!$C$109:$BD$166,44,FALSE)</f>
        <v>0</v>
      </c>
      <c r="AX40" s="13">
        <f ca="1">VLOOKUP($B40,'[5]Analisys QBR By Machine Report'!$C$109:$BD$166,45,FALSE)</f>
        <v>0</v>
      </c>
      <c r="AY40" s="13">
        <f ca="1">VLOOKUP($B40,'[5]Analisys QBR By Machine Report'!$C$109:$BD$166,46,FALSE)</f>
        <v>0</v>
      </c>
      <c r="AZ40" s="13">
        <f ca="1">VLOOKUP($B40,'[5]Analisys QBR By Machine Report'!$C$109:$BD$166,47,FALSE)</f>
        <v>0</v>
      </c>
      <c r="BA40" s="13">
        <f ca="1">VLOOKUP($B40,'[5]Analisys QBR By Machine Report'!$C$109:$BD$166,48,FALSE)</f>
        <v>0</v>
      </c>
      <c r="BB40" s="13">
        <f ca="1">VLOOKUP($B40,'[5]Analisys QBR By Machine Report'!$C$109:$BD$166,49,FALSE)</f>
        <v>0</v>
      </c>
      <c r="BC40" s="13">
        <f ca="1">VLOOKUP($B40,'[5]Analisys QBR By Machine Report'!$C$109:$BD$166,50,FALSE)</f>
        <v>0</v>
      </c>
      <c r="BD40" s="13">
        <f ca="1">VLOOKUP($B40,'[5]Analisys QBR By Machine Report'!$C$109:$BD$166,51,FALSE)</f>
        <v>0</v>
      </c>
      <c r="BE40" s="13">
        <f ca="1">VLOOKUP($B40,'[5]Analisys QBR By Machine Report'!$C$109:$BD$166,52,FALSE)</f>
        <v>0</v>
      </c>
      <c r="BF40" s="13">
        <f ca="1">VLOOKUP($B40,'[5]Analisys QBR By Machine Report'!$C$109:$BD$166,53,FALSE)</f>
        <v>0</v>
      </c>
    </row>
    <row r="41" spans="1:58" x14ac:dyDescent="0.25">
      <c r="A41" s="12" t="s">
        <v>97</v>
      </c>
      <c r="B41" s="13">
        <f ca="1">VLOOKUP($B41,'[5]Analisys QBR By Machine Report'!$C$109:$BD$166,2,FALSE)</f>
        <v>27360</v>
      </c>
      <c r="C41" s="14">
        <f ca="1">VLOOKUP($B41,[5]Dasboard_QBR_Report!$B$109:$BL$166,3,FALSE)</f>
        <v>17670</v>
      </c>
      <c r="D41" s="13">
        <f ca="1">VLOOKUP($B41,'[5]Analisys QBR By Machine Report'!$C$109:$BD$166,3,FALSE)</f>
        <v>14940</v>
      </c>
      <c r="E41" s="14">
        <f ca="1">VLOOKUP($B41,[5]Dasboard_QBR_Report!$B$109:$BL$166,5,FALSE)</f>
        <v>5250</v>
      </c>
      <c r="F41" s="13">
        <f t="shared" ca="1" si="0"/>
        <v>12420</v>
      </c>
      <c r="G41" s="13">
        <f t="shared" ca="1" si="1"/>
        <v>3455</v>
      </c>
      <c r="H41" s="13">
        <f ca="1">VLOOKUP($B41,'[5]Analisys QBR By Machine Report'!$C$109:$BD$166,4,FALSE)</f>
        <v>3455</v>
      </c>
      <c r="I41" s="13">
        <f ca="1">VLOOKUP($B41,'[5]Analisys QBR By Machine Report'!$C$109:$BD$166,5,FALSE)</f>
        <v>295</v>
      </c>
      <c r="J41" s="13">
        <f ca="1">VLOOKUP($B41,'[5]Analisys QBR By Machine Report'!$C$109:$BD$166,6,FALSE)</f>
        <v>3160</v>
      </c>
      <c r="K41" s="13">
        <f ca="1">VLOOKUP($B41,'[5]Analisys QBR By Machine Report'!$C$109:$BD$166,7,FALSE)</f>
        <v>0</v>
      </c>
      <c r="L41" s="13">
        <f ca="1">VLOOKUP($B41,'[5]Analisys QBR By Machine Report'!$C$109:$BD$166,8,FALSE)</f>
        <v>8965</v>
      </c>
      <c r="M41" s="13">
        <f ca="1">VLOOKUP($B41,'[5]Analisys QBR By Machine Report'!$C$109:$BD$166,9,FALSE)</f>
        <v>4130</v>
      </c>
      <c r="N41" s="13">
        <f ca="1">VLOOKUP($B41,[5]Dasboard_QBR_Report!$B$109:$BL$166,18,FALSE)</f>
        <v>4835</v>
      </c>
      <c r="O41" s="13">
        <f ca="1">VLOOKUP($B41,'[5]Analisys QBR By Machine Report'!$C$109:$BD$166,10,FALSE)</f>
        <v>885</v>
      </c>
      <c r="P41" s="13">
        <f ca="1">VLOOKUP($B41,'[5]Analisys QBR By Machine Report'!$C$109:$BD$166,11,FALSE)</f>
        <v>750</v>
      </c>
      <c r="Q41" s="13">
        <f ca="1">VLOOKUP($B41,'[5]Analisys QBR By Machine Report'!$C$109:$BD$166,12,FALSE)</f>
        <v>35</v>
      </c>
      <c r="R41" s="13">
        <f ca="1">VLOOKUP($B41,'[5]Analisys QBR By Machine Report'!$C$109:$BD$166,13,FALSE)</f>
        <v>45</v>
      </c>
      <c r="S41" s="13">
        <f ca="1">VLOOKUP($B41,'[5]Analisys QBR By Machine Report'!$C$109:$BD$166,14,FALSE)</f>
        <v>55</v>
      </c>
      <c r="T41" s="13">
        <f ca="1">VLOOKUP($B41,'[5]Analisys QBR By Machine Report'!$C$109:$BD$166,15,FALSE)</f>
        <v>0</v>
      </c>
      <c r="U41" s="13">
        <f ca="1">VLOOKUP($B41,'[5]Analisys QBR By Machine Report'!$C$109:$BD$166,16,FALSE)</f>
        <v>0</v>
      </c>
      <c r="V41" s="13">
        <f ca="1">VLOOKUP($B41,'[5]Analisys QBR By Machine Report'!$C$109:$BD$166,17,FALSE)</f>
        <v>0</v>
      </c>
      <c r="W41" s="13">
        <f ca="1">VLOOKUP($B41,'[5]Analisys QBR By Machine Report'!$C$109:$BD$166,18,FALSE)</f>
        <v>0</v>
      </c>
      <c r="X41" s="13">
        <f ca="1">VLOOKUP($B41,'[5]Analisys QBR By Machine Report'!$C$109:$BD$166,19,FALSE)</f>
        <v>0</v>
      </c>
      <c r="Y41" s="13">
        <f ca="1">VLOOKUP($B41,'[5]Analisys QBR By Machine Report'!$C$109:$BD$166,20,FALSE)</f>
        <v>0</v>
      </c>
      <c r="Z41" s="13">
        <f ca="1">VLOOKUP($B41,'[5]Analisys QBR By Machine Report'!$C$109:$BD$166,21,FALSE)</f>
        <v>1065</v>
      </c>
      <c r="AA41" s="13">
        <f ca="1">VLOOKUP($B41,'[5]Analisys QBR By Machine Report'!$C$109:$BD$166,22,FALSE)</f>
        <v>795</v>
      </c>
      <c r="AB41" s="13">
        <f ca="1">VLOOKUP($B41,'[5]Analisys QBR By Machine Report'!$C$109:$BD$166,23,FALSE)</f>
        <v>270</v>
      </c>
      <c r="AC41" s="13">
        <f ca="1">VLOOKUP($B41,'[5]Analisys QBR By Machine Report'!$C$109:$BD$166,24,FALSE)</f>
        <v>0</v>
      </c>
      <c r="AD41" s="13">
        <f ca="1">VLOOKUP($B41,'[5]Analisys QBR By Machine Report'!$C$109:$BD$166,25,FALSE)</f>
        <v>0</v>
      </c>
      <c r="AE41" s="13">
        <f ca="1">VLOOKUP($B41,'[5]Analisys QBR By Machine Report'!$C$109:$BD$166,26,FALSE)</f>
        <v>0</v>
      </c>
      <c r="AF41" s="13">
        <f ca="1">VLOOKUP($B41,'[5]Analisys QBR By Machine Report'!$C$109:$BD$166,27,FALSE)</f>
        <v>0</v>
      </c>
      <c r="AG41" s="13">
        <f ca="1">VLOOKUP($B41,'[5]Analisys QBR By Machine Report'!$C$109:$BD$166,28,FALSE)</f>
        <v>0</v>
      </c>
      <c r="AH41" s="13">
        <f ca="1">VLOOKUP($B41,'[5]Analisys QBR By Machine Report'!$C$109:$BD$166,29,FALSE)</f>
        <v>0</v>
      </c>
      <c r="AI41" s="13">
        <f ca="1">VLOOKUP($B41,'[5]Analisys QBR By Machine Report'!$C$109:$BD$166,30,FALSE)</f>
        <v>2885</v>
      </c>
      <c r="AJ41" s="13">
        <f ca="1">VLOOKUP($B41,'[5]Analisys QBR By Machine Report'!$C$109:$BD$166,31,FALSE)</f>
        <v>0</v>
      </c>
      <c r="AK41" s="13">
        <f ca="1">VLOOKUP($B41,'[5]Analisys QBR By Machine Report'!$C$109:$BD$166,32,FALSE)</f>
        <v>0</v>
      </c>
      <c r="AL41" s="13">
        <f ca="1">VLOOKUP($B41,'[5]Analisys QBR By Machine Report'!$C$109:$BD$166,33,FALSE)</f>
        <v>420</v>
      </c>
      <c r="AM41" s="13">
        <f ca="1">VLOOKUP($B41,'[5]Analisys QBR By Machine Report'!$C$109:$BD$166,34,FALSE)</f>
        <v>0</v>
      </c>
      <c r="AN41" s="13">
        <f ca="1">VLOOKUP($B41,'[5]Analisys QBR By Machine Report'!$C$109:$BD$166,35,FALSE)</f>
        <v>295</v>
      </c>
      <c r="AO41" s="13">
        <f ca="1">VLOOKUP($B41,'[5]Analisys QBR By Machine Report'!$C$109:$BD$166,36,FALSE)</f>
        <v>260</v>
      </c>
      <c r="AP41" s="13">
        <f ca="1">VLOOKUP($B41,'[5]Analisys QBR By Machine Report'!$C$109:$BD$166,37,FALSE)</f>
        <v>0</v>
      </c>
      <c r="AQ41" s="13">
        <f ca="1">VLOOKUP($B41,'[5]Analisys QBR By Machine Report'!$C$109:$BD$166,38,FALSE)</f>
        <v>0</v>
      </c>
      <c r="AR41" s="13">
        <f ca="1">VLOOKUP($B41,'[5]Analisys QBR By Machine Report'!$C$109:$BD$166,39,FALSE)</f>
        <v>1600</v>
      </c>
      <c r="AS41" s="13">
        <f ca="1">VLOOKUP($B41,'[5]Analisys QBR By Machine Report'!$C$109:$BD$166,40,FALSE)</f>
        <v>155</v>
      </c>
      <c r="AT41" s="13">
        <f ca="1">VLOOKUP($B41,'[5]Analisys QBR By Machine Report'!$C$109:$BD$166,41,FALSE)</f>
        <v>0</v>
      </c>
      <c r="AU41" s="13">
        <f ca="1">VLOOKUP($B41,'[5]Analisys QBR By Machine Report'!$C$109:$BD$166,42,FALSE)</f>
        <v>0</v>
      </c>
      <c r="AV41" s="13">
        <f ca="1">VLOOKUP($B41,'[5]Analisys QBR By Machine Report'!$C$109:$BD$166,43,FALSE)</f>
        <v>0</v>
      </c>
      <c r="AW41" s="13">
        <f ca="1">VLOOKUP($B41,'[5]Analisys QBR By Machine Report'!$C$109:$BD$166,44,FALSE)</f>
        <v>0</v>
      </c>
      <c r="AX41" s="13">
        <f ca="1">VLOOKUP($B41,'[5]Analisys QBR By Machine Report'!$C$109:$BD$166,45,FALSE)</f>
        <v>0</v>
      </c>
      <c r="AY41" s="13">
        <f ca="1">VLOOKUP($B41,'[5]Analisys QBR By Machine Report'!$C$109:$BD$166,46,FALSE)</f>
        <v>0</v>
      </c>
      <c r="AZ41" s="13">
        <f ca="1">VLOOKUP($B41,'[5]Analisys QBR By Machine Report'!$C$109:$BD$166,47,FALSE)</f>
        <v>155</v>
      </c>
      <c r="BA41" s="13">
        <f ca="1">VLOOKUP($B41,'[5]Analisys QBR By Machine Report'!$C$109:$BD$166,48,FALSE)</f>
        <v>0</v>
      </c>
      <c r="BB41" s="13">
        <f ca="1">VLOOKUP($B41,'[5]Analisys QBR By Machine Report'!$C$109:$BD$166,49,FALSE)</f>
        <v>0</v>
      </c>
      <c r="BC41" s="13">
        <f ca="1">VLOOKUP($B41,'[5]Analisys QBR By Machine Report'!$C$109:$BD$166,50,FALSE)</f>
        <v>0</v>
      </c>
      <c r="BD41" s="13">
        <f ca="1">VLOOKUP($B41,'[5]Analisys QBR By Machine Report'!$C$109:$BD$166,51,FALSE)</f>
        <v>220042</v>
      </c>
      <c r="BE41" s="13">
        <f ca="1">VLOOKUP($B41,'[5]Analisys QBR By Machine Report'!$C$109:$BD$166,52,FALSE)</f>
        <v>0</v>
      </c>
      <c r="BF41" s="13">
        <f ca="1">VLOOKUP($B41,'[5]Analisys QBR By Machine Report'!$C$109:$BD$166,53,FALSE)</f>
        <v>220042</v>
      </c>
    </row>
    <row r="42" spans="1:58" x14ac:dyDescent="0.25">
      <c r="A42" s="12" t="s">
        <v>98</v>
      </c>
      <c r="B42" s="13">
        <f ca="1">VLOOKUP($B42,'[5]Analisys QBR By Machine Report'!$C$109:$BD$166,2,FALSE)</f>
        <v>27360</v>
      </c>
      <c r="C42" s="14">
        <f ca="1">VLOOKUP($B42,[5]Dasboard_QBR_Report!$B$109:$BL$166,3,FALSE)</f>
        <v>9120</v>
      </c>
      <c r="D42" s="13">
        <f ca="1">VLOOKUP($B42,'[5]Analisys QBR By Machine Report'!$C$109:$BD$166,3,FALSE)</f>
        <v>20730</v>
      </c>
      <c r="E42" s="14">
        <f ca="1">VLOOKUP($B42,[5]Dasboard_QBR_Report!$B$109:$BL$166,5,FALSE)</f>
        <v>2490</v>
      </c>
      <c r="F42" s="13">
        <f t="shared" ca="1" si="0"/>
        <v>6630</v>
      </c>
      <c r="G42" s="13">
        <f t="shared" ca="1" si="1"/>
        <v>430</v>
      </c>
      <c r="H42" s="13">
        <f ca="1">VLOOKUP($B42,'[5]Analisys QBR By Machine Report'!$C$109:$BD$166,4,FALSE)</f>
        <v>430</v>
      </c>
      <c r="I42" s="13">
        <f ca="1">VLOOKUP($B42,'[5]Analisys QBR By Machine Report'!$C$109:$BD$166,5,FALSE)</f>
        <v>185</v>
      </c>
      <c r="J42" s="13">
        <f ca="1">VLOOKUP($B42,'[5]Analisys QBR By Machine Report'!$C$109:$BD$166,6,FALSE)</f>
        <v>245</v>
      </c>
      <c r="K42" s="13">
        <f ca="1">VLOOKUP($B42,'[5]Analisys QBR By Machine Report'!$C$109:$BD$166,7,FALSE)</f>
        <v>0</v>
      </c>
      <c r="L42" s="13">
        <f ca="1">VLOOKUP($B42,'[5]Analisys QBR By Machine Report'!$C$109:$BD$166,8,FALSE)</f>
        <v>6200</v>
      </c>
      <c r="M42" s="13">
        <f ca="1">VLOOKUP($B42,'[5]Analisys QBR By Machine Report'!$C$109:$BD$166,9,FALSE)</f>
        <v>2901</v>
      </c>
      <c r="N42" s="13">
        <f ca="1">VLOOKUP($B42,[5]Dasboard_QBR_Report!$B$109:$BL$166,18,FALSE)</f>
        <v>3299</v>
      </c>
      <c r="O42" s="13">
        <f ca="1">VLOOKUP($B42,'[5]Analisys QBR By Machine Report'!$C$109:$BD$166,10,FALSE)</f>
        <v>1182</v>
      </c>
      <c r="P42" s="13">
        <f ca="1">VLOOKUP($B42,'[5]Analisys QBR By Machine Report'!$C$109:$BD$166,11,FALSE)</f>
        <v>395</v>
      </c>
      <c r="Q42" s="13">
        <f ca="1">VLOOKUP($B42,'[5]Analisys QBR By Machine Report'!$C$109:$BD$166,12,FALSE)</f>
        <v>110</v>
      </c>
      <c r="R42" s="13">
        <f ca="1">VLOOKUP($B42,'[5]Analisys QBR By Machine Report'!$C$109:$BD$166,13,FALSE)</f>
        <v>10</v>
      </c>
      <c r="S42" s="13">
        <f ca="1">VLOOKUP($B42,'[5]Analisys QBR By Machine Report'!$C$109:$BD$166,14,FALSE)</f>
        <v>667</v>
      </c>
      <c r="T42" s="13">
        <f ca="1">VLOOKUP($B42,'[5]Analisys QBR By Machine Report'!$C$109:$BD$166,15,FALSE)</f>
        <v>65</v>
      </c>
      <c r="U42" s="13">
        <f ca="1">VLOOKUP($B42,'[5]Analisys QBR By Machine Report'!$C$109:$BD$166,16,FALSE)</f>
        <v>65</v>
      </c>
      <c r="V42" s="13">
        <f ca="1">VLOOKUP($B42,'[5]Analisys QBR By Machine Report'!$C$109:$BD$166,17,FALSE)</f>
        <v>0</v>
      </c>
      <c r="W42" s="13">
        <f ca="1">VLOOKUP($B42,'[5]Analisys QBR By Machine Report'!$C$109:$BD$166,18,FALSE)</f>
        <v>0</v>
      </c>
      <c r="X42" s="13">
        <f ca="1">VLOOKUP($B42,'[5]Analisys QBR By Machine Report'!$C$109:$BD$166,19,FALSE)</f>
        <v>0</v>
      </c>
      <c r="Y42" s="13">
        <f ca="1">VLOOKUP($B42,'[5]Analisys QBR By Machine Report'!$C$109:$BD$166,20,FALSE)</f>
        <v>0</v>
      </c>
      <c r="Z42" s="13">
        <f ca="1">VLOOKUP($B42,'[5]Analisys QBR By Machine Report'!$C$109:$BD$166,21,FALSE)</f>
        <v>977</v>
      </c>
      <c r="AA42" s="13">
        <f ca="1">VLOOKUP($B42,'[5]Analisys QBR By Machine Report'!$C$109:$BD$166,22,FALSE)</f>
        <v>712</v>
      </c>
      <c r="AB42" s="13">
        <f ca="1">VLOOKUP($B42,'[5]Analisys QBR By Machine Report'!$C$109:$BD$166,23,FALSE)</f>
        <v>265</v>
      </c>
      <c r="AC42" s="13">
        <f ca="1">VLOOKUP($B42,'[5]Analisys QBR By Machine Report'!$C$109:$BD$166,24,FALSE)</f>
        <v>0</v>
      </c>
      <c r="AD42" s="13">
        <f ca="1">VLOOKUP($B42,'[5]Analisys QBR By Machine Report'!$C$109:$BD$166,25,FALSE)</f>
        <v>0</v>
      </c>
      <c r="AE42" s="13">
        <f ca="1">VLOOKUP($B42,'[5]Analisys QBR By Machine Report'!$C$109:$BD$166,26,FALSE)</f>
        <v>0</v>
      </c>
      <c r="AF42" s="13">
        <f ca="1">VLOOKUP($B42,'[5]Analisys QBR By Machine Report'!$C$109:$BD$166,27,FALSE)</f>
        <v>0</v>
      </c>
      <c r="AG42" s="13">
        <f ca="1">VLOOKUP($B42,'[5]Analisys QBR By Machine Report'!$C$109:$BD$166,28,FALSE)</f>
        <v>0</v>
      </c>
      <c r="AH42" s="13">
        <f ca="1">VLOOKUP($B42,'[5]Analisys QBR By Machine Report'!$C$109:$BD$166,29,FALSE)</f>
        <v>0</v>
      </c>
      <c r="AI42" s="13">
        <f ca="1">VLOOKUP($B42,'[5]Analisys QBR By Machine Report'!$C$109:$BD$166,30,FALSE)</f>
        <v>1075</v>
      </c>
      <c r="AJ42" s="13">
        <f ca="1">VLOOKUP($B42,'[5]Analisys QBR By Machine Report'!$C$109:$BD$166,31,FALSE)</f>
        <v>0</v>
      </c>
      <c r="AK42" s="13">
        <f ca="1">VLOOKUP($B42,'[5]Analisys QBR By Machine Report'!$C$109:$BD$166,32,FALSE)</f>
        <v>0</v>
      </c>
      <c r="AL42" s="13">
        <f ca="1">VLOOKUP($B42,'[5]Analisys QBR By Machine Report'!$C$109:$BD$166,33,FALSE)</f>
        <v>420</v>
      </c>
      <c r="AM42" s="13">
        <f ca="1">VLOOKUP($B42,'[5]Analisys QBR By Machine Report'!$C$109:$BD$166,34,FALSE)</f>
        <v>0</v>
      </c>
      <c r="AN42" s="13">
        <f ca="1">VLOOKUP($B42,'[5]Analisys QBR By Machine Report'!$C$109:$BD$166,35,FALSE)</f>
        <v>255</v>
      </c>
      <c r="AO42" s="13">
        <f ca="1">VLOOKUP($B42,'[5]Analisys QBR By Machine Report'!$C$109:$BD$166,36,FALSE)</f>
        <v>0</v>
      </c>
      <c r="AP42" s="13">
        <f ca="1">VLOOKUP($B42,'[5]Analisys QBR By Machine Report'!$C$109:$BD$166,37,FALSE)</f>
        <v>0</v>
      </c>
      <c r="AQ42" s="13">
        <f ca="1">VLOOKUP($B42,'[5]Analisys QBR By Machine Report'!$C$109:$BD$166,38,FALSE)</f>
        <v>0</v>
      </c>
      <c r="AR42" s="13">
        <f ca="1">VLOOKUP($B42,'[5]Analisys QBR By Machine Report'!$C$109:$BD$166,39,FALSE)</f>
        <v>125</v>
      </c>
      <c r="AS42" s="13">
        <f ca="1">VLOOKUP($B42,'[5]Analisys QBR By Machine Report'!$C$109:$BD$166,40,FALSE)</f>
        <v>125</v>
      </c>
      <c r="AT42" s="13">
        <f ca="1">VLOOKUP($B42,'[5]Analisys QBR By Machine Report'!$C$109:$BD$166,41,FALSE)</f>
        <v>0</v>
      </c>
      <c r="AU42" s="13">
        <f ca="1">VLOOKUP($B42,'[5]Analisys QBR By Machine Report'!$C$109:$BD$166,42,FALSE)</f>
        <v>0</v>
      </c>
      <c r="AV42" s="13">
        <f ca="1">VLOOKUP($B42,'[5]Analisys QBR By Machine Report'!$C$109:$BD$166,43,FALSE)</f>
        <v>0</v>
      </c>
      <c r="AW42" s="13">
        <f ca="1">VLOOKUP($B42,'[5]Analisys QBR By Machine Report'!$C$109:$BD$166,44,FALSE)</f>
        <v>0</v>
      </c>
      <c r="AX42" s="13">
        <f ca="1">VLOOKUP($B42,'[5]Analisys QBR By Machine Report'!$C$109:$BD$166,45,FALSE)</f>
        <v>0</v>
      </c>
      <c r="AY42" s="13">
        <f ca="1">VLOOKUP($B42,'[5]Analisys QBR By Machine Report'!$C$109:$BD$166,46,FALSE)</f>
        <v>0</v>
      </c>
      <c r="AZ42" s="13">
        <f ca="1">VLOOKUP($B42,'[5]Analisys QBR By Machine Report'!$C$109:$BD$166,47,FALSE)</f>
        <v>150</v>
      </c>
      <c r="BA42" s="13">
        <f ca="1">VLOOKUP($B42,'[5]Analisys QBR By Machine Report'!$C$109:$BD$166,48,FALSE)</f>
        <v>0</v>
      </c>
      <c r="BB42" s="13">
        <f ca="1">VLOOKUP($B42,'[5]Analisys QBR By Machine Report'!$C$109:$BD$166,49,FALSE)</f>
        <v>0</v>
      </c>
      <c r="BC42" s="13">
        <f ca="1">VLOOKUP($B42,'[5]Analisys QBR By Machine Report'!$C$109:$BD$166,50,FALSE)</f>
        <v>0</v>
      </c>
      <c r="BD42" s="13">
        <f ca="1">VLOOKUP($B42,'[5]Analisys QBR By Machine Report'!$C$109:$BD$166,51,FALSE)</f>
        <v>289511</v>
      </c>
      <c r="BE42" s="13">
        <f ca="1">VLOOKUP($B42,'[5]Analisys QBR By Machine Report'!$C$109:$BD$166,52,FALSE)</f>
        <v>37</v>
      </c>
      <c r="BF42" s="13">
        <f ca="1">VLOOKUP($B42,'[5]Analisys QBR By Machine Report'!$C$109:$BD$166,53,FALSE)</f>
        <v>289474</v>
      </c>
    </row>
    <row r="43" spans="1:58" x14ac:dyDescent="0.25">
      <c r="A43" s="9" t="s">
        <v>99</v>
      </c>
      <c r="B43" s="10">
        <f ca="1">VLOOKUP($B43,'[5]Analisys QBR By Machine Report'!$C$109:$BD$166,2,FALSE)</f>
        <v>27360</v>
      </c>
      <c r="C43" s="11">
        <f ca="1">VLOOKUP($B43,[5]Dasboard_QBR_Report!$B$109:$BL$166,3,FALSE)</f>
        <v>9120</v>
      </c>
      <c r="D43" s="10">
        <f ca="1">VLOOKUP($B43,'[5]Analisys QBR By Machine Report'!$C$109:$BD$166,3,FALSE)</f>
        <v>24750</v>
      </c>
      <c r="E43" s="11">
        <f ca="1">VLOOKUP($B43,[5]Dasboard_QBR_Report!$B$109:$BL$166,5,FALSE)</f>
        <v>6510</v>
      </c>
      <c r="F43" s="10">
        <f t="shared" ca="1" si="0"/>
        <v>2610</v>
      </c>
      <c r="G43" s="10">
        <f t="shared" ca="1" si="1"/>
        <v>1370</v>
      </c>
      <c r="H43" s="10">
        <f ca="1">VLOOKUP($B43,'[5]Analisys QBR By Machine Report'!$C$109:$BD$166,4,FALSE)</f>
        <v>1370</v>
      </c>
      <c r="I43" s="10">
        <f ca="1">VLOOKUP($B43,'[5]Analisys QBR By Machine Report'!$C$109:$BD$166,5,FALSE)</f>
        <v>0</v>
      </c>
      <c r="J43" s="10">
        <f ca="1">VLOOKUP($B43,'[5]Analisys QBR By Machine Report'!$C$109:$BD$166,6,FALSE)</f>
        <v>1370</v>
      </c>
      <c r="K43" s="10">
        <f ca="1">VLOOKUP($B43,'[5]Analisys QBR By Machine Report'!$C$109:$BD$166,7,FALSE)</f>
        <v>0</v>
      </c>
      <c r="L43" s="10">
        <f ca="1">VLOOKUP($B43,'[5]Analisys QBR By Machine Report'!$C$109:$BD$166,8,FALSE)</f>
        <v>1240</v>
      </c>
      <c r="M43" s="10">
        <f ca="1">VLOOKUP($B43,'[5]Analisys QBR By Machine Report'!$C$109:$BD$166,9,FALSE)</f>
        <v>44</v>
      </c>
      <c r="N43" s="10">
        <f ca="1">VLOOKUP($B43,[5]Dasboard_QBR_Report!$B$109:$BL$166,18,FALSE)</f>
        <v>1196</v>
      </c>
      <c r="O43" s="10">
        <f ca="1">VLOOKUP($B43,'[5]Analisys QBR By Machine Report'!$C$109:$BD$166,10,FALSE)</f>
        <v>38</v>
      </c>
      <c r="P43" s="10">
        <f ca="1">VLOOKUP($B43,'[5]Analisys QBR By Machine Report'!$C$109:$BD$166,11,FALSE)</f>
        <v>13</v>
      </c>
      <c r="Q43" s="10">
        <f ca="1">VLOOKUP($B43,'[5]Analisys QBR By Machine Report'!$C$109:$BD$166,12,FALSE)</f>
        <v>25</v>
      </c>
      <c r="R43" s="10">
        <f ca="1">VLOOKUP($B43,'[5]Analisys QBR By Machine Report'!$C$109:$BD$166,13,FALSE)</f>
        <v>0</v>
      </c>
      <c r="S43" s="10">
        <f ca="1">VLOOKUP($B43,'[5]Analisys QBR By Machine Report'!$C$109:$BD$166,14,FALSE)</f>
        <v>0</v>
      </c>
      <c r="T43" s="10">
        <f ca="1">VLOOKUP($B43,'[5]Analisys QBR By Machine Report'!$C$109:$BD$166,15,FALSE)</f>
        <v>0</v>
      </c>
      <c r="U43" s="10">
        <f ca="1">VLOOKUP($B43,'[5]Analisys QBR By Machine Report'!$C$109:$BD$166,16,FALSE)</f>
        <v>0</v>
      </c>
      <c r="V43" s="10">
        <f ca="1">VLOOKUP($B43,'[5]Analisys QBR By Machine Report'!$C$109:$BD$166,17,FALSE)</f>
        <v>0</v>
      </c>
      <c r="W43" s="10">
        <f ca="1">VLOOKUP($B43,'[5]Analisys QBR By Machine Report'!$C$109:$BD$166,18,FALSE)</f>
        <v>0</v>
      </c>
      <c r="X43" s="10">
        <f ca="1">VLOOKUP($B43,'[5]Analisys QBR By Machine Report'!$C$109:$BD$166,19,FALSE)</f>
        <v>0</v>
      </c>
      <c r="Y43" s="10">
        <f ca="1">VLOOKUP($B43,'[5]Analisys QBR By Machine Report'!$C$109:$BD$166,20,FALSE)</f>
        <v>0</v>
      </c>
      <c r="Z43" s="10">
        <f ca="1">VLOOKUP($B43,'[5]Analisys QBR By Machine Report'!$C$109:$BD$166,21,FALSE)</f>
        <v>968</v>
      </c>
      <c r="AA43" s="10">
        <f ca="1">VLOOKUP($B43,'[5]Analisys QBR By Machine Report'!$C$109:$BD$166,22,FALSE)</f>
        <v>808</v>
      </c>
      <c r="AB43" s="10">
        <f ca="1">VLOOKUP($B43,'[5]Analisys QBR By Machine Report'!$C$109:$BD$166,23,FALSE)</f>
        <v>150</v>
      </c>
      <c r="AC43" s="10">
        <f ca="1">VLOOKUP($B43,'[5]Analisys QBR By Machine Report'!$C$109:$BD$166,24,FALSE)</f>
        <v>0</v>
      </c>
      <c r="AD43" s="10">
        <f ca="1">VLOOKUP($B43,'[5]Analisys QBR By Machine Report'!$C$109:$BD$166,25,FALSE)</f>
        <v>0</v>
      </c>
      <c r="AE43" s="10">
        <f ca="1">VLOOKUP($B43,'[5]Analisys QBR By Machine Report'!$C$109:$BD$166,26,FALSE)</f>
        <v>10</v>
      </c>
      <c r="AF43" s="10">
        <f ca="1">VLOOKUP($B43,'[5]Analisys QBR By Machine Report'!$C$109:$BD$166,27,FALSE)</f>
        <v>0</v>
      </c>
      <c r="AG43" s="10">
        <f ca="1">VLOOKUP($B43,'[5]Analisys QBR By Machine Report'!$C$109:$BD$166,28,FALSE)</f>
        <v>0</v>
      </c>
      <c r="AH43" s="10">
        <f ca="1">VLOOKUP($B43,'[5]Analisys QBR By Machine Report'!$C$109:$BD$166,29,FALSE)</f>
        <v>0</v>
      </c>
      <c r="AI43" s="10">
        <f ca="1">VLOOKUP($B43,'[5]Analisys QBR By Machine Report'!$C$109:$BD$166,30,FALSE)</f>
        <v>190</v>
      </c>
      <c r="AJ43" s="10">
        <f ca="1">VLOOKUP($B43,'[5]Analisys QBR By Machine Report'!$C$109:$BD$166,31,FALSE)</f>
        <v>140</v>
      </c>
      <c r="AK43" s="10">
        <f ca="1">VLOOKUP($B43,'[5]Analisys QBR By Machine Report'!$C$109:$BD$166,32,FALSE)</f>
        <v>0</v>
      </c>
      <c r="AL43" s="10">
        <f ca="1">VLOOKUP($B43,'[5]Analisys QBR By Machine Report'!$C$109:$BD$166,33,FALSE)</f>
        <v>30</v>
      </c>
      <c r="AM43" s="10">
        <f ca="1">VLOOKUP($B43,'[5]Analisys QBR By Machine Report'!$C$109:$BD$166,34,FALSE)</f>
        <v>0</v>
      </c>
      <c r="AN43" s="10">
        <f ca="1">VLOOKUP($B43,'[5]Analisys QBR By Machine Report'!$C$109:$BD$166,35,FALSE)</f>
        <v>15</v>
      </c>
      <c r="AO43" s="10">
        <f ca="1">VLOOKUP($B43,'[5]Analisys QBR By Machine Report'!$C$109:$BD$166,36,FALSE)</f>
        <v>0</v>
      </c>
      <c r="AP43" s="10">
        <f ca="1">VLOOKUP($B43,'[5]Analisys QBR By Machine Report'!$C$109:$BD$166,37,FALSE)</f>
        <v>0</v>
      </c>
      <c r="AQ43" s="10">
        <f ca="1">VLOOKUP($B43,'[5]Analisys QBR By Machine Report'!$C$109:$BD$166,38,FALSE)</f>
        <v>0</v>
      </c>
      <c r="AR43" s="10">
        <f ca="1">VLOOKUP($B43,'[5]Analisys QBR By Machine Report'!$C$109:$BD$166,39,FALSE)</f>
        <v>0</v>
      </c>
      <c r="AS43" s="10">
        <f ca="1">VLOOKUP($B43,'[5]Analisys QBR By Machine Report'!$C$109:$BD$166,40,FALSE)</f>
        <v>0</v>
      </c>
      <c r="AT43" s="10">
        <f ca="1">VLOOKUP($B43,'[5]Analisys QBR By Machine Report'!$C$109:$BD$166,41,FALSE)</f>
        <v>0</v>
      </c>
      <c r="AU43" s="10">
        <f ca="1">VLOOKUP($B43,'[5]Analisys QBR By Machine Report'!$C$109:$BD$166,42,FALSE)</f>
        <v>0</v>
      </c>
      <c r="AV43" s="10">
        <f ca="1">VLOOKUP($B43,'[5]Analisys QBR By Machine Report'!$C$109:$BD$166,43,FALSE)</f>
        <v>0</v>
      </c>
      <c r="AW43" s="10">
        <f ca="1">VLOOKUP($B43,'[5]Analisys QBR By Machine Report'!$C$109:$BD$166,44,FALSE)</f>
        <v>0</v>
      </c>
      <c r="AX43" s="10">
        <f ca="1">VLOOKUP($B43,'[5]Analisys QBR By Machine Report'!$C$109:$BD$166,45,FALSE)</f>
        <v>0</v>
      </c>
      <c r="AY43" s="10">
        <f ca="1">VLOOKUP($B43,'[5]Analisys QBR By Machine Report'!$C$109:$BD$166,46,FALSE)</f>
        <v>0</v>
      </c>
      <c r="AZ43" s="10">
        <f ca="1">VLOOKUP($B43,'[5]Analisys QBR By Machine Report'!$C$109:$BD$166,47,FALSE)</f>
        <v>5</v>
      </c>
      <c r="BA43" s="10">
        <f ca="1">VLOOKUP($B43,'[5]Analisys QBR By Machine Report'!$C$109:$BD$166,48,FALSE)</f>
        <v>0</v>
      </c>
      <c r="BB43" s="10">
        <f ca="1">VLOOKUP($B43,'[5]Analisys QBR By Machine Report'!$C$109:$BD$166,49,FALSE)</f>
        <v>0</v>
      </c>
      <c r="BC43" s="10">
        <f ca="1">VLOOKUP($B43,'[5]Analisys QBR By Machine Report'!$C$109:$BD$166,50,FALSE)</f>
        <v>0</v>
      </c>
      <c r="BD43" s="10">
        <f ca="1">VLOOKUP($B43,'[5]Analisys QBR By Machine Report'!$C$109:$BD$166,51,FALSE)</f>
        <v>326.99</v>
      </c>
      <c r="BE43" s="10">
        <f ca="1">VLOOKUP($B43,'[5]Analisys QBR By Machine Report'!$C$109:$BD$166,52,FALSE)</f>
        <v>0.37</v>
      </c>
      <c r="BF43" s="10">
        <f ca="1">VLOOKUP($B43,'[5]Analisys QBR By Machine Report'!$C$109:$BD$166,53,FALSE)</f>
        <v>326.62</v>
      </c>
    </row>
    <row r="44" spans="1:58" x14ac:dyDescent="0.25">
      <c r="A44" s="12" t="s">
        <v>100</v>
      </c>
      <c r="B44" s="13">
        <f ca="1">VLOOKUP($B44,'[5]Analisys QBR By Machine Report'!$C$109:$BD$166,2,FALSE)</f>
        <v>27360</v>
      </c>
      <c r="C44" s="14">
        <f ca="1">VLOOKUP($B44,[5]Dasboard_QBR_Report!$B$109:$BL$166,3,FALSE)</f>
        <v>9120</v>
      </c>
      <c r="D44" s="13">
        <f ca="1">VLOOKUP($B44,'[5]Analisys QBR By Machine Report'!$C$109:$BD$166,3,FALSE)</f>
        <v>24750</v>
      </c>
      <c r="E44" s="14">
        <f ca="1">VLOOKUP($B44,[5]Dasboard_QBR_Report!$B$109:$BL$166,5,FALSE)</f>
        <v>6510</v>
      </c>
      <c r="F44" s="13">
        <f t="shared" ca="1" si="0"/>
        <v>2610</v>
      </c>
      <c r="G44" s="13">
        <f t="shared" ca="1" si="1"/>
        <v>1370</v>
      </c>
      <c r="H44" s="13">
        <f ca="1">VLOOKUP($B44,'[5]Analisys QBR By Machine Report'!$C$109:$BD$166,4,FALSE)</f>
        <v>1370</v>
      </c>
      <c r="I44" s="13">
        <f ca="1">VLOOKUP($B44,'[5]Analisys QBR By Machine Report'!$C$109:$BD$166,5,FALSE)</f>
        <v>0</v>
      </c>
      <c r="J44" s="13">
        <f ca="1">VLOOKUP($B44,'[5]Analisys QBR By Machine Report'!$C$109:$BD$166,6,FALSE)</f>
        <v>1370</v>
      </c>
      <c r="K44" s="13">
        <f ca="1">VLOOKUP($B44,'[5]Analisys QBR By Machine Report'!$C$109:$BD$166,7,FALSE)</f>
        <v>0</v>
      </c>
      <c r="L44" s="13">
        <f ca="1">VLOOKUP($B44,'[5]Analisys QBR By Machine Report'!$C$109:$BD$166,8,FALSE)</f>
        <v>1240</v>
      </c>
      <c r="M44" s="13">
        <f ca="1">VLOOKUP($B44,'[5]Analisys QBR By Machine Report'!$C$109:$BD$166,9,FALSE)</f>
        <v>44</v>
      </c>
      <c r="N44" s="13">
        <f ca="1">VLOOKUP($B44,[5]Dasboard_QBR_Report!$B$109:$BL$166,18,FALSE)</f>
        <v>1196</v>
      </c>
      <c r="O44" s="13">
        <f ca="1">VLOOKUP($B44,'[5]Analisys QBR By Machine Report'!$C$109:$BD$166,10,FALSE)</f>
        <v>38</v>
      </c>
      <c r="P44" s="13">
        <f ca="1">VLOOKUP($B44,'[5]Analisys QBR By Machine Report'!$C$109:$BD$166,11,FALSE)</f>
        <v>13</v>
      </c>
      <c r="Q44" s="13">
        <f ca="1">VLOOKUP($B44,'[5]Analisys QBR By Machine Report'!$C$109:$BD$166,12,FALSE)</f>
        <v>25</v>
      </c>
      <c r="R44" s="13">
        <f ca="1">VLOOKUP($B44,'[5]Analisys QBR By Machine Report'!$C$109:$BD$166,13,FALSE)</f>
        <v>0</v>
      </c>
      <c r="S44" s="13">
        <f ca="1">VLOOKUP($B44,'[5]Analisys QBR By Machine Report'!$C$109:$BD$166,14,FALSE)</f>
        <v>0</v>
      </c>
      <c r="T44" s="13">
        <f ca="1">VLOOKUP($B44,'[5]Analisys QBR By Machine Report'!$C$109:$BD$166,15,FALSE)</f>
        <v>0</v>
      </c>
      <c r="U44" s="13">
        <f ca="1">VLOOKUP($B44,'[5]Analisys QBR By Machine Report'!$C$109:$BD$166,16,FALSE)</f>
        <v>0</v>
      </c>
      <c r="V44" s="13">
        <f ca="1">VLOOKUP($B44,'[5]Analisys QBR By Machine Report'!$C$109:$BD$166,17,FALSE)</f>
        <v>0</v>
      </c>
      <c r="W44" s="13">
        <f ca="1">VLOOKUP($B44,'[5]Analisys QBR By Machine Report'!$C$109:$BD$166,18,FALSE)</f>
        <v>0</v>
      </c>
      <c r="X44" s="13">
        <f ca="1">VLOOKUP($B44,'[5]Analisys QBR By Machine Report'!$C$109:$BD$166,19,FALSE)</f>
        <v>0</v>
      </c>
      <c r="Y44" s="13">
        <f ca="1">VLOOKUP($B44,'[5]Analisys QBR By Machine Report'!$C$109:$BD$166,20,FALSE)</f>
        <v>0</v>
      </c>
      <c r="Z44" s="13">
        <f ca="1">VLOOKUP($B44,'[5]Analisys QBR By Machine Report'!$C$109:$BD$166,21,FALSE)</f>
        <v>968</v>
      </c>
      <c r="AA44" s="13">
        <f ca="1">VLOOKUP($B44,'[5]Analisys QBR By Machine Report'!$C$109:$BD$166,22,FALSE)</f>
        <v>808</v>
      </c>
      <c r="AB44" s="13">
        <f ca="1">VLOOKUP($B44,'[5]Analisys QBR By Machine Report'!$C$109:$BD$166,23,FALSE)</f>
        <v>150</v>
      </c>
      <c r="AC44" s="13">
        <f ca="1">VLOOKUP($B44,'[5]Analisys QBR By Machine Report'!$C$109:$BD$166,24,FALSE)</f>
        <v>0</v>
      </c>
      <c r="AD44" s="13">
        <f ca="1">VLOOKUP($B44,'[5]Analisys QBR By Machine Report'!$C$109:$BD$166,25,FALSE)</f>
        <v>0</v>
      </c>
      <c r="AE44" s="13">
        <f ca="1">VLOOKUP($B44,'[5]Analisys QBR By Machine Report'!$C$109:$BD$166,26,FALSE)</f>
        <v>10</v>
      </c>
      <c r="AF44" s="13">
        <f ca="1">VLOOKUP($B44,'[5]Analisys QBR By Machine Report'!$C$109:$BD$166,27,FALSE)</f>
        <v>0</v>
      </c>
      <c r="AG44" s="13">
        <f ca="1">VLOOKUP($B44,'[5]Analisys QBR By Machine Report'!$C$109:$BD$166,28,FALSE)</f>
        <v>0</v>
      </c>
      <c r="AH44" s="13">
        <f ca="1">VLOOKUP($B44,'[5]Analisys QBR By Machine Report'!$C$109:$BD$166,29,FALSE)</f>
        <v>0</v>
      </c>
      <c r="AI44" s="13">
        <f ca="1">VLOOKUP($B44,'[5]Analisys QBR By Machine Report'!$C$109:$BD$166,30,FALSE)</f>
        <v>190</v>
      </c>
      <c r="AJ44" s="13">
        <f ca="1">VLOOKUP($B44,'[5]Analisys QBR By Machine Report'!$C$109:$BD$166,31,FALSE)</f>
        <v>140</v>
      </c>
      <c r="AK44" s="13">
        <f ca="1">VLOOKUP($B44,'[5]Analisys QBR By Machine Report'!$C$109:$BD$166,32,FALSE)</f>
        <v>0</v>
      </c>
      <c r="AL44" s="13">
        <f ca="1">VLOOKUP($B44,'[5]Analisys QBR By Machine Report'!$C$109:$BD$166,33,FALSE)</f>
        <v>30</v>
      </c>
      <c r="AM44" s="13">
        <f ca="1">VLOOKUP($B44,'[5]Analisys QBR By Machine Report'!$C$109:$BD$166,34,FALSE)</f>
        <v>0</v>
      </c>
      <c r="AN44" s="13">
        <f ca="1">VLOOKUP($B44,'[5]Analisys QBR By Machine Report'!$C$109:$BD$166,35,FALSE)</f>
        <v>15</v>
      </c>
      <c r="AO44" s="13">
        <f ca="1">VLOOKUP($B44,'[5]Analisys QBR By Machine Report'!$C$109:$BD$166,36,FALSE)</f>
        <v>0</v>
      </c>
      <c r="AP44" s="13">
        <f ca="1">VLOOKUP($B44,'[5]Analisys QBR By Machine Report'!$C$109:$BD$166,37,FALSE)</f>
        <v>0</v>
      </c>
      <c r="AQ44" s="13">
        <f ca="1">VLOOKUP($B44,'[5]Analisys QBR By Machine Report'!$C$109:$BD$166,38,FALSE)</f>
        <v>0</v>
      </c>
      <c r="AR44" s="13">
        <f ca="1">VLOOKUP($B44,'[5]Analisys QBR By Machine Report'!$C$109:$BD$166,39,FALSE)</f>
        <v>0</v>
      </c>
      <c r="AS44" s="13">
        <f ca="1">VLOOKUP($B44,'[5]Analisys QBR By Machine Report'!$C$109:$BD$166,40,FALSE)</f>
        <v>0</v>
      </c>
      <c r="AT44" s="13">
        <f ca="1">VLOOKUP($B44,'[5]Analisys QBR By Machine Report'!$C$109:$BD$166,41,FALSE)</f>
        <v>0</v>
      </c>
      <c r="AU44" s="13">
        <f ca="1">VLOOKUP($B44,'[5]Analisys QBR By Machine Report'!$C$109:$BD$166,42,FALSE)</f>
        <v>0</v>
      </c>
      <c r="AV44" s="13">
        <f ca="1">VLOOKUP($B44,'[5]Analisys QBR By Machine Report'!$C$109:$BD$166,43,FALSE)</f>
        <v>0</v>
      </c>
      <c r="AW44" s="13">
        <f ca="1">VLOOKUP($B44,'[5]Analisys QBR By Machine Report'!$C$109:$BD$166,44,FALSE)</f>
        <v>0</v>
      </c>
      <c r="AX44" s="13">
        <f ca="1">VLOOKUP($B44,'[5]Analisys QBR By Machine Report'!$C$109:$BD$166,45,FALSE)</f>
        <v>0</v>
      </c>
      <c r="AY44" s="13">
        <f ca="1">VLOOKUP($B44,'[5]Analisys QBR By Machine Report'!$C$109:$BD$166,46,FALSE)</f>
        <v>0</v>
      </c>
      <c r="AZ44" s="13">
        <f ca="1">VLOOKUP($B44,'[5]Analisys QBR By Machine Report'!$C$109:$BD$166,47,FALSE)</f>
        <v>5</v>
      </c>
      <c r="BA44" s="13">
        <f ca="1">VLOOKUP($B44,'[5]Analisys QBR By Machine Report'!$C$109:$BD$166,48,FALSE)</f>
        <v>0</v>
      </c>
      <c r="BB44" s="13">
        <f ca="1">VLOOKUP($B44,'[5]Analisys QBR By Machine Report'!$C$109:$BD$166,49,FALSE)</f>
        <v>0</v>
      </c>
      <c r="BC44" s="13">
        <f ca="1">VLOOKUP($B44,'[5]Analisys QBR By Machine Report'!$C$109:$BD$166,50,FALSE)</f>
        <v>0</v>
      </c>
      <c r="BD44" s="13">
        <f ca="1">VLOOKUP($B44,'[5]Analisys QBR By Machine Report'!$C$109:$BD$166,51,FALSE)</f>
        <v>326.99</v>
      </c>
      <c r="BE44" s="13">
        <f ca="1">VLOOKUP($B44,'[5]Analisys QBR By Machine Report'!$C$109:$BD$166,52,FALSE)</f>
        <v>0.37</v>
      </c>
      <c r="BF44" s="13">
        <f ca="1">VLOOKUP($B44,'[5]Analisys QBR By Machine Report'!$C$109:$BD$166,53,FALSE)</f>
        <v>326.62</v>
      </c>
    </row>
    <row r="45" spans="1:58" x14ac:dyDescent="0.25">
      <c r="A45" s="9" t="s">
        <v>101</v>
      </c>
      <c r="B45" s="10">
        <f ca="1">VLOOKUP($B45,'[5]Analisys QBR By Machine Report'!$C$109:$BD$166,2,FALSE)</f>
        <v>27360</v>
      </c>
      <c r="C45" s="11">
        <f ca="1">VLOOKUP($B45,[5]Dasboard_QBR_Report!$B$109:$BL$166,3,FALSE)</f>
        <v>9120</v>
      </c>
      <c r="D45" s="10">
        <f ca="1">VLOOKUP($B45,'[5]Analisys QBR By Machine Report'!$C$109:$BD$166,3,FALSE)</f>
        <v>26850</v>
      </c>
      <c r="E45" s="11">
        <f ca="1">VLOOKUP($B45,[5]Dasboard_QBR_Report!$B$109:$BL$166,5,FALSE)</f>
        <v>8610</v>
      </c>
      <c r="F45" s="10">
        <f t="shared" ca="1" si="0"/>
        <v>510</v>
      </c>
      <c r="G45" s="10">
        <f t="shared" ca="1" si="1"/>
        <v>30</v>
      </c>
      <c r="H45" s="10">
        <f ca="1">VLOOKUP($B45,'[5]Analisys QBR By Machine Report'!$C$109:$BD$166,4,FALSE)</f>
        <v>30</v>
      </c>
      <c r="I45" s="10">
        <f ca="1">VLOOKUP($B45,'[5]Analisys QBR By Machine Report'!$C$109:$BD$166,5,FALSE)</f>
        <v>30</v>
      </c>
      <c r="J45" s="10">
        <f ca="1">VLOOKUP($B45,'[5]Analisys QBR By Machine Report'!$C$109:$BD$166,6,FALSE)</f>
        <v>0</v>
      </c>
      <c r="K45" s="10">
        <f ca="1">VLOOKUP($B45,'[5]Analisys QBR By Machine Report'!$C$109:$BD$166,7,FALSE)</f>
        <v>0</v>
      </c>
      <c r="L45" s="10">
        <f ca="1">VLOOKUP($B45,'[5]Analisys QBR By Machine Report'!$C$109:$BD$166,8,FALSE)</f>
        <v>480</v>
      </c>
      <c r="M45" s="10">
        <f ca="1">VLOOKUP($B45,'[5]Analisys QBR By Machine Report'!$C$109:$BD$166,9,FALSE)</f>
        <v>70</v>
      </c>
      <c r="N45" s="10">
        <f ca="1">VLOOKUP($B45,[5]Dasboard_QBR_Report!$B$109:$BL$166,18,FALSE)</f>
        <v>410</v>
      </c>
      <c r="O45" s="10">
        <f ca="1">VLOOKUP($B45,'[5]Analisys QBR By Machine Report'!$C$109:$BD$166,10,FALSE)</f>
        <v>60</v>
      </c>
      <c r="P45" s="10">
        <f ca="1">VLOOKUP($B45,'[5]Analisys QBR By Machine Report'!$C$109:$BD$166,11,FALSE)</f>
        <v>60</v>
      </c>
      <c r="Q45" s="10">
        <f ca="1">VLOOKUP($B45,'[5]Analisys QBR By Machine Report'!$C$109:$BD$166,12,FALSE)</f>
        <v>0</v>
      </c>
      <c r="R45" s="10">
        <f ca="1">VLOOKUP($B45,'[5]Analisys QBR By Machine Report'!$C$109:$BD$166,13,FALSE)</f>
        <v>0</v>
      </c>
      <c r="S45" s="10">
        <f ca="1">VLOOKUP($B45,'[5]Analisys QBR By Machine Report'!$C$109:$BD$166,14,FALSE)</f>
        <v>0</v>
      </c>
      <c r="T45" s="10">
        <f ca="1">VLOOKUP($B45,'[5]Analisys QBR By Machine Report'!$C$109:$BD$166,15,FALSE)</f>
        <v>0</v>
      </c>
      <c r="U45" s="10">
        <f ca="1">VLOOKUP($B45,'[5]Analisys QBR By Machine Report'!$C$109:$BD$166,16,FALSE)</f>
        <v>0</v>
      </c>
      <c r="V45" s="10">
        <f ca="1">VLOOKUP($B45,'[5]Analisys QBR By Machine Report'!$C$109:$BD$166,17,FALSE)</f>
        <v>0</v>
      </c>
      <c r="W45" s="10">
        <f ca="1">VLOOKUP($B45,'[5]Analisys QBR By Machine Report'!$C$109:$BD$166,18,FALSE)</f>
        <v>0</v>
      </c>
      <c r="X45" s="10">
        <f ca="1">VLOOKUP($B45,'[5]Analisys QBR By Machine Report'!$C$109:$BD$166,19,FALSE)</f>
        <v>0</v>
      </c>
      <c r="Y45" s="10">
        <f ca="1">VLOOKUP($B45,'[5]Analisys QBR By Machine Report'!$C$109:$BD$166,20,FALSE)</f>
        <v>0</v>
      </c>
      <c r="Z45" s="10">
        <f ca="1">VLOOKUP($B45,'[5]Analisys QBR By Machine Report'!$C$109:$BD$166,21,FALSE)</f>
        <v>245</v>
      </c>
      <c r="AA45" s="10">
        <f ca="1">VLOOKUP($B45,'[5]Analisys QBR By Machine Report'!$C$109:$BD$166,22,FALSE)</f>
        <v>75</v>
      </c>
      <c r="AB45" s="10">
        <f ca="1">VLOOKUP($B45,'[5]Analisys QBR By Machine Report'!$C$109:$BD$166,23,FALSE)</f>
        <v>160</v>
      </c>
      <c r="AC45" s="10">
        <f ca="1">VLOOKUP($B45,'[5]Analisys QBR By Machine Report'!$C$109:$BD$166,24,FALSE)</f>
        <v>0</v>
      </c>
      <c r="AD45" s="10">
        <f ca="1">VLOOKUP($B45,'[5]Analisys QBR By Machine Report'!$C$109:$BD$166,25,FALSE)</f>
        <v>0</v>
      </c>
      <c r="AE45" s="10">
        <f ca="1">VLOOKUP($B45,'[5]Analisys QBR By Machine Report'!$C$109:$BD$166,26,FALSE)</f>
        <v>10</v>
      </c>
      <c r="AF45" s="10">
        <f ca="1">VLOOKUP($B45,'[5]Analisys QBR By Machine Report'!$C$109:$BD$166,27,FALSE)</f>
        <v>0</v>
      </c>
      <c r="AG45" s="10">
        <f ca="1">VLOOKUP($B45,'[5]Analisys QBR By Machine Report'!$C$109:$BD$166,28,FALSE)</f>
        <v>0</v>
      </c>
      <c r="AH45" s="10">
        <f ca="1">VLOOKUP($B45,'[5]Analisys QBR By Machine Report'!$C$109:$BD$166,29,FALSE)</f>
        <v>0</v>
      </c>
      <c r="AI45" s="10">
        <f ca="1">VLOOKUP($B45,'[5]Analisys QBR By Machine Report'!$C$109:$BD$166,30,FALSE)</f>
        <v>105</v>
      </c>
      <c r="AJ45" s="10">
        <f ca="1">VLOOKUP($B45,'[5]Analisys QBR By Machine Report'!$C$109:$BD$166,31,FALSE)</f>
        <v>0</v>
      </c>
      <c r="AK45" s="10">
        <f ca="1">VLOOKUP($B45,'[5]Analisys QBR By Machine Report'!$C$109:$BD$166,32,FALSE)</f>
        <v>0</v>
      </c>
      <c r="AL45" s="10">
        <f ca="1">VLOOKUP($B45,'[5]Analisys QBR By Machine Report'!$C$109:$BD$166,33,FALSE)</f>
        <v>30</v>
      </c>
      <c r="AM45" s="10">
        <f ca="1">VLOOKUP($B45,'[5]Analisys QBR By Machine Report'!$C$109:$BD$166,34,FALSE)</f>
        <v>0</v>
      </c>
      <c r="AN45" s="10">
        <f ca="1">VLOOKUP($B45,'[5]Analisys QBR By Machine Report'!$C$109:$BD$166,35,FALSE)</f>
        <v>15</v>
      </c>
      <c r="AO45" s="10">
        <f ca="1">VLOOKUP($B45,'[5]Analisys QBR By Machine Report'!$C$109:$BD$166,36,FALSE)</f>
        <v>0</v>
      </c>
      <c r="AP45" s="10">
        <f ca="1">VLOOKUP($B45,'[5]Analisys QBR By Machine Report'!$C$109:$BD$166,37,FALSE)</f>
        <v>0</v>
      </c>
      <c r="AQ45" s="10">
        <f ca="1">VLOOKUP($B45,'[5]Analisys QBR By Machine Report'!$C$109:$BD$166,38,FALSE)</f>
        <v>0</v>
      </c>
      <c r="AR45" s="10">
        <f ca="1">VLOOKUP($B45,'[5]Analisys QBR By Machine Report'!$C$109:$BD$166,39,FALSE)</f>
        <v>30</v>
      </c>
      <c r="AS45" s="10">
        <f ca="1">VLOOKUP($B45,'[5]Analisys QBR By Machine Report'!$C$109:$BD$166,40,FALSE)</f>
        <v>20</v>
      </c>
      <c r="AT45" s="10">
        <f ca="1">VLOOKUP($B45,'[5]Analisys QBR By Machine Report'!$C$109:$BD$166,41,FALSE)</f>
        <v>0</v>
      </c>
      <c r="AU45" s="10">
        <f ca="1">VLOOKUP($B45,'[5]Analisys QBR By Machine Report'!$C$109:$BD$166,42,FALSE)</f>
        <v>0</v>
      </c>
      <c r="AV45" s="10">
        <f ca="1">VLOOKUP($B45,'[5]Analisys QBR By Machine Report'!$C$109:$BD$166,43,FALSE)</f>
        <v>0</v>
      </c>
      <c r="AW45" s="10">
        <f ca="1">VLOOKUP($B45,'[5]Analisys QBR By Machine Report'!$C$109:$BD$166,44,FALSE)</f>
        <v>0</v>
      </c>
      <c r="AX45" s="10">
        <f ca="1">VLOOKUP($B45,'[5]Analisys QBR By Machine Report'!$C$109:$BD$166,45,FALSE)</f>
        <v>0</v>
      </c>
      <c r="AY45" s="10">
        <f ca="1">VLOOKUP($B45,'[5]Analisys QBR By Machine Report'!$C$109:$BD$166,46,FALSE)</f>
        <v>0</v>
      </c>
      <c r="AZ45" s="10">
        <f ca="1">VLOOKUP($B45,'[5]Analisys QBR By Machine Report'!$C$109:$BD$166,47,FALSE)</f>
        <v>10</v>
      </c>
      <c r="BA45" s="10">
        <f ca="1">VLOOKUP($B45,'[5]Analisys QBR By Machine Report'!$C$109:$BD$166,48,FALSE)</f>
        <v>0</v>
      </c>
      <c r="BB45" s="10">
        <f ca="1">VLOOKUP($B45,'[5]Analisys QBR By Machine Report'!$C$109:$BD$166,49,FALSE)</f>
        <v>0</v>
      </c>
      <c r="BC45" s="10">
        <f ca="1">VLOOKUP($B45,'[5]Analisys QBR By Machine Report'!$C$109:$BD$166,50,FALSE)</f>
        <v>0</v>
      </c>
      <c r="BD45" s="10">
        <f ca="1">VLOOKUP($B45,'[5]Analisys QBR By Machine Report'!$C$109:$BD$166,51,FALSE)</f>
        <v>1564</v>
      </c>
      <c r="BE45" s="10">
        <f ca="1">VLOOKUP($B45,'[5]Analisys QBR By Machine Report'!$C$109:$BD$166,52,FALSE)</f>
        <v>14</v>
      </c>
      <c r="BF45" s="10">
        <f ca="1">VLOOKUP($B45,'[5]Analisys QBR By Machine Report'!$C$109:$BD$166,53,FALSE)</f>
        <v>1550</v>
      </c>
    </row>
    <row r="46" spans="1:58" x14ac:dyDescent="0.25">
      <c r="A46" s="12" t="s">
        <v>102</v>
      </c>
      <c r="B46" s="13">
        <f ca="1">VLOOKUP($B46,'[5]Analisys QBR By Machine Report'!$C$109:$BD$166,2,FALSE)</f>
        <v>27360</v>
      </c>
      <c r="C46" s="14">
        <f ca="1">VLOOKUP($B46,[5]Dasboard_QBR_Report!$B$109:$BL$166,3,FALSE)</f>
        <v>9120</v>
      </c>
      <c r="D46" s="13">
        <f ca="1">VLOOKUP($B46,'[5]Analisys QBR By Machine Report'!$C$109:$BD$166,3,FALSE)</f>
        <v>26850</v>
      </c>
      <c r="E46" s="14">
        <f ca="1">VLOOKUP($B46,[5]Dasboard_QBR_Report!$B$109:$BL$166,5,FALSE)</f>
        <v>8610</v>
      </c>
      <c r="F46" s="13">
        <f t="shared" ca="1" si="0"/>
        <v>510</v>
      </c>
      <c r="G46" s="13">
        <f t="shared" ca="1" si="1"/>
        <v>30</v>
      </c>
      <c r="H46" s="13">
        <f ca="1">VLOOKUP($B46,'[5]Analisys QBR By Machine Report'!$C$109:$BD$166,4,FALSE)</f>
        <v>30</v>
      </c>
      <c r="I46" s="13">
        <f ca="1">VLOOKUP($B46,'[5]Analisys QBR By Machine Report'!$C$109:$BD$166,5,FALSE)</f>
        <v>30</v>
      </c>
      <c r="J46" s="13">
        <f ca="1">VLOOKUP($B46,'[5]Analisys QBR By Machine Report'!$C$109:$BD$166,6,FALSE)</f>
        <v>0</v>
      </c>
      <c r="K46" s="13">
        <f ca="1">VLOOKUP($B46,'[5]Analisys QBR By Machine Report'!$C$109:$BD$166,7,FALSE)</f>
        <v>0</v>
      </c>
      <c r="L46" s="13">
        <f ca="1">VLOOKUP($B46,'[5]Analisys QBR By Machine Report'!$C$109:$BD$166,8,FALSE)</f>
        <v>480</v>
      </c>
      <c r="M46" s="13">
        <f ca="1">VLOOKUP($B46,'[5]Analisys QBR By Machine Report'!$C$109:$BD$166,9,FALSE)</f>
        <v>70</v>
      </c>
      <c r="N46" s="13">
        <f ca="1">VLOOKUP($B46,[5]Dasboard_QBR_Report!$B$109:$BL$166,18,FALSE)</f>
        <v>410</v>
      </c>
      <c r="O46" s="13">
        <f ca="1">VLOOKUP($B46,'[5]Analisys QBR By Machine Report'!$C$109:$BD$166,10,FALSE)</f>
        <v>60</v>
      </c>
      <c r="P46" s="13">
        <f ca="1">VLOOKUP($B46,'[5]Analisys QBR By Machine Report'!$C$109:$BD$166,11,FALSE)</f>
        <v>60</v>
      </c>
      <c r="Q46" s="13">
        <f ca="1">VLOOKUP($B46,'[5]Analisys QBR By Machine Report'!$C$109:$BD$166,12,FALSE)</f>
        <v>0</v>
      </c>
      <c r="R46" s="13">
        <f ca="1">VLOOKUP($B46,'[5]Analisys QBR By Machine Report'!$C$109:$BD$166,13,FALSE)</f>
        <v>0</v>
      </c>
      <c r="S46" s="13">
        <f ca="1">VLOOKUP($B46,'[5]Analisys QBR By Machine Report'!$C$109:$BD$166,14,FALSE)</f>
        <v>0</v>
      </c>
      <c r="T46" s="13">
        <f ca="1">VLOOKUP($B46,'[5]Analisys QBR By Machine Report'!$C$109:$BD$166,15,FALSE)</f>
        <v>0</v>
      </c>
      <c r="U46" s="13">
        <f ca="1">VLOOKUP($B46,'[5]Analisys QBR By Machine Report'!$C$109:$BD$166,16,FALSE)</f>
        <v>0</v>
      </c>
      <c r="V46" s="13">
        <f ca="1">VLOOKUP($B46,'[5]Analisys QBR By Machine Report'!$C$109:$BD$166,17,FALSE)</f>
        <v>0</v>
      </c>
      <c r="W46" s="13">
        <f ca="1">VLOOKUP($B46,'[5]Analisys QBR By Machine Report'!$C$109:$BD$166,18,FALSE)</f>
        <v>0</v>
      </c>
      <c r="X46" s="13">
        <f ca="1">VLOOKUP($B46,'[5]Analisys QBR By Machine Report'!$C$109:$BD$166,19,FALSE)</f>
        <v>0</v>
      </c>
      <c r="Y46" s="13">
        <f ca="1">VLOOKUP($B46,'[5]Analisys QBR By Machine Report'!$C$109:$BD$166,20,FALSE)</f>
        <v>0</v>
      </c>
      <c r="Z46" s="13">
        <f ca="1">VLOOKUP($B46,'[5]Analisys QBR By Machine Report'!$C$109:$BD$166,21,FALSE)</f>
        <v>245</v>
      </c>
      <c r="AA46" s="13">
        <f ca="1">VLOOKUP($B46,'[5]Analisys QBR By Machine Report'!$C$109:$BD$166,22,FALSE)</f>
        <v>75</v>
      </c>
      <c r="AB46" s="13">
        <f ca="1">VLOOKUP($B46,'[5]Analisys QBR By Machine Report'!$C$109:$BD$166,23,FALSE)</f>
        <v>160</v>
      </c>
      <c r="AC46" s="13">
        <f ca="1">VLOOKUP($B46,'[5]Analisys QBR By Machine Report'!$C$109:$BD$166,24,FALSE)</f>
        <v>0</v>
      </c>
      <c r="AD46" s="13">
        <f ca="1">VLOOKUP($B46,'[5]Analisys QBR By Machine Report'!$C$109:$BD$166,25,FALSE)</f>
        <v>0</v>
      </c>
      <c r="AE46" s="13">
        <f ca="1">VLOOKUP($B46,'[5]Analisys QBR By Machine Report'!$C$109:$BD$166,26,FALSE)</f>
        <v>10</v>
      </c>
      <c r="AF46" s="13">
        <f ca="1">VLOOKUP($B46,'[5]Analisys QBR By Machine Report'!$C$109:$BD$166,27,FALSE)</f>
        <v>0</v>
      </c>
      <c r="AG46" s="13">
        <f ca="1">VLOOKUP($B46,'[5]Analisys QBR By Machine Report'!$C$109:$BD$166,28,FALSE)</f>
        <v>0</v>
      </c>
      <c r="AH46" s="13">
        <f ca="1">VLOOKUP($B46,'[5]Analisys QBR By Machine Report'!$C$109:$BD$166,29,FALSE)</f>
        <v>0</v>
      </c>
      <c r="AI46" s="13">
        <f ca="1">VLOOKUP($B46,'[5]Analisys QBR By Machine Report'!$C$109:$BD$166,30,FALSE)</f>
        <v>105</v>
      </c>
      <c r="AJ46" s="13">
        <f ca="1">VLOOKUP($B46,'[5]Analisys QBR By Machine Report'!$C$109:$BD$166,31,FALSE)</f>
        <v>0</v>
      </c>
      <c r="AK46" s="13">
        <f ca="1">VLOOKUP($B46,'[5]Analisys QBR By Machine Report'!$C$109:$BD$166,32,FALSE)</f>
        <v>0</v>
      </c>
      <c r="AL46" s="13">
        <f ca="1">VLOOKUP($B46,'[5]Analisys QBR By Machine Report'!$C$109:$BD$166,33,FALSE)</f>
        <v>30</v>
      </c>
      <c r="AM46" s="13">
        <f ca="1">VLOOKUP($B46,'[5]Analisys QBR By Machine Report'!$C$109:$BD$166,34,FALSE)</f>
        <v>0</v>
      </c>
      <c r="AN46" s="13">
        <f ca="1">VLOOKUP($B46,'[5]Analisys QBR By Machine Report'!$C$109:$BD$166,35,FALSE)</f>
        <v>15</v>
      </c>
      <c r="AO46" s="13">
        <f ca="1">VLOOKUP($B46,'[5]Analisys QBR By Machine Report'!$C$109:$BD$166,36,FALSE)</f>
        <v>0</v>
      </c>
      <c r="AP46" s="13">
        <f ca="1">VLOOKUP($B46,'[5]Analisys QBR By Machine Report'!$C$109:$BD$166,37,FALSE)</f>
        <v>0</v>
      </c>
      <c r="AQ46" s="13">
        <f ca="1">VLOOKUP($B46,'[5]Analisys QBR By Machine Report'!$C$109:$BD$166,38,FALSE)</f>
        <v>0</v>
      </c>
      <c r="AR46" s="13">
        <f ca="1">VLOOKUP($B46,'[5]Analisys QBR By Machine Report'!$C$109:$BD$166,39,FALSE)</f>
        <v>30</v>
      </c>
      <c r="AS46" s="13">
        <f ca="1">VLOOKUP($B46,'[5]Analisys QBR By Machine Report'!$C$109:$BD$166,40,FALSE)</f>
        <v>20</v>
      </c>
      <c r="AT46" s="13">
        <f ca="1">VLOOKUP($B46,'[5]Analisys QBR By Machine Report'!$C$109:$BD$166,41,FALSE)</f>
        <v>0</v>
      </c>
      <c r="AU46" s="13">
        <f ca="1">VLOOKUP($B46,'[5]Analisys QBR By Machine Report'!$C$109:$BD$166,42,FALSE)</f>
        <v>0</v>
      </c>
      <c r="AV46" s="13">
        <f ca="1">VLOOKUP($B46,'[5]Analisys QBR By Machine Report'!$C$109:$BD$166,43,FALSE)</f>
        <v>0</v>
      </c>
      <c r="AW46" s="13">
        <f ca="1">VLOOKUP($B46,'[5]Analisys QBR By Machine Report'!$C$109:$BD$166,44,FALSE)</f>
        <v>0</v>
      </c>
      <c r="AX46" s="13">
        <f ca="1">VLOOKUP($B46,'[5]Analisys QBR By Machine Report'!$C$109:$BD$166,45,FALSE)</f>
        <v>0</v>
      </c>
      <c r="AY46" s="13">
        <f ca="1">VLOOKUP($B46,'[5]Analisys QBR By Machine Report'!$C$109:$BD$166,46,FALSE)</f>
        <v>0</v>
      </c>
      <c r="AZ46" s="13">
        <f ca="1">VLOOKUP($B46,'[5]Analisys QBR By Machine Report'!$C$109:$BD$166,47,FALSE)</f>
        <v>10</v>
      </c>
      <c r="BA46" s="13">
        <f ca="1">VLOOKUP($B46,'[5]Analisys QBR By Machine Report'!$C$109:$BD$166,48,FALSE)</f>
        <v>0</v>
      </c>
      <c r="BB46" s="13">
        <f ca="1">VLOOKUP($B46,'[5]Analisys QBR By Machine Report'!$C$109:$BD$166,49,FALSE)</f>
        <v>0</v>
      </c>
      <c r="BC46" s="13">
        <f ca="1">VLOOKUP($B46,'[5]Analisys QBR By Machine Report'!$C$109:$BD$166,50,FALSE)</f>
        <v>0</v>
      </c>
      <c r="BD46" s="13">
        <f ca="1">VLOOKUP($B46,'[5]Analisys QBR By Machine Report'!$C$109:$BD$166,51,FALSE)</f>
        <v>1564</v>
      </c>
      <c r="BE46" s="13">
        <f ca="1">VLOOKUP($B46,'[5]Analisys QBR By Machine Report'!$C$109:$BD$166,52,FALSE)</f>
        <v>14</v>
      </c>
      <c r="BF46" s="13">
        <f ca="1">VLOOKUP($B46,'[5]Analisys QBR By Machine Report'!$C$109:$BD$166,53,FALSE)</f>
        <v>1550</v>
      </c>
    </row>
    <row r="47" spans="1:58" x14ac:dyDescent="0.25">
      <c r="A47" s="9" t="s">
        <v>103</v>
      </c>
      <c r="B47" s="10">
        <f ca="1">VLOOKUP($B47,'[5]Analisys QBR By Machine Report'!$C$109:$BD$166,2,FALSE)</f>
        <v>27360</v>
      </c>
      <c r="C47" s="11">
        <f ca="1">VLOOKUP($B47,[5]Dasboard_QBR_Report!$B$109:$BL$166,3,FALSE)</f>
        <v>9120</v>
      </c>
      <c r="D47" s="10">
        <f ca="1">VLOOKUP($B47,'[5]Analisys QBR By Machine Report'!$C$109:$BD$166,3,FALSE)</f>
        <v>25320</v>
      </c>
      <c r="E47" s="11">
        <f ca="1">VLOOKUP($B47,[5]Dasboard_QBR_Report!$B$109:$BL$166,5,FALSE)</f>
        <v>7080</v>
      </c>
      <c r="F47" s="10">
        <f t="shared" ca="1" si="0"/>
        <v>2040</v>
      </c>
      <c r="G47" s="10">
        <f t="shared" ca="1" si="1"/>
        <v>360</v>
      </c>
      <c r="H47" s="10">
        <f ca="1">VLOOKUP($B47,'[5]Analisys QBR By Machine Report'!$C$109:$BD$166,4,FALSE)</f>
        <v>360</v>
      </c>
      <c r="I47" s="10">
        <f ca="1">VLOOKUP($B47,'[5]Analisys QBR By Machine Report'!$C$109:$BD$166,5,FALSE)</f>
        <v>60</v>
      </c>
      <c r="J47" s="10">
        <f ca="1">VLOOKUP($B47,'[5]Analisys QBR By Machine Report'!$C$109:$BD$166,6,FALSE)</f>
        <v>300</v>
      </c>
      <c r="K47" s="10">
        <f ca="1">VLOOKUP($B47,'[5]Analisys QBR By Machine Report'!$C$109:$BD$166,7,FALSE)</f>
        <v>0</v>
      </c>
      <c r="L47" s="10">
        <f ca="1">VLOOKUP($B47,'[5]Analisys QBR By Machine Report'!$C$109:$BD$166,8,FALSE)</f>
        <v>1680</v>
      </c>
      <c r="M47" s="10">
        <f ca="1">VLOOKUP($B47,'[5]Analisys QBR By Machine Report'!$C$109:$BD$166,9,FALSE)</f>
        <v>730</v>
      </c>
      <c r="N47" s="10">
        <f ca="1">VLOOKUP($B47,[5]Dasboard_QBR_Report!$B$109:$BL$166,18,FALSE)</f>
        <v>950</v>
      </c>
      <c r="O47" s="10">
        <f ca="1">VLOOKUP($B47,'[5]Analisys QBR By Machine Report'!$C$109:$BD$166,10,FALSE)</f>
        <v>265</v>
      </c>
      <c r="P47" s="10">
        <f ca="1">VLOOKUP($B47,'[5]Analisys QBR By Machine Report'!$C$109:$BD$166,11,FALSE)</f>
        <v>70</v>
      </c>
      <c r="Q47" s="10">
        <f ca="1">VLOOKUP($B47,'[5]Analisys QBR By Machine Report'!$C$109:$BD$166,12,FALSE)</f>
        <v>0</v>
      </c>
      <c r="R47" s="10">
        <f ca="1">VLOOKUP($B47,'[5]Analisys QBR By Machine Report'!$C$109:$BD$166,13,FALSE)</f>
        <v>25</v>
      </c>
      <c r="S47" s="10">
        <f ca="1">VLOOKUP($B47,'[5]Analisys QBR By Machine Report'!$C$109:$BD$166,14,FALSE)</f>
        <v>170</v>
      </c>
      <c r="T47" s="10">
        <f ca="1">VLOOKUP($B47,'[5]Analisys QBR By Machine Report'!$C$109:$BD$166,15,FALSE)</f>
        <v>0</v>
      </c>
      <c r="U47" s="10">
        <f ca="1">VLOOKUP($B47,'[5]Analisys QBR By Machine Report'!$C$109:$BD$166,16,FALSE)</f>
        <v>0</v>
      </c>
      <c r="V47" s="10">
        <f ca="1">VLOOKUP($B47,'[5]Analisys QBR By Machine Report'!$C$109:$BD$166,17,FALSE)</f>
        <v>0</v>
      </c>
      <c r="W47" s="10">
        <f ca="1">VLOOKUP($B47,'[5]Analisys QBR By Machine Report'!$C$109:$BD$166,18,FALSE)</f>
        <v>0</v>
      </c>
      <c r="X47" s="10">
        <f ca="1">VLOOKUP($B47,'[5]Analisys QBR By Machine Report'!$C$109:$BD$166,19,FALSE)</f>
        <v>0</v>
      </c>
      <c r="Y47" s="10">
        <f ca="1">VLOOKUP($B47,'[5]Analisys QBR By Machine Report'!$C$109:$BD$166,20,FALSE)</f>
        <v>0</v>
      </c>
      <c r="Z47" s="10">
        <f ca="1">VLOOKUP($B47,'[5]Analisys QBR By Machine Report'!$C$109:$BD$166,21,FALSE)</f>
        <v>410</v>
      </c>
      <c r="AA47" s="10">
        <f ca="1">VLOOKUP($B47,'[5]Analisys QBR By Machine Report'!$C$109:$BD$166,22,FALSE)</f>
        <v>110</v>
      </c>
      <c r="AB47" s="10">
        <f ca="1">VLOOKUP($B47,'[5]Analisys QBR By Machine Report'!$C$109:$BD$166,23,FALSE)</f>
        <v>0</v>
      </c>
      <c r="AC47" s="10">
        <f ca="1">VLOOKUP($B47,'[5]Analisys QBR By Machine Report'!$C$109:$BD$166,24,FALSE)</f>
        <v>0</v>
      </c>
      <c r="AD47" s="10">
        <f ca="1">VLOOKUP($B47,'[5]Analisys QBR By Machine Report'!$C$109:$BD$166,25,FALSE)</f>
        <v>0</v>
      </c>
      <c r="AE47" s="10">
        <f ca="1">VLOOKUP($B47,'[5]Analisys QBR By Machine Report'!$C$109:$BD$166,26,FALSE)</f>
        <v>300</v>
      </c>
      <c r="AF47" s="10">
        <f ca="1">VLOOKUP($B47,'[5]Analisys QBR By Machine Report'!$C$109:$BD$166,27,FALSE)</f>
        <v>0</v>
      </c>
      <c r="AG47" s="10">
        <f ca="1">VLOOKUP($B47,'[5]Analisys QBR By Machine Report'!$C$109:$BD$166,28,FALSE)</f>
        <v>0</v>
      </c>
      <c r="AH47" s="10">
        <f ca="1">VLOOKUP($B47,'[5]Analisys QBR By Machine Report'!$C$109:$BD$166,29,FALSE)</f>
        <v>0</v>
      </c>
      <c r="AI47" s="10">
        <f ca="1">VLOOKUP($B47,'[5]Analisys QBR By Machine Report'!$C$109:$BD$166,30,FALSE)</f>
        <v>275</v>
      </c>
      <c r="AJ47" s="10">
        <f ca="1">VLOOKUP($B47,'[5]Analisys QBR By Machine Report'!$C$109:$BD$166,31,FALSE)</f>
        <v>0</v>
      </c>
      <c r="AK47" s="10">
        <f ca="1">VLOOKUP($B47,'[5]Analisys QBR By Machine Report'!$C$109:$BD$166,32,FALSE)</f>
        <v>0</v>
      </c>
      <c r="AL47" s="10">
        <f ca="1">VLOOKUP($B47,'[5]Analisys QBR By Machine Report'!$C$109:$BD$166,33,FALSE)</f>
        <v>90</v>
      </c>
      <c r="AM47" s="10">
        <f ca="1">VLOOKUP($B47,'[5]Analisys QBR By Machine Report'!$C$109:$BD$166,34,FALSE)</f>
        <v>0</v>
      </c>
      <c r="AN47" s="10">
        <f ca="1">VLOOKUP($B47,'[5]Analisys QBR By Machine Report'!$C$109:$BD$166,35,FALSE)</f>
        <v>60</v>
      </c>
      <c r="AO47" s="10">
        <f ca="1">VLOOKUP($B47,'[5]Analisys QBR By Machine Report'!$C$109:$BD$166,36,FALSE)</f>
        <v>0</v>
      </c>
      <c r="AP47" s="10">
        <f ca="1">VLOOKUP($B47,'[5]Analisys QBR By Machine Report'!$C$109:$BD$166,37,FALSE)</f>
        <v>0</v>
      </c>
      <c r="AQ47" s="10">
        <f ca="1">VLOOKUP($B47,'[5]Analisys QBR By Machine Report'!$C$109:$BD$166,38,FALSE)</f>
        <v>15</v>
      </c>
      <c r="AR47" s="10">
        <f ca="1">VLOOKUP($B47,'[5]Analisys QBR By Machine Report'!$C$109:$BD$166,39,FALSE)</f>
        <v>20</v>
      </c>
      <c r="AS47" s="10">
        <f ca="1">VLOOKUP($B47,'[5]Analisys QBR By Machine Report'!$C$109:$BD$166,40,FALSE)</f>
        <v>40</v>
      </c>
      <c r="AT47" s="10">
        <f ca="1">VLOOKUP($B47,'[5]Analisys QBR By Machine Report'!$C$109:$BD$166,41,FALSE)</f>
        <v>0</v>
      </c>
      <c r="AU47" s="10">
        <f ca="1">VLOOKUP($B47,'[5]Analisys QBR By Machine Report'!$C$109:$BD$166,42,FALSE)</f>
        <v>0</v>
      </c>
      <c r="AV47" s="10">
        <f ca="1">VLOOKUP($B47,'[5]Analisys QBR By Machine Report'!$C$109:$BD$166,43,FALSE)</f>
        <v>0</v>
      </c>
      <c r="AW47" s="10">
        <f ca="1">VLOOKUP($B47,'[5]Analisys QBR By Machine Report'!$C$109:$BD$166,44,FALSE)</f>
        <v>0</v>
      </c>
      <c r="AX47" s="10">
        <f ca="1">VLOOKUP($B47,'[5]Analisys QBR By Machine Report'!$C$109:$BD$166,45,FALSE)</f>
        <v>0</v>
      </c>
      <c r="AY47" s="10">
        <f ca="1">VLOOKUP($B47,'[5]Analisys QBR By Machine Report'!$C$109:$BD$166,46,FALSE)</f>
        <v>0</v>
      </c>
      <c r="AZ47" s="10">
        <f ca="1">VLOOKUP($B47,'[5]Analisys QBR By Machine Report'!$C$109:$BD$166,47,FALSE)</f>
        <v>20</v>
      </c>
      <c r="BA47" s="10">
        <f ca="1">VLOOKUP($B47,'[5]Analisys QBR By Machine Report'!$C$109:$BD$166,48,FALSE)</f>
        <v>0</v>
      </c>
      <c r="BB47" s="10">
        <f ca="1">VLOOKUP($B47,'[5]Analisys QBR By Machine Report'!$C$109:$BD$166,49,FALSE)</f>
        <v>0</v>
      </c>
      <c r="BC47" s="10">
        <f ca="1">VLOOKUP($B47,'[5]Analisys QBR By Machine Report'!$C$109:$BD$166,50,FALSE)</f>
        <v>30</v>
      </c>
      <c r="BD47" s="10">
        <f ca="1">VLOOKUP($B47,'[5]Analisys QBR By Machine Report'!$C$109:$BD$166,51,FALSE)</f>
        <v>504604</v>
      </c>
      <c r="BE47" s="10">
        <f ca="1">VLOOKUP($B47,'[5]Analisys QBR By Machine Report'!$C$109:$BD$166,52,FALSE)</f>
        <v>74</v>
      </c>
      <c r="BF47" s="10">
        <f ca="1">VLOOKUP($B47,'[5]Analisys QBR By Machine Report'!$C$109:$BD$166,53,FALSE)</f>
        <v>504530</v>
      </c>
    </row>
    <row r="48" spans="1:58" x14ac:dyDescent="0.25">
      <c r="A48" s="12" t="s">
        <v>104</v>
      </c>
      <c r="B48" s="13">
        <f ca="1">VLOOKUP($B48,'[5]Analisys QBR By Machine Report'!$C$109:$BD$166,2,FALSE)</f>
        <v>27360</v>
      </c>
      <c r="C48" s="14">
        <f ca="1">VLOOKUP($B48,[5]Dasboard_QBR_Report!$B$109:$BL$166,3,FALSE)</f>
        <v>9120</v>
      </c>
      <c r="D48" s="13">
        <f ca="1">VLOOKUP($B48,'[5]Analisys QBR By Machine Report'!$C$109:$BD$166,3,FALSE)</f>
        <v>25320</v>
      </c>
      <c r="E48" s="14">
        <f ca="1">VLOOKUP($B48,[5]Dasboard_QBR_Report!$B$109:$BL$166,5,FALSE)</f>
        <v>7080</v>
      </c>
      <c r="F48" s="13">
        <f t="shared" ca="1" si="0"/>
        <v>2040</v>
      </c>
      <c r="G48" s="13">
        <f t="shared" ca="1" si="1"/>
        <v>360</v>
      </c>
      <c r="H48" s="13">
        <f ca="1">VLOOKUP($B48,'[5]Analisys QBR By Machine Report'!$C$109:$BD$166,4,FALSE)</f>
        <v>360</v>
      </c>
      <c r="I48" s="13">
        <f ca="1">VLOOKUP($B48,'[5]Analisys QBR By Machine Report'!$C$109:$BD$166,5,FALSE)</f>
        <v>60</v>
      </c>
      <c r="J48" s="13">
        <f ca="1">VLOOKUP($B48,'[5]Analisys QBR By Machine Report'!$C$109:$BD$166,6,FALSE)</f>
        <v>300</v>
      </c>
      <c r="K48" s="13">
        <f ca="1">VLOOKUP($B48,'[5]Analisys QBR By Machine Report'!$C$109:$BD$166,7,FALSE)</f>
        <v>0</v>
      </c>
      <c r="L48" s="13">
        <f ca="1">VLOOKUP($B48,'[5]Analisys QBR By Machine Report'!$C$109:$BD$166,8,FALSE)</f>
        <v>1680</v>
      </c>
      <c r="M48" s="13">
        <f ca="1">VLOOKUP($B48,'[5]Analisys QBR By Machine Report'!$C$109:$BD$166,9,FALSE)</f>
        <v>730</v>
      </c>
      <c r="N48" s="13">
        <f ca="1">VLOOKUP($B48,[5]Dasboard_QBR_Report!$B$109:$BL$166,18,FALSE)</f>
        <v>950</v>
      </c>
      <c r="O48" s="13">
        <f ca="1">VLOOKUP($B48,'[5]Analisys QBR By Machine Report'!$C$109:$BD$166,10,FALSE)</f>
        <v>265</v>
      </c>
      <c r="P48" s="13">
        <f ca="1">VLOOKUP($B48,'[5]Analisys QBR By Machine Report'!$C$109:$BD$166,11,FALSE)</f>
        <v>70</v>
      </c>
      <c r="Q48" s="13">
        <f ca="1">VLOOKUP($B48,'[5]Analisys QBR By Machine Report'!$C$109:$BD$166,12,FALSE)</f>
        <v>0</v>
      </c>
      <c r="R48" s="13">
        <f ca="1">VLOOKUP($B48,'[5]Analisys QBR By Machine Report'!$C$109:$BD$166,13,FALSE)</f>
        <v>25</v>
      </c>
      <c r="S48" s="13">
        <f ca="1">VLOOKUP($B48,'[5]Analisys QBR By Machine Report'!$C$109:$BD$166,14,FALSE)</f>
        <v>170</v>
      </c>
      <c r="T48" s="13">
        <f ca="1">VLOOKUP($B48,'[5]Analisys QBR By Machine Report'!$C$109:$BD$166,15,FALSE)</f>
        <v>0</v>
      </c>
      <c r="U48" s="13">
        <f ca="1">VLOOKUP($B48,'[5]Analisys QBR By Machine Report'!$C$109:$BD$166,16,FALSE)</f>
        <v>0</v>
      </c>
      <c r="V48" s="13">
        <f ca="1">VLOOKUP($B48,'[5]Analisys QBR By Machine Report'!$C$109:$BD$166,17,FALSE)</f>
        <v>0</v>
      </c>
      <c r="W48" s="13">
        <f ca="1">VLOOKUP($B48,'[5]Analisys QBR By Machine Report'!$C$109:$BD$166,18,FALSE)</f>
        <v>0</v>
      </c>
      <c r="X48" s="13">
        <f ca="1">VLOOKUP($B48,'[5]Analisys QBR By Machine Report'!$C$109:$BD$166,19,FALSE)</f>
        <v>0</v>
      </c>
      <c r="Y48" s="13">
        <f ca="1">VLOOKUP($B48,'[5]Analisys QBR By Machine Report'!$C$109:$BD$166,20,FALSE)</f>
        <v>0</v>
      </c>
      <c r="Z48" s="13">
        <f ca="1">VLOOKUP($B48,'[5]Analisys QBR By Machine Report'!$C$109:$BD$166,21,FALSE)</f>
        <v>410</v>
      </c>
      <c r="AA48" s="13">
        <f ca="1">VLOOKUP($B48,'[5]Analisys QBR By Machine Report'!$C$109:$BD$166,22,FALSE)</f>
        <v>110</v>
      </c>
      <c r="AB48" s="13">
        <f ca="1">VLOOKUP($B48,'[5]Analisys QBR By Machine Report'!$C$109:$BD$166,23,FALSE)</f>
        <v>0</v>
      </c>
      <c r="AC48" s="13">
        <f ca="1">VLOOKUP($B48,'[5]Analisys QBR By Machine Report'!$C$109:$BD$166,24,FALSE)</f>
        <v>0</v>
      </c>
      <c r="AD48" s="13">
        <f ca="1">VLOOKUP($B48,'[5]Analisys QBR By Machine Report'!$C$109:$BD$166,25,FALSE)</f>
        <v>0</v>
      </c>
      <c r="AE48" s="13">
        <f ca="1">VLOOKUP($B48,'[5]Analisys QBR By Machine Report'!$C$109:$BD$166,26,FALSE)</f>
        <v>300</v>
      </c>
      <c r="AF48" s="13">
        <f ca="1">VLOOKUP($B48,'[5]Analisys QBR By Machine Report'!$C$109:$BD$166,27,FALSE)</f>
        <v>0</v>
      </c>
      <c r="AG48" s="13">
        <f ca="1">VLOOKUP($B48,'[5]Analisys QBR By Machine Report'!$C$109:$BD$166,28,FALSE)</f>
        <v>0</v>
      </c>
      <c r="AH48" s="13">
        <f ca="1">VLOOKUP($B48,'[5]Analisys QBR By Machine Report'!$C$109:$BD$166,29,FALSE)</f>
        <v>0</v>
      </c>
      <c r="AI48" s="13">
        <f ca="1">VLOOKUP($B48,'[5]Analisys QBR By Machine Report'!$C$109:$BD$166,30,FALSE)</f>
        <v>275</v>
      </c>
      <c r="AJ48" s="13">
        <f ca="1">VLOOKUP($B48,'[5]Analisys QBR By Machine Report'!$C$109:$BD$166,31,FALSE)</f>
        <v>0</v>
      </c>
      <c r="AK48" s="13">
        <f ca="1">VLOOKUP($B48,'[5]Analisys QBR By Machine Report'!$C$109:$BD$166,32,FALSE)</f>
        <v>0</v>
      </c>
      <c r="AL48" s="13">
        <f ca="1">VLOOKUP($B48,'[5]Analisys QBR By Machine Report'!$C$109:$BD$166,33,FALSE)</f>
        <v>90</v>
      </c>
      <c r="AM48" s="13">
        <f ca="1">VLOOKUP($B48,'[5]Analisys QBR By Machine Report'!$C$109:$BD$166,34,FALSE)</f>
        <v>0</v>
      </c>
      <c r="AN48" s="13">
        <f ca="1">VLOOKUP($B48,'[5]Analisys QBR By Machine Report'!$C$109:$BD$166,35,FALSE)</f>
        <v>60</v>
      </c>
      <c r="AO48" s="13">
        <f ca="1">VLOOKUP($B48,'[5]Analisys QBR By Machine Report'!$C$109:$BD$166,36,FALSE)</f>
        <v>0</v>
      </c>
      <c r="AP48" s="13">
        <f ca="1">VLOOKUP($B48,'[5]Analisys QBR By Machine Report'!$C$109:$BD$166,37,FALSE)</f>
        <v>0</v>
      </c>
      <c r="AQ48" s="13">
        <f ca="1">VLOOKUP($B48,'[5]Analisys QBR By Machine Report'!$C$109:$BD$166,38,FALSE)</f>
        <v>15</v>
      </c>
      <c r="AR48" s="13">
        <f ca="1">VLOOKUP($B48,'[5]Analisys QBR By Machine Report'!$C$109:$BD$166,39,FALSE)</f>
        <v>20</v>
      </c>
      <c r="AS48" s="13">
        <f ca="1">VLOOKUP($B48,'[5]Analisys QBR By Machine Report'!$C$109:$BD$166,40,FALSE)</f>
        <v>40</v>
      </c>
      <c r="AT48" s="13">
        <f ca="1">VLOOKUP($B48,'[5]Analisys QBR By Machine Report'!$C$109:$BD$166,41,FALSE)</f>
        <v>0</v>
      </c>
      <c r="AU48" s="13">
        <f ca="1">VLOOKUP($B48,'[5]Analisys QBR By Machine Report'!$C$109:$BD$166,42,FALSE)</f>
        <v>0</v>
      </c>
      <c r="AV48" s="13">
        <f ca="1">VLOOKUP($B48,'[5]Analisys QBR By Machine Report'!$C$109:$BD$166,43,FALSE)</f>
        <v>0</v>
      </c>
      <c r="AW48" s="13">
        <f ca="1">VLOOKUP($B48,'[5]Analisys QBR By Machine Report'!$C$109:$BD$166,44,FALSE)</f>
        <v>0</v>
      </c>
      <c r="AX48" s="13">
        <f ca="1">VLOOKUP($B48,'[5]Analisys QBR By Machine Report'!$C$109:$BD$166,45,FALSE)</f>
        <v>0</v>
      </c>
      <c r="AY48" s="13">
        <f ca="1">VLOOKUP($B48,'[5]Analisys QBR By Machine Report'!$C$109:$BD$166,46,FALSE)</f>
        <v>0</v>
      </c>
      <c r="AZ48" s="13">
        <f ca="1">VLOOKUP($B48,'[5]Analisys QBR By Machine Report'!$C$109:$BD$166,47,FALSE)</f>
        <v>20</v>
      </c>
      <c r="BA48" s="13">
        <f ca="1">VLOOKUP($B48,'[5]Analisys QBR By Machine Report'!$C$109:$BD$166,48,FALSE)</f>
        <v>0</v>
      </c>
      <c r="BB48" s="13">
        <f ca="1">VLOOKUP($B48,'[5]Analisys QBR By Machine Report'!$C$109:$BD$166,49,FALSE)</f>
        <v>0</v>
      </c>
      <c r="BC48" s="13">
        <f ca="1">VLOOKUP($B48,'[5]Analisys QBR By Machine Report'!$C$109:$BD$166,50,FALSE)</f>
        <v>30</v>
      </c>
      <c r="BD48" s="13">
        <f ca="1">VLOOKUP($B48,'[5]Analisys QBR By Machine Report'!$C$109:$BD$166,51,FALSE)</f>
        <v>504604</v>
      </c>
      <c r="BE48" s="13">
        <f ca="1">VLOOKUP($B48,'[5]Analisys QBR By Machine Report'!$C$109:$BD$166,52,FALSE)</f>
        <v>74</v>
      </c>
      <c r="BF48" s="13">
        <f ca="1">VLOOKUP($B48,'[5]Analisys QBR By Machine Report'!$C$109:$BD$166,53,FALSE)</f>
        <v>504530</v>
      </c>
    </row>
    <row r="49" spans="1:58" x14ac:dyDescent="0.25">
      <c r="A49" s="9" t="s">
        <v>105</v>
      </c>
      <c r="B49" s="10">
        <f ca="1">VLOOKUP($B49,'[5]Analisys QBR By Machine Report'!$C$109:$BD$166,2,FALSE)</f>
        <v>27360</v>
      </c>
      <c r="C49" s="11">
        <f ca="1">VLOOKUP($B49,[5]Dasboard_QBR_Report!$B$109:$BL$166,3,FALSE)</f>
        <v>9120</v>
      </c>
      <c r="D49" s="10">
        <f ca="1">VLOOKUP($B49,'[5]Analisys QBR By Machine Report'!$C$109:$BD$166,3,FALSE)</f>
        <v>24810</v>
      </c>
      <c r="E49" s="11">
        <f ca="1">VLOOKUP($B49,[5]Dasboard_QBR_Report!$B$109:$BL$166,5,FALSE)</f>
        <v>6570</v>
      </c>
      <c r="F49" s="10">
        <f t="shared" ca="1" si="0"/>
        <v>2550</v>
      </c>
      <c r="G49" s="10">
        <f t="shared" ca="1" si="1"/>
        <v>300</v>
      </c>
      <c r="H49" s="10">
        <f ca="1">VLOOKUP($B49,'[5]Analisys QBR By Machine Report'!$C$109:$BD$166,4,FALSE)</f>
        <v>300</v>
      </c>
      <c r="I49" s="10">
        <f ca="1">VLOOKUP($B49,'[5]Analisys QBR By Machine Report'!$C$109:$BD$166,5,FALSE)</f>
        <v>90</v>
      </c>
      <c r="J49" s="10">
        <f ca="1">VLOOKUP($B49,'[5]Analisys QBR By Machine Report'!$C$109:$BD$166,6,FALSE)</f>
        <v>210</v>
      </c>
      <c r="K49" s="10">
        <f ca="1">VLOOKUP($B49,'[5]Analisys QBR By Machine Report'!$C$109:$BD$166,7,FALSE)</f>
        <v>0</v>
      </c>
      <c r="L49" s="10">
        <f ca="1">VLOOKUP($B49,'[5]Analisys QBR By Machine Report'!$C$109:$BD$166,8,FALSE)</f>
        <v>2250</v>
      </c>
      <c r="M49" s="10">
        <f ca="1">VLOOKUP($B49,'[5]Analisys QBR By Machine Report'!$C$109:$BD$166,9,FALSE)</f>
        <v>625</v>
      </c>
      <c r="N49" s="10">
        <f ca="1">VLOOKUP($B49,[5]Dasboard_QBR_Report!$B$109:$BL$166,18,FALSE)</f>
        <v>1625</v>
      </c>
      <c r="O49" s="10">
        <f ca="1">VLOOKUP($B49,'[5]Analisys QBR By Machine Report'!$C$109:$BD$166,10,FALSE)</f>
        <v>545</v>
      </c>
      <c r="P49" s="10">
        <f ca="1">VLOOKUP($B49,'[5]Analisys QBR By Machine Report'!$C$109:$BD$166,11,FALSE)</f>
        <v>425</v>
      </c>
      <c r="Q49" s="10">
        <f ca="1">VLOOKUP($B49,'[5]Analisys QBR By Machine Report'!$C$109:$BD$166,12,FALSE)</f>
        <v>0</v>
      </c>
      <c r="R49" s="10">
        <f ca="1">VLOOKUP($B49,'[5]Analisys QBR By Machine Report'!$C$109:$BD$166,13,FALSE)</f>
        <v>0</v>
      </c>
      <c r="S49" s="10">
        <f ca="1">VLOOKUP($B49,'[5]Analisys QBR By Machine Report'!$C$109:$BD$166,14,FALSE)</f>
        <v>120</v>
      </c>
      <c r="T49" s="10">
        <f ca="1">VLOOKUP($B49,'[5]Analisys QBR By Machine Report'!$C$109:$BD$166,15,FALSE)</f>
        <v>0</v>
      </c>
      <c r="U49" s="10">
        <f ca="1">VLOOKUP($B49,'[5]Analisys QBR By Machine Report'!$C$109:$BD$166,16,FALSE)</f>
        <v>0</v>
      </c>
      <c r="V49" s="10">
        <f ca="1">VLOOKUP($B49,'[5]Analisys QBR By Machine Report'!$C$109:$BD$166,17,FALSE)</f>
        <v>0</v>
      </c>
      <c r="W49" s="10">
        <f ca="1">VLOOKUP($B49,'[5]Analisys QBR By Machine Report'!$C$109:$BD$166,18,FALSE)</f>
        <v>0</v>
      </c>
      <c r="X49" s="10">
        <f ca="1">VLOOKUP($B49,'[5]Analisys QBR By Machine Report'!$C$109:$BD$166,19,FALSE)</f>
        <v>0</v>
      </c>
      <c r="Y49" s="10">
        <f ca="1">VLOOKUP($B49,'[5]Analisys QBR By Machine Report'!$C$109:$BD$166,20,FALSE)</f>
        <v>0</v>
      </c>
      <c r="Z49" s="10">
        <f ca="1">VLOOKUP($B49,'[5]Analisys QBR By Machine Report'!$C$109:$BD$166,21,FALSE)</f>
        <v>635</v>
      </c>
      <c r="AA49" s="10">
        <f ca="1">VLOOKUP($B49,'[5]Analisys QBR By Machine Report'!$C$109:$BD$166,22,FALSE)</f>
        <v>295</v>
      </c>
      <c r="AB49" s="10">
        <f ca="1">VLOOKUP($B49,'[5]Analisys QBR By Machine Report'!$C$109:$BD$166,23,FALSE)</f>
        <v>165</v>
      </c>
      <c r="AC49" s="10">
        <f ca="1">VLOOKUP($B49,'[5]Analisys QBR By Machine Report'!$C$109:$BD$166,24,FALSE)</f>
        <v>0</v>
      </c>
      <c r="AD49" s="10">
        <f ca="1">VLOOKUP($B49,'[5]Analisys QBR By Machine Report'!$C$109:$BD$166,25,FALSE)</f>
        <v>0</v>
      </c>
      <c r="AE49" s="10">
        <f ca="1">VLOOKUP($B49,'[5]Analisys QBR By Machine Report'!$C$109:$BD$166,26,FALSE)</f>
        <v>175</v>
      </c>
      <c r="AF49" s="10">
        <f ca="1">VLOOKUP($B49,'[5]Analisys QBR By Machine Report'!$C$109:$BD$166,27,FALSE)</f>
        <v>0</v>
      </c>
      <c r="AG49" s="10">
        <f ca="1">VLOOKUP($B49,'[5]Analisys QBR By Machine Report'!$C$109:$BD$166,28,FALSE)</f>
        <v>0</v>
      </c>
      <c r="AH49" s="10">
        <f ca="1">VLOOKUP($B49,'[5]Analisys QBR By Machine Report'!$C$109:$BD$166,29,FALSE)</f>
        <v>0</v>
      </c>
      <c r="AI49" s="10">
        <f ca="1">VLOOKUP($B49,'[5]Analisys QBR By Machine Report'!$C$109:$BD$166,30,FALSE)</f>
        <v>445</v>
      </c>
      <c r="AJ49" s="10">
        <f ca="1">VLOOKUP($B49,'[5]Analisys QBR By Machine Report'!$C$109:$BD$166,31,FALSE)</f>
        <v>40</v>
      </c>
      <c r="AK49" s="10">
        <f ca="1">VLOOKUP($B49,'[5]Analisys QBR By Machine Report'!$C$109:$BD$166,32,FALSE)</f>
        <v>0</v>
      </c>
      <c r="AL49" s="10">
        <f ca="1">VLOOKUP($B49,'[5]Analisys QBR By Machine Report'!$C$109:$BD$166,33,FALSE)</f>
        <v>150</v>
      </c>
      <c r="AM49" s="10">
        <f ca="1">VLOOKUP($B49,'[5]Analisys QBR By Machine Report'!$C$109:$BD$166,34,FALSE)</f>
        <v>0</v>
      </c>
      <c r="AN49" s="10">
        <f ca="1">VLOOKUP($B49,'[5]Analisys QBR By Machine Report'!$C$109:$BD$166,35,FALSE)</f>
        <v>75</v>
      </c>
      <c r="AO49" s="10">
        <f ca="1">VLOOKUP($B49,'[5]Analisys QBR By Machine Report'!$C$109:$BD$166,36,FALSE)</f>
        <v>0</v>
      </c>
      <c r="AP49" s="10">
        <f ca="1">VLOOKUP($B49,'[5]Analisys QBR By Machine Report'!$C$109:$BD$166,37,FALSE)</f>
        <v>0</v>
      </c>
      <c r="AQ49" s="10">
        <f ca="1">VLOOKUP($B49,'[5]Analisys QBR By Machine Report'!$C$109:$BD$166,38,FALSE)</f>
        <v>0</v>
      </c>
      <c r="AR49" s="10">
        <f ca="1">VLOOKUP($B49,'[5]Analisys QBR By Machine Report'!$C$109:$BD$166,39,FALSE)</f>
        <v>0</v>
      </c>
      <c r="AS49" s="10">
        <f ca="1">VLOOKUP($B49,'[5]Analisys QBR By Machine Report'!$C$109:$BD$166,40,FALSE)</f>
        <v>90</v>
      </c>
      <c r="AT49" s="10">
        <f ca="1">VLOOKUP($B49,'[5]Analisys QBR By Machine Report'!$C$109:$BD$166,41,FALSE)</f>
        <v>0</v>
      </c>
      <c r="AU49" s="10">
        <f ca="1">VLOOKUP($B49,'[5]Analisys QBR By Machine Report'!$C$109:$BD$166,42,FALSE)</f>
        <v>0</v>
      </c>
      <c r="AV49" s="10">
        <f ca="1">VLOOKUP($B49,'[5]Analisys QBR By Machine Report'!$C$109:$BD$166,43,FALSE)</f>
        <v>0</v>
      </c>
      <c r="AW49" s="10">
        <f ca="1">VLOOKUP($B49,'[5]Analisys QBR By Machine Report'!$C$109:$BD$166,44,FALSE)</f>
        <v>0</v>
      </c>
      <c r="AX49" s="10">
        <f ca="1">VLOOKUP($B49,'[5]Analisys QBR By Machine Report'!$C$109:$BD$166,45,FALSE)</f>
        <v>0</v>
      </c>
      <c r="AY49" s="10">
        <f ca="1">VLOOKUP($B49,'[5]Analisys QBR By Machine Report'!$C$109:$BD$166,46,FALSE)</f>
        <v>0</v>
      </c>
      <c r="AZ49" s="10">
        <f ca="1">VLOOKUP($B49,'[5]Analisys QBR By Machine Report'!$C$109:$BD$166,47,FALSE)</f>
        <v>90</v>
      </c>
      <c r="BA49" s="10">
        <f ca="1">VLOOKUP($B49,'[5]Analisys QBR By Machine Report'!$C$109:$BD$166,48,FALSE)</f>
        <v>0</v>
      </c>
      <c r="BB49" s="10">
        <f ca="1">VLOOKUP($B49,'[5]Analisys QBR By Machine Report'!$C$109:$BD$166,49,FALSE)</f>
        <v>0</v>
      </c>
      <c r="BC49" s="10">
        <f ca="1">VLOOKUP($B49,'[5]Analisys QBR By Machine Report'!$C$109:$BD$166,50,FALSE)</f>
        <v>0</v>
      </c>
      <c r="BD49" s="10">
        <f ca="1">VLOOKUP($B49,'[5]Analisys QBR By Machine Report'!$C$109:$BD$166,51,FALSE)</f>
        <v>510863</v>
      </c>
      <c r="BE49" s="10">
        <f ca="1">VLOOKUP($B49,'[5]Analisys QBR By Machine Report'!$C$109:$BD$166,52,FALSE)</f>
        <v>2503</v>
      </c>
      <c r="BF49" s="10">
        <f ca="1">VLOOKUP($B49,'[5]Analisys QBR By Machine Report'!$C$109:$BD$166,53,FALSE)</f>
        <v>508360</v>
      </c>
    </row>
    <row r="50" spans="1:58" x14ac:dyDescent="0.25">
      <c r="A50" s="12" t="s">
        <v>106</v>
      </c>
      <c r="B50" s="13">
        <f ca="1">VLOOKUP($B50,'[5]Analisys QBR By Machine Report'!$C$109:$BD$166,2,FALSE)</f>
        <v>27360</v>
      </c>
      <c r="C50" s="14">
        <f ca="1">VLOOKUP($B50,[5]Dasboard_QBR_Report!$B$109:$BL$166,3,FALSE)</f>
        <v>9120</v>
      </c>
      <c r="D50" s="13">
        <f ca="1">VLOOKUP($B50,'[5]Analisys QBR By Machine Report'!$C$109:$BD$166,3,FALSE)</f>
        <v>24810</v>
      </c>
      <c r="E50" s="14">
        <f ca="1">VLOOKUP($B50,[5]Dasboard_QBR_Report!$B$109:$BL$166,5,FALSE)</f>
        <v>6570</v>
      </c>
      <c r="F50" s="13">
        <f t="shared" ca="1" si="0"/>
        <v>2550</v>
      </c>
      <c r="G50" s="13">
        <f t="shared" ca="1" si="1"/>
        <v>300</v>
      </c>
      <c r="H50" s="13">
        <f ca="1">VLOOKUP($B50,'[5]Analisys QBR By Machine Report'!$C$109:$BD$166,4,FALSE)</f>
        <v>300</v>
      </c>
      <c r="I50" s="13">
        <f ca="1">VLOOKUP($B50,'[5]Analisys QBR By Machine Report'!$C$109:$BD$166,5,FALSE)</f>
        <v>90</v>
      </c>
      <c r="J50" s="13">
        <f ca="1">VLOOKUP($B50,'[5]Analisys QBR By Machine Report'!$C$109:$BD$166,6,FALSE)</f>
        <v>210</v>
      </c>
      <c r="K50" s="13">
        <f ca="1">VLOOKUP($B50,'[5]Analisys QBR By Machine Report'!$C$109:$BD$166,7,FALSE)</f>
        <v>0</v>
      </c>
      <c r="L50" s="13">
        <f ca="1">VLOOKUP($B50,'[5]Analisys QBR By Machine Report'!$C$109:$BD$166,8,FALSE)</f>
        <v>2250</v>
      </c>
      <c r="M50" s="13">
        <f ca="1">VLOOKUP($B50,'[5]Analisys QBR By Machine Report'!$C$109:$BD$166,9,FALSE)</f>
        <v>625</v>
      </c>
      <c r="N50" s="13">
        <f ca="1">VLOOKUP($B50,[5]Dasboard_QBR_Report!$B$109:$BL$166,18,FALSE)</f>
        <v>1625</v>
      </c>
      <c r="O50" s="13">
        <f ca="1">VLOOKUP($B50,'[5]Analisys QBR By Machine Report'!$C$109:$BD$166,10,FALSE)</f>
        <v>545</v>
      </c>
      <c r="P50" s="13">
        <f ca="1">VLOOKUP($B50,'[5]Analisys QBR By Machine Report'!$C$109:$BD$166,11,FALSE)</f>
        <v>425</v>
      </c>
      <c r="Q50" s="13">
        <f ca="1">VLOOKUP($B50,'[5]Analisys QBR By Machine Report'!$C$109:$BD$166,12,FALSE)</f>
        <v>0</v>
      </c>
      <c r="R50" s="13">
        <f ca="1">VLOOKUP($B50,'[5]Analisys QBR By Machine Report'!$C$109:$BD$166,13,FALSE)</f>
        <v>0</v>
      </c>
      <c r="S50" s="13">
        <f ca="1">VLOOKUP($B50,'[5]Analisys QBR By Machine Report'!$C$109:$BD$166,14,FALSE)</f>
        <v>120</v>
      </c>
      <c r="T50" s="13">
        <f ca="1">VLOOKUP($B50,'[5]Analisys QBR By Machine Report'!$C$109:$BD$166,15,FALSE)</f>
        <v>0</v>
      </c>
      <c r="U50" s="13">
        <f ca="1">VLOOKUP($B50,'[5]Analisys QBR By Machine Report'!$C$109:$BD$166,16,FALSE)</f>
        <v>0</v>
      </c>
      <c r="V50" s="13">
        <f ca="1">VLOOKUP($B50,'[5]Analisys QBR By Machine Report'!$C$109:$BD$166,17,FALSE)</f>
        <v>0</v>
      </c>
      <c r="W50" s="13">
        <f ca="1">VLOOKUP($B50,'[5]Analisys QBR By Machine Report'!$C$109:$BD$166,18,FALSE)</f>
        <v>0</v>
      </c>
      <c r="X50" s="13">
        <f ca="1">VLOOKUP($B50,'[5]Analisys QBR By Machine Report'!$C$109:$BD$166,19,FALSE)</f>
        <v>0</v>
      </c>
      <c r="Y50" s="13">
        <f ca="1">VLOOKUP($B50,'[5]Analisys QBR By Machine Report'!$C$109:$BD$166,20,FALSE)</f>
        <v>0</v>
      </c>
      <c r="Z50" s="13">
        <f ca="1">VLOOKUP($B50,'[5]Analisys QBR By Machine Report'!$C$109:$BD$166,21,FALSE)</f>
        <v>635</v>
      </c>
      <c r="AA50" s="13">
        <f ca="1">VLOOKUP($B50,'[5]Analisys QBR By Machine Report'!$C$109:$BD$166,22,FALSE)</f>
        <v>295</v>
      </c>
      <c r="AB50" s="13">
        <f ca="1">VLOOKUP($B50,'[5]Analisys QBR By Machine Report'!$C$109:$BD$166,23,FALSE)</f>
        <v>165</v>
      </c>
      <c r="AC50" s="13">
        <f ca="1">VLOOKUP($B50,'[5]Analisys QBR By Machine Report'!$C$109:$BD$166,24,FALSE)</f>
        <v>0</v>
      </c>
      <c r="AD50" s="13">
        <f ca="1">VLOOKUP($B50,'[5]Analisys QBR By Machine Report'!$C$109:$BD$166,25,FALSE)</f>
        <v>0</v>
      </c>
      <c r="AE50" s="13">
        <f ca="1">VLOOKUP($B50,'[5]Analisys QBR By Machine Report'!$C$109:$BD$166,26,FALSE)</f>
        <v>175</v>
      </c>
      <c r="AF50" s="13">
        <f ca="1">VLOOKUP($B50,'[5]Analisys QBR By Machine Report'!$C$109:$BD$166,27,FALSE)</f>
        <v>0</v>
      </c>
      <c r="AG50" s="13">
        <f ca="1">VLOOKUP($B50,'[5]Analisys QBR By Machine Report'!$C$109:$BD$166,28,FALSE)</f>
        <v>0</v>
      </c>
      <c r="AH50" s="13">
        <f ca="1">VLOOKUP($B50,'[5]Analisys QBR By Machine Report'!$C$109:$BD$166,29,FALSE)</f>
        <v>0</v>
      </c>
      <c r="AI50" s="13">
        <f ca="1">VLOOKUP($B50,'[5]Analisys QBR By Machine Report'!$C$109:$BD$166,30,FALSE)</f>
        <v>445</v>
      </c>
      <c r="AJ50" s="13">
        <f ca="1">VLOOKUP($B50,'[5]Analisys QBR By Machine Report'!$C$109:$BD$166,31,FALSE)</f>
        <v>40</v>
      </c>
      <c r="AK50" s="13">
        <f ca="1">VLOOKUP($B50,'[5]Analisys QBR By Machine Report'!$C$109:$BD$166,32,FALSE)</f>
        <v>0</v>
      </c>
      <c r="AL50" s="13">
        <f ca="1">VLOOKUP($B50,'[5]Analisys QBR By Machine Report'!$C$109:$BD$166,33,FALSE)</f>
        <v>150</v>
      </c>
      <c r="AM50" s="13">
        <f ca="1">VLOOKUP($B50,'[5]Analisys QBR By Machine Report'!$C$109:$BD$166,34,FALSE)</f>
        <v>0</v>
      </c>
      <c r="AN50" s="13">
        <f ca="1">VLOOKUP($B50,'[5]Analisys QBR By Machine Report'!$C$109:$BD$166,35,FALSE)</f>
        <v>75</v>
      </c>
      <c r="AO50" s="13">
        <f ca="1">VLOOKUP($B50,'[5]Analisys QBR By Machine Report'!$C$109:$BD$166,36,FALSE)</f>
        <v>0</v>
      </c>
      <c r="AP50" s="13">
        <f ca="1">VLOOKUP($B50,'[5]Analisys QBR By Machine Report'!$C$109:$BD$166,37,FALSE)</f>
        <v>0</v>
      </c>
      <c r="AQ50" s="13">
        <f ca="1">VLOOKUP($B50,'[5]Analisys QBR By Machine Report'!$C$109:$BD$166,38,FALSE)</f>
        <v>0</v>
      </c>
      <c r="AR50" s="13">
        <f ca="1">VLOOKUP($B50,'[5]Analisys QBR By Machine Report'!$C$109:$BD$166,39,FALSE)</f>
        <v>0</v>
      </c>
      <c r="AS50" s="13">
        <f ca="1">VLOOKUP($B50,'[5]Analisys QBR By Machine Report'!$C$109:$BD$166,40,FALSE)</f>
        <v>90</v>
      </c>
      <c r="AT50" s="13">
        <f ca="1">VLOOKUP($B50,'[5]Analisys QBR By Machine Report'!$C$109:$BD$166,41,FALSE)</f>
        <v>0</v>
      </c>
      <c r="AU50" s="13">
        <f ca="1">VLOOKUP($B50,'[5]Analisys QBR By Machine Report'!$C$109:$BD$166,42,FALSE)</f>
        <v>0</v>
      </c>
      <c r="AV50" s="13">
        <f ca="1">VLOOKUP($B50,'[5]Analisys QBR By Machine Report'!$C$109:$BD$166,43,FALSE)</f>
        <v>0</v>
      </c>
      <c r="AW50" s="13">
        <f ca="1">VLOOKUP($B50,'[5]Analisys QBR By Machine Report'!$C$109:$BD$166,44,FALSE)</f>
        <v>0</v>
      </c>
      <c r="AX50" s="13">
        <f ca="1">VLOOKUP($B50,'[5]Analisys QBR By Machine Report'!$C$109:$BD$166,45,FALSE)</f>
        <v>0</v>
      </c>
      <c r="AY50" s="13">
        <f ca="1">VLOOKUP($B50,'[5]Analisys QBR By Machine Report'!$C$109:$BD$166,46,FALSE)</f>
        <v>0</v>
      </c>
      <c r="AZ50" s="13">
        <f ca="1">VLOOKUP($B50,'[5]Analisys QBR By Machine Report'!$C$109:$BD$166,47,FALSE)</f>
        <v>90</v>
      </c>
      <c r="BA50" s="13">
        <f ca="1">VLOOKUP($B50,'[5]Analisys QBR By Machine Report'!$C$109:$BD$166,48,FALSE)</f>
        <v>0</v>
      </c>
      <c r="BB50" s="13">
        <f ca="1">VLOOKUP($B50,'[5]Analisys QBR By Machine Report'!$C$109:$BD$166,49,FALSE)</f>
        <v>0</v>
      </c>
      <c r="BC50" s="13">
        <f ca="1">VLOOKUP($B50,'[5]Analisys QBR By Machine Report'!$C$109:$BD$166,50,FALSE)</f>
        <v>0</v>
      </c>
      <c r="BD50" s="13">
        <f ca="1">VLOOKUP($B50,'[5]Analisys QBR By Machine Report'!$C$109:$BD$166,51,FALSE)</f>
        <v>510863</v>
      </c>
      <c r="BE50" s="13">
        <f ca="1">VLOOKUP($B50,'[5]Analisys QBR By Machine Report'!$C$109:$BD$166,52,FALSE)</f>
        <v>2503</v>
      </c>
      <c r="BF50" s="13">
        <f ca="1">VLOOKUP($B50,'[5]Analisys QBR By Machine Report'!$C$109:$BD$166,53,FALSE)</f>
        <v>508360</v>
      </c>
    </row>
    <row r="51" spans="1:58" x14ac:dyDescent="0.25">
      <c r="A51" s="9" t="s">
        <v>107</v>
      </c>
      <c r="B51" s="10">
        <f ca="1">VLOOKUP($B51,'[5]Analisys QBR By Machine Report'!$C$109:$BD$166,2,FALSE)</f>
        <v>27360</v>
      </c>
      <c r="C51" s="11">
        <f ca="1">VLOOKUP($B51,[5]Dasboard_QBR_Report!$B$109:$BL$166,3,FALSE)</f>
        <v>17670</v>
      </c>
      <c r="D51" s="10">
        <f ca="1">VLOOKUP($B51,'[5]Analisys QBR By Machine Report'!$C$109:$BD$166,3,FALSE)</f>
        <v>20850</v>
      </c>
      <c r="E51" s="11">
        <f ca="1">VLOOKUP($B51,[5]Dasboard_QBR_Report!$B$109:$BL$166,5,FALSE)</f>
        <v>11160</v>
      </c>
      <c r="F51" s="10">
        <f t="shared" ca="1" si="0"/>
        <v>6510</v>
      </c>
      <c r="G51" s="10">
        <f t="shared" ca="1" si="1"/>
        <v>620</v>
      </c>
      <c r="H51" s="10">
        <f ca="1">VLOOKUP($B51,'[5]Analisys QBR By Machine Report'!$C$109:$BD$166,4,FALSE)</f>
        <v>620</v>
      </c>
      <c r="I51" s="10">
        <f ca="1">VLOOKUP($B51,'[5]Analisys QBR By Machine Report'!$C$109:$BD$166,5,FALSE)</f>
        <v>0</v>
      </c>
      <c r="J51" s="10">
        <f ca="1">VLOOKUP($B51,'[5]Analisys QBR By Machine Report'!$C$109:$BD$166,6,FALSE)</f>
        <v>620</v>
      </c>
      <c r="K51" s="10">
        <f ca="1">VLOOKUP($B51,'[5]Analisys QBR By Machine Report'!$C$109:$BD$166,7,FALSE)</f>
        <v>0</v>
      </c>
      <c r="L51" s="10">
        <f ca="1">VLOOKUP($B51,'[5]Analisys QBR By Machine Report'!$C$109:$BD$166,8,FALSE)</f>
        <v>5890</v>
      </c>
      <c r="M51" s="10">
        <f ca="1">VLOOKUP($B51,'[5]Analisys QBR By Machine Report'!$C$109:$BD$166,9,FALSE)</f>
        <v>2219</v>
      </c>
      <c r="N51" s="10">
        <f ca="1">VLOOKUP($B51,[5]Dasboard_QBR_Report!$B$109:$BL$166,18,FALSE)</f>
        <v>3671</v>
      </c>
      <c r="O51" s="10">
        <f ca="1">VLOOKUP($B51,'[5]Analisys QBR By Machine Report'!$C$109:$BD$166,10,FALSE)</f>
        <v>555</v>
      </c>
      <c r="P51" s="10">
        <f ca="1">VLOOKUP($B51,'[5]Analisys QBR By Machine Report'!$C$109:$BD$166,11,FALSE)</f>
        <v>450</v>
      </c>
      <c r="Q51" s="10">
        <f ca="1">VLOOKUP($B51,'[5]Analisys QBR By Machine Report'!$C$109:$BD$166,12,FALSE)</f>
        <v>0</v>
      </c>
      <c r="R51" s="10">
        <f ca="1">VLOOKUP($B51,'[5]Analisys QBR By Machine Report'!$C$109:$BD$166,13,FALSE)</f>
        <v>105</v>
      </c>
      <c r="S51" s="10">
        <f ca="1">VLOOKUP($B51,'[5]Analisys QBR By Machine Report'!$C$109:$BD$166,14,FALSE)</f>
        <v>0</v>
      </c>
      <c r="T51" s="10">
        <f ca="1">VLOOKUP($B51,'[5]Analisys QBR By Machine Report'!$C$109:$BD$166,15,FALSE)</f>
        <v>276</v>
      </c>
      <c r="U51" s="10">
        <f ca="1">VLOOKUP($B51,'[5]Analisys QBR By Machine Report'!$C$109:$BD$166,16,FALSE)</f>
        <v>247</v>
      </c>
      <c r="V51" s="10">
        <f ca="1">VLOOKUP($B51,'[5]Analisys QBR By Machine Report'!$C$109:$BD$166,17,FALSE)</f>
        <v>0</v>
      </c>
      <c r="W51" s="10">
        <f ca="1">VLOOKUP($B51,'[5]Analisys QBR By Machine Report'!$C$109:$BD$166,18,FALSE)</f>
        <v>0</v>
      </c>
      <c r="X51" s="10">
        <f ca="1">VLOOKUP($B51,'[5]Analisys QBR By Machine Report'!$C$109:$BD$166,19,FALSE)</f>
        <v>29</v>
      </c>
      <c r="Y51" s="10">
        <f ca="1">VLOOKUP($B51,'[5]Analisys QBR By Machine Report'!$C$109:$BD$166,20,FALSE)</f>
        <v>0</v>
      </c>
      <c r="Z51" s="10">
        <f ca="1">VLOOKUP($B51,'[5]Analisys QBR By Machine Report'!$C$109:$BD$166,21,FALSE)</f>
        <v>2015</v>
      </c>
      <c r="AA51" s="10">
        <f ca="1">VLOOKUP($B51,'[5]Analisys QBR By Machine Report'!$C$109:$BD$166,22,FALSE)</f>
        <v>686</v>
      </c>
      <c r="AB51" s="10">
        <f ca="1">VLOOKUP($B51,'[5]Analisys QBR By Machine Report'!$C$109:$BD$166,23,FALSE)</f>
        <v>1329</v>
      </c>
      <c r="AC51" s="10">
        <f ca="1">VLOOKUP($B51,'[5]Analisys QBR By Machine Report'!$C$109:$BD$166,24,FALSE)</f>
        <v>0</v>
      </c>
      <c r="AD51" s="10">
        <f ca="1">VLOOKUP($B51,'[5]Analisys QBR By Machine Report'!$C$109:$BD$166,25,FALSE)</f>
        <v>0</v>
      </c>
      <c r="AE51" s="10">
        <f ca="1">VLOOKUP($B51,'[5]Analisys QBR By Machine Report'!$C$109:$BD$166,26,FALSE)</f>
        <v>0</v>
      </c>
      <c r="AF51" s="10">
        <f ca="1">VLOOKUP($B51,'[5]Analisys QBR By Machine Report'!$C$109:$BD$166,27,FALSE)</f>
        <v>0</v>
      </c>
      <c r="AG51" s="10">
        <f ca="1">VLOOKUP($B51,'[5]Analisys QBR By Machine Report'!$C$109:$BD$166,28,FALSE)</f>
        <v>0</v>
      </c>
      <c r="AH51" s="10">
        <f ca="1">VLOOKUP($B51,'[5]Analisys QBR By Machine Report'!$C$109:$BD$166,29,FALSE)</f>
        <v>0</v>
      </c>
      <c r="AI51" s="10">
        <f ca="1">VLOOKUP($B51,'[5]Analisys QBR By Machine Report'!$C$109:$BD$166,30,FALSE)</f>
        <v>825</v>
      </c>
      <c r="AJ51" s="10">
        <f ca="1">VLOOKUP($B51,'[5]Analisys QBR By Machine Report'!$C$109:$BD$166,31,FALSE)</f>
        <v>0</v>
      </c>
      <c r="AK51" s="10">
        <f ca="1">VLOOKUP($B51,'[5]Analisys QBR By Machine Report'!$C$109:$BD$166,32,FALSE)</f>
        <v>0</v>
      </c>
      <c r="AL51" s="10">
        <f ca="1">VLOOKUP($B51,'[5]Analisys QBR By Machine Report'!$C$109:$BD$166,33,FALSE)</f>
        <v>365</v>
      </c>
      <c r="AM51" s="10">
        <f ca="1">VLOOKUP($B51,'[5]Analisys QBR By Machine Report'!$C$109:$BD$166,34,FALSE)</f>
        <v>35</v>
      </c>
      <c r="AN51" s="10">
        <f ca="1">VLOOKUP($B51,'[5]Analisys QBR By Machine Report'!$C$109:$BD$166,35,FALSE)</f>
        <v>205</v>
      </c>
      <c r="AO51" s="10">
        <f ca="1">VLOOKUP($B51,'[5]Analisys QBR By Machine Report'!$C$109:$BD$166,36,FALSE)</f>
        <v>0</v>
      </c>
      <c r="AP51" s="10">
        <f ca="1">VLOOKUP($B51,'[5]Analisys QBR By Machine Report'!$C$109:$BD$166,37,FALSE)</f>
        <v>0</v>
      </c>
      <c r="AQ51" s="10">
        <f ca="1">VLOOKUP($B51,'[5]Analisys QBR By Machine Report'!$C$109:$BD$166,38,FALSE)</f>
        <v>90</v>
      </c>
      <c r="AR51" s="10">
        <f ca="1">VLOOKUP($B51,'[5]Analisys QBR By Machine Report'!$C$109:$BD$166,39,FALSE)</f>
        <v>0</v>
      </c>
      <c r="AS51" s="10">
        <f ca="1">VLOOKUP($B51,'[5]Analisys QBR By Machine Report'!$C$109:$BD$166,40,FALSE)</f>
        <v>115</v>
      </c>
      <c r="AT51" s="10">
        <f ca="1">VLOOKUP($B51,'[5]Analisys QBR By Machine Report'!$C$109:$BD$166,41,FALSE)</f>
        <v>0</v>
      </c>
      <c r="AU51" s="10">
        <f ca="1">VLOOKUP($B51,'[5]Analisys QBR By Machine Report'!$C$109:$BD$166,42,FALSE)</f>
        <v>0</v>
      </c>
      <c r="AV51" s="10">
        <f ca="1">VLOOKUP($B51,'[5]Analisys QBR By Machine Report'!$C$109:$BD$166,43,FALSE)</f>
        <v>0</v>
      </c>
      <c r="AW51" s="10">
        <f ca="1">VLOOKUP($B51,'[5]Analisys QBR By Machine Report'!$C$109:$BD$166,44,FALSE)</f>
        <v>0</v>
      </c>
      <c r="AX51" s="10">
        <f ca="1">VLOOKUP($B51,'[5]Analisys QBR By Machine Report'!$C$109:$BD$166,45,FALSE)</f>
        <v>0</v>
      </c>
      <c r="AY51" s="10">
        <f ca="1">VLOOKUP($B51,'[5]Analisys QBR By Machine Report'!$C$109:$BD$166,46,FALSE)</f>
        <v>0</v>
      </c>
      <c r="AZ51" s="10">
        <f ca="1">VLOOKUP($B51,'[5]Analisys QBR By Machine Report'!$C$109:$BD$166,47,FALSE)</f>
        <v>15</v>
      </c>
      <c r="BA51" s="10">
        <f ca="1">VLOOKUP($B51,'[5]Analisys QBR By Machine Report'!$C$109:$BD$166,48,FALSE)</f>
        <v>0</v>
      </c>
      <c r="BB51" s="10">
        <f ca="1">VLOOKUP($B51,'[5]Analisys QBR By Machine Report'!$C$109:$BD$166,49,FALSE)</f>
        <v>0</v>
      </c>
      <c r="BC51" s="10">
        <f ca="1">VLOOKUP($B51,'[5]Analisys QBR By Machine Report'!$C$109:$BD$166,50,FALSE)</f>
        <v>0</v>
      </c>
      <c r="BD51" s="10">
        <f ca="1">VLOOKUP($B51,'[5]Analisys QBR By Machine Report'!$C$109:$BD$166,51,FALSE)</f>
        <v>315026</v>
      </c>
      <c r="BE51" s="10">
        <f ca="1">VLOOKUP($B51,'[5]Analisys QBR By Machine Report'!$C$109:$BD$166,52,FALSE)</f>
        <v>5</v>
      </c>
      <c r="BF51" s="10">
        <f ca="1">VLOOKUP($B51,'[5]Analisys QBR By Machine Report'!$C$109:$BD$166,53,FALSE)</f>
        <v>315021</v>
      </c>
    </row>
    <row r="52" spans="1:58" x14ac:dyDescent="0.25">
      <c r="A52" s="12" t="s">
        <v>108</v>
      </c>
      <c r="B52" s="13">
        <f ca="1">VLOOKUP($B52,'[5]Analisys QBR By Machine Report'!$C$109:$BD$166,2,FALSE)</f>
        <v>27360</v>
      </c>
      <c r="C52" s="14">
        <f ca="1">VLOOKUP($B52,[5]Dasboard_QBR_Report!$B$109:$BL$166,3,FALSE)</f>
        <v>17670</v>
      </c>
      <c r="D52" s="13">
        <f ca="1">VLOOKUP($B52,'[5]Analisys QBR By Machine Report'!$C$109:$BD$166,3,FALSE)</f>
        <v>20850</v>
      </c>
      <c r="E52" s="14">
        <f ca="1">VLOOKUP($B52,[5]Dasboard_QBR_Report!$B$109:$BL$166,5,FALSE)</f>
        <v>11160</v>
      </c>
      <c r="F52" s="13">
        <f t="shared" ca="1" si="0"/>
        <v>6510</v>
      </c>
      <c r="G52" s="13">
        <f t="shared" ca="1" si="1"/>
        <v>620</v>
      </c>
      <c r="H52" s="13">
        <f ca="1">VLOOKUP($B52,'[5]Analisys QBR By Machine Report'!$C$109:$BD$166,4,FALSE)</f>
        <v>620</v>
      </c>
      <c r="I52" s="13">
        <f ca="1">VLOOKUP($B52,'[5]Analisys QBR By Machine Report'!$C$109:$BD$166,5,FALSE)</f>
        <v>0</v>
      </c>
      <c r="J52" s="13">
        <f ca="1">VLOOKUP($B52,'[5]Analisys QBR By Machine Report'!$C$109:$BD$166,6,FALSE)</f>
        <v>620</v>
      </c>
      <c r="K52" s="13">
        <f ca="1">VLOOKUP($B52,'[5]Analisys QBR By Machine Report'!$C$109:$BD$166,7,FALSE)</f>
        <v>0</v>
      </c>
      <c r="L52" s="13">
        <f ca="1">VLOOKUP($B52,'[5]Analisys QBR By Machine Report'!$C$109:$BD$166,8,FALSE)</f>
        <v>5890</v>
      </c>
      <c r="M52" s="13">
        <f ca="1">VLOOKUP($B52,'[5]Analisys QBR By Machine Report'!$C$109:$BD$166,9,FALSE)</f>
        <v>2219</v>
      </c>
      <c r="N52" s="13">
        <f ca="1">VLOOKUP($B52,[5]Dasboard_QBR_Report!$B$109:$BL$166,18,FALSE)</f>
        <v>3671</v>
      </c>
      <c r="O52" s="13">
        <f ca="1">VLOOKUP($B52,'[5]Analisys QBR By Machine Report'!$C$109:$BD$166,10,FALSE)</f>
        <v>555</v>
      </c>
      <c r="P52" s="13">
        <f ca="1">VLOOKUP($B52,'[5]Analisys QBR By Machine Report'!$C$109:$BD$166,11,FALSE)</f>
        <v>450</v>
      </c>
      <c r="Q52" s="13">
        <f ca="1">VLOOKUP($B52,'[5]Analisys QBR By Machine Report'!$C$109:$BD$166,12,FALSE)</f>
        <v>0</v>
      </c>
      <c r="R52" s="13">
        <f ca="1">VLOOKUP($B52,'[5]Analisys QBR By Machine Report'!$C$109:$BD$166,13,FALSE)</f>
        <v>105</v>
      </c>
      <c r="S52" s="13">
        <f ca="1">VLOOKUP($B52,'[5]Analisys QBR By Machine Report'!$C$109:$BD$166,14,FALSE)</f>
        <v>0</v>
      </c>
      <c r="T52" s="13">
        <f ca="1">VLOOKUP($B52,'[5]Analisys QBR By Machine Report'!$C$109:$BD$166,15,FALSE)</f>
        <v>276</v>
      </c>
      <c r="U52" s="13">
        <f ca="1">VLOOKUP($B52,'[5]Analisys QBR By Machine Report'!$C$109:$BD$166,16,FALSE)</f>
        <v>247</v>
      </c>
      <c r="V52" s="13">
        <f ca="1">VLOOKUP($B52,'[5]Analisys QBR By Machine Report'!$C$109:$BD$166,17,FALSE)</f>
        <v>0</v>
      </c>
      <c r="W52" s="13">
        <f ca="1">VLOOKUP($B52,'[5]Analisys QBR By Machine Report'!$C$109:$BD$166,18,FALSE)</f>
        <v>0</v>
      </c>
      <c r="X52" s="13">
        <f ca="1">VLOOKUP($B52,'[5]Analisys QBR By Machine Report'!$C$109:$BD$166,19,FALSE)</f>
        <v>29</v>
      </c>
      <c r="Y52" s="13">
        <f ca="1">VLOOKUP($B52,'[5]Analisys QBR By Machine Report'!$C$109:$BD$166,20,FALSE)</f>
        <v>0</v>
      </c>
      <c r="Z52" s="13">
        <f ca="1">VLOOKUP($B52,'[5]Analisys QBR By Machine Report'!$C$109:$BD$166,21,FALSE)</f>
        <v>2015</v>
      </c>
      <c r="AA52" s="13">
        <f ca="1">VLOOKUP($B52,'[5]Analisys QBR By Machine Report'!$C$109:$BD$166,22,FALSE)</f>
        <v>686</v>
      </c>
      <c r="AB52" s="13">
        <f ca="1">VLOOKUP($B52,'[5]Analisys QBR By Machine Report'!$C$109:$BD$166,23,FALSE)</f>
        <v>1329</v>
      </c>
      <c r="AC52" s="13">
        <f ca="1">VLOOKUP($B52,'[5]Analisys QBR By Machine Report'!$C$109:$BD$166,24,FALSE)</f>
        <v>0</v>
      </c>
      <c r="AD52" s="13">
        <f ca="1">VLOOKUP($B52,'[5]Analisys QBR By Machine Report'!$C$109:$BD$166,25,FALSE)</f>
        <v>0</v>
      </c>
      <c r="AE52" s="13">
        <f ca="1">VLOOKUP($B52,'[5]Analisys QBR By Machine Report'!$C$109:$BD$166,26,FALSE)</f>
        <v>0</v>
      </c>
      <c r="AF52" s="13">
        <f ca="1">VLOOKUP($B52,'[5]Analisys QBR By Machine Report'!$C$109:$BD$166,27,FALSE)</f>
        <v>0</v>
      </c>
      <c r="AG52" s="13">
        <f ca="1">VLOOKUP($B52,'[5]Analisys QBR By Machine Report'!$C$109:$BD$166,28,FALSE)</f>
        <v>0</v>
      </c>
      <c r="AH52" s="13">
        <f ca="1">VLOOKUP($B52,'[5]Analisys QBR By Machine Report'!$C$109:$BD$166,29,FALSE)</f>
        <v>0</v>
      </c>
      <c r="AI52" s="13">
        <f ca="1">VLOOKUP($B52,'[5]Analisys QBR By Machine Report'!$C$109:$BD$166,30,FALSE)</f>
        <v>825</v>
      </c>
      <c r="AJ52" s="13">
        <f ca="1">VLOOKUP($B52,'[5]Analisys QBR By Machine Report'!$C$109:$BD$166,31,FALSE)</f>
        <v>0</v>
      </c>
      <c r="AK52" s="13">
        <f ca="1">VLOOKUP($B52,'[5]Analisys QBR By Machine Report'!$C$109:$BD$166,32,FALSE)</f>
        <v>0</v>
      </c>
      <c r="AL52" s="13">
        <f ca="1">VLOOKUP($B52,'[5]Analisys QBR By Machine Report'!$C$109:$BD$166,33,FALSE)</f>
        <v>365</v>
      </c>
      <c r="AM52" s="13">
        <f ca="1">VLOOKUP($B52,'[5]Analisys QBR By Machine Report'!$C$109:$BD$166,34,FALSE)</f>
        <v>35</v>
      </c>
      <c r="AN52" s="13">
        <f ca="1">VLOOKUP($B52,'[5]Analisys QBR By Machine Report'!$C$109:$BD$166,35,FALSE)</f>
        <v>205</v>
      </c>
      <c r="AO52" s="13">
        <f ca="1">VLOOKUP($B52,'[5]Analisys QBR By Machine Report'!$C$109:$BD$166,36,FALSE)</f>
        <v>0</v>
      </c>
      <c r="AP52" s="13">
        <f ca="1">VLOOKUP($B52,'[5]Analisys QBR By Machine Report'!$C$109:$BD$166,37,FALSE)</f>
        <v>0</v>
      </c>
      <c r="AQ52" s="13">
        <f ca="1">VLOOKUP($B52,'[5]Analisys QBR By Machine Report'!$C$109:$BD$166,38,FALSE)</f>
        <v>90</v>
      </c>
      <c r="AR52" s="13">
        <f ca="1">VLOOKUP($B52,'[5]Analisys QBR By Machine Report'!$C$109:$BD$166,39,FALSE)</f>
        <v>0</v>
      </c>
      <c r="AS52" s="13">
        <f ca="1">VLOOKUP($B52,'[5]Analisys QBR By Machine Report'!$C$109:$BD$166,40,FALSE)</f>
        <v>115</v>
      </c>
      <c r="AT52" s="13">
        <f ca="1">VLOOKUP($B52,'[5]Analisys QBR By Machine Report'!$C$109:$BD$166,41,FALSE)</f>
        <v>0</v>
      </c>
      <c r="AU52" s="13">
        <f ca="1">VLOOKUP($B52,'[5]Analisys QBR By Machine Report'!$C$109:$BD$166,42,FALSE)</f>
        <v>0</v>
      </c>
      <c r="AV52" s="13">
        <f ca="1">VLOOKUP($B52,'[5]Analisys QBR By Machine Report'!$C$109:$BD$166,43,FALSE)</f>
        <v>0</v>
      </c>
      <c r="AW52" s="13">
        <f ca="1">VLOOKUP($B52,'[5]Analisys QBR By Machine Report'!$C$109:$BD$166,44,FALSE)</f>
        <v>0</v>
      </c>
      <c r="AX52" s="13">
        <f ca="1">VLOOKUP($B52,'[5]Analisys QBR By Machine Report'!$C$109:$BD$166,45,FALSE)</f>
        <v>0</v>
      </c>
      <c r="AY52" s="13">
        <f ca="1">VLOOKUP($B52,'[5]Analisys QBR By Machine Report'!$C$109:$BD$166,46,FALSE)</f>
        <v>0</v>
      </c>
      <c r="AZ52" s="13">
        <f ca="1">VLOOKUP($B52,'[5]Analisys QBR By Machine Report'!$C$109:$BD$166,47,FALSE)</f>
        <v>15</v>
      </c>
      <c r="BA52" s="13">
        <f ca="1">VLOOKUP($B52,'[5]Analisys QBR By Machine Report'!$C$109:$BD$166,48,FALSE)</f>
        <v>0</v>
      </c>
      <c r="BB52" s="13">
        <f ca="1">VLOOKUP($B52,'[5]Analisys QBR By Machine Report'!$C$109:$BD$166,49,FALSE)</f>
        <v>0</v>
      </c>
      <c r="BC52" s="13">
        <f ca="1">VLOOKUP($B52,'[5]Analisys QBR By Machine Report'!$C$109:$BD$166,50,FALSE)</f>
        <v>0</v>
      </c>
      <c r="BD52" s="13">
        <f ca="1">VLOOKUP($B52,'[5]Analisys QBR By Machine Report'!$C$109:$BD$166,51,FALSE)</f>
        <v>315026</v>
      </c>
      <c r="BE52" s="13">
        <f ca="1">VLOOKUP($B52,'[5]Analisys QBR By Machine Report'!$C$109:$BD$166,52,FALSE)</f>
        <v>5</v>
      </c>
      <c r="BF52" s="13">
        <f ca="1">VLOOKUP($B52,'[5]Analisys QBR By Machine Report'!$C$109:$BD$166,53,FALSE)</f>
        <v>315021</v>
      </c>
    </row>
    <row r="53" spans="1:58" x14ac:dyDescent="0.25">
      <c r="A53" s="9" t="s">
        <v>109</v>
      </c>
      <c r="B53" s="10">
        <f ca="1">VLOOKUP($B53,'[5]Analisys QBR By Machine Report'!$C$109:$BD$166,2,FALSE)</f>
        <v>57600</v>
      </c>
      <c r="C53" s="11">
        <f ca="1">VLOOKUP($B53,[5]Dasboard_QBR_Report!$B$109:$BL$166,3,FALSE)</f>
        <v>37200</v>
      </c>
      <c r="D53" s="10">
        <f ca="1">VLOOKUP($B53,'[5]Analisys QBR By Machine Report'!$C$109:$BD$166,3,FALSE)</f>
        <v>44010</v>
      </c>
      <c r="E53" s="11">
        <f ca="1">VLOOKUP($B53,[5]Dasboard_QBR_Report!$B$109:$BL$166,5,FALSE)</f>
        <v>23610</v>
      </c>
      <c r="F53" s="10">
        <f t="shared" ca="1" si="0"/>
        <v>13590</v>
      </c>
      <c r="G53" s="10">
        <f t="shared" ca="1" si="1"/>
        <v>1118</v>
      </c>
      <c r="H53" s="10">
        <f ca="1">VLOOKUP($B53,'[5]Analisys QBR By Machine Report'!$C$109:$BD$166,4,FALSE)</f>
        <v>1118</v>
      </c>
      <c r="I53" s="10">
        <f ca="1">VLOOKUP($B53,'[5]Analisys QBR By Machine Report'!$C$109:$BD$166,5,FALSE)</f>
        <v>311</v>
      </c>
      <c r="J53" s="10">
        <f ca="1">VLOOKUP($B53,'[5]Analisys QBR By Machine Report'!$C$109:$BD$166,6,FALSE)</f>
        <v>807</v>
      </c>
      <c r="K53" s="10">
        <f ca="1">VLOOKUP($B53,'[5]Analisys QBR By Machine Report'!$C$109:$BD$166,7,FALSE)</f>
        <v>0</v>
      </c>
      <c r="L53" s="10">
        <f ca="1">VLOOKUP($B53,'[5]Analisys QBR By Machine Report'!$C$109:$BD$166,8,FALSE)</f>
        <v>12472</v>
      </c>
      <c r="M53" s="10">
        <f ca="1">VLOOKUP($B53,'[5]Analisys QBR By Machine Report'!$C$109:$BD$166,9,FALSE)</f>
        <v>5284</v>
      </c>
      <c r="N53" s="10">
        <f ca="1">VLOOKUP($B53,[5]Dasboard_QBR_Report!$B$109:$BL$166,18,FALSE)</f>
        <v>7188</v>
      </c>
      <c r="O53" s="10">
        <f ca="1">VLOOKUP($B53,'[5]Analisys QBR By Machine Report'!$C$109:$BD$166,10,FALSE)</f>
        <v>568</v>
      </c>
      <c r="P53" s="10">
        <f ca="1">VLOOKUP($B53,'[5]Analisys QBR By Machine Report'!$C$109:$BD$166,11,FALSE)</f>
        <v>468</v>
      </c>
      <c r="Q53" s="10">
        <f ca="1">VLOOKUP($B53,'[5]Analisys QBR By Machine Report'!$C$109:$BD$166,12,FALSE)</f>
        <v>0</v>
      </c>
      <c r="R53" s="10">
        <f ca="1">VLOOKUP($B53,'[5]Analisys QBR By Machine Report'!$C$109:$BD$166,13,FALSE)</f>
        <v>100</v>
      </c>
      <c r="S53" s="10">
        <f ca="1">VLOOKUP($B53,'[5]Analisys QBR By Machine Report'!$C$109:$BD$166,14,FALSE)</f>
        <v>0</v>
      </c>
      <c r="T53" s="10">
        <f ca="1">VLOOKUP($B53,'[5]Analisys QBR By Machine Report'!$C$109:$BD$166,15,FALSE)</f>
        <v>220</v>
      </c>
      <c r="U53" s="10">
        <f ca="1">VLOOKUP($B53,'[5]Analisys QBR By Machine Report'!$C$109:$BD$166,16,FALSE)</f>
        <v>212</v>
      </c>
      <c r="V53" s="10">
        <f ca="1">VLOOKUP($B53,'[5]Analisys QBR By Machine Report'!$C$109:$BD$166,17,FALSE)</f>
        <v>8</v>
      </c>
      <c r="W53" s="10">
        <f ca="1">VLOOKUP($B53,'[5]Analisys QBR By Machine Report'!$C$109:$BD$166,18,FALSE)</f>
        <v>0</v>
      </c>
      <c r="X53" s="10">
        <f ca="1">VLOOKUP($B53,'[5]Analisys QBR By Machine Report'!$C$109:$BD$166,19,FALSE)</f>
        <v>0</v>
      </c>
      <c r="Y53" s="10">
        <f ca="1">VLOOKUP($B53,'[5]Analisys QBR By Machine Report'!$C$109:$BD$166,20,FALSE)</f>
        <v>0</v>
      </c>
      <c r="Z53" s="10">
        <f ca="1">VLOOKUP($B53,'[5]Analisys QBR By Machine Report'!$C$109:$BD$166,21,FALSE)</f>
        <v>3311</v>
      </c>
      <c r="AA53" s="10">
        <f ca="1">VLOOKUP($B53,'[5]Analisys QBR By Machine Report'!$C$109:$BD$166,22,FALSE)</f>
        <v>2685</v>
      </c>
      <c r="AB53" s="10">
        <f ca="1">VLOOKUP($B53,'[5]Analisys QBR By Machine Report'!$C$109:$BD$166,23,FALSE)</f>
        <v>626</v>
      </c>
      <c r="AC53" s="10">
        <f ca="1">VLOOKUP($B53,'[5]Analisys QBR By Machine Report'!$C$109:$BD$166,24,FALSE)</f>
        <v>0</v>
      </c>
      <c r="AD53" s="10">
        <f ca="1">VLOOKUP($B53,'[5]Analisys QBR By Machine Report'!$C$109:$BD$166,25,FALSE)</f>
        <v>0</v>
      </c>
      <c r="AE53" s="10">
        <f ca="1">VLOOKUP($B53,'[5]Analisys QBR By Machine Report'!$C$109:$BD$166,26,FALSE)</f>
        <v>0</v>
      </c>
      <c r="AF53" s="10">
        <f ca="1">VLOOKUP($B53,'[5]Analisys QBR By Machine Report'!$C$109:$BD$166,27,FALSE)</f>
        <v>0</v>
      </c>
      <c r="AG53" s="10">
        <f ca="1">VLOOKUP($B53,'[5]Analisys QBR By Machine Report'!$C$109:$BD$166,28,FALSE)</f>
        <v>0</v>
      </c>
      <c r="AH53" s="10">
        <f ca="1">VLOOKUP($B53,'[5]Analisys QBR By Machine Report'!$C$109:$BD$166,29,FALSE)</f>
        <v>0</v>
      </c>
      <c r="AI53" s="10">
        <f ca="1">VLOOKUP($B53,'[5]Analisys QBR By Machine Report'!$C$109:$BD$166,30,FALSE)</f>
        <v>3089</v>
      </c>
      <c r="AJ53" s="10">
        <f ca="1">VLOOKUP($B53,'[5]Analisys QBR By Machine Report'!$C$109:$BD$166,31,FALSE)</f>
        <v>0</v>
      </c>
      <c r="AK53" s="10">
        <f ca="1">VLOOKUP($B53,'[5]Analisys QBR By Machine Report'!$C$109:$BD$166,32,FALSE)</f>
        <v>0</v>
      </c>
      <c r="AL53" s="10">
        <f ca="1">VLOOKUP($B53,'[5]Analisys QBR By Machine Report'!$C$109:$BD$166,33,FALSE)</f>
        <v>0</v>
      </c>
      <c r="AM53" s="10">
        <f ca="1">VLOOKUP($B53,'[5]Analisys QBR By Machine Report'!$C$109:$BD$166,34,FALSE)</f>
        <v>0</v>
      </c>
      <c r="AN53" s="10">
        <f ca="1">VLOOKUP($B53,'[5]Analisys QBR By Machine Report'!$C$109:$BD$166,35,FALSE)</f>
        <v>0</v>
      </c>
      <c r="AO53" s="10">
        <f ca="1">VLOOKUP($B53,'[5]Analisys QBR By Machine Report'!$C$109:$BD$166,36,FALSE)</f>
        <v>0</v>
      </c>
      <c r="AP53" s="10">
        <f ca="1">VLOOKUP($B53,'[5]Analisys QBR By Machine Report'!$C$109:$BD$166,37,FALSE)</f>
        <v>0</v>
      </c>
      <c r="AQ53" s="10">
        <f ca="1">VLOOKUP($B53,'[5]Analisys QBR By Machine Report'!$C$109:$BD$166,38,FALSE)</f>
        <v>100</v>
      </c>
      <c r="AR53" s="10">
        <f ca="1">VLOOKUP($B53,'[5]Analisys QBR By Machine Report'!$C$109:$BD$166,39,FALSE)</f>
        <v>2989</v>
      </c>
      <c r="AS53" s="10">
        <f ca="1">VLOOKUP($B53,'[5]Analisys QBR By Machine Report'!$C$109:$BD$166,40,FALSE)</f>
        <v>0</v>
      </c>
      <c r="AT53" s="10">
        <f ca="1">VLOOKUP($B53,'[5]Analisys QBR By Machine Report'!$C$109:$BD$166,41,FALSE)</f>
        <v>0</v>
      </c>
      <c r="AU53" s="10">
        <f ca="1">VLOOKUP($B53,'[5]Analisys QBR By Machine Report'!$C$109:$BD$166,42,FALSE)</f>
        <v>0</v>
      </c>
      <c r="AV53" s="10">
        <f ca="1">VLOOKUP($B53,'[5]Analisys QBR By Machine Report'!$C$109:$BD$166,43,FALSE)</f>
        <v>0</v>
      </c>
      <c r="AW53" s="10">
        <f ca="1">VLOOKUP($B53,'[5]Analisys QBR By Machine Report'!$C$109:$BD$166,44,FALSE)</f>
        <v>0</v>
      </c>
      <c r="AX53" s="10">
        <f ca="1">VLOOKUP($B53,'[5]Analisys QBR By Machine Report'!$C$109:$BD$166,45,FALSE)</f>
        <v>0</v>
      </c>
      <c r="AY53" s="10">
        <f ca="1">VLOOKUP($B53,'[5]Analisys QBR By Machine Report'!$C$109:$BD$166,46,FALSE)</f>
        <v>0</v>
      </c>
      <c r="AZ53" s="10">
        <f ca="1">VLOOKUP($B53,'[5]Analisys QBR By Machine Report'!$C$109:$BD$166,47,FALSE)</f>
        <v>0</v>
      </c>
      <c r="BA53" s="10">
        <f ca="1">VLOOKUP($B53,'[5]Analisys QBR By Machine Report'!$C$109:$BD$166,48,FALSE)</f>
        <v>0</v>
      </c>
      <c r="BB53" s="10">
        <f ca="1">VLOOKUP($B53,'[5]Analisys QBR By Machine Report'!$C$109:$BD$166,49,FALSE)</f>
        <v>0</v>
      </c>
      <c r="BC53" s="10">
        <f ca="1">VLOOKUP($B53,'[5]Analisys QBR By Machine Report'!$C$109:$BD$166,50,FALSE)</f>
        <v>0</v>
      </c>
      <c r="BD53" s="10">
        <f ca="1">VLOOKUP($B53,'[5]Analisys QBR By Machine Report'!$C$109:$BD$166,51,FALSE)</f>
        <v>520</v>
      </c>
      <c r="BE53" s="10">
        <f ca="1">VLOOKUP($B53,'[5]Analisys QBR By Machine Report'!$C$109:$BD$166,52,FALSE)</f>
        <v>0</v>
      </c>
      <c r="BF53" s="10">
        <f ca="1">VLOOKUP($B53,'[5]Analisys QBR By Machine Report'!$C$109:$BD$166,53,FALSE)</f>
        <v>520</v>
      </c>
    </row>
    <row r="54" spans="1:58" x14ac:dyDescent="0.25">
      <c r="A54" s="12" t="s">
        <v>110</v>
      </c>
      <c r="B54" s="13">
        <f ca="1">VLOOKUP($B54,'[5]Analisys QBR By Machine Report'!$C$109:$BD$166,2,FALSE)</f>
        <v>28800</v>
      </c>
      <c r="C54" s="14">
        <f ca="1">VLOOKUP($B54,[5]Dasboard_QBR_Report!$B$109:$BL$166,3,FALSE)</f>
        <v>18600</v>
      </c>
      <c r="D54" s="13">
        <f ca="1">VLOOKUP($B54,'[5]Analisys QBR By Machine Report'!$C$109:$BD$166,3,FALSE)</f>
        <v>21780</v>
      </c>
      <c r="E54" s="14">
        <f ca="1">VLOOKUP($B54,[5]Dasboard_QBR_Report!$B$109:$BL$166,5,FALSE)</f>
        <v>11580</v>
      </c>
      <c r="F54" s="13">
        <f t="shared" ca="1" si="0"/>
        <v>7020</v>
      </c>
      <c r="G54" s="13">
        <f t="shared" ca="1" si="1"/>
        <v>577</v>
      </c>
      <c r="H54" s="13">
        <f ca="1">VLOOKUP($B54,'[5]Analisys QBR By Machine Report'!$C$109:$BD$166,4,FALSE)</f>
        <v>577</v>
      </c>
      <c r="I54" s="13">
        <f ca="1">VLOOKUP($B54,'[5]Analisys QBR By Machine Report'!$C$109:$BD$166,5,FALSE)</f>
        <v>75</v>
      </c>
      <c r="J54" s="13">
        <f ca="1">VLOOKUP($B54,'[5]Analisys QBR By Machine Report'!$C$109:$BD$166,6,FALSE)</f>
        <v>502</v>
      </c>
      <c r="K54" s="13">
        <f ca="1">VLOOKUP($B54,'[5]Analisys QBR By Machine Report'!$C$109:$BD$166,7,FALSE)</f>
        <v>0</v>
      </c>
      <c r="L54" s="13">
        <f ca="1">VLOOKUP($B54,'[5]Analisys QBR By Machine Report'!$C$109:$BD$166,8,FALSE)</f>
        <v>6443</v>
      </c>
      <c r="M54" s="13">
        <f ca="1">VLOOKUP($B54,'[5]Analisys QBR By Machine Report'!$C$109:$BD$166,9,FALSE)</f>
        <v>3272</v>
      </c>
      <c r="N54" s="13">
        <f ca="1">VLOOKUP($B54,[5]Dasboard_QBR_Report!$B$109:$BL$166,18,FALSE)</f>
        <v>3171</v>
      </c>
      <c r="O54" s="13">
        <f ca="1">VLOOKUP($B54,'[5]Analisys QBR By Machine Report'!$C$109:$BD$166,10,FALSE)</f>
        <v>261</v>
      </c>
      <c r="P54" s="13">
        <f ca="1">VLOOKUP($B54,'[5]Analisys QBR By Machine Report'!$C$109:$BD$166,11,FALSE)</f>
        <v>221</v>
      </c>
      <c r="Q54" s="13">
        <f ca="1">VLOOKUP($B54,'[5]Analisys QBR By Machine Report'!$C$109:$BD$166,12,FALSE)</f>
        <v>0</v>
      </c>
      <c r="R54" s="13">
        <f ca="1">VLOOKUP($B54,'[5]Analisys QBR By Machine Report'!$C$109:$BD$166,13,FALSE)</f>
        <v>40</v>
      </c>
      <c r="S54" s="13">
        <f ca="1">VLOOKUP($B54,'[5]Analisys QBR By Machine Report'!$C$109:$BD$166,14,FALSE)</f>
        <v>0</v>
      </c>
      <c r="T54" s="13">
        <f ca="1">VLOOKUP($B54,'[5]Analisys QBR By Machine Report'!$C$109:$BD$166,15,FALSE)</f>
        <v>220</v>
      </c>
      <c r="U54" s="13">
        <f ca="1">VLOOKUP($B54,'[5]Analisys QBR By Machine Report'!$C$109:$BD$166,16,FALSE)</f>
        <v>212</v>
      </c>
      <c r="V54" s="13">
        <f ca="1">VLOOKUP($B54,'[5]Analisys QBR By Machine Report'!$C$109:$BD$166,17,FALSE)</f>
        <v>8</v>
      </c>
      <c r="W54" s="13">
        <f ca="1">VLOOKUP($B54,'[5]Analisys QBR By Machine Report'!$C$109:$BD$166,18,FALSE)</f>
        <v>0</v>
      </c>
      <c r="X54" s="13">
        <f ca="1">VLOOKUP($B54,'[5]Analisys QBR By Machine Report'!$C$109:$BD$166,19,FALSE)</f>
        <v>0</v>
      </c>
      <c r="Y54" s="13">
        <f ca="1">VLOOKUP($B54,'[5]Analisys QBR By Machine Report'!$C$109:$BD$166,20,FALSE)</f>
        <v>0</v>
      </c>
      <c r="Z54" s="13">
        <f ca="1">VLOOKUP($B54,'[5]Analisys QBR By Machine Report'!$C$109:$BD$166,21,FALSE)</f>
        <v>2175</v>
      </c>
      <c r="AA54" s="13">
        <f ca="1">VLOOKUP($B54,'[5]Analisys QBR By Machine Report'!$C$109:$BD$166,22,FALSE)</f>
        <v>1980</v>
      </c>
      <c r="AB54" s="13">
        <f ca="1">VLOOKUP($B54,'[5]Analisys QBR By Machine Report'!$C$109:$BD$166,23,FALSE)</f>
        <v>195</v>
      </c>
      <c r="AC54" s="13">
        <f ca="1">VLOOKUP($B54,'[5]Analisys QBR By Machine Report'!$C$109:$BD$166,24,FALSE)</f>
        <v>0</v>
      </c>
      <c r="AD54" s="13">
        <f ca="1">VLOOKUP($B54,'[5]Analisys QBR By Machine Report'!$C$109:$BD$166,25,FALSE)</f>
        <v>0</v>
      </c>
      <c r="AE54" s="13">
        <f ca="1">VLOOKUP($B54,'[5]Analisys QBR By Machine Report'!$C$109:$BD$166,26,FALSE)</f>
        <v>0</v>
      </c>
      <c r="AF54" s="13">
        <f ca="1">VLOOKUP($B54,'[5]Analisys QBR By Machine Report'!$C$109:$BD$166,27,FALSE)</f>
        <v>0</v>
      </c>
      <c r="AG54" s="13">
        <f ca="1">VLOOKUP($B54,'[5]Analisys QBR By Machine Report'!$C$109:$BD$166,28,FALSE)</f>
        <v>0</v>
      </c>
      <c r="AH54" s="13">
        <f ca="1">VLOOKUP($B54,'[5]Analisys QBR By Machine Report'!$C$109:$BD$166,29,FALSE)</f>
        <v>0</v>
      </c>
      <c r="AI54" s="13">
        <f ca="1">VLOOKUP($B54,'[5]Analisys QBR By Machine Report'!$C$109:$BD$166,30,FALSE)</f>
        <v>515</v>
      </c>
      <c r="AJ54" s="13">
        <f ca="1">VLOOKUP($B54,'[5]Analisys QBR By Machine Report'!$C$109:$BD$166,31,FALSE)</f>
        <v>0</v>
      </c>
      <c r="AK54" s="13">
        <f ca="1">VLOOKUP($B54,'[5]Analisys QBR By Machine Report'!$C$109:$BD$166,32,FALSE)</f>
        <v>0</v>
      </c>
      <c r="AL54" s="13">
        <f ca="1">VLOOKUP($B54,'[5]Analisys QBR By Machine Report'!$C$109:$BD$166,33,FALSE)</f>
        <v>0</v>
      </c>
      <c r="AM54" s="13">
        <f ca="1">VLOOKUP($B54,'[5]Analisys QBR By Machine Report'!$C$109:$BD$166,34,FALSE)</f>
        <v>0</v>
      </c>
      <c r="AN54" s="13">
        <f ca="1">VLOOKUP($B54,'[5]Analisys QBR By Machine Report'!$C$109:$BD$166,35,FALSE)</f>
        <v>0</v>
      </c>
      <c r="AO54" s="13">
        <f ca="1">VLOOKUP($B54,'[5]Analisys QBR By Machine Report'!$C$109:$BD$166,36,FALSE)</f>
        <v>0</v>
      </c>
      <c r="AP54" s="13">
        <f ca="1">VLOOKUP($B54,'[5]Analisys QBR By Machine Report'!$C$109:$BD$166,37,FALSE)</f>
        <v>0</v>
      </c>
      <c r="AQ54" s="13">
        <f ca="1">VLOOKUP($B54,'[5]Analisys QBR By Machine Report'!$C$109:$BD$166,38,FALSE)</f>
        <v>40</v>
      </c>
      <c r="AR54" s="13">
        <f ca="1">VLOOKUP($B54,'[5]Analisys QBR By Machine Report'!$C$109:$BD$166,39,FALSE)</f>
        <v>475</v>
      </c>
      <c r="AS54" s="13">
        <f ca="1">VLOOKUP($B54,'[5]Analisys QBR By Machine Report'!$C$109:$BD$166,40,FALSE)</f>
        <v>0</v>
      </c>
      <c r="AT54" s="13">
        <f ca="1">VLOOKUP($B54,'[5]Analisys QBR By Machine Report'!$C$109:$BD$166,41,FALSE)</f>
        <v>0</v>
      </c>
      <c r="AU54" s="13">
        <f ca="1">VLOOKUP($B54,'[5]Analisys QBR By Machine Report'!$C$109:$BD$166,42,FALSE)</f>
        <v>0</v>
      </c>
      <c r="AV54" s="13">
        <f ca="1">VLOOKUP($B54,'[5]Analisys QBR By Machine Report'!$C$109:$BD$166,43,FALSE)</f>
        <v>0</v>
      </c>
      <c r="AW54" s="13">
        <f ca="1">VLOOKUP($B54,'[5]Analisys QBR By Machine Report'!$C$109:$BD$166,44,FALSE)</f>
        <v>0</v>
      </c>
      <c r="AX54" s="13">
        <f ca="1">VLOOKUP($B54,'[5]Analisys QBR By Machine Report'!$C$109:$BD$166,45,FALSE)</f>
        <v>0</v>
      </c>
      <c r="AY54" s="13">
        <f ca="1">VLOOKUP($B54,'[5]Analisys QBR By Machine Report'!$C$109:$BD$166,46,FALSE)</f>
        <v>0</v>
      </c>
      <c r="AZ54" s="13">
        <f ca="1">VLOOKUP($B54,'[5]Analisys QBR By Machine Report'!$C$109:$BD$166,47,FALSE)</f>
        <v>0</v>
      </c>
      <c r="BA54" s="13">
        <f ca="1">VLOOKUP($B54,'[5]Analisys QBR By Machine Report'!$C$109:$BD$166,48,FALSE)</f>
        <v>0</v>
      </c>
      <c r="BB54" s="13">
        <f ca="1">VLOOKUP($B54,'[5]Analisys QBR By Machine Report'!$C$109:$BD$166,49,FALSE)</f>
        <v>0</v>
      </c>
      <c r="BC54" s="13">
        <f ca="1">VLOOKUP($B54,'[5]Analisys QBR By Machine Report'!$C$109:$BD$166,50,FALSE)</f>
        <v>0</v>
      </c>
      <c r="BD54" s="13">
        <f ca="1">VLOOKUP($B54,'[5]Analisys QBR By Machine Report'!$C$109:$BD$166,51,FALSE)</f>
        <v>341</v>
      </c>
      <c r="BE54" s="13">
        <f ca="1">VLOOKUP($B54,'[5]Analisys QBR By Machine Report'!$C$109:$BD$166,52,FALSE)</f>
        <v>0</v>
      </c>
      <c r="BF54" s="13">
        <f ca="1">VLOOKUP($B54,'[5]Analisys QBR By Machine Report'!$C$109:$BD$166,53,FALSE)</f>
        <v>341</v>
      </c>
    </row>
    <row r="55" spans="1:58" x14ac:dyDescent="0.25">
      <c r="A55" s="12" t="s">
        <v>111</v>
      </c>
      <c r="B55" s="13">
        <f ca="1">VLOOKUP($B55,'[5]Analisys QBR By Machine Report'!$C$109:$BD$166,2,FALSE)</f>
        <v>28800</v>
      </c>
      <c r="C55" s="14">
        <f ca="1">VLOOKUP($B55,[5]Dasboard_QBR_Report!$B$109:$BL$166,3,FALSE)</f>
        <v>18600</v>
      </c>
      <c r="D55" s="13">
        <f ca="1">VLOOKUP($B55,'[5]Analisys QBR By Machine Report'!$C$109:$BD$166,3,FALSE)</f>
        <v>22230</v>
      </c>
      <c r="E55" s="14">
        <f ca="1">VLOOKUP($B55,[5]Dasboard_QBR_Report!$B$109:$BL$166,5,FALSE)</f>
        <v>12030</v>
      </c>
      <c r="F55" s="13">
        <f t="shared" ca="1" si="0"/>
        <v>6570</v>
      </c>
      <c r="G55" s="13">
        <f t="shared" ca="1" si="1"/>
        <v>541</v>
      </c>
      <c r="H55" s="13">
        <f ca="1">VLOOKUP($B55,'[5]Analisys QBR By Machine Report'!$C$109:$BD$166,4,FALSE)</f>
        <v>541</v>
      </c>
      <c r="I55" s="13">
        <f ca="1">VLOOKUP($B55,'[5]Analisys QBR By Machine Report'!$C$109:$BD$166,5,FALSE)</f>
        <v>236</v>
      </c>
      <c r="J55" s="13">
        <f ca="1">VLOOKUP($B55,'[5]Analisys QBR By Machine Report'!$C$109:$BD$166,6,FALSE)</f>
        <v>305</v>
      </c>
      <c r="K55" s="13">
        <f ca="1">VLOOKUP($B55,'[5]Analisys QBR By Machine Report'!$C$109:$BD$166,7,FALSE)</f>
        <v>0</v>
      </c>
      <c r="L55" s="13">
        <f ca="1">VLOOKUP($B55,'[5]Analisys QBR By Machine Report'!$C$109:$BD$166,8,FALSE)</f>
        <v>6029</v>
      </c>
      <c r="M55" s="13">
        <f ca="1">VLOOKUP($B55,'[5]Analisys QBR By Machine Report'!$C$109:$BD$166,9,FALSE)</f>
        <v>2012</v>
      </c>
      <c r="N55" s="13">
        <f ca="1">VLOOKUP($B55,[5]Dasboard_QBR_Report!$B$109:$BL$166,18,FALSE)</f>
        <v>4017</v>
      </c>
      <c r="O55" s="13">
        <f ca="1">VLOOKUP($B55,'[5]Analisys QBR By Machine Report'!$C$109:$BD$166,10,FALSE)</f>
        <v>307</v>
      </c>
      <c r="P55" s="13">
        <f ca="1">VLOOKUP($B55,'[5]Analisys QBR By Machine Report'!$C$109:$BD$166,11,FALSE)</f>
        <v>247</v>
      </c>
      <c r="Q55" s="13">
        <f ca="1">VLOOKUP($B55,'[5]Analisys QBR By Machine Report'!$C$109:$BD$166,12,FALSE)</f>
        <v>0</v>
      </c>
      <c r="R55" s="13">
        <f ca="1">VLOOKUP($B55,'[5]Analisys QBR By Machine Report'!$C$109:$BD$166,13,FALSE)</f>
        <v>60</v>
      </c>
      <c r="S55" s="13">
        <f ca="1">VLOOKUP($B55,'[5]Analisys QBR By Machine Report'!$C$109:$BD$166,14,FALSE)</f>
        <v>0</v>
      </c>
      <c r="T55" s="13">
        <f ca="1">VLOOKUP($B55,'[5]Analisys QBR By Machine Report'!$C$109:$BD$166,15,FALSE)</f>
        <v>0</v>
      </c>
      <c r="U55" s="13">
        <f ca="1">VLOOKUP($B55,'[5]Analisys QBR By Machine Report'!$C$109:$BD$166,16,FALSE)</f>
        <v>0</v>
      </c>
      <c r="V55" s="13">
        <f ca="1">VLOOKUP($B55,'[5]Analisys QBR By Machine Report'!$C$109:$BD$166,17,FALSE)</f>
        <v>0</v>
      </c>
      <c r="W55" s="13">
        <f ca="1">VLOOKUP($B55,'[5]Analisys QBR By Machine Report'!$C$109:$BD$166,18,FALSE)</f>
        <v>0</v>
      </c>
      <c r="X55" s="13">
        <f ca="1">VLOOKUP($B55,'[5]Analisys QBR By Machine Report'!$C$109:$BD$166,19,FALSE)</f>
        <v>0</v>
      </c>
      <c r="Y55" s="13">
        <f ca="1">VLOOKUP($B55,'[5]Analisys QBR By Machine Report'!$C$109:$BD$166,20,FALSE)</f>
        <v>0</v>
      </c>
      <c r="Z55" s="13">
        <f ca="1">VLOOKUP($B55,'[5]Analisys QBR By Machine Report'!$C$109:$BD$166,21,FALSE)</f>
        <v>1136</v>
      </c>
      <c r="AA55" s="13">
        <f ca="1">VLOOKUP($B55,'[5]Analisys QBR By Machine Report'!$C$109:$BD$166,22,FALSE)</f>
        <v>705</v>
      </c>
      <c r="AB55" s="13">
        <f ca="1">VLOOKUP($B55,'[5]Analisys QBR By Machine Report'!$C$109:$BD$166,23,FALSE)</f>
        <v>431</v>
      </c>
      <c r="AC55" s="13">
        <f ca="1">VLOOKUP($B55,'[5]Analisys QBR By Machine Report'!$C$109:$BD$166,24,FALSE)</f>
        <v>0</v>
      </c>
      <c r="AD55" s="13">
        <f ca="1">VLOOKUP($B55,'[5]Analisys QBR By Machine Report'!$C$109:$BD$166,25,FALSE)</f>
        <v>0</v>
      </c>
      <c r="AE55" s="13">
        <f ca="1">VLOOKUP($B55,'[5]Analisys QBR By Machine Report'!$C$109:$BD$166,26,FALSE)</f>
        <v>0</v>
      </c>
      <c r="AF55" s="13">
        <f ca="1">VLOOKUP($B55,'[5]Analisys QBR By Machine Report'!$C$109:$BD$166,27,FALSE)</f>
        <v>0</v>
      </c>
      <c r="AG55" s="13">
        <f ca="1">VLOOKUP($B55,'[5]Analisys QBR By Machine Report'!$C$109:$BD$166,28,FALSE)</f>
        <v>0</v>
      </c>
      <c r="AH55" s="13">
        <f ca="1">VLOOKUP($B55,'[5]Analisys QBR By Machine Report'!$C$109:$BD$166,29,FALSE)</f>
        <v>0</v>
      </c>
      <c r="AI55" s="13">
        <f ca="1">VLOOKUP($B55,'[5]Analisys QBR By Machine Report'!$C$109:$BD$166,30,FALSE)</f>
        <v>2574</v>
      </c>
      <c r="AJ55" s="13">
        <f ca="1">VLOOKUP($B55,'[5]Analisys QBR By Machine Report'!$C$109:$BD$166,31,FALSE)</f>
        <v>0</v>
      </c>
      <c r="AK55" s="13">
        <f ca="1">VLOOKUP($B55,'[5]Analisys QBR By Machine Report'!$C$109:$BD$166,32,FALSE)</f>
        <v>0</v>
      </c>
      <c r="AL55" s="13">
        <f ca="1">VLOOKUP($B55,'[5]Analisys QBR By Machine Report'!$C$109:$BD$166,33,FALSE)</f>
        <v>0</v>
      </c>
      <c r="AM55" s="13">
        <f ca="1">VLOOKUP($B55,'[5]Analisys QBR By Machine Report'!$C$109:$BD$166,34,FALSE)</f>
        <v>0</v>
      </c>
      <c r="AN55" s="13">
        <f ca="1">VLOOKUP($B55,'[5]Analisys QBR By Machine Report'!$C$109:$BD$166,35,FALSE)</f>
        <v>0</v>
      </c>
      <c r="AO55" s="13">
        <f ca="1">VLOOKUP($B55,'[5]Analisys QBR By Machine Report'!$C$109:$BD$166,36,FALSE)</f>
        <v>0</v>
      </c>
      <c r="AP55" s="13">
        <f ca="1">VLOOKUP($B55,'[5]Analisys QBR By Machine Report'!$C$109:$BD$166,37,FALSE)</f>
        <v>0</v>
      </c>
      <c r="AQ55" s="13">
        <f ca="1">VLOOKUP($B55,'[5]Analisys QBR By Machine Report'!$C$109:$BD$166,38,FALSE)</f>
        <v>60</v>
      </c>
      <c r="AR55" s="13">
        <f ca="1">VLOOKUP($B55,'[5]Analisys QBR By Machine Report'!$C$109:$BD$166,39,FALSE)</f>
        <v>2514</v>
      </c>
      <c r="AS55" s="13">
        <f ca="1">VLOOKUP($B55,'[5]Analisys QBR By Machine Report'!$C$109:$BD$166,40,FALSE)</f>
        <v>0</v>
      </c>
      <c r="AT55" s="13">
        <f ca="1">VLOOKUP($B55,'[5]Analisys QBR By Machine Report'!$C$109:$BD$166,41,FALSE)</f>
        <v>0</v>
      </c>
      <c r="AU55" s="13">
        <f ca="1">VLOOKUP($B55,'[5]Analisys QBR By Machine Report'!$C$109:$BD$166,42,FALSE)</f>
        <v>0</v>
      </c>
      <c r="AV55" s="13">
        <f ca="1">VLOOKUP($B55,'[5]Analisys QBR By Machine Report'!$C$109:$BD$166,43,FALSE)</f>
        <v>0</v>
      </c>
      <c r="AW55" s="13">
        <f ca="1">VLOOKUP($B55,'[5]Analisys QBR By Machine Report'!$C$109:$BD$166,44,FALSE)</f>
        <v>0</v>
      </c>
      <c r="AX55" s="13">
        <f ca="1">VLOOKUP($B55,'[5]Analisys QBR By Machine Report'!$C$109:$BD$166,45,FALSE)</f>
        <v>0</v>
      </c>
      <c r="AY55" s="13">
        <f ca="1">VLOOKUP($B55,'[5]Analisys QBR By Machine Report'!$C$109:$BD$166,46,FALSE)</f>
        <v>0</v>
      </c>
      <c r="AZ55" s="13">
        <f ca="1">VLOOKUP($B55,'[5]Analisys QBR By Machine Report'!$C$109:$BD$166,47,FALSE)</f>
        <v>0</v>
      </c>
      <c r="BA55" s="13">
        <f ca="1">VLOOKUP($B55,'[5]Analisys QBR By Machine Report'!$C$109:$BD$166,48,FALSE)</f>
        <v>0</v>
      </c>
      <c r="BB55" s="13">
        <f ca="1">VLOOKUP($B55,'[5]Analisys QBR By Machine Report'!$C$109:$BD$166,49,FALSE)</f>
        <v>0</v>
      </c>
      <c r="BC55" s="13">
        <f ca="1">VLOOKUP($B55,'[5]Analisys QBR By Machine Report'!$C$109:$BD$166,50,FALSE)</f>
        <v>0</v>
      </c>
      <c r="BD55" s="13">
        <f ca="1">VLOOKUP($B55,'[5]Analisys QBR By Machine Report'!$C$109:$BD$166,51,FALSE)</f>
        <v>179</v>
      </c>
      <c r="BE55" s="13">
        <f ca="1">VLOOKUP($B55,'[5]Analisys QBR By Machine Report'!$C$109:$BD$166,52,FALSE)</f>
        <v>0</v>
      </c>
      <c r="BF55" s="13">
        <f ca="1">VLOOKUP($B55,'[5]Analisys QBR By Machine Report'!$C$109:$BD$166,53,FALSE)</f>
        <v>179</v>
      </c>
    </row>
    <row r="56" spans="1:58" x14ac:dyDescent="0.25">
      <c r="A56" s="9" t="s">
        <v>112</v>
      </c>
      <c r="B56" s="10">
        <f ca="1">VLOOKUP($B56,'[5]Analisys QBR By Machine Report'!$C$109:$BD$166,2,FALSE)</f>
        <v>54720</v>
      </c>
      <c r="C56" s="11">
        <f ca="1">VLOOKUP($B56,[5]Dasboard_QBR_Report!$B$109:$BL$166,3,FALSE)</f>
        <v>18240</v>
      </c>
      <c r="D56" s="10">
        <f ca="1">VLOOKUP($B56,'[5]Analisys QBR By Machine Report'!$C$109:$BD$166,3,FALSE)</f>
        <v>33240</v>
      </c>
      <c r="E56" s="11">
        <f ca="1">VLOOKUP($B56,[5]Dasboard_QBR_Report!$B$109:$BL$166,5,FALSE)</f>
        <v>-3240</v>
      </c>
      <c r="F56" s="10">
        <f t="shared" ca="1" si="0"/>
        <v>21480</v>
      </c>
      <c r="G56" s="10">
        <f t="shared" ca="1" si="1"/>
        <v>1315</v>
      </c>
      <c r="H56" s="10">
        <f ca="1">VLOOKUP($B56,'[5]Analisys QBR By Machine Report'!$C$109:$BD$166,4,FALSE)</f>
        <v>1315</v>
      </c>
      <c r="I56" s="10">
        <f ca="1">VLOOKUP($B56,'[5]Analisys QBR By Machine Report'!$C$109:$BD$166,5,FALSE)</f>
        <v>365</v>
      </c>
      <c r="J56" s="10">
        <f ca="1">VLOOKUP($B56,'[5]Analisys QBR By Machine Report'!$C$109:$BD$166,6,FALSE)</f>
        <v>950</v>
      </c>
      <c r="K56" s="10">
        <f ca="1">VLOOKUP($B56,'[5]Analisys QBR By Machine Report'!$C$109:$BD$166,7,FALSE)</f>
        <v>0</v>
      </c>
      <c r="L56" s="10">
        <f ca="1">VLOOKUP($B56,'[5]Analisys QBR By Machine Report'!$C$109:$BD$166,8,FALSE)</f>
        <v>20165</v>
      </c>
      <c r="M56" s="10">
        <f ca="1">VLOOKUP($B56,'[5]Analisys QBR By Machine Report'!$C$109:$BD$166,9,FALSE)</f>
        <v>7520</v>
      </c>
      <c r="N56" s="10">
        <f ca="1">VLOOKUP($B56,[5]Dasboard_QBR_Report!$B$109:$BL$166,18,FALSE)</f>
        <v>12645</v>
      </c>
      <c r="O56" s="10">
        <f ca="1">VLOOKUP($B56,'[5]Analisys QBR By Machine Report'!$C$109:$BD$166,10,FALSE)</f>
        <v>4732</v>
      </c>
      <c r="P56" s="10">
        <f ca="1">VLOOKUP($B56,'[5]Analisys QBR By Machine Report'!$C$109:$BD$166,11,FALSE)</f>
        <v>2707</v>
      </c>
      <c r="Q56" s="10">
        <f ca="1">VLOOKUP($B56,'[5]Analisys QBR By Machine Report'!$C$109:$BD$166,12,FALSE)</f>
        <v>170</v>
      </c>
      <c r="R56" s="10">
        <f ca="1">VLOOKUP($B56,'[5]Analisys QBR By Machine Report'!$C$109:$BD$166,13,FALSE)</f>
        <v>260</v>
      </c>
      <c r="S56" s="10">
        <f ca="1">VLOOKUP($B56,'[5]Analisys QBR By Machine Report'!$C$109:$BD$166,14,FALSE)</f>
        <v>1595</v>
      </c>
      <c r="T56" s="10">
        <f ca="1">VLOOKUP($B56,'[5]Analisys QBR By Machine Report'!$C$109:$BD$166,15,FALSE)</f>
        <v>350</v>
      </c>
      <c r="U56" s="10">
        <f ca="1">VLOOKUP($B56,'[5]Analisys QBR By Machine Report'!$C$109:$BD$166,16,FALSE)</f>
        <v>270</v>
      </c>
      <c r="V56" s="10">
        <f ca="1">VLOOKUP($B56,'[5]Analisys QBR By Machine Report'!$C$109:$BD$166,17,FALSE)</f>
        <v>80</v>
      </c>
      <c r="W56" s="10">
        <f ca="1">VLOOKUP($B56,'[5]Analisys QBR By Machine Report'!$C$109:$BD$166,18,FALSE)</f>
        <v>0</v>
      </c>
      <c r="X56" s="10">
        <f ca="1">VLOOKUP($B56,'[5]Analisys QBR By Machine Report'!$C$109:$BD$166,19,FALSE)</f>
        <v>0</v>
      </c>
      <c r="Y56" s="10">
        <f ca="1">VLOOKUP($B56,'[5]Analisys QBR By Machine Report'!$C$109:$BD$166,20,FALSE)</f>
        <v>0</v>
      </c>
      <c r="Z56" s="10">
        <f ca="1">VLOOKUP($B56,'[5]Analisys QBR By Machine Report'!$C$109:$BD$166,21,FALSE)</f>
        <v>3130</v>
      </c>
      <c r="AA56" s="10">
        <f ca="1">VLOOKUP($B56,'[5]Analisys QBR By Machine Report'!$C$109:$BD$166,22,FALSE)</f>
        <v>1830</v>
      </c>
      <c r="AB56" s="10">
        <f ca="1">VLOOKUP($B56,'[5]Analisys QBR By Machine Report'!$C$109:$BD$166,23,FALSE)</f>
        <v>700</v>
      </c>
      <c r="AC56" s="10">
        <f ca="1">VLOOKUP($B56,'[5]Analisys QBR By Machine Report'!$C$109:$BD$166,24,FALSE)</f>
        <v>365</v>
      </c>
      <c r="AD56" s="10">
        <f ca="1">VLOOKUP($B56,'[5]Analisys QBR By Machine Report'!$C$109:$BD$166,25,FALSE)</f>
        <v>0</v>
      </c>
      <c r="AE56" s="10">
        <f ca="1">VLOOKUP($B56,'[5]Analisys QBR By Machine Report'!$C$109:$BD$166,26,FALSE)</f>
        <v>235</v>
      </c>
      <c r="AF56" s="10">
        <f ca="1">VLOOKUP($B56,'[5]Analisys QBR By Machine Report'!$C$109:$BD$166,27,FALSE)</f>
        <v>0</v>
      </c>
      <c r="AG56" s="10">
        <f ca="1">VLOOKUP($B56,'[5]Analisys QBR By Machine Report'!$C$109:$BD$166,28,FALSE)</f>
        <v>0</v>
      </c>
      <c r="AH56" s="10">
        <f ca="1">VLOOKUP($B56,'[5]Analisys QBR By Machine Report'!$C$109:$BD$166,29,FALSE)</f>
        <v>0</v>
      </c>
      <c r="AI56" s="10">
        <f ca="1">VLOOKUP($B56,'[5]Analisys QBR By Machine Report'!$C$109:$BD$166,30,FALSE)</f>
        <v>4433</v>
      </c>
      <c r="AJ56" s="10">
        <f ca="1">VLOOKUP($B56,'[5]Analisys QBR By Machine Report'!$C$109:$BD$166,31,FALSE)</f>
        <v>170</v>
      </c>
      <c r="AK56" s="10">
        <f ca="1">VLOOKUP($B56,'[5]Analisys QBR By Machine Report'!$C$109:$BD$166,32,FALSE)</f>
        <v>0</v>
      </c>
      <c r="AL56" s="10">
        <f ca="1">VLOOKUP($B56,'[5]Analisys QBR By Machine Report'!$C$109:$BD$166,33,FALSE)</f>
        <v>1250</v>
      </c>
      <c r="AM56" s="10">
        <f ca="1">VLOOKUP($B56,'[5]Analisys QBR By Machine Report'!$C$109:$BD$166,34,FALSE)</f>
        <v>0</v>
      </c>
      <c r="AN56" s="10">
        <f ca="1">VLOOKUP($B56,'[5]Analisys QBR By Machine Report'!$C$109:$BD$166,35,FALSE)</f>
        <v>840</v>
      </c>
      <c r="AO56" s="10">
        <f ca="1">VLOOKUP($B56,'[5]Analisys QBR By Machine Report'!$C$109:$BD$166,36,FALSE)</f>
        <v>1115</v>
      </c>
      <c r="AP56" s="10">
        <f ca="1">VLOOKUP($B56,'[5]Analisys QBR By Machine Report'!$C$109:$BD$166,37,FALSE)</f>
        <v>15</v>
      </c>
      <c r="AQ56" s="10">
        <f ca="1">VLOOKUP($B56,'[5]Analisys QBR By Machine Report'!$C$109:$BD$166,38,FALSE)</f>
        <v>0</v>
      </c>
      <c r="AR56" s="10">
        <f ca="1">VLOOKUP($B56,'[5]Analisys QBR By Machine Report'!$C$109:$BD$166,39,FALSE)</f>
        <v>130</v>
      </c>
      <c r="AS56" s="10">
        <f ca="1">VLOOKUP($B56,'[5]Analisys QBR By Machine Report'!$C$109:$BD$166,40,FALSE)</f>
        <v>400</v>
      </c>
      <c r="AT56" s="10">
        <f ca="1">VLOOKUP($B56,'[5]Analisys QBR By Machine Report'!$C$109:$BD$166,41,FALSE)</f>
        <v>0</v>
      </c>
      <c r="AU56" s="10">
        <f ca="1">VLOOKUP($B56,'[5]Analisys QBR By Machine Report'!$C$109:$BD$166,42,FALSE)</f>
        <v>0</v>
      </c>
      <c r="AV56" s="10">
        <f ca="1">VLOOKUP($B56,'[5]Analisys QBR By Machine Report'!$C$109:$BD$166,43,FALSE)</f>
        <v>0</v>
      </c>
      <c r="AW56" s="10">
        <f ca="1">VLOOKUP($B56,'[5]Analisys QBR By Machine Report'!$C$109:$BD$166,44,FALSE)</f>
        <v>0</v>
      </c>
      <c r="AX56" s="10">
        <f ca="1">VLOOKUP($B56,'[5]Analisys QBR By Machine Report'!$C$109:$BD$166,45,FALSE)</f>
        <v>0</v>
      </c>
      <c r="AY56" s="10">
        <f ca="1">VLOOKUP($B56,'[5]Analisys QBR By Machine Report'!$C$109:$BD$166,46,FALSE)</f>
        <v>0</v>
      </c>
      <c r="AZ56" s="10">
        <f ca="1">VLOOKUP($B56,'[5]Analisys QBR By Machine Report'!$C$109:$BD$166,47,FALSE)</f>
        <v>513</v>
      </c>
      <c r="BA56" s="10">
        <f ca="1">VLOOKUP($B56,'[5]Analisys QBR By Machine Report'!$C$109:$BD$166,48,FALSE)</f>
        <v>0</v>
      </c>
      <c r="BB56" s="10">
        <f ca="1">VLOOKUP($B56,'[5]Analisys QBR By Machine Report'!$C$109:$BD$166,49,FALSE)</f>
        <v>0</v>
      </c>
      <c r="BC56" s="10">
        <f ca="1">VLOOKUP($B56,'[5]Analisys QBR By Machine Report'!$C$109:$BD$166,50,FALSE)</f>
        <v>0</v>
      </c>
      <c r="BD56" s="10">
        <f ca="1">VLOOKUP($B56,'[5]Analisys QBR By Machine Report'!$C$109:$BD$166,51,FALSE)</f>
        <v>1432883</v>
      </c>
      <c r="BE56" s="10">
        <f ca="1">VLOOKUP($B56,'[5]Analisys QBR By Machine Report'!$C$109:$BD$166,52,FALSE)</f>
        <v>431</v>
      </c>
      <c r="BF56" s="10">
        <f ca="1">VLOOKUP($B56,'[5]Analisys QBR By Machine Report'!$C$109:$BD$166,53,FALSE)</f>
        <v>1432452</v>
      </c>
    </row>
    <row r="57" spans="1:58" x14ac:dyDescent="0.25">
      <c r="A57" s="15" t="s">
        <v>113</v>
      </c>
      <c r="B57" s="13">
        <f ca="1">VLOOKUP($B57,'[5]Analisys QBR By Machine Report'!$C$109:$BD$166,2,FALSE)</f>
        <v>27360</v>
      </c>
      <c r="C57" s="14">
        <f ca="1">VLOOKUP($B57,[5]Dasboard_QBR_Report!$B$109:$BL$166,3,FALSE)</f>
        <v>9120</v>
      </c>
      <c r="D57" s="13">
        <f ca="1">VLOOKUP($B57,'[5]Analisys QBR By Machine Report'!$C$109:$BD$166,3,FALSE)</f>
        <v>10980</v>
      </c>
      <c r="E57" s="14">
        <f ca="1">VLOOKUP($B57,[5]Dasboard_QBR_Report!$B$109:$BL$166,5,FALSE)</f>
        <v>-7260</v>
      </c>
      <c r="F57" s="13">
        <f t="shared" ca="1" si="0"/>
        <v>16380</v>
      </c>
      <c r="G57" s="13">
        <f t="shared" ca="1" si="1"/>
        <v>845</v>
      </c>
      <c r="H57" s="13">
        <f ca="1">VLOOKUP($B57,'[5]Analisys QBR By Machine Report'!$C$109:$BD$166,4,FALSE)</f>
        <v>845</v>
      </c>
      <c r="I57" s="13">
        <f ca="1">VLOOKUP($B57,'[5]Analisys QBR By Machine Report'!$C$109:$BD$166,5,FALSE)</f>
        <v>205</v>
      </c>
      <c r="J57" s="13">
        <f ca="1">VLOOKUP($B57,'[5]Analisys QBR By Machine Report'!$C$109:$BD$166,6,FALSE)</f>
        <v>640</v>
      </c>
      <c r="K57" s="13">
        <f ca="1">VLOOKUP($B57,'[5]Analisys QBR By Machine Report'!$C$109:$BD$166,7,FALSE)</f>
        <v>0</v>
      </c>
      <c r="L57" s="13">
        <f ca="1">VLOOKUP($B57,'[5]Analisys QBR By Machine Report'!$C$109:$BD$166,8,FALSE)</f>
        <v>15535</v>
      </c>
      <c r="M57" s="13">
        <f ca="1">VLOOKUP($B57,'[5]Analisys QBR By Machine Report'!$C$109:$BD$166,9,FALSE)</f>
        <v>5140</v>
      </c>
      <c r="N57" s="13">
        <f ca="1">VLOOKUP($B57,[5]Dasboard_QBR_Report!$B$109:$BL$166,18,FALSE)</f>
        <v>10395</v>
      </c>
      <c r="O57" s="13">
        <f ca="1">VLOOKUP($B57,'[5]Analisys QBR By Machine Report'!$C$109:$BD$166,10,FALSE)</f>
        <v>4585</v>
      </c>
      <c r="P57" s="13">
        <f ca="1">VLOOKUP($B57,'[5]Analisys QBR By Machine Report'!$C$109:$BD$166,11,FALSE)</f>
        <v>2560</v>
      </c>
      <c r="Q57" s="13">
        <f ca="1">VLOOKUP($B57,'[5]Analisys QBR By Machine Report'!$C$109:$BD$166,12,FALSE)</f>
        <v>170</v>
      </c>
      <c r="R57" s="13">
        <f ca="1">VLOOKUP($B57,'[5]Analisys QBR By Machine Report'!$C$109:$BD$166,13,FALSE)</f>
        <v>260</v>
      </c>
      <c r="S57" s="13">
        <f ca="1">VLOOKUP($B57,'[5]Analisys QBR By Machine Report'!$C$109:$BD$166,14,FALSE)</f>
        <v>1595</v>
      </c>
      <c r="T57" s="13">
        <f ca="1">VLOOKUP($B57,'[5]Analisys QBR By Machine Report'!$C$109:$BD$166,15,FALSE)</f>
        <v>350</v>
      </c>
      <c r="U57" s="13">
        <f ca="1">VLOOKUP($B57,'[5]Analisys QBR By Machine Report'!$C$109:$BD$166,16,FALSE)</f>
        <v>270</v>
      </c>
      <c r="V57" s="13">
        <f ca="1">VLOOKUP($B57,'[5]Analisys QBR By Machine Report'!$C$109:$BD$166,17,FALSE)</f>
        <v>80</v>
      </c>
      <c r="W57" s="13">
        <f ca="1">VLOOKUP($B57,'[5]Analisys QBR By Machine Report'!$C$109:$BD$166,18,FALSE)</f>
        <v>0</v>
      </c>
      <c r="X57" s="13">
        <f ca="1">VLOOKUP($B57,'[5]Analisys QBR By Machine Report'!$C$109:$BD$166,19,FALSE)</f>
        <v>0</v>
      </c>
      <c r="Y57" s="13">
        <f ca="1">VLOOKUP($B57,'[5]Analisys QBR By Machine Report'!$C$109:$BD$166,20,FALSE)</f>
        <v>0</v>
      </c>
      <c r="Z57" s="13">
        <f ca="1">VLOOKUP($B57,'[5]Analisys QBR By Machine Report'!$C$109:$BD$166,21,FALSE)</f>
        <v>2715</v>
      </c>
      <c r="AA57" s="13">
        <f ca="1">VLOOKUP($B57,'[5]Analisys QBR By Machine Report'!$C$109:$BD$166,22,FALSE)</f>
        <v>1735</v>
      </c>
      <c r="AB57" s="13">
        <f ca="1">VLOOKUP($B57,'[5]Analisys QBR By Machine Report'!$C$109:$BD$166,23,FALSE)</f>
        <v>615</v>
      </c>
      <c r="AC57" s="13">
        <f ca="1">VLOOKUP($B57,'[5]Analisys QBR By Machine Report'!$C$109:$BD$166,24,FALSE)</f>
        <v>365</v>
      </c>
      <c r="AD57" s="13">
        <f ca="1">VLOOKUP($B57,'[5]Analisys QBR By Machine Report'!$C$109:$BD$166,25,FALSE)</f>
        <v>0</v>
      </c>
      <c r="AE57" s="13">
        <f ca="1">VLOOKUP($B57,'[5]Analisys QBR By Machine Report'!$C$109:$BD$166,26,FALSE)</f>
        <v>0</v>
      </c>
      <c r="AF57" s="13">
        <f ca="1">VLOOKUP($B57,'[5]Analisys QBR By Machine Report'!$C$109:$BD$166,27,FALSE)</f>
        <v>0</v>
      </c>
      <c r="AG57" s="13">
        <f ca="1">VLOOKUP($B57,'[5]Analisys QBR By Machine Report'!$C$109:$BD$166,28,FALSE)</f>
        <v>0</v>
      </c>
      <c r="AH57" s="13">
        <f ca="1">VLOOKUP($B57,'[5]Analisys QBR By Machine Report'!$C$109:$BD$166,29,FALSE)</f>
        <v>0</v>
      </c>
      <c r="AI57" s="13">
        <f ca="1">VLOOKUP($B57,'[5]Analisys QBR By Machine Report'!$C$109:$BD$166,30,FALSE)</f>
        <v>2745</v>
      </c>
      <c r="AJ57" s="13">
        <f ca="1">VLOOKUP($B57,'[5]Analisys QBR By Machine Report'!$C$109:$BD$166,31,FALSE)</f>
        <v>170</v>
      </c>
      <c r="AK57" s="13">
        <f ca="1">VLOOKUP($B57,'[5]Analisys QBR By Machine Report'!$C$109:$BD$166,32,FALSE)</f>
        <v>0</v>
      </c>
      <c r="AL57" s="13">
        <f ca="1">VLOOKUP($B57,'[5]Analisys QBR By Machine Report'!$C$109:$BD$166,33,FALSE)</f>
        <v>1040</v>
      </c>
      <c r="AM57" s="13">
        <f ca="1">VLOOKUP($B57,'[5]Analisys QBR By Machine Report'!$C$109:$BD$166,34,FALSE)</f>
        <v>0</v>
      </c>
      <c r="AN57" s="13">
        <f ca="1">VLOOKUP($B57,'[5]Analisys QBR By Machine Report'!$C$109:$BD$166,35,FALSE)</f>
        <v>735</v>
      </c>
      <c r="AO57" s="13">
        <f ca="1">VLOOKUP($B57,'[5]Analisys QBR By Machine Report'!$C$109:$BD$166,36,FALSE)</f>
        <v>180</v>
      </c>
      <c r="AP57" s="13">
        <f ca="1">VLOOKUP($B57,'[5]Analisys QBR By Machine Report'!$C$109:$BD$166,37,FALSE)</f>
        <v>0</v>
      </c>
      <c r="AQ57" s="13">
        <f ca="1">VLOOKUP($B57,'[5]Analisys QBR By Machine Report'!$C$109:$BD$166,38,FALSE)</f>
        <v>0</v>
      </c>
      <c r="AR57" s="13">
        <f ca="1">VLOOKUP($B57,'[5]Analisys QBR By Machine Report'!$C$109:$BD$166,39,FALSE)</f>
        <v>0</v>
      </c>
      <c r="AS57" s="13">
        <f ca="1">VLOOKUP($B57,'[5]Analisys QBR By Machine Report'!$C$109:$BD$166,40,FALSE)</f>
        <v>300</v>
      </c>
      <c r="AT57" s="13">
        <f ca="1">VLOOKUP($B57,'[5]Analisys QBR By Machine Report'!$C$109:$BD$166,41,FALSE)</f>
        <v>0</v>
      </c>
      <c r="AU57" s="13">
        <f ca="1">VLOOKUP($B57,'[5]Analisys QBR By Machine Report'!$C$109:$BD$166,42,FALSE)</f>
        <v>0</v>
      </c>
      <c r="AV57" s="13">
        <f ca="1">VLOOKUP($B57,'[5]Analisys QBR By Machine Report'!$C$109:$BD$166,43,FALSE)</f>
        <v>0</v>
      </c>
      <c r="AW57" s="13">
        <f ca="1">VLOOKUP($B57,'[5]Analisys QBR By Machine Report'!$C$109:$BD$166,44,FALSE)</f>
        <v>0</v>
      </c>
      <c r="AX57" s="13">
        <f ca="1">VLOOKUP($B57,'[5]Analisys QBR By Machine Report'!$C$109:$BD$166,45,FALSE)</f>
        <v>0</v>
      </c>
      <c r="AY57" s="13">
        <f ca="1">VLOOKUP($B57,'[5]Analisys QBR By Machine Report'!$C$109:$BD$166,46,FALSE)</f>
        <v>0</v>
      </c>
      <c r="AZ57" s="13">
        <f ca="1">VLOOKUP($B57,'[5]Analisys QBR By Machine Report'!$C$109:$BD$166,47,FALSE)</f>
        <v>320</v>
      </c>
      <c r="BA57" s="13">
        <f ca="1">VLOOKUP($B57,'[5]Analisys QBR By Machine Report'!$C$109:$BD$166,48,FALSE)</f>
        <v>0</v>
      </c>
      <c r="BB57" s="13">
        <f ca="1">VLOOKUP($B57,'[5]Analisys QBR By Machine Report'!$C$109:$BD$166,49,FALSE)</f>
        <v>0</v>
      </c>
      <c r="BC57" s="13">
        <f ca="1">VLOOKUP($B57,'[5]Analisys QBR By Machine Report'!$C$109:$BD$166,50,FALSE)</f>
        <v>0</v>
      </c>
      <c r="BD57" s="13">
        <f ca="1">VLOOKUP($B57,'[5]Analisys QBR By Machine Report'!$C$109:$BD$166,51,FALSE)</f>
        <v>1253074</v>
      </c>
      <c r="BE57" s="13">
        <f ca="1">VLOOKUP($B57,'[5]Analisys QBR By Machine Report'!$C$109:$BD$166,52,FALSE)</f>
        <v>296</v>
      </c>
      <c r="BF57" s="13">
        <f ca="1">VLOOKUP($B57,'[5]Analisys QBR By Machine Report'!$C$109:$BD$166,53,FALSE)</f>
        <v>1252778</v>
      </c>
    </row>
    <row r="58" spans="1:58" x14ac:dyDescent="0.25">
      <c r="A58" s="15" t="s">
        <v>114</v>
      </c>
      <c r="B58" s="13">
        <f ca="1">VLOOKUP($B58,'[5]Analisys QBR By Machine Report'!$C$109:$BD$166,2,FALSE)</f>
        <v>27360</v>
      </c>
      <c r="C58" s="14">
        <f ca="1">VLOOKUP($B58,[5]Dasboard_QBR_Report!$B$109:$BL$166,3,FALSE)</f>
        <v>9120</v>
      </c>
      <c r="D58" s="13">
        <f ca="1">VLOOKUP($B58,'[5]Analisys QBR By Machine Report'!$C$109:$BD$166,3,FALSE)</f>
        <v>22260</v>
      </c>
      <c r="E58" s="14">
        <f ca="1">VLOOKUP($B58,[5]Dasboard_QBR_Report!$B$109:$BL$166,5,FALSE)</f>
        <v>4020</v>
      </c>
      <c r="F58" s="13">
        <f t="shared" ca="1" si="0"/>
        <v>5100</v>
      </c>
      <c r="G58" s="13">
        <f t="shared" ca="1" si="1"/>
        <v>470</v>
      </c>
      <c r="H58" s="13">
        <f ca="1">VLOOKUP($B58,'[5]Analisys QBR By Machine Report'!$C$109:$BD$166,4,FALSE)</f>
        <v>470</v>
      </c>
      <c r="I58" s="13">
        <f ca="1">VLOOKUP($B58,'[5]Analisys QBR By Machine Report'!$C$109:$BD$166,5,FALSE)</f>
        <v>160</v>
      </c>
      <c r="J58" s="13">
        <f ca="1">VLOOKUP($B58,'[5]Analisys QBR By Machine Report'!$C$109:$BD$166,6,FALSE)</f>
        <v>310</v>
      </c>
      <c r="K58" s="13">
        <f ca="1">VLOOKUP($B58,'[5]Analisys QBR By Machine Report'!$C$109:$BD$166,7,FALSE)</f>
        <v>0</v>
      </c>
      <c r="L58" s="13">
        <f ca="1">VLOOKUP($B58,'[5]Analisys QBR By Machine Report'!$C$109:$BD$166,8,FALSE)</f>
        <v>4630</v>
      </c>
      <c r="M58" s="13">
        <f ca="1">VLOOKUP($B58,'[5]Analisys QBR By Machine Report'!$C$109:$BD$166,9,FALSE)</f>
        <v>2380</v>
      </c>
      <c r="N58" s="13">
        <f ca="1">VLOOKUP($B58,[5]Dasboard_QBR_Report!$B$109:$BL$166,18,FALSE)</f>
        <v>2250</v>
      </c>
      <c r="O58" s="13">
        <f ca="1">VLOOKUP($B58,'[5]Analisys QBR By Machine Report'!$C$109:$BD$166,10,FALSE)</f>
        <v>147</v>
      </c>
      <c r="P58" s="13">
        <f ca="1">VLOOKUP($B58,'[5]Analisys QBR By Machine Report'!$C$109:$BD$166,11,FALSE)</f>
        <v>147</v>
      </c>
      <c r="Q58" s="13">
        <f ca="1">VLOOKUP($B58,'[5]Analisys QBR By Machine Report'!$C$109:$BD$166,12,FALSE)</f>
        <v>0</v>
      </c>
      <c r="R58" s="13">
        <f ca="1">VLOOKUP($B58,'[5]Analisys QBR By Machine Report'!$C$109:$BD$166,13,FALSE)</f>
        <v>0</v>
      </c>
      <c r="S58" s="13">
        <f ca="1">VLOOKUP($B58,'[5]Analisys QBR By Machine Report'!$C$109:$BD$166,14,FALSE)</f>
        <v>0</v>
      </c>
      <c r="T58" s="13">
        <f ca="1">VLOOKUP($B58,'[5]Analisys QBR By Machine Report'!$C$109:$BD$166,15,FALSE)</f>
        <v>0</v>
      </c>
      <c r="U58" s="13">
        <f ca="1">VLOOKUP($B58,'[5]Analisys QBR By Machine Report'!$C$109:$BD$166,16,FALSE)</f>
        <v>0</v>
      </c>
      <c r="V58" s="13">
        <f ca="1">VLOOKUP($B58,'[5]Analisys QBR By Machine Report'!$C$109:$BD$166,17,FALSE)</f>
        <v>0</v>
      </c>
      <c r="W58" s="13">
        <f ca="1">VLOOKUP($B58,'[5]Analisys QBR By Machine Report'!$C$109:$BD$166,18,FALSE)</f>
        <v>0</v>
      </c>
      <c r="X58" s="13">
        <f ca="1">VLOOKUP($B58,'[5]Analisys QBR By Machine Report'!$C$109:$BD$166,19,FALSE)</f>
        <v>0</v>
      </c>
      <c r="Y58" s="13">
        <f ca="1">VLOOKUP($B58,'[5]Analisys QBR By Machine Report'!$C$109:$BD$166,20,FALSE)</f>
        <v>0</v>
      </c>
      <c r="Z58" s="13">
        <f ca="1">VLOOKUP($B58,'[5]Analisys QBR By Machine Report'!$C$109:$BD$166,21,FALSE)</f>
        <v>415</v>
      </c>
      <c r="AA58" s="13">
        <f ca="1">VLOOKUP($B58,'[5]Analisys QBR By Machine Report'!$C$109:$BD$166,22,FALSE)</f>
        <v>95</v>
      </c>
      <c r="AB58" s="13">
        <f ca="1">VLOOKUP($B58,'[5]Analisys QBR By Machine Report'!$C$109:$BD$166,23,FALSE)</f>
        <v>85</v>
      </c>
      <c r="AC58" s="13">
        <f ca="1">VLOOKUP($B58,'[5]Analisys QBR By Machine Report'!$C$109:$BD$166,24,FALSE)</f>
        <v>0</v>
      </c>
      <c r="AD58" s="13">
        <f ca="1">VLOOKUP($B58,'[5]Analisys QBR By Machine Report'!$C$109:$BD$166,25,FALSE)</f>
        <v>0</v>
      </c>
      <c r="AE58" s="13">
        <f ca="1">VLOOKUP($B58,'[5]Analisys QBR By Machine Report'!$C$109:$BD$166,26,FALSE)</f>
        <v>235</v>
      </c>
      <c r="AF58" s="13">
        <f ca="1">VLOOKUP($B58,'[5]Analisys QBR By Machine Report'!$C$109:$BD$166,27,FALSE)</f>
        <v>0</v>
      </c>
      <c r="AG58" s="13">
        <f ca="1">VLOOKUP($B58,'[5]Analisys QBR By Machine Report'!$C$109:$BD$166,28,FALSE)</f>
        <v>0</v>
      </c>
      <c r="AH58" s="13">
        <f ca="1">VLOOKUP($B58,'[5]Analisys QBR By Machine Report'!$C$109:$BD$166,29,FALSE)</f>
        <v>0</v>
      </c>
      <c r="AI58" s="13">
        <f ca="1">VLOOKUP($B58,'[5]Analisys QBR By Machine Report'!$C$109:$BD$166,30,FALSE)</f>
        <v>1688</v>
      </c>
      <c r="AJ58" s="13">
        <f ca="1">VLOOKUP($B58,'[5]Analisys QBR By Machine Report'!$C$109:$BD$166,31,FALSE)</f>
        <v>0</v>
      </c>
      <c r="AK58" s="13">
        <f ca="1">VLOOKUP($B58,'[5]Analisys QBR By Machine Report'!$C$109:$BD$166,32,FALSE)</f>
        <v>0</v>
      </c>
      <c r="AL58" s="13">
        <f ca="1">VLOOKUP($B58,'[5]Analisys QBR By Machine Report'!$C$109:$BD$166,33,FALSE)</f>
        <v>210</v>
      </c>
      <c r="AM58" s="13">
        <f ca="1">VLOOKUP($B58,'[5]Analisys QBR By Machine Report'!$C$109:$BD$166,34,FALSE)</f>
        <v>0</v>
      </c>
      <c r="AN58" s="13">
        <f ca="1">VLOOKUP($B58,'[5]Analisys QBR By Machine Report'!$C$109:$BD$166,35,FALSE)</f>
        <v>105</v>
      </c>
      <c r="AO58" s="13">
        <f ca="1">VLOOKUP($B58,'[5]Analisys QBR By Machine Report'!$C$109:$BD$166,36,FALSE)</f>
        <v>935</v>
      </c>
      <c r="AP58" s="13">
        <f ca="1">VLOOKUP($B58,'[5]Analisys QBR By Machine Report'!$C$109:$BD$166,37,FALSE)</f>
        <v>15</v>
      </c>
      <c r="AQ58" s="13">
        <f ca="1">VLOOKUP($B58,'[5]Analisys QBR By Machine Report'!$C$109:$BD$166,38,FALSE)</f>
        <v>0</v>
      </c>
      <c r="AR58" s="13">
        <f ca="1">VLOOKUP($B58,'[5]Analisys QBR By Machine Report'!$C$109:$BD$166,39,FALSE)</f>
        <v>130</v>
      </c>
      <c r="AS58" s="13">
        <f ca="1">VLOOKUP($B58,'[5]Analisys QBR By Machine Report'!$C$109:$BD$166,40,FALSE)</f>
        <v>100</v>
      </c>
      <c r="AT58" s="13">
        <f ca="1">VLOOKUP($B58,'[5]Analisys QBR By Machine Report'!$C$109:$BD$166,41,FALSE)</f>
        <v>0</v>
      </c>
      <c r="AU58" s="13">
        <f ca="1">VLOOKUP($B58,'[5]Analisys QBR By Machine Report'!$C$109:$BD$166,42,FALSE)</f>
        <v>0</v>
      </c>
      <c r="AV58" s="13">
        <f ca="1">VLOOKUP($B58,'[5]Analisys QBR By Machine Report'!$C$109:$BD$166,43,FALSE)</f>
        <v>0</v>
      </c>
      <c r="AW58" s="13">
        <f ca="1">VLOOKUP($B58,'[5]Analisys QBR By Machine Report'!$C$109:$BD$166,44,FALSE)</f>
        <v>0</v>
      </c>
      <c r="AX58" s="13">
        <f ca="1">VLOOKUP($B58,'[5]Analisys QBR By Machine Report'!$C$109:$BD$166,45,FALSE)</f>
        <v>0</v>
      </c>
      <c r="AY58" s="13">
        <f ca="1">VLOOKUP($B58,'[5]Analisys QBR By Machine Report'!$C$109:$BD$166,46,FALSE)</f>
        <v>0</v>
      </c>
      <c r="AZ58" s="13">
        <f ca="1">VLOOKUP($B58,'[5]Analisys QBR By Machine Report'!$C$109:$BD$166,47,FALSE)</f>
        <v>193</v>
      </c>
      <c r="BA58" s="13">
        <f ca="1">VLOOKUP($B58,'[5]Analisys QBR By Machine Report'!$C$109:$BD$166,48,FALSE)</f>
        <v>0</v>
      </c>
      <c r="BB58" s="13">
        <f ca="1">VLOOKUP($B58,'[5]Analisys QBR By Machine Report'!$C$109:$BD$166,49,FALSE)</f>
        <v>0</v>
      </c>
      <c r="BC58" s="13">
        <f ca="1">VLOOKUP($B58,'[5]Analisys QBR By Machine Report'!$C$109:$BD$166,50,FALSE)</f>
        <v>0</v>
      </c>
      <c r="BD58" s="13">
        <f ca="1">VLOOKUP($B58,'[5]Analisys QBR By Machine Report'!$C$109:$BD$166,51,FALSE)</f>
        <v>179809</v>
      </c>
      <c r="BE58" s="13">
        <f ca="1">VLOOKUP($B58,'[5]Analisys QBR By Machine Report'!$C$109:$BD$166,52,FALSE)</f>
        <v>135</v>
      </c>
      <c r="BF58" s="13">
        <f ca="1">VLOOKUP($B58,'[5]Analisys QBR By Machine Report'!$C$109:$BD$166,53,FALSE)</f>
        <v>179674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D1DCD-4026-4297-BD45-A9235832F8FD}">
  <dimension ref="A1:BF58"/>
  <sheetViews>
    <sheetView workbookViewId="0">
      <selection sqref="A1:BF58"/>
    </sheetView>
  </sheetViews>
  <sheetFormatPr defaultRowHeight="15" x14ac:dyDescent="0.25"/>
  <sheetData>
    <row r="1" spans="1:58" ht="60" x14ac:dyDescent="0.25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8" t="s">
        <v>55</v>
      </c>
      <c r="BE1" s="8" t="s">
        <v>56</v>
      </c>
      <c r="BF1" s="8" t="s">
        <v>57</v>
      </c>
    </row>
    <row r="2" spans="1:58" x14ac:dyDescent="0.25">
      <c r="A2" s="9" t="s">
        <v>58</v>
      </c>
      <c r="B2" s="10">
        <f ca="1">VLOOKUP($B2,'[6]Analisys QBR By Machine Report'!$C$109:$BD$166,2,FALSE)</f>
        <v>82080</v>
      </c>
      <c r="C2" s="11">
        <f ca="1">VLOOKUP($B2,[6]Dasboard_QBR_Report!$B$109:$BL$166,3,FALSE)</f>
        <v>53010</v>
      </c>
      <c r="D2" s="10">
        <f ca="1">VLOOKUP($B2,'[6]Analisys QBR By Machine Report'!$C$109:$BD$166,3,FALSE)</f>
        <v>57060</v>
      </c>
      <c r="E2" s="11">
        <f ca="1">VLOOKUP($B2,[6]Dasboard_QBR_Report!$B$109:$BL$166,5,FALSE)</f>
        <v>27990</v>
      </c>
      <c r="F2" s="10">
        <f t="shared" ref="F2:F58" ca="1" si="0">SUM(G2,L2)</f>
        <v>25020</v>
      </c>
      <c r="G2" s="10">
        <f t="shared" ref="G2:G58" ca="1" si="1">SUM($I2,$L2)</f>
        <v>2984</v>
      </c>
      <c r="H2" s="10">
        <f ca="1">VLOOKUP($B2,'[6]Analisys QBR By Machine Report'!$C$109:$BD$166,4,FALSE)</f>
        <v>2200</v>
      </c>
      <c r="I2" s="10">
        <f ca="1">VLOOKUP($B2,'[6]Analisys QBR By Machine Report'!$C$109:$BD$166,5,FALSE)</f>
        <v>350</v>
      </c>
      <c r="J2" s="10">
        <f ca="1">VLOOKUP($B2,'[6]Analisys QBR By Machine Report'!$C$109:$BD$166,6,FALSE)</f>
        <v>1850</v>
      </c>
      <c r="K2" s="10">
        <f ca="1">VLOOKUP($B2,'[6]Analisys QBR By Machine Report'!$C$109:$BD$166,7,FALSE)</f>
        <v>784</v>
      </c>
      <c r="L2" s="10">
        <f ca="1">VLOOKUP($B2,'[6]Analisys QBR By Machine Report'!$C$109:$BD$166,8,FALSE)</f>
        <v>22036</v>
      </c>
      <c r="M2" s="10">
        <f ca="1">VLOOKUP($B2,'[6]Analisys QBR By Machine Report'!$C$109:$BD$166,9,FALSE)</f>
        <v>3786</v>
      </c>
      <c r="N2" s="10">
        <f ca="1">VLOOKUP($B2,[6]Dasboard_QBR_Report!$B$109:$BL$166,18,FALSE)</f>
        <v>18250</v>
      </c>
      <c r="O2" s="10">
        <f ca="1">VLOOKUP($B2,'[6]Analisys QBR By Machine Report'!$C$109:$BD$166,10,FALSE)</f>
        <v>848</v>
      </c>
      <c r="P2" s="10">
        <f ca="1">VLOOKUP($B2,'[6]Analisys QBR By Machine Report'!$C$109:$BD$166,11,FALSE)</f>
        <v>848</v>
      </c>
      <c r="Q2" s="10">
        <f ca="1">VLOOKUP($B2,'[6]Analisys QBR By Machine Report'!$C$109:$BD$166,12,FALSE)</f>
        <v>0</v>
      </c>
      <c r="R2" s="10">
        <f ca="1">VLOOKUP($B2,'[6]Analisys QBR By Machine Report'!$C$109:$BD$166,13,FALSE)</f>
        <v>0</v>
      </c>
      <c r="S2" s="10">
        <f ca="1">VLOOKUP($B2,'[6]Analisys QBR By Machine Report'!$C$109:$BD$166,14,FALSE)</f>
        <v>0</v>
      </c>
      <c r="T2" s="10">
        <f ca="1">VLOOKUP($B2,'[6]Analisys QBR By Machine Report'!$C$109:$BD$166,15,FALSE)</f>
        <v>0</v>
      </c>
      <c r="U2" s="10">
        <f ca="1">VLOOKUP($B2,'[6]Analisys QBR By Machine Report'!$C$109:$BD$166,16,FALSE)</f>
        <v>0</v>
      </c>
      <c r="V2" s="10">
        <f ca="1">VLOOKUP($B2,'[6]Analisys QBR By Machine Report'!$C$109:$BD$166,17,FALSE)</f>
        <v>0</v>
      </c>
      <c r="W2" s="10">
        <f ca="1">VLOOKUP($B2,'[6]Analisys QBR By Machine Report'!$C$109:$BD$166,18,FALSE)</f>
        <v>0</v>
      </c>
      <c r="X2" s="10">
        <f ca="1">VLOOKUP($B2,'[6]Analisys QBR By Machine Report'!$C$109:$BD$166,19,FALSE)</f>
        <v>0</v>
      </c>
      <c r="Y2" s="10">
        <f ca="1">VLOOKUP($B2,'[6]Analisys QBR By Machine Report'!$C$109:$BD$166,20,FALSE)</f>
        <v>0</v>
      </c>
      <c r="Z2" s="10">
        <f ca="1">VLOOKUP($B2,'[6]Analisys QBR By Machine Report'!$C$109:$BD$166,21,FALSE)</f>
        <v>10135</v>
      </c>
      <c r="AA2" s="10">
        <f ca="1">VLOOKUP($B2,'[6]Analisys QBR By Machine Report'!$C$109:$BD$166,22,FALSE)</f>
        <v>5468</v>
      </c>
      <c r="AB2" s="10">
        <f ca="1">VLOOKUP($B2,'[6]Analisys QBR By Machine Report'!$C$109:$BD$166,23,FALSE)</f>
        <v>4223</v>
      </c>
      <c r="AC2" s="10">
        <f ca="1">VLOOKUP($B2,'[6]Analisys QBR By Machine Report'!$C$109:$BD$166,24,FALSE)</f>
        <v>14</v>
      </c>
      <c r="AD2" s="10">
        <f ca="1">VLOOKUP($B2,'[6]Analisys QBR By Machine Report'!$C$109:$BD$166,25,FALSE)</f>
        <v>0</v>
      </c>
      <c r="AE2" s="10">
        <f ca="1">VLOOKUP($B2,'[6]Analisys QBR By Machine Report'!$C$109:$BD$166,26,FALSE)</f>
        <v>430</v>
      </c>
      <c r="AF2" s="10">
        <f ca="1">VLOOKUP($B2,'[6]Analisys QBR By Machine Report'!$C$109:$BD$166,27,FALSE)</f>
        <v>85</v>
      </c>
      <c r="AG2" s="10">
        <f ca="1">VLOOKUP($B2,'[6]Analisys QBR By Machine Report'!$C$109:$BD$166,28,FALSE)</f>
        <v>0</v>
      </c>
      <c r="AH2" s="10">
        <f ca="1">VLOOKUP($B2,'[6]Analisys QBR By Machine Report'!$C$109:$BD$166,29,FALSE)</f>
        <v>85</v>
      </c>
      <c r="AI2" s="10">
        <f ca="1">VLOOKUP($B2,'[6]Analisys QBR By Machine Report'!$C$109:$BD$166,30,FALSE)</f>
        <v>7182</v>
      </c>
      <c r="AJ2" s="10">
        <f ca="1">VLOOKUP($B2,'[6]Analisys QBR By Machine Report'!$C$109:$BD$166,31,FALSE)</f>
        <v>40</v>
      </c>
      <c r="AK2" s="10">
        <f ca="1">VLOOKUP($B2,'[6]Analisys QBR By Machine Report'!$C$109:$BD$166,32,FALSE)</f>
        <v>0</v>
      </c>
      <c r="AL2" s="10">
        <f ca="1">VLOOKUP($B2,'[6]Analisys QBR By Machine Report'!$C$109:$BD$166,33,FALSE)</f>
        <v>1290</v>
      </c>
      <c r="AM2" s="10">
        <f ca="1">VLOOKUP($B2,'[6]Analisys QBR By Machine Report'!$C$109:$BD$166,34,FALSE)</f>
        <v>0</v>
      </c>
      <c r="AN2" s="10">
        <f ca="1">VLOOKUP($B2,'[6]Analisys QBR By Machine Report'!$C$109:$BD$166,35,FALSE)</f>
        <v>885</v>
      </c>
      <c r="AO2" s="10">
        <f ca="1">VLOOKUP($B2,'[6]Analisys QBR By Machine Report'!$C$109:$BD$166,36,FALSE)</f>
        <v>0</v>
      </c>
      <c r="AP2" s="10">
        <f ca="1">VLOOKUP($B2,'[6]Analisys QBR By Machine Report'!$C$109:$BD$166,37,FALSE)</f>
        <v>0</v>
      </c>
      <c r="AQ2" s="10">
        <f ca="1">VLOOKUP($B2,'[6]Analisys QBR By Machine Report'!$C$109:$BD$166,38,FALSE)</f>
        <v>0</v>
      </c>
      <c r="AR2" s="10">
        <f ca="1">VLOOKUP($B2,'[6]Analisys QBR By Machine Report'!$C$109:$BD$166,39,FALSE)</f>
        <v>4236</v>
      </c>
      <c r="AS2" s="10">
        <f ca="1">VLOOKUP($B2,'[6]Analisys QBR By Machine Report'!$C$109:$BD$166,40,FALSE)</f>
        <v>20</v>
      </c>
      <c r="AT2" s="10">
        <f ca="1">VLOOKUP($B2,'[6]Analisys QBR By Machine Report'!$C$109:$BD$166,41,FALSE)</f>
        <v>0</v>
      </c>
      <c r="AU2" s="10">
        <f ca="1">VLOOKUP($B2,'[6]Analisys QBR By Machine Report'!$C$109:$BD$166,42,FALSE)</f>
        <v>487</v>
      </c>
      <c r="AV2" s="10">
        <f ca="1">VLOOKUP($B2,'[6]Analisys QBR By Machine Report'!$C$109:$BD$166,43,FALSE)</f>
        <v>0</v>
      </c>
      <c r="AW2" s="10">
        <f ca="1">VLOOKUP($B2,'[6]Analisys QBR By Machine Report'!$C$109:$BD$166,44,FALSE)</f>
        <v>0</v>
      </c>
      <c r="AX2" s="10">
        <f ca="1">VLOOKUP($B2,'[6]Analisys QBR By Machine Report'!$C$109:$BD$166,45,FALSE)</f>
        <v>0</v>
      </c>
      <c r="AY2" s="10">
        <f ca="1">VLOOKUP($B2,'[6]Analisys QBR By Machine Report'!$C$109:$BD$166,46,FALSE)</f>
        <v>0</v>
      </c>
      <c r="AZ2" s="10">
        <f ca="1">VLOOKUP($B2,'[6]Analisys QBR By Machine Report'!$C$109:$BD$166,47,FALSE)</f>
        <v>169</v>
      </c>
      <c r="BA2" s="10">
        <f ca="1">VLOOKUP($B2,'[6]Analisys QBR By Machine Report'!$C$109:$BD$166,48,FALSE)</f>
        <v>0</v>
      </c>
      <c r="BB2" s="10">
        <f ca="1">VLOOKUP($B2,'[6]Analisys QBR By Machine Report'!$C$109:$BD$166,49,FALSE)</f>
        <v>55</v>
      </c>
      <c r="BC2" s="10">
        <f ca="1">VLOOKUP($B2,'[6]Analisys QBR By Machine Report'!$C$109:$BD$166,50,FALSE)</f>
        <v>0</v>
      </c>
      <c r="BD2" s="10">
        <f ca="1">VLOOKUP($B2,'[6]Analisys QBR By Machine Report'!$C$109:$BD$166,51,FALSE)</f>
        <v>6832.58</v>
      </c>
      <c r="BE2" s="10">
        <f ca="1">VLOOKUP($B2,'[6]Analisys QBR By Machine Report'!$C$109:$BD$166,52,FALSE)</f>
        <v>0</v>
      </c>
      <c r="BF2" s="10">
        <f ca="1">VLOOKUP($B2,'[6]Analisys QBR By Machine Report'!$C$109:$BD$166,53,FALSE)</f>
        <v>6832.58</v>
      </c>
    </row>
    <row r="3" spans="1:58" x14ac:dyDescent="0.25">
      <c r="A3" s="12" t="s">
        <v>59</v>
      </c>
      <c r="B3" s="13">
        <f ca="1">VLOOKUP($B3,'[6]Analisys QBR By Machine Report'!$C$109:$BD$166,2,FALSE)</f>
        <v>27360</v>
      </c>
      <c r="C3" s="14">
        <f ca="1">VLOOKUP($B3,[6]Dasboard_QBR_Report!$B$109:$BL$166,3,FALSE)</f>
        <v>17670</v>
      </c>
      <c r="D3" s="13">
        <f ca="1">VLOOKUP($B3,'[6]Analisys QBR By Machine Report'!$C$109:$BD$166,3,FALSE)</f>
        <v>20580</v>
      </c>
      <c r="E3" s="14">
        <f ca="1">VLOOKUP($B3,[6]Dasboard_QBR_Report!$B$109:$BL$166,5,FALSE)</f>
        <v>10890</v>
      </c>
      <c r="F3" s="13">
        <f t="shared" ca="1" si="0"/>
        <v>6780</v>
      </c>
      <c r="G3" s="13">
        <f t="shared" ca="1" si="1"/>
        <v>700</v>
      </c>
      <c r="H3" s="13">
        <f ca="1">VLOOKUP($B3,'[6]Analisys QBR By Machine Report'!$C$109:$BD$166,4,FALSE)</f>
        <v>700</v>
      </c>
      <c r="I3" s="13">
        <f ca="1">VLOOKUP($B3,'[6]Analisys QBR By Machine Report'!$C$109:$BD$166,5,FALSE)</f>
        <v>330</v>
      </c>
      <c r="J3" s="13">
        <f ca="1">VLOOKUP($B3,'[6]Analisys QBR By Machine Report'!$C$109:$BD$166,6,FALSE)</f>
        <v>370</v>
      </c>
      <c r="K3" s="13">
        <f ca="1">VLOOKUP($B3,'[6]Analisys QBR By Machine Report'!$C$109:$BD$166,7,FALSE)</f>
        <v>0</v>
      </c>
      <c r="L3" s="13">
        <f ca="1">VLOOKUP($B3,'[6]Analisys QBR By Machine Report'!$C$109:$BD$166,8,FALSE)</f>
        <v>6080</v>
      </c>
      <c r="M3" s="13">
        <f ca="1">VLOOKUP($B3,'[6]Analisys QBR By Machine Report'!$C$109:$BD$166,9,FALSE)</f>
        <v>1417</v>
      </c>
      <c r="N3" s="13">
        <f ca="1">VLOOKUP($B3,[6]Dasboard_QBR_Report!$B$109:$BL$166,18,FALSE)</f>
        <v>4663</v>
      </c>
      <c r="O3" s="13">
        <f ca="1">VLOOKUP($B3,'[6]Analisys QBR By Machine Report'!$C$109:$BD$166,10,FALSE)</f>
        <v>180</v>
      </c>
      <c r="P3" s="13">
        <f ca="1">VLOOKUP($B3,'[6]Analisys QBR By Machine Report'!$C$109:$BD$166,11,FALSE)</f>
        <v>180</v>
      </c>
      <c r="Q3" s="13">
        <f ca="1">VLOOKUP($B3,'[6]Analisys QBR By Machine Report'!$C$109:$BD$166,12,FALSE)</f>
        <v>0</v>
      </c>
      <c r="R3" s="13">
        <f ca="1">VLOOKUP($B3,'[6]Analisys QBR By Machine Report'!$C$109:$BD$166,13,FALSE)</f>
        <v>0</v>
      </c>
      <c r="S3" s="13">
        <f ca="1">VLOOKUP($B3,'[6]Analisys QBR By Machine Report'!$C$109:$BD$166,14,FALSE)</f>
        <v>0</v>
      </c>
      <c r="T3" s="13">
        <f ca="1">VLOOKUP($B3,'[6]Analisys QBR By Machine Report'!$C$109:$BD$166,15,FALSE)</f>
        <v>0</v>
      </c>
      <c r="U3" s="13">
        <f ca="1">VLOOKUP($B3,'[6]Analisys QBR By Machine Report'!$C$109:$BD$166,16,FALSE)</f>
        <v>0</v>
      </c>
      <c r="V3" s="13">
        <f ca="1">VLOOKUP($B3,'[6]Analisys QBR By Machine Report'!$C$109:$BD$166,17,FALSE)</f>
        <v>0</v>
      </c>
      <c r="W3" s="13">
        <f ca="1">VLOOKUP($B3,'[6]Analisys QBR By Machine Report'!$C$109:$BD$166,18,FALSE)</f>
        <v>0</v>
      </c>
      <c r="X3" s="13">
        <f ca="1">VLOOKUP($B3,'[6]Analisys QBR By Machine Report'!$C$109:$BD$166,19,FALSE)</f>
        <v>0</v>
      </c>
      <c r="Y3" s="13">
        <f ca="1">VLOOKUP($B3,'[6]Analisys QBR By Machine Report'!$C$109:$BD$166,20,FALSE)</f>
        <v>0</v>
      </c>
      <c r="Z3" s="13">
        <f ca="1">VLOOKUP($B3,'[6]Analisys QBR By Machine Report'!$C$109:$BD$166,21,FALSE)</f>
        <v>3625</v>
      </c>
      <c r="AA3" s="13">
        <f ca="1">VLOOKUP($B3,'[6]Analisys QBR By Machine Report'!$C$109:$BD$166,22,FALSE)</f>
        <v>2295</v>
      </c>
      <c r="AB3" s="13">
        <f ca="1">VLOOKUP($B3,'[6]Analisys QBR By Machine Report'!$C$109:$BD$166,23,FALSE)</f>
        <v>1144</v>
      </c>
      <c r="AC3" s="13">
        <f ca="1">VLOOKUP($B3,'[6]Analisys QBR By Machine Report'!$C$109:$BD$166,24,FALSE)</f>
        <v>1</v>
      </c>
      <c r="AD3" s="13">
        <f ca="1">VLOOKUP($B3,'[6]Analisys QBR By Machine Report'!$C$109:$BD$166,25,FALSE)</f>
        <v>0</v>
      </c>
      <c r="AE3" s="13">
        <f ca="1">VLOOKUP($B3,'[6]Analisys QBR By Machine Report'!$C$109:$BD$166,26,FALSE)</f>
        <v>185</v>
      </c>
      <c r="AF3" s="13">
        <f ca="1">VLOOKUP($B3,'[6]Analisys QBR By Machine Report'!$C$109:$BD$166,27,FALSE)</f>
        <v>0</v>
      </c>
      <c r="AG3" s="13">
        <f ca="1">VLOOKUP($B3,'[6]Analisys QBR By Machine Report'!$C$109:$BD$166,28,FALSE)</f>
        <v>0</v>
      </c>
      <c r="AH3" s="13">
        <f ca="1">VLOOKUP($B3,'[6]Analisys QBR By Machine Report'!$C$109:$BD$166,29,FALSE)</f>
        <v>0</v>
      </c>
      <c r="AI3" s="13">
        <f ca="1">VLOOKUP($B3,'[6]Analisys QBR By Machine Report'!$C$109:$BD$166,30,FALSE)</f>
        <v>858</v>
      </c>
      <c r="AJ3" s="13">
        <f ca="1">VLOOKUP($B3,'[6]Analisys QBR By Machine Report'!$C$109:$BD$166,31,FALSE)</f>
        <v>40</v>
      </c>
      <c r="AK3" s="13">
        <f ca="1">VLOOKUP($B3,'[6]Analisys QBR By Machine Report'!$C$109:$BD$166,32,FALSE)</f>
        <v>0</v>
      </c>
      <c r="AL3" s="13">
        <f ca="1">VLOOKUP($B3,'[6]Analisys QBR By Machine Report'!$C$109:$BD$166,33,FALSE)</f>
        <v>360</v>
      </c>
      <c r="AM3" s="13">
        <f ca="1">VLOOKUP($B3,'[6]Analisys QBR By Machine Report'!$C$109:$BD$166,34,FALSE)</f>
        <v>0</v>
      </c>
      <c r="AN3" s="13">
        <f ca="1">VLOOKUP($B3,'[6]Analisys QBR By Machine Report'!$C$109:$BD$166,35,FALSE)</f>
        <v>195</v>
      </c>
      <c r="AO3" s="13">
        <f ca="1">VLOOKUP($B3,'[6]Analisys QBR By Machine Report'!$C$109:$BD$166,36,FALSE)</f>
        <v>0</v>
      </c>
      <c r="AP3" s="13">
        <f ca="1">VLOOKUP($B3,'[6]Analisys QBR By Machine Report'!$C$109:$BD$166,37,FALSE)</f>
        <v>0</v>
      </c>
      <c r="AQ3" s="13">
        <f ca="1">VLOOKUP($B3,'[6]Analisys QBR By Machine Report'!$C$109:$BD$166,38,FALSE)</f>
        <v>0</v>
      </c>
      <c r="AR3" s="13">
        <f ca="1">VLOOKUP($B3,'[6]Analisys QBR By Machine Report'!$C$109:$BD$166,39,FALSE)</f>
        <v>0</v>
      </c>
      <c r="AS3" s="13">
        <f ca="1">VLOOKUP($B3,'[6]Analisys QBR By Machine Report'!$C$109:$BD$166,40,FALSE)</f>
        <v>0</v>
      </c>
      <c r="AT3" s="13">
        <f ca="1">VLOOKUP($B3,'[6]Analisys QBR By Machine Report'!$C$109:$BD$166,41,FALSE)</f>
        <v>0</v>
      </c>
      <c r="AU3" s="13">
        <f ca="1">VLOOKUP($B3,'[6]Analisys QBR By Machine Report'!$C$109:$BD$166,42,FALSE)</f>
        <v>263</v>
      </c>
      <c r="AV3" s="13">
        <f ca="1">VLOOKUP($B3,'[6]Analisys QBR By Machine Report'!$C$109:$BD$166,43,FALSE)</f>
        <v>0</v>
      </c>
      <c r="AW3" s="13">
        <f ca="1">VLOOKUP($B3,'[6]Analisys QBR By Machine Report'!$C$109:$BD$166,44,FALSE)</f>
        <v>0</v>
      </c>
      <c r="AX3" s="13">
        <f ca="1">VLOOKUP($B3,'[6]Analisys QBR By Machine Report'!$C$109:$BD$166,45,FALSE)</f>
        <v>0</v>
      </c>
      <c r="AY3" s="13">
        <f ca="1">VLOOKUP($B3,'[6]Analisys QBR By Machine Report'!$C$109:$BD$166,46,FALSE)</f>
        <v>0</v>
      </c>
      <c r="AZ3" s="13">
        <f ca="1">VLOOKUP($B3,'[6]Analisys QBR By Machine Report'!$C$109:$BD$166,47,FALSE)</f>
        <v>0</v>
      </c>
      <c r="BA3" s="13">
        <f ca="1">VLOOKUP($B3,'[6]Analisys QBR By Machine Report'!$C$109:$BD$166,48,FALSE)</f>
        <v>0</v>
      </c>
      <c r="BB3" s="13">
        <f ca="1">VLOOKUP($B3,'[6]Analisys QBR By Machine Report'!$C$109:$BD$166,49,FALSE)</f>
        <v>0</v>
      </c>
      <c r="BC3" s="13">
        <f ca="1">VLOOKUP($B3,'[6]Analisys QBR By Machine Report'!$C$109:$BD$166,50,FALSE)</f>
        <v>0</v>
      </c>
      <c r="BD3" s="13">
        <f ca="1">VLOOKUP($B3,'[6]Analisys QBR By Machine Report'!$C$109:$BD$166,51,FALSE)</f>
        <v>640.91</v>
      </c>
      <c r="BE3" s="13">
        <f ca="1">VLOOKUP($B3,'[6]Analisys QBR By Machine Report'!$C$109:$BD$166,52,FALSE)</f>
        <v>0</v>
      </c>
      <c r="BF3" s="13">
        <f ca="1">VLOOKUP($B3,'[6]Analisys QBR By Machine Report'!$C$109:$BD$166,53,FALSE)</f>
        <v>640.91</v>
      </c>
    </row>
    <row r="4" spans="1:58" x14ac:dyDescent="0.25">
      <c r="A4" s="12" t="s">
        <v>60</v>
      </c>
      <c r="B4" s="13">
        <f ca="1">VLOOKUP($B4,'[6]Analisys QBR By Machine Report'!$C$109:$BD$166,2,FALSE)</f>
        <v>27360</v>
      </c>
      <c r="C4" s="14">
        <f ca="1">VLOOKUP($B4,[6]Dasboard_QBR_Report!$B$109:$BL$166,3,FALSE)</f>
        <v>17670</v>
      </c>
      <c r="D4" s="13">
        <f ca="1">VLOOKUP($B4,'[6]Analisys QBR By Machine Report'!$C$109:$BD$166,3,FALSE)</f>
        <v>21600</v>
      </c>
      <c r="E4" s="14">
        <f ca="1">VLOOKUP($B4,[6]Dasboard_QBR_Report!$B$109:$BL$166,5,FALSE)</f>
        <v>11910</v>
      </c>
      <c r="F4" s="13">
        <f t="shared" ca="1" si="0"/>
        <v>5760</v>
      </c>
      <c r="G4" s="13">
        <f t="shared" ca="1" si="1"/>
        <v>344</v>
      </c>
      <c r="H4" s="13">
        <f ca="1">VLOOKUP($B4,'[6]Analisys QBR By Machine Report'!$C$109:$BD$166,4,FALSE)</f>
        <v>0</v>
      </c>
      <c r="I4" s="13">
        <f ca="1">VLOOKUP($B4,'[6]Analisys QBR By Machine Report'!$C$109:$BD$166,5,FALSE)</f>
        <v>0</v>
      </c>
      <c r="J4" s="13">
        <f ca="1">VLOOKUP($B4,'[6]Analisys QBR By Machine Report'!$C$109:$BD$166,6,FALSE)</f>
        <v>0</v>
      </c>
      <c r="K4" s="13">
        <f ca="1">VLOOKUP($B4,'[6]Analisys QBR By Machine Report'!$C$109:$BD$166,7,FALSE)</f>
        <v>344</v>
      </c>
      <c r="L4" s="13">
        <f ca="1">VLOOKUP($B4,'[6]Analisys QBR By Machine Report'!$C$109:$BD$166,8,FALSE)</f>
        <v>5416</v>
      </c>
      <c r="M4" s="13">
        <f ca="1">VLOOKUP($B4,'[6]Analisys QBR By Machine Report'!$C$109:$BD$166,9,FALSE)</f>
        <v>1652</v>
      </c>
      <c r="N4" s="13">
        <f ca="1">VLOOKUP($B4,[6]Dasboard_QBR_Report!$B$109:$BL$166,18,FALSE)</f>
        <v>3764</v>
      </c>
      <c r="O4" s="13">
        <f ca="1">VLOOKUP($B4,'[6]Analisys QBR By Machine Report'!$C$109:$BD$166,10,FALSE)</f>
        <v>195</v>
      </c>
      <c r="P4" s="13">
        <f ca="1">VLOOKUP($B4,'[6]Analisys QBR By Machine Report'!$C$109:$BD$166,11,FALSE)</f>
        <v>195</v>
      </c>
      <c r="Q4" s="13">
        <f ca="1">VLOOKUP($B4,'[6]Analisys QBR By Machine Report'!$C$109:$BD$166,12,FALSE)</f>
        <v>0</v>
      </c>
      <c r="R4" s="13">
        <f ca="1">VLOOKUP($B4,'[6]Analisys QBR By Machine Report'!$C$109:$BD$166,13,FALSE)</f>
        <v>0</v>
      </c>
      <c r="S4" s="13">
        <f ca="1">VLOOKUP($B4,'[6]Analisys QBR By Machine Report'!$C$109:$BD$166,14,FALSE)</f>
        <v>0</v>
      </c>
      <c r="T4" s="13">
        <f ca="1">VLOOKUP($B4,'[6]Analisys QBR By Machine Report'!$C$109:$BD$166,15,FALSE)</f>
        <v>0</v>
      </c>
      <c r="U4" s="13">
        <f ca="1">VLOOKUP($B4,'[6]Analisys QBR By Machine Report'!$C$109:$BD$166,16,FALSE)</f>
        <v>0</v>
      </c>
      <c r="V4" s="13">
        <f ca="1">VLOOKUP($B4,'[6]Analisys QBR By Machine Report'!$C$109:$BD$166,17,FALSE)</f>
        <v>0</v>
      </c>
      <c r="W4" s="13">
        <f ca="1">VLOOKUP($B4,'[6]Analisys QBR By Machine Report'!$C$109:$BD$166,18,FALSE)</f>
        <v>0</v>
      </c>
      <c r="X4" s="13">
        <f ca="1">VLOOKUP($B4,'[6]Analisys QBR By Machine Report'!$C$109:$BD$166,19,FALSE)</f>
        <v>0</v>
      </c>
      <c r="Y4" s="13">
        <f ca="1">VLOOKUP($B4,'[6]Analisys QBR By Machine Report'!$C$109:$BD$166,20,FALSE)</f>
        <v>0</v>
      </c>
      <c r="Z4" s="13">
        <f ca="1">VLOOKUP($B4,'[6]Analisys QBR By Machine Report'!$C$109:$BD$166,21,FALSE)</f>
        <v>2780</v>
      </c>
      <c r="AA4" s="13">
        <f ca="1">VLOOKUP($B4,'[6]Analisys QBR By Machine Report'!$C$109:$BD$166,22,FALSE)</f>
        <v>1697</v>
      </c>
      <c r="AB4" s="13">
        <f ca="1">VLOOKUP($B4,'[6]Analisys QBR By Machine Report'!$C$109:$BD$166,23,FALSE)</f>
        <v>995</v>
      </c>
      <c r="AC4" s="13">
        <f ca="1">VLOOKUP($B4,'[6]Analisys QBR By Machine Report'!$C$109:$BD$166,24,FALSE)</f>
        <v>13</v>
      </c>
      <c r="AD4" s="13">
        <f ca="1">VLOOKUP($B4,'[6]Analisys QBR By Machine Report'!$C$109:$BD$166,25,FALSE)</f>
        <v>0</v>
      </c>
      <c r="AE4" s="13">
        <f ca="1">VLOOKUP($B4,'[6]Analisys QBR By Machine Report'!$C$109:$BD$166,26,FALSE)</f>
        <v>75</v>
      </c>
      <c r="AF4" s="13">
        <f ca="1">VLOOKUP($B4,'[6]Analisys QBR By Machine Report'!$C$109:$BD$166,27,FALSE)</f>
        <v>0</v>
      </c>
      <c r="AG4" s="13">
        <f ca="1">VLOOKUP($B4,'[6]Analisys QBR By Machine Report'!$C$109:$BD$166,28,FALSE)</f>
        <v>0</v>
      </c>
      <c r="AH4" s="13">
        <f ca="1">VLOOKUP($B4,'[6]Analisys QBR By Machine Report'!$C$109:$BD$166,29,FALSE)</f>
        <v>0</v>
      </c>
      <c r="AI4" s="13">
        <f ca="1">VLOOKUP($B4,'[6]Analisys QBR By Machine Report'!$C$109:$BD$166,30,FALSE)</f>
        <v>789</v>
      </c>
      <c r="AJ4" s="13">
        <f ca="1">VLOOKUP($B4,'[6]Analisys QBR By Machine Report'!$C$109:$BD$166,31,FALSE)</f>
        <v>0</v>
      </c>
      <c r="AK4" s="13">
        <f ca="1">VLOOKUP($B4,'[6]Analisys QBR By Machine Report'!$C$109:$BD$166,32,FALSE)</f>
        <v>0</v>
      </c>
      <c r="AL4" s="13">
        <f ca="1">VLOOKUP($B4,'[6]Analisys QBR By Machine Report'!$C$109:$BD$166,33,FALSE)</f>
        <v>330</v>
      </c>
      <c r="AM4" s="13">
        <f ca="1">VLOOKUP($B4,'[6]Analisys QBR By Machine Report'!$C$109:$BD$166,34,FALSE)</f>
        <v>0</v>
      </c>
      <c r="AN4" s="13">
        <f ca="1">VLOOKUP($B4,'[6]Analisys QBR By Machine Report'!$C$109:$BD$166,35,FALSE)</f>
        <v>210</v>
      </c>
      <c r="AO4" s="13">
        <f ca="1">VLOOKUP($B4,'[6]Analisys QBR By Machine Report'!$C$109:$BD$166,36,FALSE)</f>
        <v>0</v>
      </c>
      <c r="AP4" s="13">
        <f ca="1">VLOOKUP($B4,'[6]Analisys QBR By Machine Report'!$C$109:$BD$166,37,FALSE)</f>
        <v>0</v>
      </c>
      <c r="AQ4" s="13">
        <f ca="1">VLOOKUP($B4,'[6]Analisys QBR By Machine Report'!$C$109:$BD$166,38,FALSE)</f>
        <v>0</v>
      </c>
      <c r="AR4" s="13">
        <f ca="1">VLOOKUP($B4,'[6]Analisys QBR By Machine Report'!$C$109:$BD$166,39,FALSE)</f>
        <v>0</v>
      </c>
      <c r="AS4" s="13">
        <f ca="1">VLOOKUP($B4,'[6]Analisys QBR By Machine Report'!$C$109:$BD$166,40,FALSE)</f>
        <v>0</v>
      </c>
      <c r="AT4" s="13">
        <f ca="1">VLOOKUP($B4,'[6]Analisys QBR By Machine Report'!$C$109:$BD$166,41,FALSE)</f>
        <v>0</v>
      </c>
      <c r="AU4" s="13">
        <f ca="1">VLOOKUP($B4,'[6]Analisys QBR By Machine Report'!$C$109:$BD$166,42,FALSE)</f>
        <v>194</v>
      </c>
      <c r="AV4" s="13">
        <f ca="1">VLOOKUP($B4,'[6]Analisys QBR By Machine Report'!$C$109:$BD$166,43,FALSE)</f>
        <v>0</v>
      </c>
      <c r="AW4" s="13">
        <f ca="1">VLOOKUP($B4,'[6]Analisys QBR By Machine Report'!$C$109:$BD$166,44,FALSE)</f>
        <v>0</v>
      </c>
      <c r="AX4" s="13">
        <f ca="1">VLOOKUP($B4,'[6]Analisys QBR By Machine Report'!$C$109:$BD$166,45,FALSE)</f>
        <v>0</v>
      </c>
      <c r="AY4" s="13">
        <f ca="1">VLOOKUP($B4,'[6]Analisys QBR By Machine Report'!$C$109:$BD$166,46,FALSE)</f>
        <v>0</v>
      </c>
      <c r="AZ4" s="13">
        <f ca="1">VLOOKUP($B4,'[6]Analisys QBR By Machine Report'!$C$109:$BD$166,47,FALSE)</f>
        <v>0</v>
      </c>
      <c r="BA4" s="13">
        <f ca="1">VLOOKUP($B4,'[6]Analisys QBR By Machine Report'!$C$109:$BD$166,48,FALSE)</f>
        <v>0</v>
      </c>
      <c r="BB4" s="13">
        <f ca="1">VLOOKUP($B4,'[6]Analisys QBR By Machine Report'!$C$109:$BD$166,49,FALSE)</f>
        <v>55</v>
      </c>
      <c r="BC4" s="13">
        <f ca="1">VLOOKUP($B4,'[6]Analisys QBR By Machine Report'!$C$109:$BD$166,50,FALSE)</f>
        <v>0</v>
      </c>
      <c r="BD4" s="13">
        <f ca="1">VLOOKUP($B4,'[6]Analisys QBR By Machine Report'!$C$109:$BD$166,51,FALSE)</f>
        <v>1841.37</v>
      </c>
      <c r="BE4" s="13">
        <f ca="1">VLOOKUP($B4,'[6]Analisys QBR By Machine Report'!$C$109:$BD$166,52,FALSE)</f>
        <v>0</v>
      </c>
      <c r="BF4" s="13">
        <f ca="1">VLOOKUP($B4,'[6]Analisys QBR By Machine Report'!$C$109:$BD$166,53,FALSE)</f>
        <v>1841.37</v>
      </c>
    </row>
    <row r="5" spans="1:58" x14ac:dyDescent="0.25">
      <c r="A5" s="12" t="s">
        <v>61</v>
      </c>
      <c r="B5" s="13">
        <f ca="1">VLOOKUP($B5,'[6]Analisys QBR By Machine Report'!$C$109:$BD$166,2,FALSE)</f>
        <v>27360</v>
      </c>
      <c r="C5" s="14">
        <f ca="1">VLOOKUP($B5,[6]Dasboard_QBR_Report!$B$109:$BL$166,3,FALSE)</f>
        <v>17670</v>
      </c>
      <c r="D5" s="13">
        <f ca="1">VLOOKUP($B5,'[6]Analisys QBR By Machine Report'!$C$109:$BD$166,3,FALSE)</f>
        <v>14880</v>
      </c>
      <c r="E5" s="14">
        <f ca="1">VLOOKUP($B5,[6]Dasboard_QBR_Report!$B$109:$BL$166,5,FALSE)</f>
        <v>5190</v>
      </c>
      <c r="F5" s="13">
        <f t="shared" ca="1" si="0"/>
        <v>12480</v>
      </c>
      <c r="G5" s="13">
        <f t="shared" ca="1" si="1"/>
        <v>1940</v>
      </c>
      <c r="H5" s="13">
        <f ca="1">VLOOKUP($B5,'[6]Analisys QBR By Machine Report'!$C$109:$BD$166,4,FALSE)</f>
        <v>1500</v>
      </c>
      <c r="I5" s="13">
        <f ca="1">VLOOKUP($B5,'[6]Analisys QBR By Machine Report'!$C$109:$BD$166,5,FALSE)</f>
        <v>20</v>
      </c>
      <c r="J5" s="13">
        <f ca="1">VLOOKUP($B5,'[6]Analisys QBR By Machine Report'!$C$109:$BD$166,6,FALSE)</f>
        <v>1480</v>
      </c>
      <c r="K5" s="13">
        <f ca="1">VLOOKUP($B5,'[6]Analisys QBR By Machine Report'!$C$109:$BD$166,7,FALSE)</f>
        <v>440</v>
      </c>
      <c r="L5" s="13">
        <f ca="1">VLOOKUP($B5,'[6]Analisys QBR By Machine Report'!$C$109:$BD$166,8,FALSE)</f>
        <v>10540</v>
      </c>
      <c r="M5" s="13">
        <f ca="1">VLOOKUP($B5,'[6]Analisys QBR By Machine Report'!$C$109:$BD$166,9,FALSE)</f>
        <v>717</v>
      </c>
      <c r="N5" s="13">
        <f ca="1">VLOOKUP($B5,[6]Dasboard_QBR_Report!$B$109:$BL$166,18,FALSE)</f>
        <v>9823</v>
      </c>
      <c r="O5" s="13">
        <f ca="1">VLOOKUP($B5,'[6]Analisys QBR By Machine Report'!$C$109:$BD$166,10,FALSE)</f>
        <v>473</v>
      </c>
      <c r="P5" s="13">
        <f ca="1">VLOOKUP($B5,'[6]Analisys QBR By Machine Report'!$C$109:$BD$166,11,FALSE)</f>
        <v>473</v>
      </c>
      <c r="Q5" s="13">
        <f ca="1">VLOOKUP($B5,'[6]Analisys QBR By Machine Report'!$C$109:$BD$166,12,FALSE)</f>
        <v>0</v>
      </c>
      <c r="R5" s="13">
        <f ca="1">VLOOKUP($B5,'[6]Analisys QBR By Machine Report'!$C$109:$BD$166,13,FALSE)</f>
        <v>0</v>
      </c>
      <c r="S5" s="13">
        <f ca="1">VLOOKUP($B5,'[6]Analisys QBR By Machine Report'!$C$109:$BD$166,14,FALSE)</f>
        <v>0</v>
      </c>
      <c r="T5" s="13">
        <f ca="1">VLOOKUP($B5,'[6]Analisys QBR By Machine Report'!$C$109:$BD$166,15,FALSE)</f>
        <v>0</v>
      </c>
      <c r="U5" s="13">
        <f ca="1">VLOOKUP($B5,'[6]Analisys QBR By Machine Report'!$C$109:$BD$166,16,FALSE)</f>
        <v>0</v>
      </c>
      <c r="V5" s="13">
        <f ca="1">VLOOKUP($B5,'[6]Analisys QBR By Machine Report'!$C$109:$BD$166,17,FALSE)</f>
        <v>0</v>
      </c>
      <c r="W5" s="13">
        <f ca="1">VLOOKUP($B5,'[6]Analisys QBR By Machine Report'!$C$109:$BD$166,18,FALSE)</f>
        <v>0</v>
      </c>
      <c r="X5" s="13">
        <f ca="1">VLOOKUP($B5,'[6]Analisys QBR By Machine Report'!$C$109:$BD$166,19,FALSE)</f>
        <v>0</v>
      </c>
      <c r="Y5" s="13">
        <f ca="1">VLOOKUP($B5,'[6]Analisys QBR By Machine Report'!$C$109:$BD$166,20,FALSE)</f>
        <v>0</v>
      </c>
      <c r="Z5" s="13">
        <f ca="1">VLOOKUP($B5,'[6]Analisys QBR By Machine Report'!$C$109:$BD$166,21,FALSE)</f>
        <v>3730</v>
      </c>
      <c r="AA5" s="13">
        <f ca="1">VLOOKUP($B5,'[6]Analisys QBR By Machine Report'!$C$109:$BD$166,22,FALSE)</f>
        <v>1476</v>
      </c>
      <c r="AB5" s="13">
        <f ca="1">VLOOKUP($B5,'[6]Analisys QBR By Machine Report'!$C$109:$BD$166,23,FALSE)</f>
        <v>2084</v>
      </c>
      <c r="AC5" s="13">
        <f ca="1">VLOOKUP($B5,'[6]Analisys QBR By Machine Report'!$C$109:$BD$166,24,FALSE)</f>
        <v>0</v>
      </c>
      <c r="AD5" s="13">
        <f ca="1">VLOOKUP($B5,'[6]Analisys QBR By Machine Report'!$C$109:$BD$166,25,FALSE)</f>
        <v>0</v>
      </c>
      <c r="AE5" s="13">
        <f ca="1">VLOOKUP($B5,'[6]Analisys QBR By Machine Report'!$C$109:$BD$166,26,FALSE)</f>
        <v>170</v>
      </c>
      <c r="AF5" s="13">
        <f ca="1">VLOOKUP($B5,'[6]Analisys QBR By Machine Report'!$C$109:$BD$166,27,FALSE)</f>
        <v>85</v>
      </c>
      <c r="AG5" s="13">
        <f ca="1">VLOOKUP($B5,'[6]Analisys QBR By Machine Report'!$C$109:$BD$166,28,FALSE)</f>
        <v>0</v>
      </c>
      <c r="AH5" s="13">
        <f ca="1">VLOOKUP($B5,'[6]Analisys QBR By Machine Report'!$C$109:$BD$166,29,FALSE)</f>
        <v>85</v>
      </c>
      <c r="AI5" s="13">
        <f ca="1">VLOOKUP($B5,'[6]Analisys QBR By Machine Report'!$C$109:$BD$166,30,FALSE)</f>
        <v>5535</v>
      </c>
      <c r="AJ5" s="13">
        <f ca="1">VLOOKUP($B5,'[6]Analisys QBR By Machine Report'!$C$109:$BD$166,31,FALSE)</f>
        <v>0</v>
      </c>
      <c r="AK5" s="13">
        <f ca="1">VLOOKUP($B5,'[6]Analisys QBR By Machine Report'!$C$109:$BD$166,32,FALSE)</f>
        <v>0</v>
      </c>
      <c r="AL5" s="13">
        <f ca="1">VLOOKUP($B5,'[6]Analisys QBR By Machine Report'!$C$109:$BD$166,33,FALSE)</f>
        <v>600</v>
      </c>
      <c r="AM5" s="13">
        <f ca="1">VLOOKUP($B5,'[6]Analisys QBR By Machine Report'!$C$109:$BD$166,34,FALSE)</f>
        <v>0</v>
      </c>
      <c r="AN5" s="13">
        <f ca="1">VLOOKUP($B5,'[6]Analisys QBR By Machine Report'!$C$109:$BD$166,35,FALSE)</f>
        <v>480</v>
      </c>
      <c r="AO5" s="13">
        <f ca="1">VLOOKUP($B5,'[6]Analisys QBR By Machine Report'!$C$109:$BD$166,36,FALSE)</f>
        <v>0</v>
      </c>
      <c r="AP5" s="13">
        <f ca="1">VLOOKUP($B5,'[6]Analisys QBR By Machine Report'!$C$109:$BD$166,37,FALSE)</f>
        <v>0</v>
      </c>
      <c r="AQ5" s="13">
        <f ca="1">VLOOKUP($B5,'[6]Analisys QBR By Machine Report'!$C$109:$BD$166,38,FALSE)</f>
        <v>0</v>
      </c>
      <c r="AR5" s="13">
        <f ca="1">VLOOKUP($B5,'[6]Analisys QBR By Machine Report'!$C$109:$BD$166,39,FALSE)</f>
        <v>4236</v>
      </c>
      <c r="AS5" s="13">
        <f ca="1">VLOOKUP($B5,'[6]Analisys QBR By Machine Report'!$C$109:$BD$166,40,FALSE)</f>
        <v>20</v>
      </c>
      <c r="AT5" s="13">
        <f ca="1">VLOOKUP($B5,'[6]Analisys QBR By Machine Report'!$C$109:$BD$166,41,FALSE)</f>
        <v>0</v>
      </c>
      <c r="AU5" s="13">
        <f ca="1">VLOOKUP($B5,'[6]Analisys QBR By Machine Report'!$C$109:$BD$166,42,FALSE)</f>
        <v>30</v>
      </c>
      <c r="AV5" s="13">
        <f ca="1">VLOOKUP($B5,'[6]Analisys QBR By Machine Report'!$C$109:$BD$166,43,FALSE)</f>
        <v>0</v>
      </c>
      <c r="AW5" s="13">
        <f ca="1">VLOOKUP($B5,'[6]Analisys QBR By Machine Report'!$C$109:$BD$166,44,FALSE)</f>
        <v>0</v>
      </c>
      <c r="AX5" s="13">
        <f ca="1">VLOOKUP($B5,'[6]Analisys QBR By Machine Report'!$C$109:$BD$166,45,FALSE)</f>
        <v>0</v>
      </c>
      <c r="AY5" s="13">
        <f ca="1">VLOOKUP($B5,'[6]Analisys QBR By Machine Report'!$C$109:$BD$166,46,FALSE)</f>
        <v>0</v>
      </c>
      <c r="AZ5" s="13">
        <f ca="1">VLOOKUP($B5,'[6]Analisys QBR By Machine Report'!$C$109:$BD$166,47,FALSE)</f>
        <v>169</v>
      </c>
      <c r="BA5" s="13">
        <f ca="1">VLOOKUP($B5,'[6]Analisys QBR By Machine Report'!$C$109:$BD$166,48,FALSE)</f>
        <v>0</v>
      </c>
      <c r="BB5" s="13">
        <f ca="1">VLOOKUP($B5,'[6]Analisys QBR By Machine Report'!$C$109:$BD$166,49,FALSE)</f>
        <v>0</v>
      </c>
      <c r="BC5" s="13">
        <f ca="1">VLOOKUP($B5,'[6]Analisys QBR By Machine Report'!$C$109:$BD$166,50,FALSE)</f>
        <v>0</v>
      </c>
      <c r="BD5" s="13">
        <f ca="1">VLOOKUP($B5,'[6]Analisys QBR By Machine Report'!$C$109:$BD$166,51,FALSE)</f>
        <v>4350.3</v>
      </c>
      <c r="BE5" s="13">
        <f ca="1">VLOOKUP($B5,'[6]Analisys QBR By Machine Report'!$C$109:$BD$166,52,FALSE)</f>
        <v>0</v>
      </c>
      <c r="BF5" s="13">
        <f ca="1">VLOOKUP($B5,'[6]Analisys QBR By Machine Report'!$C$109:$BD$166,53,FALSE)</f>
        <v>4350.3</v>
      </c>
    </row>
    <row r="6" spans="1:58" x14ac:dyDescent="0.25">
      <c r="A6" s="9" t="s">
        <v>62</v>
      </c>
      <c r="B6" s="10">
        <f ca="1">VLOOKUP($B6,'[6]Analisys QBR By Machine Report'!$C$109:$BD$166,2,FALSE)</f>
        <v>54720</v>
      </c>
      <c r="C6" s="11">
        <f ca="1">VLOOKUP($B6,[6]Dasboard_QBR_Report!$B$109:$BL$166,3,FALSE)</f>
        <v>18240</v>
      </c>
      <c r="D6" s="10">
        <f ca="1">VLOOKUP($B6,'[6]Analisys QBR By Machine Report'!$C$109:$BD$166,3,FALSE)</f>
        <v>54210</v>
      </c>
      <c r="E6" s="11">
        <f ca="1">VLOOKUP($B6,[6]Dasboard_QBR_Report!$B$109:$BL$166,5,FALSE)</f>
        <v>17730</v>
      </c>
      <c r="F6" s="10">
        <f t="shared" ca="1" si="0"/>
        <v>510</v>
      </c>
      <c r="G6" s="10">
        <f t="shared" ca="1" si="1"/>
        <v>285</v>
      </c>
      <c r="H6" s="10">
        <f ca="1">VLOOKUP($B6,'[6]Analisys QBR By Machine Report'!$C$109:$BD$166,4,FALSE)</f>
        <v>285</v>
      </c>
      <c r="I6" s="10">
        <f ca="1">VLOOKUP($B6,'[6]Analisys QBR By Machine Report'!$C$109:$BD$166,5,FALSE)</f>
        <v>0</v>
      </c>
      <c r="J6" s="10">
        <f ca="1">VLOOKUP($B6,'[6]Analisys QBR By Machine Report'!$C$109:$BD$166,6,FALSE)</f>
        <v>285</v>
      </c>
      <c r="K6" s="10">
        <f ca="1">VLOOKUP($B6,'[6]Analisys QBR By Machine Report'!$C$109:$BD$166,7,FALSE)</f>
        <v>0</v>
      </c>
      <c r="L6" s="10">
        <f ca="1">VLOOKUP($B6,'[6]Analisys QBR By Machine Report'!$C$109:$BD$166,8,FALSE)</f>
        <v>225</v>
      </c>
      <c r="M6" s="10">
        <f ca="1">VLOOKUP($B6,'[6]Analisys QBR By Machine Report'!$C$109:$BD$166,9,FALSE)</f>
        <v>0</v>
      </c>
      <c r="N6" s="10">
        <f ca="1">VLOOKUP($B6,[6]Dasboard_QBR_Report!$B$109:$BL$166,18,FALSE)</f>
        <v>225</v>
      </c>
      <c r="O6" s="10">
        <f ca="1">VLOOKUP($B6,'[6]Analisys QBR By Machine Report'!$C$109:$BD$166,10,FALSE)</f>
        <v>170</v>
      </c>
      <c r="P6" s="10">
        <f ca="1">VLOOKUP($B6,'[6]Analisys QBR By Machine Report'!$C$109:$BD$166,11,FALSE)</f>
        <v>170</v>
      </c>
      <c r="Q6" s="10">
        <f ca="1">VLOOKUP($B6,'[6]Analisys QBR By Machine Report'!$C$109:$BD$166,12,FALSE)</f>
        <v>0</v>
      </c>
      <c r="R6" s="10">
        <f ca="1">VLOOKUP($B6,'[6]Analisys QBR By Machine Report'!$C$109:$BD$166,13,FALSE)</f>
        <v>0</v>
      </c>
      <c r="S6" s="10">
        <f ca="1">VLOOKUP($B6,'[6]Analisys QBR By Machine Report'!$C$109:$BD$166,14,FALSE)</f>
        <v>0</v>
      </c>
      <c r="T6" s="10">
        <f ca="1">VLOOKUP($B6,'[6]Analisys QBR By Machine Report'!$C$109:$BD$166,15,FALSE)</f>
        <v>0</v>
      </c>
      <c r="U6" s="10">
        <f ca="1">VLOOKUP($B6,'[6]Analisys QBR By Machine Report'!$C$109:$BD$166,16,FALSE)</f>
        <v>0</v>
      </c>
      <c r="V6" s="10">
        <f ca="1">VLOOKUP($B6,'[6]Analisys QBR By Machine Report'!$C$109:$BD$166,17,FALSE)</f>
        <v>0</v>
      </c>
      <c r="W6" s="10">
        <f ca="1">VLOOKUP($B6,'[6]Analisys QBR By Machine Report'!$C$109:$BD$166,18,FALSE)</f>
        <v>0</v>
      </c>
      <c r="X6" s="10">
        <f ca="1">VLOOKUP($B6,'[6]Analisys QBR By Machine Report'!$C$109:$BD$166,19,FALSE)</f>
        <v>0</v>
      </c>
      <c r="Y6" s="10">
        <f ca="1">VLOOKUP($B6,'[6]Analisys QBR By Machine Report'!$C$109:$BD$166,20,FALSE)</f>
        <v>0</v>
      </c>
      <c r="Z6" s="10">
        <f ca="1">VLOOKUP($B6,'[6]Analisys QBR By Machine Report'!$C$109:$BD$166,21,FALSE)</f>
        <v>40</v>
      </c>
      <c r="AA6" s="10">
        <f ca="1">VLOOKUP($B6,'[6]Analisys QBR By Machine Report'!$C$109:$BD$166,22,FALSE)</f>
        <v>0</v>
      </c>
      <c r="AB6" s="10">
        <f ca="1">VLOOKUP($B6,'[6]Analisys QBR By Machine Report'!$C$109:$BD$166,23,FALSE)</f>
        <v>0</v>
      </c>
      <c r="AC6" s="10">
        <f ca="1">VLOOKUP($B6,'[6]Analisys QBR By Machine Report'!$C$109:$BD$166,24,FALSE)</f>
        <v>0</v>
      </c>
      <c r="AD6" s="10">
        <f ca="1">VLOOKUP($B6,'[6]Analisys QBR By Machine Report'!$C$109:$BD$166,25,FALSE)</f>
        <v>0</v>
      </c>
      <c r="AE6" s="10">
        <f ca="1">VLOOKUP($B6,'[6]Analisys QBR By Machine Report'!$C$109:$BD$166,26,FALSE)</f>
        <v>40</v>
      </c>
      <c r="AF6" s="10">
        <f ca="1">VLOOKUP($B6,'[6]Analisys QBR By Machine Report'!$C$109:$BD$166,27,FALSE)</f>
        <v>0</v>
      </c>
      <c r="AG6" s="10">
        <f ca="1">VLOOKUP($B6,'[6]Analisys QBR By Machine Report'!$C$109:$BD$166,28,FALSE)</f>
        <v>0</v>
      </c>
      <c r="AH6" s="10">
        <f ca="1">VLOOKUP($B6,'[6]Analisys QBR By Machine Report'!$C$109:$BD$166,29,FALSE)</f>
        <v>0</v>
      </c>
      <c r="AI6" s="10">
        <f ca="1">VLOOKUP($B6,'[6]Analisys QBR By Machine Report'!$C$109:$BD$166,30,FALSE)</f>
        <v>15</v>
      </c>
      <c r="AJ6" s="10">
        <f ca="1">VLOOKUP($B6,'[6]Analisys QBR By Machine Report'!$C$109:$BD$166,31,FALSE)</f>
        <v>0</v>
      </c>
      <c r="AK6" s="10">
        <f ca="1">VLOOKUP($B6,'[6]Analisys QBR By Machine Report'!$C$109:$BD$166,32,FALSE)</f>
        <v>0</v>
      </c>
      <c r="AL6" s="10">
        <f ca="1">VLOOKUP($B6,'[6]Analisys QBR By Machine Report'!$C$109:$BD$166,33,FALSE)</f>
        <v>0</v>
      </c>
      <c r="AM6" s="10">
        <f ca="1">VLOOKUP($B6,'[6]Analisys QBR By Machine Report'!$C$109:$BD$166,34,FALSE)</f>
        <v>0</v>
      </c>
      <c r="AN6" s="10">
        <f ca="1">VLOOKUP($B6,'[6]Analisys QBR By Machine Report'!$C$109:$BD$166,35,FALSE)</f>
        <v>0</v>
      </c>
      <c r="AO6" s="10">
        <f ca="1">VLOOKUP($B6,'[6]Analisys QBR By Machine Report'!$C$109:$BD$166,36,FALSE)</f>
        <v>0</v>
      </c>
      <c r="AP6" s="10">
        <f ca="1">VLOOKUP($B6,'[6]Analisys QBR By Machine Report'!$C$109:$BD$166,37,FALSE)</f>
        <v>0</v>
      </c>
      <c r="AQ6" s="10">
        <f ca="1">VLOOKUP($B6,'[6]Analisys QBR By Machine Report'!$C$109:$BD$166,38,FALSE)</f>
        <v>0</v>
      </c>
      <c r="AR6" s="10">
        <f ca="1">VLOOKUP($B6,'[6]Analisys QBR By Machine Report'!$C$109:$BD$166,39,FALSE)</f>
        <v>0</v>
      </c>
      <c r="AS6" s="10">
        <f ca="1">VLOOKUP($B6,'[6]Analisys QBR By Machine Report'!$C$109:$BD$166,40,FALSE)</f>
        <v>15</v>
      </c>
      <c r="AT6" s="10">
        <f ca="1">VLOOKUP($B6,'[6]Analisys QBR By Machine Report'!$C$109:$BD$166,41,FALSE)</f>
        <v>0</v>
      </c>
      <c r="AU6" s="10">
        <f ca="1">VLOOKUP($B6,'[6]Analisys QBR By Machine Report'!$C$109:$BD$166,42,FALSE)</f>
        <v>0</v>
      </c>
      <c r="AV6" s="10">
        <f ca="1">VLOOKUP($B6,'[6]Analisys QBR By Machine Report'!$C$109:$BD$166,43,FALSE)</f>
        <v>0</v>
      </c>
      <c r="AW6" s="10">
        <f ca="1">VLOOKUP($B6,'[6]Analisys QBR By Machine Report'!$C$109:$BD$166,44,FALSE)</f>
        <v>0</v>
      </c>
      <c r="AX6" s="10">
        <f ca="1">VLOOKUP($B6,'[6]Analisys QBR By Machine Report'!$C$109:$BD$166,45,FALSE)</f>
        <v>0</v>
      </c>
      <c r="AY6" s="10">
        <f ca="1">VLOOKUP($B6,'[6]Analisys QBR By Machine Report'!$C$109:$BD$166,46,FALSE)</f>
        <v>0</v>
      </c>
      <c r="AZ6" s="10">
        <f ca="1">VLOOKUP($B6,'[6]Analisys QBR By Machine Report'!$C$109:$BD$166,47,FALSE)</f>
        <v>0</v>
      </c>
      <c r="BA6" s="10">
        <f ca="1">VLOOKUP($B6,'[6]Analisys QBR By Machine Report'!$C$109:$BD$166,48,FALSE)</f>
        <v>0</v>
      </c>
      <c r="BB6" s="10">
        <f ca="1">VLOOKUP($B6,'[6]Analisys QBR By Machine Report'!$C$109:$BD$166,49,FALSE)</f>
        <v>0</v>
      </c>
      <c r="BC6" s="10">
        <f ca="1">VLOOKUP($B6,'[6]Analisys QBR By Machine Report'!$C$109:$BD$166,50,FALSE)</f>
        <v>0</v>
      </c>
      <c r="BD6" s="10">
        <f ca="1">VLOOKUP($B6,'[6]Analisys QBR By Machine Report'!$C$109:$BD$166,51,FALSE)</f>
        <v>0</v>
      </c>
      <c r="BE6" s="10">
        <f ca="1">VLOOKUP($B6,'[6]Analisys QBR By Machine Report'!$C$109:$BD$166,52,FALSE)</f>
        <v>0</v>
      </c>
      <c r="BF6" s="10">
        <f ca="1">VLOOKUP($B6,'[6]Analisys QBR By Machine Report'!$C$109:$BD$166,53,FALSE)</f>
        <v>0</v>
      </c>
    </row>
    <row r="7" spans="1:58" x14ac:dyDescent="0.25">
      <c r="A7" s="12" t="s">
        <v>63</v>
      </c>
      <c r="B7" s="13">
        <f ca="1">VLOOKUP($B7,'[6]Analisys QBR By Machine Report'!$C$109:$BD$166,2,FALSE)</f>
        <v>27360</v>
      </c>
      <c r="C7" s="14">
        <f ca="1">VLOOKUP($B7,[6]Dasboard_QBR_Report!$B$109:$BL$166,3,FALSE)</f>
        <v>9120</v>
      </c>
      <c r="D7" s="13">
        <f ca="1">VLOOKUP($B7,'[6]Analisys QBR By Machine Report'!$C$109:$BD$166,3,FALSE)</f>
        <v>26850</v>
      </c>
      <c r="E7" s="14">
        <f ca="1">VLOOKUP($B7,[6]Dasboard_QBR_Report!$B$109:$BL$166,5,FALSE)</f>
        <v>8610</v>
      </c>
      <c r="F7" s="13">
        <f t="shared" ca="1" si="0"/>
        <v>510</v>
      </c>
      <c r="G7" s="13">
        <f t="shared" ca="1" si="1"/>
        <v>285</v>
      </c>
      <c r="H7" s="13">
        <f ca="1">VLOOKUP($B7,'[6]Analisys QBR By Machine Report'!$C$109:$BD$166,4,FALSE)</f>
        <v>285</v>
      </c>
      <c r="I7" s="13">
        <f ca="1">VLOOKUP($B7,'[6]Analisys QBR By Machine Report'!$C$109:$BD$166,5,FALSE)</f>
        <v>0</v>
      </c>
      <c r="J7" s="13">
        <f ca="1">VLOOKUP($B7,'[6]Analisys QBR By Machine Report'!$C$109:$BD$166,6,FALSE)</f>
        <v>285</v>
      </c>
      <c r="K7" s="13">
        <f ca="1">VLOOKUP($B7,'[6]Analisys QBR By Machine Report'!$C$109:$BD$166,7,FALSE)</f>
        <v>0</v>
      </c>
      <c r="L7" s="13">
        <f ca="1">VLOOKUP($B7,'[6]Analisys QBR By Machine Report'!$C$109:$BD$166,8,FALSE)</f>
        <v>225</v>
      </c>
      <c r="M7" s="13">
        <f ca="1">VLOOKUP($B7,'[6]Analisys QBR By Machine Report'!$C$109:$BD$166,9,FALSE)</f>
        <v>0</v>
      </c>
      <c r="N7" s="13">
        <f ca="1">VLOOKUP($B7,[6]Dasboard_QBR_Report!$B$109:$BL$166,18,FALSE)</f>
        <v>225</v>
      </c>
      <c r="O7" s="13">
        <f ca="1">VLOOKUP($B7,'[6]Analisys QBR By Machine Report'!$C$109:$BD$166,10,FALSE)</f>
        <v>170</v>
      </c>
      <c r="P7" s="13">
        <f ca="1">VLOOKUP($B7,'[6]Analisys QBR By Machine Report'!$C$109:$BD$166,11,FALSE)</f>
        <v>170</v>
      </c>
      <c r="Q7" s="13">
        <f ca="1">VLOOKUP($B7,'[6]Analisys QBR By Machine Report'!$C$109:$BD$166,12,FALSE)</f>
        <v>0</v>
      </c>
      <c r="R7" s="13">
        <f ca="1">VLOOKUP($B7,'[6]Analisys QBR By Machine Report'!$C$109:$BD$166,13,FALSE)</f>
        <v>0</v>
      </c>
      <c r="S7" s="13">
        <f ca="1">VLOOKUP($B7,'[6]Analisys QBR By Machine Report'!$C$109:$BD$166,14,FALSE)</f>
        <v>0</v>
      </c>
      <c r="T7" s="13">
        <f ca="1">VLOOKUP($B7,'[6]Analisys QBR By Machine Report'!$C$109:$BD$166,15,FALSE)</f>
        <v>0</v>
      </c>
      <c r="U7" s="13">
        <f ca="1">VLOOKUP($B7,'[6]Analisys QBR By Machine Report'!$C$109:$BD$166,16,FALSE)</f>
        <v>0</v>
      </c>
      <c r="V7" s="13">
        <f ca="1">VLOOKUP($B7,'[6]Analisys QBR By Machine Report'!$C$109:$BD$166,17,FALSE)</f>
        <v>0</v>
      </c>
      <c r="W7" s="13">
        <f ca="1">VLOOKUP($B7,'[6]Analisys QBR By Machine Report'!$C$109:$BD$166,18,FALSE)</f>
        <v>0</v>
      </c>
      <c r="X7" s="13">
        <f ca="1">VLOOKUP($B7,'[6]Analisys QBR By Machine Report'!$C$109:$BD$166,19,FALSE)</f>
        <v>0</v>
      </c>
      <c r="Y7" s="13">
        <f ca="1">VLOOKUP($B7,'[6]Analisys QBR By Machine Report'!$C$109:$BD$166,20,FALSE)</f>
        <v>0</v>
      </c>
      <c r="Z7" s="13">
        <f ca="1">VLOOKUP($B7,'[6]Analisys QBR By Machine Report'!$C$109:$BD$166,21,FALSE)</f>
        <v>40</v>
      </c>
      <c r="AA7" s="13">
        <f ca="1">VLOOKUP($B7,'[6]Analisys QBR By Machine Report'!$C$109:$BD$166,22,FALSE)</f>
        <v>0</v>
      </c>
      <c r="AB7" s="13">
        <f ca="1">VLOOKUP($B7,'[6]Analisys QBR By Machine Report'!$C$109:$BD$166,23,FALSE)</f>
        <v>0</v>
      </c>
      <c r="AC7" s="13">
        <f ca="1">VLOOKUP($B7,'[6]Analisys QBR By Machine Report'!$C$109:$BD$166,24,FALSE)</f>
        <v>0</v>
      </c>
      <c r="AD7" s="13">
        <f ca="1">VLOOKUP($B7,'[6]Analisys QBR By Machine Report'!$C$109:$BD$166,25,FALSE)</f>
        <v>0</v>
      </c>
      <c r="AE7" s="13">
        <f ca="1">VLOOKUP($B7,'[6]Analisys QBR By Machine Report'!$C$109:$BD$166,26,FALSE)</f>
        <v>40</v>
      </c>
      <c r="AF7" s="13">
        <f ca="1">VLOOKUP($B7,'[6]Analisys QBR By Machine Report'!$C$109:$BD$166,27,FALSE)</f>
        <v>0</v>
      </c>
      <c r="AG7" s="13">
        <f ca="1">VLOOKUP($B7,'[6]Analisys QBR By Machine Report'!$C$109:$BD$166,28,FALSE)</f>
        <v>0</v>
      </c>
      <c r="AH7" s="13">
        <f ca="1">VLOOKUP($B7,'[6]Analisys QBR By Machine Report'!$C$109:$BD$166,29,FALSE)</f>
        <v>0</v>
      </c>
      <c r="AI7" s="13">
        <f ca="1">VLOOKUP($B7,'[6]Analisys QBR By Machine Report'!$C$109:$BD$166,30,FALSE)</f>
        <v>15</v>
      </c>
      <c r="AJ7" s="13">
        <f ca="1">VLOOKUP($B7,'[6]Analisys QBR By Machine Report'!$C$109:$BD$166,31,FALSE)</f>
        <v>0</v>
      </c>
      <c r="AK7" s="13">
        <f ca="1">VLOOKUP($B7,'[6]Analisys QBR By Machine Report'!$C$109:$BD$166,32,FALSE)</f>
        <v>0</v>
      </c>
      <c r="AL7" s="13">
        <f ca="1">VLOOKUP($B7,'[6]Analisys QBR By Machine Report'!$C$109:$BD$166,33,FALSE)</f>
        <v>0</v>
      </c>
      <c r="AM7" s="13">
        <f ca="1">VLOOKUP($B7,'[6]Analisys QBR By Machine Report'!$C$109:$BD$166,34,FALSE)</f>
        <v>0</v>
      </c>
      <c r="AN7" s="13">
        <f ca="1">VLOOKUP($B7,'[6]Analisys QBR By Machine Report'!$C$109:$BD$166,35,FALSE)</f>
        <v>0</v>
      </c>
      <c r="AO7" s="13">
        <f ca="1">VLOOKUP($B7,'[6]Analisys QBR By Machine Report'!$C$109:$BD$166,36,FALSE)</f>
        <v>0</v>
      </c>
      <c r="AP7" s="13">
        <f ca="1">VLOOKUP($B7,'[6]Analisys QBR By Machine Report'!$C$109:$BD$166,37,FALSE)</f>
        <v>0</v>
      </c>
      <c r="AQ7" s="13">
        <f ca="1">VLOOKUP($B7,'[6]Analisys QBR By Machine Report'!$C$109:$BD$166,38,FALSE)</f>
        <v>0</v>
      </c>
      <c r="AR7" s="13">
        <f ca="1">VLOOKUP($B7,'[6]Analisys QBR By Machine Report'!$C$109:$BD$166,39,FALSE)</f>
        <v>0</v>
      </c>
      <c r="AS7" s="13">
        <f ca="1">VLOOKUP($B7,'[6]Analisys QBR By Machine Report'!$C$109:$BD$166,40,FALSE)</f>
        <v>15</v>
      </c>
      <c r="AT7" s="13">
        <f ca="1">VLOOKUP($B7,'[6]Analisys QBR By Machine Report'!$C$109:$BD$166,41,FALSE)</f>
        <v>0</v>
      </c>
      <c r="AU7" s="13">
        <f ca="1">VLOOKUP($B7,'[6]Analisys QBR By Machine Report'!$C$109:$BD$166,42,FALSE)</f>
        <v>0</v>
      </c>
      <c r="AV7" s="13">
        <f ca="1">VLOOKUP($B7,'[6]Analisys QBR By Machine Report'!$C$109:$BD$166,43,FALSE)</f>
        <v>0</v>
      </c>
      <c r="AW7" s="13">
        <f ca="1">VLOOKUP($B7,'[6]Analisys QBR By Machine Report'!$C$109:$BD$166,44,FALSE)</f>
        <v>0</v>
      </c>
      <c r="AX7" s="13">
        <f ca="1">VLOOKUP($B7,'[6]Analisys QBR By Machine Report'!$C$109:$BD$166,45,FALSE)</f>
        <v>0</v>
      </c>
      <c r="AY7" s="13">
        <f ca="1">VLOOKUP($B7,'[6]Analisys QBR By Machine Report'!$C$109:$BD$166,46,FALSE)</f>
        <v>0</v>
      </c>
      <c r="AZ7" s="13">
        <f ca="1">VLOOKUP($B7,'[6]Analisys QBR By Machine Report'!$C$109:$BD$166,47,FALSE)</f>
        <v>0</v>
      </c>
      <c r="BA7" s="13">
        <f ca="1">VLOOKUP($B7,'[6]Analisys QBR By Machine Report'!$C$109:$BD$166,48,FALSE)</f>
        <v>0</v>
      </c>
      <c r="BB7" s="13">
        <f ca="1">VLOOKUP($B7,'[6]Analisys QBR By Machine Report'!$C$109:$BD$166,49,FALSE)</f>
        <v>0</v>
      </c>
      <c r="BC7" s="13">
        <f ca="1">VLOOKUP($B7,'[6]Analisys QBR By Machine Report'!$C$109:$BD$166,50,FALSE)</f>
        <v>0</v>
      </c>
      <c r="BD7" s="13">
        <f ca="1">VLOOKUP($B7,'[6]Analisys QBR By Machine Report'!$C$109:$BD$166,51,FALSE)</f>
        <v>0</v>
      </c>
      <c r="BE7" s="13">
        <f ca="1">VLOOKUP($B7,'[6]Analisys QBR By Machine Report'!$C$109:$BD$166,52,FALSE)</f>
        <v>0</v>
      </c>
      <c r="BF7" s="13">
        <f ca="1">VLOOKUP($B7,'[6]Analisys QBR By Machine Report'!$C$109:$BD$166,53,FALSE)</f>
        <v>0</v>
      </c>
    </row>
    <row r="8" spans="1:58" x14ac:dyDescent="0.25">
      <c r="A8" s="12" t="s">
        <v>64</v>
      </c>
      <c r="B8" s="13">
        <f ca="1">VLOOKUP($B8,'[6]Analisys QBR By Machine Report'!$C$109:$BD$166,2,FALSE)</f>
        <v>27360</v>
      </c>
      <c r="C8" s="14">
        <f ca="1">VLOOKUP($B8,[6]Dasboard_QBR_Report!$B$109:$BL$166,3,FALSE)</f>
        <v>9120</v>
      </c>
      <c r="D8" s="13">
        <f ca="1">VLOOKUP($B8,'[6]Analisys QBR By Machine Report'!$C$109:$BD$166,3,FALSE)</f>
        <v>27360</v>
      </c>
      <c r="E8" s="14">
        <f ca="1">VLOOKUP($B8,[6]Dasboard_QBR_Report!$B$109:$BL$166,5,FALSE)</f>
        <v>9120</v>
      </c>
      <c r="F8" s="13">
        <f t="shared" ca="1" si="0"/>
        <v>0</v>
      </c>
      <c r="G8" s="13">
        <f t="shared" ca="1" si="1"/>
        <v>0</v>
      </c>
      <c r="H8" s="13">
        <f ca="1">VLOOKUP($B8,'[6]Analisys QBR By Machine Report'!$C$109:$BD$166,4,FALSE)</f>
        <v>0</v>
      </c>
      <c r="I8" s="13">
        <f ca="1">VLOOKUP($B8,'[6]Analisys QBR By Machine Report'!$C$109:$BD$166,5,FALSE)</f>
        <v>0</v>
      </c>
      <c r="J8" s="13">
        <f ca="1">VLOOKUP($B8,'[6]Analisys QBR By Machine Report'!$C$109:$BD$166,6,FALSE)</f>
        <v>0</v>
      </c>
      <c r="K8" s="13">
        <f ca="1">VLOOKUP($B8,'[6]Analisys QBR By Machine Report'!$C$109:$BD$166,7,FALSE)</f>
        <v>0</v>
      </c>
      <c r="L8" s="13">
        <f ca="1">VLOOKUP($B8,'[6]Analisys QBR By Machine Report'!$C$109:$BD$166,8,FALSE)</f>
        <v>0</v>
      </c>
      <c r="M8" s="13">
        <f ca="1">VLOOKUP($B8,'[6]Analisys QBR By Machine Report'!$C$109:$BD$166,9,FALSE)</f>
        <v>0</v>
      </c>
      <c r="N8" s="13">
        <f ca="1">VLOOKUP($B8,[6]Dasboard_QBR_Report!$B$109:$BL$166,18,FALSE)</f>
        <v>0</v>
      </c>
      <c r="O8" s="13">
        <f ca="1">VLOOKUP($B8,'[6]Analisys QBR By Machine Report'!$C$109:$BD$166,10,FALSE)</f>
        <v>0</v>
      </c>
      <c r="P8" s="13">
        <f ca="1">VLOOKUP($B8,'[6]Analisys QBR By Machine Report'!$C$109:$BD$166,11,FALSE)</f>
        <v>0</v>
      </c>
      <c r="Q8" s="13">
        <f ca="1">VLOOKUP($B8,'[6]Analisys QBR By Machine Report'!$C$109:$BD$166,12,FALSE)</f>
        <v>0</v>
      </c>
      <c r="R8" s="13">
        <f ca="1">VLOOKUP($B8,'[6]Analisys QBR By Machine Report'!$C$109:$BD$166,13,FALSE)</f>
        <v>0</v>
      </c>
      <c r="S8" s="13">
        <f ca="1">VLOOKUP($B8,'[6]Analisys QBR By Machine Report'!$C$109:$BD$166,14,FALSE)</f>
        <v>0</v>
      </c>
      <c r="T8" s="13">
        <f ca="1">VLOOKUP($B8,'[6]Analisys QBR By Machine Report'!$C$109:$BD$166,15,FALSE)</f>
        <v>0</v>
      </c>
      <c r="U8" s="13">
        <f ca="1">VLOOKUP($B8,'[6]Analisys QBR By Machine Report'!$C$109:$BD$166,16,FALSE)</f>
        <v>0</v>
      </c>
      <c r="V8" s="13">
        <f ca="1">VLOOKUP($B8,'[6]Analisys QBR By Machine Report'!$C$109:$BD$166,17,FALSE)</f>
        <v>0</v>
      </c>
      <c r="W8" s="13">
        <f ca="1">VLOOKUP($B8,'[6]Analisys QBR By Machine Report'!$C$109:$BD$166,18,FALSE)</f>
        <v>0</v>
      </c>
      <c r="X8" s="13">
        <f ca="1">VLOOKUP($B8,'[6]Analisys QBR By Machine Report'!$C$109:$BD$166,19,FALSE)</f>
        <v>0</v>
      </c>
      <c r="Y8" s="13">
        <f ca="1">VLOOKUP($B8,'[6]Analisys QBR By Machine Report'!$C$109:$BD$166,20,FALSE)</f>
        <v>0</v>
      </c>
      <c r="Z8" s="13">
        <f ca="1">VLOOKUP($B8,'[6]Analisys QBR By Machine Report'!$C$109:$BD$166,21,FALSE)</f>
        <v>0</v>
      </c>
      <c r="AA8" s="13">
        <f ca="1">VLOOKUP($B8,'[6]Analisys QBR By Machine Report'!$C$109:$BD$166,22,FALSE)</f>
        <v>0</v>
      </c>
      <c r="AB8" s="13">
        <f ca="1">VLOOKUP($B8,'[6]Analisys QBR By Machine Report'!$C$109:$BD$166,23,FALSE)</f>
        <v>0</v>
      </c>
      <c r="AC8" s="13">
        <f ca="1">VLOOKUP($B8,'[6]Analisys QBR By Machine Report'!$C$109:$BD$166,24,FALSE)</f>
        <v>0</v>
      </c>
      <c r="AD8" s="13">
        <f ca="1">VLOOKUP($B8,'[6]Analisys QBR By Machine Report'!$C$109:$BD$166,25,FALSE)</f>
        <v>0</v>
      </c>
      <c r="AE8" s="13">
        <f ca="1">VLOOKUP($B8,'[6]Analisys QBR By Machine Report'!$C$109:$BD$166,26,FALSE)</f>
        <v>0</v>
      </c>
      <c r="AF8" s="13">
        <f ca="1">VLOOKUP($B8,'[6]Analisys QBR By Machine Report'!$C$109:$BD$166,27,FALSE)</f>
        <v>0</v>
      </c>
      <c r="AG8" s="13">
        <f ca="1">VLOOKUP($B8,'[6]Analisys QBR By Machine Report'!$C$109:$BD$166,28,FALSE)</f>
        <v>0</v>
      </c>
      <c r="AH8" s="13">
        <f ca="1">VLOOKUP($B8,'[6]Analisys QBR By Machine Report'!$C$109:$BD$166,29,FALSE)</f>
        <v>0</v>
      </c>
      <c r="AI8" s="13">
        <f ca="1">VLOOKUP($B8,'[6]Analisys QBR By Machine Report'!$C$109:$BD$166,30,FALSE)</f>
        <v>0</v>
      </c>
      <c r="AJ8" s="13">
        <f ca="1">VLOOKUP($B8,'[6]Analisys QBR By Machine Report'!$C$109:$BD$166,31,FALSE)</f>
        <v>0</v>
      </c>
      <c r="AK8" s="13">
        <f ca="1">VLOOKUP($B8,'[6]Analisys QBR By Machine Report'!$C$109:$BD$166,32,FALSE)</f>
        <v>0</v>
      </c>
      <c r="AL8" s="13">
        <f ca="1">VLOOKUP($B8,'[6]Analisys QBR By Machine Report'!$C$109:$BD$166,33,FALSE)</f>
        <v>0</v>
      </c>
      <c r="AM8" s="13">
        <f ca="1">VLOOKUP($B8,'[6]Analisys QBR By Machine Report'!$C$109:$BD$166,34,FALSE)</f>
        <v>0</v>
      </c>
      <c r="AN8" s="13">
        <f ca="1">VLOOKUP($B8,'[6]Analisys QBR By Machine Report'!$C$109:$BD$166,35,FALSE)</f>
        <v>0</v>
      </c>
      <c r="AO8" s="13">
        <f ca="1">VLOOKUP($B8,'[6]Analisys QBR By Machine Report'!$C$109:$BD$166,36,FALSE)</f>
        <v>0</v>
      </c>
      <c r="AP8" s="13">
        <f ca="1">VLOOKUP($B8,'[6]Analisys QBR By Machine Report'!$C$109:$BD$166,37,FALSE)</f>
        <v>0</v>
      </c>
      <c r="AQ8" s="13">
        <f ca="1">VLOOKUP($B8,'[6]Analisys QBR By Machine Report'!$C$109:$BD$166,38,FALSE)</f>
        <v>0</v>
      </c>
      <c r="AR8" s="13">
        <f ca="1">VLOOKUP($B8,'[6]Analisys QBR By Machine Report'!$C$109:$BD$166,39,FALSE)</f>
        <v>0</v>
      </c>
      <c r="AS8" s="13">
        <f ca="1">VLOOKUP($B8,'[6]Analisys QBR By Machine Report'!$C$109:$BD$166,40,FALSE)</f>
        <v>0</v>
      </c>
      <c r="AT8" s="13">
        <f ca="1">VLOOKUP($B8,'[6]Analisys QBR By Machine Report'!$C$109:$BD$166,41,FALSE)</f>
        <v>0</v>
      </c>
      <c r="AU8" s="13">
        <f ca="1">VLOOKUP($B8,'[6]Analisys QBR By Machine Report'!$C$109:$BD$166,42,FALSE)</f>
        <v>0</v>
      </c>
      <c r="AV8" s="13">
        <f ca="1">VLOOKUP($B8,'[6]Analisys QBR By Machine Report'!$C$109:$BD$166,43,FALSE)</f>
        <v>0</v>
      </c>
      <c r="AW8" s="13">
        <f ca="1">VLOOKUP($B8,'[6]Analisys QBR By Machine Report'!$C$109:$BD$166,44,FALSE)</f>
        <v>0</v>
      </c>
      <c r="AX8" s="13">
        <f ca="1">VLOOKUP($B8,'[6]Analisys QBR By Machine Report'!$C$109:$BD$166,45,FALSE)</f>
        <v>0</v>
      </c>
      <c r="AY8" s="13">
        <f ca="1">VLOOKUP($B8,'[6]Analisys QBR By Machine Report'!$C$109:$BD$166,46,FALSE)</f>
        <v>0</v>
      </c>
      <c r="AZ8" s="13">
        <f ca="1">VLOOKUP($B8,'[6]Analisys QBR By Machine Report'!$C$109:$BD$166,47,FALSE)</f>
        <v>0</v>
      </c>
      <c r="BA8" s="13">
        <f ca="1">VLOOKUP($B8,'[6]Analisys QBR By Machine Report'!$C$109:$BD$166,48,FALSE)</f>
        <v>0</v>
      </c>
      <c r="BB8" s="13">
        <f ca="1">VLOOKUP($B8,'[6]Analisys QBR By Machine Report'!$C$109:$BD$166,49,FALSE)</f>
        <v>0</v>
      </c>
      <c r="BC8" s="13">
        <f ca="1">VLOOKUP($B8,'[6]Analisys QBR By Machine Report'!$C$109:$BD$166,50,FALSE)</f>
        <v>0</v>
      </c>
      <c r="BD8" s="13">
        <f ca="1">VLOOKUP($B8,'[6]Analisys QBR By Machine Report'!$C$109:$BD$166,51,FALSE)</f>
        <v>0</v>
      </c>
      <c r="BE8" s="13">
        <f ca="1">VLOOKUP($B8,'[6]Analisys QBR By Machine Report'!$C$109:$BD$166,52,FALSE)</f>
        <v>0</v>
      </c>
      <c r="BF8" s="13">
        <f ca="1">VLOOKUP($B8,'[6]Analisys QBR By Machine Report'!$C$109:$BD$166,53,FALSE)</f>
        <v>0</v>
      </c>
    </row>
    <row r="9" spans="1:58" x14ac:dyDescent="0.25">
      <c r="A9" s="9" t="s">
        <v>65</v>
      </c>
      <c r="B9" s="10">
        <f ca="1">VLOOKUP($B9,'[6]Analisys QBR By Machine Report'!$C$109:$BD$166,2,FALSE)</f>
        <v>82080</v>
      </c>
      <c r="C9" s="11">
        <f ca="1">VLOOKUP($B9,[6]Dasboard_QBR_Report!$B$109:$BL$166,3,FALSE)</f>
        <v>44460</v>
      </c>
      <c r="D9" s="10">
        <f ca="1">VLOOKUP($B9,'[6]Analisys QBR By Machine Report'!$C$109:$BD$166,3,FALSE)</f>
        <v>45870</v>
      </c>
      <c r="E9" s="11">
        <f ca="1">VLOOKUP($B9,[6]Dasboard_QBR_Report!$B$109:$BL$166,5,FALSE)</f>
        <v>8250</v>
      </c>
      <c r="F9" s="10">
        <f t="shared" ca="1" si="0"/>
        <v>36210</v>
      </c>
      <c r="G9" s="10">
        <f t="shared" ca="1" si="1"/>
        <v>1485</v>
      </c>
      <c r="H9" s="10">
        <f ca="1">VLOOKUP($B9,'[6]Analisys QBR By Machine Report'!$C$109:$BD$166,4,FALSE)</f>
        <v>1485</v>
      </c>
      <c r="I9" s="10">
        <f ca="1">VLOOKUP($B9,'[6]Analisys QBR By Machine Report'!$C$109:$BD$166,5,FALSE)</f>
        <v>365</v>
      </c>
      <c r="J9" s="10">
        <f ca="1">VLOOKUP($B9,'[6]Analisys QBR By Machine Report'!$C$109:$BD$166,6,FALSE)</f>
        <v>1120</v>
      </c>
      <c r="K9" s="10">
        <f ca="1">VLOOKUP($B9,'[6]Analisys QBR By Machine Report'!$C$109:$BD$166,7,FALSE)</f>
        <v>0</v>
      </c>
      <c r="L9" s="10">
        <f ca="1">VLOOKUP($B9,'[6]Analisys QBR By Machine Report'!$C$109:$BD$166,8,FALSE)</f>
        <v>34725</v>
      </c>
      <c r="M9" s="10">
        <f ca="1">VLOOKUP($B9,'[6]Analisys QBR By Machine Report'!$C$109:$BD$166,9,FALSE)</f>
        <v>11310</v>
      </c>
      <c r="N9" s="10">
        <f ca="1">VLOOKUP($B9,[6]Dasboard_QBR_Report!$B$109:$BL$166,18,FALSE)</f>
        <v>23415</v>
      </c>
      <c r="O9" s="10">
        <f ca="1">VLOOKUP($B9,'[6]Analisys QBR By Machine Report'!$C$109:$BD$166,10,FALSE)</f>
        <v>4785</v>
      </c>
      <c r="P9" s="10">
        <f ca="1">VLOOKUP($B9,'[6]Analisys QBR By Machine Report'!$C$109:$BD$166,11,FALSE)</f>
        <v>2955</v>
      </c>
      <c r="Q9" s="10">
        <f ca="1">VLOOKUP($B9,'[6]Analisys QBR By Machine Report'!$C$109:$BD$166,12,FALSE)</f>
        <v>0</v>
      </c>
      <c r="R9" s="10">
        <f ca="1">VLOOKUP($B9,'[6]Analisys QBR By Machine Report'!$C$109:$BD$166,13,FALSE)</f>
        <v>180</v>
      </c>
      <c r="S9" s="10">
        <f ca="1">VLOOKUP($B9,'[6]Analisys QBR By Machine Report'!$C$109:$BD$166,14,FALSE)</f>
        <v>1650</v>
      </c>
      <c r="T9" s="10">
        <f ca="1">VLOOKUP($B9,'[6]Analisys QBR By Machine Report'!$C$109:$BD$166,15,FALSE)</f>
        <v>195</v>
      </c>
      <c r="U9" s="10">
        <f ca="1">VLOOKUP($B9,'[6]Analisys QBR By Machine Report'!$C$109:$BD$166,16,FALSE)</f>
        <v>165</v>
      </c>
      <c r="V9" s="10">
        <f ca="1">VLOOKUP($B9,'[6]Analisys QBR By Machine Report'!$C$109:$BD$166,17,FALSE)</f>
        <v>30</v>
      </c>
      <c r="W9" s="10">
        <f ca="1">VLOOKUP($B9,'[6]Analisys QBR By Machine Report'!$C$109:$BD$166,18,FALSE)</f>
        <v>0</v>
      </c>
      <c r="X9" s="10">
        <f ca="1">VLOOKUP($B9,'[6]Analisys QBR By Machine Report'!$C$109:$BD$166,19,FALSE)</f>
        <v>0</v>
      </c>
      <c r="Y9" s="10">
        <f ca="1">VLOOKUP($B9,'[6]Analisys QBR By Machine Report'!$C$109:$BD$166,20,FALSE)</f>
        <v>0</v>
      </c>
      <c r="Z9" s="10">
        <f ca="1">VLOOKUP($B9,'[6]Analisys QBR By Machine Report'!$C$109:$BD$166,21,FALSE)</f>
        <v>5165</v>
      </c>
      <c r="AA9" s="10">
        <f ca="1">VLOOKUP($B9,'[6]Analisys QBR By Machine Report'!$C$109:$BD$166,22,FALSE)</f>
        <v>1040</v>
      </c>
      <c r="AB9" s="10">
        <f ca="1">VLOOKUP($B9,'[6]Analisys QBR By Machine Report'!$C$109:$BD$166,23,FALSE)</f>
        <v>2955</v>
      </c>
      <c r="AC9" s="10">
        <f ca="1">VLOOKUP($B9,'[6]Analisys QBR By Machine Report'!$C$109:$BD$166,24,FALSE)</f>
        <v>150</v>
      </c>
      <c r="AD9" s="10">
        <f ca="1">VLOOKUP($B9,'[6]Analisys QBR By Machine Report'!$C$109:$BD$166,25,FALSE)</f>
        <v>0</v>
      </c>
      <c r="AE9" s="10">
        <f ca="1">VLOOKUP($B9,'[6]Analisys QBR By Machine Report'!$C$109:$BD$166,26,FALSE)</f>
        <v>1020</v>
      </c>
      <c r="AF9" s="10">
        <f ca="1">VLOOKUP($B9,'[6]Analisys QBR By Machine Report'!$C$109:$BD$166,27,FALSE)</f>
        <v>1720</v>
      </c>
      <c r="AG9" s="10">
        <f ca="1">VLOOKUP($B9,'[6]Analisys QBR By Machine Report'!$C$109:$BD$166,28,FALSE)</f>
        <v>50</v>
      </c>
      <c r="AH9" s="10">
        <f ca="1">VLOOKUP($B9,'[6]Analisys QBR By Machine Report'!$C$109:$BD$166,29,FALSE)</f>
        <v>1670</v>
      </c>
      <c r="AI9" s="10">
        <f ca="1">VLOOKUP($B9,'[6]Analisys QBR By Machine Report'!$C$109:$BD$166,30,FALSE)</f>
        <v>11550</v>
      </c>
      <c r="AJ9" s="10">
        <f ca="1">VLOOKUP($B9,'[6]Analisys QBR By Machine Report'!$C$109:$BD$166,31,FALSE)</f>
        <v>0</v>
      </c>
      <c r="AK9" s="10">
        <f ca="1">VLOOKUP($B9,'[6]Analisys QBR By Machine Report'!$C$109:$BD$166,32,FALSE)</f>
        <v>0</v>
      </c>
      <c r="AL9" s="10">
        <f ca="1">VLOOKUP($B9,'[6]Analisys QBR By Machine Report'!$C$109:$BD$166,33,FALSE)</f>
        <v>1885</v>
      </c>
      <c r="AM9" s="10">
        <f ca="1">VLOOKUP($B9,'[6]Analisys QBR By Machine Report'!$C$109:$BD$166,34,FALSE)</f>
        <v>0</v>
      </c>
      <c r="AN9" s="10">
        <f ca="1">VLOOKUP($B9,'[6]Analisys QBR By Machine Report'!$C$109:$BD$166,35,FALSE)</f>
        <v>1580</v>
      </c>
      <c r="AO9" s="10">
        <f ca="1">VLOOKUP($B9,'[6]Analisys QBR By Machine Report'!$C$109:$BD$166,36,FALSE)</f>
        <v>1320</v>
      </c>
      <c r="AP9" s="10">
        <f ca="1">VLOOKUP($B9,'[6]Analisys QBR By Machine Report'!$C$109:$BD$166,37,FALSE)</f>
        <v>0</v>
      </c>
      <c r="AQ9" s="10">
        <f ca="1">VLOOKUP($B9,'[6]Analisys QBR By Machine Report'!$C$109:$BD$166,38,FALSE)</f>
        <v>0</v>
      </c>
      <c r="AR9" s="10">
        <f ca="1">VLOOKUP($B9,'[6]Analisys QBR By Machine Report'!$C$109:$BD$166,39,FALSE)</f>
        <v>1515</v>
      </c>
      <c r="AS9" s="10">
        <f ca="1">VLOOKUP($B9,'[6]Analisys QBR By Machine Report'!$C$109:$BD$166,40,FALSE)</f>
        <v>500</v>
      </c>
      <c r="AT9" s="10">
        <f ca="1">VLOOKUP($B9,'[6]Analisys QBR By Machine Report'!$C$109:$BD$166,41,FALSE)</f>
        <v>0</v>
      </c>
      <c r="AU9" s="10">
        <f ca="1">VLOOKUP($B9,'[6]Analisys QBR By Machine Report'!$C$109:$BD$166,42,FALSE)</f>
        <v>0</v>
      </c>
      <c r="AV9" s="10">
        <f ca="1">VLOOKUP($B9,'[6]Analisys QBR By Machine Report'!$C$109:$BD$166,43,FALSE)</f>
        <v>0</v>
      </c>
      <c r="AW9" s="10">
        <f ca="1">VLOOKUP($B9,'[6]Analisys QBR By Machine Report'!$C$109:$BD$166,44,FALSE)</f>
        <v>0</v>
      </c>
      <c r="AX9" s="10">
        <f ca="1">VLOOKUP($B9,'[6]Analisys QBR By Machine Report'!$C$109:$BD$166,45,FALSE)</f>
        <v>0</v>
      </c>
      <c r="AY9" s="10">
        <f ca="1">VLOOKUP($B9,'[6]Analisys QBR By Machine Report'!$C$109:$BD$166,46,FALSE)</f>
        <v>0</v>
      </c>
      <c r="AZ9" s="10">
        <f ca="1">VLOOKUP($B9,'[6]Analisys QBR By Machine Report'!$C$109:$BD$166,47,FALSE)</f>
        <v>2385</v>
      </c>
      <c r="BA9" s="10">
        <f ca="1">VLOOKUP($B9,'[6]Analisys QBR By Machine Report'!$C$109:$BD$166,48,FALSE)</f>
        <v>2365</v>
      </c>
      <c r="BB9" s="10">
        <f ca="1">VLOOKUP($B9,'[6]Analisys QBR By Machine Report'!$C$109:$BD$166,49,FALSE)</f>
        <v>0</v>
      </c>
      <c r="BC9" s="10">
        <f ca="1">VLOOKUP($B9,'[6]Analisys QBR By Machine Report'!$C$109:$BD$166,50,FALSE)</f>
        <v>0</v>
      </c>
      <c r="BD9" s="10">
        <f ca="1">VLOOKUP($B9,'[6]Analisys QBR By Machine Report'!$C$109:$BD$166,51,FALSE)</f>
        <v>8592210</v>
      </c>
      <c r="BE9" s="10">
        <f ca="1">VLOOKUP($B9,'[6]Analisys QBR By Machine Report'!$C$109:$BD$166,52,FALSE)</f>
        <v>10496</v>
      </c>
      <c r="BF9" s="10">
        <f ca="1">VLOOKUP($B9,'[6]Analisys QBR By Machine Report'!$C$109:$BD$166,53,FALSE)</f>
        <v>8581714</v>
      </c>
    </row>
    <row r="10" spans="1:58" x14ac:dyDescent="0.25">
      <c r="A10" s="12" t="s">
        <v>66</v>
      </c>
      <c r="B10" s="13">
        <f ca="1">VLOOKUP($B10,'[6]Analisys QBR By Machine Report'!$C$109:$BD$166,2,FALSE)</f>
        <v>27360</v>
      </c>
      <c r="C10" s="14">
        <f ca="1">VLOOKUP($B10,[6]Dasboard_QBR_Report!$B$109:$BL$166,3,FALSE)</f>
        <v>17670</v>
      </c>
      <c r="D10" s="13">
        <f ca="1">VLOOKUP($B10,'[6]Analisys QBR By Machine Report'!$C$109:$BD$166,3,FALSE)</f>
        <v>10980</v>
      </c>
      <c r="E10" s="14">
        <f ca="1">VLOOKUP($B10,[6]Dasboard_QBR_Report!$B$109:$BL$166,5,FALSE)</f>
        <v>1290</v>
      </c>
      <c r="F10" s="13">
        <f t="shared" ca="1" si="0"/>
        <v>16380</v>
      </c>
      <c r="G10" s="13">
        <f t="shared" ca="1" si="1"/>
        <v>180</v>
      </c>
      <c r="H10" s="13">
        <f ca="1">VLOOKUP($B10,'[6]Analisys QBR By Machine Report'!$C$109:$BD$166,4,FALSE)</f>
        <v>180</v>
      </c>
      <c r="I10" s="13">
        <f ca="1">VLOOKUP($B10,'[6]Analisys QBR By Machine Report'!$C$109:$BD$166,5,FALSE)</f>
        <v>30</v>
      </c>
      <c r="J10" s="13">
        <f ca="1">VLOOKUP($B10,'[6]Analisys QBR By Machine Report'!$C$109:$BD$166,6,FALSE)</f>
        <v>150</v>
      </c>
      <c r="K10" s="13">
        <f ca="1">VLOOKUP($B10,'[6]Analisys QBR By Machine Report'!$C$109:$BD$166,7,FALSE)</f>
        <v>0</v>
      </c>
      <c r="L10" s="13">
        <f ca="1">VLOOKUP($B10,'[6]Analisys QBR By Machine Report'!$C$109:$BD$166,8,FALSE)</f>
        <v>16200</v>
      </c>
      <c r="M10" s="13">
        <f ca="1">VLOOKUP($B10,'[6]Analisys QBR By Machine Report'!$C$109:$BD$166,9,FALSE)</f>
        <v>6340</v>
      </c>
      <c r="N10" s="13">
        <f ca="1">VLOOKUP($B10,[6]Dasboard_QBR_Report!$B$109:$BL$166,18,FALSE)</f>
        <v>9860</v>
      </c>
      <c r="O10" s="13">
        <f ca="1">VLOOKUP($B10,'[6]Analisys QBR By Machine Report'!$C$109:$BD$166,10,FALSE)</f>
        <v>2375</v>
      </c>
      <c r="P10" s="13">
        <f ca="1">VLOOKUP($B10,'[6]Analisys QBR By Machine Report'!$C$109:$BD$166,11,FALSE)</f>
        <v>1385</v>
      </c>
      <c r="Q10" s="13">
        <f ca="1">VLOOKUP($B10,'[6]Analisys QBR By Machine Report'!$C$109:$BD$166,12,FALSE)</f>
        <v>0</v>
      </c>
      <c r="R10" s="13">
        <f ca="1">VLOOKUP($B10,'[6]Analisys QBR By Machine Report'!$C$109:$BD$166,13,FALSE)</f>
        <v>60</v>
      </c>
      <c r="S10" s="13">
        <f ca="1">VLOOKUP($B10,'[6]Analisys QBR By Machine Report'!$C$109:$BD$166,14,FALSE)</f>
        <v>930</v>
      </c>
      <c r="T10" s="13">
        <f ca="1">VLOOKUP($B10,'[6]Analisys QBR By Machine Report'!$C$109:$BD$166,15,FALSE)</f>
        <v>195</v>
      </c>
      <c r="U10" s="13">
        <f ca="1">VLOOKUP($B10,'[6]Analisys QBR By Machine Report'!$C$109:$BD$166,16,FALSE)</f>
        <v>165</v>
      </c>
      <c r="V10" s="13">
        <f ca="1">VLOOKUP($B10,'[6]Analisys QBR By Machine Report'!$C$109:$BD$166,17,FALSE)</f>
        <v>30</v>
      </c>
      <c r="W10" s="13">
        <f ca="1">VLOOKUP($B10,'[6]Analisys QBR By Machine Report'!$C$109:$BD$166,18,FALSE)</f>
        <v>0</v>
      </c>
      <c r="X10" s="13">
        <f ca="1">VLOOKUP($B10,'[6]Analisys QBR By Machine Report'!$C$109:$BD$166,19,FALSE)</f>
        <v>0</v>
      </c>
      <c r="Y10" s="13">
        <f ca="1">VLOOKUP($B10,'[6]Analisys QBR By Machine Report'!$C$109:$BD$166,20,FALSE)</f>
        <v>0</v>
      </c>
      <c r="Z10" s="13">
        <f ca="1">VLOOKUP($B10,'[6]Analisys QBR By Machine Report'!$C$109:$BD$166,21,FALSE)</f>
        <v>2390</v>
      </c>
      <c r="AA10" s="13">
        <f ca="1">VLOOKUP($B10,'[6]Analisys QBR By Machine Report'!$C$109:$BD$166,22,FALSE)</f>
        <v>625</v>
      </c>
      <c r="AB10" s="13">
        <f ca="1">VLOOKUP($B10,'[6]Analisys QBR By Machine Report'!$C$109:$BD$166,23,FALSE)</f>
        <v>1300</v>
      </c>
      <c r="AC10" s="13">
        <f ca="1">VLOOKUP($B10,'[6]Analisys QBR By Machine Report'!$C$109:$BD$166,24,FALSE)</f>
        <v>40</v>
      </c>
      <c r="AD10" s="13">
        <f ca="1">VLOOKUP($B10,'[6]Analisys QBR By Machine Report'!$C$109:$BD$166,25,FALSE)</f>
        <v>0</v>
      </c>
      <c r="AE10" s="13">
        <f ca="1">VLOOKUP($B10,'[6]Analisys QBR By Machine Report'!$C$109:$BD$166,26,FALSE)</f>
        <v>425</v>
      </c>
      <c r="AF10" s="13">
        <f ca="1">VLOOKUP($B10,'[6]Analisys QBR By Machine Report'!$C$109:$BD$166,27,FALSE)</f>
        <v>165</v>
      </c>
      <c r="AG10" s="13">
        <f ca="1">VLOOKUP($B10,'[6]Analisys QBR By Machine Report'!$C$109:$BD$166,28,FALSE)</f>
        <v>0</v>
      </c>
      <c r="AH10" s="13">
        <f ca="1">VLOOKUP($B10,'[6]Analisys QBR By Machine Report'!$C$109:$BD$166,29,FALSE)</f>
        <v>165</v>
      </c>
      <c r="AI10" s="13">
        <f ca="1">VLOOKUP($B10,'[6]Analisys QBR By Machine Report'!$C$109:$BD$166,30,FALSE)</f>
        <v>4735</v>
      </c>
      <c r="AJ10" s="13">
        <f ca="1">VLOOKUP($B10,'[6]Analisys QBR By Machine Report'!$C$109:$BD$166,31,FALSE)</f>
        <v>0</v>
      </c>
      <c r="AK10" s="13">
        <f ca="1">VLOOKUP($B10,'[6]Analisys QBR By Machine Report'!$C$109:$BD$166,32,FALSE)</f>
        <v>0</v>
      </c>
      <c r="AL10" s="13">
        <f ca="1">VLOOKUP($B10,'[6]Analisys QBR By Machine Report'!$C$109:$BD$166,33,FALSE)</f>
        <v>1005</v>
      </c>
      <c r="AM10" s="13">
        <f ca="1">VLOOKUP($B10,'[6]Analisys QBR By Machine Report'!$C$109:$BD$166,34,FALSE)</f>
        <v>0</v>
      </c>
      <c r="AN10" s="13">
        <f ca="1">VLOOKUP($B10,'[6]Analisys QBR By Machine Report'!$C$109:$BD$166,35,FALSE)</f>
        <v>725</v>
      </c>
      <c r="AO10" s="13">
        <f ca="1">VLOOKUP($B10,'[6]Analisys QBR By Machine Report'!$C$109:$BD$166,36,FALSE)</f>
        <v>930</v>
      </c>
      <c r="AP10" s="13">
        <f ca="1">VLOOKUP($B10,'[6]Analisys QBR By Machine Report'!$C$109:$BD$166,37,FALSE)</f>
        <v>0</v>
      </c>
      <c r="AQ10" s="13">
        <f ca="1">VLOOKUP($B10,'[6]Analisys QBR By Machine Report'!$C$109:$BD$166,38,FALSE)</f>
        <v>0</v>
      </c>
      <c r="AR10" s="13">
        <f ca="1">VLOOKUP($B10,'[6]Analisys QBR By Machine Report'!$C$109:$BD$166,39,FALSE)</f>
        <v>220</v>
      </c>
      <c r="AS10" s="13">
        <f ca="1">VLOOKUP($B10,'[6]Analisys QBR By Machine Report'!$C$109:$BD$166,40,FALSE)</f>
        <v>210</v>
      </c>
      <c r="AT10" s="13">
        <f ca="1">VLOOKUP($B10,'[6]Analisys QBR By Machine Report'!$C$109:$BD$166,41,FALSE)</f>
        <v>0</v>
      </c>
      <c r="AU10" s="13">
        <f ca="1">VLOOKUP($B10,'[6]Analisys QBR By Machine Report'!$C$109:$BD$166,42,FALSE)</f>
        <v>0</v>
      </c>
      <c r="AV10" s="13">
        <f ca="1">VLOOKUP($B10,'[6]Analisys QBR By Machine Report'!$C$109:$BD$166,43,FALSE)</f>
        <v>0</v>
      </c>
      <c r="AW10" s="13">
        <f ca="1">VLOOKUP($B10,'[6]Analisys QBR By Machine Report'!$C$109:$BD$166,44,FALSE)</f>
        <v>0</v>
      </c>
      <c r="AX10" s="13">
        <f ca="1">VLOOKUP($B10,'[6]Analisys QBR By Machine Report'!$C$109:$BD$166,45,FALSE)</f>
        <v>0</v>
      </c>
      <c r="AY10" s="13">
        <f ca="1">VLOOKUP($B10,'[6]Analisys QBR By Machine Report'!$C$109:$BD$166,46,FALSE)</f>
        <v>0</v>
      </c>
      <c r="AZ10" s="13">
        <f ca="1">VLOOKUP($B10,'[6]Analisys QBR By Machine Report'!$C$109:$BD$166,47,FALSE)</f>
        <v>1000</v>
      </c>
      <c r="BA10" s="13">
        <f ca="1">VLOOKUP($B10,'[6]Analisys QBR By Machine Report'!$C$109:$BD$166,48,FALSE)</f>
        <v>645</v>
      </c>
      <c r="BB10" s="13">
        <f ca="1">VLOOKUP($B10,'[6]Analisys QBR By Machine Report'!$C$109:$BD$166,49,FALSE)</f>
        <v>0</v>
      </c>
      <c r="BC10" s="13">
        <f ca="1">VLOOKUP($B10,'[6]Analisys QBR By Machine Report'!$C$109:$BD$166,50,FALSE)</f>
        <v>0</v>
      </c>
      <c r="BD10" s="13">
        <f ca="1">VLOOKUP($B10,'[6]Analisys QBR By Machine Report'!$C$109:$BD$166,51,FALSE)</f>
        <v>5982655</v>
      </c>
      <c r="BE10" s="13">
        <f ca="1">VLOOKUP($B10,'[6]Analisys QBR By Machine Report'!$C$109:$BD$166,52,FALSE)</f>
        <v>5783</v>
      </c>
      <c r="BF10" s="13">
        <f ca="1">VLOOKUP($B10,'[6]Analisys QBR By Machine Report'!$C$109:$BD$166,53,FALSE)</f>
        <v>5976872</v>
      </c>
    </row>
    <row r="11" spans="1:58" x14ac:dyDescent="0.25">
      <c r="A11" s="12" t="s">
        <v>67</v>
      </c>
      <c r="B11" s="13">
        <f ca="1">VLOOKUP($B11,'[6]Analisys QBR By Machine Report'!$C$109:$BD$166,2,FALSE)</f>
        <v>27360</v>
      </c>
      <c r="C11" s="14">
        <f ca="1">VLOOKUP($B11,[6]Dasboard_QBR_Report!$B$109:$BL$166,3,FALSE)</f>
        <v>9120</v>
      </c>
      <c r="D11" s="13">
        <f ca="1">VLOOKUP($B11,'[6]Analisys QBR By Machine Report'!$C$109:$BD$166,3,FALSE)</f>
        <v>23100</v>
      </c>
      <c r="E11" s="14">
        <f ca="1">VLOOKUP($B11,[6]Dasboard_QBR_Report!$B$109:$BL$166,5,FALSE)</f>
        <v>4860</v>
      </c>
      <c r="F11" s="13">
        <f t="shared" ca="1" si="0"/>
        <v>4260</v>
      </c>
      <c r="G11" s="13">
        <f t="shared" ca="1" si="1"/>
        <v>655</v>
      </c>
      <c r="H11" s="13">
        <f ca="1">VLOOKUP($B11,'[6]Analisys QBR By Machine Report'!$C$109:$BD$166,4,FALSE)</f>
        <v>655</v>
      </c>
      <c r="I11" s="13">
        <f ca="1">VLOOKUP($B11,'[6]Analisys QBR By Machine Report'!$C$109:$BD$166,5,FALSE)</f>
        <v>215</v>
      </c>
      <c r="J11" s="13">
        <f ca="1">VLOOKUP($B11,'[6]Analisys QBR By Machine Report'!$C$109:$BD$166,6,FALSE)</f>
        <v>440</v>
      </c>
      <c r="K11" s="13">
        <f ca="1">VLOOKUP($B11,'[6]Analisys QBR By Machine Report'!$C$109:$BD$166,7,FALSE)</f>
        <v>0</v>
      </c>
      <c r="L11" s="13">
        <f ca="1">VLOOKUP($B11,'[6]Analisys QBR By Machine Report'!$C$109:$BD$166,8,FALSE)</f>
        <v>3605</v>
      </c>
      <c r="M11" s="13">
        <f ca="1">VLOOKUP($B11,'[6]Analisys QBR By Machine Report'!$C$109:$BD$166,9,FALSE)</f>
        <v>770</v>
      </c>
      <c r="N11" s="13">
        <f ca="1">VLOOKUP($B11,[6]Dasboard_QBR_Report!$B$109:$BL$166,18,FALSE)</f>
        <v>2835</v>
      </c>
      <c r="O11" s="13">
        <f ca="1">VLOOKUP($B11,'[6]Analisys QBR By Machine Report'!$C$109:$BD$166,10,FALSE)</f>
        <v>490</v>
      </c>
      <c r="P11" s="13">
        <f ca="1">VLOOKUP($B11,'[6]Analisys QBR By Machine Report'!$C$109:$BD$166,11,FALSE)</f>
        <v>230</v>
      </c>
      <c r="Q11" s="13">
        <f ca="1">VLOOKUP($B11,'[6]Analisys QBR By Machine Report'!$C$109:$BD$166,12,FALSE)</f>
        <v>0</v>
      </c>
      <c r="R11" s="13">
        <f ca="1">VLOOKUP($B11,'[6]Analisys QBR By Machine Report'!$C$109:$BD$166,13,FALSE)</f>
        <v>120</v>
      </c>
      <c r="S11" s="13">
        <f ca="1">VLOOKUP($B11,'[6]Analisys QBR By Machine Report'!$C$109:$BD$166,14,FALSE)</f>
        <v>140</v>
      </c>
      <c r="T11" s="13">
        <f ca="1">VLOOKUP($B11,'[6]Analisys QBR By Machine Report'!$C$109:$BD$166,15,FALSE)</f>
        <v>0</v>
      </c>
      <c r="U11" s="13">
        <f ca="1">VLOOKUP($B11,'[6]Analisys QBR By Machine Report'!$C$109:$BD$166,16,FALSE)</f>
        <v>0</v>
      </c>
      <c r="V11" s="13">
        <f ca="1">VLOOKUP($B11,'[6]Analisys QBR By Machine Report'!$C$109:$BD$166,17,FALSE)</f>
        <v>0</v>
      </c>
      <c r="W11" s="13">
        <f ca="1">VLOOKUP($B11,'[6]Analisys QBR By Machine Report'!$C$109:$BD$166,18,FALSE)</f>
        <v>0</v>
      </c>
      <c r="X11" s="13">
        <f ca="1">VLOOKUP($B11,'[6]Analisys QBR By Machine Report'!$C$109:$BD$166,19,FALSE)</f>
        <v>0</v>
      </c>
      <c r="Y11" s="13">
        <f ca="1">VLOOKUP($B11,'[6]Analisys QBR By Machine Report'!$C$109:$BD$166,20,FALSE)</f>
        <v>0</v>
      </c>
      <c r="Z11" s="13">
        <f ca="1">VLOOKUP($B11,'[6]Analisys QBR By Machine Report'!$C$109:$BD$166,21,FALSE)</f>
        <v>1005</v>
      </c>
      <c r="AA11" s="13">
        <f ca="1">VLOOKUP($B11,'[6]Analisys QBR By Machine Report'!$C$109:$BD$166,22,FALSE)</f>
        <v>190</v>
      </c>
      <c r="AB11" s="13">
        <f ca="1">VLOOKUP($B11,'[6]Analisys QBR By Machine Report'!$C$109:$BD$166,23,FALSE)</f>
        <v>390</v>
      </c>
      <c r="AC11" s="13">
        <f ca="1">VLOOKUP($B11,'[6]Analisys QBR By Machine Report'!$C$109:$BD$166,24,FALSE)</f>
        <v>65</v>
      </c>
      <c r="AD11" s="13">
        <f ca="1">VLOOKUP($B11,'[6]Analisys QBR By Machine Report'!$C$109:$BD$166,25,FALSE)</f>
        <v>0</v>
      </c>
      <c r="AE11" s="13">
        <f ca="1">VLOOKUP($B11,'[6]Analisys QBR By Machine Report'!$C$109:$BD$166,26,FALSE)</f>
        <v>360</v>
      </c>
      <c r="AF11" s="13">
        <f ca="1">VLOOKUP($B11,'[6]Analisys QBR By Machine Report'!$C$109:$BD$166,27,FALSE)</f>
        <v>0</v>
      </c>
      <c r="AG11" s="13">
        <f ca="1">VLOOKUP($B11,'[6]Analisys QBR By Machine Report'!$C$109:$BD$166,28,FALSE)</f>
        <v>0</v>
      </c>
      <c r="AH11" s="13">
        <f ca="1">VLOOKUP($B11,'[6]Analisys QBR By Machine Report'!$C$109:$BD$166,29,FALSE)</f>
        <v>0</v>
      </c>
      <c r="AI11" s="13">
        <f ca="1">VLOOKUP($B11,'[6]Analisys QBR By Machine Report'!$C$109:$BD$166,30,FALSE)</f>
        <v>1340</v>
      </c>
      <c r="AJ11" s="13">
        <f ca="1">VLOOKUP($B11,'[6]Analisys QBR By Machine Report'!$C$109:$BD$166,31,FALSE)</f>
        <v>0</v>
      </c>
      <c r="AK11" s="13">
        <f ca="1">VLOOKUP($B11,'[6]Analisys QBR By Machine Report'!$C$109:$BD$166,32,FALSE)</f>
        <v>0</v>
      </c>
      <c r="AL11" s="13">
        <f ca="1">VLOOKUP($B11,'[6]Analisys QBR By Machine Report'!$C$109:$BD$166,33,FALSE)</f>
        <v>180</v>
      </c>
      <c r="AM11" s="13">
        <f ca="1">VLOOKUP($B11,'[6]Analisys QBR By Machine Report'!$C$109:$BD$166,34,FALSE)</f>
        <v>0</v>
      </c>
      <c r="AN11" s="13">
        <f ca="1">VLOOKUP($B11,'[6]Analisys QBR By Machine Report'!$C$109:$BD$166,35,FALSE)</f>
        <v>175</v>
      </c>
      <c r="AO11" s="13">
        <f ca="1">VLOOKUP($B11,'[6]Analisys QBR By Machine Report'!$C$109:$BD$166,36,FALSE)</f>
        <v>300</v>
      </c>
      <c r="AP11" s="13">
        <f ca="1">VLOOKUP($B11,'[6]Analisys QBR By Machine Report'!$C$109:$BD$166,37,FALSE)</f>
        <v>0</v>
      </c>
      <c r="AQ11" s="13">
        <f ca="1">VLOOKUP($B11,'[6]Analisys QBR By Machine Report'!$C$109:$BD$166,38,FALSE)</f>
        <v>0</v>
      </c>
      <c r="AR11" s="13">
        <f ca="1">VLOOKUP($B11,'[6]Analisys QBR By Machine Report'!$C$109:$BD$166,39,FALSE)</f>
        <v>150</v>
      </c>
      <c r="AS11" s="13">
        <f ca="1">VLOOKUP($B11,'[6]Analisys QBR By Machine Report'!$C$109:$BD$166,40,FALSE)</f>
        <v>20</v>
      </c>
      <c r="AT11" s="13">
        <f ca="1">VLOOKUP($B11,'[6]Analisys QBR By Machine Report'!$C$109:$BD$166,41,FALSE)</f>
        <v>0</v>
      </c>
      <c r="AU11" s="13">
        <f ca="1">VLOOKUP($B11,'[6]Analisys QBR By Machine Report'!$C$109:$BD$166,42,FALSE)</f>
        <v>0</v>
      </c>
      <c r="AV11" s="13">
        <f ca="1">VLOOKUP($B11,'[6]Analisys QBR By Machine Report'!$C$109:$BD$166,43,FALSE)</f>
        <v>0</v>
      </c>
      <c r="AW11" s="13">
        <f ca="1">VLOOKUP($B11,'[6]Analisys QBR By Machine Report'!$C$109:$BD$166,44,FALSE)</f>
        <v>0</v>
      </c>
      <c r="AX11" s="13">
        <f ca="1">VLOOKUP($B11,'[6]Analisys QBR By Machine Report'!$C$109:$BD$166,45,FALSE)</f>
        <v>0</v>
      </c>
      <c r="AY11" s="13">
        <f ca="1">VLOOKUP($B11,'[6]Analisys QBR By Machine Report'!$C$109:$BD$166,46,FALSE)</f>
        <v>0</v>
      </c>
      <c r="AZ11" s="13">
        <f ca="1">VLOOKUP($B11,'[6]Analisys QBR By Machine Report'!$C$109:$BD$166,47,FALSE)</f>
        <v>465</v>
      </c>
      <c r="BA11" s="13">
        <f ca="1">VLOOKUP($B11,'[6]Analisys QBR By Machine Report'!$C$109:$BD$166,48,FALSE)</f>
        <v>50</v>
      </c>
      <c r="BB11" s="13">
        <f ca="1">VLOOKUP($B11,'[6]Analisys QBR By Machine Report'!$C$109:$BD$166,49,FALSE)</f>
        <v>0</v>
      </c>
      <c r="BC11" s="13">
        <f ca="1">VLOOKUP($B11,'[6]Analisys QBR By Machine Report'!$C$109:$BD$166,50,FALSE)</f>
        <v>0</v>
      </c>
      <c r="BD11" s="13">
        <f ca="1">VLOOKUP($B11,'[6]Analisys QBR By Machine Report'!$C$109:$BD$166,51,FALSE)</f>
        <v>633221</v>
      </c>
      <c r="BE11" s="13">
        <f ca="1">VLOOKUP($B11,'[6]Analisys QBR By Machine Report'!$C$109:$BD$166,52,FALSE)</f>
        <v>3452</v>
      </c>
      <c r="BF11" s="13">
        <f ca="1">VLOOKUP($B11,'[6]Analisys QBR By Machine Report'!$C$109:$BD$166,53,FALSE)</f>
        <v>629769</v>
      </c>
    </row>
    <row r="12" spans="1:58" x14ac:dyDescent="0.25">
      <c r="A12" s="12" t="s">
        <v>68</v>
      </c>
      <c r="B12" s="13">
        <f ca="1">VLOOKUP($B12,'[6]Analisys QBR By Machine Report'!$C$109:$BD$166,2,FALSE)</f>
        <v>27360</v>
      </c>
      <c r="C12" s="14">
        <f ca="1">VLOOKUP($B12,[6]Dasboard_QBR_Report!$B$109:$BL$166,3,FALSE)</f>
        <v>17670</v>
      </c>
      <c r="D12" s="13">
        <f ca="1">VLOOKUP($B12,'[6]Analisys QBR By Machine Report'!$C$109:$BD$166,3,FALSE)</f>
        <v>11790</v>
      </c>
      <c r="E12" s="14">
        <f ca="1">VLOOKUP($B12,[6]Dasboard_QBR_Report!$B$109:$BL$166,5,FALSE)</f>
        <v>2100</v>
      </c>
      <c r="F12" s="13">
        <f t="shared" ca="1" si="0"/>
        <v>15570</v>
      </c>
      <c r="G12" s="13">
        <f t="shared" ca="1" si="1"/>
        <v>650</v>
      </c>
      <c r="H12" s="13">
        <f ca="1">VLOOKUP($B12,'[6]Analisys QBR By Machine Report'!$C$109:$BD$166,4,FALSE)</f>
        <v>650</v>
      </c>
      <c r="I12" s="13">
        <f ca="1">VLOOKUP($B12,'[6]Analisys QBR By Machine Report'!$C$109:$BD$166,5,FALSE)</f>
        <v>120</v>
      </c>
      <c r="J12" s="13">
        <f ca="1">VLOOKUP($B12,'[6]Analisys QBR By Machine Report'!$C$109:$BD$166,6,FALSE)</f>
        <v>530</v>
      </c>
      <c r="K12" s="13">
        <f ca="1">VLOOKUP($B12,'[6]Analisys QBR By Machine Report'!$C$109:$BD$166,7,FALSE)</f>
        <v>0</v>
      </c>
      <c r="L12" s="13">
        <f ca="1">VLOOKUP($B12,'[6]Analisys QBR By Machine Report'!$C$109:$BD$166,8,FALSE)</f>
        <v>14920</v>
      </c>
      <c r="M12" s="13">
        <f ca="1">VLOOKUP($B12,'[6]Analisys QBR By Machine Report'!$C$109:$BD$166,9,FALSE)</f>
        <v>4200</v>
      </c>
      <c r="N12" s="13">
        <f ca="1">VLOOKUP($B12,[6]Dasboard_QBR_Report!$B$109:$BL$166,18,FALSE)</f>
        <v>10720</v>
      </c>
      <c r="O12" s="13">
        <f ca="1">VLOOKUP($B12,'[6]Analisys QBR By Machine Report'!$C$109:$BD$166,10,FALSE)</f>
        <v>1920</v>
      </c>
      <c r="P12" s="13">
        <f ca="1">VLOOKUP($B12,'[6]Analisys QBR By Machine Report'!$C$109:$BD$166,11,FALSE)</f>
        <v>1340</v>
      </c>
      <c r="Q12" s="13">
        <f ca="1">VLOOKUP($B12,'[6]Analisys QBR By Machine Report'!$C$109:$BD$166,12,FALSE)</f>
        <v>0</v>
      </c>
      <c r="R12" s="13">
        <f ca="1">VLOOKUP($B12,'[6]Analisys QBR By Machine Report'!$C$109:$BD$166,13,FALSE)</f>
        <v>0</v>
      </c>
      <c r="S12" s="13">
        <f ca="1">VLOOKUP($B12,'[6]Analisys QBR By Machine Report'!$C$109:$BD$166,14,FALSE)</f>
        <v>580</v>
      </c>
      <c r="T12" s="13">
        <f ca="1">VLOOKUP($B12,'[6]Analisys QBR By Machine Report'!$C$109:$BD$166,15,FALSE)</f>
        <v>0</v>
      </c>
      <c r="U12" s="13">
        <f ca="1">VLOOKUP($B12,'[6]Analisys QBR By Machine Report'!$C$109:$BD$166,16,FALSE)</f>
        <v>0</v>
      </c>
      <c r="V12" s="13">
        <f ca="1">VLOOKUP($B12,'[6]Analisys QBR By Machine Report'!$C$109:$BD$166,17,FALSE)</f>
        <v>0</v>
      </c>
      <c r="W12" s="13">
        <f ca="1">VLOOKUP($B12,'[6]Analisys QBR By Machine Report'!$C$109:$BD$166,18,FALSE)</f>
        <v>0</v>
      </c>
      <c r="X12" s="13">
        <f ca="1">VLOOKUP($B12,'[6]Analisys QBR By Machine Report'!$C$109:$BD$166,19,FALSE)</f>
        <v>0</v>
      </c>
      <c r="Y12" s="13">
        <f ca="1">VLOOKUP($B12,'[6]Analisys QBR By Machine Report'!$C$109:$BD$166,20,FALSE)</f>
        <v>0</v>
      </c>
      <c r="Z12" s="13">
        <f ca="1">VLOOKUP($B12,'[6]Analisys QBR By Machine Report'!$C$109:$BD$166,21,FALSE)</f>
        <v>1770</v>
      </c>
      <c r="AA12" s="13">
        <f ca="1">VLOOKUP($B12,'[6]Analisys QBR By Machine Report'!$C$109:$BD$166,22,FALSE)</f>
        <v>225</v>
      </c>
      <c r="AB12" s="13">
        <f ca="1">VLOOKUP($B12,'[6]Analisys QBR By Machine Report'!$C$109:$BD$166,23,FALSE)</f>
        <v>1265</v>
      </c>
      <c r="AC12" s="13">
        <f ca="1">VLOOKUP($B12,'[6]Analisys QBR By Machine Report'!$C$109:$BD$166,24,FALSE)</f>
        <v>45</v>
      </c>
      <c r="AD12" s="13">
        <f ca="1">VLOOKUP($B12,'[6]Analisys QBR By Machine Report'!$C$109:$BD$166,25,FALSE)</f>
        <v>0</v>
      </c>
      <c r="AE12" s="13">
        <f ca="1">VLOOKUP($B12,'[6]Analisys QBR By Machine Report'!$C$109:$BD$166,26,FALSE)</f>
        <v>235</v>
      </c>
      <c r="AF12" s="13">
        <f ca="1">VLOOKUP($B12,'[6]Analisys QBR By Machine Report'!$C$109:$BD$166,27,FALSE)</f>
        <v>1555</v>
      </c>
      <c r="AG12" s="13">
        <f ca="1">VLOOKUP($B12,'[6]Analisys QBR By Machine Report'!$C$109:$BD$166,28,FALSE)</f>
        <v>50</v>
      </c>
      <c r="AH12" s="13">
        <f ca="1">VLOOKUP($B12,'[6]Analisys QBR By Machine Report'!$C$109:$BD$166,29,FALSE)</f>
        <v>1505</v>
      </c>
      <c r="AI12" s="13">
        <f ca="1">VLOOKUP($B12,'[6]Analisys QBR By Machine Report'!$C$109:$BD$166,30,FALSE)</f>
        <v>5475</v>
      </c>
      <c r="AJ12" s="13">
        <f ca="1">VLOOKUP($B12,'[6]Analisys QBR By Machine Report'!$C$109:$BD$166,31,FALSE)</f>
        <v>0</v>
      </c>
      <c r="AK12" s="13">
        <f ca="1">VLOOKUP($B12,'[6]Analisys QBR By Machine Report'!$C$109:$BD$166,32,FALSE)</f>
        <v>0</v>
      </c>
      <c r="AL12" s="13">
        <f ca="1">VLOOKUP($B12,'[6]Analisys QBR By Machine Report'!$C$109:$BD$166,33,FALSE)</f>
        <v>700</v>
      </c>
      <c r="AM12" s="13">
        <f ca="1">VLOOKUP($B12,'[6]Analisys QBR By Machine Report'!$C$109:$BD$166,34,FALSE)</f>
        <v>0</v>
      </c>
      <c r="AN12" s="13">
        <f ca="1">VLOOKUP($B12,'[6]Analisys QBR By Machine Report'!$C$109:$BD$166,35,FALSE)</f>
        <v>680</v>
      </c>
      <c r="AO12" s="13">
        <f ca="1">VLOOKUP($B12,'[6]Analisys QBR By Machine Report'!$C$109:$BD$166,36,FALSE)</f>
        <v>90</v>
      </c>
      <c r="AP12" s="13">
        <f ca="1">VLOOKUP($B12,'[6]Analisys QBR By Machine Report'!$C$109:$BD$166,37,FALSE)</f>
        <v>0</v>
      </c>
      <c r="AQ12" s="13">
        <f ca="1">VLOOKUP($B12,'[6]Analisys QBR By Machine Report'!$C$109:$BD$166,38,FALSE)</f>
        <v>0</v>
      </c>
      <c r="AR12" s="13">
        <f ca="1">VLOOKUP($B12,'[6]Analisys QBR By Machine Report'!$C$109:$BD$166,39,FALSE)</f>
        <v>1145</v>
      </c>
      <c r="AS12" s="13">
        <f ca="1">VLOOKUP($B12,'[6]Analisys QBR By Machine Report'!$C$109:$BD$166,40,FALSE)</f>
        <v>270</v>
      </c>
      <c r="AT12" s="13">
        <f ca="1">VLOOKUP($B12,'[6]Analisys QBR By Machine Report'!$C$109:$BD$166,41,FALSE)</f>
        <v>0</v>
      </c>
      <c r="AU12" s="13">
        <f ca="1">VLOOKUP($B12,'[6]Analisys QBR By Machine Report'!$C$109:$BD$166,42,FALSE)</f>
        <v>0</v>
      </c>
      <c r="AV12" s="13">
        <f ca="1">VLOOKUP($B12,'[6]Analisys QBR By Machine Report'!$C$109:$BD$166,43,FALSE)</f>
        <v>0</v>
      </c>
      <c r="AW12" s="13">
        <f ca="1">VLOOKUP($B12,'[6]Analisys QBR By Machine Report'!$C$109:$BD$166,44,FALSE)</f>
        <v>0</v>
      </c>
      <c r="AX12" s="13">
        <f ca="1">VLOOKUP($B12,'[6]Analisys QBR By Machine Report'!$C$109:$BD$166,45,FALSE)</f>
        <v>0</v>
      </c>
      <c r="AY12" s="13">
        <f ca="1">VLOOKUP($B12,'[6]Analisys QBR By Machine Report'!$C$109:$BD$166,46,FALSE)</f>
        <v>0</v>
      </c>
      <c r="AZ12" s="13">
        <f ca="1">VLOOKUP($B12,'[6]Analisys QBR By Machine Report'!$C$109:$BD$166,47,FALSE)</f>
        <v>920</v>
      </c>
      <c r="BA12" s="13">
        <f ca="1">VLOOKUP($B12,'[6]Analisys QBR By Machine Report'!$C$109:$BD$166,48,FALSE)</f>
        <v>1670</v>
      </c>
      <c r="BB12" s="13">
        <f ca="1">VLOOKUP($B12,'[6]Analisys QBR By Machine Report'!$C$109:$BD$166,49,FALSE)</f>
        <v>0</v>
      </c>
      <c r="BC12" s="13">
        <f ca="1">VLOOKUP($B12,'[6]Analisys QBR By Machine Report'!$C$109:$BD$166,50,FALSE)</f>
        <v>0</v>
      </c>
      <c r="BD12" s="13">
        <f ca="1">VLOOKUP($B12,'[6]Analisys QBR By Machine Report'!$C$109:$BD$166,51,FALSE)</f>
        <v>1976334</v>
      </c>
      <c r="BE12" s="13">
        <f ca="1">VLOOKUP($B12,'[6]Analisys QBR By Machine Report'!$C$109:$BD$166,52,FALSE)</f>
        <v>1261</v>
      </c>
      <c r="BF12" s="13">
        <f ca="1">VLOOKUP($B12,'[6]Analisys QBR By Machine Report'!$C$109:$BD$166,53,FALSE)</f>
        <v>1975073</v>
      </c>
    </row>
    <row r="13" spans="1:58" x14ac:dyDescent="0.25">
      <c r="A13" s="9" t="s">
        <v>69</v>
      </c>
      <c r="B13" s="10">
        <f ca="1">VLOOKUP($B13,'[6]Analisys QBR By Machine Report'!$C$109:$BD$166,2,FALSE)</f>
        <v>56160</v>
      </c>
      <c r="C13" s="11">
        <f ca="1">VLOOKUP($B13,[6]Dasboard_QBR_Report!$B$109:$BL$166,3,FALSE)</f>
        <v>18720</v>
      </c>
      <c r="D13" s="10">
        <f ca="1">VLOOKUP($B13,'[6]Analisys QBR By Machine Report'!$C$109:$BD$166,3,FALSE)</f>
        <v>47010</v>
      </c>
      <c r="E13" s="11">
        <f ca="1">VLOOKUP($B13,[6]Dasboard_QBR_Report!$B$109:$BL$166,5,FALSE)</f>
        <v>9570</v>
      </c>
      <c r="F13" s="10">
        <f t="shared" ca="1" si="0"/>
        <v>9150</v>
      </c>
      <c r="G13" s="10">
        <f t="shared" ca="1" si="1"/>
        <v>0</v>
      </c>
      <c r="H13" s="10">
        <f ca="1">VLOOKUP($B13,'[6]Analisys QBR By Machine Report'!$C$109:$BD$166,4,FALSE)</f>
        <v>0</v>
      </c>
      <c r="I13" s="10">
        <f ca="1">VLOOKUP($B13,'[6]Analisys QBR By Machine Report'!$C$109:$BD$166,5,FALSE)</f>
        <v>0</v>
      </c>
      <c r="J13" s="10">
        <f ca="1">VLOOKUP($B13,'[6]Analisys QBR By Machine Report'!$C$109:$BD$166,6,FALSE)</f>
        <v>0</v>
      </c>
      <c r="K13" s="10">
        <f ca="1">VLOOKUP($B13,'[6]Analisys QBR By Machine Report'!$C$109:$BD$166,7,FALSE)</f>
        <v>0</v>
      </c>
      <c r="L13" s="10">
        <f ca="1">VLOOKUP($B13,'[6]Analisys QBR By Machine Report'!$C$109:$BD$166,8,FALSE)</f>
        <v>9150</v>
      </c>
      <c r="M13" s="10">
        <f ca="1">VLOOKUP($B13,'[6]Analisys QBR By Machine Report'!$C$109:$BD$166,9,FALSE)</f>
        <v>3663</v>
      </c>
      <c r="N13" s="10">
        <f ca="1">VLOOKUP($B13,[6]Dasboard_QBR_Report!$B$109:$BL$166,18,FALSE)</f>
        <v>5487</v>
      </c>
      <c r="O13" s="10">
        <f ca="1">VLOOKUP($B13,'[6]Analisys QBR By Machine Report'!$C$109:$BD$166,10,FALSE)</f>
        <v>467</v>
      </c>
      <c r="P13" s="10">
        <f ca="1">VLOOKUP($B13,'[6]Analisys QBR By Machine Report'!$C$109:$BD$166,11,FALSE)</f>
        <v>265</v>
      </c>
      <c r="Q13" s="10">
        <f ca="1">VLOOKUP($B13,'[6]Analisys QBR By Machine Report'!$C$109:$BD$166,12,FALSE)</f>
        <v>0</v>
      </c>
      <c r="R13" s="10">
        <f ca="1">VLOOKUP($B13,'[6]Analisys QBR By Machine Report'!$C$109:$BD$166,13,FALSE)</f>
        <v>202</v>
      </c>
      <c r="S13" s="10">
        <f ca="1">VLOOKUP($B13,'[6]Analisys QBR By Machine Report'!$C$109:$BD$166,14,FALSE)</f>
        <v>0</v>
      </c>
      <c r="T13" s="10">
        <f ca="1">VLOOKUP($B13,'[6]Analisys QBR By Machine Report'!$C$109:$BD$166,15,FALSE)</f>
        <v>160</v>
      </c>
      <c r="U13" s="10">
        <f ca="1">VLOOKUP($B13,'[6]Analisys QBR By Machine Report'!$C$109:$BD$166,16,FALSE)</f>
        <v>150</v>
      </c>
      <c r="V13" s="10">
        <f ca="1">VLOOKUP($B13,'[6]Analisys QBR By Machine Report'!$C$109:$BD$166,17,FALSE)</f>
        <v>0</v>
      </c>
      <c r="W13" s="10">
        <f ca="1">VLOOKUP($B13,'[6]Analisys QBR By Machine Report'!$C$109:$BD$166,18,FALSE)</f>
        <v>0</v>
      </c>
      <c r="X13" s="10">
        <f ca="1">VLOOKUP($B13,'[6]Analisys QBR By Machine Report'!$C$109:$BD$166,19,FALSE)</f>
        <v>10</v>
      </c>
      <c r="Y13" s="10">
        <f ca="1">VLOOKUP($B13,'[6]Analisys QBR By Machine Report'!$C$109:$BD$166,20,FALSE)</f>
        <v>0</v>
      </c>
      <c r="Z13" s="10">
        <f ca="1">VLOOKUP($B13,'[6]Analisys QBR By Machine Report'!$C$109:$BD$166,21,FALSE)</f>
        <v>3370</v>
      </c>
      <c r="AA13" s="10">
        <f ca="1">VLOOKUP($B13,'[6]Analisys QBR By Machine Report'!$C$109:$BD$166,22,FALSE)</f>
        <v>1285</v>
      </c>
      <c r="AB13" s="10">
        <f ca="1">VLOOKUP($B13,'[6]Analisys QBR By Machine Report'!$C$109:$BD$166,23,FALSE)</f>
        <v>1845</v>
      </c>
      <c r="AC13" s="10">
        <f ca="1">VLOOKUP($B13,'[6]Analisys QBR By Machine Report'!$C$109:$BD$166,24,FALSE)</f>
        <v>0</v>
      </c>
      <c r="AD13" s="10">
        <f ca="1">VLOOKUP($B13,'[6]Analisys QBR By Machine Report'!$C$109:$BD$166,25,FALSE)</f>
        <v>0</v>
      </c>
      <c r="AE13" s="10">
        <f ca="1">VLOOKUP($B13,'[6]Analisys QBR By Machine Report'!$C$109:$BD$166,26,FALSE)</f>
        <v>240</v>
      </c>
      <c r="AF13" s="10">
        <f ca="1">VLOOKUP($B13,'[6]Analisys QBR By Machine Report'!$C$109:$BD$166,27,FALSE)</f>
        <v>0</v>
      </c>
      <c r="AG13" s="10">
        <f ca="1">VLOOKUP($B13,'[6]Analisys QBR By Machine Report'!$C$109:$BD$166,28,FALSE)</f>
        <v>0</v>
      </c>
      <c r="AH13" s="10">
        <f ca="1">VLOOKUP($B13,'[6]Analisys QBR By Machine Report'!$C$109:$BD$166,29,FALSE)</f>
        <v>0</v>
      </c>
      <c r="AI13" s="10">
        <f ca="1">VLOOKUP($B13,'[6]Analisys QBR By Machine Report'!$C$109:$BD$166,30,FALSE)</f>
        <v>1490</v>
      </c>
      <c r="AJ13" s="10">
        <f ca="1">VLOOKUP($B13,'[6]Analisys QBR By Machine Report'!$C$109:$BD$166,31,FALSE)</f>
        <v>0</v>
      </c>
      <c r="AK13" s="10">
        <f ca="1">VLOOKUP($B13,'[6]Analisys QBR By Machine Report'!$C$109:$BD$166,32,FALSE)</f>
        <v>0</v>
      </c>
      <c r="AL13" s="10">
        <f ca="1">VLOOKUP($B13,'[6]Analisys QBR By Machine Report'!$C$109:$BD$166,33,FALSE)</f>
        <v>510</v>
      </c>
      <c r="AM13" s="10">
        <f ca="1">VLOOKUP($B13,'[6]Analisys QBR By Machine Report'!$C$109:$BD$166,34,FALSE)</f>
        <v>0</v>
      </c>
      <c r="AN13" s="10">
        <f ca="1">VLOOKUP($B13,'[6]Analisys QBR By Machine Report'!$C$109:$BD$166,35,FALSE)</f>
        <v>435</v>
      </c>
      <c r="AO13" s="10">
        <f ca="1">VLOOKUP($B13,'[6]Analisys QBR By Machine Report'!$C$109:$BD$166,36,FALSE)</f>
        <v>265</v>
      </c>
      <c r="AP13" s="10">
        <f ca="1">VLOOKUP($B13,'[6]Analisys QBR By Machine Report'!$C$109:$BD$166,37,FALSE)</f>
        <v>0</v>
      </c>
      <c r="AQ13" s="10">
        <f ca="1">VLOOKUP($B13,'[6]Analisys QBR By Machine Report'!$C$109:$BD$166,38,FALSE)</f>
        <v>0</v>
      </c>
      <c r="AR13" s="10">
        <f ca="1">VLOOKUP($B13,'[6]Analisys QBR By Machine Report'!$C$109:$BD$166,39,FALSE)</f>
        <v>35</v>
      </c>
      <c r="AS13" s="10">
        <f ca="1">VLOOKUP($B13,'[6]Analisys QBR By Machine Report'!$C$109:$BD$166,40,FALSE)</f>
        <v>225</v>
      </c>
      <c r="AT13" s="10">
        <f ca="1">VLOOKUP($B13,'[6]Analisys QBR By Machine Report'!$C$109:$BD$166,41,FALSE)</f>
        <v>0</v>
      </c>
      <c r="AU13" s="10">
        <f ca="1">VLOOKUP($B13,'[6]Analisys QBR By Machine Report'!$C$109:$BD$166,42,FALSE)</f>
        <v>0</v>
      </c>
      <c r="AV13" s="10">
        <f ca="1">VLOOKUP($B13,'[6]Analisys QBR By Machine Report'!$C$109:$BD$166,43,FALSE)</f>
        <v>0</v>
      </c>
      <c r="AW13" s="10">
        <f ca="1">VLOOKUP($B13,'[6]Analisys QBR By Machine Report'!$C$109:$BD$166,44,FALSE)</f>
        <v>0</v>
      </c>
      <c r="AX13" s="10">
        <f ca="1">VLOOKUP($B13,'[6]Analisys QBR By Machine Report'!$C$109:$BD$166,45,FALSE)</f>
        <v>0</v>
      </c>
      <c r="AY13" s="10">
        <f ca="1">VLOOKUP($B13,'[6]Analisys QBR By Machine Report'!$C$109:$BD$166,46,FALSE)</f>
        <v>0</v>
      </c>
      <c r="AZ13" s="10">
        <f ca="1">VLOOKUP($B13,'[6]Analisys QBR By Machine Report'!$C$109:$BD$166,47,FALSE)</f>
        <v>20</v>
      </c>
      <c r="BA13" s="10">
        <f ca="1">VLOOKUP($B13,'[6]Analisys QBR By Machine Report'!$C$109:$BD$166,48,FALSE)</f>
        <v>0</v>
      </c>
      <c r="BB13" s="10">
        <f ca="1">VLOOKUP($B13,'[6]Analisys QBR By Machine Report'!$C$109:$BD$166,49,FALSE)</f>
        <v>0</v>
      </c>
      <c r="BC13" s="10">
        <f ca="1">VLOOKUP($B13,'[6]Analisys QBR By Machine Report'!$C$109:$BD$166,50,FALSE)</f>
        <v>0</v>
      </c>
      <c r="BD13" s="10">
        <f ca="1">VLOOKUP($B13,'[6]Analisys QBR By Machine Report'!$C$109:$BD$166,51,FALSE)</f>
        <v>1657.08</v>
      </c>
      <c r="BE13" s="10">
        <f ca="1">VLOOKUP($B13,'[6]Analisys QBR By Machine Report'!$C$109:$BD$166,52,FALSE)</f>
        <v>0.93</v>
      </c>
      <c r="BF13" s="10">
        <f ca="1">VLOOKUP($B13,'[6]Analisys QBR By Machine Report'!$C$109:$BD$166,53,FALSE)</f>
        <v>1656.15</v>
      </c>
    </row>
    <row r="14" spans="1:58" x14ac:dyDescent="0.25">
      <c r="A14" s="12" t="s">
        <v>70</v>
      </c>
      <c r="B14" s="13">
        <f ca="1">VLOOKUP($B14,'[6]Analisys QBR By Machine Report'!$C$109:$BD$166,2,FALSE)</f>
        <v>28800</v>
      </c>
      <c r="C14" s="14">
        <f ca="1">VLOOKUP($B14,[6]Dasboard_QBR_Report!$B$109:$BL$166,3,FALSE)</f>
        <v>9600</v>
      </c>
      <c r="D14" s="13">
        <f ca="1">VLOOKUP($B14,'[6]Analisys QBR By Machine Report'!$C$109:$BD$166,3,FALSE)</f>
        <v>23580</v>
      </c>
      <c r="E14" s="14">
        <f ca="1">VLOOKUP($B14,[6]Dasboard_QBR_Report!$B$109:$BL$166,5,FALSE)</f>
        <v>4380</v>
      </c>
      <c r="F14" s="13">
        <f t="shared" ca="1" si="0"/>
        <v>5220</v>
      </c>
      <c r="G14" s="13">
        <f t="shared" ca="1" si="1"/>
        <v>0</v>
      </c>
      <c r="H14" s="13">
        <f ca="1">VLOOKUP($B14,'[6]Analisys QBR By Machine Report'!$C$109:$BD$166,4,FALSE)</f>
        <v>0</v>
      </c>
      <c r="I14" s="13">
        <f ca="1">VLOOKUP($B14,'[6]Analisys QBR By Machine Report'!$C$109:$BD$166,5,FALSE)</f>
        <v>0</v>
      </c>
      <c r="J14" s="13">
        <f ca="1">VLOOKUP($B14,'[6]Analisys QBR By Machine Report'!$C$109:$BD$166,6,FALSE)</f>
        <v>0</v>
      </c>
      <c r="K14" s="13">
        <f ca="1">VLOOKUP($B14,'[6]Analisys QBR By Machine Report'!$C$109:$BD$166,7,FALSE)</f>
        <v>0</v>
      </c>
      <c r="L14" s="13">
        <f ca="1">VLOOKUP($B14,'[6]Analisys QBR By Machine Report'!$C$109:$BD$166,8,FALSE)</f>
        <v>5220</v>
      </c>
      <c r="M14" s="13">
        <f ca="1">VLOOKUP($B14,'[6]Analisys QBR By Machine Report'!$C$109:$BD$166,9,FALSE)</f>
        <v>1893</v>
      </c>
      <c r="N14" s="13">
        <f ca="1">VLOOKUP($B14,[6]Dasboard_QBR_Report!$B$109:$BL$166,18,FALSE)</f>
        <v>3327</v>
      </c>
      <c r="O14" s="13">
        <f ca="1">VLOOKUP($B14,'[6]Analisys QBR By Machine Report'!$C$109:$BD$166,10,FALSE)</f>
        <v>262</v>
      </c>
      <c r="P14" s="13">
        <f ca="1">VLOOKUP($B14,'[6]Analisys QBR By Machine Report'!$C$109:$BD$166,11,FALSE)</f>
        <v>160</v>
      </c>
      <c r="Q14" s="13">
        <f ca="1">VLOOKUP($B14,'[6]Analisys QBR By Machine Report'!$C$109:$BD$166,12,FALSE)</f>
        <v>0</v>
      </c>
      <c r="R14" s="13">
        <f ca="1">VLOOKUP($B14,'[6]Analisys QBR By Machine Report'!$C$109:$BD$166,13,FALSE)</f>
        <v>102</v>
      </c>
      <c r="S14" s="13">
        <f ca="1">VLOOKUP($B14,'[6]Analisys QBR By Machine Report'!$C$109:$BD$166,14,FALSE)</f>
        <v>0</v>
      </c>
      <c r="T14" s="13">
        <f ca="1">VLOOKUP($B14,'[6]Analisys QBR By Machine Report'!$C$109:$BD$166,15,FALSE)</f>
        <v>140</v>
      </c>
      <c r="U14" s="13">
        <f ca="1">VLOOKUP($B14,'[6]Analisys QBR By Machine Report'!$C$109:$BD$166,16,FALSE)</f>
        <v>130</v>
      </c>
      <c r="V14" s="13">
        <f ca="1">VLOOKUP($B14,'[6]Analisys QBR By Machine Report'!$C$109:$BD$166,17,FALSE)</f>
        <v>0</v>
      </c>
      <c r="W14" s="13">
        <f ca="1">VLOOKUP($B14,'[6]Analisys QBR By Machine Report'!$C$109:$BD$166,18,FALSE)</f>
        <v>0</v>
      </c>
      <c r="X14" s="13">
        <f ca="1">VLOOKUP($B14,'[6]Analisys QBR By Machine Report'!$C$109:$BD$166,19,FALSE)</f>
        <v>10</v>
      </c>
      <c r="Y14" s="13">
        <f ca="1">VLOOKUP($B14,'[6]Analisys QBR By Machine Report'!$C$109:$BD$166,20,FALSE)</f>
        <v>0</v>
      </c>
      <c r="Z14" s="13">
        <f ca="1">VLOOKUP($B14,'[6]Analisys QBR By Machine Report'!$C$109:$BD$166,21,FALSE)</f>
        <v>1945</v>
      </c>
      <c r="AA14" s="13">
        <f ca="1">VLOOKUP($B14,'[6]Analisys QBR By Machine Report'!$C$109:$BD$166,22,FALSE)</f>
        <v>700</v>
      </c>
      <c r="AB14" s="13">
        <f ca="1">VLOOKUP($B14,'[6]Analisys QBR By Machine Report'!$C$109:$BD$166,23,FALSE)</f>
        <v>1080</v>
      </c>
      <c r="AC14" s="13">
        <f ca="1">VLOOKUP($B14,'[6]Analisys QBR By Machine Report'!$C$109:$BD$166,24,FALSE)</f>
        <v>0</v>
      </c>
      <c r="AD14" s="13">
        <f ca="1">VLOOKUP($B14,'[6]Analisys QBR By Machine Report'!$C$109:$BD$166,25,FALSE)</f>
        <v>0</v>
      </c>
      <c r="AE14" s="13">
        <f ca="1">VLOOKUP($B14,'[6]Analisys QBR By Machine Report'!$C$109:$BD$166,26,FALSE)</f>
        <v>165</v>
      </c>
      <c r="AF14" s="13">
        <f ca="1">VLOOKUP($B14,'[6]Analisys QBR By Machine Report'!$C$109:$BD$166,27,FALSE)</f>
        <v>0</v>
      </c>
      <c r="AG14" s="13">
        <f ca="1">VLOOKUP($B14,'[6]Analisys QBR By Machine Report'!$C$109:$BD$166,28,FALSE)</f>
        <v>0</v>
      </c>
      <c r="AH14" s="13">
        <f ca="1">VLOOKUP($B14,'[6]Analisys QBR By Machine Report'!$C$109:$BD$166,29,FALSE)</f>
        <v>0</v>
      </c>
      <c r="AI14" s="13">
        <f ca="1">VLOOKUP($B14,'[6]Analisys QBR By Machine Report'!$C$109:$BD$166,30,FALSE)</f>
        <v>980</v>
      </c>
      <c r="AJ14" s="13">
        <f ca="1">VLOOKUP($B14,'[6]Analisys QBR By Machine Report'!$C$109:$BD$166,31,FALSE)</f>
        <v>0</v>
      </c>
      <c r="AK14" s="13">
        <f ca="1">VLOOKUP($B14,'[6]Analisys QBR By Machine Report'!$C$109:$BD$166,32,FALSE)</f>
        <v>0</v>
      </c>
      <c r="AL14" s="13">
        <f ca="1">VLOOKUP($B14,'[6]Analisys QBR By Machine Report'!$C$109:$BD$166,33,FALSE)</f>
        <v>300</v>
      </c>
      <c r="AM14" s="13">
        <f ca="1">VLOOKUP($B14,'[6]Analisys QBR By Machine Report'!$C$109:$BD$166,34,FALSE)</f>
        <v>0</v>
      </c>
      <c r="AN14" s="13">
        <f ca="1">VLOOKUP($B14,'[6]Analisys QBR By Machine Report'!$C$109:$BD$166,35,FALSE)</f>
        <v>300</v>
      </c>
      <c r="AO14" s="13">
        <f ca="1">VLOOKUP($B14,'[6]Analisys QBR By Machine Report'!$C$109:$BD$166,36,FALSE)</f>
        <v>235</v>
      </c>
      <c r="AP14" s="13">
        <f ca="1">VLOOKUP($B14,'[6]Analisys QBR By Machine Report'!$C$109:$BD$166,37,FALSE)</f>
        <v>0</v>
      </c>
      <c r="AQ14" s="13">
        <f ca="1">VLOOKUP($B14,'[6]Analisys QBR By Machine Report'!$C$109:$BD$166,38,FALSE)</f>
        <v>0</v>
      </c>
      <c r="AR14" s="13">
        <f ca="1">VLOOKUP($B14,'[6]Analisys QBR By Machine Report'!$C$109:$BD$166,39,FALSE)</f>
        <v>20</v>
      </c>
      <c r="AS14" s="13">
        <f ca="1">VLOOKUP($B14,'[6]Analisys QBR By Machine Report'!$C$109:$BD$166,40,FALSE)</f>
        <v>120</v>
      </c>
      <c r="AT14" s="13">
        <f ca="1">VLOOKUP($B14,'[6]Analisys QBR By Machine Report'!$C$109:$BD$166,41,FALSE)</f>
        <v>0</v>
      </c>
      <c r="AU14" s="13">
        <f ca="1">VLOOKUP($B14,'[6]Analisys QBR By Machine Report'!$C$109:$BD$166,42,FALSE)</f>
        <v>0</v>
      </c>
      <c r="AV14" s="13">
        <f ca="1">VLOOKUP($B14,'[6]Analisys QBR By Machine Report'!$C$109:$BD$166,43,FALSE)</f>
        <v>0</v>
      </c>
      <c r="AW14" s="13">
        <f ca="1">VLOOKUP($B14,'[6]Analisys QBR By Machine Report'!$C$109:$BD$166,44,FALSE)</f>
        <v>0</v>
      </c>
      <c r="AX14" s="13">
        <f ca="1">VLOOKUP($B14,'[6]Analisys QBR By Machine Report'!$C$109:$BD$166,45,FALSE)</f>
        <v>0</v>
      </c>
      <c r="AY14" s="13">
        <f ca="1">VLOOKUP($B14,'[6]Analisys QBR By Machine Report'!$C$109:$BD$166,46,FALSE)</f>
        <v>0</v>
      </c>
      <c r="AZ14" s="13">
        <f ca="1">VLOOKUP($B14,'[6]Analisys QBR By Machine Report'!$C$109:$BD$166,47,FALSE)</f>
        <v>5</v>
      </c>
      <c r="BA14" s="13">
        <f ca="1">VLOOKUP($B14,'[6]Analisys QBR By Machine Report'!$C$109:$BD$166,48,FALSE)</f>
        <v>0</v>
      </c>
      <c r="BB14" s="13">
        <f ca="1">VLOOKUP($B14,'[6]Analisys QBR By Machine Report'!$C$109:$BD$166,49,FALSE)</f>
        <v>0</v>
      </c>
      <c r="BC14" s="13">
        <f ca="1">VLOOKUP($B14,'[6]Analisys QBR By Machine Report'!$C$109:$BD$166,50,FALSE)</f>
        <v>0</v>
      </c>
      <c r="BD14" s="13">
        <f ca="1">VLOOKUP($B14,'[6]Analisys QBR By Machine Report'!$C$109:$BD$166,51,FALSE)</f>
        <v>455.99</v>
      </c>
      <c r="BE14" s="13">
        <f ca="1">VLOOKUP($B14,'[6]Analisys QBR By Machine Report'!$C$109:$BD$166,52,FALSE)</f>
        <v>0.26</v>
      </c>
      <c r="BF14" s="13">
        <f ca="1">VLOOKUP($B14,'[6]Analisys QBR By Machine Report'!$C$109:$BD$166,53,FALSE)</f>
        <v>455.73</v>
      </c>
    </row>
    <row r="15" spans="1:58" x14ac:dyDescent="0.25">
      <c r="A15" s="12" t="s">
        <v>71</v>
      </c>
      <c r="B15" s="13">
        <f ca="1">VLOOKUP($B15,'[6]Analisys QBR By Machine Report'!$C$109:$BD$166,2,FALSE)</f>
        <v>27360</v>
      </c>
      <c r="C15" s="14">
        <f ca="1">VLOOKUP($B15,[6]Dasboard_QBR_Report!$B$109:$BL$166,3,FALSE)</f>
        <v>9120</v>
      </c>
      <c r="D15" s="13">
        <f ca="1">VLOOKUP($B15,'[6]Analisys QBR By Machine Report'!$C$109:$BD$166,3,FALSE)</f>
        <v>23430</v>
      </c>
      <c r="E15" s="14">
        <f ca="1">VLOOKUP($B15,[6]Dasboard_QBR_Report!$B$109:$BL$166,5,FALSE)</f>
        <v>5190</v>
      </c>
      <c r="F15" s="13">
        <f t="shared" ca="1" si="0"/>
        <v>3930</v>
      </c>
      <c r="G15" s="13">
        <f t="shared" ca="1" si="1"/>
        <v>0</v>
      </c>
      <c r="H15" s="13">
        <f ca="1">VLOOKUP($B15,'[6]Analisys QBR By Machine Report'!$C$109:$BD$166,4,FALSE)</f>
        <v>0</v>
      </c>
      <c r="I15" s="13">
        <f ca="1">VLOOKUP($B15,'[6]Analisys QBR By Machine Report'!$C$109:$BD$166,5,FALSE)</f>
        <v>0</v>
      </c>
      <c r="J15" s="13">
        <f ca="1">VLOOKUP($B15,'[6]Analisys QBR By Machine Report'!$C$109:$BD$166,6,FALSE)</f>
        <v>0</v>
      </c>
      <c r="K15" s="13">
        <f ca="1">VLOOKUP($B15,'[6]Analisys QBR By Machine Report'!$C$109:$BD$166,7,FALSE)</f>
        <v>0</v>
      </c>
      <c r="L15" s="13">
        <f ca="1">VLOOKUP($B15,'[6]Analisys QBR By Machine Report'!$C$109:$BD$166,8,FALSE)</f>
        <v>3930</v>
      </c>
      <c r="M15" s="13">
        <f ca="1">VLOOKUP($B15,'[6]Analisys QBR By Machine Report'!$C$109:$BD$166,9,FALSE)</f>
        <v>1770</v>
      </c>
      <c r="N15" s="13">
        <f ca="1">VLOOKUP($B15,[6]Dasboard_QBR_Report!$B$109:$BL$166,18,FALSE)</f>
        <v>2160</v>
      </c>
      <c r="O15" s="13">
        <f ca="1">VLOOKUP($B15,'[6]Analisys QBR By Machine Report'!$C$109:$BD$166,10,FALSE)</f>
        <v>205</v>
      </c>
      <c r="P15" s="13">
        <f ca="1">VLOOKUP($B15,'[6]Analisys QBR By Machine Report'!$C$109:$BD$166,11,FALSE)</f>
        <v>105</v>
      </c>
      <c r="Q15" s="13">
        <f ca="1">VLOOKUP($B15,'[6]Analisys QBR By Machine Report'!$C$109:$BD$166,12,FALSE)</f>
        <v>0</v>
      </c>
      <c r="R15" s="13">
        <f ca="1">VLOOKUP($B15,'[6]Analisys QBR By Machine Report'!$C$109:$BD$166,13,FALSE)</f>
        <v>100</v>
      </c>
      <c r="S15" s="13">
        <f ca="1">VLOOKUP($B15,'[6]Analisys QBR By Machine Report'!$C$109:$BD$166,14,FALSE)</f>
        <v>0</v>
      </c>
      <c r="T15" s="13">
        <f ca="1">VLOOKUP($B15,'[6]Analisys QBR By Machine Report'!$C$109:$BD$166,15,FALSE)</f>
        <v>20</v>
      </c>
      <c r="U15" s="13">
        <f ca="1">VLOOKUP($B15,'[6]Analisys QBR By Machine Report'!$C$109:$BD$166,16,FALSE)</f>
        <v>20</v>
      </c>
      <c r="V15" s="13">
        <f ca="1">VLOOKUP($B15,'[6]Analisys QBR By Machine Report'!$C$109:$BD$166,17,FALSE)</f>
        <v>0</v>
      </c>
      <c r="W15" s="13">
        <f ca="1">VLOOKUP($B15,'[6]Analisys QBR By Machine Report'!$C$109:$BD$166,18,FALSE)</f>
        <v>0</v>
      </c>
      <c r="X15" s="13">
        <f ca="1">VLOOKUP($B15,'[6]Analisys QBR By Machine Report'!$C$109:$BD$166,19,FALSE)</f>
        <v>0</v>
      </c>
      <c r="Y15" s="13">
        <f ca="1">VLOOKUP($B15,'[6]Analisys QBR By Machine Report'!$C$109:$BD$166,20,FALSE)</f>
        <v>0</v>
      </c>
      <c r="Z15" s="13">
        <f ca="1">VLOOKUP($B15,'[6]Analisys QBR By Machine Report'!$C$109:$BD$166,21,FALSE)</f>
        <v>1425</v>
      </c>
      <c r="AA15" s="13">
        <f ca="1">VLOOKUP($B15,'[6]Analisys QBR By Machine Report'!$C$109:$BD$166,22,FALSE)</f>
        <v>585</v>
      </c>
      <c r="AB15" s="13">
        <f ca="1">VLOOKUP($B15,'[6]Analisys QBR By Machine Report'!$C$109:$BD$166,23,FALSE)</f>
        <v>765</v>
      </c>
      <c r="AC15" s="13">
        <f ca="1">VLOOKUP($B15,'[6]Analisys QBR By Machine Report'!$C$109:$BD$166,24,FALSE)</f>
        <v>0</v>
      </c>
      <c r="AD15" s="13">
        <f ca="1">VLOOKUP($B15,'[6]Analisys QBR By Machine Report'!$C$109:$BD$166,25,FALSE)</f>
        <v>0</v>
      </c>
      <c r="AE15" s="13">
        <f ca="1">VLOOKUP($B15,'[6]Analisys QBR By Machine Report'!$C$109:$BD$166,26,FALSE)</f>
        <v>75</v>
      </c>
      <c r="AF15" s="13">
        <f ca="1">VLOOKUP($B15,'[6]Analisys QBR By Machine Report'!$C$109:$BD$166,27,FALSE)</f>
        <v>0</v>
      </c>
      <c r="AG15" s="13">
        <f ca="1">VLOOKUP($B15,'[6]Analisys QBR By Machine Report'!$C$109:$BD$166,28,FALSE)</f>
        <v>0</v>
      </c>
      <c r="AH15" s="13">
        <f ca="1">VLOOKUP($B15,'[6]Analisys QBR By Machine Report'!$C$109:$BD$166,29,FALSE)</f>
        <v>0</v>
      </c>
      <c r="AI15" s="13">
        <f ca="1">VLOOKUP($B15,'[6]Analisys QBR By Machine Report'!$C$109:$BD$166,30,FALSE)</f>
        <v>510</v>
      </c>
      <c r="AJ15" s="13">
        <f ca="1">VLOOKUP($B15,'[6]Analisys QBR By Machine Report'!$C$109:$BD$166,31,FALSE)</f>
        <v>0</v>
      </c>
      <c r="AK15" s="13">
        <f ca="1">VLOOKUP($B15,'[6]Analisys QBR By Machine Report'!$C$109:$BD$166,32,FALSE)</f>
        <v>0</v>
      </c>
      <c r="AL15" s="13">
        <f ca="1">VLOOKUP($B15,'[6]Analisys QBR By Machine Report'!$C$109:$BD$166,33,FALSE)</f>
        <v>210</v>
      </c>
      <c r="AM15" s="13">
        <f ca="1">VLOOKUP($B15,'[6]Analisys QBR By Machine Report'!$C$109:$BD$166,34,FALSE)</f>
        <v>0</v>
      </c>
      <c r="AN15" s="13">
        <f ca="1">VLOOKUP($B15,'[6]Analisys QBR By Machine Report'!$C$109:$BD$166,35,FALSE)</f>
        <v>135</v>
      </c>
      <c r="AO15" s="13">
        <f ca="1">VLOOKUP($B15,'[6]Analisys QBR By Machine Report'!$C$109:$BD$166,36,FALSE)</f>
        <v>30</v>
      </c>
      <c r="AP15" s="13">
        <f ca="1">VLOOKUP($B15,'[6]Analisys QBR By Machine Report'!$C$109:$BD$166,37,FALSE)</f>
        <v>0</v>
      </c>
      <c r="AQ15" s="13">
        <f ca="1">VLOOKUP($B15,'[6]Analisys QBR By Machine Report'!$C$109:$BD$166,38,FALSE)</f>
        <v>0</v>
      </c>
      <c r="AR15" s="13">
        <f ca="1">VLOOKUP($B15,'[6]Analisys QBR By Machine Report'!$C$109:$BD$166,39,FALSE)</f>
        <v>15</v>
      </c>
      <c r="AS15" s="13">
        <f ca="1">VLOOKUP($B15,'[6]Analisys QBR By Machine Report'!$C$109:$BD$166,40,FALSE)</f>
        <v>105</v>
      </c>
      <c r="AT15" s="13">
        <f ca="1">VLOOKUP($B15,'[6]Analisys QBR By Machine Report'!$C$109:$BD$166,41,FALSE)</f>
        <v>0</v>
      </c>
      <c r="AU15" s="13">
        <f ca="1">VLOOKUP($B15,'[6]Analisys QBR By Machine Report'!$C$109:$BD$166,42,FALSE)</f>
        <v>0</v>
      </c>
      <c r="AV15" s="13">
        <f ca="1">VLOOKUP($B15,'[6]Analisys QBR By Machine Report'!$C$109:$BD$166,43,FALSE)</f>
        <v>0</v>
      </c>
      <c r="AW15" s="13">
        <f ca="1">VLOOKUP($B15,'[6]Analisys QBR By Machine Report'!$C$109:$BD$166,44,FALSE)</f>
        <v>0</v>
      </c>
      <c r="AX15" s="13">
        <f ca="1">VLOOKUP($B15,'[6]Analisys QBR By Machine Report'!$C$109:$BD$166,45,FALSE)</f>
        <v>0</v>
      </c>
      <c r="AY15" s="13">
        <f ca="1">VLOOKUP($B15,'[6]Analisys QBR By Machine Report'!$C$109:$BD$166,46,FALSE)</f>
        <v>0</v>
      </c>
      <c r="AZ15" s="13">
        <f ca="1">VLOOKUP($B15,'[6]Analisys QBR By Machine Report'!$C$109:$BD$166,47,FALSE)</f>
        <v>15</v>
      </c>
      <c r="BA15" s="13">
        <f ca="1">VLOOKUP($B15,'[6]Analisys QBR By Machine Report'!$C$109:$BD$166,48,FALSE)</f>
        <v>0</v>
      </c>
      <c r="BB15" s="13">
        <f ca="1">VLOOKUP($B15,'[6]Analisys QBR By Machine Report'!$C$109:$BD$166,49,FALSE)</f>
        <v>0</v>
      </c>
      <c r="BC15" s="13">
        <f ca="1">VLOOKUP($B15,'[6]Analisys QBR By Machine Report'!$C$109:$BD$166,50,FALSE)</f>
        <v>0</v>
      </c>
      <c r="BD15" s="13">
        <f ca="1">VLOOKUP($B15,'[6]Analisys QBR By Machine Report'!$C$109:$BD$166,51,FALSE)</f>
        <v>1201.0899999999999</v>
      </c>
      <c r="BE15" s="13">
        <f ca="1">VLOOKUP($B15,'[6]Analisys QBR By Machine Report'!$C$109:$BD$166,52,FALSE)</f>
        <v>0.67</v>
      </c>
      <c r="BF15" s="13">
        <f ca="1">VLOOKUP($B15,'[6]Analisys QBR By Machine Report'!$C$109:$BD$166,53,FALSE)</f>
        <v>1200.42</v>
      </c>
    </row>
    <row r="16" spans="1:58" x14ac:dyDescent="0.25">
      <c r="A16" s="9" t="s">
        <v>72</v>
      </c>
      <c r="B16" s="10">
        <f ca="1">VLOOKUP($B16,'[6]Analisys QBR By Machine Report'!$C$109:$BD$166,2,FALSE)</f>
        <v>141120</v>
      </c>
      <c r="C16" s="11">
        <f ca="1">VLOOKUP($B16,[6]Dasboard_QBR_Report!$B$109:$BL$166,3,FALSE)</f>
        <v>65040</v>
      </c>
      <c r="D16" s="10">
        <f ca="1">VLOOKUP($B16,'[6]Analisys QBR By Machine Report'!$C$109:$BD$166,3,FALSE)</f>
        <v>85260</v>
      </c>
      <c r="E16" s="11">
        <f ca="1">VLOOKUP($B16,[6]Dasboard_QBR_Report!$B$109:$BL$166,5,FALSE)</f>
        <v>9180</v>
      </c>
      <c r="F16" s="10">
        <f t="shared" ca="1" si="0"/>
        <v>55860</v>
      </c>
      <c r="G16" s="10">
        <f t="shared" ca="1" si="1"/>
        <v>2850</v>
      </c>
      <c r="H16" s="10">
        <f ca="1">VLOOKUP($B16,'[6]Analisys QBR By Machine Report'!$C$109:$BD$166,4,FALSE)</f>
        <v>2850</v>
      </c>
      <c r="I16" s="10">
        <f ca="1">VLOOKUP($B16,'[6]Analisys QBR By Machine Report'!$C$109:$BD$166,5,FALSE)</f>
        <v>0</v>
      </c>
      <c r="J16" s="10">
        <f ca="1">VLOOKUP($B16,'[6]Analisys QBR By Machine Report'!$C$109:$BD$166,6,FALSE)</f>
        <v>2850</v>
      </c>
      <c r="K16" s="10">
        <f ca="1">VLOOKUP($B16,'[6]Analisys QBR By Machine Report'!$C$109:$BD$166,7,FALSE)</f>
        <v>0</v>
      </c>
      <c r="L16" s="10">
        <f ca="1">VLOOKUP($B16,'[6]Analisys QBR By Machine Report'!$C$109:$BD$166,8,FALSE)</f>
        <v>53010</v>
      </c>
      <c r="M16" s="10">
        <f ca="1">VLOOKUP($B16,'[6]Analisys QBR By Machine Report'!$C$109:$BD$166,9,FALSE)</f>
        <v>18100</v>
      </c>
      <c r="N16" s="10">
        <f ca="1">VLOOKUP($B16,[6]Dasboard_QBR_Report!$B$109:$BL$166,18,FALSE)</f>
        <v>34910</v>
      </c>
      <c r="O16" s="10">
        <f ca="1">VLOOKUP($B16,'[6]Analisys QBR By Machine Report'!$C$109:$BD$166,10,FALSE)</f>
        <v>7260</v>
      </c>
      <c r="P16" s="10">
        <f ca="1">VLOOKUP($B16,'[6]Analisys QBR By Machine Report'!$C$109:$BD$166,11,FALSE)</f>
        <v>4285</v>
      </c>
      <c r="Q16" s="10">
        <f ca="1">VLOOKUP($B16,'[6]Analisys QBR By Machine Report'!$C$109:$BD$166,12,FALSE)</f>
        <v>0</v>
      </c>
      <c r="R16" s="10">
        <f ca="1">VLOOKUP($B16,'[6]Analisys QBR By Machine Report'!$C$109:$BD$166,13,FALSE)</f>
        <v>2870</v>
      </c>
      <c r="S16" s="10">
        <f ca="1">VLOOKUP($B16,'[6]Analisys QBR By Machine Report'!$C$109:$BD$166,14,FALSE)</f>
        <v>105</v>
      </c>
      <c r="T16" s="10">
        <f ca="1">VLOOKUP($B16,'[6]Analisys QBR By Machine Report'!$C$109:$BD$166,15,FALSE)</f>
        <v>115</v>
      </c>
      <c r="U16" s="10">
        <f ca="1">VLOOKUP($B16,'[6]Analisys QBR By Machine Report'!$C$109:$BD$166,16,FALSE)</f>
        <v>85</v>
      </c>
      <c r="V16" s="10">
        <f ca="1">VLOOKUP($B16,'[6]Analisys QBR By Machine Report'!$C$109:$BD$166,17,FALSE)</f>
        <v>30</v>
      </c>
      <c r="W16" s="10">
        <f ca="1">VLOOKUP($B16,'[6]Analisys QBR By Machine Report'!$C$109:$BD$166,18,FALSE)</f>
        <v>0</v>
      </c>
      <c r="X16" s="10">
        <f ca="1">VLOOKUP($B16,'[6]Analisys QBR By Machine Report'!$C$109:$BD$166,19,FALSE)</f>
        <v>0</v>
      </c>
      <c r="Y16" s="10">
        <f ca="1">VLOOKUP($B16,'[6]Analisys QBR By Machine Report'!$C$109:$BD$166,20,FALSE)</f>
        <v>0</v>
      </c>
      <c r="Z16" s="10">
        <f ca="1">VLOOKUP($B16,'[6]Analisys QBR By Machine Report'!$C$109:$BD$166,21,FALSE)</f>
        <v>12705</v>
      </c>
      <c r="AA16" s="10">
        <f ca="1">VLOOKUP($B16,'[6]Analisys QBR By Machine Report'!$C$109:$BD$166,22,FALSE)</f>
        <v>7200</v>
      </c>
      <c r="AB16" s="10">
        <f ca="1">VLOOKUP($B16,'[6]Analisys QBR By Machine Report'!$C$109:$BD$166,23,FALSE)</f>
        <v>2005</v>
      </c>
      <c r="AC16" s="10">
        <f ca="1">VLOOKUP($B16,'[6]Analisys QBR By Machine Report'!$C$109:$BD$166,24,FALSE)</f>
        <v>2655</v>
      </c>
      <c r="AD16" s="10">
        <f ca="1">VLOOKUP($B16,'[6]Analisys QBR By Machine Report'!$C$109:$BD$166,25,FALSE)</f>
        <v>0</v>
      </c>
      <c r="AE16" s="10">
        <f ca="1">VLOOKUP($B16,'[6]Analisys QBR By Machine Report'!$C$109:$BD$166,26,FALSE)</f>
        <v>845</v>
      </c>
      <c r="AF16" s="10">
        <f ca="1">VLOOKUP($B16,'[6]Analisys QBR By Machine Report'!$C$109:$BD$166,27,FALSE)</f>
        <v>3270</v>
      </c>
      <c r="AG16" s="10">
        <f ca="1">VLOOKUP($B16,'[6]Analisys QBR By Machine Report'!$C$109:$BD$166,28,FALSE)</f>
        <v>0</v>
      </c>
      <c r="AH16" s="10">
        <f ca="1">VLOOKUP($B16,'[6]Analisys QBR By Machine Report'!$C$109:$BD$166,29,FALSE)</f>
        <v>3270</v>
      </c>
      <c r="AI16" s="10">
        <f ca="1">VLOOKUP($B16,'[6]Analisys QBR By Machine Report'!$C$109:$BD$166,30,FALSE)</f>
        <v>11560</v>
      </c>
      <c r="AJ16" s="10">
        <f ca="1">VLOOKUP($B16,'[6]Analisys QBR By Machine Report'!$C$109:$BD$166,31,FALSE)</f>
        <v>0</v>
      </c>
      <c r="AK16" s="10">
        <f ca="1">VLOOKUP($B16,'[6]Analisys QBR By Machine Report'!$C$109:$BD$166,32,FALSE)</f>
        <v>0</v>
      </c>
      <c r="AL16" s="10">
        <f ca="1">VLOOKUP($B16,'[6]Analisys QBR By Machine Report'!$C$109:$BD$166,33,FALSE)</f>
        <v>2980</v>
      </c>
      <c r="AM16" s="10">
        <f ca="1">VLOOKUP($B16,'[6]Analisys QBR By Machine Report'!$C$109:$BD$166,34,FALSE)</f>
        <v>0</v>
      </c>
      <c r="AN16" s="10">
        <f ca="1">VLOOKUP($B16,'[6]Analisys QBR By Machine Report'!$C$109:$BD$166,35,FALSE)</f>
        <v>2515</v>
      </c>
      <c r="AO16" s="10">
        <f ca="1">VLOOKUP($B16,'[6]Analisys QBR By Machine Report'!$C$109:$BD$166,36,FALSE)</f>
        <v>2215</v>
      </c>
      <c r="AP16" s="10">
        <f ca="1">VLOOKUP($B16,'[6]Analisys QBR By Machine Report'!$C$109:$BD$166,37,FALSE)</f>
        <v>0</v>
      </c>
      <c r="AQ16" s="10">
        <f ca="1">VLOOKUP($B16,'[6]Analisys QBR By Machine Report'!$C$109:$BD$166,38,FALSE)</f>
        <v>0</v>
      </c>
      <c r="AR16" s="10">
        <f ca="1">VLOOKUP($B16,'[6]Analisys QBR By Machine Report'!$C$109:$BD$166,39,FALSE)</f>
        <v>145</v>
      </c>
      <c r="AS16" s="10">
        <f ca="1">VLOOKUP($B16,'[6]Analisys QBR By Machine Report'!$C$109:$BD$166,40,FALSE)</f>
        <v>1665</v>
      </c>
      <c r="AT16" s="10">
        <f ca="1">VLOOKUP($B16,'[6]Analisys QBR By Machine Report'!$C$109:$BD$166,41,FALSE)</f>
        <v>0</v>
      </c>
      <c r="AU16" s="10">
        <f ca="1">VLOOKUP($B16,'[6]Analisys QBR By Machine Report'!$C$109:$BD$166,42,FALSE)</f>
        <v>0</v>
      </c>
      <c r="AV16" s="10">
        <f ca="1">VLOOKUP($B16,'[6]Analisys QBR By Machine Report'!$C$109:$BD$166,43,FALSE)</f>
        <v>0</v>
      </c>
      <c r="AW16" s="10">
        <f ca="1">VLOOKUP($B16,'[6]Analisys QBR By Machine Report'!$C$109:$BD$166,44,FALSE)</f>
        <v>0</v>
      </c>
      <c r="AX16" s="10">
        <f ca="1">VLOOKUP($B16,'[6]Analisys QBR By Machine Report'!$C$109:$BD$166,45,FALSE)</f>
        <v>0</v>
      </c>
      <c r="AY16" s="10">
        <f ca="1">VLOOKUP($B16,'[6]Analisys QBR By Machine Report'!$C$109:$BD$166,46,FALSE)</f>
        <v>0</v>
      </c>
      <c r="AZ16" s="10">
        <f ca="1">VLOOKUP($B16,'[6]Analisys QBR By Machine Report'!$C$109:$BD$166,47,FALSE)</f>
        <v>1870</v>
      </c>
      <c r="BA16" s="10">
        <f ca="1">VLOOKUP($B16,'[6]Analisys QBR By Machine Report'!$C$109:$BD$166,48,FALSE)</f>
        <v>170</v>
      </c>
      <c r="BB16" s="10">
        <f ca="1">VLOOKUP($B16,'[6]Analisys QBR By Machine Report'!$C$109:$BD$166,49,FALSE)</f>
        <v>0</v>
      </c>
      <c r="BC16" s="10">
        <f ca="1">VLOOKUP($B16,'[6]Analisys QBR By Machine Report'!$C$109:$BD$166,50,FALSE)</f>
        <v>0</v>
      </c>
      <c r="BD16" s="10">
        <f ca="1">VLOOKUP($B16,'[6]Analisys QBR By Machine Report'!$C$109:$BD$166,51,FALSE)</f>
        <v>10310207</v>
      </c>
      <c r="BE16" s="10">
        <f ca="1">VLOOKUP($B16,'[6]Analisys QBR By Machine Report'!$C$109:$BD$166,52,FALSE)</f>
        <v>48650</v>
      </c>
      <c r="BF16" s="10">
        <f ca="1">VLOOKUP($B16,'[6]Analisys QBR By Machine Report'!$C$109:$BD$166,53,FALSE)</f>
        <v>10261557</v>
      </c>
    </row>
    <row r="17" spans="1:58" x14ac:dyDescent="0.25">
      <c r="A17" s="12" t="s">
        <v>73</v>
      </c>
      <c r="B17" s="13">
        <f ca="1">VLOOKUP($B17,'[6]Analisys QBR By Machine Report'!$C$109:$BD$166,2,FALSE)</f>
        <v>28800</v>
      </c>
      <c r="C17" s="14">
        <f ca="1">VLOOKUP($B17,[6]Dasboard_QBR_Report!$B$109:$BL$166,3,FALSE)</f>
        <v>18600</v>
      </c>
      <c r="D17" s="13">
        <f ca="1">VLOOKUP($B17,'[6]Analisys QBR By Machine Report'!$C$109:$BD$166,3,FALSE)</f>
        <v>12480</v>
      </c>
      <c r="E17" s="14">
        <f ca="1">VLOOKUP($B17,[6]Dasboard_QBR_Report!$B$109:$BL$166,5,FALSE)</f>
        <v>2280</v>
      </c>
      <c r="F17" s="13">
        <f t="shared" ca="1" si="0"/>
        <v>16320</v>
      </c>
      <c r="G17" s="13">
        <f t="shared" ca="1" si="1"/>
        <v>680</v>
      </c>
      <c r="H17" s="13">
        <f ca="1">VLOOKUP($B17,'[6]Analisys QBR By Machine Report'!$C$109:$BD$166,4,FALSE)</f>
        <v>680</v>
      </c>
      <c r="I17" s="13">
        <f ca="1">VLOOKUP($B17,'[6]Analisys QBR By Machine Report'!$C$109:$BD$166,5,FALSE)</f>
        <v>0</v>
      </c>
      <c r="J17" s="13">
        <f ca="1">VLOOKUP($B17,'[6]Analisys QBR By Machine Report'!$C$109:$BD$166,6,FALSE)</f>
        <v>680</v>
      </c>
      <c r="K17" s="13">
        <f ca="1">VLOOKUP($B17,'[6]Analisys QBR By Machine Report'!$C$109:$BD$166,7,FALSE)</f>
        <v>0</v>
      </c>
      <c r="L17" s="13">
        <f ca="1">VLOOKUP($B17,'[6]Analisys QBR By Machine Report'!$C$109:$BD$166,8,FALSE)</f>
        <v>15640</v>
      </c>
      <c r="M17" s="13">
        <f ca="1">VLOOKUP($B17,'[6]Analisys QBR By Machine Report'!$C$109:$BD$166,9,FALSE)</f>
        <v>5305</v>
      </c>
      <c r="N17" s="13">
        <f ca="1">VLOOKUP($B17,[6]Dasboard_QBR_Report!$B$109:$BL$166,18,FALSE)</f>
        <v>10335</v>
      </c>
      <c r="O17" s="13">
        <f ca="1">VLOOKUP($B17,'[6]Analisys QBR By Machine Report'!$C$109:$BD$166,10,FALSE)</f>
        <v>2385</v>
      </c>
      <c r="P17" s="13">
        <f ca="1">VLOOKUP($B17,'[6]Analisys QBR By Machine Report'!$C$109:$BD$166,11,FALSE)</f>
        <v>1205</v>
      </c>
      <c r="Q17" s="13">
        <f ca="1">VLOOKUP($B17,'[6]Analisys QBR By Machine Report'!$C$109:$BD$166,12,FALSE)</f>
        <v>0</v>
      </c>
      <c r="R17" s="13">
        <f ca="1">VLOOKUP($B17,'[6]Analisys QBR By Machine Report'!$C$109:$BD$166,13,FALSE)</f>
        <v>1075</v>
      </c>
      <c r="S17" s="13">
        <f ca="1">VLOOKUP($B17,'[6]Analisys QBR By Machine Report'!$C$109:$BD$166,14,FALSE)</f>
        <v>105</v>
      </c>
      <c r="T17" s="13">
        <f ca="1">VLOOKUP($B17,'[6]Analisys QBR By Machine Report'!$C$109:$BD$166,15,FALSE)</f>
        <v>20</v>
      </c>
      <c r="U17" s="13">
        <f ca="1">VLOOKUP($B17,'[6]Analisys QBR By Machine Report'!$C$109:$BD$166,16,FALSE)</f>
        <v>20</v>
      </c>
      <c r="V17" s="13">
        <f ca="1">VLOOKUP($B17,'[6]Analisys QBR By Machine Report'!$C$109:$BD$166,17,FALSE)</f>
        <v>0</v>
      </c>
      <c r="W17" s="13">
        <f ca="1">VLOOKUP($B17,'[6]Analisys QBR By Machine Report'!$C$109:$BD$166,18,FALSE)</f>
        <v>0</v>
      </c>
      <c r="X17" s="13">
        <f ca="1">VLOOKUP($B17,'[6]Analisys QBR By Machine Report'!$C$109:$BD$166,19,FALSE)</f>
        <v>0</v>
      </c>
      <c r="Y17" s="13">
        <f ca="1">VLOOKUP($B17,'[6]Analisys QBR By Machine Report'!$C$109:$BD$166,20,FALSE)</f>
        <v>0</v>
      </c>
      <c r="Z17" s="13">
        <f ca="1">VLOOKUP($B17,'[6]Analisys QBR By Machine Report'!$C$109:$BD$166,21,FALSE)</f>
        <v>4535</v>
      </c>
      <c r="AA17" s="13">
        <f ca="1">VLOOKUP($B17,'[6]Analisys QBR By Machine Report'!$C$109:$BD$166,22,FALSE)</f>
        <v>3190</v>
      </c>
      <c r="AB17" s="13">
        <f ca="1">VLOOKUP($B17,'[6]Analisys QBR By Machine Report'!$C$109:$BD$166,23,FALSE)</f>
        <v>355</v>
      </c>
      <c r="AC17" s="13">
        <f ca="1">VLOOKUP($B17,'[6]Analisys QBR By Machine Report'!$C$109:$BD$166,24,FALSE)</f>
        <v>750</v>
      </c>
      <c r="AD17" s="13">
        <f ca="1">VLOOKUP($B17,'[6]Analisys QBR By Machine Report'!$C$109:$BD$166,25,FALSE)</f>
        <v>0</v>
      </c>
      <c r="AE17" s="13">
        <f ca="1">VLOOKUP($B17,'[6]Analisys QBR By Machine Report'!$C$109:$BD$166,26,FALSE)</f>
        <v>240</v>
      </c>
      <c r="AF17" s="13">
        <f ca="1">VLOOKUP($B17,'[6]Analisys QBR By Machine Report'!$C$109:$BD$166,27,FALSE)</f>
        <v>0</v>
      </c>
      <c r="AG17" s="13">
        <f ca="1">VLOOKUP($B17,'[6]Analisys QBR By Machine Report'!$C$109:$BD$166,28,FALSE)</f>
        <v>0</v>
      </c>
      <c r="AH17" s="13">
        <f ca="1">VLOOKUP($B17,'[6]Analisys QBR By Machine Report'!$C$109:$BD$166,29,FALSE)</f>
        <v>0</v>
      </c>
      <c r="AI17" s="13">
        <f ca="1">VLOOKUP($B17,'[6]Analisys QBR By Machine Report'!$C$109:$BD$166,30,FALSE)</f>
        <v>3395</v>
      </c>
      <c r="AJ17" s="13">
        <f ca="1">VLOOKUP($B17,'[6]Analisys QBR By Machine Report'!$C$109:$BD$166,31,FALSE)</f>
        <v>0</v>
      </c>
      <c r="AK17" s="13">
        <f ca="1">VLOOKUP($B17,'[6]Analisys QBR By Machine Report'!$C$109:$BD$166,32,FALSE)</f>
        <v>0</v>
      </c>
      <c r="AL17" s="13">
        <f ca="1">VLOOKUP($B17,'[6]Analisys QBR By Machine Report'!$C$109:$BD$166,33,FALSE)</f>
        <v>960</v>
      </c>
      <c r="AM17" s="13">
        <f ca="1">VLOOKUP($B17,'[6]Analisys QBR By Machine Report'!$C$109:$BD$166,34,FALSE)</f>
        <v>0</v>
      </c>
      <c r="AN17" s="13">
        <f ca="1">VLOOKUP($B17,'[6]Analisys QBR By Machine Report'!$C$109:$BD$166,35,FALSE)</f>
        <v>870</v>
      </c>
      <c r="AO17" s="13">
        <f ca="1">VLOOKUP($B17,'[6]Analisys QBR By Machine Report'!$C$109:$BD$166,36,FALSE)</f>
        <v>495</v>
      </c>
      <c r="AP17" s="13">
        <f ca="1">VLOOKUP($B17,'[6]Analisys QBR By Machine Report'!$C$109:$BD$166,37,FALSE)</f>
        <v>0</v>
      </c>
      <c r="AQ17" s="13">
        <f ca="1">VLOOKUP($B17,'[6]Analisys QBR By Machine Report'!$C$109:$BD$166,38,FALSE)</f>
        <v>0</v>
      </c>
      <c r="AR17" s="13">
        <f ca="1">VLOOKUP($B17,'[6]Analisys QBR By Machine Report'!$C$109:$BD$166,39,FALSE)</f>
        <v>0</v>
      </c>
      <c r="AS17" s="13">
        <f ca="1">VLOOKUP($B17,'[6]Analisys QBR By Machine Report'!$C$109:$BD$166,40,FALSE)</f>
        <v>490</v>
      </c>
      <c r="AT17" s="13">
        <f ca="1">VLOOKUP($B17,'[6]Analisys QBR By Machine Report'!$C$109:$BD$166,41,FALSE)</f>
        <v>0</v>
      </c>
      <c r="AU17" s="13">
        <f ca="1">VLOOKUP($B17,'[6]Analisys QBR By Machine Report'!$C$109:$BD$166,42,FALSE)</f>
        <v>0</v>
      </c>
      <c r="AV17" s="13">
        <f ca="1">VLOOKUP($B17,'[6]Analisys QBR By Machine Report'!$C$109:$BD$166,43,FALSE)</f>
        <v>0</v>
      </c>
      <c r="AW17" s="13">
        <f ca="1">VLOOKUP($B17,'[6]Analisys QBR By Machine Report'!$C$109:$BD$166,44,FALSE)</f>
        <v>0</v>
      </c>
      <c r="AX17" s="13">
        <f ca="1">VLOOKUP($B17,'[6]Analisys QBR By Machine Report'!$C$109:$BD$166,45,FALSE)</f>
        <v>0</v>
      </c>
      <c r="AY17" s="13">
        <f ca="1">VLOOKUP($B17,'[6]Analisys QBR By Machine Report'!$C$109:$BD$166,46,FALSE)</f>
        <v>0</v>
      </c>
      <c r="AZ17" s="13">
        <f ca="1">VLOOKUP($B17,'[6]Analisys QBR By Machine Report'!$C$109:$BD$166,47,FALSE)</f>
        <v>535</v>
      </c>
      <c r="BA17" s="13">
        <f ca="1">VLOOKUP($B17,'[6]Analisys QBR By Machine Report'!$C$109:$BD$166,48,FALSE)</f>
        <v>45</v>
      </c>
      <c r="BB17" s="13">
        <f ca="1">VLOOKUP($B17,'[6]Analisys QBR By Machine Report'!$C$109:$BD$166,49,FALSE)</f>
        <v>0</v>
      </c>
      <c r="BC17" s="13">
        <f ca="1">VLOOKUP($B17,'[6]Analisys QBR By Machine Report'!$C$109:$BD$166,50,FALSE)</f>
        <v>0</v>
      </c>
      <c r="BD17" s="13">
        <f ca="1">VLOOKUP($B17,'[6]Analisys QBR By Machine Report'!$C$109:$BD$166,51,FALSE)</f>
        <v>2755466</v>
      </c>
      <c r="BE17" s="13">
        <f ca="1">VLOOKUP($B17,'[6]Analisys QBR By Machine Report'!$C$109:$BD$166,52,FALSE)</f>
        <v>11646</v>
      </c>
      <c r="BF17" s="13">
        <f ca="1">VLOOKUP($B17,'[6]Analisys QBR By Machine Report'!$C$109:$BD$166,53,FALSE)</f>
        <v>2743820</v>
      </c>
    </row>
    <row r="18" spans="1:58" x14ac:dyDescent="0.25">
      <c r="A18" s="12" t="s">
        <v>74</v>
      </c>
      <c r="B18" s="13">
        <f ca="1">VLOOKUP($B18,'[6]Analisys QBR By Machine Report'!$C$109:$BD$166,2,FALSE)</f>
        <v>28800</v>
      </c>
      <c r="C18" s="14">
        <f ca="1">VLOOKUP($B18,[6]Dasboard_QBR_Report!$B$109:$BL$166,3,FALSE)</f>
        <v>18600</v>
      </c>
      <c r="D18" s="13">
        <f ca="1">VLOOKUP($B18,'[6]Analisys QBR By Machine Report'!$C$109:$BD$166,3,FALSE)</f>
        <v>13380</v>
      </c>
      <c r="E18" s="14">
        <f ca="1">VLOOKUP($B18,[6]Dasboard_QBR_Report!$B$109:$BL$166,5,FALSE)</f>
        <v>3180</v>
      </c>
      <c r="F18" s="13">
        <f t="shared" ca="1" si="0"/>
        <v>15420</v>
      </c>
      <c r="G18" s="13">
        <f t="shared" ca="1" si="1"/>
        <v>0</v>
      </c>
      <c r="H18" s="13">
        <f ca="1">VLOOKUP($B18,'[6]Analisys QBR By Machine Report'!$C$109:$BD$166,4,FALSE)</f>
        <v>0</v>
      </c>
      <c r="I18" s="13">
        <f ca="1">VLOOKUP($B18,'[6]Analisys QBR By Machine Report'!$C$109:$BD$166,5,FALSE)</f>
        <v>0</v>
      </c>
      <c r="J18" s="13">
        <f ca="1">VLOOKUP($B18,'[6]Analisys QBR By Machine Report'!$C$109:$BD$166,6,FALSE)</f>
        <v>0</v>
      </c>
      <c r="K18" s="13">
        <f ca="1">VLOOKUP($B18,'[6]Analisys QBR By Machine Report'!$C$109:$BD$166,7,FALSE)</f>
        <v>0</v>
      </c>
      <c r="L18" s="13">
        <f ca="1">VLOOKUP($B18,'[6]Analisys QBR By Machine Report'!$C$109:$BD$166,8,FALSE)</f>
        <v>15420</v>
      </c>
      <c r="M18" s="13">
        <f ca="1">VLOOKUP($B18,'[6]Analisys QBR By Machine Report'!$C$109:$BD$166,9,FALSE)</f>
        <v>4665</v>
      </c>
      <c r="N18" s="13">
        <f ca="1">VLOOKUP($B18,[6]Dasboard_QBR_Report!$B$109:$BL$166,18,FALSE)</f>
        <v>10755</v>
      </c>
      <c r="O18" s="13">
        <f ca="1">VLOOKUP($B18,'[6]Analisys QBR By Machine Report'!$C$109:$BD$166,10,FALSE)</f>
        <v>2675</v>
      </c>
      <c r="P18" s="13">
        <f ca="1">VLOOKUP($B18,'[6]Analisys QBR By Machine Report'!$C$109:$BD$166,11,FALSE)</f>
        <v>1610</v>
      </c>
      <c r="Q18" s="13">
        <f ca="1">VLOOKUP($B18,'[6]Analisys QBR By Machine Report'!$C$109:$BD$166,12,FALSE)</f>
        <v>0</v>
      </c>
      <c r="R18" s="13">
        <f ca="1">VLOOKUP($B18,'[6]Analisys QBR By Machine Report'!$C$109:$BD$166,13,FALSE)</f>
        <v>1065</v>
      </c>
      <c r="S18" s="13">
        <f ca="1">VLOOKUP($B18,'[6]Analisys QBR By Machine Report'!$C$109:$BD$166,14,FALSE)</f>
        <v>0</v>
      </c>
      <c r="T18" s="13">
        <f ca="1">VLOOKUP($B18,'[6]Analisys QBR By Machine Report'!$C$109:$BD$166,15,FALSE)</f>
        <v>70</v>
      </c>
      <c r="U18" s="13">
        <f ca="1">VLOOKUP($B18,'[6]Analisys QBR By Machine Report'!$C$109:$BD$166,16,FALSE)</f>
        <v>40</v>
      </c>
      <c r="V18" s="13">
        <f ca="1">VLOOKUP($B18,'[6]Analisys QBR By Machine Report'!$C$109:$BD$166,17,FALSE)</f>
        <v>30</v>
      </c>
      <c r="W18" s="13">
        <f ca="1">VLOOKUP($B18,'[6]Analisys QBR By Machine Report'!$C$109:$BD$166,18,FALSE)</f>
        <v>0</v>
      </c>
      <c r="X18" s="13">
        <f ca="1">VLOOKUP($B18,'[6]Analisys QBR By Machine Report'!$C$109:$BD$166,19,FALSE)</f>
        <v>0</v>
      </c>
      <c r="Y18" s="13">
        <f ca="1">VLOOKUP($B18,'[6]Analisys QBR By Machine Report'!$C$109:$BD$166,20,FALSE)</f>
        <v>0</v>
      </c>
      <c r="Z18" s="13">
        <f ca="1">VLOOKUP($B18,'[6]Analisys QBR By Machine Report'!$C$109:$BD$166,21,FALSE)</f>
        <v>3485</v>
      </c>
      <c r="AA18" s="13">
        <f ca="1">VLOOKUP($B18,'[6]Analisys QBR By Machine Report'!$C$109:$BD$166,22,FALSE)</f>
        <v>1435</v>
      </c>
      <c r="AB18" s="13">
        <f ca="1">VLOOKUP($B18,'[6]Analisys QBR By Machine Report'!$C$109:$BD$166,23,FALSE)</f>
        <v>1070</v>
      </c>
      <c r="AC18" s="13">
        <f ca="1">VLOOKUP($B18,'[6]Analisys QBR By Machine Report'!$C$109:$BD$166,24,FALSE)</f>
        <v>700</v>
      </c>
      <c r="AD18" s="13">
        <f ca="1">VLOOKUP($B18,'[6]Analisys QBR By Machine Report'!$C$109:$BD$166,25,FALSE)</f>
        <v>0</v>
      </c>
      <c r="AE18" s="13">
        <f ca="1">VLOOKUP($B18,'[6]Analisys QBR By Machine Report'!$C$109:$BD$166,26,FALSE)</f>
        <v>280</v>
      </c>
      <c r="AF18" s="13">
        <f ca="1">VLOOKUP($B18,'[6]Analisys QBR By Machine Report'!$C$109:$BD$166,27,FALSE)</f>
        <v>1680</v>
      </c>
      <c r="AG18" s="13">
        <f ca="1">VLOOKUP($B18,'[6]Analisys QBR By Machine Report'!$C$109:$BD$166,28,FALSE)</f>
        <v>0</v>
      </c>
      <c r="AH18" s="13">
        <f ca="1">VLOOKUP($B18,'[6]Analisys QBR By Machine Report'!$C$109:$BD$166,29,FALSE)</f>
        <v>1680</v>
      </c>
      <c r="AI18" s="13">
        <f ca="1">VLOOKUP($B18,'[6]Analisys QBR By Machine Report'!$C$109:$BD$166,30,FALSE)</f>
        <v>2845</v>
      </c>
      <c r="AJ18" s="13">
        <f ca="1">VLOOKUP($B18,'[6]Analisys QBR By Machine Report'!$C$109:$BD$166,31,FALSE)</f>
        <v>0</v>
      </c>
      <c r="AK18" s="13">
        <f ca="1">VLOOKUP($B18,'[6]Analisys QBR By Machine Report'!$C$109:$BD$166,32,FALSE)</f>
        <v>0</v>
      </c>
      <c r="AL18" s="13">
        <f ca="1">VLOOKUP($B18,'[6]Analisys QBR By Machine Report'!$C$109:$BD$166,33,FALSE)</f>
        <v>880</v>
      </c>
      <c r="AM18" s="13">
        <f ca="1">VLOOKUP($B18,'[6]Analisys QBR By Machine Report'!$C$109:$BD$166,34,FALSE)</f>
        <v>0</v>
      </c>
      <c r="AN18" s="13">
        <f ca="1">VLOOKUP($B18,'[6]Analisys QBR By Machine Report'!$C$109:$BD$166,35,FALSE)</f>
        <v>725</v>
      </c>
      <c r="AO18" s="13">
        <f ca="1">VLOOKUP($B18,'[6]Analisys QBR By Machine Report'!$C$109:$BD$166,36,FALSE)</f>
        <v>110</v>
      </c>
      <c r="AP18" s="13">
        <f ca="1">VLOOKUP($B18,'[6]Analisys QBR By Machine Report'!$C$109:$BD$166,37,FALSE)</f>
        <v>0</v>
      </c>
      <c r="AQ18" s="13">
        <f ca="1">VLOOKUP($B18,'[6]Analisys QBR By Machine Report'!$C$109:$BD$166,38,FALSE)</f>
        <v>0</v>
      </c>
      <c r="AR18" s="13">
        <f ca="1">VLOOKUP($B18,'[6]Analisys QBR By Machine Report'!$C$109:$BD$166,39,FALSE)</f>
        <v>145</v>
      </c>
      <c r="AS18" s="13">
        <f ca="1">VLOOKUP($B18,'[6]Analisys QBR By Machine Report'!$C$109:$BD$166,40,FALSE)</f>
        <v>475</v>
      </c>
      <c r="AT18" s="13">
        <f ca="1">VLOOKUP($B18,'[6]Analisys QBR By Machine Report'!$C$109:$BD$166,41,FALSE)</f>
        <v>0</v>
      </c>
      <c r="AU18" s="13">
        <f ca="1">VLOOKUP($B18,'[6]Analisys QBR By Machine Report'!$C$109:$BD$166,42,FALSE)</f>
        <v>0</v>
      </c>
      <c r="AV18" s="13">
        <f ca="1">VLOOKUP($B18,'[6]Analisys QBR By Machine Report'!$C$109:$BD$166,43,FALSE)</f>
        <v>0</v>
      </c>
      <c r="AW18" s="13">
        <f ca="1">VLOOKUP($B18,'[6]Analisys QBR By Machine Report'!$C$109:$BD$166,44,FALSE)</f>
        <v>0</v>
      </c>
      <c r="AX18" s="13">
        <f ca="1">VLOOKUP($B18,'[6]Analisys QBR By Machine Report'!$C$109:$BD$166,45,FALSE)</f>
        <v>0</v>
      </c>
      <c r="AY18" s="13">
        <f ca="1">VLOOKUP($B18,'[6]Analisys QBR By Machine Report'!$C$109:$BD$166,46,FALSE)</f>
        <v>0</v>
      </c>
      <c r="AZ18" s="13">
        <f ca="1">VLOOKUP($B18,'[6]Analisys QBR By Machine Report'!$C$109:$BD$166,47,FALSE)</f>
        <v>510</v>
      </c>
      <c r="BA18" s="13">
        <f ca="1">VLOOKUP($B18,'[6]Analisys QBR By Machine Report'!$C$109:$BD$166,48,FALSE)</f>
        <v>0</v>
      </c>
      <c r="BB18" s="13">
        <f ca="1">VLOOKUP($B18,'[6]Analisys QBR By Machine Report'!$C$109:$BD$166,49,FALSE)</f>
        <v>0</v>
      </c>
      <c r="BC18" s="13">
        <f ca="1">VLOOKUP($B18,'[6]Analisys QBR By Machine Report'!$C$109:$BD$166,50,FALSE)</f>
        <v>0</v>
      </c>
      <c r="BD18" s="13">
        <f ca="1">VLOOKUP($B18,'[6]Analisys QBR By Machine Report'!$C$109:$BD$166,51,FALSE)</f>
        <v>5500199</v>
      </c>
      <c r="BE18" s="13">
        <f ca="1">VLOOKUP($B18,'[6]Analisys QBR By Machine Report'!$C$109:$BD$166,52,FALSE)</f>
        <v>24273</v>
      </c>
      <c r="BF18" s="13">
        <f ca="1">VLOOKUP($B18,'[6]Analisys QBR By Machine Report'!$C$109:$BD$166,53,FALSE)</f>
        <v>5475926</v>
      </c>
    </row>
    <row r="19" spans="1:58" x14ac:dyDescent="0.25">
      <c r="A19" s="12" t="s">
        <v>75</v>
      </c>
      <c r="B19" s="13">
        <f ca="1">VLOOKUP($B19,'[6]Analisys QBR By Machine Report'!$C$109:$BD$166,2,FALSE)</f>
        <v>28800</v>
      </c>
      <c r="C19" s="14">
        <f ca="1">VLOOKUP($B19,[6]Dasboard_QBR_Report!$B$109:$BL$166,3,FALSE)</f>
        <v>9600</v>
      </c>
      <c r="D19" s="13">
        <f ca="1">VLOOKUP($B19,'[6]Analisys QBR By Machine Report'!$C$109:$BD$166,3,FALSE)</f>
        <v>22230</v>
      </c>
      <c r="E19" s="14">
        <f ca="1">VLOOKUP($B19,[6]Dasboard_QBR_Report!$B$109:$BL$166,5,FALSE)</f>
        <v>3030</v>
      </c>
      <c r="F19" s="13">
        <f t="shared" ca="1" si="0"/>
        <v>6570</v>
      </c>
      <c r="G19" s="13">
        <f t="shared" ca="1" si="1"/>
        <v>715</v>
      </c>
      <c r="H19" s="13">
        <f ca="1">VLOOKUP($B19,'[6]Analisys QBR By Machine Report'!$C$109:$BD$166,4,FALSE)</f>
        <v>715</v>
      </c>
      <c r="I19" s="13">
        <f ca="1">VLOOKUP($B19,'[6]Analisys QBR By Machine Report'!$C$109:$BD$166,5,FALSE)</f>
        <v>0</v>
      </c>
      <c r="J19" s="13">
        <f ca="1">VLOOKUP($B19,'[6]Analisys QBR By Machine Report'!$C$109:$BD$166,6,FALSE)</f>
        <v>715</v>
      </c>
      <c r="K19" s="13">
        <f ca="1">VLOOKUP($B19,'[6]Analisys QBR By Machine Report'!$C$109:$BD$166,7,FALSE)</f>
        <v>0</v>
      </c>
      <c r="L19" s="13">
        <f ca="1">VLOOKUP($B19,'[6]Analisys QBR By Machine Report'!$C$109:$BD$166,8,FALSE)</f>
        <v>5855</v>
      </c>
      <c r="M19" s="13">
        <f ca="1">VLOOKUP($B19,'[6]Analisys QBR By Machine Report'!$C$109:$BD$166,9,FALSE)</f>
        <v>1905</v>
      </c>
      <c r="N19" s="13">
        <f ca="1">VLOOKUP($B19,[6]Dasboard_QBR_Report!$B$109:$BL$166,18,FALSE)</f>
        <v>3950</v>
      </c>
      <c r="O19" s="13">
        <f ca="1">VLOOKUP($B19,'[6]Analisys QBR By Machine Report'!$C$109:$BD$166,10,FALSE)</f>
        <v>705</v>
      </c>
      <c r="P19" s="13">
        <f ca="1">VLOOKUP($B19,'[6]Analisys QBR By Machine Report'!$C$109:$BD$166,11,FALSE)</f>
        <v>525</v>
      </c>
      <c r="Q19" s="13">
        <f ca="1">VLOOKUP($B19,'[6]Analisys QBR By Machine Report'!$C$109:$BD$166,12,FALSE)</f>
        <v>0</v>
      </c>
      <c r="R19" s="13">
        <f ca="1">VLOOKUP($B19,'[6]Analisys QBR By Machine Report'!$C$109:$BD$166,13,FALSE)</f>
        <v>180</v>
      </c>
      <c r="S19" s="13">
        <f ca="1">VLOOKUP($B19,'[6]Analisys QBR By Machine Report'!$C$109:$BD$166,14,FALSE)</f>
        <v>0</v>
      </c>
      <c r="T19" s="13">
        <f ca="1">VLOOKUP($B19,'[6]Analisys QBR By Machine Report'!$C$109:$BD$166,15,FALSE)</f>
        <v>25</v>
      </c>
      <c r="U19" s="13">
        <f ca="1">VLOOKUP($B19,'[6]Analisys QBR By Machine Report'!$C$109:$BD$166,16,FALSE)</f>
        <v>25</v>
      </c>
      <c r="V19" s="13">
        <f ca="1">VLOOKUP($B19,'[6]Analisys QBR By Machine Report'!$C$109:$BD$166,17,FALSE)</f>
        <v>0</v>
      </c>
      <c r="W19" s="13">
        <f ca="1">VLOOKUP($B19,'[6]Analisys QBR By Machine Report'!$C$109:$BD$166,18,FALSE)</f>
        <v>0</v>
      </c>
      <c r="X19" s="13">
        <f ca="1">VLOOKUP($B19,'[6]Analisys QBR By Machine Report'!$C$109:$BD$166,19,FALSE)</f>
        <v>0</v>
      </c>
      <c r="Y19" s="13">
        <f ca="1">VLOOKUP($B19,'[6]Analisys QBR By Machine Report'!$C$109:$BD$166,20,FALSE)</f>
        <v>0</v>
      </c>
      <c r="Z19" s="13">
        <f ca="1">VLOOKUP($B19,'[6]Analisys QBR By Machine Report'!$C$109:$BD$166,21,FALSE)</f>
        <v>1035</v>
      </c>
      <c r="AA19" s="13">
        <f ca="1">VLOOKUP($B19,'[6]Analisys QBR By Machine Report'!$C$109:$BD$166,22,FALSE)</f>
        <v>495</v>
      </c>
      <c r="AB19" s="13">
        <f ca="1">VLOOKUP($B19,'[6]Analisys QBR By Machine Report'!$C$109:$BD$166,23,FALSE)</f>
        <v>130</v>
      </c>
      <c r="AC19" s="13">
        <f ca="1">VLOOKUP($B19,'[6]Analisys QBR By Machine Report'!$C$109:$BD$166,24,FALSE)</f>
        <v>330</v>
      </c>
      <c r="AD19" s="13">
        <f ca="1">VLOOKUP($B19,'[6]Analisys QBR By Machine Report'!$C$109:$BD$166,25,FALSE)</f>
        <v>0</v>
      </c>
      <c r="AE19" s="13">
        <f ca="1">VLOOKUP($B19,'[6]Analisys QBR By Machine Report'!$C$109:$BD$166,26,FALSE)</f>
        <v>80</v>
      </c>
      <c r="AF19" s="13">
        <f ca="1">VLOOKUP($B19,'[6]Analisys QBR By Machine Report'!$C$109:$BD$166,27,FALSE)</f>
        <v>480</v>
      </c>
      <c r="AG19" s="13">
        <f ca="1">VLOOKUP($B19,'[6]Analisys QBR By Machine Report'!$C$109:$BD$166,28,FALSE)</f>
        <v>0</v>
      </c>
      <c r="AH19" s="13">
        <f ca="1">VLOOKUP($B19,'[6]Analisys QBR By Machine Report'!$C$109:$BD$166,29,FALSE)</f>
        <v>480</v>
      </c>
      <c r="AI19" s="13">
        <f ca="1">VLOOKUP($B19,'[6]Analisys QBR By Machine Report'!$C$109:$BD$166,30,FALSE)</f>
        <v>1705</v>
      </c>
      <c r="AJ19" s="13">
        <f ca="1">VLOOKUP($B19,'[6]Analisys QBR By Machine Report'!$C$109:$BD$166,31,FALSE)</f>
        <v>0</v>
      </c>
      <c r="AK19" s="13">
        <f ca="1">VLOOKUP($B19,'[6]Analisys QBR By Machine Report'!$C$109:$BD$166,32,FALSE)</f>
        <v>0</v>
      </c>
      <c r="AL19" s="13">
        <f ca="1">VLOOKUP($B19,'[6]Analisys QBR By Machine Report'!$C$109:$BD$166,33,FALSE)</f>
        <v>270</v>
      </c>
      <c r="AM19" s="13">
        <f ca="1">VLOOKUP($B19,'[6]Analisys QBR By Machine Report'!$C$109:$BD$166,34,FALSE)</f>
        <v>0</v>
      </c>
      <c r="AN19" s="13">
        <f ca="1">VLOOKUP($B19,'[6]Analisys QBR By Machine Report'!$C$109:$BD$166,35,FALSE)</f>
        <v>255</v>
      </c>
      <c r="AO19" s="13">
        <f ca="1">VLOOKUP($B19,'[6]Analisys QBR By Machine Report'!$C$109:$BD$166,36,FALSE)</f>
        <v>760</v>
      </c>
      <c r="AP19" s="13">
        <f ca="1">VLOOKUP($B19,'[6]Analisys QBR By Machine Report'!$C$109:$BD$166,37,FALSE)</f>
        <v>0</v>
      </c>
      <c r="AQ19" s="13">
        <f ca="1">VLOOKUP($B19,'[6]Analisys QBR By Machine Report'!$C$109:$BD$166,38,FALSE)</f>
        <v>0</v>
      </c>
      <c r="AR19" s="13">
        <f ca="1">VLOOKUP($B19,'[6]Analisys QBR By Machine Report'!$C$109:$BD$166,39,FALSE)</f>
        <v>0</v>
      </c>
      <c r="AS19" s="13">
        <f ca="1">VLOOKUP($B19,'[6]Analisys QBR By Machine Report'!$C$109:$BD$166,40,FALSE)</f>
        <v>185</v>
      </c>
      <c r="AT19" s="13">
        <f ca="1">VLOOKUP($B19,'[6]Analisys QBR By Machine Report'!$C$109:$BD$166,41,FALSE)</f>
        <v>0</v>
      </c>
      <c r="AU19" s="13">
        <f ca="1">VLOOKUP($B19,'[6]Analisys QBR By Machine Report'!$C$109:$BD$166,42,FALSE)</f>
        <v>0</v>
      </c>
      <c r="AV19" s="13">
        <f ca="1">VLOOKUP($B19,'[6]Analisys QBR By Machine Report'!$C$109:$BD$166,43,FALSE)</f>
        <v>0</v>
      </c>
      <c r="AW19" s="13">
        <f ca="1">VLOOKUP($B19,'[6]Analisys QBR By Machine Report'!$C$109:$BD$166,44,FALSE)</f>
        <v>0</v>
      </c>
      <c r="AX19" s="13">
        <f ca="1">VLOOKUP($B19,'[6]Analisys QBR By Machine Report'!$C$109:$BD$166,45,FALSE)</f>
        <v>0</v>
      </c>
      <c r="AY19" s="13">
        <f ca="1">VLOOKUP($B19,'[6]Analisys QBR By Machine Report'!$C$109:$BD$166,46,FALSE)</f>
        <v>0</v>
      </c>
      <c r="AZ19" s="13">
        <f ca="1">VLOOKUP($B19,'[6]Analisys QBR By Machine Report'!$C$109:$BD$166,47,FALSE)</f>
        <v>235</v>
      </c>
      <c r="BA19" s="13">
        <f ca="1">VLOOKUP($B19,'[6]Analisys QBR By Machine Report'!$C$109:$BD$166,48,FALSE)</f>
        <v>0</v>
      </c>
      <c r="BB19" s="13">
        <f ca="1">VLOOKUP($B19,'[6]Analisys QBR By Machine Report'!$C$109:$BD$166,49,FALSE)</f>
        <v>0</v>
      </c>
      <c r="BC19" s="13">
        <f ca="1">VLOOKUP($B19,'[6]Analisys QBR By Machine Report'!$C$109:$BD$166,50,FALSE)</f>
        <v>0</v>
      </c>
      <c r="BD19" s="13">
        <f ca="1">VLOOKUP($B19,'[6]Analisys QBR By Machine Report'!$C$109:$BD$166,51,FALSE)</f>
        <v>1031542</v>
      </c>
      <c r="BE19" s="13">
        <f ca="1">VLOOKUP($B19,'[6]Analisys QBR By Machine Report'!$C$109:$BD$166,52,FALSE)</f>
        <v>5132</v>
      </c>
      <c r="BF19" s="13">
        <f ca="1">VLOOKUP($B19,'[6]Analisys QBR By Machine Report'!$C$109:$BD$166,53,FALSE)</f>
        <v>1026410</v>
      </c>
    </row>
    <row r="20" spans="1:58" x14ac:dyDescent="0.25">
      <c r="A20" s="12" t="s">
        <v>76</v>
      </c>
      <c r="B20" s="13">
        <f ca="1">VLOOKUP($B20,'[6]Analisys QBR By Machine Report'!$C$109:$BD$166,2,FALSE)</f>
        <v>27360</v>
      </c>
      <c r="C20" s="14">
        <f ca="1">VLOOKUP($B20,[6]Dasboard_QBR_Report!$B$109:$BL$166,3,FALSE)</f>
        <v>9120</v>
      </c>
      <c r="D20" s="13">
        <f ca="1">VLOOKUP($B20,'[6]Analisys QBR By Machine Report'!$C$109:$BD$166,3,FALSE)</f>
        <v>19560</v>
      </c>
      <c r="E20" s="14">
        <f ca="1">VLOOKUP($B20,[6]Dasboard_QBR_Report!$B$109:$BL$166,5,FALSE)</f>
        <v>1320</v>
      </c>
      <c r="F20" s="13">
        <f t="shared" ca="1" si="0"/>
        <v>7800</v>
      </c>
      <c r="G20" s="13">
        <f t="shared" ca="1" si="1"/>
        <v>945</v>
      </c>
      <c r="H20" s="13">
        <f ca="1">VLOOKUP($B20,'[6]Analisys QBR By Machine Report'!$C$109:$BD$166,4,FALSE)</f>
        <v>945</v>
      </c>
      <c r="I20" s="13">
        <f ca="1">VLOOKUP($B20,'[6]Analisys QBR By Machine Report'!$C$109:$BD$166,5,FALSE)</f>
        <v>0</v>
      </c>
      <c r="J20" s="13">
        <f ca="1">VLOOKUP($B20,'[6]Analisys QBR By Machine Report'!$C$109:$BD$166,6,FALSE)</f>
        <v>945</v>
      </c>
      <c r="K20" s="13">
        <f ca="1">VLOOKUP($B20,'[6]Analisys QBR By Machine Report'!$C$109:$BD$166,7,FALSE)</f>
        <v>0</v>
      </c>
      <c r="L20" s="13">
        <f ca="1">VLOOKUP($B20,'[6]Analisys QBR By Machine Report'!$C$109:$BD$166,8,FALSE)</f>
        <v>6855</v>
      </c>
      <c r="M20" s="13">
        <f ca="1">VLOOKUP($B20,'[6]Analisys QBR By Machine Report'!$C$109:$BD$166,9,FALSE)</f>
        <v>3380</v>
      </c>
      <c r="N20" s="13">
        <f ca="1">VLOOKUP($B20,[6]Dasboard_QBR_Report!$B$109:$BL$166,18,FALSE)</f>
        <v>3475</v>
      </c>
      <c r="O20" s="13">
        <f ca="1">VLOOKUP($B20,'[6]Analisys QBR By Machine Report'!$C$109:$BD$166,10,FALSE)</f>
        <v>90</v>
      </c>
      <c r="P20" s="13">
        <f ca="1">VLOOKUP($B20,'[6]Analisys QBR By Machine Report'!$C$109:$BD$166,11,FALSE)</f>
        <v>50</v>
      </c>
      <c r="Q20" s="13">
        <f ca="1">VLOOKUP($B20,'[6]Analisys QBR By Machine Report'!$C$109:$BD$166,12,FALSE)</f>
        <v>0</v>
      </c>
      <c r="R20" s="13">
        <f ca="1">VLOOKUP($B20,'[6]Analisys QBR By Machine Report'!$C$109:$BD$166,13,FALSE)</f>
        <v>40</v>
      </c>
      <c r="S20" s="13">
        <f ca="1">VLOOKUP($B20,'[6]Analisys QBR By Machine Report'!$C$109:$BD$166,14,FALSE)</f>
        <v>0</v>
      </c>
      <c r="T20" s="13">
        <f ca="1">VLOOKUP($B20,'[6]Analisys QBR By Machine Report'!$C$109:$BD$166,15,FALSE)</f>
        <v>0</v>
      </c>
      <c r="U20" s="13">
        <f ca="1">VLOOKUP($B20,'[6]Analisys QBR By Machine Report'!$C$109:$BD$166,16,FALSE)</f>
        <v>0</v>
      </c>
      <c r="V20" s="13">
        <f ca="1">VLOOKUP($B20,'[6]Analisys QBR By Machine Report'!$C$109:$BD$166,17,FALSE)</f>
        <v>0</v>
      </c>
      <c r="W20" s="13">
        <f ca="1">VLOOKUP($B20,'[6]Analisys QBR By Machine Report'!$C$109:$BD$166,18,FALSE)</f>
        <v>0</v>
      </c>
      <c r="X20" s="13">
        <f ca="1">VLOOKUP($B20,'[6]Analisys QBR By Machine Report'!$C$109:$BD$166,19,FALSE)</f>
        <v>0</v>
      </c>
      <c r="Y20" s="13">
        <f ca="1">VLOOKUP($B20,'[6]Analisys QBR By Machine Report'!$C$109:$BD$166,20,FALSE)</f>
        <v>0</v>
      </c>
      <c r="Z20" s="13">
        <f ca="1">VLOOKUP($B20,'[6]Analisys QBR By Machine Report'!$C$109:$BD$166,21,FALSE)</f>
        <v>1905</v>
      </c>
      <c r="AA20" s="13">
        <f ca="1">VLOOKUP($B20,'[6]Analisys QBR By Machine Report'!$C$109:$BD$166,22,FALSE)</f>
        <v>1130</v>
      </c>
      <c r="AB20" s="13">
        <f ca="1">VLOOKUP($B20,'[6]Analisys QBR By Machine Report'!$C$109:$BD$166,23,FALSE)</f>
        <v>175</v>
      </c>
      <c r="AC20" s="13">
        <f ca="1">VLOOKUP($B20,'[6]Analisys QBR By Machine Report'!$C$109:$BD$166,24,FALSE)</f>
        <v>450</v>
      </c>
      <c r="AD20" s="13">
        <f ca="1">VLOOKUP($B20,'[6]Analisys QBR By Machine Report'!$C$109:$BD$166,25,FALSE)</f>
        <v>0</v>
      </c>
      <c r="AE20" s="13">
        <f ca="1">VLOOKUP($B20,'[6]Analisys QBR By Machine Report'!$C$109:$BD$166,26,FALSE)</f>
        <v>150</v>
      </c>
      <c r="AF20" s="13">
        <f ca="1">VLOOKUP($B20,'[6]Analisys QBR By Machine Report'!$C$109:$BD$166,27,FALSE)</f>
        <v>0</v>
      </c>
      <c r="AG20" s="13">
        <f ca="1">VLOOKUP($B20,'[6]Analisys QBR By Machine Report'!$C$109:$BD$166,28,FALSE)</f>
        <v>0</v>
      </c>
      <c r="AH20" s="13">
        <f ca="1">VLOOKUP($B20,'[6]Analisys QBR By Machine Report'!$C$109:$BD$166,29,FALSE)</f>
        <v>0</v>
      </c>
      <c r="AI20" s="13">
        <f ca="1">VLOOKUP($B20,'[6]Analisys QBR By Machine Report'!$C$109:$BD$166,30,FALSE)</f>
        <v>1480</v>
      </c>
      <c r="AJ20" s="13">
        <f ca="1">VLOOKUP($B20,'[6]Analisys QBR By Machine Report'!$C$109:$BD$166,31,FALSE)</f>
        <v>0</v>
      </c>
      <c r="AK20" s="13">
        <f ca="1">VLOOKUP($B20,'[6]Analisys QBR By Machine Report'!$C$109:$BD$166,32,FALSE)</f>
        <v>0</v>
      </c>
      <c r="AL20" s="13">
        <f ca="1">VLOOKUP($B20,'[6]Analisys QBR By Machine Report'!$C$109:$BD$166,33,FALSE)</f>
        <v>390</v>
      </c>
      <c r="AM20" s="13">
        <f ca="1">VLOOKUP($B20,'[6]Analisys QBR By Machine Report'!$C$109:$BD$166,34,FALSE)</f>
        <v>0</v>
      </c>
      <c r="AN20" s="13">
        <f ca="1">VLOOKUP($B20,'[6]Analisys QBR By Machine Report'!$C$109:$BD$166,35,FALSE)</f>
        <v>245</v>
      </c>
      <c r="AO20" s="13">
        <f ca="1">VLOOKUP($B20,'[6]Analisys QBR By Machine Report'!$C$109:$BD$166,36,FALSE)</f>
        <v>500</v>
      </c>
      <c r="AP20" s="13">
        <f ca="1">VLOOKUP($B20,'[6]Analisys QBR By Machine Report'!$C$109:$BD$166,37,FALSE)</f>
        <v>0</v>
      </c>
      <c r="AQ20" s="13">
        <f ca="1">VLOOKUP($B20,'[6]Analisys QBR By Machine Report'!$C$109:$BD$166,38,FALSE)</f>
        <v>0</v>
      </c>
      <c r="AR20" s="13">
        <f ca="1">VLOOKUP($B20,'[6]Analisys QBR By Machine Report'!$C$109:$BD$166,39,FALSE)</f>
        <v>0</v>
      </c>
      <c r="AS20" s="13">
        <f ca="1">VLOOKUP($B20,'[6]Analisys QBR By Machine Report'!$C$109:$BD$166,40,FALSE)</f>
        <v>155</v>
      </c>
      <c r="AT20" s="13">
        <f ca="1">VLOOKUP($B20,'[6]Analisys QBR By Machine Report'!$C$109:$BD$166,41,FALSE)</f>
        <v>0</v>
      </c>
      <c r="AU20" s="13">
        <f ca="1">VLOOKUP($B20,'[6]Analisys QBR By Machine Report'!$C$109:$BD$166,42,FALSE)</f>
        <v>0</v>
      </c>
      <c r="AV20" s="13">
        <f ca="1">VLOOKUP($B20,'[6]Analisys QBR By Machine Report'!$C$109:$BD$166,43,FALSE)</f>
        <v>0</v>
      </c>
      <c r="AW20" s="13">
        <f ca="1">VLOOKUP($B20,'[6]Analisys QBR By Machine Report'!$C$109:$BD$166,44,FALSE)</f>
        <v>0</v>
      </c>
      <c r="AX20" s="13">
        <f ca="1">VLOOKUP($B20,'[6]Analisys QBR By Machine Report'!$C$109:$BD$166,45,FALSE)</f>
        <v>0</v>
      </c>
      <c r="AY20" s="13">
        <f ca="1">VLOOKUP($B20,'[6]Analisys QBR By Machine Report'!$C$109:$BD$166,46,FALSE)</f>
        <v>0</v>
      </c>
      <c r="AZ20" s="13">
        <f ca="1">VLOOKUP($B20,'[6]Analisys QBR By Machine Report'!$C$109:$BD$166,47,FALSE)</f>
        <v>65</v>
      </c>
      <c r="BA20" s="13">
        <f ca="1">VLOOKUP($B20,'[6]Analisys QBR By Machine Report'!$C$109:$BD$166,48,FALSE)</f>
        <v>125</v>
      </c>
      <c r="BB20" s="13">
        <f ca="1">VLOOKUP($B20,'[6]Analisys QBR By Machine Report'!$C$109:$BD$166,49,FALSE)</f>
        <v>0</v>
      </c>
      <c r="BC20" s="13">
        <f ca="1">VLOOKUP($B20,'[6]Analisys QBR By Machine Report'!$C$109:$BD$166,50,FALSE)</f>
        <v>0</v>
      </c>
      <c r="BD20" s="13">
        <f ca="1">VLOOKUP($B20,'[6]Analisys QBR By Machine Report'!$C$109:$BD$166,51,FALSE)</f>
        <v>20708</v>
      </c>
      <c r="BE20" s="13">
        <f ca="1">VLOOKUP($B20,'[6]Analisys QBR By Machine Report'!$C$109:$BD$166,52,FALSE)</f>
        <v>79</v>
      </c>
      <c r="BF20" s="13">
        <f ca="1">VLOOKUP($B20,'[6]Analisys QBR By Machine Report'!$C$109:$BD$166,53,FALSE)</f>
        <v>20629</v>
      </c>
    </row>
    <row r="21" spans="1:58" x14ac:dyDescent="0.25">
      <c r="A21" s="12" t="s">
        <v>77</v>
      </c>
      <c r="B21" s="13">
        <f ca="1">VLOOKUP($B21,'[6]Analisys QBR By Machine Report'!$C$109:$BD$166,2,FALSE)</f>
        <v>27360</v>
      </c>
      <c r="C21" s="14">
        <f ca="1">VLOOKUP($B21,[6]Dasboard_QBR_Report!$B$109:$BL$166,3,FALSE)</f>
        <v>9120</v>
      </c>
      <c r="D21" s="13">
        <f ca="1">VLOOKUP($B21,'[6]Analisys QBR By Machine Report'!$C$109:$BD$166,3,FALSE)</f>
        <v>17610</v>
      </c>
      <c r="E21" s="14">
        <f ca="1">VLOOKUP($B21,[6]Dasboard_QBR_Report!$B$109:$BL$166,5,FALSE)</f>
        <v>-630</v>
      </c>
      <c r="F21" s="13">
        <f t="shared" ca="1" si="0"/>
        <v>9750</v>
      </c>
      <c r="G21" s="13">
        <f t="shared" ca="1" si="1"/>
        <v>510</v>
      </c>
      <c r="H21" s="13">
        <f ca="1">VLOOKUP($B21,'[6]Analisys QBR By Machine Report'!$C$109:$BD$166,4,FALSE)</f>
        <v>510</v>
      </c>
      <c r="I21" s="13">
        <f ca="1">VLOOKUP($B21,'[6]Analisys QBR By Machine Report'!$C$109:$BD$166,5,FALSE)</f>
        <v>0</v>
      </c>
      <c r="J21" s="13">
        <f ca="1">VLOOKUP($B21,'[6]Analisys QBR By Machine Report'!$C$109:$BD$166,6,FALSE)</f>
        <v>510</v>
      </c>
      <c r="K21" s="13">
        <f ca="1">VLOOKUP($B21,'[6]Analisys QBR By Machine Report'!$C$109:$BD$166,7,FALSE)</f>
        <v>0</v>
      </c>
      <c r="L21" s="13">
        <f ca="1">VLOOKUP($B21,'[6]Analisys QBR By Machine Report'!$C$109:$BD$166,8,FALSE)</f>
        <v>9240</v>
      </c>
      <c r="M21" s="13">
        <f ca="1">VLOOKUP($B21,'[6]Analisys QBR By Machine Report'!$C$109:$BD$166,9,FALSE)</f>
        <v>2845</v>
      </c>
      <c r="N21" s="13">
        <f ca="1">VLOOKUP($B21,[6]Dasboard_QBR_Report!$B$109:$BL$166,18,FALSE)</f>
        <v>6395</v>
      </c>
      <c r="O21" s="13">
        <f ca="1">VLOOKUP($B21,'[6]Analisys QBR By Machine Report'!$C$109:$BD$166,10,FALSE)</f>
        <v>1405</v>
      </c>
      <c r="P21" s="13">
        <f ca="1">VLOOKUP($B21,'[6]Analisys QBR By Machine Report'!$C$109:$BD$166,11,FALSE)</f>
        <v>895</v>
      </c>
      <c r="Q21" s="13">
        <f ca="1">VLOOKUP($B21,'[6]Analisys QBR By Machine Report'!$C$109:$BD$166,12,FALSE)</f>
        <v>0</v>
      </c>
      <c r="R21" s="13">
        <f ca="1">VLOOKUP($B21,'[6]Analisys QBR By Machine Report'!$C$109:$BD$166,13,FALSE)</f>
        <v>510</v>
      </c>
      <c r="S21" s="13">
        <f ca="1">VLOOKUP($B21,'[6]Analisys QBR By Machine Report'!$C$109:$BD$166,14,FALSE)</f>
        <v>0</v>
      </c>
      <c r="T21" s="13">
        <f ca="1">VLOOKUP($B21,'[6]Analisys QBR By Machine Report'!$C$109:$BD$166,15,FALSE)</f>
        <v>0</v>
      </c>
      <c r="U21" s="13">
        <f ca="1">VLOOKUP($B21,'[6]Analisys QBR By Machine Report'!$C$109:$BD$166,16,FALSE)</f>
        <v>0</v>
      </c>
      <c r="V21" s="13">
        <f ca="1">VLOOKUP($B21,'[6]Analisys QBR By Machine Report'!$C$109:$BD$166,17,FALSE)</f>
        <v>0</v>
      </c>
      <c r="W21" s="13">
        <f ca="1">VLOOKUP($B21,'[6]Analisys QBR By Machine Report'!$C$109:$BD$166,18,FALSE)</f>
        <v>0</v>
      </c>
      <c r="X21" s="13">
        <f ca="1">VLOOKUP($B21,'[6]Analisys QBR By Machine Report'!$C$109:$BD$166,19,FALSE)</f>
        <v>0</v>
      </c>
      <c r="Y21" s="13">
        <f ca="1">VLOOKUP($B21,'[6]Analisys QBR By Machine Report'!$C$109:$BD$166,20,FALSE)</f>
        <v>0</v>
      </c>
      <c r="Z21" s="13">
        <f ca="1">VLOOKUP($B21,'[6]Analisys QBR By Machine Report'!$C$109:$BD$166,21,FALSE)</f>
        <v>1745</v>
      </c>
      <c r="AA21" s="13">
        <f ca="1">VLOOKUP($B21,'[6]Analisys QBR By Machine Report'!$C$109:$BD$166,22,FALSE)</f>
        <v>950</v>
      </c>
      <c r="AB21" s="13">
        <f ca="1">VLOOKUP($B21,'[6]Analisys QBR By Machine Report'!$C$109:$BD$166,23,FALSE)</f>
        <v>275</v>
      </c>
      <c r="AC21" s="13">
        <f ca="1">VLOOKUP($B21,'[6]Analisys QBR By Machine Report'!$C$109:$BD$166,24,FALSE)</f>
        <v>425</v>
      </c>
      <c r="AD21" s="13">
        <f ca="1">VLOOKUP($B21,'[6]Analisys QBR By Machine Report'!$C$109:$BD$166,25,FALSE)</f>
        <v>0</v>
      </c>
      <c r="AE21" s="13">
        <f ca="1">VLOOKUP($B21,'[6]Analisys QBR By Machine Report'!$C$109:$BD$166,26,FALSE)</f>
        <v>95</v>
      </c>
      <c r="AF21" s="13">
        <f ca="1">VLOOKUP($B21,'[6]Analisys QBR By Machine Report'!$C$109:$BD$166,27,FALSE)</f>
        <v>1110</v>
      </c>
      <c r="AG21" s="13">
        <f ca="1">VLOOKUP($B21,'[6]Analisys QBR By Machine Report'!$C$109:$BD$166,28,FALSE)</f>
        <v>0</v>
      </c>
      <c r="AH21" s="13">
        <f ca="1">VLOOKUP($B21,'[6]Analisys QBR By Machine Report'!$C$109:$BD$166,29,FALSE)</f>
        <v>1110</v>
      </c>
      <c r="AI21" s="13">
        <f ca="1">VLOOKUP($B21,'[6]Analisys QBR By Machine Report'!$C$109:$BD$166,30,FALSE)</f>
        <v>2135</v>
      </c>
      <c r="AJ21" s="13">
        <f ca="1">VLOOKUP($B21,'[6]Analisys QBR By Machine Report'!$C$109:$BD$166,31,FALSE)</f>
        <v>0</v>
      </c>
      <c r="AK21" s="13">
        <f ca="1">VLOOKUP($B21,'[6]Analisys QBR By Machine Report'!$C$109:$BD$166,32,FALSE)</f>
        <v>0</v>
      </c>
      <c r="AL21" s="13">
        <f ca="1">VLOOKUP($B21,'[6]Analisys QBR By Machine Report'!$C$109:$BD$166,33,FALSE)</f>
        <v>480</v>
      </c>
      <c r="AM21" s="13">
        <f ca="1">VLOOKUP($B21,'[6]Analisys QBR By Machine Report'!$C$109:$BD$166,34,FALSE)</f>
        <v>0</v>
      </c>
      <c r="AN21" s="13">
        <f ca="1">VLOOKUP($B21,'[6]Analisys QBR By Machine Report'!$C$109:$BD$166,35,FALSE)</f>
        <v>420</v>
      </c>
      <c r="AO21" s="13">
        <f ca="1">VLOOKUP($B21,'[6]Analisys QBR By Machine Report'!$C$109:$BD$166,36,FALSE)</f>
        <v>350</v>
      </c>
      <c r="AP21" s="13">
        <f ca="1">VLOOKUP($B21,'[6]Analisys QBR By Machine Report'!$C$109:$BD$166,37,FALSE)</f>
        <v>0</v>
      </c>
      <c r="AQ21" s="13">
        <f ca="1">VLOOKUP($B21,'[6]Analisys QBR By Machine Report'!$C$109:$BD$166,38,FALSE)</f>
        <v>0</v>
      </c>
      <c r="AR21" s="13">
        <f ca="1">VLOOKUP($B21,'[6]Analisys QBR By Machine Report'!$C$109:$BD$166,39,FALSE)</f>
        <v>0</v>
      </c>
      <c r="AS21" s="13">
        <f ca="1">VLOOKUP($B21,'[6]Analisys QBR By Machine Report'!$C$109:$BD$166,40,FALSE)</f>
        <v>360</v>
      </c>
      <c r="AT21" s="13">
        <f ca="1">VLOOKUP($B21,'[6]Analisys QBR By Machine Report'!$C$109:$BD$166,41,FALSE)</f>
        <v>0</v>
      </c>
      <c r="AU21" s="13">
        <f ca="1">VLOOKUP($B21,'[6]Analisys QBR By Machine Report'!$C$109:$BD$166,42,FALSE)</f>
        <v>0</v>
      </c>
      <c r="AV21" s="13">
        <f ca="1">VLOOKUP($B21,'[6]Analisys QBR By Machine Report'!$C$109:$BD$166,43,FALSE)</f>
        <v>0</v>
      </c>
      <c r="AW21" s="13">
        <f ca="1">VLOOKUP($B21,'[6]Analisys QBR By Machine Report'!$C$109:$BD$166,44,FALSE)</f>
        <v>0</v>
      </c>
      <c r="AX21" s="13">
        <f ca="1">VLOOKUP($B21,'[6]Analisys QBR By Machine Report'!$C$109:$BD$166,45,FALSE)</f>
        <v>0</v>
      </c>
      <c r="AY21" s="13">
        <f ca="1">VLOOKUP($B21,'[6]Analisys QBR By Machine Report'!$C$109:$BD$166,46,FALSE)</f>
        <v>0</v>
      </c>
      <c r="AZ21" s="13">
        <f ca="1">VLOOKUP($B21,'[6]Analisys QBR By Machine Report'!$C$109:$BD$166,47,FALSE)</f>
        <v>525</v>
      </c>
      <c r="BA21" s="13">
        <f ca="1">VLOOKUP($B21,'[6]Analisys QBR By Machine Report'!$C$109:$BD$166,48,FALSE)</f>
        <v>0</v>
      </c>
      <c r="BB21" s="13">
        <f ca="1">VLOOKUP($B21,'[6]Analisys QBR By Machine Report'!$C$109:$BD$166,49,FALSE)</f>
        <v>0</v>
      </c>
      <c r="BC21" s="13">
        <f ca="1">VLOOKUP($B21,'[6]Analisys QBR By Machine Report'!$C$109:$BD$166,50,FALSE)</f>
        <v>0</v>
      </c>
      <c r="BD21" s="13">
        <f ca="1">VLOOKUP($B21,'[6]Analisys QBR By Machine Report'!$C$109:$BD$166,51,FALSE)</f>
        <v>1002292</v>
      </c>
      <c r="BE21" s="13">
        <f ca="1">VLOOKUP($B21,'[6]Analisys QBR By Machine Report'!$C$109:$BD$166,52,FALSE)</f>
        <v>7520</v>
      </c>
      <c r="BF21" s="13">
        <f ca="1">VLOOKUP($B21,'[6]Analisys QBR By Machine Report'!$C$109:$BD$166,53,FALSE)</f>
        <v>994772</v>
      </c>
    </row>
    <row r="22" spans="1:58" x14ac:dyDescent="0.25">
      <c r="A22" s="9" t="s">
        <v>78</v>
      </c>
      <c r="B22" s="10">
        <f ca="1">VLOOKUP($B22,'[6]Analisys QBR By Machine Report'!$C$109:$BD$166,2,FALSE)</f>
        <v>27360</v>
      </c>
      <c r="C22" s="11">
        <f ca="1">VLOOKUP($B22,[6]Dasboard_QBR_Report!$B$109:$BL$166,3,FALSE)</f>
        <v>17670</v>
      </c>
      <c r="D22" s="10">
        <f ca="1">VLOOKUP($B22,'[6]Analisys QBR By Machine Report'!$C$109:$BD$166,3,FALSE)</f>
        <v>21000</v>
      </c>
      <c r="E22" s="11">
        <f ca="1">VLOOKUP($B22,[6]Dasboard_QBR_Report!$B$109:$BL$166,5,FALSE)</f>
        <v>11310</v>
      </c>
      <c r="F22" s="10">
        <f t="shared" ca="1" si="0"/>
        <v>6360</v>
      </c>
      <c r="G22" s="10">
        <f t="shared" ca="1" si="1"/>
        <v>646</v>
      </c>
      <c r="H22" s="10">
        <f ca="1">VLOOKUP($B22,'[6]Analisys QBR By Machine Report'!$C$109:$BD$166,4,FALSE)</f>
        <v>646</v>
      </c>
      <c r="I22" s="10">
        <f ca="1">VLOOKUP($B22,'[6]Analisys QBR By Machine Report'!$C$109:$BD$166,5,FALSE)</f>
        <v>142</v>
      </c>
      <c r="J22" s="10">
        <f ca="1">VLOOKUP($B22,'[6]Analisys QBR By Machine Report'!$C$109:$BD$166,6,FALSE)</f>
        <v>504</v>
      </c>
      <c r="K22" s="10">
        <f ca="1">VLOOKUP($B22,'[6]Analisys QBR By Machine Report'!$C$109:$BD$166,7,FALSE)</f>
        <v>0</v>
      </c>
      <c r="L22" s="10">
        <f ca="1">VLOOKUP($B22,'[6]Analisys QBR By Machine Report'!$C$109:$BD$166,8,FALSE)</f>
        <v>5714</v>
      </c>
      <c r="M22" s="10">
        <f ca="1">VLOOKUP($B22,'[6]Analisys QBR By Machine Report'!$C$109:$BD$166,9,FALSE)</f>
        <v>2391</v>
      </c>
      <c r="N22" s="10">
        <f ca="1">VLOOKUP($B22,[6]Dasboard_QBR_Report!$B$109:$BL$166,18,FALSE)</f>
        <v>3323</v>
      </c>
      <c r="O22" s="10">
        <f ca="1">VLOOKUP($B22,'[6]Analisys QBR By Machine Report'!$C$109:$BD$166,10,FALSE)</f>
        <v>178</v>
      </c>
      <c r="P22" s="10">
        <f ca="1">VLOOKUP($B22,'[6]Analisys QBR By Machine Report'!$C$109:$BD$166,11,FALSE)</f>
        <v>178</v>
      </c>
      <c r="Q22" s="10">
        <f ca="1">VLOOKUP($B22,'[6]Analisys QBR By Machine Report'!$C$109:$BD$166,12,FALSE)</f>
        <v>0</v>
      </c>
      <c r="R22" s="10">
        <f ca="1">VLOOKUP($B22,'[6]Analisys QBR By Machine Report'!$C$109:$BD$166,13,FALSE)</f>
        <v>0</v>
      </c>
      <c r="S22" s="10">
        <f ca="1">VLOOKUP($B22,'[6]Analisys QBR By Machine Report'!$C$109:$BD$166,14,FALSE)</f>
        <v>0</v>
      </c>
      <c r="T22" s="10">
        <f ca="1">VLOOKUP($B22,'[6]Analisys QBR By Machine Report'!$C$109:$BD$166,15,FALSE)</f>
        <v>0</v>
      </c>
      <c r="U22" s="10">
        <f ca="1">VLOOKUP($B22,'[6]Analisys QBR By Machine Report'!$C$109:$BD$166,16,FALSE)</f>
        <v>0</v>
      </c>
      <c r="V22" s="10">
        <f ca="1">VLOOKUP($B22,'[6]Analisys QBR By Machine Report'!$C$109:$BD$166,17,FALSE)</f>
        <v>0</v>
      </c>
      <c r="W22" s="10">
        <f ca="1">VLOOKUP($B22,'[6]Analisys QBR By Machine Report'!$C$109:$BD$166,18,FALSE)</f>
        <v>0</v>
      </c>
      <c r="X22" s="10">
        <f ca="1">VLOOKUP($B22,'[6]Analisys QBR By Machine Report'!$C$109:$BD$166,19,FALSE)</f>
        <v>0</v>
      </c>
      <c r="Y22" s="10">
        <f ca="1">VLOOKUP($B22,'[6]Analisys QBR By Machine Report'!$C$109:$BD$166,20,FALSE)</f>
        <v>0</v>
      </c>
      <c r="Z22" s="10">
        <f ca="1">VLOOKUP($B22,'[6]Analisys QBR By Machine Report'!$C$109:$BD$166,21,FALSE)</f>
        <v>1890</v>
      </c>
      <c r="AA22" s="10">
        <f ca="1">VLOOKUP($B22,'[6]Analisys QBR By Machine Report'!$C$109:$BD$166,22,FALSE)</f>
        <v>184</v>
      </c>
      <c r="AB22" s="10">
        <f ca="1">VLOOKUP($B22,'[6]Analisys QBR By Machine Report'!$C$109:$BD$166,23,FALSE)</f>
        <v>1706</v>
      </c>
      <c r="AC22" s="10">
        <f ca="1">VLOOKUP($B22,'[6]Analisys QBR By Machine Report'!$C$109:$BD$166,24,FALSE)</f>
        <v>0</v>
      </c>
      <c r="AD22" s="10">
        <f ca="1">VLOOKUP($B22,'[6]Analisys QBR By Machine Report'!$C$109:$BD$166,25,FALSE)</f>
        <v>0</v>
      </c>
      <c r="AE22" s="10">
        <f ca="1">VLOOKUP($B22,'[6]Analisys QBR By Machine Report'!$C$109:$BD$166,26,FALSE)</f>
        <v>0</v>
      </c>
      <c r="AF22" s="10">
        <f ca="1">VLOOKUP($B22,'[6]Analisys QBR By Machine Report'!$C$109:$BD$166,27,FALSE)</f>
        <v>0</v>
      </c>
      <c r="AG22" s="10">
        <f ca="1">VLOOKUP($B22,'[6]Analisys QBR By Machine Report'!$C$109:$BD$166,28,FALSE)</f>
        <v>0</v>
      </c>
      <c r="AH22" s="10">
        <f ca="1">VLOOKUP($B22,'[6]Analisys QBR By Machine Report'!$C$109:$BD$166,29,FALSE)</f>
        <v>0</v>
      </c>
      <c r="AI22" s="10">
        <f ca="1">VLOOKUP($B22,'[6]Analisys QBR By Machine Report'!$C$109:$BD$166,30,FALSE)</f>
        <v>1255</v>
      </c>
      <c r="AJ22" s="10">
        <f ca="1">VLOOKUP($B22,'[6]Analisys QBR By Machine Report'!$C$109:$BD$166,31,FALSE)</f>
        <v>451</v>
      </c>
      <c r="AK22" s="10">
        <f ca="1">VLOOKUP($B22,'[6]Analisys QBR By Machine Report'!$C$109:$BD$166,32,FALSE)</f>
        <v>0</v>
      </c>
      <c r="AL22" s="10">
        <f ca="1">VLOOKUP($B22,'[6]Analisys QBR By Machine Report'!$C$109:$BD$166,33,FALSE)</f>
        <v>180</v>
      </c>
      <c r="AM22" s="10">
        <f ca="1">VLOOKUP($B22,'[6]Analisys QBR By Machine Report'!$C$109:$BD$166,34,FALSE)</f>
        <v>40</v>
      </c>
      <c r="AN22" s="10">
        <f ca="1">VLOOKUP($B22,'[6]Analisys QBR By Machine Report'!$C$109:$BD$166,35,FALSE)</f>
        <v>140</v>
      </c>
      <c r="AO22" s="10">
        <f ca="1">VLOOKUP($B22,'[6]Analisys QBR By Machine Report'!$C$109:$BD$166,36,FALSE)</f>
        <v>0</v>
      </c>
      <c r="AP22" s="10">
        <f ca="1">VLOOKUP($B22,'[6]Analisys QBR By Machine Report'!$C$109:$BD$166,37,FALSE)</f>
        <v>0</v>
      </c>
      <c r="AQ22" s="10">
        <f ca="1">VLOOKUP($B22,'[6]Analisys QBR By Machine Report'!$C$109:$BD$166,38,FALSE)</f>
        <v>0</v>
      </c>
      <c r="AR22" s="10">
        <f ca="1">VLOOKUP($B22,'[6]Analisys QBR By Machine Report'!$C$109:$BD$166,39,FALSE)</f>
        <v>0</v>
      </c>
      <c r="AS22" s="10">
        <f ca="1">VLOOKUP($B22,'[6]Analisys QBR By Machine Report'!$C$109:$BD$166,40,FALSE)</f>
        <v>0</v>
      </c>
      <c r="AT22" s="10">
        <f ca="1">VLOOKUP($B22,'[6]Analisys QBR By Machine Report'!$C$109:$BD$166,41,FALSE)</f>
        <v>0</v>
      </c>
      <c r="AU22" s="10">
        <f ca="1">VLOOKUP($B22,'[6]Analisys QBR By Machine Report'!$C$109:$BD$166,42,FALSE)</f>
        <v>0</v>
      </c>
      <c r="AV22" s="10">
        <f ca="1">VLOOKUP($B22,'[6]Analisys QBR By Machine Report'!$C$109:$BD$166,43,FALSE)</f>
        <v>0</v>
      </c>
      <c r="AW22" s="10">
        <f ca="1">VLOOKUP($B22,'[6]Analisys QBR By Machine Report'!$C$109:$BD$166,44,FALSE)</f>
        <v>0</v>
      </c>
      <c r="AX22" s="10">
        <f ca="1">VLOOKUP($B22,'[6]Analisys QBR By Machine Report'!$C$109:$BD$166,45,FALSE)</f>
        <v>0</v>
      </c>
      <c r="AY22" s="10">
        <f ca="1">VLOOKUP($B22,'[6]Analisys QBR By Machine Report'!$C$109:$BD$166,46,FALSE)</f>
        <v>0</v>
      </c>
      <c r="AZ22" s="10">
        <f ca="1">VLOOKUP($B22,'[6]Analisys QBR By Machine Report'!$C$109:$BD$166,47,FALSE)</f>
        <v>36</v>
      </c>
      <c r="BA22" s="10">
        <f ca="1">VLOOKUP($B22,'[6]Analisys QBR By Machine Report'!$C$109:$BD$166,48,FALSE)</f>
        <v>408</v>
      </c>
      <c r="BB22" s="10">
        <f ca="1">VLOOKUP($B22,'[6]Analisys QBR By Machine Report'!$C$109:$BD$166,49,FALSE)</f>
        <v>0</v>
      </c>
      <c r="BC22" s="10">
        <f ca="1">VLOOKUP($B22,'[6]Analisys QBR By Machine Report'!$C$109:$BD$166,50,FALSE)</f>
        <v>0</v>
      </c>
      <c r="BD22" s="10">
        <f ca="1">VLOOKUP($B22,'[6]Analisys QBR By Machine Report'!$C$109:$BD$166,51,FALSE)</f>
        <v>9325</v>
      </c>
      <c r="BE22" s="10">
        <f ca="1">VLOOKUP($B22,'[6]Analisys QBR By Machine Report'!$C$109:$BD$166,52,FALSE)</f>
        <v>1.3</v>
      </c>
      <c r="BF22" s="10">
        <f ca="1">VLOOKUP($B22,'[6]Analisys QBR By Machine Report'!$C$109:$BD$166,53,FALSE)</f>
        <v>9323.7000000000007</v>
      </c>
    </row>
    <row r="23" spans="1:58" x14ac:dyDescent="0.25">
      <c r="A23" s="12" t="s">
        <v>79</v>
      </c>
      <c r="B23" s="13">
        <f ca="1">VLOOKUP($B23,'[6]Analisys QBR By Machine Report'!$C$109:$BD$166,2,FALSE)</f>
        <v>27360</v>
      </c>
      <c r="C23" s="14">
        <f ca="1">VLOOKUP($B23,[6]Dasboard_QBR_Report!$B$109:$BL$166,3,FALSE)</f>
        <v>17670</v>
      </c>
      <c r="D23" s="13">
        <f ca="1">VLOOKUP($B23,'[6]Analisys QBR By Machine Report'!$C$109:$BD$166,3,FALSE)</f>
        <v>21000</v>
      </c>
      <c r="E23" s="14">
        <f ca="1">VLOOKUP($B23,[6]Dasboard_QBR_Report!$B$109:$BL$166,5,FALSE)</f>
        <v>11310</v>
      </c>
      <c r="F23" s="13">
        <f t="shared" ca="1" si="0"/>
        <v>6360</v>
      </c>
      <c r="G23" s="13">
        <f t="shared" ca="1" si="1"/>
        <v>646</v>
      </c>
      <c r="H23" s="13">
        <f ca="1">VLOOKUP($B23,'[6]Analisys QBR By Machine Report'!$C$109:$BD$166,4,FALSE)</f>
        <v>646</v>
      </c>
      <c r="I23" s="13">
        <f ca="1">VLOOKUP($B23,'[6]Analisys QBR By Machine Report'!$C$109:$BD$166,5,FALSE)</f>
        <v>142</v>
      </c>
      <c r="J23" s="13">
        <f ca="1">VLOOKUP($B23,'[6]Analisys QBR By Machine Report'!$C$109:$BD$166,6,FALSE)</f>
        <v>504</v>
      </c>
      <c r="K23" s="13">
        <f ca="1">VLOOKUP($B23,'[6]Analisys QBR By Machine Report'!$C$109:$BD$166,7,FALSE)</f>
        <v>0</v>
      </c>
      <c r="L23" s="13">
        <f ca="1">VLOOKUP($B23,'[6]Analisys QBR By Machine Report'!$C$109:$BD$166,8,FALSE)</f>
        <v>5714</v>
      </c>
      <c r="M23" s="13">
        <f ca="1">VLOOKUP($B23,'[6]Analisys QBR By Machine Report'!$C$109:$BD$166,9,FALSE)</f>
        <v>2391</v>
      </c>
      <c r="N23" s="13">
        <f ca="1">VLOOKUP($B23,[6]Dasboard_QBR_Report!$B$109:$BL$166,18,FALSE)</f>
        <v>3323</v>
      </c>
      <c r="O23" s="13">
        <f ca="1">VLOOKUP($B23,'[6]Analisys QBR By Machine Report'!$C$109:$BD$166,10,FALSE)</f>
        <v>178</v>
      </c>
      <c r="P23" s="13">
        <f ca="1">VLOOKUP($B23,'[6]Analisys QBR By Machine Report'!$C$109:$BD$166,11,FALSE)</f>
        <v>178</v>
      </c>
      <c r="Q23" s="13">
        <f ca="1">VLOOKUP($B23,'[6]Analisys QBR By Machine Report'!$C$109:$BD$166,12,FALSE)</f>
        <v>0</v>
      </c>
      <c r="R23" s="13">
        <f ca="1">VLOOKUP($B23,'[6]Analisys QBR By Machine Report'!$C$109:$BD$166,13,FALSE)</f>
        <v>0</v>
      </c>
      <c r="S23" s="13">
        <f ca="1">VLOOKUP($B23,'[6]Analisys QBR By Machine Report'!$C$109:$BD$166,14,FALSE)</f>
        <v>0</v>
      </c>
      <c r="T23" s="13">
        <f ca="1">VLOOKUP($B23,'[6]Analisys QBR By Machine Report'!$C$109:$BD$166,15,FALSE)</f>
        <v>0</v>
      </c>
      <c r="U23" s="13">
        <f ca="1">VLOOKUP($B23,'[6]Analisys QBR By Machine Report'!$C$109:$BD$166,16,FALSE)</f>
        <v>0</v>
      </c>
      <c r="V23" s="13">
        <f ca="1">VLOOKUP($B23,'[6]Analisys QBR By Machine Report'!$C$109:$BD$166,17,FALSE)</f>
        <v>0</v>
      </c>
      <c r="W23" s="13">
        <f ca="1">VLOOKUP($B23,'[6]Analisys QBR By Machine Report'!$C$109:$BD$166,18,FALSE)</f>
        <v>0</v>
      </c>
      <c r="X23" s="13">
        <f ca="1">VLOOKUP($B23,'[6]Analisys QBR By Machine Report'!$C$109:$BD$166,19,FALSE)</f>
        <v>0</v>
      </c>
      <c r="Y23" s="13">
        <f ca="1">VLOOKUP($B23,'[6]Analisys QBR By Machine Report'!$C$109:$BD$166,20,FALSE)</f>
        <v>0</v>
      </c>
      <c r="Z23" s="13">
        <f ca="1">VLOOKUP($B23,'[6]Analisys QBR By Machine Report'!$C$109:$BD$166,21,FALSE)</f>
        <v>1890</v>
      </c>
      <c r="AA23" s="13">
        <f ca="1">VLOOKUP($B23,'[6]Analisys QBR By Machine Report'!$C$109:$BD$166,22,FALSE)</f>
        <v>184</v>
      </c>
      <c r="AB23" s="13">
        <f ca="1">VLOOKUP($B23,'[6]Analisys QBR By Machine Report'!$C$109:$BD$166,23,FALSE)</f>
        <v>1706</v>
      </c>
      <c r="AC23" s="13">
        <f ca="1">VLOOKUP($B23,'[6]Analisys QBR By Machine Report'!$C$109:$BD$166,24,FALSE)</f>
        <v>0</v>
      </c>
      <c r="AD23" s="13">
        <f ca="1">VLOOKUP($B23,'[6]Analisys QBR By Machine Report'!$C$109:$BD$166,25,FALSE)</f>
        <v>0</v>
      </c>
      <c r="AE23" s="13">
        <f ca="1">VLOOKUP($B23,'[6]Analisys QBR By Machine Report'!$C$109:$BD$166,26,FALSE)</f>
        <v>0</v>
      </c>
      <c r="AF23" s="13">
        <f ca="1">VLOOKUP($B23,'[6]Analisys QBR By Machine Report'!$C$109:$BD$166,27,FALSE)</f>
        <v>0</v>
      </c>
      <c r="AG23" s="13">
        <f ca="1">VLOOKUP($B23,'[6]Analisys QBR By Machine Report'!$C$109:$BD$166,28,FALSE)</f>
        <v>0</v>
      </c>
      <c r="AH23" s="13">
        <f ca="1">VLOOKUP($B23,'[6]Analisys QBR By Machine Report'!$C$109:$BD$166,29,FALSE)</f>
        <v>0</v>
      </c>
      <c r="AI23" s="13">
        <f ca="1">VLOOKUP($B23,'[6]Analisys QBR By Machine Report'!$C$109:$BD$166,30,FALSE)</f>
        <v>1255</v>
      </c>
      <c r="AJ23" s="13">
        <f ca="1">VLOOKUP($B23,'[6]Analisys QBR By Machine Report'!$C$109:$BD$166,31,FALSE)</f>
        <v>451</v>
      </c>
      <c r="AK23" s="13">
        <f ca="1">VLOOKUP($B23,'[6]Analisys QBR By Machine Report'!$C$109:$BD$166,32,FALSE)</f>
        <v>0</v>
      </c>
      <c r="AL23" s="13">
        <f ca="1">VLOOKUP($B23,'[6]Analisys QBR By Machine Report'!$C$109:$BD$166,33,FALSE)</f>
        <v>180</v>
      </c>
      <c r="AM23" s="13">
        <f ca="1">VLOOKUP($B23,'[6]Analisys QBR By Machine Report'!$C$109:$BD$166,34,FALSE)</f>
        <v>40</v>
      </c>
      <c r="AN23" s="13">
        <f ca="1">VLOOKUP($B23,'[6]Analisys QBR By Machine Report'!$C$109:$BD$166,35,FALSE)</f>
        <v>140</v>
      </c>
      <c r="AO23" s="13">
        <f ca="1">VLOOKUP($B23,'[6]Analisys QBR By Machine Report'!$C$109:$BD$166,36,FALSE)</f>
        <v>0</v>
      </c>
      <c r="AP23" s="13">
        <f ca="1">VLOOKUP($B23,'[6]Analisys QBR By Machine Report'!$C$109:$BD$166,37,FALSE)</f>
        <v>0</v>
      </c>
      <c r="AQ23" s="13">
        <f ca="1">VLOOKUP($B23,'[6]Analisys QBR By Machine Report'!$C$109:$BD$166,38,FALSE)</f>
        <v>0</v>
      </c>
      <c r="AR23" s="13">
        <f ca="1">VLOOKUP($B23,'[6]Analisys QBR By Machine Report'!$C$109:$BD$166,39,FALSE)</f>
        <v>0</v>
      </c>
      <c r="AS23" s="13">
        <f ca="1">VLOOKUP($B23,'[6]Analisys QBR By Machine Report'!$C$109:$BD$166,40,FALSE)</f>
        <v>0</v>
      </c>
      <c r="AT23" s="13">
        <f ca="1">VLOOKUP($B23,'[6]Analisys QBR By Machine Report'!$C$109:$BD$166,41,FALSE)</f>
        <v>0</v>
      </c>
      <c r="AU23" s="13">
        <f ca="1">VLOOKUP($B23,'[6]Analisys QBR By Machine Report'!$C$109:$BD$166,42,FALSE)</f>
        <v>0</v>
      </c>
      <c r="AV23" s="13">
        <f ca="1">VLOOKUP($B23,'[6]Analisys QBR By Machine Report'!$C$109:$BD$166,43,FALSE)</f>
        <v>0</v>
      </c>
      <c r="AW23" s="13">
        <f ca="1">VLOOKUP($B23,'[6]Analisys QBR By Machine Report'!$C$109:$BD$166,44,FALSE)</f>
        <v>0</v>
      </c>
      <c r="AX23" s="13">
        <f ca="1">VLOOKUP($B23,'[6]Analisys QBR By Machine Report'!$C$109:$BD$166,45,FALSE)</f>
        <v>0</v>
      </c>
      <c r="AY23" s="13">
        <f ca="1">VLOOKUP($B23,'[6]Analisys QBR By Machine Report'!$C$109:$BD$166,46,FALSE)</f>
        <v>0</v>
      </c>
      <c r="AZ23" s="13">
        <f ca="1">VLOOKUP($B23,'[6]Analisys QBR By Machine Report'!$C$109:$BD$166,47,FALSE)</f>
        <v>36</v>
      </c>
      <c r="BA23" s="13">
        <f ca="1">VLOOKUP($B23,'[6]Analisys QBR By Machine Report'!$C$109:$BD$166,48,FALSE)</f>
        <v>408</v>
      </c>
      <c r="BB23" s="13">
        <f ca="1">VLOOKUP($B23,'[6]Analisys QBR By Machine Report'!$C$109:$BD$166,49,FALSE)</f>
        <v>0</v>
      </c>
      <c r="BC23" s="13">
        <f ca="1">VLOOKUP($B23,'[6]Analisys QBR By Machine Report'!$C$109:$BD$166,50,FALSE)</f>
        <v>0</v>
      </c>
      <c r="BD23" s="13">
        <f ca="1">VLOOKUP($B23,'[6]Analisys QBR By Machine Report'!$C$109:$BD$166,51,FALSE)</f>
        <v>9325</v>
      </c>
      <c r="BE23" s="13">
        <f ca="1">VLOOKUP($B23,'[6]Analisys QBR By Machine Report'!$C$109:$BD$166,52,FALSE)</f>
        <v>1.3</v>
      </c>
      <c r="BF23" s="13">
        <f ca="1">VLOOKUP($B23,'[6]Analisys QBR By Machine Report'!$C$109:$BD$166,53,FALSE)</f>
        <v>9323.7000000000007</v>
      </c>
    </row>
    <row r="24" spans="1:58" x14ac:dyDescent="0.25">
      <c r="A24" s="9" t="s">
        <v>80</v>
      </c>
      <c r="B24" s="10">
        <f ca="1">VLOOKUP($B24,'[6]Analisys QBR By Machine Report'!$C$109:$BD$166,2,FALSE)</f>
        <v>54720</v>
      </c>
      <c r="C24" s="11">
        <f ca="1">VLOOKUP($B24,[6]Dasboard_QBR_Report!$B$109:$BL$166,3,FALSE)</f>
        <v>35340</v>
      </c>
      <c r="D24" s="10">
        <f ca="1">VLOOKUP($B24,'[6]Analisys QBR By Machine Report'!$C$109:$BD$166,3,FALSE)</f>
        <v>43140</v>
      </c>
      <c r="E24" s="11">
        <f ca="1">VLOOKUP($B24,[6]Dasboard_QBR_Report!$B$109:$BL$166,5,FALSE)</f>
        <v>23760</v>
      </c>
      <c r="F24" s="10">
        <f t="shared" ca="1" si="0"/>
        <v>11580</v>
      </c>
      <c r="G24" s="10">
        <f t="shared" ca="1" si="1"/>
        <v>1620</v>
      </c>
      <c r="H24" s="10">
        <f ca="1">VLOOKUP($B24,'[6]Analisys QBR By Machine Report'!$C$109:$BD$166,4,FALSE)</f>
        <v>1620</v>
      </c>
      <c r="I24" s="10">
        <f ca="1">VLOOKUP($B24,'[6]Analisys QBR By Machine Report'!$C$109:$BD$166,5,FALSE)</f>
        <v>0</v>
      </c>
      <c r="J24" s="10">
        <f ca="1">VLOOKUP($B24,'[6]Analisys QBR By Machine Report'!$C$109:$BD$166,6,FALSE)</f>
        <v>1620</v>
      </c>
      <c r="K24" s="10">
        <f ca="1">VLOOKUP($B24,'[6]Analisys QBR By Machine Report'!$C$109:$BD$166,7,FALSE)</f>
        <v>0</v>
      </c>
      <c r="L24" s="10">
        <f ca="1">VLOOKUP($B24,'[6]Analisys QBR By Machine Report'!$C$109:$BD$166,8,FALSE)</f>
        <v>9960</v>
      </c>
      <c r="M24" s="10">
        <f ca="1">VLOOKUP($B24,'[6]Analisys QBR By Machine Report'!$C$109:$BD$166,9,FALSE)</f>
        <v>2890</v>
      </c>
      <c r="N24" s="10">
        <f ca="1">VLOOKUP($B24,[6]Dasboard_QBR_Report!$B$109:$BL$166,18,FALSE)</f>
        <v>7070</v>
      </c>
      <c r="O24" s="10">
        <f ca="1">VLOOKUP($B24,'[6]Analisys QBR By Machine Report'!$C$109:$BD$166,10,FALSE)</f>
        <v>640</v>
      </c>
      <c r="P24" s="10">
        <f ca="1">VLOOKUP($B24,'[6]Analisys QBR By Machine Report'!$C$109:$BD$166,11,FALSE)</f>
        <v>525</v>
      </c>
      <c r="Q24" s="10">
        <f ca="1">VLOOKUP($B24,'[6]Analisys QBR By Machine Report'!$C$109:$BD$166,12,FALSE)</f>
        <v>0</v>
      </c>
      <c r="R24" s="10">
        <f ca="1">VLOOKUP($B24,'[6]Analisys QBR By Machine Report'!$C$109:$BD$166,13,FALSE)</f>
        <v>95</v>
      </c>
      <c r="S24" s="10">
        <f ca="1">VLOOKUP($B24,'[6]Analisys QBR By Machine Report'!$C$109:$BD$166,14,FALSE)</f>
        <v>20</v>
      </c>
      <c r="T24" s="10">
        <f ca="1">VLOOKUP($B24,'[6]Analisys QBR By Machine Report'!$C$109:$BD$166,15,FALSE)</f>
        <v>165</v>
      </c>
      <c r="U24" s="10">
        <f ca="1">VLOOKUP($B24,'[6]Analisys QBR By Machine Report'!$C$109:$BD$166,16,FALSE)</f>
        <v>150</v>
      </c>
      <c r="V24" s="10">
        <f ca="1">VLOOKUP($B24,'[6]Analisys QBR By Machine Report'!$C$109:$BD$166,17,FALSE)</f>
        <v>0</v>
      </c>
      <c r="W24" s="10">
        <f ca="1">VLOOKUP($B24,'[6]Analisys QBR By Machine Report'!$C$109:$BD$166,18,FALSE)</f>
        <v>0</v>
      </c>
      <c r="X24" s="10">
        <f ca="1">VLOOKUP($B24,'[6]Analisys QBR By Machine Report'!$C$109:$BD$166,19,FALSE)</f>
        <v>0</v>
      </c>
      <c r="Y24" s="10">
        <f ca="1">VLOOKUP($B24,'[6]Analisys QBR By Machine Report'!$C$109:$BD$166,20,FALSE)</f>
        <v>15</v>
      </c>
      <c r="Z24" s="10">
        <f ca="1">VLOOKUP($B24,'[6]Analisys QBR By Machine Report'!$C$109:$BD$166,21,FALSE)</f>
        <v>2620</v>
      </c>
      <c r="AA24" s="10">
        <f ca="1">VLOOKUP($B24,'[6]Analisys QBR By Machine Report'!$C$109:$BD$166,22,FALSE)</f>
        <v>225</v>
      </c>
      <c r="AB24" s="10">
        <f ca="1">VLOOKUP($B24,'[6]Analisys QBR By Machine Report'!$C$109:$BD$166,23,FALSE)</f>
        <v>1300</v>
      </c>
      <c r="AC24" s="10">
        <f ca="1">VLOOKUP($B24,'[6]Analisys QBR By Machine Report'!$C$109:$BD$166,24,FALSE)</f>
        <v>0</v>
      </c>
      <c r="AD24" s="10">
        <f ca="1">VLOOKUP($B24,'[6]Analisys QBR By Machine Report'!$C$109:$BD$166,25,FALSE)</f>
        <v>0</v>
      </c>
      <c r="AE24" s="10">
        <f ca="1">VLOOKUP($B24,'[6]Analisys QBR By Machine Report'!$C$109:$BD$166,26,FALSE)</f>
        <v>1095</v>
      </c>
      <c r="AF24" s="10">
        <f ca="1">VLOOKUP($B24,'[6]Analisys QBR By Machine Report'!$C$109:$BD$166,27,FALSE)</f>
        <v>1155</v>
      </c>
      <c r="AG24" s="10">
        <f ca="1">VLOOKUP($B24,'[6]Analisys QBR By Machine Report'!$C$109:$BD$166,28,FALSE)</f>
        <v>645</v>
      </c>
      <c r="AH24" s="10">
        <f ca="1">VLOOKUP($B24,'[6]Analisys QBR By Machine Report'!$C$109:$BD$166,29,FALSE)</f>
        <v>510</v>
      </c>
      <c r="AI24" s="10">
        <f ca="1">VLOOKUP($B24,'[6]Analisys QBR By Machine Report'!$C$109:$BD$166,30,FALSE)</f>
        <v>2490</v>
      </c>
      <c r="AJ24" s="10">
        <f ca="1">VLOOKUP($B24,'[6]Analisys QBR By Machine Report'!$C$109:$BD$166,31,FALSE)</f>
        <v>60</v>
      </c>
      <c r="AK24" s="10">
        <f ca="1">VLOOKUP($B24,'[6]Analisys QBR By Machine Report'!$C$109:$BD$166,32,FALSE)</f>
        <v>0</v>
      </c>
      <c r="AL24" s="10">
        <f ca="1">VLOOKUP($B24,'[6]Analisys QBR By Machine Report'!$C$109:$BD$166,33,FALSE)</f>
        <v>540</v>
      </c>
      <c r="AM24" s="10">
        <f ca="1">VLOOKUP($B24,'[6]Analisys QBR By Machine Report'!$C$109:$BD$166,34,FALSE)</f>
        <v>85</v>
      </c>
      <c r="AN24" s="10">
        <f ca="1">VLOOKUP($B24,'[6]Analisys QBR By Machine Report'!$C$109:$BD$166,35,FALSE)</f>
        <v>375</v>
      </c>
      <c r="AO24" s="10">
        <f ca="1">VLOOKUP($B24,'[6]Analisys QBR By Machine Report'!$C$109:$BD$166,36,FALSE)</f>
        <v>0</v>
      </c>
      <c r="AP24" s="10">
        <f ca="1">VLOOKUP($B24,'[6]Analisys QBR By Machine Report'!$C$109:$BD$166,37,FALSE)</f>
        <v>0</v>
      </c>
      <c r="AQ24" s="10">
        <f ca="1">VLOOKUP($B24,'[6]Analisys QBR By Machine Report'!$C$109:$BD$166,38,FALSE)</f>
        <v>0</v>
      </c>
      <c r="AR24" s="10">
        <f ca="1">VLOOKUP($B24,'[6]Analisys QBR By Machine Report'!$C$109:$BD$166,39,FALSE)</f>
        <v>1325</v>
      </c>
      <c r="AS24" s="10">
        <f ca="1">VLOOKUP($B24,'[6]Analisys QBR By Machine Report'!$C$109:$BD$166,40,FALSE)</f>
        <v>0</v>
      </c>
      <c r="AT24" s="10">
        <f ca="1">VLOOKUP($B24,'[6]Analisys QBR By Machine Report'!$C$109:$BD$166,41,FALSE)</f>
        <v>0</v>
      </c>
      <c r="AU24" s="10">
        <f ca="1">VLOOKUP($B24,'[6]Analisys QBR By Machine Report'!$C$109:$BD$166,42,FALSE)</f>
        <v>0</v>
      </c>
      <c r="AV24" s="10">
        <f ca="1">VLOOKUP($B24,'[6]Analisys QBR By Machine Report'!$C$109:$BD$166,43,FALSE)</f>
        <v>0</v>
      </c>
      <c r="AW24" s="10">
        <f ca="1">VLOOKUP($B24,'[6]Analisys QBR By Machine Report'!$C$109:$BD$166,44,FALSE)</f>
        <v>0</v>
      </c>
      <c r="AX24" s="10">
        <f ca="1">VLOOKUP($B24,'[6]Analisys QBR By Machine Report'!$C$109:$BD$166,45,FALSE)</f>
        <v>0</v>
      </c>
      <c r="AY24" s="10">
        <f ca="1">VLOOKUP($B24,'[6]Analisys QBR By Machine Report'!$C$109:$BD$166,46,FALSE)</f>
        <v>0</v>
      </c>
      <c r="AZ24" s="10">
        <f ca="1">VLOOKUP($B24,'[6]Analisys QBR By Machine Report'!$C$109:$BD$166,47,FALSE)</f>
        <v>0</v>
      </c>
      <c r="BA24" s="10">
        <f ca="1">VLOOKUP($B24,'[6]Analisys QBR By Machine Report'!$C$109:$BD$166,48,FALSE)</f>
        <v>105</v>
      </c>
      <c r="BB24" s="10">
        <f ca="1">VLOOKUP($B24,'[6]Analisys QBR By Machine Report'!$C$109:$BD$166,49,FALSE)</f>
        <v>0</v>
      </c>
      <c r="BC24" s="10">
        <f ca="1">VLOOKUP($B24,'[6]Analisys QBR By Machine Report'!$C$109:$BD$166,50,FALSE)</f>
        <v>0</v>
      </c>
      <c r="BD24" s="10">
        <f ca="1">VLOOKUP($B24,'[6]Analisys QBR By Machine Report'!$C$109:$BD$166,51,FALSE)</f>
        <v>156049</v>
      </c>
      <c r="BE24" s="10">
        <f ca="1">VLOOKUP($B24,'[6]Analisys QBR By Machine Report'!$C$109:$BD$166,52,FALSE)</f>
        <v>280</v>
      </c>
      <c r="BF24" s="10">
        <f ca="1">VLOOKUP($B24,'[6]Analisys QBR By Machine Report'!$C$109:$BD$166,53,FALSE)</f>
        <v>155769</v>
      </c>
    </row>
    <row r="25" spans="1:58" x14ac:dyDescent="0.25">
      <c r="A25" s="12" t="s">
        <v>81</v>
      </c>
      <c r="B25" s="13">
        <f ca="1">VLOOKUP($B25,'[6]Analisys QBR By Machine Report'!$C$109:$BD$166,2,FALSE)</f>
        <v>27360</v>
      </c>
      <c r="C25" s="14">
        <f ca="1">VLOOKUP($B25,[6]Dasboard_QBR_Report!$B$109:$BL$166,3,FALSE)</f>
        <v>17670</v>
      </c>
      <c r="D25" s="13">
        <f ca="1">VLOOKUP($B25,'[6]Analisys QBR By Machine Report'!$C$109:$BD$166,3,FALSE)</f>
        <v>18630</v>
      </c>
      <c r="E25" s="14">
        <f ca="1">VLOOKUP($B25,[6]Dasboard_QBR_Report!$B$109:$BL$166,5,FALSE)</f>
        <v>8940</v>
      </c>
      <c r="F25" s="13">
        <f t="shared" ca="1" si="0"/>
        <v>8730</v>
      </c>
      <c r="G25" s="13">
        <f t="shared" ca="1" si="1"/>
        <v>1335</v>
      </c>
      <c r="H25" s="13">
        <f ca="1">VLOOKUP($B25,'[6]Analisys QBR By Machine Report'!$C$109:$BD$166,4,FALSE)</f>
        <v>1335</v>
      </c>
      <c r="I25" s="13">
        <f ca="1">VLOOKUP($B25,'[6]Analisys QBR By Machine Report'!$C$109:$BD$166,5,FALSE)</f>
        <v>0</v>
      </c>
      <c r="J25" s="13">
        <f ca="1">VLOOKUP($B25,'[6]Analisys QBR By Machine Report'!$C$109:$BD$166,6,FALSE)</f>
        <v>1335</v>
      </c>
      <c r="K25" s="13">
        <f ca="1">VLOOKUP($B25,'[6]Analisys QBR By Machine Report'!$C$109:$BD$166,7,FALSE)</f>
        <v>0</v>
      </c>
      <c r="L25" s="13">
        <f ca="1">VLOOKUP($B25,'[6]Analisys QBR By Machine Report'!$C$109:$BD$166,8,FALSE)</f>
        <v>7395</v>
      </c>
      <c r="M25" s="13">
        <f ca="1">VLOOKUP($B25,'[6]Analisys QBR By Machine Report'!$C$109:$BD$166,9,FALSE)</f>
        <v>2075</v>
      </c>
      <c r="N25" s="13">
        <f ca="1">VLOOKUP($B25,[6]Dasboard_QBR_Report!$B$109:$BL$166,18,FALSE)</f>
        <v>5320</v>
      </c>
      <c r="O25" s="13">
        <f ca="1">VLOOKUP($B25,'[6]Analisys QBR By Machine Report'!$C$109:$BD$166,10,FALSE)</f>
        <v>565</v>
      </c>
      <c r="P25" s="13">
        <f ca="1">VLOOKUP($B25,'[6]Analisys QBR By Machine Report'!$C$109:$BD$166,11,FALSE)</f>
        <v>495</v>
      </c>
      <c r="Q25" s="13">
        <f ca="1">VLOOKUP($B25,'[6]Analisys QBR By Machine Report'!$C$109:$BD$166,12,FALSE)</f>
        <v>0</v>
      </c>
      <c r="R25" s="13">
        <f ca="1">VLOOKUP($B25,'[6]Analisys QBR By Machine Report'!$C$109:$BD$166,13,FALSE)</f>
        <v>60</v>
      </c>
      <c r="S25" s="13">
        <f ca="1">VLOOKUP($B25,'[6]Analisys QBR By Machine Report'!$C$109:$BD$166,14,FALSE)</f>
        <v>10</v>
      </c>
      <c r="T25" s="13">
        <f ca="1">VLOOKUP($B25,'[6]Analisys QBR By Machine Report'!$C$109:$BD$166,15,FALSE)</f>
        <v>150</v>
      </c>
      <c r="U25" s="13">
        <f ca="1">VLOOKUP($B25,'[6]Analisys QBR By Machine Report'!$C$109:$BD$166,16,FALSE)</f>
        <v>150</v>
      </c>
      <c r="V25" s="13">
        <f ca="1">VLOOKUP($B25,'[6]Analisys QBR By Machine Report'!$C$109:$BD$166,17,FALSE)</f>
        <v>0</v>
      </c>
      <c r="W25" s="13">
        <f ca="1">VLOOKUP($B25,'[6]Analisys QBR By Machine Report'!$C$109:$BD$166,18,FALSE)</f>
        <v>0</v>
      </c>
      <c r="X25" s="13">
        <f ca="1">VLOOKUP($B25,'[6]Analisys QBR By Machine Report'!$C$109:$BD$166,19,FALSE)</f>
        <v>0</v>
      </c>
      <c r="Y25" s="13">
        <f ca="1">VLOOKUP($B25,'[6]Analisys QBR By Machine Report'!$C$109:$BD$166,20,FALSE)</f>
        <v>0</v>
      </c>
      <c r="Z25" s="13">
        <f ca="1">VLOOKUP($B25,'[6]Analisys QBR By Machine Report'!$C$109:$BD$166,21,FALSE)</f>
        <v>2110</v>
      </c>
      <c r="AA25" s="13">
        <f ca="1">VLOOKUP($B25,'[6]Analisys QBR By Machine Report'!$C$109:$BD$166,22,FALSE)</f>
        <v>160</v>
      </c>
      <c r="AB25" s="13">
        <f ca="1">VLOOKUP($B25,'[6]Analisys QBR By Machine Report'!$C$109:$BD$166,23,FALSE)</f>
        <v>1075</v>
      </c>
      <c r="AC25" s="13">
        <f ca="1">VLOOKUP($B25,'[6]Analisys QBR By Machine Report'!$C$109:$BD$166,24,FALSE)</f>
        <v>0</v>
      </c>
      <c r="AD25" s="13">
        <f ca="1">VLOOKUP($B25,'[6]Analisys QBR By Machine Report'!$C$109:$BD$166,25,FALSE)</f>
        <v>0</v>
      </c>
      <c r="AE25" s="13">
        <f ca="1">VLOOKUP($B25,'[6]Analisys QBR By Machine Report'!$C$109:$BD$166,26,FALSE)</f>
        <v>875</v>
      </c>
      <c r="AF25" s="13">
        <f ca="1">VLOOKUP($B25,'[6]Analisys QBR By Machine Report'!$C$109:$BD$166,27,FALSE)</f>
        <v>645</v>
      </c>
      <c r="AG25" s="13">
        <f ca="1">VLOOKUP($B25,'[6]Analisys QBR By Machine Report'!$C$109:$BD$166,28,FALSE)</f>
        <v>135</v>
      </c>
      <c r="AH25" s="13">
        <f ca="1">VLOOKUP($B25,'[6]Analisys QBR By Machine Report'!$C$109:$BD$166,29,FALSE)</f>
        <v>510</v>
      </c>
      <c r="AI25" s="13">
        <f ca="1">VLOOKUP($B25,'[6]Analisys QBR By Machine Report'!$C$109:$BD$166,30,FALSE)</f>
        <v>1850</v>
      </c>
      <c r="AJ25" s="13">
        <f ca="1">VLOOKUP($B25,'[6]Analisys QBR By Machine Report'!$C$109:$BD$166,31,FALSE)</f>
        <v>60</v>
      </c>
      <c r="AK25" s="13">
        <f ca="1">VLOOKUP($B25,'[6]Analisys QBR By Machine Report'!$C$109:$BD$166,32,FALSE)</f>
        <v>0</v>
      </c>
      <c r="AL25" s="13">
        <f ca="1">VLOOKUP($B25,'[6]Analisys QBR By Machine Report'!$C$109:$BD$166,33,FALSE)</f>
        <v>420</v>
      </c>
      <c r="AM25" s="13">
        <f ca="1">VLOOKUP($B25,'[6]Analisys QBR By Machine Report'!$C$109:$BD$166,34,FALSE)</f>
        <v>55</v>
      </c>
      <c r="AN25" s="13">
        <f ca="1">VLOOKUP($B25,'[6]Analisys QBR By Machine Report'!$C$109:$BD$166,35,FALSE)</f>
        <v>285</v>
      </c>
      <c r="AO25" s="13">
        <f ca="1">VLOOKUP($B25,'[6]Analisys QBR By Machine Report'!$C$109:$BD$166,36,FALSE)</f>
        <v>0</v>
      </c>
      <c r="AP25" s="13">
        <f ca="1">VLOOKUP($B25,'[6]Analisys QBR By Machine Report'!$C$109:$BD$166,37,FALSE)</f>
        <v>0</v>
      </c>
      <c r="AQ25" s="13">
        <f ca="1">VLOOKUP($B25,'[6]Analisys QBR By Machine Report'!$C$109:$BD$166,38,FALSE)</f>
        <v>0</v>
      </c>
      <c r="AR25" s="13">
        <f ca="1">VLOOKUP($B25,'[6]Analisys QBR By Machine Report'!$C$109:$BD$166,39,FALSE)</f>
        <v>925</v>
      </c>
      <c r="AS25" s="13">
        <f ca="1">VLOOKUP($B25,'[6]Analisys QBR By Machine Report'!$C$109:$BD$166,40,FALSE)</f>
        <v>0</v>
      </c>
      <c r="AT25" s="13">
        <f ca="1">VLOOKUP($B25,'[6]Analisys QBR By Machine Report'!$C$109:$BD$166,41,FALSE)</f>
        <v>0</v>
      </c>
      <c r="AU25" s="13">
        <f ca="1">VLOOKUP($B25,'[6]Analisys QBR By Machine Report'!$C$109:$BD$166,42,FALSE)</f>
        <v>0</v>
      </c>
      <c r="AV25" s="13">
        <f ca="1">VLOOKUP($B25,'[6]Analisys QBR By Machine Report'!$C$109:$BD$166,43,FALSE)</f>
        <v>0</v>
      </c>
      <c r="AW25" s="13">
        <f ca="1">VLOOKUP($B25,'[6]Analisys QBR By Machine Report'!$C$109:$BD$166,44,FALSE)</f>
        <v>0</v>
      </c>
      <c r="AX25" s="13">
        <f ca="1">VLOOKUP($B25,'[6]Analisys QBR By Machine Report'!$C$109:$BD$166,45,FALSE)</f>
        <v>0</v>
      </c>
      <c r="AY25" s="13">
        <f ca="1">VLOOKUP($B25,'[6]Analisys QBR By Machine Report'!$C$109:$BD$166,46,FALSE)</f>
        <v>0</v>
      </c>
      <c r="AZ25" s="13">
        <f ca="1">VLOOKUP($B25,'[6]Analisys QBR By Machine Report'!$C$109:$BD$166,47,FALSE)</f>
        <v>0</v>
      </c>
      <c r="BA25" s="13">
        <f ca="1">VLOOKUP($B25,'[6]Analisys QBR By Machine Report'!$C$109:$BD$166,48,FALSE)</f>
        <v>105</v>
      </c>
      <c r="BB25" s="13">
        <f ca="1">VLOOKUP($B25,'[6]Analisys QBR By Machine Report'!$C$109:$BD$166,49,FALSE)</f>
        <v>0</v>
      </c>
      <c r="BC25" s="13">
        <f ca="1">VLOOKUP($B25,'[6]Analisys QBR By Machine Report'!$C$109:$BD$166,50,FALSE)</f>
        <v>0</v>
      </c>
      <c r="BD25" s="13">
        <f ca="1">VLOOKUP($B25,'[6]Analisys QBR By Machine Report'!$C$109:$BD$166,51,FALSE)</f>
        <v>111122</v>
      </c>
      <c r="BE25" s="13">
        <f ca="1">VLOOKUP($B25,'[6]Analisys QBR By Machine Report'!$C$109:$BD$166,52,FALSE)</f>
        <v>220</v>
      </c>
      <c r="BF25" s="13">
        <f ca="1">VLOOKUP($B25,'[6]Analisys QBR By Machine Report'!$C$109:$BD$166,53,FALSE)</f>
        <v>110902</v>
      </c>
    </row>
    <row r="26" spans="1:58" x14ac:dyDescent="0.25">
      <c r="A26" s="12" t="s">
        <v>82</v>
      </c>
      <c r="B26" s="13">
        <f ca="1">VLOOKUP($B26,'[6]Analisys QBR By Machine Report'!$C$109:$BD$166,2,FALSE)</f>
        <v>27360</v>
      </c>
      <c r="C26" s="14">
        <f ca="1">VLOOKUP($B26,[6]Dasboard_QBR_Report!$B$109:$BL$166,3,FALSE)</f>
        <v>17670</v>
      </c>
      <c r="D26" s="13">
        <f ca="1">VLOOKUP($B26,'[6]Analisys QBR By Machine Report'!$C$109:$BD$166,3,FALSE)</f>
        <v>24510</v>
      </c>
      <c r="E26" s="14">
        <f ca="1">VLOOKUP($B26,[6]Dasboard_QBR_Report!$B$109:$BL$166,5,FALSE)</f>
        <v>14820</v>
      </c>
      <c r="F26" s="13">
        <f t="shared" ca="1" si="0"/>
        <v>2850</v>
      </c>
      <c r="G26" s="13">
        <f t="shared" ca="1" si="1"/>
        <v>285</v>
      </c>
      <c r="H26" s="13">
        <f ca="1">VLOOKUP($B26,'[6]Analisys QBR By Machine Report'!$C$109:$BD$166,4,FALSE)</f>
        <v>285</v>
      </c>
      <c r="I26" s="13">
        <f ca="1">VLOOKUP($B26,'[6]Analisys QBR By Machine Report'!$C$109:$BD$166,5,FALSE)</f>
        <v>0</v>
      </c>
      <c r="J26" s="13">
        <f ca="1">VLOOKUP($B26,'[6]Analisys QBR By Machine Report'!$C$109:$BD$166,6,FALSE)</f>
        <v>285</v>
      </c>
      <c r="K26" s="13">
        <f ca="1">VLOOKUP($B26,'[6]Analisys QBR By Machine Report'!$C$109:$BD$166,7,FALSE)</f>
        <v>0</v>
      </c>
      <c r="L26" s="13">
        <f ca="1">VLOOKUP($B26,'[6]Analisys QBR By Machine Report'!$C$109:$BD$166,8,FALSE)</f>
        <v>2565</v>
      </c>
      <c r="M26" s="13">
        <f ca="1">VLOOKUP($B26,'[6]Analisys QBR By Machine Report'!$C$109:$BD$166,9,FALSE)</f>
        <v>815</v>
      </c>
      <c r="N26" s="13">
        <f ca="1">VLOOKUP($B26,[6]Dasboard_QBR_Report!$B$109:$BL$166,18,FALSE)</f>
        <v>1750</v>
      </c>
      <c r="O26" s="13">
        <f ca="1">VLOOKUP($B26,'[6]Analisys QBR By Machine Report'!$C$109:$BD$166,10,FALSE)</f>
        <v>75</v>
      </c>
      <c r="P26" s="13">
        <f ca="1">VLOOKUP($B26,'[6]Analisys QBR By Machine Report'!$C$109:$BD$166,11,FALSE)</f>
        <v>30</v>
      </c>
      <c r="Q26" s="13">
        <f ca="1">VLOOKUP($B26,'[6]Analisys QBR By Machine Report'!$C$109:$BD$166,12,FALSE)</f>
        <v>0</v>
      </c>
      <c r="R26" s="13">
        <f ca="1">VLOOKUP($B26,'[6]Analisys QBR By Machine Report'!$C$109:$BD$166,13,FALSE)</f>
        <v>35</v>
      </c>
      <c r="S26" s="13">
        <f ca="1">VLOOKUP($B26,'[6]Analisys QBR By Machine Report'!$C$109:$BD$166,14,FALSE)</f>
        <v>10</v>
      </c>
      <c r="T26" s="13">
        <f ca="1">VLOOKUP($B26,'[6]Analisys QBR By Machine Report'!$C$109:$BD$166,15,FALSE)</f>
        <v>15</v>
      </c>
      <c r="U26" s="13">
        <f ca="1">VLOOKUP($B26,'[6]Analisys QBR By Machine Report'!$C$109:$BD$166,16,FALSE)</f>
        <v>0</v>
      </c>
      <c r="V26" s="13">
        <f ca="1">VLOOKUP($B26,'[6]Analisys QBR By Machine Report'!$C$109:$BD$166,17,FALSE)</f>
        <v>0</v>
      </c>
      <c r="W26" s="13">
        <f ca="1">VLOOKUP($B26,'[6]Analisys QBR By Machine Report'!$C$109:$BD$166,18,FALSE)</f>
        <v>0</v>
      </c>
      <c r="X26" s="13">
        <f ca="1">VLOOKUP($B26,'[6]Analisys QBR By Machine Report'!$C$109:$BD$166,19,FALSE)</f>
        <v>0</v>
      </c>
      <c r="Y26" s="13">
        <f ca="1">VLOOKUP($B26,'[6]Analisys QBR By Machine Report'!$C$109:$BD$166,20,FALSE)</f>
        <v>15</v>
      </c>
      <c r="Z26" s="13">
        <f ca="1">VLOOKUP($B26,'[6]Analisys QBR By Machine Report'!$C$109:$BD$166,21,FALSE)</f>
        <v>510</v>
      </c>
      <c r="AA26" s="13">
        <f ca="1">VLOOKUP($B26,'[6]Analisys QBR By Machine Report'!$C$109:$BD$166,22,FALSE)</f>
        <v>65</v>
      </c>
      <c r="AB26" s="13">
        <f ca="1">VLOOKUP($B26,'[6]Analisys QBR By Machine Report'!$C$109:$BD$166,23,FALSE)</f>
        <v>225</v>
      </c>
      <c r="AC26" s="13">
        <f ca="1">VLOOKUP($B26,'[6]Analisys QBR By Machine Report'!$C$109:$BD$166,24,FALSE)</f>
        <v>0</v>
      </c>
      <c r="AD26" s="13">
        <f ca="1">VLOOKUP($B26,'[6]Analisys QBR By Machine Report'!$C$109:$BD$166,25,FALSE)</f>
        <v>0</v>
      </c>
      <c r="AE26" s="13">
        <f ca="1">VLOOKUP($B26,'[6]Analisys QBR By Machine Report'!$C$109:$BD$166,26,FALSE)</f>
        <v>220</v>
      </c>
      <c r="AF26" s="13">
        <f ca="1">VLOOKUP($B26,'[6]Analisys QBR By Machine Report'!$C$109:$BD$166,27,FALSE)</f>
        <v>510</v>
      </c>
      <c r="AG26" s="13">
        <f ca="1">VLOOKUP($B26,'[6]Analisys QBR By Machine Report'!$C$109:$BD$166,28,FALSE)</f>
        <v>510</v>
      </c>
      <c r="AH26" s="13">
        <f ca="1">VLOOKUP($B26,'[6]Analisys QBR By Machine Report'!$C$109:$BD$166,29,FALSE)</f>
        <v>0</v>
      </c>
      <c r="AI26" s="13">
        <f ca="1">VLOOKUP($B26,'[6]Analisys QBR By Machine Report'!$C$109:$BD$166,30,FALSE)</f>
        <v>640</v>
      </c>
      <c r="AJ26" s="13">
        <f ca="1">VLOOKUP($B26,'[6]Analisys QBR By Machine Report'!$C$109:$BD$166,31,FALSE)</f>
        <v>0</v>
      </c>
      <c r="AK26" s="13">
        <f ca="1">VLOOKUP($B26,'[6]Analisys QBR By Machine Report'!$C$109:$BD$166,32,FALSE)</f>
        <v>0</v>
      </c>
      <c r="AL26" s="13">
        <f ca="1">VLOOKUP($B26,'[6]Analisys QBR By Machine Report'!$C$109:$BD$166,33,FALSE)</f>
        <v>120</v>
      </c>
      <c r="AM26" s="13">
        <f ca="1">VLOOKUP($B26,'[6]Analisys QBR By Machine Report'!$C$109:$BD$166,34,FALSE)</f>
        <v>30</v>
      </c>
      <c r="AN26" s="13">
        <f ca="1">VLOOKUP($B26,'[6]Analisys QBR By Machine Report'!$C$109:$BD$166,35,FALSE)</f>
        <v>90</v>
      </c>
      <c r="AO26" s="13">
        <f ca="1">VLOOKUP($B26,'[6]Analisys QBR By Machine Report'!$C$109:$BD$166,36,FALSE)</f>
        <v>0</v>
      </c>
      <c r="AP26" s="13">
        <f ca="1">VLOOKUP($B26,'[6]Analisys QBR By Machine Report'!$C$109:$BD$166,37,FALSE)</f>
        <v>0</v>
      </c>
      <c r="AQ26" s="13">
        <f ca="1">VLOOKUP($B26,'[6]Analisys QBR By Machine Report'!$C$109:$BD$166,38,FALSE)</f>
        <v>0</v>
      </c>
      <c r="AR26" s="13">
        <f ca="1">VLOOKUP($B26,'[6]Analisys QBR By Machine Report'!$C$109:$BD$166,39,FALSE)</f>
        <v>400</v>
      </c>
      <c r="AS26" s="13">
        <f ca="1">VLOOKUP($B26,'[6]Analisys QBR By Machine Report'!$C$109:$BD$166,40,FALSE)</f>
        <v>0</v>
      </c>
      <c r="AT26" s="13">
        <f ca="1">VLOOKUP($B26,'[6]Analisys QBR By Machine Report'!$C$109:$BD$166,41,FALSE)</f>
        <v>0</v>
      </c>
      <c r="AU26" s="13">
        <f ca="1">VLOOKUP($B26,'[6]Analisys QBR By Machine Report'!$C$109:$BD$166,42,FALSE)</f>
        <v>0</v>
      </c>
      <c r="AV26" s="13">
        <f ca="1">VLOOKUP($B26,'[6]Analisys QBR By Machine Report'!$C$109:$BD$166,43,FALSE)</f>
        <v>0</v>
      </c>
      <c r="AW26" s="13">
        <f ca="1">VLOOKUP($B26,'[6]Analisys QBR By Machine Report'!$C$109:$BD$166,44,FALSE)</f>
        <v>0</v>
      </c>
      <c r="AX26" s="13">
        <f ca="1">VLOOKUP($B26,'[6]Analisys QBR By Machine Report'!$C$109:$BD$166,45,FALSE)</f>
        <v>0</v>
      </c>
      <c r="AY26" s="13">
        <f ca="1">VLOOKUP($B26,'[6]Analisys QBR By Machine Report'!$C$109:$BD$166,46,FALSE)</f>
        <v>0</v>
      </c>
      <c r="AZ26" s="13">
        <f ca="1">VLOOKUP($B26,'[6]Analisys QBR By Machine Report'!$C$109:$BD$166,47,FALSE)</f>
        <v>0</v>
      </c>
      <c r="BA26" s="13">
        <f ca="1">VLOOKUP($B26,'[6]Analisys QBR By Machine Report'!$C$109:$BD$166,48,FALSE)</f>
        <v>0</v>
      </c>
      <c r="BB26" s="13">
        <f ca="1">VLOOKUP($B26,'[6]Analisys QBR By Machine Report'!$C$109:$BD$166,49,FALSE)</f>
        <v>0</v>
      </c>
      <c r="BC26" s="13">
        <f ca="1">VLOOKUP($B26,'[6]Analisys QBR By Machine Report'!$C$109:$BD$166,50,FALSE)</f>
        <v>0</v>
      </c>
      <c r="BD26" s="13">
        <f ca="1">VLOOKUP($B26,'[6]Analisys QBR By Machine Report'!$C$109:$BD$166,51,FALSE)</f>
        <v>44927</v>
      </c>
      <c r="BE26" s="13">
        <f ca="1">VLOOKUP($B26,'[6]Analisys QBR By Machine Report'!$C$109:$BD$166,52,FALSE)</f>
        <v>60</v>
      </c>
      <c r="BF26" s="13">
        <f ca="1">VLOOKUP($B26,'[6]Analisys QBR By Machine Report'!$C$109:$BD$166,53,FALSE)</f>
        <v>44867</v>
      </c>
    </row>
    <row r="27" spans="1:58" x14ac:dyDescent="0.25">
      <c r="A27" s="9" t="s">
        <v>83</v>
      </c>
      <c r="B27" s="10">
        <f ca="1">VLOOKUP($B27,'[6]Analisys QBR By Machine Report'!$C$109:$BD$166,2,FALSE)</f>
        <v>27360</v>
      </c>
      <c r="C27" s="11">
        <f ca="1">VLOOKUP($B27,[6]Dasboard_QBR_Report!$B$109:$BL$166,3,FALSE)</f>
        <v>17670</v>
      </c>
      <c r="D27" s="10">
        <f ca="1">VLOOKUP($B27,'[6]Analisys QBR By Machine Report'!$C$109:$BD$166,3,FALSE)</f>
        <v>22590</v>
      </c>
      <c r="E27" s="11">
        <f ca="1">VLOOKUP($B27,[6]Dasboard_QBR_Report!$B$109:$BL$166,5,FALSE)</f>
        <v>12900</v>
      </c>
      <c r="F27" s="10">
        <f t="shared" ca="1" si="0"/>
        <v>4770</v>
      </c>
      <c r="G27" s="10">
        <f t="shared" ca="1" si="1"/>
        <v>444</v>
      </c>
      <c r="H27" s="10">
        <f ca="1">VLOOKUP($B27,'[6]Analisys QBR By Machine Report'!$C$109:$BD$166,4,FALSE)</f>
        <v>444</v>
      </c>
      <c r="I27" s="10">
        <f ca="1">VLOOKUP($B27,'[6]Analisys QBR By Machine Report'!$C$109:$BD$166,5,FALSE)</f>
        <v>0</v>
      </c>
      <c r="J27" s="10">
        <f ca="1">VLOOKUP($B27,'[6]Analisys QBR By Machine Report'!$C$109:$BD$166,6,FALSE)</f>
        <v>444</v>
      </c>
      <c r="K27" s="10">
        <f ca="1">VLOOKUP($B27,'[6]Analisys QBR By Machine Report'!$C$109:$BD$166,7,FALSE)</f>
        <v>0</v>
      </c>
      <c r="L27" s="10">
        <f ca="1">VLOOKUP($B27,'[6]Analisys QBR By Machine Report'!$C$109:$BD$166,8,FALSE)</f>
        <v>4326</v>
      </c>
      <c r="M27" s="10">
        <f ca="1">VLOOKUP($B27,'[6]Analisys QBR By Machine Report'!$C$109:$BD$166,9,FALSE)</f>
        <v>1754</v>
      </c>
      <c r="N27" s="10">
        <f ca="1">VLOOKUP($B27,[6]Dasboard_QBR_Report!$B$109:$BL$166,18,FALSE)</f>
        <v>2572</v>
      </c>
      <c r="O27" s="10">
        <f ca="1">VLOOKUP($B27,'[6]Analisys QBR By Machine Report'!$C$109:$BD$166,10,FALSE)</f>
        <v>120</v>
      </c>
      <c r="P27" s="10">
        <f ca="1">VLOOKUP($B27,'[6]Analisys QBR By Machine Report'!$C$109:$BD$166,11,FALSE)</f>
        <v>120</v>
      </c>
      <c r="Q27" s="10">
        <f ca="1">VLOOKUP($B27,'[6]Analisys QBR By Machine Report'!$C$109:$BD$166,12,FALSE)</f>
        <v>0</v>
      </c>
      <c r="R27" s="10">
        <f ca="1">VLOOKUP($B27,'[6]Analisys QBR By Machine Report'!$C$109:$BD$166,13,FALSE)</f>
        <v>0</v>
      </c>
      <c r="S27" s="10">
        <f ca="1">VLOOKUP($B27,'[6]Analisys QBR By Machine Report'!$C$109:$BD$166,14,FALSE)</f>
        <v>0</v>
      </c>
      <c r="T27" s="10">
        <f ca="1">VLOOKUP($B27,'[6]Analisys QBR By Machine Report'!$C$109:$BD$166,15,FALSE)</f>
        <v>35</v>
      </c>
      <c r="U27" s="10">
        <f ca="1">VLOOKUP($B27,'[6]Analisys QBR By Machine Report'!$C$109:$BD$166,16,FALSE)</f>
        <v>0</v>
      </c>
      <c r="V27" s="10">
        <f ca="1">VLOOKUP($B27,'[6]Analisys QBR By Machine Report'!$C$109:$BD$166,17,FALSE)</f>
        <v>0</v>
      </c>
      <c r="W27" s="10">
        <f ca="1">VLOOKUP($B27,'[6]Analisys QBR By Machine Report'!$C$109:$BD$166,18,FALSE)</f>
        <v>0</v>
      </c>
      <c r="X27" s="10">
        <f ca="1">VLOOKUP($B27,'[6]Analisys QBR By Machine Report'!$C$109:$BD$166,19,FALSE)</f>
        <v>35</v>
      </c>
      <c r="Y27" s="10">
        <f ca="1">VLOOKUP($B27,'[6]Analisys QBR By Machine Report'!$C$109:$BD$166,20,FALSE)</f>
        <v>0</v>
      </c>
      <c r="Z27" s="10">
        <f ca="1">VLOOKUP($B27,'[6]Analisys QBR By Machine Report'!$C$109:$BD$166,21,FALSE)</f>
        <v>1184</v>
      </c>
      <c r="AA27" s="10">
        <f ca="1">VLOOKUP($B27,'[6]Analisys QBR By Machine Report'!$C$109:$BD$166,22,FALSE)</f>
        <v>338</v>
      </c>
      <c r="AB27" s="10">
        <f ca="1">VLOOKUP($B27,'[6]Analisys QBR By Machine Report'!$C$109:$BD$166,23,FALSE)</f>
        <v>610</v>
      </c>
      <c r="AC27" s="10">
        <f ca="1">VLOOKUP($B27,'[6]Analisys QBR By Machine Report'!$C$109:$BD$166,24,FALSE)</f>
        <v>0</v>
      </c>
      <c r="AD27" s="10">
        <f ca="1">VLOOKUP($B27,'[6]Analisys QBR By Machine Report'!$C$109:$BD$166,25,FALSE)</f>
        <v>236</v>
      </c>
      <c r="AE27" s="10">
        <f ca="1">VLOOKUP($B27,'[6]Analisys QBR By Machine Report'!$C$109:$BD$166,26,FALSE)</f>
        <v>0</v>
      </c>
      <c r="AF27" s="10">
        <f ca="1">VLOOKUP($B27,'[6]Analisys QBR By Machine Report'!$C$109:$BD$166,27,FALSE)</f>
        <v>0</v>
      </c>
      <c r="AG27" s="10">
        <f ca="1">VLOOKUP($B27,'[6]Analisys QBR By Machine Report'!$C$109:$BD$166,28,FALSE)</f>
        <v>0</v>
      </c>
      <c r="AH27" s="10">
        <f ca="1">VLOOKUP($B27,'[6]Analisys QBR By Machine Report'!$C$109:$BD$166,29,FALSE)</f>
        <v>0</v>
      </c>
      <c r="AI27" s="10">
        <f ca="1">VLOOKUP($B27,'[6]Analisys QBR By Machine Report'!$C$109:$BD$166,30,FALSE)</f>
        <v>1233</v>
      </c>
      <c r="AJ27" s="10">
        <f ca="1">VLOOKUP($B27,'[6]Analisys QBR By Machine Report'!$C$109:$BD$166,31,FALSE)</f>
        <v>0</v>
      </c>
      <c r="AK27" s="10">
        <f ca="1">VLOOKUP($B27,'[6]Analisys QBR By Machine Report'!$C$109:$BD$166,32,FALSE)</f>
        <v>0</v>
      </c>
      <c r="AL27" s="10">
        <f ca="1">VLOOKUP($B27,'[6]Analisys QBR By Machine Report'!$C$109:$BD$166,33,FALSE)</f>
        <v>323</v>
      </c>
      <c r="AM27" s="10">
        <f ca="1">VLOOKUP($B27,'[6]Analisys QBR By Machine Report'!$C$109:$BD$166,34,FALSE)</f>
        <v>20</v>
      </c>
      <c r="AN27" s="10">
        <f ca="1">VLOOKUP($B27,'[6]Analisys QBR By Machine Report'!$C$109:$BD$166,35,FALSE)</f>
        <v>225</v>
      </c>
      <c r="AO27" s="10">
        <f ca="1">VLOOKUP($B27,'[6]Analisys QBR By Machine Report'!$C$109:$BD$166,36,FALSE)</f>
        <v>0</v>
      </c>
      <c r="AP27" s="10">
        <f ca="1">VLOOKUP($B27,'[6]Analisys QBR By Machine Report'!$C$109:$BD$166,37,FALSE)</f>
        <v>0</v>
      </c>
      <c r="AQ27" s="10">
        <f ca="1">VLOOKUP($B27,'[6]Analisys QBR By Machine Report'!$C$109:$BD$166,38,FALSE)</f>
        <v>0</v>
      </c>
      <c r="AR27" s="10">
        <f ca="1">VLOOKUP($B27,'[6]Analisys QBR By Machine Report'!$C$109:$BD$166,39,FALSE)</f>
        <v>0</v>
      </c>
      <c r="AS27" s="10">
        <f ca="1">VLOOKUP($B27,'[6]Analisys QBR By Machine Report'!$C$109:$BD$166,40,FALSE)</f>
        <v>0</v>
      </c>
      <c r="AT27" s="10">
        <f ca="1">VLOOKUP($B27,'[6]Analisys QBR By Machine Report'!$C$109:$BD$166,41,FALSE)</f>
        <v>0</v>
      </c>
      <c r="AU27" s="10">
        <f ca="1">VLOOKUP($B27,'[6]Analisys QBR By Machine Report'!$C$109:$BD$166,42,FALSE)</f>
        <v>0</v>
      </c>
      <c r="AV27" s="10">
        <f ca="1">VLOOKUP($B27,'[6]Analisys QBR By Machine Report'!$C$109:$BD$166,43,FALSE)</f>
        <v>0</v>
      </c>
      <c r="AW27" s="10">
        <f ca="1">VLOOKUP($B27,'[6]Analisys QBR By Machine Report'!$C$109:$BD$166,44,FALSE)</f>
        <v>0</v>
      </c>
      <c r="AX27" s="10">
        <f ca="1">VLOOKUP($B27,'[6]Analisys QBR By Machine Report'!$C$109:$BD$166,45,FALSE)</f>
        <v>0</v>
      </c>
      <c r="AY27" s="10">
        <f ca="1">VLOOKUP($B27,'[6]Analisys QBR By Machine Report'!$C$109:$BD$166,46,FALSE)</f>
        <v>0</v>
      </c>
      <c r="AZ27" s="10">
        <f ca="1">VLOOKUP($B27,'[6]Analisys QBR By Machine Report'!$C$109:$BD$166,47,FALSE)</f>
        <v>665</v>
      </c>
      <c r="BA27" s="10">
        <f ca="1">VLOOKUP($B27,'[6]Analisys QBR By Machine Report'!$C$109:$BD$166,48,FALSE)</f>
        <v>0</v>
      </c>
      <c r="BB27" s="10">
        <f ca="1">VLOOKUP($B27,'[6]Analisys QBR By Machine Report'!$C$109:$BD$166,49,FALSE)</f>
        <v>0</v>
      </c>
      <c r="BC27" s="10">
        <f ca="1">VLOOKUP($B27,'[6]Analisys QBR By Machine Report'!$C$109:$BD$166,50,FALSE)</f>
        <v>0</v>
      </c>
      <c r="BD27" s="10">
        <f ca="1">VLOOKUP($B27,'[6]Analisys QBR By Machine Report'!$C$109:$BD$166,51,FALSE)</f>
        <v>426</v>
      </c>
      <c r="BE27" s="10">
        <f ca="1">VLOOKUP($B27,'[6]Analisys QBR By Machine Report'!$C$109:$BD$166,52,FALSE)</f>
        <v>0</v>
      </c>
      <c r="BF27" s="10">
        <f ca="1">VLOOKUP($B27,'[6]Analisys QBR By Machine Report'!$C$109:$BD$166,53,FALSE)</f>
        <v>426</v>
      </c>
    </row>
    <row r="28" spans="1:58" x14ac:dyDescent="0.25">
      <c r="A28" s="12" t="s">
        <v>84</v>
      </c>
      <c r="B28" s="13">
        <f ca="1">VLOOKUP($B28,'[6]Analisys QBR By Machine Report'!$C$109:$BD$166,2,FALSE)</f>
        <v>27360</v>
      </c>
      <c r="C28" s="14">
        <f ca="1">VLOOKUP($B28,[6]Dasboard_QBR_Report!$B$109:$BL$166,3,FALSE)</f>
        <v>17670</v>
      </c>
      <c r="D28" s="13">
        <f ca="1">VLOOKUP($B28,'[6]Analisys QBR By Machine Report'!$C$109:$BD$166,3,FALSE)</f>
        <v>22590</v>
      </c>
      <c r="E28" s="14">
        <f ca="1">VLOOKUP($B28,[6]Dasboard_QBR_Report!$B$109:$BL$166,5,FALSE)</f>
        <v>12900</v>
      </c>
      <c r="F28" s="13">
        <f t="shared" ca="1" si="0"/>
        <v>4770</v>
      </c>
      <c r="G28" s="13">
        <f t="shared" ca="1" si="1"/>
        <v>444</v>
      </c>
      <c r="H28" s="13">
        <f ca="1">VLOOKUP($B28,'[6]Analisys QBR By Machine Report'!$C$109:$BD$166,4,FALSE)</f>
        <v>444</v>
      </c>
      <c r="I28" s="13">
        <f ca="1">VLOOKUP($B28,'[6]Analisys QBR By Machine Report'!$C$109:$BD$166,5,FALSE)</f>
        <v>0</v>
      </c>
      <c r="J28" s="13">
        <f ca="1">VLOOKUP($B28,'[6]Analisys QBR By Machine Report'!$C$109:$BD$166,6,FALSE)</f>
        <v>444</v>
      </c>
      <c r="K28" s="13">
        <f ca="1">VLOOKUP($B28,'[6]Analisys QBR By Machine Report'!$C$109:$BD$166,7,FALSE)</f>
        <v>0</v>
      </c>
      <c r="L28" s="13">
        <f ca="1">VLOOKUP($B28,'[6]Analisys QBR By Machine Report'!$C$109:$BD$166,8,FALSE)</f>
        <v>4326</v>
      </c>
      <c r="M28" s="13">
        <f ca="1">VLOOKUP($B28,'[6]Analisys QBR By Machine Report'!$C$109:$BD$166,9,FALSE)</f>
        <v>1754</v>
      </c>
      <c r="N28" s="13">
        <f ca="1">VLOOKUP($B28,[6]Dasboard_QBR_Report!$B$109:$BL$166,18,FALSE)</f>
        <v>2572</v>
      </c>
      <c r="O28" s="13">
        <f ca="1">VLOOKUP($B28,'[6]Analisys QBR By Machine Report'!$C$109:$BD$166,10,FALSE)</f>
        <v>120</v>
      </c>
      <c r="P28" s="13">
        <f ca="1">VLOOKUP($B28,'[6]Analisys QBR By Machine Report'!$C$109:$BD$166,11,FALSE)</f>
        <v>120</v>
      </c>
      <c r="Q28" s="13">
        <f ca="1">VLOOKUP($B28,'[6]Analisys QBR By Machine Report'!$C$109:$BD$166,12,FALSE)</f>
        <v>0</v>
      </c>
      <c r="R28" s="13">
        <f ca="1">VLOOKUP($B28,'[6]Analisys QBR By Machine Report'!$C$109:$BD$166,13,FALSE)</f>
        <v>0</v>
      </c>
      <c r="S28" s="13">
        <f ca="1">VLOOKUP($B28,'[6]Analisys QBR By Machine Report'!$C$109:$BD$166,14,FALSE)</f>
        <v>0</v>
      </c>
      <c r="T28" s="13">
        <f ca="1">VLOOKUP($B28,'[6]Analisys QBR By Machine Report'!$C$109:$BD$166,15,FALSE)</f>
        <v>35</v>
      </c>
      <c r="U28" s="13">
        <f ca="1">VLOOKUP($B28,'[6]Analisys QBR By Machine Report'!$C$109:$BD$166,16,FALSE)</f>
        <v>0</v>
      </c>
      <c r="V28" s="13">
        <f ca="1">VLOOKUP($B28,'[6]Analisys QBR By Machine Report'!$C$109:$BD$166,17,FALSE)</f>
        <v>0</v>
      </c>
      <c r="W28" s="13">
        <f ca="1">VLOOKUP($B28,'[6]Analisys QBR By Machine Report'!$C$109:$BD$166,18,FALSE)</f>
        <v>0</v>
      </c>
      <c r="X28" s="13">
        <f ca="1">VLOOKUP($B28,'[6]Analisys QBR By Machine Report'!$C$109:$BD$166,19,FALSE)</f>
        <v>35</v>
      </c>
      <c r="Y28" s="13">
        <f ca="1">VLOOKUP($B28,'[6]Analisys QBR By Machine Report'!$C$109:$BD$166,20,FALSE)</f>
        <v>0</v>
      </c>
      <c r="Z28" s="13">
        <f ca="1">VLOOKUP($B28,'[6]Analisys QBR By Machine Report'!$C$109:$BD$166,21,FALSE)</f>
        <v>1184</v>
      </c>
      <c r="AA28" s="13">
        <f ca="1">VLOOKUP($B28,'[6]Analisys QBR By Machine Report'!$C$109:$BD$166,22,FALSE)</f>
        <v>338</v>
      </c>
      <c r="AB28" s="13">
        <f ca="1">VLOOKUP($B28,'[6]Analisys QBR By Machine Report'!$C$109:$BD$166,23,FALSE)</f>
        <v>610</v>
      </c>
      <c r="AC28" s="13">
        <f ca="1">VLOOKUP($B28,'[6]Analisys QBR By Machine Report'!$C$109:$BD$166,24,FALSE)</f>
        <v>0</v>
      </c>
      <c r="AD28" s="13">
        <f ca="1">VLOOKUP($B28,'[6]Analisys QBR By Machine Report'!$C$109:$BD$166,25,FALSE)</f>
        <v>236</v>
      </c>
      <c r="AE28" s="13">
        <f ca="1">VLOOKUP($B28,'[6]Analisys QBR By Machine Report'!$C$109:$BD$166,26,FALSE)</f>
        <v>0</v>
      </c>
      <c r="AF28" s="13">
        <f ca="1">VLOOKUP($B28,'[6]Analisys QBR By Machine Report'!$C$109:$BD$166,27,FALSE)</f>
        <v>0</v>
      </c>
      <c r="AG28" s="13">
        <f ca="1">VLOOKUP($B28,'[6]Analisys QBR By Machine Report'!$C$109:$BD$166,28,FALSE)</f>
        <v>0</v>
      </c>
      <c r="AH28" s="13">
        <f ca="1">VLOOKUP($B28,'[6]Analisys QBR By Machine Report'!$C$109:$BD$166,29,FALSE)</f>
        <v>0</v>
      </c>
      <c r="AI28" s="13">
        <f ca="1">VLOOKUP($B28,'[6]Analisys QBR By Machine Report'!$C$109:$BD$166,30,FALSE)</f>
        <v>1233</v>
      </c>
      <c r="AJ28" s="13">
        <f ca="1">VLOOKUP($B28,'[6]Analisys QBR By Machine Report'!$C$109:$BD$166,31,FALSE)</f>
        <v>0</v>
      </c>
      <c r="AK28" s="13">
        <f ca="1">VLOOKUP($B28,'[6]Analisys QBR By Machine Report'!$C$109:$BD$166,32,FALSE)</f>
        <v>0</v>
      </c>
      <c r="AL28" s="13">
        <f ca="1">VLOOKUP($B28,'[6]Analisys QBR By Machine Report'!$C$109:$BD$166,33,FALSE)</f>
        <v>323</v>
      </c>
      <c r="AM28" s="13">
        <f ca="1">VLOOKUP($B28,'[6]Analisys QBR By Machine Report'!$C$109:$BD$166,34,FALSE)</f>
        <v>20</v>
      </c>
      <c r="AN28" s="13">
        <f ca="1">VLOOKUP($B28,'[6]Analisys QBR By Machine Report'!$C$109:$BD$166,35,FALSE)</f>
        <v>225</v>
      </c>
      <c r="AO28" s="13">
        <f ca="1">VLOOKUP($B28,'[6]Analisys QBR By Machine Report'!$C$109:$BD$166,36,FALSE)</f>
        <v>0</v>
      </c>
      <c r="AP28" s="13">
        <f ca="1">VLOOKUP($B28,'[6]Analisys QBR By Machine Report'!$C$109:$BD$166,37,FALSE)</f>
        <v>0</v>
      </c>
      <c r="AQ28" s="13">
        <f ca="1">VLOOKUP($B28,'[6]Analisys QBR By Machine Report'!$C$109:$BD$166,38,FALSE)</f>
        <v>0</v>
      </c>
      <c r="AR28" s="13">
        <f ca="1">VLOOKUP($B28,'[6]Analisys QBR By Machine Report'!$C$109:$BD$166,39,FALSE)</f>
        <v>0</v>
      </c>
      <c r="AS28" s="13">
        <f ca="1">VLOOKUP($B28,'[6]Analisys QBR By Machine Report'!$C$109:$BD$166,40,FALSE)</f>
        <v>0</v>
      </c>
      <c r="AT28" s="13">
        <f ca="1">VLOOKUP($B28,'[6]Analisys QBR By Machine Report'!$C$109:$BD$166,41,FALSE)</f>
        <v>0</v>
      </c>
      <c r="AU28" s="13">
        <f ca="1">VLOOKUP($B28,'[6]Analisys QBR By Machine Report'!$C$109:$BD$166,42,FALSE)</f>
        <v>0</v>
      </c>
      <c r="AV28" s="13">
        <f ca="1">VLOOKUP($B28,'[6]Analisys QBR By Machine Report'!$C$109:$BD$166,43,FALSE)</f>
        <v>0</v>
      </c>
      <c r="AW28" s="13">
        <f ca="1">VLOOKUP($B28,'[6]Analisys QBR By Machine Report'!$C$109:$BD$166,44,FALSE)</f>
        <v>0</v>
      </c>
      <c r="AX28" s="13">
        <f ca="1">VLOOKUP($B28,'[6]Analisys QBR By Machine Report'!$C$109:$BD$166,45,FALSE)</f>
        <v>0</v>
      </c>
      <c r="AY28" s="13">
        <f ca="1">VLOOKUP($B28,'[6]Analisys QBR By Machine Report'!$C$109:$BD$166,46,FALSE)</f>
        <v>0</v>
      </c>
      <c r="AZ28" s="13">
        <f ca="1">VLOOKUP($B28,'[6]Analisys QBR By Machine Report'!$C$109:$BD$166,47,FALSE)</f>
        <v>665</v>
      </c>
      <c r="BA28" s="13">
        <f ca="1">VLOOKUP($B28,'[6]Analisys QBR By Machine Report'!$C$109:$BD$166,48,FALSE)</f>
        <v>0</v>
      </c>
      <c r="BB28" s="13">
        <f ca="1">VLOOKUP($B28,'[6]Analisys QBR By Machine Report'!$C$109:$BD$166,49,FALSE)</f>
        <v>0</v>
      </c>
      <c r="BC28" s="13">
        <f ca="1">VLOOKUP($B28,'[6]Analisys QBR By Machine Report'!$C$109:$BD$166,50,FALSE)</f>
        <v>0</v>
      </c>
      <c r="BD28" s="13">
        <f ca="1">VLOOKUP($B28,'[6]Analisys QBR By Machine Report'!$C$109:$BD$166,51,FALSE)</f>
        <v>426</v>
      </c>
      <c r="BE28" s="13">
        <f ca="1">VLOOKUP($B28,'[6]Analisys QBR By Machine Report'!$C$109:$BD$166,52,FALSE)</f>
        <v>0</v>
      </c>
      <c r="BF28" s="13">
        <f ca="1">VLOOKUP($B28,'[6]Analisys QBR By Machine Report'!$C$109:$BD$166,53,FALSE)</f>
        <v>426</v>
      </c>
    </row>
    <row r="29" spans="1:58" x14ac:dyDescent="0.25">
      <c r="A29" s="9" t="s">
        <v>85</v>
      </c>
      <c r="B29" s="10">
        <f ca="1">VLOOKUP($B29,'[6]Analisys QBR By Machine Report'!$C$109:$BD$166,2,FALSE)</f>
        <v>54720</v>
      </c>
      <c r="C29" s="11">
        <f ca="1">VLOOKUP($B29,[6]Dasboard_QBR_Report!$B$109:$BL$166,3,FALSE)</f>
        <v>35340</v>
      </c>
      <c r="D29" s="10">
        <f ca="1">VLOOKUP($B29,'[6]Analisys QBR By Machine Report'!$C$109:$BD$166,3,FALSE)</f>
        <v>31440</v>
      </c>
      <c r="E29" s="11">
        <f ca="1">VLOOKUP($B29,[6]Dasboard_QBR_Report!$B$109:$BL$166,5,FALSE)</f>
        <v>12060</v>
      </c>
      <c r="F29" s="10">
        <f t="shared" ca="1" si="0"/>
        <v>23280</v>
      </c>
      <c r="G29" s="10">
        <f t="shared" ca="1" si="1"/>
        <v>1486</v>
      </c>
      <c r="H29" s="10">
        <f ca="1">VLOOKUP($B29,'[6]Analisys QBR By Machine Report'!$C$109:$BD$166,4,FALSE)</f>
        <v>1411</v>
      </c>
      <c r="I29" s="10">
        <f ca="1">VLOOKUP($B29,'[6]Analisys QBR By Machine Report'!$C$109:$BD$166,5,FALSE)</f>
        <v>451</v>
      </c>
      <c r="J29" s="10">
        <f ca="1">VLOOKUP($B29,'[6]Analisys QBR By Machine Report'!$C$109:$BD$166,6,FALSE)</f>
        <v>960</v>
      </c>
      <c r="K29" s="10">
        <f ca="1">VLOOKUP($B29,'[6]Analisys QBR By Machine Report'!$C$109:$BD$166,7,FALSE)</f>
        <v>75</v>
      </c>
      <c r="L29" s="10">
        <f ca="1">VLOOKUP($B29,'[6]Analisys QBR By Machine Report'!$C$109:$BD$166,8,FALSE)</f>
        <v>21794</v>
      </c>
      <c r="M29" s="10">
        <f ca="1">VLOOKUP($B29,'[6]Analisys QBR By Machine Report'!$C$109:$BD$166,9,FALSE)</f>
        <v>9330</v>
      </c>
      <c r="N29" s="10">
        <f ca="1">VLOOKUP($B29,[6]Dasboard_QBR_Report!$B$109:$BL$166,18,FALSE)</f>
        <v>12464</v>
      </c>
      <c r="O29" s="10">
        <f ca="1">VLOOKUP($B29,'[6]Analisys QBR By Machine Report'!$C$109:$BD$166,10,FALSE)</f>
        <v>1850</v>
      </c>
      <c r="P29" s="10">
        <f ca="1">VLOOKUP($B29,'[6]Analisys QBR By Machine Report'!$C$109:$BD$166,11,FALSE)</f>
        <v>1604</v>
      </c>
      <c r="Q29" s="10">
        <f ca="1">VLOOKUP($B29,'[6]Analisys QBR By Machine Report'!$C$109:$BD$166,12,FALSE)</f>
        <v>0</v>
      </c>
      <c r="R29" s="10">
        <f ca="1">VLOOKUP($B29,'[6]Analisys QBR By Machine Report'!$C$109:$BD$166,13,FALSE)</f>
        <v>246</v>
      </c>
      <c r="S29" s="10">
        <f ca="1">VLOOKUP($B29,'[6]Analisys QBR By Machine Report'!$C$109:$BD$166,14,FALSE)</f>
        <v>0</v>
      </c>
      <c r="T29" s="10">
        <f ca="1">VLOOKUP($B29,'[6]Analisys QBR By Machine Report'!$C$109:$BD$166,15,FALSE)</f>
        <v>716</v>
      </c>
      <c r="U29" s="10">
        <f ca="1">VLOOKUP($B29,'[6]Analisys QBR By Machine Report'!$C$109:$BD$166,16,FALSE)</f>
        <v>170</v>
      </c>
      <c r="V29" s="10">
        <f ca="1">VLOOKUP($B29,'[6]Analisys QBR By Machine Report'!$C$109:$BD$166,17,FALSE)</f>
        <v>160</v>
      </c>
      <c r="W29" s="10">
        <f ca="1">VLOOKUP($B29,'[6]Analisys QBR By Machine Report'!$C$109:$BD$166,18,FALSE)</f>
        <v>0</v>
      </c>
      <c r="X29" s="10">
        <f ca="1">VLOOKUP($B29,'[6]Analisys QBR By Machine Report'!$C$109:$BD$166,19,FALSE)</f>
        <v>368</v>
      </c>
      <c r="Y29" s="10">
        <f ca="1">VLOOKUP($B29,'[6]Analisys QBR By Machine Report'!$C$109:$BD$166,20,FALSE)</f>
        <v>18</v>
      </c>
      <c r="Z29" s="10">
        <f ca="1">VLOOKUP($B29,'[6]Analisys QBR By Machine Report'!$C$109:$BD$166,21,FALSE)</f>
        <v>4392</v>
      </c>
      <c r="AA29" s="10">
        <f ca="1">VLOOKUP($B29,'[6]Analisys QBR By Machine Report'!$C$109:$BD$166,22,FALSE)</f>
        <v>1067</v>
      </c>
      <c r="AB29" s="10">
        <f ca="1">VLOOKUP($B29,'[6]Analisys QBR By Machine Report'!$C$109:$BD$166,23,FALSE)</f>
        <v>3305</v>
      </c>
      <c r="AC29" s="10">
        <f ca="1">VLOOKUP($B29,'[6]Analisys QBR By Machine Report'!$C$109:$BD$166,24,FALSE)</f>
        <v>20</v>
      </c>
      <c r="AD29" s="10">
        <f ca="1">VLOOKUP($B29,'[6]Analisys QBR By Machine Report'!$C$109:$BD$166,25,FALSE)</f>
        <v>0</v>
      </c>
      <c r="AE29" s="10">
        <f ca="1">VLOOKUP($B29,'[6]Analisys QBR By Machine Report'!$C$109:$BD$166,26,FALSE)</f>
        <v>0</v>
      </c>
      <c r="AF29" s="10">
        <f ca="1">VLOOKUP($B29,'[6]Analisys QBR By Machine Report'!$C$109:$BD$166,27,FALSE)</f>
        <v>0</v>
      </c>
      <c r="AG29" s="10">
        <f ca="1">VLOOKUP($B29,'[6]Analisys QBR By Machine Report'!$C$109:$BD$166,28,FALSE)</f>
        <v>0</v>
      </c>
      <c r="AH29" s="10">
        <f ca="1">VLOOKUP($B29,'[6]Analisys QBR By Machine Report'!$C$109:$BD$166,29,FALSE)</f>
        <v>0</v>
      </c>
      <c r="AI29" s="10">
        <f ca="1">VLOOKUP($B29,'[6]Analisys QBR By Machine Report'!$C$109:$BD$166,30,FALSE)</f>
        <v>5506</v>
      </c>
      <c r="AJ29" s="10">
        <f ca="1">VLOOKUP($B29,'[6]Analisys QBR By Machine Report'!$C$109:$BD$166,31,FALSE)</f>
        <v>0</v>
      </c>
      <c r="AK29" s="10">
        <f ca="1">VLOOKUP($B29,'[6]Analisys QBR By Machine Report'!$C$109:$BD$166,32,FALSE)</f>
        <v>0</v>
      </c>
      <c r="AL29" s="10">
        <f ca="1">VLOOKUP($B29,'[6]Analisys QBR By Machine Report'!$C$109:$BD$166,33,FALSE)</f>
        <v>1465</v>
      </c>
      <c r="AM29" s="10">
        <f ca="1">VLOOKUP($B29,'[6]Analisys QBR By Machine Report'!$C$109:$BD$166,34,FALSE)</f>
        <v>0</v>
      </c>
      <c r="AN29" s="10">
        <f ca="1">VLOOKUP($B29,'[6]Analisys QBR By Machine Report'!$C$109:$BD$166,35,FALSE)</f>
        <v>1380</v>
      </c>
      <c r="AO29" s="10">
        <f ca="1">VLOOKUP($B29,'[6]Analisys QBR By Machine Report'!$C$109:$BD$166,36,FALSE)</f>
        <v>0</v>
      </c>
      <c r="AP29" s="10">
        <f ca="1">VLOOKUP($B29,'[6]Analisys QBR By Machine Report'!$C$109:$BD$166,37,FALSE)</f>
        <v>40</v>
      </c>
      <c r="AQ29" s="10">
        <f ca="1">VLOOKUP($B29,'[6]Analisys QBR By Machine Report'!$C$109:$BD$166,38,FALSE)</f>
        <v>0</v>
      </c>
      <c r="AR29" s="10">
        <f ca="1">VLOOKUP($B29,'[6]Analisys QBR By Machine Report'!$C$109:$BD$166,39,FALSE)</f>
        <v>90</v>
      </c>
      <c r="AS29" s="10">
        <f ca="1">VLOOKUP($B29,'[6]Analisys QBR By Machine Report'!$C$109:$BD$166,40,FALSE)</f>
        <v>290</v>
      </c>
      <c r="AT29" s="10">
        <f ca="1">VLOOKUP($B29,'[6]Analisys QBR By Machine Report'!$C$109:$BD$166,41,FALSE)</f>
        <v>0</v>
      </c>
      <c r="AU29" s="10">
        <f ca="1">VLOOKUP($B29,'[6]Analisys QBR By Machine Report'!$C$109:$BD$166,42,FALSE)</f>
        <v>0</v>
      </c>
      <c r="AV29" s="10">
        <f ca="1">VLOOKUP($B29,'[6]Analisys QBR By Machine Report'!$C$109:$BD$166,43,FALSE)</f>
        <v>2132</v>
      </c>
      <c r="AW29" s="10">
        <f ca="1">VLOOKUP($B29,'[6]Analisys QBR By Machine Report'!$C$109:$BD$166,44,FALSE)</f>
        <v>0</v>
      </c>
      <c r="AX29" s="10">
        <f ca="1">VLOOKUP($B29,'[6]Analisys QBR By Machine Report'!$C$109:$BD$166,45,FALSE)</f>
        <v>0</v>
      </c>
      <c r="AY29" s="10">
        <f ca="1">VLOOKUP($B29,'[6]Analisys QBR By Machine Report'!$C$109:$BD$166,46,FALSE)</f>
        <v>0</v>
      </c>
      <c r="AZ29" s="10">
        <f ca="1">VLOOKUP($B29,'[6]Analisys QBR By Machine Report'!$C$109:$BD$166,47,FALSE)</f>
        <v>109</v>
      </c>
      <c r="BA29" s="10">
        <f ca="1">VLOOKUP($B29,'[6]Analisys QBR By Machine Report'!$C$109:$BD$166,48,FALSE)</f>
        <v>0</v>
      </c>
      <c r="BB29" s="10">
        <f ca="1">VLOOKUP($B29,'[6]Analisys QBR By Machine Report'!$C$109:$BD$166,49,FALSE)</f>
        <v>0</v>
      </c>
      <c r="BC29" s="10">
        <f ca="1">VLOOKUP($B29,'[6]Analisys QBR By Machine Report'!$C$109:$BD$166,50,FALSE)</f>
        <v>0</v>
      </c>
      <c r="BD29" s="10">
        <f ca="1">VLOOKUP($B29,'[6]Analisys QBR By Machine Report'!$C$109:$BD$166,51,FALSE)</f>
        <v>791818</v>
      </c>
      <c r="BE29" s="10">
        <f ca="1">VLOOKUP($B29,'[6]Analisys QBR By Machine Report'!$C$109:$BD$166,52,FALSE)</f>
        <v>193</v>
      </c>
      <c r="BF29" s="10">
        <f ca="1">VLOOKUP($B29,'[6]Analisys QBR By Machine Report'!$C$109:$BD$166,53,FALSE)</f>
        <v>791625</v>
      </c>
    </row>
    <row r="30" spans="1:58" x14ac:dyDescent="0.25">
      <c r="A30" s="12" t="s">
        <v>86</v>
      </c>
      <c r="B30" s="13">
        <f ca="1">VLOOKUP($B30,'[6]Analisys QBR By Machine Report'!$C$109:$BD$166,2,FALSE)</f>
        <v>27360</v>
      </c>
      <c r="C30" s="14">
        <f ca="1">VLOOKUP($B30,[6]Dasboard_QBR_Report!$B$109:$BL$166,3,FALSE)</f>
        <v>17670</v>
      </c>
      <c r="D30" s="13">
        <f ca="1">VLOOKUP($B30,'[6]Analisys QBR By Machine Report'!$C$109:$BD$166,3,FALSE)</f>
        <v>21270</v>
      </c>
      <c r="E30" s="14">
        <f ca="1">VLOOKUP($B30,[6]Dasboard_QBR_Report!$B$109:$BL$166,5,FALSE)</f>
        <v>11580</v>
      </c>
      <c r="F30" s="13">
        <f t="shared" ca="1" si="0"/>
        <v>6090</v>
      </c>
      <c r="G30" s="13">
        <f t="shared" ca="1" si="1"/>
        <v>686</v>
      </c>
      <c r="H30" s="13">
        <f ca="1">VLOOKUP($B30,'[6]Analisys QBR By Machine Report'!$C$109:$BD$166,4,FALSE)</f>
        <v>611</v>
      </c>
      <c r="I30" s="13">
        <f ca="1">VLOOKUP($B30,'[6]Analisys QBR By Machine Report'!$C$109:$BD$166,5,FALSE)</f>
        <v>61</v>
      </c>
      <c r="J30" s="13">
        <f ca="1">VLOOKUP($B30,'[6]Analisys QBR By Machine Report'!$C$109:$BD$166,6,FALSE)</f>
        <v>550</v>
      </c>
      <c r="K30" s="13">
        <f ca="1">VLOOKUP($B30,'[6]Analisys QBR By Machine Report'!$C$109:$BD$166,7,FALSE)</f>
        <v>75</v>
      </c>
      <c r="L30" s="13">
        <f ca="1">VLOOKUP($B30,'[6]Analisys QBR By Machine Report'!$C$109:$BD$166,8,FALSE)</f>
        <v>5404</v>
      </c>
      <c r="M30" s="13">
        <f ca="1">VLOOKUP($B30,'[6]Analisys QBR By Machine Report'!$C$109:$BD$166,9,FALSE)</f>
        <v>918</v>
      </c>
      <c r="N30" s="13">
        <f ca="1">VLOOKUP($B30,[6]Dasboard_QBR_Report!$B$109:$BL$166,18,FALSE)</f>
        <v>4486</v>
      </c>
      <c r="O30" s="13">
        <f ca="1">VLOOKUP($B30,'[6]Analisys QBR By Machine Report'!$C$109:$BD$166,10,FALSE)</f>
        <v>690</v>
      </c>
      <c r="P30" s="13">
        <f ca="1">VLOOKUP($B30,'[6]Analisys QBR By Machine Report'!$C$109:$BD$166,11,FALSE)</f>
        <v>629</v>
      </c>
      <c r="Q30" s="13">
        <f ca="1">VLOOKUP($B30,'[6]Analisys QBR By Machine Report'!$C$109:$BD$166,12,FALSE)</f>
        <v>0</v>
      </c>
      <c r="R30" s="13">
        <f ca="1">VLOOKUP($B30,'[6]Analisys QBR By Machine Report'!$C$109:$BD$166,13,FALSE)</f>
        <v>61</v>
      </c>
      <c r="S30" s="13">
        <f ca="1">VLOOKUP($B30,'[6]Analisys QBR By Machine Report'!$C$109:$BD$166,14,FALSE)</f>
        <v>0</v>
      </c>
      <c r="T30" s="13">
        <f ca="1">VLOOKUP($B30,'[6]Analisys QBR By Machine Report'!$C$109:$BD$166,15,FALSE)</f>
        <v>139</v>
      </c>
      <c r="U30" s="13">
        <f ca="1">VLOOKUP($B30,'[6]Analisys QBR By Machine Report'!$C$109:$BD$166,16,FALSE)</f>
        <v>0</v>
      </c>
      <c r="V30" s="13">
        <f ca="1">VLOOKUP($B30,'[6]Analisys QBR By Machine Report'!$C$109:$BD$166,17,FALSE)</f>
        <v>0</v>
      </c>
      <c r="W30" s="13">
        <f ca="1">VLOOKUP($B30,'[6]Analisys QBR By Machine Report'!$C$109:$BD$166,18,FALSE)</f>
        <v>0</v>
      </c>
      <c r="X30" s="13">
        <f ca="1">VLOOKUP($B30,'[6]Analisys QBR By Machine Report'!$C$109:$BD$166,19,FALSE)</f>
        <v>139</v>
      </c>
      <c r="Y30" s="13">
        <f ca="1">VLOOKUP($B30,'[6]Analisys QBR By Machine Report'!$C$109:$BD$166,20,FALSE)</f>
        <v>0</v>
      </c>
      <c r="Z30" s="13">
        <f ca="1">VLOOKUP($B30,'[6]Analisys QBR By Machine Report'!$C$109:$BD$166,21,FALSE)</f>
        <v>1825</v>
      </c>
      <c r="AA30" s="13">
        <f ca="1">VLOOKUP($B30,'[6]Analisys QBR By Machine Report'!$C$109:$BD$166,22,FALSE)</f>
        <v>533</v>
      </c>
      <c r="AB30" s="13">
        <f ca="1">VLOOKUP($B30,'[6]Analisys QBR By Machine Report'!$C$109:$BD$166,23,FALSE)</f>
        <v>1277</v>
      </c>
      <c r="AC30" s="13">
        <f ca="1">VLOOKUP($B30,'[6]Analisys QBR By Machine Report'!$C$109:$BD$166,24,FALSE)</f>
        <v>15</v>
      </c>
      <c r="AD30" s="13">
        <f ca="1">VLOOKUP($B30,'[6]Analisys QBR By Machine Report'!$C$109:$BD$166,25,FALSE)</f>
        <v>0</v>
      </c>
      <c r="AE30" s="13">
        <f ca="1">VLOOKUP($B30,'[6]Analisys QBR By Machine Report'!$C$109:$BD$166,26,FALSE)</f>
        <v>0</v>
      </c>
      <c r="AF30" s="13">
        <f ca="1">VLOOKUP($B30,'[6]Analisys QBR By Machine Report'!$C$109:$BD$166,27,FALSE)</f>
        <v>0</v>
      </c>
      <c r="AG30" s="13">
        <f ca="1">VLOOKUP($B30,'[6]Analisys QBR By Machine Report'!$C$109:$BD$166,28,FALSE)</f>
        <v>0</v>
      </c>
      <c r="AH30" s="13">
        <f ca="1">VLOOKUP($B30,'[6]Analisys QBR By Machine Report'!$C$109:$BD$166,29,FALSE)</f>
        <v>0</v>
      </c>
      <c r="AI30" s="13">
        <f ca="1">VLOOKUP($B30,'[6]Analisys QBR By Machine Report'!$C$109:$BD$166,30,FALSE)</f>
        <v>1832</v>
      </c>
      <c r="AJ30" s="13">
        <f ca="1">VLOOKUP($B30,'[6]Analisys QBR By Machine Report'!$C$109:$BD$166,31,FALSE)</f>
        <v>0</v>
      </c>
      <c r="AK30" s="13">
        <f ca="1">VLOOKUP($B30,'[6]Analisys QBR By Machine Report'!$C$109:$BD$166,32,FALSE)</f>
        <v>0</v>
      </c>
      <c r="AL30" s="13">
        <f ca="1">VLOOKUP($B30,'[6]Analisys QBR By Machine Report'!$C$109:$BD$166,33,FALSE)</f>
        <v>360</v>
      </c>
      <c r="AM30" s="13">
        <f ca="1">VLOOKUP($B30,'[6]Analisys QBR By Machine Report'!$C$109:$BD$166,34,FALSE)</f>
        <v>0</v>
      </c>
      <c r="AN30" s="13">
        <f ca="1">VLOOKUP($B30,'[6]Analisys QBR By Machine Report'!$C$109:$BD$166,35,FALSE)</f>
        <v>360</v>
      </c>
      <c r="AO30" s="13">
        <f ca="1">VLOOKUP($B30,'[6]Analisys QBR By Machine Report'!$C$109:$BD$166,36,FALSE)</f>
        <v>0</v>
      </c>
      <c r="AP30" s="13">
        <f ca="1">VLOOKUP($B30,'[6]Analisys QBR By Machine Report'!$C$109:$BD$166,37,FALSE)</f>
        <v>0</v>
      </c>
      <c r="AQ30" s="13">
        <f ca="1">VLOOKUP($B30,'[6]Analisys QBR By Machine Report'!$C$109:$BD$166,38,FALSE)</f>
        <v>0</v>
      </c>
      <c r="AR30" s="13">
        <f ca="1">VLOOKUP($B30,'[6]Analisys QBR By Machine Report'!$C$109:$BD$166,39,FALSE)</f>
        <v>0</v>
      </c>
      <c r="AS30" s="13">
        <f ca="1">VLOOKUP($B30,'[6]Analisys QBR By Machine Report'!$C$109:$BD$166,40,FALSE)</f>
        <v>125</v>
      </c>
      <c r="AT30" s="13">
        <f ca="1">VLOOKUP($B30,'[6]Analisys QBR By Machine Report'!$C$109:$BD$166,41,FALSE)</f>
        <v>0</v>
      </c>
      <c r="AU30" s="13">
        <f ca="1">VLOOKUP($B30,'[6]Analisys QBR By Machine Report'!$C$109:$BD$166,42,FALSE)</f>
        <v>0</v>
      </c>
      <c r="AV30" s="13">
        <f ca="1">VLOOKUP($B30,'[6]Analisys QBR By Machine Report'!$C$109:$BD$166,43,FALSE)</f>
        <v>987</v>
      </c>
      <c r="AW30" s="13">
        <f ca="1">VLOOKUP($B30,'[6]Analisys QBR By Machine Report'!$C$109:$BD$166,44,FALSE)</f>
        <v>0</v>
      </c>
      <c r="AX30" s="13">
        <f ca="1">VLOOKUP($B30,'[6]Analisys QBR By Machine Report'!$C$109:$BD$166,45,FALSE)</f>
        <v>0</v>
      </c>
      <c r="AY30" s="13">
        <f ca="1">VLOOKUP($B30,'[6]Analisys QBR By Machine Report'!$C$109:$BD$166,46,FALSE)</f>
        <v>0</v>
      </c>
      <c r="AZ30" s="13">
        <f ca="1">VLOOKUP($B30,'[6]Analisys QBR By Machine Report'!$C$109:$BD$166,47,FALSE)</f>
        <v>0</v>
      </c>
      <c r="BA30" s="13">
        <f ca="1">VLOOKUP($B30,'[6]Analisys QBR By Machine Report'!$C$109:$BD$166,48,FALSE)</f>
        <v>0</v>
      </c>
      <c r="BB30" s="13">
        <f ca="1">VLOOKUP($B30,'[6]Analisys QBR By Machine Report'!$C$109:$BD$166,49,FALSE)</f>
        <v>0</v>
      </c>
      <c r="BC30" s="13">
        <f ca="1">VLOOKUP($B30,'[6]Analisys QBR By Machine Report'!$C$109:$BD$166,50,FALSE)</f>
        <v>0</v>
      </c>
      <c r="BD30" s="13">
        <f ca="1">VLOOKUP($B30,'[6]Analisys QBR By Machine Report'!$C$109:$BD$166,51,FALSE)</f>
        <v>89130</v>
      </c>
      <c r="BE30" s="13">
        <f ca="1">VLOOKUP($B30,'[6]Analisys QBR By Machine Report'!$C$109:$BD$166,52,FALSE)</f>
        <v>0</v>
      </c>
      <c r="BF30" s="13">
        <f ca="1">VLOOKUP($B30,'[6]Analisys QBR By Machine Report'!$C$109:$BD$166,53,FALSE)</f>
        <v>89130</v>
      </c>
    </row>
    <row r="31" spans="1:58" x14ac:dyDescent="0.25">
      <c r="A31" s="12" t="s">
        <v>87</v>
      </c>
      <c r="B31" s="13">
        <f ca="1">VLOOKUP($B31,'[6]Analisys QBR By Machine Report'!$C$109:$BD$166,2,FALSE)</f>
        <v>27360</v>
      </c>
      <c r="C31" s="14">
        <f ca="1">VLOOKUP($B31,[6]Dasboard_QBR_Report!$B$109:$BL$166,3,FALSE)</f>
        <v>17670</v>
      </c>
      <c r="D31" s="13">
        <f ca="1">VLOOKUP($B31,'[6]Analisys QBR By Machine Report'!$C$109:$BD$166,3,FALSE)</f>
        <v>10170</v>
      </c>
      <c r="E31" s="14">
        <f ca="1">VLOOKUP($B31,[6]Dasboard_QBR_Report!$B$109:$BL$166,5,FALSE)</f>
        <v>480</v>
      </c>
      <c r="F31" s="13">
        <f t="shared" ca="1" si="0"/>
        <v>17190</v>
      </c>
      <c r="G31" s="13">
        <f t="shared" ca="1" si="1"/>
        <v>800</v>
      </c>
      <c r="H31" s="13">
        <f ca="1">VLOOKUP($B31,'[6]Analisys QBR By Machine Report'!$C$109:$BD$166,4,FALSE)</f>
        <v>800</v>
      </c>
      <c r="I31" s="13">
        <f ca="1">VLOOKUP($B31,'[6]Analisys QBR By Machine Report'!$C$109:$BD$166,5,FALSE)</f>
        <v>390</v>
      </c>
      <c r="J31" s="13">
        <f ca="1">VLOOKUP($B31,'[6]Analisys QBR By Machine Report'!$C$109:$BD$166,6,FALSE)</f>
        <v>410</v>
      </c>
      <c r="K31" s="13">
        <f ca="1">VLOOKUP($B31,'[6]Analisys QBR By Machine Report'!$C$109:$BD$166,7,FALSE)</f>
        <v>0</v>
      </c>
      <c r="L31" s="13">
        <f ca="1">VLOOKUP($B31,'[6]Analisys QBR By Machine Report'!$C$109:$BD$166,8,FALSE)</f>
        <v>16390</v>
      </c>
      <c r="M31" s="13">
        <f ca="1">VLOOKUP($B31,'[6]Analisys QBR By Machine Report'!$C$109:$BD$166,9,FALSE)</f>
        <v>8412</v>
      </c>
      <c r="N31" s="13">
        <f ca="1">VLOOKUP($B31,[6]Dasboard_QBR_Report!$B$109:$BL$166,18,FALSE)</f>
        <v>7978</v>
      </c>
      <c r="O31" s="13">
        <f ca="1">VLOOKUP($B31,'[6]Analisys QBR By Machine Report'!$C$109:$BD$166,10,FALSE)</f>
        <v>1160</v>
      </c>
      <c r="P31" s="13">
        <f ca="1">VLOOKUP($B31,'[6]Analisys QBR By Machine Report'!$C$109:$BD$166,11,FALSE)</f>
        <v>975</v>
      </c>
      <c r="Q31" s="13">
        <f ca="1">VLOOKUP($B31,'[6]Analisys QBR By Machine Report'!$C$109:$BD$166,12,FALSE)</f>
        <v>0</v>
      </c>
      <c r="R31" s="13">
        <f ca="1">VLOOKUP($B31,'[6]Analisys QBR By Machine Report'!$C$109:$BD$166,13,FALSE)</f>
        <v>185</v>
      </c>
      <c r="S31" s="13">
        <f ca="1">VLOOKUP($B31,'[6]Analisys QBR By Machine Report'!$C$109:$BD$166,14,FALSE)</f>
        <v>0</v>
      </c>
      <c r="T31" s="13">
        <f ca="1">VLOOKUP($B31,'[6]Analisys QBR By Machine Report'!$C$109:$BD$166,15,FALSE)</f>
        <v>577</v>
      </c>
      <c r="U31" s="13">
        <f ca="1">VLOOKUP($B31,'[6]Analisys QBR By Machine Report'!$C$109:$BD$166,16,FALSE)</f>
        <v>170</v>
      </c>
      <c r="V31" s="13">
        <f ca="1">VLOOKUP($B31,'[6]Analisys QBR By Machine Report'!$C$109:$BD$166,17,FALSE)</f>
        <v>160</v>
      </c>
      <c r="W31" s="13">
        <f ca="1">VLOOKUP($B31,'[6]Analisys QBR By Machine Report'!$C$109:$BD$166,18,FALSE)</f>
        <v>0</v>
      </c>
      <c r="X31" s="13">
        <f ca="1">VLOOKUP($B31,'[6]Analisys QBR By Machine Report'!$C$109:$BD$166,19,FALSE)</f>
        <v>229</v>
      </c>
      <c r="Y31" s="13">
        <f ca="1">VLOOKUP($B31,'[6]Analisys QBR By Machine Report'!$C$109:$BD$166,20,FALSE)</f>
        <v>18</v>
      </c>
      <c r="Z31" s="13">
        <f ca="1">VLOOKUP($B31,'[6]Analisys QBR By Machine Report'!$C$109:$BD$166,21,FALSE)</f>
        <v>2567</v>
      </c>
      <c r="AA31" s="13">
        <f ca="1">VLOOKUP($B31,'[6]Analisys QBR By Machine Report'!$C$109:$BD$166,22,FALSE)</f>
        <v>534</v>
      </c>
      <c r="AB31" s="13">
        <f ca="1">VLOOKUP($B31,'[6]Analisys QBR By Machine Report'!$C$109:$BD$166,23,FALSE)</f>
        <v>2028</v>
      </c>
      <c r="AC31" s="13">
        <f ca="1">VLOOKUP($B31,'[6]Analisys QBR By Machine Report'!$C$109:$BD$166,24,FALSE)</f>
        <v>5</v>
      </c>
      <c r="AD31" s="13">
        <f ca="1">VLOOKUP($B31,'[6]Analisys QBR By Machine Report'!$C$109:$BD$166,25,FALSE)</f>
        <v>0</v>
      </c>
      <c r="AE31" s="13">
        <f ca="1">VLOOKUP($B31,'[6]Analisys QBR By Machine Report'!$C$109:$BD$166,26,FALSE)</f>
        <v>0</v>
      </c>
      <c r="AF31" s="13">
        <f ca="1">VLOOKUP($B31,'[6]Analisys QBR By Machine Report'!$C$109:$BD$166,27,FALSE)</f>
        <v>0</v>
      </c>
      <c r="AG31" s="13">
        <f ca="1">VLOOKUP($B31,'[6]Analisys QBR By Machine Report'!$C$109:$BD$166,28,FALSE)</f>
        <v>0</v>
      </c>
      <c r="AH31" s="13">
        <f ca="1">VLOOKUP($B31,'[6]Analisys QBR By Machine Report'!$C$109:$BD$166,29,FALSE)</f>
        <v>0</v>
      </c>
      <c r="AI31" s="13">
        <f ca="1">VLOOKUP($B31,'[6]Analisys QBR By Machine Report'!$C$109:$BD$166,30,FALSE)</f>
        <v>3674</v>
      </c>
      <c r="AJ31" s="13">
        <f ca="1">VLOOKUP($B31,'[6]Analisys QBR By Machine Report'!$C$109:$BD$166,31,FALSE)</f>
        <v>0</v>
      </c>
      <c r="AK31" s="13">
        <f ca="1">VLOOKUP($B31,'[6]Analisys QBR By Machine Report'!$C$109:$BD$166,32,FALSE)</f>
        <v>0</v>
      </c>
      <c r="AL31" s="13">
        <f ca="1">VLOOKUP($B31,'[6]Analisys QBR By Machine Report'!$C$109:$BD$166,33,FALSE)</f>
        <v>1105</v>
      </c>
      <c r="AM31" s="13">
        <f ca="1">VLOOKUP($B31,'[6]Analisys QBR By Machine Report'!$C$109:$BD$166,34,FALSE)</f>
        <v>0</v>
      </c>
      <c r="AN31" s="13">
        <f ca="1">VLOOKUP($B31,'[6]Analisys QBR By Machine Report'!$C$109:$BD$166,35,FALSE)</f>
        <v>1020</v>
      </c>
      <c r="AO31" s="13">
        <f ca="1">VLOOKUP($B31,'[6]Analisys QBR By Machine Report'!$C$109:$BD$166,36,FALSE)</f>
        <v>0</v>
      </c>
      <c r="AP31" s="13">
        <f ca="1">VLOOKUP($B31,'[6]Analisys QBR By Machine Report'!$C$109:$BD$166,37,FALSE)</f>
        <v>40</v>
      </c>
      <c r="AQ31" s="13">
        <f ca="1">VLOOKUP($B31,'[6]Analisys QBR By Machine Report'!$C$109:$BD$166,38,FALSE)</f>
        <v>0</v>
      </c>
      <c r="AR31" s="13">
        <f ca="1">VLOOKUP($B31,'[6]Analisys QBR By Machine Report'!$C$109:$BD$166,39,FALSE)</f>
        <v>90</v>
      </c>
      <c r="AS31" s="13">
        <f ca="1">VLOOKUP($B31,'[6]Analisys QBR By Machine Report'!$C$109:$BD$166,40,FALSE)</f>
        <v>165</v>
      </c>
      <c r="AT31" s="13">
        <f ca="1">VLOOKUP($B31,'[6]Analisys QBR By Machine Report'!$C$109:$BD$166,41,FALSE)</f>
        <v>0</v>
      </c>
      <c r="AU31" s="13">
        <f ca="1">VLOOKUP($B31,'[6]Analisys QBR By Machine Report'!$C$109:$BD$166,42,FALSE)</f>
        <v>0</v>
      </c>
      <c r="AV31" s="13">
        <f ca="1">VLOOKUP($B31,'[6]Analisys QBR By Machine Report'!$C$109:$BD$166,43,FALSE)</f>
        <v>1145</v>
      </c>
      <c r="AW31" s="13">
        <f ca="1">VLOOKUP($B31,'[6]Analisys QBR By Machine Report'!$C$109:$BD$166,44,FALSE)</f>
        <v>0</v>
      </c>
      <c r="AX31" s="13">
        <f ca="1">VLOOKUP($B31,'[6]Analisys QBR By Machine Report'!$C$109:$BD$166,45,FALSE)</f>
        <v>0</v>
      </c>
      <c r="AY31" s="13">
        <f ca="1">VLOOKUP($B31,'[6]Analisys QBR By Machine Report'!$C$109:$BD$166,46,FALSE)</f>
        <v>0</v>
      </c>
      <c r="AZ31" s="13">
        <f ca="1">VLOOKUP($B31,'[6]Analisys QBR By Machine Report'!$C$109:$BD$166,47,FALSE)</f>
        <v>109</v>
      </c>
      <c r="BA31" s="13">
        <f ca="1">VLOOKUP($B31,'[6]Analisys QBR By Machine Report'!$C$109:$BD$166,48,FALSE)</f>
        <v>0</v>
      </c>
      <c r="BB31" s="13">
        <f ca="1">VLOOKUP($B31,'[6]Analisys QBR By Machine Report'!$C$109:$BD$166,49,FALSE)</f>
        <v>0</v>
      </c>
      <c r="BC31" s="13">
        <f ca="1">VLOOKUP($B31,'[6]Analisys QBR By Machine Report'!$C$109:$BD$166,50,FALSE)</f>
        <v>0</v>
      </c>
      <c r="BD31" s="13">
        <f ca="1">VLOOKUP($B31,'[6]Analisys QBR By Machine Report'!$C$109:$BD$166,51,FALSE)</f>
        <v>702688</v>
      </c>
      <c r="BE31" s="13">
        <f ca="1">VLOOKUP($B31,'[6]Analisys QBR By Machine Report'!$C$109:$BD$166,52,FALSE)</f>
        <v>193</v>
      </c>
      <c r="BF31" s="13">
        <f ca="1">VLOOKUP($B31,'[6]Analisys QBR By Machine Report'!$C$109:$BD$166,53,FALSE)</f>
        <v>702495</v>
      </c>
    </row>
    <row r="32" spans="1:58" x14ac:dyDescent="0.25">
      <c r="A32" s="9" t="s">
        <v>88</v>
      </c>
      <c r="B32" s="10">
        <f ca="1">VLOOKUP($B32,'[6]Analisys QBR By Machine Report'!$C$109:$BD$166,2,FALSE)</f>
        <v>84960</v>
      </c>
      <c r="C32" s="11">
        <f ca="1">VLOOKUP($B32,[6]Dasboard_QBR_Report!$B$109:$BL$166,3,FALSE)</f>
        <v>54870</v>
      </c>
      <c r="D32" s="10">
        <f ca="1">VLOOKUP($B32,'[6]Analisys QBR By Machine Report'!$C$109:$BD$166,3,FALSE)</f>
        <v>39191</v>
      </c>
      <c r="E32" s="11">
        <f ca="1">VLOOKUP($B32,[6]Dasboard_QBR_Report!$B$109:$BL$166,5,FALSE)</f>
        <v>9101</v>
      </c>
      <c r="F32" s="10">
        <f t="shared" ca="1" si="0"/>
        <v>45769</v>
      </c>
      <c r="G32" s="10">
        <f t="shared" ca="1" si="1"/>
        <v>9296</v>
      </c>
      <c r="H32" s="10">
        <f ca="1">VLOOKUP($B32,'[6]Analisys QBR By Machine Report'!$C$109:$BD$166,4,FALSE)</f>
        <v>8996</v>
      </c>
      <c r="I32" s="10">
        <f ca="1">VLOOKUP($B32,'[6]Analisys QBR By Machine Report'!$C$109:$BD$166,5,FALSE)</f>
        <v>7532</v>
      </c>
      <c r="J32" s="10">
        <f ca="1">VLOOKUP($B32,'[6]Analisys QBR By Machine Report'!$C$109:$BD$166,6,FALSE)</f>
        <v>1464</v>
      </c>
      <c r="K32" s="10">
        <f ca="1">VLOOKUP($B32,'[6]Analisys QBR By Machine Report'!$C$109:$BD$166,7,FALSE)</f>
        <v>300</v>
      </c>
      <c r="L32" s="10">
        <f ca="1">VLOOKUP($B32,'[6]Analisys QBR By Machine Report'!$C$109:$BD$166,8,FALSE)</f>
        <v>36473</v>
      </c>
      <c r="M32" s="10">
        <f ca="1">VLOOKUP($B32,'[6]Analisys QBR By Machine Report'!$C$109:$BD$166,9,FALSE)</f>
        <v>19140</v>
      </c>
      <c r="N32" s="10">
        <f ca="1">VLOOKUP($B32,[6]Dasboard_QBR_Report!$B$109:$BL$166,18,FALSE)</f>
        <v>17333</v>
      </c>
      <c r="O32" s="10">
        <f ca="1">VLOOKUP($B32,'[6]Analisys QBR By Machine Report'!$C$109:$BD$166,10,FALSE)</f>
        <v>551</v>
      </c>
      <c r="P32" s="10">
        <f ca="1">VLOOKUP($B32,'[6]Analisys QBR By Machine Report'!$C$109:$BD$166,11,FALSE)</f>
        <v>521</v>
      </c>
      <c r="Q32" s="10">
        <f ca="1">VLOOKUP($B32,'[6]Analisys QBR By Machine Report'!$C$109:$BD$166,12,FALSE)</f>
        <v>30</v>
      </c>
      <c r="R32" s="10">
        <f ca="1">VLOOKUP($B32,'[6]Analisys QBR By Machine Report'!$C$109:$BD$166,13,FALSE)</f>
        <v>0</v>
      </c>
      <c r="S32" s="10">
        <f ca="1">VLOOKUP($B32,'[6]Analisys QBR By Machine Report'!$C$109:$BD$166,14,FALSE)</f>
        <v>0</v>
      </c>
      <c r="T32" s="10">
        <f ca="1">VLOOKUP($B32,'[6]Analisys QBR By Machine Report'!$C$109:$BD$166,15,FALSE)</f>
        <v>232</v>
      </c>
      <c r="U32" s="10">
        <f ca="1">VLOOKUP($B32,'[6]Analisys QBR By Machine Report'!$C$109:$BD$166,16,FALSE)</f>
        <v>0</v>
      </c>
      <c r="V32" s="10">
        <f ca="1">VLOOKUP($B32,'[6]Analisys QBR By Machine Report'!$C$109:$BD$166,17,FALSE)</f>
        <v>0</v>
      </c>
      <c r="W32" s="10">
        <f ca="1">VLOOKUP($B32,'[6]Analisys QBR By Machine Report'!$C$109:$BD$166,18,FALSE)</f>
        <v>0</v>
      </c>
      <c r="X32" s="10">
        <f ca="1">VLOOKUP($B32,'[6]Analisys QBR By Machine Report'!$C$109:$BD$166,19,FALSE)</f>
        <v>232</v>
      </c>
      <c r="Y32" s="10">
        <f ca="1">VLOOKUP($B32,'[6]Analisys QBR By Machine Report'!$C$109:$BD$166,20,FALSE)</f>
        <v>0</v>
      </c>
      <c r="Z32" s="10">
        <f ca="1">VLOOKUP($B32,'[6]Analisys QBR By Machine Report'!$C$109:$BD$166,21,FALSE)</f>
        <v>8730</v>
      </c>
      <c r="AA32" s="10">
        <f ca="1">VLOOKUP($B32,'[6]Analisys QBR By Machine Report'!$C$109:$BD$166,22,FALSE)</f>
        <v>6901</v>
      </c>
      <c r="AB32" s="10">
        <f ca="1">VLOOKUP($B32,'[6]Analisys QBR By Machine Report'!$C$109:$BD$166,23,FALSE)</f>
        <v>1382</v>
      </c>
      <c r="AC32" s="10">
        <f ca="1">VLOOKUP($B32,'[6]Analisys QBR By Machine Report'!$C$109:$BD$166,24,FALSE)</f>
        <v>50</v>
      </c>
      <c r="AD32" s="10">
        <f ca="1">VLOOKUP($B32,'[6]Analisys QBR By Machine Report'!$C$109:$BD$166,25,FALSE)</f>
        <v>0</v>
      </c>
      <c r="AE32" s="10">
        <f ca="1">VLOOKUP($B32,'[6]Analisys QBR By Machine Report'!$C$109:$BD$166,26,FALSE)</f>
        <v>397</v>
      </c>
      <c r="AF32" s="10">
        <f ca="1">VLOOKUP($B32,'[6]Analisys QBR By Machine Report'!$C$109:$BD$166,27,FALSE)</f>
        <v>0</v>
      </c>
      <c r="AG32" s="10">
        <f ca="1">VLOOKUP($B32,'[6]Analisys QBR By Machine Report'!$C$109:$BD$166,28,FALSE)</f>
        <v>0</v>
      </c>
      <c r="AH32" s="10">
        <f ca="1">VLOOKUP($B32,'[6]Analisys QBR By Machine Report'!$C$109:$BD$166,29,FALSE)</f>
        <v>0</v>
      </c>
      <c r="AI32" s="10">
        <f ca="1">VLOOKUP($B32,'[6]Analisys QBR By Machine Report'!$C$109:$BD$166,30,FALSE)</f>
        <v>7820</v>
      </c>
      <c r="AJ32" s="10">
        <f ca="1">VLOOKUP($B32,'[6]Analisys QBR By Machine Report'!$C$109:$BD$166,31,FALSE)</f>
        <v>0</v>
      </c>
      <c r="AK32" s="10">
        <f ca="1">VLOOKUP($B32,'[6]Analisys QBR By Machine Report'!$C$109:$BD$166,32,FALSE)</f>
        <v>0</v>
      </c>
      <c r="AL32" s="10">
        <f ca="1">VLOOKUP($B32,'[6]Analisys QBR By Machine Report'!$C$109:$BD$166,33,FALSE)</f>
        <v>909</v>
      </c>
      <c r="AM32" s="10">
        <f ca="1">VLOOKUP($B32,'[6]Analisys QBR By Machine Report'!$C$109:$BD$166,34,FALSE)</f>
        <v>55</v>
      </c>
      <c r="AN32" s="10">
        <f ca="1">VLOOKUP($B32,'[6]Analisys QBR By Machine Report'!$C$109:$BD$166,35,FALSE)</f>
        <v>254</v>
      </c>
      <c r="AO32" s="10">
        <f ca="1">VLOOKUP($B32,'[6]Analisys QBR By Machine Report'!$C$109:$BD$166,36,FALSE)</f>
        <v>1051</v>
      </c>
      <c r="AP32" s="10">
        <f ca="1">VLOOKUP($B32,'[6]Analisys QBR By Machine Report'!$C$109:$BD$166,37,FALSE)</f>
        <v>0</v>
      </c>
      <c r="AQ32" s="10">
        <f ca="1">VLOOKUP($B32,'[6]Analisys QBR By Machine Report'!$C$109:$BD$166,38,FALSE)</f>
        <v>0</v>
      </c>
      <c r="AR32" s="10">
        <f ca="1">VLOOKUP($B32,'[6]Analisys QBR By Machine Report'!$C$109:$BD$166,39,FALSE)</f>
        <v>5313</v>
      </c>
      <c r="AS32" s="10">
        <f ca="1">VLOOKUP($B32,'[6]Analisys QBR By Machine Report'!$C$109:$BD$166,40,FALSE)</f>
        <v>238</v>
      </c>
      <c r="AT32" s="10">
        <f ca="1">VLOOKUP($B32,'[6]Analisys QBR By Machine Report'!$C$109:$BD$166,41,FALSE)</f>
        <v>0</v>
      </c>
      <c r="AU32" s="10">
        <f ca="1">VLOOKUP($B32,'[6]Analisys QBR By Machine Report'!$C$109:$BD$166,42,FALSE)</f>
        <v>0</v>
      </c>
      <c r="AV32" s="10">
        <f ca="1">VLOOKUP($B32,'[6]Analisys QBR By Machine Report'!$C$109:$BD$166,43,FALSE)</f>
        <v>0</v>
      </c>
      <c r="AW32" s="10">
        <f ca="1">VLOOKUP($B32,'[6]Analisys QBR By Machine Report'!$C$109:$BD$166,44,FALSE)</f>
        <v>0</v>
      </c>
      <c r="AX32" s="10">
        <f ca="1">VLOOKUP($B32,'[6]Analisys QBR By Machine Report'!$C$109:$BD$166,45,FALSE)</f>
        <v>0</v>
      </c>
      <c r="AY32" s="10">
        <f ca="1">VLOOKUP($B32,'[6]Analisys QBR By Machine Report'!$C$109:$BD$166,46,FALSE)</f>
        <v>0</v>
      </c>
      <c r="AZ32" s="10">
        <f ca="1">VLOOKUP($B32,'[6]Analisys QBR By Machine Report'!$C$109:$BD$166,47,FALSE)</f>
        <v>0</v>
      </c>
      <c r="BA32" s="10">
        <f ca="1">VLOOKUP($B32,'[6]Analisys QBR By Machine Report'!$C$109:$BD$166,48,FALSE)</f>
        <v>0</v>
      </c>
      <c r="BB32" s="10">
        <f ca="1">VLOOKUP($B32,'[6]Analisys QBR By Machine Report'!$C$109:$BD$166,49,FALSE)</f>
        <v>0</v>
      </c>
      <c r="BC32" s="10">
        <f ca="1">VLOOKUP($B32,'[6]Analisys QBR By Machine Report'!$C$109:$BD$166,50,FALSE)</f>
        <v>0</v>
      </c>
      <c r="BD32" s="10">
        <f ca="1">VLOOKUP($B32,'[6]Analisys QBR By Machine Report'!$C$109:$BD$166,51,FALSE)</f>
        <v>1447</v>
      </c>
      <c r="BE32" s="10">
        <f ca="1">VLOOKUP($B32,'[6]Analisys QBR By Machine Report'!$C$109:$BD$166,52,FALSE)</f>
        <v>0</v>
      </c>
      <c r="BF32" s="10">
        <f ca="1">VLOOKUP($B32,'[6]Analisys QBR By Machine Report'!$C$109:$BD$166,53,FALSE)</f>
        <v>1447</v>
      </c>
    </row>
    <row r="33" spans="1:58" x14ac:dyDescent="0.25">
      <c r="A33" s="12" t="s">
        <v>89</v>
      </c>
      <c r="B33" s="13">
        <f ca="1">VLOOKUP($B33,'[6]Analisys QBR By Machine Report'!$C$109:$BD$166,2,FALSE)</f>
        <v>28800</v>
      </c>
      <c r="C33" s="14">
        <f ca="1">VLOOKUP($B33,[6]Dasboard_QBR_Report!$B$109:$BL$166,3,FALSE)</f>
        <v>18600</v>
      </c>
      <c r="D33" s="13">
        <f ca="1">VLOOKUP($B33,'[6]Analisys QBR By Machine Report'!$C$109:$BD$166,3,FALSE)</f>
        <v>7350</v>
      </c>
      <c r="E33" s="14">
        <f ca="1">VLOOKUP($B33,[6]Dasboard_QBR_Report!$B$109:$BL$166,5,FALSE)</f>
        <v>-2850</v>
      </c>
      <c r="F33" s="13">
        <f t="shared" ca="1" si="0"/>
        <v>21450</v>
      </c>
      <c r="G33" s="13">
        <f t="shared" ca="1" si="1"/>
        <v>6791</v>
      </c>
      <c r="H33" s="13">
        <f ca="1">VLOOKUP($B33,'[6]Analisys QBR By Machine Report'!$C$109:$BD$166,4,FALSE)</f>
        <v>6641</v>
      </c>
      <c r="I33" s="13">
        <f ca="1">VLOOKUP($B33,'[6]Analisys QBR By Machine Report'!$C$109:$BD$166,5,FALSE)</f>
        <v>5702</v>
      </c>
      <c r="J33" s="13">
        <f ca="1">VLOOKUP($B33,'[6]Analisys QBR By Machine Report'!$C$109:$BD$166,6,FALSE)</f>
        <v>939</v>
      </c>
      <c r="K33" s="13">
        <f ca="1">VLOOKUP($B33,'[6]Analisys QBR By Machine Report'!$C$109:$BD$166,7,FALSE)</f>
        <v>150</v>
      </c>
      <c r="L33" s="13">
        <f ca="1">VLOOKUP($B33,'[6]Analisys QBR By Machine Report'!$C$109:$BD$166,8,FALSE)</f>
        <v>14659</v>
      </c>
      <c r="M33" s="13">
        <f ca="1">VLOOKUP($B33,'[6]Analisys QBR By Machine Report'!$C$109:$BD$166,9,FALSE)</f>
        <v>6842</v>
      </c>
      <c r="N33" s="13">
        <f ca="1">VLOOKUP($B33,[6]Dasboard_QBR_Report!$B$109:$BL$166,18,FALSE)</f>
        <v>7817</v>
      </c>
      <c r="O33" s="13">
        <f ca="1">VLOOKUP($B33,'[6]Analisys QBR By Machine Report'!$C$109:$BD$166,10,FALSE)</f>
        <v>192</v>
      </c>
      <c r="P33" s="13">
        <f ca="1">VLOOKUP($B33,'[6]Analisys QBR By Machine Report'!$C$109:$BD$166,11,FALSE)</f>
        <v>192</v>
      </c>
      <c r="Q33" s="13">
        <f ca="1">VLOOKUP($B33,'[6]Analisys QBR By Machine Report'!$C$109:$BD$166,12,FALSE)</f>
        <v>0</v>
      </c>
      <c r="R33" s="13">
        <f ca="1">VLOOKUP($B33,'[6]Analisys QBR By Machine Report'!$C$109:$BD$166,13,FALSE)</f>
        <v>0</v>
      </c>
      <c r="S33" s="13">
        <f ca="1">VLOOKUP($B33,'[6]Analisys QBR By Machine Report'!$C$109:$BD$166,14,FALSE)</f>
        <v>0</v>
      </c>
      <c r="T33" s="13">
        <f ca="1">VLOOKUP($B33,'[6]Analisys QBR By Machine Report'!$C$109:$BD$166,15,FALSE)</f>
        <v>89</v>
      </c>
      <c r="U33" s="13">
        <f ca="1">VLOOKUP($B33,'[6]Analisys QBR By Machine Report'!$C$109:$BD$166,16,FALSE)</f>
        <v>0</v>
      </c>
      <c r="V33" s="13">
        <f ca="1">VLOOKUP($B33,'[6]Analisys QBR By Machine Report'!$C$109:$BD$166,17,FALSE)</f>
        <v>0</v>
      </c>
      <c r="W33" s="13">
        <f ca="1">VLOOKUP($B33,'[6]Analisys QBR By Machine Report'!$C$109:$BD$166,18,FALSE)</f>
        <v>0</v>
      </c>
      <c r="X33" s="13">
        <f ca="1">VLOOKUP($B33,'[6]Analisys QBR By Machine Report'!$C$109:$BD$166,19,FALSE)</f>
        <v>89</v>
      </c>
      <c r="Y33" s="13">
        <f ca="1">VLOOKUP($B33,'[6]Analisys QBR By Machine Report'!$C$109:$BD$166,20,FALSE)</f>
        <v>0</v>
      </c>
      <c r="Z33" s="13">
        <f ca="1">VLOOKUP($B33,'[6]Analisys QBR By Machine Report'!$C$109:$BD$166,21,FALSE)</f>
        <v>2614</v>
      </c>
      <c r="AA33" s="13">
        <f ca="1">VLOOKUP($B33,'[6]Analisys QBR By Machine Report'!$C$109:$BD$166,22,FALSE)</f>
        <v>1537</v>
      </c>
      <c r="AB33" s="13">
        <f ca="1">VLOOKUP($B33,'[6]Analisys QBR By Machine Report'!$C$109:$BD$166,23,FALSE)</f>
        <v>1007</v>
      </c>
      <c r="AC33" s="13">
        <f ca="1">VLOOKUP($B33,'[6]Analisys QBR By Machine Report'!$C$109:$BD$166,24,FALSE)</f>
        <v>0</v>
      </c>
      <c r="AD33" s="13">
        <f ca="1">VLOOKUP($B33,'[6]Analisys QBR By Machine Report'!$C$109:$BD$166,25,FALSE)</f>
        <v>0</v>
      </c>
      <c r="AE33" s="13">
        <f ca="1">VLOOKUP($B33,'[6]Analisys QBR By Machine Report'!$C$109:$BD$166,26,FALSE)</f>
        <v>70</v>
      </c>
      <c r="AF33" s="13">
        <f ca="1">VLOOKUP($B33,'[6]Analisys QBR By Machine Report'!$C$109:$BD$166,27,FALSE)</f>
        <v>0</v>
      </c>
      <c r="AG33" s="13">
        <f ca="1">VLOOKUP($B33,'[6]Analisys QBR By Machine Report'!$C$109:$BD$166,28,FALSE)</f>
        <v>0</v>
      </c>
      <c r="AH33" s="13">
        <f ca="1">VLOOKUP($B33,'[6]Analisys QBR By Machine Report'!$C$109:$BD$166,29,FALSE)</f>
        <v>0</v>
      </c>
      <c r="AI33" s="13">
        <f ca="1">VLOOKUP($B33,'[6]Analisys QBR By Machine Report'!$C$109:$BD$166,30,FALSE)</f>
        <v>4922</v>
      </c>
      <c r="AJ33" s="13">
        <f ca="1">VLOOKUP($B33,'[6]Analisys QBR By Machine Report'!$C$109:$BD$166,31,FALSE)</f>
        <v>0</v>
      </c>
      <c r="AK33" s="13">
        <f ca="1">VLOOKUP($B33,'[6]Analisys QBR By Machine Report'!$C$109:$BD$166,32,FALSE)</f>
        <v>0</v>
      </c>
      <c r="AL33" s="13">
        <f ca="1">VLOOKUP($B33,'[6]Analisys QBR By Machine Report'!$C$109:$BD$166,33,FALSE)</f>
        <v>247</v>
      </c>
      <c r="AM33" s="13">
        <f ca="1">VLOOKUP($B33,'[6]Analisys QBR By Machine Report'!$C$109:$BD$166,34,FALSE)</f>
        <v>0</v>
      </c>
      <c r="AN33" s="13">
        <f ca="1">VLOOKUP($B33,'[6]Analisys QBR By Machine Report'!$C$109:$BD$166,35,FALSE)</f>
        <v>0</v>
      </c>
      <c r="AO33" s="13">
        <f ca="1">VLOOKUP($B33,'[6]Analisys QBR By Machine Report'!$C$109:$BD$166,36,FALSE)</f>
        <v>0</v>
      </c>
      <c r="AP33" s="13">
        <f ca="1">VLOOKUP($B33,'[6]Analisys QBR By Machine Report'!$C$109:$BD$166,37,FALSE)</f>
        <v>0</v>
      </c>
      <c r="AQ33" s="13">
        <f ca="1">VLOOKUP($B33,'[6]Analisys QBR By Machine Report'!$C$109:$BD$166,38,FALSE)</f>
        <v>0</v>
      </c>
      <c r="AR33" s="13">
        <f ca="1">VLOOKUP($B33,'[6]Analisys QBR By Machine Report'!$C$109:$BD$166,39,FALSE)</f>
        <v>4610</v>
      </c>
      <c r="AS33" s="13">
        <f ca="1">VLOOKUP($B33,'[6]Analisys QBR By Machine Report'!$C$109:$BD$166,40,FALSE)</f>
        <v>65</v>
      </c>
      <c r="AT33" s="13">
        <f ca="1">VLOOKUP($B33,'[6]Analisys QBR By Machine Report'!$C$109:$BD$166,41,FALSE)</f>
        <v>0</v>
      </c>
      <c r="AU33" s="13">
        <f ca="1">VLOOKUP($B33,'[6]Analisys QBR By Machine Report'!$C$109:$BD$166,42,FALSE)</f>
        <v>0</v>
      </c>
      <c r="AV33" s="13">
        <f ca="1">VLOOKUP($B33,'[6]Analisys QBR By Machine Report'!$C$109:$BD$166,43,FALSE)</f>
        <v>0</v>
      </c>
      <c r="AW33" s="13">
        <f ca="1">VLOOKUP($B33,'[6]Analisys QBR By Machine Report'!$C$109:$BD$166,44,FALSE)</f>
        <v>0</v>
      </c>
      <c r="AX33" s="13">
        <f ca="1">VLOOKUP($B33,'[6]Analisys QBR By Machine Report'!$C$109:$BD$166,45,FALSE)</f>
        <v>0</v>
      </c>
      <c r="AY33" s="13">
        <f ca="1">VLOOKUP($B33,'[6]Analisys QBR By Machine Report'!$C$109:$BD$166,46,FALSE)</f>
        <v>0</v>
      </c>
      <c r="AZ33" s="13">
        <f ca="1">VLOOKUP($B33,'[6]Analisys QBR By Machine Report'!$C$109:$BD$166,47,FALSE)</f>
        <v>0</v>
      </c>
      <c r="BA33" s="13">
        <f ca="1">VLOOKUP($B33,'[6]Analisys QBR By Machine Report'!$C$109:$BD$166,48,FALSE)</f>
        <v>0</v>
      </c>
      <c r="BB33" s="13">
        <f ca="1">VLOOKUP($B33,'[6]Analisys QBR By Machine Report'!$C$109:$BD$166,49,FALSE)</f>
        <v>0</v>
      </c>
      <c r="BC33" s="13">
        <f ca="1">VLOOKUP($B33,'[6]Analisys QBR By Machine Report'!$C$109:$BD$166,50,FALSE)</f>
        <v>0</v>
      </c>
      <c r="BD33" s="13">
        <f ca="1">VLOOKUP($B33,'[6]Analisys QBR By Machine Report'!$C$109:$BD$166,51,FALSE)</f>
        <v>577</v>
      </c>
      <c r="BE33" s="13">
        <f ca="1">VLOOKUP($B33,'[6]Analisys QBR By Machine Report'!$C$109:$BD$166,52,FALSE)</f>
        <v>0</v>
      </c>
      <c r="BF33" s="13">
        <f ca="1">VLOOKUP($B33,'[6]Analisys QBR By Machine Report'!$C$109:$BD$166,53,FALSE)</f>
        <v>577</v>
      </c>
    </row>
    <row r="34" spans="1:58" x14ac:dyDescent="0.25">
      <c r="A34" s="12" t="s">
        <v>90</v>
      </c>
      <c r="B34" s="13">
        <f ca="1">VLOOKUP($B34,'[6]Analisys QBR By Machine Report'!$C$109:$BD$166,2,FALSE)</f>
        <v>28800</v>
      </c>
      <c r="C34" s="14">
        <f ca="1">VLOOKUP($B34,[6]Dasboard_QBR_Report!$B$109:$BL$166,3,FALSE)</f>
        <v>18600</v>
      </c>
      <c r="D34" s="13">
        <f ca="1">VLOOKUP($B34,'[6]Analisys QBR By Machine Report'!$C$109:$BD$166,3,FALSE)</f>
        <v>9191</v>
      </c>
      <c r="E34" s="14">
        <f ca="1">VLOOKUP($B34,[6]Dasboard_QBR_Report!$B$109:$BL$166,5,FALSE)</f>
        <v>-1009</v>
      </c>
      <c r="F34" s="13">
        <f t="shared" ca="1" si="0"/>
        <v>19609</v>
      </c>
      <c r="G34" s="13">
        <f t="shared" ca="1" si="1"/>
        <v>1947</v>
      </c>
      <c r="H34" s="13">
        <f ca="1">VLOOKUP($B34,'[6]Analisys QBR By Machine Report'!$C$109:$BD$166,4,FALSE)</f>
        <v>1797</v>
      </c>
      <c r="I34" s="13">
        <f ca="1">VLOOKUP($B34,'[6]Analisys QBR By Machine Report'!$C$109:$BD$166,5,FALSE)</f>
        <v>1797</v>
      </c>
      <c r="J34" s="13">
        <f ca="1">VLOOKUP($B34,'[6]Analisys QBR By Machine Report'!$C$109:$BD$166,6,FALSE)</f>
        <v>0</v>
      </c>
      <c r="K34" s="13">
        <f ca="1">VLOOKUP($B34,'[6]Analisys QBR By Machine Report'!$C$109:$BD$166,7,FALSE)</f>
        <v>150</v>
      </c>
      <c r="L34" s="13">
        <f ca="1">VLOOKUP($B34,'[6]Analisys QBR By Machine Report'!$C$109:$BD$166,8,FALSE)</f>
        <v>17662</v>
      </c>
      <c r="M34" s="13">
        <f ca="1">VLOOKUP($B34,'[6]Analisys QBR By Machine Report'!$C$109:$BD$166,9,FALSE)</f>
        <v>11845</v>
      </c>
      <c r="N34" s="13">
        <f ca="1">VLOOKUP($B34,[6]Dasboard_QBR_Report!$B$109:$BL$166,18,FALSE)</f>
        <v>5817</v>
      </c>
      <c r="O34" s="13">
        <f ca="1">VLOOKUP($B34,'[6]Analisys QBR By Machine Report'!$C$109:$BD$166,10,FALSE)</f>
        <v>41</v>
      </c>
      <c r="P34" s="13">
        <f ca="1">VLOOKUP($B34,'[6]Analisys QBR By Machine Report'!$C$109:$BD$166,11,FALSE)</f>
        <v>41</v>
      </c>
      <c r="Q34" s="13">
        <f ca="1">VLOOKUP($B34,'[6]Analisys QBR By Machine Report'!$C$109:$BD$166,12,FALSE)</f>
        <v>0</v>
      </c>
      <c r="R34" s="13">
        <f ca="1">VLOOKUP($B34,'[6]Analisys QBR By Machine Report'!$C$109:$BD$166,13,FALSE)</f>
        <v>0</v>
      </c>
      <c r="S34" s="13">
        <f ca="1">VLOOKUP($B34,'[6]Analisys QBR By Machine Report'!$C$109:$BD$166,14,FALSE)</f>
        <v>0</v>
      </c>
      <c r="T34" s="13">
        <f ca="1">VLOOKUP($B34,'[6]Analisys QBR By Machine Report'!$C$109:$BD$166,15,FALSE)</f>
        <v>143</v>
      </c>
      <c r="U34" s="13">
        <f ca="1">VLOOKUP($B34,'[6]Analisys QBR By Machine Report'!$C$109:$BD$166,16,FALSE)</f>
        <v>0</v>
      </c>
      <c r="V34" s="13">
        <f ca="1">VLOOKUP($B34,'[6]Analisys QBR By Machine Report'!$C$109:$BD$166,17,FALSE)</f>
        <v>0</v>
      </c>
      <c r="W34" s="13">
        <f ca="1">VLOOKUP($B34,'[6]Analisys QBR By Machine Report'!$C$109:$BD$166,18,FALSE)</f>
        <v>0</v>
      </c>
      <c r="X34" s="13">
        <f ca="1">VLOOKUP($B34,'[6]Analisys QBR By Machine Report'!$C$109:$BD$166,19,FALSE)</f>
        <v>143</v>
      </c>
      <c r="Y34" s="13">
        <f ca="1">VLOOKUP($B34,'[6]Analisys QBR By Machine Report'!$C$109:$BD$166,20,FALSE)</f>
        <v>0</v>
      </c>
      <c r="Z34" s="13">
        <f ca="1">VLOOKUP($B34,'[6]Analisys QBR By Machine Report'!$C$109:$BD$166,21,FALSE)</f>
        <v>5136</v>
      </c>
      <c r="AA34" s="13">
        <f ca="1">VLOOKUP($B34,'[6]Analisys QBR By Machine Report'!$C$109:$BD$166,22,FALSE)</f>
        <v>4799</v>
      </c>
      <c r="AB34" s="13">
        <f ca="1">VLOOKUP($B34,'[6]Analisys QBR By Machine Report'!$C$109:$BD$166,23,FALSE)</f>
        <v>265</v>
      </c>
      <c r="AC34" s="13">
        <f ca="1">VLOOKUP($B34,'[6]Analisys QBR By Machine Report'!$C$109:$BD$166,24,FALSE)</f>
        <v>0</v>
      </c>
      <c r="AD34" s="13">
        <f ca="1">VLOOKUP($B34,'[6]Analisys QBR By Machine Report'!$C$109:$BD$166,25,FALSE)</f>
        <v>0</v>
      </c>
      <c r="AE34" s="13">
        <f ca="1">VLOOKUP($B34,'[6]Analisys QBR By Machine Report'!$C$109:$BD$166,26,FALSE)</f>
        <v>72</v>
      </c>
      <c r="AF34" s="13">
        <f ca="1">VLOOKUP($B34,'[6]Analisys QBR By Machine Report'!$C$109:$BD$166,27,FALSE)</f>
        <v>0</v>
      </c>
      <c r="AG34" s="13">
        <f ca="1">VLOOKUP($B34,'[6]Analisys QBR By Machine Report'!$C$109:$BD$166,28,FALSE)</f>
        <v>0</v>
      </c>
      <c r="AH34" s="13">
        <f ca="1">VLOOKUP($B34,'[6]Analisys QBR By Machine Report'!$C$109:$BD$166,29,FALSE)</f>
        <v>0</v>
      </c>
      <c r="AI34" s="13">
        <f ca="1">VLOOKUP($B34,'[6]Analisys QBR By Machine Report'!$C$109:$BD$166,30,FALSE)</f>
        <v>497</v>
      </c>
      <c r="AJ34" s="13">
        <f ca="1">VLOOKUP($B34,'[6]Analisys QBR By Machine Report'!$C$109:$BD$166,31,FALSE)</f>
        <v>0</v>
      </c>
      <c r="AK34" s="13">
        <f ca="1">VLOOKUP($B34,'[6]Analisys QBR By Machine Report'!$C$109:$BD$166,32,FALSE)</f>
        <v>0</v>
      </c>
      <c r="AL34" s="13">
        <f ca="1">VLOOKUP($B34,'[6]Analisys QBR By Machine Report'!$C$109:$BD$166,33,FALSE)</f>
        <v>422</v>
      </c>
      <c r="AM34" s="13">
        <f ca="1">VLOOKUP($B34,'[6]Analisys QBR By Machine Report'!$C$109:$BD$166,34,FALSE)</f>
        <v>0</v>
      </c>
      <c r="AN34" s="13">
        <f ca="1">VLOOKUP($B34,'[6]Analisys QBR By Machine Report'!$C$109:$BD$166,35,FALSE)</f>
        <v>60</v>
      </c>
      <c r="AO34" s="13">
        <f ca="1">VLOOKUP($B34,'[6]Analisys QBR By Machine Report'!$C$109:$BD$166,36,FALSE)</f>
        <v>0</v>
      </c>
      <c r="AP34" s="13">
        <f ca="1">VLOOKUP($B34,'[6]Analisys QBR By Machine Report'!$C$109:$BD$166,37,FALSE)</f>
        <v>0</v>
      </c>
      <c r="AQ34" s="13">
        <f ca="1">VLOOKUP($B34,'[6]Analisys QBR By Machine Report'!$C$109:$BD$166,38,FALSE)</f>
        <v>0</v>
      </c>
      <c r="AR34" s="13">
        <f ca="1">VLOOKUP($B34,'[6]Analisys QBR By Machine Report'!$C$109:$BD$166,39,FALSE)</f>
        <v>0</v>
      </c>
      <c r="AS34" s="13">
        <f ca="1">VLOOKUP($B34,'[6]Analisys QBR By Machine Report'!$C$109:$BD$166,40,FALSE)</f>
        <v>15</v>
      </c>
      <c r="AT34" s="13">
        <f ca="1">VLOOKUP($B34,'[6]Analisys QBR By Machine Report'!$C$109:$BD$166,41,FALSE)</f>
        <v>0</v>
      </c>
      <c r="AU34" s="13">
        <f ca="1">VLOOKUP($B34,'[6]Analisys QBR By Machine Report'!$C$109:$BD$166,42,FALSE)</f>
        <v>0</v>
      </c>
      <c r="AV34" s="13">
        <f ca="1">VLOOKUP($B34,'[6]Analisys QBR By Machine Report'!$C$109:$BD$166,43,FALSE)</f>
        <v>0</v>
      </c>
      <c r="AW34" s="13">
        <f ca="1">VLOOKUP($B34,'[6]Analisys QBR By Machine Report'!$C$109:$BD$166,44,FALSE)</f>
        <v>0</v>
      </c>
      <c r="AX34" s="13">
        <f ca="1">VLOOKUP($B34,'[6]Analisys QBR By Machine Report'!$C$109:$BD$166,45,FALSE)</f>
        <v>0</v>
      </c>
      <c r="AY34" s="13">
        <f ca="1">VLOOKUP($B34,'[6]Analisys QBR By Machine Report'!$C$109:$BD$166,46,FALSE)</f>
        <v>0</v>
      </c>
      <c r="AZ34" s="13">
        <f ca="1">VLOOKUP($B34,'[6]Analisys QBR By Machine Report'!$C$109:$BD$166,47,FALSE)</f>
        <v>0</v>
      </c>
      <c r="BA34" s="13">
        <f ca="1">VLOOKUP($B34,'[6]Analisys QBR By Machine Report'!$C$109:$BD$166,48,FALSE)</f>
        <v>0</v>
      </c>
      <c r="BB34" s="13">
        <f ca="1">VLOOKUP($B34,'[6]Analisys QBR By Machine Report'!$C$109:$BD$166,49,FALSE)</f>
        <v>0</v>
      </c>
      <c r="BC34" s="13">
        <f ca="1">VLOOKUP($B34,'[6]Analisys QBR By Machine Report'!$C$109:$BD$166,50,FALSE)</f>
        <v>0</v>
      </c>
      <c r="BD34" s="13">
        <f ca="1">VLOOKUP($B34,'[6]Analisys QBR By Machine Report'!$C$109:$BD$166,51,FALSE)</f>
        <v>858</v>
      </c>
      <c r="BE34" s="13">
        <f ca="1">VLOOKUP($B34,'[6]Analisys QBR By Machine Report'!$C$109:$BD$166,52,FALSE)</f>
        <v>0</v>
      </c>
      <c r="BF34" s="13">
        <f ca="1">VLOOKUP($B34,'[6]Analisys QBR By Machine Report'!$C$109:$BD$166,53,FALSE)</f>
        <v>858</v>
      </c>
    </row>
    <row r="35" spans="1:58" x14ac:dyDescent="0.25">
      <c r="A35" s="12" t="s">
        <v>91</v>
      </c>
      <c r="B35" s="13">
        <f ca="1">VLOOKUP($B35,'[6]Analisys QBR By Machine Report'!$C$109:$BD$166,2,FALSE)</f>
        <v>27360</v>
      </c>
      <c r="C35" s="14">
        <f ca="1">VLOOKUP($B35,[6]Dasboard_QBR_Report!$B$109:$BL$166,3,FALSE)</f>
        <v>17670</v>
      </c>
      <c r="D35" s="13">
        <f ca="1">VLOOKUP($B35,'[6]Analisys QBR By Machine Report'!$C$109:$BD$166,3,FALSE)</f>
        <v>22650</v>
      </c>
      <c r="E35" s="14">
        <f ca="1">VLOOKUP($B35,[6]Dasboard_QBR_Report!$B$109:$BL$166,5,FALSE)</f>
        <v>12960</v>
      </c>
      <c r="F35" s="13">
        <f t="shared" ca="1" si="0"/>
        <v>4710</v>
      </c>
      <c r="G35" s="13">
        <f t="shared" ca="1" si="1"/>
        <v>558</v>
      </c>
      <c r="H35" s="13">
        <f ca="1">VLOOKUP($B35,'[6]Analisys QBR By Machine Report'!$C$109:$BD$166,4,FALSE)</f>
        <v>558</v>
      </c>
      <c r="I35" s="13">
        <f ca="1">VLOOKUP($B35,'[6]Analisys QBR By Machine Report'!$C$109:$BD$166,5,FALSE)</f>
        <v>33</v>
      </c>
      <c r="J35" s="13">
        <f ca="1">VLOOKUP($B35,'[6]Analisys QBR By Machine Report'!$C$109:$BD$166,6,FALSE)</f>
        <v>525</v>
      </c>
      <c r="K35" s="13">
        <f ca="1">VLOOKUP($B35,'[6]Analisys QBR By Machine Report'!$C$109:$BD$166,7,FALSE)</f>
        <v>0</v>
      </c>
      <c r="L35" s="13">
        <f ca="1">VLOOKUP($B35,'[6]Analisys QBR By Machine Report'!$C$109:$BD$166,8,FALSE)</f>
        <v>4152</v>
      </c>
      <c r="M35" s="13">
        <f ca="1">VLOOKUP($B35,'[6]Analisys QBR By Machine Report'!$C$109:$BD$166,9,FALSE)</f>
        <v>453</v>
      </c>
      <c r="N35" s="13">
        <f ca="1">VLOOKUP($B35,[6]Dasboard_QBR_Report!$B$109:$BL$166,18,FALSE)</f>
        <v>3699</v>
      </c>
      <c r="O35" s="13">
        <f ca="1">VLOOKUP($B35,'[6]Analisys QBR By Machine Report'!$C$109:$BD$166,10,FALSE)</f>
        <v>318</v>
      </c>
      <c r="P35" s="13">
        <f ca="1">VLOOKUP($B35,'[6]Analisys QBR By Machine Report'!$C$109:$BD$166,11,FALSE)</f>
        <v>288</v>
      </c>
      <c r="Q35" s="13">
        <f ca="1">VLOOKUP($B35,'[6]Analisys QBR By Machine Report'!$C$109:$BD$166,12,FALSE)</f>
        <v>30</v>
      </c>
      <c r="R35" s="13">
        <f ca="1">VLOOKUP($B35,'[6]Analisys QBR By Machine Report'!$C$109:$BD$166,13,FALSE)</f>
        <v>0</v>
      </c>
      <c r="S35" s="13">
        <f ca="1">VLOOKUP($B35,'[6]Analisys QBR By Machine Report'!$C$109:$BD$166,14,FALSE)</f>
        <v>0</v>
      </c>
      <c r="T35" s="13">
        <f ca="1">VLOOKUP($B35,'[6]Analisys QBR By Machine Report'!$C$109:$BD$166,15,FALSE)</f>
        <v>0</v>
      </c>
      <c r="U35" s="13">
        <f ca="1">VLOOKUP($B35,'[6]Analisys QBR By Machine Report'!$C$109:$BD$166,16,FALSE)</f>
        <v>0</v>
      </c>
      <c r="V35" s="13">
        <f ca="1">VLOOKUP($B35,'[6]Analisys QBR By Machine Report'!$C$109:$BD$166,17,FALSE)</f>
        <v>0</v>
      </c>
      <c r="W35" s="13">
        <f ca="1">VLOOKUP($B35,'[6]Analisys QBR By Machine Report'!$C$109:$BD$166,18,FALSE)</f>
        <v>0</v>
      </c>
      <c r="X35" s="13">
        <f ca="1">VLOOKUP($B35,'[6]Analisys QBR By Machine Report'!$C$109:$BD$166,19,FALSE)</f>
        <v>0</v>
      </c>
      <c r="Y35" s="13">
        <f ca="1">VLOOKUP($B35,'[6]Analisys QBR By Machine Report'!$C$109:$BD$166,20,FALSE)</f>
        <v>0</v>
      </c>
      <c r="Z35" s="13">
        <f ca="1">VLOOKUP($B35,'[6]Analisys QBR By Machine Report'!$C$109:$BD$166,21,FALSE)</f>
        <v>980</v>
      </c>
      <c r="AA35" s="13">
        <f ca="1">VLOOKUP($B35,'[6]Analisys QBR By Machine Report'!$C$109:$BD$166,22,FALSE)</f>
        <v>565</v>
      </c>
      <c r="AB35" s="13">
        <f ca="1">VLOOKUP($B35,'[6]Analisys QBR By Machine Report'!$C$109:$BD$166,23,FALSE)</f>
        <v>110</v>
      </c>
      <c r="AC35" s="13">
        <f ca="1">VLOOKUP($B35,'[6]Analisys QBR By Machine Report'!$C$109:$BD$166,24,FALSE)</f>
        <v>50</v>
      </c>
      <c r="AD35" s="13">
        <f ca="1">VLOOKUP($B35,'[6]Analisys QBR By Machine Report'!$C$109:$BD$166,25,FALSE)</f>
        <v>0</v>
      </c>
      <c r="AE35" s="13">
        <f ca="1">VLOOKUP($B35,'[6]Analisys QBR By Machine Report'!$C$109:$BD$166,26,FALSE)</f>
        <v>255</v>
      </c>
      <c r="AF35" s="13">
        <f ca="1">VLOOKUP($B35,'[6]Analisys QBR By Machine Report'!$C$109:$BD$166,27,FALSE)</f>
        <v>0</v>
      </c>
      <c r="AG35" s="13">
        <f ca="1">VLOOKUP($B35,'[6]Analisys QBR By Machine Report'!$C$109:$BD$166,28,FALSE)</f>
        <v>0</v>
      </c>
      <c r="AH35" s="13">
        <f ca="1">VLOOKUP($B35,'[6]Analisys QBR By Machine Report'!$C$109:$BD$166,29,FALSE)</f>
        <v>0</v>
      </c>
      <c r="AI35" s="13">
        <f ca="1">VLOOKUP($B35,'[6]Analisys QBR By Machine Report'!$C$109:$BD$166,30,FALSE)</f>
        <v>2401</v>
      </c>
      <c r="AJ35" s="13">
        <f ca="1">VLOOKUP($B35,'[6]Analisys QBR By Machine Report'!$C$109:$BD$166,31,FALSE)</f>
        <v>0</v>
      </c>
      <c r="AK35" s="13">
        <f ca="1">VLOOKUP($B35,'[6]Analisys QBR By Machine Report'!$C$109:$BD$166,32,FALSE)</f>
        <v>0</v>
      </c>
      <c r="AL35" s="13">
        <f ca="1">VLOOKUP($B35,'[6]Analisys QBR By Machine Report'!$C$109:$BD$166,33,FALSE)</f>
        <v>240</v>
      </c>
      <c r="AM35" s="13">
        <f ca="1">VLOOKUP($B35,'[6]Analisys QBR By Machine Report'!$C$109:$BD$166,34,FALSE)</f>
        <v>55</v>
      </c>
      <c r="AN35" s="13">
        <f ca="1">VLOOKUP($B35,'[6]Analisys QBR By Machine Report'!$C$109:$BD$166,35,FALSE)</f>
        <v>194</v>
      </c>
      <c r="AO35" s="13">
        <f ca="1">VLOOKUP($B35,'[6]Analisys QBR By Machine Report'!$C$109:$BD$166,36,FALSE)</f>
        <v>1051</v>
      </c>
      <c r="AP35" s="13">
        <f ca="1">VLOOKUP($B35,'[6]Analisys QBR By Machine Report'!$C$109:$BD$166,37,FALSE)</f>
        <v>0</v>
      </c>
      <c r="AQ35" s="13">
        <f ca="1">VLOOKUP($B35,'[6]Analisys QBR By Machine Report'!$C$109:$BD$166,38,FALSE)</f>
        <v>0</v>
      </c>
      <c r="AR35" s="13">
        <f ca="1">VLOOKUP($B35,'[6]Analisys QBR By Machine Report'!$C$109:$BD$166,39,FALSE)</f>
        <v>703</v>
      </c>
      <c r="AS35" s="13">
        <f ca="1">VLOOKUP($B35,'[6]Analisys QBR By Machine Report'!$C$109:$BD$166,40,FALSE)</f>
        <v>158</v>
      </c>
      <c r="AT35" s="13">
        <f ca="1">VLOOKUP($B35,'[6]Analisys QBR By Machine Report'!$C$109:$BD$166,41,FALSE)</f>
        <v>0</v>
      </c>
      <c r="AU35" s="13">
        <f ca="1">VLOOKUP($B35,'[6]Analisys QBR By Machine Report'!$C$109:$BD$166,42,FALSE)</f>
        <v>0</v>
      </c>
      <c r="AV35" s="13">
        <f ca="1">VLOOKUP($B35,'[6]Analisys QBR By Machine Report'!$C$109:$BD$166,43,FALSE)</f>
        <v>0</v>
      </c>
      <c r="AW35" s="13">
        <f ca="1">VLOOKUP($B35,'[6]Analisys QBR By Machine Report'!$C$109:$BD$166,44,FALSE)</f>
        <v>0</v>
      </c>
      <c r="AX35" s="13">
        <f ca="1">VLOOKUP($B35,'[6]Analisys QBR By Machine Report'!$C$109:$BD$166,45,FALSE)</f>
        <v>0</v>
      </c>
      <c r="AY35" s="13">
        <f ca="1">VLOOKUP($B35,'[6]Analisys QBR By Machine Report'!$C$109:$BD$166,46,FALSE)</f>
        <v>0</v>
      </c>
      <c r="AZ35" s="13">
        <f ca="1">VLOOKUP($B35,'[6]Analisys QBR By Machine Report'!$C$109:$BD$166,47,FALSE)</f>
        <v>0</v>
      </c>
      <c r="BA35" s="13">
        <f ca="1">VLOOKUP($B35,'[6]Analisys QBR By Machine Report'!$C$109:$BD$166,48,FALSE)</f>
        <v>0</v>
      </c>
      <c r="BB35" s="13">
        <f ca="1">VLOOKUP($B35,'[6]Analisys QBR By Machine Report'!$C$109:$BD$166,49,FALSE)</f>
        <v>0</v>
      </c>
      <c r="BC35" s="13">
        <f ca="1">VLOOKUP($B35,'[6]Analisys QBR By Machine Report'!$C$109:$BD$166,50,FALSE)</f>
        <v>0</v>
      </c>
      <c r="BD35" s="13">
        <f ca="1">VLOOKUP($B35,'[6]Analisys QBR By Machine Report'!$C$109:$BD$166,51,FALSE)</f>
        <v>12</v>
      </c>
      <c r="BE35" s="13">
        <f ca="1">VLOOKUP($B35,'[6]Analisys QBR By Machine Report'!$C$109:$BD$166,52,FALSE)</f>
        <v>0</v>
      </c>
      <c r="BF35" s="13">
        <f ca="1">VLOOKUP($B35,'[6]Analisys QBR By Machine Report'!$C$109:$BD$166,53,FALSE)</f>
        <v>12</v>
      </c>
    </row>
    <row r="36" spans="1:58" x14ac:dyDescent="0.25">
      <c r="A36" s="9" t="s">
        <v>92</v>
      </c>
      <c r="B36" s="10">
        <f ca="1">VLOOKUP($B36,'[6]Analisys QBR By Machine Report'!$C$109:$BD$166,2,FALSE)</f>
        <v>167040</v>
      </c>
      <c r="C36" s="11">
        <f ca="1">VLOOKUP($B36,[6]Dasboard_QBR_Report!$B$109:$BL$166,3,FALSE)</f>
        <v>64230</v>
      </c>
      <c r="D36" s="10">
        <f ca="1">VLOOKUP($B36,'[6]Analisys QBR By Machine Report'!$C$109:$BD$166,3,FALSE)</f>
        <v>112290</v>
      </c>
      <c r="E36" s="11">
        <f ca="1">VLOOKUP($B36,[6]Dasboard_QBR_Report!$B$109:$BL$166,5,FALSE)</f>
        <v>9480</v>
      </c>
      <c r="F36" s="10">
        <f t="shared" ca="1" si="0"/>
        <v>54750</v>
      </c>
      <c r="G36" s="10">
        <f t="shared" ca="1" si="1"/>
        <v>5330</v>
      </c>
      <c r="H36" s="10">
        <f ca="1">VLOOKUP($B36,'[6]Analisys QBR By Machine Report'!$C$109:$BD$166,4,FALSE)</f>
        <v>5330</v>
      </c>
      <c r="I36" s="10">
        <f ca="1">VLOOKUP($B36,'[6]Analisys QBR By Machine Report'!$C$109:$BD$166,5,FALSE)</f>
        <v>2085</v>
      </c>
      <c r="J36" s="10">
        <f ca="1">VLOOKUP($B36,'[6]Analisys QBR By Machine Report'!$C$109:$BD$166,6,FALSE)</f>
        <v>3245</v>
      </c>
      <c r="K36" s="10">
        <f ca="1">VLOOKUP($B36,'[6]Analisys QBR By Machine Report'!$C$109:$BD$166,7,FALSE)</f>
        <v>0</v>
      </c>
      <c r="L36" s="10">
        <f ca="1">VLOOKUP($B36,'[6]Analisys QBR By Machine Report'!$C$109:$BD$166,8,FALSE)</f>
        <v>49420</v>
      </c>
      <c r="M36" s="10">
        <f ca="1">VLOOKUP($B36,'[6]Analisys QBR By Machine Report'!$C$109:$BD$166,9,FALSE)</f>
        <v>31575</v>
      </c>
      <c r="N36" s="10">
        <f ca="1">VLOOKUP($B36,[6]Dasboard_QBR_Report!$B$109:$BL$166,18,FALSE)</f>
        <v>17845</v>
      </c>
      <c r="O36" s="10">
        <f ca="1">VLOOKUP($B36,'[6]Analisys QBR By Machine Report'!$C$109:$BD$166,10,FALSE)</f>
        <v>2770</v>
      </c>
      <c r="P36" s="10">
        <f ca="1">VLOOKUP($B36,'[6]Analisys QBR By Machine Report'!$C$109:$BD$166,11,FALSE)</f>
        <v>2019</v>
      </c>
      <c r="Q36" s="10">
        <f ca="1">VLOOKUP($B36,'[6]Analisys QBR By Machine Report'!$C$109:$BD$166,12,FALSE)</f>
        <v>191</v>
      </c>
      <c r="R36" s="10">
        <f ca="1">VLOOKUP($B36,'[6]Analisys QBR By Machine Report'!$C$109:$BD$166,13,FALSE)</f>
        <v>122</v>
      </c>
      <c r="S36" s="10">
        <f ca="1">VLOOKUP($B36,'[6]Analisys QBR By Machine Report'!$C$109:$BD$166,14,FALSE)</f>
        <v>438</v>
      </c>
      <c r="T36" s="10">
        <f ca="1">VLOOKUP($B36,'[6]Analisys QBR By Machine Report'!$C$109:$BD$166,15,FALSE)</f>
        <v>847</v>
      </c>
      <c r="U36" s="10">
        <f ca="1">VLOOKUP($B36,'[6]Analisys QBR By Machine Report'!$C$109:$BD$166,16,FALSE)</f>
        <v>257</v>
      </c>
      <c r="V36" s="10">
        <f ca="1">VLOOKUP($B36,'[6]Analisys QBR By Machine Report'!$C$109:$BD$166,17,FALSE)</f>
        <v>385</v>
      </c>
      <c r="W36" s="10">
        <f ca="1">VLOOKUP($B36,'[6]Analisys QBR By Machine Report'!$C$109:$BD$166,18,FALSE)</f>
        <v>0</v>
      </c>
      <c r="X36" s="10">
        <f ca="1">VLOOKUP($B36,'[6]Analisys QBR By Machine Report'!$C$109:$BD$166,19,FALSE)</f>
        <v>205</v>
      </c>
      <c r="Y36" s="10">
        <f ca="1">VLOOKUP($B36,'[6]Analisys QBR By Machine Report'!$C$109:$BD$166,20,FALSE)</f>
        <v>0</v>
      </c>
      <c r="Z36" s="10">
        <f ca="1">VLOOKUP($B36,'[6]Analisys QBR By Machine Report'!$C$109:$BD$166,21,FALSE)</f>
        <v>4578</v>
      </c>
      <c r="AA36" s="10">
        <f ca="1">VLOOKUP($B36,'[6]Analisys QBR By Machine Report'!$C$109:$BD$166,22,FALSE)</f>
        <v>2284</v>
      </c>
      <c r="AB36" s="10">
        <f ca="1">VLOOKUP($B36,'[6]Analisys QBR By Machine Report'!$C$109:$BD$166,23,FALSE)</f>
        <v>2130</v>
      </c>
      <c r="AC36" s="10">
        <f ca="1">VLOOKUP($B36,'[6]Analisys QBR By Machine Report'!$C$109:$BD$166,24,FALSE)</f>
        <v>0</v>
      </c>
      <c r="AD36" s="10">
        <f ca="1">VLOOKUP($B36,'[6]Analisys QBR By Machine Report'!$C$109:$BD$166,25,FALSE)</f>
        <v>0</v>
      </c>
      <c r="AE36" s="10">
        <f ca="1">VLOOKUP($B36,'[6]Analisys QBR By Machine Report'!$C$109:$BD$166,26,FALSE)</f>
        <v>164</v>
      </c>
      <c r="AF36" s="10">
        <f ca="1">VLOOKUP($B36,'[6]Analisys QBR By Machine Report'!$C$109:$BD$166,27,FALSE)</f>
        <v>40</v>
      </c>
      <c r="AG36" s="10">
        <f ca="1">VLOOKUP($B36,'[6]Analisys QBR By Machine Report'!$C$109:$BD$166,28,FALSE)</f>
        <v>0</v>
      </c>
      <c r="AH36" s="10">
        <f ca="1">VLOOKUP($B36,'[6]Analisys QBR By Machine Report'!$C$109:$BD$166,29,FALSE)</f>
        <v>40</v>
      </c>
      <c r="AI36" s="10">
        <f ca="1">VLOOKUP($B36,'[6]Analisys QBR By Machine Report'!$C$109:$BD$166,30,FALSE)</f>
        <v>9610</v>
      </c>
      <c r="AJ36" s="10">
        <f ca="1">VLOOKUP($B36,'[6]Analisys QBR By Machine Report'!$C$109:$BD$166,31,FALSE)</f>
        <v>0</v>
      </c>
      <c r="AK36" s="10">
        <f ca="1">VLOOKUP($B36,'[6]Analisys QBR By Machine Report'!$C$109:$BD$166,32,FALSE)</f>
        <v>150</v>
      </c>
      <c r="AL36" s="10">
        <f ca="1">VLOOKUP($B36,'[6]Analisys QBR By Machine Report'!$C$109:$BD$166,33,FALSE)</f>
        <v>2975</v>
      </c>
      <c r="AM36" s="10">
        <f ca="1">VLOOKUP($B36,'[6]Analisys QBR By Machine Report'!$C$109:$BD$166,34,FALSE)</f>
        <v>0</v>
      </c>
      <c r="AN36" s="10">
        <f ca="1">VLOOKUP($B36,'[6]Analisys QBR By Machine Report'!$C$109:$BD$166,35,FALSE)</f>
        <v>1800</v>
      </c>
      <c r="AO36" s="10">
        <f ca="1">VLOOKUP($B36,'[6]Analisys QBR By Machine Report'!$C$109:$BD$166,36,FALSE)</f>
        <v>1170</v>
      </c>
      <c r="AP36" s="10">
        <f ca="1">VLOOKUP($B36,'[6]Analisys QBR By Machine Report'!$C$109:$BD$166,37,FALSE)</f>
        <v>0</v>
      </c>
      <c r="AQ36" s="10">
        <f ca="1">VLOOKUP($B36,'[6]Analisys QBR By Machine Report'!$C$109:$BD$166,38,FALSE)</f>
        <v>0</v>
      </c>
      <c r="AR36" s="10">
        <f ca="1">VLOOKUP($B36,'[6]Analisys QBR By Machine Report'!$C$109:$BD$166,39,FALSE)</f>
        <v>825</v>
      </c>
      <c r="AS36" s="10">
        <f ca="1">VLOOKUP($B36,'[6]Analisys QBR By Machine Report'!$C$109:$BD$166,40,FALSE)</f>
        <v>768</v>
      </c>
      <c r="AT36" s="10">
        <f ca="1">VLOOKUP($B36,'[6]Analisys QBR By Machine Report'!$C$109:$BD$166,41,FALSE)</f>
        <v>0</v>
      </c>
      <c r="AU36" s="10">
        <f ca="1">VLOOKUP($B36,'[6]Analisys QBR By Machine Report'!$C$109:$BD$166,42,FALSE)</f>
        <v>0</v>
      </c>
      <c r="AV36" s="10">
        <f ca="1">VLOOKUP($B36,'[6]Analisys QBR By Machine Report'!$C$109:$BD$166,43,FALSE)</f>
        <v>0</v>
      </c>
      <c r="AW36" s="10">
        <f ca="1">VLOOKUP($B36,'[6]Analisys QBR By Machine Report'!$C$109:$BD$166,44,FALSE)</f>
        <v>0</v>
      </c>
      <c r="AX36" s="10">
        <f ca="1">VLOOKUP($B36,'[6]Analisys QBR By Machine Report'!$C$109:$BD$166,45,FALSE)</f>
        <v>0</v>
      </c>
      <c r="AY36" s="10">
        <f ca="1">VLOOKUP($B36,'[6]Analisys QBR By Machine Report'!$C$109:$BD$166,46,FALSE)</f>
        <v>0</v>
      </c>
      <c r="AZ36" s="10">
        <f ca="1">VLOOKUP($B36,'[6]Analisys QBR By Machine Report'!$C$109:$BD$166,47,FALSE)</f>
        <v>1907</v>
      </c>
      <c r="BA36" s="10">
        <f ca="1">VLOOKUP($B36,'[6]Analisys QBR By Machine Report'!$C$109:$BD$166,48,FALSE)</f>
        <v>15</v>
      </c>
      <c r="BB36" s="10">
        <f ca="1">VLOOKUP($B36,'[6]Analisys QBR By Machine Report'!$C$109:$BD$166,49,FALSE)</f>
        <v>0</v>
      </c>
      <c r="BC36" s="10">
        <f ca="1">VLOOKUP($B36,'[6]Analisys QBR By Machine Report'!$C$109:$BD$166,50,FALSE)</f>
        <v>0</v>
      </c>
      <c r="BD36" s="10">
        <f ca="1">VLOOKUP($B36,'[6]Analisys QBR By Machine Report'!$C$109:$BD$166,51,FALSE)</f>
        <v>1645186</v>
      </c>
      <c r="BE36" s="10">
        <f ca="1">VLOOKUP($B36,'[6]Analisys QBR By Machine Report'!$C$109:$BD$166,52,FALSE)</f>
        <v>114</v>
      </c>
      <c r="BF36" s="10">
        <f ca="1">VLOOKUP($B36,'[6]Analisys QBR By Machine Report'!$C$109:$BD$166,53,FALSE)</f>
        <v>1645072</v>
      </c>
    </row>
    <row r="37" spans="1:58" x14ac:dyDescent="0.25">
      <c r="A37" s="12" t="s">
        <v>93</v>
      </c>
      <c r="B37" s="13">
        <f ca="1">VLOOKUP($B37,'[6]Analisys QBR By Machine Report'!$C$109:$BD$166,2,FALSE)</f>
        <v>28800</v>
      </c>
      <c r="C37" s="14">
        <f ca="1">VLOOKUP($B37,[6]Dasboard_QBR_Report!$B$109:$BL$166,3,FALSE)</f>
        <v>9600</v>
      </c>
      <c r="D37" s="13">
        <f ca="1">VLOOKUP($B37,'[6]Analisys QBR By Machine Report'!$C$109:$BD$166,3,FALSE)</f>
        <v>11910</v>
      </c>
      <c r="E37" s="14">
        <f ca="1">VLOOKUP($B37,[6]Dasboard_QBR_Report!$B$109:$BL$166,5,FALSE)</f>
        <v>-7290</v>
      </c>
      <c r="F37" s="13">
        <f t="shared" ca="1" si="0"/>
        <v>16890</v>
      </c>
      <c r="G37" s="13">
        <f t="shared" ca="1" si="1"/>
        <v>285</v>
      </c>
      <c r="H37" s="13">
        <f ca="1">VLOOKUP($B37,'[6]Analisys QBR By Machine Report'!$C$109:$BD$166,4,FALSE)</f>
        <v>285</v>
      </c>
      <c r="I37" s="13">
        <f ca="1">VLOOKUP($B37,'[6]Analisys QBR By Machine Report'!$C$109:$BD$166,5,FALSE)</f>
        <v>285</v>
      </c>
      <c r="J37" s="13">
        <f ca="1">VLOOKUP($B37,'[6]Analisys QBR By Machine Report'!$C$109:$BD$166,6,FALSE)</f>
        <v>0</v>
      </c>
      <c r="K37" s="13">
        <f ca="1">VLOOKUP($B37,'[6]Analisys QBR By Machine Report'!$C$109:$BD$166,7,FALSE)</f>
        <v>0</v>
      </c>
      <c r="L37" s="13">
        <f ca="1">VLOOKUP($B37,'[6]Analisys QBR By Machine Report'!$C$109:$BD$166,8,FALSE)</f>
        <v>16605</v>
      </c>
      <c r="M37" s="13">
        <f ca="1">VLOOKUP($B37,'[6]Analisys QBR By Machine Report'!$C$109:$BD$166,9,FALSE)</f>
        <v>12450</v>
      </c>
      <c r="N37" s="13">
        <f ca="1">VLOOKUP($B37,[6]Dasboard_QBR_Report!$B$109:$BL$166,18,FALSE)</f>
        <v>4155</v>
      </c>
      <c r="O37" s="13">
        <f ca="1">VLOOKUP($B37,'[6]Analisys QBR By Machine Report'!$C$109:$BD$166,10,FALSE)</f>
        <v>340</v>
      </c>
      <c r="P37" s="13">
        <f ca="1">VLOOKUP($B37,'[6]Analisys QBR By Machine Report'!$C$109:$BD$166,11,FALSE)</f>
        <v>340</v>
      </c>
      <c r="Q37" s="13">
        <f ca="1">VLOOKUP($B37,'[6]Analisys QBR By Machine Report'!$C$109:$BD$166,12,FALSE)</f>
        <v>0</v>
      </c>
      <c r="R37" s="13">
        <f ca="1">VLOOKUP($B37,'[6]Analisys QBR By Machine Report'!$C$109:$BD$166,13,FALSE)</f>
        <v>0</v>
      </c>
      <c r="S37" s="13">
        <f ca="1">VLOOKUP($B37,'[6]Analisys QBR By Machine Report'!$C$109:$BD$166,14,FALSE)</f>
        <v>0</v>
      </c>
      <c r="T37" s="13">
        <f ca="1">VLOOKUP($B37,'[6]Analisys QBR By Machine Report'!$C$109:$BD$166,15,FALSE)</f>
        <v>0</v>
      </c>
      <c r="U37" s="13">
        <f ca="1">VLOOKUP($B37,'[6]Analisys QBR By Machine Report'!$C$109:$BD$166,16,FALSE)</f>
        <v>0</v>
      </c>
      <c r="V37" s="13">
        <f ca="1">VLOOKUP($B37,'[6]Analisys QBR By Machine Report'!$C$109:$BD$166,17,FALSE)</f>
        <v>0</v>
      </c>
      <c r="W37" s="13">
        <f ca="1">VLOOKUP($B37,'[6]Analisys QBR By Machine Report'!$C$109:$BD$166,18,FALSE)</f>
        <v>0</v>
      </c>
      <c r="X37" s="13">
        <f ca="1">VLOOKUP($B37,'[6]Analisys QBR By Machine Report'!$C$109:$BD$166,19,FALSE)</f>
        <v>0</v>
      </c>
      <c r="Y37" s="13">
        <f ca="1">VLOOKUP($B37,'[6]Analisys QBR By Machine Report'!$C$109:$BD$166,20,FALSE)</f>
        <v>0</v>
      </c>
      <c r="Z37" s="13">
        <f ca="1">VLOOKUP($B37,'[6]Analisys QBR By Machine Report'!$C$109:$BD$166,21,FALSE)</f>
        <v>982</v>
      </c>
      <c r="AA37" s="13">
        <f ca="1">VLOOKUP($B37,'[6]Analisys QBR By Machine Report'!$C$109:$BD$166,22,FALSE)</f>
        <v>353</v>
      </c>
      <c r="AB37" s="13">
        <f ca="1">VLOOKUP($B37,'[6]Analisys QBR By Machine Report'!$C$109:$BD$166,23,FALSE)</f>
        <v>590</v>
      </c>
      <c r="AC37" s="13">
        <f ca="1">VLOOKUP($B37,'[6]Analisys QBR By Machine Report'!$C$109:$BD$166,24,FALSE)</f>
        <v>0</v>
      </c>
      <c r="AD37" s="13">
        <f ca="1">VLOOKUP($B37,'[6]Analisys QBR By Machine Report'!$C$109:$BD$166,25,FALSE)</f>
        <v>0</v>
      </c>
      <c r="AE37" s="13">
        <f ca="1">VLOOKUP($B37,'[6]Analisys QBR By Machine Report'!$C$109:$BD$166,26,FALSE)</f>
        <v>39</v>
      </c>
      <c r="AF37" s="13">
        <f ca="1">VLOOKUP($B37,'[6]Analisys QBR By Machine Report'!$C$109:$BD$166,27,FALSE)</f>
        <v>40</v>
      </c>
      <c r="AG37" s="13">
        <f ca="1">VLOOKUP($B37,'[6]Analisys QBR By Machine Report'!$C$109:$BD$166,28,FALSE)</f>
        <v>0</v>
      </c>
      <c r="AH37" s="13">
        <f ca="1">VLOOKUP($B37,'[6]Analisys QBR By Machine Report'!$C$109:$BD$166,29,FALSE)</f>
        <v>40</v>
      </c>
      <c r="AI37" s="13">
        <f ca="1">VLOOKUP($B37,'[6]Analisys QBR By Machine Report'!$C$109:$BD$166,30,FALSE)</f>
        <v>2793</v>
      </c>
      <c r="AJ37" s="13">
        <f ca="1">VLOOKUP($B37,'[6]Analisys QBR By Machine Report'!$C$109:$BD$166,31,FALSE)</f>
        <v>0</v>
      </c>
      <c r="AK37" s="13">
        <f ca="1">VLOOKUP($B37,'[6]Analisys QBR By Machine Report'!$C$109:$BD$166,32,FALSE)</f>
        <v>150</v>
      </c>
      <c r="AL37" s="13">
        <f ca="1">VLOOKUP($B37,'[6]Analisys QBR By Machine Report'!$C$109:$BD$166,33,FALSE)</f>
        <v>1095</v>
      </c>
      <c r="AM37" s="13">
        <f ca="1">VLOOKUP($B37,'[6]Analisys QBR By Machine Report'!$C$109:$BD$166,34,FALSE)</f>
        <v>0</v>
      </c>
      <c r="AN37" s="13">
        <f ca="1">VLOOKUP($B37,'[6]Analisys QBR By Machine Report'!$C$109:$BD$166,35,FALSE)</f>
        <v>615</v>
      </c>
      <c r="AO37" s="13">
        <f ca="1">VLOOKUP($B37,'[6]Analisys QBR By Machine Report'!$C$109:$BD$166,36,FALSE)</f>
        <v>0</v>
      </c>
      <c r="AP37" s="13">
        <f ca="1">VLOOKUP($B37,'[6]Analisys QBR By Machine Report'!$C$109:$BD$166,37,FALSE)</f>
        <v>0</v>
      </c>
      <c r="AQ37" s="13">
        <f ca="1">VLOOKUP($B37,'[6]Analisys QBR By Machine Report'!$C$109:$BD$166,38,FALSE)</f>
        <v>0</v>
      </c>
      <c r="AR37" s="13">
        <f ca="1">VLOOKUP($B37,'[6]Analisys QBR By Machine Report'!$C$109:$BD$166,39,FALSE)</f>
        <v>0</v>
      </c>
      <c r="AS37" s="13">
        <f ca="1">VLOOKUP($B37,'[6]Analisys QBR By Machine Report'!$C$109:$BD$166,40,FALSE)</f>
        <v>230</v>
      </c>
      <c r="AT37" s="13">
        <f ca="1">VLOOKUP($B37,'[6]Analisys QBR By Machine Report'!$C$109:$BD$166,41,FALSE)</f>
        <v>0</v>
      </c>
      <c r="AU37" s="13">
        <f ca="1">VLOOKUP($B37,'[6]Analisys QBR By Machine Report'!$C$109:$BD$166,42,FALSE)</f>
        <v>0</v>
      </c>
      <c r="AV37" s="13">
        <f ca="1">VLOOKUP($B37,'[6]Analisys QBR By Machine Report'!$C$109:$BD$166,43,FALSE)</f>
        <v>0</v>
      </c>
      <c r="AW37" s="13">
        <f ca="1">VLOOKUP($B37,'[6]Analisys QBR By Machine Report'!$C$109:$BD$166,44,FALSE)</f>
        <v>0</v>
      </c>
      <c r="AX37" s="13">
        <f ca="1">VLOOKUP($B37,'[6]Analisys QBR By Machine Report'!$C$109:$BD$166,45,FALSE)</f>
        <v>0</v>
      </c>
      <c r="AY37" s="13">
        <f ca="1">VLOOKUP($B37,'[6]Analisys QBR By Machine Report'!$C$109:$BD$166,46,FALSE)</f>
        <v>0</v>
      </c>
      <c r="AZ37" s="13">
        <f ca="1">VLOOKUP($B37,'[6]Analisys QBR By Machine Report'!$C$109:$BD$166,47,FALSE)</f>
        <v>693</v>
      </c>
      <c r="BA37" s="13">
        <f ca="1">VLOOKUP($B37,'[6]Analisys QBR By Machine Report'!$C$109:$BD$166,48,FALSE)</f>
        <v>10</v>
      </c>
      <c r="BB37" s="13">
        <f ca="1">VLOOKUP($B37,'[6]Analisys QBR By Machine Report'!$C$109:$BD$166,49,FALSE)</f>
        <v>0</v>
      </c>
      <c r="BC37" s="13">
        <f ca="1">VLOOKUP($B37,'[6]Analisys QBR By Machine Report'!$C$109:$BD$166,50,FALSE)</f>
        <v>0</v>
      </c>
      <c r="BD37" s="13">
        <f ca="1">VLOOKUP($B37,'[6]Analisys QBR By Machine Report'!$C$109:$BD$166,51,FALSE)</f>
        <v>464337</v>
      </c>
      <c r="BE37" s="13">
        <f ca="1">VLOOKUP($B37,'[6]Analisys QBR By Machine Report'!$C$109:$BD$166,52,FALSE)</f>
        <v>43</v>
      </c>
      <c r="BF37" s="13">
        <f ca="1">VLOOKUP($B37,'[6]Analisys QBR By Machine Report'!$C$109:$BD$166,53,FALSE)</f>
        <v>464294</v>
      </c>
    </row>
    <row r="38" spans="1:58" x14ac:dyDescent="0.25">
      <c r="A38" s="12" t="s">
        <v>94</v>
      </c>
      <c r="B38" s="13">
        <f ca="1">VLOOKUP($B38,'[6]Analisys QBR By Machine Report'!$C$109:$BD$166,2,FALSE)</f>
        <v>27360</v>
      </c>
      <c r="C38" s="14">
        <f ca="1">VLOOKUP($B38,[6]Dasboard_QBR_Report!$B$109:$BL$166,3,FALSE)</f>
        <v>9120</v>
      </c>
      <c r="D38" s="13">
        <f ca="1">VLOOKUP($B38,'[6]Analisys QBR By Machine Report'!$C$109:$BD$166,3,FALSE)</f>
        <v>27360</v>
      </c>
      <c r="E38" s="14">
        <f ca="1">VLOOKUP($B38,[6]Dasboard_QBR_Report!$B$109:$BL$166,5,FALSE)</f>
        <v>9120</v>
      </c>
      <c r="F38" s="13">
        <f t="shared" ca="1" si="0"/>
        <v>0</v>
      </c>
      <c r="G38" s="13">
        <f t="shared" ca="1" si="1"/>
        <v>0</v>
      </c>
      <c r="H38" s="13">
        <f ca="1">VLOOKUP($B38,'[6]Analisys QBR By Machine Report'!$C$109:$BD$166,4,FALSE)</f>
        <v>0</v>
      </c>
      <c r="I38" s="13">
        <f ca="1">VLOOKUP($B38,'[6]Analisys QBR By Machine Report'!$C$109:$BD$166,5,FALSE)</f>
        <v>0</v>
      </c>
      <c r="J38" s="13">
        <f ca="1">VLOOKUP($B38,'[6]Analisys QBR By Machine Report'!$C$109:$BD$166,6,FALSE)</f>
        <v>0</v>
      </c>
      <c r="K38" s="13">
        <f ca="1">VLOOKUP($B38,'[6]Analisys QBR By Machine Report'!$C$109:$BD$166,7,FALSE)</f>
        <v>0</v>
      </c>
      <c r="L38" s="13">
        <f ca="1">VLOOKUP($B38,'[6]Analisys QBR By Machine Report'!$C$109:$BD$166,8,FALSE)</f>
        <v>0</v>
      </c>
      <c r="M38" s="13">
        <f ca="1">VLOOKUP($B38,'[6]Analisys QBR By Machine Report'!$C$109:$BD$166,9,FALSE)</f>
        <v>0</v>
      </c>
      <c r="N38" s="13">
        <f ca="1">VLOOKUP($B38,[6]Dasboard_QBR_Report!$B$109:$BL$166,18,FALSE)</f>
        <v>0</v>
      </c>
      <c r="O38" s="13">
        <f ca="1">VLOOKUP($B38,'[6]Analisys QBR By Machine Report'!$C$109:$BD$166,10,FALSE)</f>
        <v>0</v>
      </c>
      <c r="P38" s="13">
        <f ca="1">VLOOKUP($B38,'[6]Analisys QBR By Machine Report'!$C$109:$BD$166,11,FALSE)</f>
        <v>0</v>
      </c>
      <c r="Q38" s="13">
        <f ca="1">VLOOKUP($B38,'[6]Analisys QBR By Machine Report'!$C$109:$BD$166,12,FALSE)</f>
        <v>0</v>
      </c>
      <c r="R38" s="13">
        <f ca="1">VLOOKUP($B38,'[6]Analisys QBR By Machine Report'!$C$109:$BD$166,13,FALSE)</f>
        <v>0</v>
      </c>
      <c r="S38" s="13">
        <f ca="1">VLOOKUP($B38,'[6]Analisys QBR By Machine Report'!$C$109:$BD$166,14,FALSE)</f>
        <v>0</v>
      </c>
      <c r="T38" s="13">
        <f ca="1">VLOOKUP($B38,'[6]Analisys QBR By Machine Report'!$C$109:$BD$166,15,FALSE)</f>
        <v>0</v>
      </c>
      <c r="U38" s="13">
        <f ca="1">VLOOKUP($B38,'[6]Analisys QBR By Machine Report'!$C$109:$BD$166,16,FALSE)</f>
        <v>0</v>
      </c>
      <c r="V38" s="13">
        <f ca="1">VLOOKUP($B38,'[6]Analisys QBR By Machine Report'!$C$109:$BD$166,17,FALSE)</f>
        <v>0</v>
      </c>
      <c r="W38" s="13">
        <f ca="1">VLOOKUP($B38,'[6]Analisys QBR By Machine Report'!$C$109:$BD$166,18,FALSE)</f>
        <v>0</v>
      </c>
      <c r="X38" s="13">
        <f ca="1">VLOOKUP($B38,'[6]Analisys QBR By Machine Report'!$C$109:$BD$166,19,FALSE)</f>
        <v>0</v>
      </c>
      <c r="Y38" s="13">
        <f ca="1">VLOOKUP($B38,'[6]Analisys QBR By Machine Report'!$C$109:$BD$166,20,FALSE)</f>
        <v>0</v>
      </c>
      <c r="Z38" s="13">
        <f ca="1">VLOOKUP($B38,'[6]Analisys QBR By Machine Report'!$C$109:$BD$166,21,FALSE)</f>
        <v>0</v>
      </c>
      <c r="AA38" s="13">
        <f ca="1">VLOOKUP($B38,'[6]Analisys QBR By Machine Report'!$C$109:$BD$166,22,FALSE)</f>
        <v>0</v>
      </c>
      <c r="AB38" s="13">
        <f ca="1">VLOOKUP($B38,'[6]Analisys QBR By Machine Report'!$C$109:$BD$166,23,FALSE)</f>
        <v>0</v>
      </c>
      <c r="AC38" s="13">
        <f ca="1">VLOOKUP($B38,'[6]Analisys QBR By Machine Report'!$C$109:$BD$166,24,FALSE)</f>
        <v>0</v>
      </c>
      <c r="AD38" s="13">
        <f ca="1">VLOOKUP($B38,'[6]Analisys QBR By Machine Report'!$C$109:$BD$166,25,FALSE)</f>
        <v>0</v>
      </c>
      <c r="AE38" s="13">
        <f ca="1">VLOOKUP($B38,'[6]Analisys QBR By Machine Report'!$C$109:$BD$166,26,FALSE)</f>
        <v>0</v>
      </c>
      <c r="AF38" s="13">
        <f ca="1">VLOOKUP($B38,'[6]Analisys QBR By Machine Report'!$C$109:$BD$166,27,FALSE)</f>
        <v>0</v>
      </c>
      <c r="AG38" s="13">
        <f ca="1">VLOOKUP($B38,'[6]Analisys QBR By Machine Report'!$C$109:$BD$166,28,FALSE)</f>
        <v>0</v>
      </c>
      <c r="AH38" s="13">
        <f ca="1">VLOOKUP($B38,'[6]Analisys QBR By Machine Report'!$C$109:$BD$166,29,FALSE)</f>
        <v>0</v>
      </c>
      <c r="AI38" s="13">
        <f ca="1">VLOOKUP($B38,'[6]Analisys QBR By Machine Report'!$C$109:$BD$166,30,FALSE)</f>
        <v>0</v>
      </c>
      <c r="AJ38" s="13">
        <f ca="1">VLOOKUP($B38,'[6]Analisys QBR By Machine Report'!$C$109:$BD$166,31,FALSE)</f>
        <v>0</v>
      </c>
      <c r="AK38" s="13">
        <f ca="1">VLOOKUP($B38,'[6]Analisys QBR By Machine Report'!$C$109:$BD$166,32,FALSE)</f>
        <v>0</v>
      </c>
      <c r="AL38" s="13">
        <f ca="1">VLOOKUP($B38,'[6]Analisys QBR By Machine Report'!$C$109:$BD$166,33,FALSE)</f>
        <v>0</v>
      </c>
      <c r="AM38" s="13">
        <f ca="1">VLOOKUP($B38,'[6]Analisys QBR By Machine Report'!$C$109:$BD$166,34,FALSE)</f>
        <v>0</v>
      </c>
      <c r="AN38" s="13">
        <f ca="1">VLOOKUP($B38,'[6]Analisys QBR By Machine Report'!$C$109:$BD$166,35,FALSE)</f>
        <v>0</v>
      </c>
      <c r="AO38" s="13">
        <f ca="1">VLOOKUP($B38,'[6]Analisys QBR By Machine Report'!$C$109:$BD$166,36,FALSE)</f>
        <v>0</v>
      </c>
      <c r="AP38" s="13">
        <f ca="1">VLOOKUP($B38,'[6]Analisys QBR By Machine Report'!$C$109:$BD$166,37,FALSE)</f>
        <v>0</v>
      </c>
      <c r="AQ38" s="13">
        <f ca="1">VLOOKUP($B38,'[6]Analisys QBR By Machine Report'!$C$109:$BD$166,38,FALSE)</f>
        <v>0</v>
      </c>
      <c r="AR38" s="13">
        <f ca="1">VLOOKUP($B38,'[6]Analisys QBR By Machine Report'!$C$109:$BD$166,39,FALSE)</f>
        <v>0</v>
      </c>
      <c r="AS38" s="13">
        <f ca="1">VLOOKUP($B38,'[6]Analisys QBR By Machine Report'!$C$109:$BD$166,40,FALSE)</f>
        <v>0</v>
      </c>
      <c r="AT38" s="13">
        <f ca="1">VLOOKUP($B38,'[6]Analisys QBR By Machine Report'!$C$109:$BD$166,41,FALSE)</f>
        <v>0</v>
      </c>
      <c r="AU38" s="13">
        <f ca="1">VLOOKUP($B38,'[6]Analisys QBR By Machine Report'!$C$109:$BD$166,42,FALSE)</f>
        <v>0</v>
      </c>
      <c r="AV38" s="13">
        <f ca="1">VLOOKUP($B38,'[6]Analisys QBR By Machine Report'!$C$109:$BD$166,43,FALSE)</f>
        <v>0</v>
      </c>
      <c r="AW38" s="13">
        <f ca="1">VLOOKUP($B38,'[6]Analisys QBR By Machine Report'!$C$109:$BD$166,44,FALSE)</f>
        <v>0</v>
      </c>
      <c r="AX38" s="13">
        <f ca="1">VLOOKUP($B38,'[6]Analisys QBR By Machine Report'!$C$109:$BD$166,45,FALSE)</f>
        <v>0</v>
      </c>
      <c r="AY38" s="13">
        <f ca="1">VLOOKUP($B38,'[6]Analisys QBR By Machine Report'!$C$109:$BD$166,46,FALSE)</f>
        <v>0</v>
      </c>
      <c r="AZ38" s="13">
        <f ca="1">VLOOKUP($B38,'[6]Analisys QBR By Machine Report'!$C$109:$BD$166,47,FALSE)</f>
        <v>0</v>
      </c>
      <c r="BA38" s="13">
        <f ca="1">VLOOKUP($B38,'[6]Analisys QBR By Machine Report'!$C$109:$BD$166,48,FALSE)</f>
        <v>0</v>
      </c>
      <c r="BB38" s="13">
        <f ca="1">VLOOKUP($B38,'[6]Analisys QBR By Machine Report'!$C$109:$BD$166,49,FALSE)</f>
        <v>0</v>
      </c>
      <c r="BC38" s="13">
        <f ca="1">VLOOKUP($B38,'[6]Analisys QBR By Machine Report'!$C$109:$BD$166,50,FALSE)</f>
        <v>0</v>
      </c>
      <c r="BD38" s="13">
        <f ca="1">VLOOKUP($B38,'[6]Analisys QBR By Machine Report'!$C$109:$BD$166,51,FALSE)</f>
        <v>0</v>
      </c>
      <c r="BE38" s="13">
        <f ca="1">VLOOKUP($B38,'[6]Analisys QBR By Machine Report'!$C$109:$BD$166,52,FALSE)</f>
        <v>0</v>
      </c>
      <c r="BF38" s="13">
        <f ca="1">VLOOKUP($B38,'[6]Analisys QBR By Machine Report'!$C$109:$BD$166,53,FALSE)</f>
        <v>0</v>
      </c>
    </row>
    <row r="39" spans="1:58" x14ac:dyDescent="0.25">
      <c r="A39" s="12" t="s">
        <v>95</v>
      </c>
      <c r="B39" s="13">
        <f ca="1">VLOOKUP($B39,'[6]Analisys QBR By Machine Report'!$C$109:$BD$166,2,FALSE)</f>
        <v>28800</v>
      </c>
      <c r="C39" s="14">
        <f ca="1">VLOOKUP($B39,[6]Dasboard_QBR_Report!$B$109:$BL$166,3,FALSE)</f>
        <v>9600</v>
      </c>
      <c r="D39" s="13">
        <f ca="1">VLOOKUP($B39,'[6]Analisys QBR By Machine Report'!$C$109:$BD$166,3,FALSE)</f>
        <v>13590</v>
      </c>
      <c r="E39" s="14">
        <f ca="1">VLOOKUP($B39,[6]Dasboard_QBR_Report!$B$109:$BL$166,5,FALSE)</f>
        <v>-5610</v>
      </c>
      <c r="F39" s="13">
        <f t="shared" ca="1" si="0"/>
        <v>15210</v>
      </c>
      <c r="G39" s="13">
        <f t="shared" ca="1" si="1"/>
        <v>345</v>
      </c>
      <c r="H39" s="13">
        <f ca="1">VLOOKUP($B39,'[6]Analisys QBR By Machine Report'!$C$109:$BD$166,4,FALSE)</f>
        <v>345</v>
      </c>
      <c r="I39" s="13">
        <f ca="1">VLOOKUP($B39,'[6]Analisys QBR By Machine Report'!$C$109:$BD$166,5,FALSE)</f>
        <v>270</v>
      </c>
      <c r="J39" s="13">
        <f ca="1">VLOOKUP($B39,'[6]Analisys QBR By Machine Report'!$C$109:$BD$166,6,FALSE)</f>
        <v>75</v>
      </c>
      <c r="K39" s="13">
        <f ca="1">VLOOKUP($B39,'[6]Analisys QBR By Machine Report'!$C$109:$BD$166,7,FALSE)</f>
        <v>0</v>
      </c>
      <c r="L39" s="13">
        <f ca="1">VLOOKUP($B39,'[6]Analisys QBR By Machine Report'!$C$109:$BD$166,8,FALSE)</f>
        <v>14865</v>
      </c>
      <c r="M39" s="13">
        <f ca="1">VLOOKUP($B39,'[6]Analisys QBR By Machine Report'!$C$109:$BD$166,9,FALSE)</f>
        <v>10913</v>
      </c>
      <c r="N39" s="13">
        <f ca="1">VLOOKUP($B39,[6]Dasboard_QBR_Report!$B$109:$BL$166,18,FALSE)</f>
        <v>3952</v>
      </c>
      <c r="O39" s="13">
        <f ca="1">VLOOKUP($B39,'[6]Analisys QBR By Machine Report'!$C$109:$BD$166,10,FALSE)</f>
        <v>375</v>
      </c>
      <c r="P39" s="13">
        <f ca="1">VLOOKUP($B39,'[6]Analisys QBR By Machine Report'!$C$109:$BD$166,11,FALSE)</f>
        <v>325</v>
      </c>
      <c r="Q39" s="13">
        <f ca="1">VLOOKUP($B39,'[6]Analisys QBR By Machine Report'!$C$109:$BD$166,12,FALSE)</f>
        <v>0</v>
      </c>
      <c r="R39" s="13">
        <f ca="1">VLOOKUP($B39,'[6]Analisys QBR By Machine Report'!$C$109:$BD$166,13,FALSE)</f>
        <v>50</v>
      </c>
      <c r="S39" s="13">
        <f ca="1">VLOOKUP($B39,'[6]Analisys QBR By Machine Report'!$C$109:$BD$166,14,FALSE)</f>
        <v>0</v>
      </c>
      <c r="T39" s="13">
        <f ca="1">VLOOKUP($B39,'[6]Analisys QBR By Machine Report'!$C$109:$BD$166,15,FALSE)</f>
        <v>0</v>
      </c>
      <c r="U39" s="13">
        <f ca="1">VLOOKUP($B39,'[6]Analisys QBR By Machine Report'!$C$109:$BD$166,16,FALSE)</f>
        <v>0</v>
      </c>
      <c r="V39" s="13">
        <f ca="1">VLOOKUP($B39,'[6]Analisys QBR By Machine Report'!$C$109:$BD$166,17,FALSE)</f>
        <v>0</v>
      </c>
      <c r="W39" s="13">
        <f ca="1">VLOOKUP($B39,'[6]Analisys QBR By Machine Report'!$C$109:$BD$166,18,FALSE)</f>
        <v>0</v>
      </c>
      <c r="X39" s="13">
        <f ca="1">VLOOKUP($B39,'[6]Analisys QBR By Machine Report'!$C$109:$BD$166,19,FALSE)</f>
        <v>0</v>
      </c>
      <c r="Y39" s="13">
        <f ca="1">VLOOKUP($B39,'[6]Analisys QBR By Machine Report'!$C$109:$BD$166,20,FALSE)</f>
        <v>0</v>
      </c>
      <c r="Z39" s="13">
        <f ca="1">VLOOKUP($B39,'[6]Analisys QBR By Machine Report'!$C$109:$BD$166,21,FALSE)</f>
        <v>1000</v>
      </c>
      <c r="AA39" s="13">
        <f ca="1">VLOOKUP($B39,'[6]Analisys QBR By Machine Report'!$C$109:$BD$166,22,FALSE)</f>
        <v>320</v>
      </c>
      <c r="AB39" s="13">
        <f ca="1">VLOOKUP($B39,'[6]Analisys QBR By Machine Report'!$C$109:$BD$166,23,FALSE)</f>
        <v>650</v>
      </c>
      <c r="AC39" s="13">
        <f ca="1">VLOOKUP($B39,'[6]Analisys QBR By Machine Report'!$C$109:$BD$166,24,FALSE)</f>
        <v>0</v>
      </c>
      <c r="AD39" s="13">
        <f ca="1">VLOOKUP($B39,'[6]Analisys QBR By Machine Report'!$C$109:$BD$166,25,FALSE)</f>
        <v>0</v>
      </c>
      <c r="AE39" s="13">
        <f ca="1">VLOOKUP($B39,'[6]Analisys QBR By Machine Report'!$C$109:$BD$166,26,FALSE)</f>
        <v>30</v>
      </c>
      <c r="AF39" s="13">
        <f ca="1">VLOOKUP($B39,'[6]Analisys QBR By Machine Report'!$C$109:$BD$166,27,FALSE)</f>
        <v>0</v>
      </c>
      <c r="AG39" s="13">
        <f ca="1">VLOOKUP($B39,'[6]Analisys QBR By Machine Report'!$C$109:$BD$166,28,FALSE)</f>
        <v>0</v>
      </c>
      <c r="AH39" s="13">
        <f ca="1">VLOOKUP($B39,'[6]Analisys QBR By Machine Report'!$C$109:$BD$166,29,FALSE)</f>
        <v>0</v>
      </c>
      <c r="AI39" s="13">
        <f ca="1">VLOOKUP($B39,'[6]Analisys QBR By Machine Report'!$C$109:$BD$166,30,FALSE)</f>
        <v>2577</v>
      </c>
      <c r="AJ39" s="13">
        <f ca="1">VLOOKUP($B39,'[6]Analisys QBR By Machine Report'!$C$109:$BD$166,31,FALSE)</f>
        <v>0</v>
      </c>
      <c r="AK39" s="13">
        <f ca="1">VLOOKUP($B39,'[6]Analisys QBR By Machine Report'!$C$109:$BD$166,32,FALSE)</f>
        <v>0</v>
      </c>
      <c r="AL39" s="13">
        <f ca="1">VLOOKUP($B39,'[6]Analisys QBR By Machine Report'!$C$109:$BD$166,33,FALSE)</f>
        <v>890</v>
      </c>
      <c r="AM39" s="13">
        <f ca="1">VLOOKUP($B39,'[6]Analisys QBR By Machine Report'!$C$109:$BD$166,34,FALSE)</f>
        <v>0</v>
      </c>
      <c r="AN39" s="13">
        <f ca="1">VLOOKUP($B39,'[6]Analisys QBR By Machine Report'!$C$109:$BD$166,35,FALSE)</f>
        <v>600</v>
      </c>
      <c r="AO39" s="13">
        <f ca="1">VLOOKUP($B39,'[6]Analisys QBR By Machine Report'!$C$109:$BD$166,36,FALSE)</f>
        <v>0</v>
      </c>
      <c r="AP39" s="13">
        <f ca="1">VLOOKUP($B39,'[6]Analisys QBR By Machine Report'!$C$109:$BD$166,37,FALSE)</f>
        <v>0</v>
      </c>
      <c r="AQ39" s="13">
        <f ca="1">VLOOKUP($B39,'[6]Analisys QBR By Machine Report'!$C$109:$BD$166,38,FALSE)</f>
        <v>0</v>
      </c>
      <c r="AR39" s="13">
        <f ca="1">VLOOKUP($B39,'[6]Analisys QBR By Machine Report'!$C$109:$BD$166,39,FALSE)</f>
        <v>0</v>
      </c>
      <c r="AS39" s="13">
        <f ca="1">VLOOKUP($B39,'[6]Analisys QBR By Machine Report'!$C$109:$BD$166,40,FALSE)</f>
        <v>228</v>
      </c>
      <c r="AT39" s="13">
        <f ca="1">VLOOKUP($B39,'[6]Analisys QBR By Machine Report'!$C$109:$BD$166,41,FALSE)</f>
        <v>0</v>
      </c>
      <c r="AU39" s="13">
        <f ca="1">VLOOKUP($B39,'[6]Analisys QBR By Machine Report'!$C$109:$BD$166,42,FALSE)</f>
        <v>0</v>
      </c>
      <c r="AV39" s="13">
        <f ca="1">VLOOKUP($B39,'[6]Analisys QBR By Machine Report'!$C$109:$BD$166,43,FALSE)</f>
        <v>0</v>
      </c>
      <c r="AW39" s="13">
        <f ca="1">VLOOKUP($B39,'[6]Analisys QBR By Machine Report'!$C$109:$BD$166,44,FALSE)</f>
        <v>0</v>
      </c>
      <c r="AX39" s="13">
        <f ca="1">VLOOKUP($B39,'[6]Analisys QBR By Machine Report'!$C$109:$BD$166,45,FALSE)</f>
        <v>0</v>
      </c>
      <c r="AY39" s="13">
        <f ca="1">VLOOKUP($B39,'[6]Analisys QBR By Machine Report'!$C$109:$BD$166,46,FALSE)</f>
        <v>0</v>
      </c>
      <c r="AZ39" s="13">
        <f ca="1">VLOOKUP($B39,'[6]Analisys QBR By Machine Report'!$C$109:$BD$166,47,FALSE)</f>
        <v>854</v>
      </c>
      <c r="BA39" s="13">
        <f ca="1">VLOOKUP($B39,'[6]Analisys QBR By Machine Report'!$C$109:$BD$166,48,FALSE)</f>
        <v>5</v>
      </c>
      <c r="BB39" s="13">
        <f ca="1">VLOOKUP($B39,'[6]Analisys QBR By Machine Report'!$C$109:$BD$166,49,FALSE)</f>
        <v>0</v>
      </c>
      <c r="BC39" s="13">
        <f ca="1">VLOOKUP($B39,'[6]Analisys QBR By Machine Report'!$C$109:$BD$166,50,FALSE)</f>
        <v>0</v>
      </c>
      <c r="BD39" s="13">
        <f ca="1">VLOOKUP($B39,'[6]Analisys QBR By Machine Report'!$C$109:$BD$166,51,FALSE)</f>
        <v>542859</v>
      </c>
      <c r="BE39" s="13">
        <f ca="1">VLOOKUP($B39,'[6]Analisys QBR By Machine Report'!$C$109:$BD$166,52,FALSE)</f>
        <v>0</v>
      </c>
      <c r="BF39" s="13">
        <f ca="1">VLOOKUP($B39,'[6]Analisys QBR By Machine Report'!$C$109:$BD$166,53,FALSE)</f>
        <v>542859</v>
      </c>
    </row>
    <row r="40" spans="1:58" x14ac:dyDescent="0.25">
      <c r="A40" s="12" t="s">
        <v>96</v>
      </c>
      <c r="B40" s="13">
        <f ca="1">VLOOKUP($B40,'[6]Analisys QBR By Machine Report'!$C$109:$BD$166,2,FALSE)</f>
        <v>27360</v>
      </c>
      <c r="C40" s="14">
        <f ca="1">VLOOKUP($B40,[6]Dasboard_QBR_Report!$B$109:$BL$166,3,FALSE)</f>
        <v>9120</v>
      </c>
      <c r="D40" s="13">
        <f ca="1">VLOOKUP($B40,'[6]Analisys QBR By Machine Report'!$C$109:$BD$166,3,FALSE)</f>
        <v>24810</v>
      </c>
      <c r="E40" s="14">
        <f ca="1">VLOOKUP($B40,[6]Dasboard_QBR_Report!$B$109:$BL$166,5,FALSE)</f>
        <v>6570</v>
      </c>
      <c r="F40" s="13">
        <f t="shared" ca="1" si="0"/>
        <v>2550</v>
      </c>
      <c r="G40" s="13">
        <f t="shared" ca="1" si="1"/>
        <v>850</v>
      </c>
      <c r="H40" s="13">
        <f ca="1">VLOOKUP($B40,'[6]Analisys QBR By Machine Report'!$C$109:$BD$166,4,FALSE)</f>
        <v>850</v>
      </c>
      <c r="I40" s="13">
        <f ca="1">VLOOKUP($B40,'[6]Analisys QBR By Machine Report'!$C$109:$BD$166,5,FALSE)</f>
        <v>120</v>
      </c>
      <c r="J40" s="13">
        <f ca="1">VLOOKUP($B40,'[6]Analisys QBR By Machine Report'!$C$109:$BD$166,6,FALSE)</f>
        <v>730</v>
      </c>
      <c r="K40" s="13">
        <f ca="1">VLOOKUP($B40,'[6]Analisys QBR By Machine Report'!$C$109:$BD$166,7,FALSE)</f>
        <v>0</v>
      </c>
      <c r="L40" s="13">
        <f ca="1">VLOOKUP($B40,'[6]Analisys QBR By Machine Report'!$C$109:$BD$166,8,FALSE)</f>
        <v>1700</v>
      </c>
      <c r="M40" s="13">
        <f ca="1">VLOOKUP($B40,'[6]Analisys QBR By Machine Report'!$C$109:$BD$166,9,FALSE)</f>
        <v>455</v>
      </c>
      <c r="N40" s="13">
        <f ca="1">VLOOKUP($B40,[6]Dasboard_QBR_Report!$B$109:$BL$166,18,FALSE)</f>
        <v>1245</v>
      </c>
      <c r="O40" s="13">
        <f ca="1">VLOOKUP($B40,'[6]Analisys QBR By Machine Report'!$C$109:$BD$166,10,FALSE)</f>
        <v>169</v>
      </c>
      <c r="P40" s="13">
        <f ca="1">VLOOKUP($B40,'[6]Analisys QBR By Machine Report'!$C$109:$BD$166,11,FALSE)</f>
        <v>159</v>
      </c>
      <c r="Q40" s="13">
        <f ca="1">VLOOKUP($B40,'[6]Analisys QBR By Machine Report'!$C$109:$BD$166,12,FALSE)</f>
        <v>0</v>
      </c>
      <c r="R40" s="13">
        <f ca="1">VLOOKUP($B40,'[6]Analisys QBR By Machine Report'!$C$109:$BD$166,13,FALSE)</f>
        <v>10</v>
      </c>
      <c r="S40" s="13">
        <f ca="1">VLOOKUP($B40,'[6]Analisys QBR By Machine Report'!$C$109:$BD$166,14,FALSE)</f>
        <v>0</v>
      </c>
      <c r="T40" s="13">
        <f ca="1">VLOOKUP($B40,'[6]Analisys QBR By Machine Report'!$C$109:$BD$166,15,FALSE)</f>
        <v>205</v>
      </c>
      <c r="U40" s="13">
        <f ca="1">VLOOKUP($B40,'[6]Analisys QBR By Machine Report'!$C$109:$BD$166,16,FALSE)</f>
        <v>0</v>
      </c>
      <c r="V40" s="13">
        <f ca="1">VLOOKUP($B40,'[6]Analisys QBR By Machine Report'!$C$109:$BD$166,17,FALSE)</f>
        <v>0</v>
      </c>
      <c r="W40" s="13">
        <f ca="1">VLOOKUP($B40,'[6]Analisys QBR By Machine Report'!$C$109:$BD$166,18,FALSE)</f>
        <v>0</v>
      </c>
      <c r="X40" s="13">
        <f ca="1">VLOOKUP($B40,'[6]Analisys QBR By Machine Report'!$C$109:$BD$166,19,FALSE)</f>
        <v>205</v>
      </c>
      <c r="Y40" s="13">
        <f ca="1">VLOOKUP($B40,'[6]Analisys QBR By Machine Report'!$C$109:$BD$166,20,FALSE)</f>
        <v>0</v>
      </c>
      <c r="Z40" s="13">
        <f ca="1">VLOOKUP($B40,'[6]Analisys QBR By Machine Report'!$C$109:$BD$166,21,FALSE)</f>
        <v>691</v>
      </c>
      <c r="AA40" s="13">
        <f ca="1">VLOOKUP($B40,'[6]Analisys QBR By Machine Report'!$C$109:$BD$166,22,FALSE)</f>
        <v>321</v>
      </c>
      <c r="AB40" s="13">
        <f ca="1">VLOOKUP($B40,'[6]Analisys QBR By Machine Report'!$C$109:$BD$166,23,FALSE)</f>
        <v>275</v>
      </c>
      <c r="AC40" s="13">
        <f ca="1">VLOOKUP($B40,'[6]Analisys QBR By Machine Report'!$C$109:$BD$166,24,FALSE)</f>
        <v>0</v>
      </c>
      <c r="AD40" s="13">
        <f ca="1">VLOOKUP($B40,'[6]Analisys QBR By Machine Report'!$C$109:$BD$166,25,FALSE)</f>
        <v>0</v>
      </c>
      <c r="AE40" s="13">
        <f ca="1">VLOOKUP($B40,'[6]Analisys QBR By Machine Report'!$C$109:$BD$166,26,FALSE)</f>
        <v>95</v>
      </c>
      <c r="AF40" s="13">
        <f ca="1">VLOOKUP($B40,'[6]Analisys QBR By Machine Report'!$C$109:$BD$166,27,FALSE)</f>
        <v>0</v>
      </c>
      <c r="AG40" s="13">
        <f ca="1">VLOOKUP($B40,'[6]Analisys QBR By Machine Report'!$C$109:$BD$166,28,FALSE)</f>
        <v>0</v>
      </c>
      <c r="AH40" s="13">
        <f ca="1">VLOOKUP($B40,'[6]Analisys QBR By Machine Report'!$C$109:$BD$166,29,FALSE)</f>
        <v>0</v>
      </c>
      <c r="AI40" s="13">
        <f ca="1">VLOOKUP($B40,'[6]Analisys QBR By Machine Report'!$C$109:$BD$166,30,FALSE)</f>
        <v>180</v>
      </c>
      <c r="AJ40" s="13">
        <f ca="1">VLOOKUP($B40,'[6]Analisys QBR By Machine Report'!$C$109:$BD$166,31,FALSE)</f>
        <v>0</v>
      </c>
      <c r="AK40" s="13">
        <f ca="1">VLOOKUP($B40,'[6]Analisys QBR By Machine Report'!$C$109:$BD$166,32,FALSE)</f>
        <v>0</v>
      </c>
      <c r="AL40" s="13">
        <f ca="1">VLOOKUP($B40,'[6]Analisys QBR By Machine Report'!$C$109:$BD$166,33,FALSE)</f>
        <v>90</v>
      </c>
      <c r="AM40" s="13">
        <f ca="1">VLOOKUP($B40,'[6]Analisys QBR By Machine Report'!$C$109:$BD$166,34,FALSE)</f>
        <v>0</v>
      </c>
      <c r="AN40" s="13">
        <f ca="1">VLOOKUP($B40,'[6]Analisys QBR By Machine Report'!$C$109:$BD$166,35,FALSE)</f>
        <v>45</v>
      </c>
      <c r="AO40" s="13">
        <f ca="1">VLOOKUP($B40,'[6]Analisys QBR By Machine Report'!$C$109:$BD$166,36,FALSE)</f>
        <v>0</v>
      </c>
      <c r="AP40" s="13">
        <f ca="1">VLOOKUP($B40,'[6]Analisys QBR By Machine Report'!$C$109:$BD$166,37,FALSE)</f>
        <v>0</v>
      </c>
      <c r="AQ40" s="13">
        <f ca="1">VLOOKUP($B40,'[6]Analisys QBR By Machine Report'!$C$109:$BD$166,38,FALSE)</f>
        <v>0</v>
      </c>
      <c r="AR40" s="13">
        <f ca="1">VLOOKUP($B40,'[6]Analisys QBR By Machine Report'!$C$109:$BD$166,39,FALSE)</f>
        <v>0</v>
      </c>
      <c r="AS40" s="13">
        <f ca="1">VLOOKUP($B40,'[6]Analisys QBR By Machine Report'!$C$109:$BD$166,40,FALSE)</f>
        <v>20</v>
      </c>
      <c r="AT40" s="13">
        <f ca="1">VLOOKUP($B40,'[6]Analisys QBR By Machine Report'!$C$109:$BD$166,41,FALSE)</f>
        <v>0</v>
      </c>
      <c r="AU40" s="13">
        <f ca="1">VLOOKUP($B40,'[6]Analisys QBR By Machine Report'!$C$109:$BD$166,42,FALSE)</f>
        <v>0</v>
      </c>
      <c r="AV40" s="13">
        <f ca="1">VLOOKUP($B40,'[6]Analisys QBR By Machine Report'!$C$109:$BD$166,43,FALSE)</f>
        <v>0</v>
      </c>
      <c r="AW40" s="13">
        <f ca="1">VLOOKUP($B40,'[6]Analisys QBR By Machine Report'!$C$109:$BD$166,44,FALSE)</f>
        <v>0</v>
      </c>
      <c r="AX40" s="13">
        <f ca="1">VLOOKUP($B40,'[6]Analisys QBR By Machine Report'!$C$109:$BD$166,45,FALSE)</f>
        <v>0</v>
      </c>
      <c r="AY40" s="13">
        <f ca="1">VLOOKUP($B40,'[6]Analisys QBR By Machine Report'!$C$109:$BD$166,46,FALSE)</f>
        <v>0</v>
      </c>
      <c r="AZ40" s="13">
        <f ca="1">VLOOKUP($B40,'[6]Analisys QBR By Machine Report'!$C$109:$BD$166,47,FALSE)</f>
        <v>25</v>
      </c>
      <c r="BA40" s="13">
        <f ca="1">VLOOKUP($B40,'[6]Analisys QBR By Machine Report'!$C$109:$BD$166,48,FALSE)</f>
        <v>0</v>
      </c>
      <c r="BB40" s="13">
        <f ca="1">VLOOKUP($B40,'[6]Analisys QBR By Machine Report'!$C$109:$BD$166,49,FALSE)</f>
        <v>0</v>
      </c>
      <c r="BC40" s="13">
        <f ca="1">VLOOKUP($B40,'[6]Analisys QBR By Machine Report'!$C$109:$BD$166,50,FALSE)</f>
        <v>0</v>
      </c>
      <c r="BD40" s="13">
        <f ca="1">VLOOKUP($B40,'[6]Analisys QBR By Machine Report'!$C$109:$BD$166,51,FALSE)</f>
        <v>11175</v>
      </c>
      <c r="BE40" s="13">
        <f ca="1">VLOOKUP($B40,'[6]Analisys QBR By Machine Report'!$C$109:$BD$166,52,FALSE)</f>
        <v>0</v>
      </c>
      <c r="BF40" s="13">
        <f ca="1">VLOOKUP($B40,'[6]Analisys QBR By Machine Report'!$C$109:$BD$166,53,FALSE)</f>
        <v>11175</v>
      </c>
    </row>
    <row r="41" spans="1:58" x14ac:dyDescent="0.25">
      <c r="A41" s="12" t="s">
        <v>97</v>
      </c>
      <c r="B41" s="13">
        <f ca="1">VLOOKUP($B41,'[6]Analisys QBR By Machine Report'!$C$109:$BD$166,2,FALSE)</f>
        <v>27360</v>
      </c>
      <c r="C41" s="14">
        <f ca="1">VLOOKUP($B41,[6]Dasboard_QBR_Report!$B$109:$BL$166,3,FALSE)</f>
        <v>17670</v>
      </c>
      <c r="D41" s="13">
        <f ca="1">VLOOKUP($B41,'[6]Analisys QBR By Machine Report'!$C$109:$BD$166,3,FALSE)</f>
        <v>16770</v>
      </c>
      <c r="E41" s="14">
        <f ca="1">VLOOKUP($B41,[6]Dasboard_QBR_Report!$B$109:$BL$166,5,FALSE)</f>
        <v>7080</v>
      </c>
      <c r="F41" s="13">
        <f t="shared" ca="1" si="0"/>
        <v>10590</v>
      </c>
      <c r="G41" s="13">
        <f t="shared" ca="1" si="1"/>
        <v>2945</v>
      </c>
      <c r="H41" s="13">
        <f ca="1">VLOOKUP($B41,'[6]Analisys QBR By Machine Report'!$C$109:$BD$166,4,FALSE)</f>
        <v>2945</v>
      </c>
      <c r="I41" s="13">
        <f ca="1">VLOOKUP($B41,'[6]Analisys QBR By Machine Report'!$C$109:$BD$166,5,FALSE)</f>
        <v>960</v>
      </c>
      <c r="J41" s="13">
        <f ca="1">VLOOKUP($B41,'[6]Analisys QBR By Machine Report'!$C$109:$BD$166,6,FALSE)</f>
        <v>1985</v>
      </c>
      <c r="K41" s="13">
        <f ca="1">VLOOKUP($B41,'[6]Analisys QBR By Machine Report'!$C$109:$BD$166,7,FALSE)</f>
        <v>0</v>
      </c>
      <c r="L41" s="13">
        <f ca="1">VLOOKUP($B41,'[6]Analisys QBR By Machine Report'!$C$109:$BD$166,8,FALSE)</f>
        <v>7645</v>
      </c>
      <c r="M41" s="13">
        <f ca="1">VLOOKUP($B41,'[6]Analisys QBR By Machine Report'!$C$109:$BD$166,9,FALSE)</f>
        <v>3410</v>
      </c>
      <c r="N41" s="13">
        <f ca="1">VLOOKUP($B41,[6]Dasboard_QBR_Report!$B$109:$BL$166,18,FALSE)</f>
        <v>4235</v>
      </c>
      <c r="O41" s="13">
        <f ca="1">VLOOKUP($B41,'[6]Analisys QBR By Machine Report'!$C$109:$BD$166,10,FALSE)</f>
        <v>970</v>
      </c>
      <c r="P41" s="13">
        <f ca="1">VLOOKUP($B41,'[6]Analisys QBR By Machine Report'!$C$109:$BD$166,11,FALSE)</f>
        <v>750</v>
      </c>
      <c r="Q41" s="13">
        <f ca="1">VLOOKUP($B41,'[6]Analisys QBR By Machine Report'!$C$109:$BD$166,12,FALSE)</f>
        <v>30</v>
      </c>
      <c r="R41" s="13">
        <f ca="1">VLOOKUP($B41,'[6]Analisys QBR By Machine Report'!$C$109:$BD$166,13,FALSE)</f>
        <v>40</v>
      </c>
      <c r="S41" s="13">
        <f ca="1">VLOOKUP($B41,'[6]Analisys QBR By Machine Report'!$C$109:$BD$166,14,FALSE)</f>
        <v>150</v>
      </c>
      <c r="T41" s="13">
        <f ca="1">VLOOKUP($B41,'[6]Analisys QBR By Machine Report'!$C$109:$BD$166,15,FALSE)</f>
        <v>0</v>
      </c>
      <c r="U41" s="13">
        <f ca="1">VLOOKUP($B41,'[6]Analisys QBR By Machine Report'!$C$109:$BD$166,16,FALSE)</f>
        <v>0</v>
      </c>
      <c r="V41" s="13">
        <f ca="1">VLOOKUP($B41,'[6]Analisys QBR By Machine Report'!$C$109:$BD$166,17,FALSE)</f>
        <v>0</v>
      </c>
      <c r="W41" s="13">
        <f ca="1">VLOOKUP($B41,'[6]Analisys QBR By Machine Report'!$C$109:$BD$166,18,FALSE)</f>
        <v>0</v>
      </c>
      <c r="X41" s="13">
        <f ca="1">VLOOKUP($B41,'[6]Analisys QBR By Machine Report'!$C$109:$BD$166,19,FALSE)</f>
        <v>0</v>
      </c>
      <c r="Y41" s="13">
        <f ca="1">VLOOKUP($B41,'[6]Analisys QBR By Machine Report'!$C$109:$BD$166,20,FALSE)</f>
        <v>0</v>
      </c>
      <c r="Z41" s="13">
        <f ca="1">VLOOKUP($B41,'[6]Analisys QBR By Machine Report'!$C$109:$BD$166,21,FALSE)</f>
        <v>615</v>
      </c>
      <c r="AA41" s="13">
        <f ca="1">VLOOKUP($B41,'[6]Analisys QBR By Machine Report'!$C$109:$BD$166,22,FALSE)</f>
        <v>370</v>
      </c>
      <c r="AB41" s="13">
        <f ca="1">VLOOKUP($B41,'[6]Analisys QBR By Machine Report'!$C$109:$BD$166,23,FALSE)</f>
        <v>245</v>
      </c>
      <c r="AC41" s="13">
        <f ca="1">VLOOKUP($B41,'[6]Analisys QBR By Machine Report'!$C$109:$BD$166,24,FALSE)</f>
        <v>0</v>
      </c>
      <c r="AD41" s="13">
        <f ca="1">VLOOKUP($B41,'[6]Analisys QBR By Machine Report'!$C$109:$BD$166,25,FALSE)</f>
        <v>0</v>
      </c>
      <c r="AE41" s="13">
        <f ca="1">VLOOKUP($B41,'[6]Analisys QBR By Machine Report'!$C$109:$BD$166,26,FALSE)</f>
        <v>0</v>
      </c>
      <c r="AF41" s="13">
        <f ca="1">VLOOKUP($B41,'[6]Analisys QBR By Machine Report'!$C$109:$BD$166,27,FALSE)</f>
        <v>0</v>
      </c>
      <c r="AG41" s="13">
        <f ca="1">VLOOKUP($B41,'[6]Analisys QBR By Machine Report'!$C$109:$BD$166,28,FALSE)</f>
        <v>0</v>
      </c>
      <c r="AH41" s="13">
        <f ca="1">VLOOKUP($B41,'[6]Analisys QBR By Machine Report'!$C$109:$BD$166,29,FALSE)</f>
        <v>0</v>
      </c>
      <c r="AI41" s="13">
        <f ca="1">VLOOKUP($B41,'[6]Analisys QBR By Machine Report'!$C$109:$BD$166,30,FALSE)</f>
        <v>2650</v>
      </c>
      <c r="AJ41" s="13">
        <f ca="1">VLOOKUP($B41,'[6]Analisys QBR By Machine Report'!$C$109:$BD$166,31,FALSE)</f>
        <v>0</v>
      </c>
      <c r="AK41" s="13">
        <f ca="1">VLOOKUP($B41,'[6]Analisys QBR By Machine Report'!$C$109:$BD$166,32,FALSE)</f>
        <v>0</v>
      </c>
      <c r="AL41" s="13">
        <f ca="1">VLOOKUP($B41,'[6]Analisys QBR By Machine Report'!$C$109:$BD$166,33,FALSE)</f>
        <v>390</v>
      </c>
      <c r="AM41" s="13">
        <f ca="1">VLOOKUP($B41,'[6]Analisys QBR By Machine Report'!$C$109:$BD$166,34,FALSE)</f>
        <v>0</v>
      </c>
      <c r="AN41" s="13">
        <f ca="1">VLOOKUP($B41,'[6]Analisys QBR By Machine Report'!$C$109:$BD$166,35,FALSE)</f>
        <v>285</v>
      </c>
      <c r="AO41" s="13">
        <f ca="1">VLOOKUP($B41,'[6]Analisys QBR By Machine Report'!$C$109:$BD$166,36,FALSE)</f>
        <v>920</v>
      </c>
      <c r="AP41" s="13">
        <f ca="1">VLOOKUP($B41,'[6]Analisys QBR By Machine Report'!$C$109:$BD$166,37,FALSE)</f>
        <v>0</v>
      </c>
      <c r="AQ41" s="13">
        <f ca="1">VLOOKUP($B41,'[6]Analisys QBR By Machine Report'!$C$109:$BD$166,38,FALSE)</f>
        <v>0</v>
      </c>
      <c r="AR41" s="13">
        <f ca="1">VLOOKUP($B41,'[6]Analisys QBR By Machine Report'!$C$109:$BD$166,39,FALSE)</f>
        <v>770</v>
      </c>
      <c r="AS41" s="13">
        <f ca="1">VLOOKUP($B41,'[6]Analisys QBR By Machine Report'!$C$109:$BD$166,40,FALSE)</f>
        <v>140</v>
      </c>
      <c r="AT41" s="13">
        <f ca="1">VLOOKUP($B41,'[6]Analisys QBR By Machine Report'!$C$109:$BD$166,41,FALSE)</f>
        <v>0</v>
      </c>
      <c r="AU41" s="13">
        <f ca="1">VLOOKUP($B41,'[6]Analisys QBR By Machine Report'!$C$109:$BD$166,42,FALSE)</f>
        <v>0</v>
      </c>
      <c r="AV41" s="13">
        <f ca="1">VLOOKUP($B41,'[6]Analisys QBR By Machine Report'!$C$109:$BD$166,43,FALSE)</f>
        <v>0</v>
      </c>
      <c r="AW41" s="13">
        <f ca="1">VLOOKUP($B41,'[6]Analisys QBR By Machine Report'!$C$109:$BD$166,44,FALSE)</f>
        <v>0</v>
      </c>
      <c r="AX41" s="13">
        <f ca="1">VLOOKUP($B41,'[6]Analisys QBR By Machine Report'!$C$109:$BD$166,45,FALSE)</f>
        <v>0</v>
      </c>
      <c r="AY41" s="13">
        <f ca="1">VLOOKUP($B41,'[6]Analisys QBR By Machine Report'!$C$109:$BD$166,46,FALSE)</f>
        <v>0</v>
      </c>
      <c r="AZ41" s="13">
        <f ca="1">VLOOKUP($B41,'[6]Analisys QBR By Machine Report'!$C$109:$BD$166,47,FALSE)</f>
        <v>145</v>
      </c>
      <c r="BA41" s="13">
        <f ca="1">VLOOKUP($B41,'[6]Analisys QBR By Machine Report'!$C$109:$BD$166,48,FALSE)</f>
        <v>0</v>
      </c>
      <c r="BB41" s="13">
        <f ca="1">VLOOKUP($B41,'[6]Analisys QBR By Machine Report'!$C$109:$BD$166,49,FALSE)</f>
        <v>0</v>
      </c>
      <c r="BC41" s="13">
        <f ca="1">VLOOKUP($B41,'[6]Analisys QBR By Machine Report'!$C$109:$BD$166,50,FALSE)</f>
        <v>0</v>
      </c>
      <c r="BD41" s="13">
        <f ca="1">VLOOKUP($B41,'[6]Analisys QBR By Machine Report'!$C$109:$BD$166,51,FALSE)</f>
        <v>189303</v>
      </c>
      <c r="BE41" s="13">
        <f ca="1">VLOOKUP($B41,'[6]Analisys QBR By Machine Report'!$C$109:$BD$166,52,FALSE)</f>
        <v>0</v>
      </c>
      <c r="BF41" s="13">
        <f ca="1">VLOOKUP($B41,'[6]Analisys QBR By Machine Report'!$C$109:$BD$166,53,FALSE)</f>
        <v>189303</v>
      </c>
    </row>
    <row r="42" spans="1:58" x14ac:dyDescent="0.25">
      <c r="A42" s="12" t="s">
        <v>98</v>
      </c>
      <c r="B42" s="13">
        <f ca="1">VLOOKUP($B42,'[6]Analisys QBR By Machine Report'!$C$109:$BD$166,2,FALSE)</f>
        <v>27360</v>
      </c>
      <c r="C42" s="14">
        <f ca="1">VLOOKUP($B42,[6]Dasboard_QBR_Report!$B$109:$BL$166,3,FALSE)</f>
        <v>9120</v>
      </c>
      <c r="D42" s="13">
        <f ca="1">VLOOKUP($B42,'[6]Analisys QBR By Machine Report'!$C$109:$BD$166,3,FALSE)</f>
        <v>17850</v>
      </c>
      <c r="E42" s="14">
        <f ca="1">VLOOKUP($B42,[6]Dasboard_QBR_Report!$B$109:$BL$166,5,FALSE)</f>
        <v>-390</v>
      </c>
      <c r="F42" s="13">
        <f t="shared" ca="1" si="0"/>
        <v>9510</v>
      </c>
      <c r="G42" s="13">
        <f t="shared" ca="1" si="1"/>
        <v>905</v>
      </c>
      <c r="H42" s="13">
        <f ca="1">VLOOKUP($B42,'[6]Analisys QBR By Machine Report'!$C$109:$BD$166,4,FALSE)</f>
        <v>905</v>
      </c>
      <c r="I42" s="13">
        <f ca="1">VLOOKUP($B42,'[6]Analisys QBR By Machine Report'!$C$109:$BD$166,5,FALSE)</f>
        <v>450</v>
      </c>
      <c r="J42" s="13">
        <f ca="1">VLOOKUP($B42,'[6]Analisys QBR By Machine Report'!$C$109:$BD$166,6,FALSE)</f>
        <v>455</v>
      </c>
      <c r="K42" s="13">
        <f ca="1">VLOOKUP($B42,'[6]Analisys QBR By Machine Report'!$C$109:$BD$166,7,FALSE)</f>
        <v>0</v>
      </c>
      <c r="L42" s="13">
        <f ca="1">VLOOKUP($B42,'[6]Analisys QBR By Machine Report'!$C$109:$BD$166,8,FALSE)</f>
        <v>8605</v>
      </c>
      <c r="M42" s="13">
        <f ca="1">VLOOKUP($B42,'[6]Analisys QBR By Machine Report'!$C$109:$BD$166,9,FALSE)</f>
        <v>4347</v>
      </c>
      <c r="N42" s="13">
        <f ca="1">VLOOKUP($B42,[6]Dasboard_QBR_Report!$B$109:$BL$166,18,FALSE)</f>
        <v>4258</v>
      </c>
      <c r="O42" s="13">
        <f ca="1">VLOOKUP($B42,'[6]Analisys QBR By Machine Report'!$C$109:$BD$166,10,FALSE)</f>
        <v>916</v>
      </c>
      <c r="P42" s="13">
        <f ca="1">VLOOKUP($B42,'[6]Analisys QBR By Machine Report'!$C$109:$BD$166,11,FALSE)</f>
        <v>445</v>
      </c>
      <c r="Q42" s="13">
        <f ca="1">VLOOKUP($B42,'[6]Analisys QBR By Machine Report'!$C$109:$BD$166,12,FALSE)</f>
        <v>161</v>
      </c>
      <c r="R42" s="13">
        <f ca="1">VLOOKUP($B42,'[6]Analisys QBR By Machine Report'!$C$109:$BD$166,13,FALSE)</f>
        <v>22</v>
      </c>
      <c r="S42" s="13">
        <f ca="1">VLOOKUP($B42,'[6]Analisys QBR By Machine Report'!$C$109:$BD$166,14,FALSE)</f>
        <v>288</v>
      </c>
      <c r="T42" s="13">
        <f ca="1">VLOOKUP($B42,'[6]Analisys QBR By Machine Report'!$C$109:$BD$166,15,FALSE)</f>
        <v>642</v>
      </c>
      <c r="U42" s="13">
        <f ca="1">VLOOKUP($B42,'[6]Analisys QBR By Machine Report'!$C$109:$BD$166,16,FALSE)</f>
        <v>257</v>
      </c>
      <c r="V42" s="13">
        <f ca="1">VLOOKUP($B42,'[6]Analisys QBR By Machine Report'!$C$109:$BD$166,17,FALSE)</f>
        <v>385</v>
      </c>
      <c r="W42" s="13">
        <f ca="1">VLOOKUP($B42,'[6]Analisys QBR By Machine Report'!$C$109:$BD$166,18,FALSE)</f>
        <v>0</v>
      </c>
      <c r="X42" s="13">
        <f ca="1">VLOOKUP($B42,'[6]Analisys QBR By Machine Report'!$C$109:$BD$166,19,FALSE)</f>
        <v>0</v>
      </c>
      <c r="Y42" s="13">
        <f ca="1">VLOOKUP($B42,'[6]Analisys QBR By Machine Report'!$C$109:$BD$166,20,FALSE)</f>
        <v>0</v>
      </c>
      <c r="Z42" s="13">
        <f ca="1">VLOOKUP($B42,'[6]Analisys QBR By Machine Report'!$C$109:$BD$166,21,FALSE)</f>
        <v>1290</v>
      </c>
      <c r="AA42" s="13">
        <f ca="1">VLOOKUP($B42,'[6]Analisys QBR By Machine Report'!$C$109:$BD$166,22,FALSE)</f>
        <v>920</v>
      </c>
      <c r="AB42" s="13">
        <f ca="1">VLOOKUP($B42,'[6]Analisys QBR By Machine Report'!$C$109:$BD$166,23,FALSE)</f>
        <v>370</v>
      </c>
      <c r="AC42" s="13">
        <f ca="1">VLOOKUP($B42,'[6]Analisys QBR By Machine Report'!$C$109:$BD$166,24,FALSE)</f>
        <v>0</v>
      </c>
      <c r="AD42" s="13">
        <f ca="1">VLOOKUP($B42,'[6]Analisys QBR By Machine Report'!$C$109:$BD$166,25,FALSE)</f>
        <v>0</v>
      </c>
      <c r="AE42" s="13">
        <f ca="1">VLOOKUP($B42,'[6]Analisys QBR By Machine Report'!$C$109:$BD$166,26,FALSE)</f>
        <v>0</v>
      </c>
      <c r="AF42" s="13">
        <f ca="1">VLOOKUP($B42,'[6]Analisys QBR By Machine Report'!$C$109:$BD$166,27,FALSE)</f>
        <v>0</v>
      </c>
      <c r="AG42" s="13">
        <f ca="1">VLOOKUP($B42,'[6]Analisys QBR By Machine Report'!$C$109:$BD$166,28,FALSE)</f>
        <v>0</v>
      </c>
      <c r="AH42" s="13">
        <f ca="1">VLOOKUP($B42,'[6]Analisys QBR By Machine Report'!$C$109:$BD$166,29,FALSE)</f>
        <v>0</v>
      </c>
      <c r="AI42" s="13">
        <f ca="1">VLOOKUP($B42,'[6]Analisys QBR By Machine Report'!$C$109:$BD$166,30,FALSE)</f>
        <v>1410</v>
      </c>
      <c r="AJ42" s="13">
        <f ca="1">VLOOKUP($B42,'[6]Analisys QBR By Machine Report'!$C$109:$BD$166,31,FALSE)</f>
        <v>0</v>
      </c>
      <c r="AK42" s="13">
        <f ca="1">VLOOKUP($B42,'[6]Analisys QBR By Machine Report'!$C$109:$BD$166,32,FALSE)</f>
        <v>0</v>
      </c>
      <c r="AL42" s="13">
        <f ca="1">VLOOKUP($B42,'[6]Analisys QBR By Machine Report'!$C$109:$BD$166,33,FALSE)</f>
        <v>510</v>
      </c>
      <c r="AM42" s="13">
        <f ca="1">VLOOKUP($B42,'[6]Analisys QBR By Machine Report'!$C$109:$BD$166,34,FALSE)</f>
        <v>0</v>
      </c>
      <c r="AN42" s="13">
        <f ca="1">VLOOKUP($B42,'[6]Analisys QBR By Machine Report'!$C$109:$BD$166,35,FALSE)</f>
        <v>255</v>
      </c>
      <c r="AO42" s="13">
        <f ca="1">VLOOKUP($B42,'[6]Analisys QBR By Machine Report'!$C$109:$BD$166,36,FALSE)</f>
        <v>250</v>
      </c>
      <c r="AP42" s="13">
        <f ca="1">VLOOKUP($B42,'[6]Analisys QBR By Machine Report'!$C$109:$BD$166,37,FALSE)</f>
        <v>0</v>
      </c>
      <c r="AQ42" s="13">
        <f ca="1">VLOOKUP($B42,'[6]Analisys QBR By Machine Report'!$C$109:$BD$166,38,FALSE)</f>
        <v>0</v>
      </c>
      <c r="AR42" s="13">
        <f ca="1">VLOOKUP($B42,'[6]Analisys QBR By Machine Report'!$C$109:$BD$166,39,FALSE)</f>
        <v>55</v>
      </c>
      <c r="AS42" s="13">
        <f ca="1">VLOOKUP($B42,'[6]Analisys QBR By Machine Report'!$C$109:$BD$166,40,FALSE)</f>
        <v>150</v>
      </c>
      <c r="AT42" s="13">
        <f ca="1">VLOOKUP($B42,'[6]Analisys QBR By Machine Report'!$C$109:$BD$166,41,FALSE)</f>
        <v>0</v>
      </c>
      <c r="AU42" s="13">
        <f ca="1">VLOOKUP($B42,'[6]Analisys QBR By Machine Report'!$C$109:$BD$166,42,FALSE)</f>
        <v>0</v>
      </c>
      <c r="AV42" s="13">
        <f ca="1">VLOOKUP($B42,'[6]Analisys QBR By Machine Report'!$C$109:$BD$166,43,FALSE)</f>
        <v>0</v>
      </c>
      <c r="AW42" s="13">
        <f ca="1">VLOOKUP($B42,'[6]Analisys QBR By Machine Report'!$C$109:$BD$166,44,FALSE)</f>
        <v>0</v>
      </c>
      <c r="AX42" s="13">
        <f ca="1">VLOOKUP($B42,'[6]Analisys QBR By Machine Report'!$C$109:$BD$166,45,FALSE)</f>
        <v>0</v>
      </c>
      <c r="AY42" s="13">
        <f ca="1">VLOOKUP($B42,'[6]Analisys QBR By Machine Report'!$C$109:$BD$166,46,FALSE)</f>
        <v>0</v>
      </c>
      <c r="AZ42" s="13">
        <f ca="1">VLOOKUP($B42,'[6]Analisys QBR By Machine Report'!$C$109:$BD$166,47,FALSE)</f>
        <v>190</v>
      </c>
      <c r="BA42" s="13">
        <f ca="1">VLOOKUP($B42,'[6]Analisys QBR By Machine Report'!$C$109:$BD$166,48,FALSE)</f>
        <v>0</v>
      </c>
      <c r="BB42" s="13">
        <f ca="1">VLOOKUP($B42,'[6]Analisys QBR By Machine Report'!$C$109:$BD$166,49,FALSE)</f>
        <v>0</v>
      </c>
      <c r="BC42" s="13">
        <f ca="1">VLOOKUP($B42,'[6]Analisys QBR By Machine Report'!$C$109:$BD$166,50,FALSE)</f>
        <v>0</v>
      </c>
      <c r="BD42" s="13">
        <f ca="1">VLOOKUP($B42,'[6]Analisys QBR By Machine Report'!$C$109:$BD$166,51,FALSE)</f>
        <v>437512</v>
      </c>
      <c r="BE42" s="13">
        <f ca="1">VLOOKUP($B42,'[6]Analisys QBR By Machine Report'!$C$109:$BD$166,52,FALSE)</f>
        <v>71</v>
      </c>
      <c r="BF42" s="13">
        <f ca="1">VLOOKUP($B42,'[6]Analisys QBR By Machine Report'!$C$109:$BD$166,53,FALSE)</f>
        <v>437441</v>
      </c>
    </row>
    <row r="43" spans="1:58" x14ac:dyDescent="0.25">
      <c r="A43" s="9" t="s">
        <v>99</v>
      </c>
      <c r="B43" s="10">
        <f ca="1">VLOOKUP($B43,'[6]Analisys QBR By Machine Report'!$C$109:$BD$166,2,FALSE)</f>
        <v>27360</v>
      </c>
      <c r="C43" s="11">
        <f ca="1">VLOOKUP($B43,[6]Dasboard_QBR_Report!$B$109:$BL$166,3,FALSE)</f>
        <v>9120</v>
      </c>
      <c r="D43" s="10">
        <f ca="1">VLOOKUP($B43,'[6]Analisys QBR By Machine Report'!$C$109:$BD$166,3,FALSE)</f>
        <v>26340</v>
      </c>
      <c r="E43" s="11">
        <f ca="1">VLOOKUP($B43,[6]Dasboard_QBR_Report!$B$109:$BL$166,5,FALSE)</f>
        <v>8100</v>
      </c>
      <c r="F43" s="10">
        <f t="shared" ca="1" si="0"/>
        <v>1020</v>
      </c>
      <c r="G43" s="10">
        <f t="shared" ca="1" si="1"/>
        <v>48</v>
      </c>
      <c r="H43" s="10">
        <f ca="1">VLOOKUP($B43,'[6]Analisys QBR By Machine Report'!$C$109:$BD$166,4,FALSE)</f>
        <v>48</v>
      </c>
      <c r="I43" s="10">
        <f ca="1">VLOOKUP($B43,'[6]Analisys QBR By Machine Report'!$C$109:$BD$166,5,FALSE)</f>
        <v>0</v>
      </c>
      <c r="J43" s="10">
        <f ca="1">VLOOKUP($B43,'[6]Analisys QBR By Machine Report'!$C$109:$BD$166,6,FALSE)</f>
        <v>48</v>
      </c>
      <c r="K43" s="10">
        <f ca="1">VLOOKUP($B43,'[6]Analisys QBR By Machine Report'!$C$109:$BD$166,7,FALSE)</f>
        <v>0</v>
      </c>
      <c r="L43" s="10">
        <f ca="1">VLOOKUP($B43,'[6]Analisys QBR By Machine Report'!$C$109:$BD$166,8,FALSE)</f>
        <v>972</v>
      </c>
      <c r="M43" s="10">
        <f ca="1">VLOOKUP($B43,'[6]Analisys QBR By Machine Report'!$C$109:$BD$166,9,FALSE)</f>
        <v>50</v>
      </c>
      <c r="N43" s="10">
        <f ca="1">VLOOKUP($B43,[6]Dasboard_QBR_Report!$B$109:$BL$166,18,FALSE)</f>
        <v>922</v>
      </c>
      <c r="O43" s="10">
        <f ca="1">VLOOKUP($B43,'[6]Analisys QBR By Machine Report'!$C$109:$BD$166,10,FALSE)</f>
        <v>15</v>
      </c>
      <c r="P43" s="10">
        <f ca="1">VLOOKUP($B43,'[6]Analisys QBR By Machine Report'!$C$109:$BD$166,11,FALSE)</f>
        <v>15</v>
      </c>
      <c r="Q43" s="10">
        <f ca="1">VLOOKUP($B43,'[6]Analisys QBR By Machine Report'!$C$109:$BD$166,12,FALSE)</f>
        <v>0</v>
      </c>
      <c r="R43" s="10">
        <f ca="1">VLOOKUP($B43,'[6]Analisys QBR By Machine Report'!$C$109:$BD$166,13,FALSE)</f>
        <v>0</v>
      </c>
      <c r="S43" s="10">
        <f ca="1">VLOOKUP($B43,'[6]Analisys QBR By Machine Report'!$C$109:$BD$166,14,FALSE)</f>
        <v>0</v>
      </c>
      <c r="T43" s="10">
        <f ca="1">VLOOKUP($B43,'[6]Analisys QBR By Machine Report'!$C$109:$BD$166,15,FALSE)</f>
        <v>0</v>
      </c>
      <c r="U43" s="10">
        <f ca="1">VLOOKUP($B43,'[6]Analisys QBR By Machine Report'!$C$109:$BD$166,16,FALSE)</f>
        <v>0</v>
      </c>
      <c r="V43" s="10">
        <f ca="1">VLOOKUP($B43,'[6]Analisys QBR By Machine Report'!$C$109:$BD$166,17,FALSE)</f>
        <v>0</v>
      </c>
      <c r="W43" s="10">
        <f ca="1">VLOOKUP($B43,'[6]Analisys QBR By Machine Report'!$C$109:$BD$166,18,FALSE)</f>
        <v>0</v>
      </c>
      <c r="X43" s="10">
        <f ca="1">VLOOKUP($B43,'[6]Analisys QBR By Machine Report'!$C$109:$BD$166,19,FALSE)</f>
        <v>0</v>
      </c>
      <c r="Y43" s="10">
        <f ca="1">VLOOKUP($B43,'[6]Analisys QBR By Machine Report'!$C$109:$BD$166,20,FALSE)</f>
        <v>0</v>
      </c>
      <c r="Z43" s="10">
        <f ca="1">VLOOKUP($B43,'[6]Analisys QBR By Machine Report'!$C$109:$BD$166,21,FALSE)</f>
        <v>420</v>
      </c>
      <c r="AA43" s="10">
        <f ca="1">VLOOKUP($B43,'[6]Analisys QBR By Machine Report'!$C$109:$BD$166,22,FALSE)</f>
        <v>220</v>
      </c>
      <c r="AB43" s="10">
        <f ca="1">VLOOKUP($B43,'[6]Analisys QBR By Machine Report'!$C$109:$BD$166,23,FALSE)</f>
        <v>180</v>
      </c>
      <c r="AC43" s="10">
        <f ca="1">VLOOKUP($B43,'[6]Analisys QBR By Machine Report'!$C$109:$BD$166,24,FALSE)</f>
        <v>0</v>
      </c>
      <c r="AD43" s="10">
        <f ca="1">VLOOKUP($B43,'[6]Analisys QBR By Machine Report'!$C$109:$BD$166,25,FALSE)</f>
        <v>0</v>
      </c>
      <c r="AE43" s="10">
        <f ca="1">VLOOKUP($B43,'[6]Analisys QBR By Machine Report'!$C$109:$BD$166,26,FALSE)</f>
        <v>20</v>
      </c>
      <c r="AF43" s="10">
        <f ca="1">VLOOKUP($B43,'[6]Analisys QBR By Machine Report'!$C$109:$BD$166,27,FALSE)</f>
        <v>0</v>
      </c>
      <c r="AG43" s="10">
        <f ca="1">VLOOKUP($B43,'[6]Analisys QBR By Machine Report'!$C$109:$BD$166,28,FALSE)</f>
        <v>0</v>
      </c>
      <c r="AH43" s="10">
        <f ca="1">VLOOKUP($B43,'[6]Analisys QBR By Machine Report'!$C$109:$BD$166,29,FALSE)</f>
        <v>0</v>
      </c>
      <c r="AI43" s="10">
        <f ca="1">VLOOKUP($B43,'[6]Analisys QBR By Machine Report'!$C$109:$BD$166,30,FALSE)</f>
        <v>487</v>
      </c>
      <c r="AJ43" s="10">
        <f ca="1">VLOOKUP($B43,'[6]Analisys QBR By Machine Report'!$C$109:$BD$166,31,FALSE)</f>
        <v>430</v>
      </c>
      <c r="AK43" s="10">
        <f ca="1">VLOOKUP($B43,'[6]Analisys QBR By Machine Report'!$C$109:$BD$166,32,FALSE)</f>
        <v>0</v>
      </c>
      <c r="AL43" s="10">
        <f ca="1">VLOOKUP($B43,'[6]Analisys QBR By Machine Report'!$C$109:$BD$166,33,FALSE)</f>
        <v>30</v>
      </c>
      <c r="AM43" s="10">
        <f ca="1">VLOOKUP($B43,'[6]Analisys QBR By Machine Report'!$C$109:$BD$166,34,FALSE)</f>
        <v>0</v>
      </c>
      <c r="AN43" s="10">
        <f ca="1">VLOOKUP($B43,'[6]Analisys QBR By Machine Report'!$C$109:$BD$166,35,FALSE)</f>
        <v>15</v>
      </c>
      <c r="AO43" s="10">
        <f ca="1">VLOOKUP($B43,'[6]Analisys QBR By Machine Report'!$C$109:$BD$166,36,FALSE)</f>
        <v>0</v>
      </c>
      <c r="AP43" s="10">
        <f ca="1">VLOOKUP($B43,'[6]Analisys QBR By Machine Report'!$C$109:$BD$166,37,FALSE)</f>
        <v>0</v>
      </c>
      <c r="AQ43" s="10">
        <f ca="1">VLOOKUP($B43,'[6]Analisys QBR By Machine Report'!$C$109:$BD$166,38,FALSE)</f>
        <v>0</v>
      </c>
      <c r="AR43" s="10">
        <f ca="1">VLOOKUP($B43,'[6]Analisys QBR By Machine Report'!$C$109:$BD$166,39,FALSE)</f>
        <v>0</v>
      </c>
      <c r="AS43" s="10">
        <f ca="1">VLOOKUP($B43,'[6]Analisys QBR By Machine Report'!$C$109:$BD$166,40,FALSE)</f>
        <v>0</v>
      </c>
      <c r="AT43" s="10">
        <f ca="1">VLOOKUP($B43,'[6]Analisys QBR By Machine Report'!$C$109:$BD$166,41,FALSE)</f>
        <v>0</v>
      </c>
      <c r="AU43" s="10">
        <f ca="1">VLOOKUP($B43,'[6]Analisys QBR By Machine Report'!$C$109:$BD$166,42,FALSE)</f>
        <v>0</v>
      </c>
      <c r="AV43" s="10">
        <f ca="1">VLOOKUP($B43,'[6]Analisys QBR By Machine Report'!$C$109:$BD$166,43,FALSE)</f>
        <v>0</v>
      </c>
      <c r="AW43" s="10">
        <f ca="1">VLOOKUP($B43,'[6]Analisys QBR By Machine Report'!$C$109:$BD$166,44,FALSE)</f>
        <v>0</v>
      </c>
      <c r="AX43" s="10">
        <f ca="1">VLOOKUP($B43,'[6]Analisys QBR By Machine Report'!$C$109:$BD$166,45,FALSE)</f>
        <v>0</v>
      </c>
      <c r="AY43" s="10">
        <f ca="1">VLOOKUP($B43,'[6]Analisys QBR By Machine Report'!$C$109:$BD$166,46,FALSE)</f>
        <v>0</v>
      </c>
      <c r="AZ43" s="10">
        <f ca="1">VLOOKUP($B43,'[6]Analisys QBR By Machine Report'!$C$109:$BD$166,47,FALSE)</f>
        <v>12</v>
      </c>
      <c r="BA43" s="10">
        <f ca="1">VLOOKUP($B43,'[6]Analisys QBR By Machine Report'!$C$109:$BD$166,48,FALSE)</f>
        <v>0</v>
      </c>
      <c r="BB43" s="10">
        <f ca="1">VLOOKUP($B43,'[6]Analisys QBR By Machine Report'!$C$109:$BD$166,49,FALSE)</f>
        <v>0</v>
      </c>
      <c r="BC43" s="10">
        <f ca="1">VLOOKUP($B43,'[6]Analisys QBR By Machine Report'!$C$109:$BD$166,50,FALSE)</f>
        <v>0</v>
      </c>
      <c r="BD43" s="10">
        <f ca="1">VLOOKUP($B43,'[6]Analisys QBR By Machine Report'!$C$109:$BD$166,51,FALSE)</f>
        <v>185.29</v>
      </c>
      <c r="BE43" s="10">
        <f ca="1">VLOOKUP($B43,'[6]Analisys QBR By Machine Report'!$C$109:$BD$166,52,FALSE)</f>
        <v>0.35</v>
      </c>
      <c r="BF43" s="10">
        <f ca="1">VLOOKUP($B43,'[6]Analisys QBR By Machine Report'!$C$109:$BD$166,53,FALSE)</f>
        <v>184.94</v>
      </c>
    </row>
    <row r="44" spans="1:58" x14ac:dyDescent="0.25">
      <c r="A44" s="12" t="s">
        <v>100</v>
      </c>
      <c r="B44" s="13">
        <f ca="1">VLOOKUP($B44,'[6]Analisys QBR By Machine Report'!$C$109:$BD$166,2,FALSE)</f>
        <v>27360</v>
      </c>
      <c r="C44" s="14">
        <f ca="1">VLOOKUP($B44,[6]Dasboard_QBR_Report!$B$109:$BL$166,3,FALSE)</f>
        <v>9120</v>
      </c>
      <c r="D44" s="13">
        <f ca="1">VLOOKUP($B44,'[6]Analisys QBR By Machine Report'!$C$109:$BD$166,3,FALSE)</f>
        <v>26340</v>
      </c>
      <c r="E44" s="14">
        <f ca="1">VLOOKUP($B44,[6]Dasboard_QBR_Report!$B$109:$BL$166,5,FALSE)</f>
        <v>8100</v>
      </c>
      <c r="F44" s="13">
        <f t="shared" ca="1" si="0"/>
        <v>1020</v>
      </c>
      <c r="G44" s="13">
        <f t="shared" ca="1" si="1"/>
        <v>48</v>
      </c>
      <c r="H44" s="13">
        <f ca="1">VLOOKUP($B44,'[6]Analisys QBR By Machine Report'!$C$109:$BD$166,4,FALSE)</f>
        <v>48</v>
      </c>
      <c r="I44" s="13">
        <f ca="1">VLOOKUP($B44,'[6]Analisys QBR By Machine Report'!$C$109:$BD$166,5,FALSE)</f>
        <v>0</v>
      </c>
      <c r="J44" s="13">
        <f ca="1">VLOOKUP($B44,'[6]Analisys QBR By Machine Report'!$C$109:$BD$166,6,FALSE)</f>
        <v>48</v>
      </c>
      <c r="K44" s="13">
        <f ca="1">VLOOKUP($B44,'[6]Analisys QBR By Machine Report'!$C$109:$BD$166,7,FALSE)</f>
        <v>0</v>
      </c>
      <c r="L44" s="13">
        <f ca="1">VLOOKUP($B44,'[6]Analisys QBR By Machine Report'!$C$109:$BD$166,8,FALSE)</f>
        <v>972</v>
      </c>
      <c r="M44" s="13">
        <f ca="1">VLOOKUP($B44,'[6]Analisys QBR By Machine Report'!$C$109:$BD$166,9,FALSE)</f>
        <v>50</v>
      </c>
      <c r="N44" s="13">
        <f ca="1">VLOOKUP($B44,[6]Dasboard_QBR_Report!$B$109:$BL$166,18,FALSE)</f>
        <v>922</v>
      </c>
      <c r="O44" s="13">
        <f ca="1">VLOOKUP($B44,'[6]Analisys QBR By Machine Report'!$C$109:$BD$166,10,FALSE)</f>
        <v>15</v>
      </c>
      <c r="P44" s="13">
        <f ca="1">VLOOKUP($B44,'[6]Analisys QBR By Machine Report'!$C$109:$BD$166,11,FALSE)</f>
        <v>15</v>
      </c>
      <c r="Q44" s="13">
        <f ca="1">VLOOKUP($B44,'[6]Analisys QBR By Machine Report'!$C$109:$BD$166,12,FALSE)</f>
        <v>0</v>
      </c>
      <c r="R44" s="13">
        <f ca="1">VLOOKUP($B44,'[6]Analisys QBR By Machine Report'!$C$109:$BD$166,13,FALSE)</f>
        <v>0</v>
      </c>
      <c r="S44" s="13">
        <f ca="1">VLOOKUP($B44,'[6]Analisys QBR By Machine Report'!$C$109:$BD$166,14,FALSE)</f>
        <v>0</v>
      </c>
      <c r="T44" s="13">
        <f ca="1">VLOOKUP($B44,'[6]Analisys QBR By Machine Report'!$C$109:$BD$166,15,FALSE)</f>
        <v>0</v>
      </c>
      <c r="U44" s="13">
        <f ca="1">VLOOKUP($B44,'[6]Analisys QBR By Machine Report'!$C$109:$BD$166,16,FALSE)</f>
        <v>0</v>
      </c>
      <c r="V44" s="13">
        <f ca="1">VLOOKUP($B44,'[6]Analisys QBR By Machine Report'!$C$109:$BD$166,17,FALSE)</f>
        <v>0</v>
      </c>
      <c r="W44" s="13">
        <f ca="1">VLOOKUP($B44,'[6]Analisys QBR By Machine Report'!$C$109:$BD$166,18,FALSE)</f>
        <v>0</v>
      </c>
      <c r="X44" s="13">
        <f ca="1">VLOOKUP($B44,'[6]Analisys QBR By Machine Report'!$C$109:$BD$166,19,FALSE)</f>
        <v>0</v>
      </c>
      <c r="Y44" s="13">
        <f ca="1">VLOOKUP($B44,'[6]Analisys QBR By Machine Report'!$C$109:$BD$166,20,FALSE)</f>
        <v>0</v>
      </c>
      <c r="Z44" s="13">
        <f ca="1">VLOOKUP($B44,'[6]Analisys QBR By Machine Report'!$C$109:$BD$166,21,FALSE)</f>
        <v>420</v>
      </c>
      <c r="AA44" s="13">
        <f ca="1">VLOOKUP($B44,'[6]Analisys QBR By Machine Report'!$C$109:$BD$166,22,FALSE)</f>
        <v>220</v>
      </c>
      <c r="AB44" s="13">
        <f ca="1">VLOOKUP($B44,'[6]Analisys QBR By Machine Report'!$C$109:$BD$166,23,FALSE)</f>
        <v>180</v>
      </c>
      <c r="AC44" s="13">
        <f ca="1">VLOOKUP($B44,'[6]Analisys QBR By Machine Report'!$C$109:$BD$166,24,FALSE)</f>
        <v>0</v>
      </c>
      <c r="AD44" s="13">
        <f ca="1">VLOOKUP($B44,'[6]Analisys QBR By Machine Report'!$C$109:$BD$166,25,FALSE)</f>
        <v>0</v>
      </c>
      <c r="AE44" s="13">
        <f ca="1">VLOOKUP($B44,'[6]Analisys QBR By Machine Report'!$C$109:$BD$166,26,FALSE)</f>
        <v>20</v>
      </c>
      <c r="AF44" s="13">
        <f ca="1">VLOOKUP($B44,'[6]Analisys QBR By Machine Report'!$C$109:$BD$166,27,FALSE)</f>
        <v>0</v>
      </c>
      <c r="AG44" s="13">
        <f ca="1">VLOOKUP($B44,'[6]Analisys QBR By Machine Report'!$C$109:$BD$166,28,FALSE)</f>
        <v>0</v>
      </c>
      <c r="AH44" s="13">
        <f ca="1">VLOOKUP($B44,'[6]Analisys QBR By Machine Report'!$C$109:$BD$166,29,FALSE)</f>
        <v>0</v>
      </c>
      <c r="AI44" s="13">
        <f ca="1">VLOOKUP($B44,'[6]Analisys QBR By Machine Report'!$C$109:$BD$166,30,FALSE)</f>
        <v>487</v>
      </c>
      <c r="AJ44" s="13">
        <f ca="1">VLOOKUP($B44,'[6]Analisys QBR By Machine Report'!$C$109:$BD$166,31,FALSE)</f>
        <v>430</v>
      </c>
      <c r="AK44" s="13">
        <f ca="1">VLOOKUP($B44,'[6]Analisys QBR By Machine Report'!$C$109:$BD$166,32,FALSE)</f>
        <v>0</v>
      </c>
      <c r="AL44" s="13">
        <f ca="1">VLOOKUP($B44,'[6]Analisys QBR By Machine Report'!$C$109:$BD$166,33,FALSE)</f>
        <v>30</v>
      </c>
      <c r="AM44" s="13">
        <f ca="1">VLOOKUP($B44,'[6]Analisys QBR By Machine Report'!$C$109:$BD$166,34,FALSE)</f>
        <v>0</v>
      </c>
      <c r="AN44" s="13">
        <f ca="1">VLOOKUP($B44,'[6]Analisys QBR By Machine Report'!$C$109:$BD$166,35,FALSE)</f>
        <v>15</v>
      </c>
      <c r="AO44" s="13">
        <f ca="1">VLOOKUP($B44,'[6]Analisys QBR By Machine Report'!$C$109:$BD$166,36,FALSE)</f>
        <v>0</v>
      </c>
      <c r="AP44" s="13">
        <f ca="1">VLOOKUP($B44,'[6]Analisys QBR By Machine Report'!$C$109:$BD$166,37,FALSE)</f>
        <v>0</v>
      </c>
      <c r="AQ44" s="13">
        <f ca="1">VLOOKUP($B44,'[6]Analisys QBR By Machine Report'!$C$109:$BD$166,38,FALSE)</f>
        <v>0</v>
      </c>
      <c r="AR44" s="13">
        <f ca="1">VLOOKUP($B44,'[6]Analisys QBR By Machine Report'!$C$109:$BD$166,39,FALSE)</f>
        <v>0</v>
      </c>
      <c r="AS44" s="13">
        <f ca="1">VLOOKUP($B44,'[6]Analisys QBR By Machine Report'!$C$109:$BD$166,40,FALSE)</f>
        <v>0</v>
      </c>
      <c r="AT44" s="13">
        <f ca="1">VLOOKUP($B44,'[6]Analisys QBR By Machine Report'!$C$109:$BD$166,41,FALSE)</f>
        <v>0</v>
      </c>
      <c r="AU44" s="13">
        <f ca="1">VLOOKUP($B44,'[6]Analisys QBR By Machine Report'!$C$109:$BD$166,42,FALSE)</f>
        <v>0</v>
      </c>
      <c r="AV44" s="13">
        <f ca="1">VLOOKUP($B44,'[6]Analisys QBR By Machine Report'!$C$109:$BD$166,43,FALSE)</f>
        <v>0</v>
      </c>
      <c r="AW44" s="13">
        <f ca="1">VLOOKUP($B44,'[6]Analisys QBR By Machine Report'!$C$109:$BD$166,44,FALSE)</f>
        <v>0</v>
      </c>
      <c r="AX44" s="13">
        <f ca="1">VLOOKUP($B44,'[6]Analisys QBR By Machine Report'!$C$109:$BD$166,45,FALSE)</f>
        <v>0</v>
      </c>
      <c r="AY44" s="13">
        <f ca="1">VLOOKUP($B44,'[6]Analisys QBR By Machine Report'!$C$109:$BD$166,46,FALSE)</f>
        <v>0</v>
      </c>
      <c r="AZ44" s="13">
        <f ca="1">VLOOKUP($B44,'[6]Analisys QBR By Machine Report'!$C$109:$BD$166,47,FALSE)</f>
        <v>12</v>
      </c>
      <c r="BA44" s="13">
        <f ca="1">VLOOKUP($B44,'[6]Analisys QBR By Machine Report'!$C$109:$BD$166,48,FALSE)</f>
        <v>0</v>
      </c>
      <c r="BB44" s="13">
        <f ca="1">VLOOKUP($B44,'[6]Analisys QBR By Machine Report'!$C$109:$BD$166,49,FALSE)</f>
        <v>0</v>
      </c>
      <c r="BC44" s="13">
        <f ca="1">VLOOKUP($B44,'[6]Analisys QBR By Machine Report'!$C$109:$BD$166,50,FALSE)</f>
        <v>0</v>
      </c>
      <c r="BD44" s="13">
        <f ca="1">VLOOKUP($B44,'[6]Analisys QBR By Machine Report'!$C$109:$BD$166,51,FALSE)</f>
        <v>185.29</v>
      </c>
      <c r="BE44" s="13">
        <f ca="1">VLOOKUP($B44,'[6]Analisys QBR By Machine Report'!$C$109:$BD$166,52,FALSE)</f>
        <v>0.35</v>
      </c>
      <c r="BF44" s="13">
        <f ca="1">VLOOKUP($B44,'[6]Analisys QBR By Machine Report'!$C$109:$BD$166,53,FALSE)</f>
        <v>184.94</v>
      </c>
    </row>
    <row r="45" spans="1:58" x14ac:dyDescent="0.25">
      <c r="A45" s="9" t="s">
        <v>101</v>
      </c>
      <c r="B45" s="10">
        <f ca="1">VLOOKUP($B45,'[6]Analisys QBR By Machine Report'!$C$109:$BD$166,2,FALSE)</f>
        <v>27360</v>
      </c>
      <c r="C45" s="11">
        <f ca="1">VLOOKUP($B45,[6]Dasboard_QBR_Report!$B$109:$BL$166,3,FALSE)</f>
        <v>9120</v>
      </c>
      <c r="D45" s="10">
        <f ca="1">VLOOKUP($B45,'[6]Analisys QBR By Machine Report'!$C$109:$BD$166,3,FALSE)</f>
        <v>25320</v>
      </c>
      <c r="E45" s="11">
        <f ca="1">VLOOKUP($B45,[6]Dasboard_QBR_Report!$B$109:$BL$166,5,FALSE)</f>
        <v>7080</v>
      </c>
      <c r="F45" s="10">
        <f t="shared" ca="1" si="0"/>
        <v>2040</v>
      </c>
      <c r="G45" s="10">
        <f t="shared" ca="1" si="1"/>
        <v>90</v>
      </c>
      <c r="H45" s="10">
        <f ca="1">VLOOKUP($B45,'[6]Analisys QBR By Machine Report'!$C$109:$BD$166,4,FALSE)</f>
        <v>90</v>
      </c>
      <c r="I45" s="10">
        <f ca="1">VLOOKUP($B45,'[6]Analisys QBR By Machine Report'!$C$109:$BD$166,5,FALSE)</f>
        <v>90</v>
      </c>
      <c r="J45" s="10">
        <f ca="1">VLOOKUP($B45,'[6]Analisys QBR By Machine Report'!$C$109:$BD$166,6,FALSE)</f>
        <v>0</v>
      </c>
      <c r="K45" s="10">
        <f ca="1">VLOOKUP($B45,'[6]Analisys QBR By Machine Report'!$C$109:$BD$166,7,FALSE)</f>
        <v>0</v>
      </c>
      <c r="L45" s="10">
        <f ca="1">VLOOKUP($B45,'[6]Analisys QBR By Machine Report'!$C$109:$BD$166,8,FALSE)</f>
        <v>1950</v>
      </c>
      <c r="M45" s="10">
        <f ca="1">VLOOKUP($B45,'[6]Analisys QBR By Machine Report'!$C$109:$BD$166,9,FALSE)</f>
        <v>445</v>
      </c>
      <c r="N45" s="10">
        <f ca="1">VLOOKUP($B45,[6]Dasboard_QBR_Report!$B$109:$BL$166,18,FALSE)</f>
        <v>1505</v>
      </c>
      <c r="O45" s="10">
        <f ca="1">VLOOKUP($B45,'[6]Analisys QBR By Machine Report'!$C$109:$BD$166,10,FALSE)</f>
        <v>335</v>
      </c>
      <c r="P45" s="10">
        <f ca="1">VLOOKUP($B45,'[6]Analisys QBR By Machine Report'!$C$109:$BD$166,11,FALSE)</f>
        <v>180</v>
      </c>
      <c r="Q45" s="10">
        <f ca="1">VLOOKUP($B45,'[6]Analisys QBR By Machine Report'!$C$109:$BD$166,12,FALSE)</f>
        <v>0</v>
      </c>
      <c r="R45" s="10">
        <f ca="1">VLOOKUP($B45,'[6]Analisys QBR By Machine Report'!$C$109:$BD$166,13,FALSE)</f>
        <v>100</v>
      </c>
      <c r="S45" s="10">
        <f ca="1">VLOOKUP($B45,'[6]Analisys QBR By Machine Report'!$C$109:$BD$166,14,FALSE)</f>
        <v>55</v>
      </c>
      <c r="T45" s="10">
        <f ca="1">VLOOKUP($B45,'[6]Analisys QBR By Machine Report'!$C$109:$BD$166,15,FALSE)</f>
        <v>0</v>
      </c>
      <c r="U45" s="10">
        <f ca="1">VLOOKUP($B45,'[6]Analisys QBR By Machine Report'!$C$109:$BD$166,16,FALSE)</f>
        <v>0</v>
      </c>
      <c r="V45" s="10">
        <f ca="1">VLOOKUP($B45,'[6]Analisys QBR By Machine Report'!$C$109:$BD$166,17,FALSE)</f>
        <v>0</v>
      </c>
      <c r="W45" s="10">
        <f ca="1">VLOOKUP($B45,'[6]Analisys QBR By Machine Report'!$C$109:$BD$166,18,FALSE)</f>
        <v>0</v>
      </c>
      <c r="X45" s="10">
        <f ca="1">VLOOKUP($B45,'[6]Analisys QBR By Machine Report'!$C$109:$BD$166,19,FALSE)</f>
        <v>0</v>
      </c>
      <c r="Y45" s="10">
        <f ca="1">VLOOKUP($B45,'[6]Analisys QBR By Machine Report'!$C$109:$BD$166,20,FALSE)</f>
        <v>0</v>
      </c>
      <c r="Z45" s="10">
        <f ca="1">VLOOKUP($B45,'[6]Analisys QBR By Machine Report'!$C$109:$BD$166,21,FALSE)</f>
        <v>550</v>
      </c>
      <c r="AA45" s="10">
        <f ca="1">VLOOKUP($B45,'[6]Analisys QBR By Machine Report'!$C$109:$BD$166,22,FALSE)</f>
        <v>330</v>
      </c>
      <c r="AB45" s="10">
        <f ca="1">VLOOKUP($B45,'[6]Analisys QBR By Machine Report'!$C$109:$BD$166,23,FALSE)</f>
        <v>195</v>
      </c>
      <c r="AC45" s="10">
        <f ca="1">VLOOKUP($B45,'[6]Analisys QBR By Machine Report'!$C$109:$BD$166,24,FALSE)</f>
        <v>0</v>
      </c>
      <c r="AD45" s="10">
        <f ca="1">VLOOKUP($B45,'[6]Analisys QBR By Machine Report'!$C$109:$BD$166,25,FALSE)</f>
        <v>0</v>
      </c>
      <c r="AE45" s="10">
        <f ca="1">VLOOKUP($B45,'[6]Analisys QBR By Machine Report'!$C$109:$BD$166,26,FALSE)</f>
        <v>25</v>
      </c>
      <c r="AF45" s="10">
        <f ca="1">VLOOKUP($B45,'[6]Analisys QBR By Machine Report'!$C$109:$BD$166,27,FALSE)</f>
        <v>0</v>
      </c>
      <c r="AG45" s="10">
        <f ca="1">VLOOKUP($B45,'[6]Analisys QBR By Machine Report'!$C$109:$BD$166,28,FALSE)</f>
        <v>0</v>
      </c>
      <c r="AH45" s="10">
        <f ca="1">VLOOKUP($B45,'[6]Analisys QBR By Machine Report'!$C$109:$BD$166,29,FALSE)</f>
        <v>0</v>
      </c>
      <c r="AI45" s="10">
        <f ca="1">VLOOKUP($B45,'[6]Analisys QBR By Machine Report'!$C$109:$BD$166,30,FALSE)</f>
        <v>620</v>
      </c>
      <c r="AJ45" s="10">
        <f ca="1">VLOOKUP($B45,'[6]Analisys QBR By Machine Report'!$C$109:$BD$166,31,FALSE)</f>
        <v>0</v>
      </c>
      <c r="AK45" s="10">
        <f ca="1">VLOOKUP($B45,'[6]Analisys QBR By Machine Report'!$C$109:$BD$166,32,FALSE)</f>
        <v>0</v>
      </c>
      <c r="AL45" s="10">
        <f ca="1">VLOOKUP($B45,'[6]Analisys QBR By Machine Report'!$C$109:$BD$166,33,FALSE)</f>
        <v>90</v>
      </c>
      <c r="AM45" s="10">
        <f ca="1">VLOOKUP($B45,'[6]Analisys QBR By Machine Report'!$C$109:$BD$166,34,FALSE)</f>
        <v>0</v>
      </c>
      <c r="AN45" s="10">
        <f ca="1">VLOOKUP($B45,'[6]Analisys QBR By Machine Report'!$C$109:$BD$166,35,FALSE)</f>
        <v>45</v>
      </c>
      <c r="AO45" s="10">
        <f ca="1">VLOOKUP($B45,'[6]Analisys QBR By Machine Report'!$C$109:$BD$166,36,FALSE)</f>
        <v>0</v>
      </c>
      <c r="AP45" s="10">
        <f ca="1">VLOOKUP($B45,'[6]Analisys QBR By Machine Report'!$C$109:$BD$166,37,FALSE)</f>
        <v>0</v>
      </c>
      <c r="AQ45" s="10">
        <f ca="1">VLOOKUP($B45,'[6]Analisys QBR By Machine Report'!$C$109:$BD$166,38,FALSE)</f>
        <v>0</v>
      </c>
      <c r="AR45" s="10">
        <f ca="1">VLOOKUP($B45,'[6]Analisys QBR By Machine Report'!$C$109:$BD$166,39,FALSE)</f>
        <v>0</v>
      </c>
      <c r="AS45" s="10">
        <f ca="1">VLOOKUP($B45,'[6]Analisys QBR By Machine Report'!$C$109:$BD$166,40,FALSE)</f>
        <v>45</v>
      </c>
      <c r="AT45" s="10">
        <f ca="1">VLOOKUP($B45,'[6]Analisys QBR By Machine Report'!$C$109:$BD$166,41,FALSE)</f>
        <v>0</v>
      </c>
      <c r="AU45" s="10">
        <f ca="1">VLOOKUP($B45,'[6]Analisys QBR By Machine Report'!$C$109:$BD$166,42,FALSE)</f>
        <v>0</v>
      </c>
      <c r="AV45" s="10">
        <f ca="1">VLOOKUP($B45,'[6]Analisys QBR By Machine Report'!$C$109:$BD$166,43,FALSE)</f>
        <v>0</v>
      </c>
      <c r="AW45" s="10">
        <f ca="1">VLOOKUP($B45,'[6]Analisys QBR By Machine Report'!$C$109:$BD$166,44,FALSE)</f>
        <v>0</v>
      </c>
      <c r="AX45" s="10">
        <f ca="1">VLOOKUP($B45,'[6]Analisys QBR By Machine Report'!$C$109:$BD$166,45,FALSE)</f>
        <v>0</v>
      </c>
      <c r="AY45" s="10">
        <f ca="1">VLOOKUP($B45,'[6]Analisys QBR By Machine Report'!$C$109:$BD$166,46,FALSE)</f>
        <v>0</v>
      </c>
      <c r="AZ45" s="10">
        <f ca="1">VLOOKUP($B45,'[6]Analisys QBR By Machine Report'!$C$109:$BD$166,47,FALSE)</f>
        <v>30</v>
      </c>
      <c r="BA45" s="10">
        <f ca="1">VLOOKUP($B45,'[6]Analisys QBR By Machine Report'!$C$109:$BD$166,48,FALSE)</f>
        <v>0</v>
      </c>
      <c r="BB45" s="10">
        <f ca="1">VLOOKUP($B45,'[6]Analisys QBR By Machine Report'!$C$109:$BD$166,49,FALSE)</f>
        <v>0</v>
      </c>
      <c r="BC45" s="10">
        <f ca="1">VLOOKUP($B45,'[6]Analisys QBR By Machine Report'!$C$109:$BD$166,50,FALSE)</f>
        <v>410</v>
      </c>
      <c r="BD45" s="10">
        <f ca="1">VLOOKUP($B45,'[6]Analisys QBR By Machine Report'!$C$109:$BD$166,51,FALSE)</f>
        <v>13799</v>
      </c>
      <c r="BE45" s="10">
        <f ca="1">VLOOKUP($B45,'[6]Analisys QBR By Machine Report'!$C$109:$BD$166,52,FALSE)</f>
        <v>45</v>
      </c>
      <c r="BF45" s="10">
        <f ca="1">VLOOKUP($B45,'[6]Analisys QBR By Machine Report'!$C$109:$BD$166,53,FALSE)</f>
        <v>13754</v>
      </c>
    </row>
    <row r="46" spans="1:58" x14ac:dyDescent="0.25">
      <c r="A46" s="12" t="s">
        <v>102</v>
      </c>
      <c r="B46" s="13">
        <f ca="1">VLOOKUP($B46,'[6]Analisys QBR By Machine Report'!$C$109:$BD$166,2,FALSE)</f>
        <v>27360</v>
      </c>
      <c r="C46" s="14">
        <f ca="1">VLOOKUP($B46,[6]Dasboard_QBR_Report!$B$109:$BL$166,3,FALSE)</f>
        <v>9120</v>
      </c>
      <c r="D46" s="13">
        <f ca="1">VLOOKUP($B46,'[6]Analisys QBR By Machine Report'!$C$109:$BD$166,3,FALSE)</f>
        <v>25320</v>
      </c>
      <c r="E46" s="14">
        <f ca="1">VLOOKUP($B46,[6]Dasboard_QBR_Report!$B$109:$BL$166,5,FALSE)</f>
        <v>7080</v>
      </c>
      <c r="F46" s="13">
        <f t="shared" ca="1" si="0"/>
        <v>2040</v>
      </c>
      <c r="G46" s="13">
        <f t="shared" ca="1" si="1"/>
        <v>90</v>
      </c>
      <c r="H46" s="13">
        <f ca="1">VLOOKUP($B46,'[6]Analisys QBR By Machine Report'!$C$109:$BD$166,4,FALSE)</f>
        <v>90</v>
      </c>
      <c r="I46" s="13">
        <f ca="1">VLOOKUP($B46,'[6]Analisys QBR By Machine Report'!$C$109:$BD$166,5,FALSE)</f>
        <v>90</v>
      </c>
      <c r="J46" s="13">
        <f ca="1">VLOOKUP($B46,'[6]Analisys QBR By Machine Report'!$C$109:$BD$166,6,FALSE)</f>
        <v>0</v>
      </c>
      <c r="K46" s="13">
        <f ca="1">VLOOKUP($B46,'[6]Analisys QBR By Machine Report'!$C$109:$BD$166,7,FALSE)</f>
        <v>0</v>
      </c>
      <c r="L46" s="13">
        <f ca="1">VLOOKUP($B46,'[6]Analisys QBR By Machine Report'!$C$109:$BD$166,8,FALSE)</f>
        <v>1950</v>
      </c>
      <c r="M46" s="13">
        <f ca="1">VLOOKUP($B46,'[6]Analisys QBR By Machine Report'!$C$109:$BD$166,9,FALSE)</f>
        <v>445</v>
      </c>
      <c r="N46" s="13">
        <f ca="1">VLOOKUP($B46,[6]Dasboard_QBR_Report!$B$109:$BL$166,18,FALSE)</f>
        <v>1505</v>
      </c>
      <c r="O46" s="13">
        <f ca="1">VLOOKUP($B46,'[6]Analisys QBR By Machine Report'!$C$109:$BD$166,10,FALSE)</f>
        <v>335</v>
      </c>
      <c r="P46" s="13">
        <f ca="1">VLOOKUP($B46,'[6]Analisys QBR By Machine Report'!$C$109:$BD$166,11,FALSE)</f>
        <v>180</v>
      </c>
      <c r="Q46" s="13">
        <f ca="1">VLOOKUP($B46,'[6]Analisys QBR By Machine Report'!$C$109:$BD$166,12,FALSE)</f>
        <v>0</v>
      </c>
      <c r="R46" s="13">
        <f ca="1">VLOOKUP($B46,'[6]Analisys QBR By Machine Report'!$C$109:$BD$166,13,FALSE)</f>
        <v>100</v>
      </c>
      <c r="S46" s="13">
        <f ca="1">VLOOKUP($B46,'[6]Analisys QBR By Machine Report'!$C$109:$BD$166,14,FALSE)</f>
        <v>55</v>
      </c>
      <c r="T46" s="13">
        <f ca="1">VLOOKUP($B46,'[6]Analisys QBR By Machine Report'!$C$109:$BD$166,15,FALSE)</f>
        <v>0</v>
      </c>
      <c r="U46" s="13">
        <f ca="1">VLOOKUP($B46,'[6]Analisys QBR By Machine Report'!$C$109:$BD$166,16,FALSE)</f>
        <v>0</v>
      </c>
      <c r="V46" s="13">
        <f ca="1">VLOOKUP($B46,'[6]Analisys QBR By Machine Report'!$C$109:$BD$166,17,FALSE)</f>
        <v>0</v>
      </c>
      <c r="W46" s="13">
        <f ca="1">VLOOKUP($B46,'[6]Analisys QBR By Machine Report'!$C$109:$BD$166,18,FALSE)</f>
        <v>0</v>
      </c>
      <c r="X46" s="13">
        <f ca="1">VLOOKUP($B46,'[6]Analisys QBR By Machine Report'!$C$109:$BD$166,19,FALSE)</f>
        <v>0</v>
      </c>
      <c r="Y46" s="13">
        <f ca="1">VLOOKUP($B46,'[6]Analisys QBR By Machine Report'!$C$109:$BD$166,20,FALSE)</f>
        <v>0</v>
      </c>
      <c r="Z46" s="13">
        <f ca="1">VLOOKUP($B46,'[6]Analisys QBR By Machine Report'!$C$109:$BD$166,21,FALSE)</f>
        <v>550</v>
      </c>
      <c r="AA46" s="13">
        <f ca="1">VLOOKUP($B46,'[6]Analisys QBR By Machine Report'!$C$109:$BD$166,22,FALSE)</f>
        <v>330</v>
      </c>
      <c r="AB46" s="13">
        <f ca="1">VLOOKUP($B46,'[6]Analisys QBR By Machine Report'!$C$109:$BD$166,23,FALSE)</f>
        <v>195</v>
      </c>
      <c r="AC46" s="13">
        <f ca="1">VLOOKUP($B46,'[6]Analisys QBR By Machine Report'!$C$109:$BD$166,24,FALSE)</f>
        <v>0</v>
      </c>
      <c r="AD46" s="13">
        <f ca="1">VLOOKUP($B46,'[6]Analisys QBR By Machine Report'!$C$109:$BD$166,25,FALSE)</f>
        <v>0</v>
      </c>
      <c r="AE46" s="13">
        <f ca="1">VLOOKUP($B46,'[6]Analisys QBR By Machine Report'!$C$109:$BD$166,26,FALSE)</f>
        <v>25</v>
      </c>
      <c r="AF46" s="13">
        <f ca="1">VLOOKUP($B46,'[6]Analisys QBR By Machine Report'!$C$109:$BD$166,27,FALSE)</f>
        <v>0</v>
      </c>
      <c r="AG46" s="13">
        <f ca="1">VLOOKUP($B46,'[6]Analisys QBR By Machine Report'!$C$109:$BD$166,28,FALSE)</f>
        <v>0</v>
      </c>
      <c r="AH46" s="13">
        <f ca="1">VLOOKUP($B46,'[6]Analisys QBR By Machine Report'!$C$109:$BD$166,29,FALSE)</f>
        <v>0</v>
      </c>
      <c r="AI46" s="13">
        <f ca="1">VLOOKUP($B46,'[6]Analisys QBR By Machine Report'!$C$109:$BD$166,30,FALSE)</f>
        <v>620</v>
      </c>
      <c r="AJ46" s="13">
        <f ca="1">VLOOKUP($B46,'[6]Analisys QBR By Machine Report'!$C$109:$BD$166,31,FALSE)</f>
        <v>0</v>
      </c>
      <c r="AK46" s="13">
        <f ca="1">VLOOKUP($B46,'[6]Analisys QBR By Machine Report'!$C$109:$BD$166,32,FALSE)</f>
        <v>0</v>
      </c>
      <c r="AL46" s="13">
        <f ca="1">VLOOKUP($B46,'[6]Analisys QBR By Machine Report'!$C$109:$BD$166,33,FALSE)</f>
        <v>90</v>
      </c>
      <c r="AM46" s="13">
        <f ca="1">VLOOKUP($B46,'[6]Analisys QBR By Machine Report'!$C$109:$BD$166,34,FALSE)</f>
        <v>0</v>
      </c>
      <c r="AN46" s="13">
        <f ca="1">VLOOKUP($B46,'[6]Analisys QBR By Machine Report'!$C$109:$BD$166,35,FALSE)</f>
        <v>45</v>
      </c>
      <c r="AO46" s="13">
        <f ca="1">VLOOKUP($B46,'[6]Analisys QBR By Machine Report'!$C$109:$BD$166,36,FALSE)</f>
        <v>0</v>
      </c>
      <c r="AP46" s="13">
        <f ca="1">VLOOKUP($B46,'[6]Analisys QBR By Machine Report'!$C$109:$BD$166,37,FALSE)</f>
        <v>0</v>
      </c>
      <c r="AQ46" s="13">
        <f ca="1">VLOOKUP($B46,'[6]Analisys QBR By Machine Report'!$C$109:$BD$166,38,FALSE)</f>
        <v>0</v>
      </c>
      <c r="AR46" s="13">
        <f ca="1">VLOOKUP($B46,'[6]Analisys QBR By Machine Report'!$C$109:$BD$166,39,FALSE)</f>
        <v>0</v>
      </c>
      <c r="AS46" s="13">
        <f ca="1">VLOOKUP($B46,'[6]Analisys QBR By Machine Report'!$C$109:$BD$166,40,FALSE)</f>
        <v>45</v>
      </c>
      <c r="AT46" s="13">
        <f ca="1">VLOOKUP($B46,'[6]Analisys QBR By Machine Report'!$C$109:$BD$166,41,FALSE)</f>
        <v>0</v>
      </c>
      <c r="AU46" s="13">
        <f ca="1">VLOOKUP($B46,'[6]Analisys QBR By Machine Report'!$C$109:$BD$166,42,FALSE)</f>
        <v>0</v>
      </c>
      <c r="AV46" s="13">
        <f ca="1">VLOOKUP($B46,'[6]Analisys QBR By Machine Report'!$C$109:$BD$166,43,FALSE)</f>
        <v>0</v>
      </c>
      <c r="AW46" s="13">
        <f ca="1">VLOOKUP($B46,'[6]Analisys QBR By Machine Report'!$C$109:$BD$166,44,FALSE)</f>
        <v>0</v>
      </c>
      <c r="AX46" s="13">
        <f ca="1">VLOOKUP($B46,'[6]Analisys QBR By Machine Report'!$C$109:$BD$166,45,FALSE)</f>
        <v>0</v>
      </c>
      <c r="AY46" s="13">
        <f ca="1">VLOOKUP($B46,'[6]Analisys QBR By Machine Report'!$C$109:$BD$166,46,FALSE)</f>
        <v>0</v>
      </c>
      <c r="AZ46" s="13">
        <f ca="1">VLOOKUP($B46,'[6]Analisys QBR By Machine Report'!$C$109:$BD$166,47,FALSE)</f>
        <v>30</v>
      </c>
      <c r="BA46" s="13">
        <f ca="1">VLOOKUP($B46,'[6]Analisys QBR By Machine Report'!$C$109:$BD$166,48,FALSE)</f>
        <v>0</v>
      </c>
      <c r="BB46" s="13">
        <f ca="1">VLOOKUP($B46,'[6]Analisys QBR By Machine Report'!$C$109:$BD$166,49,FALSE)</f>
        <v>0</v>
      </c>
      <c r="BC46" s="13">
        <f ca="1">VLOOKUP($B46,'[6]Analisys QBR By Machine Report'!$C$109:$BD$166,50,FALSE)</f>
        <v>410</v>
      </c>
      <c r="BD46" s="13">
        <f ca="1">VLOOKUP($B46,'[6]Analisys QBR By Machine Report'!$C$109:$BD$166,51,FALSE)</f>
        <v>13799</v>
      </c>
      <c r="BE46" s="13">
        <f ca="1">VLOOKUP($B46,'[6]Analisys QBR By Machine Report'!$C$109:$BD$166,52,FALSE)</f>
        <v>45</v>
      </c>
      <c r="BF46" s="13">
        <f ca="1">VLOOKUP($B46,'[6]Analisys QBR By Machine Report'!$C$109:$BD$166,53,FALSE)</f>
        <v>13754</v>
      </c>
    </row>
    <row r="47" spans="1:58" x14ac:dyDescent="0.25">
      <c r="A47" s="9" t="s">
        <v>103</v>
      </c>
      <c r="B47" s="10">
        <f ca="1">VLOOKUP($B47,'[6]Analisys QBR By Machine Report'!$C$109:$BD$166,2,FALSE)</f>
        <v>27360</v>
      </c>
      <c r="C47" s="11">
        <f ca="1">VLOOKUP($B47,[6]Dasboard_QBR_Report!$B$109:$BL$166,3,FALSE)</f>
        <v>9120</v>
      </c>
      <c r="D47" s="10">
        <f ca="1">VLOOKUP($B47,'[6]Analisys QBR By Machine Report'!$C$109:$BD$166,3,FALSE)</f>
        <v>26850</v>
      </c>
      <c r="E47" s="11">
        <f ca="1">VLOOKUP($B47,[6]Dasboard_QBR_Report!$B$109:$BL$166,5,FALSE)</f>
        <v>8610</v>
      </c>
      <c r="F47" s="10">
        <f t="shared" ca="1" si="0"/>
        <v>510</v>
      </c>
      <c r="G47" s="10">
        <f t="shared" ca="1" si="1"/>
        <v>30</v>
      </c>
      <c r="H47" s="10">
        <f ca="1">VLOOKUP($B47,'[6]Analisys QBR By Machine Report'!$C$109:$BD$166,4,FALSE)</f>
        <v>30</v>
      </c>
      <c r="I47" s="10">
        <f ca="1">VLOOKUP($B47,'[6]Analisys QBR By Machine Report'!$C$109:$BD$166,5,FALSE)</f>
        <v>30</v>
      </c>
      <c r="J47" s="10">
        <f ca="1">VLOOKUP($B47,'[6]Analisys QBR By Machine Report'!$C$109:$BD$166,6,FALSE)</f>
        <v>0</v>
      </c>
      <c r="K47" s="10">
        <f ca="1">VLOOKUP($B47,'[6]Analisys QBR By Machine Report'!$C$109:$BD$166,7,FALSE)</f>
        <v>0</v>
      </c>
      <c r="L47" s="10">
        <f ca="1">VLOOKUP($B47,'[6]Analisys QBR By Machine Report'!$C$109:$BD$166,8,FALSE)</f>
        <v>480</v>
      </c>
      <c r="M47" s="10">
        <f ca="1">VLOOKUP($B47,'[6]Analisys QBR By Machine Report'!$C$109:$BD$166,9,FALSE)</f>
        <v>160</v>
      </c>
      <c r="N47" s="10">
        <f ca="1">VLOOKUP($B47,[6]Dasboard_QBR_Report!$B$109:$BL$166,18,FALSE)</f>
        <v>320</v>
      </c>
      <c r="O47" s="10">
        <f ca="1">VLOOKUP($B47,'[6]Analisys QBR By Machine Report'!$C$109:$BD$166,10,FALSE)</f>
        <v>20</v>
      </c>
      <c r="P47" s="10">
        <f ca="1">VLOOKUP($B47,'[6]Analisys QBR By Machine Report'!$C$109:$BD$166,11,FALSE)</f>
        <v>10</v>
      </c>
      <c r="Q47" s="10">
        <f ca="1">VLOOKUP($B47,'[6]Analisys QBR By Machine Report'!$C$109:$BD$166,12,FALSE)</f>
        <v>0</v>
      </c>
      <c r="R47" s="10">
        <f ca="1">VLOOKUP($B47,'[6]Analisys QBR By Machine Report'!$C$109:$BD$166,13,FALSE)</f>
        <v>10</v>
      </c>
      <c r="S47" s="10">
        <f ca="1">VLOOKUP($B47,'[6]Analisys QBR By Machine Report'!$C$109:$BD$166,14,FALSE)</f>
        <v>0</v>
      </c>
      <c r="T47" s="10">
        <f ca="1">VLOOKUP($B47,'[6]Analisys QBR By Machine Report'!$C$109:$BD$166,15,FALSE)</f>
        <v>0</v>
      </c>
      <c r="U47" s="10">
        <f ca="1">VLOOKUP($B47,'[6]Analisys QBR By Machine Report'!$C$109:$BD$166,16,FALSE)</f>
        <v>0</v>
      </c>
      <c r="V47" s="10">
        <f ca="1">VLOOKUP($B47,'[6]Analisys QBR By Machine Report'!$C$109:$BD$166,17,FALSE)</f>
        <v>0</v>
      </c>
      <c r="W47" s="10">
        <f ca="1">VLOOKUP($B47,'[6]Analisys QBR By Machine Report'!$C$109:$BD$166,18,FALSE)</f>
        <v>0</v>
      </c>
      <c r="X47" s="10">
        <f ca="1">VLOOKUP($B47,'[6]Analisys QBR By Machine Report'!$C$109:$BD$166,19,FALSE)</f>
        <v>0</v>
      </c>
      <c r="Y47" s="10">
        <f ca="1">VLOOKUP($B47,'[6]Analisys QBR By Machine Report'!$C$109:$BD$166,20,FALSE)</f>
        <v>0</v>
      </c>
      <c r="Z47" s="10">
        <f ca="1">VLOOKUP($B47,'[6]Analisys QBR By Machine Report'!$C$109:$BD$166,21,FALSE)</f>
        <v>190</v>
      </c>
      <c r="AA47" s="10">
        <f ca="1">VLOOKUP($B47,'[6]Analisys QBR By Machine Report'!$C$109:$BD$166,22,FALSE)</f>
        <v>35</v>
      </c>
      <c r="AB47" s="10">
        <f ca="1">VLOOKUP($B47,'[6]Analisys QBR By Machine Report'!$C$109:$BD$166,23,FALSE)</f>
        <v>0</v>
      </c>
      <c r="AC47" s="10">
        <f ca="1">VLOOKUP($B47,'[6]Analisys QBR By Machine Report'!$C$109:$BD$166,24,FALSE)</f>
        <v>0</v>
      </c>
      <c r="AD47" s="10">
        <f ca="1">VLOOKUP($B47,'[6]Analisys QBR By Machine Report'!$C$109:$BD$166,25,FALSE)</f>
        <v>0</v>
      </c>
      <c r="AE47" s="10">
        <f ca="1">VLOOKUP($B47,'[6]Analisys QBR By Machine Report'!$C$109:$BD$166,26,FALSE)</f>
        <v>155</v>
      </c>
      <c r="AF47" s="10">
        <f ca="1">VLOOKUP($B47,'[6]Analisys QBR By Machine Report'!$C$109:$BD$166,27,FALSE)</f>
        <v>0</v>
      </c>
      <c r="AG47" s="10">
        <f ca="1">VLOOKUP($B47,'[6]Analisys QBR By Machine Report'!$C$109:$BD$166,28,FALSE)</f>
        <v>0</v>
      </c>
      <c r="AH47" s="10">
        <f ca="1">VLOOKUP($B47,'[6]Analisys QBR By Machine Report'!$C$109:$BD$166,29,FALSE)</f>
        <v>0</v>
      </c>
      <c r="AI47" s="10">
        <f ca="1">VLOOKUP($B47,'[6]Analisys QBR By Machine Report'!$C$109:$BD$166,30,FALSE)</f>
        <v>110</v>
      </c>
      <c r="AJ47" s="10">
        <f ca="1">VLOOKUP($B47,'[6]Analisys QBR By Machine Report'!$C$109:$BD$166,31,FALSE)</f>
        <v>0</v>
      </c>
      <c r="AK47" s="10">
        <f ca="1">VLOOKUP($B47,'[6]Analisys QBR By Machine Report'!$C$109:$BD$166,32,FALSE)</f>
        <v>0</v>
      </c>
      <c r="AL47" s="10">
        <f ca="1">VLOOKUP($B47,'[6]Analisys QBR By Machine Report'!$C$109:$BD$166,33,FALSE)</f>
        <v>30</v>
      </c>
      <c r="AM47" s="10">
        <f ca="1">VLOOKUP($B47,'[6]Analisys QBR By Machine Report'!$C$109:$BD$166,34,FALSE)</f>
        <v>0</v>
      </c>
      <c r="AN47" s="10">
        <f ca="1">VLOOKUP($B47,'[6]Analisys QBR By Machine Report'!$C$109:$BD$166,35,FALSE)</f>
        <v>15</v>
      </c>
      <c r="AO47" s="10">
        <f ca="1">VLOOKUP($B47,'[6]Analisys QBR By Machine Report'!$C$109:$BD$166,36,FALSE)</f>
        <v>0</v>
      </c>
      <c r="AP47" s="10">
        <f ca="1">VLOOKUP($B47,'[6]Analisys QBR By Machine Report'!$C$109:$BD$166,37,FALSE)</f>
        <v>0</v>
      </c>
      <c r="AQ47" s="10">
        <f ca="1">VLOOKUP($B47,'[6]Analisys QBR By Machine Report'!$C$109:$BD$166,38,FALSE)</f>
        <v>0</v>
      </c>
      <c r="AR47" s="10">
        <f ca="1">VLOOKUP($B47,'[6]Analisys QBR By Machine Report'!$C$109:$BD$166,39,FALSE)</f>
        <v>0</v>
      </c>
      <c r="AS47" s="10">
        <f ca="1">VLOOKUP($B47,'[6]Analisys QBR By Machine Report'!$C$109:$BD$166,40,FALSE)</f>
        <v>20</v>
      </c>
      <c r="AT47" s="10">
        <f ca="1">VLOOKUP($B47,'[6]Analisys QBR By Machine Report'!$C$109:$BD$166,41,FALSE)</f>
        <v>0</v>
      </c>
      <c r="AU47" s="10">
        <f ca="1">VLOOKUP($B47,'[6]Analisys QBR By Machine Report'!$C$109:$BD$166,42,FALSE)</f>
        <v>0</v>
      </c>
      <c r="AV47" s="10">
        <f ca="1">VLOOKUP($B47,'[6]Analisys QBR By Machine Report'!$C$109:$BD$166,43,FALSE)</f>
        <v>0</v>
      </c>
      <c r="AW47" s="10">
        <f ca="1">VLOOKUP($B47,'[6]Analisys QBR By Machine Report'!$C$109:$BD$166,44,FALSE)</f>
        <v>0</v>
      </c>
      <c r="AX47" s="10">
        <f ca="1">VLOOKUP($B47,'[6]Analisys QBR By Machine Report'!$C$109:$BD$166,45,FALSE)</f>
        <v>0</v>
      </c>
      <c r="AY47" s="10">
        <f ca="1">VLOOKUP($B47,'[6]Analisys QBR By Machine Report'!$C$109:$BD$166,46,FALSE)</f>
        <v>0</v>
      </c>
      <c r="AZ47" s="10">
        <f ca="1">VLOOKUP($B47,'[6]Analisys QBR By Machine Report'!$C$109:$BD$166,47,FALSE)</f>
        <v>10</v>
      </c>
      <c r="BA47" s="10">
        <f ca="1">VLOOKUP($B47,'[6]Analisys QBR By Machine Report'!$C$109:$BD$166,48,FALSE)</f>
        <v>0</v>
      </c>
      <c r="BB47" s="10">
        <f ca="1">VLOOKUP($B47,'[6]Analisys QBR By Machine Report'!$C$109:$BD$166,49,FALSE)</f>
        <v>0</v>
      </c>
      <c r="BC47" s="10">
        <f ca="1">VLOOKUP($B47,'[6]Analisys QBR By Machine Report'!$C$109:$BD$166,50,FALSE)</f>
        <v>35</v>
      </c>
      <c r="BD47" s="10">
        <f ca="1">VLOOKUP($B47,'[6]Analisys QBR By Machine Report'!$C$109:$BD$166,51,FALSE)</f>
        <v>97969</v>
      </c>
      <c r="BE47" s="10">
        <f ca="1">VLOOKUP($B47,'[6]Analisys QBR By Machine Report'!$C$109:$BD$166,52,FALSE)</f>
        <v>0</v>
      </c>
      <c r="BF47" s="10">
        <f ca="1">VLOOKUP($B47,'[6]Analisys QBR By Machine Report'!$C$109:$BD$166,53,FALSE)</f>
        <v>97969</v>
      </c>
    </row>
    <row r="48" spans="1:58" x14ac:dyDescent="0.25">
      <c r="A48" s="12" t="s">
        <v>104</v>
      </c>
      <c r="B48" s="13">
        <f ca="1">VLOOKUP($B48,'[6]Analisys QBR By Machine Report'!$C$109:$BD$166,2,FALSE)</f>
        <v>27360</v>
      </c>
      <c r="C48" s="14">
        <f ca="1">VLOOKUP($B48,[6]Dasboard_QBR_Report!$B$109:$BL$166,3,FALSE)</f>
        <v>9120</v>
      </c>
      <c r="D48" s="13">
        <f ca="1">VLOOKUP($B48,'[6]Analisys QBR By Machine Report'!$C$109:$BD$166,3,FALSE)</f>
        <v>26850</v>
      </c>
      <c r="E48" s="14">
        <f ca="1">VLOOKUP($B48,[6]Dasboard_QBR_Report!$B$109:$BL$166,5,FALSE)</f>
        <v>8610</v>
      </c>
      <c r="F48" s="13">
        <f t="shared" ca="1" si="0"/>
        <v>510</v>
      </c>
      <c r="G48" s="13">
        <f t="shared" ca="1" si="1"/>
        <v>30</v>
      </c>
      <c r="H48" s="13">
        <f ca="1">VLOOKUP($B48,'[6]Analisys QBR By Machine Report'!$C$109:$BD$166,4,FALSE)</f>
        <v>30</v>
      </c>
      <c r="I48" s="13">
        <f ca="1">VLOOKUP($B48,'[6]Analisys QBR By Machine Report'!$C$109:$BD$166,5,FALSE)</f>
        <v>30</v>
      </c>
      <c r="J48" s="13">
        <f ca="1">VLOOKUP($B48,'[6]Analisys QBR By Machine Report'!$C$109:$BD$166,6,FALSE)</f>
        <v>0</v>
      </c>
      <c r="K48" s="13">
        <f ca="1">VLOOKUP($B48,'[6]Analisys QBR By Machine Report'!$C$109:$BD$166,7,FALSE)</f>
        <v>0</v>
      </c>
      <c r="L48" s="13">
        <f ca="1">VLOOKUP($B48,'[6]Analisys QBR By Machine Report'!$C$109:$BD$166,8,FALSE)</f>
        <v>480</v>
      </c>
      <c r="M48" s="13">
        <f ca="1">VLOOKUP($B48,'[6]Analisys QBR By Machine Report'!$C$109:$BD$166,9,FALSE)</f>
        <v>160</v>
      </c>
      <c r="N48" s="13">
        <f ca="1">VLOOKUP($B48,[6]Dasboard_QBR_Report!$B$109:$BL$166,18,FALSE)</f>
        <v>320</v>
      </c>
      <c r="O48" s="13">
        <f ca="1">VLOOKUP($B48,'[6]Analisys QBR By Machine Report'!$C$109:$BD$166,10,FALSE)</f>
        <v>20</v>
      </c>
      <c r="P48" s="13">
        <f ca="1">VLOOKUP($B48,'[6]Analisys QBR By Machine Report'!$C$109:$BD$166,11,FALSE)</f>
        <v>10</v>
      </c>
      <c r="Q48" s="13">
        <f ca="1">VLOOKUP($B48,'[6]Analisys QBR By Machine Report'!$C$109:$BD$166,12,FALSE)</f>
        <v>0</v>
      </c>
      <c r="R48" s="13">
        <f ca="1">VLOOKUP($B48,'[6]Analisys QBR By Machine Report'!$C$109:$BD$166,13,FALSE)</f>
        <v>10</v>
      </c>
      <c r="S48" s="13">
        <f ca="1">VLOOKUP($B48,'[6]Analisys QBR By Machine Report'!$C$109:$BD$166,14,FALSE)</f>
        <v>0</v>
      </c>
      <c r="T48" s="13">
        <f ca="1">VLOOKUP($B48,'[6]Analisys QBR By Machine Report'!$C$109:$BD$166,15,FALSE)</f>
        <v>0</v>
      </c>
      <c r="U48" s="13">
        <f ca="1">VLOOKUP($B48,'[6]Analisys QBR By Machine Report'!$C$109:$BD$166,16,FALSE)</f>
        <v>0</v>
      </c>
      <c r="V48" s="13">
        <f ca="1">VLOOKUP($B48,'[6]Analisys QBR By Machine Report'!$C$109:$BD$166,17,FALSE)</f>
        <v>0</v>
      </c>
      <c r="W48" s="13">
        <f ca="1">VLOOKUP($B48,'[6]Analisys QBR By Machine Report'!$C$109:$BD$166,18,FALSE)</f>
        <v>0</v>
      </c>
      <c r="X48" s="13">
        <f ca="1">VLOOKUP($B48,'[6]Analisys QBR By Machine Report'!$C$109:$BD$166,19,FALSE)</f>
        <v>0</v>
      </c>
      <c r="Y48" s="13">
        <f ca="1">VLOOKUP($B48,'[6]Analisys QBR By Machine Report'!$C$109:$BD$166,20,FALSE)</f>
        <v>0</v>
      </c>
      <c r="Z48" s="13">
        <f ca="1">VLOOKUP($B48,'[6]Analisys QBR By Machine Report'!$C$109:$BD$166,21,FALSE)</f>
        <v>190</v>
      </c>
      <c r="AA48" s="13">
        <f ca="1">VLOOKUP($B48,'[6]Analisys QBR By Machine Report'!$C$109:$BD$166,22,FALSE)</f>
        <v>35</v>
      </c>
      <c r="AB48" s="13">
        <f ca="1">VLOOKUP($B48,'[6]Analisys QBR By Machine Report'!$C$109:$BD$166,23,FALSE)</f>
        <v>0</v>
      </c>
      <c r="AC48" s="13">
        <f ca="1">VLOOKUP($B48,'[6]Analisys QBR By Machine Report'!$C$109:$BD$166,24,FALSE)</f>
        <v>0</v>
      </c>
      <c r="AD48" s="13">
        <f ca="1">VLOOKUP($B48,'[6]Analisys QBR By Machine Report'!$C$109:$BD$166,25,FALSE)</f>
        <v>0</v>
      </c>
      <c r="AE48" s="13">
        <f ca="1">VLOOKUP($B48,'[6]Analisys QBR By Machine Report'!$C$109:$BD$166,26,FALSE)</f>
        <v>155</v>
      </c>
      <c r="AF48" s="13">
        <f ca="1">VLOOKUP($B48,'[6]Analisys QBR By Machine Report'!$C$109:$BD$166,27,FALSE)</f>
        <v>0</v>
      </c>
      <c r="AG48" s="13">
        <f ca="1">VLOOKUP($B48,'[6]Analisys QBR By Machine Report'!$C$109:$BD$166,28,FALSE)</f>
        <v>0</v>
      </c>
      <c r="AH48" s="13">
        <f ca="1">VLOOKUP($B48,'[6]Analisys QBR By Machine Report'!$C$109:$BD$166,29,FALSE)</f>
        <v>0</v>
      </c>
      <c r="AI48" s="13">
        <f ca="1">VLOOKUP($B48,'[6]Analisys QBR By Machine Report'!$C$109:$BD$166,30,FALSE)</f>
        <v>110</v>
      </c>
      <c r="AJ48" s="13">
        <f ca="1">VLOOKUP($B48,'[6]Analisys QBR By Machine Report'!$C$109:$BD$166,31,FALSE)</f>
        <v>0</v>
      </c>
      <c r="AK48" s="13">
        <f ca="1">VLOOKUP($B48,'[6]Analisys QBR By Machine Report'!$C$109:$BD$166,32,FALSE)</f>
        <v>0</v>
      </c>
      <c r="AL48" s="13">
        <f ca="1">VLOOKUP($B48,'[6]Analisys QBR By Machine Report'!$C$109:$BD$166,33,FALSE)</f>
        <v>30</v>
      </c>
      <c r="AM48" s="13">
        <f ca="1">VLOOKUP($B48,'[6]Analisys QBR By Machine Report'!$C$109:$BD$166,34,FALSE)</f>
        <v>0</v>
      </c>
      <c r="AN48" s="13">
        <f ca="1">VLOOKUP($B48,'[6]Analisys QBR By Machine Report'!$C$109:$BD$166,35,FALSE)</f>
        <v>15</v>
      </c>
      <c r="AO48" s="13">
        <f ca="1">VLOOKUP($B48,'[6]Analisys QBR By Machine Report'!$C$109:$BD$166,36,FALSE)</f>
        <v>0</v>
      </c>
      <c r="AP48" s="13">
        <f ca="1">VLOOKUP($B48,'[6]Analisys QBR By Machine Report'!$C$109:$BD$166,37,FALSE)</f>
        <v>0</v>
      </c>
      <c r="AQ48" s="13">
        <f ca="1">VLOOKUP($B48,'[6]Analisys QBR By Machine Report'!$C$109:$BD$166,38,FALSE)</f>
        <v>0</v>
      </c>
      <c r="AR48" s="13">
        <f ca="1">VLOOKUP($B48,'[6]Analisys QBR By Machine Report'!$C$109:$BD$166,39,FALSE)</f>
        <v>0</v>
      </c>
      <c r="AS48" s="13">
        <f ca="1">VLOOKUP($B48,'[6]Analisys QBR By Machine Report'!$C$109:$BD$166,40,FALSE)</f>
        <v>20</v>
      </c>
      <c r="AT48" s="13">
        <f ca="1">VLOOKUP($B48,'[6]Analisys QBR By Machine Report'!$C$109:$BD$166,41,FALSE)</f>
        <v>0</v>
      </c>
      <c r="AU48" s="13">
        <f ca="1">VLOOKUP($B48,'[6]Analisys QBR By Machine Report'!$C$109:$BD$166,42,FALSE)</f>
        <v>0</v>
      </c>
      <c r="AV48" s="13">
        <f ca="1">VLOOKUP($B48,'[6]Analisys QBR By Machine Report'!$C$109:$BD$166,43,FALSE)</f>
        <v>0</v>
      </c>
      <c r="AW48" s="13">
        <f ca="1">VLOOKUP($B48,'[6]Analisys QBR By Machine Report'!$C$109:$BD$166,44,FALSE)</f>
        <v>0</v>
      </c>
      <c r="AX48" s="13">
        <f ca="1">VLOOKUP($B48,'[6]Analisys QBR By Machine Report'!$C$109:$BD$166,45,FALSE)</f>
        <v>0</v>
      </c>
      <c r="AY48" s="13">
        <f ca="1">VLOOKUP($B48,'[6]Analisys QBR By Machine Report'!$C$109:$BD$166,46,FALSE)</f>
        <v>0</v>
      </c>
      <c r="AZ48" s="13">
        <f ca="1">VLOOKUP($B48,'[6]Analisys QBR By Machine Report'!$C$109:$BD$166,47,FALSE)</f>
        <v>10</v>
      </c>
      <c r="BA48" s="13">
        <f ca="1">VLOOKUP($B48,'[6]Analisys QBR By Machine Report'!$C$109:$BD$166,48,FALSE)</f>
        <v>0</v>
      </c>
      <c r="BB48" s="13">
        <f ca="1">VLOOKUP($B48,'[6]Analisys QBR By Machine Report'!$C$109:$BD$166,49,FALSE)</f>
        <v>0</v>
      </c>
      <c r="BC48" s="13">
        <f ca="1">VLOOKUP($B48,'[6]Analisys QBR By Machine Report'!$C$109:$BD$166,50,FALSE)</f>
        <v>35</v>
      </c>
      <c r="BD48" s="13">
        <f ca="1">VLOOKUP($B48,'[6]Analisys QBR By Machine Report'!$C$109:$BD$166,51,FALSE)</f>
        <v>97969</v>
      </c>
      <c r="BE48" s="13">
        <f ca="1">VLOOKUP($B48,'[6]Analisys QBR By Machine Report'!$C$109:$BD$166,52,FALSE)</f>
        <v>0</v>
      </c>
      <c r="BF48" s="13">
        <f ca="1">VLOOKUP($B48,'[6]Analisys QBR By Machine Report'!$C$109:$BD$166,53,FALSE)</f>
        <v>97969</v>
      </c>
    </row>
    <row r="49" spans="1:58" x14ac:dyDescent="0.25">
      <c r="A49" s="9" t="s">
        <v>105</v>
      </c>
      <c r="B49" s="10">
        <f ca="1">VLOOKUP($B49,'[6]Analisys QBR By Machine Report'!$C$109:$BD$166,2,FALSE)</f>
        <v>27360</v>
      </c>
      <c r="C49" s="11">
        <f ca="1">VLOOKUP($B49,[6]Dasboard_QBR_Report!$B$109:$BL$166,3,FALSE)</f>
        <v>9120</v>
      </c>
      <c r="D49" s="10">
        <f ca="1">VLOOKUP($B49,'[6]Analisys QBR By Machine Report'!$C$109:$BD$166,3,FALSE)</f>
        <v>26850</v>
      </c>
      <c r="E49" s="11">
        <f ca="1">VLOOKUP($B49,[6]Dasboard_QBR_Report!$B$109:$BL$166,5,FALSE)</f>
        <v>8610</v>
      </c>
      <c r="F49" s="10">
        <f t="shared" ca="1" si="0"/>
        <v>510</v>
      </c>
      <c r="G49" s="10">
        <f t="shared" ca="1" si="1"/>
        <v>30</v>
      </c>
      <c r="H49" s="10">
        <f ca="1">VLOOKUP($B49,'[6]Analisys QBR By Machine Report'!$C$109:$BD$166,4,FALSE)</f>
        <v>30</v>
      </c>
      <c r="I49" s="10">
        <f ca="1">VLOOKUP($B49,'[6]Analisys QBR By Machine Report'!$C$109:$BD$166,5,FALSE)</f>
        <v>30</v>
      </c>
      <c r="J49" s="10">
        <f ca="1">VLOOKUP($B49,'[6]Analisys QBR By Machine Report'!$C$109:$BD$166,6,FALSE)</f>
        <v>0</v>
      </c>
      <c r="K49" s="10">
        <f ca="1">VLOOKUP($B49,'[6]Analisys QBR By Machine Report'!$C$109:$BD$166,7,FALSE)</f>
        <v>0</v>
      </c>
      <c r="L49" s="10">
        <f ca="1">VLOOKUP($B49,'[6]Analisys QBR By Machine Report'!$C$109:$BD$166,8,FALSE)</f>
        <v>480</v>
      </c>
      <c r="M49" s="10">
        <f ca="1">VLOOKUP($B49,'[6]Analisys QBR By Machine Report'!$C$109:$BD$166,9,FALSE)</f>
        <v>120</v>
      </c>
      <c r="N49" s="10">
        <f ca="1">VLOOKUP($B49,[6]Dasboard_QBR_Report!$B$109:$BL$166,18,FALSE)</f>
        <v>360</v>
      </c>
      <c r="O49" s="10">
        <f ca="1">VLOOKUP($B49,'[6]Analisys QBR By Machine Report'!$C$109:$BD$166,10,FALSE)</f>
        <v>105</v>
      </c>
      <c r="P49" s="10">
        <f ca="1">VLOOKUP($B49,'[6]Analisys QBR By Machine Report'!$C$109:$BD$166,11,FALSE)</f>
        <v>85</v>
      </c>
      <c r="Q49" s="10">
        <f ca="1">VLOOKUP($B49,'[6]Analisys QBR By Machine Report'!$C$109:$BD$166,12,FALSE)</f>
        <v>0</v>
      </c>
      <c r="R49" s="10">
        <f ca="1">VLOOKUP($B49,'[6]Analisys QBR By Machine Report'!$C$109:$BD$166,13,FALSE)</f>
        <v>20</v>
      </c>
      <c r="S49" s="10">
        <f ca="1">VLOOKUP($B49,'[6]Analisys QBR By Machine Report'!$C$109:$BD$166,14,FALSE)</f>
        <v>0</v>
      </c>
      <c r="T49" s="10">
        <f ca="1">VLOOKUP($B49,'[6]Analisys QBR By Machine Report'!$C$109:$BD$166,15,FALSE)</f>
        <v>0</v>
      </c>
      <c r="U49" s="10">
        <f ca="1">VLOOKUP($B49,'[6]Analisys QBR By Machine Report'!$C$109:$BD$166,16,FALSE)</f>
        <v>0</v>
      </c>
      <c r="V49" s="10">
        <f ca="1">VLOOKUP($B49,'[6]Analisys QBR By Machine Report'!$C$109:$BD$166,17,FALSE)</f>
        <v>0</v>
      </c>
      <c r="W49" s="10">
        <f ca="1">VLOOKUP($B49,'[6]Analisys QBR By Machine Report'!$C$109:$BD$166,18,FALSE)</f>
        <v>0</v>
      </c>
      <c r="X49" s="10">
        <f ca="1">VLOOKUP($B49,'[6]Analisys QBR By Machine Report'!$C$109:$BD$166,19,FALSE)</f>
        <v>0</v>
      </c>
      <c r="Y49" s="10">
        <f ca="1">VLOOKUP($B49,'[6]Analisys QBR By Machine Report'!$C$109:$BD$166,20,FALSE)</f>
        <v>0</v>
      </c>
      <c r="Z49" s="10">
        <f ca="1">VLOOKUP($B49,'[6]Analisys QBR By Machine Report'!$C$109:$BD$166,21,FALSE)</f>
        <v>160</v>
      </c>
      <c r="AA49" s="10">
        <f ca="1">VLOOKUP($B49,'[6]Analisys QBR By Machine Report'!$C$109:$BD$166,22,FALSE)</f>
        <v>50</v>
      </c>
      <c r="AB49" s="10">
        <f ca="1">VLOOKUP($B49,'[6]Analisys QBR By Machine Report'!$C$109:$BD$166,23,FALSE)</f>
        <v>90</v>
      </c>
      <c r="AC49" s="10">
        <f ca="1">VLOOKUP($B49,'[6]Analisys QBR By Machine Report'!$C$109:$BD$166,24,FALSE)</f>
        <v>0</v>
      </c>
      <c r="AD49" s="10">
        <f ca="1">VLOOKUP($B49,'[6]Analisys QBR By Machine Report'!$C$109:$BD$166,25,FALSE)</f>
        <v>0</v>
      </c>
      <c r="AE49" s="10">
        <f ca="1">VLOOKUP($B49,'[6]Analisys QBR By Machine Report'!$C$109:$BD$166,26,FALSE)</f>
        <v>20</v>
      </c>
      <c r="AF49" s="10">
        <f ca="1">VLOOKUP($B49,'[6]Analisys QBR By Machine Report'!$C$109:$BD$166,27,FALSE)</f>
        <v>0</v>
      </c>
      <c r="AG49" s="10">
        <f ca="1">VLOOKUP($B49,'[6]Analisys QBR By Machine Report'!$C$109:$BD$166,28,FALSE)</f>
        <v>0</v>
      </c>
      <c r="AH49" s="10">
        <f ca="1">VLOOKUP($B49,'[6]Analisys QBR By Machine Report'!$C$109:$BD$166,29,FALSE)</f>
        <v>0</v>
      </c>
      <c r="AI49" s="10">
        <f ca="1">VLOOKUP($B49,'[6]Analisys QBR By Machine Report'!$C$109:$BD$166,30,FALSE)</f>
        <v>95</v>
      </c>
      <c r="AJ49" s="10">
        <f ca="1">VLOOKUP($B49,'[6]Analisys QBR By Machine Report'!$C$109:$BD$166,31,FALSE)</f>
        <v>0</v>
      </c>
      <c r="AK49" s="10">
        <f ca="1">VLOOKUP($B49,'[6]Analisys QBR By Machine Report'!$C$109:$BD$166,32,FALSE)</f>
        <v>0</v>
      </c>
      <c r="AL49" s="10">
        <f ca="1">VLOOKUP($B49,'[6]Analisys QBR By Machine Report'!$C$109:$BD$166,33,FALSE)</f>
        <v>30</v>
      </c>
      <c r="AM49" s="10">
        <f ca="1">VLOOKUP($B49,'[6]Analisys QBR By Machine Report'!$C$109:$BD$166,34,FALSE)</f>
        <v>0</v>
      </c>
      <c r="AN49" s="10">
        <f ca="1">VLOOKUP($B49,'[6]Analisys QBR By Machine Report'!$C$109:$BD$166,35,FALSE)</f>
        <v>30</v>
      </c>
      <c r="AO49" s="10">
        <f ca="1">VLOOKUP($B49,'[6]Analisys QBR By Machine Report'!$C$109:$BD$166,36,FALSE)</f>
        <v>0</v>
      </c>
      <c r="AP49" s="10">
        <f ca="1">VLOOKUP($B49,'[6]Analisys QBR By Machine Report'!$C$109:$BD$166,37,FALSE)</f>
        <v>0</v>
      </c>
      <c r="AQ49" s="10">
        <f ca="1">VLOOKUP($B49,'[6]Analisys QBR By Machine Report'!$C$109:$BD$166,38,FALSE)</f>
        <v>0</v>
      </c>
      <c r="AR49" s="10">
        <f ca="1">VLOOKUP($B49,'[6]Analisys QBR By Machine Report'!$C$109:$BD$166,39,FALSE)</f>
        <v>0</v>
      </c>
      <c r="AS49" s="10">
        <f ca="1">VLOOKUP($B49,'[6]Analisys QBR By Machine Report'!$C$109:$BD$166,40,FALSE)</f>
        <v>20</v>
      </c>
      <c r="AT49" s="10">
        <f ca="1">VLOOKUP($B49,'[6]Analisys QBR By Machine Report'!$C$109:$BD$166,41,FALSE)</f>
        <v>0</v>
      </c>
      <c r="AU49" s="10">
        <f ca="1">VLOOKUP($B49,'[6]Analisys QBR By Machine Report'!$C$109:$BD$166,42,FALSE)</f>
        <v>0</v>
      </c>
      <c r="AV49" s="10">
        <f ca="1">VLOOKUP($B49,'[6]Analisys QBR By Machine Report'!$C$109:$BD$166,43,FALSE)</f>
        <v>0</v>
      </c>
      <c r="AW49" s="10">
        <f ca="1">VLOOKUP($B49,'[6]Analisys QBR By Machine Report'!$C$109:$BD$166,44,FALSE)</f>
        <v>0</v>
      </c>
      <c r="AX49" s="10">
        <f ca="1">VLOOKUP($B49,'[6]Analisys QBR By Machine Report'!$C$109:$BD$166,45,FALSE)</f>
        <v>0</v>
      </c>
      <c r="AY49" s="10">
        <f ca="1">VLOOKUP($B49,'[6]Analisys QBR By Machine Report'!$C$109:$BD$166,46,FALSE)</f>
        <v>0</v>
      </c>
      <c r="AZ49" s="10">
        <f ca="1">VLOOKUP($B49,'[6]Analisys QBR By Machine Report'!$C$109:$BD$166,47,FALSE)</f>
        <v>15</v>
      </c>
      <c r="BA49" s="10">
        <f ca="1">VLOOKUP($B49,'[6]Analisys QBR By Machine Report'!$C$109:$BD$166,48,FALSE)</f>
        <v>0</v>
      </c>
      <c r="BB49" s="10">
        <f ca="1">VLOOKUP($B49,'[6]Analisys QBR By Machine Report'!$C$109:$BD$166,49,FALSE)</f>
        <v>0</v>
      </c>
      <c r="BC49" s="10">
        <f ca="1">VLOOKUP($B49,'[6]Analisys QBR By Machine Report'!$C$109:$BD$166,50,FALSE)</f>
        <v>0</v>
      </c>
      <c r="BD49" s="10">
        <f ca="1">VLOOKUP($B49,'[6]Analisys QBR By Machine Report'!$C$109:$BD$166,51,FALSE)</f>
        <v>97780</v>
      </c>
      <c r="BE49" s="10">
        <f ca="1">VLOOKUP($B49,'[6]Analisys QBR By Machine Report'!$C$109:$BD$166,52,FALSE)</f>
        <v>0</v>
      </c>
      <c r="BF49" s="10">
        <f ca="1">VLOOKUP($B49,'[6]Analisys QBR By Machine Report'!$C$109:$BD$166,53,FALSE)</f>
        <v>97780</v>
      </c>
    </row>
    <row r="50" spans="1:58" x14ac:dyDescent="0.25">
      <c r="A50" s="12" t="s">
        <v>106</v>
      </c>
      <c r="B50" s="13">
        <f ca="1">VLOOKUP($B50,'[6]Analisys QBR By Machine Report'!$C$109:$BD$166,2,FALSE)</f>
        <v>27360</v>
      </c>
      <c r="C50" s="14">
        <f ca="1">VLOOKUP($B50,[6]Dasboard_QBR_Report!$B$109:$BL$166,3,FALSE)</f>
        <v>9120</v>
      </c>
      <c r="D50" s="13">
        <f ca="1">VLOOKUP($B50,'[6]Analisys QBR By Machine Report'!$C$109:$BD$166,3,FALSE)</f>
        <v>26850</v>
      </c>
      <c r="E50" s="14">
        <f ca="1">VLOOKUP($B50,[6]Dasboard_QBR_Report!$B$109:$BL$166,5,FALSE)</f>
        <v>8610</v>
      </c>
      <c r="F50" s="13">
        <f t="shared" ca="1" si="0"/>
        <v>510</v>
      </c>
      <c r="G50" s="13">
        <f t="shared" ca="1" si="1"/>
        <v>30</v>
      </c>
      <c r="H50" s="13">
        <f ca="1">VLOOKUP($B50,'[6]Analisys QBR By Machine Report'!$C$109:$BD$166,4,FALSE)</f>
        <v>30</v>
      </c>
      <c r="I50" s="13">
        <f ca="1">VLOOKUP($B50,'[6]Analisys QBR By Machine Report'!$C$109:$BD$166,5,FALSE)</f>
        <v>30</v>
      </c>
      <c r="J50" s="13">
        <f ca="1">VLOOKUP($B50,'[6]Analisys QBR By Machine Report'!$C$109:$BD$166,6,FALSE)</f>
        <v>0</v>
      </c>
      <c r="K50" s="13">
        <f ca="1">VLOOKUP($B50,'[6]Analisys QBR By Machine Report'!$C$109:$BD$166,7,FALSE)</f>
        <v>0</v>
      </c>
      <c r="L50" s="13">
        <f ca="1">VLOOKUP($B50,'[6]Analisys QBR By Machine Report'!$C$109:$BD$166,8,FALSE)</f>
        <v>480</v>
      </c>
      <c r="M50" s="13">
        <f ca="1">VLOOKUP($B50,'[6]Analisys QBR By Machine Report'!$C$109:$BD$166,9,FALSE)</f>
        <v>120</v>
      </c>
      <c r="N50" s="13">
        <f ca="1">VLOOKUP($B50,[6]Dasboard_QBR_Report!$B$109:$BL$166,18,FALSE)</f>
        <v>360</v>
      </c>
      <c r="O50" s="13">
        <f ca="1">VLOOKUP($B50,'[6]Analisys QBR By Machine Report'!$C$109:$BD$166,10,FALSE)</f>
        <v>105</v>
      </c>
      <c r="P50" s="13">
        <f ca="1">VLOOKUP($B50,'[6]Analisys QBR By Machine Report'!$C$109:$BD$166,11,FALSE)</f>
        <v>85</v>
      </c>
      <c r="Q50" s="13">
        <f ca="1">VLOOKUP($B50,'[6]Analisys QBR By Machine Report'!$C$109:$BD$166,12,FALSE)</f>
        <v>0</v>
      </c>
      <c r="R50" s="13">
        <f ca="1">VLOOKUP($B50,'[6]Analisys QBR By Machine Report'!$C$109:$BD$166,13,FALSE)</f>
        <v>20</v>
      </c>
      <c r="S50" s="13">
        <f ca="1">VLOOKUP($B50,'[6]Analisys QBR By Machine Report'!$C$109:$BD$166,14,FALSE)</f>
        <v>0</v>
      </c>
      <c r="T50" s="13">
        <f ca="1">VLOOKUP($B50,'[6]Analisys QBR By Machine Report'!$C$109:$BD$166,15,FALSE)</f>
        <v>0</v>
      </c>
      <c r="U50" s="13">
        <f ca="1">VLOOKUP($B50,'[6]Analisys QBR By Machine Report'!$C$109:$BD$166,16,FALSE)</f>
        <v>0</v>
      </c>
      <c r="V50" s="13">
        <f ca="1">VLOOKUP($B50,'[6]Analisys QBR By Machine Report'!$C$109:$BD$166,17,FALSE)</f>
        <v>0</v>
      </c>
      <c r="W50" s="13">
        <f ca="1">VLOOKUP($B50,'[6]Analisys QBR By Machine Report'!$C$109:$BD$166,18,FALSE)</f>
        <v>0</v>
      </c>
      <c r="X50" s="13">
        <f ca="1">VLOOKUP($B50,'[6]Analisys QBR By Machine Report'!$C$109:$BD$166,19,FALSE)</f>
        <v>0</v>
      </c>
      <c r="Y50" s="13">
        <f ca="1">VLOOKUP($B50,'[6]Analisys QBR By Machine Report'!$C$109:$BD$166,20,FALSE)</f>
        <v>0</v>
      </c>
      <c r="Z50" s="13">
        <f ca="1">VLOOKUP($B50,'[6]Analisys QBR By Machine Report'!$C$109:$BD$166,21,FALSE)</f>
        <v>160</v>
      </c>
      <c r="AA50" s="13">
        <f ca="1">VLOOKUP($B50,'[6]Analisys QBR By Machine Report'!$C$109:$BD$166,22,FALSE)</f>
        <v>50</v>
      </c>
      <c r="AB50" s="13">
        <f ca="1">VLOOKUP($B50,'[6]Analisys QBR By Machine Report'!$C$109:$BD$166,23,FALSE)</f>
        <v>90</v>
      </c>
      <c r="AC50" s="13">
        <f ca="1">VLOOKUP($B50,'[6]Analisys QBR By Machine Report'!$C$109:$BD$166,24,FALSE)</f>
        <v>0</v>
      </c>
      <c r="AD50" s="13">
        <f ca="1">VLOOKUP($B50,'[6]Analisys QBR By Machine Report'!$C$109:$BD$166,25,FALSE)</f>
        <v>0</v>
      </c>
      <c r="AE50" s="13">
        <f ca="1">VLOOKUP($B50,'[6]Analisys QBR By Machine Report'!$C$109:$BD$166,26,FALSE)</f>
        <v>20</v>
      </c>
      <c r="AF50" s="13">
        <f ca="1">VLOOKUP($B50,'[6]Analisys QBR By Machine Report'!$C$109:$BD$166,27,FALSE)</f>
        <v>0</v>
      </c>
      <c r="AG50" s="13">
        <f ca="1">VLOOKUP($B50,'[6]Analisys QBR By Machine Report'!$C$109:$BD$166,28,FALSE)</f>
        <v>0</v>
      </c>
      <c r="AH50" s="13">
        <f ca="1">VLOOKUP($B50,'[6]Analisys QBR By Machine Report'!$C$109:$BD$166,29,FALSE)</f>
        <v>0</v>
      </c>
      <c r="AI50" s="13">
        <f ca="1">VLOOKUP($B50,'[6]Analisys QBR By Machine Report'!$C$109:$BD$166,30,FALSE)</f>
        <v>95</v>
      </c>
      <c r="AJ50" s="13">
        <f ca="1">VLOOKUP($B50,'[6]Analisys QBR By Machine Report'!$C$109:$BD$166,31,FALSE)</f>
        <v>0</v>
      </c>
      <c r="AK50" s="13">
        <f ca="1">VLOOKUP($B50,'[6]Analisys QBR By Machine Report'!$C$109:$BD$166,32,FALSE)</f>
        <v>0</v>
      </c>
      <c r="AL50" s="13">
        <f ca="1">VLOOKUP($B50,'[6]Analisys QBR By Machine Report'!$C$109:$BD$166,33,FALSE)</f>
        <v>30</v>
      </c>
      <c r="AM50" s="13">
        <f ca="1">VLOOKUP($B50,'[6]Analisys QBR By Machine Report'!$C$109:$BD$166,34,FALSE)</f>
        <v>0</v>
      </c>
      <c r="AN50" s="13">
        <f ca="1">VLOOKUP($B50,'[6]Analisys QBR By Machine Report'!$C$109:$BD$166,35,FALSE)</f>
        <v>30</v>
      </c>
      <c r="AO50" s="13">
        <f ca="1">VLOOKUP($B50,'[6]Analisys QBR By Machine Report'!$C$109:$BD$166,36,FALSE)</f>
        <v>0</v>
      </c>
      <c r="AP50" s="13">
        <f ca="1">VLOOKUP($B50,'[6]Analisys QBR By Machine Report'!$C$109:$BD$166,37,FALSE)</f>
        <v>0</v>
      </c>
      <c r="AQ50" s="13">
        <f ca="1">VLOOKUP($B50,'[6]Analisys QBR By Machine Report'!$C$109:$BD$166,38,FALSE)</f>
        <v>0</v>
      </c>
      <c r="AR50" s="13">
        <f ca="1">VLOOKUP($B50,'[6]Analisys QBR By Machine Report'!$C$109:$BD$166,39,FALSE)</f>
        <v>0</v>
      </c>
      <c r="AS50" s="13">
        <f ca="1">VLOOKUP($B50,'[6]Analisys QBR By Machine Report'!$C$109:$BD$166,40,FALSE)</f>
        <v>20</v>
      </c>
      <c r="AT50" s="13">
        <f ca="1">VLOOKUP($B50,'[6]Analisys QBR By Machine Report'!$C$109:$BD$166,41,FALSE)</f>
        <v>0</v>
      </c>
      <c r="AU50" s="13">
        <f ca="1">VLOOKUP($B50,'[6]Analisys QBR By Machine Report'!$C$109:$BD$166,42,FALSE)</f>
        <v>0</v>
      </c>
      <c r="AV50" s="13">
        <f ca="1">VLOOKUP($B50,'[6]Analisys QBR By Machine Report'!$C$109:$BD$166,43,FALSE)</f>
        <v>0</v>
      </c>
      <c r="AW50" s="13">
        <f ca="1">VLOOKUP($B50,'[6]Analisys QBR By Machine Report'!$C$109:$BD$166,44,FALSE)</f>
        <v>0</v>
      </c>
      <c r="AX50" s="13">
        <f ca="1">VLOOKUP($B50,'[6]Analisys QBR By Machine Report'!$C$109:$BD$166,45,FALSE)</f>
        <v>0</v>
      </c>
      <c r="AY50" s="13">
        <f ca="1">VLOOKUP($B50,'[6]Analisys QBR By Machine Report'!$C$109:$BD$166,46,FALSE)</f>
        <v>0</v>
      </c>
      <c r="AZ50" s="13">
        <f ca="1">VLOOKUP($B50,'[6]Analisys QBR By Machine Report'!$C$109:$BD$166,47,FALSE)</f>
        <v>15</v>
      </c>
      <c r="BA50" s="13">
        <f ca="1">VLOOKUP($B50,'[6]Analisys QBR By Machine Report'!$C$109:$BD$166,48,FALSE)</f>
        <v>0</v>
      </c>
      <c r="BB50" s="13">
        <f ca="1">VLOOKUP($B50,'[6]Analisys QBR By Machine Report'!$C$109:$BD$166,49,FALSE)</f>
        <v>0</v>
      </c>
      <c r="BC50" s="13">
        <f ca="1">VLOOKUP($B50,'[6]Analisys QBR By Machine Report'!$C$109:$BD$166,50,FALSE)</f>
        <v>0</v>
      </c>
      <c r="BD50" s="13">
        <f ca="1">VLOOKUP($B50,'[6]Analisys QBR By Machine Report'!$C$109:$BD$166,51,FALSE)</f>
        <v>97780</v>
      </c>
      <c r="BE50" s="13">
        <f ca="1">VLOOKUP($B50,'[6]Analisys QBR By Machine Report'!$C$109:$BD$166,52,FALSE)</f>
        <v>0</v>
      </c>
      <c r="BF50" s="13">
        <f ca="1">VLOOKUP($B50,'[6]Analisys QBR By Machine Report'!$C$109:$BD$166,53,FALSE)</f>
        <v>97780</v>
      </c>
    </row>
    <row r="51" spans="1:58" x14ac:dyDescent="0.25">
      <c r="A51" s="9" t="s">
        <v>107</v>
      </c>
      <c r="B51" s="10">
        <f ca="1">VLOOKUP($B51,'[6]Analisys QBR By Machine Report'!$C$109:$BD$166,2,FALSE)</f>
        <v>27360</v>
      </c>
      <c r="C51" s="11">
        <f ca="1">VLOOKUP($B51,[6]Dasboard_QBR_Report!$B$109:$BL$166,3,FALSE)</f>
        <v>17670</v>
      </c>
      <c r="D51" s="10">
        <f ca="1">VLOOKUP($B51,'[6]Analisys QBR By Machine Report'!$C$109:$BD$166,3,FALSE)</f>
        <v>16930</v>
      </c>
      <c r="E51" s="11">
        <f ca="1">VLOOKUP($B51,[6]Dasboard_QBR_Report!$B$109:$BL$166,5,FALSE)</f>
        <v>7240</v>
      </c>
      <c r="F51" s="10">
        <f t="shared" ca="1" si="0"/>
        <v>10430</v>
      </c>
      <c r="G51" s="10">
        <f t="shared" ca="1" si="1"/>
        <v>1104</v>
      </c>
      <c r="H51" s="10">
        <f ca="1">VLOOKUP($B51,'[6]Analisys QBR By Machine Report'!$C$109:$BD$166,4,FALSE)</f>
        <v>1084</v>
      </c>
      <c r="I51" s="10">
        <f ca="1">VLOOKUP($B51,'[6]Analisys QBR By Machine Report'!$C$109:$BD$166,5,FALSE)</f>
        <v>5</v>
      </c>
      <c r="J51" s="10">
        <f ca="1">VLOOKUP($B51,'[6]Analisys QBR By Machine Report'!$C$109:$BD$166,6,FALSE)</f>
        <v>1079</v>
      </c>
      <c r="K51" s="10">
        <f ca="1">VLOOKUP($B51,'[6]Analisys QBR By Machine Report'!$C$109:$BD$166,7,FALSE)</f>
        <v>20</v>
      </c>
      <c r="L51" s="10">
        <f ca="1">VLOOKUP($B51,'[6]Analisys QBR By Machine Report'!$C$109:$BD$166,8,FALSE)</f>
        <v>9326</v>
      </c>
      <c r="M51" s="10">
        <f ca="1">VLOOKUP($B51,'[6]Analisys QBR By Machine Report'!$C$109:$BD$166,9,FALSE)</f>
        <v>3787</v>
      </c>
      <c r="N51" s="10">
        <f ca="1">VLOOKUP($B51,[6]Dasboard_QBR_Report!$B$109:$BL$166,18,FALSE)</f>
        <v>5539</v>
      </c>
      <c r="O51" s="10">
        <f ca="1">VLOOKUP($B51,'[6]Analisys QBR By Machine Report'!$C$109:$BD$166,10,FALSE)</f>
        <v>817</v>
      </c>
      <c r="P51" s="10">
        <f ca="1">VLOOKUP($B51,'[6]Analisys QBR By Machine Report'!$C$109:$BD$166,11,FALSE)</f>
        <v>635</v>
      </c>
      <c r="Q51" s="10">
        <f ca="1">VLOOKUP($B51,'[6]Analisys QBR By Machine Report'!$C$109:$BD$166,12,FALSE)</f>
        <v>0</v>
      </c>
      <c r="R51" s="10">
        <f ca="1">VLOOKUP($B51,'[6]Analisys QBR By Machine Report'!$C$109:$BD$166,13,FALSE)</f>
        <v>182</v>
      </c>
      <c r="S51" s="10">
        <f ca="1">VLOOKUP($B51,'[6]Analisys QBR By Machine Report'!$C$109:$BD$166,14,FALSE)</f>
        <v>0</v>
      </c>
      <c r="T51" s="10">
        <f ca="1">VLOOKUP($B51,'[6]Analisys QBR By Machine Report'!$C$109:$BD$166,15,FALSE)</f>
        <v>308</v>
      </c>
      <c r="U51" s="10">
        <f ca="1">VLOOKUP($B51,'[6]Analisys QBR By Machine Report'!$C$109:$BD$166,16,FALSE)</f>
        <v>276</v>
      </c>
      <c r="V51" s="10">
        <f ca="1">VLOOKUP($B51,'[6]Analisys QBR By Machine Report'!$C$109:$BD$166,17,FALSE)</f>
        <v>0</v>
      </c>
      <c r="W51" s="10">
        <f ca="1">VLOOKUP($B51,'[6]Analisys QBR By Machine Report'!$C$109:$BD$166,18,FALSE)</f>
        <v>0</v>
      </c>
      <c r="X51" s="10">
        <f ca="1">VLOOKUP($B51,'[6]Analisys QBR By Machine Report'!$C$109:$BD$166,19,FALSE)</f>
        <v>32</v>
      </c>
      <c r="Y51" s="10">
        <f ca="1">VLOOKUP($B51,'[6]Analisys QBR By Machine Report'!$C$109:$BD$166,20,FALSE)</f>
        <v>0</v>
      </c>
      <c r="Z51" s="10">
        <f ca="1">VLOOKUP($B51,'[6]Analisys QBR By Machine Report'!$C$109:$BD$166,21,FALSE)</f>
        <v>2906</v>
      </c>
      <c r="AA51" s="10">
        <f ca="1">VLOOKUP($B51,'[6]Analisys QBR By Machine Report'!$C$109:$BD$166,22,FALSE)</f>
        <v>1238</v>
      </c>
      <c r="AB51" s="10">
        <f ca="1">VLOOKUP($B51,'[6]Analisys QBR By Machine Report'!$C$109:$BD$166,23,FALSE)</f>
        <v>1661</v>
      </c>
      <c r="AC51" s="10">
        <f ca="1">VLOOKUP($B51,'[6]Analisys QBR By Machine Report'!$C$109:$BD$166,24,FALSE)</f>
        <v>7</v>
      </c>
      <c r="AD51" s="10">
        <f ca="1">VLOOKUP($B51,'[6]Analisys QBR By Machine Report'!$C$109:$BD$166,25,FALSE)</f>
        <v>0</v>
      </c>
      <c r="AE51" s="10">
        <f ca="1">VLOOKUP($B51,'[6]Analisys QBR By Machine Report'!$C$109:$BD$166,26,FALSE)</f>
        <v>0</v>
      </c>
      <c r="AF51" s="10">
        <f ca="1">VLOOKUP($B51,'[6]Analisys QBR By Machine Report'!$C$109:$BD$166,27,FALSE)</f>
        <v>0</v>
      </c>
      <c r="AG51" s="10">
        <f ca="1">VLOOKUP($B51,'[6]Analisys QBR By Machine Report'!$C$109:$BD$166,28,FALSE)</f>
        <v>0</v>
      </c>
      <c r="AH51" s="10">
        <f ca="1">VLOOKUP($B51,'[6]Analisys QBR By Machine Report'!$C$109:$BD$166,29,FALSE)</f>
        <v>0</v>
      </c>
      <c r="AI51" s="10">
        <f ca="1">VLOOKUP($B51,'[6]Analisys QBR By Machine Report'!$C$109:$BD$166,30,FALSE)</f>
        <v>1508</v>
      </c>
      <c r="AJ51" s="10">
        <f ca="1">VLOOKUP($B51,'[6]Analisys QBR By Machine Report'!$C$109:$BD$166,31,FALSE)</f>
        <v>0</v>
      </c>
      <c r="AK51" s="10">
        <f ca="1">VLOOKUP($B51,'[6]Analisys QBR By Machine Report'!$C$109:$BD$166,32,FALSE)</f>
        <v>0</v>
      </c>
      <c r="AL51" s="10">
        <f ca="1">VLOOKUP($B51,'[6]Analisys QBR By Machine Report'!$C$109:$BD$166,33,FALSE)</f>
        <v>715</v>
      </c>
      <c r="AM51" s="10">
        <f ca="1">VLOOKUP($B51,'[6]Analisys QBR By Machine Report'!$C$109:$BD$166,34,FALSE)</f>
        <v>85</v>
      </c>
      <c r="AN51" s="10">
        <f ca="1">VLOOKUP($B51,'[6]Analisys QBR By Machine Report'!$C$109:$BD$166,35,FALSE)</f>
        <v>475</v>
      </c>
      <c r="AO51" s="10">
        <f ca="1">VLOOKUP($B51,'[6]Analisys QBR By Machine Report'!$C$109:$BD$166,36,FALSE)</f>
        <v>0</v>
      </c>
      <c r="AP51" s="10">
        <f ca="1">VLOOKUP($B51,'[6]Analisys QBR By Machine Report'!$C$109:$BD$166,37,FALSE)</f>
        <v>0</v>
      </c>
      <c r="AQ51" s="10">
        <f ca="1">VLOOKUP($B51,'[6]Analisys QBR By Machine Report'!$C$109:$BD$166,38,FALSE)</f>
        <v>95</v>
      </c>
      <c r="AR51" s="10">
        <f ca="1">VLOOKUP($B51,'[6]Analisys QBR By Machine Report'!$C$109:$BD$166,39,FALSE)</f>
        <v>0</v>
      </c>
      <c r="AS51" s="10">
        <f ca="1">VLOOKUP($B51,'[6]Analisys QBR By Machine Report'!$C$109:$BD$166,40,FALSE)</f>
        <v>136</v>
      </c>
      <c r="AT51" s="10">
        <f ca="1">VLOOKUP($B51,'[6]Analisys QBR By Machine Report'!$C$109:$BD$166,41,FALSE)</f>
        <v>0</v>
      </c>
      <c r="AU51" s="10">
        <f ca="1">VLOOKUP($B51,'[6]Analisys QBR By Machine Report'!$C$109:$BD$166,42,FALSE)</f>
        <v>0</v>
      </c>
      <c r="AV51" s="10">
        <f ca="1">VLOOKUP($B51,'[6]Analisys QBR By Machine Report'!$C$109:$BD$166,43,FALSE)</f>
        <v>0</v>
      </c>
      <c r="AW51" s="10">
        <f ca="1">VLOOKUP($B51,'[6]Analisys QBR By Machine Report'!$C$109:$BD$166,44,FALSE)</f>
        <v>0</v>
      </c>
      <c r="AX51" s="10">
        <f ca="1">VLOOKUP($B51,'[6]Analisys QBR By Machine Report'!$C$109:$BD$166,45,FALSE)</f>
        <v>0</v>
      </c>
      <c r="AY51" s="10">
        <f ca="1">VLOOKUP($B51,'[6]Analisys QBR By Machine Report'!$C$109:$BD$166,46,FALSE)</f>
        <v>0</v>
      </c>
      <c r="AZ51" s="10">
        <f ca="1">VLOOKUP($B51,'[6]Analisys QBR By Machine Report'!$C$109:$BD$166,47,FALSE)</f>
        <v>2</v>
      </c>
      <c r="BA51" s="10">
        <f ca="1">VLOOKUP($B51,'[6]Analisys QBR By Machine Report'!$C$109:$BD$166,48,FALSE)</f>
        <v>0</v>
      </c>
      <c r="BB51" s="10">
        <f ca="1">VLOOKUP($B51,'[6]Analisys QBR By Machine Report'!$C$109:$BD$166,49,FALSE)</f>
        <v>0</v>
      </c>
      <c r="BC51" s="10">
        <f ca="1">VLOOKUP($B51,'[6]Analisys QBR By Machine Report'!$C$109:$BD$166,50,FALSE)</f>
        <v>0</v>
      </c>
      <c r="BD51" s="10">
        <f ca="1">VLOOKUP($B51,'[6]Analisys QBR By Machine Report'!$C$109:$BD$166,51,FALSE)</f>
        <v>521211</v>
      </c>
      <c r="BE51" s="10">
        <f ca="1">VLOOKUP($B51,'[6]Analisys QBR By Machine Report'!$C$109:$BD$166,52,FALSE)</f>
        <v>3</v>
      </c>
      <c r="BF51" s="10">
        <f ca="1">VLOOKUP($B51,'[6]Analisys QBR By Machine Report'!$C$109:$BD$166,53,FALSE)</f>
        <v>521208</v>
      </c>
    </row>
    <row r="52" spans="1:58" x14ac:dyDescent="0.25">
      <c r="A52" s="12" t="s">
        <v>108</v>
      </c>
      <c r="B52" s="13">
        <f ca="1">VLOOKUP($B52,'[6]Analisys QBR By Machine Report'!$C$109:$BD$166,2,FALSE)</f>
        <v>27360</v>
      </c>
      <c r="C52" s="14">
        <f ca="1">VLOOKUP($B52,[6]Dasboard_QBR_Report!$B$109:$BL$166,3,FALSE)</f>
        <v>17670</v>
      </c>
      <c r="D52" s="13">
        <f ca="1">VLOOKUP($B52,'[6]Analisys QBR By Machine Report'!$C$109:$BD$166,3,FALSE)</f>
        <v>16930</v>
      </c>
      <c r="E52" s="14">
        <f ca="1">VLOOKUP($B52,[6]Dasboard_QBR_Report!$B$109:$BL$166,5,FALSE)</f>
        <v>7240</v>
      </c>
      <c r="F52" s="13">
        <f t="shared" ca="1" si="0"/>
        <v>10430</v>
      </c>
      <c r="G52" s="13">
        <f t="shared" ca="1" si="1"/>
        <v>1104</v>
      </c>
      <c r="H52" s="13">
        <f ca="1">VLOOKUP($B52,'[6]Analisys QBR By Machine Report'!$C$109:$BD$166,4,FALSE)</f>
        <v>1084</v>
      </c>
      <c r="I52" s="13">
        <f ca="1">VLOOKUP($B52,'[6]Analisys QBR By Machine Report'!$C$109:$BD$166,5,FALSE)</f>
        <v>5</v>
      </c>
      <c r="J52" s="13">
        <f ca="1">VLOOKUP($B52,'[6]Analisys QBR By Machine Report'!$C$109:$BD$166,6,FALSE)</f>
        <v>1079</v>
      </c>
      <c r="K52" s="13">
        <f ca="1">VLOOKUP($B52,'[6]Analisys QBR By Machine Report'!$C$109:$BD$166,7,FALSE)</f>
        <v>20</v>
      </c>
      <c r="L52" s="13">
        <f ca="1">VLOOKUP($B52,'[6]Analisys QBR By Machine Report'!$C$109:$BD$166,8,FALSE)</f>
        <v>9326</v>
      </c>
      <c r="M52" s="13">
        <f ca="1">VLOOKUP($B52,'[6]Analisys QBR By Machine Report'!$C$109:$BD$166,9,FALSE)</f>
        <v>3787</v>
      </c>
      <c r="N52" s="13">
        <f ca="1">VLOOKUP($B52,[6]Dasboard_QBR_Report!$B$109:$BL$166,18,FALSE)</f>
        <v>5539</v>
      </c>
      <c r="O52" s="13">
        <f ca="1">VLOOKUP($B52,'[6]Analisys QBR By Machine Report'!$C$109:$BD$166,10,FALSE)</f>
        <v>817</v>
      </c>
      <c r="P52" s="13">
        <f ca="1">VLOOKUP($B52,'[6]Analisys QBR By Machine Report'!$C$109:$BD$166,11,FALSE)</f>
        <v>635</v>
      </c>
      <c r="Q52" s="13">
        <f ca="1">VLOOKUP($B52,'[6]Analisys QBR By Machine Report'!$C$109:$BD$166,12,FALSE)</f>
        <v>0</v>
      </c>
      <c r="R52" s="13">
        <f ca="1">VLOOKUP($B52,'[6]Analisys QBR By Machine Report'!$C$109:$BD$166,13,FALSE)</f>
        <v>182</v>
      </c>
      <c r="S52" s="13">
        <f ca="1">VLOOKUP($B52,'[6]Analisys QBR By Machine Report'!$C$109:$BD$166,14,FALSE)</f>
        <v>0</v>
      </c>
      <c r="T52" s="13">
        <f ca="1">VLOOKUP($B52,'[6]Analisys QBR By Machine Report'!$C$109:$BD$166,15,FALSE)</f>
        <v>308</v>
      </c>
      <c r="U52" s="13">
        <f ca="1">VLOOKUP($B52,'[6]Analisys QBR By Machine Report'!$C$109:$BD$166,16,FALSE)</f>
        <v>276</v>
      </c>
      <c r="V52" s="13">
        <f ca="1">VLOOKUP($B52,'[6]Analisys QBR By Machine Report'!$C$109:$BD$166,17,FALSE)</f>
        <v>0</v>
      </c>
      <c r="W52" s="13">
        <f ca="1">VLOOKUP($B52,'[6]Analisys QBR By Machine Report'!$C$109:$BD$166,18,FALSE)</f>
        <v>0</v>
      </c>
      <c r="X52" s="13">
        <f ca="1">VLOOKUP($B52,'[6]Analisys QBR By Machine Report'!$C$109:$BD$166,19,FALSE)</f>
        <v>32</v>
      </c>
      <c r="Y52" s="13">
        <f ca="1">VLOOKUP($B52,'[6]Analisys QBR By Machine Report'!$C$109:$BD$166,20,FALSE)</f>
        <v>0</v>
      </c>
      <c r="Z52" s="13">
        <f ca="1">VLOOKUP($B52,'[6]Analisys QBR By Machine Report'!$C$109:$BD$166,21,FALSE)</f>
        <v>2906</v>
      </c>
      <c r="AA52" s="13">
        <f ca="1">VLOOKUP($B52,'[6]Analisys QBR By Machine Report'!$C$109:$BD$166,22,FALSE)</f>
        <v>1238</v>
      </c>
      <c r="AB52" s="13">
        <f ca="1">VLOOKUP($B52,'[6]Analisys QBR By Machine Report'!$C$109:$BD$166,23,FALSE)</f>
        <v>1661</v>
      </c>
      <c r="AC52" s="13">
        <f ca="1">VLOOKUP($B52,'[6]Analisys QBR By Machine Report'!$C$109:$BD$166,24,FALSE)</f>
        <v>7</v>
      </c>
      <c r="AD52" s="13">
        <f ca="1">VLOOKUP($B52,'[6]Analisys QBR By Machine Report'!$C$109:$BD$166,25,FALSE)</f>
        <v>0</v>
      </c>
      <c r="AE52" s="13">
        <f ca="1">VLOOKUP($B52,'[6]Analisys QBR By Machine Report'!$C$109:$BD$166,26,FALSE)</f>
        <v>0</v>
      </c>
      <c r="AF52" s="13">
        <f ca="1">VLOOKUP($B52,'[6]Analisys QBR By Machine Report'!$C$109:$BD$166,27,FALSE)</f>
        <v>0</v>
      </c>
      <c r="AG52" s="13">
        <f ca="1">VLOOKUP($B52,'[6]Analisys QBR By Machine Report'!$C$109:$BD$166,28,FALSE)</f>
        <v>0</v>
      </c>
      <c r="AH52" s="13">
        <f ca="1">VLOOKUP($B52,'[6]Analisys QBR By Machine Report'!$C$109:$BD$166,29,FALSE)</f>
        <v>0</v>
      </c>
      <c r="AI52" s="13">
        <f ca="1">VLOOKUP($B52,'[6]Analisys QBR By Machine Report'!$C$109:$BD$166,30,FALSE)</f>
        <v>1508</v>
      </c>
      <c r="AJ52" s="13">
        <f ca="1">VLOOKUP($B52,'[6]Analisys QBR By Machine Report'!$C$109:$BD$166,31,FALSE)</f>
        <v>0</v>
      </c>
      <c r="AK52" s="13">
        <f ca="1">VLOOKUP($B52,'[6]Analisys QBR By Machine Report'!$C$109:$BD$166,32,FALSE)</f>
        <v>0</v>
      </c>
      <c r="AL52" s="13">
        <f ca="1">VLOOKUP($B52,'[6]Analisys QBR By Machine Report'!$C$109:$BD$166,33,FALSE)</f>
        <v>715</v>
      </c>
      <c r="AM52" s="13">
        <f ca="1">VLOOKUP($B52,'[6]Analisys QBR By Machine Report'!$C$109:$BD$166,34,FALSE)</f>
        <v>85</v>
      </c>
      <c r="AN52" s="13">
        <f ca="1">VLOOKUP($B52,'[6]Analisys QBR By Machine Report'!$C$109:$BD$166,35,FALSE)</f>
        <v>475</v>
      </c>
      <c r="AO52" s="13">
        <f ca="1">VLOOKUP($B52,'[6]Analisys QBR By Machine Report'!$C$109:$BD$166,36,FALSE)</f>
        <v>0</v>
      </c>
      <c r="AP52" s="13">
        <f ca="1">VLOOKUP($B52,'[6]Analisys QBR By Machine Report'!$C$109:$BD$166,37,FALSE)</f>
        <v>0</v>
      </c>
      <c r="AQ52" s="13">
        <f ca="1">VLOOKUP($B52,'[6]Analisys QBR By Machine Report'!$C$109:$BD$166,38,FALSE)</f>
        <v>95</v>
      </c>
      <c r="AR52" s="13">
        <f ca="1">VLOOKUP($B52,'[6]Analisys QBR By Machine Report'!$C$109:$BD$166,39,FALSE)</f>
        <v>0</v>
      </c>
      <c r="AS52" s="13">
        <f ca="1">VLOOKUP($B52,'[6]Analisys QBR By Machine Report'!$C$109:$BD$166,40,FALSE)</f>
        <v>136</v>
      </c>
      <c r="AT52" s="13">
        <f ca="1">VLOOKUP($B52,'[6]Analisys QBR By Machine Report'!$C$109:$BD$166,41,FALSE)</f>
        <v>0</v>
      </c>
      <c r="AU52" s="13">
        <f ca="1">VLOOKUP($B52,'[6]Analisys QBR By Machine Report'!$C$109:$BD$166,42,FALSE)</f>
        <v>0</v>
      </c>
      <c r="AV52" s="13">
        <f ca="1">VLOOKUP($B52,'[6]Analisys QBR By Machine Report'!$C$109:$BD$166,43,FALSE)</f>
        <v>0</v>
      </c>
      <c r="AW52" s="13">
        <f ca="1">VLOOKUP($B52,'[6]Analisys QBR By Machine Report'!$C$109:$BD$166,44,FALSE)</f>
        <v>0</v>
      </c>
      <c r="AX52" s="13">
        <f ca="1">VLOOKUP($B52,'[6]Analisys QBR By Machine Report'!$C$109:$BD$166,45,FALSE)</f>
        <v>0</v>
      </c>
      <c r="AY52" s="13">
        <f ca="1">VLOOKUP($B52,'[6]Analisys QBR By Machine Report'!$C$109:$BD$166,46,FALSE)</f>
        <v>0</v>
      </c>
      <c r="AZ52" s="13">
        <f ca="1">VLOOKUP($B52,'[6]Analisys QBR By Machine Report'!$C$109:$BD$166,47,FALSE)</f>
        <v>2</v>
      </c>
      <c r="BA52" s="13">
        <f ca="1">VLOOKUP($B52,'[6]Analisys QBR By Machine Report'!$C$109:$BD$166,48,FALSE)</f>
        <v>0</v>
      </c>
      <c r="BB52" s="13">
        <f ca="1">VLOOKUP($B52,'[6]Analisys QBR By Machine Report'!$C$109:$BD$166,49,FALSE)</f>
        <v>0</v>
      </c>
      <c r="BC52" s="13">
        <f ca="1">VLOOKUP($B52,'[6]Analisys QBR By Machine Report'!$C$109:$BD$166,50,FALSE)</f>
        <v>0</v>
      </c>
      <c r="BD52" s="13">
        <f ca="1">VLOOKUP($B52,'[6]Analisys QBR By Machine Report'!$C$109:$BD$166,51,FALSE)</f>
        <v>521211</v>
      </c>
      <c r="BE52" s="13">
        <f ca="1">VLOOKUP($B52,'[6]Analisys QBR By Machine Report'!$C$109:$BD$166,52,FALSE)</f>
        <v>3</v>
      </c>
      <c r="BF52" s="13">
        <f ca="1">VLOOKUP($B52,'[6]Analisys QBR By Machine Report'!$C$109:$BD$166,53,FALSE)</f>
        <v>521208</v>
      </c>
    </row>
    <row r="53" spans="1:58" x14ac:dyDescent="0.25">
      <c r="A53" s="9" t="s">
        <v>109</v>
      </c>
      <c r="B53" s="10">
        <f ca="1">VLOOKUP($B53,'[6]Analisys QBR By Machine Report'!$C$109:$BD$166,2,FALSE)</f>
        <v>60480</v>
      </c>
      <c r="C53" s="11">
        <f ca="1">VLOOKUP($B53,[6]Dasboard_QBR_Report!$B$109:$BL$166,3,FALSE)</f>
        <v>39060</v>
      </c>
      <c r="D53" s="10">
        <f ca="1">VLOOKUP($B53,'[6]Analisys QBR By Machine Report'!$C$109:$BD$166,3,FALSE)</f>
        <v>38755</v>
      </c>
      <c r="E53" s="11">
        <f ca="1">VLOOKUP($B53,[6]Dasboard_QBR_Report!$B$109:$BL$166,5,FALSE)</f>
        <v>17335</v>
      </c>
      <c r="F53" s="10">
        <f t="shared" ca="1" si="0"/>
        <v>21725</v>
      </c>
      <c r="G53" s="10">
        <f t="shared" ca="1" si="1"/>
        <v>2473</v>
      </c>
      <c r="H53" s="10">
        <f ca="1">VLOOKUP($B53,'[6]Analisys QBR By Machine Report'!$C$109:$BD$166,4,FALSE)</f>
        <v>2473</v>
      </c>
      <c r="I53" s="10">
        <f ca="1">VLOOKUP($B53,'[6]Analisys QBR By Machine Report'!$C$109:$BD$166,5,FALSE)</f>
        <v>120</v>
      </c>
      <c r="J53" s="10">
        <f ca="1">VLOOKUP($B53,'[6]Analisys QBR By Machine Report'!$C$109:$BD$166,6,FALSE)</f>
        <v>2353</v>
      </c>
      <c r="K53" s="10">
        <f ca="1">VLOOKUP($B53,'[6]Analisys QBR By Machine Report'!$C$109:$BD$166,7,FALSE)</f>
        <v>0</v>
      </c>
      <c r="L53" s="10">
        <f ca="1">VLOOKUP($B53,'[6]Analisys QBR By Machine Report'!$C$109:$BD$166,8,FALSE)</f>
        <v>19252</v>
      </c>
      <c r="M53" s="10">
        <f ca="1">VLOOKUP($B53,'[6]Analisys QBR By Machine Report'!$C$109:$BD$166,9,FALSE)</f>
        <v>8280</v>
      </c>
      <c r="N53" s="10">
        <f ca="1">VLOOKUP($B53,[6]Dasboard_QBR_Report!$B$109:$BL$166,18,FALSE)</f>
        <v>10972</v>
      </c>
      <c r="O53" s="10">
        <f ca="1">VLOOKUP($B53,'[6]Analisys QBR By Machine Report'!$C$109:$BD$166,10,FALSE)</f>
        <v>941</v>
      </c>
      <c r="P53" s="10">
        <f ca="1">VLOOKUP($B53,'[6]Analisys QBR By Machine Report'!$C$109:$BD$166,11,FALSE)</f>
        <v>581</v>
      </c>
      <c r="Q53" s="10">
        <f ca="1">VLOOKUP($B53,'[6]Analisys QBR By Machine Report'!$C$109:$BD$166,12,FALSE)</f>
        <v>0</v>
      </c>
      <c r="R53" s="10">
        <f ca="1">VLOOKUP($B53,'[6]Analisys QBR By Machine Report'!$C$109:$BD$166,13,FALSE)</f>
        <v>360</v>
      </c>
      <c r="S53" s="10">
        <f ca="1">VLOOKUP($B53,'[6]Analisys QBR By Machine Report'!$C$109:$BD$166,14,FALSE)</f>
        <v>0</v>
      </c>
      <c r="T53" s="10">
        <f ca="1">VLOOKUP($B53,'[6]Analisys QBR By Machine Report'!$C$109:$BD$166,15,FALSE)</f>
        <v>0</v>
      </c>
      <c r="U53" s="10">
        <f ca="1">VLOOKUP($B53,'[6]Analisys QBR By Machine Report'!$C$109:$BD$166,16,FALSE)</f>
        <v>0</v>
      </c>
      <c r="V53" s="10">
        <f ca="1">VLOOKUP($B53,'[6]Analisys QBR By Machine Report'!$C$109:$BD$166,17,FALSE)</f>
        <v>0</v>
      </c>
      <c r="W53" s="10">
        <f ca="1">VLOOKUP($B53,'[6]Analisys QBR By Machine Report'!$C$109:$BD$166,18,FALSE)</f>
        <v>0</v>
      </c>
      <c r="X53" s="10">
        <f ca="1">VLOOKUP($B53,'[6]Analisys QBR By Machine Report'!$C$109:$BD$166,19,FALSE)</f>
        <v>0</v>
      </c>
      <c r="Y53" s="10">
        <f ca="1">VLOOKUP($B53,'[6]Analisys QBR By Machine Report'!$C$109:$BD$166,20,FALSE)</f>
        <v>0</v>
      </c>
      <c r="Z53" s="10">
        <f ca="1">VLOOKUP($B53,'[6]Analisys QBR By Machine Report'!$C$109:$BD$166,21,FALSE)</f>
        <v>5132</v>
      </c>
      <c r="AA53" s="10">
        <f ca="1">VLOOKUP($B53,'[6]Analisys QBR By Machine Report'!$C$109:$BD$166,22,FALSE)</f>
        <v>4525</v>
      </c>
      <c r="AB53" s="10">
        <f ca="1">VLOOKUP($B53,'[6]Analisys QBR By Machine Report'!$C$109:$BD$166,23,FALSE)</f>
        <v>607</v>
      </c>
      <c r="AC53" s="10">
        <f ca="1">VLOOKUP($B53,'[6]Analisys QBR By Machine Report'!$C$109:$BD$166,24,FALSE)</f>
        <v>0</v>
      </c>
      <c r="AD53" s="10">
        <f ca="1">VLOOKUP($B53,'[6]Analisys QBR By Machine Report'!$C$109:$BD$166,25,FALSE)</f>
        <v>0</v>
      </c>
      <c r="AE53" s="10">
        <f ca="1">VLOOKUP($B53,'[6]Analisys QBR By Machine Report'!$C$109:$BD$166,26,FALSE)</f>
        <v>0</v>
      </c>
      <c r="AF53" s="10">
        <f ca="1">VLOOKUP($B53,'[6]Analisys QBR By Machine Report'!$C$109:$BD$166,27,FALSE)</f>
        <v>0</v>
      </c>
      <c r="AG53" s="10">
        <f ca="1">VLOOKUP($B53,'[6]Analisys QBR By Machine Report'!$C$109:$BD$166,28,FALSE)</f>
        <v>0</v>
      </c>
      <c r="AH53" s="10">
        <f ca="1">VLOOKUP($B53,'[6]Analisys QBR By Machine Report'!$C$109:$BD$166,29,FALSE)</f>
        <v>0</v>
      </c>
      <c r="AI53" s="10">
        <f ca="1">VLOOKUP($B53,'[6]Analisys QBR By Machine Report'!$C$109:$BD$166,30,FALSE)</f>
        <v>4899</v>
      </c>
      <c r="AJ53" s="10">
        <f ca="1">VLOOKUP($B53,'[6]Analisys QBR By Machine Report'!$C$109:$BD$166,31,FALSE)</f>
        <v>0</v>
      </c>
      <c r="AK53" s="10">
        <f ca="1">VLOOKUP($B53,'[6]Analisys QBR By Machine Report'!$C$109:$BD$166,32,FALSE)</f>
        <v>0</v>
      </c>
      <c r="AL53" s="10">
        <f ca="1">VLOOKUP($B53,'[6]Analisys QBR By Machine Report'!$C$109:$BD$166,33,FALSE)</f>
        <v>60</v>
      </c>
      <c r="AM53" s="10">
        <f ca="1">VLOOKUP($B53,'[6]Analisys QBR By Machine Report'!$C$109:$BD$166,34,FALSE)</f>
        <v>40</v>
      </c>
      <c r="AN53" s="10">
        <f ca="1">VLOOKUP($B53,'[6]Analisys QBR By Machine Report'!$C$109:$BD$166,35,FALSE)</f>
        <v>60</v>
      </c>
      <c r="AO53" s="10">
        <f ca="1">VLOOKUP($B53,'[6]Analisys QBR By Machine Report'!$C$109:$BD$166,36,FALSE)</f>
        <v>0</v>
      </c>
      <c r="AP53" s="10">
        <f ca="1">VLOOKUP($B53,'[6]Analisys QBR By Machine Report'!$C$109:$BD$166,37,FALSE)</f>
        <v>0</v>
      </c>
      <c r="AQ53" s="10">
        <f ca="1">VLOOKUP($B53,'[6]Analisys QBR By Machine Report'!$C$109:$BD$166,38,FALSE)</f>
        <v>110</v>
      </c>
      <c r="AR53" s="10">
        <f ca="1">VLOOKUP($B53,'[6]Analisys QBR By Machine Report'!$C$109:$BD$166,39,FALSE)</f>
        <v>4618</v>
      </c>
      <c r="AS53" s="10">
        <f ca="1">VLOOKUP($B53,'[6]Analisys QBR By Machine Report'!$C$109:$BD$166,40,FALSE)</f>
        <v>11</v>
      </c>
      <c r="AT53" s="10">
        <f ca="1">VLOOKUP($B53,'[6]Analisys QBR By Machine Report'!$C$109:$BD$166,41,FALSE)</f>
        <v>0</v>
      </c>
      <c r="AU53" s="10">
        <f ca="1">VLOOKUP($B53,'[6]Analisys QBR By Machine Report'!$C$109:$BD$166,42,FALSE)</f>
        <v>0</v>
      </c>
      <c r="AV53" s="10">
        <f ca="1">VLOOKUP($B53,'[6]Analisys QBR By Machine Report'!$C$109:$BD$166,43,FALSE)</f>
        <v>0</v>
      </c>
      <c r="AW53" s="10">
        <f ca="1">VLOOKUP($B53,'[6]Analisys QBR By Machine Report'!$C$109:$BD$166,44,FALSE)</f>
        <v>0</v>
      </c>
      <c r="AX53" s="10">
        <f ca="1">VLOOKUP($B53,'[6]Analisys QBR By Machine Report'!$C$109:$BD$166,45,FALSE)</f>
        <v>0</v>
      </c>
      <c r="AY53" s="10">
        <f ca="1">VLOOKUP($B53,'[6]Analisys QBR By Machine Report'!$C$109:$BD$166,46,FALSE)</f>
        <v>0</v>
      </c>
      <c r="AZ53" s="10">
        <f ca="1">VLOOKUP($B53,'[6]Analisys QBR By Machine Report'!$C$109:$BD$166,47,FALSE)</f>
        <v>0</v>
      </c>
      <c r="BA53" s="10">
        <f ca="1">VLOOKUP($B53,'[6]Analisys QBR By Machine Report'!$C$109:$BD$166,48,FALSE)</f>
        <v>0</v>
      </c>
      <c r="BB53" s="10">
        <f ca="1">VLOOKUP($B53,'[6]Analisys QBR By Machine Report'!$C$109:$BD$166,49,FALSE)</f>
        <v>0</v>
      </c>
      <c r="BC53" s="10">
        <f ca="1">VLOOKUP($B53,'[6]Analisys QBR By Machine Report'!$C$109:$BD$166,50,FALSE)</f>
        <v>0</v>
      </c>
      <c r="BD53" s="10">
        <f ca="1">VLOOKUP($B53,'[6]Analisys QBR By Machine Report'!$C$109:$BD$166,51,FALSE)</f>
        <v>901</v>
      </c>
      <c r="BE53" s="10">
        <f ca="1">VLOOKUP($B53,'[6]Analisys QBR By Machine Report'!$C$109:$BD$166,52,FALSE)</f>
        <v>0</v>
      </c>
      <c r="BF53" s="10">
        <f ca="1">VLOOKUP($B53,'[6]Analisys QBR By Machine Report'!$C$109:$BD$166,53,FALSE)</f>
        <v>901</v>
      </c>
    </row>
    <row r="54" spans="1:58" x14ac:dyDescent="0.25">
      <c r="A54" s="12" t="s">
        <v>110</v>
      </c>
      <c r="B54" s="13">
        <f ca="1">VLOOKUP($B54,'[6]Analisys QBR By Machine Report'!$C$109:$BD$166,2,FALSE)</f>
        <v>30240</v>
      </c>
      <c r="C54" s="14">
        <f ca="1">VLOOKUP($B54,[6]Dasboard_QBR_Report!$B$109:$BL$166,3,FALSE)</f>
        <v>19530</v>
      </c>
      <c r="D54" s="13">
        <f ca="1">VLOOKUP($B54,'[6]Analisys QBR By Machine Report'!$C$109:$BD$166,3,FALSE)</f>
        <v>18355</v>
      </c>
      <c r="E54" s="14">
        <f ca="1">VLOOKUP($B54,[6]Dasboard_QBR_Report!$B$109:$BL$166,5,FALSE)</f>
        <v>7645</v>
      </c>
      <c r="F54" s="13">
        <f t="shared" ca="1" si="0"/>
        <v>11885</v>
      </c>
      <c r="G54" s="13">
        <f t="shared" ca="1" si="1"/>
        <v>1484</v>
      </c>
      <c r="H54" s="13">
        <f ca="1">VLOOKUP($B54,'[6]Analisys QBR By Machine Report'!$C$109:$BD$166,4,FALSE)</f>
        <v>1484</v>
      </c>
      <c r="I54" s="13">
        <f ca="1">VLOOKUP($B54,'[6]Analisys QBR By Machine Report'!$C$109:$BD$166,5,FALSE)</f>
        <v>60</v>
      </c>
      <c r="J54" s="13">
        <f ca="1">VLOOKUP($B54,'[6]Analisys QBR By Machine Report'!$C$109:$BD$166,6,FALSE)</f>
        <v>1424</v>
      </c>
      <c r="K54" s="13">
        <f ca="1">VLOOKUP($B54,'[6]Analisys QBR By Machine Report'!$C$109:$BD$166,7,FALSE)</f>
        <v>0</v>
      </c>
      <c r="L54" s="13">
        <f ca="1">VLOOKUP($B54,'[6]Analisys QBR By Machine Report'!$C$109:$BD$166,8,FALSE)</f>
        <v>10401</v>
      </c>
      <c r="M54" s="13">
        <f ca="1">VLOOKUP($B54,'[6]Analisys QBR By Machine Report'!$C$109:$BD$166,9,FALSE)</f>
        <v>5189</v>
      </c>
      <c r="N54" s="13">
        <f ca="1">VLOOKUP($B54,[6]Dasboard_QBR_Report!$B$109:$BL$166,18,FALSE)</f>
        <v>5212</v>
      </c>
      <c r="O54" s="13">
        <f ca="1">VLOOKUP($B54,'[6]Analisys QBR By Machine Report'!$C$109:$BD$166,10,FALSE)</f>
        <v>433</v>
      </c>
      <c r="P54" s="13">
        <f ca="1">VLOOKUP($B54,'[6]Analisys QBR By Machine Report'!$C$109:$BD$166,11,FALSE)</f>
        <v>303</v>
      </c>
      <c r="Q54" s="13">
        <f ca="1">VLOOKUP($B54,'[6]Analisys QBR By Machine Report'!$C$109:$BD$166,12,FALSE)</f>
        <v>0</v>
      </c>
      <c r="R54" s="13">
        <f ca="1">VLOOKUP($B54,'[6]Analisys QBR By Machine Report'!$C$109:$BD$166,13,FALSE)</f>
        <v>130</v>
      </c>
      <c r="S54" s="13">
        <f ca="1">VLOOKUP($B54,'[6]Analisys QBR By Machine Report'!$C$109:$BD$166,14,FALSE)</f>
        <v>0</v>
      </c>
      <c r="T54" s="13">
        <f ca="1">VLOOKUP($B54,'[6]Analisys QBR By Machine Report'!$C$109:$BD$166,15,FALSE)</f>
        <v>0</v>
      </c>
      <c r="U54" s="13">
        <f ca="1">VLOOKUP($B54,'[6]Analisys QBR By Machine Report'!$C$109:$BD$166,16,FALSE)</f>
        <v>0</v>
      </c>
      <c r="V54" s="13">
        <f ca="1">VLOOKUP($B54,'[6]Analisys QBR By Machine Report'!$C$109:$BD$166,17,FALSE)</f>
        <v>0</v>
      </c>
      <c r="W54" s="13">
        <f ca="1">VLOOKUP($B54,'[6]Analisys QBR By Machine Report'!$C$109:$BD$166,18,FALSE)</f>
        <v>0</v>
      </c>
      <c r="X54" s="13">
        <f ca="1">VLOOKUP($B54,'[6]Analisys QBR By Machine Report'!$C$109:$BD$166,19,FALSE)</f>
        <v>0</v>
      </c>
      <c r="Y54" s="13">
        <f ca="1">VLOOKUP($B54,'[6]Analisys QBR By Machine Report'!$C$109:$BD$166,20,FALSE)</f>
        <v>0</v>
      </c>
      <c r="Z54" s="13">
        <f ca="1">VLOOKUP($B54,'[6]Analisys QBR By Machine Report'!$C$109:$BD$166,21,FALSE)</f>
        <v>3305</v>
      </c>
      <c r="AA54" s="13">
        <f ca="1">VLOOKUP($B54,'[6]Analisys QBR By Machine Report'!$C$109:$BD$166,22,FALSE)</f>
        <v>3087</v>
      </c>
      <c r="AB54" s="13">
        <f ca="1">VLOOKUP($B54,'[6]Analisys QBR By Machine Report'!$C$109:$BD$166,23,FALSE)</f>
        <v>218</v>
      </c>
      <c r="AC54" s="13">
        <f ca="1">VLOOKUP($B54,'[6]Analisys QBR By Machine Report'!$C$109:$BD$166,24,FALSE)</f>
        <v>0</v>
      </c>
      <c r="AD54" s="13">
        <f ca="1">VLOOKUP($B54,'[6]Analisys QBR By Machine Report'!$C$109:$BD$166,25,FALSE)</f>
        <v>0</v>
      </c>
      <c r="AE54" s="13">
        <f ca="1">VLOOKUP($B54,'[6]Analisys QBR By Machine Report'!$C$109:$BD$166,26,FALSE)</f>
        <v>0</v>
      </c>
      <c r="AF54" s="13">
        <f ca="1">VLOOKUP($B54,'[6]Analisys QBR By Machine Report'!$C$109:$BD$166,27,FALSE)</f>
        <v>0</v>
      </c>
      <c r="AG54" s="13">
        <f ca="1">VLOOKUP($B54,'[6]Analisys QBR By Machine Report'!$C$109:$BD$166,28,FALSE)</f>
        <v>0</v>
      </c>
      <c r="AH54" s="13">
        <f ca="1">VLOOKUP($B54,'[6]Analisys QBR By Machine Report'!$C$109:$BD$166,29,FALSE)</f>
        <v>0</v>
      </c>
      <c r="AI54" s="13">
        <f ca="1">VLOOKUP($B54,'[6]Analisys QBR By Machine Report'!$C$109:$BD$166,30,FALSE)</f>
        <v>1474</v>
      </c>
      <c r="AJ54" s="13">
        <f ca="1">VLOOKUP($B54,'[6]Analisys QBR By Machine Report'!$C$109:$BD$166,31,FALSE)</f>
        <v>0</v>
      </c>
      <c r="AK54" s="13">
        <f ca="1">VLOOKUP($B54,'[6]Analisys QBR By Machine Report'!$C$109:$BD$166,32,FALSE)</f>
        <v>0</v>
      </c>
      <c r="AL54" s="13">
        <f ca="1">VLOOKUP($B54,'[6]Analisys QBR By Machine Report'!$C$109:$BD$166,33,FALSE)</f>
        <v>60</v>
      </c>
      <c r="AM54" s="13">
        <f ca="1">VLOOKUP($B54,'[6]Analisys QBR By Machine Report'!$C$109:$BD$166,34,FALSE)</f>
        <v>20</v>
      </c>
      <c r="AN54" s="13">
        <f ca="1">VLOOKUP($B54,'[6]Analisys QBR By Machine Report'!$C$109:$BD$166,35,FALSE)</f>
        <v>60</v>
      </c>
      <c r="AO54" s="13">
        <f ca="1">VLOOKUP($B54,'[6]Analisys QBR By Machine Report'!$C$109:$BD$166,36,FALSE)</f>
        <v>0</v>
      </c>
      <c r="AP54" s="13">
        <f ca="1">VLOOKUP($B54,'[6]Analisys QBR By Machine Report'!$C$109:$BD$166,37,FALSE)</f>
        <v>0</v>
      </c>
      <c r="AQ54" s="13">
        <f ca="1">VLOOKUP($B54,'[6]Analisys QBR By Machine Report'!$C$109:$BD$166,38,FALSE)</f>
        <v>70</v>
      </c>
      <c r="AR54" s="13">
        <f ca="1">VLOOKUP($B54,'[6]Analisys QBR By Machine Report'!$C$109:$BD$166,39,FALSE)</f>
        <v>1253</v>
      </c>
      <c r="AS54" s="13">
        <f ca="1">VLOOKUP($B54,'[6]Analisys QBR By Machine Report'!$C$109:$BD$166,40,FALSE)</f>
        <v>11</v>
      </c>
      <c r="AT54" s="13">
        <f ca="1">VLOOKUP($B54,'[6]Analisys QBR By Machine Report'!$C$109:$BD$166,41,FALSE)</f>
        <v>0</v>
      </c>
      <c r="AU54" s="13">
        <f ca="1">VLOOKUP($B54,'[6]Analisys QBR By Machine Report'!$C$109:$BD$166,42,FALSE)</f>
        <v>0</v>
      </c>
      <c r="AV54" s="13">
        <f ca="1">VLOOKUP($B54,'[6]Analisys QBR By Machine Report'!$C$109:$BD$166,43,FALSE)</f>
        <v>0</v>
      </c>
      <c r="AW54" s="13">
        <f ca="1">VLOOKUP($B54,'[6]Analisys QBR By Machine Report'!$C$109:$BD$166,44,FALSE)</f>
        <v>0</v>
      </c>
      <c r="AX54" s="13">
        <f ca="1">VLOOKUP($B54,'[6]Analisys QBR By Machine Report'!$C$109:$BD$166,45,FALSE)</f>
        <v>0</v>
      </c>
      <c r="AY54" s="13">
        <f ca="1">VLOOKUP($B54,'[6]Analisys QBR By Machine Report'!$C$109:$BD$166,46,FALSE)</f>
        <v>0</v>
      </c>
      <c r="AZ54" s="13">
        <f ca="1">VLOOKUP($B54,'[6]Analisys QBR By Machine Report'!$C$109:$BD$166,47,FALSE)</f>
        <v>0</v>
      </c>
      <c r="BA54" s="13">
        <f ca="1">VLOOKUP($B54,'[6]Analisys QBR By Machine Report'!$C$109:$BD$166,48,FALSE)</f>
        <v>0</v>
      </c>
      <c r="BB54" s="13">
        <f ca="1">VLOOKUP($B54,'[6]Analisys QBR By Machine Report'!$C$109:$BD$166,49,FALSE)</f>
        <v>0</v>
      </c>
      <c r="BC54" s="13">
        <f ca="1">VLOOKUP($B54,'[6]Analisys QBR By Machine Report'!$C$109:$BD$166,50,FALSE)</f>
        <v>0</v>
      </c>
      <c r="BD54" s="13">
        <f ca="1">VLOOKUP($B54,'[6]Analisys QBR By Machine Report'!$C$109:$BD$166,51,FALSE)</f>
        <v>570</v>
      </c>
      <c r="BE54" s="13">
        <f ca="1">VLOOKUP($B54,'[6]Analisys QBR By Machine Report'!$C$109:$BD$166,52,FALSE)</f>
        <v>0</v>
      </c>
      <c r="BF54" s="13">
        <f ca="1">VLOOKUP($B54,'[6]Analisys QBR By Machine Report'!$C$109:$BD$166,53,FALSE)</f>
        <v>570</v>
      </c>
    </row>
    <row r="55" spans="1:58" x14ac:dyDescent="0.25">
      <c r="A55" s="12" t="s">
        <v>111</v>
      </c>
      <c r="B55" s="13">
        <f ca="1">VLOOKUP($B55,'[6]Analisys QBR By Machine Report'!$C$109:$BD$166,2,FALSE)</f>
        <v>30240</v>
      </c>
      <c r="C55" s="14">
        <f ca="1">VLOOKUP($B55,[6]Dasboard_QBR_Report!$B$109:$BL$166,3,FALSE)</f>
        <v>19530</v>
      </c>
      <c r="D55" s="13">
        <f ca="1">VLOOKUP($B55,'[6]Analisys QBR By Machine Report'!$C$109:$BD$166,3,FALSE)</f>
        <v>20400</v>
      </c>
      <c r="E55" s="14">
        <f ca="1">VLOOKUP($B55,[6]Dasboard_QBR_Report!$B$109:$BL$166,5,FALSE)</f>
        <v>9690</v>
      </c>
      <c r="F55" s="13">
        <f t="shared" ca="1" si="0"/>
        <v>9840</v>
      </c>
      <c r="G55" s="13">
        <f t="shared" ca="1" si="1"/>
        <v>989</v>
      </c>
      <c r="H55" s="13">
        <f ca="1">VLOOKUP($B55,'[6]Analisys QBR By Machine Report'!$C$109:$BD$166,4,FALSE)</f>
        <v>989</v>
      </c>
      <c r="I55" s="13">
        <f ca="1">VLOOKUP($B55,'[6]Analisys QBR By Machine Report'!$C$109:$BD$166,5,FALSE)</f>
        <v>60</v>
      </c>
      <c r="J55" s="13">
        <f ca="1">VLOOKUP($B55,'[6]Analisys QBR By Machine Report'!$C$109:$BD$166,6,FALSE)</f>
        <v>929</v>
      </c>
      <c r="K55" s="13">
        <f ca="1">VLOOKUP($B55,'[6]Analisys QBR By Machine Report'!$C$109:$BD$166,7,FALSE)</f>
        <v>0</v>
      </c>
      <c r="L55" s="13">
        <f ca="1">VLOOKUP($B55,'[6]Analisys QBR By Machine Report'!$C$109:$BD$166,8,FALSE)</f>
        <v>8851</v>
      </c>
      <c r="M55" s="13">
        <f ca="1">VLOOKUP($B55,'[6]Analisys QBR By Machine Report'!$C$109:$BD$166,9,FALSE)</f>
        <v>3091</v>
      </c>
      <c r="N55" s="13">
        <f ca="1">VLOOKUP($B55,[6]Dasboard_QBR_Report!$B$109:$BL$166,18,FALSE)</f>
        <v>5760</v>
      </c>
      <c r="O55" s="13">
        <f ca="1">VLOOKUP($B55,'[6]Analisys QBR By Machine Report'!$C$109:$BD$166,10,FALSE)</f>
        <v>508</v>
      </c>
      <c r="P55" s="13">
        <f ca="1">VLOOKUP($B55,'[6]Analisys QBR By Machine Report'!$C$109:$BD$166,11,FALSE)</f>
        <v>278</v>
      </c>
      <c r="Q55" s="13">
        <f ca="1">VLOOKUP($B55,'[6]Analisys QBR By Machine Report'!$C$109:$BD$166,12,FALSE)</f>
        <v>0</v>
      </c>
      <c r="R55" s="13">
        <f ca="1">VLOOKUP($B55,'[6]Analisys QBR By Machine Report'!$C$109:$BD$166,13,FALSE)</f>
        <v>230</v>
      </c>
      <c r="S55" s="13">
        <f ca="1">VLOOKUP($B55,'[6]Analisys QBR By Machine Report'!$C$109:$BD$166,14,FALSE)</f>
        <v>0</v>
      </c>
      <c r="T55" s="13">
        <f ca="1">VLOOKUP($B55,'[6]Analisys QBR By Machine Report'!$C$109:$BD$166,15,FALSE)</f>
        <v>0</v>
      </c>
      <c r="U55" s="13">
        <f ca="1">VLOOKUP($B55,'[6]Analisys QBR By Machine Report'!$C$109:$BD$166,16,FALSE)</f>
        <v>0</v>
      </c>
      <c r="V55" s="13">
        <f ca="1">VLOOKUP($B55,'[6]Analisys QBR By Machine Report'!$C$109:$BD$166,17,FALSE)</f>
        <v>0</v>
      </c>
      <c r="W55" s="13">
        <f ca="1">VLOOKUP($B55,'[6]Analisys QBR By Machine Report'!$C$109:$BD$166,18,FALSE)</f>
        <v>0</v>
      </c>
      <c r="X55" s="13">
        <f ca="1">VLOOKUP($B55,'[6]Analisys QBR By Machine Report'!$C$109:$BD$166,19,FALSE)</f>
        <v>0</v>
      </c>
      <c r="Y55" s="13">
        <f ca="1">VLOOKUP($B55,'[6]Analisys QBR By Machine Report'!$C$109:$BD$166,20,FALSE)</f>
        <v>0</v>
      </c>
      <c r="Z55" s="13">
        <f ca="1">VLOOKUP($B55,'[6]Analisys QBR By Machine Report'!$C$109:$BD$166,21,FALSE)</f>
        <v>1827</v>
      </c>
      <c r="AA55" s="13">
        <f ca="1">VLOOKUP($B55,'[6]Analisys QBR By Machine Report'!$C$109:$BD$166,22,FALSE)</f>
        <v>1438</v>
      </c>
      <c r="AB55" s="13">
        <f ca="1">VLOOKUP($B55,'[6]Analisys QBR By Machine Report'!$C$109:$BD$166,23,FALSE)</f>
        <v>389</v>
      </c>
      <c r="AC55" s="13">
        <f ca="1">VLOOKUP($B55,'[6]Analisys QBR By Machine Report'!$C$109:$BD$166,24,FALSE)</f>
        <v>0</v>
      </c>
      <c r="AD55" s="13">
        <f ca="1">VLOOKUP($B55,'[6]Analisys QBR By Machine Report'!$C$109:$BD$166,25,FALSE)</f>
        <v>0</v>
      </c>
      <c r="AE55" s="13">
        <f ca="1">VLOOKUP($B55,'[6]Analisys QBR By Machine Report'!$C$109:$BD$166,26,FALSE)</f>
        <v>0</v>
      </c>
      <c r="AF55" s="13">
        <f ca="1">VLOOKUP($B55,'[6]Analisys QBR By Machine Report'!$C$109:$BD$166,27,FALSE)</f>
        <v>0</v>
      </c>
      <c r="AG55" s="13">
        <f ca="1">VLOOKUP($B55,'[6]Analisys QBR By Machine Report'!$C$109:$BD$166,28,FALSE)</f>
        <v>0</v>
      </c>
      <c r="AH55" s="13">
        <f ca="1">VLOOKUP($B55,'[6]Analisys QBR By Machine Report'!$C$109:$BD$166,29,FALSE)</f>
        <v>0</v>
      </c>
      <c r="AI55" s="13">
        <f ca="1">VLOOKUP($B55,'[6]Analisys QBR By Machine Report'!$C$109:$BD$166,30,FALSE)</f>
        <v>3425</v>
      </c>
      <c r="AJ55" s="13">
        <f ca="1">VLOOKUP($B55,'[6]Analisys QBR By Machine Report'!$C$109:$BD$166,31,FALSE)</f>
        <v>0</v>
      </c>
      <c r="AK55" s="13">
        <f ca="1">VLOOKUP($B55,'[6]Analisys QBR By Machine Report'!$C$109:$BD$166,32,FALSE)</f>
        <v>0</v>
      </c>
      <c r="AL55" s="13">
        <f ca="1">VLOOKUP($B55,'[6]Analisys QBR By Machine Report'!$C$109:$BD$166,33,FALSE)</f>
        <v>0</v>
      </c>
      <c r="AM55" s="13">
        <f ca="1">VLOOKUP($B55,'[6]Analisys QBR By Machine Report'!$C$109:$BD$166,34,FALSE)</f>
        <v>20</v>
      </c>
      <c r="AN55" s="13">
        <f ca="1">VLOOKUP($B55,'[6]Analisys QBR By Machine Report'!$C$109:$BD$166,35,FALSE)</f>
        <v>0</v>
      </c>
      <c r="AO55" s="13">
        <f ca="1">VLOOKUP($B55,'[6]Analisys QBR By Machine Report'!$C$109:$BD$166,36,FALSE)</f>
        <v>0</v>
      </c>
      <c r="AP55" s="13">
        <f ca="1">VLOOKUP($B55,'[6]Analisys QBR By Machine Report'!$C$109:$BD$166,37,FALSE)</f>
        <v>0</v>
      </c>
      <c r="AQ55" s="13">
        <f ca="1">VLOOKUP($B55,'[6]Analisys QBR By Machine Report'!$C$109:$BD$166,38,FALSE)</f>
        <v>40</v>
      </c>
      <c r="AR55" s="13">
        <f ca="1">VLOOKUP($B55,'[6]Analisys QBR By Machine Report'!$C$109:$BD$166,39,FALSE)</f>
        <v>3365</v>
      </c>
      <c r="AS55" s="13">
        <f ca="1">VLOOKUP($B55,'[6]Analisys QBR By Machine Report'!$C$109:$BD$166,40,FALSE)</f>
        <v>0</v>
      </c>
      <c r="AT55" s="13">
        <f ca="1">VLOOKUP($B55,'[6]Analisys QBR By Machine Report'!$C$109:$BD$166,41,FALSE)</f>
        <v>0</v>
      </c>
      <c r="AU55" s="13">
        <f ca="1">VLOOKUP($B55,'[6]Analisys QBR By Machine Report'!$C$109:$BD$166,42,FALSE)</f>
        <v>0</v>
      </c>
      <c r="AV55" s="13">
        <f ca="1">VLOOKUP($B55,'[6]Analisys QBR By Machine Report'!$C$109:$BD$166,43,FALSE)</f>
        <v>0</v>
      </c>
      <c r="AW55" s="13">
        <f ca="1">VLOOKUP($B55,'[6]Analisys QBR By Machine Report'!$C$109:$BD$166,44,FALSE)</f>
        <v>0</v>
      </c>
      <c r="AX55" s="13">
        <f ca="1">VLOOKUP($B55,'[6]Analisys QBR By Machine Report'!$C$109:$BD$166,45,FALSE)</f>
        <v>0</v>
      </c>
      <c r="AY55" s="13">
        <f ca="1">VLOOKUP($B55,'[6]Analisys QBR By Machine Report'!$C$109:$BD$166,46,FALSE)</f>
        <v>0</v>
      </c>
      <c r="AZ55" s="13">
        <f ca="1">VLOOKUP($B55,'[6]Analisys QBR By Machine Report'!$C$109:$BD$166,47,FALSE)</f>
        <v>0</v>
      </c>
      <c r="BA55" s="13">
        <f ca="1">VLOOKUP($B55,'[6]Analisys QBR By Machine Report'!$C$109:$BD$166,48,FALSE)</f>
        <v>0</v>
      </c>
      <c r="BB55" s="13">
        <f ca="1">VLOOKUP($B55,'[6]Analisys QBR By Machine Report'!$C$109:$BD$166,49,FALSE)</f>
        <v>0</v>
      </c>
      <c r="BC55" s="13">
        <f ca="1">VLOOKUP($B55,'[6]Analisys QBR By Machine Report'!$C$109:$BD$166,50,FALSE)</f>
        <v>0</v>
      </c>
      <c r="BD55" s="13">
        <f ca="1">VLOOKUP($B55,'[6]Analisys QBR By Machine Report'!$C$109:$BD$166,51,FALSE)</f>
        <v>331</v>
      </c>
      <c r="BE55" s="13">
        <f ca="1">VLOOKUP($B55,'[6]Analisys QBR By Machine Report'!$C$109:$BD$166,52,FALSE)</f>
        <v>0</v>
      </c>
      <c r="BF55" s="13">
        <f ca="1">VLOOKUP($B55,'[6]Analisys QBR By Machine Report'!$C$109:$BD$166,53,FALSE)</f>
        <v>331</v>
      </c>
    </row>
    <row r="56" spans="1:58" x14ac:dyDescent="0.25">
      <c r="A56" s="9" t="s">
        <v>112</v>
      </c>
      <c r="B56" s="10">
        <f ca="1">VLOOKUP($B56,'[6]Analisys QBR By Machine Report'!$C$109:$BD$166,2,FALSE)</f>
        <v>54720</v>
      </c>
      <c r="C56" s="11">
        <f ca="1">VLOOKUP($B56,[6]Dasboard_QBR_Report!$B$109:$BL$166,3,FALSE)</f>
        <v>18240</v>
      </c>
      <c r="D56" s="10">
        <f ca="1">VLOOKUP($B56,'[6]Analisys QBR By Machine Report'!$C$109:$BD$166,3,FALSE)</f>
        <v>29910</v>
      </c>
      <c r="E56" s="11">
        <f ca="1">VLOOKUP($B56,[6]Dasboard_QBR_Report!$B$109:$BL$166,5,FALSE)</f>
        <v>-6570</v>
      </c>
      <c r="F56" s="10">
        <f t="shared" ca="1" si="0"/>
        <v>24810</v>
      </c>
      <c r="G56" s="10">
        <f t="shared" ca="1" si="1"/>
        <v>1865</v>
      </c>
      <c r="H56" s="10">
        <f ca="1">VLOOKUP($B56,'[6]Analisys QBR By Machine Report'!$C$109:$BD$166,4,FALSE)</f>
        <v>1865</v>
      </c>
      <c r="I56" s="10">
        <f ca="1">VLOOKUP($B56,'[6]Analisys QBR By Machine Report'!$C$109:$BD$166,5,FALSE)</f>
        <v>475</v>
      </c>
      <c r="J56" s="10">
        <f ca="1">VLOOKUP($B56,'[6]Analisys QBR By Machine Report'!$C$109:$BD$166,6,FALSE)</f>
        <v>1390</v>
      </c>
      <c r="K56" s="10">
        <f ca="1">VLOOKUP($B56,'[6]Analisys QBR By Machine Report'!$C$109:$BD$166,7,FALSE)</f>
        <v>0</v>
      </c>
      <c r="L56" s="10">
        <f ca="1">VLOOKUP($B56,'[6]Analisys QBR By Machine Report'!$C$109:$BD$166,8,FALSE)</f>
        <v>22945</v>
      </c>
      <c r="M56" s="10">
        <f ca="1">VLOOKUP($B56,'[6]Analisys QBR By Machine Report'!$C$109:$BD$166,9,FALSE)</f>
        <v>8465</v>
      </c>
      <c r="N56" s="10">
        <f ca="1">VLOOKUP($B56,[6]Dasboard_QBR_Report!$B$109:$BL$166,18,FALSE)</f>
        <v>14480</v>
      </c>
      <c r="O56" s="10">
        <f ca="1">VLOOKUP($B56,'[6]Analisys QBR By Machine Report'!$C$109:$BD$166,10,FALSE)</f>
        <v>5212</v>
      </c>
      <c r="P56" s="10">
        <f ca="1">VLOOKUP($B56,'[6]Analisys QBR By Machine Report'!$C$109:$BD$166,11,FALSE)</f>
        <v>2707</v>
      </c>
      <c r="Q56" s="10">
        <f ca="1">VLOOKUP($B56,'[6]Analisys QBR By Machine Report'!$C$109:$BD$166,12,FALSE)</f>
        <v>170</v>
      </c>
      <c r="R56" s="10">
        <f ca="1">VLOOKUP($B56,'[6]Analisys QBR By Machine Report'!$C$109:$BD$166,13,FALSE)</f>
        <v>805</v>
      </c>
      <c r="S56" s="10">
        <f ca="1">VLOOKUP($B56,'[6]Analisys QBR By Machine Report'!$C$109:$BD$166,14,FALSE)</f>
        <v>1530</v>
      </c>
      <c r="T56" s="10">
        <f ca="1">VLOOKUP($B56,'[6]Analisys QBR By Machine Report'!$C$109:$BD$166,15,FALSE)</f>
        <v>300</v>
      </c>
      <c r="U56" s="10">
        <f ca="1">VLOOKUP($B56,'[6]Analisys QBR By Machine Report'!$C$109:$BD$166,16,FALSE)</f>
        <v>260</v>
      </c>
      <c r="V56" s="10">
        <f ca="1">VLOOKUP($B56,'[6]Analisys QBR By Machine Report'!$C$109:$BD$166,17,FALSE)</f>
        <v>0</v>
      </c>
      <c r="W56" s="10">
        <f ca="1">VLOOKUP($B56,'[6]Analisys QBR By Machine Report'!$C$109:$BD$166,18,FALSE)</f>
        <v>0</v>
      </c>
      <c r="X56" s="10">
        <f ca="1">VLOOKUP($B56,'[6]Analisys QBR By Machine Report'!$C$109:$BD$166,19,FALSE)</f>
        <v>40</v>
      </c>
      <c r="Y56" s="10">
        <f ca="1">VLOOKUP($B56,'[6]Analisys QBR By Machine Report'!$C$109:$BD$166,20,FALSE)</f>
        <v>0</v>
      </c>
      <c r="Z56" s="10">
        <f ca="1">VLOOKUP($B56,'[6]Analisys QBR By Machine Report'!$C$109:$BD$166,21,FALSE)</f>
        <v>3922</v>
      </c>
      <c r="AA56" s="10">
        <f ca="1">VLOOKUP($B56,'[6]Analisys QBR By Machine Report'!$C$109:$BD$166,22,FALSE)</f>
        <v>2025</v>
      </c>
      <c r="AB56" s="10">
        <f ca="1">VLOOKUP($B56,'[6]Analisys QBR By Machine Report'!$C$109:$BD$166,23,FALSE)</f>
        <v>762</v>
      </c>
      <c r="AC56" s="10">
        <f ca="1">VLOOKUP($B56,'[6]Analisys QBR By Machine Report'!$C$109:$BD$166,24,FALSE)</f>
        <v>690</v>
      </c>
      <c r="AD56" s="10">
        <f ca="1">VLOOKUP($B56,'[6]Analisys QBR By Machine Report'!$C$109:$BD$166,25,FALSE)</f>
        <v>0</v>
      </c>
      <c r="AE56" s="10">
        <f ca="1">VLOOKUP($B56,'[6]Analisys QBR By Machine Report'!$C$109:$BD$166,26,FALSE)</f>
        <v>445</v>
      </c>
      <c r="AF56" s="10">
        <f ca="1">VLOOKUP($B56,'[6]Analisys QBR By Machine Report'!$C$109:$BD$166,27,FALSE)</f>
        <v>280</v>
      </c>
      <c r="AG56" s="10">
        <f ca="1">VLOOKUP($B56,'[6]Analisys QBR By Machine Report'!$C$109:$BD$166,28,FALSE)</f>
        <v>0</v>
      </c>
      <c r="AH56" s="10">
        <f ca="1">VLOOKUP($B56,'[6]Analisys QBR By Machine Report'!$C$109:$BD$166,29,FALSE)</f>
        <v>280</v>
      </c>
      <c r="AI56" s="10">
        <f ca="1">VLOOKUP($B56,'[6]Analisys QBR By Machine Report'!$C$109:$BD$166,30,FALSE)</f>
        <v>4766</v>
      </c>
      <c r="AJ56" s="10">
        <f ca="1">VLOOKUP($B56,'[6]Analisys QBR By Machine Report'!$C$109:$BD$166,31,FALSE)</f>
        <v>175</v>
      </c>
      <c r="AK56" s="10">
        <f ca="1">VLOOKUP($B56,'[6]Analisys QBR By Machine Report'!$C$109:$BD$166,32,FALSE)</f>
        <v>0</v>
      </c>
      <c r="AL56" s="10">
        <f ca="1">VLOOKUP($B56,'[6]Analisys QBR By Machine Report'!$C$109:$BD$166,33,FALSE)</f>
        <v>1470</v>
      </c>
      <c r="AM56" s="10">
        <f ca="1">VLOOKUP($B56,'[6]Analisys QBR By Machine Report'!$C$109:$BD$166,34,FALSE)</f>
        <v>0</v>
      </c>
      <c r="AN56" s="10">
        <f ca="1">VLOOKUP($B56,'[6]Analisys QBR By Machine Report'!$C$109:$BD$166,35,FALSE)</f>
        <v>1055</v>
      </c>
      <c r="AO56" s="10">
        <f ca="1">VLOOKUP($B56,'[6]Analisys QBR By Machine Report'!$C$109:$BD$166,36,FALSE)</f>
        <v>270</v>
      </c>
      <c r="AP56" s="10">
        <f ca="1">VLOOKUP($B56,'[6]Analisys QBR By Machine Report'!$C$109:$BD$166,37,FALSE)</f>
        <v>100</v>
      </c>
      <c r="AQ56" s="10">
        <f ca="1">VLOOKUP($B56,'[6]Analisys QBR By Machine Report'!$C$109:$BD$166,38,FALSE)</f>
        <v>0</v>
      </c>
      <c r="AR56" s="10">
        <f ca="1">VLOOKUP($B56,'[6]Analisys QBR By Machine Report'!$C$109:$BD$166,39,FALSE)</f>
        <v>120</v>
      </c>
      <c r="AS56" s="10">
        <f ca="1">VLOOKUP($B56,'[6]Analisys QBR By Machine Report'!$C$109:$BD$166,40,FALSE)</f>
        <v>544</v>
      </c>
      <c r="AT56" s="10">
        <f ca="1">VLOOKUP($B56,'[6]Analisys QBR By Machine Report'!$C$109:$BD$166,41,FALSE)</f>
        <v>0</v>
      </c>
      <c r="AU56" s="10">
        <f ca="1">VLOOKUP($B56,'[6]Analisys QBR By Machine Report'!$C$109:$BD$166,42,FALSE)</f>
        <v>0</v>
      </c>
      <c r="AV56" s="10">
        <f ca="1">VLOOKUP($B56,'[6]Analisys QBR By Machine Report'!$C$109:$BD$166,43,FALSE)</f>
        <v>0</v>
      </c>
      <c r="AW56" s="10">
        <f ca="1">VLOOKUP($B56,'[6]Analisys QBR By Machine Report'!$C$109:$BD$166,44,FALSE)</f>
        <v>0</v>
      </c>
      <c r="AX56" s="10">
        <f ca="1">VLOOKUP($B56,'[6]Analisys QBR By Machine Report'!$C$109:$BD$166,45,FALSE)</f>
        <v>0</v>
      </c>
      <c r="AY56" s="10">
        <f ca="1">VLOOKUP($B56,'[6]Analisys QBR By Machine Report'!$C$109:$BD$166,46,FALSE)</f>
        <v>0</v>
      </c>
      <c r="AZ56" s="10">
        <f ca="1">VLOOKUP($B56,'[6]Analisys QBR By Machine Report'!$C$109:$BD$166,47,FALSE)</f>
        <v>1032</v>
      </c>
      <c r="BA56" s="10">
        <f ca="1">VLOOKUP($B56,'[6]Analisys QBR By Machine Report'!$C$109:$BD$166,48,FALSE)</f>
        <v>0</v>
      </c>
      <c r="BB56" s="10">
        <f ca="1">VLOOKUP($B56,'[6]Analisys QBR By Machine Report'!$C$109:$BD$166,49,FALSE)</f>
        <v>0</v>
      </c>
      <c r="BC56" s="10">
        <f ca="1">VLOOKUP($B56,'[6]Analisys QBR By Machine Report'!$C$109:$BD$166,50,FALSE)</f>
        <v>0</v>
      </c>
      <c r="BD56" s="10">
        <f ca="1">VLOOKUP($B56,'[6]Analisys QBR By Machine Report'!$C$109:$BD$166,51,FALSE)</f>
        <v>1065508</v>
      </c>
      <c r="BE56" s="10">
        <f ca="1">VLOOKUP($B56,'[6]Analisys QBR By Machine Report'!$C$109:$BD$166,52,FALSE)</f>
        <v>448</v>
      </c>
      <c r="BF56" s="10">
        <f ca="1">VLOOKUP($B56,'[6]Analisys QBR By Machine Report'!$C$109:$BD$166,53,FALSE)</f>
        <v>1065060</v>
      </c>
    </row>
    <row r="57" spans="1:58" x14ac:dyDescent="0.25">
      <c r="A57" s="15" t="s">
        <v>113</v>
      </c>
      <c r="B57" s="13">
        <f ca="1">VLOOKUP($B57,'[6]Analisys QBR By Machine Report'!$C$109:$BD$166,2,FALSE)</f>
        <v>27360</v>
      </c>
      <c r="C57" s="14">
        <f ca="1">VLOOKUP($B57,[6]Dasboard_QBR_Report!$B$109:$BL$166,3,FALSE)</f>
        <v>9120</v>
      </c>
      <c r="D57" s="13">
        <f ca="1">VLOOKUP($B57,'[6]Analisys QBR By Machine Report'!$C$109:$BD$166,3,FALSE)</f>
        <v>9690</v>
      </c>
      <c r="E57" s="14">
        <f ca="1">VLOOKUP($B57,[6]Dasboard_QBR_Report!$B$109:$BL$166,5,FALSE)</f>
        <v>-8550</v>
      </c>
      <c r="F57" s="13">
        <f t="shared" ca="1" si="0"/>
        <v>17670</v>
      </c>
      <c r="G57" s="13">
        <f t="shared" ca="1" si="1"/>
        <v>740</v>
      </c>
      <c r="H57" s="13">
        <f ca="1">VLOOKUP($B57,'[6]Analisys QBR By Machine Report'!$C$109:$BD$166,4,FALSE)</f>
        <v>740</v>
      </c>
      <c r="I57" s="13">
        <f ca="1">VLOOKUP($B57,'[6]Analisys QBR By Machine Report'!$C$109:$BD$166,5,FALSE)</f>
        <v>250</v>
      </c>
      <c r="J57" s="13">
        <f ca="1">VLOOKUP($B57,'[6]Analisys QBR By Machine Report'!$C$109:$BD$166,6,FALSE)</f>
        <v>490</v>
      </c>
      <c r="K57" s="13">
        <f ca="1">VLOOKUP($B57,'[6]Analisys QBR By Machine Report'!$C$109:$BD$166,7,FALSE)</f>
        <v>0</v>
      </c>
      <c r="L57" s="13">
        <f ca="1">VLOOKUP($B57,'[6]Analisys QBR By Machine Report'!$C$109:$BD$166,8,FALSE)</f>
        <v>16930</v>
      </c>
      <c r="M57" s="13">
        <f ca="1">VLOOKUP($B57,'[6]Analisys QBR By Machine Report'!$C$109:$BD$166,9,FALSE)</f>
        <v>5455</v>
      </c>
      <c r="N57" s="13">
        <f ca="1">VLOOKUP($B57,[6]Dasboard_QBR_Report!$B$109:$BL$166,18,FALSE)</f>
        <v>11475</v>
      </c>
      <c r="O57" s="13">
        <f ca="1">VLOOKUP($B57,'[6]Analisys QBR By Machine Report'!$C$109:$BD$166,10,FALSE)</f>
        <v>5000</v>
      </c>
      <c r="P57" s="13">
        <f ca="1">VLOOKUP($B57,'[6]Analisys QBR By Machine Report'!$C$109:$BD$166,11,FALSE)</f>
        <v>2495</v>
      </c>
      <c r="Q57" s="13">
        <f ca="1">VLOOKUP($B57,'[6]Analisys QBR By Machine Report'!$C$109:$BD$166,12,FALSE)</f>
        <v>170</v>
      </c>
      <c r="R57" s="13">
        <f ca="1">VLOOKUP($B57,'[6]Analisys QBR By Machine Report'!$C$109:$BD$166,13,FALSE)</f>
        <v>805</v>
      </c>
      <c r="S57" s="13">
        <f ca="1">VLOOKUP($B57,'[6]Analisys QBR By Machine Report'!$C$109:$BD$166,14,FALSE)</f>
        <v>1530</v>
      </c>
      <c r="T57" s="13">
        <f ca="1">VLOOKUP($B57,'[6]Analisys QBR By Machine Report'!$C$109:$BD$166,15,FALSE)</f>
        <v>235</v>
      </c>
      <c r="U57" s="13">
        <f ca="1">VLOOKUP($B57,'[6]Analisys QBR By Machine Report'!$C$109:$BD$166,16,FALSE)</f>
        <v>195</v>
      </c>
      <c r="V57" s="13">
        <f ca="1">VLOOKUP($B57,'[6]Analisys QBR By Machine Report'!$C$109:$BD$166,17,FALSE)</f>
        <v>0</v>
      </c>
      <c r="W57" s="13">
        <f ca="1">VLOOKUP($B57,'[6]Analisys QBR By Machine Report'!$C$109:$BD$166,18,FALSE)</f>
        <v>0</v>
      </c>
      <c r="X57" s="13">
        <f ca="1">VLOOKUP($B57,'[6]Analisys QBR By Machine Report'!$C$109:$BD$166,19,FALSE)</f>
        <v>40</v>
      </c>
      <c r="Y57" s="13">
        <f ca="1">VLOOKUP($B57,'[6]Analisys QBR By Machine Report'!$C$109:$BD$166,20,FALSE)</f>
        <v>0</v>
      </c>
      <c r="Z57" s="13">
        <f ca="1">VLOOKUP($B57,'[6]Analisys QBR By Machine Report'!$C$109:$BD$166,21,FALSE)</f>
        <v>3290</v>
      </c>
      <c r="AA57" s="13">
        <f ca="1">VLOOKUP($B57,'[6]Analisys QBR By Machine Report'!$C$109:$BD$166,22,FALSE)</f>
        <v>2025</v>
      </c>
      <c r="AB57" s="13">
        <f ca="1">VLOOKUP($B57,'[6]Analisys QBR By Machine Report'!$C$109:$BD$166,23,FALSE)</f>
        <v>575</v>
      </c>
      <c r="AC57" s="13">
        <f ca="1">VLOOKUP($B57,'[6]Analisys QBR By Machine Report'!$C$109:$BD$166,24,FALSE)</f>
        <v>690</v>
      </c>
      <c r="AD57" s="13">
        <f ca="1">VLOOKUP($B57,'[6]Analisys QBR By Machine Report'!$C$109:$BD$166,25,FALSE)</f>
        <v>0</v>
      </c>
      <c r="AE57" s="13">
        <f ca="1">VLOOKUP($B57,'[6]Analisys QBR By Machine Report'!$C$109:$BD$166,26,FALSE)</f>
        <v>0</v>
      </c>
      <c r="AF57" s="13">
        <f ca="1">VLOOKUP($B57,'[6]Analisys QBR By Machine Report'!$C$109:$BD$166,27,FALSE)</f>
        <v>0</v>
      </c>
      <c r="AG57" s="13">
        <f ca="1">VLOOKUP($B57,'[6]Analisys QBR By Machine Report'!$C$109:$BD$166,28,FALSE)</f>
        <v>0</v>
      </c>
      <c r="AH57" s="13">
        <f ca="1">VLOOKUP($B57,'[6]Analisys QBR By Machine Report'!$C$109:$BD$166,29,FALSE)</f>
        <v>0</v>
      </c>
      <c r="AI57" s="13">
        <f ca="1">VLOOKUP($B57,'[6]Analisys QBR By Machine Report'!$C$109:$BD$166,30,FALSE)</f>
        <v>2950</v>
      </c>
      <c r="AJ57" s="13">
        <f ca="1">VLOOKUP($B57,'[6]Analisys QBR By Machine Report'!$C$109:$BD$166,31,FALSE)</f>
        <v>175</v>
      </c>
      <c r="AK57" s="13">
        <f ca="1">VLOOKUP($B57,'[6]Analisys QBR By Machine Report'!$C$109:$BD$166,32,FALSE)</f>
        <v>0</v>
      </c>
      <c r="AL57" s="13">
        <f ca="1">VLOOKUP($B57,'[6]Analisys QBR By Machine Report'!$C$109:$BD$166,33,FALSE)</f>
        <v>1140</v>
      </c>
      <c r="AM57" s="13">
        <f ca="1">VLOOKUP($B57,'[6]Analisys QBR By Machine Report'!$C$109:$BD$166,34,FALSE)</f>
        <v>0</v>
      </c>
      <c r="AN57" s="13">
        <f ca="1">VLOOKUP($B57,'[6]Analisys QBR By Machine Report'!$C$109:$BD$166,35,FALSE)</f>
        <v>880</v>
      </c>
      <c r="AO57" s="13">
        <f ca="1">VLOOKUP($B57,'[6]Analisys QBR By Machine Report'!$C$109:$BD$166,36,FALSE)</f>
        <v>0</v>
      </c>
      <c r="AP57" s="13">
        <f ca="1">VLOOKUP($B57,'[6]Analisys QBR By Machine Report'!$C$109:$BD$166,37,FALSE)</f>
        <v>0</v>
      </c>
      <c r="AQ57" s="13">
        <f ca="1">VLOOKUP($B57,'[6]Analisys QBR By Machine Report'!$C$109:$BD$166,38,FALSE)</f>
        <v>0</v>
      </c>
      <c r="AR57" s="13">
        <f ca="1">VLOOKUP($B57,'[6]Analisys QBR By Machine Report'!$C$109:$BD$166,39,FALSE)</f>
        <v>0</v>
      </c>
      <c r="AS57" s="13">
        <f ca="1">VLOOKUP($B57,'[6]Analisys QBR By Machine Report'!$C$109:$BD$166,40,FALSE)</f>
        <v>345</v>
      </c>
      <c r="AT57" s="13">
        <f ca="1">VLOOKUP($B57,'[6]Analisys QBR By Machine Report'!$C$109:$BD$166,41,FALSE)</f>
        <v>0</v>
      </c>
      <c r="AU57" s="13">
        <f ca="1">VLOOKUP($B57,'[6]Analisys QBR By Machine Report'!$C$109:$BD$166,42,FALSE)</f>
        <v>0</v>
      </c>
      <c r="AV57" s="13">
        <f ca="1">VLOOKUP($B57,'[6]Analisys QBR By Machine Report'!$C$109:$BD$166,43,FALSE)</f>
        <v>0</v>
      </c>
      <c r="AW57" s="13">
        <f ca="1">VLOOKUP($B57,'[6]Analisys QBR By Machine Report'!$C$109:$BD$166,44,FALSE)</f>
        <v>0</v>
      </c>
      <c r="AX57" s="13">
        <f ca="1">VLOOKUP($B57,'[6]Analisys QBR By Machine Report'!$C$109:$BD$166,45,FALSE)</f>
        <v>0</v>
      </c>
      <c r="AY57" s="13">
        <f ca="1">VLOOKUP($B57,'[6]Analisys QBR By Machine Report'!$C$109:$BD$166,46,FALSE)</f>
        <v>0</v>
      </c>
      <c r="AZ57" s="13">
        <f ca="1">VLOOKUP($B57,'[6]Analisys QBR By Machine Report'!$C$109:$BD$166,47,FALSE)</f>
        <v>410</v>
      </c>
      <c r="BA57" s="13">
        <f ca="1">VLOOKUP($B57,'[6]Analisys QBR By Machine Report'!$C$109:$BD$166,48,FALSE)</f>
        <v>0</v>
      </c>
      <c r="BB57" s="13">
        <f ca="1">VLOOKUP($B57,'[6]Analisys QBR By Machine Report'!$C$109:$BD$166,49,FALSE)</f>
        <v>0</v>
      </c>
      <c r="BC57" s="13">
        <f ca="1">VLOOKUP($B57,'[6]Analisys QBR By Machine Report'!$C$109:$BD$166,50,FALSE)</f>
        <v>0</v>
      </c>
      <c r="BD57" s="13">
        <f ca="1">VLOOKUP($B57,'[6]Analisys QBR By Machine Report'!$C$109:$BD$166,51,FALSE)</f>
        <v>982616</v>
      </c>
      <c r="BE57" s="13">
        <f ca="1">VLOOKUP($B57,'[6]Analisys QBR By Machine Report'!$C$109:$BD$166,52,FALSE)</f>
        <v>234</v>
      </c>
      <c r="BF57" s="13">
        <f ca="1">VLOOKUP($B57,'[6]Analisys QBR By Machine Report'!$C$109:$BD$166,53,FALSE)</f>
        <v>982382</v>
      </c>
    </row>
    <row r="58" spans="1:58" x14ac:dyDescent="0.25">
      <c r="A58" s="15" t="s">
        <v>114</v>
      </c>
      <c r="B58" s="13">
        <f ca="1">VLOOKUP($B58,'[6]Analisys QBR By Machine Report'!$C$109:$BD$166,2,FALSE)</f>
        <v>27360</v>
      </c>
      <c r="C58" s="14">
        <f ca="1">VLOOKUP($B58,[6]Dasboard_QBR_Report!$B$109:$BL$166,3,FALSE)</f>
        <v>9120</v>
      </c>
      <c r="D58" s="13">
        <f ca="1">VLOOKUP($B58,'[6]Analisys QBR By Machine Report'!$C$109:$BD$166,3,FALSE)</f>
        <v>20220</v>
      </c>
      <c r="E58" s="14">
        <f ca="1">VLOOKUP($B58,[6]Dasboard_QBR_Report!$B$109:$BL$166,5,FALSE)</f>
        <v>1980</v>
      </c>
      <c r="F58" s="13">
        <f t="shared" ca="1" si="0"/>
        <v>7140</v>
      </c>
      <c r="G58" s="13">
        <f t="shared" ca="1" si="1"/>
        <v>1125</v>
      </c>
      <c r="H58" s="13">
        <f ca="1">VLOOKUP($B58,'[6]Analisys QBR By Machine Report'!$C$109:$BD$166,4,FALSE)</f>
        <v>1125</v>
      </c>
      <c r="I58" s="13">
        <f ca="1">VLOOKUP($B58,'[6]Analisys QBR By Machine Report'!$C$109:$BD$166,5,FALSE)</f>
        <v>225</v>
      </c>
      <c r="J58" s="13">
        <f ca="1">VLOOKUP($B58,'[6]Analisys QBR By Machine Report'!$C$109:$BD$166,6,FALSE)</f>
        <v>900</v>
      </c>
      <c r="K58" s="13">
        <f ca="1">VLOOKUP($B58,'[6]Analisys QBR By Machine Report'!$C$109:$BD$166,7,FALSE)</f>
        <v>0</v>
      </c>
      <c r="L58" s="13">
        <f ca="1">VLOOKUP($B58,'[6]Analisys QBR By Machine Report'!$C$109:$BD$166,8,FALSE)</f>
        <v>6015</v>
      </c>
      <c r="M58" s="13">
        <f ca="1">VLOOKUP($B58,'[6]Analisys QBR By Machine Report'!$C$109:$BD$166,9,FALSE)</f>
        <v>3010</v>
      </c>
      <c r="N58" s="13">
        <f ca="1">VLOOKUP($B58,[6]Dasboard_QBR_Report!$B$109:$BL$166,18,FALSE)</f>
        <v>3005</v>
      </c>
      <c r="O58" s="13">
        <f ca="1">VLOOKUP($B58,'[6]Analisys QBR By Machine Report'!$C$109:$BD$166,10,FALSE)</f>
        <v>212</v>
      </c>
      <c r="P58" s="13">
        <f ca="1">VLOOKUP($B58,'[6]Analisys QBR By Machine Report'!$C$109:$BD$166,11,FALSE)</f>
        <v>212</v>
      </c>
      <c r="Q58" s="13">
        <f ca="1">VLOOKUP($B58,'[6]Analisys QBR By Machine Report'!$C$109:$BD$166,12,FALSE)</f>
        <v>0</v>
      </c>
      <c r="R58" s="13">
        <f ca="1">VLOOKUP($B58,'[6]Analisys QBR By Machine Report'!$C$109:$BD$166,13,FALSE)</f>
        <v>0</v>
      </c>
      <c r="S58" s="13">
        <f ca="1">VLOOKUP($B58,'[6]Analisys QBR By Machine Report'!$C$109:$BD$166,14,FALSE)</f>
        <v>0</v>
      </c>
      <c r="T58" s="13">
        <f ca="1">VLOOKUP($B58,'[6]Analisys QBR By Machine Report'!$C$109:$BD$166,15,FALSE)</f>
        <v>65</v>
      </c>
      <c r="U58" s="13">
        <f ca="1">VLOOKUP($B58,'[6]Analisys QBR By Machine Report'!$C$109:$BD$166,16,FALSE)</f>
        <v>65</v>
      </c>
      <c r="V58" s="13">
        <f ca="1">VLOOKUP($B58,'[6]Analisys QBR By Machine Report'!$C$109:$BD$166,17,FALSE)</f>
        <v>0</v>
      </c>
      <c r="W58" s="13">
        <f ca="1">VLOOKUP($B58,'[6]Analisys QBR By Machine Report'!$C$109:$BD$166,18,FALSE)</f>
        <v>0</v>
      </c>
      <c r="X58" s="13">
        <f ca="1">VLOOKUP($B58,'[6]Analisys QBR By Machine Report'!$C$109:$BD$166,19,FALSE)</f>
        <v>0</v>
      </c>
      <c r="Y58" s="13">
        <f ca="1">VLOOKUP($B58,'[6]Analisys QBR By Machine Report'!$C$109:$BD$166,20,FALSE)</f>
        <v>0</v>
      </c>
      <c r="Z58" s="13">
        <f ca="1">VLOOKUP($B58,'[6]Analisys QBR By Machine Report'!$C$109:$BD$166,21,FALSE)</f>
        <v>632</v>
      </c>
      <c r="AA58" s="13">
        <f ca="1">VLOOKUP($B58,'[6]Analisys QBR By Machine Report'!$C$109:$BD$166,22,FALSE)</f>
        <v>0</v>
      </c>
      <c r="AB58" s="13">
        <f ca="1">VLOOKUP($B58,'[6]Analisys QBR By Machine Report'!$C$109:$BD$166,23,FALSE)</f>
        <v>187</v>
      </c>
      <c r="AC58" s="13">
        <f ca="1">VLOOKUP($B58,'[6]Analisys QBR By Machine Report'!$C$109:$BD$166,24,FALSE)</f>
        <v>0</v>
      </c>
      <c r="AD58" s="13">
        <f ca="1">VLOOKUP($B58,'[6]Analisys QBR By Machine Report'!$C$109:$BD$166,25,FALSE)</f>
        <v>0</v>
      </c>
      <c r="AE58" s="13">
        <f ca="1">VLOOKUP($B58,'[6]Analisys QBR By Machine Report'!$C$109:$BD$166,26,FALSE)</f>
        <v>445</v>
      </c>
      <c r="AF58" s="13">
        <f ca="1">VLOOKUP($B58,'[6]Analisys QBR By Machine Report'!$C$109:$BD$166,27,FALSE)</f>
        <v>280</v>
      </c>
      <c r="AG58" s="13">
        <f ca="1">VLOOKUP($B58,'[6]Analisys QBR By Machine Report'!$C$109:$BD$166,28,FALSE)</f>
        <v>0</v>
      </c>
      <c r="AH58" s="13">
        <f ca="1">VLOOKUP($B58,'[6]Analisys QBR By Machine Report'!$C$109:$BD$166,29,FALSE)</f>
        <v>280</v>
      </c>
      <c r="AI58" s="13">
        <f ca="1">VLOOKUP($B58,'[6]Analisys QBR By Machine Report'!$C$109:$BD$166,30,FALSE)</f>
        <v>1816</v>
      </c>
      <c r="AJ58" s="13">
        <f ca="1">VLOOKUP($B58,'[6]Analisys QBR By Machine Report'!$C$109:$BD$166,31,FALSE)</f>
        <v>0</v>
      </c>
      <c r="AK58" s="13">
        <f ca="1">VLOOKUP($B58,'[6]Analisys QBR By Machine Report'!$C$109:$BD$166,32,FALSE)</f>
        <v>0</v>
      </c>
      <c r="AL58" s="13">
        <f ca="1">VLOOKUP($B58,'[6]Analisys QBR By Machine Report'!$C$109:$BD$166,33,FALSE)</f>
        <v>330</v>
      </c>
      <c r="AM58" s="13">
        <f ca="1">VLOOKUP($B58,'[6]Analisys QBR By Machine Report'!$C$109:$BD$166,34,FALSE)</f>
        <v>0</v>
      </c>
      <c r="AN58" s="13">
        <f ca="1">VLOOKUP($B58,'[6]Analisys QBR By Machine Report'!$C$109:$BD$166,35,FALSE)</f>
        <v>175</v>
      </c>
      <c r="AO58" s="13">
        <f ca="1">VLOOKUP($B58,'[6]Analisys QBR By Machine Report'!$C$109:$BD$166,36,FALSE)</f>
        <v>270</v>
      </c>
      <c r="AP58" s="13">
        <f ca="1">VLOOKUP($B58,'[6]Analisys QBR By Machine Report'!$C$109:$BD$166,37,FALSE)</f>
        <v>100</v>
      </c>
      <c r="AQ58" s="13">
        <f ca="1">VLOOKUP($B58,'[6]Analisys QBR By Machine Report'!$C$109:$BD$166,38,FALSE)</f>
        <v>0</v>
      </c>
      <c r="AR58" s="13">
        <f ca="1">VLOOKUP($B58,'[6]Analisys QBR By Machine Report'!$C$109:$BD$166,39,FALSE)</f>
        <v>120</v>
      </c>
      <c r="AS58" s="13">
        <f ca="1">VLOOKUP($B58,'[6]Analisys QBR By Machine Report'!$C$109:$BD$166,40,FALSE)</f>
        <v>199</v>
      </c>
      <c r="AT58" s="13">
        <f ca="1">VLOOKUP($B58,'[6]Analisys QBR By Machine Report'!$C$109:$BD$166,41,FALSE)</f>
        <v>0</v>
      </c>
      <c r="AU58" s="13">
        <f ca="1">VLOOKUP($B58,'[6]Analisys QBR By Machine Report'!$C$109:$BD$166,42,FALSE)</f>
        <v>0</v>
      </c>
      <c r="AV58" s="13">
        <f ca="1">VLOOKUP($B58,'[6]Analisys QBR By Machine Report'!$C$109:$BD$166,43,FALSE)</f>
        <v>0</v>
      </c>
      <c r="AW58" s="13">
        <f ca="1">VLOOKUP($B58,'[6]Analisys QBR By Machine Report'!$C$109:$BD$166,44,FALSE)</f>
        <v>0</v>
      </c>
      <c r="AX58" s="13">
        <f ca="1">VLOOKUP($B58,'[6]Analisys QBR By Machine Report'!$C$109:$BD$166,45,FALSE)</f>
        <v>0</v>
      </c>
      <c r="AY58" s="13">
        <f ca="1">VLOOKUP($B58,'[6]Analisys QBR By Machine Report'!$C$109:$BD$166,46,FALSE)</f>
        <v>0</v>
      </c>
      <c r="AZ58" s="13">
        <f ca="1">VLOOKUP($B58,'[6]Analisys QBR By Machine Report'!$C$109:$BD$166,47,FALSE)</f>
        <v>622</v>
      </c>
      <c r="BA58" s="13">
        <f ca="1">VLOOKUP($B58,'[6]Analisys QBR By Machine Report'!$C$109:$BD$166,48,FALSE)</f>
        <v>0</v>
      </c>
      <c r="BB58" s="13">
        <f ca="1">VLOOKUP($B58,'[6]Analisys QBR By Machine Report'!$C$109:$BD$166,49,FALSE)</f>
        <v>0</v>
      </c>
      <c r="BC58" s="13">
        <f ca="1">VLOOKUP($B58,'[6]Analisys QBR By Machine Report'!$C$109:$BD$166,50,FALSE)</f>
        <v>0</v>
      </c>
      <c r="BD58" s="13">
        <f ca="1">VLOOKUP($B58,'[6]Analisys QBR By Machine Report'!$C$109:$BD$166,51,FALSE)</f>
        <v>82892</v>
      </c>
      <c r="BE58" s="13">
        <f ca="1">VLOOKUP($B58,'[6]Analisys QBR By Machine Report'!$C$109:$BD$166,52,FALSE)</f>
        <v>214</v>
      </c>
      <c r="BF58" s="13">
        <f ca="1">VLOOKUP($B58,'[6]Analisys QBR By Machine Report'!$C$109:$BD$166,53,FALSE)</f>
        <v>82678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DC015-ACC5-46FD-A165-0E33B7ECED69}">
  <dimension ref="A1:BF58"/>
  <sheetViews>
    <sheetView workbookViewId="0">
      <selection sqref="A1:BF58"/>
    </sheetView>
  </sheetViews>
  <sheetFormatPr defaultRowHeight="15" x14ac:dyDescent="0.25"/>
  <sheetData>
    <row r="1" spans="1:58" ht="60" x14ac:dyDescent="0.25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8" t="s">
        <v>55</v>
      </c>
      <c r="BE1" s="8" t="s">
        <v>56</v>
      </c>
      <c r="BF1" s="8" t="s">
        <v>57</v>
      </c>
    </row>
    <row r="2" spans="1:58" x14ac:dyDescent="0.25">
      <c r="A2" s="9" t="s">
        <v>58</v>
      </c>
      <c r="B2" s="10">
        <f ca="1">VLOOKUP($B2,'[7]Analisys QBR By Machine Report'!$C$109:$BD$166,2,FALSE)</f>
        <v>99360</v>
      </c>
      <c r="C2" s="11">
        <f ca="1">VLOOKUP($B2,[7]Dasboard_QBR_Report!$B$109:$BL$166,3,FALSE)</f>
        <v>64170</v>
      </c>
      <c r="D2" s="10">
        <f ca="1">VLOOKUP($B2,'[7]Analisys QBR By Machine Report'!$C$109:$BD$166,3,FALSE)</f>
        <v>75300</v>
      </c>
      <c r="E2" s="11">
        <f ca="1">VLOOKUP($B2,[7]Dasboard_QBR_Report!$B$109:$BL$166,5,FALSE)</f>
        <v>40110</v>
      </c>
      <c r="F2" s="10">
        <f t="shared" ref="F2:F58" ca="1" si="0">SUM(G2,L2)</f>
        <v>24060</v>
      </c>
      <c r="G2" s="10">
        <f t="shared" ref="G2:G58" ca="1" si="1">SUM($I2,$L2)</f>
        <v>2470</v>
      </c>
      <c r="H2" s="10">
        <f ca="1">VLOOKUP($B2,'[7]Analisys QBR By Machine Report'!$C$109:$BD$166,4,FALSE)</f>
        <v>2470</v>
      </c>
      <c r="I2" s="10">
        <f ca="1">VLOOKUP($B2,'[7]Analisys QBR By Machine Report'!$C$109:$BD$166,5,FALSE)</f>
        <v>120</v>
      </c>
      <c r="J2" s="10">
        <f ca="1">VLOOKUP($B2,'[7]Analisys QBR By Machine Report'!$C$109:$BD$166,6,FALSE)</f>
        <v>2350</v>
      </c>
      <c r="K2" s="10">
        <f ca="1">VLOOKUP($B2,'[7]Analisys QBR By Machine Report'!$C$109:$BD$166,7,FALSE)</f>
        <v>0</v>
      </c>
      <c r="L2" s="10">
        <f ca="1">VLOOKUP($B2,'[7]Analisys QBR By Machine Report'!$C$109:$BD$166,8,FALSE)</f>
        <v>21590</v>
      </c>
      <c r="M2" s="10">
        <f ca="1">VLOOKUP($B2,'[7]Analisys QBR By Machine Report'!$C$109:$BD$166,9,FALSE)</f>
        <v>3215</v>
      </c>
      <c r="N2" s="10">
        <f ca="1">VLOOKUP($B2,[7]Dasboard_QBR_Report!$B$109:$BL$166,18,FALSE)</f>
        <v>18375</v>
      </c>
      <c r="O2" s="10">
        <f ca="1">VLOOKUP($B2,'[7]Analisys QBR By Machine Report'!$C$109:$BD$166,10,FALSE)</f>
        <v>680</v>
      </c>
      <c r="P2" s="10">
        <f ca="1">VLOOKUP($B2,'[7]Analisys QBR By Machine Report'!$C$109:$BD$166,11,FALSE)</f>
        <v>680</v>
      </c>
      <c r="Q2" s="10">
        <f ca="1">VLOOKUP($B2,'[7]Analisys QBR By Machine Report'!$C$109:$BD$166,12,FALSE)</f>
        <v>0</v>
      </c>
      <c r="R2" s="10">
        <f ca="1">VLOOKUP($B2,'[7]Analisys QBR By Machine Report'!$C$109:$BD$166,13,FALSE)</f>
        <v>0</v>
      </c>
      <c r="S2" s="10">
        <f ca="1">VLOOKUP($B2,'[7]Analisys QBR By Machine Report'!$C$109:$BD$166,14,FALSE)</f>
        <v>0</v>
      </c>
      <c r="T2" s="10">
        <f ca="1">VLOOKUP($B2,'[7]Analisys QBR By Machine Report'!$C$109:$BD$166,15,FALSE)</f>
        <v>0</v>
      </c>
      <c r="U2" s="10">
        <f ca="1">VLOOKUP($B2,'[7]Analisys QBR By Machine Report'!$C$109:$BD$166,16,FALSE)</f>
        <v>0</v>
      </c>
      <c r="V2" s="10">
        <f ca="1">VLOOKUP($B2,'[7]Analisys QBR By Machine Report'!$C$109:$BD$166,17,FALSE)</f>
        <v>0</v>
      </c>
      <c r="W2" s="10">
        <f ca="1">VLOOKUP($B2,'[7]Analisys QBR By Machine Report'!$C$109:$BD$166,18,FALSE)</f>
        <v>0</v>
      </c>
      <c r="X2" s="10">
        <f ca="1">VLOOKUP($B2,'[7]Analisys QBR By Machine Report'!$C$109:$BD$166,19,FALSE)</f>
        <v>0</v>
      </c>
      <c r="Y2" s="10">
        <f ca="1">VLOOKUP($B2,'[7]Analisys QBR By Machine Report'!$C$109:$BD$166,20,FALSE)</f>
        <v>0</v>
      </c>
      <c r="Z2" s="10">
        <f ca="1">VLOOKUP($B2,'[7]Analisys QBR By Machine Report'!$C$109:$BD$166,21,FALSE)</f>
        <v>10817</v>
      </c>
      <c r="AA2" s="10">
        <f ca="1">VLOOKUP($B2,'[7]Analisys QBR By Machine Report'!$C$109:$BD$166,22,FALSE)</f>
        <v>6667</v>
      </c>
      <c r="AB2" s="10">
        <f ca="1">VLOOKUP($B2,'[7]Analisys QBR By Machine Report'!$C$109:$BD$166,23,FALSE)</f>
        <v>3732</v>
      </c>
      <c r="AC2" s="10">
        <f ca="1">VLOOKUP($B2,'[7]Analisys QBR By Machine Report'!$C$109:$BD$166,24,FALSE)</f>
        <v>29</v>
      </c>
      <c r="AD2" s="10">
        <f ca="1">VLOOKUP($B2,'[7]Analisys QBR By Machine Report'!$C$109:$BD$166,25,FALSE)</f>
        <v>0</v>
      </c>
      <c r="AE2" s="10">
        <f ca="1">VLOOKUP($B2,'[7]Analisys QBR By Machine Report'!$C$109:$BD$166,26,FALSE)</f>
        <v>389</v>
      </c>
      <c r="AF2" s="10">
        <f ca="1">VLOOKUP($B2,'[7]Analisys QBR By Machine Report'!$C$109:$BD$166,27,FALSE)</f>
        <v>625</v>
      </c>
      <c r="AG2" s="10">
        <f ca="1">VLOOKUP($B2,'[7]Analisys QBR By Machine Report'!$C$109:$BD$166,28,FALSE)</f>
        <v>0</v>
      </c>
      <c r="AH2" s="10">
        <f ca="1">VLOOKUP($B2,'[7]Analisys QBR By Machine Report'!$C$109:$BD$166,29,FALSE)</f>
        <v>625</v>
      </c>
      <c r="AI2" s="10">
        <f ca="1">VLOOKUP($B2,'[7]Analisys QBR By Machine Report'!$C$109:$BD$166,30,FALSE)</f>
        <v>6253</v>
      </c>
      <c r="AJ2" s="10">
        <f ca="1">VLOOKUP($B2,'[7]Analisys QBR By Machine Report'!$C$109:$BD$166,31,FALSE)</f>
        <v>141</v>
      </c>
      <c r="AK2" s="10">
        <f ca="1">VLOOKUP($B2,'[7]Analisys QBR By Machine Report'!$C$109:$BD$166,32,FALSE)</f>
        <v>0</v>
      </c>
      <c r="AL2" s="10">
        <f ca="1">VLOOKUP($B2,'[7]Analisys QBR By Machine Report'!$C$109:$BD$166,33,FALSE)</f>
        <v>1215</v>
      </c>
      <c r="AM2" s="10">
        <f ca="1">VLOOKUP($B2,'[7]Analisys QBR By Machine Report'!$C$109:$BD$166,34,FALSE)</f>
        <v>0</v>
      </c>
      <c r="AN2" s="10">
        <f ca="1">VLOOKUP($B2,'[7]Analisys QBR By Machine Report'!$C$109:$BD$166,35,FALSE)</f>
        <v>1020</v>
      </c>
      <c r="AO2" s="10">
        <f ca="1">VLOOKUP($B2,'[7]Analisys QBR By Machine Report'!$C$109:$BD$166,36,FALSE)</f>
        <v>0</v>
      </c>
      <c r="AP2" s="10">
        <f ca="1">VLOOKUP($B2,'[7]Analisys QBR By Machine Report'!$C$109:$BD$166,37,FALSE)</f>
        <v>0</v>
      </c>
      <c r="AQ2" s="10">
        <f ca="1">VLOOKUP($B2,'[7]Analisys QBR By Machine Report'!$C$109:$BD$166,38,FALSE)</f>
        <v>0</v>
      </c>
      <c r="AR2" s="10">
        <f ca="1">VLOOKUP($B2,'[7]Analisys QBR By Machine Report'!$C$109:$BD$166,39,FALSE)</f>
        <v>3305</v>
      </c>
      <c r="AS2" s="10">
        <f ca="1">VLOOKUP($B2,'[7]Analisys QBR By Machine Report'!$C$109:$BD$166,40,FALSE)</f>
        <v>35</v>
      </c>
      <c r="AT2" s="10">
        <f ca="1">VLOOKUP($B2,'[7]Analisys QBR By Machine Report'!$C$109:$BD$166,41,FALSE)</f>
        <v>0</v>
      </c>
      <c r="AU2" s="10">
        <f ca="1">VLOOKUP($B2,'[7]Analisys QBR By Machine Report'!$C$109:$BD$166,42,FALSE)</f>
        <v>286</v>
      </c>
      <c r="AV2" s="10">
        <f ca="1">VLOOKUP($B2,'[7]Analisys QBR By Machine Report'!$C$109:$BD$166,43,FALSE)</f>
        <v>0</v>
      </c>
      <c r="AW2" s="10">
        <f ca="1">VLOOKUP($B2,'[7]Analisys QBR By Machine Report'!$C$109:$BD$166,44,FALSE)</f>
        <v>0</v>
      </c>
      <c r="AX2" s="10">
        <f ca="1">VLOOKUP($B2,'[7]Analisys QBR By Machine Report'!$C$109:$BD$166,45,FALSE)</f>
        <v>0</v>
      </c>
      <c r="AY2" s="10">
        <f ca="1">VLOOKUP($B2,'[7]Analisys QBR By Machine Report'!$C$109:$BD$166,46,FALSE)</f>
        <v>0</v>
      </c>
      <c r="AZ2" s="10">
        <f ca="1">VLOOKUP($B2,'[7]Analisys QBR By Machine Report'!$C$109:$BD$166,47,FALSE)</f>
        <v>251</v>
      </c>
      <c r="BA2" s="10">
        <f ca="1">VLOOKUP($B2,'[7]Analisys QBR By Machine Report'!$C$109:$BD$166,48,FALSE)</f>
        <v>0</v>
      </c>
      <c r="BB2" s="10">
        <f ca="1">VLOOKUP($B2,'[7]Analisys QBR By Machine Report'!$C$109:$BD$166,49,FALSE)</f>
        <v>0</v>
      </c>
      <c r="BC2" s="10">
        <f ca="1">VLOOKUP($B2,'[7]Analisys QBR By Machine Report'!$C$109:$BD$166,50,FALSE)</f>
        <v>0</v>
      </c>
      <c r="BD2" s="10">
        <f ca="1">VLOOKUP($B2,'[7]Analisys QBR By Machine Report'!$C$109:$BD$166,51,FALSE)</f>
        <v>7829.98</v>
      </c>
      <c r="BE2" s="10">
        <f ca="1">VLOOKUP($B2,'[7]Analisys QBR By Machine Report'!$C$109:$BD$166,52,FALSE)</f>
        <v>0</v>
      </c>
      <c r="BF2" s="10">
        <f ca="1">VLOOKUP($B2,'[7]Analisys QBR By Machine Report'!$C$109:$BD$166,53,FALSE)</f>
        <v>7829.98</v>
      </c>
    </row>
    <row r="3" spans="1:58" x14ac:dyDescent="0.25">
      <c r="A3" s="12" t="s">
        <v>59</v>
      </c>
      <c r="B3" s="13">
        <f ca="1">VLOOKUP($B3,'[7]Analisys QBR By Machine Report'!$C$109:$BD$166,2,FALSE)</f>
        <v>33120</v>
      </c>
      <c r="C3" s="14">
        <f ca="1">VLOOKUP($B3,[7]Dasboard_QBR_Report!$B$109:$BL$166,3,FALSE)</f>
        <v>21390</v>
      </c>
      <c r="D3" s="13">
        <f ca="1">VLOOKUP($B3,'[7]Analisys QBR By Machine Report'!$C$109:$BD$166,3,FALSE)</f>
        <v>27810</v>
      </c>
      <c r="E3" s="14">
        <f ca="1">VLOOKUP($B3,[7]Dasboard_QBR_Report!$B$109:$BL$166,5,FALSE)</f>
        <v>16080</v>
      </c>
      <c r="F3" s="13">
        <f t="shared" ca="1" si="0"/>
        <v>5310</v>
      </c>
      <c r="G3" s="13">
        <f t="shared" ca="1" si="1"/>
        <v>510</v>
      </c>
      <c r="H3" s="13">
        <f ca="1">VLOOKUP($B3,'[7]Analisys QBR By Machine Report'!$C$109:$BD$166,4,FALSE)</f>
        <v>510</v>
      </c>
      <c r="I3" s="13">
        <f ca="1">VLOOKUP($B3,'[7]Analisys QBR By Machine Report'!$C$109:$BD$166,5,FALSE)</f>
        <v>30</v>
      </c>
      <c r="J3" s="13">
        <f ca="1">VLOOKUP($B3,'[7]Analisys QBR By Machine Report'!$C$109:$BD$166,6,FALSE)</f>
        <v>480</v>
      </c>
      <c r="K3" s="13">
        <f ca="1">VLOOKUP($B3,'[7]Analisys QBR By Machine Report'!$C$109:$BD$166,7,FALSE)</f>
        <v>0</v>
      </c>
      <c r="L3" s="13">
        <f ca="1">VLOOKUP($B3,'[7]Analisys QBR By Machine Report'!$C$109:$BD$166,8,FALSE)</f>
        <v>4800</v>
      </c>
      <c r="M3" s="13">
        <f ca="1">VLOOKUP($B3,'[7]Analisys QBR By Machine Report'!$C$109:$BD$166,9,FALSE)</f>
        <v>1043</v>
      </c>
      <c r="N3" s="13">
        <f ca="1">VLOOKUP($B3,[7]Dasboard_QBR_Report!$B$109:$BL$166,18,FALSE)</f>
        <v>3757</v>
      </c>
      <c r="O3" s="13">
        <f ca="1">VLOOKUP($B3,'[7]Analisys QBR By Machine Report'!$C$109:$BD$166,10,FALSE)</f>
        <v>150</v>
      </c>
      <c r="P3" s="13">
        <f ca="1">VLOOKUP($B3,'[7]Analisys QBR By Machine Report'!$C$109:$BD$166,11,FALSE)</f>
        <v>150</v>
      </c>
      <c r="Q3" s="13">
        <f ca="1">VLOOKUP($B3,'[7]Analisys QBR By Machine Report'!$C$109:$BD$166,12,FALSE)</f>
        <v>0</v>
      </c>
      <c r="R3" s="13">
        <f ca="1">VLOOKUP($B3,'[7]Analisys QBR By Machine Report'!$C$109:$BD$166,13,FALSE)</f>
        <v>0</v>
      </c>
      <c r="S3" s="13">
        <f ca="1">VLOOKUP($B3,'[7]Analisys QBR By Machine Report'!$C$109:$BD$166,14,FALSE)</f>
        <v>0</v>
      </c>
      <c r="T3" s="13">
        <f ca="1">VLOOKUP($B3,'[7]Analisys QBR By Machine Report'!$C$109:$BD$166,15,FALSE)</f>
        <v>0</v>
      </c>
      <c r="U3" s="13">
        <f ca="1">VLOOKUP($B3,'[7]Analisys QBR By Machine Report'!$C$109:$BD$166,16,FALSE)</f>
        <v>0</v>
      </c>
      <c r="V3" s="13">
        <f ca="1">VLOOKUP($B3,'[7]Analisys QBR By Machine Report'!$C$109:$BD$166,17,FALSE)</f>
        <v>0</v>
      </c>
      <c r="W3" s="13">
        <f ca="1">VLOOKUP($B3,'[7]Analisys QBR By Machine Report'!$C$109:$BD$166,18,FALSE)</f>
        <v>0</v>
      </c>
      <c r="X3" s="13">
        <f ca="1">VLOOKUP($B3,'[7]Analisys QBR By Machine Report'!$C$109:$BD$166,19,FALSE)</f>
        <v>0</v>
      </c>
      <c r="Y3" s="13">
        <f ca="1">VLOOKUP($B3,'[7]Analisys QBR By Machine Report'!$C$109:$BD$166,20,FALSE)</f>
        <v>0</v>
      </c>
      <c r="Z3" s="13">
        <f ca="1">VLOOKUP($B3,'[7]Analisys QBR By Machine Report'!$C$109:$BD$166,21,FALSE)</f>
        <v>2813</v>
      </c>
      <c r="AA3" s="13">
        <f ca="1">VLOOKUP($B3,'[7]Analisys QBR By Machine Report'!$C$109:$BD$166,22,FALSE)</f>
        <v>1697</v>
      </c>
      <c r="AB3" s="13">
        <f ca="1">VLOOKUP($B3,'[7]Analisys QBR By Machine Report'!$C$109:$BD$166,23,FALSE)</f>
        <v>995</v>
      </c>
      <c r="AC3" s="13">
        <f ca="1">VLOOKUP($B3,'[7]Analisys QBR By Machine Report'!$C$109:$BD$166,24,FALSE)</f>
        <v>1</v>
      </c>
      <c r="AD3" s="13">
        <f ca="1">VLOOKUP($B3,'[7]Analisys QBR By Machine Report'!$C$109:$BD$166,25,FALSE)</f>
        <v>0</v>
      </c>
      <c r="AE3" s="13">
        <f ca="1">VLOOKUP($B3,'[7]Analisys QBR By Machine Report'!$C$109:$BD$166,26,FALSE)</f>
        <v>120</v>
      </c>
      <c r="AF3" s="13">
        <f ca="1">VLOOKUP($B3,'[7]Analisys QBR By Machine Report'!$C$109:$BD$166,27,FALSE)</f>
        <v>0</v>
      </c>
      <c r="AG3" s="13">
        <f ca="1">VLOOKUP($B3,'[7]Analisys QBR By Machine Report'!$C$109:$BD$166,28,FALSE)</f>
        <v>0</v>
      </c>
      <c r="AH3" s="13">
        <f ca="1">VLOOKUP($B3,'[7]Analisys QBR By Machine Report'!$C$109:$BD$166,29,FALSE)</f>
        <v>0</v>
      </c>
      <c r="AI3" s="13">
        <f ca="1">VLOOKUP($B3,'[7]Analisys QBR By Machine Report'!$C$109:$BD$166,30,FALSE)</f>
        <v>794</v>
      </c>
      <c r="AJ3" s="13">
        <f ca="1">VLOOKUP($B3,'[7]Analisys QBR By Machine Report'!$C$109:$BD$166,31,FALSE)</f>
        <v>80</v>
      </c>
      <c r="AK3" s="13">
        <f ca="1">VLOOKUP($B3,'[7]Analisys QBR By Machine Report'!$C$109:$BD$166,32,FALSE)</f>
        <v>0</v>
      </c>
      <c r="AL3" s="13">
        <f ca="1">VLOOKUP($B3,'[7]Analisys QBR By Machine Report'!$C$109:$BD$166,33,FALSE)</f>
        <v>315</v>
      </c>
      <c r="AM3" s="13">
        <f ca="1">VLOOKUP($B3,'[7]Analisys QBR By Machine Report'!$C$109:$BD$166,34,FALSE)</f>
        <v>0</v>
      </c>
      <c r="AN3" s="13">
        <f ca="1">VLOOKUP($B3,'[7]Analisys QBR By Machine Report'!$C$109:$BD$166,35,FALSE)</f>
        <v>255</v>
      </c>
      <c r="AO3" s="13">
        <f ca="1">VLOOKUP($B3,'[7]Analisys QBR By Machine Report'!$C$109:$BD$166,36,FALSE)</f>
        <v>0</v>
      </c>
      <c r="AP3" s="13">
        <f ca="1">VLOOKUP($B3,'[7]Analisys QBR By Machine Report'!$C$109:$BD$166,37,FALSE)</f>
        <v>0</v>
      </c>
      <c r="AQ3" s="13">
        <f ca="1">VLOOKUP($B3,'[7]Analisys QBR By Machine Report'!$C$109:$BD$166,38,FALSE)</f>
        <v>0</v>
      </c>
      <c r="AR3" s="13">
        <f ca="1">VLOOKUP($B3,'[7]Analisys QBR By Machine Report'!$C$109:$BD$166,39,FALSE)</f>
        <v>0</v>
      </c>
      <c r="AS3" s="13">
        <f ca="1">VLOOKUP($B3,'[7]Analisys QBR By Machine Report'!$C$109:$BD$166,40,FALSE)</f>
        <v>0</v>
      </c>
      <c r="AT3" s="13">
        <f ca="1">VLOOKUP($B3,'[7]Analisys QBR By Machine Report'!$C$109:$BD$166,41,FALSE)</f>
        <v>0</v>
      </c>
      <c r="AU3" s="13">
        <f ca="1">VLOOKUP($B3,'[7]Analisys QBR By Machine Report'!$C$109:$BD$166,42,FALSE)</f>
        <v>144</v>
      </c>
      <c r="AV3" s="13">
        <f ca="1">VLOOKUP($B3,'[7]Analisys QBR By Machine Report'!$C$109:$BD$166,43,FALSE)</f>
        <v>0</v>
      </c>
      <c r="AW3" s="13">
        <f ca="1">VLOOKUP($B3,'[7]Analisys QBR By Machine Report'!$C$109:$BD$166,44,FALSE)</f>
        <v>0</v>
      </c>
      <c r="AX3" s="13">
        <f ca="1">VLOOKUP($B3,'[7]Analisys QBR By Machine Report'!$C$109:$BD$166,45,FALSE)</f>
        <v>0</v>
      </c>
      <c r="AY3" s="13">
        <f ca="1">VLOOKUP($B3,'[7]Analisys QBR By Machine Report'!$C$109:$BD$166,46,FALSE)</f>
        <v>0</v>
      </c>
      <c r="AZ3" s="13">
        <f ca="1">VLOOKUP($B3,'[7]Analisys QBR By Machine Report'!$C$109:$BD$166,47,FALSE)</f>
        <v>0</v>
      </c>
      <c r="BA3" s="13">
        <f ca="1">VLOOKUP($B3,'[7]Analisys QBR By Machine Report'!$C$109:$BD$166,48,FALSE)</f>
        <v>0</v>
      </c>
      <c r="BB3" s="13">
        <f ca="1">VLOOKUP($B3,'[7]Analisys QBR By Machine Report'!$C$109:$BD$166,49,FALSE)</f>
        <v>0</v>
      </c>
      <c r="BC3" s="13">
        <f ca="1">VLOOKUP($B3,'[7]Analisys QBR By Machine Report'!$C$109:$BD$166,50,FALSE)</f>
        <v>0</v>
      </c>
      <c r="BD3" s="13">
        <f ca="1">VLOOKUP($B3,'[7]Analisys QBR By Machine Report'!$C$109:$BD$166,51,FALSE)</f>
        <v>657.59</v>
      </c>
      <c r="BE3" s="13">
        <f ca="1">VLOOKUP($B3,'[7]Analisys QBR By Machine Report'!$C$109:$BD$166,52,FALSE)</f>
        <v>0</v>
      </c>
      <c r="BF3" s="13">
        <f ca="1">VLOOKUP($B3,'[7]Analisys QBR By Machine Report'!$C$109:$BD$166,53,FALSE)</f>
        <v>657.59</v>
      </c>
    </row>
    <row r="4" spans="1:58" x14ac:dyDescent="0.25">
      <c r="A4" s="12" t="s">
        <v>60</v>
      </c>
      <c r="B4" s="13">
        <f ca="1">VLOOKUP($B4,'[7]Analisys QBR By Machine Report'!$C$109:$BD$166,2,FALSE)</f>
        <v>33120</v>
      </c>
      <c r="C4" s="14">
        <f ca="1">VLOOKUP($B4,[7]Dasboard_QBR_Report!$B$109:$BL$166,3,FALSE)</f>
        <v>21390</v>
      </c>
      <c r="D4" s="13">
        <f ca="1">VLOOKUP($B4,'[7]Analisys QBR By Machine Report'!$C$109:$BD$166,3,FALSE)</f>
        <v>27870</v>
      </c>
      <c r="E4" s="14">
        <f ca="1">VLOOKUP($B4,[7]Dasboard_QBR_Report!$B$109:$BL$166,5,FALSE)</f>
        <v>16140</v>
      </c>
      <c r="F4" s="13">
        <f t="shared" ca="1" si="0"/>
        <v>5250</v>
      </c>
      <c r="G4" s="13">
        <f t="shared" ca="1" si="1"/>
        <v>0</v>
      </c>
      <c r="H4" s="13">
        <f ca="1">VLOOKUP($B4,'[7]Analisys QBR By Machine Report'!$C$109:$BD$166,4,FALSE)</f>
        <v>0</v>
      </c>
      <c r="I4" s="13">
        <f ca="1">VLOOKUP($B4,'[7]Analisys QBR By Machine Report'!$C$109:$BD$166,5,FALSE)</f>
        <v>0</v>
      </c>
      <c r="J4" s="13">
        <f ca="1">VLOOKUP($B4,'[7]Analisys QBR By Machine Report'!$C$109:$BD$166,6,FALSE)</f>
        <v>0</v>
      </c>
      <c r="K4" s="13">
        <f ca="1">VLOOKUP($B4,'[7]Analisys QBR By Machine Report'!$C$109:$BD$166,7,FALSE)</f>
        <v>0</v>
      </c>
      <c r="L4" s="13">
        <f ca="1">VLOOKUP($B4,'[7]Analisys QBR By Machine Report'!$C$109:$BD$166,8,FALSE)</f>
        <v>5250</v>
      </c>
      <c r="M4" s="13">
        <f ca="1">VLOOKUP($B4,'[7]Analisys QBR By Machine Report'!$C$109:$BD$166,9,FALSE)</f>
        <v>1386</v>
      </c>
      <c r="N4" s="13">
        <f ca="1">VLOOKUP($B4,[7]Dasboard_QBR_Report!$B$109:$BL$166,18,FALSE)</f>
        <v>3864</v>
      </c>
      <c r="O4" s="13">
        <f ca="1">VLOOKUP($B4,'[7]Analisys QBR By Machine Report'!$C$109:$BD$166,10,FALSE)</f>
        <v>135</v>
      </c>
      <c r="P4" s="13">
        <f ca="1">VLOOKUP($B4,'[7]Analisys QBR By Machine Report'!$C$109:$BD$166,11,FALSE)</f>
        <v>135</v>
      </c>
      <c r="Q4" s="13">
        <f ca="1">VLOOKUP($B4,'[7]Analisys QBR By Machine Report'!$C$109:$BD$166,12,FALSE)</f>
        <v>0</v>
      </c>
      <c r="R4" s="13">
        <f ca="1">VLOOKUP($B4,'[7]Analisys QBR By Machine Report'!$C$109:$BD$166,13,FALSE)</f>
        <v>0</v>
      </c>
      <c r="S4" s="13">
        <f ca="1">VLOOKUP($B4,'[7]Analisys QBR By Machine Report'!$C$109:$BD$166,14,FALSE)</f>
        <v>0</v>
      </c>
      <c r="T4" s="13">
        <f ca="1">VLOOKUP($B4,'[7]Analisys QBR By Machine Report'!$C$109:$BD$166,15,FALSE)</f>
        <v>0</v>
      </c>
      <c r="U4" s="13">
        <f ca="1">VLOOKUP($B4,'[7]Analisys QBR By Machine Report'!$C$109:$BD$166,16,FALSE)</f>
        <v>0</v>
      </c>
      <c r="V4" s="13">
        <f ca="1">VLOOKUP($B4,'[7]Analisys QBR By Machine Report'!$C$109:$BD$166,17,FALSE)</f>
        <v>0</v>
      </c>
      <c r="W4" s="13">
        <f ca="1">VLOOKUP($B4,'[7]Analisys QBR By Machine Report'!$C$109:$BD$166,18,FALSE)</f>
        <v>0</v>
      </c>
      <c r="X4" s="13">
        <f ca="1">VLOOKUP($B4,'[7]Analisys QBR By Machine Report'!$C$109:$BD$166,19,FALSE)</f>
        <v>0</v>
      </c>
      <c r="Y4" s="13">
        <f ca="1">VLOOKUP($B4,'[7]Analisys QBR By Machine Report'!$C$109:$BD$166,20,FALSE)</f>
        <v>0</v>
      </c>
      <c r="Z4" s="13">
        <f ca="1">VLOOKUP($B4,'[7]Analisys QBR By Machine Report'!$C$109:$BD$166,21,FALSE)</f>
        <v>3092</v>
      </c>
      <c r="AA4" s="13">
        <f ca="1">VLOOKUP($B4,'[7]Analisys QBR By Machine Report'!$C$109:$BD$166,22,FALSE)</f>
        <v>2459</v>
      </c>
      <c r="AB4" s="13">
        <f ca="1">VLOOKUP($B4,'[7]Analisys QBR By Machine Report'!$C$109:$BD$166,23,FALSE)</f>
        <v>560</v>
      </c>
      <c r="AC4" s="13">
        <f ca="1">VLOOKUP($B4,'[7]Analisys QBR By Machine Report'!$C$109:$BD$166,24,FALSE)</f>
        <v>28</v>
      </c>
      <c r="AD4" s="13">
        <f ca="1">VLOOKUP($B4,'[7]Analisys QBR By Machine Report'!$C$109:$BD$166,25,FALSE)</f>
        <v>0</v>
      </c>
      <c r="AE4" s="13">
        <f ca="1">VLOOKUP($B4,'[7]Analisys QBR By Machine Report'!$C$109:$BD$166,26,FALSE)</f>
        <v>45</v>
      </c>
      <c r="AF4" s="13">
        <f ca="1">VLOOKUP($B4,'[7]Analisys QBR By Machine Report'!$C$109:$BD$166,27,FALSE)</f>
        <v>0</v>
      </c>
      <c r="AG4" s="13">
        <f ca="1">VLOOKUP($B4,'[7]Analisys QBR By Machine Report'!$C$109:$BD$166,28,FALSE)</f>
        <v>0</v>
      </c>
      <c r="AH4" s="13">
        <f ca="1">VLOOKUP($B4,'[7]Analisys QBR By Machine Report'!$C$109:$BD$166,29,FALSE)</f>
        <v>0</v>
      </c>
      <c r="AI4" s="13">
        <f ca="1">VLOOKUP($B4,'[7]Analisys QBR By Machine Report'!$C$109:$BD$166,30,FALSE)</f>
        <v>637</v>
      </c>
      <c r="AJ4" s="13">
        <f ca="1">VLOOKUP($B4,'[7]Analisys QBR By Machine Report'!$C$109:$BD$166,31,FALSE)</f>
        <v>0</v>
      </c>
      <c r="AK4" s="13">
        <f ca="1">VLOOKUP($B4,'[7]Analisys QBR By Machine Report'!$C$109:$BD$166,32,FALSE)</f>
        <v>0</v>
      </c>
      <c r="AL4" s="13">
        <f ca="1">VLOOKUP($B4,'[7]Analisys QBR By Machine Report'!$C$109:$BD$166,33,FALSE)</f>
        <v>285</v>
      </c>
      <c r="AM4" s="13">
        <f ca="1">VLOOKUP($B4,'[7]Analisys QBR By Machine Report'!$C$109:$BD$166,34,FALSE)</f>
        <v>0</v>
      </c>
      <c r="AN4" s="13">
        <f ca="1">VLOOKUP($B4,'[7]Analisys QBR By Machine Report'!$C$109:$BD$166,35,FALSE)</f>
        <v>210</v>
      </c>
      <c r="AO4" s="13">
        <f ca="1">VLOOKUP($B4,'[7]Analisys QBR By Machine Report'!$C$109:$BD$166,36,FALSE)</f>
        <v>0</v>
      </c>
      <c r="AP4" s="13">
        <f ca="1">VLOOKUP($B4,'[7]Analisys QBR By Machine Report'!$C$109:$BD$166,37,FALSE)</f>
        <v>0</v>
      </c>
      <c r="AQ4" s="13">
        <f ca="1">VLOOKUP($B4,'[7]Analisys QBR By Machine Report'!$C$109:$BD$166,38,FALSE)</f>
        <v>0</v>
      </c>
      <c r="AR4" s="13">
        <f ca="1">VLOOKUP($B4,'[7]Analisys QBR By Machine Report'!$C$109:$BD$166,39,FALSE)</f>
        <v>0</v>
      </c>
      <c r="AS4" s="13">
        <f ca="1">VLOOKUP($B4,'[7]Analisys QBR By Machine Report'!$C$109:$BD$166,40,FALSE)</f>
        <v>0</v>
      </c>
      <c r="AT4" s="13">
        <f ca="1">VLOOKUP($B4,'[7]Analisys QBR By Machine Report'!$C$109:$BD$166,41,FALSE)</f>
        <v>0</v>
      </c>
      <c r="AU4" s="13">
        <f ca="1">VLOOKUP($B4,'[7]Analisys QBR By Machine Report'!$C$109:$BD$166,42,FALSE)</f>
        <v>142</v>
      </c>
      <c r="AV4" s="13">
        <f ca="1">VLOOKUP($B4,'[7]Analisys QBR By Machine Report'!$C$109:$BD$166,43,FALSE)</f>
        <v>0</v>
      </c>
      <c r="AW4" s="13">
        <f ca="1">VLOOKUP($B4,'[7]Analisys QBR By Machine Report'!$C$109:$BD$166,44,FALSE)</f>
        <v>0</v>
      </c>
      <c r="AX4" s="13">
        <f ca="1">VLOOKUP($B4,'[7]Analisys QBR By Machine Report'!$C$109:$BD$166,45,FALSE)</f>
        <v>0</v>
      </c>
      <c r="AY4" s="13">
        <f ca="1">VLOOKUP($B4,'[7]Analisys QBR By Machine Report'!$C$109:$BD$166,46,FALSE)</f>
        <v>0</v>
      </c>
      <c r="AZ4" s="13">
        <f ca="1">VLOOKUP($B4,'[7]Analisys QBR By Machine Report'!$C$109:$BD$166,47,FALSE)</f>
        <v>0</v>
      </c>
      <c r="BA4" s="13">
        <f ca="1">VLOOKUP($B4,'[7]Analisys QBR By Machine Report'!$C$109:$BD$166,48,FALSE)</f>
        <v>0</v>
      </c>
      <c r="BB4" s="13">
        <f ca="1">VLOOKUP($B4,'[7]Analisys QBR By Machine Report'!$C$109:$BD$166,49,FALSE)</f>
        <v>0</v>
      </c>
      <c r="BC4" s="13">
        <f ca="1">VLOOKUP($B4,'[7]Analisys QBR By Machine Report'!$C$109:$BD$166,50,FALSE)</f>
        <v>0</v>
      </c>
      <c r="BD4" s="13">
        <f ca="1">VLOOKUP($B4,'[7]Analisys QBR By Machine Report'!$C$109:$BD$166,51,FALSE)</f>
        <v>1701.31</v>
      </c>
      <c r="BE4" s="13">
        <f ca="1">VLOOKUP($B4,'[7]Analisys QBR By Machine Report'!$C$109:$BD$166,52,FALSE)</f>
        <v>0</v>
      </c>
      <c r="BF4" s="13">
        <f ca="1">VLOOKUP($B4,'[7]Analisys QBR By Machine Report'!$C$109:$BD$166,53,FALSE)</f>
        <v>1701.31</v>
      </c>
    </row>
    <row r="5" spans="1:58" x14ac:dyDescent="0.25">
      <c r="A5" s="12" t="s">
        <v>61</v>
      </c>
      <c r="B5" s="13">
        <f ca="1">VLOOKUP($B5,'[7]Analisys QBR By Machine Report'!$C$109:$BD$166,2,FALSE)</f>
        <v>33120</v>
      </c>
      <c r="C5" s="14">
        <f ca="1">VLOOKUP($B5,[7]Dasboard_QBR_Report!$B$109:$BL$166,3,FALSE)</f>
        <v>21390</v>
      </c>
      <c r="D5" s="13">
        <f ca="1">VLOOKUP($B5,'[7]Analisys QBR By Machine Report'!$C$109:$BD$166,3,FALSE)</f>
        <v>19620</v>
      </c>
      <c r="E5" s="14">
        <f ca="1">VLOOKUP($B5,[7]Dasboard_QBR_Report!$B$109:$BL$166,5,FALSE)</f>
        <v>7890</v>
      </c>
      <c r="F5" s="13">
        <f t="shared" ca="1" si="0"/>
        <v>13500</v>
      </c>
      <c r="G5" s="13">
        <f t="shared" ca="1" si="1"/>
        <v>1960</v>
      </c>
      <c r="H5" s="13">
        <f ca="1">VLOOKUP($B5,'[7]Analisys QBR By Machine Report'!$C$109:$BD$166,4,FALSE)</f>
        <v>1960</v>
      </c>
      <c r="I5" s="13">
        <f ca="1">VLOOKUP($B5,'[7]Analisys QBR By Machine Report'!$C$109:$BD$166,5,FALSE)</f>
        <v>90</v>
      </c>
      <c r="J5" s="13">
        <f ca="1">VLOOKUP($B5,'[7]Analisys QBR By Machine Report'!$C$109:$BD$166,6,FALSE)</f>
        <v>1870</v>
      </c>
      <c r="K5" s="13">
        <f ca="1">VLOOKUP($B5,'[7]Analisys QBR By Machine Report'!$C$109:$BD$166,7,FALSE)</f>
        <v>0</v>
      </c>
      <c r="L5" s="13">
        <f ca="1">VLOOKUP($B5,'[7]Analisys QBR By Machine Report'!$C$109:$BD$166,8,FALSE)</f>
        <v>11540</v>
      </c>
      <c r="M5" s="13">
        <f ca="1">VLOOKUP($B5,'[7]Analisys QBR By Machine Report'!$C$109:$BD$166,9,FALSE)</f>
        <v>786</v>
      </c>
      <c r="N5" s="13">
        <f ca="1">VLOOKUP($B5,[7]Dasboard_QBR_Report!$B$109:$BL$166,18,FALSE)</f>
        <v>10754</v>
      </c>
      <c r="O5" s="13">
        <f ca="1">VLOOKUP($B5,'[7]Analisys QBR By Machine Report'!$C$109:$BD$166,10,FALSE)</f>
        <v>395</v>
      </c>
      <c r="P5" s="13">
        <f ca="1">VLOOKUP($B5,'[7]Analisys QBR By Machine Report'!$C$109:$BD$166,11,FALSE)</f>
        <v>395</v>
      </c>
      <c r="Q5" s="13">
        <f ca="1">VLOOKUP($B5,'[7]Analisys QBR By Machine Report'!$C$109:$BD$166,12,FALSE)</f>
        <v>0</v>
      </c>
      <c r="R5" s="13">
        <f ca="1">VLOOKUP($B5,'[7]Analisys QBR By Machine Report'!$C$109:$BD$166,13,FALSE)</f>
        <v>0</v>
      </c>
      <c r="S5" s="13">
        <f ca="1">VLOOKUP($B5,'[7]Analisys QBR By Machine Report'!$C$109:$BD$166,14,FALSE)</f>
        <v>0</v>
      </c>
      <c r="T5" s="13">
        <f ca="1">VLOOKUP($B5,'[7]Analisys QBR By Machine Report'!$C$109:$BD$166,15,FALSE)</f>
        <v>0</v>
      </c>
      <c r="U5" s="13">
        <f ca="1">VLOOKUP($B5,'[7]Analisys QBR By Machine Report'!$C$109:$BD$166,16,FALSE)</f>
        <v>0</v>
      </c>
      <c r="V5" s="13">
        <f ca="1">VLOOKUP($B5,'[7]Analisys QBR By Machine Report'!$C$109:$BD$166,17,FALSE)</f>
        <v>0</v>
      </c>
      <c r="W5" s="13">
        <f ca="1">VLOOKUP($B5,'[7]Analisys QBR By Machine Report'!$C$109:$BD$166,18,FALSE)</f>
        <v>0</v>
      </c>
      <c r="X5" s="13">
        <f ca="1">VLOOKUP($B5,'[7]Analisys QBR By Machine Report'!$C$109:$BD$166,19,FALSE)</f>
        <v>0</v>
      </c>
      <c r="Y5" s="13">
        <f ca="1">VLOOKUP($B5,'[7]Analisys QBR By Machine Report'!$C$109:$BD$166,20,FALSE)</f>
        <v>0</v>
      </c>
      <c r="Z5" s="13">
        <f ca="1">VLOOKUP($B5,'[7]Analisys QBR By Machine Report'!$C$109:$BD$166,21,FALSE)</f>
        <v>4912</v>
      </c>
      <c r="AA5" s="13">
        <f ca="1">VLOOKUP($B5,'[7]Analisys QBR By Machine Report'!$C$109:$BD$166,22,FALSE)</f>
        <v>2511</v>
      </c>
      <c r="AB5" s="13">
        <f ca="1">VLOOKUP($B5,'[7]Analisys QBR By Machine Report'!$C$109:$BD$166,23,FALSE)</f>
        <v>2177</v>
      </c>
      <c r="AC5" s="13">
        <f ca="1">VLOOKUP($B5,'[7]Analisys QBR By Machine Report'!$C$109:$BD$166,24,FALSE)</f>
        <v>0</v>
      </c>
      <c r="AD5" s="13">
        <f ca="1">VLOOKUP($B5,'[7]Analisys QBR By Machine Report'!$C$109:$BD$166,25,FALSE)</f>
        <v>0</v>
      </c>
      <c r="AE5" s="13">
        <f ca="1">VLOOKUP($B5,'[7]Analisys QBR By Machine Report'!$C$109:$BD$166,26,FALSE)</f>
        <v>224</v>
      </c>
      <c r="AF5" s="13">
        <f ca="1">VLOOKUP($B5,'[7]Analisys QBR By Machine Report'!$C$109:$BD$166,27,FALSE)</f>
        <v>625</v>
      </c>
      <c r="AG5" s="13">
        <f ca="1">VLOOKUP($B5,'[7]Analisys QBR By Machine Report'!$C$109:$BD$166,28,FALSE)</f>
        <v>0</v>
      </c>
      <c r="AH5" s="13">
        <f ca="1">VLOOKUP($B5,'[7]Analisys QBR By Machine Report'!$C$109:$BD$166,29,FALSE)</f>
        <v>625</v>
      </c>
      <c r="AI5" s="13">
        <f ca="1">VLOOKUP($B5,'[7]Analisys QBR By Machine Report'!$C$109:$BD$166,30,FALSE)</f>
        <v>4822</v>
      </c>
      <c r="AJ5" s="13">
        <f ca="1">VLOOKUP($B5,'[7]Analisys QBR By Machine Report'!$C$109:$BD$166,31,FALSE)</f>
        <v>61</v>
      </c>
      <c r="AK5" s="13">
        <f ca="1">VLOOKUP($B5,'[7]Analisys QBR By Machine Report'!$C$109:$BD$166,32,FALSE)</f>
        <v>0</v>
      </c>
      <c r="AL5" s="13">
        <f ca="1">VLOOKUP($B5,'[7]Analisys QBR By Machine Report'!$C$109:$BD$166,33,FALSE)</f>
        <v>615</v>
      </c>
      <c r="AM5" s="13">
        <f ca="1">VLOOKUP($B5,'[7]Analisys QBR By Machine Report'!$C$109:$BD$166,34,FALSE)</f>
        <v>0</v>
      </c>
      <c r="AN5" s="13">
        <f ca="1">VLOOKUP($B5,'[7]Analisys QBR By Machine Report'!$C$109:$BD$166,35,FALSE)</f>
        <v>555</v>
      </c>
      <c r="AO5" s="13">
        <f ca="1">VLOOKUP($B5,'[7]Analisys QBR By Machine Report'!$C$109:$BD$166,36,FALSE)</f>
        <v>0</v>
      </c>
      <c r="AP5" s="13">
        <f ca="1">VLOOKUP($B5,'[7]Analisys QBR By Machine Report'!$C$109:$BD$166,37,FALSE)</f>
        <v>0</v>
      </c>
      <c r="AQ5" s="13">
        <f ca="1">VLOOKUP($B5,'[7]Analisys QBR By Machine Report'!$C$109:$BD$166,38,FALSE)</f>
        <v>0</v>
      </c>
      <c r="AR5" s="13">
        <f ca="1">VLOOKUP($B5,'[7]Analisys QBR By Machine Report'!$C$109:$BD$166,39,FALSE)</f>
        <v>3305</v>
      </c>
      <c r="AS5" s="13">
        <f ca="1">VLOOKUP($B5,'[7]Analisys QBR By Machine Report'!$C$109:$BD$166,40,FALSE)</f>
        <v>35</v>
      </c>
      <c r="AT5" s="13">
        <f ca="1">VLOOKUP($B5,'[7]Analisys QBR By Machine Report'!$C$109:$BD$166,41,FALSE)</f>
        <v>0</v>
      </c>
      <c r="AU5" s="13">
        <f ca="1">VLOOKUP($B5,'[7]Analisys QBR By Machine Report'!$C$109:$BD$166,42,FALSE)</f>
        <v>0</v>
      </c>
      <c r="AV5" s="13">
        <f ca="1">VLOOKUP($B5,'[7]Analisys QBR By Machine Report'!$C$109:$BD$166,43,FALSE)</f>
        <v>0</v>
      </c>
      <c r="AW5" s="13">
        <f ca="1">VLOOKUP($B5,'[7]Analisys QBR By Machine Report'!$C$109:$BD$166,44,FALSE)</f>
        <v>0</v>
      </c>
      <c r="AX5" s="13">
        <f ca="1">VLOOKUP($B5,'[7]Analisys QBR By Machine Report'!$C$109:$BD$166,45,FALSE)</f>
        <v>0</v>
      </c>
      <c r="AY5" s="13">
        <f ca="1">VLOOKUP($B5,'[7]Analisys QBR By Machine Report'!$C$109:$BD$166,46,FALSE)</f>
        <v>0</v>
      </c>
      <c r="AZ5" s="13">
        <f ca="1">VLOOKUP($B5,'[7]Analisys QBR By Machine Report'!$C$109:$BD$166,47,FALSE)</f>
        <v>251</v>
      </c>
      <c r="BA5" s="13">
        <f ca="1">VLOOKUP($B5,'[7]Analisys QBR By Machine Report'!$C$109:$BD$166,48,FALSE)</f>
        <v>0</v>
      </c>
      <c r="BB5" s="13">
        <f ca="1">VLOOKUP($B5,'[7]Analisys QBR By Machine Report'!$C$109:$BD$166,49,FALSE)</f>
        <v>0</v>
      </c>
      <c r="BC5" s="13">
        <f ca="1">VLOOKUP($B5,'[7]Analisys QBR By Machine Report'!$C$109:$BD$166,50,FALSE)</f>
        <v>0</v>
      </c>
      <c r="BD5" s="13">
        <f ca="1">VLOOKUP($B5,'[7]Analisys QBR By Machine Report'!$C$109:$BD$166,51,FALSE)</f>
        <v>5471.08</v>
      </c>
      <c r="BE5" s="13">
        <f ca="1">VLOOKUP($B5,'[7]Analisys QBR By Machine Report'!$C$109:$BD$166,52,FALSE)</f>
        <v>0</v>
      </c>
      <c r="BF5" s="13">
        <f ca="1">VLOOKUP($B5,'[7]Analisys QBR By Machine Report'!$C$109:$BD$166,53,FALSE)</f>
        <v>5471.08</v>
      </c>
    </row>
    <row r="6" spans="1:58" x14ac:dyDescent="0.25">
      <c r="A6" s="9" t="s">
        <v>62</v>
      </c>
      <c r="B6" s="10">
        <f ca="1">VLOOKUP($B6,'[7]Analisys QBR By Machine Report'!$C$109:$BD$166,2,FALSE)</f>
        <v>66240</v>
      </c>
      <c r="C6" s="11">
        <f ca="1">VLOOKUP($B6,[7]Dasboard_QBR_Report!$B$109:$BL$166,3,FALSE)</f>
        <v>22080</v>
      </c>
      <c r="D6" s="10">
        <f ca="1">VLOOKUP($B6,'[7]Analisys QBR By Machine Report'!$C$109:$BD$166,3,FALSE)</f>
        <v>55020</v>
      </c>
      <c r="E6" s="11">
        <f ca="1">VLOOKUP($B6,[7]Dasboard_QBR_Report!$B$109:$BL$166,5,FALSE)</f>
        <v>10860</v>
      </c>
      <c r="F6" s="10">
        <f t="shared" ca="1" si="0"/>
        <v>11220</v>
      </c>
      <c r="G6" s="10">
        <f t="shared" ca="1" si="1"/>
        <v>540</v>
      </c>
      <c r="H6" s="10">
        <f ca="1">VLOOKUP($B6,'[7]Analisys QBR By Machine Report'!$C$109:$BD$166,4,FALSE)</f>
        <v>540</v>
      </c>
      <c r="I6" s="10">
        <f ca="1">VLOOKUP($B6,'[7]Analisys QBR By Machine Report'!$C$109:$BD$166,5,FALSE)</f>
        <v>150</v>
      </c>
      <c r="J6" s="10">
        <f ca="1">VLOOKUP($B6,'[7]Analisys QBR By Machine Report'!$C$109:$BD$166,6,FALSE)</f>
        <v>390</v>
      </c>
      <c r="K6" s="10">
        <f ca="1">VLOOKUP($B6,'[7]Analisys QBR By Machine Report'!$C$109:$BD$166,7,FALSE)</f>
        <v>0</v>
      </c>
      <c r="L6" s="10">
        <f ca="1">VLOOKUP($B6,'[7]Analisys QBR By Machine Report'!$C$109:$BD$166,8,FALSE)</f>
        <v>10680</v>
      </c>
      <c r="M6" s="10">
        <f ca="1">VLOOKUP($B6,'[7]Analisys QBR By Machine Report'!$C$109:$BD$166,9,FALSE)</f>
        <v>2775</v>
      </c>
      <c r="N6" s="10">
        <f ca="1">VLOOKUP($B6,[7]Dasboard_QBR_Report!$B$109:$BL$166,18,FALSE)</f>
        <v>7905</v>
      </c>
      <c r="O6" s="10">
        <f ca="1">VLOOKUP($B6,'[7]Analisys QBR By Machine Report'!$C$109:$BD$166,10,FALSE)</f>
        <v>785</v>
      </c>
      <c r="P6" s="10">
        <f ca="1">VLOOKUP($B6,'[7]Analisys QBR By Machine Report'!$C$109:$BD$166,11,FALSE)</f>
        <v>370</v>
      </c>
      <c r="Q6" s="10">
        <f ca="1">VLOOKUP($B6,'[7]Analisys QBR By Machine Report'!$C$109:$BD$166,12,FALSE)</f>
        <v>0</v>
      </c>
      <c r="R6" s="10">
        <f ca="1">VLOOKUP($B6,'[7]Analisys QBR By Machine Report'!$C$109:$BD$166,13,FALSE)</f>
        <v>285</v>
      </c>
      <c r="S6" s="10">
        <f ca="1">VLOOKUP($B6,'[7]Analisys QBR By Machine Report'!$C$109:$BD$166,14,FALSE)</f>
        <v>130</v>
      </c>
      <c r="T6" s="10">
        <f ca="1">VLOOKUP($B6,'[7]Analisys QBR By Machine Report'!$C$109:$BD$166,15,FALSE)</f>
        <v>1970</v>
      </c>
      <c r="U6" s="10">
        <f ca="1">VLOOKUP($B6,'[7]Analisys QBR By Machine Report'!$C$109:$BD$166,16,FALSE)</f>
        <v>1970</v>
      </c>
      <c r="V6" s="10">
        <f ca="1">VLOOKUP($B6,'[7]Analisys QBR By Machine Report'!$C$109:$BD$166,17,FALSE)</f>
        <v>0</v>
      </c>
      <c r="W6" s="10">
        <f ca="1">VLOOKUP($B6,'[7]Analisys QBR By Machine Report'!$C$109:$BD$166,18,FALSE)</f>
        <v>0</v>
      </c>
      <c r="X6" s="10">
        <f ca="1">VLOOKUP($B6,'[7]Analisys QBR By Machine Report'!$C$109:$BD$166,19,FALSE)</f>
        <v>0</v>
      </c>
      <c r="Y6" s="10">
        <f ca="1">VLOOKUP($B6,'[7]Analisys QBR By Machine Report'!$C$109:$BD$166,20,FALSE)</f>
        <v>0</v>
      </c>
      <c r="Z6" s="10">
        <f ca="1">VLOOKUP($B6,'[7]Analisys QBR By Machine Report'!$C$109:$BD$166,21,FALSE)</f>
        <v>1935</v>
      </c>
      <c r="AA6" s="10">
        <f ca="1">VLOOKUP($B6,'[7]Analisys QBR By Machine Report'!$C$109:$BD$166,22,FALSE)</f>
        <v>960</v>
      </c>
      <c r="AB6" s="10">
        <f ca="1">VLOOKUP($B6,'[7]Analisys QBR By Machine Report'!$C$109:$BD$166,23,FALSE)</f>
        <v>505</v>
      </c>
      <c r="AC6" s="10">
        <f ca="1">VLOOKUP($B6,'[7]Analisys QBR By Machine Report'!$C$109:$BD$166,24,FALSE)</f>
        <v>245</v>
      </c>
      <c r="AD6" s="10">
        <f ca="1">VLOOKUP($B6,'[7]Analisys QBR By Machine Report'!$C$109:$BD$166,25,FALSE)</f>
        <v>0</v>
      </c>
      <c r="AE6" s="10">
        <f ca="1">VLOOKUP($B6,'[7]Analisys QBR By Machine Report'!$C$109:$BD$166,26,FALSE)</f>
        <v>225</v>
      </c>
      <c r="AF6" s="10">
        <f ca="1">VLOOKUP($B6,'[7]Analisys QBR By Machine Report'!$C$109:$BD$166,27,FALSE)</f>
        <v>0</v>
      </c>
      <c r="AG6" s="10">
        <f ca="1">VLOOKUP($B6,'[7]Analisys QBR By Machine Report'!$C$109:$BD$166,28,FALSE)</f>
        <v>0</v>
      </c>
      <c r="AH6" s="10">
        <f ca="1">VLOOKUP($B6,'[7]Analisys QBR By Machine Report'!$C$109:$BD$166,29,FALSE)</f>
        <v>0</v>
      </c>
      <c r="AI6" s="10">
        <f ca="1">VLOOKUP($B6,'[7]Analisys QBR By Machine Report'!$C$109:$BD$166,30,FALSE)</f>
        <v>3215</v>
      </c>
      <c r="AJ6" s="10">
        <f ca="1">VLOOKUP($B6,'[7]Analisys QBR By Machine Report'!$C$109:$BD$166,31,FALSE)</f>
        <v>0</v>
      </c>
      <c r="AK6" s="10">
        <f ca="1">VLOOKUP($B6,'[7]Analisys QBR By Machine Report'!$C$109:$BD$166,32,FALSE)</f>
        <v>0</v>
      </c>
      <c r="AL6" s="10">
        <f ca="1">VLOOKUP($B6,'[7]Analisys QBR By Machine Report'!$C$109:$BD$166,33,FALSE)</f>
        <v>410</v>
      </c>
      <c r="AM6" s="10">
        <f ca="1">VLOOKUP($B6,'[7]Analisys QBR By Machine Report'!$C$109:$BD$166,34,FALSE)</f>
        <v>0</v>
      </c>
      <c r="AN6" s="10">
        <f ca="1">VLOOKUP($B6,'[7]Analisys QBR By Machine Report'!$C$109:$BD$166,35,FALSE)</f>
        <v>315</v>
      </c>
      <c r="AO6" s="10">
        <f ca="1">VLOOKUP($B6,'[7]Analisys QBR By Machine Report'!$C$109:$BD$166,36,FALSE)</f>
        <v>1075</v>
      </c>
      <c r="AP6" s="10">
        <f ca="1">VLOOKUP($B6,'[7]Analisys QBR By Machine Report'!$C$109:$BD$166,37,FALSE)</f>
        <v>0</v>
      </c>
      <c r="AQ6" s="10">
        <f ca="1">VLOOKUP($B6,'[7]Analisys QBR By Machine Report'!$C$109:$BD$166,38,FALSE)</f>
        <v>0</v>
      </c>
      <c r="AR6" s="10">
        <f ca="1">VLOOKUP($B6,'[7]Analisys QBR By Machine Report'!$C$109:$BD$166,39,FALSE)</f>
        <v>865</v>
      </c>
      <c r="AS6" s="10">
        <f ca="1">VLOOKUP($B6,'[7]Analisys QBR By Machine Report'!$C$109:$BD$166,40,FALSE)</f>
        <v>205</v>
      </c>
      <c r="AT6" s="10">
        <f ca="1">VLOOKUP($B6,'[7]Analisys QBR By Machine Report'!$C$109:$BD$166,41,FALSE)</f>
        <v>0</v>
      </c>
      <c r="AU6" s="10">
        <f ca="1">VLOOKUP($B6,'[7]Analisys QBR By Machine Report'!$C$109:$BD$166,42,FALSE)</f>
        <v>0</v>
      </c>
      <c r="AV6" s="10">
        <f ca="1">VLOOKUP($B6,'[7]Analisys QBR By Machine Report'!$C$109:$BD$166,43,FALSE)</f>
        <v>0</v>
      </c>
      <c r="AW6" s="10">
        <f ca="1">VLOOKUP($B6,'[7]Analisys QBR By Machine Report'!$C$109:$BD$166,44,FALSE)</f>
        <v>0</v>
      </c>
      <c r="AX6" s="10">
        <f ca="1">VLOOKUP($B6,'[7]Analisys QBR By Machine Report'!$C$109:$BD$166,45,FALSE)</f>
        <v>0</v>
      </c>
      <c r="AY6" s="10">
        <f ca="1">VLOOKUP($B6,'[7]Analisys QBR By Machine Report'!$C$109:$BD$166,46,FALSE)</f>
        <v>0</v>
      </c>
      <c r="AZ6" s="10">
        <f ca="1">VLOOKUP($B6,'[7]Analisys QBR By Machine Report'!$C$109:$BD$166,47,FALSE)</f>
        <v>345</v>
      </c>
      <c r="BA6" s="10">
        <f ca="1">VLOOKUP($B6,'[7]Analisys QBR By Machine Report'!$C$109:$BD$166,48,FALSE)</f>
        <v>0</v>
      </c>
      <c r="BB6" s="10">
        <f ca="1">VLOOKUP($B6,'[7]Analisys QBR By Machine Report'!$C$109:$BD$166,49,FALSE)</f>
        <v>0</v>
      </c>
      <c r="BC6" s="10">
        <f ca="1">VLOOKUP($B6,'[7]Analisys QBR By Machine Report'!$C$109:$BD$166,50,FALSE)</f>
        <v>0</v>
      </c>
      <c r="BD6" s="10">
        <f ca="1">VLOOKUP($B6,'[7]Analisys QBR By Machine Report'!$C$109:$BD$166,51,FALSE)</f>
        <v>1158797</v>
      </c>
      <c r="BE6" s="10">
        <f ca="1">VLOOKUP($B6,'[7]Analisys QBR By Machine Report'!$C$109:$BD$166,52,FALSE)</f>
        <v>0</v>
      </c>
      <c r="BF6" s="10">
        <f ca="1">VLOOKUP($B6,'[7]Analisys QBR By Machine Report'!$C$109:$BD$166,53,FALSE)</f>
        <v>1158797</v>
      </c>
    </row>
    <row r="7" spans="1:58" x14ac:dyDescent="0.25">
      <c r="A7" s="12" t="s">
        <v>63</v>
      </c>
      <c r="B7" s="13">
        <f ca="1">VLOOKUP($B7,'[7]Analisys QBR By Machine Report'!$C$109:$BD$166,2,FALSE)</f>
        <v>33120</v>
      </c>
      <c r="C7" s="14">
        <f ca="1">VLOOKUP($B7,[7]Dasboard_QBR_Report!$B$109:$BL$166,3,FALSE)</f>
        <v>11040</v>
      </c>
      <c r="D7" s="13">
        <f ca="1">VLOOKUP($B7,'[7]Analisys QBR By Machine Report'!$C$109:$BD$166,3,FALSE)</f>
        <v>23790</v>
      </c>
      <c r="E7" s="14">
        <f ca="1">VLOOKUP($B7,[7]Dasboard_QBR_Report!$B$109:$BL$166,5,FALSE)</f>
        <v>1710</v>
      </c>
      <c r="F7" s="13">
        <f t="shared" ca="1" si="0"/>
        <v>9330</v>
      </c>
      <c r="G7" s="13">
        <f t="shared" ca="1" si="1"/>
        <v>480</v>
      </c>
      <c r="H7" s="13">
        <f ca="1">VLOOKUP($B7,'[7]Analisys QBR By Machine Report'!$C$109:$BD$166,4,FALSE)</f>
        <v>480</v>
      </c>
      <c r="I7" s="13">
        <f ca="1">VLOOKUP($B7,'[7]Analisys QBR By Machine Report'!$C$109:$BD$166,5,FALSE)</f>
        <v>150</v>
      </c>
      <c r="J7" s="13">
        <f ca="1">VLOOKUP($B7,'[7]Analisys QBR By Machine Report'!$C$109:$BD$166,6,FALSE)</f>
        <v>330</v>
      </c>
      <c r="K7" s="13">
        <f ca="1">VLOOKUP($B7,'[7]Analisys QBR By Machine Report'!$C$109:$BD$166,7,FALSE)</f>
        <v>0</v>
      </c>
      <c r="L7" s="13">
        <f ca="1">VLOOKUP($B7,'[7]Analisys QBR By Machine Report'!$C$109:$BD$166,8,FALSE)</f>
        <v>8850</v>
      </c>
      <c r="M7" s="13">
        <f ca="1">VLOOKUP($B7,'[7]Analisys QBR By Machine Report'!$C$109:$BD$166,9,FALSE)</f>
        <v>2270</v>
      </c>
      <c r="N7" s="13">
        <f ca="1">VLOOKUP($B7,[7]Dasboard_QBR_Report!$B$109:$BL$166,18,FALSE)</f>
        <v>6580</v>
      </c>
      <c r="O7" s="13">
        <f ca="1">VLOOKUP($B7,'[7]Analisys QBR By Machine Report'!$C$109:$BD$166,10,FALSE)</f>
        <v>685</v>
      </c>
      <c r="P7" s="13">
        <f ca="1">VLOOKUP($B7,'[7]Analisys QBR By Machine Report'!$C$109:$BD$166,11,FALSE)</f>
        <v>270</v>
      </c>
      <c r="Q7" s="13">
        <f ca="1">VLOOKUP($B7,'[7]Analisys QBR By Machine Report'!$C$109:$BD$166,12,FALSE)</f>
        <v>0</v>
      </c>
      <c r="R7" s="13">
        <f ca="1">VLOOKUP($B7,'[7]Analisys QBR By Machine Report'!$C$109:$BD$166,13,FALSE)</f>
        <v>285</v>
      </c>
      <c r="S7" s="13">
        <f ca="1">VLOOKUP($B7,'[7]Analisys QBR By Machine Report'!$C$109:$BD$166,14,FALSE)</f>
        <v>130</v>
      </c>
      <c r="T7" s="13">
        <f ca="1">VLOOKUP($B7,'[7]Analisys QBR By Machine Report'!$C$109:$BD$166,15,FALSE)</f>
        <v>1970</v>
      </c>
      <c r="U7" s="13">
        <f ca="1">VLOOKUP($B7,'[7]Analisys QBR By Machine Report'!$C$109:$BD$166,16,FALSE)</f>
        <v>1970</v>
      </c>
      <c r="V7" s="13">
        <f ca="1">VLOOKUP($B7,'[7]Analisys QBR By Machine Report'!$C$109:$BD$166,17,FALSE)</f>
        <v>0</v>
      </c>
      <c r="W7" s="13">
        <f ca="1">VLOOKUP($B7,'[7]Analisys QBR By Machine Report'!$C$109:$BD$166,18,FALSE)</f>
        <v>0</v>
      </c>
      <c r="X7" s="13">
        <f ca="1">VLOOKUP($B7,'[7]Analisys QBR By Machine Report'!$C$109:$BD$166,19,FALSE)</f>
        <v>0</v>
      </c>
      <c r="Y7" s="13">
        <f ca="1">VLOOKUP($B7,'[7]Analisys QBR By Machine Report'!$C$109:$BD$166,20,FALSE)</f>
        <v>0</v>
      </c>
      <c r="Z7" s="13">
        <f ca="1">VLOOKUP($B7,'[7]Analisys QBR By Machine Report'!$C$109:$BD$166,21,FALSE)</f>
        <v>1755</v>
      </c>
      <c r="AA7" s="13">
        <f ca="1">VLOOKUP($B7,'[7]Analisys QBR By Machine Report'!$C$109:$BD$166,22,FALSE)</f>
        <v>910</v>
      </c>
      <c r="AB7" s="13">
        <f ca="1">VLOOKUP($B7,'[7]Analisys QBR By Machine Report'!$C$109:$BD$166,23,FALSE)</f>
        <v>375</v>
      </c>
      <c r="AC7" s="13">
        <f ca="1">VLOOKUP($B7,'[7]Analisys QBR By Machine Report'!$C$109:$BD$166,24,FALSE)</f>
        <v>245</v>
      </c>
      <c r="AD7" s="13">
        <f ca="1">VLOOKUP($B7,'[7]Analisys QBR By Machine Report'!$C$109:$BD$166,25,FALSE)</f>
        <v>0</v>
      </c>
      <c r="AE7" s="13">
        <f ca="1">VLOOKUP($B7,'[7]Analisys QBR By Machine Report'!$C$109:$BD$166,26,FALSE)</f>
        <v>225</v>
      </c>
      <c r="AF7" s="13">
        <f ca="1">VLOOKUP($B7,'[7]Analisys QBR By Machine Report'!$C$109:$BD$166,27,FALSE)</f>
        <v>0</v>
      </c>
      <c r="AG7" s="13">
        <f ca="1">VLOOKUP($B7,'[7]Analisys QBR By Machine Report'!$C$109:$BD$166,28,FALSE)</f>
        <v>0</v>
      </c>
      <c r="AH7" s="13">
        <f ca="1">VLOOKUP($B7,'[7]Analisys QBR By Machine Report'!$C$109:$BD$166,29,FALSE)</f>
        <v>0</v>
      </c>
      <c r="AI7" s="13">
        <f ca="1">VLOOKUP($B7,'[7]Analisys QBR By Machine Report'!$C$109:$BD$166,30,FALSE)</f>
        <v>2170</v>
      </c>
      <c r="AJ7" s="13">
        <f ca="1">VLOOKUP($B7,'[7]Analisys QBR By Machine Report'!$C$109:$BD$166,31,FALSE)</f>
        <v>0</v>
      </c>
      <c r="AK7" s="13">
        <f ca="1">VLOOKUP($B7,'[7]Analisys QBR By Machine Report'!$C$109:$BD$166,32,FALSE)</f>
        <v>0</v>
      </c>
      <c r="AL7" s="13">
        <f ca="1">VLOOKUP($B7,'[7]Analisys QBR By Machine Report'!$C$109:$BD$166,33,FALSE)</f>
        <v>360</v>
      </c>
      <c r="AM7" s="13">
        <f ca="1">VLOOKUP($B7,'[7]Analisys QBR By Machine Report'!$C$109:$BD$166,34,FALSE)</f>
        <v>0</v>
      </c>
      <c r="AN7" s="13">
        <f ca="1">VLOOKUP($B7,'[7]Analisys QBR By Machine Report'!$C$109:$BD$166,35,FALSE)</f>
        <v>305</v>
      </c>
      <c r="AO7" s="13">
        <f ca="1">VLOOKUP($B7,'[7]Analisys QBR By Machine Report'!$C$109:$BD$166,36,FALSE)</f>
        <v>960</v>
      </c>
      <c r="AP7" s="13">
        <f ca="1">VLOOKUP($B7,'[7]Analisys QBR By Machine Report'!$C$109:$BD$166,37,FALSE)</f>
        <v>0</v>
      </c>
      <c r="AQ7" s="13">
        <f ca="1">VLOOKUP($B7,'[7]Analisys QBR By Machine Report'!$C$109:$BD$166,38,FALSE)</f>
        <v>0</v>
      </c>
      <c r="AR7" s="13">
        <f ca="1">VLOOKUP($B7,'[7]Analisys QBR By Machine Report'!$C$109:$BD$166,39,FALSE)</f>
        <v>0</v>
      </c>
      <c r="AS7" s="13">
        <f ca="1">VLOOKUP($B7,'[7]Analisys QBR By Machine Report'!$C$109:$BD$166,40,FALSE)</f>
        <v>200</v>
      </c>
      <c r="AT7" s="13">
        <f ca="1">VLOOKUP($B7,'[7]Analisys QBR By Machine Report'!$C$109:$BD$166,41,FALSE)</f>
        <v>0</v>
      </c>
      <c r="AU7" s="13">
        <f ca="1">VLOOKUP($B7,'[7]Analisys QBR By Machine Report'!$C$109:$BD$166,42,FALSE)</f>
        <v>0</v>
      </c>
      <c r="AV7" s="13">
        <f ca="1">VLOOKUP($B7,'[7]Analisys QBR By Machine Report'!$C$109:$BD$166,43,FALSE)</f>
        <v>0</v>
      </c>
      <c r="AW7" s="13">
        <f ca="1">VLOOKUP($B7,'[7]Analisys QBR By Machine Report'!$C$109:$BD$166,44,FALSE)</f>
        <v>0</v>
      </c>
      <c r="AX7" s="13">
        <f ca="1">VLOOKUP($B7,'[7]Analisys QBR By Machine Report'!$C$109:$BD$166,45,FALSE)</f>
        <v>0</v>
      </c>
      <c r="AY7" s="13">
        <f ca="1">VLOOKUP($B7,'[7]Analisys QBR By Machine Report'!$C$109:$BD$166,46,FALSE)</f>
        <v>0</v>
      </c>
      <c r="AZ7" s="13">
        <f ca="1">VLOOKUP($B7,'[7]Analisys QBR By Machine Report'!$C$109:$BD$166,47,FALSE)</f>
        <v>345</v>
      </c>
      <c r="BA7" s="13">
        <f ca="1">VLOOKUP($B7,'[7]Analisys QBR By Machine Report'!$C$109:$BD$166,48,FALSE)</f>
        <v>0</v>
      </c>
      <c r="BB7" s="13">
        <f ca="1">VLOOKUP($B7,'[7]Analisys QBR By Machine Report'!$C$109:$BD$166,49,FALSE)</f>
        <v>0</v>
      </c>
      <c r="BC7" s="13">
        <f ca="1">VLOOKUP($B7,'[7]Analisys QBR By Machine Report'!$C$109:$BD$166,50,FALSE)</f>
        <v>0</v>
      </c>
      <c r="BD7" s="13">
        <f ca="1">VLOOKUP($B7,'[7]Analisys QBR By Machine Report'!$C$109:$BD$166,51,FALSE)</f>
        <v>579453</v>
      </c>
      <c r="BE7" s="13">
        <f ca="1">VLOOKUP($B7,'[7]Analisys QBR By Machine Report'!$C$109:$BD$166,52,FALSE)</f>
        <v>0</v>
      </c>
      <c r="BF7" s="13">
        <f ca="1">VLOOKUP($B7,'[7]Analisys QBR By Machine Report'!$C$109:$BD$166,53,FALSE)</f>
        <v>579453</v>
      </c>
    </row>
    <row r="8" spans="1:58" x14ac:dyDescent="0.25">
      <c r="A8" s="12" t="s">
        <v>64</v>
      </c>
      <c r="B8" s="13">
        <f ca="1">VLOOKUP($B8,'[7]Analisys QBR By Machine Report'!$C$109:$BD$166,2,FALSE)</f>
        <v>33120</v>
      </c>
      <c r="C8" s="14">
        <f ca="1">VLOOKUP($B8,[7]Dasboard_QBR_Report!$B$109:$BL$166,3,FALSE)</f>
        <v>11040</v>
      </c>
      <c r="D8" s="13">
        <f ca="1">VLOOKUP($B8,'[7]Analisys QBR By Machine Report'!$C$109:$BD$166,3,FALSE)</f>
        <v>31230</v>
      </c>
      <c r="E8" s="14">
        <f ca="1">VLOOKUP($B8,[7]Dasboard_QBR_Report!$B$109:$BL$166,5,FALSE)</f>
        <v>9150</v>
      </c>
      <c r="F8" s="13">
        <f t="shared" ca="1" si="0"/>
        <v>1890</v>
      </c>
      <c r="G8" s="13">
        <f t="shared" ca="1" si="1"/>
        <v>60</v>
      </c>
      <c r="H8" s="13">
        <f ca="1">VLOOKUP($B8,'[7]Analisys QBR By Machine Report'!$C$109:$BD$166,4,FALSE)</f>
        <v>60</v>
      </c>
      <c r="I8" s="13">
        <f ca="1">VLOOKUP($B8,'[7]Analisys QBR By Machine Report'!$C$109:$BD$166,5,FALSE)</f>
        <v>0</v>
      </c>
      <c r="J8" s="13">
        <f ca="1">VLOOKUP($B8,'[7]Analisys QBR By Machine Report'!$C$109:$BD$166,6,FALSE)</f>
        <v>60</v>
      </c>
      <c r="K8" s="13">
        <f ca="1">VLOOKUP($B8,'[7]Analisys QBR By Machine Report'!$C$109:$BD$166,7,FALSE)</f>
        <v>0</v>
      </c>
      <c r="L8" s="13">
        <f ca="1">VLOOKUP($B8,'[7]Analisys QBR By Machine Report'!$C$109:$BD$166,8,FALSE)</f>
        <v>1830</v>
      </c>
      <c r="M8" s="13">
        <f ca="1">VLOOKUP($B8,'[7]Analisys QBR By Machine Report'!$C$109:$BD$166,9,FALSE)</f>
        <v>505</v>
      </c>
      <c r="N8" s="13">
        <f ca="1">VLOOKUP($B8,[7]Dasboard_QBR_Report!$B$109:$BL$166,18,FALSE)</f>
        <v>1325</v>
      </c>
      <c r="O8" s="13">
        <f ca="1">VLOOKUP($B8,'[7]Analisys QBR By Machine Report'!$C$109:$BD$166,10,FALSE)</f>
        <v>100</v>
      </c>
      <c r="P8" s="13">
        <f ca="1">VLOOKUP($B8,'[7]Analisys QBR By Machine Report'!$C$109:$BD$166,11,FALSE)</f>
        <v>100</v>
      </c>
      <c r="Q8" s="13">
        <f ca="1">VLOOKUP($B8,'[7]Analisys QBR By Machine Report'!$C$109:$BD$166,12,FALSE)</f>
        <v>0</v>
      </c>
      <c r="R8" s="13">
        <f ca="1">VLOOKUP($B8,'[7]Analisys QBR By Machine Report'!$C$109:$BD$166,13,FALSE)</f>
        <v>0</v>
      </c>
      <c r="S8" s="13">
        <f ca="1">VLOOKUP($B8,'[7]Analisys QBR By Machine Report'!$C$109:$BD$166,14,FALSE)</f>
        <v>0</v>
      </c>
      <c r="T8" s="13">
        <f ca="1">VLOOKUP($B8,'[7]Analisys QBR By Machine Report'!$C$109:$BD$166,15,FALSE)</f>
        <v>0</v>
      </c>
      <c r="U8" s="13">
        <f ca="1">VLOOKUP($B8,'[7]Analisys QBR By Machine Report'!$C$109:$BD$166,16,FALSE)</f>
        <v>0</v>
      </c>
      <c r="V8" s="13">
        <f ca="1">VLOOKUP($B8,'[7]Analisys QBR By Machine Report'!$C$109:$BD$166,17,FALSE)</f>
        <v>0</v>
      </c>
      <c r="W8" s="13">
        <f ca="1">VLOOKUP($B8,'[7]Analisys QBR By Machine Report'!$C$109:$BD$166,18,FALSE)</f>
        <v>0</v>
      </c>
      <c r="X8" s="13">
        <f ca="1">VLOOKUP($B8,'[7]Analisys QBR By Machine Report'!$C$109:$BD$166,19,FALSE)</f>
        <v>0</v>
      </c>
      <c r="Y8" s="13">
        <f ca="1">VLOOKUP($B8,'[7]Analisys QBR By Machine Report'!$C$109:$BD$166,20,FALSE)</f>
        <v>0</v>
      </c>
      <c r="Z8" s="13">
        <f ca="1">VLOOKUP($B8,'[7]Analisys QBR By Machine Report'!$C$109:$BD$166,21,FALSE)</f>
        <v>180</v>
      </c>
      <c r="AA8" s="13">
        <f ca="1">VLOOKUP($B8,'[7]Analisys QBR By Machine Report'!$C$109:$BD$166,22,FALSE)</f>
        <v>50</v>
      </c>
      <c r="AB8" s="13">
        <f ca="1">VLOOKUP($B8,'[7]Analisys QBR By Machine Report'!$C$109:$BD$166,23,FALSE)</f>
        <v>130</v>
      </c>
      <c r="AC8" s="13">
        <f ca="1">VLOOKUP($B8,'[7]Analisys QBR By Machine Report'!$C$109:$BD$166,24,FALSE)</f>
        <v>0</v>
      </c>
      <c r="AD8" s="13">
        <f ca="1">VLOOKUP($B8,'[7]Analisys QBR By Machine Report'!$C$109:$BD$166,25,FALSE)</f>
        <v>0</v>
      </c>
      <c r="AE8" s="13">
        <f ca="1">VLOOKUP($B8,'[7]Analisys QBR By Machine Report'!$C$109:$BD$166,26,FALSE)</f>
        <v>0</v>
      </c>
      <c r="AF8" s="13">
        <f ca="1">VLOOKUP($B8,'[7]Analisys QBR By Machine Report'!$C$109:$BD$166,27,FALSE)</f>
        <v>0</v>
      </c>
      <c r="AG8" s="13">
        <f ca="1">VLOOKUP($B8,'[7]Analisys QBR By Machine Report'!$C$109:$BD$166,28,FALSE)</f>
        <v>0</v>
      </c>
      <c r="AH8" s="13">
        <f ca="1">VLOOKUP($B8,'[7]Analisys QBR By Machine Report'!$C$109:$BD$166,29,FALSE)</f>
        <v>0</v>
      </c>
      <c r="AI8" s="13">
        <f ca="1">VLOOKUP($B8,'[7]Analisys QBR By Machine Report'!$C$109:$BD$166,30,FALSE)</f>
        <v>1045</v>
      </c>
      <c r="AJ8" s="13">
        <f ca="1">VLOOKUP($B8,'[7]Analisys QBR By Machine Report'!$C$109:$BD$166,31,FALSE)</f>
        <v>0</v>
      </c>
      <c r="AK8" s="13">
        <f ca="1">VLOOKUP($B8,'[7]Analisys QBR By Machine Report'!$C$109:$BD$166,32,FALSE)</f>
        <v>0</v>
      </c>
      <c r="AL8" s="13">
        <f ca="1">VLOOKUP($B8,'[7]Analisys QBR By Machine Report'!$C$109:$BD$166,33,FALSE)</f>
        <v>50</v>
      </c>
      <c r="AM8" s="13">
        <f ca="1">VLOOKUP($B8,'[7]Analisys QBR By Machine Report'!$C$109:$BD$166,34,FALSE)</f>
        <v>0</v>
      </c>
      <c r="AN8" s="13">
        <f ca="1">VLOOKUP($B8,'[7]Analisys QBR By Machine Report'!$C$109:$BD$166,35,FALSE)</f>
        <v>10</v>
      </c>
      <c r="AO8" s="13">
        <f ca="1">VLOOKUP($B8,'[7]Analisys QBR By Machine Report'!$C$109:$BD$166,36,FALSE)</f>
        <v>115</v>
      </c>
      <c r="AP8" s="13">
        <f ca="1">VLOOKUP($B8,'[7]Analisys QBR By Machine Report'!$C$109:$BD$166,37,FALSE)</f>
        <v>0</v>
      </c>
      <c r="AQ8" s="13">
        <f ca="1">VLOOKUP($B8,'[7]Analisys QBR By Machine Report'!$C$109:$BD$166,38,FALSE)</f>
        <v>0</v>
      </c>
      <c r="AR8" s="13">
        <f ca="1">VLOOKUP($B8,'[7]Analisys QBR By Machine Report'!$C$109:$BD$166,39,FALSE)</f>
        <v>865</v>
      </c>
      <c r="AS8" s="13">
        <f ca="1">VLOOKUP($B8,'[7]Analisys QBR By Machine Report'!$C$109:$BD$166,40,FALSE)</f>
        <v>5</v>
      </c>
      <c r="AT8" s="13">
        <f ca="1">VLOOKUP($B8,'[7]Analisys QBR By Machine Report'!$C$109:$BD$166,41,FALSE)</f>
        <v>0</v>
      </c>
      <c r="AU8" s="13">
        <f ca="1">VLOOKUP($B8,'[7]Analisys QBR By Machine Report'!$C$109:$BD$166,42,FALSE)</f>
        <v>0</v>
      </c>
      <c r="AV8" s="13">
        <f ca="1">VLOOKUP($B8,'[7]Analisys QBR By Machine Report'!$C$109:$BD$166,43,FALSE)</f>
        <v>0</v>
      </c>
      <c r="AW8" s="13">
        <f ca="1">VLOOKUP($B8,'[7]Analisys QBR By Machine Report'!$C$109:$BD$166,44,FALSE)</f>
        <v>0</v>
      </c>
      <c r="AX8" s="13">
        <f ca="1">VLOOKUP($B8,'[7]Analisys QBR By Machine Report'!$C$109:$BD$166,45,FALSE)</f>
        <v>0</v>
      </c>
      <c r="AY8" s="13">
        <f ca="1">VLOOKUP($B8,'[7]Analisys QBR By Machine Report'!$C$109:$BD$166,46,FALSE)</f>
        <v>0</v>
      </c>
      <c r="AZ8" s="13">
        <f ca="1">VLOOKUP($B8,'[7]Analisys QBR By Machine Report'!$C$109:$BD$166,47,FALSE)</f>
        <v>0</v>
      </c>
      <c r="BA8" s="13">
        <f ca="1">VLOOKUP($B8,'[7]Analisys QBR By Machine Report'!$C$109:$BD$166,48,FALSE)</f>
        <v>0</v>
      </c>
      <c r="BB8" s="13">
        <f ca="1">VLOOKUP($B8,'[7]Analisys QBR By Machine Report'!$C$109:$BD$166,49,FALSE)</f>
        <v>0</v>
      </c>
      <c r="BC8" s="13">
        <f ca="1">VLOOKUP($B8,'[7]Analisys QBR By Machine Report'!$C$109:$BD$166,50,FALSE)</f>
        <v>0</v>
      </c>
      <c r="BD8" s="13">
        <f ca="1">VLOOKUP($B8,'[7]Analisys QBR By Machine Report'!$C$109:$BD$166,51,FALSE)</f>
        <v>579344</v>
      </c>
      <c r="BE8" s="13">
        <f ca="1">VLOOKUP($B8,'[7]Analisys QBR By Machine Report'!$C$109:$BD$166,52,FALSE)</f>
        <v>0</v>
      </c>
      <c r="BF8" s="13">
        <f ca="1">VLOOKUP($B8,'[7]Analisys QBR By Machine Report'!$C$109:$BD$166,53,FALSE)</f>
        <v>579344</v>
      </c>
    </row>
    <row r="9" spans="1:58" x14ac:dyDescent="0.25">
      <c r="A9" s="9" t="s">
        <v>65</v>
      </c>
      <c r="B9" s="10">
        <f ca="1">VLOOKUP($B9,'[7]Analisys QBR By Machine Report'!$C$109:$BD$166,2,FALSE)</f>
        <v>99360</v>
      </c>
      <c r="C9" s="11">
        <f ca="1">VLOOKUP($B9,[7]Dasboard_QBR_Report!$B$109:$BL$166,3,FALSE)</f>
        <v>53820</v>
      </c>
      <c r="D9" s="10">
        <f ca="1">VLOOKUP($B9,'[7]Analisys QBR By Machine Report'!$C$109:$BD$166,3,FALSE)</f>
        <v>66090</v>
      </c>
      <c r="E9" s="11">
        <f ca="1">VLOOKUP($B9,[7]Dasboard_QBR_Report!$B$109:$BL$166,5,FALSE)</f>
        <v>20550</v>
      </c>
      <c r="F9" s="10">
        <f t="shared" ca="1" si="0"/>
        <v>33270</v>
      </c>
      <c r="G9" s="10">
        <f t="shared" ca="1" si="1"/>
        <v>2705</v>
      </c>
      <c r="H9" s="10">
        <f ca="1">VLOOKUP($B9,'[7]Analisys QBR By Machine Report'!$C$109:$BD$166,4,FALSE)</f>
        <v>2630</v>
      </c>
      <c r="I9" s="10">
        <f ca="1">VLOOKUP($B9,'[7]Analisys QBR By Machine Report'!$C$109:$BD$166,5,FALSE)</f>
        <v>90</v>
      </c>
      <c r="J9" s="10">
        <f ca="1">VLOOKUP($B9,'[7]Analisys QBR By Machine Report'!$C$109:$BD$166,6,FALSE)</f>
        <v>2540</v>
      </c>
      <c r="K9" s="10">
        <f ca="1">VLOOKUP($B9,'[7]Analisys QBR By Machine Report'!$C$109:$BD$166,7,FALSE)</f>
        <v>75</v>
      </c>
      <c r="L9" s="10">
        <f ca="1">VLOOKUP($B9,'[7]Analisys QBR By Machine Report'!$C$109:$BD$166,8,FALSE)</f>
        <v>30565</v>
      </c>
      <c r="M9" s="10">
        <f ca="1">VLOOKUP($B9,'[7]Analisys QBR By Machine Report'!$C$109:$BD$166,9,FALSE)</f>
        <v>9250</v>
      </c>
      <c r="N9" s="10">
        <f ca="1">VLOOKUP($B9,[7]Dasboard_QBR_Report!$B$109:$BL$166,18,FALSE)</f>
        <v>21315</v>
      </c>
      <c r="O9" s="10">
        <f ca="1">VLOOKUP($B9,'[7]Analisys QBR By Machine Report'!$C$109:$BD$166,10,FALSE)</f>
        <v>4620</v>
      </c>
      <c r="P9" s="10">
        <f ca="1">VLOOKUP($B9,'[7]Analisys QBR By Machine Report'!$C$109:$BD$166,11,FALSE)</f>
        <v>2600</v>
      </c>
      <c r="Q9" s="10">
        <f ca="1">VLOOKUP($B9,'[7]Analisys QBR By Machine Report'!$C$109:$BD$166,12,FALSE)</f>
        <v>0</v>
      </c>
      <c r="R9" s="10">
        <f ca="1">VLOOKUP($B9,'[7]Analisys QBR By Machine Report'!$C$109:$BD$166,13,FALSE)</f>
        <v>265</v>
      </c>
      <c r="S9" s="10">
        <f ca="1">VLOOKUP($B9,'[7]Analisys QBR By Machine Report'!$C$109:$BD$166,14,FALSE)</f>
        <v>1755</v>
      </c>
      <c r="T9" s="10">
        <f ca="1">VLOOKUP($B9,'[7]Analisys QBR By Machine Report'!$C$109:$BD$166,15,FALSE)</f>
        <v>45</v>
      </c>
      <c r="U9" s="10">
        <f ca="1">VLOOKUP($B9,'[7]Analisys QBR By Machine Report'!$C$109:$BD$166,16,FALSE)</f>
        <v>45</v>
      </c>
      <c r="V9" s="10">
        <f ca="1">VLOOKUP($B9,'[7]Analisys QBR By Machine Report'!$C$109:$BD$166,17,FALSE)</f>
        <v>0</v>
      </c>
      <c r="W9" s="10">
        <f ca="1">VLOOKUP($B9,'[7]Analisys QBR By Machine Report'!$C$109:$BD$166,18,FALSE)</f>
        <v>0</v>
      </c>
      <c r="X9" s="10">
        <f ca="1">VLOOKUP($B9,'[7]Analisys QBR By Machine Report'!$C$109:$BD$166,19,FALSE)</f>
        <v>0</v>
      </c>
      <c r="Y9" s="10">
        <f ca="1">VLOOKUP($B9,'[7]Analisys QBR By Machine Report'!$C$109:$BD$166,20,FALSE)</f>
        <v>0</v>
      </c>
      <c r="Z9" s="10">
        <f ca="1">VLOOKUP($B9,'[7]Analisys QBR By Machine Report'!$C$109:$BD$166,21,FALSE)</f>
        <v>4445</v>
      </c>
      <c r="AA9" s="10">
        <f ca="1">VLOOKUP($B9,'[7]Analisys QBR By Machine Report'!$C$109:$BD$166,22,FALSE)</f>
        <v>755</v>
      </c>
      <c r="AB9" s="10">
        <f ca="1">VLOOKUP($B9,'[7]Analisys QBR By Machine Report'!$C$109:$BD$166,23,FALSE)</f>
        <v>2810</v>
      </c>
      <c r="AC9" s="10">
        <f ca="1">VLOOKUP($B9,'[7]Analisys QBR By Machine Report'!$C$109:$BD$166,24,FALSE)</f>
        <v>105</v>
      </c>
      <c r="AD9" s="10">
        <f ca="1">VLOOKUP($B9,'[7]Analisys QBR By Machine Report'!$C$109:$BD$166,25,FALSE)</f>
        <v>0</v>
      </c>
      <c r="AE9" s="10">
        <f ca="1">VLOOKUP($B9,'[7]Analisys QBR By Machine Report'!$C$109:$BD$166,26,FALSE)</f>
        <v>775</v>
      </c>
      <c r="AF9" s="10">
        <f ca="1">VLOOKUP($B9,'[7]Analisys QBR By Machine Report'!$C$109:$BD$166,27,FALSE)</f>
        <v>3295</v>
      </c>
      <c r="AG9" s="10">
        <f ca="1">VLOOKUP($B9,'[7]Analisys QBR By Machine Report'!$C$109:$BD$166,28,FALSE)</f>
        <v>1590</v>
      </c>
      <c r="AH9" s="10">
        <f ca="1">VLOOKUP($B9,'[7]Analisys QBR By Machine Report'!$C$109:$BD$166,29,FALSE)</f>
        <v>1705</v>
      </c>
      <c r="AI9" s="10">
        <f ca="1">VLOOKUP($B9,'[7]Analisys QBR By Machine Report'!$C$109:$BD$166,30,FALSE)</f>
        <v>8910</v>
      </c>
      <c r="AJ9" s="10">
        <f ca="1">VLOOKUP($B9,'[7]Analisys QBR By Machine Report'!$C$109:$BD$166,31,FALSE)</f>
        <v>0</v>
      </c>
      <c r="AK9" s="10">
        <f ca="1">VLOOKUP($B9,'[7]Analisys QBR By Machine Report'!$C$109:$BD$166,32,FALSE)</f>
        <v>0</v>
      </c>
      <c r="AL9" s="10">
        <f ca="1">VLOOKUP($B9,'[7]Analisys QBR By Machine Report'!$C$109:$BD$166,33,FALSE)</f>
        <v>1590</v>
      </c>
      <c r="AM9" s="10">
        <f ca="1">VLOOKUP($B9,'[7]Analisys QBR By Machine Report'!$C$109:$BD$166,34,FALSE)</f>
        <v>0</v>
      </c>
      <c r="AN9" s="10">
        <f ca="1">VLOOKUP($B9,'[7]Analisys QBR By Machine Report'!$C$109:$BD$166,35,FALSE)</f>
        <v>1330</v>
      </c>
      <c r="AO9" s="10">
        <f ca="1">VLOOKUP($B9,'[7]Analisys QBR By Machine Report'!$C$109:$BD$166,36,FALSE)</f>
        <v>330</v>
      </c>
      <c r="AP9" s="10">
        <f ca="1">VLOOKUP($B9,'[7]Analisys QBR By Machine Report'!$C$109:$BD$166,37,FALSE)</f>
        <v>0</v>
      </c>
      <c r="AQ9" s="10">
        <f ca="1">VLOOKUP($B9,'[7]Analisys QBR By Machine Report'!$C$109:$BD$166,38,FALSE)</f>
        <v>0</v>
      </c>
      <c r="AR9" s="10">
        <f ca="1">VLOOKUP($B9,'[7]Analisys QBR By Machine Report'!$C$109:$BD$166,39,FALSE)</f>
        <v>1420</v>
      </c>
      <c r="AS9" s="10">
        <f ca="1">VLOOKUP($B9,'[7]Analisys QBR By Machine Report'!$C$109:$BD$166,40,FALSE)</f>
        <v>530</v>
      </c>
      <c r="AT9" s="10">
        <f ca="1">VLOOKUP($B9,'[7]Analisys QBR By Machine Report'!$C$109:$BD$166,41,FALSE)</f>
        <v>0</v>
      </c>
      <c r="AU9" s="10">
        <f ca="1">VLOOKUP($B9,'[7]Analisys QBR By Machine Report'!$C$109:$BD$166,42,FALSE)</f>
        <v>0</v>
      </c>
      <c r="AV9" s="10">
        <f ca="1">VLOOKUP($B9,'[7]Analisys QBR By Machine Report'!$C$109:$BD$166,43,FALSE)</f>
        <v>0</v>
      </c>
      <c r="AW9" s="10">
        <f ca="1">VLOOKUP($B9,'[7]Analisys QBR By Machine Report'!$C$109:$BD$166,44,FALSE)</f>
        <v>0</v>
      </c>
      <c r="AX9" s="10">
        <f ca="1">VLOOKUP($B9,'[7]Analisys QBR By Machine Report'!$C$109:$BD$166,45,FALSE)</f>
        <v>0</v>
      </c>
      <c r="AY9" s="10">
        <f ca="1">VLOOKUP($B9,'[7]Analisys QBR By Machine Report'!$C$109:$BD$166,46,FALSE)</f>
        <v>0</v>
      </c>
      <c r="AZ9" s="10">
        <f ca="1">VLOOKUP($B9,'[7]Analisys QBR By Machine Report'!$C$109:$BD$166,47,FALSE)</f>
        <v>3015</v>
      </c>
      <c r="BA9" s="10">
        <f ca="1">VLOOKUP($B9,'[7]Analisys QBR By Machine Report'!$C$109:$BD$166,48,FALSE)</f>
        <v>660</v>
      </c>
      <c r="BB9" s="10">
        <f ca="1">VLOOKUP($B9,'[7]Analisys QBR By Machine Report'!$C$109:$BD$166,49,FALSE)</f>
        <v>0</v>
      </c>
      <c r="BC9" s="10">
        <f ca="1">VLOOKUP($B9,'[7]Analisys QBR By Machine Report'!$C$109:$BD$166,50,FALSE)</f>
        <v>35</v>
      </c>
      <c r="BD9" s="10">
        <f ca="1">VLOOKUP($B9,'[7]Analisys QBR By Machine Report'!$C$109:$BD$166,51,FALSE)</f>
        <v>6347630</v>
      </c>
      <c r="BE9" s="10">
        <f ca="1">VLOOKUP($B9,'[7]Analisys QBR By Machine Report'!$C$109:$BD$166,52,FALSE)</f>
        <v>14345</v>
      </c>
      <c r="BF9" s="10">
        <f ca="1">VLOOKUP($B9,'[7]Analisys QBR By Machine Report'!$C$109:$BD$166,53,FALSE)</f>
        <v>6333285</v>
      </c>
    </row>
    <row r="10" spans="1:58" x14ac:dyDescent="0.25">
      <c r="A10" s="12" t="s">
        <v>66</v>
      </c>
      <c r="B10" s="13">
        <f ca="1">VLOOKUP($B10,'[7]Analisys QBR By Machine Report'!$C$109:$BD$166,2,FALSE)</f>
        <v>33120</v>
      </c>
      <c r="C10" s="14">
        <f ca="1">VLOOKUP($B10,[7]Dasboard_QBR_Report!$B$109:$BL$166,3,FALSE)</f>
        <v>21390</v>
      </c>
      <c r="D10" s="13">
        <f ca="1">VLOOKUP($B10,'[7]Analisys QBR By Machine Report'!$C$109:$BD$166,3,FALSE)</f>
        <v>20430</v>
      </c>
      <c r="E10" s="14">
        <f ca="1">VLOOKUP($B10,[7]Dasboard_QBR_Report!$B$109:$BL$166,5,FALSE)</f>
        <v>8700</v>
      </c>
      <c r="F10" s="13">
        <f t="shared" ca="1" si="0"/>
        <v>12690</v>
      </c>
      <c r="G10" s="13">
        <f t="shared" ca="1" si="1"/>
        <v>2015</v>
      </c>
      <c r="H10" s="13">
        <f ca="1">VLOOKUP($B10,'[7]Analisys QBR By Machine Report'!$C$109:$BD$166,4,FALSE)</f>
        <v>2015</v>
      </c>
      <c r="I10" s="13">
        <f ca="1">VLOOKUP($B10,'[7]Analisys QBR By Machine Report'!$C$109:$BD$166,5,FALSE)</f>
        <v>0</v>
      </c>
      <c r="J10" s="13">
        <f ca="1">VLOOKUP($B10,'[7]Analisys QBR By Machine Report'!$C$109:$BD$166,6,FALSE)</f>
        <v>2015</v>
      </c>
      <c r="K10" s="13">
        <f ca="1">VLOOKUP($B10,'[7]Analisys QBR By Machine Report'!$C$109:$BD$166,7,FALSE)</f>
        <v>0</v>
      </c>
      <c r="L10" s="13">
        <f ca="1">VLOOKUP($B10,'[7]Analisys QBR By Machine Report'!$C$109:$BD$166,8,FALSE)</f>
        <v>10675</v>
      </c>
      <c r="M10" s="13">
        <f ca="1">VLOOKUP($B10,'[7]Analisys QBR By Machine Report'!$C$109:$BD$166,9,FALSE)</f>
        <v>3055</v>
      </c>
      <c r="N10" s="13">
        <f ca="1">VLOOKUP($B10,[7]Dasboard_QBR_Report!$B$109:$BL$166,18,FALSE)</f>
        <v>7620</v>
      </c>
      <c r="O10" s="13">
        <f ca="1">VLOOKUP($B10,'[7]Analisys QBR By Machine Report'!$C$109:$BD$166,10,FALSE)</f>
        <v>1600</v>
      </c>
      <c r="P10" s="13">
        <f ca="1">VLOOKUP($B10,'[7]Analisys QBR By Machine Report'!$C$109:$BD$166,11,FALSE)</f>
        <v>710</v>
      </c>
      <c r="Q10" s="13">
        <f ca="1">VLOOKUP($B10,'[7]Analisys QBR By Machine Report'!$C$109:$BD$166,12,FALSE)</f>
        <v>0</v>
      </c>
      <c r="R10" s="13">
        <f ca="1">VLOOKUP($B10,'[7]Analisys QBR By Machine Report'!$C$109:$BD$166,13,FALSE)</f>
        <v>0</v>
      </c>
      <c r="S10" s="13">
        <f ca="1">VLOOKUP($B10,'[7]Analisys QBR By Machine Report'!$C$109:$BD$166,14,FALSE)</f>
        <v>890</v>
      </c>
      <c r="T10" s="13">
        <f ca="1">VLOOKUP($B10,'[7]Analisys QBR By Machine Report'!$C$109:$BD$166,15,FALSE)</f>
        <v>0</v>
      </c>
      <c r="U10" s="13">
        <f ca="1">VLOOKUP($B10,'[7]Analisys QBR By Machine Report'!$C$109:$BD$166,16,FALSE)</f>
        <v>0</v>
      </c>
      <c r="V10" s="13">
        <f ca="1">VLOOKUP($B10,'[7]Analisys QBR By Machine Report'!$C$109:$BD$166,17,FALSE)</f>
        <v>0</v>
      </c>
      <c r="W10" s="13">
        <f ca="1">VLOOKUP($B10,'[7]Analisys QBR By Machine Report'!$C$109:$BD$166,18,FALSE)</f>
        <v>0</v>
      </c>
      <c r="X10" s="13">
        <f ca="1">VLOOKUP($B10,'[7]Analisys QBR By Machine Report'!$C$109:$BD$166,19,FALSE)</f>
        <v>0</v>
      </c>
      <c r="Y10" s="13">
        <f ca="1">VLOOKUP($B10,'[7]Analisys QBR By Machine Report'!$C$109:$BD$166,20,FALSE)</f>
        <v>0</v>
      </c>
      <c r="Z10" s="13">
        <f ca="1">VLOOKUP($B10,'[7]Analisys QBR By Machine Report'!$C$109:$BD$166,21,FALSE)</f>
        <v>1375</v>
      </c>
      <c r="AA10" s="13">
        <f ca="1">VLOOKUP($B10,'[7]Analisys QBR By Machine Report'!$C$109:$BD$166,22,FALSE)</f>
        <v>245</v>
      </c>
      <c r="AB10" s="13">
        <f ca="1">VLOOKUP($B10,'[7]Analisys QBR By Machine Report'!$C$109:$BD$166,23,FALSE)</f>
        <v>860</v>
      </c>
      <c r="AC10" s="13">
        <f ca="1">VLOOKUP($B10,'[7]Analisys QBR By Machine Report'!$C$109:$BD$166,24,FALSE)</f>
        <v>0</v>
      </c>
      <c r="AD10" s="13">
        <f ca="1">VLOOKUP($B10,'[7]Analisys QBR By Machine Report'!$C$109:$BD$166,25,FALSE)</f>
        <v>0</v>
      </c>
      <c r="AE10" s="13">
        <f ca="1">VLOOKUP($B10,'[7]Analisys QBR By Machine Report'!$C$109:$BD$166,26,FALSE)</f>
        <v>270</v>
      </c>
      <c r="AF10" s="13">
        <f ca="1">VLOOKUP($B10,'[7]Analisys QBR By Machine Report'!$C$109:$BD$166,27,FALSE)</f>
        <v>2395</v>
      </c>
      <c r="AG10" s="13">
        <f ca="1">VLOOKUP($B10,'[7]Analisys QBR By Machine Report'!$C$109:$BD$166,28,FALSE)</f>
        <v>955</v>
      </c>
      <c r="AH10" s="13">
        <f ca="1">VLOOKUP($B10,'[7]Analisys QBR By Machine Report'!$C$109:$BD$166,29,FALSE)</f>
        <v>1440</v>
      </c>
      <c r="AI10" s="13">
        <f ca="1">VLOOKUP($B10,'[7]Analisys QBR By Machine Report'!$C$109:$BD$166,30,FALSE)</f>
        <v>2250</v>
      </c>
      <c r="AJ10" s="13">
        <f ca="1">VLOOKUP($B10,'[7]Analisys QBR By Machine Report'!$C$109:$BD$166,31,FALSE)</f>
        <v>0</v>
      </c>
      <c r="AK10" s="13">
        <f ca="1">VLOOKUP($B10,'[7]Analisys QBR By Machine Report'!$C$109:$BD$166,32,FALSE)</f>
        <v>0</v>
      </c>
      <c r="AL10" s="13">
        <f ca="1">VLOOKUP($B10,'[7]Analisys QBR By Machine Report'!$C$109:$BD$166,33,FALSE)</f>
        <v>445</v>
      </c>
      <c r="AM10" s="13">
        <f ca="1">VLOOKUP($B10,'[7]Analisys QBR By Machine Report'!$C$109:$BD$166,34,FALSE)</f>
        <v>0</v>
      </c>
      <c r="AN10" s="13">
        <f ca="1">VLOOKUP($B10,'[7]Analisys QBR By Machine Report'!$C$109:$BD$166,35,FALSE)</f>
        <v>385</v>
      </c>
      <c r="AO10" s="13">
        <f ca="1">VLOOKUP($B10,'[7]Analisys QBR By Machine Report'!$C$109:$BD$166,36,FALSE)</f>
        <v>30</v>
      </c>
      <c r="AP10" s="13">
        <f ca="1">VLOOKUP($B10,'[7]Analisys QBR By Machine Report'!$C$109:$BD$166,37,FALSE)</f>
        <v>0</v>
      </c>
      <c r="AQ10" s="13">
        <f ca="1">VLOOKUP($B10,'[7]Analisys QBR By Machine Report'!$C$109:$BD$166,38,FALSE)</f>
        <v>0</v>
      </c>
      <c r="AR10" s="13">
        <f ca="1">VLOOKUP($B10,'[7]Analisys QBR By Machine Report'!$C$109:$BD$166,39,FALSE)</f>
        <v>470</v>
      </c>
      <c r="AS10" s="13">
        <f ca="1">VLOOKUP($B10,'[7]Analisys QBR By Machine Report'!$C$109:$BD$166,40,FALSE)</f>
        <v>205</v>
      </c>
      <c r="AT10" s="13">
        <f ca="1">VLOOKUP($B10,'[7]Analisys QBR By Machine Report'!$C$109:$BD$166,41,FALSE)</f>
        <v>0</v>
      </c>
      <c r="AU10" s="13">
        <f ca="1">VLOOKUP($B10,'[7]Analisys QBR By Machine Report'!$C$109:$BD$166,42,FALSE)</f>
        <v>0</v>
      </c>
      <c r="AV10" s="13">
        <f ca="1">VLOOKUP($B10,'[7]Analisys QBR By Machine Report'!$C$109:$BD$166,43,FALSE)</f>
        <v>0</v>
      </c>
      <c r="AW10" s="13">
        <f ca="1">VLOOKUP($B10,'[7]Analisys QBR By Machine Report'!$C$109:$BD$166,44,FALSE)</f>
        <v>0</v>
      </c>
      <c r="AX10" s="13">
        <f ca="1">VLOOKUP($B10,'[7]Analisys QBR By Machine Report'!$C$109:$BD$166,45,FALSE)</f>
        <v>0</v>
      </c>
      <c r="AY10" s="13">
        <f ca="1">VLOOKUP($B10,'[7]Analisys QBR By Machine Report'!$C$109:$BD$166,46,FALSE)</f>
        <v>0</v>
      </c>
      <c r="AZ10" s="13">
        <f ca="1">VLOOKUP($B10,'[7]Analisys QBR By Machine Report'!$C$109:$BD$166,47,FALSE)</f>
        <v>715</v>
      </c>
      <c r="BA10" s="13">
        <f ca="1">VLOOKUP($B10,'[7]Analisys QBR By Machine Report'!$C$109:$BD$166,48,FALSE)</f>
        <v>0</v>
      </c>
      <c r="BB10" s="13">
        <f ca="1">VLOOKUP($B10,'[7]Analisys QBR By Machine Report'!$C$109:$BD$166,49,FALSE)</f>
        <v>0</v>
      </c>
      <c r="BC10" s="13">
        <f ca="1">VLOOKUP($B10,'[7]Analisys QBR By Machine Report'!$C$109:$BD$166,50,FALSE)</f>
        <v>0</v>
      </c>
      <c r="BD10" s="13">
        <f ca="1">VLOOKUP($B10,'[7]Analisys QBR By Machine Report'!$C$109:$BD$166,51,FALSE)</f>
        <v>3042698</v>
      </c>
      <c r="BE10" s="13">
        <f ca="1">VLOOKUP($B10,'[7]Analisys QBR By Machine Report'!$C$109:$BD$166,52,FALSE)</f>
        <v>12051</v>
      </c>
      <c r="BF10" s="13">
        <f ca="1">VLOOKUP($B10,'[7]Analisys QBR By Machine Report'!$C$109:$BD$166,53,FALSE)</f>
        <v>3030647</v>
      </c>
    </row>
    <row r="11" spans="1:58" x14ac:dyDescent="0.25">
      <c r="A11" s="12" t="s">
        <v>67</v>
      </c>
      <c r="B11" s="13">
        <f ca="1">VLOOKUP($B11,'[7]Analisys QBR By Machine Report'!$C$109:$BD$166,2,FALSE)</f>
        <v>33120</v>
      </c>
      <c r="C11" s="14">
        <f ca="1">VLOOKUP($B11,[7]Dasboard_QBR_Report!$B$109:$BL$166,3,FALSE)</f>
        <v>11040</v>
      </c>
      <c r="D11" s="13">
        <f ca="1">VLOOKUP($B11,'[7]Analisys QBR By Machine Report'!$C$109:$BD$166,3,FALSE)</f>
        <v>27570</v>
      </c>
      <c r="E11" s="14">
        <f ca="1">VLOOKUP($B11,[7]Dasboard_QBR_Report!$B$109:$BL$166,5,FALSE)</f>
        <v>5490</v>
      </c>
      <c r="F11" s="13">
        <f t="shared" ca="1" si="0"/>
        <v>5550</v>
      </c>
      <c r="G11" s="13">
        <f t="shared" ca="1" si="1"/>
        <v>120</v>
      </c>
      <c r="H11" s="13">
        <f ca="1">VLOOKUP($B11,'[7]Analisys QBR By Machine Report'!$C$109:$BD$166,4,FALSE)</f>
        <v>120</v>
      </c>
      <c r="I11" s="13">
        <f ca="1">VLOOKUP($B11,'[7]Analisys QBR By Machine Report'!$C$109:$BD$166,5,FALSE)</f>
        <v>0</v>
      </c>
      <c r="J11" s="13">
        <f ca="1">VLOOKUP($B11,'[7]Analisys QBR By Machine Report'!$C$109:$BD$166,6,FALSE)</f>
        <v>120</v>
      </c>
      <c r="K11" s="13">
        <f ca="1">VLOOKUP($B11,'[7]Analisys QBR By Machine Report'!$C$109:$BD$166,7,FALSE)</f>
        <v>0</v>
      </c>
      <c r="L11" s="13">
        <f ca="1">VLOOKUP($B11,'[7]Analisys QBR By Machine Report'!$C$109:$BD$166,8,FALSE)</f>
        <v>5430</v>
      </c>
      <c r="M11" s="13">
        <f ca="1">VLOOKUP($B11,'[7]Analisys QBR By Machine Report'!$C$109:$BD$166,9,FALSE)</f>
        <v>1225</v>
      </c>
      <c r="N11" s="13">
        <f ca="1">VLOOKUP($B11,[7]Dasboard_QBR_Report!$B$109:$BL$166,18,FALSE)</f>
        <v>4205</v>
      </c>
      <c r="O11" s="13">
        <f ca="1">VLOOKUP($B11,'[7]Analisys QBR By Machine Report'!$C$109:$BD$166,10,FALSE)</f>
        <v>1290</v>
      </c>
      <c r="P11" s="13">
        <f ca="1">VLOOKUP($B11,'[7]Analisys QBR By Machine Report'!$C$109:$BD$166,11,FALSE)</f>
        <v>530</v>
      </c>
      <c r="Q11" s="13">
        <f ca="1">VLOOKUP($B11,'[7]Analisys QBR By Machine Report'!$C$109:$BD$166,12,FALSE)</f>
        <v>0</v>
      </c>
      <c r="R11" s="13">
        <f ca="1">VLOOKUP($B11,'[7]Analisys QBR By Machine Report'!$C$109:$BD$166,13,FALSE)</f>
        <v>265</v>
      </c>
      <c r="S11" s="13">
        <f ca="1">VLOOKUP($B11,'[7]Analisys QBR By Machine Report'!$C$109:$BD$166,14,FALSE)</f>
        <v>495</v>
      </c>
      <c r="T11" s="13">
        <f ca="1">VLOOKUP($B11,'[7]Analisys QBR By Machine Report'!$C$109:$BD$166,15,FALSE)</f>
        <v>45</v>
      </c>
      <c r="U11" s="13">
        <f ca="1">VLOOKUP($B11,'[7]Analisys QBR By Machine Report'!$C$109:$BD$166,16,FALSE)</f>
        <v>45</v>
      </c>
      <c r="V11" s="13">
        <f ca="1">VLOOKUP($B11,'[7]Analisys QBR By Machine Report'!$C$109:$BD$166,17,FALSE)</f>
        <v>0</v>
      </c>
      <c r="W11" s="13">
        <f ca="1">VLOOKUP($B11,'[7]Analisys QBR By Machine Report'!$C$109:$BD$166,18,FALSE)</f>
        <v>0</v>
      </c>
      <c r="X11" s="13">
        <f ca="1">VLOOKUP($B11,'[7]Analisys QBR By Machine Report'!$C$109:$BD$166,19,FALSE)</f>
        <v>0</v>
      </c>
      <c r="Y11" s="13">
        <f ca="1">VLOOKUP($B11,'[7]Analisys QBR By Machine Report'!$C$109:$BD$166,20,FALSE)</f>
        <v>0</v>
      </c>
      <c r="Z11" s="13">
        <f ca="1">VLOOKUP($B11,'[7]Analisys QBR By Machine Report'!$C$109:$BD$166,21,FALSE)</f>
        <v>1010</v>
      </c>
      <c r="AA11" s="13">
        <f ca="1">VLOOKUP($B11,'[7]Analisys QBR By Machine Report'!$C$109:$BD$166,22,FALSE)</f>
        <v>230</v>
      </c>
      <c r="AB11" s="13">
        <f ca="1">VLOOKUP($B11,'[7]Analisys QBR By Machine Report'!$C$109:$BD$166,23,FALSE)</f>
        <v>480</v>
      </c>
      <c r="AC11" s="13">
        <f ca="1">VLOOKUP($B11,'[7]Analisys QBR By Machine Report'!$C$109:$BD$166,24,FALSE)</f>
        <v>75</v>
      </c>
      <c r="AD11" s="13">
        <f ca="1">VLOOKUP($B11,'[7]Analisys QBR By Machine Report'!$C$109:$BD$166,25,FALSE)</f>
        <v>0</v>
      </c>
      <c r="AE11" s="13">
        <f ca="1">VLOOKUP($B11,'[7]Analisys QBR By Machine Report'!$C$109:$BD$166,26,FALSE)</f>
        <v>225</v>
      </c>
      <c r="AF11" s="13">
        <f ca="1">VLOOKUP($B11,'[7]Analisys QBR By Machine Report'!$C$109:$BD$166,27,FALSE)</f>
        <v>0</v>
      </c>
      <c r="AG11" s="13">
        <f ca="1">VLOOKUP($B11,'[7]Analisys QBR By Machine Report'!$C$109:$BD$166,28,FALSE)</f>
        <v>0</v>
      </c>
      <c r="AH11" s="13">
        <f ca="1">VLOOKUP($B11,'[7]Analisys QBR By Machine Report'!$C$109:$BD$166,29,FALSE)</f>
        <v>0</v>
      </c>
      <c r="AI11" s="13">
        <f ca="1">VLOOKUP($B11,'[7]Analisys QBR By Machine Report'!$C$109:$BD$166,30,FALSE)</f>
        <v>1860</v>
      </c>
      <c r="AJ11" s="13">
        <f ca="1">VLOOKUP($B11,'[7]Analisys QBR By Machine Report'!$C$109:$BD$166,31,FALSE)</f>
        <v>0</v>
      </c>
      <c r="AK11" s="13">
        <f ca="1">VLOOKUP($B11,'[7]Analisys QBR By Machine Report'!$C$109:$BD$166,32,FALSE)</f>
        <v>0</v>
      </c>
      <c r="AL11" s="13">
        <f ca="1">VLOOKUP($B11,'[7]Analisys QBR By Machine Report'!$C$109:$BD$166,33,FALSE)</f>
        <v>330</v>
      </c>
      <c r="AM11" s="13">
        <f ca="1">VLOOKUP($B11,'[7]Analisys QBR By Machine Report'!$C$109:$BD$166,34,FALSE)</f>
        <v>0</v>
      </c>
      <c r="AN11" s="13">
        <f ca="1">VLOOKUP($B11,'[7]Analisys QBR By Machine Report'!$C$109:$BD$166,35,FALSE)</f>
        <v>275</v>
      </c>
      <c r="AO11" s="13">
        <f ca="1">VLOOKUP($B11,'[7]Analisys QBR By Machine Report'!$C$109:$BD$166,36,FALSE)</f>
        <v>240</v>
      </c>
      <c r="AP11" s="13">
        <f ca="1">VLOOKUP($B11,'[7]Analisys QBR By Machine Report'!$C$109:$BD$166,37,FALSE)</f>
        <v>0</v>
      </c>
      <c r="AQ11" s="13">
        <f ca="1">VLOOKUP($B11,'[7]Analisys QBR By Machine Report'!$C$109:$BD$166,38,FALSE)</f>
        <v>0</v>
      </c>
      <c r="AR11" s="13">
        <f ca="1">VLOOKUP($B11,'[7]Analisys QBR By Machine Report'!$C$109:$BD$166,39,FALSE)</f>
        <v>0</v>
      </c>
      <c r="AS11" s="13">
        <f ca="1">VLOOKUP($B11,'[7]Analisys QBR By Machine Report'!$C$109:$BD$166,40,FALSE)</f>
        <v>85</v>
      </c>
      <c r="AT11" s="13">
        <f ca="1">VLOOKUP($B11,'[7]Analisys QBR By Machine Report'!$C$109:$BD$166,41,FALSE)</f>
        <v>0</v>
      </c>
      <c r="AU11" s="13">
        <f ca="1">VLOOKUP($B11,'[7]Analisys QBR By Machine Report'!$C$109:$BD$166,42,FALSE)</f>
        <v>0</v>
      </c>
      <c r="AV11" s="13">
        <f ca="1">VLOOKUP($B11,'[7]Analisys QBR By Machine Report'!$C$109:$BD$166,43,FALSE)</f>
        <v>0</v>
      </c>
      <c r="AW11" s="13">
        <f ca="1">VLOOKUP($B11,'[7]Analisys QBR By Machine Report'!$C$109:$BD$166,44,FALSE)</f>
        <v>0</v>
      </c>
      <c r="AX11" s="13">
        <f ca="1">VLOOKUP($B11,'[7]Analisys QBR By Machine Report'!$C$109:$BD$166,45,FALSE)</f>
        <v>0</v>
      </c>
      <c r="AY11" s="13">
        <f ca="1">VLOOKUP($B11,'[7]Analisys QBR By Machine Report'!$C$109:$BD$166,46,FALSE)</f>
        <v>0</v>
      </c>
      <c r="AZ11" s="13">
        <f ca="1">VLOOKUP($B11,'[7]Analisys QBR By Machine Report'!$C$109:$BD$166,47,FALSE)</f>
        <v>895</v>
      </c>
      <c r="BA11" s="13">
        <f ca="1">VLOOKUP($B11,'[7]Analisys QBR By Machine Report'!$C$109:$BD$166,48,FALSE)</f>
        <v>35</v>
      </c>
      <c r="BB11" s="13">
        <f ca="1">VLOOKUP($B11,'[7]Analisys QBR By Machine Report'!$C$109:$BD$166,49,FALSE)</f>
        <v>0</v>
      </c>
      <c r="BC11" s="13">
        <f ca="1">VLOOKUP($B11,'[7]Analisys QBR By Machine Report'!$C$109:$BD$166,50,FALSE)</f>
        <v>0</v>
      </c>
      <c r="BD11" s="13">
        <f ca="1">VLOOKUP($B11,'[7]Analisys QBR By Machine Report'!$C$109:$BD$166,51,FALSE)</f>
        <v>1007275</v>
      </c>
      <c r="BE11" s="13">
        <f ca="1">VLOOKUP($B11,'[7]Analisys QBR By Machine Report'!$C$109:$BD$166,52,FALSE)</f>
        <v>0</v>
      </c>
      <c r="BF11" s="13">
        <f ca="1">VLOOKUP($B11,'[7]Analisys QBR By Machine Report'!$C$109:$BD$166,53,FALSE)</f>
        <v>1007275</v>
      </c>
    </row>
    <row r="12" spans="1:58" x14ac:dyDescent="0.25">
      <c r="A12" s="12" t="s">
        <v>68</v>
      </c>
      <c r="B12" s="13">
        <f ca="1">VLOOKUP($B12,'[7]Analisys QBR By Machine Report'!$C$109:$BD$166,2,FALSE)</f>
        <v>33120</v>
      </c>
      <c r="C12" s="14">
        <f ca="1">VLOOKUP($B12,[7]Dasboard_QBR_Report!$B$109:$BL$166,3,FALSE)</f>
        <v>21390</v>
      </c>
      <c r="D12" s="13">
        <f ca="1">VLOOKUP($B12,'[7]Analisys QBR By Machine Report'!$C$109:$BD$166,3,FALSE)</f>
        <v>18090</v>
      </c>
      <c r="E12" s="14">
        <f ca="1">VLOOKUP($B12,[7]Dasboard_QBR_Report!$B$109:$BL$166,5,FALSE)</f>
        <v>6360</v>
      </c>
      <c r="F12" s="13">
        <f t="shared" ca="1" si="0"/>
        <v>15030</v>
      </c>
      <c r="G12" s="13">
        <f t="shared" ca="1" si="1"/>
        <v>570</v>
      </c>
      <c r="H12" s="13">
        <f ca="1">VLOOKUP($B12,'[7]Analisys QBR By Machine Report'!$C$109:$BD$166,4,FALSE)</f>
        <v>495</v>
      </c>
      <c r="I12" s="13">
        <f ca="1">VLOOKUP($B12,'[7]Analisys QBR By Machine Report'!$C$109:$BD$166,5,FALSE)</f>
        <v>90</v>
      </c>
      <c r="J12" s="13">
        <f ca="1">VLOOKUP($B12,'[7]Analisys QBR By Machine Report'!$C$109:$BD$166,6,FALSE)</f>
        <v>405</v>
      </c>
      <c r="K12" s="13">
        <f ca="1">VLOOKUP($B12,'[7]Analisys QBR By Machine Report'!$C$109:$BD$166,7,FALSE)</f>
        <v>75</v>
      </c>
      <c r="L12" s="13">
        <f ca="1">VLOOKUP($B12,'[7]Analisys QBR By Machine Report'!$C$109:$BD$166,8,FALSE)</f>
        <v>14460</v>
      </c>
      <c r="M12" s="13">
        <f ca="1">VLOOKUP($B12,'[7]Analisys QBR By Machine Report'!$C$109:$BD$166,9,FALSE)</f>
        <v>4970</v>
      </c>
      <c r="N12" s="13">
        <f ca="1">VLOOKUP($B12,[7]Dasboard_QBR_Report!$B$109:$BL$166,18,FALSE)</f>
        <v>9490</v>
      </c>
      <c r="O12" s="13">
        <f ca="1">VLOOKUP($B12,'[7]Analisys QBR By Machine Report'!$C$109:$BD$166,10,FALSE)</f>
        <v>1730</v>
      </c>
      <c r="P12" s="13">
        <f ca="1">VLOOKUP($B12,'[7]Analisys QBR By Machine Report'!$C$109:$BD$166,11,FALSE)</f>
        <v>1360</v>
      </c>
      <c r="Q12" s="13">
        <f ca="1">VLOOKUP($B12,'[7]Analisys QBR By Machine Report'!$C$109:$BD$166,12,FALSE)</f>
        <v>0</v>
      </c>
      <c r="R12" s="13">
        <f ca="1">VLOOKUP($B12,'[7]Analisys QBR By Machine Report'!$C$109:$BD$166,13,FALSE)</f>
        <v>0</v>
      </c>
      <c r="S12" s="13">
        <f ca="1">VLOOKUP($B12,'[7]Analisys QBR By Machine Report'!$C$109:$BD$166,14,FALSE)</f>
        <v>370</v>
      </c>
      <c r="T12" s="13">
        <f ca="1">VLOOKUP($B12,'[7]Analisys QBR By Machine Report'!$C$109:$BD$166,15,FALSE)</f>
        <v>0</v>
      </c>
      <c r="U12" s="13">
        <f ca="1">VLOOKUP($B12,'[7]Analisys QBR By Machine Report'!$C$109:$BD$166,16,FALSE)</f>
        <v>0</v>
      </c>
      <c r="V12" s="13">
        <f ca="1">VLOOKUP($B12,'[7]Analisys QBR By Machine Report'!$C$109:$BD$166,17,FALSE)</f>
        <v>0</v>
      </c>
      <c r="W12" s="13">
        <f ca="1">VLOOKUP($B12,'[7]Analisys QBR By Machine Report'!$C$109:$BD$166,18,FALSE)</f>
        <v>0</v>
      </c>
      <c r="X12" s="13">
        <f ca="1">VLOOKUP($B12,'[7]Analisys QBR By Machine Report'!$C$109:$BD$166,19,FALSE)</f>
        <v>0</v>
      </c>
      <c r="Y12" s="13">
        <f ca="1">VLOOKUP($B12,'[7]Analisys QBR By Machine Report'!$C$109:$BD$166,20,FALSE)</f>
        <v>0</v>
      </c>
      <c r="Z12" s="13">
        <f ca="1">VLOOKUP($B12,'[7]Analisys QBR By Machine Report'!$C$109:$BD$166,21,FALSE)</f>
        <v>2060</v>
      </c>
      <c r="AA12" s="13">
        <f ca="1">VLOOKUP($B12,'[7]Analisys QBR By Machine Report'!$C$109:$BD$166,22,FALSE)</f>
        <v>280</v>
      </c>
      <c r="AB12" s="13">
        <f ca="1">VLOOKUP($B12,'[7]Analisys QBR By Machine Report'!$C$109:$BD$166,23,FALSE)</f>
        <v>1470</v>
      </c>
      <c r="AC12" s="13">
        <f ca="1">VLOOKUP($B12,'[7]Analisys QBR By Machine Report'!$C$109:$BD$166,24,FALSE)</f>
        <v>30</v>
      </c>
      <c r="AD12" s="13">
        <f ca="1">VLOOKUP($B12,'[7]Analisys QBR By Machine Report'!$C$109:$BD$166,25,FALSE)</f>
        <v>0</v>
      </c>
      <c r="AE12" s="13">
        <f ca="1">VLOOKUP($B12,'[7]Analisys QBR By Machine Report'!$C$109:$BD$166,26,FALSE)</f>
        <v>280</v>
      </c>
      <c r="AF12" s="13">
        <f ca="1">VLOOKUP($B12,'[7]Analisys QBR By Machine Report'!$C$109:$BD$166,27,FALSE)</f>
        <v>900</v>
      </c>
      <c r="AG12" s="13">
        <f ca="1">VLOOKUP($B12,'[7]Analisys QBR By Machine Report'!$C$109:$BD$166,28,FALSE)</f>
        <v>635</v>
      </c>
      <c r="AH12" s="13">
        <f ca="1">VLOOKUP($B12,'[7]Analisys QBR By Machine Report'!$C$109:$BD$166,29,FALSE)</f>
        <v>265</v>
      </c>
      <c r="AI12" s="13">
        <f ca="1">VLOOKUP($B12,'[7]Analisys QBR By Machine Report'!$C$109:$BD$166,30,FALSE)</f>
        <v>4800</v>
      </c>
      <c r="AJ12" s="13">
        <f ca="1">VLOOKUP($B12,'[7]Analisys QBR By Machine Report'!$C$109:$BD$166,31,FALSE)</f>
        <v>0</v>
      </c>
      <c r="AK12" s="13">
        <f ca="1">VLOOKUP($B12,'[7]Analisys QBR By Machine Report'!$C$109:$BD$166,32,FALSE)</f>
        <v>0</v>
      </c>
      <c r="AL12" s="13">
        <f ca="1">VLOOKUP($B12,'[7]Analisys QBR By Machine Report'!$C$109:$BD$166,33,FALSE)</f>
        <v>815</v>
      </c>
      <c r="AM12" s="13">
        <f ca="1">VLOOKUP($B12,'[7]Analisys QBR By Machine Report'!$C$109:$BD$166,34,FALSE)</f>
        <v>0</v>
      </c>
      <c r="AN12" s="13">
        <f ca="1">VLOOKUP($B12,'[7]Analisys QBR By Machine Report'!$C$109:$BD$166,35,FALSE)</f>
        <v>670</v>
      </c>
      <c r="AO12" s="13">
        <f ca="1">VLOOKUP($B12,'[7]Analisys QBR By Machine Report'!$C$109:$BD$166,36,FALSE)</f>
        <v>60</v>
      </c>
      <c r="AP12" s="13">
        <f ca="1">VLOOKUP($B12,'[7]Analisys QBR By Machine Report'!$C$109:$BD$166,37,FALSE)</f>
        <v>0</v>
      </c>
      <c r="AQ12" s="13">
        <f ca="1">VLOOKUP($B12,'[7]Analisys QBR By Machine Report'!$C$109:$BD$166,38,FALSE)</f>
        <v>0</v>
      </c>
      <c r="AR12" s="13">
        <f ca="1">VLOOKUP($B12,'[7]Analisys QBR By Machine Report'!$C$109:$BD$166,39,FALSE)</f>
        <v>950</v>
      </c>
      <c r="AS12" s="13">
        <f ca="1">VLOOKUP($B12,'[7]Analisys QBR By Machine Report'!$C$109:$BD$166,40,FALSE)</f>
        <v>240</v>
      </c>
      <c r="AT12" s="13">
        <f ca="1">VLOOKUP($B12,'[7]Analisys QBR By Machine Report'!$C$109:$BD$166,41,FALSE)</f>
        <v>0</v>
      </c>
      <c r="AU12" s="13">
        <f ca="1">VLOOKUP($B12,'[7]Analisys QBR By Machine Report'!$C$109:$BD$166,42,FALSE)</f>
        <v>0</v>
      </c>
      <c r="AV12" s="13">
        <f ca="1">VLOOKUP($B12,'[7]Analisys QBR By Machine Report'!$C$109:$BD$166,43,FALSE)</f>
        <v>0</v>
      </c>
      <c r="AW12" s="13">
        <f ca="1">VLOOKUP($B12,'[7]Analisys QBR By Machine Report'!$C$109:$BD$166,44,FALSE)</f>
        <v>0</v>
      </c>
      <c r="AX12" s="13">
        <f ca="1">VLOOKUP($B12,'[7]Analisys QBR By Machine Report'!$C$109:$BD$166,45,FALSE)</f>
        <v>0</v>
      </c>
      <c r="AY12" s="13">
        <f ca="1">VLOOKUP($B12,'[7]Analisys QBR By Machine Report'!$C$109:$BD$166,46,FALSE)</f>
        <v>0</v>
      </c>
      <c r="AZ12" s="13">
        <f ca="1">VLOOKUP($B12,'[7]Analisys QBR By Machine Report'!$C$109:$BD$166,47,FALSE)</f>
        <v>1405</v>
      </c>
      <c r="BA12" s="13">
        <f ca="1">VLOOKUP($B12,'[7]Analisys QBR By Machine Report'!$C$109:$BD$166,48,FALSE)</f>
        <v>625</v>
      </c>
      <c r="BB12" s="13">
        <f ca="1">VLOOKUP($B12,'[7]Analisys QBR By Machine Report'!$C$109:$BD$166,49,FALSE)</f>
        <v>0</v>
      </c>
      <c r="BC12" s="13">
        <f ca="1">VLOOKUP($B12,'[7]Analisys QBR By Machine Report'!$C$109:$BD$166,50,FALSE)</f>
        <v>35</v>
      </c>
      <c r="BD12" s="13">
        <f ca="1">VLOOKUP($B12,'[7]Analisys QBR By Machine Report'!$C$109:$BD$166,51,FALSE)</f>
        <v>2297657</v>
      </c>
      <c r="BE12" s="13">
        <f ca="1">VLOOKUP($B12,'[7]Analisys QBR By Machine Report'!$C$109:$BD$166,52,FALSE)</f>
        <v>2294</v>
      </c>
      <c r="BF12" s="13">
        <f ca="1">VLOOKUP($B12,'[7]Analisys QBR By Machine Report'!$C$109:$BD$166,53,FALSE)</f>
        <v>2295363</v>
      </c>
    </row>
    <row r="13" spans="1:58" x14ac:dyDescent="0.25">
      <c r="A13" s="9" t="s">
        <v>69</v>
      </c>
      <c r="B13" s="10">
        <f ca="1">VLOOKUP($B13,'[7]Analisys QBR By Machine Report'!$C$109:$BD$166,2,FALSE)</f>
        <v>66240</v>
      </c>
      <c r="C13" s="11">
        <f ca="1">VLOOKUP($B13,[7]Dasboard_QBR_Report!$B$109:$BL$166,3,FALSE)</f>
        <v>22080</v>
      </c>
      <c r="D13" s="10">
        <f ca="1">VLOOKUP($B13,'[7]Analisys QBR By Machine Report'!$C$109:$BD$166,3,FALSE)</f>
        <v>55080</v>
      </c>
      <c r="E13" s="11">
        <f ca="1">VLOOKUP($B13,[7]Dasboard_QBR_Report!$B$109:$BL$166,5,FALSE)</f>
        <v>10920</v>
      </c>
      <c r="F13" s="10">
        <f t="shared" ca="1" si="0"/>
        <v>11160</v>
      </c>
      <c r="G13" s="10">
        <f t="shared" ca="1" si="1"/>
        <v>0</v>
      </c>
      <c r="H13" s="10">
        <f ca="1">VLOOKUP($B13,'[7]Analisys QBR By Machine Report'!$C$109:$BD$166,4,FALSE)</f>
        <v>0</v>
      </c>
      <c r="I13" s="10">
        <f ca="1">VLOOKUP($B13,'[7]Analisys QBR By Machine Report'!$C$109:$BD$166,5,FALSE)</f>
        <v>0</v>
      </c>
      <c r="J13" s="10">
        <f ca="1">VLOOKUP($B13,'[7]Analisys QBR By Machine Report'!$C$109:$BD$166,6,FALSE)</f>
        <v>0</v>
      </c>
      <c r="K13" s="10">
        <f ca="1">VLOOKUP($B13,'[7]Analisys QBR By Machine Report'!$C$109:$BD$166,7,FALSE)</f>
        <v>0</v>
      </c>
      <c r="L13" s="10">
        <f ca="1">VLOOKUP($B13,'[7]Analisys QBR By Machine Report'!$C$109:$BD$166,8,FALSE)</f>
        <v>11160</v>
      </c>
      <c r="M13" s="10">
        <f ca="1">VLOOKUP($B13,'[7]Analisys QBR By Machine Report'!$C$109:$BD$166,9,FALSE)</f>
        <v>4872</v>
      </c>
      <c r="N13" s="10">
        <f ca="1">VLOOKUP($B13,[7]Dasboard_QBR_Report!$B$109:$BL$166,18,FALSE)</f>
        <v>6288</v>
      </c>
      <c r="O13" s="10">
        <f ca="1">VLOOKUP($B13,'[7]Analisys QBR By Machine Report'!$C$109:$BD$166,10,FALSE)</f>
        <v>293</v>
      </c>
      <c r="P13" s="10">
        <f ca="1">VLOOKUP($B13,'[7]Analisys QBR By Machine Report'!$C$109:$BD$166,11,FALSE)</f>
        <v>195</v>
      </c>
      <c r="Q13" s="10">
        <f ca="1">VLOOKUP($B13,'[7]Analisys QBR By Machine Report'!$C$109:$BD$166,12,FALSE)</f>
        <v>0</v>
      </c>
      <c r="R13" s="10">
        <f ca="1">VLOOKUP($B13,'[7]Analisys QBR By Machine Report'!$C$109:$BD$166,13,FALSE)</f>
        <v>98</v>
      </c>
      <c r="S13" s="10">
        <f ca="1">VLOOKUP($B13,'[7]Analisys QBR By Machine Report'!$C$109:$BD$166,14,FALSE)</f>
        <v>0</v>
      </c>
      <c r="T13" s="10">
        <f ca="1">VLOOKUP($B13,'[7]Analisys QBR By Machine Report'!$C$109:$BD$166,15,FALSE)</f>
        <v>270</v>
      </c>
      <c r="U13" s="10">
        <f ca="1">VLOOKUP($B13,'[7]Analisys QBR By Machine Report'!$C$109:$BD$166,16,FALSE)</f>
        <v>110</v>
      </c>
      <c r="V13" s="10">
        <f ca="1">VLOOKUP($B13,'[7]Analisys QBR By Machine Report'!$C$109:$BD$166,17,FALSE)</f>
        <v>0</v>
      </c>
      <c r="W13" s="10">
        <f ca="1">VLOOKUP($B13,'[7]Analisys QBR By Machine Report'!$C$109:$BD$166,18,FALSE)</f>
        <v>0</v>
      </c>
      <c r="X13" s="10">
        <f ca="1">VLOOKUP($B13,'[7]Analisys QBR By Machine Report'!$C$109:$BD$166,19,FALSE)</f>
        <v>160</v>
      </c>
      <c r="Y13" s="10">
        <f ca="1">VLOOKUP($B13,'[7]Analisys QBR By Machine Report'!$C$109:$BD$166,20,FALSE)</f>
        <v>0</v>
      </c>
      <c r="Z13" s="10">
        <f ca="1">VLOOKUP($B13,'[7]Analisys QBR By Machine Report'!$C$109:$BD$166,21,FALSE)</f>
        <v>3855</v>
      </c>
      <c r="AA13" s="10">
        <f ca="1">VLOOKUP($B13,'[7]Analisys QBR By Machine Report'!$C$109:$BD$166,22,FALSE)</f>
        <v>1110</v>
      </c>
      <c r="AB13" s="10">
        <f ca="1">VLOOKUP($B13,'[7]Analisys QBR By Machine Report'!$C$109:$BD$166,23,FALSE)</f>
        <v>2365</v>
      </c>
      <c r="AC13" s="10">
        <f ca="1">VLOOKUP($B13,'[7]Analisys QBR By Machine Report'!$C$109:$BD$166,24,FALSE)</f>
        <v>0</v>
      </c>
      <c r="AD13" s="10">
        <f ca="1">VLOOKUP($B13,'[7]Analisys QBR By Machine Report'!$C$109:$BD$166,25,FALSE)</f>
        <v>0</v>
      </c>
      <c r="AE13" s="10">
        <f ca="1">VLOOKUP($B13,'[7]Analisys QBR By Machine Report'!$C$109:$BD$166,26,FALSE)</f>
        <v>380</v>
      </c>
      <c r="AF13" s="10">
        <f ca="1">VLOOKUP($B13,'[7]Analisys QBR By Machine Report'!$C$109:$BD$166,27,FALSE)</f>
        <v>0</v>
      </c>
      <c r="AG13" s="10">
        <f ca="1">VLOOKUP($B13,'[7]Analisys QBR By Machine Report'!$C$109:$BD$166,28,FALSE)</f>
        <v>0</v>
      </c>
      <c r="AH13" s="10">
        <f ca="1">VLOOKUP($B13,'[7]Analisys QBR By Machine Report'!$C$109:$BD$166,29,FALSE)</f>
        <v>0</v>
      </c>
      <c r="AI13" s="10">
        <f ca="1">VLOOKUP($B13,'[7]Analisys QBR By Machine Report'!$C$109:$BD$166,30,FALSE)</f>
        <v>1870</v>
      </c>
      <c r="AJ13" s="10">
        <f ca="1">VLOOKUP($B13,'[7]Analisys QBR By Machine Report'!$C$109:$BD$166,31,FALSE)</f>
        <v>0</v>
      </c>
      <c r="AK13" s="10">
        <f ca="1">VLOOKUP($B13,'[7]Analisys QBR By Machine Report'!$C$109:$BD$166,32,FALSE)</f>
        <v>0</v>
      </c>
      <c r="AL13" s="10">
        <f ca="1">VLOOKUP($B13,'[7]Analisys QBR By Machine Report'!$C$109:$BD$166,33,FALSE)</f>
        <v>600</v>
      </c>
      <c r="AM13" s="10">
        <f ca="1">VLOOKUP($B13,'[7]Analisys QBR By Machine Report'!$C$109:$BD$166,34,FALSE)</f>
        <v>0</v>
      </c>
      <c r="AN13" s="10">
        <f ca="1">VLOOKUP($B13,'[7]Analisys QBR By Machine Report'!$C$109:$BD$166,35,FALSE)</f>
        <v>590</v>
      </c>
      <c r="AO13" s="10">
        <f ca="1">VLOOKUP($B13,'[7]Analisys QBR By Machine Report'!$C$109:$BD$166,36,FALSE)</f>
        <v>15</v>
      </c>
      <c r="AP13" s="10">
        <f ca="1">VLOOKUP($B13,'[7]Analisys QBR By Machine Report'!$C$109:$BD$166,37,FALSE)</f>
        <v>0</v>
      </c>
      <c r="AQ13" s="10">
        <f ca="1">VLOOKUP($B13,'[7]Analisys QBR By Machine Report'!$C$109:$BD$166,38,FALSE)</f>
        <v>0</v>
      </c>
      <c r="AR13" s="10">
        <f ca="1">VLOOKUP($B13,'[7]Analisys QBR By Machine Report'!$C$109:$BD$166,39,FALSE)</f>
        <v>345</v>
      </c>
      <c r="AS13" s="10">
        <f ca="1">VLOOKUP($B13,'[7]Analisys QBR By Machine Report'!$C$109:$BD$166,40,FALSE)</f>
        <v>185</v>
      </c>
      <c r="AT13" s="10">
        <f ca="1">VLOOKUP($B13,'[7]Analisys QBR By Machine Report'!$C$109:$BD$166,41,FALSE)</f>
        <v>0</v>
      </c>
      <c r="AU13" s="10">
        <f ca="1">VLOOKUP($B13,'[7]Analisys QBR By Machine Report'!$C$109:$BD$166,42,FALSE)</f>
        <v>0</v>
      </c>
      <c r="AV13" s="10">
        <f ca="1">VLOOKUP($B13,'[7]Analisys QBR By Machine Report'!$C$109:$BD$166,43,FALSE)</f>
        <v>0</v>
      </c>
      <c r="AW13" s="10">
        <f ca="1">VLOOKUP($B13,'[7]Analisys QBR By Machine Report'!$C$109:$BD$166,44,FALSE)</f>
        <v>0</v>
      </c>
      <c r="AX13" s="10">
        <f ca="1">VLOOKUP($B13,'[7]Analisys QBR By Machine Report'!$C$109:$BD$166,45,FALSE)</f>
        <v>0</v>
      </c>
      <c r="AY13" s="10">
        <f ca="1">VLOOKUP($B13,'[7]Analisys QBR By Machine Report'!$C$109:$BD$166,46,FALSE)</f>
        <v>0</v>
      </c>
      <c r="AZ13" s="10">
        <f ca="1">VLOOKUP($B13,'[7]Analisys QBR By Machine Report'!$C$109:$BD$166,47,FALSE)</f>
        <v>135</v>
      </c>
      <c r="BA13" s="10">
        <f ca="1">VLOOKUP($B13,'[7]Analisys QBR By Machine Report'!$C$109:$BD$166,48,FALSE)</f>
        <v>0</v>
      </c>
      <c r="BB13" s="10">
        <f ca="1">VLOOKUP($B13,'[7]Analisys QBR By Machine Report'!$C$109:$BD$166,49,FALSE)</f>
        <v>0</v>
      </c>
      <c r="BC13" s="10">
        <f ca="1">VLOOKUP($B13,'[7]Analisys QBR By Machine Report'!$C$109:$BD$166,50,FALSE)</f>
        <v>0</v>
      </c>
      <c r="BD13" s="10">
        <f ca="1">VLOOKUP($B13,'[7]Analisys QBR By Machine Report'!$C$109:$BD$166,51,FALSE)</f>
        <v>2550.36</v>
      </c>
      <c r="BE13" s="10">
        <f ca="1">VLOOKUP($B13,'[7]Analisys QBR By Machine Report'!$C$109:$BD$166,52,FALSE)</f>
        <v>1.17</v>
      </c>
      <c r="BF13" s="10">
        <f ca="1">VLOOKUP($B13,'[7]Analisys QBR By Machine Report'!$C$109:$BD$166,53,FALSE)</f>
        <v>2549.19</v>
      </c>
    </row>
    <row r="14" spans="1:58" x14ac:dyDescent="0.25">
      <c r="A14" s="12" t="s">
        <v>70</v>
      </c>
      <c r="B14" s="13">
        <f ca="1">VLOOKUP($B14,'[7]Analisys QBR By Machine Report'!$C$109:$BD$166,2,FALSE)</f>
        <v>33120</v>
      </c>
      <c r="C14" s="14">
        <f ca="1">VLOOKUP($B14,[7]Dasboard_QBR_Report!$B$109:$BL$166,3,FALSE)</f>
        <v>11040</v>
      </c>
      <c r="D14" s="13">
        <f ca="1">VLOOKUP($B14,'[7]Analisys QBR By Machine Report'!$C$109:$BD$166,3,FALSE)</f>
        <v>28860</v>
      </c>
      <c r="E14" s="14">
        <f ca="1">VLOOKUP($B14,[7]Dasboard_QBR_Report!$B$109:$BL$166,5,FALSE)</f>
        <v>6780</v>
      </c>
      <c r="F14" s="13">
        <f t="shared" ca="1" si="0"/>
        <v>4260</v>
      </c>
      <c r="G14" s="13">
        <f t="shared" ca="1" si="1"/>
        <v>0</v>
      </c>
      <c r="H14" s="13">
        <f ca="1">VLOOKUP($B14,'[7]Analisys QBR By Machine Report'!$C$109:$BD$166,4,FALSE)</f>
        <v>0</v>
      </c>
      <c r="I14" s="13">
        <f ca="1">VLOOKUP($B14,'[7]Analisys QBR By Machine Report'!$C$109:$BD$166,5,FALSE)</f>
        <v>0</v>
      </c>
      <c r="J14" s="13">
        <f ca="1">VLOOKUP($B14,'[7]Analisys QBR By Machine Report'!$C$109:$BD$166,6,FALSE)</f>
        <v>0</v>
      </c>
      <c r="K14" s="13">
        <f ca="1">VLOOKUP($B14,'[7]Analisys QBR By Machine Report'!$C$109:$BD$166,7,FALSE)</f>
        <v>0</v>
      </c>
      <c r="L14" s="13">
        <f ca="1">VLOOKUP($B14,'[7]Analisys QBR By Machine Report'!$C$109:$BD$166,8,FALSE)</f>
        <v>4260</v>
      </c>
      <c r="M14" s="13">
        <f ca="1">VLOOKUP($B14,'[7]Analisys QBR By Machine Report'!$C$109:$BD$166,9,FALSE)</f>
        <v>1542</v>
      </c>
      <c r="N14" s="13">
        <f ca="1">VLOOKUP($B14,[7]Dasboard_QBR_Report!$B$109:$BL$166,18,FALSE)</f>
        <v>2718</v>
      </c>
      <c r="O14" s="13">
        <f ca="1">VLOOKUP($B14,'[7]Analisys QBR By Machine Report'!$C$109:$BD$166,10,FALSE)</f>
        <v>183</v>
      </c>
      <c r="P14" s="13">
        <f ca="1">VLOOKUP($B14,'[7]Analisys QBR By Machine Report'!$C$109:$BD$166,11,FALSE)</f>
        <v>105</v>
      </c>
      <c r="Q14" s="13">
        <f ca="1">VLOOKUP($B14,'[7]Analisys QBR By Machine Report'!$C$109:$BD$166,12,FALSE)</f>
        <v>0</v>
      </c>
      <c r="R14" s="13">
        <f ca="1">VLOOKUP($B14,'[7]Analisys QBR By Machine Report'!$C$109:$BD$166,13,FALSE)</f>
        <v>78</v>
      </c>
      <c r="S14" s="13">
        <f ca="1">VLOOKUP($B14,'[7]Analisys QBR By Machine Report'!$C$109:$BD$166,14,FALSE)</f>
        <v>0</v>
      </c>
      <c r="T14" s="13">
        <f ca="1">VLOOKUP($B14,'[7]Analisys QBR By Machine Report'!$C$109:$BD$166,15,FALSE)</f>
        <v>0</v>
      </c>
      <c r="U14" s="13">
        <f ca="1">VLOOKUP($B14,'[7]Analisys QBR By Machine Report'!$C$109:$BD$166,16,FALSE)</f>
        <v>0</v>
      </c>
      <c r="V14" s="13">
        <f ca="1">VLOOKUP($B14,'[7]Analisys QBR By Machine Report'!$C$109:$BD$166,17,FALSE)</f>
        <v>0</v>
      </c>
      <c r="W14" s="13">
        <f ca="1">VLOOKUP($B14,'[7]Analisys QBR By Machine Report'!$C$109:$BD$166,18,FALSE)</f>
        <v>0</v>
      </c>
      <c r="X14" s="13">
        <f ca="1">VLOOKUP($B14,'[7]Analisys QBR By Machine Report'!$C$109:$BD$166,19,FALSE)</f>
        <v>0</v>
      </c>
      <c r="Y14" s="13">
        <f ca="1">VLOOKUP($B14,'[7]Analisys QBR By Machine Report'!$C$109:$BD$166,20,FALSE)</f>
        <v>0</v>
      </c>
      <c r="Z14" s="13">
        <f ca="1">VLOOKUP($B14,'[7]Analisys QBR By Machine Report'!$C$109:$BD$166,21,FALSE)</f>
        <v>1775</v>
      </c>
      <c r="AA14" s="13">
        <f ca="1">VLOOKUP($B14,'[7]Analisys QBR By Machine Report'!$C$109:$BD$166,22,FALSE)</f>
        <v>480</v>
      </c>
      <c r="AB14" s="13">
        <f ca="1">VLOOKUP($B14,'[7]Analisys QBR By Machine Report'!$C$109:$BD$166,23,FALSE)</f>
        <v>1135</v>
      </c>
      <c r="AC14" s="13">
        <f ca="1">VLOOKUP($B14,'[7]Analisys QBR By Machine Report'!$C$109:$BD$166,24,FALSE)</f>
        <v>0</v>
      </c>
      <c r="AD14" s="13">
        <f ca="1">VLOOKUP($B14,'[7]Analisys QBR By Machine Report'!$C$109:$BD$166,25,FALSE)</f>
        <v>0</v>
      </c>
      <c r="AE14" s="13">
        <f ca="1">VLOOKUP($B14,'[7]Analisys QBR By Machine Report'!$C$109:$BD$166,26,FALSE)</f>
        <v>160</v>
      </c>
      <c r="AF14" s="13">
        <f ca="1">VLOOKUP($B14,'[7]Analisys QBR By Machine Report'!$C$109:$BD$166,27,FALSE)</f>
        <v>0</v>
      </c>
      <c r="AG14" s="13">
        <f ca="1">VLOOKUP($B14,'[7]Analisys QBR By Machine Report'!$C$109:$BD$166,28,FALSE)</f>
        <v>0</v>
      </c>
      <c r="AH14" s="13">
        <f ca="1">VLOOKUP($B14,'[7]Analisys QBR By Machine Report'!$C$109:$BD$166,29,FALSE)</f>
        <v>0</v>
      </c>
      <c r="AI14" s="13">
        <f ca="1">VLOOKUP($B14,'[7]Analisys QBR By Machine Report'!$C$109:$BD$166,30,FALSE)</f>
        <v>760</v>
      </c>
      <c r="AJ14" s="13">
        <f ca="1">VLOOKUP($B14,'[7]Analisys QBR By Machine Report'!$C$109:$BD$166,31,FALSE)</f>
        <v>0</v>
      </c>
      <c r="AK14" s="13">
        <f ca="1">VLOOKUP($B14,'[7]Analisys QBR By Machine Report'!$C$109:$BD$166,32,FALSE)</f>
        <v>0</v>
      </c>
      <c r="AL14" s="13">
        <f ca="1">VLOOKUP($B14,'[7]Analisys QBR By Machine Report'!$C$109:$BD$166,33,FALSE)</f>
        <v>270</v>
      </c>
      <c r="AM14" s="13">
        <f ca="1">VLOOKUP($B14,'[7]Analisys QBR By Machine Report'!$C$109:$BD$166,34,FALSE)</f>
        <v>0</v>
      </c>
      <c r="AN14" s="13">
        <f ca="1">VLOOKUP($B14,'[7]Analisys QBR By Machine Report'!$C$109:$BD$166,35,FALSE)</f>
        <v>255</v>
      </c>
      <c r="AO14" s="13">
        <f ca="1">VLOOKUP($B14,'[7]Analisys QBR By Machine Report'!$C$109:$BD$166,36,FALSE)</f>
        <v>15</v>
      </c>
      <c r="AP14" s="13">
        <f ca="1">VLOOKUP($B14,'[7]Analisys QBR By Machine Report'!$C$109:$BD$166,37,FALSE)</f>
        <v>0</v>
      </c>
      <c r="AQ14" s="13">
        <f ca="1">VLOOKUP($B14,'[7]Analisys QBR By Machine Report'!$C$109:$BD$166,38,FALSE)</f>
        <v>0</v>
      </c>
      <c r="AR14" s="13">
        <f ca="1">VLOOKUP($B14,'[7]Analisys QBR By Machine Report'!$C$109:$BD$166,39,FALSE)</f>
        <v>100</v>
      </c>
      <c r="AS14" s="13">
        <f ca="1">VLOOKUP($B14,'[7]Analisys QBR By Machine Report'!$C$109:$BD$166,40,FALSE)</f>
        <v>70</v>
      </c>
      <c r="AT14" s="13">
        <f ca="1">VLOOKUP($B14,'[7]Analisys QBR By Machine Report'!$C$109:$BD$166,41,FALSE)</f>
        <v>0</v>
      </c>
      <c r="AU14" s="13">
        <f ca="1">VLOOKUP($B14,'[7]Analisys QBR By Machine Report'!$C$109:$BD$166,42,FALSE)</f>
        <v>0</v>
      </c>
      <c r="AV14" s="13">
        <f ca="1">VLOOKUP($B14,'[7]Analisys QBR By Machine Report'!$C$109:$BD$166,43,FALSE)</f>
        <v>0</v>
      </c>
      <c r="AW14" s="13">
        <f ca="1">VLOOKUP($B14,'[7]Analisys QBR By Machine Report'!$C$109:$BD$166,44,FALSE)</f>
        <v>0</v>
      </c>
      <c r="AX14" s="13">
        <f ca="1">VLOOKUP($B14,'[7]Analisys QBR By Machine Report'!$C$109:$BD$166,45,FALSE)</f>
        <v>0</v>
      </c>
      <c r="AY14" s="13">
        <f ca="1">VLOOKUP($B14,'[7]Analisys QBR By Machine Report'!$C$109:$BD$166,46,FALSE)</f>
        <v>0</v>
      </c>
      <c r="AZ14" s="13">
        <f ca="1">VLOOKUP($B14,'[7]Analisys QBR By Machine Report'!$C$109:$BD$166,47,FALSE)</f>
        <v>50</v>
      </c>
      <c r="BA14" s="13">
        <f ca="1">VLOOKUP($B14,'[7]Analisys QBR By Machine Report'!$C$109:$BD$166,48,FALSE)</f>
        <v>0</v>
      </c>
      <c r="BB14" s="13">
        <f ca="1">VLOOKUP($B14,'[7]Analisys QBR By Machine Report'!$C$109:$BD$166,49,FALSE)</f>
        <v>0</v>
      </c>
      <c r="BC14" s="13">
        <f ca="1">VLOOKUP($B14,'[7]Analisys QBR By Machine Report'!$C$109:$BD$166,50,FALSE)</f>
        <v>0</v>
      </c>
      <c r="BD14" s="13">
        <f ca="1">VLOOKUP($B14,'[7]Analisys QBR By Machine Report'!$C$109:$BD$166,51,FALSE)</f>
        <v>340.8</v>
      </c>
      <c r="BE14" s="13">
        <f ca="1">VLOOKUP($B14,'[7]Analisys QBR By Machine Report'!$C$109:$BD$166,52,FALSE)</f>
        <v>0.42</v>
      </c>
      <c r="BF14" s="13">
        <f ca="1">VLOOKUP($B14,'[7]Analisys QBR By Machine Report'!$C$109:$BD$166,53,FALSE)</f>
        <v>340.38</v>
      </c>
    </row>
    <row r="15" spans="1:58" x14ac:dyDescent="0.25">
      <c r="A15" s="12" t="s">
        <v>71</v>
      </c>
      <c r="B15" s="13">
        <f ca="1">VLOOKUP($B15,'[7]Analisys QBR By Machine Report'!$C$109:$BD$166,2,FALSE)</f>
        <v>33120</v>
      </c>
      <c r="C15" s="14">
        <f ca="1">VLOOKUP($B15,[7]Dasboard_QBR_Report!$B$109:$BL$166,3,FALSE)</f>
        <v>11040</v>
      </c>
      <c r="D15" s="13">
        <f ca="1">VLOOKUP($B15,'[7]Analisys QBR By Machine Report'!$C$109:$BD$166,3,FALSE)</f>
        <v>26220</v>
      </c>
      <c r="E15" s="14">
        <f ca="1">VLOOKUP($B15,[7]Dasboard_QBR_Report!$B$109:$BL$166,5,FALSE)</f>
        <v>4140</v>
      </c>
      <c r="F15" s="13">
        <f t="shared" ca="1" si="0"/>
        <v>6900</v>
      </c>
      <c r="G15" s="13">
        <f t="shared" ca="1" si="1"/>
        <v>0</v>
      </c>
      <c r="H15" s="13">
        <f ca="1">VLOOKUP($B15,'[7]Analisys QBR By Machine Report'!$C$109:$BD$166,4,FALSE)</f>
        <v>0</v>
      </c>
      <c r="I15" s="13">
        <f ca="1">VLOOKUP($B15,'[7]Analisys QBR By Machine Report'!$C$109:$BD$166,5,FALSE)</f>
        <v>0</v>
      </c>
      <c r="J15" s="13">
        <f ca="1">VLOOKUP($B15,'[7]Analisys QBR By Machine Report'!$C$109:$BD$166,6,FALSE)</f>
        <v>0</v>
      </c>
      <c r="K15" s="13">
        <f ca="1">VLOOKUP($B15,'[7]Analisys QBR By Machine Report'!$C$109:$BD$166,7,FALSE)</f>
        <v>0</v>
      </c>
      <c r="L15" s="13">
        <f ca="1">VLOOKUP($B15,'[7]Analisys QBR By Machine Report'!$C$109:$BD$166,8,FALSE)</f>
        <v>6900</v>
      </c>
      <c r="M15" s="13">
        <f ca="1">VLOOKUP($B15,'[7]Analisys QBR By Machine Report'!$C$109:$BD$166,9,FALSE)</f>
        <v>3330</v>
      </c>
      <c r="N15" s="13">
        <f ca="1">VLOOKUP($B15,[7]Dasboard_QBR_Report!$B$109:$BL$166,18,FALSE)</f>
        <v>3570</v>
      </c>
      <c r="O15" s="13">
        <f ca="1">VLOOKUP($B15,'[7]Analisys QBR By Machine Report'!$C$109:$BD$166,10,FALSE)</f>
        <v>110</v>
      </c>
      <c r="P15" s="13">
        <f ca="1">VLOOKUP($B15,'[7]Analisys QBR By Machine Report'!$C$109:$BD$166,11,FALSE)</f>
        <v>90</v>
      </c>
      <c r="Q15" s="13">
        <f ca="1">VLOOKUP($B15,'[7]Analisys QBR By Machine Report'!$C$109:$BD$166,12,FALSE)</f>
        <v>0</v>
      </c>
      <c r="R15" s="13">
        <f ca="1">VLOOKUP($B15,'[7]Analisys QBR By Machine Report'!$C$109:$BD$166,13,FALSE)</f>
        <v>20</v>
      </c>
      <c r="S15" s="13">
        <f ca="1">VLOOKUP($B15,'[7]Analisys QBR By Machine Report'!$C$109:$BD$166,14,FALSE)</f>
        <v>0</v>
      </c>
      <c r="T15" s="13">
        <f ca="1">VLOOKUP($B15,'[7]Analisys QBR By Machine Report'!$C$109:$BD$166,15,FALSE)</f>
        <v>270</v>
      </c>
      <c r="U15" s="13">
        <f ca="1">VLOOKUP($B15,'[7]Analisys QBR By Machine Report'!$C$109:$BD$166,16,FALSE)</f>
        <v>110</v>
      </c>
      <c r="V15" s="13">
        <f ca="1">VLOOKUP($B15,'[7]Analisys QBR By Machine Report'!$C$109:$BD$166,17,FALSE)</f>
        <v>0</v>
      </c>
      <c r="W15" s="13">
        <f ca="1">VLOOKUP($B15,'[7]Analisys QBR By Machine Report'!$C$109:$BD$166,18,FALSE)</f>
        <v>0</v>
      </c>
      <c r="X15" s="13">
        <f ca="1">VLOOKUP($B15,'[7]Analisys QBR By Machine Report'!$C$109:$BD$166,19,FALSE)</f>
        <v>160</v>
      </c>
      <c r="Y15" s="13">
        <f ca="1">VLOOKUP($B15,'[7]Analisys QBR By Machine Report'!$C$109:$BD$166,20,FALSE)</f>
        <v>0</v>
      </c>
      <c r="Z15" s="13">
        <f ca="1">VLOOKUP($B15,'[7]Analisys QBR By Machine Report'!$C$109:$BD$166,21,FALSE)</f>
        <v>2080</v>
      </c>
      <c r="AA15" s="13">
        <f ca="1">VLOOKUP($B15,'[7]Analisys QBR By Machine Report'!$C$109:$BD$166,22,FALSE)</f>
        <v>630</v>
      </c>
      <c r="AB15" s="13">
        <f ca="1">VLOOKUP($B15,'[7]Analisys QBR By Machine Report'!$C$109:$BD$166,23,FALSE)</f>
        <v>1230</v>
      </c>
      <c r="AC15" s="13">
        <f ca="1">VLOOKUP($B15,'[7]Analisys QBR By Machine Report'!$C$109:$BD$166,24,FALSE)</f>
        <v>0</v>
      </c>
      <c r="AD15" s="13">
        <f ca="1">VLOOKUP($B15,'[7]Analisys QBR By Machine Report'!$C$109:$BD$166,25,FALSE)</f>
        <v>0</v>
      </c>
      <c r="AE15" s="13">
        <f ca="1">VLOOKUP($B15,'[7]Analisys QBR By Machine Report'!$C$109:$BD$166,26,FALSE)</f>
        <v>220</v>
      </c>
      <c r="AF15" s="13">
        <f ca="1">VLOOKUP($B15,'[7]Analisys QBR By Machine Report'!$C$109:$BD$166,27,FALSE)</f>
        <v>0</v>
      </c>
      <c r="AG15" s="13">
        <f ca="1">VLOOKUP($B15,'[7]Analisys QBR By Machine Report'!$C$109:$BD$166,28,FALSE)</f>
        <v>0</v>
      </c>
      <c r="AH15" s="13">
        <f ca="1">VLOOKUP($B15,'[7]Analisys QBR By Machine Report'!$C$109:$BD$166,29,FALSE)</f>
        <v>0</v>
      </c>
      <c r="AI15" s="13">
        <f ca="1">VLOOKUP($B15,'[7]Analisys QBR By Machine Report'!$C$109:$BD$166,30,FALSE)</f>
        <v>1110</v>
      </c>
      <c r="AJ15" s="13">
        <f ca="1">VLOOKUP($B15,'[7]Analisys QBR By Machine Report'!$C$109:$BD$166,31,FALSE)</f>
        <v>0</v>
      </c>
      <c r="AK15" s="13">
        <f ca="1">VLOOKUP($B15,'[7]Analisys QBR By Machine Report'!$C$109:$BD$166,32,FALSE)</f>
        <v>0</v>
      </c>
      <c r="AL15" s="13">
        <f ca="1">VLOOKUP($B15,'[7]Analisys QBR By Machine Report'!$C$109:$BD$166,33,FALSE)</f>
        <v>330</v>
      </c>
      <c r="AM15" s="13">
        <f ca="1">VLOOKUP($B15,'[7]Analisys QBR By Machine Report'!$C$109:$BD$166,34,FALSE)</f>
        <v>0</v>
      </c>
      <c r="AN15" s="13">
        <f ca="1">VLOOKUP($B15,'[7]Analisys QBR By Machine Report'!$C$109:$BD$166,35,FALSE)</f>
        <v>335</v>
      </c>
      <c r="AO15" s="13">
        <f ca="1">VLOOKUP($B15,'[7]Analisys QBR By Machine Report'!$C$109:$BD$166,36,FALSE)</f>
        <v>0</v>
      </c>
      <c r="AP15" s="13">
        <f ca="1">VLOOKUP($B15,'[7]Analisys QBR By Machine Report'!$C$109:$BD$166,37,FALSE)</f>
        <v>0</v>
      </c>
      <c r="AQ15" s="13">
        <f ca="1">VLOOKUP($B15,'[7]Analisys QBR By Machine Report'!$C$109:$BD$166,38,FALSE)</f>
        <v>0</v>
      </c>
      <c r="AR15" s="13">
        <f ca="1">VLOOKUP($B15,'[7]Analisys QBR By Machine Report'!$C$109:$BD$166,39,FALSE)</f>
        <v>245</v>
      </c>
      <c r="AS15" s="13">
        <f ca="1">VLOOKUP($B15,'[7]Analisys QBR By Machine Report'!$C$109:$BD$166,40,FALSE)</f>
        <v>115</v>
      </c>
      <c r="AT15" s="13">
        <f ca="1">VLOOKUP($B15,'[7]Analisys QBR By Machine Report'!$C$109:$BD$166,41,FALSE)</f>
        <v>0</v>
      </c>
      <c r="AU15" s="13">
        <f ca="1">VLOOKUP($B15,'[7]Analisys QBR By Machine Report'!$C$109:$BD$166,42,FALSE)</f>
        <v>0</v>
      </c>
      <c r="AV15" s="13">
        <f ca="1">VLOOKUP($B15,'[7]Analisys QBR By Machine Report'!$C$109:$BD$166,43,FALSE)</f>
        <v>0</v>
      </c>
      <c r="AW15" s="13">
        <f ca="1">VLOOKUP($B15,'[7]Analisys QBR By Machine Report'!$C$109:$BD$166,44,FALSE)</f>
        <v>0</v>
      </c>
      <c r="AX15" s="13">
        <f ca="1">VLOOKUP($B15,'[7]Analisys QBR By Machine Report'!$C$109:$BD$166,45,FALSE)</f>
        <v>0</v>
      </c>
      <c r="AY15" s="13">
        <f ca="1">VLOOKUP($B15,'[7]Analisys QBR By Machine Report'!$C$109:$BD$166,46,FALSE)</f>
        <v>0</v>
      </c>
      <c r="AZ15" s="13">
        <f ca="1">VLOOKUP($B15,'[7]Analisys QBR By Machine Report'!$C$109:$BD$166,47,FALSE)</f>
        <v>85</v>
      </c>
      <c r="BA15" s="13">
        <f ca="1">VLOOKUP($B15,'[7]Analisys QBR By Machine Report'!$C$109:$BD$166,48,FALSE)</f>
        <v>0</v>
      </c>
      <c r="BB15" s="13">
        <f ca="1">VLOOKUP($B15,'[7]Analisys QBR By Machine Report'!$C$109:$BD$166,49,FALSE)</f>
        <v>0</v>
      </c>
      <c r="BC15" s="13">
        <f ca="1">VLOOKUP($B15,'[7]Analisys QBR By Machine Report'!$C$109:$BD$166,50,FALSE)</f>
        <v>0</v>
      </c>
      <c r="BD15" s="13">
        <f ca="1">VLOOKUP($B15,'[7]Analisys QBR By Machine Report'!$C$109:$BD$166,51,FALSE)</f>
        <v>2209.56</v>
      </c>
      <c r="BE15" s="13">
        <f ca="1">VLOOKUP($B15,'[7]Analisys QBR By Machine Report'!$C$109:$BD$166,52,FALSE)</f>
        <v>0.75</v>
      </c>
      <c r="BF15" s="13">
        <f ca="1">VLOOKUP($B15,'[7]Analisys QBR By Machine Report'!$C$109:$BD$166,53,FALSE)</f>
        <v>2208.81</v>
      </c>
    </row>
    <row r="16" spans="1:58" x14ac:dyDescent="0.25">
      <c r="A16" s="9" t="s">
        <v>72</v>
      </c>
      <c r="B16" s="10">
        <f ca="1">VLOOKUP($B16,'[7]Analisys QBR By Machine Report'!$C$109:$BD$166,2,FALSE)</f>
        <v>165600</v>
      </c>
      <c r="C16" s="11">
        <f ca="1">VLOOKUP($B16,[7]Dasboard_QBR_Report!$B$109:$BL$166,3,FALSE)</f>
        <v>75900</v>
      </c>
      <c r="D16" s="10">
        <f ca="1">VLOOKUP($B16,'[7]Analisys QBR By Machine Report'!$C$109:$BD$166,3,FALSE)</f>
        <v>97860</v>
      </c>
      <c r="E16" s="11">
        <f ca="1">VLOOKUP($B16,[7]Dasboard_QBR_Report!$B$109:$BL$166,5,FALSE)</f>
        <v>8160</v>
      </c>
      <c r="F16" s="10">
        <f t="shared" ca="1" si="0"/>
        <v>67740</v>
      </c>
      <c r="G16" s="10">
        <f t="shared" ca="1" si="1"/>
        <v>3710</v>
      </c>
      <c r="H16" s="10">
        <f ca="1">VLOOKUP($B16,'[7]Analisys QBR By Machine Report'!$C$109:$BD$166,4,FALSE)</f>
        <v>3710</v>
      </c>
      <c r="I16" s="10">
        <f ca="1">VLOOKUP($B16,'[7]Analisys QBR By Machine Report'!$C$109:$BD$166,5,FALSE)</f>
        <v>30</v>
      </c>
      <c r="J16" s="10">
        <f ca="1">VLOOKUP($B16,'[7]Analisys QBR By Machine Report'!$C$109:$BD$166,6,FALSE)</f>
        <v>3680</v>
      </c>
      <c r="K16" s="10">
        <f ca="1">VLOOKUP($B16,'[7]Analisys QBR By Machine Report'!$C$109:$BD$166,7,FALSE)</f>
        <v>0</v>
      </c>
      <c r="L16" s="10">
        <f ca="1">VLOOKUP($B16,'[7]Analisys QBR By Machine Report'!$C$109:$BD$166,8,FALSE)</f>
        <v>64030</v>
      </c>
      <c r="M16" s="10">
        <f ca="1">VLOOKUP($B16,'[7]Analisys QBR By Machine Report'!$C$109:$BD$166,9,FALSE)</f>
        <v>24298</v>
      </c>
      <c r="N16" s="10">
        <f ca="1">VLOOKUP($B16,[7]Dasboard_QBR_Report!$B$109:$BL$166,18,FALSE)</f>
        <v>39732</v>
      </c>
      <c r="O16" s="10">
        <f ca="1">VLOOKUP($B16,'[7]Analisys QBR By Machine Report'!$C$109:$BD$166,10,FALSE)</f>
        <v>7760</v>
      </c>
      <c r="P16" s="10">
        <f ca="1">VLOOKUP($B16,'[7]Analisys QBR By Machine Report'!$C$109:$BD$166,11,FALSE)</f>
        <v>4580</v>
      </c>
      <c r="Q16" s="10">
        <f ca="1">VLOOKUP($B16,'[7]Analisys QBR By Machine Report'!$C$109:$BD$166,12,FALSE)</f>
        <v>0</v>
      </c>
      <c r="R16" s="10">
        <f ca="1">VLOOKUP($B16,'[7]Analisys QBR By Machine Report'!$C$109:$BD$166,13,FALSE)</f>
        <v>3180</v>
      </c>
      <c r="S16" s="10">
        <f ca="1">VLOOKUP($B16,'[7]Analisys QBR By Machine Report'!$C$109:$BD$166,14,FALSE)</f>
        <v>0</v>
      </c>
      <c r="T16" s="10">
        <f ca="1">VLOOKUP($B16,'[7]Analisys QBR By Machine Report'!$C$109:$BD$166,15,FALSE)</f>
        <v>1010</v>
      </c>
      <c r="U16" s="10">
        <f ca="1">VLOOKUP($B16,'[7]Analisys QBR By Machine Report'!$C$109:$BD$166,16,FALSE)</f>
        <v>640</v>
      </c>
      <c r="V16" s="10">
        <f ca="1">VLOOKUP($B16,'[7]Analisys QBR By Machine Report'!$C$109:$BD$166,17,FALSE)</f>
        <v>160</v>
      </c>
      <c r="W16" s="10">
        <f ca="1">VLOOKUP($B16,'[7]Analisys QBR By Machine Report'!$C$109:$BD$166,18,FALSE)</f>
        <v>0</v>
      </c>
      <c r="X16" s="10">
        <f ca="1">VLOOKUP($B16,'[7]Analisys QBR By Machine Report'!$C$109:$BD$166,19,FALSE)</f>
        <v>25</v>
      </c>
      <c r="Y16" s="10">
        <f ca="1">VLOOKUP($B16,'[7]Analisys QBR By Machine Report'!$C$109:$BD$166,20,FALSE)</f>
        <v>185</v>
      </c>
      <c r="Z16" s="10">
        <f ca="1">VLOOKUP($B16,'[7]Analisys QBR By Machine Report'!$C$109:$BD$166,21,FALSE)</f>
        <v>14002</v>
      </c>
      <c r="AA16" s="10">
        <f ca="1">VLOOKUP($B16,'[7]Analisys QBR By Machine Report'!$C$109:$BD$166,22,FALSE)</f>
        <v>7252</v>
      </c>
      <c r="AB16" s="10">
        <f ca="1">VLOOKUP($B16,'[7]Analisys QBR By Machine Report'!$C$109:$BD$166,23,FALSE)</f>
        <v>2520</v>
      </c>
      <c r="AC16" s="10">
        <f ca="1">VLOOKUP($B16,'[7]Analisys QBR By Machine Report'!$C$109:$BD$166,24,FALSE)</f>
        <v>3300</v>
      </c>
      <c r="AD16" s="10">
        <f ca="1">VLOOKUP($B16,'[7]Analisys QBR By Machine Report'!$C$109:$BD$166,25,FALSE)</f>
        <v>0</v>
      </c>
      <c r="AE16" s="10">
        <f ca="1">VLOOKUP($B16,'[7]Analisys QBR By Machine Report'!$C$109:$BD$166,26,FALSE)</f>
        <v>930</v>
      </c>
      <c r="AF16" s="10">
        <f ca="1">VLOOKUP($B16,'[7]Analisys QBR By Machine Report'!$C$109:$BD$166,27,FALSE)</f>
        <v>4310</v>
      </c>
      <c r="AG16" s="10">
        <f ca="1">VLOOKUP($B16,'[7]Analisys QBR By Machine Report'!$C$109:$BD$166,28,FALSE)</f>
        <v>0</v>
      </c>
      <c r="AH16" s="10">
        <f ca="1">VLOOKUP($B16,'[7]Analisys QBR By Machine Report'!$C$109:$BD$166,29,FALSE)</f>
        <v>4310</v>
      </c>
      <c r="AI16" s="10">
        <f ca="1">VLOOKUP($B16,'[7]Analisys QBR By Machine Report'!$C$109:$BD$166,30,FALSE)</f>
        <v>12650</v>
      </c>
      <c r="AJ16" s="10">
        <f ca="1">VLOOKUP($B16,'[7]Analisys QBR By Machine Report'!$C$109:$BD$166,31,FALSE)</f>
        <v>160</v>
      </c>
      <c r="AK16" s="10">
        <f ca="1">VLOOKUP($B16,'[7]Analisys QBR By Machine Report'!$C$109:$BD$166,32,FALSE)</f>
        <v>0</v>
      </c>
      <c r="AL16" s="10">
        <f ca="1">VLOOKUP($B16,'[7]Analisys QBR By Machine Report'!$C$109:$BD$166,33,FALSE)</f>
        <v>3765</v>
      </c>
      <c r="AM16" s="10">
        <f ca="1">VLOOKUP($B16,'[7]Analisys QBR By Machine Report'!$C$109:$BD$166,34,FALSE)</f>
        <v>0</v>
      </c>
      <c r="AN16" s="10">
        <f ca="1">VLOOKUP($B16,'[7]Analisys QBR By Machine Report'!$C$109:$BD$166,35,FALSE)</f>
        <v>3345</v>
      </c>
      <c r="AO16" s="10">
        <f ca="1">VLOOKUP($B16,'[7]Analisys QBR By Machine Report'!$C$109:$BD$166,36,FALSE)</f>
        <v>680</v>
      </c>
      <c r="AP16" s="10">
        <f ca="1">VLOOKUP($B16,'[7]Analisys QBR By Machine Report'!$C$109:$BD$166,37,FALSE)</f>
        <v>0</v>
      </c>
      <c r="AQ16" s="10">
        <f ca="1">VLOOKUP($B16,'[7]Analisys QBR By Machine Report'!$C$109:$BD$166,38,FALSE)</f>
        <v>0</v>
      </c>
      <c r="AR16" s="10">
        <f ca="1">VLOOKUP($B16,'[7]Analisys QBR By Machine Report'!$C$109:$BD$166,39,FALSE)</f>
        <v>30</v>
      </c>
      <c r="AS16" s="10">
        <f ca="1">VLOOKUP($B16,'[7]Analisys QBR By Machine Report'!$C$109:$BD$166,40,FALSE)</f>
        <v>2405</v>
      </c>
      <c r="AT16" s="10">
        <f ca="1">VLOOKUP($B16,'[7]Analisys QBR By Machine Report'!$C$109:$BD$166,41,FALSE)</f>
        <v>0</v>
      </c>
      <c r="AU16" s="10">
        <f ca="1">VLOOKUP($B16,'[7]Analisys QBR By Machine Report'!$C$109:$BD$166,42,FALSE)</f>
        <v>0</v>
      </c>
      <c r="AV16" s="10">
        <f ca="1">VLOOKUP($B16,'[7]Analisys QBR By Machine Report'!$C$109:$BD$166,43,FALSE)</f>
        <v>0</v>
      </c>
      <c r="AW16" s="10">
        <f ca="1">VLOOKUP($B16,'[7]Analisys QBR By Machine Report'!$C$109:$BD$166,44,FALSE)</f>
        <v>0</v>
      </c>
      <c r="AX16" s="10">
        <f ca="1">VLOOKUP($B16,'[7]Analisys QBR By Machine Report'!$C$109:$BD$166,45,FALSE)</f>
        <v>0</v>
      </c>
      <c r="AY16" s="10">
        <f ca="1">VLOOKUP($B16,'[7]Analisys QBR By Machine Report'!$C$109:$BD$166,46,FALSE)</f>
        <v>0</v>
      </c>
      <c r="AZ16" s="10">
        <f ca="1">VLOOKUP($B16,'[7]Analisys QBR By Machine Report'!$C$109:$BD$166,47,FALSE)</f>
        <v>2245</v>
      </c>
      <c r="BA16" s="10">
        <f ca="1">VLOOKUP($B16,'[7]Analisys QBR By Machine Report'!$C$109:$BD$166,48,FALSE)</f>
        <v>20</v>
      </c>
      <c r="BB16" s="10">
        <f ca="1">VLOOKUP($B16,'[7]Analisys QBR By Machine Report'!$C$109:$BD$166,49,FALSE)</f>
        <v>0</v>
      </c>
      <c r="BC16" s="10">
        <f ca="1">VLOOKUP($B16,'[7]Analisys QBR By Machine Report'!$C$109:$BD$166,50,FALSE)</f>
        <v>0</v>
      </c>
      <c r="BD16" s="10">
        <f ca="1">VLOOKUP($B16,'[7]Analisys QBR By Machine Report'!$C$109:$BD$166,51,FALSE)</f>
        <v>13751242</v>
      </c>
      <c r="BE16" s="10">
        <f ca="1">VLOOKUP($B16,'[7]Analisys QBR By Machine Report'!$C$109:$BD$166,52,FALSE)</f>
        <v>71539</v>
      </c>
      <c r="BF16" s="10">
        <f ca="1">VLOOKUP($B16,'[7]Analisys QBR By Machine Report'!$C$109:$BD$166,53,FALSE)</f>
        <v>13679703</v>
      </c>
    </row>
    <row r="17" spans="1:58" x14ac:dyDescent="0.25">
      <c r="A17" s="12" t="s">
        <v>73</v>
      </c>
      <c r="B17" s="13">
        <f ca="1">VLOOKUP($B17,'[7]Analisys QBR By Machine Report'!$C$109:$BD$166,2,FALSE)</f>
        <v>33120</v>
      </c>
      <c r="C17" s="14">
        <f ca="1">VLOOKUP($B17,[7]Dasboard_QBR_Report!$B$109:$BL$166,3,FALSE)</f>
        <v>21390</v>
      </c>
      <c r="D17" s="13">
        <f ca="1">VLOOKUP($B17,'[7]Analisys QBR By Machine Report'!$C$109:$BD$166,3,FALSE)</f>
        <v>18690</v>
      </c>
      <c r="E17" s="14">
        <f ca="1">VLOOKUP($B17,[7]Dasboard_QBR_Report!$B$109:$BL$166,5,FALSE)</f>
        <v>6960</v>
      </c>
      <c r="F17" s="13">
        <f t="shared" ca="1" si="0"/>
        <v>14430</v>
      </c>
      <c r="G17" s="13">
        <f t="shared" ca="1" si="1"/>
        <v>225</v>
      </c>
      <c r="H17" s="13">
        <f ca="1">VLOOKUP($B17,'[7]Analisys QBR By Machine Report'!$C$109:$BD$166,4,FALSE)</f>
        <v>225</v>
      </c>
      <c r="I17" s="13">
        <f ca="1">VLOOKUP($B17,'[7]Analisys QBR By Machine Report'!$C$109:$BD$166,5,FALSE)</f>
        <v>0</v>
      </c>
      <c r="J17" s="13">
        <f ca="1">VLOOKUP($B17,'[7]Analisys QBR By Machine Report'!$C$109:$BD$166,6,FALSE)</f>
        <v>225</v>
      </c>
      <c r="K17" s="13">
        <f ca="1">VLOOKUP($B17,'[7]Analisys QBR By Machine Report'!$C$109:$BD$166,7,FALSE)</f>
        <v>0</v>
      </c>
      <c r="L17" s="13">
        <f ca="1">VLOOKUP($B17,'[7]Analisys QBR By Machine Report'!$C$109:$BD$166,8,FALSE)</f>
        <v>14205</v>
      </c>
      <c r="M17" s="13">
        <f ca="1">VLOOKUP($B17,'[7]Analisys QBR By Machine Report'!$C$109:$BD$166,9,FALSE)</f>
        <v>5110</v>
      </c>
      <c r="N17" s="13">
        <f ca="1">VLOOKUP($B17,[7]Dasboard_QBR_Report!$B$109:$BL$166,18,FALSE)</f>
        <v>9095</v>
      </c>
      <c r="O17" s="13">
        <f ca="1">VLOOKUP($B17,'[7]Analisys QBR By Machine Report'!$C$109:$BD$166,10,FALSE)</f>
        <v>2110</v>
      </c>
      <c r="P17" s="13">
        <f ca="1">VLOOKUP($B17,'[7]Analisys QBR By Machine Report'!$C$109:$BD$166,11,FALSE)</f>
        <v>900</v>
      </c>
      <c r="Q17" s="13">
        <f ca="1">VLOOKUP($B17,'[7]Analisys QBR By Machine Report'!$C$109:$BD$166,12,FALSE)</f>
        <v>0</v>
      </c>
      <c r="R17" s="13">
        <f ca="1">VLOOKUP($B17,'[7]Analisys QBR By Machine Report'!$C$109:$BD$166,13,FALSE)</f>
        <v>1210</v>
      </c>
      <c r="S17" s="13">
        <f ca="1">VLOOKUP($B17,'[7]Analisys QBR By Machine Report'!$C$109:$BD$166,14,FALSE)</f>
        <v>0</v>
      </c>
      <c r="T17" s="13">
        <f ca="1">VLOOKUP($B17,'[7]Analisys QBR By Machine Report'!$C$109:$BD$166,15,FALSE)</f>
        <v>355</v>
      </c>
      <c r="U17" s="13">
        <f ca="1">VLOOKUP($B17,'[7]Analisys QBR By Machine Report'!$C$109:$BD$166,16,FALSE)</f>
        <v>330</v>
      </c>
      <c r="V17" s="13">
        <f ca="1">VLOOKUP($B17,'[7]Analisys QBR By Machine Report'!$C$109:$BD$166,17,FALSE)</f>
        <v>0</v>
      </c>
      <c r="W17" s="13">
        <f ca="1">VLOOKUP($B17,'[7]Analisys QBR By Machine Report'!$C$109:$BD$166,18,FALSE)</f>
        <v>0</v>
      </c>
      <c r="X17" s="13">
        <f ca="1">VLOOKUP($B17,'[7]Analisys QBR By Machine Report'!$C$109:$BD$166,19,FALSE)</f>
        <v>0</v>
      </c>
      <c r="Y17" s="13">
        <f ca="1">VLOOKUP($B17,'[7]Analisys QBR By Machine Report'!$C$109:$BD$166,20,FALSE)</f>
        <v>25</v>
      </c>
      <c r="Z17" s="13">
        <f ca="1">VLOOKUP($B17,'[7]Analisys QBR By Machine Report'!$C$109:$BD$166,21,FALSE)</f>
        <v>2960</v>
      </c>
      <c r="AA17" s="13">
        <f ca="1">VLOOKUP($B17,'[7]Analisys QBR By Machine Report'!$C$109:$BD$166,22,FALSE)</f>
        <v>1510</v>
      </c>
      <c r="AB17" s="13">
        <f ca="1">VLOOKUP($B17,'[7]Analisys QBR By Machine Report'!$C$109:$BD$166,23,FALSE)</f>
        <v>525</v>
      </c>
      <c r="AC17" s="13">
        <f ca="1">VLOOKUP($B17,'[7]Analisys QBR By Machine Report'!$C$109:$BD$166,24,FALSE)</f>
        <v>700</v>
      </c>
      <c r="AD17" s="13">
        <f ca="1">VLOOKUP($B17,'[7]Analisys QBR By Machine Report'!$C$109:$BD$166,25,FALSE)</f>
        <v>0</v>
      </c>
      <c r="AE17" s="13">
        <f ca="1">VLOOKUP($B17,'[7]Analisys QBR By Machine Report'!$C$109:$BD$166,26,FALSE)</f>
        <v>225</v>
      </c>
      <c r="AF17" s="13">
        <f ca="1">VLOOKUP($B17,'[7]Analisys QBR By Machine Report'!$C$109:$BD$166,27,FALSE)</f>
        <v>480</v>
      </c>
      <c r="AG17" s="13">
        <f ca="1">VLOOKUP($B17,'[7]Analisys QBR By Machine Report'!$C$109:$BD$166,28,FALSE)</f>
        <v>0</v>
      </c>
      <c r="AH17" s="13">
        <f ca="1">VLOOKUP($B17,'[7]Analisys QBR By Machine Report'!$C$109:$BD$166,29,FALSE)</f>
        <v>480</v>
      </c>
      <c r="AI17" s="13">
        <f ca="1">VLOOKUP($B17,'[7]Analisys QBR By Machine Report'!$C$109:$BD$166,30,FALSE)</f>
        <v>3190</v>
      </c>
      <c r="AJ17" s="13">
        <f ca="1">VLOOKUP($B17,'[7]Analisys QBR By Machine Report'!$C$109:$BD$166,31,FALSE)</f>
        <v>160</v>
      </c>
      <c r="AK17" s="13">
        <f ca="1">VLOOKUP($B17,'[7]Analisys QBR By Machine Report'!$C$109:$BD$166,32,FALSE)</f>
        <v>0</v>
      </c>
      <c r="AL17" s="13">
        <f ca="1">VLOOKUP($B17,'[7]Analisys QBR By Machine Report'!$C$109:$BD$166,33,FALSE)</f>
        <v>840</v>
      </c>
      <c r="AM17" s="13">
        <f ca="1">VLOOKUP($B17,'[7]Analisys QBR By Machine Report'!$C$109:$BD$166,34,FALSE)</f>
        <v>0</v>
      </c>
      <c r="AN17" s="13">
        <f ca="1">VLOOKUP($B17,'[7]Analisys QBR By Machine Report'!$C$109:$BD$166,35,FALSE)</f>
        <v>725</v>
      </c>
      <c r="AO17" s="13">
        <f ca="1">VLOOKUP($B17,'[7]Analisys QBR By Machine Report'!$C$109:$BD$166,36,FALSE)</f>
        <v>270</v>
      </c>
      <c r="AP17" s="13">
        <f ca="1">VLOOKUP($B17,'[7]Analisys QBR By Machine Report'!$C$109:$BD$166,37,FALSE)</f>
        <v>0</v>
      </c>
      <c r="AQ17" s="13">
        <f ca="1">VLOOKUP($B17,'[7]Analisys QBR By Machine Report'!$C$109:$BD$166,38,FALSE)</f>
        <v>0</v>
      </c>
      <c r="AR17" s="13">
        <f ca="1">VLOOKUP($B17,'[7]Analisys QBR By Machine Report'!$C$109:$BD$166,39,FALSE)</f>
        <v>0</v>
      </c>
      <c r="AS17" s="13">
        <f ca="1">VLOOKUP($B17,'[7]Analisys QBR By Machine Report'!$C$109:$BD$166,40,FALSE)</f>
        <v>695</v>
      </c>
      <c r="AT17" s="13">
        <f ca="1">VLOOKUP($B17,'[7]Analisys QBR By Machine Report'!$C$109:$BD$166,41,FALSE)</f>
        <v>0</v>
      </c>
      <c r="AU17" s="13">
        <f ca="1">VLOOKUP($B17,'[7]Analisys QBR By Machine Report'!$C$109:$BD$166,42,FALSE)</f>
        <v>0</v>
      </c>
      <c r="AV17" s="13">
        <f ca="1">VLOOKUP($B17,'[7]Analisys QBR By Machine Report'!$C$109:$BD$166,43,FALSE)</f>
        <v>0</v>
      </c>
      <c r="AW17" s="13">
        <f ca="1">VLOOKUP($B17,'[7]Analisys QBR By Machine Report'!$C$109:$BD$166,44,FALSE)</f>
        <v>0</v>
      </c>
      <c r="AX17" s="13">
        <f ca="1">VLOOKUP($B17,'[7]Analisys QBR By Machine Report'!$C$109:$BD$166,45,FALSE)</f>
        <v>0</v>
      </c>
      <c r="AY17" s="13">
        <f ca="1">VLOOKUP($B17,'[7]Analisys QBR By Machine Report'!$C$109:$BD$166,46,FALSE)</f>
        <v>0</v>
      </c>
      <c r="AZ17" s="13">
        <f ca="1">VLOOKUP($B17,'[7]Analisys QBR By Machine Report'!$C$109:$BD$166,47,FALSE)</f>
        <v>480</v>
      </c>
      <c r="BA17" s="13">
        <f ca="1">VLOOKUP($B17,'[7]Analisys QBR By Machine Report'!$C$109:$BD$166,48,FALSE)</f>
        <v>20</v>
      </c>
      <c r="BB17" s="13">
        <f ca="1">VLOOKUP($B17,'[7]Analisys QBR By Machine Report'!$C$109:$BD$166,49,FALSE)</f>
        <v>0</v>
      </c>
      <c r="BC17" s="13">
        <f ca="1">VLOOKUP($B17,'[7]Analisys QBR By Machine Report'!$C$109:$BD$166,50,FALSE)</f>
        <v>0</v>
      </c>
      <c r="BD17" s="13">
        <f ca="1">VLOOKUP($B17,'[7]Analisys QBR By Machine Report'!$C$109:$BD$166,51,FALSE)</f>
        <v>2877382</v>
      </c>
      <c r="BE17" s="13">
        <f ca="1">VLOOKUP($B17,'[7]Analisys QBR By Machine Report'!$C$109:$BD$166,52,FALSE)</f>
        <v>13202</v>
      </c>
      <c r="BF17" s="13">
        <f ca="1">VLOOKUP($B17,'[7]Analisys QBR By Machine Report'!$C$109:$BD$166,53,FALSE)</f>
        <v>2864180</v>
      </c>
    </row>
    <row r="18" spans="1:58" x14ac:dyDescent="0.25">
      <c r="A18" s="12" t="s">
        <v>74</v>
      </c>
      <c r="B18" s="13">
        <f ca="1">VLOOKUP($B18,'[7]Analisys QBR By Machine Report'!$C$109:$BD$166,2,FALSE)</f>
        <v>33120</v>
      </c>
      <c r="C18" s="14">
        <f ca="1">VLOOKUP($B18,[7]Dasboard_QBR_Report!$B$109:$BL$166,3,FALSE)</f>
        <v>21390</v>
      </c>
      <c r="D18" s="13">
        <f ca="1">VLOOKUP($B18,'[7]Analisys QBR By Machine Report'!$C$109:$BD$166,3,FALSE)</f>
        <v>14310</v>
      </c>
      <c r="E18" s="14">
        <f ca="1">VLOOKUP($B18,[7]Dasboard_QBR_Report!$B$109:$BL$166,5,FALSE)</f>
        <v>2580</v>
      </c>
      <c r="F18" s="13">
        <f t="shared" ca="1" si="0"/>
        <v>18810</v>
      </c>
      <c r="G18" s="13">
        <f t="shared" ca="1" si="1"/>
        <v>0</v>
      </c>
      <c r="H18" s="13">
        <f ca="1">VLOOKUP($B18,'[7]Analisys QBR By Machine Report'!$C$109:$BD$166,4,FALSE)</f>
        <v>0</v>
      </c>
      <c r="I18" s="13">
        <f ca="1">VLOOKUP($B18,'[7]Analisys QBR By Machine Report'!$C$109:$BD$166,5,FALSE)</f>
        <v>0</v>
      </c>
      <c r="J18" s="13">
        <f ca="1">VLOOKUP($B18,'[7]Analisys QBR By Machine Report'!$C$109:$BD$166,6,FALSE)</f>
        <v>0</v>
      </c>
      <c r="K18" s="13">
        <f ca="1">VLOOKUP($B18,'[7]Analisys QBR By Machine Report'!$C$109:$BD$166,7,FALSE)</f>
        <v>0</v>
      </c>
      <c r="L18" s="13">
        <f ca="1">VLOOKUP($B18,'[7]Analisys QBR By Machine Report'!$C$109:$BD$166,8,FALSE)</f>
        <v>18810</v>
      </c>
      <c r="M18" s="13">
        <f ca="1">VLOOKUP($B18,'[7]Analisys QBR By Machine Report'!$C$109:$BD$166,9,FALSE)</f>
        <v>7083</v>
      </c>
      <c r="N18" s="13">
        <f ca="1">VLOOKUP($B18,[7]Dasboard_QBR_Report!$B$109:$BL$166,18,FALSE)</f>
        <v>11727</v>
      </c>
      <c r="O18" s="13">
        <f ca="1">VLOOKUP($B18,'[7]Analisys QBR By Machine Report'!$C$109:$BD$166,10,FALSE)</f>
        <v>2145</v>
      </c>
      <c r="P18" s="13">
        <f ca="1">VLOOKUP($B18,'[7]Analisys QBR By Machine Report'!$C$109:$BD$166,11,FALSE)</f>
        <v>1195</v>
      </c>
      <c r="Q18" s="13">
        <f ca="1">VLOOKUP($B18,'[7]Analisys QBR By Machine Report'!$C$109:$BD$166,12,FALSE)</f>
        <v>0</v>
      </c>
      <c r="R18" s="13">
        <f ca="1">VLOOKUP($B18,'[7]Analisys QBR By Machine Report'!$C$109:$BD$166,13,FALSE)</f>
        <v>950</v>
      </c>
      <c r="S18" s="13">
        <f ca="1">VLOOKUP($B18,'[7]Analisys QBR By Machine Report'!$C$109:$BD$166,14,FALSE)</f>
        <v>0</v>
      </c>
      <c r="T18" s="13">
        <f ca="1">VLOOKUP($B18,'[7]Analisys QBR By Machine Report'!$C$109:$BD$166,15,FALSE)</f>
        <v>330</v>
      </c>
      <c r="U18" s="13">
        <f ca="1">VLOOKUP($B18,'[7]Analisys QBR By Machine Report'!$C$109:$BD$166,16,FALSE)</f>
        <v>175</v>
      </c>
      <c r="V18" s="13">
        <f ca="1">VLOOKUP($B18,'[7]Analisys QBR By Machine Report'!$C$109:$BD$166,17,FALSE)</f>
        <v>120</v>
      </c>
      <c r="W18" s="13">
        <f ca="1">VLOOKUP($B18,'[7]Analisys QBR By Machine Report'!$C$109:$BD$166,18,FALSE)</f>
        <v>0</v>
      </c>
      <c r="X18" s="13">
        <f ca="1">VLOOKUP($B18,'[7]Analisys QBR By Machine Report'!$C$109:$BD$166,19,FALSE)</f>
        <v>0</v>
      </c>
      <c r="Y18" s="13">
        <f ca="1">VLOOKUP($B18,'[7]Analisys QBR By Machine Report'!$C$109:$BD$166,20,FALSE)</f>
        <v>35</v>
      </c>
      <c r="Z18" s="13">
        <f ca="1">VLOOKUP($B18,'[7]Analisys QBR By Machine Report'!$C$109:$BD$166,21,FALSE)</f>
        <v>4287</v>
      </c>
      <c r="AA18" s="13">
        <f ca="1">VLOOKUP($B18,'[7]Analisys QBR By Machine Report'!$C$109:$BD$166,22,FALSE)</f>
        <v>2222</v>
      </c>
      <c r="AB18" s="13">
        <f ca="1">VLOOKUP($B18,'[7]Analisys QBR By Machine Report'!$C$109:$BD$166,23,FALSE)</f>
        <v>790</v>
      </c>
      <c r="AC18" s="13">
        <f ca="1">VLOOKUP($B18,'[7]Analisys QBR By Machine Report'!$C$109:$BD$166,24,FALSE)</f>
        <v>955</v>
      </c>
      <c r="AD18" s="13">
        <f ca="1">VLOOKUP($B18,'[7]Analisys QBR By Machine Report'!$C$109:$BD$166,25,FALSE)</f>
        <v>0</v>
      </c>
      <c r="AE18" s="13">
        <f ca="1">VLOOKUP($B18,'[7]Analisys QBR By Machine Report'!$C$109:$BD$166,26,FALSE)</f>
        <v>320</v>
      </c>
      <c r="AF18" s="13">
        <f ca="1">VLOOKUP($B18,'[7]Analisys QBR By Machine Report'!$C$109:$BD$166,27,FALSE)</f>
        <v>1430</v>
      </c>
      <c r="AG18" s="13">
        <f ca="1">VLOOKUP($B18,'[7]Analisys QBR By Machine Report'!$C$109:$BD$166,28,FALSE)</f>
        <v>0</v>
      </c>
      <c r="AH18" s="13">
        <f ca="1">VLOOKUP($B18,'[7]Analisys QBR By Machine Report'!$C$109:$BD$166,29,FALSE)</f>
        <v>1430</v>
      </c>
      <c r="AI18" s="13">
        <f ca="1">VLOOKUP($B18,'[7]Analisys QBR By Machine Report'!$C$109:$BD$166,30,FALSE)</f>
        <v>3535</v>
      </c>
      <c r="AJ18" s="13">
        <f ca="1">VLOOKUP($B18,'[7]Analisys QBR By Machine Report'!$C$109:$BD$166,31,FALSE)</f>
        <v>0</v>
      </c>
      <c r="AK18" s="13">
        <f ca="1">VLOOKUP($B18,'[7]Analisys QBR By Machine Report'!$C$109:$BD$166,32,FALSE)</f>
        <v>0</v>
      </c>
      <c r="AL18" s="13">
        <f ca="1">VLOOKUP($B18,'[7]Analisys QBR By Machine Report'!$C$109:$BD$166,33,FALSE)</f>
        <v>1110</v>
      </c>
      <c r="AM18" s="13">
        <f ca="1">VLOOKUP($B18,'[7]Analisys QBR By Machine Report'!$C$109:$BD$166,34,FALSE)</f>
        <v>0</v>
      </c>
      <c r="AN18" s="13">
        <f ca="1">VLOOKUP($B18,'[7]Analisys QBR By Machine Report'!$C$109:$BD$166,35,FALSE)</f>
        <v>1025</v>
      </c>
      <c r="AO18" s="13">
        <f ca="1">VLOOKUP($B18,'[7]Analisys QBR By Machine Report'!$C$109:$BD$166,36,FALSE)</f>
        <v>125</v>
      </c>
      <c r="AP18" s="13">
        <f ca="1">VLOOKUP($B18,'[7]Analisys QBR By Machine Report'!$C$109:$BD$166,37,FALSE)</f>
        <v>0</v>
      </c>
      <c r="AQ18" s="13">
        <f ca="1">VLOOKUP($B18,'[7]Analisys QBR By Machine Report'!$C$109:$BD$166,38,FALSE)</f>
        <v>0</v>
      </c>
      <c r="AR18" s="13">
        <f ca="1">VLOOKUP($B18,'[7]Analisys QBR By Machine Report'!$C$109:$BD$166,39,FALSE)</f>
        <v>0</v>
      </c>
      <c r="AS18" s="13">
        <f ca="1">VLOOKUP($B18,'[7]Analisys QBR By Machine Report'!$C$109:$BD$166,40,FALSE)</f>
        <v>470</v>
      </c>
      <c r="AT18" s="13">
        <f ca="1">VLOOKUP($B18,'[7]Analisys QBR By Machine Report'!$C$109:$BD$166,41,FALSE)</f>
        <v>0</v>
      </c>
      <c r="AU18" s="13">
        <f ca="1">VLOOKUP($B18,'[7]Analisys QBR By Machine Report'!$C$109:$BD$166,42,FALSE)</f>
        <v>0</v>
      </c>
      <c r="AV18" s="13">
        <f ca="1">VLOOKUP($B18,'[7]Analisys QBR By Machine Report'!$C$109:$BD$166,43,FALSE)</f>
        <v>0</v>
      </c>
      <c r="AW18" s="13">
        <f ca="1">VLOOKUP($B18,'[7]Analisys QBR By Machine Report'!$C$109:$BD$166,44,FALSE)</f>
        <v>0</v>
      </c>
      <c r="AX18" s="13">
        <f ca="1">VLOOKUP($B18,'[7]Analisys QBR By Machine Report'!$C$109:$BD$166,45,FALSE)</f>
        <v>0</v>
      </c>
      <c r="AY18" s="13">
        <f ca="1">VLOOKUP($B18,'[7]Analisys QBR By Machine Report'!$C$109:$BD$166,46,FALSE)</f>
        <v>0</v>
      </c>
      <c r="AZ18" s="13">
        <f ca="1">VLOOKUP($B18,'[7]Analisys QBR By Machine Report'!$C$109:$BD$166,47,FALSE)</f>
        <v>805</v>
      </c>
      <c r="BA18" s="13">
        <f ca="1">VLOOKUP($B18,'[7]Analisys QBR By Machine Report'!$C$109:$BD$166,48,FALSE)</f>
        <v>0</v>
      </c>
      <c r="BB18" s="13">
        <f ca="1">VLOOKUP($B18,'[7]Analisys QBR By Machine Report'!$C$109:$BD$166,49,FALSE)</f>
        <v>0</v>
      </c>
      <c r="BC18" s="13">
        <f ca="1">VLOOKUP($B18,'[7]Analisys QBR By Machine Report'!$C$109:$BD$166,50,FALSE)</f>
        <v>0</v>
      </c>
      <c r="BD18" s="13">
        <f ca="1">VLOOKUP($B18,'[7]Analisys QBR By Machine Report'!$C$109:$BD$166,51,FALSE)</f>
        <v>8128314</v>
      </c>
      <c r="BE18" s="13">
        <f ca="1">VLOOKUP($B18,'[7]Analisys QBR By Machine Report'!$C$109:$BD$166,52,FALSE)</f>
        <v>36834</v>
      </c>
      <c r="BF18" s="13">
        <f ca="1">VLOOKUP($B18,'[7]Analisys QBR By Machine Report'!$C$109:$BD$166,53,FALSE)</f>
        <v>8091480</v>
      </c>
    </row>
    <row r="19" spans="1:58" x14ac:dyDescent="0.25">
      <c r="A19" s="12" t="s">
        <v>75</v>
      </c>
      <c r="B19" s="13">
        <f ca="1">VLOOKUP($B19,'[7]Analisys QBR By Machine Report'!$C$109:$BD$166,2,FALSE)</f>
        <v>33120</v>
      </c>
      <c r="C19" s="14">
        <f ca="1">VLOOKUP($B19,[7]Dasboard_QBR_Report!$B$109:$BL$166,3,FALSE)</f>
        <v>11040</v>
      </c>
      <c r="D19" s="13">
        <f ca="1">VLOOKUP($B19,'[7]Analisys QBR By Machine Report'!$C$109:$BD$166,3,FALSE)</f>
        <v>21510</v>
      </c>
      <c r="E19" s="14">
        <f ca="1">VLOOKUP($B19,[7]Dasboard_QBR_Report!$B$109:$BL$166,5,FALSE)</f>
        <v>-570</v>
      </c>
      <c r="F19" s="13">
        <f t="shared" ca="1" si="0"/>
        <v>11610</v>
      </c>
      <c r="G19" s="13">
        <f t="shared" ca="1" si="1"/>
        <v>1375</v>
      </c>
      <c r="H19" s="13">
        <f ca="1">VLOOKUP($B19,'[7]Analisys QBR By Machine Report'!$C$109:$BD$166,4,FALSE)</f>
        <v>1375</v>
      </c>
      <c r="I19" s="13">
        <f ca="1">VLOOKUP($B19,'[7]Analisys QBR By Machine Report'!$C$109:$BD$166,5,FALSE)</f>
        <v>0</v>
      </c>
      <c r="J19" s="13">
        <f ca="1">VLOOKUP($B19,'[7]Analisys QBR By Machine Report'!$C$109:$BD$166,6,FALSE)</f>
        <v>1375</v>
      </c>
      <c r="K19" s="13">
        <f ca="1">VLOOKUP($B19,'[7]Analisys QBR By Machine Report'!$C$109:$BD$166,7,FALSE)</f>
        <v>0</v>
      </c>
      <c r="L19" s="13">
        <f ca="1">VLOOKUP($B19,'[7]Analisys QBR By Machine Report'!$C$109:$BD$166,8,FALSE)</f>
        <v>10235</v>
      </c>
      <c r="M19" s="13">
        <f ca="1">VLOOKUP($B19,'[7]Analisys QBR By Machine Report'!$C$109:$BD$166,9,FALSE)</f>
        <v>3305</v>
      </c>
      <c r="N19" s="13">
        <f ca="1">VLOOKUP($B19,[7]Dasboard_QBR_Report!$B$109:$BL$166,18,FALSE)</f>
        <v>6930</v>
      </c>
      <c r="O19" s="13">
        <f ca="1">VLOOKUP($B19,'[7]Analisys QBR By Machine Report'!$C$109:$BD$166,10,FALSE)</f>
        <v>1895</v>
      </c>
      <c r="P19" s="13">
        <f ca="1">VLOOKUP($B19,'[7]Analisys QBR By Machine Report'!$C$109:$BD$166,11,FALSE)</f>
        <v>1330</v>
      </c>
      <c r="Q19" s="13">
        <f ca="1">VLOOKUP($B19,'[7]Analisys QBR By Machine Report'!$C$109:$BD$166,12,FALSE)</f>
        <v>0</v>
      </c>
      <c r="R19" s="13">
        <f ca="1">VLOOKUP($B19,'[7]Analisys QBR By Machine Report'!$C$109:$BD$166,13,FALSE)</f>
        <v>565</v>
      </c>
      <c r="S19" s="13">
        <f ca="1">VLOOKUP($B19,'[7]Analisys QBR By Machine Report'!$C$109:$BD$166,14,FALSE)</f>
        <v>0</v>
      </c>
      <c r="T19" s="13">
        <f ca="1">VLOOKUP($B19,'[7]Analisys QBR By Machine Report'!$C$109:$BD$166,15,FALSE)</f>
        <v>125</v>
      </c>
      <c r="U19" s="13">
        <f ca="1">VLOOKUP($B19,'[7]Analisys QBR By Machine Report'!$C$109:$BD$166,16,FALSE)</f>
        <v>15</v>
      </c>
      <c r="V19" s="13">
        <f ca="1">VLOOKUP($B19,'[7]Analisys QBR By Machine Report'!$C$109:$BD$166,17,FALSE)</f>
        <v>15</v>
      </c>
      <c r="W19" s="13">
        <f ca="1">VLOOKUP($B19,'[7]Analisys QBR By Machine Report'!$C$109:$BD$166,18,FALSE)</f>
        <v>0</v>
      </c>
      <c r="X19" s="13">
        <f ca="1">VLOOKUP($B19,'[7]Analisys QBR By Machine Report'!$C$109:$BD$166,19,FALSE)</f>
        <v>0</v>
      </c>
      <c r="Y19" s="13">
        <f ca="1">VLOOKUP($B19,'[7]Analisys QBR By Machine Report'!$C$109:$BD$166,20,FALSE)</f>
        <v>95</v>
      </c>
      <c r="Z19" s="13">
        <f ca="1">VLOOKUP($B19,'[7]Analisys QBR By Machine Report'!$C$109:$BD$166,21,FALSE)</f>
        <v>2245</v>
      </c>
      <c r="AA19" s="13">
        <f ca="1">VLOOKUP($B19,'[7]Analisys QBR By Machine Report'!$C$109:$BD$166,22,FALSE)</f>
        <v>1160</v>
      </c>
      <c r="AB19" s="13">
        <f ca="1">VLOOKUP($B19,'[7]Analisys QBR By Machine Report'!$C$109:$BD$166,23,FALSE)</f>
        <v>355</v>
      </c>
      <c r="AC19" s="13">
        <f ca="1">VLOOKUP($B19,'[7]Analisys QBR By Machine Report'!$C$109:$BD$166,24,FALSE)</f>
        <v>620</v>
      </c>
      <c r="AD19" s="13">
        <f ca="1">VLOOKUP($B19,'[7]Analisys QBR By Machine Report'!$C$109:$BD$166,25,FALSE)</f>
        <v>0</v>
      </c>
      <c r="AE19" s="13">
        <f ca="1">VLOOKUP($B19,'[7]Analisys QBR By Machine Report'!$C$109:$BD$166,26,FALSE)</f>
        <v>110</v>
      </c>
      <c r="AF19" s="13">
        <f ca="1">VLOOKUP($B19,'[7]Analisys QBR By Machine Report'!$C$109:$BD$166,27,FALSE)</f>
        <v>480</v>
      </c>
      <c r="AG19" s="13">
        <f ca="1">VLOOKUP($B19,'[7]Analisys QBR By Machine Report'!$C$109:$BD$166,28,FALSE)</f>
        <v>0</v>
      </c>
      <c r="AH19" s="13">
        <f ca="1">VLOOKUP($B19,'[7]Analisys QBR By Machine Report'!$C$109:$BD$166,29,FALSE)</f>
        <v>480</v>
      </c>
      <c r="AI19" s="13">
        <f ca="1">VLOOKUP($B19,'[7]Analisys QBR By Machine Report'!$C$109:$BD$166,30,FALSE)</f>
        <v>2185</v>
      </c>
      <c r="AJ19" s="13">
        <f ca="1">VLOOKUP($B19,'[7]Analisys QBR By Machine Report'!$C$109:$BD$166,31,FALSE)</f>
        <v>0</v>
      </c>
      <c r="AK19" s="13">
        <f ca="1">VLOOKUP($B19,'[7]Analisys QBR By Machine Report'!$C$109:$BD$166,32,FALSE)</f>
        <v>0</v>
      </c>
      <c r="AL19" s="13">
        <f ca="1">VLOOKUP($B19,'[7]Analisys QBR By Machine Report'!$C$109:$BD$166,33,FALSE)</f>
        <v>630</v>
      </c>
      <c r="AM19" s="13">
        <f ca="1">VLOOKUP($B19,'[7]Analisys QBR By Machine Report'!$C$109:$BD$166,34,FALSE)</f>
        <v>0</v>
      </c>
      <c r="AN19" s="13">
        <f ca="1">VLOOKUP($B19,'[7]Analisys QBR By Machine Report'!$C$109:$BD$166,35,FALSE)</f>
        <v>575</v>
      </c>
      <c r="AO19" s="13">
        <f ca="1">VLOOKUP($B19,'[7]Analisys QBR By Machine Report'!$C$109:$BD$166,36,FALSE)</f>
        <v>60</v>
      </c>
      <c r="AP19" s="13">
        <f ca="1">VLOOKUP($B19,'[7]Analisys QBR By Machine Report'!$C$109:$BD$166,37,FALSE)</f>
        <v>0</v>
      </c>
      <c r="AQ19" s="13">
        <f ca="1">VLOOKUP($B19,'[7]Analisys QBR By Machine Report'!$C$109:$BD$166,38,FALSE)</f>
        <v>0</v>
      </c>
      <c r="AR19" s="13">
        <f ca="1">VLOOKUP($B19,'[7]Analisys QBR By Machine Report'!$C$109:$BD$166,39,FALSE)</f>
        <v>30</v>
      </c>
      <c r="AS19" s="13">
        <f ca="1">VLOOKUP($B19,'[7]Analisys QBR By Machine Report'!$C$109:$BD$166,40,FALSE)</f>
        <v>395</v>
      </c>
      <c r="AT19" s="13">
        <f ca="1">VLOOKUP($B19,'[7]Analisys QBR By Machine Report'!$C$109:$BD$166,41,FALSE)</f>
        <v>0</v>
      </c>
      <c r="AU19" s="13">
        <f ca="1">VLOOKUP($B19,'[7]Analisys QBR By Machine Report'!$C$109:$BD$166,42,FALSE)</f>
        <v>0</v>
      </c>
      <c r="AV19" s="13">
        <f ca="1">VLOOKUP($B19,'[7]Analisys QBR By Machine Report'!$C$109:$BD$166,43,FALSE)</f>
        <v>0</v>
      </c>
      <c r="AW19" s="13">
        <f ca="1">VLOOKUP($B19,'[7]Analisys QBR By Machine Report'!$C$109:$BD$166,44,FALSE)</f>
        <v>0</v>
      </c>
      <c r="AX19" s="13">
        <f ca="1">VLOOKUP($B19,'[7]Analisys QBR By Machine Report'!$C$109:$BD$166,45,FALSE)</f>
        <v>0</v>
      </c>
      <c r="AY19" s="13">
        <f ca="1">VLOOKUP($B19,'[7]Analisys QBR By Machine Report'!$C$109:$BD$166,46,FALSE)</f>
        <v>0</v>
      </c>
      <c r="AZ19" s="13">
        <f ca="1">VLOOKUP($B19,'[7]Analisys QBR By Machine Report'!$C$109:$BD$166,47,FALSE)</f>
        <v>495</v>
      </c>
      <c r="BA19" s="13">
        <f ca="1">VLOOKUP($B19,'[7]Analisys QBR By Machine Report'!$C$109:$BD$166,48,FALSE)</f>
        <v>0</v>
      </c>
      <c r="BB19" s="13">
        <f ca="1">VLOOKUP($B19,'[7]Analisys QBR By Machine Report'!$C$109:$BD$166,49,FALSE)</f>
        <v>0</v>
      </c>
      <c r="BC19" s="13">
        <f ca="1">VLOOKUP($B19,'[7]Analisys QBR By Machine Report'!$C$109:$BD$166,50,FALSE)</f>
        <v>0</v>
      </c>
      <c r="BD19" s="13">
        <f ca="1">VLOOKUP($B19,'[7]Analisys QBR By Machine Report'!$C$109:$BD$166,51,FALSE)</f>
        <v>1639434</v>
      </c>
      <c r="BE19" s="13">
        <f ca="1">VLOOKUP($B19,'[7]Analisys QBR By Machine Report'!$C$109:$BD$166,52,FALSE)</f>
        <v>13605</v>
      </c>
      <c r="BF19" s="13">
        <f ca="1">VLOOKUP($B19,'[7]Analisys QBR By Machine Report'!$C$109:$BD$166,53,FALSE)</f>
        <v>1625829</v>
      </c>
    </row>
    <row r="20" spans="1:58" x14ac:dyDescent="0.25">
      <c r="A20" s="12" t="s">
        <v>76</v>
      </c>
      <c r="B20" s="13">
        <f ca="1">VLOOKUP($B20,'[7]Analisys QBR By Machine Report'!$C$109:$BD$166,2,FALSE)</f>
        <v>33120</v>
      </c>
      <c r="C20" s="14">
        <f ca="1">VLOOKUP($B20,[7]Dasboard_QBR_Report!$B$109:$BL$166,3,FALSE)</f>
        <v>11040</v>
      </c>
      <c r="D20" s="13">
        <f ca="1">VLOOKUP($B20,'[7]Analisys QBR By Machine Report'!$C$109:$BD$166,3,FALSE)</f>
        <v>22350</v>
      </c>
      <c r="E20" s="14">
        <f ca="1">VLOOKUP($B20,[7]Dasboard_QBR_Report!$B$109:$BL$166,5,FALSE)</f>
        <v>270</v>
      </c>
      <c r="F20" s="13">
        <f t="shared" ca="1" si="0"/>
        <v>10770</v>
      </c>
      <c r="G20" s="13">
        <f t="shared" ca="1" si="1"/>
        <v>320</v>
      </c>
      <c r="H20" s="13">
        <f ca="1">VLOOKUP($B20,'[7]Analisys QBR By Machine Report'!$C$109:$BD$166,4,FALSE)</f>
        <v>320</v>
      </c>
      <c r="I20" s="13">
        <f ca="1">VLOOKUP($B20,'[7]Analisys QBR By Machine Report'!$C$109:$BD$166,5,FALSE)</f>
        <v>0</v>
      </c>
      <c r="J20" s="13">
        <f ca="1">VLOOKUP($B20,'[7]Analisys QBR By Machine Report'!$C$109:$BD$166,6,FALSE)</f>
        <v>320</v>
      </c>
      <c r="K20" s="13">
        <f ca="1">VLOOKUP($B20,'[7]Analisys QBR By Machine Report'!$C$109:$BD$166,7,FALSE)</f>
        <v>0</v>
      </c>
      <c r="L20" s="13">
        <f ca="1">VLOOKUP($B20,'[7]Analisys QBR By Machine Report'!$C$109:$BD$166,8,FALSE)</f>
        <v>10450</v>
      </c>
      <c r="M20" s="13">
        <f ca="1">VLOOKUP($B20,'[7]Analisys QBR By Machine Report'!$C$109:$BD$166,9,FALSE)</f>
        <v>5705</v>
      </c>
      <c r="N20" s="13">
        <f ca="1">VLOOKUP($B20,[7]Dasboard_QBR_Report!$B$109:$BL$166,18,FALSE)</f>
        <v>4745</v>
      </c>
      <c r="O20" s="13">
        <f ca="1">VLOOKUP($B20,'[7]Analisys QBR By Machine Report'!$C$109:$BD$166,10,FALSE)</f>
        <v>150</v>
      </c>
      <c r="P20" s="13">
        <f ca="1">VLOOKUP($B20,'[7]Analisys QBR By Machine Report'!$C$109:$BD$166,11,FALSE)</f>
        <v>115</v>
      </c>
      <c r="Q20" s="13">
        <f ca="1">VLOOKUP($B20,'[7]Analisys QBR By Machine Report'!$C$109:$BD$166,12,FALSE)</f>
        <v>0</v>
      </c>
      <c r="R20" s="13">
        <f ca="1">VLOOKUP($B20,'[7]Analisys QBR By Machine Report'!$C$109:$BD$166,13,FALSE)</f>
        <v>35</v>
      </c>
      <c r="S20" s="13">
        <f ca="1">VLOOKUP($B20,'[7]Analisys QBR By Machine Report'!$C$109:$BD$166,14,FALSE)</f>
        <v>0</v>
      </c>
      <c r="T20" s="13">
        <f ca="1">VLOOKUP($B20,'[7]Analisys QBR By Machine Report'!$C$109:$BD$166,15,FALSE)</f>
        <v>70</v>
      </c>
      <c r="U20" s="13">
        <f ca="1">VLOOKUP($B20,'[7]Analisys QBR By Machine Report'!$C$109:$BD$166,16,FALSE)</f>
        <v>40</v>
      </c>
      <c r="V20" s="13">
        <f ca="1">VLOOKUP($B20,'[7]Analisys QBR By Machine Report'!$C$109:$BD$166,17,FALSE)</f>
        <v>0</v>
      </c>
      <c r="W20" s="13">
        <f ca="1">VLOOKUP($B20,'[7]Analisys QBR By Machine Report'!$C$109:$BD$166,18,FALSE)</f>
        <v>0</v>
      </c>
      <c r="X20" s="13">
        <f ca="1">VLOOKUP($B20,'[7]Analisys QBR By Machine Report'!$C$109:$BD$166,19,FALSE)</f>
        <v>0</v>
      </c>
      <c r="Y20" s="13">
        <f ca="1">VLOOKUP($B20,'[7]Analisys QBR By Machine Report'!$C$109:$BD$166,20,FALSE)</f>
        <v>30</v>
      </c>
      <c r="Z20" s="13">
        <f ca="1">VLOOKUP($B20,'[7]Analisys QBR By Machine Report'!$C$109:$BD$166,21,FALSE)</f>
        <v>2565</v>
      </c>
      <c r="AA20" s="13">
        <f ca="1">VLOOKUP($B20,'[7]Analisys QBR By Machine Report'!$C$109:$BD$166,22,FALSE)</f>
        <v>1455</v>
      </c>
      <c r="AB20" s="13">
        <f ca="1">VLOOKUP($B20,'[7]Analisys QBR By Machine Report'!$C$109:$BD$166,23,FALSE)</f>
        <v>270</v>
      </c>
      <c r="AC20" s="13">
        <f ca="1">VLOOKUP($B20,'[7]Analisys QBR By Machine Report'!$C$109:$BD$166,24,FALSE)</f>
        <v>660</v>
      </c>
      <c r="AD20" s="13">
        <f ca="1">VLOOKUP($B20,'[7]Analisys QBR By Machine Report'!$C$109:$BD$166,25,FALSE)</f>
        <v>0</v>
      </c>
      <c r="AE20" s="13">
        <f ca="1">VLOOKUP($B20,'[7]Analisys QBR By Machine Report'!$C$109:$BD$166,26,FALSE)</f>
        <v>180</v>
      </c>
      <c r="AF20" s="13">
        <f ca="1">VLOOKUP($B20,'[7]Analisys QBR By Machine Report'!$C$109:$BD$166,27,FALSE)</f>
        <v>0</v>
      </c>
      <c r="AG20" s="13">
        <f ca="1">VLOOKUP($B20,'[7]Analisys QBR By Machine Report'!$C$109:$BD$166,28,FALSE)</f>
        <v>0</v>
      </c>
      <c r="AH20" s="13">
        <f ca="1">VLOOKUP($B20,'[7]Analisys QBR By Machine Report'!$C$109:$BD$166,29,FALSE)</f>
        <v>0</v>
      </c>
      <c r="AI20" s="13">
        <f ca="1">VLOOKUP($B20,'[7]Analisys QBR By Machine Report'!$C$109:$BD$166,30,FALSE)</f>
        <v>1960</v>
      </c>
      <c r="AJ20" s="13">
        <f ca="1">VLOOKUP($B20,'[7]Analisys QBR By Machine Report'!$C$109:$BD$166,31,FALSE)</f>
        <v>0</v>
      </c>
      <c r="AK20" s="13">
        <f ca="1">VLOOKUP($B20,'[7]Analisys QBR By Machine Report'!$C$109:$BD$166,32,FALSE)</f>
        <v>0</v>
      </c>
      <c r="AL20" s="13">
        <f ca="1">VLOOKUP($B20,'[7]Analisys QBR By Machine Report'!$C$109:$BD$166,33,FALSE)</f>
        <v>630</v>
      </c>
      <c r="AM20" s="13">
        <f ca="1">VLOOKUP($B20,'[7]Analisys QBR By Machine Report'!$C$109:$BD$166,34,FALSE)</f>
        <v>0</v>
      </c>
      <c r="AN20" s="13">
        <f ca="1">VLOOKUP($B20,'[7]Analisys QBR By Machine Report'!$C$109:$BD$166,35,FALSE)</f>
        <v>540</v>
      </c>
      <c r="AO20" s="13">
        <f ca="1">VLOOKUP($B20,'[7]Analisys QBR By Machine Report'!$C$109:$BD$166,36,FALSE)</f>
        <v>225</v>
      </c>
      <c r="AP20" s="13">
        <f ca="1">VLOOKUP($B20,'[7]Analisys QBR By Machine Report'!$C$109:$BD$166,37,FALSE)</f>
        <v>0</v>
      </c>
      <c r="AQ20" s="13">
        <f ca="1">VLOOKUP($B20,'[7]Analisys QBR By Machine Report'!$C$109:$BD$166,38,FALSE)</f>
        <v>0</v>
      </c>
      <c r="AR20" s="13">
        <f ca="1">VLOOKUP($B20,'[7]Analisys QBR By Machine Report'!$C$109:$BD$166,39,FALSE)</f>
        <v>0</v>
      </c>
      <c r="AS20" s="13">
        <f ca="1">VLOOKUP($B20,'[7]Analisys QBR By Machine Report'!$C$109:$BD$166,40,FALSE)</f>
        <v>430</v>
      </c>
      <c r="AT20" s="13">
        <f ca="1">VLOOKUP($B20,'[7]Analisys QBR By Machine Report'!$C$109:$BD$166,41,FALSE)</f>
        <v>0</v>
      </c>
      <c r="AU20" s="13">
        <f ca="1">VLOOKUP($B20,'[7]Analisys QBR By Machine Report'!$C$109:$BD$166,42,FALSE)</f>
        <v>0</v>
      </c>
      <c r="AV20" s="13">
        <f ca="1">VLOOKUP($B20,'[7]Analisys QBR By Machine Report'!$C$109:$BD$166,43,FALSE)</f>
        <v>0</v>
      </c>
      <c r="AW20" s="13">
        <f ca="1">VLOOKUP($B20,'[7]Analisys QBR By Machine Report'!$C$109:$BD$166,44,FALSE)</f>
        <v>0</v>
      </c>
      <c r="AX20" s="13">
        <f ca="1">VLOOKUP($B20,'[7]Analisys QBR By Machine Report'!$C$109:$BD$166,45,FALSE)</f>
        <v>0</v>
      </c>
      <c r="AY20" s="13">
        <f ca="1">VLOOKUP($B20,'[7]Analisys QBR By Machine Report'!$C$109:$BD$166,46,FALSE)</f>
        <v>0</v>
      </c>
      <c r="AZ20" s="13">
        <f ca="1">VLOOKUP($B20,'[7]Analisys QBR By Machine Report'!$C$109:$BD$166,47,FALSE)</f>
        <v>135</v>
      </c>
      <c r="BA20" s="13">
        <f ca="1">VLOOKUP($B20,'[7]Analisys QBR By Machine Report'!$C$109:$BD$166,48,FALSE)</f>
        <v>0</v>
      </c>
      <c r="BB20" s="13">
        <f ca="1">VLOOKUP($B20,'[7]Analisys QBR By Machine Report'!$C$109:$BD$166,49,FALSE)</f>
        <v>0</v>
      </c>
      <c r="BC20" s="13">
        <f ca="1">VLOOKUP($B20,'[7]Analisys QBR By Machine Report'!$C$109:$BD$166,50,FALSE)</f>
        <v>0</v>
      </c>
      <c r="BD20" s="13">
        <f ca="1">VLOOKUP($B20,'[7]Analisys QBR By Machine Report'!$C$109:$BD$166,51,FALSE)</f>
        <v>38305</v>
      </c>
      <c r="BE20" s="13">
        <f ca="1">VLOOKUP($B20,'[7]Analisys QBR By Machine Report'!$C$109:$BD$166,52,FALSE)</f>
        <v>181</v>
      </c>
      <c r="BF20" s="13">
        <f ca="1">VLOOKUP($B20,'[7]Analisys QBR By Machine Report'!$C$109:$BD$166,53,FALSE)</f>
        <v>38124</v>
      </c>
    </row>
    <row r="21" spans="1:58" x14ac:dyDescent="0.25">
      <c r="A21" s="12" t="s">
        <v>77</v>
      </c>
      <c r="B21" s="13">
        <f ca="1">VLOOKUP($B21,'[7]Analisys QBR By Machine Report'!$C$109:$BD$166,2,FALSE)</f>
        <v>33120</v>
      </c>
      <c r="C21" s="14">
        <f ca="1">VLOOKUP($B21,[7]Dasboard_QBR_Report!$B$109:$BL$166,3,FALSE)</f>
        <v>11040</v>
      </c>
      <c r="D21" s="13">
        <f ca="1">VLOOKUP($B21,'[7]Analisys QBR By Machine Report'!$C$109:$BD$166,3,FALSE)</f>
        <v>21000</v>
      </c>
      <c r="E21" s="14">
        <f ca="1">VLOOKUP($B21,[7]Dasboard_QBR_Report!$B$109:$BL$166,5,FALSE)</f>
        <v>-1080</v>
      </c>
      <c r="F21" s="13">
        <f t="shared" ca="1" si="0"/>
        <v>12120</v>
      </c>
      <c r="G21" s="13">
        <f t="shared" ca="1" si="1"/>
        <v>1790</v>
      </c>
      <c r="H21" s="13">
        <f ca="1">VLOOKUP($B21,'[7]Analisys QBR By Machine Report'!$C$109:$BD$166,4,FALSE)</f>
        <v>1790</v>
      </c>
      <c r="I21" s="13">
        <f ca="1">VLOOKUP($B21,'[7]Analisys QBR By Machine Report'!$C$109:$BD$166,5,FALSE)</f>
        <v>30</v>
      </c>
      <c r="J21" s="13">
        <f ca="1">VLOOKUP($B21,'[7]Analisys QBR By Machine Report'!$C$109:$BD$166,6,FALSE)</f>
        <v>1760</v>
      </c>
      <c r="K21" s="13">
        <f ca="1">VLOOKUP($B21,'[7]Analisys QBR By Machine Report'!$C$109:$BD$166,7,FALSE)</f>
        <v>0</v>
      </c>
      <c r="L21" s="13">
        <f ca="1">VLOOKUP($B21,'[7]Analisys QBR By Machine Report'!$C$109:$BD$166,8,FALSE)</f>
        <v>10330</v>
      </c>
      <c r="M21" s="13">
        <f ca="1">VLOOKUP($B21,'[7]Analisys QBR By Machine Report'!$C$109:$BD$166,9,FALSE)</f>
        <v>3095</v>
      </c>
      <c r="N21" s="13">
        <f ca="1">VLOOKUP($B21,[7]Dasboard_QBR_Report!$B$109:$BL$166,18,FALSE)</f>
        <v>7235</v>
      </c>
      <c r="O21" s="13">
        <f ca="1">VLOOKUP($B21,'[7]Analisys QBR By Machine Report'!$C$109:$BD$166,10,FALSE)</f>
        <v>1460</v>
      </c>
      <c r="P21" s="13">
        <f ca="1">VLOOKUP($B21,'[7]Analisys QBR By Machine Report'!$C$109:$BD$166,11,FALSE)</f>
        <v>1040</v>
      </c>
      <c r="Q21" s="13">
        <f ca="1">VLOOKUP($B21,'[7]Analisys QBR By Machine Report'!$C$109:$BD$166,12,FALSE)</f>
        <v>0</v>
      </c>
      <c r="R21" s="13">
        <f ca="1">VLOOKUP($B21,'[7]Analisys QBR By Machine Report'!$C$109:$BD$166,13,FALSE)</f>
        <v>420</v>
      </c>
      <c r="S21" s="13">
        <f ca="1">VLOOKUP($B21,'[7]Analisys QBR By Machine Report'!$C$109:$BD$166,14,FALSE)</f>
        <v>0</v>
      </c>
      <c r="T21" s="13">
        <f ca="1">VLOOKUP($B21,'[7]Analisys QBR By Machine Report'!$C$109:$BD$166,15,FALSE)</f>
        <v>130</v>
      </c>
      <c r="U21" s="13">
        <f ca="1">VLOOKUP($B21,'[7]Analisys QBR By Machine Report'!$C$109:$BD$166,16,FALSE)</f>
        <v>80</v>
      </c>
      <c r="V21" s="13">
        <f ca="1">VLOOKUP($B21,'[7]Analisys QBR By Machine Report'!$C$109:$BD$166,17,FALSE)</f>
        <v>25</v>
      </c>
      <c r="W21" s="13">
        <f ca="1">VLOOKUP($B21,'[7]Analisys QBR By Machine Report'!$C$109:$BD$166,18,FALSE)</f>
        <v>0</v>
      </c>
      <c r="X21" s="13">
        <f ca="1">VLOOKUP($B21,'[7]Analisys QBR By Machine Report'!$C$109:$BD$166,19,FALSE)</f>
        <v>25</v>
      </c>
      <c r="Y21" s="13">
        <f ca="1">VLOOKUP($B21,'[7]Analisys QBR By Machine Report'!$C$109:$BD$166,20,FALSE)</f>
        <v>0</v>
      </c>
      <c r="Z21" s="13">
        <f ca="1">VLOOKUP($B21,'[7]Analisys QBR By Machine Report'!$C$109:$BD$166,21,FALSE)</f>
        <v>1945</v>
      </c>
      <c r="AA21" s="13">
        <f ca="1">VLOOKUP($B21,'[7]Analisys QBR By Machine Report'!$C$109:$BD$166,22,FALSE)</f>
        <v>905</v>
      </c>
      <c r="AB21" s="13">
        <f ca="1">VLOOKUP($B21,'[7]Analisys QBR By Machine Report'!$C$109:$BD$166,23,FALSE)</f>
        <v>580</v>
      </c>
      <c r="AC21" s="13">
        <f ca="1">VLOOKUP($B21,'[7]Analisys QBR By Machine Report'!$C$109:$BD$166,24,FALSE)</f>
        <v>365</v>
      </c>
      <c r="AD21" s="13">
        <f ca="1">VLOOKUP($B21,'[7]Analisys QBR By Machine Report'!$C$109:$BD$166,25,FALSE)</f>
        <v>0</v>
      </c>
      <c r="AE21" s="13">
        <f ca="1">VLOOKUP($B21,'[7]Analisys QBR By Machine Report'!$C$109:$BD$166,26,FALSE)</f>
        <v>95</v>
      </c>
      <c r="AF21" s="13">
        <f ca="1">VLOOKUP($B21,'[7]Analisys QBR By Machine Report'!$C$109:$BD$166,27,FALSE)</f>
        <v>1920</v>
      </c>
      <c r="AG21" s="13">
        <f ca="1">VLOOKUP($B21,'[7]Analisys QBR By Machine Report'!$C$109:$BD$166,28,FALSE)</f>
        <v>0</v>
      </c>
      <c r="AH21" s="13">
        <f ca="1">VLOOKUP($B21,'[7]Analisys QBR By Machine Report'!$C$109:$BD$166,29,FALSE)</f>
        <v>1920</v>
      </c>
      <c r="AI21" s="13">
        <f ca="1">VLOOKUP($B21,'[7]Analisys QBR By Machine Report'!$C$109:$BD$166,30,FALSE)</f>
        <v>1780</v>
      </c>
      <c r="AJ21" s="13">
        <f ca="1">VLOOKUP($B21,'[7]Analisys QBR By Machine Report'!$C$109:$BD$166,31,FALSE)</f>
        <v>0</v>
      </c>
      <c r="AK21" s="13">
        <f ca="1">VLOOKUP($B21,'[7]Analisys QBR By Machine Report'!$C$109:$BD$166,32,FALSE)</f>
        <v>0</v>
      </c>
      <c r="AL21" s="13">
        <f ca="1">VLOOKUP($B21,'[7]Analisys QBR By Machine Report'!$C$109:$BD$166,33,FALSE)</f>
        <v>555</v>
      </c>
      <c r="AM21" s="13">
        <f ca="1">VLOOKUP($B21,'[7]Analisys QBR By Machine Report'!$C$109:$BD$166,34,FALSE)</f>
        <v>0</v>
      </c>
      <c r="AN21" s="13">
        <f ca="1">VLOOKUP($B21,'[7]Analisys QBR By Machine Report'!$C$109:$BD$166,35,FALSE)</f>
        <v>480</v>
      </c>
      <c r="AO21" s="13">
        <f ca="1">VLOOKUP($B21,'[7]Analisys QBR By Machine Report'!$C$109:$BD$166,36,FALSE)</f>
        <v>0</v>
      </c>
      <c r="AP21" s="13">
        <f ca="1">VLOOKUP($B21,'[7]Analisys QBR By Machine Report'!$C$109:$BD$166,37,FALSE)</f>
        <v>0</v>
      </c>
      <c r="AQ21" s="13">
        <f ca="1">VLOOKUP($B21,'[7]Analisys QBR By Machine Report'!$C$109:$BD$166,38,FALSE)</f>
        <v>0</v>
      </c>
      <c r="AR21" s="13">
        <f ca="1">VLOOKUP($B21,'[7]Analisys QBR By Machine Report'!$C$109:$BD$166,39,FALSE)</f>
        <v>0</v>
      </c>
      <c r="AS21" s="13">
        <f ca="1">VLOOKUP($B21,'[7]Analisys QBR By Machine Report'!$C$109:$BD$166,40,FALSE)</f>
        <v>415</v>
      </c>
      <c r="AT21" s="13">
        <f ca="1">VLOOKUP($B21,'[7]Analisys QBR By Machine Report'!$C$109:$BD$166,41,FALSE)</f>
        <v>0</v>
      </c>
      <c r="AU21" s="13">
        <f ca="1">VLOOKUP($B21,'[7]Analisys QBR By Machine Report'!$C$109:$BD$166,42,FALSE)</f>
        <v>0</v>
      </c>
      <c r="AV21" s="13">
        <f ca="1">VLOOKUP($B21,'[7]Analisys QBR By Machine Report'!$C$109:$BD$166,43,FALSE)</f>
        <v>0</v>
      </c>
      <c r="AW21" s="13">
        <f ca="1">VLOOKUP($B21,'[7]Analisys QBR By Machine Report'!$C$109:$BD$166,44,FALSE)</f>
        <v>0</v>
      </c>
      <c r="AX21" s="13">
        <f ca="1">VLOOKUP($B21,'[7]Analisys QBR By Machine Report'!$C$109:$BD$166,45,FALSE)</f>
        <v>0</v>
      </c>
      <c r="AY21" s="13">
        <f ca="1">VLOOKUP($B21,'[7]Analisys QBR By Machine Report'!$C$109:$BD$166,46,FALSE)</f>
        <v>0</v>
      </c>
      <c r="AZ21" s="13">
        <f ca="1">VLOOKUP($B21,'[7]Analisys QBR By Machine Report'!$C$109:$BD$166,47,FALSE)</f>
        <v>330</v>
      </c>
      <c r="BA21" s="13">
        <f ca="1">VLOOKUP($B21,'[7]Analisys QBR By Machine Report'!$C$109:$BD$166,48,FALSE)</f>
        <v>0</v>
      </c>
      <c r="BB21" s="13">
        <f ca="1">VLOOKUP($B21,'[7]Analisys QBR By Machine Report'!$C$109:$BD$166,49,FALSE)</f>
        <v>0</v>
      </c>
      <c r="BC21" s="13">
        <f ca="1">VLOOKUP($B21,'[7]Analisys QBR By Machine Report'!$C$109:$BD$166,50,FALSE)</f>
        <v>0</v>
      </c>
      <c r="BD21" s="13">
        <f ca="1">VLOOKUP($B21,'[7]Analisys QBR By Machine Report'!$C$109:$BD$166,51,FALSE)</f>
        <v>1067807</v>
      </c>
      <c r="BE21" s="13">
        <f ca="1">VLOOKUP($B21,'[7]Analisys QBR By Machine Report'!$C$109:$BD$166,52,FALSE)</f>
        <v>7717</v>
      </c>
      <c r="BF21" s="13">
        <f ca="1">VLOOKUP($B21,'[7]Analisys QBR By Machine Report'!$C$109:$BD$166,53,FALSE)</f>
        <v>1060090</v>
      </c>
    </row>
    <row r="22" spans="1:58" x14ac:dyDescent="0.25">
      <c r="A22" s="9" t="s">
        <v>78</v>
      </c>
      <c r="B22" s="10">
        <f ca="1">VLOOKUP($B22,'[7]Analisys QBR By Machine Report'!$C$109:$BD$166,2,FALSE)</f>
        <v>33120</v>
      </c>
      <c r="C22" s="11">
        <f ca="1">VLOOKUP($B22,[7]Dasboard_QBR_Report!$B$109:$BL$166,3,FALSE)</f>
        <v>21390</v>
      </c>
      <c r="D22" s="10">
        <f ca="1">VLOOKUP($B22,'[7]Analisys QBR By Machine Report'!$C$109:$BD$166,3,FALSE)</f>
        <v>23340</v>
      </c>
      <c r="E22" s="11">
        <f ca="1">VLOOKUP($B22,[7]Dasboard_QBR_Report!$B$109:$BL$166,5,FALSE)</f>
        <v>11610</v>
      </c>
      <c r="F22" s="10">
        <f t="shared" ca="1" si="0"/>
        <v>9780</v>
      </c>
      <c r="G22" s="10">
        <f t="shared" ca="1" si="1"/>
        <v>1067</v>
      </c>
      <c r="H22" s="10">
        <f ca="1">VLOOKUP($B22,'[7]Analisys QBR By Machine Report'!$C$109:$BD$166,4,FALSE)</f>
        <v>1067</v>
      </c>
      <c r="I22" s="10">
        <f ca="1">VLOOKUP($B22,'[7]Analisys QBR By Machine Report'!$C$109:$BD$166,5,FALSE)</f>
        <v>27</v>
      </c>
      <c r="J22" s="10">
        <f ca="1">VLOOKUP($B22,'[7]Analisys QBR By Machine Report'!$C$109:$BD$166,6,FALSE)</f>
        <v>1040</v>
      </c>
      <c r="K22" s="10">
        <f ca="1">VLOOKUP($B22,'[7]Analisys QBR By Machine Report'!$C$109:$BD$166,7,FALSE)</f>
        <v>0</v>
      </c>
      <c r="L22" s="10">
        <f ca="1">VLOOKUP($B22,'[7]Analisys QBR By Machine Report'!$C$109:$BD$166,8,FALSE)</f>
        <v>8713</v>
      </c>
      <c r="M22" s="10">
        <f ca="1">VLOOKUP($B22,'[7]Analisys QBR By Machine Report'!$C$109:$BD$166,9,FALSE)</f>
        <v>3510</v>
      </c>
      <c r="N22" s="10">
        <f ca="1">VLOOKUP($B22,[7]Dasboard_QBR_Report!$B$109:$BL$166,18,FALSE)</f>
        <v>5203</v>
      </c>
      <c r="O22" s="10">
        <f ca="1">VLOOKUP($B22,'[7]Analisys QBR By Machine Report'!$C$109:$BD$166,10,FALSE)</f>
        <v>432</v>
      </c>
      <c r="P22" s="10">
        <f ca="1">VLOOKUP($B22,'[7]Analisys QBR By Machine Report'!$C$109:$BD$166,11,FALSE)</f>
        <v>432</v>
      </c>
      <c r="Q22" s="10">
        <f ca="1">VLOOKUP($B22,'[7]Analisys QBR By Machine Report'!$C$109:$BD$166,12,FALSE)</f>
        <v>0</v>
      </c>
      <c r="R22" s="10">
        <f ca="1">VLOOKUP($B22,'[7]Analisys QBR By Machine Report'!$C$109:$BD$166,13,FALSE)</f>
        <v>0</v>
      </c>
      <c r="S22" s="10">
        <f ca="1">VLOOKUP($B22,'[7]Analisys QBR By Machine Report'!$C$109:$BD$166,14,FALSE)</f>
        <v>0</v>
      </c>
      <c r="T22" s="10">
        <f ca="1">VLOOKUP($B22,'[7]Analisys QBR By Machine Report'!$C$109:$BD$166,15,FALSE)</f>
        <v>40</v>
      </c>
      <c r="U22" s="10">
        <f ca="1">VLOOKUP($B22,'[7]Analisys QBR By Machine Report'!$C$109:$BD$166,16,FALSE)</f>
        <v>0</v>
      </c>
      <c r="V22" s="10">
        <f ca="1">VLOOKUP($B22,'[7]Analisys QBR By Machine Report'!$C$109:$BD$166,17,FALSE)</f>
        <v>0</v>
      </c>
      <c r="W22" s="10">
        <f ca="1">VLOOKUP($B22,'[7]Analisys QBR By Machine Report'!$C$109:$BD$166,18,FALSE)</f>
        <v>0</v>
      </c>
      <c r="X22" s="10">
        <f ca="1">VLOOKUP($B22,'[7]Analisys QBR By Machine Report'!$C$109:$BD$166,19,FALSE)</f>
        <v>40</v>
      </c>
      <c r="Y22" s="10">
        <f ca="1">VLOOKUP($B22,'[7]Analisys QBR By Machine Report'!$C$109:$BD$166,20,FALSE)</f>
        <v>0</v>
      </c>
      <c r="Z22" s="10">
        <f ca="1">VLOOKUP($B22,'[7]Analisys QBR By Machine Report'!$C$109:$BD$166,21,FALSE)</f>
        <v>2790</v>
      </c>
      <c r="AA22" s="10">
        <f ca="1">VLOOKUP($B22,'[7]Analisys QBR By Machine Report'!$C$109:$BD$166,22,FALSE)</f>
        <v>274</v>
      </c>
      <c r="AB22" s="10">
        <f ca="1">VLOOKUP($B22,'[7]Analisys QBR By Machine Report'!$C$109:$BD$166,23,FALSE)</f>
        <v>2406</v>
      </c>
      <c r="AC22" s="10">
        <f ca="1">VLOOKUP($B22,'[7]Analisys QBR By Machine Report'!$C$109:$BD$166,24,FALSE)</f>
        <v>0</v>
      </c>
      <c r="AD22" s="10">
        <f ca="1">VLOOKUP($B22,'[7]Analisys QBR By Machine Report'!$C$109:$BD$166,25,FALSE)</f>
        <v>0</v>
      </c>
      <c r="AE22" s="10">
        <f ca="1">VLOOKUP($B22,'[7]Analisys QBR By Machine Report'!$C$109:$BD$166,26,FALSE)</f>
        <v>110</v>
      </c>
      <c r="AF22" s="10">
        <f ca="1">VLOOKUP($B22,'[7]Analisys QBR By Machine Report'!$C$109:$BD$166,27,FALSE)</f>
        <v>0</v>
      </c>
      <c r="AG22" s="10">
        <f ca="1">VLOOKUP($B22,'[7]Analisys QBR By Machine Report'!$C$109:$BD$166,28,FALSE)</f>
        <v>0</v>
      </c>
      <c r="AH22" s="10">
        <f ca="1">VLOOKUP($B22,'[7]Analisys QBR By Machine Report'!$C$109:$BD$166,29,FALSE)</f>
        <v>0</v>
      </c>
      <c r="AI22" s="10">
        <f ca="1">VLOOKUP($B22,'[7]Analisys QBR By Machine Report'!$C$109:$BD$166,30,FALSE)</f>
        <v>1941</v>
      </c>
      <c r="AJ22" s="10">
        <f ca="1">VLOOKUP($B22,'[7]Analisys QBR By Machine Report'!$C$109:$BD$166,31,FALSE)</f>
        <v>21</v>
      </c>
      <c r="AK22" s="10">
        <f ca="1">VLOOKUP($B22,'[7]Analisys QBR By Machine Report'!$C$109:$BD$166,32,FALSE)</f>
        <v>0</v>
      </c>
      <c r="AL22" s="10">
        <f ca="1">VLOOKUP($B22,'[7]Analisys QBR By Machine Report'!$C$109:$BD$166,33,FALSE)</f>
        <v>379</v>
      </c>
      <c r="AM22" s="10">
        <f ca="1">VLOOKUP($B22,'[7]Analisys QBR By Machine Report'!$C$109:$BD$166,34,FALSE)</f>
        <v>0</v>
      </c>
      <c r="AN22" s="10">
        <f ca="1">VLOOKUP($B22,'[7]Analisys QBR By Machine Report'!$C$109:$BD$166,35,FALSE)</f>
        <v>245</v>
      </c>
      <c r="AO22" s="10">
        <f ca="1">VLOOKUP($B22,'[7]Analisys QBR By Machine Report'!$C$109:$BD$166,36,FALSE)</f>
        <v>0</v>
      </c>
      <c r="AP22" s="10">
        <f ca="1">VLOOKUP($B22,'[7]Analisys QBR By Machine Report'!$C$109:$BD$166,37,FALSE)</f>
        <v>0</v>
      </c>
      <c r="AQ22" s="10">
        <f ca="1">VLOOKUP($B22,'[7]Analisys QBR By Machine Report'!$C$109:$BD$166,38,FALSE)</f>
        <v>0</v>
      </c>
      <c r="AR22" s="10">
        <f ca="1">VLOOKUP($B22,'[7]Analisys QBR By Machine Report'!$C$109:$BD$166,39,FALSE)</f>
        <v>0</v>
      </c>
      <c r="AS22" s="10">
        <f ca="1">VLOOKUP($B22,'[7]Analisys QBR By Machine Report'!$C$109:$BD$166,40,FALSE)</f>
        <v>19</v>
      </c>
      <c r="AT22" s="10">
        <f ca="1">VLOOKUP($B22,'[7]Analisys QBR By Machine Report'!$C$109:$BD$166,41,FALSE)</f>
        <v>0</v>
      </c>
      <c r="AU22" s="10">
        <f ca="1">VLOOKUP($B22,'[7]Analisys QBR By Machine Report'!$C$109:$BD$166,42,FALSE)</f>
        <v>0</v>
      </c>
      <c r="AV22" s="10">
        <f ca="1">VLOOKUP($B22,'[7]Analisys QBR By Machine Report'!$C$109:$BD$166,43,FALSE)</f>
        <v>268</v>
      </c>
      <c r="AW22" s="10">
        <f ca="1">VLOOKUP($B22,'[7]Analisys QBR By Machine Report'!$C$109:$BD$166,44,FALSE)</f>
        <v>0</v>
      </c>
      <c r="AX22" s="10">
        <f ca="1">VLOOKUP($B22,'[7]Analisys QBR By Machine Report'!$C$109:$BD$166,45,FALSE)</f>
        <v>0</v>
      </c>
      <c r="AY22" s="10">
        <f ca="1">VLOOKUP($B22,'[7]Analisys QBR By Machine Report'!$C$109:$BD$166,46,FALSE)</f>
        <v>0</v>
      </c>
      <c r="AZ22" s="10">
        <f ca="1">VLOOKUP($B22,'[7]Analisys QBR By Machine Report'!$C$109:$BD$166,47,FALSE)</f>
        <v>42</v>
      </c>
      <c r="BA22" s="10">
        <f ca="1">VLOOKUP($B22,'[7]Analisys QBR By Machine Report'!$C$109:$BD$166,48,FALSE)</f>
        <v>947</v>
      </c>
      <c r="BB22" s="10">
        <f ca="1">VLOOKUP($B22,'[7]Analisys QBR By Machine Report'!$C$109:$BD$166,49,FALSE)</f>
        <v>0</v>
      </c>
      <c r="BC22" s="10">
        <f ca="1">VLOOKUP($B22,'[7]Analisys QBR By Machine Report'!$C$109:$BD$166,50,FALSE)</f>
        <v>20</v>
      </c>
      <c r="BD22" s="10">
        <f ca="1">VLOOKUP($B22,'[7]Analisys QBR By Machine Report'!$C$109:$BD$166,51,FALSE)</f>
        <v>16460</v>
      </c>
      <c r="BE22" s="10">
        <f ca="1">VLOOKUP($B22,'[7]Analisys QBR By Machine Report'!$C$109:$BD$166,52,FALSE)</f>
        <v>2.9</v>
      </c>
      <c r="BF22" s="10">
        <f ca="1">VLOOKUP($B22,'[7]Analisys QBR By Machine Report'!$C$109:$BD$166,53,FALSE)</f>
        <v>16457.099999999999</v>
      </c>
    </row>
    <row r="23" spans="1:58" x14ac:dyDescent="0.25">
      <c r="A23" s="12" t="s">
        <v>79</v>
      </c>
      <c r="B23" s="13">
        <f ca="1">VLOOKUP($B23,'[7]Analisys QBR By Machine Report'!$C$109:$BD$166,2,FALSE)</f>
        <v>33120</v>
      </c>
      <c r="C23" s="14">
        <f ca="1">VLOOKUP($B23,[7]Dasboard_QBR_Report!$B$109:$BL$166,3,FALSE)</f>
        <v>21390</v>
      </c>
      <c r="D23" s="13">
        <f ca="1">VLOOKUP($B23,'[7]Analisys QBR By Machine Report'!$C$109:$BD$166,3,FALSE)</f>
        <v>23340</v>
      </c>
      <c r="E23" s="14">
        <f ca="1">VLOOKUP($B23,[7]Dasboard_QBR_Report!$B$109:$BL$166,5,FALSE)</f>
        <v>11610</v>
      </c>
      <c r="F23" s="13">
        <f t="shared" ca="1" si="0"/>
        <v>9780</v>
      </c>
      <c r="G23" s="13">
        <f t="shared" ca="1" si="1"/>
        <v>1067</v>
      </c>
      <c r="H23" s="13">
        <f ca="1">VLOOKUP($B23,'[7]Analisys QBR By Machine Report'!$C$109:$BD$166,4,FALSE)</f>
        <v>1067</v>
      </c>
      <c r="I23" s="13">
        <f ca="1">VLOOKUP($B23,'[7]Analisys QBR By Machine Report'!$C$109:$BD$166,5,FALSE)</f>
        <v>27</v>
      </c>
      <c r="J23" s="13">
        <f ca="1">VLOOKUP($B23,'[7]Analisys QBR By Machine Report'!$C$109:$BD$166,6,FALSE)</f>
        <v>1040</v>
      </c>
      <c r="K23" s="13">
        <f ca="1">VLOOKUP($B23,'[7]Analisys QBR By Machine Report'!$C$109:$BD$166,7,FALSE)</f>
        <v>0</v>
      </c>
      <c r="L23" s="13">
        <f ca="1">VLOOKUP($B23,'[7]Analisys QBR By Machine Report'!$C$109:$BD$166,8,FALSE)</f>
        <v>8713</v>
      </c>
      <c r="M23" s="13">
        <f ca="1">VLOOKUP($B23,'[7]Analisys QBR By Machine Report'!$C$109:$BD$166,9,FALSE)</f>
        <v>3510</v>
      </c>
      <c r="N23" s="13">
        <f ca="1">VLOOKUP($B23,[7]Dasboard_QBR_Report!$B$109:$BL$166,18,FALSE)</f>
        <v>5203</v>
      </c>
      <c r="O23" s="13">
        <f ca="1">VLOOKUP($B23,'[7]Analisys QBR By Machine Report'!$C$109:$BD$166,10,FALSE)</f>
        <v>432</v>
      </c>
      <c r="P23" s="13">
        <f ca="1">VLOOKUP($B23,'[7]Analisys QBR By Machine Report'!$C$109:$BD$166,11,FALSE)</f>
        <v>432</v>
      </c>
      <c r="Q23" s="13">
        <f ca="1">VLOOKUP($B23,'[7]Analisys QBR By Machine Report'!$C$109:$BD$166,12,FALSE)</f>
        <v>0</v>
      </c>
      <c r="R23" s="13">
        <f ca="1">VLOOKUP($B23,'[7]Analisys QBR By Machine Report'!$C$109:$BD$166,13,FALSE)</f>
        <v>0</v>
      </c>
      <c r="S23" s="13">
        <f ca="1">VLOOKUP($B23,'[7]Analisys QBR By Machine Report'!$C$109:$BD$166,14,FALSE)</f>
        <v>0</v>
      </c>
      <c r="T23" s="13">
        <f ca="1">VLOOKUP($B23,'[7]Analisys QBR By Machine Report'!$C$109:$BD$166,15,FALSE)</f>
        <v>40</v>
      </c>
      <c r="U23" s="13">
        <f ca="1">VLOOKUP($B23,'[7]Analisys QBR By Machine Report'!$C$109:$BD$166,16,FALSE)</f>
        <v>0</v>
      </c>
      <c r="V23" s="13">
        <f ca="1">VLOOKUP($B23,'[7]Analisys QBR By Machine Report'!$C$109:$BD$166,17,FALSE)</f>
        <v>0</v>
      </c>
      <c r="W23" s="13">
        <f ca="1">VLOOKUP($B23,'[7]Analisys QBR By Machine Report'!$C$109:$BD$166,18,FALSE)</f>
        <v>0</v>
      </c>
      <c r="X23" s="13">
        <f ca="1">VLOOKUP($B23,'[7]Analisys QBR By Machine Report'!$C$109:$BD$166,19,FALSE)</f>
        <v>40</v>
      </c>
      <c r="Y23" s="13">
        <f ca="1">VLOOKUP($B23,'[7]Analisys QBR By Machine Report'!$C$109:$BD$166,20,FALSE)</f>
        <v>0</v>
      </c>
      <c r="Z23" s="13">
        <f ca="1">VLOOKUP($B23,'[7]Analisys QBR By Machine Report'!$C$109:$BD$166,21,FALSE)</f>
        <v>2790</v>
      </c>
      <c r="AA23" s="13">
        <f ca="1">VLOOKUP($B23,'[7]Analisys QBR By Machine Report'!$C$109:$BD$166,22,FALSE)</f>
        <v>274</v>
      </c>
      <c r="AB23" s="13">
        <f ca="1">VLOOKUP($B23,'[7]Analisys QBR By Machine Report'!$C$109:$BD$166,23,FALSE)</f>
        <v>2406</v>
      </c>
      <c r="AC23" s="13">
        <f ca="1">VLOOKUP($B23,'[7]Analisys QBR By Machine Report'!$C$109:$BD$166,24,FALSE)</f>
        <v>0</v>
      </c>
      <c r="AD23" s="13">
        <f ca="1">VLOOKUP($B23,'[7]Analisys QBR By Machine Report'!$C$109:$BD$166,25,FALSE)</f>
        <v>0</v>
      </c>
      <c r="AE23" s="13">
        <f ca="1">VLOOKUP($B23,'[7]Analisys QBR By Machine Report'!$C$109:$BD$166,26,FALSE)</f>
        <v>110</v>
      </c>
      <c r="AF23" s="13">
        <f ca="1">VLOOKUP($B23,'[7]Analisys QBR By Machine Report'!$C$109:$BD$166,27,FALSE)</f>
        <v>0</v>
      </c>
      <c r="AG23" s="13">
        <f ca="1">VLOOKUP($B23,'[7]Analisys QBR By Machine Report'!$C$109:$BD$166,28,FALSE)</f>
        <v>0</v>
      </c>
      <c r="AH23" s="13">
        <f ca="1">VLOOKUP($B23,'[7]Analisys QBR By Machine Report'!$C$109:$BD$166,29,FALSE)</f>
        <v>0</v>
      </c>
      <c r="AI23" s="13">
        <f ca="1">VLOOKUP($B23,'[7]Analisys QBR By Machine Report'!$C$109:$BD$166,30,FALSE)</f>
        <v>1941</v>
      </c>
      <c r="AJ23" s="13">
        <f ca="1">VLOOKUP($B23,'[7]Analisys QBR By Machine Report'!$C$109:$BD$166,31,FALSE)</f>
        <v>21</v>
      </c>
      <c r="AK23" s="13">
        <f ca="1">VLOOKUP($B23,'[7]Analisys QBR By Machine Report'!$C$109:$BD$166,32,FALSE)</f>
        <v>0</v>
      </c>
      <c r="AL23" s="13">
        <f ca="1">VLOOKUP($B23,'[7]Analisys QBR By Machine Report'!$C$109:$BD$166,33,FALSE)</f>
        <v>379</v>
      </c>
      <c r="AM23" s="13">
        <f ca="1">VLOOKUP($B23,'[7]Analisys QBR By Machine Report'!$C$109:$BD$166,34,FALSE)</f>
        <v>0</v>
      </c>
      <c r="AN23" s="13">
        <f ca="1">VLOOKUP($B23,'[7]Analisys QBR By Machine Report'!$C$109:$BD$166,35,FALSE)</f>
        <v>245</v>
      </c>
      <c r="AO23" s="13">
        <f ca="1">VLOOKUP($B23,'[7]Analisys QBR By Machine Report'!$C$109:$BD$166,36,FALSE)</f>
        <v>0</v>
      </c>
      <c r="AP23" s="13">
        <f ca="1">VLOOKUP($B23,'[7]Analisys QBR By Machine Report'!$C$109:$BD$166,37,FALSE)</f>
        <v>0</v>
      </c>
      <c r="AQ23" s="13">
        <f ca="1">VLOOKUP($B23,'[7]Analisys QBR By Machine Report'!$C$109:$BD$166,38,FALSE)</f>
        <v>0</v>
      </c>
      <c r="AR23" s="13">
        <f ca="1">VLOOKUP($B23,'[7]Analisys QBR By Machine Report'!$C$109:$BD$166,39,FALSE)</f>
        <v>0</v>
      </c>
      <c r="AS23" s="13">
        <f ca="1">VLOOKUP($B23,'[7]Analisys QBR By Machine Report'!$C$109:$BD$166,40,FALSE)</f>
        <v>19</v>
      </c>
      <c r="AT23" s="13">
        <f ca="1">VLOOKUP($B23,'[7]Analisys QBR By Machine Report'!$C$109:$BD$166,41,FALSE)</f>
        <v>0</v>
      </c>
      <c r="AU23" s="13">
        <f ca="1">VLOOKUP($B23,'[7]Analisys QBR By Machine Report'!$C$109:$BD$166,42,FALSE)</f>
        <v>0</v>
      </c>
      <c r="AV23" s="13">
        <f ca="1">VLOOKUP($B23,'[7]Analisys QBR By Machine Report'!$C$109:$BD$166,43,FALSE)</f>
        <v>268</v>
      </c>
      <c r="AW23" s="13">
        <f ca="1">VLOOKUP($B23,'[7]Analisys QBR By Machine Report'!$C$109:$BD$166,44,FALSE)</f>
        <v>0</v>
      </c>
      <c r="AX23" s="13">
        <f ca="1">VLOOKUP($B23,'[7]Analisys QBR By Machine Report'!$C$109:$BD$166,45,FALSE)</f>
        <v>0</v>
      </c>
      <c r="AY23" s="13">
        <f ca="1">VLOOKUP($B23,'[7]Analisys QBR By Machine Report'!$C$109:$BD$166,46,FALSE)</f>
        <v>0</v>
      </c>
      <c r="AZ23" s="13">
        <f ca="1">VLOOKUP($B23,'[7]Analisys QBR By Machine Report'!$C$109:$BD$166,47,FALSE)</f>
        <v>42</v>
      </c>
      <c r="BA23" s="13">
        <f ca="1">VLOOKUP($B23,'[7]Analisys QBR By Machine Report'!$C$109:$BD$166,48,FALSE)</f>
        <v>947</v>
      </c>
      <c r="BB23" s="13">
        <f ca="1">VLOOKUP($B23,'[7]Analisys QBR By Machine Report'!$C$109:$BD$166,49,FALSE)</f>
        <v>0</v>
      </c>
      <c r="BC23" s="13">
        <f ca="1">VLOOKUP($B23,'[7]Analisys QBR By Machine Report'!$C$109:$BD$166,50,FALSE)</f>
        <v>20</v>
      </c>
      <c r="BD23" s="13">
        <f ca="1">VLOOKUP($B23,'[7]Analisys QBR By Machine Report'!$C$109:$BD$166,51,FALSE)</f>
        <v>16460</v>
      </c>
      <c r="BE23" s="13">
        <f ca="1">VLOOKUP($B23,'[7]Analisys QBR By Machine Report'!$C$109:$BD$166,52,FALSE)</f>
        <v>2.9</v>
      </c>
      <c r="BF23" s="13">
        <f ca="1">VLOOKUP($B23,'[7]Analisys QBR By Machine Report'!$C$109:$BD$166,53,FALSE)</f>
        <v>16457.099999999999</v>
      </c>
    </row>
    <row r="24" spans="1:58" x14ac:dyDescent="0.25">
      <c r="A24" s="9" t="s">
        <v>80</v>
      </c>
      <c r="B24" s="10">
        <f ca="1">VLOOKUP($B24,'[7]Analisys QBR By Machine Report'!$C$109:$BD$166,2,FALSE)</f>
        <v>66240</v>
      </c>
      <c r="C24" s="11">
        <f ca="1">VLOOKUP($B24,[7]Dasboard_QBR_Report!$B$109:$BL$166,3,FALSE)</f>
        <v>42780</v>
      </c>
      <c r="D24" s="10">
        <f ca="1">VLOOKUP($B24,'[7]Analisys QBR By Machine Report'!$C$109:$BD$166,3,FALSE)</f>
        <v>51660</v>
      </c>
      <c r="E24" s="11">
        <f ca="1">VLOOKUP($B24,[7]Dasboard_QBR_Report!$B$109:$BL$166,5,FALSE)</f>
        <v>28200</v>
      </c>
      <c r="F24" s="10">
        <f t="shared" ca="1" si="0"/>
        <v>14580</v>
      </c>
      <c r="G24" s="10">
        <f t="shared" ca="1" si="1"/>
        <v>975</v>
      </c>
      <c r="H24" s="10">
        <f ca="1">VLOOKUP($B24,'[7]Analisys QBR By Machine Report'!$C$109:$BD$166,4,FALSE)</f>
        <v>975</v>
      </c>
      <c r="I24" s="10">
        <f ca="1">VLOOKUP($B24,'[7]Analisys QBR By Machine Report'!$C$109:$BD$166,5,FALSE)</f>
        <v>0</v>
      </c>
      <c r="J24" s="10">
        <f ca="1">VLOOKUP($B24,'[7]Analisys QBR By Machine Report'!$C$109:$BD$166,6,FALSE)</f>
        <v>975</v>
      </c>
      <c r="K24" s="10">
        <f ca="1">VLOOKUP($B24,'[7]Analisys QBR By Machine Report'!$C$109:$BD$166,7,FALSE)</f>
        <v>0</v>
      </c>
      <c r="L24" s="10">
        <f ca="1">VLOOKUP($B24,'[7]Analisys QBR By Machine Report'!$C$109:$BD$166,8,FALSE)</f>
        <v>13605</v>
      </c>
      <c r="M24" s="10">
        <f ca="1">VLOOKUP($B24,'[7]Analisys QBR By Machine Report'!$C$109:$BD$166,9,FALSE)</f>
        <v>4430</v>
      </c>
      <c r="N24" s="10">
        <f ca="1">VLOOKUP($B24,[7]Dasboard_QBR_Report!$B$109:$BL$166,18,FALSE)</f>
        <v>9175</v>
      </c>
      <c r="O24" s="10">
        <f ca="1">VLOOKUP($B24,'[7]Analisys QBR By Machine Report'!$C$109:$BD$166,10,FALSE)</f>
        <v>990</v>
      </c>
      <c r="P24" s="10">
        <f ca="1">VLOOKUP($B24,'[7]Analisys QBR By Machine Report'!$C$109:$BD$166,11,FALSE)</f>
        <v>735</v>
      </c>
      <c r="Q24" s="10">
        <f ca="1">VLOOKUP($B24,'[7]Analisys QBR By Machine Report'!$C$109:$BD$166,12,FALSE)</f>
        <v>15</v>
      </c>
      <c r="R24" s="10">
        <f ca="1">VLOOKUP($B24,'[7]Analisys QBR By Machine Report'!$C$109:$BD$166,13,FALSE)</f>
        <v>170</v>
      </c>
      <c r="S24" s="10">
        <f ca="1">VLOOKUP($B24,'[7]Analisys QBR By Machine Report'!$C$109:$BD$166,14,FALSE)</f>
        <v>70</v>
      </c>
      <c r="T24" s="10">
        <f ca="1">VLOOKUP($B24,'[7]Analisys QBR By Machine Report'!$C$109:$BD$166,15,FALSE)</f>
        <v>675</v>
      </c>
      <c r="U24" s="10">
        <f ca="1">VLOOKUP($B24,'[7]Analisys QBR By Machine Report'!$C$109:$BD$166,16,FALSE)</f>
        <v>480</v>
      </c>
      <c r="V24" s="10">
        <f ca="1">VLOOKUP($B24,'[7]Analisys QBR By Machine Report'!$C$109:$BD$166,17,FALSE)</f>
        <v>195</v>
      </c>
      <c r="W24" s="10">
        <f ca="1">VLOOKUP($B24,'[7]Analisys QBR By Machine Report'!$C$109:$BD$166,18,FALSE)</f>
        <v>0</v>
      </c>
      <c r="X24" s="10">
        <f ca="1">VLOOKUP($B24,'[7]Analisys QBR By Machine Report'!$C$109:$BD$166,19,FALSE)</f>
        <v>0</v>
      </c>
      <c r="Y24" s="10">
        <f ca="1">VLOOKUP($B24,'[7]Analisys QBR By Machine Report'!$C$109:$BD$166,20,FALSE)</f>
        <v>0</v>
      </c>
      <c r="Z24" s="10">
        <f ca="1">VLOOKUP($B24,'[7]Analisys QBR By Machine Report'!$C$109:$BD$166,21,FALSE)</f>
        <v>4130</v>
      </c>
      <c r="AA24" s="10">
        <f ca="1">VLOOKUP($B24,'[7]Analisys QBR By Machine Report'!$C$109:$BD$166,22,FALSE)</f>
        <v>455</v>
      </c>
      <c r="AB24" s="10">
        <f ca="1">VLOOKUP($B24,'[7]Analisys QBR By Machine Report'!$C$109:$BD$166,23,FALSE)</f>
        <v>2255</v>
      </c>
      <c r="AC24" s="10">
        <f ca="1">VLOOKUP($B24,'[7]Analisys QBR By Machine Report'!$C$109:$BD$166,24,FALSE)</f>
        <v>30</v>
      </c>
      <c r="AD24" s="10">
        <f ca="1">VLOOKUP($B24,'[7]Analisys QBR By Machine Report'!$C$109:$BD$166,25,FALSE)</f>
        <v>0</v>
      </c>
      <c r="AE24" s="10">
        <f ca="1">VLOOKUP($B24,'[7]Analisys QBR By Machine Report'!$C$109:$BD$166,26,FALSE)</f>
        <v>1390</v>
      </c>
      <c r="AF24" s="10">
        <f ca="1">VLOOKUP($B24,'[7]Analisys QBR By Machine Report'!$C$109:$BD$166,27,FALSE)</f>
        <v>0</v>
      </c>
      <c r="AG24" s="10">
        <f ca="1">VLOOKUP($B24,'[7]Analisys QBR By Machine Report'!$C$109:$BD$166,28,FALSE)</f>
        <v>0</v>
      </c>
      <c r="AH24" s="10">
        <f ca="1">VLOOKUP($B24,'[7]Analisys QBR By Machine Report'!$C$109:$BD$166,29,FALSE)</f>
        <v>0</v>
      </c>
      <c r="AI24" s="10">
        <f ca="1">VLOOKUP($B24,'[7]Analisys QBR By Machine Report'!$C$109:$BD$166,30,FALSE)</f>
        <v>3380</v>
      </c>
      <c r="AJ24" s="10">
        <f ca="1">VLOOKUP($B24,'[7]Analisys QBR By Machine Report'!$C$109:$BD$166,31,FALSE)</f>
        <v>105</v>
      </c>
      <c r="AK24" s="10">
        <f ca="1">VLOOKUP($B24,'[7]Analisys QBR By Machine Report'!$C$109:$BD$166,32,FALSE)</f>
        <v>75</v>
      </c>
      <c r="AL24" s="10">
        <f ca="1">VLOOKUP($B24,'[7]Analisys QBR By Machine Report'!$C$109:$BD$166,33,FALSE)</f>
        <v>810</v>
      </c>
      <c r="AM24" s="10">
        <f ca="1">VLOOKUP($B24,'[7]Analisys QBR By Machine Report'!$C$109:$BD$166,34,FALSE)</f>
        <v>30</v>
      </c>
      <c r="AN24" s="10">
        <f ca="1">VLOOKUP($B24,'[7]Analisys QBR By Machine Report'!$C$109:$BD$166,35,FALSE)</f>
        <v>510</v>
      </c>
      <c r="AO24" s="10">
        <f ca="1">VLOOKUP($B24,'[7]Analisys QBR By Machine Report'!$C$109:$BD$166,36,FALSE)</f>
        <v>0</v>
      </c>
      <c r="AP24" s="10">
        <f ca="1">VLOOKUP($B24,'[7]Analisys QBR By Machine Report'!$C$109:$BD$166,37,FALSE)</f>
        <v>0</v>
      </c>
      <c r="AQ24" s="10">
        <f ca="1">VLOOKUP($B24,'[7]Analisys QBR By Machine Report'!$C$109:$BD$166,38,FALSE)</f>
        <v>0</v>
      </c>
      <c r="AR24" s="10">
        <f ca="1">VLOOKUP($B24,'[7]Analisys QBR By Machine Report'!$C$109:$BD$166,39,FALSE)</f>
        <v>1675</v>
      </c>
      <c r="AS24" s="10">
        <f ca="1">VLOOKUP($B24,'[7]Analisys QBR By Machine Report'!$C$109:$BD$166,40,FALSE)</f>
        <v>0</v>
      </c>
      <c r="AT24" s="10">
        <f ca="1">VLOOKUP($B24,'[7]Analisys QBR By Machine Report'!$C$109:$BD$166,41,FALSE)</f>
        <v>0</v>
      </c>
      <c r="AU24" s="10">
        <f ca="1">VLOOKUP($B24,'[7]Analisys QBR By Machine Report'!$C$109:$BD$166,42,FALSE)</f>
        <v>0</v>
      </c>
      <c r="AV24" s="10">
        <f ca="1">VLOOKUP($B24,'[7]Analisys QBR By Machine Report'!$C$109:$BD$166,43,FALSE)</f>
        <v>0</v>
      </c>
      <c r="AW24" s="10">
        <f ca="1">VLOOKUP($B24,'[7]Analisys QBR By Machine Report'!$C$109:$BD$166,44,FALSE)</f>
        <v>0</v>
      </c>
      <c r="AX24" s="10">
        <f ca="1">VLOOKUP($B24,'[7]Analisys QBR By Machine Report'!$C$109:$BD$166,45,FALSE)</f>
        <v>0</v>
      </c>
      <c r="AY24" s="10">
        <f ca="1">VLOOKUP($B24,'[7]Analisys QBR By Machine Report'!$C$109:$BD$166,46,FALSE)</f>
        <v>0</v>
      </c>
      <c r="AZ24" s="10">
        <f ca="1">VLOOKUP($B24,'[7]Analisys QBR By Machine Report'!$C$109:$BD$166,47,FALSE)</f>
        <v>0</v>
      </c>
      <c r="BA24" s="10">
        <f ca="1">VLOOKUP($B24,'[7]Analisys QBR By Machine Report'!$C$109:$BD$166,48,FALSE)</f>
        <v>30</v>
      </c>
      <c r="BB24" s="10">
        <f ca="1">VLOOKUP($B24,'[7]Analisys QBR By Machine Report'!$C$109:$BD$166,49,FALSE)</f>
        <v>0</v>
      </c>
      <c r="BC24" s="10">
        <f ca="1">VLOOKUP($B24,'[7]Analisys QBR By Machine Report'!$C$109:$BD$166,50,FALSE)</f>
        <v>145</v>
      </c>
      <c r="BD24" s="10">
        <f ca="1">VLOOKUP($B24,'[7]Analisys QBR By Machine Report'!$C$109:$BD$166,51,FALSE)</f>
        <v>229601</v>
      </c>
      <c r="BE24" s="10">
        <f ca="1">VLOOKUP($B24,'[7]Analisys QBR By Machine Report'!$C$109:$BD$166,52,FALSE)</f>
        <v>452</v>
      </c>
      <c r="BF24" s="10">
        <f ca="1">VLOOKUP($B24,'[7]Analisys QBR By Machine Report'!$C$109:$BD$166,53,FALSE)</f>
        <v>229149</v>
      </c>
    </row>
    <row r="25" spans="1:58" x14ac:dyDescent="0.25">
      <c r="A25" s="12" t="s">
        <v>81</v>
      </c>
      <c r="B25" s="13">
        <f ca="1">VLOOKUP($B25,'[7]Analisys QBR By Machine Report'!$C$109:$BD$166,2,FALSE)</f>
        <v>33120</v>
      </c>
      <c r="C25" s="14">
        <f ca="1">VLOOKUP($B25,[7]Dasboard_QBR_Report!$B$109:$BL$166,3,FALSE)</f>
        <v>21390</v>
      </c>
      <c r="D25" s="13">
        <f ca="1">VLOOKUP($B25,'[7]Analisys QBR By Machine Report'!$C$109:$BD$166,3,FALSE)</f>
        <v>19470</v>
      </c>
      <c r="E25" s="14">
        <f ca="1">VLOOKUP($B25,[7]Dasboard_QBR_Report!$B$109:$BL$166,5,FALSE)</f>
        <v>7740</v>
      </c>
      <c r="F25" s="13">
        <f t="shared" ca="1" si="0"/>
        <v>13650</v>
      </c>
      <c r="G25" s="13">
        <f t="shared" ca="1" si="1"/>
        <v>975</v>
      </c>
      <c r="H25" s="13">
        <f ca="1">VLOOKUP($B25,'[7]Analisys QBR By Machine Report'!$C$109:$BD$166,4,FALSE)</f>
        <v>975</v>
      </c>
      <c r="I25" s="13">
        <f ca="1">VLOOKUP($B25,'[7]Analisys QBR By Machine Report'!$C$109:$BD$166,5,FALSE)</f>
        <v>0</v>
      </c>
      <c r="J25" s="13">
        <f ca="1">VLOOKUP($B25,'[7]Analisys QBR By Machine Report'!$C$109:$BD$166,6,FALSE)</f>
        <v>975</v>
      </c>
      <c r="K25" s="13">
        <f ca="1">VLOOKUP($B25,'[7]Analisys QBR By Machine Report'!$C$109:$BD$166,7,FALSE)</f>
        <v>0</v>
      </c>
      <c r="L25" s="13">
        <f ca="1">VLOOKUP($B25,'[7]Analisys QBR By Machine Report'!$C$109:$BD$166,8,FALSE)</f>
        <v>12675</v>
      </c>
      <c r="M25" s="13">
        <f ca="1">VLOOKUP($B25,'[7]Analisys QBR By Machine Report'!$C$109:$BD$166,9,FALSE)</f>
        <v>4000</v>
      </c>
      <c r="N25" s="13">
        <f ca="1">VLOOKUP($B25,[7]Dasboard_QBR_Report!$B$109:$BL$166,18,FALSE)</f>
        <v>8675</v>
      </c>
      <c r="O25" s="13">
        <f ca="1">VLOOKUP($B25,'[7]Analisys QBR By Machine Report'!$C$109:$BD$166,10,FALSE)</f>
        <v>975</v>
      </c>
      <c r="P25" s="13">
        <f ca="1">VLOOKUP($B25,'[7]Analisys QBR By Machine Report'!$C$109:$BD$166,11,FALSE)</f>
        <v>735</v>
      </c>
      <c r="Q25" s="13">
        <f ca="1">VLOOKUP($B25,'[7]Analisys QBR By Machine Report'!$C$109:$BD$166,12,FALSE)</f>
        <v>15</v>
      </c>
      <c r="R25" s="13">
        <f ca="1">VLOOKUP($B25,'[7]Analisys QBR By Machine Report'!$C$109:$BD$166,13,FALSE)</f>
        <v>170</v>
      </c>
      <c r="S25" s="13">
        <f ca="1">VLOOKUP($B25,'[7]Analisys QBR By Machine Report'!$C$109:$BD$166,14,FALSE)</f>
        <v>55</v>
      </c>
      <c r="T25" s="13">
        <f ca="1">VLOOKUP($B25,'[7]Analisys QBR By Machine Report'!$C$109:$BD$166,15,FALSE)</f>
        <v>675</v>
      </c>
      <c r="U25" s="13">
        <f ca="1">VLOOKUP($B25,'[7]Analisys QBR By Machine Report'!$C$109:$BD$166,16,FALSE)</f>
        <v>480</v>
      </c>
      <c r="V25" s="13">
        <f ca="1">VLOOKUP($B25,'[7]Analisys QBR By Machine Report'!$C$109:$BD$166,17,FALSE)</f>
        <v>195</v>
      </c>
      <c r="W25" s="13">
        <f ca="1">VLOOKUP($B25,'[7]Analisys QBR By Machine Report'!$C$109:$BD$166,18,FALSE)</f>
        <v>0</v>
      </c>
      <c r="X25" s="13">
        <f ca="1">VLOOKUP($B25,'[7]Analisys QBR By Machine Report'!$C$109:$BD$166,19,FALSE)</f>
        <v>0</v>
      </c>
      <c r="Y25" s="13">
        <f ca="1">VLOOKUP($B25,'[7]Analisys QBR By Machine Report'!$C$109:$BD$166,20,FALSE)</f>
        <v>0</v>
      </c>
      <c r="Z25" s="13">
        <f ca="1">VLOOKUP($B25,'[7]Analisys QBR By Machine Report'!$C$109:$BD$166,21,FALSE)</f>
        <v>3840</v>
      </c>
      <c r="AA25" s="13">
        <f ca="1">VLOOKUP($B25,'[7]Analisys QBR By Machine Report'!$C$109:$BD$166,22,FALSE)</f>
        <v>375</v>
      </c>
      <c r="AB25" s="13">
        <f ca="1">VLOOKUP($B25,'[7]Analisys QBR By Machine Report'!$C$109:$BD$166,23,FALSE)</f>
        <v>2075</v>
      </c>
      <c r="AC25" s="13">
        <f ca="1">VLOOKUP($B25,'[7]Analisys QBR By Machine Report'!$C$109:$BD$166,24,FALSE)</f>
        <v>30</v>
      </c>
      <c r="AD25" s="13">
        <f ca="1">VLOOKUP($B25,'[7]Analisys QBR By Machine Report'!$C$109:$BD$166,25,FALSE)</f>
        <v>0</v>
      </c>
      <c r="AE25" s="13">
        <f ca="1">VLOOKUP($B25,'[7]Analisys QBR By Machine Report'!$C$109:$BD$166,26,FALSE)</f>
        <v>1360</v>
      </c>
      <c r="AF25" s="13">
        <f ca="1">VLOOKUP($B25,'[7]Analisys QBR By Machine Report'!$C$109:$BD$166,27,FALSE)</f>
        <v>0</v>
      </c>
      <c r="AG25" s="13">
        <f ca="1">VLOOKUP($B25,'[7]Analisys QBR By Machine Report'!$C$109:$BD$166,28,FALSE)</f>
        <v>0</v>
      </c>
      <c r="AH25" s="13">
        <f ca="1">VLOOKUP($B25,'[7]Analisys QBR By Machine Report'!$C$109:$BD$166,29,FALSE)</f>
        <v>0</v>
      </c>
      <c r="AI25" s="13">
        <f ca="1">VLOOKUP($B25,'[7]Analisys QBR By Machine Report'!$C$109:$BD$166,30,FALSE)</f>
        <v>3185</v>
      </c>
      <c r="AJ25" s="13">
        <f ca="1">VLOOKUP($B25,'[7]Analisys QBR By Machine Report'!$C$109:$BD$166,31,FALSE)</f>
        <v>30</v>
      </c>
      <c r="AK25" s="13">
        <f ca="1">VLOOKUP($B25,'[7]Analisys QBR By Machine Report'!$C$109:$BD$166,32,FALSE)</f>
        <v>75</v>
      </c>
      <c r="AL25" s="13">
        <f ca="1">VLOOKUP($B25,'[7]Analisys QBR By Machine Report'!$C$109:$BD$166,33,FALSE)</f>
        <v>750</v>
      </c>
      <c r="AM25" s="13">
        <f ca="1">VLOOKUP($B25,'[7]Analisys QBR By Machine Report'!$C$109:$BD$166,34,FALSE)</f>
        <v>15</v>
      </c>
      <c r="AN25" s="13">
        <f ca="1">VLOOKUP($B25,'[7]Analisys QBR By Machine Report'!$C$109:$BD$166,35,FALSE)</f>
        <v>465</v>
      </c>
      <c r="AO25" s="13">
        <f ca="1">VLOOKUP($B25,'[7]Analisys QBR By Machine Report'!$C$109:$BD$166,36,FALSE)</f>
        <v>0</v>
      </c>
      <c r="AP25" s="13">
        <f ca="1">VLOOKUP($B25,'[7]Analisys QBR By Machine Report'!$C$109:$BD$166,37,FALSE)</f>
        <v>0</v>
      </c>
      <c r="AQ25" s="13">
        <f ca="1">VLOOKUP($B25,'[7]Analisys QBR By Machine Report'!$C$109:$BD$166,38,FALSE)</f>
        <v>0</v>
      </c>
      <c r="AR25" s="13">
        <f ca="1">VLOOKUP($B25,'[7]Analisys QBR By Machine Report'!$C$109:$BD$166,39,FALSE)</f>
        <v>1675</v>
      </c>
      <c r="AS25" s="13">
        <f ca="1">VLOOKUP($B25,'[7]Analisys QBR By Machine Report'!$C$109:$BD$166,40,FALSE)</f>
        <v>0</v>
      </c>
      <c r="AT25" s="13">
        <f ca="1">VLOOKUP($B25,'[7]Analisys QBR By Machine Report'!$C$109:$BD$166,41,FALSE)</f>
        <v>0</v>
      </c>
      <c r="AU25" s="13">
        <f ca="1">VLOOKUP($B25,'[7]Analisys QBR By Machine Report'!$C$109:$BD$166,42,FALSE)</f>
        <v>0</v>
      </c>
      <c r="AV25" s="13">
        <f ca="1">VLOOKUP($B25,'[7]Analisys QBR By Machine Report'!$C$109:$BD$166,43,FALSE)</f>
        <v>0</v>
      </c>
      <c r="AW25" s="13">
        <f ca="1">VLOOKUP($B25,'[7]Analisys QBR By Machine Report'!$C$109:$BD$166,44,FALSE)</f>
        <v>0</v>
      </c>
      <c r="AX25" s="13">
        <f ca="1">VLOOKUP($B25,'[7]Analisys QBR By Machine Report'!$C$109:$BD$166,45,FALSE)</f>
        <v>0</v>
      </c>
      <c r="AY25" s="13">
        <f ca="1">VLOOKUP($B25,'[7]Analisys QBR By Machine Report'!$C$109:$BD$166,46,FALSE)</f>
        <v>0</v>
      </c>
      <c r="AZ25" s="13">
        <f ca="1">VLOOKUP($B25,'[7]Analisys QBR By Machine Report'!$C$109:$BD$166,47,FALSE)</f>
        <v>0</v>
      </c>
      <c r="BA25" s="13">
        <f ca="1">VLOOKUP($B25,'[7]Analisys QBR By Machine Report'!$C$109:$BD$166,48,FALSE)</f>
        <v>30</v>
      </c>
      <c r="BB25" s="13">
        <f ca="1">VLOOKUP($B25,'[7]Analisys QBR By Machine Report'!$C$109:$BD$166,49,FALSE)</f>
        <v>0</v>
      </c>
      <c r="BC25" s="13">
        <f ca="1">VLOOKUP($B25,'[7]Analisys QBR By Machine Report'!$C$109:$BD$166,50,FALSE)</f>
        <v>145</v>
      </c>
      <c r="BD25" s="13">
        <f ca="1">VLOOKUP($B25,'[7]Analisys QBR By Machine Report'!$C$109:$BD$166,51,FALSE)</f>
        <v>207509</v>
      </c>
      <c r="BE25" s="13">
        <f ca="1">VLOOKUP($B25,'[7]Analisys QBR By Machine Report'!$C$109:$BD$166,52,FALSE)</f>
        <v>422</v>
      </c>
      <c r="BF25" s="13">
        <f ca="1">VLOOKUP($B25,'[7]Analisys QBR By Machine Report'!$C$109:$BD$166,53,FALSE)</f>
        <v>207087</v>
      </c>
    </row>
    <row r="26" spans="1:58" x14ac:dyDescent="0.25">
      <c r="A26" s="12" t="s">
        <v>82</v>
      </c>
      <c r="B26" s="13">
        <f ca="1">VLOOKUP($B26,'[7]Analisys QBR By Machine Report'!$C$109:$BD$166,2,FALSE)</f>
        <v>33120</v>
      </c>
      <c r="C26" s="14">
        <f ca="1">VLOOKUP($B26,[7]Dasboard_QBR_Report!$B$109:$BL$166,3,FALSE)</f>
        <v>21390</v>
      </c>
      <c r="D26" s="13">
        <f ca="1">VLOOKUP($B26,'[7]Analisys QBR By Machine Report'!$C$109:$BD$166,3,FALSE)</f>
        <v>32190</v>
      </c>
      <c r="E26" s="14">
        <f ca="1">VLOOKUP($B26,[7]Dasboard_QBR_Report!$B$109:$BL$166,5,FALSE)</f>
        <v>20460</v>
      </c>
      <c r="F26" s="13">
        <f t="shared" ca="1" si="0"/>
        <v>930</v>
      </c>
      <c r="G26" s="13">
        <f t="shared" ca="1" si="1"/>
        <v>0</v>
      </c>
      <c r="H26" s="13">
        <f ca="1">VLOOKUP($B26,'[7]Analisys QBR By Machine Report'!$C$109:$BD$166,4,FALSE)</f>
        <v>0</v>
      </c>
      <c r="I26" s="13">
        <f ca="1">VLOOKUP($B26,'[7]Analisys QBR By Machine Report'!$C$109:$BD$166,5,FALSE)</f>
        <v>0</v>
      </c>
      <c r="J26" s="13">
        <f ca="1">VLOOKUP($B26,'[7]Analisys QBR By Machine Report'!$C$109:$BD$166,6,FALSE)</f>
        <v>0</v>
      </c>
      <c r="K26" s="13">
        <f ca="1">VLOOKUP($B26,'[7]Analisys QBR By Machine Report'!$C$109:$BD$166,7,FALSE)</f>
        <v>0</v>
      </c>
      <c r="L26" s="13">
        <f ca="1">VLOOKUP($B26,'[7]Analisys QBR By Machine Report'!$C$109:$BD$166,8,FALSE)</f>
        <v>930</v>
      </c>
      <c r="M26" s="13">
        <f ca="1">VLOOKUP($B26,'[7]Analisys QBR By Machine Report'!$C$109:$BD$166,9,FALSE)</f>
        <v>430</v>
      </c>
      <c r="N26" s="13">
        <f ca="1">VLOOKUP($B26,[7]Dasboard_QBR_Report!$B$109:$BL$166,18,FALSE)</f>
        <v>500</v>
      </c>
      <c r="O26" s="13">
        <f ca="1">VLOOKUP($B26,'[7]Analisys QBR By Machine Report'!$C$109:$BD$166,10,FALSE)</f>
        <v>15</v>
      </c>
      <c r="P26" s="13">
        <f ca="1">VLOOKUP($B26,'[7]Analisys QBR By Machine Report'!$C$109:$BD$166,11,FALSE)</f>
        <v>0</v>
      </c>
      <c r="Q26" s="13">
        <f ca="1">VLOOKUP($B26,'[7]Analisys QBR By Machine Report'!$C$109:$BD$166,12,FALSE)</f>
        <v>0</v>
      </c>
      <c r="R26" s="13">
        <f ca="1">VLOOKUP($B26,'[7]Analisys QBR By Machine Report'!$C$109:$BD$166,13,FALSE)</f>
        <v>0</v>
      </c>
      <c r="S26" s="13">
        <f ca="1">VLOOKUP($B26,'[7]Analisys QBR By Machine Report'!$C$109:$BD$166,14,FALSE)</f>
        <v>15</v>
      </c>
      <c r="T26" s="13">
        <f ca="1">VLOOKUP($B26,'[7]Analisys QBR By Machine Report'!$C$109:$BD$166,15,FALSE)</f>
        <v>0</v>
      </c>
      <c r="U26" s="13">
        <f ca="1">VLOOKUP($B26,'[7]Analisys QBR By Machine Report'!$C$109:$BD$166,16,FALSE)</f>
        <v>0</v>
      </c>
      <c r="V26" s="13">
        <f ca="1">VLOOKUP($B26,'[7]Analisys QBR By Machine Report'!$C$109:$BD$166,17,FALSE)</f>
        <v>0</v>
      </c>
      <c r="W26" s="13">
        <f ca="1">VLOOKUP($B26,'[7]Analisys QBR By Machine Report'!$C$109:$BD$166,18,FALSE)</f>
        <v>0</v>
      </c>
      <c r="X26" s="13">
        <f ca="1">VLOOKUP($B26,'[7]Analisys QBR By Machine Report'!$C$109:$BD$166,19,FALSE)</f>
        <v>0</v>
      </c>
      <c r="Y26" s="13">
        <f ca="1">VLOOKUP($B26,'[7]Analisys QBR By Machine Report'!$C$109:$BD$166,20,FALSE)</f>
        <v>0</v>
      </c>
      <c r="Z26" s="13">
        <f ca="1">VLOOKUP($B26,'[7]Analisys QBR By Machine Report'!$C$109:$BD$166,21,FALSE)</f>
        <v>290</v>
      </c>
      <c r="AA26" s="13">
        <f ca="1">VLOOKUP($B26,'[7]Analisys QBR By Machine Report'!$C$109:$BD$166,22,FALSE)</f>
        <v>80</v>
      </c>
      <c r="AB26" s="13">
        <f ca="1">VLOOKUP($B26,'[7]Analisys QBR By Machine Report'!$C$109:$BD$166,23,FALSE)</f>
        <v>180</v>
      </c>
      <c r="AC26" s="13">
        <f ca="1">VLOOKUP($B26,'[7]Analisys QBR By Machine Report'!$C$109:$BD$166,24,FALSE)</f>
        <v>0</v>
      </c>
      <c r="AD26" s="13">
        <f ca="1">VLOOKUP($B26,'[7]Analisys QBR By Machine Report'!$C$109:$BD$166,25,FALSE)</f>
        <v>0</v>
      </c>
      <c r="AE26" s="13">
        <f ca="1">VLOOKUP($B26,'[7]Analisys QBR By Machine Report'!$C$109:$BD$166,26,FALSE)</f>
        <v>30</v>
      </c>
      <c r="AF26" s="13">
        <f ca="1">VLOOKUP($B26,'[7]Analisys QBR By Machine Report'!$C$109:$BD$166,27,FALSE)</f>
        <v>0</v>
      </c>
      <c r="AG26" s="13">
        <f ca="1">VLOOKUP($B26,'[7]Analisys QBR By Machine Report'!$C$109:$BD$166,28,FALSE)</f>
        <v>0</v>
      </c>
      <c r="AH26" s="13">
        <f ca="1">VLOOKUP($B26,'[7]Analisys QBR By Machine Report'!$C$109:$BD$166,29,FALSE)</f>
        <v>0</v>
      </c>
      <c r="AI26" s="13">
        <f ca="1">VLOOKUP($B26,'[7]Analisys QBR By Machine Report'!$C$109:$BD$166,30,FALSE)</f>
        <v>195</v>
      </c>
      <c r="AJ26" s="13">
        <f ca="1">VLOOKUP($B26,'[7]Analisys QBR By Machine Report'!$C$109:$BD$166,31,FALSE)</f>
        <v>75</v>
      </c>
      <c r="AK26" s="13">
        <f ca="1">VLOOKUP($B26,'[7]Analisys QBR By Machine Report'!$C$109:$BD$166,32,FALSE)</f>
        <v>0</v>
      </c>
      <c r="AL26" s="13">
        <f ca="1">VLOOKUP($B26,'[7]Analisys QBR By Machine Report'!$C$109:$BD$166,33,FALSE)</f>
        <v>60</v>
      </c>
      <c r="AM26" s="13">
        <f ca="1">VLOOKUP($B26,'[7]Analisys QBR By Machine Report'!$C$109:$BD$166,34,FALSE)</f>
        <v>15</v>
      </c>
      <c r="AN26" s="13">
        <f ca="1">VLOOKUP($B26,'[7]Analisys QBR By Machine Report'!$C$109:$BD$166,35,FALSE)</f>
        <v>45</v>
      </c>
      <c r="AO26" s="13">
        <f ca="1">VLOOKUP($B26,'[7]Analisys QBR By Machine Report'!$C$109:$BD$166,36,FALSE)</f>
        <v>0</v>
      </c>
      <c r="AP26" s="13">
        <f ca="1">VLOOKUP($B26,'[7]Analisys QBR By Machine Report'!$C$109:$BD$166,37,FALSE)</f>
        <v>0</v>
      </c>
      <c r="AQ26" s="13">
        <f ca="1">VLOOKUP($B26,'[7]Analisys QBR By Machine Report'!$C$109:$BD$166,38,FALSE)</f>
        <v>0</v>
      </c>
      <c r="AR26" s="13">
        <f ca="1">VLOOKUP($B26,'[7]Analisys QBR By Machine Report'!$C$109:$BD$166,39,FALSE)</f>
        <v>0</v>
      </c>
      <c r="AS26" s="13">
        <f ca="1">VLOOKUP($B26,'[7]Analisys QBR By Machine Report'!$C$109:$BD$166,40,FALSE)</f>
        <v>0</v>
      </c>
      <c r="AT26" s="13">
        <f ca="1">VLOOKUP($B26,'[7]Analisys QBR By Machine Report'!$C$109:$BD$166,41,FALSE)</f>
        <v>0</v>
      </c>
      <c r="AU26" s="13">
        <f ca="1">VLOOKUP($B26,'[7]Analisys QBR By Machine Report'!$C$109:$BD$166,42,FALSE)</f>
        <v>0</v>
      </c>
      <c r="AV26" s="13">
        <f ca="1">VLOOKUP($B26,'[7]Analisys QBR By Machine Report'!$C$109:$BD$166,43,FALSE)</f>
        <v>0</v>
      </c>
      <c r="AW26" s="13">
        <f ca="1">VLOOKUP($B26,'[7]Analisys QBR By Machine Report'!$C$109:$BD$166,44,FALSE)</f>
        <v>0</v>
      </c>
      <c r="AX26" s="13">
        <f ca="1">VLOOKUP($B26,'[7]Analisys QBR By Machine Report'!$C$109:$BD$166,45,FALSE)</f>
        <v>0</v>
      </c>
      <c r="AY26" s="13">
        <f ca="1">VLOOKUP($B26,'[7]Analisys QBR By Machine Report'!$C$109:$BD$166,46,FALSE)</f>
        <v>0</v>
      </c>
      <c r="AZ26" s="13">
        <f ca="1">VLOOKUP($B26,'[7]Analisys QBR By Machine Report'!$C$109:$BD$166,47,FALSE)</f>
        <v>0</v>
      </c>
      <c r="BA26" s="13">
        <f ca="1">VLOOKUP($B26,'[7]Analisys QBR By Machine Report'!$C$109:$BD$166,48,FALSE)</f>
        <v>0</v>
      </c>
      <c r="BB26" s="13">
        <f ca="1">VLOOKUP($B26,'[7]Analisys QBR By Machine Report'!$C$109:$BD$166,49,FALSE)</f>
        <v>0</v>
      </c>
      <c r="BC26" s="13">
        <f ca="1">VLOOKUP($B26,'[7]Analisys QBR By Machine Report'!$C$109:$BD$166,50,FALSE)</f>
        <v>0</v>
      </c>
      <c r="BD26" s="13">
        <f ca="1">VLOOKUP($B26,'[7]Analisys QBR By Machine Report'!$C$109:$BD$166,51,FALSE)</f>
        <v>22092</v>
      </c>
      <c r="BE26" s="13">
        <f ca="1">VLOOKUP($B26,'[7]Analisys QBR By Machine Report'!$C$109:$BD$166,52,FALSE)</f>
        <v>30</v>
      </c>
      <c r="BF26" s="13">
        <f ca="1">VLOOKUP($B26,'[7]Analisys QBR By Machine Report'!$C$109:$BD$166,53,FALSE)</f>
        <v>22062</v>
      </c>
    </row>
    <row r="27" spans="1:58" x14ac:dyDescent="0.25">
      <c r="A27" s="9" t="s">
        <v>83</v>
      </c>
      <c r="B27" s="10">
        <f ca="1">VLOOKUP($B27,'[7]Analisys QBR By Machine Report'!$C$109:$BD$166,2,FALSE)</f>
        <v>33120</v>
      </c>
      <c r="C27" s="11">
        <f ca="1">VLOOKUP($B27,[7]Dasboard_QBR_Report!$B$109:$BL$166,3,FALSE)</f>
        <v>21390</v>
      </c>
      <c r="D27" s="10">
        <f ca="1">VLOOKUP($B27,'[7]Analisys QBR By Machine Report'!$C$109:$BD$166,3,FALSE)</f>
        <v>24840</v>
      </c>
      <c r="E27" s="11">
        <f ca="1">VLOOKUP($B27,[7]Dasboard_QBR_Report!$B$109:$BL$166,5,FALSE)</f>
        <v>13110</v>
      </c>
      <c r="F27" s="10">
        <f t="shared" ca="1" si="0"/>
        <v>8280</v>
      </c>
      <c r="G27" s="10">
        <f t="shared" ca="1" si="1"/>
        <v>30</v>
      </c>
      <c r="H27" s="10">
        <f ca="1">VLOOKUP($B27,'[7]Analisys QBR By Machine Report'!$C$109:$BD$166,4,FALSE)</f>
        <v>30</v>
      </c>
      <c r="I27" s="10">
        <f ca="1">VLOOKUP($B27,'[7]Analisys QBR By Machine Report'!$C$109:$BD$166,5,FALSE)</f>
        <v>30</v>
      </c>
      <c r="J27" s="10">
        <f ca="1">VLOOKUP($B27,'[7]Analisys QBR By Machine Report'!$C$109:$BD$166,6,FALSE)</f>
        <v>0</v>
      </c>
      <c r="K27" s="10">
        <f ca="1">VLOOKUP($B27,'[7]Analisys QBR By Machine Report'!$C$109:$BD$166,7,FALSE)</f>
        <v>0</v>
      </c>
      <c r="L27" s="10">
        <f ca="1">VLOOKUP($B27,'[7]Analisys QBR By Machine Report'!$C$109:$BD$166,8,FALSE)</f>
        <v>8250</v>
      </c>
      <c r="M27" s="10">
        <f ca="1">VLOOKUP($B27,'[7]Analisys QBR By Machine Report'!$C$109:$BD$166,9,FALSE)</f>
        <v>2331</v>
      </c>
      <c r="N27" s="10">
        <f ca="1">VLOOKUP($B27,[7]Dasboard_QBR_Report!$B$109:$BL$166,18,FALSE)</f>
        <v>5919</v>
      </c>
      <c r="O27" s="10">
        <f ca="1">VLOOKUP($B27,'[7]Analisys QBR By Machine Report'!$C$109:$BD$166,10,FALSE)</f>
        <v>205</v>
      </c>
      <c r="P27" s="10">
        <f ca="1">VLOOKUP($B27,'[7]Analisys QBR By Machine Report'!$C$109:$BD$166,11,FALSE)</f>
        <v>205</v>
      </c>
      <c r="Q27" s="10">
        <f ca="1">VLOOKUP($B27,'[7]Analisys QBR By Machine Report'!$C$109:$BD$166,12,FALSE)</f>
        <v>0</v>
      </c>
      <c r="R27" s="10">
        <f ca="1">VLOOKUP($B27,'[7]Analisys QBR By Machine Report'!$C$109:$BD$166,13,FALSE)</f>
        <v>0</v>
      </c>
      <c r="S27" s="10">
        <f ca="1">VLOOKUP($B27,'[7]Analisys QBR By Machine Report'!$C$109:$BD$166,14,FALSE)</f>
        <v>0</v>
      </c>
      <c r="T27" s="10">
        <f ca="1">VLOOKUP($B27,'[7]Analisys QBR By Machine Report'!$C$109:$BD$166,15,FALSE)</f>
        <v>0</v>
      </c>
      <c r="U27" s="10">
        <f ca="1">VLOOKUP($B27,'[7]Analisys QBR By Machine Report'!$C$109:$BD$166,16,FALSE)</f>
        <v>0</v>
      </c>
      <c r="V27" s="10">
        <f ca="1">VLOOKUP($B27,'[7]Analisys QBR By Machine Report'!$C$109:$BD$166,17,FALSE)</f>
        <v>0</v>
      </c>
      <c r="W27" s="10">
        <f ca="1">VLOOKUP($B27,'[7]Analisys QBR By Machine Report'!$C$109:$BD$166,18,FALSE)</f>
        <v>0</v>
      </c>
      <c r="X27" s="10">
        <f ca="1">VLOOKUP($B27,'[7]Analisys QBR By Machine Report'!$C$109:$BD$166,19,FALSE)</f>
        <v>0</v>
      </c>
      <c r="Y27" s="10">
        <f ca="1">VLOOKUP($B27,'[7]Analisys QBR By Machine Report'!$C$109:$BD$166,20,FALSE)</f>
        <v>0</v>
      </c>
      <c r="Z27" s="10">
        <f ca="1">VLOOKUP($B27,'[7]Analisys QBR By Machine Report'!$C$109:$BD$166,21,FALSE)</f>
        <v>3251</v>
      </c>
      <c r="AA27" s="10">
        <f ca="1">VLOOKUP($B27,'[7]Analisys QBR By Machine Report'!$C$109:$BD$166,22,FALSE)</f>
        <v>862</v>
      </c>
      <c r="AB27" s="10">
        <f ca="1">VLOOKUP($B27,'[7]Analisys QBR By Machine Report'!$C$109:$BD$166,23,FALSE)</f>
        <v>1911</v>
      </c>
      <c r="AC27" s="10">
        <f ca="1">VLOOKUP($B27,'[7]Analisys QBR By Machine Report'!$C$109:$BD$166,24,FALSE)</f>
        <v>0</v>
      </c>
      <c r="AD27" s="10">
        <f ca="1">VLOOKUP($B27,'[7]Analisys QBR By Machine Report'!$C$109:$BD$166,25,FALSE)</f>
        <v>478</v>
      </c>
      <c r="AE27" s="10">
        <f ca="1">VLOOKUP($B27,'[7]Analisys QBR By Machine Report'!$C$109:$BD$166,26,FALSE)</f>
        <v>0</v>
      </c>
      <c r="AF27" s="10">
        <f ca="1">VLOOKUP($B27,'[7]Analisys QBR By Machine Report'!$C$109:$BD$166,27,FALSE)</f>
        <v>0</v>
      </c>
      <c r="AG27" s="10">
        <f ca="1">VLOOKUP($B27,'[7]Analisys QBR By Machine Report'!$C$109:$BD$166,28,FALSE)</f>
        <v>0</v>
      </c>
      <c r="AH27" s="10">
        <f ca="1">VLOOKUP($B27,'[7]Analisys QBR By Machine Report'!$C$109:$BD$166,29,FALSE)</f>
        <v>0</v>
      </c>
      <c r="AI27" s="10">
        <f ca="1">VLOOKUP($B27,'[7]Analisys QBR By Machine Report'!$C$109:$BD$166,30,FALSE)</f>
        <v>2463</v>
      </c>
      <c r="AJ27" s="10">
        <f ca="1">VLOOKUP($B27,'[7]Analisys QBR By Machine Report'!$C$109:$BD$166,31,FALSE)</f>
        <v>0</v>
      </c>
      <c r="AK27" s="10">
        <f ca="1">VLOOKUP($B27,'[7]Analisys QBR By Machine Report'!$C$109:$BD$166,32,FALSE)</f>
        <v>0</v>
      </c>
      <c r="AL27" s="10">
        <f ca="1">VLOOKUP($B27,'[7]Analisys QBR By Machine Report'!$C$109:$BD$166,33,FALSE)</f>
        <v>480</v>
      </c>
      <c r="AM27" s="10">
        <f ca="1">VLOOKUP($B27,'[7]Analisys QBR By Machine Report'!$C$109:$BD$166,34,FALSE)</f>
        <v>0</v>
      </c>
      <c r="AN27" s="10">
        <f ca="1">VLOOKUP($B27,'[7]Analisys QBR By Machine Report'!$C$109:$BD$166,35,FALSE)</f>
        <v>485</v>
      </c>
      <c r="AO27" s="10">
        <f ca="1">VLOOKUP($B27,'[7]Analisys QBR By Machine Report'!$C$109:$BD$166,36,FALSE)</f>
        <v>0</v>
      </c>
      <c r="AP27" s="10">
        <f ca="1">VLOOKUP($B27,'[7]Analisys QBR By Machine Report'!$C$109:$BD$166,37,FALSE)</f>
        <v>0</v>
      </c>
      <c r="AQ27" s="10">
        <f ca="1">VLOOKUP($B27,'[7]Analisys QBR By Machine Report'!$C$109:$BD$166,38,FALSE)</f>
        <v>0</v>
      </c>
      <c r="AR27" s="10">
        <f ca="1">VLOOKUP($B27,'[7]Analisys QBR By Machine Report'!$C$109:$BD$166,39,FALSE)</f>
        <v>0</v>
      </c>
      <c r="AS27" s="10">
        <f ca="1">VLOOKUP($B27,'[7]Analisys QBR By Machine Report'!$C$109:$BD$166,40,FALSE)</f>
        <v>0</v>
      </c>
      <c r="AT27" s="10">
        <f ca="1">VLOOKUP($B27,'[7]Analisys QBR By Machine Report'!$C$109:$BD$166,41,FALSE)</f>
        <v>0</v>
      </c>
      <c r="AU27" s="10">
        <f ca="1">VLOOKUP($B27,'[7]Analisys QBR By Machine Report'!$C$109:$BD$166,42,FALSE)</f>
        <v>0</v>
      </c>
      <c r="AV27" s="10">
        <f ca="1">VLOOKUP($B27,'[7]Analisys QBR By Machine Report'!$C$109:$BD$166,43,FALSE)</f>
        <v>0</v>
      </c>
      <c r="AW27" s="10">
        <f ca="1">VLOOKUP($B27,'[7]Analisys QBR By Machine Report'!$C$109:$BD$166,44,FALSE)</f>
        <v>0</v>
      </c>
      <c r="AX27" s="10">
        <f ca="1">VLOOKUP($B27,'[7]Analisys QBR By Machine Report'!$C$109:$BD$166,45,FALSE)</f>
        <v>0</v>
      </c>
      <c r="AY27" s="10">
        <f ca="1">VLOOKUP($B27,'[7]Analisys QBR By Machine Report'!$C$109:$BD$166,46,FALSE)</f>
        <v>0</v>
      </c>
      <c r="AZ27" s="10">
        <f ca="1">VLOOKUP($B27,'[7]Analisys QBR By Machine Report'!$C$109:$BD$166,47,FALSE)</f>
        <v>1243</v>
      </c>
      <c r="BA27" s="10">
        <f ca="1">VLOOKUP($B27,'[7]Analisys QBR By Machine Report'!$C$109:$BD$166,48,FALSE)</f>
        <v>255</v>
      </c>
      <c r="BB27" s="10">
        <f ca="1">VLOOKUP($B27,'[7]Analisys QBR By Machine Report'!$C$109:$BD$166,49,FALSE)</f>
        <v>0</v>
      </c>
      <c r="BC27" s="10">
        <f ca="1">VLOOKUP($B27,'[7]Analisys QBR By Machine Report'!$C$109:$BD$166,50,FALSE)</f>
        <v>0</v>
      </c>
      <c r="BD27" s="10">
        <f ca="1">VLOOKUP($B27,'[7]Analisys QBR By Machine Report'!$C$109:$BD$166,51,FALSE)</f>
        <v>1364</v>
      </c>
      <c r="BE27" s="10">
        <f ca="1">VLOOKUP($B27,'[7]Analisys QBR By Machine Report'!$C$109:$BD$166,52,FALSE)</f>
        <v>0</v>
      </c>
      <c r="BF27" s="10">
        <f ca="1">VLOOKUP($B27,'[7]Analisys QBR By Machine Report'!$C$109:$BD$166,53,FALSE)</f>
        <v>1364</v>
      </c>
    </row>
    <row r="28" spans="1:58" x14ac:dyDescent="0.25">
      <c r="A28" s="12" t="s">
        <v>84</v>
      </c>
      <c r="B28" s="13">
        <f ca="1">VLOOKUP($B28,'[7]Analisys QBR By Machine Report'!$C$109:$BD$166,2,FALSE)</f>
        <v>33120</v>
      </c>
      <c r="C28" s="14">
        <f ca="1">VLOOKUP($B28,[7]Dasboard_QBR_Report!$B$109:$BL$166,3,FALSE)</f>
        <v>21390</v>
      </c>
      <c r="D28" s="13">
        <f ca="1">VLOOKUP($B28,'[7]Analisys QBR By Machine Report'!$C$109:$BD$166,3,FALSE)</f>
        <v>24840</v>
      </c>
      <c r="E28" s="14">
        <f ca="1">VLOOKUP($B28,[7]Dasboard_QBR_Report!$B$109:$BL$166,5,FALSE)</f>
        <v>13110</v>
      </c>
      <c r="F28" s="13">
        <f t="shared" ca="1" si="0"/>
        <v>8280</v>
      </c>
      <c r="G28" s="13">
        <f t="shared" ca="1" si="1"/>
        <v>30</v>
      </c>
      <c r="H28" s="13">
        <f ca="1">VLOOKUP($B28,'[7]Analisys QBR By Machine Report'!$C$109:$BD$166,4,FALSE)</f>
        <v>30</v>
      </c>
      <c r="I28" s="13">
        <f ca="1">VLOOKUP($B28,'[7]Analisys QBR By Machine Report'!$C$109:$BD$166,5,FALSE)</f>
        <v>30</v>
      </c>
      <c r="J28" s="13">
        <f ca="1">VLOOKUP($B28,'[7]Analisys QBR By Machine Report'!$C$109:$BD$166,6,FALSE)</f>
        <v>0</v>
      </c>
      <c r="K28" s="13">
        <f ca="1">VLOOKUP($B28,'[7]Analisys QBR By Machine Report'!$C$109:$BD$166,7,FALSE)</f>
        <v>0</v>
      </c>
      <c r="L28" s="13">
        <f ca="1">VLOOKUP($B28,'[7]Analisys QBR By Machine Report'!$C$109:$BD$166,8,FALSE)</f>
        <v>8250</v>
      </c>
      <c r="M28" s="13">
        <f ca="1">VLOOKUP($B28,'[7]Analisys QBR By Machine Report'!$C$109:$BD$166,9,FALSE)</f>
        <v>2331</v>
      </c>
      <c r="N28" s="13">
        <f ca="1">VLOOKUP($B28,[7]Dasboard_QBR_Report!$B$109:$BL$166,18,FALSE)</f>
        <v>5919</v>
      </c>
      <c r="O28" s="13">
        <f ca="1">VLOOKUP($B28,'[7]Analisys QBR By Machine Report'!$C$109:$BD$166,10,FALSE)</f>
        <v>205</v>
      </c>
      <c r="P28" s="13">
        <f ca="1">VLOOKUP($B28,'[7]Analisys QBR By Machine Report'!$C$109:$BD$166,11,FALSE)</f>
        <v>205</v>
      </c>
      <c r="Q28" s="13">
        <f ca="1">VLOOKUP($B28,'[7]Analisys QBR By Machine Report'!$C$109:$BD$166,12,FALSE)</f>
        <v>0</v>
      </c>
      <c r="R28" s="13">
        <f ca="1">VLOOKUP($B28,'[7]Analisys QBR By Machine Report'!$C$109:$BD$166,13,FALSE)</f>
        <v>0</v>
      </c>
      <c r="S28" s="13">
        <f ca="1">VLOOKUP($B28,'[7]Analisys QBR By Machine Report'!$C$109:$BD$166,14,FALSE)</f>
        <v>0</v>
      </c>
      <c r="T28" s="13">
        <f ca="1">VLOOKUP($B28,'[7]Analisys QBR By Machine Report'!$C$109:$BD$166,15,FALSE)</f>
        <v>0</v>
      </c>
      <c r="U28" s="13">
        <f ca="1">VLOOKUP($B28,'[7]Analisys QBR By Machine Report'!$C$109:$BD$166,16,FALSE)</f>
        <v>0</v>
      </c>
      <c r="V28" s="13">
        <f ca="1">VLOOKUP($B28,'[7]Analisys QBR By Machine Report'!$C$109:$BD$166,17,FALSE)</f>
        <v>0</v>
      </c>
      <c r="W28" s="13">
        <f ca="1">VLOOKUP($B28,'[7]Analisys QBR By Machine Report'!$C$109:$BD$166,18,FALSE)</f>
        <v>0</v>
      </c>
      <c r="X28" s="13">
        <f ca="1">VLOOKUP($B28,'[7]Analisys QBR By Machine Report'!$C$109:$BD$166,19,FALSE)</f>
        <v>0</v>
      </c>
      <c r="Y28" s="13">
        <f ca="1">VLOOKUP($B28,'[7]Analisys QBR By Machine Report'!$C$109:$BD$166,20,FALSE)</f>
        <v>0</v>
      </c>
      <c r="Z28" s="13">
        <f ca="1">VLOOKUP($B28,'[7]Analisys QBR By Machine Report'!$C$109:$BD$166,21,FALSE)</f>
        <v>3251</v>
      </c>
      <c r="AA28" s="13">
        <f ca="1">VLOOKUP($B28,'[7]Analisys QBR By Machine Report'!$C$109:$BD$166,22,FALSE)</f>
        <v>862</v>
      </c>
      <c r="AB28" s="13">
        <f ca="1">VLOOKUP($B28,'[7]Analisys QBR By Machine Report'!$C$109:$BD$166,23,FALSE)</f>
        <v>1911</v>
      </c>
      <c r="AC28" s="13">
        <f ca="1">VLOOKUP($B28,'[7]Analisys QBR By Machine Report'!$C$109:$BD$166,24,FALSE)</f>
        <v>0</v>
      </c>
      <c r="AD28" s="13">
        <f ca="1">VLOOKUP($B28,'[7]Analisys QBR By Machine Report'!$C$109:$BD$166,25,FALSE)</f>
        <v>478</v>
      </c>
      <c r="AE28" s="13">
        <f ca="1">VLOOKUP($B28,'[7]Analisys QBR By Machine Report'!$C$109:$BD$166,26,FALSE)</f>
        <v>0</v>
      </c>
      <c r="AF28" s="13">
        <f ca="1">VLOOKUP($B28,'[7]Analisys QBR By Machine Report'!$C$109:$BD$166,27,FALSE)</f>
        <v>0</v>
      </c>
      <c r="AG28" s="13">
        <f ca="1">VLOOKUP($B28,'[7]Analisys QBR By Machine Report'!$C$109:$BD$166,28,FALSE)</f>
        <v>0</v>
      </c>
      <c r="AH28" s="13">
        <f ca="1">VLOOKUP($B28,'[7]Analisys QBR By Machine Report'!$C$109:$BD$166,29,FALSE)</f>
        <v>0</v>
      </c>
      <c r="AI28" s="13">
        <f ca="1">VLOOKUP($B28,'[7]Analisys QBR By Machine Report'!$C$109:$BD$166,30,FALSE)</f>
        <v>2463</v>
      </c>
      <c r="AJ28" s="13">
        <f ca="1">VLOOKUP($B28,'[7]Analisys QBR By Machine Report'!$C$109:$BD$166,31,FALSE)</f>
        <v>0</v>
      </c>
      <c r="AK28" s="13">
        <f ca="1">VLOOKUP($B28,'[7]Analisys QBR By Machine Report'!$C$109:$BD$166,32,FALSE)</f>
        <v>0</v>
      </c>
      <c r="AL28" s="13">
        <f ca="1">VLOOKUP($B28,'[7]Analisys QBR By Machine Report'!$C$109:$BD$166,33,FALSE)</f>
        <v>480</v>
      </c>
      <c r="AM28" s="13">
        <f ca="1">VLOOKUP($B28,'[7]Analisys QBR By Machine Report'!$C$109:$BD$166,34,FALSE)</f>
        <v>0</v>
      </c>
      <c r="AN28" s="13">
        <f ca="1">VLOOKUP($B28,'[7]Analisys QBR By Machine Report'!$C$109:$BD$166,35,FALSE)</f>
        <v>485</v>
      </c>
      <c r="AO28" s="13">
        <f ca="1">VLOOKUP($B28,'[7]Analisys QBR By Machine Report'!$C$109:$BD$166,36,FALSE)</f>
        <v>0</v>
      </c>
      <c r="AP28" s="13">
        <f ca="1">VLOOKUP($B28,'[7]Analisys QBR By Machine Report'!$C$109:$BD$166,37,FALSE)</f>
        <v>0</v>
      </c>
      <c r="AQ28" s="13">
        <f ca="1">VLOOKUP($B28,'[7]Analisys QBR By Machine Report'!$C$109:$BD$166,38,FALSE)</f>
        <v>0</v>
      </c>
      <c r="AR28" s="13">
        <f ca="1">VLOOKUP($B28,'[7]Analisys QBR By Machine Report'!$C$109:$BD$166,39,FALSE)</f>
        <v>0</v>
      </c>
      <c r="AS28" s="13">
        <f ca="1">VLOOKUP($B28,'[7]Analisys QBR By Machine Report'!$C$109:$BD$166,40,FALSE)</f>
        <v>0</v>
      </c>
      <c r="AT28" s="13">
        <f ca="1">VLOOKUP($B28,'[7]Analisys QBR By Machine Report'!$C$109:$BD$166,41,FALSE)</f>
        <v>0</v>
      </c>
      <c r="AU28" s="13">
        <f ca="1">VLOOKUP($B28,'[7]Analisys QBR By Machine Report'!$C$109:$BD$166,42,FALSE)</f>
        <v>0</v>
      </c>
      <c r="AV28" s="13">
        <f ca="1">VLOOKUP($B28,'[7]Analisys QBR By Machine Report'!$C$109:$BD$166,43,FALSE)</f>
        <v>0</v>
      </c>
      <c r="AW28" s="13">
        <f ca="1">VLOOKUP($B28,'[7]Analisys QBR By Machine Report'!$C$109:$BD$166,44,FALSE)</f>
        <v>0</v>
      </c>
      <c r="AX28" s="13">
        <f ca="1">VLOOKUP($B28,'[7]Analisys QBR By Machine Report'!$C$109:$BD$166,45,FALSE)</f>
        <v>0</v>
      </c>
      <c r="AY28" s="13">
        <f ca="1">VLOOKUP($B28,'[7]Analisys QBR By Machine Report'!$C$109:$BD$166,46,FALSE)</f>
        <v>0</v>
      </c>
      <c r="AZ28" s="13">
        <f ca="1">VLOOKUP($B28,'[7]Analisys QBR By Machine Report'!$C$109:$BD$166,47,FALSE)</f>
        <v>1243</v>
      </c>
      <c r="BA28" s="13">
        <f ca="1">VLOOKUP($B28,'[7]Analisys QBR By Machine Report'!$C$109:$BD$166,48,FALSE)</f>
        <v>255</v>
      </c>
      <c r="BB28" s="13">
        <f ca="1">VLOOKUP($B28,'[7]Analisys QBR By Machine Report'!$C$109:$BD$166,49,FALSE)</f>
        <v>0</v>
      </c>
      <c r="BC28" s="13">
        <f ca="1">VLOOKUP($B28,'[7]Analisys QBR By Machine Report'!$C$109:$BD$166,50,FALSE)</f>
        <v>0</v>
      </c>
      <c r="BD28" s="13">
        <f ca="1">VLOOKUP($B28,'[7]Analisys QBR By Machine Report'!$C$109:$BD$166,51,FALSE)</f>
        <v>1364</v>
      </c>
      <c r="BE28" s="13">
        <f ca="1">VLOOKUP($B28,'[7]Analisys QBR By Machine Report'!$C$109:$BD$166,52,FALSE)</f>
        <v>0</v>
      </c>
      <c r="BF28" s="13">
        <f ca="1">VLOOKUP($B28,'[7]Analisys QBR By Machine Report'!$C$109:$BD$166,53,FALSE)</f>
        <v>1364</v>
      </c>
    </row>
    <row r="29" spans="1:58" x14ac:dyDescent="0.25">
      <c r="A29" s="9" t="s">
        <v>85</v>
      </c>
      <c r="B29" s="10">
        <f ca="1">VLOOKUP($B29,'[7]Analisys QBR By Machine Report'!$C$109:$BD$166,2,FALSE)</f>
        <v>66240</v>
      </c>
      <c r="C29" s="11">
        <f ca="1">VLOOKUP($B29,[7]Dasboard_QBR_Report!$B$109:$BL$166,3,FALSE)</f>
        <v>42780</v>
      </c>
      <c r="D29" s="10">
        <f ca="1">VLOOKUP($B29,'[7]Analisys QBR By Machine Report'!$C$109:$BD$166,3,FALSE)</f>
        <v>36630</v>
      </c>
      <c r="E29" s="11">
        <f ca="1">VLOOKUP($B29,[7]Dasboard_QBR_Report!$B$109:$BL$166,5,FALSE)</f>
        <v>13170</v>
      </c>
      <c r="F29" s="10">
        <f t="shared" ca="1" si="0"/>
        <v>29610</v>
      </c>
      <c r="G29" s="10">
        <f t="shared" ca="1" si="1"/>
        <v>1840</v>
      </c>
      <c r="H29" s="10">
        <f ca="1">VLOOKUP($B29,'[7]Analisys QBR By Machine Report'!$C$109:$BD$166,4,FALSE)</f>
        <v>1720</v>
      </c>
      <c r="I29" s="10">
        <f ca="1">VLOOKUP($B29,'[7]Analisys QBR By Machine Report'!$C$109:$BD$166,5,FALSE)</f>
        <v>90</v>
      </c>
      <c r="J29" s="10">
        <f ca="1">VLOOKUP($B29,'[7]Analisys QBR By Machine Report'!$C$109:$BD$166,6,FALSE)</f>
        <v>1630</v>
      </c>
      <c r="K29" s="10">
        <f ca="1">VLOOKUP($B29,'[7]Analisys QBR By Machine Report'!$C$109:$BD$166,7,FALSE)</f>
        <v>120</v>
      </c>
      <c r="L29" s="10">
        <f ca="1">VLOOKUP($B29,'[7]Analisys QBR By Machine Report'!$C$109:$BD$166,8,FALSE)</f>
        <v>27770</v>
      </c>
      <c r="M29" s="10">
        <f ca="1">VLOOKUP($B29,'[7]Analisys QBR By Machine Report'!$C$109:$BD$166,9,FALSE)</f>
        <v>11017</v>
      </c>
      <c r="N29" s="10">
        <f ca="1">VLOOKUP($B29,[7]Dasboard_QBR_Report!$B$109:$BL$166,18,FALSE)</f>
        <v>16753</v>
      </c>
      <c r="O29" s="10">
        <f ca="1">VLOOKUP($B29,'[7]Analisys QBR By Machine Report'!$C$109:$BD$166,10,FALSE)</f>
        <v>2619</v>
      </c>
      <c r="P29" s="10">
        <f ca="1">VLOOKUP($B29,'[7]Analisys QBR By Machine Report'!$C$109:$BD$166,11,FALSE)</f>
        <v>2415</v>
      </c>
      <c r="Q29" s="10">
        <f ca="1">VLOOKUP($B29,'[7]Analisys QBR By Machine Report'!$C$109:$BD$166,12,FALSE)</f>
        <v>48</v>
      </c>
      <c r="R29" s="10">
        <f ca="1">VLOOKUP($B29,'[7]Analisys QBR By Machine Report'!$C$109:$BD$166,13,FALSE)</f>
        <v>156</v>
      </c>
      <c r="S29" s="10">
        <f ca="1">VLOOKUP($B29,'[7]Analisys QBR By Machine Report'!$C$109:$BD$166,14,FALSE)</f>
        <v>0</v>
      </c>
      <c r="T29" s="10">
        <f ca="1">VLOOKUP($B29,'[7]Analisys QBR By Machine Report'!$C$109:$BD$166,15,FALSE)</f>
        <v>302</v>
      </c>
      <c r="U29" s="10">
        <f ca="1">VLOOKUP($B29,'[7]Analisys QBR By Machine Report'!$C$109:$BD$166,16,FALSE)</f>
        <v>42</v>
      </c>
      <c r="V29" s="10">
        <f ca="1">VLOOKUP($B29,'[7]Analisys QBR By Machine Report'!$C$109:$BD$166,17,FALSE)</f>
        <v>94</v>
      </c>
      <c r="W29" s="10">
        <f ca="1">VLOOKUP($B29,'[7]Analisys QBR By Machine Report'!$C$109:$BD$166,18,FALSE)</f>
        <v>0</v>
      </c>
      <c r="X29" s="10">
        <f ca="1">VLOOKUP($B29,'[7]Analisys QBR By Machine Report'!$C$109:$BD$166,19,FALSE)</f>
        <v>71</v>
      </c>
      <c r="Y29" s="10">
        <f ca="1">VLOOKUP($B29,'[7]Analisys QBR By Machine Report'!$C$109:$BD$166,20,FALSE)</f>
        <v>95</v>
      </c>
      <c r="Z29" s="10">
        <f ca="1">VLOOKUP($B29,'[7]Analisys QBR By Machine Report'!$C$109:$BD$166,21,FALSE)</f>
        <v>5576</v>
      </c>
      <c r="AA29" s="10">
        <f ca="1">VLOOKUP($B29,'[7]Analisys QBR By Machine Report'!$C$109:$BD$166,22,FALSE)</f>
        <v>875</v>
      </c>
      <c r="AB29" s="10">
        <f ca="1">VLOOKUP($B29,'[7]Analisys QBR By Machine Report'!$C$109:$BD$166,23,FALSE)</f>
        <v>4636</v>
      </c>
      <c r="AC29" s="10">
        <f ca="1">VLOOKUP($B29,'[7]Analisys QBR By Machine Report'!$C$109:$BD$166,24,FALSE)</f>
        <v>65</v>
      </c>
      <c r="AD29" s="10">
        <f ca="1">VLOOKUP($B29,'[7]Analisys QBR By Machine Report'!$C$109:$BD$166,25,FALSE)</f>
        <v>0</v>
      </c>
      <c r="AE29" s="10">
        <f ca="1">VLOOKUP($B29,'[7]Analisys QBR By Machine Report'!$C$109:$BD$166,26,FALSE)</f>
        <v>0</v>
      </c>
      <c r="AF29" s="10">
        <f ca="1">VLOOKUP($B29,'[7]Analisys QBR By Machine Report'!$C$109:$BD$166,27,FALSE)</f>
        <v>155</v>
      </c>
      <c r="AG29" s="10">
        <f ca="1">VLOOKUP($B29,'[7]Analisys QBR By Machine Report'!$C$109:$BD$166,28,FALSE)</f>
        <v>155</v>
      </c>
      <c r="AH29" s="10">
        <f ca="1">VLOOKUP($B29,'[7]Analisys QBR By Machine Report'!$C$109:$BD$166,29,FALSE)</f>
        <v>0</v>
      </c>
      <c r="AI29" s="10">
        <f ca="1">VLOOKUP($B29,'[7]Analisys QBR By Machine Report'!$C$109:$BD$166,30,FALSE)</f>
        <v>8101</v>
      </c>
      <c r="AJ29" s="10">
        <f ca="1">VLOOKUP($B29,'[7]Analisys QBR By Machine Report'!$C$109:$BD$166,31,FALSE)</f>
        <v>0</v>
      </c>
      <c r="AK29" s="10">
        <f ca="1">VLOOKUP($B29,'[7]Analisys QBR By Machine Report'!$C$109:$BD$166,32,FALSE)</f>
        <v>0</v>
      </c>
      <c r="AL29" s="10">
        <f ca="1">VLOOKUP($B29,'[7]Analisys QBR By Machine Report'!$C$109:$BD$166,33,FALSE)</f>
        <v>1890</v>
      </c>
      <c r="AM29" s="10">
        <f ca="1">VLOOKUP($B29,'[7]Analisys QBR By Machine Report'!$C$109:$BD$166,34,FALSE)</f>
        <v>0</v>
      </c>
      <c r="AN29" s="10">
        <f ca="1">VLOOKUP($B29,'[7]Analisys QBR By Machine Report'!$C$109:$BD$166,35,FALSE)</f>
        <v>2030</v>
      </c>
      <c r="AO29" s="10">
        <f ca="1">VLOOKUP($B29,'[7]Analisys QBR By Machine Report'!$C$109:$BD$166,36,FALSE)</f>
        <v>0</v>
      </c>
      <c r="AP29" s="10">
        <f ca="1">VLOOKUP($B29,'[7]Analisys QBR By Machine Report'!$C$109:$BD$166,37,FALSE)</f>
        <v>25</v>
      </c>
      <c r="AQ29" s="10">
        <f ca="1">VLOOKUP($B29,'[7]Analisys QBR By Machine Report'!$C$109:$BD$166,38,FALSE)</f>
        <v>0</v>
      </c>
      <c r="AR29" s="10">
        <f ca="1">VLOOKUP($B29,'[7]Analisys QBR By Machine Report'!$C$109:$BD$166,39,FALSE)</f>
        <v>0</v>
      </c>
      <c r="AS29" s="10">
        <f ca="1">VLOOKUP($B29,'[7]Analisys QBR By Machine Report'!$C$109:$BD$166,40,FALSE)</f>
        <v>410</v>
      </c>
      <c r="AT29" s="10">
        <f ca="1">VLOOKUP($B29,'[7]Analisys QBR By Machine Report'!$C$109:$BD$166,41,FALSE)</f>
        <v>0</v>
      </c>
      <c r="AU29" s="10">
        <f ca="1">VLOOKUP($B29,'[7]Analisys QBR By Machine Report'!$C$109:$BD$166,42,FALSE)</f>
        <v>0</v>
      </c>
      <c r="AV29" s="10">
        <f ca="1">VLOOKUP($B29,'[7]Analisys QBR By Machine Report'!$C$109:$BD$166,43,FALSE)</f>
        <v>3474</v>
      </c>
      <c r="AW29" s="10">
        <f ca="1">VLOOKUP($B29,'[7]Analisys QBR By Machine Report'!$C$109:$BD$166,44,FALSE)</f>
        <v>0</v>
      </c>
      <c r="AX29" s="10">
        <f ca="1">VLOOKUP($B29,'[7]Analisys QBR By Machine Report'!$C$109:$BD$166,45,FALSE)</f>
        <v>0</v>
      </c>
      <c r="AY29" s="10">
        <f ca="1">VLOOKUP($B29,'[7]Analisys QBR By Machine Report'!$C$109:$BD$166,46,FALSE)</f>
        <v>0</v>
      </c>
      <c r="AZ29" s="10">
        <f ca="1">VLOOKUP($B29,'[7]Analisys QBR By Machine Report'!$C$109:$BD$166,47,FALSE)</f>
        <v>42</v>
      </c>
      <c r="BA29" s="10">
        <f ca="1">VLOOKUP($B29,'[7]Analisys QBR By Machine Report'!$C$109:$BD$166,48,FALSE)</f>
        <v>0</v>
      </c>
      <c r="BB29" s="10">
        <f ca="1">VLOOKUP($B29,'[7]Analisys QBR By Machine Report'!$C$109:$BD$166,49,FALSE)</f>
        <v>230</v>
      </c>
      <c r="BC29" s="10">
        <f ca="1">VLOOKUP($B29,'[7]Analisys QBR By Machine Report'!$C$109:$BD$166,50,FALSE)</f>
        <v>0</v>
      </c>
      <c r="BD29" s="10">
        <f ca="1">VLOOKUP($B29,'[7]Analisys QBR By Machine Report'!$C$109:$BD$166,51,FALSE)</f>
        <v>1183526</v>
      </c>
      <c r="BE29" s="10">
        <f ca="1">VLOOKUP($B29,'[7]Analisys QBR By Machine Report'!$C$109:$BD$166,52,FALSE)</f>
        <v>126</v>
      </c>
      <c r="BF29" s="10">
        <f ca="1">VLOOKUP($B29,'[7]Analisys QBR By Machine Report'!$C$109:$BD$166,53,FALSE)</f>
        <v>1183400</v>
      </c>
    </row>
    <row r="30" spans="1:58" x14ac:dyDescent="0.25">
      <c r="A30" s="12" t="s">
        <v>86</v>
      </c>
      <c r="B30" s="13">
        <f ca="1">VLOOKUP($B30,'[7]Analisys QBR By Machine Report'!$C$109:$BD$166,2,FALSE)</f>
        <v>33120</v>
      </c>
      <c r="C30" s="14">
        <f ca="1">VLOOKUP($B30,[7]Dasboard_QBR_Report!$B$109:$BL$166,3,FALSE)</f>
        <v>21390</v>
      </c>
      <c r="D30" s="13">
        <f ca="1">VLOOKUP($B30,'[7]Analisys QBR By Machine Report'!$C$109:$BD$166,3,FALSE)</f>
        <v>20940</v>
      </c>
      <c r="E30" s="14">
        <f ca="1">VLOOKUP($B30,[7]Dasboard_QBR_Report!$B$109:$BL$166,5,FALSE)</f>
        <v>9210</v>
      </c>
      <c r="F30" s="13">
        <f t="shared" ca="1" si="0"/>
        <v>12180</v>
      </c>
      <c r="G30" s="13">
        <f t="shared" ca="1" si="1"/>
        <v>1050</v>
      </c>
      <c r="H30" s="13">
        <f ca="1">VLOOKUP($B30,'[7]Analisys QBR By Machine Report'!$C$109:$BD$166,4,FALSE)</f>
        <v>930</v>
      </c>
      <c r="I30" s="13">
        <f ca="1">VLOOKUP($B30,'[7]Analisys QBR By Machine Report'!$C$109:$BD$166,5,FALSE)</f>
        <v>10</v>
      </c>
      <c r="J30" s="13">
        <f ca="1">VLOOKUP($B30,'[7]Analisys QBR By Machine Report'!$C$109:$BD$166,6,FALSE)</f>
        <v>920</v>
      </c>
      <c r="K30" s="13">
        <f ca="1">VLOOKUP($B30,'[7]Analisys QBR By Machine Report'!$C$109:$BD$166,7,FALSE)</f>
        <v>120</v>
      </c>
      <c r="L30" s="13">
        <f ca="1">VLOOKUP($B30,'[7]Analisys QBR By Machine Report'!$C$109:$BD$166,8,FALSE)</f>
        <v>11130</v>
      </c>
      <c r="M30" s="13">
        <f ca="1">VLOOKUP($B30,'[7]Analisys QBR By Machine Report'!$C$109:$BD$166,9,FALSE)</f>
        <v>2920</v>
      </c>
      <c r="N30" s="13">
        <f ca="1">VLOOKUP($B30,[7]Dasboard_QBR_Report!$B$109:$BL$166,18,FALSE)</f>
        <v>8210</v>
      </c>
      <c r="O30" s="13">
        <f ca="1">VLOOKUP($B30,'[7]Analisys QBR By Machine Report'!$C$109:$BD$166,10,FALSE)</f>
        <v>1244</v>
      </c>
      <c r="P30" s="13">
        <f ca="1">VLOOKUP($B30,'[7]Analisys QBR By Machine Report'!$C$109:$BD$166,11,FALSE)</f>
        <v>1120</v>
      </c>
      <c r="Q30" s="13">
        <f ca="1">VLOOKUP($B30,'[7]Analisys QBR By Machine Report'!$C$109:$BD$166,12,FALSE)</f>
        <v>48</v>
      </c>
      <c r="R30" s="13">
        <f ca="1">VLOOKUP($B30,'[7]Analisys QBR By Machine Report'!$C$109:$BD$166,13,FALSE)</f>
        <v>76</v>
      </c>
      <c r="S30" s="13">
        <f ca="1">VLOOKUP($B30,'[7]Analisys QBR By Machine Report'!$C$109:$BD$166,14,FALSE)</f>
        <v>0</v>
      </c>
      <c r="T30" s="13">
        <f ca="1">VLOOKUP($B30,'[7]Analisys QBR By Machine Report'!$C$109:$BD$166,15,FALSE)</f>
        <v>132</v>
      </c>
      <c r="U30" s="13">
        <f ca="1">VLOOKUP($B30,'[7]Analisys QBR By Machine Report'!$C$109:$BD$166,16,FALSE)</f>
        <v>0</v>
      </c>
      <c r="V30" s="13">
        <f ca="1">VLOOKUP($B30,'[7]Analisys QBR By Machine Report'!$C$109:$BD$166,17,FALSE)</f>
        <v>46</v>
      </c>
      <c r="W30" s="13">
        <f ca="1">VLOOKUP($B30,'[7]Analisys QBR By Machine Report'!$C$109:$BD$166,18,FALSE)</f>
        <v>0</v>
      </c>
      <c r="X30" s="13">
        <f ca="1">VLOOKUP($B30,'[7]Analisys QBR By Machine Report'!$C$109:$BD$166,19,FALSE)</f>
        <v>71</v>
      </c>
      <c r="Y30" s="13">
        <f ca="1">VLOOKUP($B30,'[7]Analisys QBR By Machine Report'!$C$109:$BD$166,20,FALSE)</f>
        <v>15</v>
      </c>
      <c r="Z30" s="13">
        <f ca="1">VLOOKUP($B30,'[7]Analisys QBR By Machine Report'!$C$109:$BD$166,21,FALSE)</f>
        <v>2556</v>
      </c>
      <c r="AA30" s="13">
        <f ca="1">VLOOKUP($B30,'[7]Analisys QBR By Machine Report'!$C$109:$BD$166,22,FALSE)</f>
        <v>598</v>
      </c>
      <c r="AB30" s="13">
        <f ca="1">VLOOKUP($B30,'[7]Analisys QBR By Machine Report'!$C$109:$BD$166,23,FALSE)</f>
        <v>1893</v>
      </c>
      <c r="AC30" s="13">
        <f ca="1">VLOOKUP($B30,'[7]Analisys QBR By Machine Report'!$C$109:$BD$166,24,FALSE)</f>
        <v>65</v>
      </c>
      <c r="AD30" s="13">
        <f ca="1">VLOOKUP($B30,'[7]Analisys QBR By Machine Report'!$C$109:$BD$166,25,FALSE)</f>
        <v>0</v>
      </c>
      <c r="AE30" s="13">
        <f ca="1">VLOOKUP($B30,'[7]Analisys QBR By Machine Report'!$C$109:$BD$166,26,FALSE)</f>
        <v>0</v>
      </c>
      <c r="AF30" s="13">
        <f ca="1">VLOOKUP($B30,'[7]Analisys QBR By Machine Report'!$C$109:$BD$166,27,FALSE)</f>
        <v>155</v>
      </c>
      <c r="AG30" s="13">
        <f ca="1">VLOOKUP($B30,'[7]Analisys QBR By Machine Report'!$C$109:$BD$166,28,FALSE)</f>
        <v>155</v>
      </c>
      <c r="AH30" s="13">
        <f ca="1">VLOOKUP($B30,'[7]Analisys QBR By Machine Report'!$C$109:$BD$166,29,FALSE)</f>
        <v>0</v>
      </c>
      <c r="AI30" s="13">
        <f ca="1">VLOOKUP($B30,'[7]Analisys QBR By Machine Report'!$C$109:$BD$166,30,FALSE)</f>
        <v>4123</v>
      </c>
      <c r="AJ30" s="13">
        <f ca="1">VLOOKUP($B30,'[7]Analisys QBR By Machine Report'!$C$109:$BD$166,31,FALSE)</f>
        <v>0</v>
      </c>
      <c r="AK30" s="13">
        <f ca="1">VLOOKUP($B30,'[7]Analisys QBR By Machine Report'!$C$109:$BD$166,32,FALSE)</f>
        <v>0</v>
      </c>
      <c r="AL30" s="13">
        <f ca="1">VLOOKUP($B30,'[7]Analisys QBR By Machine Report'!$C$109:$BD$166,33,FALSE)</f>
        <v>750</v>
      </c>
      <c r="AM30" s="13">
        <f ca="1">VLOOKUP($B30,'[7]Analisys QBR By Machine Report'!$C$109:$BD$166,34,FALSE)</f>
        <v>0</v>
      </c>
      <c r="AN30" s="13">
        <f ca="1">VLOOKUP($B30,'[7]Analisys QBR By Machine Report'!$C$109:$BD$166,35,FALSE)</f>
        <v>740</v>
      </c>
      <c r="AO30" s="13">
        <f ca="1">VLOOKUP($B30,'[7]Analisys QBR By Machine Report'!$C$109:$BD$166,36,FALSE)</f>
        <v>0</v>
      </c>
      <c r="AP30" s="13">
        <f ca="1">VLOOKUP($B30,'[7]Analisys QBR By Machine Report'!$C$109:$BD$166,37,FALSE)</f>
        <v>0</v>
      </c>
      <c r="AQ30" s="13">
        <f ca="1">VLOOKUP($B30,'[7]Analisys QBR By Machine Report'!$C$109:$BD$166,38,FALSE)</f>
        <v>0</v>
      </c>
      <c r="AR30" s="13">
        <f ca="1">VLOOKUP($B30,'[7]Analisys QBR By Machine Report'!$C$109:$BD$166,39,FALSE)</f>
        <v>0</v>
      </c>
      <c r="AS30" s="13">
        <f ca="1">VLOOKUP($B30,'[7]Analisys QBR By Machine Report'!$C$109:$BD$166,40,FALSE)</f>
        <v>240</v>
      </c>
      <c r="AT30" s="13">
        <f ca="1">VLOOKUP($B30,'[7]Analisys QBR By Machine Report'!$C$109:$BD$166,41,FALSE)</f>
        <v>0</v>
      </c>
      <c r="AU30" s="13">
        <f ca="1">VLOOKUP($B30,'[7]Analisys QBR By Machine Report'!$C$109:$BD$166,42,FALSE)</f>
        <v>0</v>
      </c>
      <c r="AV30" s="13">
        <f ca="1">VLOOKUP($B30,'[7]Analisys QBR By Machine Report'!$C$109:$BD$166,43,FALSE)</f>
        <v>2376</v>
      </c>
      <c r="AW30" s="13">
        <f ca="1">VLOOKUP($B30,'[7]Analisys QBR By Machine Report'!$C$109:$BD$166,44,FALSE)</f>
        <v>0</v>
      </c>
      <c r="AX30" s="13">
        <f ca="1">VLOOKUP($B30,'[7]Analisys QBR By Machine Report'!$C$109:$BD$166,45,FALSE)</f>
        <v>0</v>
      </c>
      <c r="AY30" s="13">
        <f ca="1">VLOOKUP($B30,'[7]Analisys QBR By Machine Report'!$C$109:$BD$166,46,FALSE)</f>
        <v>0</v>
      </c>
      <c r="AZ30" s="13">
        <f ca="1">VLOOKUP($B30,'[7]Analisys QBR By Machine Report'!$C$109:$BD$166,47,FALSE)</f>
        <v>17</v>
      </c>
      <c r="BA30" s="13">
        <f ca="1">VLOOKUP($B30,'[7]Analisys QBR By Machine Report'!$C$109:$BD$166,48,FALSE)</f>
        <v>0</v>
      </c>
      <c r="BB30" s="13">
        <f ca="1">VLOOKUP($B30,'[7]Analisys QBR By Machine Report'!$C$109:$BD$166,49,FALSE)</f>
        <v>0</v>
      </c>
      <c r="BC30" s="13">
        <f ca="1">VLOOKUP($B30,'[7]Analisys QBR By Machine Report'!$C$109:$BD$166,50,FALSE)</f>
        <v>0</v>
      </c>
      <c r="BD30" s="13">
        <f ca="1">VLOOKUP($B30,'[7]Analisys QBR By Machine Report'!$C$109:$BD$166,51,FALSE)</f>
        <v>545849</v>
      </c>
      <c r="BE30" s="13">
        <f ca="1">VLOOKUP($B30,'[7]Analisys QBR By Machine Report'!$C$109:$BD$166,52,FALSE)</f>
        <v>0</v>
      </c>
      <c r="BF30" s="13">
        <f ca="1">VLOOKUP($B30,'[7]Analisys QBR By Machine Report'!$C$109:$BD$166,53,FALSE)</f>
        <v>545849</v>
      </c>
    </row>
    <row r="31" spans="1:58" x14ac:dyDescent="0.25">
      <c r="A31" s="12" t="s">
        <v>87</v>
      </c>
      <c r="B31" s="13">
        <f ca="1">VLOOKUP($B31,'[7]Analisys QBR By Machine Report'!$C$109:$BD$166,2,FALSE)</f>
        <v>33120</v>
      </c>
      <c r="C31" s="14">
        <f ca="1">VLOOKUP($B31,[7]Dasboard_QBR_Report!$B$109:$BL$166,3,FALSE)</f>
        <v>21390</v>
      </c>
      <c r="D31" s="13">
        <f ca="1">VLOOKUP($B31,'[7]Analisys QBR By Machine Report'!$C$109:$BD$166,3,FALSE)</f>
        <v>15690</v>
      </c>
      <c r="E31" s="14">
        <f ca="1">VLOOKUP($B31,[7]Dasboard_QBR_Report!$B$109:$BL$166,5,FALSE)</f>
        <v>3960</v>
      </c>
      <c r="F31" s="13">
        <f t="shared" ca="1" si="0"/>
        <v>17430</v>
      </c>
      <c r="G31" s="13">
        <f t="shared" ca="1" si="1"/>
        <v>790</v>
      </c>
      <c r="H31" s="13">
        <f ca="1">VLOOKUP($B31,'[7]Analisys QBR By Machine Report'!$C$109:$BD$166,4,FALSE)</f>
        <v>790</v>
      </c>
      <c r="I31" s="13">
        <f ca="1">VLOOKUP($B31,'[7]Analisys QBR By Machine Report'!$C$109:$BD$166,5,FALSE)</f>
        <v>80</v>
      </c>
      <c r="J31" s="13">
        <f ca="1">VLOOKUP($B31,'[7]Analisys QBR By Machine Report'!$C$109:$BD$166,6,FALSE)</f>
        <v>710</v>
      </c>
      <c r="K31" s="13">
        <f ca="1">VLOOKUP($B31,'[7]Analisys QBR By Machine Report'!$C$109:$BD$166,7,FALSE)</f>
        <v>0</v>
      </c>
      <c r="L31" s="13">
        <f ca="1">VLOOKUP($B31,'[7]Analisys QBR By Machine Report'!$C$109:$BD$166,8,FALSE)</f>
        <v>16640</v>
      </c>
      <c r="M31" s="13">
        <f ca="1">VLOOKUP($B31,'[7]Analisys QBR By Machine Report'!$C$109:$BD$166,9,FALSE)</f>
        <v>8097</v>
      </c>
      <c r="N31" s="13">
        <f ca="1">VLOOKUP($B31,[7]Dasboard_QBR_Report!$B$109:$BL$166,18,FALSE)</f>
        <v>8543</v>
      </c>
      <c r="O31" s="13">
        <f ca="1">VLOOKUP($B31,'[7]Analisys QBR By Machine Report'!$C$109:$BD$166,10,FALSE)</f>
        <v>1375</v>
      </c>
      <c r="P31" s="13">
        <f ca="1">VLOOKUP($B31,'[7]Analisys QBR By Machine Report'!$C$109:$BD$166,11,FALSE)</f>
        <v>1295</v>
      </c>
      <c r="Q31" s="13">
        <f ca="1">VLOOKUP($B31,'[7]Analisys QBR By Machine Report'!$C$109:$BD$166,12,FALSE)</f>
        <v>0</v>
      </c>
      <c r="R31" s="13">
        <f ca="1">VLOOKUP($B31,'[7]Analisys QBR By Machine Report'!$C$109:$BD$166,13,FALSE)</f>
        <v>80</v>
      </c>
      <c r="S31" s="13">
        <f ca="1">VLOOKUP($B31,'[7]Analisys QBR By Machine Report'!$C$109:$BD$166,14,FALSE)</f>
        <v>0</v>
      </c>
      <c r="T31" s="13">
        <f ca="1">VLOOKUP($B31,'[7]Analisys QBR By Machine Report'!$C$109:$BD$166,15,FALSE)</f>
        <v>170</v>
      </c>
      <c r="U31" s="13">
        <f ca="1">VLOOKUP($B31,'[7]Analisys QBR By Machine Report'!$C$109:$BD$166,16,FALSE)</f>
        <v>42</v>
      </c>
      <c r="V31" s="13">
        <f ca="1">VLOOKUP($B31,'[7]Analisys QBR By Machine Report'!$C$109:$BD$166,17,FALSE)</f>
        <v>48</v>
      </c>
      <c r="W31" s="13">
        <f ca="1">VLOOKUP($B31,'[7]Analisys QBR By Machine Report'!$C$109:$BD$166,18,FALSE)</f>
        <v>0</v>
      </c>
      <c r="X31" s="13">
        <f ca="1">VLOOKUP($B31,'[7]Analisys QBR By Machine Report'!$C$109:$BD$166,19,FALSE)</f>
        <v>0</v>
      </c>
      <c r="Y31" s="13">
        <f ca="1">VLOOKUP($B31,'[7]Analisys QBR By Machine Report'!$C$109:$BD$166,20,FALSE)</f>
        <v>80</v>
      </c>
      <c r="Z31" s="13">
        <f ca="1">VLOOKUP($B31,'[7]Analisys QBR By Machine Report'!$C$109:$BD$166,21,FALSE)</f>
        <v>3020</v>
      </c>
      <c r="AA31" s="13">
        <f ca="1">VLOOKUP($B31,'[7]Analisys QBR By Machine Report'!$C$109:$BD$166,22,FALSE)</f>
        <v>277</v>
      </c>
      <c r="AB31" s="13">
        <f ca="1">VLOOKUP($B31,'[7]Analisys QBR By Machine Report'!$C$109:$BD$166,23,FALSE)</f>
        <v>2743</v>
      </c>
      <c r="AC31" s="13">
        <f ca="1">VLOOKUP($B31,'[7]Analisys QBR By Machine Report'!$C$109:$BD$166,24,FALSE)</f>
        <v>0</v>
      </c>
      <c r="AD31" s="13">
        <f ca="1">VLOOKUP($B31,'[7]Analisys QBR By Machine Report'!$C$109:$BD$166,25,FALSE)</f>
        <v>0</v>
      </c>
      <c r="AE31" s="13">
        <f ca="1">VLOOKUP($B31,'[7]Analisys QBR By Machine Report'!$C$109:$BD$166,26,FALSE)</f>
        <v>0</v>
      </c>
      <c r="AF31" s="13">
        <f ca="1">VLOOKUP($B31,'[7]Analisys QBR By Machine Report'!$C$109:$BD$166,27,FALSE)</f>
        <v>0</v>
      </c>
      <c r="AG31" s="13">
        <f ca="1">VLOOKUP($B31,'[7]Analisys QBR By Machine Report'!$C$109:$BD$166,28,FALSE)</f>
        <v>0</v>
      </c>
      <c r="AH31" s="13">
        <f ca="1">VLOOKUP($B31,'[7]Analisys QBR By Machine Report'!$C$109:$BD$166,29,FALSE)</f>
        <v>0</v>
      </c>
      <c r="AI31" s="13">
        <f ca="1">VLOOKUP($B31,'[7]Analisys QBR By Machine Report'!$C$109:$BD$166,30,FALSE)</f>
        <v>3978</v>
      </c>
      <c r="AJ31" s="13">
        <f ca="1">VLOOKUP($B31,'[7]Analisys QBR By Machine Report'!$C$109:$BD$166,31,FALSE)</f>
        <v>0</v>
      </c>
      <c r="AK31" s="13">
        <f ca="1">VLOOKUP($B31,'[7]Analisys QBR By Machine Report'!$C$109:$BD$166,32,FALSE)</f>
        <v>0</v>
      </c>
      <c r="AL31" s="13">
        <f ca="1">VLOOKUP($B31,'[7]Analisys QBR By Machine Report'!$C$109:$BD$166,33,FALSE)</f>
        <v>1140</v>
      </c>
      <c r="AM31" s="13">
        <f ca="1">VLOOKUP($B31,'[7]Analisys QBR By Machine Report'!$C$109:$BD$166,34,FALSE)</f>
        <v>0</v>
      </c>
      <c r="AN31" s="13">
        <f ca="1">VLOOKUP($B31,'[7]Analisys QBR By Machine Report'!$C$109:$BD$166,35,FALSE)</f>
        <v>1290</v>
      </c>
      <c r="AO31" s="13">
        <f ca="1">VLOOKUP($B31,'[7]Analisys QBR By Machine Report'!$C$109:$BD$166,36,FALSE)</f>
        <v>0</v>
      </c>
      <c r="AP31" s="13">
        <f ca="1">VLOOKUP($B31,'[7]Analisys QBR By Machine Report'!$C$109:$BD$166,37,FALSE)</f>
        <v>25</v>
      </c>
      <c r="AQ31" s="13">
        <f ca="1">VLOOKUP($B31,'[7]Analisys QBR By Machine Report'!$C$109:$BD$166,38,FALSE)</f>
        <v>0</v>
      </c>
      <c r="AR31" s="13">
        <f ca="1">VLOOKUP($B31,'[7]Analisys QBR By Machine Report'!$C$109:$BD$166,39,FALSE)</f>
        <v>0</v>
      </c>
      <c r="AS31" s="13">
        <f ca="1">VLOOKUP($B31,'[7]Analisys QBR By Machine Report'!$C$109:$BD$166,40,FALSE)</f>
        <v>170</v>
      </c>
      <c r="AT31" s="13">
        <f ca="1">VLOOKUP($B31,'[7]Analisys QBR By Machine Report'!$C$109:$BD$166,41,FALSE)</f>
        <v>0</v>
      </c>
      <c r="AU31" s="13">
        <f ca="1">VLOOKUP($B31,'[7]Analisys QBR By Machine Report'!$C$109:$BD$166,42,FALSE)</f>
        <v>0</v>
      </c>
      <c r="AV31" s="13">
        <f ca="1">VLOOKUP($B31,'[7]Analisys QBR By Machine Report'!$C$109:$BD$166,43,FALSE)</f>
        <v>1098</v>
      </c>
      <c r="AW31" s="13">
        <f ca="1">VLOOKUP($B31,'[7]Analisys QBR By Machine Report'!$C$109:$BD$166,44,FALSE)</f>
        <v>0</v>
      </c>
      <c r="AX31" s="13">
        <f ca="1">VLOOKUP($B31,'[7]Analisys QBR By Machine Report'!$C$109:$BD$166,45,FALSE)</f>
        <v>0</v>
      </c>
      <c r="AY31" s="13">
        <f ca="1">VLOOKUP($B31,'[7]Analisys QBR By Machine Report'!$C$109:$BD$166,46,FALSE)</f>
        <v>0</v>
      </c>
      <c r="AZ31" s="13">
        <f ca="1">VLOOKUP($B31,'[7]Analisys QBR By Machine Report'!$C$109:$BD$166,47,FALSE)</f>
        <v>25</v>
      </c>
      <c r="BA31" s="13">
        <f ca="1">VLOOKUP($B31,'[7]Analisys QBR By Machine Report'!$C$109:$BD$166,48,FALSE)</f>
        <v>0</v>
      </c>
      <c r="BB31" s="13">
        <f ca="1">VLOOKUP($B31,'[7]Analisys QBR By Machine Report'!$C$109:$BD$166,49,FALSE)</f>
        <v>230</v>
      </c>
      <c r="BC31" s="13">
        <f ca="1">VLOOKUP($B31,'[7]Analisys QBR By Machine Report'!$C$109:$BD$166,50,FALSE)</f>
        <v>0</v>
      </c>
      <c r="BD31" s="13">
        <f ca="1">VLOOKUP($B31,'[7]Analisys QBR By Machine Report'!$C$109:$BD$166,51,FALSE)</f>
        <v>637677</v>
      </c>
      <c r="BE31" s="13">
        <f ca="1">VLOOKUP($B31,'[7]Analisys QBR By Machine Report'!$C$109:$BD$166,52,FALSE)</f>
        <v>126</v>
      </c>
      <c r="BF31" s="13">
        <f ca="1">VLOOKUP($B31,'[7]Analisys QBR By Machine Report'!$C$109:$BD$166,53,FALSE)</f>
        <v>637551</v>
      </c>
    </row>
    <row r="32" spans="1:58" x14ac:dyDescent="0.25">
      <c r="A32" s="9" t="s">
        <v>88</v>
      </c>
      <c r="B32" s="10">
        <f ca="1">VLOOKUP($B32,'[7]Analisys QBR By Machine Report'!$C$109:$BD$166,2,FALSE)</f>
        <v>99360</v>
      </c>
      <c r="C32" s="11">
        <f ca="1">VLOOKUP($B32,[7]Dasboard_QBR_Report!$B$109:$BL$166,3,FALSE)</f>
        <v>64170</v>
      </c>
      <c r="D32" s="10">
        <f ca="1">VLOOKUP($B32,'[7]Analisys QBR By Machine Report'!$C$109:$BD$166,3,FALSE)</f>
        <v>52319</v>
      </c>
      <c r="E32" s="11">
        <f ca="1">VLOOKUP($B32,[7]Dasboard_QBR_Report!$B$109:$BL$166,5,FALSE)</f>
        <v>17129</v>
      </c>
      <c r="F32" s="10">
        <f t="shared" ca="1" si="0"/>
        <v>47041</v>
      </c>
      <c r="G32" s="10">
        <f t="shared" ca="1" si="1"/>
        <v>7825</v>
      </c>
      <c r="H32" s="10">
        <f ca="1">VLOOKUP($B32,'[7]Analisys QBR By Machine Report'!$C$109:$BD$166,4,FALSE)</f>
        <v>7805</v>
      </c>
      <c r="I32" s="10">
        <f ca="1">VLOOKUP($B32,'[7]Analisys QBR By Machine Report'!$C$109:$BD$166,5,FALSE)</f>
        <v>4902</v>
      </c>
      <c r="J32" s="10">
        <f ca="1">VLOOKUP($B32,'[7]Analisys QBR By Machine Report'!$C$109:$BD$166,6,FALSE)</f>
        <v>2903</v>
      </c>
      <c r="K32" s="10">
        <f ca="1">VLOOKUP($B32,'[7]Analisys QBR By Machine Report'!$C$109:$BD$166,7,FALSE)</f>
        <v>20</v>
      </c>
      <c r="L32" s="10">
        <f ca="1">VLOOKUP($B32,'[7]Analisys QBR By Machine Report'!$C$109:$BD$166,8,FALSE)</f>
        <v>39216</v>
      </c>
      <c r="M32" s="10">
        <f ca="1">VLOOKUP($B32,'[7]Analisys QBR By Machine Report'!$C$109:$BD$166,9,FALSE)</f>
        <v>17391</v>
      </c>
      <c r="N32" s="10">
        <f ca="1">VLOOKUP($B32,[7]Dasboard_QBR_Report!$B$109:$BL$166,18,FALSE)</f>
        <v>21825</v>
      </c>
      <c r="O32" s="10">
        <f ca="1">VLOOKUP($B32,'[7]Analisys QBR By Machine Report'!$C$109:$BD$166,10,FALSE)</f>
        <v>614</v>
      </c>
      <c r="P32" s="10">
        <f ca="1">VLOOKUP($B32,'[7]Analisys QBR By Machine Report'!$C$109:$BD$166,11,FALSE)</f>
        <v>614</v>
      </c>
      <c r="Q32" s="10">
        <f ca="1">VLOOKUP($B32,'[7]Analisys QBR By Machine Report'!$C$109:$BD$166,12,FALSE)</f>
        <v>0</v>
      </c>
      <c r="R32" s="10">
        <f ca="1">VLOOKUP($B32,'[7]Analisys QBR By Machine Report'!$C$109:$BD$166,13,FALSE)</f>
        <v>0</v>
      </c>
      <c r="S32" s="10">
        <f ca="1">VLOOKUP($B32,'[7]Analisys QBR By Machine Report'!$C$109:$BD$166,14,FALSE)</f>
        <v>0</v>
      </c>
      <c r="T32" s="10">
        <f ca="1">VLOOKUP($B32,'[7]Analisys QBR By Machine Report'!$C$109:$BD$166,15,FALSE)</f>
        <v>217</v>
      </c>
      <c r="U32" s="10">
        <f ca="1">VLOOKUP($B32,'[7]Analisys QBR By Machine Report'!$C$109:$BD$166,16,FALSE)</f>
        <v>217</v>
      </c>
      <c r="V32" s="10">
        <f ca="1">VLOOKUP($B32,'[7]Analisys QBR By Machine Report'!$C$109:$BD$166,17,FALSE)</f>
        <v>0</v>
      </c>
      <c r="W32" s="10">
        <f ca="1">VLOOKUP($B32,'[7]Analisys QBR By Machine Report'!$C$109:$BD$166,18,FALSE)</f>
        <v>0</v>
      </c>
      <c r="X32" s="10">
        <f ca="1">VLOOKUP($B32,'[7]Analisys QBR By Machine Report'!$C$109:$BD$166,19,FALSE)</f>
        <v>0</v>
      </c>
      <c r="Y32" s="10">
        <f ca="1">VLOOKUP($B32,'[7]Analisys QBR By Machine Report'!$C$109:$BD$166,20,FALSE)</f>
        <v>0</v>
      </c>
      <c r="Z32" s="10">
        <f ca="1">VLOOKUP($B32,'[7]Analisys QBR By Machine Report'!$C$109:$BD$166,21,FALSE)</f>
        <v>9089</v>
      </c>
      <c r="AA32" s="10">
        <f ca="1">VLOOKUP($B32,'[7]Analisys QBR By Machine Report'!$C$109:$BD$166,22,FALSE)</f>
        <v>7379</v>
      </c>
      <c r="AB32" s="10">
        <f ca="1">VLOOKUP($B32,'[7]Analisys QBR By Machine Report'!$C$109:$BD$166,23,FALSE)</f>
        <v>1160</v>
      </c>
      <c r="AC32" s="10">
        <f ca="1">VLOOKUP($B32,'[7]Analisys QBR By Machine Report'!$C$109:$BD$166,24,FALSE)</f>
        <v>60</v>
      </c>
      <c r="AD32" s="10">
        <f ca="1">VLOOKUP($B32,'[7]Analisys QBR By Machine Report'!$C$109:$BD$166,25,FALSE)</f>
        <v>0</v>
      </c>
      <c r="AE32" s="10">
        <f ca="1">VLOOKUP($B32,'[7]Analisys QBR By Machine Report'!$C$109:$BD$166,26,FALSE)</f>
        <v>490</v>
      </c>
      <c r="AF32" s="10">
        <f ca="1">VLOOKUP($B32,'[7]Analisys QBR By Machine Report'!$C$109:$BD$166,27,FALSE)</f>
        <v>0</v>
      </c>
      <c r="AG32" s="10">
        <f ca="1">VLOOKUP($B32,'[7]Analisys QBR By Machine Report'!$C$109:$BD$166,28,FALSE)</f>
        <v>0</v>
      </c>
      <c r="AH32" s="10">
        <f ca="1">VLOOKUP($B32,'[7]Analisys QBR By Machine Report'!$C$109:$BD$166,29,FALSE)</f>
        <v>0</v>
      </c>
      <c r="AI32" s="10">
        <f ca="1">VLOOKUP($B32,'[7]Analisys QBR By Machine Report'!$C$109:$BD$166,30,FALSE)</f>
        <v>11905</v>
      </c>
      <c r="AJ32" s="10">
        <f ca="1">VLOOKUP($B32,'[7]Analisys QBR By Machine Report'!$C$109:$BD$166,31,FALSE)</f>
        <v>0</v>
      </c>
      <c r="AK32" s="10">
        <f ca="1">VLOOKUP($B32,'[7]Analisys QBR By Machine Report'!$C$109:$BD$166,32,FALSE)</f>
        <v>0</v>
      </c>
      <c r="AL32" s="10">
        <f ca="1">VLOOKUP($B32,'[7]Analisys QBR By Machine Report'!$C$109:$BD$166,33,FALSE)</f>
        <v>1101</v>
      </c>
      <c r="AM32" s="10">
        <f ca="1">VLOOKUP($B32,'[7]Analisys QBR By Machine Report'!$C$109:$BD$166,34,FALSE)</f>
        <v>60</v>
      </c>
      <c r="AN32" s="10">
        <f ca="1">VLOOKUP($B32,'[7]Analisys QBR By Machine Report'!$C$109:$BD$166,35,FALSE)</f>
        <v>793</v>
      </c>
      <c r="AO32" s="10">
        <f ca="1">VLOOKUP($B32,'[7]Analisys QBR By Machine Report'!$C$109:$BD$166,36,FALSE)</f>
        <v>1533</v>
      </c>
      <c r="AP32" s="10">
        <f ca="1">VLOOKUP($B32,'[7]Analisys QBR By Machine Report'!$C$109:$BD$166,37,FALSE)</f>
        <v>0</v>
      </c>
      <c r="AQ32" s="10">
        <f ca="1">VLOOKUP($B32,'[7]Analisys QBR By Machine Report'!$C$109:$BD$166,38,FALSE)</f>
        <v>0</v>
      </c>
      <c r="AR32" s="10">
        <f ca="1">VLOOKUP($B32,'[7]Analisys QBR By Machine Report'!$C$109:$BD$166,39,FALSE)</f>
        <v>8187</v>
      </c>
      <c r="AS32" s="10">
        <f ca="1">VLOOKUP($B32,'[7]Analisys QBR By Machine Report'!$C$109:$BD$166,40,FALSE)</f>
        <v>231</v>
      </c>
      <c r="AT32" s="10">
        <f ca="1">VLOOKUP($B32,'[7]Analisys QBR By Machine Report'!$C$109:$BD$166,41,FALSE)</f>
        <v>0</v>
      </c>
      <c r="AU32" s="10">
        <f ca="1">VLOOKUP($B32,'[7]Analisys QBR By Machine Report'!$C$109:$BD$166,42,FALSE)</f>
        <v>0</v>
      </c>
      <c r="AV32" s="10">
        <f ca="1">VLOOKUP($B32,'[7]Analisys QBR By Machine Report'!$C$109:$BD$166,43,FALSE)</f>
        <v>0</v>
      </c>
      <c r="AW32" s="10">
        <f ca="1">VLOOKUP($B32,'[7]Analisys QBR By Machine Report'!$C$109:$BD$166,44,FALSE)</f>
        <v>0</v>
      </c>
      <c r="AX32" s="10">
        <f ca="1">VLOOKUP($B32,'[7]Analisys QBR By Machine Report'!$C$109:$BD$166,45,FALSE)</f>
        <v>0</v>
      </c>
      <c r="AY32" s="10">
        <f ca="1">VLOOKUP($B32,'[7]Analisys QBR By Machine Report'!$C$109:$BD$166,46,FALSE)</f>
        <v>0</v>
      </c>
      <c r="AZ32" s="10">
        <f ca="1">VLOOKUP($B32,'[7]Analisys QBR By Machine Report'!$C$109:$BD$166,47,FALSE)</f>
        <v>0</v>
      </c>
      <c r="BA32" s="10">
        <f ca="1">VLOOKUP($B32,'[7]Analisys QBR By Machine Report'!$C$109:$BD$166,48,FALSE)</f>
        <v>0</v>
      </c>
      <c r="BB32" s="10">
        <f ca="1">VLOOKUP($B32,'[7]Analisys QBR By Machine Report'!$C$109:$BD$166,49,FALSE)</f>
        <v>0</v>
      </c>
      <c r="BC32" s="10">
        <f ca="1">VLOOKUP($B32,'[7]Analisys QBR By Machine Report'!$C$109:$BD$166,50,FALSE)</f>
        <v>0</v>
      </c>
      <c r="BD32" s="10">
        <f ca="1">VLOOKUP($B32,'[7]Analisys QBR By Machine Report'!$C$109:$BD$166,51,FALSE)</f>
        <v>1293</v>
      </c>
      <c r="BE32" s="10">
        <f ca="1">VLOOKUP($B32,'[7]Analisys QBR By Machine Report'!$C$109:$BD$166,52,FALSE)</f>
        <v>0</v>
      </c>
      <c r="BF32" s="10">
        <f ca="1">VLOOKUP($B32,'[7]Analisys QBR By Machine Report'!$C$109:$BD$166,53,FALSE)</f>
        <v>1293</v>
      </c>
    </row>
    <row r="33" spans="1:58" x14ac:dyDescent="0.25">
      <c r="A33" s="12" t="s">
        <v>89</v>
      </c>
      <c r="B33" s="13">
        <f ca="1">VLOOKUP($B33,'[7]Analisys QBR By Machine Report'!$C$109:$BD$166,2,FALSE)</f>
        <v>33120</v>
      </c>
      <c r="C33" s="14">
        <f ca="1">VLOOKUP($B33,[7]Dasboard_QBR_Report!$B$109:$BL$166,3,FALSE)</f>
        <v>21390</v>
      </c>
      <c r="D33" s="13">
        <f ca="1">VLOOKUP($B33,'[7]Analisys QBR By Machine Report'!$C$109:$BD$166,3,FALSE)</f>
        <v>14104</v>
      </c>
      <c r="E33" s="14">
        <f ca="1">VLOOKUP($B33,[7]Dasboard_QBR_Report!$B$109:$BL$166,5,FALSE)</f>
        <v>2374</v>
      </c>
      <c r="F33" s="13">
        <f t="shared" ca="1" si="0"/>
        <v>19016</v>
      </c>
      <c r="G33" s="13">
        <f t="shared" ca="1" si="1"/>
        <v>5577</v>
      </c>
      <c r="H33" s="13">
        <f ca="1">VLOOKUP($B33,'[7]Analisys QBR By Machine Report'!$C$109:$BD$166,4,FALSE)</f>
        <v>5577</v>
      </c>
      <c r="I33" s="13">
        <f ca="1">VLOOKUP($B33,'[7]Analisys QBR By Machine Report'!$C$109:$BD$166,5,FALSE)</f>
        <v>4460</v>
      </c>
      <c r="J33" s="13">
        <f ca="1">VLOOKUP($B33,'[7]Analisys QBR By Machine Report'!$C$109:$BD$166,6,FALSE)</f>
        <v>1117</v>
      </c>
      <c r="K33" s="13">
        <f ca="1">VLOOKUP($B33,'[7]Analisys QBR By Machine Report'!$C$109:$BD$166,7,FALSE)</f>
        <v>0</v>
      </c>
      <c r="L33" s="13">
        <f ca="1">VLOOKUP($B33,'[7]Analisys QBR By Machine Report'!$C$109:$BD$166,8,FALSE)</f>
        <v>13439</v>
      </c>
      <c r="M33" s="13">
        <f ca="1">VLOOKUP($B33,'[7]Analisys QBR By Machine Report'!$C$109:$BD$166,9,FALSE)</f>
        <v>5968</v>
      </c>
      <c r="N33" s="13">
        <f ca="1">VLOOKUP($B33,[7]Dasboard_QBR_Report!$B$109:$BL$166,18,FALSE)</f>
        <v>7471</v>
      </c>
      <c r="O33" s="13">
        <f ca="1">VLOOKUP($B33,'[7]Analisys QBR By Machine Report'!$C$109:$BD$166,10,FALSE)</f>
        <v>165</v>
      </c>
      <c r="P33" s="13">
        <f ca="1">VLOOKUP($B33,'[7]Analisys QBR By Machine Report'!$C$109:$BD$166,11,FALSE)</f>
        <v>165</v>
      </c>
      <c r="Q33" s="13">
        <f ca="1">VLOOKUP($B33,'[7]Analisys QBR By Machine Report'!$C$109:$BD$166,12,FALSE)</f>
        <v>0</v>
      </c>
      <c r="R33" s="13">
        <f ca="1">VLOOKUP($B33,'[7]Analisys QBR By Machine Report'!$C$109:$BD$166,13,FALSE)</f>
        <v>0</v>
      </c>
      <c r="S33" s="13">
        <f ca="1">VLOOKUP($B33,'[7]Analisys QBR By Machine Report'!$C$109:$BD$166,14,FALSE)</f>
        <v>0</v>
      </c>
      <c r="T33" s="13">
        <f ca="1">VLOOKUP($B33,'[7]Analisys QBR By Machine Report'!$C$109:$BD$166,15,FALSE)</f>
        <v>217</v>
      </c>
      <c r="U33" s="13">
        <f ca="1">VLOOKUP($B33,'[7]Analisys QBR By Machine Report'!$C$109:$BD$166,16,FALSE)</f>
        <v>217</v>
      </c>
      <c r="V33" s="13">
        <f ca="1">VLOOKUP($B33,'[7]Analisys QBR By Machine Report'!$C$109:$BD$166,17,FALSE)</f>
        <v>0</v>
      </c>
      <c r="W33" s="13">
        <f ca="1">VLOOKUP($B33,'[7]Analisys QBR By Machine Report'!$C$109:$BD$166,18,FALSE)</f>
        <v>0</v>
      </c>
      <c r="X33" s="13">
        <f ca="1">VLOOKUP($B33,'[7]Analisys QBR By Machine Report'!$C$109:$BD$166,19,FALSE)</f>
        <v>0</v>
      </c>
      <c r="Y33" s="13">
        <f ca="1">VLOOKUP($B33,'[7]Analisys QBR By Machine Report'!$C$109:$BD$166,20,FALSE)</f>
        <v>0</v>
      </c>
      <c r="Z33" s="13">
        <f ca="1">VLOOKUP($B33,'[7]Analisys QBR By Machine Report'!$C$109:$BD$166,21,FALSE)</f>
        <v>1726</v>
      </c>
      <c r="AA33" s="13">
        <f ca="1">VLOOKUP($B33,'[7]Analisys QBR By Machine Report'!$C$109:$BD$166,22,FALSE)</f>
        <v>1129</v>
      </c>
      <c r="AB33" s="13">
        <f ca="1">VLOOKUP($B33,'[7]Analisys QBR By Machine Report'!$C$109:$BD$166,23,FALSE)</f>
        <v>477</v>
      </c>
      <c r="AC33" s="13">
        <f ca="1">VLOOKUP($B33,'[7]Analisys QBR By Machine Report'!$C$109:$BD$166,24,FALSE)</f>
        <v>0</v>
      </c>
      <c r="AD33" s="13">
        <f ca="1">VLOOKUP($B33,'[7]Analisys QBR By Machine Report'!$C$109:$BD$166,25,FALSE)</f>
        <v>0</v>
      </c>
      <c r="AE33" s="13">
        <f ca="1">VLOOKUP($B33,'[7]Analisys QBR By Machine Report'!$C$109:$BD$166,26,FALSE)</f>
        <v>120</v>
      </c>
      <c r="AF33" s="13">
        <f ca="1">VLOOKUP($B33,'[7]Analisys QBR By Machine Report'!$C$109:$BD$166,27,FALSE)</f>
        <v>0</v>
      </c>
      <c r="AG33" s="13">
        <f ca="1">VLOOKUP($B33,'[7]Analisys QBR By Machine Report'!$C$109:$BD$166,28,FALSE)</f>
        <v>0</v>
      </c>
      <c r="AH33" s="13">
        <f ca="1">VLOOKUP($B33,'[7]Analisys QBR By Machine Report'!$C$109:$BD$166,29,FALSE)</f>
        <v>0</v>
      </c>
      <c r="AI33" s="13">
        <f ca="1">VLOOKUP($B33,'[7]Analisys QBR By Machine Report'!$C$109:$BD$166,30,FALSE)</f>
        <v>5363</v>
      </c>
      <c r="AJ33" s="13">
        <f ca="1">VLOOKUP($B33,'[7]Analisys QBR By Machine Report'!$C$109:$BD$166,31,FALSE)</f>
        <v>0</v>
      </c>
      <c r="AK33" s="13">
        <f ca="1">VLOOKUP($B33,'[7]Analisys QBR By Machine Report'!$C$109:$BD$166,32,FALSE)</f>
        <v>0</v>
      </c>
      <c r="AL33" s="13">
        <f ca="1">VLOOKUP($B33,'[7]Analisys QBR By Machine Report'!$C$109:$BD$166,33,FALSE)</f>
        <v>271</v>
      </c>
      <c r="AM33" s="13">
        <f ca="1">VLOOKUP($B33,'[7]Analisys QBR By Machine Report'!$C$109:$BD$166,34,FALSE)</f>
        <v>0</v>
      </c>
      <c r="AN33" s="13">
        <f ca="1">VLOOKUP($B33,'[7]Analisys QBR By Machine Report'!$C$109:$BD$166,35,FALSE)</f>
        <v>170</v>
      </c>
      <c r="AO33" s="13">
        <f ca="1">VLOOKUP($B33,'[7]Analisys QBR By Machine Report'!$C$109:$BD$166,36,FALSE)</f>
        <v>0</v>
      </c>
      <c r="AP33" s="13">
        <f ca="1">VLOOKUP($B33,'[7]Analisys QBR By Machine Report'!$C$109:$BD$166,37,FALSE)</f>
        <v>0</v>
      </c>
      <c r="AQ33" s="13">
        <f ca="1">VLOOKUP($B33,'[7]Analisys QBR By Machine Report'!$C$109:$BD$166,38,FALSE)</f>
        <v>0</v>
      </c>
      <c r="AR33" s="13">
        <f ca="1">VLOOKUP($B33,'[7]Analisys QBR By Machine Report'!$C$109:$BD$166,39,FALSE)</f>
        <v>4907</v>
      </c>
      <c r="AS33" s="13">
        <f ca="1">VLOOKUP($B33,'[7]Analisys QBR By Machine Report'!$C$109:$BD$166,40,FALSE)</f>
        <v>15</v>
      </c>
      <c r="AT33" s="13">
        <f ca="1">VLOOKUP($B33,'[7]Analisys QBR By Machine Report'!$C$109:$BD$166,41,FALSE)</f>
        <v>0</v>
      </c>
      <c r="AU33" s="13">
        <f ca="1">VLOOKUP($B33,'[7]Analisys QBR By Machine Report'!$C$109:$BD$166,42,FALSE)</f>
        <v>0</v>
      </c>
      <c r="AV33" s="13">
        <f ca="1">VLOOKUP($B33,'[7]Analisys QBR By Machine Report'!$C$109:$BD$166,43,FALSE)</f>
        <v>0</v>
      </c>
      <c r="AW33" s="13">
        <f ca="1">VLOOKUP($B33,'[7]Analisys QBR By Machine Report'!$C$109:$BD$166,44,FALSE)</f>
        <v>0</v>
      </c>
      <c r="AX33" s="13">
        <f ca="1">VLOOKUP($B33,'[7]Analisys QBR By Machine Report'!$C$109:$BD$166,45,FALSE)</f>
        <v>0</v>
      </c>
      <c r="AY33" s="13">
        <f ca="1">VLOOKUP($B33,'[7]Analisys QBR By Machine Report'!$C$109:$BD$166,46,FALSE)</f>
        <v>0</v>
      </c>
      <c r="AZ33" s="13">
        <f ca="1">VLOOKUP($B33,'[7]Analisys QBR By Machine Report'!$C$109:$BD$166,47,FALSE)</f>
        <v>0</v>
      </c>
      <c r="BA33" s="13">
        <f ca="1">VLOOKUP($B33,'[7]Analisys QBR By Machine Report'!$C$109:$BD$166,48,FALSE)</f>
        <v>0</v>
      </c>
      <c r="BB33" s="13">
        <f ca="1">VLOOKUP($B33,'[7]Analisys QBR By Machine Report'!$C$109:$BD$166,49,FALSE)</f>
        <v>0</v>
      </c>
      <c r="BC33" s="13">
        <f ca="1">VLOOKUP($B33,'[7]Analisys QBR By Machine Report'!$C$109:$BD$166,50,FALSE)</f>
        <v>0</v>
      </c>
      <c r="BD33" s="13">
        <f ca="1">VLOOKUP($B33,'[7]Analisys QBR By Machine Report'!$C$109:$BD$166,51,FALSE)</f>
        <v>551</v>
      </c>
      <c r="BE33" s="13">
        <f ca="1">VLOOKUP($B33,'[7]Analisys QBR By Machine Report'!$C$109:$BD$166,52,FALSE)</f>
        <v>0</v>
      </c>
      <c r="BF33" s="13">
        <f ca="1">VLOOKUP($B33,'[7]Analisys QBR By Machine Report'!$C$109:$BD$166,53,FALSE)</f>
        <v>551</v>
      </c>
    </row>
    <row r="34" spans="1:58" x14ac:dyDescent="0.25">
      <c r="A34" s="12" t="s">
        <v>90</v>
      </c>
      <c r="B34" s="13">
        <f ca="1">VLOOKUP($B34,'[7]Analisys QBR By Machine Report'!$C$109:$BD$166,2,FALSE)</f>
        <v>33120</v>
      </c>
      <c r="C34" s="14">
        <f ca="1">VLOOKUP($B34,[7]Dasboard_QBR_Report!$B$109:$BL$166,3,FALSE)</f>
        <v>21390</v>
      </c>
      <c r="D34" s="13">
        <f ca="1">VLOOKUP($B34,'[7]Analisys QBR By Machine Report'!$C$109:$BD$166,3,FALSE)</f>
        <v>15367</v>
      </c>
      <c r="E34" s="14">
        <f ca="1">VLOOKUP($B34,[7]Dasboard_QBR_Report!$B$109:$BL$166,5,FALSE)</f>
        <v>3637</v>
      </c>
      <c r="F34" s="13">
        <f t="shared" ca="1" si="0"/>
        <v>17753</v>
      </c>
      <c r="G34" s="13">
        <f t="shared" ca="1" si="1"/>
        <v>973</v>
      </c>
      <c r="H34" s="13">
        <f ca="1">VLOOKUP($B34,'[7]Analisys QBR By Machine Report'!$C$109:$BD$166,4,FALSE)</f>
        <v>973</v>
      </c>
      <c r="I34" s="13">
        <f ca="1">VLOOKUP($B34,'[7]Analisys QBR By Machine Report'!$C$109:$BD$166,5,FALSE)</f>
        <v>442</v>
      </c>
      <c r="J34" s="13">
        <f ca="1">VLOOKUP($B34,'[7]Analisys QBR By Machine Report'!$C$109:$BD$166,6,FALSE)</f>
        <v>531</v>
      </c>
      <c r="K34" s="13">
        <f ca="1">VLOOKUP($B34,'[7]Analisys QBR By Machine Report'!$C$109:$BD$166,7,FALSE)</f>
        <v>0</v>
      </c>
      <c r="L34" s="13">
        <f ca="1">VLOOKUP($B34,'[7]Analisys QBR By Machine Report'!$C$109:$BD$166,8,FALSE)</f>
        <v>16780</v>
      </c>
      <c r="M34" s="13">
        <f ca="1">VLOOKUP($B34,'[7]Analisys QBR By Machine Report'!$C$109:$BD$166,9,FALSE)</f>
        <v>10205</v>
      </c>
      <c r="N34" s="13">
        <f ca="1">VLOOKUP($B34,[7]Dasboard_QBR_Report!$B$109:$BL$166,18,FALSE)</f>
        <v>6575</v>
      </c>
      <c r="O34" s="13">
        <f ca="1">VLOOKUP($B34,'[7]Analisys QBR By Machine Report'!$C$109:$BD$166,10,FALSE)</f>
        <v>62</v>
      </c>
      <c r="P34" s="13">
        <f ca="1">VLOOKUP($B34,'[7]Analisys QBR By Machine Report'!$C$109:$BD$166,11,FALSE)</f>
        <v>62</v>
      </c>
      <c r="Q34" s="13">
        <f ca="1">VLOOKUP($B34,'[7]Analisys QBR By Machine Report'!$C$109:$BD$166,12,FALSE)</f>
        <v>0</v>
      </c>
      <c r="R34" s="13">
        <f ca="1">VLOOKUP($B34,'[7]Analisys QBR By Machine Report'!$C$109:$BD$166,13,FALSE)</f>
        <v>0</v>
      </c>
      <c r="S34" s="13">
        <f ca="1">VLOOKUP($B34,'[7]Analisys QBR By Machine Report'!$C$109:$BD$166,14,FALSE)</f>
        <v>0</v>
      </c>
      <c r="T34" s="13">
        <f ca="1">VLOOKUP($B34,'[7]Analisys QBR By Machine Report'!$C$109:$BD$166,15,FALSE)</f>
        <v>0</v>
      </c>
      <c r="U34" s="13">
        <f ca="1">VLOOKUP($B34,'[7]Analisys QBR By Machine Report'!$C$109:$BD$166,16,FALSE)</f>
        <v>0</v>
      </c>
      <c r="V34" s="13">
        <f ca="1">VLOOKUP($B34,'[7]Analisys QBR By Machine Report'!$C$109:$BD$166,17,FALSE)</f>
        <v>0</v>
      </c>
      <c r="W34" s="13">
        <f ca="1">VLOOKUP($B34,'[7]Analisys QBR By Machine Report'!$C$109:$BD$166,18,FALSE)</f>
        <v>0</v>
      </c>
      <c r="X34" s="13">
        <f ca="1">VLOOKUP($B34,'[7]Analisys QBR By Machine Report'!$C$109:$BD$166,19,FALSE)</f>
        <v>0</v>
      </c>
      <c r="Y34" s="13">
        <f ca="1">VLOOKUP($B34,'[7]Analisys QBR By Machine Report'!$C$109:$BD$166,20,FALSE)</f>
        <v>0</v>
      </c>
      <c r="Z34" s="13">
        <f ca="1">VLOOKUP($B34,'[7]Analisys QBR By Machine Report'!$C$109:$BD$166,21,FALSE)</f>
        <v>5707</v>
      </c>
      <c r="AA34" s="13">
        <f ca="1">VLOOKUP($B34,'[7]Analisys QBR By Machine Report'!$C$109:$BD$166,22,FALSE)</f>
        <v>5364</v>
      </c>
      <c r="AB34" s="13">
        <f ca="1">VLOOKUP($B34,'[7]Analisys QBR By Machine Report'!$C$109:$BD$166,23,FALSE)</f>
        <v>223</v>
      </c>
      <c r="AC34" s="13">
        <f ca="1">VLOOKUP($B34,'[7]Analisys QBR By Machine Report'!$C$109:$BD$166,24,FALSE)</f>
        <v>0</v>
      </c>
      <c r="AD34" s="13">
        <f ca="1">VLOOKUP($B34,'[7]Analisys QBR By Machine Report'!$C$109:$BD$166,25,FALSE)</f>
        <v>0</v>
      </c>
      <c r="AE34" s="13">
        <f ca="1">VLOOKUP($B34,'[7]Analisys QBR By Machine Report'!$C$109:$BD$166,26,FALSE)</f>
        <v>120</v>
      </c>
      <c r="AF34" s="13">
        <f ca="1">VLOOKUP($B34,'[7]Analisys QBR By Machine Report'!$C$109:$BD$166,27,FALSE)</f>
        <v>0</v>
      </c>
      <c r="AG34" s="13">
        <f ca="1">VLOOKUP($B34,'[7]Analisys QBR By Machine Report'!$C$109:$BD$166,28,FALSE)</f>
        <v>0</v>
      </c>
      <c r="AH34" s="13">
        <f ca="1">VLOOKUP($B34,'[7]Analisys QBR By Machine Report'!$C$109:$BD$166,29,FALSE)</f>
        <v>0</v>
      </c>
      <c r="AI34" s="13">
        <f ca="1">VLOOKUP($B34,'[7]Analisys QBR By Machine Report'!$C$109:$BD$166,30,FALSE)</f>
        <v>806</v>
      </c>
      <c r="AJ34" s="13">
        <f ca="1">VLOOKUP($B34,'[7]Analisys QBR By Machine Report'!$C$109:$BD$166,31,FALSE)</f>
        <v>0</v>
      </c>
      <c r="AK34" s="13">
        <f ca="1">VLOOKUP($B34,'[7]Analisys QBR By Machine Report'!$C$109:$BD$166,32,FALSE)</f>
        <v>0</v>
      </c>
      <c r="AL34" s="13">
        <f ca="1">VLOOKUP($B34,'[7]Analisys QBR By Machine Report'!$C$109:$BD$166,33,FALSE)</f>
        <v>360</v>
      </c>
      <c r="AM34" s="13">
        <f ca="1">VLOOKUP($B34,'[7]Analisys QBR By Machine Report'!$C$109:$BD$166,34,FALSE)</f>
        <v>0</v>
      </c>
      <c r="AN34" s="13">
        <f ca="1">VLOOKUP($B34,'[7]Analisys QBR By Machine Report'!$C$109:$BD$166,35,FALSE)</f>
        <v>280</v>
      </c>
      <c r="AO34" s="13">
        <f ca="1">VLOOKUP($B34,'[7]Analisys QBR By Machine Report'!$C$109:$BD$166,36,FALSE)</f>
        <v>0</v>
      </c>
      <c r="AP34" s="13">
        <f ca="1">VLOOKUP($B34,'[7]Analisys QBR By Machine Report'!$C$109:$BD$166,37,FALSE)</f>
        <v>0</v>
      </c>
      <c r="AQ34" s="13">
        <f ca="1">VLOOKUP($B34,'[7]Analisys QBR By Machine Report'!$C$109:$BD$166,38,FALSE)</f>
        <v>0</v>
      </c>
      <c r="AR34" s="13">
        <f ca="1">VLOOKUP($B34,'[7]Analisys QBR By Machine Report'!$C$109:$BD$166,39,FALSE)</f>
        <v>155</v>
      </c>
      <c r="AS34" s="13">
        <f ca="1">VLOOKUP($B34,'[7]Analisys QBR By Machine Report'!$C$109:$BD$166,40,FALSE)</f>
        <v>11</v>
      </c>
      <c r="AT34" s="13">
        <f ca="1">VLOOKUP($B34,'[7]Analisys QBR By Machine Report'!$C$109:$BD$166,41,FALSE)</f>
        <v>0</v>
      </c>
      <c r="AU34" s="13">
        <f ca="1">VLOOKUP($B34,'[7]Analisys QBR By Machine Report'!$C$109:$BD$166,42,FALSE)</f>
        <v>0</v>
      </c>
      <c r="AV34" s="13">
        <f ca="1">VLOOKUP($B34,'[7]Analisys QBR By Machine Report'!$C$109:$BD$166,43,FALSE)</f>
        <v>0</v>
      </c>
      <c r="AW34" s="13">
        <f ca="1">VLOOKUP($B34,'[7]Analisys QBR By Machine Report'!$C$109:$BD$166,44,FALSE)</f>
        <v>0</v>
      </c>
      <c r="AX34" s="13">
        <f ca="1">VLOOKUP($B34,'[7]Analisys QBR By Machine Report'!$C$109:$BD$166,45,FALSE)</f>
        <v>0</v>
      </c>
      <c r="AY34" s="13">
        <f ca="1">VLOOKUP($B34,'[7]Analisys QBR By Machine Report'!$C$109:$BD$166,46,FALSE)</f>
        <v>0</v>
      </c>
      <c r="AZ34" s="13">
        <f ca="1">VLOOKUP($B34,'[7]Analisys QBR By Machine Report'!$C$109:$BD$166,47,FALSE)</f>
        <v>0</v>
      </c>
      <c r="BA34" s="13">
        <f ca="1">VLOOKUP($B34,'[7]Analisys QBR By Machine Report'!$C$109:$BD$166,48,FALSE)</f>
        <v>0</v>
      </c>
      <c r="BB34" s="13">
        <f ca="1">VLOOKUP($B34,'[7]Analisys QBR By Machine Report'!$C$109:$BD$166,49,FALSE)</f>
        <v>0</v>
      </c>
      <c r="BC34" s="13">
        <f ca="1">VLOOKUP($B34,'[7]Analisys QBR By Machine Report'!$C$109:$BD$166,50,FALSE)</f>
        <v>0</v>
      </c>
      <c r="BD34" s="13">
        <f ca="1">VLOOKUP($B34,'[7]Analisys QBR By Machine Report'!$C$109:$BD$166,51,FALSE)</f>
        <v>717</v>
      </c>
      <c r="BE34" s="13">
        <f ca="1">VLOOKUP($B34,'[7]Analisys QBR By Machine Report'!$C$109:$BD$166,52,FALSE)</f>
        <v>0</v>
      </c>
      <c r="BF34" s="13">
        <f ca="1">VLOOKUP($B34,'[7]Analisys QBR By Machine Report'!$C$109:$BD$166,53,FALSE)</f>
        <v>717</v>
      </c>
    </row>
    <row r="35" spans="1:58" x14ac:dyDescent="0.25">
      <c r="A35" s="12" t="s">
        <v>91</v>
      </c>
      <c r="B35" s="13">
        <f ca="1">VLOOKUP($B35,'[7]Analisys QBR By Machine Report'!$C$109:$BD$166,2,FALSE)</f>
        <v>33120</v>
      </c>
      <c r="C35" s="14">
        <f ca="1">VLOOKUP($B35,[7]Dasboard_QBR_Report!$B$109:$BL$166,3,FALSE)</f>
        <v>21390</v>
      </c>
      <c r="D35" s="13">
        <f ca="1">VLOOKUP($B35,'[7]Analisys QBR By Machine Report'!$C$109:$BD$166,3,FALSE)</f>
        <v>22848</v>
      </c>
      <c r="E35" s="14">
        <f ca="1">VLOOKUP($B35,[7]Dasboard_QBR_Report!$B$109:$BL$166,5,FALSE)</f>
        <v>11118</v>
      </c>
      <c r="F35" s="13">
        <f t="shared" ca="1" si="0"/>
        <v>10272</v>
      </c>
      <c r="G35" s="13">
        <f t="shared" ca="1" si="1"/>
        <v>1275</v>
      </c>
      <c r="H35" s="13">
        <f ca="1">VLOOKUP($B35,'[7]Analisys QBR By Machine Report'!$C$109:$BD$166,4,FALSE)</f>
        <v>1255</v>
      </c>
      <c r="I35" s="13">
        <f ca="1">VLOOKUP($B35,'[7]Analisys QBR By Machine Report'!$C$109:$BD$166,5,FALSE)</f>
        <v>0</v>
      </c>
      <c r="J35" s="13">
        <f ca="1">VLOOKUP($B35,'[7]Analisys QBR By Machine Report'!$C$109:$BD$166,6,FALSE)</f>
        <v>1255</v>
      </c>
      <c r="K35" s="13">
        <f ca="1">VLOOKUP($B35,'[7]Analisys QBR By Machine Report'!$C$109:$BD$166,7,FALSE)</f>
        <v>20</v>
      </c>
      <c r="L35" s="13">
        <f ca="1">VLOOKUP($B35,'[7]Analisys QBR By Machine Report'!$C$109:$BD$166,8,FALSE)</f>
        <v>8997</v>
      </c>
      <c r="M35" s="13">
        <f ca="1">VLOOKUP($B35,'[7]Analisys QBR By Machine Report'!$C$109:$BD$166,9,FALSE)</f>
        <v>1218</v>
      </c>
      <c r="N35" s="13">
        <f ca="1">VLOOKUP($B35,[7]Dasboard_QBR_Report!$B$109:$BL$166,18,FALSE)</f>
        <v>7779</v>
      </c>
      <c r="O35" s="13">
        <f ca="1">VLOOKUP($B35,'[7]Analisys QBR By Machine Report'!$C$109:$BD$166,10,FALSE)</f>
        <v>387</v>
      </c>
      <c r="P35" s="13">
        <f ca="1">VLOOKUP($B35,'[7]Analisys QBR By Machine Report'!$C$109:$BD$166,11,FALSE)</f>
        <v>387</v>
      </c>
      <c r="Q35" s="13">
        <f ca="1">VLOOKUP($B35,'[7]Analisys QBR By Machine Report'!$C$109:$BD$166,12,FALSE)</f>
        <v>0</v>
      </c>
      <c r="R35" s="13">
        <f ca="1">VLOOKUP($B35,'[7]Analisys QBR By Machine Report'!$C$109:$BD$166,13,FALSE)</f>
        <v>0</v>
      </c>
      <c r="S35" s="13">
        <f ca="1">VLOOKUP($B35,'[7]Analisys QBR By Machine Report'!$C$109:$BD$166,14,FALSE)</f>
        <v>0</v>
      </c>
      <c r="T35" s="13">
        <f ca="1">VLOOKUP($B35,'[7]Analisys QBR By Machine Report'!$C$109:$BD$166,15,FALSE)</f>
        <v>0</v>
      </c>
      <c r="U35" s="13">
        <f ca="1">VLOOKUP($B35,'[7]Analisys QBR By Machine Report'!$C$109:$BD$166,16,FALSE)</f>
        <v>0</v>
      </c>
      <c r="V35" s="13">
        <f ca="1">VLOOKUP($B35,'[7]Analisys QBR By Machine Report'!$C$109:$BD$166,17,FALSE)</f>
        <v>0</v>
      </c>
      <c r="W35" s="13">
        <f ca="1">VLOOKUP($B35,'[7]Analisys QBR By Machine Report'!$C$109:$BD$166,18,FALSE)</f>
        <v>0</v>
      </c>
      <c r="X35" s="13">
        <f ca="1">VLOOKUP($B35,'[7]Analisys QBR By Machine Report'!$C$109:$BD$166,19,FALSE)</f>
        <v>0</v>
      </c>
      <c r="Y35" s="13">
        <f ca="1">VLOOKUP($B35,'[7]Analisys QBR By Machine Report'!$C$109:$BD$166,20,FALSE)</f>
        <v>0</v>
      </c>
      <c r="Z35" s="13">
        <f ca="1">VLOOKUP($B35,'[7]Analisys QBR By Machine Report'!$C$109:$BD$166,21,FALSE)</f>
        <v>1656</v>
      </c>
      <c r="AA35" s="13">
        <f ca="1">VLOOKUP($B35,'[7]Analisys QBR By Machine Report'!$C$109:$BD$166,22,FALSE)</f>
        <v>886</v>
      </c>
      <c r="AB35" s="13">
        <f ca="1">VLOOKUP($B35,'[7]Analisys QBR By Machine Report'!$C$109:$BD$166,23,FALSE)</f>
        <v>460</v>
      </c>
      <c r="AC35" s="13">
        <f ca="1">VLOOKUP($B35,'[7]Analisys QBR By Machine Report'!$C$109:$BD$166,24,FALSE)</f>
        <v>60</v>
      </c>
      <c r="AD35" s="13">
        <f ca="1">VLOOKUP($B35,'[7]Analisys QBR By Machine Report'!$C$109:$BD$166,25,FALSE)</f>
        <v>0</v>
      </c>
      <c r="AE35" s="13">
        <f ca="1">VLOOKUP($B35,'[7]Analisys QBR By Machine Report'!$C$109:$BD$166,26,FALSE)</f>
        <v>250</v>
      </c>
      <c r="AF35" s="13">
        <f ca="1">VLOOKUP($B35,'[7]Analisys QBR By Machine Report'!$C$109:$BD$166,27,FALSE)</f>
        <v>0</v>
      </c>
      <c r="AG35" s="13">
        <f ca="1">VLOOKUP($B35,'[7]Analisys QBR By Machine Report'!$C$109:$BD$166,28,FALSE)</f>
        <v>0</v>
      </c>
      <c r="AH35" s="13">
        <f ca="1">VLOOKUP($B35,'[7]Analisys QBR By Machine Report'!$C$109:$BD$166,29,FALSE)</f>
        <v>0</v>
      </c>
      <c r="AI35" s="13">
        <f ca="1">VLOOKUP($B35,'[7]Analisys QBR By Machine Report'!$C$109:$BD$166,30,FALSE)</f>
        <v>5736</v>
      </c>
      <c r="AJ35" s="13">
        <f ca="1">VLOOKUP($B35,'[7]Analisys QBR By Machine Report'!$C$109:$BD$166,31,FALSE)</f>
        <v>0</v>
      </c>
      <c r="AK35" s="13">
        <f ca="1">VLOOKUP($B35,'[7]Analisys QBR By Machine Report'!$C$109:$BD$166,32,FALSE)</f>
        <v>0</v>
      </c>
      <c r="AL35" s="13">
        <f ca="1">VLOOKUP($B35,'[7]Analisys QBR By Machine Report'!$C$109:$BD$166,33,FALSE)</f>
        <v>470</v>
      </c>
      <c r="AM35" s="13">
        <f ca="1">VLOOKUP($B35,'[7]Analisys QBR By Machine Report'!$C$109:$BD$166,34,FALSE)</f>
        <v>60</v>
      </c>
      <c r="AN35" s="13">
        <f ca="1">VLOOKUP($B35,'[7]Analisys QBR By Machine Report'!$C$109:$BD$166,35,FALSE)</f>
        <v>343</v>
      </c>
      <c r="AO35" s="13">
        <f ca="1">VLOOKUP($B35,'[7]Analisys QBR By Machine Report'!$C$109:$BD$166,36,FALSE)</f>
        <v>1533</v>
      </c>
      <c r="AP35" s="13">
        <f ca="1">VLOOKUP($B35,'[7]Analisys QBR By Machine Report'!$C$109:$BD$166,37,FALSE)</f>
        <v>0</v>
      </c>
      <c r="AQ35" s="13">
        <f ca="1">VLOOKUP($B35,'[7]Analisys QBR By Machine Report'!$C$109:$BD$166,38,FALSE)</f>
        <v>0</v>
      </c>
      <c r="AR35" s="13">
        <f ca="1">VLOOKUP($B35,'[7]Analisys QBR By Machine Report'!$C$109:$BD$166,39,FALSE)</f>
        <v>3125</v>
      </c>
      <c r="AS35" s="13">
        <f ca="1">VLOOKUP($B35,'[7]Analisys QBR By Machine Report'!$C$109:$BD$166,40,FALSE)</f>
        <v>205</v>
      </c>
      <c r="AT35" s="13">
        <f ca="1">VLOOKUP($B35,'[7]Analisys QBR By Machine Report'!$C$109:$BD$166,41,FALSE)</f>
        <v>0</v>
      </c>
      <c r="AU35" s="13">
        <f ca="1">VLOOKUP($B35,'[7]Analisys QBR By Machine Report'!$C$109:$BD$166,42,FALSE)</f>
        <v>0</v>
      </c>
      <c r="AV35" s="13">
        <f ca="1">VLOOKUP($B35,'[7]Analisys QBR By Machine Report'!$C$109:$BD$166,43,FALSE)</f>
        <v>0</v>
      </c>
      <c r="AW35" s="13">
        <f ca="1">VLOOKUP($B35,'[7]Analisys QBR By Machine Report'!$C$109:$BD$166,44,FALSE)</f>
        <v>0</v>
      </c>
      <c r="AX35" s="13">
        <f ca="1">VLOOKUP($B35,'[7]Analisys QBR By Machine Report'!$C$109:$BD$166,45,FALSE)</f>
        <v>0</v>
      </c>
      <c r="AY35" s="13">
        <f ca="1">VLOOKUP($B35,'[7]Analisys QBR By Machine Report'!$C$109:$BD$166,46,FALSE)</f>
        <v>0</v>
      </c>
      <c r="AZ35" s="13">
        <f ca="1">VLOOKUP($B35,'[7]Analisys QBR By Machine Report'!$C$109:$BD$166,47,FALSE)</f>
        <v>0</v>
      </c>
      <c r="BA35" s="13">
        <f ca="1">VLOOKUP($B35,'[7]Analisys QBR By Machine Report'!$C$109:$BD$166,48,FALSE)</f>
        <v>0</v>
      </c>
      <c r="BB35" s="13">
        <f ca="1">VLOOKUP($B35,'[7]Analisys QBR By Machine Report'!$C$109:$BD$166,49,FALSE)</f>
        <v>0</v>
      </c>
      <c r="BC35" s="13">
        <f ca="1">VLOOKUP($B35,'[7]Analisys QBR By Machine Report'!$C$109:$BD$166,50,FALSE)</f>
        <v>0</v>
      </c>
      <c r="BD35" s="13">
        <f ca="1">VLOOKUP($B35,'[7]Analisys QBR By Machine Report'!$C$109:$BD$166,51,FALSE)</f>
        <v>25</v>
      </c>
      <c r="BE35" s="13">
        <f ca="1">VLOOKUP($B35,'[7]Analisys QBR By Machine Report'!$C$109:$BD$166,52,FALSE)</f>
        <v>0</v>
      </c>
      <c r="BF35" s="13">
        <f ca="1">VLOOKUP($B35,'[7]Analisys QBR By Machine Report'!$C$109:$BD$166,53,FALSE)</f>
        <v>25</v>
      </c>
    </row>
    <row r="36" spans="1:58" x14ac:dyDescent="0.25">
      <c r="A36" s="9" t="s">
        <v>92</v>
      </c>
      <c r="B36" s="10">
        <f ca="1">VLOOKUP($B36,'[7]Analisys QBR By Machine Report'!$C$109:$BD$166,2,FALSE)</f>
        <v>198720</v>
      </c>
      <c r="C36" s="11">
        <f ca="1">VLOOKUP($B36,[7]Dasboard_QBR_Report!$B$109:$BL$166,3,FALSE)</f>
        <v>76590</v>
      </c>
      <c r="D36" s="10">
        <f ca="1">VLOOKUP($B36,'[7]Analisys QBR By Machine Report'!$C$109:$BD$166,3,FALSE)</f>
        <v>137640</v>
      </c>
      <c r="E36" s="11">
        <f ca="1">VLOOKUP($B36,[7]Dasboard_QBR_Report!$B$109:$BL$166,5,FALSE)</f>
        <v>15510</v>
      </c>
      <c r="F36" s="10">
        <f t="shared" ca="1" si="0"/>
        <v>61080</v>
      </c>
      <c r="G36" s="10">
        <f t="shared" ca="1" si="1"/>
        <v>4905</v>
      </c>
      <c r="H36" s="10">
        <f ca="1">VLOOKUP($B36,'[7]Analisys QBR By Machine Report'!$C$109:$BD$166,4,FALSE)</f>
        <v>4905</v>
      </c>
      <c r="I36" s="10">
        <f ca="1">VLOOKUP($B36,'[7]Analisys QBR By Machine Report'!$C$109:$BD$166,5,FALSE)</f>
        <v>1955</v>
      </c>
      <c r="J36" s="10">
        <f ca="1">VLOOKUP($B36,'[7]Analisys QBR By Machine Report'!$C$109:$BD$166,6,FALSE)</f>
        <v>2950</v>
      </c>
      <c r="K36" s="10">
        <f ca="1">VLOOKUP($B36,'[7]Analisys QBR By Machine Report'!$C$109:$BD$166,7,FALSE)</f>
        <v>0</v>
      </c>
      <c r="L36" s="10">
        <f ca="1">VLOOKUP($B36,'[7]Analisys QBR By Machine Report'!$C$109:$BD$166,8,FALSE)</f>
        <v>56175</v>
      </c>
      <c r="M36" s="10">
        <f ca="1">VLOOKUP($B36,'[7]Analisys QBR By Machine Report'!$C$109:$BD$166,9,FALSE)</f>
        <v>35651</v>
      </c>
      <c r="N36" s="10">
        <f ca="1">VLOOKUP($B36,[7]Dasboard_QBR_Report!$B$109:$BL$166,18,FALSE)</f>
        <v>20524</v>
      </c>
      <c r="O36" s="10">
        <f ca="1">VLOOKUP($B36,'[7]Analisys QBR By Machine Report'!$C$109:$BD$166,10,FALSE)</f>
        <v>4238</v>
      </c>
      <c r="P36" s="10">
        <f ca="1">VLOOKUP($B36,'[7]Analisys QBR By Machine Report'!$C$109:$BD$166,11,FALSE)</f>
        <v>2342</v>
      </c>
      <c r="Q36" s="10">
        <f ca="1">VLOOKUP($B36,'[7]Analisys QBR By Machine Report'!$C$109:$BD$166,12,FALSE)</f>
        <v>216</v>
      </c>
      <c r="R36" s="10">
        <f ca="1">VLOOKUP($B36,'[7]Analisys QBR By Machine Report'!$C$109:$BD$166,13,FALSE)</f>
        <v>432</v>
      </c>
      <c r="S36" s="10">
        <f ca="1">VLOOKUP($B36,'[7]Analisys QBR By Machine Report'!$C$109:$BD$166,14,FALSE)</f>
        <v>1248</v>
      </c>
      <c r="T36" s="10">
        <f ca="1">VLOOKUP($B36,'[7]Analisys QBR By Machine Report'!$C$109:$BD$166,15,FALSE)</f>
        <v>398</v>
      </c>
      <c r="U36" s="10">
        <f ca="1">VLOOKUP($B36,'[7]Analisys QBR By Machine Report'!$C$109:$BD$166,16,FALSE)</f>
        <v>100</v>
      </c>
      <c r="V36" s="10">
        <f ca="1">VLOOKUP($B36,'[7]Analisys QBR By Machine Report'!$C$109:$BD$166,17,FALSE)</f>
        <v>298</v>
      </c>
      <c r="W36" s="10">
        <f ca="1">VLOOKUP($B36,'[7]Analisys QBR By Machine Report'!$C$109:$BD$166,18,FALSE)</f>
        <v>0</v>
      </c>
      <c r="X36" s="10">
        <f ca="1">VLOOKUP($B36,'[7]Analisys QBR By Machine Report'!$C$109:$BD$166,19,FALSE)</f>
        <v>0</v>
      </c>
      <c r="Y36" s="10">
        <f ca="1">VLOOKUP($B36,'[7]Analisys QBR By Machine Report'!$C$109:$BD$166,20,FALSE)</f>
        <v>0</v>
      </c>
      <c r="Z36" s="10">
        <f ca="1">VLOOKUP($B36,'[7]Analisys QBR By Machine Report'!$C$109:$BD$166,21,FALSE)</f>
        <v>4376</v>
      </c>
      <c r="AA36" s="10">
        <f ca="1">VLOOKUP($B36,'[7]Analisys QBR By Machine Report'!$C$109:$BD$166,22,FALSE)</f>
        <v>2067</v>
      </c>
      <c r="AB36" s="10">
        <f ca="1">VLOOKUP($B36,'[7]Analisys QBR By Machine Report'!$C$109:$BD$166,23,FALSE)</f>
        <v>2104</v>
      </c>
      <c r="AC36" s="10">
        <f ca="1">VLOOKUP($B36,'[7]Analisys QBR By Machine Report'!$C$109:$BD$166,24,FALSE)</f>
        <v>0</v>
      </c>
      <c r="AD36" s="10">
        <f ca="1">VLOOKUP($B36,'[7]Analisys QBR By Machine Report'!$C$109:$BD$166,25,FALSE)</f>
        <v>0</v>
      </c>
      <c r="AE36" s="10">
        <f ca="1">VLOOKUP($B36,'[7]Analisys QBR By Machine Report'!$C$109:$BD$166,26,FALSE)</f>
        <v>205</v>
      </c>
      <c r="AF36" s="10">
        <f ca="1">VLOOKUP($B36,'[7]Analisys QBR By Machine Report'!$C$109:$BD$166,27,FALSE)</f>
        <v>0</v>
      </c>
      <c r="AG36" s="10">
        <f ca="1">VLOOKUP($B36,'[7]Analisys QBR By Machine Report'!$C$109:$BD$166,28,FALSE)</f>
        <v>0</v>
      </c>
      <c r="AH36" s="10">
        <f ca="1">VLOOKUP($B36,'[7]Analisys QBR By Machine Report'!$C$109:$BD$166,29,FALSE)</f>
        <v>0</v>
      </c>
      <c r="AI36" s="10">
        <f ca="1">VLOOKUP($B36,'[7]Analisys QBR By Machine Report'!$C$109:$BD$166,30,FALSE)</f>
        <v>11512</v>
      </c>
      <c r="AJ36" s="10">
        <f ca="1">VLOOKUP($B36,'[7]Analisys QBR By Machine Report'!$C$109:$BD$166,31,FALSE)</f>
        <v>0</v>
      </c>
      <c r="AK36" s="10">
        <f ca="1">VLOOKUP($B36,'[7]Analisys QBR By Machine Report'!$C$109:$BD$166,32,FALSE)</f>
        <v>25</v>
      </c>
      <c r="AL36" s="10">
        <f ca="1">VLOOKUP($B36,'[7]Analisys QBR By Machine Report'!$C$109:$BD$166,33,FALSE)</f>
        <v>3450</v>
      </c>
      <c r="AM36" s="10">
        <f ca="1">VLOOKUP($B36,'[7]Analisys QBR By Machine Report'!$C$109:$BD$166,34,FALSE)</f>
        <v>0</v>
      </c>
      <c r="AN36" s="10">
        <f ca="1">VLOOKUP($B36,'[7]Analisys QBR By Machine Report'!$C$109:$BD$166,35,FALSE)</f>
        <v>2295</v>
      </c>
      <c r="AO36" s="10">
        <f ca="1">VLOOKUP($B36,'[7]Analisys QBR By Machine Report'!$C$109:$BD$166,36,FALSE)</f>
        <v>1100</v>
      </c>
      <c r="AP36" s="10">
        <f ca="1">VLOOKUP($B36,'[7]Analisys QBR By Machine Report'!$C$109:$BD$166,37,FALSE)</f>
        <v>10</v>
      </c>
      <c r="AQ36" s="10">
        <f ca="1">VLOOKUP($B36,'[7]Analisys QBR By Machine Report'!$C$109:$BD$166,38,FALSE)</f>
        <v>0</v>
      </c>
      <c r="AR36" s="10">
        <f ca="1">VLOOKUP($B36,'[7]Analisys QBR By Machine Report'!$C$109:$BD$166,39,FALSE)</f>
        <v>1570</v>
      </c>
      <c r="AS36" s="10">
        <f ca="1">VLOOKUP($B36,'[7]Analisys QBR By Machine Report'!$C$109:$BD$166,40,FALSE)</f>
        <v>925</v>
      </c>
      <c r="AT36" s="10">
        <f ca="1">VLOOKUP($B36,'[7]Analisys QBR By Machine Report'!$C$109:$BD$166,41,FALSE)</f>
        <v>0</v>
      </c>
      <c r="AU36" s="10">
        <f ca="1">VLOOKUP($B36,'[7]Analisys QBR By Machine Report'!$C$109:$BD$166,42,FALSE)</f>
        <v>0</v>
      </c>
      <c r="AV36" s="10">
        <f ca="1">VLOOKUP($B36,'[7]Analisys QBR By Machine Report'!$C$109:$BD$166,43,FALSE)</f>
        <v>0</v>
      </c>
      <c r="AW36" s="10">
        <f ca="1">VLOOKUP($B36,'[7]Analisys QBR By Machine Report'!$C$109:$BD$166,44,FALSE)</f>
        <v>0</v>
      </c>
      <c r="AX36" s="10">
        <f ca="1">VLOOKUP($B36,'[7]Analisys QBR By Machine Report'!$C$109:$BD$166,45,FALSE)</f>
        <v>0</v>
      </c>
      <c r="AY36" s="10">
        <f ca="1">VLOOKUP($B36,'[7]Analisys QBR By Machine Report'!$C$109:$BD$166,46,FALSE)</f>
        <v>0</v>
      </c>
      <c r="AZ36" s="10">
        <f ca="1">VLOOKUP($B36,'[7]Analisys QBR By Machine Report'!$C$109:$BD$166,47,FALSE)</f>
        <v>2137</v>
      </c>
      <c r="BA36" s="10">
        <f ca="1">VLOOKUP($B36,'[7]Analisys QBR By Machine Report'!$C$109:$BD$166,48,FALSE)</f>
        <v>0</v>
      </c>
      <c r="BB36" s="10">
        <f ca="1">VLOOKUP($B36,'[7]Analisys QBR By Machine Report'!$C$109:$BD$166,49,FALSE)</f>
        <v>0</v>
      </c>
      <c r="BC36" s="10">
        <f ca="1">VLOOKUP($B36,'[7]Analisys QBR By Machine Report'!$C$109:$BD$166,50,FALSE)</f>
        <v>0</v>
      </c>
      <c r="BD36" s="10">
        <f ca="1">VLOOKUP($B36,'[7]Analisys QBR By Machine Report'!$C$109:$BD$166,51,FALSE)</f>
        <v>1942272</v>
      </c>
      <c r="BE36" s="10">
        <f ca="1">VLOOKUP($B36,'[7]Analisys QBR By Machine Report'!$C$109:$BD$166,52,FALSE)</f>
        <v>36</v>
      </c>
      <c r="BF36" s="10">
        <f ca="1">VLOOKUP($B36,'[7]Analisys QBR By Machine Report'!$C$109:$BD$166,53,FALSE)</f>
        <v>1942236</v>
      </c>
    </row>
    <row r="37" spans="1:58" x14ac:dyDescent="0.25">
      <c r="A37" s="12" t="s">
        <v>93</v>
      </c>
      <c r="B37" s="13">
        <f ca="1">VLOOKUP($B37,'[7]Analisys QBR By Machine Report'!$C$109:$BD$166,2,FALSE)</f>
        <v>33120</v>
      </c>
      <c r="C37" s="14">
        <f ca="1">VLOOKUP($B37,[7]Dasboard_QBR_Report!$B$109:$BL$166,3,FALSE)</f>
        <v>11040</v>
      </c>
      <c r="D37" s="13">
        <f ca="1">VLOOKUP($B37,'[7]Analisys QBR By Machine Report'!$C$109:$BD$166,3,FALSE)</f>
        <v>15930</v>
      </c>
      <c r="E37" s="14">
        <f ca="1">VLOOKUP($B37,[7]Dasboard_QBR_Report!$B$109:$BL$166,5,FALSE)</f>
        <v>-6150</v>
      </c>
      <c r="F37" s="13">
        <f t="shared" ca="1" si="0"/>
        <v>17190</v>
      </c>
      <c r="G37" s="13">
        <f t="shared" ca="1" si="1"/>
        <v>345</v>
      </c>
      <c r="H37" s="13">
        <f ca="1">VLOOKUP($B37,'[7]Analisys QBR By Machine Report'!$C$109:$BD$166,4,FALSE)</f>
        <v>345</v>
      </c>
      <c r="I37" s="13">
        <f ca="1">VLOOKUP($B37,'[7]Analisys QBR By Machine Report'!$C$109:$BD$166,5,FALSE)</f>
        <v>345</v>
      </c>
      <c r="J37" s="13">
        <f ca="1">VLOOKUP($B37,'[7]Analisys QBR By Machine Report'!$C$109:$BD$166,6,FALSE)</f>
        <v>0</v>
      </c>
      <c r="K37" s="13">
        <f ca="1">VLOOKUP($B37,'[7]Analisys QBR By Machine Report'!$C$109:$BD$166,7,FALSE)</f>
        <v>0</v>
      </c>
      <c r="L37" s="13">
        <f ca="1">VLOOKUP($B37,'[7]Analisys QBR By Machine Report'!$C$109:$BD$166,8,FALSE)</f>
        <v>16845</v>
      </c>
      <c r="M37" s="13">
        <f ca="1">VLOOKUP($B37,'[7]Analisys QBR By Machine Report'!$C$109:$BD$166,9,FALSE)</f>
        <v>12513</v>
      </c>
      <c r="N37" s="13">
        <f ca="1">VLOOKUP($B37,[7]Dasboard_QBR_Report!$B$109:$BL$166,18,FALSE)</f>
        <v>4332</v>
      </c>
      <c r="O37" s="13">
        <f ca="1">VLOOKUP($B37,'[7]Analisys QBR By Machine Report'!$C$109:$BD$166,10,FALSE)</f>
        <v>355</v>
      </c>
      <c r="P37" s="13">
        <f ca="1">VLOOKUP($B37,'[7]Analisys QBR By Machine Report'!$C$109:$BD$166,11,FALSE)</f>
        <v>355</v>
      </c>
      <c r="Q37" s="13">
        <f ca="1">VLOOKUP($B37,'[7]Analisys QBR By Machine Report'!$C$109:$BD$166,12,FALSE)</f>
        <v>0</v>
      </c>
      <c r="R37" s="13">
        <f ca="1">VLOOKUP($B37,'[7]Analisys QBR By Machine Report'!$C$109:$BD$166,13,FALSE)</f>
        <v>0</v>
      </c>
      <c r="S37" s="13">
        <f ca="1">VLOOKUP($B37,'[7]Analisys QBR By Machine Report'!$C$109:$BD$166,14,FALSE)</f>
        <v>0</v>
      </c>
      <c r="T37" s="13">
        <f ca="1">VLOOKUP($B37,'[7]Analisys QBR By Machine Report'!$C$109:$BD$166,15,FALSE)</f>
        <v>0</v>
      </c>
      <c r="U37" s="13">
        <f ca="1">VLOOKUP($B37,'[7]Analisys QBR By Machine Report'!$C$109:$BD$166,16,FALSE)</f>
        <v>0</v>
      </c>
      <c r="V37" s="13">
        <f ca="1">VLOOKUP($B37,'[7]Analisys QBR By Machine Report'!$C$109:$BD$166,17,FALSE)</f>
        <v>0</v>
      </c>
      <c r="W37" s="13">
        <f ca="1">VLOOKUP($B37,'[7]Analisys QBR By Machine Report'!$C$109:$BD$166,18,FALSE)</f>
        <v>0</v>
      </c>
      <c r="X37" s="13">
        <f ca="1">VLOOKUP($B37,'[7]Analisys QBR By Machine Report'!$C$109:$BD$166,19,FALSE)</f>
        <v>0</v>
      </c>
      <c r="Y37" s="13">
        <f ca="1">VLOOKUP($B37,'[7]Analisys QBR By Machine Report'!$C$109:$BD$166,20,FALSE)</f>
        <v>0</v>
      </c>
      <c r="Z37" s="13">
        <f ca="1">VLOOKUP($B37,'[7]Analisys QBR By Machine Report'!$C$109:$BD$166,21,FALSE)</f>
        <v>1150</v>
      </c>
      <c r="AA37" s="13">
        <f ca="1">VLOOKUP($B37,'[7]Analisys QBR By Machine Report'!$C$109:$BD$166,22,FALSE)</f>
        <v>382</v>
      </c>
      <c r="AB37" s="13">
        <f ca="1">VLOOKUP($B37,'[7]Analisys QBR By Machine Report'!$C$109:$BD$166,23,FALSE)</f>
        <v>738</v>
      </c>
      <c r="AC37" s="13">
        <f ca="1">VLOOKUP($B37,'[7]Analisys QBR By Machine Report'!$C$109:$BD$166,24,FALSE)</f>
        <v>0</v>
      </c>
      <c r="AD37" s="13">
        <f ca="1">VLOOKUP($B37,'[7]Analisys QBR By Machine Report'!$C$109:$BD$166,25,FALSE)</f>
        <v>0</v>
      </c>
      <c r="AE37" s="13">
        <f ca="1">VLOOKUP($B37,'[7]Analisys QBR By Machine Report'!$C$109:$BD$166,26,FALSE)</f>
        <v>30</v>
      </c>
      <c r="AF37" s="13">
        <f ca="1">VLOOKUP($B37,'[7]Analisys QBR By Machine Report'!$C$109:$BD$166,27,FALSE)</f>
        <v>0</v>
      </c>
      <c r="AG37" s="13">
        <f ca="1">VLOOKUP($B37,'[7]Analisys QBR By Machine Report'!$C$109:$BD$166,28,FALSE)</f>
        <v>0</v>
      </c>
      <c r="AH37" s="13">
        <f ca="1">VLOOKUP($B37,'[7]Analisys QBR By Machine Report'!$C$109:$BD$166,29,FALSE)</f>
        <v>0</v>
      </c>
      <c r="AI37" s="13">
        <f ca="1">VLOOKUP($B37,'[7]Analisys QBR By Machine Report'!$C$109:$BD$166,30,FALSE)</f>
        <v>2827</v>
      </c>
      <c r="AJ37" s="13">
        <f ca="1">VLOOKUP($B37,'[7]Analisys QBR By Machine Report'!$C$109:$BD$166,31,FALSE)</f>
        <v>0</v>
      </c>
      <c r="AK37" s="13">
        <f ca="1">VLOOKUP($B37,'[7]Analisys QBR By Machine Report'!$C$109:$BD$166,32,FALSE)</f>
        <v>0</v>
      </c>
      <c r="AL37" s="13">
        <f ca="1">VLOOKUP($B37,'[7]Analisys QBR By Machine Report'!$C$109:$BD$166,33,FALSE)</f>
        <v>1080</v>
      </c>
      <c r="AM37" s="13">
        <f ca="1">VLOOKUP($B37,'[7]Analisys QBR By Machine Report'!$C$109:$BD$166,34,FALSE)</f>
        <v>0</v>
      </c>
      <c r="AN37" s="13">
        <f ca="1">VLOOKUP($B37,'[7]Analisys QBR By Machine Report'!$C$109:$BD$166,35,FALSE)</f>
        <v>735</v>
      </c>
      <c r="AO37" s="13">
        <f ca="1">VLOOKUP($B37,'[7]Analisys QBR By Machine Report'!$C$109:$BD$166,36,FALSE)</f>
        <v>0</v>
      </c>
      <c r="AP37" s="13">
        <f ca="1">VLOOKUP($B37,'[7]Analisys QBR By Machine Report'!$C$109:$BD$166,37,FALSE)</f>
        <v>0</v>
      </c>
      <c r="AQ37" s="13">
        <f ca="1">VLOOKUP($B37,'[7]Analisys QBR By Machine Report'!$C$109:$BD$166,38,FALSE)</f>
        <v>0</v>
      </c>
      <c r="AR37" s="13">
        <f ca="1">VLOOKUP($B37,'[7]Analisys QBR By Machine Report'!$C$109:$BD$166,39,FALSE)</f>
        <v>0</v>
      </c>
      <c r="AS37" s="13">
        <f ca="1">VLOOKUP($B37,'[7]Analisys QBR By Machine Report'!$C$109:$BD$166,40,FALSE)</f>
        <v>290</v>
      </c>
      <c r="AT37" s="13">
        <f ca="1">VLOOKUP($B37,'[7]Analisys QBR By Machine Report'!$C$109:$BD$166,41,FALSE)</f>
        <v>0</v>
      </c>
      <c r="AU37" s="13">
        <f ca="1">VLOOKUP($B37,'[7]Analisys QBR By Machine Report'!$C$109:$BD$166,42,FALSE)</f>
        <v>0</v>
      </c>
      <c r="AV37" s="13">
        <f ca="1">VLOOKUP($B37,'[7]Analisys QBR By Machine Report'!$C$109:$BD$166,43,FALSE)</f>
        <v>0</v>
      </c>
      <c r="AW37" s="13">
        <f ca="1">VLOOKUP($B37,'[7]Analisys QBR By Machine Report'!$C$109:$BD$166,44,FALSE)</f>
        <v>0</v>
      </c>
      <c r="AX37" s="13">
        <f ca="1">VLOOKUP($B37,'[7]Analisys QBR By Machine Report'!$C$109:$BD$166,45,FALSE)</f>
        <v>0</v>
      </c>
      <c r="AY37" s="13">
        <f ca="1">VLOOKUP($B37,'[7]Analisys QBR By Machine Report'!$C$109:$BD$166,46,FALSE)</f>
        <v>0</v>
      </c>
      <c r="AZ37" s="13">
        <f ca="1">VLOOKUP($B37,'[7]Analisys QBR By Machine Report'!$C$109:$BD$166,47,FALSE)</f>
        <v>722</v>
      </c>
      <c r="BA37" s="13">
        <f ca="1">VLOOKUP($B37,'[7]Analisys QBR By Machine Report'!$C$109:$BD$166,48,FALSE)</f>
        <v>0</v>
      </c>
      <c r="BB37" s="13">
        <f ca="1">VLOOKUP($B37,'[7]Analisys QBR By Machine Report'!$C$109:$BD$166,49,FALSE)</f>
        <v>0</v>
      </c>
      <c r="BC37" s="13">
        <f ca="1">VLOOKUP($B37,'[7]Analisys QBR By Machine Report'!$C$109:$BD$166,50,FALSE)</f>
        <v>0</v>
      </c>
      <c r="BD37" s="13">
        <f ca="1">VLOOKUP($B37,'[7]Analisys QBR By Machine Report'!$C$109:$BD$166,51,FALSE)</f>
        <v>488262</v>
      </c>
      <c r="BE37" s="13">
        <f ca="1">VLOOKUP($B37,'[7]Analisys QBR By Machine Report'!$C$109:$BD$166,52,FALSE)</f>
        <v>0</v>
      </c>
      <c r="BF37" s="13">
        <f ca="1">VLOOKUP($B37,'[7]Analisys QBR By Machine Report'!$C$109:$BD$166,53,FALSE)</f>
        <v>488262</v>
      </c>
    </row>
    <row r="38" spans="1:58" x14ac:dyDescent="0.25">
      <c r="A38" s="12" t="s">
        <v>94</v>
      </c>
      <c r="B38" s="13">
        <f ca="1">VLOOKUP($B38,'[7]Analisys QBR By Machine Report'!$C$109:$BD$166,2,FALSE)</f>
        <v>33120</v>
      </c>
      <c r="C38" s="14">
        <f ca="1">VLOOKUP($B38,[7]Dasboard_QBR_Report!$B$109:$BL$166,3,FALSE)</f>
        <v>11040</v>
      </c>
      <c r="D38" s="13">
        <f ca="1">VLOOKUP($B38,'[7]Analisys QBR By Machine Report'!$C$109:$BD$166,3,FALSE)</f>
        <v>33120</v>
      </c>
      <c r="E38" s="14">
        <f ca="1">VLOOKUP($B38,[7]Dasboard_QBR_Report!$B$109:$BL$166,5,FALSE)</f>
        <v>11040</v>
      </c>
      <c r="F38" s="13">
        <f t="shared" ca="1" si="0"/>
        <v>0</v>
      </c>
      <c r="G38" s="13">
        <f t="shared" ca="1" si="1"/>
        <v>0</v>
      </c>
      <c r="H38" s="13">
        <f ca="1">VLOOKUP($B38,'[7]Analisys QBR By Machine Report'!$C$109:$BD$166,4,FALSE)</f>
        <v>0</v>
      </c>
      <c r="I38" s="13">
        <f ca="1">VLOOKUP($B38,'[7]Analisys QBR By Machine Report'!$C$109:$BD$166,5,FALSE)</f>
        <v>0</v>
      </c>
      <c r="J38" s="13">
        <f ca="1">VLOOKUP($B38,'[7]Analisys QBR By Machine Report'!$C$109:$BD$166,6,FALSE)</f>
        <v>0</v>
      </c>
      <c r="K38" s="13">
        <f ca="1">VLOOKUP($B38,'[7]Analisys QBR By Machine Report'!$C$109:$BD$166,7,FALSE)</f>
        <v>0</v>
      </c>
      <c r="L38" s="13">
        <f ca="1">VLOOKUP($B38,'[7]Analisys QBR By Machine Report'!$C$109:$BD$166,8,FALSE)</f>
        <v>0</v>
      </c>
      <c r="M38" s="13">
        <f ca="1">VLOOKUP($B38,'[7]Analisys QBR By Machine Report'!$C$109:$BD$166,9,FALSE)</f>
        <v>0</v>
      </c>
      <c r="N38" s="13">
        <f ca="1">VLOOKUP($B38,[7]Dasboard_QBR_Report!$B$109:$BL$166,18,FALSE)</f>
        <v>0</v>
      </c>
      <c r="O38" s="13">
        <f ca="1">VLOOKUP($B38,'[7]Analisys QBR By Machine Report'!$C$109:$BD$166,10,FALSE)</f>
        <v>0</v>
      </c>
      <c r="P38" s="13">
        <f ca="1">VLOOKUP($B38,'[7]Analisys QBR By Machine Report'!$C$109:$BD$166,11,FALSE)</f>
        <v>0</v>
      </c>
      <c r="Q38" s="13">
        <f ca="1">VLOOKUP($B38,'[7]Analisys QBR By Machine Report'!$C$109:$BD$166,12,FALSE)</f>
        <v>0</v>
      </c>
      <c r="R38" s="13">
        <f ca="1">VLOOKUP($B38,'[7]Analisys QBR By Machine Report'!$C$109:$BD$166,13,FALSE)</f>
        <v>0</v>
      </c>
      <c r="S38" s="13">
        <f ca="1">VLOOKUP($B38,'[7]Analisys QBR By Machine Report'!$C$109:$BD$166,14,FALSE)</f>
        <v>0</v>
      </c>
      <c r="T38" s="13">
        <f ca="1">VLOOKUP($B38,'[7]Analisys QBR By Machine Report'!$C$109:$BD$166,15,FALSE)</f>
        <v>0</v>
      </c>
      <c r="U38" s="13">
        <f ca="1">VLOOKUP($B38,'[7]Analisys QBR By Machine Report'!$C$109:$BD$166,16,FALSE)</f>
        <v>0</v>
      </c>
      <c r="V38" s="13">
        <f ca="1">VLOOKUP($B38,'[7]Analisys QBR By Machine Report'!$C$109:$BD$166,17,FALSE)</f>
        <v>0</v>
      </c>
      <c r="W38" s="13">
        <f ca="1">VLOOKUP($B38,'[7]Analisys QBR By Machine Report'!$C$109:$BD$166,18,FALSE)</f>
        <v>0</v>
      </c>
      <c r="X38" s="13">
        <f ca="1">VLOOKUP($B38,'[7]Analisys QBR By Machine Report'!$C$109:$BD$166,19,FALSE)</f>
        <v>0</v>
      </c>
      <c r="Y38" s="13">
        <f ca="1">VLOOKUP($B38,'[7]Analisys QBR By Machine Report'!$C$109:$BD$166,20,FALSE)</f>
        <v>0</v>
      </c>
      <c r="Z38" s="13">
        <f ca="1">VLOOKUP($B38,'[7]Analisys QBR By Machine Report'!$C$109:$BD$166,21,FALSE)</f>
        <v>0</v>
      </c>
      <c r="AA38" s="13">
        <f ca="1">VLOOKUP($B38,'[7]Analisys QBR By Machine Report'!$C$109:$BD$166,22,FALSE)</f>
        <v>0</v>
      </c>
      <c r="AB38" s="13">
        <f ca="1">VLOOKUP($B38,'[7]Analisys QBR By Machine Report'!$C$109:$BD$166,23,FALSE)</f>
        <v>0</v>
      </c>
      <c r="AC38" s="13">
        <f ca="1">VLOOKUP($B38,'[7]Analisys QBR By Machine Report'!$C$109:$BD$166,24,FALSE)</f>
        <v>0</v>
      </c>
      <c r="AD38" s="13">
        <f ca="1">VLOOKUP($B38,'[7]Analisys QBR By Machine Report'!$C$109:$BD$166,25,FALSE)</f>
        <v>0</v>
      </c>
      <c r="AE38" s="13">
        <f ca="1">VLOOKUP($B38,'[7]Analisys QBR By Machine Report'!$C$109:$BD$166,26,FALSE)</f>
        <v>0</v>
      </c>
      <c r="AF38" s="13">
        <f ca="1">VLOOKUP($B38,'[7]Analisys QBR By Machine Report'!$C$109:$BD$166,27,FALSE)</f>
        <v>0</v>
      </c>
      <c r="AG38" s="13">
        <f ca="1">VLOOKUP($B38,'[7]Analisys QBR By Machine Report'!$C$109:$BD$166,28,FALSE)</f>
        <v>0</v>
      </c>
      <c r="AH38" s="13">
        <f ca="1">VLOOKUP($B38,'[7]Analisys QBR By Machine Report'!$C$109:$BD$166,29,FALSE)</f>
        <v>0</v>
      </c>
      <c r="AI38" s="13">
        <f ca="1">VLOOKUP($B38,'[7]Analisys QBR By Machine Report'!$C$109:$BD$166,30,FALSE)</f>
        <v>0</v>
      </c>
      <c r="AJ38" s="13">
        <f ca="1">VLOOKUP($B38,'[7]Analisys QBR By Machine Report'!$C$109:$BD$166,31,FALSE)</f>
        <v>0</v>
      </c>
      <c r="AK38" s="13">
        <f ca="1">VLOOKUP($B38,'[7]Analisys QBR By Machine Report'!$C$109:$BD$166,32,FALSE)</f>
        <v>0</v>
      </c>
      <c r="AL38" s="13">
        <f ca="1">VLOOKUP($B38,'[7]Analisys QBR By Machine Report'!$C$109:$BD$166,33,FALSE)</f>
        <v>0</v>
      </c>
      <c r="AM38" s="13">
        <f ca="1">VLOOKUP($B38,'[7]Analisys QBR By Machine Report'!$C$109:$BD$166,34,FALSE)</f>
        <v>0</v>
      </c>
      <c r="AN38" s="13">
        <f ca="1">VLOOKUP($B38,'[7]Analisys QBR By Machine Report'!$C$109:$BD$166,35,FALSE)</f>
        <v>0</v>
      </c>
      <c r="AO38" s="13">
        <f ca="1">VLOOKUP($B38,'[7]Analisys QBR By Machine Report'!$C$109:$BD$166,36,FALSE)</f>
        <v>0</v>
      </c>
      <c r="AP38" s="13">
        <f ca="1">VLOOKUP($B38,'[7]Analisys QBR By Machine Report'!$C$109:$BD$166,37,FALSE)</f>
        <v>0</v>
      </c>
      <c r="AQ38" s="13">
        <f ca="1">VLOOKUP($B38,'[7]Analisys QBR By Machine Report'!$C$109:$BD$166,38,FALSE)</f>
        <v>0</v>
      </c>
      <c r="AR38" s="13">
        <f ca="1">VLOOKUP($B38,'[7]Analisys QBR By Machine Report'!$C$109:$BD$166,39,FALSE)</f>
        <v>0</v>
      </c>
      <c r="AS38" s="13">
        <f ca="1">VLOOKUP($B38,'[7]Analisys QBR By Machine Report'!$C$109:$BD$166,40,FALSE)</f>
        <v>0</v>
      </c>
      <c r="AT38" s="13">
        <f ca="1">VLOOKUP($B38,'[7]Analisys QBR By Machine Report'!$C$109:$BD$166,41,FALSE)</f>
        <v>0</v>
      </c>
      <c r="AU38" s="13">
        <f ca="1">VLOOKUP($B38,'[7]Analisys QBR By Machine Report'!$C$109:$BD$166,42,FALSE)</f>
        <v>0</v>
      </c>
      <c r="AV38" s="13">
        <f ca="1">VLOOKUP($B38,'[7]Analisys QBR By Machine Report'!$C$109:$BD$166,43,FALSE)</f>
        <v>0</v>
      </c>
      <c r="AW38" s="13">
        <f ca="1">VLOOKUP($B38,'[7]Analisys QBR By Machine Report'!$C$109:$BD$166,44,FALSE)</f>
        <v>0</v>
      </c>
      <c r="AX38" s="13">
        <f ca="1">VLOOKUP($B38,'[7]Analisys QBR By Machine Report'!$C$109:$BD$166,45,FALSE)</f>
        <v>0</v>
      </c>
      <c r="AY38" s="13">
        <f ca="1">VLOOKUP($B38,'[7]Analisys QBR By Machine Report'!$C$109:$BD$166,46,FALSE)</f>
        <v>0</v>
      </c>
      <c r="AZ38" s="13">
        <f ca="1">VLOOKUP($B38,'[7]Analisys QBR By Machine Report'!$C$109:$BD$166,47,FALSE)</f>
        <v>0</v>
      </c>
      <c r="BA38" s="13">
        <f ca="1">VLOOKUP($B38,'[7]Analisys QBR By Machine Report'!$C$109:$BD$166,48,FALSE)</f>
        <v>0</v>
      </c>
      <c r="BB38" s="13">
        <f ca="1">VLOOKUP($B38,'[7]Analisys QBR By Machine Report'!$C$109:$BD$166,49,FALSE)</f>
        <v>0</v>
      </c>
      <c r="BC38" s="13">
        <f ca="1">VLOOKUP($B38,'[7]Analisys QBR By Machine Report'!$C$109:$BD$166,50,FALSE)</f>
        <v>0</v>
      </c>
      <c r="BD38" s="13">
        <f ca="1">VLOOKUP($B38,'[7]Analisys QBR By Machine Report'!$C$109:$BD$166,51,FALSE)</f>
        <v>0</v>
      </c>
      <c r="BE38" s="13">
        <f ca="1">VLOOKUP($B38,'[7]Analisys QBR By Machine Report'!$C$109:$BD$166,52,FALSE)</f>
        <v>0</v>
      </c>
      <c r="BF38" s="13">
        <f ca="1">VLOOKUP($B38,'[7]Analisys QBR By Machine Report'!$C$109:$BD$166,53,FALSE)</f>
        <v>0</v>
      </c>
    </row>
    <row r="39" spans="1:58" x14ac:dyDescent="0.25">
      <c r="A39" s="12" t="s">
        <v>95</v>
      </c>
      <c r="B39" s="13">
        <f ca="1">VLOOKUP($B39,'[7]Analisys QBR By Machine Report'!$C$109:$BD$166,2,FALSE)</f>
        <v>33120</v>
      </c>
      <c r="C39" s="14">
        <f ca="1">VLOOKUP($B39,[7]Dasboard_QBR_Report!$B$109:$BL$166,3,FALSE)</f>
        <v>11040</v>
      </c>
      <c r="D39" s="13">
        <f ca="1">VLOOKUP($B39,'[7]Analisys QBR By Machine Report'!$C$109:$BD$166,3,FALSE)</f>
        <v>15510</v>
      </c>
      <c r="E39" s="14">
        <f ca="1">VLOOKUP($B39,[7]Dasboard_QBR_Report!$B$109:$BL$166,5,FALSE)</f>
        <v>-6570</v>
      </c>
      <c r="F39" s="13">
        <f t="shared" ca="1" si="0"/>
        <v>17610</v>
      </c>
      <c r="G39" s="13">
        <f t="shared" ca="1" si="1"/>
        <v>360</v>
      </c>
      <c r="H39" s="13">
        <f ca="1">VLOOKUP($B39,'[7]Analisys QBR By Machine Report'!$C$109:$BD$166,4,FALSE)</f>
        <v>360</v>
      </c>
      <c r="I39" s="13">
        <f ca="1">VLOOKUP($B39,'[7]Analisys QBR By Machine Report'!$C$109:$BD$166,5,FALSE)</f>
        <v>360</v>
      </c>
      <c r="J39" s="13">
        <f ca="1">VLOOKUP($B39,'[7]Analisys QBR By Machine Report'!$C$109:$BD$166,6,FALSE)</f>
        <v>0</v>
      </c>
      <c r="K39" s="13">
        <f ca="1">VLOOKUP($B39,'[7]Analisys QBR By Machine Report'!$C$109:$BD$166,7,FALSE)</f>
        <v>0</v>
      </c>
      <c r="L39" s="13">
        <f ca="1">VLOOKUP($B39,'[7]Analisys QBR By Machine Report'!$C$109:$BD$166,8,FALSE)</f>
        <v>17250</v>
      </c>
      <c r="M39" s="13">
        <f ca="1">VLOOKUP($B39,'[7]Analisys QBR By Machine Report'!$C$109:$BD$166,9,FALSE)</f>
        <v>13040</v>
      </c>
      <c r="N39" s="13">
        <f ca="1">VLOOKUP($B39,[7]Dasboard_QBR_Report!$B$109:$BL$166,18,FALSE)</f>
        <v>4210</v>
      </c>
      <c r="O39" s="13">
        <f ca="1">VLOOKUP($B39,'[7]Analisys QBR By Machine Report'!$C$109:$BD$166,10,FALSE)</f>
        <v>257</v>
      </c>
      <c r="P39" s="13">
        <f ca="1">VLOOKUP($B39,'[7]Analisys QBR By Machine Report'!$C$109:$BD$166,11,FALSE)</f>
        <v>247</v>
      </c>
      <c r="Q39" s="13">
        <f ca="1">VLOOKUP($B39,'[7]Analisys QBR By Machine Report'!$C$109:$BD$166,12,FALSE)</f>
        <v>0</v>
      </c>
      <c r="R39" s="13">
        <f ca="1">VLOOKUP($B39,'[7]Analisys QBR By Machine Report'!$C$109:$BD$166,13,FALSE)</f>
        <v>10</v>
      </c>
      <c r="S39" s="13">
        <f ca="1">VLOOKUP($B39,'[7]Analisys QBR By Machine Report'!$C$109:$BD$166,14,FALSE)</f>
        <v>0</v>
      </c>
      <c r="T39" s="13">
        <f ca="1">VLOOKUP($B39,'[7]Analisys QBR By Machine Report'!$C$109:$BD$166,15,FALSE)</f>
        <v>0</v>
      </c>
      <c r="U39" s="13">
        <f ca="1">VLOOKUP($B39,'[7]Analisys QBR By Machine Report'!$C$109:$BD$166,16,FALSE)</f>
        <v>0</v>
      </c>
      <c r="V39" s="13">
        <f ca="1">VLOOKUP($B39,'[7]Analisys QBR By Machine Report'!$C$109:$BD$166,17,FALSE)</f>
        <v>0</v>
      </c>
      <c r="W39" s="13">
        <f ca="1">VLOOKUP($B39,'[7]Analisys QBR By Machine Report'!$C$109:$BD$166,18,FALSE)</f>
        <v>0</v>
      </c>
      <c r="X39" s="13">
        <f ca="1">VLOOKUP($B39,'[7]Analisys QBR By Machine Report'!$C$109:$BD$166,19,FALSE)</f>
        <v>0</v>
      </c>
      <c r="Y39" s="13">
        <f ca="1">VLOOKUP($B39,'[7]Analisys QBR By Machine Report'!$C$109:$BD$166,20,FALSE)</f>
        <v>0</v>
      </c>
      <c r="Z39" s="13">
        <f ca="1">VLOOKUP($B39,'[7]Analisys QBR By Machine Report'!$C$109:$BD$166,21,FALSE)</f>
        <v>975</v>
      </c>
      <c r="AA39" s="13">
        <f ca="1">VLOOKUP($B39,'[7]Analisys QBR By Machine Report'!$C$109:$BD$166,22,FALSE)</f>
        <v>331</v>
      </c>
      <c r="AB39" s="13">
        <f ca="1">VLOOKUP($B39,'[7]Analisys QBR By Machine Report'!$C$109:$BD$166,23,FALSE)</f>
        <v>614</v>
      </c>
      <c r="AC39" s="13">
        <f ca="1">VLOOKUP($B39,'[7]Analisys QBR By Machine Report'!$C$109:$BD$166,24,FALSE)</f>
        <v>0</v>
      </c>
      <c r="AD39" s="13">
        <f ca="1">VLOOKUP($B39,'[7]Analisys QBR By Machine Report'!$C$109:$BD$166,25,FALSE)</f>
        <v>0</v>
      </c>
      <c r="AE39" s="13">
        <f ca="1">VLOOKUP($B39,'[7]Analisys QBR By Machine Report'!$C$109:$BD$166,26,FALSE)</f>
        <v>30</v>
      </c>
      <c r="AF39" s="13">
        <f ca="1">VLOOKUP($B39,'[7]Analisys QBR By Machine Report'!$C$109:$BD$166,27,FALSE)</f>
        <v>0</v>
      </c>
      <c r="AG39" s="13">
        <f ca="1">VLOOKUP($B39,'[7]Analisys QBR By Machine Report'!$C$109:$BD$166,28,FALSE)</f>
        <v>0</v>
      </c>
      <c r="AH39" s="13">
        <f ca="1">VLOOKUP($B39,'[7]Analisys QBR By Machine Report'!$C$109:$BD$166,29,FALSE)</f>
        <v>0</v>
      </c>
      <c r="AI39" s="13">
        <f ca="1">VLOOKUP($B39,'[7]Analisys QBR By Machine Report'!$C$109:$BD$166,30,FALSE)</f>
        <v>2978</v>
      </c>
      <c r="AJ39" s="13">
        <f ca="1">VLOOKUP($B39,'[7]Analisys QBR By Machine Report'!$C$109:$BD$166,31,FALSE)</f>
        <v>0</v>
      </c>
      <c r="AK39" s="13">
        <f ca="1">VLOOKUP($B39,'[7]Analisys QBR By Machine Report'!$C$109:$BD$166,32,FALSE)</f>
        <v>25</v>
      </c>
      <c r="AL39" s="13">
        <f ca="1">VLOOKUP($B39,'[7]Analisys QBR By Machine Report'!$C$109:$BD$166,33,FALSE)</f>
        <v>1110</v>
      </c>
      <c r="AM39" s="13">
        <f ca="1">VLOOKUP($B39,'[7]Analisys QBR By Machine Report'!$C$109:$BD$166,34,FALSE)</f>
        <v>0</v>
      </c>
      <c r="AN39" s="13">
        <f ca="1">VLOOKUP($B39,'[7]Analisys QBR By Machine Report'!$C$109:$BD$166,35,FALSE)</f>
        <v>765</v>
      </c>
      <c r="AO39" s="13">
        <f ca="1">VLOOKUP($B39,'[7]Analisys QBR By Machine Report'!$C$109:$BD$166,36,FALSE)</f>
        <v>70</v>
      </c>
      <c r="AP39" s="13">
        <f ca="1">VLOOKUP($B39,'[7]Analisys QBR By Machine Report'!$C$109:$BD$166,37,FALSE)</f>
        <v>0</v>
      </c>
      <c r="AQ39" s="13">
        <f ca="1">VLOOKUP($B39,'[7]Analisys QBR By Machine Report'!$C$109:$BD$166,38,FALSE)</f>
        <v>0</v>
      </c>
      <c r="AR39" s="13">
        <f ca="1">VLOOKUP($B39,'[7]Analisys QBR By Machine Report'!$C$109:$BD$166,39,FALSE)</f>
        <v>0</v>
      </c>
      <c r="AS39" s="13">
        <f ca="1">VLOOKUP($B39,'[7]Analisys QBR By Machine Report'!$C$109:$BD$166,40,FALSE)</f>
        <v>221</v>
      </c>
      <c r="AT39" s="13">
        <f ca="1">VLOOKUP($B39,'[7]Analisys QBR By Machine Report'!$C$109:$BD$166,41,FALSE)</f>
        <v>0</v>
      </c>
      <c r="AU39" s="13">
        <f ca="1">VLOOKUP($B39,'[7]Analisys QBR By Machine Report'!$C$109:$BD$166,42,FALSE)</f>
        <v>0</v>
      </c>
      <c r="AV39" s="13">
        <f ca="1">VLOOKUP($B39,'[7]Analisys QBR By Machine Report'!$C$109:$BD$166,43,FALSE)</f>
        <v>0</v>
      </c>
      <c r="AW39" s="13">
        <f ca="1">VLOOKUP($B39,'[7]Analisys QBR By Machine Report'!$C$109:$BD$166,44,FALSE)</f>
        <v>0</v>
      </c>
      <c r="AX39" s="13">
        <f ca="1">VLOOKUP($B39,'[7]Analisys QBR By Machine Report'!$C$109:$BD$166,45,FALSE)</f>
        <v>0</v>
      </c>
      <c r="AY39" s="13">
        <f ca="1">VLOOKUP($B39,'[7]Analisys QBR By Machine Report'!$C$109:$BD$166,46,FALSE)</f>
        <v>0</v>
      </c>
      <c r="AZ39" s="13">
        <f ca="1">VLOOKUP($B39,'[7]Analisys QBR By Machine Report'!$C$109:$BD$166,47,FALSE)</f>
        <v>787</v>
      </c>
      <c r="BA39" s="13">
        <f ca="1">VLOOKUP($B39,'[7]Analisys QBR By Machine Report'!$C$109:$BD$166,48,FALSE)</f>
        <v>0</v>
      </c>
      <c r="BB39" s="13">
        <f ca="1">VLOOKUP($B39,'[7]Analisys QBR By Machine Report'!$C$109:$BD$166,49,FALSE)</f>
        <v>0</v>
      </c>
      <c r="BC39" s="13">
        <f ca="1">VLOOKUP($B39,'[7]Analisys QBR By Machine Report'!$C$109:$BD$166,50,FALSE)</f>
        <v>0</v>
      </c>
      <c r="BD39" s="13">
        <f ca="1">VLOOKUP($B39,'[7]Analisys QBR By Machine Report'!$C$109:$BD$166,51,FALSE)</f>
        <v>720757</v>
      </c>
      <c r="BE39" s="13">
        <f ca="1">VLOOKUP($B39,'[7]Analisys QBR By Machine Report'!$C$109:$BD$166,52,FALSE)</f>
        <v>0</v>
      </c>
      <c r="BF39" s="13">
        <f ca="1">VLOOKUP($B39,'[7]Analisys QBR By Machine Report'!$C$109:$BD$166,53,FALSE)</f>
        <v>720757</v>
      </c>
    </row>
    <row r="40" spans="1:58" x14ac:dyDescent="0.25">
      <c r="A40" s="12" t="s">
        <v>96</v>
      </c>
      <c r="B40" s="13">
        <f ca="1">VLOOKUP($B40,'[7]Analisys QBR By Machine Report'!$C$109:$BD$166,2,FALSE)</f>
        <v>33120</v>
      </c>
      <c r="C40" s="14">
        <f ca="1">VLOOKUP($B40,[7]Dasboard_QBR_Report!$B$109:$BL$166,3,FALSE)</f>
        <v>11040</v>
      </c>
      <c r="D40" s="13">
        <f ca="1">VLOOKUP($B40,'[7]Analisys QBR By Machine Report'!$C$109:$BD$166,3,FALSE)</f>
        <v>32610</v>
      </c>
      <c r="E40" s="14">
        <f ca="1">VLOOKUP($B40,[7]Dasboard_QBR_Report!$B$109:$BL$166,5,FALSE)</f>
        <v>10530</v>
      </c>
      <c r="F40" s="13">
        <f t="shared" ca="1" si="0"/>
        <v>510</v>
      </c>
      <c r="G40" s="13">
        <f t="shared" ca="1" si="1"/>
        <v>300</v>
      </c>
      <c r="H40" s="13">
        <f ca="1">VLOOKUP($B40,'[7]Analisys QBR By Machine Report'!$C$109:$BD$166,4,FALSE)</f>
        <v>300</v>
      </c>
      <c r="I40" s="13">
        <f ca="1">VLOOKUP($B40,'[7]Analisys QBR By Machine Report'!$C$109:$BD$166,5,FALSE)</f>
        <v>0</v>
      </c>
      <c r="J40" s="13">
        <f ca="1">VLOOKUP($B40,'[7]Analisys QBR By Machine Report'!$C$109:$BD$166,6,FALSE)</f>
        <v>300</v>
      </c>
      <c r="K40" s="13">
        <f ca="1">VLOOKUP($B40,'[7]Analisys QBR By Machine Report'!$C$109:$BD$166,7,FALSE)</f>
        <v>0</v>
      </c>
      <c r="L40" s="13">
        <f ca="1">VLOOKUP($B40,'[7]Analisys QBR By Machine Report'!$C$109:$BD$166,8,FALSE)</f>
        <v>210</v>
      </c>
      <c r="M40" s="13">
        <f ca="1">VLOOKUP($B40,'[7]Analisys QBR By Machine Report'!$C$109:$BD$166,9,FALSE)</f>
        <v>50</v>
      </c>
      <c r="N40" s="13">
        <f ca="1">VLOOKUP($B40,[7]Dasboard_QBR_Report!$B$109:$BL$166,18,FALSE)</f>
        <v>160</v>
      </c>
      <c r="O40" s="13">
        <f ca="1">VLOOKUP($B40,'[7]Analisys QBR By Machine Report'!$C$109:$BD$166,10,FALSE)</f>
        <v>25</v>
      </c>
      <c r="P40" s="13">
        <f ca="1">VLOOKUP($B40,'[7]Analisys QBR By Machine Report'!$C$109:$BD$166,11,FALSE)</f>
        <v>25</v>
      </c>
      <c r="Q40" s="13">
        <f ca="1">VLOOKUP($B40,'[7]Analisys QBR By Machine Report'!$C$109:$BD$166,12,FALSE)</f>
        <v>0</v>
      </c>
      <c r="R40" s="13">
        <f ca="1">VLOOKUP($B40,'[7]Analisys QBR By Machine Report'!$C$109:$BD$166,13,FALSE)</f>
        <v>0</v>
      </c>
      <c r="S40" s="13">
        <f ca="1">VLOOKUP($B40,'[7]Analisys QBR By Machine Report'!$C$109:$BD$166,14,FALSE)</f>
        <v>0</v>
      </c>
      <c r="T40" s="13">
        <f ca="1">VLOOKUP($B40,'[7]Analisys QBR By Machine Report'!$C$109:$BD$166,15,FALSE)</f>
        <v>0</v>
      </c>
      <c r="U40" s="13">
        <f ca="1">VLOOKUP($B40,'[7]Analisys QBR By Machine Report'!$C$109:$BD$166,16,FALSE)</f>
        <v>0</v>
      </c>
      <c r="V40" s="13">
        <f ca="1">VLOOKUP($B40,'[7]Analisys QBR By Machine Report'!$C$109:$BD$166,17,FALSE)</f>
        <v>0</v>
      </c>
      <c r="W40" s="13">
        <f ca="1">VLOOKUP($B40,'[7]Analisys QBR By Machine Report'!$C$109:$BD$166,18,FALSE)</f>
        <v>0</v>
      </c>
      <c r="X40" s="13">
        <f ca="1">VLOOKUP($B40,'[7]Analisys QBR By Machine Report'!$C$109:$BD$166,19,FALSE)</f>
        <v>0</v>
      </c>
      <c r="Y40" s="13">
        <f ca="1">VLOOKUP($B40,'[7]Analisys QBR By Machine Report'!$C$109:$BD$166,20,FALSE)</f>
        <v>0</v>
      </c>
      <c r="Z40" s="13">
        <f ca="1">VLOOKUP($B40,'[7]Analisys QBR By Machine Report'!$C$109:$BD$166,21,FALSE)</f>
        <v>120</v>
      </c>
      <c r="AA40" s="13">
        <f ca="1">VLOOKUP($B40,'[7]Analisys QBR By Machine Report'!$C$109:$BD$166,22,FALSE)</f>
        <v>40</v>
      </c>
      <c r="AB40" s="13">
        <f ca="1">VLOOKUP($B40,'[7]Analisys QBR By Machine Report'!$C$109:$BD$166,23,FALSE)</f>
        <v>65</v>
      </c>
      <c r="AC40" s="13">
        <f ca="1">VLOOKUP($B40,'[7]Analisys QBR By Machine Report'!$C$109:$BD$166,24,FALSE)</f>
        <v>0</v>
      </c>
      <c r="AD40" s="13">
        <f ca="1">VLOOKUP($B40,'[7]Analisys QBR By Machine Report'!$C$109:$BD$166,25,FALSE)</f>
        <v>0</v>
      </c>
      <c r="AE40" s="13">
        <f ca="1">VLOOKUP($B40,'[7]Analisys QBR By Machine Report'!$C$109:$BD$166,26,FALSE)</f>
        <v>15</v>
      </c>
      <c r="AF40" s="13">
        <f ca="1">VLOOKUP($B40,'[7]Analisys QBR By Machine Report'!$C$109:$BD$166,27,FALSE)</f>
        <v>0</v>
      </c>
      <c r="AG40" s="13">
        <f ca="1">VLOOKUP($B40,'[7]Analisys QBR By Machine Report'!$C$109:$BD$166,28,FALSE)</f>
        <v>0</v>
      </c>
      <c r="AH40" s="13">
        <f ca="1">VLOOKUP($B40,'[7]Analisys QBR By Machine Report'!$C$109:$BD$166,29,FALSE)</f>
        <v>0</v>
      </c>
      <c r="AI40" s="13">
        <f ca="1">VLOOKUP($B40,'[7]Analisys QBR By Machine Report'!$C$109:$BD$166,30,FALSE)</f>
        <v>15</v>
      </c>
      <c r="AJ40" s="13">
        <f ca="1">VLOOKUP($B40,'[7]Analisys QBR By Machine Report'!$C$109:$BD$166,31,FALSE)</f>
        <v>0</v>
      </c>
      <c r="AK40" s="13">
        <f ca="1">VLOOKUP($B40,'[7]Analisys QBR By Machine Report'!$C$109:$BD$166,32,FALSE)</f>
        <v>0</v>
      </c>
      <c r="AL40" s="13">
        <f ca="1">VLOOKUP($B40,'[7]Analisys QBR By Machine Report'!$C$109:$BD$166,33,FALSE)</f>
        <v>0</v>
      </c>
      <c r="AM40" s="13">
        <f ca="1">VLOOKUP($B40,'[7]Analisys QBR By Machine Report'!$C$109:$BD$166,34,FALSE)</f>
        <v>0</v>
      </c>
      <c r="AN40" s="13">
        <f ca="1">VLOOKUP($B40,'[7]Analisys QBR By Machine Report'!$C$109:$BD$166,35,FALSE)</f>
        <v>0</v>
      </c>
      <c r="AO40" s="13">
        <f ca="1">VLOOKUP($B40,'[7]Analisys QBR By Machine Report'!$C$109:$BD$166,36,FALSE)</f>
        <v>0</v>
      </c>
      <c r="AP40" s="13">
        <f ca="1">VLOOKUP($B40,'[7]Analisys QBR By Machine Report'!$C$109:$BD$166,37,FALSE)</f>
        <v>0</v>
      </c>
      <c r="AQ40" s="13">
        <f ca="1">VLOOKUP($B40,'[7]Analisys QBR By Machine Report'!$C$109:$BD$166,38,FALSE)</f>
        <v>0</v>
      </c>
      <c r="AR40" s="13">
        <f ca="1">VLOOKUP($B40,'[7]Analisys QBR By Machine Report'!$C$109:$BD$166,39,FALSE)</f>
        <v>0</v>
      </c>
      <c r="AS40" s="13">
        <f ca="1">VLOOKUP($B40,'[7]Analisys QBR By Machine Report'!$C$109:$BD$166,40,FALSE)</f>
        <v>10</v>
      </c>
      <c r="AT40" s="13">
        <f ca="1">VLOOKUP($B40,'[7]Analisys QBR By Machine Report'!$C$109:$BD$166,41,FALSE)</f>
        <v>0</v>
      </c>
      <c r="AU40" s="13">
        <f ca="1">VLOOKUP($B40,'[7]Analisys QBR By Machine Report'!$C$109:$BD$166,42,FALSE)</f>
        <v>0</v>
      </c>
      <c r="AV40" s="13">
        <f ca="1">VLOOKUP($B40,'[7]Analisys QBR By Machine Report'!$C$109:$BD$166,43,FALSE)</f>
        <v>0</v>
      </c>
      <c r="AW40" s="13">
        <f ca="1">VLOOKUP($B40,'[7]Analisys QBR By Machine Report'!$C$109:$BD$166,44,FALSE)</f>
        <v>0</v>
      </c>
      <c r="AX40" s="13">
        <f ca="1">VLOOKUP($B40,'[7]Analisys QBR By Machine Report'!$C$109:$BD$166,45,FALSE)</f>
        <v>0</v>
      </c>
      <c r="AY40" s="13">
        <f ca="1">VLOOKUP($B40,'[7]Analisys QBR By Machine Report'!$C$109:$BD$166,46,FALSE)</f>
        <v>0</v>
      </c>
      <c r="AZ40" s="13">
        <f ca="1">VLOOKUP($B40,'[7]Analisys QBR By Machine Report'!$C$109:$BD$166,47,FALSE)</f>
        <v>5</v>
      </c>
      <c r="BA40" s="13">
        <f ca="1">VLOOKUP($B40,'[7]Analisys QBR By Machine Report'!$C$109:$BD$166,48,FALSE)</f>
        <v>0</v>
      </c>
      <c r="BB40" s="13">
        <f ca="1">VLOOKUP($B40,'[7]Analisys QBR By Machine Report'!$C$109:$BD$166,49,FALSE)</f>
        <v>0</v>
      </c>
      <c r="BC40" s="13">
        <f ca="1">VLOOKUP($B40,'[7]Analisys QBR By Machine Report'!$C$109:$BD$166,50,FALSE)</f>
        <v>0</v>
      </c>
      <c r="BD40" s="13">
        <f ca="1">VLOOKUP($B40,'[7]Analisys QBR By Machine Report'!$C$109:$BD$166,51,FALSE)</f>
        <v>1555</v>
      </c>
      <c r="BE40" s="13">
        <f ca="1">VLOOKUP($B40,'[7]Analisys QBR By Machine Report'!$C$109:$BD$166,52,FALSE)</f>
        <v>0</v>
      </c>
      <c r="BF40" s="13">
        <f ca="1">VLOOKUP($B40,'[7]Analisys QBR By Machine Report'!$C$109:$BD$166,53,FALSE)</f>
        <v>1555</v>
      </c>
    </row>
    <row r="41" spans="1:58" x14ac:dyDescent="0.25">
      <c r="A41" s="12" t="s">
        <v>97</v>
      </c>
      <c r="B41" s="13">
        <f ca="1">VLOOKUP($B41,'[7]Analisys QBR By Machine Report'!$C$109:$BD$166,2,FALSE)</f>
        <v>33120</v>
      </c>
      <c r="C41" s="14">
        <f ca="1">VLOOKUP($B41,[7]Dasboard_QBR_Report!$B$109:$BL$166,3,FALSE)</f>
        <v>21390</v>
      </c>
      <c r="D41" s="13">
        <f ca="1">VLOOKUP($B41,'[7]Analisys QBR By Machine Report'!$C$109:$BD$166,3,FALSE)</f>
        <v>18240</v>
      </c>
      <c r="E41" s="14">
        <f ca="1">VLOOKUP($B41,[7]Dasboard_QBR_Report!$B$109:$BL$166,5,FALSE)</f>
        <v>6510</v>
      </c>
      <c r="F41" s="13">
        <f t="shared" ca="1" si="0"/>
        <v>14880</v>
      </c>
      <c r="G41" s="13">
        <f t="shared" ca="1" si="1"/>
        <v>2680</v>
      </c>
      <c r="H41" s="13">
        <f ca="1">VLOOKUP($B41,'[7]Analisys QBR By Machine Report'!$C$109:$BD$166,4,FALSE)</f>
        <v>2680</v>
      </c>
      <c r="I41" s="13">
        <f ca="1">VLOOKUP($B41,'[7]Analisys QBR By Machine Report'!$C$109:$BD$166,5,FALSE)</f>
        <v>605</v>
      </c>
      <c r="J41" s="13">
        <f ca="1">VLOOKUP($B41,'[7]Analisys QBR By Machine Report'!$C$109:$BD$166,6,FALSE)</f>
        <v>2075</v>
      </c>
      <c r="K41" s="13">
        <f ca="1">VLOOKUP($B41,'[7]Analisys QBR By Machine Report'!$C$109:$BD$166,7,FALSE)</f>
        <v>0</v>
      </c>
      <c r="L41" s="13">
        <f ca="1">VLOOKUP($B41,'[7]Analisys QBR By Machine Report'!$C$109:$BD$166,8,FALSE)</f>
        <v>12200</v>
      </c>
      <c r="M41" s="13">
        <f ca="1">VLOOKUP($B41,'[7]Analisys QBR By Machine Report'!$C$109:$BD$166,9,FALSE)</f>
        <v>5580</v>
      </c>
      <c r="N41" s="13">
        <f ca="1">VLOOKUP($B41,[7]Dasboard_QBR_Report!$B$109:$BL$166,18,FALSE)</f>
        <v>6620</v>
      </c>
      <c r="O41" s="13">
        <f ca="1">VLOOKUP($B41,'[7]Analisys QBR By Machine Report'!$C$109:$BD$166,10,FALSE)</f>
        <v>1675</v>
      </c>
      <c r="P41" s="13">
        <f ca="1">VLOOKUP($B41,'[7]Analisys QBR By Machine Report'!$C$109:$BD$166,11,FALSE)</f>
        <v>900</v>
      </c>
      <c r="Q41" s="13">
        <f ca="1">VLOOKUP($B41,'[7]Analisys QBR By Machine Report'!$C$109:$BD$166,12,FALSE)</f>
        <v>60</v>
      </c>
      <c r="R41" s="13">
        <f ca="1">VLOOKUP($B41,'[7]Analisys QBR By Machine Report'!$C$109:$BD$166,13,FALSE)</f>
        <v>195</v>
      </c>
      <c r="S41" s="13">
        <f ca="1">VLOOKUP($B41,'[7]Analisys QBR By Machine Report'!$C$109:$BD$166,14,FALSE)</f>
        <v>520</v>
      </c>
      <c r="T41" s="13">
        <f ca="1">VLOOKUP($B41,'[7]Analisys QBR By Machine Report'!$C$109:$BD$166,15,FALSE)</f>
        <v>0</v>
      </c>
      <c r="U41" s="13">
        <f ca="1">VLOOKUP($B41,'[7]Analisys QBR By Machine Report'!$C$109:$BD$166,16,FALSE)</f>
        <v>0</v>
      </c>
      <c r="V41" s="13">
        <f ca="1">VLOOKUP($B41,'[7]Analisys QBR By Machine Report'!$C$109:$BD$166,17,FALSE)</f>
        <v>0</v>
      </c>
      <c r="W41" s="13">
        <f ca="1">VLOOKUP($B41,'[7]Analisys QBR By Machine Report'!$C$109:$BD$166,18,FALSE)</f>
        <v>0</v>
      </c>
      <c r="X41" s="13">
        <f ca="1">VLOOKUP($B41,'[7]Analisys QBR By Machine Report'!$C$109:$BD$166,19,FALSE)</f>
        <v>0</v>
      </c>
      <c r="Y41" s="13">
        <f ca="1">VLOOKUP($B41,'[7]Analisys QBR By Machine Report'!$C$109:$BD$166,20,FALSE)</f>
        <v>0</v>
      </c>
      <c r="Z41" s="13">
        <f ca="1">VLOOKUP($B41,'[7]Analisys QBR By Machine Report'!$C$109:$BD$166,21,FALSE)</f>
        <v>870</v>
      </c>
      <c r="AA41" s="13">
        <f ca="1">VLOOKUP($B41,'[7]Analisys QBR By Machine Report'!$C$109:$BD$166,22,FALSE)</f>
        <v>500</v>
      </c>
      <c r="AB41" s="13">
        <f ca="1">VLOOKUP($B41,'[7]Analisys QBR By Machine Report'!$C$109:$BD$166,23,FALSE)</f>
        <v>370</v>
      </c>
      <c r="AC41" s="13">
        <f ca="1">VLOOKUP($B41,'[7]Analisys QBR By Machine Report'!$C$109:$BD$166,24,FALSE)</f>
        <v>0</v>
      </c>
      <c r="AD41" s="13">
        <f ca="1">VLOOKUP($B41,'[7]Analisys QBR By Machine Report'!$C$109:$BD$166,25,FALSE)</f>
        <v>0</v>
      </c>
      <c r="AE41" s="13">
        <f ca="1">VLOOKUP($B41,'[7]Analisys QBR By Machine Report'!$C$109:$BD$166,26,FALSE)</f>
        <v>0</v>
      </c>
      <c r="AF41" s="13">
        <f ca="1">VLOOKUP($B41,'[7]Analisys QBR By Machine Report'!$C$109:$BD$166,27,FALSE)</f>
        <v>0</v>
      </c>
      <c r="AG41" s="13">
        <f ca="1">VLOOKUP($B41,'[7]Analisys QBR By Machine Report'!$C$109:$BD$166,28,FALSE)</f>
        <v>0</v>
      </c>
      <c r="AH41" s="13">
        <f ca="1">VLOOKUP($B41,'[7]Analisys QBR By Machine Report'!$C$109:$BD$166,29,FALSE)</f>
        <v>0</v>
      </c>
      <c r="AI41" s="13">
        <f ca="1">VLOOKUP($B41,'[7]Analisys QBR By Machine Report'!$C$109:$BD$166,30,FALSE)</f>
        <v>4075</v>
      </c>
      <c r="AJ41" s="13">
        <f ca="1">VLOOKUP($B41,'[7]Analisys QBR By Machine Report'!$C$109:$BD$166,31,FALSE)</f>
        <v>0</v>
      </c>
      <c r="AK41" s="13">
        <f ca="1">VLOOKUP($B41,'[7]Analisys QBR By Machine Report'!$C$109:$BD$166,32,FALSE)</f>
        <v>0</v>
      </c>
      <c r="AL41" s="13">
        <f ca="1">VLOOKUP($B41,'[7]Analisys QBR By Machine Report'!$C$109:$BD$166,33,FALSE)</f>
        <v>660</v>
      </c>
      <c r="AM41" s="13">
        <f ca="1">VLOOKUP($B41,'[7]Analisys QBR By Machine Report'!$C$109:$BD$166,34,FALSE)</f>
        <v>0</v>
      </c>
      <c r="AN41" s="13">
        <f ca="1">VLOOKUP($B41,'[7]Analisys QBR By Machine Report'!$C$109:$BD$166,35,FALSE)</f>
        <v>390</v>
      </c>
      <c r="AO41" s="13">
        <f ca="1">VLOOKUP($B41,'[7]Analisys QBR By Machine Report'!$C$109:$BD$166,36,FALSE)</f>
        <v>1030</v>
      </c>
      <c r="AP41" s="13">
        <f ca="1">VLOOKUP($B41,'[7]Analisys QBR By Machine Report'!$C$109:$BD$166,37,FALSE)</f>
        <v>0</v>
      </c>
      <c r="AQ41" s="13">
        <f ca="1">VLOOKUP($B41,'[7]Analisys QBR By Machine Report'!$C$109:$BD$166,38,FALSE)</f>
        <v>0</v>
      </c>
      <c r="AR41" s="13">
        <f ca="1">VLOOKUP($B41,'[7]Analisys QBR By Machine Report'!$C$109:$BD$166,39,FALSE)</f>
        <v>1560</v>
      </c>
      <c r="AS41" s="13">
        <f ca="1">VLOOKUP($B41,'[7]Analisys QBR By Machine Report'!$C$109:$BD$166,40,FALSE)</f>
        <v>215</v>
      </c>
      <c r="AT41" s="13">
        <f ca="1">VLOOKUP($B41,'[7]Analisys QBR By Machine Report'!$C$109:$BD$166,41,FALSE)</f>
        <v>0</v>
      </c>
      <c r="AU41" s="13">
        <f ca="1">VLOOKUP($B41,'[7]Analisys QBR By Machine Report'!$C$109:$BD$166,42,FALSE)</f>
        <v>0</v>
      </c>
      <c r="AV41" s="13">
        <f ca="1">VLOOKUP($B41,'[7]Analisys QBR By Machine Report'!$C$109:$BD$166,43,FALSE)</f>
        <v>0</v>
      </c>
      <c r="AW41" s="13">
        <f ca="1">VLOOKUP($B41,'[7]Analisys QBR By Machine Report'!$C$109:$BD$166,44,FALSE)</f>
        <v>0</v>
      </c>
      <c r="AX41" s="13">
        <f ca="1">VLOOKUP($B41,'[7]Analisys QBR By Machine Report'!$C$109:$BD$166,45,FALSE)</f>
        <v>0</v>
      </c>
      <c r="AY41" s="13">
        <f ca="1">VLOOKUP($B41,'[7]Analisys QBR By Machine Report'!$C$109:$BD$166,46,FALSE)</f>
        <v>0</v>
      </c>
      <c r="AZ41" s="13">
        <f ca="1">VLOOKUP($B41,'[7]Analisys QBR By Machine Report'!$C$109:$BD$166,47,FALSE)</f>
        <v>220</v>
      </c>
      <c r="BA41" s="13">
        <f ca="1">VLOOKUP($B41,'[7]Analisys QBR By Machine Report'!$C$109:$BD$166,48,FALSE)</f>
        <v>0</v>
      </c>
      <c r="BB41" s="13">
        <f ca="1">VLOOKUP($B41,'[7]Analisys QBR By Machine Report'!$C$109:$BD$166,49,FALSE)</f>
        <v>0</v>
      </c>
      <c r="BC41" s="13">
        <f ca="1">VLOOKUP($B41,'[7]Analisys QBR By Machine Report'!$C$109:$BD$166,50,FALSE)</f>
        <v>0</v>
      </c>
      <c r="BD41" s="13">
        <f ca="1">VLOOKUP($B41,'[7]Analisys QBR By Machine Report'!$C$109:$BD$166,51,FALSE)</f>
        <v>264749</v>
      </c>
      <c r="BE41" s="13">
        <f ca="1">VLOOKUP($B41,'[7]Analisys QBR By Machine Report'!$C$109:$BD$166,52,FALSE)</f>
        <v>0</v>
      </c>
      <c r="BF41" s="13">
        <f ca="1">VLOOKUP($B41,'[7]Analisys QBR By Machine Report'!$C$109:$BD$166,53,FALSE)</f>
        <v>264749</v>
      </c>
    </row>
    <row r="42" spans="1:58" x14ac:dyDescent="0.25">
      <c r="A42" s="12" t="s">
        <v>98</v>
      </c>
      <c r="B42" s="13">
        <f ca="1">VLOOKUP($B42,'[7]Analisys QBR By Machine Report'!$C$109:$BD$166,2,FALSE)</f>
        <v>33120</v>
      </c>
      <c r="C42" s="14">
        <f ca="1">VLOOKUP($B42,[7]Dasboard_QBR_Report!$B$109:$BL$166,3,FALSE)</f>
        <v>11040</v>
      </c>
      <c r="D42" s="13">
        <f ca="1">VLOOKUP($B42,'[7]Analisys QBR By Machine Report'!$C$109:$BD$166,3,FALSE)</f>
        <v>22230</v>
      </c>
      <c r="E42" s="14">
        <f ca="1">VLOOKUP($B42,[7]Dasboard_QBR_Report!$B$109:$BL$166,5,FALSE)</f>
        <v>150</v>
      </c>
      <c r="F42" s="13">
        <f t="shared" ca="1" si="0"/>
        <v>10890</v>
      </c>
      <c r="G42" s="13">
        <f t="shared" ca="1" si="1"/>
        <v>1220</v>
      </c>
      <c r="H42" s="13">
        <f ca="1">VLOOKUP($B42,'[7]Analisys QBR By Machine Report'!$C$109:$BD$166,4,FALSE)</f>
        <v>1220</v>
      </c>
      <c r="I42" s="13">
        <f ca="1">VLOOKUP($B42,'[7]Analisys QBR By Machine Report'!$C$109:$BD$166,5,FALSE)</f>
        <v>645</v>
      </c>
      <c r="J42" s="13">
        <f ca="1">VLOOKUP($B42,'[7]Analisys QBR By Machine Report'!$C$109:$BD$166,6,FALSE)</f>
        <v>575</v>
      </c>
      <c r="K42" s="13">
        <f ca="1">VLOOKUP($B42,'[7]Analisys QBR By Machine Report'!$C$109:$BD$166,7,FALSE)</f>
        <v>0</v>
      </c>
      <c r="L42" s="13">
        <f ca="1">VLOOKUP($B42,'[7]Analisys QBR By Machine Report'!$C$109:$BD$166,8,FALSE)</f>
        <v>9670</v>
      </c>
      <c r="M42" s="13">
        <f ca="1">VLOOKUP($B42,'[7]Analisys QBR By Machine Report'!$C$109:$BD$166,9,FALSE)</f>
        <v>4468</v>
      </c>
      <c r="N42" s="13">
        <f ca="1">VLOOKUP($B42,[7]Dasboard_QBR_Report!$B$109:$BL$166,18,FALSE)</f>
        <v>5202</v>
      </c>
      <c r="O42" s="13">
        <f ca="1">VLOOKUP($B42,'[7]Analisys QBR By Machine Report'!$C$109:$BD$166,10,FALSE)</f>
        <v>1926</v>
      </c>
      <c r="P42" s="13">
        <f ca="1">VLOOKUP($B42,'[7]Analisys QBR By Machine Report'!$C$109:$BD$166,11,FALSE)</f>
        <v>815</v>
      </c>
      <c r="Q42" s="13">
        <f ca="1">VLOOKUP($B42,'[7]Analisys QBR By Machine Report'!$C$109:$BD$166,12,FALSE)</f>
        <v>156</v>
      </c>
      <c r="R42" s="13">
        <f ca="1">VLOOKUP($B42,'[7]Analisys QBR By Machine Report'!$C$109:$BD$166,13,FALSE)</f>
        <v>227</v>
      </c>
      <c r="S42" s="13">
        <f ca="1">VLOOKUP($B42,'[7]Analisys QBR By Machine Report'!$C$109:$BD$166,14,FALSE)</f>
        <v>728</v>
      </c>
      <c r="T42" s="13">
        <f ca="1">VLOOKUP($B42,'[7]Analisys QBR By Machine Report'!$C$109:$BD$166,15,FALSE)</f>
        <v>398</v>
      </c>
      <c r="U42" s="13">
        <f ca="1">VLOOKUP($B42,'[7]Analisys QBR By Machine Report'!$C$109:$BD$166,16,FALSE)</f>
        <v>100</v>
      </c>
      <c r="V42" s="13">
        <f ca="1">VLOOKUP($B42,'[7]Analisys QBR By Machine Report'!$C$109:$BD$166,17,FALSE)</f>
        <v>298</v>
      </c>
      <c r="W42" s="13">
        <f ca="1">VLOOKUP($B42,'[7]Analisys QBR By Machine Report'!$C$109:$BD$166,18,FALSE)</f>
        <v>0</v>
      </c>
      <c r="X42" s="13">
        <f ca="1">VLOOKUP($B42,'[7]Analisys QBR By Machine Report'!$C$109:$BD$166,19,FALSE)</f>
        <v>0</v>
      </c>
      <c r="Y42" s="13">
        <f ca="1">VLOOKUP($B42,'[7]Analisys QBR By Machine Report'!$C$109:$BD$166,20,FALSE)</f>
        <v>0</v>
      </c>
      <c r="Z42" s="13">
        <f ca="1">VLOOKUP($B42,'[7]Analisys QBR By Machine Report'!$C$109:$BD$166,21,FALSE)</f>
        <v>1261</v>
      </c>
      <c r="AA42" s="13">
        <f ca="1">VLOOKUP($B42,'[7]Analisys QBR By Machine Report'!$C$109:$BD$166,22,FALSE)</f>
        <v>814</v>
      </c>
      <c r="AB42" s="13">
        <f ca="1">VLOOKUP($B42,'[7]Analisys QBR By Machine Report'!$C$109:$BD$166,23,FALSE)</f>
        <v>317</v>
      </c>
      <c r="AC42" s="13">
        <f ca="1">VLOOKUP($B42,'[7]Analisys QBR By Machine Report'!$C$109:$BD$166,24,FALSE)</f>
        <v>0</v>
      </c>
      <c r="AD42" s="13">
        <f ca="1">VLOOKUP($B42,'[7]Analisys QBR By Machine Report'!$C$109:$BD$166,25,FALSE)</f>
        <v>0</v>
      </c>
      <c r="AE42" s="13">
        <f ca="1">VLOOKUP($B42,'[7]Analisys QBR By Machine Report'!$C$109:$BD$166,26,FALSE)</f>
        <v>130</v>
      </c>
      <c r="AF42" s="13">
        <f ca="1">VLOOKUP($B42,'[7]Analisys QBR By Machine Report'!$C$109:$BD$166,27,FALSE)</f>
        <v>0</v>
      </c>
      <c r="AG42" s="13">
        <f ca="1">VLOOKUP($B42,'[7]Analisys QBR By Machine Report'!$C$109:$BD$166,28,FALSE)</f>
        <v>0</v>
      </c>
      <c r="AH42" s="13">
        <f ca="1">VLOOKUP($B42,'[7]Analisys QBR By Machine Report'!$C$109:$BD$166,29,FALSE)</f>
        <v>0</v>
      </c>
      <c r="AI42" s="13">
        <f ca="1">VLOOKUP($B42,'[7]Analisys QBR By Machine Report'!$C$109:$BD$166,30,FALSE)</f>
        <v>1617</v>
      </c>
      <c r="AJ42" s="13">
        <f ca="1">VLOOKUP($B42,'[7]Analisys QBR By Machine Report'!$C$109:$BD$166,31,FALSE)</f>
        <v>0</v>
      </c>
      <c r="AK42" s="13">
        <f ca="1">VLOOKUP($B42,'[7]Analisys QBR By Machine Report'!$C$109:$BD$166,32,FALSE)</f>
        <v>0</v>
      </c>
      <c r="AL42" s="13">
        <f ca="1">VLOOKUP($B42,'[7]Analisys QBR By Machine Report'!$C$109:$BD$166,33,FALSE)</f>
        <v>600</v>
      </c>
      <c r="AM42" s="13">
        <f ca="1">VLOOKUP($B42,'[7]Analisys QBR By Machine Report'!$C$109:$BD$166,34,FALSE)</f>
        <v>0</v>
      </c>
      <c r="AN42" s="13">
        <f ca="1">VLOOKUP($B42,'[7]Analisys QBR By Machine Report'!$C$109:$BD$166,35,FALSE)</f>
        <v>405</v>
      </c>
      <c r="AO42" s="13">
        <f ca="1">VLOOKUP($B42,'[7]Analisys QBR By Machine Report'!$C$109:$BD$166,36,FALSE)</f>
        <v>0</v>
      </c>
      <c r="AP42" s="13">
        <f ca="1">VLOOKUP($B42,'[7]Analisys QBR By Machine Report'!$C$109:$BD$166,37,FALSE)</f>
        <v>10</v>
      </c>
      <c r="AQ42" s="13">
        <f ca="1">VLOOKUP($B42,'[7]Analisys QBR By Machine Report'!$C$109:$BD$166,38,FALSE)</f>
        <v>0</v>
      </c>
      <c r="AR42" s="13">
        <f ca="1">VLOOKUP($B42,'[7]Analisys QBR By Machine Report'!$C$109:$BD$166,39,FALSE)</f>
        <v>10</v>
      </c>
      <c r="AS42" s="13">
        <f ca="1">VLOOKUP($B42,'[7]Analisys QBR By Machine Report'!$C$109:$BD$166,40,FALSE)</f>
        <v>189</v>
      </c>
      <c r="AT42" s="13">
        <f ca="1">VLOOKUP($B42,'[7]Analisys QBR By Machine Report'!$C$109:$BD$166,41,FALSE)</f>
        <v>0</v>
      </c>
      <c r="AU42" s="13">
        <f ca="1">VLOOKUP($B42,'[7]Analisys QBR By Machine Report'!$C$109:$BD$166,42,FALSE)</f>
        <v>0</v>
      </c>
      <c r="AV42" s="13">
        <f ca="1">VLOOKUP($B42,'[7]Analisys QBR By Machine Report'!$C$109:$BD$166,43,FALSE)</f>
        <v>0</v>
      </c>
      <c r="AW42" s="13">
        <f ca="1">VLOOKUP($B42,'[7]Analisys QBR By Machine Report'!$C$109:$BD$166,44,FALSE)</f>
        <v>0</v>
      </c>
      <c r="AX42" s="13">
        <f ca="1">VLOOKUP($B42,'[7]Analisys QBR By Machine Report'!$C$109:$BD$166,45,FALSE)</f>
        <v>0</v>
      </c>
      <c r="AY42" s="13">
        <f ca="1">VLOOKUP($B42,'[7]Analisys QBR By Machine Report'!$C$109:$BD$166,46,FALSE)</f>
        <v>0</v>
      </c>
      <c r="AZ42" s="13">
        <f ca="1">VLOOKUP($B42,'[7]Analisys QBR By Machine Report'!$C$109:$BD$166,47,FALSE)</f>
        <v>403</v>
      </c>
      <c r="BA42" s="13">
        <f ca="1">VLOOKUP($B42,'[7]Analisys QBR By Machine Report'!$C$109:$BD$166,48,FALSE)</f>
        <v>0</v>
      </c>
      <c r="BB42" s="13">
        <f ca="1">VLOOKUP($B42,'[7]Analisys QBR By Machine Report'!$C$109:$BD$166,49,FALSE)</f>
        <v>0</v>
      </c>
      <c r="BC42" s="13">
        <f ca="1">VLOOKUP($B42,'[7]Analisys QBR By Machine Report'!$C$109:$BD$166,50,FALSE)</f>
        <v>0</v>
      </c>
      <c r="BD42" s="13">
        <f ca="1">VLOOKUP($B42,'[7]Analisys QBR By Machine Report'!$C$109:$BD$166,51,FALSE)</f>
        <v>466949</v>
      </c>
      <c r="BE42" s="13">
        <f ca="1">VLOOKUP($B42,'[7]Analisys QBR By Machine Report'!$C$109:$BD$166,52,FALSE)</f>
        <v>36</v>
      </c>
      <c r="BF42" s="13">
        <f ca="1">VLOOKUP($B42,'[7]Analisys QBR By Machine Report'!$C$109:$BD$166,53,FALSE)</f>
        <v>466913</v>
      </c>
    </row>
    <row r="43" spans="1:58" x14ac:dyDescent="0.25">
      <c r="A43" s="9" t="s">
        <v>99</v>
      </c>
      <c r="B43" s="10">
        <f ca="1">VLOOKUP($B43,'[7]Analisys QBR By Machine Report'!$C$109:$BD$166,2,FALSE)</f>
        <v>33120</v>
      </c>
      <c r="C43" s="11">
        <f ca="1">VLOOKUP($B43,[7]Dasboard_QBR_Report!$B$109:$BL$166,3,FALSE)</f>
        <v>11040</v>
      </c>
      <c r="D43" s="10">
        <f ca="1">VLOOKUP($B43,'[7]Analisys QBR By Machine Report'!$C$109:$BD$166,3,FALSE)</f>
        <v>32610</v>
      </c>
      <c r="E43" s="11">
        <f ca="1">VLOOKUP($B43,[7]Dasboard_QBR_Report!$B$109:$BL$166,5,FALSE)</f>
        <v>10530</v>
      </c>
      <c r="F43" s="10">
        <f t="shared" ca="1" si="0"/>
        <v>510</v>
      </c>
      <c r="G43" s="10">
        <f t="shared" ca="1" si="1"/>
        <v>90</v>
      </c>
      <c r="H43" s="10">
        <f ca="1">VLOOKUP($B43,'[7]Analisys QBR By Machine Report'!$C$109:$BD$166,4,FALSE)</f>
        <v>90</v>
      </c>
      <c r="I43" s="10">
        <f ca="1">VLOOKUP($B43,'[7]Analisys QBR By Machine Report'!$C$109:$BD$166,5,FALSE)</f>
        <v>0</v>
      </c>
      <c r="J43" s="10">
        <f ca="1">VLOOKUP($B43,'[7]Analisys QBR By Machine Report'!$C$109:$BD$166,6,FALSE)</f>
        <v>90</v>
      </c>
      <c r="K43" s="10">
        <f ca="1">VLOOKUP($B43,'[7]Analisys QBR By Machine Report'!$C$109:$BD$166,7,FALSE)</f>
        <v>0</v>
      </c>
      <c r="L43" s="10">
        <f ca="1">VLOOKUP($B43,'[7]Analisys QBR By Machine Report'!$C$109:$BD$166,8,FALSE)</f>
        <v>420</v>
      </c>
      <c r="M43" s="10">
        <f ca="1">VLOOKUP($B43,'[7]Analisys QBR By Machine Report'!$C$109:$BD$166,9,FALSE)</f>
        <v>24</v>
      </c>
      <c r="N43" s="10">
        <f ca="1">VLOOKUP($B43,[7]Dasboard_QBR_Report!$B$109:$BL$166,18,FALSE)</f>
        <v>396</v>
      </c>
      <c r="O43" s="10">
        <f ca="1">VLOOKUP($B43,'[7]Analisys QBR By Machine Report'!$C$109:$BD$166,10,FALSE)</f>
        <v>36</v>
      </c>
      <c r="P43" s="10">
        <f ca="1">VLOOKUP($B43,'[7]Analisys QBR By Machine Report'!$C$109:$BD$166,11,FALSE)</f>
        <v>18</v>
      </c>
      <c r="Q43" s="10">
        <f ca="1">VLOOKUP($B43,'[7]Analisys QBR By Machine Report'!$C$109:$BD$166,12,FALSE)</f>
        <v>18</v>
      </c>
      <c r="R43" s="10">
        <f ca="1">VLOOKUP($B43,'[7]Analisys QBR By Machine Report'!$C$109:$BD$166,13,FALSE)</f>
        <v>0</v>
      </c>
      <c r="S43" s="10">
        <f ca="1">VLOOKUP($B43,'[7]Analisys QBR By Machine Report'!$C$109:$BD$166,14,FALSE)</f>
        <v>0</v>
      </c>
      <c r="T43" s="10">
        <f ca="1">VLOOKUP($B43,'[7]Analisys QBR By Machine Report'!$C$109:$BD$166,15,FALSE)</f>
        <v>0</v>
      </c>
      <c r="U43" s="10">
        <f ca="1">VLOOKUP($B43,'[7]Analisys QBR By Machine Report'!$C$109:$BD$166,16,FALSE)</f>
        <v>0</v>
      </c>
      <c r="V43" s="10">
        <f ca="1">VLOOKUP($B43,'[7]Analisys QBR By Machine Report'!$C$109:$BD$166,17,FALSE)</f>
        <v>0</v>
      </c>
      <c r="W43" s="10">
        <f ca="1">VLOOKUP($B43,'[7]Analisys QBR By Machine Report'!$C$109:$BD$166,18,FALSE)</f>
        <v>0</v>
      </c>
      <c r="X43" s="10">
        <f ca="1">VLOOKUP($B43,'[7]Analisys QBR By Machine Report'!$C$109:$BD$166,19,FALSE)</f>
        <v>0</v>
      </c>
      <c r="Y43" s="10">
        <f ca="1">VLOOKUP($B43,'[7]Analisys QBR By Machine Report'!$C$109:$BD$166,20,FALSE)</f>
        <v>0</v>
      </c>
      <c r="Z43" s="10">
        <f ca="1">VLOOKUP($B43,'[7]Analisys QBR By Machine Report'!$C$109:$BD$166,21,FALSE)</f>
        <v>253</v>
      </c>
      <c r="AA43" s="10">
        <f ca="1">VLOOKUP($B43,'[7]Analisys QBR By Machine Report'!$C$109:$BD$166,22,FALSE)</f>
        <v>170</v>
      </c>
      <c r="AB43" s="10">
        <f ca="1">VLOOKUP($B43,'[7]Analisys QBR By Machine Report'!$C$109:$BD$166,23,FALSE)</f>
        <v>73</v>
      </c>
      <c r="AC43" s="10">
        <f ca="1">VLOOKUP($B43,'[7]Analisys QBR By Machine Report'!$C$109:$BD$166,24,FALSE)</f>
        <v>0</v>
      </c>
      <c r="AD43" s="10">
        <f ca="1">VLOOKUP($B43,'[7]Analisys QBR By Machine Report'!$C$109:$BD$166,25,FALSE)</f>
        <v>0</v>
      </c>
      <c r="AE43" s="10">
        <f ca="1">VLOOKUP($B43,'[7]Analisys QBR By Machine Report'!$C$109:$BD$166,26,FALSE)</f>
        <v>10</v>
      </c>
      <c r="AF43" s="10">
        <f ca="1">VLOOKUP($B43,'[7]Analisys QBR By Machine Report'!$C$109:$BD$166,27,FALSE)</f>
        <v>52</v>
      </c>
      <c r="AG43" s="10">
        <f ca="1">VLOOKUP($B43,'[7]Analisys QBR By Machine Report'!$C$109:$BD$166,28,FALSE)</f>
        <v>0</v>
      </c>
      <c r="AH43" s="10">
        <f ca="1">VLOOKUP($B43,'[7]Analisys QBR By Machine Report'!$C$109:$BD$166,29,FALSE)</f>
        <v>52</v>
      </c>
      <c r="AI43" s="10">
        <f ca="1">VLOOKUP($B43,'[7]Analisys QBR By Machine Report'!$C$109:$BD$166,30,FALSE)</f>
        <v>55</v>
      </c>
      <c r="AJ43" s="10">
        <f ca="1">VLOOKUP($B43,'[7]Analisys QBR By Machine Report'!$C$109:$BD$166,31,FALSE)</f>
        <v>0</v>
      </c>
      <c r="AK43" s="10">
        <f ca="1">VLOOKUP($B43,'[7]Analisys QBR By Machine Report'!$C$109:$BD$166,32,FALSE)</f>
        <v>0</v>
      </c>
      <c r="AL43" s="10">
        <f ca="1">VLOOKUP($B43,'[7]Analisys QBR By Machine Report'!$C$109:$BD$166,33,FALSE)</f>
        <v>30</v>
      </c>
      <c r="AM43" s="10">
        <f ca="1">VLOOKUP($B43,'[7]Analisys QBR By Machine Report'!$C$109:$BD$166,34,FALSE)</f>
        <v>0</v>
      </c>
      <c r="AN43" s="10">
        <f ca="1">VLOOKUP($B43,'[7]Analisys QBR By Machine Report'!$C$109:$BD$166,35,FALSE)</f>
        <v>15</v>
      </c>
      <c r="AO43" s="10">
        <f ca="1">VLOOKUP($B43,'[7]Analisys QBR By Machine Report'!$C$109:$BD$166,36,FALSE)</f>
        <v>0</v>
      </c>
      <c r="AP43" s="10">
        <f ca="1">VLOOKUP($B43,'[7]Analisys QBR By Machine Report'!$C$109:$BD$166,37,FALSE)</f>
        <v>0</v>
      </c>
      <c r="AQ43" s="10">
        <f ca="1">VLOOKUP($B43,'[7]Analisys QBR By Machine Report'!$C$109:$BD$166,38,FALSE)</f>
        <v>0</v>
      </c>
      <c r="AR43" s="10">
        <f ca="1">VLOOKUP($B43,'[7]Analisys QBR By Machine Report'!$C$109:$BD$166,39,FALSE)</f>
        <v>0</v>
      </c>
      <c r="AS43" s="10">
        <f ca="1">VLOOKUP($B43,'[7]Analisys QBR By Machine Report'!$C$109:$BD$166,40,FALSE)</f>
        <v>0</v>
      </c>
      <c r="AT43" s="10">
        <f ca="1">VLOOKUP($B43,'[7]Analisys QBR By Machine Report'!$C$109:$BD$166,41,FALSE)</f>
        <v>0</v>
      </c>
      <c r="AU43" s="10">
        <f ca="1">VLOOKUP($B43,'[7]Analisys QBR By Machine Report'!$C$109:$BD$166,42,FALSE)</f>
        <v>0</v>
      </c>
      <c r="AV43" s="10">
        <f ca="1">VLOOKUP($B43,'[7]Analisys QBR By Machine Report'!$C$109:$BD$166,43,FALSE)</f>
        <v>0</v>
      </c>
      <c r="AW43" s="10">
        <f ca="1">VLOOKUP($B43,'[7]Analisys QBR By Machine Report'!$C$109:$BD$166,44,FALSE)</f>
        <v>0</v>
      </c>
      <c r="AX43" s="10">
        <f ca="1">VLOOKUP($B43,'[7]Analisys QBR By Machine Report'!$C$109:$BD$166,45,FALSE)</f>
        <v>0</v>
      </c>
      <c r="AY43" s="10">
        <f ca="1">VLOOKUP($B43,'[7]Analisys QBR By Machine Report'!$C$109:$BD$166,46,FALSE)</f>
        <v>0</v>
      </c>
      <c r="AZ43" s="10">
        <f ca="1">VLOOKUP($B43,'[7]Analisys QBR By Machine Report'!$C$109:$BD$166,47,FALSE)</f>
        <v>10</v>
      </c>
      <c r="BA43" s="10">
        <f ca="1">VLOOKUP($B43,'[7]Analisys QBR By Machine Report'!$C$109:$BD$166,48,FALSE)</f>
        <v>0</v>
      </c>
      <c r="BB43" s="10">
        <f ca="1">VLOOKUP($B43,'[7]Analisys QBR By Machine Report'!$C$109:$BD$166,49,FALSE)</f>
        <v>0</v>
      </c>
      <c r="BC43" s="10">
        <f ca="1">VLOOKUP($B43,'[7]Analisys QBR By Machine Report'!$C$109:$BD$166,50,FALSE)</f>
        <v>0</v>
      </c>
      <c r="BD43" s="10">
        <f ca="1">VLOOKUP($B43,'[7]Analisys QBR By Machine Report'!$C$109:$BD$166,51,FALSE)</f>
        <v>302.75</v>
      </c>
      <c r="BE43" s="10">
        <f ca="1">VLOOKUP($B43,'[7]Analisys QBR By Machine Report'!$C$109:$BD$166,52,FALSE)</f>
        <v>0.18</v>
      </c>
      <c r="BF43" s="10">
        <f ca="1">VLOOKUP($B43,'[7]Analisys QBR By Machine Report'!$C$109:$BD$166,53,FALSE)</f>
        <v>302.57</v>
      </c>
    </row>
    <row r="44" spans="1:58" x14ac:dyDescent="0.25">
      <c r="A44" s="12" t="s">
        <v>100</v>
      </c>
      <c r="B44" s="13">
        <f ca="1">VLOOKUP($B44,'[7]Analisys QBR By Machine Report'!$C$109:$BD$166,2,FALSE)</f>
        <v>33120</v>
      </c>
      <c r="C44" s="14">
        <f ca="1">VLOOKUP($B44,[7]Dasboard_QBR_Report!$B$109:$BL$166,3,FALSE)</f>
        <v>11040</v>
      </c>
      <c r="D44" s="13">
        <f ca="1">VLOOKUP($B44,'[7]Analisys QBR By Machine Report'!$C$109:$BD$166,3,FALSE)</f>
        <v>32610</v>
      </c>
      <c r="E44" s="14">
        <f ca="1">VLOOKUP($B44,[7]Dasboard_QBR_Report!$B$109:$BL$166,5,FALSE)</f>
        <v>10530</v>
      </c>
      <c r="F44" s="13">
        <f t="shared" ca="1" si="0"/>
        <v>510</v>
      </c>
      <c r="G44" s="13">
        <f t="shared" ca="1" si="1"/>
        <v>90</v>
      </c>
      <c r="H44" s="13">
        <f ca="1">VLOOKUP($B44,'[7]Analisys QBR By Machine Report'!$C$109:$BD$166,4,FALSE)</f>
        <v>90</v>
      </c>
      <c r="I44" s="13">
        <f ca="1">VLOOKUP($B44,'[7]Analisys QBR By Machine Report'!$C$109:$BD$166,5,FALSE)</f>
        <v>0</v>
      </c>
      <c r="J44" s="13">
        <f ca="1">VLOOKUP($B44,'[7]Analisys QBR By Machine Report'!$C$109:$BD$166,6,FALSE)</f>
        <v>90</v>
      </c>
      <c r="K44" s="13">
        <f ca="1">VLOOKUP($B44,'[7]Analisys QBR By Machine Report'!$C$109:$BD$166,7,FALSE)</f>
        <v>0</v>
      </c>
      <c r="L44" s="13">
        <f ca="1">VLOOKUP($B44,'[7]Analisys QBR By Machine Report'!$C$109:$BD$166,8,FALSE)</f>
        <v>420</v>
      </c>
      <c r="M44" s="13">
        <f ca="1">VLOOKUP($B44,'[7]Analisys QBR By Machine Report'!$C$109:$BD$166,9,FALSE)</f>
        <v>24</v>
      </c>
      <c r="N44" s="13">
        <f ca="1">VLOOKUP($B44,[7]Dasboard_QBR_Report!$B$109:$BL$166,18,FALSE)</f>
        <v>396</v>
      </c>
      <c r="O44" s="13">
        <f ca="1">VLOOKUP($B44,'[7]Analisys QBR By Machine Report'!$C$109:$BD$166,10,FALSE)</f>
        <v>36</v>
      </c>
      <c r="P44" s="13">
        <f ca="1">VLOOKUP($B44,'[7]Analisys QBR By Machine Report'!$C$109:$BD$166,11,FALSE)</f>
        <v>18</v>
      </c>
      <c r="Q44" s="13">
        <f ca="1">VLOOKUP($B44,'[7]Analisys QBR By Machine Report'!$C$109:$BD$166,12,FALSE)</f>
        <v>18</v>
      </c>
      <c r="R44" s="13">
        <f ca="1">VLOOKUP($B44,'[7]Analisys QBR By Machine Report'!$C$109:$BD$166,13,FALSE)</f>
        <v>0</v>
      </c>
      <c r="S44" s="13">
        <f ca="1">VLOOKUP($B44,'[7]Analisys QBR By Machine Report'!$C$109:$BD$166,14,FALSE)</f>
        <v>0</v>
      </c>
      <c r="T44" s="13">
        <f ca="1">VLOOKUP($B44,'[7]Analisys QBR By Machine Report'!$C$109:$BD$166,15,FALSE)</f>
        <v>0</v>
      </c>
      <c r="U44" s="13">
        <f ca="1">VLOOKUP($B44,'[7]Analisys QBR By Machine Report'!$C$109:$BD$166,16,FALSE)</f>
        <v>0</v>
      </c>
      <c r="V44" s="13">
        <f ca="1">VLOOKUP($B44,'[7]Analisys QBR By Machine Report'!$C$109:$BD$166,17,FALSE)</f>
        <v>0</v>
      </c>
      <c r="W44" s="13">
        <f ca="1">VLOOKUP($B44,'[7]Analisys QBR By Machine Report'!$C$109:$BD$166,18,FALSE)</f>
        <v>0</v>
      </c>
      <c r="X44" s="13">
        <f ca="1">VLOOKUP($B44,'[7]Analisys QBR By Machine Report'!$C$109:$BD$166,19,FALSE)</f>
        <v>0</v>
      </c>
      <c r="Y44" s="13">
        <f ca="1">VLOOKUP($B44,'[7]Analisys QBR By Machine Report'!$C$109:$BD$166,20,FALSE)</f>
        <v>0</v>
      </c>
      <c r="Z44" s="13">
        <f ca="1">VLOOKUP($B44,'[7]Analisys QBR By Machine Report'!$C$109:$BD$166,21,FALSE)</f>
        <v>253</v>
      </c>
      <c r="AA44" s="13">
        <f ca="1">VLOOKUP($B44,'[7]Analisys QBR By Machine Report'!$C$109:$BD$166,22,FALSE)</f>
        <v>170</v>
      </c>
      <c r="AB44" s="13">
        <f ca="1">VLOOKUP($B44,'[7]Analisys QBR By Machine Report'!$C$109:$BD$166,23,FALSE)</f>
        <v>73</v>
      </c>
      <c r="AC44" s="13">
        <f ca="1">VLOOKUP($B44,'[7]Analisys QBR By Machine Report'!$C$109:$BD$166,24,FALSE)</f>
        <v>0</v>
      </c>
      <c r="AD44" s="13">
        <f ca="1">VLOOKUP($B44,'[7]Analisys QBR By Machine Report'!$C$109:$BD$166,25,FALSE)</f>
        <v>0</v>
      </c>
      <c r="AE44" s="13">
        <f ca="1">VLOOKUP($B44,'[7]Analisys QBR By Machine Report'!$C$109:$BD$166,26,FALSE)</f>
        <v>10</v>
      </c>
      <c r="AF44" s="13">
        <f ca="1">VLOOKUP($B44,'[7]Analisys QBR By Machine Report'!$C$109:$BD$166,27,FALSE)</f>
        <v>52</v>
      </c>
      <c r="AG44" s="13">
        <f ca="1">VLOOKUP($B44,'[7]Analisys QBR By Machine Report'!$C$109:$BD$166,28,FALSE)</f>
        <v>0</v>
      </c>
      <c r="AH44" s="13">
        <f ca="1">VLOOKUP($B44,'[7]Analisys QBR By Machine Report'!$C$109:$BD$166,29,FALSE)</f>
        <v>52</v>
      </c>
      <c r="AI44" s="13">
        <f ca="1">VLOOKUP($B44,'[7]Analisys QBR By Machine Report'!$C$109:$BD$166,30,FALSE)</f>
        <v>55</v>
      </c>
      <c r="AJ44" s="13">
        <f ca="1">VLOOKUP($B44,'[7]Analisys QBR By Machine Report'!$C$109:$BD$166,31,FALSE)</f>
        <v>0</v>
      </c>
      <c r="AK44" s="13">
        <f ca="1">VLOOKUP($B44,'[7]Analisys QBR By Machine Report'!$C$109:$BD$166,32,FALSE)</f>
        <v>0</v>
      </c>
      <c r="AL44" s="13">
        <f ca="1">VLOOKUP($B44,'[7]Analisys QBR By Machine Report'!$C$109:$BD$166,33,FALSE)</f>
        <v>30</v>
      </c>
      <c r="AM44" s="13">
        <f ca="1">VLOOKUP($B44,'[7]Analisys QBR By Machine Report'!$C$109:$BD$166,34,FALSE)</f>
        <v>0</v>
      </c>
      <c r="AN44" s="13">
        <f ca="1">VLOOKUP($B44,'[7]Analisys QBR By Machine Report'!$C$109:$BD$166,35,FALSE)</f>
        <v>15</v>
      </c>
      <c r="AO44" s="13">
        <f ca="1">VLOOKUP($B44,'[7]Analisys QBR By Machine Report'!$C$109:$BD$166,36,FALSE)</f>
        <v>0</v>
      </c>
      <c r="AP44" s="13">
        <f ca="1">VLOOKUP($B44,'[7]Analisys QBR By Machine Report'!$C$109:$BD$166,37,FALSE)</f>
        <v>0</v>
      </c>
      <c r="AQ44" s="13">
        <f ca="1">VLOOKUP($B44,'[7]Analisys QBR By Machine Report'!$C$109:$BD$166,38,FALSE)</f>
        <v>0</v>
      </c>
      <c r="AR44" s="13">
        <f ca="1">VLOOKUP($B44,'[7]Analisys QBR By Machine Report'!$C$109:$BD$166,39,FALSE)</f>
        <v>0</v>
      </c>
      <c r="AS44" s="13">
        <f ca="1">VLOOKUP($B44,'[7]Analisys QBR By Machine Report'!$C$109:$BD$166,40,FALSE)</f>
        <v>0</v>
      </c>
      <c r="AT44" s="13">
        <f ca="1">VLOOKUP($B44,'[7]Analisys QBR By Machine Report'!$C$109:$BD$166,41,FALSE)</f>
        <v>0</v>
      </c>
      <c r="AU44" s="13">
        <f ca="1">VLOOKUP($B44,'[7]Analisys QBR By Machine Report'!$C$109:$BD$166,42,FALSE)</f>
        <v>0</v>
      </c>
      <c r="AV44" s="13">
        <f ca="1">VLOOKUP($B44,'[7]Analisys QBR By Machine Report'!$C$109:$BD$166,43,FALSE)</f>
        <v>0</v>
      </c>
      <c r="AW44" s="13">
        <f ca="1">VLOOKUP($B44,'[7]Analisys QBR By Machine Report'!$C$109:$BD$166,44,FALSE)</f>
        <v>0</v>
      </c>
      <c r="AX44" s="13">
        <f ca="1">VLOOKUP($B44,'[7]Analisys QBR By Machine Report'!$C$109:$BD$166,45,FALSE)</f>
        <v>0</v>
      </c>
      <c r="AY44" s="13">
        <f ca="1">VLOOKUP($B44,'[7]Analisys QBR By Machine Report'!$C$109:$BD$166,46,FALSE)</f>
        <v>0</v>
      </c>
      <c r="AZ44" s="13">
        <f ca="1">VLOOKUP($B44,'[7]Analisys QBR By Machine Report'!$C$109:$BD$166,47,FALSE)</f>
        <v>10</v>
      </c>
      <c r="BA44" s="13">
        <f ca="1">VLOOKUP($B44,'[7]Analisys QBR By Machine Report'!$C$109:$BD$166,48,FALSE)</f>
        <v>0</v>
      </c>
      <c r="BB44" s="13">
        <f ca="1">VLOOKUP($B44,'[7]Analisys QBR By Machine Report'!$C$109:$BD$166,49,FALSE)</f>
        <v>0</v>
      </c>
      <c r="BC44" s="13">
        <f ca="1">VLOOKUP($B44,'[7]Analisys QBR By Machine Report'!$C$109:$BD$166,50,FALSE)</f>
        <v>0</v>
      </c>
      <c r="BD44" s="13">
        <f ca="1">VLOOKUP($B44,'[7]Analisys QBR By Machine Report'!$C$109:$BD$166,51,FALSE)</f>
        <v>302.75</v>
      </c>
      <c r="BE44" s="13">
        <f ca="1">VLOOKUP($B44,'[7]Analisys QBR By Machine Report'!$C$109:$BD$166,52,FALSE)</f>
        <v>0.18</v>
      </c>
      <c r="BF44" s="13">
        <f ca="1">VLOOKUP($B44,'[7]Analisys QBR By Machine Report'!$C$109:$BD$166,53,FALSE)</f>
        <v>302.57</v>
      </c>
    </row>
    <row r="45" spans="1:58" x14ac:dyDescent="0.25">
      <c r="A45" s="9" t="s">
        <v>101</v>
      </c>
      <c r="B45" s="10">
        <f ca="1">VLOOKUP($B45,'[7]Analisys QBR By Machine Report'!$C$109:$BD$166,2,FALSE)</f>
        <v>33120</v>
      </c>
      <c r="C45" s="11">
        <f ca="1">VLOOKUP($B45,[7]Dasboard_QBR_Report!$B$109:$BL$166,3,FALSE)</f>
        <v>11040</v>
      </c>
      <c r="D45" s="10">
        <f ca="1">VLOOKUP($B45,'[7]Analisys QBR By Machine Report'!$C$109:$BD$166,3,FALSE)</f>
        <v>33120</v>
      </c>
      <c r="E45" s="11">
        <f ca="1">VLOOKUP($B45,[7]Dasboard_QBR_Report!$B$109:$BL$166,5,FALSE)</f>
        <v>11040</v>
      </c>
      <c r="F45" s="10">
        <f t="shared" ca="1" si="0"/>
        <v>0</v>
      </c>
      <c r="G45" s="10">
        <f t="shared" ca="1" si="1"/>
        <v>0</v>
      </c>
      <c r="H45" s="10">
        <f ca="1">VLOOKUP($B45,'[7]Analisys QBR By Machine Report'!$C$109:$BD$166,4,FALSE)</f>
        <v>0</v>
      </c>
      <c r="I45" s="10">
        <f ca="1">VLOOKUP($B45,'[7]Analisys QBR By Machine Report'!$C$109:$BD$166,5,FALSE)</f>
        <v>0</v>
      </c>
      <c r="J45" s="10">
        <f ca="1">VLOOKUP($B45,'[7]Analisys QBR By Machine Report'!$C$109:$BD$166,6,FALSE)</f>
        <v>0</v>
      </c>
      <c r="K45" s="10">
        <f ca="1">VLOOKUP($B45,'[7]Analisys QBR By Machine Report'!$C$109:$BD$166,7,FALSE)</f>
        <v>0</v>
      </c>
      <c r="L45" s="10">
        <f ca="1">VLOOKUP($B45,'[7]Analisys QBR By Machine Report'!$C$109:$BD$166,8,FALSE)</f>
        <v>0</v>
      </c>
      <c r="M45" s="10">
        <f ca="1">VLOOKUP($B45,'[7]Analisys QBR By Machine Report'!$C$109:$BD$166,9,FALSE)</f>
        <v>0</v>
      </c>
      <c r="N45" s="10">
        <f ca="1">VLOOKUP($B45,[7]Dasboard_QBR_Report!$B$109:$BL$166,18,FALSE)</f>
        <v>0</v>
      </c>
      <c r="O45" s="10">
        <f ca="1">VLOOKUP($B45,'[7]Analisys QBR By Machine Report'!$C$109:$BD$166,10,FALSE)</f>
        <v>0</v>
      </c>
      <c r="P45" s="10">
        <f ca="1">VLOOKUP($B45,'[7]Analisys QBR By Machine Report'!$C$109:$BD$166,11,FALSE)</f>
        <v>0</v>
      </c>
      <c r="Q45" s="10">
        <f ca="1">VLOOKUP($B45,'[7]Analisys QBR By Machine Report'!$C$109:$BD$166,12,FALSE)</f>
        <v>0</v>
      </c>
      <c r="R45" s="10">
        <f ca="1">VLOOKUP($B45,'[7]Analisys QBR By Machine Report'!$C$109:$BD$166,13,FALSE)</f>
        <v>0</v>
      </c>
      <c r="S45" s="10">
        <f ca="1">VLOOKUP($B45,'[7]Analisys QBR By Machine Report'!$C$109:$BD$166,14,FALSE)</f>
        <v>0</v>
      </c>
      <c r="T45" s="10">
        <f ca="1">VLOOKUP($B45,'[7]Analisys QBR By Machine Report'!$C$109:$BD$166,15,FALSE)</f>
        <v>0</v>
      </c>
      <c r="U45" s="10">
        <f ca="1">VLOOKUP($B45,'[7]Analisys QBR By Machine Report'!$C$109:$BD$166,16,FALSE)</f>
        <v>0</v>
      </c>
      <c r="V45" s="10">
        <f ca="1">VLOOKUP($B45,'[7]Analisys QBR By Machine Report'!$C$109:$BD$166,17,FALSE)</f>
        <v>0</v>
      </c>
      <c r="W45" s="10">
        <f ca="1">VLOOKUP($B45,'[7]Analisys QBR By Machine Report'!$C$109:$BD$166,18,FALSE)</f>
        <v>0</v>
      </c>
      <c r="X45" s="10">
        <f ca="1">VLOOKUP($B45,'[7]Analisys QBR By Machine Report'!$C$109:$BD$166,19,FALSE)</f>
        <v>0</v>
      </c>
      <c r="Y45" s="10">
        <f ca="1">VLOOKUP($B45,'[7]Analisys QBR By Machine Report'!$C$109:$BD$166,20,FALSE)</f>
        <v>0</v>
      </c>
      <c r="Z45" s="10">
        <f ca="1">VLOOKUP($B45,'[7]Analisys QBR By Machine Report'!$C$109:$BD$166,21,FALSE)</f>
        <v>0</v>
      </c>
      <c r="AA45" s="10">
        <f ca="1">VLOOKUP($B45,'[7]Analisys QBR By Machine Report'!$C$109:$BD$166,22,FALSE)</f>
        <v>0</v>
      </c>
      <c r="AB45" s="10">
        <f ca="1">VLOOKUP($B45,'[7]Analisys QBR By Machine Report'!$C$109:$BD$166,23,FALSE)</f>
        <v>0</v>
      </c>
      <c r="AC45" s="10">
        <f ca="1">VLOOKUP($B45,'[7]Analisys QBR By Machine Report'!$C$109:$BD$166,24,FALSE)</f>
        <v>0</v>
      </c>
      <c r="AD45" s="10">
        <f ca="1">VLOOKUP($B45,'[7]Analisys QBR By Machine Report'!$C$109:$BD$166,25,FALSE)</f>
        <v>0</v>
      </c>
      <c r="AE45" s="10">
        <f ca="1">VLOOKUP($B45,'[7]Analisys QBR By Machine Report'!$C$109:$BD$166,26,FALSE)</f>
        <v>0</v>
      </c>
      <c r="AF45" s="10">
        <f ca="1">VLOOKUP($B45,'[7]Analisys QBR By Machine Report'!$C$109:$BD$166,27,FALSE)</f>
        <v>0</v>
      </c>
      <c r="AG45" s="10">
        <f ca="1">VLOOKUP($B45,'[7]Analisys QBR By Machine Report'!$C$109:$BD$166,28,FALSE)</f>
        <v>0</v>
      </c>
      <c r="AH45" s="10">
        <f ca="1">VLOOKUP($B45,'[7]Analisys QBR By Machine Report'!$C$109:$BD$166,29,FALSE)</f>
        <v>0</v>
      </c>
      <c r="AI45" s="10">
        <f ca="1">VLOOKUP($B45,'[7]Analisys QBR By Machine Report'!$C$109:$BD$166,30,FALSE)</f>
        <v>0</v>
      </c>
      <c r="AJ45" s="10">
        <f ca="1">VLOOKUP($B45,'[7]Analisys QBR By Machine Report'!$C$109:$BD$166,31,FALSE)</f>
        <v>0</v>
      </c>
      <c r="AK45" s="10">
        <f ca="1">VLOOKUP($B45,'[7]Analisys QBR By Machine Report'!$C$109:$BD$166,32,FALSE)</f>
        <v>0</v>
      </c>
      <c r="AL45" s="10">
        <f ca="1">VLOOKUP($B45,'[7]Analisys QBR By Machine Report'!$C$109:$BD$166,33,FALSE)</f>
        <v>0</v>
      </c>
      <c r="AM45" s="10">
        <f ca="1">VLOOKUP($B45,'[7]Analisys QBR By Machine Report'!$C$109:$BD$166,34,FALSE)</f>
        <v>0</v>
      </c>
      <c r="AN45" s="10">
        <f ca="1">VLOOKUP($B45,'[7]Analisys QBR By Machine Report'!$C$109:$BD$166,35,FALSE)</f>
        <v>0</v>
      </c>
      <c r="AO45" s="10">
        <f ca="1">VLOOKUP($B45,'[7]Analisys QBR By Machine Report'!$C$109:$BD$166,36,FALSE)</f>
        <v>0</v>
      </c>
      <c r="AP45" s="10">
        <f ca="1">VLOOKUP($B45,'[7]Analisys QBR By Machine Report'!$C$109:$BD$166,37,FALSE)</f>
        <v>0</v>
      </c>
      <c r="AQ45" s="10">
        <f ca="1">VLOOKUP($B45,'[7]Analisys QBR By Machine Report'!$C$109:$BD$166,38,FALSE)</f>
        <v>0</v>
      </c>
      <c r="AR45" s="10">
        <f ca="1">VLOOKUP($B45,'[7]Analisys QBR By Machine Report'!$C$109:$BD$166,39,FALSE)</f>
        <v>0</v>
      </c>
      <c r="AS45" s="10">
        <f ca="1">VLOOKUP($B45,'[7]Analisys QBR By Machine Report'!$C$109:$BD$166,40,FALSE)</f>
        <v>0</v>
      </c>
      <c r="AT45" s="10">
        <f ca="1">VLOOKUP($B45,'[7]Analisys QBR By Machine Report'!$C$109:$BD$166,41,FALSE)</f>
        <v>0</v>
      </c>
      <c r="AU45" s="10">
        <f ca="1">VLOOKUP($B45,'[7]Analisys QBR By Machine Report'!$C$109:$BD$166,42,FALSE)</f>
        <v>0</v>
      </c>
      <c r="AV45" s="10">
        <f ca="1">VLOOKUP($B45,'[7]Analisys QBR By Machine Report'!$C$109:$BD$166,43,FALSE)</f>
        <v>0</v>
      </c>
      <c r="AW45" s="10">
        <f ca="1">VLOOKUP($B45,'[7]Analisys QBR By Machine Report'!$C$109:$BD$166,44,FALSE)</f>
        <v>0</v>
      </c>
      <c r="AX45" s="10">
        <f ca="1">VLOOKUP($B45,'[7]Analisys QBR By Machine Report'!$C$109:$BD$166,45,FALSE)</f>
        <v>0</v>
      </c>
      <c r="AY45" s="10">
        <f ca="1">VLOOKUP($B45,'[7]Analisys QBR By Machine Report'!$C$109:$BD$166,46,FALSE)</f>
        <v>0</v>
      </c>
      <c r="AZ45" s="10">
        <f ca="1">VLOOKUP($B45,'[7]Analisys QBR By Machine Report'!$C$109:$BD$166,47,FALSE)</f>
        <v>0</v>
      </c>
      <c r="BA45" s="10">
        <f ca="1">VLOOKUP($B45,'[7]Analisys QBR By Machine Report'!$C$109:$BD$166,48,FALSE)</f>
        <v>0</v>
      </c>
      <c r="BB45" s="10">
        <f ca="1">VLOOKUP($B45,'[7]Analisys QBR By Machine Report'!$C$109:$BD$166,49,FALSE)</f>
        <v>0</v>
      </c>
      <c r="BC45" s="10">
        <f ca="1">VLOOKUP($B45,'[7]Analisys QBR By Machine Report'!$C$109:$BD$166,50,FALSE)</f>
        <v>0</v>
      </c>
      <c r="BD45" s="10">
        <f ca="1">VLOOKUP($B45,'[7]Analisys QBR By Machine Report'!$C$109:$BD$166,51,FALSE)</f>
        <v>0</v>
      </c>
      <c r="BE45" s="10">
        <f ca="1">VLOOKUP($B45,'[7]Analisys QBR By Machine Report'!$C$109:$BD$166,52,FALSE)</f>
        <v>0</v>
      </c>
      <c r="BF45" s="10">
        <f ca="1">VLOOKUP($B45,'[7]Analisys QBR By Machine Report'!$C$109:$BD$166,53,FALSE)</f>
        <v>0</v>
      </c>
    </row>
    <row r="46" spans="1:58" x14ac:dyDescent="0.25">
      <c r="A46" s="12" t="s">
        <v>102</v>
      </c>
      <c r="B46" s="13">
        <f ca="1">VLOOKUP($B46,'[7]Analisys QBR By Machine Report'!$C$109:$BD$166,2,FALSE)</f>
        <v>33120</v>
      </c>
      <c r="C46" s="14">
        <f ca="1">VLOOKUP($B46,[7]Dasboard_QBR_Report!$B$109:$BL$166,3,FALSE)</f>
        <v>11040</v>
      </c>
      <c r="D46" s="13">
        <f ca="1">VLOOKUP($B46,'[7]Analisys QBR By Machine Report'!$C$109:$BD$166,3,FALSE)</f>
        <v>33120</v>
      </c>
      <c r="E46" s="14">
        <f ca="1">VLOOKUP($B46,[7]Dasboard_QBR_Report!$B$109:$BL$166,5,FALSE)</f>
        <v>11040</v>
      </c>
      <c r="F46" s="13">
        <f t="shared" ca="1" si="0"/>
        <v>0</v>
      </c>
      <c r="G46" s="13">
        <f t="shared" ca="1" si="1"/>
        <v>0</v>
      </c>
      <c r="H46" s="13">
        <f ca="1">VLOOKUP($B46,'[7]Analisys QBR By Machine Report'!$C$109:$BD$166,4,FALSE)</f>
        <v>0</v>
      </c>
      <c r="I46" s="13">
        <f ca="1">VLOOKUP($B46,'[7]Analisys QBR By Machine Report'!$C$109:$BD$166,5,FALSE)</f>
        <v>0</v>
      </c>
      <c r="J46" s="13">
        <f ca="1">VLOOKUP($B46,'[7]Analisys QBR By Machine Report'!$C$109:$BD$166,6,FALSE)</f>
        <v>0</v>
      </c>
      <c r="K46" s="13">
        <f ca="1">VLOOKUP($B46,'[7]Analisys QBR By Machine Report'!$C$109:$BD$166,7,FALSE)</f>
        <v>0</v>
      </c>
      <c r="L46" s="13">
        <f ca="1">VLOOKUP($B46,'[7]Analisys QBR By Machine Report'!$C$109:$BD$166,8,FALSE)</f>
        <v>0</v>
      </c>
      <c r="M46" s="13">
        <f ca="1">VLOOKUP($B46,'[7]Analisys QBR By Machine Report'!$C$109:$BD$166,9,FALSE)</f>
        <v>0</v>
      </c>
      <c r="N46" s="13">
        <f ca="1">VLOOKUP($B46,[7]Dasboard_QBR_Report!$B$109:$BL$166,18,FALSE)</f>
        <v>0</v>
      </c>
      <c r="O46" s="13">
        <f ca="1">VLOOKUP($B46,'[7]Analisys QBR By Machine Report'!$C$109:$BD$166,10,FALSE)</f>
        <v>0</v>
      </c>
      <c r="P46" s="13">
        <f ca="1">VLOOKUP($B46,'[7]Analisys QBR By Machine Report'!$C$109:$BD$166,11,FALSE)</f>
        <v>0</v>
      </c>
      <c r="Q46" s="13">
        <f ca="1">VLOOKUP($B46,'[7]Analisys QBR By Machine Report'!$C$109:$BD$166,12,FALSE)</f>
        <v>0</v>
      </c>
      <c r="R46" s="13">
        <f ca="1">VLOOKUP($B46,'[7]Analisys QBR By Machine Report'!$C$109:$BD$166,13,FALSE)</f>
        <v>0</v>
      </c>
      <c r="S46" s="13">
        <f ca="1">VLOOKUP($B46,'[7]Analisys QBR By Machine Report'!$C$109:$BD$166,14,FALSE)</f>
        <v>0</v>
      </c>
      <c r="T46" s="13">
        <f ca="1">VLOOKUP($B46,'[7]Analisys QBR By Machine Report'!$C$109:$BD$166,15,FALSE)</f>
        <v>0</v>
      </c>
      <c r="U46" s="13">
        <f ca="1">VLOOKUP($B46,'[7]Analisys QBR By Machine Report'!$C$109:$BD$166,16,FALSE)</f>
        <v>0</v>
      </c>
      <c r="V46" s="13">
        <f ca="1">VLOOKUP($B46,'[7]Analisys QBR By Machine Report'!$C$109:$BD$166,17,FALSE)</f>
        <v>0</v>
      </c>
      <c r="W46" s="13">
        <f ca="1">VLOOKUP($B46,'[7]Analisys QBR By Machine Report'!$C$109:$BD$166,18,FALSE)</f>
        <v>0</v>
      </c>
      <c r="X46" s="13">
        <f ca="1">VLOOKUP($B46,'[7]Analisys QBR By Machine Report'!$C$109:$BD$166,19,FALSE)</f>
        <v>0</v>
      </c>
      <c r="Y46" s="13">
        <f ca="1">VLOOKUP($B46,'[7]Analisys QBR By Machine Report'!$C$109:$BD$166,20,FALSE)</f>
        <v>0</v>
      </c>
      <c r="Z46" s="13">
        <f ca="1">VLOOKUP($B46,'[7]Analisys QBR By Machine Report'!$C$109:$BD$166,21,FALSE)</f>
        <v>0</v>
      </c>
      <c r="AA46" s="13">
        <f ca="1">VLOOKUP($B46,'[7]Analisys QBR By Machine Report'!$C$109:$BD$166,22,FALSE)</f>
        <v>0</v>
      </c>
      <c r="AB46" s="13">
        <f ca="1">VLOOKUP($B46,'[7]Analisys QBR By Machine Report'!$C$109:$BD$166,23,FALSE)</f>
        <v>0</v>
      </c>
      <c r="AC46" s="13">
        <f ca="1">VLOOKUP($B46,'[7]Analisys QBR By Machine Report'!$C$109:$BD$166,24,FALSE)</f>
        <v>0</v>
      </c>
      <c r="AD46" s="13">
        <f ca="1">VLOOKUP($B46,'[7]Analisys QBR By Machine Report'!$C$109:$BD$166,25,FALSE)</f>
        <v>0</v>
      </c>
      <c r="AE46" s="13">
        <f ca="1">VLOOKUP($B46,'[7]Analisys QBR By Machine Report'!$C$109:$BD$166,26,FALSE)</f>
        <v>0</v>
      </c>
      <c r="AF46" s="13">
        <f ca="1">VLOOKUP($B46,'[7]Analisys QBR By Machine Report'!$C$109:$BD$166,27,FALSE)</f>
        <v>0</v>
      </c>
      <c r="AG46" s="13">
        <f ca="1">VLOOKUP($B46,'[7]Analisys QBR By Machine Report'!$C$109:$BD$166,28,FALSE)</f>
        <v>0</v>
      </c>
      <c r="AH46" s="13">
        <f ca="1">VLOOKUP($B46,'[7]Analisys QBR By Machine Report'!$C$109:$BD$166,29,FALSE)</f>
        <v>0</v>
      </c>
      <c r="AI46" s="13">
        <f ca="1">VLOOKUP($B46,'[7]Analisys QBR By Machine Report'!$C$109:$BD$166,30,FALSE)</f>
        <v>0</v>
      </c>
      <c r="AJ46" s="13">
        <f ca="1">VLOOKUP($B46,'[7]Analisys QBR By Machine Report'!$C$109:$BD$166,31,FALSE)</f>
        <v>0</v>
      </c>
      <c r="AK46" s="13">
        <f ca="1">VLOOKUP($B46,'[7]Analisys QBR By Machine Report'!$C$109:$BD$166,32,FALSE)</f>
        <v>0</v>
      </c>
      <c r="AL46" s="13">
        <f ca="1">VLOOKUP($B46,'[7]Analisys QBR By Machine Report'!$C$109:$BD$166,33,FALSE)</f>
        <v>0</v>
      </c>
      <c r="AM46" s="13">
        <f ca="1">VLOOKUP($B46,'[7]Analisys QBR By Machine Report'!$C$109:$BD$166,34,FALSE)</f>
        <v>0</v>
      </c>
      <c r="AN46" s="13">
        <f ca="1">VLOOKUP($B46,'[7]Analisys QBR By Machine Report'!$C$109:$BD$166,35,FALSE)</f>
        <v>0</v>
      </c>
      <c r="AO46" s="13">
        <f ca="1">VLOOKUP($B46,'[7]Analisys QBR By Machine Report'!$C$109:$BD$166,36,FALSE)</f>
        <v>0</v>
      </c>
      <c r="AP46" s="13">
        <f ca="1">VLOOKUP($B46,'[7]Analisys QBR By Machine Report'!$C$109:$BD$166,37,FALSE)</f>
        <v>0</v>
      </c>
      <c r="AQ46" s="13">
        <f ca="1">VLOOKUP($B46,'[7]Analisys QBR By Machine Report'!$C$109:$BD$166,38,FALSE)</f>
        <v>0</v>
      </c>
      <c r="AR46" s="13">
        <f ca="1">VLOOKUP($B46,'[7]Analisys QBR By Machine Report'!$C$109:$BD$166,39,FALSE)</f>
        <v>0</v>
      </c>
      <c r="AS46" s="13">
        <f ca="1">VLOOKUP($B46,'[7]Analisys QBR By Machine Report'!$C$109:$BD$166,40,FALSE)</f>
        <v>0</v>
      </c>
      <c r="AT46" s="13">
        <f ca="1">VLOOKUP($B46,'[7]Analisys QBR By Machine Report'!$C$109:$BD$166,41,FALSE)</f>
        <v>0</v>
      </c>
      <c r="AU46" s="13">
        <f ca="1">VLOOKUP($B46,'[7]Analisys QBR By Machine Report'!$C$109:$BD$166,42,FALSE)</f>
        <v>0</v>
      </c>
      <c r="AV46" s="13">
        <f ca="1">VLOOKUP($B46,'[7]Analisys QBR By Machine Report'!$C$109:$BD$166,43,FALSE)</f>
        <v>0</v>
      </c>
      <c r="AW46" s="13">
        <f ca="1">VLOOKUP($B46,'[7]Analisys QBR By Machine Report'!$C$109:$BD$166,44,FALSE)</f>
        <v>0</v>
      </c>
      <c r="AX46" s="13">
        <f ca="1">VLOOKUP($B46,'[7]Analisys QBR By Machine Report'!$C$109:$BD$166,45,FALSE)</f>
        <v>0</v>
      </c>
      <c r="AY46" s="13">
        <f ca="1">VLOOKUP($B46,'[7]Analisys QBR By Machine Report'!$C$109:$BD$166,46,FALSE)</f>
        <v>0</v>
      </c>
      <c r="AZ46" s="13">
        <f ca="1">VLOOKUP($B46,'[7]Analisys QBR By Machine Report'!$C$109:$BD$166,47,FALSE)</f>
        <v>0</v>
      </c>
      <c r="BA46" s="13">
        <f ca="1">VLOOKUP($B46,'[7]Analisys QBR By Machine Report'!$C$109:$BD$166,48,FALSE)</f>
        <v>0</v>
      </c>
      <c r="BB46" s="13">
        <f ca="1">VLOOKUP($B46,'[7]Analisys QBR By Machine Report'!$C$109:$BD$166,49,FALSE)</f>
        <v>0</v>
      </c>
      <c r="BC46" s="13">
        <f ca="1">VLOOKUP($B46,'[7]Analisys QBR By Machine Report'!$C$109:$BD$166,50,FALSE)</f>
        <v>0</v>
      </c>
      <c r="BD46" s="13">
        <f ca="1">VLOOKUP($B46,'[7]Analisys QBR By Machine Report'!$C$109:$BD$166,51,FALSE)</f>
        <v>0</v>
      </c>
      <c r="BE46" s="13">
        <f ca="1">VLOOKUP($B46,'[7]Analisys QBR By Machine Report'!$C$109:$BD$166,52,FALSE)</f>
        <v>0</v>
      </c>
      <c r="BF46" s="13">
        <f ca="1">VLOOKUP($B46,'[7]Analisys QBR By Machine Report'!$C$109:$BD$166,53,FALSE)</f>
        <v>0</v>
      </c>
    </row>
    <row r="47" spans="1:58" x14ac:dyDescent="0.25">
      <c r="A47" s="9" t="s">
        <v>103</v>
      </c>
      <c r="B47" s="10">
        <f ca="1">VLOOKUP($B47,'[7]Analisys QBR By Machine Report'!$C$109:$BD$166,2,FALSE)</f>
        <v>33120</v>
      </c>
      <c r="C47" s="11">
        <f ca="1">VLOOKUP($B47,[7]Dasboard_QBR_Report!$B$109:$BL$166,3,FALSE)</f>
        <v>11040</v>
      </c>
      <c r="D47" s="10">
        <f ca="1">VLOOKUP($B47,'[7]Analisys QBR By Machine Report'!$C$109:$BD$166,3,FALSE)</f>
        <v>31590</v>
      </c>
      <c r="E47" s="11">
        <f ca="1">VLOOKUP($B47,[7]Dasboard_QBR_Report!$B$109:$BL$166,5,FALSE)</f>
        <v>9510</v>
      </c>
      <c r="F47" s="10">
        <f t="shared" ca="1" si="0"/>
        <v>1530</v>
      </c>
      <c r="G47" s="10">
        <f t="shared" ca="1" si="1"/>
        <v>30</v>
      </c>
      <c r="H47" s="10">
        <f ca="1">VLOOKUP($B47,'[7]Analisys QBR By Machine Report'!$C$109:$BD$166,4,FALSE)</f>
        <v>30</v>
      </c>
      <c r="I47" s="10">
        <f ca="1">VLOOKUP($B47,'[7]Analisys QBR By Machine Report'!$C$109:$BD$166,5,FALSE)</f>
        <v>30</v>
      </c>
      <c r="J47" s="10">
        <f ca="1">VLOOKUP($B47,'[7]Analisys QBR By Machine Report'!$C$109:$BD$166,6,FALSE)</f>
        <v>0</v>
      </c>
      <c r="K47" s="10">
        <f ca="1">VLOOKUP($B47,'[7]Analisys QBR By Machine Report'!$C$109:$BD$166,7,FALSE)</f>
        <v>0</v>
      </c>
      <c r="L47" s="10">
        <f ca="1">VLOOKUP($B47,'[7]Analisys QBR By Machine Report'!$C$109:$BD$166,8,FALSE)</f>
        <v>1500</v>
      </c>
      <c r="M47" s="10">
        <f ca="1">VLOOKUP($B47,'[7]Analisys QBR By Machine Report'!$C$109:$BD$166,9,FALSE)</f>
        <v>385</v>
      </c>
      <c r="N47" s="10">
        <f ca="1">VLOOKUP($B47,[7]Dasboard_QBR_Report!$B$109:$BL$166,18,FALSE)</f>
        <v>1115</v>
      </c>
      <c r="O47" s="10">
        <f ca="1">VLOOKUP($B47,'[7]Analisys QBR By Machine Report'!$C$109:$BD$166,10,FALSE)</f>
        <v>275</v>
      </c>
      <c r="P47" s="10">
        <f ca="1">VLOOKUP($B47,'[7]Analisys QBR By Machine Report'!$C$109:$BD$166,11,FALSE)</f>
        <v>200</v>
      </c>
      <c r="Q47" s="10">
        <f ca="1">VLOOKUP($B47,'[7]Analisys QBR By Machine Report'!$C$109:$BD$166,12,FALSE)</f>
        <v>0</v>
      </c>
      <c r="R47" s="10">
        <f ca="1">VLOOKUP($B47,'[7]Analisys QBR By Machine Report'!$C$109:$BD$166,13,FALSE)</f>
        <v>75</v>
      </c>
      <c r="S47" s="10">
        <f ca="1">VLOOKUP($B47,'[7]Analisys QBR By Machine Report'!$C$109:$BD$166,14,FALSE)</f>
        <v>0</v>
      </c>
      <c r="T47" s="10">
        <f ca="1">VLOOKUP($B47,'[7]Analisys QBR By Machine Report'!$C$109:$BD$166,15,FALSE)</f>
        <v>0</v>
      </c>
      <c r="U47" s="10">
        <f ca="1">VLOOKUP($B47,'[7]Analisys QBR By Machine Report'!$C$109:$BD$166,16,FALSE)</f>
        <v>0</v>
      </c>
      <c r="V47" s="10">
        <f ca="1">VLOOKUP($B47,'[7]Analisys QBR By Machine Report'!$C$109:$BD$166,17,FALSE)</f>
        <v>0</v>
      </c>
      <c r="W47" s="10">
        <f ca="1">VLOOKUP($B47,'[7]Analisys QBR By Machine Report'!$C$109:$BD$166,18,FALSE)</f>
        <v>0</v>
      </c>
      <c r="X47" s="10">
        <f ca="1">VLOOKUP($B47,'[7]Analisys QBR By Machine Report'!$C$109:$BD$166,19,FALSE)</f>
        <v>0</v>
      </c>
      <c r="Y47" s="10">
        <f ca="1">VLOOKUP($B47,'[7]Analisys QBR By Machine Report'!$C$109:$BD$166,20,FALSE)</f>
        <v>0</v>
      </c>
      <c r="Z47" s="10">
        <f ca="1">VLOOKUP($B47,'[7]Analisys QBR By Machine Report'!$C$109:$BD$166,21,FALSE)</f>
        <v>530</v>
      </c>
      <c r="AA47" s="10">
        <f ca="1">VLOOKUP($B47,'[7]Analisys QBR By Machine Report'!$C$109:$BD$166,22,FALSE)</f>
        <v>100</v>
      </c>
      <c r="AB47" s="10">
        <f ca="1">VLOOKUP($B47,'[7]Analisys QBR By Machine Report'!$C$109:$BD$166,23,FALSE)</f>
        <v>75</v>
      </c>
      <c r="AC47" s="10">
        <f ca="1">VLOOKUP($B47,'[7]Analisys QBR By Machine Report'!$C$109:$BD$166,24,FALSE)</f>
        <v>95</v>
      </c>
      <c r="AD47" s="10">
        <f ca="1">VLOOKUP($B47,'[7]Analisys QBR By Machine Report'!$C$109:$BD$166,25,FALSE)</f>
        <v>0</v>
      </c>
      <c r="AE47" s="10">
        <f ca="1">VLOOKUP($B47,'[7]Analisys QBR By Machine Report'!$C$109:$BD$166,26,FALSE)</f>
        <v>260</v>
      </c>
      <c r="AF47" s="10">
        <f ca="1">VLOOKUP($B47,'[7]Analisys QBR By Machine Report'!$C$109:$BD$166,27,FALSE)</f>
        <v>0</v>
      </c>
      <c r="AG47" s="10">
        <f ca="1">VLOOKUP($B47,'[7]Analisys QBR By Machine Report'!$C$109:$BD$166,28,FALSE)</f>
        <v>0</v>
      </c>
      <c r="AH47" s="10">
        <f ca="1">VLOOKUP($B47,'[7]Analisys QBR By Machine Report'!$C$109:$BD$166,29,FALSE)</f>
        <v>0</v>
      </c>
      <c r="AI47" s="10">
        <f ca="1">VLOOKUP($B47,'[7]Analisys QBR By Machine Report'!$C$109:$BD$166,30,FALSE)</f>
        <v>310</v>
      </c>
      <c r="AJ47" s="10">
        <f ca="1">VLOOKUP($B47,'[7]Analisys QBR By Machine Report'!$C$109:$BD$166,31,FALSE)</f>
        <v>0</v>
      </c>
      <c r="AK47" s="10">
        <f ca="1">VLOOKUP($B47,'[7]Analisys QBR By Machine Report'!$C$109:$BD$166,32,FALSE)</f>
        <v>0</v>
      </c>
      <c r="AL47" s="10">
        <f ca="1">VLOOKUP($B47,'[7]Analisys QBR By Machine Report'!$C$109:$BD$166,33,FALSE)</f>
        <v>90</v>
      </c>
      <c r="AM47" s="10">
        <f ca="1">VLOOKUP($B47,'[7]Analisys QBR By Machine Report'!$C$109:$BD$166,34,FALSE)</f>
        <v>0</v>
      </c>
      <c r="AN47" s="10">
        <f ca="1">VLOOKUP($B47,'[7]Analisys QBR By Machine Report'!$C$109:$BD$166,35,FALSE)</f>
        <v>75</v>
      </c>
      <c r="AO47" s="10">
        <f ca="1">VLOOKUP($B47,'[7]Analisys QBR By Machine Report'!$C$109:$BD$166,36,FALSE)</f>
        <v>0</v>
      </c>
      <c r="AP47" s="10">
        <f ca="1">VLOOKUP($B47,'[7]Analisys QBR By Machine Report'!$C$109:$BD$166,37,FALSE)</f>
        <v>0</v>
      </c>
      <c r="AQ47" s="10">
        <f ca="1">VLOOKUP($B47,'[7]Analisys QBR By Machine Report'!$C$109:$BD$166,38,FALSE)</f>
        <v>30</v>
      </c>
      <c r="AR47" s="10">
        <f ca="1">VLOOKUP($B47,'[7]Analisys QBR By Machine Report'!$C$109:$BD$166,39,FALSE)</f>
        <v>0</v>
      </c>
      <c r="AS47" s="10">
        <f ca="1">VLOOKUP($B47,'[7]Analisys QBR By Machine Report'!$C$109:$BD$166,40,FALSE)</f>
        <v>40</v>
      </c>
      <c r="AT47" s="10">
        <f ca="1">VLOOKUP($B47,'[7]Analisys QBR By Machine Report'!$C$109:$BD$166,41,FALSE)</f>
        <v>0</v>
      </c>
      <c r="AU47" s="10">
        <f ca="1">VLOOKUP($B47,'[7]Analisys QBR By Machine Report'!$C$109:$BD$166,42,FALSE)</f>
        <v>0</v>
      </c>
      <c r="AV47" s="10">
        <f ca="1">VLOOKUP($B47,'[7]Analisys QBR By Machine Report'!$C$109:$BD$166,43,FALSE)</f>
        <v>0</v>
      </c>
      <c r="AW47" s="10">
        <f ca="1">VLOOKUP($B47,'[7]Analisys QBR By Machine Report'!$C$109:$BD$166,44,FALSE)</f>
        <v>0</v>
      </c>
      <c r="AX47" s="10">
        <f ca="1">VLOOKUP($B47,'[7]Analisys QBR By Machine Report'!$C$109:$BD$166,45,FALSE)</f>
        <v>0</v>
      </c>
      <c r="AY47" s="10">
        <f ca="1">VLOOKUP($B47,'[7]Analisys QBR By Machine Report'!$C$109:$BD$166,46,FALSE)</f>
        <v>0</v>
      </c>
      <c r="AZ47" s="10">
        <f ca="1">VLOOKUP($B47,'[7]Analisys QBR By Machine Report'!$C$109:$BD$166,47,FALSE)</f>
        <v>25</v>
      </c>
      <c r="BA47" s="10">
        <f ca="1">VLOOKUP($B47,'[7]Analisys QBR By Machine Report'!$C$109:$BD$166,48,FALSE)</f>
        <v>0</v>
      </c>
      <c r="BB47" s="10">
        <f ca="1">VLOOKUP($B47,'[7]Analisys QBR By Machine Report'!$C$109:$BD$166,49,FALSE)</f>
        <v>0</v>
      </c>
      <c r="BC47" s="10">
        <f ca="1">VLOOKUP($B47,'[7]Analisys QBR By Machine Report'!$C$109:$BD$166,50,FALSE)</f>
        <v>50</v>
      </c>
      <c r="BD47" s="10">
        <f ca="1">VLOOKUP($B47,'[7]Analisys QBR By Machine Report'!$C$109:$BD$166,51,FALSE)</f>
        <v>313335</v>
      </c>
      <c r="BE47" s="10">
        <f ca="1">VLOOKUP($B47,'[7]Analisys QBR By Machine Report'!$C$109:$BD$166,52,FALSE)</f>
        <v>98</v>
      </c>
      <c r="BF47" s="10">
        <f ca="1">VLOOKUP($B47,'[7]Analisys QBR By Machine Report'!$C$109:$BD$166,53,FALSE)</f>
        <v>313237</v>
      </c>
    </row>
    <row r="48" spans="1:58" x14ac:dyDescent="0.25">
      <c r="A48" s="12" t="s">
        <v>104</v>
      </c>
      <c r="B48" s="13">
        <f ca="1">VLOOKUP($B48,'[7]Analisys QBR By Machine Report'!$C$109:$BD$166,2,FALSE)</f>
        <v>33120</v>
      </c>
      <c r="C48" s="14">
        <f ca="1">VLOOKUP($B48,[7]Dasboard_QBR_Report!$B$109:$BL$166,3,FALSE)</f>
        <v>11040</v>
      </c>
      <c r="D48" s="13">
        <f ca="1">VLOOKUP($B48,'[7]Analisys QBR By Machine Report'!$C$109:$BD$166,3,FALSE)</f>
        <v>31590</v>
      </c>
      <c r="E48" s="14">
        <f ca="1">VLOOKUP($B48,[7]Dasboard_QBR_Report!$B$109:$BL$166,5,FALSE)</f>
        <v>9510</v>
      </c>
      <c r="F48" s="13">
        <f t="shared" ca="1" si="0"/>
        <v>1530</v>
      </c>
      <c r="G48" s="13">
        <f t="shared" ca="1" si="1"/>
        <v>30</v>
      </c>
      <c r="H48" s="13">
        <f ca="1">VLOOKUP($B48,'[7]Analisys QBR By Machine Report'!$C$109:$BD$166,4,FALSE)</f>
        <v>30</v>
      </c>
      <c r="I48" s="13">
        <f ca="1">VLOOKUP($B48,'[7]Analisys QBR By Machine Report'!$C$109:$BD$166,5,FALSE)</f>
        <v>30</v>
      </c>
      <c r="J48" s="13">
        <f ca="1">VLOOKUP($B48,'[7]Analisys QBR By Machine Report'!$C$109:$BD$166,6,FALSE)</f>
        <v>0</v>
      </c>
      <c r="K48" s="13">
        <f ca="1">VLOOKUP($B48,'[7]Analisys QBR By Machine Report'!$C$109:$BD$166,7,FALSE)</f>
        <v>0</v>
      </c>
      <c r="L48" s="13">
        <f ca="1">VLOOKUP($B48,'[7]Analisys QBR By Machine Report'!$C$109:$BD$166,8,FALSE)</f>
        <v>1500</v>
      </c>
      <c r="M48" s="13">
        <f ca="1">VLOOKUP($B48,'[7]Analisys QBR By Machine Report'!$C$109:$BD$166,9,FALSE)</f>
        <v>385</v>
      </c>
      <c r="N48" s="13">
        <f ca="1">VLOOKUP($B48,[7]Dasboard_QBR_Report!$B$109:$BL$166,18,FALSE)</f>
        <v>1115</v>
      </c>
      <c r="O48" s="13">
        <f ca="1">VLOOKUP($B48,'[7]Analisys QBR By Machine Report'!$C$109:$BD$166,10,FALSE)</f>
        <v>275</v>
      </c>
      <c r="P48" s="13">
        <f ca="1">VLOOKUP($B48,'[7]Analisys QBR By Machine Report'!$C$109:$BD$166,11,FALSE)</f>
        <v>200</v>
      </c>
      <c r="Q48" s="13">
        <f ca="1">VLOOKUP($B48,'[7]Analisys QBR By Machine Report'!$C$109:$BD$166,12,FALSE)</f>
        <v>0</v>
      </c>
      <c r="R48" s="13">
        <f ca="1">VLOOKUP($B48,'[7]Analisys QBR By Machine Report'!$C$109:$BD$166,13,FALSE)</f>
        <v>75</v>
      </c>
      <c r="S48" s="13">
        <f ca="1">VLOOKUP($B48,'[7]Analisys QBR By Machine Report'!$C$109:$BD$166,14,FALSE)</f>
        <v>0</v>
      </c>
      <c r="T48" s="13">
        <f ca="1">VLOOKUP($B48,'[7]Analisys QBR By Machine Report'!$C$109:$BD$166,15,FALSE)</f>
        <v>0</v>
      </c>
      <c r="U48" s="13">
        <f ca="1">VLOOKUP($B48,'[7]Analisys QBR By Machine Report'!$C$109:$BD$166,16,FALSE)</f>
        <v>0</v>
      </c>
      <c r="V48" s="13">
        <f ca="1">VLOOKUP($B48,'[7]Analisys QBR By Machine Report'!$C$109:$BD$166,17,FALSE)</f>
        <v>0</v>
      </c>
      <c r="W48" s="13">
        <f ca="1">VLOOKUP($B48,'[7]Analisys QBR By Machine Report'!$C$109:$BD$166,18,FALSE)</f>
        <v>0</v>
      </c>
      <c r="X48" s="13">
        <f ca="1">VLOOKUP($B48,'[7]Analisys QBR By Machine Report'!$C$109:$BD$166,19,FALSE)</f>
        <v>0</v>
      </c>
      <c r="Y48" s="13">
        <f ca="1">VLOOKUP($B48,'[7]Analisys QBR By Machine Report'!$C$109:$BD$166,20,FALSE)</f>
        <v>0</v>
      </c>
      <c r="Z48" s="13">
        <f ca="1">VLOOKUP($B48,'[7]Analisys QBR By Machine Report'!$C$109:$BD$166,21,FALSE)</f>
        <v>530</v>
      </c>
      <c r="AA48" s="13">
        <f ca="1">VLOOKUP($B48,'[7]Analisys QBR By Machine Report'!$C$109:$BD$166,22,FALSE)</f>
        <v>100</v>
      </c>
      <c r="AB48" s="13">
        <f ca="1">VLOOKUP($B48,'[7]Analisys QBR By Machine Report'!$C$109:$BD$166,23,FALSE)</f>
        <v>75</v>
      </c>
      <c r="AC48" s="13">
        <f ca="1">VLOOKUP($B48,'[7]Analisys QBR By Machine Report'!$C$109:$BD$166,24,FALSE)</f>
        <v>95</v>
      </c>
      <c r="AD48" s="13">
        <f ca="1">VLOOKUP($B48,'[7]Analisys QBR By Machine Report'!$C$109:$BD$166,25,FALSE)</f>
        <v>0</v>
      </c>
      <c r="AE48" s="13">
        <f ca="1">VLOOKUP($B48,'[7]Analisys QBR By Machine Report'!$C$109:$BD$166,26,FALSE)</f>
        <v>260</v>
      </c>
      <c r="AF48" s="13">
        <f ca="1">VLOOKUP($B48,'[7]Analisys QBR By Machine Report'!$C$109:$BD$166,27,FALSE)</f>
        <v>0</v>
      </c>
      <c r="AG48" s="13">
        <f ca="1">VLOOKUP($B48,'[7]Analisys QBR By Machine Report'!$C$109:$BD$166,28,FALSE)</f>
        <v>0</v>
      </c>
      <c r="AH48" s="13">
        <f ca="1">VLOOKUP($B48,'[7]Analisys QBR By Machine Report'!$C$109:$BD$166,29,FALSE)</f>
        <v>0</v>
      </c>
      <c r="AI48" s="13">
        <f ca="1">VLOOKUP($B48,'[7]Analisys QBR By Machine Report'!$C$109:$BD$166,30,FALSE)</f>
        <v>310</v>
      </c>
      <c r="AJ48" s="13">
        <f ca="1">VLOOKUP($B48,'[7]Analisys QBR By Machine Report'!$C$109:$BD$166,31,FALSE)</f>
        <v>0</v>
      </c>
      <c r="AK48" s="13">
        <f ca="1">VLOOKUP($B48,'[7]Analisys QBR By Machine Report'!$C$109:$BD$166,32,FALSE)</f>
        <v>0</v>
      </c>
      <c r="AL48" s="13">
        <f ca="1">VLOOKUP($B48,'[7]Analisys QBR By Machine Report'!$C$109:$BD$166,33,FALSE)</f>
        <v>90</v>
      </c>
      <c r="AM48" s="13">
        <f ca="1">VLOOKUP($B48,'[7]Analisys QBR By Machine Report'!$C$109:$BD$166,34,FALSE)</f>
        <v>0</v>
      </c>
      <c r="AN48" s="13">
        <f ca="1">VLOOKUP($B48,'[7]Analisys QBR By Machine Report'!$C$109:$BD$166,35,FALSE)</f>
        <v>75</v>
      </c>
      <c r="AO48" s="13">
        <f ca="1">VLOOKUP($B48,'[7]Analisys QBR By Machine Report'!$C$109:$BD$166,36,FALSE)</f>
        <v>0</v>
      </c>
      <c r="AP48" s="13">
        <f ca="1">VLOOKUP($B48,'[7]Analisys QBR By Machine Report'!$C$109:$BD$166,37,FALSE)</f>
        <v>0</v>
      </c>
      <c r="AQ48" s="13">
        <f ca="1">VLOOKUP($B48,'[7]Analisys QBR By Machine Report'!$C$109:$BD$166,38,FALSE)</f>
        <v>30</v>
      </c>
      <c r="AR48" s="13">
        <f ca="1">VLOOKUP($B48,'[7]Analisys QBR By Machine Report'!$C$109:$BD$166,39,FALSE)</f>
        <v>0</v>
      </c>
      <c r="AS48" s="13">
        <f ca="1">VLOOKUP($B48,'[7]Analisys QBR By Machine Report'!$C$109:$BD$166,40,FALSE)</f>
        <v>40</v>
      </c>
      <c r="AT48" s="13">
        <f ca="1">VLOOKUP($B48,'[7]Analisys QBR By Machine Report'!$C$109:$BD$166,41,FALSE)</f>
        <v>0</v>
      </c>
      <c r="AU48" s="13">
        <f ca="1">VLOOKUP($B48,'[7]Analisys QBR By Machine Report'!$C$109:$BD$166,42,FALSE)</f>
        <v>0</v>
      </c>
      <c r="AV48" s="13">
        <f ca="1">VLOOKUP($B48,'[7]Analisys QBR By Machine Report'!$C$109:$BD$166,43,FALSE)</f>
        <v>0</v>
      </c>
      <c r="AW48" s="13">
        <f ca="1">VLOOKUP($B48,'[7]Analisys QBR By Machine Report'!$C$109:$BD$166,44,FALSE)</f>
        <v>0</v>
      </c>
      <c r="AX48" s="13">
        <f ca="1">VLOOKUP($B48,'[7]Analisys QBR By Machine Report'!$C$109:$BD$166,45,FALSE)</f>
        <v>0</v>
      </c>
      <c r="AY48" s="13">
        <f ca="1">VLOOKUP($B48,'[7]Analisys QBR By Machine Report'!$C$109:$BD$166,46,FALSE)</f>
        <v>0</v>
      </c>
      <c r="AZ48" s="13">
        <f ca="1">VLOOKUP($B48,'[7]Analisys QBR By Machine Report'!$C$109:$BD$166,47,FALSE)</f>
        <v>25</v>
      </c>
      <c r="BA48" s="13">
        <f ca="1">VLOOKUP($B48,'[7]Analisys QBR By Machine Report'!$C$109:$BD$166,48,FALSE)</f>
        <v>0</v>
      </c>
      <c r="BB48" s="13">
        <f ca="1">VLOOKUP($B48,'[7]Analisys QBR By Machine Report'!$C$109:$BD$166,49,FALSE)</f>
        <v>0</v>
      </c>
      <c r="BC48" s="13">
        <f ca="1">VLOOKUP($B48,'[7]Analisys QBR By Machine Report'!$C$109:$BD$166,50,FALSE)</f>
        <v>50</v>
      </c>
      <c r="BD48" s="13">
        <f ca="1">VLOOKUP($B48,'[7]Analisys QBR By Machine Report'!$C$109:$BD$166,51,FALSE)</f>
        <v>313335</v>
      </c>
      <c r="BE48" s="13">
        <f ca="1">VLOOKUP($B48,'[7]Analisys QBR By Machine Report'!$C$109:$BD$166,52,FALSE)</f>
        <v>98</v>
      </c>
      <c r="BF48" s="13">
        <f ca="1">VLOOKUP($B48,'[7]Analisys QBR By Machine Report'!$C$109:$BD$166,53,FALSE)</f>
        <v>313237</v>
      </c>
    </row>
    <row r="49" spans="1:58" x14ac:dyDescent="0.25">
      <c r="A49" s="9" t="s">
        <v>105</v>
      </c>
      <c r="B49" s="10">
        <f ca="1">VLOOKUP($B49,'[7]Analisys QBR By Machine Report'!$C$109:$BD$166,2,FALSE)</f>
        <v>33120</v>
      </c>
      <c r="C49" s="11">
        <f ca="1">VLOOKUP($B49,[7]Dasboard_QBR_Report!$B$109:$BL$166,3,FALSE)</f>
        <v>11040</v>
      </c>
      <c r="D49" s="10">
        <f ca="1">VLOOKUP($B49,'[7]Analisys QBR By Machine Report'!$C$109:$BD$166,3,FALSE)</f>
        <v>32610</v>
      </c>
      <c r="E49" s="11">
        <f ca="1">VLOOKUP($B49,[7]Dasboard_QBR_Report!$B$109:$BL$166,5,FALSE)</f>
        <v>10530</v>
      </c>
      <c r="F49" s="10">
        <f t="shared" ca="1" si="0"/>
        <v>510</v>
      </c>
      <c r="G49" s="10">
        <f t="shared" ca="1" si="1"/>
        <v>30</v>
      </c>
      <c r="H49" s="10">
        <f ca="1">VLOOKUP($B49,'[7]Analisys QBR By Machine Report'!$C$109:$BD$166,4,FALSE)</f>
        <v>30</v>
      </c>
      <c r="I49" s="10">
        <f ca="1">VLOOKUP($B49,'[7]Analisys QBR By Machine Report'!$C$109:$BD$166,5,FALSE)</f>
        <v>30</v>
      </c>
      <c r="J49" s="10">
        <f ca="1">VLOOKUP($B49,'[7]Analisys QBR By Machine Report'!$C$109:$BD$166,6,FALSE)</f>
        <v>0</v>
      </c>
      <c r="K49" s="10">
        <f ca="1">VLOOKUP($B49,'[7]Analisys QBR By Machine Report'!$C$109:$BD$166,7,FALSE)</f>
        <v>0</v>
      </c>
      <c r="L49" s="10">
        <f ca="1">VLOOKUP($B49,'[7]Analisys QBR By Machine Report'!$C$109:$BD$166,8,FALSE)</f>
        <v>480</v>
      </c>
      <c r="M49" s="10">
        <f ca="1">VLOOKUP($B49,'[7]Analisys QBR By Machine Report'!$C$109:$BD$166,9,FALSE)</f>
        <v>110</v>
      </c>
      <c r="N49" s="10">
        <f ca="1">VLOOKUP($B49,[7]Dasboard_QBR_Report!$B$109:$BL$166,18,FALSE)</f>
        <v>370</v>
      </c>
      <c r="O49" s="10">
        <f ca="1">VLOOKUP($B49,'[7]Analisys QBR By Machine Report'!$C$109:$BD$166,10,FALSE)</f>
        <v>180</v>
      </c>
      <c r="P49" s="10">
        <f ca="1">VLOOKUP($B49,'[7]Analisys QBR By Machine Report'!$C$109:$BD$166,11,FALSE)</f>
        <v>140</v>
      </c>
      <c r="Q49" s="10">
        <f ca="1">VLOOKUP($B49,'[7]Analisys QBR By Machine Report'!$C$109:$BD$166,12,FALSE)</f>
        <v>0</v>
      </c>
      <c r="R49" s="10">
        <f ca="1">VLOOKUP($B49,'[7]Analisys QBR By Machine Report'!$C$109:$BD$166,13,FALSE)</f>
        <v>40</v>
      </c>
      <c r="S49" s="10">
        <f ca="1">VLOOKUP($B49,'[7]Analisys QBR By Machine Report'!$C$109:$BD$166,14,FALSE)</f>
        <v>0</v>
      </c>
      <c r="T49" s="10">
        <f ca="1">VLOOKUP($B49,'[7]Analisys QBR By Machine Report'!$C$109:$BD$166,15,FALSE)</f>
        <v>0</v>
      </c>
      <c r="U49" s="10">
        <f ca="1">VLOOKUP($B49,'[7]Analisys QBR By Machine Report'!$C$109:$BD$166,16,FALSE)</f>
        <v>0</v>
      </c>
      <c r="V49" s="10">
        <f ca="1">VLOOKUP($B49,'[7]Analisys QBR By Machine Report'!$C$109:$BD$166,17,FALSE)</f>
        <v>0</v>
      </c>
      <c r="W49" s="10">
        <f ca="1">VLOOKUP($B49,'[7]Analisys QBR By Machine Report'!$C$109:$BD$166,18,FALSE)</f>
        <v>0</v>
      </c>
      <c r="X49" s="10">
        <f ca="1">VLOOKUP($B49,'[7]Analisys QBR By Machine Report'!$C$109:$BD$166,19,FALSE)</f>
        <v>0</v>
      </c>
      <c r="Y49" s="10">
        <f ca="1">VLOOKUP($B49,'[7]Analisys QBR By Machine Report'!$C$109:$BD$166,20,FALSE)</f>
        <v>0</v>
      </c>
      <c r="Z49" s="10">
        <f ca="1">VLOOKUP($B49,'[7]Analisys QBR By Machine Report'!$C$109:$BD$166,21,FALSE)</f>
        <v>110</v>
      </c>
      <c r="AA49" s="10">
        <f ca="1">VLOOKUP($B49,'[7]Analisys QBR By Machine Report'!$C$109:$BD$166,22,FALSE)</f>
        <v>65</v>
      </c>
      <c r="AB49" s="10">
        <f ca="1">VLOOKUP($B49,'[7]Analisys QBR By Machine Report'!$C$109:$BD$166,23,FALSE)</f>
        <v>30</v>
      </c>
      <c r="AC49" s="10">
        <f ca="1">VLOOKUP($B49,'[7]Analisys QBR By Machine Report'!$C$109:$BD$166,24,FALSE)</f>
        <v>0</v>
      </c>
      <c r="AD49" s="10">
        <f ca="1">VLOOKUP($B49,'[7]Analisys QBR By Machine Report'!$C$109:$BD$166,25,FALSE)</f>
        <v>0</v>
      </c>
      <c r="AE49" s="10">
        <f ca="1">VLOOKUP($B49,'[7]Analisys QBR By Machine Report'!$C$109:$BD$166,26,FALSE)</f>
        <v>15</v>
      </c>
      <c r="AF49" s="10">
        <f ca="1">VLOOKUP($B49,'[7]Analisys QBR By Machine Report'!$C$109:$BD$166,27,FALSE)</f>
        <v>0</v>
      </c>
      <c r="AG49" s="10">
        <f ca="1">VLOOKUP($B49,'[7]Analisys QBR By Machine Report'!$C$109:$BD$166,28,FALSE)</f>
        <v>0</v>
      </c>
      <c r="AH49" s="10">
        <f ca="1">VLOOKUP($B49,'[7]Analisys QBR By Machine Report'!$C$109:$BD$166,29,FALSE)</f>
        <v>0</v>
      </c>
      <c r="AI49" s="10">
        <f ca="1">VLOOKUP($B49,'[7]Analisys QBR By Machine Report'!$C$109:$BD$166,30,FALSE)</f>
        <v>80</v>
      </c>
      <c r="AJ49" s="10">
        <f ca="1">VLOOKUP($B49,'[7]Analisys QBR By Machine Report'!$C$109:$BD$166,31,FALSE)</f>
        <v>0</v>
      </c>
      <c r="AK49" s="10">
        <f ca="1">VLOOKUP($B49,'[7]Analisys QBR By Machine Report'!$C$109:$BD$166,32,FALSE)</f>
        <v>0</v>
      </c>
      <c r="AL49" s="10">
        <f ca="1">VLOOKUP($B49,'[7]Analisys QBR By Machine Report'!$C$109:$BD$166,33,FALSE)</f>
        <v>30</v>
      </c>
      <c r="AM49" s="10">
        <f ca="1">VLOOKUP($B49,'[7]Analisys QBR By Machine Report'!$C$109:$BD$166,34,FALSE)</f>
        <v>0</v>
      </c>
      <c r="AN49" s="10">
        <f ca="1">VLOOKUP($B49,'[7]Analisys QBR By Machine Report'!$C$109:$BD$166,35,FALSE)</f>
        <v>15</v>
      </c>
      <c r="AO49" s="10">
        <f ca="1">VLOOKUP($B49,'[7]Analisys QBR By Machine Report'!$C$109:$BD$166,36,FALSE)</f>
        <v>0</v>
      </c>
      <c r="AP49" s="10">
        <f ca="1">VLOOKUP($B49,'[7]Analisys QBR By Machine Report'!$C$109:$BD$166,37,FALSE)</f>
        <v>0</v>
      </c>
      <c r="AQ49" s="10">
        <f ca="1">VLOOKUP($B49,'[7]Analisys QBR By Machine Report'!$C$109:$BD$166,38,FALSE)</f>
        <v>0</v>
      </c>
      <c r="AR49" s="10">
        <f ca="1">VLOOKUP($B49,'[7]Analisys QBR By Machine Report'!$C$109:$BD$166,39,FALSE)</f>
        <v>0</v>
      </c>
      <c r="AS49" s="10">
        <f ca="1">VLOOKUP($B49,'[7]Analisys QBR By Machine Report'!$C$109:$BD$166,40,FALSE)</f>
        <v>15</v>
      </c>
      <c r="AT49" s="10">
        <f ca="1">VLOOKUP($B49,'[7]Analisys QBR By Machine Report'!$C$109:$BD$166,41,FALSE)</f>
        <v>0</v>
      </c>
      <c r="AU49" s="10">
        <f ca="1">VLOOKUP($B49,'[7]Analisys QBR By Machine Report'!$C$109:$BD$166,42,FALSE)</f>
        <v>0</v>
      </c>
      <c r="AV49" s="10">
        <f ca="1">VLOOKUP($B49,'[7]Analisys QBR By Machine Report'!$C$109:$BD$166,43,FALSE)</f>
        <v>0</v>
      </c>
      <c r="AW49" s="10">
        <f ca="1">VLOOKUP($B49,'[7]Analisys QBR By Machine Report'!$C$109:$BD$166,44,FALSE)</f>
        <v>0</v>
      </c>
      <c r="AX49" s="10">
        <f ca="1">VLOOKUP($B49,'[7]Analisys QBR By Machine Report'!$C$109:$BD$166,45,FALSE)</f>
        <v>0</v>
      </c>
      <c r="AY49" s="10">
        <f ca="1">VLOOKUP($B49,'[7]Analisys QBR By Machine Report'!$C$109:$BD$166,46,FALSE)</f>
        <v>0</v>
      </c>
      <c r="AZ49" s="10">
        <f ca="1">VLOOKUP($B49,'[7]Analisys QBR By Machine Report'!$C$109:$BD$166,47,FALSE)</f>
        <v>20</v>
      </c>
      <c r="BA49" s="10">
        <f ca="1">VLOOKUP($B49,'[7]Analisys QBR By Machine Report'!$C$109:$BD$166,48,FALSE)</f>
        <v>0</v>
      </c>
      <c r="BB49" s="10">
        <f ca="1">VLOOKUP($B49,'[7]Analisys QBR By Machine Report'!$C$109:$BD$166,49,FALSE)</f>
        <v>0</v>
      </c>
      <c r="BC49" s="10">
        <f ca="1">VLOOKUP($B49,'[7]Analisys QBR By Machine Report'!$C$109:$BD$166,50,FALSE)</f>
        <v>0</v>
      </c>
      <c r="BD49" s="10">
        <f ca="1">VLOOKUP($B49,'[7]Analisys QBR By Machine Report'!$C$109:$BD$166,51,FALSE)</f>
        <v>98251</v>
      </c>
      <c r="BE49" s="10">
        <f ca="1">VLOOKUP($B49,'[7]Analisys QBR By Machine Report'!$C$109:$BD$166,52,FALSE)</f>
        <v>801</v>
      </c>
      <c r="BF49" s="10">
        <f ca="1">VLOOKUP($B49,'[7]Analisys QBR By Machine Report'!$C$109:$BD$166,53,FALSE)</f>
        <v>97450</v>
      </c>
    </row>
    <row r="50" spans="1:58" x14ac:dyDescent="0.25">
      <c r="A50" s="12" t="s">
        <v>106</v>
      </c>
      <c r="B50" s="13">
        <f ca="1">VLOOKUP($B50,'[7]Analisys QBR By Machine Report'!$C$109:$BD$166,2,FALSE)</f>
        <v>33120</v>
      </c>
      <c r="C50" s="14">
        <f ca="1">VLOOKUP($B50,[7]Dasboard_QBR_Report!$B$109:$BL$166,3,FALSE)</f>
        <v>11040</v>
      </c>
      <c r="D50" s="13">
        <f ca="1">VLOOKUP($B50,'[7]Analisys QBR By Machine Report'!$C$109:$BD$166,3,FALSE)</f>
        <v>32610</v>
      </c>
      <c r="E50" s="14">
        <f ca="1">VLOOKUP($B50,[7]Dasboard_QBR_Report!$B$109:$BL$166,5,FALSE)</f>
        <v>10530</v>
      </c>
      <c r="F50" s="13">
        <f t="shared" ca="1" si="0"/>
        <v>510</v>
      </c>
      <c r="G50" s="13">
        <f t="shared" ca="1" si="1"/>
        <v>30</v>
      </c>
      <c r="H50" s="13">
        <f ca="1">VLOOKUP($B50,'[7]Analisys QBR By Machine Report'!$C$109:$BD$166,4,FALSE)</f>
        <v>30</v>
      </c>
      <c r="I50" s="13">
        <f ca="1">VLOOKUP($B50,'[7]Analisys QBR By Machine Report'!$C$109:$BD$166,5,FALSE)</f>
        <v>30</v>
      </c>
      <c r="J50" s="13">
        <f ca="1">VLOOKUP($B50,'[7]Analisys QBR By Machine Report'!$C$109:$BD$166,6,FALSE)</f>
        <v>0</v>
      </c>
      <c r="K50" s="13">
        <f ca="1">VLOOKUP($B50,'[7]Analisys QBR By Machine Report'!$C$109:$BD$166,7,FALSE)</f>
        <v>0</v>
      </c>
      <c r="L50" s="13">
        <f ca="1">VLOOKUP($B50,'[7]Analisys QBR By Machine Report'!$C$109:$BD$166,8,FALSE)</f>
        <v>480</v>
      </c>
      <c r="M50" s="13">
        <f ca="1">VLOOKUP($B50,'[7]Analisys QBR By Machine Report'!$C$109:$BD$166,9,FALSE)</f>
        <v>110</v>
      </c>
      <c r="N50" s="13">
        <f ca="1">VLOOKUP($B50,[7]Dasboard_QBR_Report!$B$109:$BL$166,18,FALSE)</f>
        <v>370</v>
      </c>
      <c r="O50" s="13">
        <f ca="1">VLOOKUP($B50,'[7]Analisys QBR By Machine Report'!$C$109:$BD$166,10,FALSE)</f>
        <v>180</v>
      </c>
      <c r="P50" s="13">
        <f ca="1">VLOOKUP($B50,'[7]Analisys QBR By Machine Report'!$C$109:$BD$166,11,FALSE)</f>
        <v>140</v>
      </c>
      <c r="Q50" s="13">
        <f ca="1">VLOOKUP($B50,'[7]Analisys QBR By Machine Report'!$C$109:$BD$166,12,FALSE)</f>
        <v>0</v>
      </c>
      <c r="R50" s="13">
        <f ca="1">VLOOKUP($B50,'[7]Analisys QBR By Machine Report'!$C$109:$BD$166,13,FALSE)</f>
        <v>40</v>
      </c>
      <c r="S50" s="13">
        <f ca="1">VLOOKUP($B50,'[7]Analisys QBR By Machine Report'!$C$109:$BD$166,14,FALSE)</f>
        <v>0</v>
      </c>
      <c r="T50" s="13">
        <f ca="1">VLOOKUP($B50,'[7]Analisys QBR By Machine Report'!$C$109:$BD$166,15,FALSE)</f>
        <v>0</v>
      </c>
      <c r="U50" s="13">
        <f ca="1">VLOOKUP($B50,'[7]Analisys QBR By Machine Report'!$C$109:$BD$166,16,FALSE)</f>
        <v>0</v>
      </c>
      <c r="V50" s="13">
        <f ca="1">VLOOKUP($B50,'[7]Analisys QBR By Machine Report'!$C$109:$BD$166,17,FALSE)</f>
        <v>0</v>
      </c>
      <c r="W50" s="13">
        <f ca="1">VLOOKUP($B50,'[7]Analisys QBR By Machine Report'!$C$109:$BD$166,18,FALSE)</f>
        <v>0</v>
      </c>
      <c r="X50" s="13">
        <f ca="1">VLOOKUP($B50,'[7]Analisys QBR By Machine Report'!$C$109:$BD$166,19,FALSE)</f>
        <v>0</v>
      </c>
      <c r="Y50" s="13">
        <f ca="1">VLOOKUP($B50,'[7]Analisys QBR By Machine Report'!$C$109:$BD$166,20,FALSE)</f>
        <v>0</v>
      </c>
      <c r="Z50" s="13">
        <f ca="1">VLOOKUP($B50,'[7]Analisys QBR By Machine Report'!$C$109:$BD$166,21,FALSE)</f>
        <v>110</v>
      </c>
      <c r="AA50" s="13">
        <f ca="1">VLOOKUP($B50,'[7]Analisys QBR By Machine Report'!$C$109:$BD$166,22,FALSE)</f>
        <v>65</v>
      </c>
      <c r="AB50" s="13">
        <f ca="1">VLOOKUP($B50,'[7]Analisys QBR By Machine Report'!$C$109:$BD$166,23,FALSE)</f>
        <v>30</v>
      </c>
      <c r="AC50" s="13">
        <f ca="1">VLOOKUP($B50,'[7]Analisys QBR By Machine Report'!$C$109:$BD$166,24,FALSE)</f>
        <v>0</v>
      </c>
      <c r="AD50" s="13">
        <f ca="1">VLOOKUP($B50,'[7]Analisys QBR By Machine Report'!$C$109:$BD$166,25,FALSE)</f>
        <v>0</v>
      </c>
      <c r="AE50" s="13">
        <f ca="1">VLOOKUP($B50,'[7]Analisys QBR By Machine Report'!$C$109:$BD$166,26,FALSE)</f>
        <v>15</v>
      </c>
      <c r="AF50" s="13">
        <f ca="1">VLOOKUP($B50,'[7]Analisys QBR By Machine Report'!$C$109:$BD$166,27,FALSE)</f>
        <v>0</v>
      </c>
      <c r="AG50" s="13">
        <f ca="1">VLOOKUP($B50,'[7]Analisys QBR By Machine Report'!$C$109:$BD$166,28,FALSE)</f>
        <v>0</v>
      </c>
      <c r="AH50" s="13">
        <f ca="1">VLOOKUP($B50,'[7]Analisys QBR By Machine Report'!$C$109:$BD$166,29,FALSE)</f>
        <v>0</v>
      </c>
      <c r="AI50" s="13">
        <f ca="1">VLOOKUP($B50,'[7]Analisys QBR By Machine Report'!$C$109:$BD$166,30,FALSE)</f>
        <v>80</v>
      </c>
      <c r="AJ50" s="13">
        <f ca="1">VLOOKUP($B50,'[7]Analisys QBR By Machine Report'!$C$109:$BD$166,31,FALSE)</f>
        <v>0</v>
      </c>
      <c r="AK50" s="13">
        <f ca="1">VLOOKUP($B50,'[7]Analisys QBR By Machine Report'!$C$109:$BD$166,32,FALSE)</f>
        <v>0</v>
      </c>
      <c r="AL50" s="13">
        <f ca="1">VLOOKUP($B50,'[7]Analisys QBR By Machine Report'!$C$109:$BD$166,33,FALSE)</f>
        <v>30</v>
      </c>
      <c r="AM50" s="13">
        <f ca="1">VLOOKUP($B50,'[7]Analisys QBR By Machine Report'!$C$109:$BD$166,34,FALSE)</f>
        <v>0</v>
      </c>
      <c r="AN50" s="13">
        <f ca="1">VLOOKUP($B50,'[7]Analisys QBR By Machine Report'!$C$109:$BD$166,35,FALSE)</f>
        <v>15</v>
      </c>
      <c r="AO50" s="13">
        <f ca="1">VLOOKUP($B50,'[7]Analisys QBR By Machine Report'!$C$109:$BD$166,36,FALSE)</f>
        <v>0</v>
      </c>
      <c r="AP50" s="13">
        <f ca="1">VLOOKUP($B50,'[7]Analisys QBR By Machine Report'!$C$109:$BD$166,37,FALSE)</f>
        <v>0</v>
      </c>
      <c r="AQ50" s="13">
        <f ca="1">VLOOKUP($B50,'[7]Analisys QBR By Machine Report'!$C$109:$BD$166,38,FALSE)</f>
        <v>0</v>
      </c>
      <c r="AR50" s="13">
        <f ca="1">VLOOKUP($B50,'[7]Analisys QBR By Machine Report'!$C$109:$BD$166,39,FALSE)</f>
        <v>0</v>
      </c>
      <c r="AS50" s="13">
        <f ca="1">VLOOKUP($B50,'[7]Analisys QBR By Machine Report'!$C$109:$BD$166,40,FALSE)</f>
        <v>15</v>
      </c>
      <c r="AT50" s="13">
        <f ca="1">VLOOKUP($B50,'[7]Analisys QBR By Machine Report'!$C$109:$BD$166,41,FALSE)</f>
        <v>0</v>
      </c>
      <c r="AU50" s="13">
        <f ca="1">VLOOKUP($B50,'[7]Analisys QBR By Machine Report'!$C$109:$BD$166,42,FALSE)</f>
        <v>0</v>
      </c>
      <c r="AV50" s="13">
        <f ca="1">VLOOKUP($B50,'[7]Analisys QBR By Machine Report'!$C$109:$BD$166,43,FALSE)</f>
        <v>0</v>
      </c>
      <c r="AW50" s="13">
        <f ca="1">VLOOKUP($B50,'[7]Analisys QBR By Machine Report'!$C$109:$BD$166,44,FALSE)</f>
        <v>0</v>
      </c>
      <c r="AX50" s="13">
        <f ca="1">VLOOKUP($B50,'[7]Analisys QBR By Machine Report'!$C$109:$BD$166,45,FALSE)</f>
        <v>0</v>
      </c>
      <c r="AY50" s="13">
        <f ca="1">VLOOKUP($B50,'[7]Analisys QBR By Machine Report'!$C$109:$BD$166,46,FALSE)</f>
        <v>0</v>
      </c>
      <c r="AZ50" s="13">
        <f ca="1">VLOOKUP($B50,'[7]Analisys QBR By Machine Report'!$C$109:$BD$166,47,FALSE)</f>
        <v>20</v>
      </c>
      <c r="BA50" s="13">
        <f ca="1">VLOOKUP($B50,'[7]Analisys QBR By Machine Report'!$C$109:$BD$166,48,FALSE)</f>
        <v>0</v>
      </c>
      <c r="BB50" s="13">
        <f ca="1">VLOOKUP($B50,'[7]Analisys QBR By Machine Report'!$C$109:$BD$166,49,FALSE)</f>
        <v>0</v>
      </c>
      <c r="BC50" s="13">
        <f ca="1">VLOOKUP($B50,'[7]Analisys QBR By Machine Report'!$C$109:$BD$166,50,FALSE)</f>
        <v>0</v>
      </c>
      <c r="BD50" s="13">
        <f ca="1">VLOOKUP($B50,'[7]Analisys QBR By Machine Report'!$C$109:$BD$166,51,FALSE)</f>
        <v>98251</v>
      </c>
      <c r="BE50" s="13">
        <f ca="1">VLOOKUP($B50,'[7]Analisys QBR By Machine Report'!$C$109:$BD$166,52,FALSE)</f>
        <v>801</v>
      </c>
      <c r="BF50" s="13">
        <f ca="1">VLOOKUP($B50,'[7]Analisys QBR By Machine Report'!$C$109:$BD$166,53,FALSE)</f>
        <v>97450</v>
      </c>
    </row>
    <row r="51" spans="1:58" x14ac:dyDescent="0.25">
      <c r="A51" s="9" t="s">
        <v>107</v>
      </c>
      <c r="B51" s="10">
        <f ca="1">VLOOKUP($B51,'[7]Analisys QBR By Machine Report'!$C$109:$BD$166,2,FALSE)</f>
        <v>33120</v>
      </c>
      <c r="C51" s="11">
        <f ca="1">VLOOKUP($B51,[7]Dasboard_QBR_Report!$B$109:$BL$166,3,FALSE)</f>
        <v>21390</v>
      </c>
      <c r="D51" s="10">
        <f ca="1">VLOOKUP($B51,'[7]Analisys QBR By Machine Report'!$C$109:$BD$166,3,FALSE)</f>
        <v>26610</v>
      </c>
      <c r="E51" s="11">
        <f ca="1">VLOOKUP($B51,[7]Dasboard_QBR_Report!$B$109:$BL$166,5,FALSE)</f>
        <v>14880</v>
      </c>
      <c r="F51" s="10">
        <f t="shared" ca="1" si="0"/>
        <v>6510</v>
      </c>
      <c r="G51" s="10">
        <f t="shared" ca="1" si="1"/>
        <v>675</v>
      </c>
      <c r="H51" s="10">
        <f ca="1">VLOOKUP($B51,'[7]Analisys QBR By Machine Report'!$C$109:$BD$166,4,FALSE)</f>
        <v>675</v>
      </c>
      <c r="I51" s="10">
        <f ca="1">VLOOKUP($B51,'[7]Analisys QBR By Machine Report'!$C$109:$BD$166,5,FALSE)</f>
        <v>0</v>
      </c>
      <c r="J51" s="10">
        <f ca="1">VLOOKUP($B51,'[7]Analisys QBR By Machine Report'!$C$109:$BD$166,6,FALSE)</f>
        <v>675</v>
      </c>
      <c r="K51" s="10">
        <f ca="1">VLOOKUP($B51,'[7]Analisys QBR By Machine Report'!$C$109:$BD$166,7,FALSE)</f>
        <v>0</v>
      </c>
      <c r="L51" s="10">
        <f ca="1">VLOOKUP($B51,'[7]Analisys QBR By Machine Report'!$C$109:$BD$166,8,FALSE)</f>
        <v>5835</v>
      </c>
      <c r="M51" s="10">
        <f ca="1">VLOOKUP($B51,'[7]Analisys QBR By Machine Report'!$C$109:$BD$166,9,FALSE)</f>
        <v>2246</v>
      </c>
      <c r="N51" s="10">
        <f ca="1">VLOOKUP($B51,[7]Dasboard_QBR_Report!$B$109:$BL$166,18,FALSE)</f>
        <v>3589</v>
      </c>
      <c r="O51" s="10">
        <f ca="1">VLOOKUP($B51,'[7]Analisys QBR By Machine Report'!$C$109:$BD$166,10,FALSE)</f>
        <v>520</v>
      </c>
      <c r="P51" s="10">
        <f ca="1">VLOOKUP($B51,'[7]Analisys QBR By Machine Report'!$C$109:$BD$166,11,FALSE)</f>
        <v>400</v>
      </c>
      <c r="Q51" s="10">
        <f ca="1">VLOOKUP($B51,'[7]Analisys QBR By Machine Report'!$C$109:$BD$166,12,FALSE)</f>
        <v>0</v>
      </c>
      <c r="R51" s="10">
        <f ca="1">VLOOKUP($B51,'[7]Analisys QBR By Machine Report'!$C$109:$BD$166,13,FALSE)</f>
        <v>120</v>
      </c>
      <c r="S51" s="10">
        <f ca="1">VLOOKUP($B51,'[7]Analisys QBR By Machine Report'!$C$109:$BD$166,14,FALSE)</f>
        <v>0</v>
      </c>
      <c r="T51" s="10">
        <f ca="1">VLOOKUP($B51,'[7]Analisys QBR By Machine Report'!$C$109:$BD$166,15,FALSE)</f>
        <v>249</v>
      </c>
      <c r="U51" s="10">
        <f ca="1">VLOOKUP($B51,'[7]Analisys QBR By Machine Report'!$C$109:$BD$166,16,FALSE)</f>
        <v>205</v>
      </c>
      <c r="V51" s="10">
        <f ca="1">VLOOKUP($B51,'[7]Analisys QBR By Machine Report'!$C$109:$BD$166,17,FALSE)</f>
        <v>10</v>
      </c>
      <c r="W51" s="10">
        <f ca="1">VLOOKUP($B51,'[7]Analisys QBR By Machine Report'!$C$109:$BD$166,18,FALSE)</f>
        <v>0</v>
      </c>
      <c r="X51" s="10">
        <f ca="1">VLOOKUP($B51,'[7]Analisys QBR By Machine Report'!$C$109:$BD$166,19,FALSE)</f>
        <v>34</v>
      </c>
      <c r="Y51" s="10">
        <f ca="1">VLOOKUP($B51,'[7]Analisys QBR By Machine Report'!$C$109:$BD$166,20,FALSE)</f>
        <v>0</v>
      </c>
      <c r="Z51" s="10">
        <f ca="1">VLOOKUP($B51,'[7]Analisys QBR By Machine Report'!$C$109:$BD$166,21,FALSE)</f>
        <v>1851</v>
      </c>
      <c r="AA51" s="10">
        <f ca="1">VLOOKUP($B51,'[7]Analisys QBR By Machine Report'!$C$109:$BD$166,22,FALSE)</f>
        <v>541</v>
      </c>
      <c r="AB51" s="10">
        <f ca="1">VLOOKUP($B51,'[7]Analisys QBR By Machine Report'!$C$109:$BD$166,23,FALSE)</f>
        <v>1310</v>
      </c>
      <c r="AC51" s="10">
        <f ca="1">VLOOKUP($B51,'[7]Analisys QBR By Machine Report'!$C$109:$BD$166,24,FALSE)</f>
        <v>0</v>
      </c>
      <c r="AD51" s="10">
        <f ca="1">VLOOKUP($B51,'[7]Analisys QBR By Machine Report'!$C$109:$BD$166,25,FALSE)</f>
        <v>0</v>
      </c>
      <c r="AE51" s="10">
        <f ca="1">VLOOKUP($B51,'[7]Analisys QBR By Machine Report'!$C$109:$BD$166,26,FALSE)</f>
        <v>0</v>
      </c>
      <c r="AF51" s="10">
        <f ca="1">VLOOKUP($B51,'[7]Analisys QBR By Machine Report'!$C$109:$BD$166,27,FALSE)</f>
        <v>0</v>
      </c>
      <c r="AG51" s="10">
        <f ca="1">VLOOKUP($B51,'[7]Analisys QBR By Machine Report'!$C$109:$BD$166,28,FALSE)</f>
        <v>0</v>
      </c>
      <c r="AH51" s="10">
        <f ca="1">VLOOKUP($B51,'[7]Analisys QBR By Machine Report'!$C$109:$BD$166,29,FALSE)</f>
        <v>0</v>
      </c>
      <c r="AI51" s="10">
        <f ca="1">VLOOKUP($B51,'[7]Analisys QBR By Machine Report'!$C$109:$BD$166,30,FALSE)</f>
        <v>969</v>
      </c>
      <c r="AJ51" s="10">
        <f ca="1">VLOOKUP($B51,'[7]Analisys QBR By Machine Report'!$C$109:$BD$166,31,FALSE)</f>
        <v>0</v>
      </c>
      <c r="AK51" s="10">
        <f ca="1">VLOOKUP($B51,'[7]Analisys QBR By Machine Report'!$C$109:$BD$166,32,FALSE)</f>
        <v>0</v>
      </c>
      <c r="AL51" s="10">
        <f ca="1">VLOOKUP($B51,'[7]Analisys QBR By Machine Report'!$C$109:$BD$166,33,FALSE)</f>
        <v>390</v>
      </c>
      <c r="AM51" s="10">
        <f ca="1">VLOOKUP($B51,'[7]Analisys QBR By Machine Report'!$C$109:$BD$166,34,FALSE)</f>
        <v>45</v>
      </c>
      <c r="AN51" s="10">
        <f ca="1">VLOOKUP($B51,'[7]Analisys QBR By Machine Report'!$C$109:$BD$166,35,FALSE)</f>
        <v>360</v>
      </c>
      <c r="AO51" s="10">
        <f ca="1">VLOOKUP($B51,'[7]Analisys QBR By Machine Report'!$C$109:$BD$166,36,FALSE)</f>
        <v>0</v>
      </c>
      <c r="AP51" s="10">
        <f ca="1">VLOOKUP($B51,'[7]Analisys QBR By Machine Report'!$C$109:$BD$166,37,FALSE)</f>
        <v>0</v>
      </c>
      <c r="AQ51" s="10">
        <f ca="1">VLOOKUP($B51,'[7]Analisys QBR By Machine Report'!$C$109:$BD$166,38,FALSE)</f>
        <v>35</v>
      </c>
      <c r="AR51" s="10">
        <f ca="1">VLOOKUP($B51,'[7]Analisys QBR By Machine Report'!$C$109:$BD$166,39,FALSE)</f>
        <v>0</v>
      </c>
      <c r="AS51" s="10">
        <f ca="1">VLOOKUP($B51,'[7]Analisys QBR By Machine Report'!$C$109:$BD$166,40,FALSE)</f>
        <v>139</v>
      </c>
      <c r="AT51" s="10">
        <f ca="1">VLOOKUP($B51,'[7]Analisys QBR By Machine Report'!$C$109:$BD$166,41,FALSE)</f>
        <v>0</v>
      </c>
      <c r="AU51" s="10">
        <f ca="1">VLOOKUP($B51,'[7]Analisys QBR By Machine Report'!$C$109:$BD$166,42,FALSE)</f>
        <v>0</v>
      </c>
      <c r="AV51" s="10">
        <f ca="1">VLOOKUP($B51,'[7]Analisys QBR By Machine Report'!$C$109:$BD$166,43,FALSE)</f>
        <v>0</v>
      </c>
      <c r="AW51" s="10">
        <f ca="1">VLOOKUP($B51,'[7]Analisys QBR By Machine Report'!$C$109:$BD$166,44,FALSE)</f>
        <v>0</v>
      </c>
      <c r="AX51" s="10">
        <f ca="1">VLOOKUP($B51,'[7]Analisys QBR By Machine Report'!$C$109:$BD$166,45,FALSE)</f>
        <v>0</v>
      </c>
      <c r="AY51" s="10">
        <f ca="1">VLOOKUP($B51,'[7]Analisys QBR By Machine Report'!$C$109:$BD$166,46,FALSE)</f>
        <v>0</v>
      </c>
      <c r="AZ51" s="10">
        <f ca="1">VLOOKUP($B51,'[7]Analisys QBR By Machine Report'!$C$109:$BD$166,47,FALSE)</f>
        <v>0</v>
      </c>
      <c r="BA51" s="10">
        <f ca="1">VLOOKUP($B51,'[7]Analisys QBR By Machine Report'!$C$109:$BD$166,48,FALSE)</f>
        <v>0</v>
      </c>
      <c r="BB51" s="10">
        <f ca="1">VLOOKUP($B51,'[7]Analisys QBR By Machine Report'!$C$109:$BD$166,49,FALSE)</f>
        <v>0</v>
      </c>
      <c r="BC51" s="10">
        <f ca="1">VLOOKUP($B51,'[7]Analisys QBR By Machine Report'!$C$109:$BD$166,50,FALSE)</f>
        <v>0</v>
      </c>
      <c r="BD51" s="10">
        <f ca="1">VLOOKUP($B51,'[7]Analisys QBR By Machine Report'!$C$109:$BD$166,51,FALSE)</f>
        <v>704577</v>
      </c>
      <c r="BE51" s="10">
        <f ca="1">VLOOKUP($B51,'[7]Analisys QBR By Machine Report'!$C$109:$BD$166,52,FALSE)</f>
        <v>5</v>
      </c>
      <c r="BF51" s="10">
        <f ca="1">VLOOKUP($B51,'[7]Analisys QBR By Machine Report'!$C$109:$BD$166,53,FALSE)</f>
        <v>704572</v>
      </c>
    </row>
    <row r="52" spans="1:58" x14ac:dyDescent="0.25">
      <c r="A52" s="12" t="s">
        <v>108</v>
      </c>
      <c r="B52" s="13">
        <f ca="1">VLOOKUP($B52,'[7]Analisys QBR By Machine Report'!$C$109:$BD$166,2,FALSE)</f>
        <v>33120</v>
      </c>
      <c r="C52" s="14">
        <f ca="1">VLOOKUP($B52,[7]Dasboard_QBR_Report!$B$109:$BL$166,3,FALSE)</f>
        <v>21390</v>
      </c>
      <c r="D52" s="13">
        <f ca="1">VLOOKUP($B52,'[7]Analisys QBR By Machine Report'!$C$109:$BD$166,3,FALSE)</f>
        <v>26610</v>
      </c>
      <c r="E52" s="14">
        <f ca="1">VLOOKUP($B52,[7]Dasboard_QBR_Report!$B$109:$BL$166,5,FALSE)</f>
        <v>14880</v>
      </c>
      <c r="F52" s="13">
        <f t="shared" ca="1" si="0"/>
        <v>6510</v>
      </c>
      <c r="G52" s="13">
        <f t="shared" ca="1" si="1"/>
        <v>675</v>
      </c>
      <c r="H52" s="13">
        <f ca="1">VLOOKUP($B52,'[7]Analisys QBR By Machine Report'!$C$109:$BD$166,4,FALSE)</f>
        <v>675</v>
      </c>
      <c r="I52" s="13">
        <f ca="1">VLOOKUP($B52,'[7]Analisys QBR By Machine Report'!$C$109:$BD$166,5,FALSE)</f>
        <v>0</v>
      </c>
      <c r="J52" s="13">
        <f ca="1">VLOOKUP($B52,'[7]Analisys QBR By Machine Report'!$C$109:$BD$166,6,FALSE)</f>
        <v>675</v>
      </c>
      <c r="K52" s="13">
        <f ca="1">VLOOKUP($B52,'[7]Analisys QBR By Machine Report'!$C$109:$BD$166,7,FALSE)</f>
        <v>0</v>
      </c>
      <c r="L52" s="13">
        <f ca="1">VLOOKUP($B52,'[7]Analisys QBR By Machine Report'!$C$109:$BD$166,8,FALSE)</f>
        <v>5835</v>
      </c>
      <c r="M52" s="13">
        <f ca="1">VLOOKUP($B52,'[7]Analisys QBR By Machine Report'!$C$109:$BD$166,9,FALSE)</f>
        <v>2246</v>
      </c>
      <c r="N52" s="13">
        <f ca="1">VLOOKUP($B52,[7]Dasboard_QBR_Report!$B$109:$BL$166,18,FALSE)</f>
        <v>3589</v>
      </c>
      <c r="O52" s="13">
        <f ca="1">VLOOKUP($B52,'[7]Analisys QBR By Machine Report'!$C$109:$BD$166,10,FALSE)</f>
        <v>520</v>
      </c>
      <c r="P52" s="13">
        <f ca="1">VLOOKUP($B52,'[7]Analisys QBR By Machine Report'!$C$109:$BD$166,11,FALSE)</f>
        <v>400</v>
      </c>
      <c r="Q52" s="13">
        <f ca="1">VLOOKUP($B52,'[7]Analisys QBR By Machine Report'!$C$109:$BD$166,12,FALSE)</f>
        <v>0</v>
      </c>
      <c r="R52" s="13">
        <f ca="1">VLOOKUP($B52,'[7]Analisys QBR By Machine Report'!$C$109:$BD$166,13,FALSE)</f>
        <v>120</v>
      </c>
      <c r="S52" s="13">
        <f ca="1">VLOOKUP($B52,'[7]Analisys QBR By Machine Report'!$C$109:$BD$166,14,FALSE)</f>
        <v>0</v>
      </c>
      <c r="T52" s="13">
        <f ca="1">VLOOKUP($B52,'[7]Analisys QBR By Machine Report'!$C$109:$BD$166,15,FALSE)</f>
        <v>249</v>
      </c>
      <c r="U52" s="13">
        <f ca="1">VLOOKUP($B52,'[7]Analisys QBR By Machine Report'!$C$109:$BD$166,16,FALSE)</f>
        <v>205</v>
      </c>
      <c r="V52" s="13">
        <f ca="1">VLOOKUP($B52,'[7]Analisys QBR By Machine Report'!$C$109:$BD$166,17,FALSE)</f>
        <v>10</v>
      </c>
      <c r="W52" s="13">
        <f ca="1">VLOOKUP($B52,'[7]Analisys QBR By Machine Report'!$C$109:$BD$166,18,FALSE)</f>
        <v>0</v>
      </c>
      <c r="X52" s="13">
        <f ca="1">VLOOKUP($B52,'[7]Analisys QBR By Machine Report'!$C$109:$BD$166,19,FALSE)</f>
        <v>34</v>
      </c>
      <c r="Y52" s="13">
        <f ca="1">VLOOKUP($B52,'[7]Analisys QBR By Machine Report'!$C$109:$BD$166,20,FALSE)</f>
        <v>0</v>
      </c>
      <c r="Z52" s="13">
        <f ca="1">VLOOKUP($B52,'[7]Analisys QBR By Machine Report'!$C$109:$BD$166,21,FALSE)</f>
        <v>1851</v>
      </c>
      <c r="AA52" s="13">
        <f ca="1">VLOOKUP($B52,'[7]Analisys QBR By Machine Report'!$C$109:$BD$166,22,FALSE)</f>
        <v>541</v>
      </c>
      <c r="AB52" s="13">
        <f ca="1">VLOOKUP($B52,'[7]Analisys QBR By Machine Report'!$C$109:$BD$166,23,FALSE)</f>
        <v>1310</v>
      </c>
      <c r="AC52" s="13">
        <f ca="1">VLOOKUP($B52,'[7]Analisys QBR By Machine Report'!$C$109:$BD$166,24,FALSE)</f>
        <v>0</v>
      </c>
      <c r="AD52" s="13">
        <f ca="1">VLOOKUP($B52,'[7]Analisys QBR By Machine Report'!$C$109:$BD$166,25,FALSE)</f>
        <v>0</v>
      </c>
      <c r="AE52" s="13">
        <f ca="1">VLOOKUP($B52,'[7]Analisys QBR By Machine Report'!$C$109:$BD$166,26,FALSE)</f>
        <v>0</v>
      </c>
      <c r="AF52" s="13">
        <f ca="1">VLOOKUP($B52,'[7]Analisys QBR By Machine Report'!$C$109:$BD$166,27,FALSE)</f>
        <v>0</v>
      </c>
      <c r="AG52" s="13">
        <f ca="1">VLOOKUP($B52,'[7]Analisys QBR By Machine Report'!$C$109:$BD$166,28,FALSE)</f>
        <v>0</v>
      </c>
      <c r="AH52" s="13">
        <f ca="1">VLOOKUP($B52,'[7]Analisys QBR By Machine Report'!$C$109:$BD$166,29,FALSE)</f>
        <v>0</v>
      </c>
      <c r="AI52" s="13">
        <f ca="1">VLOOKUP($B52,'[7]Analisys QBR By Machine Report'!$C$109:$BD$166,30,FALSE)</f>
        <v>969</v>
      </c>
      <c r="AJ52" s="13">
        <f ca="1">VLOOKUP($B52,'[7]Analisys QBR By Machine Report'!$C$109:$BD$166,31,FALSE)</f>
        <v>0</v>
      </c>
      <c r="AK52" s="13">
        <f ca="1">VLOOKUP($B52,'[7]Analisys QBR By Machine Report'!$C$109:$BD$166,32,FALSE)</f>
        <v>0</v>
      </c>
      <c r="AL52" s="13">
        <f ca="1">VLOOKUP($B52,'[7]Analisys QBR By Machine Report'!$C$109:$BD$166,33,FALSE)</f>
        <v>390</v>
      </c>
      <c r="AM52" s="13">
        <f ca="1">VLOOKUP($B52,'[7]Analisys QBR By Machine Report'!$C$109:$BD$166,34,FALSE)</f>
        <v>45</v>
      </c>
      <c r="AN52" s="13">
        <f ca="1">VLOOKUP($B52,'[7]Analisys QBR By Machine Report'!$C$109:$BD$166,35,FALSE)</f>
        <v>360</v>
      </c>
      <c r="AO52" s="13">
        <f ca="1">VLOOKUP($B52,'[7]Analisys QBR By Machine Report'!$C$109:$BD$166,36,FALSE)</f>
        <v>0</v>
      </c>
      <c r="AP52" s="13">
        <f ca="1">VLOOKUP($B52,'[7]Analisys QBR By Machine Report'!$C$109:$BD$166,37,FALSE)</f>
        <v>0</v>
      </c>
      <c r="AQ52" s="13">
        <f ca="1">VLOOKUP($B52,'[7]Analisys QBR By Machine Report'!$C$109:$BD$166,38,FALSE)</f>
        <v>35</v>
      </c>
      <c r="AR52" s="13">
        <f ca="1">VLOOKUP($B52,'[7]Analisys QBR By Machine Report'!$C$109:$BD$166,39,FALSE)</f>
        <v>0</v>
      </c>
      <c r="AS52" s="13">
        <f ca="1">VLOOKUP($B52,'[7]Analisys QBR By Machine Report'!$C$109:$BD$166,40,FALSE)</f>
        <v>139</v>
      </c>
      <c r="AT52" s="13">
        <f ca="1">VLOOKUP($B52,'[7]Analisys QBR By Machine Report'!$C$109:$BD$166,41,FALSE)</f>
        <v>0</v>
      </c>
      <c r="AU52" s="13">
        <f ca="1">VLOOKUP($B52,'[7]Analisys QBR By Machine Report'!$C$109:$BD$166,42,FALSE)</f>
        <v>0</v>
      </c>
      <c r="AV52" s="13">
        <f ca="1">VLOOKUP($B52,'[7]Analisys QBR By Machine Report'!$C$109:$BD$166,43,FALSE)</f>
        <v>0</v>
      </c>
      <c r="AW52" s="13">
        <f ca="1">VLOOKUP($B52,'[7]Analisys QBR By Machine Report'!$C$109:$BD$166,44,FALSE)</f>
        <v>0</v>
      </c>
      <c r="AX52" s="13">
        <f ca="1">VLOOKUP($B52,'[7]Analisys QBR By Machine Report'!$C$109:$BD$166,45,FALSE)</f>
        <v>0</v>
      </c>
      <c r="AY52" s="13">
        <f ca="1">VLOOKUP($B52,'[7]Analisys QBR By Machine Report'!$C$109:$BD$166,46,FALSE)</f>
        <v>0</v>
      </c>
      <c r="AZ52" s="13">
        <f ca="1">VLOOKUP($B52,'[7]Analisys QBR By Machine Report'!$C$109:$BD$166,47,FALSE)</f>
        <v>0</v>
      </c>
      <c r="BA52" s="13">
        <f ca="1">VLOOKUP($B52,'[7]Analisys QBR By Machine Report'!$C$109:$BD$166,48,FALSE)</f>
        <v>0</v>
      </c>
      <c r="BB52" s="13">
        <f ca="1">VLOOKUP($B52,'[7]Analisys QBR By Machine Report'!$C$109:$BD$166,49,FALSE)</f>
        <v>0</v>
      </c>
      <c r="BC52" s="13">
        <f ca="1">VLOOKUP($B52,'[7]Analisys QBR By Machine Report'!$C$109:$BD$166,50,FALSE)</f>
        <v>0</v>
      </c>
      <c r="BD52" s="13">
        <f ca="1">VLOOKUP($B52,'[7]Analisys QBR By Machine Report'!$C$109:$BD$166,51,FALSE)</f>
        <v>704577</v>
      </c>
      <c r="BE52" s="13">
        <f ca="1">VLOOKUP($B52,'[7]Analisys QBR By Machine Report'!$C$109:$BD$166,52,FALSE)</f>
        <v>5</v>
      </c>
      <c r="BF52" s="13">
        <f ca="1">VLOOKUP($B52,'[7]Analisys QBR By Machine Report'!$C$109:$BD$166,53,FALSE)</f>
        <v>704572</v>
      </c>
    </row>
    <row r="53" spans="1:58" x14ac:dyDescent="0.25">
      <c r="A53" s="9" t="s">
        <v>109</v>
      </c>
      <c r="B53" s="10">
        <f ca="1">VLOOKUP($B53,'[7]Analisys QBR By Machine Report'!$C$109:$BD$166,2,FALSE)</f>
        <v>66240</v>
      </c>
      <c r="C53" s="11">
        <f ca="1">VLOOKUP($B53,[7]Dasboard_QBR_Report!$B$109:$BL$166,3,FALSE)</f>
        <v>42780</v>
      </c>
      <c r="D53" s="10">
        <f ca="1">VLOOKUP($B53,'[7]Analisys QBR By Machine Report'!$C$109:$BD$166,3,FALSE)</f>
        <v>52704</v>
      </c>
      <c r="E53" s="11">
        <f ca="1">VLOOKUP($B53,[7]Dasboard_QBR_Report!$B$109:$BL$166,5,FALSE)</f>
        <v>29244</v>
      </c>
      <c r="F53" s="10">
        <f t="shared" ca="1" si="0"/>
        <v>13536</v>
      </c>
      <c r="G53" s="10">
        <f t="shared" ca="1" si="1"/>
        <v>1401</v>
      </c>
      <c r="H53" s="10">
        <f ca="1">VLOOKUP($B53,'[7]Analisys QBR By Machine Report'!$C$109:$BD$166,4,FALSE)</f>
        <v>1401</v>
      </c>
      <c r="I53" s="10">
        <f ca="1">VLOOKUP($B53,'[7]Analisys QBR By Machine Report'!$C$109:$BD$166,5,FALSE)</f>
        <v>121</v>
      </c>
      <c r="J53" s="10">
        <f ca="1">VLOOKUP($B53,'[7]Analisys QBR By Machine Report'!$C$109:$BD$166,6,FALSE)</f>
        <v>1280</v>
      </c>
      <c r="K53" s="10">
        <f ca="1">VLOOKUP($B53,'[7]Analisys QBR By Machine Report'!$C$109:$BD$166,7,FALSE)</f>
        <v>0</v>
      </c>
      <c r="L53" s="10">
        <f ca="1">VLOOKUP($B53,'[7]Analisys QBR By Machine Report'!$C$109:$BD$166,8,FALSE)</f>
        <v>12135</v>
      </c>
      <c r="M53" s="10">
        <f ca="1">VLOOKUP($B53,'[7]Analisys QBR By Machine Report'!$C$109:$BD$166,9,FALSE)</f>
        <v>5812</v>
      </c>
      <c r="N53" s="10">
        <f ca="1">VLOOKUP($B53,[7]Dasboard_QBR_Report!$B$109:$BL$166,18,FALSE)</f>
        <v>6323</v>
      </c>
      <c r="O53" s="10">
        <f ca="1">VLOOKUP($B53,'[7]Analisys QBR By Machine Report'!$C$109:$BD$166,10,FALSE)</f>
        <v>433</v>
      </c>
      <c r="P53" s="10">
        <f ca="1">VLOOKUP($B53,'[7]Analisys QBR By Machine Report'!$C$109:$BD$166,11,FALSE)</f>
        <v>330</v>
      </c>
      <c r="Q53" s="10">
        <f ca="1">VLOOKUP($B53,'[7]Analisys QBR By Machine Report'!$C$109:$BD$166,12,FALSE)</f>
        <v>0</v>
      </c>
      <c r="R53" s="10">
        <f ca="1">VLOOKUP($B53,'[7]Analisys QBR By Machine Report'!$C$109:$BD$166,13,FALSE)</f>
        <v>103</v>
      </c>
      <c r="S53" s="10">
        <f ca="1">VLOOKUP($B53,'[7]Analisys QBR By Machine Report'!$C$109:$BD$166,14,FALSE)</f>
        <v>0</v>
      </c>
      <c r="T53" s="10">
        <f ca="1">VLOOKUP($B53,'[7]Analisys QBR By Machine Report'!$C$109:$BD$166,15,FALSE)</f>
        <v>0</v>
      </c>
      <c r="U53" s="10">
        <f ca="1">VLOOKUP($B53,'[7]Analisys QBR By Machine Report'!$C$109:$BD$166,16,FALSE)</f>
        <v>0</v>
      </c>
      <c r="V53" s="10">
        <f ca="1">VLOOKUP($B53,'[7]Analisys QBR By Machine Report'!$C$109:$BD$166,17,FALSE)</f>
        <v>0</v>
      </c>
      <c r="W53" s="10">
        <f ca="1">VLOOKUP($B53,'[7]Analisys QBR By Machine Report'!$C$109:$BD$166,18,FALSE)</f>
        <v>0</v>
      </c>
      <c r="X53" s="10">
        <f ca="1">VLOOKUP($B53,'[7]Analisys QBR By Machine Report'!$C$109:$BD$166,19,FALSE)</f>
        <v>0</v>
      </c>
      <c r="Y53" s="10">
        <f ca="1">VLOOKUP($B53,'[7]Analisys QBR By Machine Report'!$C$109:$BD$166,20,FALSE)</f>
        <v>0</v>
      </c>
      <c r="Z53" s="10">
        <f ca="1">VLOOKUP($B53,'[7]Analisys QBR By Machine Report'!$C$109:$BD$166,21,FALSE)</f>
        <v>3904</v>
      </c>
      <c r="AA53" s="10">
        <f ca="1">VLOOKUP($B53,'[7]Analisys QBR By Machine Report'!$C$109:$BD$166,22,FALSE)</f>
        <v>3219</v>
      </c>
      <c r="AB53" s="10">
        <f ca="1">VLOOKUP($B53,'[7]Analisys QBR By Machine Report'!$C$109:$BD$166,23,FALSE)</f>
        <v>655</v>
      </c>
      <c r="AC53" s="10">
        <f ca="1">VLOOKUP($B53,'[7]Analisys QBR By Machine Report'!$C$109:$BD$166,24,FALSE)</f>
        <v>0</v>
      </c>
      <c r="AD53" s="10">
        <f ca="1">VLOOKUP($B53,'[7]Analisys QBR By Machine Report'!$C$109:$BD$166,25,FALSE)</f>
        <v>30</v>
      </c>
      <c r="AE53" s="10">
        <f ca="1">VLOOKUP($B53,'[7]Analisys QBR By Machine Report'!$C$109:$BD$166,26,FALSE)</f>
        <v>0</v>
      </c>
      <c r="AF53" s="10">
        <f ca="1">VLOOKUP($B53,'[7]Analisys QBR By Machine Report'!$C$109:$BD$166,27,FALSE)</f>
        <v>0</v>
      </c>
      <c r="AG53" s="10">
        <f ca="1">VLOOKUP($B53,'[7]Analisys QBR By Machine Report'!$C$109:$BD$166,28,FALSE)</f>
        <v>0</v>
      </c>
      <c r="AH53" s="10">
        <f ca="1">VLOOKUP($B53,'[7]Analisys QBR By Machine Report'!$C$109:$BD$166,29,FALSE)</f>
        <v>0</v>
      </c>
      <c r="AI53" s="10">
        <f ca="1">VLOOKUP($B53,'[7]Analisys QBR By Machine Report'!$C$109:$BD$166,30,FALSE)</f>
        <v>1986</v>
      </c>
      <c r="AJ53" s="10">
        <f ca="1">VLOOKUP($B53,'[7]Analisys QBR By Machine Report'!$C$109:$BD$166,31,FALSE)</f>
        <v>0</v>
      </c>
      <c r="AK53" s="10">
        <f ca="1">VLOOKUP($B53,'[7]Analisys QBR By Machine Report'!$C$109:$BD$166,32,FALSE)</f>
        <v>0</v>
      </c>
      <c r="AL53" s="10">
        <f ca="1">VLOOKUP($B53,'[7]Analisys QBR By Machine Report'!$C$109:$BD$166,33,FALSE)</f>
        <v>70</v>
      </c>
      <c r="AM53" s="10">
        <f ca="1">VLOOKUP($B53,'[7]Analisys QBR By Machine Report'!$C$109:$BD$166,34,FALSE)</f>
        <v>10</v>
      </c>
      <c r="AN53" s="10">
        <f ca="1">VLOOKUP($B53,'[7]Analisys QBR By Machine Report'!$C$109:$BD$166,35,FALSE)</f>
        <v>50</v>
      </c>
      <c r="AO53" s="10">
        <f ca="1">VLOOKUP($B53,'[7]Analisys QBR By Machine Report'!$C$109:$BD$166,36,FALSE)</f>
        <v>0</v>
      </c>
      <c r="AP53" s="10">
        <f ca="1">VLOOKUP($B53,'[7]Analisys QBR By Machine Report'!$C$109:$BD$166,37,FALSE)</f>
        <v>0</v>
      </c>
      <c r="AQ53" s="10">
        <f ca="1">VLOOKUP($B53,'[7]Analisys QBR By Machine Report'!$C$109:$BD$166,38,FALSE)</f>
        <v>110</v>
      </c>
      <c r="AR53" s="10">
        <f ca="1">VLOOKUP($B53,'[7]Analisys QBR By Machine Report'!$C$109:$BD$166,39,FALSE)</f>
        <v>1746</v>
      </c>
      <c r="AS53" s="10">
        <f ca="1">VLOOKUP($B53,'[7]Analisys QBR By Machine Report'!$C$109:$BD$166,40,FALSE)</f>
        <v>0</v>
      </c>
      <c r="AT53" s="10">
        <f ca="1">VLOOKUP($B53,'[7]Analisys QBR By Machine Report'!$C$109:$BD$166,41,FALSE)</f>
        <v>0</v>
      </c>
      <c r="AU53" s="10">
        <f ca="1">VLOOKUP($B53,'[7]Analisys QBR By Machine Report'!$C$109:$BD$166,42,FALSE)</f>
        <v>0</v>
      </c>
      <c r="AV53" s="10">
        <f ca="1">VLOOKUP($B53,'[7]Analisys QBR By Machine Report'!$C$109:$BD$166,43,FALSE)</f>
        <v>0</v>
      </c>
      <c r="AW53" s="10">
        <f ca="1">VLOOKUP($B53,'[7]Analisys QBR By Machine Report'!$C$109:$BD$166,44,FALSE)</f>
        <v>0</v>
      </c>
      <c r="AX53" s="10">
        <f ca="1">VLOOKUP($B53,'[7]Analisys QBR By Machine Report'!$C$109:$BD$166,45,FALSE)</f>
        <v>0</v>
      </c>
      <c r="AY53" s="10">
        <f ca="1">VLOOKUP($B53,'[7]Analisys QBR By Machine Report'!$C$109:$BD$166,46,FALSE)</f>
        <v>0</v>
      </c>
      <c r="AZ53" s="10">
        <f ca="1">VLOOKUP($B53,'[7]Analisys QBR By Machine Report'!$C$109:$BD$166,47,FALSE)</f>
        <v>0</v>
      </c>
      <c r="BA53" s="10">
        <f ca="1">VLOOKUP($B53,'[7]Analisys QBR By Machine Report'!$C$109:$BD$166,48,FALSE)</f>
        <v>0</v>
      </c>
      <c r="BB53" s="10">
        <f ca="1">VLOOKUP($B53,'[7]Analisys QBR By Machine Report'!$C$109:$BD$166,49,FALSE)</f>
        <v>0</v>
      </c>
      <c r="BC53" s="10">
        <f ca="1">VLOOKUP($B53,'[7]Analisys QBR By Machine Report'!$C$109:$BD$166,50,FALSE)</f>
        <v>0</v>
      </c>
      <c r="BD53" s="10">
        <f ca="1">VLOOKUP($B53,'[7]Analisys QBR By Machine Report'!$C$109:$BD$166,51,FALSE)</f>
        <v>637</v>
      </c>
      <c r="BE53" s="10">
        <f ca="1">VLOOKUP($B53,'[7]Analisys QBR By Machine Report'!$C$109:$BD$166,52,FALSE)</f>
        <v>0</v>
      </c>
      <c r="BF53" s="10">
        <f ca="1">VLOOKUP($B53,'[7]Analisys QBR By Machine Report'!$C$109:$BD$166,53,FALSE)</f>
        <v>637</v>
      </c>
    </row>
    <row r="54" spans="1:58" x14ac:dyDescent="0.25">
      <c r="A54" s="12" t="s">
        <v>110</v>
      </c>
      <c r="B54" s="13">
        <f ca="1">VLOOKUP($B54,'[7]Analisys QBR By Machine Report'!$C$109:$BD$166,2,FALSE)</f>
        <v>33120</v>
      </c>
      <c r="C54" s="14">
        <f ca="1">VLOOKUP($B54,[7]Dasboard_QBR_Report!$B$109:$BL$166,3,FALSE)</f>
        <v>21390</v>
      </c>
      <c r="D54" s="13">
        <f ca="1">VLOOKUP($B54,'[7]Analisys QBR By Machine Report'!$C$109:$BD$166,3,FALSE)</f>
        <v>26124</v>
      </c>
      <c r="E54" s="14">
        <f ca="1">VLOOKUP($B54,[7]Dasboard_QBR_Report!$B$109:$BL$166,5,FALSE)</f>
        <v>14394</v>
      </c>
      <c r="F54" s="13">
        <f t="shared" ca="1" si="0"/>
        <v>6996</v>
      </c>
      <c r="G54" s="13">
        <f t="shared" ca="1" si="1"/>
        <v>361</v>
      </c>
      <c r="H54" s="13">
        <f ca="1">VLOOKUP($B54,'[7]Analisys QBR By Machine Report'!$C$109:$BD$166,4,FALSE)</f>
        <v>361</v>
      </c>
      <c r="I54" s="13">
        <f ca="1">VLOOKUP($B54,'[7]Analisys QBR By Machine Report'!$C$109:$BD$166,5,FALSE)</f>
        <v>61</v>
      </c>
      <c r="J54" s="13">
        <f ca="1">VLOOKUP($B54,'[7]Analisys QBR By Machine Report'!$C$109:$BD$166,6,FALSE)</f>
        <v>300</v>
      </c>
      <c r="K54" s="13">
        <f ca="1">VLOOKUP($B54,'[7]Analisys QBR By Machine Report'!$C$109:$BD$166,7,FALSE)</f>
        <v>0</v>
      </c>
      <c r="L54" s="13">
        <f ca="1">VLOOKUP($B54,'[7]Analisys QBR By Machine Report'!$C$109:$BD$166,8,FALSE)</f>
        <v>6635</v>
      </c>
      <c r="M54" s="13">
        <f ca="1">VLOOKUP($B54,'[7]Analisys QBR By Machine Report'!$C$109:$BD$166,9,FALSE)</f>
        <v>3070</v>
      </c>
      <c r="N54" s="13">
        <f ca="1">VLOOKUP($B54,[7]Dasboard_QBR_Report!$B$109:$BL$166,18,FALSE)</f>
        <v>3565</v>
      </c>
      <c r="O54" s="13">
        <f ca="1">VLOOKUP($B54,'[7]Analisys QBR By Machine Report'!$C$109:$BD$166,10,FALSE)</f>
        <v>194</v>
      </c>
      <c r="P54" s="13">
        <f ca="1">VLOOKUP($B54,'[7]Analisys QBR By Machine Report'!$C$109:$BD$166,11,FALSE)</f>
        <v>161</v>
      </c>
      <c r="Q54" s="13">
        <f ca="1">VLOOKUP($B54,'[7]Analisys QBR By Machine Report'!$C$109:$BD$166,12,FALSE)</f>
        <v>0</v>
      </c>
      <c r="R54" s="13">
        <f ca="1">VLOOKUP($B54,'[7]Analisys QBR By Machine Report'!$C$109:$BD$166,13,FALSE)</f>
        <v>33</v>
      </c>
      <c r="S54" s="13">
        <f ca="1">VLOOKUP($B54,'[7]Analisys QBR By Machine Report'!$C$109:$BD$166,14,FALSE)</f>
        <v>0</v>
      </c>
      <c r="T54" s="13">
        <f ca="1">VLOOKUP($B54,'[7]Analisys QBR By Machine Report'!$C$109:$BD$166,15,FALSE)</f>
        <v>0</v>
      </c>
      <c r="U54" s="13">
        <f ca="1">VLOOKUP($B54,'[7]Analisys QBR By Machine Report'!$C$109:$BD$166,16,FALSE)</f>
        <v>0</v>
      </c>
      <c r="V54" s="13">
        <f ca="1">VLOOKUP($B54,'[7]Analisys QBR By Machine Report'!$C$109:$BD$166,17,FALSE)</f>
        <v>0</v>
      </c>
      <c r="W54" s="13">
        <f ca="1">VLOOKUP($B54,'[7]Analisys QBR By Machine Report'!$C$109:$BD$166,18,FALSE)</f>
        <v>0</v>
      </c>
      <c r="X54" s="13">
        <f ca="1">VLOOKUP($B54,'[7]Analisys QBR By Machine Report'!$C$109:$BD$166,19,FALSE)</f>
        <v>0</v>
      </c>
      <c r="Y54" s="13">
        <f ca="1">VLOOKUP($B54,'[7]Analisys QBR By Machine Report'!$C$109:$BD$166,20,FALSE)</f>
        <v>0</v>
      </c>
      <c r="Z54" s="13">
        <f ca="1">VLOOKUP($B54,'[7]Analisys QBR By Machine Report'!$C$109:$BD$166,21,FALSE)</f>
        <v>2757</v>
      </c>
      <c r="AA54" s="13">
        <f ca="1">VLOOKUP($B54,'[7]Analisys QBR By Machine Report'!$C$109:$BD$166,22,FALSE)</f>
        <v>2367</v>
      </c>
      <c r="AB54" s="13">
        <f ca="1">VLOOKUP($B54,'[7]Analisys QBR By Machine Report'!$C$109:$BD$166,23,FALSE)</f>
        <v>360</v>
      </c>
      <c r="AC54" s="13">
        <f ca="1">VLOOKUP($B54,'[7]Analisys QBR By Machine Report'!$C$109:$BD$166,24,FALSE)</f>
        <v>0</v>
      </c>
      <c r="AD54" s="13">
        <f ca="1">VLOOKUP($B54,'[7]Analisys QBR By Machine Report'!$C$109:$BD$166,25,FALSE)</f>
        <v>30</v>
      </c>
      <c r="AE54" s="13">
        <f ca="1">VLOOKUP($B54,'[7]Analisys QBR By Machine Report'!$C$109:$BD$166,26,FALSE)</f>
        <v>0</v>
      </c>
      <c r="AF54" s="13">
        <f ca="1">VLOOKUP($B54,'[7]Analisys QBR By Machine Report'!$C$109:$BD$166,27,FALSE)</f>
        <v>0</v>
      </c>
      <c r="AG54" s="13">
        <f ca="1">VLOOKUP($B54,'[7]Analisys QBR By Machine Report'!$C$109:$BD$166,28,FALSE)</f>
        <v>0</v>
      </c>
      <c r="AH54" s="13">
        <f ca="1">VLOOKUP($B54,'[7]Analisys QBR By Machine Report'!$C$109:$BD$166,29,FALSE)</f>
        <v>0</v>
      </c>
      <c r="AI54" s="13">
        <f ca="1">VLOOKUP($B54,'[7]Analisys QBR By Machine Report'!$C$109:$BD$166,30,FALSE)</f>
        <v>614</v>
      </c>
      <c r="AJ54" s="13">
        <f ca="1">VLOOKUP($B54,'[7]Analisys QBR By Machine Report'!$C$109:$BD$166,31,FALSE)</f>
        <v>0</v>
      </c>
      <c r="AK54" s="13">
        <f ca="1">VLOOKUP($B54,'[7]Analisys QBR By Machine Report'!$C$109:$BD$166,32,FALSE)</f>
        <v>0</v>
      </c>
      <c r="AL54" s="13">
        <f ca="1">VLOOKUP($B54,'[7]Analisys QBR By Machine Report'!$C$109:$BD$166,33,FALSE)</f>
        <v>70</v>
      </c>
      <c r="AM54" s="13">
        <f ca="1">VLOOKUP($B54,'[7]Analisys QBR By Machine Report'!$C$109:$BD$166,34,FALSE)</f>
        <v>10</v>
      </c>
      <c r="AN54" s="13">
        <f ca="1">VLOOKUP($B54,'[7]Analisys QBR By Machine Report'!$C$109:$BD$166,35,FALSE)</f>
        <v>50</v>
      </c>
      <c r="AO54" s="13">
        <f ca="1">VLOOKUP($B54,'[7]Analisys QBR By Machine Report'!$C$109:$BD$166,36,FALSE)</f>
        <v>0</v>
      </c>
      <c r="AP54" s="13">
        <f ca="1">VLOOKUP($B54,'[7]Analisys QBR By Machine Report'!$C$109:$BD$166,37,FALSE)</f>
        <v>0</v>
      </c>
      <c r="AQ54" s="13">
        <f ca="1">VLOOKUP($B54,'[7]Analisys QBR By Machine Report'!$C$109:$BD$166,38,FALSE)</f>
        <v>70</v>
      </c>
      <c r="AR54" s="13">
        <f ca="1">VLOOKUP($B54,'[7]Analisys QBR By Machine Report'!$C$109:$BD$166,39,FALSE)</f>
        <v>414</v>
      </c>
      <c r="AS54" s="13">
        <f ca="1">VLOOKUP($B54,'[7]Analisys QBR By Machine Report'!$C$109:$BD$166,40,FALSE)</f>
        <v>0</v>
      </c>
      <c r="AT54" s="13">
        <f ca="1">VLOOKUP($B54,'[7]Analisys QBR By Machine Report'!$C$109:$BD$166,41,FALSE)</f>
        <v>0</v>
      </c>
      <c r="AU54" s="13">
        <f ca="1">VLOOKUP($B54,'[7]Analisys QBR By Machine Report'!$C$109:$BD$166,42,FALSE)</f>
        <v>0</v>
      </c>
      <c r="AV54" s="13">
        <f ca="1">VLOOKUP($B54,'[7]Analisys QBR By Machine Report'!$C$109:$BD$166,43,FALSE)</f>
        <v>0</v>
      </c>
      <c r="AW54" s="13">
        <f ca="1">VLOOKUP($B54,'[7]Analisys QBR By Machine Report'!$C$109:$BD$166,44,FALSE)</f>
        <v>0</v>
      </c>
      <c r="AX54" s="13">
        <f ca="1">VLOOKUP($B54,'[7]Analisys QBR By Machine Report'!$C$109:$BD$166,45,FALSE)</f>
        <v>0</v>
      </c>
      <c r="AY54" s="13">
        <f ca="1">VLOOKUP($B54,'[7]Analisys QBR By Machine Report'!$C$109:$BD$166,46,FALSE)</f>
        <v>0</v>
      </c>
      <c r="AZ54" s="13">
        <f ca="1">VLOOKUP($B54,'[7]Analisys QBR By Machine Report'!$C$109:$BD$166,47,FALSE)</f>
        <v>0</v>
      </c>
      <c r="BA54" s="13">
        <f ca="1">VLOOKUP($B54,'[7]Analisys QBR By Machine Report'!$C$109:$BD$166,48,FALSE)</f>
        <v>0</v>
      </c>
      <c r="BB54" s="13">
        <f ca="1">VLOOKUP($B54,'[7]Analisys QBR By Machine Report'!$C$109:$BD$166,49,FALSE)</f>
        <v>0</v>
      </c>
      <c r="BC54" s="13">
        <f ca="1">VLOOKUP($B54,'[7]Analisys QBR By Machine Report'!$C$109:$BD$166,50,FALSE)</f>
        <v>0</v>
      </c>
      <c r="BD54" s="13">
        <f ca="1">VLOOKUP($B54,'[7]Analisys QBR By Machine Report'!$C$109:$BD$166,51,FALSE)</f>
        <v>413</v>
      </c>
      <c r="BE54" s="13">
        <f ca="1">VLOOKUP($B54,'[7]Analisys QBR By Machine Report'!$C$109:$BD$166,52,FALSE)</f>
        <v>0</v>
      </c>
      <c r="BF54" s="13">
        <f ca="1">VLOOKUP($B54,'[7]Analisys QBR By Machine Report'!$C$109:$BD$166,53,FALSE)</f>
        <v>413</v>
      </c>
    </row>
    <row r="55" spans="1:58" x14ac:dyDescent="0.25">
      <c r="A55" s="12" t="s">
        <v>111</v>
      </c>
      <c r="B55" s="13">
        <f ca="1">VLOOKUP($B55,'[7]Analisys QBR By Machine Report'!$C$109:$BD$166,2,FALSE)</f>
        <v>33120</v>
      </c>
      <c r="C55" s="14">
        <f ca="1">VLOOKUP($B55,[7]Dasboard_QBR_Report!$B$109:$BL$166,3,FALSE)</f>
        <v>21390</v>
      </c>
      <c r="D55" s="13">
        <f ca="1">VLOOKUP($B55,'[7]Analisys QBR By Machine Report'!$C$109:$BD$166,3,FALSE)</f>
        <v>26580</v>
      </c>
      <c r="E55" s="14">
        <f ca="1">VLOOKUP($B55,[7]Dasboard_QBR_Report!$B$109:$BL$166,5,FALSE)</f>
        <v>14850</v>
      </c>
      <c r="F55" s="13">
        <f t="shared" ca="1" si="0"/>
        <v>6540</v>
      </c>
      <c r="G55" s="13">
        <f t="shared" ca="1" si="1"/>
        <v>1040</v>
      </c>
      <c r="H55" s="13">
        <f ca="1">VLOOKUP($B55,'[7]Analisys QBR By Machine Report'!$C$109:$BD$166,4,FALSE)</f>
        <v>1040</v>
      </c>
      <c r="I55" s="13">
        <f ca="1">VLOOKUP($B55,'[7]Analisys QBR By Machine Report'!$C$109:$BD$166,5,FALSE)</f>
        <v>60</v>
      </c>
      <c r="J55" s="13">
        <f ca="1">VLOOKUP($B55,'[7]Analisys QBR By Machine Report'!$C$109:$BD$166,6,FALSE)</f>
        <v>980</v>
      </c>
      <c r="K55" s="13">
        <f ca="1">VLOOKUP($B55,'[7]Analisys QBR By Machine Report'!$C$109:$BD$166,7,FALSE)</f>
        <v>0</v>
      </c>
      <c r="L55" s="13">
        <f ca="1">VLOOKUP($B55,'[7]Analisys QBR By Machine Report'!$C$109:$BD$166,8,FALSE)</f>
        <v>5500</v>
      </c>
      <c r="M55" s="13">
        <f ca="1">VLOOKUP($B55,'[7]Analisys QBR By Machine Report'!$C$109:$BD$166,9,FALSE)</f>
        <v>2742</v>
      </c>
      <c r="N55" s="13">
        <f ca="1">VLOOKUP($B55,[7]Dasboard_QBR_Report!$B$109:$BL$166,18,FALSE)</f>
        <v>2758</v>
      </c>
      <c r="O55" s="13">
        <f ca="1">VLOOKUP($B55,'[7]Analisys QBR By Machine Report'!$C$109:$BD$166,10,FALSE)</f>
        <v>239</v>
      </c>
      <c r="P55" s="13">
        <f ca="1">VLOOKUP($B55,'[7]Analisys QBR By Machine Report'!$C$109:$BD$166,11,FALSE)</f>
        <v>169</v>
      </c>
      <c r="Q55" s="13">
        <f ca="1">VLOOKUP($B55,'[7]Analisys QBR By Machine Report'!$C$109:$BD$166,12,FALSE)</f>
        <v>0</v>
      </c>
      <c r="R55" s="13">
        <f ca="1">VLOOKUP($B55,'[7]Analisys QBR By Machine Report'!$C$109:$BD$166,13,FALSE)</f>
        <v>70</v>
      </c>
      <c r="S55" s="13">
        <f ca="1">VLOOKUP($B55,'[7]Analisys QBR By Machine Report'!$C$109:$BD$166,14,FALSE)</f>
        <v>0</v>
      </c>
      <c r="T55" s="13">
        <f ca="1">VLOOKUP($B55,'[7]Analisys QBR By Machine Report'!$C$109:$BD$166,15,FALSE)</f>
        <v>0</v>
      </c>
      <c r="U55" s="13">
        <f ca="1">VLOOKUP($B55,'[7]Analisys QBR By Machine Report'!$C$109:$BD$166,16,FALSE)</f>
        <v>0</v>
      </c>
      <c r="V55" s="13">
        <f ca="1">VLOOKUP($B55,'[7]Analisys QBR By Machine Report'!$C$109:$BD$166,17,FALSE)</f>
        <v>0</v>
      </c>
      <c r="W55" s="13">
        <f ca="1">VLOOKUP($B55,'[7]Analisys QBR By Machine Report'!$C$109:$BD$166,18,FALSE)</f>
        <v>0</v>
      </c>
      <c r="X55" s="13">
        <f ca="1">VLOOKUP($B55,'[7]Analisys QBR By Machine Report'!$C$109:$BD$166,19,FALSE)</f>
        <v>0</v>
      </c>
      <c r="Y55" s="13">
        <f ca="1">VLOOKUP($B55,'[7]Analisys QBR By Machine Report'!$C$109:$BD$166,20,FALSE)</f>
        <v>0</v>
      </c>
      <c r="Z55" s="13">
        <f ca="1">VLOOKUP($B55,'[7]Analisys QBR By Machine Report'!$C$109:$BD$166,21,FALSE)</f>
        <v>1147</v>
      </c>
      <c r="AA55" s="13">
        <f ca="1">VLOOKUP($B55,'[7]Analisys QBR By Machine Report'!$C$109:$BD$166,22,FALSE)</f>
        <v>852</v>
      </c>
      <c r="AB55" s="13">
        <f ca="1">VLOOKUP($B55,'[7]Analisys QBR By Machine Report'!$C$109:$BD$166,23,FALSE)</f>
        <v>295</v>
      </c>
      <c r="AC55" s="13">
        <f ca="1">VLOOKUP($B55,'[7]Analisys QBR By Machine Report'!$C$109:$BD$166,24,FALSE)</f>
        <v>0</v>
      </c>
      <c r="AD55" s="13">
        <f ca="1">VLOOKUP($B55,'[7]Analisys QBR By Machine Report'!$C$109:$BD$166,25,FALSE)</f>
        <v>0</v>
      </c>
      <c r="AE55" s="13">
        <f ca="1">VLOOKUP($B55,'[7]Analisys QBR By Machine Report'!$C$109:$BD$166,26,FALSE)</f>
        <v>0</v>
      </c>
      <c r="AF55" s="13">
        <f ca="1">VLOOKUP($B55,'[7]Analisys QBR By Machine Report'!$C$109:$BD$166,27,FALSE)</f>
        <v>0</v>
      </c>
      <c r="AG55" s="13">
        <f ca="1">VLOOKUP($B55,'[7]Analisys QBR By Machine Report'!$C$109:$BD$166,28,FALSE)</f>
        <v>0</v>
      </c>
      <c r="AH55" s="13">
        <f ca="1">VLOOKUP($B55,'[7]Analisys QBR By Machine Report'!$C$109:$BD$166,29,FALSE)</f>
        <v>0</v>
      </c>
      <c r="AI55" s="13">
        <f ca="1">VLOOKUP($B55,'[7]Analisys QBR By Machine Report'!$C$109:$BD$166,30,FALSE)</f>
        <v>1372</v>
      </c>
      <c r="AJ55" s="13">
        <f ca="1">VLOOKUP($B55,'[7]Analisys QBR By Machine Report'!$C$109:$BD$166,31,FALSE)</f>
        <v>0</v>
      </c>
      <c r="AK55" s="13">
        <f ca="1">VLOOKUP($B55,'[7]Analisys QBR By Machine Report'!$C$109:$BD$166,32,FALSE)</f>
        <v>0</v>
      </c>
      <c r="AL55" s="13">
        <f ca="1">VLOOKUP($B55,'[7]Analisys QBR By Machine Report'!$C$109:$BD$166,33,FALSE)</f>
        <v>0</v>
      </c>
      <c r="AM55" s="13">
        <f ca="1">VLOOKUP($B55,'[7]Analisys QBR By Machine Report'!$C$109:$BD$166,34,FALSE)</f>
        <v>0</v>
      </c>
      <c r="AN55" s="13">
        <f ca="1">VLOOKUP($B55,'[7]Analisys QBR By Machine Report'!$C$109:$BD$166,35,FALSE)</f>
        <v>0</v>
      </c>
      <c r="AO55" s="13">
        <f ca="1">VLOOKUP($B55,'[7]Analisys QBR By Machine Report'!$C$109:$BD$166,36,FALSE)</f>
        <v>0</v>
      </c>
      <c r="AP55" s="13">
        <f ca="1">VLOOKUP($B55,'[7]Analisys QBR By Machine Report'!$C$109:$BD$166,37,FALSE)</f>
        <v>0</v>
      </c>
      <c r="AQ55" s="13">
        <f ca="1">VLOOKUP($B55,'[7]Analisys QBR By Machine Report'!$C$109:$BD$166,38,FALSE)</f>
        <v>40</v>
      </c>
      <c r="AR55" s="13">
        <f ca="1">VLOOKUP($B55,'[7]Analisys QBR By Machine Report'!$C$109:$BD$166,39,FALSE)</f>
        <v>1332</v>
      </c>
      <c r="AS55" s="13">
        <f ca="1">VLOOKUP($B55,'[7]Analisys QBR By Machine Report'!$C$109:$BD$166,40,FALSE)</f>
        <v>0</v>
      </c>
      <c r="AT55" s="13">
        <f ca="1">VLOOKUP($B55,'[7]Analisys QBR By Machine Report'!$C$109:$BD$166,41,FALSE)</f>
        <v>0</v>
      </c>
      <c r="AU55" s="13">
        <f ca="1">VLOOKUP($B55,'[7]Analisys QBR By Machine Report'!$C$109:$BD$166,42,FALSE)</f>
        <v>0</v>
      </c>
      <c r="AV55" s="13">
        <f ca="1">VLOOKUP($B55,'[7]Analisys QBR By Machine Report'!$C$109:$BD$166,43,FALSE)</f>
        <v>0</v>
      </c>
      <c r="AW55" s="13">
        <f ca="1">VLOOKUP($B55,'[7]Analisys QBR By Machine Report'!$C$109:$BD$166,44,FALSE)</f>
        <v>0</v>
      </c>
      <c r="AX55" s="13">
        <f ca="1">VLOOKUP($B55,'[7]Analisys QBR By Machine Report'!$C$109:$BD$166,45,FALSE)</f>
        <v>0</v>
      </c>
      <c r="AY55" s="13">
        <f ca="1">VLOOKUP($B55,'[7]Analisys QBR By Machine Report'!$C$109:$BD$166,46,FALSE)</f>
        <v>0</v>
      </c>
      <c r="AZ55" s="13">
        <f ca="1">VLOOKUP($B55,'[7]Analisys QBR By Machine Report'!$C$109:$BD$166,47,FALSE)</f>
        <v>0</v>
      </c>
      <c r="BA55" s="13">
        <f ca="1">VLOOKUP($B55,'[7]Analisys QBR By Machine Report'!$C$109:$BD$166,48,FALSE)</f>
        <v>0</v>
      </c>
      <c r="BB55" s="13">
        <f ca="1">VLOOKUP($B55,'[7]Analisys QBR By Machine Report'!$C$109:$BD$166,49,FALSE)</f>
        <v>0</v>
      </c>
      <c r="BC55" s="13">
        <f ca="1">VLOOKUP($B55,'[7]Analisys QBR By Machine Report'!$C$109:$BD$166,50,FALSE)</f>
        <v>0</v>
      </c>
      <c r="BD55" s="13">
        <f ca="1">VLOOKUP($B55,'[7]Analisys QBR By Machine Report'!$C$109:$BD$166,51,FALSE)</f>
        <v>224</v>
      </c>
      <c r="BE55" s="13">
        <f ca="1">VLOOKUP($B55,'[7]Analisys QBR By Machine Report'!$C$109:$BD$166,52,FALSE)</f>
        <v>0</v>
      </c>
      <c r="BF55" s="13">
        <f ca="1">VLOOKUP($B55,'[7]Analisys QBR By Machine Report'!$C$109:$BD$166,53,FALSE)</f>
        <v>224</v>
      </c>
    </row>
    <row r="56" spans="1:58" x14ac:dyDescent="0.25">
      <c r="A56" s="9" t="s">
        <v>112</v>
      </c>
      <c r="B56" s="10">
        <f ca="1">VLOOKUP($B56,'[7]Analisys QBR By Machine Report'!$C$109:$BD$166,2,FALSE)</f>
        <v>66240</v>
      </c>
      <c r="C56" s="11">
        <f ca="1">VLOOKUP($B56,[7]Dasboard_QBR_Report!$B$109:$BL$166,3,FALSE)</f>
        <v>22080</v>
      </c>
      <c r="D56" s="10">
        <f ca="1">VLOOKUP($B56,'[7]Analisys QBR By Machine Report'!$C$109:$BD$166,3,FALSE)</f>
        <v>41850</v>
      </c>
      <c r="E56" s="11">
        <f ca="1">VLOOKUP($B56,[7]Dasboard_QBR_Report!$B$109:$BL$166,5,FALSE)</f>
        <v>-2310</v>
      </c>
      <c r="F56" s="10">
        <f t="shared" ca="1" si="0"/>
        <v>24390</v>
      </c>
      <c r="G56" s="10">
        <f t="shared" ca="1" si="1"/>
        <v>1515</v>
      </c>
      <c r="H56" s="10">
        <f ca="1">VLOOKUP($B56,'[7]Analisys QBR By Machine Report'!$C$109:$BD$166,4,FALSE)</f>
        <v>1515</v>
      </c>
      <c r="I56" s="10">
        <f ca="1">VLOOKUP($B56,'[7]Analisys QBR By Machine Report'!$C$109:$BD$166,5,FALSE)</f>
        <v>600</v>
      </c>
      <c r="J56" s="10">
        <f ca="1">VLOOKUP($B56,'[7]Analisys QBR By Machine Report'!$C$109:$BD$166,6,FALSE)</f>
        <v>915</v>
      </c>
      <c r="K56" s="10">
        <f ca="1">VLOOKUP($B56,'[7]Analisys QBR By Machine Report'!$C$109:$BD$166,7,FALSE)</f>
        <v>0</v>
      </c>
      <c r="L56" s="10">
        <f ca="1">VLOOKUP($B56,'[7]Analisys QBR By Machine Report'!$C$109:$BD$166,8,FALSE)</f>
        <v>22875</v>
      </c>
      <c r="M56" s="10">
        <f ca="1">VLOOKUP($B56,'[7]Analisys QBR By Machine Report'!$C$109:$BD$166,9,FALSE)</f>
        <v>8650</v>
      </c>
      <c r="N56" s="10">
        <f ca="1">VLOOKUP($B56,[7]Dasboard_QBR_Report!$B$109:$BL$166,18,FALSE)</f>
        <v>14225</v>
      </c>
      <c r="O56" s="10">
        <f ca="1">VLOOKUP($B56,'[7]Analisys QBR By Machine Report'!$C$109:$BD$166,10,FALSE)</f>
        <v>5741</v>
      </c>
      <c r="P56" s="10">
        <f ca="1">VLOOKUP($B56,'[7]Analisys QBR By Machine Report'!$C$109:$BD$166,11,FALSE)</f>
        <v>3111</v>
      </c>
      <c r="Q56" s="10">
        <f ca="1">VLOOKUP($B56,'[7]Analisys QBR By Machine Report'!$C$109:$BD$166,12,FALSE)</f>
        <v>225</v>
      </c>
      <c r="R56" s="10">
        <f ca="1">VLOOKUP($B56,'[7]Analisys QBR By Machine Report'!$C$109:$BD$166,13,FALSE)</f>
        <v>715</v>
      </c>
      <c r="S56" s="10">
        <f ca="1">VLOOKUP($B56,'[7]Analisys QBR By Machine Report'!$C$109:$BD$166,14,FALSE)</f>
        <v>1690</v>
      </c>
      <c r="T56" s="10">
        <f ca="1">VLOOKUP($B56,'[7]Analisys QBR By Machine Report'!$C$109:$BD$166,15,FALSE)</f>
        <v>100</v>
      </c>
      <c r="U56" s="10">
        <f ca="1">VLOOKUP($B56,'[7]Analisys QBR By Machine Report'!$C$109:$BD$166,16,FALSE)</f>
        <v>100</v>
      </c>
      <c r="V56" s="10">
        <f ca="1">VLOOKUP($B56,'[7]Analisys QBR By Machine Report'!$C$109:$BD$166,17,FALSE)</f>
        <v>0</v>
      </c>
      <c r="W56" s="10">
        <f ca="1">VLOOKUP($B56,'[7]Analisys QBR By Machine Report'!$C$109:$BD$166,18,FALSE)</f>
        <v>0</v>
      </c>
      <c r="X56" s="10">
        <f ca="1">VLOOKUP($B56,'[7]Analisys QBR By Machine Report'!$C$109:$BD$166,19,FALSE)</f>
        <v>0</v>
      </c>
      <c r="Y56" s="10">
        <f ca="1">VLOOKUP($B56,'[7]Analisys QBR By Machine Report'!$C$109:$BD$166,20,FALSE)</f>
        <v>0</v>
      </c>
      <c r="Z56" s="10">
        <f ca="1">VLOOKUP($B56,'[7]Analisys QBR By Machine Report'!$C$109:$BD$166,21,FALSE)</f>
        <v>4055</v>
      </c>
      <c r="AA56" s="10">
        <f ca="1">VLOOKUP($B56,'[7]Analisys QBR By Machine Report'!$C$109:$BD$166,22,FALSE)</f>
        <v>2475</v>
      </c>
      <c r="AB56" s="10">
        <f ca="1">VLOOKUP($B56,'[7]Analisys QBR By Machine Report'!$C$109:$BD$166,23,FALSE)</f>
        <v>800</v>
      </c>
      <c r="AC56" s="10">
        <f ca="1">VLOOKUP($B56,'[7]Analisys QBR By Machine Report'!$C$109:$BD$166,24,FALSE)</f>
        <v>505</v>
      </c>
      <c r="AD56" s="10">
        <f ca="1">VLOOKUP($B56,'[7]Analisys QBR By Machine Report'!$C$109:$BD$166,25,FALSE)</f>
        <v>0</v>
      </c>
      <c r="AE56" s="10">
        <f ca="1">VLOOKUP($B56,'[7]Analisys QBR By Machine Report'!$C$109:$BD$166,26,FALSE)</f>
        <v>275</v>
      </c>
      <c r="AF56" s="10">
        <f ca="1">VLOOKUP($B56,'[7]Analisys QBR By Machine Report'!$C$109:$BD$166,27,FALSE)</f>
        <v>0</v>
      </c>
      <c r="AG56" s="10">
        <f ca="1">VLOOKUP($B56,'[7]Analisys QBR By Machine Report'!$C$109:$BD$166,28,FALSE)</f>
        <v>0</v>
      </c>
      <c r="AH56" s="10">
        <f ca="1">VLOOKUP($B56,'[7]Analisys QBR By Machine Report'!$C$109:$BD$166,29,FALSE)</f>
        <v>0</v>
      </c>
      <c r="AI56" s="10">
        <f ca="1">VLOOKUP($B56,'[7]Analisys QBR By Machine Report'!$C$109:$BD$166,30,FALSE)</f>
        <v>4329</v>
      </c>
      <c r="AJ56" s="10">
        <f ca="1">VLOOKUP($B56,'[7]Analisys QBR By Machine Report'!$C$109:$BD$166,31,FALSE)</f>
        <v>120</v>
      </c>
      <c r="AK56" s="10">
        <f ca="1">VLOOKUP($B56,'[7]Analisys QBR By Machine Report'!$C$109:$BD$166,32,FALSE)</f>
        <v>0</v>
      </c>
      <c r="AL56" s="10">
        <f ca="1">VLOOKUP($B56,'[7]Analisys QBR By Machine Report'!$C$109:$BD$166,33,FALSE)</f>
        <v>1410</v>
      </c>
      <c r="AM56" s="10">
        <f ca="1">VLOOKUP($B56,'[7]Analisys QBR By Machine Report'!$C$109:$BD$166,34,FALSE)</f>
        <v>0</v>
      </c>
      <c r="AN56" s="10">
        <f ca="1">VLOOKUP($B56,'[7]Analisys QBR By Machine Report'!$C$109:$BD$166,35,FALSE)</f>
        <v>950</v>
      </c>
      <c r="AO56" s="10">
        <f ca="1">VLOOKUP($B56,'[7]Analisys QBR By Machine Report'!$C$109:$BD$166,36,FALSE)</f>
        <v>385</v>
      </c>
      <c r="AP56" s="10">
        <f ca="1">VLOOKUP($B56,'[7]Analisys QBR By Machine Report'!$C$109:$BD$166,37,FALSE)</f>
        <v>235</v>
      </c>
      <c r="AQ56" s="10">
        <f ca="1">VLOOKUP($B56,'[7]Analisys QBR By Machine Report'!$C$109:$BD$166,38,FALSE)</f>
        <v>0</v>
      </c>
      <c r="AR56" s="10">
        <f ca="1">VLOOKUP($B56,'[7]Analisys QBR By Machine Report'!$C$109:$BD$166,39,FALSE)</f>
        <v>60</v>
      </c>
      <c r="AS56" s="10">
        <f ca="1">VLOOKUP($B56,'[7]Analisys QBR By Machine Report'!$C$109:$BD$166,40,FALSE)</f>
        <v>490</v>
      </c>
      <c r="AT56" s="10">
        <f ca="1">VLOOKUP($B56,'[7]Analisys QBR By Machine Report'!$C$109:$BD$166,41,FALSE)</f>
        <v>0</v>
      </c>
      <c r="AU56" s="10">
        <f ca="1">VLOOKUP($B56,'[7]Analisys QBR By Machine Report'!$C$109:$BD$166,42,FALSE)</f>
        <v>0</v>
      </c>
      <c r="AV56" s="10">
        <f ca="1">VLOOKUP($B56,'[7]Analisys QBR By Machine Report'!$C$109:$BD$166,43,FALSE)</f>
        <v>0</v>
      </c>
      <c r="AW56" s="10">
        <f ca="1">VLOOKUP($B56,'[7]Analisys QBR By Machine Report'!$C$109:$BD$166,44,FALSE)</f>
        <v>0</v>
      </c>
      <c r="AX56" s="10">
        <f ca="1">VLOOKUP($B56,'[7]Analisys QBR By Machine Report'!$C$109:$BD$166,45,FALSE)</f>
        <v>0</v>
      </c>
      <c r="AY56" s="10">
        <f ca="1">VLOOKUP($B56,'[7]Analisys QBR By Machine Report'!$C$109:$BD$166,46,FALSE)</f>
        <v>0</v>
      </c>
      <c r="AZ56" s="10">
        <f ca="1">VLOOKUP($B56,'[7]Analisys QBR By Machine Report'!$C$109:$BD$166,47,FALSE)</f>
        <v>679</v>
      </c>
      <c r="BA56" s="10">
        <f ca="1">VLOOKUP($B56,'[7]Analisys QBR By Machine Report'!$C$109:$BD$166,48,FALSE)</f>
        <v>0</v>
      </c>
      <c r="BB56" s="10">
        <f ca="1">VLOOKUP($B56,'[7]Analisys QBR By Machine Report'!$C$109:$BD$166,49,FALSE)</f>
        <v>0</v>
      </c>
      <c r="BC56" s="10">
        <f ca="1">VLOOKUP($B56,'[7]Analisys QBR By Machine Report'!$C$109:$BD$166,50,FALSE)</f>
        <v>0</v>
      </c>
      <c r="BD56" s="10">
        <f ca="1">VLOOKUP($B56,'[7]Analisys QBR By Machine Report'!$C$109:$BD$166,51,FALSE)</f>
        <v>1180717</v>
      </c>
      <c r="BE56" s="10">
        <f ca="1">VLOOKUP($B56,'[7]Analisys QBR By Machine Report'!$C$109:$BD$166,52,FALSE)</f>
        <v>478</v>
      </c>
      <c r="BF56" s="10">
        <f ca="1">VLOOKUP($B56,'[7]Analisys QBR By Machine Report'!$C$109:$BD$166,53,FALSE)</f>
        <v>1180239</v>
      </c>
    </row>
    <row r="57" spans="1:58" x14ac:dyDescent="0.25">
      <c r="A57" s="15" t="s">
        <v>113</v>
      </c>
      <c r="B57" s="13">
        <f ca="1">VLOOKUP($B57,'[7]Analisys QBR By Machine Report'!$C$109:$BD$166,2,FALSE)</f>
        <v>33120</v>
      </c>
      <c r="C57" s="14">
        <f ca="1">VLOOKUP($B57,[7]Dasboard_QBR_Report!$B$109:$BL$166,3,FALSE)</f>
        <v>11040</v>
      </c>
      <c r="D57" s="13">
        <f ca="1">VLOOKUP($B57,'[7]Analisys QBR By Machine Report'!$C$109:$BD$166,3,FALSE)</f>
        <v>14280</v>
      </c>
      <c r="E57" s="14">
        <f ca="1">VLOOKUP($B57,[7]Dasboard_QBR_Report!$B$109:$BL$166,5,FALSE)</f>
        <v>-7800</v>
      </c>
      <c r="F57" s="13">
        <f t="shared" ca="1" si="0"/>
        <v>18840</v>
      </c>
      <c r="G57" s="13">
        <f t="shared" ca="1" si="1"/>
        <v>750</v>
      </c>
      <c r="H57" s="13">
        <f ca="1">VLOOKUP($B57,'[7]Analisys QBR By Machine Report'!$C$109:$BD$166,4,FALSE)</f>
        <v>750</v>
      </c>
      <c r="I57" s="13">
        <f ca="1">VLOOKUP($B57,'[7]Analisys QBR By Machine Report'!$C$109:$BD$166,5,FALSE)</f>
        <v>405</v>
      </c>
      <c r="J57" s="13">
        <f ca="1">VLOOKUP($B57,'[7]Analisys QBR By Machine Report'!$C$109:$BD$166,6,FALSE)</f>
        <v>345</v>
      </c>
      <c r="K57" s="13">
        <f ca="1">VLOOKUP($B57,'[7]Analisys QBR By Machine Report'!$C$109:$BD$166,7,FALSE)</f>
        <v>0</v>
      </c>
      <c r="L57" s="13">
        <f ca="1">VLOOKUP($B57,'[7]Analisys QBR By Machine Report'!$C$109:$BD$166,8,FALSE)</f>
        <v>18090</v>
      </c>
      <c r="M57" s="13">
        <f ca="1">VLOOKUP($B57,'[7]Analisys QBR By Machine Report'!$C$109:$BD$166,9,FALSE)</f>
        <v>5810</v>
      </c>
      <c r="N57" s="13">
        <f ca="1">VLOOKUP($B57,[7]Dasboard_QBR_Report!$B$109:$BL$166,18,FALSE)</f>
        <v>12280</v>
      </c>
      <c r="O57" s="13">
        <f ca="1">VLOOKUP($B57,'[7]Analisys QBR By Machine Report'!$C$109:$BD$166,10,FALSE)</f>
        <v>5565</v>
      </c>
      <c r="P57" s="13">
        <f ca="1">VLOOKUP($B57,'[7]Analisys QBR By Machine Report'!$C$109:$BD$166,11,FALSE)</f>
        <v>2940</v>
      </c>
      <c r="Q57" s="13">
        <f ca="1">VLOOKUP($B57,'[7]Analisys QBR By Machine Report'!$C$109:$BD$166,12,FALSE)</f>
        <v>225</v>
      </c>
      <c r="R57" s="13">
        <f ca="1">VLOOKUP($B57,'[7]Analisys QBR By Machine Report'!$C$109:$BD$166,13,FALSE)</f>
        <v>710</v>
      </c>
      <c r="S57" s="13">
        <f ca="1">VLOOKUP($B57,'[7]Analisys QBR By Machine Report'!$C$109:$BD$166,14,FALSE)</f>
        <v>1690</v>
      </c>
      <c r="T57" s="13">
        <f ca="1">VLOOKUP($B57,'[7]Analisys QBR By Machine Report'!$C$109:$BD$166,15,FALSE)</f>
        <v>100</v>
      </c>
      <c r="U57" s="13">
        <f ca="1">VLOOKUP($B57,'[7]Analisys QBR By Machine Report'!$C$109:$BD$166,16,FALSE)</f>
        <v>100</v>
      </c>
      <c r="V57" s="13">
        <f ca="1">VLOOKUP($B57,'[7]Analisys QBR By Machine Report'!$C$109:$BD$166,17,FALSE)</f>
        <v>0</v>
      </c>
      <c r="W57" s="13">
        <f ca="1">VLOOKUP($B57,'[7]Analisys QBR By Machine Report'!$C$109:$BD$166,18,FALSE)</f>
        <v>0</v>
      </c>
      <c r="X57" s="13">
        <f ca="1">VLOOKUP($B57,'[7]Analisys QBR By Machine Report'!$C$109:$BD$166,19,FALSE)</f>
        <v>0</v>
      </c>
      <c r="Y57" s="13">
        <f ca="1">VLOOKUP($B57,'[7]Analisys QBR By Machine Report'!$C$109:$BD$166,20,FALSE)</f>
        <v>0</v>
      </c>
      <c r="Z57" s="13">
        <f ca="1">VLOOKUP($B57,'[7]Analisys QBR By Machine Report'!$C$109:$BD$166,21,FALSE)</f>
        <v>3595</v>
      </c>
      <c r="AA57" s="13">
        <f ca="1">VLOOKUP($B57,'[7]Analisys QBR By Machine Report'!$C$109:$BD$166,22,FALSE)</f>
        <v>2395</v>
      </c>
      <c r="AB57" s="13">
        <f ca="1">VLOOKUP($B57,'[7]Analisys QBR By Machine Report'!$C$109:$BD$166,23,FALSE)</f>
        <v>695</v>
      </c>
      <c r="AC57" s="13">
        <f ca="1">VLOOKUP($B57,'[7]Analisys QBR By Machine Report'!$C$109:$BD$166,24,FALSE)</f>
        <v>505</v>
      </c>
      <c r="AD57" s="13">
        <f ca="1">VLOOKUP($B57,'[7]Analisys QBR By Machine Report'!$C$109:$BD$166,25,FALSE)</f>
        <v>0</v>
      </c>
      <c r="AE57" s="13">
        <f ca="1">VLOOKUP($B57,'[7]Analisys QBR By Machine Report'!$C$109:$BD$166,26,FALSE)</f>
        <v>0</v>
      </c>
      <c r="AF57" s="13">
        <f ca="1">VLOOKUP($B57,'[7]Analisys QBR By Machine Report'!$C$109:$BD$166,27,FALSE)</f>
        <v>0</v>
      </c>
      <c r="AG57" s="13">
        <f ca="1">VLOOKUP($B57,'[7]Analisys QBR By Machine Report'!$C$109:$BD$166,28,FALSE)</f>
        <v>0</v>
      </c>
      <c r="AH57" s="13">
        <f ca="1">VLOOKUP($B57,'[7]Analisys QBR By Machine Report'!$C$109:$BD$166,29,FALSE)</f>
        <v>0</v>
      </c>
      <c r="AI57" s="13">
        <f ca="1">VLOOKUP($B57,'[7]Analisys QBR By Machine Report'!$C$109:$BD$166,30,FALSE)</f>
        <v>3020</v>
      </c>
      <c r="AJ57" s="13">
        <f ca="1">VLOOKUP($B57,'[7]Analisys QBR By Machine Report'!$C$109:$BD$166,31,FALSE)</f>
        <v>120</v>
      </c>
      <c r="AK57" s="13">
        <f ca="1">VLOOKUP($B57,'[7]Analisys QBR By Machine Report'!$C$109:$BD$166,32,FALSE)</f>
        <v>0</v>
      </c>
      <c r="AL57" s="13">
        <f ca="1">VLOOKUP($B57,'[7]Analisys QBR By Machine Report'!$C$109:$BD$166,33,FALSE)</f>
        <v>1140</v>
      </c>
      <c r="AM57" s="13">
        <f ca="1">VLOOKUP($B57,'[7]Analisys QBR By Machine Report'!$C$109:$BD$166,34,FALSE)</f>
        <v>0</v>
      </c>
      <c r="AN57" s="13">
        <f ca="1">VLOOKUP($B57,'[7]Analisys QBR By Machine Report'!$C$109:$BD$166,35,FALSE)</f>
        <v>800</v>
      </c>
      <c r="AO57" s="13">
        <f ca="1">VLOOKUP($B57,'[7]Analisys QBR By Machine Report'!$C$109:$BD$166,36,FALSE)</f>
        <v>210</v>
      </c>
      <c r="AP57" s="13">
        <f ca="1">VLOOKUP($B57,'[7]Analisys QBR By Machine Report'!$C$109:$BD$166,37,FALSE)</f>
        <v>0</v>
      </c>
      <c r="AQ57" s="13">
        <f ca="1">VLOOKUP($B57,'[7]Analisys QBR By Machine Report'!$C$109:$BD$166,38,FALSE)</f>
        <v>0</v>
      </c>
      <c r="AR57" s="13">
        <f ca="1">VLOOKUP($B57,'[7]Analisys QBR By Machine Report'!$C$109:$BD$166,39,FALSE)</f>
        <v>0</v>
      </c>
      <c r="AS57" s="13">
        <f ca="1">VLOOKUP($B57,'[7]Analisys QBR By Machine Report'!$C$109:$BD$166,40,FALSE)</f>
        <v>365</v>
      </c>
      <c r="AT57" s="13">
        <f ca="1">VLOOKUP($B57,'[7]Analisys QBR By Machine Report'!$C$109:$BD$166,41,FALSE)</f>
        <v>0</v>
      </c>
      <c r="AU57" s="13">
        <f ca="1">VLOOKUP($B57,'[7]Analisys QBR By Machine Report'!$C$109:$BD$166,42,FALSE)</f>
        <v>0</v>
      </c>
      <c r="AV57" s="13">
        <f ca="1">VLOOKUP($B57,'[7]Analisys QBR By Machine Report'!$C$109:$BD$166,43,FALSE)</f>
        <v>0</v>
      </c>
      <c r="AW57" s="13">
        <f ca="1">VLOOKUP($B57,'[7]Analisys QBR By Machine Report'!$C$109:$BD$166,44,FALSE)</f>
        <v>0</v>
      </c>
      <c r="AX57" s="13">
        <f ca="1">VLOOKUP($B57,'[7]Analisys QBR By Machine Report'!$C$109:$BD$166,45,FALSE)</f>
        <v>0</v>
      </c>
      <c r="AY57" s="13">
        <f ca="1">VLOOKUP($B57,'[7]Analisys QBR By Machine Report'!$C$109:$BD$166,46,FALSE)</f>
        <v>0</v>
      </c>
      <c r="AZ57" s="13">
        <f ca="1">VLOOKUP($B57,'[7]Analisys QBR By Machine Report'!$C$109:$BD$166,47,FALSE)</f>
        <v>385</v>
      </c>
      <c r="BA57" s="13">
        <f ca="1">VLOOKUP($B57,'[7]Analisys QBR By Machine Report'!$C$109:$BD$166,48,FALSE)</f>
        <v>0</v>
      </c>
      <c r="BB57" s="13">
        <f ca="1">VLOOKUP($B57,'[7]Analisys QBR By Machine Report'!$C$109:$BD$166,49,FALSE)</f>
        <v>0</v>
      </c>
      <c r="BC57" s="13">
        <f ca="1">VLOOKUP($B57,'[7]Analisys QBR By Machine Report'!$C$109:$BD$166,50,FALSE)</f>
        <v>0</v>
      </c>
      <c r="BD57" s="13">
        <f ca="1">VLOOKUP($B57,'[7]Analisys QBR By Machine Report'!$C$109:$BD$166,51,FALSE)</f>
        <v>1107166</v>
      </c>
      <c r="BE57" s="13">
        <f ca="1">VLOOKUP($B57,'[7]Analisys QBR By Machine Report'!$C$109:$BD$166,52,FALSE)</f>
        <v>321</v>
      </c>
      <c r="BF57" s="13">
        <f ca="1">VLOOKUP($B57,'[7]Analisys QBR By Machine Report'!$C$109:$BD$166,53,FALSE)</f>
        <v>1106845</v>
      </c>
    </row>
    <row r="58" spans="1:58" x14ac:dyDescent="0.25">
      <c r="A58" s="15" t="s">
        <v>114</v>
      </c>
      <c r="B58" s="13">
        <f ca="1">VLOOKUP($B58,'[7]Analisys QBR By Machine Report'!$C$109:$BD$166,2,FALSE)</f>
        <v>33120</v>
      </c>
      <c r="C58" s="14">
        <f ca="1">VLOOKUP($B58,[7]Dasboard_QBR_Report!$B$109:$BL$166,3,FALSE)</f>
        <v>11040</v>
      </c>
      <c r="D58" s="13">
        <f ca="1">VLOOKUP($B58,'[7]Analisys QBR By Machine Report'!$C$109:$BD$166,3,FALSE)</f>
        <v>27570</v>
      </c>
      <c r="E58" s="14">
        <f ca="1">VLOOKUP($B58,[7]Dasboard_QBR_Report!$B$109:$BL$166,5,FALSE)</f>
        <v>5490</v>
      </c>
      <c r="F58" s="13">
        <f t="shared" ca="1" si="0"/>
        <v>5550</v>
      </c>
      <c r="G58" s="13">
        <f t="shared" ca="1" si="1"/>
        <v>765</v>
      </c>
      <c r="H58" s="13">
        <f ca="1">VLOOKUP($B58,'[7]Analisys QBR By Machine Report'!$C$109:$BD$166,4,FALSE)</f>
        <v>765</v>
      </c>
      <c r="I58" s="13">
        <f ca="1">VLOOKUP($B58,'[7]Analisys QBR By Machine Report'!$C$109:$BD$166,5,FALSE)</f>
        <v>195</v>
      </c>
      <c r="J58" s="13">
        <f ca="1">VLOOKUP($B58,'[7]Analisys QBR By Machine Report'!$C$109:$BD$166,6,FALSE)</f>
        <v>570</v>
      </c>
      <c r="K58" s="13">
        <f ca="1">VLOOKUP($B58,'[7]Analisys QBR By Machine Report'!$C$109:$BD$166,7,FALSE)</f>
        <v>0</v>
      </c>
      <c r="L58" s="13">
        <f ca="1">VLOOKUP($B58,'[7]Analisys QBR By Machine Report'!$C$109:$BD$166,8,FALSE)</f>
        <v>4785</v>
      </c>
      <c r="M58" s="13">
        <f ca="1">VLOOKUP($B58,'[7]Analisys QBR By Machine Report'!$C$109:$BD$166,9,FALSE)</f>
        <v>2840</v>
      </c>
      <c r="N58" s="13">
        <f ca="1">VLOOKUP($B58,[7]Dasboard_QBR_Report!$B$109:$BL$166,18,FALSE)</f>
        <v>1945</v>
      </c>
      <c r="O58" s="13">
        <f ca="1">VLOOKUP($B58,'[7]Analisys QBR By Machine Report'!$C$109:$BD$166,10,FALSE)</f>
        <v>176</v>
      </c>
      <c r="P58" s="13">
        <f ca="1">VLOOKUP($B58,'[7]Analisys QBR By Machine Report'!$C$109:$BD$166,11,FALSE)</f>
        <v>171</v>
      </c>
      <c r="Q58" s="13">
        <f ca="1">VLOOKUP($B58,'[7]Analisys QBR By Machine Report'!$C$109:$BD$166,12,FALSE)</f>
        <v>0</v>
      </c>
      <c r="R58" s="13">
        <f ca="1">VLOOKUP($B58,'[7]Analisys QBR By Machine Report'!$C$109:$BD$166,13,FALSE)</f>
        <v>5</v>
      </c>
      <c r="S58" s="13">
        <f ca="1">VLOOKUP($B58,'[7]Analisys QBR By Machine Report'!$C$109:$BD$166,14,FALSE)</f>
        <v>0</v>
      </c>
      <c r="T58" s="13">
        <f ca="1">VLOOKUP($B58,'[7]Analisys QBR By Machine Report'!$C$109:$BD$166,15,FALSE)</f>
        <v>0</v>
      </c>
      <c r="U58" s="13">
        <f ca="1">VLOOKUP($B58,'[7]Analisys QBR By Machine Report'!$C$109:$BD$166,16,FALSE)</f>
        <v>0</v>
      </c>
      <c r="V58" s="13">
        <f ca="1">VLOOKUP($B58,'[7]Analisys QBR By Machine Report'!$C$109:$BD$166,17,FALSE)</f>
        <v>0</v>
      </c>
      <c r="W58" s="13">
        <f ca="1">VLOOKUP($B58,'[7]Analisys QBR By Machine Report'!$C$109:$BD$166,18,FALSE)</f>
        <v>0</v>
      </c>
      <c r="X58" s="13">
        <f ca="1">VLOOKUP($B58,'[7]Analisys QBR By Machine Report'!$C$109:$BD$166,19,FALSE)</f>
        <v>0</v>
      </c>
      <c r="Y58" s="13">
        <f ca="1">VLOOKUP($B58,'[7]Analisys QBR By Machine Report'!$C$109:$BD$166,20,FALSE)</f>
        <v>0</v>
      </c>
      <c r="Z58" s="13">
        <f ca="1">VLOOKUP($B58,'[7]Analisys QBR By Machine Report'!$C$109:$BD$166,21,FALSE)</f>
        <v>460</v>
      </c>
      <c r="AA58" s="13">
        <f ca="1">VLOOKUP($B58,'[7]Analisys QBR By Machine Report'!$C$109:$BD$166,22,FALSE)</f>
        <v>80</v>
      </c>
      <c r="AB58" s="13">
        <f ca="1">VLOOKUP($B58,'[7]Analisys QBR By Machine Report'!$C$109:$BD$166,23,FALSE)</f>
        <v>105</v>
      </c>
      <c r="AC58" s="13">
        <f ca="1">VLOOKUP($B58,'[7]Analisys QBR By Machine Report'!$C$109:$BD$166,24,FALSE)</f>
        <v>0</v>
      </c>
      <c r="AD58" s="13">
        <f ca="1">VLOOKUP($B58,'[7]Analisys QBR By Machine Report'!$C$109:$BD$166,25,FALSE)</f>
        <v>0</v>
      </c>
      <c r="AE58" s="13">
        <f ca="1">VLOOKUP($B58,'[7]Analisys QBR By Machine Report'!$C$109:$BD$166,26,FALSE)</f>
        <v>275</v>
      </c>
      <c r="AF58" s="13">
        <f ca="1">VLOOKUP($B58,'[7]Analisys QBR By Machine Report'!$C$109:$BD$166,27,FALSE)</f>
        <v>0</v>
      </c>
      <c r="AG58" s="13">
        <f ca="1">VLOOKUP($B58,'[7]Analisys QBR By Machine Report'!$C$109:$BD$166,28,FALSE)</f>
        <v>0</v>
      </c>
      <c r="AH58" s="13">
        <f ca="1">VLOOKUP($B58,'[7]Analisys QBR By Machine Report'!$C$109:$BD$166,29,FALSE)</f>
        <v>0</v>
      </c>
      <c r="AI58" s="13">
        <f ca="1">VLOOKUP($B58,'[7]Analisys QBR By Machine Report'!$C$109:$BD$166,30,FALSE)</f>
        <v>1309</v>
      </c>
      <c r="AJ58" s="13">
        <f ca="1">VLOOKUP($B58,'[7]Analisys QBR By Machine Report'!$C$109:$BD$166,31,FALSE)</f>
        <v>0</v>
      </c>
      <c r="AK58" s="13">
        <f ca="1">VLOOKUP($B58,'[7]Analisys QBR By Machine Report'!$C$109:$BD$166,32,FALSE)</f>
        <v>0</v>
      </c>
      <c r="AL58" s="13">
        <f ca="1">VLOOKUP($B58,'[7]Analisys QBR By Machine Report'!$C$109:$BD$166,33,FALSE)</f>
        <v>270</v>
      </c>
      <c r="AM58" s="13">
        <f ca="1">VLOOKUP($B58,'[7]Analisys QBR By Machine Report'!$C$109:$BD$166,34,FALSE)</f>
        <v>0</v>
      </c>
      <c r="AN58" s="13">
        <f ca="1">VLOOKUP($B58,'[7]Analisys QBR By Machine Report'!$C$109:$BD$166,35,FALSE)</f>
        <v>150</v>
      </c>
      <c r="AO58" s="13">
        <f ca="1">VLOOKUP($B58,'[7]Analisys QBR By Machine Report'!$C$109:$BD$166,36,FALSE)</f>
        <v>175</v>
      </c>
      <c r="AP58" s="13">
        <f ca="1">VLOOKUP($B58,'[7]Analisys QBR By Machine Report'!$C$109:$BD$166,37,FALSE)</f>
        <v>235</v>
      </c>
      <c r="AQ58" s="13">
        <f ca="1">VLOOKUP($B58,'[7]Analisys QBR By Machine Report'!$C$109:$BD$166,38,FALSE)</f>
        <v>0</v>
      </c>
      <c r="AR58" s="13">
        <f ca="1">VLOOKUP($B58,'[7]Analisys QBR By Machine Report'!$C$109:$BD$166,39,FALSE)</f>
        <v>60</v>
      </c>
      <c r="AS58" s="13">
        <f ca="1">VLOOKUP($B58,'[7]Analisys QBR By Machine Report'!$C$109:$BD$166,40,FALSE)</f>
        <v>125</v>
      </c>
      <c r="AT58" s="13">
        <f ca="1">VLOOKUP($B58,'[7]Analisys QBR By Machine Report'!$C$109:$BD$166,41,FALSE)</f>
        <v>0</v>
      </c>
      <c r="AU58" s="13">
        <f ca="1">VLOOKUP($B58,'[7]Analisys QBR By Machine Report'!$C$109:$BD$166,42,FALSE)</f>
        <v>0</v>
      </c>
      <c r="AV58" s="13">
        <f ca="1">VLOOKUP($B58,'[7]Analisys QBR By Machine Report'!$C$109:$BD$166,43,FALSE)</f>
        <v>0</v>
      </c>
      <c r="AW58" s="13">
        <f ca="1">VLOOKUP($B58,'[7]Analisys QBR By Machine Report'!$C$109:$BD$166,44,FALSE)</f>
        <v>0</v>
      </c>
      <c r="AX58" s="13">
        <f ca="1">VLOOKUP($B58,'[7]Analisys QBR By Machine Report'!$C$109:$BD$166,45,FALSE)</f>
        <v>0</v>
      </c>
      <c r="AY58" s="13">
        <f ca="1">VLOOKUP($B58,'[7]Analisys QBR By Machine Report'!$C$109:$BD$166,46,FALSE)</f>
        <v>0</v>
      </c>
      <c r="AZ58" s="13">
        <f ca="1">VLOOKUP($B58,'[7]Analisys QBR By Machine Report'!$C$109:$BD$166,47,FALSE)</f>
        <v>294</v>
      </c>
      <c r="BA58" s="13">
        <f ca="1">VLOOKUP($B58,'[7]Analisys QBR By Machine Report'!$C$109:$BD$166,48,FALSE)</f>
        <v>0</v>
      </c>
      <c r="BB58" s="13">
        <f ca="1">VLOOKUP($B58,'[7]Analisys QBR By Machine Report'!$C$109:$BD$166,49,FALSE)</f>
        <v>0</v>
      </c>
      <c r="BC58" s="13">
        <f ca="1">VLOOKUP($B58,'[7]Analisys QBR By Machine Report'!$C$109:$BD$166,50,FALSE)</f>
        <v>0</v>
      </c>
      <c r="BD58" s="13">
        <f ca="1">VLOOKUP($B58,'[7]Analisys QBR By Machine Report'!$C$109:$BD$166,51,FALSE)</f>
        <v>73551</v>
      </c>
      <c r="BE58" s="13">
        <f ca="1">VLOOKUP($B58,'[7]Analisys QBR By Machine Report'!$C$109:$BD$166,52,FALSE)</f>
        <v>157</v>
      </c>
      <c r="BF58" s="13">
        <f ca="1">VLOOKUP($B58,'[7]Analisys QBR By Machine Report'!$C$109:$BD$166,53,FALSE)</f>
        <v>73394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146CD-ADAD-4511-87AE-7F14DE17AEA9}">
  <dimension ref="A1:BF58"/>
  <sheetViews>
    <sheetView workbookViewId="0">
      <selection sqref="A1:BF58"/>
    </sheetView>
  </sheetViews>
  <sheetFormatPr defaultRowHeight="15" x14ac:dyDescent="0.25"/>
  <sheetData>
    <row r="1" spans="1:58" ht="60" x14ac:dyDescent="0.25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8" t="s">
        <v>55</v>
      </c>
      <c r="BE1" s="8" t="s">
        <v>56</v>
      </c>
      <c r="BF1" s="8" t="s">
        <v>57</v>
      </c>
    </row>
    <row r="2" spans="1:58" x14ac:dyDescent="0.25">
      <c r="A2" s="9" t="s">
        <v>58</v>
      </c>
      <c r="B2" s="10">
        <f ca="1">VLOOKUP($B2,'[8]Analisys QBR By Machine Report'!$C$109:$BD$166,2,FALSE)</f>
        <v>86400</v>
      </c>
      <c r="C2" s="11">
        <f ca="1">VLOOKUP($B2,[8]Dasboard_QBR_Report!$B$109:$BL$166,3,FALSE)</f>
        <v>55800</v>
      </c>
      <c r="D2" s="10">
        <f ca="1">VLOOKUP($B2,'[8]Analisys QBR By Machine Report'!$C$109:$BD$166,3,FALSE)</f>
        <v>58830</v>
      </c>
      <c r="E2" s="11">
        <f ca="1">VLOOKUP($B2,[8]Dasboard_QBR_Report!$B$109:$BL$166,5,FALSE)</f>
        <v>28230</v>
      </c>
      <c r="F2" s="10">
        <f t="shared" ref="F2:F58" ca="1" si="0">SUM(G2,L2)</f>
        <v>27570</v>
      </c>
      <c r="G2" s="10">
        <f t="shared" ref="G2:G58" ca="1" si="1">SUM($I2,$L2)</f>
        <v>3152</v>
      </c>
      <c r="H2" s="10">
        <f ca="1">VLOOKUP($B2,'[8]Analisys QBR By Machine Report'!$C$109:$BD$166,4,FALSE)</f>
        <v>2912</v>
      </c>
      <c r="I2" s="10">
        <f ca="1">VLOOKUP($B2,'[8]Analisys QBR By Machine Report'!$C$109:$BD$166,5,FALSE)</f>
        <v>75</v>
      </c>
      <c r="J2" s="10">
        <f ca="1">VLOOKUP($B2,'[8]Analisys QBR By Machine Report'!$C$109:$BD$166,6,FALSE)</f>
        <v>2837</v>
      </c>
      <c r="K2" s="10">
        <f ca="1">VLOOKUP($B2,'[8]Analisys QBR By Machine Report'!$C$109:$BD$166,7,FALSE)</f>
        <v>240</v>
      </c>
      <c r="L2" s="10">
        <f ca="1">VLOOKUP($B2,'[8]Analisys QBR By Machine Report'!$C$109:$BD$166,8,FALSE)</f>
        <v>24418</v>
      </c>
      <c r="M2" s="10">
        <f ca="1">VLOOKUP($B2,'[8]Analisys QBR By Machine Report'!$C$109:$BD$166,9,FALSE)</f>
        <v>3578</v>
      </c>
      <c r="N2" s="10">
        <f ca="1">VLOOKUP($B2,[8]Dasboard_QBR_Report!$B$109:$BL$166,18,FALSE)</f>
        <v>20840</v>
      </c>
      <c r="O2" s="10">
        <f ca="1">VLOOKUP($B2,'[8]Analisys QBR By Machine Report'!$C$109:$BD$166,10,FALSE)</f>
        <v>832</v>
      </c>
      <c r="P2" s="10">
        <f ca="1">VLOOKUP($B2,'[8]Analisys QBR By Machine Report'!$C$109:$BD$166,11,FALSE)</f>
        <v>777</v>
      </c>
      <c r="Q2" s="10">
        <f ca="1">VLOOKUP($B2,'[8]Analisys QBR By Machine Report'!$C$109:$BD$166,12,FALSE)</f>
        <v>55</v>
      </c>
      <c r="R2" s="10">
        <f ca="1">VLOOKUP($B2,'[8]Analisys QBR By Machine Report'!$C$109:$BD$166,13,FALSE)</f>
        <v>0</v>
      </c>
      <c r="S2" s="10">
        <f ca="1">VLOOKUP($B2,'[8]Analisys QBR By Machine Report'!$C$109:$BD$166,14,FALSE)</f>
        <v>0</v>
      </c>
      <c r="T2" s="10">
        <f ca="1">VLOOKUP($B2,'[8]Analisys QBR By Machine Report'!$C$109:$BD$166,15,FALSE)</f>
        <v>565</v>
      </c>
      <c r="U2" s="10">
        <f ca="1">VLOOKUP($B2,'[8]Analisys QBR By Machine Report'!$C$109:$BD$166,16,FALSE)</f>
        <v>565</v>
      </c>
      <c r="V2" s="10">
        <f ca="1">VLOOKUP($B2,'[8]Analisys QBR By Machine Report'!$C$109:$BD$166,17,FALSE)</f>
        <v>0</v>
      </c>
      <c r="W2" s="10">
        <f ca="1">VLOOKUP($B2,'[8]Analisys QBR By Machine Report'!$C$109:$BD$166,18,FALSE)</f>
        <v>0</v>
      </c>
      <c r="X2" s="10">
        <f ca="1">VLOOKUP($B2,'[8]Analisys QBR By Machine Report'!$C$109:$BD$166,19,FALSE)</f>
        <v>0</v>
      </c>
      <c r="Y2" s="10">
        <f ca="1">VLOOKUP($B2,'[8]Analisys QBR By Machine Report'!$C$109:$BD$166,20,FALSE)</f>
        <v>0</v>
      </c>
      <c r="Z2" s="10">
        <f ca="1">VLOOKUP($B2,'[8]Analisys QBR By Machine Report'!$C$109:$BD$166,21,FALSE)</f>
        <v>10329</v>
      </c>
      <c r="AA2" s="10">
        <f ca="1">VLOOKUP($B2,'[8]Analisys QBR By Machine Report'!$C$109:$BD$166,22,FALSE)</f>
        <v>6314</v>
      </c>
      <c r="AB2" s="10">
        <f ca="1">VLOOKUP($B2,'[8]Analisys QBR By Machine Report'!$C$109:$BD$166,23,FALSE)</f>
        <v>3534</v>
      </c>
      <c r="AC2" s="10">
        <f ca="1">VLOOKUP($B2,'[8]Analisys QBR By Machine Report'!$C$109:$BD$166,24,FALSE)</f>
        <v>6</v>
      </c>
      <c r="AD2" s="10">
        <f ca="1">VLOOKUP($B2,'[8]Analisys QBR By Machine Report'!$C$109:$BD$166,25,FALSE)</f>
        <v>0</v>
      </c>
      <c r="AE2" s="10">
        <f ca="1">VLOOKUP($B2,'[8]Analisys QBR By Machine Report'!$C$109:$BD$166,26,FALSE)</f>
        <v>475</v>
      </c>
      <c r="AF2" s="10">
        <f ca="1">VLOOKUP($B2,'[8]Analisys QBR By Machine Report'!$C$109:$BD$166,27,FALSE)</f>
        <v>285</v>
      </c>
      <c r="AG2" s="10">
        <f ca="1">VLOOKUP($B2,'[8]Analisys QBR By Machine Report'!$C$109:$BD$166,28,FALSE)</f>
        <v>0</v>
      </c>
      <c r="AH2" s="10">
        <f ca="1">VLOOKUP($B2,'[8]Analisys QBR By Machine Report'!$C$109:$BD$166,29,FALSE)</f>
        <v>285</v>
      </c>
      <c r="AI2" s="10">
        <f ca="1">VLOOKUP($B2,'[8]Analisys QBR By Machine Report'!$C$109:$BD$166,30,FALSE)</f>
        <v>8829</v>
      </c>
      <c r="AJ2" s="10">
        <f ca="1">VLOOKUP($B2,'[8]Analisys QBR By Machine Report'!$C$109:$BD$166,31,FALSE)</f>
        <v>30</v>
      </c>
      <c r="AK2" s="10">
        <f ca="1">VLOOKUP($B2,'[8]Analisys QBR By Machine Report'!$C$109:$BD$166,32,FALSE)</f>
        <v>0</v>
      </c>
      <c r="AL2" s="10">
        <f ca="1">VLOOKUP($B2,'[8]Analisys QBR By Machine Report'!$C$109:$BD$166,33,FALSE)</f>
        <v>1120</v>
      </c>
      <c r="AM2" s="10">
        <f ca="1">VLOOKUP($B2,'[8]Analisys QBR By Machine Report'!$C$109:$BD$166,34,FALSE)</f>
        <v>0</v>
      </c>
      <c r="AN2" s="10">
        <f ca="1">VLOOKUP($B2,'[8]Analisys QBR By Machine Report'!$C$109:$BD$166,35,FALSE)</f>
        <v>725</v>
      </c>
      <c r="AO2" s="10">
        <f ca="1">VLOOKUP($B2,'[8]Analisys QBR By Machine Report'!$C$109:$BD$166,36,FALSE)</f>
        <v>0</v>
      </c>
      <c r="AP2" s="10">
        <f ca="1">VLOOKUP($B2,'[8]Analisys QBR By Machine Report'!$C$109:$BD$166,37,FALSE)</f>
        <v>0</v>
      </c>
      <c r="AQ2" s="10">
        <f ca="1">VLOOKUP($B2,'[8]Analisys QBR By Machine Report'!$C$109:$BD$166,38,FALSE)</f>
        <v>0</v>
      </c>
      <c r="AR2" s="10">
        <f ca="1">VLOOKUP($B2,'[8]Analisys QBR By Machine Report'!$C$109:$BD$166,39,FALSE)</f>
        <v>6144</v>
      </c>
      <c r="AS2" s="10">
        <f ca="1">VLOOKUP($B2,'[8]Analisys QBR By Machine Report'!$C$109:$BD$166,40,FALSE)</f>
        <v>23</v>
      </c>
      <c r="AT2" s="10">
        <f ca="1">VLOOKUP($B2,'[8]Analisys QBR By Machine Report'!$C$109:$BD$166,41,FALSE)</f>
        <v>0</v>
      </c>
      <c r="AU2" s="10">
        <f ca="1">VLOOKUP($B2,'[8]Analisys QBR By Machine Report'!$C$109:$BD$166,42,FALSE)</f>
        <v>544</v>
      </c>
      <c r="AV2" s="10">
        <f ca="1">VLOOKUP($B2,'[8]Analisys QBR By Machine Report'!$C$109:$BD$166,43,FALSE)</f>
        <v>0</v>
      </c>
      <c r="AW2" s="10">
        <f ca="1">VLOOKUP($B2,'[8]Analisys QBR By Machine Report'!$C$109:$BD$166,44,FALSE)</f>
        <v>0</v>
      </c>
      <c r="AX2" s="10">
        <f ca="1">VLOOKUP($B2,'[8]Analisys QBR By Machine Report'!$C$109:$BD$166,45,FALSE)</f>
        <v>0</v>
      </c>
      <c r="AY2" s="10">
        <f ca="1">VLOOKUP($B2,'[8]Analisys QBR By Machine Report'!$C$109:$BD$166,46,FALSE)</f>
        <v>0</v>
      </c>
      <c r="AZ2" s="10">
        <f ca="1">VLOOKUP($B2,'[8]Analisys QBR By Machine Report'!$C$109:$BD$166,47,FALSE)</f>
        <v>243</v>
      </c>
      <c r="BA2" s="10">
        <f ca="1">VLOOKUP($B2,'[8]Analisys QBR By Machine Report'!$C$109:$BD$166,48,FALSE)</f>
        <v>0</v>
      </c>
      <c r="BB2" s="10">
        <f ca="1">VLOOKUP($B2,'[8]Analisys QBR By Machine Report'!$C$109:$BD$166,49,FALSE)</f>
        <v>0</v>
      </c>
      <c r="BC2" s="10">
        <f ca="1">VLOOKUP($B2,'[8]Analisys QBR By Machine Report'!$C$109:$BD$166,50,FALSE)</f>
        <v>0</v>
      </c>
      <c r="BD2" s="10">
        <f ca="1">VLOOKUP($B2,'[8]Analisys QBR By Machine Report'!$C$109:$BD$166,51,FALSE)</f>
        <v>6840.04</v>
      </c>
      <c r="BE2" s="10">
        <f ca="1">VLOOKUP($B2,'[8]Analisys QBR By Machine Report'!$C$109:$BD$166,52,FALSE)</f>
        <v>0</v>
      </c>
      <c r="BF2" s="10">
        <f ca="1">VLOOKUP($B2,'[8]Analisys QBR By Machine Report'!$C$109:$BD$166,53,FALSE)</f>
        <v>6840.04</v>
      </c>
    </row>
    <row r="3" spans="1:58" x14ac:dyDescent="0.25">
      <c r="A3" s="12" t="s">
        <v>59</v>
      </c>
      <c r="B3" s="13">
        <f ca="1">VLOOKUP($B3,'[8]Analisys QBR By Machine Report'!$C$109:$BD$166,2,FALSE)</f>
        <v>28800</v>
      </c>
      <c r="C3" s="14">
        <f ca="1">VLOOKUP($B3,[8]Dasboard_QBR_Report!$B$109:$BL$166,3,FALSE)</f>
        <v>18600</v>
      </c>
      <c r="D3" s="13">
        <f ca="1">VLOOKUP($B3,'[8]Analisys QBR By Machine Report'!$C$109:$BD$166,3,FALSE)</f>
        <v>20370</v>
      </c>
      <c r="E3" s="14">
        <f ca="1">VLOOKUP($B3,[8]Dasboard_QBR_Report!$B$109:$BL$166,5,FALSE)</f>
        <v>10170</v>
      </c>
      <c r="F3" s="13">
        <f t="shared" ca="1" si="0"/>
        <v>8430</v>
      </c>
      <c r="G3" s="13">
        <f t="shared" ca="1" si="1"/>
        <v>927</v>
      </c>
      <c r="H3" s="13">
        <f ca="1">VLOOKUP($B3,'[8]Analisys QBR By Machine Report'!$C$109:$BD$166,4,FALSE)</f>
        <v>927</v>
      </c>
      <c r="I3" s="13">
        <f ca="1">VLOOKUP($B3,'[8]Analisys QBR By Machine Report'!$C$109:$BD$166,5,FALSE)</f>
        <v>75</v>
      </c>
      <c r="J3" s="13">
        <f ca="1">VLOOKUP($B3,'[8]Analisys QBR By Machine Report'!$C$109:$BD$166,6,FALSE)</f>
        <v>852</v>
      </c>
      <c r="K3" s="13">
        <f ca="1">VLOOKUP($B3,'[8]Analisys QBR By Machine Report'!$C$109:$BD$166,7,FALSE)</f>
        <v>0</v>
      </c>
      <c r="L3" s="13">
        <f ca="1">VLOOKUP($B3,'[8]Analisys QBR By Machine Report'!$C$109:$BD$166,8,FALSE)</f>
        <v>7503</v>
      </c>
      <c r="M3" s="13">
        <f ca="1">VLOOKUP($B3,'[8]Analisys QBR By Machine Report'!$C$109:$BD$166,9,FALSE)</f>
        <v>1610</v>
      </c>
      <c r="N3" s="13">
        <f ca="1">VLOOKUP($B3,[8]Dasboard_QBR_Report!$B$109:$BL$166,18,FALSE)</f>
        <v>5893</v>
      </c>
      <c r="O3" s="13">
        <f ca="1">VLOOKUP($B3,'[8]Analisys QBR By Machine Report'!$C$109:$BD$166,10,FALSE)</f>
        <v>215</v>
      </c>
      <c r="P3" s="13">
        <f ca="1">VLOOKUP($B3,'[8]Analisys QBR By Machine Report'!$C$109:$BD$166,11,FALSE)</f>
        <v>215</v>
      </c>
      <c r="Q3" s="13">
        <f ca="1">VLOOKUP($B3,'[8]Analisys QBR By Machine Report'!$C$109:$BD$166,12,FALSE)</f>
        <v>0</v>
      </c>
      <c r="R3" s="13">
        <f ca="1">VLOOKUP($B3,'[8]Analisys QBR By Machine Report'!$C$109:$BD$166,13,FALSE)</f>
        <v>0</v>
      </c>
      <c r="S3" s="13">
        <f ca="1">VLOOKUP($B3,'[8]Analisys QBR By Machine Report'!$C$109:$BD$166,14,FALSE)</f>
        <v>0</v>
      </c>
      <c r="T3" s="13">
        <f ca="1">VLOOKUP($B3,'[8]Analisys QBR By Machine Report'!$C$109:$BD$166,15,FALSE)</f>
        <v>70</v>
      </c>
      <c r="U3" s="13">
        <f ca="1">VLOOKUP($B3,'[8]Analisys QBR By Machine Report'!$C$109:$BD$166,16,FALSE)</f>
        <v>70</v>
      </c>
      <c r="V3" s="13">
        <f ca="1">VLOOKUP($B3,'[8]Analisys QBR By Machine Report'!$C$109:$BD$166,17,FALSE)</f>
        <v>0</v>
      </c>
      <c r="W3" s="13">
        <f ca="1">VLOOKUP($B3,'[8]Analisys QBR By Machine Report'!$C$109:$BD$166,18,FALSE)</f>
        <v>0</v>
      </c>
      <c r="X3" s="13">
        <f ca="1">VLOOKUP($B3,'[8]Analisys QBR By Machine Report'!$C$109:$BD$166,19,FALSE)</f>
        <v>0</v>
      </c>
      <c r="Y3" s="13">
        <f ca="1">VLOOKUP($B3,'[8]Analisys QBR By Machine Report'!$C$109:$BD$166,20,FALSE)</f>
        <v>0</v>
      </c>
      <c r="Z3" s="13">
        <f ca="1">VLOOKUP($B3,'[8]Analisys QBR By Machine Report'!$C$109:$BD$166,21,FALSE)</f>
        <v>4447</v>
      </c>
      <c r="AA3" s="13">
        <f ca="1">VLOOKUP($B3,'[8]Analisys QBR By Machine Report'!$C$109:$BD$166,22,FALSE)</f>
        <v>3232</v>
      </c>
      <c r="AB3" s="13">
        <f ca="1">VLOOKUP($B3,'[8]Analisys QBR By Machine Report'!$C$109:$BD$166,23,FALSE)</f>
        <v>1014</v>
      </c>
      <c r="AC3" s="13">
        <f ca="1">VLOOKUP($B3,'[8]Analisys QBR By Machine Report'!$C$109:$BD$166,24,FALSE)</f>
        <v>6</v>
      </c>
      <c r="AD3" s="13">
        <f ca="1">VLOOKUP($B3,'[8]Analisys QBR By Machine Report'!$C$109:$BD$166,25,FALSE)</f>
        <v>0</v>
      </c>
      <c r="AE3" s="13">
        <f ca="1">VLOOKUP($B3,'[8]Analisys QBR By Machine Report'!$C$109:$BD$166,26,FALSE)</f>
        <v>195</v>
      </c>
      <c r="AF3" s="13">
        <f ca="1">VLOOKUP($B3,'[8]Analisys QBR By Machine Report'!$C$109:$BD$166,27,FALSE)</f>
        <v>0</v>
      </c>
      <c r="AG3" s="13">
        <f ca="1">VLOOKUP($B3,'[8]Analisys QBR By Machine Report'!$C$109:$BD$166,28,FALSE)</f>
        <v>0</v>
      </c>
      <c r="AH3" s="13">
        <f ca="1">VLOOKUP($B3,'[8]Analisys QBR By Machine Report'!$C$109:$BD$166,29,FALSE)</f>
        <v>0</v>
      </c>
      <c r="AI3" s="13">
        <f ca="1">VLOOKUP($B3,'[8]Analisys QBR By Machine Report'!$C$109:$BD$166,30,FALSE)</f>
        <v>1161</v>
      </c>
      <c r="AJ3" s="13">
        <f ca="1">VLOOKUP($B3,'[8]Analisys QBR By Machine Report'!$C$109:$BD$166,31,FALSE)</f>
        <v>0</v>
      </c>
      <c r="AK3" s="13">
        <f ca="1">VLOOKUP($B3,'[8]Analisys QBR By Machine Report'!$C$109:$BD$166,32,FALSE)</f>
        <v>0</v>
      </c>
      <c r="AL3" s="13">
        <f ca="1">VLOOKUP($B3,'[8]Analisys QBR By Machine Report'!$C$109:$BD$166,33,FALSE)</f>
        <v>520</v>
      </c>
      <c r="AM3" s="13">
        <f ca="1">VLOOKUP($B3,'[8]Analisys QBR By Machine Report'!$C$109:$BD$166,34,FALSE)</f>
        <v>0</v>
      </c>
      <c r="AN3" s="13">
        <f ca="1">VLOOKUP($B3,'[8]Analisys QBR By Machine Report'!$C$109:$BD$166,35,FALSE)</f>
        <v>380</v>
      </c>
      <c r="AO3" s="13">
        <f ca="1">VLOOKUP($B3,'[8]Analisys QBR By Machine Report'!$C$109:$BD$166,36,FALSE)</f>
        <v>0</v>
      </c>
      <c r="AP3" s="13">
        <f ca="1">VLOOKUP($B3,'[8]Analisys QBR By Machine Report'!$C$109:$BD$166,37,FALSE)</f>
        <v>0</v>
      </c>
      <c r="AQ3" s="13">
        <f ca="1">VLOOKUP($B3,'[8]Analisys QBR By Machine Report'!$C$109:$BD$166,38,FALSE)</f>
        <v>0</v>
      </c>
      <c r="AR3" s="13">
        <f ca="1">VLOOKUP($B3,'[8]Analisys QBR By Machine Report'!$C$109:$BD$166,39,FALSE)</f>
        <v>0</v>
      </c>
      <c r="AS3" s="13">
        <f ca="1">VLOOKUP($B3,'[8]Analisys QBR By Machine Report'!$C$109:$BD$166,40,FALSE)</f>
        <v>0</v>
      </c>
      <c r="AT3" s="13">
        <f ca="1">VLOOKUP($B3,'[8]Analisys QBR By Machine Report'!$C$109:$BD$166,41,FALSE)</f>
        <v>0</v>
      </c>
      <c r="AU3" s="13">
        <f ca="1">VLOOKUP($B3,'[8]Analisys QBR By Machine Report'!$C$109:$BD$166,42,FALSE)</f>
        <v>261</v>
      </c>
      <c r="AV3" s="13">
        <f ca="1">VLOOKUP($B3,'[8]Analisys QBR By Machine Report'!$C$109:$BD$166,43,FALSE)</f>
        <v>0</v>
      </c>
      <c r="AW3" s="13">
        <f ca="1">VLOOKUP($B3,'[8]Analisys QBR By Machine Report'!$C$109:$BD$166,44,FALSE)</f>
        <v>0</v>
      </c>
      <c r="AX3" s="13">
        <f ca="1">VLOOKUP($B3,'[8]Analisys QBR By Machine Report'!$C$109:$BD$166,45,FALSE)</f>
        <v>0</v>
      </c>
      <c r="AY3" s="13">
        <f ca="1">VLOOKUP($B3,'[8]Analisys QBR By Machine Report'!$C$109:$BD$166,46,FALSE)</f>
        <v>0</v>
      </c>
      <c r="AZ3" s="13">
        <f ca="1">VLOOKUP($B3,'[8]Analisys QBR By Machine Report'!$C$109:$BD$166,47,FALSE)</f>
        <v>0</v>
      </c>
      <c r="BA3" s="13">
        <f ca="1">VLOOKUP($B3,'[8]Analisys QBR By Machine Report'!$C$109:$BD$166,48,FALSE)</f>
        <v>0</v>
      </c>
      <c r="BB3" s="13">
        <f ca="1">VLOOKUP($B3,'[8]Analisys QBR By Machine Report'!$C$109:$BD$166,49,FALSE)</f>
        <v>0</v>
      </c>
      <c r="BC3" s="13">
        <f ca="1">VLOOKUP($B3,'[8]Analisys QBR By Machine Report'!$C$109:$BD$166,50,FALSE)</f>
        <v>0</v>
      </c>
      <c r="BD3" s="13">
        <f ca="1">VLOOKUP($B3,'[8]Analisys QBR By Machine Report'!$C$109:$BD$166,51,FALSE)</f>
        <v>973.44</v>
      </c>
      <c r="BE3" s="13">
        <f ca="1">VLOOKUP($B3,'[8]Analisys QBR By Machine Report'!$C$109:$BD$166,52,FALSE)</f>
        <v>0</v>
      </c>
      <c r="BF3" s="13">
        <f ca="1">VLOOKUP($B3,'[8]Analisys QBR By Machine Report'!$C$109:$BD$166,53,FALSE)</f>
        <v>973.44</v>
      </c>
    </row>
    <row r="4" spans="1:58" x14ac:dyDescent="0.25">
      <c r="A4" s="12" t="s">
        <v>60</v>
      </c>
      <c r="B4" s="13">
        <f ca="1">VLOOKUP($B4,'[8]Analisys QBR By Machine Report'!$C$109:$BD$166,2,FALSE)</f>
        <v>28800</v>
      </c>
      <c r="C4" s="14">
        <f ca="1">VLOOKUP($B4,[8]Dasboard_QBR_Report!$B$109:$BL$166,3,FALSE)</f>
        <v>18600</v>
      </c>
      <c r="D4" s="13">
        <f ca="1">VLOOKUP($B4,'[8]Analisys QBR By Machine Report'!$C$109:$BD$166,3,FALSE)</f>
        <v>24540</v>
      </c>
      <c r="E4" s="14">
        <f ca="1">VLOOKUP($B4,[8]Dasboard_QBR_Report!$B$109:$BL$166,5,FALSE)</f>
        <v>14340</v>
      </c>
      <c r="F4" s="13">
        <f t="shared" ca="1" si="0"/>
        <v>4260</v>
      </c>
      <c r="G4" s="13">
        <f t="shared" ca="1" si="1"/>
        <v>0</v>
      </c>
      <c r="H4" s="13">
        <f ca="1">VLOOKUP($B4,'[8]Analisys QBR By Machine Report'!$C$109:$BD$166,4,FALSE)</f>
        <v>0</v>
      </c>
      <c r="I4" s="13">
        <f ca="1">VLOOKUP($B4,'[8]Analisys QBR By Machine Report'!$C$109:$BD$166,5,FALSE)</f>
        <v>0</v>
      </c>
      <c r="J4" s="13">
        <f ca="1">VLOOKUP($B4,'[8]Analisys QBR By Machine Report'!$C$109:$BD$166,6,FALSE)</f>
        <v>0</v>
      </c>
      <c r="K4" s="13">
        <f ca="1">VLOOKUP($B4,'[8]Analisys QBR By Machine Report'!$C$109:$BD$166,7,FALSE)</f>
        <v>0</v>
      </c>
      <c r="L4" s="13">
        <f ca="1">VLOOKUP($B4,'[8]Analisys QBR By Machine Report'!$C$109:$BD$166,8,FALSE)</f>
        <v>4260</v>
      </c>
      <c r="M4" s="13">
        <f ca="1">VLOOKUP($B4,'[8]Analisys QBR By Machine Report'!$C$109:$BD$166,9,FALSE)</f>
        <v>1295</v>
      </c>
      <c r="N4" s="13">
        <f ca="1">VLOOKUP($B4,[8]Dasboard_QBR_Report!$B$109:$BL$166,18,FALSE)</f>
        <v>2965</v>
      </c>
      <c r="O4" s="13">
        <f ca="1">VLOOKUP($B4,'[8]Analisys QBR By Machine Report'!$C$109:$BD$166,10,FALSE)</f>
        <v>170</v>
      </c>
      <c r="P4" s="13">
        <f ca="1">VLOOKUP($B4,'[8]Analisys QBR By Machine Report'!$C$109:$BD$166,11,FALSE)</f>
        <v>170</v>
      </c>
      <c r="Q4" s="13">
        <f ca="1">VLOOKUP($B4,'[8]Analisys QBR By Machine Report'!$C$109:$BD$166,12,FALSE)</f>
        <v>0</v>
      </c>
      <c r="R4" s="13">
        <f ca="1">VLOOKUP($B4,'[8]Analisys QBR By Machine Report'!$C$109:$BD$166,13,FALSE)</f>
        <v>0</v>
      </c>
      <c r="S4" s="13">
        <f ca="1">VLOOKUP($B4,'[8]Analisys QBR By Machine Report'!$C$109:$BD$166,14,FALSE)</f>
        <v>0</v>
      </c>
      <c r="T4" s="13">
        <f ca="1">VLOOKUP($B4,'[8]Analisys QBR By Machine Report'!$C$109:$BD$166,15,FALSE)</f>
        <v>0</v>
      </c>
      <c r="U4" s="13">
        <f ca="1">VLOOKUP($B4,'[8]Analisys QBR By Machine Report'!$C$109:$BD$166,16,FALSE)</f>
        <v>0</v>
      </c>
      <c r="V4" s="13">
        <f ca="1">VLOOKUP($B4,'[8]Analisys QBR By Machine Report'!$C$109:$BD$166,17,FALSE)</f>
        <v>0</v>
      </c>
      <c r="W4" s="13">
        <f ca="1">VLOOKUP($B4,'[8]Analisys QBR By Machine Report'!$C$109:$BD$166,18,FALSE)</f>
        <v>0</v>
      </c>
      <c r="X4" s="13">
        <f ca="1">VLOOKUP($B4,'[8]Analisys QBR By Machine Report'!$C$109:$BD$166,19,FALSE)</f>
        <v>0</v>
      </c>
      <c r="Y4" s="13">
        <f ca="1">VLOOKUP($B4,'[8]Analisys QBR By Machine Report'!$C$109:$BD$166,20,FALSE)</f>
        <v>0</v>
      </c>
      <c r="Z4" s="13">
        <f ca="1">VLOOKUP($B4,'[8]Analisys QBR By Machine Report'!$C$109:$BD$166,21,FALSE)</f>
        <v>2105</v>
      </c>
      <c r="AA4" s="13">
        <f ca="1">VLOOKUP($B4,'[8]Analisys QBR By Machine Report'!$C$109:$BD$166,22,FALSE)</f>
        <v>1520</v>
      </c>
      <c r="AB4" s="13">
        <f ca="1">VLOOKUP($B4,'[8]Analisys QBR By Machine Report'!$C$109:$BD$166,23,FALSE)</f>
        <v>525</v>
      </c>
      <c r="AC4" s="13">
        <f ca="1">VLOOKUP($B4,'[8]Analisys QBR By Machine Report'!$C$109:$BD$166,24,FALSE)</f>
        <v>0</v>
      </c>
      <c r="AD4" s="13">
        <f ca="1">VLOOKUP($B4,'[8]Analisys QBR By Machine Report'!$C$109:$BD$166,25,FALSE)</f>
        <v>0</v>
      </c>
      <c r="AE4" s="13">
        <f ca="1">VLOOKUP($B4,'[8]Analisys QBR By Machine Report'!$C$109:$BD$166,26,FALSE)</f>
        <v>60</v>
      </c>
      <c r="AF4" s="13">
        <f ca="1">VLOOKUP($B4,'[8]Analisys QBR By Machine Report'!$C$109:$BD$166,27,FALSE)</f>
        <v>0</v>
      </c>
      <c r="AG4" s="13">
        <f ca="1">VLOOKUP($B4,'[8]Analisys QBR By Machine Report'!$C$109:$BD$166,28,FALSE)</f>
        <v>0</v>
      </c>
      <c r="AH4" s="13">
        <f ca="1">VLOOKUP($B4,'[8]Analisys QBR By Machine Report'!$C$109:$BD$166,29,FALSE)</f>
        <v>0</v>
      </c>
      <c r="AI4" s="13">
        <f ca="1">VLOOKUP($B4,'[8]Analisys QBR By Machine Report'!$C$109:$BD$166,30,FALSE)</f>
        <v>690</v>
      </c>
      <c r="AJ4" s="13">
        <f ca="1">VLOOKUP($B4,'[8]Analisys QBR By Machine Report'!$C$109:$BD$166,31,FALSE)</f>
        <v>0</v>
      </c>
      <c r="AK4" s="13">
        <f ca="1">VLOOKUP($B4,'[8]Analisys QBR By Machine Report'!$C$109:$BD$166,32,FALSE)</f>
        <v>0</v>
      </c>
      <c r="AL4" s="13">
        <f ca="1">VLOOKUP($B4,'[8]Analisys QBR By Machine Report'!$C$109:$BD$166,33,FALSE)</f>
        <v>270</v>
      </c>
      <c r="AM4" s="13">
        <f ca="1">VLOOKUP($B4,'[8]Analisys QBR By Machine Report'!$C$109:$BD$166,34,FALSE)</f>
        <v>0</v>
      </c>
      <c r="AN4" s="13">
        <f ca="1">VLOOKUP($B4,'[8]Analisys QBR By Machine Report'!$C$109:$BD$166,35,FALSE)</f>
        <v>165</v>
      </c>
      <c r="AO4" s="13">
        <f ca="1">VLOOKUP($B4,'[8]Analisys QBR By Machine Report'!$C$109:$BD$166,36,FALSE)</f>
        <v>0</v>
      </c>
      <c r="AP4" s="13">
        <f ca="1">VLOOKUP($B4,'[8]Analisys QBR By Machine Report'!$C$109:$BD$166,37,FALSE)</f>
        <v>0</v>
      </c>
      <c r="AQ4" s="13">
        <f ca="1">VLOOKUP($B4,'[8]Analisys QBR By Machine Report'!$C$109:$BD$166,38,FALSE)</f>
        <v>0</v>
      </c>
      <c r="AR4" s="13">
        <f ca="1">VLOOKUP($B4,'[8]Analisys QBR By Machine Report'!$C$109:$BD$166,39,FALSE)</f>
        <v>0</v>
      </c>
      <c r="AS4" s="13">
        <f ca="1">VLOOKUP($B4,'[8]Analisys QBR By Machine Report'!$C$109:$BD$166,40,FALSE)</f>
        <v>0</v>
      </c>
      <c r="AT4" s="13">
        <f ca="1">VLOOKUP($B4,'[8]Analisys QBR By Machine Report'!$C$109:$BD$166,41,FALSE)</f>
        <v>0</v>
      </c>
      <c r="AU4" s="13">
        <f ca="1">VLOOKUP($B4,'[8]Analisys QBR By Machine Report'!$C$109:$BD$166,42,FALSE)</f>
        <v>255</v>
      </c>
      <c r="AV4" s="13">
        <f ca="1">VLOOKUP($B4,'[8]Analisys QBR By Machine Report'!$C$109:$BD$166,43,FALSE)</f>
        <v>0</v>
      </c>
      <c r="AW4" s="13">
        <f ca="1">VLOOKUP($B4,'[8]Analisys QBR By Machine Report'!$C$109:$BD$166,44,FALSE)</f>
        <v>0</v>
      </c>
      <c r="AX4" s="13">
        <f ca="1">VLOOKUP($B4,'[8]Analisys QBR By Machine Report'!$C$109:$BD$166,45,FALSE)</f>
        <v>0</v>
      </c>
      <c r="AY4" s="13">
        <f ca="1">VLOOKUP($B4,'[8]Analisys QBR By Machine Report'!$C$109:$BD$166,46,FALSE)</f>
        <v>0</v>
      </c>
      <c r="AZ4" s="13">
        <f ca="1">VLOOKUP($B4,'[8]Analisys QBR By Machine Report'!$C$109:$BD$166,47,FALSE)</f>
        <v>0</v>
      </c>
      <c r="BA4" s="13">
        <f ca="1">VLOOKUP($B4,'[8]Analisys QBR By Machine Report'!$C$109:$BD$166,48,FALSE)</f>
        <v>0</v>
      </c>
      <c r="BB4" s="13">
        <f ca="1">VLOOKUP($B4,'[8]Analisys QBR By Machine Report'!$C$109:$BD$166,49,FALSE)</f>
        <v>0</v>
      </c>
      <c r="BC4" s="13">
        <f ca="1">VLOOKUP($B4,'[8]Analisys QBR By Machine Report'!$C$109:$BD$166,50,FALSE)</f>
        <v>0</v>
      </c>
      <c r="BD4" s="13">
        <f ca="1">VLOOKUP($B4,'[8]Analisys QBR By Machine Report'!$C$109:$BD$166,51,FALSE)</f>
        <v>1310.46</v>
      </c>
      <c r="BE4" s="13">
        <f ca="1">VLOOKUP($B4,'[8]Analisys QBR By Machine Report'!$C$109:$BD$166,52,FALSE)</f>
        <v>0</v>
      </c>
      <c r="BF4" s="13">
        <f ca="1">VLOOKUP($B4,'[8]Analisys QBR By Machine Report'!$C$109:$BD$166,53,FALSE)</f>
        <v>1310.46</v>
      </c>
    </row>
    <row r="5" spans="1:58" x14ac:dyDescent="0.25">
      <c r="A5" s="12" t="s">
        <v>61</v>
      </c>
      <c r="B5" s="13">
        <f ca="1">VLOOKUP($B5,'[8]Analisys QBR By Machine Report'!$C$109:$BD$166,2,FALSE)</f>
        <v>28800</v>
      </c>
      <c r="C5" s="14">
        <f ca="1">VLOOKUP($B5,[8]Dasboard_QBR_Report!$B$109:$BL$166,3,FALSE)</f>
        <v>18600</v>
      </c>
      <c r="D5" s="13">
        <f ca="1">VLOOKUP($B5,'[8]Analisys QBR By Machine Report'!$C$109:$BD$166,3,FALSE)</f>
        <v>13920</v>
      </c>
      <c r="E5" s="14">
        <f ca="1">VLOOKUP($B5,[8]Dasboard_QBR_Report!$B$109:$BL$166,5,FALSE)</f>
        <v>3720</v>
      </c>
      <c r="F5" s="13">
        <f t="shared" ca="1" si="0"/>
        <v>14880</v>
      </c>
      <c r="G5" s="13">
        <f t="shared" ca="1" si="1"/>
        <v>2225</v>
      </c>
      <c r="H5" s="13">
        <f ca="1">VLOOKUP($B5,'[8]Analisys QBR By Machine Report'!$C$109:$BD$166,4,FALSE)</f>
        <v>1985</v>
      </c>
      <c r="I5" s="13">
        <f ca="1">VLOOKUP($B5,'[8]Analisys QBR By Machine Report'!$C$109:$BD$166,5,FALSE)</f>
        <v>0</v>
      </c>
      <c r="J5" s="13">
        <f ca="1">VLOOKUP($B5,'[8]Analisys QBR By Machine Report'!$C$109:$BD$166,6,FALSE)</f>
        <v>1985</v>
      </c>
      <c r="K5" s="13">
        <f ca="1">VLOOKUP($B5,'[8]Analisys QBR By Machine Report'!$C$109:$BD$166,7,FALSE)</f>
        <v>240</v>
      </c>
      <c r="L5" s="13">
        <f ca="1">VLOOKUP($B5,'[8]Analisys QBR By Machine Report'!$C$109:$BD$166,8,FALSE)</f>
        <v>12655</v>
      </c>
      <c r="M5" s="13">
        <f ca="1">VLOOKUP($B5,'[8]Analisys QBR By Machine Report'!$C$109:$BD$166,9,FALSE)</f>
        <v>673</v>
      </c>
      <c r="N5" s="13">
        <f ca="1">VLOOKUP($B5,[8]Dasboard_QBR_Report!$B$109:$BL$166,18,FALSE)</f>
        <v>11982</v>
      </c>
      <c r="O5" s="13">
        <f ca="1">VLOOKUP($B5,'[8]Analisys QBR By Machine Report'!$C$109:$BD$166,10,FALSE)</f>
        <v>447</v>
      </c>
      <c r="P5" s="13">
        <f ca="1">VLOOKUP($B5,'[8]Analisys QBR By Machine Report'!$C$109:$BD$166,11,FALSE)</f>
        <v>392</v>
      </c>
      <c r="Q5" s="13">
        <f ca="1">VLOOKUP($B5,'[8]Analisys QBR By Machine Report'!$C$109:$BD$166,12,FALSE)</f>
        <v>55</v>
      </c>
      <c r="R5" s="13">
        <f ca="1">VLOOKUP($B5,'[8]Analisys QBR By Machine Report'!$C$109:$BD$166,13,FALSE)</f>
        <v>0</v>
      </c>
      <c r="S5" s="13">
        <f ca="1">VLOOKUP($B5,'[8]Analisys QBR By Machine Report'!$C$109:$BD$166,14,FALSE)</f>
        <v>0</v>
      </c>
      <c r="T5" s="13">
        <f ca="1">VLOOKUP($B5,'[8]Analisys QBR By Machine Report'!$C$109:$BD$166,15,FALSE)</f>
        <v>495</v>
      </c>
      <c r="U5" s="13">
        <f ca="1">VLOOKUP($B5,'[8]Analisys QBR By Machine Report'!$C$109:$BD$166,16,FALSE)</f>
        <v>495</v>
      </c>
      <c r="V5" s="13">
        <f ca="1">VLOOKUP($B5,'[8]Analisys QBR By Machine Report'!$C$109:$BD$166,17,FALSE)</f>
        <v>0</v>
      </c>
      <c r="W5" s="13">
        <f ca="1">VLOOKUP($B5,'[8]Analisys QBR By Machine Report'!$C$109:$BD$166,18,FALSE)</f>
        <v>0</v>
      </c>
      <c r="X5" s="13">
        <f ca="1">VLOOKUP($B5,'[8]Analisys QBR By Machine Report'!$C$109:$BD$166,19,FALSE)</f>
        <v>0</v>
      </c>
      <c r="Y5" s="13">
        <f ca="1">VLOOKUP($B5,'[8]Analisys QBR By Machine Report'!$C$109:$BD$166,20,FALSE)</f>
        <v>0</v>
      </c>
      <c r="Z5" s="13">
        <f ca="1">VLOOKUP($B5,'[8]Analisys QBR By Machine Report'!$C$109:$BD$166,21,FALSE)</f>
        <v>3777</v>
      </c>
      <c r="AA5" s="13">
        <f ca="1">VLOOKUP($B5,'[8]Analisys QBR By Machine Report'!$C$109:$BD$166,22,FALSE)</f>
        <v>1562</v>
      </c>
      <c r="AB5" s="13">
        <f ca="1">VLOOKUP($B5,'[8]Analisys QBR By Machine Report'!$C$109:$BD$166,23,FALSE)</f>
        <v>1995</v>
      </c>
      <c r="AC5" s="13">
        <f ca="1">VLOOKUP($B5,'[8]Analisys QBR By Machine Report'!$C$109:$BD$166,24,FALSE)</f>
        <v>0</v>
      </c>
      <c r="AD5" s="13">
        <f ca="1">VLOOKUP($B5,'[8]Analisys QBR By Machine Report'!$C$109:$BD$166,25,FALSE)</f>
        <v>0</v>
      </c>
      <c r="AE5" s="13">
        <f ca="1">VLOOKUP($B5,'[8]Analisys QBR By Machine Report'!$C$109:$BD$166,26,FALSE)</f>
        <v>220</v>
      </c>
      <c r="AF5" s="13">
        <f ca="1">VLOOKUP($B5,'[8]Analisys QBR By Machine Report'!$C$109:$BD$166,27,FALSE)</f>
        <v>285</v>
      </c>
      <c r="AG5" s="13">
        <f ca="1">VLOOKUP($B5,'[8]Analisys QBR By Machine Report'!$C$109:$BD$166,28,FALSE)</f>
        <v>0</v>
      </c>
      <c r="AH5" s="13">
        <f ca="1">VLOOKUP($B5,'[8]Analisys QBR By Machine Report'!$C$109:$BD$166,29,FALSE)</f>
        <v>285</v>
      </c>
      <c r="AI5" s="13">
        <f ca="1">VLOOKUP($B5,'[8]Analisys QBR By Machine Report'!$C$109:$BD$166,30,FALSE)</f>
        <v>6978</v>
      </c>
      <c r="AJ5" s="13">
        <f ca="1">VLOOKUP($B5,'[8]Analisys QBR By Machine Report'!$C$109:$BD$166,31,FALSE)</f>
        <v>30</v>
      </c>
      <c r="AK5" s="13">
        <f ca="1">VLOOKUP($B5,'[8]Analisys QBR By Machine Report'!$C$109:$BD$166,32,FALSE)</f>
        <v>0</v>
      </c>
      <c r="AL5" s="13">
        <f ca="1">VLOOKUP($B5,'[8]Analisys QBR By Machine Report'!$C$109:$BD$166,33,FALSE)</f>
        <v>330</v>
      </c>
      <c r="AM5" s="13">
        <f ca="1">VLOOKUP($B5,'[8]Analisys QBR By Machine Report'!$C$109:$BD$166,34,FALSE)</f>
        <v>0</v>
      </c>
      <c r="AN5" s="13">
        <f ca="1">VLOOKUP($B5,'[8]Analisys QBR By Machine Report'!$C$109:$BD$166,35,FALSE)</f>
        <v>180</v>
      </c>
      <c r="AO5" s="13">
        <f ca="1">VLOOKUP($B5,'[8]Analisys QBR By Machine Report'!$C$109:$BD$166,36,FALSE)</f>
        <v>0</v>
      </c>
      <c r="AP5" s="13">
        <f ca="1">VLOOKUP($B5,'[8]Analisys QBR By Machine Report'!$C$109:$BD$166,37,FALSE)</f>
        <v>0</v>
      </c>
      <c r="AQ5" s="13">
        <f ca="1">VLOOKUP($B5,'[8]Analisys QBR By Machine Report'!$C$109:$BD$166,38,FALSE)</f>
        <v>0</v>
      </c>
      <c r="AR5" s="13">
        <f ca="1">VLOOKUP($B5,'[8]Analisys QBR By Machine Report'!$C$109:$BD$166,39,FALSE)</f>
        <v>6144</v>
      </c>
      <c r="AS5" s="13">
        <f ca="1">VLOOKUP($B5,'[8]Analisys QBR By Machine Report'!$C$109:$BD$166,40,FALSE)</f>
        <v>23</v>
      </c>
      <c r="AT5" s="13">
        <f ca="1">VLOOKUP($B5,'[8]Analisys QBR By Machine Report'!$C$109:$BD$166,41,FALSE)</f>
        <v>0</v>
      </c>
      <c r="AU5" s="13">
        <f ca="1">VLOOKUP($B5,'[8]Analisys QBR By Machine Report'!$C$109:$BD$166,42,FALSE)</f>
        <v>28</v>
      </c>
      <c r="AV5" s="13">
        <f ca="1">VLOOKUP($B5,'[8]Analisys QBR By Machine Report'!$C$109:$BD$166,43,FALSE)</f>
        <v>0</v>
      </c>
      <c r="AW5" s="13">
        <f ca="1">VLOOKUP($B5,'[8]Analisys QBR By Machine Report'!$C$109:$BD$166,44,FALSE)</f>
        <v>0</v>
      </c>
      <c r="AX5" s="13">
        <f ca="1">VLOOKUP($B5,'[8]Analisys QBR By Machine Report'!$C$109:$BD$166,45,FALSE)</f>
        <v>0</v>
      </c>
      <c r="AY5" s="13">
        <f ca="1">VLOOKUP($B5,'[8]Analisys QBR By Machine Report'!$C$109:$BD$166,46,FALSE)</f>
        <v>0</v>
      </c>
      <c r="AZ5" s="13">
        <f ca="1">VLOOKUP($B5,'[8]Analisys QBR By Machine Report'!$C$109:$BD$166,47,FALSE)</f>
        <v>243</v>
      </c>
      <c r="BA5" s="13">
        <f ca="1">VLOOKUP($B5,'[8]Analisys QBR By Machine Report'!$C$109:$BD$166,48,FALSE)</f>
        <v>0</v>
      </c>
      <c r="BB5" s="13">
        <f ca="1">VLOOKUP($B5,'[8]Analisys QBR By Machine Report'!$C$109:$BD$166,49,FALSE)</f>
        <v>0</v>
      </c>
      <c r="BC5" s="13">
        <f ca="1">VLOOKUP($B5,'[8]Analisys QBR By Machine Report'!$C$109:$BD$166,50,FALSE)</f>
        <v>0</v>
      </c>
      <c r="BD5" s="13">
        <f ca="1">VLOOKUP($B5,'[8]Analisys QBR By Machine Report'!$C$109:$BD$166,51,FALSE)</f>
        <v>4556.1400000000003</v>
      </c>
      <c r="BE5" s="13">
        <f ca="1">VLOOKUP($B5,'[8]Analisys QBR By Machine Report'!$C$109:$BD$166,52,FALSE)</f>
        <v>0</v>
      </c>
      <c r="BF5" s="13">
        <f ca="1">VLOOKUP($B5,'[8]Analisys QBR By Machine Report'!$C$109:$BD$166,53,FALSE)</f>
        <v>4556.1400000000003</v>
      </c>
    </row>
    <row r="6" spans="1:58" x14ac:dyDescent="0.25">
      <c r="A6" s="9" t="s">
        <v>62</v>
      </c>
      <c r="B6" s="10">
        <f ca="1">VLOOKUP($B6,'[8]Analisys QBR By Machine Report'!$C$109:$BD$166,2,FALSE)</f>
        <v>57600</v>
      </c>
      <c r="C6" s="11">
        <f ca="1">VLOOKUP($B6,[8]Dasboard_QBR_Report!$B$109:$BL$166,3,FALSE)</f>
        <v>19200</v>
      </c>
      <c r="D6" s="10">
        <f ca="1">VLOOKUP($B6,'[8]Analisys QBR By Machine Report'!$C$109:$BD$166,3,FALSE)</f>
        <v>48000</v>
      </c>
      <c r="E6" s="11">
        <f ca="1">VLOOKUP($B6,[8]Dasboard_QBR_Report!$B$109:$BL$166,5,FALSE)</f>
        <v>9600</v>
      </c>
      <c r="F6" s="10">
        <f t="shared" ca="1" si="0"/>
        <v>9600</v>
      </c>
      <c r="G6" s="10">
        <f t="shared" ca="1" si="1"/>
        <v>510</v>
      </c>
      <c r="H6" s="10">
        <f ca="1">VLOOKUP($B6,'[8]Analisys QBR By Machine Report'!$C$109:$BD$166,4,FALSE)</f>
        <v>510</v>
      </c>
      <c r="I6" s="10">
        <f ca="1">VLOOKUP($B6,'[8]Analisys QBR By Machine Report'!$C$109:$BD$166,5,FALSE)</f>
        <v>0</v>
      </c>
      <c r="J6" s="10">
        <f ca="1">VLOOKUP($B6,'[8]Analisys QBR By Machine Report'!$C$109:$BD$166,6,FALSE)</f>
        <v>510</v>
      </c>
      <c r="K6" s="10">
        <f ca="1">VLOOKUP($B6,'[8]Analisys QBR By Machine Report'!$C$109:$BD$166,7,FALSE)</f>
        <v>0</v>
      </c>
      <c r="L6" s="10">
        <f ca="1">VLOOKUP($B6,'[8]Analisys QBR By Machine Report'!$C$109:$BD$166,8,FALSE)</f>
        <v>9090</v>
      </c>
      <c r="M6" s="10">
        <f ca="1">VLOOKUP($B6,'[8]Analisys QBR By Machine Report'!$C$109:$BD$166,9,FALSE)</f>
        <v>3110</v>
      </c>
      <c r="N6" s="10">
        <f ca="1">VLOOKUP($B6,[8]Dasboard_QBR_Report!$B$109:$BL$166,18,FALSE)</f>
        <v>5980</v>
      </c>
      <c r="O6" s="10">
        <f ca="1">VLOOKUP($B6,'[8]Analisys QBR By Machine Report'!$C$109:$BD$166,10,FALSE)</f>
        <v>960</v>
      </c>
      <c r="P6" s="10">
        <f ca="1">VLOOKUP($B6,'[8]Analisys QBR By Machine Report'!$C$109:$BD$166,11,FALSE)</f>
        <v>725</v>
      </c>
      <c r="Q6" s="10">
        <f ca="1">VLOOKUP($B6,'[8]Analisys QBR By Machine Report'!$C$109:$BD$166,12,FALSE)</f>
        <v>0</v>
      </c>
      <c r="R6" s="10">
        <f ca="1">VLOOKUP($B6,'[8]Analisys QBR By Machine Report'!$C$109:$BD$166,13,FALSE)</f>
        <v>0</v>
      </c>
      <c r="S6" s="10">
        <f ca="1">VLOOKUP($B6,'[8]Analisys QBR By Machine Report'!$C$109:$BD$166,14,FALSE)</f>
        <v>235</v>
      </c>
      <c r="T6" s="10">
        <f ca="1">VLOOKUP($B6,'[8]Analisys QBR By Machine Report'!$C$109:$BD$166,15,FALSE)</f>
        <v>130</v>
      </c>
      <c r="U6" s="10">
        <f ca="1">VLOOKUP($B6,'[8]Analisys QBR By Machine Report'!$C$109:$BD$166,16,FALSE)</f>
        <v>130</v>
      </c>
      <c r="V6" s="10">
        <f ca="1">VLOOKUP($B6,'[8]Analisys QBR By Machine Report'!$C$109:$BD$166,17,FALSE)</f>
        <v>0</v>
      </c>
      <c r="W6" s="10">
        <f ca="1">VLOOKUP($B6,'[8]Analisys QBR By Machine Report'!$C$109:$BD$166,18,FALSE)</f>
        <v>0</v>
      </c>
      <c r="X6" s="10">
        <f ca="1">VLOOKUP($B6,'[8]Analisys QBR By Machine Report'!$C$109:$BD$166,19,FALSE)</f>
        <v>0</v>
      </c>
      <c r="Y6" s="10">
        <f ca="1">VLOOKUP($B6,'[8]Analisys QBR By Machine Report'!$C$109:$BD$166,20,FALSE)</f>
        <v>0</v>
      </c>
      <c r="Z6" s="10">
        <f ca="1">VLOOKUP($B6,'[8]Analisys QBR By Machine Report'!$C$109:$BD$166,21,FALSE)</f>
        <v>2735</v>
      </c>
      <c r="AA6" s="10">
        <f ca="1">VLOOKUP($B6,'[8]Analisys QBR By Machine Report'!$C$109:$BD$166,22,FALSE)</f>
        <v>1365</v>
      </c>
      <c r="AB6" s="10">
        <f ca="1">VLOOKUP($B6,'[8]Analisys QBR By Machine Report'!$C$109:$BD$166,23,FALSE)</f>
        <v>950</v>
      </c>
      <c r="AC6" s="10">
        <f ca="1">VLOOKUP($B6,'[8]Analisys QBR By Machine Report'!$C$109:$BD$166,24,FALSE)</f>
        <v>215</v>
      </c>
      <c r="AD6" s="10">
        <f ca="1">VLOOKUP($B6,'[8]Analisys QBR By Machine Report'!$C$109:$BD$166,25,FALSE)</f>
        <v>0</v>
      </c>
      <c r="AE6" s="10">
        <f ca="1">VLOOKUP($B6,'[8]Analisys QBR By Machine Report'!$C$109:$BD$166,26,FALSE)</f>
        <v>205</v>
      </c>
      <c r="AF6" s="10">
        <f ca="1">VLOOKUP($B6,'[8]Analisys QBR By Machine Report'!$C$109:$BD$166,27,FALSE)</f>
        <v>170</v>
      </c>
      <c r="AG6" s="10">
        <f ca="1">VLOOKUP($B6,'[8]Analisys QBR By Machine Report'!$C$109:$BD$166,28,FALSE)</f>
        <v>170</v>
      </c>
      <c r="AH6" s="10">
        <f ca="1">VLOOKUP($B6,'[8]Analisys QBR By Machine Report'!$C$109:$BD$166,29,FALSE)</f>
        <v>0</v>
      </c>
      <c r="AI6" s="10">
        <f ca="1">VLOOKUP($B6,'[8]Analisys QBR By Machine Report'!$C$109:$BD$166,30,FALSE)</f>
        <v>1985</v>
      </c>
      <c r="AJ6" s="10">
        <f ca="1">VLOOKUP($B6,'[8]Analisys QBR By Machine Report'!$C$109:$BD$166,31,FALSE)</f>
        <v>0</v>
      </c>
      <c r="AK6" s="10">
        <f ca="1">VLOOKUP($B6,'[8]Analisys QBR By Machine Report'!$C$109:$BD$166,32,FALSE)</f>
        <v>0</v>
      </c>
      <c r="AL6" s="10">
        <f ca="1">VLOOKUP($B6,'[8]Analisys QBR By Machine Report'!$C$109:$BD$166,33,FALSE)</f>
        <v>460</v>
      </c>
      <c r="AM6" s="10">
        <f ca="1">VLOOKUP($B6,'[8]Analisys QBR By Machine Report'!$C$109:$BD$166,34,FALSE)</f>
        <v>0</v>
      </c>
      <c r="AN6" s="10">
        <f ca="1">VLOOKUP($B6,'[8]Analisys QBR By Machine Report'!$C$109:$BD$166,35,FALSE)</f>
        <v>415</v>
      </c>
      <c r="AO6" s="10">
        <f ca="1">VLOOKUP($B6,'[8]Analisys QBR By Machine Report'!$C$109:$BD$166,36,FALSE)</f>
        <v>35</v>
      </c>
      <c r="AP6" s="10">
        <f ca="1">VLOOKUP($B6,'[8]Analisys QBR By Machine Report'!$C$109:$BD$166,37,FALSE)</f>
        <v>0</v>
      </c>
      <c r="AQ6" s="10">
        <f ca="1">VLOOKUP($B6,'[8]Analisys QBR By Machine Report'!$C$109:$BD$166,38,FALSE)</f>
        <v>0</v>
      </c>
      <c r="AR6" s="10">
        <f ca="1">VLOOKUP($B6,'[8]Analisys QBR By Machine Report'!$C$109:$BD$166,39,FALSE)</f>
        <v>495</v>
      </c>
      <c r="AS6" s="10">
        <f ca="1">VLOOKUP($B6,'[8]Analisys QBR By Machine Report'!$C$109:$BD$166,40,FALSE)</f>
        <v>140</v>
      </c>
      <c r="AT6" s="10">
        <f ca="1">VLOOKUP($B6,'[8]Analisys QBR By Machine Report'!$C$109:$BD$166,41,FALSE)</f>
        <v>0</v>
      </c>
      <c r="AU6" s="10">
        <f ca="1">VLOOKUP($B6,'[8]Analisys QBR By Machine Report'!$C$109:$BD$166,42,FALSE)</f>
        <v>0</v>
      </c>
      <c r="AV6" s="10">
        <f ca="1">VLOOKUP($B6,'[8]Analisys QBR By Machine Report'!$C$109:$BD$166,43,FALSE)</f>
        <v>0</v>
      </c>
      <c r="AW6" s="10">
        <f ca="1">VLOOKUP($B6,'[8]Analisys QBR By Machine Report'!$C$109:$BD$166,44,FALSE)</f>
        <v>0</v>
      </c>
      <c r="AX6" s="10">
        <f ca="1">VLOOKUP($B6,'[8]Analisys QBR By Machine Report'!$C$109:$BD$166,45,FALSE)</f>
        <v>0</v>
      </c>
      <c r="AY6" s="10">
        <f ca="1">VLOOKUP($B6,'[8]Analisys QBR By Machine Report'!$C$109:$BD$166,46,FALSE)</f>
        <v>0</v>
      </c>
      <c r="AZ6" s="10">
        <f ca="1">VLOOKUP($B6,'[8]Analisys QBR By Machine Report'!$C$109:$BD$166,47,FALSE)</f>
        <v>235</v>
      </c>
      <c r="BA6" s="10">
        <f ca="1">VLOOKUP($B6,'[8]Analisys QBR By Machine Report'!$C$109:$BD$166,48,FALSE)</f>
        <v>205</v>
      </c>
      <c r="BB6" s="10">
        <f ca="1">VLOOKUP($B6,'[8]Analisys QBR By Machine Report'!$C$109:$BD$166,49,FALSE)</f>
        <v>0</v>
      </c>
      <c r="BC6" s="10">
        <f ca="1">VLOOKUP($B6,'[8]Analisys QBR By Machine Report'!$C$109:$BD$166,50,FALSE)</f>
        <v>0</v>
      </c>
      <c r="BD6" s="10">
        <f ca="1">VLOOKUP($B6,'[8]Analisys QBR By Machine Report'!$C$109:$BD$166,51,FALSE)</f>
        <v>1352652</v>
      </c>
      <c r="BE6" s="10">
        <f ca="1">VLOOKUP($B6,'[8]Analisys QBR By Machine Report'!$C$109:$BD$166,52,FALSE)</f>
        <v>2364</v>
      </c>
      <c r="BF6" s="10">
        <f ca="1">VLOOKUP($B6,'[8]Analisys QBR By Machine Report'!$C$109:$BD$166,53,FALSE)</f>
        <v>1350288</v>
      </c>
    </row>
    <row r="7" spans="1:58" x14ac:dyDescent="0.25">
      <c r="A7" s="12" t="s">
        <v>63</v>
      </c>
      <c r="B7" s="13">
        <f ca="1">VLOOKUP($B7,'[8]Analisys QBR By Machine Report'!$C$109:$BD$166,2,FALSE)</f>
        <v>28800</v>
      </c>
      <c r="C7" s="14">
        <f ca="1">VLOOKUP($B7,[8]Dasboard_QBR_Report!$B$109:$BL$166,3,FALSE)</f>
        <v>9600</v>
      </c>
      <c r="D7" s="13">
        <f ca="1">VLOOKUP($B7,'[8]Analisys QBR By Machine Report'!$C$109:$BD$166,3,FALSE)</f>
        <v>21240</v>
      </c>
      <c r="E7" s="14">
        <f ca="1">VLOOKUP($B7,[8]Dasboard_QBR_Report!$B$109:$BL$166,5,FALSE)</f>
        <v>2040</v>
      </c>
      <c r="F7" s="13">
        <f t="shared" ca="1" si="0"/>
        <v>7560</v>
      </c>
      <c r="G7" s="13">
        <f t="shared" ca="1" si="1"/>
        <v>0</v>
      </c>
      <c r="H7" s="13">
        <f ca="1">VLOOKUP($B7,'[8]Analisys QBR By Machine Report'!$C$109:$BD$166,4,FALSE)</f>
        <v>0</v>
      </c>
      <c r="I7" s="13">
        <f ca="1">VLOOKUP($B7,'[8]Analisys QBR By Machine Report'!$C$109:$BD$166,5,FALSE)</f>
        <v>0</v>
      </c>
      <c r="J7" s="13">
        <f ca="1">VLOOKUP($B7,'[8]Analisys QBR By Machine Report'!$C$109:$BD$166,6,FALSE)</f>
        <v>0</v>
      </c>
      <c r="K7" s="13">
        <f ca="1">VLOOKUP($B7,'[8]Analisys QBR By Machine Report'!$C$109:$BD$166,7,FALSE)</f>
        <v>0</v>
      </c>
      <c r="L7" s="13">
        <f ca="1">VLOOKUP($B7,'[8]Analisys QBR By Machine Report'!$C$109:$BD$166,8,FALSE)</f>
        <v>7560</v>
      </c>
      <c r="M7" s="13">
        <f ca="1">VLOOKUP($B7,'[8]Analisys QBR By Machine Report'!$C$109:$BD$166,9,FALSE)</f>
        <v>2605</v>
      </c>
      <c r="N7" s="13">
        <f ca="1">VLOOKUP($B7,[8]Dasboard_QBR_Report!$B$109:$BL$166,18,FALSE)</f>
        <v>4955</v>
      </c>
      <c r="O7" s="13">
        <f ca="1">VLOOKUP($B7,'[8]Analisys QBR By Machine Report'!$C$109:$BD$166,10,FALSE)</f>
        <v>810</v>
      </c>
      <c r="P7" s="13">
        <f ca="1">VLOOKUP($B7,'[8]Analisys QBR By Machine Report'!$C$109:$BD$166,11,FALSE)</f>
        <v>575</v>
      </c>
      <c r="Q7" s="13">
        <f ca="1">VLOOKUP($B7,'[8]Analisys QBR By Machine Report'!$C$109:$BD$166,12,FALSE)</f>
        <v>0</v>
      </c>
      <c r="R7" s="13">
        <f ca="1">VLOOKUP($B7,'[8]Analisys QBR By Machine Report'!$C$109:$BD$166,13,FALSE)</f>
        <v>0</v>
      </c>
      <c r="S7" s="13">
        <f ca="1">VLOOKUP($B7,'[8]Analisys QBR By Machine Report'!$C$109:$BD$166,14,FALSE)</f>
        <v>235</v>
      </c>
      <c r="T7" s="13">
        <f ca="1">VLOOKUP($B7,'[8]Analisys QBR By Machine Report'!$C$109:$BD$166,15,FALSE)</f>
        <v>130</v>
      </c>
      <c r="U7" s="13">
        <f ca="1">VLOOKUP($B7,'[8]Analisys QBR By Machine Report'!$C$109:$BD$166,16,FALSE)</f>
        <v>130</v>
      </c>
      <c r="V7" s="13">
        <f ca="1">VLOOKUP($B7,'[8]Analisys QBR By Machine Report'!$C$109:$BD$166,17,FALSE)</f>
        <v>0</v>
      </c>
      <c r="W7" s="13">
        <f ca="1">VLOOKUP($B7,'[8]Analisys QBR By Machine Report'!$C$109:$BD$166,18,FALSE)</f>
        <v>0</v>
      </c>
      <c r="X7" s="13">
        <f ca="1">VLOOKUP($B7,'[8]Analisys QBR By Machine Report'!$C$109:$BD$166,19,FALSE)</f>
        <v>0</v>
      </c>
      <c r="Y7" s="13">
        <f ca="1">VLOOKUP($B7,'[8]Analisys QBR By Machine Report'!$C$109:$BD$166,20,FALSE)</f>
        <v>0</v>
      </c>
      <c r="Z7" s="13">
        <f ca="1">VLOOKUP($B7,'[8]Analisys QBR By Machine Report'!$C$109:$BD$166,21,FALSE)</f>
        <v>2535</v>
      </c>
      <c r="AA7" s="13">
        <f ca="1">VLOOKUP($B7,'[8]Analisys QBR By Machine Report'!$C$109:$BD$166,22,FALSE)</f>
        <v>1270</v>
      </c>
      <c r="AB7" s="13">
        <f ca="1">VLOOKUP($B7,'[8]Analisys QBR By Machine Report'!$C$109:$BD$166,23,FALSE)</f>
        <v>860</v>
      </c>
      <c r="AC7" s="13">
        <f ca="1">VLOOKUP($B7,'[8]Analisys QBR By Machine Report'!$C$109:$BD$166,24,FALSE)</f>
        <v>215</v>
      </c>
      <c r="AD7" s="13">
        <f ca="1">VLOOKUP($B7,'[8]Analisys QBR By Machine Report'!$C$109:$BD$166,25,FALSE)</f>
        <v>0</v>
      </c>
      <c r="AE7" s="13">
        <f ca="1">VLOOKUP($B7,'[8]Analisys QBR By Machine Report'!$C$109:$BD$166,26,FALSE)</f>
        <v>190</v>
      </c>
      <c r="AF7" s="13">
        <f ca="1">VLOOKUP($B7,'[8]Analisys QBR By Machine Report'!$C$109:$BD$166,27,FALSE)</f>
        <v>170</v>
      </c>
      <c r="AG7" s="13">
        <f ca="1">VLOOKUP($B7,'[8]Analisys QBR By Machine Report'!$C$109:$BD$166,28,FALSE)</f>
        <v>170</v>
      </c>
      <c r="AH7" s="13">
        <f ca="1">VLOOKUP($B7,'[8]Analisys QBR By Machine Report'!$C$109:$BD$166,29,FALSE)</f>
        <v>0</v>
      </c>
      <c r="AI7" s="13">
        <f ca="1">VLOOKUP($B7,'[8]Analisys QBR By Machine Report'!$C$109:$BD$166,30,FALSE)</f>
        <v>1310</v>
      </c>
      <c r="AJ7" s="13">
        <f ca="1">VLOOKUP($B7,'[8]Analisys QBR By Machine Report'!$C$109:$BD$166,31,FALSE)</f>
        <v>0</v>
      </c>
      <c r="AK7" s="13">
        <f ca="1">VLOOKUP($B7,'[8]Analisys QBR By Machine Report'!$C$109:$BD$166,32,FALSE)</f>
        <v>0</v>
      </c>
      <c r="AL7" s="13">
        <f ca="1">VLOOKUP($B7,'[8]Analisys QBR By Machine Report'!$C$109:$BD$166,33,FALSE)</f>
        <v>400</v>
      </c>
      <c r="AM7" s="13">
        <f ca="1">VLOOKUP($B7,'[8]Analisys QBR By Machine Report'!$C$109:$BD$166,34,FALSE)</f>
        <v>0</v>
      </c>
      <c r="AN7" s="13">
        <f ca="1">VLOOKUP($B7,'[8]Analisys QBR By Machine Report'!$C$109:$BD$166,35,FALSE)</f>
        <v>335</v>
      </c>
      <c r="AO7" s="13">
        <f ca="1">VLOOKUP($B7,'[8]Analisys QBR By Machine Report'!$C$109:$BD$166,36,FALSE)</f>
        <v>0</v>
      </c>
      <c r="AP7" s="13">
        <f ca="1">VLOOKUP($B7,'[8]Analisys QBR By Machine Report'!$C$109:$BD$166,37,FALSE)</f>
        <v>0</v>
      </c>
      <c r="AQ7" s="13">
        <f ca="1">VLOOKUP($B7,'[8]Analisys QBR By Machine Report'!$C$109:$BD$166,38,FALSE)</f>
        <v>0</v>
      </c>
      <c r="AR7" s="13">
        <f ca="1">VLOOKUP($B7,'[8]Analisys QBR By Machine Report'!$C$109:$BD$166,39,FALSE)</f>
        <v>0</v>
      </c>
      <c r="AS7" s="13">
        <f ca="1">VLOOKUP($B7,'[8]Analisys QBR By Machine Report'!$C$109:$BD$166,40,FALSE)</f>
        <v>135</v>
      </c>
      <c r="AT7" s="13">
        <f ca="1">VLOOKUP($B7,'[8]Analisys QBR By Machine Report'!$C$109:$BD$166,41,FALSE)</f>
        <v>0</v>
      </c>
      <c r="AU7" s="13">
        <f ca="1">VLOOKUP($B7,'[8]Analisys QBR By Machine Report'!$C$109:$BD$166,42,FALSE)</f>
        <v>0</v>
      </c>
      <c r="AV7" s="13">
        <f ca="1">VLOOKUP($B7,'[8]Analisys QBR By Machine Report'!$C$109:$BD$166,43,FALSE)</f>
        <v>0</v>
      </c>
      <c r="AW7" s="13">
        <f ca="1">VLOOKUP($B7,'[8]Analisys QBR By Machine Report'!$C$109:$BD$166,44,FALSE)</f>
        <v>0</v>
      </c>
      <c r="AX7" s="13">
        <f ca="1">VLOOKUP($B7,'[8]Analisys QBR By Machine Report'!$C$109:$BD$166,45,FALSE)</f>
        <v>0</v>
      </c>
      <c r="AY7" s="13">
        <f ca="1">VLOOKUP($B7,'[8]Analisys QBR By Machine Report'!$C$109:$BD$166,46,FALSE)</f>
        <v>0</v>
      </c>
      <c r="AZ7" s="13">
        <f ca="1">VLOOKUP($B7,'[8]Analisys QBR By Machine Report'!$C$109:$BD$166,47,FALSE)</f>
        <v>235</v>
      </c>
      <c r="BA7" s="13">
        <f ca="1">VLOOKUP($B7,'[8]Analisys QBR By Machine Report'!$C$109:$BD$166,48,FALSE)</f>
        <v>205</v>
      </c>
      <c r="BB7" s="13">
        <f ca="1">VLOOKUP($B7,'[8]Analisys QBR By Machine Report'!$C$109:$BD$166,49,FALSE)</f>
        <v>0</v>
      </c>
      <c r="BC7" s="13">
        <f ca="1">VLOOKUP($B7,'[8]Analisys QBR By Machine Report'!$C$109:$BD$166,50,FALSE)</f>
        <v>0</v>
      </c>
      <c r="BD7" s="13">
        <f ca="1">VLOOKUP($B7,'[8]Analisys QBR By Machine Report'!$C$109:$BD$166,51,FALSE)</f>
        <v>676737</v>
      </c>
      <c r="BE7" s="13">
        <f ca="1">VLOOKUP($B7,'[8]Analisys QBR By Machine Report'!$C$109:$BD$166,52,FALSE)</f>
        <v>2364</v>
      </c>
      <c r="BF7" s="13">
        <f ca="1">VLOOKUP($B7,'[8]Analisys QBR By Machine Report'!$C$109:$BD$166,53,FALSE)</f>
        <v>674373</v>
      </c>
    </row>
    <row r="8" spans="1:58" x14ac:dyDescent="0.25">
      <c r="A8" s="12" t="s">
        <v>64</v>
      </c>
      <c r="B8" s="13">
        <f ca="1">VLOOKUP($B8,'[8]Analisys QBR By Machine Report'!$C$109:$BD$166,2,FALSE)</f>
        <v>28800</v>
      </c>
      <c r="C8" s="14">
        <f ca="1">VLOOKUP($B8,[8]Dasboard_QBR_Report!$B$109:$BL$166,3,FALSE)</f>
        <v>9600</v>
      </c>
      <c r="D8" s="13">
        <f ca="1">VLOOKUP($B8,'[8]Analisys QBR By Machine Report'!$C$109:$BD$166,3,FALSE)</f>
        <v>26760</v>
      </c>
      <c r="E8" s="14">
        <f ca="1">VLOOKUP($B8,[8]Dasboard_QBR_Report!$B$109:$BL$166,5,FALSE)</f>
        <v>7560</v>
      </c>
      <c r="F8" s="13">
        <f t="shared" ca="1" si="0"/>
        <v>2040</v>
      </c>
      <c r="G8" s="13">
        <f t="shared" ca="1" si="1"/>
        <v>510</v>
      </c>
      <c r="H8" s="13">
        <f ca="1">VLOOKUP($B8,'[8]Analisys QBR By Machine Report'!$C$109:$BD$166,4,FALSE)</f>
        <v>510</v>
      </c>
      <c r="I8" s="13">
        <f ca="1">VLOOKUP($B8,'[8]Analisys QBR By Machine Report'!$C$109:$BD$166,5,FALSE)</f>
        <v>0</v>
      </c>
      <c r="J8" s="13">
        <f ca="1">VLOOKUP($B8,'[8]Analisys QBR By Machine Report'!$C$109:$BD$166,6,FALSE)</f>
        <v>510</v>
      </c>
      <c r="K8" s="13">
        <f ca="1">VLOOKUP($B8,'[8]Analisys QBR By Machine Report'!$C$109:$BD$166,7,FALSE)</f>
        <v>0</v>
      </c>
      <c r="L8" s="13">
        <f ca="1">VLOOKUP($B8,'[8]Analisys QBR By Machine Report'!$C$109:$BD$166,8,FALSE)</f>
        <v>1530</v>
      </c>
      <c r="M8" s="13">
        <f ca="1">VLOOKUP($B8,'[8]Analisys QBR By Machine Report'!$C$109:$BD$166,9,FALSE)</f>
        <v>505</v>
      </c>
      <c r="N8" s="13">
        <f ca="1">VLOOKUP($B8,[8]Dasboard_QBR_Report!$B$109:$BL$166,18,FALSE)</f>
        <v>1025</v>
      </c>
      <c r="O8" s="13">
        <f ca="1">VLOOKUP($B8,'[8]Analisys QBR By Machine Report'!$C$109:$BD$166,10,FALSE)</f>
        <v>150</v>
      </c>
      <c r="P8" s="13">
        <f ca="1">VLOOKUP($B8,'[8]Analisys QBR By Machine Report'!$C$109:$BD$166,11,FALSE)</f>
        <v>150</v>
      </c>
      <c r="Q8" s="13">
        <f ca="1">VLOOKUP($B8,'[8]Analisys QBR By Machine Report'!$C$109:$BD$166,12,FALSE)</f>
        <v>0</v>
      </c>
      <c r="R8" s="13">
        <f ca="1">VLOOKUP($B8,'[8]Analisys QBR By Machine Report'!$C$109:$BD$166,13,FALSE)</f>
        <v>0</v>
      </c>
      <c r="S8" s="13">
        <f ca="1">VLOOKUP($B8,'[8]Analisys QBR By Machine Report'!$C$109:$BD$166,14,FALSE)</f>
        <v>0</v>
      </c>
      <c r="T8" s="13">
        <f ca="1">VLOOKUP($B8,'[8]Analisys QBR By Machine Report'!$C$109:$BD$166,15,FALSE)</f>
        <v>0</v>
      </c>
      <c r="U8" s="13">
        <f ca="1">VLOOKUP($B8,'[8]Analisys QBR By Machine Report'!$C$109:$BD$166,16,FALSE)</f>
        <v>0</v>
      </c>
      <c r="V8" s="13">
        <f ca="1">VLOOKUP($B8,'[8]Analisys QBR By Machine Report'!$C$109:$BD$166,17,FALSE)</f>
        <v>0</v>
      </c>
      <c r="W8" s="13">
        <f ca="1">VLOOKUP($B8,'[8]Analisys QBR By Machine Report'!$C$109:$BD$166,18,FALSE)</f>
        <v>0</v>
      </c>
      <c r="X8" s="13">
        <f ca="1">VLOOKUP($B8,'[8]Analisys QBR By Machine Report'!$C$109:$BD$166,19,FALSE)</f>
        <v>0</v>
      </c>
      <c r="Y8" s="13">
        <f ca="1">VLOOKUP($B8,'[8]Analisys QBR By Machine Report'!$C$109:$BD$166,20,FALSE)</f>
        <v>0</v>
      </c>
      <c r="Z8" s="13">
        <f ca="1">VLOOKUP($B8,'[8]Analisys QBR By Machine Report'!$C$109:$BD$166,21,FALSE)</f>
        <v>200</v>
      </c>
      <c r="AA8" s="13">
        <f ca="1">VLOOKUP($B8,'[8]Analisys QBR By Machine Report'!$C$109:$BD$166,22,FALSE)</f>
        <v>95</v>
      </c>
      <c r="AB8" s="13">
        <f ca="1">VLOOKUP($B8,'[8]Analisys QBR By Machine Report'!$C$109:$BD$166,23,FALSE)</f>
        <v>90</v>
      </c>
      <c r="AC8" s="13">
        <f ca="1">VLOOKUP($B8,'[8]Analisys QBR By Machine Report'!$C$109:$BD$166,24,FALSE)</f>
        <v>0</v>
      </c>
      <c r="AD8" s="13">
        <f ca="1">VLOOKUP($B8,'[8]Analisys QBR By Machine Report'!$C$109:$BD$166,25,FALSE)</f>
        <v>0</v>
      </c>
      <c r="AE8" s="13">
        <f ca="1">VLOOKUP($B8,'[8]Analisys QBR By Machine Report'!$C$109:$BD$166,26,FALSE)</f>
        <v>15</v>
      </c>
      <c r="AF8" s="13">
        <f ca="1">VLOOKUP($B8,'[8]Analisys QBR By Machine Report'!$C$109:$BD$166,27,FALSE)</f>
        <v>0</v>
      </c>
      <c r="AG8" s="13">
        <f ca="1">VLOOKUP($B8,'[8]Analisys QBR By Machine Report'!$C$109:$BD$166,28,FALSE)</f>
        <v>0</v>
      </c>
      <c r="AH8" s="13">
        <f ca="1">VLOOKUP($B8,'[8]Analisys QBR By Machine Report'!$C$109:$BD$166,29,FALSE)</f>
        <v>0</v>
      </c>
      <c r="AI8" s="13">
        <f ca="1">VLOOKUP($B8,'[8]Analisys QBR By Machine Report'!$C$109:$BD$166,30,FALSE)</f>
        <v>675</v>
      </c>
      <c r="AJ8" s="13">
        <f ca="1">VLOOKUP($B8,'[8]Analisys QBR By Machine Report'!$C$109:$BD$166,31,FALSE)</f>
        <v>0</v>
      </c>
      <c r="AK8" s="13">
        <f ca="1">VLOOKUP($B8,'[8]Analisys QBR By Machine Report'!$C$109:$BD$166,32,FALSE)</f>
        <v>0</v>
      </c>
      <c r="AL8" s="13">
        <f ca="1">VLOOKUP($B8,'[8]Analisys QBR By Machine Report'!$C$109:$BD$166,33,FALSE)</f>
        <v>60</v>
      </c>
      <c r="AM8" s="13">
        <f ca="1">VLOOKUP($B8,'[8]Analisys QBR By Machine Report'!$C$109:$BD$166,34,FALSE)</f>
        <v>0</v>
      </c>
      <c r="AN8" s="13">
        <f ca="1">VLOOKUP($B8,'[8]Analisys QBR By Machine Report'!$C$109:$BD$166,35,FALSE)</f>
        <v>80</v>
      </c>
      <c r="AO8" s="13">
        <f ca="1">VLOOKUP($B8,'[8]Analisys QBR By Machine Report'!$C$109:$BD$166,36,FALSE)</f>
        <v>35</v>
      </c>
      <c r="AP8" s="13">
        <f ca="1">VLOOKUP($B8,'[8]Analisys QBR By Machine Report'!$C$109:$BD$166,37,FALSE)</f>
        <v>0</v>
      </c>
      <c r="AQ8" s="13">
        <f ca="1">VLOOKUP($B8,'[8]Analisys QBR By Machine Report'!$C$109:$BD$166,38,FALSE)</f>
        <v>0</v>
      </c>
      <c r="AR8" s="13">
        <f ca="1">VLOOKUP($B8,'[8]Analisys QBR By Machine Report'!$C$109:$BD$166,39,FALSE)</f>
        <v>495</v>
      </c>
      <c r="AS8" s="13">
        <f ca="1">VLOOKUP($B8,'[8]Analisys QBR By Machine Report'!$C$109:$BD$166,40,FALSE)</f>
        <v>5</v>
      </c>
      <c r="AT8" s="13">
        <f ca="1">VLOOKUP($B8,'[8]Analisys QBR By Machine Report'!$C$109:$BD$166,41,FALSE)</f>
        <v>0</v>
      </c>
      <c r="AU8" s="13">
        <f ca="1">VLOOKUP($B8,'[8]Analisys QBR By Machine Report'!$C$109:$BD$166,42,FALSE)</f>
        <v>0</v>
      </c>
      <c r="AV8" s="13">
        <f ca="1">VLOOKUP($B8,'[8]Analisys QBR By Machine Report'!$C$109:$BD$166,43,FALSE)</f>
        <v>0</v>
      </c>
      <c r="AW8" s="13">
        <f ca="1">VLOOKUP($B8,'[8]Analisys QBR By Machine Report'!$C$109:$BD$166,44,FALSE)</f>
        <v>0</v>
      </c>
      <c r="AX8" s="13">
        <f ca="1">VLOOKUP($B8,'[8]Analisys QBR By Machine Report'!$C$109:$BD$166,45,FALSE)</f>
        <v>0</v>
      </c>
      <c r="AY8" s="13">
        <f ca="1">VLOOKUP($B8,'[8]Analisys QBR By Machine Report'!$C$109:$BD$166,46,FALSE)</f>
        <v>0</v>
      </c>
      <c r="AZ8" s="13">
        <f ca="1">VLOOKUP($B8,'[8]Analisys QBR By Machine Report'!$C$109:$BD$166,47,FALSE)</f>
        <v>0</v>
      </c>
      <c r="BA8" s="13">
        <f ca="1">VLOOKUP($B8,'[8]Analisys QBR By Machine Report'!$C$109:$BD$166,48,FALSE)</f>
        <v>0</v>
      </c>
      <c r="BB8" s="13">
        <f ca="1">VLOOKUP($B8,'[8]Analisys QBR By Machine Report'!$C$109:$BD$166,49,FALSE)</f>
        <v>0</v>
      </c>
      <c r="BC8" s="13">
        <f ca="1">VLOOKUP($B8,'[8]Analisys QBR By Machine Report'!$C$109:$BD$166,50,FALSE)</f>
        <v>0</v>
      </c>
      <c r="BD8" s="13">
        <f ca="1">VLOOKUP($B8,'[8]Analisys QBR By Machine Report'!$C$109:$BD$166,51,FALSE)</f>
        <v>675915</v>
      </c>
      <c r="BE8" s="13">
        <f ca="1">VLOOKUP($B8,'[8]Analisys QBR By Machine Report'!$C$109:$BD$166,52,FALSE)</f>
        <v>0</v>
      </c>
      <c r="BF8" s="13">
        <f ca="1">VLOOKUP($B8,'[8]Analisys QBR By Machine Report'!$C$109:$BD$166,53,FALSE)</f>
        <v>675915</v>
      </c>
    </row>
    <row r="9" spans="1:58" x14ac:dyDescent="0.25">
      <c r="A9" s="9" t="s">
        <v>65</v>
      </c>
      <c r="B9" s="10">
        <f ca="1">VLOOKUP($B9,'[8]Analisys QBR By Machine Report'!$C$109:$BD$166,2,FALSE)</f>
        <v>86400</v>
      </c>
      <c r="C9" s="11">
        <f ca="1">VLOOKUP($B9,[8]Dasboard_QBR_Report!$B$109:$BL$166,3,FALSE)</f>
        <v>46800</v>
      </c>
      <c r="D9" s="10">
        <f ca="1">VLOOKUP($B9,'[8]Analisys QBR By Machine Report'!$C$109:$BD$166,3,FALSE)</f>
        <v>53550</v>
      </c>
      <c r="E9" s="11">
        <f ca="1">VLOOKUP($B9,[8]Dasboard_QBR_Report!$B$109:$BL$166,5,FALSE)</f>
        <v>13950</v>
      </c>
      <c r="F9" s="10">
        <f t="shared" ca="1" si="0"/>
        <v>32850</v>
      </c>
      <c r="G9" s="10">
        <f t="shared" ca="1" si="1"/>
        <v>2285</v>
      </c>
      <c r="H9" s="10">
        <f ca="1">VLOOKUP($B9,'[8]Analisys QBR By Machine Report'!$C$109:$BD$166,4,FALSE)</f>
        <v>2285</v>
      </c>
      <c r="I9" s="10">
        <f ca="1">VLOOKUP($B9,'[8]Analisys QBR By Machine Report'!$C$109:$BD$166,5,FALSE)</f>
        <v>30</v>
      </c>
      <c r="J9" s="10">
        <f ca="1">VLOOKUP($B9,'[8]Analisys QBR By Machine Report'!$C$109:$BD$166,6,FALSE)</f>
        <v>2255</v>
      </c>
      <c r="K9" s="10">
        <f ca="1">VLOOKUP($B9,'[8]Analisys QBR By Machine Report'!$C$109:$BD$166,7,FALSE)</f>
        <v>0</v>
      </c>
      <c r="L9" s="10">
        <f ca="1">VLOOKUP($B9,'[8]Analisys QBR By Machine Report'!$C$109:$BD$166,8,FALSE)</f>
        <v>30565</v>
      </c>
      <c r="M9" s="10">
        <f ca="1">VLOOKUP($B9,'[8]Analisys QBR By Machine Report'!$C$109:$BD$166,9,FALSE)</f>
        <v>10935</v>
      </c>
      <c r="N9" s="10">
        <f ca="1">VLOOKUP($B9,[8]Dasboard_QBR_Report!$B$109:$BL$166,18,FALSE)</f>
        <v>19630</v>
      </c>
      <c r="O9" s="10">
        <f ca="1">VLOOKUP($B9,'[8]Analisys QBR By Machine Report'!$C$109:$BD$166,10,FALSE)</f>
        <v>3705</v>
      </c>
      <c r="P9" s="10">
        <f ca="1">VLOOKUP($B9,'[8]Analisys QBR By Machine Report'!$C$109:$BD$166,11,FALSE)</f>
        <v>2370</v>
      </c>
      <c r="Q9" s="10">
        <f ca="1">VLOOKUP($B9,'[8]Analisys QBR By Machine Report'!$C$109:$BD$166,12,FALSE)</f>
        <v>0</v>
      </c>
      <c r="R9" s="10">
        <f ca="1">VLOOKUP($B9,'[8]Analisys QBR By Machine Report'!$C$109:$BD$166,13,FALSE)</f>
        <v>190</v>
      </c>
      <c r="S9" s="10">
        <f ca="1">VLOOKUP($B9,'[8]Analisys QBR By Machine Report'!$C$109:$BD$166,14,FALSE)</f>
        <v>1145</v>
      </c>
      <c r="T9" s="10">
        <f ca="1">VLOOKUP($B9,'[8]Analisys QBR By Machine Report'!$C$109:$BD$166,15,FALSE)</f>
        <v>340</v>
      </c>
      <c r="U9" s="10">
        <f ca="1">VLOOKUP($B9,'[8]Analisys QBR By Machine Report'!$C$109:$BD$166,16,FALSE)</f>
        <v>340</v>
      </c>
      <c r="V9" s="10">
        <f ca="1">VLOOKUP($B9,'[8]Analisys QBR By Machine Report'!$C$109:$BD$166,17,FALSE)</f>
        <v>0</v>
      </c>
      <c r="W9" s="10">
        <f ca="1">VLOOKUP($B9,'[8]Analisys QBR By Machine Report'!$C$109:$BD$166,18,FALSE)</f>
        <v>0</v>
      </c>
      <c r="X9" s="10">
        <f ca="1">VLOOKUP($B9,'[8]Analisys QBR By Machine Report'!$C$109:$BD$166,19,FALSE)</f>
        <v>0</v>
      </c>
      <c r="Y9" s="10">
        <f ca="1">VLOOKUP($B9,'[8]Analisys QBR By Machine Report'!$C$109:$BD$166,20,FALSE)</f>
        <v>0</v>
      </c>
      <c r="Z9" s="10">
        <f ca="1">VLOOKUP($B9,'[8]Analisys QBR By Machine Report'!$C$109:$BD$166,21,FALSE)</f>
        <v>4885</v>
      </c>
      <c r="AA9" s="10">
        <f ca="1">VLOOKUP($B9,'[8]Analisys QBR By Machine Report'!$C$109:$BD$166,22,FALSE)</f>
        <v>1225</v>
      </c>
      <c r="AB9" s="10">
        <f ca="1">VLOOKUP($B9,'[8]Analisys QBR By Machine Report'!$C$109:$BD$166,23,FALSE)</f>
        <v>2755</v>
      </c>
      <c r="AC9" s="10">
        <f ca="1">VLOOKUP($B9,'[8]Analisys QBR By Machine Report'!$C$109:$BD$166,24,FALSE)</f>
        <v>230</v>
      </c>
      <c r="AD9" s="10">
        <f ca="1">VLOOKUP($B9,'[8]Analisys QBR By Machine Report'!$C$109:$BD$166,25,FALSE)</f>
        <v>0</v>
      </c>
      <c r="AE9" s="10">
        <f ca="1">VLOOKUP($B9,'[8]Analisys QBR By Machine Report'!$C$109:$BD$166,26,FALSE)</f>
        <v>675</v>
      </c>
      <c r="AF9" s="10">
        <f ca="1">VLOOKUP($B9,'[8]Analisys QBR By Machine Report'!$C$109:$BD$166,27,FALSE)</f>
        <v>2180</v>
      </c>
      <c r="AG9" s="10">
        <f ca="1">VLOOKUP($B9,'[8]Analisys QBR By Machine Report'!$C$109:$BD$166,28,FALSE)</f>
        <v>780</v>
      </c>
      <c r="AH9" s="10">
        <f ca="1">VLOOKUP($B9,'[8]Analisys QBR By Machine Report'!$C$109:$BD$166,29,FALSE)</f>
        <v>1400</v>
      </c>
      <c r="AI9" s="10">
        <f ca="1">VLOOKUP($B9,'[8]Analisys QBR By Machine Report'!$C$109:$BD$166,30,FALSE)</f>
        <v>8520</v>
      </c>
      <c r="AJ9" s="10">
        <f ca="1">VLOOKUP($B9,'[8]Analisys QBR By Machine Report'!$C$109:$BD$166,31,FALSE)</f>
        <v>0</v>
      </c>
      <c r="AK9" s="10">
        <f ca="1">VLOOKUP($B9,'[8]Analisys QBR By Machine Report'!$C$109:$BD$166,32,FALSE)</f>
        <v>0</v>
      </c>
      <c r="AL9" s="10">
        <f ca="1">VLOOKUP($B9,'[8]Analisys QBR By Machine Report'!$C$109:$BD$166,33,FALSE)</f>
        <v>1525</v>
      </c>
      <c r="AM9" s="10">
        <f ca="1">VLOOKUP($B9,'[8]Analisys QBR By Machine Report'!$C$109:$BD$166,34,FALSE)</f>
        <v>0</v>
      </c>
      <c r="AN9" s="10">
        <f ca="1">VLOOKUP($B9,'[8]Analisys QBR By Machine Report'!$C$109:$BD$166,35,FALSE)</f>
        <v>1210</v>
      </c>
      <c r="AO9" s="10">
        <f ca="1">VLOOKUP($B9,'[8]Analisys QBR By Machine Report'!$C$109:$BD$166,36,FALSE)</f>
        <v>1035</v>
      </c>
      <c r="AP9" s="10">
        <f ca="1">VLOOKUP($B9,'[8]Analisys QBR By Machine Report'!$C$109:$BD$166,37,FALSE)</f>
        <v>75</v>
      </c>
      <c r="AQ9" s="10">
        <f ca="1">VLOOKUP($B9,'[8]Analisys QBR By Machine Report'!$C$109:$BD$166,38,FALSE)</f>
        <v>0</v>
      </c>
      <c r="AR9" s="10">
        <f ca="1">VLOOKUP($B9,'[8]Analisys QBR By Machine Report'!$C$109:$BD$166,39,FALSE)</f>
        <v>905</v>
      </c>
      <c r="AS9" s="10">
        <f ca="1">VLOOKUP($B9,'[8]Analisys QBR By Machine Report'!$C$109:$BD$166,40,FALSE)</f>
        <v>670</v>
      </c>
      <c r="AT9" s="10">
        <f ca="1">VLOOKUP($B9,'[8]Analisys QBR By Machine Report'!$C$109:$BD$166,41,FALSE)</f>
        <v>0</v>
      </c>
      <c r="AU9" s="10">
        <f ca="1">VLOOKUP($B9,'[8]Analisys QBR By Machine Report'!$C$109:$BD$166,42,FALSE)</f>
        <v>0</v>
      </c>
      <c r="AV9" s="10">
        <f ca="1">VLOOKUP($B9,'[8]Analisys QBR By Machine Report'!$C$109:$BD$166,43,FALSE)</f>
        <v>0</v>
      </c>
      <c r="AW9" s="10">
        <f ca="1">VLOOKUP($B9,'[8]Analisys QBR By Machine Report'!$C$109:$BD$166,44,FALSE)</f>
        <v>0</v>
      </c>
      <c r="AX9" s="10">
        <f ca="1">VLOOKUP($B9,'[8]Analisys QBR By Machine Report'!$C$109:$BD$166,45,FALSE)</f>
        <v>0</v>
      </c>
      <c r="AY9" s="10">
        <f ca="1">VLOOKUP($B9,'[8]Analisys QBR By Machine Report'!$C$109:$BD$166,46,FALSE)</f>
        <v>0</v>
      </c>
      <c r="AZ9" s="10">
        <f ca="1">VLOOKUP($B9,'[8]Analisys QBR By Machine Report'!$C$109:$BD$166,47,FALSE)</f>
        <v>2350</v>
      </c>
      <c r="BA9" s="10">
        <f ca="1">VLOOKUP($B9,'[8]Analisys QBR By Machine Report'!$C$109:$BD$166,48,FALSE)</f>
        <v>750</v>
      </c>
      <c r="BB9" s="10">
        <f ca="1">VLOOKUP($B9,'[8]Analisys QBR By Machine Report'!$C$109:$BD$166,49,FALSE)</f>
        <v>0</v>
      </c>
      <c r="BC9" s="10">
        <f ca="1">VLOOKUP($B9,'[8]Analisys QBR By Machine Report'!$C$109:$BD$166,50,FALSE)</f>
        <v>0</v>
      </c>
      <c r="BD9" s="10">
        <f ca="1">VLOOKUP($B9,'[8]Analisys QBR By Machine Report'!$C$109:$BD$166,51,FALSE)</f>
        <v>8476822.5600000005</v>
      </c>
      <c r="BE9" s="10">
        <f ca="1">VLOOKUP($B9,'[8]Analisys QBR By Machine Report'!$C$109:$BD$166,52,FALSE)</f>
        <v>11333</v>
      </c>
      <c r="BF9" s="10">
        <f ca="1">VLOOKUP($B9,'[8]Analisys QBR By Machine Report'!$C$109:$BD$166,53,FALSE)</f>
        <v>8465489.5600000005</v>
      </c>
    </row>
    <row r="10" spans="1:58" x14ac:dyDescent="0.25">
      <c r="A10" s="12" t="s">
        <v>66</v>
      </c>
      <c r="B10" s="13">
        <f ca="1">VLOOKUP($B10,'[8]Analisys QBR By Machine Report'!$C$109:$BD$166,2,FALSE)</f>
        <v>28800</v>
      </c>
      <c r="C10" s="14">
        <f ca="1">VLOOKUP($B10,[8]Dasboard_QBR_Report!$B$109:$BL$166,3,FALSE)</f>
        <v>18600</v>
      </c>
      <c r="D10" s="13">
        <f ca="1">VLOOKUP($B10,'[8]Analisys QBR By Machine Report'!$C$109:$BD$166,3,FALSE)</f>
        <v>15180</v>
      </c>
      <c r="E10" s="14">
        <f ca="1">VLOOKUP($B10,[8]Dasboard_QBR_Report!$B$109:$BL$166,5,FALSE)</f>
        <v>4980</v>
      </c>
      <c r="F10" s="13">
        <f t="shared" ca="1" si="0"/>
        <v>13620</v>
      </c>
      <c r="G10" s="13">
        <f t="shared" ca="1" si="1"/>
        <v>790</v>
      </c>
      <c r="H10" s="13">
        <f ca="1">VLOOKUP($B10,'[8]Analisys QBR By Machine Report'!$C$109:$BD$166,4,FALSE)</f>
        <v>790</v>
      </c>
      <c r="I10" s="13">
        <f ca="1">VLOOKUP($B10,'[8]Analisys QBR By Machine Report'!$C$109:$BD$166,5,FALSE)</f>
        <v>0</v>
      </c>
      <c r="J10" s="13">
        <f ca="1">VLOOKUP($B10,'[8]Analisys QBR By Machine Report'!$C$109:$BD$166,6,FALSE)</f>
        <v>790</v>
      </c>
      <c r="K10" s="13">
        <f ca="1">VLOOKUP($B10,'[8]Analisys QBR By Machine Report'!$C$109:$BD$166,7,FALSE)</f>
        <v>0</v>
      </c>
      <c r="L10" s="13">
        <f ca="1">VLOOKUP($B10,'[8]Analisys QBR By Machine Report'!$C$109:$BD$166,8,FALSE)</f>
        <v>12830</v>
      </c>
      <c r="M10" s="13">
        <f ca="1">VLOOKUP($B10,'[8]Analisys QBR By Machine Report'!$C$109:$BD$166,9,FALSE)</f>
        <v>4995</v>
      </c>
      <c r="N10" s="13">
        <f ca="1">VLOOKUP($B10,[8]Dasboard_QBR_Report!$B$109:$BL$166,18,FALSE)</f>
        <v>7835</v>
      </c>
      <c r="O10" s="13">
        <f ca="1">VLOOKUP($B10,'[8]Analisys QBR By Machine Report'!$C$109:$BD$166,10,FALSE)</f>
        <v>1795</v>
      </c>
      <c r="P10" s="13">
        <f ca="1">VLOOKUP($B10,'[8]Analisys QBR By Machine Report'!$C$109:$BD$166,11,FALSE)</f>
        <v>1135</v>
      </c>
      <c r="Q10" s="13">
        <f ca="1">VLOOKUP($B10,'[8]Analisys QBR By Machine Report'!$C$109:$BD$166,12,FALSE)</f>
        <v>0</v>
      </c>
      <c r="R10" s="13">
        <f ca="1">VLOOKUP($B10,'[8]Analisys QBR By Machine Report'!$C$109:$BD$166,13,FALSE)</f>
        <v>35</v>
      </c>
      <c r="S10" s="13">
        <f ca="1">VLOOKUP($B10,'[8]Analisys QBR By Machine Report'!$C$109:$BD$166,14,FALSE)</f>
        <v>625</v>
      </c>
      <c r="T10" s="13">
        <f ca="1">VLOOKUP($B10,'[8]Analisys QBR By Machine Report'!$C$109:$BD$166,15,FALSE)</f>
        <v>340</v>
      </c>
      <c r="U10" s="13">
        <f ca="1">VLOOKUP($B10,'[8]Analisys QBR By Machine Report'!$C$109:$BD$166,16,FALSE)</f>
        <v>340</v>
      </c>
      <c r="V10" s="13">
        <f ca="1">VLOOKUP($B10,'[8]Analisys QBR By Machine Report'!$C$109:$BD$166,17,FALSE)</f>
        <v>0</v>
      </c>
      <c r="W10" s="13">
        <f ca="1">VLOOKUP($B10,'[8]Analisys QBR By Machine Report'!$C$109:$BD$166,18,FALSE)</f>
        <v>0</v>
      </c>
      <c r="X10" s="13">
        <f ca="1">VLOOKUP($B10,'[8]Analisys QBR By Machine Report'!$C$109:$BD$166,19,FALSE)</f>
        <v>0</v>
      </c>
      <c r="Y10" s="13">
        <f ca="1">VLOOKUP($B10,'[8]Analisys QBR By Machine Report'!$C$109:$BD$166,20,FALSE)</f>
        <v>0</v>
      </c>
      <c r="Z10" s="13">
        <f ca="1">VLOOKUP($B10,'[8]Analisys QBR By Machine Report'!$C$109:$BD$166,21,FALSE)</f>
        <v>2270</v>
      </c>
      <c r="AA10" s="13">
        <f ca="1">VLOOKUP($B10,'[8]Analisys QBR By Machine Report'!$C$109:$BD$166,22,FALSE)</f>
        <v>740</v>
      </c>
      <c r="AB10" s="13">
        <f ca="1">VLOOKUP($B10,'[8]Analisys QBR By Machine Report'!$C$109:$BD$166,23,FALSE)</f>
        <v>1100</v>
      </c>
      <c r="AC10" s="13">
        <f ca="1">VLOOKUP($B10,'[8]Analisys QBR By Machine Report'!$C$109:$BD$166,24,FALSE)</f>
        <v>100</v>
      </c>
      <c r="AD10" s="13">
        <f ca="1">VLOOKUP($B10,'[8]Analisys QBR By Machine Report'!$C$109:$BD$166,25,FALSE)</f>
        <v>0</v>
      </c>
      <c r="AE10" s="13">
        <f ca="1">VLOOKUP($B10,'[8]Analisys QBR By Machine Report'!$C$109:$BD$166,26,FALSE)</f>
        <v>330</v>
      </c>
      <c r="AF10" s="13">
        <f ca="1">VLOOKUP($B10,'[8]Analisys QBR By Machine Report'!$C$109:$BD$166,27,FALSE)</f>
        <v>60</v>
      </c>
      <c r="AG10" s="13">
        <f ca="1">VLOOKUP($B10,'[8]Analisys QBR By Machine Report'!$C$109:$BD$166,28,FALSE)</f>
        <v>60</v>
      </c>
      <c r="AH10" s="13">
        <f ca="1">VLOOKUP($B10,'[8]Analisys QBR By Machine Report'!$C$109:$BD$166,29,FALSE)</f>
        <v>0</v>
      </c>
      <c r="AI10" s="13">
        <f ca="1">VLOOKUP($B10,'[8]Analisys QBR By Machine Report'!$C$109:$BD$166,30,FALSE)</f>
        <v>3370</v>
      </c>
      <c r="AJ10" s="13">
        <f ca="1">VLOOKUP($B10,'[8]Analisys QBR By Machine Report'!$C$109:$BD$166,31,FALSE)</f>
        <v>0</v>
      </c>
      <c r="AK10" s="13">
        <f ca="1">VLOOKUP($B10,'[8]Analisys QBR By Machine Report'!$C$109:$BD$166,32,FALSE)</f>
        <v>0</v>
      </c>
      <c r="AL10" s="13">
        <f ca="1">VLOOKUP($B10,'[8]Analisys QBR By Machine Report'!$C$109:$BD$166,33,FALSE)</f>
        <v>740</v>
      </c>
      <c r="AM10" s="13">
        <f ca="1">VLOOKUP($B10,'[8]Analisys QBR By Machine Report'!$C$109:$BD$166,34,FALSE)</f>
        <v>0</v>
      </c>
      <c r="AN10" s="13">
        <f ca="1">VLOOKUP($B10,'[8]Analisys QBR By Machine Report'!$C$109:$BD$166,35,FALSE)</f>
        <v>595</v>
      </c>
      <c r="AO10" s="13">
        <f ca="1">VLOOKUP($B10,'[8]Analisys QBR By Machine Report'!$C$109:$BD$166,36,FALSE)</f>
        <v>360</v>
      </c>
      <c r="AP10" s="13">
        <f ca="1">VLOOKUP($B10,'[8]Analisys QBR By Machine Report'!$C$109:$BD$166,37,FALSE)</f>
        <v>75</v>
      </c>
      <c r="AQ10" s="13">
        <f ca="1">VLOOKUP($B10,'[8]Analisys QBR By Machine Report'!$C$109:$BD$166,38,FALSE)</f>
        <v>0</v>
      </c>
      <c r="AR10" s="13">
        <f ca="1">VLOOKUP($B10,'[8]Analisys QBR By Machine Report'!$C$109:$BD$166,39,FALSE)</f>
        <v>400</v>
      </c>
      <c r="AS10" s="13">
        <f ca="1">VLOOKUP($B10,'[8]Analisys QBR By Machine Report'!$C$109:$BD$166,40,FALSE)</f>
        <v>240</v>
      </c>
      <c r="AT10" s="13">
        <f ca="1">VLOOKUP($B10,'[8]Analisys QBR By Machine Report'!$C$109:$BD$166,41,FALSE)</f>
        <v>0</v>
      </c>
      <c r="AU10" s="13">
        <f ca="1">VLOOKUP($B10,'[8]Analisys QBR By Machine Report'!$C$109:$BD$166,42,FALSE)</f>
        <v>0</v>
      </c>
      <c r="AV10" s="13">
        <f ca="1">VLOOKUP($B10,'[8]Analisys QBR By Machine Report'!$C$109:$BD$166,43,FALSE)</f>
        <v>0</v>
      </c>
      <c r="AW10" s="13">
        <f ca="1">VLOOKUP($B10,'[8]Analisys QBR By Machine Report'!$C$109:$BD$166,44,FALSE)</f>
        <v>0</v>
      </c>
      <c r="AX10" s="13">
        <f ca="1">VLOOKUP($B10,'[8]Analisys QBR By Machine Report'!$C$109:$BD$166,45,FALSE)</f>
        <v>0</v>
      </c>
      <c r="AY10" s="13">
        <f ca="1">VLOOKUP($B10,'[8]Analisys QBR By Machine Report'!$C$109:$BD$166,46,FALSE)</f>
        <v>0</v>
      </c>
      <c r="AZ10" s="13">
        <f ca="1">VLOOKUP($B10,'[8]Analisys QBR By Machine Report'!$C$109:$BD$166,47,FALSE)</f>
        <v>960</v>
      </c>
      <c r="BA10" s="13">
        <f ca="1">VLOOKUP($B10,'[8]Analisys QBR By Machine Report'!$C$109:$BD$166,48,FALSE)</f>
        <v>0</v>
      </c>
      <c r="BB10" s="13">
        <f ca="1">VLOOKUP($B10,'[8]Analisys QBR By Machine Report'!$C$109:$BD$166,49,FALSE)</f>
        <v>0</v>
      </c>
      <c r="BC10" s="13">
        <f ca="1">VLOOKUP($B10,'[8]Analisys QBR By Machine Report'!$C$109:$BD$166,50,FALSE)</f>
        <v>0</v>
      </c>
      <c r="BD10" s="13">
        <f ca="1">VLOOKUP($B10,'[8]Analisys QBR By Machine Report'!$C$109:$BD$166,51,FALSE)</f>
        <v>4826814.5599999996</v>
      </c>
      <c r="BE10" s="13">
        <f ca="1">VLOOKUP($B10,'[8]Analisys QBR By Machine Report'!$C$109:$BD$166,52,FALSE)</f>
        <v>9242</v>
      </c>
      <c r="BF10" s="13">
        <f ca="1">VLOOKUP($B10,'[8]Analisys QBR By Machine Report'!$C$109:$BD$166,53,FALSE)</f>
        <v>4817572.5599999996</v>
      </c>
    </row>
    <row r="11" spans="1:58" x14ac:dyDescent="0.25">
      <c r="A11" s="12" t="s">
        <v>67</v>
      </c>
      <c r="B11" s="13">
        <f ca="1">VLOOKUP($B11,'[8]Analisys QBR By Machine Report'!$C$109:$BD$166,2,FALSE)</f>
        <v>28800</v>
      </c>
      <c r="C11" s="14">
        <f ca="1">VLOOKUP($B11,[8]Dasboard_QBR_Report!$B$109:$BL$166,3,FALSE)</f>
        <v>9600</v>
      </c>
      <c r="D11" s="13">
        <f ca="1">VLOOKUP($B11,'[8]Analisys QBR By Machine Report'!$C$109:$BD$166,3,FALSE)</f>
        <v>24450</v>
      </c>
      <c r="E11" s="14">
        <f ca="1">VLOOKUP($B11,[8]Dasboard_QBR_Report!$B$109:$BL$166,5,FALSE)</f>
        <v>5250</v>
      </c>
      <c r="F11" s="13">
        <f t="shared" ca="1" si="0"/>
        <v>4350</v>
      </c>
      <c r="G11" s="13">
        <f t="shared" ca="1" si="1"/>
        <v>240</v>
      </c>
      <c r="H11" s="13">
        <f ca="1">VLOOKUP($B11,'[8]Analisys QBR By Machine Report'!$C$109:$BD$166,4,FALSE)</f>
        <v>240</v>
      </c>
      <c r="I11" s="13">
        <f ca="1">VLOOKUP($B11,'[8]Analisys QBR By Machine Report'!$C$109:$BD$166,5,FALSE)</f>
        <v>0</v>
      </c>
      <c r="J11" s="13">
        <f ca="1">VLOOKUP($B11,'[8]Analisys QBR By Machine Report'!$C$109:$BD$166,6,FALSE)</f>
        <v>240</v>
      </c>
      <c r="K11" s="13">
        <f ca="1">VLOOKUP($B11,'[8]Analisys QBR By Machine Report'!$C$109:$BD$166,7,FALSE)</f>
        <v>0</v>
      </c>
      <c r="L11" s="13">
        <f ca="1">VLOOKUP($B11,'[8]Analisys QBR By Machine Report'!$C$109:$BD$166,8,FALSE)</f>
        <v>4110</v>
      </c>
      <c r="M11" s="13">
        <f ca="1">VLOOKUP($B11,'[8]Analisys QBR By Machine Report'!$C$109:$BD$166,9,FALSE)</f>
        <v>1275</v>
      </c>
      <c r="N11" s="13">
        <f ca="1">VLOOKUP($B11,[8]Dasboard_QBR_Report!$B$109:$BL$166,18,FALSE)</f>
        <v>2835</v>
      </c>
      <c r="O11" s="13">
        <f ca="1">VLOOKUP($B11,'[8]Analisys QBR By Machine Report'!$C$109:$BD$166,10,FALSE)</f>
        <v>375</v>
      </c>
      <c r="P11" s="13">
        <f ca="1">VLOOKUP($B11,'[8]Analisys QBR By Machine Report'!$C$109:$BD$166,11,FALSE)</f>
        <v>355</v>
      </c>
      <c r="Q11" s="13">
        <f ca="1">VLOOKUP($B11,'[8]Analisys QBR By Machine Report'!$C$109:$BD$166,12,FALSE)</f>
        <v>0</v>
      </c>
      <c r="R11" s="13">
        <f ca="1">VLOOKUP($B11,'[8]Analisys QBR By Machine Report'!$C$109:$BD$166,13,FALSE)</f>
        <v>20</v>
      </c>
      <c r="S11" s="13">
        <f ca="1">VLOOKUP($B11,'[8]Analisys QBR By Machine Report'!$C$109:$BD$166,14,FALSE)</f>
        <v>0</v>
      </c>
      <c r="T11" s="13">
        <f ca="1">VLOOKUP($B11,'[8]Analisys QBR By Machine Report'!$C$109:$BD$166,15,FALSE)</f>
        <v>0</v>
      </c>
      <c r="U11" s="13">
        <f ca="1">VLOOKUP($B11,'[8]Analisys QBR By Machine Report'!$C$109:$BD$166,16,FALSE)</f>
        <v>0</v>
      </c>
      <c r="V11" s="13">
        <f ca="1">VLOOKUP($B11,'[8]Analisys QBR By Machine Report'!$C$109:$BD$166,17,FALSE)</f>
        <v>0</v>
      </c>
      <c r="W11" s="13">
        <f ca="1">VLOOKUP($B11,'[8]Analisys QBR By Machine Report'!$C$109:$BD$166,18,FALSE)</f>
        <v>0</v>
      </c>
      <c r="X11" s="13">
        <f ca="1">VLOOKUP($B11,'[8]Analisys QBR By Machine Report'!$C$109:$BD$166,19,FALSE)</f>
        <v>0</v>
      </c>
      <c r="Y11" s="13">
        <f ca="1">VLOOKUP($B11,'[8]Analisys QBR By Machine Report'!$C$109:$BD$166,20,FALSE)</f>
        <v>0</v>
      </c>
      <c r="Z11" s="13">
        <f ca="1">VLOOKUP($B11,'[8]Analisys QBR By Machine Report'!$C$109:$BD$166,21,FALSE)</f>
        <v>670</v>
      </c>
      <c r="AA11" s="13">
        <f ca="1">VLOOKUP($B11,'[8]Analisys QBR By Machine Report'!$C$109:$BD$166,22,FALSE)</f>
        <v>85</v>
      </c>
      <c r="AB11" s="13">
        <f ca="1">VLOOKUP($B11,'[8]Analisys QBR By Machine Report'!$C$109:$BD$166,23,FALSE)</f>
        <v>405</v>
      </c>
      <c r="AC11" s="13">
        <f ca="1">VLOOKUP($B11,'[8]Analisys QBR By Machine Report'!$C$109:$BD$166,24,FALSE)</f>
        <v>45</v>
      </c>
      <c r="AD11" s="13">
        <f ca="1">VLOOKUP($B11,'[8]Analisys QBR By Machine Report'!$C$109:$BD$166,25,FALSE)</f>
        <v>0</v>
      </c>
      <c r="AE11" s="13">
        <f ca="1">VLOOKUP($B11,'[8]Analisys QBR By Machine Report'!$C$109:$BD$166,26,FALSE)</f>
        <v>135</v>
      </c>
      <c r="AF11" s="13">
        <f ca="1">VLOOKUP($B11,'[8]Analisys QBR By Machine Report'!$C$109:$BD$166,27,FALSE)</f>
        <v>0</v>
      </c>
      <c r="AG11" s="13">
        <f ca="1">VLOOKUP($B11,'[8]Analisys QBR By Machine Report'!$C$109:$BD$166,28,FALSE)</f>
        <v>0</v>
      </c>
      <c r="AH11" s="13">
        <f ca="1">VLOOKUP($B11,'[8]Analisys QBR By Machine Report'!$C$109:$BD$166,29,FALSE)</f>
        <v>0</v>
      </c>
      <c r="AI11" s="13">
        <f ca="1">VLOOKUP($B11,'[8]Analisys QBR By Machine Report'!$C$109:$BD$166,30,FALSE)</f>
        <v>1790</v>
      </c>
      <c r="AJ11" s="13">
        <f ca="1">VLOOKUP($B11,'[8]Analisys QBR By Machine Report'!$C$109:$BD$166,31,FALSE)</f>
        <v>0</v>
      </c>
      <c r="AK11" s="13">
        <f ca="1">VLOOKUP($B11,'[8]Analisys QBR By Machine Report'!$C$109:$BD$166,32,FALSE)</f>
        <v>0</v>
      </c>
      <c r="AL11" s="13">
        <f ca="1">VLOOKUP($B11,'[8]Analisys QBR By Machine Report'!$C$109:$BD$166,33,FALSE)</f>
        <v>210</v>
      </c>
      <c r="AM11" s="13">
        <f ca="1">VLOOKUP($B11,'[8]Analisys QBR By Machine Report'!$C$109:$BD$166,34,FALSE)</f>
        <v>0</v>
      </c>
      <c r="AN11" s="13">
        <f ca="1">VLOOKUP($B11,'[8]Analisys QBR By Machine Report'!$C$109:$BD$166,35,FALSE)</f>
        <v>135</v>
      </c>
      <c r="AO11" s="13">
        <f ca="1">VLOOKUP($B11,'[8]Analisys QBR By Machine Report'!$C$109:$BD$166,36,FALSE)</f>
        <v>300</v>
      </c>
      <c r="AP11" s="13">
        <f ca="1">VLOOKUP($B11,'[8]Analisys QBR By Machine Report'!$C$109:$BD$166,37,FALSE)</f>
        <v>0</v>
      </c>
      <c r="AQ11" s="13">
        <f ca="1">VLOOKUP($B11,'[8]Analisys QBR By Machine Report'!$C$109:$BD$166,38,FALSE)</f>
        <v>0</v>
      </c>
      <c r="AR11" s="13">
        <f ca="1">VLOOKUP($B11,'[8]Analisys QBR By Machine Report'!$C$109:$BD$166,39,FALSE)</f>
        <v>0</v>
      </c>
      <c r="AS11" s="13">
        <f ca="1">VLOOKUP($B11,'[8]Analisys QBR By Machine Report'!$C$109:$BD$166,40,FALSE)</f>
        <v>130</v>
      </c>
      <c r="AT11" s="13">
        <f ca="1">VLOOKUP($B11,'[8]Analisys QBR By Machine Report'!$C$109:$BD$166,41,FALSE)</f>
        <v>0</v>
      </c>
      <c r="AU11" s="13">
        <f ca="1">VLOOKUP($B11,'[8]Analisys QBR By Machine Report'!$C$109:$BD$166,42,FALSE)</f>
        <v>0</v>
      </c>
      <c r="AV11" s="13">
        <f ca="1">VLOOKUP($B11,'[8]Analisys QBR By Machine Report'!$C$109:$BD$166,43,FALSE)</f>
        <v>0</v>
      </c>
      <c r="AW11" s="13">
        <f ca="1">VLOOKUP($B11,'[8]Analisys QBR By Machine Report'!$C$109:$BD$166,44,FALSE)</f>
        <v>0</v>
      </c>
      <c r="AX11" s="13">
        <f ca="1">VLOOKUP($B11,'[8]Analisys QBR By Machine Report'!$C$109:$BD$166,45,FALSE)</f>
        <v>0</v>
      </c>
      <c r="AY11" s="13">
        <f ca="1">VLOOKUP($B11,'[8]Analisys QBR By Machine Report'!$C$109:$BD$166,46,FALSE)</f>
        <v>0</v>
      </c>
      <c r="AZ11" s="13">
        <f ca="1">VLOOKUP($B11,'[8]Analisys QBR By Machine Report'!$C$109:$BD$166,47,FALSE)</f>
        <v>430</v>
      </c>
      <c r="BA11" s="13">
        <f ca="1">VLOOKUP($B11,'[8]Analisys QBR By Machine Report'!$C$109:$BD$166,48,FALSE)</f>
        <v>585</v>
      </c>
      <c r="BB11" s="13">
        <f ca="1">VLOOKUP($B11,'[8]Analisys QBR By Machine Report'!$C$109:$BD$166,49,FALSE)</f>
        <v>0</v>
      </c>
      <c r="BC11" s="13">
        <f ca="1">VLOOKUP($B11,'[8]Analisys QBR By Machine Report'!$C$109:$BD$166,50,FALSE)</f>
        <v>0</v>
      </c>
      <c r="BD11" s="13">
        <f ca="1">VLOOKUP($B11,'[8]Analisys QBR By Machine Report'!$C$109:$BD$166,51,FALSE)</f>
        <v>1138623</v>
      </c>
      <c r="BE11" s="13">
        <f ca="1">VLOOKUP($B11,'[8]Analisys QBR By Machine Report'!$C$109:$BD$166,52,FALSE)</f>
        <v>0</v>
      </c>
      <c r="BF11" s="13">
        <f ca="1">VLOOKUP($B11,'[8]Analisys QBR By Machine Report'!$C$109:$BD$166,53,FALSE)</f>
        <v>1138623</v>
      </c>
    </row>
    <row r="12" spans="1:58" x14ac:dyDescent="0.25">
      <c r="A12" s="12" t="s">
        <v>68</v>
      </c>
      <c r="B12" s="13">
        <f ca="1">VLOOKUP($B12,'[8]Analisys QBR By Machine Report'!$C$109:$BD$166,2,FALSE)</f>
        <v>28800</v>
      </c>
      <c r="C12" s="14">
        <f ca="1">VLOOKUP($B12,[8]Dasboard_QBR_Report!$B$109:$BL$166,3,FALSE)</f>
        <v>18600</v>
      </c>
      <c r="D12" s="13">
        <f ca="1">VLOOKUP($B12,'[8]Analisys QBR By Machine Report'!$C$109:$BD$166,3,FALSE)</f>
        <v>13920</v>
      </c>
      <c r="E12" s="14">
        <f ca="1">VLOOKUP($B12,[8]Dasboard_QBR_Report!$B$109:$BL$166,5,FALSE)</f>
        <v>3720</v>
      </c>
      <c r="F12" s="13">
        <f t="shared" ca="1" si="0"/>
        <v>14880</v>
      </c>
      <c r="G12" s="13">
        <f t="shared" ca="1" si="1"/>
        <v>1255</v>
      </c>
      <c r="H12" s="13">
        <f ca="1">VLOOKUP($B12,'[8]Analisys QBR By Machine Report'!$C$109:$BD$166,4,FALSE)</f>
        <v>1255</v>
      </c>
      <c r="I12" s="13">
        <f ca="1">VLOOKUP($B12,'[8]Analisys QBR By Machine Report'!$C$109:$BD$166,5,FALSE)</f>
        <v>30</v>
      </c>
      <c r="J12" s="13">
        <f ca="1">VLOOKUP($B12,'[8]Analisys QBR By Machine Report'!$C$109:$BD$166,6,FALSE)</f>
        <v>1225</v>
      </c>
      <c r="K12" s="13">
        <f ca="1">VLOOKUP($B12,'[8]Analisys QBR By Machine Report'!$C$109:$BD$166,7,FALSE)</f>
        <v>0</v>
      </c>
      <c r="L12" s="13">
        <f ca="1">VLOOKUP($B12,'[8]Analisys QBR By Machine Report'!$C$109:$BD$166,8,FALSE)</f>
        <v>13625</v>
      </c>
      <c r="M12" s="13">
        <f ca="1">VLOOKUP($B12,'[8]Analisys QBR By Machine Report'!$C$109:$BD$166,9,FALSE)</f>
        <v>4665</v>
      </c>
      <c r="N12" s="13">
        <f ca="1">VLOOKUP($B12,[8]Dasboard_QBR_Report!$B$109:$BL$166,18,FALSE)</f>
        <v>8960</v>
      </c>
      <c r="O12" s="13">
        <f ca="1">VLOOKUP($B12,'[8]Analisys QBR By Machine Report'!$C$109:$BD$166,10,FALSE)</f>
        <v>1535</v>
      </c>
      <c r="P12" s="13">
        <f ca="1">VLOOKUP($B12,'[8]Analisys QBR By Machine Report'!$C$109:$BD$166,11,FALSE)</f>
        <v>880</v>
      </c>
      <c r="Q12" s="13">
        <f ca="1">VLOOKUP($B12,'[8]Analisys QBR By Machine Report'!$C$109:$BD$166,12,FALSE)</f>
        <v>0</v>
      </c>
      <c r="R12" s="13">
        <f ca="1">VLOOKUP($B12,'[8]Analisys QBR By Machine Report'!$C$109:$BD$166,13,FALSE)</f>
        <v>135</v>
      </c>
      <c r="S12" s="13">
        <f ca="1">VLOOKUP($B12,'[8]Analisys QBR By Machine Report'!$C$109:$BD$166,14,FALSE)</f>
        <v>520</v>
      </c>
      <c r="T12" s="13">
        <f ca="1">VLOOKUP($B12,'[8]Analisys QBR By Machine Report'!$C$109:$BD$166,15,FALSE)</f>
        <v>0</v>
      </c>
      <c r="U12" s="13">
        <f ca="1">VLOOKUP($B12,'[8]Analisys QBR By Machine Report'!$C$109:$BD$166,16,FALSE)</f>
        <v>0</v>
      </c>
      <c r="V12" s="13">
        <f ca="1">VLOOKUP($B12,'[8]Analisys QBR By Machine Report'!$C$109:$BD$166,17,FALSE)</f>
        <v>0</v>
      </c>
      <c r="W12" s="13">
        <f ca="1">VLOOKUP($B12,'[8]Analisys QBR By Machine Report'!$C$109:$BD$166,18,FALSE)</f>
        <v>0</v>
      </c>
      <c r="X12" s="13">
        <f ca="1">VLOOKUP($B12,'[8]Analisys QBR By Machine Report'!$C$109:$BD$166,19,FALSE)</f>
        <v>0</v>
      </c>
      <c r="Y12" s="13">
        <f ca="1">VLOOKUP($B12,'[8]Analisys QBR By Machine Report'!$C$109:$BD$166,20,FALSE)</f>
        <v>0</v>
      </c>
      <c r="Z12" s="13">
        <f ca="1">VLOOKUP($B12,'[8]Analisys QBR By Machine Report'!$C$109:$BD$166,21,FALSE)</f>
        <v>1945</v>
      </c>
      <c r="AA12" s="13">
        <f ca="1">VLOOKUP($B12,'[8]Analisys QBR By Machine Report'!$C$109:$BD$166,22,FALSE)</f>
        <v>400</v>
      </c>
      <c r="AB12" s="13">
        <f ca="1">VLOOKUP($B12,'[8]Analisys QBR By Machine Report'!$C$109:$BD$166,23,FALSE)</f>
        <v>1250</v>
      </c>
      <c r="AC12" s="13">
        <f ca="1">VLOOKUP($B12,'[8]Analisys QBR By Machine Report'!$C$109:$BD$166,24,FALSE)</f>
        <v>85</v>
      </c>
      <c r="AD12" s="13">
        <f ca="1">VLOOKUP($B12,'[8]Analisys QBR By Machine Report'!$C$109:$BD$166,25,FALSE)</f>
        <v>0</v>
      </c>
      <c r="AE12" s="13">
        <f ca="1">VLOOKUP($B12,'[8]Analisys QBR By Machine Report'!$C$109:$BD$166,26,FALSE)</f>
        <v>210</v>
      </c>
      <c r="AF12" s="13">
        <f ca="1">VLOOKUP($B12,'[8]Analisys QBR By Machine Report'!$C$109:$BD$166,27,FALSE)</f>
        <v>2120</v>
      </c>
      <c r="AG12" s="13">
        <f ca="1">VLOOKUP($B12,'[8]Analisys QBR By Machine Report'!$C$109:$BD$166,28,FALSE)</f>
        <v>720</v>
      </c>
      <c r="AH12" s="13">
        <f ca="1">VLOOKUP($B12,'[8]Analisys QBR By Machine Report'!$C$109:$BD$166,29,FALSE)</f>
        <v>1400</v>
      </c>
      <c r="AI12" s="13">
        <f ca="1">VLOOKUP($B12,'[8]Analisys QBR By Machine Report'!$C$109:$BD$166,30,FALSE)</f>
        <v>3360</v>
      </c>
      <c r="AJ12" s="13">
        <f ca="1">VLOOKUP($B12,'[8]Analisys QBR By Machine Report'!$C$109:$BD$166,31,FALSE)</f>
        <v>0</v>
      </c>
      <c r="AK12" s="13">
        <f ca="1">VLOOKUP($B12,'[8]Analisys QBR By Machine Report'!$C$109:$BD$166,32,FALSE)</f>
        <v>0</v>
      </c>
      <c r="AL12" s="13">
        <f ca="1">VLOOKUP($B12,'[8]Analisys QBR By Machine Report'!$C$109:$BD$166,33,FALSE)</f>
        <v>575</v>
      </c>
      <c r="AM12" s="13">
        <f ca="1">VLOOKUP($B12,'[8]Analisys QBR By Machine Report'!$C$109:$BD$166,34,FALSE)</f>
        <v>0</v>
      </c>
      <c r="AN12" s="13">
        <f ca="1">VLOOKUP($B12,'[8]Analisys QBR By Machine Report'!$C$109:$BD$166,35,FALSE)</f>
        <v>480</v>
      </c>
      <c r="AO12" s="13">
        <f ca="1">VLOOKUP($B12,'[8]Analisys QBR By Machine Report'!$C$109:$BD$166,36,FALSE)</f>
        <v>375</v>
      </c>
      <c r="AP12" s="13">
        <f ca="1">VLOOKUP($B12,'[8]Analisys QBR By Machine Report'!$C$109:$BD$166,37,FALSE)</f>
        <v>0</v>
      </c>
      <c r="AQ12" s="13">
        <f ca="1">VLOOKUP($B12,'[8]Analisys QBR By Machine Report'!$C$109:$BD$166,38,FALSE)</f>
        <v>0</v>
      </c>
      <c r="AR12" s="13">
        <f ca="1">VLOOKUP($B12,'[8]Analisys QBR By Machine Report'!$C$109:$BD$166,39,FALSE)</f>
        <v>505</v>
      </c>
      <c r="AS12" s="13">
        <f ca="1">VLOOKUP($B12,'[8]Analisys QBR By Machine Report'!$C$109:$BD$166,40,FALSE)</f>
        <v>300</v>
      </c>
      <c r="AT12" s="13">
        <f ca="1">VLOOKUP($B12,'[8]Analisys QBR By Machine Report'!$C$109:$BD$166,41,FALSE)</f>
        <v>0</v>
      </c>
      <c r="AU12" s="13">
        <f ca="1">VLOOKUP($B12,'[8]Analisys QBR By Machine Report'!$C$109:$BD$166,42,FALSE)</f>
        <v>0</v>
      </c>
      <c r="AV12" s="13">
        <f ca="1">VLOOKUP($B12,'[8]Analisys QBR By Machine Report'!$C$109:$BD$166,43,FALSE)</f>
        <v>0</v>
      </c>
      <c r="AW12" s="13">
        <f ca="1">VLOOKUP($B12,'[8]Analisys QBR By Machine Report'!$C$109:$BD$166,44,FALSE)</f>
        <v>0</v>
      </c>
      <c r="AX12" s="13">
        <f ca="1">VLOOKUP($B12,'[8]Analisys QBR By Machine Report'!$C$109:$BD$166,45,FALSE)</f>
        <v>0</v>
      </c>
      <c r="AY12" s="13">
        <f ca="1">VLOOKUP($B12,'[8]Analisys QBR By Machine Report'!$C$109:$BD$166,46,FALSE)</f>
        <v>0</v>
      </c>
      <c r="AZ12" s="13">
        <f ca="1">VLOOKUP($B12,'[8]Analisys QBR By Machine Report'!$C$109:$BD$166,47,FALSE)</f>
        <v>960</v>
      </c>
      <c r="BA12" s="13">
        <f ca="1">VLOOKUP($B12,'[8]Analisys QBR By Machine Report'!$C$109:$BD$166,48,FALSE)</f>
        <v>165</v>
      </c>
      <c r="BB12" s="13">
        <f ca="1">VLOOKUP($B12,'[8]Analisys QBR By Machine Report'!$C$109:$BD$166,49,FALSE)</f>
        <v>0</v>
      </c>
      <c r="BC12" s="13">
        <f ca="1">VLOOKUP($B12,'[8]Analisys QBR By Machine Report'!$C$109:$BD$166,50,FALSE)</f>
        <v>0</v>
      </c>
      <c r="BD12" s="13">
        <f ca="1">VLOOKUP($B12,'[8]Analisys QBR By Machine Report'!$C$109:$BD$166,51,FALSE)</f>
        <v>2511385</v>
      </c>
      <c r="BE12" s="13">
        <f ca="1">VLOOKUP($B12,'[8]Analisys QBR By Machine Report'!$C$109:$BD$166,52,FALSE)</f>
        <v>2091</v>
      </c>
      <c r="BF12" s="13">
        <f ca="1">VLOOKUP($B12,'[8]Analisys QBR By Machine Report'!$C$109:$BD$166,53,FALSE)</f>
        <v>2509294</v>
      </c>
    </row>
    <row r="13" spans="1:58" x14ac:dyDescent="0.25">
      <c r="A13" s="9" t="s">
        <v>69</v>
      </c>
      <c r="B13" s="10">
        <f ca="1">VLOOKUP($B13,'[8]Analisys QBR By Machine Report'!$C$109:$BD$166,2,FALSE)</f>
        <v>57600</v>
      </c>
      <c r="C13" s="11">
        <f ca="1">VLOOKUP($B13,[8]Dasboard_QBR_Report!$B$109:$BL$166,3,FALSE)</f>
        <v>19200</v>
      </c>
      <c r="D13" s="10">
        <f ca="1">VLOOKUP($B13,'[8]Analisys QBR By Machine Report'!$C$109:$BD$166,3,FALSE)</f>
        <v>50730</v>
      </c>
      <c r="E13" s="11">
        <f ca="1">VLOOKUP($B13,[8]Dasboard_QBR_Report!$B$109:$BL$166,5,FALSE)</f>
        <v>12330</v>
      </c>
      <c r="F13" s="10">
        <f t="shared" ca="1" si="0"/>
        <v>6870</v>
      </c>
      <c r="G13" s="10">
        <f t="shared" ca="1" si="1"/>
        <v>0</v>
      </c>
      <c r="H13" s="10">
        <f ca="1">VLOOKUP($B13,'[8]Analisys QBR By Machine Report'!$C$109:$BD$166,4,FALSE)</f>
        <v>0</v>
      </c>
      <c r="I13" s="10">
        <f ca="1">VLOOKUP($B13,'[8]Analisys QBR By Machine Report'!$C$109:$BD$166,5,FALSE)</f>
        <v>0</v>
      </c>
      <c r="J13" s="10">
        <f ca="1">VLOOKUP($B13,'[8]Analisys QBR By Machine Report'!$C$109:$BD$166,6,FALSE)</f>
        <v>0</v>
      </c>
      <c r="K13" s="10">
        <f ca="1">VLOOKUP($B13,'[8]Analisys QBR By Machine Report'!$C$109:$BD$166,7,FALSE)</f>
        <v>0</v>
      </c>
      <c r="L13" s="10">
        <f ca="1">VLOOKUP($B13,'[8]Analisys QBR By Machine Report'!$C$109:$BD$166,8,FALSE)</f>
        <v>6870</v>
      </c>
      <c r="M13" s="10">
        <f ca="1">VLOOKUP($B13,'[8]Analisys QBR By Machine Report'!$C$109:$BD$166,9,FALSE)</f>
        <v>2840</v>
      </c>
      <c r="N13" s="10">
        <f ca="1">VLOOKUP($B13,[8]Dasboard_QBR_Report!$B$109:$BL$166,18,FALSE)</f>
        <v>4030</v>
      </c>
      <c r="O13" s="10">
        <f ca="1">VLOOKUP($B13,'[8]Analisys QBR By Machine Report'!$C$109:$BD$166,10,FALSE)</f>
        <v>145</v>
      </c>
      <c r="P13" s="10">
        <f ca="1">VLOOKUP($B13,'[8]Analisys QBR By Machine Report'!$C$109:$BD$166,11,FALSE)</f>
        <v>115</v>
      </c>
      <c r="Q13" s="10">
        <f ca="1">VLOOKUP($B13,'[8]Analisys QBR By Machine Report'!$C$109:$BD$166,12,FALSE)</f>
        <v>0</v>
      </c>
      <c r="R13" s="10">
        <f ca="1">VLOOKUP($B13,'[8]Analisys QBR By Machine Report'!$C$109:$BD$166,13,FALSE)</f>
        <v>30</v>
      </c>
      <c r="S13" s="10">
        <f ca="1">VLOOKUP($B13,'[8]Analisys QBR By Machine Report'!$C$109:$BD$166,14,FALSE)</f>
        <v>0</v>
      </c>
      <c r="T13" s="10">
        <f ca="1">VLOOKUP($B13,'[8]Analisys QBR By Machine Report'!$C$109:$BD$166,15,FALSE)</f>
        <v>165</v>
      </c>
      <c r="U13" s="10">
        <f ca="1">VLOOKUP($B13,'[8]Analisys QBR By Machine Report'!$C$109:$BD$166,16,FALSE)</f>
        <v>40</v>
      </c>
      <c r="V13" s="10">
        <f ca="1">VLOOKUP($B13,'[8]Analisys QBR By Machine Report'!$C$109:$BD$166,17,FALSE)</f>
        <v>0</v>
      </c>
      <c r="W13" s="10">
        <f ca="1">VLOOKUP($B13,'[8]Analisys QBR By Machine Report'!$C$109:$BD$166,18,FALSE)</f>
        <v>0</v>
      </c>
      <c r="X13" s="10">
        <f ca="1">VLOOKUP($B13,'[8]Analisys QBR By Machine Report'!$C$109:$BD$166,19,FALSE)</f>
        <v>125</v>
      </c>
      <c r="Y13" s="10">
        <f ca="1">VLOOKUP($B13,'[8]Analisys QBR By Machine Report'!$C$109:$BD$166,20,FALSE)</f>
        <v>0</v>
      </c>
      <c r="Z13" s="10">
        <f ca="1">VLOOKUP($B13,'[8]Analisys QBR By Machine Report'!$C$109:$BD$166,21,FALSE)</f>
        <v>2465</v>
      </c>
      <c r="AA13" s="10">
        <f ca="1">VLOOKUP($B13,'[8]Analisys QBR By Machine Report'!$C$109:$BD$166,22,FALSE)</f>
        <v>610</v>
      </c>
      <c r="AB13" s="10">
        <f ca="1">VLOOKUP($B13,'[8]Analisys QBR By Machine Report'!$C$109:$BD$166,23,FALSE)</f>
        <v>1635</v>
      </c>
      <c r="AC13" s="10">
        <f ca="1">VLOOKUP($B13,'[8]Analisys QBR By Machine Report'!$C$109:$BD$166,24,FALSE)</f>
        <v>0</v>
      </c>
      <c r="AD13" s="10">
        <f ca="1">VLOOKUP($B13,'[8]Analisys QBR By Machine Report'!$C$109:$BD$166,25,FALSE)</f>
        <v>0</v>
      </c>
      <c r="AE13" s="10">
        <f ca="1">VLOOKUP($B13,'[8]Analisys QBR By Machine Report'!$C$109:$BD$166,26,FALSE)</f>
        <v>220</v>
      </c>
      <c r="AF13" s="10">
        <f ca="1">VLOOKUP($B13,'[8]Analisys QBR By Machine Report'!$C$109:$BD$166,27,FALSE)</f>
        <v>0</v>
      </c>
      <c r="AG13" s="10">
        <f ca="1">VLOOKUP($B13,'[8]Analisys QBR By Machine Report'!$C$109:$BD$166,28,FALSE)</f>
        <v>0</v>
      </c>
      <c r="AH13" s="10">
        <f ca="1">VLOOKUP($B13,'[8]Analisys QBR By Machine Report'!$C$109:$BD$166,29,FALSE)</f>
        <v>0</v>
      </c>
      <c r="AI13" s="10">
        <f ca="1">VLOOKUP($B13,'[8]Analisys QBR By Machine Report'!$C$109:$BD$166,30,FALSE)</f>
        <v>1255</v>
      </c>
      <c r="AJ13" s="10">
        <f ca="1">VLOOKUP($B13,'[8]Analisys QBR By Machine Report'!$C$109:$BD$166,31,FALSE)</f>
        <v>0</v>
      </c>
      <c r="AK13" s="10">
        <f ca="1">VLOOKUP($B13,'[8]Analisys QBR By Machine Report'!$C$109:$BD$166,32,FALSE)</f>
        <v>0</v>
      </c>
      <c r="AL13" s="10">
        <f ca="1">VLOOKUP($B13,'[8]Analisys QBR By Machine Report'!$C$109:$BD$166,33,FALSE)</f>
        <v>300</v>
      </c>
      <c r="AM13" s="10">
        <f ca="1">VLOOKUP($B13,'[8]Analisys QBR By Machine Report'!$C$109:$BD$166,34,FALSE)</f>
        <v>0</v>
      </c>
      <c r="AN13" s="10">
        <f ca="1">VLOOKUP($B13,'[8]Analisys QBR By Machine Report'!$C$109:$BD$166,35,FALSE)</f>
        <v>340</v>
      </c>
      <c r="AO13" s="10">
        <f ca="1">VLOOKUP($B13,'[8]Analisys QBR By Machine Report'!$C$109:$BD$166,36,FALSE)</f>
        <v>160</v>
      </c>
      <c r="AP13" s="10">
        <f ca="1">VLOOKUP($B13,'[8]Analisys QBR By Machine Report'!$C$109:$BD$166,37,FALSE)</f>
        <v>0</v>
      </c>
      <c r="AQ13" s="10">
        <f ca="1">VLOOKUP($B13,'[8]Analisys QBR By Machine Report'!$C$109:$BD$166,38,FALSE)</f>
        <v>0</v>
      </c>
      <c r="AR13" s="10">
        <f ca="1">VLOOKUP($B13,'[8]Analisys QBR By Machine Report'!$C$109:$BD$166,39,FALSE)</f>
        <v>215</v>
      </c>
      <c r="AS13" s="10">
        <f ca="1">VLOOKUP($B13,'[8]Analisys QBR By Machine Report'!$C$109:$BD$166,40,FALSE)</f>
        <v>105</v>
      </c>
      <c r="AT13" s="10">
        <f ca="1">VLOOKUP($B13,'[8]Analisys QBR By Machine Report'!$C$109:$BD$166,41,FALSE)</f>
        <v>0</v>
      </c>
      <c r="AU13" s="10">
        <f ca="1">VLOOKUP($B13,'[8]Analisys QBR By Machine Report'!$C$109:$BD$166,42,FALSE)</f>
        <v>0</v>
      </c>
      <c r="AV13" s="10">
        <f ca="1">VLOOKUP($B13,'[8]Analisys QBR By Machine Report'!$C$109:$BD$166,43,FALSE)</f>
        <v>0</v>
      </c>
      <c r="AW13" s="10">
        <f ca="1">VLOOKUP($B13,'[8]Analisys QBR By Machine Report'!$C$109:$BD$166,44,FALSE)</f>
        <v>0</v>
      </c>
      <c r="AX13" s="10">
        <f ca="1">VLOOKUP($B13,'[8]Analisys QBR By Machine Report'!$C$109:$BD$166,45,FALSE)</f>
        <v>0</v>
      </c>
      <c r="AY13" s="10">
        <f ca="1">VLOOKUP($B13,'[8]Analisys QBR By Machine Report'!$C$109:$BD$166,46,FALSE)</f>
        <v>0</v>
      </c>
      <c r="AZ13" s="10">
        <f ca="1">VLOOKUP($B13,'[8]Analisys QBR By Machine Report'!$C$109:$BD$166,47,FALSE)</f>
        <v>105</v>
      </c>
      <c r="BA13" s="10">
        <f ca="1">VLOOKUP($B13,'[8]Analisys QBR By Machine Report'!$C$109:$BD$166,48,FALSE)</f>
        <v>30</v>
      </c>
      <c r="BB13" s="10">
        <f ca="1">VLOOKUP($B13,'[8]Analisys QBR By Machine Report'!$C$109:$BD$166,49,FALSE)</f>
        <v>0</v>
      </c>
      <c r="BC13" s="10">
        <f ca="1">VLOOKUP($B13,'[8]Analisys QBR By Machine Report'!$C$109:$BD$166,50,FALSE)</f>
        <v>0</v>
      </c>
      <c r="BD13" s="10">
        <f ca="1">VLOOKUP($B13,'[8]Analisys QBR By Machine Report'!$C$109:$BD$166,51,FALSE)</f>
        <v>1449.48</v>
      </c>
      <c r="BE13" s="10">
        <f ca="1">VLOOKUP($B13,'[8]Analisys QBR By Machine Report'!$C$109:$BD$166,52,FALSE)</f>
        <v>0.56000000000000005</v>
      </c>
      <c r="BF13" s="10">
        <f ca="1">VLOOKUP($B13,'[8]Analisys QBR By Machine Report'!$C$109:$BD$166,53,FALSE)</f>
        <v>1448.92</v>
      </c>
    </row>
    <row r="14" spans="1:58" x14ac:dyDescent="0.25">
      <c r="A14" s="12" t="s">
        <v>70</v>
      </c>
      <c r="B14" s="13">
        <f ca="1">VLOOKUP($B14,'[8]Analisys QBR By Machine Report'!$C$109:$BD$166,2,FALSE)</f>
        <v>28800</v>
      </c>
      <c r="C14" s="14">
        <f ca="1">VLOOKUP($B14,[8]Dasboard_QBR_Report!$B$109:$BL$166,3,FALSE)</f>
        <v>9600</v>
      </c>
      <c r="D14" s="13">
        <f ca="1">VLOOKUP($B14,'[8]Analisys QBR By Machine Report'!$C$109:$BD$166,3,FALSE)</f>
        <v>25290</v>
      </c>
      <c r="E14" s="14">
        <f ca="1">VLOOKUP($B14,[8]Dasboard_QBR_Report!$B$109:$BL$166,5,FALSE)</f>
        <v>6090</v>
      </c>
      <c r="F14" s="13">
        <f t="shared" ca="1" si="0"/>
        <v>3510</v>
      </c>
      <c r="G14" s="13">
        <f t="shared" ca="1" si="1"/>
        <v>0</v>
      </c>
      <c r="H14" s="13">
        <f ca="1">VLOOKUP($B14,'[8]Analisys QBR By Machine Report'!$C$109:$BD$166,4,FALSE)</f>
        <v>0</v>
      </c>
      <c r="I14" s="13">
        <f ca="1">VLOOKUP($B14,'[8]Analisys QBR By Machine Report'!$C$109:$BD$166,5,FALSE)</f>
        <v>0</v>
      </c>
      <c r="J14" s="13">
        <f ca="1">VLOOKUP($B14,'[8]Analisys QBR By Machine Report'!$C$109:$BD$166,6,FALSE)</f>
        <v>0</v>
      </c>
      <c r="K14" s="13">
        <f ca="1">VLOOKUP($B14,'[8]Analisys QBR By Machine Report'!$C$109:$BD$166,7,FALSE)</f>
        <v>0</v>
      </c>
      <c r="L14" s="13">
        <f ca="1">VLOOKUP($B14,'[8]Analisys QBR By Machine Report'!$C$109:$BD$166,8,FALSE)</f>
        <v>3510</v>
      </c>
      <c r="M14" s="13">
        <f ca="1">VLOOKUP($B14,'[8]Analisys QBR By Machine Report'!$C$109:$BD$166,9,FALSE)</f>
        <v>1205</v>
      </c>
      <c r="N14" s="13">
        <f ca="1">VLOOKUP($B14,[8]Dasboard_QBR_Report!$B$109:$BL$166,18,FALSE)</f>
        <v>2305</v>
      </c>
      <c r="O14" s="13">
        <f ca="1">VLOOKUP($B14,'[8]Analisys QBR By Machine Report'!$C$109:$BD$166,10,FALSE)</f>
        <v>50</v>
      </c>
      <c r="P14" s="13">
        <f ca="1">VLOOKUP($B14,'[8]Analisys QBR By Machine Report'!$C$109:$BD$166,11,FALSE)</f>
        <v>50</v>
      </c>
      <c r="Q14" s="13">
        <f ca="1">VLOOKUP($B14,'[8]Analisys QBR By Machine Report'!$C$109:$BD$166,12,FALSE)</f>
        <v>0</v>
      </c>
      <c r="R14" s="13">
        <f ca="1">VLOOKUP($B14,'[8]Analisys QBR By Machine Report'!$C$109:$BD$166,13,FALSE)</f>
        <v>0</v>
      </c>
      <c r="S14" s="13">
        <f ca="1">VLOOKUP($B14,'[8]Analisys QBR By Machine Report'!$C$109:$BD$166,14,FALSE)</f>
        <v>0</v>
      </c>
      <c r="T14" s="13">
        <f ca="1">VLOOKUP($B14,'[8]Analisys QBR By Machine Report'!$C$109:$BD$166,15,FALSE)</f>
        <v>75</v>
      </c>
      <c r="U14" s="13">
        <f ca="1">VLOOKUP($B14,'[8]Analisys QBR By Machine Report'!$C$109:$BD$166,16,FALSE)</f>
        <v>0</v>
      </c>
      <c r="V14" s="13">
        <f ca="1">VLOOKUP($B14,'[8]Analisys QBR By Machine Report'!$C$109:$BD$166,17,FALSE)</f>
        <v>0</v>
      </c>
      <c r="W14" s="13">
        <f ca="1">VLOOKUP($B14,'[8]Analisys QBR By Machine Report'!$C$109:$BD$166,18,FALSE)</f>
        <v>0</v>
      </c>
      <c r="X14" s="13">
        <f ca="1">VLOOKUP($B14,'[8]Analisys QBR By Machine Report'!$C$109:$BD$166,19,FALSE)</f>
        <v>75</v>
      </c>
      <c r="Y14" s="13">
        <f ca="1">VLOOKUP($B14,'[8]Analisys QBR By Machine Report'!$C$109:$BD$166,20,FALSE)</f>
        <v>0</v>
      </c>
      <c r="Z14" s="13">
        <f ca="1">VLOOKUP($B14,'[8]Analisys QBR By Machine Report'!$C$109:$BD$166,21,FALSE)</f>
        <v>1480</v>
      </c>
      <c r="AA14" s="13">
        <f ca="1">VLOOKUP($B14,'[8]Analisys QBR By Machine Report'!$C$109:$BD$166,22,FALSE)</f>
        <v>230</v>
      </c>
      <c r="AB14" s="13">
        <f ca="1">VLOOKUP($B14,'[8]Analisys QBR By Machine Report'!$C$109:$BD$166,23,FALSE)</f>
        <v>1150</v>
      </c>
      <c r="AC14" s="13">
        <f ca="1">VLOOKUP($B14,'[8]Analisys QBR By Machine Report'!$C$109:$BD$166,24,FALSE)</f>
        <v>0</v>
      </c>
      <c r="AD14" s="13">
        <f ca="1">VLOOKUP($B14,'[8]Analisys QBR By Machine Report'!$C$109:$BD$166,25,FALSE)</f>
        <v>0</v>
      </c>
      <c r="AE14" s="13">
        <f ca="1">VLOOKUP($B14,'[8]Analisys QBR By Machine Report'!$C$109:$BD$166,26,FALSE)</f>
        <v>100</v>
      </c>
      <c r="AF14" s="13">
        <f ca="1">VLOOKUP($B14,'[8]Analisys QBR By Machine Report'!$C$109:$BD$166,27,FALSE)</f>
        <v>0</v>
      </c>
      <c r="AG14" s="13">
        <f ca="1">VLOOKUP($B14,'[8]Analisys QBR By Machine Report'!$C$109:$BD$166,28,FALSE)</f>
        <v>0</v>
      </c>
      <c r="AH14" s="13">
        <f ca="1">VLOOKUP($B14,'[8]Analisys QBR By Machine Report'!$C$109:$BD$166,29,FALSE)</f>
        <v>0</v>
      </c>
      <c r="AI14" s="13">
        <f ca="1">VLOOKUP($B14,'[8]Analisys QBR By Machine Report'!$C$109:$BD$166,30,FALSE)</f>
        <v>700</v>
      </c>
      <c r="AJ14" s="13">
        <f ca="1">VLOOKUP($B14,'[8]Analisys QBR By Machine Report'!$C$109:$BD$166,31,FALSE)</f>
        <v>0</v>
      </c>
      <c r="AK14" s="13">
        <f ca="1">VLOOKUP($B14,'[8]Analisys QBR By Machine Report'!$C$109:$BD$166,32,FALSE)</f>
        <v>0</v>
      </c>
      <c r="AL14" s="13">
        <f ca="1">VLOOKUP($B14,'[8]Analisys QBR By Machine Report'!$C$109:$BD$166,33,FALSE)</f>
        <v>210</v>
      </c>
      <c r="AM14" s="13">
        <f ca="1">VLOOKUP($B14,'[8]Analisys QBR By Machine Report'!$C$109:$BD$166,34,FALSE)</f>
        <v>0</v>
      </c>
      <c r="AN14" s="13">
        <f ca="1">VLOOKUP($B14,'[8]Analisys QBR By Machine Report'!$C$109:$BD$166,35,FALSE)</f>
        <v>230</v>
      </c>
      <c r="AO14" s="13">
        <f ca="1">VLOOKUP($B14,'[8]Analisys QBR By Machine Report'!$C$109:$BD$166,36,FALSE)</f>
        <v>0</v>
      </c>
      <c r="AP14" s="13">
        <f ca="1">VLOOKUP($B14,'[8]Analisys QBR By Machine Report'!$C$109:$BD$166,37,FALSE)</f>
        <v>0</v>
      </c>
      <c r="AQ14" s="13">
        <f ca="1">VLOOKUP($B14,'[8]Analisys QBR By Machine Report'!$C$109:$BD$166,38,FALSE)</f>
        <v>0</v>
      </c>
      <c r="AR14" s="13">
        <f ca="1">VLOOKUP($B14,'[8]Analisys QBR By Machine Report'!$C$109:$BD$166,39,FALSE)</f>
        <v>120</v>
      </c>
      <c r="AS14" s="13">
        <f ca="1">VLOOKUP($B14,'[8]Analisys QBR By Machine Report'!$C$109:$BD$166,40,FALSE)</f>
        <v>45</v>
      </c>
      <c r="AT14" s="13">
        <f ca="1">VLOOKUP($B14,'[8]Analisys QBR By Machine Report'!$C$109:$BD$166,41,FALSE)</f>
        <v>0</v>
      </c>
      <c r="AU14" s="13">
        <f ca="1">VLOOKUP($B14,'[8]Analisys QBR By Machine Report'!$C$109:$BD$166,42,FALSE)</f>
        <v>0</v>
      </c>
      <c r="AV14" s="13">
        <f ca="1">VLOOKUP($B14,'[8]Analisys QBR By Machine Report'!$C$109:$BD$166,43,FALSE)</f>
        <v>0</v>
      </c>
      <c r="AW14" s="13">
        <f ca="1">VLOOKUP($B14,'[8]Analisys QBR By Machine Report'!$C$109:$BD$166,44,FALSE)</f>
        <v>0</v>
      </c>
      <c r="AX14" s="13">
        <f ca="1">VLOOKUP($B14,'[8]Analisys QBR By Machine Report'!$C$109:$BD$166,45,FALSE)</f>
        <v>0</v>
      </c>
      <c r="AY14" s="13">
        <f ca="1">VLOOKUP($B14,'[8]Analisys QBR By Machine Report'!$C$109:$BD$166,46,FALSE)</f>
        <v>0</v>
      </c>
      <c r="AZ14" s="13">
        <f ca="1">VLOOKUP($B14,'[8]Analisys QBR By Machine Report'!$C$109:$BD$166,47,FALSE)</f>
        <v>65</v>
      </c>
      <c r="BA14" s="13">
        <f ca="1">VLOOKUP($B14,'[8]Analisys QBR By Machine Report'!$C$109:$BD$166,48,FALSE)</f>
        <v>30</v>
      </c>
      <c r="BB14" s="13">
        <f ca="1">VLOOKUP($B14,'[8]Analisys QBR By Machine Report'!$C$109:$BD$166,49,FALSE)</f>
        <v>0</v>
      </c>
      <c r="BC14" s="13">
        <f ca="1">VLOOKUP($B14,'[8]Analisys QBR By Machine Report'!$C$109:$BD$166,50,FALSE)</f>
        <v>0</v>
      </c>
      <c r="BD14" s="13">
        <f ca="1">VLOOKUP($B14,'[8]Analisys QBR By Machine Report'!$C$109:$BD$166,51,FALSE)</f>
        <v>285.77</v>
      </c>
      <c r="BE14" s="13">
        <f ca="1">VLOOKUP($B14,'[8]Analisys QBR By Machine Report'!$C$109:$BD$166,52,FALSE)</f>
        <v>0.15</v>
      </c>
      <c r="BF14" s="13">
        <f ca="1">VLOOKUP($B14,'[8]Analisys QBR By Machine Report'!$C$109:$BD$166,53,FALSE)</f>
        <v>285.62</v>
      </c>
    </row>
    <row r="15" spans="1:58" x14ac:dyDescent="0.25">
      <c r="A15" s="12" t="s">
        <v>71</v>
      </c>
      <c r="B15" s="13">
        <f ca="1">VLOOKUP($B15,'[8]Analisys QBR By Machine Report'!$C$109:$BD$166,2,FALSE)</f>
        <v>28800</v>
      </c>
      <c r="C15" s="14">
        <f ca="1">VLOOKUP($B15,[8]Dasboard_QBR_Report!$B$109:$BL$166,3,FALSE)</f>
        <v>9600</v>
      </c>
      <c r="D15" s="13">
        <f ca="1">VLOOKUP($B15,'[8]Analisys QBR By Machine Report'!$C$109:$BD$166,3,FALSE)</f>
        <v>25440</v>
      </c>
      <c r="E15" s="14">
        <f ca="1">VLOOKUP($B15,[8]Dasboard_QBR_Report!$B$109:$BL$166,5,FALSE)</f>
        <v>6240</v>
      </c>
      <c r="F15" s="13">
        <f t="shared" ca="1" si="0"/>
        <v>3360</v>
      </c>
      <c r="G15" s="13">
        <f t="shared" ca="1" si="1"/>
        <v>0</v>
      </c>
      <c r="H15" s="13">
        <f ca="1">VLOOKUP($B15,'[8]Analisys QBR By Machine Report'!$C$109:$BD$166,4,FALSE)</f>
        <v>0</v>
      </c>
      <c r="I15" s="13">
        <f ca="1">VLOOKUP($B15,'[8]Analisys QBR By Machine Report'!$C$109:$BD$166,5,FALSE)</f>
        <v>0</v>
      </c>
      <c r="J15" s="13">
        <f ca="1">VLOOKUP($B15,'[8]Analisys QBR By Machine Report'!$C$109:$BD$166,6,FALSE)</f>
        <v>0</v>
      </c>
      <c r="K15" s="13">
        <f ca="1">VLOOKUP($B15,'[8]Analisys QBR By Machine Report'!$C$109:$BD$166,7,FALSE)</f>
        <v>0</v>
      </c>
      <c r="L15" s="13">
        <f ca="1">VLOOKUP($B15,'[8]Analisys QBR By Machine Report'!$C$109:$BD$166,8,FALSE)</f>
        <v>3360</v>
      </c>
      <c r="M15" s="13">
        <f ca="1">VLOOKUP($B15,'[8]Analisys QBR By Machine Report'!$C$109:$BD$166,9,FALSE)</f>
        <v>1635</v>
      </c>
      <c r="N15" s="13">
        <f ca="1">VLOOKUP($B15,[8]Dasboard_QBR_Report!$B$109:$BL$166,18,FALSE)</f>
        <v>1725</v>
      </c>
      <c r="O15" s="13">
        <f ca="1">VLOOKUP($B15,'[8]Analisys QBR By Machine Report'!$C$109:$BD$166,10,FALSE)</f>
        <v>95</v>
      </c>
      <c r="P15" s="13">
        <f ca="1">VLOOKUP($B15,'[8]Analisys QBR By Machine Report'!$C$109:$BD$166,11,FALSE)</f>
        <v>65</v>
      </c>
      <c r="Q15" s="13">
        <f ca="1">VLOOKUP($B15,'[8]Analisys QBR By Machine Report'!$C$109:$BD$166,12,FALSE)</f>
        <v>0</v>
      </c>
      <c r="R15" s="13">
        <f ca="1">VLOOKUP($B15,'[8]Analisys QBR By Machine Report'!$C$109:$BD$166,13,FALSE)</f>
        <v>30</v>
      </c>
      <c r="S15" s="13">
        <f ca="1">VLOOKUP($B15,'[8]Analisys QBR By Machine Report'!$C$109:$BD$166,14,FALSE)</f>
        <v>0</v>
      </c>
      <c r="T15" s="13">
        <f ca="1">VLOOKUP($B15,'[8]Analisys QBR By Machine Report'!$C$109:$BD$166,15,FALSE)</f>
        <v>90</v>
      </c>
      <c r="U15" s="13">
        <f ca="1">VLOOKUP($B15,'[8]Analisys QBR By Machine Report'!$C$109:$BD$166,16,FALSE)</f>
        <v>40</v>
      </c>
      <c r="V15" s="13">
        <f ca="1">VLOOKUP($B15,'[8]Analisys QBR By Machine Report'!$C$109:$BD$166,17,FALSE)</f>
        <v>0</v>
      </c>
      <c r="W15" s="13">
        <f ca="1">VLOOKUP($B15,'[8]Analisys QBR By Machine Report'!$C$109:$BD$166,18,FALSE)</f>
        <v>0</v>
      </c>
      <c r="X15" s="13">
        <f ca="1">VLOOKUP($B15,'[8]Analisys QBR By Machine Report'!$C$109:$BD$166,19,FALSE)</f>
        <v>50</v>
      </c>
      <c r="Y15" s="13">
        <f ca="1">VLOOKUP($B15,'[8]Analisys QBR By Machine Report'!$C$109:$BD$166,20,FALSE)</f>
        <v>0</v>
      </c>
      <c r="Z15" s="13">
        <f ca="1">VLOOKUP($B15,'[8]Analisys QBR By Machine Report'!$C$109:$BD$166,21,FALSE)</f>
        <v>985</v>
      </c>
      <c r="AA15" s="13">
        <f ca="1">VLOOKUP($B15,'[8]Analisys QBR By Machine Report'!$C$109:$BD$166,22,FALSE)</f>
        <v>380</v>
      </c>
      <c r="AB15" s="13">
        <f ca="1">VLOOKUP($B15,'[8]Analisys QBR By Machine Report'!$C$109:$BD$166,23,FALSE)</f>
        <v>485</v>
      </c>
      <c r="AC15" s="13">
        <f ca="1">VLOOKUP($B15,'[8]Analisys QBR By Machine Report'!$C$109:$BD$166,24,FALSE)</f>
        <v>0</v>
      </c>
      <c r="AD15" s="13">
        <f ca="1">VLOOKUP($B15,'[8]Analisys QBR By Machine Report'!$C$109:$BD$166,25,FALSE)</f>
        <v>0</v>
      </c>
      <c r="AE15" s="13">
        <f ca="1">VLOOKUP($B15,'[8]Analisys QBR By Machine Report'!$C$109:$BD$166,26,FALSE)</f>
        <v>120</v>
      </c>
      <c r="AF15" s="13">
        <f ca="1">VLOOKUP($B15,'[8]Analisys QBR By Machine Report'!$C$109:$BD$166,27,FALSE)</f>
        <v>0</v>
      </c>
      <c r="AG15" s="13">
        <f ca="1">VLOOKUP($B15,'[8]Analisys QBR By Machine Report'!$C$109:$BD$166,28,FALSE)</f>
        <v>0</v>
      </c>
      <c r="AH15" s="13">
        <f ca="1">VLOOKUP($B15,'[8]Analisys QBR By Machine Report'!$C$109:$BD$166,29,FALSE)</f>
        <v>0</v>
      </c>
      <c r="AI15" s="13">
        <f ca="1">VLOOKUP($B15,'[8]Analisys QBR By Machine Report'!$C$109:$BD$166,30,FALSE)</f>
        <v>555</v>
      </c>
      <c r="AJ15" s="13">
        <f ca="1">VLOOKUP($B15,'[8]Analisys QBR By Machine Report'!$C$109:$BD$166,31,FALSE)</f>
        <v>0</v>
      </c>
      <c r="AK15" s="13">
        <f ca="1">VLOOKUP($B15,'[8]Analisys QBR By Machine Report'!$C$109:$BD$166,32,FALSE)</f>
        <v>0</v>
      </c>
      <c r="AL15" s="13">
        <f ca="1">VLOOKUP($B15,'[8]Analisys QBR By Machine Report'!$C$109:$BD$166,33,FALSE)</f>
        <v>90</v>
      </c>
      <c r="AM15" s="13">
        <f ca="1">VLOOKUP($B15,'[8]Analisys QBR By Machine Report'!$C$109:$BD$166,34,FALSE)</f>
        <v>0</v>
      </c>
      <c r="AN15" s="13">
        <f ca="1">VLOOKUP($B15,'[8]Analisys QBR By Machine Report'!$C$109:$BD$166,35,FALSE)</f>
        <v>110</v>
      </c>
      <c r="AO15" s="13">
        <f ca="1">VLOOKUP($B15,'[8]Analisys QBR By Machine Report'!$C$109:$BD$166,36,FALSE)</f>
        <v>160</v>
      </c>
      <c r="AP15" s="13">
        <f ca="1">VLOOKUP($B15,'[8]Analisys QBR By Machine Report'!$C$109:$BD$166,37,FALSE)</f>
        <v>0</v>
      </c>
      <c r="AQ15" s="13">
        <f ca="1">VLOOKUP($B15,'[8]Analisys QBR By Machine Report'!$C$109:$BD$166,38,FALSE)</f>
        <v>0</v>
      </c>
      <c r="AR15" s="13">
        <f ca="1">VLOOKUP($B15,'[8]Analisys QBR By Machine Report'!$C$109:$BD$166,39,FALSE)</f>
        <v>95</v>
      </c>
      <c r="AS15" s="13">
        <f ca="1">VLOOKUP($B15,'[8]Analisys QBR By Machine Report'!$C$109:$BD$166,40,FALSE)</f>
        <v>60</v>
      </c>
      <c r="AT15" s="13">
        <f ca="1">VLOOKUP($B15,'[8]Analisys QBR By Machine Report'!$C$109:$BD$166,41,FALSE)</f>
        <v>0</v>
      </c>
      <c r="AU15" s="13">
        <f ca="1">VLOOKUP($B15,'[8]Analisys QBR By Machine Report'!$C$109:$BD$166,42,FALSE)</f>
        <v>0</v>
      </c>
      <c r="AV15" s="13">
        <f ca="1">VLOOKUP($B15,'[8]Analisys QBR By Machine Report'!$C$109:$BD$166,43,FALSE)</f>
        <v>0</v>
      </c>
      <c r="AW15" s="13">
        <f ca="1">VLOOKUP($B15,'[8]Analisys QBR By Machine Report'!$C$109:$BD$166,44,FALSE)</f>
        <v>0</v>
      </c>
      <c r="AX15" s="13">
        <f ca="1">VLOOKUP($B15,'[8]Analisys QBR By Machine Report'!$C$109:$BD$166,45,FALSE)</f>
        <v>0</v>
      </c>
      <c r="AY15" s="13">
        <f ca="1">VLOOKUP($B15,'[8]Analisys QBR By Machine Report'!$C$109:$BD$166,46,FALSE)</f>
        <v>0</v>
      </c>
      <c r="AZ15" s="13">
        <f ca="1">VLOOKUP($B15,'[8]Analisys QBR By Machine Report'!$C$109:$BD$166,47,FALSE)</f>
        <v>40</v>
      </c>
      <c r="BA15" s="13">
        <f ca="1">VLOOKUP($B15,'[8]Analisys QBR By Machine Report'!$C$109:$BD$166,48,FALSE)</f>
        <v>0</v>
      </c>
      <c r="BB15" s="13">
        <f ca="1">VLOOKUP($B15,'[8]Analisys QBR By Machine Report'!$C$109:$BD$166,49,FALSE)</f>
        <v>0</v>
      </c>
      <c r="BC15" s="13">
        <f ca="1">VLOOKUP($B15,'[8]Analisys QBR By Machine Report'!$C$109:$BD$166,50,FALSE)</f>
        <v>0</v>
      </c>
      <c r="BD15" s="13">
        <f ca="1">VLOOKUP($B15,'[8]Analisys QBR By Machine Report'!$C$109:$BD$166,51,FALSE)</f>
        <v>1163.71</v>
      </c>
      <c r="BE15" s="13">
        <f ca="1">VLOOKUP($B15,'[8]Analisys QBR By Machine Report'!$C$109:$BD$166,52,FALSE)</f>
        <v>0.41</v>
      </c>
      <c r="BF15" s="13">
        <f ca="1">VLOOKUP($B15,'[8]Analisys QBR By Machine Report'!$C$109:$BD$166,53,FALSE)</f>
        <v>1163.3</v>
      </c>
    </row>
    <row r="16" spans="1:58" x14ac:dyDescent="0.25">
      <c r="A16" s="9" t="s">
        <v>72</v>
      </c>
      <c r="B16" s="10">
        <f ca="1">VLOOKUP($B16,'[8]Analisys QBR By Machine Report'!$C$109:$BD$166,2,FALSE)</f>
        <v>144000</v>
      </c>
      <c r="C16" s="11">
        <f ca="1">VLOOKUP($B16,[8]Dasboard_QBR_Report!$B$109:$BL$166,3,FALSE)</f>
        <v>66000</v>
      </c>
      <c r="D16" s="10">
        <f ca="1">VLOOKUP($B16,'[8]Analisys QBR By Machine Report'!$C$109:$BD$166,3,FALSE)</f>
        <v>93150</v>
      </c>
      <c r="E16" s="11">
        <f ca="1">VLOOKUP($B16,[8]Dasboard_QBR_Report!$B$109:$BL$166,5,FALSE)</f>
        <v>15150</v>
      </c>
      <c r="F16" s="10">
        <f t="shared" ca="1" si="0"/>
        <v>50850</v>
      </c>
      <c r="G16" s="10">
        <f t="shared" ca="1" si="1"/>
        <v>1460</v>
      </c>
      <c r="H16" s="10">
        <f ca="1">VLOOKUP($B16,'[8]Analisys QBR By Machine Report'!$C$109:$BD$166,4,FALSE)</f>
        <v>1460</v>
      </c>
      <c r="I16" s="10">
        <f ca="1">VLOOKUP($B16,'[8]Analisys QBR By Machine Report'!$C$109:$BD$166,5,FALSE)</f>
        <v>0</v>
      </c>
      <c r="J16" s="10">
        <f ca="1">VLOOKUP($B16,'[8]Analisys QBR By Machine Report'!$C$109:$BD$166,6,FALSE)</f>
        <v>1460</v>
      </c>
      <c r="K16" s="10">
        <f ca="1">VLOOKUP($B16,'[8]Analisys QBR By Machine Report'!$C$109:$BD$166,7,FALSE)</f>
        <v>0</v>
      </c>
      <c r="L16" s="10">
        <f ca="1">VLOOKUP($B16,'[8]Analisys QBR By Machine Report'!$C$109:$BD$166,8,FALSE)</f>
        <v>49390</v>
      </c>
      <c r="M16" s="10">
        <f ca="1">VLOOKUP($B16,'[8]Analisys QBR By Machine Report'!$C$109:$BD$166,9,FALSE)</f>
        <v>20280</v>
      </c>
      <c r="N16" s="10">
        <f ca="1">VLOOKUP($B16,[8]Dasboard_QBR_Report!$B$109:$BL$166,18,FALSE)</f>
        <v>29110</v>
      </c>
      <c r="O16" s="10">
        <f ca="1">VLOOKUP($B16,'[8]Analisys QBR By Machine Report'!$C$109:$BD$166,10,FALSE)</f>
        <v>6235</v>
      </c>
      <c r="P16" s="10">
        <f ca="1">VLOOKUP($B16,'[8]Analisys QBR By Machine Report'!$C$109:$BD$166,11,FALSE)</f>
        <v>3720</v>
      </c>
      <c r="Q16" s="10">
        <f ca="1">VLOOKUP($B16,'[8]Analisys QBR By Machine Report'!$C$109:$BD$166,12,FALSE)</f>
        <v>0</v>
      </c>
      <c r="R16" s="10">
        <f ca="1">VLOOKUP($B16,'[8]Analisys QBR By Machine Report'!$C$109:$BD$166,13,FALSE)</f>
        <v>2515</v>
      </c>
      <c r="S16" s="10">
        <f ca="1">VLOOKUP($B16,'[8]Analisys QBR By Machine Report'!$C$109:$BD$166,14,FALSE)</f>
        <v>0</v>
      </c>
      <c r="T16" s="10">
        <f ca="1">VLOOKUP($B16,'[8]Analisys QBR By Machine Report'!$C$109:$BD$166,15,FALSE)</f>
        <v>950</v>
      </c>
      <c r="U16" s="10">
        <f ca="1">VLOOKUP($B16,'[8]Analisys QBR By Machine Report'!$C$109:$BD$166,16,FALSE)</f>
        <v>645</v>
      </c>
      <c r="V16" s="10">
        <f ca="1">VLOOKUP($B16,'[8]Analisys QBR By Machine Report'!$C$109:$BD$166,17,FALSE)</f>
        <v>305</v>
      </c>
      <c r="W16" s="10">
        <f ca="1">VLOOKUP($B16,'[8]Analisys QBR By Machine Report'!$C$109:$BD$166,18,FALSE)</f>
        <v>0</v>
      </c>
      <c r="X16" s="10">
        <f ca="1">VLOOKUP($B16,'[8]Analisys QBR By Machine Report'!$C$109:$BD$166,19,FALSE)</f>
        <v>0</v>
      </c>
      <c r="Y16" s="10">
        <f ca="1">VLOOKUP($B16,'[8]Analisys QBR By Machine Report'!$C$109:$BD$166,20,FALSE)</f>
        <v>0</v>
      </c>
      <c r="Z16" s="10">
        <f ca="1">VLOOKUP($B16,'[8]Analisys QBR By Machine Report'!$C$109:$BD$166,21,FALSE)</f>
        <v>8965</v>
      </c>
      <c r="AA16" s="10">
        <f ca="1">VLOOKUP($B16,'[8]Analisys QBR By Machine Report'!$C$109:$BD$166,22,FALSE)</f>
        <v>4830</v>
      </c>
      <c r="AB16" s="10">
        <f ca="1">VLOOKUP($B16,'[8]Analisys QBR By Machine Report'!$C$109:$BD$166,23,FALSE)</f>
        <v>1835</v>
      </c>
      <c r="AC16" s="10">
        <f ca="1">VLOOKUP($B16,'[8]Analisys QBR By Machine Report'!$C$109:$BD$166,24,FALSE)</f>
        <v>1585</v>
      </c>
      <c r="AD16" s="10">
        <f ca="1">VLOOKUP($B16,'[8]Analisys QBR By Machine Report'!$C$109:$BD$166,25,FALSE)</f>
        <v>0</v>
      </c>
      <c r="AE16" s="10">
        <f ca="1">VLOOKUP($B16,'[8]Analisys QBR By Machine Report'!$C$109:$BD$166,26,FALSE)</f>
        <v>715</v>
      </c>
      <c r="AF16" s="10">
        <f ca="1">VLOOKUP($B16,'[8]Analisys QBR By Machine Report'!$C$109:$BD$166,27,FALSE)</f>
        <v>2610</v>
      </c>
      <c r="AG16" s="10">
        <f ca="1">VLOOKUP($B16,'[8]Analisys QBR By Machine Report'!$C$109:$BD$166,28,FALSE)</f>
        <v>0</v>
      </c>
      <c r="AH16" s="10">
        <f ca="1">VLOOKUP($B16,'[8]Analisys QBR By Machine Report'!$C$109:$BD$166,29,FALSE)</f>
        <v>2610</v>
      </c>
      <c r="AI16" s="10">
        <f ca="1">VLOOKUP($B16,'[8]Analisys QBR By Machine Report'!$C$109:$BD$166,30,FALSE)</f>
        <v>10350</v>
      </c>
      <c r="AJ16" s="10">
        <f ca="1">VLOOKUP($B16,'[8]Analisys QBR By Machine Report'!$C$109:$BD$166,31,FALSE)</f>
        <v>0</v>
      </c>
      <c r="AK16" s="10">
        <f ca="1">VLOOKUP($B16,'[8]Analisys QBR By Machine Report'!$C$109:$BD$166,32,FALSE)</f>
        <v>0</v>
      </c>
      <c r="AL16" s="10">
        <f ca="1">VLOOKUP($B16,'[8]Analisys QBR By Machine Report'!$C$109:$BD$166,33,FALSE)</f>
        <v>2965</v>
      </c>
      <c r="AM16" s="10">
        <f ca="1">VLOOKUP($B16,'[8]Analisys QBR By Machine Report'!$C$109:$BD$166,34,FALSE)</f>
        <v>0</v>
      </c>
      <c r="AN16" s="10">
        <f ca="1">VLOOKUP($B16,'[8]Analisys QBR By Machine Report'!$C$109:$BD$166,35,FALSE)</f>
        <v>2660</v>
      </c>
      <c r="AO16" s="10">
        <f ca="1">VLOOKUP($B16,'[8]Analisys QBR By Machine Report'!$C$109:$BD$166,36,FALSE)</f>
        <v>735</v>
      </c>
      <c r="AP16" s="10">
        <f ca="1">VLOOKUP($B16,'[8]Analisys QBR By Machine Report'!$C$109:$BD$166,37,FALSE)</f>
        <v>0</v>
      </c>
      <c r="AQ16" s="10">
        <f ca="1">VLOOKUP($B16,'[8]Analisys QBR By Machine Report'!$C$109:$BD$166,38,FALSE)</f>
        <v>0</v>
      </c>
      <c r="AR16" s="10">
        <f ca="1">VLOOKUP($B16,'[8]Analisys QBR By Machine Report'!$C$109:$BD$166,39,FALSE)</f>
        <v>285</v>
      </c>
      <c r="AS16" s="10">
        <f ca="1">VLOOKUP($B16,'[8]Analisys QBR By Machine Report'!$C$109:$BD$166,40,FALSE)</f>
        <v>1760</v>
      </c>
      <c r="AT16" s="10">
        <f ca="1">VLOOKUP($B16,'[8]Analisys QBR By Machine Report'!$C$109:$BD$166,41,FALSE)</f>
        <v>0</v>
      </c>
      <c r="AU16" s="10">
        <f ca="1">VLOOKUP($B16,'[8]Analisys QBR By Machine Report'!$C$109:$BD$166,42,FALSE)</f>
        <v>0</v>
      </c>
      <c r="AV16" s="10">
        <f ca="1">VLOOKUP($B16,'[8]Analisys QBR By Machine Report'!$C$109:$BD$166,43,FALSE)</f>
        <v>0</v>
      </c>
      <c r="AW16" s="10">
        <f ca="1">VLOOKUP($B16,'[8]Analisys QBR By Machine Report'!$C$109:$BD$166,44,FALSE)</f>
        <v>0</v>
      </c>
      <c r="AX16" s="10">
        <f ca="1">VLOOKUP($B16,'[8]Analisys QBR By Machine Report'!$C$109:$BD$166,45,FALSE)</f>
        <v>0</v>
      </c>
      <c r="AY16" s="10">
        <f ca="1">VLOOKUP($B16,'[8]Analisys QBR By Machine Report'!$C$109:$BD$166,46,FALSE)</f>
        <v>0</v>
      </c>
      <c r="AZ16" s="10">
        <f ca="1">VLOOKUP($B16,'[8]Analisys QBR By Machine Report'!$C$109:$BD$166,47,FALSE)</f>
        <v>1880</v>
      </c>
      <c r="BA16" s="10">
        <f ca="1">VLOOKUP($B16,'[8]Analisys QBR By Machine Report'!$C$109:$BD$166,48,FALSE)</f>
        <v>65</v>
      </c>
      <c r="BB16" s="10">
        <f ca="1">VLOOKUP($B16,'[8]Analisys QBR By Machine Report'!$C$109:$BD$166,49,FALSE)</f>
        <v>0</v>
      </c>
      <c r="BC16" s="10">
        <f ca="1">VLOOKUP($B16,'[8]Analisys QBR By Machine Report'!$C$109:$BD$166,50,FALSE)</f>
        <v>0</v>
      </c>
      <c r="BD16" s="10">
        <f ca="1">VLOOKUP($B16,'[8]Analisys QBR By Machine Report'!$C$109:$BD$166,51,FALSE)</f>
        <v>10929635</v>
      </c>
      <c r="BE16" s="10">
        <f ca="1">VLOOKUP($B16,'[8]Analisys QBR By Machine Report'!$C$109:$BD$166,52,FALSE)</f>
        <v>61723</v>
      </c>
      <c r="BF16" s="10">
        <f ca="1">VLOOKUP($B16,'[8]Analisys QBR By Machine Report'!$C$109:$BD$166,53,FALSE)</f>
        <v>10867912</v>
      </c>
    </row>
    <row r="17" spans="1:58" x14ac:dyDescent="0.25">
      <c r="A17" s="12" t="s">
        <v>73</v>
      </c>
      <c r="B17" s="13">
        <f ca="1">VLOOKUP($B17,'[8]Analisys QBR By Machine Report'!$C$109:$BD$166,2,FALSE)</f>
        <v>28800</v>
      </c>
      <c r="C17" s="14">
        <f ca="1">VLOOKUP($B17,[8]Dasboard_QBR_Report!$B$109:$BL$166,3,FALSE)</f>
        <v>18600</v>
      </c>
      <c r="D17" s="13">
        <f ca="1">VLOOKUP($B17,'[8]Analisys QBR By Machine Report'!$C$109:$BD$166,3,FALSE)</f>
        <v>17610</v>
      </c>
      <c r="E17" s="14">
        <f ca="1">VLOOKUP($B17,[8]Dasboard_QBR_Report!$B$109:$BL$166,5,FALSE)</f>
        <v>7410</v>
      </c>
      <c r="F17" s="13">
        <f t="shared" ca="1" si="0"/>
        <v>11190</v>
      </c>
      <c r="G17" s="13">
        <f t="shared" ca="1" si="1"/>
        <v>255</v>
      </c>
      <c r="H17" s="13">
        <f ca="1">VLOOKUP($B17,'[8]Analisys QBR By Machine Report'!$C$109:$BD$166,4,FALSE)</f>
        <v>255</v>
      </c>
      <c r="I17" s="13">
        <f ca="1">VLOOKUP($B17,'[8]Analisys QBR By Machine Report'!$C$109:$BD$166,5,FALSE)</f>
        <v>0</v>
      </c>
      <c r="J17" s="13">
        <f ca="1">VLOOKUP($B17,'[8]Analisys QBR By Machine Report'!$C$109:$BD$166,6,FALSE)</f>
        <v>255</v>
      </c>
      <c r="K17" s="13">
        <f ca="1">VLOOKUP($B17,'[8]Analisys QBR By Machine Report'!$C$109:$BD$166,7,FALSE)</f>
        <v>0</v>
      </c>
      <c r="L17" s="13">
        <f ca="1">VLOOKUP($B17,'[8]Analisys QBR By Machine Report'!$C$109:$BD$166,8,FALSE)</f>
        <v>10935</v>
      </c>
      <c r="M17" s="13">
        <f ca="1">VLOOKUP($B17,'[8]Analisys QBR By Machine Report'!$C$109:$BD$166,9,FALSE)</f>
        <v>4190</v>
      </c>
      <c r="N17" s="13">
        <f ca="1">VLOOKUP($B17,[8]Dasboard_QBR_Report!$B$109:$BL$166,18,FALSE)</f>
        <v>6745</v>
      </c>
      <c r="O17" s="13">
        <f ca="1">VLOOKUP($B17,'[8]Analisys QBR By Machine Report'!$C$109:$BD$166,10,FALSE)</f>
        <v>1270</v>
      </c>
      <c r="P17" s="13">
        <f ca="1">VLOOKUP($B17,'[8]Analisys QBR By Machine Report'!$C$109:$BD$166,11,FALSE)</f>
        <v>760</v>
      </c>
      <c r="Q17" s="13">
        <f ca="1">VLOOKUP($B17,'[8]Analisys QBR By Machine Report'!$C$109:$BD$166,12,FALSE)</f>
        <v>0</v>
      </c>
      <c r="R17" s="13">
        <f ca="1">VLOOKUP($B17,'[8]Analisys QBR By Machine Report'!$C$109:$BD$166,13,FALSE)</f>
        <v>510</v>
      </c>
      <c r="S17" s="13">
        <f ca="1">VLOOKUP($B17,'[8]Analisys QBR By Machine Report'!$C$109:$BD$166,14,FALSE)</f>
        <v>0</v>
      </c>
      <c r="T17" s="13">
        <f ca="1">VLOOKUP($B17,'[8]Analisys QBR By Machine Report'!$C$109:$BD$166,15,FALSE)</f>
        <v>725</v>
      </c>
      <c r="U17" s="13">
        <f ca="1">VLOOKUP($B17,'[8]Analisys QBR By Machine Report'!$C$109:$BD$166,16,FALSE)</f>
        <v>500</v>
      </c>
      <c r="V17" s="13">
        <f ca="1">VLOOKUP($B17,'[8]Analisys QBR By Machine Report'!$C$109:$BD$166,17,FALSE)</f>
        <v>225</v>
      </c>
      <c r="W17" s="13">
        <f ca="1">VLOOKUP($B17,'[8]Analisys QBR By Machine Report'!$C$109:$BD$166,18,FALSE)</f>
        <v>0</v>
      </c>
      <c r="X17" s="13">
        <f ca="1">VLOOKUP($B17,'[8]Analisys QBR By Machine Report'!$C$109:$BD$166,19,FALSE)</f>
        <v>0</v>
      </c>
      <c r="Y17" s="13">
        <f ca="1">VLOOKUP($B17,'[8]Analisys QBR By Machine Report'!$C$109:$BD$166,20,FALSE)</f>
        <v>0</v>
      </c>
      <c r="Z17" s="13">
        <f ca="1">VLOOKUP($B17,'[8]Analisys QBR By Machine Report'!$C$109:$BD$166,21,FALSE)</f>
        <v>1695</v>
      </c>
      <c r="AA17" s="13">
        <f ca="1">VLOOKUP($B17,'[8]Analisys QBR By Machine Report'!$C$109:$BD$166,22,FALSE)</f>
        <v>965</v>
      </c>
      <c r="AB17" s="13">
        <f ca="1">VLOOKUP($B17,'[8]Analisys QBR By Machine Report'!$C$109:$BD$166,23,FALSE)</f>
        <v>265</v>
      </c>
      <c r="AC17" s="13">
        <f ca="1">VLOOKUP($B17,'[8]Analisys QBR By Machine Report'!$C$109:$BD$166,24,FALSE)</f>
        <v>315</v>
      </c>
      <c r="AD17" s="13">
        <f ca="1">VLOOKUP($B17,'[8]Analisys QBR By Machine Report'!$C$109:$BD$166,25,FALSE)</f>
        <v>0</v>
      </c>
      <c r="AE17" s="13">
        <f ca="1">VLOOKUP($B17,'[8]Analisys QBR By Machine Report'!$C$109:$BD$166,26,FALSE)</f>
        <v>150</v>
      </c>
      <c r="AF17" s="13">
        <f ca="1">VLOOKUP($B17,'[8]Analisys QBR By Machine Report'!$C$109:$BD$166,27,FALSE)</f>
        <v>870</v>
      </c>
      <c r="AG17" s="13">
        <f ca="1">VLOOKUP($B17,'[8]Analisys QBR By Machine Report'!$C$109:$BD$166,28,FALSE)</f>
        <v>0</v>
      </c>
      <c r="AH17" s="13">
        <f ca="1">VLOOKUP($B17,'[8]Analisys QBR By Machine Report'!$C$109:$BD$166,29,FALSE)</f>
        <v>870</v>
      </c>
      <c r="AI17" s="13">
        <f ca="1">VLOOKUP($B17,'[8]Analisys QBR By Machine Report'!$C$109:$BD$166,30,FALSE)</f>
        <v>2185</v>
      </c>
      <c r="AJ17" s="13">
        <f ca="1">VLOOKUP($B17,'[8]Analisys QBR By Machine Report'!$C$109:$BD$166,31,FALSE)</f>
        <v>0</v>
      </c>
      <c r="AK17" s="13">
        <f ca="1">VLOOKUP($B17,'[8]Analisys QBR By Machine Report'!$C$109:$BD$166,32,FALSE)</f>
        <v>0</v>
      </c>
      <c r="AL17" s="13">
        <f ca="1">VLOOKUP($B17,'[8]Analisys QBR By Machine Report'!$C$109:$BD$166,33,FALSE)</f>
        <v>645</v>
      </c>
      <c r="AM17" s="13">
        <f ca="1">VLOOKUP($B17,'[8]Analisys QBR By Machine Report'!$C$109:$BD$166,34,FALSE)</f>
        <v>0</v>
      </c>
      <c r="AN17" s="13">
        <f ca="1">VLOOKUP($B17,'[8]Analisys QBR By Machine Report'!$C$109:$BD$166,35,FALSE)</f>
        <v>645</v>
      </c>
      <c r="AO17" s="13">
        <f ca="1">VLOOKUP($B17,'[8]Analisys QBR By Machine Report'!$C$109:$BD$166,36,FALSE)</f>
        <v>0</v>
      </c>
      <c r="AP17" s="13">
        <f ca="1">VLOOKUP($B17,'[8]Analisys QBR By Machine Report'!$C$109:$BD$166,37,FALSE)</f>
        <v>0</v>
      </c>
      <c r="AQ17" s="13">
        <f ca="1">VLOOKUP($B17,'[8]Analisys QBR By Machine Report'!$C$109:$BD$166,38,FALSE)</f>
        <v>0</v>
      </c>
      <c r="AR17" s="13">
        <f ca="1">VLOOKUP($B17,'[8]Analisys QBR By Machine Report'!$C$109:$BD$166,39,FALSE)</f>
        <v>75</v>
      </c>
      <c r="AS17" s="13">
        <f ca="1">VLOOKUP($B17,'[8]Analisys QBR By Machine Report'!$C$109:$BD$166,40,FALSE)</f>
        <v>435</v>
      </c>
      <c r="AT17" s="13">
        <f ca="1">VLOOKUP($B17,'[8]Analisys QBR By Machine Report'!$C$109:$BD$166,41,FALSE)</f>
        <v>0</v>
      </c>
      <c r="AU17" s="13">
        <f ca="1">VLOOKUP($B17,'[8]Analisys QBR By Machine Report'!$C$109:$BD$166,42,FALSE)</f>
        <v>0</v>
      </c>
      <c r="AV17" s="13">
        <f ca="1">VLOOKUP($B17,'[8]Analisys QBR By Machine Report'!$C$109:$BD$166,43,FALSE)</f>
        <v>0</v>
      </c>
      <c r="AW17" s="13">
        <f ca="1">VLOOKUP($B17,'[8]Analisys QBR By Machine Report'!$C$109:$BD$166,44,FALSE)</f>
        <v>0</v>
      </c>
      <c r="AX17" s="13">
        <f ca="1">VLOOKUP($B17,'[8]Analisys QBR By Machine Report'!$C$109:$BD$166,45,FALSE)</f>
        <v>0</v>
      </c>
      <c r="AY17" s="13">
        <f ca="1">VLOOKUP($B17,'[8]Analisys QBR By Machine Report'!$C$109:$BD$166,46,FALSE)</f>
        <v>0</v>
      </c>
      <c r="AZ17" s="13">
        <f ca="1">VLOOKUP($B17,'[8]Analisys QBR By Machine Report'!$C$109:$BD$166,47,FALSE)</f>
        <v>320</v>
      </c>
      <c r="BA17" s="13">
        <f ca="1">VLOOKUP($B17,'[8]Analisys QBR By Machine Report'!$C$109:$BD$166,48,FALSE)</f>
        <v>65</v>
      </c>
      <c r="BB17" s="13">
        <f ca="1">VLOOKUP($B17,'[8]Analisys QBR By Machine Report'!$C$109:$BD$166,49,FALSE)</f>
        <v>0</v>
      </c>
      <c r="BC17" s="13">
        <f ca="1">VLOOKUP($B17,'[8]Analisys QBR By Machine Report'!$C$109:$BD$166,50,FALSE)</f>
        <v>0</v>
      </c>
      <c r="BD17" s="13">
        <f ca="1">VLOOKUP($B17,'[8]Analisys QBR By Machine Report'!$C$109:$BD$166,51,FALSE)</f>
        <v>2217772</v>
      </c>
      <c r="BE17" s="13">
        <f ca="1">VLOOKUP($B17,'[8]Analisys QBR By Machine Report'!$C$109:$BD$166,52,FALSE)</f>
        <v>10437</v>
      </c>
      <c r="BF17" s="13">
        <f ca="1">VLOOKUP($B17,'[8]Analisys QBR By Machine Report'!$C$109:$BD$166,53,FALSE)</f>
        <v>2207335</v>
      </c>
    </row>
    <row r="18" spans="1:58" x14ac:dyDescent="0.25">
      <c r="A18" s="12" t="s">
        <v>74</v>
      </c>
      <c r="B18" s="13">
        <f ca="1">VLOOKUP($B18,'[8]Analisys QBR By Machine Report'!$C$109:$BD$166,2,FALSE)</f>
        <v>28800</v>
      </c>
      <c r="C18" s="14">
        <f ca="1">VLOOKUP($B18,[8]Dasboard_QBR_Report!$B$109:$BL$166,3,FALSE)</f>
        <v>18600</v>
      </c>
      <c r="D18" s="13">
        <f ca="1">VLOOKUP($B18,'[8]Analisys QBR By Machine Report'!$C$109:$BD$166,3,FALSE)</f>
        <v>17640</v>
      </c>
      <c r="E18" s="14">
        <f ca="1">VLOOKUP($B18,[8]Dasboard_QBR_Report!$B$109:$BL$166,5,FALSE)</f>
        <v>7440</v>
      </c>
      <c r="F18" s="13">
        <f t="shared" ca="1" si="0"/>
        <v>11160</v>
      </c>
      <c r="G18" s="13">
        <f t="shared" ca="1" si="1"/>
        <v>0</v>
      </c>
      <c r="H18" s="13">
        <f ca="1">VLOOKUP($B18,'[8]Analisys QBR By Machine Report'!$C$109:$BD$166,4,FALSE)</f>
        <v>0</v>
      </c>
      <c r="I18" s="13">
        <f ca="1">VLOOKUP($B18,'[8]Analisys QBR By Machine Report'!$C$109:$BD$166,5,FALSE)</f>
        <v>0</v>
      </c>
      <c r="J18" s="13">
        <f ca="1">VLOOKUP($B18,'[8]Analisys QBR By Machine Report'!$C$109:$BD$166,6,FALSE)</f>
        <v>0</v>
      </c>
      <c r="K18" s="13">
        <f ca="1">VLOOKUP($B18,'[8]Analisys QBR By Machine Report'!$C$109:$BD$166,7,FALSE)</f>
        <v>0</v>
      </c>
      <c r="L18" s="13">
        <f ca="1">VLOOKUP($B18,'[8]Analisys QBR By Machine Report'!$C$109:$BD$166,8,FALSE)</f>
        <v>11160</v>
      </c>
      <c r="M18" s="13">
        <f ca="1">VLOOKUP($B18,'[8]Analisys QBR By Machine Report'!$C$109:$BD$166,9,FALSE)</f>
        <v>4290</v>
      </c>
      <c r="N18" s="13">
        <f ca="1">VLOOKUP($B18,[8]Dasboard_QBR_Report!$B$109:$BL$166,18,FALSE)</f>
        <v>6870</v>
      </c>
      <c r="O18" s="13">
        <f ca="1">VLOOKUP($B18,'[8]Analisys QBR By Machine Report'!$C$109:$BD$166,10,FALSE)</f>
        <v>1375</v>
      </c>
      <c r="P18" s="13">
        <f ca="1">VLOOKUP($B18,'[8]Analisys QBR By Machine Report'!$C$109:$BD$166,11,FALSE)</f>
        <v>940</v>
      </c>
      <c r="Q18" s="13">
        <f ca="1">VLOOKUP($B18,'[8]Analisys QBR By Machine Report'!$C$109:$BD$166,12,FALSE)</f>
        <v>0</v>
      </c>
      <c r="R18" s="13">
        <f ca="1">VLOOKUP($B18,'[8]Analisys QBR By Machine Report'!$C$109:$BD$166,13,FALSE)</f>
        <v>435</v>
      </c>
      <c r="S18" s="13">
        <f ca="1">VLOOKUP($B18,'[8]Analisys QBR By Machine Report'!$C$109:$BD$166,14,FALSE)</f>
        <v>0</v>
      </c>
      <c r="T18" s="13">
        <f ca="1">VLOOKUP($B18,'[8]Analisys QBR By Machine Report'!$C$109:$BD$166,15,FALSE)</f>
        <v>45</v>
      </c>
      <c r="U18" s="13">
        <f ca="1">VLOOKUP($B18,'[8]Analisys QBR By Machine Report'!$C$109:$BD$166,16,FALSE)</f>
        <v>15</v>
      </c>
      <c r="V18" s="13">
        <f ca="1">VLOOKUP($B18,'[8]Analisys QBR By Machine Report'!$C$109:$BD$166,17,FALSE)</f>
        <v>30</v>
      </c>
      <c r="W18" s="13">
        <f ca="1">VLOOKUP($B18,'[8]Analisys QBR By Machine Report'!$C$109:$BD$166,18,FALSE)</f>
        <v>0</v>
      </c>
      <c r="X18" s="13">
        <f ca="1">VLOOKUP($B18,'[8]Analisys QBR By Machine Report'!$C$109:$BD$166,19,FALSE)</f>
        <v>0</v>
      </c>
      <c r="Y18" s="13">
        <f ca="1">VLOOKUP($B18,'[8]Analisys QBR By Machine Report'!$C$109:$BD$166,20,FALSE)</f>
        <v>0</v>
      </c>
      <c r="Z18" s="13">
        <f ca="1">VLOOKUP($B18,'[8]Analisys QBR By Machine Report'!$C$109:$BD$166,21,FALSE)</f>
        <v>2545</v>
      </c>
      <c r="AA18" s="13">
        <f ca="1">VLOOKUP($B18,'[8]Analisys QBR By Machine Report'!$C$109:$BD$166,22,FALSE)</f>
        <v>1295</v>
      </c>
      <c r="AB18" s="13">
        <f ca="1">VLOOKUP($B18,'[8]Analisys QBR By Machine Report'!$C$109:$BD$166,23,FALSE)</f>
        <v>780</v>
      </c>
      <c r="AC18" s="13">
        <f ca="1">VLOOKUP($B18,'[8]Analisys QBR By Machine Report'!$C$109:$BD$166,24,FALSE)</f>
        <v>305</v>
      </c>
      <c r="AD18" s="13">
        <f ca="1">VLOOKUP($B18,'[8]Analisys QBR By Machine Report'!$C$109:$BD$166,25,FALSE)</f>
        <v>0</v>
      </c>
      <c r="AE18" s="13">
        <f ca="1">VLOOKUP($B18,'[8]Analisys QBR By Machine Report'!$C$109:$BD$166,26,FALSE)</f>
        <v>165</v>
      </c>
      <c r="AF18" s="13">
        <f ca="1">VLOOKUP($B18,'[8]Analisys QBR By Machine Report'!$C$109:$BD$166,27,FALSE)</f>
        <v>780</v>
      </c>
      <c r="AG18" s="13">
        <f ca="1">VLOOKUP($B18,'[8]Analisys QBR By Machine Report'!$C$109:$BD$166,28,FALSE)</f>
        <v>0</v>
      </c>
      <c r="AH18" s="13">
        <f ca="1">VLOOKUP($B18,'[8]Analisys QBR By Machine Report'!$C$109:$BD$166,29,FALSE)</f>
        <v>780</v>
      </c>
      <c r="AI18" s="13">
        <f ca="1">VLOOKUP($B18,'[8]Analisys QBR By Machine Report'!$C$109:$BD$166,30,FALSE)</f>
        <v>2125</v>
      </c>
      <c r="AJ18" s="13">
        <f ca="1">VLOOKUP($B18,'[8]Analisys QBR By Machine Report'!$C$109:$BD$166,31,FALSE)</f>
        <v>0</v>
      </c>
      <c r="AK18" s="13">
        <f ca="1">VLOOKUP($B18,'[8]Analisys QBR By Machine Report'!$C$109:$BD$166,32,FALSE)</f>
        <v>0</v>
      </c>
      <c r="AL18" s="13">
        <f ca="1">VLOOKUP($B18,'[8]Analisys QBR By Machine Report'!$C$109:$BD$166,33,FALSE)</f>
        <v>670</v>
      </c>
      <c r="AM18" s="13">
        <f ca="1">VLOOKUP($B18,'[8]Analisys QBR By Machine Report'!$C$109:$BD$166,34,FALSE)</f>
        <v>0</v>
      </c>
      <c r="AN18" s="13">
        <f ca="1">VLOOKUP($B18,'[8]Analisys QBR By Machine Report'!$C$109:$BD$166,35,FALSE)</f>
        <v>585</v>
      </c>
      <c r="AO18" s="13">
        <f ca="1">VLOOKUP($B18,'[8]Analisys QBR By Machine Report'!$C$109:$BD$166,36,FALSE)</f>
        <v>0</v>
      </c>
      <c r="AP18" s="13">
        <f ca="1">VLOOKUP($B18,'[8]Analisys QBR By Machine Report'!$C$109:$BD$166,37,FALSE)</f>
        <v>0</v>
      </c>
      <c r="AQ18" s="13">
        <f ca="1">VLOOKUP($B18,'[8]Analisys QBR By Machine Report'!$C$109:$BD$166,38,FALSE)</f>
        <v>0</v>
      </c>
      <c r="AR18" s="13">
        <f ca="1">VLOOKUP($B18,'[8]Analisys QBR By Machine Report'!$C$109:$BD$166,39,FALSE)</f>
        <v>135</v>
      </c>
      <c r="AS18" s="13">
        <f ca="1">VLOOKUP($B18,'[8]Analisys QBR By Machine Report'!$C$109:$BD$166,40,FALSE)</f>
        <v>410</v>
      </c>
      <c r="AT18" s="13">
        <f ca="1">VLOOKUP($B18,'[8]Analisys QBR By Machine Report'!$C$109:$BD$166,41,FALSE)</f>
        <v>0</v>
      </c>
      <c r="AU18" s="13">
        <f ca="1">VLOOKUP($B18,'[8]Analisys QBR By Machine Report'!$C$109:$BD$166,42,FALSE)</f>
        <v>0</v>
      </c>
      <c r="AV18" s="13">
        <f ca="1">VLOOKUP($B18,'[8]Analisys QBR By Machine Report'!$C$109:$BD$166,43,FALSE)</f>
        <v>0</v>
      </c>
      <c r="AW18" s="13">
        <f ca="1">VLOOKUP($B18,'[8]Analisys QBR By Machine Report'!$C$109:$BD$166,44,FALSE)</f>
        <v>0</v>
      </c>
      <c r="AX18" s="13">
        <f ca="1">VLOOKUP($B18,'[8]Analisys QBR By Machine Report'!$C$109:$BD$166,45,FALSE)</f>
        <v>0</v>
      </c>
      <c r="AY18" s="13">
        <f ca="1">VLOOKUP($B18,'[8]Analisys QBR By Machine Report'!$C$109:$BD$166,46,FALSE)</f>
        <v>0</v>
      </c>
      <c r="AZ18" s="13">
        <f ca="1">VLOOKUP($B18,'[8]Analisys QBR By Machine Report'!$C$109:$BD$166,47,FALSE)</f>
        <v>325</v>
      </c>
      <c r="BA18" s="13">
        <f ca="1">VLOOKUP($B18,'[8]Analisys QBR By Machine Report'!$C$109:$BD$166,48,FALSE)</f>
        <v>0</v>
      </c>
      <c r="BB18" s="13">
        <f ca="1">VLOOKUP($B18,'[8]Analisys QBR By Machine Report'!$C$109:$BD$166,49,FALSE)</f>
        <v>0</v>
      </c>
      <c r="BC18" s="13">
        <f ca="1">VLOOKUP($B18,'[8]Analisys QBR By Machine Report'!$C$109:$BD$166,50,FALSE)</f>
        <v>0</v>
      </c>
      <c r="BD18" s="13">
        <f ca="1">VLOOKUP($B18,'[8]Analisys QBR By Machine Report'!$C$109:$BD$166,51,FALSE)</f>
        <v>5073913</v>
      </c>
      <c r="BE18" s="13">
        <f ca="1">VLOOKUP($B18,'[8]Analisys QBR By Machine Report'!$C$109:$BD$166,52,FALSE)</f>
        <v>23593</v>
      </c>
      <c r="BF18" s="13">
        <f ca="1">VLOOKUP($B18,'[8]Analisys QBR By Machine Report'!$C$109:$BD$166,53,FALSE)</f>
        <v>5050320</v>
      </c>
    </row>
    <row r="19" spans="1:58" x14ac:dyDescent="0.25">
      <c r="A19" s="12" t="s">
        <v>75</v>
      </c>
      <c r="B19" s="13">
        <f ca="1">VLOOKUP($B19,'[8]Analisys QBR By Machine Report'!$C$109:$BD$166,2,FALSE)</f>
        <v>28800</v>
      </c>
      <c r="C19" s="14">
        <f ca="1">VLOOKUP($B19,[8]Dasboard_QBR_Report!$B$109:$BL$166,3,FALSE)</f>
        <v>9600</v>
      </c>
      <c r="D19" s="13">
        <f ca="1">VLOOKUP($B19,'[8]Analisys QBR By Machine Report'!$C$109:$BD$166,3,FALSE)</f>
        <v>16650</v>
      </c>
      <c r="E19" s="14">
        <f ca="1">VLOOKUP($B19,[8]Dasboard_QBR_Report!$B$109:$BL$166,5,FALSE)</f>
        <v>-2550</v>
      </c>
      <c r="F19" s="13">
        <f t="shared" ca="1" si="0"/>
        <v>12150</v>
      </c>
      <c r="G19" s="13">
        <f t="shared" ca="1" si="1"/>
        <v>415</v>
      </c>
      <c r="H19" s="13">
        <f ca="1">VLOOKUP($B19,'[8]Analisys QBR By Machine Report'!$C$109:$BD$166,4,FALSE)</f>
        <v>415</v>
      </c>
      <c r="I19" s="13">
        <f ca="1">VLOOKUP($B19,'[8]Analisys QBR By Machine Report'!$C$109:$BD$166,5,FALSE)</f>
        <v>0</v>
      </c>
      <c r="J19" s="13">
        <f ca="1">VLOOKUP($B19,'[8]Analisys QBR By Machine Report'!$C$109:$BD$166,6,FALSE)</f>
        <v>415</v>
      </c>
      <c r="K19" s="13">
        <f ca="1">VLOOKUP($B19,'[8]Analisys QBR By Machine Report'!$C$109:$BD$166,7,FALSE)</f>
        <v>0</v>
      </c>
      <c r="L19" s="13">
        <f ca="1">VLOOKUP($B19,'[8]Analisys QBR By Machine Report'!$C$109:$BD$166,8,FALSE)</f>
        <v>11735</v>
      </c>
      <c r="M19" s="13">
        <f ca="1">VLOOKUP($B19,'[8]Analisys QBR By Machine Report'!$C$109:$BD$166,9,FALSE)</f>
        <v>4670</v>
      </c>
      <c r="N19" s="13">
        <f ca="1">VLOOKUP($B19,[8]Dasboard_QBR_Report!$B$109:$BL$166,18,FALSE)</f>
        <v>7065</v>
      </c>
      <c r="O19" s="13">
        <f ca="1">VLOOKUP($B19,'[8]Analisys QBR By Machine Report'!$C$109:$BD$166,10,FALSE)</f>
        <v>1665</v>
      </c>
      <c r="P19" s="13">
        <f ca="1">VLOOKUP($B19,'[8]Analisys QBR By Machine Report'!$C$109:$BD$166,11,FALSE)</f>
        <v>1130</v>
      </c>
      <c r="Q19" s="13">
        <f ca="1">VLOOKUP($B19,'[8]Analisys QBR By Machine Report'!$C$109:$BD$166,12,FALSE)</f>
        <v>0</v>
      </c>
      <c r="R19" s="13">
        <f ca="1">VLOOKUP($B19,'[8]Analisys QBR By Machine Report'!$C$109:$BD$166,13,FALSE)</f>
        <v>535</v>
      </c>
      <c r="S19" s="13">
        <f ca="1">VLOOKUP($B19,'[8]Analisys QBR By Machine Report'!$C$109:$BD$166,14,FALSE)</f>
        <v>0</v>
      </c>
      <c r="T19" s="13">
        <f ca="1">VLOOKUP($B19,'[8]Analisys QBR By Machine Report'!$C$109:$BD$166,15,FALSE)</f>
        <v>180</v>
      </c>
      <c r="U19" s="13">
        <f ca="1">VLOOKUP($B19,'[8]Analisys QBR By Machine Report'!$C$109:$BD$166,16,FALSE)</f>
        <v>130</v>
      </c>
      <c r="V19" s="13">
        <f ca="1">VLOOKUP($B19,'[8]Analisys QBR By Machine Report'!$C$109:$BD$166,17,FALSE)</f>
        <v>50</v>
      </c>
      <c r="W19" s="13">
        <f ca="1">VLOOKUP($B19,'[8]Analisys QBR By Machine Report'!$C$109:$BD$166,18,FALSE)</f>
        <v>0</v>
      </c>
      <c r="X19" s="13">
        <f ca="1">VLOOKUP($B19,'[8]Analisys QBR By Machine Report'!$C$109:$BD$166,19,FALSE)</f>
        <v>0</v>
      </c>
      <c r="Y19" s="13">
        <f ca="1">VLOOKUP($B19,'[8]Analisys QBR By Machine Report'!$C$109:$BD$166,20,FALSE)</f>
        <v>0</v>
      </c>
      <c r="Z19" s="13">
        <f ca="1">VLOOKUP($B19,'[8]Analisys QBR By Machine Report'!$C$109:$BD$166,21,FALSE)</f>
        <v>1875</v>
      </c>
      <c r="AA19" s="13">
        <f ca="1">VLOOKUP($B19,'[8]Analisys QBR By Machine Report'!$C$109:$BD$166,22,FALSE)</f>
        <v>1060</v>
      </c>
      <c r="AB19" s="13">
        <f ca="1">VLOOKUP($B19,'[8]Analisys QBR By Machine Report'!$C$109:$BD$166,23,FALSE)</f>
        <v>345</v>
      </c>
      <c r="AC19" s="13">
        <f ca="1">VLOOKUP($B19,'[8]Analisys QBR By Machine Report'!$C$109:$BD$166,24,FALSE)</f>
        <v>315</v>
      </c>
      <c r="AD19" s="13">
        <f ca="1">VLOOKUP($B19,'[8]Analisys QBR By Machine Report'!$C$109:$BD$166,25,FALSE)</f>
        <v>0</v>
      </c>
      <c r="AE19" s="13">
        <f ca="1">VLOOKUP($B19,'[8]Analisys QBR By Machine Report'!$C$109:$BD$166,26,FALSE)</f>
        <v>155</v>
      </c>
      <c r="AF19" s="13">
        <f ca="1">VLOOKUP($B19,'[8]Analisys QBR By Machine Report'!$C$109:$BD$166,27,FALSE)</f>
        <v>960</v>
      </c>
      <c r="AG19" s="13">
        <f ca="1">VLOOKUP($B19,'[8]Analisys QBR By Machine Report'!$C$109:$BD$166,28,FALSE)</f>
        <v>0</v>
      </c>
      <c r="AH19" s="13">
        <f ca="1">VLOOKUP($B19,'[8]Analisys QBR By Machine Report'!$C$109:$BD$166,29,FALSE)</f>
        <v>960</v>
      </c>
      <c r="AI19" s="13">
        <f ca="1">VLOOKUP($B19,'[8]Analisys QBR By Machine Report'!$C$109:$BD$166,30,FALSE)</f>
        <v>2385</v>
      </c>
      <c r="AJ19" s="13">
        <f ca="1">VLOOKUP($B19,'[8]Analisys QBR By Machine Report'!$C$109:$BD$166,31,FALSE)</f>
        <v>0</v>
      </c>
      <c r="AK19" s="13">
        <f ca="1">VLOOKUP($B19,'[8]Analisys QBR By Machine Report'!$C$109:$BD$166,32,FALSE)</f>
        <v>0</v>
      </c>
      <c r="AL19" s="13">
        <f ca="1">VLOOKUP($B19,'[8]Analisys QBR By Machine Report'!$C$109:$BD$166,33,FALSE)</f>
        <v>690</v>
      </c>
      <c r="AM19" s="13">
        <f ca="1">VLOOKUP($B19,'[8]Analisys QBR By Machine Report'!$C$109:$BD$166,34,FALSE)</f>
        <v>0</v>
      </c>
      <c r="AN19" s="13">
        <f ca="1">VLOOKUP($B19,'[8]Analisys QBR By Machine Report'!$C$109:$BD$166,35,FALSE)</f>
        <v>685</v>
      </c>
      <c r="AO19" s="13">
        <f ca="1">VLOOKUP($B19,'[8]Analisys QBR By Machine Report'!$C$109:$BD$166,36,FALSE)</f>
        <v>190</v>
      </c>
      <c r="AP19" s="13">
        <f ca="1">VLOOKUP($B19,'[8]Analisys QBR By Machine Report'!$C$109:$BD$166,37,FALSE)</f>
        <v>0</v>
      </c>
      <c r="AQ19" s="13">
        <f ca="1">VLOOKUP($B19,'[8]Analisys QBR By Machine Report'!$C$109:$BD$166,38,FALSE)</f>
        <v>0</v>
      </c>
      <c r="AR19" s="13">
        <f ca="1">VLOOKUP($B19,'[8]Analisys QBR By Machine Report'!$C$109:$BD$166,39,FALSE)</f>
        <v>0</v>
      </c>
      <c r="AS19" s="13">
        <f ca="1">VLOOKUP($B19,'[8]Analisys QBR By Machine Report'!$C$109:$BD$166,40,FALSE)</f>
        <v>355</v>
      </c>
      <c r="AT19" s="13">
        <f ca="1">VLOOKUP($B19,'[8]Analisys QBR By Machine Report'!$C$109:$BD$166,41,FALSE)</f>
        <v>0</v>
      </c>
      <c r="AU19" s="13">
        <f ca="1">VLOOKUP($B19,'[8]Analisys QBR By Machine Report'!$C$109:$BD$166,42,FALSE)</f>
        <v>0</v>
      </c>
      <c r="AV19" s="13">
        <f ca="1">VLOOKUP($B19,'[8]Analisys QBR By Machine Report'!$C$109:$BD$166,43,FALSE)</f>
        <v>0</v>
      </c>
      <c r="AW19" s="13">
        <f ca="1">VLOOKUP($B19,'[8]Analisys QBR By Machine Report'!$C$109:$BD$166,44,FALSE)</f>
        <v>0</v>
      </c>
      <c r="AX19" s="13">
        <f ca="1">VLOOKUP($B19,'[8]Analisys QBR By Machine Report'!$C$109:$BD$166,45,FALSE)</f>
        <v>0</v>
      </c>
      <c r="AY19" s="13">
        <f ca="1">VLOOKUP($B19,'[8]Analisys QBR By Machine Report'!$C$109:$BD$166,46,FALSE)</f>
        <v>0</v>
      </c>
      <c r="AZ19" s="13">
        <f ca="1">VLOOKUP($B19,'[8]Analisys QBR By Machine Report'!$C$109:$BD$166,47,FALSE)</f>
        <v>465</v>
      </c>
      <c r="BA19" s="13">
        <f ca="1">VLOOKUP($B19,'[8]Analisys QBR By Machine Report'!$C$109:$BD$166,48,FALSE)</f>
        <v>0</v>
      </c>
      <c r="BB19" s="13">
        <f ca="1">VLOOKUP($B19,'[8]Analisys QBR By Machine Report'!$C$109:$BD$166,49,FALSE)</f>
        <v>0</v>
      </c>
      <c r="BC19" s="13">
        <f ca="1">VLOOKUP($B19,'[8]Analisys QBR By Machine Report'!$C$109:$BD$166,50,FALSE)</f>
        <v>0</v>
      </c>
      <c r="BD19" s="13">
        <f ca="1">VLOOKUP($B19,'[8]Analisys QBR By Machine Report'!$C$109:$BD$166,51,FALSE)</f>
        <v>2372401</v>
      </c>
      <c r="BE19" s="13">
        <f ca="1">VLOOKUP($B19,'[8]Analisys QBR By Machine Report'!$C$109:$BD$166,52,FALSE)</f>
        <v>15091</v>
      </c>
      <c r="BF19" s="13">
        <f ca="1">VLOOKUP($B19,'[8]Analisys QBR By Machine Report'!$C$109:$BD$166,53,FALSE)</f>
        <v>2357310</v>
      </c>
    </row>
    <row r="20" spans="1:58" x14ac:dyDescent="0.25">
      <c r="A20" s="12" t="s">
        <v>76</v>
      </c>
      <c r="B20" s="13">
        <f ca="1">VLOOKUP($B20,'[8]Analisys QBR By Machine Report'!$C$109:$BD$166,2,FALSE)</f>
        <v>28800</v>
      </c>
      <c r="C20" s="14">
        <f ca="1">VLOOKUP($B20,[8]Dasboard_QBR_Report!$B$109:$BL$166,3,FALSE)</f>
        <v>9600</v>
      </c>
      <c r="D20" s="13">
        <f ca="1">VLOOKUP($B20,'[8]Analisys QBR By Machine Report'!$C$109:$BD$166,3,FALSE)</f>
        <v>23160</v>
      </c>
      <c r="E20" s="14">
        <f ca="1">VLOOKUP($B20,[8]Dasboard_QBR_Report!$B$109:$BL$166,5,FALSE)</f>
        <v>3960</v>
      </c>
      <c r="F20" s="13">
        <f t="shared" ca="1" si="0"/>
        <v>5640</v>
      </c>
      <c r="G20" s="13">
        <f t="shared" ca="1" si="1"/>
        <v>375</v>
      </c>
      <c r="H20" s="13">
        <f ca="1">VLOOKUP($B20,'[8]Analisys QBR By Machine Report'!$C$109:$BD$166,4,FALSE)</f>
        <v>375</v>
      </c>
      <c r="I20" s="13">
        <f ca="1">VLOOKUP($B20,'[8]Analisys QBR By Machine Report'!$C$109:$BD$166,5,FALSE)</f>
        <v>0</v>
      </c>
      <c r="J20" s="13">
        <f ca="1">VLOOKUP($B20,'[8]Analisys QBR By Machine Report'!$C$109:$BD$166,6,FALSE)</f>
        <v>375</v>
      </c>
      <c r="K20" s="13">
        <f ca="1">VLOOKUP($B20,'[8]Analisys QBR By Machine Report'!$C$109:$BD$166,7,FALSE)</f>
        <v>0</v>
      </c>
      <c r="L20" s="13">
        <f ca="1">VLOOKUP($B20,'[8]Analisys QBR By Machine Report'!$C$109:$BD$166,8,FALSE)</f>
        <v>5265</v>
      </c>
      <c r="M20" s="13">
        <f ca="1">VLOOKUP($B20,'[8]Analisys QBR By Machine Report'!$C$109:$BD$166,9,FALSE)</f>
        <v>3370</v>
      </c>
      <c r="N20" s="13">
        <f ca="1">VLOOKUP($B20,[8]Dasboard_QBR_Report!$B$109:$BL$166,18,FALSE)</f>
        <v>1895</v>
      </c>
      <c r="O20" s="13">
        <f ca="1">VLOOKUP($B20,'[8]Analisys QBR By Machine Report'!$C$109:$BD$166,10,FALSE)</f>
        <v>60</v>
      </c>
      <c r="P20" s="13">
        <f ca="1">VLOOKUP($B20,'[8]Analisys QBR By Machine Report'!$C$109:$BD$166,11,FALSE)</f>
        <v>60</v>
      </c>
      <c r="Q20" s="13">
        <f ca="1">VLOOKUP($B20,'[8]Analisys QBR By Machine Report'!$C$109:$BD$166,12,FALSE)</f>
        <v>0</v>
      </c>
      <c r="R20" s="13">
        <f ca="1">VLOOKUP($B20,'[8]Analisys QBR By Machine Report'!$C$109:$BD$166,13,FALSE)</f>
        <v>0</v>
      </c>
      <c r="S20" s="13">
        <f ca="1">VLOOKUP($B20,'[8]Analisys QBR By Machine Report'!$C$109:$BD$166,14,FALSE)</f>
        <v>0</v>
      </c>
      <c r="T20" s="13">
        <f ca="1">VLOOKUP($B20,'[8]Analisys QBR By Machine Report'!$C$109:$BD$166,15,FALSE)</f>
        <v>0</v>
      </c>
      <c r="U20" s="13">
        <f ca="1">VLOOKUP($B20,'[8]Analisys QBR By Machine Report'!$C$109:$BD$166,16,FALSE)</f>
        <v>0</v>
      </c>
      <c r="V20" s="13">
        <f ca="1">VLOOKUP($B20,'[8]Analisys QBR By Machine Report'!$C$109:$BD$166,17,FALSE)</f>
        <v>0</v>
      </c>
      <c r="W20" s="13">
        <f ca="1">VLOOKUP($B20,'[8]Analisys QBR By Machine Report'!$C$109:$BD$166,18,FALSE)</f>
        <v>0</v>
      </c>
      <c r="X20" s="13">
        <f ca="1">VLOOKUP($B20,'[8]Analisys QBR By Machine Report'!$C$109:$BD$166,19,FALSE)</f>
        <v>0</v>
      </c>
      <c r="Y20" s="13">
        <f ca="1">VLOOKUP($B20,'[8]Analisys QBR By Machine Report'!$C$109:$BD$166,20,FALSE)</f>
        <v>0</v>
      </c>
      <c r="Z20" s="13">
        <f ca="1">VLOOKUP($B20,'[8]Analisys QBR By Machine Report'!$C$109:$BD$166,21,FALSE)</f>
        <v>915</v>
      </c>
      <c r="AA20" s="13">
        <f ca="1">VLOOKUP($B20,'[8]Analisys QBR By Machine Report'!$C$109:$BD$166,22,FALSE)</f>
        <v>520</v>
      </c>
      <c r="AB20" s="13">
        <f ca="1">VLOOKUP($B20,'[8]Analisys QBR By Machine Report'!$C$109:$BD$166,23,FALSE)</f>
        <v>120</v>
      </c>
      <c r="AC20" s="13">
        <f ca="1">VLOOKUP($B20,'[8]Analisys QBR By Machine Report'!$C$109:$BD$166,24,FALSE)</f>
        <v>185</v>
      </c>
      <c r="AD20" s="13">
        <f ca="1">VLOOKUP($B20,'[8]Analisys QBR By Machine Report'!$C$109:$BD$166,25,FALSE)</f>
        <v>0</v>
      </c>
      <c r="AE20" s="13">
        <f ca="1">VLOOKUP($B20,'[8]Analisys QBR By Machine Report'!$C$109:$BD$166,26,FALSE)</f>
        <v>90</v>
      </c>
      <c r="AF20" s="13">
        <f ca="1">VLOOKUP($B20,'[8]Analisys QBR By Machine Report'!$C$109:$BD$166,27,FALSE)</f>
        <v>0</v>
      </c>
      <c r="AG20" s="13">
        <f ca="1">VLOOKUP($B20,'[8]Analisys QBR By Machine Report'!$C$109:$BD$166,28,FALSE)</f>
        <v>0</v>
      </c>
      <c r="AH20" s="13">
        <f ca="1">VLOOKUP($B20,'[8]Analisys QBR By Machine Report'!$C$109:$BD$166,29,FALSE)</f>
        <v>0</v>
      </c>
      <c r="AI20" s="13">
        <f ca="1">VLOOKUP($B20,'[8]Analisys QBR By Machine Report'!$C$109:$BD$166,30,FALSE)</f>
        <v>920</v>
      </c>
      <c r="AJ20" s="13">
        <f ca="1">VLOOKUP($B20,'[8]Analisys QBR By Machine Report'!$C$109:$BD$166,31,FALSE)</f>
        <v>0</v>
      </c>
      <c r="AK20" s="13">
        <f ca="1">VLOOKUP($B20,'[8]Analisys QBR By Machine Report'!$C$109:$BD$166,32,FALSE)</f>
        <v>0</v>
      </c>
      <c r="AL20" s="13">
        <f ca="1">VLOOKUP($B20,'[8]Analisys QBR By Machine Report'!$C$109:$BD$166,33,FALSE)</f>
        <v>330</v>
      </c>
      <c r="AM20" s="13">
        <f ca="1">VLOOKUP($B20,'[8]Analisys QBR By Machine Report'!$C$109:$BD$166,34,FALSE)</f>
        <v>0</v>
      </c>
      <c r="AN20" s="13">
        <f ca="1">VLOOKUP($B20,'[8]Analisys QBR By Machine Report'!$C$109:$BD$166,35,FALSE)</f>
        <v>225</v>
      </c>
      <c r="AO20" s="13">
        <f ca="1">VLOOKUP($B20,'[8]Analisys QBR By Machine Report'!$C$109:$BD$166,36,FALSE)</f>
        <v>55</v>
      </c>
      <c r="AP20" s="13">
        <f ca="1">VLOOKUP($B20,'[8]Analisys QBR By Machine Report'!$C$109:$BD$166,37,FALSE)</f>
        <v>0</v>
      </c>
      <c r="AQ20" s="13">
        <f ca="1">VLOOKUP($B20,'[8]Analisys QBR By Machine Report'!$C$109:$BD$166,38,FALSE)</f>
        <v>0</v>
      </c>
      <c r="AR20" s="13">
        <f ca="1">VLOOKUP($B20,'[8]Analisys QBR By Machine Report'!$C$109:$BD$166,39,FALSE)</f>
        <v>75</v>
      </c>
      <c r="AS20" s="13">
        <f ca="1">VLOOKUP($B20,'[8]Analisys QBR By Machine Report'!$C$109:$BD$166,40,FALSE)</f>
        <v>155</v>
      </c>
      <c r="AT20" s="13">
        <f ca="1">VLOOKUP($B20,'[8]Analisys QBR By Machine Report'!$C$109:$BD$166,41,FALSE)</f>
        <v>0</v>
      </c>
      <c r="AU20" s="13">
        <f ca="1">VLOOKUP($B20,'[8]Analisys QBR By Machine Report'!$C$109:$BD$166,42,FALSE)</f>
        <v>0</v>
      </c>
      <c r="AV20" s="13">
        <f ca="1">VLOOKUP($B20,'[8]Analisys QBR By Machine Report'!$C$109:$BD$166,43,FALSE)</f>
        <v>0</v>
      </c>
      <c r="AW20" s="13">
        <f ca="1">VLOOKUP($B20,'[8]Analisys QBR By Machine Report'!$C$109:$BD$166,44,FALSE)</f>
        <v>0</v>
      </c>
      <c r="AX20" s="13">
        <f ca="1">VLOOKUP($B20,'[8]Analisys QBR By Machine Report'!$C$109:$BD$166,45,FALSE)</f>
        <v>0</v>
      </c>
      <c r="AY20" s="13">
        <f ca="1">VLOOKUP($B20,'[8]Analisys QBR By Machine Report'!$C$109:$BD$166,46,FALSE)</f>
        <v>0</v>
      </c>
      <c r="AZ20" s="13">
        <f ca="1">VLOOKUP($B20,'[8]Analisys QBR By Machine Report'!$C$109:$BD$166,47,FALSE)</f>
        <v>80</v>
      </c>
      <c r="BA20" s="13">
        <f ca="1">VLOOKUP($B20,'[8]Analisys QBR By Machine Report'!$C$109:$BD$166,48,FALSE)</f>
        <v>0</v>
      </c>
      <c r="BB20" s="13">
        <f ca="1">VLOOKUP($B20,'[8]Analisys QBR By Machine Report'!$C$109:$BD$166,49,FALSE)</f>
        <v>0</v>
      </c>
      <c r="BC20" s="13">
        <f ca="1">VLOOKUP($B20,'[8]Analisys QBR By Machine Report'!$C$109:$BD$166,50,FALSE)</f>
        <v>0</v>
      </c>
      <c r="BD20" s="13">
        <f ca="1">VLOOKUP($B20,'[8]Analisys QBR By Machine Report'!$C$109:$BD$166,51,FALSE)</f>
        <v>23789</v>
      </c>
      <c r="BE20" s="13">
        <f ca="1">VLOOKUP($B20,'[8]Analisys QBR By Machine Report'!$C$109:$BD$166,52,FALSE)</f>
        <v>52</v>
      </c>
      <c r="BF20" s="13">
        <f ca="1">VLOOKUP($B20,'[8]Analisys QBR By Machine Report'!$C$109:$BD$166,53,FALSE)</f>
        <v>23737</v>
      </c>
    </row>
    <row r="21" spans="1:58" x14ac:dyDescent="0.25">
      <c r="A21" s="12" t="s">
        <v>77</v>
      </c>
      <c r="B21" s="13">
        <f ca="1">VLOOKUP($B21,'[8]Analisys QBR By Machine Report'!$C$109:$BD$166,2,FALSE)</f>
        <v>28800</v>
      </c>
      <c r="C21" s="14">
        <f ca="1">VLOOKUP($B21,[8]Dasboard_QBR_Report!$B$109:$BL$166,3,FALSE)</f>
        <v>9600</v>
      </c>
      <c r="D21" s="13">
        <f ca="1">VLOOKUP($B21,'[8]Analisys QBR By Machine Report'!$C$109:$BD$166,3,FALSE)</f>
        <v>18090</v>
      </c>
      <c r="E21" s="14">
        <f ca="1">VLOOKUP($B21,[8]Dasboard_QBR_Report!$B$109:$BL$166,5,FALSE)</f>
        <v>-1110</v>
      </c>
      <c r="F21" s="13">
        <f t="shared" ca="1" si="0"/>
        <v>10710</v>
      </c>
      <c r="G21" s="13">
        <f t="shared" ca="1" si="1"/>
        <v>415</v>
      </c>
      <c r="H21" s="13">
        <f ca="1">VLOOKUP($B21,'[8]Analisys QBR By Machine Report'!$C$109:$BD$166,4,FALSE)</f>
        <v>415</v>
      </c>
      <c r="I21" s="13">
        <f ca="1">VLOOKUP($B21,'[8]Analisys QBR By Machine Report'!$C$109:$BD$166,5,FALSE)</f>
        <v>0</v>
      </c>
      <c r="J21" s="13">
        <f ca="1">VLOOKUP($B21,'[8]Analisys QBR By Machine Report'!$C$109:$BD$166,6,FALSE)</f>
        <v>415</v>
      </c>
      <c r="K21" s="13">
        <f ca="1">VLOOKUP($B21,'[8]Analisys QBR By Machine Report'!$C$109:$BD$166,7,FALSE)</f>
        <v>0</v>
      </c>
      <c r="L21" s="13">
        <f ca="1">VLOOKUP($B21,'[8]Analisys QBR By Machine Report'!$C$109:$BD$166,8,FALSE)</f>
        <v>10295</v>
      </c>
      <c r="M21" s="13">
        <f ca="1">VLOOKUP($B21,'[8]Analisys QBR By Machine Report'!$C$109:$BD$166,9,FALSE)</f>
        <v>3760</v>
      </c>
      <c r="N21" s="13">
        <f ca="1">VLOOKUP($B21,[8]Dasboard_QBR_Report!$B$109:$BL$166,18,FALSE)</f>
        <v>6535</v>
      </c>
      <c r="O21" s="13">
        <f ca="1">VLOOKUP($B21,'[8]Analisys QBR By Machine Report'!$C$109:$BD$166,10,FALSE)</f>
        <v>1865</v>
      </c>
      <c r="P21" s="13">
        <f ca="1">VLOOKUP($B21,'[8]Analisys QBR By Machine Report'!$C$109:$BD$166,11,FALSE)</f>
        <v>830</v>
      </c>
      <c r="Q21" s="13">
        <f ca="1">VLOOKUP($B21,'[8]Analisys QBR By Machine Report'!$C$109:$BD$166,12,FALSE)</f>
        <v>0</v>
      </c>
      <c r="R21" s="13">
        <f ca="1">VLOOKUP($B21,'[8]Analisys QBR By Machine Report'!$C$109:$BD$166,13,FALSE)</f>
        <v>1035</v>
      </c>
      <c r="S21" s="13">
        <f ca="1">VLOOKUP($B21,'[8]Analisys QBR By Machine Report'!$C$109:$BD$166,14,FALSE)</f>
        <v>0</v>
      </c>
      <c r="T21" s="13">
        <f ca="1">VLOOKUP($B21,'[8]Analisys QBR By Machine Report'!$C$109:$BD$166,15,FALSE)</f>
        <v>0</v>
      </c>
      <c r="U21" s="13">
        <f ca="1">VLOOKUP($B21,'[8]Analisys QBR By Machine Report'!$C$109:$BD$166,16,FALSE)</f>
        <v>0</v>
      </c>
      <c r="V21" s="13">
        <f ca="1">VLOOKUP($B21,'[8]Analisys QBR By Machine Report'!$C$109:$BD$166,17,FALSE)</f>
        <v>0</v>
      </c>
      <c r="W21" s="13">
        <f ca="1">VLOOKUP($B21,'[8]Analisys QBR By Machine Report'!$C$109:$BD$166,18,FALSE)</f>
        <v>0</v>
      </c>
      <c r="X21" s="13">
        <f ca="1">VLOOKUP($B21,'[8]Analisys QBR By Machine Report'!$C$109:$BD$166,19,FALSE)</f>
        <v>0</v>
      </c>
      <c r="Y21" s="13">
        <f ca="1">VLOOKUP($B21,'[8]Analisys QBR By Machine Report'!$C$109:$BD$166,20,FALSE)</f>
        <v>0</v>
      </c>
      <c r="Z21" s="13">
        <f ca="1">VLOOKUP($B21,'[8]Analisys QBR By Machine Report'!$C$109:$BD$166,21,FALSE)</f>
        <v>1935</v>
      </c>
      <c r="AA21" s="13">
        <f ca="1">VLOOKUP($B21,'[8]Analisys QBR By Machine Report'!$C$109:$BD$166,22,FALSE)</f>
        <v>990</v>
      </c>
      <c r="AB21" s="13">
        <f ca="1">VLOOKUP($B21,'[8]Analisys QBR By Machine Report'!$C$109:$BD$166,23,FALSE)</f>
        <v>325</v>
      </c>
      <c r="AC21" s="13">
        <f ca="1">VLOOKUP($B21,'[8]Analisys QBR By Machine Report'!$C$109:$BD$166,24,FALSE)</f>
        <v>465</v>
      </c>
      <c r="AD21" s="13">
        <f ca="1">VLOOKUP($B21,'[8]Analisys QBR By Machine Report'!$C$109:$BD$166,25,FALSE)</f>
        <v>0</v>
      </c>
      <c r="AE21" s="13">
        <f ca="1">VLOOKUP($B21,'[8]Analisys QBR By Machine Report'!$C$109:$BD$166,26,FALSE)</f>
        <v>155</v>
      </c>
      <c r="AF21" s="13">
        <f ca="1">VLOOKUP($B21,'[8]Analisys QBR By Machine Report'!$C$109:$BD$166,27,FALSE)</f>
        <v>0</v>
      </c>
      <c r="AG21" s="13">
        <f ca="1">VLOOKUP($B21,'[8]Analisys QBR By Machine Report'!$C$109:$BD$166,28,FALSE)</f>
        <v>0</v>
      </c>
      <c r="AH21" s="13">
        <f ca="1">VLOOKUP($B21,'[8]Analisys QBR By Machine Report'!$C$109:$BD$166,29,FALSE)</f>
        <v>0</v>
      </c>
      <c r="AI21" s="13">
        <f ca="1">VLOOKUP($B21,'[8]Analisys QBR By Machine Report'!$C$109:$BD$166,30,FALSE)</f>
        <v>2735</v>
      </c>
      <c r="AJ21" s="13">
        <f ca="1">VLOOKUP($B21,'[8]Analisys QBR By Machine Report'!$C$109:$BD$166,31,FALSE)</f>
        <v>0</v>
      </c>
      <c r="AK21" s="13">
        <f ca="1">VLOOKUP($B21,'[8]Analisys QBR By Machine Report'!$C$109:$BD$166,32,FALSE)</f>
        <v>0</v>
      </c>
      <c r="AL21" s="13">
        <f ca="1">VLOOKUP($B21,'[8]Analisys QBR By Machine Report'!$C$109:$BD$166,33,FALSE)</f>
        <v>630</v>
      </c>
      <c r="AM21" s="13">
        <f ca="1">VLOOKUP($B21,'[8]Analisys QBR By Machine Report'!$C$109:$BD$166,34,FALSE)</f>
        <v>0</v>
      </c>
      <c r="AN21" s="13">
        <f ca="1">VLOOKUP($B21,'[8]Analisys QBR By Machine Report'!$C$109:$BD$166,35,FALSE)</f>
        <v>520</v>
      </c>
      <c r="AO21" s="13">
        <f ca="1">VLOOKUP($B21,'[8]Analisys QBR By Machine Report'!$C$109:$BD$166,36,FALSE)</f>
        <v>490</v>
      </c>
      <c r="AP21" s="13">
        <f ca="1">VLOOKUP($B21,'[8]Analisys QBR By Machine Report'!$C$109:$BD$166,37,FALSE)</f>
        <v>0</v>
      </c>
      <c r="AQ21" s="13">
        <f ca="1">VLOOKUP($B21,'[8]Analisys QBR By Machine Report'!$C$109:$BD$166,38,FALSE)</f>
        <v>0</v>
      </c>
      <c r="AR21" s="13">
        <f ca="1">VLOOKUP($B21,'[8]Analisys QBR By Machine Report'!$C$109:$BD$166,39,FALSE)</f>
        <v>0</v>
      </c>
      <c r="AS21" s="13">
        <f ca="1">VLOOKUP($B21,'[8]Analisys QBR By Machine Report'!$C$109:$BD$166,40,FALSE)</f>
        <v>405</v>
      </c>
      <c r="AT21" s="13">
        <f ca="1">VLOOKUP($B21,'[8]Analisys QBR By Machine Report'!$C$109:$BD$166,41,FALSE)</f>
        <v>0</v>
      </c>
      <c r="AU21" s="13">
        <f ca="1">VLOOKUP($B21,'[8]Analisys QBR By Machine Report'!$C$109:$BD$166,42,FALSE)</f>
        <v>0</v>
      </c>
      <c r="AV21" s="13">
        <f ca="1">VLOOKUP($B21,'[8]Analisys QBR By Machine Report'!$C$109:$BD$166,43,FALSE)</f>
        <v>0</v>
      </c>
      <c r="AW21" s="13">
        <f ca="1">VLOOKUP($B21,'[8]Analisys QBR By Machine Report'!$C$109:$BD$166,44,FALSE)</f>
        <v>0</v>
      </c>
      <c r="AX21" s="13">
        <f ca="1">VLOOKUP($B21,'[8]Analisys QBR By Machine Report'!$C$109:$BD$166,45,FALSE)</f>
        <v>0</v>
      </c>
      <c r="AY21" s="13">
        <f ca="1">VLOOKUP($B21,'[8]Analisys QBR By Machine Report'!$C$109:$BD$166,46,FALSE)</f>
        <v>0</v>
      </c>
      <c r="AZ21" s="13">
        <f ca="1">VLOOKUP($B21,'[8]Analisys QBR By Machine Report'!$C$109:$BD$166,47,FALSE)</f>
        <v>690</v>
      </c>
      <c r="BA21" s="13">
        <f ca="1">VLOOKUP($B21,'[8]Analisys QBR By Machine Report'!$C$109:$BD$166,48,FALSE)</f>
        <v>0</v>
      </c>
      <c r="BB21" s="13">
        <f ca="1">VLOOKUP($B21,'[8]Analisys QBR By Machine Report'!$C$109:$BD$166,49,FALSE)</f>
        <v>0</v>
      </c>
      <c r="BC21" s="13">
        <f ca="1">VLOOKUP($B21,'[8]Analisys QBR By Machine Report'!$C$109:$BD$166,50,FALSE)</f>
        <v>0</v>
      </c>
      <c r="BD21" s="13">
        <f ca="1">VLOOKUP($B21,'[8]Analisys QBR By Machine Report'!$C$109:$BD$166,51,FALSE)</f>
        <v>1241760</v>
      </c>
      <c r="BE21" s="13">
        <f ca="1">VLOOKUP($B21,'[8]Analisys QBR By Machine Report'!$C$109:$BD$166,52,FALSE)</f>
        <v>12550</v>
      </c>
      <c r="BF21" s="13">
        <f ca="1">VLOOKUP($B21,'[8]Analisys QBR By Machine Report'!$C$109:$BD$166,53,FALSE)</f>
        <v>1229210</v>
      </c>
    </row>
    <row r="22" spans="1:58" x14ac:dyDescent="0.25">
      <c r="A22" s="9" t="s">
        <v>78</v>
      </c>
      <c r="B22" s="10">
        <f ca="1">VLOOKUP($B22,'[8]Analisys QBR By Machine Report'!$C$109:$BD$166,2,FALSE)</f>
        <v>28800</v>
      </c>
      <c r="C22" s="11">
        <f ca="1">VLOOKUP($B22,[8]Dasboard_QBR_Report!$B$109:$BL$166,3,FALSE)</f>
        <v>18600</v>
      </c>
      <c r="D22" s="10">
        <f ca="1">VLOOKUP($B22,'[8]Analisys QBR By Machine Report'!$C$109:$BD$166,3,FALSE)</f>
        <v>21660</v>
      </c>
      <c r="E22" s="11">
        <f ca="1">VLOOKUP($B22,[8]Dasboard_QBR_Report!$B$109:$BL$166,5,FALSE)</f>
        <v>11460</v>
      </c>
      <c r="F22" s="10">
        <f t="shared" ca="1" si="0"/>
        <v>7140</v>
      </c>
      <c r="G22" s="10">
        <f t="shared" ca="1" si="1"/>
        <v>759</v>
      </c>
      <c r="H22" s="10">
        <f ca="1">VLOOKUP($B22,'[8]Analisys QBR By Machine Report'!$C$109:$BD$166,4,FALSE)</f>
        <v>759</v>
      </c>
      <c r="I22" s="10">
        <f ca="1">VLOOKUP($B22,'[8]Analisys QBR By Machine Report'!$C$109:$BD$166,5,FALSE)</f>
        <v>228</v>
      </c>
      <c r="J22" s="10">
        <f ca="1">VLOOKUP($B22,'[8]Analisys QBR By Machine Report'!$C$109:$BD$166,6,FALSE)</f>
        <v>531</v>
      </c>
      <c r="K22" s="10">
        <f ca="1">VLOOKUP($B22,'[8]Analisys QBR By Machine Report'!$C$109:$BD$166,7,FALSE)</f>
        <v>0</v>
      </c>
      <c r="L22" s="10">
        <f ca="1">VLOOKUP($B22,'[8]Analisys QBR By Machine Report'!$C$109:$BD$166,8,FALSE)</f>
        <v>6381</v>
      </c>
      <c r="M22" s="10">
        <f ca="1">VLOOKUP($B22,'[8]Analisys QBR By Machine Report'!$C$109:$BD$166,9,FALSE)</f>
        <v>2092</v>
      </c>
      <c r="N22" s="10">
        <f ca="1">VLOOKUP($B22,[8]Dasboard_QBR_Report!$B$109:$BL$166,18,FALSE)</f>
        <v>4289</v>
      </c>
      <c r="O22" s="10">
        <f ca="1">VLOOKUP($B22,'[8]Analisys QBR By Machine Report'!$C$109:$BD$166,10,FALSE)</f>
        <v>260</v>
      </c>
      <c r="P22" s="10">
        <f ca="1">VLOOKUP($B22,'[8]Analisys QBR By Machine Report'!$C$109:$BD$166,11,FALSE)</f>
        <v>260</v>
      </c>
      <c r="Q22" s="10">
        <f ca="1">VLOOKUP($B22,'[8]Analisys QBR By Machine Report'!$C$109:$BD$166,12,FALSE)</f>
        <v>0</v>
      </c>
      <c r="R22" s="10">
        <f ca="1">VLOOKUP($B22,'[8]Analisys QBR By Machine Report'!$C$109:$BD$166,13,FALSE)</f>
        <v>0</v>
      </c>
      <c r="S22" s="10">
        <f ca="1">VLOOKUP($B22,'[8]Analisys QBR By Machine Report'!$C$109:$BD$166,14,FALSE)</f>
        <v>0</v>
      </c>
      <c r="T22" s="10">
        <f ca="1">VLOOKUP($B22,'[8]Analisys QBR By Machine Report'!$C$109:$BD$166,15,FALSE)</f>
        <v>0</v>
      </c>
      <c r="U22" s="10">
        <f ca="1">VLOOKUP($B22,'[8]Analisys QBR By Machine Report'!$C$109:$BD$166,16,FALSE)</f>
        <v>0</v>
      </c>
      <c r="V22" s="10">
        <f ca="1">VLOOKUP($B22,'[8]Analisys QBR By Machine Report'!$C$109:$BD$166,17,FALSE)</f>
        <v>0</v>
      </c>
      <c r="W22" s="10">
        <f ca="1">VLOOKUP($B22,'[8]Analisys QBR By Machine Report'!$C$109:$BD$166,18,FALSE)</f>
        <v>0</v>
      </c>
      <c r="X22" s="10">
        <f ca="1">VLOOKUP($B22,'[8]Analisys QBR By Machine Report'!$C$109:$BD$166,19,FALSE)</f>
        <v>0</v>
      </c>
      <c r="Y22" s="10">
        <f ca="1">VLOOKUP($B22,'[8]Analisys QBR By Machine Report'!$C$109:$BD$166,20,FALSE)</f>
        <v>0</v>
      </c>
      <c r="Z22" s="10">
        <f ca="1">VLOOKUP($B22,'[8]Analisys QBR By Machine Report'!$C$109:$BD$166,21,FALSE)</f>
        <v>2918</v>
      </c>
      <c r="AA22" s="10">
        <f ca="1">VLOOKUP($B22,'[8]Analisys QBR By Machine Report'!$C$109:$BD$166,22,FALSE)</f>
        <v>196</v>
      </c>
      <c r="AB22" s="10">
        <f ca="1">VLOOKUP($B22,'[8]Analisys QBR By Machine Report'!$C$109:$BD$166,23,FALSE)</f>
        <v>2662</v>
      </c>
      <c r="AC22" s="10">
        <f ca="1">VLOOKUP($B22,'[8]Analisys QBR By Machine Report'!$C$109:$BD$166,24,FALSE)</f>
        <v>0</v>
      </c>
      <c r="AD22" s="10">
        <f ca="1">VLOOKUP($B22,'[8]Analisys QBR By Machine Report'!$C$109:$BD$166,25,FALSE)</f>
        <v>15</v>
      </c>
      <c r="AE22" s="10">
        <f ca="1">VLOOKUP($B22,'[8]Analisys QBR By Machine Report'!$C$109:$BD$166,26,FALSE)</f>
        <v>45</v>
      </c>
      <c r="AF22" s="10">
        <f ca="1">VLOOKUP($B22,'[8]Analisys QBR By Machine Report'!$C$109:$BD$166,27,FALSE)</f>
        <v>0</v>
      </c>
      <c r="AG22" s="10">
        <f ca="1">VLOOKUP($B22,'[8]Analisys QBR By Machine Report'!$C$109:$BD$166,28,FALSE)</f>
        <v>0</v>
      </c>
      <c r="AH22" s="10">
        <f ca="1">VLOOKUP($B22,'[8]Analisys QBR By Machine Report'!$C$109:$BD$166,29,FALSE)</f>
        <v>0</v>
      </c>
      <c r="AI22" s="10">
        <f ca="1">VLOOKUP($B22,'[8]Analisys QBR By Machine Report'!$C$109:$BD$166,30,FALSE)</f>
        <v>1111</v>
      </c>
      <c r="AJ22" s="10">
        <f ca="1">VLOOKUP($B22,'[8]Analisys QBR By Machine Report'!$C$109:$BD$166,31,FALSE)</f>
        <v>76</v>
      </c>
      <c r="AK22" s="10">
        <f ca="1">VLOOKUP($B22,'[8]Analisys QBR By Machine Report'!$C$109:$BD$166,32,FALSE)</f>
        <v>0</v>
      </c>
      <c r="AL22" s="10">
        <f ca="1">VLOOKUP($B22,'[8]Analisys QBR By Machine Report'!$C$109:$BD$166,33,FALSE)</f>
        <v>270</v>
      </c>
      <c r="AM22" s="10">
        <f ca="1">VLOOKUP($B22,'[8]Analisys QBR By Machine Report'!$C$109:$BD$166,34,FALSE)</f>
        <v>0</v>
      </c>
      <c r="AN22" s="10">
        <f ca="1">VLOOKUP($B22,'[8]Analisys QBR By Machine Report'!$C$109:$BD$166,35,FALSE)</f>
        <v>157</v>
      </c>
      <c r="AO22" s="10">
        <f ca="1">VLOOKUP($B22,'[8]Analisys QBR By Machine Report'!$C$109:$BD$166,36,FALSE)</f>
        <v>0</v>
      </c>
      <c r="AP22" s="10">
        <f ca="1">VLOOKUP($B22,'[8]Analisys QBR By Machine Report'!$C$109:$BD$166,37,FALSE)</f>
        <v>0</v>
      </c>
      <c r="AQ22" s="10">
        <f ca="1">VLOOKUP($B22,'[8]Analisys QBR By Machine Report'!$C$109:$BD$166,38,FALSE)</f>
        <v>0</v>
      </c>
      <c r="AR22" s="10">
        <f ca="1">VLOOKUP($B22,'[8]Analisys QBR By Machine Report'!$C$109:$BD$166,39,FALSE)</f>
        <v>10</v>
      </c>
      <c r="AS22" s="10">
        <f ca="1">VLOOKUP($B22,'[8]Analisys QBR By Machine Report'!$C$109:$BD$166,40,FALSE)</f>
        <v>0</v>
      </c>
      <c r="AT22" s="10">
        <f ca="1">VLOOKUP($B22,'[8]Analisys QBR By Machine Report'!$C$109:$BD$166,41,FALSE)</f>
        <v>0</v>
      </c>
      <c r="AU22" s="10">
        <f ca="1">VLOOKUP($B22,'[8]Analisys QBR By Machine Report'!$C$109:$BD$166,42,FALSE)</f>
        <v>0</v>
      </c>
      <c r="AV22" s="10">
        <f ca="1">VLOOKUP($B22,'[8]Analisys QBR By Machine Report'!$C$109:$BD$166,43,FALSE)</f>
        <v>0</v>
      </c>
      <c r="AW22" s="10">
        <f ca="1">VLOOKUP($B22,'[8]Analisys QBR By Machine Report'!$C$109:$BD$166,44,FALSE)</f>
        <v>0</v>
      </c>
      <c r="AX22" s="10">
        <f ca="1">VLOOKUP($B22,'[8]Analisys QBR By Machine Report'!$C$109:$BD$166,45,FALSE)</f>
        <v>0</v>
      </c>
      <c r="AY22" s="10">
        <f ca="1">VLOOKUP($B22,'[8]Analisys QBR By Machine Report'!$C$109:$BD$166,46,FALSE)</f>
        <v>0</v>
      </c>
      <c r="AZ22" s="10">
        <f ca="1">VLOOKUP($B22,'[8]Analisys QBR By Machine Report'!$C$109:$BD$166,47,FALSE)</f>
        <v>12</v>
      </c>
      <c r="BA22" s="10">
        <f ca="1">VLOOKUP($B22,'[8]Analisys QBR By Machine Report'!$C$109:$BD$166,48,FALSE)</f>
        <v>551</v>
      </c>
      <c r="BB22" s="10">
        <f ca="1">VLOOKUP($B22,'[8]Analisys QBR By Machine Report'!$C$109:$BD$166,49,FALSE)</f>
        <v>0</v>
      </c>
      <c r="BC22" s="10">
        <f ca="1">VLOOKUP($B22,'[8]Analisys QBR By Machine Report'!$C$109:$BD$166,50,FALSE)</f>
        <v>35</v>
      </c>
      <c r="BD22" s="10">
        <f ca="1">VLOOKUP($B22,'[8]Analisys QBR By Machine Report'!$C$109:$BD$166,51,FALSE)</f>
        <v>9015</v>
      </c>
      <c r="BE22" s="10">
        <f ca="1">VLOOKUP($B22,'[8]Analisys QBR By Machine Report'!$C$109:$BD$166,52,FALSE)</f>
        <v>4.3499999999999996</v>
      </c>
      <c r="BF22" s="10">
        <f ca="1">VLOOKUP($B22,'[8]Analisys QBR By Machine Report'!$C$109:$BD$166,53,FALSE)</f>
        <v>9010.65</v>
      </c>
    </row>
    <row r="23" spans="1:58" x14ac:dyDescent="0.25">
      <c r="A23" s="12" t="s">
        <v>79</v>
      </c>
      <c r="B23" s="13">
        <f ca="1">VLOOKUP($B23,'[8]Analisys QBR By Machine Report'!$C$109:$BD$166,2,FALSE)</f>
        <v>28800</v>
      </c>
      <c r="C23" s="14">
        <f ca="1">VLOOKUP($B23,[8]Dasboard_QBR_Report!$B$109:$BL$166,3,FALSE)</f>
        <v>18600</v>
      </c>
      <c r="D23" s="13">
        <f ca="1">VLOOKUP($B23,'[8]Analisys QBR By Machine Report'!$C$109:$BD$166,3,FALSE)</f>
        <v>21660</v>
      </c>
      <c r="E23" s="14">
        <f ca="1">VLOOKUP($B23,[8]Dasboard_QBR_Report!$B$109:$BL$166,5,FALSE)</f>
        <v>11460</v>
      </c>
      <c r="F23" s="13">
        <f t="shared" ca="1" si="0"/>
        <v>7140</v>
      </c>
      <c r="G23" s="13">
        <f t="shared" ca="1" si="1"/>
        <v>759</v>
      </c>
      <c r="H23" s="13">
        <f ca="1">VLOOKUP($B23,'[8]Analisys QBR By Machine Report'!$C$109:$BD$166,4,FALSE)</f>
        <v>759</v>
      </c>
      <c r="I23" s="13">
        <f ca="1">VLOOKUP($B23,'[8]Analisys QBR By Machine Report'!$C$109:$BD$166,5,FALSE)</f>
        <v>228</v>
      </c>
      <c r="J23" s="13">
        <f ca="1">VLOOKUP($B23,'[8]Analisys QBR By Machine Report'!$C$109:$BD$166,6,FALSE)</f>
        <v>531</v>
      </c>
      <c r="K23" s="13">
        <f ca="1">VLOOKUP($B23,'[8]Analisys QBR By Machine Report'!$C$109:$BD$166,7,FALSE)</f>
        <v>0</v>
      </c>
      <c r="L23" s="13">
        <f ca="1">VLOOKUP($B23,'[8]Analisys QBR By Machine Report'!$C$109:$BD$166,8,FALSE)</f>
        <v>6381</v>
      </c>
      <c r="M23" s="13">
        <f ca="1">VLOOKUP($B23,'[8]Analisys QBR By Machine Report'!$C$109:$BD$166,9,FALSE)</f>
        <v>2092</v>
      </c>
      <c r="N23" s="13">
        <f ca="1">VLOOKUP($B23,[8]Dasboard_QBR_Report!$B$109:$BL$166,18,FALSE)</f>
        <v>4289</v>
      </c>
      <c r="O23" s="13">
        <f ca="1">VLOOKUP($B23,'[8]Analisys QBR By Machine Report'!$C$109:$BD$166,10,FALSE)</f>
        <v>260</v>
      </c>
      <c r="P23" s="13">
        <f ca="1">VLOOKUP($B23,'[8]Analisys QBR By Machine Report'!$C$109:$BD$166,11,FALSE)</f>
        <v>260</v>
      </c>
      <c r="Q23" s="13">
        <f ca="1">VLOOKUP($B23,'[8]Analisys QBR By Machine Report'!$C$109:$BD$166,12,FALSE)</f>
        <v>0</v>
      </c>
      <c r="R23" s="13">
        <f ca="1">VLOOKUP($B23,'[8]Analisys QBR By Machine Report'!$C$109:$BD$166,13,FALSE)</f>
        <v>0</v>
      </c>
      <c r="S23" s="13">
        <f ca="1">VLOOKUP($B23,'[8]Analisys QBR By Machine Report'!$C$109:$BD$166,14,FALSE)</f>
        <v>0</v>
      </c>
      <c r="T23" s="13">
        <f ca="1">VLOOKUP($B23,'[8]Analisys QBR By Machine Report'!$C$109:$BD$166,15,FALSE)</f>
        <v>0</v>
      </c>
      <c r="U23" s="13">
        <f ca="1">VLOOKUP($B23,'[8]Analisys QBR By Machine Report'!$C$109:$BD$166,16,FALSE)</f>
        <v>0</v>
      </c>
      <c r="V23" s="13">
        <f ca="1">VLOOKUP($B23,'[8]Analisys QBR By Machine Report'!$C$109:$BD$166,17,FALSE)</f>
        <v>0</v>
      </c>
      <c r="W23" s="13">
        <f ca="1">VLOOKUP($B23,'[8]Analisys QBR By Machine Report'!$C$109:$BD$166,18,FALSE)</f>
        <v>0</v>
      </c>
      <c r="X23" s="13">
        <f ca="1">VLOOKUP($B23,'[8]Analisys QBR By Machine Report'!$C$109:$BD$166,19,FALSE)</f>
        <v>0</v>
      </c>
      <c r="Y23" s="13">
        <f ca="1">VLOOKUP($B23,'[8]Analisys QBR By Machine Report'!$C$109:$BD$166,20,FALSE)</f>
        <v>0</v>
      </c>
      <c r="Z23" s="13">
        <f ca="1">VLOOKUP($B23,'[8]Analisys QBR By Machine Report'!$C$109:$BD$166,21,FALSE)</f>
        <v>2918</v>
      </c>
      <c r="AA23" s="13">
        <f ca="1">VLOOKUP($B23,'[8]Analisys QBR By Machine Report'!$C$109:$BD$166,22,FALSE)</f>
        <v>196</v>
      </c>
      <c r="AB23" s="13">
        <f ca="1">VLOOKUP($B23,'[8]Analisys QBR By Machine Report'!$C$109:$BD$166,23,FALSE)</f>
        <v>2662</v>
      </c>
      <c r="AC23" s="13">
        <f ca="1">VLOOKUP($B23,'[8]Analisys QBR By Machine Report'!$C$109:$BD$166,24,FALSE)</f>
        <v>0</v>
      </c>
      <c r="AD23" s="13">
        <f ca="1">VLOOKUP($B23,'[8]Analisys QBR By Machine Report'!$C$109:$BD$166,25,FALSE)</f>
        <v>15</v>
      </c>
      <c r="AE23" s="13">
        <f ca="1">VLOOKUP($B23,'[8]Analisys QBR By Machine Report'!$C$109:$BD$166,26,FALSE)</f>
        <v>45</v>
      </c>
      <c r="AF23" s="13">
        <f ca="1">VLOOKUP($B23,'[8]Analisys QBR By Machine Report'!$C$109:$BD$166,27,FALSE)</f>
        <v>0</v>
      </c>
      <c r="AG23" s="13">
        <f ca="1">VLOOKUP($B23,'[8]Analisys QBR By Machine Report'!$C$109:$BD$166,28,FALSE)</f>
        <v>0</v>
      </c>
      <c r="AH23" s="13">
        <f ca="1">VLOOKUP($B23,'[8]Analisys QBR By Machine Report'!$C$109:$BD$166,29,FALSE)</f>
        <v>0</v>
      </c>
      <c r="AI23" s="13">
        <f ca="1">VLOOKUP($B23,'[8]Analisys QBR By Machine Report'!$C$109:$BD$166,30,FALSE)</f>
        <v>1111</v>
      </c>
      <c r="AJ23" s="13">
        <f ca="1">VLOOKUP($B23,'[8]Analisys QBR By Machine Report'!$C$109:$BD$166,31,FALSE)</f>
        <v>76</v>
      </c>
      <c r="AK23" s="13">
        <f ca="1">VLOOKUP($B23,'[8]Analisys QBR By Machine Report'!$C$109:$BD$166,32,FALSE)</f>
        <v>0</v>
      </c>
      <c r="AL23" s="13">
        <f ca="1">VLOOKUP($B23,'[8]Analisys QBR By Machine Report'!$C$109:$BD$166,33,FALSE)</f>
        <v>270</v>
      </c>
      <c r="AM23" s="13">
        <f ca="1">VLOOKUP($B23,'[8]Analisys QBR By Machine Report'!$C$109:$BD$166,34,FALSE)</f>
        <v>0</v>
      </c>
      <c r="AN23" s="13">
        <f ca="1">VLOOKUP($B23,'[8]Analisys QBR By Machine Report'!$C$109:$BD$166,35,FALSE)</f>
        <v>157</v>
      </c>
      <c r="AO23" s="13">
        <f ca="1">VLOOKUP($B23,'[8]Analisys QBR By Machine Report'!$C$109:$BD$166,36,FALSE)</f>
        <v>0</v>
      </c>
      <c r="AP23" s="13">
        <f ca="1">VLOOKUP($B23,'[8]Analisys QBR By Machine Report'!$C$109:$BD$166,37,FALSE)</f>
        <v>0</v>
      </c>
      <c r="AQ23" s="13">
        <f ca="1">VLOOKUP($B23,'[8]Analisys QBR By Machine Report'!$C$109:$BD$166,38,FALSE)</f>
        <v>0</v>
      </c>
      <c r="AR23" s="13">
        <f ca="1">VLOOKUP($B23,'[8]Analisys QBR By Machine Report'!$C$109:$BD$166,39,FALSE)</f>
        <v>10</v>
      </c>
      <c r="AS23" s="13">
        <f ca="1">VLOOKUP($B23,'[8]Analisys QBR By Machine Report'!$C$109:$BD$166,40,FALSE)</f>
        <v>0</v>
      </c>
      <c r="AT23" s="13">
        <f ca="1">VLOOKUP($B23,'[8]Analisys QBR By Machine Report'!$C$109:$BD$166,41,FALSE)</f>
        <v>0</v>
      </c>
      <c r="AU23" s="13">
        <f ca="1">VLOOKUP($B23,'[8]Analisys QBR By Machine Report'!$C$109:$BD$166,42,FALSE)</f>
        <v>0</v>
      </c>
      <c r="AV23" s="13">
        <f ca="1">VLOOKUP($B23,'[8]Analisys QBR By Machine Report'!$C$109:$BD$166,43,FALSE)</f>
        <v>0</v>
      </c>
      <c r="AW23" s="13">
        <f ca="1">VLOOKUP($B23,'[8]Analisys QBR By Machine Report'!$C$109:$BD$166,44,FALSE)</f>
        <v>0</v>
      </c>
      <c r="AX23" s="13">
        <f ca="1">VLOOKUP($B23,'[8]Analisys QBR By Machine Report'!$C$109:$BD$166,45,FALSE)</f>
        <v>0</v>
      </c>
      <c r="AY23" s="13">
        <f ca="1">VLOOKUP($B23,'[8]Analisys QBR By Machine Report'!$C$109:$BD$166,46,FALSE)</f>
        <v>0</v>
      </c>
      <c r="AZ23" s="13">
        <f ca="1">VLOOKUP($B23,'[8]Analisys QBR By Machine Report'!$C$109:$BD$166,47,FALSE)</f>
        <v>12</v>
      </c>
      <c r="BA23" s="13">
        <f ca="1">VLOOKUP($B23,'[8]Analisys QBR By Machine Report'!$C$109:$BD$166,48,FALSE)</f>
        <v>551</v>
      </c>
      <c r="BB23" s="13">
        <f ca="1">VLOOKUP($B23,'[8]Analisys QBR By Machine Report'!$C$109:$BD$166,49,FALSE)</f>
        <v>0</v>
      </c>
      <c r="BC23" s="13">
        <f ca="1">VLOOKUP($B23,'[8]Analisys QBR By Machine Report'!$C$109:$BD$166,50,FALSE)</f>
        <v>35</v>
      </c>
      <c r="BD23" s="13">
        <f ca="1">VLOOKUP($B23,'[8]Analisys QBR By Machine Report'!$C$109:$BD$166,51,FALSE)</f>
        <v>9015</v>
      </c>
      <c r="BE23" s="13">
        <f ca="1">VLOOKUP($B23,'[8]Analisys QBR By Machine Report'!$C$109:$BD$166,52,FALSE)</f>
        <v>4.3499999999999996</v>
      </c>
      <c r="BF23" s="13">
        <f ca="1">VLOOKUP($B23,'[8]Analisys QBR By Machine Report'!$C$109:$BD$166,53,FALSE)</f>
        <v>9010.65</v>
      </c>
    </row>
    <row r="24" spans="1:58" x14ac:dyDescent="0.25">
      <c r="A24" s="9" t="s">
        <v>80</v>
      </c>
      <c r="B24" s="10">
        <f ca="1">VLOOKUP($B24,'[8]Analisys QBR By Machine Report'!$C$109:$BD$166,2,FALSE)</f>
        <v>57600</v>
      </c>
      <c r="C24" s="11">
        <f ca="1">VLOOKUP($B24,[8]Dasboard_QBR_Report!$B$109:$BL$166,3,FALSE)</f>
        <v>37200</v>
      </c>
      <c r="D24" s="10">
        <f ca="1">VLOOKUP($B24,'[8]Analisys QBR By Machine Report'!$C$109:$BD$166,3,FALSE)</f>
        <v>44400</v>
      </c>
      <c r="E24" s="11">
        <f ca="1">VLOOKUP($B24,[8]Dasboard_QBR_Report!$B$109:$BL$166,5,FALSE)</f>
        <v>24000</v>
      </c>
      <c r="F24" s="10">
        <f t="shared" ca="1" si="0"/>
        <v>13200</v>
      </c>
      <c r="G24" s="10">
        <f t="shared" ca="1" si="1"/>
        <v>4170</v>
      </c>
      <c r="H24" s="10">
        <f ca="1">VLOOKUP($B24,'[8]Analisys QBR By Machine Report'!$C$109:$BD$166,4,FALSE)</f>
        <v>4170</v>
      </c>
      <c r="I24" s="10">
        <f ca="1">VLOOKUP($B24,'[8]Analisys QBR By Machine Report'!$C$109:$BD$166,5,FALSE)</f>
        <v>45</v>
      </c>
      <c r="J24" s="10">
        <f ca="1">VLOOKUP($B24,'[8]Analisys QBR By Machine Report'!$C$109:$BD$166,6,FALSE)</f>
        <v>4125</v>
      </c>
      <c r="K24" s="10">
        <f ca="1">VLOOKUP($B24,'[8]Analisys QBR By Machine Report'!$C$109:$BD$166,7,FALSE)</f>
        <v>0</v>
      </c>
      <c r="L24" s="10">
        <f ca="1">VLOOKUP($B24,'[8]Analisys QBR By Machine Report'!$C$109:$BD$166,8,FALSE)</f>
        <v>9030</v>
      </c>
      <c r="M24" s="10">
        <f ca="1">VLOOKUP($B24,'[8]Analisys QBR By Machine Report'!$C$109:$BD$166,9,FALSE)</f>
        <v>2605</v>
      </c>
      <c r="N24" s="10">
        <f ca="1">VLOOKUP($B24,[8]Dasboard_QBR_Report!$B$109:$BL$166,18,FALSE)</f>
        <v>6425</v>
      </c>
      <c r="O24" s="10">
        <f ca="1">VLOOKUP($B24,'[8]Analisys QBR By Machine Report'!$C$109:$BD$166,10,FALSE)</f>
        <v>690</v>
      </c>
      <c r="P24" s="10">
        <f ca="1">VLOOKUP($B24,'[8]Analisys QBR By Machine Report'!$C$109:$BD$166,11,FALSE)</f>
        <v>540</v>
      </c>
      <c r="Q24" s="10">
        <f ca="1">VLOOKUP($B24,'[8]Analisys QBR By Machine Report'!$C$109:$BD$166,12,FALSE)</f>
        <v>0</v>
      </c>
      <c r="R24" s="10">
        <f ca="1">VLOOKUP($B24,'[8]Analisys QBR By Machine Report'!$C$109:$BD$166,13,FALSE)</f>
        <v>135</v>
      </c>
      <c r="S24" s="10">
        <f ca="1">VLOOKUP($B24,'[8]Analisys QBR By Machine Report'!$C$109:$BD$166,14,FALSE)</f>
        <v>15</v>
      </c>
      <c r="T24" s="10">
        <f ca="1">VLOOKUP($B24,'[8]Analisys QBR By Machine Report'!$C$109:$BD$166,15,FALSE)</f>
        <v>440</v>
      </c>
      <c r="U24" s="10">
        <f ca="1">VLOOKUP($B24,'[8]Analisys QBR By Machine Report'!$C$109:$BD$166,16,FALSE)</f>
        <v>300</v>
      </c>
      <c r="V24" s="10">
        <f ca="1">VLOOKUP($B24,'[8]Analisys QBR By Machine Report'!$C$109:$BD$166,17,FALSE)</f>
        <v>0</v>
      </c>
      <c r="W24" s="10">
        <f ca="1">VLOOKUP($B24,'[8]Analisys QBR By Machine Report'!$C$109:$BD$166,18,FALSE)</f>
        <v>0</v>
      </c>
      <c r="X24" s="10">
        <f ca="1">VLOOKUP($B24,'[8]Analisys QBR By Machine Report'!$C$109:$BD$166,19,FALSE)</f>
        <v>140</v>
      </c>
      <c r="Y24" s="10">
        <f ca="1">VLOOKUP($B24,'[8]Analisys QBR By Machine Report'!$C$109:$BD$166,20,FALSE)</f>
        <v>0</v>
      </c>
      <c r="Z24" s="10">
        <f ca="1">VLOOKUP($B24,'[8]Analisys QBR By Machine Report'!$C$109:$BD$166,21,FALSE)</f>
        <v>2970</v>
      </c>
      <c r="AA24" s="10">
        <f ca="1">VLOOKUP($B24,'[8]Analisys QBR By Machine Report'!$C$109:$BD$166,22,FALSE)</f>
        <v>410</v>
      </c>
      <c r="AB24" s="10">
        <f ca="1">VLOOKUP($B24,'[8]Analisys QBR By Machine Report'!$C$109:$BD$166,23,FALSE)</f>
        <v>1545</v>
      </c>
      <c r="AC24" s="10">
        <f ca="1">VLOOKUP($B24,'[8]Analisys QBR By Machine Report'!$C$109:$BD$166,24,FALSE)</f>
        <v>0</v>
      </c>
      <c r="AD24" s="10">
        <f ca="1">VLOOKUP($B24,'[8]Analisys QBR By Machine Report'!$C$109:$BD$166,25,FALSE)</f>
        <v>0</v>
      </c>
      <c r="AE24" s="10">
        <f ca="1">VLOOKUP($B24,'[8]Analisys QBR By Machine Report'!$C$109:$BD$166,26,FALSE)</f>
        <v>1015</v>
      </c>
      <c r="AF24" s="10">
        <f ca="1">VLOOKUP($B24,'[8]Analisys QBR By Machine Report'!$C$109:$BD$166,27,FALSE)</f>
        <v>0</v>
      </c>
      <c r="AG24" s="10">
        <f ca="1">VLOOKUP($B24,'[8]Analisys QBR By Machine Report'!$C$109:$BD$166,28,FALSE)</f>
        <v>0</v>
      </c>
      <c r="AH24" s="10">
        <f ca="1">VLOOKUP($B24,'[8]Analisys QBR By Machine Report'!$C$109:$BD$166,29,FALSE)</f>
        <v>0</v>
      </c>
      <c r="AI24" s="10">
        <f ca="1">VLOOKUP($B24,'[8]Analisys QBR By Machine Report'!$C$109:$BD$166,30,FALSE)</f>
        <v>2325</v>
      </c>
      <c r="AJ24" s="10">
        <f ca="1">VLOOKUP($B24,'[8]Analisys QBR By Machine Report'!$C$109:$BD$166,31,FALSE)</f>
        <v>0</v>
      </c>
      <c r="AK24" s="10">
        <f ca="1">VLOOKUP($B24,'[8]Analisys QBR By Machine Report'!$C$109:$BD$166,32,FALSE)</f>
        <v>0</v>
      </c>
      <c r="AL24" s="10">
        <f ca="1">VLOOKUP($B24,'[8]Analisys QBR By Machine Report'!$C$109:$BD$166,33,FALSE)</f>
        <v>420</v>
      </c>
      <c r="AM24" s="10">
        <f ca="1">VLOOKUP($B24,'[8]Analisys QBR By Machine Report'!$C$109:$BD$166,34,FALSE)</f>
        <v>0</v>
      </c>
      <c r="AN24" s="10">
        <f ca="1">VLOOKUP($B24,'[8]Analisys QBR By Machine Report'!$C$109:$BD$166,35,FALSE)</f>
        <v>240</v>
      </c>
      <c r="AO24" s="10">
        <f ca="1">VLOOKUP($B24,'[8]Analisys QBR By Machine Report'!$C$109:$BD$166,36,FALSE)</f>
        <v>0</v>
      </c>
      <c r="AP24" s="10">
        <f ca="1">VLOOKUP($B24,'[8]Analisys QBR By Machine Report'!$C$109:$BD$166,37,FALSE)</f>
        <v>0</v>
      </c>
      <c r="AQ24" s="10">
        <f ca="1">VLOOKUP($B24,'[8]Analisys QBR By Machine Report'!$C$109:$BD$166,38,FALSE)</f>
        <v>0</v>
      </c>
      <c r="AR24" s="10">
        <f ca="1">VLOOKUP($B24,'[8]Analisys QBR By Machine Report'!$C$109:$BD$166,39,FALSE)</f>
        <v>1510</v>
      </c>
      <c r="AS24" s="10">
        <f ca="1">VLOOKUP($B24,'[8]Analisys QBR By Machine Report'!$C$109:$BD$166,40,FALSE)</f>
        <v>0</v>
      </c>
      <c r="AT24" s="10">
        <f ca="1">VLOOKUP($B24,'[8]Analisys QBR By Machine Report'!$C$109:$BD$166,41,FALSE)</f>
        <v>0</v>
      </c>
      <c r="AU24" s="10">
        <f ca="1">VLOOKUP($B24,'[8]Analisys QBR By Machine Report'!$C$109:$BD$166,42,FALSE)</f>
        <v>0</v>
      </c>
      <c r="AV24" s="10">
        <f ca="1">VLOOKUP($B24,'[8]Analisys QBR By Machine Report'!$C$109:$BD$166,43,FALSE)</f>
        <v>0</v>
      </c>
      <c r="AW24" s="10">
        <f ca="1">VLOOKUP($B24,'[8]Analisys QBR By Machine Report'!$C$109:$BD$166,44,FALSE)</f>
        <v>0</v>
      </c>
      <c r="AX24" s="10">
        <f ca="1">VLOOKUP($B24,'[8]Analisys QBR By Machine Report'!$C$109:$BD$166,45,FALSE)</f>
        <v>0</v>
      </c>
      <c r="AY24" s="10">
        <f ca="1">VLOOKUP($B24,'[8]Analisys QBR By Machine Report'!$C$109:$BD$166,46,FALSE)</f>
        <v>0</v>
      </c>
      <c r="AZ24" s="10">
        <f ca="1">VLOOKUP($B24,'[8]Analisys QBR By Machine Report'!$C$109:$BD$166,47,FALSE)</f>
        <v>0</v>
      </c>
      <c r="BA24" s="10">
        <f ca="1">VLOOKUP($B24,'[8]Analisys QBR By Machine Report'!$C$109:$BD$166,48,FALSE)</f>
        <v>155</v>
      </c>
      <c r="BB24" s="10">
        <f ca="1">VLOOKUP($B24,'[8]Analisys QBR By Machine Report'!$C$109:$BD$166,49,FALSE)</f>
        <v>0</v>
      </c>
      <c r="BC24" s="10">
        <f ca="1">VLOOKUP($B24,'[8]Analisys QBR By Machine Report'!$C$109:$BD$166,50,FALSE)</f>
        <v>0</v>
      </c>
      <c r="BD24" s="10">
        <f ca="1">VLOOKUP($B24,'[8]Analisys QBR By Machine Report'!$C$109:$BD$166,51,FALSE)</f>
        <v>136811</v>
      </c>
      <c r="BE24" s="10">
        <f ca="1">VLOOKUP($B24,'[8]Analisys QBR By Machine Report'!$C$109:$BD$166,52,FALSE)</f>
        <v>285</v>
      </c>
      <c r="BF24" s="10">
        <f ca="1">VLOOKUP($B24,'[8]Analisys QBR By Machine Report'!$C$109:$BD$166,53,FALSE)</f>
        <v>136526</v>
      </c>
    </row>
    <row r="25" spans="1:58" x14ac:dyDescent="0.25">
      <c r="A25" s="12" t="s">
        <v>81</v>
      </c>
      <c r="B25" s="13">
        <f ca="1">VLOOKUP($B25,'[8]Analisys QBR By Machine Report'!$C$109:$BD$166,2,FALSE)</f>
        <v>28800</v>
      </c>
      <c r="C25" s="14">
        <f ca="1">VLOOKUP($B25,[8]Dasboard_QBR_Report!$B$109:$BL$166,3,FALSE)</f>
        <v>18600</v>
      </c>
      <c r="D25" s="13">
        <f ca="1">VLOOKUP($B25,'[8]Analisys QBR By Machine Report'!$C$109:$BD$166,3,FALSE)</f>
        <v>20160</v>
      </c>
      <c r="E25" s="14">
        <f ca="1">VLOOKUP($B25,[8]Dasboard_QBR_Report!$B$109:$BL$166,5,FALSE)</f>
        <v>9960</v>
      </c>
      <c r="F25" s="13">
        <f t="shared" ca="1" si="0"/>
        <v>8640</v>
      </c>
      <c r="G25" s="13">
        <f t="shared" ca="1" si="1"/>
        <v>2400</v>
      </c>
      <c r="H25" s="13">
        <f ca="1">VLOOKUP($B25,'[8]Analisys QBR By Machine Report'!$C$109:$BD$166,4,FALSE)</f>
        <v>2400</v>
      </c>
      <c r="I25" s="13">
        <f ca="1">VLOOKUP($B25,'[8]Analisys QBR By Machine Report'!$C$109:$BD$166,5,FALSE)</f>
        <v>45</v>
      </c>
      <c r="J25" s="13">
        <f ca="1">VLOOKUP($B25,'[8]Analisys QBR By Machine Report'!$C$109:$BD$166,6,FALSE)</f>
        <v>2355</v>
      </c>
      <c r="K25" s="13">
        <f ca="1">VLOOKUP($B25,'[8]Analisys QBR By Machine Report'!$C$109:$BD$166,7,FALSE)</f>
        <v>0</v>
      </c>
      <c r="L25" s="13">
        <f ca="1">VLOOKUP($B25,'[8]Analisys QBR By Machine Report'!$C$109:$BD$166,8,FALSE)</f>
        <v>6240</v>
      </c>
      <c r="M25" s="13">
        <f ca="1">VLOOKUP($B25,'[8]Analisys QBR By Machine Report'!$C$109:$BD$166,9,FALSE)</f>
        <v>1680</v>
      </c>
      <c r="N25" s="13">
        <f ca="1">VLOOKUP($B25,[8]Dasboard_QBR_Report!$B$109:$BL$166,18,FALSE)</f>
        <v>4560</v>
      </c>
      <c r="O25" s="13">
        <f ca="1">VLOOKUP($B25,'[8]Analisys QBR By Machine Report'!$C$109:$BD$166,10,FALSE)</f>
        <v>495</v>
      </c>
      <c r="P25" s="13">
        <f ca="1">VLOOKUP($B25,'[8]Analisys QBR By Machine Report'!$C$109:$BD$166,11,FALSE)</f>
        <v>435</v>
      </c>
      <c r="Q25" s="13">
        <f ca="1">VLOOKUP($B25,'[8]Analisys QBR By Machine Report'!$C$109:$BD$166,12,FALSE)</f>
        <v>0</v>
      </c>
      <c r="R25" s="13">
        <f ca="1">VLOOKUP($B25,'[8]Analisys QBR By Machine Report'!$C$109:$BD$166,13,FALSE)</f>
        <v>60</v>
      </c>
      <c r="S25" s="13">
        <f ca="1">VLOOKUP($B25,'[8]Analisys QBR By Machine Report'!$C$109:$BD$166,14,FALSE)</f>
        <v>0</v>
      </c>
      <c r="T25" s="13">
        <f ca="1">VLOOKUP($B25,'[8]Analisys QBR By Machine Report'!$C$109:$BD$166,15,FALSE)</f>
        <v>300</v>
      </c>
      <c r="U25" s="13">
        <f ca="1">VLOOKUP($B25,'[8]Analisys QBR By Machine Report'!$C$109:$BD$166,16,FALSE)</f>
        <v>300</v>
      </c>
      <c r="V25" s="13">
        <f ca="1">VLOOKUP($B25,'[8]Analisys QBR By Machine Report'!$C$109:$BD$166,17,FALSE)</f>
        <v>0</v>
      </c>
      <c r="W25" s="13">
        <f ca="1">VLOOKUP($B25,'[8]Analisys QBR By Machine Report'!$C$109:$BD$166,18,FALSE)</f>
        <v>0</v>
      </c>
      <c r="X25" s="13">
        <f ca="1">VLOOKUP($B25,'[8]Analisys QBR By Machine Report'!$C$109:$BD$166,19,FALSE)</f>
        <v>0</v>
      </c>
      <c r="Y25" s="13">
        <f ca="1">VLOOKUP($B25,'[8]Analisys QBR By Machine Report'!$C$109:$BD$166,20,FALSE)</f>
        <v>0</v>
      </c>
      <c r="Z25" s="13">
        <f ca="1">VLOOKUP($B25,'[8]Analisys QBR By Machine Report'!$C$109:$BD$166,21,FALSE)</f>
        <v>2040</v>
      </c>
      <c r="AA25" s="13">
        <f ca="1">VLOOKUP($B25,'[8]Analisys QBR By Machine Report'!$C$109:$BD$166,22,FALSE)</f>
        <v>130</v>
      </c>
      <c r="AB25" s="13">
        <f ca="1">VLOOKUP($B25,'[8]Analisys QBR By Machine Report'!$C$109:$BD$166,23,FALSE)</f>
        <v>1300</v>
      </c>
      <c r="AC25" s="13">
        <f ca="1">VLOOKUP($B25,'[8]Analisys QBR By Machine Report'!$C$109:$BD$166,24,FALSE)</f>
        <v>0</v>
      </c>
      <c r="AD25" s="13">
        <f ca="1">VLOOKUP($B25,'[8]Analisys QBR By Machine Report'!$C$109:$BD$166,25,FALSE)</f>
        <v>0</v>
      </c>
      <c r="AE25" s="13">
        <f ca="1">VLOOKUP($B25,'[8]Analisys QBR By Machine Report'!$C$109:$BD$166,26,FALSE)</f>
        <v>610</v>
      </c>
      <c r="AF25" s="13">
        <f ca="1">VLOOKUP($B25,'[8]Analisys QBR By Machine Report'!$C$109:$BD$166,27,FALSE)</f>
        <v>0</v>
      </c>
      <c r="AG25" s="13">
        <f ca="1">VLOOKUP($B25,'[8]Analisys QBR By Machine Report'!$C$109:$BD$166,28,FALSE)</f>
        <v>0</v>
      </c>
      <c r="AH25" s="13">
        <f ca="1">VLOOKUP($B25,'[8]Analisys QBR By Machine Report'!$C$109:$BD$166,29,FALSE)</f>
        <v>0</v>
      </c>
      <c r="AI25" s="13">
        <f ca="1">VLOOKUP($B25,'[8]Analisys QBR By Machine Report'!$C$109:$BD$166,30,FALSE)</f>
        <v>1725</v>
      </c>
      <c r="AJ25" s="13">
        <f ca="1">VLOOKUP($B25,'[8]Analisys QBR By Machine Report'!$C$109:$BD$166,31,FALSE)</f>
        <v>0</v>
      </c>
      <c r="AK25" s="13">
        <f ca="1">VLOOKUP($B25,'[8]Analisys QBR By Machine Report'!$C$109:$BD$166,32,FALSE)</f>
        <v>0</v>
      </c>
      <c r="AL25" s="13">
        <f ca="1">VLOOKUP($B25,'[8]Analisys QBR By Machine Report'!$C$109:$BD$166,33,FALSE)</f>
        <v>270</v>
      </c>
      <c r="AM25" s="13">
        <f ca="1">VLOOKUP($B25,'[8]Analisys QBR By Machine Report'!$C$109:$BD$166,34,FALSE)</f>
        <v>0</v>
      </c>
      <c r="AN25" s="13">
        <f ca="1">VLOOKUP($B25,'[8]Analisys QBR By Machine Report'!$C$109:$BD$166,35,FALSE)</f>
        <v>150</v>
      </c>
      <c r="AO25" s="13">
        <f ca="1">VLOOKUP($B25,'[8]Analisys QBR By Machine Report'!$C$109:$BD$166,36,FALSE)</f>
        <v>0</v>
      </c>
      <c r="AP25" s="13">
        <f ca="1">VLOOKUP($B25,'[8]Analisys QBR By Machine Report'!$C$109:$BD$166,37,FALSE)</f>
        <v>0</v>
      </c>
      <c r="AQ25" s="13">
        <f ca="1">VLOOKUP($B25,'[8]Analisys QBR By Machine Report'!$C$109:$BD$166,38,FALSE)</f>
        <v>0</v>
      </c>
      <c r="AR25" s="13">
        <f ca="1">VLOOKUP($B25,'[8]Analisys QBR By Machine Report'!$C$109:$BD$166,39,FALSE)</f>
        <v>1290</v>
      </c>
      <c r="AS25" s="13">
        <f ca="1">VLOOKUP($B25,'[8]Analisys QBR By Machine Report'!$C$109:$BD$166,40,FALSE)</f>
        <v>0</v>
      </c>
      <c r="AT25" s="13">
        <f ca="1">VLOOKUP($B25,'[8]Analisys QBR By Machine Report'!$C$109:$BD$166,41,FALSE)</f>
        <v>0</v>
      </c>
      <c r="AU25" s="13">
        <f ca="1">VLOOKUP($B25,'[8]Analisys QBR By Machine Report'!$C$109:$BD$166,42,FALSE)</f>
        <v>0</v>
      </c>
      <c r="AV25" s="13">
        <f ca="1">VLOOKUP($B25,'[8]Analisys QBR By Machine Report'!$C$109:$BD$166,43,FALSE)</f>
        <v>0</v>
      </c>
      <c r="AW25" s="13">
        <f ca="1">VLOOKUP($B25,'[8]Analisys QBR By Machine Report'!$C$109:$BD$166,44,FALSE)</f>
        <v>0</v>
      </c>
      <c r="AX25" s="13">
        <f ca="1">VLOOKUP($B25,'[8]Analisys QBR By Machine Report'!$C$109:$BD$166,45,FALSE)</f>
        <v>0</v>
      </c>
      <c r="AY25" s="13">
        <f ca="1">VLOOKUP($B25,'[8]Analisys QBR By Machine Report'!$C$109:$BD$166,46,FALSE)</f>
        <v>0</v>
      </c>
      <c r="AZ25" s="13">
        <f ca="1">VLOOKUP($B25,'[8]Analisys QBR By Machine Report'!$C$109:$BD$166,47,FALSE)</f>
        <v>0</v>
      </c>
      <c r="BA25" s="13">
        <f ca="1">VLOOKUP($B25,'[8]Analisys QBR By Machine Report'!$C$109:$BD$166,48,FALSE)</f>
        <v>15</v>
      </c>
      <c r="BB25" s="13">
        <f ca="1">VLOOKUP($B25,'[8]Analisys QBR By Machine Report'!$C$109:$BD$166,49,FALSE)</f>
        <v>0</v>
      </c>
      <c r="BC25" s="13">
        <f ca="1">VLOOKUP($B25,'[8]Analisys QBR By Machine Report'!$C$109:$BD$166,50,FALSE)</f>
        <v>0</v>
      </c>
      <c r="BD25" s="13">
        <f ca="1">VLOOKUP($B25,'[8]Analisys QBR By Machine Report'!$C$109:$BD$166,51,FALSE)</f>
        <v>88246</v>
      </c>
      <c r="BE25" s="13">
        <f ca="1">VLOOKUP($B25,'[8]Analisys QBR By Machine Report'!$C$109:$BD$166,52,FALSE)</f>
        <v>195</v>
      </c>
      <c r="BF25" s="13">
        <f ca="1">VLOOKUP($B25,'[8]Analisys QBR By Machine Report'!$C$109:$BD$166,53,FALSE)</f>
        <v>88051</v>
      </c>
    </row>
    <row r="26" spans="1:58" x14ac:dyDescent="0.25">
      <c r="A26" s="12" t="s">
        <v>82</v>
      </c>
      <c r="B26" s="13">
        <f ca="1">VLOOKUP($B26,'[8]Analisys QBR By Machine Report'!$C$109:$BD$166,2,FALSE)</f>
        <v>28800</v>
      </c>
      <c r="C26" s="14">
        <f ca="1">VLOOKUP($B26,[8]Dasboard_QBR_Report!$B$109:$BL$166,3,FALSE)</f>
        <v>18600</v>
      </c>
      <c r="D26" s="13">
        <f ca="1">VLOOKUP($B26,'[8]Analisys QBR By Machine Report'!$C$109:$BD$166,3,FALSE)</f>
        <v>24240</v>
      </c>
      <c r="E26" s="14">
        <f ca="1">VLOOKUP($B26,[8]Dasboard_QBR_Report!$B$109:$BL$166,5,FALSE)</f>
        <v>14040</v>
      </c>
      <c r="F26" s="13">
        <f t="shared" ca="1" si="0"/>
        <v>4560</v>
      </c>
      <c r="G26" s="13">
        <f t="shared" ca="1" si="1"/>
        <v>1770</v>
      </c>
      <c r="H26" s="13">
        <f ca="1">VLOOKUP($B26,'[8]Analisys QBR By Machine Report'!$C$109:$BD$166,4,FALSE)</f>
        <v>1770</v>
      </c>
      <c r="I26" s="13">
        <f ca="1">VLOOKUP($B26,'[8]Analisys QBR By Machine Report'!$C$109:$BD$166,5,FALSE)</f>
        <v>0</v>
      </c>
      <c r="J26" s="13">
        <f ca="1">VLOOKUP($B26,'[8]Analisys QBR By Machine Report'!$C$109:$BD$166,6,FALSE)</f>
        <v>1770</v>
      </c>
      <c r="K26" s="13">
        <f ca="1">VLOOKUP($B26,'[8]Analisys QBR By Machine Report'!$C$109:$BD$166,7,FALSE)</f>
        <v>0</v>
      </c>
      <c r="L26" s="13">
        <f ca="1">VLOOKUP($B26,'[8]Analisys QBR By Machine Report'!$C$109:$BD$166,8,FALSE)</f>
        <v>2790</v>
      </c>
      <c r="M26" s="13">
        <f ca="1">VLOOKUP($B26,'[8]Analisys QBR By Machine Report'!$C$109:$BD$166,9,FALSE)</f>
        <v>925</v>
      </c>
      <c r="N26" s="13">
        <f ca="1">VLOOKUP($B26,[8]Dasboard_QBR_Report!$B$109:$BL$166,18,FALSE)</f>
        <v>1865</v>
      </c>
      <c r="O26" s="13">
        <f ca="1">VLOOKUP($B26,'[8]Analisys QBR By Machine Report'!$C$109:$BD$166,10,FALSE)</f>
        <v>195</v>
      </c>
      <c r="P26" s="13">
        <f ca="1">VLOOKUP($B26,'[8]Analisys QBR By Machine Report'!$C$109:$BD$166,11,FALSE)</f>
        <v>105</v>
      </c>
      <c r="Q26" s="13">
        <f ca="1">VLOOKUP($B26,'[8]Analisys QBR By Machine Report'!$C$109:$BD$166,12,FALSE)</f>
        <v>0</v>
      </c>
      <c r="R26" s="13">
        <f ca="1">VLOOKUP($B26,'[8]Analisys QBR By Machine Report'!$C$109:$BD$166,13,FALSE)</f>
        <v>75</v>
      </c>
      <c r="S26" s="13">
        <f ca="1">VLOOKUP($B26,'[8]Analisys QBR By Machine Report'!$C$109:$BD$166,14,FALSE)</f>
        <v>15</v>
      </c>
      <c r="T26" s="13">
        <f ca="1">VLOOKUP($B26,'[8]Analisys QBR By Machine Report'!$C$109:$BD$166,15,FALSE)</f>
        <v>140</v>
      </c>
      <c r="U26" s="13">
        <f ca="1">VLOOKUP($B26,'[8]Analisys QBR By Machine Report'!$C$109:$BD$166,16,FALSE)</f>
        <v>0</v>
      </c>
      <c r="V26" s="13">
        <f ca="1">VLOOKUP($B26,'[8]Analisys QBR By Machine Report'!$C$109:$BD$166,17,FALSE)</f>
        <v>0</v>
      </c>
      <c r="W26" s="13">
        <f ca="1">VLOOKUP($B26,'[8]Analisys QBR By Machine Report'!$C$109:$BD$166,18,FALSE)</f>
        <v>0</v>
      </c>
      <c r="X26" s="13">
        <f ca="1">VLOOKUP($B26,'[8]Analisys QBR By Machine Report'!$C$109:$BD$166,19,FALSE)</f>
        <v>140</v>
      </c>
      <c r="Y26" s="13">
        <f ca="1">VLOOKUP($B26,'[8]Analisys QBR By Machine Report'!$C$109:$BD$166,20,FALSE)</f>
        <v>0</v>
      </c>
      <c r="Z26" s="13">
        <f ca="1">VLOOKUP($B26,'[8]Analisys QBR By Machine Report'!$C$109:$BD$166,21,FALSE)</f>
        <v>930</v>
      </c>
      <c r="AA26" s="13">
        <f ca="1">VLOOKUP($B26,'[8]Analisys QBR By Machine Report'!$C$109:$BD$166,22,FALSE)</f>
        <v>280</v>
      </c>
      <c r="AB26" s="13">
        <f ca="1">VLOOKUP($B26,'[8]Analisys QBR By Machine Report'!$C$109:$BD$166,23,FALSE)</f>
        <v>245</v>
      </c>
      <c r="AC26" s="13">
        <f ca="1">VLOOKUP($B26,'[8]Analisys QBR By Machine Report'!$C$109:$BD$166,24,FALSE)</f>
        <v>0</v>
      </c>
      <c r="AD26" s="13">
        <f ca="1">VLOOKUP($B26,'[8]Analisys QBR By Machine Report'!$C$109:$BD$166,25,FALSE)</f>
        <v>0</v>
      </c>
      <c r="AE26" s="13">
        <f ca="1">VLOOKUP($B26,'[8]Analisys QBR By Machine Report'!$C$109:$BD$166,26,FALSE)</f>
        <v>405</v>
      </c>
      <c r="AF26" s="13">
        <f ca="1">VLOOKUP($B26,'[8]Analisys QBR By Machine Report'!$C$109:$BD$166,27,FALSE)</f>
        <v>0</v>
      </c>
      <c r="AG26" s="13">
        <f ca="1">VLOOKUP($B26,'[8]Analisys QBR By Machine Report'!$C$109:$BD$166,28,FALSE)</f>
        <v>0</v>
      </c>
      <c r="AH26" s="13">
        <f ca="1">VLOOKUP($B26,'[8]Analisys QBR By Machine Report'!$C$109:$BD$166,29,FALSE)</f>
        <v>0</v>
      </c>
      <c r="AI26" s="13">
        <f ca="1">VLOOKUP($B26,'[8]Analisys QBR By Machine Report'!$C$109:$BD$166,30,FALSE)</f>
        <v>600</v>
      </c>
      <c r="AJ26" s="13">
        <f ca="1">VLOOKUP($B26,'[8]Analisys QBR By Machine Report'!$C$109:$BD$166,31,FALSE)</f>
        <v>0</v>
      </c>
      <c r="AK26" s="13">
        <f ca="1">VLOOKUP($B26,'[8]Analisys QBR By Machine Report'!$C$109:$BD$166,32,FALSE)</f>
        <v>0</v>
      </c>
      <c r="AL26" s="13">
        <f ca="1">VLOOKUP($B26,'[8]Analisys QBR By Machine Report'!$C$109:$BD$166,33,FALSE)</f>
        <v>150</v>
      </c>
      <c r="AM26" s="13">
        <f ca="1">VLOOKUP($B26,'[8]Analisys QBR By Machine Report'!$C$109:$BD$166,34,FALSE)</f>
        <v>0</v>
      </c>
      <c r="AN26" s="13">
        <f ca="1">VLOOKUP($B26,'[8]Analisys QBR By Machine Report'!$C$109:$BD$166,35,FALSE)</f>
        <v>90</v>
      </c>
      <c r="AO26" s="13">
        <f ca="1">VLOOKUP($B26,'[8]Analisys QBR By Machine Report'!$C$109:$BD$166,36,FALSE)</f>
        <v>0</v>
      </c>
      <c r="AP26" s="13">
        <f ca="1">VLOOKUP($B26,'[8]Analisys QBR By Machine Report'!$C$109:$BD$166,37,FALSE)</f>
        <v>0</v>
      </c>
      <c r="AQ26" s="13">
        <f ca="1">VLOOKUP($B26,'[8]Analisys QBR By Machine Report'!$C$109:$BD$166,38,FALSE)</f>
        <v>0</v>
      </c>
      <c r="AR26" s="13">
        <f ca="1">VLOOKUP($B26,'[8]Analisys QBR By Machine Report'!$C$109:$BD$166,39,FALSE)</f>
        <v>220</v>
      </c>
      <c r="AS26" s="13">
        <f ca="1">VLOOKUP($B26,'[8]Analisys QBR By Machine Report'!$C$109:$BD$166,40,FALSE)</f>
        <v>0</v>
      </c>
      <c r="AT26" s="13">
        <f ca="1">VLOOKUP($B26,'[8]Analisys QBR By Machine Report'!$C$109:$BD$166,41,FALSE)</f>
        <v>0</v>
      </c>
      <c r="AU26" s="13">
        <f ca="1">VLOOKUP($B26,'[8]Analisys QBR By Machine Report'!$C$109:$BD$166,42,FALSE)</f>
        <v>0</v>
      </c>
      <c r="AV26" s="13">
        <f ca="1">VLOOKUP($B26,'[8]Analisys QBR By Machine Report'!$C$109:$BD$166,43,FALSE)</f>
        <v>0</v>
      </c>
      <c r="AW26" s="13">
        <f ca="1">VLOOKUP($B26,'[8]Analisys QBR By Machine Report'!$C$109:$BD$166,44,FALSE)</f>
        <v>0</v>
      </c>
      <c r="AX26" s="13">
        <f ca="1">VLOOKUP($B26,'[8]Analisys QBR By Machine Report'!$C$109:$BD$166,45,FALSE)</f>
        <v>0</v>
      </c>
      <c r="AY26" s="13">
        <f ca="1">VLOOKUP($B26,'[8]Analisys QBR By Machine Report'!$C$109:$BD$166,46,FALSE)</f>
        <v>0</v>
      </c>
      <c r="AZ26" s="13">
        <f ca="1">VLOOKUP($B26,'[8]Analisys QBR By Machine Report'!$C$109:$BD$166,47,FALSE)</f>
        <v>0</v>
      </c>
      <c r="BA26" s="13">
        <f ca="1">VLOOKUP($B26,'[8]Analisys QBR By Machine Report'!$C$109:$BD$166,48,FALSE)</f>
        <v>140</v>
      </c>
      <c r="BB26" s="13">
        <f ca="1">VLOOKUP($B26,'[8]Analisys QBR By Machine Report'!$C$109:$BD$166,49,FALSE)</f>
        <v>0</v>
      </c>
      <c r="BC26" s="13">
        <f ca="1">VLOOKUP($B26,'[8]Analisys QBR By Machine Report'!$C$109:$BD$166,50,FALSE)</f>
        <v>0</v>
      </c>
      <c r="BD26" s="13">
        <f ca="1">VLOOKUP($B26,'[8]Analisys QBR By Machine Report'!$C$109:$BD$166,51,FALSE)</f>
        <v>48565</v>
      </c>
      <c r="BE26" s="13">
        <f ca="1">VLOOKUP($B26,'[8]Analisys QBR By Machine Report'!$C$109:$BD$166,52,FALSE)</f>
        <v>90</v>
      </c>
      <c r="BF26" s="13">
        <f ca="1">VLOOKUP($B26,'[8]Analisys QBR By Machine Report'!$C$109:$BD$166,53,FALSE)</f>
        <v>48475</v>
      </c>
    </row>
    <row r="27" spans="1:58" x14ac:dyDescent="0.25">
      <c r="A27" s="9" t="s">
        <v>83</v>
      </c>
      <c r="B27" s="10">
        <f ca="1">VLOOKUP($B27,'[8]Analisys QBR By Machine Report'!$C$109:$BD$166,2,FALSE)</f>
        <v>28800</v>
      </c>
      <c r="C27" s="11">
        <f ca="1">VLOOKUP($B27,[8]Dasboard_QBR_Report!$B$109:$BL$166,3,FALSE)</f>
        <v>18600</v>
      </c>
      <c r="D27" s="10">
        <f ca="1">VLOOKUP($B27,'[8]Analisys QBR By Machine Report'!$C$109:$BD$166,3,FALSE)</f>
        <v>19770</v>
      </c>
      <c r="E27" s="11">
        <f ca="1">VLOOKUP($B27,[8]Dasboard_QBR_Report!$B$109:$BL$166,5,FALSE)</f>
        <v>9570</v>
      </c>
      <c r="F27" s="10">
        <f t="shared" ca="1" si="0"/>
        <v>9030</v>
      </c>
      <c r="G27" s="10">
        <f t="shared" ca="1" si="1"/>
        <v>700</v>
      </c>
      <c r="H27" s="10">
        <f ca="1">VLOOKUP($B27,'[8]Analisys QBR By Machine Report'!$C$109:$BD$166,4,FALSE)</f>
        <v>700</v>
      </c>
      <c r="I27" s="10">
        <f ca="1">VLOOKUP($B27,'[8]Analisys QBR By Machine Report'!$C$109:$BD$166,5,FALSE)</f>
        <v>60</v>
      </c>
      <c r="J27" s="10">
        <f ca="1">VLOOKUP($B27,'[8]Analisys QBR By Machine Report'!$C$109:$BD$166,6,FALSE)</f>
        <v>640</v>
      </c>
      <c r="K27" s="10">
        <f ca="1">VLOOKUP($B27,'[8]Analisys QBR By Machine Report'!$C$109:$BD$166,7,FALSE)</f>
        <v>0</v>
      </c>
      <c r="L27" s="10">
        <f ca="1">VLOOKUP($B27,'[8]Analisys QBR By Machine Report'!$C$109:$BD$166,8,FALSE)</f>
        <v>8330</v>
      </c>
      <c r="M27" s="10">
        <f ca="1">VLOOKUP($B27,'[8]Analisys QBR By Machine Report'!$C$109:$BD$166,9,FALSE)</f>
        <v>2839</v>
      </c>
      <c r="N27" s="10">
        <f ca="1">VLOOKUP($B27,[8]Dasboard_QBR_Report!$B$109:$BL$166,18,FALSE)</f>
        <v>5491</v>
      </c>
      <c r="O27" s="10">
        <f ca="1">VLOOKUP($B27,'[8]Analisys QBR By Machine Report'!$C$109:$BD$166,10,FALSE)</f>
        <v>180</v>
      </c>
      <c r="P27" s="10">
        <f ca="1">VLOOKUP($B27,'[8]Analisys QBR By Machine Report'!$C$109:$BD$166,11,FALSE)</f>
        <v>180</v>
      </c>
      <c r="Q27" s="10">
        <f ca="1">VLOOKUP($B27,'[8]Analisys QBR By Machine Report'!$C$109:$BD$166,12,FALSE)</f>
        <v>0</v>
      </c>
      <c r="R27" s="10">
        <f ca="1">VLOOKUP($B27,'[8]Analisys QBR By Machine Report'!$C$109:$BD$166,13,FALSE)</f>
        <v>0</v>
      </c>
      <c r="S27" s="10">
        <f ca="1">VLOOKUP($B27,'[8]Analisys QBR By Machine Report'!$C$109:$BD$166,14,FALSE)</f>
        <v>0</v>
      </c>
      <c r="T27" s="10">
        <f ca="1">VLOOKUP($B27,'[8]Analisys QBR By Machine Report'!$C$109:$BD$166,15,FALSE)</f>
        <v>20</v>
      </c>
      <c r="U27" s="10">
        <f ca="1">VLOOKUP($B27,'[8]Analisys QBR By Machine Report'!$C$109:$BD$166,16,FALSE)</f>
        <v>0</v>
      </c>
      <c r="V27" s="10">
        <f ca="1">VLOOKUP($B27,'[8]Analisys QBR By Machine Report'!$C$109:$BD$166,17,FALSE)</f>
        <v>0</v>
      </c>
      <c r="W27" s="10">
        <f ca="1">VLOOKUP($B27,'[8]Analisys QBR By Machine Report'!$C$109:$BD$166,18,FALSE)</f>
        <v>0</v>
      </c>
      <c r="X27" s="10">
        <f ca="1">VLOOKUP($B27,'[8]Analisys QBR By Machine Report'!$C$109:$BD$166,19,FALSE)</f>
        <v>20</v>
      </c>
      <c r="Y27" s="10">
        <f ca="1">VLOOKUP($B27,'[8]Analisys QBR By Machine Report'!$C$109:$BD$166,20,FALSE)</f>
        <v>0</v>
      </c>
      <c r="Z27" s="10">
        <f ca="1">VLOOKUP($B27,'[8]Analisys QBR By Machine Report'!$C$109:$BD$166,21,FALSE)</f>
        <v>2864</v>
      </c>
      <c r="AA27" s="10">
        <f ca="1">VLOOKUP($B27,'[8]Analisys QBR By Machine Report'!$C$109:$BD$166,22,FALSE)</f>
        <v>624</v>
      </c>
      <c r="AB27" s="10">
        <f ca="1">VLOOKUP($B27,'[8]Analisys QBR By Machine Report'!$C$109:$BD$166,23,FALSE)</f>
        <v>1926</v>
      </c>
      <c r="AC27" s="10">
        <f ca="1">VLOOKUP($B27,'[8]Analisys QBR By Machine Report'!$C$109:$BD$166,24,FALSE)</f>
        <v>0</v>
      </c>
      <c r="AD27" s="10">
        <f ca="1">VLOOKUP($B27,'[8]Analisys QBR By Machine Report'!$C$109:$BD$166,25,FALSE)</f>
        <v>314</v>
      </c>
      <c r="AE27" s="10">
        <f ca="1">VLOOKUP($B27,'[8]Analisys QBR By Machine Report'!$C$109:$BD$166,26,FALSE)</f>
        <v>0</v>
      </c>
      <c r="AF27" s="10">
        <f ca="1">VLOOKUP($B27,'[8]Analisys QBR By Machine Report'!$C$109:$BD$166,27,FALSE)</f>
        <v>0</v>
      </c>
      <c r="AG27" s="10">
        <f ca="1">VLOOKUP($B27,'[8]Analisys QBR By Machine Report'!$C$109:$BD$166,28,FALSE)</f>
        <v>0</v>
      </c>
      <c r="AH27" s="10">
        <f ca="1">VLOOKUP($B27,'[8]Analisys QBR By Machine Report'!$C$109:$BD$166,29,FALSE)</f>
        <v>0</v>
      </c>
      <c r="AI27" s="10">
        <f ca="1">VLOOKUP($B27,'[8]Analisys QBR By Machine Report'!$C$109:$BD$166,30,FALSE)</f>
        <v>2427</v>
      </c>
      <c r="AJ27" s="10">
        <f ca="1">VLOOKUP($B27,'[8]Analisys QBR By Machine Report'!$C$109:$BD$166,31,FALSE)</f>
        <v>0</v>
      </c>
      <c r="AK27" s="10">
        <f ca="1">VLOOKUP($B27,'[8]Analisys QBR By Machine Report'!$C$109:$BD$166,32,FALSE)</f>
        <v>0</v>
      </c>
      <c r="AL27" s="10">
        <f ca="1">VLOOKUP($B27,'[8]Analisys QBR By Machine Report'!$C$109:$BD$166,33,FALSE)</f>
        <v>600</v>
      </c>
      <c r="AM27" s="10">
        <f ca="1">VLOOKUP($B27,'[8]Analisys QBR By Machine Report'!$C$109:$BD$166,34,FALSE)</f>
        <v>0</v>
      </c>
      <c r="AN27" s="10">
        <f ca="1">VLOOKUP($B27,'[8]Analisys QBR By Machine Report'!$C$109:$BD$166,35,FALSE)</f>
        <v>460</v>
      </c>
      <c r="AO27" s="10">
        <f ca="1">VLOOKUP($B27,'[8]Analisys QBR By Machine Report'!$C$109:$BD$166,36,FALSE)</f>
        <v>0</v>
      </c>
      <c r="AP27" s="10">
        <f ca="1">VLOOKUP($B27,'[8]Analisys QBR By Machine Report'!$C$109:$BD$166,37,FALSE)</f>
        <v>20</v>
      </c>
      <c r="AQ27" s="10">
        <f ca="1">VLOOKUP($B27,'[8]Analisys QBR By Machine Report'!$C$109:$BD$166,38,FALSE)</f>
        <v>0</v>
      </c>
      <c r="AR27" s="10">
        <f ca="1">VLOOKUP($B27,'[8]Analisys QBR By Machine Report'!$C$109:$BD$166,39,FALSE)</f>
        <v>19</v>
      </c>
      <c r="AS27" s="10">
        <f ca="1">VLOOKUP($B27,'[8]Analisys QBR By Machine Report'!$C$109:$BD$166,40,FALSE)</f>
        <v>0</v>
      </c>
      <c r="AT27" s="10">
        <f ca="1">VLOOKUP($B27,'[8]Analisys QBR By Machine Report'!$C$109:$BD$166,41,FALSE)</f>
        <v>0</v>
      </c>
      <c r="AU27" s="10">
        <f ca="1">VLOOKUP($B27,'[8]Analisys QBR By Machine Report'!$C$109:$BD$166,42,FALSE)</f>
        <v>0</v>
      </c>
      <c r="AV27" s="10">
        <f ca="1">VLOOKUP($B27,'[8]Analisys QBR By Machine Report'!$C$109:$BD$166,43,FALSE)</f>
        <v>0</v>
      </c>
      <c r="AW27" s="10">
        <f ca="1">VLOOKUP($B27,'[8]Analisys QBR By Machine Report'!$C$109:$BD$166,44,FALSE)</f>
        <v>0</v>
      </c>
      <c r="AX27" s="10">
        <f ca="1">VLOOKUP($B27,'[8]Analisys QBR By Machine Report'!$C$109:$BD$166,45,FALSE)</f>
        <v>0</v>
      </c>
      <c r="AY27" s="10">
        <f ca="1">VLOOKUP($B27,'[8]Analisys QBR By Machine Report'!$C$109:$BD$166,46,FALSE)</f>
        <v>0</v>
      </c>
      <c r="AZ27" s="10">
        <f ca="1">VLOOKUP($B27,'[8]Analisys QBR By Machine Report'!$C$109:$BD$166,47,FALSE)</f>
        <v>1328</v>
      </c>
      <c r="BA27" s="10">
        <f ca="1">VLOOKUP($B27,'[8]Analisys QBR By Machine Report'!$C$109:$BD$166,48,FALSE)</f>
        <v>0</v>
      </c>
      <c r="BB27" s="10">
        <f ca="1">VLOOKUP($B27,'[8]Analisys QBR By Machine Report'!$C$109:$BD$166,49,FALSE)</f>
        <v>0</v>
      </c>
      <c r="BC27" s="10">
        <f ca="1">VLOOKUP($B27,'[8]Analisys QBR By Machine Report'!$C$109:$BD$166,50,FALSE)</f>
        <v>0</v>
      </c>
      <c r="BD27" s="10">
        <f ca="1">VLOOKUP($B27,'[8]Analisys QBR By Machine Report'!$C$109:$BD$166,51,FALSE)</f>
        <v>1230</v>
      </c>
      <c r="BE27" s="10">
        <f ca="1">VLOOKUP($B27,'[8]Analisys QBR By Machine Report'!$C$109:$BD$166,52,FALSE)</f>
        <v>0</v>
      </c>
      <c r="BF27" s="10">
        <f ca="1">VLOOKUP($B27,'[8]Analisys QBR By Machine Report'!$C$109:$BD$166,53,FALSE)</f>
        <v>1230</v>
      </c>
    </row>
    <row r="28" spans="1:58" x14ac:dyDescent="0.25">
      <c r="A28" s="12" t="s">
        <v>84</v>
      </c>
      <c r="B28" s="13">
        <f ca="1">VLOOKUP($B28,'[8]Analisys QBR By Machine Report'!$C$109:$BD$166,2,FALSE)</f>
        <v>28800</v>
      </c>
      <c r="C28" s="14">
        <f ca="1">VLOOKUP($B28,[8]Dasboard_QBR_Report!$B$109:$BL$166,3,FALSE)</f>
        <v>18600</v>
      </c>
      <c r="D28" s="13">
        <f ca="1">VLOOKUP($B28,'[8]Analisys QBR By Machine Report'!$C$109:$BD$166,3,FALSE)</f>
        <v>19770</v>
      </c>
      <c r="E28" s="14">
        <f ca="1">VLOOKUP($B28,[8]Dasboard_QBR_Report!$B$109:$BL$166,5,FALSE)</f>
        <v>9570</v>
      </c>
      <c r="F28" s="13">
        <f t="shared" ca="1" si="0"/>
        <v>9030</v>
      </c>
      <c r="G28" s="13">
        <f t="shared" ca="1" si="1"/>
        <v>700</v>
      </c>
      <c r="H28" s="13">
        <f ca="1">VLOOKUP($B28,'[8]Analisys QBR By Machine Report'!$C$109:$BD$166,4,FALSE)</f>
        <v>700</v>
      </c>
      <c r="I28" s="13">
        <f ca="1">VLOOKUP($B28,'[8]Analisys QBR By Machine Report'!$C$109:$BD$166,5,FALSE)</f>
        <v>60</v>
      </c>
      <c r="J28" s="13">
        <f ca="1">VLOOKUP($B28,'[8]Analisys QBR By Machine Report'!$C$109:$BD$166,6,FALSE)</f>
        <v>640</v>
      </c>
      <c r="K28" s="13">
        <f ca="1">VLOOKUP($B28,'[8]Analisys QBR By Machine Report'!$C$109:$BD$166,7,FALSE)</f>
        <v>0</v>
      </c>
      <c r="L28" s="13">
        <f ca="1">VLOOKUP($B28,'[8]Analisys QBR By Machine Report'!$C$109:$BD$166,8,FALSE)</f>
        <v>8330</v>
      </c>
      <c r="M28" s="13">
        <f ca="1">VLOOKUP($B28,'[8]Analisys QBR By Machine Report'!$C$109:$BD$166,9,FALSE)</f>
        <v>2839</v>
      </c>
      <c r="N28" s="13">
        <f ca="1">VLOOKUP($B28,[8]Dasboard_QBR_Report!$B$109:$BL$166,18,FALSE)</f>
        <v>5491</v>
      </c>
      <c r="O28" s="13">
        <f ca="1">VLOOKUP($B28,'[8]Analisys QBR By Machine Report'!$C$109:$BD$166,10,FALSE)</f>
        <v>180</v>
      </c>
      <c r="P28" s="13">
        <f ca="1">VLOOKUP($B28,'[8]Analisys QBR By Machine Report'!$C$109:$BD$166,11,FALSE)</f>
        <v>180</v>
      </c>
      <c r="Q28" s="13">
        <f ca="1">VLOOKUP($B28,'[8]Analisys QBR By Machine Report'!$C$109:$BD$166,12,FALSE)</f>
        <v>0</v>
      </c>
      <c r="R28" s="13">
        <f ca="1">VLOOKUP($B28,'[8]Analisys QBR By Machine Report'!$C$109:$BD$166,13,FALSE)</f>
        <v>0</v>
      </c>
      <c r="S28" s="13">
        <f ca="1">VLOOKUP($B28,'[8]Analisys QBR By Machine Report'!$C$109:$BD$166,14,FALSE)</f>
        <v>0</v>
      </c>
      <c r="T28" s="13">
        <f ca="1">VLOOKUP($B28,'[8]Analisys QBR By Machine Report'!$C$109:$BD$166,15,FALSE)</f>
        <v>20</v>
      </c>
      <c r="U28" s="13">
        <f ca="1">VLOOKUP($B28,'[8]Analisys QBR By Machine Report'!$C$109:$BD$166,16,FALSE)</f>
        <v>0</v>
      </c>
      <c r="V28" s="13">
        <f ca="1">VLOOKUP($B28,'[8]Analisys QBR By Machine Report'!$C$109:$BD$166,17,FALSE)</f>
        <v>0</v>
      </c>
      <c r="W28" s="13">
        <f ca="1">VLOOKUP($B28,'[8]Analisys QBR By Machine Report'!$C$109:$BD$166,18,FALSE)</f>
        <v>0</v>
      </c>
      <c r="X28" s="13">
        <f ca="1">VLOOKUP($B28,'[8]Analisys QBR By Machine Report'!$C$109:$BD$166,19,FALSE)</f>
        <v>20</v>
      </c>
      <c r="Y28" s="13">
        <f ca="1">VLOOKUP($B28,'[8]Analisys QBR By Machine Report'!$C$109:$BD$166,20,FALSE)</f>
        <v>0</v>
      </c>
      <c r="Z28" s="13">
        <f ca="1">VLOOKUP($B28,'[8]Analisys QBR By Machine Report'!$C$109:$BD$166,21,FALSE)</f>
        <v>2864</v>
      </c>
      <c r="AA28" s="13">
        <f ca="1">VLOOKUP($B28,'[8]Analisys QBR By Machine Report'!$C$109:$BD$166,22,FALSE)</f>
        <v>624</v>
      </c>
      <c r="AB28" s="13">
        <f ca="1">VLOOKUP($B28,'[8]Analisys QBR By Machine Report'!$C$109:$BD$166,23,FALSE)</f>
        <v>1926</v>
      </c>
      <c r="AC28" s="13">
        <f ca="1">VLOOKUP($B28,'[8]Analisys QBR By Machine Report'!$C$109:$BD$166,24,FALSE)</f>
        <v>0</v>
      </c>
      <c r="AD28" s="13">
        <f ca="1">VLOOKUP($B28,'[8]Analisys QBR By Machine Report'!$C$109:$BD$166,25,FALSE)</f>
        <v>314</v>
      </c>
      <c r="AE28" s="13">
        <f ca="1">VLOOKUP($B28,'[8]Analisys QBR By Machine Report'!$C$109:$BD$166,26,FALSE)</f>
        <v>0</v>
      </c>
      <c r="AF28" s="13">
        <f ca="1">VLOOKUP($B28,'[8]Analisys QBR By Machine Report'!$C$109:$BD$166,27,FALSE)</f>
        <v>0</v>
      </c>
      <c r="AG28" s="13">
        <f ca="1">VLOOKUP($B28,'[8]Analisys QBR By Machine Report'!$C$109:$BD$166,28,FALSE)</f>
        <v>0</v>
      </c>
      <c r="AH28" s="13">
        <f ca="1">VLOOKUP($B28,'[8]Analisys QBR By Machine Report'!$C$109:$BD$166,29,FALSE)</f>
        <v>0</v>
      </c>
      <c r="AI28" s="13">
        <f ca="1">VLOOKUP($B28,'[8]Analisys QBR By Machine Report'!$C$109:$BD$166,30,FALSE)</f>
        <v>2427</v>
      </c>
      <c r="AJ28" s="13">
        <f ca="1">VLOOKUP($B28,'[8]Analisys QBR By Machine Report'!$C$109:$BD$166,31,FALSE)</f>
        <v>0</v>
      </c>
      <c r="AK28" s="13">
        <f ca="1">VLOOKUP($B28,'[8]Analisys QBR By Machine Report'!$C$109:$BD$166,32,FALSE)</f>
        <v>0</v>
      </c>
      <c r="AL28" s="13">
        <f ca="1">VLOOKUP($B28,'[8]Analisys QBR By Machine Report'!$C$109:$BD$166,33,FALSE)</f>
        <v>600</v>
      </c>
      <c r="AM28" s="13">
        <f ca="1">VLOOKUP($B28,'[8]Analisys QBR By Machine Report'!$C$109:$BD$166,34,FALSE)</f>
        <v>0</v>
      </c>
      <c r="AN28" s="13">
        <f ca="1">VLOOKUP($B28,'[8]Analisys QBR By Machine Report'!$C$109:$BD$166,35,FALSE)</f>
        <v>460</v>
      </c>
      <c r="AO28" s="13">
        <f ca="1">VLOOKUP($B28,'[8]Analisys QBR By Machine Report'!$C$109:$BD$166,36,FALSE)</f>
        <v>0</v>
      </c>
      <c r="AP28" s="13">
        <f ca="1">VLOOKUP($B28,'[8]Analisys QBR By Machine Report'!$C$109:$BD$166,37,FALSE)</f>
        <v>20</v>
      </c>
      <c r="AQ28" s="13">
        <f ca="1">VLOOKUP($B28,'[8]Analisys QBR By Machine Report'!$C$109:$BD$166,38,FALSE)</f>
        <v>0</v>
      </c>
      <c r="AR28" s="13">
        <f ca="1">VLOOKUP($B28,'[8]Analisys QBR By Machine Report'!$C$109:$BD$166,39,FALSE)</f>
        <v>19</v>
      </c>
      <c r="AS28" s="13">
        <f ca="1">VLOOKUP($B28,'[8]Analisys QBR By Machine Report'!$C$109:$BD$166,40,FALSE)</f>
        <v>0</v>
      </c>
      <c r="AT28" s="13">
        <f ca="1">VLOOKUP($B28,'[8]Analisys QBR By Machine Report'!$C$109:$BD$166,41,FALSE)</f>
        <v>0</v>
      </c>
      <c r="AU28" s="13">
        <f ca="1">VLOOKUP($B28,'[8]Analisys QBR By Machine Report'!$C$109:$BD$166,42,FALSE)</f>
        <v>0</v>
      </c>
      <c r="AV28" s="13">
        <f ca="1">VLOOKUP($B28,'[8]Analisys QBR By Machine Report'!$C$109:$BD$166,43,FALSE)</f>
        <v>0</v>
      </c>
      <c r="AW28" s="13">
        <f ca="1">VLOOKUP($B28,'[8]Analisys QBR By Machine Report'!$C$109:$BD$166,44,FALSE)</f>
        <v>0</v>
      </c>
      <c r="AX28" s="13">
        <f ca="1">VLOOKUP($B28,'[8]Analisys QBR By Machine Report'!$C$109:$BD$166,45,FALSE)</f>
        <v>0</v>
      </c>
      <c r="AY28" s="13">
        <f ca="1">VLOOKUP($B28,'[8]Analisys QBR By Machine Report'!$C$109:$BD$166,46,FALSE)</f>
        <v>0</v>
      </c>
      <c r="AZ28" s="13">
        <f ca="1">VLOOKUP($B28,'[8]Analisys QBR By Machine Report'!$C$109:$BD$166,47,FALSE)</f>
        <v>1328</v>
      </c>
      <c r="BA28" s="13">
        <f ca="1">VLOOKUP($B28,'[8]Analisys QBR By Machine Report'!$C$109:$BD$166,48,FALSE)</f>
        <v>0</v>
      </c>
      <c r="BB28" s="13">
        <f ca="1">VLOOKUP($B28,'[8]Analisys QBR By Machine Report'!$C$109:$BD$166,49,FALSE)</f>
        <v>0</v>
      </c>
      <c r="BC28" s="13">
        <f ca="1">VLOOKUP($B28,'[8]Analisys QBR By Machine Report'!$C$109:$BD$166,50,FALSE)</f>
        <v>0</v>
      </c>
      <c r="BD28" s="13">
        <f ca="1">VLOOKUP($B28,'[8]Analisys QBR By Machine Report'!$C$109:$BD$166,51,FALSE)</f>
        <v>1230</v>
      </c>
      <c r="BE28" s="13">
        <f ca="1">VLOOKUP($B28,'[8]Analisys QBR By Machine Report'!$C$109:$BD$166,52,FALSE)</f>
        <v>0</v>
      </c>
      <c r="BF28" s="13">
        <f ca="1">VLOOKUP($B28,'[8]Analisys QBR By Machine Report'!$C$109:$BD$166,53,FALSE)</f>
        <v>1230</v>
      </c>
    </row>
    <row r="29" spans="1:58" x14ac:dyDescent="0.25">
      <c r="A29" s="9" t="s">
        <v>85</v>
      </c>
      <c r="B29" s="10">
        <f ca="1">VLOOKUP($B29,'[8]Analisys QBR By Machine Report'!$C$109:$BD$166,2,FALSE)</f>
        <v>57600</v>
      </c>
      <c r="C29" s="11">
        <f ca="1">VLOOKUP($B29,[8]Dasboard_QBR_Report!$B$109:$BL$166,3,FALSE)</f>
        <v>37200</v>
      </c>
      <c r="D29" s="10">
        <f ca="1">VLOOKUP($B29,'[8]Analisys QBR By Machine Report'!$C$109:$BD$166,3,FALSE)</f>
        <v>30510</v>
      </c>
      <c r="E29" s="11">
        <f ca="1">VLOOKUP($B29,[8]Dasboard_QBR_Report!$B$109:$BL$166,5,FALSE)</f>
        <v>10110</v>
      </c>
      <c r="F29" s="10">
        <f t="shared" ca="1" si="0"/>
        <v>27090</v>
      </c>
      <c r="G29" s="10">
        <f t="shared" ca="1" si="1"/>
        <v>2168</v>
      </c>
      <c r="H29" s="10">
        <f ca="1">VLOOKUP($B29,'[8]Analisys QBR By Machine Report'!$C$109:$BD$166,4,FALSE)</f>
        <v>1795</v>
      </c>
      <c r="I29" s="10">
        <f ca="1">VLOOKUP($B29,'[8]Analisys QBR By Machine Report'!$C$109:$BD$166,5,FALSE)</f>
        <v>215</v>
      </c>
      <c r="J29" s="10">
        <f ca="1">VLOOKUP($B29,'[8]Analisys QBR By Machine Report'!$C$109:$BD$166,6,FALSE)</f>
        <v>1580</v>
      </c>
      <c r="K29" s="10">
        <f ca="1">VLOOKUP($B29,'[8]Analisys QBR By Machine Report'!$C$109:$BD$166,7,FALSE)</f>
        <v>373</v>
      </c>
      <c r="L29" s="10">
        <f ca="1">VLOOKUP($B29,'[8]Analisys QBR By Machine Report'!$C$109:$BD$166,8,FALSE)</f>
        <v>24922</v>
      </c>
      <c r="M29" s="10">
        <f ca="1">VLOOKUP($B29,'[8]Analisys QBR By Machine Report'!$C$109:$BD$166,9,FALSE)</f>
        <v>9533</v>
      </c>
      <c r="N29" s="10">
        <f ca="1">VLOOKUP($B29,[8]Dasboard_QBR_Report!$B$109:$BL$166,18,FALSE)</f>
        <v>15389</v>
      </c>
      <c r="O29" s="10">
        <f ca="1">VLOOKUP($B29,'[8]Analisys QBR By Machine Report'!$C$109:$BD$166,10,FALSE)</f>
        <v>2460</v>
      </c>
      <c r="P29" s="10">
        <f ca="1">VLOOKUP($B29,'[8]Analisys QBR By Machine Report'!$C$109:$BD$166,11,FALSE)</f>
        <v>2115</v>
      </c>
      <c r="Q29" s="10">
        <f ca="1">VLOOKUP($B29,'[8]Analisys QBR By Machine Report'!$C$109:$BD$166,12,FALSE)</f>
        <v>49</v>
      </c>
      <c r="R29" s="10">
        <f ca="1">VLOOKUP($B29,'[8]Analisys QBR By Machine Report'!$C$109:$BD$166,13,FALSE)</f>
        <v>276</v>
      </c>
      <c r="S29" s="10">
        <f ca="1">VLOOKUP($B29,'[8]Analisys QBR By Machine Report'!$C$109:$BD$166,14,FALSE)</f>
        <v>20</v>
      </c>
      <c r="T29" s="10">
        <f ca="1">VLOOKUP($B29,'[8]Analisys QBR By Machine Report'!$C$109:$BD$166,15,FALSE)</f>
        <v>211</v>
      </c>
      <c r="U29" s="10">
        <f ca="1">VLOOKUP($B29,'[8]Analisys QBR By Machine Report'!$C$109:$BD$166,16,FALSE)</f>
        <v>0</v>
      </c>
      <c r="V29" s="10">
        <f ca="1">VLOOKUP($B29,'[8]Analisys QBR By Machine Report'!$C$109:$BD$166,17,FALSE)</f>
        <v>66</v>
      </c>
      <c r="W29" s="10">
        <f ca="1">VLOOKUP($B29,'[8]Analisys QBR By Machine Report'!$C$109:$BD$166,18,FALSE)</f>
        <v>0</v>
      </c>
      <c r="X29" s="10">
        <f ca="1">VLOOKUP($B29,'[8]Analisys QBR By Machine Report'!$C$109:$BD$166,19,FALSE)</f>
        <v>140</v>
      </c>
      <c r="Y29" s="10">
        <f ca="1">VLOOKUP($B29,'[8]Analisys QBR By Machine Report'!$C$109:$BD$166,20,FALSE)</f>
        <v>5</v>
      </c>
      <c r="Z29" s="10">
        <f ca="1">VLOOKUP($B29,'[8]Analisys QBR By Machine Report'!$C$109:$BD$166,21,FALSE)</f>
        <v>5948</v>
      </c>
      <c r="AA29" s="10">
        <f ca="1">VLOOKUP($B29,'[8]Analisys QBR By Machine Report'!$C$109:$BD$166,22,FALSE)</f>
        <v>1735</v>
      </c>
      <c r="AB29" s="10">
        <f ca="1">VLOOKUP($B29,'[8]Analisys QBR By Machine Report'!$C$109:$BD$166,23,FALSE)</f>
        <v>4013</v>
      </c>
      <c r="AC29" s="10">
        <f ca="1">VLOOKUP($B29,'[8]Analisys QBR By Machine Report'!$C$109:$BD$166,24,FALSE)</f>
        <v>55</v>
      </c>
      <c r="AD29" s="10">
        <f ca="1">VLOOKUP($B29,'[8]Analisys QBR By Machine Report'!$C$109:$BD$166,25,FALSE)</f>
        <v>0</v>
      </c>
      <c r="AE29" s="10">
        <f ca="1">VLOOKUP($B29,'[8]Analisys QBR By Machine Report'!$C$109:$BD$166,26,FALSE)</f>
        <v>145</v>
      </c>
      <c r="AF29" s="10">
        <f ca="1">VLOOKUP($B29,'[8]Analisys QBR By Machine Report'!$C$109:$BD$166,27,FALSE)</f>
        <v>0</v>
      </c>
      <c r="AG29" s="10">
        <f ca="1">VLOOKUP($B29,'[8]Analisys QBR By Machine Report'!$C$109:$BD$166,28,FALSE)</f>
        <v>0</v>
      </c>
      <c r="AH29" s="10">
        <f ca="1">VLOOKUP($B29,'[8]Analisys QBR By Machine Report'!$C$109:$BD$166,29,FALSE)</f>
        <v>0</v>
      </c>
      <c r="AI29" s="10">
        <f ca="1">VLOOKUP($B29,'[8]Analisys QBR By Machine Report'!$C$109:$BD$166,30,FALSE)</f>
        <v>6770</v>
      </c>
      <c r="AJ29" s="10">
        <f ca="1">VLOOKUP($B29,'[8]Analisys QBR By Machine Report'!$C$109:$BD$166,31,FALSE)</f>
        <v>0</v>
      </c>
      <c r="AK29" s="10">
        <f ca="1">VLOOKUP($B29,'[8]Analisys QBR By Machine Report'!$C$109:$BD$166,32,FALSE)</f>
        <v>0</v>
      </c>
      <c r="AL29" s="10">
        <f ca="1">VLOOKUP($B29,'[8]Analisys QBR By Machine Report'!$C$109:$BD$166,33,FALSE)</f>
        <v>1714</v>
      </c>
      <c r="AM29" s="10">
        <f ca="1">VLOOKUP($B29,'[8]Analisys QBR By Machine Report'!$C$109:$BD$166,34,FALSE)</f>
        <v>80</v>
      </c>
      <c r="AN29" s="10">
        <f ca="1">VLOOKUP($B29,'[8]Analisys QBR By Machine Report'!$C$109:$BD$166,35,FALSE)</f>
        <v>1859</v>
      </c>
      <c r="AO29" s="10">
        <f ca="1">VLOOKUP($B29,'[8]Analisys QBR By Machine Report'!$C$109:$BD$166,36,FALSE)</f>
        <v>0</v>
      </c>
      <c r="AP29" s="10">
        <f ca="1">VLOOKUP($B29,'[8]Analisys QBR By Machine Report'!$C$109:$BD$166,37,FALSE)</f>
        <v>0</v>
      </c>
      <c r="AQ29" s="10">
        <f ca="1">VLOOKUP($B29,'[8]Analisys QBR By Machine Report'!$C$109:$BD$166,38,FALSE)</f>
        <v>0</v>
      </c>
      <c r="AR29" s="10">
        <f ca="1">VLOOKUP($B29,'[8]Analisys QBR By Machine Report'!$C$109:$BD$166,39,FALSE)</f>
        <v>0</v>
      </c>
      <c r="AS29" s="10">
        <f ca="1">VLOOKUP($B29,'[8]Analisys QBR By Machine Report'!$C$109:$BD$166,40,FALSE)</f>
        <v>365</v>
      </c>
      <c r="AT29" s="10">
        <f ca="1">VLOOKUP($B29,'[8]Analisys QBR By Machine Report'!$C$109:$BD$166,41,FALSE)</f>
        <v>0</v>
      </c>
      <c r="AU29" s="10">
        <f ca="1">VLOOKUP($B29,'[8]Analisys QBR By Machine Report'!$C$109:$BD$166,42,FALSE)</f>
        <v>0</v>
      </c>
      <c r="AV29" s="10">
        <f ca="1">VLOOKUP($B29,'[8]Analisys QBR By Machine Report'!$C$109:$BD$166,43,FALSE)</f>
        <v>2700</v>
      </c>
      <c r="AW29" s="10">
        <f ca="1">VLOOKUP($B29,'[8]Analisys QBR By Machine Report'!$C$109:$BD$166,44,FALSE)</f>
        <v>0</v>
      </c>
      <c r="AX29" s="10">
        <f ca="1">VLOOKUP($B29,'[8]Analisys QBR By Machine Report'!$C$109:$BD$166,45,FALSE)</f>
        <v>0</v>
      </c>
      <c r="AY29" s="10">
        <f ca="1">VLOOKUP($B29,'[8]Analisys QBR By Machine Report'!$C$109:$BD$166,46,FALSE)</f>
        <v>0</v>
      </c>
      <c r="AZ29" s="10">
        <f ca="1">VLOOKUP($B29,'[8]Analisys QBR By Machine Report'!$C$109:$BD$166,47,FALSE)</f>
        <v>52</v>
      </c>
      <c r="BA29" s="10">
        <f ca="1">VLOOKUP($B29,'[8]Analisys QBR By Machine Report'!$C$109:$BD$166,48,FALSE)</f>
        <v>0</v>
      </c>
      <c r="BB29" s="10">
        <f ca="1">VLOOKUP($B29,'[8]Analisys QBR By Machine Report'!$C$109:$BD$166,49,FALSE)</f>
        <v>0</v>
      </c>
      <c r="BC29" s="10">
        <f ca="1">VLOOKUP($B29,'[8]Analisys QBR By Machine Report'!$C$109:$BD$166,50,FALSE)</f>
        <v>0</v>
      </c>
      <c r="BD29" s="10">
        <f ca="1">VLOOKUP($B29,'[8]Analisys QBR By Machine Report'!$C$109:$BD$166,51,FALSE)</f>
        <v>1067553</v>
      </c>
      <c r="BE29" s="10">
        <f ca="1">VLOOKUP($B29,'[8]Analisys QBR By Machine Report'!$C$109:$BD$166,52,FALSE)</f>
        <v>209</v>
      </c>
      <c r="BF29" s="10">
        <f ca="1">VLOOKUP($B29,'[8]Analisys QBR By Machine Report'!$C$109:$BD$166,53,FALSE)</f>
        <v>1067344</v>
      </c>
    </row>
    <row r="30" spans="1:58" x14ac:dyDescent="0.25">
      <c r="A30" s="12" t="s">
        <v>86</v>
      </c>
      <c r="B30" s="13">
        <f ca="1">VLOOKUP($B30,'[8]Analisys QBR By Machine Report'!$C$109:$BD$166,2,FALSE)</f>
        <v>28800</v>
      </c>
      <c r="C30" s="14">
        <f ca="1">VLOOKUP($B30,[8]Dasboard_QBR_Report!$B$109:$BL$166,3,FALSE)</f>
        <v>18600</v>
      </c>
      <c r="D30" s="13">
        <f ca="1">VLOOKUP($B30,'[8]Analisys QBR By Machine Report'!$C$109:$BD$166,3,FALSE)</f>
        <v>16290</v>
      </c>
      <c r="E30" s="14">
        <f ca="1">VLOOKUP($B30,[8]Dasboard_QBR_Report!$B$109:$BL$166,5,FALSE)</f>
        <v>6090</v>
      </c>
      <c r="F30" s="13">
        <f t="shared" ca="1" si="0"/>
        <v>12510</v>
      </c>
      <c r="G30" s="13">
        <f t="shared" ca="1" si="1"/>
        <v>1213</v>
      </c>
      <c r="H30" s="13">
        <f ca="1">VLOOKUP($B30,'[8]Analisys QBR By Machine Report'!$C$109:$BD$166,4,FALSE)</f>
        <v>840</v>
      </c>
      <c r="I30" s="13">
        <f ca="1">VLOOKUP($B30,'[8]Analisys QBR By Machine Report'!$C$109:$BD$166,5,FALSE)</f>
        <v>40</v>
      </c>
      <c r="J30" s="13">
        <f ca="1">VLOOKUP($B30,'[8]Analisys QBR By Machine Report'!$C$109:$BD$166,6,FALSE)</f>
        <v>800</v>
      </c>
      <c r="K30" s="13">
        <f ca="1">VLOOKUP($B30,'[8]Analisys QBR By Machine Report'!$C$109:$BD$166,7,FALSE)</f>
        <v>373</v>
      </c>
      <c r="L30" s="13">
        <f ca="1">VLOOKUP($B30,'[8]Analisys QBR By Machine Report'!$C$109:$BD$166,8,FALSE)</f>
        <v>11297</v>
      </c>
      <c r="M30" s="13">
        <f ca="1">VLOOKUP($B30,'[8]Analisys QBR By Machine Report'!$C$109:$BD$166,9,FALSE)</f>
        <v>3050</v>
      </c>
      <c r="N30" s="13">
        <f ca="1">VLOOKUP($B30,[8]Dasboard_QBR_Report!$B$109:$BL$166,18,FALSE)</f>
        <v>8247</v>
      </c>
      <c r="O30" s="13">
        <f ca="1">VLOOKUP($B30,'[8]Analisys QBR By Machine Report'!$C$109:$BD$166,10,FALSE)</f>
        <v>1265</v>
      </c>
      <c r="P30" s="13">
        <f ca="1">VLOOKUP($B30,'[8]Analisys QBR By Machine Report'!$C$109:$BD$166,11,FALSE)</f>
        <v>1050</v>
      </c>
      <c r="Q30" s="13">
        <f ca="1">VLOOKUP($B30,'[8]Analisys QBR By Machine Report'!$C$109:$BD$166,12,FALSE)</f>
        <v>49</v>
      </c>
      <c r="R30" s="13">
        <f ca="1">VLOOKUP($B30,'[8]Analisys QBR By Machine Report'!$C$109:$BD$166,13,FALSE)</f>
        <v>146</v>
      </c>
      <c r="S30" s="13">
        <f ca="1">VLOOKUP($B30,'[8]Analisys QBR By Machine Report'!$C$109:$BD$166,14,FALSE)</f>
        <v>20</v>
      </c>
      <c r="T30" s="13">
        <f ca="1">VLOOKUP($B30,'[8]Analisys QBR By Machine Report'!$C$109:$BD$166,15,FALSE)</f>
        <v>145</v>
      </c>
      <c r="U30" s="13">
        <f ca="1">VLOOKUP($B30,'[8]Analisys QBR By Machine Report'!$C$109:$BD$166,16,FALSE)</f>
        <v>0</v>
      </c>
      <c r="V30" s="13">
        <f ca="1">VLOOKUP($B30,'[8]Analisys QBR By Machine Report'!$C$109:$BD$166,17,FALSE)</f>
        <v>0</v>
      </c>
      <c r="W30" s="13">
        <f ca="1">VLOOKUP($B30,'[8]Analisys QBR By Machine Report'!$C$109:$BD$166,18,FALSE)</f>
        <v>0</v>
      </c>
      <c r="X30" s="13">
        <f ca="1">VLOOKUP($B30,'[8]Analisys QBR By Machine Report'!$C$109:$BD$166,19,FALSE)</f>
        <v>140</v>
      </c>
      <c r="Y30" s="13">
        <f ca="1">VLOOKUP($B30,'[8]Analisys QBR By Machine Report'!$C$109:$BD$166,20,FALSE)</f>
        <v>5</v>
      </c>
      <c r="Z30" s="13">
        <f ca="1">VLOOKUP($B30,'[8]Analisys QBR By Machine Report'!$C$109:$BD$166,21,FALSE)</f>
        <v>3413</v>
      </c>
      <c r="AA30" s="13">
        <f ca="1">VLOOKUP($B30,'[8]Analisys QBR By Machine Report'!$C$109:$BD$166,22,FALSE)</f>
        <v>1390</v>
      </c>
      <c r="AB30" s="13">
        <f ca="1">VLOOKUP($B30,'[8]Analisys QBR By Machine Report'!$C$109:$BD$166,23,FALSE)</f>
        <v>1823</v>
      </c>
      <c r="AC30" s="13">
        <f ca="1">VLOOKUP($B30,'[8]Analisys QBR By Machine Report'!$C$109:$BD$166,24,FALSE)</f>
        <v>55</v>
      </c>
      <c r="AD30" s="13">
        <f ca="1">VLOOKUP($B30,'[8]Analisys QBR By Machine Report'!$C$109:$BD$166,25,FALSE)</f>
        <v>0</v>
      </c>
      <c r="AE30" s="13">
        <f ca="1">VLOOKUP($B30,'[8]Analisys QBR By Machine Report'!$C$109:$BD$166,26,FALSE)</f>
        <v>145</v>
      </c>
      <c r="AF30" s="13">
        <f ca="1">VLOOKUP($B30,'[8]Analisys QBR By Machine Report'!$C$109:$BD$166,27,FALSE)</f>
        <v>0</v>
      </c>
      <c r="AG30" s="13">
        <f ca="1">VLOOKUP($B30,'[8]Analisys QBR By Machine Report'!$C$109:$BD$166,28,FALSE)</f>
        <v>0</v>
      </c>
      <c r="AH30" s="13">
        <f ca="1">VLOOKUP($B30,'[8]Analisys QBR By Machine Report'!$C$109:$BD$166,29,FALSE)</f>
        <v>0</v>
      </c>
      <c r="AI30" s="13">
        <f ca="1">VLOOKUP($B30,'[8]Analisys QBR By Machine Report'!$C$109:$BD$166,30,FALSE)</f>
        <v>3424</v>
      </c>
      <c r="AJ30" s="13">
        <f ca="1">VLOOKUP($B30,'[8]Analisys QBR By Machine Report'!$C$109:$BD$166,31,FALSE)</f>
        <v>0</v>
      </c>
      <c r="AK30" s="13">
        <f ca="1">VLOOKUP($B30,'[8]Analisys QBR By Machine Report'!$C$109:$BD$166,32,FALSE)</f>
        <v>0</v>
      </c>
      <c r="AL30" s="13">
        <f ca="1">VLOOKUP($B30,'[8]Analisys QBR By Machine Report'!$C$109:$BD$166,33,FALSE)</f>
        <v>755</v>
      </c>
      <c r="AM30" s="13">
        <f ca="1">VLOOKUP($B30,'[8]Analisys QBR By Machine Report'!$C$109:$BD$166,34,FALSE)</f>
        <v>50</v>
      </c>
      <c r="AN30" s="13">
        <f ca="1">VLOOKUP($B30,'[8]Analisys QBR By Machine Report'!$C$109:$BD$166,35,FALSE)</f>
        <v>694</v>
      </c>
      <c r="AO30" s="13">
        <f ca="1">VLOOKUP($B30,'[8]Analisys QBR By Machine Report'!$C$109:$BD$166,36,FALSE)</f>
        <v>0</v>
      </c>
      <c r="AP30" s="13">
        <f ca="1">VLOOKUP($B30,'[8]Analisys QBR By Machine Report'!$C$109:$BD$166,37,FALSE)</f>
        <v>0</v>
      </c>
      <c r="AQ30" s="13">
        <f ca="1">VLOOKUP($B30,'[8]Analisys QBR By Machine Report'!$C$109:$BD$166,38,FALSE)</f>
        <v>0</v>
      </c>
      <c r="AR30" s="13">
        <f ca="1">VLOOKUP($B30,'[8]Analisys QBR By Machine Report'!$C$109:$BD$166,39,FALSE)</f>
        <v>0</v>
      </c>
      <c r="AS30" s="13">
        <f ca="1">VLOOKUP($B30,'[8]Analisys QBR By Machine Report'!$C$109:$BD$166,40,FALSE)</f>
        <v>230</v>
      </c>
      <c r="AT30" s="13">
        <f ca="1">VLOOKUP($B30,'[8]Analisys QBR By Machine Report'!$C$109:$BD$166,41,FALSE)</f>
        <v>0</v>
      </c>
      <c r="AU30" s="13">
        <f ca="1">VLOOKUP($B30,'[8]Analisys QBR By Machine Report'!$C$109:$BD$166,42,FALSE)</f>
        <v>0</v>
      </c>
      <c r="AV30" s="13">
        <f ca="1">VLOOKUP($B30,'[8]Analisys QBR By Machine Report'!$C$109:$BD$166,43,FALSE)</f>
        <v>1660</v>
      </c>
      <c r="AW30" s="13">
        <f ca="1">VLOOKUP($B30,'[8]Analisys QBR By Machine Report'!$C$109:$BD$166,44,FALSE)</f>
        <v>0</v>
      </c>
      <c r="AX30" s="13">
        <f ca="1">VLOOKUP($B30,'[8]Analisys QBR By Machine Report'!$C$109:$BD$166,45,FALSE)</f>
        <v>0</v>
      </c>
      <c r="AY30" s="13">
        <f ca="1">VLOOKUP($B30,'[8]Analisys QBR By Machine Report'!$C$109:$BD$166,46,FALSE)</f>
        <v>0</v>
      </c>
      <c r="AZ30" s="13">
        <f ca="1">VLOOKUP($B30,'[8]Analisys QBR By Machine Report'!$C$109:$BD$166,47,FALSE)</f>
        <v>35</v>
      </c>
      <c r="BA30" s="13">
        <f ca="1">VLOOKUP($B30,'[8]Analisys QBR By Machine Report'!$C$109:$BD$166,48,FALSE)</f>
        <v>0</v>
      </c>
      <c r="BB30" s="13">
        <f ca="1">VLOOKUP($B30,'[8]Analisys QBR By Machine Report'!$C$109:$BD$166,49,FALSE)</f>
        <v>0</v>
      </c>
      <c r="BC30" s="13">
        <f ca="1">VLOOKUP($B30,'[8]Analisys QBR By Machine Report'!$C$109:$BD$166,50,FALSE)</f>
        <v>0</v>
      </c>
      <c r="BD30" s="13">
        <f ca="1">VLOOKUP($B30,'[8]Analisys QBR By Machine Report'!$C$109:$BD$166,51,FALSE)</f>
        <v>536587</v>
      </c>
      <c r="BE30" s="13">
        <f ca="1">VLOOKUP($B30,'[8]Analisys QBR By Machine Report'!$C$109:$BD$166,52,FALSE)</f>
        <v>0</v>
      </c>
      <c r="BF30" s="13">
        <f ca="1">VLOOKUP($B30,'[8]Analisys QBR By Machine Report'!$C$109:$BD$166,53,FALSE)</f>
        <v>536587</v>
      </c>
    </row>
    <row r="31" spans="1:58" x14ac:dyDescent="0.25">
      <c r="A31" s="12" t="s">
        <v>87</v>
      </c>
      <c r="B31" s="13">
        <f ca="1">VLOOKUP($B31,'[8]Analisys QBR By Machine Report'!$C$109:$BD$166,2,FALSE)</f>
        <v>28800</v>
      </c>
      <c r="C31" s="14">
        <f ca="1">VLOOKUP($B31,[8]Dasboard_QBR_Report!$B$109:$BL$166,3,FALSE)</f>
        <v>18600</v>
      </c>
      <c r="D31" s="13">
        <f ca="1">VLOOKUP($B31,'[8]Analisys QBR By Machine Report'!$C$109:$BD$166,3,FALSE)</f>
        <v>14220</v>
      </c>
      <c r="E31" s="14">
        <f ca="1">VLOOKUP($B31,[8]Dasboard_QBR_Report!$B$109:$BL$166,5,FALSE)</f>
        <v>4020</v>
      </c>
      <c r="F31" s="13">
        <f t="shared" ca="1" si="0"/>
        <v>14580</v>
      </c>
      <c r="G31" s="13">
        <f t="shared" ca="1" si="1"/>
        <v>955</v>
      </c>
      <c r="H31" s="13">
        <f ca="1">VLOOKUP($B31,'[8]Analisys QBR By Machine Report'!$C$109:$BD$166,4,FALSE)</f>
        <v>955</v>
      </c>
      <c r="I31" s="13">
        <f ca="1">VLOOKUP($B31,'[8]Analisys QBR By Machine Report'!$C$109:$BD$166,5,FALSE)</f>
        <v>175</v>
      </c>
      <c r="J31" s="13">
        <f ca="1">VLOOKUP($B31,'[8]Analisys QBR By Machine Report'!$C$109:$BD$166,6,FALSE)</f>
        <v>780</v>
      </c>
      <c r="K31" s="13">
        <f ca="1">VLOOKUP($B31,'[8]Analisys QBR By Machine Report'!$C$109:$BD$166,7,FALSE)</f>
        <v>0</v>
      </c>
      <c r="L31" s="13">
        <f ca="1">VLOOKUP($B31,'[8]Analisys QBR By Machine Report'!$C$109:$BD$166,8,FALSE)</f>
        <v>13625</v>
      </c>
      <c r="M31" s="13">
        <f ca="1">VLOOKUP($B31,'[8]Analisys QBR By Machine Report'!$C$109:$BD$166,9,FALSE)</f>
        <v>6483</v>
      </c>
      <c r="N31" s="13">
        <f ca="1">VLOOKUP($B31,[8]Dasboard_QBR_Report!$B$109:$BL$166,18,FALSE)</f>
        <v>7142</v>
      </c>
      <c r="O31" s="13">
        <f ca="1">VLOOKUP($B31,'[8]Analisys QBR By Machine Report'!$C$109:$BD$166,10,FALSE)</f>
        <v>1195</v>
      </c>
      <c r="P31" s="13">
        <f ca="1">VLOOKUP($B31,'[8]Analisys QBR By Machine Report'!$C$109:$BD$166,11,FALSE)</f>
        <v>1065</v>
      </c>
      <c r="Q31" s="13">
        <f ca="1">VLOOKUP($B31,'[8]Analisys QBR By Machine Report'!$C$109:$BD$166,12,FALSE)</f>
        <v>0</v>
      </c>
      <c r="R31" s="13">
        <f ca="1">VLOOKUP($B31,'[8]Analisys QBR By Machine Report'!$C$109:$BD$166,13,FALSE)</f>
        <v>130</v>
      </c>
      <c r="S31" s="13">
        <f ca="1">VLOOKUP($B31,'[8]Analisys QBR By Machine Report'!$C$109:$BD$166,14,FALSE)</f>
        <v>0</v>
      </c>
      <c r="T31" s="13">
        <f ca="1">VLOOKUP($B31,'[8]Analisys QBR By Machine Report'!$C$109:$BD$166,15,FALSE)</f>
        <v>66</v>
      </c>
      <c r="U31" s="13">
        <f ca="1">VLOOKUP($B31,'[8]Analisys QBR By Machine Report'!$C$109:$BD$166,16,FALSE)</f>
        <v>0</v>
      </c>
      <c r="V31" s="13">
        <f ca="1">VLOOKUP($B31,'[8]Analisys QBR By Machine Report'!$C$109:$BD$166,17,FALSE)</f>
        <v>66</v>
      </c>
      <c r="W31" s="13">
        <f ca="1">VLOOKUP($B31,'[8]Analisys QBR By Machine Report'!$C$109:$BD$166,18,FALSE)</f>
        <v>0</v>
      </c>
      <c r="X31" s="13">
        <f ca="1">VLOOKUP($B31,'[8]Analisys QBR By Machine Report'!$C$109:$BD$166,19,FALSE)</f>
        <v>0</v>
      </c>
      <c r="Y31" s="13">
        <f ca="1">VLOOKUP($B31,'[8]Analisys QBR By Machine Report'!$C$109:$BD$166,20,FALSE)</f>
        <v>0</v>
      </c>
      <c r="Z31" s="13">
        <f ca="1">VLOOKUP($B31,'[8]Analisys QBR By Machine Report'!$C$109:$BD$166,21,FALSE)</f>
        <v>2535</v>
      </c>
      <c r="AA31" s="13">
        <f ca="1">VLOOKUP($B31,'[8]Analisys QBR By Machine Report'!$C$109:$BD$166,22,FALSE)</f>
        <v>345</v>
      </c>
      <c r="AB31" s="13">
        <f ca="1">VLOOKUP($B31,'[8]Analisys QBR By Machine Report'!$C$109:$BD$166,23,FALSE)</f>
        <v>2190</v>
      </c>
      <c r="AC31" s="13">
        <f ca="1">VLOOKUP($B31,'[8]Analisys QBR By Machine Report'!$C$109:$BD$166,24,FALSE)</f>
        <v>0</v>
      </c>
      <c r="AD31" s="13">
        <f ca="1">VLOOKUP($B31,'[8]Analisys QBR By Machine Report'!$C$109:$BD$166,25,FALSE)</f>
        <v>0</v>
      </c>
      <c r="AE31" s="13">
        <f ca="1">VLOOKUP($B31,'[8]Analisys QBR By Machine Report'!$C$109:$BD$166,26,FALSE)</f>
        <v>0</v>
      </c>
      <c r="AF31" s="13">
        <f ca="1">VLOOKUP($B31,'[8]Analisys QBR By Machine Report'!$C$109:$BD$166,27,FALSE)</f>
        <v>0</v>
      </c>
      <c r="AG31" s="13">
        <f ca="1">VLOOKUP($B31,'[8]Analisys QBR By Machine Report'!$C$109:$BD$166,28,FALSE)</f>
        <v>0</v>
      </c>
      <c r="AH31" s="13">
        <f ca="1">VLOOKUP($B31,'[8]Analisys QBR By Machine Report'!$C$109:$BD$166,29,FALSE)</f>
        <v>0</v>
      </c>
      <c r="AI31" s="13">
        <f ca="1">VLOOKUP($B31,'[8]Analisys QBR By Machine Report'!$C$109:$BD$166,30,FALSE)</f>
        <v>3346</v>
      </c>
      <c r="AJ31" s="13">
        <f ca="1">VLOOKUP($B31,'[8]Analisys QBR By Machine Report'!$C$109:$BD$166,31,FALSE)</f>
        <v>0</v>
      </c>
      <c r="AK31" s="13">
        <f ca="1">VLOOKUP($B31,'[8]Analisys QBR By Machine Report'!$C$109:$BD$166,32,FALSE)</f>
        <v>0</v>
      </c>
      <c r="AL31" s="13">
        <f ca="1">VLOOKUP($B31,'[8]Analisys QBR By Machine Report'!$C$109:$BD$166,33,FALSE)</f>
        <v>959</v>
      </c>
      <c r="AM31" s="13">
        <f ca="1">VLOOKUP($B31,'[8]Analisys QBR By Machine Report'!$C$109:$BD$166,34,FALSE)</f>
        <v>30</v>
      </c>
      <c r="AN31" s="13">
        <f ca="1">VLOOKUP($B31,'[8]Analisys QBR By Machine Report'!$C$109:$BD$166,35,FALSE)</f>
        <v>1165</v>
      </c>
      <c r="AO31" s="13">
        <f ca="1">VLOOKUP($B31,'[8]Analisys QBR By Machine Report'!$C$109:$BD$166,36,FALSE)</f>
        <v>0</v>
      </c>
      <c r="AP31" s="13">
        <f ca="1">VLOOKUP($B31,'[8]Analisys QBR By Machine Report'!$C$109:$BD$166,37,FALSE)</f>
        <v>0</v>
      </c>
      <c r="AQ31" s="13">
        <f ca="1">VLOOKUP($B31,'[8]Analisys QBR By Machine Report'!$C$109:$BD$166,38,FALSE)</f>
        <v>0</v>
      </c>
      <c r="AR31" s="13">
        <f ca="1">VLOOKUP($B31,'[8]Analisys QBR By Machine Report'!$C$109:$BD$166,39,FALSE)</f>
        <v>0</v>
      </c>
      <c r="AS31" s="13">
        <f ca="1">VLOOKUP($B31,'[8]Analisys QBR By Machine Report'!$C$109:$BD$166,40,FALSE)</f>
        <v>135</v>
      </c>
      <c r="AT31" s="13">
        <f ca="1">VLOOKUP($B31,'[8]Analisys QBR By Machine Report'!$C$109:$BD$166,41,FALSE)</f>
        <v>0</v>
      </c>
      <c r="AU31" s="13">
        <f ca="1">VLOOKUP($B31,'[8]Analisys QBR By Machine Report'!$C$109:$BD$166,42,FALSE)</f>
        <v>0</v>
      </c>
      <c r="AV31" s="13">
        <f ca="1">VLOOKUP($B31,'[8]Analisys QBR By Machine Report'!$C$109:$BD$166,43,FALSE)</f>
        <v>1040</v>
      </c>
      <c r="AW31" s="13">
        <f ca="1">VLOOKUP($B31,'[8]Analisys QBR By Machine Report'!$C$109:$BD$166,44,FALSE)</f>
        <v>0</v>
      </c>
      <c r="AX31" s="13">
        <f ca="1">VLOOKUP($B31,'[8]Analisys QBR By Machine Report'!$C$109:$BD$166,45,FALSE)</f>
        <v>0</v>
      </c>
      <c r="AY31" s="13">
        <f ca="1">VLOOKUP($B31,'[8]Analisys QBR By Machine Report'!$C$109:$BD$166,46,FALSE)</f>
        <v>0</v>
      </c>
      <c r="AZ31" s="13">
        <f ca="1">VLOOKUP($B31,'[8]Analisys QBR By Machine Report'!$C$109:$BD$166,47,FALSE)</f>
        <v>17</v>
      </c>
      <c r="BA31" s="13">
        <f ca="1">VLOOKUP($B31,'[8]Analisys QBR By Machine Report'!$C$109:$BD$166,48,FALSE)</f>
        <v>0</v>
      </c>
      <c r="BB31" s="13">
        <f ca="1">VLOOKUP($B31,'[8]Analisys QBR By Machine Report'!$C$109:$BD$166,49,FALSE)</f>
        <v>0</v>
      </c>
      <c r="BC31" s="13">
        <f ca="1">VLOOKUP($B31,'[8]Analisys QBR By Machine Report'!$C$109:$BD$166,50,FALSE)</f>
        <v>0</v>
      </c>
      <c r="BD31" s="13">
        <f ca="1">VLOOKUP($B31,'[8]Analisys QBR By Machine Report'!$C$109:$BD$166,51,FALSE)</f>
        <v>530966</v>
      </c>
      <c r="BE31" s="13">
        <f ca="1">VLOOKUP($B31,'[8]Analisys QBR By Machine Report'!$C$109:$BD$166,52,FALSE)</f>
        <v>209</v>
      </c>
      <c r="BF31" s="13">
        <f ca="1">VLOOKUP($B31,'[8]Analisys QBR By Machine Report'!$C$109:$BD$166,53,FALSE)</f>
        <v>530757</v>
      </c>
    </row>
    <row r="32" spans="1:58" x14ac:dyDescent="0.25">
      <c r="A32" s="9" t="s">
        <v>88</v>
      </c>
      <c r="B32" s="10">
        <f ca="1">VLOOKUP($B32,'[8]Analisys QBR By Machine Report'!$C$109:$BD$166,2,FALSE)</f>
        <v>86400</v>
      </c>
      <c r="C32" s="11">
        <f ca="1">VLOOKUP($B32,[8]Dasboard_QBR_Report!$B$109:$BL$166,3,FALSE)</f>
        <v>55800</v>
      </c>
      <c r="D32" s="10">
        <f ca="1">VLOOKUP($B32,'[8]Analisys QBR By Machine Report'!$C$109:$BD$166,3,FALSE)</f>
        <v>43705</v>
      </c>
      <c r="E32" s="11">
        <f ca="1">VLOOKUP($B32,[8]Dasboard_QBR_Report!$B$109:$BL$166,5,FALSE)</f>
        <v>13105</v>
      </c>
      <c r="F32" s="10">
        <f t="shared" ca="1" si="0"/>
        <v>42695</v>
      </c>
      <c r="G32" s="10">
        <f t="shared" ca="1" si="1"/>
        <v>3804</v>
      </c>
      <c r="H32" s="10">
        <f ca="1">VLOOKUP($B32,'[8]Analisys QBR By Machine Report'!$C$109:$BD$166,4,FALSE)</f>
        <v>3804</v>
      </c>
      <c r="I32" s="10">
        <f ca="1">VLOOKUP($B32,'[8]Analisys QBR By Machine Report'!$C$109:$BD$166,5,FALSE)</f>
        <v>1464</v>
      </c>
      <c r="J32" s="10">
        <f ca="1">VLOOKUP($B32,'[8]Analisys QBR By Machine Report'!$C$109:$BD$166,6,FALSE)</f>
        <v>2340</v>
      </c>
      <c r="K32" s="10">
        <f ca="1">VLOOKUP($B32,'[8]Analisys QBR By Machine Report'!$C$109:$BD$166,7,FALSE)</f>
        <v>0</v>
      </c>
      <c r="L32" s="10">
        <f ca="1">VLOOKUP($B32,'[8]Analisys QBR By Machine Report'!$C$109:$BD$166,8,FALSE)</f>
        <v>38891</v>
      </c>
      <c r="M32" s="10">
        <f ca="1">VLOOKUP($B32,'[8]Analisys QBR By Machine Report'!$C$109:$BD$166,9,FALSE)</f>
        <v>17469</v>
      </c>
      <c r="N32" s="10">
        <f ca="1">VLOOKUP($B32,[8]Dasboard_QBR_Report!$B$109:$BL$166,18,FALSE)</f>
        <v>21422</v>
      </c>
      <c r="O32" s="10">
        <f ca="1">VLOOKUP($B32,'[8]Analisys QBR By Machine Report'!$C$109:$BD$166,10,FALSE)</f>
        <v>832</v>
      </c>
      <c r="P32" s="10">
        <f ca="1">VLOOKUP($B32,'[8]Analisys QBR By Machine Report'!$C$109:$BD$166,11,FALSE)</f>
        <v>832</v>
      </c>
      <c r="Q32" s="10">
        <f ca="1">VLOOKUP($B32,'[8]Analisys QBR By Machine Report'!$C$109:$BD$166,12,FALSE)</f>
        <v>0</v>
      </c>
      <c r="R32" s="10">
        <f ca="1">VLOOKUP($B32,'[8]Analisys QBR By Machine Report'!$C$109:$BD$166,13,FALSE)</f>
        <v>0</v>
      </c>
      <c r="S32" s="10">
        <f ca="1">VLOOKUP($B32,'[8]Analisys QBR By Machine Report'!$C$109:$BD$166,14,FALSE)</f>
        <v>0</v>
      </c>
      <c r="T32" s="10">
        <f ca="1">VLOOKUP($B32,'[8]Analisys QBR By Machine Report'!$C$109:$BD$166,15,FALSE)</f>
        <v>0</v>
      </c>
      <c r="U32" s="10">
        <f ca="1">VLOOKUP($B32,'[8]Analisys QBR By Machine Report'!$C$109:$BD$166,16,FALSE)</f>
        <v>0</v>
      </c>
      <c r="V32" s="10">
        <f ca="1">VLOOKUP($B32,'[8]Analisys QBR By Machine Report'!$C$109:$BD$166,17,FALSE)</f>
        <v>0</v>
      </c>
      <c r="W32" s="10">
        <f ca="1">VLOOKUP($B32,'[8]Analisys QBR By Machine Report'!$C$109:$BD$166,18,FALSE)</f>
        <v>0</v>
      </c>
      <c r="X32" s="10">
        <f ca="1">VLOOKUP($B32,'[8]Analisys QBR By Machine Report'!$C$109:$BD$166,19,FALSE)</f>
        <v>0</v>
      </c>
      <c r="Y32" s="10">
        <f ca="1">VLOOKUP($B32,'[8]Analisys QBR By Machine Report'!$C$109:$BD$166,20,FALSE)</f>
        <v>0</v>
      </c>
      <c r="Z32" s="10">
        <f ca="1">VLOOKUP($B32,'[8]Analisys QBR By Machine Report'!$C$109:$BD$166,21,FALSE)</f>
        <v>8848</v>
      </c>
      <c r="AA32" s="10">
        <f ca="1">VLOOKUP($B32,'[8]Analisys QBR By Machine Report'!$C$109:$BD$166,22,FALSE)</f>
        <v>7204</v>
      </c>
      <c r="AB32" s="10">
        <f ca="1">VLOOKUP($B32,'[8]Analisys QBR By Machine Report'!$C$109:$BD$166,23,FALSE)</f>
        <v>1374</v>
      </c>
      <c r="AC32" s="10">
        <f ca="1">VLOOKUP($B32,'[8]Analisys QBR By Machine Report'!$C$109:$BD$166,24,FALSE)</f>
        <v>90</v>
      </c>
      <c r="AD32" s="10">
        <f ca="1">VLOOKUP($B32,'[8]Analisys QBR By Machine Report'!$C$109:$BD$166,25,FALSE)</f>
        <v>0</v>
      </c>
      <c r="AE32" s="10">
        <f ca="1">VLOOKUP($B32,'[8]Analisys QBR By Machine Report'!$C$109:$BD$166,26,FALSE)</f>
        <v>180</v>
      </c>
      <c r="AF32" s="10">
        <f ca="1">VLOOKUP($B32,'[8]Analisys QBR By Machine Report'!$C$109:$BD$166,27,FALSE)</f>
        <v>0</v>
      </c>
      <c r="AG32" s="10">
        <f ca="1">VLOOKUP($B32,'[8]Analisys QBR By Machine Report'!$C$109:$BD$166,28,FALSE)</f>
        <v>0</v>
      </c>
      <c r="AH32" s="10">
        <f ca="1">VLOOKUP($B32,'[8]Analisys QBR By Machine Report'!$C$109:$BD$166,29,FALSE)</f>
        <v>0</v>
      </c>
      <c r="AI32" s="10">
        <f ca="1">VLOOKUP($B32,'[8]Analisys QBR By Machine Report'!$C$109:$BD$166,30,FALSE)</f>
        <v>11742</v>
      </c>
      <c r="AJ32" s="10">
        <f ca="1">VLOOKUP($B32,'[8]Analisys QBR By Machine Report'!$C$109:$BD$166,31,FALSE)</f>
        <v>0</v>
      </c>
      <c r="AK32" s="10">
        <f ca="1">VLOOKUP($B32,'[8]Analisys QBR By Machine Report'!$C$109:$BD$166,32,FALSE)</f>
        <v>0</v>
      </c>
      <c r="AL32" s="10">
        <f ca="1">VLOOKUP($B32,'[8]Analisys QBR By Machine Report'!$C$109:$BD$166,33,FALSE)</f>
        <v>760</v>
      </c>
      <c r="AM32" s="10">
        <f ca="1">VLOOKUP($B32,'[8]Analisys QBR By Machine Report'!$C$109:$BD$166,34,FALSE)</f>
        <v>60</v>
      </c>
      <c r="AN32" s="10">
        <f ca="1">VLOOKUP($B32,'[8]Analisys QBR By Machine Report'!$C$109:$BD$166,35,FALSE)</f>
        <v>540</v>
      </c>
      <c r="AO32" s="10">
        <f ca="1">VLOOKUP($B32,'[8]Analisys QBR By Machine Report'!$C$109:$BD$166,36,FALSE)</f>
        <v>1505</v>
      </c>
      <c r="AP32" s="10">
        <f ca="1">VLOOKUP($B32,'[8]Analisys QBR By Machine Report'!$C$109:$BD$166,37,FALSE)</f>
        <v>10</v>
      </c>
      <c r="AQ32" s="10">
        <f ca="1">VLOOKUP($B32,'[8]Analisys QBR By Machine Report'!$C$109:$BD$166,38,FALSE)</f>
        <v>0</v>
      </c>
      <c r="AR32" s="10">
        <f ca="1">VLOOKUP($B32,'[8]Analisys QBR By Machine Report'!$C$109:$BD$166,39,FALSE)</f>
        <v>8552</v>
      </c>
      <c r="AS32" s="10">
        <f ca="1">VLOOKUP($B32,'[8]Analisys QBR By Machine Report'!$C$109:$BD$166,40,FALSE)</f>
        <v>315</v>
      </c>
      <c r="AT32" s="10">
        <f ca="1">VLOOKUP($B32,'[8]Analisys QBR By Machine Report'!$C$109:$BD$166,41,FALSE)</f>
        <v>0</v>
      </c>
      <c r="AU32" s="10">
        <f ca="1">VLOOKUP($B32,'[8]Analisys QBR By Machine Report'!$C$109:$BD$166,42,FALSE)</f>
        <v>0</v>
      </c>
      <c r="AV32" s="10">
        <f ca="1">VLOOKUP($B32,'[8]Analisys QBR By Machine Report'!$C$109:$BD$166,43,FALSE)</f>
        <v>0</v>
      </c>
      <c r="AW32" s="10">
        <f ca="1">VLOOKUP($B32,'[8]Analisys QBR By Machine Report'!$C$109:$BD$166,44,FALSE)</f>
        <v>0</v>
      </c>
      <c r="AX32" s="10">
        <f ca="1">VLOOKUP($B32,'[8]Analisys QBR By Machine Report'!$C$109:$BD$166,45,FALSE)</f>
        <v>0</v>
      </c>
      <c r="AY32" s="10">
        <f ca="1">VLOOKUP($B32,'[8]Analisys QBR By Machine Report'!$C$109:$BD$166,46,FALSE)</f>
        <v>0</v>
      </c>
      <c r="AZ32" s="10">
        <f ca="1">VLOOKUP($B32,'[8]Analisys QBR By Machine Report'!$C$109:$BD$166,47,FALSE)</f>
        <v>0</v>
      </c>
      <c r="BA32" s="10">
        <f ca="1">VLOOKUP($B32,'[8]Analisys QBR By Machine Report'!$C$109:$BD$166,48,FALSE)</f>
        <v>0</v>
      </c>
      <c r="BB32" s="10">
        <f ca="1">VLOOKUP($B32,'[8]Analisys QBR By Machine Report'!$C$109:$BD$166,49,FALSE)</f>
        <v>0</v>
      </c>
      <c r="BC32" s="10">
        <f ca="1">VLOOKUP($B32,'[8]Analisys QBR By Machine Report'!$C$109:$BD$166,50,FALSE)</f>
        <v>0</v>
      </c>
      <c r="BD32" s="10">
        <f ca="1">VLOOKUP($B32,'[8]Analisys QBR By Machine Report'!$C$109:$BD$166,51,FALSE)</f>
        <v>1343</v>
      </c>
      <c r="BE32" s="10">
        <f ca="1">VLOOKUP($B32,'[8]Analisys QBR By Machine Report'!$C$109:$BD$166,52,FALSE)</f>
        <v>0</v>
      </c>
      <c r="BF32" s="10">
        <f ca="1">VLOOKUP($B32,'[8]Analisys QBR By Machine Report'!$C$109:$BD$166,53,FALSE)</f>
        <v>1343</v>
      </c>
    </row>
    <row r="33" spans="1:58" x14ac:dyDescent="0.25">
      <c r="A33" s="12" t="s">
        <v>89</v>
      </c>
      <c r="B33" s="13">
        <f ca="1">VLOOKUP($B33,'[8]Analisys QBR By Machine Report'!$C$109:$BD$166,2,FALSE)</f>
        <v>28800</v>
      </c>
      <c r="C33" s="14">
        <f ca="1">VLOOKUP($B33,[8]Dasboard_QBR_Report!$B$109:$BL$166,3,FALSE)</f>
        <v>18600</v>
      </c>
      <c r="D33" s="13">
        <f ca="1">VLOOKUP($B33,'[8]Analisys QBR By Machine Report'!$C$109:$BD$166,3,FALSE)</f>
        <v>11370</v>
      </c>
      <c r="E33" s="14">
        <f ca="1">VLOOKUP($B33,[8]Dasboard_QBR_Report!$B$109:$BL$166,5,FALSE)</f>
        <v>1170</v>
      </c>
      <c r="F33" s="13">
        <f t="shared" ca="1" si="0"/>
        <v>17430</v>
      </c>
      <c r="G33" s="13">
        <f t="shared" ca="1" si="1"/>
        <v>1741</v>
      </c>
      <c r="H33" s="13">
        <f ca="1">VLOOKUP($B33,'[8]Analisys QBR By Machine Report'!$C$109:$BD$166,4,FALSE)</f>
        <v>1741</v>
      </c>
      <c r="I33" s="13">
        <f ca="1">VLOOKUP($B33,'[8]Analisys QBR By Machine Report'!$C$109:$BD$166,5,FALSE)</f>
        <v>823</v>
      </c>
      <c r="J33" s="13">
        <f ca="1">VLOOKUP($B33,'[8]Analisys QBR By Machine Report'!$C$109:$BD$166,6,FALSE)</f>
        <v>918</v>
      </c>
      <c r="K33" s="13">
        <f ca="1">VLOOKUP($B33,'[8]Analisys QBR By Machine Report'!$C$109:$BD$166,7,FALSE)</f>
        <v>0</v>
      </c>
      <c r="L33" s="13">
        <f ca="1">VLOOKUP($B33,'[8]Analisys QBR By Machine Report'!$C$109:$BD$166,8,FALSE)</f>
        <v>15689</v>
      </c>
      <c r="M33" s="13">
        <f ca="1">VLOOKUP($B33,'[8]Analisys QBR By Machine Report'!$C$109:$BD$166,9,FALSE)</f>
        <v>6670</v>
      </c>
      <c r="N33" s="13">
        <f ca="1">VLOOKUP($B33,[8]Dasboard_QBR_Report!$B$109:$BL$166,18,FALSE)</f>
        <v>9019</v>
      </c>
      <c r="O33" s="13">
        <f ca="1">VLOOKUP($B33,'[8]Analisys QBR By Machine Report'!$C$109:$BD$166,10,FALSE)</f>
        <v>269</v>
      </c>
      <c r="P33" s="13">
        <f ca="1">VLOOKUP($B33,'[8]Analisys QBR By Machine Report'!$C$109:$BD$166,11,FALSE)</f>
        <v>269</v>
      </c>
      <c r="Q33" s="13">
        <f ca="1">VLOOKUP($B33,'[8]Analisys QBR By Machine Report'!$C$109:$BD$166,12,FALSE)</f>
        <v>0</v>
      </c>
      <c r="R33" s="13">
        <f ca="1">VLOOKUP($B33,'[8]Analisys QBR By Machine Report'!$C$109:$BD$166,13,FALSE)</f>
        <v>0</v>
      </c>
      <c r="S33" s="13">
        <f ca="1">VLOOKUP($B33,'[8]Analisys QBR By Machine Report'!$C$109:$BD$166,14,FALSE)</f>
        <v>0</v>
      </c>
      <c r="T33" s="13">
        <f ca="1">VLOOKUP($B33,'[8]Analisys QBR By Machine Report'!$C$109:$BD$166,15,FALSE)</f>
        <v>0</v>
      </c>
      <c r="U33" s="13">
        <f ca="1">VLOOKUP($B33,'[8]Analisys QBR By Machine Report'!$C$109:$BD$166,16,FALSE)</f>
        <v>0</v>
      </c>
      <c r="V33" s="13">
        <f ca="1">VLOOKUP($B33,'[8]Analisys QBR By Machine Report'!$C$109:$BD$166,17,FALSE)</f>
        <v>0</v>
      </c>
      <c r="W33" s="13">
        <f ca="1">VLOOKUP($B33,'[8]Analisys QBR By Machine Report'!$C$109:$BD$166,18,FALSE)</f>
        <v>0</v>
      </c>
      <c r="X33" s="13">
        <f ca="1">VLOOKUP($B33,'[8]Analisys QBR By Machine Report'!$C$109:$BD$166,19,FALSE)</f>
        <v>0</v>
      </c>
      <c r="Y33" s="13">
        <f ca="1">VLOOKUP($B33,'[8]Analisys QBR By Machine Report'!$C$109:$BD$166,20,FALSE)</f>
        <v>0</v>
      </c>
      <c r="Z33" s="13">
        <f ca="1">VLOOKUP($B33,'[8]Analisys QBR By Machine Report'!$C$109:$BD$166,21,FALSE)</f>
        <v>1691</v>
      </c>
      <c r="AA33" s="13">
        <f ca="1">VLOOKUP($B33,'[8]Analisys QBR By Machine Report'!$C$109:$BD$166,22,FALSE)</f>
        <v>922</v>
      </c>
      <c r="AB33" s="13">
        <f ca="1">VLOOKUP($B33,'[8]Analisys QBR By Machine Report'!$C$109:$BD$166,23,FALSE)</f>
        <v>769</v>
      </c>
      <c r="AC33" s="13">
        <f ca="1">VLOOKUP($B33,'[8]Analisys QBR By Machine Report'!$C$109:$BD$166,24,FALSE)</f>
        <v>0</v>
      </c>
      <c r="AD33" s="13">
        <f ca="1">VLOOKUP($B33,'[8]Analisys QBR By Machine Report'!$C$109:$BD$166,25,FALSE)</f>
        <v>0</v>
      </c>
      <c r="AE33" s="13">
        <f ca="1">VLOOKUP($B33,'[8]Analisys QBR By Machine Report'!$C$109:$BD$166,26,FALSE)</f>
        <v>0</v>
      </c>
      <c r="AF33" s="13">
        <f ca="1">VLOOKUP($B33,'[8]Analisys QBR By Machine Report'!$C$109:$BD$166,27,FALSE)</f>
        <v>0</v>
      </c>
      <c r="AG33" s="13">
        <f ca="1">VLOOKUP($B33,'[8]Analisys QBR By Machine Report'!$C$109:$BD$166,28,FALSE)</f>
        <v>0</v>
      </c>
      <c r="AH33" s="13">
        <f ca="1">VLOOKUP($B33,'[8]Analisys QBR By Machine Report'!$C$109:$BD$166,29,FALSE)</f>
        <v>0</v>
      </c>
      <c r="AI33" s="13">
        <f ca="1">VLOOKUP($B33,'[8]Analisys QBR By Machine Report'!$C$109:$BD$166,30,FALSE)</f>
        <v>7059</v>
      </c>
      <c r="AJ33" s="13">
        <f ca="1">VLOOKUP($B33,'[8]Analisys QBR By Machine Report'!$C$109:$BD$166,31,FALSE)</f>
        <v>0</v>
      </c>
      <c r="AK33" s="13">
        <f ca="1">VLOOKUP($B33,'[8]Analisys QBR By Machine Report'!$C$109:$BD$166,32,FALSE)</f>
        <v>0</v>
      </c>
      <c r="AL33" s="13">
        <f ca="1">VLOOKUP($B33,'[8]Analisys QBR By Machine Report'!$C$109:$BD$166,33,FALSE)</f>
        <v>132</v>
      </c>
      <c r="AM33" s="13">
        <f ca="1">VLOOKUP($B33,'[8]Analisys QBR By Machine Report'!$C$109:$BD$166,34,FALSE)</f>
        <v>0</v>
      </c>
      <c r="AN33" s="13">
        <f ca="1">VLOOKUP($B33,'[8]Analisys QBR By Machine Report'!$C$109:$BD$166,35,FALSE)</f>
        <v>115</v>
      </c>
      <c r="AO33" s="13">
        <f ca="1">VLOOKUP($B33,'[8]Analisys QBR By Machine Report'!$C$109:$BD$166,36,FALSE)</f>
        <v>0</v>
      </c>
      <c r="AP33" s="13">
        <f ca="1">VLOOKUP($B33,'[8]Analisys QBR By Machine Report'!$C$109:$BD$166,37,FALSE)</f>
        <v>5</v>
      </c>
      <c r="AQ33" s="13">
        <f ca="1">VLOOKUP($B33,'[8]Analisys QBR By Machine Report'!$C$109:$BD$166,38,FALSE)</f>
        <v>0</v>
      </c>
      <c r="AR33" s="13">
        <f ca="1">VLOOKUP($B33,'[8]Analisys QBR By Machine Report'!$C$109:$BD$166,39,FALSE)</f>
        <v>6769</v>
      </c>
      <c r="AS33" s="13">
        <f ca="1">VLOOKUP($B33,'[8]Analisys QBR By Machine Report'!$C$109:$BD$166,40,FALSE)</f>
        <v>38</v>
      </c>
      <c r="AT33" s="13">
        <f ca="1">VLOOKUP($B33,'[8]Analisys QBR By Machine Report'!$C$109:$BD$166,41,FALSE)</f>
        <v>0</v>
      </c>
      <c r="AU33" s="13">
        <f ca="1">VLOOKUP($B33,'[8]Analisys QBR By Machine Report'!$C$109:$BD$166,42,FALSE)</f>
        <v>0</v>
      </c>
      <c r="AV33" s="13">
        <f ca="1">VLOOKUP($B33,'[8]Analisys QBR By Machine Report'!$C$109:$BD$166,43,FALSE)</f>
        <v>0</v>
      </c>
      <c r="AW33" s="13">
        <f ca="1">VLOOKUP($B33,'[8]Analisys QBR By Machine Report'!$C$109:$BD$166,44,FALSE)</f>
        <v>0</v>
      </c>
      <c r="AX33" s="13">
        <f ca="1">VLOOKUP($B33,'[8]Analisys QBR By Machine Report'!$C$109:$BD$166,45,FALSE)</f>
        <v>0</v>
      </c>
      <c r="AY33" s="13">
        <f ca="1">VLOOKUP($B33,'[8]Analisys QBR By Machine Report'!$C$109:$BD$166,46,FALSE)</f>
        <v>0</v>
      </c>
      <c r="AZ33" s="13">
        <f ca="1">VLOOKUP($B33,'[8]Analisys QBR By Machine Report'!$C$109:$BD$166,47,FALSE)</f>
        <v>0</v>
      </c>
      <c r="BA33" s="13">
        <f ca="1">VLOOKUP($B33,'[8]Analisys QBR By Machine Report'!$C$109:$BD$166,48,FALSE)</f>
        <v>0</v>
      </c>
      <c r="BB33" s="13">
        <f ca="1">VLOOKUP($B33,'[8]Analisys QBR By Machine Report'!$C$109:$BD$166,49,FALSE)</f>
        <v>0</v>
      </c>
      <c r="BC33" s="13">
        <f ca="1">VLOOKUP($B33,'[8]Analisys QBR By Machine Report'!$C$109:$BD$166,50,FALSE)</f>
        <v>0</v>
      </c>
      <c r="BD33" s="13">
        <f ca="1">VLOOKUP($B33,'[8]Analisys QBR By Machine Report'!$C$109:$BD$166,51,FALSE)</f>
        <v>665</v>
      </c>
      <c r="BE33" s="13">
        <f ca="1">VLOOKUP($B33,'[8]Analisys QBR By Machine Report'!$C$109:$BD$166,52,FALSE)</f>
        <v>0</v>
      </c>
      <c r="BF33" s="13">
        <f ca="1">VLOOKUP($B33,'[8]Analisys QBR By Machine Report'!$C$109:$BD$166,53,FALSE)</f>
        <v>665</v>
      </c>
    </row>
    <row r="34" spans="1:58" x14ac:dyDescent="0.25">
      <c r="A34" s="12" t="s">
        <v>90</v>
      </c>
      <c r="B34" s="13">
        <f ca="1">VLOOKUP($B34,'[8]Analisys QBR By Machine Report'!$C$109:$BD$166,2,FALSE)</f>
        <v>28800</v>
      </c>
      <c r="C34" s="14">
        <f ca="1">VLOOKUP($B34,[8]Dasboard_QBR_Report!$B$109:$BL$166,3,FALSE)</f>
        <v>18600</v>
      </c>
      <c r="D34" s="13">
        <f ca="1">VLOOKUP($B34,'[8]Analisys QBR By Machine Report'!$C$109:$BD$166,3,FALSE)</f>
        <v>11812</v>
      </c>
      <c r="E34" s="14">
        <f ca="1">VLOOKUP($B34,[8]Dasboard_QBR_Report!$B$109:$BL$166,5,FALSE)</f>
        <v>1612</v>
      </c>
      <c r="F34" s="13">
        <f t="shared" ca="1" si="0"/>
        <v>16988</v>
      </c>
      <c r="G34" s="13">
        <f t="shared" ca="1" si="1"/>
        <v>745</v>
      </c>
      <c r="H34" s="13">
        <f ca="1">VLOOKUP($B34,'[8]Analisys QBR By Machine Report'!$C$109:$BD$166,4,FALSE)</f>
        <v>745</v>
      </c>
      <c r="I34" s="13">
        <f ca="1">VLOOKUP($B34,'[8]Analisys QBR By Machine Report'!$C$109:$BD$166,5,FALSE)</f>
        <v>611</v>
      </c>
      <c r="J34" s="13">
        <f ca="1">VLOOKUP($B34,'[8]Analisys QBR By Machine Report'!$C$109:$BD$166,6,FALSE)</f>
        <v>134</v>
      </c>
      <c r="K34" s="13">
        <f ca="1">VLOOKUP($B34,'[8]Analisys QBR By Machine Report'!$C$109:$BD$166,7,FALSE)</f>
        <v>0</v>
      </c>
      <c r="L34" s="13">
        <f ca="1">VLOOKUP($B34,'[8]Analisys QBR By Machine Report'!$C$109:$BD$166,8,FALSE)</f>
        <v>16243</v>
      </c>
      <c r="M34" s="13">
        <f ca="1">VLOOKUP($B34,'[8]Analisys QBR By Machine Report'!$C$109:$BD$166,9,FALSE)</f>
        <v>9877</v>
      </c>
      <c r="N34" s="13">
        <f ca="1">VLOOKUP($B34,[8]Dasboard_QBR_Report!$B$109:$BL$166,18,FALSE)</f>
        <v>6366</v>
      </c>
      <c r="O34" s="13">
        <f ca="1">VLOOKUP($B34,'[8]Analisys QBR By Machine Report'!$C$109:$BD$166,10,FALSE)</f>
        <v>73</v>
      </c>
      <c r="P34" s="13">
        <f ca="1">VLOOKUP($B34,'[8]Analisys QBR By Machine Report'!$C$109:$BD$166,11,FALSE)</f>
        <v>73</v>
      </c>
      <c r="Q34" s="13">
        <f ca="1">VLOOKUP($B34,'[8]Analisys QBR By Machine Report'!$C$109:$BD$166,12,FALSE)</f>
        <v>0</v>
      </c>
      <c r="R34" s="13">
        <f ca="1">VLOOKUP($B34,'[8]Analisys QBR By Machine Report'!$C$109:$BD$166,13,FALSE)</f>
        <v>0</v>
      </c>
      <c r="S34" s="13">
        <f ca="1">VLOOKUP($B34,'[8]Analisys QBR By Machine Report'!$C$109:$BD$166,14,FALSE)</f>
        <v>0</v>
      </c>
      <c r="T34" s="13">
        <f ca="1">VLOOKUP($B34,'[8]Analisys QBR By Machine Report'!$C$109:$BD$166,15,FALSE)</f>
        <v>0</v>
      </c>
      <c r="U34" s="13">
        <f ca="1">VLOOKUP($B34,'[8]Analisys QBR By Machine Report'!$C$109:$BD$166,16,FALSE)</f>
        <v>0</v>
      </c>
      <c r="V34" s="13">
        <f ca="1">VLOOKUP($B34,'[8]Analisys QBR By Machine Report'!$C$109:$BD$166,17,FALSE)</f>
        <v>0</v>
      </c>
      <c r="W34" s="13">
        <f ca="1">VLOOKUP($B34,'[8]Analisys QBR By Machine Report'!$C$109:$BD$166,18,FALSE)</f>
        <v>0</v>
      </c>
      <c r="X34" s="13">
        <f ca="1">VLOOKUP($B34,'[8]Analisys QBR By Machine Report'!$C$109:$BD$166,19,FALSE)</f>
        <v>0</v>
      </c>
      <c r="Y34" s="13">
        <f ca="1">VLOOKUP($B34,'[8]Analisys QBR By Machine Report'!$C$109:$BD$166,20,FALSE)</f>
        <v>0</v>
      </c>
      <c r="Z34" s="13">
        <f ca="1">VLOOKUP($B34,'[8]Analisys QBR By Machine Report'!$C$109:$BD$166,21,FALSE)</f>
        <v>5431</v>
      </c>
      <c r="AA34" s="13">
        <f ca="1">VLOOKUP($B34,'[8]Analisys QBR By Machine Report'!$C$109:$BD$166,22,FALSE)</f>
        <v>5211</v>
      </c>
      <c r="AB34" s="13">
        <f ca="1">VLOOKUP($B34,'[8]Analisys QBR By Machine Report'!$C$109:$BD$166,23,FALSE)</f>
        <v>220</v>
      </c>
      <c r="AC34" s="13">
        <f ca="1">VLOOKUP($B34,'[8]Analisys QBR By Machine Report'!$C$109:$BD$166,24,FALSE)</f>
        <v>0</v>
      </c>
      <c r="AD34" s="13">
        <f ca="1">VLOOKUP($B34,'[8]Analisys QBR By Machine Report'!$C$109:$BD$166,25,FALSE)</f>
        <v>0</v>
      </c>
      <c r="AE34" s="13">
        <f ca="1">VLOOKUP($B34,'[8]Analisys QBR By Machine Report'!$C$109:$BD$166,26,FALSE)</f>
        <v>0</v>
      </c>
      <c r="AF34" s="13">
        <f ca="1">VLOOKUP($B34,'[8]Analisys QBR By Machine Report'!$C$109:$BD$166,27,FALSE)</f>
        <v>0</v>
      </c>
      <c r="AG34" s="13">
        <f ca="1">VLOOKUP($B34,'[8]Analisys QBR By Machine Report'!$C$109:$BD$166,28,FALSE)</f>
        <v>0</v>
      </c>
      <c r="AH34" s="13">
        <f ca="1">VLOOKUP($B34,'[8]Analisys QBR By Machine Report'!$C$109:$BD$166,29,FALSE)</f>
        <v>0</v>
      </c>
      <c r="AI34" s="13">
        <f ca="1">VLOOKUP($B34,'[8]Analisys QBR By Machine Report'!$C$109:$BD$166,30,FALSE)</f>
        <v>862</v>
      </c>
      <c r="AJ34" s="13">
        <f ca="1">VLOOKUP($B34,'[8]Analisys QBR By Machine Report'!$C$109:$BD$166,31,FALSE)</f>
        <v>0</v>
      </c>
      <c r="AK34" s="13">
        <f ca="1">VLOOKUP($B34,'[8]Analisys QBR By Machine Report'!$C$109:$BD$166,32,FALSE)</f>
        <v>0</v>
      </c>
      <c r="AL34" s="13">
        <f ca="1">VLOOKUP($B34,'[8]Analisys QBR By Machine Report'!$C$109:$BD$166,33,FALSE)</f>
        <v>388</v>
      </c>
      <c r="AM34" s="13">
        <f ca="1">VLOOKUP($B34,'[8]Analisys QBR By Machine Report'!$C$109:$BD$166,34,FALSE)</f>
        <v>0</v>
      </c>
      <c r="AN34" s="13">
        <f ca="1">VLOOKUP($B34,'[8]Analisys QBR By Machine Report'!$C$109:$BD$166,35,FALSE)</f>
        <v>210</v>
      </c>
      <c r="AO34" s="13">
        <f ca="1">VLOOKUP($B34,'[8]Analisys QBR By Machine Report'!$C$109:$BD$166,36,FALSE)</f>
        <v>0</v>
      </c>
      <c r="AP34" s="13">
        <f ca="1">VLOOKUP($B34,'[8]Analisys QBR By Machine Report'!$C$109:$BD$166,37,FALSE)</f>
        <v>5</v>
      </c>
      <c r="AQ34" s="13">
        <f ca="1">VLOOKUP($B34,'[8]Analisys QBR By Machine Report'!$C$109:$BD$166,38,FALSE)</f>
        <v>0</v>
      </c>
      <c r="AR34" s="13">
        <f ca="1">VLOOKUP($B34,'[8]Analisys QBR By Machine Report'!$C$109:$BD$166,39,FALSE)</f>
        <v>252</v>
      </c>
      <c r="AS34" s="13">
        <f ca="1">VLOOKUP($B34,'[8]Analisys QBR By Machine Report'!$C$109:$BD$166,40,FALSE)</f>
        <v>7</v>
      </c>
      <c r="AT34" s="13">
        <f ca="1">VLOOKUP($B34,'[8]Analisys QBR By Machine Report'!$C$109:$BD$166,41,FALSE)</f>
        <v>0</v>
      </c>
      <c r="AU34" s="13">
        <f ca="1">VLOOKUP($B34,'[8]Analisys QBR By Machine Report'!$C$109:$BD$166,42,FALSE)</f>
        <v>0</v>
      </c>
      <c r="AV34" s="13">
        <f ca="1">VLOOKUP($B34,'[8]Analisys QBR By Machine Report'!$C$109:$BD$166,43,FALSE)</f>
        <v>0</v>
      </c>
      <c r="AW34" s="13">
        <f ca="1">VLOOKUP($B34,'[8]Analisys QBR By Machine Report'!$C$109:$BD$166,44,FALSE)</f>
        <v>0</v>
      </c>
      <c r="AX34" s="13">
        <f ca="1">VLOOKUP($B34,'[8]Analisys QBR By Machine Report'!$C$109:$BD$166,45,FALSE)</f>
        <v>0</v>
      </c>
      <c r="AY34" s="13">
        <f ca="1">VLOOKUP($B34,'[8]Analisys QBR By Machine Report'!$C$109:$BD$166,46,FALSE)</f>
        <v>0</v>
      </c>
      <c r="AZ34" s="13">
        <f ca="1">VLOOKUP($B34,'[8]Analisys QBR By Machine Report'!$C$109:$BD$166,47,FALSE)</f>
        <v>0</v>
      </c>
      <c r="BA34" s="13">
        <f ca="1">VLOOKUP($B34,'[8]Analisys QBR By Machine Report'!$C$109:$BD$166,48,FALSE)</f>
        <v>0</v>
      </c>
      <c r="BB34" s="13">
        <f ca="1">VLOOKUP($B34,'[8]Analisys QBR By Machine Report'!$C$109:$BD$166,49,FALSE)</f>
        <v>0</v>
      </c>
      <c r="BC34" s="13">
        <f ca="1">VLOOKUP($B34,'[8]Analisys QBR By Machine Report'!$C$109:$BD$166,50,FALSE)</f>
        <v>0</v>
      </c>
      <c r="BD34" s="13">
        <f ca="1">VLOOKUP($B34,'[8]Analisys QBR By Machine Report'!$C$109:$BD$166,51,FALSE)</f>
        <v>652</v>
      </c>
      <c r="BE34" s="13">
        <f ca="1">VLOOKUP($B34,'[8]Analisys QBR By Machine Report'!$C$109:$BD$166,52,FALSE)</f>
        <v>0</v>
      </c>
      <c r="BF34" s="13">
        <f ca="1">VLOOKUP($B34,'[8]Analisys QBR By Machine Report'!$C$109:$BD$166,53,FALSE)</f>
        <v>652</v>
      </c>
    </row>
    <row r="35" spans="1:58" x14ac:dyDescent="0.25">
      <c r="A35" s="12" t="s">
        <v>91</v>
      </c>
      <c r="B35" s="13">
        <f ca="1">VLOOKUP($B35,'[8]Analisys QBR By Machine Report'!$C$109:$BD$166,2,FALSE)</f>
        <v>28800</v>
      </c>
      <c r="C35" s="14">
        <f ca="1">VLOOKUP($B35,[8]Dasboard_QBR_Report!$B$109:$BL$166,3,FALSE)</f>
        <v>18600</v>
      </c>
      <c r="D35" s="13">
        <f ca="1">VLOOKUP($B35,'[8]Analisys QBR By Machine Report'!$C$109:$BD$166,3,FALSE)</f>
        <v>20523</v>
      </c>
      <c r="E35" s="14">
        <f ca="1">VLOOKUP($B35,[8]Dasboard_QBR_Report!$B$109:$BL$166,5,FALSE)</f>
        <v>10323</v>
      </c>
      <c r="F35" s="13">
        <f t="shared" ca="1" si="0"/>
        <v>8277</v>
      </c>
      <c r="G35" s="13">
        <f t="shared" ca="1" si="1"/>
        <v>1318</v>
      </c>
      <c r="H35" s="13">
        <f ca="1">VLOOKUP($B35,'[8]Analisys QBR By Machine Report'!$C$109:$BD$166,4,FALSE)</f>
        <v>1318</v>
      </c>
      <c r="I35" s="13">
        <f ca="1">VLOOKUP($B35,'[8]Analisys QBR By Machine Report'!$C$109:$BD$166,5,FALSE)</f>
        <v>30</v>
      </c>
      <c r="J35" s="13">
        <f ca="1">VLOOKUP($B35,'[8]Analisys QBR By Machine Report'!$C$109:$BD$166,6,FALSE)</f>
        <v>1288</v>
      </c>
      <c r="K35" s="13">
        <f ca="1">VLOOKUP($B35,'[8]Analisys QBR By Machine Report'!$C$109:$BD$166,7,FALSE)</f>
        <v>0</v>
      </c>
      <c r="L35" s="13">
        <f ca="1">VLOOKUP($B35,'[8]Analisys QBR By Machine Report'!$C$109:$BD$166,8,FALSE)</f>
        <v>6959</v>
      </c>
      <c r="M35" s="13">
        <f ca="1">VLOOKUP($B35,'[8]Analisys QBR By Machine Report'!$C$109:$BD$166,9,FALSE)</f>
        <v>922</v>
      </c>
      <c r="N35" s="13">
        <f ca="1">VLOOKUP($B35,[8]Dasboard_QBR_Report!$B$109:$BL$166,18,FALSE)</f>
        <v>6037</v>
      </c>
      <c r="O35" s="13">
        <f ca="1">VLOOKUP($B35,'[8]Analisys QBR By Machine Report'!$C$109:$BD$166,10,FALSE)</f>
        <v>490</v>
      </c>
      <c r="P35" s="13">
        <f ca="1">VLOOKUP($B35,'[8]Analisys QBR By Machine Report'!$C$109:$BD$166,11,FALSE)</f>
        <v>490</v>
      </c>
      <c r="Q35" s="13">
        <f ca="1">VLOOKUP($B35,'[8]Analisys QBR By Machine Report'!$C$109:$BD$166,12,FALSE)</f>
        <v>0</v>
      </c>
      <c r="R35" s="13">
        <f ca="1">VLOOKUP($B35,'[8]Analisys QBR By Machine Report'!$C$109:$BD$166,13,FALSE)</f>
        <v>0</v>
      </c>
      <c r="S35" s="13">
        <f ca="1">VLOOKUP($B35,'[8]Analisys QBR By Machine Report'!$C$109:$BD$166,14,FALSE)</f>
        <v>0</v>
      </c>
      <c r="T35" s="13">
        <f ca="1">VLOOKUP($B35,'[8]Analisys QBR By Machine Report'!$C$109:$BD$166,15,FALSE)</f>
        <v>0</v>
      </c>
      <c r="U35" s="13">
        <f ca="1">VLOOKUP($B35,'[8]Analisys QBR By Machine Report'!$C$109:$BD$166,16,FALSE)</f>
        <v>0</v>
      </c>
      <c r="V35" s="13">
        <f ca="1">VLOOKUP($B35,'[8]Analisys QBR By Machine Report'!$C$109:$BD$166,17,FALSE)</f>
        <v>0</v>
      </c>
      <c r="W35" s="13">
        <f ca="1">VLOOKUP($B35,'[8]Analisys QBR By Machine Report'!$C$109:$BD$166,18,FALSE)</f>
        <v>0</v>
      </c>
      <c r="X35" s="13">
        <f ca="1">VLOOKUP($B35,'[8]Analisys QBR By Machine Report'!$C$109:$BD$166,19,FALSE)</f>
        <v>0</v>
      </c>
      <c r="Y35" s="13">
        <f ca="1">VLOOKUP($B35,'[8]Analisys QBR By Machine Report'!$C$109:$BD$166,20,FALSE)</f>
        <v>0</v>
      </c>
      <c r="Z35" s="13">
        <f ca="1">VLOOKUP($B35,'[8]Analisys QBR By Machine Report'!$C$109:$BD$166,21,FALSE)</f>
        <v>1726</v>
      </c>
      <c r="AA35" s="13">
        <f ca="1">VLOOKUP($B35,'[8]Analisys QBR By Machine Report'!$C$109:$BD$166,22,FALSE)</f>
        <v>1071</v>
      </c>
      <c r="AB35" s="13">
        <f ca="1">VLOOKUP($B35,'[8]Analisys QBR By Machine Report'!$C$109:$BD$166,23,FALSE)</f>
        <v>385</v>
      </c>
      <c r="AC35" s="13">
        <f ca="1">VLOOKUP($B35,'[8]Analisys QBR By Machine Report'!$C$109:$BD$166,24,FALSE)</f>
        <v>90</v>
      </c>
      <c r="AD35" s="13">
        <f ca="1">VLOOKUP($B35,'[8]Analisys QBR By Machine Report'!$C$109:$BD$166,25,FALSE)</f>
        <v>0</v>
      </c>
      <c r="AE35" s="13">
        <f ca="1">VLOOKUP($B35,'[8]Analisys QBR By Machine Report'!$C$109:$BD$166,26,FALSE)</f>
        <v>180</v>
      </c>
      <c r="AF35" s="13">
        <f ca="1">VLOOKUP($B35,'[8]Analisys QBR By Machine Report'!$C$109:$BD$166,27,FALSE)</f>
        <v>0</v>
      </c>
      <c r="AG35" s="13">
        <f ca="1">VLOOKUP($B35,'[8]Analisys QBR By Machine Report'!$C$109:$BD$166,28,FALSE)</f>
        <v>0</v>
      </c>
      <c r="AH35" s="13">
        <f ca="1">VLOOKUP($B35,'[8]Analisys QBR By Machine Report'!$C$109:$BD$166,29,FALSE)</f>
        <v>0</v>
      </c>
      <c r="AI35" s="13">
        <f ca="1">VLOOKUP($B35,'[8]Analisys QBR By Machine Report'!$C$109:$BD$166,30,FALSE)</f>
        <v>3821</v>
      </c>
      <c r="AJ35" s="13">
        <f ca="1">VLOOKUP($B35,'[8]Analisys QBR By Machine Report'!$C$109:$BD$166,31,FALSE)</f>
        <v>0</v>
      </c>
      <c r="AK35" s="13">
        <f ca="1">VLOOKUP($B35,'[8]Analisys QBR By Machine Report'!$C$109:$BD$166,32,FALSE)</f>
        <v>0</v>
      </c>
      <c r="AL35" s="13">
        <f ca="1">VLOOKUP($B35,'[8]Analisys QBR By Machine Report'!$C$109:$BD$166,33,FALSE)</f>
        <v>240</v>
      </c>
      <c r="AM35" s="13">
        <f ca="1">VLOOKUP($B35,'[8]Analisys QBR By Machine Report'!$C$109:$BD$166,34,FALSE)</f>
        <v>60</v>
      </c>
      <c r="AN35" s="13">
        <f ca="1">VLOOKUP($B35,'[8]Analisys QBR By Machine Report'!$C$109:$BD$166,35,FALSE)</f>
        <v>215</v>
      </c>
      <c r="AO35" s="13">
        <f ca="1">VLOOKUP($B35,'[8]Analisys QBR By Machine Report'!$C$109:$BD$166,36,FALSE)</f>
        <v>1505</v>
      </c>
      <c r="AP35" s="13">
        <f ca="1">VLOOKUP($B35,'[8]Analisys QBR By Machine Report'!$C$109:$BD$166,37,FALSE)</f>
        <v>0</v>
      </c>
      <c r="AQ35" s="13">
        <f ca="1">VLOOKUP($B35,'[8]Analisys QBR By Machine Report'!$C$109:$BD$166,38,FALSE)</f>
        <v>0</v>
      </c>
      <c r="AR35" s="13">
        <f ca="1">VLOOKUP($B35,'[8]Analisys QBR By Machine Report'!$C$109:$BD$166,39,FALSE)</f>
        <v>1531</v>
      </c>
      <c r="AS35" s="13">
        <f ca="1">VLOOKUP($B35,'[8]Analisys QBR By Machine Report'!$C$109:$BD$166,40,FALSE)</f>
        <v>270</v>
      </c>
      <c r="AT35" s="13">
        <f ca="1">VLOOKUP($B35,'[8]Analisys QBR By Machine Report'!$C$109:$BD$166,41,FALSE)</f>
        <v>0</v>
      </c>
      <c r="AU35" s="13">
        <f ca="1">VLOOKUP($B35,'[8]Analisys QBR By Machine Report'!$C$109:$BD$166,42,FALSE)</f>
        <v>0</v>
      </c>
      <c r="AV35" s="13">
        <f ca="1">VLOOKUP($B35,'[8]Analisys QBR By Machine Report'!$C$109:$BD$166,43,FALSE)</f>
        <v>0</v>
      </c>
      <c r="AW35" s="13">
        <f ca="1">VLOOKUP($B35,'[8]Analisys QBR By Machine Report'!$C$109:$BD$166,44,FALSE)</f>
        <v>0</v>
      </c>
      <c r="AX35" s="13">
        <f ca="1">VLOOKUP($B35,'[8]Analisys QBR By Machine Report'!$C$109:$BD$166,45,FALSE)</f>
        <v>0</v>
      </c>
      <c r="AY35" s="13">
        <f ca="1">VLOOKUP($B35,'[8]Analisys QBR By Machine Report'!$C$109:$BD$166,46,FALSE)</f>
        <v>0</v>
      </c>
      <c r="AZ35" s="13">
        <f ca="1">VLOOKUP($B35,'[8]Analisys QBR By Machine Report'!$C$109:$BD$166,47,FALSE)</f>
        <v>0</v>
      </c>
      <c r="BA35" s="13">
        <f ca="1">VLOOKUP($B35,'[8]Analisys QBR By Machine Report'!$C$109:$BD$166,48,FALSE)</f>
        <v>0</v>
      </c>
      <c r="BB35" s="13">
        <f ca="1">VLOOKUP($B35,'[8]Analisys QBR By Machine Report'!$C$109:$BD$166,49,FALSE)</f>
        <v>0</v>
      </c>
      <c r="BC35" s="13">
        <f ca="1">VLOOKUP($B35,'[8]Analisys QBR By Machine Report'!$C$109:$BD$166,50,FALSE)</f>
        <v>0</v>
      </c>
      <c r="BD35" s="13">
        <f ca="1">VLOOKUP($B35,'[8]Analisys QBR By Machine Report'!$C$109:$BD$166,51,FALSE)</f>
        <v>26</v>
      </c>
      <c r="BE35" s="13">
        <f ca="1">VLOOKUP($B35,'[8]Analisys QBR By Machine Report'!$C$109:$BD$166,52,FALSE)</f>
        <v>0</v>
      </c>
      <c r="BF35" s="13">
        <f ca="1">VLOOKUP($B35,'[8]Analisys QBR By Machine Report'!$C$109:$BD$166,53,FALSE)</f>
        <v>26</v>
      </c>
    </row>
    <row r="36" spans="1:58" x14ac:dyDescent="0.25">
      <c r="A36" s="9" t="s">
        <v>92</v>
      </c>
      <c r="B36" s="10">
        <f ca="1">VLOOKUP($B36,'[8]Analisys QBR By Machine Report'!$C$109:$BD$166,2,FALSE)</f>
        <v>172800</v>
      </c>
      <c r="C36" s="11">
        <f ca="1">VLOOKUP($B36,[8]Dasboard_QBR_Report!$B$109:$BL$166,3,FALSE)</f>
        <v>66600</v>
      </c>
      <c r="D36" s="10">
        <f ca="1">VLOOKUP($B36,'[8]Analisys QBR By Machine Report'!$C$109:$BD$166,3,FALSE)</f>
        <v>124620</v>
      </c>
      <c r="E36" s="11">
        <f ca="1">VLOOKUP($B36,[8]Dasboard_QBR_Report!$B$109:$BL$166,5,FALSE)</f>
        <v>18420</v>
      </c>
      <c r="F36" s="10">
        <f t="shared" ca="1" si="0"/>
        <v>48180</v>
      </c>
      <c r="G36" s="10">
        <f t="shared" ca="1" si="1"/>
        <v>4945</v>
      </c>
      <c r="H36" s="10">
        <f ca="1">VLOOKUP($B36,'[8]Analisys QBR By Machine Report'!$C$109:$BD$166,4,FALSE)</f>
        <v>4945</v>
      </c>
      <c r="I36" s="10">
        <f ca="1">VLOOKUP($B36,'[8]Analisys QBR By Machine Report'!$C$109:$BD$166,5,FALSE)</f>
        <v>1380</v>
      </c>
      <c r="J36" s="10">
        <f ca="1">VLOOKUP($B36,'[8]Analisys QBR By Machine Report'!$C$109:$BD$166,6,FALSE)</f>
        <v>3565</v>
      </c>
      <c r="K36" s="10">
        <f ca="1">VLOOKUP($B36,'[8]Analisys QBR By Machine Report'!$C$109:$BD$166,7,FALSE)</f>
        <v>0</v>
      </c>
      <c r="L36" s="10">
        <f ca="1">VLOOKUP($B36,'[8]Analisys QBR By Machine Report'!$C$109:$BD$166,8,FALSE)</f>
        <v>43235</v>
      </c>
      <c r="M36" s="10">
        <f ca="1">VLOOKUP($B36,'[8]Analisys QBR By Machine Report'!$C$109:$BD$166,9,FALSE)</f>
        <v>26473</v>
      </c>
      <c r="N36" s="10">
        <f ca="1">VLOOKUP($B36,[8]Dasboard_QBR_Report!$B$109:$BL$166,18,FALSE)</f>
        <v>16762</v>
      </c>
      <c r="O36" s="10">
        <f ca="1">VLOOKUP($B36,'[8]Analisys QBR By Machine Report'!$C$109:$BD$166,10,FALSE)</f>
        <v>3187</v>
      </c>
      <c r="P36" s="10">
        <f ca="1">VLOOKUP($B36,'[8]Analisys QBR By Machine Report'!$C$109:$BD$166,11,FALSE)</f>
        <v>2180</v>
      </c>
      <c r="Q36" s="10">
        <f ca="1">VLOOKUP($B36,'[8]Analisys QBR By Machine Report'!$C$109:$BD$166,12,FALSE)</f>
        <v>190</v>
      </c>
      <c r="R36" s="10">
        <f ca="1">VLOOKUP($B36,'[8]Analisys QBR By Machine Report'!$C$109:$BD$166,13,FALSE)</f>
        <v>147</v>
      </c>
      <c r="S36" s="10">
        <f ca="1">VLOOKUP($B36,'[8]Analisys QBR By Machine Report'!$C$109:$BD$166,14,FALSE)</f>
        <v>670</v>
      </c>
      <c r="T36" s="10">
        <f ca="1">VLOOKUP($B36,'[8]Analisys QBR By Machine Report'!$C$109:$BD$166,15,FALSE)</f>
        <v>527</v>
      </c>
      <c r="U36" s="10">
        <f ca="1">VLOOKUP($B36,'[8]Analisys QBR By Machine Report'!$C$109:$BD$166,16,FALSE)</f>
        <v>125</v>
      </c>
      <c r="V36" s="10">
        <f ca="1">VLOOKUP($B36,'[8]Analisys QBR By Machine Report'!$C$109:$BD$166,17,FALSE)</f>
        <v>402</v>
      </c>
      <c r="W36" s="10">
        <f ca="1">VLOOKUP($B36,'[8]Analisys QBR By Machine Report'!$C$109:$BD$166,18,FALSE)</f>
        <v>0</v>
      </c>
      <c r="X36" s="10">
        <f ca="1">VLOOKUP($B36,'[8]Analisys QBR By Machine Report'!$C$109:$BD$166,19,FALSE)</f>
        <v>0</v>
      </c>
      <c r="Y36" s="10">
        <f ca="1">VLOOKUP($B36,'[8]Analisys QBR By Machine Report'!$C$109:$BD$166,20,FALSE)</f>
        <v>0</v>
      </c>
      <c r="Z36" s="10">
        <f ca="1">VLOOKUP($B36,'[8]Analisys QBR By Machine Report'!$C$109:$BD$166,21,FALSE)</f>
        <v>4030</v>
      </c>
      <c r="AA36" s="10">
        <f ca="1">VLOOKUP($B36,'[8]Analisys QBR By Machine Report'!$C$109:$BD$166,22,FALSE)</f>
        <v>1745</v>
      </c>
      <c r="AB36" s="10">
        <f ca="1">VLOOKUP($B36,'[8]Analisys QBR By Machine Report'!$C$109:$BD$166,23,FALSE)</f>
        <v>1920</v>
      </c>
      <c r="AC36" s="10">
        <f ca="1">VLOOKUP($B36,'[8]Analisys QBR By Machine Report'!$C$109:$BD$166,24,FALSE)</f>
        <v>0</v>
      </c>
      <c r="AD36" s="10">
        <f ca="1">VLOOKUP($B36,'[8]Analisys QBR By Machine Report'!$C$109:$BD$166,25,FALSE)</f>
        <v>0</v>
      </c>
      <c r="AE36" s="10">
        <f ca="1">VLOOKUP($B36,'[8]Analisys QBR By Machine Report'!$C$109:$BD$166,26,FALSE)</f>
        <v>365</v>
      </c>
      <c r="AF36" s="10">
        <f ca="1">VLOOKUP($B36,'[8]Analisys QBR By Machine Report'!$C$109:$BD$166,27,FALSE)</f>
        <v>0</v>
      </c>
      <c r="AG36" s="10">
        <f ca="1">VLOOKUP($B36,'[8]Analisys QBR By Machine Report'!$C$109:$BD$166,28,FALSE)</f>
        <v>0</v>
      </c>
      <c r="AH36" s="10">
        <f ca="1">VLOOKUP($B36,'[8]Analisys QBR By Machine Report'!$C$109:$BD$166,29,FALSE)</f>
        <v>0</v>
      </c>
      <c r="AI36" s="10">
        <f ca="1">VLOOKUP($B36,'[8]Analisys QBR By Machine Report'!$C$109:$BD$166,30,FALSE)</f>
        <v>9018</v>
      </c>
      <c r="AJ36" s="10">
        <f ca="1">VLOOKUP($B36,'[8]Analisys QBR By Machine Report'!$C$109:$BD$166,31,FALSE)</f>
        <v>0</v>
      </c>
      <c r="AK36" s="10">
        <f ca="1">VLOOKUP($B36,'[8]Analisys QBR By Machine Report'!$C$109:$BD$166,32,FALSE)</f>
        <v>90</v>
      </c>
      <c r="AL36" s="10">
        <f ca="1">VLOOKUP($B36,'[8]Analisys QBR By Machine Report'!$C$109:$BD$166,33,FALSE)</f>
        <v>2690</v>
      </c>
      <c r="AM36" s="10">
        <f ca="1">VLOOKUP($B36,'[8]Analisys QBR By Machine Report'!$C$109:$BD$166,34,FALSE)</f>
        <v>0</v>
      </c>
      <c r="AN36" s="10">
        <f ca="1">VLOOKUP($B36,'[8]Analisys QBR By Machine Report'!$C$109:$BD$166,35,FALSE)</f>
        <v>1620</v>
      </c>
      <c r="AO36" s="10">
        <f ca="1">VLOOKUP($B36,'[8]Analisys QBR By Machine Report'!$C$109:$BD$166,36,FALSE)</f>
        <v>270</v>
      </c>
      <c r="AP36" s="10">
        <f ca="1">VLOOKUP($B36,'[8]Analisys QBR By Machine Report'!$C$109:$BD$166,37,FALSE)</f>
        <v>0</v>
      </c>
      <c r="AQ36" s="10">
        <f ca="1">VLOOKUP($B36,'[8]Analisys QBR By Machine Report'!$C$109:$BD$166,38,FALSE)</f>
        <v>0</v>
      </c>
      <c r="AR36" s="10">
        <f ca="1">VLOOKUP($B36,'[8]Analisys QBR By Machine Report'!$C$109:$BD$166,39,FALSE)</f>
        <v>1885</v>
      </c>
      <c r="AS36" s="10">
        <f ca="1">VLOOKUP($B36,'[8]Analisys QBR By Machine Report'!$C$109:$BD$166,40,FALSE)</f>
        <v>852</v>
      </c>
      <c r="AT36" s="10">
        <f ca="1">VLOOKUP($B36,'[8]Analisys QBR By Machine Report'!$C$109:$BD$166,41,FALSE)</f>
        <v>0</v>
      </c>
      <c r="AU36" s="10">
        <f ca="1">VLOOKUP($B36,'[8]Analisys QBR By Machine Report'!$C$109:$BD$166,42,FALSE)</f>
        <v>0</v>
      </c>
      <c r="AV36" s="10">
        <f ca="1">VLOOKUP($B36,'[8]Analisys QBR By Machine Report'!$C$109:$BD$166,43,FALSE)</f>
        <v>0</v>
      </c>
      <c r="AW36" s="10">
        <f ca="1">VLOOKUP($B36,'[8]Analisys QBR By Machine Report'!$C$109:$BD$166,44,FALSE)</f>
        <v>0</v>
      </c>
      <c r="AX36" s="10">
        <f ca="1">VLOOKUP($B36,'[8]Analisys QBR By Machine Report'!$C$109:$BD$166,45,FALSE)</f>
        <v>0</v>
      </c>
      <c r="AY36" s="10">
        <f ca="1">VLOOKUP($B36,'[8]Analisys QBR By Machine Report'!$C$109:$BD$166,46,FALSE)</f>
        <v>0</v>
      </c>
      <c r="AZ36" s="10">
        <f ca="1">VLOOKUP($B36,'[8]Analisys QBR By Machine Report'!$C$109:$BD$166,47,FALSE)</f>
        <v>1611</v>
      </c>
      <c r="BA36" s="10">
        <f ca="1">VLOOKUP($B36,'[8]Analisys QBR By Machine Report'!$C$109:$BD$166,48,FALSE)</f>
        <v>0</v>
      </c>
      <c r="BB36" s="10">
        <f ca="1">VLOOKUP($B36,'[8]Analisys QBR By Machine Report'!$C$109:$BD$166,49,FALSE)</f>
        <v>0</v>
      </c>
      <c r="BC36" s="10">
        <f ca="1">VLOOKUP($B36,'[8]Analisys QBR By Machine Report'!$C$109:$BD$166,50,FALSE)</f>
        <v>0</v>
      </c>
      <c r="BD36" s="10">
        <f ca="1">VLOOKUP($B36,'[8]Analisys QBR By Machine Report'!$C$109:$BD$166,51,FALSE)</f>
        <v>1383080</v>
      </c>
      <c r="BE36" s="10">
        <f ca="1">VLOOKUP($B36,'[8]Analisys QBR By Machine Report'!$C$109:$BD$166,52,FALSE)</f>
        <v>52</v>
      </c>
      <c r="BF36" s="10">
        <f ca="1">VLOOKUP($B36,'[8]Analisys QBR By Machine Report'!$C$109:$BD$166,53,FALSE)</f>
        <v>1383028</v>
      </c>
    </row>
    <row r="37" spans="1:58" x14ac:dyDescent="0.25">
      <c r="A37" s="12" t="s">
        <v>93</v>
      </c>
      <c r="B37" s="13">
        <f ca="1">VLOOKUP($B37,'[8]Analisys QBR By Machine Report'!$C$109:$BD$166,2,FALSE)</f>
        <v>28800</v>
      </c>
      <c r="C37" s="14">
        <f ca="1">VLOOKUP($B37,[8]Dasboard_QBR_Report!$B$109:$BL$166,3,FALSE)</f>
        <v>9600</v>
      </c>
      <c r="D37" s="13">
        <f ca="1">VLOOKUP($B37,'[8]Analisys QBR By Machine Report'!$C$109:$BD$166,3,FALSE)</f>
        <v>13470</v>
      </c>
      <c r="E37" s="14">
        <f ca="1">VLOOKUP($B37,[8]Dasboard_QBR_Report!$B$109:$BL$166,5,FALSE)</f>
        <v>-5730</v>
      </c>
      <c r="F37" s="13">
        <f t="shared" ca="1" si="0"/>
        <v>15330</v>
      </c>
      <c r="G37" s="13">
        <f t="shared" ca="1" si="1"/>
        <v>825</v>
      </c>
      <c r="H37" s="13">
        <f ca="1">VLOOKUP($B37,'[8]Analisys QBR By Machine Report'!$C$109:$BD$166,4,FALSE)</f>
        <v>825</v>
      </c>
      <c r="I37" s="13">
        <f ca="1">VLOOKUP($B37,'[8]Analisys QBR By Machine Report'!$C$109:$BD$166,5,FALSE)</f>
        <v>525</v>
      </c>
      <c r="J37" s="13">
        <f ca="1">VLOOKUP($B37,'[8]Analisys QBR By Machine Report'!$C$109:$BD$166,6,FALSE)</f>
        <v>300</v>
      </c>
      <c r="K37" s="13">
        <f ca="1">VLOOKUP($B37,'[8]Analisys QBR By Machine Report'!$C$109:$BD$166,7,FALSE)</f>
        <v>0</v>
      </c>
      <c r="L37" s="13">
        <f ca="1">VLOOKUP($B37,'[8]Analisys QBR By Machine Report'!$C$109:$BD$166,8,FALSE)</f>
        <v>14505</v>
      </c>
      <c r="M37" s="13">
        <f ca="1">VLOOKUP($B37,'[8]Analisys QBR By Machine Report'!$C$109:$BD$166,9,FALSE)</f>
        <v>10706</v>
      </c>
      <c r="N37" s="13">
        <f ca="1">VLOOKUP($B37,[8]Dasboard_QBR_Report!$B$109:$BL$166,18,FALSE)</f>
        <v>3799</v>
      </c>
      <c r="O37" s="13">
        <f ca="1">VLOOKUP($B37,'[8]Analisys QBR By Machine Report'!$C$109:$BD$166,10,FALSE)</f>
        <v>399</v>
      </c>
      <c r="P37" s="13">
        <f ca="1">VLOOKUP($B37,'[8]Analisys QBR By Machine Report'!$C$109:$BD$166,11,FALSE)</f>
        <v>364</v>
      </c>
      <c r="Q37" s="13">
        <f ca="1">VLOOKUP($B37,'[8]Analisys QBR By Machine Report'!$C$109:$BD$166,12,FALSE)</f>
        <v>5</v>
      </c>
      <c r="R37" s="13">
        <f ca="1">VLOOKUP($B37,'[8]Analisys QBR By Machine Report'!$C$109:$BD$166,13,FALSE)</f>
        <v>30</v>
      </c>
      <c r="S37" s="13">
        <f ca="1">VLOOKUP($B37,'[8]Analisys QBR By Machine Report'!$C$109:$BD$166,14,FALSE)</f>
        <v>0</v>
      </c>
      <c r="T37" s="13">
        <f ca="1">VLOOKUP($B37,'[8]Analisys QBR By Machine Report'!$C$109:$BD$166,15,FALSE)</f>
        <v>0</v>
      </c>
      <c r="U37" s="13">
        <f ca="1">VLOOKUP($B37,'[8]Analisys QBR By Machine Report'!$C$109:$BD$166,16,FALSE)</f>
        <v>0</v>
      </c>
      <c r="V37" s="13">
        <f ca="1">VLOOKUP($B37,'[8]Analisys QBR By Machine Report'!$C$109:$BD$166,17,FALSE)</f>
        <v>0</v>
      </c>
      <c r="W37" s="13">
        <f ca="1">VLOOKUP($B37,'[8]Analisys QBR By Machine Report'!$C$109:$BD$166,18,FALSE)</f>
        <v>0</v>
      </c>
      <c r="X37" s="13">
        <f ca="1">VLOOKUP($B37,'[8]Analisys QBR By Machine Report'!$C$109:$BD$166,19,FALSE)</f>
        <v>0</v>
      </c>
      <c r="Y37" s="13">
        <f ca="1">VLOOKUP($B37,'[8]Analisys QBR By Machine Report'!$C$109:$BD$166,20,FALSE)</f>
        <v>0</v>
      </c>
      <c r="Z37" s="13">
        <f ca="1">VLOOKUP($B37,'[8]Analisys QBR By Machine Report'!$C$109:$BD$166,21,FALSE)</f>
        <v>993</v>
      </c>
      <c r="AA37" s="13">
        <f ca="1">VLOOKUP($B37,'[8]Analisys QBR By Machine Report'!$C$109:$BD$166,22,FALSE)</f>
        <v>338</v>
      </c>
      <c r="AB37" s="13">
        <f ca="1">VLOOKUP($B37,'[8]Analisys QBR By Machine Report'!$C$109:$BD$166,23,FALSE)</f>
        <v>640</v>
      </c>
      <c r="AC37" s="13">
        <f ca="1">VLOOKUP($B37,'[8]Analisys QBR By Machine Report'!$C$109:$BD$166,24,FALSE)</f>
        <v>0</v>
      </c>
      <c r="AD37" s="13">
        <f ca="1">VLOOKUP($B37,'[8]Analisys QBR By Machine Report'!$C$109:$BD$166,25,FALSE)</f>
        <v>0</v>
      </c>
      <c r="AE37" s="13">
        <f ca="1">VLOOKUP($B37,'[8]Analisys QBR By Machine Report'!$C$109:$BD$166,26,FALSE)</f>
        <v>15</v>
      </c>
      <c r="AF37" s="13">
        <f ca="1">VLOOKUP($B37,'[8]Analisys QBR By Machine Report'!$C$109:$BD$166,27,FALSE)</f>
        <v>0</v>
      </c>
      <c r="AG37" s="13">
        <f ca="1">VLOOKUP($B37,'[8]Analisys QBR By Machine Report'!$C$109:$BD$166,28,FALSE)</f>
        <v>0</v>
      </c>
      <c r="AH37" s="13">
        <f ca="1">VLOOKUP($B37,'[8]Analisys QBR By Machine Report'!$C$109:$BD$166,29,FALSE)</f>
        <v>0</v>
      </c>
      <c r="AI37" s="13">
        <f ca="1">VLOOKUP($B37,'[8]Analisys QBR By Machine Report'!$C$109:$BD$166,30,FALSE)</f>
        <v>2407</v>
      </c>
      <c r="AJ37" s="13">
        <f ca="1">VLOOKUP($B37,'[8]Analisys QBR By Machine Report'!$C$109:$BD$166,31,FALSE)</f>
        <v>0</v>
      </c>
      <c r="AK37" s="13">
        <f ca="1">VLOOKUP($B37,'[8]Analisys QBR By Machine Report'!$C$109:$BD$166,32,FALSE)</f>
        <v>0</v>
      </c>
      <c r="AL37" s="13">
        <f ca="1">VLOOKUP($B37,'[8]Analisys QBR By Machine Report'!$C$109:$BD$166,33,FALSE)</f>
        <v>915</v>
      </c>
      <c r="AM37" s="13">
        <f ca="1">VLOOKUP($B37,'[8]Analisys QBR By Machine Report'!$C$109:$BD$166,34,FALSE)</f>
        <v>0</v>
      </c>
      <c r="AN37" s="13">
        <f ca="1">VLOOKUP($B37,'[8]Analisys QBR By Machine Report'!$C$109:$BD$166,35,FALSE)</f>
        <v>600</v>
      </c>
      <c r="AO37" s="13">
        <f ca="1">VLOOKUP($B37,'[8]Analisys QBR By Machine Report'!$C$109:$BD$166,36,FALSE)</f>
        <v>0</v>
      </c>
      <c r="AP37" s="13">
        <f ca="1">VLOOKUP($B37,'[8]Analisys QBR By Machine Report'!$C$109:$BD$166,37,FALSE)</f>
        <v>0</v>
      </c>
      <c r="AQ37" s="13">
        <f ca="1">VLOOKUP($B37,'[8]Analisys QBR By Machine Report'!$C$109:$BD$166,38,FALSE)</f>
        <v>0</v>
      </c>
      <c r="AR37" s="13">
        <f ca="1">VLOOKUP($B37,'[8]Analisys QBR By Machine Report'!$C$109:$BD$166,39,FALSE)</f>
        <v>0</v>
      </c>
      <c r="AS37" s="13">
        <f ca="1">VLOOKUP($B37,'[8]Analisys QBR By Machine Report'!$C$109:$BD$166,40,FALSE)</f>
        <v>268</v>
      </c>
      <c r="AT37" s="13">
        <f ca="1">VLOOKUP($B37,'[8]Analisys QBR By Machine Report'!$C$109:$BD$166,41,FALSE)</f>
        <v>0</v>
      </c>
      <c r="AU37" s="13">
        <f ca="1">VLOOKUP($B37,'[8]Analisys QBR By Machine Report'!$C$109:$BD$166,42,FALSE)</f>
        <v>0</v>
      </c>
      <c r="AV37" s="13">
        <f ca="1">VLOOKUP($B37,'[8]Analisys QBR By Machine Report'!$C$109:$BD$166,43,FALSE)</f>
        <v>0</v>
      </c>
      <c r="AW37" s="13">
        <f ca="1">VLOOKUP($B37,'[8]Analisys QBR By Machine Report'!$C$109:$BD$166,44,FALSE)</f>
        <v>0</v>
      </c>
      <c r="AX37" s="13">
        <f ca="1">VLOOKUP($B37,'[8]Analisys QBR By Machine Report'!$C$109:$BD$166,45,FALSE)</f>
        <v>0</v>
      </c>
      <c r="AY37" s="13">
        <f ca="1">VLOOKUP($B37,'[8]Analisys QBR By Machine Report'!$C$109:$BD$166,46,FALSE)</f>
        <v>0</v>
      </c>
      <c r="AZ37" s="13">
        <f ca="1">VLOOKUP($B37,'[8]Analisys QBR By Machine Report'!$C$109:$BD$166,47,FALSE)</f>
        <v>624</v>
      </c>
      <c r="BA37" s="13">
        <f ca="1">VLOOKUP($B37,'[8]Analisys QBR By Machine Report'!$C$109:$BD$166,48,FALSE)</f>
        <v>0</v>
      </c>
      <c r="BB37" s="13">
        <f ca="1">VLOOKUP($B37,'[8]Analisys QBR By Machine Report'!$C$109:$BD$166,49,FALSE)</f>
        <v>0</v>
      </c>
      <c r="BC37" s="13">
        <f ca="1">VLOOKUP($B37,'[8]Analisys QBR By Machine Report'!$C$109:$BD$166,50,FALSE)</f>
        <v>0</v>
      </c>
      <c r="BD37" s="13">
        <f ca="1">VLOOKUP($B37,'[8]Analisys QBR By Machine Report'!$C$109:$BD$166,51,FALSE)</f>
        <v>411553</v>
      </c>
      <c r="BE37" s="13">
        <f ca="1">VLOOKUP($B37,'[8]Analisys QBR By Machine Report'!$C$109:$BD$166,52,FALSE)</f>
        <v>4</v>
      </c>
      <c r="BF37" s="13">
        <f ca="1">VLOOKUP($B37,'[8]Analisys QBR By Machine Report'!$C$109:$BD$166,53,FALSE)</f>
        <v>411549</v>
      </c>
    </row>
    <row r="38" spans="1:58" x14ac:dyDescent="0.25">
      <c r="A38" s="12" t="s">
        <v>94</v>
      </c>
      <c r="B38" s="13">
        <f ca="1">VLOOKUP($B38,'[8]Analisys QBR By Machine Report'!$C$109:$BD$166,2,FALSE)</f>
        <v>28800</v>
      </c>
      <c r="C38" s="14">
        <f ca="1">VLOOKUP($B38,[8]Dasboard_QBR_Report!$B$109:$BL$166,3,FALSE)</f>
        <v>9600</v>
      </c>
      <c r="D38" s="13">
        <f ca="1">VLOOKUP($B38,'[8]Analisys QBR By Machine Report'!$C$109:$BD$166,3,FALSE)</f>
        <v>28800</v>
      </c>
      <c r="E38" s="14">
        <f ca="1">VLOOKUP($B38,[8]Dasboard_QBR_Report!$B$109:$BL$166,5,FALSE)</f>
        <v>9600</v>
      </c>
      <c r="F38" s="13">
        <f t="shared" ca="1" si="0"/>
        <v>0</v>
      </c>
      <c r="G38" s="13">
        <f t="shared" ca="1" si="1"/>
        <v>0</v>
      </c>
      <c r="H38" s="13">
        <f ca="1">VLOOKUP($B38,'[8]Analisys QBR By Machine Report'!$C$109:$BD$166,4,FALSE)</f>
        <v>0</v>
      </c>
      <c r="I38" s="13">
        <f ca="1">VLOOKUP($B38,'[8]Analisys QBR By Machine Report'!$C$109:$BD$166,5,FALSE)</f>
        <v>0</v>
      </c>
      <c r="J38" s="13">
        <f ca="1">VLOOKUP($B38,'[8]Analisys QBR By Machine Report'!$C$109:$BD$166,6,FALSE)</f>
        <v>0</v>
      </c>
      <c r="K38" s="13">
        <f ca="1">VLOOKUP($B38,'[8]Analisys QBR By Machine Report'!$C$109:$BD$166,7,FALSE)</f>
        <v>0</v>
      </c>
      <c r="L38" s="13">
        <f ca="1">VLOOKUP($B38,'[8]Analisys QBR By Machine Report'!$C$109:$BD$166,8,FALSE)</f>
        <v>0</v>
      </c>
      <c r="M38" s="13">
        <f ca="1">VLOOKUP($B38,'[8]Analisys QBR By Machine Report'!$C$109:$BD$166,9,FALSE)</f>
        <v>0</v>
      </c>
      <c r="N38" s="13">
        <f ca="1">VLOOKUP($B38,[8]Dasboard_QBR_Report!$B$109:$BL$166,18,FALSE)</f>
        <v>0</v>
      </c>
      <c r="O38" s="13">
        <f ca="1">VLOOKUP($B38,'[8]Analisys QBR By Machine Report'!$C$109:$BD$166,10,FALSE)</f>
        <v>0</v>
      </c>
      <c r="P38" s="13">
        <f ca="1">VLOOKUP($B38,'[8]Analisys QBR By Machine Report'!$C$109:$BD$166,11,FALSE)</f>
        <v>0</v>
      </c>
      <c r="Q38" s="13">
        <f ca="1">VLOOKUP($B38,'[8]Analisys QBR By Machine Report'!$C$109:$BD$166,12,FALSE)</f>
        <v>0</v>
      </c>
      <c r="R38" s="13">
        <f ca="1">VLOOKUP($B38,'[8]Analisys QBR By Machine Report'!$C$109:$BD$166,13,FALSE)</f>
        <v>0</v>
      </c>
      <c r="S38" s="13">
        <f ca="1">VLOOKUP($B38,'[8]Analisys QBR By Machine Report'!$C$109:$BD$166,14,FALSE)</f>
        <v>0</v>
      </c>
      <c r="T38" s="13">
        <f ca="1">VLOOKUP($B38,'[8]Analisys QBR By Machine Report'!$C$109:$BD$166,15,FALSE)</f>
        <v>0</v>
      </c>
      <c r="U38" s="13">
        <f ca="1">VLOOKUP($B38,'[8]Analisys QBR By Machine Report'!$C$109:$BD$166,16,FALSE)</f>
        <v>0</v>
      </c>
      <c r="V38" s="13">
        <f ca="1">VLOOKUP($B38,'[8]Analisys QBR By Machine Report'!$C$109:$BD$166,17,FALSE)</f>
        <v>0</v>
      </c>
      <c r="W38" s="13">
        <f ca="1">VLOOKUP($B38,'[8]Analisys QBR By Machine Report'!$C$109:$BD$166,18,FALSE)</f>
        <v>0</v>
      </c>
      <c r="X38" s="13">
        <f ca="1">VLOOKUP($B38,'[8]Analisys QBR By Machine Report'!$C$109:$BD$166,19,FALSE)</f>
        <v>0</v>
      </c>
      <c r="Y38" s="13">
        <f ca="1">VLOOKUP($B38,'[8]Analisys QBR By Machine Report'!$C$109:$BD$166,20,FALSE)</f>
        <v>0</v>
      </c>
      <c r="Z38" s="13">
        <f ca="1">VLOOKUP($B38,'[8]Analisys QBR By Machine Report'!$C$109:$BD$166,21,FALSE)</f>
        <v>0</v>
      </c>
      <c r="AA38" s="13">
        <f ca="1">VLOOKUP($B38,'[8]Analisys QBR By Machine Report'!$C$109:$BD$166,22,FALSE)</f>
        <v>0</v>
      </c>
      <c r="AB38" s="13">
        <f ca="1">VLOOKUP($B38,'[8]Analisys QBR By Machine Report'!$C$109:$BD$166,23,FALSE)</f>
        <v>0</v>
      </c>
      <c r="AC38" s="13">
        <f ca="1">VLOOKUP($B38,'[8]Analisys QBR By Machine Report'!$C$109:$BD$166,24,FALSE)</f>
        <v>0</v>
      </c>
      <c r="AD38" s="13">
        <f ca="1">VLOOKUP($B38,'[8]Analisys QBR By Machine Report'!$C$109:$BD$166,25,FALSE)</f>
        <v>0</v>
      </c>
      <c r="AE38" s="13">
        <f ca="1">VLOOKUP($B38,'[8]Analisys QBR By Machine Report'!$C$109:$BD$166,26,FALSE)</f>
        <v>0</v>
      </c>
      <c r="AF38" s="13">
        <f ca="1">VLOOKUP($B38,'[8]Analisys QBR By Machine Report'!$C$109:$BD$166,27,FALSE)</f>
        <v>0</v>
      </c>
      <c r="AG38" s="13">
        <f ca="1">VLOOKUP($B38,'[8]Analisys QBR By Machine Report'!$C$109:$BD$166,28,FALSE)</f>
        <v>0</v>
      </c>
      <c r="AH38" s="13">
        <f ca="1">VLOOKUP($B38,'[8]Analisys QBR By Machine Report'!$C$109:$BD$166,29,FALSE)</f>
        <v>0</v>
      </c>
      <c r="AI38" s="13">
        <f ca="1">VLOOKUP($B38,'[8]Analisys QBR By Machine Report'!$C$109:$BD$166,30,FALSE)</f>
        <v>0</v>
      </c>
      <c r="AJ38" s="13">
        <f ca="1">VLOOKUP($B38,'[8]Analisys QBR By Machine Report'!$C$109:$BD$166,31,FALSE)</f>
        <v>0</v>
      </c>
      <c r="AK38" s="13">
        <f ca="1">VLOOKUP($B38,'[8]Analisys QBR By Machine Report'!$C$109:$BD$166,32,FALSE)</f>
        <v>0</v>
      </c>
      <c r="AL38" s="13">
        <f ca="1">VLOOKUP($B38,'[8]Analisys QBR By Machine Report'!$C$109:$BD$166,33,FALSE)</f>
        <v>0</v>
      </c>
      <c r="AM38" s="13">
        <f ca="1">VLOOKUP($B38,'[8]Analisys QBR By Machine Report'!$C$109:$BD$166,34,FALSE)</f>
        <v>0</v>
      </c>
      <c r="AN38" s="13">
        <f ca="1">VLOOKUP($B38,'[8]Analisys QBR By Machine Report'!$C$109:$BD$166,35,FALSE)</f>
        <v>0</v>
      </c>
      <c r="AO38" s="13">
        <f ca="1">VLOOKUP($B38,'[8]Analisys QBR By Machine Report'!$C$109:$BD$166,36,FALSE)</f>
        <v>0</v>
      </c>
      <c r="AP38" s="13">
        <f ca="1">VLOOKUP($B38,'[8]Analisys QBR By Machine Report'!$C$109:$BD$166,37,FALSE)</f>
        <v>0</v>
      </c>
      <c r="AQ38" s="13">
        <f ca="1">VLOOKUP($B38,'[8]Analisys QBR By Machine Report'!$C$109:$BD$166,38,FALSE)</f>
        <v>0</v>
      </c>
      <c r="AR38" s="13">
        <f ca="1">VLOOKUP($B38,'[8]Analisys QBR By Machine Report'!$C$109:$BD$166,39,FALSE)</f>
        <v>0</v>
      </c>
      <c r="AS38" s="13">
        <f ca="1">VLOOKUP($B38,'[8]Analisys QBR By Machine Report'!$C$109:$BD$166,40,FALSE)</f>
        <v>0</v>
      </c>
      <c r="AT38" s="13">
        <f ca="1">VLOOKUP($B38,'[8]Analisys QBR By Machine Report'!$C$109:$BD$166,41,FALSE)</f>
        <v>0</v>
      </c>
      <c r="AU38" s="13">
        <f ca="1">VLOOKUP($B38,'[8]Analisys QBR By Machine Report'!$C$109:$BD$166,42,FALSE)</f>
        <v>0</v>
      </c>
      <c r="AV38" s="13">
        <f ca="1">VLOOKUP($B38,'[8]Analisys QBR By Machine Report'!$C$109:$BD$166,43,FALSE)</f>
        <v>0</v>
      </c>
      <c r="AW38" s="13">
        <f ca="1">VLOOKUP($B38,'[8]Analisys QBR By Machine Report'!$C$109:$BD$166,44,FALSE)</f>
        <v>0</v>
      </c>
      <c r="AX38" s="13">
        <f ca="1">VLOOKUP($B38,'[8]Analisys QBR By Machine Report'!$C$109:$BD$166,45,FALSE)</f>
        <v>0</v>
      </c>
      <c r="AY38" s="13">
        <f ca="1">VLOOKUP($B38,'[8]Analisys QBR By Machine Report'!$C$109:$BD$166,46,FALSE)</f>
        <v>0</v>
      </c>
      <c r="AZ38" s="13">
        <f ca="1">VLOOKUP($B38,'[8]Analisys QBR By Machine Report'!$C$109:$BD$166,47,FALSE)</f>
        <v>0</v>
      </c>
      <c r="BA38" s="13">
        <f ca="1">VLOOKUP($B38,'[8]Analisys QBR By Machine Report'!$C$109:$BD$166,48,FALSE)</f>
        <v>0</v>
      </c>
      <c r="BB38" s="13">
        <f ca="1">VLOOKUP($B38,'[8]Analisys QBR By Machine Report'!$C$109:$BD$166,49,FALSE)</f>
        <v>0</v>
      </c>
      <c r="BC38" s="13">
        <f ca="1">VLOOKUP($B38,'[8]Analisys QBR By Machine Report'!$C$109:$BD$166,50,FALSE)</f>
        <v>0</v>
      </c>
      <c r="BD38" s="13">
        <f ca="1">VLOOKUP($B38,'[8]Analisys QBR By Machine Report'!$C$109:$BD$166,51,FALSE)</f>
        <v>0</v>
      </c>
      <c r="BE38" s="13">
        <f ca="1">VLOOKUP($B38,'[8]Analisys QBR By Machine Report'!$C$109:$BD$166,52,FALSE)</f>
        <v>0</v>
      </c>
      <c r="BF38" s="13">
        <f ca="1">VLOOKUP($B38,'[8]Analisys QBR By Machine Report'!$C$109:$BD$166,53,FALSE)</f>
        <v>0</v>
      </c>
    </row>
    <row r="39" spans="1:58" x14ac:dyDescent="0.25">
      <c r="A39" s="12" t="s">
        <v>95</v>
      </c>
      <c r="B39" s="13">
        <f ca="1">VLOOKUP($B39,'[8]Analisys QBR By Machine Report'!$C$109:$BD$166,2,FALSE)</f>
        <v>28800</v>
      </c>
      <c r="C39" s="14">
        <f ca="1">VLOOKUP($B39,[8]Dasboard_QBR_Report!$B$109:$BL$166,3,FALSE)</f>
        <v>9600</v>
      </c>
      <c r="D39" s="13">
        <f ca="1">VLOOKUP($B39,'[8]Analisys QBR By Machine Report'!$C$109:$BD$166,3,FALSE)</f>
        <v>15720</v>
      </c>
      <c r="E39" s="14">
        <f ca="1">VLOOKUP($B39,[8]Dasboard_QBR_Report!$B$109:$BL$166,5,FALSE)</f>
        <v>-3480</v>
      </c>
      <c r="F39" s="13">
        <f t="shared" ca="1" si="0"/>
        <v>13080</v>
      </c>
      <c r="G39" s="13">
        <f t="shared" ca="1" si="1"/>
        <v>580</v>
      </c>
      <c r="H39" s="13">
        <f ca="1">VLOOKUP($B39,'[8]Analisys QBR By Machine Report'!$C$109:$BD$166,4,FALSE)</f>
        <v>580</v>
      </c>
      <c r="I39" s="13">
        <f ca="1">VLOOKUP($B39,'[8]Analisys QBR By Machine Report'!$C$109:$BD$166,5,FALSE)</f>
        <v>340</v>
      </c>
      <c r="J39" s="13">
        <f ca="1">VLOOKUP($B39,'[8]Analisys QBR By Machine Report'!$C$109:$BD$166,6,FALSE)</f>
        <v>240</v>
      </c>
      <c r="K39" s="13">
        <f ca="1">VLOOKUP($B39,'[8]Analisys QBR By Machine Report'!$C$109:$BD$166,7,FALSE)</f>
        <v>0</v>
      </c>
      <c r="L39" s="13">
        <f ca="1">VLOOKUP($B39,'[8]Analisys QBR By Machine Report'!$C$109:$BD$166,8,FALSE)</f>
        <v>12500</v>
      </c>
      <c r="M39" s="13">
        <f ca="1">VLOOKUP($B39,'[8]Analisys QBR By Machine Report'!$C$109:$BD$166,9,FALSE)</f>
        <v>8905</v>
      </c>
      <c r="N39" s="13">
        <f ca="1">VLOOKUP($B39,[8]Dasboard_QBR_Report!$B$109:$BL$166,18,FALSE)</f>
        <v>3595</v>
      </c>
      <c r="O39" s="13">
        <f ca="1">VLOOKUP($B39,'[8]Analisys QBR By Machine Report'!$C$109:$BD$166,10,FALSE)</f>
        <v>328</v>
      </c>
      <c r="P39" s="13">
        <f ca="1">VLOOKUP($B39,'[8]Analisys QBR By Machine Report'!$C$109:$BD$166,11,FALSE)</f>
        <v>328</v>
      </c>
      <c r="Q39" s="13">
        <f ca="1">VLOOKUP($B39,'[8]Analisys QBR By Machine Report'!$C$109:$BD$166,12,FALSE)</f>
        <v>0</v>
      </c>
      <c r="R39" s="13">
        <f ca="1">VLOOKUP($B39,'[8]Analisys QBR By Machine Report'!$C$109:$BD$166,13,FALSE)</f>
        <v>0</v>
      </c>
      <c r="S39" s="13">
        <f ca="1">VLOOKUP($B39,'[8]Analisys QBR By Machine Report'!$C$109:$BD$166,14,FALSE)</f>
        <v>0</v>
      </c>
      <c r="T39" s="13">
        <f ca="1">VLOOKUP($B39,'[8]Analisys QBR By Machine Report'!$C$109:$BD$166,15,FALSE)</f>
        <v>0</v>
      </c>
      <c r="U39" s="13">
        <f ca="1">VLOOKUP($B39,'[8]Analisys QBR By Machine Report'!$C$109:$BD$166,16,FALSE)</f>
        <v>0</v>
      </c>
      <c r="V39" s="13">
        <f ca="1">VLOOKUP($B39,'[8]Analisys QBR By Machine Report'!$C$109:$BD$166,17,FALSE)</f>
        <v>0</v>
      </c>
      <c r="W39" s="13">
        <f ca="1">VLOOKUP($B39,'[8]Analisys QBR By Machine Report'!$C$109:$BD$166,18,FALSE)</f>
        <v>0</v>
      </c>
      <c r="X39" s="13">
        <f ca="1">VLOOKUP($B39,'[8]Analisys QBR By Machine Report'!$C$109:$BD$166,19,FALSE)</f>
        <v>0</v>
      </c>
      <c r="Y39" s="13">
        <f ca="1">VLOOKUP($B39,'[8]Analisys QBR By Machine Report'!$C$109:$BD$166,20,FALSE)</f>
        <v>0</v>
      </c>
      <c r="Z39" s="13">
        <f ca="1">VLOOKUP($B39,'[8]Analisys QBR By Machine Report'!$C$109:$BD$166,21,FALSE)</f>
        <v>836</v>
      </c>
      <c r="AA39" s="13">
        <f ca="1">VLOOKUP($B39,'[8]Analisys QBR By Machine Report'!$C$109:$BD$166,22,FALSE)</f>
        <v>236</v>
      </c>
      <c r="AB39" s="13">
        <f ca="1">VLOOKUP($B39,'[8]Analisys QBR By Machine Report'!$C$109:$BD$166,23,FALSE)</f>
        <v>570</v>
      </c>
      <c r="AC39" s="13">
        <f ca="1">VLOOKUP($B39,'[8]Analisys QBR By Machine Report'!$C$109:$BD$166,24,FALSE)</f>
        <v>0</v>
      </c>
      <c r="AD39" s="13">
        <f ca="1">VLOOKUP($B39,'[8]Analisys QBR By Machine Report'!$C$109:$BD$166,25,FALSE)</f>
        <v>0</v>
      </c>
      <c r="AE39" s="13">
        <f ca="1">VLOOKUP($B39,'[8]Analisys QBR By Machine Report'!$C$109:$BD$166,26,FALSE)</f>
        <v>30</v>
      </c>
      <c r="AF39" s="13">
        <f ca="1">VLOOKUP($B39,'[8]Analisys QBR By Machine Report'!$C$109:$BD$166,27,FALSE)</f>
        <v>0</v>
      </c>
      <c r="AG39" s="13">
        <f ca="1">VLOOKUP($B39,'[8]Analisys QBR By Machine Report'!$C$109:$BD$166,28,FALSE)</f>
        <v>0</v>
      </c>
      <c r="AH39" s="13">
        <f ca="1">VLOOKUP($B39,'[8]Analisys QBR By Machine Report'!$C$109:$BD$166,29,FALSE)</f>
        <v>0</v>
      </c>
      <c r="AI39" s="13">
        <f ca="1">VLOOKUP($B39,'[8]Analisys QBR By Machine Report'!$C$109:$BD$166,30,FALSE)</f>
        <v>2431</v>
      </c>
      <c r="AJ39" s="13">
        <f ca="1">VLOOKUP($B39,'[8]Analisys QBR By Machine Report'!$C$109:$BD$166,31,FALSE)</f>
        <v>0</v>
      </c>
      <c r="AK39" s="13">
        <f ca="1">VLOOKUP($B39,'[8]Analisys QBR By Machine Report'!$C$109:$BD$166,32,FALSE)</f>
        <v>90</v>
      </c>
      <c r="AL39" s="13">
        <f ca="1">VLOOKUP($B39,'[8]Analisys QBR By Machine Report'!$C$109:$BD$166,33,FALSE)</f>
        <v>780</v>
      </c>
      <c r="AM39" s="13">
        <f ca="1">VLOOKUP($B39,'[8]Analisys QBR By Machine Report'!$C$109:$BD$166,34,FALSE)</f>
        <v>0</v>
      </c>
      <c r="AN39" s="13">
        <f ca="1">VLOOKUP($B39,'[8]Analisys QBR By Machine Report'!$C$109:$BD$166,35,FALSE)</f>
        <v>510</v>
      </c>
      <c r="AO39" s="13">
        <f ca="1">VLOOKUP($B39,'[8]Analisys QBR By Machine Report'!$C$109:$BD$166,36,FALSE)</f>
        <v>145</v>
      </c>
      <c r="AP39" s="13">
        <f ca="1">VLOOKUP($B39,'[8]Analisys QBR By Machine Report'!$C$109:$BD$166,37,FALSE)</f>
        <v>0</v>
      </c>
      <c r="AQ39" s="13">
        <f ca="1">VLOOKUP($B39,'[8]Analisys QBR By Machine Report'!$C$109:$BD$166,38,FALSE)</f>
        <v>0</v>
      </c>
      <c r="AR39" s="13">
        <f ca="1">VLOOKUP($B39,'[8]Analisys QBR By Machine Report'!$C$109:$BD$166,39,FALSE)</f>
        <v>0</v>
      </c>
      <c r="AS39" s="13">
        <f ca="1">VLOOKUP($B39,'[8]Analisys QBR By Machine Report'!$C$109:$BD$166,40,FALSE)</f>
        <v>214</v>
      </c>
      <c r="AT39" s="13">
        <f ca="1">VLOOKUP($B39,'[8]Analisys QBR By Machine Report'!$C$109:$BD$166,41,FALSE)</f>
        <v>0</v>
      </c>
      <c r="AU39" s="13">
        <f ca="1">VLOOKUP($B39,'[8]Analisys QBR By Machine Report'!$C$109:$BD$166,42,FALSE)</f>
        <v>0</v>
      </c>
      <c r="AV39" s="13">
        <f ca="1">VLOOKUP($B39,'[8]Analisys QBR By Machine Report'!$C$109:$BD$166,43,FALSE)</f>
        <v>0</v>
      </c>
      <c r="AW39" s="13">
        <f ca="1">VLOOKUP($B39,'[8]Analisys QBR By Machine Report'!$C$109:$BD$166,44,FALSE)</f>
        <v>0</v>
      </c>
      <c r="AX39" s="13">
        <f ca="1">VLOOKUP($B39,'[8]Analisys QBR By Machine Report'!$C$109:$BD$166,45,FALSE)</f>
        <v>0</v>
      </c>
      <c r="AY39" s="13">
        <f ca="1">VLOOKUP($B39,'[8]Analisys QBR By Machine Report'!$C$109:$BD$166,46,FALSE)</f>
        <v>0</v>
      </c>
      <c r="AZ39" s="13">
        <f ca="1">VLOOKUP($B39,'[8]Analisys QBR By Machine Report'!$C$109:$BD$166,47,FALSE)</f>
        <v>692</v>
      </c>
      <c r="BA39" s="13">
        <f ca="1">VLOOKUP($B39,'[8]Analisys QBR By Machine Report'!$C$109:$BD$166,48,FALSE)</f>
        <v>0</v>
      </c>
      <c r="BB39" s="13">
        <f ca="1">VLOOKUP($B39,'[8]Analisys QBR By Machine Report'!$C$109:$BD$166,49,FALSE)</f>
        <v>0</v>
      </c>
      <c r="BC39" s="13">
        <f ca="1">VLOOKUP($B39,'[8]Analisys QBR By Machine Report'!$C$109:$BD$166,50,FALSE)</f>
        <v>0</v>
      </c>
      <c r="BD39" s="13">
        <f ca="1">VLOOKUP($B39,'[8]Analisys QBR By Machine Report'!$C$109:$BD$166,51,FALSE)</f>
        <v>421480</v>
      </c>
      <c r="BE39" s="13">
        <f ca="1">VLOOKUP($B39,'[8]Analisys QBR By Machine Report'!$C$109:$BD$166,52,FALSE)</f>
        <v>0</v>
      </c>
      <c r="BF39" s="13">
        <f ca="1">VLOOKUP($B39,'[8]Analisys QBR By Machine Report'!$C$109:$BD$166,53,FALSE)</f>
        <v>421480</v>
      </c>
    </row>
    <row r="40" spans="1:58" x14ac:dyDescent="0.25">
      <c r="A40" s="12" t="s">
        <v>96</v>
      </c>
      <c r="B40" s="13">
        <f ca="1">VLOOKUP($B40,'[8]Analisys QBR By Machine Report'!$C$109:$BD$166,2,FALSE)</f>
        <v>28800</v>
      </c>
      <c r="C40" s="14">
        <f ca="1">VLOOKUP($B40,[8]Dasboard_QBR_Report!$B$109:$BL$166,3,FALSE)</f>
        <v>9600</v>
      </c>
      <c r="D40" s="13">
        <f ca="1">VLOOKUP($B40,'[8]Analisys QBR By Machine Report'!$C$109:$BD$166,3,FALSE)</f>
        <v>26760</v>
      </c>
      <c r="E40" s="14">
        <f ca="1">VLOOKUP($B40,[8]Dasboard_QBR_Report!$B$109:$BL$166,5,FALSE)</f>
        <v>7560</v>
      </c>
      <c r="F40" s="13">
        <f t="shared" ca="1" si="0"/>
        <v>2040</v>
      </c>
      <c r="G40" s="13">
        <f t="shared" ca="1" si="1"/>
        <v>665</v>
      </c>
      <c r="H40" s="13">
        <f ca="1">VLOOKUP($B40,'[8]Analisys QBR By Machine Report'!$C$109:$BD$166,4,FALSE)</f>
        <v>665</v>
      </c>
      <c r="I40" s="13">
        <f ca="1">VLOOKUP($B40,'[8]Analisys QBR By Machine Report'!$C$109:$BD$166,5,FALSE)</f>
        <v>30</v>
      </c>
      <c r="J40" s="13">
        <f ca="1">VLOOKUP($B40,'[8]Analisys QBR By Machine Report'!$C$109:$BD$166,6,FALSE)</f>
        <v>635</v>
      </c>
      <c r="K40" s="13">
        <f ca="1">VLOOKUP($B40,'[8]Analisys QBR By Machine Report'!$C$109:$BD$166,7,FALSE)</f>
        <v>0</v>
      </c>
      <c r="L40" s="13">
        <f ca="1">VLOOKUP($B40,'[8]Analisys QBR By Machine Report'!$C$109:$BD$166,8,FALSE)</f>
        <v>1375</v>
      </c>
      <c r="M40" s="13">
        <f ca="1">VLOOKUP($B40,'[8]Analisys QBR By Machine Report'!$C$109:$BD$166,9,FALSE)</f>
        <v>495</v>
      </c>
      <c r="N40" s="13">
        <f ca="1">VLOOKUP($B40,[8]Dasboard_QBR_Report!$B$109:$BL$166,18,FALSE)</f>
        <v>880</v>
      </c>
      <c r="O40" s="13">
        <f ca="1">VLOOKUP($B40,'[8]Analisys QBR By Machine Report'!$C$109:$BD$166,10,FALSE)</f>
        <v>175</v>
      </c>
      <c r="P40" s="13">
        <f ca="1">VLOOKUP($B40,'[8]Analisys QBR By Machine Report'!$C$109:$BD$166,11,FALSE)</f>
        <v>110</v>
      </c>
      <c r="Q40" s="13">
        <f ca="1">VLOOKUP($B40,'[8]Analisys QBR By Machine Report'!$C$109:$BD$166,12,FALSE)</f>
        <v>0</v>
      </c>
      <c r="R40" s="13">
        <f ca="1">VLOOKUP($B40,'[8]Analisys QBR By Machine Report'!$C$109:$BD$166,13,FALSE)</f>
        <v>15</v>
      </c>
      <c r="S40" s="13">
        <f ca="1">VLOOKUP($B40,'[8]Analisys QBR By Machine Report'!$C$109:$BD$166,14,FALSE)</f>
        <v>50</v>
      </c>
      <c r="T40" s="13">
        <f ca="1">VLOOKUP($B40,'[8]Analisys QBR By Machine Report'!$C$109:$BD$166,15,FALSE)</f>
        <v>0</v>
      </c>
      <c r="U40" s="13">
        <f ca="1">VLOOKUP($B40,'[8]Analisys QBR By Machine Report'!$C$109:$BD$166,16,FALSE)</f>
        <v>0</v>
      </c>
      <c r="V40" s="13">
        <f ca="1">VLOOKUP($B40,'[8]Analisys QBR By Machine Report'!$C$109:$BD$166,17,FALSE)</f>
        <v>0</v>
      </c>
      <c r="W40" s="13">
        <f ca="1">VLOOKUP($B40,'[8]Analisys QBR By Machine Report'!$C$109:$BD$166,18,FALSE)</f>
        <v>0</v>
      </c>
      <c r="X40" s="13">
        <f ca="1">VLOOKUP($B40,'[8]Analisys QBR By Machine Report'!$C$109:$BD$166,19,FALSE)</f>
        <v>0</v>
      </c>
      <c r="Y40" s="13">
        <f ca="1">VLOOKUP($B40,'[8]Analisys QBR By Machine Report'!$C$109:$BD$166,20,FALSE)</f>
        <v>0</v>
      </c>
      <c r="Z40" s="13">
        <f ca="1">VLOOKUP($B40,'[8]Analisys QBR By Machine Report'!$C$109:$BD$166,21,FALSE)</f>
        <v>330</v>
      </c>
      <c r="AA40" s="13">
        <f ca="1">VLOOKUP($B40,'[8]Analisys QBR By Machine Report'!$C$109:$BD$166,22,FALSE)</f>
        <v>155</v>
      </c>
      <c r="AB40" s="13">
        <f ca="1">VLOOKUP($B40,'[8]Analisys QBR By Machine Report'!$C$109:$BD$166,23,FALSE)</f>
        <v>125</v>
      </c>
      <c r="AC40" s="13">
        <f ca="1">VLOOKUP($B40,'[8]Analisys QBR By Machine Report'!$C$109:$BD$166,24,FALSE)</f>
        <v>0</v>
      </c>
      <c r="AD40" s="13">
        <f ca="1">VLOOKUP($B40,'[8]Analisys QBR By Machine Report'!$C$109:$BD$166,25,FALSE)</f>
        <v>0</v>
      </c>
      <c r="AE40" s="13">
        <f ca="1">VLOOKUP($B40,'[8]Analisys QBR By Machine Report'!$C$109:$BD$166,26,FALSE)</f>
        <v>50</v>
      </c>
      <c r="AF40" s="13">
        <f ca="1">VLOOKUP($B40,'[8]Analisys QBR By Machine Report'!$C$109:$BD$166,27,FALSE)</f>
        <v>0</v>
      </c>
      <c r="AG40" s="13">
        <f ca="1">VLOOKUP($B40,'[8]Analisys QBR By Machine Report'!$C$109:$BD$166,28,FALSE)</f>
        <v>0</v>
      </c>
      <c r="AH40" s="13">
        <f ca="1">VLOOKUP($B40,'[8]Analisys QBR By Machine Report'!$C$109:$BD$166,29,FALSE)</f>
        <v>0</v>
      </c>
      <c r="AI40" s="13">
        <f ca="1">VLOOKUP($B40,'[8]Analisys QBR By Machine Report'!$C$109:$BD$166,30,FALSE)</f>
        <v>375</v>
      </c>
      <c r="AJ40" s="13">
        <f ca="1">VLOOKUP($B40,'[8]Analisys QBR By Machine Report'!$C$109:$BD$166,31,FALSE)</f>
        <v>0</v>
      </c>
      <c r="AK40" s="13">
        <f ca="1">VLOOKUP($B40,'[8]Analisys QBR By Machine Report'!$C$109:$BD$166,32,FALSE)</f>
        <v>0</v>
      </c>
      <c r="AL40" s="13">
        <f ca="1">VLOOKUP($B40,'[8]Analisys QBR By Machine Report'!$C$109:$BD$166,33,FALSE)</f>
        <v>90</v>
      </c>
      <c r="AM40" s="13">
        <f ca="1">VLOOKUP($B40,'[8]Analisys QBR By Machine Report'!$C$109:$BD$166,34,FALSE)</f>
        <v>0</v>
      </c>
      <c r="AN40" s="13">
        <f ca="1">VLOOKUP($B40,'[8]Analisys QBR By Machine Report'!$C$109:$BD$166,35,FALSE)</f>
        <v>45</v>
      </c>
      <c r="AO40" s="13">
        <f ca="1">VLOOKUP($B40,'[8]Analisys QBR By Machine Report'!$C$109:$BD$166,36,FALSE)</f>
        <v>0</v>
      </c>
      <c r="AP40" s="13">
        <f ca="1">VLOOKUP($B40,'[8]Analisys QBR By Machine Report'!$C$109:$BD$166,37,FALSE)</f>
        <v>0</v>
      </c>
      <c r="AQ40" s="13">
        <f ca="1">VLOOKUP($B40,'[8]Analisys QBR By Machine Report'!$C$109:$BD$166,38,FALSE)</f>
        <v>0</v>
      </c>
      <c r="AR40" s="13">
        <f ca="1">VLOOKUP($B40,'[8]Analisys QBR By Machine Report'!$C$109:$BD$166,39,FALSE)</f>
        <v>210</v>
      </c>
      <c r="AS40" s="13">
        <f ca="1">VLOOKUP($B40,'[8]Analisys QBR By Machine Report'!$C$109:$BD$166,40,FALSE)</f>
        <v>25</v>
      </c>
      <c r="AT40" s="13">
        <f ca="1">VLOOKUP($B40,'[8]Analisys QBR By Machine Report'!$C$109:$BD$166,41,FALSE)</f>
        <v>0</v>
      </c>
      <c r="AU40" s="13">
        <f ca="1">VLOOKUP($B40,'[8]Analisys QBR By Machine Report'!$C$109:$BD$166,42,FALSE)</f>
        <v>0</v>
      </c>
      <c r="AV40" s="13">
        <f ca="1">VLOOKUP($B40,'[8]Analisys QBR By Machine Report'!$C$109:$BD$166,43,FALSE)</f>
        <v>0</v>
      </c>
      <c r="AW40" s="13">
        <f ca="1">VLOOKUP($B40,'[8]Analisys QBR By Machine Report'!$C$109:$BD$166,44,FALSE)</f>
        <v>0</v>
      </c>
      <c r="AX40" s="13">
        <f ca="1">VLOOKUP($B40,'[8]Analisys QBR By Machine Report'!$C$109:$BD$166,45,FALSE)</f>
        <v>0</v>
      </c>
      <c r="AY40" s="13">
        <f ca="1">VLOOKUP($B40,'[8]Analisys QBR By Machine Report'!$C$109:$BD$166,46,FALSE)</f>
        <v>0</v>
      </c>
      <c r="AZ40" s="13">
        <f ca="1">VLOOKUP($B40,'[8]Analisys QBR By Machine Report'!$C$109:$BD$166,47,FALSE)</f>
        <v>5</v>
      </c>
      <c r="BA40" s="13">
        <f ca="1">VLOOKUP($B40,'[8]Analisys QBR By Machine Report'!$C$109:$BD$166,48,FALSE)</f>
        <v>0</v>
      </c>
      <c r="BB40" s="13">
        <f ca="1">VLOOKUP($B40,'[8]Analisys QBR By Machine Report'!$C$109:$BD$166,49,FALSE)</f>
        <v>0</v>
      </c>
      <c r="BC40" s="13">
        <f ca="1">VLOOKUP($B40,'[8]Analisys QBR By Machine Report'!$C$109:$BD$166,50,FALSE)</f>
        <v>0</v>
      </c>
      <c r="BD40" s="13">
        <f ca="1">VLOOKUP($B40,'[8]Analisys QBR By Machine Report'!$C$109:$BD$166,51,FALSE)</f>
        <v>10599</v>
      </c>
      <c r="BE40" s="13">
        <f ca="1">VLOOKUP($B40,'[8]Analisys QBR By Machine Report'!$C$109:$BD$166,52,FALSE)</f>
        <v>0</v>
      </c>
      <c r="BF40" s="13">
        <f ca="1">VLOOKUP($B40,'[8]Analisys QBR By Machine Report'!$C$109:$BD$166,53,FALSE)</f>
        <v>10599</v>
      </c>
    </row>
    <row r="41" spans="1:58" x14ac:dyDescent="0.25">
      <c r="A41" s="12" t="s">
        <v>97</v>
      </c>
      <c r="B41" s="13">
        <f ca="1">VLOOKUP($B41,'[8]Analisys QBR By Machine Report'!$C$109:$BD$166,2,FALSE)</f>
        <v>28800</v>
      </c>
      <c r="C41" s="14">
        <f ca="1">VLOOKUP($B41,[8]Dasboard_QBR_Report!$B$109:$BL$166,3,FALSE)</f>
        <v>18600</v>
      </c>
      <c r="D41" s="13">
        <f ca="1">VLOOKUP($B41,'[8]Analisys QBR By Machine Report'!$C$109:$BD$166,3,FALSE)</f>
        <v>19650</v>
      </c>
      <c r="E41" s="14">
        <f ca="1">VLOOKUP($B41,[8]Dasboard_QBR_Report!$B$109:$BL$166,5,FALSE)</f>
        <v>9450</v>
      </c>
      <c r="F41" s="13">
        <f t="shared" ca="1" si="0"/>
        <v>9150</v>
      </c>
      <c r="G41" s="13">
        <f t="shared" ca="1" si="1"/>
        <v>2345</v>
      </c>
      <c r="H41" s="13">
        <f ca="1">VLOOKUP($B41,'[8]Analisys QBR By Machine Report'!$C$109:$BD$166,4,FALSE)</f>
        <v>2345</v>
      </c>
      <c r="I41" s="13">
        <f ca="1">VLOOKUP($B41,'[8]Analisys QBR By Machine Report'!$C$109:$BD$166,5,FALSE)</f>
        <v>60</v>
      </c>
      <c r="J41" s="13">
        <f ca="1">VLOOKUP($B41,'[8]Analisys QBR By Machine Report'!$C$109:$BD$166,6,FALSE)</f>
        <v>2285</v>
      </c>
      <c r="K41" s="13">
        <f ca="1">VLOOKUP($B41,'[8]Analisys QBR By Machine Report'!$C$109:$BD$166,7,FALSE)</f>
        <v>0</v>
      </c>
      <c r="L41" s="13">
        <f ca="1">VLOOKUP($B41,'[8]Analisys QBR By Machine Report'!$C$109:$BD$166,8,FALSE)</f>
        <v>6805</v>
      </c>
      <c r="M41" s="13">
        <f ca="1">VLOOKUP($B41,'[8]Analisys QBR By Machine Report'!$C$109:$BD$166,9,FALSE)</f>
        <v>3025</v>
      </c>
      <c r="N41" s="13">
        <f ca="1">VLOOKUP($B41,[8]Dasboard_QBR_Report!$B$109:$BL$166,18,FALSE)</f>
        <v>3780</v>
      </c>
      <c r="O41" s="13">
        <f ca="1">VLOOKUP($B41,'[8]Analisys QBR By Machine Report'!$C$109:$BD$166,10,FALSE)</f>
        <v>745</v>
      </c>
      <c r="P41" s="13">
        <f ca="1">VLOOKUP($B41,'[8]Analisys QBR By Machine Report'!$C$109:$BD$166,11,FALSE)</f>
        <v>670</v>
      </c>
      <c r="Q41" s="13">
        <f ca="1">VLOOKUP($B41,'[8]Analisys QBR By Machine Report'!$C$109:$BD$166,12,FALSE)</f>
        <v>50</v>
      </c>
      <c r="R41" s="13">
        <f ca="1">VLOOKUP($B41,'[8]Analisys QBR By Machine Report'!$C$109:$BD$166,13,FALSE)</f>
        <v>15</v>
      </c>
      <c r="S41" s="13">
        <f ca="1">VLOOKUP($B41,'[8]Analisys QBR By Machine Report'!$C$109:$BD$166,14,FALSE)</f>
        <v>10</v>
      </c>
      <c r="T41" s="13">
        <f ca="1">VLOOKUP($B41,'[8]Analisys QBR By Machine Report'!$C$109:$BD$166,15,FALSE)</f>
        <v>0</v>
      </c>
      <c r="U41" s="13">
        <f ca="1">VLOOKUP($B41,'[8]Analisys QBR By Machine Report'!$C$109:$BD$166,16,FALSE)</f>
        <v>0</v>
      </c>
      <c r="V41" s="13">
        <f ca="1">VLOOKUP($B41,'[8]Analisys QBR By Machine Report'!$C$109:$BD$166,17,FALSE)</f>
        <v>0</v>
      </c>
      <c r="W41" s="13">
        <f ca="1">VLOOKUP($B41,'[8]Analisys QBR By Machine Report'!$C$109:$BD$166,18,FALSE)</f>
        <v>0</v>
      </c>
      <c r="X41" s="13">
        <f ca="1">VLOOKUP($B41,'[8]Analisys QBR By Machine Report'!$C$109:$BD$166,19,FALSE)</f>
        <v>0</v>
      </c>
      <c r="Y41" s="13">
        <f ca="1">VLOOKUP($B41,'[8]Analisys QBR By Machine Report'!$C$109:$BD$166,20,FALSE)</f>
        <v>0</v>
      </c>
      <c r="Z41" s="13">
        <f ca="1">VLOOKUP($B41,'[8]Analisys QBR By Machine Report'!$C$109:$BD$166,21,FALSE)</f>
        <v>590</v>
      </c>
      <c r="AA41" s="13">
        <f ca="1">VLOOKUP($B41,'[8]Analisys QBR By Machine Report'!$C$109:$BD$166,22,FALSE)</f>
        <v>350</v>
      </c>
      <c r="AB41" s="13">
        <f ca="1">VLOOKUP($B41,'[8]Analisys QBR By Machine Report'!$C$109:$BD$166,23,FALSE)</f>
        <v>240</v>
      </c>
      <c r="AC41" s="13">
        <f ca="1">VLOOKUP($B41,'[8]Analisys QBR By Machine Report'!$C$109:$BD$166,24,FALSE)</f>
        <v>0</v>
      </c>
      <c r="AD41" s="13">
        <f ca="1">VLOOKUP($B41,'[8]Analisys QBR By Machine Report'!$C$109:$BD$166,25,FALSE)</f>
        <v>0</v>
      </c>
      <c r="AE41" s="13">
        <f ca="1">VLOOKUP($B41,'[8]Analisys QBR By Machine Report'!$C$109:$BD$166,26,FALSE)</f>
        <v>0</v>
      </c>
      <c r="AF41" s="13">
        <f ca="1">VLOOKUP($B41,'[8]Analisys QBR By Machine Report'!$C$109:$BD$166,27,FALSE)</f>
        <v>0</v>
      </c>
      <c r="AG41" s="13">
        <f ca="1">VLOOKUP($B41,'[8]Analisys QBR By Machine Report'!$C$109:$BD$166,28,FALSE)</f>
        <v>0</v>
      </c>
      <c r="AH41" s="13">
        <f ca="1">VLOOKUP($B41,'[8]Analisys QBR By Machine Report'!$C$109:$BD$166,29,FALSE)</f>
        <v>0</v>
      </c>
      <c r="AI41" s="13">
        <f ca="1">VLOOKUP($B41,'[8]Analisys QBR By Machine Report'!$C$109:$BD$166,30,FALSE)</f>
        <v>2445</v>
      </c>
      <c r="AJ41" s="13">
        <f ca="1">VLOOKUP($B41,'[8]Analisys QBR By Machine Report'!$C$109:$BD$166,31,FALSE)</f>
        <v>0</v>
      </c>
      <c r="AK41" s="13">
        <f ca="1">VLOOKUP($B41,'[8]Analisys QBR By Machine Report'!$C$109:$BD$166,32,FALSE)</f>
        <v>0</v>
      </c>
      <c r="AL41" s="13">
        <f ca="1">VLOOKUP($B41,'[8]Analisys QBR By Machine Report'!$C$109:$BD$166,33,FALSE)</f>
        <v>420</v>
      </c>
      <c r="AM41" s="13">
        <f ca="1">VLOOKUP($B41,'[8]Analisys QBR By Machine Report'!$C$109:$BD$166,34,FALSE)</f>
        <v>0</v>
      </c>
      <c r="AN41" s="13">
        <f ca="1">VLOOKUP($B41,'[8]Analisys QBR By Machine Report'!$C$109:$BD$166,35,FALSE)</f>
        <v>210</v>
      </c>
      <c r="AO41" s="13">
        <f ca="1">VLOOKUP($B41,'[8]Analisys QBR By Machine Report'!$C$109:$BD$166,36,FALSE)</f>
        <v>125</v>
      </c>
      <c r="AP41" s="13">
        <f ca="1">VLOOKUP($B41,'[8]Analisys QBR By Machine Report'!$C$109:$BD$166,37,FALSE)</f>
        <v>0</v>
      </c>
      <c r="AQ41" s="13">
        <f ca="1">VLOOKUP($B41,'[8]Analisys QBR By Machine Report'!$C$109:$BD$166,38,FALSE)</f>
        <v>0</v>
      </c>
      <c r="AR41" s="13">
        <f ca="1">VLOOKUP($B41,'[8]Analisys QBR By Machine Report'!$C$109:$BD$166,39,FALSE)</f>
        <v>1420</v>
      </c>
      <c r="AS41" s="13">
        <f ca="1">VLOOKUP($B41,'[8]Analisys QBR By Machine Report'!$C$109:$BD$166,40,FALSE)</f>
        <v>135</v>
      </c>
      <c r="AT41" s="13">
        <f ca="1">VLOOKUP($B41,'[8]Analisys QBR By Machine Report'!$C$109:$BD$166,41,FALSE)</f>
        <v>0</v>
      </c>
      <c r="AU41" s="13">
        <f ca="1">VLOOKUP($B41,'[8]Analisys QBR By Machine Report'!$C$109:$BD$166,42,FALSE)</f>
        <v>0</v>
      </c>
      <c r="AV41" s="13">
        <f ca="1">VLOOKUP($B41,'[8]Analisys QBR By Machine Report'!$C$109:$BD$166,43,FALSE)</f>
        <v>0</v>
      </c>
      <c r="AW41" s="13">
        <f ca="1">VLOOKUP($B41,'[8]Analisys QBR By Machine Report'!$C$109:$BD$166,44,FALSE)</f>
        <v>0</v>
      </c>
      <c r="AX41" s="13">
        <f ca="1">VLOOKUP($B41,'[8]Analisys QBR By Machine Report'!$C$109:$BD$166,45,FALSE)</f>
        <v>0</v>
      </c>
      <c r="AY41" s="13">
        <f ca="1">VLOOKUP($B41,'[8]Analisys QBR By Machine Report'!$C$109:$BD$166,46,FALSE)</f>
        <v>0</v>
      </c>
      <c r="AZ41" s="13">
        <f ca="1">VLOOKUP($B41,'[8]Analisys QBR By Machine Report'!$C$109:$BD$166,47,FALSE)</f>
        <v>135</v>
      </c>
      <c r="BA41" s="13">
        <f ca="1">VLOOKUP($B41,'[8]Analisys QBR By Machine Report'!$C$109:$BD$166,48,FALSE)</f>
        <v>0</v>
      </c>
      <c r="BB41" s="13">
        <f ca="1">VLOOKUP($B41,'[8]Analisys QBR By Machine Report'!$C$109:$BD$166,49,FALSE)</f>
        <v>0</v>
      </c>
      <c r="BC41" s="13">
        <f ca="1">VLOOKUP($B41,'[8]Analisys QBR By Machine Report'!$C$109:$BD$166,50,FALSE)</f>
        <v>0</v>
      </c>
      <c r="BD41" s="13">
        <f ca="1">VLOOKUP($B41,'[8]Analisys QBR By Machine Report'!$C$109:$BD$166,51,FALSE)</f>
        <v>173241</v>
      </c>
      <c r="BE41" s="13">
        <f ca="1">VLOOKUP($B41,'[8]Analisys QBR By Machine Report'!$C$109:$BD$166,52,FALSE)</f>
        <v>0</v>
      </c>
      <c r="BF41" s="13">
        <f ca="1">VLOOKUP($B41,'[8]Analisys QBR By Machine Report'!$C$109:$BD$166,53,FALSE)</f>
        <v>173241</v>
      </c>
    </row>
    <row r="42" spans="1:58" x14ac:dyDescent="0.25">
      <c r="A42" s="12" t="s">
        <v>98</v>
      </c>
      <c r="B42" s="13">
        <f ca="1">VLOOKUP($B42,'[8]Analisys QBR By Machine Report'!$C$109:$BD$166,2,FALSE)</f>
        <v>28800</v>
      </c>
      <c r="C42" s="14">
        <f ca="1">VLOOKUP($B42,[8]Dasboard_QBR_Report!$B$109:$BL$166,3,FALSE)</f>
        <v>9600</v>
      </c>
      <c r="D42" s="13">
        <f ca="1">VLOOKUP($B42,'[8]Analisys QBR By Machine Report'!$C$109:$BD$166,3,FALSE)</f>
        <v>20220</v>
      </c>
      <c r="E42" s="14">
        <f ca="1">VLOOKUP($B42,[8]Dasboard_QBR_Report!$B$109:$BL$166,5,FALSE)</f>
        <v>1020</v>
      </c>
      <c r="F42" s="13">
        <f t="shared" ca="1" si="0"/>
        <v>8580</v>
      </c>
      <c r="G42" s="13">
        <f t="shared" ca="1" si="1"/>
        <v>530</v>
      </c>
      <c r="H42" s="13">
        <f ca="1">VLOOKUP($B42,'[8]Analisys QBR By Machine Report'!$C$109:$BD$166,4,FALSE)</f>
        <v>530</v>
      </c>
      <c r="I42" s="13">
        <f ca="1">VLOOKUP($B42,'[8]Analisys QBR By Machine Report'!$C$109:$BD$166,5,FALSE)</f>
        <v>425</v>
      </c>
      <c r="J42" s="13">
        <f ca="1">VLOOKUP($B42,'[8]Analisys QBR By Machine Report'!$C$109:$BD$166,6,FALSE)</f>
        <v>105</v>
      </c>
      <c r="K42" s="13">
        <f ca="1">VLOOKUP($B42,'[8]Analisys QBR By Machine Report'!$C$109:$BD$166,7,FALSE)</f>
        <v>0</v>
      </c>
      <c r="L42" s="13">
        <f ca="1">VLOOKUP($B42,'[8]Analisys QBR By Machine Report'!$C$109:$BD$166,8,FALSE)</f>
        <v>8050</v>
      </c>
      <c r="M42" s="13">
        <f ca="1">VLOOKUP($B42,'[8]Analisys QBR By Machine Report'!$C$109:$BD$166,9,FALSE)</f>
        <v>3342</v>
      </c>
      <c r="N42" s="13">
        <f ca="1">VLOOKUP($B42,[8]Dasboard_QBR_Report!$B$109:$BL$166,18,FALSE)</f>
        <v>4708</v>
      </c>
      <c r="O42" s="13">
        <f ca="1">VLOOKUP($B42,'[8]Analisys QBR By Machine Report'!$C$109:$BD$166,10,FALSE)</f>
        <v>1540</v>
      </c>
      <c r="P42" s="13">
        <f ca="1">VLOOKUP($B42,'[8]Analisys QBR By Machine Report'!$C$109:$BD$166,11,FALSE)</f>
        <v>708</v>
      </c>
      <c r="Q42" s="13">
        <f ca="1">VLOOKUP($B42,'[8]Analisys QBR By Machine Report'!$C$109:$BD$166,12,FALSE)</f>
        <v>135</v>
      </c>
      <c r="R42" s="13">
        <f ca="1">VLOOKUP($B42,'[8]Analisys QBR By Machine Report'!$C$109:$BD$166,13,FALSE)</f>
        <v>87</v>
      </c>
      <c r="S42" s="13">
        <f ca="1">VLOOKUP($B42,'[8]Analisys QBR By Machine Report'!$C$109:$BD$166,14,FALSE)</f>
        <v>610</v>
      </c>
      <c r="T42" s="13">
        <f ca="1">VLOOKUP($B42,'[8]Analisys QBR By Machine Report'!$C$109:$BD$166,15,FALSE)</f>
        <v>527</v>
      </c>
      <c r="U42" s="13">
        <f ca="1">VLOOKUP($B42,'[8]Analisys QBR By Machine Report'!$C$109:$BD$166,16,FALSE)</f>
        <v>125</v>
      </c>
      <c r="V42" s="13">
        <f ca="1">VLOOKUP($B42,'[8]Analisys QBR By Machine Report'!$C$109:$BD$166,17,FALSE)</f>
        <v>402</v>
      </c>
      <c r="W42" s="13">
        <f ca="1">VLOOKUP($B42,'[8]Analisys QBR By Machine Report'!$C$109:$BD$166,18,FALSE)</f>
        <v>0</v>
      </c>
      <c r="X42" s="13">
        <f ca="1">VLOOKUP($B42,'[8]Analisys QBR By Machine Report'!$C$109:$BD$166,19,FALSE)</f>
        <v>0</v>
      </c>
      <c r="Y42" s="13">
        <f ca="1">VLOOKUP($B42,'[8]Analisys QBR By Machine Report'!$C$109:$BD$166,20,FALSE)</f>
        <v>0</v>
      </c>
      <c r="Z42" s="13">
        <f ca="1">VLOOKUP($B42,'[8]Analisys QBR By Machine Report'!$C$109:$BD$166,21,FALSE)</f>
        <v>1281</v>
      </c>
      <c r="AA42" s="13">
        <f ca="1">VLOOKUP($B42,'[8]Analisys QBR By Machine Report'!$C$109:$BD$166,22,FALSE)</f>
        <v>666</v>
      </c>
      <c r="AB42" s="13">
        <f ca="1">VLOOKUP($B42,'[8]Analisys QBR By Machine Report'!$C$109:$BD$166,23,FALSE)</f>
        <v>345</v>
      </c>
      <c r="AC42" s="13">
        <f ca="1">VLOOKUP($B42,'[8]Analisys QBR By Machine Report'!$C$109:$BD$166,24,FALSE)</f>
        <v>0</v>
      </c>
      <c r="AD42" s="13">
        <f ca="1">VLOOKUP($B42,'[8]Analisys QBR By Machine Report'!$C$109:$BD$166,25,FALSE)</f>
        <v>0</v>
      </c>
      <c r="AE42" s="13">
        <f ca="1">VLOOKUP($B42,'[8]Analisys QBR By Machine Report'!$C$109:$BD$166,26,FALSE)</f>
        <v>270</v>
      </c>
      <c r="AF42" s="13">
        <f ca="1">VLOOKUP($B42,'[8]Analisys QBR By Machine Report'!$C$109:$BD$166,27,FALSE)</f>
        <v>0</v>
      </c>
      <c r="AG42" s="13">
        <f ca="1">VLOOKUP($B42,'[8]Analisys QBR By Machine Report'!$C$109:$BD$166,28,FALSE)</f>
        <v>0</v>
      </c>
      <c r="AH42" s="13">
        <f ca="1">VLOOKUP($B42,'[8]Analisys QBR By Machine Report'!$C$109:$BD$166,29,FALSE)</f>
        <v>0</v>
      </c>
      <c r="AI42" s="13">
        <f ca="1">VLOOKUP($B42,'[8]Analisys QBR By Machine Report'!$C$109:$BD$166,30,FALSE)</f>
        <v>1360</v>
      </c>
      <c r="AJ42" s="13">
        <f ca="1">VLOOKUP($B42,'[8]Analisys QBR By Machine Report'!$C$109:$BD$166,31,FALSE)</f>
        <v>0</v>
      </c>
      <c r="AK42" s="13">
        <f ca="1">VLOOKUP($B42,'[8]Analisys QBR By Machine Report'!$C$109:$BD$166,32,FALSE)</f>
        <v>0</v>
      </c>
      <c r="AL42" s="13">
        <f ca="1">VLOOKUP($B42,'[8]Analisys QBR By Machine Report'!$C$109:$BD$166,33,FALSE)</f>
        <v>485</v>
      </c>
      <c r="AM42" s="13">
        <f ca="1">VLOOKUP($B42,'[8]Analisys QBR By Machine Report'!$C$109:$BD$166,34,FALSE)</f>
        <v>0</v>
      </c>
      <c r="AN42" s="13">
        <f ca="1">VLOOKUP($B42,'[8]Analisys QBR By Machine Report'!$C$109:$BD$166,35,FALSE)</f>
        <v>255</v>
      </c>
      <c r="AO42" s="13">
        <f ca="1">VLOOKUP($B42,'[8]Analisys QBR By Machine Report'!$C$109:$BD$166,36,FALSE)</f>
        <v>0</v>
      </c>
      <c r="AP42" s="13">
        <f ca="1">VLOOKUP($B42,'[8]Analisys QBR By Machine Report'!$C$109:$BD$166,37,FALSE)</f>
        <v>0</v>
      </c>
      <c r="AQ42" s="13">
        <f ca="1">VLOOKUP($B42,'[8]Analisys QBR By Machine Report'!$C$109:$BD$166,38,FALSE)</f>
        <v>0</v>
      </c>
      <c r="AR42" s="13">
        <f ca="1">VLOOKUP($B42,'[8]Analisys QBR By Machine Report'!$C$109:$BD$166,39,FALSE)</f>
        <v>255</v>
      </c>
      <c r="AS42" s="13">
        <f ca="1">VLOOKUP($B42,'[8]Analisys QBR By Machine Report'!$C$109:$BD$166,40,FALSE)</f>
        <v>210</v>
      </c>
      <c r="AT42" s="13">
        <f ca="1">VLOOKUP($B42,'[8]Analisys QBR By Machine Report'!$C$109:$BD$166,41,FALSE)</f>
        <v>0</v>
      </c>
      <c r="AU42" s="13">
        <f ca="1">VLOOKUP($B42,'[8]Analisys QBR By Machine Report'!$C$109:$BD$166,42,FALSE)</f>
        <v>0</v>
      </c>
      <c r="AV42" s="13">
        <f ca="1">VLOOKUP($B42,'[8]Analisys QBR By Machine Report'!$C$109:$BD$166,43,FALSE)</f>
        <v>0</v>
      </c>
      <c r="AW42" s="13">
        <f ca="1">VLOOKUP($B42,'[8]Analisys QBR By Machine Report'!$C$109:$BD$166,44,FALSE)</f>
        <v>0</v>
      </c>
      <c r="AX42" s="13">
        <f ca="1">VLOOKUP($B42,'[8]Analisys QBR By Machine Report'!$C$109:$BD$166,45,FALSE)</f>
        <v>0</v>
      </c>
      <c r="AY42" s="13">
        <f ca="1">VLOOKUP($B42,'[8]Analisys QBR By Machine Report'!$C$109:$BD$166,46,FALSE)</f>
        <v>0</v>
      </c>
      <c r="AZ42" s="13">
        <f ca="1">VLOOKUP($B42,'[8]Analisys QBR By Machine Report'!$C$109:$BD$166,47,FALSE)</f>
        <v>155</v>
      </c>
      <c r="BA42" s="13">
        <f ca="1">VLOOKUP($B42,'[8]Analisys QBR By Machine Report'!$C$109:$BD$166,48,FALSE)</f>
        <v>0</v>
      </c>
      <c r="BB42" s="13">
        <f ca="1">VLOOKUP($B42,'[8]Analisys QBR By Machine Report'!$C$109:$BD$166,49,FALSE)</f>
        <v>0</v>
      </c>
      <c r="BC42" s="13">
        <f ca="1">VLOOKUP($B42,'[8]Analisys QBR By Machine Report'!$C$109:$BD$166,50,FALSE)</f>
        <v>0</v>
      </c>
      <c r="BD42" s="13">
        <f ca="1">VLOOKUP($B42,'[8]Analisys QBR By Machine Report'!$C$109:$BD$166,51,FALSE)</f>
        <v>366207</v>
      </c>
      <c r="BE42" s="13">
        <f ca="1">VLOOKUP($B42,'[8]Analisys QBR By Machine Report'!$C$109:$BD$166,52,FALSE)</f>
        <v>48</v>
      </c>
      <c r="BF42" s="13">
        <f ca="1">VLOOKUP($B42,'[8]Analisys QBR By Machine Report'!$C$109:$BD$166,53,FALSE)</f>
        <v>366159</v>
      </c>
    </row>
    <row r="43" spans="1:58" x14ac:dyDescent="0.25">
      <c r="A43" s="9" t="s">
        <v>99</v>
      </c>
      <c r="B43" s="10">
        <f ca="1">VLOOKUP($B43,'[8]Analisys QBR By Machine Report'!$C$109:$BD$166,2,FALSE)</f>
        <v>28800</v>
      </c>
      <c r="C43" s="11">
        <f ca="1">VLOOKUP($B43,[8]Dasboard_QBR_Report!$B$109:$BL$166,3,FALSE)</f>
        <v>9600</v>
      </c>
      <c r="D43" s="10">
        <f ca="1">VLOOKUP($B43,'[8]Analisys QBR By Machine Report'!$C$109:$BD$166,3,FALSE)</f>
        <v>27270</v>
      </c>
      <c r="E43" s="11">
        <f ca="1">VLOOKUP($B43,[8]Dasboard_QBR_Report!$B$109:$BL$166,5,FALSE)</f>
        <v>8070</v>
      </c>
      <c r="F43" s="10">
        <f t="shared" ca="1" si="0"/>
        <v>1530</v>
      </c>
      <c r="G43" s="10">
        <f t="shared" ca="1" si="1"/>
        <v>532</v>
      </c>
      <c r="H43" s="10">
        <f ca="1">VLOOKUP($B43,'[8]Analisys QBR By Machine Report'!$C$109:$BD$166,4,FALSE)</f>
        <v>532</v>
      </c>
      <c r="I43" s="10">
        <f ca="1">VLOOKUP($B43,'[8]Analisys QBR By Machine Report'!$C$109:$BD$166,5,FALSE)</f>
        <v>0</v>
      </c>
      <c r="J43" s="10">
        <f ca="1">VLOOKUP($B43,'[8]Analisys QBR By Machine Report'!$C$109:$BD$166,6,FALSE)</f>
        <v>532</v>
      </c>
      <c r="K43" s="10">
        <f ca="1">VLOOKUP($B43,'[8]Analisys QBR By Machine Report'!$C$109:$BD$166,7,FALSE)</f>
        <v>0</v>
      </c>
      <c r="L43" s="10">
        <f ca="1">VLOOKUP($B43,'[8]Analisys QBR By Machine Report'!$C$109:$BD$166,8,FALSE)</f>
        <v>998</v>
      </c>
      <c r="M43" s="10">
        <f ca="1">VLOOKUP($B43,'[8]Analisys QBR By Machine Report'!$C$109:$BD$166,9,FALSE)</f>
        <v>63</v>
      </c>
      <c r="N43" s="10">
        <f ca="1">VLOOKUP($B43,[8]Dasboard_QBR_Report!$B$109:$BL$166,18,FALSE)</f>
        <v>935</v>
      </c>
      <c r="O43" s="10">
        <f ca="1">VLOOKUP($B43,'[8]Analisys QBR By Machine Report'!$C$109:$BD$166,10,FALSE)</f>
        <v>40</v>
      </c>
      <c r="P43" s="10">
        <f ca="1">VLOOKUP($B43,'[8]Analisys QBR By Machine Report'!$C$109:$BD$166,11,FALSE)</f>
        <v>20</v>
      </c>
      <c r="Q43" s="10">
        <f ca="1">VLOOKUP($B43,'[8]Analisys QBR By Machine Report'!$C$109:$BD$166,12,FALSE)</f>
        <v>20</v>
      </c>
      <c r="R43" s="10">
        <f ca="1">VLOOKUP($B43,'[8]Analisys QBR By Machine Report'!$C$109:$BD$166,13,FALSE)</f>
        <v>0</v>
      </c>
      <c r="S43" s="10">
        <f ca="1">VLOOKUP($B43,'[8]Analisys QBR By Machine Report'!$C$109:$BD$166,14,FALSE)</f>
        <v>0</v>
      </c>
      <c r="T43" s="10">
        <f ca="1">VLOOKUP($B43,'[8]Analisys QBR By Machine Report'!$C$109:$BD$166,15,FALSE)</f>
        <v>0</v>
      </c>
      <c r="U43" s="10">
        <f ca="1">VLOOKUP($B43,'[8]Analisys QBR By Machine Report'!$C$109:$BD$166,16,FALSE)</f>
        <v>0</v>
      </c>
      <c r="V43" s="10">
        <f ca="1">VLOOKUP($B43,'[8]Analisys QBR By Machine Report'!$C$109:$BD$166,17,FALSE)</f>
        <v>0</v>
      </c>
      <c r="W43" s="10">
        <f ca="1">VLOOKUP($B43,'[8]Analisys QBR By Machine Report'!$C$109:$BD$166,18,FALSE)</f>
        <v>0</v>
      </c>
      <c r="X43" s="10">
        <f ca="1">VLOOKUP($B43,'[8]Analisys QBR By Machine Report'!$C$109:$BD$166,19,FALSE)</f>
        <v>0</v>
      </c>
      <c r="Y43" s="10">
        <f ca="1">VLOOKUP($B43,'[8]Analisys QBR By Machine Report'!$C$109:$BD$166,20,FALSE)</f>
        <v>0</v>
      </c>
      <c r="Z43" s="10">
        <f ca="1">VLOOKUP($B43,'[8]Analisys QBR By Machine Report'!$C$109:$BD$166,21,FALSE)</f>
        <v>583</v>
      </c>
      <c r="AA43" s="10">
        <f ca="1">VLOOKUP($B43,'[8]Analisys QBR By Machine Report'!$C$109:$BD$166,22,FALSE)</f>
        <v>225</v>
      </c>
      <c r="AB43" s="10">
        <f ca="1">VLOOKUP($B43,'[8]Analisys QBR By Machine Report'!$C$109:$BD$166,23,FALSE)</f>
        <v>308</v>
      </c>
      <c r="AC43" s="10">
        <f ca="1">VLOOKUP($B43,'[8]Analisys QBR By Machine Report'!$C$109:$BD$166,24,FALSE)</f>
        <v>0</v>
      </c>
      <c r="AD43" s="10">
        <f ca="1">VLOOKUP($B43,'[8]Analisys QBR By Machine Report'!$C$109:$BD$166,25,FALSE)</f>
        <v>0</v>
      </c>
      <c r="AE43" s="10">
        <f ca="1">VLOOKUP($B43,'[8]Analisys QBR By Machine Report'!$C$109:$BD$166,26,FALSE)</f>
        <v>50</v>
      </c>
      <c r="AF43" s="10">
        <f ca="1">VLOOKUP($B43,'[8]Analisys QBR By Machine Report'!$C$109:$BD$166,27,FALSE)</f>
        <v>0</v>
      </c>
      <c r="AG43" s="10">
        <f ca="1">VLOOKUP($B43,'[8]Analisys QBR By Machine Report'!$C$109:$BD$166,28,FALSE)</f>
        <v>0</v>
      </c>
      <c r="AH43" s="10">
        <f ca="1">VLOOKUP($B43,'[8]Analisys QBR By Machine Report'!$C$109:$BD$166,29,FALSE)</f>
        <v>0</v>
      </c>
      <c r="AI43" s="10">
        <f ca="1">VLOOKUP($B43,'[8]Analisys QBR By Machine Report'!$C$109:$BD$166,30,FALSE)</f>
        <v>312</v>
      </c>
      <c r="AJ43" s="10">
        <f ca="1">VLOOKUP($B43,'[8]Analisys QBR By Machine Report'!$C$109:$BD$166,31,FALSE)</f>
        <v>70</v>
      </c>
      <c r="AK43" s="10">
        <f ca="1">VLOOKUP($B43,'[8]Analisys QBR By Machine Report'!$C$109:$BD$166,32,FALSE)</f>
        <v>0</v>
      </c>
      <c r="AL43" s="10">
        <f ca="1">VLOOKUP($B43,'[8]Analisys QBR By Machine Report'!$C$109:$BD$166,33,FALSE)</f>
        <v>60</v>
      </c>
      <c r="AM43" s="10">
        <f ca="1">VLOOKUP($B43,'[8]Analisys QBR By Machine Report'!$C$109:$BD$166,34,FALSE)</f>
        <v>0</v>
      </c>
      <c r="AN43" s="10">
        <f ca="1">VLOOKUP($B43,'[8]Analisys QBR By Machine Report'!$C$109:$BD$166,35,FALSE)</f>
        <v>75</v>
      </c>
      <c r="AO43" s="10">
        <f ca="1">VLOOKUP($B43,'[8]Analisys QBR By Machine Report'!$C$109:$BD$166,36,FALSE)</f>
        <v>0</v>
      </c>
      <c r="AP43" s="10">
        <f ca="1">VLOOKUP($B43,'[8]Analisys QBR By Machine Report'!$C$109:$BD$166,37,FALSE)</f>
        <v>0</v>
      </c>
      <c r="AQ43" s="10">
        <f ca="1">VLOOKUP($B43,'[8]Analisys QBR By Machine Report'!$C$109:$BD$166,38,FALSE)</f>
        <v>0</v>
      </c>
      <c r="AR43" s="10">
        <f ca="1">VLOOKUP($B43,'[8]Analisys QBR By Machine Report'!$C$109:$BD$166,39,FALSE)</f>
        <v>0</v>
      </c>
      <c r="AS43" s="10">
        <f ca="1">VLOOKUP($B43,'[8]Analisys QBR By Machine Report'!$C$109:$BD$166,40,FALSE)</f>
        <v>0</v>
      </c>
      <c r="AT43" s="10">
        <f ca="1">VLOOKUP($B43,'[8]Analisys QBR By Machine Report'!$C$109:$BD$166,41,FALSE)</f>
        <v>0</v>
      </c>
      <c r="AU43" s="10">
        <f ca="1">VLOOKUP($B43,'[8]Analisys QBR By Machine Report'!$C$109:$BD$166,42,FALSE)</f>
        <v>0</v>
      </c>
      <c r="AV43" s="10">
        <f ca="1">VLOOKUP($B43,'[8]Analisys QBR By Machine Report'!$C$109:$BD$166,43,FALSE)</f>
        <v>0</v>
      </c>
      <c r="AW43" s="10">
        <f ca="1">VLOOKUP($B43,'[8]Analisys QBR By Machine Report'!$C$109:$BD$166,44,FALSE)</f>
        <v>0</v>
      </c>
      <c r="AX43" s="10">
        <f ca="1">VLOOKUP($B43,'[8]Analisys QBR By Machine Report'!$C$109:$BD$166,45,FALSE)</f>
        <v>0</v>
      </c>
      <c r="AY43" s="10">
        <f ca="1">VLOOKUP($B43,'[8]Analisys QBR By Machine Report'!$C$109:$BD$166,46,FALSE)</f>
        <v>0</v>
      </c>
      <c r="AZ43" s="10">
        <f ca="1">VLOOKUP($B43,'[8]Analisys QBR By Machine Report'!$C$109:$BD$166,47,FALSE)</f>
        <v>107</v>
      </c>
      <c r="BA43" s="10">
        <f ca="1">VLOOKUP($B43,'[8]Analisys QBR By Machine Report'!$C$109:$BD$166,48,FALSE)</f>
        <v>0</v>
      </c>
      <c r="BB43" s="10">
        <f ca="1">VLOOKUP($B43,'[8]Analisys QBR By Machine Report'!$C$109:$BD$166,49,FALSE)</f>
        <v>0</v>
      </c>
      <c r="BC43" s="10">
        <f ca="1">VLOOKUP($B43,'[8]Analisys QBR By Machine Report'!$C$109:$BD$166,50,FALSE)</f>
        <v>0</v>
      </c>
      <c r="BD43" s="10">
        <f ca="1">VLOOKUP($B43,'[8]Analisys QBR By Machine Report'!$C$109:$BD$166,51,FALSE)</f>
        <v>237.29</v>
      </c>
      <c r="BE43" s="10">
        <f ca="1">VLOOKUP($B43,'[8]Analisys QBR By Machine Report'!$C$109:$BD$166,52,FALSE)</f>
        <v>165.99</v>
      </c>
      <c r="BF43" s="10">
        <f ca="1">VLOOKUP($B43,'[8]Analisys QBR By Machine Report'!$C$109:$BD$166,53,FALSE)</f>
        <v>71.3</v>
      </c>
    </row>
    <row r="44" spans="1:58" x14ac:dyDescent="0.25">
      <c r="A44" s="12" t="s">
        <v>100</v>
      </c>
      <c r="B44" s="13">
        <f ca="1">VLOOKUP($B44,'[8]Analisys QBR By Machine Report'!$C$109:$BD$166,2,FALSE)</f>
        <v>28800</v>
      </c>
      <c r="C44" s="14">
        <f ca="1">VLOOKUP($B44,[8]Dasboard_QBR_Report!$B$109:$BL$166,3,FALSE)</f>
        <v>9600</v>
      </c>
      <c r="D44" s="13">
        <f ca="1">VLOOKUP($B44,'[8]Analisys QBR By Machine Report'!$C$109:$BD$166,3,FALSE)</f>
        <v>27270</v>
      </c>
      <c r="E44" s="14">
        <f ca="1">VLOOKUP($B44,[8]Dasboard_QBR_Report!$B$109:$BL$166,5,FALSE)</f>
        <v>8070</v>
      </c>
      <c r="F44" s="13">
        <f t="shared" ca="1" si="0"/>
        <v>1530</v>
      </c>
      <c r="G44" s="13">
        <f t="shared" ca="1" si="1"/>
        <v>532</v>
      </c>
      <c r="H44" s="13">
        <f ca="1">VLOOKUP($B44,'[8]Analisys QBR By Machine Report'!$C$109:$BD$166,4,FALSE)</f>
        <v>532</v>
      </c>
      <c r="I44" s="13">
        <f ca="1">VLOOKUP($B44,'[8]Analisys QBR By Machine Report'!$C$109:$BD$166,5,FALSE)</f>
        <v>0</v>
      </c>
      <c r="J44" s="13">
        <f ca="1">VLOOKUP($B44,'[8]Analisys QBR By Machine Report'!$C$109:$BD$166,6,FALSE)</f>
        <v>532</v>
      </c>
      <c r="K44" s="13">
        <f ca="1">VLOOKUP($B44,'[8]Analisys QBR By Machine Report'!$C$109:$BD$166,7,FALSE)</f>
        <v>0</v>
      </c>
      <c r="L44" s="13">
        <f ca="1">VLOOKUP($B44,'[8]Analisys QBR By Machine Report'!$C$109:$BD$166,8,FALSE)</f>
        <v>998</v>
      </c>
      <c r="M44" s="13">
        <f ca="1">VLOOKUP($B44,'[8]Analisys QBR By Machine Report'!$C$109:$BD$166,9,FALSE)</f>
        <v>63</v>
      </c>
      <c r="N44" s="13">
        <f ca="1">VLOOKUP($B44,[8]Dasboard_QBR_Report!$B$109:$BL$166,18,FALSE)</f>
        <v>935</v>
      </c>
      <c r="O44" s="13">
        <f ca="1">VLOOKUP($B44,'[8]Analisys QBR By Machine Report'!$C$109:$BD$166,10,FALSE)</f>
        <v>40</v>
      </c>
      <c r="P44" s="13">
        <f ca="1">VLOOKUP($B44,'[8]Analisys QBR By Machine Report'!$C$109:$BD$166,11,FALSE)</f>
        <v>20</v>
      </c>
      <c r="Q44" s="13">
        <f ca="1">VLOOKUP($B44,'[8]Analisys QBR By Machine Report'!$C$109:$BD$166,12,FALSE)</f>
        <v>20</v>
      </c>
      <c r="R44" s="13">
        <f ca="1">VLOOKUP($B44,'[8]Analisys QBR By Machine Report'!$C$109:$BD$166,13,FALSE)</f>
        <v>0</v>
      </c>
      <c r="S44" s="13">
        <f ca="1">VLOOKUP($B44,'[8]Analisys QBR By Machine Report'!$C$109:$BD$166,14,FALSE)</f>
        <v>0</v>
      </c>
      <c r="T44" s="13">
        <f ca="1">VLOOKUP($B44,'[8]Analisys QBR By Machine Report'!$C$109:$BD$166,15,FALSE)</f>
        <v>0</v>
      </c>
      <c r="U44" s="13">
        <f ca="1">VLOOKUP($B44,'[8]Analisys QBR By Machine Report'!$C$109:$BD$166,16,FALSE)</f>
        <v>0</v>
      </c>
      <c r="V44" s="13">
        <f ca="1">VLOOKUP($B44,'[8]Analisys QBR By Machine Report'!$C$109:$BD$166,17,FALSE)</f>
        <v>0</v>
      </c>
      <c r="W44" s="13">
        <f ca="1">VLOOKUP($B44,'[8]Analisys QBR By Machine Report'!$C$109:$BD$166,18,FALSE)</f>
        <v>0</v>
      </c>
      <c r="X44" s="13">
        <f ca="1">VLOOKUP($B44,'[8]Analisys QBR By Machine Report'!$C$109:$BD$166,19,FALSE)</f>
        <v>0</v>
      </c>
      <c r="Y44" s="13">
        <f ca="1">VLOOKUP($B44,'[8]Analisys QBR By Machine Report'!$C$109:$BD$166,20,FALSE)</f>
        <v>0</v>
      </c>
      <c r="Z44" s="13">
        <f ca="1">VLOOKUP($B44,'[8]Analisys QBR By Machine Report'!$C$109:$BD$166,21,FALSE)</f>
        <v>583</v>
      </c>
      <c r="AA44" s="13">
        <f ca="1">VLOOKUP($B44,'[8]Analisys QBR By Machine Report'!$C$109:$BD$166,22,FALSE)</f>
        <v>225</v>
      </c>
      <c r="AB44" s="13">
        <f ca="1">VLOOKUP($B44,'[8]Analisys QBR By Machine Report'!$C$109:$BD$166,23,FALSE)</f>
        <v>308</v>
      </c>
      <c r="AC44" s="13">
        <f ca="1">VLOOKUP($B44,'[8]Analisys QBR By Machine Report'!$C$109:$BD$166,24,FALSE)</f>
        <v>0</v>
      </c>
      <c r="AD44" s="13">
        <f ca="1">VLOOKUP($B44,'[8]Analisys QBR By Machine Report'!$C$109:$BD$166,25,FALSE)</f>
        <v>0</v>
      </c>
      <c r="AE44" s="13">
        <f ca="1">VLOOKUP($B44,'[8]Analisys QBR By Machine Report'!$C$109:$BD$166,26,FALSE)</f>
        <v>50</v>
      </c>
      <c r="AF44" s="13">
        <f ca="1">VLOOKUP($B44,'[8]Analisys QBR By Machine Report'!$C$109:$BD$166,27,FALSE)</f>
        <v>0</v>
      </c>
      <c r="AG44" s="13">
        <f ca="1">VLOOKUP($B44,'[8]Analisys QBR By Machine Report'!$C$109:$BD$166,28,FALSE)</f>
        <v>0</v>
      </c>
      <c r="AH44" s="13">
        <f ca="1">VLOOKUP($B44,'[8]Analisys QBR By Machine Report'!$C$109:$BD$166,29,FALSE)</f>
        <v>0</v>
      </c>
      <c r="AI44" s="13">
        <f ca="1">VLOOKUP($B44,'[8]Analisys QBR By Machine Report'!$C$109:$BD$166,30,FALSE)</f>
        <v>312</v>
      </c>
      <c r="AJ44" s="13">
        <f ca="1">VLOOKUP($B44,'[8]Analisys QBR By Machine Report'!$C$109:$BD$166,31,FALSE)</f>
        <v>70</v>
      </c>
      <c r="AK44" s="13">
        <f ca="1">VLOOKUP($B44,'[8]Analisys QBR By Machine Report'!$C$109:$BD$166,32,FALSE)</f>
        <v>0</v>
      </c>
      <c r="AL44" s="13">
        <f ca="1">VLOOKUP($B44,'[8]Analisys QBR By Machine Report'!$C$109:$BD$166,33,FALSE)</f>
        <v>60</v>
      </c>
      <c r="AM44" s="13">
        <f ca="1">VLOOKUP($B44,'[8]Analisys QBR By Machine Report'!$C$109:$BD$166,34,FALSE)</f>
        <v>0</v>
      </c>
      <c r="AN44" s="13">
        <f ca="1">VLOOKUP($B44,'[8]Analisys QBR By Machine Report'!$C$109:$BD$166,35,FALSE)</f>
        <v>75</v>
      </c>
      <c r="AO44" s="13">
        <f ca="1">VLOOKUP($B44,'[8]Analisys QBR By Machine Report'!$C$109:$BD$166,36,FALSE)</f>
        <v>0</v>
      </c>
      <c r="AP44" s="13">
        <f ca="1">VLOOKUP($B44,'[8]Analisys QBR By Machine Report'!$C$109:$BD$166,37,FALSE)</f>
        <v>0</v>
      </c>
      <c r="AQ44" s="13">
        <f ca="1">VLOOKUP($B44,'[8]Analisys QBR By Machine Report'!$C$109:$BD$166,38,FALSE)</f>
        <v>0</v>
      </c>
      <c r="AR44" s="13">
        <f ca="1">VLOOKUP($B44,'[8]Analisys QBR By Machine Report'!$C$109:$BD$166,39,FALSE)</f>
        <v>0</v>
      </c>
      <c r="AS44" s="13">
        <f ca="1">VLOOKUP($B44,'[8]Analisys QBR By Machine Report'!$C$109:$BD$166,40,FALSE)</f>
        <v>0</v>
      </c>
      <c r="AT44" s="13">
        <f ca="1">VLOOKUP($B44,'[8]Analisys QBR By Machine Report'!$C$109:$BD$166,41,FALSE)</f>
        <v>0</v>
      </c>
      <c r="AU44" s="13">
        <f ca="1">VLOOKUP($B44,'[8]Analisys QBR By Machine Report'!$C$109:$BD$166,42,FALSE)</f>
        <v>0</v>
      </c>
      <c r="AV44" s="13">
        <f ca="1">VLOOKUP($B44,'[8]Analisys QBR By Machine Report'!$C$109:$BD$166,43,FALSE)</f>
        <v>0</v>
      </c>
      <c r="AW44" s="13">
        <f ca="1">VLOOKUP($B44,'[8]Analisys QBR By Machine Report'!$C$109:$BD$166,44,FALSE)</f>
        <v>0</v>
      </c>
      <c r="AX44" s="13">
        <f ca="1">VLOOKUP($B44,'[8]Analisys QBR By Machine Report'!$C$109:$BD$166,45,FALSE)</f>
        <v>0</v>
      </c>
      <c r="AY44" s="13">
        <f ca="1">VLOOKUP($B44,'[8]Analisys QBR By Machine Report'!$C$109:$BD$166,46,FALSE)</f>
        <v>0</v>
      </c>
      <c r="AZ44" s="13">
        <f ca="1">VLOOKUP($B44,'[8]Analisys QBR By Machine Report'!$C$109:$BD$166,47,FALSE)</f>
        <v>107</v>
      </c>
      <c r="BA44" s="13">
        <f ca="1">VLOOKUP($B44,'[8]Analisys QBR By Machine Report'!$C$109:$BD$166,48,FALSE)</f>
        <v>0</v>
      </c>
      <c r="BB44" s="13">
        <f ca="1">VLOOKUP($B44,'[8]Analisys QBR By Machine Report'!$C$109:$BD$166,49,FALSE)</f>
        <v>0</v>
      </c>
      <c r="BC44" s="13">
        <f ca="1">VLOOKUP($B44,'[8]Analisys QBR By Machine Report'!$C$109:$BD$166,50,FALSE)</f>
        <v>0</v>
      </c>
      <c r="BD44" s="13">
        <f ca="1">VLOOKUP($B44,'[8]Analisys QBR By Machine Report'!$C$109:$BD$166,51,FALSE)</f>
        <v>237.29</v>
      </c>
      <c r="BE44" s="13">
        <f ca="1">VLOOKUP($B44,'[8]Analisys QBR By Machine Report'!$C$109:$BD$166,52,FALSE)</f>
        <v>165.99</v>
      </c>
      <c r="BF44" s="13">
        <f ca="1">VLOOKUP($B44,'[8]Analisys QBR By Machine Report'!$C$109:$BD$166,53,FALSE)</f>
        <v>71.3</v>
      </c>
    </row>
    <row r="45" spans="1:58" x14ac:dyDescent="0.25">
      <c r="A45" s="9" t="s">
        <v>101</v>
      </c>
      <c r="B45" s="10">
        <f ca="1">VLOOKUP($B45,'[8]Analisys QBR By Machine Report'!$C$109:$BD$166,2,FALSE)</f>
        <v>28800</v>
      </c>
      <c r="C45" s="11">
        <f ca="1">VLOOKUP($B45,[8]Dasboard_QBR_Report!$B$109:$BL$166,3,FALSE)</f>
        <v>9600</v>
      </c>
      <c r="D45" s="10">
        <f ca="1">VLOOKUP($B45,'[8]Analisys QBR By Machine Report'!$C$109:$BD$166,3,FALSE)</f>
        <v>27270</v>
      </c>
      <c r="E45" s="11">
        <f ca="1">VLOOKUP($B45,[8]Dasboard_QBR_Report!$B$109:$BL$166,5,FALSE)</f>
        <v>8070</v>
      </c>
      <c r="F45" s="10">
        <f t="shared" ca="1" si="0"/>
        <v>1530</v>
      </c>
      <c r="G45" s="10">
        <f t="shared" ca="1" si="1"/>
        <v>90</v>
      </c>
      <c r="H45" s="10">
        <f ca="1">VLOOKUP($B45,'[8]Analisys QBR By Machine Report'!$C$109:$BD$166,4,FALSE)</f>
        <v>90</v>
      </c>
      <c r="I45" s="10">
        <f ca="1">VLOOKUP($B45,'[8]Analisys QBR By Machine Report'!$C$109:$BD$166,5,FALSE)</f>
        <v>90</v>
      </c>
      <c r="J45" s="10">
        <f ca="1">VLOOKUP($B45,'[8]Analisys QBR By Machine Report'!$C$109:$BD$166,6,FALSE)</f>
        <v>0</v>
      </c>
      <c r="K45" s="10">
        <f ca="1">VLOOKUP($B45,'[8]Analisys QBR By Machine Report'!$C$109:$BD$166,7,FALSE)</f>
        <v>0</v>
      </c>
      <c r="L45" s="10">
        <f ca="1">VLOOKUP($B45,'[8]Analisys QBR By Machine Report'!$C$109:$BD$166,8,FALSE)</f>
        <v>1440</v>
      </c>
      <c r="M45" s="10">
        <f ca="1">VLOOKUP($B45,'[8]Analisys QBR By Machine Report'!$C$109:$BD$166,9,FALSE)</f>
        <v>375</v>
      </c>
      <c r="N45" s="10">
        <f ca="1">VLOOKUP($B45,[8]Dasboard_QBR_Report!$B$109:$BL$166,18,FALSE)</f>
        <v>1065</v>
      </c>
      <c r="O45" s="10">
        <f ca="1">VLOOKUP($B45,'[8]Analisys QBR By Machine Report'!$C$109:$BD$166,10,FALSE)</f>
        <v>180</v>
      </c>
      <c r="P45" s="10">
        <f ca="1">VLOOKUP($B45,'[8]Analisys QBR By Machine Report'!$C$109:$BD$166,11,FALSE)</f>
        <v>130</v>
      </c>
      <c r="Q45" s="10">
        <f ca="1">VLOOKUP($B45,'[8]Analisys QBR By Machine Report'!$C$109:$BD$166,12,FALSE)</f>
        <v>0</v>
      </c>
      <c r="R45" s="10">
        <f ca="1">VLOOKUP($B45,'[8]Analisys QBR By Machine Report'!$C$109:$BD$166,13,FALSE)</f>
        <v>0</v>
      </c>
      <c r="S45" s="10">
        <f ca="1">VLOOKUP($B45,'[8]Analisys QBR By Machine Report'!$C$109:$BD$166,14,FALSE)</f>
        <v>50</v>
      </c>
      <c r="T45" s="10">
        <f ca="1">VLOOKUP($B45,'[8]Analisys QBR By Machine Report'!$C$109:$BD$166,15,FALSE)</f>
        <v>0</v>
      </c>
      <c r="U45" s="10">
        <f ca="1">VLOOKUP($B45,'[8]Analisys QBR By Machine Report'!$C$109:$BD$166,16,FALSE)</f>
        <v>0</v>
      </c>
      <c r="V45" s="10">
        <f ca="1">VLOOKUP($B45,'[8]Analisys QBR By Machine Report'!$C$109:$BD$166,17,FALSE)</f>
        <v>0</v>
      </c>
      <c r="W45" s="10">
        <f ca="1">VLOOKUP($B45,'[8]Analisys QBR By Machine Report'!$C$109:$BD$166,18,FALSE)</f>
        <v>0</v>
      </c>
      <c r="X45" s="10">
        <f ca="1">VLOOKUP($B45,'[8]Analisys QBR By Machine Report'!$C$109:$BD$166,19,FALSE)</f>
        <v>0</v>
      </c>
      <c r="Y45" s="10">
        <f ca="1">VLOOKUP($B45,'[8]Analisys QBR By Machine Report'!$C$109:$BD$166,20,FALSE)</f>
        <v>0</v>
      </c>
      <c r="Z45" s="10">
        <f ca="1">VLOOKUP($B45,'[8]Analisys QBR By Machine Report'!$C$109:$BD$166,21,FALSE)</f>
        <v>620</v>
      </c>
      <c r="AA45" s="10">
        <f ca="1">VLOOKUP($B45,'[8]Analisys QBR By Machine Report'!$C$109:$BD$166,22,FALSE)</f>
        <v>230</v>
      </c>
      <c r="AB45" s="10">
        <f ca="1">VLOOKUP($B45,'[8]Analisys QBR By Machine Report'!$C$109:$BD$166,23,FALSE)</f>
        <v>365</v>
      </c>
      <c r="AC45" s="10">
        <f ca="1">VLOOKUP($B45,'[8]Analisys QBR By Machine Report'!$C$109:$BD$166,24,FALSE)</f>
        <v>0</v>
      </c>
      <c r="AD45" s="10">
        <f ca="1">VLOOKUP($B45,'[8]Analisys QBR By Machine Report'!$C$109:$BD$166,25,FALSE)</f>
        <v>0</v>
      </c>
      <c r="AE45" s="10">
        <f ca="1">VLOOKUP($B45,'[8]Analisys QBR By Machine Report'!$C$109:$BD$166,26,FALSE)</f>
        <v>25</v>
      </c>
      <c r="AF45" s="10">
        <f ca="1">VLOOKUP($B45,'[8]Analisys QBR By Machine Report'!$C$109:$BD$166,27,FALSE)</f>
        <v>0</v>
      </c>
      <c r="AG45" s="10">
        <f ca="1">VLOOKUP($B45,'[8]Analisys QBR By Machine Report'!$C$109:$BD$166,28,FALSE)</f>
        <v>0</v>
      </c>
      <c r="AH45" s="10">
        <f ca="1">VLOOKUP($B45,'[8]Analisys QBR By Machine Report'!$C$109:$BD$166,29,FALSE)</f>
        <v>0</v>
      </c>
      <c r="AI45" s="10">
        <f ca="1">VLOOKUP($B45,'[8]Analisys QBR By Machine Report'!$C$109:$BD$166,30,FALSE)</f>
        <v>265</v>
      </c>
      <c r="AJ45" s="10">
        <f ca="1">VLOOKUP($B45,'[8]Analisys QBR By Machine Report'!$C$109:$BD$166,31,FALSE)</f>
        <v>0</v>
      </c>
      <c r="AK45" s="10">
        <f ca="1">VLOOKUP($B45,'[8]Analisys QBR By Machine Report'!$C$109:$BD$166,32,FALSE)</f>
        <v>0</v>
      </c>
      <c r="AL45" s="10">
        <f ca="1">VLOOKUP($B45,'[8]Analisys QBR By Machine Report'!$C$109:$BD$166,33,FALSE)</f>
        <v>90</v>
      </c>
      <c r="AM45" s="10">
        <f ca="1">VLOOKUP($B45,'[8]Analisys QBR By Machine Report'!$C$109:$BD$166,34,FALSE)</f>
        <v>0</v>
      </c>
      <c r="AN45" s="10">
        <f ca="1">VLOOKUP($B45,'[8]Analisys QBR By Machine Report'!$C$109:$BD$166,35,FALSE)</f>
        <v>45</v>
      </c>
      <c r="AO45" s="10">
        <f ca="1">VLOOKUP($B45,'[8]Analisys QBR By Machine Report'!$C$109:$BD$166,36,FALSE)</f>
        <v>0</v>
      </c>
      <c r="AP45" s="10">
        <f ca="1">VLOOKUP($B45,'[8]Analisys QBR By Machine Report'!$C$109:$BD$166,37,FALSE)</f>
        <v>0</v>
      </c>
      <c r="AQ45" s="10">
        <f ca="1">VLOOKUP($B45,'[8]Analisys QBR By Machine Report'!$C$109:$BD$166,38,FALSE)</f>
        <v>0</v>
      </c>
      <c r="AR45" s="10">
        <f ca="1">VLOOKUP($B45,'[8]Analisys QBR By Machine Report'!$C$109:$BD$166,39,FALSE)</f>
        <v>20</v>
      </c>
      <c r="AS45" s="10">
        <f ca="1">VLOOKUP($B45,'[8]Analisys QBR By Machine Report'!$C$109:$BD$166,40,FALSE)</f>
        <v>30</v>
      </c>
      <c r="AT45" s="10">
        <f ca="1">VLOOKUP($B45,'[8]Analisys QBR By Machine Report'!$C$109:$BD$166,41,FALSE)</f>
        <v>0</v>
      </c>
      <c r="AU45" s="10">
        <f ca="1">VLOOKUP($B45,'[8]Analisys QBR By Machine Report'!$C$109:$BD$166,42,FALSE)</f>
        <v>0</v>
      </c>
      <c r="AV45" s="10">
        <f ca="1">VLOOKUP($B45,'[8]Analisys QBR By Machine Report'!$C$109:$BD$166,43,FALSE)</f>
        <v>0</v>
      </c>
      <c r="AW45" s="10">
        <f ca="1">VLOOKUP($B45,'[8]Analisys QBR By Machine Report'!$C$109:$BD$166,44,FALSE)</f>
        <v>0</v>
      </c>
      <c r="AX45" s="10">
        <f ca="1">VLOOKUP($B45,'[8]Analisys QBR By Machine Report'!$C$109:$BD$166,45,FALSE)</f>
        <v>0</v>
      </c>
      <c r="AY45" s="10">
        <f ca="1">VLOOKUP($B45,'[8]Analisys QBR By Machine Report'!$C$109:$BD$166,46,FALSE)</f>
        <v>0</v>
      </c>
      <c r="AZ45" s="10">
        <f ca="1">VLOOKUP($B45,'[8]Analisys QBR By Machine Report'!$C$109:$BD$166,47,FALSE)</f>
        <v>20</v>
      </c>
      <c r="BA45" s="10">
        <f ca="1">VLOOKUP($B45,'[8]Analisys QBR By Machine Report'!$C$109:$BD$166,48,FALSE)</f>
        <v>60</v>
      </c>
      <c r="BB45" s="10">
        <f ca="1">VLOOKUP($B45,'[8]Analisys QBR By Machine Report'!$C$109:$BD$166,49,FALSE)</f>
        <v>0</v>
      </c>
      <c r="BC45" s="10">
        <f ca="1">VLOOKUP($B45,'[8]Analisys QBR By Machine Report'!$C$109:$BD$166,50,FALSE)</f>
        <v>0</v>
      </c>
      <c r="BD45" s="10">
        <f ca="1">VLOOKUP($B45,'[8]Analisys QBR By Machine Report'!$C$109:$BD$166,51,FALSE)</f>
        <v>12221</v>
      </c>
      <c r="BE45" s="10">
        <f ca="1">VLOOKUP($B45,'[8]Analisys QBR By Machine Report'!$C$109:$BD$166,52,FALSE)</f>
        <v>48</v>
      </c>
      <c r="BF45" s="10">
        <f ca="1">VLOOKUP($B45,'[8]Analisys QBR By Machine Report'!$C$109:$BD$166,53,FALSE)</f>
        <v>12173</v>
      </c>
    </row>
    <row r="46" spans="1:58" x14ac:dyDescent="0.25">
      <c r="A46" s="12" t="s">
        <v>102</v>
      </c>
      <c r="B46" s="13">
        <f ca="1">VLOOKUP($B46,'[8]Analisys QBR By Machine Report'!$C$109:$BD$166,2,FALSE)</f>
        <v>28800</v>
      </c>
      <c r="C46" s="14">
        <f ca="1">VLOOKUP($B46,[8]Dasboard_QBR_Report!$B$109:$BL$166,3,FALSE)</f>
        <v>9600</v>
      </c>
      <c r="D46" s="13">
        <f ca="1">VLOOKUP($B46,'[8]Analisys QBR By Machine Report'!$C$109:$BD$166,3,FALSE)</f>
        <v>27270</v>
      </c>
      <c r="E46" s="14">
        <f ca="1">VLOOKUP($B46,[8]Dasboard_QBR_Report!$B$109:$BL$166,5,FALSE)</f>
        <v>8070</v>
      </c>
      <c r="F46" s="13">
        <f t="shared" ca="1" si="0"/>
        <v>1530</v>
      </c>
      <c r="G46" s="13">
        <f t="shared" ca="1" si="1"/>
        <v>90</v>
      </c>
      <c r="H46" s="13">
        <f ca="1">VLOOKUP($B46,'[8]Analisys QBR By Machine Report'!$C$109:$BD$166,4,FALSE)</f>
        <v>90</v>
      </c>
      <c r="I46" s="13">
        <f ca="1">VLOOKUP($B46,'[8]Analisys QBR By Machine Report'!$C$109:$BD$166,5,FALSE)</f>
        <v>90</v>
      </c>
      <c r="J46" s="13">
        <f ca="1">VLOOKUP($B46,'[8]Analisys QBR By Machine Report'!$C$109:$BD$166,6,FALSE)</f>
        <v>0</v>
      </c>
      <c r="K46" s="13">
        <f ca="1">VLOOKUP($B46,'[8]Analisys QBR By Machine Report'!$C$109:$BD$166,7,FALSE)</f>
        <v>0</v>
      </c>
      <c r="L46" s="13">
        <f ca="1">VLOOKUP($B46,'[8]Analisys QBR By Machine Report'!$C$109:$BD$166,8,FALSE)</f>
        <v>1440</v>
      </c>
      <c r="M46" s="13">
        <f ca="1">VLOOKUP($B46,'[8]Analisys QBR By Machine Report'!$C$109:$BD$166,9,FALSE)</f>
        <v>375</v>
      </c>
      <c r="N46" s="13">
        <f ca="1">VLOOKUP($B46,[8]Dasboard_QBR_Report!$B$109:$BL$166,18,FALSE)</f>
        <v>1065</v>
      </c>
      <c r="O46" s="13">
        <f ca="1">VLOOKUP($B46,'[8]Analisys QBR By Machine Report'!$C$109:$BD$166,10,FALSE)</f>
        <v>180</v>
      </c>
      <c r="P46" s="13">
        <f ca="1">VLOOKUP($B46,'[8]Analisys QBR By Machine Report'!$C$109:$BD$166,11,FALSE)</f>
        <v>130</v>
      </c>
      <c r="Q46" s="13">
        <f ca="1">VLOOKUP($B46,'[8]Analisys QBR By Machine Report'!$C$109:$BD$166,12,FALSE)</f>
        <v>0</v>
      </c>
      <c r="R46" s="13">
        <f ca="1">VLOOKUP($B46,'[8]Analisys QBR By Machine Report'!$C$109:$BD$166,13,FALSE)</f>
        <v>0</v>
      </c>
      <c r="S46" s="13">
        <f ca="1">VLOOKUP($B46,'[8]Analisys QBR By Machine Report'!$C$109:$BD$166,14,FALSE)</f>
        <v>50</v>
      </c>
      <c r="T46" s="13">
        <f ca="1">VLOOKUP($B46,'[8]Analisys QBR By Machine Report'!$C$109:$BD$166,15,FALSE)</f>
        <v>0</v>
      </c>
      <c r="U46" s="13">
        <f ca="1">VLOOKUP($B46,'[8]Analisys QBR By Machine Report'!$C$109:$BD$166,16,FALSE)</f>
        <v>0</v>
      </c>
      <c r="V46" s="13">
        <f ca="1">VLOOKUP($B46,'[8]Analisys QBR By Machine Report'!$C$109:$BD$166,17,FALSE)</f>
        <v>0</v>
      </c>
      <c r="W46" s="13">
        <f ca="1">VLOOKUP($B46,'[8]Analisys QBR By Machine Report'!$C$109:$BD$166,18,FALSE)</f>
        <v>0</v>
      </c>
      <c r="X46" s="13">
        <f ca="1">VLOOKUP($B46,'[8]Analisys QBR By Machine Report'!$C$109:$BD$166,19,FALSE)</f>
        <v>0</v>
      </c>
      <c r="Y46" s="13">
        <f ca="1">VLOOKUP($B46,'[8]Analisys QBR By Machine Report'!$C$109:$BD$166,20,FALSE)</f>
        <v>0</v>
      </c>
      <c r="Z46" s="13">
        <f ca="1">VLOOKUP($B46,'[8]Analisys QBR By Machine Report'!$C$109:$BD$166,21,FALSE)</f>
        <v>620</v>
      </c>
      <c r="AA46" s="13">
        <f ca="1">VLOOKUP($B46,'[8]Analisys QBR By Machine Report'!$C$109:$BD$166,22,FALSE)</f>
        <v>230</v>
      </c>
      <c r="AB46" s="13">
        <f ca="1">VLOOKUP($B46,'[8]Analisys QBR By Machine Report'!$C$109:$BD$166,23,FALSE)</f>
        <v>365</v>
      </c>
      <c r="AC46" s="13">
        <f ca="1">VLOOKUP($B46,'[8]Analisys QBR By Machine Report'!$C$109:$BD$166,24,FALSE)</f>
        <v>0</v>
      </c>
      <c r="AD46" s="13">
        <f ca="1">VLOOKUP($B46,'[8]Analisys QBR By Machine Report'!$C$109:$BD$166,25,FALSE)</f>
        <v>0</v>
      </c>
      <c r="AE46" s="13">
        <f ca="1">VLOOKUP($B46,'[8]Analisys QBR By Machine Report'!$C$109:$BD$166,26,FALSE)</f>
        <v>25</v>
      </c>
      <c r="AF46" s="13">
        <f ca="1">VLOOKUP($B46,'[8]Analisys QBR By Machine Report'!$C$109:$BD$166,27,FALSE)</f>
        <v>0</v>
      </c>
      <c r="AG46" s="13">
        <f ca="1">VLOOKUP($B46,'[8]Analisys QBR By Machine Report'!$C$109:$BD$166,28,FALSE)</f>
        <v>0</v>
      </c>
      <c r="AH46" s="13">
        <f ca="1">VLOOKUP($B46,'[8]Analisys QBR By Machine Report'!$C$109:$BD$166,29,FALSE)</f>
        <v>0</v>
      </c>
      <c r="AI46" s="13">
        <f ca="1">VLOOKUP($B46,'[8]Analisys QBR By Machine Report'!$C$109:$BD$166,30,FALSE)</f>
        <v>265</v>
      </c>
      <c r="AJ46" s="13">
        <f ca="1">VLOOKUP($B46,'[8]Analisys QBR By Machine Report'!$C$109:$BD$166,31,FALSE)</f>
        <v>0</v>
      </c>
      <c r="AK46" s="13">
        <f ca="1">VLOOKUP($B46,'[8]Analisys QBR By Machine Report'!$C$109:$BD$166,32,FALSE)</f>
        <v>0</v>
      </c>
      <c r="AL46" s="13">
        <f ca="1">VLOOKUP($B46,'[8]Analisys QBR By Machine Report'!$C$109:$BD$166,33,FALSE)</f>
        <v>90</v>
      </c>
      <c r="AM46" s="13">
        <f ca="1">VLOOKUP($B46,'[8]Analisys QBR By Machine Report'!$C$109:$BD$166,34,FALSE)</f>
        <v>0</v>
      </c>
      <c r="AN46" s="13">
        <f ca="1">VLOOKUP($B46,'[8]Analisys QBR By Machine Report'!$C$109:$BD$166,35,FALSE)</f>
        <v>45</v>
      </c>
      <c r="AO46" s="13">
        <f ca="1">VLOOKUP($B46,'[8]Analisys QBR By Machine Report'!$C$109:$BD$166,36,FALSE)</f>
        <v>0</v>
      </c>
      <c r="AP46" s="13">
        <f ca="1">VLOOKUP($B46,'[8]Analisys QBR By Machine Report'!$C$109:$BD$166,37,FALSE)</f>
        <v>0</v>
      </c>
      <c r="AQ46" s="13">
        <f ca="1">VLOOKUP($B46,'[8]Analisys QBR By Machine Report'!$C$109:$BD$166,38,FALSE)</f>
        <v>0</v>
      </c>
      <c r="AR46" s="13">
        <f ca="1">VLOOKUP($B46,'[8]Analisys QBR By Machine Report'!$C$109:$BD$166,39,FALSE)</f>
        <v>20</v>
      </c>
      <c r="AS46" s="13">
        <f ca="1">VLOOKUP($B46,'[8]Analisys QBR By Machine Report'!$C$109:$BD$166,40,FALSE)</f>
        <v>30</v>
      </c>
      <c r="AT46" s="13">
        <f ca="1">VLOOKUP($B46,'[8]Analisys QBR By Machine Report'!$C$109:$BD$166,41,FALSE)</f>
        <v>0</v>
      </c>
      <c r="AU46" s="13">
        <f ca="1">VLOOKUP($B46,'[8]Analisys QBR By Machine Report'!$C$109:$BD$166,42,FALSE)</f>
        <v>0</v>
      </c>
      <c r="AV46" s="13">
        <f ca="1">VLOOKUP($B46,'[8]Analisys QBR By Machine Report'!$C$109:$BD$166,43,FALSE)</f>
        <v>0</v>
      </c>
      <c r="AW46" s="13">
        <f ca="1">VLOOKUP($B46,'[8]Analisys QBR By Machine Report'!$C$109:$BD$166,44,FALSE)</f>
        <v>0</v>
      </c>
      <c r="AX46" s="13">
        <f ca="1">VLOOKUP($B46,'[8]Analisys QBR By Machine Report'!$C$109:$BD$166,45,FALSE)</f>
        <v>0</v>
      </c>
      <c r="AY46" s="13">
        <f ca="1">VLOOKUP($B46,'[8]Analisys QBR By Machine Report'!$C$109:$BD$166,46,FALSE)</f>
        <v>0</v>
      </c>
      <c r="AZ46" s="13">
        <f ca="1">VLOOKUP($B46,'[8]Analisys QBR By Machine Report'!$C$109:$BD$166,47,FALSE)</f>
        <v>20</v>
      </c>
      <c r="BA46" s="13">
        <f ca="1">VLOOKUP($B46,'[8]Analisys QBR By Machine Report'!$C$109:$BD$166,48,FALSE)</f>
        <v>60</v>
      </c>
      <c r="BB46" s="13">
        <f ca="1">VLOOKUP($B46,'[8]Analisys QBR By Machine Report'!$C$109:$BD$166,49,FALSE)</f>
        <v>0</v>
      </c>
      <c r="BC46" s="13">
        <f ca="1">VLOOKUP($B46,'[8]Analisys QBR By Machine Report'!$C$109:$BD$166,50,FALSE)</f>
        <v>0</v>
      </c>
      <c r="BD46" s="13">
        <f ca="1">VLOOKUP($B46,'[8]Analisys QBR By Machine Report'!$C$109:$BD$166,51,FALSE)</f>
        <v>12221</v>
      </c>
      <c r="BE46" s="13">
        <f ca="1">VLOOKUP($B46,'[8]Analisys QBR By Machine Report'!$C$109:$BD$166,52,FALSE)</f>
        <v>48</v>
      </c>
      <c r="BF46" s="13">
        <f ca="1">VLOOKUP($B46,'[8]Analisys QBR By Machine Report'!$C$109:$BD$166,53,FALSE)</f>
        <v>12173</v>
      </c>
    </row>
    <row r="47" spans="1:58" x14ac:dyDescent="0.25">
      <c r="A47" s="9" t="s">
        <v>103</v>
      </c>
      <c r="B47" s="10">
        <f ca="1">VLOOKUP($B47,'[8]Analisys QBR By Machine Report'!$C$109:$BD$166,2,FALSE)</f>
        <v>28800</v>
      </c>
      <c r="C47" s="11">
        <f ca="1">VLOOKUP($B47,[8]Dasboard_QBR_Report!$B$109:$BL$166,3,FALSE)</f>
        <v>9600</v>
      </c>
      <c r="D47" s="10">
        <f ca="1">VLOOKUP($B47,'[8]Analisys QBR By Machine Report'!$C$109:$BD$166,3,FALSE)</f>
        <v>27270</v>
      </c>
      <c r="E47" s="11">
        <f ca="1">VLOOKUP($B47,[8]Dasboard_QBR_Report!$B$109:$BL$166,5,FALSE)</f>
        <v>8070</v>
      </c>
      <c r="F47" s="10">
        <f t="shared" ca="1" si="0"/>
        <v>1530</v>
      </c>
      <c r="G47" s="10">
        <f t="shared" ca="1" si="1"/>
        <v>240</v>
      </c>
      <c r="H47" s="10">
        <f ca="1">VLOOKUP($B47,'[8]Analisys QBR By Machine Report'!$C$109:$BD$166,4,FALSE)</f>
        <v>240</v>
      </c>
      <c r="I47" s="10">
        <f ca="1">VLOOKUP($B47,'[8]Analisys QBR By Machine Report'!$C$109:$BD$166,5,FALSE)</f>
        <v>60</v>
      </c>
      <c r="J47" s="10">
        <f ca="1">VLOOKUP($B47,'[8]Analisys QBR By Machine Report'!$C$109:$BD$166,6,FALSE)</f>
        <v>180</v>
      </c>
      <c r="K47" s="10">
        <f ca="1">VLOOKUP($B47,'[8]Analisys QBR By Machine Report'!$C$109:$BD$166,7,FALSE)</f>
        <v>0</v>
      </c>
      <c r="L47" s="10">
        <f ca="1">VLOOKUP($B47,'[8]Analisys QBR By Machine Report'!$C$109:$BD$166,8,FALSE)</f>
        <v>1290</v>
      </c>
      <c r="M47" s="10">
        <f ca="1">VLOOKUP($B47,'[8]Analisys QBR By Machine Report'!$C$109:$BD$166,9,FALSE)</f>
        <v>325</v>
      </c>
      <c r="N47" s="10">
        <f ca="1">VLOOKUP($B47,[8]Dasboard_QBR_Report!$B$109:$BL$166,18,FALSE)</f>
        <v>965</v>
      </c>
      <c r="O47" s="10">
        <f ca="1">VLOOKUP($B47,'[8]Analisys QBR By Machine Report'!$C$109:$BD$166,10,FALSE)</f>
        <v>30</v>
      </c>
      <c r="P47" s="10">
        <f ca="1">VLOOKUP($B47,'[8]Analisys QBR By Machine Report'!$C$109:$BD$166,11,FALSE)</f>
        <v>30</v>
      </c>
      <c r="Q47" s="10">
        <f ca="1">VLOOKUP($B47,'[8]Analisys QBR By Machine Report'!$C$109:$BD$166,12,FALSE)</f>
        <v>0</v>
      </c>
      <c r="R47" s="10">
        <f ca="1">VLOOKUP($B47,'[8]Analisys QBR By Machine Report'!$C$109:$BD$166,13,FALSE)</f>
        <v>0</v>
      </c>
      <c r="S47" s="10">
        <f ca="1">VLOOKUP($B47,'[8]Analisys QBR By Machine Report'!$C$109:$BD$166,14,FALSE)</f>
        <v>0</v>
      </c>
      <c r="T47" s="10">
        <f ca="1">VLOOKUP($B47,'[8]Analisys QBR By Machine Report'!$C$109:$BD$166,15,FALSE)</f>
        <v>0</v>
      </c>
      <c r="U47" s="10">
        <f ca="1">VLOOKUP($B47,'[8]Analisys QBR By Machine Report'!$C$109:$BD$166,16,FALSE)</f>
        <v>0</v>
      </c>
      <c r="V47" s="10">
        <f ca="1">VLOOKUP($B47,'[8]Analisys QBR By Machine Report'!$C$109:$BD$166,17,FALSE)</f>
        <v>0</v>
      </c>
      <c r="W47" s="10">
        <f ca="1">VLOOKUP($B47,'[8]Analisys QBR By Machine Report'!$C$109:$BD$166,18,FALSE)</f>
        <v>0</v>
      </c>
      <c r="X47" s="10">
        <f ca="1">VLOOKUP($B47,'[8]Analisys QBR By Machine Report'!$C$109:$BD$166,19,FALSE)</f>
        <v>0</v>
      </c>
      <c r="Y47" s="10">
        <f ca="1">VLOOKUP($B47,'[8]Analisys QBR By Machine Report'!$C$109:$BD$166,20,FALSE)</f>
        <v>0</v>
      </c>
      <c r="Z47" s="10">
        <f ca="1">VLOOKUP($B47,'[8]Analisys QBR By Machine Report'!$C$109:$BD$166,21,FALSE)</f>
        <v>375</v>
      </c>
      <c r="AA47" s="10">
        <f ca="1">VLOOKUP($B47,'[8]Analisys QBR By Machine Report'!$C$109:$BD$166,22,FALSE)</f>
        <v>110</v>
      </c>
      <c r="AB47" s="10">
        <f ca="1">VLOOKUP($B47,'[8]Analisys QBR By Machine Report'!$C$109:$BD$166,23,FALSE)</f>
        <v>60</v>
      </c>
      <c r="AC47" s="10">
        <f ca="1">VLOOKUP($B47,'[8]Analisys QBR By Machine Report'!$C$109:$BD$166,24,FALSE)</f>
        <v>0</v>
      </c>
      <c r="AD47" s="10">
        <f ca="1">VLOOKUP($B47,'[8]Analisys QBR By Machine Report'!$C$109:$BD$166,25,FALSE)</f>
        <v>0</v>
      </c>
      <c r="AE47" s="10">
        <f ca="1">VLOOKUP($B47,'[8]Analisys QBR By Machine Report'!$C$109:$BD$166,26,FALSE)</f>
        <v>205</v>
      </c>
      <c r="AF47" s="10">
        <f ca="1">VLOOKUP($B47,'[8]Analisys QBR By Machine Report'!$C$109:$BD$166,27,FALSE)</f>
        <v>150</v>
      </c>
      <c r="AG47" s="10">
        <f ca="1">VLOOKUP($B47,'[8]Analisys QBR By Machine Report'!$C$109:$BD$166,28,FALSE)</f>
        <v>150</v>
      </c>
      <c r="AH47" s="10">
        <f ca="1">VLOOKUP($B47,'[8]Analisys QBR By Machine Report'!$C$109:$BD$166,29,FALSE)</f>
        <v>0</v>
      </c>
      <c r="AI47" s="10">
        <f ca="1">VLOOKUP($B47,'[8]Analisys QBR By Machine Report'!$C$109:$BD$166,30,FALSE)</f>
        <v>410</v>
      </c>
      <c r="AJ47" s="10">
        <f ca="1">VLOOKUP($B47,'[8]Analisys QBR By Machine Report'!$C$109:$BD$166,31,FALSE)</f>
        <v>0</v>
      </c>
      <c r="AK47" s="10">
        <f ca="1">VLOOKUP($B47,'[8]Analisys QBR By Machine Report'!$C$109:$BD$166,32,FALSE)</f>
        <v>0</v>
      </c>
      <c r="AL47" s="10">
        <f ca="1">VLOOKUP($B47,'[8]Analisys QBR By Machine Report'!$C$109:$BD$166,33,FALSE)</f>
        <v>90</v>
      </c>
      <c r="AM47" s="10">
        <f ca="1">VLOOKUP($B47,'[8]Analisys QBR By Machine Report'!$C$109:$BD$166,34,FALSE)</f>
        <v>0</v>
      </c>
      <c r="AN47" s="10">
        <f ca="1">VLOOKUP($B47,'[8]Analisys QBR By Machine Report'!$C$109:$BD$166,35,FALSE)</f>
        <v>45</v>
      </c>
      <c r="AO47" s="10">
        <f ca="1">VLOOKUP($B47,'[8]Analisys QBR By Machine Report'!$C$109:$BD$166,36,FALSE)</f>
        <v>0</v>
      </c>
      <c r="AP47" s="10">
        <f ca="1">VLOOKUP($B47,'[8]Analisys QBR By Machine Report'!$C$109:$BD$166,37,FALSE)</f>
        <v>60</v>
      </c>
      <c r="AQ47" s="10">
        <f ca="1">VLOOKUP($B47,'[8]Analisys QBR By Machine Report'!$C$109:$BD$166,38,FALSE)</f>
        <v>0</v>
      </c>
      <c r="AR47" s="10">
        <f ca="1">VLOOKUP($B47,'[8]Analisys QBR By Machine Report'!$C$109:$BD$166,39,FALSE)</f>
        <v>125</v>
      </c>
      <c r="AS47" s="10">
        <f ca="1">VLOOKUP($B47,'[8]Analisys QBR By Machine Report'!$C$109:$BD$166,40,FALSE)</f>
        <v>35</v>
      </c>
      <c r="AT47" s="10">
        <f ca="1">VLOOKUP($B47,'[8]Analisys QBR By Machine Report'!$C$109:$BD$166,41,FALSE)</f>
        <v>0</v>
      </c>
      <c r="AU47" s="10">
        <f ca="1">VLOOKUP($B47,'[8]Analisys QBR By Machine Report'!$C$109:$BD$166,42,FALSE)</f>
        <v>0</v>
      </c>
      <c r="AV47" s="10">
        <f ca="1">VLOOKUP($B47,'[8]Analisys QBR By Machine Report'!$C$109:$BD$166,43,FALSE)</f>
        <v>0</v>
      </c>
      <c r="AW47" s="10">
        <f ca="1">VLOOKUP($B47,'[8]Analisys QBR By Machine Report'!$C$109:$BD$166,44,FALSE)</f>
        <v>0</v>
      </c>
      <c r="AX47" s="10">
        <f ca="1">VLOOKUP($B47,'[8]Analisys QBR By Machine Report'!$C$109:$BD$166,45,FALSE)</f>
        <v>0</v>
      </c>
      <c r="AY47" s="10">
        <f ca="1">VLOOKUP($B47,'[8]Analisys QBR By Machine Report'!$C$109:$BD$166,46,FALSE)</f>
        <v>0</v>
      </c>
      <c r="AZ47" s="10">
        <f ca="1">VLOOKUP($B47,'[8]Analisys QBR By Machine Report'!$C$109:$BD$166,47,FALSE)</f>
        <v>10</v>
      </c>
      <c r="BA47" s="10">
        <f ca="1">VLOOKUP($B47,'[8]Analisys QBR By Machine Report'!$C$109:$BD$166,48,FALSE)</f>
        <v>0</v>
      </c>
      <c r="BB47" s="10">
        <f ca="1">VLOOKUP($B47,'[8]Analisys QBR By Machine Report'!$C$109:$BD$166,49,FALSE)</f>
        <v>0</v>
      </c>
      <c r="BC47" s="10">
        <f ca="1">VLOOKUP($B47,'[8]Analisys QBR By Machine Report'!$C$109:$BD$166,50,FALSE)</f>
        <v>45</v>
      </c>
      <c r="BD47" s="10">
        <f ca="1">VLOOKUP($B47,'[8]Analisys QBR By Machine Report'!$C$109:$BD$166,51,FALSE)</f>
        <v>252230</v>
      </c>
      <c r="BE47" s="10">
        <f ca="1">VLOOKUP($B47,'[8]Analisys QBR By Machine Report'!$C$109:$BD$166,52,FALSE)</f>
        <v>0</v>
      </c>
      <c r="BF47" s="10">
        <f ca="1">VLOOKUP($B47,'[8]Analisys QBR By Machine Report'!$C$109:$BD$166,53,FALSE)</f>
        <v>252230</v>
      </c>
    </row>
    <row r="48" spans="1:58" x14ac:dyDescent="0.25">
      <c r="A48" s="12" t="s">
        <v>104</v>
      </c>
      <c r="B48" s="13">
        <f ca="1">VLOOKUP($B48,'[8]Analisys QBR By Machine Report'!$C$109:$BD$166,2,FALSE)</f>
        <v>28800</v>
      </c>
      <c r="C48" s="14">
        <f ca="1">VLOOKUP($B48,[8]Dasboard_QBR_Report!$B$109:$BL$166,3,FALSE)</f>
        <v>9600</v>
      </c>
      <c r="D48" s="13">
        <f ca="1">VLOOKUP($B48,'[8]Analisys QBR By Machine Report'!$C$109:$BD$166,3,FALSE)</f>
        <v>27270</v>
      </c>
      <c r="E48" s="14">
        <f ca="1">VLOOKUP($B48,[8]Dasboard_QBR_Report!$B$109:$BL$166,5,FALSE)</f>
        <v>8070</v>
      </c>
      <c r="F48" s="13">
        <f t="shared" ca="1" si="0"/>
        <v>1530</v>
      </c>
      <c r="G48" s="13">
        <f t="shared" ca="1" si="1"/>
        <v>240</v>
      </c>
      <c r="H48" s="13">
        <f ca="1">VLOOKUP($B48,'[8]Analisys QBR By Machine Report'!$C$109:$BD$166,4,FALSE)</f>
        <v>240</v>
      </c>
      <c r="I48" s="13">
        <f ca="1">VLOOKUP($B48,'[8]Analisys QBR By Machine Report'!$C$109:$BD$166,5,FALSE)</f>
        <v>60</v>
      </c>
      <c r="J48" s="13">
        <f ca="1">VLOOKUP($B48,'[8]Analisys QBR By Machine Report'!$C$109:$BD$166,6,FALSE)</f>
        <v>180</v>
      </c>
      <c r="K48" s="13">
        <f ca="1">VLOOKUP($B48,'[8]Analisys QBR By Machine Report'!$C$109:$BD$166,7,FALSE)</f>
        <v>0</v>
      </c>
      <c r="L48" s="13">
        <f ca="1">VLOOKUP($B48,'[8]Analisys QBR By Machine Report'!$C$109:$BD$166,8,FALSE)</f>
        <v>1290</v>
      </c>
      <c r="M48" s="13">
        <f ca="1">VLOOKUP($B48,'[8]Analisys QBR By Machine Report'!$C$109:$BD$166,9,FALSE)</f>
        <v>325</v>
      </c>
      <c r="N48" s="13">
        <f ca="1">VLOOKUP($B48,[8]Dasboard_QBR_Report!$B$109:$BL$166,18,FALSE)</f>
        <v>965</v>
      </c>
      <c r="O48" s="13">
        <f ca="1">VLOOKUP($B48,'[8]Analisys QBR By Machine Report'!$C$109:$BD$166,10,FALSE)</f>
        <v>30</v>
      </c>
      <c r="P48" s="13">
        <f ca="1">VLOOKUP($B48,'[8]Analisys QBR By Machine Report'!$C$109:$BD$166,11,FALSE)</f>
        <v>30</v>
      </c>
      <c r="Q48" s="13">
        <f ca="1">VLOOKUP($B48,'[8]Analisys QBR By Machine Report'!$C$109:$BD$166,12,FALSE)</f>
        <v>0</v>
      </c>
      <c r="R48" s="13">
        <f ca="1">VLOOKUP($B48,'[8]Analisys QBR By Machine Report'!$C$109:$BD$166,13,FALSE)</f>
        <v>0</v>
      </c>
      <c r="S48" s="13">
        <f ca="1">VLOOKUP($B48,'[8]Analisys QBR By Machine Report'!$C$109:$BD$166,14,FALSE)</f>
        <v>0</v>
      </c>
      <c r="T48" s="13">
        <f ca="1">VLOOKUP($B48,'[8]Analisys QBR By Machine Report'!$C$109:$BD$166,15,FALSE)</f>
        <v>0</v>
      </c>
      <c r="U48" s="13">
        <f ca="1">VLOOKUP($B48,'[8]Analisys QBR By Machine Report'!$C$109:$BD$166,16,FALSE)</f>
        <v>0</v>
      </c>
      <c r="V48" s="13">
        <f ca="1">VLOOKUP($B48,'[8]Analisys QBR By Machine Report'!$C$109:$BD$166,17,FALSE)</f>
        <v>0</v>
      </c>
      <c r="W48" s="13">
        <f ca="1">VLOOKUP($B48,'[8]Analisys QBR By Machine Report'!$C$109:$BD$166,18,FALSE)</f>
        <v>0</v>
      </c>
      <c r="X48" s="13">
        <f ca="1">VLOOKUP($B48,'[8]Analisys QBR By Machine Report'!$C$109:$BD$166,19,FALSE)</f>
        <v>0</v>
      </c>
      <c r="Y48" s="13">
        <f ca="1">VLOOKUP($B48,'[8]Analisys QBR By Machine Report'!$C$109:$BD$166,20,FALSE)</f>
        <v>0</v>
      </c>
      <c r="Z48" s="13">
        <f ca="1">VLOOKUP($B48,'[8]Analisys QBR By Machine Report'!$C$109:$BD$166,21,FALSE)</f>
        <v>375</v>
      </c>
      <c r="AA48" s="13">
        <f ca="1">VLOOKUP($B48,'[8]Analisys QBR By Machine Report'!$C$109:$BD$166,22,FALSE)</f>
        <v>110</v>
      </c>
      <c r="AB48" s="13">
        <f ca="1">VLOOKUP($B48,'[8]Analisys QBR By Machine Report'!$C$109:$BD$166,23,FALSE)</f>
        <v>60</v>
      </c>
      <c r="AC48" s="13">
        <f ca="1">VLOOKUP($B48,'[8]Analisys QBR By Machine Report'!$C$109:$BD$166,24,FALSE)</f>
        <v>0</v>
      </c>
      <c r="AD48" s="13">
        <f ca="1">VLOOKUP($B48,'[8]Analisys QBR By Machine Report'!$C$109:$BD$166,25,FALSE)</f>
        <v>0</v>
      </c>
      <c r="AE48" s="13">
        <f ca="1">VLOOKUP($B48,'[8]Analisys QBR By Machine Report'!$C$109:$BD$166,26,FALSE)</f>
        <v>205</v>
      </c>
      <c r="AF48" s="13">
        <f ca="1">VLOOKUP($B48,'[8]Analisys QBR By Machine Report'!$C$109:$BD$166,27,FALSE)</f>
        <v>150</v>
      </c>
      <c r="AG48" s="13">
        <f ca="1">VLOOKUP($B48,'[8]Analisys QBR By Machine Report'!$C$109:$BD$166,28,FALSE)</f>
        <v>150</v>
      </c>
      <c r="AH48" s="13">
        <f ca="1">VLOOKUP($B48,'[8]Analisys QBR By Machine Report'!$C$109:$BD$166,29,FALSE)</f>
        <v>0</v>
      </c>
      <c r="AI48" s="13">
        <f ca="1">VLOOKUP($B48,'[8]Analisys QBR By Machine Report'!$C$109:$BD$166,30,FALSE)</f>
        <v>410</v>
      </c>
      <c r="AJ48" s="13">
        <f ca="1">VLOOKUP($B48,'[8]Analisys QBR By Machine Report'!$C$109:$BD$166,31,FALSE)</f>
        <v>0</v>
      </c>
      <c r="AK48" s="13">
        <f ca="1">VLOOKUP($B48,'[8]Analisys QBR By Machine Report'!$C$109:$BD$166,32,FALSE)</f>
        <v>0</v>
      </c>
      <c r="AL48" s="13">
        <f ca="1">VLOOKUP($B48,'[8]Analisys QBR By Machine Report'!$C$109:$BD$166,33,FALSE)</f>
        <v>90</v>
      </c>
      <c r="AM48" s="13">
        <f ca="1">VLOOKUP($B48,'[8]Analisys QBR By Machine Report'!$C$109:$BD$166,34,FALSE)</f>
        <v>0</v>
      </c>
      <c r="AN48" s="13">
        <f ca="1">VLOOKUP($B48,'[8]Analisys QBR By Machine Report'!$C$109:$BD$166,35,FALSE)</f>
        <v>45</v>
      </c>
      <c r="AO48" s="13">
        <f ca="1">VLOOKUP($B48,'[8]Analisys QBR By Machine Report'!$C$109:$BD$166,36,FALSE)</f>
        <v>0</v>
      </c>
      <c r="AP48" s="13">
        <f ca="1">VLOOKUP($B48,'[8]Analisys QBR By Machine Report'!$C$109:$BD$166,37,FALSE)</f>
        <v>60</v>
      </c>
      <c r="AQ48" s="13">
        <f ca="1">VLOOKUP($B48,'[8]Analisys QBR By Machine Report'!$C$109:$BD$166,38,FALSE)</f>
        <v>0</v>
      </c>
      <c r="AR48" s="13">
        <f ca="1">VLOOKUP($B48,'[8]Analisys QBR By Machine Report'!$C$109:$BD$166,39,FALSE)</f>
        <v>125</v>
      </c>
      <c r="AS48" s="13">
        <f ca="1">VLOOKUP($B48,'[8]Analisys QBR By Machine Report'!$C$109:$BD$166,40,FALSE)</f>
        <v>35</v>
      </c>
      <c r="AT48" s="13">
        <f ca="1">VLOOKUP($B48,'[8]Analisys QBR By Machine Report'!$C$109:$BD$166,41,FALSE)</f>
        <v>0</v>
      </c>
      <c r="AU48" s="13">
        <f ca="1">VLOOKUP($B48,'[8]Analisys QBR By Machine Report'!$C$109:$BD$166,42,FALSE)</f>
        <v>0</v>
      </c>
      <c r="AV48" s="13">
        <f ca="1">VLOOKUP($B48,'[8]Analisys QBR By Machine Report'!$C$109:$BD$166,43,FALSE)</f>
        <v>0</v>
      </c>
      <c r="AW48" s="13">
        <f ca="1">VLOOKUP($B48,'[8]Analisys QBR By Machine Report'!$C$109:$BD$166,44,FALSE)</f>
        <v>0</v>
      </c>
      <c r="AX48" s="13">
        <f ca="1">VLOOKUP($B48,'[8]Analisys QBR By Machine Report'!$C$109:$BD$166,45,FALSE)</f>
        <v>0</v>
      </c>
      <c r="AY48" s="13">
        <f ca="1">VLOOKUP($B48,'[8]Analisys QBR By Machine Report'!$C$109:$BD$166,46,FALSE)</f>
        <v>0</v>
      </c>
      <c r="AZ48" s="13">
        <f ca="1">VLOOKUP($B48,'[8]Analisys QBR By Machine Report'!$C$109:$BD$166,47,FALSE)</f>
        <v>10</v>
      </c>
      <c r="BA48" s="13">
        <f ca="1">VLOOKUP($B48,'[8]Analisys QBR By Machine Report'!$C$109:$BD$166,48,FALSE)</f>
        <v>0</v>
      </c>
      <c r="BB48" s="13">
        <f ca="1">VLOOKUP($B48,'[8]Analisys QBR By Machine Report'!$C$109:$BD$166,49,FALSE)</f>
        <v>0</v>
      </c>
      <c r="BC48" s="13">
        <f ca="1">VLOOKUP($B48,'[8]Analisys QBR By Machine Report'!$C$109:$BD$166,50,FALSE)</f>
        <v>45</v>
      </c>
      <c r="BD48" s="13">
        <f ca="1">VLOOKUP($B48,'[8]Analisys QBR By Machine Report'!$C$109:$BD$166,51,FALSE)</f>
        <v>252230</v>
      </c>
      <c r="BE48" s="13">
        <f ca="1">VLOOKUP($B48,'[8]Analisys QBR By Machine Report'!$C$109:$BD$166,52,FALSE)</f>
        <v>0</v>
      </c>
      <c r="BF48" s="13">
        <f ca="1">VLOOKUP($B48,'[8]Analisys QBR By Machine Report'!$C$109:$BD$166,53,FALSE)</f>
        <v>252230</v>
      </c>
    </row>
    <row r="49" spans="1:58" x14ac:dyDescent="0.25">
      <c r="A49" s="9" t="s">
        <v>105</v>
      </c>
      <c r="B49" s="10">
        <f ca="1">VLOOKUP($B49,'[8]Analisys QBR By Machine Report'!$C$109:$BD$166,2,FALSE)</f>
        <v>28800</v>
      </c>
      <c r="C49" s="11">
        <f ca="1">VLOOKUP($B49,[8]Dasboard_QBR_Report!$B$109:$BL$166,3,FALSE)</f>
        <v>9600</v>
      </c>
      <c r="D49" s="10">
        <f ca="1">VLOOKUP($B49,'[8]Analisys QBR By Machine Report'!$C$109:$BD$166,3,FALSE)</f>
        <v>27780</v>
      </c>
      <c r="E49" s="11">
        <f ca="1">VLOOKUP($B49,[8]Dasboard_QBR_Report!$B$109:$BL$166,5,FALSE)</f>
        <v>8580</v>
      </c>
      <c r="F49" s="10">
        <f t="shared" ca="1" si="0"/>
        <v>1020</v>
      </c>
      <c r="G49" s="10">
        <f t="shared" ca="1" si="1"/>
        <v>60</v>
      </c>
      <c r="H49" s="10">
        <f ca="1">VLOOKUP($B49,'[8]Analisys QBR By Machine Report'!$C$109:$BD$166,4,FALSE)</f>
        <v>60</v>
      </c>
      <c r="I49" s="10">
        <f ca="1">VLOOKUP($B49,'[8]Analisys QBR By Machine Report'!$C$109:$BD$166,5,FALSE)</f>
        <v>60</v>
      </c>
      <c r="J49" s="10">
        <f ca="1">VLOOKUP($B49,'[8]Analisys QBR By Machine Report'!$C$109:$BD$166,6,FALSE)</f>
        <v>0</v>
      </c>
      <c r="K49" s="10">
        <f ca="1">VLOOKUP($B49,'[8]Analisys QBR By Machine Report'!$C$109:$BD$166,7,FALSE)</f>
        <v>0</v>
      </c>
      <c r="L49" s="10">
        <f ca="1">VLOOKUP($B49,'[8]Analisys QBR By Machine Report'!$C$109:$BD$166,8,FALSE)</f>
        <v>960</v>
      </c>
      <c r="M49" s="10">
        <f ca="1">VLOOKUP($B49,'[8]Analisys QBR By Machine Report'!$C$109:$BD$166,9,FALSE)</f>
        <v>470</v>
      </c>
      <c r="N49" s="10">
        <f ca="1">VLOOKUP($B49,[8]Dasboard_QBR_Report!$B$109:$BL$166,18,FALSE)</f>
        <v>490</v>
      </c>
      <c r="O49" s="10">
        <f ca="1">VLOOKUP($B49,'[8]Analisys QBR By Machine Report'!$C$109:$BD$166,10,FALSE)</f>
        <v>120</v>
      </c>
      <c r="P49" s="10">
        <f ca="1">VLOOKUP($B49,'[8]Analisys QBR By Machine Report'!$C$109:$BD$166,11,FALSE)</f>
        <v>90</v>
      </c>
      <c r="Q49" s="10">
        <f ca="1">VLOOKUP($B49,'[8]Analisys QBR By Machine Report'!$C$109:$BD$166,12,FALSE)</f>
        <v>0</v>
      </c>
      <c r="R49" s="10">
        <f ca="1">VLOOKUP($B49,'[8]Analisys QBR By Machine Report'!$C$109:$BD$166,13,FALSE)</f>
        <v>20</v>
      </c>
      <c r="S49" s="10">
        <f ca="1">VLOOKUP($B49,'[8]Analisys QBR By Machine Report'!$C$109:$BD$166,14,FALSE)</f>
        <v>10</v>
      </c>
      <c r="T49" s="10">
        <f ca="1">VLOOKUP($B49,'[8]Analisys QBR By Machine Report'!$C$109:$BD$166,15,FALSE)</f>
        <v>0</v>
      </c>
      <c r="U49" s="10">
        <f ca="1">VLOOKUP($B49,'[8]Analisys QBR By Machine Report'!$C$109:$BD$166,16,FALSE)</f>
        <v>0</v>
      </c>
      <c r="V49" s="10">
        <f ca="1">VLOOKUP($B49,'[8]Analisys QBR By Machine Report'!$C$109:$BD$166,17,FALSE)</f>
        <v>0</v>
      </c>
      <c r="W49" s="10">
        <f ca="1">VLOOKUP($B49,'[8]Analisys QBR By Machine Report'!$C$109:$BD$166,18,FALSE)</f>
        <v>0</v>
      </c>
      <c r="X49" s="10">
        <f ca="1">VLOOKUP($B49,'[8]Analisys QBR By Machine Report'!$C$109:$BD$166,19,FALSE)</f>
        <v>0</v>
      </c>
      <c r="Y49" s="10">
        <f ca="1">VLOOKUP($B49,'[8]Analisys QBR By Machine Report'!$C$109:$BD$166,20,FALSE)</f>
        <v>0</v>
      </c>
      <c r="Z49" s="10">
        <f ca="1">VLOOKUP($B49,'[8]Analisys QBR By Machine Report'!$C$109:$BD$166,21,FALSE)</f>
        <v>190</v>
      </c>
      <c r="AA49" s="10">
        <f ca="1">VLOOKUP($B49,'[8]Analisys QBR By Machine Report'!$C$109:$BD$166,22,FALSE)</f>
        <v>135</v>
      </c>
      <c r="AB49" s="10">
        <f ca="1">VLOOKUP($B49,'[8]Analisys QBR By Machine Report'!$C$109:$BD$166,23,FALSE)</f>
        <v>10</v>
      </c>
      <c r="AC49" s="10">
        <f ca="1">VLOOKUP($B49,'[8]Analisys QBR By Machine Report'!$C$109:$BD$166,24,FALSE)</f>
        <v>0</v>
      </c>
      <c r="AD49" s="10">
        <f ca="1">VLOOKUP($B49,'[8]Analisys QBR By Machine Report'!$C$109:$BD$166,25,FALSE)</f>
        <v>0</v>
      </c>
      <c r="AE49" s="10">
        <f ca="1">VLOOKUP($B49,'[8]Analisys QBR By Machine Report'!$C$109:$BD$166,26,FALSE)</f>
        <v>45</v>
      </c>
      <c r="AF49" s="10">
        <f ca="1">VLOOKUP($B49,'[8]Analisys QBR By Machine Report'!$C$109:$BD$166,27,FALSE)</f>
        <v>0</v>
      </c>
      <c r="AG49" s="10">
        <f ca="1">VLOOKUP($B49,'[8]Analisys QBR By Machine Report'!$C$109:$BD$166,28,FALSE)</f>
        <v>0</v>
      </c>
      <c r="AH49" s="10">
        <f ca="1">VLOOKUP($B49,'[8]Analisys QBR By Machine Report'!$C$109:$BD$166,29,FALSE)</f>
        <v>0</v>
      </c>
      <c r="AI49" s="10">
        <f ca="1">VLOOKUP($B49,'[8]Analisys QBR By Machine Report'!$C$109:$BD$166,30,FALSE)</f>
        <v>180</v>
      </c>
      <c r="AJ49" s="10">
        <f ca="1">VLOOKUP($B49,'[8]Analisys QBR By Machine Report'!$C$109:$BD$166,31,FALSE)</f>
        <v>0</v>
      </c>
      <c r="AK49" s="10">
        <f ca="1">VLOOKUP($B49,'[8]Analisys QBR By Machine Report'!$C$109:$BD$166,32,FALSE)</f>
        <v>0</v>
      </c>
      <c r="AL49" s="10">
        <f ca="1">VLOOKUP($B49,'[8]Analisys QBR By Machine Report'!$C$109:$BD$166,33,FALSE)</f>
        <v>60</v>
      </c>
      <c r="AM49" s="10">
        <f ca="1">VLOOKUP($B49,'[8]Analisys QBR By Machine Report'!$C$109:$BD$166,34,FALSE)</f>
        <v>0</v>
      </c>
      <c r="AN49" s="10">
        <f ca="1">VLOOKUP($B49,'[8]Analisys QBR By Machine Report'!$C$109:$BD$166,35,FALSE)</f>
        <v>30</v>
      </c>
      <c r="AO49" s="10">
        <f ca="1">VLOOKUP($B49,'[8]Analisys QBR By Machine Report'!$C$109:$BD$166,36,FALSE)</f>
        <v>0</v>
      </c>
      <c r="AP49" s="10">
        <f ca="1">VLOOKUP($B49,'[8]Analisys QBR By Machine Report'!$C$109:$BD$166,37,FALSE)</f>
        <v>45</v>
      </c>
      <c r="AQ49" s="10">
        <f ca="1">VLOOKUP($B49,'[8]Analisys QBR By Machine Report'!$C$109:$BD$166,38,FALSE)</f>
        <v>0</v>
      </c>
      <c r="AR49" s="10">
        <f ca="1">VLOOKUP($B49,'[8]Analisys QBR By Machine Report'!$C$109:$BD$166,39,FALSE)</f>
        <v>0</v>
      </c>
      <c r="AS49" s="10">
        <f ca="1">VLOOKUP($B49,'[8]Analisys QBR By Machine Report'!$C$109:$BD$166,40,FALSE)</f>
        <v>15</v>
      </c>
      <c r="AT49" s="10">
        <f ca="1">VLOOKUP($B49,'[8]Analisys QBR By Machine Report'!$C$109:$BD$166,41,FALSE)</f>
        <v>0</v>
      </c>
      <c r="AU49" s="10">
        <f ca="1">VLOOKUP($B49,'[8]Analisys QBR By Machine Report'!$C$109:$BD$166,42,FALSE)</f>
        <v>0</v>
      </c>
      <c r="AV49" s="10">
        <f ca="1">VLOOKUP($B49,'[8]Analisys QBR By Machine Report'!$C$109:$BD$166,43,FALSE)</f>
        <v>0</v>
      </c>
      <c r="AW49" s="10">
        <f ca="1">VLOOKUP($B49,'[8]Analisys QBR By Machine Report'!$C$109:$BD$166,44,FALSE)</f>
        <v>0</v>
      </c>
      <c r="AX49" s="10">
        <f ca="1">VLOOKUP($B49,'[8]Analisys QBR By Machine Report'!$C$109:$BD$166,45,FALSE)</f>
        <v>0</v>
      </c>
      <c r="AY49" s="10">
        <f ca="1">VLOOKUP($B49,'[8]Analisys QBR By Machine Report'!$C$109:$BD$166,46,FALSE)</f>
        <v>0</v>
      </c>
      <c r="AZ49" s="10">
        <f ca="1">VLOOKUP($B49,'[8]Analisys QBR By Machine Report'!$C$109:$BD$166,47,FALSE)</f>
        <v>30</v>
      </c>
      <c r="BA49" s="10">
        <f ca="1">VLOOKUP($B49,'[8]Analisys QBR By Machine Report'!$C$109:$BD$166,48,FALSE)</f>
        <v>0</v>
      </c>
      <c r="BB49" s="10">
        <f ca="1">VLOOKUP($B49,'[8]Analisys QBR By Machine Report'!$C$109:$BD$166,49,FALSE)</f>
        <v>0</v>
      </c>
      <c r="BC49" s="10">
        <f ca="1">VLOOKUP($B49,'[8]Analisys QBR By Machine Report'!$C$109:$BD$166,50,FALSE)</f>
        <v>0</v>
      </c>
      <c r="BD49" s="10">
        <f ca="1">VLOOKUP($B49,'[8]Analisys QBR By Machine Report'!$C$109:$BD$166,51,FALSE)</f>
        <v>408664</v>
      </c>
      <c r="BE49" s="10">
        <f ca="1">VLOOKUP($B49,'[8]Analisys QBR By Machine Report'!$C$109:$BD$166,52,FALSE)</f>
        <v>1004</v>
      </c>
      <c r="BF49" s="10">
        <f ca="1">VLOOKUP($B49,'[8]Analisys QBR By Machine Report'!$C$109:$BD$166,53,FALSE)</f>
        <v>407660</v>
      </c>
    </row>
    <row r="50" spans="1:58" x14ac:dyDescent="0.25">
      <c r="A50" s="12" t="s">
        <v>106</v>
      </c>
      <c r="B50" s="13">
        <f ca="1">VLOOKUP($B50,'[8]Analisys QBR By Machine Report'!$C$109:$BD$166,2,FALSE)</f>
        <v>28800</v>
      </c>
      <c r="C50" s="14">
        <f ca="1">VLOOKUP($B50,[8]Dasboard_QBR_Report!$B$109:$BL$166,3,FALSE)</f>
        <v>9600</v>
      </c>
      <c r="D50" s="13">
        <f ca="1">VLOOKUP($B50,'[8]Analisys QBR By Machine Report'!$C$109:$BD$166,3,FALSE)</f>
        <v>27780</v>
      </c>
      <c r="E50" s="14">
        <f ca="1">VLOOKUP($B50,[8]Dasboard_QBR_Report!$B$109:$BL$166,5,FALSE)</f>
        <v>8580</v>
      </c>
      <c r="F50" s="13">
        <f t="shared" ca="1" si="0"/>
        <v>1020</v>
      </c>
      <c r="G50" s="13">
        <f t="shared" ca="1" si="1"/>
        <v>60</v>
      </c>
      <c r="H50" s="13">
        <f ca="1">VLOOKUP($B50,'[8]Analisys QBR By Machine Report'!$C$109:$BD$166,4,FALSE)</f>
        <v>60</v>
      </c>
      <c r="I50" s="13">
        <f ca="1">VLOOKUP($B50,'[8]Analisys QBR By Machine Report'!$C$109:$BD$166,5,FALSE)</f>
        <v>60</v>
      </c>
      <c r="J50" s="13">
        <f ca="1">VLOOKUP($B50,'[8]Analisys QBR By Machine Report'!$C$109:$BD$166,6,FALSE)</f>
        <v>0</v>
      </c>
      <c r="K50" s="13">
        <f ca="1">VLOOKUP($B50,'[8]Analisys QBR By Machine Report'!$C$109:$BD$166,7,FALSE)</f>
        <v>0</v>
      </c>
      <c r="L50" s="13">
        <f ca="1">VLOOKUP($B50,'[8]Analisys QBR By Machine Report'!$C$109:$BD$166,8,FALSE)</f>
        <v>960</v>
      </c>
      <c r="M50" s="13">
        <f ca="1">VLOOKUP($B50,'[8]Analisys QBR By Machine Report'!$C$109:$BD$166,9,FALSE)</f>
        <v>470</v>
      </c>
      <c r="N50" s="13">
        <f ca="1">VLOOKUP($B50,[8]Dasboard_QBR_Report!$B$109:$BL$166,18,FALSE)</f>
        <v>490</v>
      </c>
      <c r="O50" s="13">
        <f ca="1">VLOOKUP($B50,'[8]Analisys QBR By Machine Report'!$C$109:$BD$166,10,FALSE)</f>
        <v>120</v>
      </c>
      <c r="P50" s="13">
        <f ca="1">VLOOKUP($B50,'[8]Analisys QBR By Machine Report'!$C$109:$BD$166,11,FALSE)</f>
        <v>90</v>
      </c>
      <c r="Q50" s="13">
        <f ca="1">VLOOKUP($B50,'[8]Analisys QBR By Machine Report'!$C$109:$BD$166,12,FALSE)</f>
        <v>0</v>
      </c>
      <c r="R50" s="13">
        <f ca="1">VLOOKUP($B50,'[8]Analisys QBR By Machine Report'!$C$109:$BD$166,13,FALSE)</f>
        <v>20</v>
      </c>
      <c r="S50" s="13">
        <f ca="1">VLOOKUP($B50,'[8]Analisys QBR By Machine Report'!$C$109:$BD$166,14,FALSE)</f>
        <v>10</v>
      </c>
      <c r="T50" s="13">
        <f ca="1">VLOOKUP($B50,'[8]Analisys QBR By Machine Report'!$C$109:$BD$166,15,FALSE)</f>
        <v>0</v>
      </c>
      <c r="U50" s="13">
        <f ca="1">VLOOKUP($B50,'[8]Analisys QBR By Machine Report'!$C$109:$BD$166,16,FALSE)</f>
        <v>0</v>
      </c>
      <c r="V50" s="13">
        <f ca="1">VLOOKUP($B50,'[8]Analisys QBR By Machine Report'!$C$109:$BD$166,17,FALSE)</f>
        <v>0</v>
      </c>
      <c r="W50" s="13">
        <f ca="1">VLOOKUP($B50,'[8]Analisys QBR By Machine Report'!$C$109:$BD$166,18,FALSE)</f>
        <v>0</v>
      </c>
      <c r="X50" s="13">
        <f ca="1">VLOOKUP($B50,'[8]Analisys QBR By Machine Report'!$C$109:$BD$166,19,FALSE)</f>
        <v>0</v>
      </c>
      <c r="Y50" s="13">
        <f ca="1">VLOOKUP($B50,'[8]Analisys QBR By Machine Report'!$C$109:$BD$166,20,FALSE)</f>
        <v>0</v>
      </c>
      <c r="Z50" s="13">
        <f ca="1">VLOOKUP($B50,'[8]Analisys QBR By Machine Report'!$C$109:$BD$166,21,FALSE)</f>
        <v>190</v>
      </c>
      <c r="AA50" s="13">
        <f ca="1">VLOOKUP($B50,'[8]Analisys QBR By Machine Report'!$C$109:$BD$166,22,FALSE)</f>
        <v>135</v>
      </c>
      <c r="AB50" s="13">
        <f ca="1">VLOOKUP($B50,'[8]Analisys QBR By Machine Report'!$C$109:$BD$166,23,FALSE)</f>
        <v>10</v>
      </c>
      <c r="AC50" s="13">
        <f ca="1">VLOOKUP($B50,'[8]Analisys QBR By Machine Report'!$C$109:$BD$166,24,FALSE)</f>
        <v>0</v>
      </c>
      <c r="AD50" s="13">
        <f ca="1">VLOOKUP($B50,'[8]Analisys QBR By Machine Report'!$C$109:$BD$166,25,FALSE)</f>
        <v>0</v>
      </c>
      <c r="AE50" s="13">
        <f ca="1">VLOOKUP($B50,'[8]Analisys QBR By Machine Report'!$C$109:$BD$166,26,FALSE)</f>
        <v>45</v>
      </c>
      <c r="AF50" s="13">
        <f ca="1">VLOOKUP($B50,'[8]Analisys QBR By Machine Report'!$C$109:$BD$166,27,FALSE)</f>
        <v>0</v>
      </c>
      <c r="AG50" s="13">
        <f ca="1">VLOOKUP($B50,'[8]Analisys QBR By Machine Report'!$C$109:$BD$166,28,FALSE)</f>
        <v>0</v>
      </c>
      <c r="AH50" s="13">
        <f ca="1">VLOOKUP($B50,'[8]Analisys QBR By Machine Report'!$C$109:$BD$166,29,FALSE)</f>
        <v>0</v>
      </c>
      <c r="AI50" s="13">
        <f ca="1">VLOOKUP($B50,'[8]Analisys QBR By Machine Report'!$C$109:$BD$166,30,FALSE)</f>
        <v>180</v>
      </c>
      <c r="AJ50" s="13">
        <f ca="1">VLOOKUP($B50,'[8]Analisys QBR By Machine Report'!$C$109:$BD$166,31,FALSE)</f>
        <v>0</v>
      </c>
      <c r="AK50" s="13">
        <f ca="1">VLOOKUP($B50,'[8]Analisys QBR By Machine Report'!$C$109:$BD$166,32,FALSE)</f>
        <v>0</v>
      </c>
      <c r="AL50" s="13">
        <f ca="1">VLOOKUP($B50,'[8]Analisys QBR By Machine Report'!$C$109:$BD$166,33,FALSE)</f>
        <v>60</v>
      </c>
      <c r="AM50" s="13">
        <f ca="1">VLOOKUP($B50,'[8]Analisys QBR By Machine Report'!$C$109:$BD$166,34,FALSE)</f>
        <v>0</v>
      </c>
      <c r="AN50" s="13">
        <f ca="1">VLOOKUP($B50,'[8]Analisys QBR By Machine Report'!$C$109:$BD$166,35,FALSE)</f>
        <v>30</v>
      </c>
      <c r="AO50" s="13">
        <f ca="1">VLOOKUP($B50,'[8]Analisys QBR By Machine Report'!$C$109:$BD$166,36,FALSE)</f>
        <v>0</v>
      </c>
      <c r="AP50" s="13">
        <f ca="1">VLOOKUP($B50,'[8]Analisys QBR By Machine Report'!$C$109:$BD$166,37,FALSE)</f>
        <v>45</v>
      </c>
      <c r="AQ50" s="13">
        <f ca="1">VLOOKUP($B50,'[8]Analisys QBR By Machine Report'!$C$109:$BD$166,38,FALSE)</f>
        <v>0</v>
      </c>
      <c r="AR50" s="13">
        <f ca="1">VLOOKUP($B50,'[8]Analisys QBR By Machine Report'!$C$109:$BD$166,39,FALSE)</f>
        <v>0</v>
      </c>
      <c r="AS50" s="13">
        <f ca="1">VLOOKUP($B50,'[8]Analisys QBR By Machine Report'!$C$109:$BD$166,40,FALSE)</f>
        <v>15</v>
      </c>
      <c r="AT50" s="13">
        <f ca="1">VLOOKUP($B50,'[8]Analisys QBR By Machine Report'!$C$109:$BD$166,41,FALSE)</f>
        <v>0</v>
      </c>
      <c r="AU50" s="13">
        <f ca="1">VLOOKUP($B50,'[8]Analisys QBR By Machine Report'!$C$109:$BD$166,42,FALSE)</f>
        <v>0</v>
      </c>
      <c r="AV50" s="13">
        <f ca="1">VLOOKUP($B50,'[8]Analisys QBR By Machine Report'!$C$109:$BD$166,43,FALSE)</f>
        <v>0</v>
      </c>
      <c r="AW50" s="13">
        <f ca="1">VLOOKUP($B50,'[8]Analisys QBR By Machine Report'!$C$109:$BD$166,44,FALSE)</f>
        <v>0</v>
      </c>
      <c r="AX50" s="13">
        <f ca="1">VLOOKUP($B50,'[8]Analisys QBR By Machine Report'!$C$109:$BD$166,45,FALSE)</f>
        <v>0</v>
      </c>
      <c r="AY50" s="13">
        <f ca="1">VLOOKUP($B50,'[8]Analisys QBR By Machine Report'!$C$109:$BD$166,46,FALSE)</f>
        <v>0</v>
      </c>
      <c r="AZ50" s="13">
        <f ca="1">VLOOKUP($B50,'[8]Analisys QBR By Machine Report'!$C$109:$BD$166,47,FALSE)</f>
        <v>30</v>
      </c>
      <c r="BA50" s="13">
        <f ca="1">VLOOKUP($B50,'[8]Analisys QBR By Machine Report'!$C$109:$BD$166,48,FALSE)</f>
        <v>0</v>
      </c>
      <c r="BB50" s="13">
        <f ca="1">VLOOKUP($B50,'[8]Analisys QBR By Machine Report'!$C$109:$BD$166,49,FALSE)</f>
        <v>0</v>
      </c>
      <c r="BC50" s="13">
        <f ca="1">VLOOKUP($B50,'[8]Analisys QBR By Machine Report'!$C$109:$BD$166,50,FALSE)</f>
        <v>0</v>
      </c>
      <c r="BD50" s="13">
        <f ca="1">VLOOKUP($B50,'[8]Analisys QBR By Machine Report'!$C$109:$BD$166,51,FALSE)</f>
        <v>408664</v>
      </c>
      <c r="BE50" s="13">
        <f ca="1">VLOOKUP($B50,'[8]Analisys QBR By Machine Report'!$C$109:$BD$166,52,FALSE)</f>
        <v>1004</v>
      </c>
      <c r="BF50" s="13">
        <f ca="1">VLOOKUP($B50,'[8]Analisys QBR By Machine Report'!$C$109:$BD$166,53,FALSE)</f>
        <v>407660</v>
      </c>
    </row>
    <row r="51" spans="1:58" x14ac:dyDescent="0.25">
      <c r="A51" s="9" t="s">
        <v>107</v>
      </c>
      <c r="B51" s="10">
        <f ca="1">VLOOKUP($B51,'[8]Analisys QBR By Machine Report'!$C$109:$BD$166,2,FALSE)</f>
        <v>28800</v>
      </c>
      <c r="C51" s="11">
        <f ca="1">VLOOKUP($B51,[8]Dasboard_QBR_Report!$B$109:$BL$166,3,FALSE)</f>
        <v>18600</v>
      </c>
      <c r="D51" s="10">
        <f ca="1">VLOOKUP($B51,'[8]Analisys QBR By Machine Report'!$C$109:$BD$166,3,FALSE)</f>
        <v>23220</v>
      </c>
      <c r="E51" s="11">
        <f ca="1">VLOOKUP($B51,[8]Dasboard_QBR_Report!$B$109:$BL$166,5,FALSE)</f>
        <v>13020</v>
      </c>
      <c r="F51" s="10">
        <f t="shared" ca="1" si="0"/>
        <v>5580</v>
      </c>
      <c r="G51" s="10">
        <f t="shared" ca="1" si="1"/>
        <v>450</v>
      </c>
      <c r="H51" s="10">
        <f ca="1">VLOOKUP($B51,'[8]Analisys QBR By Machine Report'!$C$109:$BD$166,4,FALSE)</f>
        <v>450</v>
      </c>
      <c r="I51" s="10">
        <f ca="1">VLOOKUP($B51,'[8]Analisys QBR By Machine Report'!$C$109:$BD$166,5,FALSE)</f>
        <v>0</v>
      </c>
      <c r="J51" s="10">
        <f ca="1">VLOOKUP($B51,'[8]Analisys QBR By Machine Report'!$C$109:$BD$166,6,FALSE)</f>
        <v>450</v>
      </c>
      <c r="K51" s="10">
        <f ca="1">VLOOKUP($B51,'[8]Analisys QBR By Machine Report'!$C$109:$BD$166,7,FALSE)</f>
        <v>0</v>
      </c>
      <c r="L51" s="10">
        <f ca="1">VLOOKUP($B51,'[8]Analisys QBR By Machine Report'!$C$109:$BD$166,8,FALSE)</f>
        <v>5130</v>
      </c>
      <c r="M51" s="10">
        <f ca="1">VLOOKUP($B51,'[8]Analisys QBR By Machine Report'!$C$109:$BD$166,9,FALSE)</f>
        <v>1822</v>
      </c>
      <c r="N51" s="10">
        <f ca="1">VLOOKUP($B51,[8]Dasboard_QBR_Report!$B$109:$BL$166,18,FALSE)</f>
        <v>3308</v>
      </c>
      <c r="O51" s="10">
        <f ca="1">VLOOKUP($B51,'[8]Analisys QBR By Machine Report'!$C$109:$BD$166,10,FALSE)</f>
        <v>437</v>
      </c>
      <c r="P51" s="10">
        <f ca="1">VLOOKUP($B51,'[8]Analisys QBR By Machine Report'!$C$109:$BD$166,11,FALSE)</f>
        <v>355</v>
      </c>
      <c r="Q51" s="10">
        <f ca="1">VLOOKUP($B51,'[8]Analisys QBR By Machine Report'!$C$109:$BD$166,12,FALSE)</f>
        <v>0</v>
      </c>
      <c r="R51" s="10">
        <f ca="1">VLOOKUP($B51,'[8]Analisys QBR By Machine Report'!$C$109:$BD$166,13,FALSE)</f>
        <v>82</v>
      </c>
      <c r="S51" s="10">
        <f ca="1">VLOOKUP($B51,'[8]Analisys QBR By Machine Report'!$C$109:$BD$166,14,FALSE)</f>
        <v>0</v>
      </c>
      <c r="T51" s="10">
        <f ca="1">VLOOKUP($B51,'[8]Analisys QBR By Machine Report'!$C$109:$BD$166,15,FALSE)</f>
        <v>0</v>
      </c>
      <c r="U51" s="10">
        <f ca="1">VLOOKUP($B51,'[8]Analisys QBR By Machine Report'!$C$109:$BD$166,16,FALSE)</f>
        <v>0</v>
      </c>
      <c r="V51" s="10">
        <f ca="1">VLOOKUP($B51,'[8]Analisys QBR By Machine Report'!$C$109:$BD$166,17,FALSE)</f>
        <v>0</v>
      </c>
      <c r="W51" s="10">
        <f ca="1">VLOOKUP($B51,'[8]Analisys QBR By Machine Report'!$C$109:$BD$166,18,FALSE)</f>
        <v>0</v>
      </c>
      <c r="X51" s="10">
        <f ca="1">VLOOKUP($B51,'[8]Analisys QBR By Machine Report'!$C$109:$BD$166,19,FALSE)</f>
        <v>0</v>
      </c>
      <c r="Y51" s="10">
        <f ca="1">VLOOKUP($B51,'[8]Analisys QBR By Machine Report'!$C$109:$BD$166,20,FALSE)</f>
        <v>0</v>
      </c>
      <c r="Z51" s="10">
        <f ca="1">VLOOKUP($B51,'[8]Analisys QBR By Machine Report'!$C$109:$BD$166,21,FALSE)</f>
        <v>1972</v>
      </c>
      <c r="AA51" s="10">
        <f ca="1">VLOOKUP($B51,'[8]Analisys QBR By Machine Report'!$C$109:$BD$166,22,FALSE)</f>
        <v>699</v>
      </c>
      <c r="AB51" s="10">
        <f ca="1">VLOOKUP($B51,'[8]Analisys QBR By Machine Report'!$C$109:$BD$166,23,FALSE)</f>
        <v>1273</v>
      </c>
      <c r="AC51" s="10">
        <f ca="1">VLOOKUP($B51,'[8]Analisys QBR By Machine Report'!$C$109:$BD$166,24,FALSE)</f>
        <v>0</v>
      </c>
      <c r="AD51" s="10">
        <f ca="1">VLOOKUP($B51,'[8]Analisys QBR By Machine Report'!$C$109:$BD$166,25,FALSE)</f>
        <v>0</v>
      </c>
      <c r="AE51" s="10">
        <f ca="1">VLOOKUP($B51,'[8]Analisys QBR By Machine Report'!$C$109:$BD$166,26,FALSE)</f>
        <v>0</v>
      </c>
      <c r="AF51" s="10">
        <f ca="1">VLOOKUP($B51,'[8]Analisys QBR By Machine Report'!$C$109:$BD$166,27,FALSE)</f>
        <v>0</v>
      </c>
      <c r="AG51" s="10">
        <f ca="1">VLOOKUP($B51,'[8]Analisys QBR By Machine Report'!$C$109:$BD$166,28,FALSE)</f>
        <v>0</v>
      </c>
      <c r="AH51" s="10">
        <f ca="1">VLOOKUP($B51,'[8]Analisys QBR By Machine Report'!$C$109:$BD$166,29,FALSE)</f>
        <v>0</v>
      </c>
      <c r="AI51" s="10">
        <f ca="1">VLOOKUP($B51,'[8]Analisys QBR By Machine Report'!$C$109:$BD$166,30,FALSE)</f>
        <v>899</v>
      </c>
      <c r="AJ51" s="10">
        <f ca="1">VLOOKUP($B51,'[8]Analisys QBR By Machine Report'!$C$109:$BD$166,31,FALSE)</f>
        <v>0</v>
      </c>
      <c r="AK51" s="10">
        <f ca="1">VLOOKUP($B51,'[8]Analisys QBR By Machine Report'!$C$109:$BD$166,32,FALSE)</f>
        <v>0</v>
      </c>
      <c r="AL51" s="10">
        <f ca="1">VLOOKUP($B51,'[8]Analisys QBR By Machine Report'!$C$109:$BD$166,33,FALSE)</f>
        <v>380</v>
      </c>
      <c r="AM51" s="10">
        <f ca="1">VLOOKUP($B51,'[8]Analisys QBR By Machine Report'!$C$109:$BD$166,34,FALSE)</f>
        <v>35</v>
      </c>
      <c r="AN51" s="10">
        <f ca="1">VLOOKUP($B51,'[8]Analisys QBR By Machine Report'!$C$109:$BD$166,35,FALSE)</f>
        <v>345</v>
      </c>
      <c r="AO51" s="10">
        <f ca="1">VLOOKUP($B51,'[8]Analisys QBR By Machine Report'!$C$109:$BD$166,36,FALSE)</f>
        <v>0</v>
      </c>
      <c r="AP51" s="10">
        <f ca="1">VLOOKUP($B51,'[8]Analisys QBR By Machine Report'!$C$109:$BD$166,37,FALSE)</f>
        <v>0</v>
      </c>
      <c r="AQ51" s="10">
        <f ca="1">VLOOKUP($B51,'[8]Analisys QBR By Machine Report'!$C$109:$BD$166,38,FALSE)</f>
        <v>47</v>
      </c>
      <c r="AR51" s="10">
        <f ca="1">VLOOKUP($B51,'[8]Analisys QBR By Machine Report'!$C$109:$BD$166,39,FALSE)</f>
        <v>0</v>
      </c>
      <c r="AS51" s="10">
        <f ca="1">VLOOKUP($B51,'[8]Analisys QBR By Machine Report'!$C$109:$BD$166,40,FALSE)</f>
        <v>87</v>
      </c>
      <c r="AT51" s="10">
        <f ca="1">VLOOKUP($B51,'[8]Analisys QBR By Machine Report'!$C$109:$BD$166,41,FALSE)</f>
        <v>0</v>
      </c>
      <c r="AU51" s="10">
        <f ca="1">VLOOKUP($B51,'[8]Analisys QBR By Machine Report'!$C$109:$BD$166,42,FALSE)</f>
        <v>0</v>
      </c>
      <c r="AV51" s="10">
        <f ca="1">VLOOKUP($B51,'[8]Analisys QBR By Machine Report'!$C$109:$BD$166,43,FALSE)</f>
        <v>0</v>
      </c>
      <c r="AW51" s="10">
        <f ca="1">VLOOKUP($B51,'[8]Analisys QBR By Machine Report'!$C$109:$BD$166,44,FALSE)</f>
        <v>0</v>
      </c>
      <c r="AX51" s="10">
        <f ca="1">VLOOKUP($B51,'[8]Analisys QBR By Machine Report'!$C$109:$BD$166,45,FALSE)</f>
        <v>0</v>
      </c>
      <c r="AY51" s="10">
        <f ca="1">VLOOKUP($B51,'[8]Analisys QBR By Machine Report'!$C$109:$BD$166,46,FALSE)</f>
        <v>0</v>
      </c>
      <c r="AZ51" s="10">
        <f ca="1">VLOOKUP($B51,'[8]Analisys QBR By Machine Report'!$C$109:$BD$166,47,FALSE)</f>
        <v>5</v>
      </c>
      <c r="BA51" s="10">
        <f ca="1">VLOOKUP($B51,'[8]Analisys QBR By Machine Report'!$C$109:$BD$166,48,FALSE)</f>
        <v>0</v>
      </c>
      <c r="BB51" s="10">
        <f ca="1">VLOOKUP($B51,'[8]Analisys QBR By Machine Report'!$C$109:$BD$166,49,FALSE)</f>
        <v>0</v>
      </c>
      <c r="BC51" s="10">
        <f ca="1">VLOOKUP($B51,'[8]Analisys QBR By Machine Report'!$C$109:$BD$166,50,FALSE)</f>
        <v>0</v>
      </c>
      <c r="BD51" s="10">
        <f ca="1">VLOOKUP($B51,'[8]Analisys QBR By Machine Report'!$C$109:$BD$166,51,FALSE)</f>
        <v>248494</v>
      </c>
      <c r="BE51" s="10">
        <f ca="1">VLOOKUP($B51,'[8]Analisys QBR By Machine Report'!$C$109:$BD$166,52,FALSE)</f>
        <v>2</v>
      </c>
      <c r="BF51" s="10">
        <f ca="1">VLOOKUP($B51,'[8]Analisys QBR By Machine Report'!$C$109:$BD$166,53,FALSE)</f>
        <v>248492</v>
      </c>
    </row>
    <row r="52" spans="1:58" x14ac:dyDescent="0.25">
      <c r="A52" s="12" t="s">
        <v>108</v>
      </c>
      <c r="B52" s="13">
        <f ca="1">VLOOKUP($B52,'[8]Analisys QBR By Machine Report'!$C$109:$BD$166,2,FALSE)</f>
        <v>28800</v>
      </c>
      <c r="C52" s="14">
        <f ca="1">VLOOKUP($B52,[8]Dasboard_QBR_Report!$B$109:$BL$166,3,FALSE)</f>
        <v>18600</v>
      </c>
      <c r="D52" s="13">
        <f ca="1">VLOOKUP($B52,'[8]Analisys QBR By Machine Report'!$C$109:$BD$166,3,FALSE)</f>
        <v>23220</v>
      </c>
      <c r="E52" s="14">
        <f ca="1">VLOOKUP($B52,[8]Dasboard_QBR_Report!$B$109:$BL$166,5,FALSE)</f>
        <v>13020</v>
      </c>
      <c r="F52" s="13">
        <f t="shared" ca="1" si="0"/>
        <v>5580</v>
      </c>
      <c r="G52" s="13">
        <f t="shared" ca="1" si="1"/>
        <v>450</v>
      </c>
      <c r="H52" s="13">
        <f ca="1">VLOOKUP($B52,'[8]Analisys QBR By Machine Report'!$C$109:$BD$166,4,FALSE)</f>
        <v>450</v>
      </c>
      <c r="I52" s="13">
        <f ca="1">VLOOKUP($B52,'[8]Analisys QBR By Machine Report'!$C$109:$BD$166,5,FALSE)</f>
        <v>0</v>
      </c>
      <c r="J52" s="13">
        <f ca="1">VLOOKUP($B52,'[8]Analisys QBR By Machine Report'!$C$109:$BD$166,6,FALSE)</f>
        <v>450</v>
      </c>
      <c r="K52" s="13">
        <f ca="1">VLOOKUP($B52,'[8]Analisys QBR By Machine Report'!$C$109:$BD$166,7,FALSE)</f>
        <v>0</v>
      </c>
      <c r="L52" s="13">
        <f ca="1">VLOOKUP($B52,'[8]Analisys QBR By Machine Report'!$C$109:$BD$166,8,FALSE)</f>
        <v>5130</v>
      </c>
      <c r="M52" s="13">
        <f ca="1">VLOOKUP($B52,'[8]Analisys QBR By Machine Report'!$C$109:$BD$166,9,FALSE)</f>
        <v>1822</v>
      </c>
      <c r="N52" s="13">
        <f ca="1">VLOOKUP($B52,[8]Dasboard_QBR_Report!$B$109:$BL$166,18,FALSE)</f>
        <v>3308</v>
      </c>
      <c r="O52" s="13">
        <f ca="1">VLOOKUP($B52,'[8]Analisys QBR By Machine Report'!$C$109:$BD$166,10,FALSE)</f>
        <v>437</v>
      </c>
      <c r="P52" s="13">
        <f ca="1">VLOOKUP($B52,'[8]Analisys QBR By Machine Report'!$C$109:$BD$166,11,FALSE)</f>
        <v>355</v>
      </c>
      <c r="Q52" s="13">
        <f ca="1">VLOOKUP($B52,'[8]Analisys QBR By Machine Report'!$C$109:$BD$166,12,FALSE)</f>
        <v>0</v>
      </c>
      <c r="R52" s="13">
        <f ca="1">VLOOKUP($B52,'[8]Analisys QBR By Machine Report'!$C$109:$BD$166,13,FALSE)</f>
        <v>82</v>
      </c>
      <c r="S52" s="13">
        <f ca="1">VLOOKUP($B52,'[8]Analisys QBR By Machine Report'!$C$109:$BD$166,14,FALSE)</f>
        <v>0</v>
      </c>
      <c r="T52" s="13">
        <f ca="1">VLOOKUP($B52,'[8]Analisys QBR By Machine Report'!$C$109:$BD$166,15,FALSE)</f>
        <v>0</v>
      </c>
      <c r="U52" s="13">
        <f ca="1">VLOOKUP($B52,'[8]Analisys QBR By Machine Report'!$C$109:$BD$166,16,FALSE)</f>
        <v>0</v>
      </c>
      <c r="V52" s="13">
        <f ca="1">VLOOKUP($B52,'[8]Analisys QBR By Machine Report'!$C$109:$BD$166,17,FALSE)</f>
        <v>0</v>
      </c>
      <c r="W52" s="13">
        <f ca="1">VLOOKUP($B52,'[8]Analisys QBR By Machine Report'!$C$109:$BD$166,18,FALSE)</f>
        <v>0</v>
      </c>
      <c r="X52" s="13">
        <f ca="1">VLOOKUP($B52,'[8]Analisys QBR By Machine Report'!$C$109:$BD$166,19,FALSE)</f>
        <v>0</v>
      </c>
      <c r="Y52" s="13">
        <f ca="1">VLOOKUP($B52,'[8]Analisys QBR By Machine Report'!$C$109:$BD$166,20,FALSE)</f>
        <v>0</v>
      </c>
      <c r="Z52" s="13">
        <f ca="1">VLOOKUP($B52,'[8]Analisys QBR By Machine Report'!$C$109:$BD$166,21,FALSE)</f>
        <v>1972</v>
      </c>
      <c r="AA52" s="13">
        <f ca="1">VLOOKUP($B52,'[8]Analisys QBR By Machine Report'!$C$109:$BD$166,22,FALSE)</f>
        <v>699</v>
      </c>
      <c r="AB52" s="13">
        <f ca="1">VLOOKUP($B52,'[8]Analisys QBR By Machine Report'!$C$109:$BD$166,23,FALSE)</f>
        <v>1273</v>
      </c>
      <c r="AC52" s="13">
        <f ca="1">VLOOKUP($B52,'[8]Analisys QBR By Machine Report'!$C$109:$BD$166,24,FALSE)</f>
        <v>0</v>
      </c>
      <c r="AD52" s="13">
        <f ca="1">VLOOKUP($B52,'[8]Analisys QBR By Machine Report'!$C$109:$BD$166,25,FALSE)</f>
        <v>0</v>
      </c>
      <c r="AE52" s="13">
        <f ca="1">VLOOKUP($B52,'[8]Analisys QBR By Machine Report'!$C$109:$BD$166,26,FALSE)</f>
        <v>0</v>
      </c>
      <c r="AF52" s="13">
        <f ca="1">VLOOKUP($B52,'[8]Analisys QBR By Machine Report'!$C$109:$BD$166,27,FALSE)</f>
        <v>0</v>
      </c>
      <c r="AG52" s="13">
        <f ca="1">VLOOKUP($B52,'[8]Analisys QBR By Machine Report'!$C$109:$BD$166,28,FALSE)</f>
        <v>0</v>
      </c>
      <c r="AH52" s="13">
        <f ca="1">VLOOKUP($B52,'[8]Analisys QBR By Machine Report'!$C$109:$BD$166,29,FALSE)</f>
        <v>0</v>
      </c>
      <c r="AI52" s="13">
        <f ca="1">VLOOKUP($B52,'[8]Analisys QBR By Machine Report'!$C$109:$BD$166,30,FALSE)</f>
        <v>899</v>
      </c>
      <c r="AJ52" s="13">
        <f ca="1">VLOOKUP($B52,'[8]Analisys QBR By Machine Report'!$C$109:$BD$166,31,FALSE)</f>
        <v>0</v>
      </c>
      <c r="AK52" s="13">
        <f ca="1">VLOOKUP($B52,'[8]Analisys QBR By Machine Report'!$C$109:$BD$166,32,FALSE)</f>
        <v>0</v>
      </c>
      <c r="AL52" s="13">
        <f ca="1">VLOOKUP($B52,'[8]Analisys QBR By Machine Report'!$C$109:$BD$166,33,FALSE)</f>
        <v>380</v>
      </c>
      <c r="AM52" s="13">
        <f ca="1">VLOOKUP($B52,'[8]Analisys QBR By Machine Report'!$C$109:$BD$166,34,FALSE)</f>
        <v>35</v>
      </c>
      <c r="AN52" s="13">
        <f ca="1">VLOOKUP($B52,'[8]Analisys QBR By Machine Report'!$C$109:$BD$166,35,FALSE)</f>
        <v>345</v>
      </c>
      <c r="AO52" s="13">
        <f ca="1">VLOOKUP($B52,'[8]Analisys QBR By Machine Report'!$C$109:$BD$166,36,FALSE)</f>
        <v>0</v>
      </c>
      <c r="AP52" s="13">
        <f ca="1">VLOOKUP($B52,'[8]Analisys QBR By Machine Report'!$C$109:$BD$166,37,FALSE)</f>
        <v>0</v>
      </c>
      <c r="AQ52" s="13">
        <f ca="1">VLOOKUP($B52,'[8]Analisys QBR By Machine Report'!$C$109:$BD$166,38,FALSE)</f>
        <v>47</v>
      </c>
      <c r="AR52" s="13">
        <f ca="1">VLOOKUP($B52,'[8]Analisys QBR By Machine Report'!$C$109:$BD$166,39,FALSE)</f>
        <v>0</v>
      </c>
      <c r="AS52" s="13">
        <f ca="1">VLOOKUP($B52,'[8]Analisys QBR By Machine Report'!$C$109:$BD$166,40,FALSE)</f>
        <v>87</v>
      </c>
      <c r="AT52" s="13">
        <f ca="1">VLOOKUP($B52,'[8]Analisys QBR By Machine Report'!$C$109:$BD$166,41,FALSE)</f>
        <v>0</v>
      </c>
      <c r="AU52" s="13">
        <f ca="1">VLOOKUP($B52,'[8]Analisys QBR By Machine Report'!$C$109:$BD$166,42,FALSE)</f>
        <v>0</v>
      </c>
      <c r="AV52" s="13">
        <f ca="1">VLOOKUP($B52,'[8]Analisys QBR By Machine Report'!$C$109:$BD$166,43,FALSE)</f>
        <v>0</v>
      </c>
      <c r="AW52" s="13">
        <f ca="1">VLOOKUP($B52,'[8]Analisys QBR By Machine Report'!$C$109:$BD$166,44,FALSE)</f>
        <v>0</v>
      </c>
      <c r="AX52" s="13">
        <f ca="1">VLOOKUP($B52,'[8]Analisys QBR By Machine Report'!$C$109:$BD$166,45,FALSE)</f>
        <v>0</v>
      </c>
      <c r="AY52" s="13">
        <f ca="1">VLOOKUP($B52,'[8]Analisys QBR By Machine Report'!$C$109:$BD$166,46,FALSE)</f>
        <v>0</v>
      </c>
      <c r="AZ52" s="13">
        <f ca="1">VLOOKUP($B52,'[8]Analisys QBR By Machine Report'!$C$109:$BD$166,47,FALSE)</f>
        <v>5</v>
      </c>
      <c r="BA52" s="13">
        <f ca="1">VLOOKUP($B52,'[8]Analisys QBR By Machine Report'!$C$109:$BD$166,48,FALSE)</f>
        <v>0</v>
      </c>
      <c r="BB52" s="13">
        <f ca="1">VLOOKUP($B52,'[8]Analisys QBR By Machine Report'!$C$109:$BD$166,49,FALSE)</f>
        <v>0</v>
      </c>
      <c r="BC52" s="13">
        <f ca="1">VLOOKUP($B52,'[8]Analisys QBR By Machine Report'!$C$109:$BD$166,50,FALSE)</f>
        <v>0</v>
      </c>
      <c r="BD52" s="13">
        <f ca="1">VLOOKUP($B52,'[8]Analisys QBR By Machine Report'!$C$109:$BD$166,51,FALSE)</f>
        <v>248494</v>
      </c>
      <c r="BE52" s="13">
        <f ca="1">VLOOKUP($B52,'[8]Analisys QBR By Machine Report'!$C$109:$BD$166,52,FALSE)</f>
        <v>2</v>
      </c>
      <c r="BF52" s="13">
        <f ca="1">VLOOKUP($B52,'[8]Analisys QBR By Machine Report'!$C$109:$BD$166,53,FALSE)</f>
        <v>248492</v>
      </c>
    </row>
    <row r="53" spans="1:58" x14ac:dyDescent="0.25">
      <c r="A53" s="9" t="s">
        <v>109</v>
      </c>
      <c r="B53" s="10">
        <f ca="1">VLOOKUP($B53,'[8]Analisys QBR By Machine Report'!$C$109:$BD$166,2,FALSE)</f>
        <v>59040</v>
      </c>
      <c r="C53" s="11">
        <f ca="1">VLOOKUP($B53,[8]Dasboard_QBR_Report!$B$109:$BL$166,3,FALSE)</f>
        <v>38130</v>
      </c>
      <c r="D53" s="10">
        <f ca="1">VLOOKUP($B53,'[8]Analisys QBR By Machine Report'!$C$109:$BD$166,3,FALSE)</f>
        <v>48240</v>
      </c>
      <c r="E53" s="11">
        <f ca="1">VLOOKUP($B53,[8]Dasboard_QBR_Report!$B$109:$BL$166,5,FALSE)</f>
        <v>27330</v>
      </c>
      <c r="F53" s="10">
        <f t="shared" ca="1" si="0"/>
        <v>10800</v>
      </c>
      <c r="G53" s="10">
        <f t="shared" ca="1" si="1"/>
        <v>1347</v>
      </c>
      <c r="H53" s="10">
        <f ca="1">VLOOKUP($B53,'[8]Analisys QBR By Machine Report'!$C$109:$BD$166,4,FALSE)</f>
        <v>1347</v>
      </c>
      <c r="I53" s="10">
        <f ca="1">VLOOKUP($B53,'[8]Analisys QBR By Machine Report'!$C$109:$BD$166,5,FALSE)</f>
        <v>37</v>
      </c>
      <c r="J53" s="10">
        <f ca="1">VLOOKUP($B53,'[8]Analisys QBR By Machine Report'!$C$109:$BD$166,6,FALSE)</f>
        <v>1310</v>
      </c>
      <c r="K53" s="10">
        <f ca="1">VLOOKUP($B53,'[8]Analisys QBR By Machine Report'!$C$109:$BD$166,7,FALSE)</f>
        <v>0</v>
      </c>
      <c r="L53" s="10">
        <f ca="1">VLOOKUP($B53,'[8]Analisys QBR By Machine Report'!$C$109:$BD$166,8,FALSE)</f>
        <v>9453</v>
      </c>
      <c r="M53" s="10">
        <f ca="1">VLOOKUP($B53,'[8]Analisys QBR By Machine Report'!$C$109:$BD$166,9,FALSE)</f>
        <v>4490</v>
      </c>
      <c r="N53" s="10">
        <f ca="1">VLOOKUP($B53,[8]Dasboard_QBR_Report!$B$109:$BL$166,18,FALSE)</f>
        <v>4963</v>
      </c>
      <c r="O53" s="10">
        <f ca="1">VLOOKUP($B53,'[8]Analisys QBR By Machine Report'!$C$109:$BD$166,10,FALSE)</f>
        <v>541</v>
      </c>
      <c r="P53" s="10">
        <f ca="1">VLOOKUP($B53,'[8]Analisys QBR By Machine Report'!$C$109:$BD$166,11,FALSE)</f>
        <v>505</v>
      </c>
      <c r="Q53" s="10">
        <f ca="1">VLOOKUP($B53,'[8]Analisys QBR By Machine Report'!$C$109:$BD$166,12,FALSE)</f>
        <v>0</v>
      </c>
      <c r="R53" s="10">
        <f ca="1">VLOOKUP($B53,'[8]Analisys QBR By Machine Report'!$C$109:$BD$166,13,FALSE)</f>
        <v>36</v>
      </c>
      <c r="S53" s="10">
        <f ca="1">VLOOKUP($B53,'[8]Analisys QBR By Machine Report'!$C$109:$BD$166,14,FALSE)</f>
        <v>0</v>
      </c>
      <c r="T53" s="10">
        <f ca="1">VLOOKUP($B53,'[8]Analisys QBR By Machine Report'!$C$109:$BD$166,15,FALSE)</f>
        <v>0</v>
      </c>
      <c r="U53" s="10">
        <f ca="1">VLOOKUP($B53,'[8]Analisys QBR By Machine Report'!$C$109:$BD$166,16,FALSE)</f>
        <v>0</v>
      </c>
      <c r="V53" s="10">
        <f ca="1">VLOOKUP($B53,'[8]Analisys QBR By Machine Report'!$C$109:$BD$166,17,FALSE)</f>
        <v>0</v>
      </c>
      <c r="W53" s="10">
        <f ca="1">VLOOKUP($B53,'[8]Analisys QBR By Machine Report'!$C$109:$BD$166,18,FALSE)</f>
        <v>0</v>
      </c>
      <c r="X53" s="10">
        <f ca="1">VLOOKUP($B53,'[8]Analisys QBR By Machine Report'!$C$109:$BD$166,19,FALSE)</f>
        <v>0</v>
      </c>
      <c r="Y53" s="10">
        <f ca="1">VLOOKUP($B53,'[8]Analisys QBR By Machine Report'!$C$109:$BD$166,20,FALSE)</f>
        <v>0</v>
      </c>
      <c r="Z53" s="10">
        <f ca="1">VLOOKUP($B53,'[8]Analisys QBR By Machine Report'!$C$109:$BD$166,21,FALSE)</f>
        <v>3186</v>
      </c>
      <c r="AA53" s="10">
        <f ca="1">VLOOKUP($B53,'[8]Analisys QBR By Machine Report'!$C$109:$BD$166,22,FALSE)</f>
        <v>2801</v>
      </c>
      <c r="AB53" s="10">
        <f ca="1">VLOOKUP($B53,'[8]Analisys QBR By Machine Report'!$C$109:$BD$166,23,FALSE)</f>
        <v>385</v>
      </c>
      <c r="AC53" s="10">
        <f ca="1">VLOOKUP($B53,'[8]Analisys QBR By Machine Report'!$C$109:$BD$166,24,FALSE)</f>
        <v>0</v>
      </c>
      <c r="AD53" s="10">
        <f ca="1">VLOOKUP($B53,'[8]Analisys QBR By Machine Report'!$C$109:$BD$166,25,FALSE)</f>
        <v>0</v>
      </c>
      <c r="AE53" s="10">
        <f ca="1">VLOOKUP($B53,'[8]Analisys QBR By Machine Report'!$C$109:$BD$166,26,FALSE)</f>
        <v>0</v>
      </c>
      <c r="AF53" s="10">
        <f ca="1">VLOOKUP($B53,'[8]Analisys QBR By Machine Report'!$C$109:$BD$166,27,FALSE)</f>
        <v>0</v>
      </c>
      <c r="AG53" s="10">
        <f ca="1">VLOOKUP($B53,'[8]Analisys QBR By Machine Report'!$C$109:$BD$166,28,FALSE)</f>
        <v>0</v>
      </c>
      <c r="AH53" s="10">
        <f ca="1">VLOOKUP($B53,'[8]Analisys QBR By Machine Report'!$C$109:$BD$166,29,FALSE)</f>
        <v>0</v>
      </c>
      <c r="AI53" s="10">
        <f ca="1">VLOOKUP($B53,'[8]Analisys QBR By Machine Report'!$C$109:$BD$166,30,FALSE)</f>
        <v>1236</v>
      </c>
      <c r="AJ53" s="10">
        <f ca="1">VLOOKUP($B53,'[8]Analisys QBR By Machine Report'!$C$109:$BD$166,31,FALSE)</f>
        <v>0</v>
      </c>
      <c r="AK53" s="10">
        <f ca="1">VLOOKUP($B53,'[8]Analisys QBR By Machine Report'!$C$109:$BD$166,32,FALSE)</f>
        <v>0</v>
      </c>
      <c r="AL53" s="10">
        <f ca="1">VLOOKUP($B53,'[8]Analisys QBR By Machine Report'!$C$109:$BD$166,33,FALSE)</f>
        <v>90</v>
      </c>
      <c r="AM53" s="10">
        <f ca="1">VLOOKUP($B53,'[8]Analisys QBR By Machine Report'!$C$109:$BD$166,34,FALSE)</f>
        <v>0</v>
      </c>
      <c r="AN53" s="10">
        <f ca="1">VLOOKUP($B53,'[8]Analisys QBR By Machine Report'!$C$109:$BD$166,35,FALSE)</f>
        <v>45</v>
      </c>
      <c r="AO53" s="10">
        <f ca="1">VLOOKUP($B53,'[8]Analisys QBR By Machine Report'!$C$109:$BD$166,36,FALSE)</f>
        <v>0</v>
      </c>
      <c r="AP53" s="10">
        <f ca="1">VLOOKUP($B53,'[8]Analisys QBR By Machine Report'!$C$109:$BD$166,37,FALSE)</f>
        <v>0</v>
      </c>
      <c r="AQ53" s="10">
        <f ca="1">VLOOKUP($B53,'[8]Analisys QBR By Machine Report'!$C$109:$BD$166,38,FALSE)</f>
        <v>80</v>
      </c>
      <c r="AR53" s="10">
        <f ca="1">VLOOKUP($B53,'[8]Analisys QBR By Machine Report'!$C$109:$BD$166,39,FALSE)</f>
        <v>1021</v>
      </c>
      <c r="AS53" s="10">
        <f ca="1">VLOOKUP($B53,'[8]Analisys QBR By Machine Report'!$C$109:$BD$166,40,FALSE)</f>
        <v>0</v>
      </c>
      <c r="AT53" s="10">
        <f ca="1">VLOOKUP($B53,'[8]Analisys QBR By Machine Report'!$C$109:$BD$166,41,FALSE)</f>
        <v>0</v>
      </c>
      <c r="AU53" s="10">
        <f ca="1">VLOOKUP($B53,'[8]Analisys QBR By Machine Report'!$C$109:$BD$166,42,FALSE)</f>
        <v>0</v>
      </c>
      <c r="AV53" s="10">
        <f ca="1">VLOOKUP($B53,'[8]Analisys QBR By Machine Report'!$C$109:$BD$166,43,FALSE)</f>
        <v>0</v>
      </c>
      <c r="AW53" s="10">
        <f ca="1">VLOOKUP($B53,'[8]Analisys QBR By Machine Report'!$C$109:$BD$166,44,FALSE)</f>
        <v>0</v>
      </c>
      <c r="AX53" s="10">
        <f ca="1">VLOOKUP($B53,'[8]Analisys QBR By Machine Report'!$C$109:$BD$166,45,FALSE)</f>
        <v>0</v>
      </c>
      <c r="AY53" s="10">
        <f ca="1">VLOOKUP($B53,'[8]Analisys QBR By Machine Report'!$C$109:$BD$166,46,FALSE)</f>
        <v>0</v>
      </c>
      <c r="AZ53" s="10">
        <f ca="1">VLOOKUP($B53,'[8]Analisys QBR By Machine Report'!$C$109:$BD$166,47,FALSE)</f>
        <v>0</v>
      </c>
      <c r="BA53" s="10">
        <f ca="1">VLOOKUP($B53,'[8]Analisys QBR By Machine Report'!$C$109:$BD$166,48,FALSE)</f>
        <v>0</v>
      </c>
      <c r="BB53" s="10">
        <f ca="1">VLOOKUP($B53,'[8]Analisys QBR By Machine Report'!$C$109:$BD$166,49,FALSE)</f>
        <v>0</v>
      </c>
      <c r="BC53" s="10">
        <f ca="1">VLOOKUP($B53,'[8]Analisys QBR By Machine Report'!$C$109:$BD$166,50,FALSE)</f>
        <v>0</v>
      </c>
      <c r="BD53" s="10">
        <f ca="1">VLOOKUP($B53,'[8]Analisys QBR By Machine Report'!$C$109:$BD$166,51,FALSE)</f>
        <v>355</v>
      </c>
      <c r="BE53" s="10">
        <f ca="1">VLOOKUP($B53,'[8]Analisys QBR By Machine Report'!$C$109:$BD$166,52,FALSE)</f>
        <v>0</v>
      </c>
      <c r="BF53" s="10">
        <f ca="1">VLOOKUP($B53,'[8]Analisys QBR By Machine Report'!$C$109:$BD$166,53,FALSE)</f>
        <v>355</v>
      </c>
    </row>
    <row r="54" spans="1:58" x14ac:dyDescent="0.25">
      <c r="A54" s="12" t="s">
        <v>110</v>
      </c>
      <c r="B54" s="13">
        <f ca="1">VLOOKUP($B54,'[8]Analisys QBR By Machine Report'!$C$109:$BD$166,2,FALSE)</f>
        <v>30240</v>
      </c>
      <c r="C54" s="14">
        <f ca="1">VLOOKUP($B54,[8]Dasboard_QBR_Report!$B$109:$BL$166,3,FALSE)</f>
        <v>19530</v>
      </c>
      <c r="D54" s="13">
        <f ca="1">VLOOKUP($B54,'[8]Analisys QBR By Machine Report'!$C$109:$BD$166,3,FALSE)</f>
        <v>23670</v>
      </c>
      <c r="E54" s="14">
        <f ca="1">VLOOKUP($B54,[8]Dasboard_QBR_Report!$B$109:$BL$166,5,FALSE)</f>
        <v>12960</v>
      </c>
      <c r="F54" s="13">
        <f t="shared" ca="1" si="0"/>
        <v>6570</v>
      </c>
      <c r="G54" s="13">
        <f t="shared" ca="1" si="1"/>
        <v>892</v>
      </c>
      <c r="H54" s="13">
        <f ca="1">VLOOKUP($B54,'[8]Analisys QBR By Machine Report'!$C$109:$BD$166,4,FALSE)</f>
        <v>892</v>
      </c>
      <c r="I54" s="13">
        <f ca="1">VLOOKUP($B54,'[8]Analisys QBR By Machine Report'!$C$109:$BD$166,5,FALSE)</f>
        <v>37</v>
      </c>
      <c r="J54" s="13">
        <f ca="1">VLOOKUP($B54,'[8]Analisys QBR By Machine Report'!$C$109:$BD$166,6,FALSE)</f>
        <v>855</v>
      </c>
      <c r="K54" s="13">
        <f ca="1">VLOOKUP($B54,'[8]Analisys QBR By Machine Report'!$C$109:$BD$166,7,FALSE)</f>
        <v>0</v>
      </c>
      <c r="L54" s="13">
        <f ca="1">VLOOKUP($B54,'[8]Analisys QBR By Machine Report'!$C$109:$BD$166,8,FALSE)</f>
        <v>5678</v>
      </c>
      <c r="M54" s="13">
        <f ca="1">VLOOKUP($B54,'[8]Analisys QBR By Machine Report'!$C$109:$BD$166,9,FALSE)</f>
        <v>2725</v>
      </c>
      <c r="N54" s="13">
        <f ca="1">VLOOKUP($B54,[8]Dasboard_QBR_Report!$B$109:$BL$166,18,FALSE)</f>
        <v>2953</v>
      </c>
      <c r="O54" s="13">
        <f ca="1">VLOOKUP($B54,'[8]Analisys QBR By Machine Report'!$C$109:$BD$166,10,FALSE)</f>
        <v>263</v>
      </c>
      <c r="P54" s="13">
        <f ca="1">VLOOKUP($B54,'[8]Analisys QBR By Machine Report'!$C$109:$BD$166,11,FALSE)</f>
        <v>243</v>
      </c>
      <c r="Q54" s="13">
        <f ca="1">VLOOKUP($B54,'[8]Analisys QBR By Machine Report'!$C$109:$BD$166,12,FALSE)</f>
        <v>0</v>
      </c>
      <c r="R54" s="13">
        <f ca="1">VLOOKUP($B54,'[8]Analisys QBR By Machine Report'!$C$109:$BD$166,13,FALSE)</f>
        <v>20</v>
      </c>
      <c r="S54" s="13">
        <f ca="1">VLOOKUP($B54,'[8]Analisys QBR By Machine Report'!$C$109:$BD$166,14,FALSE)</f>
        <v>0</v>
      </c>
      <c r="T54" s="13">
        <f ca="1">VLOOKUP($B54,'[8]Analisys QBR By Machine Report'!$C$109:$BD$166,15,FALSE)</f>
        <v>0</v>
      </c>
      <c r="U54" s="13">
        <f ca="1">VLOOKUP($B54,'[8]Analisys QBR By Machine Report'!$C$109:$BD$166,16,FALSE)</f>
        <v>0</v>
      </c>
      <c r="V54" s="13">
        <f ca="1">VLOOKUP($B54,'[8]Analisys QBR By Machine Report'!$C$109:$BD$166,17,FALSE)</f>
        <v>0</v>
      </c>
      <c r="W54" s="13">
        <f ca="1">VLOOKUP($B54,'[8]Analisys QBR By Machine Report'!$C$109:$BD$166,18,FALSE)</f>
        <v>0</v>
      </c>
      <c r="X54" s="13">
        <f ca="1">VLOOKUP($B54,'[8]Analisys QBR By Machine Report'!$C$109:$BD$166,19,FALSE)</f>
        <v>0</v>
      </c>
      <c r="Y54" s="13">
        <f ca="1">VLOOKUP($B54,'[8]Analisys QBR By Machine Report'!$C$109:$BD$166,20,FALSE)</f>
        <v>0</v>
      </c>
      <c r="Z54" s="13">
        <f ca="1">VLOOKUP($B54,'[8]Analisys QBR By Machine Report'!$C$109:$BD$166,21,FALSE)</f>
        <v>2452</v>
      </c>
      <c r="AA54" s="13">
        <f ca="1">VLOOKUP($B54,'[8]Analisys QBR By Machine Report'!$C$109:$BD$166,22,FALSE)</f>
        <v>2159</v>
      </c>
      <c r="AB54" s="13">
        <f ca="1">VLOOKUP($B54,'[8]Analisys QBR By Machine Report'!$C$109:$BD$166,23,FALSE)</f>
        <v>293</v>
      </c>
      <c r="AC54" s="13">
        <f ca="1">VLOOKUP($B54,'[8]Analisys QBR By Machine Report'!$C$109:$BD$166,24,FALSE)</f>
        <v>0</v>
      </c>
      <c r="AD54" s="13">
        <f ca="1">VLOOKUP($B54,'[8]Analisys QBR By Machine Report'!$C$109:$BD$166,25,FALSE)</f>
        <v>0</v>
      </c>
      <c r="AE54" s="13">
        <f ca="1">VLOOKUP($B54,'[8]Analisys QBR By Machine Report'!$C$109:$BD$166,26,FALSE)</f>
        <v>0</v>
      </c>
      <c r="AF54" s="13">
        <f ca="1">VLOOKUP($B54,'[8]Analisys QBR By Machine Report'!$C$109:$BD$166,27,FALSE)</f>
        <v>0</v>
      </c>
      <c r="AG54" s="13">
        <f ca="1">VLOOKUP($B54,'[8]Analisys QBR By Machine Report'!$C$109:$BD$166,28,FALSE)</f>
        <v>0</v>
      </c>
      <c r="AH54" s="13">
        <f ca="1">VLOOKUP($B54,'[8]Analisys QBR By Machine Report'!$C$109:$BD$166,29,FALSE)</f>
        <v>0</v>
      </c>
      <c r="AI54" s="13">
        <f ca="1">VLOOKUP($B54,'[8]Analisys QBR By Machine Report'!$C$109:$BD$166,30,FALSE)</f>
        <v>238</v>
      </c>
      <c r="AJ54" s="13">
        <f ca="1">VLOOKUP($B54,'[8]Analisys QBR By Machine Report'!$C$109:$BD$166,31,FALSE)</f>
        <v>0</v>
      </c>
      <c r="AK54" s="13">
        <f ca="1">VLOOKUP($B54,'[8]Analisys QBR By Machine Report'!$C$109:$BD$166,32,FALSE)</f>
        <v>0</v>
      </c>
      <c r="AL54" s="13">
        <f ca="1">VLOOKUP($B54,'[8]Analisys QBR By Machine Report'!$C$109:$BD$166,33,FALSE)</f>
        <v>90</v>
      </c>
      <c r="AM54" s="13">
        <f ca="1">VLOOKUP($B54,'[8]Analisys QBR By Machine Report'!$C$109:$BD$166,34,FALSE)</f>
        <v>0</v>
      </c>
      <c r="AN54" s="13">
        <f ca="1">VLOOKUP($B54,'[8]Analisys QBR By Machine Report'!$C$109:$BD$166,35,FALSE)</f>
        <v>45</v>
      </c>
      <c r="AO54" s="13">
        <f ca="1">VLOOKUP($B54,'[8]Analisys QBR By Machine Report'!$C$109:$BD$166,36,FALSE)</f>
        <v>0</v>
      </c>
      <c r="AP54" s="13">
        <f ca="1">VLOOKUP($B54,'[8]Analisys QBR By Machine Report'!$C$109:$BD$166,37,FALSE)</f>
        <v>0</v>
      </c>
      <c r="AQ54" s="13">
        <f ca="1">VLOOKUP($B54,'[8]Analisys QBR By Machine Report'!$C$109:$BD$166,38,FALSE)</f>
        <v>40</v>
      </c>
      <c r="AR54" s="13">
        <f ca="1">VLOOKUP($B54,'[8]Analisys QBR By Machine Report'!$C$109:$BD$166,39,FALSE)</f>
        <v>63</v>
      </c>
      <c r="AS54" s="13">
        <f ca="1">VLOOKUP($B54,'[8]Analisys QBR By Machine Report'!$C$109:$BD$166,40,FALSE)</f>
        <v>0</v>
      </c>
      <c r="AT54" s="13">
        <f ca="1">VLOOKUP($B54,'[8]Analisys QBR By Machine Report'!$C$109:$BD$166,41,FALSE)</f>
        <v>0</v>
      </c>
      <c r="AU54" s="13">
        <f ca="1">VLOOKUP($B54,'[8]Analisys QBR By Machine Report'!$C$109:$BD$166,42,FALSE)</f>
        <v>0</v>
      </c>
      <c r="AV54" s="13">
        <f ca="1">VLOOKUP($B54,'[8]Analisys QBR By Machine Report'!$C$109:$BD$166,43,FALSE)</f>
        <v>0</v>
      </c>
      <c r="AW54" s="13">
        <f ca="1">VLOOKUP($B54,'[8]Analisys QBR By Machine Report'!$C$109:$BD$166,44,FALSE)</f>
        <v>0</v>
      </c>
      <c r="AX54" s="13">
        <f ca="1">VLOOKUP($B54,'[8]Analisys QBR By Machine Report'!$C$109:$BD$166,45,FALSE)</f>
        <v>0</v>
      </c>
      <c r="AY54" s="13">
        <f ca="1">VLOOKUP($B54,'[8]Analisys QBR By Machine Report'!$C$109:$BD$166,46,FALSE)</f>
        <v>0</v>
      </c>
      <c r="AZ54" s="13">
        <f ca="1">VLOOKUP($B54,'[8]Analisys QBR By Machine Report'!$C$109:$BD$166,47,FALSE)</f>
        <v>0</v>
      </c>
      <c r="BA54" s="13">
        <f ca="1">VLOOKUP($B54,'[8]Analisys QBR By Machine Report'!$C$109:$BD$166,48,FALSE)</f>
        <v>0</v>
      </c>
      <c r="BB54" s="13">
        <f ca="1">VLOOKUP($B54,'[8]Analisys QBR By Machine Report'!$C$109:$BD$166,49,FALSE)</f>
        <v>0</v>
      </c>
      <c r="BC54" s="13">
        <f ca="1">VLOOKUP($B54,'[8]Analisys QBR By Machine Report'!$C$109:$BD$166,50,FALSE)</f>
        <v>0</v>
      </c>
      <c r="BD54" s="13">
        <f ca="1">VLOOKUP($B54,'[8]Analisys QBR By Machine Report'!$C$109:$BD$166,51,FALSE)</f>
        <v>215</v>
      </c>
      <c r="BE54" s="13">
        <f ca="1">VLOOKUP($B54,'[8]Analisys QBR By Machine Report'!$C$109:$BD$166,52,FALSE)</f>
        <v>0</v>
      </c>
      <c r="BF54" s="13">
        <f ca="1">VLOOKUP($B54,'[8]Analisys QBR By Machine Report'!$C$109:$BD$166,53,FALSE)</f>
        <v>215</v>
      </c>
    </row>
    <row r="55" spans="1:58" x14ac:dyDescent="0.25">
      <c r="A55" s="12" t="s">
        <v>111</v>
      </c>
      <c r="B55" s="13">
        <f ca="1">VLOOKUP($B55,'[8]Analisys QBR By Machine Report'!$C$109:$BD$166,2,FALSE)</f>
        <v>28800</v>
      </c>
      <c r="C55" s="14">
        <f ca="1">VLOOKUP($B55,[8]Dasboard_QBR_Report!$B$109:$BL$166,3,FALSE)</f>
        <v>18600</v>
      </c>
      <c r="D55" s="13">
        <f ca="1">VLOOKUP($B55,'[8]Analisys QBR By Machine Report'!$C$109:$BD$166,3,FALSE)</f>
        <v>24570</v>
      </c>
      <c r="E55" s="14">
        <f ca="1">VLOOKUP($B55,[8]Dasboard_QBR_Report!$B$109:$BL$166,5,FALSE)</f>
        <v>14370</v>
      </c>
      <c r="F55" s="13">
        <f t="shared" ca="1" si="0"/>
        <v>4230</v>
      </c>
      <c r="G55" s="13">
        <f t="shared" ca="1" si="1"/>
        <v>455</v>
      </c>
      <c r="H55" s="13">
        <f ca="1">VLOOKUP($B55,'[8]Analisys QBR By Machine Report'!$C$109:$BD$166,4,FALSE)</f>
        <v>455</v>
      </c>
      <c r="I55" s="13">
        <f ca="1">VLOOKUP($B55,'[8]Analisys QBR By Machine Report'!$C$109:$BD$166,5,FALSE)</f>
        <v>0</v>
      </c>
      <c r="J55" s="13">
        <f ca="1">VLOOKUP($B55,'[8]Analisys QBR By Machine Report'!$C$109:$BD$166,6,FALSE)</f>
        <v>455</v>
      </c>
      <c r="K55" s="13">
        <f ca="1">VLOOKUP($B55,'[8]Analisys QBR By Machine Report'!$C$109:$BD$166,7,FALSE)</f>
        <v>0</v>
      </c>
      <c r="L55" s="13">
        <f ca="1">VLOOKUP($B55,'[8]Analisys QBR By Machine Report'!$C$109:$BD$166,8,FALSE)</f>
        <v>3775</v>
      </c>
      <c r="M55" s="13">
        <f ca="1">VLOOKUP($B55,'[8]Analisys QBR By Machine Report'!$C$109:$BD$166,9,FALSE)</f>
        <v>1765</v>
      </c>
      <c r="N55" s="13">
        <f ca="1">VLOOKUP($B55,[8]Dasboard_QBR_Report!$B$109:$BL$166,18,FALSE)</f>
        <v>2010</v>
      </c>
      <c r="O55" s="13">
        <f ca="1">VLOOKUP($B55,'[8]Analisys QBR By Machine Report'!$C$109:$BD$166,10,FALSE)</f>
        <v>278</v>
      </c>
      <c r="P55" s="13">
        <f ca="1">VLOOKUP($B55,'[8]Analisys QBR By Machine Report'!$C$109:$BD$166,11,FALSE)</f>
        <v>262</v>
      </c>
      <c r="Q55" s="13">
        <f ca="1">VLOOKUP($B55,'[8]Analisys QBR By Machine Report'!$C$109:$BD$166,12,FALSE)</f>
        <v>0</v>
      </c>
      <c r="R55" s="13">
        <f ca="1">VLOOKUP($B55,'[8]Analisys QBR By Machine Report'!$C$109:$BD$166,13,FALSE)</f>
        <v>16</v>
      </c>
      <c r="S55" s="13">
        <f ca="1">VLOOKUP($B55,'[8]Analisys QBR By Machine Report'!$C$109:$BD$166,14,FALSE)</f>
        <v>0</v>
      </c>
      <c r="T55" s="13">
        <f ca="1">VLOOKUP($B55,'[8]Analisys QBR By Machine Report'!$C$109:$BD$166,15,FALSE)</f>
        <v>0</v>
      </c>
      <c r="U55" s="13">
        <f ca="1">VLOOKUP($B55,'[8]Analisys QBR By Machine Report'!$C$109:$BD$166,16,FALSE)</f>
        <v>0</v>
      </c>
      <c r="V55" s="13">
        <f ca="1">VLOOKUP($B55,'[8]Analisys QBR By Machine Report'!$C$109:$BD$166,17,FALSE)</f>
        <v>0</v>
      </c>
      <c r="W55" s="13">
        <f ca="1">VLOOKUP($B55,'[8]Analisys QBR By Machine Report'!$C$109:$BD$166,18,FALSE)</f>
        <v>0</v>
      </c>
      <c r="X55" s="13">
        <f ca="1">VLOOKUP($B55,'[8]Analisys QBR By Machine Report'!$C$109:$BD$166,19,FALSE)</f>
        <v>0</v>
      </c>
      <c r="Y55" s="13">
        <f ca="1">VLOOKUP($B55,'[8]Analisys QBR By Machine Report'!$C$109:$BD$166,20,FALSE)</f>
        <v>0</v>
      </c>
      <c r="Z55" s="13">
        <f ca="1">VLOOKUP($B55,'[8]Analisys QBR By Machine Report'!$C$109:$BD$166,21,FALSE)</f>
        <v>734</v>
      </c>
      <c r="AA55" s="13">
        <f ca="1">VLOOKUP($B55,'[8]Analisys QBR By Machine Report'!$C$109:$BD$166,22,FALSE)</f>
        <v>642</v>
      </c>
      <c r="AB55" s="13">
        <f ca="1">VLOOKUP($B55,'[8]Analisys QBR By Machine Report'!$C$109:$BD$166,23,FALSE)</f>
        <v>92</v>
      </c>
      <c r="AC55" s="13">
        <f ca="1">VLOOKUP($B55,'[8]Analisys QBR By Machine Report'!$C$109:$BD$166,24,FALSE)</f>
        <v>0</v>
      </c>
      <c r="AD55" s="13">
        <f ca="1">VLOOKUP($B55,'[8]Analisys QBR By Machine Report'!$C$109:$BD$166,25,FALSE)</f>
        <v>0</v>
      </c>
      <c r="AE55" s="13">
        <f ca="1">VLOOKUP($B55,'[8]Analisys QBR By Machine Report'!$C$109:$BD$166,26,FALSE)</f>
        <v>0</v>
      </c>
      <c r="AF55" s="13">
        <f ca="1">VLOOKUP($B55,'[8]Analisys QBR By Machine Report'!$C$109:$BD$166,27,FALSE)</f>
        <v>0</v>
      </c>
      <c r="AG55" s="13">
        <f ca="1">VLOOKUP($B55,'[8]Analisys QBR By Machine Report'!$C$109:$BD$166,28,FALSE)</f>
        <v>0</v>
      </c>
      <c r="AH55" s="13">
        <f ca="1">VLOOKUP($B55,'[8]Analisys QBR By Machine Report'!$C$109:$BD$166,29,FALSE)</f>
        <v>0</v>
      </c>
      <c r="AI55" s="13">
        <f ca="1">VLOOKUP($B55,'[8]Analisys QBR By Machine Report'!$C$109:$BD$166,30,FALSE)</f>
        <v>998</v>
      </c>
      <c r="AJ55" s="13">
        <f ca="1">VLOOKUP($B55,'[8]Analisys QBR By Machine Report'!$C$109:$BD$166,31,FALSE)</f>
        <v>0</v>
      </c>
      <c r="AK55" s="13">
        <f ca="1">VLOOKUP($B55,'[8]Analisys QBR By Machine Report'!$C$109:$BD$166,32,FALSE)</f>
        <v>0</v>
      </c>
      <c r="AL55" s="13">
        <f ca="1">VLOOKUP($B55,'[8]Analisys QBR By Machine Report'!$C$109:$BD$166,33,FALSE)</f>
        <v>0</v>
      </c>
      <c r="AM55" s="13">
        <f ca="1">VLOOKUP($B55,'[8]Analisys QBR By Machine Report'!$C$109:$BD$166,34,FALSE)</f>
        <v>0</v>
      </c>
      <c r="AN55" s="13">
        <f ca="1">VLOOKUP($B55,'[8]Analisys QBR By Machine Report'!$C$109:$BD$166,35,FALSE)</f>
        <v>0</v>
      </c>
      <c r="AO55" s="13">
        <f ca="1">VLOOKUP($B55,'[8]Analisys QBR By Machine Report'!$C$109:$BD$166,36,FALSE)</f>
        <v>0</v>
      </c>
      <c r="AP55" s="13">
        <f ca="1">VLOOKUP($B55,'[8]Analisys QBR By Machine Report'!$C$109:$BD$166,37,FALSE)</f>
        <v>0</v>
      </c>
      <c r="AQ55" s="13">
        <f ca="1">VLOOKUP($B55,'[8]Analisys QBR By Machine Report'!$C$109:$BD$166,38,FALSE)</f>
        <v>40</v>
      </c>
      <c r="AR55" s="13">
        <f ca="1">VLOOKUP($B55,'[8]Analisys QBR By Machine Report'!$C$109:$BD$166,39,FALSE)</f>
        <v>958</v>
      </c>
      <c r="AS55" s="13">
        <f ca="1">VLOOKUP($B55,'[8]Analisys QBR By Machine Report'!$C$109:$BD$166,40,FALSE)</f>
        <v>0</v>
      </c>
      <c r="AT55" s="13">
        <f ca="1">VLOOKUP($B55,'[8]Analisys QBR By Machine Report'!$C$109:$BD$166,41,FALSE)</f>
        <v>0</v>
      </c>
      <c r="AU55" s="13">
        <f ca="1">VLOOKUP($B55,'[8]Analisys QBR By Machine Report'!$C$109:$BD$166,42,FALSE)</f>
        <v>0</v>
      </c>
      <c r="AV55" s="13">
        <f ca="1">VLOOKUP($B55,'[8]Analisys QBR By Machine Report'!$C$109:$BD$166,43,FALSE)</f>
        <v>0</v>
      </c>
      <c r="AW55" s="13">
        <f ca="1">VLOOKUP($B55,'[8]Analisys QBR By Machine Report'!$C$109:$BD$166,44,FALSE)</f>
        <v>0</v>
      </c>
      <c r="AX55" s="13">
        <f ca="1">VLOOKUP($B55,'[8]Analisys QBR By Machine Report'!$C$109:$BD$166,45,FALSE)</f>
        <v>0</v>
      </c>
      <c r="AY55" s="13">
        <f ca="1">VLOOKUP($B55,'[8]Analisys QBR By Machine Report'!$C$109:$BD$166,46,FALSE)</f>
        <v>0</v>
      </c>
      <c r="AZ55" s="13">
        <f ca="1">VLOOKUP($B55,'[8]Analisys QBR By Machine Report'!$C$109:$BD$166,47,FALSE)</f>
        <v>0</v>
      </c>
      <c r="BA55" s="13">
        <f ca="1">VLOOKUP($B55,'[8]Analisys QBR By Machine Report'!$C$109:$BD$166,48,FALSE)</f>
        <v>0</v>
      </c>
      <c r="BB55" s="13">
        <f ca="1">VLOOKUP($B55,'[8]Analisys QBR By Machine Report'!$C$109:$BD$166,49,FALSE)</f>
        <v>0</v>
      </c>
      <c r="BC55" s="13">
        <f ca="1">VLOOKUP($B55,'[8]Analisys QBR By Machine Report'!$C$109:$BD$166,50,FALSE)</f>
        <v>0</v>
      </c>
      <c r="BD55" s="13">
        <f ca="1">VLOOKUP($B55,'[8]Analisys QBR By Machine Report'!$C$109:$BD$166,51,FALSE)</f>
        <v>140</v>
      </c>
      <c r="BE55" s="13">
        <f ca="1">VLOOKUP($B55,'[8]Analisys QBR By Machine Report'!$C$109:$BD$166,52,FALSE)</f>
        <v>0</v>
      </c>
      <c r="BF55" s="13">
        <f ca="1">VLOOKUP($B55,'[8]Analisys QBR By Machine Report'!$C$109:$BD$166,53,FALSE)</f>
        <v>140</v>
      </c>
    </row>
    <row r="56" spans="1:58" x14ac:dyDescent="0.25">
      <c r="A56" s="9" t="s">
        <v>112</v>
      </c>
      <c r="B56" s="10">
        <f ca="1">VLOOKUP($B56,'[8]Analisys QBR By Machine Report'!$C$109:$BD$166,2,FALSE)</f>
        <v>57600</v>
      </c>
      <c r="C56" s="11">
        <f ca="1">VLOOKUP($B56,[8]Dasboard_QBR_Report!$B$109:$BL$166,3,FALSE)</f>
        <v>19200</v>
      </c>
      <c r="D56" s="10">
        <f ca="1">VLOOKUP($B56,'[8]Analisys QBR By Machine Report'!$C$109:$BD$166,3,FALSE)</f>
        <v>36090</v>
      </c>
      <c r="E56" s="11">
        <f ca="1">VLOOKUP($B56,[8]Dasboard_QBR_Report!$B$109:$BL$166,5,FALSE)</f>
        <v>-2310</v>
      </c>
      <c r="F56" s="10">
        <f t="shared" ca="1" si="0"/>
        <v>21510</v>
      </c>
      <c r="G56" s="10">
        <f t="shared" ca="1" si="1"/>
        <v>1975</v>
      </c>
      <c r="H56" s="10">
        <f ca="1">VLOOKUP($B56,'[8]Analisys QBR By Machine Report'!$C$109:$BD$166,4,FALSE)</f>
        <v>1975</v>
      </c>
      <c r="I56" s="10">
        <f ca="1">VLOOKUP($B56,'[8]Analisys QBR By Machine Report'!$C$109:$BD$166,5,FALSE)</f>
        <v>560</v>
      </c>
      <c r="J56" s="10">
        <f ca="1">VLOOKUP($B56,'[8]Analisys QBR By Machine Report'!$C$109:$BD$166,6,FALSE)</f>
        <v>1415</v>
      </c>
      <c r="K56" s="10">
        <f ca="1">VLOOKUP($B56,'[8]Analisys QBR By Machine Report'!$C$109:$BD$166,7,FALSE)</f>
        <v>0</v>
      </c>
      <c r="L56" s="10">
        <f ca="1">VLOOKUP($B56,'[8]Analisys QBR By Machine Report'!$C$109:$BD$166,8,FALSE)</f>
        <v>19535</v>
      </c>
      <c r="M56" s="10">
        <f ca="1">VLOOKUP($B56,'[8]Analisys QBR By Machine Report'!$C$109:$BD$166,9,FALSE)</f>
        <v>7480</v>
      </c>
      <c r="N56" s="10">
        <f ca="1">VLOOKUP($B56,[8]Dasboard_QBR_Report!$B$109:$BL$166,18,FALSE)</f>
        <v>12055</v>
      </c>
      <c r="O56" s="10">
        <f ca="1">VLOOKUP($B56,'[8]Analisys QBR By Machine Report'!$C$109:$BD$166,10,FALSE)</f>
        <v>4425</v>
      </c>
      <c r="P56" s="10">
        <f ca="1">VLOOKUP($B56,'[8]Analisys QBR By Machine Report'!$C$109:$BD$166,11,FALSE)</f>
        <v>2445</v>
      </c>
      <c r="Q56" s="10">
        <f ca="1">VLOOKUP($B56,'[8]Analisys QBR By Machine Report'!$C$109:$BD$166,12,FALSE)</f>
        <v>95</v>
      </c>
      <c r="R56" s="10">
        <f ca="1">VLOOKUP($B56,'[8]Analisys QBR By Machine Report'!$C$109:$BD$166,13,FALSE)</f>
        <v>735</v>
      </c>
      <c r="S56" s="10">
        <f ca="1">VLOOKUP($B56,'[8]Analisys QBR By Machine Report'!$C$109:$BD$166,14,FALSE)</f>
        <v>1150</v>
      </c>
      <c r="T56" s="10">
        <f ca="1">VLOOKUP($B56,'[8]Analisys QBR By Machine Report'!$C$109:$BD$166,15,FALSE)</f>
        <v>305</v>
      </c>
      <c r="U56" s="10">
        <f ca="1">VLOOKUP($B56,'[8]Analisys QBR By Machine Report'!$C$109:$BD$166,16,FALSE)</f>
        <v>305</v>
      </c>
      <c r="V56" s="10">
        <f ca="1">VLOOKUP($B56,'[8]Analisys QBR By Machine Report'!$C$109:$BD$166,17,FALSE)</f>
        <v>0</v>
      </c>
      <c r="W56" s="10">
        <f ca="1">VLOOKUP($B56,'[8]Analisys QBR By Machine Report'!$C$109:$BD$166,18,FALSE)</f>
        <v>0</v>
      </c>
      <c r="X56" s="10">
        <f ca="1">VLOOKUP($B56,'[8]Analisys QBR By Machine Report'!$C$109:$BD$166,19,FALSE)</f>
        <v>0</v>
      </c>
      <c r="Y56" s="10">
        <f ca="1">VLOOKUP($B56,'[8]Analisys QBR By Machine Report'!$C$109:$BD$166,20,FALSE)</f>
        <v>0</v>
      </c>
      <c r="Z56" s="10">
        <f ca="1">VLOOKUP($B56,'[8]Analisys QBR By Machine Report'!$C$109:$BD$166,21,FALSE)</f>
        <v>3546</v>
      </c>
      <c r="AA56" s="10">
        <f ca="1">VLOOKUP($B56,'[8]Analisys QBR By Machine Report'!$C$109:$BD$166,22,FALSE)</f>
        <v>1585</v>
      </c>
      <c r="AB56" s="10">
        <f ca="1">VLOOKUP($B56,'[8]Analisys QBR By Machine Report'!$C$109:$BD$166,23,FALSE)</f>
        <v>741</v>
      </c>
      <c r="AC56" s="10">
        <f ca="1">VLOOKUP($B56,'[8]Analisys QBR By Machine Report'!$C$109:$BD$166,24,FALSE)</f>
        <v>595</v>
      </c>
      <c r="AD56" s="10">
        <f ca="1">VLOOKUP($B56,'[8]Analisys QBR By Machine Report'!$C$109:$BD$166,25,FALSE)</f>
        <v>0</v>
      </c>
      <c r="AE56" s="10">
        <f ca="1">VLOOKUP($B56,'[8]Analisys QBR By Machine Report'!$C$109:$BD$166,26,FALSE)</f>
        <v>625</v>
      </c>
      <c r="AF56" s="10">
        <f ca="1">VLOOKUP($B56,'[8]Analisys QBR By Machine Report'!$C$109:$BD$166,27,FALSE)</f>
        <v>0</v>
      </c>
      <c r="AG56" s="10">
        <f ca="1">VLOOKUP($B56,'[8]Analisys QBR By Machine Report'!$C$109:$BD$166,28,FALSE)</f>
        <v>0</v>
      </c>
      <c r="AH56" s="10">
        <f ca="1">VLOOKUP($B56,'[8]Analisys QBR By Machine Report'!$C$109:$BD$166,29,FALSE)</f>
        <v>0</v>
      </c>
      <c r="AI56" s="10">
        <f ca="1">VLOOKUP($B56,'[8]Analisys QBR By Machine Report'!$C$109:$BD$166,30,FALSE)</f>
        <v>3779</v>
      </c>
      <c r="AJ56" s="10">
        <f ca="1">VLOOKUP($B56,'[8]Analisys QBR By Machine Report'!$C$109:$BD$166,31,FALSE)</f>
        <v>195</v>
      </c>
      <c r="AK56" s="10">
        <f ca="1">VLOOKUP($B56,'[8]Analisys QBR By Machine Report'!$C$109:$BD$166,32,FALSE)</f>
        <v>0</v>
      </c>
      <c r="AL56" s="10">
        <f ca="1">VLOOKUP($B56,'[8]Analisys QBR By Machine Report'!$C$109:$BD$166,33,FALSE)</f>
        <v>1230</v>
      </c>
      <c r="AM56" s="10">
        <f ca="1">VLOOKUP($B56,'[8]Analisys QBR By Machine Report'!$C$109:$BD$166,34,FALSE)</f>
        <v>0</v>
      </c>
      <c r="AN56" s="10">
        <f ca="1">VLOOKUP($B56,'[8]Analisys QBR By Machine Report'!$C$109:$BD$166,35,FALSE)</f>
        <v>790</v>
      </c>
      <c r="AO56" s="10">
        <f ca="1">VLOOKUP($B56,'[8]Analisys QBR By Machine Report'!$C$109:$BD$166,36,FALSE)</f>
        <v>155</v>
      </c>
      <c r="AP56" s="10">
        <f ca="1">VLOOKUP($B56,'[8]Analisys QBR By Machine Report'!$C$109:$BD$166,37,FALSE)</f>
        <v>0</v>
      </c>
      <c r="AQ56" s="10">
        <f ca="1">VLOOKUP($B56,'[8]Analisys QBR By Machine Report'!$C$109:$BD$166,38,FALSE)</f>
        <v>0</v>
      </c>
      <c r="AR56" s="10">
        <f ca="1">VLOOKUP($B56,'[8]Analisys QBR By Machine Report'!$C$109:$BD$166,39,FALSE)</f>
        <v>223</v>
      </c>
      <c r="AS56" s="10">
        <f ca="1">VLOOKUP($B56,'[8]Analisys QBR By Machine Report'!$C$109:$BD$166,40,FALSE)</f>
        <v>473</v>
      </c>
      <c r="AT56" s="10">
        <f ca="1">VLOOKUP($B56,'[8]Analisys QBR By Machine Report'!$C$109:$BD$166,41,FALSE)</f>
        <v>0</v>
      </c>
      <c r="AU56" s="10">
        <f ca="1">VLOOKUP($B56,'[8]Analisys QBR By Machine Report'!$C$109:$BD$166,42,FALSE)</f>
        <v>0</v>
      </c>
      <c r="AV56" s="10">
        <f ca="1">VLOOKUP($B56,'[8]Analisys QBR By Machine Report'!$C$109:$BD$166,43,FALSE)</f>
        <v>0</v>
      </c>
      <c r="AW56" s="10">
        <f ca="1">VLOOKUP($B56,'[8]Analisys QBR By Machine Report'!$C$109:$BD$166,44,FALSE)</f>
        <v>0</v>
      </c>
      <c r="AX56" s="10">
        <f ca="1">VLOOKUP($B56,'[8]Analisys QBR By Machine Report'!$C$109:$BD$166,45,FALSE)</f>
        <v>0</v>
      </c>
      <c r="AY56" s="10">
        <f ca="1">VLOOKUP($B56,'[8]Analisys QBR By Machine Report'!$C$109:$BD$166,46,FALSE)</f>
        <v>0</v>
      </c>
      <c r="AZ56" s="10">
        <f ca="1">VLOOKUP($B56,'[8]Analisys QBR By Machine Report'!$C$109:$BD$166,47,FALSE)</f>
        <v>713</v>
      </c>
      <c r="BA56" s="10">
        <f ca="1">VLOOKUP($B56,'[8]Analisys QBR By Machine Report'!$C$109:$BD$166,48,FALSE)</f>
        <v>0</v>
      </c>
      <c r="BB56" s="10">
        <f ca="1">VLOOKUP($B56,'[8]Analisys QBR By Machine Report'!$C$109:$BD$166,49,FALSE)</f>
        <v>0</v>
      </c>
      <c r="BC56" s="10">
        <f ca="1">VLOOKUP($B56,'[8]Analisys QBR By Machine Report'!$C$109:$BD$166,50,FALSE)</f>
        <v>0</v>
      </c>
      <c r="BD56" s="10">
        <f ca="1">VLOOKUP($B56,'[8]Analisys QBR By Machine Report'!$C$109:$BD$166,51,FALSE)</f>
        <v>821428</v>
      </c>
      <c r="BE56" s="10">
        <f ca="1">VLOOKUP($B56,'[8]Analisys QBR By Machine Report'!$C$109:$BD$166,52,FALSE)</f>
        <v>632</v>
      </c>
      <c r="BF56" s="10">
        <f ca="1">VLOOKUP($B56,'[8]Analisys QBR By Machine Report'!$C$109:$BD$166,53,FALSE)</f>
        <v>820796</v>
      </c>
    </row>
    <row r="57" spans="1:58" x14ac:dyDescent="0.25">
      <c r="A57" s="15" t="s">
        <v>113</v>
      </c>
      <c r="B57" s="13">
        <f ca="1">VLOOKUP($B57,'[8]Analisys QBR By Machine Report'!$C$109:$BD$166,2,FALSE)</f>
        <v>28800</v>
      </c>
      <c r="C57" s="14">
        <f ca="1">VLOOKUP($B57,[8]Dasboard_QBR_Report!$B$109:$BL$166,3,FALSE)</f>
        <v>9600</v>
      </c>
      <c r="D57" s="13">
        <f ca="1">VLOOKUP($B57,'[8]Analisys QBR By Machine Report'!$C$109:$BD$166,3,FALSE)</f>
        <v>14430</v>
      </c>
      <c r="E57" s="14">
        <f ca="1">VLOOKUP($B57,[8]Dasboard_QBR_Report!$B$109:$BL$166,5,FALSE)</f>
        <v>-4770</v>
      </c>
      <c r="F57" s="13">
        <f t="shared" ca="1" si="0"/>
        <v>14370</v>
      </c>
      <c r="G57" s="13">
        <f t="shared" ca="1" si="1"/>
        <v>990</v>
      </c>
      <c r="H57" s="13">
        <f ca="1">VLOOKUP($B57,'[8]Analisys QBR By Machine Report'!$C$109:$BD$166,4,FALSE)</f>
        <v>990</v>
      </c>
      <c r="I57" s="13">
        <f ca="1">VLOOKUP($B57,'[8]Analisys QBR By Machine Report'!$C$109:$BD$166,5,FALSE)</f>
        <v>210</v>
      </c>
      <c r="J57" s="13">
        <f ca="1">VLOOKUP($B57,'[8]Analisys QBR By Machine Report'!$C$109:$BD$166,6,FALSE)</f>
        <v>780</v>
      </c>
      <c r="K57" s="13">
        <f ca="1">VLOOKUP($B57,'[8]Analisys QBR By Machine Report'!$C$109:$BD$166,7,FALSE)</f>
        <v>0</v>
      </c>
      <c r="L57" s="13">
        <f ca="1">VLOOKUP($B57,'[8]Analisys QBR By Machine Report'!$C$109:$BD$166,8,FALSE)</f>
        <v>13380</v>
      </c>
      <c r="M57" s="13">
        <f ca="1">VLOOKUP($B57,'[8]Analisys QBR By Machine Report'!$C$109:$BD$166,9,FALSE)</f>
        <v>3855</v>
      </c>
      <c r="N57" s="13">
        <f ca="1">VLOOKUP($B57,[8]Dasboard_QBR_Report!$B$109:$BL$166,18,FALSE)</f>
        <v>9525</v>
      </c>
      <c r="O57" s="13">
        <f ca="1">VLOOKUP($B57,'[8]Analisys QBR By Machine Report'!$C$109:$BD$166,10,FALSE)</f>
        <v>4210</v>
      </c>
      <c r="P57" s="13">
        <f ca="1">VLOOKUP($B57,'[8]Analisys QBR By Machine Report'!$C$109:$BD$166,11,FALSE)</f>
        <v>2230</v>
      </c>
      <c r="Q57" s="13">
        <f ca="1">VLOOKUP($B57,'[8]Analisys QBR By Machine Report'!$C$109:$BD$166,12,FALSE)</f>
        <v>95</v>
      </c>
      <c r="R57" s="13">
        <f ca="1">VLOOKUP($B57,'[8]Analisys QBR By Machine Report'!$C$109:$BD$166,13,FALSE)</f>
        <v>735</v>
      </c>
      <c r="S57" s="13">
        <f ca="1">VLOOKUP($B57,'[8]Analisys QBR By Machine Report'!$C$109:$BD$166,14,FALSE)</f>
        <v>1150</v>
      </c>
      <c r="T57" s="13">
        <f ca="1">VLOOKUP($B57,'[8]Analisys QBR By Machine Report'!$C$109:$BD$166,15,FALSE)</f>
        <v>305</v>
      </c>
      <c r="U57" s="13">
        <f ca="1">VLOOKUP($B57,'[8]Analisys QBR By Machine Report'!$C$109:$BD$166,16,FALSE)</f>
        <v>305</v>
      </c>
      <c r="V57" s="13">
        <f ca="1">VLOOKUP($B57,'[8]Analisys QBR By Machine Report'!$C$109:$BD$166,17,FALSE)</f>
        <v>0</v>
      </c>
      <c r="W57" s="13">
        <f ca="1">VLOOKUP($B57,'[8]Analisys QBR By Machine Report'!$C$109:$BD$166,18,FALSE)</f>
        <v>0</v>
      </c>
      <c r="X57" s="13">
        <f ca="1">VLOOKUP($B57,'[8]Analisys QBR By Machine Report'!$C$109:$BD$166,19,FALSE)</f>
        <v>0</v>
      </c>
      <c r="Y57" s="13">
        <f ca="1">VLOOKUP($B57,'[8]Analisys QBR By Machine Report'!$C$109:$BD$166,20,FALSE)</f>
        <v>0</v>
      </c>
      <c r="Z57" s="13">
        <f ca="1">VLOOKUP($B57,'[8]Analisys QBR By Machine Report'!$C$109:$BD$166,21,FALSE)</f>
        <v>2580</v>
      </c>
      <c r="AA57" s="13">
        <f ca="1">VLOOKUP($B57,'[8]Analisys QBR By Machine Report'!$C$109:$BD$166,22,FALSE)</f>
        <v>1585</v>
      </c>
      <c r="AB57" s="13">
        <f ca="1">VLOOKUP($B57,'[8]Analisys QBR By Machine Report'!$C$109:$BD$166,23,FALSE)</f>
        <v>400</v>
      </c>
      <c r="AC57" s="13">
        <f ca="1">VLOOKUP($B57,'[8]Analisys QBR By Machine Report'!$C$109:$BD$166,24,FALSE)</f>
        <v>595</v>
      </c>
      <c r="AD57" s="13">
        <f ca="1">VLOOKUP($B57,'[8]Analisys QBR By Machine Report'!$C$109:$BD$166,25,FALSE)</f>
        <v>0</v>
      </c>
      <c r="AE57" s="13">
        <f ca="1">VLOOKUP($B57,'[8]Analisys QBR By Machine Report'!$C$109:$BD$166,26,FALSE)</f>
        <v>0</v>
      </c>
      <c r="AF57" s="13">
        <f ca="1">VLOOKUP($B57,'[8]Analisys QBR By Machine Report'!$C$109:$BD$166,27,FALSE)</f>
        <v>0</v>
      </c>
      <c r="AG57" s="13">
        <f ca="1">VLOOKUP($B57,'[8]Analisys QBR By Machine Report'!$C$109:$BD$166,28,FALSE)</f>
        <v>0</v>
      </c>
      <c r="AH57" s="13">
        <f ca="1">VLOOKUP($B57,'[8]Analisys QBR By Machine Report'!$C$109:$BD$166,29,FALSE)</f>
        <v>0</v>
      </c>
      <c r="AI57" s="13">
        <f ca="1">VLOOKUP($B57,'[8]Analisys QBR By Machine Report'!$C$109:$BD$166,30,FALSE)</f>
        <v>2430</v>
      </c>
      <c r="AJ57" s="13">
        <f ca="1">VLOOKUP($B57,'[8]Analisys QBR By Machine Report'!$C$109:$BD$166,31,FALSE)</f>
        <v>195</v>
      </c>
      <c r="AK57" s="13">
        <f ca="1">VLOOKUP($B57,'[8]Analisys QBR By Machine Report'!$C$109:$BD$166,32,FALSE)</f>
        <v>0</v>
      </c>
      <c r="AL57" s="13">
        <f ca="1">VLOOKUP($B57,'[8]Analisys QBR By Machine Report'!$C$109:$BD$166,33,FALSE)</f>
        <v>870</v>
      </c>
      <c r="AM57" s="13">
        <f ca="1">VLOOKUP($B57,'[8]Analisys QBR By Machine Report'!$C$109:$BD$166,34,FALSE)</f>
        <v>0</v>
      </c>
      <c r="AN57" s="13">
        <f ca="1">VLOOKUP($B57,'[8]Analisys QBR By Machine Report'!$C$109:$BD$166,35,FALSE)</f>
        <v>610</v>
      </c>
      <c r="AO57" s="13">
        <f ca="1">VLOOKUP($B57,'[8]Analisys QBR By Machine Report'!$C$109:$BD$166,36,FALSE)</f>
        <v>0</v>
      </c>
      <c r="AP57" s="13">
        <f ca="1">VLOOKUP($B57,'[8]Analisys QBR By Machine Report'!$C$109:$BD$166,37,FALSE)</f>
        <v>0</v>
      </c>
      <c r="AQ57" s="13">
        <f ca="1">VLOOKUP($B57,'[8]Analisys QBR By Machine Report'!$C$109:$BD$166,38,FALSE)</f>
        <v>0</v>
      </c>
      <c r="AR57" s="13">
        <f ca="1">VLOOKUP($B57,'[8]Analisys QBR By Machine Report'!$C$109:$BD$166,39,FALSE)</f>
        <v>100</v>
      </c>
      <c r="AS57" s="13">
        <f ca="1">VLOOKUP($B57,'[8]Analisys QBR By Machine Report'!$C$109:$BD$166,40,FALSE)</f>
        <v>310</v>
      </c>
      <c r="AT57" s="13">
        <f ca="1">VLOOKUP($B57,'[8]Analisys QBR By Machine Report'!$C$109:$BD$166,41,FALSE)</f>
        <v>0</v>
      </c>
      <c r="AU57" s="13">
        <f ca="1">VLOOKUP($B57,'[8]Analisys QBR By Machine Report'!$C$109:$BD$166,42,FALSE)</f>
        <v>0</v>
      </c>
      <c r="AV57" s="13">
        <f ca="1">VLOOKUP($B57,'[8]Analisys QBR By Machine Report'!$C$109:$BD$166,43,FALSE)</f>
        <v>0</v>
      </c>
      <c r="AW57" s="13">
        <f ca="1">VLOOKUP($B57,'[8]Analisys QBR By Machine Report'!$C$109:$BD$166,44,FALSE)</f>
        <v>0</v>
      </c>
      <c r="AX57" s="13">
        <f ca="1">VLOOKUP($B57,'[8]Analisys QBR By Machine Report'!$C$109:$BD$166,45,FALSE)</f>
        <v>0</v>
      </c>
      <c r="AY57" s="13">
        <f ca="1">VLOOKUP($B57,'[8]Analisys QBR By Machine Report'!$C$109:$BD$166,46,FALSE)</f>
        <v>0</v>
      </c>
      <c r="AZ57" s="13">
        <f ca="1">VLOOKUP($B57,'[8]Analisys QBR By Machine Report'!$C$109:$BD$166,47,FALSE)</f>
        <v>345</v>
      </c>
      <c r="BA57" s="13">
        <f ca="1">VLOOKUP($B57,'[8]Analisys QBR By Machine Report'!$C$109:$BD$166,48,FALSE)</f>
        <v>0</v>
      </c>
      <c r="BB57" s="13">
        <f ca="1">VLOOKUP($B57,'[8]Analisys QBR By Machine Report'!$C$109:$BD$166,49,FALSE)</f>
        <v>0</v>
      </c>
      <c r="BC57" s="13">
        <f ca="1">VLOOKUP($B57,'[8]Analisys QBR By Machine Report'!$C$109:$BD$166,50,FALSE)</f>
        <v>0</v>
      </c>
      <c r="BD57" s="13">
        <f ca="1">VLOOKUP($B57,'[8]Analisys QBR By Machine Report'!$C$109:$BD$166,51,FALSE)</f>
        <v>722242</v>
      </c>
      <c r="BE57" s="13">
        <f ca="1">VLOOKUP($B57,'[8]Analisys QBR By Machine Report'!$C$109:$BD$166,52,FALSE)</f>
        <v>321</v>
      </c>
      <c r="BF57" s="13">
        <f ca="1">VLOOKUP($B57,'[8]Analisys QBR By Machine Report'!$C$109:$BD$166,53,FALSE)</f>
        <v>721921</v>
      </c>
    </row>
    <row r="58" spans="1:58" x14ac:dyDescent="0.25">
      <c r="A58" s="15" t="s">
        <v>114</v>
      </c>
      <c r="B58" s="13">
        <f ca="1">VLOOKUP($B58,'[8]Analisys QBR By Machine Report'!$C$109:$BD$166,2,FALSE)</f>
        <v>28800</v>
      </c>
      <c r="C58" s="14">
        <f ca="1">VLOOKUP($B58,[8]Dasboard_QBR_Report!$B$109:$BL$166,3,FALSE)</f>
        <v>9600</v>
      </c>
      <c r="D58" s="13">
        <f ca="1">VLOOKUP($B58,'[8]Analisys QBR By Machine Report'!$C$109:$BD$166,3,FALSE)</f>
        <v>21660</v>
      </c>
      <c r="E58" s="14">
        <f ca="1">VLOOKUP($B58,[8]Dasboard_QBR_Report!$B$109:$BL$166,5,FALSE)</f>
        <v>2460</v>
      </c>
      <c r="F58" s="13">
        <f t="shared" ca="1" si="0"/>
        <v>7140</v>
      </c>
      <c r="G58" s="13">
        <f t="shared" ca="1" si="1"/>
        <v>985</v>
      </c>
      <c r="H58" s="13">
        <f ca="1">VLOOKUP($B58,'[8]Analisys QBR By Machine Report'!$C$109:$BD$166,4,FALSE)</f>
        <v>985</v>
      </c>
      <c r="I58" s="13">
        <f ca="1">VLOOKUP($B58,'[8]Analisys QBR By Machine Report'!$C$109:$BD$166,5,FALSE)</f>
        <v>350</v>
      </c>
      <c r="J58" s="13">
        <f ca="1">VLOOKUP($B58,'[8]Analisys QBR By Machine Report'!$C$109:$BD$166,6,FALSE)</f>
        <v>635</v>
      </c>
      <c r="K58" s="13">
        <f ca="1">VLOOKUP($B58,'[8]Analisys QBR By Machine Report'!$C$109:$BD$166,7,FALSE)</f>
        <v>0</v>
      </c>
      <c r="L58" s="13">
        <f ca="1">VLOOKUP($B58,'[8]Analisys QBR By Machine Report'!$C$109:$BD$166,8,FALSE)</f>
        <v>6155</v>
      </c>
      <c r="M58" s="13">
        <f ca="1">VLOOKUP($B58,'[8]Analisys QBR By Machine Report'!$C$109:$BD$166,9,FALSE)</f>
        <v>3625</v>
      </c>
      <c r="N58" s="13">
        <f ca="1">VLOOKUP($B58,[8]Dasboard_QBR_Report!$B$109:$BL$166,18,FALSE)</f>
        <v>2530</v>
      </c>
      <c r="O58" s="13">
        <f ca="1">VLOOKUP($B58,'[8]Analisys QBR By Machine Report'!$C$109:$BD$166,10,FALSE)</f>
        <v>215</v>
      </c>
      <c r="P58" s="13">
        <f ca="1">VLOOKUP($B58,'[8]Analisys QBR By Machine Report'!$C$109:$BD$166,11,FALSE)</f>
        <v>215</v>
      </c>
      <c r="Q58" s="13">
        <f ca="1">VLOOKUP($B58,'[8]Analisys QBR By Machine Report'!$C$109:$BD$166,12,FALSE)</f>
        <v>0</v>
      </c>
      <c r="R58" s="13">
        <f ca="1">VLOOKUP($B58,'[8]Analisys QBR By Machine Report'!$C$109:$BD$166,13,FALSE)</f>
        <v>0</v>
      </c>
      <c r="S58" s="13">
        <f ca="1">VLOOKUP($B58,'[8]Analisys QBR By Machine Report'!$C$109:$BD$166,14,FALSE)</f>
        <v>0</v>
      </c>
      <c r="T58" s="13">
        <f ca="1">VLOOKUP($B58,'[8]Analisys QBR By Machine Report'!$C$109:$BD$166,15,FALSE)</f>
        <v>0</v>
      </c>
      <c r="U58" s="13">
        <f ca="1">VLOOKUP($B58,'[8]Analisys QBR By Machine Report'!$C$109:$BD$166,16,FALSE)</f>
        <v>0</v>
      </c>
      <c r="V58" s="13">
        <f ca="1">VLOOKUP($B58,'[8]Analisys QBR By Machine Report'!$C$109:$BD$166,17,FALSE)</f>
        <v>0</v>
      </c>
      <c r="W58" s="13">
        <f ca="1">VLOOKUP($B58,'[8]Analisys QBR By Machine Report'!$C$109:$BD$166,18,FALSE)</f>
        <v>0</v>
      </c>
      <c r="X58" s="13">
        <f ca="1">VLOOKUP($B58,'[8]Analisys QBR By Machine Report'!$C$109:$BD$166,19,FALSE)</f>
        <v>0</v>
      </c>
      <c r="Y58" s="13">
        <f ca="1">VLOOKUP($B58,'[8]Analisys QBR By Machine Report'!$C$109:$BD$166,20,FALSE)</f>
        <v>0</v>
      </c>
      <c r="Z58" s="13">
        <f ca="1">VLOOKUP($B58,'[8]Analisys QBR By Machine Report'!$C$109:$BD$166,21,FALSE)</f>
        <v>966</v>
      </c>
      <c r="AA58" s="13">
        <f ca="1">VLOOKUP($B58,'[8]Analisys QBR By Machine Report'!$C$109:$BD$166,22,FALSE)</f>
        <v>0</v>
      </c>
      <c r="AB58" s="13">
        <f ca="1">VLOOKUP($B58,'[8]Analisys QBR By Machine Report'!$C$109:$BD$166,23,FALSE)</f>
        <v>341</v>
      </c>
      <c r="AC58" s="13">
        <f ca="1">VLOOKUP($B58,'[8]Analisys QBR By Machine Report'!$C$109:$BD$166,24,FALSE)</f>
        <v>0</v>
      </c>
      <c r="AD58" s="13">
        <f ca="1">VLOOKUP($B58,'[8]Analisys QBR By Machine Report'!$C$109:$BD$166,25,FALSE)</f>
        <v>0</v>
      </c>
      <c r="AE58" s="13">
        <f ca="1">VLOOKUP($B58,'[8]Analisys QBR By Machine Report'!$C$109:$BD$166,26,FALSE)</f>
        <v>625</v>
      </c>
      <c r="AF58" s="13">
        <f ca="1">VLOOKUP($B58,'[8]Analisys QBR By Machine Report'!$C$109:$BD$166,27,FALSE)</f>
        <v>0</v>
      </c>
      <c r="AG58" s="13">
        <f ca="1">VLOOKUP($B58,'[8]Analisys QBR By Machine Report'!$C$109:$BD$166,28,FALSE)</f>
        <v>0</v>
      </c>
      <c r="AH58" s="13">
        <f ca="1">VLOOKUP($B58,'[8]Analisys QBR By Machine Report'!$C$109:$BD$166,29,FALSE)</f>
        <v>0</v>
      </c>
      <c r="AI58" s="13">
        <f ca="1">VLOOKUP($B58,'[8]Analisys QBR By Machine Report'!$C$109:$BD$166,30,FALSE)</f>
        <v>1349</v>
      </c>
      <c r="AJ58" s="13">
        <f ca="1">VLOOKUP($B58,'[8]Analisys QBR By Machine Report'!$C$109:$BD$166,31,FALSE)</f>
        <v>0</v>
      </c>
      <c r="AK58" s="13">
        <f ca="1">VLOOKUP($B58,'[8]Analisys QBR By Machine Report'!$C$109:$BD$166,32,FALSE)</f>
        <v>0</v>
      </c>
      <c r="AL58" s="13">
        <f ca="1">VLOOKUP($B58,'[8]Analisys QBR By Machine Report'!$C$109:$BD$166,33,FALSE)</f>
        <v>360</v>
      </c>
      <c r="AM58" s="13">
        <f ca="1">VLOOKUP($B58,'[8]Analisys QBR By Machine Report'!$C$109:$BD$166,34,FALSE)</f>
        <v>0</v>
      </c>
      <c r="AN58" s="13">
        <f ca="1">VLOOKUP($B58,'[8]Analisys QBR By Machine Report'!$C$109:$BD$166,35,FALSE)</f>
        <v>180</v>
      </c>
      <c r="AO58" s="13">
        <f ca="1">VLOOKUP($B58,'[8]Analisys QBR By Machine Report'!$C$109:$BD$166,36,FALSE)</f>
        <v>155</v>
      </c>
      <c r="AP58" s="13">
        <f ca="1">VLOOKUP($B58,'[8]Analisys QBR By Machine Report'!$C$109:$BD$166,37,FALSE)</f>
        <v>0</v>
      </c>
      <c r="AQ58" s="13">
        <f ca="1">VLOOKUP($B58,'[8]Analisys QBR By Machine Report'!$C$109:$BD$166,38,FALSE)</f>
        <v>0</v>
      </c>
      <c r="AR58" s="13">
        <f ca="1">VLOOKUP($B58,'[8]Analisys QBR By Machine Report'!$C$109:$BD$166,39,FALSE)</f>
        <v>123</v>
      </c>
      <c r="AS58" s="13">
        <f ca="1">VLOOKUP($B58,'[8]Analisys QBR By Machine Report'!$C$109:$BD$166,40,FALSE)</f>
        <v>163</v>
      </c>
      <c r="AT58" s="13">
        <f ca="1">VLOOKUP($B58,'[8]Analisys QBR By Machine Report'!$C$109:$BD$166,41,FALSE)</f>
        <v>0</v>
      </c>
      <c r="AU58" s="13">
        <f ca="1">VLOOKUP($B58,'[8]Analisys QBR By Machine Report'!$C$109:$BD$166,42,FALSE)</f>
        <v>0</v>
      </c>
      <c r="AV58" s="13">
        <f ca="1">VLOOKUP($B58,'[8]Analisys QBR By Machine Report'!$C$109:$BD$166,43,FALSE)</f>
        <v>0</v>
      </c>
      <c r="AW58" s="13">
        <f ca="1">VLOOKUP($B58,'[8]Analisys QBR By Machine Report'!$C$109:$BD$166,44,FALSE)</f>
        <v>0</v>
      </c>
      <c r="AX58" s="13">
        <f ca="1">VLOOKUP($B58,'[8]Analisys QBR By Machine Report'!$C$109:$BD$166,45,FALSE)</f>
        <v>0</v>
      </c>
      <c r="AY58" s="13">
        <f ca="1">VLOOKUP($B58,'[8]Analisys QBR By Machine Report'!$C$109:$BD$166,46,FALSE)</f>
        <v>0</v>
      </c>
      <c r="AZ58" s="13">
        <f ca="1">VLOOKUP($B58,'[8]Analisys QBR By Machine Report'!$C$109:$BD$166,47,FALSE)</f>
        <v>368</v>
      </c>
      <c r="BA58" s="13">
        <f ca="1">VLOOKUP($B58,'[8]Analisys QBR By Machine Report'!$C$109:$BD$166,48,FALSE)</f>
        <v>0</v>
      </c>
      <c r="BB58" s="13">
        <f ca="1">VLOOKUP($B58,'[8]Analisys QBR By Machine Report'!$C$109:$BD$166,49,FALSE)</f>
        <v>0</v>
      </c>
      <c r="BC58" s="13">
        <f ca="1">VLOOKUP($B58,'[8]Analisys QBR By Machine Report'!$C$109:$BD$166,50,FALSE)</f>
        <v>0</v>
      </c>
      <c r="BD58" s="13">
        <f ca="1">VLOOKUP($B58,'[8]Analisys QBR By Machine Report'!$C$109:$BD$166,51,FALSE)</f>
        <v>99186</v>
      </c>
      <c r="BE58" s="13">
        <f ca="1">VLOOKUP($B58,'[8]Analisys QBR By Machine Report'!$C$109:$BD$166,52,FALSE)</f>
        <v>311</v>
      </c>
      <c r="BF58" s="13">
        <f ca="1">VLOOKUP($B58,'[8]Analisys QBR By Machine Report'!$C$109:$BD$166,53,FALSE)</f>
        <v>98875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9EBB-DD89-408D-80AF-B0BBE57E9E09}">
  <dimension ref="A1:BF58"/>
  <sheetViews>
    <sheetView workbookViewId="0">
      <selection sqref="A1:BF58"/>
    </sheetView>
  </sheetViews>
  <sheetFormatPr defaultRowHeight="15" x14ac:dyDescent="0.25"/>
  <sheetData>
    <row r="1" spans="1:58" ht="60" x14ac:dyDescent="0.25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8" t="s">
        <v>55</v>
      </c>
      <c r="BE1" s="8" t="s">
        <v>56</v>
      </c>
      <c r="BF1" s="8" t="s">
        <v>57</v>
      </c>
    </row>
    <row r="2" spans="1:58" x14ac:dyDescent="0.25">
      <c r="A2" s="9" t="s">
        <v>58</v>
      </c>
      <c r="B2" s="10">
        <f ca="1">VLOOKUP($B2,'[9]Analisys QBR By Machine Report'!$C$109:$BD$166,2,FALSE)</f>
        <v>93600</v>
      </c>
      <c r="C2" s="11">
        <f ca="1">VLOOKUP($B2,[9]Dasboard_QBR_Report!$B$109:$BL$166,3,FALSE)</f>
        <v>60450</v>
      </c>
      <c r="D2" s="10">
        <f ca="1">VLOOKUP($B2,'[9]Analisys QBR By Machine Report'!$C$109:$BD$166,3,FALSE)</f>
        <v>64770</v>
      </c>
      <c r="E2" s="11">
        <f ca="1">VLOOKUP($B2,[9]Dasboard_QBR_Report!$B$109:$BL$166,5,FALSE)</f>
        <v>31620</v>
      </c>
      <c r="F2" s="10">
        <f t="shared" ref="F2:F58" ca="1" si="0">SUM(G2,L2)</f>
        <v>28830</v>
      </c>
      <c r="G2" s="10">
        <f t="shared" ref="G2:G58" ca="1" si="1">SUM($I2,$L2)</f>
        <v>3455</v>
      </c>
      <c r="H2" s="10">
        <f ca="1">VLOOKUP($B2,'[9]Analisys QBR By Machine Report'!$C$109:$BD$166,4,FALSE)</f>
        <v>3425</v>
      </c>
      <c r="I2" s="10">
        <f ca="1">VLOOKUP($B2,'[9]Analisys QBR By Machine Report'!$C$109:$BD$166,5,FALSE)</f>
        <v>230</v>
      </c>
      <c r="J2" s="10">
        <f ca="1">VLOOKUP($B2,'[9]Analisys QBR By Machine Report'!$C$109:$BD$166,6,FALSE)</f>
        <v>3195</v>
      </c>
      <c r="K2" s="10">
        <f ca="1">VLOOKUP($B2,'[9]Analisys QBR By Machine Report'!$C$109:$BD$166,7,FALSE)</f>
        <v>30</v>
      </c>
      <c r="L2" s="10">
        <f ca="1">VLOOKUP($B2,'[9]Analisys QBR By Machine Report'!$C$109:$BD$166,8,FALSE)</f>
        <v>25375</v>
      </c>
      <c r="M2" s="10">
        <f ca="1">VLOOKUP($B2,'[9]Analisys QBR By Machine Report'!$C$109:$BD$166,9,FALSE)</f>
        <v>3977</v>
      </c>
      <c r="N2" s="10">
        <f ca="1">VLOOKUP($B2,[9]Dasboard_QBR_Report!$B$109:$BL$166,18,FALSE)</f>
        <v>21398</v>
      </c>
      <c r="O2" s="10">
        <f ca="1">VLOOKUP($B2,'[9]Analisys QBR By Machine Report'!$C$109:$BD$166,10,FALSE)</f>
        <v>852</v>
      </c>
      <c r="P2" s="10">
        <f ca="1">VLOOKUP($B2,'[9]Analisys QBR By Machine Report'!$C$109:$BD$166,11,FALSE)</f>
        <v>852</v>
      </c>
      <c r="Q2" s="10">
        <f ca="1">VLOOKUP($B2,'[9]Analisys QBR By Machine Report'!$C$109:$BD$166,12,FALSE)</f>
        <v>0</v>
      </c>
      <c r="R2" s="10">
        <f ca="1">VLOOKUP($B2,'[9]Analisys QBR By Machine Report'!$C$109:$BD$166,13,FALSE)</f>
        <v>0</v>
      </c>
      <c r="S2" s="10">
        <f ca="1">VLOOKUP($B2,'[9]Analisys QBR By Machine Report'!$C$109:$BD$166,14,FALSE)</f>
        <v>0</v>
      </c>
      <c r="T2" s="10">
        <f ca="1">VLOOKUP($B2,'[9]Analisys QBR By Machine Report'!$C$109:$BD$166,15,FALSE)</f>
        <v>65</v>
      </c>
      <c r="U2" s="10">
        <f ca="1">VLOOKUP($B2,'[9]Analisys QBR By Machine Report'!$C$109:$BD$166,16,FALSE)</f>
        <v>50</v>
      </c>
      <c r="V2" s="10">
        <f ca="1">VLOOKUP($B2,'[9]Analisys QBR By Machine Report'!$C$109:$BD$166,17,FALSE)</f>
        <v>0</v>
      </c>
      <c r="W2" s="10">
        <f ca="1">VLOOKUP($B2,'[9]Analisys QBR By Machine Report'!$C$109:$BD$166,18,FALSE)</f>
        <v>0</v>
      </c>
      <c r="X2" s="10">
        <f ca="1">VLOOKUP($B2,'[9]Analisys QBR By Machine Report'!$C$109:$BD$166,19,FALSE)</f>
        <v>15</v>
      </c>
      <c r="Y2" s="10">
        <f ca="1">VLOOKUP($B2,'[9]Analisys QBR By Machine Report'!$C$109:$BD$166,20,FALSE)</f>
        <v>0</v>
      </c>
      <c r="Z2" s="10">
        <f ca="1">VLOOKUP($B2,'[9]Analisys QBR By Machine Report'!$C$109:$BD$166,21,FALSE)</f>
        <v>9699</v>
      </c>
      <c r="AA2" s="10">
        <f ca="1">VLOOKUP($B2,'[9]Analisys QBR By Machine Report'!$C$109:$BD$166,22,FALSE)</f>
        <v>5406</v>
      </c>
      <c r="AB2" s="10">
        <f ca="1">VLOOKUP($B2,'[9]Analisys QBR By Machine Report'!$C$109:$BD$166,23,FALSE)</f>
        <v>3606</v>
      </c>
      <c r="AC2" s="10">
        <f ca="1">VLOOKUP($B2,'[9]Analisys QBR By Machine Report'!$C$109:$BD$166,24,FALSE)</f>
        <v>79</v>
      </c>
      <c r="AD2" s="10">
        <f ca="1">VLOOKUP($B2,'[9]Analisys QBR By Machine Report'!$C$109:$BD$166,25,FALSE)</f>
        <v>0</v>
      </c>
      <c r="AE2" s="10">
        <f ca="1">VLOOKUP($B2,'[9]Analisys QBR By Machine Report'!$C$109:$BD$166,26,FALSE)</f>
        <v>608</v>
      </c>
      <c r="AF2" s="10">
        <f ca="1">VLOOKUP($B2,'[9]Analisys QBR By Machine Report'!$C$109:$BD$166,27,FALSE)</f>
        <v>2725</v>
      </c>
      <c r="AG2" s="10">
        <f ca="1">VLOOKUP($B2,'[9]Analisys QBR By Machine Report'!$C$109:$BD$166,28,FALSE)</f>
        <v>0</v>
      </c>
      <c r="AH2" s="10">
        <f ca="1">VLOOKUP($B2,'[9]Analisys QBR By Machine Report'!$C$109:$BD$166,29,FALSE)</f>
        <v>2725</v>
      </c>
      <c r="AI2" s="10">
        <f ca="1">VLOOKUP($B2,'[9]Analisys QBR By Machine Report'!$C$109:$BD$166,30,FALSE)</f>
        <v>8057</v>
      </c>
      <c r="AJ2" s="10">
        <f ca="1">VLOOKUP($B2,'[9]Analisys QBR By Machine Report'!$C$109:$BD$166,31,FALSE)</f>
        <v>320</v>
      </c>
      <c r="AK2" s="10">
        <f ca="1">VLOOKUP($B2,'[9]Analisys QBR By Machine Report'!$C$109:$BD$166,32,FALSE)</f>
        <v>0</v>
      </c>
      <c r="AL2" s="10">
        <f ca="1">VLOOKUP($B2,'[9]Analisys QBR By Machine Report'!$C$109:$BD$166,33,FALSE)</f>
        <v>1257</v>
      </c>
      <c r="AM2" s="10">
        <f ca="1">VLOOKUP($B2,'[9]Analisys QBR By Machine Report'!$C$109:$BD$166,34,FALSE)</f>
        <v>0</v>
      </c>
      <c r="AN2" s="10">
        <f ca="1">VLOOKUP($B2,'[9]Analisys QBR By Machine Report'!$C$109:$BD$166,35,FALSE)</f>
        <v>930</v>
      </c>
      <c r="AO2" s="10">
        <f ca="1">VLOOKUP($B2,'[9]Analisys QBR By Machine Report'!$C$109:$BD$166,36,FALSE)</f>
        <v>0</v>
      </c>
      <c r="AP2" s="10">
        <f ca="1">VLOOKUP($B2,'[9]Analisys QBR By Machine Report'!$C$109:$BD$166,37,FALSE)</f>
        <v>0</v>
      </c>
      <c r="AQ2" s="10">
        <f ca="1">VLOOKUP($B2,'[9]Analisys QBR By Machine Report'!$C$109:$BD$166,38,FALSE)</f>
        <v>0</v>
      </c>
      <c r="AR2" s="10">
        <f ca="1">VLOOKUP($B2,'[9]Analisys QBR By Machine Report'!$C$109:$BD$166,39,FALSE)</f>
        <v>4744</v>
      </c>
      <c r="AS2" s="10">
        <f ca="1">VLOOKUP($B2,'[9]Analisys QBR By Machine Report'!$C$109:$BD$166,40,FALSE)</f>
        <v>0</v>
      </c>
      <c r="AT2" s="10">
        <f ca="1">VLOOKUP($B2,'[9]Analisys QBR By Machine Report'!$C$109:$BD$166,41,FALSE)</f>
        <v>0</v>
      </c>
      <c r="AU2" s="10">
        <f ca="1">VLOOKUP($B2,'[9]Analisys QBR By Machine Report'!$C$109:$BD$166,42,FALSE)</f>
        <v>588</v>
      </c>
      <c r="AV2" s="10">
        <f ca="1">VLOOKUP($B2,'[9]Analisys QBR By Machine Report'!$C$109:$BD$166,43,FALSE)</f>
        <v>0</v>
      </c>
      <c r="AW2" s="10">
        <f ca="1">VLOOKUP($B2,'[9]Analisys QBR By Machine Report'!$C$109:$BD$166,44,FALSE)</f>
        <v>0</v>
      </c>
      <c r="AX2" s="10">
        <f ca="1">VLOOKUP($B2,'[9]Analisys QBR By Machine Report'!$C$109:$BD$166,45,FALSE)</f>
        <v>0</v>
      </c>
      <c r="AY2" s="10">
        <f ca="1">VLOOKUP($B2,'[9]Analisys QBR By Machine Report'!$C$109:$BD$166,46,FALSE)</f>
        <v>0</v>
      </c>
      <c r="AZ2" s="10">
        <f ca="1">VLOOKUP($B2,'[9]Analisys QBR By Machine Report'!$C$109:$BD$166,47,FALSE)</f>
        <v>218</v>
      </c>
      <c r="BA2" s="10">
        <f ca="1">VLOOKUP($B2,'[9]Analisys QBR By Machine Report'!$C$109:$BD$166,48,FALSE)</f>
        <v>0</v>
      </c>
      <c r="BB2" s="10">
        <f ca="1">VLOOKUP($B2,'[9]Analisys QBR By Machine Report'!$C$109:$BD$166,49,FALSE)</f>
        <v>0</v>
      </c>
      <c r="BC2" s="10">
        <f ca="1">VLOOKUP($B2,'[9]Analisys QBR By Machine Report'!$C$109:$BD$166,50,FALSE)</f>
        <v>0</v>
      </c>
      <c r="BD2" s="10">
        <f ca="1">VLOOKUP($B2,'[9]Analisys QBR By Machine Report'!$C$109:$BD$166,51,FALSE)</f>
        <v>7925.52</v>
      </c>
      <c r="BE2" s="10">
        <f ca="1">VLOOKUP($B2,'[9]Analisys QBR By Machine Report'!$C$109:$BD$166,52,FALSE)</f>
        <v>0</v>
      </c>
      <c r="BF2" s="10">
        <f ca="1">VLOOKUP($B2,'[9]Analisys QBR By Machine Report'!$C$109:$BD$166,53,FALSE)</f>
        <v>7925.52</v>
      </c>
    </row>
    <row r="3" spans="1:58" x14ac:dyDescent="0.25">
      <c r="A3" s="12" t="s">
        <v>59</v>
      </c>
      <c r="B3" s="13">
        <f ca="1">VLOOKUP($B3,'[9]Analisys QBR By Machine Report'!$C$109:$BD$166,2,FALSE)</f>
        <v>31680</v>
      </c>
      <c r="C3" s="14">
        <f ca="1">VLOOKUP($B3,[9]Dasboard_QBR_Report!$B$109:$BL$166,3,FALSE)</f>
        <v>20460</v>
      </c>
      <c r="D3" s="13">
        <f ca="1">VLOOKUP($B3,'[9]Analisys QBR By Machine Report'!$C$109:$BD$166,3,FALSE)</f>
        <v>25860</v>
      </c>
      <c r="E3" s="14">
        <f ca="1">VLOOKUP($B3,[9]Dasboard_QBR_Report!$B$109:$BL$166,5,FALSE)</f>
        <v>14640</v>
      </c>
      <c r="F3" s="13">
        <f t="shared" ca="1" si="0"/>
        <v>5820</v>
      </c>
      <c r="G3" s="13">
        <f t="shared" ca="1" si="1"/>
        <v>1055</v>
      </c>
      <c r="H3" s="13">
        <f ca="1">VLOOKUP($B3,'[9]Analisys QBR By Machine Report'!$C$109:$BD$166,4,FALSE)</f>
        <v>1055</v>
      </c>
      <c r="I3" s="13">
        <f ca="1">VLOOKUP($B3,'[9]Analisys QBR By Machine Report'!$C$109:$BD$166,5,FALSE)</f>
        <v>200</v>
      </c>
      <c r="J3" s="13">
        <f ca="1">VLOOKUP($B3,'[9]Analisys QBR By Machine Report'!$C$109:$BD$166,6,FALSE)</f>
        <v>855</v>
      </c>
      <c r="K3" s="13">
        <f ca="1">VLOOKUP($B3,'[9]Analisys QBR By Machine Report'!$C$109:$BD$166,7,FALSE)</f>
        <v>0</v>
      </c>
      <c r="L3" s="13">
        <f ca="1">VLOOKUP($B3,'[9]Analisys QBR By Machine Report'!$C$109:$BD$166,8,FALSE)</f>
        <v>4765</v>
      </c>
      <c r="M3" s="13">
        <f ca="1">VLOOKUP($B3,'[9]Analisys QBR By Machine Report'!$C$109:$BD$166,9,FALSE)</f>
        <v>945</v>
      </c>
      <c r="N3" s="13">
        <f ca="1">VLOOKUP($B3,[9]Dasboard_QBR_Report!$B$109:$BL$166,18,FALSE)</f>
        <v>3820</v>
      </c>
      <c r="O3" s="13">
        <f ca="1">VLOOKUP($B3,'[9]Analisys QBR By Machine Report'!$C$109:$BD$166,10,FALSE)</f>
        <v>170</v>
      </c>
      <c r="P3" s="13">
        <f ca="1">VLOOKUP($B3,'[9]Analisys QBR By Machine Report'!$C$109:$BD$166,11,FALSE)</f>
        <v>170</v>
      </c>
      <c r="Q3" s="13">
        <f ca="1">VLOOKUP($B3,'[9]Analisys QBR By Machine Report'!$C$109:$BD$166,12,FALSE)</f>
        <v>0</v>
      </c>
      <c r="R3" s="13">
        <f ca="1">VLOOKUP($B3,'[9]Analisys QBR By Machine Report'!$C$109:$BD$166,13,FALSE)</f>
        <v>0</v>
      </c>
      <c r="S3" s="13">
        <f ca="1">VLOOKUP($B3,'[9]Analisys QBR By Machine Report'!$C$109:$BD$166,14,FALSE)</f>
        <v>0</v>
      </c>
      <c r="T3" s="13">
        <f ca="1">VLOOKUP($B3,'[9]Analisys QBR By Machine Report'!$C$109:$BD$166,15,FALSE)</f>
        <v>0</v>
      </c>
      <c r="U3" s="13">
        <f ca="1">VLOOKUP($B3,'[9]Analisys QBR By Machine Report'!$C$109:$BD$166,16,FALSE)</f>
        <v>0</v>
      </c>
      <c r="V3" s="13">
        <f ca="1">VLOOKUP($B3,'[9]Analisys QBR By Machine Report'!$C$109:$BD$166,17,FALSE)</f>
        <v>0</v>
      </c>
      <c r="W3" s="13">
        <f ca="1">VLOOKUP($B3,'[9]Analisys QBR By Machine Report'!$C$109:$BD$166,18,FALSE)</f>
        <v>0</v>
      </c>
      <c r="X3" s="13">
        <f ca="1">VLOOKUP($B3,'[9]Analisys QBR By Machine Report'!$C$109:$BD$166,19,FALSE)</f>
        <v>0</v>
      </c>
      <c r="Y3" s="13">
        <f ca="1">VLOOKUP($B3,'[9]Analisys QBR By Machine Report'!$C$109:$BD$166,20,FALSE)</f>
        <v>0</v>
      </c>
      <c r="Z3" s="13">
        <f ca="1">VLOOKUP($B3,'[9]Analisys QBR By Machine Report'!$C$109:$BD$166,21,FALSE)</f>
        <v>2672</v>
      </c>
      <c r="AA3" s="13">
        <f ca="1">VLOOKUP($B3,'[9]Analisys QBR By Machine Report'!$C$109:$BD$166,22,FALSE)</f>
        <v>1407</v>
      </c>
      <c r="AB3" s="13">
        <f ca="1">VLOOKUP($B3,'[9]Analisys QBR By Machine Report'!$C$109:$BD$166,23,FALSE)</f>
        <v>1064</v>
      </c>
      <c r="AC3" s="13">
        <f ca="1">VLOOKUP($B3,'[9]Analisys QBR By Machine Report'!$C$109:$BD$166,24,FALSE)</f>
        <v>1</v>
      </c>
      <c r="AD3" s="13">
        <f ca="1">VLOOKUP($B3,'[9]Analisys QBR By Machine Report'!$C$109:$BD$166,25,FALSE)</f>
        <v>0</v>
      </c>
      <c r="AE3" s="13">
        <f ca="1">VLOOKUP($B3,'[9]Analisys QBR By Machine Report'!$C$109:$BD$166,26,FALSE)</f>
        <v>200</v>
      </c>
      <c r="AF3" s="13">
        <f ca="1">VLOOKUP($B3,'[9]Analisys QBR By Machine Report'!$C$109:$BD$166,27,FALSE)</f>
        <v>0</v>
      </c>
      <c r="AG3" s="13">
        <f ca="1">VLOOKUP($B3,'[9]Analisys QBR By Machine Report'!$C$109:$BD$166,28,FALSE)</f>
        <v>0</v>
      </c>
      <c r="AH3" s="13">
        <f ca="1">VLOOKUP($B3,'[9]Analisys QBR By Machine Report'!$C$109:$BD$166,29,FALSE)</f>
        <v>0</v>
      </c>
      <c r="AI3" s="13">
        <f ca="1">VLOOKUP($B3,'[9]Analisys QBR By Machine Report'!$C$109:$BD$166,30,FALSE)</f>
        <v>978</v>
      </c>
      <c r="AJ3" s="13">
        <f ca="1">VLOOKUP($B3,'[9]Analisys QBR By Machine Report'!$C$109:$BD$166,31,FALSE)</f>
        <v>110</v>
      </c>
      <c r="AK3" s="13">
        <f ca="1">VLOOKUP($B3,'[9]Analisys QBR By Machine Report'!$C$109:$BD$166,32,FALSE)</f>
        <v>0</v>
      </c>
      <c r="AL3" s="13">
        <f ca="1">VLOOKUP($B3,'[9]Analisys QBR By Machine Report'!$C$109:$BD$166,33,FALSE)</f>
        <v>360</v>
      </c>
      <c r="AM3" s="13">
        <f ca="1">VLOOKUP($B3,'[9]Analisys QBR By Machine Report'!$C$109:$BD$166,34,FALSE)</f>
        <v>0</v>
      </c>
      <c r="AN3" s="13">
        <f ca="1">VLOOKUP($B3,'[9]Analisys QBR By Machine Report'!$C$109:$BD$166,35,FALSE)</f>
        <v>285</v>
      </c>
      <c r="AO3" s="13">
        <f ca="1">VLOOKUP($B3,'[9]Analisys QBR By Machine Report'!$C$109:$BD$166,36,FALSE)</f>
        <v>0</v>
      </c>
      <c r="AP3" s="13">
        <f ca="1">VLOOKUP($B3,'[9]Analisys QBR By Machine Report'!$C$109:$BD$166,37,FALSE)</f>
        <v>0</v>
      </c>
      <c r="AQ3" s="13">
        <f ca="1">VLOOKUP($B3,'[9]Analisys QBR By Machine Report'!$C$109:$BD$166,38,FALSE)</f>
        <v>0</v>
      </c>
      <c r="AR3" s="13">
        <f ca="1">VLOOKUP($B3,'[9]Analisys QBR By Machine Report'!$C$109:$BD$166,39,FALSE)</f>
        <v>0</v>
      </c>
      <c r="AS3" s="13">
        <f ca="1">VLOOKUP($B3,'[9]Analisys QBR By Machine Report'!$C$109:$BD$166,40,FALSE)</f>
        <v>0</v>
      </c>
      <c r="AT3" s="13">
        <f ca="1">VLOOKUP($B3,'[9]Analisys QBR By Machine Report'!$C$109:$BD$166,41,FALSE)</f>
        <v>0</v>
      </c>
      <c r="AU3" s="13">
        <f ca="1">VLOOKUP($B3,'[9]Analisys QBR By Machine Report'!$C$109:$BD$166,42,FALSE)</f>
        <v>223</v>
      </c>
      <c r="AV3" s="13">
        <f ca="1">VLOOKUP($B3,'[9]Analisys QBR By Machine Report'!$C$109:$BD$166,43,FALSE)</f>
        <v>0</v>
      </c>
      <c r="AW3" s="13">
        <f ca="1">VLOOKUP($B3,'[9]Analisys QBR By Machine Report'!$C$109:$BD$166,44,FALSE)</f>
        <v>0</v>
      </c>
      <c r="AX3" s="13">
        <f ca="1">VLOOKUP($B3,'[9]Analisys QBR By Machine Report'!$C$109:$BD$166,45,FALSE)</f>
        <v>0</v>
      </c>
      <c r="AY3" s="13">
        <f ca="1">VLOOKUP($B3,'[9]Analisys QBR By Machine Report'!$C$109:$BD$166,46,FALSE)</f>
        <v>0</v>
      </c>
      <c r="AZ3" s="13">
        <f ca="1">VLOOKUP($B3,'[9]Analisys QBR By Machine Report'!$C$109:$BD$166,47,FALSE)</f>
        <v>0</v>
      </c>
      <c r="BA3" s="13">
        <f ca="1">VLOOKUP($B3,'[9]Analisys QBR By Machine Report'!$C$109:$BD$166,48,FALSE)</f>
        <v>0</v>
      </c>
      <c r="BB3" s="13">
        <f ca="1">VLOOKUP($B3,'[9]Analisys QBR By Machine Report'!$C$109:$BD$166,49,FALSE)</f>
        <v>0</v>
      </c>
      <c r="BC3" s="13">
        <f ca="1">VLOOKUP($B3,'[9]Analisys QBR By Machine Report'!$C$109:$BD$166,50,FALSE)</f>
        <v>0</v>
      </c>
      <c r="BD3" s="13">
        <f ca="1">VLOOKUP($B3,'[9]Analisys QBR By Machine Report'!$C$109:$BD$166,51,FALSE)</f>
        <v>504.36</v>
      </c>
      <c r="BE3" s="13">
        <f ca="1">VLOOKUP($B3,'[9]Analisys QBR By Machine Report'!$C$109:$BD$166,52,FALSE)</f>
        <v>0</v>
      </c>
      <c r="BF3" s="13">
        <f ca="1">VLOOKUP($B3,'[9]Analisys QBR By Machine Report'!$C$109:$BD$166,53,FALSE)</f>
        <v>504.36</v>
      </c>
    </row>
    <row r="4" spans="1:58" x14ac:dyDescent="0.25">
      <c r="A4" s="12" t="s">
        <v>60</v>
      </c>
      <c r="B4" s="13">
        <f ca="1">VLOOKUP($B4,'[9]Analisys QBR By Machine Report'!$C$109:$BD$166,2,FALSE)</f>
        <v>30240</v>
      </c>
      <c r="C4" s="14">
        <f ca="1">VLOOKUP($B4,[9]Dasboard_QBR_Report!$B$109:$BL$166,3,FALSE)</f>
        <v>19530</v>
      </c>
      <c r="D4" s="13">
        <f ca="1">VLOOKUP($B4,'[9]Analisys QBR By Machine Report'!$C$109:$BD$166,3,FALSE)</f>
        <v>23430</v>
      </c>
      <c r="E4" s="14">
        <f ca="1">VLOOKUP($B4,[9]Dasboard_QBR_Report!$B$109:$BL$166,5,FALSE)</f>
        <v>12720</v>
      </c>
      <c r="F4" s="13">
        <f t="shared" ca="1" si="0"/>
        <v>6810</v>
      </c>
      <c r="G4" s="13">
        <f t="shared" ca="1" si="1"/>
        <v>0</v>
      </c>
      <c r="H4" s="13">
        <f ca="1">VLOOKUP($B4,'[9]Analisys QBR By Machine Report'!$C$109:$BD$166,4,FALSE)</f>
        <v>0</v>
      </c>
      <c r="I4" s="13">
        <f ca="1">VLOOKUP($B4,'[9]Analisys QBR By Machine Report'!$C$109:$BD$166,5,FALSE)</f>
        <v>0</v>
      </c>
      <c r="J4" s="13">
        <f ca="1">VLOOKUP($B4,'[9]Analisys QBR By Machine Report'!$C$109:$BD$166,6,FALSE)</f>
        <v>0</v>
      </c>
      <c r="K4" s="13">
        <f ca="1">VLOOKUP($B4,'[9]Analisys QBR By Machine Report'!$C$109:$BD$166,7,FALSE)</f>
        <v>0</v>
      </c>
      <c r="L4" s="13">
        <f ca="1">VLOOKUP($B4,'[9]Analisys QBR By Machine Report'!$C$109:$BD$166,8,FALSE)</f>
        <v>6810</v>
      </c>
      <c r="M4" s="13">
        <f ca="1">VLOOKUP($B4,'[9]Analisys QBR By Machine Report'!$C$109:$BD$166,9,FALSE)</f>
        <v>2146</v>
      </c>
      <c r="N4" s="13">
        <f ca="1">VLOOKUP($B4,[9]Dasboard_QBR_Report!$B$109:$BL$166,18,FALSE)</f>
        <v>4664</v>
      </c>
      <c r="O4" s="13">
        <f ca="1">VLOOKUP($B4,'[9]Analisys QBR By Machine Report'!$C$109:$BD$166,10,FALSE)</f>
        <v>232</v>
      </c>
      <c r="P4" s="13">
        <f ca="1">VLOOKUP($B4,'[9]Analisys QBR By Machine Report'!$C$109:$BD$166,11,FALSE)</f>
        <v>232</v>
      </c>
      <c r="Q4" s="13">
        <f ca="1">VLOOKUP($B4,'[9]Analisys QBR By Machine Report'!$C$109:$BD$166,12,FALSE)</f>
        <v>0</v>
      </c>
      <c r="R4" s="13">
        <f ca="1">VLOOKUP($B4,'[9]Analisys QBR By Machine Report'!$C$109:$BD$166,13,FALSE)</f>
        <v>0</v>
      </c>
      <c r="S4" s="13">
        <f ca="1">VLOOKUP($B4,'[9]Analisys QBR By Machine Report'!$C$109:$BD$166,14,FALSE)</f>
        <v>0</v>
      </c>
      <c r="T4" s="13">
        <f ca="1">VLOOKUP($B4,'[9]Analisys QBR By Machine Report'!$C$109:$BD$166,15,FALSE)</f>
        <v>65</v>
      </c>
      <c r="U4" s="13">
        <f ca="1">VLOOKUP($B4,'[9]Analisys QBR By Machine Report'!$C$109:$BD$166,16,FALSE)</f>
        <v>50</v>
      </c>
      <c r="V4" s="13">
        <f ca="1">VLOOKUP($B4,'[9]Analisys QBR By Machine Report'!$C$109:$BD$166,17,FALSE)</f>
        <v>0</v>
      </c>
      <c r="W4" s="13">
        <f ca="1">VLOOKUP($B4,'[9]Analisys QBR By Machine Report'!$C$109:$BD$166,18,FALSE)</f>
        <v>0</v>
      </c>
      <c r="X4" s="13">
        <f ca="1">VLOOKUP($B4,'[9]Analisys QBR By Machine Report'!$C$109:$BD$166,19,FALSE)</f>
        <v>15</v>
      </c>
      <c r="Y4" s="13">
        <f ca="1">VLOOKUP($B4,'[9]Analisys QBR By Machine Report'!$C$109:$BD$166,20,FALSE)</f>
        <v>0</v>
      </c>
      <c r="Z4" s="13">
        <f ca="1">VLOOKUP($B4,'[9]Analisys QBR By Machine Report'!$C$109:$BD$166,21,FALSE)</f>
        <v>3272</v>
      </c>
      <c r="AA4" s="13">
        <f ca="1">VLOOKUP($B4,'[9]Analisys QBR By Machine Report'!$C$109:$BD$166,22,FALSE)</f>
        <v>2696</v>
      </c>
      <c r="AB4" s="13">
        <f ca="1">VLOOKUP($B4,'[9]Analisys QBR By Machine Report'!$C$109:$BD$166,23,FALSE)</f>
        <v>308</v>
      </c>
      <c r="AC4" s="13">
        <f ca="1">VLOOKUP($B4,'[9]Analisys QBR By Machine Report'!$C$109:$BD$166,24,FALSE)</f>
        <v>78</v>
      </c>
      <c r="AD4" s="13">
        <f ca="1">VLOOKUP($B4,'[9]Analisys QBR By Machine Report'!$C$109:$BD$166,25,FALSE)</f>
        <v>0</v>
      </c>
      <c r="AE4" s="13">
        <f ca="1">VLOOKUP($B4,'[9]Analisys QBR By Machine Report'!$C$109:$BD$166,26,FALSE)</f>
        <v>190</v>
      </c>
      <c r="AF4" s="13">
        <f ca="1">VLOOKUP($B4,'[9]Analisys QBR By Machine Report'!$C$109:$BD$166,27,FALSE)</f>
        <v>0</v>
      </c>
      <c r="AG4" s="13">
        <f ca="1">VLOOKUP($B4,'[9]Analisys QBR By Machine Report'!$C$109:$BD$166,28,FALSE)</f>
        <v>0</v>
      </c>
      <c r="AH4" s="13">
        <f ca="1">VLOOKUP($B4,'[9]Analisys QBR By Machine Report'!$C$109:$BD$166,29,FALSE)</f>
        <v>0</v>
      </c>
      <c r="AI4" s="13">
        <f ca="1">VLOOKUP($B4,'[9]Analisys QBR By Machine Report'!$C$109:$BD$166,30,FALSE)</f>
        <v>1095</v>
      </c>
      <c r="AJ4" s="13">
        <f ca="1">VLOOKUP($B4,'[9]Analisys QBR By Machine Report'!$C$109:$BD$166,31,FALSE)</f>
        <v>135</v>
      </c>
      <c r="AK4" s="13">
        <f ca="1">VLOOKUP($B4,'[9]Analisys QBR By Machine Report'!$C$109:$BD$166,32,FALSE)</f>
        <v>0</v>
      </c>
      <c r="AL4" s="13">
        <f ca="1">VLOOKUP($B4,'[9]Analisys QBR By Machine Report'!$C$109:$BD$166,33,FALSE)</f>
        <v>420</v>
      </c>
      <c r="AM4" s="13">
        <f ca="1">VLOOKUP($B4,'[9]Analisys QBR By Machine Report'!$C$109:$BD$166,34,FALSE)</f>
        <v>0</v>
      </c>
      <c r="AN4" s="13">
        <f ca="1">VLOOKUP($B4,'[9]Analisys QBR By Machine Report'!$C$109:$BD$166,35,FALSE)</f>
        <v>225</v>
      </c>
      <c r="AO4" s="13">
        <f ca="1">VLOOKUP($B4,'[9]Analisys QBR By Machine Report'!$C$109:$BD$166,36,FALSE)</f>
        <v>0</v>
      </c>
      <c r="AP4" s="13">
        <f ca="1">VLOOKUP($B4,'[9]Analisys QBR By Machine Report'!$C$109:$BD$166,37,FALSE)</f>
        <v>0</v>
      </c>
      <c r="AQ4" s="13">
        <f ca="1">VLOOKUP($B4,'[9]Analisys QBR By Machine Report'!$C$109:$BD$166,38,FALSE)</f>
        <v>0</v>
      </c>
      <c r="AR4" s="13">
        <f ca="1">VLOOKUP($B4,'[9]Analisys QBR By Machine Report'!$C$109:$BD$166,39,FALSE)</f>
        <v>0</v>
      </c>
      <c r="AS4" s="13">
        <f ca="1">VLOOKUP($B4,'[9]Analisys QBR By Machine Report'!$C$109:$BD$166,40,FALSE)</f>
        <v>0</v>
      </c>
      <c r="AT4" s="13">
        <f ca="1">VLOOKUP($B4,'[9]Analisys QBR By Machine Report'!$C$109:$BD$166,41,FALSE)</f>
        <v>0</v>
      </c>
      <c r="AU4" s="13">
        <f ca="1">VLOOKUP($B4,'[9]Analisys QBR By Machine Report'!$C$109:$BD$166,42,FALSE)</f>
        <v>315</v>
      </c>
      <c r="AV4" s="13">
        <f ca="1">VLOOKUP($B4,'[9]Analisys QBR By Machine Report'!$C$109:$BD$166,43,FALSE)</f>
        <v>0</v>
      </c>
      <c r="AW4" s="13">
        <f ca="1">VLOOKUP($B4,'[9]Analisys QBR By Machine Report'!$C$109:$BD$166,44,FALSE)</f>
        <v>0</v>
      </c>
      <c r="AX4" s="13">
        <f ca="1">VLOOKUP($B4,'[9]Analisys QBR By Machine Report'!$C$109:$BD$166,45,FALSE)</f>
        <v>0</v>
      </c>
      <c r="AY4" s="13">
        <f ca="1">VLOOKUP($B4,'[9]Analisys QBR By Machine Report'!$C$109:$BD$166,46,FALSE)</f>
        <v>0</v>
      </c>
      <c r="AZ4" s="13">
        <f ca="1">VLOOKUP($B4,'[9]Analisys QBR By Machine Report'!$C$109:$BD$166,47,FALSE)</f>
        <v>0</v>
      </c>
      <c r="BA4" s="13">
        <f ca="1">VLOOKUP($B4,'[9]Analisys QBR By Machine Report'!$C$109:$BD$166,48,FALSE)</f>
        <v>0</v>
      </c>
      <c r="BB4" s="13">
        <f ca="1">VLOOKUP($B4,'[9]Analisys QBR By Machine Report'!$C$109:$BD$166,49,FALSE)</f>
        <v>0</v>
      </c>
      <c r="BC4" s="13">
        <f ca="1">VLOOKUP($B4,'[9]Analisys QBR By Machine Report'!$C$109:$BD$166,50,FALSE)</f>
        <v>0</v>
      </c>
      <c r="BD4" s="13">
        <f ca="1">VLOOKUP($B4,'[9]Analisys QBR By Machine Report'!$C$109:$BD$166,51,FALSE)</f>
        <v>2090.7199999999998</v>
      </c>
      <c r="BE4" s="13">
        <f ca="1">VLOOKUP($B4,'[9]Analisys QBR By Machine Report'!$C$109:$BD$166,52,FALSE)</f>
        <v>0</v>
      </c>
      <c r="BF4" s="13">
        <f ca="1">VLOOKUP($B4,'[9]Analisys QBR By Machine Report'!$C$109:$BD$166,53,FALSE)</f>
        <v>2090.7199999999998</v>
      </c>
    </row>
    <row r="5" spans="1:58" x14ac:dyDescent="0.25">
      <c r="A5" s="12" t="s">
        <v>61</v>
      </c>
      <c r="B5" s="13">
        <f ca="1">VLOOKUP($B5,'[9]Analisys QBR By Machine Report'!$C$109:$BD$166,2,FALSE)</f>
        <v>31680</v>
      </c>
      <c r="C5" s="14">
        <f ca="1">VLOOKUP($B5,[9]Dasboard_QBR_Report!$B$109:$BL$166,3,FALSE)</f>
        <v>20460</v>
      </c>
      <c r="D5" s="13">
        <f ca="1">VLOOKUP($B5,'[9]Analisys QBR By Machine Report'!$C$109:$BD$166,3,FALSE)</f>
        <v>15480</v>
      </c>
      <c r="E5" s="14">
        <f ca="1">VLOOKUP($B5,[9]Dasboard_QBR_Report!$B$109:$BL$166,5,FALSE)</f>
        <v>4260</v>
      </c>
      <c r="F5" s="13">
        <f t="shared" ca="1" si="0"/>
        <v>16200</v>
      </c>
      <c r="G5" s="13">
        <f t="shared" ca="1" si="1"/>
        <v>2400</v>
      </c>
      <c r="H5" s="13">
        <f ca="1">VLOOKUP($B5,'[9]Analisys QBR By Machine Report'!$C$109:$BD$166,4,FALSE)</f>
        <v>2370</v>
      </c>
      <c r="I5" s="13">
        <f ca="1">VLOOKUP($B5,'[9]Analisys QBR By Machine Report'!$C$109:$BD$166,5,FALSE)</f>
        <v>30</v>
      </c>
      <c r="J5" s="13">
        <f ca="1">VLOOKUP($B5,'[9]Analisys QBR By Machine Report'!$C$109:$BD$166,6,FALSE)</f>
        <v>2340</v>
      </c>
      <c r="K5" s="13">
        <f ca="1">VLOOKUP($B5,'[9]Analisys QBR By Machine Report'!$C$109:$BD$166,7,FALSE)</f>
        <v>30</v>
      </c>
      <c r="L5" s="13">
        <f ca="1">VLOOKUP($B5,'[9]Analisys QBR By Machine Report'!$C$109:$BD$166,8,FALSE)</f>
        <v>13800</v>
      </c>
      <c r="M5" s="13">
        <f ca="1">VLOOKUP($B5,'[9]Analisys QBR By Machine Report'!$C$109:$BD$166,9,FALSE)</f>
        <v>886</v>
      </c>
      <c r="N5" s="13">
        <f ca="1">VLOOKUP($B5,[9]Dasboard_QBR_Report!$B$109:$BL$166,18,FALSE)</f>
        <v>12914</v>
      </c>
      <c r="O5" s="13">
        <f ca="1">VLOOKUP($B5,'[9]Analisys QBR By Machine Report'!$C$109:$BD$166,10,FALSE)</f>
        <v>450</v>
      </c>
      <c r="P5" s="13">
        <f ca="1">VLOOKUP($B5,'[9]Analisys QBR By Machine Report'!$C$109:$BD$166,11,FALSE)</f>
        <v>450</v>
      </c>
      <c r="Q5" s="13">
        <f ca="1">VLOOKUP($B5,'[9]Analisys QBR By Machine Report'!$C$109:$BD$166,12,FALSE)</f>
        <v>0</v>
      </c>
      <c r="R5" s="13">
        <f ca="1">VLOOKUP($B5,'[9]Analisys QBR By Machine Report'!$C$109:$BD$166,13,FALSE)</f>
        <v>0</v>
      </c>
      <c r="S5" s="13">
        <f ca="1">VLOOKUP($B5,'[9]Analisys QBR By Machine Report'!$C$109:$BD$166,14,FALSE)</f>
        <v>0</v>
      </c>
      <c r="T5" s="13">
        <f ca="1">VLOOKUP($B5,'[9]Analisys QBR By Machine Report'!$C$109:$BD$166,15,FALSE)</f>
        <v>0</v>
      </c>
      <c r="U5" s="13">
        <f ca="1">VLOOKUP($B5,'[9]Analisys QBR By Machine Report'!$C$109:$BD$166,16,FALSE)</f>
        <v>0</v>
      </c>
      <c r="V5" s="13">
        <f ca="1">VLOOKUP($B5,'[9]Analisys QBR By Machine Report'!$C$109:$BD$166,17,FALSE)</f>
        <v>0</v>
      </c>
      <c r="W5" s="13">
        <f ca="1">VLOOKUP($B5,'[9]Analisys QBR By Machine Report'!$C$109:$BD$166,18,FALSE)</f>
        <v>0</v>
      </c>
      <c r="X5" s="13">
        <f ca="1">VLOOKUP($B5,'[9]Analisys QBR By Machine Report'!$C$109:$BD$166,19,FALSE)</f>
        <v>0</v>
      </c>
      <c r="Y5" s="13">
        <f ca="1">VLOOKUP($B5,'[9]Analisys QBR By Machine Report'!$C$109:$BD$166,20,FALSE)</f>
        <v>0</v>
      </c>
      <c r="Z5" s="13">
        <f ca="1">VLOOKUP($B5,'[9]Analisys QBR By Machine Report'!$C$109:$BD$166,21,FALSE)</f>
        <v>3755</v>
      </c>
      <c r="AA5" s="13">
        <f ca="1">VLOOKUP($B5,'[9]Analisys QBR By Machine Report'!$C$109:$BD$166,22,FALSE)</f>
        <v>1303</v>
      </c>
      <c r="AB5" s="13">
        <f ca="1">VLOOKUP($B5,'[9]Analisys QBR By Machine Report'!$C$109:$BD$166,23,FALSE)</f>
        <v>2234</v>
      </c>
      <c r="AC5" s="13">
        <f ca="1">VLOOKUP($B5,'[9]Analisys QBR By Machine Report'!$C$109:$BD$166,24,FALSE)</f>
        <v>0</v>
      </c>
      <c r="AD5" s="13">
        <f ca="1">VLOOKUP($B5,'[9]Analisys QBR By Machine Report'!$C$109:$BD$166,25,FALSE)</f>
        <v>0</v>
      </c>
      <c r="AE5" s="13">
        <f ca="1">VLOOKUP($B5,'[9]Analisys QBR By Machine Report'!$C$109:$BD$166,26,FALSE)</f>
        <v>218</v>
      </c>
      <c r="AF5" s="13">
        <f ca="1">VLOOKUP($B5,'[9]Analisys QBR By Machine Report'!$C$109:$BD$166,27,FALSE)</f>
        <v>2725</v>
      </c>
      <c r="AG5" s="13">
        <f ca="1">VLOOKUP($B5,'[9]Analisys QBR By Machine Report'!$C$109:$BD$166,28,FALSE)</f>
        <v>0</v>
      </c>
      <c r="AH5" s="13">
        <f ca="1">VLOOKUP($B5,'[9]Analisys QBR By Machine Report'!$C$109:$BD$166,29,FALSE)</f>
        <v>2725</v>
      </c>
      <c r="AI5" s="13">
        <f ca="1">VLOOKUP($B5,'[9]Analisys QBR By Machine Report'!$C$109:$BD$166,30,FALSE)</f>
        <v>5984</v>
      </c>
      <c r="AJ5" s="13">
        <f ca="1">VLOOKUP($B5,'[9]Analisys QBR By Machine Report'!$C$109:$BD$166,31,FALSE)</f>
        <v>75</v>
      </c>
      <c r="AK5" s="13">
        <f ca="1">VLOOKUP($B5,'[9]Analisys QBR By Machine Report'!$C$109:$BD$166,32,FALSE)</f>
        <v>0</v>
      </c>
      <c r="AL5" s="13">
        <f ca="1">VLOOKUP($B5,'[9]Analisys QBR By Machine Report'!$C$109:$BD$166,33,FALSE)</f>
        <v>477</v>
      </c>
      <c r="AM5" s="13">
        <f ca="1">VLOOKUP($B5,'[9]Analisys QBR By Machine Report'!$C$109:$BD$166,34,FALSE)</f>
        <v>0</v>
      </c>
      <c r="AN5" s="13">
        <f ca="1">VLOOKUP($B5,'[9]Analisys QBR By Machine Report'!$C$109:$BD$166,35,FALSE)</f>
        <v>420</v>
      </c>
      <c r="AO5" s="13">
        <f ca="1">VLOOKUP($B5,'[9]Analisys QBR By Machine Report'!$C$109:$BD$166,36,FALSE)</f>
        <v>0</v>
      </c>
      <c r="AP5" s="13">
        <f ca="1">VLOOKUP($B5,'[9]Analisys QBR By Machine Report'!$C$109:$BD$166,37,FALSE)</f>
        <v>0</v>
      </c>
      <c r="AQ5" s="13">
        <f ca="1">VLOOKUP($B5,'[9]Analisys QBR By Machine Report'!$C$109:$BD$166,38,FALSE)</f>
        <v>0</v>
      </c>
      <c r="AR5" s="13">
        <f ca="1">VLOOKUP($B5,'[9]Analisys QBR By Machine Report'!$C$109:$BD$166,39,FALSE)</f>
        <v>4744</v>
      </c>
      <c r="AS5" s="13">
        <f ca="1">VLOOKUP($B5,'[9]Analisys QBR By Machine Report'!$C$109:$BD$166,40,FALSE)</f>
        <v>0</v>
      </c>
      <c r="AT5" s="13">
        <f ca="1">VLOOKUP($B5,'[9]Analisys QBR By Machine Report'!$C$109:$BD$166,41,FALSE)</f>
        <v>0</v>
      </c>
      <c r="AU5" s="13">
        <f ca="1">VLOOKUP($B5,'[9]Analisys QBR By Machine Report'!$C$109:$BD$166,42,FALSE)</f>
        <v>50</v>
      </c>
      <c r="AV5" s="13">
        <f ca="1">VLOOKUP($B5,'[9]Analisys QBR By Machine Report'!$C$109:$BD$166,43,FALSE)</f>
        <v>0</v>
      </c>
      <c r="AW5" s="13">
        <f ca="1">VLOOKUP($B5,'[9]Analisys QBR By Machine Report'!$C$109:$BD$166,44,FALSE)</f>
        <v>0</v>
      </c>
      <c r="AX5" s="13">
        <f ca="1">VLOOKUP($B5,'[9]Analisys QBR By Machine Report'!$C$109:$BD$166,45,FALSE)</f>
        <v>0</v>
      </c>
      <c r="AY5" s="13">
        <f ca="1">VLOOKUP($B5,'[9]Analisys QBR By Machine Report'!$C$109:$BD$166,46,FALSE)</f>
        <v>0</v>
      </c>
      <c r="AZ5" s="13">
        <f ca="1">VLOOKUP($B5,'[9]Analisys QBR By Machine Report'!$C$109:$BD$166,47,FALSE)</f>
        <v>218</v>
      </c>
      <c r="BA5" s="13">
        <f ca="1">VLOOKUP($B5,'[9]Analisys QBR By Machine Report'!$C$109:$BD$166,48,FALSE)</f>
        <v>0</v>
      </c>
      <c r="BB5" s="13">
        <f ca="1">VLOOKUP($B5,'[9]Analisys QBR By Machine Report'!$C$109:$BD$166,49,FALSE)</f>
        <v>0</v>
      </c>
      <c r="BC5" s="13">
        <f ca="1">VLOOKUP($B5,'[9]Analisys QBR By Machine Report'!$C$109:$BD$166,50,FALSE)</f>
        <v>0</v>
      </c>
      <c r="BD5" s="13">
        <f ca="1">VLOOKUP($B5,'[9]Analisys QBR By Machine Report'!$C$109:$BD$166,51,FALSE)</f>
        <v>5330.44</v>
      </c>
      <c r="BE5" s="13">
        <f ca="1">VLOOKUP($B5,'[9]Analisys QBR By Machine Report'!$C$109:$BD$166,52,FALSE)</f>
        <v>0</v>
      </c>
      <c r="BF5" s="13">
        <f ca="1">VLOOKUP($B5,'[9]Analisys QBR By Machine Report'!$C$109:$BD$166,53,FALSE)</f>
        <v>5330.44</v>
      </c>
    </row>
    <row r="6" spans="1:58" x14ac:dyDescent="0.25">
      <c r="A6" s="9" t="s">
        <v>62</v>
      </c>
      <c r="B6" s="10">
        <f ca="1">VLOOKUP($B6,'[9]Analisys QBR By Machine Report'!$C$109:$BD$166,2,FALSE)</f>
        <v>60480</v>
      </c>
      <c r="C6" s="11">
        <f ca="1">VLOOKUP($B6,[9]Dasboard_QBR_Report!$B$109:$BL$166,3,FALSE)</f>
        <v>20160</v>
      </c>
      <c r="D6" s="10">
        <f ca="1">VLOOKUP($B6,'[9]Analisys QBR By Machine Report'!$C$109:$BD$166,3,FALSE)</f>
        <v>52830</v>
      </c>
      <c r="E6" s="11">
        <f ca="1">VLOOKUP($B6,[9]Dasboard_QBR_Report!$B$109:$BL$166,5,FALSE)</f>
        <v>12510</v>
      </c>
      <c r="F6" s="10">
        <f t="shared" ca="1" si="0"/>
        <v>7650</v>
      </c>
      <c r="G6" s="10">
        <f t="shared" ca="1" si="1"/>
        <v>1720</v>
      </c>
      <c r="H6" s="10">
        <f ca="1">VLOOKUP($B6,'[9]Analisys QBR By Machine Report'!$C$109:$BD$166,4,FALSE)</f>
        <v>1720</v>
      </c>
      <c r="I6" s="10">
        <f ca="1">VLOOKUP($B6,'[9]Analisys QBR By Machine Report'!$C$109:$BD$166,5,FALSE)</f>
        <v>0</v>
      </c>
      <c r="J6" s="10">
        <f ca="1">VLOOKUP($B6,'[9]Analisys QBR By Machine Report'!$C$109:$BD$166,6,FALSE)</f>
        <v>1720</v>
      </c>
      <c r="K6" s="10">
        <f ca="1">VLOOKUP($B6,'[9]Analisys QBR By Machine Report'!$C$109:$BD$166,7,FALSE)</f>
        <v>0</v>
      </c>
      <c r="L6" s="10">
        <f ca="1">VLOOKUP($B6,'[9]Analisys QBR By Machine Report'!$C$109:$BD$166,8,FALSE)</f>
        <v>5930</v>
      </c>
      <c r="M6" s="10">
        <f ca="1">VLOOKUP($B6,'[9]Analisys QBR By Machine Report'!$C$109:$BD$166,9,FALSE)</f>
        <v>1135</v>
      </c>
      <c r="N6" s="10">
        <f ca="1">VLOOKUP($B6,[9]Dasboard_QBR_Report!$B$109:$BL$166,18,FALSE)</f>
        <v>4795</v>
      </c>
      <c r="O6" s="10">
        <f ca="1">VLOOKUP($B6,'[9]Analisys QBR By Machine Report'!$C$109:$BD$166,10,FALSE)</f>
        <v>525</v>
      </c>
      <c r="P6" s="10">
        <f ca="1">VLOOKUP($B6,'[9]Analisys QBR By Machine Report'!$C$109:$BD$166,11,FALSE)</f>
        <v>490</v>
      </c>
      <c r="Q6" s="10">
        <f ca="1">VLOOKUP($B6,'[9]Analisys QBR By Machine Report'!$C$109:$BD$166,12,FALSE)</f>
        <v>0</v>
      </c>
      <c r="R6" s="10">
        <f ca="1">VLOOKUP($B6,'[9]Analisys QBR By Machine Report'!$C$109:$BD$166,13,FALSE)</f>
        <v>0</v>
      </c>
      <c r="S6" s="10">
        <f ca="1">VLOOKUP($B6,'[9]Analisys QBR By Machine Report'!$C$109:$BD$166,14,FALSE)</f>
        <v>35</v>
      </c>
      <c r="T6" s="10">
        <f ca="1">VLOOKUP($B6,'[9]Analisys QBR By Machine Report'!$C$109:$BD$166,15,FALSE)</f>
        <v>0</v>
      </c>
      <c r="U6" s="10">
        <f ca="1">VLOOKUP($B6,'[9]Analisys QBR By Machine Report'!$C$109:$BD$166,16,FALSE)</f>
        <v>0</v>
      </c>
      <c r="V6" s="10">
        <f ca="1">VLOOKUP($B6,'[9]Analisys QBR By Machine Report'!$C$109:$BD$166,17,FALSE)</f>
        <v>0</v>
      </c>
      <c r="W6" s="10">
        <f ca="1">VLOOKUP($B6,'[9]Analisys QBR By Machine Report'!$C$109:$BD$166,18,FALSE)</f>
        <v>0</v>
      </c>
      <c r="X6" s="10">
        <f ca="1">VLOOKUP($B6,'[9]Analisys QBR By Machine Report'!$C$109:$BD$166,19,FALSE)</f>
        <v>0</v>
      </c>
      <c r="Y6" s="10">
        <f ca="1">VLOOKUP($B6,'[9]Analisys QBR By Machine Report'!$C$109:$BD$166,20,FALSE)</f>
        <v>0</v>
      </c>
      <c r="Z6" s="10">
        <f ca="1">VLOOKUP($B6,'[9]Analisys QBR By Machine Report'!$C$109:$BD$166,21,FALSE)</f>
        <v>1135</v>
      </c>
      <c r="AA6" s="10">
        <f ca="1">VLOOKUP($B6,'[9]Analisys QBR By Machine Report'!$C$109:$BD$166,22,FALSE)</f>
        <v>530</v>
      </c>
      <c r="AB6" s="10">
        <f ca="1">VLOOKUP($B6,'[9]Analisys QBR By Machine Report'!$C$109:$BD$166,23,FALSE)</f>
        <v>515</v>
      </c>
      <c r="AC6" s="10">
        <f ca="1">VLOOKUP($B6,'[9]Analisys QBR By Machine Report'!$C$109:$BD$166,24,FALSE)</f>
        <v>35</v>
      </c>
      <c r="AD6" s="10">
        <f ca="1">VLOOKUP($B6,'[9]Analisys QBR By Machine Report'!$C$109:$BD$166,25,FALSE)</f>
        <v>0</v>
      </c>
      <c r="AE6" s="10">
        <f ca="1">VLOOKUP($B6,'[9]Analisys QBR By Machine Report'!$C$109:$BD$166,26,FALSE)</f>
        <v>55</v>
      </c>
      <c r="AF6" s="10">
        <f ca="1">VLOOKUP($B6,'[9]Analisys QBR By Machine Report'!$C$109:$BD$166,27,FALSE)</f>
        <v>2040</v>
      </c>
      <c r="AG6" s="10">
        <f ca="1">VLOOKUP($B6,'[9]Analisys QBR By Machine Report'!$C$109:$BD$166,28,FALSE)</f>
        <v>0</v>
      </c>
      <c r="AH6" s="10">
        <f ca="1">VLOOKUP($B6,'[9]Analisys QBR By Machine Report'!$C$109:$BD$166,29,FALSE)</f>
        <v>2040</v>
      </c>
      <c r="AI6" s="10">
        <f ca="1">VLOOKUP($B6,'[9]Analisys QBR By Machine Report'!$C$109:$BD$166,30,FALSE)</f>
        <v>1095</v>
      </c>
      <c r="AJ6" s="10">
        <f ca="1">VLOOKUP($B6,'[9]Analisys QBR By Machine Report'!$C$109:$BD$166,31,FALSE)</f>
        <v>0</v>
      </c>
      <c r="AK6" s="10">
        <f ca="1">VLOOKUP($B6,'[9]Analisys QBR By Machine Report'!$C$109:$BD$166,32,FALSE)</f>
        <v>0</v>
      </c>
      <c r="AL6" s="10">
        <f ca="1">VLOOKUP($B6,'[9]Analisys QBR By Machine Report'!$C$109:$BD$166,33,FALSE)</f>
        <v>195</v>
      </c>
      <c r="AM6" s="10">
        <f ca="1">VLOOKUP($B6,'[9]Analisys QBR By Machine Report'!$C$109:$BD$166,34,FALSE)</f>
        <v>0</v>
      </c>
      <c r="AN6" s="10">
        <f ca="1">VLOOKUP($B6,'[9]Analisys QBR By Machine Report'!$C$109:$BD$166,35,FALSE)</f>
        <v>90</v>
      </c>
      <c r="AO6" s="10">
        <f ca="1">VLOOKUP($B6,'[9]Analisys QBR By Machine Report'!$C$109:$BD$166,36,FALSE)</f>
        <v>40</v>
      </c>
      <c r="AP6" s="10">
        <f ca="1">VLOOKUP($B6,'[9]Analisys QBR By Machine Report'!$C$109:$BD$166,37,FALSE)</f>
        <v>0</v>
      </c>
      <c r="AQ6" s="10">
        <f ca="1">VLOOKUP($B6,'[9]Analisys QBR By Machine Report'!$C$109:$BD$166,38,FALSE)</f>
        <v>0</v>
      </c>
      <c r="AR6" s="10">
        <f ca="1">VLOOKUP($B6,'[9]Analisys QBR By Machine Report'!$C$109:$BD$166,39,FALSE)</f>
        <v>470</v>
      </c>
      <c r="AS6" s="10">
        <f ca="1">VLOOKUP($B6,'[9]Analisys QBR By Machine Report'!$C$109:$BD$166,40,FALSE)</f>
        <v>55</v>
      </c>
      <c r="AT6" s="10">
        <f ca="1">VLOOKUP($B6,'[9]Analisys QBR By Machine Report'!$C$109:$BD$166,41,FALSE)</f>
        <v>0</v>
      </c>
      <c r="AU6" s="10">
        <f ca="1">VLOOKUP($B6,'[9]Analisys QBR By Machine Report'!$C$109:$BD$166,42,FALSE)</f>
        <v>0</v>
      </c>
      <c r="AV6" s="10">
        <f ca="1">VLOOKUP($B6,'[9]Analisys QBR By Machine Report'!$C$109:$BD$166,43,FALSE)</f>
        <v>0</v>
      </c>
      <c r="AW6" s="10">
        <f ca="1">VLOOKUP($B6,'[9]Analisys QBR By Machine Report'!$C$109:$BD$166,44,FALSE)</f>
        <v>0</v>
      </c>
      <c r="AX6" s="10">
        <f ca="1">VLOOKUP($B6,'[9]Analisys QBR By Machine Report'!$C$109:$BD$166,45,FALSE)</f>
        <v>0</v>
      </c>
      <c r="AY6" s="10">
        <f ca="1">VLOOKUP($B6,'[9]Analisys QBR By Machine Report'!$C$109:$BD$166,46,FALSE)</f>
        <v>0</v>
      </c>
      <c r="AZ6" s="10">
        <f ca="1">VLOOKUP($B6,'[9]Analisys QBR By Machine Report'!$C$109:$BD$166,47,FALSE)</f>
        <v>245</v>
      </c>
      <c r="BA6" s="10">
        <f ca="1">VLOOKUP($B6,'[9]Analisys QBR By Machine Report'!$C$109:$BD$166,48,FALSE)</f>
        <v>0</v>
      </c>
      <c r="BB6" s="10">
        <f ca="1">VLOOKUP($B6,'[9]Analisys QBR By Machine Report'!$C$109:$BD$166,49,FALSE)</f>
        <v>0</v>
      </c>
      <c r="BC6" s="10">
        <f ca="1">VLOOKUP($B6,'[9]Analisys QBR By Machine Report'!$C$109:$BD$166,50,FALSE)</f>
        <v>0</v>
      </c>
      <c r="BD6" s="10">
        <f ca="1">VLOOKUP($B6,'[9]Analisys QBR By Machine Report'!$C$109:$BD$166,51,FALSE)</f>
        <v>420138</v>
      </c>
      <c r="BE6" s="10">
        <f ca="1">VLOOKUP($B6,'[9]Analisys QBR By Machine Report'!$C$109:$BD$166,52,FALSE)</f>
        <v>0</v>
      </c>
      <c r="BF6" s="10">
        <f ca="1">VLOOKUP($B6,'[9]Analisys QBR By Machine Report'!$C$109:$BD$166,53,FALSE)</f>
        <v>420138</v>
      </c>
    </row>
    <row r="7" spans="1:58" x14ac:dyDescent="0.25">
      <c r="A7" s="12" t="s">
        <v>63</v>
      </c>
      <c r="B7" s="13">
        <f ca="1">VLOOKUP($B7,'[9]Analisys QBR By Machine Report'!$C$109:$BD$166,2,FALSE)</f>
        <v>30240</v>
      </c>
      <c r="C7" s="14">
        <f ca="1">VLOOKUP($B7,[9]Dasboard_QBR_Report!$B$109:$BL$166,3,FALSE)</f>
        <v>10080</v>
      </c>
      <c r="D7" s="13">
        <f ca="1">VLOOKUP($B7,'[9]Analisys QBR By Machine Report'!$C$109:$BD$166,3,FALSE)</f>
        <v>25140</v>
      </c>
      <c r="E7" s="14">
        <f ca="1">VLOOKUP($B7,[9]Dasboard_QBR_Report!$B$109:$BL$166,5,FALSE)</f>
        <v>4980</v>
      </c>
      <c r="F7" s="13">
        <f t="shared" ca="1" si="0"/>
        <v>4575</v>
      </c>
      <c r="G7" s="13">
        <f t="shared" ca="1" si="1"/>
        <v>0</v>
      </c>
      <c r="H7" s="13" t="s">
        <v>115</v>
      </c>
      <c r="I7" s="13">
        <f ca="1">VLOOKUP($B7,'[9]Analisys QBR By Machine Report'!$C$109:$BD$166,5,FALSE)</f>
        <v>0</v>
      </c>
      <c r="J7" s="13">
        <f ca="1">VLOOKUP($B7,'[9]Analisys QBR By Machine Report'!$C$109:$BD$166,6,FALSE)</f>
        <v>525</v>
      </c>
      <c r="K7" s="13">
        <f ca="1">VLOOKUP($B7,'[9]Analisys QBR By Machine Report'!$C$109:$BD$166,7,FALSE)</f>
        <v>0</v>
      </c>
      <c r="L7" s="13">
        <f ca="1">VLOOKUP($B7,'[9]Analisys QBR By Machine Report'!$C$109:$BD$166,8,FALSE)</f>
        <v>4575</v>
      </c>
      <c r="M7" s="13">
        <f ca="1">VLOOKUP($B7,'[9]Analisys QBR By Machine Report'!$C$109:$BD$166,9,FALSE)</f>
        <v>985</v>
      </c>
      <c r="N7" s="13">
        <f ca="1">VLOOKUP($B7,[9]Dasboard_QBR_Report!$B$109:$BL$166,18,FALSE)</f>
        <v>3590</v>
      </c>
      <c r="O7" s="13">
        <f ca="1">VLOOKUP($B7,'[9]Analisys QBR By Machine Report'!$C$109:$BD$166,10,FALSE)</f>
        <v>445</v>
      </c>
      <c r="P7" s="13">
        <f ca="1">VLOOKUP($B7,'[9]Analisys QBR By Machine Report'!$C$109:$BD$166,11,FALSE)</f>
        <v>410</v>
      </c>
      <c r="Q7" s="13">
        <f ca="1">VLOOKUP($B7,'[9]Analisys QBR By Machine Report'!$C$109:$BD$166,12,FALSE)</f>
        <v>0</v>
      </c>
      <c r="R7" s="13">
        <f ca="1">VLOOKUP($B7,'[9]Analisys QBR By Machine Report'!$C$109:$BD$166,13,FALSE)</f>
        <v>0</v>
      </c>
      <c r="S7" s="13">
        <f ca="1">VLOOKUP($B7,'[9]Analisys QBR By Machine Report'!$C$109:$BD$166,14,FALSE)</f>
        <v>35</v>
      </c>
      <c r="T7" s="13">
        <f ca="1">VLOOKUP($B7,'[9]Analisys QBR By Machine Report'!$C$109:$BD$166,15,FALSE)</f>
        <v>0</v>
      </c>
      <c r="U7" s="13">
        <f ca="1">VLOOKUP($B7,'[9]Analisys QBR By Machine Report'!$C$109:$BD$166,16,FALSE)</f>
        <v>0</v>
      </c>
      <c r="V7" s="13">
        <f ca="1">VLOOKUP($B7,'[9]Analisys QBR By Machine Report'!$C$109:$BD$166,17,FALSE)</f>
        <v>0</v>
      </c>
      <c r="W7" s="13">
        <f ca="1">VLOOKUP($B7,'[9]Analisys QBR By Machine Report'!$C$109:$BD$166,18,FALSE)</f>
        <v>0</v>
      </c>
      <c r="X7" s="13">
        <f ca="1">VLOOKUP($B7,'[9]Analisys QBR By Machine Report'!$C$109:$BD$166,19,FALSE)</f>
        <v>0</v>
      </c>
      <c r="Y7" s="13">
        <f ca="1">VLOOKUP($B7,'[9]Analisys QBR By Machine Report'!$C$109:$BD$166,20,FALSE)</f>
        <v>0</v>
      </c>
      <c r="Z7" s="13">
        <f ca="1">VLOOKUP($B7,'[9]Analisys QBR By Machine Report'!$C$109:$BD$166,21,FALSE)</f>
        <v>1005</v>
      </c>
      <c r="AA7" s="13">
        <f ca="1">VLOOKUP($B7,'[9]Analisys QBR By Machine Report'!$C$109:$BD$166,22,FALSE)</f>
        <v>480</v>
      </c>
      <c r="AB7" s="13">
        <f ca="1">VLOOKUP($B7,'[9]Analisys QBR By Machine Report'!$C$109:$BD$166,23,FALSE)</f>
        <v>435</v>
      </c>
      <c r="AC7" s="13">
        <f ca="1">VLOOKUP($B7,'[9]Analisys QBR By Machine Report'!$C$109:$BD$166,24,FALSE)</f>
        <v>35</v>
      </c>
      <c r="AD7" s="13">
        <f ca="1">VLOOKUP($B7,'[9]Analisys QBR By Machine Report'!$C$109:$BD$166,25,FALSE)</f>
        <v>0</v>
      </c>
      <c r="AE7" s="13">
        <f ca="1">VLOOKUP($B7,'[9]Analisys QBR By Machine Report'!$C$109:$BD$166,26,FALSE)</f>
        <v>55</v>
      </c>
      <c r="AF7" s="13">
        <f ca="1">VLOOKUP($B7,'[9]Analisys QBR By Machine Report'!$C$109:$BD$166,27,FALSE)</f>
        <v>1530</v>
      </c>
      <c r="AG7" s="13">
        <f ca="1">VLOOKUP($B7,'[9]Analisys QBR By Machine Report'!$C$109:$BD$166,28,FALSE)</f>
        <v>0</v>
      </c>
      <c r="AH7" s="13">
        <f ca="1">VLOOKUP($B7,'[9]Analisys QBR By Machine Report'!$C$109:$BD$166,29,FALSE)</f>
        <v>1530</v>
      </c>
      <c r="AI7" s="13">
        <f ca="1">VLOOKUP($B7,'[9]Analisys QBR By Machine Report'!$C$109:$BD$166,30,FALSE)</f>
        <v>610</v>
      </c>
      <c r="AJ7" s="13">
        <f ca="1">VLOOKUP($B7,'[9]Analisys QBR By Machine Report'!$C$109:$BD$166,31,FALSE)</f>
        <v>0</v>
      </c>
      <c r="AK7" s="13">
        <f ca="1">VLOOKUP($B7,'[9]Analisys QBR By Machine Report'!$C$109:$BD$166,32,FALSE)</f>
        <v>0</v>
      </c>
      <c r="AL7" s="13">
        <f ca="1">VLOOKUP($B7,'[9]Analisys QBR By Machine Report'!$C$109:$BD$166,33,FALSE)</f>
        <v>165</v>
      </c>
      <c r="AM7" s="13">
        <f ca="1">VLOOKUP($B7,'[9]Analisys QBR By Machine Report'!$C$109:$BD$166,34,FALSE)</f>
        <v>0</v>
      </c>
      <c r="AN7" s="13">
        <f ca="1">VLOOKUP($B7,'[9]Analisys QBR By Machine Report'!$C$109:$BD$166,35,FALSE)</f>
        <v>75</v>
      </c>
      <c r="AO7" s="13">
        <f ca="1">VLOOKUP($B7,'[9]Analisys QBR By Machine Report'!$C$109:$BD$166,36,FALSE)</f>
        <v>40</v>
      </c>
      <c r="AP7" s="13">
        <f ca="1">VLOOKUP($B7,'[9]Analisys QBR By Machine Report'!$C$109:$BD$166,37,FALSE)</f>
        <v>0</v>
      </c>
      <c r="AQ7" s="13">
        <f ca="1">VLOOKUP($B7,'[9]Analisys QBR By Machine Report'!$C$109:$BD$166,38,FALSE)</f>
        <v>0</v>
      </c>
      <c r="AR7" s="13">
        <f ca="1">VLOOKUP($B7,'[9]Analisys QBR By Machine Report'!$C$109:$BD$166,39,FALSE)</f>
        <v>30</v>
      </c>
      <c r="AS7" s="13">
        <f ca="1">VLOOKUP($B7,'[9]Analisys QBR By Machine Report'!$C$109:$BD$166,40,FALSE)</f>
        <v>55</v>
      </c>
      <c r="AT7" s="13">
        <f ca="1">VLOOKUP($B7,'[9]Analisys QBR By Machine Report'!$C$109:$BD$166,41,FALSE)</f>
        <v>0</v>
      </c>
      <c r="AU7" s="13">
        <f ca="1">VLOOKUP($B7,'[9]Analisys QBR By Machine Report'!$C$109:$BD$166,42,FALSE)</f>
        <v>0</v>
      </c>
      <c r="AV7" s="13">
        <f ca="1">VLOOKUP($B7,'[9]Analisys QBR By Machine Report'!$C$109:$BD$166,43,FALSE)</f>
        <v>0</v>
      </c>
      <c r="AW7" s="13">
        <f ca="1">VLOOKUP($B7,'[9]Analisys QBR By Machine Report'!$C$109:$BD$166,44,FALSE)</f>
        <v>0</v>
      </c>
      <c r="AX7" s="13">
        <f ca="1">VLOOKUP($B7,'[9]Analisys QBR By Machine Report'!$C$109:$BD$166,45,FALSE)</f>
        <v>0</v>
      </c>
      <c r="AY7" s="13">
        <f ca="1">VLOOKUP($B7,'[9]Analisys QBR By Machine Report'!$C$109:$BD$166,46,FALSE)</f>
        <v>0</v>
      </c>
      <c r="AZ7" s="13">
        <f ca="1">VLOOKUP($B7,'[9]Analisys QBR By Machine Report'!$C$109:$BD$166,47,FALSE)</f>
        <v>245</v>
      </c>
      <c r="BA7" s="13">
        <f ca="1">VLOOKUP($B7,'[9]Analisys QBR By Machine Report'!$C$109:$BD$166,48,FALSE)</f>
        <v>0</v>
      </c>
      <c r="BB7" s="13">
        <f ca="1">VLOOKUP($B7,'[9]Analisys QBR By Machine Report'!$C$109:$BD$166,49,FALSE)</f>
        <v>0</v>
      </c>
      <c r="BC7" s="13">
        <f ca="1">VLOOKUP($B7,'[9]Analisys QBR By Machine Report'!$C$109:$BD$166,50,FALSE)</f>
        <v>0</v>
      </c>
      <c r="BD7" s="13">
        <f ca="1">VLOOKUP($B7,'[9]Analisys QBR By Machine Report'!$C$109:$BD$166,51,FALSE)</f>
        <v>232442</v>
      </c>
      <c r="BE7" s="13">
        <f ca="1">VLOOKUP($B7,'[9]Analisys QBR By Machine Report'!$C$109:$BD$166,52,FALSE)</f>
        <v>0</v>
      </c>
      <c r="BF7" s="13">
        <f ca="1">VLOOKUP($B7,'[9]Analisys QBR By Machine Report'!$C$109:$BD$166,53,FALSE)</f>
        <v>232442</v>
      </c>
    </row>
    <row r="8" spans="1:58" x14ac:dyDescent="0.25">
      <c r="A8" s="12" t="s">
        <v>64</v>
      </c>
      <c r="B8" s="13">
        <f ca="1">VLOOKUP($B8,'[9]Analisys QBR By Machine Report'!$C$109:$BD$166,2,FALSE)</f>
        <v>30240</v>
      </c>
      <c r="C8" s="14">
        <f ca="1">VLOOKUP($B8,[9]Dasboard_QBR_Report!$B$109:$BL$166,3,FALSE)</f>
        <v>10080</v>
      </c>
      <c r="D8" s="13">
        <f ca="1">VLOOKUP($B8,'[9]Analisys QBR By Machine Report'!$C$109:$BD$166,3,FALSE)</f>
        <v>27690</v>
      </c>
      <c r="E8" s="14">
        <f ca="1">VLOOKUP($B8,[9]Dasboard_QBR_Report!$B$109:$BL$166,5,FALSE)</f>
        <v>7530</v>
      </c>
      <c r="F8" s="13">
        <f t="shared" ca="1" si="0"/>
        <v>2550</v>
      </c>
      <c r="G8" s="13">
        <f t="shared" ca="1" si="1"/>
        <v>1195</v>
      </c>
      <c r="H8" s="13">
        <f ca="1">VLOOKUP($B8,'[9]Analisys QBR By Machine Report'!$C$109:$BD$166,4,FALSE)</f>
        <v>1195</v>
      </c>
      <c r="I8" s="13">
        <f ca="1">VLOOKUP($B8,'[9]Analisys QBR By Machine Report'!$C$109:$BD$166,5,FALSE)</f>
        <v>0</v>
      </c>
      <c r="J8" s="13">
        <f ca="1">VLOOKUP($B8,'[9]Analisys QBR By Machine Report'!$C$109:$BD$166,6,FALSE)</f>
        <v>1195</v>
      </c>
      <c r="K8" s="13">
        <f ca="1">VLOOKUP($B8,'[9]Analisys QBR By Machine Report'!$C$109:$BD$166,7,FALSE)</f>
        <v>0</v>
      </c>
      <c r="L8" s="13">
        <f ca="1">VLOOKUP($B8,'[9]Analisys QBR By Machine Report'!$C$109:$BD$166,8,FALSE)</f>
        <v>1355</v>
      </c>
      <c r="M8" s="13">
        <f ca="1">VLOOKUP($B8,'[9]Analisys QBR By Machine Report'!$C$109:$BD$166,9,FALSE)</f>
        <v>150</v>
      </c>
      <c r="N8" s="13">
        <f ca="1">VLOOKUP($B8,[9]Dasboard_QBR_Report!$B$109:$BL$166,18,FALSE)</f>
        <v>1205</v>
      </c>
      <c r="O8" s="13">
        <f ca="1">VLOOKUP($B8,'[9]Analisys QBR By Machine Report'!$C$109:$BD$166,10,FALSE)</f>
        <v>80</v>
      </c>
      <c r="P8" s="13">
        <f ca="1">VLOOKUP($B8,'[9]Analisys QBR By Machine Report'!$C$109:$BD$166,11,FALSE)</f>
        <v>80</v>
      </c>
      <c r="Q8" s="13">
        <f ca="1">VLOOKUP($B8,'[9]Analisys QBR By Machine Report'!$C$109:$BD$166,12,FALSE)</f>
        <v>0</v>
      </c>
      <c r="R8" s="13">
        <f ca="1">VLOOKUP($B8,'[9]Analisys QBR By Machine Report'!$C$109:$BD$166,13,FALSE)</f>
        <v>0</v>
      </c>
      <c r="S8" s="13">
        <f ca="1">VLOOKUP($B8,'[9]Analisys QBR By Machine Report'!$C$109:$BD$166,14,FALSE)</f>
        <v>0</v>
      </c>
      <c r="T8" s="13">
        <f ca="1">VLOOKUP($B8,'[9]Analisys QBR By Machine Report'!$C$109:$BD$166,15,FALSE)</f>
        <v>0</v>
      </c>
      <c r="U8" s="13">
        <f ca="1">VLOOKUP($B8,'[9]Analisys QBR By Machine Report'!$C$109:$BD$166,16,FALSE)</f>
        <v>0</v>
      </c>
      <c r="V8" s="13">
        <f ca="1">VLOOKUP($B8,'[9]Analisys QBR By Machine Report'!$C$109:$BD$166,17,FALSE)</f>
        <v>0</v>
      </c>
      <c r="W8" s="13">
        <f ca="1">VLOOKUP($B8,'[9]Analisys QBR By Machine Report'!$C$109:$BD$166,18,FALSE)</f>
        <v>0</v>
      </c>
      <c r="X8" s="13">
        <f ca="1">VLOOKUP($B8,'[9]Analisys QBR By Machine Report'!$C$109:$BD$166,19,FALSE)</f>
        <v>0</v>
      </c>
      <c r="Y8" s="13">
        <f ca="1">VLOOKUP($B8,'[9]Analisys QBR By Machine Report'!$C$109:$BD$166,20,FALSE)</f>
        <v>0</v>
      </c>
      <c r="Z8" s="13">
        <f ca="1">VLOOKUP($B8,'[9]Analisys QBR By Machine Report'!$C$109:$BD$166,21,FALSE)</f>
        <v>130</v>
      </c>
      <c r="AA8" s="13">
        <f ca="1">VLOOKUP($B8,'[9]Analisys QBR By Machine Report'!$C$109:$BD$166,22,FALSE)</f>
        <v>50</v>
      </c>
      <c r="AB8" s="13">
        <f ca="1">VLOOKUP($B8,'[9]Analisys QBR By Machine Report'!$C$109:$BD$166,23,FALSE)</f>
        <v>80</v>
      </c>
      <c r="AC8" s="13">
        <f ca="1">VLOOKUP($B8,'[9]Analisys QBR By Machine Report'!$C$109:$BD$166,24,FALSE)</f>
        <v>0</v>
      </c>
      <c r="AD8" s="13">
        <f ca="1">VLOOKUP($B8,'[9]Analisys QBR By Machine Report'!$C$109:$BD$166,25,FALSE)</f>
        <v>0</v>
      </c>
      <c r="AE8" s="13">
        <f ca="1">VLOOKUP($B8,'[9]Analisys QBR By Machine Report'!$C$109:$BD$166,26,FALSE)</f>
        <v>0</v>
      </c>
      <c r="AF8" s="13">
        <f ca="1">VLOOKUP($B8,'[9]Analisys QBR By Machine Report'!$C$109:$BD$166,27,FALSE)</f>
        <v>510</v>
      </c>
      <c r="AG8" s="13">
        <f ca="1">VLOOKUP($B8,'[9]Analisys QBR By Machine Report'!$C$109:$BD$166,28,FALSE)</f>
        <v>0</v>
      </c>
      <c r="AH8" s="13">
        <f ca="1">VLOOKUP($B8,'[9]Analisys QBR By Machine Report'!$C$109:$BD$166,29,FALSE)</f>
        <v>510</v>
      </c>
      <c r="AI8" s="13">
        <f ca="1">VLOOKUP($B8,'[9]Analisys QBR By Machine Report'!$C$109:$BD$166,30,FALSE)</f>
        <v>485</v>
      </c>
      <c r="AJ8" s="13">
        <f ca="1">VLOOKUP($B8,'[9]Analisys QBR By Machine Report'!$C$109:$BD$166,31,FALSE)</f>
        <v>0</v>
      </c>
      <c r="AK8" s="13">
        <f ca="1">VLOOKUP($B8,'[9]Analisys QBR By Machine Report'!$C$109:$BD$166,32,FALSE)</f>
        <v>0</v>
      </c>
      <c r="AL8" s="13">
        <f ca="1">VLOOKUP($B8,'[9]Analisys QBR By Machine Report'!$C$109:$BD$166,33,FALSE)</f>
        <v>30</v>
      </c>
      <c r="AM8" s="13">
        <f ca="1">VLOOKUP($B8,'[9]Analisys QBR By Machine Report'!$C$109:$BD$166,34,FALSE)</f>
        <v>0</v>
      </c>
      <c r="AN8" s="13">
        <f ca="1">VLOOKUP($B8,'[9]Analisys QBR By Machine Report'!$C$109:$BD$166,35,FALSE)</f>
        <v>15</v>
      </c>
      <c r="AO8" s="13">
        <f ca="1">VLOOKUP($B8,'[9]Analisys QBR By Machine Report'!$C$109:$BD$166,36,FALSE)</f>
        <v>0</v>
      </c>
      <c r="AP8" s="13">
        <f ca="1">VLOOKUP($B8,'[9]Analisys QBR By Machine Report'!$C$109:$BD$166,37,FALSE)</f>
        <v>0</v>
      </c>
      <c r="AQ8" s="13">
        <f ca="1">VLOOKUP($B8,'[9]Analisys QBR By Machine Report'!$C$109:$BD$166,38,FALSE)</f>
        <v>0</v>
      </c>
      <c r="AR8" s="13">
        <f ca="1">VLOOKUP($B8,'[9]Analisys QBR By Machine Report'!$C$109:$BD$166,39,FALSE)</f>
        <v>440</v>
      </c>
      <c r="AS8" s="13">
        <f ca="1">VLOOKUP($B8,'[9]Analisys QBR By Machine Report'!$C$109:$BD$166,40,FALSE)</f>
        <v>0</v>
      </c>
      <c r="AT8" s="13">
        <f ca="1">VLOOKUP($B8,'[9]Analisys QBR By Machine Report'!$C$109:$BD$166,41,FALSE)</f>
        <v>0</v>
      </c>
      <c r="AU8" s="13">
        <f ca="1">VLOOKUP($B8,'[9]Analisys QBR By Machine Report'!$C$109:$BD$166,42,FALSE)</f>
        <v>0</v>
      </c>
      <c r="AV8" s="13">
        <f ca="1">VLOOKUP($B8,'[9]Analisys QBR By Machine Report'!$C$109:$BD$166,43,FALSE)</f>
        <v>0</v>
      </c>
      <c r="AW8" s="13">
        <f ca="1">VLOOKUP($B8,'[9]Analisys QBR By Machine Report'!$C$109:$BD$166,44,FALSE)</f>
        <v>0</v>
      </c>
      <c r="AX8" s="13">
        <f ca="1">VLOOKUP($B8,'[9]Analisys QBR By Machine Report'!$C$109:$BD$166,45,FALSE)</f>
        <v>0</v>
      </c>
      <c r="AY8" s="13">
        <f ca="1">VLOOKUP($B8,'[9]Analisys QBR By Machine Report'!$C$109:$BD$166,46,FALSE)</f>
        <v>0</v>
      </c>
      <c r="AZ8" s="13">
        <f ca="1">VLOOKUP($B8,'[9]Analisys QBR By Machine Report'!$C$109:$BD$166,47,FALSE)</f>
        <v>0</v>
      </c>
      <c r="BA8" s="13">
        <f ca="1">VLOOKUP($B8,'[9]Analisys QBR By Machine Report'!$C$109:$BD$166,48,FALSE)</f>
        <v>0</v>
      </c>
      <c r="BB8" s="13">
        <f ca="1">VLOOKUP($B8,'[9]Analisys QBR By Machine Report'!$C$109:$BD$166,49,FALSE)</f>
        <v>0</v>
      </c>
      <c r="BC8" s="13">
        <f ca="1">VLOOKUP($B8,'[9]Analisys QBR By Machine Report'!$C$109:$BD$166,50,FALSE)</f>
        <v>0</v>
      </c>
      <c r="BD8" s="13">
        <f ca="1">VLOOKUP($B8,'[9]Analisys QBR By Machine Report'!$C$109:$BD$166,51,FALSE)</f>
        <v>187696</v>
      </c>
      <c r="BE8" s="13">
        <f ca="1">VLOOKUP($B8,'[9]Analisys QBR By Machine Report'!$C$109:$BD$166,52,FALSE)</f>
        <v>0</v>
      </c>
      <c r="BF8" s="13">
        <f ca="1">VLOOKUP($B8,'[9]Analisys QBR By Machine Report'!$C$109:$BD$166,53,FALSE)</f>
        <v>187696</v>
      </c>
    </row>
    <row r="9" spans="1:58" x14ac:dyDescent="0.25">
      <c r="A9" s="9" t="s">
        <v>65</v>
      </c>
      <c r="B9" s="10">
        <f ca="1">VLOOKUP($B9,'[9]Analisys QBR By Machine Report'!$C$109:$BD$166,2,FALSE)</f>
        <v>90720</v>
      </c>
      <c r="C9" s="11">
        <f ca="1">VLOOKUP($B9,[9]Dasboard_QBR_Report!$B$109:$BL$166,3,FALSE)</f>
        <v>49140</v>
      </c>
      <c r="D9" s="10">
        <f ca="1">VLOOKUP($B9,'[9]Analisys QBR By Machine Report'!$C$109:$BD$166,3,FALSE)</f>
        <v>54510</v>
      </c>
      <c r="E9" s="11">
        <f ca="1">VLOOKUP($B9,[9]Dasboard_QBR_Report!$B$109:$BL$166,5,FALSE)</f>
        <v>12930</v>
      </c>
      <c r="F9" s="10">
        <f t="shared" ca="1" si="0"/>
        <v>36210</v>
      </c>
      <c r="G9" s="10">
        <f t="shared" ca="1" si="1"/>
        <v>4510</v>
      </c>
      <c r="H9" s="10">
        <f ca="1">VLOOKUP($B9,'[9]Analisys QBR By Machine Report'!$C$109:$BD$166,4,FALSE)</f>
        <v>4510</v>
      </c>
      <c r="I9" s="10">
        <f ca="1">VLOOKUP($B9,'[9]Analisys QBR By Machine Report'!$C$109:$BD$166,5,FALSE)</f>
        <v>0</v>
      </c>
      <c r="J9" s="10">
        <f ca="1">VLOOKUP($B9,'[9]Analisys QBR By Machine Report'!$C$109:$BD$166,6,FALSE)</f>
        <v>4510</v>
      </c>
      <c r="K9" s="10">
        <f ca="1">VLOOKUP($B9,'[9]Analisys QBR By Machine Report'!$C$109:$BD$166,7,FALSE)</f>
        <v>0</v>
      </c>
      <c r="L9" s="10">
        <f ca="1">VLOOKUP($B9,'[9]Analisys QBR By Machine Report'!$C$109:$BD$166,8,FALSE)</f>
        <v>31700</v>
      </c>
      <c r="M9" s="10">
        <f ca="1">VLOOKUP($B9,'[9]Analisys QBR By Machine Report'!$C$109:$BD$166,9,FALSE)</f>
        <v>11145</v>
      </c>
      <c r="N9" s="10">
        <f ca="1">VLOOKUP($B9,[9]Dasboard_QBR_Report!$B$109:$BL$166,18,FALSE)</f>
        <v>20555</v>
      </c>
      <c r="O9" s="10">
        <f ca="1">VLOOKUP($B9,'[9]Analisys QBR By Machine Report'!$C$109:$BD$166,10,FALSE)</f>
        <v>3835</v>
      </c>
      <c r="P9" s="10">
        <f ca="1">VLOOKUP($B9,'[9]Analisys QBR By Machine Report'!$C$109:$BD$166,11,FALSE)</f>
        <v>2800</v>
      </c>
      <c r="Q9" s="10">
        <f ca="1">VLOOKUP($B9,'[9]Analisys QBR By Machine Report'!$C$109:$BD$166,12,FALSE)</f>
        <v>0</v>
      </c>
      <c r="R9" s="10">
        <f ca="1">VLOOKUP($B9,'[9]Analisys QBR By Machine Report'!$C$109:$BD$166,13,FALSE)</f>
        <v>115</v>
      </c>
      <c r="S9" s="10">
        <f ca="1">VLOOKUP($B9,'[9]Analisys QBR By Machine Report'!$C$109:$BD$166,14,FALSE)</f>
        <v>920</v>
      </c>
      <c r="T9" s="10">
        <f ca="1">VLOOKUP($B9,'[9]Analisys QBR By Machine Report'!$C$109:$BD$166,15,FALSE)</f>
        <v>60</v>
      </c>
      <c r="U9" s="10">
        <f ca="1">VLOOKUP($B9,'[9]Analisys QBR By Machine Report'!$C$109:$BD$166,16,FALSE)</f>
        <v>60</v>
      </c>
      <c r="V9" s="10">
        <f ca="1">VLOOKUP($B9,'[9]Analisys QBR By Machine Report'!$C$109:$BD$166,17,FALSE)</f>
        <v>0</v>
      </c>
      <c r="W9" s="10">
        <f ca="1">VLOOKUP($B9,'[9]Analisys QBR By Machine Report'!$C$109:$BD$166,18,FALSE)</f>
        <v>0</v>
      </c>
      <c r="X9" s="10">
        <f ca="1">VLOOKUP($B9,'[9]Analisys QBR By Machine Report'!$C$109:$BD$166,19,FALSE)</f>
        <v>0</v>
      </c>
      <c r="Y9" s="10">
        <f ca="1">VLOOKUP($B9,'[9]Analisys QBR By Machine Report'!$C$109:$BD$166,20,FALSE)</f>
        <v>0</v>
      </c>
      <c r="Z9" s="10">
        <f ca="1">VLOOKUP($B9,'[9]Analisys QBR By Machine Report'!$C$109:$BD$166,21,FALSE)</f>
        <v>5425</v>
      </c>
      <c r="AA9" s="10">
        <f ca="1">VLOOKUP($B9,'[9]Analisys QBR By Machine Report'!$C$109:$BD$166,22,FALSE)</f>
        <v>950</v>
      </c>
      <c r="AB9" s="10">
        <f ca="1">VLOOKUP($B9,'[9]Analisys QBR By Machine Report'!$C$109:$BD$166,23,FALSE)</f>
        <v>3480</v>
      </c>
      <c r="AC9" s="10">
        <f ca="1">VLOOKUP($B9,'[9]Analisys QBR By Machine Report'!$C$109:$BD$166,24,FALSE)</f>
        <v>80</v>
      </c>
      <c r="AD9" s="10">
        <f ca="1">VLOOKUP($B9,'[9]Analisys QBR By Machine Report'!$C$109:$BD$166,25,FALSE)</f>
        <v>0</v>
      </c>
      <c r="AE9" s="10">
        <f ca="1">VLOOKUP($B9,'[9]Analisys QBR By Machine Report'!$C$109:$BD$166,26,FALSE)</f>
        <v>915</v>
      </c>
      <c r="AF9" s="10">
        <f ca="1">VLOOKUP($B9,'[9]Analisys QBR By Machine Report'!$C$109:$BD$166,27,FALSE)</f>
        <v>2055</v>
      </c>
      <c r="AG9" s="10">
        <f ca="1">VLOOKUP($B9,'[9]Analisys QBR By Machine Report'!$C$109:$BD$166,28,FALSE)</f>
        <v>0</v>
      </c>
      <c r="AH9" s="10">
        <f ca="1">VLOOKUP($B9,'[9]Analisys QBR By Machine Report'!$C$109:$BD$166,29,FALSE)</f>
        <v>2055</v>
      </c>
      <c r="AI9" s="10">
        <f ca="1">VLOOKUP($B9,'[9]Analisys QBR By Machine Report'!$C$109:$BD$166,30,FALSE)</f>
        <v>9180</v>
      </c>
      <c r="AJ9" s="10">
        <f ca="1">VLOOKUP($B9,'[9]Analisys QBR By Machine Report'!$C$109:$BD$166,31,FALSE)</f>
        <v>0</v>
      </c>
      <c r="AK9" s="10">
        <f ca="1">VLOOKUP($B9,'[9]Analisys QBR By Machine Report'!$C$109:$BD$166,32,FALSE)</f>
        <v>0</v>
      </c>
      <c r="AL9" s="10">
        <f ca="1">VLOOKUP($B9,'[9]Analisys QBR By Machine Report'!$C$109:$BD$166,33,FALSE)</f>
        <v>1665</v>
      </c>
      <c r="AM9" s="10">
        <f ca="1">VLOOKUP($B9,'[9]Analisys QBR By Machine Report'!$C$109:$BD$166,34,FALSE)</f>
        <v>0</v>
      </c>
      <c r="AN9" s="10">
        <f ca="1">VLOOKUP($B9,'[9]Analisys QBR By Machine Report'!$C$109:$BD$166,35,FALSE)</f>
        <v>1460</v>
      </c>
      <c r="AO9" s="10">
        <f ca="1">VLOOKUP($B9,'[9]Analisys QBR By Machine Report'!$C$109:$BD$166,36,FALSE)</f>
        <v>395</v>
      </c>
      <c r="AP9" s="10">
        <f ca="1">VLOOKUP($B9,'[9]Analisys QBR By Machine Report'!$C$109:$BD$166,37,FALSE)</f>
        <v>0</v>
      </c>
      <c r="AQ9" s="10">
        <f ca="1">VLOOKUP($B9,'[9]Analisys QBR By Machine Report'!$C$109:$BD$166,38,FALSE)</f>
        <v>0</v>
      </c>
      <c r="AR9" s="10">
        <f ca="1">VLOOKUP($B9,'[9]Analisys QBR By Machine Report'!$C$109:$BD$166,39,FALSE)</f>
        <v>1615</v>
      </c>
      <c r="AS9" s="10">
        <f ca="1">VLOOKUP($B9,'[9]Analisys QBR By Machine Report'!$C$109:$BD$166,40,FALSE)</f>
        <v>555</v>
      </c>
      <c r="AT9" s="10">
        <f ca="1">VLOOKUP($B9,'[9]Analisys QBR By Machine Report'!$C$109:$BD$166,41,FALSE)</f>
        <v>0</v>
      </c>
      <c r="AU9" s="10">
        <f ca="1">VLOOKUP($B9,'[9]Analisys QBR By Machine Report'!$C$109:$BD$166,42,FALSE)</f>
        <v>0</v>
      </c>
      <c r="AV9" s="10">
        <f ca="1">VLOOKUP($B9,'[9]Analisys QBR By Machine Report'!$C$109:$BD$166,43,FALSE)</f>
        <v>0</v>
      </c>
      <c r="AW9" s="10">
        <f ca="1">VLOOKUP($B9,'[9]Analisys QBR By Machine Report'!$C$109:$BD$166,44,FALSE)</f>
        <v>0</v>
      </c>
      <c r="AX9" s="10">
        <f ca="1">VLOOKUP($B9,'[9]Analisys QBR By Machine Report'!$C$109:$BD$166,45,FALSE)</f>
        <v>0</v>
      </c>
      <c r="AY9" s="10">
        <f ca="1">VLOOKUP($B9,'[9]Analisys QBR By Machine Report'!$C$109:$BD$166,46,FALSE)</f>
        <v>0</v>
      </c>
      <c r="AZ9" s="10">
        <f ca="1">VLOOKUP($B9,'[9]Analisys QBR By Machine Report'!$C$109:$BD$166,47,FALSE)</f>
        <v>2610</v>
      </c>
      <c r="BA9" s="10">
        <f ca="1">VLOOKUP($B9,'[9]Analisys QBR By Machine Report'!$C$109:$BD$166,48,FALSE)</f>
        <v>790</v>
      </c>
      <c r="BB9" s="10">
        <f ca="1">VLOOKUP($B9,'[9]Analisys QBR By Machine Report'!$C$109:$BD$166,49,FALSE)</f>
        <v>0</v>
      </c>
      <c r="BC9" s="10">
        <f ca="1">VLOOKUP($B9,'[9]Analisys QBR By Machine Report'!$C$109:$BD$166,50,FALSE)</f>
        <v>90</v>
      </c>
      <c r="BD9" s="10">
        <f ca="1">VLOOKUP($B9,'[9]Analisys QBR By Machine Report'!$C$109:$BD$166,51,FALSE)</f>
        <v>11550176</v>
      </c>
      <c r="BE9" s="10">
        <f ca="1">VLOOKUP($B9,'[9]Analisys QBR By Machine Report'!$C$109:$BD$166,52,FALSE)</f>
        <v>6670</v>
      </c>
      <c r="BF9" s="10">
        <f ca="1">VLOOKUP($B9,'[9]Analisys QBR By Machine Report'!$C$109:$BD$166,53,FALSE)</f>
        <v>11543506</v>
      </c>
    </row>
    <row r="10" spans="1:58" x14ac:dyDescent="0.25">
      <c r="A10" s="12" t="s">
        <v>66</v>
      </c>
      <c r="B10" s="13">
        <f ca="1">VLOOKUP($B10,'[9]Analisys QBR By Machine Report'!$C$109:$BD$166,2,FALSE)</f>
        <v>30240</v>
      </c>
      <c r="C10" s="14">
        <f ca="1">VLOOKUP($B10,[9]Dasboard_QBR_Report!$B$109:$BL$166,3,FALSE)</f>
        <v>19530</v>
      </c>
      <c r="D10" s="13">
        <f ca="1">VLOOKUP($B10,'[9]Analisys QBR By Machine Report'!$C$109:$BD$166,3,FALSE)</f>
        <v>15720</v>
      </c>
      <c r="E10" s="14">
        <f ca="1">VLOOKUP($B10,[9]Dasboard_QBR_Report!$B$109:$BL$166,5,FALSE)</f>
        <v>5010</v>
      </c>
      <c r="F10" s="13">
        <f t="shared" ca="1" si="0"/>
        <v>14520</v>
      </c>
      <c r="G10" s="13">
        <f t="shared" ca="1" si="1"/>
        <v>2055</v>
      </c>
      <c r="H10" s="13">
        <f ca="1">VLOOKUP($B10,'[9]Analisys QBR By Machine Report'!$C$109:$BD$166,4,FALSE)</f>
        <v>2055</v>
      </c>
      <c r="I10" s="13">
        <f ca="1">VLOOKUP($B10,'[9]Analisys QBR By Machine Report'!$C$109:$BD$166,5,FALSE)</f>
        <v>0</v>
      </c>
      <c r="J10" s="13">
        <f ca="1">VLOOKUP($B10,'[9]Analisys QBR By Machine Report'!$C$109:$BD$166,6,FALSE)</f>
        <v>2055</v>
      </c>
      <c r="K10" s="13">
        <f ca="1">VLOOKUP($B10,'[9]Analisys QBR By Machine Report'!$C$109:$BD$166,7,FALSE)</f>
        <v>0</v>
      </c>
      <c r="L10" s="13">
        <f ca="1">VLOOKUP($B10,'[9]Analisys QBR By Machine Report'!$C$109:$BD$166,8,FALSE)</f>
        <v>12465</v>
      </c>
      <c r="M10" s="13">
        <f ca="1">VLOOKUP($B10,'[9]Analisys QBR By Machine Report'!$C$109:$BD$166,9,FALSE)</f>
        <v>4295</v>
      </c>
      <c r="N10" s="13">
        <f ca="1">VLOOKUP($B10,[9]Dasboard_QBR_Report!$B$109:$BL$166,18,FALSE)</f>
        <v>8170</v>
      </c>
      <c r="O10" s="13">
        <f ca="1">VLOOKUP($B10,'[9]Analisys QBR By Machine Report'!$C$109:$BD$166,10,FALSE)</f>
        <v>1940</v>
      </c>
      <c r="P10" s="13">
        <f ca="1">VLOOKUP($B10,'[9]Analisys QBR By Machine Report'!$C$109:$BD$166,11,FALSE)</f>
        <v>1180</v>
      </c>
      <c r="Q10" s="13">
        <f ca="1">VLOOKUP($B10,'[9]Analisys QBR By Machine Report'!$C$109:$BD$166,12,FALSE)</f>
        <v>0</v>
      </c>
      <c r="R10" s="13">
        <f ca="1">VLOOKUP($B10,'[9]Analisys QBR By Machine Report'!$C$109:$BD$166,13,FALSE)</f>
        <v>60</v>
      </c>
      <c r="S10" s="13">
        <f ca="1">VLOOKUP($B10,'[9]Analisys QBR By Machine Report'!$C$109:$BD$166,14,FALSE)</f>
        <v>700</v>
      </c>
      <c r="T10" s="13">
        <f ca="1">VLOOKUP($B10,'[9]Analisys QBR By Machine Report'!$C$109:$BD$166,15,FALSE)</f>
        <v>0</v>
      </c>
      <c r="U10" s="13">
        <f ca="1">VLOOKUP($B10,'[9]Analisys QBR By Machine Report'!$C$109:$BD$166,16,FALSE)</f>
        <v>0</v>
      </c>
      <c r="V10" s="13">
        <f ca="1">VLOOKUP($B10,'[9]Analisys QBR By Machine Report'!$C$109:$BD$166,17,FALSE)</f>
        <v>0</v>
      </c>
      <c r="W10" s="13">
        <f ca="1">VLOOKUP($B10,'[9]Analisys QBR By Machine Report'!$C$109:$BD$166,18,FALSE)</f>
        <v>0</v>
      </c>
      <c r="X10" s="13">
        <f ca="1">VLOOKUP($B10,'[9]Analisys QBR By Machine Report'!$C$109:$BD$166,19,FALSE)</f>
        <v>0</v>
      </c>
      <c r="Y10" s="13">
        <f ca="1">VLOOKUP($B10,'[9]Analisys QBR By Machine Report'!$C$109:$BD$166,20,FALSE)</f>
        <v>0</v>
      </c>
      <c r="Z10" s="13">
        <f ca="1">VLOOKUP($B10,'[9]Analisys QBR By Machine Report'!$C$109:$BD$166,21,FALSE)</f>
        <v>2055</v>
      </c>
      <c r="AA10" s="13">
        <f ca="1">VLOOKUP($B10,'[9]Analisys QBR By Machine Report'!$C$109:$BD$166,22,FALSE)</f>
        <v>340</v>
      </c>
      <c r="AB10" s="13">
        <f ca="1">VLOOKUP($B10,'[9]Analisys QBR By Machine Report'!$C$109:$BD$166,23,FALSE)</f>
        <v>1250</v>
      </c>
      <c r="AC10" s="13">
        <f ca="1">VLOOKUP($B10,'[9]Analisys QBR By Machine Report'!$C$109:$BD$166,24,FALSE)</f>
        <v>40</v>
      </c>
      <c r="AD10" s="13">
        <f ca="1">VLOOKUP($B10,'[9]Analisys QBR By Machine Report'!$C$109:$BD$166,25,FALSE)</f>
        <v>0</v>
      </c>
      <c r="AE10" s="13">
        <f ca="1">VLOOKUP($B10,'[9]Analisys QBR By Machine Report'!$C$109:$BD$166,26,FALSE)</f>
        <v>425</v>
      </c>
      <c r="AF10" s="13">
        <f ca="1">VLOOKUP($B10,'[9]Analisys QBR By Machine Report'!$C$109:$BD$166,27,FALSE)</f>
        <v>990</v>
      </c>
      <c r="AG10" s="13">
        <f ca="1">VLOOKUP($B10,'[9]Analisys QBR By Machine Report'!$C$109:$BD$166,28,FALSE)</f>
        <v>0</v>
      </c>
      <c r="AH10" s="13">
        <f ca="1">VLOOKUP($B10,'[9]Analisys QBR By Machine Report'!$C$109:$BD$166,29,FALSE)</f>
        <v>990</v>
      </c>
      <c r="AI10" s="13">
        <f ca="1">VLOOKUP($B10,'[9]Analisys QBR By Machine Report'!$C$109:$BD$166,30,FALSE)</f>
        <v>3185</v>
      </c>
      <c r="AJ10" s="13">
        <f ca="1">VLOOKUP($B10,'[9]Analisys QBR By Machine Report'!$C$109:$BD$166,31,FALSE)</f>
        <v>0</v>
      </c>
      <c r="AK10" s="13">
        <f ca="1">VLOOKUP($B10,'[9]Analisys QBR By Machine Report'!$C$109:$BD$166,32,FALSE)</f>
        <v>0</v>
      </c>
      <c r="AL10" s="13">
        <f ca="1">VLOOKUP($B10,'[9]Analisys QBR By Machine Report'!$C$109:$BD$166,33,FALSE)</f>
        <v>690</v>
      </c>
      <c r="AM10" s="13">
        <f ca="1">VLOOKUP($B10,'[9]Analisys QBR By Machine Report'!$C$109:$BD$166,34,FALSE)</f>
        <v>0</v>
      </c>
      <c r="AN10" s="13">
        <f ca="1">VLOOKUP($B10,'[9]Analisys QBR By Machine Report'!$C$109:$BD$166,35,FALSE)</f>
        <v>565</v>
      </c>
      <c r="AO10" s="13">
        <f ca="1">VLOOKUP($B10,'[9]Analisys QBR By Machine Report'!$C$109:$BD$166,36,FALSE)</f>
        <v>120</v>
      </c>
      <c r="AP10" s="13">
        <f ca="1">VLOOKUP($B10,'[9]Analisys QBR By Machine Report'!$C$109:$BD$166,37,FALSE)</f>
        <v>0</v>
      </c>
      <c r="AQ10" s="13">
        <f ca="1">VLOOKUP($B10,'[9]Analisys QBR By Machine Report'!$C$109:$BD$166,38,FALSE)</f>
        <v>0</v>
      </c>
      <c r="AR10" s="13">
        <f ca="1">VLOOKUP($B10,'[9]Analisys QBR By Machine Report'!$C$109:$BD$166,39,FALSE)</f>
        <v>435</v>
      </c>
      <c r="AS10" s="13">
        <f ca="1">VLOOKUP($B10,'[9]Analisys QBR By Machine Report'!$C$109:$BD$166,40,FALSE)</f>
        <v>195</v>
      </c>
      <c r="AT10" s="13">
        <f ca="1">VLOOKUP($B10,'[9]Analisys QBR By Machine Report'!$C$109:$BD$166,41,FALSE)</f>
        <v>0</v>
      </c>
      <c r="AU10" s="13">
        <f ca="1">VLOOKUP($B10,'[9]Analisys QBR By Machine Report'!$C$109:$BD$166,42,FALSE)</f>
        <v>0</v>
      </c>
      <c r="AV10" s="13">
        <f ca="1">VLOOKUP($B10,'[9]Analisys QBR By Machine Report'!$C$109:$BD$166,43,FALSE)</f>
        <v>0</v>
      </c>
      <c r="AW10" s="13">
        <f ca="1">VLOOKUP($B10,'[9]Analisys QBR By Machine Report'!$C$109:$BD$166,44,FALSE)</f>
        <v>0</v>
      </c>
      <c r="AX10" s="13">
        <f ca="1">VLOOKUP($B10,'[9]Analisys QBR By Machine Report'!$C$109:$BD$166,45,FALSE)</f>
        <v>0</v>
      </c>
      <c r="AY10" s="13">
        <f ca="1">VLOOKUP($B10,'[9]Analisys QBR By Machine Report'!$C$109:$BD$166,46,FALSE)</f>
        <v>0</v>
      </c>
      <c r="AZ10" s="13">
        <f ca="1">VLOOKUP($B10,'[9]Analisys QBR By Machine Report'!$C$109:$BD$166,47,FALSE)</f>
        <v>970</v>
      </c>
      <c r="BA10" s="13">
        <f ca="1">VLOOKUP($B10,'[9]Analisys QBR By Machine Report'!$C$109:$BD$166,48,FALSE)</f>
        <v>120</v>
      </c>
      <c r="BB10" s="13">
        <f ca="1">VLOOKUP($B10,'[9]Analisys QBR By Machine Report'!$C$109:$BD$166,49,FALSE)</f>
        <v>0</v>
      </c>
      <c r="BC10" s="13">
        <f ca="1">VLOOKUP($B10,'[9]Analisys QBR By Machine Report'!$C$109:$BD$166,50,FALSE)</f>
        <v>90</v>
      </c>
      <c r="BD10" s="13">
        <f ca="1">VLOOKUP($B10,'[9]Analisys QBR By Machine Report'!$C$109:$BD$166,51,FALSE)</f>
        <v>7380893</v>
      </c>
      <c r="BE10" s="13">
        <f ca="1">VLOOKUP($B10,'[9]Analisys QBR By Machine Report'!$C$109:$BD$166,52,FALSE)</f>
        <v>5173</v>
      </c>
      <c r="BF10" s="13">
        <f ca="1">VLOOKUP($B10,'[9]Analisys QBR By Machine Report'!$C$109:$BD$166,53,FALSE)</f>
        <v>7375720</v>
      </c>
    </row>
    <row r="11" spans="1:58" x14ac:dyDescent="0.25">
      <c r="A11" s="12" t="s">
        <v>67</v>
      </c>
      <c r="B11" s="13">
        <f ca="1">VLOOKUP($B11,'[9]Analisys QBR By Machine Report'!$C$109:$BD$166,2,FALSE)</f>
        <v>30240</v>
      </c>
      <c r="C11" s="14">
        <f ca="1">VLOOKUP($B11,[9]Dasboard_QBR_Report!$B$109:$BL$166,3,FALSE)</f>
        <v>10080</v>
      </c>
      <c r="D11" s="13">
        <f ca="1">VLOOKUP($B11,'[9]Analisys QBR By Machine Report'!$C$109:$BD$166,3,FALSE)</f>
        <v>23970</v>
      </c>
      <c r="E11" s="14">
        <f ca="1">VLOOKUP($B11,[9]Dasboard_QBR_Report!$B$109:$BL$166,5,FALSE)</f>
        <v>3810</v>
      </c>
      <c r="F11" s="13">
        <f t="shared" ca="1" si="0"/>
        <v>6270</v>
      </c>
      <c r="G11" s="13">
        <f t="shared" ca="1" si="1"/>
        <v>1590</v>
      </c>
      <c r="H11" s="13">
        <f ca="1">VLOOKUP($B11,'[9]Analisys QBR By Machine Report'!$C$109:$BD$166,4,FALSE)</f>
        <v>1590</v>
      </c>
      <c r="I11" s="13">
        <f ca="1">VLOOKUP($B11,'[9]Analisys QBR By Machine Report'!$C$109:$BD$166,5,FALSE)</f>
        <v>0</v>
      </c>
      <c r="J11" s="13">
        <f ca="1">VLOOKUP($B11,'[9]Analisys QBR By Machine Report'!$C$109:$BD$166,6,FALSE)</f>
        <v>1590</v>
      </c>
      <c r="K11" s="13">
        <f ca="1">VLOOKUP($B11,'[9]Analisys QBR By Machine Report'!$C$109:$BD$166,7,FALSE)</f>
        <v>0</v>
      </c>
      <c r="L11" s="13">
        <f ca="1">VLOOKUP($B11,'[9]Analisys QBR By Machine Report'!$C$109:$BD$166,8,FALSE)</f>
        <v>4680</v>
      </c>
      <c r="M11" s="13">
        <f ca="1">VLOOKUP($B11,'[9]Analisys QBR By Machine Report'!$C$109:$BD$166,9,FALSE)</f>
        <v>1295</v>
      </c>
      <c r="N11" s="13">
        <f ca="1">VLOOKUP($B11,[9]Dasboard_QBR_Report!$B$109:$BL$166,18,FALSE)</f>
        <v>3385</v>
      </c>
      <c r="O11" s="13">
        <f ca="1">VLOOKUP($B11,'[9]Analisys QBR By Machine Report'!$C$109:$BD$166,10,FALSE)</f>
        <v>460</v>
      </c>
      <c r="P11" s="13">
        <f ca="1">VLOOKUP($B11,'[9]Analisys QBR By Machine Report'!$C$109:$BD$166,11,FALSE)</f>
        <v>460</v>
      </c>
      <c r="Q11" s="13">
        <f ca="1">VLOOKUP($B11,'[9]Analisys QBR By Machine Report'!$C$109:$BD$166,12,FALSE)</f>
        <v>0</v>
      </c>
      <c r="R11" s="13">
        <f ca="1">VLOOKUP($B11,'[9]Analisys QBR By Machine Report'!$C$109:$BD$166,13,FALSE)</f>
        <v>0</v>
      </c>
      <c r="S11" s="13">
        <f ca="1">VLOOKUP($B11,'[9]Analisys QBR By Machine Report'!$C$109:$BD$166,14,FALSE)</f>
        <v>0</v>
      </c>
      <c r="T11" s="13">
        <f ca="1">VLOOKUP($B11,'[9]Analisys QBR By Machine Report'!$C$109:$BD$166,15,FALSE)</f>
        <v>0</v>
      </c>
      <c r="U11" s="13">
        <f ca="1">VLOOKUP($B11,'[9]Analisys QBR By Machine Report'!$C$109:$BD$166,16,FALSE)</f>
        <v>0</v>
      </c>
      <c r="V11" s="13">
        <f ca="1">VLOOKUP($B11,'[9]Analisys QBR By Machine Report'!$C$109:$BD$166,17,FALSE)</f>
        <v>0</v>
      </c>
      <c r="W11" s="13">
        <f ca="1">VLOOKUP($B11,'[9]Analisys QBR By Machine Report'!$C$109:$BD$166,18,FALSE)</f>
        <v>0</v>
      </c>
      <c r="X11" s="13">
        <f ca="1">VLOOKUP($B11,'[9]Analisys QBR By Machine Report'!$C$109:$BD$166,19,FALSE)</f>
        <v>0</v>
      </c>
      <c r="Y11" s="13">
        <f ca="1">VLOOKUP($B11,'[9]Analisys QBR By Machine Report'!$C$109:$BD$166,20,FALSE)</f>
        <v>0</v>
      </c>
      <c r="Z11" s="13">
        <f ca="1">VLOOKUP($B11,'[9]Analisys QBR By Machine Report'!$C$109:$BD$166,21,FALSE)</f>
        <v>1005</v>
      </c>
      <c r="AA11" s="13">
        <f ca="1">VLOOKUP($B11,'[9]Analisys QBR By Machine Report'!$C$109:$BD$166,22,FALSE)</f>
        <v>135</v>
      </c>
      <c r="AB11" s="13">
        <f ca="1">VLOOKUP($B11,'[9]Analisys QBR By Machine Report'!$C$109:$BD$166,23,FALSE)</f>
        <v>655</v>
      </c>
      <c r="AC11" s="13">
        <f ca="1">VLOOKUP($B11,'[9]Analisys QBR By Machine Report'!$C$109:$BD$166,24,FALSE)</f>
        <v>0</v>
      </c>
      <c r="AD11" s="13">
        <f ca="1">VLOOKUP($B11,'[9]Analisys QBR By Machine Report'!$C$109:$BD$166,25,FALSE)</f>
        <v>0</v>
      </c>
      <c r="AE11" s="13">
        <f ca="1">VLOOKUP($B11,'[9]Analisys QBR By Machine Report'!$C$109:$BD$166,26,FALSE)</f>
        <v>215</v>
      </c>
      <c r="AF11" s="13">
        <f ca="1">VLOOKUP($B11,'[9]Analisys QBR By Machine Report'!$C$109:$BD$166,27,FALSE)</f>
        <v>0</v>
      </c>
      <c r="AG11" s="13">
        <f ca="1">VLOOKUP($B11,'[9]Analisys QBR By Machine Report'!$C$109:$BD$166,28,FALSE)</f>
        <v>0</v>
      </c>
      <c r="AH11" s="13">
        <f ca="1">VLOOKUP($B11,'[9]Analisys QBR By Machine Report'!$C$109:$BD$166,29,FALSE)</f>
        <v>0</v>
      </c>
      <c r="AI11" s="13">
        <f ca="1">VLOOKUP($B11,'[9]Analisys QBR By Machine Report'!$C$109:$BD$166,30,FALSE)</f>
        <v>1920</v>
      </c>
      <c r="AJ11" s="13">
        <f ca="1">VLOOKUP($B11,'[9]Analisys QBR By Machine Report'!$C$109:$BD$166,31,FALSE)</f>
        <v>0</v>
      </c>
      <c r="AK11" s="13">
        <f ca="1">VLOOKUP($B11,'[9]Analisys QBR By Machine Report'!$C$109:$BD$166,32,FALSE)</f>
        <v>0</v>
      </c>
      <c r="AL11" s="13">
        <f ca="1">VLOOKUP($B11,'[9]Analisys QBR By Machine Report'!$C$109:$BD$166,33,FALSE)</f>
        <v>180</v>
      </c>
      <c r="AM11" s="13">
        <f ca="1">VLOOKUP($B11,'[9]Analisys QBR By Machine Report'!$C$109:$BD$166,34,FALSE)</f>
        <v>0</v>
      </c>
      <c r="AN11" s="13">
        <f ca="1">VLOOKUP($B11,'[9]Analisys QBR By Machine Report'!$C$109:$BD$166,35,FALSE)</f>
        <v>105</v>
      </c>
      <c r="AO11" s="13">
        <f ca="1">VLOOKUP($B11,'[9]Analisys QBR By Machine Report'!$C$109:$BD$166,36,FALSE)</f>
        <v>230</v>
      </c>
      <c r="AP11" s="13">
        <f ca="1">VLOOKUP($B11,'[9]Analisys QBR By Machine Report'!$C$109:$BD$166,37,FALSE)</f>
        <v>0</v>
      </c>
      <c r="AQ11" s="13">
        <f ca="1">VLOOKUP($B11,'[9]Analisys QBR By Machine Report'!$C$109:$BD$166,38,FALSE)</f>
        <v>0</v>
      </c>
      <c r="AR11" s="13">
        <f ca="1">VLOOKUP($B11,'[9]Analisys QBR By Machine Report'!$C$109:$BD$166,39,FALSE)</f>
        <v>390</v>
      </c>
      <c r="AS11" s="13">
        <f ca="1">VLOOKUP($B11,'[9]Analisys QBR By Machine Report'!$C$109:$BD$166,40,FALSE)</f>
        <v>135</v>
      </c>
      <c r="AT11" s="13">
        <f ca="1">VLOOKUP($B11,'[9]Analisys QBR By Machine Report'!$C$109:$BD$166,41,FALSE)</f>
        <v>0</v>
      </c>
      <c r="AU11" s="13">
        <f ca="1">VLOOKUP($B11,'[9]Analisys QBR By Machine Report'!$C$109:$BD$166,42,FALSE)</f>
        <v>0</v>
      </c>
      <c r="AV11" s="13">
        <f ca="1">VLOOKUP($B11,'[9]Analisys QBR By Machine Report'!$C$109:$BD$166,43,FALSE)</f>
        <v>0</v>
      </c>
      <c r="AW11" s="13">
        <f ca="1">VLOOKUP($B11,'[9]Analisys QBR By Machine Report'!$C$109:$BD$166,44,FALSE)</f>
        <v>0</v>
      </c>
      <c r="AX11" s="13">
        <f ca="1">VLOOKUP($B11,'[9]Analisys QBR By Machine Report'!$C$109:$BD$166,45,FALSE)</f>
        <v>0</v>
      </c>
      <c r="AY11" s="13">
        <f ca="1">VLOOKUP($B11,'[9]Analisys QBR By Machine Report'!$C$109:$BD$166,46,FALSE)</f>
        <v>0</v>
      </c>
      <c r="AZ11" s="13">
        <f ca="1">VLOOKUP($B11,'[9]Analisys QBR By Machine Report'!$C$109:$BD$166,47,FALSE)</f>
        <v>580</v>
      </c>
      <c r="BA11" s="13">
        <f ca="1">VLOOKUP($B11,'[9]Analisys QBR By Machine Report'!$C$109:$BD$166,48,FALSE)</f>
        <v>300</v>
      </c>
      <c r="BB11" s="13">
        <f ca="1">VLOOKUP($B11,'[9]Analisys QBR By Machine Report'!$C$109:$BD$166,49,FALSE)</f>
        <v>0</v>
      </c>
      <c r="BC11" s="13">
        <f ca="1">VLOOKUP($B11,'[9]Analisys QBR By Machine Report'!$C$109:$BD$166,50,FALSE)</f>
        <v>0</v>
      </c>
      <c r="BD11" s="13">
        <f ca="1">VLOOKUP($B11,'[9]Analisys QBR By Machine Report'!$C$109:$BD$166,51,FALSE)</f>
        <v>1051910</v>
      </c>
      <c r="BE11" s="13">
        <f ca="1">VLOOKUP($B11,'[9]Analisys QBR By Machine Report'!$C$109:$BD$166,52,FALSE)</f>
        <v>0</v>
      </c>
      <c r="BF11" s="13">
        <f ca="1">VLOOKUP($B11,'[9]Analisys QBR By Machine Report'!$C$109:$BD$166,53,FALSE)</f>
        <v>1051910</v>
      </c>
    </row>
    <row r="12" spans="1:58" x14ac:dyDescent="0.25">
      <c r="A12" s="12" t="s">
        <v>68</v>
      </c>
      <c r="B12" s="13">
        <f ca="1">VLOOKUP($B12,'[9]Analisys QBR By Machine Report'!$C$109:$BD$166,2,FALSE)</f>
        <v>30240</v>
      </c>
      <c r="C12" s="14">
        <f ca="1">VLOOKUP($B12,[9]Dasboard_QBR_Report!$B$109:$BL$166,3,FALSE)</f>
        <v>19530</v>
      </c>
      <c r="D12" s="13">
        <f ca="1">VLOOKUP($B12,'[9]Analisys QBR By Machine Report'!$C$109:$BD$166,3,FALSE)</f>
        <v>14820</v>
      </c>
      <c r="E12" s="14">
        <f ca="1">VLOOKUP($B12,[9]Dasboard_QBR_Report!$B$109:$BL$166,5,FALSE)</f>
        <v>4110</v>
      </c>
      <c r="F12" s="13">
        <f t="shared" ca="1" si="0"/>
        <v>15420</v>
      </c>
      <c r="G12" s="13">
        <f t="shared" ca="1" si="1"/>
        <v>865</v>
      </c>
      <c r="H12" s="13">
        <f ca="1">VLOOKUP($B12,'[9]Analisys QBR By Machine Report'!$C$109:$BD$166,4,FALSE)</f>
        <v>865</v>
      </c>
      <c r="I12" s="13">
        <f ca="1">VLOOKUP($B12,'[9]Analisys QBR By Machine Report'!$C$109:$BD$166,5,FALSE)</f>
        <v>0</v>
      </c>
      <c r="J12" s="13">
        <f ca="1">VLOOKUP($B12,'[9]Analisys QBR By Machine Report'!$C$109:$BD$166,6,FALSE)</f>
        <v>865</v>
      </c>
      <c r="K12" s="13">
        <f ca="1">VLOOKUP($B12,'[9]Analisys QBR By Machine Report'!$C$109:$BD$166,7,FALSE)</f>
        <v>0</v>
      </c>
      <c r="L12" s="13">
        <f ca="1">VLOOKUP($B12,'[9]Analisys QBR By Machine Report'!$C$109:$BD$166,8,FALSE)</f>
        <v>14555</v>
      </c>
      <c r="M12" s="13">
        <f ca="1">VLOOKUP($B12,'[9]Analisys QBR By Machine Report'!$C$109:$BD$166,9,FALSE)</f>
        <v>5555</v>
      </c>
      <c r="N12" s="13">
        <f ca="1">VLOOKUP($B12,[9]Dasboard_QBR_Report!$B$109:$BL$166,18,FALSE)</f>
        <v>9000</v>
      </c>
      <c r="O12" s="13">
        <f ca="1">VLOOKUP($B12,'[9]Analisys QBR By Machine Report'!$C$109:$BD$166,10,FALSE)</f>
        <v>1435</v>
      </c>
      <c r="P12" s="13">
        <f ca="1">VLOOKUP($B12,'[9]Analisys QBR By Machine Report'!$C$109:$BD$166,11,FALSE)</f>
        <v>1160</v>
      </c>
      <c r="Q12" s="13">
        <f ca="1">VLOOKUP($B12,'[9]Analisys QBR By Machine Report'!$C$109:$BD$166,12,FALSE)</f>
        <v>0</v>
      </c>
      <c r="R12" s="13">
        <f ca="1">VLOOKUP($B12,'[9]Analisys QBR By Machine Report'!$C$109:$BD$166,13,FALSE)</f>
        <v>55</v>
      </c>
      <c r="S12" s="13">
        <f ca="1">VLOOKUP($B12,'[9]Analisys QBR By Machine Report'!$C$109:$BD$166,14,FALSE)</f>
        <v>220</v>
      </c>
      <c r="T12" s="13">
        <f ca="1">VLOOKUP($B12,'[9]Analisys QBR By Machine Report'!$C$109:$BD$166,15,FALSE)</f>
        <v>60</v>
      </c>
      <c r="U12" s="13">
        <f ca="1">VLOOKUP($B12,'[9]Analisys QBR By Machine Report'!$C$109:$BD$166,16,FALSE)</f>
        <v>60</v>
      </c>
      <c r="V12" s="13">
        <f ca="1">VLOOKUP($B12,'[9]Analisys QBR By Machine Report'!$C$109:$BD$166,17,FALSE)</f>
        <v>0</v>
      </c>
      <c r="W12" s="13">
        <f ca="1">VLOOKUP($B12,'[9]Analisys QBR By Machine Report'!$C$109:$BD$166,18,FALSE)</f>
        <v>0</v>
      </c>
      <c r="X12" s="13">
        <f ca="1">VLOOKUP($B12,'[9]Analisys QBR By Machine Report'!$C$109:$BD$166,19,FALSE)</f>
        <v>0</v>
      </c>
      <c r="Y12" s="13">
        <f ca="1">VLOOKUP($B12,'[9]Analisys QBR By Machine Report'!$C$109:$BD$166,20,FALSE)</f>
        <v>0</v>
      </c>
      <c r="Z12" s="13">
        <f ca="1">VLOOKUP($B12,'[9]Analisys QBR By Machine Report'!$C$109:$BD$166,21,FALSE)</f>
        <v>2365</v>
      </c>
      <c r="AA12" s="13">
        <f ca="1">VLOOKUP($B12,'[9]Analisys QBR By Machine Report'!$C$109:$BD$166,22,FALSE)</f>
        <v>475</v>
      </c>
      <c r="AB12" s="13">
        <f ca="1">VLOOKUP($B12,'[9]Analisys QBR By Machine Report'!$C$109:$BD$166,23,FALSE)</f>
        <v>1575</v>
      </c>
      <c r="AC12" s="13">
        <f ca="1">VLOOKUP($B12,'[9]Analisys QBR By Machine Report'!$C$109:$BD$166,24,FALSE)</f>
        <v>40</v>
      </c>
      <c r="AD12" s="13">
        <f ca="1">VLOOKUP($B12,'[9]Analisys QBR By Machine Report'!$C$109:$BD$166,25,FALSE)</f>
        <v>0</v>
      </c>
      <c r="AE12" s="13">
        <f ca="1">VLOOKUP($B12,'[9]Analisys QBR By Machine Report'!$C$109:$BD$166,26,FALSE)</f>
        <v>275</v>
      </c>
      <c r="AF12" s="13">
        <f ca="1">VLOOKUP($B12,'[9]Analisys QBR By Machine Report'!$C$109:$BD$166,27,FALSE)</f>
        <v>1065</v>
      </c>
      <c r="AG12" s="13">
        <f ca="1">VLOOKUP($B12,'[9]Analisys QBR By Machine Report'!$C$109:$BD$166,28,FALSE)</f>
        <v>0</v>
      </c>
      <c r="AH12" s="13">
        <f ca="1">VLOOKUP($B12,'[9]Analisys QBR By Machine Report'!$C$109:$BD$166,29,FALSE)</f>
        <v>1065</v>
      </c>
      <c r="AI12" s="13">
        <f ca="1">VLOOKUP($B12,'[9]Analisys QBR By Machine Report'!$C$109:$BD$166,30,FALSE)</f>
        <v>4075</v>
      </c>
      <c r="AJ12" s="13">
        <f ca="1">VLOOKUP($B12,'[9]Analisys QBR By Machine Report'!$C$109:$BD$166,31,FALSE)</f>
        <v>0</v>
      </c>
      <c r="AK12" s="13">
        <f ca="1">VLOOKUP($B12,'[9]Analisys QBR By Machine Report'!$C$109:$BD$166,32,FALSE)</f>
        <v>0</v>
      </c>
      <c r="AL12" s="13">
        <f ca="1">VLOOKUP($B12,'[9]Analisys QBR By Machine Report'!$C$109:$BD$166,33,FALSE)</f>
        <v>795</v>
      </c>
      <c r="AM12" s="13">
        <f ca="1">VLOOKUP($B12,'[9]Analisys QBR By Machine Report'!$C$109:$BD$166,34,FALSE)</f>
        <v>0</v>
      </c>
      <c r="AN12" s="13">
        <f ca="1">VLOOKUP($B12,'[9]Analisys QBR By Machine Report'!$C$109:$BD$166,35,FALSE)</f>
        <v>790</v>
      </c>
      <c r="AO12" s="13">
        <f ca="1">VLOOKUP($B12,'[9]Analisys QBR By Machine Report'!$C$109:$BD$166,36,FALSE)</f>
        <v>45</v>
      </c>
      <c r="AP12" s="13">
        <f ca="1">VLOOKUP($B12,'[9]Analisys QBR By Machine Report'!$C$109:$BD$166,37,FALSE)</f>
        <v>0</v>
      </c>
      <c r="AQ12" s="13">
        <f ca="1">VLOOKUP($B12,'[9]Analisys QBR By Machine Report'!$C$109:$BD$166,38,FALSE)</f>
        <v>0</v>
      </c>
      <c r="AR12" s="13">
        <f ca="1">VLOOKUP($B12,'[9]Analisys QBR By Machine Report'!$C$109:$BD$166,39,FALSE)</f>
        <v>790</v>
      </c>
      <c r="AS12" s="13">
        <f ca="1">VLOOKUP($B12,'[9]Analisys QBR By Machine Report'!$C$109:$BD$166,40,FALSE)</f>
        <v>225</v>
      </c>
      <c r="AT12" s="13">
        <f ca="1">VLOOKUP($B12,'[9]Analisys QBR By Machine Report'!$C$109:$BD$166,41,FALSE)</f>
        <v>0</v>
      </c>
      <c r="AU12" s="13">
        <f ca="1">VLOOKUP($B12,'[9]Analisys QBR By Machine Report'!$C$109:$BD$166,42,FALSE)</f>
        <v>0</v>
      </c>
      <c r="AV12" s="13">
        <f ca="1">VLOOKUP($B12,'[9]Analisys QBR By Machine Report'!$C$109:$BD$166,43,FALSE)</f>
        <v>0</v>
      </c>
      <c r="AW12" s="13">
        <f ca="1">VLOOKUP($B12,'[9]Analisys QBR By Machine Report'!$C$109:$BD$166,44,FALSE)</f>
        <v>0</v>
      </c>
      <c r="AX12" s="13">
        <f ca="1">VLOOKUP($B12,'[9]Analisys QBR By Machine Report'!$C$109:$BD$166,45,FALSE)</f>
        <v>0</v>
      </c>
      <c r="AY12" s="13">
        <f ca="1">VLOOKUP($B12,'[9]Analisys QBR By Machine Report'!$C$109:$BD$166,46,FALSE)</f>
        <v>0</v>
      </c>
      <c r="AZ12" s="13">
        <f ca="1">VLOOKUP($B12,'[9]Analisys QBR By Machine Report'!$C$109:$BD$166,47,FALSE)</f>
        <v>1060</v>
      </c>
      <c r="BA12" s="13">
        <f ca="1">VLOOKUP($B12,'[9]Analisys QBR By Machine Report'!$C$109:$BD$166,48,FALSE)</f>
        <v>370</v>
      </c>
      <c r="BB12" s="13">
        <f ca="1">VLOOKUP($B12,'[9]Analisys QBR By Machine Report'!$C$109:$BD$166,49,FALSE)</f>
        <v>0</v>
      </c>
      <c r="BC12" s="13">
        <f ca="1">VLOOKUP($B12,'[9]Analisys QBR By Machine Report'!$C$109:$BD$166,50,FALSE)</f>
        <v>0</v>
      </c>
      <c r="BD12" s="13">
        <f ca="1">VLOOKUP($B12,'[9]Analisys QBR By Machine Report'!$C$109:$BD$166,51,FALSE)</f>
        <v>3117373</v>
      </c>
      <c r="BE12" s="13">
        <f ca="1">VLOOKUP($B12,'[9]Analisys QBR By Machine Report'!$C$109:$BD$166,52,FALSE)</f>
        <v>1497</v>
      </c>
      <c r="BF12" s="13">
        <f ca="1">VLOOKUP($B12,'[9]Analisys QBR By Machine Report'!$C$109:$BD$166,53,FALSE)</f>
        <v>3115876</v>
      </c>
    </row>
    <row r="13" spans="1:58" x14ac:dyDescent="0.25">
      <c r="A13" s="9" t="s">
        <v>69</v>
      </c>
      <c r="B13" s="10">
        <f ca="1">VLOOKUP($B13,'[9]Analisys QBR By Machine Report'!$C$109:$BD$166,2,FALSE)</f>
        <v>60480</v>
      </c>
      <c r="C13" s="11">
        <f ca="1">VLOOKUP($B13,[9]Dasboard_QBR_Report!$B$109:$BL$166,3,FALSE)</f>
        <v>20160</v>
      </c>
      <c r="D13" s="10">
        <f ca="1">VLOOKUP($B13,'[9]Analisys QBR By Machine Report'!$C$109:$BD$166,3,FALSE)</f>
        <v>49920</v>
      </c>
      <c r="E13" s="11">
        <f ca="1">VLOOKUP($B13,[9]Dasboard_QBR_Report!$B$109:$BL$166,5,FALSE)</f>
        <v>9600</v>
      </c>
      <c r="F13" s="10">
        <f t="shared" ca="1" si="0"/>
        <v>10560</v>
      </c>
      <c r="G13" s="10">
        <f t="shared" ca="1" si="1"/>
        <v>120</v>
      </c>
      <c r="H13" s="10">
        <f ca="1">VLOOKUP($B13,'[9]Analisys QBR By Machine Report'!$C$109:$BD$166,4,FALSE)</f>
        <v>120</v>
      </c>
      <c r="I13" s="10">
        <f ca="1">VLOOKUP($B13,'[9]Analisys QBR By Machine Report'!$C$109:$BD$166,5,FALSE)</f>
        <v>0</v>
      </c>
      <c r="J13" s="10">
        <f ca="1">VLOOKUP($B13,'[9]Analisys QBR By Machine Report'!$C$109:$BD$166,6,FALSE)</f>
        <v>120</v>
      </c>
      <c r="K13" s="10">
        <f ca="1">VLOOKUP($B13,'[9]Analisys QBR By Machine Report'!$C$109:$BD$166,7,FALSE)</f>
        <v>0</v>
      </c>
      <c r="L13" s="10">
        <f ca="1">VLOOKUP($B13,'[9]Analisys QBR By Machine Report'!$C$109:$BD$166,8,FALSE)</f>
        <v>10440</v>
      </c>
      <c r="M13" s="10">
        <f ca="1">VLOOKUP($B13,'[9]Analisys QBR By Machine Report'!$C$109:$BD$166,9,FALSE)</f>
        <v>4845</v>
      </c>
      <c r="N13" s="10">
        <f ca="1">VLOOKUP($B13,[9]Dasboard_QBR_Report!$B$109:$BL$166,18,FALSE)</f>
        <v>5595</v>
      </c>
      <c r="O13" s="10">
        <f ca="1">VLOOKUP($B13,'[9]Analisys QBR By Machine Report'!$C$109:$BD$166,10,FALSE)</f>
        <v>285</v>
      </c>
      <c r="P13" s="10">
        <f ca="1">VLOOKUP($B13,'[9]Analisys QBR By Machine Report'!$C$109:$BD$166,11,FALSE)</f>
        <v>175</v>
      </c>
      <c r="Q13" s="10">
        <f ca="1">VLOOKUP($B13,'[9]Analisys QBR By Machine Report'!$C$109:$BD$166,12,FALSE)</f>
        <v>0</v>
      </c>
      <c r="R13" s="10">
        <f ca="1">VLOOKUP($B13,'[9]Analisys QBR By Machine Report'!$C$109:$BD$166,13,FALSE)</f>
        <v>110</v>
      </c>
      <c r="S13" s="10">
        <f ca="1">VLOOKUP($B13,'[9]Analisys QBR By Machine Report'!$C$109:$BD$166,14,FALSE)</f>
        <v>0</v>
      </c>
      <c r="T13" s="10">
        <f ca="1">VLOOKUP($B13,'[9]Analisys QBR By Machine Report'!$C$109:$BD$166,15,FALSE)</f>
        <v>55</v>
      </c>
      <c r="U13" s="10">
        <f ca="1">VLOOKUP($B13,'[9]Analisys QBR By Machine Report'!$C$109:$BD$166,16,FALSE)</f>
        <v>25</v>
      </c>
      <c r="V13" s="10">
        <f ca="1">VLOOKUP($B13,'[9]Analisys QBR By Machine Report'!$C$109:$BD$166,17,FALSE)</f>
        <v>0</v>
      </c>
      <c r="W13" s="10">
        <f ca="1">VLOOKUP($B13,'[9]Analisys QBR By Machine Report'!$C$109:$BD$166,18,FALSE)</f>
        <v>0</v>
      </c>
      <c r="X13" s="10">
        <f ca="1">VLOOKUP($B13,'[9]Analisys QBR By Machine Report'!$C$109:$BD$166,19,FALSE)</f>
        <v>30</v>
      </c>
      <c r="Y13" s="10">
        <f ca="1">VLOOKUP($B13,'[9]Analisys QBR By Machine Report'!$C$109:$BD$166,20,FALSE)</f>
        <v>0</v>
      </c>
      <c r="Z13" s="10">
        <f ca="1">VLOOKUP($B13,'[9]Analisys QBR By Machine Report'!$C$109:$BD$166,21,FALSE)</f>
        <v>3575</v>
      </c>
      <c r="AA13" s="10">
        <f ca="1">VLOOKUP($B13,'[9]Analisys QBR By Machine Report'!$C$109:$BD$166,22,FALSE)</f>
        <v>1075</v>
      </c>
      <c r="AB13" s="10">
        <f ca="1">VLOOKUP($B13,'[9]Analisys QBR By Machine Report'!$C$109:$BD$166,23,FALSE)</f>
        <v>2135</v>
      </c>
      <c r="AC13" s="10">
        <f ca="1">VLOOKUP($B13,'[9]Analisys QBR By Machine Report'!$C$109:$BD$166,24,FALSE)</f>
        <v>0</v>
      </c>
      <c r="AD13" s="10">
        <f ca="1">VLOOKUP($B13,'[9]Analisys QBR By Machine Report'!$C$109:$BD$166,25,FALSE)</f>
        <v>0</v>
      </c>
      <c r="AE13" s="10">
        <f ca="1">VLOOKUP($B13,'[9]Analisys QBR By Machine Report'!$C$109:$BD$166,26,FALSE)</f>
        <v>365</v>
      </c>
      <c r="AF13" s="10">
        <f ca="1">VLOOKUP($B13,'[9]Analisys QBR By Machine Report'!$C$109:$BD$166,27,FALSE)</f>
        <v>0</v>
      </c>
      <c r="AG13" s="10">
        <f ca="1">VLOOKUP($B13,'[9]Analisys QBR By Machine Report'!$C$109:$BD$166,28,FALSE)</f>
        <v>0</v>
      </c>
      <c r="AH13" s="10">
        <f ca="1">VLOOKUP($B13,'[9]Analisys QBR By Machine Report'!$C$109:$BD$166,29,FALSE)</f>
        <v>0</v>
      </c>
      <c r="AI13" s="10">
        <f ca="1">VLOOKUP($B13,'[9]Analisys QBR By Machine Report'!$C$109:$BD$166,30,FALSE)</f>
        <v>1680</v>
      </c>
      <c r="AJ13" s="10">
        <f ca="1">VLOOKUP($B13,'[9]Analisys QBR By Machine Report'!$C$109:$BD$166,31,FALSE)</f>
        <v>0</v>
      </c>
      <c r="AK13" s="10">
        <f ca="1">VLOOKUP($B13,'[9]Analisys QBR By Machine Report'!$C$109:$BD$166,32,FALSE)</f>
        <v>0</v>
      </c>
      <c r="AL13" s="10">
        <f ca="1">VLOOKUP($B13,'[9]Analisys QBR By Machine Report'!$C$109:$BD$166,33,FALSE)</f>
        <v>480</v>
      </c>
      <c r="AM13" s="10">
        <f ca="1">VLOOKUP($B13,'[9]Analisys QBR By Machine Report'!$C$109:$BD$166,34,FALSE)</f>
        <v>0</v>
      </c>
      <c r="AN13" s="10">
        <f ca="1">VLOOKUP($B13,'[9]Analisys QBR By Machine Report'!$C$109:$BD$166,35,FALSE)</f>
        <v>475</v>
      </c>
      <c r="AO13" s="10">
        <f ca="1">VLOOKUP($B13,'[9]Analisys QBR By Machine Report'!$C$109:$BD$166,36,FALSE)</f>
        <v>0</v>
      </c>
      <c r="AP13" s="10">
        <f ca="1">VLOOKUP($B13,'[9]Analisys QBR By Machine Report'!$C$109:$BD$166,37,FALSE)</f>
        <v>0</v>
      </c>
      <c r="AQ13" s="10">
        <f ca="1">VLOOKUP($B13,'[9]Analisys QBR By Machine Report'!$C$109:$BD$166,38,FALSE)</f>
        <v>0</v>
      </c>
      <c r="AR13" s="10">
        <f ca="1">VLOOKUP($B13,'[9]Analisys QBR By Machine Report'!$C$109:$BD$166,39,FALSE)</f>
        <v>380</v>
      </c>
      <c r="AS13" s="10">
        <f ca="1">VLOOKUP($B13,'[9]Analisys QBR By Machine Report'!$C$109:$BD$166,40,FALSE)</f>
        <v>210</v>
      </c>
      <c r="AT13" s="10">
        <f ca="1">VLOOKUP($B13,'[9]Analisys QBR By Machine Report'!$C$109:$BD$166,41,FALSE)</f>
        <v>0</v>
      </c>
      <c r="AU13" s="10">
        <f ca="1">VLOOKUP($B13,'[9]Analisys QBR By Machine Report'!$C$109:$BD$166,42,FALSE)</f>
        <v>0</v>
      </c>
      <c r="AV13" s="10">
        <f ca="1">VLOOKUP($B13,'[9]Analisys QBR By Machine Report'!$C$109:$BD$166,43,FALSE)</f>
        <v>0</v>
      </c>
      <c r="AW13" s="10">
        <f ca="1">VLOOKUP($B13,'[9]Analisys QBR By Machine Report'!$C$109:$BD$166,44,FALSE)</f>
        <v>0</v>
      </c>
      <c r="AX13" s="10">
        <f ca="1">VLOOKUP($B13,'[9]Analisys QBR By Machine Report'!$C$109:$BD$166,45,FALSE)</f>
        <v>0</v>
      </c>
      <c r="AY13" s="10">
        <f ca="1">VLOOKUP($B13,'[9]Analisys QBR By Machine Report'!$C$109:$BD$166,46,FALSE)</f>
        <v>0</v>
      </c>
      <c r="AZ13" s="10">
        <f ca="1">VLOOKUP($B13,'[9]Analisys QBR By Machine Report'!$C$109:$BD$166,47,FALSE)</f>
        <v>110</v>
      </c>
      <c r="BA13" s="10">
        <f ca="1">VLOOKUP($B13,'[9]Analisys QBR By Machine Report'!$C$109:$BD$166,48,FALSE)</f>
        <v>0</v>
      </c>
      <c r="BB13" s="10">
        <f ca="1">VLOOKUP($B13,'[9]Analisys QBR By Machine Report'!$C$109:$BD$166,49,FALSE)</f>
        <v>25</v>
      </c>
      <c r="BC13" s="10">
        <f ca="1">VLOOKUP($B13,'[9]Analisys QBR By Machine Report'!$C$109:$BD$166,50,FALSE)</f>
        <v>0</v>
      </c>
      <c r="BD13" s="10">
        <f ca="1">VLOOKUP($B13,'[9]Analisys QBR By Machine Report'!$C$109:$BD$166,51,FALSE)</f>
        <v>2206.91</v>
      </c>
      <c r="BE13" s="10">
        <f ca="1">VLOOKUP($B13,'[9]Analisys QBR By Machine Report'!$C$109:$BD$166,52,FALSE)</f>
        <v>0.75</v>
      </c>
      <c r="BF13" s="10">
        <f ca="1">VLOOKUP($B13,'[9]Analisys QBR By Machine Report'!$C$109:$BD$166,53,FALSE)</f>
        <v>2206.16</v>
      </c>
    </row>
    <row r="14" spans="1:58" x14ac:dyDescent="0.25">
      <c r="A14" s="12" t="s">
        <v>70</v>
      </c>
      <c r="B14" s="13">
        <f ca="1">VLOOKUP($B14,'[9]Analisys QBR By Machine Report'!$C$109:$BD$166,2,FALSE)</f>
        <v>30240</v>
      </c>
      <c r="C14" s="14">
        <f ca="1">VLOOKUP($B14,[9]Dasboard_QBR_Report!$B$109:$BL$166,3,FALSE)</f>
        <v>10080</v>
      </c>
      <c r="D14" s="13">
        <f ca="1">VLOOKUP($B14,'[9]Analisys QBR By Machine Report'!$C$109:$BD$166,3,FALSE)</f>
        <v>25410</v>
      </c>
      <c r="E14" s="14">
        <f ca="1">VLOOKUP($B14,[9]Dasboard_QBR_Report!$B$109:$BL$166,5,FALSE)</f>
        <v>5250</v>
      </c>
      <c r="F14" s="13">
        <f t="shared" ca="1" si="0"/>
        <v>4830</v>
      </c>
      <c r="G14" s="13">
        <f t="shared" ca="1" si="1"/>
        <v>0</v>
      </c>
      <c r="H14" s="13">
        <f ca="1">VLOOKUP($B14,'[9]Analisys QBR By Machine Report'!$C$109:$BD$166,4,FALSE)</f>
        <v>0</v>
      </c>
      <c r="I14" s="13">
        <f ca="1">VLOOKUP($B14,'[9]Analisys QBR By Machine Report'!$C$109:$BD$166,5,FALSE)</f>
        <v>0</v>
      </c>
      <c r="J14" s="13">
        <f ca="1">VLOOKUP($B14,'[9]Analisys QBR By Machine Report'!$C$109:$BD$166,6,FALSE)</f>
        <v>0</v>
      </c>
      <c r="K14" s="13">
        <f ca="1">VLOOKUP($B14,'[9]Analisys QBR By Machine Report'!$C$109:$BD$166,7,FALSE)</f>
        <v>0</v>
      </c>
      <c r="L14" s="13">
        <f ca="1">VLOOKUP($B14,'[9]Analisys QBR By Machine Report'!$C$109:$BD$166,8,FALSE)</f>
        <v>4830</v>
      </c>
      <c r="M14" s="13">
        <f ca="1">VLOOKUP($B14,'[9]Analisys QBR By Machine Report'!$C$109:$BD$166,9,FALSE)</f>
        <v>1980</v>
      </c>
      <c r="N14" s="13">
        <f ca="1">VLOOKUP($B14,[9]Dasboard_QBR_Report!$B$109:$BL$166,18,FALSE)</f>
        <v>2850</v>
      </c>
      <c r="O14" s="13">
        <f ca="1">VLOOKUP($B14,'[9]Analisys QBR By Machine Report'!$C$109:$BD$166,10,FALSE)</f>
        <v>165</v>
      </c>
      <c r="P14" s="13">
        <f ca="1">VLOOKUP($B14,'[9]Analisys QBR By Machine Report'!$C$109:$BD$166,11,FALSE)</f>
        <v>95</v>
      </c>
      <c r="Q14" s="13">
        <f ca="1">VLOOKUP($B14,'[9]Analisys QBR By Machine Report'!$C$109:$BD$166,12,FALSE)</f>
        <v>0</v>
      </c>
      <c r="R14" s="13">
        <f ca="1">VLOOKUP($B14,'[9]Analisys QBR By Machine Report'!$C$109:$BD$166,13,FALSE)</f>
        <v>70</v>
      </c>
      <c r="S14" s="13">
        <f ca="1">VLOOKUP($B14,'[9]Analisys QBR By Machine Report'!$C$109:$BD$166,14,FALSE)</f>
        <v>0</v>
      </c>
      <c r="T14" s="13">
        <f ca="1">VLOOKUP($B14,'[9]Analisys QBR By Machine Report'!$C$109:$BD$166,15,FALSE)</f>
        <v>25</v>
      </c>
      <c r="U14" s="13">
        <f ca="1">VLOOKUP($B14,'[9]Analisys QBR By Machine Report'!$C$109:$BD$166,16,FALSE)</f>
        <v>25</v>
      </c>
      <c r="V14" s="13">
        <f ca="1">VLOOKUP($B14,'[9]Analisys QBR By Machine Report'!$C$109:$BD$166,17,FALSE)</f>
        <v>0</v>
      </c>
      <c r="W14" s="13">
        <f ca="1">VLOOKUP($B14,'[9]Analisys QBR By Machine Report'!$C$109:$BD$166,18,FALSE)</f>
        <v>0</v>
      </c>
      <c r="X14" s="13">
        <f ca="1">VLOOKUP($B14,'[9]Analisys QBR By Machine Report'!$C$109:$BD$166,19,FALSE)</f>
        <v>0</v>
      </c>
      <c r="Y14" s="13">
        <f ca="1">VLOOKUP($B14,'[9]Analisys QBR By Machine Report'!$C$109:$BD$166,20,FALSE)</f>
        <v>0</v>
      </c>
      <c r="Z14" s="13">
        <f ca="1">VLOOKUP($B14,'[9]Analisys QBR By Machine Report'!$C$109:$BD$166,21,FALSE)</f>
        <v>1750</v>
      </c>
      <c r="AA14" s="13">
        <f ca="1">VLOOKUP($B14,'[9]Analisys QBR By Machine Report'!$C$109:$BD$166,22,FALSE)</f>
        <v>510</v>
      </c>
      <c r="AB14" s="13">
        <f ca="1">VLOOKUP($B14,'[9]Analisys QBR By Machine Report'!$C$109:$BD$166,23,FALSE)</f>
        <v>1080</v>
      </c>
      <c r="AC14" s="13">
        <f ca="1">VLOOKUP($B14,'[9]Analisys QBR By Machine Report'!$C$109:$BD$166,24,FALSE)</f>
        <v>0</v>
      </c>
      <c r="AD14" s="13">
        <f ca="1">VLOOKUP($B14,'[9]Analisys QBR By Machine Report'!$C$109:$BD$166,25,FALSE)</f>
        <v>0</v>
      </c>
      <c r="AE14" s="13">
        <f ca="1">VLOOKUP($B14,'[9]Analisys QBR By Machine Report'!$C$109:$BD$166,26,FALSE)</f>
        <v>160</v>
      </c>
      <c r="AF14" s="13">
        <f ca="1">VLOOKUP($B14,'[9]Analisys QBR By Machine Report'!$C$109:$BD$166,27,FALSE)</f>
        <v>0</v>
      </c>
      <c r="AG14" s="13">
        <f ca="1">VLOOKUP($B14,'[9]Analisys QBR By Machine Report'!$C$109:$BD$166,28,FALSE)</f>
        <v>0</v>
      </c>
      <c r="AH14" s="13">
        <f ca="1">VLOOKUP($B14,'[9]Analisys QBR By Machine Report'!$C$109:$BD$166,29,FALSE)</f>
        <v>0</v>
      </c>
      <c r="AI14" s="13">
        <f ca="1">VLOOKUP($B14,'[9]Analisys QBR By Machine Report'!$C$109:$BD$166,30,FALSE)</f>
        <v>910</v>
      </c>
      <c r="AJ14" s="13">
        <f ca="1">VLOOKUP($B14,'[9]Analisys QBR By Machine Report'!$C$109:$BD$166,31,FALSE)</f>
        <v>0</v>
      </c>
      <c r="AK14" s="13">
        <f ca="1">VLOOKUP($B14,'[9]Analisys QBR By Machine Report'!$C$109:$BD$166,32,FALSE)</f>
        <v>0</v>
      </c>
      <c r="AL14" s="13">
        <f ca="1">VLOOKUP($B14,'[9]Analisys QBR By Machine Report'!$C$109:$BD$166,33,FALSE)</f>
        <v>300</v>
      </c>
      <c r="AM14" s="13">
        <f ca="1">VLOOKUP($B14,'[9]Analisys QBR By Machine Report'!$C$109:$BD$166,34,FALSE)</f>
        <v>0</v>
      </c>
      <c r="AN14" s="13">
        <f ca="1">VLOOKUP($B14,'[9]Analisys QBR By Machine Report'!$C$109:$BD$166,35,FALSE)</f>
        <v>315</v>
      </c>
      <c r="AO14" s="13">
        <f ca="1">VLOOKUP($B14,'[9]Analisys QBR By Machine Report'!$C$109:$BD$166,36,FALSE)</f>
        <v>0</v>
      </c>
      <c r="AP14" s="13">
        <f ca="1">VLOOKUP($B14,'[9]Analisys QBR By Machine Report'!$C$109:$BD$166,37,FALSE)</f>
        <v>0</v>
      </c>
      <c r="AQ14" s="13">
        <f ca="1">VLOOKUP($B14,'[9]Analisys QBR By Machine Report'!$C$109:$BD$166,38,FALSE)</f>
        <v>0</v>
      </c>
      <c r="AR14" s="13">
        <f ca="1">VLOOKUP($B14,'[9]Analisys QBR By Machine Report'!$C$109:$BD$166,39,FALSE)</f>
        <v>135</v>
      </c>
      <c r="AS14" s="13">
        <f ca="1">VLOOKUP($B14,'[9]Analisys QBR By Machine Report'!$C$109:$BD$166,40,FALSE)</f>
        <v>80</v>
      </c>
      <c r="AT14" s="13">
        <f ca="1">VLOOKUP($B14,'[9]Analisys QBR By Machine Report'!$C$109:$BD$166,41,FALSE)</f>
        <v>0</v>
      </c>
      <c r="AU14" s="13">
        <f ca="1">VLOOKUP($B14,'[9]Analisys QBR By Machine Report'!$C$109:$BD$166,42,FALSE)</f>
        <v>0</v>
      </c>
      <c r="AV14" s="13">
        <f ca="1">VLOOKUP($B14,'[9]Analisys QBR By Machine Report'!$C$109:$BD$166,43,FALSE)</f>
        <v>0</v>
      </c>
      <c r="AW14" s="13">
        <f ca="1">VLOOKUP($B14,'[9]Analisys QBR By Machine Report'!$C$109:$BD$166,44,FALSE)</f>
        <v>0</v>
      </c>
      <c r="AX14" s="13">
        <f ca="1">VLOOKUP($B14,'[9]Analisys QBR By Machine Report'!$C$109:$BD$166,45,FALSE)</f>
        <v>0</v>
      </c>
      <c r="AY14" s="13">
        <f ca="1">VLOOKUP($B14,'[9]Analisys QBR By Machine Report'!$C$109:$BD$166,46,FALSE)</f>
        <v>0</v>
      </c>
      <c r="AZ14" s="13">
        <f ca="1">VLOOKUP($B14,'[9]Analisys QBR By Machine Report'!$C$109:$BD$166,47,FALSE)</f>
        <v>55</v>
      </c>
      <c r="BA14" s="13">
        <f ca="1">VLOOKUP($B14,'[9]Analisys QBR By Machine Report'!$C$109:$BD$166,48,FALSE)</f>
        <v>0</v>
      </c>
      <c r="BB14" s="13">
        <f ca="1">VLOOKUP($B14,'[9]Analisys QBR By Machine Report'!$C$109:$BD$166,49,FALSE)</f>
        <v>25</v>
      </c>
      <c r="BC14" s="13">
        <f ca="1">VLOOKUP($B14,'[9]Analisys QBR By Machine Report'!$C$109:$BD$166,50,FALSE)</f>
        <v>0</v>
      </c>
      <c r="BD14" s="13">
        <f ca="1">VLOOKUP($B14,'[9]Analisys QBR By Machine Report'!$C$109:$BD$166,51,FALSE)</f>
        <v>499.2</v>
      </c>
      <c r="BE14" s="13">
        <f ca="1">VLOOKUP($B14,'[9]Analisys QBR By Machine Report'!$C$109:$BD$166,52,FALSE)</f>
        <v>0.21</v>
      </c>
      <c r="BF14" s="13">
        <f ca="1">VLOOKUP($B14,'[9]Analisys QBR By Machine Report'!$C$109:$BD$166,53,FALSE)</f>
        <v>498.99</v>
      </c>
    </row>
    <row r="15" spans="1:58" x14ac:dyDescent="0.25">
      <c r="A15" s="12" t="s">
        <v>71</v>
      </c>
      <c r="B15" s="13">
        <f ca="1">VLOOKUP($B15,'[9]Analisys QBR By Machine Report'!$C$109:$BD$166,2,FALSE)</f>
        <v>30240</v>
      </c>
      <c r="C15" s="14">
        <f ca="1">VLOOKUP($B15,[9]Dasboard_QBR_Report!$B$109:$BL$166,3,FALSE)</f>
        <v>10080</v>
      </c>
      <c r="D15" s="13">
        <f ca="1">VLOOKUP($B15,'[9]Analisys QBR By Machine Report'!$C$109:$BD$166,3,FALSE)</f>
        <v>24510</v>
      </c>
      <c r="E15" s="14">
        <f ca="1">VLOOKUP($B15,[9]Dasboard_QBR_Report!$B$109:$BL$166,5,FALSE)</f>
        <v>4350</v>
      </c>
      <c r="F15" s="13">
        <f t="shared" ca="1" si="0"/>
        <v>5730</v>
      </c>
      <c r="G15" s="13">
        <f t="shared" ca="1" si="1"/>
        <v>120</v>
      </c>
      <c r="H15" s="13">
        <f ca="1">VLOOKUP($B15,'[9]Analisys QBR By Machine Report'!$C$109:$BD$166,4,FALSE)</f>
        <v>120</v>
      </c>
      <c r="I15" s="13">
        <f ca="1">VLOOKUP($B15,'[9]Analisys QBR By Machine Report'!$C$109:$BD$166,5,FALSE)</f>
        <v>0</v>
      </c>
      <c r="J15" s="13">
        <f ca="1">VLOOKUP($B15,'[9]Analisys QBR By Machine Report'!$C$109:$BD$166,6,FALSE)</f>
        <v>120</v>
      </c>
      <c r="K15" s="13">
        <f ca="1">VLOOKUP($B15,'[9]Analisys QBR By Machine Report'!$C$109:$BD$166,7,FALSE)</f>
        <v>0</v>
      </c>
      <c r="L15" s="13">
        <f ca="1">VLOOKUP($B15,'[9]Analisys QBR By Machine Report'!$C$109:$BD$166,8,FALSE)</f>
        <v>5610</v>
      </c>
      <c r="M15" s="13">
        <f ca="1">VLOOKUP($B15,'[9]Analisys QBR By Machine Report'!$C$109:$BD$166,9,FALSE)</f>
        <v>2865</v>
      </c>
      <c r="N15" s="13">
        <f ca="1">VLOOKUP($B15,[9]Dasboard_QBR_Report!$B$109:$BL$166,18,FALSE)</f>
        <v>2745</v>
      </c>
      <c r="O15" s="13">
        <f ca="1">VLOOKUP($B15,'[9]Analisys QBR By Machine Report'!$C$109:$BD$166,10,FALSE)</f>
        <v>120</v>
      </c>
      <c r="P15" s="13">
        <f ca="1">VLOOKUP($B15,'[9]Analisys QBR By Machine Report'!$C$109:$BD$166,11,FALSE)</f>
        <v>80</v>
      </c>
      <c r="Q15" s="13">
        <f ca="1">VLOOKUP($B15,'[9]Analisys QBR By Machine Report'!$C$109:$BD$166,12,FALSE)</f>
        <v>0</v>
      </c>
      <c r="R15" s="13">
        <f ca="1">VLOOKUP($B15,'[9]Analisys QBR By Machine Report'!$C$109:$BD$166,13,FALSE)</f>
        <v>40</v>
      </c>
      <c r="S15" s="13">
        <f ca="1">VLOOKUP($B15,'[9]Analisys QBR By Machine Report'!$C$109:$BD$166,14,FALSE)</f>
        <v>0</v>
      </c>
      <c r="T15" s="13">
        <f ca="1">VLOOKUP($B15,'[9]Analisys QBR By Machine Report'!$C$109:$BD$166,15,FALSE)</f>
        <v>30</v>
      </c>
      <c r="U15" s="13">
        <f ca="1">VLOOKUP($B15,'[9]Analisys QBR By Machine Report'!$C$109:$BD$166,16,FALSE)</f>
        <v>0</v>
      </c>
      <c r="V15" s="13">
        <f ca="1">VLOOKUP($B15,'[9]Analisys QBR By Machine Report'!$C$109:$BD$166,17,FALSE)</f>
        <v>0</v>
      </c>
      <c r="W15" s="13">
        <f ca="1">VLOOKUP($B15,'[9]Analisys QBR By Machine Report'!$C$109:$BD$166,18,FALSE)</f>
        <v>0</v>
      </c>
      <c r="X15" s="13">
        <f ca="1">VLOOKUP($B15,'[9]Analisys QBR By Machine Report'!$C$109:$BD$166,19,FALSE)</f>
        <v>30</v>
      </c>
      <c r="Y15" s="13">
        <f ca="1">VLOOKUP($B15,'[9]Analisys QBR By Machine Report'!$C$109:$BD$166,20,FALSE)</f>
        <v>0</v>
      </c>
      <c r="Z15" s="13">
        <f ca="1">VLOOKUP($B15,'[9]Analisys QBR By Machine Report'!$C$109:$BD$166,21,FALSE)</f>
        <v>1825</v>
      </c>
      <c r="AA15" s="13">
        <f ca="1">VLOOKUP($B15,'[9]Analisys QBR By Machine Report'!$C$109:$BD$166,22,FALSE)</f>
        <v>565</v>
      </c>
      <c r="AB15" s="13">
        <f ca="1">VLOOKUP($B15,'[9]Analisys QBR By Machine Report'!$C$109:$BD$166,23,FALSE)</f>
        <v>1055</v>
      </c>
      <c r="AC15" s="13">
        <f ca="1">VLOOKUP($B15,'[9]Analisys QBR By Machine Report'!$C$109:$BD$166,24,FALSE)</f>
        <v>0</v>
      </c>
      <c r="AD15" s="13">
        <f ca="1">VLOOKUP($B15,'[9]Analisys QBR By Machine Report'!$C$109:$BD$166,25,FALSE)</f>
        <v>0</v>
      </c>
      <c r="AE15" s="13">
        <f ca="1">VLOOKUP($B15,'[9]Analisys QBR By Machine Report'!$C$109:$BD$166,26,FALSE)</f>
        <v>205</v>
      </c>
      <c r="AF15" s="13">
        <f ca="1">VLOOKUP($B15,'[9]Analisys QBR By Machine Report'!$C$109:$BD$166,27,FALSE)</f>
        <v>0</v>
      </c>
      <c r="AG15" s="13">
        <f ca="1">VLOOKUP($B15,'[9]Analisys QBR By Machine Report'!$C$109:$BD$166,28,FALSE)</f>
        <v>0</v>
      </c>
      <c r="AH15" s="13">
        <f ca="1">VLOOKUP($B15,'[9]Analisys QBR By Machine Report'!$C$109:$BD$166,29,FALSE)</f>
        <v>0</v>
      </c>
      <c r="AI15" s="13">
        <f ca="1">VLOOKUP($B15,'[9]Analisys QBR By Machine Report'!$C$109:$BD$166,30,FALSE)</f>
        <v>770</v>
      </c>
      <c r="AJ15" s="13">
        <f ca="1">VLOOKUP($B15,'[9]Analisys QBR By Machine Report'!$C$109:$BD$166,31,FALSE)</f>
        <v>0</v>
      </c>
      <c r="AK15" s="13">
        <f ca="1">VLOOKUP($B15,'[9]Analisys QBR By Machine Report'!$C$109:$BD$166,32,FALSE)</f>
        <v>0</v>
      </c>
      <c r="AL15" s="13">
        <f ca="1">VLOOKUP($B15,'[9]Analisys QBR By Machine Report'!$C$109:$BD$166,33,FALSE)</f>
        <v>180</v>
      </c>
      <c r="AM15" s="13">
        <f ca="1">VLOOKUP($B15,'[9]Analisys QBR By Machine Report'!$C$109:$BD$166,34,FALSE)</f>
        <v>0</v>
      </c>
      <c r="AN15" s="13">
        <f ca="1">VLOOKUP($B15,'[9]Analisys QBR By Machine Report'!$C$109:$BD$166,35,FALSE)</f>
        <v>160</v>
      </c>
      <c r="AO15" s="13">
        <f ca="1">VLOOKUP($B15,'[9]Analisys QBR By Machine Report'!$C$109:$BD$166,36,FALSE)</f>
        <v>0</v>
      </c>
      <c r="AP15" s="13">
        <f ca="1">VLOOKUP($B15,'[9]Analisys QBR By Machine Report'!$C$109:$BD$166,37,FALSE)</f>
        <v>0</v>
      </c>
      <c r="AQ15" s="13">
        <f ca="1">VLOOKUP($B15,'[9]Analisys QBR By Machine Report'!$C$109:$BD$166,38,FALSE)</f>
        <v>0</v>
      </c>
      <c r="AR15" s="13">
        <f ca="1">VLOOKUP($B15,'[9]Analisys QBR By Machine Report'!$C$109:$BD$166,39,FALSE)</f>
        <v>245</v>
      </c>
      <c r="AS15" s="13">
        <f ca="1">VLOOKUP($B15,'[9]Analisys QBR By Machine Report'!$C$109:$BD$166,40,FALSE)</f>
        <v>130</v>
      </c>
      <c r="AT15" s="13">
        <f ca="1">VLOOKUP($B15,'[9]Analisys QBR By Machine Report'!$C$109:$BD$166,41,FALSE)</f>
        <v>0</v>
      </c>
      <c r="AU15" s="13">
        <f ca="1">VLOOKUP($B15,'[9]Analisys QBR By Machine Report'!$C$109:$BD$166,42,FALSE)</f>
        <v>0</v>
      </c>
      <c r="AV15" s="13">
        <f ca="1">VLOOKUP($B15,'[9]Analisys QBR By Machine Report'!$C$109:$BD$166,43,FALSE)</f>
        <v>0</v>
      </c>
      <c r="AW15" s="13">
        <f ca="1">VLOOKUP($B15,'[9]Analisys QBR By Machine Report'!$C$109:$BD$166,44,FALSE)</f>
        <v>0</v>
      </c>
      <c r="AX15" s="13">
        <f ca="1">VLOOKUP($B15,'[9]Analisys QBR By Machine Report'!$C$109:$BD$166,45,FALSE)</f>
        <v>0</v>
      </c>
      <c r="AY15" s="13">
        <f ca="1">VLOOKUP($B15,'[9]Analisys QBR By Machine Report'!$C$109:$BD$166,46,FALSE)</f>
        <v>0</v>
      </c>
      <c r="AZ15" s="13">
        <f ca="1">VLOOKUP($B15,'[9]Analisys QBR By Machine Report'!$C$109:$BD$166,47,FALSE)</f>
        <v>55</v>
      </c>
      <c r="BA15" s="13">
        <f ca="1">VLOOKUP($B15,'[9]Analisys QBR By Machine Report'!$C$109:$BD$166,48,FALSE)</f>
        <v>0</v>
      </c>
      <c r="BB15" s="13">
        <f ca="1">VLOOKUP($B15,'[9]Analisys QBR By Machine Report'!$C$109:$BD$166,49,FALSE)</f>
        <v>0</v>
      </c>
      <c r="BC15" s="13">
        <f ca="1">VLOOKUP($B15,'[9]Analisys QBR By Machine Report'!$C$109:$BD$166,50,FALSE)</f>
        <v>0</v>
      </c>
      <c r="BD15" s="13">
        <f ca="1">VLOOKUP($B15,'[9]Analisys QBR By Machine Report'!$C$109:$BD$166,51,FALSE)</f>
        <v>1707.71</v>
      </c>
      <c r="BE15" s="13">
        <f ca="1">VLOOKUP($B15,'[9]Analisys QBR By Machine Report'!$C$109:$BD$166,52,FALSE)</f>
        <v>0.54</v>
      </c>
      <c r="BF15" s="13">
        <f ca="1">VLOOKUP($B15,'[9]Analisys QBR By Machine Report'!$C$109:$BD$166,53,FALSE)</f>
        <v>1707.17</v>
      </c>
    </row>
    <row r="16" spans="1:58" x14ac:dyDescent="0.25">
      <c r="A16" s="9" t="s">
        <v>72</v>
      </c>
      <c r="B16" s="10">
        <f ca="1">VLOOKUP($B16,'[9]Analisys QBR By Machine Report'!$C$109:$BD$166,2,FALSE)</f>
        <v>151200</v>
      </c>
      <c r="C16" s="11">
        <f ca="1">VLOOKUP($B16,[9]Dasboard_QBR_Report!$B$109:$BL$166,3,FALSE)</f>
        <v>69300</v>
      </c>
      <c r="D16" s="10">
        <f ca="1">VLOOKUP($B16,'[9]Analisys QBR By Machine Report'!$C$109:$BD$166,3,FALSE)</f>
        <v>93750</v>
      </c>
      <c r="E16" s="11">
        <f ca="1">VLOOKUP($B16,[9]Dasboard_QBR_Report!$B$109:$BL$166,5,FALSE)</f>
        <v>11850</v>
      </c>
      <c r="F16" s="10">
        <f t="shared" ca="1" si="0"/>
        <v>57450</v>
      </c>
      <c r="G16" s="10">
        <f t="shared" ca="1" si="1"/>
        <v>2130</v>
      </c>
      <c r="H16" s="10">
        <f ca="1">VLOOKUP($B16,'[9]Analisys QBR By Machine Report'!$C$109:$BD$166,4,FALSE)</f>
        <v>2130</v>
      </c>
      <c r="I16" s="10">
        <f ca="1">VLOOKUP($B16,'[9]Analisys QBR By Machine Report'!$C$109:$BD$166,5,FALSE)</f>
        <v>30</v>
      </c>
      <c r="J16" s="10">
        <f ca="1">VLOOKUP($B16,'[9]Analisys QBR By Machine Report'!$C$109:$BD$166,6,FALSE)</f>
        <v>2100</v>
      </c>
      <c r="K16" s="10">
        <f ca="1">VLOOKUP($B16,'[9]Analisys QBR By Machine Report'!$C$109:$BD$166,7,FALSE)</f>
        <v>0</v>
      </c>
      <c r="L16" s="10">
        <f ca="1">VLOOKUP($B16,'[9]Analisys QBR By Machine Report'!$C$109:$BD$166,8,FALSE)</f>
        <v>55320</v>
      </c>
      <c r="M16" s="10">
        <f ca="1">VLOOKUP($B16,'[9]Analisys QBR By Machine Report'!$C$109:$BD$166,9,FALSE)</f>
        <v>22980</v>
      </c>
      <c r="N16" s="10">
        <f ca="1">VLOOKUP($B16,[9]Dasboard_QBR_Report!$B$109:$BL$166,18,FALSE)</f>
        <v>32340</v>
      </c>
      <c r="O16" s="10">
        <f ca="1">VLOOKUP($B16,'[9]Analisys QBR By Machine Report'!$C$109:$BD$166,10,FALSE)</f>
        <v>7890</v>
      </c>
      <c r="P16" s="10">
        <f ca="1">VLOOKUP($B16,'[9]Analisys QBR By Machine Report'!$C$109:$BD$166,11,FALSE)</f>
        <v>4240</v>
      </c>
      <c r="Q16" s="10">
        <f ca="1">VLOOKUP($B16,'[9]Analisys QBR By Machine Report'!$C$109:$BD$166,12,FALSE)</f>
        <v>0</v>
      </c>
      <c r="R16" s="10">
        <f ca="1">VLOOKUP($B16,'[9]Analisys QBR By Machine Report'!$C$109:$BD$166,13,FALSE)</f>
        <v>3650</v>
      </c>
      <c r="S16" s="10">
        <f ca="1">VLOOKUP($B16,'[9]Analisys QBR By Machine Report'!$C$109:$BD$166,14,FALSE)</f>
        <v>0</v>
      </c>
      <c r="T16" s="10">
        <f ca="1">VLOOKUP($B16,'[9]Analisys QBR By Machine Report'!$C$109:$BD$166,15,FALSE)</f>
        <v>925</v>
      </c>
      <c r="U16" s="10">
        <f ca="1">VLOOKUP($B16,'[9]Analisys QBR By Machine Report'!$C$109:$BD$166,16,FALSE)</f>
        <v>690</v>
      </c>
      <c r="V16" s="10">
        <f ca="1">VLOOKUP($B16,'[9]Analisys QBR By Machine Report'!$C$109:$BD$166,17,FALSE)</f>
        <v>195</v>
      </c>
      <c r="W16" s="10">
        <f ca="1">VLOOKUP($B16,'[9]Analisys QBR By Machine Report'!$C$109:$BD$166,18,FALSE)</f>
        <v>0</v>
      </c>
      <c r="X16" s="10">
        <f ca="1">VLOOKUP($B16,'[9]Analisys QBR By Machine Report'!$C$109:$BD$166,19,FALSE)</f>
        <v>40</v>
      </c>
      <c r="Y16" s="10">
        <f ca="1">VLOOKUP($B16,'[9]Analisys QBR By Machine Report'!$C$109:$BD$166,20,FALSE)</f>
        <v>0</v>
      </c>
      <c r="Z16" s="10">
        <f ca="1">VLOOKUP($B16,'[9]Analisys QBR By Machine Report'!$C$109:$BD$166,21,FALSE)</f>
        <v>9740</v>
      </c>
      <c r="AA16" s="10">
        <f ca="1">VLOOKUP($B16,'[9]Analisys QBR By Machine Report'!$C$109:$BD$166,22,FALSE)</f>
        <v>5085</v>
      </c>
      <c r="AB16" s="10">
        <f ca="1">VLOOKUP($B16,'[9]Analisys QBR By Machine Report'!$C$109:$BD$166,23,FALSE)</f>
        <v>1945</v>
      </c>
      <c r="AC16" s="10">
        <f ca="1">VLOOKUP($B16,'[9]Analisys QBR By Machine Report'!$C$109:$BD$166,24,FALSE)</f>
        <v>1880</v>
      </c>
      <c r="AD16" s="10">
        <f ca="1">VLOOKUP($B16,'[9]Analisys QBR By Machine Report'!$C$109:$BD$166,25,FALSE)</f>
        <v>0</v>
      </c>
      <c r="AE16" s="10">
        <f ca="1">VLOOKUP($B16,'[9]Analisys QBR By Machine Report'!$C$109:$BD$166,26,FALSE)</f>
        <v>830</v>
      </c>
      <c r="AF16" s="10">
        <f ca="1">VLOOKUP($B16,'[9]Analisys QBR By Machine Report'!$C$109:$BD$166,27,FALSE)</f>
        <v>2955</v>
      </c>
      <c r="AG16" s="10">
        <f ca="1">VLOOKUP($B16,'[9]Analisys QBR By Machine Report'!$C$109:$BD$166,28,FALSE)</f>
        <v>0</v>
      </c>
      <c r="AH16" s="10">
        <f ca="1">VLOOKUP($B16,'[9]Analisys QBR By Machine Report'!$C$109:$BD$166,29,FALSE)</f>
        <v>2955</v>
      </c>
      <c r="AI16" s="10">
        <f ca="1">VLOOKUP($B16,'[9]Analisys QBR By Machine Report'!$C$109:$BD$166,30,FALSE)</f>
        <v>10830</v>
      </c>
      <c r="AJ16" s="10">
        <f ca="1">VLOOKUP($B16,'[9]Analisys QBR By Machine Report'!$C$109:$BD$166,31,FALSE)</f>
        <v>0</v>
      </c>
      <c r="AK16" s="10">
        <f ca="1">VLOOKUP($B16,'[9]Analisys QBR By Machine Report'!$C$109:$BD$166,32,FALSE)</f>
        <v>0</v>
      </c>
      <c r="AL16" s="10">
        <f ca="1">VLOOKUP($B16,'[9]Analisys QBR By Machine Report'!$C$109:$BD$166,33,FALSE)</f>
        <v>3315</v>
      </c>
      <c r="AM16" s="10">
        <f ca="1">VLOOKUP($B16,'[9]Analisys QBR By Machine Report'!$C$109:$BD$166,34,FALSE)</f>
        <v>0</v>
      </c>
      <c r="AN16" s="10">
        <f ca="1">VLOOKUP($B16,'[9]Analisys QBR By Machine Report'!$C$109:$BD$166,35,FALSE)</f>
        <v>2800</v>
      </c>
      <c r="AO16" s="10">
        <f ca="1">VLOOKUP($B16,'[9]Analisys QBR By Machine Report'!$C$109:$BD$166,36,FALSE)</f>
        <v>405</v>
      </c>
      <c r="AP16" s="10">
        <f ca="1">VLOOKUP($B16,'[9]Analisys QBR By Machine Report'!$C$109:$BD$166,37,FALSE)</f>
        <v>0</v>
      </c>
      <c r="AQ16" s="10">
        <f ca="1">VLOOKUP($B16,'[9]Analisys QBR By Machine Report'!$C$109:$BD$166,38,FALSE)</f>
        <v>0</v>
      </c>
      <c r="AR16" s="10">
        <f ca="1">VLOOKUP($B16,'[9]Analisys QBR By Machine Report'!$C$109:$BD$166,39,FALSE)</f>
        <v>25</v>
      </c>
      <c r="AS16" s="10">
        <f ca="1">VLOOKUP($B16,'[9]Analisys QBR By Machine Report'!$C$109:$BD$166,40,FALSE)</f>
        <v>1980</v>
      </c>
      <c r="AT16" s="10">
        <f ca="1">VLOOKUP($B16,'[9]Analisys QBR By Machine Report'!$C$109:$BD$166,41,FALSE)</f>
        <v>0</v>
      </c>
      <c r="AU16" s="10">
        <f ca="1">VLOOKUP($B16,'[9]Analisys QBR By Machine Report'!$C$109:$BD$166,42,FALSE)</f>
        <v>0</v>
      </c>
      <c r="AV16" s="10">
        <f ca="1">VLOOKUP($B16,'[9]Analisys QBR By Machine Report'!$C$109:$BD$166,43,FALSE)</f>
        <v>0</v>
      </c>
      <c r="AW16" s="10">
        <f ca="1">VLOOKUP($B16,'[9]Analisys QBR By Machine Report'!$C$109:$BD$166,44,FALSE)</f>
        <v>0</v>
      </c>
      <c r="AX16" s="10">
        <f ca="1">VLOOKUP($B16,'[9]Analisys QBR By Machine Report'!$C$109:$BD$166,45,FALSE)</f>
        <v>0</v>
      </c>
      <c r="AY16" s="10">
        <f ca="1">VLOOKUP($B16,'[9]Analisys QBR By Machine Report'!$C$109:$BD$166,46,FALSE)</f>
        <v>0</v>
      </c>
      <c r="AZ16" s="10">
        <f ca="1">VLOOKUP($B16,'[9]Analisys QBR By Machine Report'!$C$109:$BD$166,47,FALSE)</f>
        <v>2170</v>
      </c>
      <c r="BA16" s="10">
        <f ca="1">VLOOKUP($B16,'[9]Analisys QBR By Machine Report'!$C$109:$BD$166,48,FALSE)</f>
        <v>135</v>
      </c>
      <c r="BB16" s="10">
        <f ca="1">VLOOKUP($B16,'[9]Analisys QBR By Machine Report'!$C$109:$BD$166,49,FALSE)</f>
        <v>0</v>
      </c>
      <c r="BC16" s="10">
        <f ca="1">VLOOKUP($B16,'[9]Analisys QBR By Machine Report'!$C$109:$BD$166,50,FALSE)</f>
        <v>0</v>
      </c>
      <c r="BD16" s="10">
        <f ca="1">VLOOKUP($B16,'[9]Analisys QBR By Machine Report'!$C$109:$BD$166,51,FALSE)</f>
        <v>14109279</v>
      </c>
      <c r="BE16" s="10">
        <f ca="1">VLOOKUP($B16,'[9]Analisys QBR By Machine Report'!$C$109:$BD$166,52,FALSE)</f>
        <v>55762</v>
      </c>
      <c r="BF16" s="10">
        <f ca="1">VLOOKUP($B16,'[9]Analisys QBR By Machine Report'!$C$109:$BD$166,53,FALSE)</f>
        <v>14053517</v>
      </c>
    </row>
    <row r="17" spans="1:58" x14ac:dyDescent="0.25">
      <c r="A17" s="12" t="s">
        <v>73</v>
      </c>
      <c r="B17" s="13">
        <f ca="1">VLOOKUP($B17,'[9]Analisys QBR By Machine Report'!$C$109:$BD$166,2,FALSE)</f>
        <v>30240</v>
      </c>
      <c r="C17" s="14">
        <f ca="1">VLOOKUP($B17,[9]Dasboard_QBR_Report!$B$109:$BL$166,3,FALSE)</f>
        <v>19530</v>
      </c>
      <c r="D17" s="13">
        <f ca="1">VLOOKUP($B17,'[9]Analisys QBR By Machine Report'!$C$109:$BD$166,3,FALSE)</f>
        <v>12420</v>
      </c>
      <c r="E17" s="14">
        <f ca="1">VLOOKUP($B17,[9]Dasboard_QBR_Report!$B$109:$BL$166,5,FALSE)</f>
        <v>1710</v>
      </c>
      <c r="F17" s="13">
        <f t="shared" ca="1" si="0"/>
        <v>17820</v>
      </c>
      <c r="G17" s="13">
        <f t="shared" ca="1" si="1"/>
        <v>90</v>
      </c>
      <c r="H17" s="13">
        <f ca="1">VLOOKUP($B17,'[9]Analisys QBR By Machine Report'!$C$109:$BD$166,4,FALSE)</f>
        <v>90</v>
      </c>
      <c r="I17" s="13">
        <f ca="1">VLOOKUP($B17,'[9]Analisys QBR By Machine Report'!$C$109:$BD$166,5,FALSE)</f>
        <v>0</v>
      </c>
      <c r="J17" s="13">
        <f ca="1">VLOOKUP($B17,'[9]Analisys QBR By Machine Report'!$C$109:$BD$166,6,FALSE)</f>
        <v>90</v>
      </c>
      <c r="K17" s="13">
        <f ca="1">VLOOKUP($B17,'[9]Analisys QBR By Machine Report'!$C$109:$BD$166,7,FALSE)</f>
        <v>0</v>
      </c>
      <c r="L17" s="13">
        <f ca="1">VLOOKUP($B17,'[9]Analisys QBR By Machine Report'!$C$109:$BD$166,8,FALSE)</f>
        <v>17730</v>
      </c>
      <c r="M17" s="13">
        <f ca="1">VLOOKUP($B17,'[9]Analisys QBR By Machine Report'!$C$109:$BD$166,9,FALSE)</f>
        <v>7710</v>
      </c>
      <c r="N17" s="13">
        <f ca="1">VLOOKUP($B17,[9]Dasboard_QBR_Report!$B$109:$BL$166,18,FALSE)</f>
        <v>10020</v>
      </c>
      <c r="O17" s="13">
        <f ca="1">VLOOKUP($B17,'[9]Analisys QBR By Machine Report'!$C$109:$BD$166,10,FALSE)</f>
        <v>2965</v>
      </c>
      <c r="P17" s="13">
        <f ca="1">VLOOKUP($B17,'[9]Analisys QBR By Machine Report'!$C$109:$BD$166,11,FALSE)</f>
        <v>1325</v>
      </c>
      <c r="Q17" s="13">
        <f ca="1">VLOOKUP($B17,'[9]Analisys QBR By Machine Report'!$C$109:$BD$166,12,FALSE)</f>
        <v>0</v>
      </c>
      <c r="R17" s="13">
        <f ca="1">VLOOKUP($B17,'[9]Analisys QBR By Machine Report'!$C$109:$BD$166,13,FALSE)</f>
        <v>1640</v>
      </c>
      <c r="S17" s="13">
        <f ca="1">VLOOKUP($B17,'[9]Analisys QBR By Machine Report'!$C$109:$BD$166,14,FALSE)</f>
        <v>0</v>
      </c>
      <c r="T17" s="13">
        <f ca="1">VLOOKUP($B17,'[9]Analisys QBR By Machine Report'!$C$109:$BD$166,15,FALSE)</f>
        <v>765</v>
      </c>
      <c r="U17" s="13">
        <f ca="1">VLOOKUP($B17,'[9]Analisys QBR By Machine Report'!$C$109:$BD$166,16,FALSE)</f>
        <v>545</v>
      </c>
      <c r="V17" s="13">
        <f ca="1">VLOOKUP($B17,'[9]Analisys QBR By Machine Report'!$C$109:$BD$166,17,FALSE)</f>
        <v>180</v>
      </c>
      <c r="W17" s="13">
        <f ca="1">VLOOKUP($B17,'[9]Analisys QBR By Machine Report'!$C$109:$BD$166,18,FALSE)</f>
        <v>0</v>
      </c>
      <c r="X17" s="13">
        <f ca="1">VLOOKUP($B17,'[9]Analisys QBR By Machine Report'!$C$109:$BD$166,19,FALSE)</f>
        <v>40</v>
      </c>
      <c r="Y17" s="13">
        <f ca="1">VLOOKUP($B17,'[9]Analisys QBR By Machine Report'!$C$109:$BD$166,20,FALSE)</f>
        <v>0</v>
      </c>
      <c r="Z17" s="13">
        <f ca="1">VLOOKUP($B17,'[9]Analisys QBR By Machine Report'!$C$109:$BD$166,21,FALSE)</f>
        <v>2740</v>
      </c>
      <c r="AA17" s="13">
        <f ca="1">VLOOKUP($B17,'[9]Analisys QBR By Machine Report'!$C$109:$BD$166,22,FALSE)</f>
        <v>1315</v>
      </c>
      <c r="AB17" s="13">
        <f ca="1">VLOOKUP($B17,'[9]Analisys QBR By Machine Report'!$C$109:$BD$166,23,FALSE)</f>
        <v>505</v>
      </c>
      <c r="AC17" s="13">
        <f ca="1">VLOOKUP($B17,'[9]Analisys QBR By Machine Report'!$C$109:$BD$166,24,FALSE)</f>
        <v>605</v>
      </c>
      <c r="AD17" s="13">
        <f ca="1">VLOOKUP($B17,'[9]Analisys QBR By Machine Report'!$C$109:$BD$166,25,FALSE)</f>
        <v>0</v>
      </c>
      <c r="AE17" s="13">
        <f ca="1">VLOOKUP($B17,'[9]Analisys QBR By Machine Report'!$C$109:$BD$166,26,FALSE)</f>
        <v>315</v>
      </c>
      <c r="AF17" s="13">
        <f ca="1">VLOOKUP($B17,'[9]Analisys QBR By Machine Report'!$C$109:$BD$166,27,FALSE)</f>
        <v>0</v>
      </c>
      <c r="AG17" s="13">
        <f ca="1">VLOOKUP($B17,'[9]Analisys QBR By Machine Report'!$C$109:$BD$166,28,FALSE)</f>
        <v>0</v>
      </c>
      <c r="AH17" s="13">
        <f ca="1">VLOOKUP($B17,'[9]Analisys QBR By Machine Report'!$C$109:$BD$166,29,FALSE)</f>
        <v>0</v>
      </c>
      <c r="AI17" s="13">
        <f ca="1">VLOOKUP($B17,'[9]Analisys QBR By Machine Report'!$C$109:$BD$166,30,FALSE)</f>
        <v>3550</v>
      </c>
      <c r="AJ17" s="13">
        <f ca="1">VLOOKUP($B17,'[9]Analisys QBR By Machine Report'!$C$109:$BD$166,31,FALSE)</f>
        <v>0</v>
      </c>
      <c r="AK17" s="13">
        <f ca="1">VLOOKUP($B17,'[9]Analisys QBR By Machine Report'!$C$109:$BD$166,32,FALSE)</f>
        <v>0</v>
      </c>
      <c r="AL17" s="13">
        <f ca="1">VLOOKUP($B17,'[9]Analisys QBR By Machine Report'!$C$109:$BD$166,33,FALSE)</f>
        <v>1140</v>
      </c>
      <c r="AM17" s="13">
        <f ca="1">VLOOKUP($B17,'[9]Analisys QBR By Machine Report'!$C$109:$BD$166,34,FALSE)</f>
        <v>0</v>
      </c>
      <c r="AN17" s="13">
        <f ca="1">VLOOKUP($B17,'[9]Analisys QBR By Machine Report'!$C$109:$BD$166,35,FALSE)</f>
        <v>1020</v>
      </c>
      <c r="AO17" s="13">
        <f ca="1">VLOOKUP($B17,'[9]Analisys QBR By Machine Report'!$C$109:$BD$166,36,FALSE)</f>
        <v>0</v>
      </c>
      <c r="AP17" s="13">
        <f ca="1">VLOOKUP($B17,'[9]Analisys QBR By Machine Report'!$C$109:$BD$166,37,FALSE)</f>
        <v>0</v>
      </c>
      <c r="AQ17" s="13">
        <f ca="1">VLOOKUP($B17,'[9]Analisys QBR By Machine Report'!$C$109:$BD$166,38,FALSE)</f>
        <v>0</v>
      </c>
      <c r="AR17" s="13">
        <f ca="1">VLOOKUP($B17,'[9]Analisys QBR By Machine Report'!$C$109:$BD$166,39,FALSE)</f>
        <v>0</v>
      </c>
      <c r="AS17" s="13">
        <f ca="1">VLOOKUP($B17,'[9]Analisys QBR By Machine Report'!$C$109:$BD$166,40,FALSE)</f>
        <v>610</v>
      </c>
      <c r="AT17" s="13">
        <f ca="1">VLOOKUP($B17,'[9]Analisys QBR By Machine Report'!$C$109:$BD$166,41,FALSE)</f>
        <v>0</v>
      </c>
      <c r="AU17" s="13">
        <f ca="1">VLOOKUP($B17,'[9]Analisys QBR By Machine Report'!$C$109:$BD$166,42,FALSE)</f>
        <v>0</v>
      </c>
      <c r="AV17" s="13">
        <f ca="1">VLOOKUP($B17,'[9]Analisys QBR By Machine Report'!$C$109:$BD$166,43,FALSE)</f>
        <v>0</v>
      </c>
      <c r="AW17" s="13">
        <f ca="1">VLOOKUP($B17,'[9]Analisys QBR By Machine Report'!$C$109:$BD$166,44,FALSE)</f>
        <v>0</v>
      </c>
      <c r="AX17" s="13">
        <f ca="1">VLOOKUP($B17,'[9]Analisys QBR By Machine Report'!$C$109:$BD$166,45,FALSE)</f>
        <v>0</v>
      </c>
      <c r="AY17" s="13">
        <f ca="1">VLOOKUP($B17,'[9]Analisys QBR By Machine Report'!$C$109:$BD$166,46,FALSE)</f>
        <v>0</v>
      </c>
      <c r="AZ17" s="13">
        <f ca="1">VLOOKUP($B17,'[9]Analisys QBR By Machine Report'!$C$109:$BD$166,47,FALSE)</f>
        <v>645</v>
      </c>
      <c r="BA17" s="13">
        <f ca="1">VLOOKUP($B17,'[9]Analisys QBR By Machine Report'!$C$109:$BD$166,48,FALSE)</f>
        <v>135</v>
      </c>
      <c r="BB17" s="13">
        <f ca="1">VLOOKUP($B17,'[9]Analisys QBR By Machine Report'!$C$109:$BD$166,49,FALSE)</f>
        <v>0</v>
      </c>
      <c r="BC17" s="13">
        <f ca="1">VLOOKUP($B17,'[9]Analisys QBR By Machine Report'!$C$109:$BD$166,50,FALSE)</f>
        <v>0</v>
      </c>
      <c r="BD17" s="13">
        <f ca="1">VLOOKUP($B17,'[9]Analisys QBR By Machine Report'!$C$109:$BD$166,51,FALSE)</f>
        <v>5999475</v>
      </c>
      <c r="BE17" s="13">
        <f ca="1">VLOOKUP($B17,'[9]Analisys QBR By Machine Report'!$C$109:$BD$166,52,FALSE)</f>
        <v>16593</v>
      </c>
      <c r="BF17" s="13">
        <f ca="1">VLOOKUP($B17,'[9]Analisys QBR By Machine Report'!$C$109:$BD$166,53,FALSE)</f>
        <v>5982882</v>
      </c>
    </row>
    <row r="18" spans="1:58" x14ac:dyDescent="0.25">
      <c r="A18" s="12" t="s">
        <v>74</v>
      </c>
      <c r="B18" s="13">
        <f ca="1">VLOOKUP($B18,'[9]Analisys QBR By Machine Report'!$C$109:$BD$166,2,FALSE)</f>
        <v>30240</v>
      </c>
      <c r="C18" s="14">
        <f ca="1">VLOOKUP($B18,[9]Dasboard_QBR_Report!$B$109:$BL$166,3,FALSE)</f>
        <v>19530</v>
      </c>
      <c r="D18" s="13">
        <f ca="1">VLOOKUP($B18,'[9]Analisys QBR By Machine Report'!$C$109:$BD$166,3,FALSE)</f>
        <v>16650</v>
      </c>
      <c r="E18" s="14">
        <f ca="1">VLOOKUP($B18,[9]Dasboard_QBR_Report!$B$109:$BL$166,5,FALSE)</f>
        <v>5940</v>
      </c>
      <c r="F18" s="13">
        <f t="shared" ca="1" si="0"/>
        <v>13590</v>
      </c>
      <c r="G18" s="13">
        <f t="shared" ca="1" si="1"/>
        <v>390</v>
      </c>
      <c r="H18" s="13">
        <f ca="1">VLOOKUP($B18,'[9]Analisys QBR By Machine Report'!$C$109:$BD$166,4,FALSE)</f>
        <v>390</v>
      </c>
      <c r="I18" s="13">
        <f ca="1">VLOOKUP($B18,'[9]Analisys QBR By Machine Report'!$C$109:$BD$166,5,FALSE)</f>
        <v>0</v>
      </c>
      <c r="J18" s="13">
        <f ca="1">VLOOKUP($B18,'[9]Analisys QBR By Machine Report'!$C$109:$BD$166,6,FALSE)</f>
        <v>390</v>
      </c>
      <c r="K18" s="13">
        <f ca="1">VLOOKUP($B18,'[9]Analisys QBR By Machine Report'!$C$109:$BD$166,7,FALSE)</f>
        <v>0</v>
      </c>
      <c r="L18" s="13">
        <f ca="1">VLOOKUP($B18,'[9]Analisys QBR By Machine Report'!$C$109:$BD$166,8,FALSE)</f>
        <v>13200</v>
      </c>
      <c r="M18" s="13">
        <f ca="1">VLOOKUP($B18,'[9]Analisys QBR By Machine Report'!$C$109:$BD$166,9,FALSE)</f>
        <v>4875</v>
      </c>
      <c r="N18" s="13">
        <f ca="1">VLOOKUP($B18,[9]Dasboard_QBR_Report!$B$109:$BL$166,18,FALSE)</f>
        <v>8325</v>
      </c>
      <c r="O18" s="13">
        <f ca="1">VLOOKUP($B18,'[9]Analisys QBR By Machine Report'!$C$109:$BD$166,10,FALSE)</f>
        <v>1790</v>
      </c>
      <c r="P18" s="13">
        <f ca="1">VLOOKUP($B18,'[9]Analisys QBR By Machine Report'!$C$109:$BD$166,11,FALSE)</f>
        <v>1135</v>
      </c>
      <c r="Q18" s="13">
        <f ca="1">VLOOKUP($B18,'[9]Analisys QBR By Machine Report'!$C$109:$BD$166,12,FALSE)</f>
        <v>0</v>
      </c>
      <c r="R18" s="13">
        <f ca="1">VLOOKUP($B18,'[9]Analisys QBR By Machine Report'!$C$109:$BD$166,13,FALSE)</f>
        <v>655</v>
      </c>
      <c r="S18" s="13">
        <f ca="1">VLOOKUP($B18,'[9]Analisys QBR By Machine Report'!$C$109:$BD$166,14,FALSE)</f>
        <v>0</v>
      </c>
      <c r="T18" s="13">
        <f ca="1">VLOOKUP($B18,'[9]Analisys QBR By Machine Report'!$C$109:$BD$166,15,FALSE)</f>
        <v>110</v>
      </c>
      <c r="U18" s="13">
        <f ca="1">VLOOKUP($B18,'[9]Analisys QBR By Machine Report'!$C$109:$BD$166,16,FALSE)</f>
        <v>110</v>
      </c>
      <c r="V18" s="13">
        <f ca="1">VLOOKUP($B18,'[9]Analisys QBR By Machine Report'!$C$109:$BD$166,17,FALSE)</f>
        <v>0</v>
      </c>
      <c r="W18" s="13">
        <f ca="1">VLOOKUP($B18,'[9]Analisys QBR By Machine Report'!$C$109:$BD$166,18,FALSE)</f>
        <v>0</v>
      </c>
      <c r="X18" s="13">
        <f ca="1">VLOOKUP($B18,'[9]Analisys QBR By Machine Report'!$C$109:$BD$166,19,FALSE)</f>
        <v>0</v>
      </c>
      <c r="Y18" s="13">
        <f ca="1">VLOOKUP($B18,'[9]Analisys QBR By Machine Report'!$C$109:$BD$166,20,FALSE)</f>
        <v>0</v>
      </c>
      <c r="Z18" s="13">
        <f ca="1">VLOOKUP($B18,'[9]Analisys QBR By Machine Report'!$C$109:$BD$166,21,FALSE)</f>
        <v>2865</v>
      </c>
      <c r="AA18" s="13">
        <f ca="1">VLOOKUP($B18,'[9]Analisys QBR By Machine Report'!$C$109:$BD$166,22,FALSE)</f>
        <v>1330</v>
      </c>
      <c r="AB18" s="13">
        <f ca="1">VLOOKUP($B18,'[9]Analisys QBR By Machine Report'!$C$109:$BD$166,23,FALSE)</f>
        <v>830</v>
      </c>
      <c r="AC18" s="13">
        <f ca="1">VLOOKUP($B18,'[9]Analisys QBR By Machine Report'!$C$109:$BD$166,24,FALSE)</f>
        <v>495</v>
      </c>
      <c r="AD18" s="13">
        <f ca="1">VLOOKUP($B18,'[9]Analisys QBR By Machine Report'!$C$109:$BD$166,25,FALSE)</f>
        <v>0</v>
      </c>
      <c r="AE18" s="13">
        <f ca="1">VLOOKUP($B18,'[9]Analisys QBR By Machine Report'!$C$109:$BD$166,26,FALSE)</f>
        <v>210</v>
      </c>
      <c r="AF18" s="13">
        <f ca="1">VLOOKUP($B18,'[9]Analisys QBR By Machine Report'!$C$109:$BD$166,27,FALSE)</f>
        <v>510</v>
      </c>
      <c r="AG18" s="13">
        <f ca="1">VLOOKUP($B18,'[9]Analisys QBR By Machine Report'!$C$109:$BD$166,28,FALSE)</f>
        <v>0</v>
      </c>
      <c r="AH18" s="13">
        <f ca="1">VLOOKUP($B18,'[9]Analisys QBR By Machine Report'!$C$109:$BD$166,29,FALSE)</f>
        <v>510</v>
      </c>
      <c r="AI18" s="13">
        <f ca="1">VLOOKUP($B18,'[9]Analisys QBR By Machine Report'!$C$109:$BD$166,30,FALSE)</f>
        <v>3050</v>
      </c>
      <c r="AJ18" s="13">
        <f ca="1">VLOOKUP($B18,'[9]Analisys QBR By Machine Report'!$C$109:$BD$166,31,FALSE)</f>
        <v>0</v>
      </c>
      <c r="AK18" s="13">
        <f ca="1">VLOOKUP($B18,'[9]Analisys QBR By Machine Report'!$C$109:$BD$166,32,FALSE)</f>
        <v>0</v>
      </c>
      <c r="AL18" s="13">
        <f ca="1">VLOOKUP($B18,'[9]Analisys QBR By Machine Report'!$C$109:$BD$166,33,FALSE)</f>
        <v>795</v>
      </c>
      <c r="AM18" s="13">
        <f ca="1">VLOOKUP($B18,'[9]Analisys QBR By Machine Report'!$C$109:$BD$166,34,FALSE)</f>
        <v>0</v>
      </c>
      <c r="AN18" s="13">
        <f ca="1">VLOOKUP($B18,'[9]Analisys QBR By Machine Report'!$C$109:$BD$166,35,FALSE)</f>
        <v>610</v>
      </c>
      <c r="AO18" s="13">
        <f ca="1">VLOOKUP($B18,'[9]Analisys QBR By Machine Report'!$C$109:$BD$166,36,FALSE)</f>
        <v>405</v>
      </c>
      <c r="AP18" s="13">
        <f ca="1">VLOOKUP($B18,'[9]Analisys QBR By Machine Report'!$C$109:$BD$166,37,FALSE)</f>
        <v>0</v>
      </c>
      <c r="AQ18" s="13">
        <f ca="1">VLOOKUP($B18,'[9]Analisys QBR By Machine Report'!$C$109:$BD$166,38,FALSE)</f>
        <v>0</v>
      </c>
      <c r="AR18" s="13">
        <f ca="1">VLOOKUP($B18,'[9]Analisys QBR By Machine Report'!$C$109:$BD$166,39,FALSE)</f>
        <v>0</v>
      </c>
      <c r="AS18" s="13">
        <f ca="1">VLOOKUP($B18,'[9]Analisys QBR By Machine Report'!$C$109:$BD$166,40,FALSE)</f>
        <v>530</v>
      </c>
      <c r="AT18" s="13">
        <f ca="1">VLOOKUP($B18,'[9]Analisys QBR By Machine Report'!$C$109:$BD$166,41,FALSE)</f>
        <v>0</v>
      </c>
      <c r="AU18" s="13">
        <f ca="1">VLOOKUP($B18,'[9]Analisys QBR By Machine Report'!$C$109:$BD$166,42,FALSE)</f>
        <v>0</v>
      </c>
      <c r="AV18" s="13">
        <f ca="1">VLOOKUP($B18,'[9]Analisys QBR By Machine Report'!$C$109:$BD$166,43,FALSE)</f>
        <v>0</v>
      </c>
      <c r="AW18" s="13">
        <f ca="1">VLOOKUP($B18,'[9]Analisys QBR By Machine Report'!$C$109:$BD$166,44,FALSE)</f>
        <v>0</v>
      </c>
      <c r="AX18" s="13">
        <f ca="1">VLOOKUP($B18,'[9]Analisys QBR By Machine Report'!$C$109:$BD$166,45,FALSE)</f>
        <v>0</v>
      </c>
      <c r="AY18" s="13">
        <f ca="1">VLOOKUP($B18,'[9]Analisys QBR By Machine Report'!$C$109:$BD$166,46,FALSE)</f>
        <v>0</v>
      </c>
      <c r="AZ18" s="13">
        <f ca="1">VLOOKUP($B18,'[9]Analisys QBR By Machine Report'!$C$109:$BD$166,47,FALSE)</f>
        <v>710</v>
      </c>
      <c r="BA18" s="13">
        <f ca="1">VLOOKUP($B18,'[9]Analisys QBR By Machine Report'!$C$109:$BD$166,48,FALSE)</f>
        <v>0</v>
      </c>
      <c r="BB18" s="13">
        <f ca="1">VLOOKUP($B18,'[9]Analisys QBR By Machine Report'!$C$109:$BD$166,49,FALSE)</f>
        <v>0</v>
      </c>
      <c r="BC18" s="13">
        <f ca="1">VLOOKUP($B18,'[9]Analisys QBR By Machine Report'!$C$109:$BD$166,50,FALSE)</f>
        <v>0</v>
      </c>
      <c r="BD18" s="13">
        <f ca="1">VLOOKUP($B18,'[9]Analisys QBR By Machine Report'!$C$109:$BD$166,51,FALSE)</f>
        <v>5462048</v>
      </c>
      <c r="BE18" s="13">
        <f ca="1">VLOOKUP($B18,'[9]Analisys QBR By Machine Report'!$C$109:$BD$166,52,FALSE)</f>
        <v>22488</v>
      </c>
      <c r="BF18" s="13">
        <f ca="1">VLOOKUP($B18,'[9]Analisys QBR By Machine Report'!$C$109:$BD$166,53,FALSE)</f>
        <v>5439560</v>
      </c>
    </row>
    <row r="19" spans="1:58" x14ac:dyDescent="0.25">
      <c r="A19" s="12" t="s">
        <v>75</v>
      </c>
      <c r="B19" s="13">
        <f ca="1">VLOOKUP($B19,'[9]Analisys QBR By Machine Report'!$C$109:$BD$166,2,FALSE)</f>
        <v>30240</v>
      </c>
      <c r="C19" s="14">
        <f ca="1">VLOOKUP($B19,[9]Dasboard_QBR_Report!$B$109:$BL$166,3,FALSE)</f>
        <v>10080</v>
      </c>
      <c r="D19" s="13">
        <f ca="1">VLOOKUP($B19,'[9]Analisys QBR By Machine Report'!$C$109:$BD$166,3,FALSE)</f>
        <v>21420</v>
      </c>
      <c r="E19" s="14">
        <f ca="1">VLOOKUP($B19,[9]Dasboard_QBR_Report!$B$109:$BL$166,5,FALSE)</f>
        <v>1260</v>
      </c>
      <c r="F19" s="13">
        <f t="shared" ca="1" si="0"/>
        <v>8820</v>
      </c>
      <c r="G19" s="13">
        <f t="shared" ca="1" si="1"/>
        <v>230</v>
      </c>
      <c r="H19" s="13">
        <f ca="1">VLOOKUP($B19,'[9]Analisys QBR By Machine Report'!$C$109:$BD$166,4,FALSE)</f>
        <v>230</v>
      </c>
      <c r="I19" s="13">
        <f ca="1">VLOOKUP($B19,'[9]Analisys QBR By Machine Report'!$C$109:$BD$166,5,FALSE)</f>
        <v>30</v>
      </c>
      <c r="J19" s="13">
        <f ca="1">VLOOKUP($B19,'[9]Analisys QBR By Machine Report'!$C$109:$BD$166,6,FALSE)</f>
        <v>200</v>
      </c>
      <c r="K19" s="13">
        <f ca="1">VLOOKUP($B19,'[9]Analisys QBR By Machine Report'!$C$109:$BD$166,7,FALSE)</f>
        <v>0</v>
      </c>
      <c r="L19" s="13">
        <f ca="1">VLOOKUP($B19,'[9]Analisys QBR By Machine Report'!$C$109:$BD$166,8,FALSE)</f>
        <v>8590</v>
      </c>
      <c r="M19" s="13">
        <f ca="1">VLOOKUP($B19,'[9]Analisys QBR By Machine Report'!$C$109:$BD$166,9,FALSE)</f>
        <v>3090</v>
      </c>
      <c r="N19" s="13">
        <f ca="1">VLOOKUP($B19,[9]Dasboard_QBR_Report!$B$109:$BL$166,18,FALSE)</f>
        <v>5500</v>
      </c>
      <c r="O19" s="13">
        <f ca="1">VLOOKUP($B19,'[9]Analisys QBR By Machine Report'!$C$109:$BD$166,10,FALSE)</f>
        <v>1800</v>
      </c>
      <c r="P19" s="13">
        <f ca="1">VLOOKUP($B19,'[9]Analisys QBR By Machine Report'!$C$109:$BD$166,11,FALSE)</f>
        <v>940</v>
      </c>
      <c r="Q19" s="13">
        <f ca="1">VLOOKUP($B19,'[9]Analisys QBR By Machine Report'!$C$109:$BD$166,12,FALSE)</f>
        <v>0</v>
      </c>
      <c r="R19" s="13">
        <f ca="1">VLOOKUP($B19,'[9]Analisys QBR By Machine Report'!$C$109:$BD$166,13,FALSE)</f>
        <v>860</v>
      </c>
      <c r="S19" s="13">
        <f ca="1">VLOOKUP($B19,'[9]Analisys QBR By Machine Report'!$C$109:$BD$166,14,FALSE)</f>
        <v>0</v>
      </c>
      <c r="T19" s="13">
        <f ca="1">VLOOKUP($B19,'[9]Analisys QBR By Machine Report'!$C$109:$BD$166,15,FALSE)</f>
        <v>0</v>
      </c>
      <c r="U19" s="13">
        <f ca="1">VLOOKUP($B19,'[9]Analisys QBR By Machine Report'!$C$109:$BD$166,16,FALSE)</f>
        <v>0</v>
      </c>
      <c r="V19" s="13">
        <f ca="1">VLOOKUP($B19,'[9]Analisys QBR By Machine Report'!$C$109:$BD$166,17,FALSE)</f>
        <v>0</v>
      </c>
      <c r="W19" s="13">
        <f ca="1">VLOOKUP($B19,'[9]Analisys QBR By Machine Report'!$C$109:$BD$166,18,FALSE)</f>
        <v>0</v>
      </c>
      <c r="X19" s="13">
        <f ca="1">VLOOKUP($B19,'[9]Analisys QBR By Machine Report'!$C$109:$BD$166,19,FALSE)</f>
        <v>0</v>
      </c>
      <c r="Y19" s="13">
        <f ca="1">VLOOKUP($B19,'[9]Analisys QBR By Machine Report'!$C$109:$BD$166,20,FALSE)</f>
        <v>0</v>
      </c>
      <c r="Z19" s="13">
        <f ca="1">VLOOKUP($B19,'[9]Analisys QBR By Machine Report'!$C$109:$BD$166,21,FALSE)</f>
        <v>1580</v>
      </c>
      <c r="AA19" s="13">
        <f ca="1">VLOOKUP($B19,'[9]Analisys QBR By Machine Report'!$C$109:$BD$166,22,FALSE)</f>
        <v>1035</v>
      </c>
      <c r="AB19" s="13">
        <f ca="1">VLOOKUP($B19,'[9]Analisys QBR By Machine Report'!$C$109:$BD$166,23,FALSE)</f>
        <v>190</v>
      </c>
      <c r="AC19" s="13">
        <f ca="1">VLOOKUP($B19,'[9]Analisys QBR By Machine Report'!$C$109:$BD$166,24,FALSE)</f>
        <v>250</v>
      </c>
      <c r="AD19" s="13">
        <f ca="1">VLOOKUP($B19,'[9]Analisys QBR By Machine Report'!$C$109:$BD$166,25,FALSE)</f>
        <v>0</v>
      </c>
      <c r="AE19" s="13">
        <f ca="1">VLOOKUP($B19,'[9]Analisys QBR By Machine Report'!$C$109:$BD$166,26,FALSE)</f>
        <v>105</v>
      </c>
      <c r="AF19" s="13">
        <f ca="1">VLOOKUP($B19,'[9]Analisys QBR By Machine Report'!$C$109:$BD$166,27,FALSE)</f>
        <v>480</v>
      </c>
      <c r="AG19" s="13">
        <f ca="1">VLOOKUP($B19,'[9]Analisys QBR By Machine Report'!$C$109:$BD$166,28,FALSE)</f>
        <v>0</v>
      </c>
      <c r="AH19" s="13">
        <f ca="1">VLOOKUP($B19,'[9]Analisys QBR By Machine Report'!$C$109:$BD$166,29,FALSE)</f>
        <v>480</v>
      </c>
      <c r="AI19" s="13">
        <f ca="1">VLOOKUP($B19,'[9]Analisys QBR By Machine Report'!$C$109:$BD$166,30,FALSE)</f>
        <v>1640</v>
      </c>
      <c r="AJ19" s="13">
        <f ca="1">VLOOKUP($B19,'[9]Analisys QBR By Machine Report'!$C$109:$BD$166,31,FALSE)</f>
        <v>0</v>
      </c>
      <c r="AK19" s="13">
        <f ca="1">VLOOKUP($B19,'[9]Analisys QBR By Machine Report'!$C$109:$BD$166,32,FALSE)</f>
        <v>0</v>
      </c>
      <c r="AL19" s="13">
        <f ca="1">VLOOKUP($B19,'[9]Analisys QBR By Machine Report'!$C$109:$BD$166,33,FALSE)</f>
        <v>540</v>
      </c>
      <c r="AM19" s="13">
        <f ca="1">VLOOKUP($B19,'[9]Analisys QBR By Machine Report'!$C$109:$BD$166,34,FALSE)</f>
        <v>0</v>
      </c>
      <c r="AN19" s="13">
        <f ca="1">VLOOKUP($B19,'[9]Analisys QBR By Machine Report'!$C$109:$BD$166,35,FALSE)</f>
        <v>485</v>
      </c>
      <c r="AO19" s="13">
        <f ca="1">VLOOKUP($B19,'[9]Analisys QBR By Machine Report'!$C$109:$BD$166,36,FALSE)</f>
        <v>0</v>
      </c>
      <c r="AP19" s="13">
        <f ca="1">VLOOKUP($B19,'[9]Analisys QBR By Machine Report'!$C$109:$BD$166,37,FALSE)</f>
        <v>0</v>
      </c>
      <c r="AQ19" s="13">
        <f ca="1">VLOOKUP($B19,'[9]Analisys QBR By Machine Report'!$C$109:$BD$166,38,FALSE)</f>
        <v>0</v>
      </c>
      <c r="AR19" s="13">
        <f ca="1">VLOOKUP($B19,'[9]Analisys QBR By Machine Report'!$C$109:$BD$166,39,FALSE)</f>
        <v>0</v>
      </c>
      <c r="AS19" s="13">
        <f ca="1">VLOOKUP($B19,'[9]Analisys QBR By Machine Report'!$C$109:$BD$166,40,FALSE)</f>
        <v>255</v>
      </c>
      <c r="AT19" s="13">
        <f ca="1">VLOOKUP($B19,'[9]Analisys QBR By Machine Report'!$C$109:$BD$166,41,FALSE)</f>
        <v>0</v>
      </c>
      <c r="AU19" s="13">
        <f ca="1">VLOOKUP($B19,'[9]Analisys QBR By Machine Report'!$C$109:$BD$166,42,FALSE)</f>
        <v>0</v>
      </c>
      <c r="AV19" s="13">
        <f ca="1">VLOOKUP($B19,'[9]Analisys QBR By Machine Report'!$C$109:$BD$166,43,FALSE)</f>
        <v>0</v>
      </c>
      <c r="AW19" s="13">
        <f ca="1">VLOOKUP($B19,'[9]Analisys QBR By Machine Report'!$C$109:$BD$166,44,FALSE)</f>
        <v>0</v>
      </c>
      <c r="AX19" s="13">
        <f ca="1">VLOOKUP($B19,'[9]Analisys QBR By Machine Report'!$C$109:$BD$166,45,FALSE)</f>
        <v>0</v>
      </c>
      <c r="AY19" s="13">
        <f ca="1">VLOOKUP($B19,'[9]Analisys QBR By Machine Report'!$C$109:$BD$166,46,FALSE)</f>
        <v>0</v>
      </c>
      <c r="AZ19" s="13">
        <f ca="1">VLOOKUP($B19,'[9]Analisys QBR By Machine Report'!$C$109:$BD$166,47,FALSE)</f>
        <v>360</v>
      </c>
      <c r="BA19" s="13">
        <f ca="1">VLOOKUP($B19,'[9]Analisys QBR By Machine Report'!$C$109:$BD$166,48,FALSE)</f>
        <v>0</v>
      </c>
      <c r="BB19" s="13">
        <f ca="1">VLOOKUP($B19,'[9]Analisys QBR By Machine Report'!$C$109:$BD$166,49,FALSE)</f>
        <v>0</v>
      </c>
      <c r="BC19" s="13">
        <f ca="1">VLOOKUP($B19,'[9]Analisys QBR By Machine Report'!$C$109:$BD$166,50,FALSE)</f>
        <v>0</v>
      </c>
      <c r="BD19" s="13">
        <f ca="1">VLOOKUP($B19,'[9]Analisys QBR By Machine Report'!$C$109:$BD$166,51,FALSE)</f>
        <v>1419018</v>
      </c>
      <c r="BE19" s="13">
        <f ca="1">VLOOKUP($B19,'[9]Analisys QBR By Machine Report'!$C$109:$BD$166,52,FALSE)</f>
        <v>9128</v>
      </c>
      <c r="BF19" s="13">
        <f ca="1">VLOOKUP($B19,'[9]Analisys QBR By Machine Report'!$C$109:$BD$166,53,FALSE)</f>
        <v>1409890</v>
      </c>
    </row>
    <row r="20" spans="1:58" x14ac:dyDescent="0.25">
      <c r="A20" s="12" t="s">
        <v>76</v>
      </c>
      <c r="B20" s="13">
        <f ca="1">VLOOKUP($B20,'[9]Analisys QBR By Machine Report'!$C$109:$BD$166,2,FALSE)</f>
        <v>30240</v>
      </c>
      <c r="C20" s="14">
        <f ca="1">VLOOKUP($B20,[9]Dasboard_QBR_Report!$B$109:$BL$166,3,FALSE)</f>
        <v>10080</v>
      </c>
      <c r="D20" s="13">
        <f ca="1">VLOOKUP($B20,'[9]Analisys QBR By Machine Report'!$C$109:$BD$166,3,FALSE)</f>
        <v>23730</v>
      </c>
      <c r="E20" s="14">
        <f ca="1">VLOOKUP($B20,[9]Dasboard_QBR_Report!$B$109:$BL$166,5,FALSE)</f>
        <v>3570</v>
      </c>
      <c r="F20" s="13">
        <f t="shared" ca="1" si="0"/>
        <v>6510</v>
      </c>
      <c r="G20" s="13">
        <f t="shared" ca="1" si="1"/>
        <v>300</v>
      </c>
      <c r="H20" s="13">
        <f ca="1">VLOOKUP($B20,'[9]Analisys QBR By Machine Report'!$C$109:$BD$166,4,FALSE)</f>
        <v>300</v>
      </c>
      <c r="I20" s="13">
        <f ca="1">VLOOKUP($B20,'[9]Analisys QBR By Machine Report'!$C$109:$BD$166,5,FALSE)</f>
        <v>0</v>
      </c>
      <c r="J20" s="13">
        <f ca="1">VLOOKUP($B20,'[9]Analisys QBR By Machine Report'!$C$109:$BD$166,6,FALSE)</f>
        <v>300</v>
      </c>
      <c r="K20" s="13">
        <f ca="1">VLOOKUP($B20,'[9]Analisys QBR By Machine Report'!$C$109:$BD$166,7,FALSE)</f>
        <v>0</v>
      </c>
      <c r="L20" s="13">
        <f ca="1">VLOOKUP($B20,'[9]Analisys QBR By Machine Report'!$C$109:$BD$166,8,FALSE)</f>
        <v>6210</v>
      </c>
      <c r="M20" s="13">
        <f ca="1">VLOOKUP($B20,'[9]Analisys QBR By Machine Report'!$C$109:$BD$166,9,FALSE)</f>
        <v>3790</v>
      </c>
      <c r="N20" s="13">
        <f ca="1">VLOOKUP($B20,[9]Dasboard_QBR_Report!$B$109:$BL$166,18,FALSE)</f>
        <v>2420</v>
      </c>
      <c r="O20" s="13">
        <f ca="1">VLOOKUP($B20,'[9]Analisys QBR By Machine Report'!$C$109:$BD$166,10,FALSE)</f>
        <v>150</v>
      </c>
      <c r="P20" s="13">
        <f ca="1">VLOOKUP($B20,'[9]Analisys QBR By Machine Report'!$C$109:$BD$166,11,FALSE)</f>
        <v>150</v>
      </c>
      <c r="Q20" s="13">
        <f ca="1">VLOOKUP($B20,'[9]Analisys QBR By Machine Report'!$C$109:$BD$166,12,FALSE)</f>
        <v>0</v>
      </c>
      <c r="R20" s="13">
        <f ca="1">VLOOKUP($B20,'[9]Analisys QBR By Machine Report'!$C$109:$BD$166,13,FALSE)</f>
        <v>0</v>
      </c>
      <c r="S20" s="13">
        <f ca="1">VLOOKUP($B20,'[9]Analisys QBR By Machine Report'!$C$109:$BD$166,14,FALSE)</f>
        <v>0</v>
      </c>
      <c r="T20" s="13">
        <f ca="1">VLOOKUP($B20,'[9]Analisys QBR By Machine Report'!$C$109:$BD$166,15,FALSE)</f>
        <v>0</v>
      </c>
      <c r="U20" s="13">
        <f ca="1">VLOOKUP($B20,'[9]Analisys QBR By Machine Report'!$C$109:$BD$166,16,FALSE)</f>
        <v>0</v>
      </c>
      <c r="V20" s="13">
        <f ca="1">VLOOKUP($B20,'[9]Analisys QBR By Machine Report'!$C$109:$BD$166,17,FALSE)</f>
        <v>0</v>
      </c>
      <c r="W20" s="13">
        <f ca="1">VLOOKUP($B20,'[9]Analisys QBR By Machine Report'!$C$109:$BD$166,18,FALSE)</f>
        <v>0</v>
      </c>
      <c r="X20" s="13">
        <f ca="1">VLOOKUP($B20,'[9]Analisys QBR By Machine Report'!$C$109:$BD$166,19,FALSE)</f>
        <v>0</v>
      </c>
      <c r="Y20" s="13">
        <f ca="1">VLOOKUP($B20,'[9]Analisys QBR By Machine Report'!$C$109:$BD$166,20,FALSE)</f>
        <v>0</v>
      </c>
      <c r="Z20" s="13">
        <f ca="1">VLOOKUP($B20,'[9]Analisys QBR By Machine Report'!$C$109:$BD$166,21,FALSE)</f>
        <v>1250</v>
      </c>
      <c r="AA20" s="13">
        <f ca="1">VLOOKUP($B20,'[9]Analisys QBR By Machine Report'!$C$109:$BD$166,22,FALSE)</f>
        <v>715</v>
      </c>
      <c r="AB20" s="13">
        <f ca="1">VLOOKUP($B20,'[9]Analisys QBR By Machine Report'!$C$109:$BD$166,23,FALSE)</f>
        <v>210</v>
      </c>
      <c r="AC20" s="13">
        <f ca="1">VLOOKUP($B20,'[9]Analisys QBR By Machine Report'!$C$109:$BD$166,24,FALSE)</f>
        <v>235</v>
      </c>
      <c r="AD20" s="13">
        <f ca="1">VLOOKUP($B20,'[9]Analisys QBR By Machine Report'!$C$109:$BD$166,25,FALSE)</f>
        <v>0</v>
      </c>
      <c r="AE20" s="13">
        <f ca="1">VLOOKUP($B20,'[9]Analisys QBR By Machine Report'!$C$109:$BD$166,26,FALSE)</f>
        <v>90</v>
      </c>
      <c r="AF20" s="13">
        <f ca="1">VLOOKUP($B20,'[9]Analisys QBR By Machine Report'!$C$109:$BD$166,27,FALSE)</f>
        <v>0</v>
      </c>
      <c r="AG20" s="13">
        <f ca="1">VLOOKUP($B20,'[9]Analisys QBR By Machine Report'!$C$109:$BD$166,28,FALSE)</f>
        <v>0</v>
      </c>
      <c r="AH20" s="13">
        <f ca="1">VLOOKUP($B20,'[9]Analisys QBR By Machine Report'!$C$109:$BD$166,29,FALSE)</f>
        <v>0</v>
      </c>
      <c r="AI20" s="13">
        <f ca="1">VLOOKUP($B20,'[9]Analisys QBR By Machine Report'!$C$109:$BD$166,30,FALSE)</f>
        <v>1020</v>
      </c>
      <c r="AJ20" s="13">
        <f ca="1">VLOOKUP($B20,'[9]Analisys QBR By Machine Report'!$C$109:$BD$166,31,FALSE)</f>
        <v>0</v>
      </c>
      <c r="AK20" s="13">
        <f ca="1">VLOOKUP($B20,'[9]Analisys QBR By Machine Report'!$C$109:$BD$166,32,FALSE)</f>
        <v>0</v>
      </c>
      <c r="AL20" s="13">
        <f ca="1">VLOOKUP($B20,'[9]Analisys QBR By Machine Report'!$C$109:$BD$166,33,FALSE)</f>
        <v>390</v>
      </c>
      <c r="AM20" s="13">
        <f ca="1">VLOOKUP($B20,'[9]Analisys QBR By Machine Report'!$C$109:$BD$166,34,FALSE)</f>
        <v>0</v>
      </c>
      <c r="AN20" s="13">
        <f ca="1">VLOOKUP($B20,'[9]Analisys QBR By Machine Report'!$C$109:$BD$166,35,FALSE)</f>
        <v>300</v>
      </c>
      <c r="AO20" s="13">
        <f ca="1">VLOOKUP($B20,'[9]Analisys QBR By Machine Report'!$C$109:$BD$166,36,FALSE)</f>
        <v>0</v>
      </c>
      <c r="AP20" s="13">
        <f ca="1">VLOOKUP($B20,'[9]Analisys QBR By Machine Report'!$C$109:$BD$166,37,FALSE)</f>
        <v>0</v>
      </c>
      <c r="AQ20" s="13">
        <f ca="1">VLOOKUP($B20,'[9]Analisys QBR By Machine Report'!$C$109:$BD$166,38,FALSE)</f>
        <v>0</v>
      </c>
      <c r="AR20" s="13">
        <f ca="1">VLOOKUP($B20,'[9]Analisys QBR By Machine Report'!$C$109:$BD$166,39,FALSE)</f>
        <v>25</v>
      </c>
      <c r="AS20" s="13">
        <f ca="1">VLOOKUP($B20,'[9]Analisys QBR By Machine Report'!$C$109:$BD$166,40,FALSE)</f>
        <v>210</v>
      </c>
      <c r="AT20" s="13">
        <f ca="1">VLOOKUP($B20,'[9]Analisys QBR By Machine Report'!$C$109:$BD$166,41,FALSE)</f>
        <v>0</v>
      </c>
      <c r="AU20" s="13">
        <f ca="1">VLOOKUP($B20,'[9]Analisys QBR By Machine Report'!$C$109:$BD$166,42,FALSE)</f>
        <v>0</v>
      </c>
      <c r="AV20" s="13">
        <f ca="1">VLOOKUP($B20,'[9]Analisys QBR By Machine Report'!$C$109:$BD$166,43,FALSE)</f>
        <v>0</v>
      </c>
      <c r="AW20" s="13">
        <f ca="1">VLOOKUP($B20,'[9]Analisys QBR By Machine Report'!$C$109:$BD$166,44,FALSE)</f>
        <v>0</v>
      </c>
      <c r="AX20" s="13">
        <f ca="1">VLOOKUP($B20,'[9]Analisys QBR By Machine Report'!$C$109:$BD$166,45,FALSE)</f>
        <v>0</v>
      </c>
      <c r="AY20" s="13">
        <f ca="1">VLOOKUP($B20,'[9]Analisys QBR By Machine Report'!$C$109:$BD$166,46,FALSE)</f>
        <v>0</v>
      </c>
      <c r="AZ20" s="13">
        <f ca="1">VLOOKUP($B20,'[9]Analisys QBR By Machine Report'!$C$109:$BD$166,47,FALSE)</f>
        <v>95</v>
      </c>
      <c r="BA20" s="13">
        <f ca="1">VLOOKUP($B20,'[9]Analisys QBR By Machine Report'!$C$109:$BD$166,48,FALSE)</f>
        <v>0</v>
      </c>
      <c r="BB20" s="13">
        <f ca="1">VLOOKUP($B20,'[9]Analisys QBR By Machine Report'!$C$109:$BD$166,49,FALSE)</f>
        <v>0</v>
      </c>
      <c r="BC20" s="13">
        <f ca="1">VLOOKUP($B20,'[9]Analisys QBR By Machine Report'!$C$109:$BD$166,50,FALSE)</f>
        <v>0</v>
      </c>
      <c r="BD20" s="13">
        <f ca="1">VLOOKUP($B20,'[9]Analisys QBR By Machine Report'!$C$109:$BD$166,51,FALSE)</f>
        <v>24793</v>
      </c>
      <c r="BE20" s="13">
        <f ca="1">VLOOKUP($B20,'[9]Analisys QBR By Machine Report'!$C$109:$BD$166,52,FALSE)</f>
        <v>128</v>
      </c>
      <c r="BF20" s="13">
        <f ca="1">VLOOKUP($B20,'[9]Analisys QBR By Machine Report'!$C$109:$BD$166,53,FALSE)</f>
        <v>24665</v>
      </c>
    </row>
    <row r="21" spans="1:58" x14ac:dyDescent="0.25">
      <c r="A21" s="12" t="s">
        <v>77</v>
      </c>
      <c r="B21" s="13">
        <f ca="1">VLOOKUP($B21,'[9]Analisys QBR By Machine Report'!$C$109:$BD$166,2,FALSE)</f>
        <v>30240</v>
      </c>
      <c r="C21" s="14">
        <f ca="1">VLOOKUP($B21,[9]Dasboard_QBR_Report!$B$109:$BL$166,3,FALSE)</f>
        <v>10080</v>
      </c>
      <c r="D21" s="13">
        <f ca="1">VLOOKUP($B21,'[9]Analisys QBR By Machine Report'!$C$109:$BD$166,3,FALSE)</f>
        <v>19530</v>
      </c>
      <c r="E21" s="14">
        <f ca="1">VLOOKUP($B21,[9]Dasboard_QBR_Report!$B$109:$BL$166,5,FALSE)</f>
        <v>-630</v>
      </c>
      <c r="F21" s="13">
        <f t="shared" ca="1" si="0"/>
        <v>10710</v>
      </c>
      <c r="G21" s="13">
        <f t="shared" ca="1" si="1"/>
        <v>1120</v>
      </c>
      <c r="H21" s="13">
        <f ca="1">VLOOKUP($B21,'[9]Analisys QBR By Machine Report'!$C$109:$BD$166,4,FALSE)</f>
        <v>1120</v>
      </c>
      <c r="I21" s="13">
        <f ca="1">VLOOKUP($B21,'[9]Analisys QBR By Machine Report'!$C$109:$BD$166,5,FALSE)</f>
        <v>0</v>
      </c>
      <c r="J21" s="13">
        <f ca="1">VLOOKUP($B21,'[9]Analisys QBR By Machine Report'!$C$109:$BD$166,6,FALSE)</f>
        <v>1120</v>
      </c>
      <c r="K21" s="13">
        <f ca="1">VLOOKUP($B21,'[9]Analisys QBR By Machine Report'!$C$109:$BD$166,7,FALSE)</f>
        <v>0</v>
      </c>
      <c r="L21" s="13">
        <f ca="1">VLOOKUP($B21,'[9]Analisys QBR By Machine Report'!$C$109:$BD$166,8,FALSE)</f>
        <v>9590</v>
      </c>
      <c r="M21" s="13">
        <f ca="1">VLOOKUP($B21,'[9]Analisys QBR By Machine Report'!$C$109:$BD$166,9,FALSE)</f>
        <v>3515</v>
      </c>
      <c r="N21" s="13">
        <f ca="1">VLOOKUP($B21,[9]Dasboard_QBR_Report!$B$109:$BL$166,18,FALSE)</f>
        <v>6075</v>
      </c>
      <c r="O21" s="13">
        <f ca="1">VLOOKUP($B21,'[9]Analisys QBR By Machine Report'!$C$109:$BD$166,10,FALSE)</f>
        <v>1185</v>
      </c>
      <c r="P21" s="13">
        <f ca="1">VLOOKUP($B21,'[9]Analisys QBR By Machine Report'!$C$109:$BD$166,11,FALSE)</f>
        <v>690</v>
      </c>
      <c r="Q21" s="13">
        <f ca="1">VLOOKUP($B21,'[9]Analisys QBR By Machine Report'!$C$109:$BD$166,12,FALSE)</f>
        <v>0</v>
      </c>
      <c r="R21" s="13">
        <f ca="1">VLOOKUP($B21,'[9]Analisys QBR By Machine Report'!$C$109:$BD$166,13,FALSE)</f>
        <v>495</v>
      </c>
      <c r="S21" s="13">
        <f ca="1">VLOOKUP($B21,'[9]Analisys QBR By Machine Report'!$C$109:$BD$166,14,FALSE)</f>
        <v>0</v>
      </c>
      <c r="T21" s="13">
        <f ca="1">VLOOKUP($B21,'[9]Analisys QBR By Machine Report'!$C$109:$BD$166,15,FALSE)</f>
        <v>50</v>
      </c>
      <c r="U21" s="13">
        <f ca="1">VLOOKUP($B21,'[9]Analisys QBR By Machine Report'!$C$109:$BD$166,16,FALSE)</f>
        <v>35</v>
      </c>
      <c r="V21" s="13">
        <f ca="1">VLOOKUP($B21,'[9]Analisys QBR By Machine Report'!$C$109:$BD$166,17,FALSE)</f>
        <v>15</v>
      </c>
      <c r="W21" s="13">
        <f ca="1">VLOOKUP($B21,'[9]Analisys QBR By Machine Report'!$C$109:$BD$166,18,FALSE)</f>
        <v>0</v>
      </c>
      <c r="X21" s="13">
        <f ca="1">VLOOKUP($B21,'[9]Analisys QBR By Machine Report'!$C$109:$BD$166,19,FALSE)</f>
        <v>0</v>
      </c>
      <c r="Y21" s="13">
        <f ca="1">VLOOKUP($B21,'[9]Analisys QBR By Machine Report'!$C$109:$BD$166,20,FALSE)</f>
        <v>0</v>
      </c>
      <c r="Z21" s="13">
        <f ca="1">VLOOKUP($B21,'[9]Analisys QBR By Machine Report'!$C$109:$BD$166,21,FALSE)</f>
        <v>1305</v>
      </c>
      <c r="AA21" s="13">
        <f ca="1">VLOOKUP($B21,'[9]Analisys QBR By Machine Report'!$C$109:$BD$166,22,FALSE)</f>
        <v>690</v>
      </c>
      <c r="AB21" s="13">
        <f ca="1">VLOOKUP($B21,'[9]Analisys QBR By Machine Report'!$C$109:$BD$166,23,FALSE)</f>
        <v>210</v>
      </c>
      <c r="AC21" s="13">
        <f ca="1">VLOOKUP($B21,'[9]Analisys QBR By Machine Report'!$C$109:$BD$166,24,FALSE)</f>
        <v>295</v>
      </c>
      <c r="AD21" s="13">
        <f ca="1">VLOOKUP($B21,'[9]Analisys QBR By Machine Report'!$C$109:$BD$166,25,FALSE)</f>
        <v>0</v>
      </c>
      <c r="AE21" s="13">
        <f ca="1">VLOOKUP($B21,'[9]Analisys QBR By Machine Report'!$C$109:$BD$166,26,FALSE)</f>
        <v>110</v>
      </c>
      <c r="AF21" s="13">
        <f ca="1">VLOOKUP($B21,'[9]Analisys QBR By Machine Report'!$C$109:$BD$166,27,FALSE)</f>
        <v>1965</v>
      </c>
      <c r="AG21" s="13">
        <f ca="1">VLOOKUP($B21,'[9]Analisys QBR By Machine Report'!$C$109:$BD$166,28,FALSE)</f>
        <v>0</v>
      </c>
      <c r="AH21" s="13">
        <f ca="1">VLOOKUP($B21,'[9]Analisys QBR By Machine Report'!$C$109:$BD$166,29,FALSE)</f>
        <v>1965</v>
      </c>
      <c r="AI21" s="13">
        <f ca="1">VLOOKUP($B21,'[9]Analisys QBR By Machine Report'!$C$109:$BD$166,30,FALSE)</f>
        <v>1570</v>
      </c>
      <c r="AJ21" s="13">
        <f ca="1">VLOOKUP($B21,'[9]Analisys QBR By Machine Report'!$C$109:$BD$166,31,FALSE)</f>
        <v>0</v>
      </c>
      <c r="AK21" s="13">
        <f ca="1">VLOOKUP($B21,'[9]Analisys QBR By Machine Report'!$C$109:$BD$166,32,FALSE)</f>
        <v>0</v>
      </c>
      <c r="AL21" s="13">
        <f ca="1">VLOOKUP($B21,'[9]Analisys QBR By Machine Report'!$C$109:$BD$166,33,FALSE)</f>
        <v>450</v>
      </c>
      <c r="AM21" s="13">
        <f ca="1">VLOOKUP($B21,'[9]Analisys QBR By Machine Report'!$C$109:$BD$166,34,FALSE)</f>
        <v>0</v>
      </c>
      <c r="AN21" s="13">
        <f ca="1">VLOOKUP($B21,'[9]Analisys QBR By Machine Report'!$C$109:$BD$166,35,FALSE)</f>
        <v>385</v>
      </c>
      <c r="AO21" s="13">
        <f ca="1">VLOOKUP($B21,'[9]Analisys QBR By Machine Report'!$C$109:$BD$166,36,FALSE)</f>
        <v>0</v>
      </c>
      <c r="AP21" s="13">
        <f ca="1">VLOOKUP($B21,'[9]Analisys QBR By Machine Report'!$C$109:$BD$166,37,FALSE)</f>
        <v>0</v>
      </c>
      <c r="AQ21" s="13">
        <f ca="1">VLOOKUP($B21,'[9]Analisys QBR By Machine Report'!$C$109:$BD$166,38,FALSE)</f>
        <v>0</v>
      </c>
      <c r="AR21" s="13">
        <f ca="1">VLOOKUP($B21,'[9]Analisys QBR By Machine Report'!$C$109:$BD$166,39,FALSE)</f>
        <v>0</v>
      </c>
      <c r="AS21" s="13">
        <f ca="1">VLOOKUP($B21,'[9]Analisys QBR By Machine Report'!$C$109:$BD$166,40,FALSE)</f>
        <v>375</v>
      </c>
      <c r="AT21" s="13">
        <f ca="1">VLOOKUP($B21,'[9]Analisys QBR By Machine Report'!$C$109:$BD$166,41,FALSE)</f>
        <v>0</v>
      </c>
      <c r="AU21" s="13">
        <f ca="1">VLOOKUP($B21,'[9]Analisys QBR By Machine Report'!$C$109:$BD$166,42,FALSE)</f>
        <v>0</v>
      </c>
      <c r="AV21" s="13">
        <f ca="1">VLOOKUP($B21,'[9]Analisys QBR By Machine Report'!$C$109:$BD$166,43,FALSE)</f>
        <v>0</v>
      </c>
      <c r="AW21" s="13">
        <f ca="1">VLOOKUP($B21,'[9]Analisys QBR By Machine Report'!$C$109:$BD$166,44,FALSE)</f>
        <v>0</v>
      </c>
      <c r="AX21" s="13">
        <f ca="1">VLOOKUP($B21,'[9]Analisys QBR By Machine Report'!$C$109:$BD$166,45,FALSE)</f>
        <v>0</v>
      </c>
      <c r="AY21" s="13">
        <f ca="1">VLOOKUP($B21,'[9]Analisys QBR By Machine Report'!$C$109:$BD$166,46,FALSE)</f>
        <v>0</v>
      </c>
      <c r="AZ21" s="13">
        <f ca="1">VLOOKUP($B21,'[9]Analisys QBR By Machine Report'!$C$109:$BD$166,47,FALSE)</f>
        <v>360</v>
      </c>
      <c r="BA21" s="13">
        <f ca="1">VLOOKUP($B21,'[9]Analisys QBR By Machine Report'!$C$109:$BD$166,48,FALSE)</f>
        <v>0</v>
      </c>
      <c r="BB21" s="13">
        <f ca="1">VLOOKUP($B21,'[9]Analisys QBR By Machine Report'!$C$109:$BD$166,49,FALSE)</f>
        <v>0</v>
      </c>
      <c r="BC21" s="13">
        <f ca="1">VLOOKUP($B21,'[9]Analisys QBR By Machine Report'!$C$109:$BD$166,50,FALSE)</f>
        <v>0</v>
      </c>
      <c r="BD21" s="13">
        <f ca="1">VLOOKUP($B21,'[9]Analisys QBR By Machine Report'!$C$109:$BD$166,51,FALSE)</f>
        <v>1203945</v>
      </c>
      <c r="BE21" s="13">
        <f ca="1">VLOOKUP($B21,'[9]Analisys QBR By Machine Report'!$C$109:$BD$166,52,FALSE)</f>
        <v>7425</v>
      </c>
      <c r="BF21" s="13">
        <f ca="1">VLOOKUP($B21,'[9]Analisys QBR By Machine Report'!$C$109:$BD$166,53,FALSE)</f>
        <v>1196520</v>
      </c>
    </row>
    <row r="22" spans="1:58" x14ac:dyDescent="0.25">
      <c r="A22" s="9" t="s">
        <v>78</v>
      </c>
      <c r="B22" s="10">
        <f ca="1">VLOOKUP($B22,'[9]Analisys QBR By Machine Report'!$C$109:$BD$166,2,FALSE)</f>
        <v>30240</v>
      </c>
      <c r="C22" s="11">
        <f ca="1">VLOOKUP($B22,[9]Dasboard_QBR_Report!$B$109:$BL$166,3,FALSE)</f>
        <v>19530</v>
      </c>
      <c r="D22" s="10">
        <f ca="1">VLOOKUP($B22,'[9]Analisys QBR By Machine Report'!$C$109:$BD$166,3,FALSE)</f>
        <v>24120</v>
      </c>
      <c r="E22" s="11">
        <f ca="1">VLOOKUP($B22,[9]Dasboard_QBR_Report!$B$109:$BL$166,5,FALSE)</f>
        <v>13410</v>
      </c>
      <c r="F22" s="10">
        <f t="shared" ca="1" si="0"/>
        <v>6120</v>
      </c>
      <c r="G22" s="10">
        <f t="shared" ca="1" si="1"/>
        <v>545</v>
      </c>
      <c r="H22" s="10">
        <f ca="1">VLOOKUP($B22,'[9]Analisys QBR By Machine Report'!$C$109:$BD$166,4,FALSE)</f>
        <v>545</v>
      </c>
      <c r="I22" s="10">
        <f ca="1">VLOOKUP($B22,'[9]Analisys QBR By Machine Report'!$C$109:$BD$166,5,FALSE)</f>
        <v>54</v>
      </c>
      <c r="J22" s="10">
        <f ca="1">VLOOKUP($B22,'[9]Analisys QBR By Machine Report'!$C$109:$BD$166,6,FALSE)</f>
        <v>491</v>
      </c>
      <c r="K22" s="10">
        <f ca="1">VLOOKUP($B22,'[9]Analisys QBR By Machine Report'!$C$109:$BD$166,7,FALSE)</f>
        <v>0</v>
      </c>
      <c r="L22" s="10">
        <f ca="1">VLOOKUP($B22,'[9]Analisys QBR By Machine Report'!$C$109:$BD$166,8,FALSE)</f>
        <v>5575</v>
      </c>
      <c r="M22" s="10">
        <f ca="1">VLOOKUP($B22,'[9]Analisys QBR By Machine Report'!$C$109:$BD$166,9,FALSE)</f>
        <v>2215</v>
      </c>
      <c r="N22" s="10">
        <f ca="1">VLOOKUP($B22,[9]Dasboard_QBR_Report!$B$109:$BL$166,18,FALSE)</f>
        <v>3360</v>
      </c>
      <c r="O22" s="10">
        <f ca="1">VLOOKUP($B22,'[9]Analisys QBR By Machine Report'!$C$109:$BD$166,10,FALSE)</f>
        <v>226</v>
      </c>
      <c r="P22" s="10">
        <f ca="1">VLOOKUP($B22,'[9]Analisys QBR By Machine Report'!$C$109:$BD$166,11,FALSE)</f>
        <v>226</v>
      </c>
      <c r="Q22" s="10">
        <f ca="1">VLOOKUP($B22,'[9]Analisys QBR By Machine Report'!$C$109:$BD$166,12,FALSE)</f>
        <v>0</v>
      </c>
      <c r="R22" s="10">
        <f ca="1">VLOOKUP($B22,'[9]Analisys QBR By Machine Report'!$C$109:$BD$166,13,FALSE)</f>
        <v>0</v>
      </c>
      <c r="S22" s="10">
        <f ca="1">VLOOKUP($B22,'[9]Analisys QBR By Machine Report'!$C$109:$BD$166,14,FALSE)</f>
        <v>0</v>
      </c>
      <c r="T22" s="10">
        <f ca="1">VLOOKUP($B22,'[9]Analisys QBR By Machine Report'!$C$109:$BD$166,15,FALSE)</f>
        <v>55</v>
      </c>
      <c r="U22" s="10">
        <f ca="1">VLOOKUP($B22,'[9]Analisys QBR By Machine Report'!$C$109:$BD$166,16,FALSE)</f>
        <v>55</v>
      </c>
      <c r="V22" s="10">
        <f ca="1">VLOOKUP($B22,'[9]Analisys QBR By Machine Report'!$C$109:$BD$166,17,FALSE)</f>
        <v>0</v>
      </c>
      <c r="W22" s="10">
        <f ca="1">VLOOKUP($B22,'[9]Analisys QBR By Machine Report'!$C$109:$BD$166,18,FALSE)</f>
        <v>0</v>
      </c>
      <c r="X22" s="10">
        <f ca="1">VLOOKUP($B22,'[9]Analisys QBR By Machine Report'!$C$109:$BD$166,19,FALSE)</f>
        <v>0</v>
      </c>
      <c r="Y22" s="10">
        <f ca="1">VLOOKUP($B22,'[9]Analisys QBR By Machine Report'!$C$109:$BD$166,20,FALSE)</f>
        <v>0</v>
      </c>
      <c r="Z22" s="10">
        <f ca="1">VLOOKUP($B22,'[9]Analisys QBR By Machine Report'!$C$109:$BD$166,21,FALSE)</f>
        <v>2167</v>
      </c>
      <c r="AA22" s="10">
        <f ca="1">VLOOKUP($B22,'[9]Analisys QBR By Machine Report'!$C$109:$BD$166,22,FALSE)</f>
        <v>185</v>
      </c>
      <c r="AB22" s="10">
        <f ca="1">VLOOKUP($B22,'[9]Analisys QBR By Machine Report'!$C$109:$BD$166,23,FALSE)</f>
        <v>1742</v>
      </c>
      <c r="AC22" s="10">
        <f ca="1">VLOOKUP($B22,'[9]Analisys QBR By Machine Report'!$C$109:$BD$166,24,FALSE)</f>
        <v>0</v>
      </c>
      <c r="AD22" s="10">
        <f ca="1">VLOOKUP($B22,'[9]Analisys QBR By Machine Report'!$C$109:$BD$166,25,FALSE)</f>
        <v>0</v>
      </c>
      <c r="AE22" s="10">
        <f ca="1">VLOOKUP($B22,'[9]Analisys QBR By Machine Report'!$C$109:$BD$166,26,FALSE)</f>
        <v>240</v>
      </c>
      <c r="AF22" s="10">
        <f ca="1">VLOOKUP($B22,'[9]Analisys QBR By Machine Report'!$C$109:$BD$166,27,FALSE)</f>
        <v>0</v>
      </c>
      <c r="AG22" s="10">
        <f ca="1">VLOOKUP($B22,'[9]Analisys QBR By Machine Report'!$C$109:$BD$166,28,FALSE)</f>
        <v>0</v>
      </c>
      <c r="AH22" s="10">
        <f ca="1">VLOOKUP($B22,'[9]Analisys QBR By Machine Report'!$C$109:$BD$166,29,FALSE)</f>
        <v>0</v>
      </c>
      <c r="AI22" s="10">
        <f ca="1">VLOOKUP($B22,'[9]Analisys QBR By Machine Report'!$C$109:$BD$166,30,FALSE)</f>
        <v>912</v>
      </c>
      <c r="AJ22" s="10">
        <f ca="1">VLOOKUP($B22,'[9]Analisys QBR By Machine Report'!$C$109:$BD$166,31,FALSE)</f>
        <v>155</v>
      </c>
      <c r="AK22" s="10">
        <f ca="1">VLOOKUP($B22,'[9]Analisys QBR By Machine Report'!$C$109:$BD$166,32,FALSE)</f>
        <v>0</v>
      </c>
      <c r="AL22" s="10">
        <f ca="1">VLOOKUP($B22,'[9]Analisys QBR By Machine Report'!$C$109:$BD$166,33,FALSE)</f>
        <v>203</v>
      </c>
      <c r="AM22" s="10">
        <f ca="1">VLOOKUP($B22,'[9]Analisys QBR By Machine Report'!$C$109:$BD$166,34,FALSE)</f>
        <v>0</v>
      </c>
      <c r="AN22" s="10">
        <f ca="1">VLOOKUP($B22,'[9]Analisys QBR By Machine Report'!$C$109:$BD$166,35,FALSE)</f>
        <v>100</v>
      </c>
      <c r="AO22" s="10">
        <f ca="1">VLOOKUP($B22,'[9]Analisys QBR By Machine Report'!$C$109:$BD$166,36,FALSE)</f>
        <v>0</v>
      </c>
      <c r="AP22" s="10">
        <f ca="1">VLOOKUP($B22,'[9]Analisys QBR By Machine Report'!$C$109:$BD$166,37,FALSE)</f>
        <v>0</v>
      </c>
      <c r="AQ22" s="10">
        <f ca="1">VLOOKUP($B22,'[9]Analisys QBR By Machine Report'!$C$109:$BD$166,38,FALSE)</f>
        <v>0</v>
      </c>
      <c r="AR22" s="10">
        <f ca="1">VLOOKUP($B22,'[9]Analisys QBR By Machine Report'!$C$109:$BD$166,39,FALSE)</f>
        <v>0</v>
      </c>
      <c r="AS22" s="10">
        <f ca="1">VLOOKUP($B22,'[9]Analisys QBR By Machine Report'!$C$109:$BD$166,40,FALSE)</f>
        <v>0</v>
      </c>
      <c r="AT22" s="10">
        <f ca="1">VLOOKUP($B22,'[9]Analisys QBR By Machine Report'!$C$109:$BD$166,41,FALSE)</f>
        <v>0</v>
      </c>
      <c r="AU22" s="10">
        <f ca="1">VLOOKUP($B22,'[9]Analisys QBR By Machine Report'!$C$109:$BD$166,42,FALSE)</f>
        <v>0</v>
      </c>
      <c r="AV22" s="10">
        <f ca="1">VLOOKUP($B22,'[9]Analisys QBR By Machine Report'!$C$109:$BD$166,43,FALSE)</f>
        <v>0</v>
      </c>
      <c r="AW22" s="10">
        <f ca="1">VLOOKUP($B22,'[9]Analisys QBR By Machine Report'!$C$109:$BD$166,44,FALSE)</f>
        <v>0</v>
      </c>
      <c r="AX22" s="10">
        <f ca="1">VLOOKUP($B22,'[9]Analisys QBR By Machine Report'!$C$109:$BD$166,45,FALSE)</f>
        <v>0</v>
      </c>
      <c r="AY22" s="10">
        <f ca="1">VLOOKUP($B22,'[9]Analisys QBR By Machine Report'!$C$109:$BD$166,46,FALSE)</f>
        <v>0</v>
      </c>
      <c r="AZ22" s="10">
        <f ca="1">VLOOKUP($B22,'[9]Analisys QBR By Machine Report'!$C$109:$BD$166,47,FALSE)</f>
        <v>17</v>
      </c>
      <c r="BA22" s="10">
        <f ca="1">VLOOKUP($B22,'[9]Analisys QBR By Machine Report'!$C$109:$BD$166,48,FALSE)</f>
        <v>392</v>
      </c>
      <c r="BB22" s="10">
        <f ca="1">VLOOKUP($B22,'[9]Analisys QBR By Machine Report'!$C$109:$BD$166,49,FALSE)</f>
        <v>0</v>
      </c>
      <c r="BC22" s="10">
        <f ca="1">VLOOKUP($B22,'[9]Analisys QBR By Machine Report'!$C$109:$BD$166,50,FALSE)</f>
        <v>45</v>
      </c>
      <c r="BD22" s="10">
        <f ca="1">VLOOKUP($B22,'[9]Analisys QBR By Machine Report'!$C$109:$BD$166,51,FALSE)</f>
        <v>10230</v>
      </c>
      <c r="BE22" s="10">
        <f ca="1">VLOOKUP($B22,'[9]Analisys QBR By Machine Report'!$C$109:$BD$166,52,FALSE)</f>
        <v>2.85</v>
      </c>
      <c r="BF22" s="10">
        <f ca="1">VLOOKUP($B22,'[9]Analisys QBR By Machine Report'!$C$109:$BD$166,53,FALSE)</f>
        <v>10227.15</v>
      </c>
    </row>
    <row r="23" spans="1:58" x14ac:dyDescent="0.25">
      <c r="A23" s="12" t="s">
        <v>79</v>
      </c>
      <c r="B23" s="13">
        <f ca="1">VLOOKUP($B23,'[9]Analisys QBR By Machine Report'!$C$109:$BD$166,2,FALSE)</f>
        <v>30240</v>
      </c>
      <c r="C23" s="14">
        <f ca="1">VLOOKUP($B23,[9]Dasboard_QBR_Report!$B$109:$BL$166,3,FALSE)</f>
        <v>19530</v>
      </c>
      <c r="D23" s="13">
        <f ca="1">VLOOKUP($B23,'[9]Analisys QBR By Machine Report'!$C$109:$BD$166,3,FALSE)</f>
        <v>24120</v>
      </c>
      <c r="E23" s="14">
        <f ca="1">VLOOKUP($B23,[9]Dasboard_QBR_Report!$B$109:$BL$166,5,FALSE)</f>
        <v>13410</v>
      </c>
      <c r="F23" s="13">
        <f t="shared" ca="1" si="0"/>
        <v>6120</v>
      </c>
      <c r="G23" s="13">
        <f t="shared" ca="1" si="1"/>
        <v>545</v>
      </c>
      <c r="H23" s="13">
        <f ca="1">VLOOKUP($B23,'[9]Analisys QBR By Machine Report'!$C$109:$BD$166,4,FALSE)</f>
        <v>545</v>
      </c>
      <c r="I23" s="13">
        <f ca="1">VLOOKUP($B23,'[9]Analisys QBR By Machine Report'!$C$109:$BD$166,5,FALSE)</f>
        <v>54</v>
      </c>
      <c r="J23" s="13">
        <f ca="1">VLOOKUP($B23,'[9]Analisys QBR By Machine Report'!$C$109:$BD$166,6,FALSE)</f>
        <v>491</v>
      </c>
      <c r="K23" s="13">
        <f ca="1">VLOOKUP($B23,'[9]Analisys QBR By Machine Report'!$C$109:$BD$166,7,FALSE)</f>
        <v>0</v>
      </c>
      <c r="L23" s="13">
        <f ca="1">VLOOKUP($B23,'[9]Analisys QBR By Machine Report'!$C$109:$BD$166,8,FALSE)</f>
        <v>5575</v>
      </c>
      <c r="M23" s="13">
        <f ca="1">VLOOKUP($B23,'[9]Analisys QBR By Machine Report'!$C$109:$BD$166,9,FALSE)</f>
        <v>2215</v>
      </c>
      <c r="N23" s="13">
        <f ca="1">VLOOKUP($B23,[9]Dasboard_QBR_Report!$B$109:$BL$166,18,FALSE)</f>
        <v>3360</v>
      </c>
      <c r="O23" s="13">
        <f ca="1">VLOOKUP($B23,'[9]Analisys QBR By Machine Report'!$C$109:$BD$166,10,FALSE)</f>
        <v>226</v>
      </c>
      <c r="P23" s="13">
        <f ca="1">VLOOKUP($B23,'[9]Analisys QBR By Machine Report'!$C$109:$BD$166,11,FALSE)</f>
        <v>226</v>
      </c>
      <c r="Q23" s="13">
        <f ca="1">VLOOKUP($B23,'[9]Analisys QBR By Machine Report'!$C$109:$BD$166,12,FALSE)</f>
        <v>0</v>
      </c>
      <c r="R23" s="13">
        <f ca="1">VLOOKUP($B23,'[9]Analisys QBR By Machine Report'!$C$109:$BD$166,13,FALSE)</f>
        <v>0</v>
      </c>
      <c r="S23" s="13">
        <f ca="1">VLOOKUP($B23,'[9]Analisys QBR By Machine Report'!$C$109:$BD$166,14,FALSE)</f>
        <v>0</v>
      </c>
      <c r="T23" s="13">
        <f ca="1">VLOOKUP($B23,'[9]Analisys QBR By Machine Report'!$C$109:$BD$166,15,FALSE)</f>
        <v>55</v>
      </c>
      <c r="U23" s="13">
        <f ca="1">VLOOKUP($B23,'[9]Analisys QBR By Machine Report'!$C$109:$BD$166,16,FALSE)</f>
        <v>55</v>
      </c>
      <c r="V23" s="13">
        <f ca="1">VLOOKUP($B23,'[9]Analisys QBR By Machine Report'!$C$109:$BD$166,17,FALSE)</f>
        <v>0</v>
      </c>
      <c r="W23" s="13">
        <f ca="1">VLOOKUP($B23,'[9]Analisys QBR By Machine Report'!$C$109:$BD$166,18,FALSE)</f>
        <v>0</v>
      </c>
      <c r="X23" s="13">
        <f ca="1">VLOOKUP($B23,'[9]Analisys QBR By Machine Report'!$C$109:$BD$166,19,FALSE)</f>
        <v>0</v>
      </c>
      <c r="Y23" s="13">
        <f ca="1">VLOOKUP($B23,'[9]Analisys QBR By Machine Report'!$C$109:$BD$166,20,FALSE)</f>
        <v>0</v>
      </c>
      <c r="Z23" s="13">
        <f ca="1">VLOOKUP($B23,'[9]Analisys QBR By Machine Report'!$C$109:$BD$166,21,FALSE)</f>
        <v>2167</v>
      </c>
      <c r="AA23" s="13">
        <f ca="1">VLOOKUP($B23,'[9]Analisys QBR By Machine Report'!$C$109:$BD$166,22,FALSE)</f>
        <v>185</v>
      </c>
      <c r="AB23" s="13">
        <f ca="1">VLOOKUP($B23,'[9]Analisys QBR By Machine Report'!$C$109:$BD$166,23,FALSE)</f>
        <v>1742</v>
      </c>
      <c r="AC23" s="13">
        <f ca="1">VLOOKUP($B23,'[9]Analisys QBR By Machine Report'!$C$109:$BD$166,24,FALSE)</f>
        <v>0</v>
      </c>
      <c r="AD23" s="13">
        <f ca="1">VLOOKUP($B23,'[9]Analisys QBR By Machine Report'!$C$109:$BD$166,25,FALSE)</f>
        <v>0</v>
      </c>
      <c r="AE23" s="13">
        <f ca="1">VLOOKUP($B23,'[9]Analisys QBR By Machine Report'!$C$109:$BD$166,26,FALSE)</f>
        <v>240</v>
      </c>
      <c r="AF23" s="13">
        <f ca="1">VLOOKUP($B23,'[9]Analisys QBR By Machine Report'!$C$109:$BD$166,27,FALSE)</f>
        <v>0</v>
      </c>
      <c r="AG23" s="13">
        <f ca="1">VLOOKUP($B23,'[9]Analisys QBR By Machine Report'!$C$109:$BD$166,28,FALSE)</f>
        <v>0</v>
      </c>
      <c r="AH23" s="13">
        <f ca="1">VLOOKUP($B23,'[9]Analisys QBR By Machine Report'!$C$109:$BD$166,29,FALSE)</f>
        <v>0</v>
      </c>
      <c r="AI23" s="13">
        <f ca="1">VLOOKUP($B23,'[9]Analisys QBR By Machine Report'!$C$109:$BD$166,30,FALSE)</f>
        <v>912</v>
      </c>
      <c r="AJ23" s="13">
        <f ca="1">VLOOKUP($B23,'[9]Analisys QBR By Machine Report'!$C$109:$BD$166,31,FALSE)</f>
        <v>155</v>
      </c>
      <c r="AK23" s="13">
        <f ca="1">VLOOKUP($B23,'[9]Analisys QBR By Machine Report'!$C$109:$BD$166,32,FALSE)</f>
        <v>0</v>
      </c>
      <c r="AL23" s="13">
        <f ca="1">VLOOKUP($B23,'[9]Analisys QBR By Machine Report'!$C$109:$BD$166,33,FALSE)</f>
        <v>203</v>
      </c>
      <c r="AM23" s="13">
        <f ca="1">VLOOKUP($B23,'[9]Analisys QBR By Machine Report'!$C$109:$BD$166,34,FALSE)</f>
        <v>0</v>
      </c>
      <c r="AN23" s="13">
        <f ca="1">VLOOKUP($B23,'[9]Analisys QBR By Machine Report'!$C$109:$BD$166,35,FALSE)</f>
        <v>100</v>
      </c>
      <c r="AO23" s="13">
        <f ca="1">VLOOKUP($B23,'[9]Analisys QBR By Machine Report'!$C$109:$BD$166,36,FALSE)</f>
        <v>0</v>
      </c>
      <c r="AP23" s="13">
        <f ca="1">VLOOKUP($B23,'[9]Analisys QBR By Machine Report'!$C$109:$BD$166,37,FALSE)</f>
        <v>0</v>
      </c>
      <c r="AQ23" s="13">
        <f ca="1">VLOOKUP($B23,'[9]Analisys QBR By Machine Report'!$C$109:$BD$166,38,FALSE)</f>
        <v>0</v>
      </c>
      <c r="AR23" s="13">
        <f ca="1">VLOOKUP($B23,'[9]Analisys QBR By Machine Report'!$C$109:$BD$166,39,FALSE)</f>
        <v>0</v>
      </c>
      <c r="AS23" s="13">
        <f ca="1">VLOOKUP($B23,'[9]Analisys QBR By Machine Report'!$C$109:$BD$166,40,FALSE)</f>
        <v>0</v>
      </c>
      <c r="AT23" s="13">
        <f ca="1">VLOOKUP($B23,'[9]Analisys QBR By Machine Report'!$C$109:$BD$166,41,FALSE)</f>
        <v>0</v>
      </c>
      <c r="AU23" s="13">
        <f ca="1">VLOOKUP($B23,'[9]Analisys QBR By Machine Report'!$C$109:$BD$166,42,FALSE)</f>
        <v>0</v>
      </c>
      <c r="AV23" s="13">
        <f ca="1">VLOOKUP($B23,'[9]Analisys QBR By Machine Report'!$C$109:$BD$166,43,FALSE)</f>
        <v>0</v>
      </c>
      <c r="AW23" s="13">
        <f ca="1">VLOOKUP($B23,'[9]Analisys QBR By Machine Report'!$C$109:$BD$166,44,FALSE)</f>
        <v>0</v>
      </c>
      <c r="AX23" s="13">
        <f ca="1">VLOOKUP($B23,'[9]Analisys QBR By Machine Report'!$C$109:$BD$166,45,FALSE)</f>
        <v>0</v>
      </c>
      <c r="AY23" s="13">
        <f ca="1">VLOOKUP($B23,'[9]Analisys QBR By Machine Report'!$C$109:$BD$166,46,FALSE)</f>
        <v>0</v>
      </c>
      <c r="AZ23" s="13">
        <f ca="1">VLOOKUP($B23,'[9]Analisys QBR By Machine Report'!$C$109:$BD$166,47,FALSE)</f>
        <v>17</v>
      </c>
      <c r="BA23" s="13">
        <f ca="1">VLOOKUP($B23,'[9]Analisys QBR By Machine Report'!$C$109:$BD$166,48,FALSE)</f>
        <v>392</v>
      </c>
      <c r="BB23" s="13">
        <f ca="1">VLOOKUP($B23,'[9]Analisys QBR By Machine Report'!$C$109:$BD$166,49,FALSE)</f>
        <v>0</v>
      </c>
      <c r="BC23" s="13">
        <f ca="1">VLOOKUP($B23,'[9]Analisys QBR By Machine Report'!$C$109:$BD$166,50,FALSE)</f>
        <v>45</v>
      </c>
      <c r="BD23" s="13">
        <f ca="1">VLOOKUP($B23,'[9]Analisys QBR By Machine Report'!$C$109:$BD$166,51,FALSE)</f>
        <v>10230</v>
      </c>
      <c r="BE23" s="13">
        <f ca="1">VLOOKUP($B23,'[9]Analisys QBR By Machine Report'!$C$109:$BD$166,52,FALSE)</f>
        <v>2.85</v>
      </c>
      <c r="BF23" s="13">
        <f ca="1">VLOOKUP($B23,'[9]Analisys QBR By Machine Report'!$C$109:$BD$166,53,FALSE)</f>
        <v>10227.15</v>
      </c>
    </row>
    <row r="24" spans="1:58" x14ac:dyDescent="0.25">
      <c r="A24" s="9" t="s">
        <v>80</v>
      </c>
      <c r="B24" s="10">
        <f ca="1">VLOOKUP($B24,'[9]Analisys QBR By Machine Report'!$C$109:$BD$166,2,FALSE)</f>
        <v>60480</v>
      </c>
      <c r="C24" s="11">
        <f ca="1">VLOOKUP($B24,[9]Dasboard_QBR_Report!$B$109:$BL$166,3,FALSE)</f>
        <v>39060</v>
      </c>
      <c r="D24" s="10">
        <f ca="1">VLOOKUP($B24,'[9]Analisys QBR By Machine Report'!$C$109:$BD$166,3,FALSE)</f>
        <v>50280</v>
      </c>
      <c r="E24" s="11">
        <f ca="1">VLOOKUP($B24,[9]Dasboard_QBR_Report!$B$109:$BL$166,5,FALSE)</f>
        <v>28860</v>
      </c>
      <c r="F24" s="10">
        <f t="shared" ca="1" si="0"/>
        <v>10200</v>
      </c>
      <c r="G24" s="10">
        <f t="shared" ca="1" si="1"/>
        <v>1245</v>
      </c>
      <c r="H24" s="10">
        <f ca="1">VLOOKUP($B24,'[9]Analisys QBR By Machine Report'!$C$109:$BD$166,4,FALSE)</f>
        <v>1245</v>
      </c>
      <c r="I24" s="10">
        <f ca="1">VLOOKUP($B24,'[9]Analisys QBR By Machine Report'!$C$109:$BD$166,5,FALSE)</f>
        <v>30</v>
      </c>
      <c r="J24" s="10">
        <f ca="1">VLOOKUP($B24,'[9]Analisys QBR By Machine Report'!$C$109:$BD$166,6,FALSE)</f>
        <v>1215</v>
      </c>
      <c r="K24" s="10">
        <f ca="1">VLOOKUP($B24,'[9]Analisys QBR By Machine Report'!$C$109:$BD$166,7,FALSE)</f>
        <v>0</v>
      </c>
      <c r="L24" s="10">
        <f ca="1">VLOOKUP($B24,'[9]Analisys QBR By Machine Report'!$C$109:$BD$166,8,FALSE)</f>
        <v>8955</v>
      </c>
      <c r="M24" s="10">
        <f ca="1">VLOOKUP($B24,'[9]Analisys QBR By Machine Report'!$C$109:$BD$166,9,FALSE)</f>
        <v>3090</v>
      </c>
      <c r="N24" s="10">
        <f ca="1">VLOOKUP($B24,[9]Dasboard_QBR_Report!$B$109:$BL$166,18,FALSE)</f>
        <v>5865</v>
      </c>
      <c r="O24" s="10">
        <f ca="1">VLOOKUP($B24,'[9]Analisys QBR By Machine Report'!$C$109:$BD$166,10,FALSE)</f>
        <v>785</v>
      </c>
      <c r="P24" s="10">
        <f ca="1">VLOOKUP($B24,'[9]Analisys QBR By Machine Report'!$C$109:$BD$166,11,FALSE)</f>
        <v>460</v>
      </c>
      <c r="Q24" s="10">
        <f ca="1">VLOOKUP($B24,'[9]Analisys QBR By Machine Report'!$C$109:$BD$166,12,FALSE)</f>
        <v>0</v>
      </c>
      <c r="R24" s="10">
        <f ca="1">VLOOKUP($B24,'[9]Analisys QBR By Machine Report'!$C$109:$BD$166,13,FALSE)</f>
        <v>170</v>
      </c>
      <c r="S24" s="10">
        <f ca="1">VLOOKUP($B24,'[9]Analisys QBR By Machine Report'!$C$109:$BD$166,14,FALSE)</f>
        <v>155</v>
      </c>
      <c r="T24" s="10">
        <f ca="1">VLOOKUP($B24,'[9]Analisys QBR By Machine Report'!$C$109:$BD$166,15,FALSE)</f>
        <v>95</v>
      </c>
      <c r="U24" s="10">
        <f ca="1">VLOOKUP($B24,'[9]Analisys QBR By Machine Report'!$C$109:$BD$166,16,FALSE)</f>
        <v>95</v>
      </c>
      <c r="V24" s="10">
        <f ca="1">VLOOKUP($B24,'[9]Analisys QBR By Machine Report'!$C$109:$BD$166,17,FALSE)</f>
        <v>0</v>
      </c>
      <c r="W24" s="10">
        <f ca="1">VLOOKUP($B24,'[9]Analisys QBR By Machine Report'!$C$109:$BD$166,18,FALSE)</f>
        <v>0</v>
      </c>
      <c r="X24" s="10">
        <f ca="1">VLOOKUP($B24,'[9]Analisys QBR By Machine Report'!$C$109:$BD$166,19,FALSE)</f>
        <v>0</v>
      </c>
      <c r="Y24" s="10">
        <f ca="1">VLOOKUP($B24,'[9]Analisys QBR By Machine Report'!$C$109:$BD$166,20,FALSE)</f>
        <v>0</v>
      </c>
      <c r="Z24" s="10">
        <f ca="1">VLOOKUP($B24,'[9]Analisys QBR By Machine Report'!$C$109:$BD$166,21,FALSE)</f>
        <v>2675</v>
      </c>
      <c r="AA24" s="10">
        <f ca="1">VLOOKUP($B24,'[9]Analisys QBR By Machine Report'!$C$109:$BD$166,22,FALSE)</f>
        <v>215</v>
      </c>
      <c r="AB24" s="10">
        <f ca="1">VLOOKUP($B24,'[9]Analisys QBR By Machine Report'!$C$109:$BD$166,23,FALSE)</f>
        <v>1685</v>
      </c>
      <c r="AC24" s="10">
        <f ca="1">VLOOKUP($B24,'[9]Analisys QBR By Machine Report'!$C$109:$BD$166,24,FALSE)</f>
        <v>0</v>
      </c>
      <c r="AD24" s="10">
        <f ca="1">VLOOKUP($B24,'[9]Analisys QBR By Machine Report'!$C$109:$BD$166,25,FALSE)</f>
        <v>0</v>
      </c>
      <c r="AE24" s="10">
        <f ca="1">VLOOKUP($B24,'[9]Analisys QBR By Machine Report'!$C$109:$BD$166,26,FALSE)</f>
        <v>775</v>
      </c>
      <c r="AF24" s="10">
        <f ca="1">VLOOKUP($B24,'[9]Analisys QBR By Machine Report'!$C$109:$BD$166,27,FALSE)</f>
        <v>0</v>
      </c>
      <c r="AG24" s="10">
        <f ca="1">VLOOKUP($B24,'[9]Analisys QBR By Machine Report'!$C$109:$BD$166,28,FALSE)</f>
        <v>0</v>
      </c>
      <c r="AH24" s="10">
        <f ca="1">VLOOKUP($B24,'[9]Analisys QBR By Machine Report'!$C$109:$BD$166,29,FALSE)</f>
        <v>0</v>
      </c>
      <c r="AI24" s="10">
        <f ca="1">VLOOKUP($B24,'[9]Analisys QBR By Machine Report'!$C$109:$BD$166,30,FALSE)</f>
        <v>2310</v>
      </c>
      <c r="AJ24" s="10">
        <f ca="1">VLOOKUP($B24,'[9]Analisys QBR By Machine Report'!$C$109:$BD$166,31,FALSE)</f>
        <v>45</v>
      </c>
      <c r="AK24" s="10">
        <f ca="1">VLOOKUP($B24,'[9]Analisys QBR By Machine Report'!$C$109:$BD$166,32,FALSE)</f>
        <v>0</v>
      </c>
      <c r="AL24" s="10">
        <f ca="1">VLOOKUP($B24,'[9]Analisys QBR By Machine Report'!$C$109:$BD$166,33,FALSE)</f>
        <v>390</v>
      </c>
      <c r="AM24" s="10">
        <f ca="1">VLOOKUP($B24,'[9]Analisys QBR By Machine Report'!$C$109:$BD$166,34,FALSE)</f>
        <v>90</v>
      </c>
      <c r="AN24" s="10">
        <f ca="1">VLOOKUP($B24,'[9]Analisys QBR By Machine Report'!$C$109:$BD$166,35,FALSE)</f>
        <v>225</v>
      </c>
      <c r="AO24" s="10">
        <f ca="1">VLOOKUP($B24,'[9]Analisys QBR By Machine Report'!$C$109:$BD$166,36,FALSE)</f>
        <v>0</v>
      </c>
      <c r="AP24" s="10">
        <f ca="1">VLOOKUP($B24,'[9]Analisys QBR By Machine Report'!$C$109:$BD$166,37,FALSE)</f>
        <v>0</v>
      </c>
      <c r="AQ24" s="10">
        <f ca="1">VLOOKUP($B24,'[9]Analisys QBR By Machine Report'!$C$109:$BD$166,38,FALSE)</f>
        <v>0</v>
      </c>
      <c r="AR24" s="10">
        <f ca="1">VLOOKUP($B24,'[9]Analisys QBR By Machine Report'!$C$109:$BD$166,39,FALSE)</f>
        <v>1545</v>
      </c>
      <c r="AS24" s="10">
        <f ca="1">VLOOKUP($B24,'[9]Analisys QBR By Machine Report'!$C$109:$BD$166,40,FALSE)</f>
        <v>0</v>
      </c>
      <c r="AT24" s="10">
        <f ca="1">VLOOKUP($B24,'[9]Analisys QBR By Machine Report'!$C$109:$BD$166,41,FALSE)</f>
        <v>0</v>
      </c>
      <c r="AU24" s="10">
        <f ca="1">VLOOKUP($B24,'[9]Analisys QBR By Machine Report'!$C$109:$BD$166,42,FALSE)</f>
        <v>0</v>
      </c>
      <c r="AV24" s="10">
        <f ca="1">VLOOKUP($B24,'[9]Analisys QBR By Machine Report'!$C$109:$BD$166,43,FALSE)</f>
        <v>0</v>
      </c>
      <c r="AW24" s="10">
        <f ca="1">VLOOKUP($B24,'[9]Analisys QBR By Machine Report'!$C$109:$BD$166,44,FALSE)</f>
        <v>0</v>
      </c>
      <c r="AX24" s="10">
        <f ca="1">VLOOKUP($B24,'[9]Analisys QBR By Machine Report'!$C$109:$BD$166,45,FALSE)</f>
        <v>0</v>
      </c>
      <c r="AY24" s="10">
        <f ca="1">VLOOKUP($B24,'[9]Analisys QBR By Machine Report'!$C$109:$BD$166,46,FALSE)</f>
        <v>0</v>
      </c>
      <c r="AZ24" s="10">
        <f ca="1">VLOOKUP($B24,'[9]Analisys QBR By Machine Report'!$C$109:$BD$166,47,FALSE)</f>
        <v>15</v>
      </c>
      <c r="BA24" s="10">
        <f ca="1">VLOOKUP($B24,'[9]Analisys QBR By Machine Report'!$C$109:$BD$166,48,FALSE)</f>
        <v>0</v>
      </c>
      <c r="BB24" s="10">
        <f ca="1">VLOOKUP($B24,'[9]Analisys QBR By Machine Report'!$C$109:$BD$166,49,FALSE)</f>
        <v>0</v>
      </c>
      <c r="BC24" s="10">
        <f ca="1">VLOOKUP($B24,'[9]Analisys QBR By Machine Report'!$C$109:$BD$166,50,FALSE)</f>
        <v>0</v>
      </c>
      <c r="BD24" s="10">
        <f ca="1">VLOOKUP($B24,'[9]Analisys QBR By Machine Report'!$C$109:$BD$166,51,FALSE)</f>
        <v>165608</v>
      </c>
      <c r="BE24" s="10">
        <f ca="1">VLOOKUP($B24,'[9]Analisys QBR By Machine Report'!$C$109:$BD$166,52,FALSE)</f>
        <v>318</v>
      </c>
      <c r="BF24" s="10">
        <f ca="1">VLOOKUP($B24,'[9]Analisys QBR By Machine Report'!$C$109:$BD$166,53,FALSE)</f>
        <v>165290</v>
      </c>
    </row>
    <row r="25" spans="1:58" x14ac:dyDescent="0.25">
      <c r="A25" s="12" t="s">
        <v>81</v>
      </c>
      <c r="B25" s="13">
        <f ca="1">VLOOKUP($B25,'[9]Analisys QBR By Machine Report'!$C$109:$BD$166,2,FALSE)</f>
        <v>30240</v>
      </c>
      <c r="C25" s="14">
        <f ca="1">VLOOKUP($B25,[9]Dasboard_QBR_Report!$B$109:$BL$166,3,FALSE)</f>
        <v>19530</v>
      </c>
      <c r="D25" s="13">
        <f ca="1">VLOOKUP($B25,'[9]Analisys QBR By Machine Report'!$C$109:$BD$166,3,FALSE)</f>
        <v>21060</v>
      </c>
      <c r="E25" s="14">
        <f ca="1">VLOOKUP($B25,[9]Dasboard_QBR_Report!$B$109:$BL$166,5,FALSE)</f>
        <v>10350</v>
      </c>
      <c r="F25" s="13">
        <f t="shared" ca="1" si="0"/>
        <v>9180</v>
      </c>
      <c r="G25" s="13">
        <f t="shared" ca="1" si="1"/>
        <v>930</v>
      </c>
      <c r="H25" s="13">
        <f ca="1">VLOOKUP($B25,'[9]Analisys QBR By Machine Report'!$C$109:$BD$166,4,FALSE)</f>
        <v>930</v>
      </c>
      <c r="I25" s="13">
        <f ca="1">VLOOKUP($B25,'[9]Analisys QBR By Machine Report'!$C$109:$BD$166,5,FALSE)</f>
        <v>30</v>
      </c>
      <c r="J25" s="13">
        <f ca="1">VLOOKUP($B25,'[9]Analisys QBR By Machine Report'!$C$109:$BD$166,6,FALSE)</f>
        <v>900</v>
      </c>
      <c r="K25" s="13">
        <f ca="1">VLOOKUP($B25,'[9]Analisys QBR By Machine Report'!$C$109:$BD$166,7,FALSE)</f>
        <v>0</v>
      </c>
      <c r="L25" s="13">
        <f ca="1">VLOOKUP($B25,'[9]Analisys QBR By Machine Report'!$C$109:$BD$166,8,FALSE)</f>
        <v>8250</v>
      </c>
      <c r="M25" s="13">
        <f ca="1">VLOOKUP($B25,'[9]Analisys QBR By Machine Report'!$C$109:$BD$166,9,FALSE)</f>
        <v>2695</v>
      </c>
      <c r="N25" s="13">
        <f ca="1">VLOOKUP($B25,[9]Dasboard_QBR_Report!$B$109:$BL$166,18,FALSE)</f>
        <v>5555</v>
      </c>
      <c r="O25" s="13">
        <f ca="1">VLOOKUP($B25,'[9]Analisys QBR By Machine Report'!$C$109:$BD$166,10,FALSE)</f>
        <v>785</v>
      </c>
      <c r="P25" s="13">
        <f ca="1">VLOOKUP($B25,'[9]Analisys QBR By Machine Report'!$C$109:$BD$166,11,FALSE)</f>
        <v>460</v>
      </c>
      <c r="Q25" s="13">
        <f ca="1">VLOOKUP($B25,'[9]Analisys QBR By Machine Report'!$C$109:$BD$166,12,FALSE)</f>
        <v>0</v>
      </c>
      <c r="R25" s="13">
        <f ca="1">VLOOKUP($B25,'[9]Analisys QBR By Machine Report'!$C$109:$BD$166,13,FALSE)</f>
        <v>170</v>
      </c>
      <c r="S25" s="13">
        <f ca="1">VLOOKUP($B25,'[9]Analisys QBR By Machine Report'!$C$109:$BD$166,14,FALSE)</f>
        <v>155</v>
      </c>
      <c r="T25" s="13">
        <f ca="1">VLOOKUP($B25,'[9]Analisys QBR By Machine Report'!$C$109:$BD$166,15,FALSE)</f>
        <v>30</v>
      </c>
      <c r="U25" s="13">
        <f ca="1">VLOOKUP($B25,'[9]Analisys QBR By Machine Report'!$C$109:$BD$166,16,FALSE)</f>
        <v>30</v>
      </c>
      <c r="V25" s="13">
        <f ca="1">VLOOKUP($B25,'[9]Analisys QBR By Machine Report'!$C$109:$BD$166,17,FALSE)</f>
        <v>0</v>
      </c>
      <c r="W25" s="13">
        <f ca="1">VLOOKUP($B25,'[9]Analisys QBR By Machine Report'!$C$109:$BD$166,18,FALSE)</f>
        <v>0</v>
      </c>
      <c r="X25" s="13">
        <f ca="1">VLOOKUP($B25,'[9]Analisys QBR By Machine Report'!$C$109:$BD$166,19,FALSE)</f>
        <v>0</v>
      </c>
      <c r="Y25" s="13">
        <f ca="1">VLOOKUP($B25,'[9]Analisys QBR By Machine Report'!$C$109:$BD$166,20,FALSE)</f>
        <v>0</v>
      </c>
      <c r="Z25" s="13">
        <f ca="1">VLOOKUP($B25,'[9]Analisys QBR By Machine Report'!$C$109:$BD$166,21,FALSE)</f>
        <v>2475</v>
      </c>
      <c r="AA25" s="13">
        <f ca="1">VLOOKUP($B25,'[9]Analisys QBR By Machine Report'!$C$109:$BD$166,22,FALSE)</f>
        <v>195</v>
      </c>
      <c r="AB25" s="13">
        <f ca="1">VLOOKUP($B25,'[9]Analisys QBR By Machine Report'!$C$109:$BD$166,23,FALSE)</f>
        <v>1580</v>
      </c>
      <c r="AC25" s="13">
        <f ca="1">VLOOKUP($B25,'[9]Analisys QBR By Machine Report'!$C$109:$BD$166,24,FALSE)</f>
        <v>0</v>
      </c>
      <c r="AD25" s="13">
        <f ca="1">VLOOKUP($B25,'[9]Analisys QBR By Machine Report'!$C$109:$BD$166,25,FALSE)</f>
        <v>0</v>
      </c>
      <c r="AE25" s="13">
        <f ca="1">VLOOKUP($B25,'[9]Analisys QBR By Machine Report'!$C$109:$BD$166,26,FALSE)</f>
        <v>700</v>
      </c>
      <c r="AF25" s="13">
        <f ca="1">VLOOKUP($B25,'[9]Analisys QBR By Machine Report'!$C$109:$BD$166,27,FALSE)</f>
        <v>0</v>
      </c>
      <c r="AG25" s="13">
        <f ca="1">VLOOKUP($B25,'[9]Analisys QBR By Machine Report'!$C$109:$BD$166,28,FALSE)</f>
        <v>0</v>
      </c>
      <c r="AH25" s="13">
        <f ca="1">VLOOKUP($B25,'[9]Analisys QBR By Machine Report'!$C$109:$BD$166,29,FALSE)</f>
        <v>0</v>
      </c>
      <c r="AI25" s="13">
        <f ca="1">VLOOKUP($B25,'[9]Analisys QBR By Machine Report'!$C$109:$BD$166,30,FALSE)</f>
        <v>2265</v>
      </c>
      <c r="AJ25" s="13">
        <f ca="1">VLOOKUP($B25,'[9]Analisys QBR By Machine Report'!$C$109:$BD$166,31,FALSE)</f>
        <v>45</v>
      </c>
      <c r="AK25" s="13">
        <f ca="1">VLOOKUP($B25,'[9]Analisys QBR By Machine Report'!$C$109:$BD$166,32,FALSE)</f>
        <v>0</v>
      </c>
      <c r="AL25" s="13">
        <f ca="1">VLOOKUP($B25,'[9]Analisys QBR By Machine Report'!$C$109:$BD$166,33,FALSE)</f>
        <v>360</v>
      </c>
      <c r="AM25" s="13">
        <f ca="1">VLOOKUP($B25,'[9]Analisys QBR By Machine Report'!$C$109:$BD$166,34,FALSE)</f>
        <v>90</v>
      </c>
      <c r="AN25" s="13">
        <f ca="1">VLOOKUP($B25,'[9]Analisys QBR By Machine Report'!$C$109:$BD$166,35,FALSE)</f>
        <v>210</v>
      </c>
      <c r="AO25" s="13">
        <f ca="1">VLOOKUP($B25,'[9]Analisys QBR By Machine Report'!$C$109:$BD$166,36,FALSE)</f>
        <v>0</v>
      </c>
      <c r="AP25" s="13">
        <f ca="1">VLOOKUP($B25,'[9]Analisys QBR By Machine Report'!$C$109:$BD$166,37,FALSE)</f>
        <v>0</v>
      </c>
      <c r="AQ25" s="13">
        <f ca="1">VLOOKUP($B25,'[9]Analisys QBR By Machine Report'!$C$109:$BD$166,38,FALSE)</f>
        <v>0</v>
      </c>
      <c r="AR25" s="13">
        <f ca="1">VLOOKUP($B25,'[9]Analisys QBR By Machine Report'!$C$109:$BD$166,39,FALSE)</f>
        <v>1545</v>
      </c>
      <c r="AS25" s="13">
        <f ca="1">VLOOKUP($B25,'[9]Analisys QBR By Machine Report'!$C$109:$BD$166,40,FALSE)</f>
        <v>0</v>
      </c>
      <c r="AT25" s="13">
        <f ca="1">VLOOKUP($B25,'[9]Analisys QBR By Machine Report'!$C$109:$BD$166,41,FALSE)</f>
        <v>0</v>
      </c>
      <c r="AU25" s="13">
        <f ca="1">VLOOKUP($B25,'[9]Analisys QBR By Machine Report'!$C$109:$BD$166,42,FALSE)</f>
        <v>0</v>
      </c>
      <c r="AV25" s="13">
        <f ca="1">VLOOKUP($B25,'[9]Analisys QBR By Machine Report'!$C$109:$BD$166,43,FALSE)</f>
        <v>0</v>
      </c>
      <c r="AW25" s="13">
        <f ca="1">VLOOKUP($B25,'[9]Analisys QBR By Machine Report'!$C$109:$BD$166,44,FALSE)</f>
        <v>0</v>
      </c>
      <c r="AX25" s="13">
        <f ca="1">VLOOKUP($B25,'[9]Analisys QBR By Machine Report'!$C$109:$BD$166,45,FALSE)</f>
        <v>0</v>
      </c>
      <c r="AY25" s="13">
        <f ca="1">VLOOKUP($B25,'[9]Analisys QBR By Machine Report'!$C$109:$BD$166,46,FALSE)</f>
        <v>0</v>
      </c>
      <c r="AZ25" s="13">
        <f ca="1">VLOOKUP($B25,'[9]Analisys QBR By Machine Report'!$C$109:$BD$166,47,FALSE)</f>
        <v>15</v>
      </c>
      <c r="BA25" s="13">
        <f ca="1">VLOOKUP($B25,'[9]Analisys QBR By Machine Report'!$C$109:$BD$166,48,FALSE)</f>
        <v>0</v>
      </c>
      <c r="BB25" s="13">
        <f ca="1">VLOOKUP($B25,'[9]Analisys QBR By Machine Report'!$C$109:$BD$166,49,FALSE)</f>
        <v>0</v>
      </c>
      <c r="BC25" s="13">
        <f ca="1">VLOOKUP($B25,'[9]Analisys QBR By Machine Report'!$C$109:$BD$166,50,FALSE)</f>
        <v>0</v>
      </c>
      <c r="BD25" s="13">
        <f ca="1">VLOOKUP($B25,'[9]Analisys QBR By Machine Report'!$C$109:$BD$166,51,FALSE)</f>
        <v>143145</v>
      </c>
      <c r="BE25" s="13">
        <f ca="1">VLOOKUP($B25,'[9]Analisys QBR By Machine Report'!$C$109:$BD$166,52,FALSE)</f>
        <v>288</v>
      </c>
      <c r="BF25" s="13">
        <f ca="1">VLOOKUP($B25,'[9]Analisys QBR By Machine Report'!$C$109:$BD$166,53,FALSE)</f>
        <v>142857</v>
      </c>
    </row>
    <row r="26" spans="1:58" x14ac:dyDescent="0.25">
      <c r="A26" s="12" t="s">
        <v>82</v>
      </c>
      <c r="B26" s="13">
        <f ca="1">VLOOKUP($B26,'[9]Analisys QBR By Machine Report'!$C$109:$BD$166,2,FALSE)</f>
        <v>30240</v>
      </c>
      <c r="C26" s="14">
        <f ca="1">VLOOKUP($B26,[9]Dasboard_QBR_Report!$B$109:$BL$166,3,FALSE)</f>
        <v>19530</v>
      </c>
      <c r="D26" s="13">
        <f ca="1">VLOOKUP($B26,'[9]Analisys QBR By Machine Report'!$C$109:$BD$166,3,FALSE)</f>
        <v>29220</v>
      </c>
      <c r="E26" s="14">
        <f ca="1">VLOOKUP($B26,[9]Dasboard_QBR_Report!$B$109:$BL$166,5,FALSE)</f>
        <v>18510</v>
      </c>
      <c r="F26" s="13">
        <f t="shared" ca="1" si="0"/>
        <v>1020</v>
      </c>
      <c r="G26" s="13">
        <f t="shared" ca="1" si="1"/>
        <v>315</v>
      </c>
      <c r="H26" s="13">
        <f ca="1">VLOOKUP($B26,'[9]Analisys QBR By Machine Report'!$C$109:$BD$166,4,FALSE)</f>
        <v>315</v>
      </c>
      <c r="I26" s="13">
        <f ca="1">VLOOKUP($B26,'[9]Analisys QBR By Machine Report'!$C$109:$BD$166,5,FALSE)</f>
        <v>0</v>
      </c>
      <c r="J26" s="13">
        <f ca="1">VLOOKUP($B26,'[9]Analisys QBR By Machine Report'!$C$109:$BD$166,6,FALSE)</f>
        <v>315</v>
      </c>
      <c r="K26" s="13">
        <f ca="1">VLOOKUP($B26,'[9]Analisys QBR By Machine Report'!$C$109:$BD$166,7,FALSE)</f>
        <v>0</v>
      </c>
      <c r="L26" s="13">
        <f ca="1">VLOOKUP($B26,'[9]Analisys QBR By Machine Report'!$C$109:$BD$166,8,FALSE)</f>
        <v>705</v>
      </c>
      <c r="M26" s="13">
        <f ca="1">VLOOKUP($B26,'[9]Analisys QBR By Machine Report'!$C$109:$BD$166,9,FALSE)</f>
        <v>395</v>
      </c>
      <c r="N26" s="13">
        <f ca="1">VLOOKUP($B26,[9]Dasboard_QBR_Report!$B$109:$BL$166,18,FALSE)</f>
        <v>310</v>
      </c>
      <c r="O26" s="13">
        <f ca="1">VLOOKUP($B26,'[9]Analisys QBR By Machine Report'!$C$109:$BD$166,10,FALSE)</f>
        <v>0</v>
      </c>
      <c r="P26" s="13">
        <f ca="1">VLOOKUP($B26,'[9]Analisys QBR By Machine Report'!$C$109:$BD$166,11,FALSE)</f>
        <v>0</v>
      </c>
      <c r="Q26" s="13">
        <f ca="1">VLOOKUP($B26,'[9]Analisys QBR By Machine Report'!$C$109:$BD$166,12,FALSE)</f>
        <v>0</v>
      </c>
      <c r="R26" s="13">
        <f ca="1">VLOOKUP($B26,'[9]Analisys QBR By Machine Report'!$C$109:$BD$166,13,FALSE)</f>
        <v>0</v>
      </c>
      <c r="S26" s="13">
        <f ca="1">VLOOKUP($B26,'[9]Analisys QBR By Machine Report'!$C$109:$BD$166,14,FALSE)</f>
        <v>0</v>
      </c>
      <c r="T26" s="13">
        <f ca="1">VLOOKUP($B26,'[9]Analisys QBR By Machine Report'!$C$109:$BD$166,15,FALSE)</f>
        <v>65</v>
      </c>
      <c r="U26" s="13">
        <f ca="1">VLOOKUP($B26,'[9]Analisys QBR By Machine Report'!$C$109:$BD$166,16,FALSE)</f>
        <v>65</v>
      </c>
      <c r="V26" s="13">
        <f ca="1">VLOOKUP($B26,'[9]Analisys QBR By Machine Report'!$C$109:$BD$166,17,FALSE)</f>
        <v>0</v>
      </c>
      <c r="W26" s="13">
        <f ca="1">VLOOKUP($B26,'[9]Analisys QBR By Machine Report'!$C$109:$BD$166,18,FALSE)</f>
        <v>0</v>
      </c>
      <c r="X26" s="13">
        <f ca="1">VLOOKUP($B26,'[9]Analisys QBR By Machine Report'!$C$109:$BD$166,19,FALSE)</f>
        <v>0</v>
      </c>
      <c r="Y26" s="13">
        <f ca="1">VLOOKUP($B26,'[9]Analisys QBR By Machine Report'!$C$109:$BD$166,20,FALSE)</f>
        <v>0</v>
      </c>
      <c r="Z26" s="13">
        <f ca="1">VLOOKUP($B26,'[9]Analisys QBR By Machine Report'!$C$109:$BD$166,21,FALSE)</f>
        <v>200</v>
      </c>
      <c r="AA26" s="13">
        <f ca="1">VLOOKUP($B26,'[9]Analisys QBR By Machine Report'!$C$109:$BD$166,22,FALSE)</f>
        <v>20</v>
      </c>
      <c r="AB26" s="13">
        <f ca="1">VLOOKUP($B26,'[9]Analisys QBR By Machine Report'!$C$109:$BD$166,23,FALSE)</f>
        <v>105</v>
      </c>
      <c r="AC26" s="13">
        <f ca="1">VLOOKUP($B26,'[9]Analisys QBR By Machine Report'!$C$109:$BD$166,24,FALSE)</f>
        <v>0</v>
      </c>
      <c r="AD26" s="13">
        <f ca="1">VLOOKUP($B26,'[9]Analisys QBR By Machine Report'!$C$109:$BD$166,25,FALSE)</f>
        <v>0</v>
      </c>
      <c r="AE26" s="13">
        <f ca="1">VLOOKUP($B26,'[9]Analisys QBR By Machine Report'!$C$109:$BD$166,26,FALSE)</f>
        <v>75</v>
      </c>
      <c r="AF26" s="13">
        <f ca="1">VLOOKUP($B26,'[9]Analisys QBR By Machine Report'!$C$109:$BD$166,27,FALSE)</f>
        <v>0</v>
      </c>
      <c r="AG26" s="13">
        <f ca="1">VLOOKUP($B26,'[9]Analisys QBR By Machine Report'!$C$109:$BD$166,28,FALSE)</f>
        <v>0</v>
      </c>
      <c r="AH26" s="13">
        <f ca="1">VLOOKUP($B26,'[9]Analisys QBR By Machine Report'!$C$109:$BD$166,29,FALSE)</f>
        <v>0</v>
      </c>
      <c r="AI26" s="13">
        <f ca="1">VLOOKUP($B26,'[9]Analisys QBR By Machine Report'!$C$109:$BD$166,30,FALSE)</f>
        <v>45</v>
      </c>
      <c r="AJ26" s="13">
        <f ca="1">VLOOKUP($B26,'[9]Analisys QBR By Machine Report'!$C$109:$BD$166,31,FALSE)</f>
        <v>0</v>
      </c>
      <c r="AK26" s="13">
        <f ca="1">VLOOKUP($B26,'[9]Analisys QBR By Machine Report'!$C$109:$BD$166,32,FALSE)</f>
        <v>0</v>
      </c>
      <c r="AL26" s="13">
        <f ca="1">VLOOKUP($B26,'[9]Analisys QBR By Machine Report'!$C$109:$BD$166,33,FALSE)</f>
        <v>30</v>
      </c>
      <c r="AM26" s="13">
        <f ca="1">VLOOKUP($B26,'[9]Analisys QBR By Machine Report'!$C$109:$BD$166,34,FALSE)</f>
        <v>0</v>
      </c>
      <c r="AN26" s="13">
        <f ca="1">VLOOKUP($B26,'[9]Analisys QBR By Machine Report'!$C$109:$BD$166,35,FALSE)</f>
        <v>15</v>
      </c>
      <c r="AO26" s="13">
        <f ca="1">VLOOKUP($B26,'[9]Analisys QBR By Machine Report'!$C$109:$BD$166,36,FALSE)</f>
        <v>0</v>
      </c>
      <c r="AP26" s="13">
        <f ca="1">VLOOKUP($B26,'[9]Analisys QBR By Machine Report'!$C$109:$BD$166,37,FALSE)</f>
        <v>0</v>
      </c>
      <c r="AQ26" s="13">
        <f ca="1">VLOOKUP($B26,'[9]Analisys QBR By Machine Report'!$C$109:$BD$166,38,FALSE)</f>
        <v>0</v>
      </c>
      <c r="AR26" s="13">
        <f ca="1">VLOOKUP($B26,'[9]Analisys QBR By Machine Report'!$C$109:$BD$166,39,FALSE)</f>
        <v>0</v>
      </c>
      <c r="AS26" s="13">
        <f ca="1">VLOOKUP($B26,'[9]Analisys QBR By Machine Report'!$C$109:$BD$166,40,FALSE)</f>
        <v>0</v>
      </c>
      <c r="AT26" s="13">
        <f ca="1">VLOOKUP($B26,'[9]Analisys QBR By Machine Report'!$C$109:$BD$166,41,FALSE)</f>
        <v>0</v>
      </c>
      <c r="AU26" s="13">
        <f ca="1">VLOOKUP($B26,'[9]Analisys QBR By Machine Report'!$C$109:$BD$166,42,FALSE)</f>
        <v>0</v>
      </c>
      <c r="AV26" s="13">
        <f ca="1">VLOOKUP($B26,'[9]Analisys QBR By Machine Report'!$C$109:$BD$166,43,FALSE)</f>
        <v>0</v>
      </c>
      <c r="AW26" s="13">
        <f ca="1">VLOOKUP($B26,'[9]Analisys QBR By Machine Report'!$C$109:$BD$166,44,FALSE)</f>
        <v>0</v>
      </c>
      <c r="AX26" s="13">
        <f ca="1">VLOOKUP($B26,'[9]Analisys QBR By Machine Report'!$C$109:$BD$166,45,FALSE)</f>
        <v>0</v>
      </c>
      <c r="AY26" s="13">
        <f ca="1">VLOOKUP($B26,'[9]Analisys QBR By Machine Report'!$C$109:$BD$166,46,FALSE)</f>
        <v>0</v>
      </c>
      <c r="AZ26" s="13">
        <f ca="1">VLOOKUP($B26,'[9]Analisys QBR By Machine Report'!$C$109:$BD$166,47,FALSE)</f>
        <v>0</v>
      </c>
      <c r="BA26" s="13">
        <f ca="1">VLOOKUP($B26,'[9]Analisys QBR By Machine Report'!$C$109:$BD$166,48,FALSE)</f>
        <v>0</v>
      </c>
      <c r="BB26" s="13">
        <f ca="1">VLOOKUP($B26,'[9]Analisys QBR By Machine Report'!$C$109:$BD$166,49,FALSE)</f>
        <v>0</v>
      </c>
      <c r="BC26" s="13">
        <f ca="1">VLOOKUP($B26,'[9]Analisys QBR By Machine Report'!$C$109:$BD$166,50,FALSE)</f>
        <v>0</v>
      </c>
      <c r="BD26" s="13">
        <f ca="1">VLOOKUP($B26,'[9]Analisys QBR By Machine Report'!$C$109:$BD$166,51,FALSE)</f>
        <v>22463</v>
      </c>
      <c r="BE26" s="13">
        <f ca="1">VLOOKUP($B26,'[9]Analisys QBR By Machine Report'!$C$109:$BD$166,52,FALSE)</f>
        <v>30</v>
      </c>
      <c r="BF26" s="13">
        <f ca="1">VLOOKUP($B26,'[9]Analisys QBR By Machine Report'!$C$109:$BD$166,53,FALSE)</f>
        <v>22433</v>
      </c>
    </row>
    <row r="27" spans="1:58" x14ac:dyDescent="0.25">
      <c r="A27" s="9" t="s">
        <v>83</v>
      </c>
      <c r="B27" s="10">
        <f ca="1">VLOOKUP($B27,'[9]Analisys QBR By Machine Report'!$C$109:$BD$166,2,FALSE)</f>
        <v>30240</v>
      </c>
      <c r="C27" s="11">
        <f ca="1">VLOOKUP($B27,[9]Dasboard_QBR_Report!$B$109:$BL$166,3,FALSE)</f>
        <v>19530</v>
      </c>
      <c r="D27" s="10">
        <f ca="1">VLOOKUP($B27,'[9]Analisys QBR By Machine Report'!$C$109:$BD$166,3,FALSE)</f>
        <v>23010</v>
      </c>
      <c r="E27" s="11">
        <f ca="1">VLOOKUP($B27,[9]Dasboard_QBR_Report!$B$109:$BL$166,5,FALSE)</f>
        <v>12300</v>
      </c>
      <c r="F27" s="10">
        <f t="shared" ca="1" si="0"/>
        <v>7230</v>
      </c>
      <c r="G27" s="10">
        <f t="shared" ca="1" si="1"/>
        <v>240</v>
      </c>
      <c r="H27" s="10">
        <f ca="1">VLOOKUP($B27,'[9]Analisys QBR By Machine Report'!$C$109:$BD$166,4,FALSE)</f>
        <v>240</v>
      </c>
      <c r="I27" s="10">
        <f ca="1">VLOOKUP($B27,'[9]Analisys QBR By Machine Report'!$C$109:$BD$166,5,FALSE)</f>
        <v>30</v>
      </c>
      <c r="J27" s="10">
        <f ca="1">VLOOKUP($B27,'[9]Analisys QBR By Machine Report'!$C$109:$BD$166,6,FALSE)</f>
        <v>210</v>
      </c>
      <c r="K27" s="10">
        <f ca="1">VLOOKUP($B27,'[9]Analisys QBR By Machine Report'!$C$109:$BD$166,7,FALSE)</f>
        <v>0</v>
      </c>
      <c r="L27" s="10">
        <f ca="1">VLOOKUP($B27,'[9]Analisys QBR By Machine Report'!$C$109:$BD$166,8,FALSE)</f>
        <v>6990</v>
      </c>
      <c r="M27" s="10">
        <f ca="1">VLOOKUP($B27,'[9]Analisys QBR By Machine Report'!$C$109:$BD$166,9,FALSE)</f>
        <v>1824</v>
      </c>
      <c r="N27" s="10">
        <f ca="1">VLOOKUP($B27,[9]Dasboard_QBR_Report!$B$109:$BL$166,18,FALSE)</f>
        <v>5166</v>
      </c>
      <c r="O27" s="10">
        <f ca="1">VLOOKUP($B27,'[9]Analisys QBR By Machine Report'!$C$109:$BD$166,10,FALSE)</f>
        <v>208</v>
      </c>
      <c r="P27" s="10">
        <f ca="1">VLOOKUP($B27,'[9]Analisys QBR By Machine Report'!$C$109:$BD$166,11,FALSE)</f>
        <v>208</v>
      </c>
      <c r="Q27" s="10">
        <f ca="1">VLOOKUP($B27,'[9]Analisys QBR By Machine Report'!$C$109:$BD$166,12,FALSE)</f>
        <v>0</v>
      </c>
      <c r="R27" s="10">
        <f ca="1">VLOOKUP($B27,'[9]Analisys QBR By Machine Report'!$C$109:$BD$166,13,FALSE)</f>
        <v>0</v>
      </c>
      <c r="S27" s="10">
        <f ca="1">VLOOKUP($B27,'[9]Analisys QBR By Machine Report'!$C$109:$BD$166,14,FALSE)</f>
        <v>0</v>
      </c>
      <c r="T27" s="10">
        <f ca="1">VLOOKUP($B27,'[9]Analisys QBR By Machine Report'!$C$109:$BD$166,15,FALSE)</f>
        <v>180</v>
      </c>
      <c r="U27" s="10">
        <f ca="1">VLOOKUP($B27,'[9]Analisys QBR By Machine Report'!$C$109:$BD$166,16,FALSE)</f>
        <v>0</v>
      </c>
      <c r="V27" s="10">
        <f ca="1">VLOOKUP($B27,'[9]Analisys QBR By Machine Report'!$C$109:$BD$166,17,FALSE)</f>
        <v>0</v>
      </c>
      <c r="W27" s="10">
        <f ca="1">VLOOKUP($B27,'[9]Analisys QBR By Machine Report'!$C$109:$BD$166,18,FALSE)</f>
        <v>0</v>
      </c>
      <c r="X27" s="10">
        <f ca="1">VLOOKUP($B27,'[9]Analisys QBR By Machine Report'!$C$109:$BD$166,19,FALSE)</f>
        <v>0</v>
      </c>
      <c r="Y27" s="10">
        <f ca="1">VLOOKUP($B27,'[9]Analisys QBR By Machine Report'!$C$109:$BD$166,20,FALSE)</f>
        <v>180</v>
      </c>
      <c r="Z27" s="10">
        <f ca="1">VLOOKUP($B27,'[9]Analisys QBR By Machine Report'!$C$109:$BD$166,21,FALSE)</f>
        <v>2608</v>
      </c>
      <c r="AA27" s="10">
        <f ca="1">VLOOKUP($B27,'[9]Analisys QBR By Machine Report'!$C$109:$BD$166,22,FALSE)</f>
        <v>383</v>
      </c>
      <c r="AB27" s="10">
        <f ca="1">VLOOKUP($B27,'[9]Analisys QBR By Machine Report'!$C$109:$BD$166,23,FALSE)</f>
        <v>2018</v>
      </c>
      <c r="AC27" s="10">
        <f ca="1">VLOOKUP($B27,'[9]Analisys QBR By Machine Report'!$C$109:$BD$166,24,FALSE)</f>
        <v>0</v>
      </c>
      <c r="AD27" s="10">
        <f ca="1">VLOOKUP($B27,'[9]Analisys QBR By Machine Report'!$C$109:$BD$166,25,FALSE)</f>
        <v>207</v>
      </c>
      <c r="AE27" s="10">
        <f ca="1">VLOOKUP($B27,'[9]Analisys QBR By Machine Report'!$C$109:$BD$166,26,FALSE)</f>
        <v>0</v>
      </c>
      <c r="AF27" s="10">
        <f ca="1">VLOOKUP($B27,'[9]Analisys QBR By Machine Report'!$C$109:$BD$166,27,FALSE)</f>
        <v>0</v>
      </c>
      <c r="AG27" s="10">
        <f ca="1">VLOOKUP($B27,'[9]Analisys QBR By Machine Report'!$C$109:$BD$166,28,FALSE)</f>
        <v>0</v>
      </c>
      <c r="AH27" s="10">
        <f ca="1">VLOOKUP($B27,'[9]Analisys QBR By Machine Report'!$C$109:$BD$166,29,FALSE)</f>
        <v>0</v>
      </c>
      <c r="AI27" s="10">
        <f ca="1">VLOOKUP($B27,'[9]Analisys QBR By Machine Report'!$C$109:$BD$166,30,FALSE)</f>
        <v>2170</v>
      </c>
      <c r="AJ27" s="10">
        <f ca="1">VLOOKUP($B27,'[9]Analisys QBR By Machine Report'!$C$109:$BD$166,31,FALSE)</f>
        <v>0</v>
      </c>
      <c r="AK27" s="10">
        <f ca="1">VLOOKUP($B27,'[9]Analisys QBR By Machine Report'!$C$109:$BD$166,32,FALSE)</f>
        <v>280</v>
      </c>
      <c r="AL27" s="10">
        <f ca="1">VLOOKUP($B27,'[9]Analisys QBR By Machine Report'!$C$109:$BD$166,33,FALSE)</f>
        <v>400</v>
      </c>
      <c r="AM27" s="10">
        <f ca="1">VLOOKUP($B27,'[9]Analisys QBR By Machine Report'!$C$109:$BD$166,34,FALSE)</f>
        <v>0</v>
      </c>
      <c r="AN27" s="10">
        <f ca="1">VLOOKUP($B27,'[9]Analisys QBR By Machine Report'!$C$109:$BD$166,35,FALSE)</f>
        <v>385</v>
      </c>
      <c r="AO27" s="10">
        <f ca="1">VLOOKUP($B27,'[9]Analisys QBR By Machine Report'!$C$109:$BD$166,36,FALSE)</f>
        <v>0</v>
      </c>
      <c r="AP27" s="10">
        <f ca="1">VLOOKUP($B27,'[9]Analisys QBR By Machine Report'!$C$109:$BD$166,37,FALSE)</f>
        <v>0</v>
      </c>
      <c r="AQ27" s="10">
        <f ca="1">VLOOKUP($B27,'[9]Analisys QBR By Machine Report'!$C$109:$BD$166,38,FALSE)</f>
        <v>0</v>
      </c>
      <c r="AR27" s="10">
        <f ca="1">VLOOKUP($B27,'[9]Analisys QBR By Machine Report'!$C$109:$BD$166,39,FALSE)</f>
        <v>22</v>
      </c>
      <c r="AS27" s="10">
        <f ca="1">VLOOKUP($B27,'[9]Analisys QBR By Machine Report'!$C$109:$BD$166,40,FALSE)</f>
        <v>10</v>
      </c>
      <c r="AT27" s="10">
        <f ca="1">VLOOKUP($B27,'[9]Analisys QBR By Machine Report'!$C$109:$BD$166,41,FALSE)</f>
        <v>0</v>
      </c>
      <c r="AU27" s="10">
        <f ca="1">VLOOKUP($B27,'[9]Analisys QBR By Machine Report'!$C$109:$BD$166,42,FALSE)</f>
        <v>0</v>
      </c>
      <c r="AV27" s="10">
        <f ca="1">VLOOKUP($B27,'[9]Analisys QBR By Machine Report'!$C$109:$BD$166,43,FALSE)</f>
        <v>0</v>
      </c>
      <c r="AW27" s="10">
        <f ca="1">VLOOKUP($B27,'[9]Analisys QBR By Machine Report'!$C$109:$BD$166,44,FALSE)</f>
        <v>0</v>
      </c>
      <c r="AX27" s="10">
        <f ca="1">VLOOKUP($B27,'[9]Analisys QBR By Machine Report'!$C$109:$BD$166,45,FALSE)</f>
        <v>0</v>
      </c>
      <c r="AY27" s="10">
        <f ca="1">VLOOKUP($B27,'[9]Analisys QBR By Machine Report'!$C$109:$BD$166,46,FALSE)</f>
        <v>0</v>
      </c>
      <c r="AZ27" s="10">
        <f ca="1">VLOOKUP($B27,'[9]Analisys QBR By Machine Report'!$C$109:$BD$166,47,FALSE)</f>
        <v>883</v>
      </c>
      <c r="BA27" s="10">
        <f ca="1">VLOOKUP($B27,'[9]Analisys QBR By Machine Report'!$C$109:$BD$166,48,FALSE)</f>
        <v>190</v>
      </c>
      <c r="BB27" s="10">
        <f ca="1">VLOOKUP($B27,'[9]Analisys QBR By Machine Report'!$C$109:$BD$166,49,FALSE)</f>
        <v>0</v>
      </c>
      <c r="BC27" s="10">
        <f ca="1">VLOOKUP($B27,'[9]Analisys QBR By Machine Report'!$C$109:$BD$166,50,FALSE)</f>
        <v>0</v>
      </c>
      <c r="BD27" s="10">
        <f ca="1">VLOOKUP($B27,'[9]Analisys QBR By Machine Report'!$C$109:$BD$166,51,FALSE)</f>
        <v>1110</v>
      </c>
      <c r="BE27" s="10">
        <f ca="1">VLOOKUP($B27,'[9]Analisys QBR By Machine Report'!$C$109:$BD$166,52,FALSE)</f>
        <v>0</v>
      </c>
      <c r="BF27" s="10">
        <f ca="1">VLOOKUP($B27,'[9]Analisys QBR By Machine Report'!$C$109:$BD$166,53,FALSE)</f>
        <v>1110</v>
      </c>
    </row>
    <row r="28" spans="1:58" x14ac:dyDescent="0.25">
      <c r="A28" s="12" t="s">
        <v>84</v>
      </c>
      <c r="B28" s="13">
        <f ca="1">VLOOKUP($B28,'[9]Analisys QBR By Machine Report'!$C$109:$BD$166,2,FALSE)</f>
        <v>30240</v>
      </c>
      <c r="C28" s="14">
        <f ca="1">VLOOKUP($B28,[9]Dasboard_QBR_Report!$B$109:$BL$166,3,FALSE)</f>
        <v>19530</v>
      </c>
      <c r="D28" s="13">
        <f ca="1">VLOOKUP($B28,'[9]Analisys QBR By Machine Report'!$C$109:$BD$166,3,FALSE)</f>
        <v>23010</v>
      </c>
      <c r="E28" s="14">
        <f ca="1">VLOOKUP($B28,[9]Dasboard_QBR_Report!$B$109:$BL$166,5,FALSE)</f>
        <v>12300</v>
      </c>
      <c r="F28" s="13">
        <f t="shared" ca="1" si="0"/>
        <v>7230</v>
      </c>
      <c r="G28" s="13">
        <f t="shared" ca="1" si="1"/>
        <v>240</v>
      </c>
      <c r="H28" s="13">
        <f ca="1">VLOOKUP($B28,'[9]Analisys QBR By Machine Report'!$C$109:$BD$166,4,FALSE)</f>
        <v>240</v>
      </c>
      <c r="I28" s="13">
        <f ca="1">VLOOKUP($B28,'[9]Analisys QBR By Machine Report'!$C$109:$BD$166,5,FALSE)</f>
        <v>30</v>
      </c>
      <c r="J28" s="13">
        <f ca="1">VLOOKUP($B28,'[9]Analisys QBR By Machine Report'!$C$109:$BD$166,6,FALSE)</f>
        <v>210</v>
      </c>
      <c r="K28" s="13">
        <f ca="1">VLOOKUP($B28,'[9]Analisys QBR By Machine Report'!$C$109:$BD$166,7,FALSE)</f>
        <v>0</v>
      </c>
      <c r="L28" s="13">
        <f ca="1">VLOOKUP($B28,'[9]Analisys QBR By Machine Report'!$C$109:$BD$166,8,FALSE)</f>
        <v>6990</v>
      </c>
      <c r="M28" s="13">
        <f ca="1">VLOOKUP($B28,'[9]Analisys QBR By Machine Report'!$C$109:$BD$166,9,FALSE)</f>
        <v>1824</v>
      </c>
      <c r="N28" s="13">
        <f ca="1">VLOOKUP($B28,[9]Dasboard_QBR_Report!$B$109:$BL$166,18,FALSE)</f>
        <v>5166</v>
      </c>
      <c r="O28" s="13">
        <f ca="1">VLOOKUP($B28,'[9]Analisys QBR By Machine Report'!$C$109:$BD$166,10,FALSE)</f>
        <v>208</v>
      </c>
      <c r="P28" s="13">
        <f ca="1">VLOOKUP($B28,'[9]Analisys QBR By Machine Report'!$C$109:$BD$166,11,FALSE)</f>
        <v>208</v>
      </c>
      <c r="Q28" s="13">
        <f ca="1">VLOOKUP($B28,'[9]Analisys QBR By Machine Report'!$C$109:$BD$166,12,FALSE)</f>
        <v>0</v>
      </c>
      <c r="R28" s="13">
        <f ca="1">VLOOKUP($B28,'[9]Analisys QBR By Machine Report'!$C$109:$BD$166,13,FALSE)</f>
        <v>0</v>
      </c>
      <c r="S28" s="13">
        <f ca="1">VLOOKUP($B28,'[9]Analisys QBR By Machine Report'!$C$109:$BD$166,14,FALSE)</f>
        <v>0</v>
      </c>
      <c r="T28" s="13">
        <f ca="1">VLOOKUP($B28,'[9]Analisys QBR By Machine Report'!$C$109:$BD$166,15,FALSE)</f>
        <v>180</v>
      </c>
      <c r="U28" s="13">
        <f ca="1">VLOOKUP($B28,'[9]Analisys QBR By Machine Report'!$C$109:$BD$166,16,FALSE)</f>
        <v>0</v>
      </c>
      <c r="V28" s="13">
        <f ca="1">VLOOKUP($B28,'[9]Analisys QBR By Machine Report'!$C$109:$BD$166,17,FALSE)</f>
        <v>0</v>
      </c>
      <c r="W28" s="13">
        <f ca="1">VLOOKUP($B28,'[9]Analisys QBR By Machine Report'!$C$109:$BD$166,18,FALSE)</f>
        <v>0</v>
      </c>
      <c r="X28" s="13">
        <f ca="1">VLOOKUP($B28,'[9]Analisys QBR By Machine Report'!$C$109:$BD$166,19,FALSE)</f>
        <v>0</v>
      </c>
      <c r="Y28" s="13">
        <f ca="1">VLOOKUP($B28,'[9]Analisys QBR By Machine Report'!$C$109:$BD$166,20,FALSE)</f>
        <v>180</v>
      </c>
      <c r="Z28" s="13">
        <f ca="1">VLOOKUP($B28,'[9]Analisys QBR By Machine Report'!$C$109:$BD$166,21,FALSE)</f>
        <v>2608</v>
      </c>
      <c r="AA28" s="13">
        <f ca="1">VLOOKUP($B28,'[9]Analisys QBR By Machine Report'!$C$109:$BD$166,22,FALSE)</f>
        <v>383</v>
      </c>
      <c r="AB28" s="13">
        <f ca="1">VLOOKUP($B28,'[9]Analisys QBR By Machine Report'!$C$109:$BD$166,23,FALSE)</f>
        <v>2018</v>
      </c>
      <c r="AC28" s="13">
        <f ca="1">VLOOKUP($B28,'[9]Analisys QBR By Machine Report'!$C$109:$BD$166,24,FALSE)</f>
        <v>0</v>
      </c>
      <c r="AD28" s="13">
        <f ca="1">VLOOKUP($B28,'[9]Analisys QBR By Machine Report'!$C$109:$BD$166,25,FALSE)</f>
        <v>207</v>
      </c>
      <c r="AE28" s="13">
        <f ca="1">VLOOKUP($B28,'[9]Analisys QBR By Machine Report'!$C$109:$BD$166,26,FALSE)</f>
        <v>0</v>
      </c>
      <c r="AF28" s="13">
        <f ca="1">VLOOKUP($B28,'[9]Analisys QBR By Machine Report'!$C$109:$BD$166,27,FALSE)</f>
        <v>0</v>
      </c>
      <c r="AG28" s="13">
        <f ca="1">VLOOKUP($B28,'[9]Analisys QBR By Machine Report'!$C$109:$BD$166,28,FALSE)</f>
        <v>0</v>
      </c>
      <c r="AH28" s="13">
        <f ca="1">VLOOKUP($B28,'[9]Analisys QBR By Machine Report'!$C$109:$BD$166,29,FALSE)</f>
        <v>0</v>
      </c>
      <c r="AI28" s="13">
        <f ca="1">VLOOKUP($B28,'[9]Analisys QBR By Machine Report'!$C$109:$BD$166,30,FALSE)</f>
        <v>2170</v>
      </c>
      <c r="AJ28" s="13">
        <f ca="1">VLOOKUP($B28,'[9]Analisys QBR By Machine Report'!$C$109:$BD$166,31,FALSE)</f>
        <v>0</v>
      </c>
      <c r="AK28" s="13">
        <f ca="1">VLOOKUP($B28,'[9]Analisys QBR By Machine Report'!$C$109:$BD$166,32,FALSE)</f>
        <v>280</v>
      </c>
      <c r="AL28" s="13">
        <f ca="1">VLOOKUP($B28,'[9]Analisys QBR By Machine Report'!$C$109:$BD$166,33,FALSE)</f>
        <v>400</v>
      </c>
      <c r="AM28" s="13">
        <f ca="1">VLOOKUP($B28,'[9]Analisys QBR By Machine Report'!$C$109:$BD$166,34,FALSE)</f>
        <v>0</v>
      </c>
      <c r="AN28" s="13">
        <f ca="1">VLOOKUP($B28,'[9]Analisys QBR By Machine Report'!$C$109:$BD$166,35,FALSE)</f>
        <v>385</v>
      </c>
      <c r="AO28" s="13">
        <f ca="1">VLOOKUP($B28,'[9]Analisys QBR By Machine Report'!$C$109:$BD$166,36,FALSE)</f>
        <v>0</v>
      </c>
      <c r="AP28" s="13">
        <f ca="1">VLOOKUP($B28,'[9]Analisys QBR By Machine Report'!$C$109:$BD$166,37,FALSE)</f>
        <v>0</v>
      </c>
      <c r="AQ28" s="13">
        <f ca="1">VLOOKUP($B28,'[9]Analisys QBR By Machine Report'!$C$109:$BD$166,38,FALSE)</f>
        <v>0</v>
      </c>
      <c r="AR28" s="13">
        <f ca="1">VLOOKUP($B28,'[9]Analisys QBR By Machine Report'!$C$109:$BD$166,39,FALSE)</f>
        <v>22</v>
      </c>
      <c r="AS28" s="13">
        <f ca="1">VLOOKUP($B28,'[9]Analisys QBR By Machine Report'!$C$109:$BD$166,40,FALSE)</f>
        <v>10</v>
      </c>
      <c r="AT28" s="13">
        <f ca="1">VLOOKUP($B28,'[9]Analisys QBR By Machine Report'!$C$109:$BD$166,41,FALSE)</f>
        <v>0</v>
      </c>
      <c r="AU28" s="13">
        <f ca="1">VLOOKUP($B28,'[9]Analisys QBR By Machine Report'!$C$109:$BD$166,42,FALSE)</f>
        <v>0</v>
      </c>
      <c r="AV28" s="13">
        <f ca="1">VLOOKUP($B28,'[9]Analisys QBR By Machine Report'!$C$109:$BD$166,43,FALSE)</f>
        <v>0</v>
      </c>
      <c r="AW28" s="13">
        <f ca="1">VLOOKUP($B28,'[9]Analisys QBR By Machine Report'!$C$109:$BD$166,44,FALSE)</f>
        <v>0</v>
      </c>
      <c r="AX28" s="13">
        <f ca="1">VLOOKUP($B28,'[9]Analisys QBR By Machine Report'!$C$109:$BD$166,45,FALSE)</f>
        <v>0</v>
      </c>
      <c r="AY28" s="13">
        <f ca="1">VLOOKUP($B28,'[9]Analisys QBR By Machine Report'!$C$109:$BD$166,46,FALSE)</f>
        <v>0</v>
      </c>
      <c r="AZ28" s="13">
        <f ca="1">VLOOKUP($B28,'[9]Analisys QBR By Machine Report'!$C$109:$BD$166,47,FALSE)</f>
        <v>883</v>
      </c>
      <c r="BA28" s="13">
        <f ca="1">VLOOKUP($B28,'[9]Analisys QBR By Machine Report'!$C$109:$BD$166,48,FALSE)</f>
        <v>190</v>
      </c>
      <c r="BB28" s="13">
        <f ca="1">VLOOKUP($B28,'[9]Analisys QBR By Machine Report'!$C$109:$BD$166,49,FALSE)</f>
        <v>0</v>
      </c>
      <c r="BC28" s="13">
        <f ca="1">VLOOKUP($B28,'[9]Analisys QBR By Machine Report'!$C$109:$BD$166,50,FALSE)</f>
        <v>0</v>
      </c>
      <c r="BD28" s="13">
        <f ca="1">VLOOKUP($B28,'[9]Analisys QBR By Machine Report'!$C$109:$BD$166,51,FALSE)</f>
        <v>1110</v>
      </c>
      <c r="BE28" s="13">
        <f ca="1">VLOOKUP($B28,'[9]Analisys QBR By Machine Report'!$C$109:$BD$166,52,FALSE)</f>
        <v>0</v>
      </c>
      <c r="BF28" s="13">
        <f ca="1">VLOOKUP($B28,'[9]Analisys QBR By Machine Report'!$C$109:$BD$166,53,FALSE)</f>
        <v>1110</v>
      </c>
    </row>
    <row r="29" spans="1:58" x14ac:dyDescent="0.25">
      <c r="A29" s="9" t="s">
        <v>85</v>
      </c>
      <c r="B29" s="10">
        <f ca="1">VLOOKUP($B29,'[9]Analisys QBR By Machine Report'!$C$109:$BD$166,2,FALSE)</f>
        <v>60480</v>
      </c>
      <c r="C29" s="11">
        <f ca="1">VLOOKUP($B29,[9]Dasboard_QBR_Report!$B$109:$BL$166,3,FALSE)</f>
        <v>39060</v>
      </c>
      <c r="D29" s="10">
        <f ca="1">VLOOKUP($B29,'[9]Analisys QBR By Machine Report'!$C$109:$BD$166,3,FALSE)</f>
        <v>38730</v>
      </c>
      <c r="E29" s="11">
        <f ca="1">VLOOKUP($B29,[9]Dasboard_QBR_Report!$B$109:$BL$166,5,FALSE)</f>
        <v>17310</v>
      </c>
      <c r="F29" s="10">
        <f t="shared" ca="1" si="0"/>
        <v>21750</v>
      </c>
      <c r="G29" s="10">
        <f t="shared" ca="1" si="1"/>
        <v>1965</v>
      </c>
      <c r="H29" s="10">
        <f ca="1">VLOOKUP($B29,'[9]Analisys QBR By Machine Report'!$C$109:$BD$166,4,FALSE)</f>
        <v>1910</v>
      </c>
      <c r="I29" s="10">
        <f ca="1">VLOOKUP($B29,'[9]Analisys QBR By Machine Report'!$C$109:$BD$166,5,FALSE)</f>
        <v>150</v>
      </c>
      <c r="J29" s="10">
        <f ca="1">VLOOKUP($B29,'[9]Analisys QBR By Machine Report'!$C$109:$BD$166,6,FALSE)</f>
        <v>1760</v>
      </c>
      <c r="K29" s="10">
        <f ca="1">VLOOKUP($B29,'[9]Analisys QBR By Machine Report'!$C$109:$BD$166,7,FALSE)</f>
        <v>55</v>
      </c>
      <c r="L29" s="10">
        <f ca="1">VLOOKUP($B29,'[9]Analisys QBR By Machine Report'!$C$109:$BD$166,8,FALSE)</f>
        <v>19785</v>
      </c>
      <c r="M29" s="10">
        <f ca="1">VLOOKUP($B29,'[9]Analisys QBR By Machine Report'!$C$109:$BD$166,9,FALSE)</f>
        <v>6540</v>
      </c>
      <c r="N29" s="10">
        <f ca="1">VLOOKUP($B29,[9]Dasboard_QBR_Report!$B$109:$BL$166,18,FALSE)</f>
        <v>13245</v>
      </c>
      <c r="O29" s="10">
        <f ca="1">VLOOKUP($B29,'[9]Analisys QBR By Machine Report'!$C$109:$BD$166,10,FALSE)</f>
        <v>2223</v>
      </c>
      <c r="P29" s="10">
        <f ca="1">VLOOKUP($B29,'[9]Analisys QBR By Machine Report'!$C$109:$BD$166,11,FALSE)</f>
        <v>2021</v>
      </c>
      <c r="Q29" s="10">
        <f ca="1">VLOOKUP($B29,'[9]Analisys QBR By Machine Report'!$C$109:$BD$166,12,FALSE)</f>
        <v>50</v>
      </c>
      <c r="R29" s="10">
        <f ca="1">VLOOKUP($B29,'[9]Analisys QBR By Machine Report'!$C$109:$BD$166,13,FALSE)</f>
        <v>146</v>
      </c>
      <c r="S29" s="10">
        <f ca="1">VLOOKUP($B29,'[9]Analisys QBR By Machine Report'!$C$109:$BD$166,14,FALSE)</f>
        <v>6</v>
      </c>
      <c r="T29" s="10">
        <f ca="1">VLOOKUP($B29,'[9]Analisys QBR By Machine Report'!$C$109:$BD$166,15,FALSE)</f>
        <v>552</v>
      </c>
      <c r="U29" s="10">
        <f ca="1">VLOOKUP($B29,'[9]Analisys QBR By Machine Report'!$C$109:$BD$166,16,FALSE)</f>
        <v>34</v>
      </c>
      <c r="V29" s="10">
        <f ca="1">VLOOKUP($B29,'[9]Analisys QBR By Machine Report'!$C$109:$BD$166,17,FALSE)</f>
        <v>92</v>
      </c>
      <c r="W29" s="10">
        <f ca="1">VLOOKUP($B29,'[9]Analisys QBR By Machine Report'!$C$109:$BD$166,18,FALSE)</f>
        <v>0</v>
      </c>
      <c r="X29" s="10">
        <f ca="1">VLOOKUP($B29,'[9]Analisys QBR By Machine Report'!$C$109:$BD$166,19,FALSE)</f>
        <v>83</v>
      </c>
      <c r="Y29" s="10">
        <f ca="1">VLOOKUP($B29,'[9]Analisys QBR By Machine Report'!$C$109:$BD$166,20,FALSE)</f>
        <v>343</v>
      </c>
      <c r="Z29" s="10">
        <f ca="1">VLOOKUP($B29,'[9]Analisys QBR By Machine Report'!$C$109:$BD$166,21,FALSE)</f>
        <v>5287</v>
      </c>
      <c r="AA29" s="10">
        <f ca="1">VLOOKUP($B29,'[9]Analisys QBR By Machine Report'!$C$109:$BD$166,22,FALSE)</f>
        <v>1015</v>
      </c>
      <c r="AB29" s="10">
        <f ca="1">VLOOKUP($B29,'[9]Analisys QBR By Machine Report'!$C$109:$BD$166,23,FALSE)</f>
        <v>4247</v>
      </c>
      <c r="AC29" s="10">
        <f ca="1">VLOOKUP($B29,'[9]Analisys QBR By Machine Report'!$C$109:$BD$166,24,FALSE)</f>
        <v>25</v>
      </c>
      <c r="AD29" s="10">
        <f ca="1">VLOOKUP($B29,'[9]Analisys QBR By Machine Report'!$C$109:$BD$166,25,FALSE)</f>
        <v>0</v>
      </c>
      <c r="AE29" s="10">
        <f ca="1">VLOOKUP($B29,'[9]Analisys QBR By Machine Report'!$C$109:$BD$166,26,FALSE)</f>
        <v>0</v>
      </c>
      <c r="AF29" s="10">
        <f ca="1">VLOOKUP($B29,'[9]Analisys QBR By Machine Report'!$C$109:$BD$166,27,FALSE)</f>
        <v>0</v>
      </c>
      <c r="AG29" s="10">
        <f ca="1">VLOOKUP($B29,'[9]Analisys QBR By Machine Report'!$C$109:$BD$166,28,FALSE)</f>
        <v>0</v>
      </c>
      <c r="AH29" s="10">
        <f ca="1">VLOOKUP($B29,'[9]Analisys QBR By Machine Report'!$C$109:$BD$166,29,FALSE)</f>
        <v>0</v>
      </c>
      <c r="AI29" s="10">
        <f ca="1">VLOOKUP($B29,'[9]Analisys QBR By Machine Report'!$C$109:$BD$166,30,FALSE)</f>
        <v>5183</v>
      </c>
      <c r="AJ29" s="10">
        <f ca="1">VLOOKUP($B29,'[9]Analisys QBR By Machine Report'!$C$109:$BD$166,31,FALSE)</f>
        <v>0</v>
      </c>
      <c r="AK29" s="10">
        <f ca="1">VLOOKUP($B29,'[9]Analisys QBR By Machine Report'!$C$109:$BD$166,32,FALSE)</f>
        <v>0</v>
      </c>
      <c r="AL29" s="10">
        <f ca="1">VLOOKUP($B29,'[9]Analisys QBR By Machine Report'!$C$109:$BD$166,33,FALSE)</f>
        <v>1406</v>
      </c>
      <c r="AM29" s="10">
        <f ca="1">VLOOKUP($B29,'[9]Analisys QBR By Machine Report'!$C$109:$BD$166,34,FALSE)</f>
        <v>0</v>
      </c>
      <c r="AN29" s="10">
        <f ca="1">VLOOKUP($B29,'[9]Analisys QBR By Machine Report'!$C$109:$BD$166,35,FALSE)</f>
        <v>1485</v>
      </c>
      <c r="AO29" s="10">
        <f ca="1">VLOOKUP($B29,'[9]Analisys QBR By Machine Report'!$C$109:$BD$166,36,FALSE)</f>
        <v>0</v>
      </c>
      <c r="AP29" s="10">
        <f ca="1">VLOOKUP($B29,'[9]Analisys QBR By Machine Report'!$C$109:$BD$166,37,FALSE)</f>
        <v>0</v>
      </c>
      <c r="AQ29" s="10">
        <f ca="1">VLOOKUP($B29,'[9]Analisys QBR By Machine Report'!$C$109:$BD$166,38,FALSE)</f>
        <v>45</v>
      </c>
      <c r="AR29" s="10">
        <f ca="1">VLOOKUP($B29,'[9]Analisys QBR By Machine Report'!$C$109:$BD$166,39,FALSE)</f>
        <v>210</v>
      </c>
      <c r="AS29" s="10">
        <f ca="1">VLOOKUP($B29,'[9]Analisys QBR By Machine Report'!$C$109:$BD$166,40,FALSE)</f>
        <v>363</v>
      </c>
      <c r="AT29" s="10">
        <f ca="1">VLOOKUP($B29,'[9]Analisys QBR By Machine Report'!$C$109:$BD$166,41,FALSE)</f>
        <v>0</v>
      </c>
      <c r="AU29" s="10">
        <f ca="1">VLOOKUP($B29,'[9]Analisys QBR By Machine Report'!$C$109:$BD$166,42,FALSE)</f>
        <v>0</v>
      </c>
      <c r="AV29" s="10">
        <f ca="1">VLOOKUP($B29,'[9]Analisys QBR By Machine Report'!$C$109:$BD$166,43,FALSE)</f>
        <v>1623</v>
      </c>
      <c r="AW29" s="10">
        <f ca="1">VLOOKUP($B29,'[9]Analisys QBR By Machine Report'!$C$109:$BD$166,44,FALSE)</f>
        <v>0</v>
      </c>
      <c r="AX29" s="10">
        <f ca="1">VLOOKUP($B29,'[9]Analisys QBR By Machine Report'!$C$109:$BD$166,45,FALSE)</f>
        <v>0</v>
      </c>
      <c r="AY29" s="10">
        <f ca="1">VLOOKUP($B29,'[9]Analisys QBR By Machine Report'!$C$109:$BD$166,46,FALSE)</f>
        <v>0</v>
      </c>
      <c r="AZ29" s="10">
        <f ca="1">VLOOKUP($B29,'[9]Analisys QBR By Machine Report'!$C$109:$BD$166,47,FALSE)</f>
        <v>51</v>
      </c>
      <c r="BA29" s="10">
        <f ca="1">VLOOKUP($B29,'[9]Analisys QBR By Machine Report'!$C$109:$BD$166,48,FALSE)</f>
        <v>0</v>
      </c>
      <c r="BB29" s="10">
        <f ca="1">VLOOKUP($B29,'[9]Analisys QBR By Machine Report'!$C$109:$BD$166,49,FALSE)</f>
        <v>0</v>
      </c>
      <c r="BC29" s="10">
        <f ca="1">VLOOKUP($B29,'[9]Analisys QBR By Machine Report'!$C$109:$BD$166,50,FALSE)</f>
        <v>0</v>
      </c>
      <c r="BD29" s="10">
        <f ca="1">VLOOKUP($B29,'[9]Analisys QBR By Machine Report'!$C$109:$BD$166,51,FALSE)</f>
        <v>681149</v>
      </c>
      <c r="BE29" s="10">
        <f ca="1">VLOOKUP($B29,'[9]Analisys QBR By Machine Report'!$C$109:$BD$166,52,FALSE)</f>
        <v>56</v>
      </c>
      <c r="BF29" s="10">
        <f ca="1">VLOOKUP($B29,'[9]Analisys QBR By Machine Report'!$C$109:$BD$166,53,FALSE)</f>
        <v>681093</v>
      </c>
    </row>
    <row r="30" spans="1:58" x14ac:dyDescent="0.25">
      <c r="A30" s="12" t="s">
        <v>86</v>
      </c>
      <c r="B30" s="13">
        <f ca="1">VLOOKUP($B30,'[9]Analisys QBR By Machine Report'!$C$109:$BD$166,2,FALSE)</f>
        <v>30240</v>
      </c>
      <c r="C30" s="14">
        <f ca="1">VLOOKUP($B30,[9]Dasboard_QBR_Report!$B$109:$BL$166,3,FALSE)</f>
        <v>19530</v>
      </c>
      <c r="D30" s="13">
        <f ca="1">VLOOKUP($B30,'[9]Analisys QBR By Machine Report'!$C$109:$BD$166,3,FALSE)</f>
        <v>19920</v>
      </c>
      <c r="E30" s="14">
        <f ca="1">VLOOKUP($B30,[9]Dasboard_QBR_Report!$B$109:$BL$166,5,FALSE)</f>
        <v>9210</v>
      </c>
      <c r="F30" s="13">
        <f t="shared" ca="1" si="0"/>
        <v>10320</v>
      </c>
      <c r="G30" s="13">
        <f t="shared" ca="1" si="1"/>
        <v>1230</v>
      </c>
      <c r="H30" s="13">
        <f ca="1">VLOOKUP($B30,'[9]Analisys QBR By Machine Report'!$C$109:$BD$166,4,FALSE)</f>
        <v>1175</v>
      </c>
      <c r="I30" s="13">
        <f ca="1">VLOOKUP($B30,'[9]Analisys QBR By Machine Report'!$C$109:$BD$166,5,FALSE)</f>
        <v>90</v>
      </c>
      <c r="J30" s="13">
        <f ca="1">VLOOKUP($B30,'[9]Analisys QBR By Machine Report'!$C$109:$BD$166,6,FALSE)</f>
        <v>1085</v>
      </c>
      <c r="K30" s="13">
        <f ca="1">VLOOKUP($B30,'[9]Analisys QBR By Machine Report'!$C$109:$BD$166,7,FALSE)</f>
        <v>55</v>
      </c>
      <c r="L30" s="13">
        <f ca="1">VLOOKUP($B30,'[9]Analisys QBR By Machine Report'!$C$109:$BD$166,8,FALSE)</f>
        <v>9090</v>
      </c>
      <c r="M30" s="13">
        <f ca="1">VLOOKUP($B30,'[9]Analisys QBR By Machine Report'!$C$109:$BD$166,9,FALSE)</f>
        <v>2015</v>
      </c>
      <c r="N30" s="13">
        <f ca="1">VLOOKUP($B30,[9]Dasboard_QBR_Report!$B$109:$BL$166,18,FALSE)</f>
        <v>7075</v>
      </c>
      <c r="O30" s="13">
        <f ca="1">VLOOKUP($B30,'[9]Analisys QBR By Machine Report'!$C$109:$BD$166,10,FALSE)</f>
        <v>1043</v>
      </c>
      <c r="P30" s="13">
        <f ca="1">VLOOKUP($B30,'[9]Analisys QBR By Machine Report'!$C$109:$BD$166,11,FALSE)</f>
        <v>986</v>
      </c>
      <c r="Q30" s="13">
        <f ca="1">VLOOKUP($B30,'[9]Analisys QBR By Machine Report'!$C$109:$BD$166,12,FALSE)</f>
        <v>50</v>
      </c>
      <c r="R30" s="13">
        <f ca="1">VLOOKUP($B30,'[9]Analisys QBR By Machine Report'!$C$109:$BD$166,13,FALSE)</f>
        <v>1</v>
      </c>
      <c r="S30" s="13">
        <f ca="1">VLOOKUP($B30,'[9]Analisys QBR By Machine Report'!$C$109:$BD$166,14,FALSE)</f>
        <v>6</v>
      </c>
      <c r="T30" s="13">
        <f ca="1">VLOOKUP($B30,'[9]Analisys QBR By Machine Report'!$C$109:$BD$166,15,FALSE)</f>
        <v>406</v>
      </c>
      <c r="U30" s="13">
        <f ca="1">VLOOKUP($B30,'[9]Analisys QBR By Machine Report'!$C$109:$BD$166,16,FALSE)</f>
        <v>0</v>
      </c>
      <c r="V30" s="13">
        <f ca="1">VLOOKUP($B30,'[9]Analisys QBR By Machine Report'!$C$109:$BD$166,17,FALSE)</f>
        <v>85</v>
      </c>
      <c r="W30" s="13">
        <f ca="1">VLOOKUP($B30,'[9]Analisys QBR By Machine Report'!$C$109:$BD$166,18,FALSE)</f>
        <v>0</v>
      </c>
      <c r="X30" s="13">
        <f ca="1">VLOOKUP($B30,'[9]Analisys QBR By Machine Report'!$C$109:$BD$166,19,FALSE)</f>
        <v>48</v>
      </c>
      <c r="Y30" s="13">
        <f ca="1">VLOOKUP($B30,'[9]Analisys QBR By Machine Report'!$C$109:$BD$166,20,FALSE)</f>
        <v>273</v>
      </c>
      <c r="Z30" s="13">
        <f ca="1">VLOOKUP($B30,'[9]Analisys QBR By Machine Report'!$C$109:$BD$166,21,FALSE)</f>
        <v>2792</v>
      </c>
      <c r="AA30" s="13">
        <f ca="1">VLOOKUP($B30,'[9]Analisys QBR By Machine Report'!$C$109:$BD$166,22,FALSE)</f>
        <v>735</v>
      </c>
      <c r="AB30" s="13">
        <f ca="1">VLOOKUP($B30,'[9]Analisys QBR By Machine Report'!$C$109:$BD$166,23,FALSE)</f>
        <v>2032</v>
      </c>
      <c r="AC30" s="13">
        <f ca="1">VLOOKUP($B30,'[9]Analisys QBR By Machine Report'!$C$109:$BD$166,24,FALSE)</f>
        <v>25</v>
      </c>
      <c r="AD30" s="13">
        <f ca="1">VLOOKUP($B30,'[9]Analisys QBR By Machine Report'!$C$109:$BD$166,25,FALSE)</f>
        <v>0</v>
      </c>
      <c r="AE30" s="13">
        <f ca="1">VLOOKUP($B30,'[9]Analisys QBR By Machine Report'!$C$109:$BD$166,26,FALSE)</f>
        <v>0</v>
      </c>
      <c r="AF30" s="13">
        <f ca="1">VLOOKUP($B30,'[9]Analisys QBR By Machine Report'!$C$109:$BD$166,27,FALSE)</f>
        <v>0</v>
      </c>
      <c r="AG30" s="13">
        <f ca="1">VLOOKUP($B30,'[9]Analisys QBR By Machine Report'!$C$109:$BD$166,28,FALSE)</f>
        <v>0</v>
      </c>
      <c r="AH30" s="13">
        <f ca="1">VLOOKUP($B30,'[9]Analisys QBR By Machine Report'!$C$109:$BD$166,29,FALSE)</f>
        <v>0</v>
      </c>
      <c r="AI30" s="13">
        <f ca="1">VLOOKUP($B30,'[9]Analisys QBR By Machine Report'!$C$109:$BD$166,30,FALSE)</f>
        <v>2834</v>
      </c>
      <c r="AJ30" s="13">
        <f ca="1">VLOOKUP($B30,'[9]Analisys QBR By Machine Report'!$C$109:$BD$166,31,FALSE)</f>
        <v>0</v>
      </c>
      <c r="AK30" s="13">
        <f ca="1">VLOOKUP($B30,'[9]Analisys QBR By Machine Report'!$C$109:$BD$166,32,FALSE)</f>
        <v>0</v>
      </c>
      <c r="AL30" s="13">
        <f ca="1">VLOOKUP($B30,'[9]Analisys QBR By Machine Report'!$C$109:$BD$166,33,FALSE)</f>
        <v>686</v>
      </c>
      <c r="AM30" s="13">
        <f ca="1">VLOOKUP($B30,'[9]Analisys QBR By Machine Report'!$C$109:$BD$166,34,FALSE)</f>
        <v>0</v>
      </c>
      <c r="AN30" s="13">
        <f ca="1">VLOOKUP($B30,'[9]Analisys QBR By Machine Report'!$C$109:$BD$166,35,FALSE)</f>
        <v>675</v>
      </c>
      <c r="AO30" s="13">
        <f ca="1">VLOOKUP($B30,'[9]Analisys QBR By Machine Report'!$C$109:$BD$166,36,FALSE)</f>
        <v>0</v>
      </c>
      <c r="AP30" s="13">
        <f ca="1">VLOOKUP($B30,'[9]Analisys QBR By Machine Report'!$C$109:$BD$166,37,FALSE)</f>
        <v>0</v>
      </c>
      <c r="AQ30" s="13">
        <f ca="1">VLOOKUP($B30,'[9]Analisys QBR By Machine Report'!$C$109:$BD$166,38,FALSE)</f>
        <v>0</v>
      </c>
      <c r="AR30" s="13">
        <f ca="1">VLOOKUP($B30,'[9]Analisys QBR By Machine Report'!$C$109:$BD$166,39,FALSE)</f>
        <v>210</v>
      </c>
      <c r="AS30" s="13">
        <f ca="1">VLOOKUP($B30,'[9]Analisys QBR By Machine Report'!$C$109:$BD$166,40,FALSE)</f>
        <v>243</v>
      </c>
      <c r="AT30" s="13">
        <f ca="1">VLOOKUP($B30,'[9]Analisys QBR By Machine Report'!$C$109:$BD$166,41,FALSE)</f>
        <v>0</v>
      </c>
      <c r="AU30" s="13">
        <f ca="1">VLOOKUP($B30,'[9]Analisys QBR By Machine Report'!$C$109:$BD$166,42,FALSE)</f>
        <v>0</v>
      </c>
      <c r="AV30" s="13">
        <f ca="1">VLOOKUP($B30,'[9]Analisys QBR By Machine Report'!$C$109:$BD$166,43,FALSE)</f>
        <v>985</v>
      </c>
      <c r="AW30" s="13">
        <f ca="1">VLOOKUP($B30,'[9]Analisys QBR By Machine Report'!$C$109:$BD$166,44,FALSE)</f>
        <v>0</v>
      </c>
      <c r="AX30" s="13">
        <f ca="1">VLOOKUP($B30,'[9]Analisys QBR By Machine Report'!$C$109:$BD$166,45,FALSE)</f>
        <v>0</v>
      </c>
      <c r="AY30" s="13">
        <f ca="1">VLOOKUP($B30,'[9]Analisys QBR By Machine Report'!$C$109:$BD$166,46,FALSE)</f>
        <v>0</v>
      </c>
      <c r="AZ30" s="13">
        <f ca="1">VLOOKUP($B30,'[9]Analisys QBR By Machine Report'!$C$109:$BD$166,47,FALSE)</f>
        <v>35</v>
      </c>
      <c r="BA30" s="13">
        <f ca="1">VLOOKUP($B30,'[9]Analisys QBR By Machine Report'!$C$109:$BD$166,48,FALSE)</f>
        <v>0</v>
      </c>
      <c r="BB30" s="13">
        <f ca="1">VLOOKUP($B30,'[9]Analisys QBR By Machine Report'!$C$109:$BD$166,49,FALSE)</f>
        <v>0</v>
      </c>
      <c r="BC30" s="13">
        <f ca="1">VLOOKUP($B30,'[9]Analisys QBR By Machine Report'!$C$109:$BD$166,50,FALSE)</f>
        <v>0</v>
      </c>
      <c r="BD30" s="13">
        <f ca="1">VLOOKUP($B30,'[9]Analisys QBR By Machine Report'!$C$109:$BD$166,51,FALSE)</f>
        <v>331709</v>
      </c>
      <c r="BE30" s="13">
        <f ca="1">VLOOKUP($B30,'[9]Analisys QBR By Machine Report'!$C$109:$BD$166,52,FALSE)</f>
        <v>0</v>
      </c>
      <c r="BF30" s="13">
        <f ca="1">VLOOKUP($B30,'[9]Analisys QBR By Machine Report'!$C$109:$BD$166,53,FALSE)</f>
        <v>331709</v>
      </c>
    </row>
    <row r="31" spans="1:58" x14ac:dyDescent="0.25">
      <c r="A31" s="12" t="s">
        <v>87</v>
      </c>
      <c r="B31" s="13">
        <f ca="1">VLOOKUP($B31,'[9]Analisys QBR By Machine Report'!$C$109:$BD$166,2,FALSE)</f>
        <v>30240</v>
      </c>
      <c r="C31" s="14">
        <f ca="1">VLOOKUP($B31,[9]Dasboard_QBR_Report!$B$109:$BL$166,3,FALSE)</f>
        <v>19530</v>
      </c>
      <c r="D31" s="13">
        <f ca="1">VLOOKUP($B31,'[9]Analisys QBR By Machine Report'!$C$109:$BD$166,3,FALSE)</f>
        <v>18810</v>
      </c>
      <c r="E31" s="14">
        <f ca="1">VLOOKUP($B31,[9]Dasboard_QBR_Report!$B$109:$BL$166,5,FALSE)</f>
        <v>8100</v>
      </c>
      <c r="F31" s="13">
        <f t="shared" ca="1" si="0"/>
        <v>11430</v>
      </c>
      <c r="G31" s="13">
        <f t="shared" ca="1" si="1"/>
        <v>735</v>
      </c>
      <c r="H31" s="13">
        <f ca="1">VLOOKUP($B31,'[9]Analisys QBR By Machine Report'!$C$109:$BD$166,4,FALSE)</f>
        <v>735</v>
      </c>
      <c r="I31" s="13">
        <f ca="1">VLOOKUP($B31,'[9]Analisys QBR By Machine Report'!$C$109:$BD$166,5,FALSE)</f>
        <v>60</v>
      </c>
      <c r="J31" s="13">
        <f ca="1">VLOOKUP($B31,'[9]Analisys QBR By Machine Report'!$C$109:$BD$166,6,FALSE)</f>
        <v>675</v>
      </c>
      <c r="K31" s="13">
        <f ca="1">VLOOKUP($B31,'[9]Analisys QBR By Machine Report'!$C$109:$BD$166,7,FALSE)</f>
        <v>0</v>
      </c>
      <c r="L31" s="13">
        <f ca="1">VLOOKUP($B31,'[9]Analisys QBR By Machine Report'!$C$109:$BD$166,8,FALSE)</f>
        <v>10695</v>
      </c>
      <c r="M31" s="13">
        <f ca="1">VLOOKUP($B31,'[9]Analisys QBR By Machine Report'!$C$109:$BD$166,9,FALSE)</f>
        <v>4525</v>
      </c>
      <c r="N31" s="13">
        <f ca="1">VLOOKUP($B31,[9]Dasboard_QBR_Report!$B$109:$BL$166,18,FALSE)</f>
        <v>6170</v>
      </c>
      <c r="O31" s="13">
        <f ca="1">VLOOKUP($B31,'[9]Analisys QBR By Machine Report'!$C$109:$BD$166,10,FALSE)</f>
        <v>1180</v>
      </c>
      <c r="P31" s="13">
        <f ca="1">VLOOKUP($B31,'[9]Analisys QBR By Machine Report'!$C$109:$BD$166,11,FALSE)</f>
        <v>1035</v>
      </c>
      <c r="Q31" s="13">
        <f ca="1">VLOOKUP($B31,'[9]Analisys QBR By Machine Report'!$C$109:$BD$166,12,FALSE)</f>
        <v>0</v>
      </c>
      <c r="R31" s="13">
        <f ca="1">VLOOKUP($B31,'[9]Analisys QBR By Machine Report'!$C$109:$BD$166,13,FALSE)</f>
        <v>145</v>
      </c>
      <c r="S31" s="13">
        <f ca="1">VLOOKUP($B31,'[9]Analisys QBR By Machine Report'!$C$109:$BD$166,14,FALSE)</f>
        <v>0</v>
      </c>
      <c r="T31" s="13">
        <f ca="1">VLOOKUP($B31,'[9]Analisys QBR By Machine Report'!$C$109:$BD$166,15,FALSE)</f>
        <v>146</v>
      </c>
      <c r="U31" s="13">
        <f ca="1">VLOOKUP($B31,'[9]Analisys QBR By Machine Report'!$C$109:$BD$166,16,FALSE)</f>
        <v>34</v>
      </c>
      <c r="V31" s="13">
        <f ca="1">VLOOKUP($B31,'[9]Analisys QBR By Machine Report'!$C$109:$BD$166,17,FALSE)</f>
        <v>7</v>
      </c>
      <c r="W31" s="13">
        <f ca="1">VLOOKUP($B31,'[9]Analisys QBR By Machine Report'!$C$109:$BD$166,18,FALSE)</f>
        <v>0</v>
      </c>
      <c r="X31" s="13">
        <f ca="1">VLOOKUP($B31,'[9]Analisys QBR By Machine Report'!$C$109:$BD$166,19,FALSE)</f>
        <v>35</v>
      </c>
      <c r="Y31" s="13">
        <f ca="1">VLOOKUP($B31,'[9]Analisys QBR By Machine Report'!$C$109:$BD$166,20,FALSE)</f>
        <v>70</v>
      </c>
      <c r="Z31" s="13">
        <f ca="1">VLOOKUP($B31,'[9]Analisys QBR By Machine Report'!$C$109:$BD$166,21,FALSE)</f>
        <v>2495</v>
      </c>
      <c r="AA31" s="13">
        <f ca="1">VLOOKUP($B31,'[9]Analisys QBR By Machine Report'!$C$109:$BD$166,22,FALSE)</f>
        <v>280</v>
      </c>
      <c r="AB31" s="13">
        <f ca="1">VLOOKUP($B31,'[9]Analisys QBR By Machine Report'!$C$109:$BD$166,23,FALSE)</f>
        <v>2215</v>
      </c>
      <c r="AC31" s="13">
        <f ca="1">VLOOKUP($B31,'[9]Analisys QBR By Machine Report'!$C$109:$BD$166,24,FALSE)</f>
        <v>0</v>
      </c>
      <c r="AD31" s="13">
        <f ca="1">VLOOKUP($B31,'[9]Analisys QBR By Machine Report'!$C$109:$BD$166,25,FALSE)</f>
        <v>0</v>
      </c>
      <c r="AE31" s="13">
        <f ca="1">VLOOKUP($B31,'[9]Analisys QBR By Machine Report'!$C$109:$BD$166,26,FALSE)</f>
        <v>0</v>
      </c>
      <c r="AF31" s="13">
        <f ca="1">VLOOKUP($B31,'[9]Analisys QBR By Machine Report'!$C$109:$BD$166,27,FALSE)</f>
        <v>0</v>
      </c>
      <c r="AG31" s="13">
        <f ca="1">VLOOKUP($B31,'[9]Analisys QBR By Machine Report'!$C$109:$BD$166,28,FALSE)</f>
        <v>0</v>
      </c>
      <c r="AH31" s="13">
        <f ca="1">VLOOKUP($B31,'[9]Analisys QBR By Machine Report'!$C$109:$BD$166,29,FALSE)</f>
        <v>0</v>
      </c>
      <c r="AI31" s="13">
        <f ca="1">VLOOKUP($B31,'[9]Analisys QBR By Machine Report'!$C$109:$BD$166,30,FALSE)</f>
        <v>2349</v>
      </c>
      <c r="AJ31" s="13">
        <f ca="1">VLOOKUP($B31,'[9]Analisys QBR By Machine Report'!$C$109:$BD$166,31,FALSE)</f>
        <v>0</v>
      </c>
      <c r="AK31" s="13">
        <f ca="1">VLOOKUP($B31,'[9]Analisys QBR By Machine Report'!$C$109:$BD$166,32,FALSE)</f>
        <v>0</v>
      </c>
      <c r="AL31" s="13">
        <f ca="1">VLOOKUP($B31,'[9]Analisys QBR By Machine Report'!$C$109:$BD$166,33,FALSE)</f>
        <v>720</v>
      </c>
      <c r="AM31" s="13">
        <f ca="1">VLOOKUP($B31,'[9]Analisys QBR By Machine Report'!$C$109:$BD$166,34,FALSE)</f>
        <v>0</v>
      </c>
      <c r="AN31" s="13">
        <f ca="1">VLOOKUP($B31,'[9]Analisys QBR By Machine Report'!$C$109:$BD$166,35,FALSE)</f>
        <v>810</v>
      </c>
      <c r="AO31" s="13">
        <f ca="1">VLOOKUP($B31,'[9]Analisys QBR By Machine Report'!$C$109:$BD$166,36,FALSE)</f>
        <v>0</v>
      </c>
      <c r="AP31" s="13">
        <f ca="1">VLOOKUP($B31,'[9]Analisys QBR By Machine Report'!$C$109:$BD$166,37,FALSE)</f>
        <v>0</v>
      </c>
      <c r="AQ31" s="13">
        <f ca="1">VLOOKUP($B31,'[9]Analisys QBR By Machine Report'!$C$109:$BD$166,38,FALSE)</f>
        <v>45</v>
      </c>
      <c r="AR31" s="13">
        <f ca="1">VLOOKUP($B31,'[9]Analisys QBR By Machine Report'!$C$109:$BD$166,39,FALSE)</f>
        <v>0</v>
      </c>
      <c r="AS31" s="13">
        <f ca="1">VLOOKUP($B31,'[9]Analisys QBR By Machine Report'!$C$109:$BD$166,40,FALSE)</f>
        <v>120</v>
      </c>
      <c r="AT31" s="13">
        <f ca="1">VLOOKUP($B31,'[9]Analisys QBR By Machine Report'!$C$109:$BD$166,41,FALSE)</f>
        <v>0</v>
      </c>
      <c r="AU31" s="13">
        <f ca="1">VLOOKUP($B31,'[9]Analisys QBR By Machine Report'!$C$109:$BD$166,42,FALSE)</f>
        <v>0</v>
      </c>
      <c r="AV31" s="13">
        <f ca="1">VLOOKUP($B31,'[9]Analisys QBR By Machine Report'!$C$109:$BD$166,43,FALSE)</f>
        <v>638</v>
      </c>
      <c r="AW31" s="13">
        <f ca="1">VLOOKUP($B31,'[9]Analisys QBR By Machine Report'!$C$109:$BD$166,44,FALSE)</f>
        <v>0</v>
      </c>
      <c r="AX31" s="13">
        <f ca="1">VLOOKUP($B31,'[9]Analisys QBR By Machine Report'!$C$109:$BD$166,45,FALSE)</f>
        <v>0</v>
      </c>
      <c r="AY31" s="13">
        <f ca="1">VLOOKUP($B31,'[9]Analisys QBR By Machine Report'!$C$109:$BD$166,46,FALSE)</f>
        <v>0</v>
      </c>
      <c r="AZ31" s="13">
        <f ca="1">VLOOKUP($B31,'[9]Analisys QBR By Machine Report'!$C$109:$BD$166,47,FALSE)</f>
        <v>16</v>
      </c>
      <c r="BA31" s="13">
        <f ca="1">VLOOKUP($B31,'[9]Analisys QBR By Machine Report'!$C$109:$BD$166,48,FALSE)</f>
        <v>0</v>
      </c>
      <c r="BB31" s="13">
        <f ca="1">VLOOKUP($B31,'[9]Analisys QBR By Machine Report'!$C$109:$BD$166,49,FALSE)</f>
        <v>0</v>
      </c>
      <c r="BC31" s="13">
        <f ca="1">VLOOKUP($B31,'[9]Analisys QBR By Machine Report'!$C$109:$BD$166,50,FALSE)</f>
        <v>0</v>
      </c>
      <c r="BD31" s="13">
        <f ca="1">VLOOKUP($B31,'[9]Analisys QBR By Machine Report'!$C$109:$BD$166,51,FALSE)</f>
        <v>349440</v>
      </c>
      <c r="BE31" s="13">
        <f ca="1">VLOOKUP($B31,'[9]Analisys QBR By Machine Report'!$C$109:$BD$166,52,FALSE)</f>
        <v>56</v>
      </c>
      <c r="BF31" s="13">
        <f ca="1">VLOOKUP($B31,'[9]Analisys QBR By Machine Report'!$C$109:$BD$166,53,FALSE)</f>
        <v>349384</v>
      </c>
    </row>
    <row r="32" spans="1:58" x14ac:dyDescent="0.25">
      <c r="A32" s="9" t="s">
        <v>88</v>
      </c>
      <c r="B32" s="10">
        <f ca="1">VLOOKUP($B32,'[9]Analisys QBR By Machine Report'!$C$109:$BD$166,2,FALSE)</f>
        <v>90720</v>
      </c>
      <c r="C32" s="11">
        <f ca="1">VLOOKUP($B32,[9]Dasboard_QBR_Report!$B$109:$BL$166,3,FALSE)</f>
        <v>58590</v>
      </c>
      <c r="D32" s="10">
        <f ca="1">VLOOKUP($B32,'[9]Analisys QBR By Machine Report'!$C$109:$BD$166,3,FALSE)</f>
        <v>50574</v>
      </c>
      <c r="E32" s="11">
        <f ca="1">VLOOKUP($B32,[9]Dasboard_QBR_Report!$B$109:$BL$166,5,FALSE)</f>
        <v>18444</v>
      </c>
      <c r="F32" s="10">
        <f t="shared" ca="1" si="0"/>
        <v>40146</v>
      </c>
      <c r="G32" s="10">
        <f t="shared" ca="1" si="1"/>
        <v>5368</v>
      </c>
      <c r="H32" s="10">
        <f ca="1">VLOOKUP($B32,'[9]Analisys QBR By Machine Report'!$C$109:$BD$166,4,FALSE)</f>
        <v>5368</v>
      </c>
      <c r="I32" s="10">
        <f ca="1">VLOOKUP($B32,'[9]Analisys QBR By Machine Report'!$C$109:$BD$166,5,FALSE)</f>
        <v>1290</v>
      </c>
      <c r="J32" s="10">
        <f ca="1">VLOOKUP($B32,'[9]Analisys QBR By Machine Report'!$C$109:$BD$166,6,FALSE)</f>
        <v>4078</v>
      </c>
      <c r="K32" s="10">
        <f ca="1">VLOOKUP($B32,'[9]Analisys QBR By Machine Report'!$C$109:$BD$166,7,FALSE)</f>
        <v>0</v>
      </c>
      <c r="L32" s="10">
        <f ca="1">VLOOKUP($B32,'[9]Analisys QBR By Machine Report'!$C$109:$BD$166,8,FALSE)</f>
        <v>34778</v>
      </c>
      <c r="M32" s="10">
        <f ca="1">VLOOKUP($B32,'[9]Analisys QBR By Machine Report'!$C$109:$BD$166,9,FALSE)</f>
        <v>16020</v>
      </c>
      <c r="N32" s="10">
        <f ca="1">VLOOKUP($B32,[9]Dasboard_QBR_Report!$B$109:$BL$166,18,FALSE)</f>
        <v>18758</v>
      </c>
      <c r="O32" s="10">
        <f ca="1">VLOOKUP($B32,'[9]Analisys QBR By Machine Report'!$C$109:$BD$166,10,FALSE)</f>
        <v>1083</v>
      </c>
      <c r="P32" s="10">
        <f ca="1">VLOOKUP($B32,'[9]Analisys QBR By Machine Report'!$C$109:$BD$166,11,FALSE)</f>
        <v>1078</v>
      </c>
      <c r="Q32" s="10">
        <f ca="1">VLOOKUP($B32,'[9]Analisys QBR By Machine Report'!$C$109:$BD$166,12,FALSE)</f>
        <v>0</v>
      </c>
      <c r="R32" s="10">
        <f ca="1">VLOOKUP($B32,'[9]Analisys QBR By Machine Report'!$C$109:$BD$166,13,FALSE)</f>
        <v>5</v>
      </c>
      <c r="S32" s="10">
        <f ca="1">VLOOKUP($B32,'[9]Analisys QBR By Machine Report'!$C$109:$BD$166,14,FALSE)</f>
        <v>0</v>
      </c>
      <c r="T32" s="10">
        <f ca="1">VLOOKUP($B32,'[9]Analisys QBR By Machine Report'!$C$109:$BD$166,15,FALSE)</f>
        <v>88</v>
      </c>
      <c r="U32" s="10">
        <f ca="1">VLOOKUP($B32,'[9]Analisys QBR By Machine Report'!$C$109:$BD$166,16,FALSE)</f>
        <v>40</v>
      </c>
      <c r="V32" s="10">
        <f ca="1">VLOOKUP($B32,'[9]Analisys QBR By Machine Report'!$C$109:$BD$166,17,FALSE)</f>
        <v>30</v>
      </c>
      <c r="W32" s="10">
        <f ca="1">VLOOKUP($B32,'[9]Analisys QBR By Machine Report'!$C$109:$BD$166,18,FALSE)</f>
        <v>0</v>
      </c>
      <c r="X32" s="10">
        <f ca="1">VLOOKUP($B32,'[9]Analisys QBR By Machine Report'!$C$109:$BD$166,19,FALSE)</f>
        <v>18</v>
      </c>
      <c r="Y32" s="10">
        <f ca="1">VLOOKUP($B32,'[9]Analisys QBR By Machine Report'!$C$109:$BD$166,20,FALSE)</f>
        <v>0</v>
      </c>
      <c r="Z32" s="10">
        <f ca="1">VLOOKUP($B32,'[9]Analisys QBR By Machine Report'!$C$109:$BD$166,21,FALSE)</f>
        <v>7922</v>
      </c>
      <c r="AA32" s="10">
        <f ca="1">VLOOKUP($B32,'[9]Analisys QBR By Machine Report'!$C$109:$BD$166,22,FALSE)</f>
        <v>5948</v>
      </c>
      <c r="AB32" s="10">
        <f ca="1">VLOOKUP($B32,'[9]Analisys QBR By Machine Report'!$C$109:$BD$166,23,FALSE)</f>
        <v>1749</v>
      </c>
      <c r="AC32" s="10">
        <f ca="1">VLOOKUP($B32,'[9]Analisys QBR By Machine Report'!$C$109:$BD$166,24,FALSE)</f>
        <v>0</v>
      </c>
      <c r="AD32" s="10">
        <f ca="1">VLOOKUP($B32,'[9]Analisys QBR By Machine Report'!$C$109:$BD$166,25,FALSE)</f>
        <v>0</v>
      </c>
      <c r="AE32" s="10">
        <f ca="1">VLOOKUP($B32,'[9]Analisys QBR By Machine Report'!$C$109:$BD$166,26,FALSE)</f>
        <v>225</v>
      </c>
      <c r="AF32" s="10">
        <f ca="1">VLOOKUP($B32,'[9]Analisys QBR By Machine Report'!$C$109:$BD$166,27,FALSE)</f>
        <v>0</v>
      </c>
      <c r="AG32" s="10">
        <f ca="1">VLOOKUP($B32,'[9]Analisys QBR By Machine Report'!$C$109:$BD$166,28,FALSE)</f>
        <v>0</v>
      </c>
      <c r="AH32" s="10">
        <f ca="1">VLOOKUP($B32,'[9]Analisys QBR By Machine Report'!$C$109:$BD$166,29,FALSE)</f>
        <v>0</v>
      </c>
      <c r="AI32" s="10">
        <f ca="1">VLOOKUP($B32,'[9]Analisys QBR By Machine Report'!$C$109:$BD$166,30,FALSE)</f>
        <v>9665</v>
      </c>
      <c r="AJ32" s="10">
        <f ca="1">VLOOKUP($B32,'[9]Analisys QBR By Machine Report'!$C$109:$BD$166,31,FALSE)</f>
        <v>0</v>
      </c>
      <c r="AK32" s="10">
        <f ca="1">VLOOKUP($B32,'[9]Analisys QBR By Machine Report'!$C$109:$BD$166,32,FALSE)</f>
        <v>0</v>
      </c>
      <c r="AL32" s="10">
        <f ca="1">VLOOKUP($B32,'[9]Analisys QBR By Machine Report'!$C$109:$BD$166,33,FALSE)</f>
        <v>535</v>
      </c>
      <c r="AM32" s="10">
        <f ca="1">VLOOKUP($B32,'[9]Analisys QBR By Machine Report'!$C$109:$BD$166,34,FALSE)</f>
        <v>50</v>
      </c>
      <c r="AN32" s="10">
        <f ca="1">VLOOKUP($B32,'[9]Analisys QBR By Machine Report'!$C$109:$BD$166,35,FALSE)</f>
        <v>385</v>
      </c>
      <c r="AO32" s="10">
        <f ca="1">VLOOKUP($B32,'[9]Analisys QBR By Machine Report'!$C$109:$BD$166,36,FALSE)</f>
        <v>1006</v>
      </c>
      <c r="AP32" s="10">
        <f ca="1">VLOOKUP($B32,'[9]Analisys QBR By Machine Report'!$C$109:$BD$166,37,FALSE)</f>
        <v>0</v>
      </c>
      <c r="AQ32" s="10">
        <f ca="1">VLOOKUP($B32,'[9]Analisys QBR By Machine Report'!$C$109:$BD$166,38,FALSE)</f>
        <v>0</v>
      </c>
      <c r="AR32" s="10">
        <f ca="1">VLOOKUP($B32,'[9]Analisys QBR By Machine Report'!$C$109:$BD$166,39,FALSE)</f>
        <v>7434</v>
      </c>
      <c r="AS32" s="10">
        <f ca="1">VLOOKUP($B32,'[9]Analisys QBR By Machine Report'!$C$109:$BD$166,40,FALSE)</f>
        <v>255</v>
      </c>
      <c r="AT32" s="10">
        <f ca="1">VLOOKUP($B32,'[9]Analisys QBR By Machine Report'!$C$109:$BD$166,41,FALSE)</f>
        <v>0</v>
      </c>
      <c r="AU32" s="10">
        <f ca="1">VLOOKUP($B32,'[9]Analisys QBR By Machine Report'!$C$109:$BD$166,42,FALSE)</f>
        <v>0</v>
      </c>
      <c r="AV32" s="10">
        <f ca="1">VLOOKUP($B32,'[9]Analisys QBR By Machine Report'!$C$109:$BD$166,43,FALSE)</f>
        <v>0</v>
      </c>
      <c r="AW32" s="10">
        <f ca="1">VLOOKUP($B32,'[9]Analisys QBR By Machine Report'!$C$109:$BD$166,44,FALSE)</f>
        <v>0</v>
      </c>
      <c r="AX32" s="10">
        <f ca="1">VLOOKUP($B32,'[9]Analisys QBR By Machine Report'!$C$109:$BD$166,45,FALSE)</f>
        <v>0</v>
      </c>
      <c r="AY32" s="10">
        <f ca="1">VLOOKUP($B32,'[9]Analisys QBR By Machine Report'!$C$109:$BD$166,46,FALSE)</f>
        <v>0</v>
      </c>
      <c r="AZ32" s="10">
        <f ca="1">VLOOKUP($B32,'[9]Analisys QBR By Machine Report'!$C$109:$BD$166,47,FALSE)</f>
        <v>0</v>
      </c>
      <c r="BA32" s="10">
        <f ca="1">VLOOKUP($B32,'[9]Analisys QBR By Machine Report'!$C$109:$BD$166,48,FALSE)</f>
        <v>0</v>
      </c>
      <c r="BB32" s="10">
        <f ca="1">VLOOKUP($B32,'[9]Analisys QBR By Machine Report'!$C$109:$BD$166,49,FALSE)</f>
        <v>0</v>
      </c>
      <c r="BC32" s="10">
        <f ca="1">VLOOKUP($B32,'[9]Analisys QBR By Machine Report'!$C$109:$BD$166,50,FALSE)</f>
        <v>0</v>
      </c>
      <c r="BD32" s="10">
        <f ca="1">VLOOKUP($B32,'[9]Analisys QBR By Machine Report'!$C$109:$BD$166,51,FALSE)</f>
        <v>1110</v>
      </c>
      <c r="BE32" s="10">
        <f ca="1">VLOOKUP($B32,'[9]Analisys QBR By Machine Report'!$C$109:$BD$166,52,FALSE)</f>
        <v>0</v>
      </c>
      <c r="BF32" s="10">
        <f ca="1">VLOOKUP($B32,'[9]Analisys QBR By Machine Report'!$C$109:$BD$166,53,FALSE)</f>
        <v>1110</v>
      </c>
    </row>
    <row r="33" spans="1:58" x14ac:dyDescent="0.25">
      <c r="A33" s="12" t="s">
        <v>89</v>
      </c>
      <c r="B33" s="13">
        <f ca="1">VLOOKUP($B33,'[9]Analisys QBR By Machine Report'!$C$109:$BD$166,2,FALSE)</f>
        <v>30240</v>
      </c>
      <c r="C33" s="14">
        <f ca="1">VLOOKUP($B33,[9]Dasboard_QBR_Report!$B$109:$BL$166,3,FALSE)</f>
        <v>19530</v>
      </c>
      <c r="D33" s="13">
        <f ca="1">VLOOKUP($B33,'[9]Analisys QBR By Machine Report'!$C$109:$BD$166,3,FALSE)</f>
        <v>13430</v>
      </c>
      <c r="E33" s="14">
        <f ca="1">VLOOKUP($B33,[9]Dasboard_QBR_Report!$B$109:$BL$166,5,FALSE)</f>
        <v>2720</v>
      </c>
      <c r="F33" s="13">
        <f t="shared" ca="1" si="0"/>
        <v>16810</v>
      </c>
      <c r="G33" s="13">
        <f t="shared" ca="1" si="1"/>
        <v>2568</v>
      </c>
      <c r="H33" s="13">
        <f ca="1">VLOOKUP($B33,'[9]Analisys QBR By Machine Report'!$C$109:$BD$166,4,FALSE)</f>
        <v>2568</v>
      </c>
      <c r="I33" s="13">
        <f ca="1">VLOOKUP($B33,'[9]Analisys QBR By Machine Report'!$C$109:$BD$166,5,FALSE)</f>
        <v>986</v>
      </c>
      <c r="J33" s="13">
        <f ca="1">VLOOKUP($B33,'[9]Analisys QBR By Machine Report'!$C$109:$BD$166,6,FALSE)</f>
        <v>1582</v>
      </c>
      <c r="K33" s="13">
        <f ca="1">VLOOKUP($B33,'[9]Analisys QBR By Machine Report'!$C$109:$BD$166,7,FALSE)</f>
        <v>0</v>
      </c>
      <c r="L33" s="13">
        <f ca="1">VLOOKUP($B33,'[9]Analisys QBR By Machine Report'!$C$109:$BD$166,8,FALSE)</f>
        <v>14242</v>
      </c>
      <c r="M33" s="13">
        <f ca="1">VLOOKUP($B33,'[9]Analisys QBR By Machine Report'!$C$109:$BD$166,9,FALSE)</f>
        <v>6539</v>
      </c>
      <c r="N33" s="13">
        <f ca="1">VLOOKUP($B33,[9]Dasboard_QBR_Report!$B$109:$BL$166,18,FALSE)</f>
        <v>7703</v>
      </c>
      <c r="O33" s="13">
        <f ca="1">VLOOKUP($B33,'[9]Analisys QBR By Machine Report'!$C$109:$BD$166,10,FALSE)</f>
        <v>416</v>
      </c>
      <c r="P33" s="13">
        <f ca="1">VLOOKUP($B33,'[9]Analisys QBR By Machine Report'!$C$109:$BD$166,11,FALSE)</f>
        <v>416</v>
      </c>
      <c r="Q33" s="13">
        <f ca="1">VLOOKUP($B33,'[9]Analisys QBR By Machine Report'!$C$109:$BD$166,12,FALSE)</f>
        <v>0</v>
      </c>
      <c r="R33" s="13">
        <f ca="1">VLOOKUP($B33,'[9]Analisys QBR By Machine Report'!$C$109:$BD$166,13,FALSE)</f>
        <v>0</v>
      </c>
      <c r="S33" s="13">
        <f ca="1">VLOOKUP($B33,'[9]Analisys QBR By Machine Report'!$C$109:$BD$166,14,FALSE)</f>
        <v>0</v>
      </c>
      <c r="T33" s="13">
        <f ca="1">VLOOKUP($B33,'[9]Analisys QBR By Machine Report'!$C$109:$BD$166,15,FALSE)</f>
        <v>18</v>
      </c>
      <c r="U33" s="13">
        <f ca="1">VLOOKUP($B33,'[9]Analisys QBR By Machine Report'!$C$109:$BD$166,16,FALSE)</f>
        <v>0</v>
      </c>
      <c r="V33" s="13">
        <f ca="1">VLOOKUP($B33,'[9]Analisys QBR By Machine Report'!$C$109:$BD$166,17,FALSE)</f>
        <v>0</v>
      </c>
      <c r="W33" s="13">
        <f ca="1">VLOOKUP($B33,'[9]Analisys QBR By Machine Report'!$C$109:$BD$166,18,FALSE)</f>
        <v>0</v>
      </c>
      <c r="X33" s="13">
        <f ca="1">VLOOKUP($B33,'[9]Analisys QBR By Machine Report'!$C$109:$BD$166,19,FALSE)</f>
        <v>18</v>
      </c>
      <c r="Y33" s="13">
        <f ca="1">VLOOKUP($B33,'[9]Analisys QBR By Machine Report'!$C$109:$BD$166,20,FALSE)</f>
        <v>0</v>
      </c>
      <c r="Z33" s="13">
        <f ca="1">VLOOKUP($B33,'[9]Analisys QBR By Machine Report'!$C$109:$BD$166,21,FALSE)</f>
        <v>1982</v>
      </c>
      <c r="AA33" s="13">
        <f ca="1">VLOOKUP($B33,'[9]Analisys QBR By Machine Report'!$C$109:$BD$166,22,FALSE)</f>
        <v>1165</v>
      </c>
      <c r="AB33" s="13">
        <f ca="1">VLOOKUP($B33,'[9]Analisys QBR By Machine Report'!$C$109:$BD$166,23,FALSE)</f>
        <v>817</v>
      </c>
      <c r="AC33" s="13">
        <f ca="1">VLOOKUP($B33,'[9]Analisys QBR By Machine Report'!$C$109:$BD$166,24,FALSE)</f>
        <v>0</v>
      </c>
      <c r="AD33" s="13">
        <f ca="1">VLOOKUP($B33,'[9]Analisys QBR By Machine Report'!$C$109:$BD$166,25,FALSE)</f>
        <v>0</v>
      </c>
      <c r="AE33" s="13">
        <f ca="1">VLOOKUP($B33,'[9]Analisys QBR By Machine Report'!$C$109:$BD$166,26,FALSE)</f>
        <v>0</v>
      </c>
      <c r="AF33" s="13">
        <f ca="1">VLOOKUP($B33,'[9]Analisys QBR By Machine Report'!$C$109:$BD$166,27,FALSE)</f>
        <v>0</v>
      </c>
      <c r="AG33" s="13">
        <f ca="1">VLOOKUP($B33,'[9]Analisys QBR By Machine Report'!$C$109:$BD$166,28,FALSE)</f>
        <v>0</v>
      </c>
      <c r="AH33" s="13">
        <f ca="1">VLOOKUP($B33,'[9]Analisys QBR By Machine Report'!$C$109:$BD$166,29,FALSE)</f>
        <v>0</v>
      </c>
      <c r="AI33" s="13">
        <f ca="1">VLOOKUP($B33,'[9]Analisys QBR By Machine Report'!$C$109:$BD$166,30,FALSE)</f>
        <v>5287</v>
      </c>
      <c r="AJ33" s="13">
        <f ca="1">VLOOKUP($B33,'[9]Analisys QBR By Machine Report'!$C$109:$BD$166,31,FALSE)</f>
        <v>0</v>
      </c>
      <c r="AK33" s="13">
        <f ca="1">VLOOKUP($B33,'[9]Analisys QBR By Machine Report'!$C$109:$BD$166,32,FALSE)</f>
        <v>0</v>
      </c>
      <c r="AL33" s="13">
        <f ca="1">VLOOKUP($B33,'[9]Analisys QBR By Machine Report'!$C$109:$BD$166,33,FALSE)</f>
        <v>120</v>
      </c>
      <c r="AM33" s="13">
        <f ca="1">VLOOKUP($B33,'[9]Analisys QBR By Machine Report'!$C$109:$BD$166,34,FALSE)</f>
        <v>0</v>
      </c>
      <c r="AN33" s="13">
        <f ca="1">VLOOKUP($B33,'[9]Analisys QBR By Machine Report'!$C$109:$BD$166,35,FALSE)</f>
        <v>100</v>
      </c>
      <c r="AO33" s="13">
        <f ca="1">VLOOKUP($B33,'[9]Analisys QBR By Machine Report'!$C$109:$BD$166,36,FALSE)</f>
        <v>0</v>
      </c>
      <c r="AP33" s="13">
        <f ca="1">VLOOKUP($B33,'[9]Analisys QBR By Machine Report'!$C$109:$BD$166,37,FALSE)</f>
        <v>0</v>
      </c>
      <c r="AQ33" s="13">
        <f ca="1">VLOOKUP($B33,'[9]Analisys QBR By Machine Report'!$C$109:$BD$166,38,FALSE)</f>
        <v>0</v>
      </c>
      <c r="AR33" s="13">
        <f ca="1">VLOOKUP($B33,'[9]Analisys QBR By Machine Report'!$C$109:$BD$166,39,FALSE)</f>
        <v>5067</v>
      </c>
      <c r="AS33" s="13">
        <f ca="1">VLOOKUP($B33,'[9]Analisys QBR By Machine Report'!$C$109:$BD$166,40,FALSE)</f>
        <v>0</v>
      </c>
      <c r="AT33" s="13">
        <f ca="1">VLOOKUP($B33,'[9]Analisys QBR By Machine Report'!$C$109:$BD$166,41,FALSE)</f>
        <v>0</v>
      </c>
      <c r="AU33" s="13">
        <f ca="1">VLOOKUP($B33,'[9]Analisys QBR By Machine Report'!$C$109:$BD$166,42,FALSE)</f>
        <v>0</v>
      </c>
      <c r="AV33" s="13">
        <f ca="1">VLOOKUP($B33,'[9]Analisys QBR By Machine Report'!$C$109:$BD$166,43,FALSE)</f>
        <v>0</v>
      </c>
      <c r="AW33" s="13">
        <f ca="1">VLOOKUP($B33,'[9]Analisys QBR By Machine Report'!$C$109:$BD$166,44,FALSE)</f>
        <v>0</v>
      </c>
      <c r="AX33" s="13">
        <f ca="1">VLOOKUP($B33,'[9]Analisys QBR By Machine Report'!$C$109:$BD$166,45,FALSE)</f>
        <v>0</v>
      </c>
      <c r="AY33" s="13">
        <f ca="1">VLOOKUP($B33,'[9]Analisys QBR By Machine Report'!$C$109:$BD$166,46,FALSE)</f>
        <v>0</v>
      </c>
      <c r="AZ33" s="13">
        <f ca="1">VLOOKUP($B33,'[9]Analisys QBR By Machine Report'!$C$109:$BD$166,47,FALSE)</f>
        <v>0</v>
      </c>
      <c r="BA33" s="13">
        <f ca="1">VLOOKUP($B33,'[9]Analisys QBR By Machine Report'!$C$109:$BD$166,48,FALSE)</f>
        <v>0</v>
      </c>
      <c r="BB33" s="13">
        <f ca="1">VLOOKUP($B33,'[9]Analisys QBR By Machine Report'!$C$109:$BD$166,49,FALSE)</f>
        <v>0</v>
      </c>
      <c r="BC33" s="13">
        <f ca="1">VLOOKUP($B33,'[9]Analisys QBR By Machine Report'!$C$109:$BD$166,50,FALSE)</f>
        <v>0</v>
      </c>
      <c r="BD33" s="13">
        <f ca="1">VLOOKUP($B33,'[9]Analisys QBR By Machine Report'!$C$109:$BD$166,51,FALSE)</f>
        <v>598</v>
      </c>
      <c r="BE33" s="13">
        <f ca="1">VLOOKUP($B33,'[9]Analisys QBR By Machine Report'!$C$109:$BD$166,52,FALSE)</f>
        <v>0</v>
      </c>
      <c r="BF33" s="13">
        <f ca="1">VLOOKUP($B33,'[9]Analisys QBR By Machine Report'!$C$109:$BD$166,53,FALSE)</f>
        <v>598</v>
      </c>
    </row>
    <row r="34" spans="1:58" x14ac:dyDescent="0.25">
      <c r="A34" s="12" t="s">
        <v>90</v>
      </c>
      <c r="B34" s="13">
        <f ca="1">VLOOKUP($B34,'[9]Analisys QBR By Machine Report'!$C$109:$BD$166,2,FALSE)</f>
        <v>30240</v>
      </c>
      <c r="C34" s="14">
        <f ca="1">VLOOKUP($B34,[9]Dasboard_QBR_Report!$B$109:$BL$166,3,FALSE)</f>
        <v>19530</v>
      </c>
      <c r="D34" s="13">
        <f ca="1">VLOOKUP($B34,'[9]Analisys QBR By Machine Report'!$C$109:$BD$166,3,FALSE)</f>
        <v>15399</v>
      </c>
      <c r="E34" s="14">
        <f ca="1">VLOOKUP($B34,[9]Dasboard_QBR_Report!$B$109:$BL$166,5,FALSE)</f>
        <v>4689</v>
      </c>
      <c r="F34" s="13">
        <f t="shared" ca="1" si="0"/>
        <v>14841</v>
      </c>
      <c r="G34" s="13">
        <f t="shared" ca="1" si="1"/>
        <v>1285</v>
      </c>
      <c r="H34" s="13">
        <f ca="1">VLOOKUP($B34,'[9]Analisys QBR By Machine Report'!$C$109:$BD$166,4,FALSE)</f>
        <v>1285</v>
      </c>
      <c r="I34" s="13">
        <f ca="1">VLOOKUP($B34,'[9]Analisys QBR By Machine Report'!$C$109:$BD$166,5,FALSE)</f>
        <v>244</v>
      </c>
      <c r="J34" s="13">
        <f ca="1">VLOOKUP($B34,'[9]Analisys QBR By Machine Report'!$C$109:$BD$166,6,FALSE)</f>
        <v>1041</v>
      </c>
      <c r="K34" s="13">
        <f ca="1">VLOOKUP($B34,'[9]Analisys QBR By Machine Report'!$C$109:$BD$166,7,FALSE)</f>
        <v>0</v>
      </c>
      <c r="L34" s="13">
        <f ca="1">VLOOKUP($B34,'[9]Analisys QBR By Machine Report'!$C$109:$BD$166,8,FALSE)</f>
        <v>13556</v>
      </c>
      <c r="M34" s="13">
        <f ca="1">VLOOKUP($B34,'[9]Analisys QBR By Machine Report'!$C$109:$BD$166,9,FALSE)</f>
        <v>8415</v>
      </c>
      <c r="N34" s="13">
        <f ca="1">VLOOKUP($B34,[9]Dasboard_QBR_Report!$B$109:$BL$166,18,FALSE)</f>
        <v>5141</v>
      </c>
      <c r="O34" s="13">
        <f ca="1">VLOOKUP($B34,'[9]Analisys QBR By Machine Report'!$C$109:$BD$166,10,FALSE)</f>
        <v>230</v>
      </c>
      <c r="P34" s="13">
        <f ca="1">VLOOKUP($B34,'[9]Analisys QBR By Machine Report'!$C$109:$BD$166,11,FALSE)</f>
        <v>230</v>
      </c>
      <c r="Q34" s="13">
        <f ca="1">VLOOKUP($B34,'[9]Analisys QBR By Machine Report'!$C$109:$BD$166,12,FALSE)</f>
        <v>0</v>
      </c>
      <c r="R34" s="13">
        <f ca="1">VLOOKUP($B34,'[9]Analisys QBR By Machine Report'!$C$109:$BD$166,13,FALSE)</f>
        <v>0</v>
      </c>
      <c r="S34" s="13">
        <f ca="1">VLOOKUP($B34,'[9]Analisys QBR By Machine Report'!$C$109:$BD$166,14,FALSE)</f>
        <v>0</v>
      </c>
      <c r="T34" s="13">
        <f ca="1">VLOOKUP($B34,'[9]Analisys QBR By Machine Report'!$C$109:$BD$166,15,FALSE)</f>
        <v>0</v>
      </c>
      <c r="U34" s="13">
        <f ca="1">VLOOKUP($B34,'[9]Analisys QBR By Machine Report'!$C$109:$BD$166,16,FALSE)</f>
        <v>0</v>
      </c>
      <c r="V34" s="13">
        <f ca="1">VLOOKUP($B34,'[9]Analisys QBR By Machine Report'!$C$109:$BD$166,17,FALSE)</f>
        <v>0</v>
      </c>
      <c r="W34" s="13">
        <f ca="1">VLOOKUP($B34,'[9]Analisys QBR By Machine Report'!$C$109:$BD$166,18,FALSE)</f>
        <v>0</v>
      </c>
      <c r="X34" s="13">
        <f ca="1">VLOOKUP($B34,'[9]Analisys QBR By Machine Report'!$C$109:$BD$166,19,FALSE)</f>
        <v>0</v>
      </c>
      <c r="Y34" s="13">
        <f ca="1">VLOOKUP($B34,'[9]Analisys QBR By Machine Report'!$C$109:$BD$166,20,FALSE)</f>
        <v>0</v>
      </c>
      <c r="Z34" s="13">
        <f ca="1">VLOOKUP($B34,'[9]Analisys QBR By Machine Report'!$C$109:$BD$166,21,FALSE)</f>
        <v>4536</v>
      </c>
      <c r="AA34" s="13">
        <f ca="1">VLOOKUP($B34,'[9]Analisys QBR By Machine Report'!$C$109:$BD$166,22,FALSE)</f>
        <v>4024</v>
      </c>
      <c r="AB34" s="13">
        <f ca="1">VLOOKUP($B34,'[9]Analisys QBR By Machine Report'!$C$109:$BD$166,23,FALSE)</f>
        <v>512</v>
      </c>
      <c r="AC34" s="13">
        <f ca="1">VLOOKUP($B34,'[9]Analisys QBR By Machine Report'!$C$109:$BD$166,24,FALSE)</f>
        <v>0</v>
      </c>
      <c r="AD34" s="13">
        <f ca="1">VLOOKUP($B34,'[9]Analisys QBR By Machine Report'!$C$109:$BD$166,25,FALSE)</f>
        <v>0</v>
      </c>
      <c r="AE34" s="13">
        <f ca="1">VLOOKUP($B34,'[9]Analisys QBR By Machine Report'!$C$109:$BD$166,26,FALSE)</f>
        <v>0</v>
      </c>
      <c r="AF34" s="13">
        <f ca="1">VLOOKUP($B34,'[9]Analisys QBR By Machine Report'!$C$109:$BD$166,27,FALSE)</f>
        <v>0</v>
      </c>
      <c r="AG34" s="13">
        <f ca="1">VLOOKUP($B34,'[9]Analisys QBR By Machine Report'!$C$109:$BD$166,28,FALSE)</f>
        <v>0</v>
      </c>
      <c r="AH34" s="13">
        <f ca="1">VLOOKUP($B34,'[9]Analisys QBR By Machine Report'!$C$109:$BD$166,29,FALSE)</f>
        <v>0</v>
      </c>
      <c r="AI34" s="13">
        <f ca="1">VLOOKUP($B34,'[9]Analisys QBR By Machine Report'!$C$109:$BD$166,30,FALSE)</f>
        <v>375</v>
      </c>
      <c r="AJ34" s="13">
        <f ca="1">VLOOKUP($B34,'[9]Analisys QBR By Machine Report'!$C$109:$BD$166,31,FALSE)</f>
        <v>0</v>
      </c>
      <c r="AK34" s="13">
        <f ca="1">VLOOKUP($B34,'[9]Analisys QBR By Machine Report'!$C$109:$BD$166,32,FALSE)</f>
        <v>0</v>
      </c>
      <c r="AL34" s="13">
        <f ca="1">VLOOKUP($B34,'[9]Analisys QBR By Machine Report'!$C$109:$BD$166,33,FALSE)</f>
        <v>135</v>
      </c>
      <c r="AM34" s="13">
        <f ca="1">VLOOKUP($B34,'[9]Analisys QBR By Machine Report'!$C$109:$BD$166,34,FALSE)</f>
        <v>0</v>
      </c>
      <c r="AN34" s="13">
        <f ca="1">VLOOKUP($B34,'[9]Analisys QBR By Machine Report'!$C$109:$BD$166,35,FALSE)</f>
        <v>90</v>
      </c>
      <c r="AO34" s="13">
        <f ca="1">VLOOKUP($B34,'[9]Analisys QBR By Machine Report'!$C$109:$BD$166,36,FALSE)</f>
        <v>0</v>
      </c>
      <c r="AP34" s="13">
        <f ca="1">VLOOKUP($B34,'[9]Analisys QBR By Machine Report'!$C$109:$BD$166,37,FALSE)</f>
        <v>0</v>
      </c>
      <c r="AQ34" s="13">
        <f ca="1">VLOOKUP($B34,'[9]Analisys QBR By Machine Report'!$C$109:$BD$166,38,FALSE)</f>
        <v>0</v>
      </c>
      <c r="AR34" s="13">
        <f ca="1">VLOOKUP($B34,'[9]Analisys QBR By Machine Report'!$C$109:$BD$166,39,FALSE)</f>
        <v>150</v>
      </c>
      <c r="AS34" s="13">
        <f ca="1">VLOOKUP($B34,'[9]Analisys QBR By Machine Report'!$C$109:$BD$166,40,FALSE)</f>
        <v>0</v>
      </c>
      <c r="AT34" s="13">
        <f ca="1">VLOOKUP($B34,'[9]Analisys QBR By Machine Report'!$C$109:$BD$166,41,FALSE)</f>
        <v>0</v>
      </c>
      <c r="AU34" s="13">
        <f ca="1">VLOOKUP($B34,'[9]Analisys QBR By Machine Report'!$C$109:$BD$166,42,FALSE)</f>
        <v>0</v>
      </c>
      <c r="AV34" s="13">
        <f ca="1">VLOOKUP($B34,'[9]Analisys QBR By Machine Report'!$C$109:$BD$166,43,FALSE)</f>
        <v>0</v>
      </c>
      <c r="AW34" s="13">
        <f ca="1">VLOOKUP($B34,'[9]Analisys QBR By Machine Report'!$C$109:$BD$166,44,FALSE)</f>
        <v>0</v>
      </c>
      <c r="AX34" s="13">
        <f ca="1">VLOOKUP($B34,'[9]Analisys QBR By Machine Report'!$C$109:$BD$166,45,FALSE)</f>
        <v>0</v>
      </c>
      <c r="AY34" s="13">
        <f ca="1">VLOOKUP($B34,'[9]Analisys QBR By Machine Report'!$C$109:$BD$166,46,FALSE)</f>
        <v>0</v>
      </c>
      <c r="AZ34" s="13">
        <f ca="1">VLOOKUP($B34,'[9]Analisys QBR By Machine Report'!$C$109:$BD$166,47,FALSE)</f>
        <v>0</v>
      </c>
      <c r="BA34" s="13">
        <f ca="1">VLOOKUP($B34,'[9]Analisys QBR By Machine Report'!$C$109:$BD$166,48,FALSE)</f>
        <v>0</v>
      </c>
      <c r="BB34" s="13">
        <f ca="1">VLOOKUP($B34,'[9]Analisys QBR By Machine Report'!$C$109:$BD$166,49,FALSE)</f>
        <v>0</v>
      </c>
      <c r="BC34" s="13">
        <f ca="1">VLOOKUP($B34,'[9]Analisys QBR By Machine Report'!$C$109:$BD$166,50,FALSE)</f>
        <v>0</v>
      </c>
      <c r="BD34" s="13">
        <f ca="1">VLOOKUP($B34,'[9]Analisys QBR By Machine Report'!$C$109:$BD$166,51,FALSE)</f>
        <v>489</v>
      </c>
      <c r="BE34" s="13">
        <f ca="1">VLOOKUP($B34,'[9]Analisys QBR By Machine Report'!$C$109:$BD$166,52,FALSE)</f>
        <v>0</v>
      </c>
      <c r="BF34" s="13">
        <f ca="1">VLOOKUP($B34,'[9]Analisys QBR By Machine Report'!$C$109:$BD$166,53,FALSE)</f>
        <v>489</v>
      </c>
    </row>
    <row r="35" spans="1:58" x14ac:dyDescent="0.25">
      <c r="A35" s="12" t="s">
        <v>91</v>
      </c>
      <c r="B35" s="13">
        <f ca="1">VLOOKUP($B35,'[9]Analisys QBR By Machine Report'!$C$109:$BD$166,2,FALSE)</f>
        <v>30240</v>
      </c>
      <c r="C35" s="14">
        <f ca="1">VLOOKUP($B35,[9]Dasboard_QBR_Report!$B$109:$BL$166,3,FALSE)</f>
        <v>19530</v>
      </c>
      <c r="D35" s="13">
        <f ca="1">VLOOKUP($B35,'[9]Analisys QBR By Machine Report'!$C$109:$BD$166,3,FALSE)</f>
        <v>21745</v>
      </c>
      <c r="E35" s="14">
        <f ca="1">VLOOKUP($B35,[9]Dasboard_QBR_Report!$B$109:$BL$166,5,FALSE)</f>
        <v>11035</v>
      </c>
      <c r="F35" s="13">
        <f t="shared" ca="1" si="0"/>
        <v>8495</v>
      </c>
      <c r="G35" s="13">
        <f t="shared" ca="1" si="1"/>
        <v>1515</v>
      </c>
      <c r="H35" s="13">
        <f ca="1">VLOOKUP($B35,'[9]Analisys QBR By Machine Report'!$C$109:$BD$166,4,FALSE)</f>
        <v>1515</v>
      </c>
      <c r="I35" s="13">
        <f ca="1">VLOOKUP($B35,'[9]Analisys QBR By Machine Report'!$C$109:$BD$166,5,FALSE)</f>
        <v>60</v>
      </c>
      <c r="J35" s="13">
        <f ca="1">VLOOKUP($B35,'[9]Analisys QBR By Machine Report'!$C$109:$BD$166,6,FALSE)</f>
        <v>1455</v>
      </c>
      <c r="K35" s="13">
        <f ca="1">VLOOKUP($B35,'[9]Analisys QBR By Machine Report'!$C$109:$BD$166,7,FALSE)</f>
        <v>0</v>
      </c>
      <c r="L35" s="13">
        <f ca="1">VLOOKUP($B35,'[9]Analisys QBR By Machine Report'!$C$109:$BD$166,8,FALSE)</f>
        <v>6980</v>
      </c>
      <c r="M35" s="13">
        <f ca="1">VLOOKUP($B35,'[9]Analisys QBR By Machine Report'!$C$109:$BD$166,9,FALSE)</f>
        <v>1066</v>
      </c>
      <c r="N35" s="13">
        <f ca="1">VLOOKUP($B35,[9]Dasboard_QBR_Report!$B$109:$BL$166,18,FALSE)</f>
        <v>5914</v>
      </c>
      <c r="O35" s="13">
        <f ca="1">VLOOKUP($B35,'[9]Analisys QBR By Machine Report'!$C$109:$BD$166,10,FALSE)</f>
        <v>437</v>
      </c>
      <c r="P35" s="13">
        <f ca="1">VLOOKUP($B35,'[9]Analisys QBR By Machine Report'!$C$109:$BD$166,11,FALSE)</f>
        <v>432</v>
      </c>
      <c r="Q35" s="13">
        <f ca="1">VLOOKUP($B35,'[9]Analisys QBR By Machine Report'!$C$109:$BD$166,12,FALSE)</f>
        <v>0</v>
      </c>
      <c r="R35" s="13">
        <f ca="1">VLOOKUP($B35,'[9]Analisys QBR By Machine Report'!$C$109:$BD$166,13,FALSE)</f>
        <v>5</v>
      </c>
      <c r="S35" s="13">
        <f ca="1">VLOOKUP($B35,'[9]Analisys QBR By Machine Report'!$C$109:$BD$166,14,FALSE)</f>
        <v>0</v>
      </c>
      <c r="T35" s="13">
        <f ca="1">VLOOKUP($B35,'[9]Analisys QBR By Machine Report'!$C$109:$BD$166,15,FALSE)</f>
        <v>70</v>
      </c>
      <c r="U35" s="13">
        <f ca="1">VLOOKUP($B35,'[9]Analisys QBR By Machine Report'!$C$109:$BD$166,16,FALSE)</f>
        <v>40</v>
      </c>
      <c r="V35" s="13">
        <f ca="1">VLOOKUP($B35,'[9]Analisys QBR By Machine Report'!$C$109:$BD$166,17,FALSE)</f>
        <v>30</v>
      </c>
      <c r="W35" s="13">
        <f ca="1">VLOOKUP($B35,'[9]Analisys QBR By Machine Report'!$C$109:$BD$166,18,FALSE)</f>
        <v>0</v>
      </c>
      <c r="X35" s="13">
        <f ca="1">VLOOKUP($B35,'[9]Analisys QBR By Machine Report'!$C$109:$BD$166,19,FALSE)</f>
        <v>0</v>
      </c>
      <c r="Y35" s="13">
        <f ca="1">VLOOKUP($B35,'[9]Analisys QBR By Machine Report'!$C$109:$BD$166,20,FALSE)</f>
        <v>0</v>
      </c>
      <c r="Z35" s="13">
        <f ca="1">VLOOKUP($B35,'[9]Analisys QBR By Machine Report'!$C$109:$BD$166,21,FALSE)</f>
        <v>1404</v>
      </c>
      <c r="AA35" s="13">
        <f ca="1">VLOOKUP($B35,'[9]Analisys QBR By Machine Report'!$C$109:$BD$166,22,FALSE)</f>
        <v>759</v>
      </c>
      <c r="AB35" s="13">
        <f ca="1">VLOOKUP($B35,'[9]Analisys QBR By Machine Report'!$C$109:$BD$166,23,FALSE)</f>
        <v>420</v>
      </c>
      <c r="AC35" s="13">
        <f ca="1">VLOOKUP($B35,'[9]Analisys QBR By Machine Report'!$C$109:$BD$166,24,FALSE)</f>
        <v>0</v>
      </c>
      <c r="AD35" s="13">
        <f ca="1">VLOOKUP($B35,'[9]Analisys QBR By Machine Report'!$C$109:$BD$166,25,FALSE)</f>
        <v>0</v>
      </c>
      <c r="AE35" s="13">
        <f ca="1">VLOOKUP($B35,'[9]Analisys QBR By Machine Report'!$C$109:$BD$166,26,FALSE)</f>
        <v>225</v>
      </c>
      <c r="AF35" s="13">
        <f ca="1">VLOOKUP($B35,'[9]Analisys QBR By Machine Report'!$C$109:$BD$166,27,FALSE)</f>
        <v>0</v>
      </c>
      <c r="AG35" s="13">
        <f ca="1">VLOOKUP($B35,'[9]Analisys QBR By Machine Report'!$C$109:$BD$166,28,FALSE)</f>
        <v>0</v>
      </c>
      <c r="AH35" s="13">
        <f ca="1">VLOOKUP($B35,'[9]Analisys QBR By Machine Report'!$C$109:$BD$166,29,FALSE)</f>
        <v>0</v>
      </c>
      <c r="AI35" s="13">
        <f ca="1">VLOOKUP($B35,'[9]Analisys QBR By Machine Report'!$C$109:$BD$166,30,FALSE)</f>
        <v>4003</v>
      </c>
      <c r="AJ35" s="13">
        <f ca="1">VLOOKUP($B35,'[9]Analisys QBR By Machine Report'!$C$109:$BD$166,31,FALSE)</f>
        <v>0</v>
      </c>
      <c r="AK35" s="13">
        <f ca="1">VLOOKUP($B35,'[9]Analisys QBR By Machine Report'!$C$109:$BD$166,32,FALSE)</f>
        <v>0</v>
      </c>
      <c r="AL35" s="13">
        <f ca="1">VLOOKUP($B35,'[9]Analisys QBR By Machine Report'!$C$109:$BD$166,33,FALSE)</f>
        <v>280</v>
      </c>
      <c r="AM35" s="13">
        <f ca="1">VLOOKUP($B35,'[9]Analisys QBR By Machine Report'!$C$109:$BD$166,34,FALSE)</f>
        <v>50</v>
      </c>
      <c r="AN35" s="13">
        <f ca="1">VLOOKUP($B35,'[9]Analisys QBR By Machine Report'!$C$109:$BD$166,35,FALSE)</f>
        <v>195</v>
      </c>
      <c r="AO35" s="13">
        <f ca="1">VLOOKUP($B35,'[9]Analisys QBR By Machine Report'!$C$109:$BD$166,36,FALSE)</f>
        <v>1006</v>
      </c>
      <c r="AP35" s="13">
        <f ca="1">VLOOKUP($B35,'[9]Analisys QBR By Machine Report'!$C$109:$BD$166,37,FALSE)</f>
        <v>0</v>
      </c>
      <c r="AQ35" s="13">
        <f ca="1">VLOOKUP($B35,'[9]Analisys QBR By Machine Report'!$C$109:$BD$166,38,FALSE)</f>
        <v>0</v>
      </c>
      <c r="AR35" s="13">
        <f ca="1">VLOOKUP($B35,'[9]Analisys QBR By Machine Report'!$C$109:$BD$166,39,FALSE)</f>
        <v>2217</v>
      </c>
      <c r="AS35" s="13">
        <f ca="1">VLOOKUP($B35,'[9]Analisys QBR By Machine Report'!$C$109:$BD$166,40,FALSE)</f>
        <v>255</v>
      </c>
      <c r="AT35" s="13">
        <f ca="1">VLOOKUP($B35,'[9]Analisys QBR By Machine Report'!$C$109:$BD$166,41,FALSE)</f>
        <v>0</v>
      </c>
      <c r="AU35" s="13">
        <f ca="1">VLOOKUP($B35,'[9]Analisys QBR By Machine Report'!$C$109:$BD$166,42,FALSE)</f>
        <v>0</v>
      </c>
      <c r="AV35" s="13">
        <f ca="1">VLOOKUP($B35,'[9]Analisys QBR By Machine Report'!$C$109:$BD$166,43,FALSE)</f>
        <v>0</v>
      </c>
      <c r="AW35" s="13">
        <f ca="1">VLOOKUP($B35,'[9]Analisys QBR By Machine Report'!$C$109:$BD$166,44,FALSE)</f>
        <v>0</v>
      </c>
      <c r="AX35" s="13">
        <f ca="1">VLOOKUP($B35,'[9]Analisys QBR By Machine Report'!$C$109:$BD$166,45,FALSE)</f>
        <v>0</v>
      </c>
      <c r="AY35" s="13">
        <f ca="1">VLOOKUP($B35,'[9]Analisys QBR By Machine Report'!$C$109:$BD$166,46,FALSE)</f>
        <v>0</v>
      </c>
      <c r="AZ35" s="13">
        <f ca="1">VLOOKUP($B35,'[9]Analisys QBR By Machine Report'!$C$109:$BD$166,47,FALSE)</f>
        <v>0</v>
      </c>
      <c r="BA35" s="13">
        <f ca="1">VLOOKUP($B35,'[9]Analisys QBR By Machine Report'!$C$109:$BD$166,48,FALSE)</f>
        <v>0</v>
      </c>
      <c r="BB35" s="13">
        <f ca="1">VLOOKUP($B35,'[9]Analisys QBR By Machine Report'!$C$109:$BD$166,49,FALSE)</f>
        <v>0</v>
      </c>
      <c r="BC35" s="13">
        <f ca="1">VLOOKUP($B35,'[9]Analisys QBR By Machine Report'!$C$109:$BD$166,50,FALSE)</f>
        <v>0</v>
      </c>
      <c r="BD35" s="13">
        <f ca="1">VLOOKUP($B35,'[9]Analisys QBR By Machine Report'!$C$109:$BD$166,51,FALSE)</f>
        <v>23</v>
      </c>
      <c r="BE35" s="13">
        <f ca="1">VLOOKUP($B35,'[9]Analisys QBR By Machine Report'!$C$109:$BD$166,52,FALSE)</f>
        <v>0</v>
      </c>
      <c r="BF35" s="13">
        <f ca="1">VLOOKUP($B35,'[9]Analisys QBR By Machine Report'!$C$109:$BD$166,53,FALSE)</f>
        <v>23</v>
      </c>
    </row>
    <row r="36" spans="1:58" x14ac:dyDescent="0.25">
      <c r="A36" s="9" t="s">
        <v>92</v>
      </c>
      <c r="B36" s="10">
        <f ca="1">VLOOKUP($B36,'[9]Analisys QBR By Machine Report'!$C$109:$BD$166,2,FALSE)</f>
        <v>181440</v>
      </c>
      <c r="C36" s="11">
        <f ca="1">VLOOKUP($B36,[9]Dasboard_QBR_Report!$B$109:$BL$166,3,FALSE)</f>
        <v>69930</v>
      </c>
      <c r="D36" s="10">
        <f ca="1">VLOOKUP($B36,'[9]Analisys QBR By Machine Report'!$C$109:$BD$166,3,FALSE)</f>
        <v>135330</v>
      </c>
      <c r="E36" s="11">
        <f ca="1">VLOOKUP($B36,[9]Dasboard_QBR_Report!$B$109:$BL$166,5,FALSE)</f>
        <v>23820</v>
      </c>
      <c r="F36" s="10">
        <f t="shared" ca="1" si="0"/>
        <v>46110</v>
      </c>
      <c r="G36" s="10">
        <f t="shared" ca="1" si="1"/>
        <v>5610</v>
      </c>
      <c r="H36" s="10">
        <f ca="1">VLOOKUP($B36,'[9]Analisys QBR By Machine Report'!$C$109:$BD$166,4,FALSE)</f>
        <v>5610</v>
      </c>
      <c r="I36" s="10">
        <f ca="1">VLOOKUP($B36,'[9]Analisys QBR By Machine Report'!$C$109:$BD$166,5,FALSE)</f>
        <v>1030</v>
      </c>
      <c r="J36" s="10">
        <f ca="1">VLOOKUP($B36,'[9]Analisys QBR By Machine Report'!$C$109:$BD$166,6,FALSE)</f>
        <v>4580</v>
      </c>
      <c r="K36" s="10">
        <f ca="1">VLOOKUP($B36,'[9]Analisys QBR By Machine Report'!$C$109:$BD$166,7,FALSE)</f>
        <v>0</v>
      </c>
      <c r="L36" s="10">
        <f ca="1">VLOOKUP($B36,'[9]Analisys QBR By Machine Report'!$C$109:$BD$166,8,FALSE)</f>
        <v>40500</v>
      </c>
      <c r="M36" s="10">
        <f ca="1">VLOOKUP($B36,'[9]Analisys QBR By Machine Report'!$C$109:$BD$166,9,FALSE)</f>
        <v>24974</v>
      </c>
      <c r="N36" s="10">
        <f ca="1">VLOOKUP($B36,[9]Dasboard_QBR_Report!$B$109:$BL$166,18,FALSE)</f>
        <v>15526</v>
      </c>
      <c r="O36" s="10">
        <f ca="1">VLOOKUP($B36,'[9]Analisys QBR By Machine Report'!$C$109:$BD$166,10,FALSE)</f>
        <v>2709</v>
      </c>
      <c r="P36" s="10">
        <f ca="1">VLOOKUP($B36,'[9]Analisys QBR By Machine Report'!$C$109:$BD$166,11,FALSE)</f>
        <v>1495</v>
      </c>
      <c r="Q36" s="10">
        <f ca="1">VLOOKUP($B36,'[9]Analisys QBR By Machine Report'!$C$109:$BD$166,12,FALSE)</f>
        <v>196</v>
      </c>
      <c r="R36" s="10">
        <f ca="1">VLOOKUP($B36,'[9]Analisys QBR By Machine Report'!$C$109:$BD$166,13,FALSE)</f>
        <v>423</v>
      </c>
      <c r="S36" s="10">
        <f ca="1">VLOOKUP($B36,'[9]Analisys QBR By Machine Report'!$C$109:$BD$166,14,FALSE)</f>
        <v>595</v>
      </c>
      <c r="T36" s="10">
        <f ca="1">VLOOKUP($B36,'[9]Analisys QBR By Machine Report'!$C$109:$BD$166,15,FALSE)</f>
        <v>28</v>
      </c>
      <c r="U36" s="10">
        <f ca="1">VLOOKUP($B36,'[9]Analisys QBR By Machine Report'!$C$109:$BD$166,16,FALSE)</f>
        <v>0</v>
      </c>
      <c r="V36" s="10">
        <f ca="1">VLOOKUP($B36,'[9]Analisys QBR By Machine Report'!$C$109:$BD$166,17,FALSE)</f>
        <v>28</v>
      </c>
      <c r="W36" s="10">
        <f ca="1">VLOOKUP($B36,'[9]Analisys QBR By Machine Report'!$C$109:$BD$166,18,FALSE)</f>
        <v>0</v>
      </c>
      <c r="X36" s="10">
        <f ca="1">VLOOKUP($B36,'[9]Analisys QBR By Machine Report'!$C$109:$BD$166,19,FALSE)</f>
        <v>0</v>
      </c>
      <c r="Y36" s="10">
        <f ca="1">VLOOKUP($B36,'[9]Analisys QBR By Machine Report'!$C$109:$BD$166,20,FALSE)</f>
        <v>0</v>
      </c>
      <c r="Z36" s="10">
        <f ca="1">VLOOKUP($B36,'[9]Analisys QBR By Machine Report'!$C$109:$BD$166,21,FALSE)</f>
        <v>4131</v>
      </c>
      <c r="AA36" s="10">
        <f ca="1">VLOOKUP($B36,'[9]Analisys QBR By Machine Report'!$C$109:$BD$166,22,FALSE)</f>
        <v>1652</v>
      </c>
      <c r="AB36" s="10">
        <f ca="1">VLOOKUP($B36,'[9]Analisys QBR By Machine Report'!$C$109:$BD$166,23,FALSE)</f>
        <v>1959</v>
      </c>
      <c r="AC36" s="10">
        <f ca="1">VLOOKUP($B36,'[9]Analisys QBR By Machine Report'!$C$109:$BD$166,24,FALSE)</f>
        <v>0</v>
      </c>
      <c r="AD36" s="10">
        <f ca="1">VLOOKUP($B36,'[9]Analisys QBR By Machine Report'!$C$109:$BD$166,25,FALSE)</f>
        <v>0</v>
      </c>
      <c r="AE36" s="10">
        <f ca="1">VLOOKUP($B36,'[9]Analisys QBR By Machine Report'!$C$109:$BD$166,26,FALSE)</f>
        <v>520</v>
      </c>
      <c r="AF36" s="10">
        <f ca="1">VLOOKUP($B36,'[9]Analisys QBR By Machine Report'!$C$109:$BD$166,27,FALSE)</f>
        <v>0</v>
      </c>
      <c r="AG36" s="10">
        <f ca="1">VLOOKUP($B36,'[9]Analisys QBR By Machine Report'!$C$109:$BD$166,28,FALSE)</f>
        <v>0</v>
      </c>
      <c r="AH36" s="10">
        <f ca="1">VLOOKUP($B36,'[9]Analisys QBR By Machine Report'!$C$109:$BD$166,29,FALSE)</f>
        <v>0</v>
      </c>
      <c r="AI36" s="10">
        <f ca="1">VLOOKUP($B36,'[9]Analisys QBR By Machine Report'!$C$109:$BD$166,30,FALSE)</f>
        <v>8658</v>
      </c>
      <c r="AJ36" s="10">
        <f ca="1">VLOOKUP($B36,'[9]Analisys QBR By Machine Report'!$C$109:$BD$166,31,FALSE)</f>
        <v>0</v>
      </c>
      <c r="AK36" s="10">
        <f ca="1">VLOOKUP($B36,'[9]Analisys QBR By Machine Report'!$C$109:$BD$166,32,FALSE)</f>
        <v>655</v>
      </c>
      <c r="AL36" s="10">
        <f ca="1">VLOOKUP($B36,'[9]Analisys QBR By Machine Report'!$C$109:$BD$166,33,FALSE)</f>
        <v>2370</v>
      </c>
      <c r="AM36" s="10">
        <f ca="1">VLOOKUP($B36,'[9]Analisys QBR By Machine Report'!$C$109:$BD$166,34,FALSE)</f>
        <v>0</v>
      </c>
      <c r="AN36" s="10">
        <f ca="1">VLOOKUP($B36,'[9]Analisys QBR By Machine Report'!$C$109:$BD$166,35,FALSE)</f>
        <v>1410</v>
      </c>
      <c r="AO36" s="10">
        <f ca="1">VLOOKUP($B36,'[9]Analisys QBR By Machine Report'!$C$109:$BD$166,36,FALSE)</f>
        <v>180</v>
      </c>
      <c r="AP36" s="10">
        <f ca="1">VLOOKUP($B36,'[9]Analisys QBR By Machine Report'!$C$109:$BD$166,37,FALSE)</f>
        <v>420</v>
      </c>
      <c r="AQ36" s="10">
        <f ca="1">VLOOKUP($B36,'[9]Analisys QBR By Machine Report'!$C$109:$BD$166,38,FALSE)</f>
        <v>0</v>
      </c>
      <c r="AR36" s="10">
        <f ca="1">VLOOKUP($B36,'[9]Analisys QBR By Machine Report'!$C$109:$BD$166,39,FALSE)</f>
        <v>1430</v>
      </c>
      <c r="AS36" s="10">
        <f ca="1">VLOOKUP($B36,'[9]Analisys QBR By Machine Report'!$C$109:$BD$166,40,FALSE)</f>
        <v>692</v>
      </c>
      <c r="AT36" s="10">
        <f ca="1">VLOOKUP($B36,'[9]Analisys QBR By Machine Report'!$C$109:$BD$166,41,FALSE)</f>
        <v>0</v>
      </c>
      <c r="AU36" s="10">
        <f ca="1">VLOOKUP($B36,'[9]Analisys QBR By Machine Report'!$C$109:$BD$166,42,FALSE)</f>
        <v>0</v>
      </c>
      <c r="AV36" s="10">
        <f ca="1">VLOOKUP($B36,'[9]Analisys QBR By Machine Report'!$C$109:$BD$166,43,FALSE)</f>
        <v>0</v>
      </c>
      <c r="AW36" s="10">
        <f ca="1">VLOOKUP($B36,'[9]Analisys QBR By Machine Report'!$C$109:$BD$166,44,FALSE)</f>
        <v>0</v>
      </c>
      <c r="AX36" s="10">
        <f ca="1">VLOOKUP($B36,'[9]Analisys QBR By Machine Report'!$C$109:$BD$166,45,FALSE)</f>
        <v>0</v>
      </c>
      <c r="AY36" s="10">
        <f ca="1">VLOOKUP($B36,'[9]Analisys QBR By Machine Report'!$C$109:$BD$166,46,FALSE)</f>
        <v>0</v>
      </c>
      <c r="AZ36" s="10">
        <f ca="1">VLOOKUP($B36,'[9]Analisys QBR By Machine Report'!$C$109:$BD$166,47,FALSE)</f>
        <v>1446</v>
      </c>
      <c r="BA36" s="10">
        <f ca="1">VLOOKUP($B36,'[9]Analisys QBR By Machine Report'!$C$109:$BD$166,48,FALSE)</f>
        <v>55</v>
      </c>
      <c r="BB36" s="10">
        <f ca="1">VLOOKUP($B36,'[9]Analisys QBR By Machine Report'!$C$109:$BD$166,49,FALSE)</f>
        <v>0</v>
      </c>
      <c r="BC36" s="10">
        <f ca="1">VLOOKUP($B36,'[9]Analisys QBR By Machine Report'!$C$109:$BD$166,50,FALSE)</f>
        <v>0</v>
      </c>
      <c r="BD36" s="10">
        <f ca="1">VLOOKUP($B36,'[9]Analisys QBR By Machine Report'!$C$109:$BD$166,51,FALSE)</f>
        <v>1377288</v>
      </c>
      <c r="BE36" s="10">
        <f ca="1">VLOOKUP($B36,'[9]Analisys QBR By Machine Report'!$C$109:$BD$166,52,FALSE)</f>
        <v>268</v>
      </c>
      <c r="BF36" s="10">
        <f ca="1">VLOOKUP($B36,'[9]Analisys QBR By Machine Report'!$C$109:$BD$166,53,FALSE)</f>
        <v>1377020</v>
      </c>
    </row>
    <row r="37" spans="1:58" x14ac:dyDescent="0.25">
      <c r="A37" s="12" t="s">
        <v>93</v>
      </c>
      <c r="B37" s="13">
        <f ca="1">VLOOKUP($B37,'[9]Analisys QBR By Machine Report'!$C$109:$BD$166,2,FALSE)</f>
        <v>30240</v>
      </c>
      <c r="C37" s="14">
        <f ca="1">VLOOKUP($B37,[9]Dasboard_QBR_Report!$B$109:$BL$166,3,FALSE)</f>
        <v>10080</v>
      </c>
      <c r="D37" s="13">
        <f ca="1">VLOOKUP($B37,'[9]Analisys QBR By Machine Report'!$C$109:$BD$166,3,FALSE)</f>
        <v>19290</v>
      </c>
      <c r="E37" s="14">
        <f ca="1">VLOOKUP($B37,[9]Dasboard_QBR_Report!$B$109:$BL$166,5,FALSE)</f>
        <v>-870</v>
      </c>
      <c r="F37" s="13">
        <f t="shared" ca="1" si="0"/>
        <v>10950</v>
      </c>
      <c r="G37" s="13">
        <f t="shared" ca="1" si="1"/>
        <v>595</v>
      </c>
      <c r="H37" s="13">
        <f ca="1">VLOOKUP($B37,'[9]Analisys QBR By Machine Report'!$C$109:$BD$166,4,FALSE)</f>
        <v>595</v>
      </c>
      <c r="I37" s="13">
        <f ca="1">VLOOKUP($B37,'[9]Analisys QBR By Machine Report'!$C$109:$BD$166,5,FALSE)</f>
        <v>255</v>
      </c>
      <c r="J37" s="13">
        <f ca="1">VLOOKUP($B37,'[9]Analisys QBR By Machine Report'!$C$109:$BD$166,6,FALSE)</f>
        <v>340</v>
      </c>
      <c r="K37" s="13">
        <f ca="1">VLOOKUP($B37,'[9]Analisys QBR By Machine Report'!$C$109:$BD$166,7,FALSE)</f>
        <v>0</v>
      </c>
      <c r="L37" s="13">
        <f ca="1">VLOOKUP($B37,'[9]Analisys QBR By Machine Report'!$C$109:$BD$166,8,FALSE)</f>
        <v>10355</v>
      </c>
      <c r="M37" s="13">
        <f ca="1">VLOOKUP($B37,'[9]Analisys QBR By Machine Report'!$C$109:$BD$166,9,FALSE)</f>
        <v>7130</v>
      </c>
      <c r="N37" s="13">
        <f ca="1">VLOOKUP($B37,[9]Dasboard_QBR_Report!$B$109:$BL$166,18,FALSE)</f>
        <v>3225</v>
      </c>
      <c r="O37" s="13">
        <f ca="1">VLOOKUP($B37,'[9]Analisys QBR By Machine Report'!$C$109:$BD$166,10,FALSE)</f>
        <v>272</v>
      </c>
      <c r="P37" s="13">
        <f ca="1">VLOOKUP($B37,'[9]Analisys QBR By Machine Report'!$C$109:$BD$166,11,FALSE)</f>
        <v>272</v>
      </c>
      <c r="Q37" s="13">
        <f ca="1">VLOOKUP($B37,'[9]Analisys QBR By Machine Report'!$C$109:$BD$166,12,FALSE)</f>
        <v>0</v>
      </c>
      <c r="R37" s="13">
        <f ca="1">VLOOKUP($B37,'[9]Analisys QBR By Machine Report'!$C$109:$BD$166,13,FALSE)</f>
        <v>0</v>
      </c>
      <c r="S37" s="13">
        <f ca="1">VLOOKUP($B37,'[9]Analisys QBR By Machine Report'!$C$109:$BD$166,14,FALSE)</f>
        <v>0</v>
      </c>
      <c r="T37" s="13">
        <f ca="1">VLOOKUP($B37,'[9]Analisys QBR By Machine Report'!$C$109:$BD$166,15,FALSE)</f>
        <v>0</v>
      </c>
      <c r="U37" s="13">
        <f ca="1">VLOOKUP($B37,'[9]Analisys QBR By Machine Report'!$C$109:$BD$166,16,FALSE)</f>
        <v>0</v>
      </c>
      <c r="V37" s="13">
        <f ca="1">VLOOKUP($B37,'[9]Analisys QBR By Machine Report'!$C$109:$BD$166,17,FALSE)</f>
        <v>0</v>
      </c>
      <c r="W37" s="13">
        <f ca="1">VLOOKUP($B37,'[9]Analisys QBR By Machine Report'!$C$109:$BD$166,18,FALSE)</f>
        <v>0</v>
      </c>
      <c r="X37" s="13">
        <f ca="1">VLOOKUP($B37,'[9]Analisys QBR By Machine Report'!$C$109:$BD$166,19,FALSE)</f>
        <v>0</v>
      </c>
      <c r="Y37" s="13">
        <f ca="1">VLOOKUP($B37,'[9]Analisys QBR By Machine Report'!$C$109:$BD$166,20,FALSE)</f>
        <v>0</v>
      </c>
      <c r="Z37" s="13">
        <f ca="1">VLOOKUP($B37,'[9]Analisys QBR By Machine Report'!$C$109:$BD$166,21,FALSE)</f>
        <v>824</v>
      </c>
      <c r="AA37" s="13">
        <f ca="1">VLOOKUP($B37,'[9]Analisys QBR By Machine Report'!$C$109:$BD$166,22,FALSE)</f>
        <v>244</v>
      </c>
      <c r="AB37" s="13">
        <f ca="1">VLOOKUP($B37,'[9]Analisys QBR By Machine Report'!$C$109:$BD$166,23,FALSE)</f>
        <v>520</v>
      </c>
      <c r="AC37" s="13">
        <f ca="1">VLOOKUP($B37,'[9]Analisys QBR By Machine Report'!$C$109:$BD$166,24,FALSE)</f>
        <v>0</v>
      </c>
      <c r="AD37" s="13">
        <f ca="1">VLOOKUP($B37,'[9]Analisys QBR By Machine Report'!$C$109:$BD$166,25,FALSE)</f>
        <v>0</v>
      </c>
      <c r="AE37" s="13">
        <f ca="1">VLOOKUP($B37,'[9]Analisys QBR By Machine Report'!$C$109:$BD$166,26,FALSE)</f>
        <v>60</v>
      </c>
      <c r="AF37" s="13">
        <f ca="1">VLOOKUP($B37,'[9]Analisys QBR By Machine Report'!$C$109:$BD$166,27,FALSE)</f>
        <v>0</v>
      </c>
      <c r="AG37" s="13">
        <f ca="1">VLOOKUP($B37,'[9]Analisys QBR By Machine Report'!$C$109:$BD$166,28,FALSE)</f>
        <v>0</v>
      </c>
      <c r="AH37" s="13">
        <f ca="1">VLOOKUP($B37,'[9]Analisys QBR By Machine Report'!$C$109:$BD$166,29,FALSE)</f>
        <v>0</v>
      </c>
      <c r="AI37" s="13">
        <f ca="1">VLOOKUP($B37,'[9]Analisys QBR By Machine Report'!$C$109:$BD$166,30,FALSE)</f>
        <v>2129</v>
      </c>
      <c r="AJ37" s="13">
        <f ca="1">VLOOKUP($B37,'[9]Analisys QBR By Machine Report'!$C$109:$BD$166,31,FALSE)</f>
        <v>0</v>
      </c>
      <c r="AK37" s="13">
        <f ca="1">VLOOKUP($B37,'[9]Analisys QBR By Machine Report'!$C$109:$BD$166,32,FALSE)</f>
        <v>250</v>
      </c>
      <c r="AL37" s="13">
        <f ca="1">VLOOKUP($B37,'[9]Analisys QBR By Machine Report'!$C$109:$BD$166,33,FALSE)</f>
        <v>630</v>
      </c>
      <c r="AM37" s="13">
        <f ca="1">VLOOKUP($B37,'[9]Analisys QBR By Machine Report'!$C$109:$BD$166,34,FALSE)</f>
        <v>0</v>
      </c>
      <c r="AN37" s="13">
        <f ca="1">VLOOKUP($B37,'[9]Analisys QBR By Machine Report'!$C$109:$BD$166,35,FALSE)</f>
        <v>360</v>
      </c>
      <c r="AO37" s="13">
        <f ca="1">VLOOKUP($B37,'[9]Analisys QBR By Machine Report'!$C$109:$BD$166,36,FALSE)</f>
        <v>0</v>
      </c>
      <c r="AP37" s="13">
        <f ca="1">VLOOKUP($B37,'[9]Analisys QBR By Machine Report'!$C$109:$BD$166,37,FALSE)</f>
        <v>210</v>
      </c>
      <c r="AQ37" s="13">
        <f ca="1">VLOOKUP($B37,'[9]Analisys QBR By Machine Report'!$C$109:$BD$166,38,FALSE)</f>
        <v>0</v>
      </c>
      <c r="AR37" s="13">
        <f ca="1">VLOOKUP($B37,'[9]Analisys QBR By Machine Report'!$C$109:$BD$166,39,FALSE)</f>
        <v>0</v>
      </c>
      <c r="AS37" s="13">
        <f ca="1">VLOOKUP($B37,'[9]Analisys QBR By Machine Report'!$C$109:$BD$166,40,FALSE)</f>
        <v>217</v>
      </c>
      <c r="AT37" s="13">
        <f ca="1">VLOOKUP($B37,'[9]Analisys QBR By Machine Report'!$C$109:$BD$166,41,FALSE)</f>
        <v>0</v>
      </c>
      <c r="AU37" s="13">
        <f ca="1">VLOOKUP($B37,'[9]Analisys QBR By Machine Report'!$C$109:$BD$166,42,FALSE)</f>
        <v>0</v>
      </c>
      <c r="AV37" s="13">
        <f ca="1">VLOOKUP($B37,'[9]Analisys QBR By Machine Report'!$C$109:$BD$166,43,FALSE)</f>
        <v>0</v>
      </c>
      <c r="AW37" s="13">
        <f ca="1">VLOOKUP($B37,'[9]Analisys QBR By Machine Report'!$C$109:$BD$166,44,FALSE)</f>
        <v>0</v>
      </c>
      <c r="AX37" s="13">
        <f ca="1">VLOOKUP($B37,'[9]Analisys QBR By Machine Report'!$C$109:$BD$166,45,FALSE)</f>
        <v>0</v>
      </c>
      <c r="AY37" s="13">
        <f ca="1">VLOOKUP($B37,'[9]Analisys QBR By Machine Report'!$C$109:$BD$166,46,FALSE)</f>
        <v>0</v>
      </c>
      <c r="AZ37" s="13">
        <f ca="1">VLOOKUP($B37,'[9]Analisys QBR By Machine Report'!$C$109:$BD$166,47,FALSE)</f>
        <v>462</v>
      </c>
      <c r="BA37" s="13">
        <f ca="1">VLOOKUP($B37,'[9]Analisys QBR By Machine Report'!$C$109:$BD$166,48,FALSE)</f>
        <v>0</v>
      </c>
      <c r="BB37" s="13">
        <f ca="1">VLOOKUP($B37,'[9]Analisys QBR By Machine Report'!$C$109:$BD$166,49,FALSE)</f>
        <v>0</v>
      </c>
      <c r="BC37" s="13">
        <f ca="1">VLOOKUP($B37,'[9]Analisys QBR By Machine Report'!$C$109:$BD$166,50,FALSE)</f>
        <v>0</v>
      </c>
      <c r="BD37" s="13">
        <f ca="1">VLOOKUP($B37,'[9]Analisys QBR By Machine Report'!$C$109:$BD$166,51,FALSE)</f>
        <v>256914</v>
      </c>
      <c r="BE37" s="13">
        <f ca="1">VLOOKUP($B37,'[9]Analisys QBR By Machine Report'!$C$109:$BD$166,52,FALSE)</f>
        <v>0</v>
      </c>
      <c r="BF37" s="13">
        <f ca="1">VLOOKUP($B37,'[9]Analisys QBR By Machine Report'!$C$109:$BD$166,53,FALSE)</f>
        <v>256914</v>
      </c>
    </row>
    <row r="38" spans="1:58" x14ac:dyDescent="0.25">
      <c r="A38" s="12" t="s">
        <v>94</v>
      </c>
      <c r="B38" s="13">
        <f ca="1">VLOOKUP($B38,'[9]Analisys QBR By Machine Report'!$C$109:$BD$166,2,FALSE)</f>
        <v>30240</v>
      </c>
      <c r="C38" s="14">
        <f ca="1">VLOOKUP($B38,[9]Dasboard_QBR_Report!$B$109:$BL$166,3,FALSE)</f>
        <v>10080</v>
      </c>
      <c r="D38" s="13">
        <f ca="1">VLOOKUP($B38,'[9]Analisys QBR By Machine Report'!$C$109:$BD$166,3,FALSE)</f>
        <v>30240</v>
      </c>
      <c r="E38" s="14">
        <f ca="1">VLOOKUP($B38,[9]Dasboard_QBR_Report!$B$109:$BL$166,5,FALSE)</f>
        <v>10080</v>
      </c>
      <c r="F38" s="13">
        <f t="shared" ca="1" si="0"/>
        <v>0</v>
      </c>
      <c r="G38" s="13">
        <f t="shared" ca="1" si="1"/>
        <v>0</v>
      </c>
      <c r="H38" s="13">
        <f ca="1">VLOOKUP($B38,'[9]Analisys QBR By Machine Report'!$C$109:$BD$166,4,FALSE)</f>
        <v>0</v>
      </c>
      <c r="I38" s="13">
        <f ca="1">VLOOKUP($B38,'[9]Analisys QBR By Machine Report'!$C$109:$BD$166,5,FALSE)</f>
        <v>0</v>
      </c>
      <c r="J38" s="13">
        <f ca="1">VLOOKUP($B38,'[9]Analisys QBR By Machine Report'!$C$109:$BD$166,6,FALSE)</f>
        <v>0</v>
      </c>
      <c r="K38" s="13">
        <f ca="1">VLOOKUP($B38,'[9]Analisys QBR By Machine Report'!$C$109:$BD$166,7,FALSE)</f>
        <v>0</v>
      </c>
      <c r="L38" s="13">
        <f ca="1">VLOOKUP($B38,'[9]Analisys QBR By Machine Report'!$C$109:$BD$166,8,FALSE)</f>
        <v>0</v>
      </c>
      <c r="M38" s="13">
        <f ca="1">VLOOKUP($B38,'[9]Analisys QBR By Machine Report'!$C$109:$BD$166,9,FALSE)</f>
        <v>0</v>
      </c>
      <c r="N38" s="13">
        <f ca="1">VLOOKUP($B38,[9]Dasboard_QBR_Report!$B$109:$BL$166,18,FALSE)</f>
        <v>0</v>
      </c>
      <c r="O38" s="13">
        <f ca="1">VLOOKUP($B38,'[9]Analisys QBR By Machine Report'!$C$109:$BD$166,10,FALSE)</f>
        <v>0</v>
      </c>
      <c r="P38" s="13">
        <f ca="1">VLOOKUP($B38,'[9]Analisys QBR By Machine Report'!$C$109:$BD$166,11,FALSE)</f>
        <v>0</v>
      </c>
      <c r="Q38" s="13">
        <f ca="1">VLOOKUP($B38,'[9]Analisys QBR By Machine Report'!$C$109:$BD$166,12,FALSE)</f>
        <v>0</v>
      </c>
      <c r="R38" s="13">
        <f ca="1">VLOOKUP($B38,'[9]Analisys QBR By Machine Report'!$C$109:$BD$166,13,FALSE)</f>
        <v>0</v>
      </c>
      <c r="S38" s="13">
        <f ca="1">VLOOKUP($B38,'[9]Analisys QBR By Machine Report'!$C$109:$BD$166,14,FALSE)</f>
        <v>0</v>
      </c>
      <c r="T38" s="13">
        <f ca="1">VLOOKUP($B38,'[9]Analisys QBR By Machine Report'!$C$109:$BD$166,15,FALSE)</f>
        <v>0</v>
      </c>
      <c r="U38" s="13">
        <f ca="1">VLOOKUP($B38,'[9]Analisys QBR By Machine Report'!$C$109:$BD$166,16,FALSE)</f>
        <v>0</v>
      </c>
      <c r="V38" s="13">
        <f ca="1">VLOOKUP($B38,'[9]Analisys QBR By Machine Report'!$C$109:$BD$166,17,FALSE)</f>
        <v>0</v>
      </c>
      <c r="W38" s="13">
        <f ca="1">VLOOKUP($B38,'[9]Analisys QBR By Machine Report'!$C$109:$BD$166,18,FALSE)</f>
        <v>0</v>
      </c>
      <c r="X38" s="13">
        <f ca="1">VLOOKUP($B38,'[9]Analisys QBR By Machine Report'!$C$109:$BD$166,19,FALSE)</f>
        <v>0</v>
      </c>
      <c r="Y38" s="13">
        <f ca="1">VLOOKUP($B38,'[9]Analisys QBR By Machine Report'!$C$109:$BD$166,20,FALSE)</f>
        <v>0</v>
      </c>
      <c r="Z38" s="13">
        <f ca="1">VLOOKUP($B38,'[9]Analisys QBR By Machine Report'!$C$109:$BD$166,21,FALSE)</f>
        <v>0</v>
      </c>
      <c r="AA38" s="13">
        <f ca="1">VLOOKUP($B38,'[9]Analisys QBR By Machine Report'!$C$109:$BD$166,22,FALSE)</f>
        <v>0</v>
      </c>
      <c r="AB38" s="13">
        <f ca="1">VLOOKUP($B38,'[9]Analisys QBR By Machine Report'!$C$109:$BD$166,23,FALSE)</f>
        <v>0</v>
      </c>
      <c r="AC38" s="13">
        <f ca="1">VLOOKUP($B38,'[9]Analisys QBR By Machine Report'!$C$109:$BD$166,24,FALSE)</f>
        <v>0</v>
      </c>
      <c r="AD38" s="13">
        <f ca="1">VLOOKUP($B38,'[9]Analisys QBR By Machine Report'!$C$109:$BD$166,25,FALSE)</f>
        <v>0</v>
      </c>
      <c r="AE38" s="13">
        <f ca="1">VLOOKUP($B38,'[9]Analisys QBR By Machine Report'!$C$109:$BD$166,26,FALSE)</f>
        <v>0</v>
      </c>
      <c r="AF38" s="13">
        <f ca="1">VLOOKUP($B38,'[9]Analisys QBR By Machine Report'!$C$109:$BD$166,27,FALSE)</f>
        <v>0</v>
      </c>
      <c r="AG38" s="13">
        <f ca="1">VLOOKUP($B38,'[9]Analisys QBR By Machine Report'!$C$109:$BD$166,28,FALSE)</f>
        <v>0</v>
      </c>
      <c r="AH38" s="13">
        <f ca="1">VLOOKUP($B38,'[9]Analisys QBR By Machine Report'!$C$109:$BD$166,29,FALSE)</f>
        <v>0</v>
      </c>
      <c r="AI38" s="13">
        <f ca="1">VLOOKUP($B38,'[9]Analisys QBR By Machine Report'!$C$109:$BD$166,30,FALSE)</f>
        <v>0</v>
      </c>
      <c r="AJ38" s="13">
        <f ca="1">VLOOKUP($B38,'[9]Analisys QBR By Machine Report'!$C$109:$BD$166,31,FALSE)</f>
        <v>0</v>
      </c>
      <c r="AK38" s="13">
        <f ca="1">VLOOKUP($B38,'[9]Analisys QBR By Machine Report'!$C$109:$BD$166,32,FALSE)</f>
        <v>0</v>
      </c>
      <c r="AL38" s="13">
        <f ca="1">VLOOKUP($B38,'[9]Analisys QBR By Machine Report'!$C$109:$BD$166,33,FALSE)</f>
        <v>0</v>
      </c>
      <c r="AM38" s="13">
        <f ca="1">VLOOKUP($B38,'[9]Analisys QBR By Machine Report'!$C$109:$BD$166,34,FALSE)</f>
        <v>0</v>
      </c>
      <c r="AN38" s="13">
        <f ca="1">VLOOKUP($B38,'[9]Analisys QBR By Machine Report'!$C$109:$BD$166,35,FALSE)</f>
        <v>0</v>
      </c>
      <c r="AO38" s="13">
        <f ca="1">VLOOKUP($B38,'[9]Analisys QBR By Machine Report'!$C$109:$BD$166,36,FALSE)</f>
        <v>0</v>
      </c>
      <c r="AP38" s="13">
        <f ca="1">VLOOKUP($B38,'[9]Analisys QBR By Machine Report'!$C$109:$BD$166,37,FALSE)</f>
        <v>0</v>
      </c>
      <c r="AQ38" s="13">
        <f ca="1">VLOOKUP($B38,'[9]Analisys QBR By Machine Report'!$C$109:$BD$166,38,FALSE)</f>
        <v>0</v>
      </c>
      <c r="AR38" s="13">
        <f ca="1">VLOOKUP($B38,'[9]Analisys QBR By Machine Report'!$C$109:$BD$166,39,FALSE)</f>
        <v>0</v>
      </c>
      <c r="AS38" s="13">
        <f ca="1">VLOOKUP($B38,'[9]Analisys QBR By Machine Report'!$C$109:$BD$166,40,FALSE)</f>
        <v>0</v>
      </c>
      <c r="AT38" s="13">
        <f ca="1">VLOOKUP($B38,'[9]Analisys QBR By Machine Report'!$C$109:$BD$166,41,FALSE)</f>
        <v>0</v>
      </c>
      <c r="AU38" s="13">
        <f ca="1">VLOOKUP($B38,'[9]Analisys QBR By Machine Report'!$C$109:$BD$166,42,FALSE)</f>
        <v>0</v>
      </c>
      <c r="AV38" s="13">
        <f ca="1">VLOOKUP($B38,'[9]Analisys QBR By Machine Report'!$C$109:$BD$166,43,FALSE)</f>
        <v>0</v>
      </c>
      <c r="AW38" s="13">
        <f ca="1">VLOOKUP($B38,'[9]Analisys QBR By Machine Report'!$C$109:$BD$166,44,FALSE)</f>
        <v>0</v>
      </c>
      <c r="AX38" s="13">
        <f ca="1">VLOOKUP($B38,'[9]Analisys QBR By Machine Report'!$C$109:$BD$166,45,FALSE)</f>
        <v>0</v>
      </c>
      <c r="AY38" s="13">
        <f ca="1">VLOOKUP($B38,'[9]Analisys QBR By Machine Report'!$C$109:$BD$166,46,FALSE)</f>
        <v>0</v>
      </c>
      <c r="AZ38" s="13">
        <f ca="1">VLOOKUP($B38,'[9]Analisys QBR By Machine Report'!$C$109:$BD$166,47,FALSE)</f>
        <v>0</v>
      </c>
      <c r="BA38" s="13">
        <f ca="1">VLOOKUP($B38,'[9]Analisys QBR By Machine Report'!$C$109:$BD$166,48,FALSE)</f>
        <v>0</v>
      </c>
      <c r="BB38" s="13">
        <f ca="1">VLOOKUP($B38,'[9]Analisys QBR By Machine Report'!$C$109:$BD$166,49,FALSE)</f>
        <v>0</v>
      </c>
      <c r="BC38" s="13">
        <f ca="1">VLOOKUP($B38,'[9]Analisys QBR By Machine Report'!$C$109:$BD$166,50,FALSE)</f>
        <v>0</v>
      </c>
      <c r="BD38" s="13">
        <f ca="1">VLOOKUP($B38,'[9]Analisys QBR By Machine Report'!$C$109:$BD$166,51,FALSE)</f>
        <v>0</v>
      </c>
      <c r="BE38" s="13">
        <f ca="1">VLOOKUP($B38,'[9]Analisys QBR By Machine Report'!$C$109:$BD$166,52,FALSE)</f>
        <v>0</v>
      </c>
      <c r="BF38" s="13">
        <f ca="1">VLOOKUP($B38,'[9]Analisys QBR By Machine Report'!$C$109:$BD$166,53,FALSE)</f>
        <v>0</v>
      </c>
    </row>
    <row r="39" spans="1:58" x14ac:dyDescent="0.25">
      <c r="A39" s="12" t="s">
        <v>95</v>
      </c>
      <c r="B39" s="13">
        <f ca="1">VLOOKUP($B39,'[9]Analisys QBR By Machine Report'!$C$109:$BD$166,2,FALSE)</f>
        <v>30240</v>
      </c>
      <c r="C39" s="14">
        <f ca="1">VLOOKUP($B39,[9]Dasboard_QBR_Report!$B$109:$BL$166,3,FALSE)</f>
        <v>10080</v>
      </c>
      <c r="D39" s="13">
        <f ca="1">VLOOKUP($B39,'[9]Analisys QBR By Machine Report'!$C$109:$BD$166,3,FALSE)</f>
        <v>15000</v>
      </c>
      <c r="E39" s="14">
        <f ca="1">VLOOKUP($B39,[9]Dasboard_QBR_Report!$B$109:$BL$166,5,FALSE)</f>
        <v>-5160</v>
      </c>
      <c r="F39" s="13">
        <f t="shared" ca="1" si="0"/>
        <v>15240</v>
      </c>
      <c r="G39" s="13">
        <f t="shared" ca="1" si="1"/>
        <v>255</v>
      </c>
      <c r="H39" s="13">
        <f ca="1">VLOOKUP($B39,'[9]Analisys QBR By Machine Report'!$C$109:$BD$166,4,FALSE)</f>
        <v>255</v>
      </c>
      <c r="I39" s="13">
        <f ca="1">VLOOKUP($B39,'[9]Analisys QBR By Machine Report'!$C$109:$BD$166,5,FALSE)</f>
        <v>255</v>
      </c>
      <c r="J39" s="13">
        <f ca="1">VLOOKUP($B39,'[9]Analisys QBR By Machine Report'!$C$109:$BD$166,6,FALSE)</f>
        <v>0</v>
      </c>
      <c r="K39" s="13">
        <f ca="1">VLOOKUP($B39,'[9]Analisys QBR By Machine Report'!$C$109:$BD$166,7,FALSE)</f>
        <v>0</v>
      </c>
      <c r="L39" s="13">
        <f ca="1">VLOOKUP($B39,'[9]Analisys QBR By Machine Report'!$C$109:$BD$166,8,FALSE)</f>
        <v>14985</v>
      </c>
      <c r="M39" s="13">
        <f ca="1">VLOOKUP($B39,'[9]Analisys QBR By Machine Report'!$C$109:$BD$166,9,FALSE)</f>
        <v>10420</v>
      </c>
      <c r="N39" s="13">
        <f ca="1">VLOOKUP($B39,[9]Dasboard_QBR_Report!$B$109:$BL$166,18,FALSE)</f>
        <v>4565</v>
      </c>
      <c r="O39" s="13">
        <f ca="1">VLOOKUP($B39,'[9]Analisys QBR By Machine Report'!$C$109:$BD$166,10,FALSE)</f>
        <v>257</v>
      </c>
      <c r="P39" s="13">
        <f ca="1">VLOOKUP($B39,'[9]Analisys QBR By Machine Report'!$C$109:$BD$166,11,FALSE)</f>
        <v>257</v>
      </c>
      <c r="Q39" s="13">
        <f ca="1">VLOOKUP($B39,'[9]Analisys QBR By Machine Report'!$C$109:$BD$166,12,FALSE)</f>
        <v>0</v>
      </c>
      <c r="R39" s="13">
        <f ca="1">VLOOKUP($B39,'[9]Analisys QBR By Machine Report'!$C$109:$BD$166,13,FALSE)</f>
        <v>0</v>
      </c>
      <c r="S39" s="13">
        <f ca="1">VLOOKUP($B39,'[9]Analisys QBR By Machine Report'!$C$109:$BD$166,14,FALSE)</f>
        <v>0</v>
      </c>
      <c r="T39" s="13">
        <f ca="1">VLOOKUP($B39,'[9]Analisys QBR By Machine Report'!$C$109:$BD$166,15,FALSE)</f>
        <v>0</v>
      </c>
      <c r="U39" s="13">
        <f ca="1">VLOOKUP($B39,'[9]Analisys QBR By Machine Report'!$C$109:$BD$166,16,FALSE)</f>
        <v>0</v>
      </c>
      <c r="V39" s="13">
        <f ca="1">VLOOKUP($B39,'[9]Analisys QBR By Machine Report'!$C$109:$BD$166,17,FALSE)</f>
        <v>0</v>
      </c>
      <c r="W39" s="13">
        <f ca="1">VLOOKUP($B39,'[9]Analisys QBR By Machine Report'!$C$109:$BD$166,18,FALSE)</f>
        <v>0</v>
      </c>
      <c r="X39" s="13">
        <f ca="1">VLOOKUP($B39,'[9]Analisys QBR By Machine Report'!$C$109:$BD$166,19,FALSE)</f>
        <v>0</v>
      </c>
      <c r="Y39" s="13">
        <f ca="1">VLOOKUP($B39,'[9]Analisys QBR By Machine Report'!$C$109:$BD$166,20,FALSE)</f>
        <v>0</v>
      </c>
      <c r="Z39" s="13">
        <f ca="1">VLOOKUP($B39,'[9]Analisys QBR By Machine Report'!$C$109:$BD$166,21,FALSE)</f>
        <v>1089</v>
      </c>
      <c r="AA39" s="13">
        <f ca="1">VLOOKUP($B39,'[9]Analisys QBR By Machine Report'!$C$109:$BD$166,22,FALSE)</f>
        <v>260</v>
      </c>
      <c r="AB39" s="13">
        <f ca="1">VLOOKUP($B39,'[9]Analisys QBR By Machine Report'!$C$109:$BD$166,23,FALSE)</f>
        <v>769</v>
      </c>
      <c r="AC39" s="13">
        <f ca="1">VLOOKUP($B39,'[9]Analisys QBR By Machine Report'!$C$109:$BD$166,24,FALSE)</f>
        <v>0</v>
      </c>
      <c r="AD39" s="13">
        <f ca="1">VLOOKUP($B39,'[9]Analisys QBR By Machine Report'!$C$109:$BD$166,25,FALSE)</f>
        <v>0</v>
      </c>
      <c r="AE39" s="13">
        <f ca="1">VLOOKUP($B39,'[9]Analisys QBR By Machine Report'!$C$109:$BD$166,26,FALSE)</f>
        <v>60</v>
      </c>
      <c r="AF39" s="13">
        <f ca="1">VLOOKUP($B39,'[9]Analisys QBR By Machine Report'!$C$109:$BD$166,27,FALSE)</f>
        <v>0</v>
      </c>
      <c r="AG39" s="13">
        <f ca="1">VLOOKUP($B39,'[9]Analisys QBR By Machine Report'!$C$109:$BD$166,28,FALSE)</f>
        <v>0</v>
      </c>
      <c r="AH39" s="13">
        <f ca="1">VLOOKUP($B39,'[9]Analisys QBR By Machine Report'!$C$109:$BD$166,29,FALSE)</f>
        <v>0</v>
      </c>
      <c r="AI39" s="13">
        <f ca="1">VLOOKUP($B39,'[9]Analisys QBR By Machine Report'!$C$109:$BD$166,30,FALSE)</f>
        <v>3219</v>
      </c>
      <c r="AJ39" s="13">
        <f ca="1">VLOOKUP($B39,'[9]Analisys QBR By Machine Report'!$C$109:$BD$166,31,FALSE)</f>
        <v>0</v>
      </c>
      <c r="AK39" s="13">
        <f ca="1">VLOOKUP($B39,'[9]Analisys QBR By Machine Report'!$C$109:$BD$166,32,FALSE)</f>
        <v>405</v>
      </c>
      <c r="AL39" s="13">
        <f ca="1">VLOOKUP($B39,'[9]Analisys QBR By Machine Report'!$C$109:$BD$166,33,FALSE)</f>
        <v>960</v>
      </c>
      <c r="AM39" s="13">
        <f ca="1">VLOOKUP($B39,'[9]Analisys QBR By Machine Report'!$C$109:$BD$166,34,FALSE)</f>
        <v>0</v>
      </c>
      <c r="AN39" s="13">
        <f ca="1">VLOOKUP($B39,'[9]Analisys QBR By Machine Report'!$C$109:$BD$166,35,FALSE)</f>
        <v>660</v>
      </c>
      <c r="AO39" s="13">
        <f ca="1">VLOOKUP($B39,'[9]Analisys QBR By Machine Report'!$C$109:$BD$166,36,FALSE)</f>
        <v>60</v>
      </c>
      <c r="AP39" s="13">
        <f ca="1">VLOOKUP($B39,'[9]Analisys QBR By Machine Report'!$C$109:$BD$166,37,FALSE)</f>
        <v>210</v>
      </c>
      <c r="AQ39" s="13">
        <f ca="1">VLOOKUP($B39,'[9]Analisys QBR By Machine Report'!$C$109:$BD$166,38,FALSE)</f>
        <v>0</v>
      </c>
      <c r="AR39" s="13">
        <f ca="1">VLOOKUP($B39,'[9]Analisys QBR By Machine Report'!$C$109:$BD$166,39,FALSE)</f>
        <v>0</v>
      </c>
      <c r="AS39" s="13">
        <f ca="1">VLOOKUP($B39,'[9]Analisys QBR By Machine Report'!$C$109:$BD$166,40,FALSE)</f>
        <v>207</v>
      </c>
      <c r="AT39" s="13">
        <f ca="1">VLOOKUP($B39,'[9]Analisys QBR By Machine Report'!$C$109:$BD$166,41,FALSE)</f>
        <v>0</v>
      </c>
      <c r="AU39" s="13">
        <f ca="1">VLOOKUP($B39,'[9]Analisys QBR By Machine Report'!$C$109:$BD$166,42,FALSE)</f>
        <v>0</v>
      </c>
      <c r="AV39" s="13">
        <f ca="1">VLOOKUP($B39,'[9]Analisys QBR By Machine Report'!$C$109:$BD$166,43,FALSE)</f>
        <v>0</v>
      </c>
      <c r="AW39" s="13">
        <f ca="1">VLOOKUP($B39,'[9]Analisys QBR By Machine Report'!$C$109:$BD$166,44,FALSE)</f>
        <v>0</v>
      </c>
      <c r="AX39" s="13">
        <f ca="1">VLOOKUP($B39,'[9]Analisys QBR By Machine Report'!$C$109:$BD$166,45,FALSE)</f>
        <v>0</v>
      </c>
      <c r="AY39" s="13">
        <f ca="1">VLOOKUP($B39,'[9]Analisys QBR By Machine Report'!$C$109:$BD$166,46,FALSE)</f>
        <v>0</v>
      </c>
      <c r="AZ39" s="13">
        <f ca="1">VLOOKUP($B39,'[9]Analisys QBR By Machine Report'!$C$109:$BD$166,47,FALSE)</f>
        <v>717</v>
      </c>
      <c r="BA39" s="13">
        <f ca="1">VLOOKUP($B39,'[9]Analisys QBR By Machine Report'!$C$109:$BD$166,48,FALSE)</f>
        <v>0</v>
      </c>
      <c r="BB39" s="13">
        <f ca="1">VLOOKUP($B39,'[9]Analisys QBR By Machine Report'!$C$109:$BD$166,49,FALSE)</f>
        <v>0</v>
      </c>
      <c r="BC39" s="13">
        <f ca="1">VLOOKUP($B39,'[9]Analisys QBR By Machine Report'!$C$109:$BD$166,50,FALSE)</f>
        <v>0</v>
      </c>
      <c r="BD39" s="13">
        <f ca="1">VLOOKUP($B39,'[9]Analisys QBR By Machine Report'!$C$109:$BD$166,51,FALSE)</f>
        <v>449538</v>
      </c>
      <c r="BE39" s="13">
        <f ca="1">VLOOKUP($B39,'[9]Analisys QBR By Machine Report'!$C$109:$BD$166,52,FALSE)</f>
        <v>170</v>
      </c>
      <c r="BF39" s="13">
        <f ca="1">VLOOKUP($B39,'[9]Analisys QBR By Machine Report'!$C$109:$BD$166,53,FALSE)</f>
        <v>449368</v>
      </c>
    </row>
    <row r="40" spans="1:58" x14ac:dyDescent="0.25">
      <c r="A40" s="12" t="s">
        <v>96</v>
      </c>
      <c r="B40" s="13">
        <f ca="1">VLOOKUP($B40,'[9]Analisys QBR By Machine Report'!$C$109:$BD$166,2,FALSE)</f>
        <v>30240</v>
      </c>
      <c r="C40" s="14">
        <f ca="1">VLOOKUP($B40,[9]Dasboard_QBR_Report!$B$109:$BL$166,3,FALSE)</f>
        <v>10080</v>
      </c>
      <c r="D40" s="13">
        <f ca="1">VLOOKUP($B40,'[9]Analisys QBR By Machine Report'!$C$109:$BD$166,3,FALSE)</f>
        <v>29220</v>
      </c>
      <c r="E40" s="14">
        <f ca="1">VLOOKUP($B40,[9]Dasboard_QBR_Report!$B$109:$BL$166,5,FALSE)</f>
        <v>9060</v>
      </c>
      <c r="F40" s="13">
        <f t="shared" ca="1" si="0"/>
        <v>1020</v>
      </c>
      <c r="G40" s="13">
        <f t="shared" ca="1" si="1"/>
        <v>640</v>
      </c>
      <c r="H40" s="13">
        <f ca="1">VLOOKUP($B40,'[9]Analisys QBR By Machine Report'!$C$109:$BD$166,4,FALSE)</f>
        <v>640</v>
      </c>
      <c r="I40" s="13">
        <f ca="1">VLOOKUP($B40,'[9]Analisys QBR By Machine Report'!$C$109:$BD$166,5,FALSE)</f>
        <v>0</v>
      </c>
      <c r="J40" s="13">
        <f ca="1">VLOOKUP($B40,'[9]Analisys QBR By Machine Report'!$C$109:$BD$166,6,FALSE)</f>
        <v>640</v>
      </c>
      <c r="K40" s="13">
        <f ca="1">VLOOKUP($B40,'[9]Analisys QBR By Machine Report'!$C$109:$BD$166,7,FALSE)</f>
        <v>0</v>
      </c>
      <c r="L40" s="13">
        <f ca="1">VLOOKUP($B40,'[9]Analisys QBR By Machine Report'!$C$109:$BD$166,8,FALSE)</f>
        <v>380</v>
      </c>
      <c r="M40" s="13">
        <f ca="1">VLOOKUP($B40,'[9]Analisys QBR By Machine Report'!$C$109:$BD$166,9,FALSE)</f>
        <v>115</v>
      </c>
      <c r="N40" s="13">
        <f ca="1">VLOOKUP($B40,[9]Dasboard_QBR_Report!$B$109:$BL$166,18,FALSE)</f>
        <v>265</v>
      </c>
      <c r="O40" s="13">
        <f ca="1">VLOOKUP($B40,'[9]Analisys QBR By Machine Report'!$C$109:$BD$166,10,FALSE)</f>
        <v>130</v>
      </c>
      <c r="P40" s="13">
        <f ca="1">VLOOKUP($B40,'[9]Analisys QBR By Machine Report'!$C$109:$BD$166,11,FALSE)</f>
        <v>45</v>
      </c>
      <c r="Q40" s="13">
        <f ca="1">VLOOKUP($B40,'[9]Analisys QBR By Machine Report'!$C$109:$BD$166,12,FALSE)</f>
        <v>0</v>
      </c>
      <c r="R40" s="13">
        <f ca="1">VLOOKUP($B40,'[9]Analisys QBR By Machine Report'!$C$109:$BD$166,13,FALSE)</f>
        <v>20</v>
      </c>
      <c r="S40" s="13">
        <f ca="1">VLOOKUP($B40,'[9]Analisys QBR By Machine Report'!$C$109:$BD$166,14,FALSE)</f>
        <v>65</v>
      </c>
      <c r="T40" s="13">
        <f ca="1">VLOOKUP($B40,'[9]Analisys QBR By Machine Report'!$C$109:$BD$166,15,FALSE)</f>
        <v>0</v>
      </c>
      <c r="U40" s="13">
        <f ca="1">VLOOKUP($B40,'[9]Analisys QBR By Machine Report'!$C$109:$BD$166,16,FALSE)</f>
        <v>0</v>
      </c>
      <c r="V40" s="13">
        <f ca="1">VLOOKUP($B40,'[9]Analisys QBR By Machine Report'!$C$109:$BD$166,17,FALSE)</f>
        <v>0</v>
      </c>
      <c r="W40" s="13">
        <f ca="1">VLOOKUP($B40,'[9]Analisys QBR By Machine Report'!$C$109:$BD$166,18,FALSE)</f>
        <v>0</v>
      </c>
      <c r="X40" s="13">
        <f ca="1">VLOOKUP($B40,'[9]Analisys QBR By Machine Report'!$C$109:$BD$166,19,FALSE)</f>
        <v>0</v>
      </c>
      <c r="Y40" s="13">
        <f ca="1">VLOOKUP($B40,'[9]Analisys QBR By Machine Report'!$C$109:$BD$166,20,FALSE)</f>
        <v>0</v>
      </c>
      <c r="Z40" s="13">
        <f ca="1">VLOOKUP($B40,'[9]Analisys QBR By Machine Report'!$C$109:$BD$166,21,FALSE)</f>
        <v>110</v>
      </c>
      <c r="AA40" s="13">
        <f ca="1">VLOOKUP($B40,'[9]Analisys QBR By Machine Report'!$C$109:$BD$166,22,FALSE)</f>
        <v>20</v>
      </c>
      <c r="AB40" s="13">
        <f ca="1">VLOOKUP($B40,'[9]Analisys QBR By Machine Report'!$C$109:$BD$166,23,FALSE)</f>
        <v>80</v>
      </c>
      <c r="AC40" s="13">
        <f ca="1">VLOOKUP($B40,'[9]Analisys QBR By Machine Report'!$C$109:$BD$166,24,FALSE)</f>
        <v>0</v>
      </c>
      <c r="AD40" s="13">
        <f ca="1">VLOOKUP($B40,'[9]Analisys QBR By Machine Report'!$C$109:$BD$166,25,FALSE)</f>
        <v>0</v>
      </c>
      <c r="AE40" s="13">
        <f ca="1">VLOOKUP($B40,'[9]Analisys QBR By Machine Report'!$C$109:$BD$166,26,FALSE)</f>
        <v>10</v>
      </c>
      <c r="AF40" s="13">
        <f ca="1">VLOOKUP($B40,'[9]Analisys QBR By Machine Report'!$C$109:$BD$166,27,FALSE)</f>
        <v>0</v>
      </c>
      <c r="AG40" s="13">
        <f ca="1">VLOOKUP($B40,'[9]Analisys QBR By Machine Report'!$C$109:$BD$166,28,FALSE)</f>
        <v>0</v>
      </c>
      <c r="AH40" s="13">
        <f ca="1">VLOOKUP($B40,'[9]Analisys QBR By Machine Report'!$C$109:$BD$166,29,FALSE)</f>
        <v>0</v>
      </c>
      <c r="AI40" s="13">
        <f ca="1">VLOOKUP($B40,'[9]Analisys QBR By Machine Report'!$C$109:$BD$166,30,FALSE)</f>
        <v>25</v>
      </c>
      <c r="AJ40" s="13">
        <f ca="1">VLOOKUP($B40,'[9]Analisys QBR By Machine Report'!$C$109:$BD$166,31,FALSE)</f>
        <v>0</v>
      </c>
      <c r="AK40" s="13">
        <f ca="1">VLOOKUP($B40,'[9]Analisys QBR By Machine Report'!$C$109:$BD$166,32,FALSE)</f>
        <v>0</v>
      </c>
      <c r="AL40" s="13">
        <f ca="1">VLOOKUP($B40,'[9]Analisys QBR By Machine Report'!$C$109:$BD$166,33,FALSE)</f>
        <v>0</v>
      </c>
      <c r="AM40" s="13">
        <f ca="1">VLOOKUP($B40,'[9]Analisys QBR By Machine Report'!$C$109:$BD$166,34,FALSE)</f>
        <v>0</v>
      </c>
      <c r="AN40" s="13">
        <f ca="1">VLOOKUP($B40,'[9]Analisys QBR By Machine Report'!$C$109:$BD$166,35,FALSE)</f>
        <v>0</v>
      </c>
      <c r="AO40" s="13">
        <f ca="1">VLOOKUP($B40,'[9]Analisys QBR By Machine Report'!$C$109:$BD$166,36,FALSE)</f>
        <v>0</v>
      </c>
      <c r="AP40" s="13">
        <f ca="1">VLOOKUP($B40,'[9]Analisys QBR By Machine Report'!$C$109:$BD$166,37,FALSE)</f>
        <v>0</v>
      </c>
      <c r="AQ40" s="13">
        <f ca="1">VLOOKUP($B40,'[9]Analisys QBR By Machine Report'!$C$109:$BD$166,38,FALSE)</f>
        <v>0</v>
      </c>
      <c r="AR40" s="13">
        <f ca="1">VLOOKUP($B40,'[9]Analisys QBR By Machine Report'!$C$109:$BD$166,39,FALSE)</f>
        <v>0</v>
      </c>
      <c r="AS40" s="13">
        <f ca="1">VLOOKUP($B40,'[9]Analisys QBR By Machine Report'!$C$109:$BD$166,40,FALSE)</f>
        <v>15</v>
      </c>
      <c r="AT40" s="13">
        <f ca="1">VLOOKUP($B40,'[9]Analisys QBR By Machine Report'!$C$109:$BD$166,41,FALSE)</f>
        <v>0</v>
      </c>
      <c r="AU40" s="13">
        <f ca="1">VLOOKUP($B40,'[9]Analisys QBR By Machine Report'!$C$109:$BD$166,42,FALSE)</f>
        <v>0</v>
      </c>
      <c r="AV40" s="13">
        <f ca="1">VLOOKUP($B40,'[9]Analisys QBR By Machine Report'!$C$109:$BD$166,43,FALSE)</f>
        <v>0</v>
      </c>
      <c r="AW40" s="13">
        <f ca="1">VLOOKUP($B40,'[9]Analisys QBR By Machine Report'!$C$109:$BD$166,44,FALSE)</f>
        <v>0</v>
      </c>
      <c r="AX40" s="13">
        <f ca="1">VLOOKUP($B40,'[9]Analisys QBR By Machine Report'!$C$109:$BD$166,45,FALSE)</f>
        <v>0</v>
      </c>
      <c r="AY40" s="13">
        <f ca="1">VLOOKUP($B40,'[9]Analisys QBR By Machine Report'!$C$109:$BD$166,46,FALSE)</f>
        <v>0</v>
      </c>
      <c r="AZ40" s="13">
        <f ca="1">VLOOKUP($B40,'[9]Analisys QBR By Machine Report'!$C$109:$BD$166,47,FALSE)</f>
        <v>10</v>
      </c>
      <c r="BA40" s="13">
        <f ca="1">VLOOKUP($B40,'[9]Analisys QBR By Machine Report'!$C$109:$BD$166,48,FALSE)</f>
        <v>0</v>
      </c>
      <c r="BB40" s="13">
        <f ca="1">VLOOKUP($B40,'[9]Analisys QBR By Machine Report'!$C$109:$BD$166,49,FALSE)</f>
        <v>0</v>
      </c>
      <c r="BC40" s="13">
        <f ca="1">VLOOKUP($B40,'[9]Analisys QBR By Machine Report'!$C$109:$BD$166,50,FALSE)</f>
        <v>0</v>
      </c>
      <c r="BD40" s="13">
        <f ca="1">VLOOKUP($B40,'[9]Analisys QBR By Machine Report'!$C$109:$BD$166,51,FALSE)</f>
        <v>1365</v>
      </c>
      <c r="BE40" s="13">
        <f ca="1">VLOOKUP($B40,'[9]Analisys QBR By Machine Report'!$C$109:$BD$166,52,FALSE)</f>
        <v>0</v>
      </c>
      <c r="BF40" s="13">
        <f ca="1">VLOOKUP($B40,'[9]Analisys QBR By Machine Report'!$C$109:$BD$166,53,FALSE)</f>
        <v>1365</v>
      </c>
    </row>
    <row r="41" spans="1:58" x14ac:dyDescent="0.25">
      <c r="A41" s="12" t="s">
        <v>97</v>
      </c>
      <c r="B41" s="13">
        <f ca="1">VLOOKUP($B41,'[9]Analisys QBR By Machine Report'!$C$109:$BD$166,2,FALSE)</f>
        <v>30240</v>
      </c>
      <c r="C41" s="14">
        <f ca="1">VLOOKUP($B41,[9]Dasboard_QBR_Report!$B$109:$BL$166,3,FALSE)</f>
        <v>19530</v>
      </c>
      <c r="D41" s="13">
        <f ca="1">VLOOKUP($B41,'[9]Analisys QBR By Machine Report'!$C$109:$BD$166,3,FALSE)</f>
        <v>21570</v>
      </c>
      <c r="E41" s="14">
        <f ca="1">VLOOKUP($B41,[9]Dasboard_QBR_Report!$B$109:$BL$166,5,FALSE)</f>
        <v>10860</v>
      </c>
      <c r="F41" s="13">
        <f t="shared" ca="1" si="0"/>
        <v>8670</v>
      </c>
      <c r="G41" s="13">
        <f t="shared" ca="1" si="1"/>
        <v>2315</v>
      </c>
      <c r="H41" s="13">
        <f ca="1">VLOOKUP($B41,'[9]Analisys QBR By Machine Report'!$C$109:$BD$166,4,FALSE)</f>
        <v>2315</v>
      </c>
      <c r="I41" s="13">
        <f ca="1">VLOOKUP($B41,'[9]Analisys QBR By Machine Report'!$C$109:$BD$166,5,FALSE)</f>
        <v>165</v>
      </c>
      <c r="J41" s="13">
        <f ca="1">VLOOKUP($B41,'[9]Analisys QBR By Machine Report'!$C$109:$BD$166,6,FALSE)</f>
        <v>2150</v>
      </c>
      <c r="K41" s="13">
        <f ca="1">VLOOKUP($B41,'[9]Analisys QBR By Machine Report'!$C$109:$BD$166,7,FALSE)</f>
        <v>0</v>
      </c>
      <c r="L41" s="13">
        <f ca="1">VLOOKUP($B41,'[9]Analisys QBR By Machine Report'!$C$109:$BD$166,8,FALSE)</f>
        <v>6355</v>
      </c>
      <c r="M41" s="13">
        <f ca="1">VLOOKUP($B41,'[9]Analisys QBR By Machine Report'!$C$109:$BD$166,9,FALSE)</f>
        <v>2775</v>
      </c>
      <c r="N41" s="13">
        <f ca="1">VLOOKUP($B41,[9]Dasboard_QBR_Report!$B$109:$BL$166,18,FALSE)</f>
        <v>3580</v>
      </c>
      <c r="O41" s="13">
        <f ca="1">VLOOKUP($B41,'[9]Analisys QBR By Machine Report'!$C$109:$BD$166,10,FALSE)</f>
        <v>945</v>
      </c>
      <c r="P41" s="13">
        <f ca="1">VLOOKUP($B41,'[9]Analisys QBR By Machine Report'!$C$109:$BD$166,11,FALSE)</f>
        <v>485</v>
      </c>
      <c r="Q41" s="13">
        <f ca="1">VLOOKUP($B41,'[9]Analisys QBR By Machine Report'!$C$109:$BD$166,12,FALSE)</f>
        <v>20</v>
      </c>
      <c r="R41" s="13">
        <f ca="1">VLOOKUP($B41,'[9]Analisys QBR By Machine Report'!$C$109:$BD$166,13,FALSE)</f>
        <v>280</v>
      </c>
      <c r="S41" s="13">
        <f ca="1">VLOOKUP($B41,'[9]Analisys QBR By Machine Report'!$C$109:$BD$166,14,FALSE)</f>
        <v>160</v>
      </c>
      <c r="T41" s="13">
        <f ca="1">VLOOKUP($B41,'[9]Analisys QBR By Machine Report'!$C$109:$BD$166,15,FALSE)</f>
        <v>0</v>
      </c>
      <c r="U41" s="13">
        <f ca="1">VLOOKUP($B41,'[9]Analisys QBR By Machine Report'!$C$109:$BD$166,16,FALSE)</f>
        <v>0</v>
      </c>
      <c r="V41" s="13">
        <f ca="1">VLOOKUP($B41,'[9]Analisys QBR By Machine Report'!$C$109:$BD$166,17,FALSE)</f>
        <v>0</v>
      </c>
      <c r="W41" s="13">
        <f ca="1">VLOOKUP($B41,'[9]Analisys QBR By Machine Report'!$C$109:$BD$166,18,FALSE)</f>
        <v>0</v>
      </c>
      <c r="X41" s="13">
        <f ca="1">VLOOKUP($B41,'[9]Analisys QBR By Machine Report'!$C$109:$BD$166,19,FALSE)</f>
        <v>0</v>
      </c>
      <c r="Y41" s="13">
        <f ca="1">VLOOKUP($B41,'[9]Analisys QBR By Machine Report'!$C$109:$BD$166,20,FALSE)</f>
        <v>0</v>
      </c>
      <c r="Z41" s="13">
        <f ca="1">VLOOKUP($B41,'[9]Analisys QBR By Machine Report'!$C$109:$BD$166,21,FALSE)</f>
        <v>445</v>
      </c>
      <c r="AA41" s="13">
        <f ca="1">VLOOKUP($B41,'[9]Analisys QBR By Machine Report'!$C$109:$BD$166,22,FALSE)</f>
        <v>235</v>
      </c>
      <c r="AB41" s="13">
        <f ca="1">VLOOKUP($B41,'[9]Analisys QBR By Machine Report'!$C$109:$BD$166,23,FALSE)</f>
        <v>210</v>
      </c>
      <c r="AC41" s="13">
        <f ca="1">VLOOKUP($B41,'[9]Analisys QBR By Machine Report'!$C$109:$BD$166,24,FALSE)</f>
        <v>0</v>
      </c>
      <c r="AD41" s="13">
        <f ca="1">VLOOKUP($B41,'[9]Analisys QBR By Machine Report'!$C$109:$BD$166,25,FALSE)</f>
        <v>0</v>
      </c>
      <c r="AE41" s="13">
        <f ca="1">VLOOKUP($B41,'[9]Analisys QBR By Machine Report'!$C$109:$BD$166,26,FALSE)</f>
        <v>0</v>
      </c>
      <c r="AF41" s="13">
        <f ca="1">VLOOKUP($B41,'[9]Analisys QBR By Machine Report'!$C$109:$BD$166,27,FALSE)</f>
        <v>0</v>
      </c>
      <c r="AG41" s="13">
        <f ca="1">VLOOKUP($B41,'[9]Analisys QBR By Machine Report'!$C$109:$BD$166,28,FALSE)</f>
        <v>0</v>
      </c>
      <c r="AH41" s="13">
        <f ca="1">VLOOKUP($B41,'[9]Analisys QBR By Machine Report'!$C$109:$BD$166,29,FALSE)</f>
        <v>0</v>
      </c>
      <c r="AI41" s="13">
        <f ca="1">VLOOKUP($B41,'[9]Analisys QBR By Machine Report'!$C$109:$BD$166,30,FALSE)</f>
        <v>2190</v>
      </c>
      <c r="AJ41" s="13">
        <f ca="1">VLOOKUP($B41,'[9]Analisys QBR By Machine Report'!$C$109:$BD$166,31,FALSE)</f>
        <v>0</v>
      </c>
      <c r="AK41" s="13">
        <f ca="1">VLOOKUP($B41,'[9]Analisys QBR By Machine Report'!$C$109:$BD$166,32,FALSE)</f>
        <v>0</v>
      </c>
      <c r="AL41" s="13">
        <f ca="1">VLOOKUP($B41,'[9]Analisys QBR By Machine Report'!$C$109:$BD$166,33,FALSE)</f>
        <v>330</v>
      </c>
      <c r="AM41" s="13">
        <f ca="1">VLOOKUP($B41,'[9]Analisys QBR By Machine Report'!$C$109:$BD$166,34,FALSE)</f>
        <v>0</v>
      </c>
      <c r="AN41" s="13">
        <f ca="1">VLOOKUP($B41,'[9]Analisys QBR By Machine Report'!$C$109:$BD$166,35,FALSE)</f>
        <v>165</v>
      </c>
      <c r="AO41" s="13">
        <f ca="1">VLOOKUP($B41,'[9]Analisys QBR By Machine Report'!$C$109:$BD$166,36,FALSE)</f>
        <v>120</v>
      </c>
      <c r="AP41" s="13">
        <f ca="1">VLOOKUP($B41,'[9]Analisys QBR By Machine Report'!$C$109:$BD$166,37,FALSE)</f>
        <v>0</v>
      </c>
      <c r="AQ41" s="13">
        <f ca="1">VLOOKUP($B41,'[9]Analisys QBR By Machine Report'!$C$109:$BD$166,38,FALSE)</f>
        <v>0</v>
      </c>
      <c r="AR41" s="13">
        <f ca="1">VLOOKUP($B41,'[9]Analisys QBR By Machine Report'!$C$109:$BD$166,39,FALSE)</f>
        <v>1285</v>
      </c>
      <c r="AS41" s="13">
        <f ca="1">VLOOKUP($B41,'[9]Analisys QBR By Machine Report'!$C$109:$BD$166,40,FALSE)</f>
        <v>115</v>
      </c>
      <c r="AT41" s="13">
        <f ca="1">VLOOKUP($B41,'[9]Analisys QBR By Machine Report'!$C$109:$BD$166,41,FALSE)</f>
        <v>0</v>
      </c>
      <c r="AU41" s="13">
        <f ca="1">VLOOKUP($B41,'[9]Analisys QBR By Machine Report'!$C$109:$BD$166,42,FALSE)</f>
        <v>0</v>
      </c>
      <c r="AV41" s="13">
        <f ca="1">VLOOKUP($B41,'[9]Analisys QBR By Machine Report'!$C$109:$BD$166,43,FALSE)</f>
        <v>0</v>
      </c>
      <c r="AW41" s="13">
        <f ca="1">VLOOKUP($B41,'[9]Analisys QBR By Machine Report'!$C$109:$BD$166,44,FALSE)</f>
        <v>0</v>
      </c>
      <c r="AX41" s="13">
        <f ca="1">VLOOKUP($B41,'[9]Analisys QBR By Machine Report'!$C$109:$BD$166,45,FALSE)</f>
        <v>0</v>
      </c>
      <c r="AY41" s="13">
        <f ca="1">VLOOKUP($B41,'[9]Analisys QBR By Machine Report'!$C$109:$BD$166,46,FALSE)</f>
        <v>0</v>
      </c>
      <c r="AZ41" s="13">
        <f ca="1">VLOOKUP($B41,'[9]Analisys QBR By Machine Report'!$C$109:$BD$166,47,FALSE)</f>
        <v>120</v>
      </c>
      <c r="BA41" s="13">
        <f ca="1">VLOOKUP($B41,'[9]Analisys QBR By Machine Report'!$C$109:$BD$166,48,FALSE)</f>
        <v>55</v>
      </c>
      <c r="BB41" s="13">
        <f ca="1">VLOOKUP($B41,'[9]Analisys QBR By Machine Report'!$C$109:$BD$166,49,FALSE)</f>
        <v>0</v>
      </c>
      <c r="BC41" s="13">
        <f ca="1">VLOOKUP($B41,'[9]Analisys QBR By Machine Report'!$C$109:$BD$166,50,FALSE)</f>
        <v>0</v>
      </c>
      <c r="BD41" s="13">
        <f ca="1">VLOOKUP($B41,'[9]Analisys QBR By Machine Report'!$C$109:$BD$166,51,FALSE)</f>
        <v>194565</v>
      </c>
      <c r="BE41" s="13">
        <f ca="1">VLOOKUP($B41,'[9]Analisys QBR By Machine Report'!$C$109:$BD$166,52,FALSE)</f>
        <v>0</v>
      </c>
      <c r="BF41" s="13">
        <f ca="1">VLOOKUP($B41,'[9]Analisys QBR By Machine Report'!$C$109:$BD$166,53,FALSE)</f>
        <v>194565</v>
      </c>
    </row>
    <row r="42" spans="1:58" x14ac:dyDescent="0.25">
      <c r="A42" s="12" t="s">
        <v>98</v>
      </c>
      <c r="B42" s="13">
        <f ca="1">VLOOKUP($B42,'[9]Analisys QBR By Machine Report'!$C$109:$BD$166,2,FALSE)</f>
        <v>30240</v>
      </c>
      <c r="C42" s="14">
        <f ca="1">VLOOKUP($B42,[9]Dasboard_QBR_Report!$B$109:$BL$166,3,FALSE)</f>
        <v>10080</v>
      </c>
      <c r="D42" s="13">
        <f ca="1">VLOOKUP($B42,'[9]Analisys QBR By Machine Report'!$C$109:$BD$166,3,FALSE)</f>
        <v>20010</v>
      </c>
      <c r="E42" s="14">
        <f ca="1">VLOOKUP($B42,[9]Dasboard_QBR_Report!$B$109:$BL$166,5,FALSE)</f>
        <v>-150</v>
      </c>
      <c r="F42" s="13">
        <f t="shared" ca="1" si="0"/>
        <v>10230</v>
      </c>
      <c r="G42" s="13">
        <f t="shared" ca="1" si="1"/>
        <v>1805</v>
      </c>
      <c r="H42" s="13">
        <f ca="1">VLOOKUP($B42,'[9]Analisys QBR By Machine Report'!$C$109:$BD$166,4,FALSE)</f>
        <v>1805</v>
      </c>
      <c r="I42" s="13">
        <f ca="1">VLOOKUP($B42,'[9]Analisys QBR By Machine Report'!$C$109:$BD$166,5,FALSE)</f>
        <v>355</v>
      </c>
      <c r="J42" s="13">
        <f ca="1">VLOOKUP($B42,'[9]Analisys QBR By Machine Report'!$C$109:$BD$166,6,FALSE)</f>
        <v>1450</v>
      </c>
      <c r="K42" s="13">
        <f ca="1">VLOOKUP($B42,'[9]Analisys QBR By Machine Report'!$C$109:$BD$166,7,FALSE)</f>
        <v>0</v>
      </c>
      <c r="L42" s="13">
        <f ca="1">VLOOKUP($B42,'[9]Analisys QBR By Machine Report'!$C$109:$BD$166,8,FALSE)</f>
        <v>8425</v>
      </c>
      <c r="M42" s="13">
        <f ca="1">VLOOKUP($B42,'[9]Analisys QBR By Machine Report'!$C$109:$BD$166,9,FALSE)</f>
        <v>4534</v>
      </c>
      <c r="N42" s="13">
        <f ca="1">VLOOKUP($B42,[9]Dasboard_QBR_Report!$B$109:$BL$166,18,FALSE)</f>
        <v>3891</v>
      </c>
      <c r="O42" s="13">
        <f ca="1">VLOOKUP($B42,'[9]Analisys QBR By Machine Report'!$C$109:$BD$166,10,FALSE)</f>
        <v>1105</v>
      </c>
      <c r="P42" s="13">
        <f ca="1">VLOOKUP($B42,'[9]Analisys QBR By Machine Report'!$C$109:$BD$166,11,FALSE)</f>
        <v>436</v>
      </c>
      <c r="Q42" s="13">
        <f ca="1">VLOOKUP($B42,'[9]Analisys QBR By Machine Report'!$C$109:$BD$166,12,FALSE)</f>
        <v>176</v>
      </c>
      <c r="R42" s="13">
        <f ca="1">VLOOKUP($B42,'[9]Analisys QBR By Machine Report'!$C$109:$BD$166,13,FALSE)</f>
        <v>123</v>
      </c>
      <c r="S42" s="13">
        <f ca="1">VLOOKUP($B42,'[9]Analisys QBR By Machine Report'!$C$109:$BD$166,14,FALSE)</f>
        <v>370</v>
      </c>
      <c r="T42" s="13">
        <f ca="1">VLOOKUP($B42,'[9]Analisys QBR By Machine Report'!$C$109:$BD$166,15,FALSE)</f>
        <v>28</v>
      </c>
      <c r="U42" s="13">
        <f ca="1">VLOOKUP($B42,'[9]Analisys QBR By Machine Report'!$C$109:$BD$166,16,FALSE)</f>
        <v>0</v>
      </c>
      <c r="V42" s="13">
        <f ca="1">VLOOKUP($B42,'[9]Analisys QBR By Machine Report'!$C$109:$BD$166,17,FALSE)</f>
        <v>28</v>
      </c>
      <c r="W42" s="13">
        <f ca="1">VLOOKUP($B42,'[9]Analisys QBR By Machine Report'!$C$109:$BD$166,18,FALSE)</f>
        <v>0</v>
      </c>
      <c r="X42" s="13">
        <f ca="1">VLOOKUP($B42,'[9]Analisys QBR By Machine Report'!$C$109:$BD$166,19,FALSE)</f>
        <v>0</v>
      </c>
      <c r="Y42" s="13">
        <f ca="1">VLOOKUP($B42,'[9]Analisys QBR By Machine Report'!$C$109:$BD$166,20,FALSE)</f>
        <v>0</v>
      </c>
      <c r="Z42" s="13">
        <f ca="1">VLOOKUP($B42,'[9]Analisys QBR By Machine Report'!$C$109:$BD$166,21,FALSE)</f>
        <v>1663</v>
      </c>
      <c r="AA42" s="13">
        <f ca="1">VLOOKUP($B42,'[9]Analisys QBR By Machine Report'!$C$109:$BD$166,22,FALSE)</f>
        <v>893</v>
      </c>
      <c r="AB42" s="13">
        <f ca="1">VLOOKUP($B42,'[9]Analisys QBR By Machine Report'!$C$109:$BD$166,23,FALSE)</f>
        <v>380</v>
      </c>
      <c r="AC42" s="13">
        <f ca="1">VLOOKUP($B42,'[9]Analisys QBR By Machine Report'!$C$109:$BD$166,24,FALSE)</f>
        <v>0</v>
      </c>
      <c r="AD42" s="13">
        <f ca="1">VLOOKUP($B42,'[9]Analisys QBR By Machine Report'!$C$109:$BD$166,25,FALSE)</f>
        <v>0</v>
      </c>
      <c r="AE42" s="13">
        <f ca="1">VLOOKUP($B42,'[9]Analisys QBR By Machine Report'!$C$109:$BD$166,26,FALSE)</f>
        <v>390</v>
      </c>
      <c r="AF42" s="13">
        <f ca="1">VLOOKUP($B42,'[9]Analisys QBR By Machine Report'!$C$109:$BD$166,27,FALSE)</f>
        <v>0</v>
      </c>
      <c r="AG42" s="13">
        <f ca="1">VLOOKUP($B42,'[9]Analisys QBR By Machine Report'!$C$109:$BD$166,28,FALSE)</f>
        <v>0</v>
      </c>
      <c r="AH42" s="13">
        <f ca="1">VLOOKUP($B42,'[9]Analisys QBR By Machine Report'!$C$109:$BD$166,29,FALSE)</f>
        <v>0</v>
      </c>
      <c r="AI42" s="13">
        <f ca="1">VLOOKUP($B42,'[9]Analisys QBR By Machine Report'!$C$109:$BD$166,30,FALSE)</f>
        <v>1095</v>
      </c>
      <c r="AJ42" s="13">
        <f ca="1">VLOOKUP($B42,'[9]Analisys QBR By Machine Report'!$C$109:$BD$166,31,FALSE)</f>
        <v>0</v>
      </c>
      <c r="AK42" s="13">
        <f ca="1">VLOOKUP($B42,'[9]Analisys QBR By Machine Report'!$C$109:$BD$166,32,FALSE)</f>
        <v>0</v>
      </c>
      <c r="AL42" s="13">
        <f ca="1">VLOOKUP($B42,'[9]Analisys QBR By Machine Report'!$C$109:$BD$166,33,FALSE)</f>
        <v>450</v>
      </c>
      <c r="AM42" s="13">
        <f ca="1">VLOOKUP($B42,'[9]Analisys QBR By Machine Report'!$C$109:$BD$166,34,FALSE)</f>
        <v>0</v>
      </c>
      <c r="AN42" s="13">
        <f ca="1">VLOOKUP($B42,'[9]Analisys QBR By Machine Report'!$C$109:$BD$166,35,FALSE)</f>
        <v>225</v>
      </c>
      <c r="AO42" s="13">
        <f ca="1">VLOOKUP($B42,'[9]Analisys QBR By Machine Report'!$C$109:$BD$166,36,FALSE)</f>
        <v>0</v>
      </c>
      <c r="AP42" s="13">
        <f ca="1">VLOOKUP($B42,'[9]Analisys QBR By Machine Report'!$C$109:$BD$166,37,FALSE)</f>
        <v>0</v>
      </c>
      <c r="AQ42" s="13">
        <f ca="1">VLOOKUP($B42,'[9]Analisys QBR By Machine Report'!$C$109:$BD$166,38,FALSE)</f>
        <v>0</v>
      </c>
      <c r="AR42" s="13">
        <f ca="1">VLOOKUP($B42,'[9]Analisys QBR By Machine Report'!$C$109:$BD$166,39,FALSE)</f>
        <v>145</v>
      </c>
      <c r="AS42" s="13">
        <f ca="1">VLOOKUP($B42,'[9]Analisys QBR By Machine Report'!$C$109:$BD$166,40,FALSE)</f>
        <v>138</v>
      </c>
      <c r="AT42" s="13">
        <f ca="1">VLOOKUP($B42,'[9]Analisys QBR By Machine Report'!$C$109:$BD$166,41,FALSE)</f>
        <v>0</v>
      </c>
      <c r="AU42" s="13">
        <f ca="1">VLOOKUP($B42,'[9]Analisys QBR By Machine Report'!$C$109:$BD$166,42,FALSE)</f>
        <v>0</v>
      </c>
      <c r="AV42" s="13">
        <f ca="1">VLOOKUP($B42,'[9]Analisys QBR By Machine Report'!$C$109:$BD$166,43,FALSE)</f>
        <v>0</v>
      </c>
      <c r="AW42" s="13">
        <f ca="1">VLOOKUP($B42,'[9]Analisys QBR By Machine Report'!$C$109:$BD$166,44,FALSE)</f>
        <v>0</v>
      </c>
      <c r="AX42" s="13">
        <f ca="1">VLOOKUP($B42,'[9]Analisys QBR By Machine Report'!$C$109:$BD$166,45,FALSE)</f>
        <v>0</v>
      </c>
      <c r="AY42" s="13">
        <f ca="1">VLOOKUP($B42,'[9]Analisys QBR By Machine Report'!$C$109:$BD$166,46,FALSE)</f>
        <v>0</v>
      </c>
      <c r="AZ42" s="13">
        <f ca="1">VLOOKUP($B42,'[9]Analisys QBR By Machine Report'!$C$109:$BD$166,47,FALSE)</f>
        <v>137</v>
      </c>
      <c r="BA42" s="13">
        <f ca="1">VLOOKUP($B42,'[9]Analisys QBR By Machine Report'!$C$109:$BD$166,48,FALSE)</f>
        <v>0</v>
      </c>
      <c r="BB42" s="13">
        <f ca="1">VLOOKUP($B42,'[9]Analisys QBR By Machine Report'!$C$109:$BD$166,49,FALSE)</f>
        <v>0</v>
      </c>
      <c r="BC42" s="13">
        <f ca="1">VLOOKUP($B42,'[9]Analisys QBR By Machine Report'!$C$109:$BD$166,50,FALSE)</f>
        <v>0</v>
      </c>
      <c r="BD42" s="13">
        <f ca="1">VLOOKUP($B42,'[9]Analisys QBR By Machine Report'!$C$109:$BD$166,51,FALSE)</f>
        <v>474906</v>
      </c>
      <c r="BE42" s="13">
        <f ca="1">VLOOKUP($B42,'[9]Analisys QBR By Machine Report'!$C$109:$BD$166,52,FALSE)</f>
        <v>98</v>
      </c>
      <c r="BF42" s="13">
        <f ca="1">VLOOKUP($B42,'[9]Analisys QBR By Machine Report'!$C$109:$BD$166,53,FALSE)</f>
        <v>474808</v>
      </c>
    </row>
    <row r="43" spans="1:58" x14ac:dyDescent="0.25">
      <c r="A43" s="9" t="s">
        <v>99</v>
      </c>
      <c r="B43" s="10">
        <f ca="1">VLOOKUP($B43,'[9]Analisys QBR By Machine Report'!$C$109:$BD$166,2,FALSE)</f>
        <v>30240</v>
      </c>
      <c r="C43" s="11">
        <f ca="1">VLOOKUP($B43,[9]Dasboard_QBR_Report!$B$109:$BL$166,3,FALSE)</f>
        <v>10080</v>
      </c>
      <c r="D43" s="10">
        <f ca="1">VLOOKUP($B43,'[9]Analisys QBR By Machine Report'!$C$109:$BD$166,3,FALSE)</f>
        <v>28710</v>
      </c>
      <c r="E43" s="11">
        <f ca="1">VLOOKUP($B43,[9]Dasboard_QBR_Report!$B$109:$BL$166,5,FALSE)</f>
        <v>8550</v>
      </c>
      <c r="F43" s="10">
        <f t="shared" ca="1" si="0"/>
        <v>1530</v>
      </c>
      <c r="G43" s="10">
        <f t="shared" ca="1" si="1"/>
        <v>320</v>
      </c>
      <c r="H43" s="10">
        <f ca="1">VLOOKUP($B43,'[9]Analisys QBR By Machine Report'!$C$109:$BD$166,4,FALSE)</f>
        <v>320</v>
      </c>
      <c r="I43" s="10">
        <f ca="1">VLOOKUP($B43,'[9]Analisys QBR By Machine Report'!$C$109:$BD$166,5,FALSE)</f>
        <v>0</v>
      </c>
      <c r="J43" s="10">
        <f ca="1">VLOOKUP($B43,'[9]Analisys QBR By Machine Report'!$C$109:$BD$166,6,FALSE)</f>
        <v>320</v>
      </c>
      <c r="K43" s="10">
        <f ca="1">VLOOKUP($B43,'[9]Analisys QBR By Machine Report'!$C$109:$BD$166,7,FALSE)</f>
        <v>0</v>
      </c>
      <c r="L43" s="10">
        <f ca="1">VLOOKUP($B43,'[9]Analisys QBR By Machine Report'!$C$109:$BD$166,8,FALSE)</f>
        <v>1210</v>
      </c>
      <c r="M43" s="10">
        <f ca="1">VLOOKUP($B43,'[9]Analisys QBR By Machine Report'!$C$109:$BD$166,9,FALSE)</f>
        <v>56</v>
      </c>
      <c r="N43" s="10">
        <f ca="1">VLOOKUP($B43,[9]Dasboard_QBR_Report!$B$109:$BL$166,18,FALSE)</f>
        <v>1154</v>
      </c>
      <c r="O43" s="10">
        <f ca="1">VLOOKUP($B43,'[9]Analisys QBR By Machine Report'!$C$109:$BD$166,10,FALSE)</f>
        <v>45</v>
      </c>
      <c r="P43" s="10">
        <f ca="1">VLOOKUP($B43,'[9]Analisys QBR By Machine Report'!$C$109:$BD$166,11,FALSE)</f>
        <v>40</v>
      </c>
      <c r="Q43" s="10">
        <f ca="1">VLOOKUP($B43,'[9]Analisys QBR By Machine Report'!$C$109:$BD$166,12,FALSE)</f>
        <v>5</v>
      </c>
      <c r="R43" s="10">
        <f ca="1">VLOOKUP($B43,'[9]Analisys QBR By Machine Report'!$C$109:$BD$166,13,FALSE)</f>
        <v>0</v>
      </c>
      <c r="S43" s="10">
        <f ca="1">VLOOKUP($B43,'[9]Analisys QBR By Machine Report'!$C$109:$BD$166,14,FALSE)</f>
        <v>0</v>
      </c>
      <c r="T43" s="10">
        <f ca="1">VLOOKUP($B43,'[9]Analisys QBR By Machine Report'!$C$109:$BD$166,15,FALSE)</f>
        <v>0</v>
      </c>
      <c r="U43" s="10">
        <f ca="1">VLOOKUP($B43,'[9]Analisys QBR By Machine Report'!$C$109:$BD$166,16,FALSE)</f>
        <v>0</v>
      </c>
      <c r="V43" s="10">
        <f ca="1">VLOOKUP($B43,'[9]Analisys QBR By Machine Report'!$C$109:$BD$166,17,FALSE)</f>
        <v>0</v>
      </c>
      <c r="W43" s="10">
        <f ca="1">VLOOKUP($B43,'[9]Analisys QBR By Machine Report'!$C$109:$BD$166,18,FALSE)</f>
        <v>0</v>
      </c>
      <c r="X43" s="10">
        <f ca="1">VLOOKUP($B43,'[9]Analisys QBR By Machine Report'!$C$109:$BD$166,19,FALSE)</f>
        <v>0</v>
      </c>
      <c r="Y43" s="10">
        <f ca="1">VLOOKUP($B43,'[9]Analisys QBR By Machine Report'!$C$109:$BD$166,20,FALSE)</f>
        <v>0</v>
      </c>
      <c r="Z43" s="10">
        <f ca="1">VLOOKUP($B43,'[9]Analisys QBR By Machine Report'!$C$109:$BD$166,21,FALSE)</f>
        <v>610</v>
      </c>
      <c r="AA43" s="10">
        <f ca="1">VLOOKUP($B43,'[9]Analisys QBR By Machine Report'!$C$109:$BD$166,22,FALSE)</f>
        <v>140</v>
      </c>
      <c r="AB43" s="10">
        <f ca="1">VLOOKUP($B43,'[9]Analisys QBR By Machine Report'!$C$109:$BD$166,23,FALSE)</f>
        <v>425</v>
      </c>
      <c r="AC43" s="10">
        <f ca="1">VLOOKUP($B43,'[9]Analisys QBR By Machine Report'!$C$109:$BD$166,24,FALSE)</f>
        <v>0</v>
      </c>
      <c r="AD43" s="10">
        <f ca="1">VLOOKUP($B43,'[9]Analisys QBR By Machine Report'!$C$109:$BD$166,25,FALSE)</f>
        <v>0</v>
      </c>
      <c r="AE43" s="10">
        <f ca="1">VLOOKUP($B43,'[9]Analisys QBR By Machine Report'!$C$109:$BD$166,26,FALSE)</f>
        <v>45</v>
      </c>
      <c r="AF43" s="10">
        <f ca="1">VLOOKUP($B43,'[9]Analisys QBR By Machine Report'!$C$109:$BD$166,27,FALSE)</f>
        <v>0</v>
      </c>
      <c r="AG43" s="10">
        <f ca="1">VLOOKUP($B43,'[9]Analisys QBR By Machine Report'!$C$109:$BD$166,28,FALSE)</f>
        <v>0</v>
      </c>
      <c r="AH43" s="10">
        <f ca="1">VLOOKUP($B43,'[9]Analisys QBR By Machine Report'!$C$109:$BD$166,29,FALSE)</f>
        <v>0</v>
      </c>
      <c r="AI43" s="10">
        <f ca="1">VLOOKUP($B43,'[9]Analisys QBR By Machine Report'!$C$109:$BD$166,30,FALSE)</f>
        <v>499</v>
      </c>
      <c r="AJ43" s="10">
        <f ca="1">VLOOKUP($B43,'[9]Analisys QBR By Machine Report'!$C$109:$BD$166,31,FALSE)</f>
        <v>235</v>
      </c>
      <c r="AK43" s="10">
        <f ca="1">VLOOKUP($B43,'[9]Analisys QBR By Machine Report'!$C$109:$BD$166,32,FALSE)</f>
        <v>0</v>
      </c>
      <c r="AL43" s="10">
        <f ca="1">VLOOKUP($B43,'[9]Analisys QBR By Machine Report'!$C$109:$BD$166,33,FALSE)</f>
        <v>90</v>
      </c>
      <c r="AM43" s="10">
        <f ca="1">VLOOKUP($B43,'[9]Analisys QBR By Machine Report'!$C$109:$BD$166,34,FALSE)</f>
        <v>0</v>
      </c>
      <c r="AN43" s="10">
        <f ca="1">VLOOKUP($B43,'[9]Analisys QBR By Machine Report'!$C$109:$BD$166,35,FALSE)</f>
        <v>45</v>
      </c>
      <c r="AO43" s="10">
        <f ca="1">VLOOKUP($B43,'[9]Analisys QBR By Machine Report'!$C$109:$BD$166,36,FALSE)</f>
        <v>0</v>
      </c>
      <c r="AP43" s="10">
        <f ca="1">VLOOKUP($B43,'[9]Analisys QBR By Machine Report'!$C$109:$BD$166,37,FALSE)</f>
        <v>0</v>
      </c>
      <c r="AQ43" s="10">
        <f ca="1">VLOOKUP($B43,'[9]Analisys QBR By Machine Report'!$C$109:$BD$166,38,FALSE)</f>
        <v>0</v>
      </c>
      <c r="AR43" s="10">
        <f ca="1">VLOOKUP($B43,'[9]Analisys QBR By Machine Report'!$C$109:$BD$166,39,FALSE)</f>
        <v>0</v>
      </c>
      <c r="AS43" s="10">
        <f ca="1">VLOOKUP($B43,'[9]Analisys QBR By Machine Report'!$C$109:$BD$166,40,FALSE)</f>
        <v>0</v>
      </c>
      <c r="AT43" s="10">
        <f ca="1">VLOOKUP($B43,'[9]Analisys QBR By Machine Report'!$C$109:$BD$166,41,FALSE)</f>
        <v>0</v>
      </c>
      <c r="AU43" s="10">
        <f ca="1">VLOOKUP($B43,'[9]Analisys QBR By Machine Report'!$C$109:$BD$166,42,FALSE)</f>
        <v>0</v>
      </c>
      <c r="AV43" s="10">
        <f ca="1">VLOOKUP($B43,'[9]Analisys QBR By Machine Report'!$C$109:$BD$166,43,FALSE)</f>
        <v>0</v>
      </c>
      <c r="AW43" s="10">
        <f ca="1">VLOOKUP($B43,'[9]Analisys QBR By Machine Report'!$C$109:$BD$166,44,FALSE)</f>
        <v>0</v>
      </c>
      <c r="AX43" s="10">
        <f ca="1">VLOOKUP($B43,'[9]Analisys QBR By Machine Report'!$C$109:$BD$166,45,FALSE)</f>
        <v>0</v>
      </c>
      <c r="AY43" s="10">
        <f ca="1">VLOOKUP($B43,'[9]Analisys QBR By Machine Report'!$C$109:$BD$166,46,FALSE)</f>
        <v>0</v>
      </c>
      <c r="AZ43" s="10">
        <f ca="1">VLOOKUP($B43,'[9]Analisys QBR By Machine Report'!$C$109:$BD$166,47,FALSE)</f>
        <v>64</v>
      </c>
      <c r="BA43" s="10">
        <f ca="1">VLOOKUP($B43,'[9]Analisys QBR By Machine Report'!$C$109:$BD$166,48,FALSE)</f>
        <v>0</v>
      </c>
      <c r="BB43" s="10">
        <f ca="1">VLOOKUP($B43,'[9]Analisys QBR By Machine Report'!$C$109:$BD$166,49,FALSE)</f>
        <v>0</v>
      </c>
      <c r="BC43" s="10">
        <f ca="1">VLOOKUP($B43,'[9]Analisys QBR By Machine Report'!$C$109:$BD$166,50,FALSE)</f>
        <v>65</v>
      </c>
      <c r="BD43" s="10">
        <f ca="1">VLOOKUP($B43,'[9]Analisys QBR By Machine Report'!$C$109:$BD$166,51,FALSE)</f>
        <v>443.91</v>
      </c>
      <c r="BE43" s="10">
        <f ca="1">VLOOKUP($B43,'[9]Analisys QBR By Machine Report'!$C$109:$BD$166,52,FALSE)</f>
        <v>0.18</v>
      </c>
      <c r="BF43" s="10">
        <f ca="1">VLOOKUP($B43,'[9]Analisys QBR By Machine Report'!$C$109:$BD$166,53,FALSE)</f>
        <v>443.73</v>
      </c>
    </row>
    <row r="44" spans="1:58" x14ac:dyDescent="0.25">
      <c r="A44" s="12" t="s">
        <v>100</v>
      </c>
      <c r="B44" s="13">
        <f ca="1">VLOOKUP($B44,'[9]Analisys QBR By Machine Report'!$C$109:$BD$166,2,FALSE)</f>
        <v>30240</v>
      </c>
      <c r="C44" s="14">
        <f ca="1">VLOOKUP($B44,[9]Dasboard_QBR_Report!$B$109:$BL$166,3,FALSE)</f>
        <v>10080</v>
      </c>
      <c r="D44" s="13">
        <f ca="1">VLOOKUP($B44,'[9]Analisys QBR By Machine Report'!$C$109:$BD$166,3,FALSE)</f>
        <v>28710</v>
      </c>
      <c r="E44" s="14">
        <f ca="1">VLOOKUP($B44,[9]Dasboard_QBR_Report!$B$109:$BL$166,5,FALSE)</f>
        <v>8550</v>
      </c>
      <c r="F44" s="13">
        <f t="shared" ca="1" si="0"/>
        <v>1530</v>
      </c>
      <c r="G44" s="13">
        <f t="shared" ca="1" si="1"/>
        <v>320</v>
      </c>
      <c r="H44" s="13">
        <f ca="1">VLOOKUP($B44,'[9]Analisys QBR By Machine Report'!$C$109:$BD$166,4,FALSE)</f>
        <v>320</v>
      </c>
      <c r="I44" s="13">
        <f ca="1">VLOOKUP($B44,'[9]Analisys QBR By Machine Report'!$C$109:$BD$166,5,FALSE)</f>
        <v>0</v>
      </c>
      <c r="J44" s="13">
        <f ca="1">VLOOKUP($B44,'[9]Analisys QBR By Machine Report'!$C$109:$BD$166,6,FALSE)</f>
        <v>320</v>
      </c>
      <c r="K44" s="13">
        <f ca="1">VLOOKUP($B44,'[9]Analisys QBR By Machine Report'!$C$109:$BD$166,7,FALSE)</f>
        <v>0</v>
      </c>
      <c r="L44" s="13">
        <f ca="1">VLOOKUP($B44,'[9]Analisys QBR By Machine Report'!$C$109:$BD$166,8,FALSE)</f>
        <v>1210</v>
      </c>
      <c r="M44" s="13">
        <f ca="1">VLOOKUP($B44,'[9]Analisys QBR By Machine Report'!$C$109:$BD$166,9,FALSE)</f>
        <v>56</v>
      </c>
      <c r="N44" s="13">
        <f ca="1">VLOOKUP($B44,[9]Dasboard_QBR_Report!$B$109:$BL$166,18,FALSE)</f>
        <v>1154</v>
      </c>
      <c r="O44" s="13">
        <f ca="1">VLOOKUP($B44,'[9]Analisys QBR By Machine Report'!$C$109:$BD$166,10,FALSE)</f>
        <v>45</v>
      </c>
      <c r="P44" s="13">
        <f ca="1">VLOOKUP($B44,'[9]Analisys QBR By Machine Report'!$C$109:$BD$166,11,FALSE)</f>
        <v>40</v>
      </c>
      <c r="Q44" s="13">
        <f ca="1">VLOOKUP($B44,'[9]Analisys QBR By Machine Report'!$C$109:$BD$166,12,FALSE)</f>
        <v>5</v>
      </c>
      <c r="R44" s="13">
        <f ca="1">VLOOKUP($B44,'[9]Analisys QBR By Machine Report'!$C$109:$BD$166,13,FALSE)</f>
        <v>0</v>
      </c>
      <c r="S44" s="13">
        <f ca="1">VLOOKUP($B44,'[9]Analisys QBR By Machine Report'!$C$109:$BD$166,14,FALSE)</f>
        <v>0</v>
      </c>
      <c r="T44" s="13">
        <f ca="1">VLOOKUP($B44,'[9]Analisys QBR By Machine Report'!$C$109:$BD$166,15,FALSE)</f>
        <v>0</v>
      </c>
      <c r="U44" s="13">
        <f ca="1">VLOOKUP($B44,'[9]Analisys QBR By Machine Report'!$C$109:$BD$166,16,FALSE)</f>
        <v>0</v>
      </c>
      <c r="V44" s="13">
        <f ca="1">VLOOKUP($B44,'[9]Analisys QBR By Machine Report'!$C$109:$BD$166,17,FALSE)</f>
        <v>0</v>
      </c>
      <c r="W44" s="13">
        <f ca="1">VLOOKUP($B44,'[9]Analisys QBR By Machine Report'!$C$109:$BD$166,18,FALSE)</f>
        <v>0</v>
      </c>
      <c r="X44" s="13">
        <f ca="1">VLOOKUP($B44,'[9]Analisys QBR By Machine Report'!$C$109:$BD$166,19,FALSE)</f>
        <v>0</v>
      </c>
      <c r="Y44" s="13">
        <f ca="1">VLOOKUP($B44,'[9]Analisys QBR By Machine Report'!$C$109:$BD$166,20,FALSE)</f>
        <v>0</v>
      </c>
      <c r="Z44" s="13">
        <f ca="1">VLOOKUP($B44,'[9]Analisys QBR By Machine Report'!$C$109:$BD$166,21,FALSE)</f>
        <v>610</v>
      </c>
      <c r="AA44" s="13">
        <f ca="1">VLOOKUP($B44,'[9]Analisys QBR By Machine Report'!$C$109:$BD$166,22,FALSE)</f>
        <v>140</v>
      </c>
      <c r="AB44" s="13">
        <f ca="1">VLOOKUP($B44,'[9]Analisys QBR By Machine Report'!$C$109:$BD$166,23,FALSE)</f>
        <v>425</v>
      </c>
      <c r="AC44" s="13">
        <f ca="1">VLOOKUP($B44,'[9]Analisys QBR By Machine Report'!$C$109:$BD$166,24,FALSE)</f>
        <v>0</v>
      </c>
      <c r="AD44" s="13">
        <f ca="1">VLOOKUP($B44,'[9]Analisys QBR By Machine Report'!$C$109:$BD$166,25,FALSE)</f>
        <v>0</v>
      </c>
      <c r="AE44" s="13">
        <f ca="1">VLOOKUP($B44,'[9]Analisys QBR By Machine Report'!$C$109:$BD$166,26,FALSE)</f>
        <v>45</v>
      </c>
      <c r="AF44" s="13">
        <f ca="1">VLOOKUP($B44,'[9]Analisys QBR By Machine Report'!$C$109:$BD$166,27,FALSE)</f>
        <v>0</v>
      </c>
      <c r="AG44" s="13">
        <f ca="1">VLOOKUP($B44,'[9]Analisys QBR By Machine Report'!$C$109:$BD$166,28,FALSE)</f>
        <v>0</v>
      </c>
      <c r="AH44" s="13">
        <f ca="1">VLOOKUP($B44,'[9]Analisys QBR By Machine Report'!$C$109:$BD$166,29,FALSE)</f>
        <v>0</v>
      </c>
      <c r="AI44" s="13">
        <f ca="1">VLOOKUP($B44,'[9]Analisys QBR By Machine Report'!$C$109:$BD$166,30,FALSE)</f>
        <v>499</v>
      </c>
      <c r="AJ44" s="13">
        <f ca="1">VLOOKUP($B44,'[9]Analisys QBR By Machine Report'!$C$109:$BD$166,31,FALSE)</f>
        <v>235</v>
      </c>
      <c r="AK44" s="13">
        <f ca="1">VLOOKUP($B44,'[9]Analisys QBR By Machine Report'!$C$109:$BD$166,32,FALSE)</f>
        <v>0</v>
      </c>
      <c r="AL44" s="13">
        <f ca="1">VLOOKUP($B44,'[9]Analisys QBR By Machine Report'!$C$109:$BD$166,33,FALSE)</f>
        <v>90</v>
      </c>
      <c r="AM44" s="13">
        <f ca="1">VLOOKUP($B44,'[9]Analisys QBR By Machine Report'!$C$109:$BD$166,34,FALSE)</f>
        <v>0</v>
      </c>
      <c r="AN44" s="13">
        <f ca="1">VLOOKUP($B44,'[9]Analisys QBR By Machine Report'!$C$109:$BD$166,35,FALSE)</f>
        <v>45</v>
      </c>
      <c r="AO44" s="13">
        <f ca="1">VLOOKUP($B44,'[9]Analisys QBR By Machine Report'!$C$109:$BD$166,36,FALSE)</f>
        <v>0</v>
      </c>
      <c r="AP44" s="13">
        <f ca="1">VLOOKUP($B44,'[9]Analisys QBR By Machine Report'!$C$109:$BD$166,37,FALSE)</f>
        <v>0</v>
      </c>
      <c r="AQ44" s="13">
        <f ca="1">VLOOKUP($B44,'[9]Analisys QBR By Machine Report'!$C$109:$BD$166,38,FALSE)</f>
        <v>0</v>
      </c>
      <c r="AR44" s="13">
        <f ca="1">VLOOKUP($B44,'[9]Analisys QBR By Machine Report'!$C$109:$BD$166,39,FALSE)</f>
        <v>0</v>
      </c>
      <c r="AS44" s="13">
        <f ca="1">VLOOKUP($B44,'[9]Analisys QBR By Machine Report'!$C$109:$BD$166,40,FALSE)</f>
        <v>0</v>
      </c>
      <c r="AT44" s="13">
        <f ca="1">VLOOKUP($B44,'[9]Analisys QBR By Machine Report'!$C$109:$BD$166,41,FALSE)</f>
        <v>0</v>
      </c>
      <c r="AU44" s="13">
        <f ca="1">VLOOKUP($B44,'[9]Analisys QBR By Machine Report'!$C$109:$BD$166,42,FALSE)</f>
        <v>0</v>
      </c>
      <c r="AV44" s="13">
        <f ca="1">VLOOKUP($B44,'[9]Analisys QBR By Machine Report'!$C$109:$BD$166,43,FALSE)</f>
        <v>0</v>
      </c>
      <c r="AW44" s="13">
        <f ca="1">VLOOKUP($B44,'[9]Analisys QBR By Machine Report'!$C$109:$BD$166,44,FALSE)</f>
        <v>0</v>
      </c>
      <c r="AX44" s="13">
        <f ca="1">VLOOKUP($B44,'[9]Analisys QBR By Machine Report'!$C$109:$BD$166,45,FALSE)</f>
        <v>0</v>
      </c>
      <c r="AY44" s="13">
        <f ca="1">VLOOKUP($B44,'[9]Analisys QBR By Machine Report'!$C$109:$BD$166,46,FALSE)</f>
        <v>0</v>
      </c>
      <c r="AZ44" s="13">
        <f ca="1">VLOOKUP($B44,'[9]Analisys QBR By Machine Report'!$C$109:$BD$166,47,FALSE)</f>
        <v>64</v>
      </c>
      <c r="BA44" s="13">
        <f ca="1">VLOOKUP($B44,'[9]Analisys QBR By Machine Report'!$C$109:$BD$166,48,FALSE)</f>
        <v>0</v>
      </c>
      <c r="BB44" s="13">
        <f ca="1">VLOOKUP($B44,'[9]Analisys QBR By Machine Report'!$C$109:$BD$166,49,FALSE)</f>
        <v>0</v>
      </c>
      <c r="BC44" s="13">
        <f ca="1">VLOOKUP($B44,'[9]Analisys QBR By Machine Report'!$C$109:$BD$166,50,FALSE)</f>
        <v>65</v>
      </c>
      <c r="BD44" s="13">
        <f ca="1">VLOOKUP($B44,'[9]Analisys QBR By Machine Report'!$C$109:$BD$166,51,FALSE)</f>
        <v>443.91</v>
      </c>
      <c r="BE44" s="13">
        <f ca="1">VLOOKUP($B44,'[9]Analisys QBR By Machine Report'!$C$109:$BD$166,52,FALSE)</f>
        <v>0.18</v>
      </c>
      <c r="BF44" s="13">
        <f ca="1">VLOOKUP($B44,'[9]Analisys QBR By Machine Report'!$C$109:$BD$166,53,FALSE)</f>
        <v>443.73</v>
      </c>
    </row>
    <row r="45" spans="1:58" x14ac:dyDescent="0.25">
      <c r="A45" s="9" t="s">
        <v>101</v>
      </c>
      <c r="B45" s="10">
        <f ca="1">VLOOKUP($B45,'[9]Analisys QBR By Machine Report'!$C$109:$BD$166,2,FALSE)</f>
        <v>30240</v>
      </c>
      <c r="C45" s="11">
        <f ca="1">VLOOKUP($B45,[9]Dasboard_QBR_Report!$B$109:$BL$166,3,FALSE)</f>
        <v>10080</v>
      </c>
      <c r="D45" s="10">
        <f ca="1">VLOOKUP($B45,'[9]Analisys QBR By Machine Report'!$C$109:$BD$166,3,FALSE)</f>
        <v>29730</v>
      </c>
      <c r="E45" s="11">
        <f ca="1">VLOOKUP($B45,[9]Dasboard_QBR_Report!$B$109:$BL$166,5,FALSE)</f>
        <v>9570</v>
      </c>
      <c r="F45" s="10">
        <f t="shared" ca="1" si="0"/>
        <v>510</v>
      </c>
      <c r="G45" s="10">
        <f t="shared" ca="1" si="1"/>
        <v>30</v>
      </c>
      <c r="H45" s="10">
        <f ca="1">VLOOKUP($B45,'[9]Analisys QBR By Machine Report'!$C$109:$BD$166,4,FALSE)</f>
        <v>30</v>
      </c>
      <c r="I45" s="10">
        <f ca="1">VLOOKUP($B45,'[9]Analisys QBR By Machine Report'!$C$109:$BD$166,5,FALSE)</f>
        <v>30</v>
      </c>
      <c r="J45" s="10">
        <f ca="1">VLOOKUP($B45,'[9]Analisys QBR By Machine Report'!$C$109:$BD$166,6,FALSE)</f>
        <v>0</v>
      </c>
      <c r="K45" s="10">
        <f ca="1">VLOOKUP($B45,'[9]Analisys QBR By Machine Report'!$C$109:$BD$166,7,FALSE)</f>
        <v>0</v>
      </c>
      <c r="L45" s="10">
        <f ca="1">VLOOKUP($B45,'[9]Analisys QBR By Machine Report'!$C$109:$BD$166,8,FALSE)</f>
        <v>480</v>
      </c>
      <c r="M45" s="10">
        <f ca="1">VLOOKUP($B45,'[9]Analisys QBR By Machine Report'!$C$109:$BD$166,9,FALSE)</f>
        <v>75</v>
      </c>
      <c r="N45" s="10">
        <f ca="1">VLOOKUP($B45,[9]Dasboard_QBR_Report!$B$109:$BL$166,18,FALSE)</f>
        <v>405</v>
      </c>
      <c r="O45" s="10">
        <f ca="1">VLOOKUP($B45,'[9]Analisys QBR By Machine Report'!$C$109:$BD$166,10,FALSE)</f>
        <v>75</v>
      </c>
      <c r="P45" s="10">
        <f ca="1">VLOOKUP($B45,'[9]Analisys QBR By Machine Report'!$C$109:$BD$166,11,FALSE)</f>
        <v>75</v>
      </c>
      <c r="Q45" s="10">
        <f ca="1">VLOOKUP($B45,'[9]Analisys QBR By Machine Report'!$C$109:$BD$166,12,FALSE)</f>
        <v>0</v>
      </c>
      <c r="R45" s="10">
        <f ca="1">VLOOKUP($B45,'[9]Analisys QBR By Machine Report'!$C$109:$BD$166,13,FALSE)</f>
        <v>0</v>
      </c>
      <c r="S45" s="10">
        <f ca="1">VLOOKUP($B45,'[9]Analisys QBR By Machine Report'!$C$109:$BD$166,14,FALSE)</f>
        <v>0</v>
      </c>
      <c r="T45" s="10">
        <f ca="1">VLOOKUP($B45,'[9]Analisys QBR By Machine Report'!$C$109:$BD$166,15,FALSE)</f>
        <v>0</v>
      </c>
      <c r="U45" s="10">
        <f ca="1">VLOOKUP($B45,'[9]Analisys QBR By Machine Report'!$C$109:$BD$166,16,FALSE)</f>
        <v>0</v>
      </c>
      <c r="V45" s="10">
        <f ca="1">VLOOKUP($B45,'[9]Analisys QBR By Machine Report'!$C$109:$BD$166,17,FALSE)</f>
        <v>0</v>
      </c>
      <c r="W45" s="10">
        <f ca="1">VLOOKUP($B45,'[9]Analisys QBR By Machine Report'!$C$109:$BD$166,18,FALSE)</f>
        <v>0</v>
      </c>
      <c r="X45" s="10">
        <f ca="1">VLOOKUP($B45,'[9]Analisys QBR By Machine Report'!$C$109:$BD$166,19,FALSE)</f>
        <v>0</v>
      </c>
      <c r="Y45" s="10">
        <f ca="1">VLOOKUP($B45,'[9]Analisys QBR By Machine Report'!$C$109:$BD$166,20,FALSE)</f>
        <v>0</v>
      </c>
      <c r="Z45" s="10">
        <f ca="1">VLOOKUP($B45,'[9]Analisys QBR By Machine Report'!$C$109:$BD$166,21,FALSE)</f>
        <v>120</v>
      </c>
      <c r="AA45" s="10">
        <f ca="1">VLOOKUP($B45,'[9]Analisys QBR By Machine Report'!$C$109:$BD$166,22,FALSE)</f>
        <v>70</v>
      </c>
      <c r="AB45" s="10">
        <f ca="1">VLOOKUP($B45,'[9]Analisys QBR By Machine Report'!$C$109:$BD$166,23,FALSE)</f>
        <v>50</v>
      </c>
      <c r="AC45" s="10">
        <f ca="1">VLOOKUP($B45,'[9]Analisys QBR By Machine Report'!$C$109:$BD$166,24,FALSE)</f>
        <v>0</v>
      </c>
      <c r="AD45" s="10">
        <f ca="1">VLOOKUP($B45,'[9]Analisys QBR By Machine Report'!$C$109:$BD$166,25,FALSE)</f>
        <v>0</v>
      </c>
      <c r="AE45" s="10">
        <f ca="1">VLOOKUP($B45,'[9]Analisys QBR By Machine Report'!$C$109:$BD$166,26,FALSE)</f>
        <v>0</v>
      </c>
      <c r="AF45" s="10">
        <f ca="1">VLOOKUP($B45,'[9]Analisys QBR By Machine Report'!$C$109:$BD$166,27,FALSE)</f>
        <v>0</v>
      </c>
      <c r="AG45" s="10">
        <f ca="1">VLOOKUP($B45,'[9]Analisys QBR By Machine Report'!$C$109:$BD$166,28,FALSE)</f>
        <v>0</v>
      </c>
      <c r="AH45" s="10">
        <f ca="1">VLOOKUP($B45,'[9]Analisys QBR By Machine Report'!$C$109:$BD$166,29,FALSE)</f>
        <v>0</v>
      </c>
      <c r="AI45" s="10">
        <f ca="1">VLOOKUP($B45,'[9]Analisys QBR By Machine Report'!$C$109:$BD$166,30,FALSE)</f>
        <v>210</v>
      </c>
      <c r="AJ45" s="10">
        <f ca="1">VLOOKUP($B45,'[9]Analisys QBR By Machine Report'!$C$109:$BD$166,31,FALSE)</f>
        <v>0</v>
      </c>
      <c r="AK45" s="10">
        <f ca="1">VLOOKUP($B45,'[9]Analisys QBR By Machine Report'!$C$109:$BD$166,32,FALSE)</f>
        <v>0</v>
      </c>
      <c r="AL45" s="10">
        <f ca="1">VLOOKUP($B45,'[9]Analisys QBR By Machine Report'!$C$109:$BD$166,33,FALSE)</f>
        <v>30</v>
      </c>
      <c r="AM45" s="10">
        <f ca="1">VLOOKUP($B45,'[9]Analisys QBR By Machine Report'!$C$109:$BD$166,34,FALSE)</f>
        <v>0</v>
      </c>
      <c r="AN45" s="10">
        <f ca="1">VLOOKUP($B45,'[9]Analisys QBR By Machine Report'!$C$109:$BD$166,35,FALSE)</f>
        <v>90</v>
      </c>
      <c r="AO45" s="10">
        <f ca="1">VLOOKUP($B45,'[9]Analisys QBR By Machine Report'!$C$109:$BD$166,36,FALSE)</f>
        <v>0</v>
      </c>
      <c r="AP45" s="10">
        <f ca="1">VLOOKUP($B45,'[9]Analisys QBR By Machine Report'!$C$109:$BD$166,37,FALSE)</f>
        <v>0</v>
      </c>
      <c r="AQ45" s="10">
        <f ca="1">VLOOKUP($B45,'[9]Analisys QBR By Machine Report'!$C$109:$BD$166,38,FALSE)</f>
        <v>0</v>
      </c>
      <c r="AR45" s="10">
        <f ca="1">VLOOKUP($B45,'[9]Analisys QBR By Machine Report'!$C$109:$BD$166,39,FALSE)</f>
        <v>0</v>
      </c>
      <c r="AS45" s="10">
        <f ca="1">VLOOKUP($B45,'[9]Analisys QBR By Machine Report'!$C$109:$BD$166,40,FALSE)</f>
        <v>20</v>
      </c>
      <c r="AT45" s="10">
        <f ca="1">VLOOKUP($B45,'[9]Analisys QBR By Machine Report'!$C$109:$BD$166,41,FALSE)</f>
        <v>0</v>
      </c>
      <c r="AU45" s="10">
        <f ca="1">VLOOKUP($B45,'[9]Analisys QBR By Machine Report'!$C$109:$BD$166,42,FALSE)</f>
        <v>0</v>
      </c>
      <c r="AV45" s="10">
        <f ca="1">VLOOKUP($B45,'[9]Analisys QBR By Machine Report'!$C$109:$BD$166,43,FALSE)</f>
        <v>0</v>
      </c>
      <c r="AW45" s="10">
        <f ca="1">VLOOKUP($B45,'[9]Analisys QBR By Machine Report'!$C$109:$BD$166,44,FALSE)</f>
        <v>0</v>
      </c>
      <c r="AX45" s="10">
        <f ca="1">VLOOKUP($B45,'[9]Analisys QBR By Machine Report'!$C$109:$BD$166,45,FALSE)</f>
        <v>0</v>
      </c>
      <c r="AY45" s="10">
        <f ca="1">VLOOKUP($B45,'[9]Analisys QBR By Machine Report'!$C$109:$BD$166,46,FALSE)</f>
        <v>0</v>
      </c>
      <c r="AZ45" s="10">
        <f ca="1">VLOOKUP($B45,'[9]Analisys QBR By Machine Report'!$C$109:$BD$166,47,FALSE)</f>
        <v>10</v>
      </c>
      <c r="BA45" s="10">
        <f ca="1">VLOOKUP($B45,'[9]Analisys QBR By Machine Report'!$C$109:$BD$166,48,FALSE)</f>
        <v>60</v>
      </c>
      <c r="BB45" s="10">
        <f ca="1">VLOOKUP($B45,'[9]Analisys QBR By Machine Report'!$C$109:$BD$166,49,FALSE)</f>
        <v>0</v>
      </c>
      <c r="BC45" s="10">
        <f ca="1">VLOOKUP($B45,'[9]Analisys QBR By Machine Report'!$C$109:$BD$166,50,FALSE)</f>
        <v>0</v>
      </c>
      <c r="BD45" s="10">
        <f ca="1">VLOOKUP($B45,'[9]Analisys QBR By Machine Report'!$C$109:$BD$166,51,FALSE)</f>
        <v>1568</v>
      </c>
      <c r="BE45" s="10">
        <f ca="1">VLOOKUP($B45,'[9]Analisys QBR By Machine Report'!$C$109:$BD$166,52,FALSE)</f>
        <v>14</v>
      </c>
      <c r="BF45" s="10">
        <f ca="1">VLOOKUP($B45,'[9]Analisys QBR By Machine Report'!$C$109:$BD$166,53,FALSE)</f>
        <v>1554</v>
      </c>
    </row>
    <row r="46" spans="1:58" x14ac:dyDescent="0.25">
      <c r="A46" s="12" t="s">
        <v>102</v>
      </c>
      <c r="B46" s="13">
        <f ca="1">VLOOKUP($B46,'[9]Analisys QBR By Machine Report'!$C$109:$BD$166,2,FALSE)</f>
        <v>30240</v>
      </c>
      <c r="C46" s="14">
        <f ca="1">VLOOKUP($B46,[9]Dasboard_QBR_Report!$B$109:$BL$166,3,FALSE)</f>
        <v>10080</v>
      </c>
      <c r="D46" s="13">
        <f ca="1">VLOOKUP($B46,'[9]Analisys QBR By Machine Report'!$C$109:$BD$166,3,FALSE)</f>
        <v>29730</v>
      </c>
      <c r="E46" s="14">
        <f ca="1">VLOOKUP($B46,[9]Dasboard_QBR_Report!$B$109:$BL$166,5,FALSE)</f>
        <v>9570</v>
      </c>
      <c r="F46" s="13">
        <f t="shared" ca="1" si="0"/>
        <v>510</v>
      </c>
      <c r="G46" s="13">
        <f t="shared" ca="1" si="1"/>
        <v>30</v>
      </c>
      <c r="H46" s="13">
        <f ca="1">VLOOKUP($B46,'[9]Analisys QBR By Machine Report'!$C$109:$BD$166,4,FALSE)</f>
        <v>30</v>
      </c>
      <c r="I46" s="13">
        <f ca="1">VLOOKUP($B46,'[9]Analisys QBR By Machine Report'!$C$109:$BD$166,5,FALSE)</f>
        <v>30</v>
      </c>
      <c r="J46" s="13">
        <f ca="1">VLOOKUP($B46,'[9]Analisys QBR By Machine Report'!$C$109:$BD$166,6,FALSE)</f>
        <v>0</v>
      </c>
      <c r="K46" s="13">
        <f ca="1">VLOOKUP($B46,'[9]Analisys QBR By Machine Report'!$C$109:$BD$166,7,FALSE)</f>
        <v>0</v>
      </c>
      <c r="L46" s="13">
        <f ca="1">VLOOKUP($B46,'[9]Analisys QBR By Machine Report'!$C$109:$BD$166,8,FALSE)</f>
        <v>480</v>
      </c>
      <c r="M46" s="13">
        <f ca="1">VLOOKUP($B46,'[9]Analisys QBR By Machine Report'!$C$109:$BD$166,9,FALSE)</f>
        <v>75</v>
      </c>
      <c r="N46" s="13">
        <f ca="1">VLOOKUP($B46,[9]Dasboard_QBR_Report!$B$109:$BL$166,18,FALSE)</f>
        <v>405</v>
      </c>
      <c r="O46" s="13">
        <f ca="1">VLOOKUP($B46,'[9]Analisys QBR By Machine Report'!$C$109:$BD$166,10,FALSE)</f>
        <v>75</v>
      </c>
      <c r="P46" s="13">
        <f ca="1">VLOOKUP($B46,'[9]Analisys QBR By Machine Report'!$C$109:$BD$166,11,FALSE)</f>
        <v>75</v>
      </c>
      <c r="Q46" s="13">
        <f ca="1">VLOOKUP($B46,'[9]Analisys QBR By Machine Report'!$C$109:$BD$166,12,FALSE)</f>
        <v>0</v>
      </c>
      <c r="R46" s="13">
        <f ca="1">VLOOKUP($B46,'[9]Analisys QBR By Machine Report'!$C$109:$BD$166,13,FALSE)</f>
        <v>0</v>
      </c>
      <c r="S46" s="13">
        <f ca="1">VLOOKUP($B46,'[9]Analisys QBR By Machine Report'!$C$109:$BD$166,14,FALSE)</f>
        <v>0</v>
      </c>
      <c r="T46" s="13">
        <f ca="1">VLOOKUP($B46,'[9]Analisys QBR By Machine Report'!$C$109:$BD$166,15,FALSE)</f>
        <v>0</v>
      </c>
      <c r="U46" s="13">
        <f ca="1">VLOOKUP($B46,'[9]Analisys QBR By Machine Report'!$C$109:$BD$166,16,FALSE)</f>
        <v>0</v>
      </c>
      <c r="V46" s="13">
        <f ca="1">VLOOKUP($B46,'[9]Analisys QBR By Machine Report'!$C$109:$BD$166,17,FALSE)</f>
        <v>0</v>
      </c>
      <c r="W46" s="13">
        <f ca="1">VLOOKUP($B46,'[9]Analisys QBR By Machine Report'!$C$109:$BD$166,18,FALSE)</f>
        <v>0</v>
      </c>
      <c r="X46" s="13">
        <f ca="1">VLOOKUP($B46,'[9]Analisys QBR By Machine Report'!$C$109:$BD$166,19,FALSE)</f>
        <v>0</v>
      </c>
      <c r="Y46" s="13">
        <f ca="1">VLOOKUP($B46,'[9]Analisys QBR By Machine Report'!$C$109:$BD$166,20,FALSE)</f>
        <v>0</v>
      </c>
      <c r="Z46" s="13">
        <f ca="1">VLOOKUP($B46,'[9]Analisys QBR By Machine Report'!$C$109:$BD$166,21,FALSE)</f>
        <v>120</v>
      </c>
      <c r="AA46" s="13">
        <f ca="1">VLOOKUP($B46,'[9]Analisys QBR By Machine Report'!$C$109:$BD$166,22,FALSE)</f>
        <v>70</v>
      </c>
      <c r="AB46" s="13">
        <f ca="1">VLOOKUP($B46,'[9]Analisys QBR By Machine Report'!$C$109:$BD$166,23,FALSE)</f>
        <v>50</v>
      </c>
      <c r="AC46" s="13">
        <f ca="1">VLOOKUP($B46,'[9]Analisys QBR By Machine Report'!$C$109:$BD$166,24,FALSE)</f>
        <v>0</v>
      </c>
      <c r="AD46" s="13">
        <f ca="1">VLOOKUP($B46,'[9]Analisys QBR By Machine Report'!$C$109:$BD$166,25,FALSE)</f>
        <v>0</v>
      </c>
      <c r="AE46" s="13">
        <f ca="1">VLOOKUP($B46,'[9]Analisys QBR By Machine Report'!$C$109:$BD$166,26,FALSE)</f>
        <v>0</v>
      </c>
      <c r="AF46" s="13">
        <f ca="1">VLOOKUP($B46,'[9]Analisys QBR By Machine Report'!$C$109:$BD$166,27,FALSE)</f>
        <v>0</v>
      </c>
      <c r="AG46" s="13">
        <f ca="1">VLOOKUP($B46,'[9]Analisys QBR By Machine Report'!$C$109:$BD$166,28,FALSE)</f>
        <v>0</v>
      </c>
      <c r="AH46" s="13">
        <f ca="1">VLOOKUP($B46,'[9]Analisys QBR By Machine Report'!$C$109:$BD$166,29,FALSE)</f>
        <v>0</v>
      </c>
      <c r="AI46" s="13">
        <f ca="1">VLOOKUP($B46,'[9]Analisys QBR By Machine Report'!$C$109:$BD$166,30,FALSE)</f>
        <v>210</v>
      </c>
      <c r="AJ46" s="13">
        <f ca="1">VLOOKUP($B46,'[9]Analisys QBR By Machine Report'!$C$109:$BD$166,31,FALSE)</f>
        <v>0</v>
      </c>
      <c r="AK46" s="13">
        <f ca="1">VLOOKUP($B46,'[9]Analisys QBR By Machine Report'!$C$109:$BD$166,32,FALSE)</f>
        <v>0</v>
      </c>
      <c r="AL46" s="13">
        <f ca="1">VLOOKUP($B46,'[9]Analisys QBR By Machine Report'!$C$109:$BD$166,33,FALSE)</f>
        <v>30</v>
      </c>
      <c r="AM46" s="13">
        <f ca="1">VLOOKUP($B46,'[9]Analisys QBR By Machine Report'!$C$109:$BD$166,34,FALSE)</f>
        <v>0</v>
      </c>
      <c r="AN46" s="13">
        <f ca="1">VLOOKUP($B46,'[9]Analisys QBR By Machine Report'!$C$109:$BD$166,35,FALSE)</f>
        <v>90</v>
      </c>
      <c r="AO46" s="13">
        <f ca="1">VLOOKUP($B46,'[9]Analisys QBR By Machine Report'!$C$109:$BD$166,36,FALSE)</f>
        <v>0</v>
      </c>
      <c r="AP46" s="13">
        <f ca="1">VLOOKUP($B46,'[9]Analisys QBR By Machine Report'!$C$109:$BD$166,37,FALSE)</f>
        <v>0</v>
      </c>
      <c r="AQ46" s="13">
        <f ca="1">VLOOKUP($B46,'[9]Analisys QBR By Machine Report'!$C$109:$BD$166,38,FALSE)</f>
        <v>0</v>
      </c>
      <c r="AR46" s="13">
        <f ca="1">VLOOKUP($B46,'[9]Analisys QBR By Machine Report'!$C$109:$BD$166,39,FALSE)</f>
        <v>0</v>
      </c>
      <c r="AS46" s="13">
        <f ca="1">VLOOKUP($B46,'[9]Analisys QBR By Machine Report'!$C$109:$BD$166,40,FALSE)</f>
        <v>20</v>
      </c>
      <c r="AT46" s="13">
        <f ca="1">VLOOKUP($B46,'[9]Analisys QBR By Machine Report'!$C$109:$BD$166,41,FALSE)</f>
        <v>0</v>
      </c>
      <c r="AU46" s="13">
        <f ca="1">VLOOKUP($B46,'[9]Analisys QBR By Machine Report'!$C$109:$BD$166,42,FALSE)</f>
        <v>0</v>
      </c>
      <c r="AV46" s="13">
        <f ca="1">VLOOKUP($B46,'[9]Analisys QBR By Machine Report'!$C$109:$BD$166,43,FALSE)</f>
        <v>0</v>
      </c>
      <c r="AW46" s="13">
        <f ca="1">VLOOKUP($B46,'[9]Analisys QBR By Machine Report'!$C$109:$BD$166,44,FALSE)</f>
        <v>0</v>
      </c>
      <c r="AX46" s="13">
        <f ca="1">VLOOKUP($B46,'[9]Analisys QBR By Machine Report'!$C$109:$BD$166,45,FALSE)</f>
        <v>0</v>
      </c>
      <c r="AY46" s="13">
        <f ca="1">VLOOKUP($B46,'[9]Analisys QBR By Machine Report'!$C$109:$BD$166,46,FALSE)</f>
        <v>0</v>
      </c>
      <c r="AZ46" s="13">
        <f ca="1">VLOOKUP($B46,'[9]Analisys QBR By Machine Report'!$C$109:$BD$166,47,FALSE)</f>
        <v>10</v>
      </c>
      <c r="BA46" s="13">
        <f ca="1">VLOOKUP($B46,'[9]Analisys QBR By Machine Report'!$C$109:$BD$166,48,FALSE)</f>
        <v>60</v>
      </c>
      <c r="BB46" s="13">
        <f ca="1">VLOOKUP($B46,'[9]Analisys QBR By Machine Report'!$C$109:$BD$166,49,FALSE)</f>
        <v>0</v>
      </c>
      <c r="BC46" s="13">
        <f ca="1">VLOOKUP($B46,'[9]Analisys QBR By Machine Report'!$C$109:$BD$166,50,FALSE)</f>
        <v>0</v>
      </c>
      <c r="BD46" s="13">
        <f ca="1">VLOOKUP($B46,'[9]Analisys QBR By Machine Report'!$C$109:$BD$166,51,FALSE)</f>
        <v>1568</v>
      </c>
      <c r="BE46" s="13">
        <f ca="1">VLOOKUP($B46,'[9]Analisys QBR By Machine Report'!$C$109:$BD$166,52,FALSE)</f>
        <v>14</v>
      </c>
      <c r="BF46" s="13">
        <f ca="1">VLOOKUP($B46,'[9]Analisys QBR By Machine Report'!$C$109:$BD$166,53,FALSE)</f>
        <v>1554</v>
      </c>
    </row>
    <row r="47" spans="1:58" x14ac:dyDescent="0.25">
      <c r="A47" s="9" t="s">
        <v>103</v>
      </c>
      <c r="B47" s="10">
        <f ca="1">VLOOKUP($B47,'[9]Analisys QBR By Machine Report'!$C$109:$BD$166,2,FALSE)</f>
        <v>30240</v>
      </c>
      <c r="C47" s="11">
        <f ca="1">VLOOKUP($B47,[9]Dasboard_QBR_Report!$B$109:$BL$166,3,FALSE)</f>
        <v>10080</v>
      </c>
      <c r="D47" s="10">
        <f ca="1">VLOOKUP($B47,'[9]Analisys QBR By Machine Report'!$C$109:$BD$166,3,FALSE)</f>
        <v>27240</v>
      </c>
      <c r="E47" s="11">
        <f ca="1">VLOOKUP($B47,[9]Dasboard_QBR_Report!$B$109:$BL$166,5,FALSE)</f>
        <v>7080</v>
      </c>
      <c r="F47" s="10">
        <f t="shared" ca="1" si="0"/>
        <v>3000</v>
      </c>
      <c r="G47" s="10">
        <f t="shared" ca="1" si="1"/>
        <v>205</v>
      </c>
      <c r="H47" s="10">
        <f ca="1">VLOOKUP($B47,'[9]Analisys QBR By Machine Report'!$C$109:$BD$166,4,FALSE)</f>
        <v>205</v>
      </c>
      <c r="I47" s="10">
        <f ca="1">VLOOKUP($B47,'[9]Analisys QBR By Machine Report'!$C$109:$BD$166,5,FALSE)</f>
        <v>150</v>
      </c>
      <c r="J47" s="10">
        <f ca="1">VLOOKUP($B47,'[9]Analisys QBR By Machine Report'!$C$109:$BD$166,6,FALSE)</f>
        <v>55</v>
      </c>
      <c r="K47" s="10">
        <f ca="1">VLOOKUP($B47,'[9]Analisys QBR By Machine Report'!$C$109:$BD$166,7,FALSE)</f>
        <v>0</v>
      </c>
      <c r="L47" s="10">
        <f ca="1">VLOOKUP($B47,'[9]Analisys QBR By Machine Report'!$C$109:$BD$166,8,FALSE)</f>
        <v>2795</v>
      </c>
      <c r="M47" s="10">
        <f ca="1">VLOOKUP($B47,'[9]Analisys QBR By Machine Report'!$C$109:$BD$166,9,FALSE)</f>
        <v>925</v>
      </c>
      <c r="N47" s="10">
        <f ca="1">VLOOKUP($B47,[9]Dasboard_QBR_Report!$B$109:$BL$166,18,FALSE)</f>
        <v>1870</v>
      </c>
      <c r="O47" s="10">
        <f ca="1">VLOOKUP($B47,'[9]Analisys QBR By Machine Report'!$C$109:$BD$166,10,FALSE)</f>
        <v>230</v>
      </c>
      <c r="P47" s="10">
        <f ca="1">VLOOKUP($B47,'[9]Analisys QBR By Machine Report'!$C$109:$BD$166,11,FALSE)</f>
        <v>180</v>
      </c>
      <c r="Q47" s="10">
        <f ca="1">VLOOKUP($B47,'[9]Analisys QBR By Machine Report'!$C$109:$BD$166,12,FALSE)</f>
        <v>0</v>
      </c>
      <c r="R47" s="10">
        <f ca="1">VLOOKUP($B47,'[9]Analisys QBR By Machine Report'!$C$109:$BD$166,13,FALSE)</f>
        <v>25</v>
      </c>
      <c r="S47" s="10">
        <f ca="1">VLOOKUP($B47,'[9]Analisys QBR By Machine Report'!$C$109:$BD$166,14,FALSE)</f>
        <v>25</v>
      </c>
      <c r="T47" s="10">
        <f ca="1">VLOOKUP($B47,'[9]Analisys QBR By Machine Report'!$C$109:$BD$166,15,FALSE)</f>
        <v>0</v>
      </c>
      <c r="U47" s="10">
        <f ca="1">VLOOKUP($B47,'[9]Analisys QBR By Machine Report'!$C$109:$BD$166,16,FALSE)</f>
        <v>0</v>
      </c>
      <c r="V47" s="10">
        <f ca="1">VLOOKUP($B47,'[9]Analisys QBR By Machine Report'!$C$109:$BD$166,17,FALSE)</f>
        <v>0</v>
      </c>
      <c r="W47" s="10">
        <f ca="1">VLOOKUP($B47,'[9]Analisys QBR By Machine Report'!$C$109:$BD$166,18,FALSE)</f>
        <v>0</v>
      </c>
      <c r="X47" s="10">
        <f ca="1">VLOOKUP($B47,'[9]Analisys QBR By Machine Report'!$C$109:$BD$166,19,FALSE)</f>
        <v>0</v>
      </c>
      <c r="Y47" s="10">
        <f ca="1">VLOOKUP($B47,'[9]Analisys QBR By Machine Report'!$C$109:$BD$166,20,FALSE)</f>
        <v>0</v>
      </c>
      <c r="Z47" s="10">
        <f ca="1">VLOOKUP($B47,'[9]Analisys QBR By Machine Report'!$C$109:$BD$166,21,FALSE)</f>
        <v>865</v>
      </c>
      <c r="AA47" s="10">
        <f ca="1">VLOOKUP($B47,'[9]Analisys QBR By Machine Report'!$C$109:$BD$166,22,FALSE)</f>
        <v>205</v>
      </c>
      <c r="AB47" s="10">
        <f ca="1">VLOOKUP($B47,'[9]Analisys QBR By Machine Report'!$C$109:$BD$166,23,FALSE)</f>
        <v>35</v>
      </c>
      <c r="AC47" s="10">
        <f ca="1">VLOOKUP($B47,'[9]Analisys QBR By Machine Report'!$C$109:$BD$166,24,FALSE)</f>
        <v>0</v>
      </c>
      <c r="AD47" s="10">
        <f ca="1">VLOOKUP($B47,'[9]Analisys QBR By Machine Report'!$C$109:$BD$166,25,FALSE)</f>
        <v>0</v>
      </c>
      <c r="AE47" s="10">
        <f ca="1">VLOOKUP($B47,'[9]Analisys QBR By Machine Report'!$C$109:$BD$166,26,FALSE)</f>
        <v>625</v>
      </c>
      <c r="AF47" s="10">
        <f ca="1">VLOOKUP($B47,'[9]Analisys QBR By Machine Report'!$C$109:$BD$166,27,FALSE)</f>
        <v>0</v>
      </c>
      <c r="AG47" s="10">
        <f ca="1">VLOOKUP($B47,'[9]Analisys QBR By Machine Report'!$C$109:$BD$166,28,FALSE)</f>
        <v>0</v>
      </c>
      <c r="AH47" s="10">
        <f ca="1">VLOOKUP($B47,'[9]Analisys QBR By Machine Report'!$C$109:$BD$166,29,FALSE)</f>
        <v>0</v>
      </c>
      <c r="AI47" s="10">
        <f ca="1">VLOOKUP($B47,'[9]Analisys QBR By Machine Report'!$C$109:$BD$166,30,FALSE)</f>
        <v>775</v>
      </c>
      <c r="AJ47" s="10">
        <f ca="1">VLOOKUP($B47,'[9]Analisys QBR By Machine Report'!$C$109:$BD$166,31,FALSE)</f>
        <v>0</v>
      </c>
      <c r="AK47" s="10">
        <f ca="1">VLOOKUP($B47,'[9]Analisys QBR By Machine Report'!$C$109:$BD$166,32,FALSE)</f>
        <v>0</v>
      </c>
      <c r="AL47" s="10">
        <f ca="1">VLOOKUP($B47,'[9]Analisys QBR By Machine Report'!$C$109:$BD$166,33,FALSE)</f>
        <v>195</v>
      </c>
      <c r="AM47" s="10">
        <f ca="1">VLOOKUP($B47,'[9]Analisys QBR By Machine Report'!$C$109:$BD$166,34,FALSE)</f>
        <v>0</v>
      </c>
      <c r="AN47" s="10">
        <f ca="1">VLOOKUP($B47,'[9]Analisys QBR By Machine Report'!$C$109:$BD$166,35,FALSE)</f>
        <v>105</v>
      </c>
      <c r="AO47" s="10">
        <f ca="1">VLOOKUP($B47,'[9]Analisys QBR By Machine Report'!$C$109:$BD$166,36,FALSE)</f>
        <v>160</v>
      </c>
      <c r="AP47" s="10">
        <f ca="1">VLOOKUP($B47,'[9]Analisys QBR By Machine Report'!$C$109:$BD$166,37,FALSE)</f>
        <v>0</v>
      </c>
      <c r="AQ47" s="10">
        <f ca="1">VLOOKUP($B47,'[9]Analisys QBR By Machine Report'!$C$109:$BD$166,38,FALSE)</f>
        <v>0</v>
      </c>
      <c r="AR47" s="10">
        <f ca="1">VLOOKUP($B47,'[9]Analisys QBR By Machine Report'!$C$109:$BD$166,39,FALSE)</f>
        <v>140</v>
      </c>
      <c r="AS47" s="10">
        <f ca="1">VLOOKUP($B47,'[9]Analisys QBR By Machine Report'!$C$109:$BD$166,40,FALSE)</f>
        <v>105</v>
      </c>
      <c r="AT47" s="10">
        <f ca="1">VLOOKUP($B47,'[9]Analisys QBR By Machine Report'!$C$109:$BD$166,41,FALSE)</f>
        <v>0</v>
      </c>
      <c r="AU47" s="10">
        <f ca="1">VLOOKUP($B47,'[9]Analisys QBR By Machine Report'!$C$109:$BD$166,42,FALSE)</f>
        <v>0</v>
      </c>
      <c r="AV47" s="10">
        <f ca="1">VLOOKUP($B47,'[9]Analisys QBR By Machine Report'!$C$109:$BD$166,43,FALSE)</f>
        <v>0</v>
      </c>
      <c r="AW47" s="10">
        <f ca="1">VLOOKUP($B47,'[9]Analisys QBR By Machine Report'!$C$109:$BD$166,44,FALSE)</f>
        <v>0</v>
      </c>
      <c r="AX47" s="10">
        <f ca="1">VLOOKUP($B47,'[9]Analisys QBR By Machine Report'!$C$109:$BD$166,45,FALSE)</f>
        <v>0</v>
      </c>
      <c r="AY47" s="10">
        <f ca="1">VLOOKUP($B47,'[9]Analisys QBR By Machine Report'!$C$109:$BD$166,46,FALSE)</f>
        <v>0</v>
      </c>
      <c r="AZ47" s="10">
        <f ca="1">VLOOKUP($B47,'[9]Analisys QBR By Machine Report'!$C$109:$BD$166,47,FALSE)</f>
        <v>55</v>
      </c>
      <c r="BA47" s="10">
        <f ca="1">VLOOKUP($B47,'[9]Analisys QBR By Machine Report'!$C$109:$BD$166,48,FALSE)</f>
        <v>0</v>
      </c>
      <c r="BB47" s="10">
        <f ca="1">VLOOKUP($B47,'[9]Analisys QBR By Machine Report'!$C$109:$BD$166,49,FALSE)</f>
        <v>0</v>
      </c>
      <c r="BC47" s="10">
        <f ca="1">VLOOKUP($B47,'[9]Analisys QBR By Machine Report'!$C$109:$BD$166,50,FALSE)</f>
        <v>15</v>
      </c>
      <c r="BD47" s="10">
        <f ca="1">VLOOKUP($B47,'[9]Analisys QBR By Machine Report'!$C$109:$BD$166,51,FALSE)</f>
        <v>828627</v>
      </c>
      <c r="BE47" s="10">
        <f ca="1">VLOOKUP($B47,'[9]Analisys QBR By Machine Report'!$C$109:$BD$166,52,FALSE)</f>
        <v>0</v>
      </c>
      <c r="BF47" s="10">
        <f ca="1">VLOOKUP($B47,'[9]Analisys QBR By Machine Report'!$C$109:$BD$166,53,FALSE)</f>
        <v>828627</v>
      </c>
    </row>
    <row r="48" spans="1:58" x14ac:dyDescent="0.25">
      <c r="A48" s="12" t="s">
        <v>104</v>
      </c>
      <c r="B48" s="13">
        <f ca="1">VLOOKUP($B48,'[9]Analisys QBR By Machine Report'!$C$109:$BD$166,2,FALSE)</f>
        <v>30240</v>
      </c>
      <c r="C48" s="14">
        <f ca="1">VLOOKUP($B48,[9]Dasboard_QBR_Report!$B$109:$BL$166,3,FALSE)</f>
        <v>10080</v>
      </c>
      <c r="D48" s="13">
        <f ca="1">VLOOKUP($B48,'[9]Analisys QBR By Machine Report'!$C$109:$BD$166,3,FALSE)</f>
        <v>27240</v>
      </c>
      <c r="E48" s="14">
        <f ca="1">VLOOKUP($B48,[9]Dasboard_QBR_Report!$B$109:$BL$166,5,FALSE)</f>
        <v>7080</v>
      </c>
      <c r="F48" s="13">
        <f t="shared" ca="1" si="0"/>
        <v>3000</v>
      </c>
      <c r="G48" s="13">
        <f t="shared" ca="1" si="1"/>
        <v>205</v>
      </c>
      <c r="H48" s="13">
        <f ca="1">VLOOKUP($B48,'[9]Analisys QBR By Machine Report'!$C$109:$BD$166,4,FALSE)</f>
        <v>205</v>
      </c>
      <c r="I48" s="13">
        <f ca="1">VLOOKUP($B48,'[9]Analisys QBR By Machine Report'!$C$109:$BD$166,5,FALSE)</f>
        <v>150</v>
      </c>
      <c r="J48" s="13">
        <f ca="1">VLOOKUP($B48,'[9]Analisys QBR By Machine Report'!$C$109:$BD$166,6,FALSE)</f>
        <v>55</v>
      </c>
      <c r="K48" s="13">
        <f ca="1">VLOOKUP($B48,'[9]Analisys QBR By Machine Report'!$C$109:$BD$166,7,FALSE)</f>
        <v>0</v>
      </c>
      <c r="L48" s="13">
        <f ca="1">VLOOKUP($B48,'[9]Analisys QBR By Machine Report'!$C$109:$BD$166,8,FALSE)</f>
        <v>2795</v>
      </c>
      <c r="M48" s="13">
        <f ca="1">VLOOKUP($B48,'[9]Analisys QBR By Machine Report'!$C$109:$BD$166,9,FALSE)</f>
        <v>925</v>
      </c>
      <c r="N48" s="13">
        <f ca="1">VLOOKUP($B48,[9]Dasboard_QBR_Report!$B$109:$BL$166,18,FALSE)</f>
        <v>1870</v>
      </c>
      <c r="O48" s="13">
        <f ca="1">VLOOKUP($B48,'[9]Analisys QBR By Machine Report'!$C$109:$BD$166,10,FALSE)</f>
        <v>230</v>
      </c>
      <c r="P48" s="13">
        <f ca="1">VLOOKUP($B48,'[9]Analisys QBR By Machine Report'!$C$109:$BD$166,11,FALSE)</f>
        <v>180</v>
      </c>
      <c r="Q48" s="13">
        <f ca="1">VLOOKUP($B48,'[9]Analisys QBR By Machine Report'!$C$109:$BD$166,12,FALSE)</f>
        <v>0</v>
      </c>
      <c r="R48" s="13">
        <f ca="1">VLOOKUP($B48,'[9]Analisys QBR By Machine Report'!$C$109:$BD$166,13,FALSE)</f>
        <v>25</v>
      </c>
      <c r="S48" s="13">
        <f ca="1">VLOOKUP($B48,'[9]Analisys QBR By Machine Report'!$C$109:$BD$166,14,FALSE)</f>
        <v>25</v>
      </c>
      <c r="T48" s="13">
        <f ca="1">VLOOKUP($B48,'[9]Analisys QBR By Machine Report'!$C$109:$BD$166,15,FALSE)</f>
        <v>0</v>
      </c>
      <c r="U48" s="13">
        <f ca="1">VLOOKUP($B48,'[9]Analisys QBR By Machine Report'!$C$109:$BD$166,16,FALSE)</f>
        <v>0</v>
      </c>
      <c r="V48" s="13">
        <f ca="1">VLOOKUP($B48,'[9]Analisys QBR By Machine Report'!$C$109:$BD$166,17,FALSE)</f>
        <v>0</v>
      </c>
      <c r="W48" s="13">
        <f ca="1">VLOOKUP($B48,'[9]Analisys QBR By Machine Report'!$C$109:$BD$166,18,FALSE)</f>
        <v>0</v>
      </c>
      <c r="X48" s="13">
        <f ca="1">VLOOKUP($B48,'[9]Analisys QBR By Machine Report'!$C$109:$BD$166,19,FALSE)</f>
        <v>0</v>
      </c>
      <c r="Y48" s="13">
        <f ca="1">VLOOKUP($B48,'[9]Analisys QBR By Machine Report'!$C$109:$BD$166,20,FALSE)</f>
        <v>0</v>
      </c>
      <c r="Z48" s="13">
        <f ca="1">VLOOKUP($B48,'[9]Analisys QBR By Machine Report'!$C$109:$BD$166,21,FALSE)</f>
        <v>865</v>
      </c>
      <c r="AA48" s="13">
        <f ca="1">VLOOKUP($B48,'[9]Analisys QBR By Machine Report'!$C$109:$BD$166,22,FALSE)</f>
        <v>205</v>
      </c>
      <c r="AB48" s="13">
        <f ca="1">VLOOKUP($B48,'[9]Analisys QBR By Machine Report'!$C$109:$BD$166,23,FALSE)</f>
        <v>35</v>
      </c>
      <c r="AC48" s="13">
        <f ca="1">VLOOKUP($B48,'[9]Analisys QBR By Machine Report'!$C$109:$BD$166,24,FALSE)</f>
        <v>0</v>
      </c>
      <c r="AD48" s="13">
        <f ca="1">VLOOKUP($B48,'[9]Analisys QBR By Machine Report'!$C$109:$BD$166,25,FALSE)</f>
        <v>0</v>
      </c>
      <c r="AE48" s="13">
        <f ca="1">VLOOKUP($B48,'[9]Analisys QBR By Machine Report'!$C$109:$BD$166,26,FALSE)</f>
        <v>625</v>
      </c>
      <c r="AF48" s="13">
        <f ca="1">VLOOKUP($B48,'[9]Analisys QBR By Machine Report'!$C$109:$BD$166,27,FALSE)</f>
        <v>0</v>
      </c>
      <c r="AG48" s="13">
        <f ca="1">VLOOKUP($B48,'[9]Analisys QBR By Machine Report'!$C$109:$BD$166,28,FALSE)</f>
        <v>0</v>
      </c>
      <c r="AH48" s="13">
        <f ca="1">VLOOKUP($B48,'[9]Analisys QBR By Machine Report'!$C$109:$BD$166,29,FALSE)</f>
        <v>0</v>
      </c>
      <c r="AI48" s="13">
        <f ca="1">VLOOKUP($B48,'[9]Analisys QBR By Machine Report'!$C$109:$BD$166,30,FALSE)</f>
        <v>775</v>
      </c>
      <c r="AJ48" s="13">
        <f ca="1">VLOOKUP($B48,'[9]Analisys QBR By Machine Report'!$C$109:$BD$166,31,FALSE)</f>
        <v>0</v>
      </c>
      <c r="AK48" s="13">
        <f ca="1">VLOOKUP($B48,'[9]Analisys QBR By Machine Report'!$C$109:$BD$166,32,FALSE)</f>
        <v>0</v>
      </c>
      <c r="AL48" s="13">
        <f ca="1">VLOOKUP($B48,'[9]Analisys QBR By Machine Report'!$C$109:$BD$166,33,FALSE)</f>
        <v>195</v>
      </c>
      <c r="AM48" s="13">
        <f ca="1">VLOOKUP($B48,'[9]Analisys QBR By Machine Report'!$C$109:$BD$166,34,FALSE)</f>
        <v>0</v>
      </c>
      <c r="AN48" s="13">
        <f ca="1">VLOOKUP($B48,'[9]Analisys QBR By Machine Report'!$C$109:$BD$166,35,FALSE)</f>
        <v>105</v>
      </c>
      <c r="AO48" s="13">
        <f ca="1">VLOOKUP($B48,'[9]Analisys QBR By Machine Report'!$C$109:$BD$166,36,FALSE)</f>
        <v>160</v>
      </c>
      <c r="AP48" s="13">
        <f ca="1">VLOOKUP($B48,'[9]Analisys QBR By Machine Report'!$C$109:$BD$166,37,FALSE)</f>
        <v>0</v>
      </c>
      <c r="AQ48" s="13">
        <f ca="1">VLOOKUP($B48,'[9]Analisys QBR By Machine Report'!$C$109:$BD$166,38,FALSE)</f>
        <v>0</v>
      </c>
      <c r="AR48" s="13">
        <f ca="1">VLOOKUP($B48,'[9]Analisys QBR By Machine Report'!$C$109:$BD$166,39,FALSE)</f>
        <v>140</v>
      </c>
      <c r="AS48" s="13">
        <f ca="1">VLOOKUP($B48,'[9]Analisys QBR By Machine Report'!$C$109:$BD$166,40,FALSE)</f>
        <v>105</v>
      </c>
      <c r="AT48" s="13">
        <f ca="1">VLOOKUP($B48,'[9]Analisys QBR By Machine Report'!$C$109:$BD$166,41,FALSE)</f>
        <v>0</v>
      </c>
      <c r="AU48" s="13">
        <f ca="1">VLOOKUP($B48,'[9]Analisys QBR By Machine Report'!$C$109:$BD$166,42,FALSE)</f>
        <v>0</v>
      </c>
      <c r="AV48" s="13">
        <f ca="1">VLOOKUP($B48,'[9]Analisys QBR By Machine Report'!$C$109:$BD$166,43,FALSE)</f>
        <v>0</v>
      </c>
      <c r="AW48" s="13">
        <f ca="1">VLOOKUP($B48,'[9]Analisys QBR By Machine Report'!$C$109:$BD$166,44,FALSE)</f>
        <v>0</v>
      </c>
      <c r="AX48" s="13">
        <f ca="1">VLOOKUP($B48,'[9]Analisys QBR By Machine Report'!$C$109:$BD$166,45,FALSE)</f>
        <v>0</v>
      </c>
      <c r="AY48" s="13">
        <f ca="1">VLOOKUP($B48,'[9]Analisys QBR By Machine Report'!$C$109:$BD$166,46,FALSE)</f>
        <v>0</v>
      </c>
      <c r="AZ48" s="13">
        <f ca="1">VLOOKUP($B48,'[9]Analisys QBR By Machine Report'!$C$109:$BD$166,47,FALSE)</f>
        <v>55</v>
      </c>
      <c r="BA48" s="13">
        <f ca="1">VLOOKUP($B48,'[9]Analisys QBR By Machine Report'!$C$109:$BD$166,48,FALSE)</f>
        <v>0</v>
      </c>
      <c r="BB48" s="13">
        <f ca="1">VLOOKUP($B48,'[9]Analisys QBR By Machine Report'!$C$109:$BD$166,49,FALSE)</f>
        <v>0</v>
      </c>
      <c r="BC48" s="13">
        <f ca="1">VLOOKUP($B48,'[9]Analisys QBR By Machine Report'!$C$109:$BD$166,50,FALSE)</f>
        <v>15</v>
      </c>
      <c r="BD48" s="13">
        <f ca="1">VLOOKUP($B48,'[9]Analisys QBR By Machine Report'!$C$109:$BD$166,51,FALSE)</f>
        <v>828627</v>
      </c>
      <c r="BE48" s="13">
        <f ca="1">VLOOKUP($B48,'[9]Analisys QBR By Machine Report'!$C$109:$BD$166,52,FALSE)</f>
        <v>0</v>
      </c>
      <c r="BF48" s="13">
        <f ca="1">VLOOKUP($B48,'[9]Analisys QBR By Machine Report'!$C$109:$BD$166,53,FALSE)</f>
        <v>828627</v>
      </c>
    </row>
    <row r="49" spans="1:58" x14ac:dyDescent="0.25">
      <c r="A49" s="9" t="s">
        <v>105</v>
      </c>
      <c r="B49" s="10">
        <f ca="1">VLOOKUP($B49,'[9]Analisys QBR By Machine Report'!$C$109:$BD$166,2,FALSE)</f>
        <v>30240</v>
      </c>
      <c r="C49" s="11">
        <f ca="1">VLOOKUP($B49,[9]Dasboard_QBR_Report!$B$109:$BL$166,3,FALSE)</f>
        <v>10080</v>
      </c>
      <c r="D49" s="10">
        <f ca="1">VLOOKUP($B49,'[9]Analisys QBR By Machine Report'!$C$109:$BD$166,3,FALSE)</f>
        <v>24780</v>
      </c>
      <c r="E49" s="11">
        <f ca="1">VLOOKUP($B49,[9]Dasboard_QBR_Report!$B$109:$BL$166,5,FALSE)</f>
        <v>4620</v>
      </c>
      <c r="F49" s="10">
        <f t="shared" ca="1" si="0"/>
        <v>5460</v>
      </c>
      <c r="G49" s="10">
        <f t="shared" ca="1" si="1"/>
        <v>255</v>
      </c>
      <c r="H49" s="10">
        <f ca="1">VLOOKUP($B49,'[9]Analisys QBR By Machine Report'!$C$109:$BD$166,4,FALSE)</f>
        <v>255</v>
      </c>
      <c r="I49" s="10">
        <f ca="1">VLOOKUP($B49,'[9]Analisys QBR By Machine Report'!$C$109:$BD$166,5,FALSE)</f>
        <v>255</v>
      </c>
      <c r="J49" s="10">
        <f ca="1">VLOOKUP($B49,'[9]Analisys QBR By Machine Report'!$C$109:$BD$166,6,FALSE)</f>
        <v>0</v>
      </c>
      <c r="K49" s="10">
        <f ca="1">VLOOKUP($B49,'[9]Analisys QBR By Machine Report'!$C$109:$BD$166,7,FALSE)</f>
        <v>0</v>
      </c>
      <c r="L49" s="10">
        <f ca="1">VLOOKUP($B49,'[9]Analisys QBR By Machine Report'!$C$109:$BD$166,8,FALSE)</f>
        <v>5205</v>
      </c>
      <c r="M49" s="10">
        <f ca="1">VLOOKUP($B49,'[9]Analisys QBR By Machine Report'!$C$109:$BD$166,9,FALSE)</f>
        <v>1125</v>
      </c>
      <c r="N49" s="10">
        <f ca="1">VLOOKUP($B49,[9]Dasboard_QBR_Report!$B$109:$BL$166,18,FALSE)</f>
        <v>4080</v>
      </c>
      <c r="O49" s="10">
        <f ca="1">VLOOKUP($B49,'[9]Analisys QBR By Machine Report'!$C$109:$BD$166,10,FALSE)</f>
        <v>2110</v>
      </c>
      <c r="P49" s="10">
        <f ca="1">VLOOKUP($B49,'[9]Analisys QBR By Machine Report'!$C$109:$BD$166,11,FALSE)</f>
        <v>1125</v>
      </c>
      <c r="Q49" s="10">
        <f ca="1">VLOOKUP($B49,'[9]Analisys QBR By Machine Report'!$C$109:$BD$166,12,FALSE)</f>
        <v>0</v>
      </c>
      <c r="R49" s="10">
        <f ca="1">VLOOKUP($B49,'[9]Analisys QBR By Machine Report'!$C$109:$BD$166,13,FALSE)</f>
        <v>985</v>
      </c>
      <c r="S49" s="10">
        <f ca="1">VLOOKUP($B49,'[9]Analisys QBR By Machine Report'!$C$109:$BD$166,14,FALSE)</f>
        <v>0</v>
      </c>
      <c r="T49" s="10">
        <f ca="1">VLOOKUP($B49,'[9]Analisys QBR By Machine Report'!$C$109:$BD$166,15,FALSE)</f>
        <v>0</v>
      </c>
      <c r="U49" s="10">
        <f ca="1">VLOOKUP($B49,'[9]Analisys QBR By Machine Report'!$C$109:$BD$166,16,FALSE)</f>
        <v>0</v>
      </c>
      <c r="V49" s="10">
        <f ca="1">VLOOKUP($B49,'[9]Analisys QBR By Machine Report'!$C$109:$BD$166,17,FALSE)</f>
        <v>0</v>
      </c>
      <c r="W49" s="10">
        <f ca="1">VLOOKUP($B49,'[9]Analisys QBR By Machine Report'!$C$109:$BD$166,18,FALSE)</f>
        <v>0</v>
      </c>
      <c r="X49" s="10">
        <f ca="1">VLOOKUP($B49,'[9]Analisys QBR By Machine Report'!$C$109:$BD$166,19,FALSE)</f>
        <v>0</v>
      </c>
      <c r="Y49" s="10">
        <f ca="1">VLOOKUP($B49,'[9]Analisys QBR By Machine Report'!$C$109:$BD$166,20,FALSE)</f>
        <v>0</v>
      </c>
      <c r="Z49" s="10">
        <f ca="1">VLOOKUP($B49,'[9]Analisys QBR By Machine Report'!$C$109:$BD$166,21,FALSE)</f>
        <v>1145</v>
      </c>
      <c r="AA49" s="10">
        <f ca="1">VLOOKUP($B49,'[9]Analisys QBR By Machine Report'!$C$109:$BD$166,22,FALSE)</f>
        <v>605</v>
      </c>
      <c r="AB49" s="10">
        <f ca="1">VLOOKUP($B49,'[9]Analisys QBR By Machine Report'!$C$109:$BD$166,23,FALSE)</f>
        <v>115</v>
      </c>
      <c r="AC49" s="10">
        <f ca="1">VLOOKUP($B49,'[9]Analisys QBR By Machine Report'!$C$109:$BD$166,24,FALSE)</f>
        <v>45</v>
      </c>
      <c r="AD49" s="10">
        <f ca="1">VLOOKUP($B49,'[9]Analisys QBR By Machine Report'!$C$109:$BD$166,25,FALSE)</f>
        <v>0</v>
      </c>
      <c r="AE49" s="10">
        <f ca="1">VLOOKUP($B49,'[9]Analisys QBR By Machine Report'!$C$109:$BD$166,26,FALSE)</f>
        <v>380</v>
      </c>
      <c r="AF49" s="10">
        <f ca="1">VLOOKUP($B49,'[9]Analisys QBR By Machine Report'!$C$109:$BD$166,27,FALSE)</f>
        <v>0</v>
      </c>
      <c r="AG49" s="10">
        <f ca="1">VLOOKUP($B49,'[9]Analisys QBR By Machine Report'!$C$109:$BD$166,28,FALSE)</f>
        <v>0</v>
      </c>
      <c r="AH49" s="10">
        <f ca="1">VLOOKUP($B49,'[9]Analisys QBR By Machine Report'!$C$109:$BD$166,29,FALSE)</f>
        <v>0</v>
      </c>
      <c r="AI49" s="10">
        <f ca="1">VLOOKUP($B49,'[9]Analisys QBR By Machine Report'!$C$109:$BD$166,30,FALSE)</f>
        <v>825</v>
      </c>
      <c r="AJ49" s="10">
        <f ca="1">VLOOKUP($B49,'[9]Analisys QBR By Machine Report'!$C$109:$BD$166,31,FALSE)</f>
        <v>0</v>
      </c>
      <c r="AK49" s="10">
        <f ca="1">VLOOKUP($B49,'[9]Analisys QBR By Machine Report'!$C$109:$BD$166,32,FALSE)</f>
        <v>0</v>
      </c>
      <c r="AL49" s="10">
        <f ca="1">VLOOKUP($B49,'[9]Analisys QBR By Machine Report'!$C$109:$BD$166,33,FALSE)</f>
        <v>330</v>
      </c>
      <c r="AM49" s="10">
        <f ca="1">VLOOKUP($B49,'[9]Analisys QBR By Machine Report'!$C$109:$BD$166,34,FALSE)</f>
        <v>0</v>
      </c>
      <c r="AN49" s="10">
        <f ca="1">VLOOKUP($B49,'[9]Analisys QBR By Machine Report'!$C$109:$BD$166,35,FALSE)</f>
        <v>210</v>
      </c>
      <c r="AO49" s="10">
        <f ca="1">VLOOKUP($B49,'[9]Analisys QBR By Machine Report'!$C$109:$BD$166,36,FALSE)</f>
        <v>0</v>
      </c>
      <c r="AP49" s="10">
        <f ca="1">VLOOKUP($B49,'[9]Analisys QBR By Machine Report'!$C$109:$BD$166,37,FALSE)</f>
        <v>0</v>
      </c>
      <c r="AQ49" s="10">
        <f ca="1">VLOOKUP($B49,'[9]Analisys QBR By Machine Report'!$C$109:$BD$166,38,FALSE)</f>
        <v>15</v>
      </c>
      <c r="AR49" s="10">
        <f ca="1">VLOOKUP($B49,'[9]Analisys QBR By Machine Report'!$C$109:$BD$166,39,FALSE)</f>
        <v>0</v>
      </c>
      <c r="AS49" s="10">
        <f ca="1">VLOOKUP($B49,'[9]Analisys QBR By Machine Report'!$C$109:$BD$166,40,FALSE)</f>
        <v>105</v>
      </c>
      <c r="AT49" s="10">
        <f ca="1">VLOOKUP($B49,'[9]Analisys QBR By Machine Report'!$C$109:$BD$166,41,FALSE)</f>
        <v>0</v>
      </c>
      <c r="AU49" s="10">
        <f ca="1">VLOOKUP($B49,'[9]Analisys QBR By Machine Report'!$C$109:$BD$166,42,FALSE)</f>
        <v>0</v>
      </c>
      <c r="AV49" s="10">
        <f ca="1">VLOOKUP($B49,'[9]Analisys QBR By Machine Report'!$C$109:$BD$166,43,FALSE)</f>
        <v>0</v>
      </c>
      <c r="AW49" s="10">
        <f ca="1">VLOOKUP($B49,'[9]Analisys QBR By Machine Report'!$C$109:$BD$166,44,FALSE)</f>
        <v>0</v>
      </c>
      <c r="AX49" s="10">
        <f ca="1">VLOOKUP($B49,'[9]Analisys QBR By Machine Report'!$C$109:$BD$166,45,FALSE)</f>
        <v>0</v>
      </c>
      <c r="AY49" s="10">
        <f ca="1">VLOOKUP($B49,'[9]Analisys QBR By Machine Report'!$C$109:$BD$166,46,FALSE)</f>
        <v>0</v>
      </c>
      <c r="AZ49" s="10">
        <f ca="1">VLOOKUP($B49,'[9]Analisys QBR By Machine Report'!$C$109:$BD$166,47,FALSE)</f>
        <v>165</v>
      </c>
      <c r="BA49" s="10">
        <f ca="1">VLOOKUP($B49,'[9]Analisys QBR By Machine Report'!$C$109:$BD$166,48,FALSE)</f>
        <v>0</v>
      </c>
      <c r="BB49" s="10">
        <f ca="1">VLOOKUP($B49,'[9]Analisys QBR By Machine Report'!$C$109:$BD$166,49,FALSE)</f>
        <v>0</v>
      </c>
      <c r="BC49" s="10">
        <f ca="1">VLOOKUP($B49,'[9]Analisys QBR By Machine Report'!$C$109:$BD$166,50,FALSE)</f>
        <v>0</v>
      </c>
      <c r="BD49" s="10">
        <f ca="1">VLOOKUP($B49,'[9]Analisys QBR By Machine Report'!$C$109:$BD$166,51,FALSE)</f>
        <v>779104</v>
      </c>
      <c r="BE49" s="10">
        <f ca="1">VLOOKUP($B49,'[9]Analisys QBR By Machine Report'!$C$109:$BD$166,52,FALSE)</f>
        <v>3950</v>
      </c>
      <c r="BF49" s="10">
        <f ca="1">VLOOKUP($B49,'[9]Analisys QBR By Machine Report'!$C$109:$BD$166,53,FALSE)</f>
        <v>775154</v>
      </c>
    </row>
    <row r="50" spans="1:58" x14ac:dyDescent="0.25">
      <c r="A50" s="12" t="s">
        <v>106</v>
      </c>
      <c r="B50" s="13">
        <f ca="1">VLOOKUP($B50,'[9]Analisys QBR By Machine Report'!$C$109:$BD$166,2,FALSE)</f>
        <v>30240</v>
      </c>
      <c r="C50" s="14">
        <f ca="1">VLOOKUP($B50,[9]Dasboard_QBR_Report!$B$109:$BL$166,3,FALSE)</f>
        <v>10080</v>
      </c>
      <c r="D50" s="13">
        <f ca="1">VLOOKUP($B50,'[9]Analisys QBR By Machine Report'!$C$109:$BD$166,3,FALSE)</f>
        <v>24780</v>
      </c>
      <c r="E50" s="14">
        <f ca="1">VLOOKUP($B50,[9]Dasboard_QBR_Report!$B$109:$BL$166,5,FALSE)</f>
        <v>4620</v>
      </c>
      <c r="F50" s="13">
        <f t="shared" ca="1" si="0"/>
        <v>5460</v>
      </c>
      <c r="G50" s="13">
        <f t="shared" ca="1" si="1"/>
        <v>255</v>
      </c>
      <c r="H50" s="13">
        <f ca="1">VLOOKUP($B50,'[9]Analisys QBR By Machine Report'!$C$109:$BD$166,4,FALSE)</f>
        <v>255</v>
      </c>
      <c r="I50" s="13">
        <f ca="1">VLOOKUP($B50,'[9]Analisys QBR By Machine Report'!$C$109:$BD$166,5,FALSE)</f>
        <v>255</v>
      </c>
      <c r="J50" s="13">
        <f ca="1">VLOOKUP($B50,'[9]Analisys QBR By Machine Report'!$C$109:$BD$166,6,FALSE)</f>
        <v>0</v>
      </c>
      <c r="K50" s="13">
        <f ca="1">VLOOKUP($B50,'[9]Analisys QBR By Machine Report'!$C$109:$BD$166,7,FALSE)</f>
        <v>0</v>
      </c>
      <c r="L50" s="13">
        <f ca="1">VLOOKUP($B50,'[9]Analisys QBR By Machine Report'!$C$109:$BD$166,8,FALSE)</f>
        <v>5205</v>
      </c>
      <c r="M50" s="13">
        <f ca="1">VLOOKUP($B50,'[9]Analisys QBR By Machine Report'!$C$109:$BD$166,9,FALSE)</f>
        <v>1125</v>
      </c>
      <c r="N50" s="13">
        <f ca="1">VLOOKUP($B50,[9]Dasboard_QBR_Report!$B$109:$BL$166,18,FALSE)</f>
        <v>4080</v>
      </c>
      <c r="O50" s="13">
        <f ca="1">VLOOKUP($B50,'[9]Analisys QBR By Machine Report'!$C$109:$BD$166,10,FALSE)</f>
        <v>2110</v>
      </c>
      <c r="P50" s="13">
        <f ca="1">VLOOKUP($B50,'[9]Analisys QBR By Machine Report'!$C$109:$BD$166,11,FALSE)</f>
        <v>1125</v>
      </c>
      <c r="Q50" s="13">
        <f ca="1">VLOOKUP($B50,'[9]Analisys QBR By Machine Report'!$C$109:$BD$166,12,FALSE)</f>
        <v>0</v>
      </c>
      <c r="R50" s="13">
        <f ca="1">VLOOKUP($B50,'[9]Analisys QBR By Machine Report'!$C$109:$BD$166,13,FALSE)</f>
        <v>985</v>
      </c>
      <c r="S50" s="13">
        <f ca="1">VLOOKUP($B50,'[9]Analisys QBR By Machine Report'!$C$109:$BD$166,14,FALSE)</f>
        <v>0</v>
      </c>
      <c r="T50" s="13">
        <f ca="1">VLOOKUP($B50,'[9]Analisys QBR By Machine Report'!$C$109:$BD$166,15,FALSE)</f>
        <v>0</v>
      </c>
      <c r="U50" s="13">
        <f ca="1">VLOOKUP($B50,'[9]Analisys QBR By Machine Report'!$C$109:$BD$166,16,FALSE)</f>
        <v>0</v>
      </c>
      <c r="V50" s="13">
        <f ca="1">VLOOKUP($B50,'[9]Analisys QBR By Machine Report'!$C$109:$BD$166,17,FALSE)</f>
        <v>0</v>
      </c>
      <c r="W50" s="13">
        <f ca="1">VLOOKUP($B50,'[9]Analisys QBR By Machine Report'!$C$109:$BD$166,18,FALSE)</f>
        <v>0</v>
      </c>
      <c r="X50" s="13">
        <f ca="1">VLOOKUP($B50,'[9]Analisys QBR By Machine Report'!$C$109:$BD$166,19,FALSE)</f>
        <v>0</v>
      </c>
      <c r="Y50" s="13">
        <f ca="1">VLOOKUP($B50,'[9]Analisys QBR By Machine Report'!$C$109:$BD$166,20,FALSE)</f>
        <v>0</v>
      </c>
      <c r="Z50" s="13">
        <f ca="1">VLOOKUP($B50,'[9]Analisys QBR By Machine Report'!$C$109:$BD$166,21,FALSE)</f>
        <v>1145</v>
      </c>
      <c r="AA50" s="13">
        <f ca="1">VLOOKUP($B50,'[9]Analisys QBR By Machine Report'!$C$109:$BD$166,22,FALSE)</f>
        <v>605</v>
      </c>
      <c r="AB50" s="13">
        <f ca="1">VLOOKUP($B50,'[9]Analisys QBR By Machine Report'!$C$109:$BD$166,23,FALSE)</f>
        <v>115</v>
      </c>
      <c r="AC50" s="13">
        <f ca="1">VLOOKUP($B50,'[9]Analisys QBR By Machine Report'!$C$109:$BD$166,24,FALSE)</f>
        <v>45</v>
      </c>
      <c r="AD50" s="13">
        <f ca="1">VLOOKUP($B50,'[9]Analisys QBR By Machine Report'!$C$109:$BD$166,25,FALSE)</f>
        <v>0</v>
      </c>
      <c r="AE50" s="13">
        <f ca="1">VLOOKUP($B50,'[9]Analisys QBR By Machine Report'!$C$109:$BD$166,26,FALSE)</f>
        <v>380</v>
      </c>
      <c r="AF50" s="13">
        <f ca="1">VLOOKUP($B50,'[9]Analisys QBR By Machine Report'!$C$109:$BD$166,27,FALSE)</f>
        <v>0</v>
      </c>
      <c r="AG50" s="13">
        <f ca="1">VLOOKUP($B50,'[9]Analisys QBR By Machine Report'!$C$109:$BD$166,28,FALSE)</f>
        <v>0</v>
      </c>
      <c r="AH50" s="13">
        <f ca="1">VLOOKUP($B50,'[9]Analisys QBR By Machine Report'!$C$109:$BD$166,29,FALSE)</f>
        <v>0</v>
      </c>
      <c r="AI50" s="13">
        <f ca="1">VLOOKUP($B50,'[9]Analisys QBR By Machine Report'!$C$109:$BD$166,30,FALSE)</f>
        <v>825</v>
      </c>
      <c r="AJ50" s="13">
        <f ca="1">VLOOKUP($B50,'[9]Analisys QBR By Machine Report'!$C$109:$BD$166,31,FALSE)</f>
        <v>0</v>
      </c>
      <c r="AK50" s="13">
        <f ca="1">VLOOKUP($B50,'[9]Analisys QBR By Machine Report'!$C$109:$BD$166,32,FALSE)</f>
        <v>0</v>
      </c>
      <c r="AL50" s="13">
        <f ca="1">VLOOKUP($B50,'[9]Analisys QBR By Machine Report'!$C$109:$BD$166,33,FALSE)</f>
        <v>330</v>
      </c>
      <c r="AM50" s="13">
        <f ca="1">VLOOKUP($B50,'[9]Analisys QBR By Machine Report'!$C$109:$BD$166,34,FALSE)</f>
        <v>0</v>
      </c>
      <c r="AN50" s="13">
        <f ca="1">VLOOKUP($B50,'[9]Analisys QBR By Machine Report'!$C$109:$BD$166,35,FALSE)</f>
        <v>210</v>
      </c>
      <c r="AO50" s="13">
        <f ca="1">VLOOKUP($B50,'[9]Analisys QBR By Machine Report'!$C$109:$BD$166,36,FALSE)</f>
        <v>0</v>
      </c>
      <c r="AP50" s="13">
        <f ca="1">VLOOKUP($B50,'[9]Analisys QBR By Machine Report'!$C$109:$BD$166,37,FALSE)</f>
        <v>0</v>
      </c>
      <c r="AQ50" s="13">
        <f ca="1">VLOOKUP($B50,'[9]Analisys QBR By Machine Report'!$C$109:$BD$166,38,FALSE)</f>
        <v>15</v>
      </c>
      <c r="AR50" s="13">
        <f ca="1">VLOOKUP($B50,'[9]Analisys QBR By Machine Report'!$C$109:$BD$166,39,FALSE)</f>
        <v>0</v>
      </c>
      <c r="AS50" s="13">
        <f ca="1">VLOOKUP($B50,'[9]Analisys QBR By Machine Report'!$C$109:$BD$166,40,FALSE)</f>
        <v>105</v>
      </c>
      <c r="AT50" s="13">
        <f ca="1">VLOOKUP($B50,'[9]Analisys QBR By Machine Report'!$C$109:$BD$166,41,FALSE)</f>
        <v>0</v>
      </c>
      <c r="AU50" s="13">
        <f ca="1">VLOOKUP($B50,'[9]Analisys QBR By Machine Report'!$C$109:$BD$166,42,FALSE)</f>
        <v>0</v>
      </c>
      <c r="AV50" s="13">
        <f ca="1">VLOOKUP($B50,'[9]Analisys QBR By Machine Report'!$C$109:$BD$166,43,FALSE)</f>
        <v>0</v>
      </c>
      <c r="AW50" s="13">
        <f ca="1">VLOOKUP($B50,'[9]Analisys QBR By Machine Report'!$C$109:$BD$166,44,FALSE)</f>
        <v>0</v>
      </c>
      <c r="AX50" s="13">
        <f ca="1">VLOOKUP($B50,'[9]Analisys QBR By Machine Report'!$C$109:$BD$166,45,FALSE)</f>
        <v>0</v>
      </c>
      <c r="AY50" s="13">
        <f ca="1">VLOOKUP($B50,'[9]Analisys QBR By Machine Report'!$C$109:$BD$166,46,FALSE)</f>
        <v>0</v>
      </c>
      <c r="AZ50" s="13">
        <f ca="1">VLOOKUP($B50,'[9]Analisys QBR By Machine Report'!$C$109:$BD$166,47,FALSE)</f>
        <v>165</v>
      </c>
      <c r="BA50" s="13">
        <f ca="1">VLOOKUP($B50,'[9]Analisys QBR By Machine Report'!$C$109:$BD$166,48,FALSE)</f>
        <v>0</v>
      </c>
      <c r="BB50" s="13">
        <f ca="1">VLOOKUP($B50,'[9]Analisys QBR By Machine Report'!$C$109:$BD$166,49,FALSE)</f>
        <v>0</v>
      </c>
      <c r="BC50" s="13">
        <f ca="1">VLOOKUP($B50,'[9]Analisys QBR By Machine Report'!$C$109:$BD$166,50,FALSE)</f>
        <v>0</v>
      </c>
      <c r="BD50" s="13">
        <f ca="1">VLOOKUP($B50,'[9]Analisys QBR By Machine Report'!$C$109:$BD$166,51,FALSE)</f>
        <v>779104</v>
      </c>
      <c r="BE50" s="13">
        <f ca="1">VLOOKUP($B50,'[9]Analisys QBR By Machine Report'!$C$109:$BD$166,52,FALSE)</f>
        <v>3950</v>
      </c>
      <c r="BF50" s="13">
        <f ca="1">VLOOKUP($B50,'[9]Analisys QBR By Machine Report'!$C$109:$BD$166,53,FALSE)</f>
        <v>775154</v>
      </c>
    </row>
    <row r="51" spans="1:58" x14ac:dyDescent="0.25">
      <c r="A51" s="9" t="s">
        <v>107</v>
      </c>
      <c r="B51" s="10">
        <f ca="1">VLOOKUP($B51,'[9]Analisys QBR By Machine Report'!$C$109:$BD$166,2,FALSE)</f>
        <v>30240</v>
      </c>
      <c r="C51" s="11">
        <f ca="1">VLOOKUP($B51,[9]Dasboard_QBR_Report!$B$109:$BL$166,3,FALSE)</f>
        <v>19530</v>
      </c>
      <c r="D51" s="10">
        <f ca="1">VLOOKUP($B51,'[9]Analisys QBR By Machine Report'!$C$109:$BD$166,3,FALSE)</f>
        <v>20010</v>
      </c>
      <c r="E51" s="11">
        <f ca="1">VLOOKUP($B51,[9]Dasboard_QBR_Report!$B$109:$BL$166,5,FALSE)</f>
        <v>9300</v>
      </c>
      <c r="F51" s="10">
        <f t="shared" ca="1" si="0"/>
        <v>10230</v>
      </c>
      <c r="G51" s="10">
        <f t="shared" ca="1" si="1"/>
        <v>975</v>
      </c>
      <c r="H51" s="10">
        <f ca="1">VLOOKUP($B51,'[9]Analisys QBR By Machine Report'!$C$109:$BD$166,4,FALSE)</f>
        <v>975</v>
      </c>
      <c r="I51" s="10">
        <f ca="1">VLOOKUP($B51,'[9]Analisys QBR By Machine Report'!$C$109:$BD$166,5,FALSE)</f>
        <v>45</v>
      </c>
      <c r="J51" s="10">
        <f ca="1">VLOOKUP($B51,'[9]Analisys QBR By Machine Report'!$C$109:$BD$166,6,FALSE)</f>
        <v>930</v>
      </c>
      <c r="K51" s="10">
        <f ca="1">VLOOKUP($B51,'[9]Analisys QBR By Machine Report'!$C$109:$BD$166,7,FALSE)</f>
        <v>0</v>
      </c>
      <c r="L51" s="10">
        <f ca="1">VLOOKUP($B51,'[9]Analisys QBR By Machine Report'!$C$109:$BD$166,8,FALSE)</f>
        <v>9255</v>
      </c>
      <c r="M51" s="10">
        <f ca="1">VLOOKUP($B51,'[9]Analisys QBR By Machine Report'!$C$109:$BD$166,9,FALSE)</f>
        <v>3820</v>
      </c>
      <c r="N51" s="10">
        <f ca="1">VLOOKUP($B51,[9]Dasboard_QBR_Report!$B$109:$BL$166,18,FALSE)</f>
        <v>5435</v>
      </c>
      <c r="O51" s="10">
        <f ca="1">VLOOKUP($B51,'[9]Analisys QBR By Machine Report'!$C$109:$BD$166,10,FALSE)</f>
        <v>699</v>
      </c>
      <c r="P51" s="10">
        <f ca="1">VLOOKUP($B51,'[9]Analisys QBR By Machine Report'!$C$109:$BD$166,11,FALSE)</f>
        <v>607</v>
      </c>
      <c r="Q51" s="10">
        <f ca="1">VLOOKUP($B51,'[9]Analisys QBR By Machine Report'!$C$109:$BD$166,12,FALSE)</f>
        <v>0</v>
      </c>
      <c r="R51" s="10">
        <f ca="1">VLOOKUP($B51,'[9]Analisys QBR By Machine Report'!$C$109:$BD$166,13,FALSE)</f>
        <v>89</v>
      </c>
      <c r="S51" s="10">
        <f ca="1">VLOOKUP($B51,'[9]Analisys QBR By Machine Report'!$C$109:$BD$166,14,FALSE)</f>
        <v>3</v>
      </c>
      <c r="T51" s="10">
        <f ca="1">VLOOKUP($B51,'[9]Analisys QBR By Machine Report'!$C$109:$BD$166,15,FALSE)</f>
        <v>48</v>
      </c>
      <c r="U51" s="10">
        <f ca="1">VLOOKUP($B51,'[9]Analisys QBR By Machine Report'!$C$109:$BD$166,16,FALSE)</f>
        <v>35</v>
      </c>
      <c r="V51" s="10">
        <f ca="1">VLOOKUP($B51,'[9]Analisys QBR By Machine Report'!$C$109:$BD$166,17,FALSE)</f>
        <v>8</v>
      </c>
      <c r="W51" s="10">
        <f ca="1">VLOOKUP($B51,'[9]Analisys QBR By Machine Report'!$C$109:$BD$166,18,FALSE)</f>
        <v>0</v>
      </c>
      <c r="X51" s="10">
        <f ca="1">VLOOKUP($B51,'[9]Analisys QBR By Machine Report'!$C$109:$BD$166,19,FALSE)</f>
        <v>5</v>
      </c>
      <c r="Y51" s="10">
        <f ca="1">VLOOKUP($B51,'[9]Analisys QBR By Machine Report'!$C$109:$BD$166,20,FALSE)</f>
        <v>0</v>
      </c>
      <c r="Z51" s="10">
        <f ca="1">VLOOKUP($B51,'[9]Analisys QBR By Machine Report'!$C$109:$BD$166,21,FALSE)</f>
        <v>2928</v>
      </c>
      <c r="AA51" s="10">
        <f ca="1">VLOOKUP($B51,'[9]Analisys QBR By Machine Report'!$C$109:$BD$166,22,FALSE)</f>
        <v>949</v>
      </c>
      <c r="AB51" s="10">
        <f ca="1">VLOOKUP($B51,'[9]Analisys QBR By Machine Report'!$C$109:$BD$166,23,FALSE)</f>
        <v>1979</v>
      </c>
      <c r="AC51" s="10">
        <f ca="1">VLOOKUP($B51,'[9]Analisys QBR By Machine Report'!$C$109:$BD$166,24,FALSE)</f>
        <v>0</v>
      </c>
      <c r="AD51" s="10">
        <f ca="1">VLOOKUP($B51,'[9]Analisys QBR By Machine Report'!$C$109:$BD$166,25,FALSE)</f>
        <v>0</v>
      </c>
      <c r="AE51" s="10">
        <f ca="1">VLOOKUP($B51,'[9]Analisys QBR By Machine Report'!$C$109:$BD$166,26,FALSE)</f>
        <v>0</v>
      </c>
      <c r="AF51" s="10">
        <f ca="1">VLOOKUP($B51,'[9]Analisys QBR By Machine Report'!$C$109:$BD$166,27,FALSE)</f>
        <v>0</v>
      </c>
      <c r="AG51" s="10">
        <f ca="1">VLOOKUP($B51,'[9]Analisys QBR By Machine Report'!$C$109:$BD$166,28,FALSE)</f>
        <v>0</v>
      </c>
      <c r="AH51" s="10">
        <f ca="1">VLOOKUP($B51,'[9]Analisys QBR By Machine Report'!$C$109:$BD$166,29,FALSE)</f>
        <v>0</v>
      </c>
      <c r="AI51" s="10">
        <f ca="1">VLOOKUP($B51,'[9]Analisys QBR By Machine Report'!$C$109:$BD$166,30,FALSE)</f>
        <v>1760</v>
      </c>
      <c r="AJ51" s="10">
        <f ca="1">VLOOKUP($B51,'[9]Analisys QBR By Machine Report'!$C$109:$BD$166,31,FALSE)</f>
        <v>0</v>
      </c>
      <c r="AK51" s="10">
        <f ca="1">VLOOKUP($B51,'[9]Analisys QBR By Machine Report'!$C$109:$BD$166,32,FALSE)</f>
        <v>0</v>
      </c>
      <c r="AL51" s="10">
        <f ca="1">VLOOKUP($B51,'[9]Analisys QBR By Machine Report'!$C$109:$BD$166,33,FALSE)</f>
        <v>680</v>
      </c>
      <c r="AM51" s="10">
        <f ca="1">VLOOKUP($B51,'[9]Analisys QBR By Machine Report'!$C$109:$BD$166,34,FALSE)</f>
        <v>35</v>
      </c>
      <c r="AN51" s="10">
        <f ca="1">VLOOKUP($B51,'[9]Analisys QBR By Machine Report'!$C$109:$BD$166,35,FALSE)</f>
        <v>610</v>
      </c>
      <c r="AO51" s="10">
        <f ca="1">VLOOKUP($B51,'[9]Analisys QBR By Machine Report'!$C$109:$BD$166,36,FALSE)</f>
        <v>0</v>
      </c>
      <c r="AP51" s="10">
        <f ca="1">VLOOKUP($B51,'[9]Analisys QBR By Machine Report'!$C$109:$BD$166,37,FALSE)</f>
        <v>0</v>
      </c>
      <c r="AQ51" s="10">
        <f ca="1">VLOOKUP($B51,'[9]Analisys QBR By Machine Report'!$C$109:$BD$166,38,FALSE)</f>
        <v>129</v>
      </c>
      <c r="AR51" s="10">
        <f ca="1">VLOOKUP($B51,'[9]Analisys QBR By Machine Report'!$C$109:$BD$166,39,FALSE)</f>
        <v>0</v>
      </c>
      <c r="AS51" s="10">
        <f ca="1">VLOOKUP($B51,'[9]Analisys QBR By Machine Report'!$C$109:$BD$166,40,FALSE)</f>
        <v>80</v>
      </c>
      <c r="AT51" s="10">
        <f ca="1">VLOOKUP($B51,'[9]Analisys QBR By Machine Report'!$C$109:$BD$166,41,FALSE)</f>
        <v>0</v>
      </c>
      <c r="AU51" s="10">
        <f ca="1">VLOOKUP($B51,'[9]Analisys QBR By Machine Report'!$C$109:$BD$166,42,FALSE)</f>
        <v>0</v>
      </c>
      <c r="AV51" s="10">
        <f ca="1">VLOOKUP($B51,'[9]Analisys QBR By Machine Report'!$C$109:$BD$166,43,FALSE)</f>
        <v>221</v>
      </c>
      <c r="AW51" s="10">
        <f ca="1">VLOOKUP($B51,'[9]Analisys QBR By Machine Report'!$C$109:$BD$166,44,FALSE)</f>
        <v>0</v>
      </c>
      <c r="AX51" s="10">
        <f ca="1">VLOOKUP($B51,'[9]Analisys QBR By Machine Report'!$C$109:$BD$166,45,FALSE)</f>
        <v>0</v>
      </c>
      <c r="AY51" s="10">
        <f ca="1">VLOOKUP($B51,'[9]Analisys QBR By Machine Report'!$C$109:$BD$166,46,FALSE)</f>
        <v>0</v>
      </c>
      <c r="AZ51" s="10">
        <f ca="1">VLOOKUP($B51,'[9]Analisys QBR By Machine Report'!$C$109:$BD$166,47,FALSE)</f>
        <v>5</v>
      </c>
      <c r="BA51" s="10">
        <f ca="1">VLOOKUP($B51,'[9]Analisys QBR By Machine Report'!$C$109:$BD$166,48,FALSE)</f>
        <v>0</v>
      </c>
      <c r="BB51" s="10">
        <f ca="1">VLOOKUP($B51,'[9]Analisys QBR By Machine Report'!$C$109:$BD$166,49,FALSE)</f>
        <v>0</v>
      </c>
      <c r="BC51" s="10">
        <f ca="1">VLOOKUP($B51,'[9]Analisys QBR By Machine Report'!$C$109:$BD$166,50,FALSE)</f>
        <v>0</v>
      </c>
      <c r="BD51" s="10">
        <f ca="1">VLOOKUP($B51,'[9]Analisys QBR By Machine Report'!$C$109:$BD$166,51,FALSE)</f>
        <v>569159</v>
      </c>
      <c r="BE51" s="10">
        <f ca="1">VLOOKUP($B51,'[9]Analisys QBR By Machine Report'!$C$109:$BD$166,52,FALSE)</f>
        <v>0</v>
      </c>
      <c r="BF51" s="10">
        <f ca="1">VLOOKUP($B51,'[9]Analisys QBR By Machine Report'!$C$109:$BD$166,53,FALSE)</f>
        <v>569159</v>
      </c>
    </row>
    <row r="52" spans="1:58" x14ac:dyDescent="0.25">
      <c r="A52" s="12" t="s">
        <v>108</v>
      </c>
      <c r="B52" s="13">
        <f ca="1">VLOOKUP($B52,'[9]Analisys QBR By Machine Report'!$C$109:$BD$166,2,FALSE)</f>
        <v>30240</v>
      </c>
      <c r="C52" s="14">
        <f ca="1">VLOOKUP($B52,[9]Dasboard_QBR_Report!$B$109:$BL$166,3,FALSE)</f>
        <v>19530</v>
      </c>
      <c r="D52" s="13">
        <f ca="1">VLOOKUP($B52,'[9]Analisys QBR By Machine Report'!$C$109:$BD$166,3,FALSE)</f>
        <v>20010</v>
      </c>
      <c r="E52" s="14">
        <f ca="1">VLOOKUP($B52,[9]Dasboard_QBR_Report!$B$109:$BL$166,5,FALSE)</f>
        <v>9300</v>
      </c>
      <c r="F52" s="13">
        <f t="shared" ca="1" si="0"/>
        <v>10230</v>
      </c>
      <c r="G52" s="13">
        <f t="shared" ca="1" si="1"/>
        <v>975</v>
      </c>
      <c r="H52" s="13">
        <f ca="1">VLOOKUP($B52,'[9]Analisys QBR By Machine Report'!$C$109:$BD$166,4,FALSE)</f>
        <v>975</v>
      </c>
      <c r="I52" s="13">
        <f ca="1">VLOOKUP($B52,'[9]Analisys QBR By Machine Report'!$C$109:$BD$166,5,FALSE)</f>
        <v>45</v>
      </c>
      <c r="J52" s="13">
        <f ca="1">VLOOKUP($B52,'[9]Analisys QBR By Machine Report'!$C$109:$BD$166,6,FALSE)</f>
        <v>930</v>
      </c>
      <c r="K52" s="13">
        <f ca="1">VLOOKUP($B52,'[9]Analisys QBR By Machine Report'!$C$109:$BD$166,7,FALSE)</f>
        <v>0</v>
      </c>
      <c r="L52" s="13">
        <f ca="1">VLOOKUP($B52,'[9]Analisys QBR By Machine Report'!$C$109:$BD$166,8,FALSE)</f>
        <v>9255</v>
      </c>
      <c r="M52" s="13">
        <f ca="1">VLOOKUP($B52,'[9]Analisys QBR By Machine Report'!$C$109:$BD$166,9,FALSE)</f>
        <v>3820</v>
      </c>
      <c r="N52" s="13">
        <f ca="1">VLOOKUP($B52,[9]Dasboard_QBR_Report!$B$109:$BL$166,18,FALSE)</f>
        <v>5435</v>
      </c>
      <c r="O52" s="13">
        <f ca="1">VLOOKUP($B52,'[9]Analisys QBR By Machine Report'!$C$109:$BD$166,10,FALSE)</f>
        <v>699</v>
      </c>
      <c r="P52" s="13">
        <f ca="1">VLOOKUP($B52,'[9]Analisys QBR By Machine Report'!$C$109:$BD$166,11,FALSE)</f>
        <v>607</v>
      </c>
      <c r="Q52" s="13">
        <f ca="1">VLOOKUP($B52,'[9]Analisys QBR By Machine Report'!$C$109:$BD$166,12,FALSE)</f>
        <v>0</v>
      </c>
      <c r="R52" s="13">
        <f ca="1">VLOOKUP($B52,'[9]Analisys QBR By Machine Report'!$C$109:$BD$166,13,FALSE)</f>
        <v>89</v>
      </c>
      <c r="S52" s="13">
        <f ca="1">VLOOKUP($B52,'[9]Analisys QBR By Machine Report'!$C$109:$BD$166,14,FALSE)</f>
        <v>3</v>
      </c>
      <c r="T52" s="13">
        <f ca="1">VLOOKUP($B52,'[9]Analisys QBR By Machine Report'!$C$109:$BD$166,15,FALSE)</f>
        <v>48</v>
      </c>
      <c r="U52" s="13">
        <f ca="1">VLOOKUP($B52,'[9]Analisys QBR By Machine Report'!$C$109:$BD$166,16,FALSE)</f>
        <v>35</v>
      </c>
      <c r="V52" s="13">
        <f ca="1">VLOOKUP($B52,'[9]Analisys QBR By Machine Report'!$C$109:$BD$166,17,FALSE)</f>
        <v>8</v>
      </c>
      <c r="W52" s="13">
        <f ca="1">VLOOKUP($B52,'[9]Analisys QBR By Machine Report'!$C$109:$BD$166,18,FALSE)</f>
        <v>0</v>
      </c>
      <c r="X52" s="13">
        <f ca="1">VLOOKUP($B52,'[9]Analisys QBR By Machine Report'!$C$109:$BD$166,19,FALSE)</f>
        <v>5</v>
      </c>
      <c r="Y52" s="13">
        <f ca="1">VLOOKUP($B52,'[9]Analisys QBR By Machine Report'!$C$109:$BD$166,20,FALSE)</f>
        <v>0</v>
      </c>
      <c r="Z52" s="13">
        <f ca="1">VLOOKUP($B52,'[9]Analisys QBR By Machine Report'!$C$109:$BD$166,21,FALSE)</f>
        <v>2928</v>
      </c>
      <c r="AA52" s="13">
        <f ca="1">VLOOKUP($B52,'[9]Analisys QBR By Machine Report'!$C$109:$BD$166,22,FALSE)</f>
        <v>949</v>
      </c>
      <c r="AB52" s="13">
        <f ca="1">VLOOKUP($B52,'[9]Analisys QBR By Machine Report'!$C$109:$BD$166,23,FALSE)</f>
        <v>1979</v>
      </c>
      <c r="AC52" s="13">
        <f ca="1">VLOOKUP($B52,'[9]Analisys QBR By Machine Report'!$C$109:$BD$166,24,FALSE)</f>
        <v>0</v>
      </c>
      <c r="AD52" s="13">
        <f ca="1">VLOOKUP($B52,'[9]Analisys QBR By Machine Report'!$C$109:$BD$166,25,FALSE)</f>
        <v>0</v>
      </c>
      <c r="AE52" s="13">
        <f ca="1">VLOOKUP($B52,'[9]Analisys QBR By Machine Report'!$C$109:$BD$166,26,FALSE)</f>
        <v>0</v>
      </c>
      <c r="AF52" s="13">
        <f ca="1">VLOOKUP($B52,'[9]Analisys QBR By Machine Report'!$C$109:$BD$166,27,FALSE)</f>
        <v>0</v>
      </c>
      <c r="AG52" s="13">
        <f ca="1">VLOOKUP($B52,'[9]Analisys QBR By Machine Report'!$C$109:$BD$166,28,FALSE)</f>
        <v>0</v>
      </c>
      <c r="AH52" s="13">
        <f ca="1">VLOOKUP($B52,'[9]Analisys QBR By Machine Report'!$C$109:$BD$166,29,FALSE)</f>
        <v>0</v>
      </c>
      <c r="AI52" s="13">
        <f ca="1">VLOOKUP($B52,'[9]Analisys QBR By Machine Report'!$C$109:$BD$166,30,FALSE)</f>
        <v>1760</v>
      </c>
      <c r="AJ52" s="13">
        <f ca="1">VLOOKUP($B52,'[9]Analisys QBR By Machine Report'!$C$109:$BD$166,31,FALSE)</f>
        <v>0</v>
      </c>
      <c r="AK52" s="13">
        <f ca="1">VLOOKUP($B52,'[9]Analisys QBR By Machine Report'!$C$109:$BD$166,32,FALSE)</f>
        <v>0</v>
      </c>
      <c r="AL52" s="13">
        <f ca="1">VLOOKUP($B52,'[9]Analisys QBR By Machine Report'!$C$109:$BD$166,33,FALSE)</f>
        <v>680</v>
      </c>
      <c r="AM52" s="13">
        <f ca="1">VLOOKUP($B52,'[9]Analisys QBR By Machine Report'!$C$109:$BD$166,34,FALSE)</f>
        <v>35</v>
      </c>
      <c r="AN52" s="13">
        <f ca="1">VLOOKUP($B52,'[9]Analisys QBR By Machine Report'!$C$109:$BD$166,35,FALSE)</f>
        <v>610</v>
      </c>
      <c r="AO52" s="13">
        <f ca="1">VLOOKUP($B52,'[9]Analisys QBR By Machine Report'!$C$109:$BD$166,36,FALSE)</f>
        <v>0</v>
      </c>
      <c r="AP52" s="13">
        <f ca="1">VLOOKUP($B52,'[9]Analisys QBR By Machine Report'!$C$109:$BD$166,37,FALSE)</f>
        <v>0</v>
      </c>
      <c r="AQ52" s="13">
        <f ca="1">VLOOKUP($B52,'[9]Analisys QBR By Machine Report'!$C$109:$BD$166,38,FALSE)</f>
        <v>129</v>
      </c>
      <c r="AR52" s="13">
        <f ca="1">VLOOKUP($B52,'[9]Analisys QBR By Machine Report'!$C$109:$BD$166,39,FALSE)</f>
        <v>0</v>
      </c>
      <c r="AS52" s="13">
        <f ca="1">VLOOKUP($B52,'[9]Analisys QBR By Machine Report'!$C$109:$BD$166,40,FALSE)</f>
        <v>80</v>
      </c>
      <c r="AT52" s="13">
        <f ca="1">VLOOKUP($B52,'[9]Analisys QBR By Machine Report'!$C$109:$BD$166,41,FALSE)</f>
        <v>0</v>
      </c>
      <c r="AU52" s="13">
        <f ca="1">VLOOKUP($B52,'[9]Analisys QBR By Machine Report'!$C$109:$BD$166,42,FALSE)</f>
        <v>0</v>
      </c>
      <c r="AV52" s="13">
        <f ca="1">VLOOKUP($B52,'[9]Analisys QBR By Machine Report'!$C$109:$BD$166,43,FALSE)</f>
        <v>221</v>
      </c>
      <c r="AW52" s="13">
        <f ca="1">VLOOKUP($B52,'[9]Analisys QBR By Machine Report'!$C$109:$BD$166,44,FALSE)</f>
        <v>0</v>
      </c>
      <c r="AX52" s="13">
        <f ca="1">VLOOKUP($B52,'[9]Analisys QBR By Machine Report'!$C$109:$BD$166,45,FALSE)</f>
        <v>0</v>
      </c>
      <c r="AY52" s="13">
        <f ca="1">VLOOKUP($B52,'[9]Analisys QBR By Machine Report'!$C$109:$BD$166,46,FALSE)</f>
        <v>0</v>
      </c>
      <c r="AZ52" s="13">
        <f ca="1">VLOOKUP($B52,'[9]Analisys QBR By Machine Report'!$C$109:$BD$166,47,FALSE)</f>
        <v>5</v>
      </c>
      <c r="BA52" s="13">
        <f ca="1">VLOOKUP($B52,'[9]Analisys QBR By Machine Report'!$C$109:$BD$166,48,FALSE)</f>
        <v>0</v>
      </c>
      <c r="BB52" s="13">
        <f ca="1">VLOOKUP($B52,'[9]Analisys QBR By Machine Report'!$C$109:$BD$166,49,FALSE)</f>
        <v>0</v>
      </c>
      <c r="BC52" s="13">
        <f ca="1">VLOOKUP($B52,'[9]Analisys QBR By Machine Report'!$C$109:$BD$166,50,FALSE)</f>
        <v>0</v>
      </c>
      <c r="BD52" s="13">
        <f ca="1">VLOOKUP($B52,'[9]Analisys QBR By Machine Report'!$C$109:$BD$166,51,FALSE)</f>
        <v>569159</v>
      </c>
      <c r="BE52" s="13">
        <f ca="1">VLOOKUP($B52,'[9]Analisys QBR By Machine Report'!$C$109:$BD$166,52,FALSE)</f>
        <v>0</v>
      </c>
      <c r="BF52" s="13">
        <f ca="1">VLOOKUP($B52,'[9]Analisys QBR By Machine Report'!$C$109:$BD$166,53,FALSE)</f>
        <v>569159</v>
      </c>
    </row>
    <row r="53" spans="1:58" x14ac:dyDescent="0.25">
      <c r="A53" s="9" t="s">
        <v>109</v>
      </c>
      <c r="B53" s="10">
        <f ca="1">VLOOKUP($B53,'[9]Analisys QBR By Machine Report'!$C$109:$BD$166,2,FALSE)</f>
        <v>60480</v>
      </c>
      <c r="C53" s="11">
        <f ca="1">VLOOKUP($B53,[9]Dasboard_QBR_Report!$B$109:$BL$166,3,FALSE)</f>
        <v>39060</v>
      </c>
      <c r="D53" s="10">
        <f ca="1">VLOOKUP($B53,'[9]Analisys QBR By Machine Report'!$C$109:$BD$166,3,FALSE)</f>
        <v>42720</v>
      </c>
      <c r="E53" s="11">
        <f ca="1">VLOOKUP($B53,[9]Dasboard_QBR_Report!$B$109:$BL$166,5,FALSE)</f>
        <v>21300</v>
      </c>
      <c r="F53" s="10">
        <f t="shared" ca="1" si="0"/>
        <v>17760</v>
      </c>
      <c r="G53" s="10">
        <f t="shared" ca="1" si="1"/>
        <v>1021</v>
      </c>
      <c r="H53" s="10">
        <f ca="1">VLOOKUP($B53,'[9]Analisys QBR By Machine Report'!$C$109:$BD$166,4,FALSE)</f>
        <v>1021</v>
      </c>
      <c r="I53" s="10">
        <f ca="1">VLOOKUP($B53,'[9]Analisys QBR By Machine Report'!$C$109:$BD$166,5,FALSE)</f>
        <v>328</v>
      </c>
      <c r="J53" s="10">
        <f ca="1">VLOOKUP($B53,'[9]Analisys QBR By Machine Report'!$C$109:$BD$166,6,FALSE)</f>
        <v>693</v>
      </c>
      <c r="K53" s="10">
        <f ca="1">VLOOKUP($B53,'[9]Analisys QBR By Machine Report'!$C$109:$BD$166,7,FALSE)</f>
        <v>0</v>
      </c>
      <c r="L53" s="10">
        <f ca="1">VLOOKUP($B53,'[9]Analisys QBR By Machine Report'!$C$109:$BD$166,8,FALSE)</f>
        <v>16739</v>
      </c>
      <c r="M53" s="10">
        <f ca="1">VLOOKUP($B53,'[9]Analisys QBR By Machine Report'!$C$109:$BD$166,9,FALSE)</f>
        <v>7864</v>
      </c>
      <c r="N53" s="10">
        <f ca="1">VLOOKUP($B53,[9]Dasboard_QBR_Report!$B$109:$BL$166,18,FALSE)</f>
        <v>8875</v>
      </c>
      <c r="O53" s="10">
        <f ca="1">VLOOKUP($B53,'[9]Analisys QBR By Machine Report'!$C$109:$BD$166,10,FALSE)</f>
        <v>737</v>
      </c>
      <c r="P53" s="10">
        <f ca="1">VLOOKUP($B53,'[9]Analisys QBR By Machine Report'!$C$109:$BD$166,11,FALSE)</f>
        <v>598</v>
      </c>
      <c r="Q53" s="10">
        <f ca="1">VLOOKUP($B53,'[9]Analisys QBR By Machine Report'!$C$109:$BD$166,12,FALSE)</f>
        <v>0</v>
      </c>
      <c r="R53" s="10">
        <f ca="1">VLOOKUP($B53,'[9]Analisys QBR By Machine Report'!$C$109:$BD$166,13,FALSE)</f>
        <v>139</v>
      </c>
      <c r="S53" s="10">
        <f ca="1">VLOOKUP($B53,'[9]Analisys QBR By Machine Report'!$C$109:$BD$166,14,FALSE)</f>
        <v>0</v>
      </c>
      <c r="T53" s="10">
        <f ca="1">VLOOKUP($B53,'[9]Analisys QBR By Machine Report'!$C$109:$BD$166,15,FALSE)</f>
        <v>496</v>
      </c>
      <c r="U53" s="10">
        <f ca="1">VLOOKUP($B53,'[9]Analisys QBR By Machine Report'!$C$109:$BD$166,16,FALSE)</f>
        <v>496</v>
      </c>
      <c r="V53" s="10">
        <f ca="1">VLOOKUP($B53,'[9]Analisys QBR By Machine Report'!$C$109:$BD$166,17,FALSE)</f>
        <v>0</v>
      </c>
      <c r="W53" s="10">
        <f ca="1">VLOOKUP($B53,'[9]Analisys QBR By Machine Report'!$C$109:$BD$166,18,FALSE)</f>
        <v>0</v>
      </c>
      <c r="X53" s="10">
        <f ca="1">VLOOKUP($B53,'[9]Analisys QBR By Machine Report'!$C$109:$BD$166,19,FALSE)</f>
        <v>0</v>
      </c>
      <c r="Y53" s="10">
        <f ca="1">VLOOKUP($B53,'[9]Analisys QBR By Machine Report'!$C$109:$BD$166,20,FALSE)</f>
        <v>0</v>
      </c>
      <c r="Z53" s="10">
        <f ca="1">VLOOKUP($B53,'[9]Analisys QBR By Machine Report'!$C$109:$BD$166,21,FALSE)</f>
        <v>5449</v>
      </c>
      <c r="AA53" s="10">
        <f ca="1">VLOOKUP($B53,'[9]Analisys QBR By Machine Report'!$C$109:$BD$166,22,FALSE)</f>
        <v>4844</v>
      </c>
      <c r="AB53" s="10">
        <f ca="1">VLOOKUP($B53,'[9]Analisys QBR By Machine Report'!$C$109:$BD$166,23,FALSE)</f>
        <v>595</v>
      </c>
      <c r="AC53" s="10">
        <f ca="1">VLOOKUP($B53,'[9]Analisys QBR By Machine Report'!$C$109:$BD$166,24,FALSE)</f>
        <v>0</v>
      </c>
      <c r="AD53" s="10">
        <f ca="1">VLOOKUP($B53,'[9]Analisys QBR By Machine Report'!$C$109:$BD$166,25,FALSE)</f>
        <v>10</v>
      </c>
      <c r="AE53" s="10">
        <f ca="1">VLOOKUP($B53,'[9]Analisys QBR By Machine Report'!$C$109:$BD$166,26,FALSE)</f>
        <v>0</v>
      </c>
      <c r="AF53" s="10">
        <f ca="1">VLOOKUP($B53,'[9]Analisys QBR By Machine Report'!$C$109:$BD$166,27,FALSE)</f>
        <v>0</v>
      </c>
      <c r="AG53" s="10">
        <f ca="1">VLOOKUP($B53,'[9]Analisys QBR By Machine Report'!$C$109:$BD$166,28,FALSE)</f>
        <v>0</v>
      </c>
      <c r="AH53" s="10">
        <f ca="1">VLOOKUP($B53,'[9]Analisys QBR By Machine Report'!$C$109:$BD$166,29,FALSE)</f>
        <v>0</v>
      </c>
      <c r="AI53" s="10">
        <f ca="1">VLOOKUP($B53,'[9]Analisys QBR By Machine Report'!$C$109:$BD$166,30,FALSE)</f>
        <v>2193</v>
      </c>
      <c r="AJ53" s="10">
        <f ca="1">VLOOKUP($B53,'[9]Analisys QBR By Machine Report'!$C$109:$BD$166,31,FALSE)</f>
        <v>0</v>
      </c>
      <c r="AK53" s="10">
        <f ca="1">VLOOKUP($B53,'[9]Analisys QBR By Machine Report'!$C$109:$BD$166,32,FALSE)</f>
        <v>0</v>
      </c>
      <c r="AL53" s="10">
        <f ca="1">VLOOKUP($B53,'[9]Analisys QBR By Machine Report'!$C$109:$BD$166,33,FALSE)</f>
        <v>30</v>
      </c>
      <c r="AM53" s="10">
        <f ca="1">VLOOKUP($B53,'[9]Analisys QBR By Machine Report'!$C$109:$BD$166,34,FALSE)</f>
        <v>30</v>
      </c>
      <c r="AN53" s="10">
        <f ca="1">VLOOKUP($B53,'[9]Analisys QBR By Machine Report'!$C$109:$BD$166,35,FALSE)</f>
        <v>30</v>
      </c>
      <c r="AO53" s="10">
        <f ca="1">VLOOKUP($B53,'[9]Analisys QBR By Machine Report'!$C$109:$BD$166,36,FALSE)</f>
        <v>0</v>
      </c>
      <c r="AP53" s="10">
        <f ca="1">VLOOKUP($B53,'[9]Analisys QBR By Machine Report'!$C$109:$BD$166,37,FALSE)</f>
        <v>0</v>
      </c>
      <c r="AQ53" s="10">
        <f ca="1">VLOOKUP($B53,'[9]Analisys QBR By Machine Report'!$C$109:$BD$166,38,FALSE)</f>
        <v>130</v>
      </c>
      <c r="AR53" s="10">
        <f ca="1">VLOOKUP($B53,'[9]Analisys QBR By Machine Report'!$C$109:$BD$166,39,FALSE)</f>
        <v>1893</v>
      </c>
      <c r="AS53" s="10">
        <f ca="1">VLOOKUP($B53,'[9]Analisys QBR By Machine Report'!$C$109:$BD$166,40,FALSE)</f>
        <v>20</v>
      </c>
      <c r="AT53" s="10">
        <f ca="1">VLOOKUP($B53,'[9]Analisys QBR By Machine Report'!$C$109:$BD$166,41,FALSE)</f>
        <v>0</v>
      </c>
      <c r="AU53" s="10">
        <f ca="1">VLOOKUP($B53,'[9]Analisys QBR By Machine Report'!$C$109:$BD$166,42,FALSE)</f>
        <v>0</v>
      </c>
      <c r="AV53" s="10">
        <f ca="1">VLOOKUP($B53,'[9]Analisys QBR By Machine Report'!$C$109:$BD$166,43,FALSE)</f>
        <v>60</v>
      </c>
      <c r="AW53" s="10">
        <f ca="1">VLOOKUP($B53,'[9]Analisys QBR By Machine Report'!$C$109:$BD$166,44,FALSE)</f>
        <v>0</v>
      </c>
      <c r="AX53" s="10">
        <f ca="1">VLOOKUP($B53,'[9]Analisys QBR By Machine Report'!$C$109:$BD$166,45,FALSE)</f>
        <v>0</v>
      </c>
      <c r="AY53" s="10">
        <f ca="1">VLOOKUP($B53,'[9]Analisys QBR By Machine Report'!$C$109:$BD$166,46,FALSE)</f>
        <v>0</v>
      </c>
      <c r="AZ53" s="10">
        <f ca="1">VLOOKUP($B53,'[9]Analisys QBR By Machine Report'!$C$109:$BD$166,47,FALSE)</f>
        <v>0</v>
      </c>
      <c r="BA53" s="10">
        <f ca="1">VLOOKUP($B53,'[9]Analisys QBR By Machine Report'!$C$109:$BD$166,48,FALSE)</f>
        <v>0</v>
      </c>
      <c r="BB53" s="10">
        <f ca="1">VLOOKUP($B53,'[9]Analisys QBR By Machine Report'!$C$109:$BD$166,49,FALSE)</f>
        <v>0</v>
      </c>
      <c r="BC53" s="10">
        <f ca="1">VLOOKUP($B53,'[9]Analisys QBR By Machine Report'!$C$109:$BD$166,50,FALSE)</f>
        <v>0</v>
      </c>
      <c r="BD53" s="10">
        <f ca="1">VLOOKUP($B53,'[9]Analisys QBR By Machine Report'!$C$109:$BD$166,51,FALSE)</f>
        <v>798</v>
      </c>
      <c r="BE53" s="10">
        <f ca="1">VLOOKUP($B53,'[9]Analisys QBR By Machine Report'!$C$109:$BD$166,52,FALSE)</f>
        <v>0</v>
      </c>
      <c r="BF53" s="10">
        <f ca="1">VLOOKUP($B53,'[9]Analisys QBR By Machine Report'!$C$109:$BD$166,53,FALSE)</f>
        <v>798</v>
      </c>
    </row>
    <row r="54" spans="1:58" x14ac:dyDescent="0.25">
      <c r="A54" s="12" t="s">
        <v>110</v>
      </c>
      <c r="B54" s="13">
        <f ca="1">VLOOKUP($B54,'[9]Analisys QBR By Machine Report'!$C$109:$BD$166,2,FALSE)</f>
        <v>30240</v>
      </c>
      <c r="C54" s="14">
        <f ca="1">VLOOKUP($B54,[9]Dasboard_QBR_Report!$B$109:$BL$166,3,FALSE)</f>
        <v>19530</v>
      </c>
      <c r="D54" s="13">
        <f ca="1">VLOOKUP($B54,'[9]Analisys QBR By Machine Report'!$C$109:$BD$166,3,FALSE)</f>
        <v>19980</v>
      </c>
      <c r="E54" s="14">
        <f ca="1">VLOOKUP($B54,[9]Dasboard_QBR_Report!$B$109:$BL$166,5,FALSE)</f>
        <v>9270</v>
      </c>
      <c r="F54" s="13">
        <f t="shared" ca="1" si="0"/>
        <v>10260</v>
      </c>
      <c r="G54" s="13">
        <f t="shared" ca="1" si="1"/>
        <v>483</v>
      </c>
      <c r="H54" s="13">
        <f ca="1">VLOOKUP($B54,'[9]Analisys QBR By Machine Report'!$C$109:$BD$166,4,FALSE)</f>
        <v>483</v>
      </c>
      <c r="I54" s="13">
        <f ca="1">VLOOKUP($B54,'[9]Analisys QBR By Machine Report'!$C$109:$BD$166,5,FALSE)</f>
        <v>268</v>
      </c>
      <c r="J54" s="13">
        <f ca="1">VLOOKUP($B54,'[9]Analisys QBR By Machine Report'!$C$109:$BD$166,6,FALSE)</f>
        <v>215</v>
      </c>
      <c r="K54" s="13">
        <f ca="1">VLOOKUP($B54,'[9]Analisys QBR By Machine Report'!$C$109:$BD$166,7,FALSE)</f>
        <v>0</v>
      </c>
      <c r="L54" s="13">
        <f ca="1">VLOOKUP($B54,'[9]Analisys QBR By Machine Report'!$C$109:$BD$166,8,FALSE)</f>
        <v>9777</v>
      </c>
      <c r="M54" s="13">
        <f ca="1">VLOOKUP($B54,'[9]Analisys QBR By Machine Report'!$C$109:$BD$166,9,FALSE)</f>
        <v>4763</v>
      </c>
      <c r="N54" s="13">
        <f ca="1">VLOOKUP($B54,[9]Dasboard_QBR_Report!$B$109:$BL$166,18,FALSE)</f>
        <v>5014</v>
      </c>
      <c r="O54" s="13">
        <f ca="1">VLOOKUP($B54,'[9]Analisys QBR By Machine Report'!$C$109:$BD$166,10,FALSE)</f>
        <v>380</v>
      </c>
      <c r="P54" s="13">
        <f ca="1">VLOOKUP($B54,'[9]Analisys QBR By Machine Report'!$C$109:$BD$166,11,FALSE)</f>
        <v>321</v>
      </c>
      <c r="Q54" s="13">
        <f ca="1">VLOOKUP($B54,'[9]Analisys QBR By Machine Report'!$C$109:$BD$166,12,FALSE)</f>
        <v>0</v>
      </c>
      <c r="R54" s="13">
        <f ca="1">VLOOKUP($B54,'[9]Analisys QBR By Machine Report'!$C$109:$BD$166,13,FALSE)</f>
        <v>59</v>
      </c>
      <c r="S54" s="13">
        <f ca="1">VLOOKUP($B54,'[9]Analisys QBR By Machine Report'!$C$109:$BD$166,14,FALSE)</f>
        <v>0</v>
      </c>
      <c r="T54" s="13">
        <f ca="1">VLOOKUP($B54,'[9]Analisys QBR By Machine Report'!$C$109:$BD$166,15,FALSE)</f>
        <v>244</v>
      </c>
      <c r="U54" s="13">
        <f ca="1">VLOOKUP($B54,'[9]Analisys QBR By Machine Report'!$C$109:$BD$166,16,FALSE)</f>
        <v>244</v>
      </c>
      <c r="V54" s="13">
        <f ca="1">VLOOKUP($B54,'[9]Analisys QBR By Machine Report'!$C$109:$BD$166,17,FALSE)</f>
        <v>0</v>
      </c>
      <c r="W54" s="13">
        <f ca="1">VLOOKUP($B54,'[9]Analisys QBR By Machine Report'!$C$109:$BD$166,18,FALSE)</f>
        <v>0</v>
      </c>
      <c r="X54" s="13">
        <f ca="1">VLOOKUP($B54,'[9]Analisys QBR By Machine Report'!$C$109:$BD$166,19,FALSE)</f>
        <v>0</v>
      </c>
      <c r="Y54" s="13">
        <f ca="1">VLOOKUP($B54,'[9]Analisys QBR By Machine Report'!$C$109:$BD$166,20,FALSE)</f>
        <v>0</v>
      </c>
      <c r="Z54" s="13">
        <f ca="1">VLOOKUP($B54,'[9]Analisys QBR By Machine Report'!$C$109:$BD$166,21,FALSE)</f>
        <v>3693</v>
      </c>
      <c r="AA54" s="13">
        <f ca="1">VLOOKUP($B54,'[9]Analisys QBR By Machine Report'!$C$109:$BD$166,22,FALSE)</f>
        <v>3368</v>
      </c>
      <c r="AB54" s="13">
        <f ca="1">VLOOKUP($B54,'[9]Analisys QBR By Machine Report'!$C$109:$BD$166,23,FALSE)</f>
        <v>315</v>
      </c>
      <c r="AC54" s="13">
        <f ca="1">VLOOKUP($B54,'[9]Analisys QBR By Machine Report'!$C$109:$BD$166,24,FALSE)</f>
        <v>0</v>
      </c>
      <c r="AD54" s="13">
        <f ca="1">VLOOKUP($B54,'[9]Analisys QBR By Machine Report'!$C$109:$BD$166,25,FALSE)</f>
        <v>10</v>
      </c>
      <c r="AE54" s="13">
        <f ca="1">VLOOKUP($B54,'[9]Analisys QBR By Machine Report'!$C$109:$BD$166,26,FALSE)</f>
        <v>0</v>
      </c>
      <c r="AF54" s="13">
        <f ca="1">VLOOKUP($B54,'[9]Analisys QBR By Machine Report'!$C$109:$BD$166,27,FALSE)</f>
        <v>0</v>
      </c>
      <c r="AG54" s="13">
        <f ca="1">VLOOKUP($B54,'[9]Analisys QBR By Machine Report'!$C$109:$BD$166,28,FALSE)</f>
        <v>0</v>
      </c>
      <c r="AH54" s="13">
        <f ca="1">VLOOKUP($B54,'[9]Analisys QBR By Machine Report'!$C$109:$BD$166,29,FALSE)</f>
        <v>0</v>
      </c>
      <c r="AI54" s="13">
        <f ca="1">VLOOKUP($B54,'[9]Analisys QBR By Machine Report'!$C$109:$BD$166,30,FALSE)</f>
        <v>697</v>
      </c>
      <c r="AJ54" s="13">
        <f ca="1">VLOOKUP($B54,'[9]Analisys QBR By Machine Report'!$C$109:$BD$166,31,FALSE)</f>
        <v>0</v>
      </c>
      <c r="AK54" s="13">
        <f ca="1">VLOOKUP($B54,'[9]Analisys QBR By Machine Report'!$C$109:$BD$166,32,FALSE)</f>
        <v>0</v>
      </c>
      <c r="AL54" s="13">
        <f ca="1">VLOOKUP($B54,'[9]Analisys QBR By Machine Report'!$C$109:$BD$166,33,FALSE)</f>
        <v>30</v>
      </c>
      <c r="AM54" s="13">
        <f ca="1">VLOOKUP($B54,'[9]Analisys QBR By Machine Report'!$C$109:$BD$166,34,FALSE)</f>
        <v>30</v>
      </c>
      <c r="AN54" s="13">
        <f ca="1">VLOOKUP($B54,'[9]Analisys QBR By Machine Report'!$C$109:$BD$166,35,FALSE)</f>
        <v>30</v>
      </c>
      <c r="AO54" s="13">
        <f ca="1">VLOOKUP($B54,'[9]Analisys QBR By Machine Report'!$C$109:$BD$166,36,FALSE)</f>
        <v>0</v>
      </c>
      <c r="AP54" s="13">
        <f ca="1">VLOOKUP($B54,'[9]Analisys QBR By Machine Report'!$C$109:$BD$166,37,FALSE)</f>
        <v>0</v>
      </c>
      <c r="AQ54" s="13">
        <f ca="1">VLOOKUP($B54,'[9]Analisys QBR By Machine Report'!$C$109:$BD$166,38,FALSE)</f>
        <v>80</v>
      </c>
      <c r="AR54" s="13">
        <f ca="1">VLOOKUP($B54,'[9]Analisys QBR By Machine Report'!$C$109:$BD$166,39,FALSE)</f>
        <v>447</v>
      </c>
      <c r="AS54" s="13">
        <f ca="1">VLOOKUP($B54,'[9]Analisys QBR By Machine Report'!$C$109:$BD$166,40,FALSE)</f>
        <v>20</v>
      </c>
      <c r="AT54" s="13">
        <f ca="1">VLOOKUP($B54,'[9]Analisys QBR By Machine Report'!$C$109:$BD$166,41,FALSE)</f>
        <v>0</v>
      </c>
      <c r="AU54" s="13">
        <f ca="1">VLOOKUP($B54,'[9]Analisys QBR By Machine Report'!$C$109:$BD$166,42,FALSE)</f>
        <v>0</v>
      </c>
      <c r="AV54" s="13">
        <f ca="1">VLOOKUP($B54,'[9]Analisys QBR By Machine Report'!$C$109:$BD$166,43,FALSE)</f>
        <v>60</v>
      </c>
      <c r="AW54" s="13">
        <f ca="1">VLOOKUP($B54,'[9]Analisys QBR By Machine Report'!$C$109:$BD$166,44,FALSE)</f>
        <v>0</v>
      </c>
      <c r="AX54" s="13">
        <f ca="1">VLOOKUP($B54,'[9]Analisys QBR By Machine Report'!$C$109:$BD$166,45,FALSE)</f>
        <v>0</v>
      </c>
      <c r="AY54" s="13">
        <f ca="1">VLOOKUP($B54,'[9]Analisys QBR By Machine Report'!$C$109:$BD$166,46,FALSE)</f>
        <v>0</v>
      </c>
      <c r="AZ54" s="13">
        <f ca="1">VLOOKUP($B54,'[9]Analisys QBR By Machine Report'!$C$109:$BD$166,47,FALSE)</f>
        <v>0</v>
      </c>
      <c r="BA54" s="13">
        <f ca="1">VLOOKUP($B54,'[9]Analisys QBR By Machine Report'!$C$109:$BD$166,48,FALSE)</f>
        <v>0</v>
      </c>
      <c r="BB54" s="13">
        <f ca="1">VLOOKUP($B54,'[9]Analisys QBR By Machine Report'!$C$109:$BD$166,49,FALSE)</f>
        <v>0</v>
      </c>
      <c r="BC54" s="13">
        <f ca="1">VLOOKUP($B54,'[9]Analisys QBR By Machine Report'!$C$109:$BD$166,50,FALSE)</f>
        <v>0</v>
      </c>
      <c r="BD54" s="13">
        <f ca="1">VLOOKUP($B54,'[9]Analisys QBR By Machine Report'!$C$109:$BD$166,51,FALSE)</f>
        <v>542</v>
      </c>
      <c r="BE54" s="13">
        <f ca="1">VLOOKUP($B54,'[9]Analisys QBR By Machine Report'!$C$109:$BD$166,52,FALSE)</f>
        <v>0</v>
      </c>
      <c r="BF54" s="13">
        <f ca="1">VLOOKUP($B54,'[9]Analisys QBR By Machine Report'!$C$109:$BD$166,53,FALSE)</f>
        <v>542</v>
      </c>
    </row>
    <row r="55" spans="1:58" x14ac:dyDescent="0.25">
      <c r="A55" s="12" t="s">
        <v>111</v>
      </c>
      <c r="B55" s="13">
        <f ca="1">VLOOKUP($B55,'[9]Analisys QBR By Machine Report'!$C$109:$BD$166,2,FALSE)</f>
        <v>30240</v>
      </c>
      <c r="C55" s="14">
        <f ca="1">VLOOKUP($B55,[9]Dasboard_QBR_Report!$B$109:$BL$166,3,FALSE)</f>
        <v>19530</v>
      </c>
      <c r="D55" s="13">
        <f ca="1">VLOOKUP($B55,'[9]Analisys QBR By Machine Report'!$C$109:$BD$166,3,FALSE)</f>
        <v>22740</v>
      </c>
      <c r="E55" s="14">
        <f ca="1">VLOOKUP($B55,[9]Dasboard_QBR_Report!$B$109:$BL$166,5,FALSE)</f>
        <v>12030</v>
      </c>
      <c r="F55" s="13">
        <f t="shared" ca="1" si="0"/>
        <v>7500</v>
      </c>
      <c r="G55" s="13">
        <f t="shared" ca="1" si="1"/>
        <v>538</v>
      </c>
      <c r="H55" s="13">
        <f ca="1">VLOOKUP($B55,'[9]Analisys QBR By Machine Report'!$C$109:$BD$166,4,FALSE)</f>
        <v>538</v>
      </c>
      <c r="I55" s="13">
        <f ca="1">VLOOKUP($B55,'[9]Analisys QBR By Machine Report'!$C$109:$BD$166,5,FALSE)</f>
        <v>60</v>
      </c>
      <c r="J55" s="13">
        <f ca="1">VLOOKUP($B55,'[9]Analisys QBR By Machine Report'!$C$109:$BD$166,6,FALSE)</f>
        <v>478</v>
      </c>
      <c r="K55" s="13">
        <f ca="1">VLOOKUP($B55,'[9]Analisys QBR By Machine Report'!$C$109:$BD$166,7,FALSE)</f>
        <v>0</v>
      </c>
      <c r="L55" s="13">
        <f ca="1">VLOOKUP($B55,'[9]Analisys QBR By Machine Report'!$C$109:$BD$166,8,FALSE)</f>
        <v>6962</v>
      </c>
      <c r="M55" s="13">
        <f ca="1">VLOOKUP($B55,'[9]Analisys QBR By Machine Report'!$C$109:$BD$166,9,FALSE)</f>
        <v>3101</v>
      </c>
      <c r="N55" s="13">
        <f ca="1">VLOOKUP($B55,[9]Dasboard_QBR_Report!$B$109:$BL$166,18,FALSE)</f>
        <v>3861</v>
      </c>
      <c r="O55" s="13">
        <f ca="1">VLOOKUP($B55,'[9]Analisys QBR By Machine Report'!$C$109:$BD$166,10,FALSE)</f>
        <v>357</v>
      </c>
      <c r="P55" s="13">
        <f ca="1">VLOOKUP($B55,'[9]Analisys QBR By Machine Report'!$C$109:$BD$166,11,FALSE)</f>
        <v>277</v>
      </c>
      <c r="Q55" s="13">
        <f ca="1">VLOOKUP($B55,'[9]Analisys QBR By Machine Report'!$C$109:$BD$166,12,FALSE)</f>
        <v>0</v>
      </c>
      <c r="R55" s="13">
        <f ca="1">VLOOKUP($B55,'[9]Analisys QBR By Machine Report'!$C$109:$BD$166,13,FALSE)</f>
        <v>80</v>
      </c>
      <c r="S55" s="13">
        <f ca="1">VLOOKUP($B55,'[9]Analisys QBR By Machine Report'!$C$109:$BD$166,14,FALSE)</f>
        <v>0</v>
      </c>
      <c r="T55" s="13">
        <f ca="1">VLOOKUP($B55,'[9]Analisys QBR By Machine Report'!$C$109:$BD$166,15,FALSE)</f>
        <v>252</v>
      </c>
      <c r="U55" s="13">
        <f ca="1">VLOOKUP($B55,'[9]Analisys QBR By Machine Report'!$C$109:$BD$166,16,FALSE)</f>
        <v>252</v>
      </c>
      <c r="V55" s="13">
        <f ca="1">VLOOKUP($B55,'[9]Analisys QBR By Machine Report'!$C$109:$BD$166,17,FALSE)</f>
        <v>0</v>
      </c>
      <c r="W55" s="13">
        <f ca="1">VLOOKUP($B55,'[9]Analisys QBR By Machine Report'!$C$109:$BD$166,18,FALSE)</f>
        <v>0</v>
      </c>
      <c r="X55" s="13">
        <f ca="1">VLOOKUP($B55,'[9]Analisys QBR By Machine Report'!$C$109:$BD$166,19,FALSE)</f>
        <v>0</v>
      </c>
      <c r="Y55" s="13">
        <f ca="1">VLOOKUP($B55,'[9]Analisys QBR By Machine Report'!$C$109:$BD$166,20,FALSE)</f>
        <v>0</v>
      </c>
      <c r="Z55" s="13">
        <f ca="1">VLOOKUP($B55,'[9]Analisys QBR By Machine Report'!$C$109:$BD$166,21,FALSE)</f>
        <v>1756</v>
      </c>
      <c r="AA55" s="13">
        <f ca="1">VLOOKUP($B55,'[9]Analisys QBR By Machine Report'!$C$109:$BD$166,22,FALSE)</f>
        <v>1476</v>
      </c>
      <c r="AB55" s="13">
        <f ca="1">VLOOKUP($B55,'[9]Analisys QBR By Machine Report'!$C$109:$BD$166,23,FALSE)</f>
        <v>280</v>
      </c>
      <c r="AC55" s="13">
        <f ca="1">VLOOKUP($B55,'[9]Analisys QBR By Machine Report'!$C$109:$BD$166,24,FALSE)</f>
        <v>0</v>
      </c>
      <c r="AD55" s="13">
        <f ca="1">VLOOKUP($B55,'[9]Analisys QBR By Machine Report'!$C$109:$BD$166,25,FALSE)</f>
        <v>0</v>
      </c>
      <c r="AE55" s="13">
        <f ca="1">VLOOKUP($B55,'[9]Analisys QBR By Machine Report'!$C$109:$BD$166,26,FALSE)</f>
        <v>0</v>
      </c>
      <c r="AF55" s="13">
        <f ca="1">VLOOKUP($B55,'[9]Analisys QBR By Machine Report'!$C$109:$BD$166,27,FALSE)</f>
        <v>0</v>
      </c>
      <c r="AG55" s="13">
        <f ca="1">VLOOKUP($B55,'[9]Analisys QBR By Machine Report'!$C$109:$BD$166,28,FALSE)</f>
        <v>0</v>
      </c>
      <c r="AH55" s="13">
        <f ca="1">VLOOKUP($B55,'[9]Analisys QBR By Machine Report'!$C$109:$BD$166,29,FALSE)</f>
        <v>0</v>
      </c>
      <c r="AI55" s="13">
        <f ca="1">VLOOKUP($B55,'[9]Analisys QBR By Machine Report'!$C$109:$BD$166,30,FALSE)</f>
        <v>1496</v>
      </c>
      <c r="AJ55" s="13">
        <f ca="1">VLOOKUP($B55,'[9]Analisys QBR By Machine Report'!$C$109:$BD$166,31,FALSE)</f>
        <v>0</v>
      </c>
      <c r="AK55" s="13">
        <f ca="1">VLOOKUP($B55,'[9]Analisys QBR By Machine Report'!$C$109:$BD$166,32,FALSE)</f>
        <v>0</v>
      </c>
      <c r="AL55" s="13">
        <f ca="1">VLOOKUP($B55,'[9]Analisys QBR By Machine Report'!$C$109:$BD$166,33,FALSE)</f>
        <v>0</v>
      </c>
      <c r="AM55" s="13">
        <f ca="1">VLOOKUP($B55,'[9]Analisys QBR By Machine Report'!$C$109:$BD$166,34,FALSE)</f>
        <v>0</v>
      </c>
      <c r="AN55" s="13">
        <f ca="1">VLOOKUP($B55,'[9]Analisys QBR By Machine Report'!$C$109:$BD$166,35,FALSE)</f>
        <v>0</v>
      </c>
      <c r="AO55" s="13">
        <f ca="1">VLOOKUP($B55,'[9]Analisys QBR By Machine Report'!$C$109:$BD$166,36,FALSE)</f>
        <v>0</v>
      </c>
      <c r="AP55" s="13">
        <f ca="1">VLOOKUP($B55,'[9]Analisys QBR By Machine Report'!$C$109:$BD$166,37,FALSE)</f>
        <v>0</v>
      </c>
      <c r="AQ55" s="13">
        <f ca="1">VLOOKUP($B55,'[9]Analisys QBR By Machine Report'!$C$109:$BD$166,38,FALSE)</f>
        <v>50</v>
      </c>
      <c r="AR55" s="13">
        <f ca="1">VLOOKUP($B55,'[9]Analisys QBR By Machine Report'!$C$109:$BD$166,39,FALSE)</f>
        <v>1446</v>
      </c>
      <c r="AS55" s="13">
        <f ca="1">VLOOKUP($B55,'[9]Analisys QBR By Machine Report'!$C$109:$BD$166,40,FALSE)</f>
        <v>0</v>
      </c>
      <c r="AT55" s="13">
        <f ca="1">VLOOKUP($B55,'[9]Analisys QBR By Machine Report'!$C$109:$BD$166,41,FALSE)</f>
        <v>0</v>
      </c>
      <c r="AU55" s="13">
        <f ca="1">VLOOKUP($B55,'[9]Analisys QBR By Machine Report'!$C$109:$BD$166,42,FALSE)</f>
        <v>0</v>
      </c>
      <c r="AV55" s="13">
        <f ca="1">VLOOKUP($B55,'[9]Analisys QBR By Machine Report'!$C$109:$BD$166,43,FALSE)</f>
        <v>0</v>
      </c>
      <c r="AW55" s="13">
        <f ca="1">VLOOKUP($B55,'[9]Analisys QBR By Machine Report'!$C$109:$BD$166,44,FALSE)</f>
        <v>0</v>
      </c>
      <c r="AX55" s="13">
        <f ca="1">VLOOKUP($B55,'[9]Analisys QBR By Machine Report'!$C$109:$BD$166,45,FALSE)</f>
        <v>0</v>
      </c>
      <c r="AY55" s="13">
        <f ca="1">VLOOKUP($B55,'[9]Analisys QBR By Machine Report'!$C$109:$BD$166,46,FALSE)</f>
        <v>0</v>
      </c>
      <c r="AZ55" s="13">
        <f ca="1">VLOOKUP($B55,'[9]Analisys QBR By Machine Report'!$C$109:$BD$166,47,FALSE)</f>
        <v>0</v>
      </c>
      <c r="BA55" s="13">
        <f ca="1">VLOOKUP($B55,'[9]Analisys QBR By Machine Report'!$C$109:$BD$166,48,FALSE)</f>
        <v>0</v>
      </c>
      <c r="BB55" s="13">
        <f ca="1">VLOOKUP($B55,'[9]Analisys QBR By Machine Report'!$C$109:$BD$166,49,FALSE)</f>
        <v>0</v>
      </c>
      <c r="BC55" s="13">
        <f ca="1">VLOOKUP($B55,'[9]Analisys QBR By Machine Report'!$C$109:$BD$166,50,FALSE)</f>
        <v>0</v>
      </c>
      <c r="BD55" s="13">
        <f ca="1">VLOOKUP($B55,'[9]Analisys QBR By Machine Report'!$C$109:$BD$166,51,FALSE)</f>
        <v>256</v>
      </c>
      <c r="BE55" s="13">
        <f ca="1">VLOOKUP($B55,'[9]Analisys QBR By Machine Report'!$C$109:$BD$166,52,FALSE)</f>
        <v>0</v>
      </c>
      <c r="BF55" s="13">
        <f ca="1">VLOOKUP($B55,'[9]Analisys QBR By Machine Report'!$C$109:$BD$166,53,FALSE)</f>
        <v>256</v>
      </c>
    </row>
    <row r="56" spans="1:58" x14ac:dyDescent="0.25">
      <c r="A56" s="9" t="s">
        <v>112</v>
      </c>
      <c r="B56" s="10">
        <f ca="1">VLOOKUP($B56,'[9]Analisys QBR By Machine Report'!$C$109:$BD$166,2,FALSE)</f>
        <v>60480</v>
      </c>
      <c r="C56" s="11">
        <f ca="1">VLOOKUP($B56,[9]Dasboard_QBR_Report!$B$109:$BL$166,3,FALSE)</f>
        <v>20160</v>
      </c>
      <c r="D56" s="10">
        <f ca="1">VLOOKUP($B56,'[9]Analisys QBR By Machine Report'!$C$109:$BD$166,3,FALSE)</f>
        <v>35730</v>
      </c>
      <c r="E56" s="11">
        <f ca="1">VLOOKUP($B56,[9]Dasboard_QBR_Report!$B$109:$BL$166,5,FALSE)</f>
        <v>-4590</v>
      </c>
      <c r="F56" s="10">
        <f t="shared" ca="1" si="0"/>
        <v>24750</v>
      </c>
      <c r="G56" s="10">
        <f t="shared" ca="1" si="1"/>
        <v>2708</v>
      </c>
      <c r="H56" s="10">
        <f ca="1">VLOOKUP($B56,'[9]Analisys QBR By Machine Report'!$C$109:$BD$166,4,FALSE)</f>
        <v>2708</v>
      </c>
      <c r="I56" s="10">
        <f ca="1">VLOOKUP($B56,'[9]Analisys QBR By Machine Report'!$C$109:$BD$166,5,FALSE)</f>
        <v>752</v>
      </c>
      <c r="J56" s="10">
        <f ca="1">VLOOKUP($B56,'[9]Analisys QBR By Machine Report'!$C$109:$BD$166,6,FALSE)</f>
        <v>1956</v>
      </c>
      <c r="K56" s="10">
        <f ca="1">VLOOKUP($B56,'[9]Analisys QBR By Machine Report'!$C$109:$BD$166,7,FALSE)</f>
        <v>0</v>
      </c>
      <c r="L56" s="10">
        <f ca="1">VLOOKUP($B56,'[9]Analisys QBR By Machine Report'!$C$109:$BD$166,8,FALSE)</f>
        <v>22042</v>
      </c>
      <c r="M56" s="10">
        <f ca="1">VLOOKUP($B56,'[9]Analisys QBR By Machine Report'!$C$109:$BD$166,9,FALSE)</f>
        <v>8410</v>
      </c>
      <c r="N56" s="10">
        <f ca="1">VLOOKUP($B56,[9]Dasboard_QBR_Report!$B$109:$BL$166,18,FALSE)</f>
        <v>13632</v>
      </c>
      <c r="O56" s="10">
        <f ca="1">VLOOKUP($B56,'[9]Analisys QBR By Machine Report'!$C$109:$BD$166,10,FALSE)</f>
        <v>4759</v>
      </c>
      <c r="P56" s="10">
        <f ca="1">VLOOKUP($B56,'[9]Analisys QBR By Machine Report'!$C$109:$BD$166,11,FALSE)</f>
        <v>1894</v>
      </c>
      <c r="Q56" s="10">
        <f ca="1">VLOOKUP($B56,'[9]Analisys QBR By Machine Report'!$C$109:$BD$166,12,FALSE)</f>
        <v>158</v>
      </c>
      <c r="R56" s="10">
        <f ca="1">VLOOKUP($B56,'[9]Analisys QBR By Machine Report'!$C$109:$BD$166,13,FALSE)</f>
        <v>921</v>
      </c>
      <c r="S56" s="10">
        <f ca="1">VLOOKUP($B56,'[9]Analisys QBR By Machine Report'!$C$109:$BD$166,14,FALSE)</f>
        <v>1786</v>
      </c>
      <c r="T56" s="10">
        <f ca="1">VLOOKUP($B56,'[9]Analisys QBR By Machine Report'!$C$109:$BD$166,15,FALSE)</f>
        <v>60</v>
      </c>
      <c r="U56" s="10">
        <f ca="1">VLOOKUP($B56,'[9]Analisys QBR By Machine Report'!$C$109:$BD$166,16,FALSE)</f>
        <v>60</v>
      </c>
      <c r="V56" s="10">
        <f ca="1">VLOOKUP($B56,'[9]Analisys QBR By Machine Report'!$C$109:$BD$166,17,FALSE)</f>
        <v>0</v>
      </c>
      <c r="W56" s="10">
        <f ca="1">VLOOKUP($B56,'[9]Analisys QBR By Machine Report'!$C$109:$BD$166,18,FALSE)</f>
        <v>0</v>
      </c>
      <c r="X56" s="10">
        <f ca="1">VLOOKUP($B56,'[9]Analisys QBR By Machine Report'!$C$109:$BD$166,19,FALSE)</f>
        <v>0</v>
      </c>
      <c r="Y56" s="10">
        <f ca="1">VLOOKUP($B56,'[9]Analisys QBR By Machine Report'!$C$109:$BD$166,20,FALSE)</f>
        <v>0</v>
      </c>
      <c r="Z56" s="10">
        <f ca="1">VLOOKUP($B56,'[9]Analisys QBR By Machine Report'!$C$109:$BD$166,21,FALSE)</f>
        <v>4151</v>
      </c>
      <c r="AA56" s="10">
        <f ca="1">VLOOKUP($B56,'[9]Analisys QBR By Machine Report'!$C$109:$BD$166,22,FALSE)</f>
        <v>1740</v>
      </c>
      <c r="AB56" s="10">
        <f ca="1">VLOOKUP($B56,'[9]Analisys QBR By Machine Report'!$C$109:$BD$166,23,FALSE)</f>
        <v>691</v>
      </c>
      <c r="AC56" s="10">
        <f ca="1">VLOOKUP($B56,'[9]Analisys QBR By Machine Report'!$C$109:$BD$166,24,FALSE)</f>
        <v>650</v>
      </c>
      <c r="AD56" s="10">
        <f ca="1">VLOOKUP($B56,'[9]Analisys QBR By Machine Report'!$C$109:$BD$166,25,FALSE)</f>
        <v>0</v>
      </c>
      <c r="AE56" s="10">
        <f ca="1">VLOOKUP($B56,'[9]Analisys QBR By Machine Report'!$C$109:$BD$166,26,FALSE)</f>
        <v>1070</v>
      </c>
      <c r="AF56" s="10">
        <f ca="1">VLOOKUP($B56,'[9]Analisys QBR By Machine Report'!$C$109:$BD$166,27,FALSE)</f>
        <v>0</v>
      </c>
      <c r="AG56" s="10">
        <f ca="1">VLOOKUP($B56,'[9]Analisys QBR By Machine Report'!$C$109:$BD$166,28,FALSE)</f>
        <v>0</v>
      </c>
      <c r="AH56" s="10">
        <f ca="1">VLOOKUP($B56,'[9]Analisys QBR By Machine Report'!$C$109:$BD$166,29,FALSE)</f>
        <v>0</v>
      </c>
      <c r="AI56" s="10">
        <f ca="1">VLOOKUP($B56,'[9]Analisys QBR By Machine Report'!$C$109:$BD$166,30,FALSE)</f>
        <v>4662</v>
      </c>
      <c r="AJ56" s="10">
        <f ca="1">VLOOKUP($B56,'[9]Analisys QBR By Machine Report'!$C$109:$BD$166,31,FALSE)</f>
        <v>0</v>
      </c>
      <c r="AK56" s="10">
        <f ca="1">VLOOKUP($B56,'[9]Analisys QBR By Machine Report'!$C$109:$BD$166,32,FALSE)</f>
        <v>10</v>
      </c>
      <c r="AL56" s="10">
        <f ca="1">VLOOKUP($B56,'[9]Analisys QBR By Machine Report'!$C$109:$BD$166,33,FALSE)</f>
        <v>1386</v>
      </c>
      <c r="AM56" s="10">
        <f ca="1">VLOOKUP($B56,'[9]Analisys QBR By Machine Report'!$C$109:$BD$166,34,FALSE)</f>
        <v>0</v>
      </c>
      <c r="AN56" s="10">
        <f ca="1">VLOOKUP($B56,'[9]Analisys QBR By Machine Report'!$C$109:$BD$166,35,FALSE)</f>
        <v>904</v>
      </c>
      <c r="AO56" s="10">
        <f ca="1">VLOOKUP($B56,'[9]Analisys QBR By Machine Report'!$C$109:$BD$166,36,FALSE)</f>
        <v>335</v>
      </c>
      <c r="AP56" s="10">
        <f ca="1">VLOOKUP($B56,'[9]Analisys QBR By Machine Report'!$C$109:$BD$166,37,FALSE)</f>
        <v>0</v>
      </c>
      <c r="AQ56" s="10">
        <f ca="1">VLOOKUP($B56,'[9]Analisys QBR By Machine Report'!$C$109:$BD$166,38,FALSE)</f>
        <v>0</v>
      </c>
      <c r="AR56" s="10">
        <f ca="1">VLOOKUP($B56,'[9]Analisys QBR By Machine Report'!$C$109:$BD$166,39,FALSE)</f>
        <v>170</v>
      </c>
      <c r="AS56" s="10">
        <f ca="1">VLOOKUP($B56,'[9]Analisys QBR By Machine Report'!$C$109:$BD$166,40,FALSE)</f>
        <v>835</v>
      </c>
      <c r="AT56" s="10">
        <f ca="1">VLOOKUP($B56,'[9]Analisys QBR By Machine Report'!$C$109:$BD$166,41,FALSE)</f>
        <v>0</v>
      </c>
      <c r="AU56" s="10">
        <f ca="1">VLOOKUP($B56,'[9]Analisys QBR By Machine Report'!$C$109:$BD$166,42,FALSE)</f>
        <v>0</v>
      </c>
      <c r="AV56" s="10">
        <f ca="1">VLOOKUP($B56,'[9]Analisys QBR By Machine Report'!$C$109:$BD$166,43,FALSE)</f>
        <v>0</v>
      </c>
      <c r="AW56" s="10">
        <f ca="1">VLOOKUP($B56,'[9]Analisys QBR By Machine Report'!$C$109:$BD$166,44,FALSE)</f>
        <v>0</v>
      </c>
      <c r="AX56" s="10">
        <f ca="1">VLOOKUP($B56,'[9]Analisys QBR By Machine Report'!$C$109:$BD$166,45,FALSE)</f>
        <v>0</v>
      </c>
      <c r="AY56" s="10">
        <f ca="1">VLOOKUP($B56,'[9]Analisys QBR By Machine Report'!$C$109:$BD$166,46,FALSE)</f>
        <v>0</v>
      </c>
      <c r="AZ56" s="10">
        <f ca="1">VLOOKUP($B56,'[9]Analisys QBR By Machine Report'!$C$109:$BD$166,47,FALSE)</f>
        <v>1022</v>
      </c>
      <c r="BA56" s="10">
        <f ca="1">VLOOKUP($B56,'[9]Analisys QBR By Machine Report'!$C$109:$BD$166,48,FALSE)</f>
        <v>0</v>
      </c>
      <c r="BB56" s="10">
        <f ca="1">VLOOKUP($B56,'[9]Analisys QBR By Machine Report'!$C$109:$BD$166,49,FALSE)</f>
        <v>0</v>
      </c>
      <c r="BC56" s="10">
        <f ca="1">VLOOKUP($B56,'[9]Analisys QBR By Machine Report'!$C$109:$BD$166,50,FALSE)</f>
        <v>0</v>
      </c>
      <c r="BD56" s="10">
        <f ca="1">VLOOKUP($B56,'[9]Analisys QBR By Machine Report'!$C$109:$BD$166,51,FALSE)</f>
        <v>1138853</v>
      </c>
      <c r="BE56" s="10">
        <f ca="1">VLOOKUP($B56,'[9]Analisys QBR By Machine Report'!$C$109:$BD$166,52,FALSE)</f>
        <v>539</v>
      </c>
      <c r="BF56" s="10">
        <f ca="1">VLOOKUP($B56,'[9]Analisys QBR By Machine Report'!$C$109:$BD$166,53,FALSE)</f>
        <v>1138314</v>
      </c>
    </row>
    <row r="57" spans="1:58" x14ac:dyDescent="0.25">
      <c r="A57" s="15" t="s">
        <v>113</v>
      </c>
      <c r="B57" s="13">
        <f ca="1">VLOOKUP($B57,'[9]Analisys QBR By Machine Report'!$C$109:$BD$166,2,FALSE)</f>
        <v>30240</v>
      </c>
      <c r="C57" s="14">
        <f ca="1">VLOOKUP($B57,[9]Dasboard_QBR_Report!$B$109:$BL$166,3,FALSE)</f>
        <v>10080</v>
      </c>
      <c r="D57" s="13">
        <f ca="1">VLOOKUP($B57,'[9]Analisys QBR By Machine Report'!$C$109:$BD$166,3,FALSE)</f>
        <v>13650</v>
      </c>
      <c r="E57" s="14">
        <f ca="1">VLOOKUP($B57,[9]Dasboard_QBR_Report!$B$109:$BL$166,5,FALSE)</f>
        <v>-6510</v>
      </c>
      <c r="F57" s="13">
        <f t="shared" ca="1" si="0"/>
        <v>16590</v>
      </c>
      <c r="G57" s="13">
        <f t="shared" ca="1" si="1"/>
        <v>653</v>
      </c>
      <c r="H57" s="13">
        <f ca="1">VLOOKUP($B57,'[9]Analisys QBR By Machine Report'!$C$109:$BD$166,4,FALSE)</f>
        <v>653</v>
      </c>
      <c r="I57" s="13">
        <f ca="1">VLOOKUP($B57,'[9]Analisys QBR By Machine Report'!$C$109:$BD$166,5,FALSE)</f>
        <v>492</v>
      </c>
      <c r="J57" s="13">
        <f ca="1">VLOOKUP($B57,'[9]Analisys QBR By Machine Report'!$C$109:$BD$166,6,FALSE)</f>
        <v>161</v>
      </c>
      <c r="K57" s="13">
        <f ca="1">VLOOKUP($B57,'[9]Analisys QBR By Machine Report'!$C$109:$BD$166,7,FALSE)</f>
        <v>0</v>
      </c>
      <c r="L57" s="13">
        <f ca="1">VLOOKUP($B57,'[9]Analisys QBR By Machine Report'!$C$109:$BD$166,8,FALSE)</f>
        <v>15937</v>
      </c>
      <c r="M57" s="13">
        <f ca="1">VLOOKUP($B57,'[9]Analisys QBR By Machine Report'!$C$109:$BD$166,9,FALSE)</f>
        <v>5460</v>
      </c>
      <c r="N57" s="13">
        <f ca="1">VLOOKUP($B57,[9]Dasboard_QBR_Report!$B$109:$BL$166,18,FALSE)</f>
        <v>10477</v>
      </c>
      <c r="O57" s="13">
        <f ca="1">VLOOKUP($B57,'[9]Analisys QBR By Machine Report'!$C$109:$BD$166,10,FALSE)</f>
        <v>4396</v>
      </c>
      <c r="P57" s="13">
        <f ca="1">VLOOKUP($B57,'[9]Analisys QBR By Machine Report'!$C$109:$BD$166,11,FALSE)</f>
        <v>1591</v>
      </c>
      <c r="Q57" s="13">
        <f ca="1">VLOOKUP($B57,'[9]Analisys QBR By Machine Report'!$C$109:$BD$166,12,FALSE)</f>
        <v>158</v>
      </c>
      <c r="R57" s="13">
        <f ca="1">VLOOKUP($B57,'[9]Analisys QBR By Machine Report'!$C$109:$BD$166,13,FALSE)</f>
        <v>861</v>
      </c>
      <c r="S57" s="13">
        <f ca="1">VLOOKUP($B57,'[9]Analisys QBR By Machine Report'!$C$109:$BD$166,14,FALSE)</f>
        <v>1786</v>
      </c>
      <c r="T57" s="13">
        <f ca="1">VLOOKUP($B57,'[9]Analisys QBR By Machine Report'!$C$109:$BD$166,15,FALSE)</f>
        <v>60</v>
      </c>
      <c r="U57" s="13">
        <f ca="1">VLOOKUP($B57,'[9]Analisys QBR By Machine Report'!$C$109:$BD$166,16,FALSE)</f>
        <v>60</v>
      </c>
      <c r="V57" s="13">
        <f ca="1">VLOOKUP($B57,'[9]Analisys QBR By Machine Report'!$C$109:$BD$166,17,FALSE)</f>
        <v>0</v>
      </c>
      <c r="W57" s="13">
        <f ca="1">VLOOKUP($B57,'[9]Analisys QBR By Machine Report'!$C$109:$BD$166,18,FALSE)</f>
        <v>0</v>
      </c>
      <c r="X57" s="13">
        <f ca="1">VLOOKUP($B57,'[9]Analisys QBR By Machine Report'!$C$109:$BD$166,19,FALSE)</f>
        <v>0</v>
      </c>
      <c r="Y57" s="13">
        <f ca="1">VLOOKUP($B57,'[9]Analisys QBR By Machine Report'!$C$109:$BD$166,20,FALSE)</f>
        <v>0</v>
      </c>
      <c r="Z57" s="13">
        <f ca="1">VLOOKUP($B57,'[9]Analisys QBR By Machine Report'!$C$109:$BD$166,21,FALSE)</f>
        <v>3026</v>
      </c>
      <c r="AA57" s="13">
        <f ca="1">VLOOKUP($B57,'[9]Analisys QBR By Machine Report'!$C$109:$BD$166,22,FALSE)</f>
        <v>1740</v>
      </c>
      <c r="AB57" s="13">
        <f ca="1">VLOOKUP($B57,'[9]Analisys QBR By Machine Report'!$C$109:$BD$166,23,FALSE)</f>
        <v>476</v>
      </c>
      <c r="AC57" s="13">
        <f ca="1">VLOOKUP($B57,'[9]Analisys QBR By Machine Report'!$C$109:$BD$166,24,FALSE)</f>
        <v>650</v>
      </c>
      <c r="AD57" s="13">
        <f ca="1">VLOOKUP($B57,'[9]Analisys QBR By Machine Report'!$C$109:$BD$166,25,FALSE)</f>
        <v>0</v>
      </c>
      <c r="AE57" s="13">
        <f ca="1">VLOOKUP($B57,'[9]Analisys QBR By Machine Report'!$C$109:$BD$166,26,FALSE)</f>
        <v>160</v>
      </c>
      <c r="AF57" s="13">
        <f ca="1">VLOOKUP($B57,'[9]Analisys QBR By Machine Report'!$C$109:$BD$166,27,FALSE)</f>
        <v>0</v>
      </c>
      <c r="AG57" s="13">
        <f ca="1">VLOOKUP($B57,'[9]Analisys QBR By Machine Report'!$C$109:$BD$166,28,FALSE)</f>
        <v>0</v>
      </c>
      <c r="AH57" s="13">
        <f ca="1">VLOOKUP($B57,'[9]Analisys QBR By Machine Report'!$C$109:$BD$166,29,FALSE)</f>
        <v>0</v>
      </c>
      <c r="AI57" s="13">
        <f ca="1">VLOOKUP($B57,'[9]Analisys QBR By Machine Report'!$C$109:$BD$166,30,FALSE)</f>
        <v>2995</v>
      </c>
      <c r="AJ57" s="13">
        <f ca="1">VLOOKUP($B57,'[9]Analisys QBR By Machine Report'!$C$109:$BD$166,31,FALSE)</f>
        <v>0</v>
      </c>
      <c r="AK57" s="13">
        <f ca="1">VLOOKUP($B57,'[9]Analisys QBR By Machine Report'!$C$109:$BD$166,32,FALSE)</f>
        <v>10</v>
      </c>
      <c r="AL57" s="13">
        <f ca="1">VLOOKUP($B57,'[9]Analisys QBR By Machine Report'!$C$109:$BD$166,33,FALSE)</f>
        <v>1056</v>
      </c>
      <c r="AM57" s="13">
        <f ca="1">VLOOKUP($B57,'[9]Analisys QBR By Machine Report'!$C$109:$BD$166,34,FALSE)</f>
        <v>0</v>
      </c>
      <c r="AN57" s="13">
        <f ca="1">VLOOKUP($B57,'[9]Analisys QBR By Machine Report'!$C$109:$BD$166,35,FALSE)</f>
        <v>739</v>
      </c>
      <c r="AO57" s="13">
        <f ca="1">VLOOKUP($B57,'[9]Analisys QBR By Machine Report'!$C$109:$BD$166,36,FALSE)</f>
        <v>0</v>
      </c>
      <c r="AP57" s="13">
        <f ca="1">VLOOKUP($B57,'[9]Analisys QBR By Machine Report'!$C$109:$BD$166,37,FALSE)</f>
        <v>0</v>
      </c>
      <c r="AQ57" s="13">
        <f ca="1">VLOOKUP($B57,'[9]Analisys QBR By Machine Report'!$C$109:$BD$166,38,FALSE)</f>
        <v>0</v>
      </c>
      <c r="AR57" s="13">
        <f ca="1">VLOOKUP($B57,'[9]Analisys QBR By Machine Report'!$C$109:$BD$166,39,FALSE)</f>
        <v>60</v>
      </c>
      <c r="AS57" s="13">
        <f ca="1">VLOOKUP($B57,'[9]Analisys QBR By Machine Report'!$C$109:$BD$166,40,FALSE)</f>
        <v>680</v>
      </c>
      <c r="AT57" s="13">
        <f ca="1">VLOOKUP($B57,'[9]Analisys QBR By Machine Report'!$C$109:$BD$166,41,FALSE)</f>
        <v>0</v>
      </c>
      <c r="AU57" s="13">
        <f ca="1">VLOOKUP($B57,'[9]Analisys QBR By Machine Report'!$C$109:$BD$166,42,FALSE)</f>
        <v>0</v>
      </c>
      <c r="AV57" s="13">
        <f ca="1">VLOOKUP($B57,'[9]Analisys QBR By Machine Report'!$C$109:$BD$166,43,FALSE)</f>
        <v>0</v>
      </c>
      <c r="AW57" s="13">
        <f ca="1">VLOOKUP($B57,'[9]Analisys QBR By Machine Report'!$C$109:$BD$166,44,FALSE)</f>
        <v>0</v>
      </c>
      <c r="AX57" s="13">
        <f ca="1">VLOOKUP($B57,'[9]Analisys QBR By Machine Report'!$C$109:$BD$166,45,FALSE)</f>
        <v>0</v>
      </c>
      <c r="AY57" s="13">
        <f ca="1">VLOOKUP($B57,'[9]Analisys QBR By Machine Report'!$C$109:$BD$166,46,FALSE)</f>
        <v>0</v>
      </c>
      <c r="AZ57" s="13">
        <f ca="1">VLOOKUP($B57,'[9]Analisys QBR By Machine Report'!$C$109:$BD$166,47,FALSE)</f>
        <v>450</v>
      </c>
      <c r="BA57" s="13">
        <f ca="1">VLOOKUP($B57,'[9]Analisys QBR By Machine Report'!$C$109:$BD$166,48,FALSE)</f>
        <v>0</v>
      </c>
      <c r="BB57" s="13">
        <f ca="1">VLOOKUP($B57,'[9]Analisys QBR By Machine Report'!$C$109:$BD$166,49,FALSE)</f>
        <v>0</v>
      </c>
      <c r="BC57" s="13">
        <f ca="1">VLOOKUP($B57,'[9]Analisys QBR By Machine Report'!$C$109:$BD$166,50,FALSE)</f>
        <v>0</v>
      </c>
      <c r="BD57" s="13">
        <f ca="1">VLOOKUP($B57,'[9]Analisys QBR By Machine Report'!$C$109:$BD$166,51,FALSE)</f>
        <v>1061431</v>
      </c>
      <c r="BE57" s="13">
        <f ca="1">VLOOKUP($B57,'[9]Analisys QBR By Machine Report'!$C$109:$BD$166,52,FALSE)</f>
        <v>288</v>
      </c>
      <c r="BF57" s="13">
        <f ca="1">VLOOKUP($B57,'[9]Analisys QBR By Machine Report'!$C$109:$BD$166,53,FALSE)</f>
        <v>1061143</v>
      </c>
    </row>
    <row r="58" spans="1:58" x14ac:dyDescent="0.25">
      <c r="A58" s="15" t="s">
        <v>114</v>
      </c>
      <c r="B58" s="13">
        <f ca="1">VLOOKUP($B58,'[9]Analisys QBR By Machine Report'!$C$109:$BD$166,2,FALSE)</f>
        <v>30240</v>
      </c>
      <c r="C58" s="14">
        <f ca="1">VLOOKUP($B58,[9]Dasboard_QBR_Report!$B$109:$BL$166,3,FALSE)</f>
        <v>10080</v>
      </c>
      <c r="D58" s="13">
        <f ca="1">VLOOKUP($B58,'[9]Analisys QBR By Machine Report'!$C$109:$BD$166,3,FALSE)</f>
        <v>22080</v>
      </c>
      <c r="E58" s="14">
        <f ca="1">VLOOKUP($B58,[9]Dasboard_QBR_Report!$B$109:$BL$166,5,FALSE)</f>
        <v>1920</v>
      </c>
      <c r="F58" s="13">
        <f t="shared" ca="1" si="0"/>
        <v>8160</v>
      </c>
      <c r="G58" s="13">
        <f t="shared" ca="1" si="1"/>
        <v>2055</v>
      </c>
      <c r="H58" s="13">
        <f ca="1">VLOOKUP($B58,'[9]Analisys QBR By Machine Report'!$C$109:$BD$166,4,FALSE)</f>
        <v>2055</v>
      </c>
      <c r="I58" s="13">
        <f ca="1">VLOOKUP($B58,'[9]Analisys QBR By Machine Report'!$C$109:$BD$166,5,FALSE)</f>
        <v>260</v>
      </c>
      <c r="J58" s="13">
        <f ca="1">VLOOKUP($B58,'[9]Analisys QBR By Machine Report'!$C$109:$BD$166,6,FALSE)</f>
        <v>1795</v>
      </c>
      <c r="K58" s="13">
        <f ca="1">VLOOKUP($B58,'[9]Analisys QBR By Machine Report'!$C$109:$BD$166,7,FALSE)</f>
        <v>0</v>
      </c>
      <c r="L58" s="13">
        <f ca="1">VLOOKUP($B58,'[9]Analisys QBR By Machine Report'!$C$109:$BD$166,8,FALSE)</f>
        <v>6105</v>
      </c>
      <c r="M58" s="13">
        <f ca="1">VLOOKUP($B58,'[9]Analisys QBR By Machine Report'!$C$109:$BD$166,9,FALSE)</f>
        <v>2950</v>
      </c>
      <c r="N58" s="13">
        <f ca="1">VLOOKUP($B58,[9]Dasboard_QBR_Report!$B$109:$BL$166,18,FALSE)</f>
        <v>3155</v>
      </c>
      <c r="O58" s="13">
        <f ca="1">VLOOKUP($B58,'[9]Analisys QBR By Machine Report'!$C$109:$BD$166,10,FALSE)</f>
        <v>363</v>
      </c>
      <c r="P58" s="13">
        <f ca="1">VLOOKUP($B58,'[9]Analisys QBR By Machine Report'!$C$109:$BD$166,11,FALSE)</f>
        <v>303</v>
      </c>
      <c r="Q58" s="13">
        <f ca="1">VLOOKUP($B58,'[9]Analisys QBR By Machine Report'!$C$109:$BD$166,12,FALSE)</f>
        <v>0</v>
      </c>
      <c r="R58" s="13">
        <f ca="1">VLOOKUP($B58,'[9]Analisys QBR By Machine Report'!$C$109:$BD$166,13,FALSE)</f>
        <v>60</v>
      </c>
      <c r="S58" s="13">
        <f ca="1">VLOOKUP($B58,'[9]Analisys QBR By Machine Report'!$C$109:$BD$166,14,FALSE)</f>
        <v>0</v>
      </c>
      <c r="T58" s="13">
        <f ca="1">VLOOKUP($B58,'[9]Analisys QBR By Machine Report'!$C$109:$BD$166,15,FALSE)</f>
        <v>0</v>
      </c>
      <c r="U58" s="13">
        <f ca="1">VLOOKUP($B58,'[9]Analisys QBR By Machine Report'!$C$109:$BD$166,16,FALSE)</f>
        <v>0</v>
      </c>
      <c r="V58" s="13">
        <f ca="1">VLOOKUP($B58,'[9]Analisys QBR By Machine Report'!$C$109:$BD$166,17,FALSE)</f>
        <v>0</v>
      </c>
      <c r="W58" s="13">
        <f ca="1">VLOOKUP($B58,'[9]Analisys QBR By Machine Report'!$C$109:$BD$166,18,FALSE)</f>
        <v>0</v>
      </c>
      <c r="X58" s="13">
        <f ca="1">VLOOKUP($B58,'[9]Analisys QBR By Machine Report'!$C$109:$BD$166,19,FALSE)</f>
        <v>0</v>
      </c>
      <c r="Y58" s="13">
        <f ca="1">VLOOKUP($B58,'[9]Analisys QBR By Machine Report'!$C$109:$BD$166,20,FALSE)</f>
        <v>0</v>
      </c>
      <c r="Z58" s="13">
        <f ca="1">VLOOKUP($B58,'[9]Analisys QBR By Machine Report'!$C$109:$BD$166,21,FALSE)</f>
        <v>1125</v>
      </c>
      <c r="AA58" s="13">
        <f ca="1">VLOOKUP($B58,'[9]Analisys QBR By Machine Report'!$C$109:$BD$166,22,FALSE)</f>
        <v>0</v>
      </c>
      <c r="AB58" s="13">
        <f ca="1">VLOOKUP($B58,'[9]Analisys QBR By Machine Report'!$C$109:$BD$166,23,FALSE)</f>
        <v>215</v>
      </c>
      <c r="AC58" s="13">
        <f ca="1">VLOOKUP($B58,'[9]Analisys QBR By Machine Report'!$C$109:$BD$166,24,FALSE)</f>
        <v>0</v>
      </c>
      <c r="AD58" s="13">
        <f ca="1">VLOOKUP($B58,'[9]Analisys QBR By Machine Report'!$C$109:$BD$166,25,FALSE)</f>
        <v>0</v>
      </c>
      <c r="AE58" s="13">
        <f ca="1">VLOOKUP($B58,'[9]Analisys QBR By Machine Report'!$C$109:$BD$166,26,FALSE)</f>
        <v>910</v>
      </c>
      <c r="AF58" s="13">
        <f ca="1">VLOOKUP($B58,'[9]Analisys QBR By Machine Report'!$C$109:$BD$166,27,FALSE)</f>
        <v>0</v>
      </c>
      <c r="AG58" s="13">
        <f ca="1">VLOOKUP($B58,'[9]Analisys QBR By Machine Report'!$C$109:$BD$166,28,FALSE)</f>
        <v>0</v>
      </c>
      <c r="AH58" s="13">
        <f ca="1">VLOOKUP($B58,'[9]Analisys QBR By Machine Report'!$C$109:$BD$166,29,FALSE)</f>
        <v>0</v>
      </c>
      <c r="AI58" s="13">
        <f ca="1">VLOOKUP($B58,'[9]Analisys QBR By Machine Report'!$C$109:$BD$166,30,FALSE)</f>
        <v>1667</v>
      </c>
      <c r="AJ58" s="13">
        <f ca="1">VLOOKUP($B58,'[9]Analisys QBR By Machine Report'!$C$109:$BD$166,31,FALSE)</f>
        <v>0</v>
      </c>
      <c r="AK58" s="13">
        <f ca="1">VLOOKUP($B58,'[9]Analisys QBR By Machine Report'!$C$109:$BD$166,32,FALSE)</f>
        <v>0</v>
      </c>
      <c r="AL58" s="13">
        <f ca="1">VLOOKUP($B58,'[9]Analisys QBR By Machine Report'!$C$109:$BD$166,33,FALSE)</f>
        <v>330</v>
      </c>
      <c r="AM58" s="13">
        <f ca="1">VLOOKUP($B58,'[9]Analisys QBR By Machine Report'!$C$109:$BD$166,34,FALSE)</f>
        <v>0</v>
      </c>
      <c r="AN58" s="13">
        <f ca="1">VLOOKUP($B58,'[9]Analisys QBR By Machine Report'!$C$109:$BD$166,35,FALSE)</f>
        <v>165</v>
      </c>
      <c r="AO58" s="13">
        <f ca="1">VLOOKUP($B58,'[9]Analisys QBR By Machine Report'!$C$109:$BD$166,36,FALSE)</f>
        <v>335</v>
      </c>
      <c r="AP58" s="13">
        <f ca="1">VLOOKUP($B58,'[9]Analisys QBR By Machine Report'!$C$109:$BD$166,37,FALSE)</f>
        <v>0</v>
      </c>
      <c r="AQ58" s="13">
        <f ca="1">VLOOKUP($B58,'[9]Analisys QBR By Machine Report'!$C$109:$BD$166,38,FALSE)</f>
        <v>0</v>
      </c>
      <c r="AR58" s="13">
        <f ca="1">VLOOKUP($B58,'[9]Analisys QBR By Machine Report'!$C$109:$BD$166,39,FALSE)</f>
        <v>110</v>
      </c>
      <c r="AS58" s="13">
        <f ca="1">VLOOKUP($B58,'[9]Analisys QBR By Machine Report'!$C$109:$BD$166,40,FALSE)</f>
        <v>155</v>
      </c>
      <c r="AT58" s="13">
        <f ca="1">VLOOKUP($B58,'[9]Analisys QBR By Machine Report'!$C$109:$BD$166,41,FALSE)</f>
        <v>0</v>
      </c>
      <c r="AU58" s="13">
        <f ca="1">VLOOKUP($B58,'[9]Analisys QBR By Machine Report'!$C$109:$BD$166,42,FALSE)</f>
        <v>0</v>
      </c>
      <c r="AV58" s="13">
        <f ca="1">VLOOKUP($B58,'[9]Analisys QBR By Machine Report'!$C$109:$BD$166,43,FALSE)</f>
        <v>0</v>
      </c>
      <c r="AW58" s="13">
        <f ca="1">VLOOKUP($B58,'[9]Analisys QBR By Machine Report'!$C$109:$BD$166,44,FALSE)</f>
        <v>0</v>
      </c>
      <c r="AX58" s="13">
        <f ca="1">VLOOKUP($B58,'[9]Analisys QBR By Machine Report'!$C$109:$BD$166,45,FALSE)</f>
        <v>0</v>
      </c>
      <c r="AY58" s="13">
        <f ca="1">VLOOKUP($B58,'[9]Analisys QBR By Machine Report'!$C$109:$BD$166,46,FALSE)</f>
        <v>0</v>
      </c>
      <c r="AZ58" s="13">
        <f ca="1">VLOOKUP($B58,'[9]Analisys QBR By Machine Report'!$C$109:$BD$166,47,FALSE)</f>
        <v>572</v>
      </c>
      <c r="BA58" s="13">
        <f ca="1">VLOOKUP($B58,'[9]Analisys QBR By Machine Report'!$C$109:$BD$166,48,FALSE)</f>
        <v>0</v>
      </c>
      <c r="BB58" s="13">
        <f ca="1">VLOOKUP($B58,'[9]Analisys QBR By Machine Report'!$C$109:$BD$166,49,FALSE)</f>
        <v>0</v>
      </c>
      <c r="BC58" s="13">
        <f ca="1">VLOOKUP($B58,'[9]Analisys QBR By Machine Report'!$C$109:$BD$166,50,FALSE)</f>
        <v>0</v>
      </c>
      <c r="BD58" s="13">
        <f ca="1">VLOOKUP($B58,'[9]Analisys QBR By Machine Report'!$C$109:$BD$166,51,FALSE)</f>
        <v>77422</v>
      </c>
      <c r="BE58" s="13">
        <f ca="1">VLOOKUP($B58,'[9]Analisys QBR By Machine Report'!$C$109:$BD$166,52,FALSE)</f>
        <v>251</v>
      </c>
      <c r="BF58" s="13">
        <f ca="1">VLOOKUP($B58,'[9]Analisys QBR By Machine Report'!$C$109:$BD$166,53,FALSE)</f>
        <v>77171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56BD7-4E92-4945-9EFA-9646F78271A6}">
  <dimension ref="A1:BF58"/>
  <sheetViews>
    <sheetView workbookViewId="0">
      <selection sqref="A1:BF58"/>
    </sheetView>
  </sheetViews>
  <sheetFormatPr defaultRowHeight="15" x14ac:dyDescent="0.25"/>
  <sheetData>
    <row r="1" spans="1:58" ht="60" x14ac:dyDescent="0.25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8" t="s">
        <v>55</v>
      </c>
      <c r="BE1" s="8" t="s">
        <v>56</v>
      </c>
      <c r="BF1" s="8" t="s">
        <v>57</v>
      </c>
    </row>
    <row r="2" spans="1:58" x14ac:dyDescent="0.25">
      <c r="A2" s="9" t="s">
        <v>58</v>
      </c>
      <c r="B2" s="10">
        <f ca="1">VLOOKUP($B2,'[10]Analisys QBR By Machine Report'!$C$109:$BD$166,2,FALSE)</f>
        <v>103680</v>
      </c>
      <c r="C2" s="11">
        <f ca="1">VLOOKUP($B2,[10]Dasboard_QBR_Report!$B$109:$BL$166,3,FALSE)</f>
        <v>66960</v>
      </c>
      <c r="D2" s="10">
        <f ca="1">VLOOKUP($B2,'[10]Analisys QBR By Machine Report'!$C$109:$BD$166,3,FALSE)</f>
        <v>68880</v>
      </c>
      <c r="E2" s="11">
        <f ca="1">VLOOKUP($B2,[10]Dasboard_QBR_Report!$B$109:$BL$166,5,FALSE)</f>
        <v>32160</v>
      </c>
      <c r="F2" s="10">
        <f t="shared" ref="F2:F58" ca="1" si="0">SUM(G2,L2)</f>
        <v>34800</v>
      </c>
      <c r="G2" s="10">
        <f t="shared" ref="G2:G58" ca="1" si="1">SUM($I2,$L2)</f>
        <v>5849</v>
      </c>
      <c r="H2" s="10">
        <f ca="1">VLOOKUP($B2,'[10]Analisys QBR By Machine Report'!$C$109:$BD$166,4,FALSE)</f>
        <v>5817</v>
      </c>
      <c r="I2" s="10">
        <f ca="1">VLOOKUP($B2,'[10]Analisys QBR By Machine Report'!$C$109:$BD$166,5,FALSE)</f>
        <v>350</v>
      </c>
      <c r="J2" s="10">
        <f ca="1">VLOOKUP($B2,'[10]Analisys QBR By Machine Report'!$C$109:$BD$166,6,FALSE)</f>
        <v>5467</v>
      </c>
      <c r="K2" s="10">
        <f ca="1">VLOOKUP($B2,'[10]Analisys QBR By Machine Report'!$C$109:$BD$166,7,FALSE)</f>
        <v>32</v>
      </c>
      <c r="L2" s="10">
        <f ca="1">VLOOKUP($B2,'[10]Analisys QBR By Machine Report'!$C$109:$BD$166,8,FALSE)</f>
        <v>28951</v>
      </c>
      <c r="M2" s="10">
        <f ca="1">VLOOKUP($B2,'[10]Analisys QBR By Machine Report'!$C$109:$BD$166,9,FALSE)</f>
        <v>3977</v>
      </c>
      <c r="N2" s="10">
        <f ca="1">VLOOKUP($B2,[10]Dasboard_QBR_Report!$B$109:$BL$166,18,FALSE)</f>
        <v>24974</v>
      </c>
      <c r="O2" s="10">
        <f ca="1">VLOOKUP($B2,'[10]Analisys QBR By Machine Report'!$C$109:$BD$166,10,FALSE)</f>
        <v>896</v>
      </c>
      <c r="P2" s="10">
        <f ca="1">VLOOKUP($B2,'[10]Analisys QBR By Machine Report'!$C$109:$BD$166,11,FALSE)</f>
        <v>896</v>
      </c>
      <c r="Q2" s="10">
        <f ca="1">VLOOKUP($B2,'[10]Analisys QBR By Machine Report'!$C$109:$BD$166,12,FALSE)</f>
        <v>0</v>
      </c>
      <c r="R2" s="10">
        <f ca="1">VLOOKUP($B2,'[10]Analisys QBR By Machine Report'!$C$109:$BD$166,13,FALSE)</f>
        <v>0</v>
      </c>
      <c r="S2" s="10">
        <f ca="1">VLOOKUP($B2,'[10]Analisys QBR By Machine Report'!$C$109:$BD$166,14,FALSE)</f>
        <v>0</v>
      </c>
      <c r="T2" s="10">
        <f ca="1">VLOOKUP($B2,'[10]Analisys QBR By Machine Report'!$C$109:$BD$166,15,FALSE)</f>
        <v>20</v>
      </c>
      <c r="U2" s="10">
        <f ca="1">VLOOKUP($B2,'[10]Analisys QBR By Machine Report'!$C$109:$BD$166,16,FALSE)</f>
        <v>0</v>
      </c>
      <c r="V2" s="10">
        <f ca="1">VLOOKUP($B2,'[10]Analisys QBR By Machine Report'!$C$109:$BD$166,17,FALSE)</f>
        <v>0</v>
      </c>
      <c r="W2" s="10">
        <f ca="1">VLOOKUP($B2,'[10]Analisys QBR By Machine Report'!$C$109:$BD$166,18,FALSE)</f>
        <v>0</v>
      </c>
      <c r="X2" s="10">
        <f ca="1">VLOOKUP($B2,'[10]Analisys QBR By Machine Report'!$C$109:$BD$166,19,FALSE)</f>
        <v>20</v>
      </c>
      <c r="Y2" s="10">
        <f ca="1">VLOOKUP($B2,'[10]Analisys QBR By Machine Report'!$C$109:$BD$166,20,FALSE)</f>
        <v>0</v>
      </c>
      <c r="Z2" s="10">
        <f ca="1">VLOOKUP($B2,'[10]Analisys QBR By Machine Report'!$C$109:$BD$166,21,FALSE)</f>
        <v>12404</v>
      </c>
      <c r="AA2" s="10">
        <f ca="1">VLOOKUP($B2,'[10]Analisys QBR By Machine Report'!$C$109:$BD$166,22,FALSE)</f>
        <v>6968</v>
      </c>
      <c r="AB2" s="10">
        <f ca="1">VLOOKUP($B2,'[10]Analisys QBR By Machine Report'!$C$109:$BD$166,23,FALSE)</f>
        <v>4779</v>
      </c>
      <c r="AC2" s="10">
        <f ca="1">VLOOKUP($B2,'[10]Analisys QBR By Machine Report'!$C$109:$BD$166,24,FALSE)</f>
        <v>2</v>
      </c>
      <c r="AD2" s="10">
        <f ca="1">VLOOKUP($B2,'[10]Analisys QBR By Machine Report'!$C$109:$BD$166,25,FALSE)</f>
        <v>0</v>
      </c>
      <c r="AE2" s="10">
        <f ca="1">VLOOKUP($B2,'[10]Analisys QBR By Machine Report'!$C$109:$BD$166,26,FALSE)</f>
        <v>655</v>
      </c>
      <c r="AF2" s="10">
        <f ca="1">VLOOKUP($B2,'[10]Analisys QBR By Machine Report'!$C$109:$BD$166,27,FALSE)</f>
        <v>1065</v>
      </c>
      <c r="AG2" s="10">
        <f ca="1">VLOOKUP($B2,'[10]Analisys QBR By Machine Report'!$C$109:$BD$166,28,FALSE)</f>
        <v>0</v>
      </c>
      <c r="AH2" s="10">
        <f ca="1">VLOOKUP($B2,'[10]Analisys QBR By Machine Report'!$C$109:$BD$166,29,FALSE)</f>
        <v>1065</v>
      </c>
      <c r="AI2" s="10">
        <f ca="1">VLOOKUP($B2,'[10]Analisys QBR By Machine Report'!$C$109:$BD$166,30,FALSE)</f>
        <v>10589</v>
      </c>
      <c r="AJ2" s="10">
        <f ca="1">VLOOKUP($B2,'[10]Analisys QBR By Machine Report'!$C$109:$BD$166,31,FALSE)</f>
        <v>115</v>
      </c>
      <c r="AK2" s="10">
        <f ca="1">VLOOKUP($B2,'[10]Analisys QBR By Machine Report'!$C$109:$BD$166,32,FALSE)</f>
        <v>0</v>
      </c>
      <c r="AL2" s="10">
        <f ca="1">VLOOKUP($B2,'[10]Analisys QBR By Machine Report'!$C$109:$BD$166,33,FALSE)</f>
        <v>1545</v>
      </c>
      <c r="AM2" s="10">
        <f ca="1">VLOOKUP($B2,'[10]Analisys QBR By Machine Report'!$C$109:$BD$166,34,FALSE)</f>
        <v>0</v>
      </c>
      <c r="AN2" s="10">
        <f ca="1">VLOOKUP($B2,'[10]Analisys QBR By Machine Report'!$C$109:$BD$166,35,FALSE)</f>
        <v>1470</v>
      </c>
      <c r="AO2" s="10">
        <f ca="1">VLOOKUP($B2,'[10]Analisys QBR By Machine Report'!$C$109:$BD$166,36,FALSE)</f>
        <v>0</v>
      </c>
      <c r="AP2" s="10">
        <f ca="1">VLOOKUP($B2,'[10]Analisys QBR By Machine Report'!$C$109:$BD$166,37,FALSE)</f>
        <v>0</v>
      </c>
      <c r="AQ2" s="10">
        <f ca="1">VLOOKUP($B2,'[10]Analisys QBR By Machine Report'!$C$109:$BD$166,38,FALSE)</f>
        <v>0</v>
      </c>
      <c r="AR2" s="10">
        <f ca="1">VLOOKUP($B2,'[10]Analisys QBR By Machine Report'!$C$109:$BD$166,39,FALSE)</f>
        <v>6176</v>
      </c>
      <c r="AS2" s="10">
        <f ca="1">VLOOKUP($B2,'[10]Analisys QBR By Machine Report'!$C$109:$BD$166,40,FALSE)</f>
        <v>52</v>
      </c>
      <c r="AT2" s="10">
        <f ca="1">VLOOKUP($B2,'[10]Analisys QBR By Machine Report'!$C$109:$BD$166,41,FALSE)</f>
        <v>0</v>
      </c>
      <c r="AU2" s="10">
        <f ca="1">VLOOKUP($B2,'[10]Analisys QBR By Machine Report'!$C$109:$BD$166,42,FALSE)</f>
        <v>895</v>
      </c>
      <c r="AV2" s="10">
        <f ca="1">VLOOKUP($B2,'[10]Analisys QBR By Machine Report'!$C$109:$BD$166,43,FALSE)</f>
        <v>0</v>
      </c>
      <c r="AW2" s="10">
        <f ca="1">VLOOKUP($B2,'[10]Analisys QBR By Machine Report'!$C$109:$BD$166,44,FALSE)</f>
        <v>0</v>
      </c>
      <c r="AX2" s="10">
        <f ca="1">VLOOKUP($B2,'[10]Analisys QBR By Machine Report'!$C$109:$BD$166,45,FALSE)</f>
        <v>0</v>
      </c>
      <c r="AY2" s="10">
        <f ca="1">VLOOKUP($B2,'[10]Analisys QBR By Machine Report'!$C$109:$BD$166,46,FALSE)</f>
        <v>0</v>
      </c>
      <c r="AZ2" s="10">
        <f ca="1">VLOOKUP($B2,'[10]Analisys QBR By Machine Report'!$C$109:$BD$166,47,FALSE)</f>
        <v>336</v>
      </c>
      <c r="BA2" s="10">
        <f ca="1">VLOOKUP($B2,'[10]Analisys QBR By Machine Report'!$C$109:$BD$166,48,FALSE)</f>
        <v>0</v>
      </c>
      <c r="BB2" s="10">
        <f ca="1">VLOOKUP($B2,'[10]Analisys QBR By Machine Report'!$C$109:$BD$166,49,FALSE)</f>
        <v>0</v>
      </c>
      <c r="BC2" s="10">
        <f ca="1">VLOOKUP($B2,'[10]Analisys QBR By Machine Report'!$C$109:$BD$166,50,FALSE)</f>
        <v>0</v>
      </c>
      <c r="BD2" s="10">
        <f ca="1">VLOOKUP($B2,'[10]Analisys QBR By Machine Report'!$C$109:$BD$166,51,FALSE)</f>
        <v>7027.87</v>
      </c>
      <c r="BE2" s="10">
        <f ca="1">VLOOKUP($B2,'[10]Analisys QBR By Machine Report'!$C$109:$BD$166,52,FALSE)</f>
        <v>0</v>
      </c>
      <c r="BF2" s="10">
        <f ca="1">VLOOKUP($B2,'[10]Analisys QBR By Machine Report'!$C$109:$BD$166,53,FALSE)</f>
        <v>7027.87</v>
      </c>
    </row>
    <row r="3" spans="1:58" x14ac:dyDescent="0.25">
      <c r="A3" s="12" t="s">
        <v>59</v>
      </c>
      <c r="B3" s="13">
        <f ca="1">VLOOKUP($B3,'[10]Analisys QBR By Machine Report'!$C$109:$BD$166,2,FALSE)</f>
        <v>34560</v>
      </c>
      <c r="C3" s="14">
        <f ca="1">VLOOKUP($B3,[10]Dasboard_QBR_Report!$B$109:$BL$166,3,FALSE)</f>
        <v>22320</v>
      </c>
      <c r="D3" s="13">
        <f ca="1">VLOOKUP($B3,'[10]Analisys QBR By Machine Report'!$C$109:$BD$166,3,FALSE)</f>
        <v>23100</v>
      </c>
      <c r="E3" s="14">
        <f ca="1">VLOOKUP($B3,[10]Dasboard_QBR_Report!$B$109:$BL$166,5,FALSE)</f>
        <v>10860</v>
      </c>
      <c r="F3" s="13">
        <f t="shared" ca="1" si="0"/>
        <v>11460</v>
      </c>
      <c r="G3" s="13">
        <f t="shared" ca="1" si="1"/>
        <v>1572</v>
      </c>
      <c r="H3" s="13">
        <f ca="1">VLOOKUP($B3,'[10]Analisys QBR By Machine Report'!$C$109:$BD$166,4,FALSE)</f>
        <v>1540</v>
      </c>
      <c r="I3" s="13">
        <f ca="1">VLOOKUP($B3,'[10]Analisys QBR By Machine Report'!$C$109:$BD$166,5,FALSE)</f>
        <v>240</v>
      </c>
      <c r="J3" s="13">
        <f ca="1">VLOOKUP($B3,'[10]Analisys QBR By Machine Report'!$C$109:$BD$166,6,FALSE)</f>
        <v>1300</v>
      </c>
      <c r="K3" s="13">
        <f ca="1">VLOOKUP($B3,'[10]Analisys QBR By Machine Report'!$C$109:$BD$166,7,FALSE)</f>
        <v>32</v>
      </c>
      <c r="L3" s="13">
        <f ca="1">VLOOKUP($B3,'[10]Analisys QBR By Machine Report'!$C$109:$BD$166,8,FALSE)</f>
        <v>9888</v>
      </c>
      <c r="M3" s="13">
        <f ca="1">VLOOKUP($B3,'[10]Analisys QBR By Machine Report'!$C$109:$BD$166,9,FALSE)</f>
        <v>2073</v>
      </c>
      <c r="N3" s="13">
        <f ca="1">VLOOKUP($B3,[10]Dasboard_QBR_Report!$B$109:$BL$166,18,FALSE)</f>
        <v>7815</v>
      </c>
      <c r="O3" s="13">
        <f ca="1">VLOOKUP($B3,'[10]Analisys QBR By Machine Report'!$C$109:$BD$166,10,FALSE)</f>
        <v>287</v>
      </c>
      <c r="P3" s="13">
        <f ca="1">VLOOKUP($B3,'[10]Analisys QBR By Machine Report'!$C$109:$BD$166,11,FALSE)</f>
        <v>287</v>
      </c>
      <c r="Q3" s="13">
        <f ca="1">VLOOKUP($B3,'[10]Analisys QBR By Machine Report'!$C$109:$BD$166,12,FALSE)</f>
        <v>0</v>
      </c>
      <c r="R3" s="13">
        <f ca="1">VLOOKUP($B3,'[10]Analisys QBR By Machine Report'!$C$109:$BD$166,13,FALSE)</f>
        <v>0</v>
      </c>
      <c r="S3" s="13">
        <f ca="1">VLOOKUP($B3,'[10]Analisys QBR By Machine Report'!$C$109:$BD$166,14,FALSE)</f>
        <v>0</v>
      </c>
      <c r="T3" s="13">
        <f ca="1">VLOOKUP($B3,'[10]Analisys QBR By Machine Report'!$C$109:$BD$166,15,FALSE)</f>
        <v>0</v>
      </c>
      <c r="U3" s="13">
        <f ca="1">VLOOKUP($B3,'[10]Analisys QBR By Machine Report'!$C$109:$BD$166,16,FALSE)</f>
        <v>0</v>
      </c>
      <c r="V3" s="13">
        <f ca="1">VLOOKUP($B3,'[10]Analisys QBR By Machine Report'!$C$109:$BD$166,17,FALSE)</f>
        <v>0</v>
      </c>
      <c r="W3" s="13">
        <f ca="1">VLOOKUP($B3,'[10]Analisys QBR By Machine Report'!$C$109:$BD$166,18,FALSE)</f>
        <v>0</v>
      </c>
      <c r="X3" s="13">
        <f ca="1">VLOOKUP($B3,'[10]Analisys QBR By Machine Report'!$C$109:$BD$166,19,FALSE)</f>
        <v>0</v>
      </c>
      <c r="Y3" s="13">
        <f ca="1">VLOOKUP($B3,'[10]Analisys QBR By Machine Report'!$C$109:$BD$166,20,FALSE)</f>
        <v>0</v>
      </c>
      <c r="Z3" s="13">
        <f ca="1">VLOOKUP($B3,'[10]Analisys QBR By Machine Report'!$C$109:$BD$166,21,FALSE)</f>
        <v>5527</v>
      </c>
      <c r="AA3" s="13">
        <f ca="1">VLOOKUP($B3,'[10]Analisys QBR By Machine Report'!$C$109:$BD$166,22,FALSE)</f>
        <v>3496</v>
      </c>
      <c r="AB3" s="13">
        <f ca="1">VLOOKUP($B3,'[10]Analisys QBR By Machine Report'!$C$109:$BD$166,23,FALSE)</f>
        <v>1775</v>
      </c>
      <c r="AC3" s="13">
        <f ca="1">VLOOKUP($B3,'[10]Analisys QBR By Machine Report'!$C$109:$BD$166,24,FALSE)</f>
        <v>1</v>
      </c>
      <c r="AD3" s="13">
        <f ca="1">VLOOKUP($B3,'[10]Analisys QBR By Machine Report'!$C$109:$BD$166,25,FALSE)</f>
        <v>0</v>
      </c>
      <c r="AE3" s="13">
        <f ca="1">VLOOKUP($B3,'[10]Analisys QBR By Machine Report'!$C$109:$BD$166,26,FALSE)</f>
        <v>255</v>
      </c>
      <c r="AF3" s="13">
        <f ca="1">VLOOKUP($B3,'[10]Analisys QBR By Machine Report'!$C$109:$BD$166,27,FALSE)</f>
        <v>0</v>
      </c>
      <c r="AG3" s="13">
        <f ca="1">VLOOKUP($B3,'[10]Analisys QBR By Machine Report'!$C$109:$BD$166,28,FALSE)</f>
        <v>0</v>
      </c>
      <c r="AH3" s="13">
        <f ca="1">VLOOKUP($B3,'[10]Analisys QBR By Machine Report'!$C$109:$BD$166,29,FALSE)</f>
        <v>0</v>
      </c>
      <c r="AI3" s="13">
        <f ca="1">VLOOKUP($B3,'[10]Analisys QBR By Machine Report'!$C$109:$BD$166,30,FALSE)</f>
        <v>2001</v>
      </c>
      <c r="AJ3" s="13">
        <f ca="1">VLOOKUP($B3,'[10]Analisys QBR By Machine Report'!$C$109:$BD$166,31,FALSE)</f>
        <v>70</v>
      </c>
      <c r="AK3" s="13">
        <f ca="1">VLOOKUP($B3,'[10]Analisys QBR By Machine Report'!$C$109:$BD$166,32,FALSE)</f>
        <v>0</v>
      </c>
      <c r="AL3" s="13">
        <f ca="1">VLOOKUP($B3,'[10]Analisys QBR By Machine Report'!$C$109:$BD$166,33,FALSE)</f>
        <v>645</v>
      </c>
      <c r="AM3" s="13">
        <f ca="1">VLOOKUP($B3,'[10]Analisys QBR By Machine Report'!$C$109:$BD$166,34,FALSE)</f>
        <v>0</v>
      </c>
      <c r="AN3" s="13">
        <f ca="1">VLOOKUP($B3,'[10]Analisys QBR By Machine Report'!$C$109:$BD$166,35,FALSE)</f>
        <v>705</v>
      </c>
      <c r="AO3" s="13">
        <f ca="1">VLOOKUP($B3,'[10]Analisys QBR By Machine Report'!$C$109:$BD$166,36,FALSE)</f>
        <v>0</v>
      </c>
      <c r="AP3" s="13">
        <f ca="1">VLOOKUP($B3,'[10]Analisys QBR By Machine Report'!$C$109:$BD$166,37,FALSE)</f>
        <v>0</v>
      </c>
      <c r="AQ3" s="13">
        <f ca="1">VLOOKUP($B3,'[10]Analisys QBR By Machine Report'!$C$109:$BD$166,38,FALSE)</f>
        <v>0</v>
      </c>
      <c r="AR3" s="13">
        <f ca="1">VLOOKUP($B3,'[10]Analisys QBR By Machine Report'!$C$109:$BD$166,39,FALSE)</f>
        <v>40</v>
      </c>
      <c r="AS3" s="13">
        <f ca="1">VLOOKUP($B3,'[10]Analisys QBR By Machine Report'!$C$109:$BD$166,40,FALSE)</f>
        <v>0</v>
      </c>
      <c r="AT3" s="13">
        <f ca="1">VLOOKUP($B3,'[10]Analisys QBR By Machine Report'!$C$109:$BD$166,41,FALSE)</f>
        <v>0</v>
      </c>
      <c r="AU3" s="13">
        <f ca="1">VLOOKUP($B3,'[10]Analisys QBR By Machine Report'!$C$109:$BD$166,42,FALSE)</f>
        <v>541</v>
      </c>
      <c r="AV3" s="13">
        <f ca="1">VLOOKUP($B3,'[10]Analisys QBR By Machine Report'!$C$109:$BD$166,43,FALSE)</f>
        <v>0</v>
      </c>
      <c r="AW3" s="13">
        <f ca="1">VLOOKUP($B3,'[10]Analisys QBR By Machine Report'!$C$109:$BD$166,44,FALSE)</f>
        <v>0</v>
      </c>
      <c r="AX3" s="13">
        <f ca="1">VLOOKUP($B3,'[10]Analisys QBR By Machine Report'!$C$109:$BD$166,45,FALSE)</f>
        <v>0</v>
      </c>
      <c r="AY3" s="13">
        <f ca="1">VLOOKUP($B3,'[10]Analisys QBR By Machine Report'!$C$109:$BD$166,46,FALSE)</f>
        <v>0</v>
      </c>
      <c r="AZ3" s="13">
        <f ca="1">VLOOKUP($B3,'[10]Analisys QBR By Machine Report'!$C$109:$BD$166,47,FALSE)</f>
        <v>0</v>
      </c>
      <c r="BA3" s="13">
        <f ca="1">VLOOKUP($B3,'[10]Analisys QBR By Machine Report'!$C$109:$BD$166,48,FALSE)</f>
        <v>0</v>
      </c>
      <c r="BB3" s="13">
        <f ca="1">VLOOKUP($B3,'[10]Analisys QBR By Machine Report'!$C$109:$BD$166,49,FALSE)</f>
        <v>0</v>
      </c>
      <c r="BC3" s="13">
        <f ca="1">VLOOKUP($B3,'[10]Analisys QBR By Machine Report'!$C$109:$BD$166,50,FALSE)</f>
        <v>0</v>
      </c>
      <c r="BD3" s="13">
        <f ca="1">VLOOKUP($B3,'[10]Analisys QBR By Machine Report'!$C$109:$BD$166,51,FALSE)</f>
        <v>1175.69</v>
      </c>
      <c r="BE3" s="13">
        <f ca="1">VLOOKUP($B3,'[10]Analisys QBR By Machine Report'!$C$109:$BD$166,52,FALSE)</f>
        <v>0</v>
      </c>
      <c r="BF3" s="13">
        <f ca="1">VLOOKUP($B3,'[10]Analisys QBR By Machine Report'!$C$109:$BD$166,53,FALSE)</f>
        <v>1175.69</v>
      </c>
    </row>
    <row r="4" spans="1:58" x14ac:dyDescent="0.25">
      <c r="A4" s="12" t="s">
        <v>60</v>
      </c>
      <c r="B4" s="13">
        <f ca="1">VLOOKUP($B4,'[10]Analisys QBR By Machine Report'!$C$109:$BD$166,2,FALSE)</f>
        <v>34560</v>
      </c>
      <c r="C4" s="14">
        <f ca="1">VLOOKUP($B4,[10]Dasboard_QBR_Report!$B$109:$BL$166,3,FALSE)</f>
        <v>22320</v>
      </c>
      <c r="D4" s="13">
        <f ca="1">VLOOKUP($B4,'[10]Analisys QBR By Machine Report'!$C$109:$BD$166,3,FALSE)</f>
        <v>29760</v>
      </c>
      <c r="E4" s="14">
        <f ca="1">VLOOKUP($B4,[10]Dasboard_QBR_Report!$B$109:$BL$166,5,FALSE)</f>
        <v>17520</v>
      </c>
      <c r="F4" s="13">
        <f t="shared" ca="1" si="0"/>
        <v>4800</v>
      </c>
      <c r="G4" s="13">
        <f t="shared" ca="1" si="1"/>
        <v>0</v>
      </c>
      <c r="H4" s="13">
        <f ca="1">VLOOKUP($B4,'[10]Analisys QBR By Machine Report'!$C$109:$BD$166,4,FALSE)</f>
        <v>0</v>
      </c>
      <c r="I4" s="13">
        <f ca="1">VLOOKUP($B4,'[10]Analisys QBR By Machine Report'!$C$109:$BD$166,5,FALSE)</f>
        <v>0</v>
      </c>
      <c r="J4" s="13">
        <f ca="1">VLOOKUP($B4,'[10]Analisys QBR By Machine Report'!$C$109:$BD$166,6,FALSE)</f>
        <v>0</v>
      </c>
      <c r="K4" s="13">
        <f ca="1">VLOOKUP($B4,'[10]Analisys QBR By Machine Report'!$C$109:$BD$166,7,FALSE)</f>
        <v>0</v>
      </c>
      <c r="L4" s="13">
        <f ca="1">VLOOKUP($B4,'[10]Analisys QBR By Machine Report'!$C$109:$BD$166,8,FALSE)</f>
        <v>4800</v>
      </c>
      <c r="M4" s="13">
        <f ca="1">VLOOKUP($B4,'[10]Analisys QBR By Machine Report'!$C$109:$BD$166,9,FALSE)</f>
        <v>1197</v>
      </c>
      <c r="N4" s="13">
        <f ca="1">VLOOKUP($B4,[10]Dasboard_QBR_Report!$B$109:$BL$166,18,FALSE)</f>
        <v>3603</v>
      </c>
      <c r="O4" s="13">
        <f ca="1">VLOOKUP($B4,'[10]Analisys QBR By Machine Report'!$C$109:$BD$166,10,FALSE)</f>
        <v>137</v>
      </c>
      <c r="P4" s="13">
        <f ca="1">VLOOKUP($B4,'[10]Analisys QBR By Machine Report'!$C$109:$BD$166,11,FALSE)</f>
        <v>137</v>
      </c>
      <c r="Q4" s="13">
        <f ca="1">VLOOKUP($B4,'[10]Analisys QBR By Machine Report'!$C$109:$BD$166,12,FALSE)</f>
        <v>0</v>
      </c>
      <c r="R4" s="13">
        <f ca="1">VLOOKUP($B4,'[10]Analisys QBR By Machine Report'!$C$109:$BD$166,13,FALSE)</f>
        <v>0</v>
      </c>
      <c r="S4" s="13">
        <f ca="1">VLOOKUP($B4,'[10]Analisys QBR By Machine Report'!$C$109:$BD$166,14,FALSE)</f>
        <v>0</v>
      </c>
      <c r="T4" s="13">
        <f ca="1">VLOOKUP($B4,'[10]Analisys QBR By Machine Report'!$C$109:$BD$166,15,FALSE)</f>
        <v>20</v>
      </c>
      <c r="U4" s="13">
        <f ca="1">VLOOKUP($B4,'[10]Analisys QBR By Machine Report'!$C$109:$BD$166,16,FALSE)</f>
        <v>0</v>
      </c>
      <c r="V4" s="13">
        <f ca="1">VLOOKUP($B4,'[10]Analisys QBR By Machine Report'!$C$109:$BD$166,17,FALSE)</f>
        <v>0</v>
      </c>
      <c r="W4" s="13">
        <f ca="1">VLOOKUP($B4,'[10]Analisys QBR By Machine Report'!$C$109:$BD$166,18,FALSE)</f>
        <v>0</v>
      </c>
      <c r="X4" s="13">
        <f ca="1">VLOOKUP($B4,'[10]Analisys QBR By Machine Report'!$C$109:$BD$166,19,FALSE)</f>
        <v>20</v>
      </c>
      <c r="Y4" s="13">
        <f ca="1">VLOOKUP($B4,'[10]Analisys QBR By Machine Report'!$C$109:$BD$166,20,FALSE)</f>
        <v>0</v>
      </c>
      <c r="Z4" s="13">
        <f ca="1">VLOOKUP($B4,'[10]Analisys QBR By Machine Report'!$C$109:$BD$166,21,FALSE)</f>
        <v>2647</v>
      </c>
      <c r="AA4" s="13">
        <f ca="1">VLOOKUP($B4,'[10]Analisys QBR By Machine Report'!$C$109:$BD$166,22,FALSE)</f>
        <v>2171</v>
      </c>
      <c r="AB4" s="13">
        <f ca="1">VLOOKUP($B4,'[10]Analisys QBR By Machine Report'!$C$109:$BD$166,23,FALSE)</f>
        <v>415</v>
      </c>
      <c r="AC4" s="13">
        <f ca="1">VLOOKUP($B4,'[10]Analisys QBR By Machine Report'!$C$109:$BD$166,24,FALSE)</f>
        <v>1</v>
      </c>
      <c r="AD4" s="13">
        <f ca="1">VLOOKUP($B4,'[10]Analisys QBR By Machine Report'!$C$109:$BD$166,25,FALSE)</f>
        <v>0</v>
      </c>
      <c r="AE4" s="13">
        <f ca="1">VLOOKUP($B4,'[10]Analisys QBR By Machine Report'!$C$109:$BD$166,26,FALSE)</f>
        <v>60</v>
      </c>
      <c r="AF4" s="13">
        <f ca="1">VLOOKUP($B4,'[10]Analisys QBR By Machine Report'!$C$109:$BD$166,27,FALSE)</f>
        <v>0</v>
      </c>
      <c r="AG4" s="13">
        <f ca="1">VLOOKUP($B4,'[10]Analisys QBR By Machine Report'!$C$109:$BD$166,28,FALSE)</f>
        <v>0</v>
      </c>
      <c r="AH4" s="13">
        <f ca="1">VLOOKUP($B4,'[10]Analisys QBR By Machine Report'!$C$109:$BD$166,29,FALSE)</f>
        <v>0</v>
      </c>
      <c r="AI4" s="13">
        <f ca="1">VLOOKUP($B4,'[10]Analisys QBR By Machine Report'!$C$109:$BD$166,30,FALSE)</f>
        <v>799</v>
      </c>
      <c r="AJ4" s="13">
        <f ca="1">VLOOKUP($B4,'[10]Analisys QBR By Machine Report'!$C$109:$BD$166,31,FALSE)</f>
        <v>45</v>
      </c>
      <c r="AK4" s="13">
        <f ca="1">VLOOKUP($B4,'[10]Analisys QBR By Machine Report'!$C$109:$BD$166,32,FALSE)</f>
        <v>0</v>
      </c>
      <c r="AL4" s="13">
        <f ca="1">VLOOKUP($B4,'[10]Analisys QBR By Machine Report'!$C$109:$BD$166,33,FALSE)</f>
        <v>240</v>
      </c>
      <c r="AM4" s="13">
        <f ca="1">VLOOKUP($B4,'[10]Analisys QBR By Machine Report'!$C$109:$BD$166,34,FALSE)</f>
        <v>0</v>
      </c>
      <c r="AN4" s="13">
        <f ca="1">VLOOKUP($B4,'[10]Analisys QBR By Machine Report'!$C$109:$BD$166,35,FALSE)</f>
        <v>195</v>
      </c>
      <c r="AO4" s="13">
        <f ca="1">VLOOKUP($B4,'[10]Analisys QBR By Machine Report'!$C$109:$BD$166,36,FALSE)</f>
        <v>0</v>
      </c>
      <c r="AP4" s="13">
        <f ca="1">VLOOKUP($B4,'[10]Analisys QBR By Machine Report'!$C$109:$BD$166,37,FALSE)</f>
        <v>0</v>
      </c>
      <c r="AQ4" s="13">
        <f ca="1">VLOOKUP($B4,'[10]Analisys QBR By Machine Report'!$C$109:$BD$166,38,FALSE)</f>
        <v>0</v>
      </c>
      <c r="AR4" s="13">
        <f ca="1">VLOOKUP($B4,'[10]Analisys QBR By Machine Report'!$C$109:$BD$166,39,FALSE)</f>
        <v>0</v>
      </c>
      <c r="AS4" s="13">
        <f ca="1">VLOOKUP($B4,'[10]Analisys QBR By Machine Report'!$C$109:$BD$166,40,FALSE)</f>
        <v>0</v>
      </c>
      <c r="AT4" s="13">
        <f ca="1">VLOOKUP($B4,'[10]Analisys QBR By Machine Report'!$C$109:$BD$166,41,FALSE)</f>
        <v>0</v>
      </c>
      <c r="AU4" s="13">
        <f ca="1">VLOOKUP($B4,'[10]Analisys QBR By Machine Report'!$C$109:$BD$166,42,FALSE)</f>
        <v>319</v>
      </c>
      <c r="AV4" s="13">
        <f ca="1">VLOOKUP($B4,'[10]Analisys QBR By Machine Report'!$C$109:$BD$166,43,FALSE)</f>
        <v>0</v>
      </c>
      <c r="AW4" s="13">
        <f ca="1">VLOOKUP($B4,'[10]Analisys QBR By Machine Report'!$C$109:$BD$166,44,FALSE)</f>
        <v>0</v>
      </c>
      <c r="AX4" s="13">
        <f ca="1">VLOOKUP($B4,'[10]Analisys QBR By Machine Report'!$C$109:$BD$166,45,FALSE)</f>
        <v>0</v>
      </c>
      <c r="AY4" s="13">
        <f ca="1">VLOOKUP($B4,'[10]Analisys QBR By Machine Report'!$C$109:$BD$166,46,FALSE)</f>
        <v>0</v>
      </c>
      <c r="AZ4" s="13">
        <f ca="1">VLOOKUP($B4,'[10]Analisys QBR By Machine Report'!$C$109:$BD$166,47,FALSE)</f>
        <v>0</v>
      </c>
      <c r="BA4" s="13">
        <f ca="1">VLOOKUP($B4,'[10]Analisys QBR By Machine Report'!$C$109:$BD$166,48,FALSE)</f>
        <v>0</v>
      </c>
      <c r="BB4" s="13">
        <f ca="1">VLOOKUP($B4,'[10]Analisys QBR By Machine Report'!$C$109:$BD$166,49,FALSE)</f>
        <v>0</v>
      </c>
      <c r="BC4" s="13">
        <f ca="1">VLOOKUP($B4,'[10]Analisys QBR By Machine Report'!$C$109:$BD$166,50,FALSE)</f>
        <v>0</v>
      </c>
      <c r="BD4" s="13">
        <f ca="1">VLOOKUP($B4,'[10]Analisys QBR By Machine Report'!$C$109:$BD$166,51,FALSE)</f>
        <v>1460.98</v>
      </c>
      <c r="BE4" s="13">
        <f ca="1">VLOOKUP($B4,'[10]Analisys QBR By Machine Report'!$C$109:$BD$166,52,FALSE)</f>
        <v>0</v>
      </c>
      <c r="BF4" s="13">
        <f ca="1">VLOOKUP($B4,'[10]Analisys QBR By Machine Report'!$C$109:$BD$166,53,FALSE)</f>
        <v>1460.98</v>
      </c>
    </row>
    <row r="5" spans="1:58" x14ac:dyDescent="0.25">
      <c r="A5" s="12" t="s">
        <v>61</v>
      </c>
      <c r="B5" s="13">
        <f ca="1">VLOOKUP($B5,'[10]Analisys QBR By Machine Report'!$C$109:$BD$166,2,FALSE)</f>
        <v>34560</v>
      </c>
      <c r="C5" s="14">
        <f ca="1">VLOOKUP($B5,[10]Dasboard_QBR_Report!$B$109:$BL$166,3,FALSE)</f>
        <v>22320</v>
      </c>
      <c r="D5" s="13">
        <f ca="1">VLOOKUP($B5,'[10]Analisys QBR By Machine Report'!$C$109:$BD$166,3,FALSE)</f>
        <v>16020</v>
      </c>
      <c r="E5" s="14">
        <f ca="1">VLOOKUP($B5,[10]Dasboard_QBR_Report!$B$109:$BL$166,5,FALSE)</f>
        <v>3780</v>
      </c>
      <c r="F5" s="13">
        <f t="shared" ca="1" si="0"/>
        <v>18540</v>
      </c>
      <c r="G5" s="13">
        <f t="shared" ca="1" si="1"/>
        <v>4277</v>
      </c>
      <c r="H5" s="13">
        <f ca="1">VLOOKUP($B5,'[10]Analisys QBR By Machine Report'!$C$109:$BD$166,4,FALSE)</f>
        <v>4277</v>
      </c>
      <c r="I5" s="13">
        <f ca="1">VLOOKUP($B5,'[10]Analisys QBR By Machine Report'!$C$109:$BD$166,5,FALSE)</f>
        <v>110</v>
      </c>
      <c r="J5" s="13">
        <f ca="1">VLOOKUP($B5,'[10]Analisys QBR By Machine Report'!$C$109:$BD$166,6,FALSE)</f>
        <v>4167</v>
      </c>
      <c r="K5" s="13">
        <f ca="1">VLOOKUP($B5,'[10]Analisys QBR By Machine Report'!$C$109:$BD$166,7,FALSE)</f>
        <v>0</v>
      </c>
      <c r="L5" s="13">
        <f ca="1">VLOOKUP($B5,'[10]Analisys QBR By Machine Report'!$C$109:$BD$166,8,FALSE)</f>
        <v>14263</v>
      </c>
      <c r="M5" s="13">
        <f ca="1">VLOOKUP($B5,'[10]Analisys QBR By Machine Report'!$C$109:$BD$166,9,FALSE)</f>
        <v>707</v>
      </c>
      <c r="N5" s="13">
        <f ca="1">VLOOKUP($B5,[10]Dasboard_QBR_Report!$B$109:$BL$166,18,FALSE)</f>
        <v>13556</v>
      </c>
      <c r="O5" s="13">
        <f ca="1">VLOOKUP($B5,'[10]Analisys QBR By Machine Report'!$C$109:$BD$166,10,FALSE)</f>
        <v>472</v>
      </c>
      <c r="P5" s="13">
        <f ca="1">VLOOKUP($B5,'[10]Analisys QBR By Machine Report'!$C$109:$BD$166,11,FALSE)</f>
        <v>472</v>
      </c>
      <c r="Q5" s="13">
        <f ca="1">VLOOKUP($B5,'[10]Analisys QBR By Machine Report'!$C$109:$BD$166,12,FALSE)</f>
        <v>0</v>
      </c>
      <c r="R5" s="13">
        <f ca="1">VLOOKUP($B5,'[10]Analisys QBR By Machine Report'!$C$109:$BD$166,13,FALSE)</f>
        <v>0</v>
      </c>
      <c r="S5" s="13">
        <f ca="1">VLOOKUP($B5,'[10]Analisys QBR By Machine Report'!$C$109:$BD$166,14,FALSE)</f>
        <v>0</v>
      </c>
      <c r="T5" s="13">
        <f ca="1">VLOOKUP($B5,'[10]Analisys QBR By Machine Report'!$C$109:$BD$166,15,FALSE)</f>
        <v>0</v>
      </c>
      <c r="U5" s="13">
        <f ca="1">VLOOKUP($B5,'[10]Analisys QBR By Machine Report'!$C$109:$BD$166,16,FALSE)</f>
        <v>0</v>
      </c>
      <c r="V5" s="13">
        <f ca="1">VLOOKUP($B5,'[10]Analisys QBR By Machine Report'!$C$109:$BD$166,17,FALSE)</f>
        <v>0</v>
      </c>
      <c r="W5" s="13">
        <f ca="1">VLOOKUP($B5,'[10]Analisys QBR By Machine Report'!$C$109:$BD$166,18,FALSE)</f>
        <v>0</v>
      </c>
      <c r="X5" s="13">
        <f ca="1">VLOOKUP($B5,'[10]Analisys QBR By Machine Report'!$C$109:$BD$166,19,FALSE)</f>
        <v>0</v>
      </c>
      <c r="Y5" s="13">
        <f ca="1">VLOOKUP($B5,'[10]Analisys QBR By Machine Report'!$C$109:$BD$166,20,FALSE)</f>
        <v>0</v>
      </c>
      <c r="Z5" s="13">
        <f ca="1">VLOOKUP($B5,'[10]Analisys QBR By Machine Report'!$C$109:$BD$166,21,FALSE)</f>
        <v>4230</v>
      </c>
      <c r="AA5" s="13">
        <f ca="1">VLOOKUP($B5,'[10]Analisys QBR By Machine Report'!$C$109:$BD$166,22,FALSE)</f>
        <v>1301</v>
      </c>
      <c r="AB5" s="13">
        <f ca="1">VLOOKUP($B5,'[10]Analisys QBR By Machine Report'!$C$109:$BD$166,23,FALSE)</f>
        <v>2589</v>
      </c>
      <c r="AC5" s="13">
        <f ca="1">VLOOKUP($B5,'[10]Analisys QBR By Machine Report'!$C$109:$BD$166,24,FALSE)</f>
        <v>0</v>
      </c>
      <c r="AD5" s="13">
        <f ca="1">VLOOKUP($B5,'[10]Analisys QBR By Machine Report'!$C$109:$BD$166,25,FALSE)</f>
        <v>0</v>
      </c>
      <c r="AE5" s="13">
        <f ca="1">VLOOKUP($B5,'[10]Analisys QBR By Machine Report'!$C$109:$BD$166,26,FALSE)</f>
        <v>340</v>
      </c>
      <c r="AF5" s="13">
        <f ca="1">VLOOKUP($B5,'[10]Analisys QBR By Machine Report'!$C$109:$BD$166,27,FALSE)</f>
        <v>1065</v>
      </c>
      <c r="AG5" s="13">
        <f ca="1">VLOOKUP($B5,'[10]Analisys QBR By Machine Report'!$C$109:$BD$166,28,FALSE)</f>
        <v>0</v>
      </c>
      <c r="AH5" s="13">
        <f ca="1">VLOOKUP($B5,'[10]Analisys QBR By Machine Report'!$C$109:$BD$166,29,FALSE)</f>
        <v>1065</v>
      </c>
      <c r="AI5" s="13">
        <f ca="1">VLOOKUP($B5,'[10]Analisys QBR By Machine Report'!$C$109:$BD$166,30,FALSE)</f>
        <v>7789</v>
      </c>
      <c r="AJ5" s="13">
        <f ca="1">VLOOKUP($B5,'[10]Analisys QBR By Machine Report'!$C$109:$BD$166,31,FALSE)</f>
        <v>0</v>
      </c>
      <c r="AK5" s="13">
        <f ca="1">VLOOKUP($B5,'[10]Analisys QBR By Machine Report'!$C$109:$BD$166,32,FALSE)</f>
        <v>0</v>
      </c>
      <c r="AL5" s="13">
        <f ca="1">VLOOKUP($B5,'[10]Analisys QBR By Machine Report'!$C$109:$BD$166,33,FALSE)</f>
        <v>660</v>
      </c>
      <c r="AM5" s="13">
        <f ca="1">VLOOKUP($B5,'[10]Analisys QBR By Machine Report'!$C$109:$BD$166,34,FALSE)</f>
        <v>0</v>
      </c>
      <c r="AN5" s="13">
        <f ca="1">VLOOKUP($B5,'[10]Analisys QBR By Machine Report'!$C$109:$BD$166,35,FALSE)</f>
        <v>570</v>
      </c>
      <c r="AO5" s="13">
        <f ca="1">VLOOKUP($B5,'[10]Analisys QBR By Machine Report'!$C$109:$BD$166,36,FALSE)</f>
        <v>0</v>
      </c>
      <c r="AP5" s="13">
        <f ca="1">VLOOKUP($B5,'[10]Analisys QBR By Machine Report'!$C$109:$BD$166,37,FALSE)</f>
        <v>0</v>
      </c>
      <c r="AQ5" s="13">
        <f ca="1">VLOOKUP($B5,'[10]Analisys QBR By Machine Report'!$C$109:$BD$166,38,FALSE)</f>
        <v>0</v>
      </c>
      <c r="AR5" s="13">
        <f ca="1">VLOOKUP($B5,'[10]Analisys QBR By Machine Report'!$C$109:$BD$166,39,FALSE)</f>
        <v>6136</v>
      </c>
      <c r="AS5" s="13">
        <f ca="1">VLOOKUP($B5,'[10]Analisys QBR By Machine Report'!$C$109:$BD$166,40,FALSE)</f>
        <v>52</v>
      </c>
      <c r="AT5" s="13">
        <f ca="1">VLOOKUP($B5,'[10]Analisys QBR By Machine Report'!$C$109:$BD$166,41,FALSE)</f>
        <v>0</v>
      </c>
      <c r="AU5" s="13">
        <f ca="1">VLOOKUP($B5,'[10]Analisys QBR By Machine Report'!$C$109:$BD$166,42,FALSE)</f>
        <v>35</v>
      </c>
      <c r="AV5" s="13">
        <f ca="1">VLOOKUP($B5,'[10]Analisys QBR By Machine Report'!$C$109:$BD$166,43,FALSE)</f>
        <v>0</v>
      </c>
      <c r="AW5" s="13">
        <f ca="1">VLOOKUP($B5,'[10]Analisys QBR By Machine Report'!$C$109:$BD$166,44,FALSE)</f>
        <v>0</v>
      </c>
      <c r="AX5" s="13">
        <f ca="1">VLOOKUP($B5,'[10]Analisys QBR By Machine Report'!$C$109:$BD$166,45,FALSE)</f>
        <v>0</v>
      </c>
      <c r="AY5" s="13">
        <f ca="1">VLOOKUP($B5,'[10]Analisys QBR By Machine Report'!$C$109:$BD$166,46,FALSE)</f>
        <v>0</v>
      </c>
      <c r="AZ5" s="13">
        <f ca="1">VLOOKUP($B5,'[10]Analisys QBR By Machine Report'!$C$109:$BD$166,47,FALSE)</f>
        <v>336</v>
      </c>
      <c r="BA5" s="13">
        <f ca="1">VLOOKUP($B5,'[10]Analisys QBR By Machine Report'!$C$109:$BD$166,48,FALSE)</f>
        <v>0</v>
      </c>
      <c r="BB5" s="13">
        <f ca="1">VLOOKUP($B5,'[10]Analisys QBR By Machine Report'!$C$109:$BD$166,49,FALSE)</f>
        <v>0</v>
      </c>
      <c r="BC5" s="13">
        <f ca="1">VLOOKUP($B5,'[10]Analisys QBR By Machine Report'!$C$109:$BD$166,50,FALSE)</f>
        <v>0</v>
      </c>
      <c r="BD5" s="13">
        <f ca="1">VLOOKUP($B5,'[10]Analisys QBR By Machine Report'!$C$109:$BD$166,51,FALSE)</f>
        <v>4391.2</v>
      </c>
      <c r="BE5" s="13">
        <f ca="1">VLOOKUP($B5,'[10]Analisys QBR By Machine Report'!$C$109:$BD$166,52,FALSE)</f>
        <v>0</v>
      </c>
      <c r="BF5" s="13">
        <f ca="1">VLOOKUP($B5,'[10]Analisys QBR By Machine Report'!$C$109:$BD$166,53,FALSE)</f>
        <v>4391.2</v>
      </c>
    </row>
    <row r="6" spans="1:58" x14ac:dyDescent="0.25">
      <c r="A6" s="9" t="s">
        <v>62</v>
      </c>
      <c r="B6" s="10">
        <f ca="1">VLOOKUP($B6,'[10]Analisys QBR By Machine Report'!$C$109:$BD$166,2,FALSE)</f>
        <v>69120</v>
      </c>
      <c r="C6" s="11">
        <f ca="1">VLOOKUP($B6,[10]Dasboard_QBR_Report!$B$109:$BL$166,3,FALSE)</f>
        <v>23040</v>
      </c>
      <c r="D6" s="10">
        <f ca="1">VLOOKUP($B6,'[10]Analisys QBR By Machine Report'!$C$109:$BD$166,3,FALSE)</f>
        <v>63510</v>
      </c>
      <c r="E6" s="11">
        <f ca="1">VLOOKUP($B6,[10]Dasboard_QBR_Report!$B$109:$BL$166,5,FALSE)</f>
        <v>17430</v>
      </c>
      <c r="F6" s="10">
        <f t="shared" ca="1" si="0"/>
        <v>5610</v>
      </c>
      <c r="G6" s="10">
        <f t="shared" ca="1" si="1"/>
        <v>875</v>
      </c>
      <c r="H6" s="10">
        <f ca="1">VLOOKUP($B6,'[10]Analisys QBR By Machine Report'!$C$109:$BD$166,4,FALSE)</f>
        <v>875</v>
      </c>
      <c r="I6" s="10">
        <f ca="1">VLOOKUP($B6,'[10]Analisys QBR By Machine Report'!$C$109:$BD$166,5,FALSE)</f>
        <v>0</v>
      </c>
      <c r="J6" s="10">
        <f ca="1">VLOOKUP($B6,'[10]Analisys QBR By Machine Report'!$C$109:$BD$166,6,FALSE)</f>
        <v>875</v>
      </c>
      <c r="K6" s="10">
        <f ca="1">VLOOKUP($B6,'[10]Analisys QBR By Machine Report'!$C$109:$BD$166,7,FALSE)</f>
        <v>0</v>
      </c>
      <c r="L6" s="10">
        <f ca="1">VLOOKUP($B6,'[10]Analisys QBR By Machine Report'!$C$109:$BD$166,8,FALSE)</f>
        <v>4735</v>
      </c>
      <c r="M6" s="10">
        <f ca="1">VLOOKUP($B6,'[10]Analisys QBR By Machine Report'!$C$109:$BD$166,9,FALSE)</f>
        <v>1935</v>
      </c>
      <c r="N6" s="10">
        <f ca="1">VLOOKUP($B6,[10]Dasboard_QBR_Report!$B$109:$BL$166,18,FALSE)</f>
        <v>2800</v>
      </c>
      <c r="O6" s="10">
        <f ca="1">VLOOKUP($B6,'[10]Analisys QBR By Machine Report'!$C$109:$BD$166,10,FALSE)</f>
        <v>475</v>
      </c>
      <c r="P6" s="10">
        <f ca="1">VLOOKUP($B6,'[10]Analisys QBR By Machine Report'!$C$109:$BD$166,11,FALSE)</f>
        <v>475</v>
      </c>
      <c r="Q6" s="10">
        <f ca="1">VLOOKUP($B6,'[10]Analisys QBR By Machine Report'!$C$109:$BD$166,12,FALSE)</f>
        <v>0</v>
      </c>
      <c r="R6" s="10">
        <f ca="1">VLOOKUP($B6,'[10]Analisys QBR By Machine Report'!$C$109:$BD$166,13,FALSE)</f>
        <v>0</v>
      </c>
      <c r="S6" s="10">
        <f ca="1">VLOOKUP($B6,'[10]Analisys QBR By Machine Report'!$C$109:$BD$166,14,FALSE)</f>
        <v>0</v>
      </c>
      <c r="T6" s="10">
        <f ca="1">VLOOKUP($B6,'[10]Analisys QBR By Machine Report'!$C$109:$BD$166,15,FALSE)</f>
        <v>0</v>
      </c>
      <c r="U6" s="10">
        <f ca="1">VLOOKUP($B6,'[10]Analisys QBR By Machine Report'!$C$109:$BD$166,16,FALSE)</f>
        <v>0</v>
      </c>
      <c r="V6" s="10">
        <f ca="1">VLOOKUP($B6,'[10]Analisys QBR By Machine Report'!$C$109:$BD$166,17,FALSE)</f>
        <v>0</v>
      </c>
      <c r="W6" s="10">
        <f ca="1">VLOOKUP($B6,'[10]Analisys QBR By Machine Report'!$C$109:$BD$166,18,FALSE)</f>
        <v>0</v>
      </c>
      <c r="X6" s="10">
        <f ca="1">VLOOKUP($B6,'[10]Analisys QBR By Machine Report'!$C$109:$BD$166,19,FALSE)</f>
        <v>0</v>
      </c>
      <c r="Y6" s="10">
        <f ca="1">VLOOKUP($B6,'[10]Analisys QBR By Machine Report'!$C$109:$BD$166,20,FALSE)</f>
        <v>0</v>
      </c>
      <c r="Z6" s="10">
        <f ca="1">VLOOKUP($B6,'[10]Analisys QBR By Machine Report'!$C$109:$BD$166,21,FALSE)</f>
        <v>1395</v>
      </c>
      <c r="AA6" s="10">
        <f ca="1">VLOOKUP($B6,'[10]Analisys QBR By Machine Report'!$C$109:$BD$166,22,FALSE)</f>
        <v>500</v>
      </c>
      <c r="AB6" s="10">
        <f ca="1">VLOOKUP($B6,'[10]Analisys QBR By Machine Report'!$C$109:$BD$166,23,FALSE)</f>
        <v>620</v>
      </c>
      <c r="AC6" s="10">
        <f ca="1">VLOOKUP($B6,'[10]Analisys QBR By Machine Report'!$C$109:$BD$166,24,FALSE)</f>
        <v>210</v>
      </c>
      <c r="AD6" s="10">
        <f ca="1">VLOOKUP($B6,'[10]Analisys QBR By Machine Report'!$C$109:$BD$166,25,FALSE)</f>
        <v>0</v>
      </c>
      <c r="AE6" s="10">
        <f ca="1">VLOOKUP($B6,'[10]Analisys QBR By Machine Report'!$C$109:$BD$166,26,FALSE)</f>
        <v>65</v>
      </c>
      <c r="AF6" s="10">
        <f ca="1">VLOOKUP($B6,'[10]Analisys QBR By Machine Report'!$C$109:$BD$166,27,FALSE)</f>
        <v>0</v>
      </c>
      <c r="AG6" s="10">
        <f ca="1">VLOOKUP($B6,'[10]Analisys QBR By Machine Report'!$C$109:$BD$166,28,FALSE)</f>
        <v>0</v>
      </c>
      <c r="AH6" s="10">
        <f ca="1">VLOOKUP($B6,'[10]Analisys QBR By Machine Report'!$C$109:$BD$166,29,FALSE)</f>
        <v>0</v>
      </c>
      <c r="AI6" s="10">
        <f ca="1">VLOOKUP($B6,'[10]Analisys QBR By Machine Report'!$C$109:$BD$166,30,FALSE)</f>
        <v>930</v>
      </c>
      <c r="AJ6" s="10">
        <f ca="1">VLOOKUP($B6,'[10]Analisys QBR By Machine Report'!$C$109:$BD$166,31,FALSE)</f>
        <v>0</v>
      </c>
      <c r="AK6" s="10">
        <f ca="1">VLOOKUP($B6,'[10]Analisys QBR By Machine Report'!$C$109:$BD$166,32,FALSE)</f>
        <v>95</v>
      </c>
      <c r="AL6" s="10">
        <f ca="1">VLOOKUP($B6,'[10]Analisys QBR By Machine Report'!$C$109:$BD$166,33,FALSE)</f>
        <v>270</v>
      </c>
      <c r="AM6" s="10">
        <f ca="1">VLOOKUP($B6,'[10]Analisys QBR By Machine Report'!$C$109:$BD$166,34,FALSE)</f>
        <v>0</v>
      </c>
      <c r="AN6" s="10">
        <f ca="1">VLOOKUP($B6,'[10]Analisys QBR By Machine Report'!$C$109:$BD$166,35,FALSE)</f>
        <v>255</v>
      </c>
      <c r="AO6" s="10">
        <f ca="1">VLOOKUP($B6,'[10]Analisys QBR By Machine Report'!$C$109:$BD$166,36,FALSE)</f>
        <v>0</v>
      </c>
      <c r="AP6" s="10">
        <f ca="1">VLOOKUP($B6,'[10]Analisys QBR By Machine Report'!$C$109:$BD$166,37,FALSE)</f>
        <v>35</v>
      </c>
      <c r="AQ6" s="10">
        <f ca="1">VLOOKUP($B6,'[10]Analisys QBR By Machine Report'!$C$109:$BD$166,38,FALSE)</f>
        <v>0</v>
      </c>
      <c r="AR6" s="10">
        <f ca="1">VLOOKUP($B6,'[10]Analisys QBR By Machine Report'!$C$109:$BD$166,39,FALSE)</f>
        <v>0</v>
      </c>
      <c r="AS6" s="10">
        <f ca="1">VLOOKUP($B6,'[10]Analisys QBR By Machine Report'!$C$109:$BD$166,40,FALSE)</f>
        <v>85</v>
      </c>
      <c r="AT6" s="10">
        <f ca="1">VLOOKUP($B6,'[10]Analisys QBR By Machine Report'!$C$109:$BD$166,41,FALSE)</f>
        <v>0</v>
      </c>
      <c r="AU6" s="10">
        <f ca="1">VLOOKUP($B6,'[10]Analisys QBR By Machine Report'!$C$109:$BD$166,42,FALSE)</f>
        <v>0</v>
      </c>
      <c r="AV6" s="10">
        <f ca="1">VLOOKUP($B6,'[10]Analisys QBR By Machine Report'!$C$109:$BD$166,43,FALSE)</f>
        <v>0</v>
      </c>
      <c r="AW6" s="10">
        <f ca="1">VLOOKUP($B6,'[10]Analisys QBR By Machine Report'!$C$109:$BD$166,44,FALSE)</f>
        <v>0</v>
      </c>
      <c r="AX6" s="10">
        <f ca="1">VLOOKUP($B6,'[10]Analisys QBR By Machine Report'!$C$109:$BD$166,45,FALSE)</f>
        <v>0</v>
      </c>
      <c r="AY6" s="10">
        <f ca="1">VLOOKUP($B6,'[10]Analisys QBR By Machine Report'!$C$109:$BD$166,46,FALSE)</f>
        <v>0</v>
      </c>
      <c r="AZ6" s="10">
        <f ca="1">VLOOKUP($B6,'[10]Analisys QBR By Machine Report'!$C$109:$BD$166,47,FALSE)</f>
        <v>190</v>
      </c>
      <c r="BA6" s="10">
        <f ca="1">VLOOKUP($B6,'[10]Analisys QBR By Machine Report'!$C$109:$BD$166,48,FALSE)</f>
        <v>0</v>
      </c>
      <c r="BB6" s="10">
        <f ca="1">VLOOKUP($B6,'[10]Analisys QBR By Machine Report'!$C$109:$BD$166,49,FALSE)</f>
        <v>0</v>
      </c>
      <c r="BC6" s="10">
        <f ca="1">VLOOKUP($B6,'[10]Analisys QBR By Machine Report'!$C$109:$BD$166,50,FALSE)</f>
        <v>0</v>
      </c>
      <c r="BD6" s="10">
        <f ca="1">VLOOKUP($B6,'[10]Analisys QBR By Machine Report'!$C$109:$BD$166,51,FALSE)</f>
        <v>620363</v>
      </c>
      <c r="BE6" s="10">
        <f ca="1">VLOOKUP($B6,'[10]Analisys QBR By Machine Report'!$C$109:$BD$166,52,FALSE)</f>
        <v>0</v>
      </c>
      <c r="BF6" s="10">
        <f ca="1">VLOOKUP($B6,'[10]Analisys QBR By Machine Report'!$C$109:$BD$166,53,FALSE)</f>
        <v>620363</v>
      </c>
    </row>
    <row r="7" spans="1:58" x14ac:dyDescent="0.25">
      <c r="A7" s="12" t="s">
        <v>63</v>
      </c>
      <c r="B7" s="13">
        <f ca="1">VLOOKUP($B7,'[10]Analisys QBR By Machine Report'!$C$109:$BD$166,2,FALSE)</f>
        <v>34560</v>
      </c>
      <c r="C7" s="14">
        <f ca="1">VLOOKUP($B7,[10]Dasboard_QBR_Report!$B$109:$BL$166,3,FALSE)</f>
        <v>11520</v>
      </c>
      <c r="D7" s="13">
        <f ca="1">VLOOKUP($B7,'[10]Analisys QBR By Machine Report'!$C$109:$BD$166,3,FALSE)</f>
        <v>29970</v>
      </c>
      <c r="E7" s="14">
        <f ca="1">VLOOKUP($B7,[10]Dasboard_QBR_Report!$B$109:$BL$166,5,FALSE)</f>
        <v>6930</v>
      </c>
      <c r="F7" s="13">
        <f t="shared" ca="1" si="0"/>
        <v>4590</v>
      </c>
      <c r="G7" s="13">
        <f t="shared" ca="1" si="1"/>
        <v>90</v>
      </c>
      <c r="H7" s="13">
        <f ca="1">VLOOKUP($B7,'[10]Analisys QBR By Machine Report'!$C$109:$BD$166,4,FALSE)</f>
        <v>90</v>
      </c>
      <c r="I7" s="13">
        <f ca="1">VLOOKUP($B7,'[10]Analisys QBR By Machine Report'!$C$109:$BD$166,5,FALSE)</f>
        <v>0</v>
      </c>
      <c r="J7" s="13">
        <f ca="1">VLOOKUP($B7,'[10]Analisys QBR By Machine Report'!$C$109:$BD$166,6,FALSE)</f>
        <v>90</v>
      </c>
      <c r="K7" s="13">
        <f ca="1">VLOOKUP($B7,'[10]Analisys QBR By Machine Report'!$C$109:$BD$166,7,FALSE)</f>
        <v>0</v>
      </c>
      <c r="L7" s="13">
        <f ca="1">VLOOKUP($B7,'[10]Analisys QBR By Machine Report'!$C$109:$BD$166,8,FALSE)</f>
        <v>4500</v>
      </c>
      <c r="M7" s="13">
        <f ca="1">VLOOKUP($B7,'[10]Analisys QBR By Machine Report'!$C$109:$BD$166,9,FALSE)</f>
        <v>1850</v>
      </c>
      <c r="N7" s="13">
        <f ca="1">VLOOKUP($B7,[10]Dasboard_QBR_Report!$B$109:$BL$166,18,FALSE)</f>
        <v>2650</v>
      </c>
      <c r="O7" s="13">
        <f ca="1">VLOOKUP($B7,'[10]Analisys QBR By Machine Report'!$C$109:$BD$166,10,FALSE)</f>
        <v>420</v>
      </c>
      <c r="P7" s="13">
        <f ca="1">VLOOKUP($B7,'[10]Analisys QBR By Machine Report'!$C$109:$BD$166,11,FALSE)</f>
        <v>420</v>
      </c>
      <c r="Q7" s="13">
        <f ca="1">VLOOKUP($B7,'[10]Analisys QBR By Machine Report'!$C$109:$BD$166,12,FALSE)</f>
        <v>0</v>
      </c>
      <c r="R7" s="13">
        <f ca="1">VLOOKUP($B7,'[10]Analisys QBR By Machine Report'!$C$109:$BD$166,13,FALSE)</f>
        <v>0</v>
      </c>
      <c r="S7" s="13">
        <f ca="1">VLOOKUP($B7,'[10]Analisys QBR By Machine Report'!$C$109:$BD$166,14,FALSE)</f>
        <v>0</v>
      </c>
      <c r="T7" s="13">
        <f ca="1">VLOOKUP($B7,'[10]Analisys QBR By Machine Report'!$C$109:$BD$166,15,FALSE)</f>
        <v>0</v>
      </c>
      <c r="U7" s="13">
        <f ca="1">VLOOKUP($B7,'[10]Analisys QBR By Machine Report'!$C$109:$BD$166,16,FALSE)</f>
        <v>0</v>
      </c>
      <c r="V7" s="13">
        <f ca="1">VLOOKUP($B7,'[10]Analisys QBR By Machine Report'!$C$109:$BD$166,17,FALSE)</f>
        <v>0</v>
      </c>
      <c r="W7" s="13">
        <f ca="1">VLOOKUP($B7,'[10]Analisys QBR By Machine Report'!$C$109:$BD$166,18,FALSE)</f>
        <v>0</v>
      </c>
      <c r="X7" s="13">
        <f ca="1">VLOOKUP($B7,'[10]Analisys QBR By Machine Report'!$C$109:$BD$166,19,FALSE)</f>
        <v>0</v>
      </c>
      <c r="Y7" s="13">
        <f ca="1">VLOOKUP($B7,'[10]Analisys QBR By Machine Report'!$C$109:$BD$166,20,FALSE)</f>
        <v>0</v>
      </c>
      <c r="Z7" s="13">
        <f ca="1">VLOOKUP($B7,'[10]Analisys QBR By Machine Report'!$C$109:$BD$166,21,FALSE)</f>
        <v>1300</v>
      </c>
      <c r="AA7" s="13">
        <f ca="1">VLOOKUP($B7,'[10]Analisys QBR By Machine Report'!$C$109:$BD$166,22,FALSE)</f>
        <v>475</v>
      </c>
      <c r="AB7" s="13">
        <f ca="1">VLOOKUP($B7,'[10]Analisys QBR By Machine Report'!$C$109:$BD$166,23,FALSE)</f>
        <v>560</v>
      </c>
      <c r="AC7" s="13">
        <f ca="1">VLOOKUP($B7,'[10]Analisys QBR By Machine Report'!$C$109:$BD$166,24,FALSE)</f>
        <v>210</v>
      </c>
      <c r="AD7" s="13">
        <f ca="1">VLOOKUP($B7,'[10]Analisys QBR By Machine Report'!$C$109:$BD$166,25,FALSE)</f>
        <v>0</v>
      </c>
      <c r="AE7" s="13">
        <f ca="1">VLOOKUP($B7,'[10]Analisys QBR By Machine Report'!$C$109:$BD$166,26,FALSE)</f>
        <v>55</v>
      </c>
      <c r="AF7" s="13">
        <f ca="1">VLOOKUP($B7,'[10]Analisys QBR By Machine Report'!$C$109:$BD$166,27,FALSE)</f>
        <v>0</v>
      </c>
      <c r="AG7" s="13">
        <f ca="1">VLOOKUP($B7,'[10]Analisys QBR By Machine Report'!$C$109:$BD$166,28,FALSE)</f>
        <v>0</v>
      </c>
      <c r="AH7" s="13">
        <f ca="1">VLOOKUP($B7,'[10]Analisys QBR By Machine Report'!$C$109:$BD$166,29,FALSE)</f>
        <v>0</v>
      </c>
      <c r="AI7" s="13">
        <f ca="1">VLOOKUP($B7,'[10]Analisys QBR By Machine Report'!$C$109:$BD$166,30,FALSE)</f>
        <v>930</v>
      </c>
      <c r="AJ7" s="13">
        <f ca="1">VLOOKUP($B7,'[10]Analisys QBR By Machine Report'!$C$109:$BD$166,31,FALSE)</f>
        <v>0</v>
      </c>
      <c r="AK7" s="13">
        <f ca="1">VLOOKUP($B7,'[10]Analisys QBR By Machine Report'!$C$109:$BD$166,32,FALSE)</f>
        <v>95</v>
      </c>
      <c r="AL7" s="13">
        <f ca="1">VLOOKUP($B7,'[10]Analisys QBR By Machine Report'!$C$109:$BD$166,33,FALSE)</f>
        <v>270</v>
      </c>
      <c r="AM7" s="13">
        <f ca="1">VLOOKUP($B7,'[10]Analisys QBR By Machine Report'!$C$109:$BD$166,34,FALSE)</f>
        <v>0</v>
      </c>
      <c r="AN7" s="13">
        <f ca="1">VLOOKUP($B7,'[10]Analisys QBR By Machine Report'!$C$109:$BD$166,35,FALSE)</f>
        <v>255</v>
      </c>
      <c r="AO7" s="13">
        <f ca="1">VLOOKUP($B7,'[10]Analisys QBR By Machine Report'!$C$109:$BD$166,36,FALSE)</f>
        <v>0</v>
      </c>
      <c r="AP7" s="13">
        <f ca="1">VLOOKUP($B7,'[10]Analisys QBR By Machine Report'!$C$109:$BD$166,37,FALSE)</f>
        <v>35</v>
      </c>
      <c r="AQ7" s="13">
        <f ca="1">VLOOKUP($B7,'[10]Analisys QBR By Machine Report'!$C$109:$BD$166,38,FALSE)</f>
        <v>0</v>
      </c>
      <c r="AR7" s="13">
        <f ca="1">VLOOKUP($B7,'[10]Analisys QBR By Machine Report'!$C$109:$BD$166,39,FALSE)</f>
        <v>0</v>
      </c>
      <c r="AS7" s="13">
        <f ca="1">VLOOKUP($B7,'[10]Analisys QBR By Machine Report'!$C$109:$BD$166,40,FALSE)</f>
        <v>85</v>
      </c>
      <c r="AT7" s="13">
        <f ca="1">VLOOKUP($B7,'[10]Analisys QBR By Machine Report'!$C$109:$BD$166,41,FALSE)</f>
        <v>0</v>
      </c>
      <c r="AU7" s="13">
        <f ca="1">VLOOKUP($B7,'[10]Analisys QBR By Machine Report'!$C$109:$BD$166,42,FALSE)</f>
        <v>0</v>
      </c>
      <c r="AV7" s="13">
        <f ca="1">VLOOKUP($B7,'[10]Analisys QBR By Machine Report'!$C$109:$BD$166,43,FALSE)</f>
        <v>0</v>
      </c>
      <c r="AW7" s="13">
        <f ca="1">VLOOKUP($B7,'[10]Analisys QBR By Machine Report'!$C$109:$BD$166,44,FALSE)</f>
        <v>0</v>
      </c>
      <c r="AX7" s="13">
        <f ca="1">VLOOKUP($B7,'[10]Analisys QBR By Machine Report'!$C$109:$BD$166,45,FALSE)</f>
        <v>0</v>
      </c>
      <c r="AY7" s="13">
        <f ca="1">VLOOKUP($B7,'[10]Analisys QBR By Machine Report'!$C$109:$BD$166,46,FALSE)</f>
        <v>0</v>
      </c>
      <c r="AZ7" s="13">
        <f ca="1">VLOOKUP($B7,'[10]Analisys QBR By Machine Report'!$C$109:$BD$166,47,FALSE)</f>
        <v>190</v>
      </c>
      <c r="BA7" s="13">
        <f ca="1">VLOOKUP($B7,'[10]Analisys QBR By Machine Report'!$C$109:$BD$166,48,FALSE)</f>
        <v>0</v>
      </c>
      <c r="BB7" s="13">
        <f ca="1">VLOOKUP($B7,'[10]Analisys QBR By Machine Report'!$C$109:$BD$166,49,FALSE)</f>
        <v>0</v>
      </c>
      <c r="BC7" s="13">
        <f ca="1">VLOOKUP($B7,'[10]Analisys QBR By Machine Report'!$C$109:$BD$166,50,FALSE)</f>
        <v>0</v>
      </c>
      <c r="BD7" s="13">
        <f ca="1">VLOOKUP($B7,'[10]Analisys QBR By Machine Report'!$C$109:$BD$166,51,FALSE)</f>
        <v>484211</v>
      </c>
      <c r="BE7" s="13">
        <f ca="1">VLOOKUP($B7,'[10]Analisys QBR By Machine Report'!$C$109:$BD$166,52,FALSE)</f>
        <v>0</v>
      </c>
      <c r="BF7" s="13">
        <f ca="1">VLOOKUP($B7,'[10]Analisys QBR By Machine Report'!$C$109:$BD$166,53,FALSE)</f>
        <v>484211</v>
      </c>
    </row>
    <row r="8" spans="1:58" x14ac:dyDescent="0.25">
      <c r="A8" s="12" t="s">
        <v>64</v>
      </c>
      <c r="B8" s="13">
        <f ca="1">VLOOKUP($B8,'[10]Analisys QBR By Machine Report'!$C$109:$BD$166,2,FALSE)</f>
        <v>34560</v>
      </c>
      <c r="C8" s="14">
        <f ca="1">VLOOKUP($B8,[10]Dasboard_QBR_Report!$B$109:$BL$166,3,FALSE)</f>
        <v>11520</v>
      </c>
      <c r="D8" s="13">
        <f ca="1">VLOOKUP($B8,'[10]Analisys QBR By Machine Report'!$C$109:$BD$166,3,FALSE)</f>
        <v>33540</v>
      </c>
      <c r="E8" s="14">
        <f ca="1">VLOOKUP($B8,[10]Dasboard_QBR_Report!$B$109:$BL$166,5,FALSE)</f>
        <v>10500</v>
      </c>
      <c r="F8" s="13">
        <f t="shared" ca="1" si="0"/>
        <v>1020</v>
      </c>
      <c r="G8" s="13">
        <f t="shared" ca="1" si="1"/>
        <v>785</v>
      </c>
      <c r="H8" s="13">
        <f ca="1">VLOOKUP($B8,'[10]Analisys QBR By Machine Report'!$C$109:$BD$166,4,FALSE)</f>
        <v>785</v>
      </c>
      <c r="I8" s="13">
        <f ca="1">VLOOKUP($B8,'[10]Analisys QBR By Machine Report'!$C$109:$BD$166,5,FALSE)</f>
        <v>0</v>
      </c>
      <c r="J8" s="13">
        <f ca="1">VLOOKUP($B8,'[10]Analisys QBR By Machine Report'!$C$109:$BD$166,6,FALSE)</f>
        <v>785</v>
      </c>
      <c r="K8" s="13">
        <f ca="1">VLOOKUP($B8,'[10]Analisys QBR By Machine Report'!$C$109:$BD$166,7,FALSE)</f>
        <v>0</v>
      </c>
      <c r="L8" s="13">
        <f ca="1">VLOOKUP($B8,'[10]Analisys QBR By Machine Report'!$C$109:$BD$166,8,FALSE)</f>
        <v>235</v>
      </c>
      <c r="M8" s="13">
        <f ca="1">VLOOKUP($B8,'[10]Analisys QBR By Machine Report'!$C$109:$BD$166,9,FALSE)</f>
        <v>85</v>
      </c>
      <c r="N8" s="13">
        <f ca="1">VLOOKUP($B8,[10]Dasboard_QBR_Report!$B$109:$BL$166,18,FALSE)</f>
        <v>150</v>
      </c>
      <c r="O8" s="13">
        <f ca="1">VLOOKUP($B8,'[10]Analisys QBR By Machine Report'!$C$109:$BD$166,10,FALSE)</f>
        <v>55</v>
      </c>
      <c r="P8" s="13">
        <f ca="1">VLOOKUP($B8,'[10]Analisys QBR By Machine Report'!$C$109:$BD$166,11,FALSE)</f>
        <v>55</v>
      </c>
      <c r="Q8" s="13">
        <f ca="1">VLOOKUP($B8,'[10]Analisys QBR By Machine Report'!$C$109:$BD$166,12,FALSE)</f>
        <v>0</v>
      </c>
      <c r="R8" s="13">
        <f ca="1">VLOOKUP($B8,'[10]Analisys QBR By Machine Report'!$C$109:$BD$166,13,FALSE)</f>
        <v>0</v>
      </c>
      <c r="S8" s="13">
        <f ca="1">VLOOKUP($B8,'[10]Analisys QBR By Machine Report'!$C$109:$BD$166,14,FALSE)</f>
        <v>0</v>
      </c>
      <c r="T8" s="13">
        <f ca="1">VLOOKUP($B8,'[10]Analisys QBR By Machine Report'!$C$109:$BD$166,15,FALSE)</f>
        <v>0</v>
      </c>
      <c r="U8" s="13">
        <f ca="1">VLOOKUP($B8,'[10]Analisys QBR By Machine Report'!$C$109:$BD$166,16,FALSE)</f>
        <v>0</v>
      </c>
      <c r="V8" s="13">
        <f ca="1">VLOOKUP($B8,'[10]Analisys QBR By Machine Report'!$C$109:$BD$166,17,FALSE)</f>
        <v>0</v>
      </c>
      <c r="W8" s="13">
        <f ca="1">VLOOKUP($B8,'[10]Analisys QBR By Machine Report'!$C$109:$BD$166,18,FALSE)</f>
        <v>0</v>
      </c>
      <c r="X8" s="13">
        <f ca="1">VLOOKUP($B8,'[10]Analisys QBR By Machine Report'!$C$109:$BD$166,19,FALSE)</f>
        <v>0</v>
      </c>
      <c r="Y8" s="13">
        <f ca="1">VLOOKUP($B8,'[10]Analisys QBR By Machine Report'!$C$109:$BD$166,20,FALSE)</f>
        <v>0</v>
      </c>
      <c r="Z8" s="13">
        <f ca="1">VLOOKUP($B8,'[10]Analisys QBR By Machine Report'!$C$109:$BD$166,21,FALSE)</f>
        <v>95</v>
      </c>
      <c r="AA8" s="13">
        <f ca="1">VLOOKUP($B8,'[10]Analisys QBR By Machine Report'!$C$109:$BD$166,22,FALSE)</f>
        <v>25</v>
      </c>
      <c r="AB8" s="13">
        <f ca="1">VLOOKUP($B8,'[10]Analisys QBR By Machine Report'!$C$109:$BD$166,23,FALSE)</f>
        <v>60</v>
      </c>
      <c r="AC8" s="13">
        <f ca="1">VLOOKUP($B8,'[10]Analisys QBR By Machine Report'!$C$109:$BD$166,24,FALSE)</f>
        <v>0</v>
      </c>
      <c r="AD8" s="13">
        <f ca="1">VLOOKUP($B8,'[10]Analisys QBR By Machine Report'!$C$109:$BD$166,25,FALSE)</f>
        <v>0</v>
      </c>
      <c r="AE8" s="13">
        <f ca="1">VLOOKUP($B8,'[10]Analisys QBR By Machine Report'!$C$109:$BD$166,26,FALSE)</f>
        <v>10</v>
      </c>
      <c r="AF8" s="13">
        <f ca="1">VLOOKUP($B8,'[10]Analisys QBR By Machine Report'!$C$109:$BD$166,27,FALSE)</f>
        <v>0</v>
      </c>
      <c r="AG8" s="13">
        <f ca="1">VLOOKUP($B8,'[10]Analisys QBR By Machine Report'!$C$109:$BD$166,28,FALSE)</f>
        <v>0</v>
      </c>
      <c r="AH8" s="13">
        <f ca="1">VLOOKUP($B8,'[10]Analisys QBR By Machine Report'!$C$109:$BD$166,29,FALSE)</f>
        <v>0</v>
      </c>
      <c r="AI8" s="13">
        <f ca="1">VLOOKUP($B8,'[10]Analisys QBR By Machine Report'!$C$109:$BD$166,30,FALSE)</f>
        <v>0</v>
      </c>
      <c r="AJ8" s="13">
        <f ca="1">VLOOKUP($B8,'[10]Analisys QBR By Machine Report'!$C$109:$BD$166,31,FALSE)</f>
        <v>0</v>
      </c>
      <c r="AK8" s="13">
        <f ca="1">VLOOKUP($B8,'[10]Analisys QBR By Machine Report'!$C$109:$BD$166,32,FALSE)</f>
        <v>0</v>
      </c>
      <c r="AL8" s="13">
        <f ca="1">VLOOKUP($B8,'[10]Analisys QBR By Machine Report'!$C$109:$BD$166,33,FALSE)</f>
        <v>0</v>
      </c>
      <c r="AM8" s="13">
        <f ca="1">VLOOKUP($B8,'[10]Analisys QBR By Machine Report'!$C$109:$BD$166,34,FALSE)</f>
        <v>0</v>
      </c>
      <c r="AN8" s="13">
        <f ca="1">VLOOKUP($B8,'[10]Analisys QBR By Machine Report'!$C$109:$BD$166,35,FALSE)</f>
        <v>0</v>
      </c>
      <c r="AO8" s="13">
        <f ca="1">VLOOKUP($B8,'[10]Analisys QBR By Machine Report'!$C$109:$BD$166,36,FALSE)</f>
        <v>0</v>
      </c>
      <c r="AP8" s="13">
        <f ca="1">VLOOKUP($B8,'[10]Analisys QBR By Machine Report'!$C$109:$BD$166,37,FALSE)</f>
        <v>0</v>
      </c>
      <c r="AQ8" s="13">
        <f ca="1">VLOOKUP($B8,'[10]Analisys QBR By Machine Report'!$C$109:$BD$166,38,FALSE)</f>
        <v>0</v>
      </c>
      <c r="AR8" s="13">
        <f ca="1">VLOOKUP($B8,'[10]Analisys QBR By Machine Report'!$C$109:$BD$166,39,FALSE)</f>
        <v>0</v>
      </c>
      <c r="AS8" s="13">
        <f ca="1">VLOOKUP($B8,'[10]Analisys QBR By Machine Report'!$C$109:$BD$166,40,FALSE)</f>
        <v>0</v>
      </c>
      <c r="AT8" s="13">
        <f ca="1">VLOOKUP($B8,'[10]Analisys QBR By Machine Report'!$C$109:$BD$166,41,FALSE)</f>
        <v>0</v>
      </c>
      <c r="AU8" s="13">
        <f ca="1">VLOOKUP($B8,'[10]Analisys QBR By Machine Report'!$C$109:$BD$166,42,FALSE)</f>
        <v>0</v>
      </c>
      <c r="AV8" s="13">
        <f ca="1">VLOOKUP($B8,'[10]Analisys QBR By Machine Report'!$C$109:$BD$166,43,FALSE)</f>
        <v>0</v>
      </c>
      <c r="AW8" s="13">
        <f ca="1">VLOOKUP($B8,'[10]Analisys QBR By Machine Report'!$C$109:$BD$166,44,FALSE)</f>
        <v>0</v>
      </c>
      <c r="AX8" s="13">
        <f ca="1">VLOOKUP($B8,'[10]Analisys QBR By Machine Report'!$C$109:$BD$166,45,FALSE)</f>
        <v>0</v>
      </c>
      <c r="AY8" s="13">
        <f ca="1">VLOOKUP($B8,'[10]Analisys QBR By Machine Report'!$C$109:$BD$166,46,FALSE)</f>
        <v>0</v>
      </c>
      <c r="AZ8" s="13">
        <f ca="1">VLOOKUP($B8,'[10]Analisys QBR By Machine Report'!$C$109:$BD$166,47,FALSE)</f>
        <v>0</v>
      </c>
      <c r="BA8" s="13">
        <f ca="1">VLOOKUP($B8,'[10]Analisys QBR By Machine Report'!$C$109:$BD$166,48,FALSE)</f>
        <v>0</v>
      </c>
      <c r="BB8" s="13">
        <f ca="1">VLOOKUP($B8,'[10]Analisys QBR By Machine Report'!$C$109:$BD$166,49,FALSE)</f>
        <v>0</v>
      </c>
      <c r="BC8" s="13">
        <f ca="1">VLOOKUP($B8,'[10]Analisys QBR By Machine Report'!$C$109:$BD$166,50,FALSE)</f>
        <v>0</v>
      </c>
      <c r="BD8" s="13">
        <f ca="1">VLOOKUP($B8,'[10]Analisys QBR By Machine Report'!$C$109:$BD$166,51,FALSE)</f>
        <v>136152</v>
      </c>
      <c r="BE8" s="13">
        <f ca="1">VLOOKUP($B8,'[10]Analisys QBR By Machine Report'!$C$109:$BD$166,52,FALSE)</f>
        <v>0</v>
      </c>
      <c r="BF8" s="13">
        <f ca="1">VLOOKUP($B8,'[10]Analisys QBR By Machine Report'!$C$109:$BD$166,53,FALSE)</f>
        <v>136152</v>
      </c>
    </row>
    <row r="9" spans="1:58" x14ac:dyDescent="0.25">
      <c r="A9" s="9" t="s">
        <v>65</v>
      </c>
      <c r="B9" s="10">
        <f ca="1">VLOOKUP($B9,'[10]Analisys QBR By Machine Report'!$C$109:$BD$166,2,FALSE)</f>
        <v>103680</v>
      </c>
      <c r="C9" s="11">
        <f ca="1">VLOOKUP($B9,[10]Dasboard_QBR_Report!$B$109:$BL$166,3,FALSE)</f>
        <v>56160</v>
      </c>
      <c r="D9" s="10">
        <f ca="1">VLOOKUP($B9,'[10]Analisys QBR By Machine Report'!$C$109:$BD$166,3,FALSE)</f>
        <v>63240</v>
      </c>
      <c r="E9" s="11">
        <f ca="1">VLOOKUP($B9,[10]Dasboard_QBR_Report!$B$109:$BL$166,5,FALSE)</f>
        <v>15720</v>
      </c>
      <c r="F9" s="10">
        <f t="shared" ca="1" si="0"/>
        <v>40440</v>
      </c>
      <c r="G9" s="10">
        <f t="shared" ca="1" si="1"/>
        <v>4455</v>
      </c>
      <c r="H9" s="10">
        <f ca="1">VLOOKUP($B9,'[10]Analisys QBR By Machine Report'!$C$109:$BD$166,4,FALSE)</f>
        <v>4455</v>
      </c>
      <c r="I9" s="10">
        <f ca="1">VLOOKUP($B9,'[10]Analisys QBR By Machine Report'!$C$109:$BD$166,5,FALSE)</f>
        <v>430</v>
      </c>
      <c r="J9" s="10">
        <f ca="1">VLOOKUP($B9,'[10]Analisys QBR By Machine Report'!$C$109:$BD$166,6,FALSE)</f>
        <v>4025</v>
      </c>
      <c r="K9" s="10">
        <f ca="1">VLOOKUP($B9,'[10]Analisys QBR By Machine Report'!$C$109:$BD$166,7,FALSE)</f>
        <v>0</v>
      </c>
      <c r="L9" s="10">
        <f ca="1">VLOOKUP($B9,'[10]Analisys QBR By Machine Report'!$C$109:$BD$166,8,FALSE)</f>
        <v>35985</v>
      </c>
      <c r="M9" s="10">
        <f ca="1">VLOOKUP($B9,'[10]Analisys QBR By Machine Report'!$C$109:$BD$166,9,FALSE)</f>
        <v>10895</v>
      </c>
      <c r="N9" s="10">
        <f ca="1">VLOOKUP($B9,[10]Dasboard_QBR_Report!$B$109:$BL$166,18,FALSE)</f>
        <v>25090</v>
      </c>
      <c r="O9" s="10">
        <f ca="1">VLOOKUP($B9,'[10]Analisys QBR By Machine Report'!$C$109:$BD$166,10,FALSE)</f>
        <v>4150</v>
      </c>
      <c r="P9" s="10">
        <f ca="1">VLOOKUP($B9,'[10]Analisys QBR By Machine Report'!$C$109:$BD$166,11,FALSE)</f>
        <v>2695</v>
      </c>
      <c r="Q9" s="10">
        <f ca="1">VLOOKUP($B9,'[10]Analisys QBR By Machine Report'!$C$109:$BD$166,12,FALSE)</f>
        <v>0</v>
      </c>
      <c r="R9" s="10">
        <f ca="1">VLOOKUP($B9,'[10]Analisys QBR By Machine Report'!$C$109:$BD$166,13,FALSE)</f>
        <v>175</v>
      </c>
      <c r="S9" s="10">
        <f ca="1">VLOOKUP($B9,'[10]Analisys QBR By Machine Report'!$C$109:$BD$166,14,FALSE)</f>
        <v>1280</v>
      </c>
      <c r="T9" s="10">
        <f ca="1">VLOOKUP($B9,'[10]Analisys QBR By Machine Report'!$C$109:$BD$166,15,FALSE)</f>
        <v>0</v>
      </c>
      <c r="U9" s="10">
        <f ca="1">VLOOKUP($B9,'[10]Analisys QBR By Machine Report'!$C$109:$BD$166,16,FALSE)</f>
        <v>0</v>
      </c>
      <c r="V9" s="10">
        <f ca="1">VLOOKUP($B9,'[10]Analisys QBR By Machine Report'!$C$109:$BD$166,17,FALSE)</f>
        <v>0</v>
      </c>
      <c r="W9" s="10">
        <f ca="1">VLOOKUP($B9,'[10]Analisys QBR By Machine Report'!$C$109:$BD$166,18,FALSE)</f>
        <v>0</v>
      </c>
      <c r="X9" s="10">
        <f ca="1">VLOOKUP($B9,'[10]Analisys QBR By Machine Report'!$C$109:$BD$166,19,FALSE)</f>
        <v>0</v>
      </c>
      <c r="Y9" s="10">
        <f ca="1">VLOOKUP($B9,'[10]Analisys QBR By Machine Report'!$C$109:$BD$166,20,FALSE)</f>
        <v>0</v>
      </c>
      <c r="Z9" s="10">
        <f ca="1">VLOOKUP($B9,'[10]Analisys QBR By Machine Report'!$C$109:$BD$166,21,FALSE)</f>
        <v>5600</v>
      </c>
      <c r="AA9" s="10">
        <f ca="1">VLOOKUP($B9,'[10]Analisys QBR By Machine Report'!$C$109:$BD$166,22,FALSE)</f>
        <v>1120</v>
      </c>
      <c r="AB9" s="10">
        <f ca="1">VLOOKUP($B9,'[10]Analisys QBR By Machine Report'!$C$109:$BD$166,23,FALSE)</f>
        <v>3520</v>
      </c>
      <c r="AC9" s="10">
        <f ca="1">VLOOKUP($B9,'[10]Analisys QBR By Machine Report'!$C$109:$BD$166,24,FALSE)</f>
        <v>155</v>
      </c>
      <c r="AD9" s="10">
        <f ca="1">VLOOKUP($B9,'[10]Analisys QBR By Machine Report'!$C$109:$BD$166,25,FALSE)</f>
        <v>0</v>
      </c>
      <c r="AE9" s="10">
        <f ca="1">VLOOKUP($B9,'[10]Analisys QBR By Machine Report'!$C$109:$BD$166,26,FALSE)</f>
        <v>805</v>
      </c>
      <c r="AF9" s="10">
        <f ca="1">VLOOKUP($B9,'[10]Analisys QBR By Machine Report'!$C$109:$BD$166,27,FALSE)</f>
        <v>4935</v>
      </c>
      <c r="AG9" s="10">
        <f ca="1">VLOOKUP($B9,'[10]Analisys QBR By Machine Report'!$C$109:$BD$166,28,FALSE)</f>
        <v>530</v>
      </c>
      <c r="AH9" s="10">
        <f ca="1">VLOOKUP($B9,'[10]Analisys QBR By Machine Report'!$C$109:$BD$166,29,FALSE)</f>
        <v>4405</v>
      </c>
      <c r="AI9" s="10">
        <f ca="1">VLOOKUP($B9,'[10]Analisys QBR By Machine Report'!$C$109:$BD$166,30,FALSE)</f>
        <v>10405</v>
      </c>
      <c r="AJ9" s="10">
        <f ca="1">VLOOKUP($B9,'[10]Analisys QBR By Machine Report'!$C$109:$BD$166,31,FALSE)</f>
        <v>0</v>
      </c>
      <c r="AK9" s="10">
        <f ca="1">VLOOKUP($B9,'[10]Analisys QBR By Machine Report'!$C$109:$BD$166,32,FALSE)</f>
        <v>0</v>
      </c>
      <c r="AL9" s="10">
        <f ca="1">VLOOKUP($B9,'[10]Analisys QBR By Machine Report'!$C$109:$BD$166,33,FALSE)</f>
        <v>1740</v>
      </c>
      <c r="AM9" s="10">
        <f ca="1">VLOOKUP($B9,'[10]Analisys QBR By Machine Report'!$C$109:$BD$166,34,FALSE)</f>
        <v>15</v>
      </c>
      <c r="AN9" s="10">
        <f ca="1">VLOOKUP($B9,'[10]Analisys QBR By Machine Report'!$C$109:$BD$166,35,FALSE)</f>
        <v>1595</v>
      </c>
      <c r="AO9" s="10">
        <f ca="1">VLOOKUP($B9,'[10]Analisys QBR By Machine Report'!$C$109:$BD$166,36,FALSE)</f>
        <v>360</v>
      </c>
      <c r="AP9" s="10">
        <f ca="1">VLOOKUP($B9,'[10]Analisys QBR By Machine Report'!$C$109:$BD$166,37,FALSE)</f>
        <v>0</v>
      </c>
      <c r="AQ9" s="10">
        <f ca="1">VLOOKUP($B9,'[10]Analisys QBR By Machine Report'!$C$109:$BD$166,38,FALSE)</f>
        <v>0</v>
      </c>
      <c r="AR9" s="10">
        <f ca="1">VLOOKUP($B9,'[10]Analisys QBR By Machine Report'!$C$109:$BD$166,39,FALSE)</f>
        <v>1775</v>
      </c>
      <c r="AS9" s="10">
        <f ca="1">VLOOKUP($B9,'[10]Analisys QBR By Machine Report'!$C$109:$BD$166,40,FALSE)</f>
        <v>740</v>
      </c>
      <c r="AT9" s="10">
        <f ca="1">VLOOKUP($B9,'[10]Analisys QBR By Machine Report'!$C$109:$BD$166,41,FALSE)</f>
        <v>0</v>
      </c>
      <c r="AU9" s="10">
        <f ca="1">VLOOKUP($B9,'[10]Analisys QBR By Machine Report'!$C$109:$BD$166,42,FALSE)</f>
        <v>0</v>
      </c>
      <c r="AV9" s="10">
        <f ca="1">VLOOKUP($B9,'[10]Analisys QBR By Machine Report'!$C$109:$BD$166,43,FALSE)</f>
        <v>0</v>
      </c>
      <c r="AW9" s="10">
        <f ca="1">VLOOKUP($B9,'[10]Analisys QBR By Machine Report'!$C$109:$BD$166,44,FALSE)</f>
        <v>465</v>
      </c>
      <c r="AX9" s="10">
        <f ca="1">VLOOKUP($B9,'[10]Analisys QBR By Machine Report'!$C$109:$BD$166,45,FALSE)</f>
        <v>0</v>
      </c>
      <c r="AY9" s="10">
        <f ca="1">VLOOKUP($B9,'[10]Analisys QBR By Machine Report'!$C$109:$BD$166,46,FALSE)</f>
        <v>0</v>
      </c>
      <c r="AZ9" s="10">
        <f ca="1">VLOOKUP($B9,'[10]Analisys QBR By Machine Report'!$C$109:$BD$166,47,FALSE)</f>
        <v>3190</v>
      </c>
      <c r="BA9" s="10">
        <f ca="1">VLOOKUP($B9,'[10]Analisys QBR By Machine Report'!$C$109:$BD$166,48,FALSE)</f>
        <v>440</v>
      </c>
      <c r="BB9" s="10">
        <f ca="1">VLOOKUP($B9,'[10]Analisys QBR By Machine Report'!$C$109:$BD$166,49,FALSE)</f>
        <v>0</v>
      </c>
      <c r="BC9" s="10">
        <f ca="1">VLOOKUP($B9,'[10]Analisys QBR By Machine Report'!$C$109:$BD$166,50,FALSE)</f>
        <v>85</v>
      </c>
      <c r="BD9" s="10">
        <f ca="1">VLOOKUP($B9,'[10]Analisys QBR By Machine Report'!$C$109:$BD$166,51,FALSE)</f>
        <v>7918641</v>
      </c>
      <c r="BE9" s="10">
        <f ca="1">VLOOKUP($B9,'[10]Analisys QBR By Machine Report'!$C$109:$BD$166,52,FALSE)</f>
        <v>2215</v>
      </c>
      <c r="BF9" s="10">
        <f ca="1">VLOOKUP($B9,'[10]Analisys QBR By Machine Report'!$C$109:$BD$166,53,FALSE)</f>
        <v>7916426</v>
      </c>
    </row>
    <row r="10" spans="1:58" x14ac:dyDescent="0.25">
      <c r="A10" s="12" t="s">
        <v>66</v>
      </c>
      <c r="B10" s="13">
        <f ca="1">VLOOKUP($B10,'[10]Analisys QBR By Machine Report'!$C$109:$BD$166,2,FALSE)</f>
        <v>34560</v>
      </c>
      <c r="C10" s="14">
        <f ca="1">VLOOKUP($B10,[10]Dasboard_QBR_Report!$B$109:$BL$166,3,FALSE)</f>
        <v>22320</v>
      </c>
      <c r="D10" s="13">
        <f ca="1">VLOOKUP($B10,'[10]Analisys QBR By Machine Report'!$C$109:$BD$166,3,FALSE)</f>
        <v>20010</v>
      </c>
      <c r="E10" s="14">
        <f ca="1">VLOOKUP($B10,[10]Dasboard_QBR_Report!$B$109:$BL$166,5,FALSE)</f>
        <v>7770</v>
      </c>
      <c r="F10" s="13">
        <f t="shared" ca="1" si="0"/>
        <v>14550</v>
      </c>
      <c r="G10" s="13">
        <f t="shared" ca="1" si="1"/>
        <v>1785</v>
      </c>
      <c r="H10" s="13">
        <f ca="1">VLOOKUP($B10,'[10]Analisys QBR By Machine Report'!$C$109:$BD$166,4,FALSE)</f>
        <v>1785</v>
      </c>
      <c r="I10" s="13">
        <f ca="1">VLOOKUP($B10,'[10]Analisys QBR By Machine Report'!$C$109:$BD$166,5,FALSE)</f>
        <v>405</v>
      </c>
      <c r="J10" s="13">
        <f ca="1">VLOOKUP($B10,'[10]Analisys QBR By Machine Report'!$C$109:$BD$166,6,FALSE)</f>
        <v>1380</v>
      </c>
      <c r="K10" s="13">
        <f ca="1">VLOOKUP($B10,'[10]Analisys QBR By Machine Report'!$C$109:$BD$166,7,FALSE)</f>
        <v>0</v>
      </c>
      <c r="L10" s="13">
        <f ca="1">VLOOKUP($B10,'[10]Analisys QBR By Machine Report'!$C$109:$BD$166,8,FALSE)</f>
        <v>12765</v>
      </c>
      <c r="M10" s="13">
        <f ca="1">VLOOKUP($B10,'[10]Analisys QBR By Machine Report'!$C$109:$BD$166,9,FALSE)</f>
        <v>3790</v>
      </c>
      <c r="N10" s="13">
        <f ca="1">VLOOKUP($B10,[10]Dasboard_QBR_Report!$B$109:$BL$166,18,FALSE)</f>
        <v>8975</v>
      </c>
      <c r="O10" s="13">
        <f ca="1">VLOOKUP($B10,'[10]Analisys QBR By Machine Report'!$C$109:$BD$166,10,FALSE)</f>
        <v>945</v>
      </c>
      <c r="P10" s="13">
        <f ca="1">VLOOKUP($B10,'[10]Analisys QBR By Machine Report'!$C$109:$BD$166,11,FALSE)</f>
        <v>845</v>
      </c>
      <c r="Q10" s="13">
        <f ca="1">VLOOKUP($B10,'[10]Analisys QBR By Machine Report'!$C$109:$BD$166,12,FALSE)</f>
        <v>0</v>
      </c>
      <c r="R10" s="13">
        <f ca="1">VLOOKUP($B10,'[10]Analisys QBR By Machine Report'!$C$109:$BD$166,13,FALSE)</f>
        <v>0</v>
      </c>
      <c r="S10" s="13">
        <f ca="1">VLOOKUP($B10,'[10]Analisys QBR By Machine Report'!$C$109:$BD$166,14,FALSE)</f>
        <v>100</v>
      </c>
      <c r="T10" s="13">
        <f ca="1">VLOOKUP($B10,'[10]Analisys QBR By Machine Report'!$C$109:$BD$166,15,FALSE)</f>
        <v>0</v>
      </c>
      <c r="U10" s="13">
        <f ca="1">VLOOKUP($B10,'[10]Analisys QBR By Machine Report'!$C$109:$BD$166,16,FALSE)</f>
        <v>0</v>
      </c>
      <c r="V10" s="13">
        <f ca="1">VLOOKUP($B10,'[10]Analisys QBR By Machine Report'!$C$109:$BD$166,17,FALSE)</f>
        <v>0</v>
      </c>
      <c r="W10" s="13">
        <f ca="1">VLOOKUP($B10,'[10]Analisys QBR By Machine Report'!$C$109:$BD$166,18,FALSE)</f>
        <v>0</v>
      </c>
      <c r="X10" s="13">
        <f ca="1">VLOOKUP($B10,'[10]Analisys QBR By Machine Report'!$C$109:$BD$166,19,FALSE)</f>
        <v>0</v>
      </c>
      <c r="Y10" s="13">
        <f ca="1">VLOOKUP($B10,'[10]Analisys QBR By Machine Report'!$C$109:$BD$166,20,FALSE)</f>
        <v>0</v>
      </c>
      <c r="Z10" s="13">
        <f ca="1">VLOOKUP($B10,'[10]Analisys QBR By Machine Report'!$C$109:$BD$166,21,FALSE)</f>
        <v>1875</v>
      </c>
      <c r="AA10" s="13">
        <f ca="1">VLOOKUP($B10,'[10]Analisys QBR By Machine Report'!$C$109:$BD$166,22,FALSE)</f>
        <v>270</v>
      </c>
      <c r="AB10" s="13">
        <f ca="1">VLOOKUP($B10,'[10]Analisys QBR By Machine Report'!$C$109:$BD$166,23,FALSE)</f>
        <v>1250</v>
      </c>
      <c r="AC10" s="13">
        <f ca="1">VLOOKUP($B10,'[10]Analisys QBR By Machine Report'!$C$109:$BD$166,24,FALSE)</f>
        <v>90</v>
      </c>
      <c r="AD10" s="13">
        <f ca="1">VLOOKUP($B10,'[10]Analisys QBR By Machine Report'!$C$109:$BD$166,25,FALSE)</f>
        <v>0</v>
      </c>
      <c r="AE10" s="13">
        <f ca="1">VLOOKUP($B10,'[10]Analisys QBR By Machine Report'!$C$109:$BD$166,26,FALSE)</f>
        <v>265</v>
      </c>
      <c r="AF10" s="13">
        <f ca="1">VLOOKUP($B10,'[10]Analisys QBR By Machine Report'!$C$109:$BD$166,27,FALSE)</f>
        <v>3315</v>
      </c>
      <c r="AG10" s="13">
        <f ca="1">VLOOKUP($B10,'[10]Analisys QBR By Machine Report'!$C$109:$BD$166,28,FALSE)</f>
        <v>0</v>
      </c>
      <c r="AH10" s="13">
        <f ca="1">VLOOKUP($B10,'[10]Analisys QBR By Machine Report'!$C$109:$BD$166,29,FALSE)</f>
        <v>3315</v>
      </c>
      <c r="AI10" s="13">
        <f ca="1">VLOOKUP($B10,'[10]Analisys QBR By Machine Report'!$C$109:$BD$166,30,FALSE)</f>
        <v>2840</v>
      </c>
      <c r="AJ10" s="13">
        <f ca="1">VLOOKUP($B10,'[10]Analisys QBR By Machine Report'!$C$109:$BD$166,31,FALSE)</f>
        <v>0</v>
      </c>
      <c r="AK10" s="13">
        <f ca="1">VLOOKUP($B10,'[10]Analisys QBR By Machine Report'!$C$109:$BD$166,32,FALSE)</f>
        <v>0</v>
      </c>
      <c r="AL10" s="13">
        <f ca="1">VLOOKUP($B10,'[10]Analisys QBR By Machine Report'!$C$109:$BD$166,33,FALSE)</f>
        <v>540</v>
      </c>
      <c r="AM10" s="13">
        <f ca="1">VLOOKUP($B10,'[10]Analisys QBR By Machine Report'!$C$109:$BD$166,34,FALSE)</f>
        <v>0</v>
      </c>
      <c r="AN10" s="13">
        <f ca="1">VLOOKUP($B10,'[10]Analisys QBR By Machine Report'!$C$109:$BD$166,35,FALSE)</f>
        <v>440</v>
      </c>
      <c r="AO10" s="13">
        <f ca="1">VLOOKUP($B10,'[10]Analisys QBR By Machine Report'!$C$109:$BD$166,36,FALSE)</f>
        <v>360</v>
      </c>
      <c r="AP10" s="13">
        <f ca="1">VLOOKUP($B10,'[10]Analisys QBR By Machine Report'!$C$109:$BD$166,37,FALSE)</f>
        <v>0</v>
      </c>
      <c r="AQ10" s="13">
        <f ca="1">VLOOKUP($B10,'[10]Analisys QBR By Machine Report'!$C$109:$BD$166,38,FALSE)</f>
        <v>0</v>
      </c>
      <c r="AR10" s="13">
        <f ca="1">VLOOKUP($B10,'[10]Analisys QBR By Machine Report'!$C$109:$BD$166,39,FALSE)</f>
        <v>160</v>
      </c>
      <c r="AS10" s="13">
        <f ca="1">VLOOKUP($B10,'[10]Analisys QBR By Machine Report'!$C$109:$BD$166,40,FALSE)</f>
        <v>310</v>
      </c>
      <c r="AT10" s="13">
        <f ca="1">VLOOKUP($B10,'[10]Analisys QBR By Machine Report'!$C$109:$BD$166,41,FALSE)</f>
        <v>0</v>
      </c>
      <c r="AU10" s="13">
        <f ca="1">VLOOKUP($B10,'[10]Analisys QBR By Machine Report'!$C$109:$BD$166,42,FALSE)</f>
        <v>0</v>
      </c>
      <c r="AV10" s="13">
        <f ca="1">VLOOKUP($B10,'[10]Analisys QBR By Machine Report'!$C$109:$BD$166,43,FALSE)</f>
        <v>0</v>
      </c>
      <c r="AW10" s="13">
        <f ca="1">VLOOKUP($B10,'[10]Analisys QBR By Machine Report'!$C$109:$BD$166,44,FALSE)</f>
        <v>0</v>
      </c>
      <c r="AX10" s="13">
        <f ca="1">VLOOKUP($B10,'[10]Analisys QBR By Machine Report'!$C$109:$BD$166,45,FALSE)</f>
        <v>0</v>
      </c>
      <c r="AY10" s="13">
        <f ca="1">VLOOKUP($B10,'[10]Analisys QBR By Machine Report'!$C$109:$BD$166,46,FALSE)</f>
        <v>0</v>
      </c>
      <c r="AZ10" s="13">
        <f ca="1">VLOOKUP($B10,'[10]Analisys QBR By Machine Report'!$C$109:$BD$166,47,FALSE)</f>
        <v>1030</v>
      </c>
      <c r="BA10" s="13">
        <f ca="1">VLOOKUP($B10,'[10]Analisys QBR By Machine Report'!$C$109:$BD$166,48,FALSE)</f>
        <v>0</v>
      </c>
      <c r="BB10" s="13">
        <f ca="1">VLOOKUP($B10,'[10]Analisys QBR By Machine Report'!$C$109:$BD$166,49,FALSE)</f>
        <v>0</v>
      </c>
      <c r="BC10" s="13">
        <f ca="1">VLOOKUP($B10,'[10]Analisys QBR By Machine Report'!$C$109:$BD$166,50,FALSE)</f>
        <v>0</v>
      </c>
      <c r="BD10" s="13">
        <f ca="1">VLOOKUP($B10,'[10]Analisys QBR By Machine Report'!$C$109:$BD$166,51,FALSE)</f>
        <v>3706885</v>
      </c>
      <c r="BE10" s="13">
        <f ca="1">VLOOKUP($B10,'[10]Analisys QBR By Machine Report'!$C$109:$BD$166,52,FALSE)</f>
        <v>858</v>
      </c>
      <c r="BF10" s="13">
        <f ca="1">VLOOKUP($B10,'[10]Analisys QBR By Machine Report'!$C$109:$BD$166,53,FALSE)</f>
        <v>3706027</v>
      </c>
    </row>
    <row r="11" spans="1:58" x14ac:dyDescent="0.25">
      <c r="A11" s="12" t="s">
        <v>67</v>
      </c>
      <c r="B11" s="13">
        <f ca="1">VLOOKUP($B11,'[10]Analisys QBR By Machine Report'!$C$109:$BD$166,2,FALSE)</f>
        <v>34560</v>
      </c>
      <c r="C11" s="14">
        <f ca="1">VLOOKUP($B11,[10]Dasboard_QBR_Report!$B$109:$BL$166,3,FALSE)</f>
        <v>11520</v>
      </c>
      <c r="D11" s="13">
        <f ca="1">VLOOKUP($B11,'[10]Analisys QBR By Machine Report'!$C$109:$BD$166,3,FALSE)</f>
        <v>27030</v>
      </c>
      <c r="E11" s="14">
        <f ca="1">VLOOKUP($B11,[10]Dasboard_QBR_Report!$B$109:$BL$166,5,FALSE)</f>
        <v>3990</v>
      </c>
      <c r="F11" s="13">
        <f t="shared" ca="1" si="0"/>
        <v>7530</v>
      </c>
      <c r="G11" s="13">
        <f t="shared" ca="1" si="1"/>
        <v>1535</v>
      </c>
      <c r="H11" s="13">
        <f ca="1">VLOOKUP($B11,'[10]Analisys QBR By Machine Report'!$C$109:$BD$166,4,FALSE)</f>
        <v>1535</v>
      </c>
      <c r="I11" s="13">
        <f ca="1">VLOOKUP($B11,'[10]Analisys QBR By Machine Report'!$C$109:$BD$166,5,FALSE)</f>
        <v>0</v>
      </c>
      <c r="J11" s="13">
        <f ca="1">VLOOKUP($B11,'[10]Analisys QBR By Machine Report'!$C$109:$BD$166,6,FALSE)</f>
        <v>1535</v>
      </c>
      <c r="K11" s="13">
        <f ca="1">VLOOKUP($B11,'[10]Analisys QBR By Machine Report'!$C$109:$BD$166,7,FALSE)</f>
        <v>0</v>
      </c>
      <c r="L11" s="13">
        <f ca="1">VLOOKUP($B11,'[10]Analisys QBR By Machine Report'!$C$109:$BD$166,8,FALSE)</f>
        <v>5995</v>
      </c>
      <c r="M11" s="13">
        <f ca="1">VLOOKUP($B11,'[10]Analisys QBR By Machine Report'!$C$109:$BD$166,9,FALSE)</f>
        <v>2115</v>
      </c>
      <c r="N11" s="13">
        <f ca="1">VLOOKUP($B11,[10]Dasboard_QBR_Report!$B$109:$BL$166,18,FALSE)</f>
        <v>3880</v>
      </c>
      <c r="O11" s="13">
        <f ca="1">VLOOKUP($B11,'[10]Analisys QBR By Machine Report'!$C$109:$BD$166,10,FALSE)</f>
        <v>830</v>
      </c>
      <c r="P11" s="13">
        <f ca="1">VLOOKUP($B11,'[10]Analisys QBR By Machine Report'!$C$109:$BD$166,11,FALSE)</f>
        <v>570</v>
      </c>
      <c r="Q11" s="13">
        <f ca="1">VLOOKUP($B11,'[10]Analisys QBR By Machine Report'!$C$109:$BD$166,12,FALSE)</f>
        <v>0</v>
      </c>
      <c r="R11" s="13">
        <f ca="1">VLOOKUP($B11,'[10]Analisys QBR By Machine Report'!$C$109:$BD$166,13,FALSE)</f>
        <v>85</v>
      </c>
      <c r="S11" s="13">
        <f ca="1">VLOOKUP($B11,'[10]Analisys QBR By Machine Report'!$C$109:$BD$166,14,FALSE)</f>
        <v>175</v>
      </c>
      <c r="T11" s="13">
        <f ca="1">VLOOKUP($B11,'[10]Analisys QBR By Machine Report'!$C$109:$BD$166,15,FALSE)</f>
        <v>0</v>
      </c>
      <c r="U11" s="13">
        <f ca="1">VLOOKUP($B11,'[10]Analisys QBR By Machine Report'!$C$109:$BD$166,16,FALSE)</f>
        <v>0</v>
      </c>
      <c r="V11" s="13">
        <f ca="1">VLOOKUP($B11,'[10]Analisys QBR By Machine Report'!$C$109:$BD$166,17,FALSE)</f>
        <v>0</v>
      </c>
      <c r="W11" s="13">
        <f ca="1">VLOOKUP($B11,'[10]Analisys QBR By Machine Report'!$C$109:$BD$166,18,FALSE)</f>
        <v>0</v>
      </c>
      <c r="X11" s="13">
        <f ca="1">VLOOKUP($B11,'[10]Analisys QBR By Machine Report'!$C$109:$BD$166,19,FALSE)</f>
        <v>0</v>
      </c>
      <c r="Y11" s="13">
        <f ca="1">VLOOKUP($B11,'[10]Analisys QBR By Machine Report'!$C$109:$BD$166,20,FALSE)</f>
        <v>0</v>
      </c>
      <c r="Z11" s="13">
        <f ca="1">VLOOKUP($B11,'[10]Analisys QBR By Machine Report'!$C$109:$BD$166,21,FALSE)</f>
        <v>1220</v>
      </c>
      <c r="AA11" s="13">
        <f ca="1">VLOOKUP($B11,'[10]Analisys QBR By Machine Report'!$C$109:$BD$166,22,FALSE)</f>
        <v>335</v>
      </c>
      <c r="AB11" s="13">
        <f ca="1">VLOOKUP($B11,'[10]Analisys QBR By Machine Report'!$C$109:$BD$166,23,FALSE)</f>
        <v>640</v>
      </c>
      <c r="AC11" s="13">
        <f ca="1">VLOOKUP($B11,'[10]Analisys QBR By Machine Report'!$C$109:$BD$166,24,FALSE)</f>
        <v>0</v>
      </c>
      <c r="AD11" s="13">
        <f ca="1">VLOOKUP($B11,'[10]Analisys QBR By Machine Report'!$C$109:$BD$166,25,FALSE)</f>
        <v>0</v>
      </c>
      <c r="AE11" s="13">
        <f ca="1">VLOOKUP($B11,'[10]Analisys QBR By Machine Report'!$C$109:$BD$166,26,FALSE)</f>
        <v>245</v>
      </c>
      <c r="AF11" s="13">
        <f ca="1">VLOOKUP($B11,'[10]Analisys QBR By Machine Report'!$C$109:$BD$166,27,FALSE)</f>
        <v>0</v>
      </c>
      <c r="AG11" s="13">
        <f ca="1">VLOOKUP($B11,'[10]Analisys QBR By Machine Report'!$C$109:$BD$166,28,FALSE)</f>
        <v>0</v>
      </c>
      <c r="AH11" s="13">
        <f ca="1">VLOOKUP($B11,'[10]Analisys QBR By Machine Report'!$C$109:$BD$166,29,FALSE)</f>
        <v>0</v>
      </c>
      <c r="AI11" s="13">
        <f ca="1">VLOOKUP($B11,'[10]Analisys QBR By Machine Report'!$C$109:$BD$166,30,FALSE)</f>
        <v>1830</v>
      </c>
      <c r="AJ11" s="13">
        <f ca="1">VLOOKUP($B11,'[10]Analisys QBR By Machine Report'!$C$109:$BD$166,31,FALSE)</f>
        <v>0</v>
      </c>
      <c r="AK11" s="13">
        <f ca="1">VLOOKUP($B11,'[10]Analisys QBR By Machine Report'!$C$109:$BD$166,32,FALSE)</f>
        <v>0</v>
      </c>
      <c r="AL11" s="13">
        <f ca="1">VLOOKUP($B11,'[10]Analisys QBR By Machine Report'!$C$109:$BD$166,33,FALSE)</f>
        <v>270</v>
      </c>
      <c r="AM11" s="13">
        <f ca="1">VLOOKUP($B11,'[10]Analisys QBR By Machine Report'!$C$109:$BD$166,34,FALSE)</f>
        <v>0</v>
      </c>
      <c r="AN11" s="13">
        <f ca="1">VLOOKUP($B11,'[10]Analisys QBR By Machine Report'!$C$109:$BD$166,35,FALSE)</f>
        <v>225</v>
      </c>
      <c r="AO11" s="13">
        <f ca="1">VLOOKUP($B11,'[10]Analisys QBR By Machine Report'!$C$109:$BD$166,36,FALSE)</f>
        <v>0</v>
      </c>
      <c r="AP11" s="13">
        <f ca="1">VLOOKUP($B11,'[10]Analisys QBR By Machine Report'!$C$109:$BD$166,37,FALSE)</f>
        <v>0</v>
      </c>
      <c r="AQ11" s="13">
        <f ca="1">VLOOKUP($B11,'[10]Analisys QBR By Machine Report'!$C$109:$BD$166,38,FALSE)</f>
        <v>0</v>
      </c>
      <c r="AR11" s="13">
        <f ca="1">VLOOKUP($B11,'[10]Analisys QBR By Machine Report'!$C$109:$BD$166,39,FALSE)</f>
        <v>485</v>
      </c>
      <c r="AS11" s="13">
        <f ca="1">VLOOKUP($B11,'[10]Analisys QBR By Machine Report'!$C$109:$BD$166,40,FALSE)</f>
        <v>75</v>
      </c>
      <c r="AT11" s="13">
        <f ca="1">VLOOKUP($B11,'[10]Analisys QBR By Machine Report'!$C$109:$BD$166,41,FALSE)</f>
        <v>0</v>
      </c>
      <c r="AU11" s="13">
        <f ca="1">VLOOKUP($B11,'[10]Analisys QBR By Machine Report'!$C$109:$BD$166,42,FALSE)</f>
        <v>0</v>
      </c>
      <c r="AV11" s="13">
        <f ca="1">VLOOKUP($B11,'[10]Analisys QBR By Machine Report'!$C$109:$BD$166,43,FALSE)</f>
        <v>0</v>
      </c>
      <c r="AW11" s="13">
        <f ca="1">VLOOKUP($B11,'[10]Analisys QBR By Machine Report'!$C$109:$BD$166,44,FALSE)</f>
        <v>0</v>
      </c>
      <c r="AX11" s="13">
        <f ca="1">VLOOKUP($B11,'[10]Analisys QBR By Machine Report'!$C$109:$BD$166,45,FALSE)</f>
        <v>0</v>
      </c>
      <c r="AY11" s="13">
        <f ca="1">VLOOKUP($B11,'[10]Analisys QBR By Machine Report'!$C$109:$BD$166,46,FALSE)</f>
        <v>0</v>
      </c>
      <c r="AZ11" s="13">
        <f ca="1">VLOOKUP($B11,'[10]Analisys QBR By Machine Report'!$C$109:$BD$166,47,FALSE)</f>
        <v>775</v>
      </c>
      <c r="BA11" s="13">
        <f ca="1">VLOOKUP($B11,'[10]Analisys QBR By Machine Report'!$C$109:$BD$166,48,FALSE)</f>
        <v>0</v>
      </c>
      <c r="BB11" s="13">
        <f ca="1">VLOOKUP($B11,'[10]Analisys QBR By Machine Report'!$C$109:$BD$166,49,FALSE)</f>
        <v>0</v>
      </c>
      <c r="BC11" s="13">
        <f ca="1">VLOOKUP($B11,'[10]Analisys QBR By Machine Report'!$C$109:$BD$166,50,FALSE)</f>
        <v>0</v>
      </c>
      <c r="BD11" s="13">
        <f ca="1">VLOOKUP($B11,'[10]Analisys QBR By Machine Report'!$C$109:$BD$166,51,FALSE)</f>
        <v>1848728</v>
      </c>
      <c r="BE11" s="13">
        <f ca="1">VLOOKUP($B11,'[10]Analisys QBR By Machine Report'!$C$109:$BD$166,52,FALSE)</f>
        <v>1357</v>
      </c>
      <c r="BF11" s="13">
        <f ca="1">VLOOKUP($B11,'[10]Analisys QBR By Machine Report'!$C$109:$BD$166,53,FALSE)</f>
        <v>1847371</v>
      </c>
    </row>
    <row r="12" spans="1:58" x14ac:dyDescent="0.25">
      <c r="A12" s="12" t="s">
        <v>68</v>
      </c>
      <c r="B12" s="13">
        <f ca="1">VLOOKUP($B12,'[10]Analisys QBR By Machine Report'!$C$109:$BD$166,2,FALSE)</f>
        <v>34560</v>
      </c>
      <c r="C12" s="14">
        <f ca="1">VLOOKUP($B12,[10]Dasboard_QBR_Report!$B$109:$BL$166,3,FALSE)</f>
        <v>22320</v>
      </c>
      <c r="D12" s="13">
        <f ca="1">VLOOKUP($B12,'[10]Analisys QBR By Machine Report'!$C$109:$BD$166,3,FALSE)</f>
        <v>16200</v>
      </c>
      <c r="E12" s="14">
        <f ca="1">VLOOKUP($B12,[10]Dasboard_QBR_Report!$B$109:$BL$166,5,FALSE)</f>
        <v>3960</v>
      </c>
      <c r="F12" s="13">
        <f t="shared" ca="1" si="0"/>
        <v>18360</v>
      </c>
      <c r="G12" s="13">
        <f t="shared" ca="1" si="1"/>
        <v>1135</v>
      </c>
      <c r="H12" s="13">
        <f ca="1">VLOOKUP($B12,'[10]Analisys QBR By Machine Report'!$C$109:$BD$166,4,FALSE)</f>
        <v>1135</v>
      </c>
      <c r="I12" s="13">
        <f ca="1">VLOOKUP($B12,'[10]Analisys QBR By Machine Report'!$C$109:$BD$166,5,FALSE)</f>
        <v>25</v>
      </c>
      <c r="J12" s="13">
        <f ca="1">VLOOKUP($B12,'[10]Analisys QBR By Machine Report'!$C$109:$BD$166,6,FALSE)</f>
        <v>1110</v>
      </c>
      <c r="K12" s="13">
        <f ca="1">VLOOKUP($B12,'[10]Analisys QBR By Machine Report'!$C$109:$BD$166,7,FALSE)</f>
        <v>0</v>
      </c>
      <c r="L12" s="13">
        <f ca="1">VLOOKUP($B12,'[10]Analisys QBR By Machine Report'!$C$109:$BD$166,8,FALSE)</f>
        <v>17225</v>
      </c>
      <c r="M12" s="13">
        <f ca="1">VLOOKUP($B12,'[10]Analisys QBR By Machine Report'!$C$109:$BD$166,9,FALSE)</f>
        <v>4990</v>
      </c>
      <c r="N12" s="13">
        <f ca="1">VLOOKUP($B12,[10]Dasboard_QBR_Report!$B$109:$BL$166,18,FALSE)</f>
        <v>12235</v>
      </c>
      <c r="O12" s="13">
        <f ca="1">VLOOKUP($B12,'[10]Analisys QBR By Machine Report'!$C$109:$BD$166,10,FALSE)</f>
        <v>2375</v>
      </c>
      <c r="P12" s="13">
        <f ca="1">VLOOKUP($B12,'[10]Analisys QBR By Machine Report'!$C$109:$BD$166,11,FALSE)</f>
        <v>1280</v>
      </c>
      <c r="Q12" s="13">
        <f ca="1">VLOOKUP($B12,'[10]Analisys QBR By Machine Report'!$C$109:$BD$166,12,FALSE)</f>
        <v>0</v>
      </c>
      <c r="R12" s="13">
        <f ca="1">VLOOKUP($B12,'[10]Analisys QBR By Machine Report'!$C$109:$BD$166,13,FALSE)</f>
        <v>90</v>
      </c>
      <c r="S12" s="13">
        <f ca="1">VLOOKUP($B12,'[10]Analisys QBR By Machine Report'!$C$109:$BD$166,14,FALSE)</f>
        <v>1005</v>
      </c>
      <c r="T12" s="13">
        <f ca="1">VLOOKUP($B12,'[10]Analisys QBR By Machine Report'!$C$109:$BD$166,15,FALSE)</f>
        <v>0</v>
      </c>
      <c r="U12" s="13">
        <f ca="1">VLOOKUP($B12,'[10]Analisys QBR By Machine Report'!$C$109:$BD$166,16,FALSE)</f>
        <v>0</v>
      </c>
      <c r="V12" s="13">
        <f ca="1">VLOOKUP($B12,'[10]Analisys QBR By Machine Report'!$C$109:$BD$166,17,FALSE)</f>
        <v>0</v>
      </c>
      <c r="W12" s="13">
        <f ca="1">VLOOKUP($B12,'[10]Analisys QBR By Machine Report'!$C$109:$BD$166,18,FALSE)</f>
        <v>0</v>
      </c>
      <c r="X12" s="13">
        <f ca="1">VLOOKUP($B12,'[10]Analisys QBR By Machine Report'!$C$109:$BD$166,19,FALSE)</f>
        <v>0</v>
      </c>
      <c r="Y12" s="13">
        <f ca="1">VLOOKUP($B12,'[10]Analisys QBR By Machine Report'!$C$109:$BD$166,20,FALSE)</f>
        <v>0</v>
      </c>
      <c r="Z12" s="13">
        <f ca="1">VLOOKUP($B12,'[10]Analisys QBR By Machine Report'!$C$109:$BD$166,21,FALSE)</f>
        <v>2505</v>
      </c>
      <c r="AA12" s="13">
        <f ca="1">VLOOKUP($B12,'[10]Analisys QBR By Machine Report'!$C$109:$BD$166,22,FALSE)</f>
        <v>515</v>
      </c>
      <c r="AB12" s="13">
        <f ca="1">VLOOKUP($B12,'[10]Analisys QBR By Machine Report'!$C$109:$BD$166,23,FALSE)</f>
        <v>1630</v>
      </c>
      <c r="AC12" s="13">
        <f ca="1">VLOOKUP($B12,'[10]Analisys QBR By Machine Report'!$C$109:$BD$166,24,FALSE)</f>
        <v>65</v>
      </c>
      <c r="AD12" s="13">
        <f ca="1">VLOOKUP($B12,'[10]Analisys QBR By Machine Report'!$C$109:$BD$166,25,FALSE)</f>
        <v>0</v>
      </c>
      <c r="AE12" s="13">
        <f ca="1">VLOOKUP($B12,'[10]Analisys QBR By Machine Report'!$C$109:$BD$166,26,FALSE)</f>
        <v>295</v>
      </c>
      <c r="AF12" s="13">
        <f ca="1">VLOOKUP($B12,'[10]Analisys QBR By Machine Report'!$C$109:$BD$166,27,FALSE)</f>
        <v>1620</v>
      </c>
      <c r="AG12" s="13">
        <f ca="1">VLOOKUP($B12,'[10]Analisys QBR By Machine Report'!$C$109:$BD$166,28,FALSE)</f>
        <v>530</v>
      </c>
      <c r="AH12" s="13">
        <f ca="1">VLOOKUP($B12,'[10]Analisys QBR By Machine Report'!$C$109:$BD$166,29,FALSE)</f>
        <v>1090</v>
      </c>
      <c r="AI12" s="13">
        <f ca="1">VLOOKUP($B12,'[10]Analisys QBR By Machine Report'!$C$109:$BD$166,30,FALSE)</f>
        <v>5735</v>
      </c>
      <c r="AJ12" s="13">
        <f ca="1">VLOOKUP($B12,'[10]Analisys QBR By Machine Report'!$C$109:$BD$166,31,FALSE)</f>
        <v>0</v>
      </c>
      <c r="AK12" s="13">
        <f ca="1">VLOOKUP($B12,'[10]Analisys QBR By Machine Report'!$C$109:$BD$166,32,FALSE)</f>
        <v>0</v>
      </c>
      <c r="AL12" s="13">
        <f ca="1">VLOOKUP($B12,'[10]Analisys QBR By Machine Report'!$C$109:$BD$166,33,FALSE)</f>
        <v>930</v>
      </c>
      <c r="AM12" s="13">
        <f ca="1">VLOOKUP($B12,'[10]Analisys QBR By Machine Report'!$C$109:$BD$166,34,FALSE)</f>
        <v>15</v>
      </c>
      <c r="AN12" s="13">
        <f ca="1">VLOOKUP($B12,'[10]Analisys QBR By Machine Report'!$C$109:$BD$166,35,FALSE)</f>
        <v>930</v>
      </c>
      <c r="AO12" s="13">
        <f ca="1">VLOOKUP($B12,'[10]Analisys QBR By Machine Report'!$C$109:$BD$166,36,FALSE)</f>
        <v>0</v>
      </c>
      <c r="AP12" s="13">
        <f ca="1">VLOOKUP($B12,'[10]Analisys QBR By Machine Report'!$C$109:$BD$166,37,FALSE)</f>
        <v>0</v>
      </c>
      <c r="AQ12" s="13">
        <f ca="1">VLOOKUP($B12,'[10]Analisys QBR By Machine Report'!$C$109:$BD$166,38,FALSE)</f>
        <v>0</v>
      </c>
      <c r="AR12" s="13">
        <f ca="1">VLOOKUP($B12,'[10]Analisys QBR By Machine Report'!$C$109:$BD$166,39,FALSE)</f>
        <v>1130</v>
      </c>
      <c r="AS12" s="13">
        <f ca="1">VLOOKUP($B12,'[10]Analisys QBR By Machine Report'!$C$109:$BD$166,40,FALSE)</f>
        <v>355</v>
      </c>
      <c r="AT12" s="13">
        <f ca="1">VLOOKUP($B12,'[10]Analisys QBR By Machine Report'!$C$109:$BD$166,41,FALSE)</f>
        <v>0</v>
      </c>
      <c r="AU12" s="13">
        <f ca="1">VLOOKUP($B12,'[10]Analisys QBR By Machine Report'!$C$109:$BD$166,42,FALSE)</f>
        <v>0</v>
      </c>
      <c r="AV12" s="13">
        <f ca="1">VLOOKUP($B12,'[10]Analisys QBR By Machine Report'!$C$109:$BD$166,43,FALSE)</f>
        <v>0</v>
      </c>
      <c r="AW12" s="13">
        <f ca="1">VLOOKUP($B12,'[10]Analisys QBR By Machine Report'!$C$109:$BD$166,44,FALSE)</f>
        <v>465</v>
      </c>
      <c r="AX12" s="13">
        <f ca="1">VLOOKUP($B12,'[10]Analisys QBR By Machine Report'!$C$109:$BD$166,45,FALSE)</f>
        <v>0</v>
      </c>
      <c r="AY12" s="13">
        <f ca="1">VLOOKUP($B12,'[10]Analisys QBR By Machine Report'!$C$109:$BD$166,46,FALSE)</f>
        <v>0</v>
      </c>
      <c r="AZ12" s="13">
        <f ca="1">VLOOKUP($B12,'[10]Analisys QBR By Machine Report'!$C$109:$BD$166,47,FALSE)</f>
        <v>1385</v>
      </c>
      <c r="BA12" s="13">
        <f ca="1">VLOOKUP($B12,'[10]Analisys QBR By Machine Report'!$C$109:$BD$166,48,FALSE)</f>
        <v>440</v>
      </c>
      <c r="BB12" s="13">
        <f ca="1">VLOOKUP($B12,'[10]Analisys QBR By Machine Report'!$C$109:$BD$166,49,FALSE)</f>
        <v>0</v>
      </c>
      <c r="BC12" s="13">
        <f ca="1">VLOOKUP($B12,'[10]Analisys QBR By Machine Report'!$C$109:$BD$166,50,FALSE)</f>
        <v>85</v>
      </c>
      <c r="BD12" s="13">
        <f ca="1">VLOOKUP($B12,'[10]Analisys QBR By Machine Report'!$C$109:$BD$166,51,FALSE)</f>
        <v>2363028</v>
      </c>
      <c r="BE12" s="13">
        <f ca="1">VLOOKUP($B12,'[10]Analisys QBR By Machine Report'!$C$109:$BD$166,52,FALSE)</f>
        <v>0</v>
      </c>
      <c r="BF12" s="13">
        <f ca="1">VLOOKUP($B12,'[10]Analisys QBR By Machine Report'!$C$109:$BD$166,53,FALSE)</f>
        <v>2363028</v>
      </c>
    </row>
    <row r="13" spans="1:58" x14ac:dyDescent="0.25">
      <c r="A13" s="9" t="s">
        <v>69</v>
      </c>
      <c r="B13" s="10">
        <f ca="1">VLOOKUP($B13,'[10]Analisys QBR By Machine Report'!$C$109:$BD$166,2,FALSE)</f>
        <v>69120</v>
      </c>
      <c r="C13" s="11">
        <f ca="1">VLOOKUP($B13,[10]Dasboard_QBR_Report!$B$109:$BL$166,3,FALSE)</f>
        <v>23040</v>
      </c>
      <c r="D13" s="10">
        <f ca="1">VLOOKUP($B13,'[10]Analisys QBR By Machine Report'!$C$109:$BD$166,3,FALSE)</f>
        <v>55740</v>
      </c>
      <c r="E13" s="11">
        <f ca="1">VLOOKUP($B13,[10]Dasboard_QBR_Report!$B$109:$BL$166,5,FALSE)</f>
        <v>9660</v>
      </c>
      <c r="F13" s="10">
        <f t="shared" ca="1" si="0"/>
        <v>13380</v>
      </c>
      <c r="G13" s="10">
        <f t="shared" ca="1" si="1"/>
        <v>880</v>
      </c>
      <c r="H13" s="10">
        <f ca="1">VLOOKUP($B13,'[10]Analisys QBR By Machine Report'!$C$109:$BD$166,4,FALSE)</f>
        <v>880</v>
      </c>
      <c r="I13" s="10">
        <f ca="1">VLOOKUP($B13,'[10]Analisys QBR By Machine Report'!$C$109:$BD$166,5,FALSE)</f>
        <v>0</v>
      </c>
      <c r="J13" s="10">
        <f ca="1">VLOOKUP($B13,'[10]Analisys QBR By Machine Report'!$C$109:$BD$166,6,FALSE)</f>
        <v>880</v>
      </c>
      <c r="K13" s="10">
        <f ca="1">VLOOKUP($B13,'[10]Analisys QBR By Machine Report'!$C$109:$BD$166,7,FALSE)</f>
        <v>0</v>
      </c>
      <c r="L13" s="10">
        <f ca="1">VLOOKUP($B13,'[10]Analisys QBR By Machine Report'!$C$109:$BD$166,8,FALSE)</f>
        <v>12500</v>
      </c>
      <c r="M13" s="10">
        <f ca="1">VLOOKUP($B13,'[10]Analisys QBR By Machine Report'!$C$109:$BD$166,9,FALSE)</f>
        <v>5135</v>
      </c>
      <c r="N13" s="10">
        <f ca="1">VLOOKUP($B13,[10]Dasboard_QBR_Report!$B$109:$BL$166,18,FALSE)</f>
        <v>7365</v>
      </c>
      <c r="O13" s="10">
        <f ca="1">VLOOKUP($B13,'[10]Analisys QBR By Machine Report'!$C$109:$BD$166,10,FALSE)</f>
        <v>500</v>
      </c>
      <c r="P13" s="10">
        <f ca="1">VLOOKUP($B13,'[10]Analisys QBR By Machine Report'!$C$109:$BD$166,11,FALSE)</f>
        <v>290</v>
      </c>
      <c r="Q13" s="10">
        <f ca="1">VLOOKUP($B13,'[10]Analisys QBR By Machine Report'!$C$109:$BD$166,12,FALSE)</f>
        <v>0</v>
      </c>
      <c r="R13" s="10">
        <f ca="1">VLOOKUP($B13,'[10]Analisys QBR By Machine Report'!$C$109:$BD$166,13,FALSE)</f>
        <v>210</v>
      </c>
      <c r="S13" s="10">
        <f ca="1">VLOOKUP($B13,'[10]Analisys QBR By Machine Report'!$C$109:$BD$166,14,FALSE)</f>
        <v>0</v>
      </c>
      <c r="T13" s="10">
        <f ca="1">VLOOKUP($B13,'[10]Analisys QBR By Machine Report'!$C$109:$BD$166,15,FALSE)</f>
        <v>185</v>
      </c>
      <c r="U13" s="10">
        <f ca="1">VLOOKUP($B13,'[10]Analisys QBR By Machine Report'!$C$109:$BD$166,16,FALSE)</f>
        <v>185</v>
      </c>
      <c r="V13" s="10">
        <f ca="1">VLOOKUP($B13,'[10]Analisys QBR By Machine Report'!$C$109:$BD$166,17,FALSE)</f>
        <v>0</v>
      </c>
      <c r="W13" s="10">
        <f ca="1">VLOOKUP($B13,'[10]Analisys QBR By Machine Report'!$C$109:$BD$166,18,FALSE)</f>
        <v>0</v>
      </c>
      <c r="X13" s="10">
        <f ca="1">VLOOKUP($B13,'[10]Analisys QBR By Machine Report'!$C$109:$BD$166,19,FALSE)</f>
        <v>0</v>
      </c>
      <c r="Y13" s="10">
        <f ca="1">VLOOKUP($B13,'[10]Analisys QBR By Machine Report'!$C$109:$BD$166,20,FALSE)</f>
        <v>0</v>
      </c>
      <c r="Z13" s="10">
        <f ca="1">VLOOKUP($B13,'[10]Analisys QBR By Machine Report'!$C$109:$BD$166,21,FALSE)</f>
        <v>4420</v>
      </c>
      <c r="AA13" s="10">
        <f ca="1">VLOOKUP($B13,'[10]Analisys QBR By Machine Report'!$C$109:$BD$166,22,FALSE)</f>
        <v>1315</v>
      </c>
      <c r="AB13" s="10">
        <f ca="1">VLOOKUP($B13,'[10]Analisys QBR By Machine Report'!$C$109:$BD$166,23,FALSE)</f>
        <v>2655</v>
      </c>
      <c r="AC13" s="10">
        <f ca="1">VLOOKUP($B13,'[10]Analisys QBR By Machine Report'!$C$109:$BD$166,24,FALSE)</f>
        <v>0</v>
      </c>
      <c r="AD13" s="10">
        <f ca="1">VLOOKUP($B13,'[10]Analisys QBR By Machine Report'!$C$109:$BD$166,25,FALSE)</f>
        <v>0</v>
      </c>
      <c r="AE13" s="10">
        <f ca="1">VLOOKUP($B13,'[10]Analisys QBR By Machine Report'!$C$109:$BD$166,26,FALSE)</f>
        <v>450</v>
      </c>
      <c r="AF13" s="10">
        <f ca="1">VLOOKUP($B13,'[10]Analisys QBR By Machine Report'!$C$109:$BD$166,27,FALSE)</f>
        <v>0</v>
      </c>
      <c r="AG13" s="10">
        <f ca="1">VLOOKUP($B13,'[10]Analisys QBR By Machine Report'!$C$109:$BD$166,28,FALSE)</f>
        <v>0</v>
      </c>
      <c r="AH13" s="10">
        <f ca="1">VLOOKUP($B13,'[10]Analisys QBR By Machine Report'!$C$109:$BD$166,29,FALSE)</f>
        <v>0</v>
      </c>
      <c r="AI13" s="10">
        <f ca="1">VLOOKUP($B13,'[10]Analisys QBR By Machine Report'!$C$109:$BD$166,30,FALSE)</f>
        <v>2260</v>
      </c>
      <c r="AJ13" s="10">
        <f ca="1">VLOOKUP($B13,'[10]Analisys QBR By Machine Report'!$C$109:$BD$166,31,FALSE)</f>
        <v>0</v>
      </c>
      <c r="AK13" s="10">
        <f ca="1">VLOOKUP($B13,'[10]Analisys QBR By Machine Report'!$C$109:$BD$166,32,FALSE)</f>
        <v>0</v>
      </c>
      <c r="AL13" s="10">
        <f ca="1">VLOOKUP($B13,'[10]Analisys QBR By Machine Report'!$C$109:$BD$166,33,FALSE)</f>
        <v>690</v>
      </c>
      <c r="AM13" s="10">
        <f ca="1">VLOOKUP($B13,'[10]Analisys QBR By Machine Report'!$C$109:$BD$166,34,FALSE)</f>
        <v>0</v>
      </c>
      <c r="AN13" s="10">
        <f ca="1">VLOOKUP($B13,'[10]Analisys QBR By Machine Report'!$C$109:$BD$166,35,FALSE)</f>
        <v>725</v>
      </c>
      <c r="AO13" s="10">
        <f ca="1">VLOOKUP($B13,'[10]Analisys QBR By Machine Report'!$C$109:$BD$166,36,FALSE)</f>
        <v>25</v>
      </c>
      <c r="AP13" s="10">
        <f ca="1">VLOOKUP($B13,'[10]Analisys QBR By Machine Report'!$C$109:$BD$166,37,FALSE)</f>
        <v>0</v>
      </c>
      <c r="AQ13" s="10">
        <f ca="1">VLOOKUP($B13,'[10]Analisys QBR By Machine Report'!$C$109:$BD$166,38,FALSE)</f>
        <v>0</v>
      </c>
      <c r="AR13" s="10">
        <f ca="1">VLOOKUP($B13,'[10]Analisys QBR By Machine Report'!$C$109:$BD$166,39,FALSE)</f>
        <v>415</v>
      </c>
      <c r="AS13" s="10">
        <f ca="1">VLOOKUP($B13,'[10]Analisys QBR By Machine Report'!$C$109:$BD$166,40,FALSE)</f>
        <v>230</v>
      </c>
      <c r="AT13" s="10">
        <f ca="1">VLOOKUP($B13,'[10]Analisys QBR By Machine Report'!$C$109:$BD$166,41,FALSE)</f>
        <v>10</v>
      </c>
      <c r="AU13" s="10">
        <f ca="1">VLOOKUP($B13,'[10]Analisys QBR By Machine Report'!$C$109:$BD$166,42,FALSE)</f>
        <v>0</v>
      </c>
      <c r="AV13" s="10">
        <f ca="1">VLOOKUP($B13,'[10]Analisys QBR By Machine Report'!$C$109:$BD$166,43,FALSE)</f>
        <v>0</v>
      </c>
      <c r="AW13" s="10">
        <f ca="1">VLOOKUP($B13,'[10]Analisys QBR By Machine Report'!$C$109:$BD$166,44,FALSE)</f>
        <v>0</v>
      </c>
      <c r="AX13" s="10">
        <f ca="1">VLOOKUP($B13,'[10]Analisys QBR By Machine Report'!$C$109:$BD$166,45,FALSE)</f>
        <v>0</v>
      </c>
      <c r="AY13" s="10">
        <f ca="1">VLOOKUP($B13,'[10]Analisys QBR By Machine Report'!$C$109:$BD$166,46,FALSE)</f>
        <v>0</v>
      </c>
      <c r="AZ13" s="10">
        <f ca="1">VLOOKUP($B13,'[10]Analisys QBR By Machine Report'!$C$109:$BD$166,47,FALSE)</f>
        <v>165</v>
      </c>
      <c r="BA13" s="10">
        <f ca="1">VLOOKUP($B13,'[10]Analisys QBR By Machine Report'!$C$109:$BD$166,48,FALSE)</f>
        <v>0</v>
      </c>
      <c r="BB13" s="10">
        <f ca="1">VLOOKUP($B13,'[10]Analisys QBR By Machine Report'!$C$109:$BD$166,49,FALSE)</f>
        <v>0</v>
      </c>
      <c r="BC13" s="10">
        <f ca="1">VLOOKUP($B13,'[10]Analisys QBR By Machine Report'!$C$109:$BD$166,50,FALSE)</f>
        <v>0</v>
      </c>
      <c r="BD13" s="10">
        <f ca="1">VLOOKUP($B13,'[10]Analisys QBR By Machine Report'!$C$109:$BD$166,51,FALSE)</f>
        <v>2309.58</v>
      </c>
      <c r="BE13" s="10">
        <f ca="1">VLOOKUP($B13,'[10]Analisys QBR By Machine Report'!$C$109:$BD$166,52,FALSE)</f>
        <v>1.02</v>
      </c>
      <c r="BF13" s="10">
        <f ca="1">VLOOKUP($B13,'[10]Analisys QBR By Machine Report'!$C$109:$BD$166,53,FALSE)</f>
        <v>2308.56</v>
      </c>
    </row>
    <row r="14" spans="1:58" x14ac:dyDescent="0.25">
      <c r="A14" s="12" t="s">
        <v>70</v>
      </c>
      <c r="B14" s="13">
        <f ca="1">VLOOKUP($B14,'[10]Analisys QBR By Machine Report'!$C$109:$BD$166,2,FALSE)</f>
        <v>34560</v>
      </c>
      <c r="C14" s="14">
        <f ca="1">VLOOKUP($B14,[10]Dasboard_QBR_Report!$B$109:$BL$166,3,FALSE)</f>
        <v>11520</v>
      </c>
      <c r="D14" s="13">
        <f ca="1">VLOOKUP($B14,'[10]Analisys QBR By Machine Report'!$C$109:$BD$166,3,FALSE)</f>
        <v>26940</v>
      </c>
      <c r="E14" s="14">
        <f ca="1">VLOOKUP($B14,[10]Dasboard_QBR_Report!$B$109:$BL$166,5,FALSE)</f>
        <v>3900</v>
      </c>
      <c r="F14" s="13">
        <f t="shared" ca="1" si="0"/>
        <v>7620</v>
      </c>
      <c r="G14" s="13">
        <f t="shared" ca="1" si="1"/>
        <v>210</v>
      </c>
      <c r="H14" s="13">
        <f ca="1">VLOOKUP($B14,'[10]Analisys QBR By Machine Report'!$C$109:$BD$166,4,FALSE)</f>
        <v>210</v>
      </c>
      <c r="I14" s="13">
        <f ca="1">VLOOKUP($B14,'[10]Analisys QBR By Machine Report'!$C$109:$BD$166,5,FALSE)</f>
        <v>0</v>
      </c>
      <c r="J14" s="13">
        <f ca="1">VLOOKUP($B14,'[10]Analisys QBR By Machine Report'!$C$109:$BD$166,6,FALSE)</f>
        <v>210</v>
      </c>
      <c r="K14" s="13">
        <f ca="1">VLOOKUP($B14,'[10]Analisys QBR By Machine Report'!$C$109:$BD$166,7,FALSE)</f>
        <v>0</v>
      </c>
      <c r="L14" s="13">
        <f ca="1">VLOOKUP($B14,'[10]Analisys QBR By Machine Report'!$C$109:$BD$166,8,FALSE)</f>
        <v>7410</v>
      </c>
      <c r="M14" s="13">
        <f ca="1">VLOOKUP($B14,'[10]Analisys QBR By Machine Report'!$C$109:$BD$166,9,FALSE)</f>
        <v>2695</v>
      </c>
      <c r="N14" s="13">
        <f ca="1">VLOOKUP($B14,[10]Dasboard_QBR_Report!$B$109:$BL$166,18,FALSE)</f>
        <v>4715</v>
      </c>
      <c r="O14" s="13">
        <f ca="1">VLOOKUP($B14,'[10]Analisys QBR By Machine Report'!$C$109:$BD$166,10,FALSE)</f>
        <v>285</v>
      </c>
      <c r="P14" s="13">
        <f ca="1">VLOOKUP($B14,'[10]Analisys QBR By Machine Report'!$C$109:$BD$166,11,FALSE)</f>
        <v>170</v>
      </c>
      <c r="Q14" s="13">
        <f ca="1">VLOOKUP($B14,'[10]Analisys QBR By Machine Report'!$C$109:$BD$166,12,FALSE)</f>
        <v>0</v>
      </c>
      <c r="R14" s="13">
        <f ca="1">VLOOKUP($B14,'[10]Analisys QBR By Machine Report'!$C$109:$BD$166,13,FALSE)</f>
        <v>115</v>
      </c>
      <c r="S14" s="13">
        <f ca="1">VLOOKUP($B14,'[10]Analisys QBR By Machine Report'!$C$109:$BD$166,14,FALSE)</f>
        <v>0</v>
      </c>
      <c r="T14" s="13">
        <f ca="1">VLOOKUP($B14,'[10]Analisys QBR By Machine Report'!$C$109:$BD$166,15,FALSE)</f>
        <v>185</v>
      </c>
      <c r="U14" s="13">
        <f ca="1">VLOOKUP($B14,'[10]Analisys QBR By Machine Report'!$C$109:$BD$166,16,FALSE)</f>
        <v>185</v>
      </c>
      <c r="V14" s="13">
        <f ca="1">VLOOKUP($B14,'[10]Analisys QBR By Machine Report'!$C$109:$BD$166,17,FALSE)</f>
        <v>0</v>
      </c>
      <c r="W14" s="13">
        <f ca="1">VLOOKUP($B14,'[10]Analisys QBR By Machine Report'!$C$109:$BD$166,18,FALSE)</f>
        <v>0</v>
      </c>
      <c r="X14" s="13">
        <f ca="1">VLOOKUP($B14,'[10]Analisys QBR By Machine Report'!$C$109:$BD$166,19,FALSE)</f>
        <v>0</v>
      </c>
      <c r="Y14" s="13">
        <f ca="1">VLOOKUP($B14,'[10]Analisys QBR By Machine Report'!$C$109:$BD$166,20,FALSE)</f>
        <v>0</v>
      </c>
      <c r="Z14" s="13">
        <f ca="1">VLOOKUP($B14,'[10]Analisys QBR By Machine Report'!$C$109:$BD$166,21,FALSE)</f>
        <v>2740</v>
      </c>
      <c r="AA14" s="13">
        <f ca="1">VLOOKUP($B14,'[10]Analisys QBR By Machine Report'!$C$109:$BD$166,22,FALSE)</f>
        <v>755</v>
      </c>
      <c r="AB14" s="13">
        <f ca="1">VLOOKUP($B14,'[10]Analisys QBR By Machine Report'!$C$109:$BD$166,23,FALSE)</f>
        <v>1725</v>
      </c>
      <c r="AC14" s="13">
        <f ca="1">VLOOKUP($B14,'[10]Analisys QBR By Machine Report'!$C$109:$BD$166,24,FALSE)</f>
        <v>0</v>
      </c>
      <c r="AD14" s="13">
        <f ca="1">VLOOKUP($B14,'[10]Analisys QBR By Machine Report'!$C$109:$BD$166,25,FALSE)</f>
        <v>0</v>
      </c>
      <c r="AE14" s="13">
        <f ca="1">VLOOKUP($B14,'[10]Analisys QBR By Machine Report'!$C$109:$BD$166,26,FALSE)</f>
        <v>260</v>
      </c>
      <c r="AF14" s="13">
        <f ca="1">VLOOKUP($B14,'[10]Analisys QBR By Machine Report'!$C$109:$BD$166,27,FALSE)</f>
        <v>0</v>
      </c>
      <c r="AG14" s="13">
        <f ca="1">VLOOKUP($B14,'[10]Analisys QBR By Machine Report'!$C$109:$BD$166,28,FALSE)</f>
        <v>0</v>
      </c>
      <c r="AH14" s="13">
        <f ca="1">VLOOKUP($B14,'[10]Analisys QBR By Machine Report'!$C$109:$BD$166,29,FALSE)</f>
        <v>0</v>
      </c>
      <c r="AI14" s="13">
        <f ca="1">VLOOKUP($B14,'[10]Analisys QBR By Machine Report'!$C$109:$BD$166,30,FALSE)</f>
        <v>1505</v>
      </c>
      <c r="AJ14" s="13">
        <f ca="1">VLOOKUP($B14,'[10]Analisys QBR By Machine Report'!$C$109:$BD$166,31,FALSE)</f>
        <v>0</v>
      </c>
      <c r="AK14" s="13">
        <f ca="1">VLOOKUP($B14,'[10]Analisys QBR By Machine Report'!$C$109:$BD$166,32,FALSE)</f>
        <v>0</v>
      </c>
      <c r="AL14" s="13">
        <f ca="1">VLOOKUP($B14,'[10]Analisys QBR By Machine Report'!$C$109:$BD$166,33,FALSE)</f>
        <v>480</v>
      </c>
      <c r="AM14" s="13">
        <f ca="1">VLOOKUP($B14,'[10]Analisys QBR By Machine Report'!$C$109:$BD$166,34,FALSE)</f>
        <v>0</v>
      </c>
      <c r="AN14" s="13">
        <f ca="1">VLOOKUP($B14,'[10]Analisys QBR By Machine Report'!$C$109:$BD$166,35,FALSE)</f>
        <v>485</v>
      </c>
      <c r="AO14" s="13">
        <f ca="1">VLOOKUP($B14,'[10]Analisys QBR By Machine Report'!$C$109:$BD$166,36,FALSE)</f>
        <v>0</v>
      </c>
      <c r="AP14" s="13">
        <f ca="1">VLOOKUP($B14,'[10]Analisys QBR By Machine Report'!$C$109:$BD$166,37,FALSE)</f>
        <v>0</v>
      </c>
      <c r="AQ14" s="13">
        <f ca="1">VLOOKUP($B14,'[10]Analisys QBR By Machine Report'!$C$109:$BD$166,38,FALSE)</f>
        <v>0</v>
      </c>
      <c r="AR14" s="13">
        <f ca="1">VLOOKUP($B14,'[10]Analisys QBR By Machine Report'!$C$109:$BD$166,39,FALSE)</f>
        <v>280</v>
      </c>
      <c r="AS14" s="13">
        <f ca="1">VLOOKUP($B14,'[10]Analisys QBR By Machine Report'!$C$109:$BD$166,40,FALSE)</f>
        <v>145</v>
      </c>
      <c r="AT14" s="13">
        <f ca="1">VLOOKUP($B14,'[10]Analisys QBR By Machine Report'!$C$109:$BD$166,41,FALSE)</f>
        <v>10</v>
      </c>
      <c r="AU14" s="13">
        <f ca="1">VLOOKUP($B14,'[10]Analisys QBR By Machine Report'!$C$109:$BD$166,42,FALSE)</f>
        <v>0</v>
      </c>
      <c r="AV14" s="13">
        <f ca="1">VLOOKUP($B14,'[10]Analisys QBR By Machine Report'!$C$109:$BD$166,43,FALSE)</f>
        <v>0</v>
      </c>
      <c r="AW14" s="13">
        <f ca="1">VLOOKUP($B14,'[10]Analisys QBR By Machine Report'!$C$109:$BD$166,44,FALSE)</f>
        <v>0</v>
      </c>
      <c r="AX14" s="13">
        <f ca="1">VLOOKUP($B14,'[10]Analisys QBR By Machine Report'!$C$109:$BD$166,45,FALSE)</f>
        <v>0</v>
      </c>
      <c r="AY14" s="13">
        <f ca="1">VLOOKUP($B14,'[10]Analisys QBR By Machine Report'!$C$109:$BD$166,46,FALSE)</f>
        <v>0</v>
      </c>
      <c r="AZ14" s="13">
        <f ca="1">VLOOKUP($B14,'[10]Analisys QBR By Machine Report'!$C$109:$BD$166,47,FALSE)</f>
        <v>105</v>
      </c>
      <c r="BA14" s="13">
        <f ca="1">VLOOKUP($B14,'[10]Analisys QBR By Machine Report'!$C$109:$BD$166,48,FALSE)</f>
        <v>0</v>
      </c>
      <c r="BB14" s="13">
        <f ca="1">VLOOKUP($B14,'[10]Analisys QBR By Machine Report'!$C$109:$BD$166,49,FALSE)</f>
        <v>0</v>
      </c>
      <c r="BC14" s="13">
        <f ca="1">VLOOKUP($B14,'[10]Analisys QBR By Machine Report'!$C$109:$BD$166,50,FALSE)</f>
        <v>0</v>
      </c>
      <c r="BD14" s="13">
        <f ca="1">VLOOKUP($B14,'[10]Analisys QBR By Machine Report'!$C$109:$BD$166,51,FALSE)</f>
        <v>652.52</v>
      </c>
      <c r="BE14" s="13">
        <f ca="1">VLOOKUP($B14,'[10]Analisys QBR By Machine Report'!$C$109:$BD$166,52,FALSE)</f>
        <v>0.39</v>
      </c>
      <c r="BF14" s="13">
        <f ca="1">VLOOKUP($B14,'[10]Analisys QBR By Machine Report'!$C$109:$BD$166,53,FALSE)</f>
        <v>652.13</v>
      </c>
    </row>
    <row r="15" spans="1:58" x14ac:dyDescent="0.25">
      <c r="A15" s="12" t="s">
        <v>71</v>
      </c>
      <c r="B15" s="13">
        <f ca="1">VLOOKUP($B15,'[10]Analisys QBR By Machine Report'!$C$109:$BD$166,2,FALSE)</f>
        <v>34560</v>
      </c>
      <c r="C15" s="14">
        <f ca="1">VLOOKUP($B15,[10]Dasboard_QBR_Report!$B$109:$BL$166,3,FALSE)</f>
        <v>11520</v>
      </c>
      <c r="D15" s="13">
        <f ca="1">VLOOKUP($B15,'[10]Analisys QBR By Machine Report'!$C$109:$BD$166,3,FALSE)</f>
        <v>28800</v>
      </c>
      <c r="E15" s="14">
        <f ca="1">VLOOKUP($B15,[10]Dasboard_QBR_Report!$B$109:$BL$166,5,FALSE)</f>
        <v>5760</v>
      </c>
      <c r="F15" s="13">
        <f t="shared" ca="1" si="0"/>
        <v>5760</v>
      </c>
      <c r="G15" s="13">
        <f t="shared" ca="1" si="1"/>
        <v>670</v>
      </c>
      <c r="H15" s="13">
        <f ca="1">VLOOKUP($B15,'[10]Analisys QBR By Machine Report'!$C$109:$BD$166,4,FALSE)</f>
        <v>670</v>
      </c>
      <c r="I15" s="13">
        <f ca="1">VLOOKUP($B15,'[10]Analisys QBR By Machine Report'!$C$109:$BD$166,5,FALSE)</f>
        <v>0</v>
      </c>
      <c r="J15" s="13">
        <f ca="1">VLOOKUP($B15,'[10]Analisys QBR By Machine Report'!$C$109:$BD$166,6,FALSE)</f>
        <v>670</v>
      </c>
      <c r="K15" s="13">
        <f ca="1">VLOOKUP($B15,'[10]Analisys QBR By Machine Report'!$C$109:$BD$166,7,FALSE)</f>
        <v>0</v>
      </c>
      <c r="L15" s="13">
        <f ca="1">VLOOKUP($B15,'[10]Analisys QBR By Machine Report'!$C$109:$BD$166,8,FALSE)</f>
        <v>5090</v>
      </c>
      <c r="M15" s="13">
        <f ca="1">VLOOKUP($B15,'[10]Analisys QBR By Machine Report'!$C$109:$BD$166,9,FALSE)</f>
        <v>2440</v>
      </c>
      <c r="N15" s="13">
        <f ca="1">VLOOKUP($B15,[10]Dasboard_QBR_Report!$B$109:$BL$166,18,FALSE)</f>
        <v>2650</v>
      </c>
      <c r="O15" s="13">
        <f ca="1">VLOOKUP($B15,'[10]Analisys QBR By Machine Report'!$C$109:$BD$166,10,FALSE)</f>
        <v>215</v>
      </c>
      <c r="P15" s="13">
        <f ca="1">VLOOKUP($B15,'[10]Analisys QBR By Machine Report'!$C$109:$BD$166,11,FALSE)</f>
        <v>120</v>
      </c>
      <c r="Q15" s="13">
        <f ca="1">VLOOKUP($B15,'[10]Analisys QBR By Machine Report'!$C$109:$BD$166,12,FALSE)</f>
        <v>0</v>
      </c>
      <c r="R15" s="13">
        <f ca="1">VLOOKUP($B15,'[10]Analisys QBR By Machine Report'!$C$109:$BD$166,13,FALSE)</f>
        <v>95</v>
      </c>
      <c r="S15" s="13">
        <f ca="1">VLOOKUP($B15,'[10]Analisys QBR By Machine Report'!$C$109:$BD$166,14,FALSE)</f>
        <v>0</v>
      </c>
      <c r="T15" s="13">
        <f ca="1">VLOOKUP($B15,'[10]Analisys QBR By Machine Report'!$C$109:$BD$166,15,FALSE)</f>
        <v>0</v>
      </c>
      <c r="U15" s="13">
        <f ca="1">VLOOKUP($B15,'[10]Analisys QBR By Machine Report'!$C$109:$BD$166,16,FALSE)</f>
        <v>0</v>
      </c>
      <c r="V15" s="13">
        <f ca="1">VLOOKUP($B15,'[10]Analisys QBR By Machine Report'!$C$109:$BD$166,17,FALSE)</f>
        <v>0</v>
      </c>
      <c r="W15" s="13">
        <f ca="1">VLOOKUP($B15,'[10]Analisys QBR By Machine Report'!$C$109:$BD$166,18,FALSE)</f>
        <v>0</v>
      </c>
      <c r="X15" s="13">
        <f ca="1">VLOOKUP($B15,'[10]Analisys QBR By Machine Report'!$C$109:$BD$166,19,FALSE)</f>
        <v>0</v>
      </c>
      <c r="Y15" s="13">
        <f ca="1">VLOOKUP($B15,'[10]Analisys QBR By Machine Report'!$C$109:$BD$166,20,FALSE)</f>
        <v>0</v>
      </c>
      <c r="Z15" s="13">
        <f ca="1">VLOOKUP($B15,'[10]Analisys QBR By Machine Report'!$C$109:$BD$166,21,FALSE)</f>
        <v>1680</v>
      </c>
      <c r="AA15" s="13">
        <f ca="1">VLOOKUP($B15,'[10]Analisys QBR By Machine Report'!$C$109:$BD$166,22,FALSE)</f>
        <v>560</v>
      </c>
      <c r="AB15" s="13">
        <f ca="1">VLOOKUP($B15,'[10]Analisys QBR By Machine Report'!$C$109:$BD$166,23,FALSE)</f>
        <v>930</v>
      </c>
      <c r="AC15" s="13">
        <f ca="1">VLOOKUP($B15,'[10]Analisys QBR By Machine Report'!$C$109:$BD$166,24,FALSE)</f>
        <v>0</v>
      </c>
      <c r="AD15" s="13">
        <f ca="1">VLOOKUP($B15,'[10]Analisys QBR By Machine Report'!$C$109:$BD$166,25,FALSE)</f>
        <v>0</v>
      </c>
      <c r="AE15" s="13">
        <f ca="1">VLOOKUP($B15,'[10]Analisys QBR By Machine Report'!$C$109:$BD$166,26,FALSE)</f>
        <v>190</v>
      </c>
      <c r="AF15" s="13">
        <f ca="1">VLOOKUP($B15,'[10]Analisys QBR By Machine Report'!$C$109:$BD$166,27,FALSE)</f>
        <v>0</v>
      </c>
      <c r="AG15" s="13">
        <f ca="1">VLOOKUP($B15,'[10]Analisys QBR By Machine Report'!$C$109:$BD$166,28,FALSE)</f>
        <v>0</v>
      </c>
      <c r="AH15" s="13">
        <f ca="1">VLOOKUP($B15,'[10]Analisys QBR By Machine Report'!$C$109:$BD$166,29,FALSE)</f>
        <v>0</v>
      </c>
      <c r="AI15" s="13">
        <f ca="1">VLOOKUP($B15,'[10]Analisys QBR By Machine Report'!$C$109:$BD$166,30,FALSE)</f>
        <v>755</v>
      </c>
      <c r="AJ15" s="13">
        <f ca="1">VLOOKUP($B15,'[10]Analisys QBR By Machine Report'!$C$109:$BD$166,31,FALSE)</f>
        <v>0</v>
      </c>
      <c r="AK15" s="13">
        <f ca="1">VLOOKUP($B15,'[10]Analisys QBR By Machine Report'!$C$109:$BD$166,32,FALSE)</f>
        <v>0</v>
      </c>
      <c r="AL15" s="13">
        <f ca="1">VLOOKUP($B15,'[10]Analisys QBR By Machine Report'!$C$109:$BD$166,33,FALSE)</f>
        <v>210</v>
      </c>
      <c r="AM15" s="13">
        <f ca="1">VLOOKUP($B15,'[10]Analisys QBR By Machine Report'!$C$109:$BD$166,34,FALSE)</f>
        <v>0</v>
      </c>
      <c r="AN15" s="13">
        <f ca="1">VLOOKUP($B15,'[10]Analisys QBR By Machine Report'!$C$109:$BD$166,35,FALSE)</f>
        <v>240</v>
      </c>
      <c r="AO15" s="13">
        <f ca="1">VLOOKUP($B15,'[10]Analisys QBR By Machine Report'!$C$109:$BD$166,36,FALSE)</f>
        <v>25</v>
      </c>
      <c r="AP15" s="13">
        <f ca="1">VLOOKUP($B15,'[10]Analisys QBR By Machine Report'!$C$109:$BD$166,37,FALSE)</f>
        <v>0</v>
      </c>
      <c r="AQ15" s="13">
        <f ca="1">VLOOKUP($B15,'[10]Analisys QBR By Machine Report'!$C$109:$BD$166,38,FALSE)</f>
        <v>0</v>
      </c>
      <c r="AR15" s="13">
        <f ca="1">VLOOKUP($B15,'[10]Analisys QBR By Machine Report'!$C$109:$BD$166,39,FALSE)</f>
        <v>135</v>
      </c>
      <c r="AS15" s="13">
        <f ca="1">VLOOKUP($B15,'[10]Analisys QBR By Machine Report'!$C$109:$BD$166,40,FALSE)</f>
        <v>85</v>
      </c>
      <c r="AT15" s="13">
        <f ca="1">VLOOKUP($B15,'[10]Analisys QBR By Machine Report'!$C$109:$BD$166,41,FALSE)</f>
        <v>0</v>
      </c>
      <c r="AU15" s="13">
        <f ca="1">VLOOKUP($B15,'[10]Analisys QBR By Machine Report'!$C$109:$BD$166,42,FALSE)</f>
        <v>0</v>
      </c>
      <c r="AV15" s="13">
        <f ca="1">VLOOKUP($B15,'[10]Analisys QBR By Machine Report'!$C$109:$BD$166,43,FALSE)</f>
        <v>0</v>
      </c>
      <c r="AW15" s="13">
        <f ca="1">VLOOKUP($B15,'[10]Analisys QBR By Machine Report'!$C$109:$BD$166,44,FALSE)</f>
        <v>0</v>
      </c>
      <c r="AX15" s="13">
        <f ca="1">VLOOKUP($B15,'[10]Analisys QBR By Machine Report'!$C$109:$BD$166,45,FALSE)</f>
        <v>0</v>
      </c>
      <c r="AY15" s="13">
        <f ca="1">VLOOKUP($B15,'[10]Analisys QBR By Machine Report'!$C$109:$BD$166,46,FALSE)</f>
        <v>0</v>
      </c>
      <c r="AZ15" s="13">
        <f ca="1">VLOOKUP($B15,'[10]Analisys QBR By Machine Report'!$C$109:$BD$166,47,FALSE)</f>
        <v>60</v>
      </c>
      <c r="BA15" s="13">
        <f ca="1">VLOOKUP($B15,'[10]Analisys QBR By Machine Report'!$C$109:$BD$166,48,FALSE)</f>
        <v>0</v>
      </c>
      <c r="BB15" s="13">
        <f ca="1">VLOOKUP($B15,'[10]Analisys QBR By Machine Report'!$C$109:$BD$166,49,FALSE)</f>
        <v>0</v>
      </c>
      <c r="BC15" s="13">
        <f ca="1">VLOOKUP($B15,'[10]Analisys QBR By Machine Report'!$C$109:$BD$166,50,FALSE)</f>
        <v>0</v>
      </c>
      <c r="BD15" s="13">
        <f ca="1">VLOOKUP($B15,'[10]Analisys QBR By Machine Report'!$C$109:$BD$166,51,FALSE)</f>
        <v>1657.06</v>
      </c>
      <c r="BE15" s="13">
        <f ca="1">VLOOKUP($B15,'[10]Analisys QBR By Machine Report'!$C$109:$BD$166,52,FALSE)</f>
        <v>0.63</v>
      </c>
      <c r="BF15" s="13">
        <f ca="1">VLOOKUP($B15,'[10]Analisys QBR By Machine Report'!$C$109:$BD$166,53,FALSE)</f>
        <v>1656.43</v>
      </c>
    </row>
    <row r="16" spans="1:58" x14ac:dyDescent="0.25">
      <c r="A16" s="9" t="s">
        <v>72</v>
      </c>
      <c r="B16" s="10">
        <f ca="1">VLOOKUP($B16,'[10]Analisys QBR By Machine Report'!$C$109:$BD$166,2,FALSE)</f>
        <v>172800</v>
      </c>
      <c r="C16" s="11">
        <f ca="1">VLOOKUP($B16,[10]Dasboard_QBR_Report!$B$109:$BL$166,3,FALSE)</f>
        <v>79200</v>
      </c>
      <c r="D16" s="10">
        <f ca="1">VLOOKUP($B16,'[10]Analisys QBR By Machine Report'!$C$109:$BD$166,3,FALSE)</f>
        <v>110310</v>
      </c>
      <c r="E16" s="11">
        <f ca="1">VLOOKUP($B16,[10]Dasboard_QBR_Report!$B$109:$BL$166,5,FALSE)</f>
        <v>16710</v>
      </c>
      <c r="F16" s="10">
        <f t="shared" ca="1" si="0"/>
        <v>62490</v>
      </c>
      <c r="G16" s="10">
        <f t="shared" ca="1" si="1"/>
        <v>2160</v>
      </c>
      <c r="H16" s="10">
        <f ca="1">VLOOKUP($B16,'[10]Analisys QBR By Machine Report'!$C$109:$BD$166,4,FALSE)</f>
        <v>2160</v>
      </c>
      <c r="I16" s="10">
        <f ca="1">VLOOKUP($B16,'[10]Analisys QBR By Machine Report'!$C$109:$BD$166,5,FALSE)</f>
        <v>610</v>
      </c>
      <c r="J16" s="10">
        <f ca="1">VLOOKUP($B16,'[10]Analisys QBR By Machine Report'!$C$109:$BD$166,6,FALSE)</f>
        <v>1550</v>
      </c>
      <c r="K16" s="10">
        <f ca="1">VLOOKUP($B16,'[10]Analisys QBR By Machine Report'!$C$109:$BD$166,7,FALSE)</f>
        <v>0</v>
      </c>
      <c r="L16" s="10">
        <f ca="1">VLOOKUP($B16,'[10]Analisys QBR By Machine Report'!$C$109:$BD$166,8,FALSE)</f>
        <v>60330</v>
      </c>
      <c r="M16" s="10">
        <f ca="1">VLOOKUP($B16,'[10]Analisys QBR By Machine Report'!$C$109:$BD$166,9,FALSE)</f>
        <v>23760</v>
      </c>
      <c r="N16" s="10">
        <f ca="1">VLOOKUP($B16,[10]Dasboard_QBR_Report!$B$109:$BL$166,18,FALSE)</f>
        <v>36570</v>
      </c>
      <c r="O16" s="10">
        <f ca="1">VLOOKUP($B16,'[10]Analisys QBR By Machine Report'!$C$109:$BD$166,10,FALSE)</f>
        <v>8275</v>
      </c>
      <c r="P16" s="10">
        <f ca="1">VLOOKUP($B16,'[10]Analisys QBR By Machine Report'!$C$109:$BD$166,11,FALSE)</f>
        <v>5070</v>
      </c>
      <c r="Q16" s="10">
        <f ca="1">VLOOKUP($B16,'[10]Analisys QBR By Machine Report'!$C$109:$BD$166,12,FALSE)</f>
        <v>0</v>
      </c>
      <c r="R16" s="10">
        <f ca="1">VLOOKUP($B16,'[10]Analisys QBR By Machine Report'!$C$109:$BD$166,13,FALSE)</f>
        <v>3205</v>
      </c>
      <c r="S16" s="10">
        <f ca="1">VLOOKUP($B16,'[10]Analisys QBR By Machine Report'!$C$109:$BD$166,14,FALSE)</f>
        <v>0</v>
      </c>
      <c r="T16" s="10">
        <f ca="1">VLOOKUP($B16,'[10]Analisys QBR By Machine Report'!$C$109:$BD$166,15,FALSE)</f>
        <v>810</v>
      </c>
      <c r="U16" s="10">
        <f ca="1">VLOOKUP($B16,'[10]Analisys QBR By Machine Report'!$C$109:$BD$166,16,FALSE)</f>
        <v>655</v>
      </c>
      <c r="V16" s="10">
        <f ca="1">VLOOKUP($B16,'[10]Analisys QBR By Machine Report'!$C$109:$BD$166,17,FALSE)</f>
        <v>75</v>
      </c>
      <c r="W16" s="10">
        <f ca="1">VLOOKUP($B16,'[10]Analisys QBR By Machine Report'!$C$109:$BD$166,18,FALSE)</f>
        <v>0</v>
      </c>
      <c r="X16" s="10">
        <f ca="1">VLOOKUP($B16,'[10]Analisys QBR By Machine Report'!$C$109:$BD$166,19,FALSE)</f>
        <v>0</v>
      </c>
      <c r="Y16" s="10">
        <f ca="1">VLOOKUP($B16,'[10]Analisys QBR By Machine Report'!$C$109:$BD$166,20,FALSE)</f>
        <v>80</v>
      </c>
      <c r="Z16" s="10">
        <f ca="1">VLOOKUP($B16,'[10]Analisys QBR By Machine Report'!$C$109:$BD$166,21,FALSE)</f>
        <v>11710</v>
      </c>
      <c r="AA16" s="10">
        <f ca="1">VLOOKUP($B16,'[10]Analisys QBR By Machine Report'!$C$109:$BD$166,22,FALSE)</f>
        <v>5790</v>
      </c>
      <c r="AB16" s="10">
        <f ca="1">VLOOKUP($B16,'[10]Analisys QBR By Machine Report'!$C$109:$BD$166,23,FALSE)</f>
        <v>2425</v>
      </c>
      <c r="AC16" s="10">
        <f ca="1">VLOOKUP($B16,'[10]Analisys QBR By Machine Report'!$C$109:$BD$166,24,FALSE)</f>
        <v>2285</v>
      </c>
      <c r="AD16" s="10">
        <f ca="1">VLOOKUP($B16,'[10]Analisys QBR By Machine Report'!$C$109:$BD$166,25,FALSE)</f>
        <v>0</v>
      </c>
      <c r="AE16" s="10">
        <f ca="1">VLOOKUP($B16,'[10]Analisys QBR By Machine Report'!$C$109:$BD$166,26,FALSE)</f>
        <v>1210</v>
      </c>
      <c r="AF16" s="10">
        <f ca="1">VLOOKUP($B16,'[10]Analisys QBR By Machine Report'!$C$109:$BD$166,27,FALSE)</f>
        <v>3610</v>
      </c>
      <c r="AG16" s="10">
        <f ca="1">VLOOKUP($B16,'[10]Analisys QBR By Machine Report'!$C$109:$BD$166,28,FALSE)</f>
        <v>330</v>
      </c>
      <c r="AH16" s="10">
        <f ca="1">VLOOKUP($B16,'[10]Analisys QBR By Machine Report'!$C$109:$BD$166,29,FALSE)</f>
        <v>3280</v>
      </c>
      <c r="AI16" s="10">
        <f ca="1">VLOOKUP($B16,'[10]Analisys QBR By Machine Report'!$C$109:$BD$166,30,FALSE)</f>
        <v>12165</v>
      </c>
      <c r="AJ16" s="10">
        <f ca="1">VLOOKUP($B16,'[10]Analisys QBR By Machine Report'!$C$109:$BD$166,31,FALSE)</f>
        <v>45</v>
      </c>
      <c r="AK16" s="10">
        <f ca="1">VLOOKUP($B16,'[10]Analisys QBR By Machine Report'!$C$109:$BD$166,32,FALSE)</f>
        <v>30</v>
      </c>
      <c r="AL16" s="10">
        <f ca="1">VLOOKUP($B16,'[10]Analisys QBR By Machine Report'!$C$109:$BD$166,33,FALSE)</f>
        <v>3585</v>
      </c>
      <c r="AM16" s="10">
        <f ca="1">VLOOKUP($B16,'[10]Analisys QBR By Machine Report'!$C$109:$BD$166,34,FALSE)</f>
        <v>0</v>
      </c>
      <c r="AN16" s="10">
        <f ca="1">VLOOKUP($B16,'[10]Analisys QBR By Machine Report'!$C$109:$BD$166,35,FALSE)</f>
        <v>3095</v>
      </c>
      <c r="AO16" s="10">
        <f ca="1">VLOOKUP($B16,'[10]Analisys QBR By Machine Report'!$C$109:$BD$166,36,FALSE)</f>
        <v>0</v>
      </c>
      <c r="AP16" s="10">
        <f ca="1">VLOOKUP($B16,'[10]Analisys QBR By Machine Report'!$C$109:$BD$166,37,FALSE)</f>
        <v>560</v>
      </c>
      <c r="AQ16" s="10">
        <f ca="1">VLOOKUP($B16,'[10]Analisys QBR By Machine Report'!$C$109:$BD$166,38,FALSE)</f>
        <v>0</v>
      </c>
      <c r="AR16" s="10">
        <f ca="1">VLOOKUP($B16,'[10]Analisys QBR By Machine Report'!$C$109:$BD$166,39,FALSE)</f>
        <v>140</v>
      </c>
      <c r="AS16" s="10">
        <f ca="1">VLOOKUP($B16,'[10]Analisys QBR By Machine Report'!$C$109:$BD$166,40,FALSE)</f>
        <v>2115</v>
      </c>
      <c r="AT16" s="10">
        <f ca="1">VLOOKUP($B16,'[10]Analisys QBR By Machine Report'!$C$109:$BD$166,41,FALSE)</f>
        <v>0</v>
      </c>
      <c r="AU16" s="10">
        <f ca="1">VLOOKUP($B16,'[10]Analisys QBR By Machine Report'!$C$109:$BD$166,42,FALSE)</f>
        <v>0</v>
      </c>
      <c r="AV16" s="10">
        <f ca="1">VLOOKUP($B16,'[10]Analisys QBR By Machine Report'!$C$109:$BD$166,43,FALSE)</f>
        <v>0</v>
      </c>
      <c r="AW16" s="10">
        <f ca="1">VLOOKUP($B16,'[10]Analisys QBR By Machine Report'!$C$109:$BD$166,44,FALSE)</f>
        <v>0</v>
      </c>
      <c r="AX16" s="10">
        <f ca="1">VLOOKUP($B16,'[10]Analisys QBR By Machine Report'!$C$109:$BD$166,45,FALSE)</f>
        <v>0</v>
      </c>
      <c r="AY16" s="10">
        <f ca="1">VLOOKUP($B16,'[10]Analisys QBR By Machine Report'!$C$109:$BD$166,46,FALSE)</f>
        <v>0</v>
      </c>
      <c r="AZ16" s="10">
        <f ca="1">VLOOKUP($B16,'[10]Analisys QBR By Machine Report'!$C$109:$BD$166,47,FALSE)</f>
        <v>2095</v>
      </c>
      <c r="BA16" s="10">
        <f ca="1">VLOOKUP($B16,'[10]Analisys QBR By Machine Report'!$C$109:$BD$166,48,FALSE)</f>
        <v>355</v>
      </c>
      <c r="BB16" s="10">
        <f ca="1">VLOOKUP($B16,'[10]Analisys QBR By Machine Report'!$C$109:$BD$166,49,FALSE)</f>
        <v>0</v>
      </c>
      <c r="BC16" s="10">
        <f ca="1">VLOOKUP($B16,'[10]Analisys QBR By Machine Report'!$C$109:$BD$166,50,FALSE)</f>
        <v>145</v>
      </c>
      <c r="BD16" s="10">
        <f ca="1">VLOOKUP($B16,'[10]Analisys QBR By Machine Report'!$C$109:$BD$166,51,FALSE)</f>
        <v>12067160</v>
      </c>
      <c r="BE16" s="10">
        <f ca="1">VLOOKUP($B16,'[10]Analisys QBR By Machine Report'!$C$109:$BD$166,52,FALSE)</f>
        <v>49051.040000000001</v>
      </c>
      <c r="BF16" s="10">
        <f ca="1">VLOOKUP($B16,'[10]Analisys QBR By Machine Report'!$C$109:$BD$166,53,FALSE)</f>
        <v>12018108.960000001</v>
      </c>
    </row>
    <row r="17" spans="1:58" x14ac:dyDescent="0.25">
      <c r="A17" s="12" t="s">
        <v>73</v>
      </c>
      <c r="B17" s="13">
        <f ca="1">VLOOKUP($B17,'[10]Analisys QBR By Machine Report'!$C$109:$BD$166,2,FALSE)</f>
        <v>34560</v>
      </c>
      <c r="C17" s="14">
        <f ca="1">VLOOKUP($B17,[10]Dasboard_QBR_Report!$B$109:$BL$166,3,FALSE)</f>
        <v>22320</v>
      </c>
      <c r="D17" s="13">
        <f ca="1">VLOOKUP($B17,'[10]Analisys QBR By Machine Report'!$C$109:$BD$166,3,FALSE)</f>
        <v>21360</v>
      </c>
      <c r="E17" s="14">
        <f ca="1">VLOOKUP($B17,[10]Dasboard_QBR_Report!$B$109:$BL$166,5,FALSE)</f>
        <v>9120</v>
      </c>
      <c r="F17" s="13">
        <f t="shared" ca="1" si="0"/>
        <v>13200</v>
      </c>
      <c r="G17" s="13">
        <f t="shared" ca="1" si="1"/>
        <v>150</v>
      </c>
      <c r="H17" s="13">
        <f ca="1">VLOOKUP($B17,'[10]Analisys QBR By Machine Report'!$C$109:$BD$166,4,FALSE)</f>
        <v>150</v>
      </c>
      <c r="I17" s="13">
        <f ca="1">VLOOKUP($B17,'[10]Analisys QBR By Machine Report'!$C$109:$BD$166,5,FALSE)</f>
        <v>0</v>
      </c>
      <c r="J17" s="13">
        <f ca="1">VLOOKUP($B17,'[10]Analisys QBR By Machine Report'!$C$109:$BD$166,6,FALSE)</f>
        <v>150</v>
      </c>
      <c r="K17" s="13">
        <f ca="1">VLOOKUP($B17,'[10]Analisys QBR By Machine Report'!$C$109:$BD$166,7,FALSE)</f>
        <v>0</v>
      </c>
      <c r="L17" s="13">
        <f ca="1">VLOOKUP($B17,'[10]Analisys QBR By Machine Report'!$C$109:$BD$166,8,FALSE)</f>
        <v>13050</v>
      </c>
      <c r="M17" s="13">
        <f ca="1">VLOOKUP($B17,'[10]Analisys QBR By Machine Report'!$C$109:$BD$166,9,FALSE)</f>
        <v>5280</v>
      </c>
      <c r="N17" s="13">
        <f ca="1">VLOOKUP($B17,[10]Dasboard_QBR_Report!$B$109:$BL$166,18,FALSE)</f>
        <v>7770</v>
      </c>
      <c r="O17" s="13">
        <f ca="1">VLOOKUP($B17,'[10]Analisys QBR By Machine Report'!$C$109:$BD$166,10,FALSE)</f>
        <v>1890</v>
      </c>
      <c r="P17" s="13">
        <f ca="1">VLOOKUP($B17,'[10]Analisys QBR By Machine Report'!$C$109:$BD$166,11,FALSE)</f>
        <v>835</v>
      </c>
      <c r="Q17" s="13">
        <f ca="1">VLOOKUP($B17,'[10]Analisys QBR By Machine Report'!$C$109:$BD$166,12,FALSE)</f>
        <v>0</v>
      </c>
      <c r="R17" s="13">
        <f ca="1">VLOOKUP($B17,'[10]Analisys QBR By Machine Report'!$C$109:$BD$166,13,FALSE)</f>
        <v>1055</v>
      </c>
      <c r="S17" s="13">
        <f ca="1">VLOOKUP($B17,'[10]Analisys QBR By Machine Report'!$C$109:$BD$166,14,FALSE)</f>
        <v>0</v>
      </c>
      <c r="T17" s="13">
        <f ca="1">VLOOKUP($B17,'[10]Analisys QBR By Machine Report'!$C$109:$BD$166,15,FALSE)</f>
        <v>180</v>
      </c>
      <c r="U17" s="13">
        <f ca="1">VLOOKUP($B17,'[10]Analisys QBR By Machine Report'!$C$109:$BD$166,16,FALSE)</f>
        <v>140</v>
      </c>
      <c r="V17" s="13">
        <f ca="1">VLOOKUP($B17,'[10]Analisys QBR By Machine Report'!$C$109:$BD$166,17,FALSE)</f>
        <v>40</v>
      </c>
      <c r="W17" s="13">
        <f ca="1">VLOOKUP($B17,'[10]Analisys QBR By Machine Report'!$C$109:$BD$166,18,FALSE)</f>
        <v>0</v>
      </c>
      <c r="X17" s="13">
        <f ca="1">VLOOKUP($B17,'[10]Analisys QBR By Machine Report'!$C$109:$BD$166,19,FALSE)</f>
        <v>0</v>
      </c>
      <c r="Y17" s="13">
        <f ca="1">VLOOKUP($B17,'[10]Analisys QBR By Machine Report'!$C$109:$BD$166,20,FALSE)</f>
        <v>0</v>
      </c>
      <c r="Z17" s="13">
        <f ca="1">VLOOKUP($B17,'[10]Analisys QBR By Machine Report'!$C$109:$BD$166,21,FALSE)</f>
        <v>2445</v>
      </c>
      <c r="AA17" s="13">
        <f ca="1">VLOOKUP($B17,'[10]Analisys QBR By Machine Report'!$C$109:$BD$166,22,FALSE)</f>
        <v>1040</v>
      </c>
      <c r="AB17" s="13">
        <f ca="1">VLOOKUP($B17,'[10]Analisys QBR By Machine Report'!$C$109:$BD$166,23,FALSE)</f>
        <v>625</v>
      </c>
      <c r="AC17" s="13">
        <f ca="1">VLOOKUP($B17,'[10]Analisys QBR By Machine Report'!$C$109:$BD$166,24,FALSE)</f>
        <v>535</v>
      </c>
      <c r="AD17" s="13">
        <f ca="1">VLOOKUP($B17,'[10]Analisys QBR By Machine Report'!$C$109:$BD$166,25,FALSE)</f>
        <v>0</v>
      </c>
      <c r="AE17" s="13">
        <f ca="1">VLOOKUP($B17,'[10]Analisys QBR By Machine Report'!$C$109:$BD$166,26,FALSE)</f>
        <v>245</v>
      </c>
      <c r="AF17" s="13">
        <f ca="1">VLOOKUP($B17,'[10]Analisys QBR By Machine Report'!$C$109:$BD$166,27,FALSE)</f>
        <v>195</v>
      </c>
      <c r="AG17" s="13">
        <f ca="1">VLOOKUP($B17,'[10]Analisys QBR By Machine Report'!$C$109:$BD$166,28,FALSE)</f>
        <v>0</v>
      </c>
      <c r="AH17" s="13">
        <f ca="1">VLOOKUP($B17,'[10]Analisys QBR By Machine Report'!$C$109:$BD$166,29,FALSE)</f>
        <v>195</v>
      </c>
      <c r="AI17" s="13">
        <f ca="1">VLOOKUP($B17,'[10]Analisys QBR By Machine Report'!$C$109:$BD$166,30,FALSE)</f>
        <v>3060</v>
      </c>
      <c r="AJ17" s="13">
        <f ca="1">VLOOKUP($B17,'[10]Analisys QBR By Machine Report'!$C$109:$BD$166,31,FALSE)</f>
        <v>0</v>
      </c>
      <c r="AK17" s="13">
        <f ca="1">VLOOKUP($B17,'[10]Analisys QBR By Machine Report'!$C$109:$BD$166,32,FALSE)</f>
        <v>0</v>
      </c>
      <c r="AL17" s="13">
        <f ca="1">VLOOKUP($B17,'[10]Analisys QBR By Machine Report'!$C$109:$BD$166,33,FALSE)</f>
        <v>840</v>
      </c>
      <c r="AM17" s="13">
        <f ca="1">VLOOKUP($B17,'[10]Analisys QBR By Machine Report'!$C$109:$BD$166,34,FALSE)</f>
        <v>0</v>
      </c>
      <c r="AN17" s="13">
        <f ca="1">VLOOKUP($B17,'[10]Analisys QBR By Machine Report'!$C$109:$BD$166,35,FALSE)</f>
        <v>850</v>
      </c>
      <c r="AO17" s="13">
        <f ca="1">VLOOKUP($B17,'[10]Analisys QBR By Machine Report'!$C$109:$BD$166,36,FALSE)</f>
        <v>0</v>
      </c>
      <c r="AP17" s="13">
        <f ca="1">VLOOKUP($B17,'[10]Analisys QBR By Machine Report'!$C$109:$BD$166,37,FALSE)</f>
        <v>15</v>
      </c>
      <c r="AQ17" s="13">
        <f ca="1">VLOOKUP($B17,'[10]Analisys QBR By Machine Report'!$C$109:$BD$166,38,FALSE)</f>
        <v>0</v>
      </c>
      <c r="AR17" s="13">
        <f ca="1">VLOOKUP($B17,'[10]Analisys QBR By Machine Report'!$C$109:$BD$166,39,FALSE)</f>
        <v>0</v>
      </c>
      <c r="AS17" s="13">
        <f ca="1">VLOOKUP($B17,'[10]Analisys QBR By Machine Report'!$C$109:$BD$166,40,FALSE)</f>
        <v>685</v>
      </c>
      <c r="AT17" s="13">
        <f ca="1">VLOOKUP($B17,'[10]Analisys QBR By Machine Report'!$C$109:$BD$166,41,FALSE)</f>
        <v>0</v>
      </c>
      <c r="AU17" s="13">
        <f ca="1">VLOOKUP($B17,'[10]Analisys QBR By Machine Report'!$C$109:$BD$166,42,FALSE)</f>
        <v>0</v>
      </c>
      <c r="AV17" s="13">
        <f ca="1">VLOOKUP($B17,'[10]Analisys QBR By Machine Report'!$C$109:$BD$166,43,FALSE)</f>
        <v>0</v>
      </c>
      <c r="AW17" s="13">
        <f ca="1">VLOOKUP($B17,'[10]Analisys QBR By Machine Report'!$C$109:$BD$166,44,FALSE)</f>
        <v>0</v>
      </c>
      <c r="AX17" s="13">
        <f ca="1">VLOOKUP($B17,'[10]Analisys QBR By Machine Report'!$C$109:$BD$166,45,FALSE)</f>
        <v>0</v>
      </c>
      <c r="AY17" s="13">
        <f ca="1">VLOOKUP($B17,'[10]Analisys QBR By Machine Report'!$C$109:$BD$166,46,FALSE)</f>
        <v>0</v>
      </c>
      <c r="AZ17" s="13">
        <f ca="1">VLOOKUP($B17,'[10]Analisys QBR By Machine Report'!$C$109:$BD$166,47,FALSE)</f>
        <v>630</v>
      </c>
      <c r="BA17" s="13">
        <f ca="1">VLOOKUP($B17,'[10]Analisys QBR By Machine Report'!$C$109:$BD$166,48,FALSE)</f>
        <v>0</v>
      </c>
      <c r="BB17" s="13">
        <f ca="1">VLOOKUP($B17,'[10]Analisys QBR By Machine Report'!$C$109:$BD$166,49,FALSE)</f>
        <v>0</v>
      </c>
      <c r="BC17" s="13">
        <f ca="1">VLOOKUP($B17,'[10]Analisys QBR By Machine Report'!$C$109:$BD$166,50,FALSE)</f>
        <v>40</v>
      </c>
      <c r="BD17" s="13">
        <f ca="1">VLOOKUP($B17,'[10]Analisys QBR By Machine Report'!$C$109:$BD$166,51,FALSE)</f>
        <v>2773474</v>
      </c>
      <c r="BE17" s="13">
        <f ca="1">VLOOKUP($B17,'[10]Analisys QBR By Machine Report'!$C$109:$BD$166,52,FALSE)</f>
        <v>13584</v>
      </c>
      <c r="BF17" s="13">
        <f ca="1">VLOOKUP($B17,'[10]Analisys QBR By Machine Report'!$C$109:$BD$166,53,FALSE)</f>
        <v>2759890</v>
      </c>
    </row>
    <row r="18" spans="1:58" x14ac:dyDescent="0.25">
      <c r="A18" s="12" t="s">
        <v>74</v>
      </c>
      <c r="B18" s="13">
        <f ca="1">VLOOKUP($B18,'[10]Analisys QBR By Machine Report'!$C$109:$BD$166,2,FALSE)</f>
        <v>34560</v>
      </c>
      <c r="C18" s="14">
        <f ca="1">VLOOKUP($B18,[10]Dasboard_QBR_Report!$B$109:$BL$166,3,FALSE)</f>
        <v>22320</v>
      </c>
      <c r="D18" s="13">
        <f ca="1">VLOOKUP($B18,'[10]Analisys QBR By Machine Report'!$C$109:$BD$166,3,FALSE)</f>
        <v>20310</v>
      </c>
      <c r="E18" s="14">
        <f ca="1">VLOOKUP($B18,[10]Dasboard_QBR_Report!$B$109:$BL$166,5,FALSE)</f>
        <v>8070</v>
      </c>
      <c r="F18" s="13">
        <f t="shared" ca="1" si="0"/>
        <v>14250</v>
      </c>
      <c r="G18" s="13">
        <f t="shared" ca="1" si="1"/>
        <v>240</v>
      </c>
      <c r="H18" s="13">
        <f ca="1">VLOOKUP($B18,'[10]Analisys QBR By Machine Report'!$C$109:$BD$166,4,FALSE)</f>
        <v>240</v>
      </c>
      <c r="I18" s="13">
        <f ca="1">VLOOKUP($B18,'[10]Analisys QBR By Machine Report'!$C$109:$BD$166,5,FALSE)</f>
        <v>240</v>
      </c>
      <c r="J18" s="13">
        <f ca="1">VLOOKUP($B18,'[10]Analisys QBR By Machine Report'!$C$109:$BD$166,6,FALSE)</f>
        <v>0</v>
      </c>
      <c r="K18" s="13">
        <f ca="1">VLOOKUP($B18,'[10]Analisys QBR By Machine Report'!$C$109:$BD$166,7,FALSE)</f>
        <v>0</v>
      </c>
      <c r="L18" s="13">
        <f ca="1">VLOOKUP($B18,'[10]Analisys QBR By Machine Report'!$C$109:$BD$166,8,FALSE)</f>
        <v>14010</v>
      </c>
      <c r="M18" s="13">
        <f ca="1">VLOOKUP($B18,'[10]Analisys QBR By Machine Report'!$C$109:$BD$166,9,FALSE)</f>
        <v>4845</v>
      </c>
      <c r="N18" s="13">
        <f ca="1">VLOOKUP($B18,[10]Dasboard_QBR_Report!$B$109:$BL$166,18,FALSE)</f>
        <v>9165</v>
      </c>
      <c r="O18" s="13">
        <f ca="1">VLOOKUP($B18,'[10]Analisys QBR By Machine Report'!$C$109:$BD$166,10,FALSE)</f>
        <v>1945</v>
      </c>
      <c r="P18" s="13">
        <f ca="1">VLOOKUP($B18,'[10]Analisys QBR By Machine Report'!$C$109:$BD$166,11,FALSE)</f>
        <v>1440</v>
      </c>
      <c r="Q18" s="13">
        <f ca="1">VLOOKUP($B18,'[10]Analisys QBR By Machine Report'!$C$109:$BD$166,12,FALSE)</f>
        <v>0</v>
      </c>
      <c r="R18" s="13">
        <f ca="1">VLOOKUP($B18,'[10]Analisys QBR By Machine Report'!$C$109:$BD$166,13,FALSE)</f>
        <v>505</v>
      </c>
      <c r="S18" s="13">
        <f ca="1">VLOOKUP($B18,'[10]Analisys QBR By Machine Report'!$C$109:$BD$166,14,FALSE)</f>
        <v>0</v>
      </c>
      <c r="T18" s="13">
        <f ca="1">VLOOKUP($B18,'[10]Analisys QBR By Machine Report'!$C$109:$BD$166,15,FALSE)</f>
        <v>405</v>
      </c>
      <c r="U18" s="13">
        <f ca="1">VLOOKUP($B18,'[10]Analisys QBR By Machine Report'!$C$109:$BD$166,16,FALSE)</f>
        <v>405</v>
      </c>
      <c r="V18" s="13">
        <f ca="1">VLOOKUP($B18,'[10]Analisys QBR By Machine Report'!$C$109:$BD$166,17,FALSE)</f>
        <v>0</v>
      </c>
      <c r="W18" s="13">
        <f ca="1">VLOOKUP($B18,'[10]Analisys QBR By Machine Report'!$C$109:$BD$166,18,FALSE)</f>
        <v>0</v>
      </c>
      <c r="X18" s="13">
        <f ca="1">VLOOKUP($B18,'[10]Analisys QBR By Machine Report'!$C$109:$BD$166,19,FALSE)</f>
        <v>0</v>
      </c>
      <c r="Y18" s="13">
        <f ca="1">VLOOKUP($B18,'[10]Analisys QBR By Machine Report'!$C$109:$BD$166,20,FALSE)</f>
        <v>0</v>
      </c>
      <c r="Z18" s="13">
        <f ca="1">VLOOKUP($B18,'[10]Analisys QBR By Machine Report'!$C$109:$BD$166,21,FALSE)</f>
        <v>3055</v>
      </c>
      <c r="AA18" s="13">
        <f ca="1">VLOOKUP($B18,'[10]Analisys QBR By Machine Report'!$C$109:$BD$166,22,FALSE)</f>
        <v>1200</v>
      </c>
      <c r="AB18" s="13">
        <f ca="1">VLOOKUP($B18,'[10]Analisys QBR By Machine Report'!$C$109:$BD$166,23,FALSE)</f>
        <v>860</v>
      </c>
      <c r="AC18" s="13">
        <f ca="1">VLOOKUP($B18,'[10]Analisys QBR By Machine Report'!$C$109:$BD$166,24,FALSE)</f>
        <v>710</v>
      </c>
      <c r="AD18" s="13">
        <f ca="1">VLOOKUP($B18,'[10]Analisys QBR By Machine Report'!$C$109:$BD$166,25,FALSE)</f>
        <v>0</v>
      </c>
      <c r="AE18" s="13">
        <f ca="1">VLOOKUP($B18,'[10]Analisys QBR By Machine Report'!$C$109:$BD$166,26,FALSE)</f>
        <v>285</v>
      </c>
      <c r="AF18" s="13">
        <f ca="1">VLOOKUP($B18,'[10]Analisys QBR By Machine Report'!$C$109:$BD$166,27,FALSE)</f>
        <v>750</v>
      </c>
      <c r="AG18" s="13">
        <f ca="1">VLOOKUP($B18,'[10]Analisys QBR By Machine Report'!$C$109:$BD$166,28,FALSE)</f>
        <v>330</v>
      </c>
      <c r="AH18" s="13">
        <f ca="1">VLOOKUP($B18,'[10]Analisys QBR By Machine Report'!$C$109:$BD$166,29,FALSE)</f>
        <v>420</v>
      </c>
      <c r="AI18" s="13">
        <f ca="1">VLOOKUP($B18,'[10]Analisys QBR By Machine Report'!$C$109:$BD$166,30,FALSE)</f>
        <v>3010</v>
      </c>
      <c r="AJ18" s="13">
        <f ca="1">VLOOKUP($B18,'[10]Analisys QBR By Machine Report'!$C$109:$BD$166,31,FALSE)</f>
        <v>0</v>
      </c>
      <c r="AK18" s="13">
        <f ca="1">VLOOKUP($B18,'[10]Analisys QBR By Machine Report'!$C$109:$BD$166,32,FALSE)</f>
        <v>30</v>
      </c>
      <c r="AL18" s="13">
        <f ca="1">VLOOKUP($B18,'[10]Analisys QBR By Machine Report'!$C$109:$BD$166,33,FALSE)</f>
        <v>780</v>
      </c>
      <c r="AM18" s="13">
        <f ca="1">VLOOKUP($B18,'[10]Analisys QBR By Machine Report'!$C$109:$BD$166,34,FALSE)</f>
        <v>0</v>
      </c>
      <c r="AN18" s="13">
        <f ca="1">VLOOKUP($B18,'[10]Analisys QBR By Machine Report'!$C$109:$BD$166,35,FALSE)</f>
        <v>775</v>
      </c>
      <c r="AO18" s="13">
        <f ca="1">VLOOKUP($B18,'[10]Analisys QBR By Machine Report'!$C$109:$BD$166,36,FALSE)</f>
        <v>0</v>
      </c>
      <c r="AP18" s="13">
        <f ca="1">VLOOKUP($B18,'[10]Analisys QBR By Machine Report'!$C$109:$BD$166,37,FALSE)</f>
        <v>255</v>
      </c>
      <c r="AQ18" s="13">
        <f ca="1">VLOOKUP($B18,'[10]Analisys QBR By Machine Report'!$C$109:$BD$166,38,FALSE)</f>
        <v>0</v>
      </c>
      <c r="AR18" s="13">
        <f ca="1">VLOOKUP($B18,'[10]Analisys QBR By Machine Report'!$C$109:$BD$166,39,FALSE)</f>
        <v>140</v>
      </c>
      <c r="AS18" s="13">
        <f ca="1">VLOOKUP($B18,'[10]Analisys QBR By Machine Report'!$C$109:$BD$166,40,FALSE)</f>
        <v>470</v>
      </c>
      <c r="AT18" s="13">
        <f ca="1">VLOOKUP($B18,'[10]Analisys QBR By Machine Report'!$C$109:$BD$166,41,FALSE)</f>
        <v>0</v>
      </c>
      <c r="AU18" s="13">
        <f ca="1">VLOOKUP($B18,'[10]Analisys QBR By Machine Report'!$C$109:$BD$166,42,FALSE)</f>
        <v>0</v>
      </c>
      <c r="AV18" s="13">
        <f ca="1">VLOOKUP($B18,'[10]Analisys QBR By Machine Report'!$C$109:$BD$166,43,FALSE)</f>
        <v>0</v>
      </c>
      <c r="AW18" s="13">
        <f ca="1">VLOOKUP($B18,'[10]Analisys QBR By Machine Report'!$C$109:$BD$166,44,FALSE)</f>
        <v>0</v>
      </c>
      <c r="AX18" s="13">
        <f ca="1">VLOOKUP($B18,'[10]Analisys QBR By Machine Report'!$C$109:$BD$166,45,FALSE)</f>
        <v>0</v>
      </c>
      <c r="AY18" s="13">
        <f ca="1">VLOOKUP($B18,'[10]Analisys QBR By Machine Report'!$C$109:$BD$166,46,FALSE)</f>
        <v>0</v>
      </c>
      <c r="AZ18" s="13">
        <f ca="1">VLOOKUP($B18,'[10]Analisys QBR By Machine Report'!$C$109:$BD$166,47,FALSE)</f>
        <v>560</v>
      </c>
      <c r="BA18" s="13">
        <f ca="1">VLOOKUP($B18,'[10]Analisys QBR By Machine Report'!$C$109:$BD$166,48,FALSE)</f>
        <v>0</v>
      </c>
      <c r="BB18" s="13">
        <f ca="1">VLOOKUP($B18,'[10]Analisys QBR By Machine Report'!$C$109:$BD$166,49,FALSE)</f>
        <v>0</v>
      </c>
      <c r="BC18" s="13">
        <f ca="1">VLOOKUP($B18,'[10]Analisys QBR By Machine Report'!$C$109:$BD$166,50,FALSE)</f>
        <v>0</v>
      </c>
      <c r="BD18" s="13">
        <f ca="1">VLOOKUP($B18,'[10]Analisys QBR By Machine Report'!$C$109:$BD$166,51,FALSE)</f>
        <v>5625279</v>
      </c>
      <c r="BE18" s="13">
        <f ca="1">VLOOKUP($B18,'[10]Analisys QBR By Machine Report'!$C$109:$BD$166,52,FALSE)</f>
        <v>16747.04</v>
      </c>
      <c r="BF18" s="13">
        <f ca="1">VLOOKUP($B18,'[10]Analisys QBR By Machine Report'!$C$109:$BD$166,53,FALSE)</f>
        <v>5608531.96</v>
      </c>
    </row>
    <row r="19" spans="1:58" x14ac:dyDescent="0.25">
      <c r="A19" s="12" t="s">
        <v>75</v>
      </c>
      <c r="B19" s="13">
        <f ca="1">VLOOKUP($B19,'[10]Analisys QBR By Machine Report'!$C$109:$BD$166,2,FALSE)</f>
        <v>34560</v>
      </c>
      <c r="C19" s="14">
        <f ca="1">VLOOKUP($B19,[10]Dasboard_QBR_Report!$B$109:$BL$166,3,FALSE)</f>
        <v>11520</v>
      </c>
      <c r="D19" s="13">
        <f ca="1">VLOOKUP($B19,'[10]Analisys QBR By Machine Report'!$C$109:$BD$166,3,FALSE)</f>
        <v>19350</v>
      </c>
      <c r="E19" s="14">
        <f ca="1">VLOOKUP($B19,[10]Dasboard_QBR_Report!$B$109:$BL$166,5,FALSE)</f>
        <v>-3690</v>
      </c>
      <c r="F19" s="13">
        <f t="shared" ca="1" si="0"/>
        <v>15210</v>
      </c>
      <c r="G19" s="13">
        <f t="shared" ca="1" si="1"/>
        <v>705</v>
      </c>
      <c r="H19" s="13">
        <f ca="1">VLOOKUP($B19,'[10]Analisys QBR By Machine Report'!$C$109:$BD$166,4,FALSE)</f>
        <v>705</v>
      </c>
      <c r="I19" s="13">
        <f ca="1">VLOOKUP($B19,'[10]Analisys QBR By Machine Report'!$C$109:$BD$166,5,FALSE)</f>
        <v>370</v>
      </c>
      <c r="J19" s="13">
        <f ca="1">VLOOKUP($B19,'[10]Analisys QBR By Machine Report'!$C$109:$BD$166,6,FALSE)</f>
        <v>335</v>
      </c>
      <c r="K19" s="13">
        <f ca="1">VLOOKUP($B19,'[10]Analisys QBR By Machine Report'!$C$109:$BD$166,7,FALSE)</f>
        <v>0</v>
      </c>
      <c r="L19" s="13">
        <f ca="1">VLOOKUP($B19,'[10]Analisys QBR By Machine Report'!$C$109:$BD$166,8,FALSE)</f>
        <v>14505</v>
      </c>
      <c r="M19" s="13">
        <f ca="1">VLOOKUP($B19,'[10]Analisys QBR By Machine Report'!$C$109:$BD$166,9,FALSE)</f>
        <v>5310</v>
      </c>
      <c r="N19" s="13">
        <f ca="1">VLOOKUP($B19,[10]Dasboard_QBR_Report!$B$109:$BL$166,18,FALSE)</f>
        <v>9195</v>
      </c>
      <c r="O19" s="13">
        <f ca="1">VLOOKUP($B19,'[10]Analisys QBR By Machine Report'!$C$109:$BD$166,10,FALSE)</f>
        <v>3240</v>
      </c>
      <c r="P19" s="13">
        <f ca="1">VLOOKUP($B19,'[10]Analisys QBR By Machine Report'!$C$109:$BD$166,11,FALSE)</f>
        <v>2060</v>
      </c>
      <c r="Q19" s="13">
        <f ca="1">VLOOKUP($B19,'[10]Analisys QBR By Machine Report'!$C$109:$BD$166,12,FALSE)</f>
        <v>0</v>
      </c>
      <c r="R19" s="13">
        <f ca="1">VLOOKUP($B19,'[10]Analisys QBR By Machine Report'!$C$109:$BD$166,13,FALSE)</f>
        <v>1180</v>
      </c>
      <c r="S19" s="13">
        <f ca="1">VLOOKUP($B19,'[10]Analisys QBR By Machine Report'!$C$109:$BD$166,14,FALSE)</f>
        <v>0</v>
      </c>
      <c r="T19" s="13">
        <f ca="1">VLOOKUP($B19,'[10]Analisys QBR By Machine Report'!$C$109:$BD$166,15,FALSE)</f>
        <v>135</v>
      </c>
      <c r="U19" s="13">
        <f ca="1">VLOOKUP($B19,'[10]Analisys QBR By Machine Report'!$C$109:$BD$166,16,FALSE)</f>
        <v>90</v>
      </c>
      <c r="V19" s="13">
        <f ca="1">VLOOKUP($B19,'[10]Analisys QBR By Machine Report'!$C$109:$BD$166,17,FALSE)</f>
        <v>0</v>
      </c>
      <c r="W19" s="13">
        <f ca="1">VLOOKUP($B19,'[10]Analisys QBR By Machine Report'!$C$109:$BD$166,18,FALSE)</f>
        <v>0</v>
      </c>
      <c r="X19" s="13">
        <f ca="1">VLOOKUP($B19,'[10]Analisys QBR By Machine Report'!$C$109:$BD$166,19,FALSE)</f>
        <v>0</v>
      </c>
      <c r="Y19" s="13">
        <f ca="1">VLOOKUP($B19,'[10]Analisys QBR By Machine Report'!$C$109:$BD$166,20,FALSE)</f>
        <v>45</v>
      </c>
      <c r="Z19" s="13">
        <f ca="1">VLOOKUP($B19,'[10]Analisys QBR By Machine Report'!$C$109:$BD$166,21,FALSE)</f>
        <v>2385</v>
      </c>
      <c r="AA19" s="13">
        <f ca="1">VLOOKUP($B19,'[10]Analisys QBR By Machine Report'!$C$109:$BD$166,22,FALSE)</f>
        <v>1240</v>
      </c>
      <c r="AB19" s="13">
        <f ca="1">VLOOKUP($B19,'[10]Analisys QBR By Machine Report'!$C$109:$BD$166,23,FALSE)</f>
        <v>480</v>
      </c>
      <c r="AC19" s="13">
        <f ca="1">VLOOKUP($B19,'[10]Analisys QBR By Machine Report'!$C$109:$BD$166,24,FALSE)</f>
        <v>375</v>
      </c>
      <c r="AD19" s="13">
        <f ca="1">VLOOKUP($B19,'[10]Analisys QBR By Machine Report'!$C$109:$BD$166,25,FALSE)</f>
        <v>0</v>
      </c>
      <c r="AE19" s="13">
        <f ca="1">VLOOKUP($B19,'[10]Analisys QBR By Machine Report'!$C$109:$BD$166,26,FALSE)</f>
        <v>290</v>
      </c>
      <c r="AF19" s="13">
        <f ca="1">VLOOKUP($B19,'[10]Analisys QBR By Machine Report'!$C$109:$BD$166,27,FALSE)</f>
        <v>0</v>
      </c>
      <c r="AG19" s="13">
        <f ca="1">VLOOKUP($B19,'[10]Analisys QBR By Machine Report'!$C$109:$BD$166,28,FALSE)</f>
        <v>0</v>
      </c>
      <c r="AH19" s="13">
        <f ca="1">VLOOKUP($B19,'[10]Analisys QBR By Machine Report'!$C$109:$BD$166,29,FALSE)</f>
        <v>0</v>
      </c>
      <c r="AI19" s="13">
        <f ca="1">VLOOKUP($B19,'[10]Analisys QBR By Machine Report'!$C$109:$BD$166,30,FALSE)</f>
        <v>3435</v>
      </c>
      <c r="AJ19" s="13">
        <f ca="1">VLOOKUP($B19,'[10]Analisys QBR By Machine Report'!$C$109:$BD$166,31,FALSE)</f>
        <v>0</v>
      </c>
      <c r="AK19" s="13">
        <f ca="1">VLOOKUP($B19,'[10]Analisys QBR By Machine Report'!$C$109:$BD$166,32,FALSE)</f>
        <v>0</v>
      </c>
      <c r="AL19" s="13">
        <f ca="1">VLOOKUP($B19,'[10]Analisys QBR By Machine Report'!$C$109:$BD$166,33,FALSE)</f>
        <v>975</v>
      </c>
      <c r="AM19" s="13">
        <f ca="1">VLOOKUP($B19,'[10]Analisys QBR By Machine Report'!$C$109:$BD$166,34,FALSE)</f>
        <v>0</v>
      </c>
      <c r="AN19" s="13">
        <f ca="1">VLOOKUP($B19,'[10]Analisys QBR By Machine Report'!$C$109:$BD$166,35,FALSE)</f>
        <v>795</v>
      </c>
      <c r="AO19" s="13">
        <f ca="1">VLOOKUP($B19,'[10]Analisys QBR By Machine Report'!$C$109:$BD$166,36,FALSE)</f>
        <v>0</v>
      </c>
      <c r="AP19" s="13">
        <f ca="1">VLOOKUP($B19,'[10]Analisys QBR By Machine Report'!$C$109:$BD$166,37,FALSE)</f>
        <v>235</v>
      </c>
      <c r="AQ19" s="13">
        <f ca="1">VLOOKUP($B19,'[10]Analisys QBR By Machine Report'!$C$109:$BD$166,38,FALSE)</f>
        <v>0</v>
      </c>
      <c r="AR19" s="13">
        <f ca="1">VLOOKUP($B19,'[10]Analisys QBR By Machine Report'!$C$109:$BD$166,39,FALSE)</f>
        <v>0</v>
      </c>
      <c r="AS19" s="13">
        <f ca="1">VLOOKUP($B19,'[10]Analisys QBR By Machine Report'!$C$109:$BD$166,40,FALSE)</f>
        <v>480</v>
      </c>
      <c r="AT19" s="13">
        <f ca="1">VLOOKUP($B19,'[10]Analisys QBR By Machine Report'!$C$109:$BD$166,41,FALSE)</f>
        <v>0</v>
      </c>
      <c r="AU19" s="13">
        <f ca="1">VLOOKUP($B19,'[10]Analisys QBR By Machine Report'!$C$109:$BD$166,42,FALSE)</f>
        <v>0</v>
      </c>
      <c r="AV19" s="13">
        <f ca="1">VLOOKUP($B19,'[10]Analisys QBR By Machine Report'!$C$109:$BD$166,43,FALSE)</f>
        <v>0</v>
      </c>
      <c r="AW19" s="13">
        <f ca="1">VLOOKUP($B19,'[10]Analisys QBR By Machine Report'!$C$109:$BD$166,44,FALSE)</f>
        <v>0</v>
      </c>
      <c r="AX19" s="13">
        <f ca="1">VLOOKUP($B19,'[10]Analisys QBR By Machine Report'!$C$109:$BD$166,45,FALSE)</f>
        <v>0</v>
      </c>
      <c r="AY19" s="13">
        <f ca="1">VLOOKUP($B19,'[10]Analisys QBR By Machine Report'!$C$109:$BD$166,46,FALSE)</f>
        <v>0</v>
      </c>
      <c r="AZ19" s="13">
        <f ca="1">VLOOKUP($B19,'[10]Analisys QBR By Machine Report'!$C$109:$BD$166,47,FALSE)</f>
        <v>490</v>
      </c>
      <c r="BA19" s="13">
        <f ca="1">VLOOKUP($B19,'[10]Analisys QBR By Machine Report'!$C$109:$BD$166,48,FALSE)</f>
        <v>355</v>
      </c>
      <c r="BB19" s="13">
        <f ca="1">VLOOKUP($B19,'[10]Analisys QBR By Machine Report'!$C$109:$BD$166,49,FALSE)</f>
        <v>0</v>
      </c>
      <c r="BC19" s="13">
        <f ca="1">VLOOKUP($B19,'[10]Analisys QBR By Machine Report'!$C$109:$BD$166,50,FALSE)</f>
        <v>105</v>
      </c>
      <c r="BD19" s="13">
        <f ca="1">VLOOKUP($B19,'[10]Analisys QBR By Machine Report'!$C$109:$BD$166,51,FALSE)</f>
        <v>2803584</v>
      </c>
      <c r="BE19" s="13">
        <f ca="1">VLOOKUP($B19,'[10]Analisys QBR By Machine Report'!$C$109:$BD$166,52,FALSE)</f>
        <v>12112</v>
      </c>
      <c r="BF19" s="13">
        <f ca="1">VLOOKUP($B19,'[10]Analisys QBR By Machine Report'!$C$109:$BD$166,53,FALSE)</f>
        <v>2791472</v>
      </c>
    </row>
    <row r="20" spans="1:58" x14ac:dyDescent="0.25">
      <c r="A20" s="12" t="s">
        <v>76</v>
      </c>
      <c r="B20" s="13">
        <f ca="1">VLOOKUP($B20,'[10]Analisys QBR By Machine Report'!$C$109:$BD$166,2,FALSE)</f>
        <v>34560</v>
      </c>
      <c r="C20" s="14">
        <f ca="1">VLOOKUP($B20,[10]Dasboard_QBR_Report!$B$109:$BL$166,3,FALSE)</f>
        <v>11520</v>
      </c>
      <c r="D20" s="13">
        <f ca="1">VLOOKUP($B20,'[10]Analisys QBR By Machine Report'!$C$109:$BD$166,3,FALSE)</f>
        <v>23910</v>
      </c>
      <c r="E20" s="14">
        <f ca="1">VLOOKUP($B20,[10]Dasboard_QBR_Report!$B$109:$BL$166,5,FALSE)</f>
        <v>870</v>
      </c>
      <c r="F20" s="13">
        <f t="shared" ca="1" si="0"/>
        <v>10650</v>
      </c>
      <c r="G20" s="13">
        <f t="shared" ca="1" si="1"/>
        <v>825</v>
      </c>
      <c r="H20" s="13">
        <f ca="1">VLOOKUP($B20,'[10]Analisys QBR By Machine Report'!$C$109:$BD$166,4,FALSE)</f>
        <v>825</v>
      </c>
      <c r="I20" s="13">
        <f ca="1">VLOOKUP($B20,'[10]Analisys QBR By Machine Report'!$C$109:$BD$166,5,FALSE)</f>
        <v>0</v>
      </c>
      <c r="J20" s="13">
        <f ca="1">VLOOKUP($B20,'[10]Analisys QBR By Machine Report'!$C$109:$BD$166,6,FALSE)</f>
        <v>825</v>
      </c>
      <c r="K20" s="13">
        <f ca="1">VLOOKUP($B20,'[10]Analisys QBR By Machine Report'!$C$109:$BD$166,7,FALSE)</f>
        <v>0</v>
      </c>
      <c r="L20" s="13">
        <f ca="1">VLOOKUP($B20,'[10]Analisys QBR By Machine Report'!$C$109:$BD$166,8,FALSE)</f>
        <v>9825</v>
      </c>
      <c r="M20" s="13">
        <f ca="1">VLOOKUP($B20,'[10]Analisys QBR By Machine Report'!$C$109:$BD$166,9,FALSE)</f>
        <v>6000</v>
      </c>
      <c r="N20" s="13">
        <f ca="1">VLOOKUP($B20,[10]Dasboard_QBR_Report!$B$109:$BL$166,18,FALSE)</f>
        <v>3825</v>
      </c>
      <c r="O20" s="13">
        <f ca="1">VLOOKUP($B20,'[10]Analisys QBR By Machine Report'!$C$109:$BD$166,10,FALSE)</f>
        <v>70</v>
      </c>
      <c r="P20" s="13">
        <f ca="1">VLOOKUP($B20,'[10]Analisys QBR By Machine Report'!$C$109:$BD$166,11,FALSE)</f>
        <v>70</v>
      </c>
      <c r="Q20" s="13">
        <f ca="1">VLOOKUP($B20,'[10]Analisys QBR By Machine Report'!$C$109:$BD$166,12,FALSE)</f>
        <v>0</v>
      </c>
      <c r="R20" s="13">
        <f ca="1">VLOOKUP($B20,'[10]Analisys QBR By Machine Report'!$C$109:$BD$166,13,FALSE)</f>
        <v>0</v>
      </c>
      <c r="S20" s="13">
        <f ca="1">VLOOKUP($B20,'[10]Analisys QBR By Machine Report'!$C$109:$BD$166,14,FALSE)</f>
        <v>0</v>
      </c>
      <c r="T20" s="13">
        <f ca="1">VLOOKUP($B20,'[10]Analisys QBR By Machine Report'!$C$109:$BD$166,15,FALSE)</f>
        <v>35</v>
      </c>
      <c r="U20" s="13">
        <f ca="1">VLOOKUP($B20,'[10]Analisys QBR By Machine Report'!$C$109:$BD$166,16,FALSE)</f>
        <v>0</v>
      </c>
      <c r="V20" s="13">
        <f ca="1">VLOOKUP($B20,'[10]Analisys QBR By Machine Report'!$C$109:$BD$166,17,FALSE)</f>
        <v>0</v>
      </c>
      <c r="W20" s="13">
        <f ca="1">VLOOKUP($B20,'[10]Analisys QBR By Machine Report'!$C$109:$BD$166,18,FALSE)</f>
        <v>0</v>
      </c>
      <c r="X20" s="13">
        <f ca="1">VLOOKUP($B20,'[10]Analisys QBR By Machine Report'!$C$109:$BD$166,19,FALSE)</f>
        <v>0</v>
      </c>
      <c r="Y20" s="13">
        <f ca="1">VLOOKUP($B20,'[10]Analisys QBR By Machine Report'!$C$109:$BD$166,20,FALSE)</f>
        <v>35</v>
      </c>
      <c r="Z20" s="13">
        <f ca="1">VLOOKUP($B20,'[10]Analisys QBR By Machine Report'!$C$109:$BD$166,21,FALSE)</f>
        <v>2245</v>
      </c>
      <c r="AA20" s="13">
        <f ca="1">VLOOKUP($B20,'[10]Analisys QBR By Machine Report'!$C$109:$BD$166,22,FALSE)</f>
        <v>1325</v>
      </c>
      <c r="AB20" s="13">
        <f ca="1">VLOOKUP($B20,'[10]Analisys QBR By Machine Report'!$C$109:$BD$166,23,FALSE)</f>
        <v>275</v>
      </c>
      <c r="AC20" s="13">
        <f ca="1">VLOOKUP($B20,'[10]Analisys QBR By Machine Report'!$C$109:$BD$166,24,FALSE)</f>
        <v>405</v>
      </c>
      <c r="AD20" s="13">
        <f ca="1">VLOOKUP($B20,'[10]Analisys QBR By Machine Report'!$C$109:$BD$166,25,FALSE)</f>
        <v>0</v>
      </c>
      <c r="AE20" s="13">
        <f ca="1">VLOOKUP($B20,'[10]Analisys QBR By Machine Report'!$C$109:$BD$166,26,FALSE)</f>
        <v>240</v>
      </c>
      <c r="AF20" s="13">
        <f ca="1">VLOOKUP($B20,'[10]Analisys QBR By Machine Report'!$C$109:$BD$166,27,FALSE)</f>
        <v>0</v>
      </c>
      <c r="AG20" s="13">
        <f ca="1">VLOOKUP($B20,'[10]Analisys QBR By Machine Report'!$C$109:$BD$166,28,FALSE)</f>
        <v>0</v>
      </c>
      <c r="AH20" s="13">
        <f ca="1">VLOOKUP($B20,'[10]Analisys QBR By Machine Report'!$C$109:$BD$166,29,FALSE)</f>
        <v>0</v>
      </c>
      <c r="AI20" s="13">
        <f ca="1">VLOOKUP($B20,'[10]Analisys QBR By Machine Report'!$C$109:$BD$166,30,FALSE)</f>
        <v>1475</v>
      </c>
      <c r="AJ20" s="13">
        <f ca="1">VLOOKUP($B20,'[10]Analisys QBR By Machine Report'!$C$109:$BD$166,31,FALSE)</f>
        <v>45</v>
      </c>
      <c r="AK20" s="13">
        <f ca="1">VLOOKUP($B20,'[10]Analisys QBR By Machine Report'!$C$109:$BD$166,32,FALSE)</f>
        <v>0</v>
      </c>
      <c r="AL20" s="13">
        <f ca="1">VLOOKUP($B20,'[10]Analisys QBR By Machine Report'!$C$109:$BD$166,33,FALSE)</f>
        <v>600</v>
      </c>
      <c r="AM20" s="13">
        <f ca="1">VLOOKUP($B20,'[10]Analisys QBR By Machine Report'!$C$109:$BD$166,34,FALSE)</f>
        <v>0</v>
      </c>
      <c r="AN20" s="13">
        <f ca="1">VLOOKUP($B20,'[10]Analisys QBR By Machine Report'!$C$109:$BD$166,35,FALSE)</f>
        <v>390</v>
      </c>
      <c r="AO20" s="13">
        <f ca="1">VLOOKUP($B20,'[10]Analisys QBR By Machine Report'!$C$109:$BD$166,36,FALSE)</f>
        <v>0</v>
      </c>
      <c r="AP20" s="13">
        <f ca="1">VLOOKUP($B20,'[10]Analisys QBR By Machine Report'!$C$109:$BD$166,37,FALSE)</f>
        <v>45</v>
      </c>
      <c r="AQ20" s="13">
        <f ca="1">VLOOKUP($B20,'[10]Analisys QBR By Machine Report'!$C$109:$BD$166,38,FALSE)</f>
        <v>0</v>
      </c>
      <c r="AR20" s="13">
        <f ca="1">VLOOKUP($B20,'[10]Analisys QBR By Machine Report'!$C$109:$BD$166,39,FALSE)</f>
        <v>0</v>
      </c>
      <c r="AS20" s="13">
        <f ca="1">VLOOKUP($B20,'[10]Analisys QBR By Machine Report'!$C$109:$BD$166,40,FALSE)</f>
        <v>310</v>
      </c>
      <c r="AT20" s="13">
        <f ca="1">VLOOKUP($B20,'[10]Analisys QBR By Machine Report'!$C$109:$BD$166,41,FALSE)</f>
        <v>0</v>
      </c>
      <c r="AU20" s="13">
        <f ca="1">VLOOKUP($B20,'[10]Analisys QBR By Machine Report'!$C$109:$BD$166,42,FALSE)</f>
        <v>0</v>
      </c>
      <c r="AV20" s="13">
        <f ca="1">VLOOKUP($B20,'[10]Analisys QBR By Machine Report'!$C$109:$BD$166,43,FALSE)</f>
        <v>0</v>
      </c>
      <c r="AW20" s="13">
        <f ca="1">VLOOKUP($B20,'[10]Analisys QBR By Machine Report'!$C$109:$BD$166,44,FALSE)</f>
        <v>0</v>
      </c>
      <c r="AX20" s="13">
        <f ca="1">VLOOKUP($B20,'[10]Analisys QBR By Machine Report'!$C$109:$BD$166,45,FALSE)</f>
        <v>0</v>
      </c>
      <c r="AY20" s="13">
        <f ca="1">VLOOKUP($B20,'[10]Analisys QBR By Machine Report'!$C$109:$BD$166,46,FALSE)</f>
        <v>0</v>
      </c>
      <c r="AZ20" s="13">
        <f ca="1">VLOOKUP($B20,'[10]Analisys QBR By Machine Report'!$C$109:$BD$166,47,FALSE)</f>
        <v>85</v>
      </c>
      <c r="BA20" s="13">
        <f ca="1">VLOOKUP($B20,'[10]Analisys QBR By Machine Report'!$C$109:$BD$166,48,FALSE)</f>
        <v>0</v>
      </c>
      <c r="BB20" s="13">
        <f ca="1">VLOOKUP($B20,'[10]Analisys QBR By Machine Report'!$C$109:$BD$166,49,FALSE)</f>
        <v>0</v>
      </c>
      <c r="BC20" s="13">
        <f ca="1">VLOOKUP($B20,'[10]Analisys QBR By Machine Report'!$C$109:$BD$166,50,FALSE)</f>
        <v>0</v>
      </c>
      <c r="BD20" s="13">
        <f ca="1">VLOOKUP($B20,'[10]Analisys QBR By Machine Report'!$C$109:$BD$166,51,FALSE)</f>
        <v>40872</v>
      </c>
      <c r="BE20" s="13">
        <f ca="1">VLOOKUP($B20,'[10]Analisys QBR By Machine Report'!$C$109:$BD$166,52,FALSE)</f>
        <v>247</v>
      </c>
      <c r="BF20" s="13">
        <f ca="1">VLOOKUP($B20,'[10]Analisys QBR By Machine Report'!$C$109:$BD$166,53,FALSE)</f>
        <v>40625</v>
      </c>
    </row>
    <row r="21" spans="1:58" x14ac:dyDescent="0.25">
      <c r="A21" s="12" t="s">
        <v>77</v>
      </c>
      <c r="B21" s="13">
        <f ca="1">VLOOKUP($B21,'[10]Analisys QBR By Machine Report'!$C$109:$BD$166,2,FALSE)</f>
        <v>34560</v>
      </c>
      <c r="C21" s="14">
        <f ca="1">VLOOKUP($B21,[10]Dasboard_QBR_Report!$B$109:$BL$166,3,FALSE)</f>
        <v>11520</v>
      </c>
      <c r="D21" s="13">
        <f ca="1">VLOOKUP($B21,'[10]Analisys QBR By Machine Report'!$C$109:$BD$166,3,FALSE)</f>
        <v>25380</v>
      </c>
      <c r="E21" s="14">
        <f ca="1">VLOOKUP($B21,[10]Dasboard_QBR_Report!$B$109:$BL$166,5,FALSE)</f>
        <v>2340</v>
      </c>
      <c r="F21" s="13">
        <f t="shared" ca="1" si="0"/>
        <v>9180</v>
      </c>
      <c r="G21" s="13">
        <f t="shared" ca="1" si="1"/>
        <v>240</v>
      </c>
      <c r="H21" s="13">
        <f ca="1">VLOOKUP($B21,'[10]Analisys QBR By Machine Report'!$C$109:$BD$166,4,FALSE)</f>
        <v>240</v>
      </c>
      <c r="I21" s="13">
        <f ca="1">VLOOKUP($B21,'[10]Analisys QBR By Machine Report'!$C$109:$BD$166,5,FALSE)</f>
        <v>0</v>
      </c>
      <c r="J21" s="13">
        <f ca="1">VLOOKUP($B21,'[10]Analisys QBR By Machine Report'!$C$109:$BD$166,6,FALSE)</f>
        <v>240</v>
      </c>
      <c r="K21" s="13">
        <f ca="1">VLOOKUP($B21,'[10]Analisys QBR By Machine Report'!$C$109:$BD$166,7,FALSE)</f>
        <v>0</v>
      </c>
      <c r="L21" s="13">
        <f ca="1">VLOOKUP($B21,'[10]Analisys QBR By Machine Report'!$C$109:$BD$166,8,FALSE)</f>
        <v>8940</v>
      </c>
      <c r="M21" s="13">
        <f ca="1">VLOOKUP($B21,'[10]Analisys QBR By Machine Report'!$C$109:$BD$166,9,FALSE)</f>
        <v>2325</v>
      </c>
      <c r="N21" s="13">
        <f ca="1">VLOOKUP($B21,[10]Dasboard_QBR_Report!$B$109:$BL$166,18,FALSE)</f>
        <v>6615</v>
      </c>
      <c r="O21" s="13">
        <f ca="1">VLOOKUP($B21,'[10]Analisys QBR By Machine Report'!$C$109:$BD$166,10,FALSE)</f>
        <v>1130</v>
      </c>
      <c r="P21" s="13">
        <f ca="1">VLOOKUP($B21,'[10]Analisys QBR By Machine Report'!$C$109:$BD$166,11,FALSE)</f>
        <v>665</v>
      </c>
      <c r="Q21" s="13">
        <f ca="1">VLOOKUP($B21,'[10]Analisys QBR By Machine Report'!$C$109:$BD$166,12,FALSE)</f>
        <v>0</v>
      </c>
      <c r="R21" s="13">
        <f ca="1">VLOOKUP($B21,'[10]Analisys QBR By Machine Report'!$C$109:$BD$166,13,FALSE)</f>
        <v>465</v>
      </c>
      <c r="S21" s="13">
        <f ca="1">VLOOKUP($B21,'[10]Analisys QBR By Machine Report'!$C$109:$BD$166,14,FALSE)</f>
        <v>0</v>
      </c>
      <c r="T21" s="13">
        <f ca="1">VLOOKUP($B21,'[10]Analisys QBR By Machine Report'!$C$109:$BD$166,15,FALSE)</f>
        <v>55</v>
      </c>
      <c r="U21" s="13">
        <f ca="1">VLOOKUP($B21,'[10]Analisys QBR By Machine Report'!$C$109:$BD$166,16,FALSE)</f>
        <v>20</v>
      </c>
      <c r="V21" s="13">
        <f ca="1">VLOOKUP($B21,'[10]Analisys QBR By Machine Report'!$C$109:$BD$166,17,FALSE)</f>
        <v>35</v>
      </c>
      <c r="W21" s="13">
        <f ca="1">VLOOKUP($B21,'[10]Analisys QBR By Machine Report'!$C$109:$BD$166,18,FALSE)</f>
        <v>0</v>
      </c>
      <c r="X21" s="13">
        <f ca="1">VLOOKUP($B21,'[10]Analisys QBR By Machine Report'!$C$109:$BD$166,19,FALSE)</f>
        <v>0</v>
      </c>
      <c r="Y21" s="13">
        <f ca="1">VLOOKUP($B21,'[10]Analisys QBR By Machine Report'!$C$109:$BD$166,20,FALSE)</f>
        <v>0</v>
      </c>
      <c r="Z21" s="13">
        <f ca="1">VLOOKUP($B21,'[10]Analisys QBR By Machine Report'!$C$109:$BD$166,21,FALSE)</f>
        <v>1580</v>
      </c>
      <c r="AA21" s="13">
        <f ca="1">VLOOKUP($B21,'[10]Analisys QBR By Machine Report'!$C$109:$BD$166,22,FALSE)</f>
        <v>985</v>
      </c>
      <c r="AB21" s="13">
        <f ca="1">VLOOKUP($B21,'[10]Analisys QBR By Machine Report'!$C$109:$BD$166,23,FALSE)</f>
        <v>185</v>
      </c>
      <c r="AC21" s="13">
        <f ca="1">VLOOKUP($B21,'[10]Analisys QBR By Machine Report'!$C$109:$BD$166,24,FALSE)</f>
        <v>260</v>
      </c>
      <c r="AD21" s="13">
        <f ca="1">VLOOKUP($B21,'[10]Analisys QBR By Machine Report'!$C$109:$BD$166,25,FALSE)</f>
        <v>0</v>
      </c>
      <c r="AE21" s="13">
        <f ca="1">VLOOKUP($B21,'[10]Analisys QBR By Machine Report'!$C$109:$BD$166,26,FALSE)</f>
        <v>150</v>
      </c>
      <c r="AF21" s="13">
        <f ca="1">VLOOKUP($B21,'[10]Analisys QBR By Machine Report'!$C$109:$BD$166,27,FALSE)</f>
        <v>2665</v>
      </c>
      <c r="AG21" s="13">
        <f ca="1">VLOOKUP($B21,'[10]Analisys QBR By Machine Report'!$C$109:$BD$166,28,FALSE)</f>
        <v>0</v>
      </c>
      <c r="AH21" s="13">
        <f ca="1">VLOOKUP($B21,'[10]Analisys QBR By Machine Report'!$C$109:$BD$166,29,FALSE)</f>
        <v>2665</v>
      </c>
      <c r="AI21" s="13">
        <f ca="1">VLOOKUP($B21,'[10]Analisys QBR By Machine Report'!$C$109:$BD$166,30,FALSE)</f>
        <v>1185</v>
      </c>
      <c r="AJ21" s="13">
        <f ca="1">VLOOKUP($B21,'[10]Analisys QBR By Machine Report'!$C$109:$BD$166,31,FALSE)</f>
        <v>0</v>
      </c>
      <c r="AK21" s="13">
        <f ca="1">VLOOKUP($B21,'[10]Analisys QBR By Machine Report'!$C$109:$BD$166,32,FALSE)</f>
        <v>0</v>
      </c>
      <c r="AL21" s="13">
        <f ca="1">VLOOKUP($B21,'[10]Analisys QBR By Machine Report'!$C$109:$BD$166,33,FALSE)</f>
        <v>390</v>
      </c>
      <c r="AM21" s="13">
        <f ca="1">VLOOKUP($B21,'[10]Analisys QBR By Machine Report'!$C$109:$BD$166,34,FALSE)</f>
        <v>0</v>
      </c>
      <c r="AN21" s="13">
        <f ca="1">VLOOKUP($B21,'[10]Analisys QBR By Machine Report'!$C$109:$BD$166,35,FALSE)</f>
        <v>285</v>
      </c>
      <c r="AO21" s="13">
        <f ca="1">VLOOKUP($B21,'[10]Analisys QBR By Machine Report'!$C$109:$BD$166,36,FALSE)</f>
        <v>0</v>
      </c>
      <c r="AP21" s="13">
        <f ca="1">VLOOKUP($B21,'[10]Analisys QBR By Machine Report'!$C$109:$BD$166,37,FALSE)</f>
        <v>10</v>
      </c>
      <c r="AQ21" s="13">
        <f ca="1">VLOOKUP($B21,'[10]Analisys QBR By Machine Report'!$C$109:$BD$166,38,FALSE)</f>
        <v>0</v>
      </c>
      <c r="AR21" s="13">
        <f ca="1">VLOOKUP($B21,'[10]Analisys QBR By Machine Report'!$C$109:$BD$166,39,FALSE)</f>
        <v>0</v>
      </c>
      <c r="AS21" s="13">
        <f ca="1">VLOOKUP($B21,'[10]Analisys QBR By Machine Report'!$C$109:$BD$166,40,FALSE)</f>
        <v>170</v>
      </c>
      <c r="AT21" s="13">
        <f ca="1">VLOOKUP($B21,'[10]Analisys QBR By Machine Report'!$C$109:$BD$166,41,FALSE)</f>
        <v>0</v>
      </c>
      <c r="AU21" s="13">
        <f ca="1">VLOOKUP($B21,'[10]Analisys QBR By Machine Report'!$C$109:$BD$166,42,FALSE)</f>
        <v>0</v>
      </c>
      <c r="AV21" s="13">
        <f ca="1">VLOOKUP($B21,'[10]Analisys QBR By Machine Report'!$C$109:$BD$166,43,FALSE)</f>
        <v>0</v>
      </c>
      <c r="AW21" s="13">
        <f ca="1">VLOOKUP($B21,'[10]Analisys QBR By Machine Report'!$C$109:$BD$166,44,FALSE)</f>
        <v>0</v>
      </c>
      <c r="AX21" s="13">
        <f ca="1">VLOOKUP($B21,'[10]Analisys QBR By Machine Report'!$C$109:$BD$166,45,FALSE)</f>
        <v>0</v>
      </c>
      <c r="AY21" s="13">
        <f ca="1">VLOOKUP($B21,'[10]Analisys QBR By Machine Report'!$C$109:$BD$166,46,FALSE)</f>
        <v>0</v>
      </c>
      <c r="AZ21" s="13">
        <f ca="1">VLOOKUP($B21,'[10]Analisys QBR By Machine Report'!$C$109:$BD$166,47,FALSE)</f>
        <v>330</v>
      </c>
      <c r="BA21" s="13">
        <f ca="1">VLOOKUP($B21,'[10]Analisys QBR By Machine Report'!$C$109:$BD$166,48,FALSE)</f>
        <v>0</v>
      </c>
      <c r="BB21" s="13">
        <f ca="1">VLOOKUP($B21,'[10]Analisys QBR By Machine Report'!$C$109:$BD$166,49,FALSE)</f>
        <v>0</v>
      </c>
      <c r="BC21" s="13">
        <f ca="1">VLOOKUP($B21,'[10]Analisys QBR By Machine Report'!$C$109:$BD$166,50,FALSE)</f>
        <v>0</v>
      </c>
      <c r="BD21" s="13">
        <f ca="1">VLOOKUP($B21,'[10]Analisys QBR By Machine Report'!$C$109:$BD$166,51,FALSE)</f>
        <v>823951</v>
      </c>
      <c r="BE21" s="13">
        <f ca="1">VLOOKUP($B21,'[10]Analisys QBR By Machine Report'!$C$109:$BD$166,52,FALSE)</f>
        <v>6361</v>
      </c>
      <c r="BF21" s="13">
        <f ca="1">VLOOKUP($B21,'[10]Analisys QBR By Machine Report'!$C$109:$BD$166,53,FALSE)</f>
        <v>817590</v>
      </c>
    </row>
    <row r="22" spans="1:58" x14ac:dyDescent="0.25">
      <c r="A22" s="9" t="s">
        <v>78</v>
      </c>
      <c r="B22" s="10">
        <f ca="1">VLOOKUP($B22,'[10]Analisys QBR By Machine Report'!$C$109:$BD$166,2,FALSE)</f>
        <v>34560</v>
      </c>
      <c r="C22" s="11">
        <f ca="1">VLOOKUP($B22,[10]Dasboard_QBR_Report!$B$109:$BL$166,3,FALSE)</f>
        <v>22320</v>
      </c>
      <c r="D22" s="10">
        <f ca="1">VLOOKUP($B22,'[10]Analisys QBR By Machine Report'!$C$109:$BD$166,3,FALSE)</f>
        <v>26910</v>
      </c>
      <c r="E22" s="11">
        <f ca="1">VLOOKUP($B22,[10]Dasboard_QBR_Report!$B$109:$BL$166,5,FALSE)</f>
        <v>14670</v>
      </c>
      <c r="F22" s="10">
        <f t="shared" ca="1" si="0"/>
        <v>7650</v>
      </c>
      <c r="G22" s="10">
        <f t="shared" ca="1" si="1"/>
        <v>645</v>
      </c>
      <c r="H22" s="10">
        <f ca="1">VLOOKUP($B22,'[10]Analisys QBR By Machine Report'!$C$109:$BD$166,4,FALSE)</f>
        <v>645</v>
      </c>
      <c r="I22" s="10">
        <f ca="1">VLOOKUP($B22,'[10]Analisys QBR By Machine Report'!$C$109:$BD$166,5,FALSE)</f>
        <v>100</v>
      </c>
      <c r="J22" s="10">
        <f ca="1">VLOOKUP($B22,'[10]Analisys QBR By Machine Report'!$C$109:$BD$166,6,FALSE)</f>
        <v>545</v>
      </c>
      <c r="K22" s="10">
        <f ca="1">VLOOKUP($B22,'[10]Analisys QBR By Machine Report'!$C$109:$BD$166,7,FALSE)</f>
        <v>0</v>
      </c>
      <c r="L22" s="10">
        <f ca="1">VLOOKUP($B22,'[10]Analisys QBR By Machine Report'!$C$109:$BD$166,8,FALSE)</f>
        <v>7005</v>
      </c>
      <c r="M22" s="10">
        <f ca="1">VLOOKUP($B22,'[10]Analisys QBR By Machine Report'!$C$109:$BD$166,9,FALSE)</f>
        <v>2401</v>
      </c>
      <c r="N22" s="10">
        <f ca="1">VLOOKUP($B22,[10]Dasboard_QBR_Report!$B$109:$BL$166,18,FALSE)</f>
        <v>4604</v>
      </c>
      <c r="O22" s="10">
        <f ca="1">VLOOKUP($B22,'[10]Analisys QBR By Machine Report'!$C$109:$BD$166,10,FALSE)</f>
        <v>277</v>
      </c>
      <c r="P22" s="10">
        <f ca="1">VLOOKUP($B22,'[10]Analisys QBR By Machine Report'!$C$109:$BD$166,11,FALSE)</f>
        <v>277</v>
      </c>
      <c r="Q22" s="10">
        <f ca="1">VLOOKUP($B22,'[10]Analisys QBR By Machine Report'!$C$109:$BD$166,12,FALSE)</f>
        <v>0</v>
      </c>
      <c r="R22" s="10">
        <f ca="1">VLOOKUP($B22,'[10]Analisys QBR By Machine Report'!$C$109:$BD$166,13,FALSE)</f>
        <v>0</v>
      </c>
      <c r="S22" s="10">
        <f ca="1">VLOOKUP($B22,'[10]Analisys QBR By Machine Report'!$C$109:$BD$166,14,FALSE)</f>
        <v>0</v>
      </c>
      <c r="T22" s="10">
        <f ca="1">VLOOKUP($B22,'[10]Analisys QBR By Machine Report'!$C$109:$BD$166,15,FALSE)</f>
        <v>0</v>
      </c>
      <c r="U22" s="10">
        <f ca="1">VLOOKUP($B22,'[10]Analisys QBR By Machine Report'!$C$109:$BD$166,16,FALSE)</f>
        <v>0</v>
      </c>
      <c r="V22" s="10">
        <f ca="1">VLOOKUP($B22,'[10]Analisys QBR By Machine Report'!$C$109:$BD$166,17,FALSE)</f>
        <v>0</v>
      </c>
      <c r="W22" s="10">
        <f ca="1">VLOOKUP($B22,'[10]Analisys QBR By Machine Report'!$C$109:$BD$166,18,FALSE)</f>
        <v>0</v>
      </c>
      <c r="X22" s="10">
        <f ca="1">VLOOKUP($B22,'[10]Analisys QBR By Machine Report'!$C$109:$BD$166,19,FALSE)</f>
        <v>0</v>
      </c>
      <c r="Y22" s="10">
        <f ca="1">VLOOKUP($B22,'[10]Analisys QBR By Machine Report'!$C$109:$BD$166,20,FALSE)</f>
        <v>0</v>
      </c>
      <c r="Z22" s="10">
        <f ca="1">VLOOKUP($B22,'[10]Analisys QBR By Machine Report'!$C$109:$BD$166,21,FALSE)</f>
        <v>2587</v>
      </c>
      <c r="AA22" s="10">
        <f ca="1">VLOOKUP($B22,'[10]Analisys QBR By Machine Report'!$C$109:$BD$166,22,FALSE)</f>
        <v>243</v>
      </c>
      <c r="AB22" s="10">
        <f ca="1">VLOOKUP($B22,'[10]Analisys QBR By Machine Report'!$C$109:$BD$166,23,FALSE)</f>
        <v>2344</v>
      </c>
      <c r="AC22" s="10">
        <f ca="1">VLOOKUP($B22,'[10]Analisys QBR By Machine Report'!$C$109:$BD$166,24,FALSE)</f>
        <v>0</v>
      </c>
      <c r="AD22" s="10">
        <f ca="1">VLOOKUP($B22,'[10]Analisys QBR By Machine Report'!$C$109:$BD$166,25,FALSE)</f>
        <v>0</v>
      </c>
      <c r="AE22" s="10">
        <f ca="1">VLOOKUP($B22,'[10]Analisys QBR By Machine Report'!$C$109:$BD$166,26,FALSE)</f>
        <v>0</v>
      </c>
      <c r="AF22" s="10">
        <f ca="1">VLOOKUP($B22,'[10]Analisys QBR By Machine Report'!$C$109:$BD$166,27,FALSE)</f>
        <v>0</v>
      </c>
      <c r="AG22" s="10">
        <f ca="1">VLOOKUP($B22,'[10]Analisys QBR By Machine Report'!$C$109:$BD$166,28,FALSE)</f>
        <v>0</v>
      </c>
      <c r="AH22" s="10">
        <f ca="1">VLOOKUP($B22,'[10]Analisys QBR By Machine Report'!$C$109:$BD$166,29,FALSE)</f>
        <v>0</v>
      </c>
      <c r="AI22" s="10">
        <f ca="1">VLOOKUP($B22,'[10]Analisys QBR By Machine Report'!$C$109:$BD$166,30,FALSE)</f>
        <v>1740</v>
      </c>
      <c r="AJ22" s="10">
        <f ca="1">VLOOKUP($B22,'[10]Analisys QBR By Machine Report'!$C$109:$BD$166,31,FALSE)</f>
        <v>137</v>
      </c>
      <c r="AK22" s="10">
        <f ca="1">VLOOKUP($B22,'[10]Analisys QBR By Machine Report'!$C$109:$BD$166,32,FALSE)</f>
        <v>0</v>
      </c>
      <c r="AL22" s="10">
        <f ca="1">VLOOKUP($B22,'[10]Analisys QBR By Machine Report'!$C$109:$BD$166,33,FALSE)</f>
        <v>295</v>
      </c>
      <c r="AM22" s="10">
        <f ca="1">VLOOKUP($B22,'[10]Analisys QBR By Machine Report'!$C$109:$BD$166,34,FALSE)</f>
        <v>0</v>
      </c>
      <c r="AN22" s="10">
        <f ca="1">VLOOKUP($B22,'[10]Analisys QBR By Machine Report'!$C$109:$BD$166,35,FALSE)</f>
        <v>205</v>
      </c>
      <c r="AO22" s="10">
        <f ca="1">VLOOKUP($B22,'[10]Analisys QBR By Machine Report'!$C$109:$BD$166,36,FALSE)</f>
        <v>0</v>
      </c>
      <c r="AP22" s="10">
        <f ca="1">VLOOKUP($B22,'[10]Analisys QBR By Machine Report'!$C$109:$BD$166,37,FALSE)</f>
        <v>0</v>
      </c>
      <c r="AQ22" s="10">
        <f ca="1">VLOOKUP($B22,'[10]Analisys QBR By Machine Report'!$C$109:$BD$166,38,FALSE)</f>
        <v>0</v>
      </c>
      <c r="AR22" s="10">
        <f ca="1">VLOOKUP($B22,'[10]Analisys QBR By Machine Report'!$C$109:$BD$166,39,FALSE)</f>
        <v>142</v>
      </c>
      <c r="AS22" s="10">
        <f ca="1">VLOOKUP($B22,'[10]Analisys QBR By Machine Report'!$C$109:$BD$166,40,FALSE)</f>
        <v>0</v>
      </c>
      <c r="AT22" s="10">
        <f ca="1">VLOOKUP($B22,'[10]Analisys QBR By Machine Report'!$C$109:$BD$166,41,FALSE)</f>
        <v>0</v>
      </c>
      <c r="AU22" s="10">
        <f ca="1">VLOOKUP($B22,'[10]Analisys QBR By Machine Report'!$C$109:$BD$166,42,FALSE)</f>
        <v>0</v>
      </c>
      <c r="AV22" s="10">
        <f ca="1">VLOOKUP($B22,'[10]Analisys QBR By Machine Report'!$C$109:$BD$166,43,FALSE)</f>
        <v>221</v>
      </c>
      <c r="AW22" s="10">
        <f ca="1">VLOOKUP($B22,'[10]Analisys QBR By Machine Report'!$C$109:$BD$166,44,FALSE)</f>
        <v>0</v>
      </c>
      <c r="AX22" s="10">
        <f ca="1">VLOOKUP($B22,'[10]Analisys QBR By Machine Report'!$C$109:$BD$166,45,FALSE)</f>
        <v>0</v>
      </c>
      <c r="AY22" s="10">
        <f ca="1">VLOOKUP($B22,'[10]Analisys QBR By Machine Report'!$C$109:$BD$166,46,FALSE)</f>
        <v>0</v>
      </c>
      <c r="AZ22" s="10">
        <f ca="1">VLOOKUP($B22,'[10]Analisys QBR By Machine Report'!$C$109:$BD$166,47,FALSE)</f>
        <v>38</v>
      </c>
      <c r="BA22" s="10">
        <f ca="1">VLOOKUP($B22,'[10]Analisys QBR By Machine Report'!$C$109:$BD$166,48,FALSE)</f>
        <v>687</v>
      </c>
      <c r="BB22" s="10">
        <f ca="1">VLOOKUP($B22,'[10]Analisys QBR By Machine Report'!$C$109:$BD$166,49,FALSE)</f>
        <v>0</v>
      </c>
      <c r="BC22" s="10">
        <f ca="1">VLOOKUP($B22,'[10]Analisys QBR By Machine Report'!$C$109:$BD$166,50,FALSE)</f>
        <v>15</v>
      </c>
      <c r="BD22" s="10">
        <f ca="1">VLOOKUP($B22,'[10]Analisys QBR By Machine Report'!$C$109:$BD$166,51,FALSE)</f>
        <v>13025</v>
      </c>
      <c r="BE22" s="10">
        <f ca="1">VLOOKUP($B22,'[10]Analisys QBR By Machine Report'!$C$109:$BD$166,52,FALSE)</f>
        <v>2.15</v>
      </c>
      <c r="BF22" s="10">
        <f ca="1">VLOOKUP($B22,'[10]Analisys QBR By Machine Report'!$C$109:$BD$166,53,FALSE)</f>
        <v>13022.85</v>
      </c>
    </row>
    <row r="23" spans="1:58" x14ac:dyDescent="0.25">
      <c r="A23" s="12" t="s">
        <v>79</v>
      </c>
      <c r="B23" s="13">
        <f ca="1">VLOOKUP($B23,'[10]Analisys QBR By Machine Report'!$C$109:$BD$166,2,FALSE)</f>
        <v>34560</v>
      </c>
      <c r="C23" s="14">
        <f ca="1">VLOOKUP($B23,[10]Dasboard_QBR_Report!$B$109:$BL$166,3,FALSE)</f>
        <v>22320</v>
      </c>
      <c r="D23" s="13">
        <f ca="1">VLOOKUP($B23,'[10]Analisys QBR By Machine Report'!$C$109:$BD$166,3,FALSE)</f>
        <v>26910</v>
      </c>
      <c r="E23" s="14">
        <f ca="1">VLOOKUP($B23,[10]Dasboard_QBR_Report!$B$109:$BL$166,5,FALSE)</f>
        <v>14670</v>
      </c>
      <c r="F23" s="13">
        <f t="shared" ca="1" si="0"/>
        <v>7650</v>
      </c>
      <c r="G23" s="13">
        <f t="shared" ca="1" si="1"/>
        <v>645</v>
      </c>
      <c r="H23" s="13">
        <f ca="1">VLOOKUP($B23,'[10]Analisys QBR By Machine Report'!$C$109:$BD$166,4,FALSE)</f>
        <v>645</v>
      </c>
      <c r="I23" s="13">
        <f ca="1">VLOOKUP($B23,'[10]Analisys QBR By Machine Report'!$C$109:$BD$166,5,FALSE)</f>
        <v>100</v>
      </c>
      <c r="J23" s="13">
        <f ca="1">VLOOKUP($B23,'[10]Analisys QBR By Machine Report'!$C$109:$BD$166,6,FALSE)</f>
        <v>545</v>
      </c>
      <c r="K23" s="13">
        <f ca="1">VLOOKUP($B23,'[10]Analisys QBR By Machine Report'!$C$109:$BD$166,7,FALSE)</f>
        <v>0</v>
      </c>
      <c r="L23" s="13">
        <f ca="1">VLOOKUP($B23,'[10]Analisys QBR By Machine Report'!$C$109:$BD$166,8,FALSE)</f>
        <v>7005</v>
      </c>
      <c r="M23" s="13">
        <f ca="1">VLOOKUP($B23,'[10]Analisys QBR By Machine Report'!$C$109:$BD$166,9,FALSE)</f>
        <v>2401</v>
      </c>
      <c r="N23" s="13">
        <f ca="1">VLOOKUP($B23,[10]Dasboard_QBR_Report!$B$109:$BL$166,18,FALSE)</f>
        <v>4604</v>
      </c>
      <c r="O23" s="13">
        <f ca="1">VLOOKUP($B23,'[10]Analisys QBR By Machine Report'!$C$109:$BD$166,10,FALSE)</f>
        <v>277</v>
      </c>
      <c r="P23" s="13">
        <f ca="1">VLOOKUP($B23,'[10]Analisys QBR By Machine Report'!$C$109:$BD$166,11,FALSE)</f>
        <v>277</v>
      </c>
      <c r="Q23" s="13">
        <f ca="1">VLOOKUP($B23,'[10]Analisys QBR By Machine Report'!$C$109:$BD$166,12,FALSE)</f>
        <v>0</v>
      </c>
      <c r="R23" s="13">
        <f ca="1">VLOOKUP($B23,'[10]Analisys QBR By Machine Report'!$C$109:$BD$166,13,FALSE)</f>
        <v>0</v>
      </c>
      <c r="S23" s="13">
        <f ca="1">VLOOKUP($B23,'[10]Analisys QBR By Machine Report'!$C$109:$BD$166,14,FALSE)</f>
        <v>0</v>
      </c>
      <c r="T23" s="13">
        <f ca="1">VLOOKUP($B23,'[10]Analisys QBR By Machine Report'!$C$109:$BD$166,15,FALSE)</f>
        <v>0</v>
      </c>
      <c r="U23" s="13">
        <f ca="1">VLOOKUP($B23,'[10]Analisys QBR By Machine Report'!$C$109:$BD$166,16,FALSE)</f>
        <v>0</v>
      </c>
      <c r="V23" s="13">
        <f ca="1">VLOOKUP($B23,'[10]Analisys QBR By Machine Report'!$C$109:$BD$166,17,FALSE)</f>
        <v>0</v>
      </c>
      <c r="W23" s="13">
        <f ca="1">VLOOKUP($B23,'[10]Analisys QBR By Machine Report'!$C$109:$BD$166,18,FALSE)</f>
        <v>0</v>
      </c>
      <c r="X23" s="13">
        <f ca="1">VLOOKUP($B23,'[10]Analisys QBR By Machine Report'!$C$109:$BD$166,19,FALSE)</f>
        <v>0</v>
      </c>
      <c r="Y23" s="13">
        <f ca="1">VLOOKUP($B23,'[10]Analisys QBR By Machine Report'!$C$109:$BD$166,20,FALSE)</f>
        <v>0</v>
      </c>
      <c r="Z23" s="13">
        <f ca="1">VLOOKUP($B23,'[10]Analisys QBR By Machine Report'!$C$109:$BD$166,21,FALSE)</f>
        <v>2587</v>
      </c>
      <c r="AA23" s="13">
        <f ca="1">VLOOKUP($B23,'[10]Analisys QBR By Machine Report'!$C$109:$BD$166,22,FALSE)</f>
        <v>243</v>
      </c>
      <c r="AB23" s="13">
        <f ca="1">VLOOKUP($B23,'[10]Analisys QBR By Machine Report'!$C$109:$BD$166,23,FALSE)</f>
        <v>2344</v>
      </c>
      <c r="AC23" s="13">
        <f ca="1">VLOOKUP($B23,'[10]Analisys QBR By Machine Report'!$C$109:$BD$166,24,FALSE)</f>
        <v>0</v>
      </c>
      <c r="AD23" s="13">
        <f ca="1">VLOOKUP($B23,'[10]Analisys QBR By Machine Report'!$C$109:$BD$166,25,FALSE)</f>
        <v>0</v>
      </c>
      <c r="AE23" s="13">
        <f ca="1">VLOOKUP($B23,'[10]Analisys QBR By Machine Report'!$C$109:$BD$166,26,FALSE)</f>
        <v>0</v>
      </c>
      <c r="AF23" s="13">
        <f ca="1">VLOOKUP($B23,'[10]Analisys QBR By Machine Report'!$C$109:$BD$166,27,FALSE)</f>
        <v>0</v>
      </c>
      <c r="AG23" s="13">
        <f ca="1">VLOOKUP($B23,'[10]Analisys QBR By Machine Report'!$C$109:$BD$166,28,FALSE)</f>
        <v>0</v>
      </c>
      <c r="AH23" s="13">
        <f ca="1">VLOOKUP($B23,'[10]Analisys QBR By Machine Report'!$C$109:$BD$166,29,FALSE)</f>
        <v>0</v>
      </c>
      <c r="AI23" s="13">
        <f ca="1">VLOOKUP($B23,'[10]Analisys QBR By Machine Report'!$C$109:$BD$166,30,FALSE)</f>
        <v>1740</v>
      </c>
      <c r="AJ23" s="13">
        <f ca="1">VLOOKUP($B23,'[10]Analisys QBR By Machine Report'!$C$109:$BD$166,31,FALSE)</f>
        <v>137</v>
      </c>
      <c r="AK23" s="13">
        <f ca="1">VLOOKUP($B23,'[10]Analisys QBR By Machine Report'!$C$109:$BD$166,32,FALSE)</f>
        <v>0</v>
      </c>
      <c r="AL23" s="13">
        <f ca="1">VLOOKUP($B23,'[10]Analisys QBR By Machine Report'!$C$109:$BD$166,33,FALSE)</f>
        <v>295</v>
      </c>
      <c r="AM23" s="13">
        <f ca="1">VLOOKUP($B23,'[10]Analisys QBR By Machine Report'!$C$109:$BD$166,34,FALSE)</f>
        <v>0</v>
      </c>
      <c r="AN23" s="13">
        <f ca="1">VLOOKUP($B23,'[10]Analisys QBR By Machine Report'!$C$109:$BD$166,35,FALSE)</f>
        <v>205</v>
      </c>
      <c r="AO23" s="13">
        <f ca="1">VLOOKUP($B23,'[10]Analisys QBR By Machine Report'!$C$109:$BD$166,36,FALSE)</f>
        <v>0</v>
      </c>
      <c r="AP23" s="13">
        <f ca="1">VLOOKUP($B23,'[10]Analisys QBR By Machine Report'!$C$109:$BD$166,37,FALSE)</f>
        <v>0</v>
      </c>
      <c r="AQ23" s="13">
        <f ca="1">VLOOKUP($B23,'[10]Analisys QBR By Machine Report'!$C$109:$BD$166,38,FALSE)</f>
        <v>0</v>
      </c>
      <c r="AR23" s="13">
        <f ca="1">VLOOKUP($B23,'[10]Analisys QBR By Machine Report'!$C$109:$BD$166,39,FALSE)</f>
        <v>142</v>
      </c>
      <c r="AS23" s="13">
        <f ca="1">VLOOKUP($B23,'[10]Analisys QBR By Machine Report'!$C$109:$BD$166,40,FALSE)</f>
        <v>0</v>
      </c>
      <c r="AT23" s="13">
        <f ca="1">VLOOKUP($B23,'[10]Analisys QBR By Machine Report'!$C$109:$BD$166,41,FALSE)</f>
        <v>0</v>
      </c>
      <c r="AU23" s="13">
        <f ca="1">VLOOKUP($B23,'[10]Analisys QBR By Machine Report'!$C$109:$BD$166,42,FALSE)</f>
        <v>0</v>
      </c>
      <c r="AV23" s="13">
        <f ca="1">VLOOKUP($B23,'[10]Analisys QBR By Machine Report'!$C$109:$BD$166,43,FALSE)</f>
        <v>221</v>
      </c>
      <c r="AW23" s="13">
        <f ca="1">VLOOKUP($B23,'[10]Analisys QBR By Machine Report'!$C$109:$BD$166,44,FALSE)</f>
        <v>0</v>
      </c>
      <c r="AX23" s="13">
        <f ca="1">VLOOKUP($B23,'[10]Analisys QBR By Machine Report'!$C$109:$BD$166,45,FALSE)</f>
        <v>0</v>
      </c>
      <c r="AY23" s="13">
        <f ca="1">VLOOKUP($B23,'[10]Analisys QBR By Machine Report'!$C$109:$BD$166,46,FALSE)</f>
        <v>0</v>
      </c>
      <c r="AZ23" s="13">
        <f ca="1">VLOOKUP($B23,'[10]Analisys QBR By Machine Report'!$C$109:$BD$166,47,FALSE)</f>
        <v>38</v>
      </c>
      <c r="BA23" s="13">
        <f ca="1">VLOOKUP($B23,'[10]Analisys QBR By Machine Report'!$C$109:$BD$166,48,FALSE)</f>
        <v>687</v>
      </c>
      <c r="BB23" s="13">
        <f ca="1">VLOOKUP($B23,'[10]Analisys QBR By Machine Report'!$C$109:$BD$166,49,FALSE)</f>
        <v>0</v>
      </c>
      <c r="BC23" s="13">
        <f ca="1">VLOOKUP($B23,'[10]Analisys QBR By Machine Report'!$C$109:$BD$166,50,FALSE)</f>
        <v>15</v>
      </c>
      <c r="BD23" s="13">
        <f ca="1">VLOOKUP($B23,'[10]Analisys QBR By Machine Report'!$C$109:$BD$166,51,FALSE)</f>
        <v>13025</v>
      </c>
      <c r="BE23" s="13">
        <f ca="1">VLOOKUP($B23,'[10]Analisys QBR By Machine Report'!$C$109:$BD$166,52,FALSE)</f>
        <v>2.15</v>
      </c>
      <c r="BF23" s="13">
        <f ca="1">VLOOKUP($B23,'[10]Analisys QBR By Machine Report'!$C$109:$BD$166,53,FALSE)</f>
        <v>13022.85</v>
      </c>
    </row>
    <row r="24" spans="1:58" x14ac:dyDescent="0.25">
      <c r="A24" s="9" t="s">
        <v>80</v>
      </c>
      <c r="B24" s="10">
        <f ca="1">VLOOKUP($B24,'[10]Analisys QBR By Machine Report'!$C$109:$BD$166,2,FALSE)</f>
        <v>69120</v>
      </c>
      <c r="C24" s="11">
        <f ca="1">VLOOKUP($B24,[10]Dasboard_QBR_Report!$B$109:$BL$166,3,FALSE)</f>
        <v>44640</v>
      </c>
      <c r="D24" s="10">
        <f ca="1">VLOOKUP($B24,'[10]Analisys QBR By Machine Report'!$C$109:$BD$166,3,FALSE)</f>
        <v>56370</v>
      </c>
      <c r="E24" s="11">
        <f ca="1">VLOOKUP($B24,[10]Dasboard_QBR_Report!$B$109:$BL$166,5,FALSE)</f>
        <v>31890</v>
      </c>
      <c r="F24" s="10">
        <f t="shared" ca="1" si="0"/>
        <v>12750</v>
      </c>
      <c r="G24" s="10">
        <f t="shared" ca="1" si="1"/>
        <v>2010</v>
      </c>
      <c r="H24" s="10">
        <f ca="1">VLOOKUP($B24,'[10]Analisys QBR By Machine Report'!$C$109:$BD$166,4,FALSE)</f>
        <v>1680</v>
      </c>
      <c r="I24" s="10">
        <f ca="1">VLOOKUP($B24,'[10]Analisys QBR By Machine Report'!$C$109:$BD$166,5,FALSE)</f>
        <v>90</v>
      </c>
      <c r="J24" s="10">
        <f ca="1">VLOOKUP($B24,'[10]Analisys QBR By Machine Report'!$C$109:$BD$166,6,FALSE)</f>
        <v>1590</v>
      </c>
      <c r="K24" s="10">
        <f ca="1">VLOOKUP($B24,'[10]Analisys QBR By Machine Report'!$C$109:$BD$166,7,FALSE)</f>
        <v>330</v>
      </c>
      <c r="L24" s="10">
        <f ca="1">VLOOKUP($B24,'[10]Analisys QBR By Machine Report'!$C$109:$BD$166,8,FALSE)</f>
        <v>10740</v>
      </c>
      <c r="M24" s="10">
        <f ca="1">VLOOKUP($B24,'[10]Analisys QBR By Machine Report'!$C$109:$BD$166,9,FALSE)</f>
        <v>3500</v>
      </c>
      <c r="N24" s="10">
        <f ca="1">VLOOKUP($B24,[10]Dasboard_QBR_Report!$B$109:$BL$166,18,FALSE)</f>
        <v>7240</v>
      </c>
      <c r="O24" s="10">
        <f ca="1">VLOOKUP($B24,'[10]Analisys QBR By Machine Report'!$C$109:$BD$166,10,FALSE)</f>
        <v>855</v>
      </c>
      <c r="P24" s="10">
        <f ca="1">VLOOKUP($B24,'[10]Analisys QBR By Machine Report'!$C$109:$BD$166,11,FALSE)</f>
        <v>600</v>
      </c>
      <c r="Q24" s="10">
        <f ca="1">VLOOKUP($B24,'[10]Analisys QBR By Machine Report'!$C$109:$BD$166,12,FALSE)</f>
        <v>0</v>
      </c>
      <c r="R24" s="10">
        <f ca="1">VLOOKUP($B24,'[10]Analisys QBR By Machine Report'!$C$109:$BD$166,13,FALSE)</f>
        <v>185</v>
      </c>
      <c r="S24" s="10">
        <f ca="1">VLOOKUP($B24,'[10]Analisys QBR By Machine Report'!$C$109:$BD$166,14,FALSE)</f>
        <v>70</v>
      </c>
      <c r="T24" s="10">
        <f ca="1">VLOOKUP($B24,'[10]Analisys QBR By Machine Report'!$C$109:$BD$166,15,FALSE)</f>
        <v>0</v>
      </c>
      <c r="U24" s="10">
        <f ca="1">VLOOKUP($B24,'[10]Analisys QBR By Machine Report'!$C$109:$BD$166,16,FALSE)</f>
        <v>0</v>
      </c>
      <c r="V24" s="10">
        <f ca="1">VLOOKUP($B24,'[10]Analisys QBR By Machine Report'!$C$109:$BD$166,17,FALSE)</f>
        <v>0</v>
      </c>
      <c r="W24" s="10">
        <f ca="1">VLOOKUP($B24,'[10]Analisys QBR By Machine Report'!$C$109:$BD$166,18,FALSE)</f>
        <v>0</v>
      </c>
      <c r="X24" s="10">
        <f ca="1">VLOOKUP($B24,'[10]Analisys QBR By Machine Report'!$C$109:$BD$166,19,FALSE)</f>
        <v>0</v>
      </c>
      <c r="Y24" s="10">
        <f ca="1">VLOOKUP($B24,'[10]Analisys QBR By Machine Report'!$C$109:$BD$166,20,FALSE)</f>
        <v>0</v>
      </c>
      <c r="Z24" s="10">
        <f ca="1">VLOOKUP($B24,'[10]Analisys QBR By Machine Report'!$C$109:$BD$166,21,FALSE)</f>
        <v>3105</v>
      </c>
      <c r="AA24" s="10">
        <f ca="1">VLOOKUP($B24,'[10]Analisys QBR By Machine Report'!$C$109:$BD$166,22,FALSE)</f>
        <v>235</v>
      </c>
      <c r="AB24" s="10">
        <f ca="1">VLOOKUP($B24,'[10]Analisys QBR By Machine Report'!$C$109:$BD$166,23,FALSE)</f>
        <v>1900</v>
      </c>
      <c r="AC24" s="10">
        <f ca="1">VLOOKUP($B24,'[10]Analisys QBR By Machine Report'!$C$109:$BD$166,24,FALSE)</f>
        <v>0</v>
      </c>
      <c r="AD24" s="10">
        <f ca="1">VLOOKUP($B24,'[10]Analisys QBR By Machine Report'!$C$109:$BD$166,25,FALSE)</f>
        <v>0</v>
      </c>
      <c r="AE24" s="10">
        <f ca="1">VLOOKUP($B24,'[10]Analisys QBR By Machine Report'!$C$109:$BD$166,26,FALSE)</f>
        <v>970</v>
      </c>
      <c r="AF24" s="10">
        <f ca="1">VLOOKUP($B24,'[10]Analisys QBR By Machine Report'!$C$109:$BD$166,27,FALSE)</f>
        <v>0</v>
      </c>
      <c r="AG24" s="10">
        <f ca="1">VLOOKUP($B24,'[10]Analisys QBR By Machine Report'!$C$109:$BD$166,28,FALSE)</f>
        <v>0</v>
      </c>
      <c r="AH24" s="10">
        <f ca="1">VLOOKUP($B24,'[10]Analisys QBR By Machine Report'!$C$109:$BD$166,29,FALSE)</f>
        <v>0</v>
      </c>
      <c r="AI24" s="10">
        <f ca="1">VLOOKUP($B24,'[10]Analisys QBR By Machine Report'!$C$109:$BD$166,30,FALSE)</f>
        <v>3280</v>
      </c>
      <c r="AJ24" s="10">
        <f ca="1">VLOOKUP($B24,'[10]Analisys QBR By Machine Report'!$C$109:$BD$166,31,FALSE)</f>
        <v>0</v>
      </c>
      <c r="AK24" s="10">
        <f ca="1">VLOOKUP($B24,'[10]Analisys QBR By Machine Report'!$C$109:$BD$166,32,FALSE)</f>
        <v>0</v>
      </c>
      <c r="AL24" s="10">
        <f ca="1">VLOOKUP($B24,'[10]Analisys QBR By Machine Report'!$C$109:$BD$166,33,FALSE)</f>
        <v>555</v>
      </c>
      <c r="AM24" s="10">
        <f ca="1">VLOOKUP($B24,'[10]Analisys QBR By Machine Report'!$C$109:$BD$166,34,FALSE)</f>
        <v>0</v>
      </c>
      <c r="AN24" s="10">
        <f ca="1">VLOOKUP($B24,'[10]Analisys QBR By Machine Report'!$C$109:$BD$166,35,FALSE)</f>
        <v>315</v>
      </c>
      <c r="AO24" s="10">
        <f ca="1">VLOOKUP($B24,'[10]Analisys QBR By Machine Report'!$C$109:$BD$166,36,FALSE)</f>
        <v>0</v>
      </c>
      <c r="AP24" s="10">
        <f ca="1">VLOOKUP($B24,'[10]Analisys QBR By Machine Report'!$C$109:$BD$166,37,FALSE)</f>
        <v>0</v>
      </c>
      <c r="AQ24" s="10">
        <f ca="1">VLOOKUP($B24,'[10]Analisys QBR By Machine Report'!$C$109:$BD$166,38,FALSE)</f>
        <v>0</v>
      </c>
      <c r="AR24" s="10">
        <f ca="1">VLOOKUP($B24,'[10]Analisys QBR By Machine Report'!$C$109:$BD$166,39,FALSE)</f>
        <v>2395</v>
      </c>
      <c r="AS24" s="10">
        <f ca="1">VLOOKUP($B24,'[10]Analisys QBR By Machine Report'!$C$109:$BD$166,40,FALSE)</f>
        <v>0</v>
      </c>
      <c r="AT24" s="10">
        <f ca="1">VLOOKUP($B24,'[10]Analisys QBR By Machine Report'!$C$109:$BD$166,41,FALSE)</f>
        <v>0</v>
      </c>
      <c r="AU24" s="10">
        <f ca="1">VLOOKUP($B24,'[10]Analisys QBR By Machine Report'!$C$109:$BD$166,42,FALSE)</f>
        <v>0</v>
      </c>
      <c r="AV24" s="10">
        <f ca="1">VLOOKUP($B24,'[10]Analisys QBR By Machine Report'!$C$109:$BD$166,43,FALSE)</f>
        <v>0</v>
      </c>
      <c r="AW24" s="10">
        <f ca="1">VLOOKUP($B24,'[10]Analisys QBR By Machine Report'!$C$109:$BD$166,44,FALSE)</f>
        <v>0</v>
      </c>
      <c r="AX24" s="10">
        <f ca="1">VLOOKUP($B24,'[10]Analisys QBR By Machine Report'!$C$109:$BD$166,45,FALSE)</f>
        <v>0</v>
      </c>
      <c r="AY24" s="10">
        <f ca="1">VLOOKUP($B24,'[10]Analisys QBR By Machine Report'!$C$109:$BD$166,46,FALSE)</f>
        <v>0</v>
      </c>
      <c r="AZ24" s="10">
        <f ca="1">VLOOKUP($B24,'[10]Analisys QBR By Machine Report'!$C$109:$BD$166,47,FALSE)</f>
        <v>0</v>
      </c>
      <c r="BA24" s="10">
        <f ca="1">VLOOKUP($B24,'[10]Analisys QBR By Machine Report'!$C$109:$BD$166,48,FALSE)</f>
        <v>15</v>
      </c>
      <c r="BB24" s="10">
        <f ca="1">VLOOKUP($B24,'[10]Analisys QBR By Machine Report'!$C$109:$BD$166,49,FALSE)</f>
        <v>0</v>
      </c>
      <c r="BC24" s="10">
        <f ca="1">VLOOKUP($B24,'[10]Analisys QBR By Machine Report'!$C$109:$BD$166,50,FALSE)</f>
        <v>0</v>
      </c>
      <c r="BD24" s="10">
        <f ca="1">VLOOKUP($B24,'[10]Analisys QBR By Machine Report'!$C$109:$BD$166,51,FALSE)</f>
        <v>195803</v>
      </c>
      <c r="BE24" s="10">
        <f ca="1">VLOOKUP($B24,'[10]Analisys QBR By Machine Report'!$C$109:$BD$166,52,FALSE)</f>
        <v>345</v>
      </c>
      <c r="BF24" s="10">
        <f ca="1">VLOOKUP($B24,'[10]Analisys QBR By Machine Report'!$C$109:$BD$166,53,FALSE)</f>
        <v>195458</v>
      </c>
    </row>
    <row r="25" spans="1:58" x14ac:dyDescent="0.25">
      <c r="A25" s="12" t="s">
        <v>81</v>
      </c>
      <c r="B25" s="13">
        <f ca="1">VLOOKUP($B25,'[10]Analisys QBR By Machine Report'!$C$109:$BD$166,2,FALSE)</f>
        <v>34560</v>
      </c>
      <c r="C25" s="14">
        <f ca="1">VLOOKUP($B25,[10]Dasboard_QBR_Report!$B$109:$BL$166,3,FALSE)</f>
        <v>22320</v>
      </c>
      <c r="D25" s="13">
        <f ca="1">VLOOKUP($B25,'[10]Analisys QBR By Machine Report'!$C$109:$BD$166,3,FALSE)</f>
        <v>23340</v>
      </c>
      <c r="E25" s="14">
        <f ca="1">VLOOKUP($B25,[10]Dasboard_QBR_Report!$B$109:$BL$166,5,FALSE)</f>
        <v>11100</v>
      </c>
      <c r="F25" s="13">
        <f t="shared" ca="1" si="0"/>
        <v>11220</v>
      </c>
      <c r="G25" s="13">
        <f t="shared" ca="1" si="1"/>
        <v>1650</v>
      </c>
      <c r="H25" s="13">
        <f ca="1">VLOOKUP($B25,'[10]Analisys QBR By Machine Report'!$C$109:$BD$166,4,FALSE)</f>
        <v>1650</v>
      </c>
      <c r="I25" s="13">
        <f ca="1">VLOOKUP($B25,'[10]Analisys QBR By Machine Report'!$C$109:$BD$166,5,FALSE)</f>
        <v>60</v>
      </c>
      <c r="J25" s="13">
        <f ca="1">VLOOKUP($B25,'[10]Analisys QBR By Machine Report'!$C$109:$BD$166,6,FALSE)</f>
        <v>1590</v>
      </c>
      <c r="K25" s="13">
        <f ca="1">VLOOKUP($B25,'[10]Analisys QBR By Machine Report'!$C$109:$BD$166,7,FALSE)</f>
        <v>0</v>
      </c>
      <c r="L25" s="13">
        <f ca="1">VLOOKUP($B25,'[10]Analisys QBR By Machine Report'!$C$109:$BD$166,8,FALSE)</f>
        <v>9570</v>
      </c>
      <c r="M25" s="13">
        <f ca="1">VLOOKUP($B25,'[10]Analisys QBR By Machine Report'!$C$109:$BD$166,9,FALSE)</f>
        <v>2780</v>
      </c>
      <c r="N25" s="13">
        <f ca="1">VLOOKUP($B25,[10]Dasboard_QBR_Report!$B$109:$BL$166,18,FALSE)</f>
        <v>6790</v>
      </c>
      <c r="O25" s="13">
        <f ca="1">VLOOKUP($B25,'[10]Analisys QBR By Machine Report'!$C$109:$BD$166,10,FALSE)</f>
        <v>840</v>
      </c>
      <c r="P25" s="13">
        <f ca="1">VLOOKUP($B25,'[10]Analisys QBR By Machine Report'!$C$109:$BD$166,11,FALSE)</f>
        <v>600</v>
      </c>
      <c r="Q25" s="13">
        <f ca="1">VLOOKUP($B25,'[10]Analisys QBR By Machine Report'!$C$109:$BD$166,12,FALSE)</f>
        <v>0</v>
      </c>
      <c r="R25" s="13">
        <f ca="1">VLOOKUP($B25,'[10]Analisys QBR By Machine Report'!$C$109:$BD$166,13,FALSE)</f>
        <v>170</v>
      </c>
      <c r="S25" s="13">
        <f ca="1">VLOOKUP($B25,'[10]Analisys QBR By Machine Report'!$C$109:$BD$166,14,FALSE)</f>
        <v>70</v>
      </c>
      <c r="T25" s="13">
        <f ca="1">VLOOKUP($B25,'[10]Analisys QBR By Machine Report'!$C$109:$BD$166,15,FALSE)</f>
        <v>0</v>
      </c>
      <c r="U25" s="13">
        <f ca="1">VLOOKUP($B25,'[10]Analisys QBR By Machine Report'!$C$109:$BD$166,16,FALSE)</f>
        <v>0</v>
      </c>
      <c r="V25" s="13">
        <f ca="1">VLOOKUP($B25,'[10]Analisys QBR By Machine Report'!$C$109:$BD$166,17,FALSE)</f>
        <v>0</v>
      </c>
      <c r="W25" s="13">
        <f ca="1">VLOOKUP($B25,'[10]Analisys QBR By Machine Report'!$C$109:$BD$166,18,FALSE)</f>
        <v>0</v>
      </c>
      <c r="X25" s="13">
        <f ca="1">VLOOKUP($B25,'[10]Analisys QBR By Machine Report'!$C$109:$BD$166,19,FALSE)</f>
        <v>0</v>
      </c>
      <c r="Y25" s="13">
        <f ca="1">VLOOKUP($B25,'[10]Analisys QBR By Machine Report'!$C$109:$BD$166,20,FALSE)</f>
        <v>0</v>
      </c>
      <c r="Z25" s="13">
        <f ca="1">VLOOKUP($B25,'[10]Analisys QBR By Machine Report'!$C$109:$BD$166,21,FALSE)</f>
        <v>2760</v>
      </c>
      <c r="AA25" s="13">
        <f ca="1">VLOOKUP($B25,'[10]Analisys QBR By Machine Report'!$C$109:$BD$166,22,FALSE)</f>
        <v>210</v>
      </c>
      <c r="AB25" s="13">
        <f ca="1">VLOOKUP($B25,'[10]Analisys QBR By Machine Report'!$C$109:$BD$166,23,FALSE)</f>
        <v>1695</v>
      </c>
      <c r="AC25" s="13">
        <f ca="1">VLOOKUP($B25,'[10]Analisys QBR By Machine Report'!$C$109:$BD$166,24,FALSE)</f>
        <v>0</v>
      </c>
      <c r="AD25" s="13">
        <f ca="1">VLOOKUP($B25,'[10]Analisys QBR By Machine Report'!$C$109:$BD$166,25,FALSE)</f>
        <v>0</v>
      </c>
      <c r="AE25" s="13">
        <f ca="1">VLOOKUP($B25,'[10]Analisys QBR By Machine Report'!$C$109:$BD$166,26,FALSE)</f>
        <v>855</v>
      </c>
      <c r="AF25" s="13">
        <f ca="1">VLOOKUP($B25,'[10]Analisys QBR By Machine Report'!$C$109:$BD$166,27,FALSE)</f>
        <v>0</v>
      </c>
      <c r="AG25" s="13">
        <f ca="1">VLOOKUP($B25,'[10]Analisys QBR By Machine Report'!$C$109:$BD$166,28,FALSE)</f>
        <v>0</v>
      </c>
      <c r="AH25" s="13">
        <f ca="1">VLOOKUP($B25,'[10]Analisys QBR By Machine Report'!$C$109:$BD$166,29,FALSE)</f>
        <v>0</v>
      </c>
      <c r="AI25" s="13">
        <f ca="1">VLOOKUP($B25,'[10]Analisys QBR By Machine Report'!$C$109:$BD$166,30,FALSE)</f>
        <v>3190</v>
      </c>
      <c r="AJ25" s="13">
        <f ca="1">VLOOKUP($B25,'[10]Analisys QBR By Machine Report'!$C$109:$BD$166,31,FALSE)</f>
        <v>0</v>
      </c>
      <c r="AK25" s="13">
        <f ca="1">VLOOKUP($B25,'[10]Analisys QBR By Machine Report'!$C$109:$BD$166,32,FALSE)</f>
        <v>0</v>
      </c>
      <c r="AL25" s="13">
        <f ca="1">VLOOKUP($B25,'[10]Analisys QBR By Machine Report'!$C$109:$BD$166,33,FALSE)</f>
        <v>495</v>
      </c>
      <c r="AM25" s="13">
        <f ca="1">VLOOKUP($B25,'[10]Analisys QBR By Machine Report'!$C$109:$BD$166,34,FALSE)</f>
        <v>0</v>
      </c>
      <c r="AN25" s="13">
        <f ca="1">VLOOKUP($B25,'[10]Analisys QBR By Machine Report'!$C$109:$BD$166,35,FALSE)</f>
        <v>285</v>
      </c>
      <c r="AO25" s="13">
        <f ca="1">VLOOKUP($B25,'[10]Analisys QBR By Machine Report'!$C$109:$BD$166,36,FALSE)</f>
        <v>0</v>
      </c>
      <c r="AP25" s="13">
        <f ca="1">VLOOKUP($B25,'[10]Analisys QBR By Machine Report'!$C$109:$BD$166,37,FALSE)</f>
        <v>0</v>
      </c>
      <c r="AQ25" s="13">
        <f ca="1">VLOOKUP($B25,'[10]Analisys QBR By Machine Report'!$C$109:$BD$166,38,FALSE)</f>
        <v>0</v>
      </c>
      <c r="AR25" s="13">
        <f ca="1">VLOOKUP($B25,'[10]Analisys QBR By Machine Report'!$C$109:$BD$166,39,FALSE)</f>
        <v>2395</v>
      </c>
      <c r="AS25" s="13">
        <f ca="1">VLOOKUP($B25,'[10]Analisys QBR By Machine Report'!$C$109:$BD$166,40,FALSE)</f>
        <v>0</v>
      </c>
      <c r="AT25" s="13">
        <f ca="1">VLOOKUP($B25,'[10]Analisys QBR By Machine Report'!$C$109:$BD$166,41,FALSE)</f>
        <v>0</v>
      </c>
      <c r="AU25" s="13">
        <f ca="1">VLOOKUP($B25,'[10]Analisys QBR By Machine Report'!$C$109:$BD$166,42,FALSE)</f>
        <v>0</v>
      </c>
      <c r="AV25" s="13">
        <f ca="1">VLOOKUP($B25,'[10]Analisys QBR By Machine Report'!$C$109:$BD$166,43,FALSE)</f>
        <v>0</v>
      </c>
      <c r="AW25" s="13">
        <f ca="1">VLOOKUP($B25,'[10]Analisys QBR By Machine Report'!$C$109:$BD$166,44,FALSE)</f>
        <v>0</v>
      </c>
      <c r="AX25" s="13">
        <f ca="1">VLOOKUP($B25,'[10]Analisys QBR By Machine Report'!$C$109:$BD$166,45,FALSE)</f>
        <v>0</v>
      </c>
      <c r="AY25" s="13">
        <f ca="1">VLOOKUP($B25,'[10]Analisys QBR By Machine Report'!$C$109:$BD$166,46,FALSE)</f>
        <v>0</v>
      </c>
      <c r="AZ25" s="13">
        <f ca="1">VLOOKUP($B25,'[10]Analisys QBR By Machine Report'!$C$109:$BD$166,47,FALSE)</f>
        <v>0</v>
      </c>
      <c r="BA25" s="13">
        <f ca="1">VLOOKUP($B25,'[10]Analisys QBR By Machine Report'!$C$109:$BD$166,48,FALSE)</f>
        <v>15</v>
      </c>
      <c r="BB25" s="13">
        <f ca="1">VLOOKUP($B25,'[10]Analisys QBR By Machine Report'!$C$109:$BD$166,49,FALSE)</f>
        <v>0</v>
      </c>
      <c r="BC25" s="13">
        <f ca="1">VLOOKUP($B25,'[10]Analisys QBR By Machine Report'!$C$109:$BD$166,50,FALSE)</f>
        <v>0</v>
      </c>
      <c r="BD25" s="13">
        <f ca="1">VLOOKUP($B25,'[10]Analisys QBR By Machine Report'!$C$109:$BD$166,51,FALSE)</f>
        <v>152008</v>
      </c>
      <c r="BE25" s="13">
        <f ca="1">VLOOKUP($B25,'[10]Analisys QBR By Machine Report'!$C$109:$BD$166,52,FALSE)</f>
        <v>285</v>
      </c>
      <c r="BF25" s="13">
        <f ca="1">VLOOKUP($B25,'[10]Analisys QBR By Machine Report'!$C$109:$BD$166,53,FALSE)</f>
        <v>151723</v>
      </c>
    </row>
    <row r="26" spans="1:58" x14ac:dyDescent="0.25">
      <c r="A26" s="12" t="s">
        <v>82</v>
      </c>
      <c r="B26" s="13">
        <f ca="1">VLOOKUP($B26,'[10]Analisys QBR By Machine Report'!$C$109:$BD$166,2,FALSE)</f>
        <v>34560</v>
      </c>
      <c r="C26" s="14">
        <f ca="1">VLOOKUP($B26,[10]Dasboard_QBR_Report!$B$109:$BL$166,3,FALSE)</f>
        <v>22320</v>
      </c>
      <c r="D26" s="13">
        <f ca="1">VLOOKUP($B26,'[10]Analisys QBR By Machine Report'!$C$109:$BD$166,3,FALSE)</f>
        <v>33030</v>
      </c>
      <c r="E26" s="14">
        <f ca="1">VLOOKUP($B26,[10]Dasboard_QBR_Report!$B$109:$BL$166,5,FALSE)</f>
        <v>20790</v>
      </c>
      <c r="F26" s="13">
        <f t="shared" ca="1" si="0"/>
        <v>1530</v>
      </c>
      <c r="G26" s="13">
        <f t="shared" ca="1" si="1"/>
        <v>360</v>
      </c>
      <c r="H26" s="13">
        <f ca="1">VLOOKUP($B26,'[10]Analisys QBR By Machine Report'!$C$109:$BD$166,4,FALSE)</f>
        <v>30</v>
      </c>
      <c r="I26" s="13">
        <f ca="1">VLOOKUP($B26,'[10]Analisys QBR By Machine Report'!$C$109:$BD$166,5,FALSE)</f>
        <v>30</v>
      </c>
      <c r="J26" s="13">
        <f ca="1">VLOOKUP($B26,'[10]Analisys QBR By Machine Report'!$C$109:$BD$166,6,FALSE)</f>
        <v>0</v>
      </c>
      <c r="K26" s="13">
        <f ca="1">VLOOKUP($B26,'[10]Analisys QBR By Machine Report'!$C$109:$BD$166,7,FALSE)</f>
        <v>330</v>
      </c>
      <c r="L26" s="13">
        <f ca="1">VLOOKUP($B26,'[10]Analisys QBR By Machine Report'!$C$109:$BD$166,8,FALSE)</f>
        <v>1170</v>
      </c>
      <c r="M26" s="13">
        <f ca="1">VLOOKUP($B26,'[10]Analisys QBR By Machine Report'!$C$109:$BD$166,9,FALSE)</f>
        <v>720</v>
      </c>
      <c r="N26" s="13">
        <f ca="1">VLOOKUP($B26,[10]Dasboard_QBR_Report!$B$109:$BL$166,18,FALSE)</f>
        <v>450</v>
      </c>
      <c r="O26" s="13">
        <f ca="1">VLOOKUP($B26,'[10]Analisys QBR By Machine Report'!$C$109:$BD$166,10,FALSE)</f>
        <v>15</v>
      </c>
      <c r="P26" s="13">
        <f ca="1">VLOOKUP($B26,'[10]Analisys QBR By Machine Report'!$C$109:$BD$166,11,FALSE)</f>
        <v>0</v>
      </c>
      <c r="Q26" s="13">
        <f ca="1">VLOOKUP($B26,'[10]Analisys QBR By Machine Report'!$C$109:$BD$166,12,FALSE)</f>
        <v>0</v>
      </c>
      <c r="R26" s="13">
        <f ca="1">VLOOKUP($B26,'[10]Analisys QBR By Machine Report'!$C$109:$BD$166,13,FALSE)</f>
        <v>15</v>
      </c>
      <c r="S26" s="13">
        <f ca="1">VLOOKUP($B26,'[10]Analisys QBR By Machine Report'!$C$109:$BD$166,14,FALSE)</f>
        <v>0</v>
      </c>
      <c r="T26" s="13">
        <f ca="1">VLOOKUP($B26,'[10]Analisys QBR By Machine Report'!$C$109:$BD$166,15,FALSE)</f>
        <v>0</v>
      </c>
      <c r="U26" s="13">
        <f ca="1">VLOOKUP($B26,'[10]Analisys QBR By Machine Report'!$C$109:$BD$166,16,FALSE)</f>
        <v>0</v>
      </c>
      <c r="V26" s="13">
        <f ca="1">VLOOKUP($B26,'[10]Analisys QBR By Machine Report'!$C$109:$BD$166,17,FALSE)</f>
        <v>0</v>
      </c>
      <c r="W26" s="13">
        <f ca="1">VLOOKUP($B26,'[10]Analisys QBR By Machine Report'!$C$109:$BD$166,18,FALSE)</f>
        <v>0</v>
      </c>
      <c r="X26" s="13">
        <f ca="1">VLOOKUP($B26,'[10]Analisys QBR By Machine Report'!$C$109:$BD$166,19,FALSE)</f>
        <v>0</v>
      </c>
      <c r="Y26" s="13">
        <f ca="1">VLOOKUP($B26,'[10]Analisys QBR By Machine Report'!$C$109:$BD$166,20,FALSE)</f>
        <v>0</v>
      </c>
      <c r="Z26" s="13">
        <f ca="1">VLOOKUP($B26,'[10]Analisys QBR By Machine Report'!$C$109:$BD$166,21,FALSE)</f>
        <v>345</v>
      </c>
      <c r="AA26" s="13">
        <f ca="1">VLOOKUP($B26,'[10]Analisys QBR By Machine Report'!$C$109:$BD$166,22,FALSE)</f>
        <v>25</v>
      </c>
      <c r="AB26" s="13">
        <f ca="1">VLOOKUP($B26,'[10]Analisys QBR By Machine Report'!$C$109:$BD$166,23,FALSE)</f>
        <v>205</v>
      </c>
      <c r="AC26" s="13">
        <f ca="1">VLOOKUP($B26,'[10]Analisys QBR By Machine Report'!$C$109:$BD$166,24,FALSE)</f>
        <v>0</v>
      </c>
      <c r="AD26" s="13">
        <f ca="1">VLOOKUP($B26,'[10]Analisys QBR By Machine Report'!$C$109:$BD$166,25,FALSE)</f>
        <v>0</v>
      </c>
      <c r="AE26" s="13">
        <f ca="1">VLOOKUP($B26,'[10]Analisys QBR By Machine Report'!$C$109:$BD$166,26,FALSE)</f>
        <v>115</v>
      </c>
      <c r="AF26" s="13">
        <f ca="1">VLOOKUP($B26,'[10]Analisys QBR By Machine Report'!$C$109:$BD$166,27,FALSE)</f>
        <v>0</v>
      </c>
      <c r="AG26" s="13">
        <f ca="1">VLOOKUP($B26,'[10]Analisys QBR By Machine Report'!$C$109:$BD$166,28,FALSE)</f>
        <v>0</v>
      </c>
      <c r="AH26" s="13">
        <f ca="1">VLOOKUP($B26,'[10]Analisys QBR By Machine Report'!$C$109:$BD$166,29,FALSE)</f>
        <v>0</v>
      </c>
      <c r="AI26" s="13">
        <f ca="1">VLOOKUP($B26,'[10]Analisys QBR By Machine Report'!$C$109:$BD$166,30,FALSE)</f>
        <v>90</v>
      </c>
      <c r="AJ26" s="13">
        <f ca="1">VLOOKUP($B26,'[10]Analisys QBR By Machine Report'!$C$109:$BD$166,31,FALSE)</f>
        <v>0</v>
      </c>
      <c r="AK26" s="13">
        <f ca="1">VLOOKUP($B26,'[10]Analisys QBR By Machine Report'!$C$109:$BD$166,32,FALSE)</f>
        <v>0</v>
      </c>
      <c r="AL26" s="13">
        <f ca="1">VLOOKUP($B26,'[10]Analisys QBR By Machine Report'!$C$109:$BD$166,33,FALSE)</f>
        <v>60</v>
      </c>
      <c r="AM26" s="13">
        <f ca="1">VLOOKUP($B26,'[10]Analisys QBR By Machine Report'!$C$109:$BD$166,34,FALSE)</f>
        <v>0</v>
      </c>
      <c r="AN26" s="13">
        <f ca="1">VLOOKUP($B26,'[10]Analisys QBR By Machine Report'!$C$109:$BD$166,35,FALSE)</f>
        <v>30</v>
      </c>
      <c r="AO26" s="13">
        <f ca="1">VLOOKUP($B26,'[10]Analisys QBR By Machine Report'!$C$109:$BD$166,36,FALSE)</f>
        <v>0</v>
      </c>
      <c r="AP26" s="13">
        <f ca="1">VLOOKUP($B26,'[10]Analisys QBR By Machine Report'!$C$109:$BD$166,37,FALSE)</f>
        <v>0</v>
      </c>
      <c r="AQ26" s="13">
        <f ca="1">VLOOKUP($B26,'[10]Analisys QBR By Machine Report'!$C$109:$BD$166,38,FALSE)</f>
        <v>0</v>
      </c>
      <c r="AR26" s="13">
        <f ca="1">VLOOKUP($B26,'[10]Analisys QBR By Machine Report'!$C$109:$BD$166,39,FALSE)</f>
        <v>0</v>
      </c>
      <c r="AS26" s="13">
        <f ca="1">VLOOKUP($B26,'[10]Analisys QBR By Machine Report'!$C$109:$BD$166,40,FALSE)</f>
        <v>0</v>
      </c>
      <c r="AT26" s="13">
        <f ca="1">VLOOKUP($B26,'[10]Analisys QBR By Machine Report'!$C$109:$BD$166,41,FALSE)</f>
        <v>0</v>
      </c>
      <c r="AU26" s="13">
        <f ca="1">VLOOKUP($B26,'[10]Analisys QBR By Machine Report'!$C$109:$BD$166,42,FALSE)</f>
        <v>0</v>
      </c>
      <c r="AV26" s="13">
        <f ca="1">VLOOKUP($B26,'[10]Analisys QBR By Machine Report'!$C$109:$BD$166,43,FALSE)</f>
        <v>0</v>
      </c>
      <c r="AW26" s="13">
        <f ca="1">VLOOKUP($B26,'[10]Analisys QBR By Machine Report'!$C$109:$BD$166,44,FALSE)</f>
        <v>0</v>
      </c>
      <c r="AX26" s="13">
        <f ca="1">VLOOKUP($B26,'[10]Analisys QBR By Machine Report'!$C$109:$BD$166,45,FALSE)</f>
        <v>0</v>
      </c>
      <c r="AY26" s="13">
        <f ca="1">VLOOKUP($B26,'[10]Analisys QBR By Machine Report'!$C$109:$BD$166,46,FALSE)</f>
        <v>0</v>
      </c>
      <c r="AZ26" s="13">
        <f ca="1">VLOOKUP($B26,'[10]Analisys QBR By Machine Report'!$C$109:$BD$166,47,FALSE)</f>
        <v>0</v>
      </c>
      <c r="BA26" s="13">
        <f ca="1">VLOOKUP($B26,'[10]Analisys QBR By Machine Report'!$C$109:$BD$166,48,FALSE)</f>
        <v>0</v>
      </c>
      <c r="BB26" s="13">
        <f ca="1">VLOOKUP($B26,'[10]Analisys QBR By Machine Report'!$C$109:$BD$166,49,FALSE)</f>
        <v>0</v>
      </c>
      <c r="BC26" s="13">
        <f ca="1">VLOOKUP($B26,'[10]Analisys QBR By Machine Report'!$C$109:$BD$166,50,FALSE)</f>
        <v>0</v>
      </c>
      <c r="BD26" s="13">
        <f ca="1">VLOOKUP($B26,'[10]Analisys QBR By Machine Report'!$C$109:$BD$166,51,FALSE)</f>
        <v>43795</v>
      </c>
      <c r="BE26" s="13">
        <f ca="1">VLOOKUP($B26,'[10]Analisys QBR By Machine Report'!$C$109:$BD$166,52,FALSE)</f>
        <v>60</v>
      </c>
      <c r="BF26" s="13">
        <f ca="1">VLOOKUP($B26,'[10]Analisys QBR By Machine Report'!$C$109:$BD$166,53,FALSE)</f>
        <v>43735</v>
      </c>
    </row>
    <row r="27" spans="1:58" x14ac:dyDescent="0.25">
      <c r="A27" s="9" t="s">
        <v>83</v>
      </c>
      <c r="B27" s="10">
        <f ca="1">VLOOKUP($B27,'[10]Analisys QBR By Machine Report'!$C$109:$BD$166,2,FALSE)</f>
        <v>34560</v>
      </c>
      <c r="C27" s="11">
        <f ca="1">VLOOKUP($B27,[10]Dasboard_QBR_Report!$B$109:$BL$166,3,FALSE)</f>
        <v>22320</v>
      </c>
      <c r="D27" s="10">
        <f ca="1">VLOOKUP($B27,'[10]Analisys QBR By Machine Report'!$C$109:$BD$166,3,FALSE)</f>
        <v>26180</v>
      </c>
      <c r="E27" s="11">
        <f ca="1">VLOOKUP($B27,[10]Dasboard_QBR_Report!$B$109:$BL$166,5,FALSE)</f>
        <v>13940</v>
      </c>
      <c r="F27" s="10">
        <f t="shared" ca="1" si="0"/>
        <v>8380</v>
      </c>
      <c r="G27" s="10">
        <f t="shared" ca="1" si="1"/>
        <v>335</v>
      </c>
      <c r="H27" s="10">
        <f ca="1">VLOOKUP($B27,'[10]Analisys QBR By Machine Report'!$C$109:$BD$166,4,FALSE)</f>
        <v>335</v>
      </c>
      <c r="I27" s="10">
        <f ca="1">VLOOKUP($B27,'[10]Analisys QBR By Machine Report'!$C$109:$BD$166,5,FALSE)</f>
        <v>0</v>
      </c>
      <c r="J27" s="10">
        <f ca="1">VLOOKUP($B27,'[10]Analisys QBR By Machine Report'!$C$109:$BD$166,6,FALSE)</f>
        <v>335</v>
      </c>
      <c r="K27" s="10">
        <f ca="1">VLOOKUP($B27,'[10]Analisys QBR By Machine Report'!$C$109:$BD$166,7,FALSE)</f>
        <v>0</v>
      </c>
      <c r="L27" s="10">
        <f ca="1">VLOOKUP($B27,'[10]Analisys QBR By Machine Report'!$C$109:$BD$166,8,FALSE)</f>
        <v>8045</v>
      </c>
      <c r="M27" s="10">
        <f ca="1">VLOOKUP($B27,'[10]Analisys QBR By Machine Report'!$C$109:$BD$166,9,FALSE)</f>
        <v>2721</v>
      </c>
      <c r="N27" s="10">
        <f ca="1">VLOOKUP($B27,[10]Dasboard_QBR_Report!$B$109:$BL$166,18,FALSE)</f>
        <v>5324</v>
      </c>
      <c r="O27" s="10">
        <f ca="1">VLOOKUP($B27,'[10]Analisys QBR By Machine Report'!$C$109:$BD$166,10,FALSE)</f>
        <v>205</v>
      </c>
      <c r="P27" s="10">
        <f ca="1">VLOOKUP($B27,'[10]Analisys QBR By Machine Report'!$C$109:$BD$166,11,FALSE)</f>
        <v>205</v>
      </c>
      <c r="Q27" s="10">
        <f ca="1">VLOOKUP($B27,'[10]Analisys QBR By Machine Report'!$C$109:$BD$166,12,FALSE)</f>
        <v>0</v>
      </c>
      <c r="R27" s="10">
        <f ca="1">VLOOKUP($B27,'[10]Analisys QBR By Machine Report'!$C$109:$BD$166,13,FALSE)</f>
        <v>0</v>
      </c>
      <c r="S27" s="10">
        <f ca="1">VLOOKUP($B27,'[10]Analisys QBR By Machine Report'!$C$109:$BD$166,14,FALSE)</f>
        <v>0</v>
      </c>
      <c r="T27" s="10">
        <f ca="1">VLOOKUP($B27,'[10]Analisys QBR By Machine Report'!$C$109:$BD$166,15,FALSE)</f>
        <v>50</v>
      </c>
      <c r="U27" s="10">
        <f ca="1">VLOOKUP($B27,'[10]Analisys QBR By Machine Report'!$C$109:$BD$166,16,FALSE)</f>
        <v>0</v>
      </c>
      <c r="V27" s="10">
        <f ca="1">VLOOKUP($B27,'[10]Analisys QBR By Machine Report'!$C$109:$BD$166,17,FALSE)</f>
        <v>0</v>
      </c>
      <c r="W27" s="10">
        <f ca="1">VLOOKUP($B27,'[10]Analisys QBR By Machine Report'!$C$109:$BD$166,18,FALSE)</f>
        <v>0</v>
      </c>
      <c r="X27" s="10">
        <f ca="1">VLOOKUP($B27,'[10]Analisys QBR By Machine Report'!$C$109:$BD$166,19,FALSE)</f>
        <v>50</v>
      </c>
      <c r="Y27" s="10">
        <f ca="1">VLOOKUP($B27,'[10]Analisys QBR By Machine Report'!$C$109:$BD$166,20,FALSE)</f>
        <v>0</v>
      </c>
      <c r="Z27" s="10">
        <f ca="1">VLOOKUP($B27,'[10]Analisys QBR By Machine Report'!$C$109:$BD$166,21,FALSE)</f>
        <v>2789</v>
      </c>
      <c r="AA27" s="10">
        <f ca="1">VLOOKUP($B27,'[10]Analisys QBR By Machine Report'!$C$109:$BD$166,22,FALSE)</f>
        <v>478</v>
      </c>
      <c r="AB27" s="10">
        <f ca="1">VLOOKUP($B27,'[10]Analisys QBR By Machine Report'!$C$109:$BD$166,23,FALSE)</f>
        <v>2163</v>
      </c>
      <c r="AC27" s="10">
        <f ca="1">VLOOKUP($B27,'[10]Analisys QBR By Machine Report'!$C$109:$BD$166,24,FALSE)</f>
        <v>0</v>
      </c>
      <c r="AD27" s="10">
        <f ca="1">VLOOKUP($B27,'[10]Analisys QBR By Machine Report'!$C$109:$BD$166,25,FALSE)</f>
        <v>148</v>
      </c>
      <c r="AE27" s="10">
        <f ca="1">VLOOKUP($B27,'[10]Analisys QBR By Machine Report'!$C$109:$BD$166,26,FALSE)</f>
        <v>0</v>
      </c>
      <c r="AF27" s="10">
        <f ca="1">VLOOKUP($B27,'[10]Analisys QBR By Machine Report'!$C$109:$BD$166,27,FALSE)</f>
        <v>0</v>
      </c>
      <c r="AG27" s="10">
        <f ca="1">VLOOKUP($B27,'[10]Analisys QBR By Machine Report'!$C$109:$BD$166,28,FALSE)</f>
        <v>0</v>
      </c>
      <c r="AH27" s="10">
        <f ca="1">VLOOKUP($B27,'[10]Analisys QBR By Machine Report'!$C$109:$BD$166,29,FALSE)</f>
        <v>0</v>
      </c>
      <c r="AI27" s="10">
        <f ca="1">VLOOKUP($B27,'[10]Analisys QBR By Machine Report'!$C$109:$BD$166,30,FALSE)</f>
        <v>2280</v>
      </c>
      <c r="AJ27" s="10">
        <f ca="1">VLOOKUP($B27,'[10]Analisys QBR By Machine Report'!$C$109:$BD$166,31,FALSE)</f>
        <v>0</v>
      </c>
      <c r="AK27" s="10">
        <f ca="1">VLOOKUP($B27,'[10]Analisys QBR By Machine Report'!$C$109:$BD$166,32,FALSE)</f>
        <v>0</v>
      </c>
      <c r="AL27" s="10">
        <f ca="1">VLOOKUP($B27,'[10]Analisys QBR By Machine Report'!$C$109:$BD$166,33,FALSE)</f>
        <v>490</v>
      </c>
      <c r="AM27" s="10">
        <f ca="1">VLOOKUP($B27,'[10]Analisys QBR By Machine Report'!$C$109:$BD$166,34,FALSE)</f>
        <v>0</v>
      </c>
      <c r="AN27" s="10">
        <f ca="1">VLOOKUP($B27,'[10]Analisys QBR By Machine Report'!$C$109:$BD$166,35,FALSE)</f>
        <v>450</v>
      </c>
      <c r="AO27" s="10">
        <f ca="1">VLOOKUP($B27,'[10]Analisys QBR By Machine Report'!$C$109:$BD$166,36,FALSE)</f>
        <v>0</v>
      </c>
      <c r="AP27" s="10">
        <f ca="1">VLOOKUP($B27,'[10]Analisys QBR By Machine Report'!$C$109:$BD$166,37,FALSE)</f>
        <v>0</v>
      </c>
      <c r="AQ27" s="10">
        <f ca="1">VLOOKUP($B27,'[10]Analisys QBR By Machine Report'!$C$109:$BD$166,38,FALSE)</f>
        <v>0</v>
      </c>
      <c r="AR27" s="10">
        <f ca="1">VLOOKUP($B27,'[10]Analisys QBR By Machine Report'!$C$109:$BD$166,39,FALSE)</f>
        <v>0</v>
      </c>
      <c r="AS27" s="10">
        <f ca="1">VLOOKUP($B27,'[10]Analisys QBR By Machine Report'!$C$109:$BD$166,40,FALSE)</f>
        <v>10</v>
      </c>
      <c r="AT27" s="10">
        <f ca="1">VLOOKUP($B27,'[10]Analisys QBR By Machine Report'!$C$109:$BD$166,41,FALSE)</f>
        <v>0</v>
      </c>
      <c r="AU27" s="10">
        <f ca="1">VLOOKUP($B27,'[10]Analisys QBR By Machine Report'!$C$109:$BD$166,42,FALSE)</f>
        <v>0</v>
      </c>
      <c r="AV27" s="10">
        <f ca="1">VLOOKUP($B27,'[10]Analisys QBR By Machine Report'!$C$109:$BD$166,43,FALSE)</f>
        <v>0</v>
      </c>
      <c r="AW27" s="10">
        <f ca="1">VLOOKUP($B27,'[10]Analisys QBR By Machine Report'!$C$109:$BD$166,44,FALSE)</f>
        <v>0</v>
      </c>
      <c r="AX27" s="10">
        <f ca="1">VLOOKUP($B27,'[10]Analisys QBR By Machine Report'!$C$109:$BD$166,45,FALSE)</f>
        <v>0</v>
      </c>
      <c r="AY27" s="10">
        <f ca="1">VLOOKUP($B27,'[10]Analisys QBR By Machine Report'!$C$109:$BD$166,46,FALSE)</f>
        <v>0</v>
      </c>
      <c r="AZ27" s="10">
        <f ca="1">VLOOKUP($B27,'[10]Analisys QBR By Machine Report'!$C$109:$BD$166,47,FALSE)</f>
        <v>1330</v>
      </c>
      <c r="BA27" s="10">
        <f ca="1">VLOOKUP($B27,'[10]Analisys QBR By Machine Report'!$C$109:$BD$166,48,FALSE)</f>
        <v>0</v>
      </c>
      <c r="BB27" s="10">
        <f ca="1">VLOOKUP($B27,'[10]Analisys QBR By Machine Report'!$C$109:$BD$166,49,FALSE)</f>
        <v>0</v>
      </c>
      <c r="BC27" s="10">
        <f ca="1">VLOOKUP($B27,'[10]Analisys QBR By Machine Report'!$C$109:$BD$166,50,FALSE)</f>
        <v>0</v>
      </c>
      <c r="BD27" s="10">
        <f ca="1">VLOOKUP($B27,'[10]Analisys QBR By Machine Report'!$C$109:$BD$166,51,FALSE)</f>
        <v>1252</v>
      </c>
      <c r="BE27" s="10">
        <f ca="1">VLOOKUP($B27,'[10]Analisys QBR By Machine Report'!$C$109:$BD$166,52,FALSE)</f>
        <v>0</v>
      </c>
      <c r="BF27" s="10">
        <f ca="1">VLOOKUP($B27,'[10]Analisys QBR By Machine Report'!$C$109:$BD$166,53,FALSE)</f>
        <v>1252</v>
      </c>
    </row>
    <row r="28" spans="1:58" x14ac:dyDescent="0.25">
      <c r="A28" s="12" t="s">
        <v>84</v>
      </c>
      <c r="B28" s="13">
        <f ca="1">VLOOKUP($B28,'[10]Analisys QBR By Machine Report'!$C$109:$BD$166,2,FALSE)</f>
        <v>34560</v>
      </c>
      <c r="C28" s="14">
        <f ca="1">VLOOKUP($B28,[10]Dasboard_QBR_Report!$B$109:$BL$166,3,FALSE)</f>
        <v>22320</v>
      </c>
      <c r="D28" s="13">
        <f ca="1">VLOOKUP($B28,'[10]Analisys QBR By Machine Report'!$C$109:$BD$166,3,FALSE)</f>
        <v>26180</v>
      </c>
      <c r="E28" s="14">
        <f ca="1">VLOOKUP($B28,[10]Dasboard_QBR_Report!$B$109:$BL$166,5,FALSE)</f>
        <v>13940</v>
      </c>
      <c r="F28" s="13">
        <f t="shared" ca="1" si="0"/>
        <v>8380</v>
      </c>
      <c r="G28" s="13">
        <f t="shared" ca="1" si="1"/>
        <v>335</v>
      </c>
      <c r="H28" s="13">
        <f ca="1">VLOOKUP($B28,'[10]Analisys QBR By Machine Report'!$C$109:$BD$166,4,FALSE)</f>
        <v>335</v>
      </c>
      <c r="I28" s="13">
        <f ca="1">VLOOKUP($B28,'[10]Analisys QBR By Machine Report'!$C$109:$BD$166,5,FALSE)</f>
        <v>0</v>
      </c>
      <c r="J28" s="13">
        <f ca="1">VLOOKUP($B28,'[10]Analisys QBR By Machine Report'!$C$109:$BD$166,6,FALSE)</f>
        <v>335</v>
      </c>
      <c r="K28" s="13">
        <f ca="1">VLOOKUP($B28,'[10]Analisys QBR By Machine Report'!$C$109:$BD$166,7,FALSE)</f>
        <v>0</v>
      </c>
      <c r="L28" s="13">
        <f ca="1">VLOOKUP($B28,'[10]Analisys QBR By Machine Report'!$C$109:$BD$166,8,FALSE)</f>
        <v>8045</v>
      </c>
      <c r="M28" s="13">
        <f ca="1">VLOOKUP($B28,'[10]Analisys QBR By Machine Report'!$C$109:$BD$166,9,FALSE)</f>
        <v>2721</v>
      </c>
      <c r="N28" s="13">
        <f ca="1">VLOOKUP($B28,[10]Dasboard_QBR_Report!$B$109:$BL$166,18,FALSE)</f>
        <v>5324</v>
      </c>
      <c r="O28" s="13">
        <f ca="1">VLOOKUP($B28,'[10]Analisys QBR By Machine Report'!$C$109:$BD$166,10,FALSE)</f>
        <v>205</v>
      </c>
      <c r="P28" s="13">
        <f ca="1">VLOOKUP($B28,'[10]Analisys QBR By Machine Report'!$C$109:$BD$166,11,FALSE)</f>
        <v>205</v>
      </c>
      <c r="Q28" s="13">
        <f ca="1">VLOOKUP($B28,'[10]Analisys QBR By Machine Report'!$C$109:$BD$166,12,FALSE)</f>
        <v>0</v>
      </c>
      <c r="R28" s="13">
        <f ca="1">VLOOKUP($B28,'[10]Analisys QBR By Machine Report'!$C$109:$BD$166,13,FALSE)</f>
        <v>0</v>
      </c>
      <c r="S28" s="13">
        <f ca="1">VLOOKUP($B28,'[10]Analisys QBR By Machine Report'!$C$109:$BD$166,14,FALSE)</f>
        <v>0</v>
      </c>
      <c r="T28" s="13">
        <f ca="1">VLOOKUP($B28,'[10]Analisys QBR By Machine Report'!$C$109:$BD$166,15,FALSE)</f>
        <v>50</v>
      </c>
      <c r="U28" s="13">
        <f ca="1">VLOOKUP($B28,'[10]Analisys QBR By Machine Report'!$C$109:$BD$166,16,FALSE)</f>
        <v>0</v>
      </c>
      <c r="V28" s="13">
        <f ca="1">VLOOKUP($B28,'[10]Analisys QBR By Machine Report'!$C$109:$BD$166,17,FALSE)</f>
        <v>0</v>
      </c>
      <c r="W28" s="13">
        <f ca="1">VLOOKUP($B28,'[10]Analisys QBR By Machine Report'!$C$109:$BD$166,18,FALSE)</f>
        <v>0</v>
      </c>
      <c r="X28" s="13">
        <f ca="1">VLOOKUP($B28,'[10]Analisys QBR By Machine Report'!$C$109:$BD$166,19,FALSE)</f>
        <v>50</v>
      </c>
      <c r="Y28" s="13">
        <f ca="1">VLOOKUP($B28,'[10]Analisys QBR By Machine Report'!$C$109:$BD$166,20,FALSE)</f>
        <v>0</v>
      </c>
      <c r="Z28" s="13">
        <f ca="1">VLOOKUP($B28,'[10]Analisys QBR By Machine Report'!$C$109:$BD$166,21,FALSE)</f>
        <v>2789</v>
      </c>
      <c r="AA28" s="13">
        <f ca="1">VLOOKUP($B28,'[10]Analisys QBR By Machine Report'!$C$109:$BD$166,22,FALSE)</f>
        <v>478</v>
      </c>
      <c r="AB28" s="13">
        <f ca="1">VLOOKUP($B28,'[10]Analisys QBR By Machine Report'!$C$109:$BD$166,23,FALSE)</f>
        <v>2163</v>
      </c>
      <c r="AC28" s="13">
        <f ca="1">VLOOKUP($B28,'[10]Analisys QBR By Machine Report'!$C$109:$BD$166,24,FALSE)</f>
        <v>0</v>
      </c>
      <c r="AD28" s="13">
        <f ca="1">VLOOKUP($B28,'[10]Analisys QBR By Machine Report'!$C$109:$BD$166,25,FALSE)</f>
        <v>148</v>
      </c>
      <c r="AE28" s="13">
        <f ca="1">VLOOKUP($B28,'[10]Analisys QBR By Machine Report'!$C$109:$BD$166,26,FALSE)</f>
        <v>0</v>
      </c>
      <c r="AF28" s="13">
        <f ca="1">VLOOKUP($B28,'[10]Analisys QBR By Machine Report'!$C$109:$BD$166,27,FALSE)</f>
        <v>0</v>
      </c>
      <c r="AG28" s="13">
        <f ca="1">VLOOKUP($B28,'[10]Analisys QBR By Machine Report'!$C$109:$BD$166,28,FALSE)</f>
        <v>0</v>
      </c>
      <c r="AH28" s="13">
        <f ca="1">VLOOKUP($B28,'[10]Analisys QBR By Machine Report'!$C$109:$BD$166,29,FALSE)</f>
        <v>0</v>
      </c>
      <c r="AI28" s="13">
        <f ca="1">VLOOKUP($B28,'[10]Analisys QBR By Machine Report'!$C$109:$BD$166,30,FALSE)</f>
        <v>2280</v>
      </c>
      <c r="AJ28" s="13">
        <f ca="1">VLOOKUP($B28,'[10]Analisys QBR By Machine Report'!$C$109:$BD$166,31,FALSE)</f>
        <v>0</v>
      </c>
      <c r="AK28" s="13">
        <f ca="1">VLOOKUP($B28,'[10]Analisys QBR By Machine Report'!$C$109:$BD$166,32,FALSE)</f>
        <v>0</v>
      </c>
      <c r="AL28" s="13">
        <f ca="1">VLOOKUP($B28,'[10]Analisys QBR By Machine Report'!$C$109:$BD$166,33,FALSE)</f>
        <v>490</v>
      </c>
      <c r="AM28" s="13">
        <f ca="1">VLOOKUP($B28,'[10]Analisys QBR By Machine Report'!$C$109:$BD$166,34,FALSE)</f>
        <v>0</v>
      </c>
      <c r="AN28" s="13">
        <f ca="1">VLOOKUP($B28,'[10]Analisys QBR By Machine Report'!$C$109:$BD$166,35,FALSE)</f>
        <v>450</v>
      </c>
      <c r="AO28" s="13">
        <f ca="1">VLOOKUP($B28,'[10]Analisys QBR By Machine Report'!$C$109:$BD$166,36,FALSE)</f>
        <v>0</v>
      </c>
      <c r="AP28" s="13">
        <f ca="1">VLOOKUP($B28,'[10]Analisys QBR By Machine Report'!$C$109:$BD$166,37,FALSE)</f>
        <v>0</v>
      </c>
      <c r="AQ28" s="13">
        <f ca="1">VLOOKUP($B28,'[10]Analisys QBR By Machine Report'!$C$109:$BD$166,38,FALSE)</f>
        <v>0</v>
      </c>
      <c r="AR28" s="13">
        <f ca="1">VLOOKUP($B28,'[10]Analisys QBR By Machine Report'!$C$109:$BD$166,39,FALSE)</f>
        <v>0</v>
      </c>
      <c r="AS28" s="13">
        <f ca="1">VLOOKUP($B28,'[10]Analisys QBR By Machine Report'!$C$109:$BD$166,40,FALSE)</f>
        <v>10</v>
      </c>
      <c r="AT28" s="13">
        <f ca="1">VLOOKUP($B28,'[10]Analisys QBR By Machine Report'!$C$109:$BD$166,41,FALSE)</f>
        <v>0</v>
      </c>
      <c r="AU28" s="13">
        <f ca="1">VLOOKUP($B28,'[10]Analisys QBR By Machine Report'!$C$109:$BD$166,42,FALSE)</f>
        <v>0</v>
      </c>
      <c r="AV28" s="13">
        <f ca="1">VLOOKUP($B28,'[10]Analisys QBR By Machine Report'!$C$109:$BD$166,43,FALSE)</f>
        <v>0</v>
      </c>
      <c r="AW28" s="13">
        <f ca="1">VLOOKUP($B28,'[10]Analisys QBR By Machine Report'!$C$109:$BD$166,44,FALSE)</f>
        <v>0</v>
      </c>
      <c r="AX28" s="13">
        <f ca="1">VLOOKUP($B28,'[10]Analisys QBR By Machine Report'!$C$109:$BD$166,45,FALSE)</f>
        <v>0</v>
      </c>
      <c r="AY28" s="13">
        <f ca="1">VLOOKUP($B28,'[10]Analisys QBR By Machine Report'!$C$109:$BD$166,46,FALSE)</f>
        <v>0</v>
      </c>
      <c r="AZ28" s="13">
        <f ca="1">VLOOKUP($B28,'[10]Analisys QBR By Machine Report'!$C$109:$BD$166,47,FALSE)</f>
        <v>1330</v>
      </c>
      <c r="BA28" s="13">
        <f ca="1">VLOOKUP($B28,'[10]Analisys QBR By Machine Report'!$C$109:$BD$166,48,FALSE)</f>
        <v>0</v>
      </c>
      <c r="BB28" s="13">
        <f ca="1">VLOOKUP($B28,'[10]Analisys QBR By Machine Report'!$C$109:$BD$166,49,FALSE)</f>
        <v>0</v>
      </c>
      <c r="BC28" s="13">
        <f ca="1">VLOOKUP($B28,'[10]Analisys QBR By Machine Report'!$C$109:$BD$166,50,FALSE)</f>
        <v>0</v>
      </c>
      <c r="BD28" s="13">
        <f ca="1">VLOOKUP($B28,'[10]Analisys QBR By Machine Report'!$C$109:$BD$166,51,FALSE)</f>
        <v>1252</v>
      </c>
      <c r="BE28" s="13">
        <f ca="1">VLOOKUP($B28,'[10]Analisys QBR By Machine Report'!$C$109:$BD$166,52,FALSE)</f>
        <v>0</v>
      </c>
      <c r="BF28" s="13">
        <f ca="1">VLOOKUP($B28,'[10]Analisys QBR By Machine Report'!$C$109:$BD$166,53,FALSE)</f>
        <v>1252</v>
      </c>
    </row>
    <row r="29" spans="1:58" x14ac:dyDescent="0.25">
      <c r="A29" s="9" t="s">
        <v>85</v>
      </c>
      <c r="B29" s="10">
        <f ca="1">VLOOKUP($B29,'[10]Analisys QBR By Machine Report'!$C$109:$BD$166,2,FALSE)</f>
        <v>69120</v>
      </c>
      <c r="C29" s="11">
        <f ca="1">VLOOKUP($B29,[10]Dasboard_QBR_Report!$B$109:$BL$166,3,FALSE)</f>
        <v>44640</v>
      </c>
      <c r="D29" s="10">
        <f ca="1">VLOOKUP($B29,'[10]Analisys QBR By Machine Report'!$C$109:$BD$166,3,FALSE)</f>
        <v>42030</v>
      </c>
      <c r="E29" s="11">
        <f ca="1">VLOOKUP($B29,[10]Dasboard_QBR_Report!$B$109:$BL$166,5,FALSE)</f>
        <v>17550</v>
      </c>
      <c r="F29" s="10">
        <f t="shared" ca="1" si="0"/>
        <v>27090</v>
      </c>
      <c r="G29" s="10">
        <f t="shared" ca="1" si="1"/>
        <v>2630</v>
      </c>
      <c r="H29" s="10">
        <f ca="1">VLOOKUP($B29,'[10]Analisys QBR By Machine Report'!$C$109:$BD$166,4,FALSE)</f>
        <v>2630</v>
      </c>
      <c r="I29" s="10">
        <f ca="1">VLOOKUP($B29,'[10]Analisys QBR By Machine Report'!$C$109:$BD$166,5,FALSE)</f>
        <v>235</v>
      </c>
      <c r="J29" s="10">
        <f ca="1">VLOOKUP($B29,'[10]Analisys QBR By Machine Report'!$C$109:$BD$166,6,FALSE)</f>
        <v>2395</v>
      </c>
      <c r="K29" s="10">
        <f ca="1">VLOOKUP($B29,'[10]Analisys QBR By Machine Report'!$C$109:$BD$166,7,FALSE)</f>
        <v>0</v>
      </c>
      <c r="L29" s="10">
        <f ca="1">VLOOKUP($B29,'[10]Analisys QBR By Machine Report'!$C$109:$BD$166,8,FALSE)</f>
        <v>24460</v>
      </c>
      <c r="M29" s="10">
        <f ca="1">VLOOKUP($B29,'[10]Analisys QBR By Machine Report'!$C$109:$BD$166,9,FALSE)</f>
        <v>8442</v>
      </c>
      <c r="N29" s="10">
        <f ca="1">VLOOKUP($B29,[10]Dasboard_QBR_Report!$B$109:$BL$166,18,FALSE)</f>
        <v>16018</v>
      </c>
      <c r="O29" s="10">
        <f ca="1">VLOOKUP($B29,'[10]Analisys QBR By Machine Report'!$C$109:$BD$166,10,FALSE)</f>
        <v>3044</v>
      </c>
      <c r="P29" s="10">
        <f ca="1">VLOOKUP($B29,'[10]Analisys QBR By Machine Report'!$C$109:$BD$166,11,FALSE)</f>
        <v>2748</v>
      </c>
      <c r="Q29" s="10">
        <f ca="1">VLOOKUP($B29,'[10]Analisys QBR By Machine Report'!$C$109:$BD$166,12,FALSE)</f>
        <v>142</v>
      </c>
      <c r="R29" s="10">
        <f ca="1">VLOOKUP($B29,'[10]Analisys QBR By Machine Report'!$C$109:$BD$166,13,FALSE)</f>
        <v>154</v>
      </c>
      <c r="S29" s="10">
        <f ca="1">VLOOKUP($B29,'[10]Analisys QBR By Machine Report'!$C$109:$BD$166,14,FALSE)</f>
        <v>0</v>
      </c>
      <c r="T29" s="10">
        <f ca="1">VLOOKUP($B29,'[10]Analisys QBR By Machine Report'!$C$109:$BD$166,15,FALSE)</f>
        <v>64</v>
      </c>
      <c r="U29" s="10">
        <f ca="1">VLOOKUP($B29,'[10]Analisys QBR By Machine Report'!$C$109:$BD$166,16,FALSE)</f>
        <v>0</v>
      </c>
      <c r="V29" s="10">
        <f ca="1">VLOOKUP($B29,'[10]Analisys QBR By Machine Report'!$C$109:$BD$166,17,FALSE)</f>
        <v>57</v>
      </c>
      <c r="W29" s="10">
        <f ca="1">VLOOKUP($B29,'[10]Analisys QBR By Machine Report'!$C$109:$BD$166,18,FALSE)</f>
        <v>0</v>
      </c>
      <c r="X29" s="10">
        <f ca="1">VLOOKUP($B29,'[10]Analisys QBR By Machine Report'!$C$109:$BD$166,19,FALSE)</f>
        <v>7</v>
      </c>
      <c r="Y29" s="10">
        <f ca="1">VLOOKUP($B29,'[10]Analisys QBR By Machine Report'!$C$109:$BD$166,20,FALSE)</f>
        <v>0</v>
      </c>
      <c r="Z29" s="10">
        <f ca="1">VLOOKUP($B29,'[10]Analisys QBR By Machine Report'!$C$109:$BD$166,21,FALSE)</f>
        <v>6192</v>
      </c>
      <c r="AA29" s="10">
        <f ca="1">VLOOKUP($B29,'[10]Analisys QBR By Machine Report'!$C$109:$BD$166,22,FALSE)</f>
        <v>925</v>
      </c>
      <c r="AB29" s="10">
        <f ca="1">VLOOKUP($B29,'[10]Analisys QBR By Machine Report'!$C$109:$BD$166,23,FALSE)</f>
        <v>5267</v>
      </c>
      <c r="AC29" s="10">
        <f ca="1">VLOOKUP($B29,'[10]Analisys QBR By Machine Report'!$C$109:$BD$166,24,FALSE)</f>
        <v>0</v>
      </c>
      <c r="AD29" s="10">
        <f ca="1">VLOOKUP($B29,'[10]Analisys QBR By Machine Report'!$C$109:$BD$166,25,FALSE)</f>
        <v>0</v>
      </c>
      <c r="AE29" s="10">
        <f ca="1">VLOOKUP($B29,'[10]Analisys QBR By Machine Report'!$C$109:$BD$166,26,FALSE)</f>
        <v>0</v>
      </c>
      <c r="AF29" s="10">
        <f ca="1">VLOOKUP($B29,'[10]Analisys QBR By Machine Report'!$C$109:$BD$166,27,FALSE)</f>
        <v>0</v>
      </c>
      <c r="AG29" s="10">
        <f ca="1">VLOOKUP($B29,'[10]Analisys QBR By Machine Report'!$C$109:$BD$166,28,FALSE)</f>
        <v>0</v>
      </c>
      <c r="AH29" s="10">
        <f ca="1">VLOOKUP($B29,'[10]Analisys QBR By Machine Report'!$C$109:$BD$166,29,FALSE)</f>
        <v>0</v>
      </c>
      <c r="AI29" s="10">
        <f ca="1">VLOOKUP($B29,'[10]Analisys QBR By Machine Report'!$C$109:$BD$166,30,FALSE)</f>
        <v>6718</v>
      </c>
      <c r="AJ29" s="10">
        <f ca="1">VLOOKUP($B29,'[10]Analisys QBR By Machine Report'!$C$109:$BD$166,31,FALSE)</f>
        <v>0</v>
      </c>
      <c r="AK29" s="10">
        <f ca="1">VLOOKUP($B29,'[10]Analisys QBR By Machine Report'!$C$109:$BD$166,32,FALSE)</f>
        <v>0</v>
      </c>
      <c r="AL29" s="10">
        <f ca="1">VLOOKUP($B29,'[10]Analisys QBR By Machine Report'!$C$109:$BD$166,33,FALSE)</f>
        <v>1685</v>
      </c>
      <c r="AM29" s="10">
        <f ca="1">VLOOKUP($B29,'[10]Analisys QBR By Machine Report'!$C$109:$BD$166,34,FALSE)</f>
        <v>20</v>
      </c>
      <c r="AN29" s="10">
        <f ca="1">VLOOKUP($B29,'[10]Analisys QBR By Machine Report'!$C$109:$BD$166,35,FALSE)</f>
        <v>1865</v>
      </c>
      <c r="AO29" s="10">
        <f ca="1">VLOOKUP($B29,'[10]Analisys QBR By Machine Report'!$C$109:$BD$166,36,FALSE)</f>
        <v>0</v>
      </c>
      <c r="AP29" s="10">
        <f ca="1">VLOOKUP($B29,'[10]Analisys QBR By Machine Report'!$C$109:$BD$166,37,FALSE)</f>
        <v>0</v>
      </c>
      <c r="AQ29" s="10">
        <f ca="1">VLOOKUP($B29,'[10]Analisys QBR By Machine Report'!$C$109:$BD$166,38,FALSE)</f>
        <v>90</v>
      </c>
      <c r="AR29" s="10">
        <f ca="1">VLOOKUP($B29,'[10]Analisys QBR By Machine Report'!$C$109:$BD$166,39,FALSE)</f>
        <v>127</v>
      </c>
      <c r="AS29" s="10">
        <f ca="1">VLOOKUP($B29,'[10]Analisys QBR By Machine Report'!$C$109:$BD$166,40,FALSE)</f>
        <v>375</v>
      </c>
      <c r="AT29" s="10">
        <f ca="1">VLOOKUP($B29,'[10]Analisys QBR By Machine Report'!$C$109:$BD$166,41,FALSE)</f>
        <v>0</v>
      </c>
      <c r="AU29" s="10">
        <f ca="1">VLOOKUP($B29,'[10]Analisys QBR By Machine Report'!$C$109:$BD$166,42,FALSE)</f>
        <v>0</v>
      </c>
      <c r="AV29" s="10">
        <f ca="1">VLOOKUP($B29,'[10]Analisys QBR By Machine Report'!$C$109:$BD$166,43,FALSE)</f>
        <v>2526</v>
      </c>
      <c r="AW29" s="10">
        <f ca="1">VLOOKUP($B29,'[10]Analisys QBR By Machine Report'!$C$109:$BD$166,44,FALSE)</f>
        <v>0</v>
      </c>
      <c r="AX29" s="10">
        <f ca="1">VLOOKUP($B29,'[10]Analisys QBR By Machine Report'!$C$109:$BD$166,45,FALSE)</f>
        <v>0</v>
      </c>
      <c r="AY29" s="10">
        <f ca="1">VLOOKUP($B29,'[10]Analisys QBR By Machine Report'!$C$109:$BD$166,46,FALSE)</f>
        <v>0</v>
      </c>
      <c r="AZ29" s="10">
        <f ca="1">VLOOKUP($B29,'[10]Analisys QBR By Machine Report'!$C$109:$BD$166,47,FALSE)</f>
        <v>30</v>
      </c>
      <c r="BA29" s="10">
        <f ca="1">VLOOKUP($B29,'[10]Analisys QBR By Machine Report'!$C$109:$BD$166,48,FALSE)</f>
        <v>0</v>
      </c>
      <c r="BB29" s="10">
        <f ca="1">VLOOKUP($B29,'[10]Analisys QBR By Machine Report'!$C$109:$BD$166,49,FALSE)</f>
        <v>0</v>
      </c>
      <c r="BC29" s="10">
        <f ca="1">VLOOKUP($B29,'[10]Analisys QBR By Machine Report'!$C$109:$BD$166,50,FALSE)</f>
        <v>0</v>
      </c>
      <c r="BD29" s="10">
        <f ca="1">VLOOKUP($B29,'[10]Analisys QBR By Machine Report'!$C$109:$BD$166,51,FALSE)</f>
        <v>982064</v>
      </c>
      <c r="BE29" s="10">
        <f ca="1">VLOOKUP($B29,'[10]Analisys QBR By Machine Report'!$C$109:$BD$166,52,FALSE)</f>
        <v>53</v>
      </c>
      <c r="BF29" s="10">
        <f ca="1">VLOOKUP($B29,'[10]Analisys QBR By Machine Report'!$C$109:$BD$166,53,FALSE)</f>
        <v>982011</v>
      </c>
    </row>
    <row r="30" spans="1:58" x14ac:dyDescent="0.25">
      <c r="A30" s="12" t="s">
        <v>86</v>
      </c>
      <c r="B30" s="13">
        <f ca="1">VLOOKUP($B30,'[10]Analisys QBR By Machine Report'!$C$109:$BD$166,2,FALSE)</f>
        <v>34560</v>
      </c>
      <c r="C30" s="14">
        <f ca="1">VLOOKUP($B30,[10]Dasboard_QBR_Report!$B$109:$BL$166,3,FALSE)</f>
        <v>22320</v>
      </c>
      <c r="D30" s="13">
        <f ca="1">VLOOKUP($B30,'[10]Analisys QBR By Machine Report'!$C$109:$BD$166,3,FALSE)</f>
        <v>22350</v>
      </c>
      <c r="E30" s="14">
        <f ca="1">VLOOKUP($B30,[10]Dasboard_QBR_Report!$B$109:$BL$166,5,FALSE)</f>
        <v>10110</v>
      </c>
      <c r="F30" s="13">
        <f t="shared" ca="1" si="0"/>
        <v>12210</v>
      </c>
      <c r="G30" s="13">
        <f t="shared" ca="1" si="1"/>
        <v>1540</v>
      </c>
      <c r="H30" s="13">
        <f ca="1">VLOOKUP($B30,'[10]Analisys QBR By Machine Report'!$C$109:$BD$166,4,FALSE)</f>
        <v>1540</v>
      </c>
      <c r="I30" s="13">
        <f ca="1">VLOOKUP($B30,'[10]Analisys QBR By Machine Report'!$C$109:$BD$166,5,FALSE)</f>
        <v>215</v>
      </c>
      <c r="J30" s="13">
        <f ca="1">VLOOKUP($B30,'[10]Analisys QBR By Machine Report'!$C$109:$BD$166,6,FALSE)</f>
        <v>1325</v>
      </c>
      <c r="K30" s="13">
        <f ca="1">VLOOKUP($B30,'[10]Analisys QBR By Machine Report'!$C$109:$BD$166,7,FALSE)</f>
        <v>0</v>
      </c>
      <c r="L30" s="13">
        <f ca="1">VLOOKUP($B30,'[10]Analisys QBR By Machine Report'!$C$109:$BD$166,8,FALSE)</f>
        <v>10670</v>
      </c>
      <c r="M30" s="13">
        <f ca="1">VLOOKUP($B30,'[10]Analisys QBR By Machine Report'!$C$109:$BD$166,9,FALSE)</f>
        <v>2346</v>
      </c>
      <c r="N30" s="13">
        <f ca="1">VLOOKUP($B30,[10]Dasboard_QBR_Report!$B$109:$BL$166,18,FALSE)</f>
        <v>8324</v>
      </c>
      <c r="O30" s="13">
        <f ca="1">VLOOKUP($B30,'[10]Analisys QBR By Machine Report'!$C$109:$BD$166,10,FALSE)</f>
        <v>1521</v>
      </c>
      <c r="P30" s="13">
        <f ca="1">VLOOKUP($B30,'[10]Analisys QBR By Machine Report'!$C$109:$BD$166,11,FALSE)</f>
        <v>1345</v>
      </c>
      <c r="Q30" s="13">
        <f ca="1">VLOOKUP($B30,'[10]Analisys QBR By Machine Report'!$C$109:$BD$166,12,FALSE)</f>
        <v>142</v>
      </c>
      <c r="R30" s="13">
        <f ca="1">VLOOKUP($B30,'[10]Analisys QBR By Machine Report'!$C$109:$BD$166,13,FALSE)</f>
        <v>34</v>
      </c>
      <c r="S30" s="13">
        <f ca="1">VLOOKUP($B30,'[10]Analisys QBR By Machine Report'!$C$109:$BD$166,14,FALSE)</f>
        <v>0</v>
      </c>
      <c r="T30" s="13">
        <f ca="1">VLOOKUP($B30,'[10]Analisys QBR By Machine Report'!$C$109:$BD$166,15,FALSE)</f>
        <v>50</v>
      </c>
      <c r="U30" s="13">
        <f ca="1">VLOOKUP($B30,'[10]Analisys QBR By Machine Report'!$C$109:$BD$166,16,FALSE)</f>
        <v>0</v>
      </c>
      <c r="V30" s="13">
        <f ca="1">VLOOKUP($B30,'[10]Analisys QBR By Machine Report'!$C$109:$BD$166,17,FALSE)</f>
        <v>43</v>
      </c>
      <c r="W30" s="13">
        <f ca="1">VLOOKUP($B30,'[10]Analisys QBR By Machine Report'!$C$109:$BD$166,18,FALSE)</f>
        <v>0</v>
      </c>
      <c r="X30" s="13">
        <f ca="1">VLOOKUP($B30,'[10]Analisys QBR By Machine Report'!$C$109:$BD$166,19,FALSE)</f>
        <v>7</v>
      </c>
      <c r="Y30" s="13">
        <f ca="1">VLOOKUP($B30,'[10]Analisys QBR By Machine Report'!$C$109:$BD$166,20,FALSE)</f>
        <v>0</v>
      </c>
      <c r="Z30" s="13">
        <f ca="1">VLOOKUP($B30,'[10]Analisys QBR By Machine Report'!$C$109:$BD$166,21,FALSE)</f>
        <v>3046</v>
      </c>
      <c r="AA30" s="13">
        <f ca="1">VLOOKUP($B30,'[10]Analisys QBR By Machine Report'!$C$109:$BD$166,22,FALSE)</f>
        <v>815</v>
      </c>
      <c r="AB30" s="13">
        <f ca="1">VLOOKUP($B30,'[10]Analisys QBR By Machine Report'!$C$109:$BD$166,23,FALSE)</f>
        <v>2231</v>
      </c>
      <c r="AC30" s="13">
        <f ca="1">VLOOKUP($B30,'[10]Analisys QBR By Machine Report'!$C$109:$BD$166,24,FALSE)</f>
        <v>0</v>
      </c>
      <c r="AD30" s="13">
        <f ca="1">VLOOKUP($B30,'[10]Analisys QBR By Machine Report'!$C$109:$BD$166,25,FALSE)</f>
        <v>0</v>
      </c>
      <c r="AE30" s="13">
        <f ca="1">VLOOKUP($B30,'[10]Analisys QBR By Machine Report'!$C$109:$BD$166,26,FALSE)</f>
        <v>0</v>
      </c>
      <c r="AF30" s="13">
        <f ca="1">VLOOKUP($B30,'[10]Analisys QBR By Machine Report'!$C$109:$BD$166,27,FALSE)</f>
        <v>0</v>
      </c>
      <c r="AG30" s="13">
        <f ca="1">VLOOKUP($B30,'[10]Analisys QBR By Machine Report'!$C$109:$BD$166,28,FALSE)</f>
        <v>0</v>
      </c>
      <c r="AH30" s="13">
        <f ca="1">VLOOKUP($B30,'[10]Analisys QBR By Machine Report'!$C$109:$BD$166,29,FALSE)</f>
        <v>0</v>
      </c>
      <c r="AI30" s="13">
        <f ca="1">VLOOKUP($B30,'[10]Analisys QBR By Machine Report'!$C$109:$BD$166,30,FALSE)</f>
        <v>3707</v>
      </c>
      <c r="AJ30" s="13">
        <f ca="1">VLOOKUP($B30,'[10]Analisys QBR By Machine Report'!$C$109:$BD$166,31,FALSE)</f>
        <v>0</v>
      </c>
      <c r="AK30" s="13">
        <f ca="1">VLOOKUP($B30,'[10]Analisys QBR By Machine Report'!$C$109:$BD$166,32,FALSE)</f>
        <v>0</v>
      </c>
      <c r="AL30" s="13">
        <f ca="1">VLOOKUP($B30,'[10]Analisys QBR By Machine Report'!$C$109:$BD$166,33,FALSE)</f>
        <v>750</v>
      </c>
      <c r="AM30" s="13">
        <f ca="1">VLOOKUP($B30,'[10]Analisys QBR By Machine Report'!$C$109:$BD$166,34,FALSE)</f>
        <v>0</v>
      </c>
      <c r="AN30" s="13">
        <f ca="1">VLOOKUP($B30,'[10]Analisys QBR By Machine Report'!$C$109:$BD$166,35,FALSE)</f>
        <v>765</v>
      </c>
      <c r="AO30" s="13">
        <f ca="1">VLOOKUP($B30,'[10]Analisys QBR By Machine Report'!$C$109:$BD$166,36,FALSE)</f>
        <v>0</v>
      </c>
      <c r="AP30" s="13">
        <f ca="1">VLOOKUP($B30,'[10]Analisys QBR By Machine Report'!$C$109:$BD$166,37,FALSE)</f>
        <v>0</v>
      </c>
      <c r="AQ30" s="13">
        <f ca="1">VLOOKUP($B30,'[10]Analisys QBR By Machine Report'!$C$109:$BD$166,38,FALSE)</f>
        <v>0</v>
      </c>
      <c r="AR30" s="13">
        <f ca="1">VLOOKUP($B30,'[10]Analisys QBR By Machine Report'!$C$109:$BD$166,39,FALSE)</f>
        <v>127</v>
      </c>
      <c r="AS30" s="13">
        <f ca="1">VLOOKUP($B30,'[10]Analisys QBR By Machine Report'!$C$109:$BD$166,40,FALSE)</f>
        <v>285</v>
      </c>
      <c r="AT30" s="13">
        <f ca="1">VLOOKUP($B30,'[10]Analisys QBR By Machine Report'!$C$109:$BD$166,41,FALSE)</f>
        <v>0</v>
      </c>
      <c r="AU30" s="13">
        <f ca="1">VLOOKUP($B30,'[10]Analisys QBR By Machine Report'!$C$109:$BD$166,42,FALSE)</f>
        <v>0</v>
      </c>
      <c r="AV30" s="13">
        <f ca="1">VLOOKUP($B30,'[10]Analisys QBR By Machine Report'!$C$109:$BD$166,43,FALSE)</f>
        <v>1750</v>
      </c>
      <c r="AW30" s="13">
        <f ca="1">VLOOKUP($B30,'[10]Analisys QBR By Machine Report'!$C$109:$BD$166,44,FALSE)</f>
        <v>0</v>
      </c>
      <c r="AX30" s="13">
        <f ca="1">VLOOKUP($B30,'[10]Analisys QBR By Machine Report'!$C$109:$BD$166,45,FALSE)</f>
        <v>0</v>
      </c>
      <c r="AY30" s="13">
        <f ca="1">VLOOKUP($B30,'[10]Analisys QBR By Machine Report'!$C$109:$BD$166,46,FALSE)</f>
        <v>0</v>
      </c>
      <c r="AZ30" s="13">
        <f ca="1">VLOOKUP($B30,'[10]Analisys QBR By Machine Report'!$C$109:$BD$166,47,FALSE)</f>
        <v>30</v>
      </c>
      <c r="BA30" s="13">
        <f ca="1">VLOOKUP($B30,'[10]Analisys QBR By Machine Report'!$C$109:$BD$166,48,FALSE)</f>
        <v>0</v>
      </c>
      <c r="BB30" s="13">
        <f ca="1">VLOOKUP($B30,'[10]Analisys QBR By Machine Report'!$C$109:$BD$166,49,FALSE)</f>
        <v>0</v>
      </c>
      <c r="BC30" s="13">
        <f ca="1">VLOOKUP($B30,'[10]Analisys QBR By Machine Report'!$C$109:$BD$166,50,FALSE)</f>
        <v>0</v>
      </c>
      <c r="BD30" s="13">
        <f ca="1">VLOOKUP($B30,'[10]Analisys QBR By Machine Report'!$C$109:$BD$166,51,FALSE)</f>
        <v>479069</v>
      </c>
      <c r="BE30" s="13">
        <f ca="1">VLOOKUP($B30,'[10]Analisys QBR By Machine Report'!$C$109:$BD$166,52,FALSE)</f>
        <v>0</v>
      </c>
      <c r="BF30" s="13">
        <f ca="1">VLOOKUP($B30,'[10]Analisys QBR By Machine Report'!$C$109:$BD$166,53,FALSE)</f>
        <v>479069</v>
      </c>
    </row>
    <row r="31" spans="1:58" x14ac:dyDescent="0.25">
      <c r="A31" s="12" t="s">
        <v>87</v>
      </c>
      <c r="B31" s="13">
        <f ca="1">VLOOKUP($B31,'[10]Analisys QBR By Machine Report'!$C$109:$BD$166,2,FALSE)</f>
        <v>34560</v>
      </c>
      <c r="C31" s="14">
        <f ca="1">VLOOKUP($B31,[10]Dasboard_QBR_Report!$B$109:$BL$166,3,FALSE)</f>
        <v>22320</v>
      </c>
      <c r="D31" s="13">
        <f ca="1">VLOOKUP($B31,'[10]Analisys QBR By Machine Report'!$C$109:$BD$166,3,FALSE)</f>
        <v>19680</v>
      </c>
      <c r="E31" s="14">
        <f ca="1">VLOOKUP($B31,[10]Dasboard_QBR_Report!$B$109:$BL$166,5,FALSE)</f>
        <v>7440</v>
      </c>
      <c r="F31" s="13">
        <f t="shared" ca="1" si="0"/>
        <v>14880</v>
      </c>
      <c r="G31" s="13">
        <f t="shared" ca="1" si="1"/>
        <v>1090</v>
      </c>
      <c r="H31" s="13">
        <f ca="1">VLOOKUP($B31,'[10]Analisys QBR By Machine Report'!$C$109:$BD$166,4,FALSE)</f>
        <v>1090</v>
      </c>
      <c r="I31" s="13">
        <f ca="1">VLOOKUP($B31,'[10]Analisys QBR By Machine Report'!$C$109:$BD$166,5,FALSE)</f>
        <v>20</v>
      </c>
      <c r="J31" s="13">
        <f ca="1">VLOOKUP($B31,'[10]Analisys QBR By Machine Report'!$C$109:$BD$166,6,FALSE)</f>
        <v>1070</v>
      </c>
      <c r="K31" s="13">
        <f ca="1">VLOOKUP($B31,'[10]Analisys QBR By Machine Report'!$C$109:$BD$166,7,FALSE)</f>
        <v>0</v>
      </c>
      <c r="L31" s="13">
        <f ca="1">VLOOKUP($B31,'[10]Analisys QBR By Machine Report'!$C$109:$BD$166,8,FALSE)</f>
        <v>13790</v>
      </c>
      <c r="M31" s="13">
        <f ca="1">VLOOKUP($B31,'[10]Analisys QBR By Machine Report'!$C$109:$BD$166,9,FALSE)</f>
        <v>6096</v>
      </c>
      <c r="N31" s="13">
        <f ca="1">VLOOKUP($B31,[10]Dasboard_QBR_Report!$B$109:$BL$166,18,FALSE)</f>
        <v>7694</v>
      </c>
      <c r="O31" s="13">
        <f ca="1">VLOOKUP($B31,'[10]Analisys QBR By Machine Report'!$C$109:$BD$166,10,FALSE)</f>
        <v>1523</v>
      </c>
      <c r="P31" s="13">
        <f ca="1">VLOOKUP($B31,'[10]Analisys QBR By Machine Report'!$C$109:$BD$166,11,FALSE)</f>
        <v>1403</v>
      </c>
      <c r="Q31" s="13">
        <f ca="1">VLOOKUP($B31,'[10]Analisys QBR By Machine Report'!$C$109:$BD$166,12,FALSE)</f>
        <v>0</v>
      </c>
      <c r="R31" s="13">
        <f ca="1">VLOOKUP($B31,'[10]Analisys QBR By Machine Report'!$C$109:$BD$166,13,FALSE)</f>
        <v>120</v>
      </c>
      <c r="S31" s="13">
        <f ca="1">VLOOKUP($B31,'[10]Analisys QBR By Machine Report'!$C$109:$BD$166,14,FALSE)</f>
        <v>0</v>
      </c>
      <c r="T31" s="13">
        <f ca="1">VLOOKUP($B31,'[10]Analisys QBR By Machine Report'!$C$109:$BD$166,15,FALSE)</f>
        <v>14</v>
      </c>
      <c r="U31" s="13">
        <f ca="1">VLOOKUP($B31,'[10]Analisys QBR By Machine Report'!$C$109:$BD$166,16,FALSE)</f>
        <v>0</v>
      </c>
      <c r="V31" s="13">
        <f ca="1">VLOOKUP($B31,'[10]Analisys QBR By Machine Report'!$C$109:$BD$166,17,FALSE)</f>
        <v>14</v>
      </c>
      <c r="W31" s="13">
        <f ca="1">VLOOKUP($B31,'[10]Analisys QBR By Machine Report'!$C$109:$BD$166,18,FALSE)</f>
        <v>0</v>
      </c>
      <c r="X31" s="13">
        <f ca="1">VLOOKUP($B31,'[10]Analisys QBR By Machine Report'!$C$109:$BD$166,19,FALSE)</f>
        <v>0</v>
      </c>
      <c r="Y31" s="13">
        <f ca="1">VLOOKUP($B31,'[10]Analisys QBR By Machine Report'!$C$109:$BD$166,20,FALSE)</f>
        <v>0</v>
      </c>
      <c r="Z31" s="13">
        <f ca="1">VLOOKUP($B31,'[10]Analisys QBR By Machine Report'!$C$109:$BD$166,21,FALSE)</f>
        <v>3146</v>
      </c>
      <c r="AA31" s="13">
        <f ca="1">VLOOKUP($B31,'[10]Analisys QBR By Machine Report'!$C$109:$BD$166,22,FALSE)</f>
        <v>110</v>
      </c>
      <c r="AB31" s="13">
        <f ca="1">VLOOKUP($B31,'[10]Analisys QBR By Machine Report'!$C$109:$BD$166,23,FALSE)</f>
        <v>3036</v>
      </c>
      <c r="AC31" s="13">
        <f ca="1">VLOOKUP($B31,'[10]Analisys QBR By Machine Report'!$C$109:$BD$166,24,FALSE)</f>
        <v>0</v>
      </c>
      <c r="AD31" s="13">
        <f ca="1">VLOOKUP($B31,'[10]Analisys QBR By Machine Report'!$C$109:$BD$166,25,FALSE)</f>
        <v>0</v>
      </c>
      <c r="AE31" s="13">
        <f ca="1">VLOOKUP($B31,'[10]Analisys QBR By Machine Report'!$C$109:$BD$166,26,FALSE)</f>
        <v>0</v>
      </c>
      <c r="AF31" s="13">
        <f ca="1">VLOOKUP($B31,'[10]Analisys QBR By Machine Report'!$C$109:$BD$166,27,FALSE)</f>
        <v>0</v>
      </c>
      <c r="AG31" s="13">
        <f ca="1">VLOOKUP($B31,'[10]Analisys QBR By Machine Report'!$C$109:$BD$166,28,FALSE)</f>
        <v>0</v>
      </c>
      <c r="AH31" s="13">
        <f ca="1">VLOOKUP($B31,'[10]Analisys QBR By Machine Report'!$C$109:$BD$166,29,FALSE)</f>
        <v>0</v>
      </c>
      <c r="AI31" s="13">
        <f ca="1">VLOOKUP($B31,'[10]Analisys QBR By Machine Report'!$C$109:$BD$166,30,FALSE)</f>
        <v>3011</v>
      </c>
      <c r="AJ31" s="13">
        <f ca="1">VLOOKUP($B31,'[10]Analisys QBR By Machine Report'!$C$109:$BD$166,31,FALSE)</f>
        <v>0</v>
      </c>
      <c r="AK31" s="13">
        <f ca="1">VLOOKUP($B31,'[10]Analisys QBR By Machine Report'!$C$109:$BD$166,32,FALSE)</f>
        <v>0</v>
      </c>
      <c r="AL31" s="13">
        <f ca="1">VLOOKUP($B31,'[10]Analisys QBR By Machine Report'!$C$109:$BD$166,33,FALSE)</f>
        <v>935</v>
      </c>
      <c r="AM31" s="13">
        <f ca="1">VLOOKUP($B31,'[10]Analisys QBR By Machine Report'!$C$109:$BD$166,34,FALSE)</f>
        <v>20</v>
      </c>
      <c r="AN31" s="13">
        <f ca="1">VLOOKUP($B31,'[10]Analisys QBR By Machine Report'!$C$109:$BD$166,35,FALSE)</f>
        <v>1100</v>
      </c>
      <c r="AO31" s="13">
        <f ca="1">VLOOKUP($B31,'[10]Analisys QBR By Machine Report'!$C$109:$BD$166,36,FALSE)</f>
        <v>0</v>
      </c>
      <c r="AP31" s="13">
        <f ca="1">VLOOKUP($B31,'[10]Analisys QBR By Machine Report'!$C$109:$BD$166,37,FALSE)</f>
        <v>0</v>
      </c>
      <c r="AQ31" s="13">
        <f ca="1">VLOOKUP($B31,'[10]Analisys QBR By Machine Report'!$C$109:$BD$166,38,FALSE)</f>
        <v>90</v>
      </c>
      <c r="AR31" s="13">
        <f ca="1">VLOOKUP($B31,'[10]Analisys QBR By Machine Report'!$C$109:$BD$166,39,FALSE)</f>
        <v>0</v>
      </c>
      <c r="AS31" s="13">
        <f ca="1">VLOOKUP($B31,'[10]Analisys QBR By Machine Report'!$C$109:$BD$166,40,FALSE)</f>
        <v>90</v>
      </c>
      <c r="AT31" s="13">
        <f ca="1">VLOOKUP($B31,'[10]Analisys QBR By Machine Report'!$C$109:$BD$166,41,FALSE)</f>
        <v>0</v>
      </c>
      <c r="AU31" s="13">
        <f ca="1">VLOOKUP($B31,'[10]Analisys QBR By Machine Report'!$C$109:$BD$166,42,FALSE)</f>
        <v>0</v>
      </c>
      <c r="AV31" s="13">
        <f ca="1">VLOOKUP($B31,'[10]Analisys QBR By Machine Report'!$C$109:$BD$166,43,FALSE)</f>
        <v>776</v>
      </c>
      <c r="AW31" s="13">
        <f ca="1">VLOOKUP($B31,'[10]Analisys QBR By Machine Report'!$C$109:$BD$166,44,FALSE)</f>
        <v>0</v>
      </c>
      <c r="AX31" s="13">
        <f ca="1">VLOOKUP($B31,'[10]Analisys QBR By Machine Report'!$C$109:$BD$166,45,FALSE)</f>
        <v>0</v>
      </c>
      <c r="AY31" s="13">
        <f ca="1">VLOOKUP($B31,'[10]Analisys QBR By Machine Report'!$C$109:$BD$166,46,FALSE)</f>
        <v>0</v>
      </c>
      <c r="AZ31" s="13">
        <f ca="1">VLOOKUP($B31,'[10]Analisys QBR By Machine Report'!$C$109:$BD$166,47,FALSE)</f>
        <v>0</v>
      </c>
      <c r="BA31" s="13">
        <f ca="1">VLOOKUP($B31,'[10]Analisys QBR By Machine Report'!$C$109:$BD$166,48,FALSE)</f>
        <v>0</v>
      </c>
      <c r="BB31" s="13">
        <f ca="1">VLOOKUP($B31,'[10]Analisys QBR By Machine Report'!$C$109:$BD$166,49,FALSE)</f>
        <v>0</v>
      </c>
      <c r="BC31" s="13">
        <f ca="1">VLOOKUP($B31,'[10]Analisys QBR By Machine Report'!$C$109:$BD$166,50,FALSE)</f>
        <v>0</v>
      </c>
      <c r="BD31" s="13">
        <f ca="1">VLOOKUP($B31,'[10]Analisys QBR By Machine Report'!$C$109:$BD$166,51,FALSE)</f>
        <v>502995</v>
      </c>
      <c r="BE31" s="13">
        <f ca="1">VLOOKUP($B31,'[10]Analisys QBR By Machine Report'!$C$109:$BD$166,52,FALSE)</f>
        <v>53</v>
      </c>
      <c r="BF31" s="13">
        <f ca="1">VLOOKUP($B31,'[10]Analisys QBR By Machine Report'!$C$109:$BD$166,53,FALSE)</f>
        <v>502942</v>
      </c>
    </row>
    <row r="32" spans="1:58" x14ac:dyDescent="0.25">
      <c r="A32" s="9" t="s">
        <v>88</v>
      </c>
      <c r="B32" s="10">
        <f ca="1">VLOOKUP($B32,'[10]Analisys QBR By Machine Report'!$C$109:$BD$166,2,FALSE)</f>
        <v>103680</v>
      </c>
      <c r="C32" s="11">
        <f ca="1">VLOOKUP($B32,[10]Dasboard_QBR_Report!$B$109:$BL$166,3,FALSE)</f>
        <v>66960</v>
      </c>
      <c r="D32" s="10">
        <f ca="1">VLOOKUP($B32,'[10]Analisys QBR By Machine Report'!$C$109:$BD$166,3,FALSE)</f>
        <v>59691</v>
      </c>
      <c r="E32" s="11">
        <f ca="1">VLOOKUP($B32,[10]Dasboard_QBR_Report!$B$109:$BL$166,5,FALSE)</f>
        <v>22971</v>
      </c>
      <c r="F32" s="10">
        <f t="shared" ca="1" si="0"/>
        <v>43989</v>
      </c>
      <c r="G32" s="10">
        <f t="shared" ca="1" si="1"/>
        <v>4516</v>
      </c>
      <c r="H32" s="10">
        <f ca="1">VLOOKUP($B32,'[10]Analisys QBR By Machine Report'!$C$109:$BD$166,4,FALSE)</f>
        <v>4516</v>
      </c>
      <c r="I32" s="10">
        <f ca="1">VLOOKUP($B32,'[10]Analisys QBR By Machine Report'!$C$109:$BD$166,5,FALSE)</f>
        <v>543</v>
      </c>
      <c r="J32" s="10">
        <f ca="1">VLOOKUP($B32,'[10]Analisys QBR By Machine Report'!$C$109:$BD$166,6,FALSE)</f>
        <v>3973</v>
      </c>
      <c r="K32" s="10">
        <f ca="1">VLOOKUP($B32,'[10]Analisys QBR By Machine Report'!$C$109:$BD$166,7,FALSE)</f>
        <v>0</v>
      </c>
      <c r="L32" s="10">
        <f ca="1">VLOOKUP($B32,'[10]Analisys QBR By Machine Report'!$C$109:$BD$166,8,FALSE)</f>
        <v>39473</v>
      </c>
      <c r="M32" s="10">
        <f ca="1">VLOOKUP($B32,'[10]Analisys QBR By Machine Report'!$C$109:$BD$166,9,FALSE)</f>
        <v>18367</v>
      </c>
      <c r="N32" s="10">
        <f ca="1">VLOOKUP($B32,[10]Dasboard_QBR_Report!$B$109:$BL$166,18,FALSE)</f>
        <v>21106</v>
      </c>
      <c r="O32" s="10">
        <f ca="1">VLOOKUP($B32,'[10]Analisys QBR By Machine Report'!$C$109:$BD$166,10,FALSE)</f>
        <v>1642</v>
      </c>
      <c r="P32" s="10">
        <f ca="1">VLOOKUP($B32,'[10]Analisys QBR By Machine Report'!$C$109:$BD$166,11,FALSE)</f>
        <v>1597</v>
      </c>
      <c r="Q32" s="10">
        <f ca="1">VLOOKUP($B32,'[10]Analisys QBR By Machine Report'!$C$109:$BD$166,12,FALSE)</f>
        <v>0</v>
      </c>
      <c r="R32" s="10">
        <f ca="1">VLOOKUP($B32,'[10]Analisys QBR By Machine Report'!$C$109:$BD$166,13,FALSE)</f>
        <v>45</v>
      </c>
      <c r="S32" s="10">
        <f ca="1">VLOOKUP($B32,'[10]Analisys QBR By Machine Report'!$C$109:$BD$166,14,FALSE)</f>
        <v>0</v>
      </c>
      <c r="T32" s="10">
        <f ca="1">VLOOKUP($B32,'[10]Analisys QBR By Machine Report'!$C$109:$BD$166,15,FALSE)</f>
        <v>0</v>
      </c>
      <c r="U32" s="10">
        <f ca="1">VLOOKUP($B32,'[10]Analisys QBR By Machine Report'!$C$109:$BD$166,16,FALSE)</f>
        <v>0</v>
      </c>
      <c r="V32" s="10">
        <f ca="1">VLOOKUP($B32,'[10]Analisys QBR By Machine Report'!$C$109:$BD$166,17,FALSE)</f>
        <v>0</v>
      </c>
      <c r="W32" s="10">
        <f ca="1">VLOOKUP($B32,'[10]Analisys QBR By Machine Report'!$C$109:$BD$166,18,FALSE)</f>
        <v>0</v>
      </c>
      <c r="X32" s="10">
        <f ca="1">VLOOKUP($B32,'[10]Analisys QBR By Machine Report'!$C$109:$BD$166,19,FALSE)</f>
        <v>0</v>
      </c>
      <c r="Y32" s="10">
        <f ca="1">VLOOKUP($B32,'[10]Analisys QBR By Machine Report'!$C$109:$BD$166,20,FALSE)</f>
        <v>0</v>
      </c>
      <c r="Z32" s="10">
        <f ca="1">VLOOKUP($B32,'[10]Analisys QBR By Machine Report'!$C$109:$BD$166,21,FALSE)</f>
        <v>9158</v>
      </c>
      <c r="AA32" s="10">
        <f ca="1">VLOOKUP($B32,'[10]Analisys QBR By Machine Report'!$C$109:$BD$166,22,FALSE)</f>
        <v>7271</v>
      </c>
      <c r="AB32" s="10">
        <f ca="1">VLOOKUP($B32,'[10]Analisys QBR By Machine Report'!$C$109:$BD$166,23,FALSE)</f>
        <v>1226</v>
      </c>
      <c r="AC32" s="10">
        <f ca="1">VLOOKUP($B32,'[10]Analisys QBR By Machine Report'!$C$109:$BD$166,24,FALSE)</f>
        <v>40</v>
      </c>
      <c r="AD32" s="10">
        <f ca="1">VLOOKUP($B32,'[10]Analisys QBR By Machine Report'!$C$109:$BD$166,25,FALSE)</f>
        <v>30</v>
      </c>
      <c r="AE32" s="10">
        <f ca="1">VLOOKUP($B32,'[10]Analisys QBR By Machine Report'!$C$109:$BD$166,26,FALSE)</f>
        <v>591</v>
      </c>
      <c r="AF32" s="10">
        <f ca="1">VLOOKUP($B32,'[10]Analisys QBR By Machine Report'!$C$109:$BD$166,27,FALSE)</f>
        <v>0</v>
      </c>
      <c r="AG32" s="10">
        <f ca="1">VLOOKUP($B32,'[10]Analisys QBR By Machine Report'!$C$109:$BD$166,28,FALSE)</f>
        <v>0</v>
      </c>
      <c r="AH32" s="10">
        <f ca="1">VLOOKUP($B32,'[10]Analisys QBR By Machine Report'!$C$109:$BD$166,29,FALSE)</f>
        <v>0</v>
      </c>
      <c r="AI32" s="10">
        <f ca="1">VLOOKUP($B32,'[10]Analisys QBR By Machine Report'!$C$109:$BD$166,30,FALSE)</f>
        <v>10306</v>
      </c>
      <c r="AJ32" s="10">
        <f ca="1">VLOOKUP($B32,'[10]Analisys QBR By Machine Report'!$C$109:$BD$166,31,FALSE)</f>
        <v>40</v>
      </c>
      <c r="AK32" s="10">
        <f ca="1">VLOOKUP($B32,'[10]Analisys QBR By Machine Report'!$C$109:$BD$166,32,FALSE)</f>
        <v>0</v>
      </c>
      <c r="AL32" s="10">
        <f ca="1">VLOOKUP($B32,'[10]Analisys QBR By Machine Report'!$C$109:$BD$166,33,FALSE)</f>
        <v>1112</v>
      </c>
      <c r="AM32" s="10">
        <f ca="1">VLOOKUP($B32,'[10]Analisys QBR By Machine Report'!$C$109:$BD$166,34,FALSE)</f>
        <v>30</v>
      </c>
      <c r="AN32" s="10">
        <f ca="1">VLOOKUP($B32,'[10]Analisys QBR By Machine Report'!$C$109:$BD$166,35,FALSE)</f>
        <v>684</v>
      </c>
      <c r="AO32" s="10">
        <f ca="1">VLOOKUP($B32,'[10]Analisys QBR By Machine Report'!$C$109:$BD$166,36,FALSE)</f>
        <v>1732</v>
      </c>
      <c r="AP32" s="10">
        <f ca="1">VLOOKUP($B32,'[10]Analisys QBR By Machine Report'!$C$109:$BD$166,37,FALSE)</f>
        <v>0</v>
      </c>
      <c r="AQ32" s="10">
        <f ca="1">VLOOKUP($B32,'[10]Analisys QBR By Machine Report'!$C$109:$BD$166,38,FALSE)</f>
        <v>0</v>
      </c>
      <c r="AR32" s="10">
        <f ca="1">VLOOKUP($B32,'[10]Analisys QBR By Machine Report'!$C$109:$BD$166,39,FALSE)</f>
        <v>6351</v>
      </c>
      <c r="AS32" s="10">
        <f ca="1">VLOOKUP($B32,'[10]Analisys QBR By Machine Report'!$C$109:$BD$166,40,FALSE)</f>
        <v>357</v>
      </c>
      <c r="AT32" s="10">
        <f ca="1">VLOOKUP($B32,'[10]Analisys QBR By Machine Report'!$C$109:$BD$166,41,FALSE)</f>
        <v>0</v>
      </c>
      <c r="AU32" s="10">
        <f ca="1">VLOOKUP($B32,'[10]Analisys QBR By Machine Report'!$C$109:$BD$166,42,FALSE)</f>
        <v>0</v>
      </c>
      <c r="AV32" s="10">
        <f ca="1">VLOOKUP($B32,'[10]Analisys QBR By Machine Report'!$C$109:$BD$166,43,FALSE)</f>
        <v>0</v>
      </c>
      <c r="AW32" s="10">
        <f ca="1">VLOOKUP($B32,'[10]Analisys QBR By Machine Report'!$C$109:$BD$166,44,FALSE)</f>
        <v>0</v>
      </c>
      <c r="AX32" s="10">
        <f ca="1">VLOOKUP($B32,'[10]Analisys QBR By Machine Report'!$C$109:$BD$166,45,FALSE)</f>
        <v>0</v>
      </c>
      <c r="AY32" s="10">
        <f ca="1">VLOOKUP($B32,'[10]Analisys QBR By Machine Report'!$C$109:$BD$166,46,FALSE)</f>
        <v>0</v>
      </c>
      <c r="AZ32" s="10">
        <f ca="1">VLOOKUP($B32,'[10]Analisys QBR By Machine Report'!$C$109:$BD$166,47,FALSE)</f>
        <v>0</v>
      </c>
      <c r="BA32" s="10">
        <f ca="1">VLOOKUP($B32,'[10]Analisys QBR By Machine Report'!$C$109:$BD$166,48,FALSE)</f>
        <v>0</v>
      </c>
      <c r="BB32" s="10">
        <f ca="1">VLOOKUP($B32,'[10]Analisys QBR By Machine Report'!$C$109:$BD$166,49,FALSE)</f>
        <v>0</v>
      </c>
      <c r="BC32" s="10">
        <f ca="1">VLOOKUP($B32,'[10]Analisys QBR By Machine Report'!$C$109:$BD$166,50,FALSE)</f>
        <v>0</v>
      </c>
      <c r="BD32" s="10">
        <f ca="1">VLOOKUP($B32,'[10]Analisys QBR By Machine Report'!$C$109:$BD$166,51,FALSE)</f>
        <v>1396</v>
      </c>
      <c r="BE32" s="10">
        <f ca="1">VLOOKUP($B32,'[10]Analisys QBR By Machine Report'!$C$109:$BD$166,52,FALSE)</f>
        <v>0</v>
      </c>
      <c r="BF32" s="10">
        <f ca="1">VLOOKUP($B32,'[10]Analisys QBR By Machine Report'!$C$109:$BD$166,53,FALSE)</f>
        <v>1396</v>
      </c>
    </row>
    <row r="33" spans="1:58" x14ac:dyDescent="0.25">
      <c r="A33" s="12" t="s">
        <v>89</v>
      </c>
      <c r="B33" s="13">
        <f ca="1">VLOOKUP($B33,'[10]Analisys QBR By Machine Report'!$C$109:$BD$166,2,FALSE)</f>
        <v>34560</v>
      </c>
      <c r="C33" s="14">
        <f ca="1">VLOOKUP($B33,[10]Dasboard_QBR_Report!$B$109:$BL$166,3,FALSE)</f>
        <v>22320</v>
      </c>
      <c r="D33" s="13">
        <f ca="1">VLOOKUP($B33,'[10]Analisys QBR By Machine Report'!$C$109:$BD$166,3,FALSE)</f>
        <v>16823</v>
      </c>
      <c r="E33" s="14">
        <f ca="1">VLOOKUP($B33,[10]Dasboard_QBR_Report!$B$109:$BL$166,5,FALSE)</f>
        <v>4583</v>
      </c>
      <c r="F33" s="13">
        <f t="shared" ca="1" si="0"/>
        <v>17737</v>
      </c>
      <c r="G33" s="13">
        <f t="shared" ca="1" si="1"/>
        <v>1792</v>
      </c>
      <c r="H33" s="13">
        <f ca="1">VLOOKUP($B33,'[10]Analisys QBR By Machine Report'!$C$109:$BD$166,4,FALSE)</f>
        <v>1792</v>
      </c>
      <c r="I33" s="13">
        <f ca="1">VLOOKUP($B33,'[10]Analisys QBR By Machine Report'!$C$109:$BD$166,5,FALSE)</f>
        <v>255</v>
      </c>
      <c r="J33" s="13">
        <f ca="1">VLOOKUP($B33,'[10]Analisys QBR By Machine Report'!$C$109:$BD$166,6,FALSE)</f>
        <v>1537</v>
      </c>
      <c r="K33" s="13">
        <f ca="1">VLOOKUP($B33,'[10]Analisys QBR By Machine Report'!$C$109:$BD$166,7,FALSE)</f>
        <v>0</v>
      </c>
      <c r="L33" s="13">
        <f ca="1">VLOOKUP($B33,'[10]Analisys QBR By Machine Report'!$C$109:$BD$166,8,FALSE)</f>
        <v>15945</v>
      </c>
      <c r="M33" s="13">
        <f ca="1">VLOOKUP($B33,'[10]Analisys QBR By Machine Report'!$C$109:$BD$166,9,FALSE)</f>
        <v>7598</v>
      </c>
      <c r="N33" s="13">
        <f ca="1">VLOOKUP($B33,[10]Dasboard_QBR_Report!$B$109:$BL$166,18,FALSE)</f>
        <v>8347</v>
      </c>
      <c r="O33" s="13">
        <f ca="1">VLOOKUP($B33,'[10]Analisys QBR By Machine Report'!$C$109:$BD$166,10,FALSE)</f>
        <v>602</v>
      </c>
      <c r="P33" s="13">
        <f ca="1">VLOOKUP($B33,'[10]Analisys QBR By Machine Report'!$C$109:$BD$166,11,FALSE)</f>
        <v>602</v>
      </c>
      <c r="Q33" s="13">
        <f ca="1">VLOOKUP($B33,'[10]Analisys QBR By Machine Report'!$C$109:$BD$166,12,FALSE)</f>
        <v>0</v>
      </c>
      <c r="R33" s="13">
        <f ca="1">VLOOKUP($B33,'[10]Analisys QBR By Machine Report'!$C$109:$BD$166,13,FALSE)</f>
        <v>0</v>
      </c>
      <c r="S33" s="13">
        <f ca="1">VLOOKUP($B33,'[10]Analisys QBR By Machine Report'!$C$109:$BD$166,14,FALSE)</f>
        <v>0</v>
      </c>
      <c r="T33" s="13">
        <f ca="1">VLOOKUP($B33,'[10]Analisys QBR By Machine Report'!$C$109:$BD$166,15,FALSE)</f>
        <v>0</v>
      </c>
      <c r="U33" s="13">
        <f ca="1">VLOOKUP($B33,'[10]Analisys QBR By Machine Report'!$C$109:$BD$166,16,FALSE)</f>
        <v>0</v>
      </c>
      <c r="V33" s="13">
        <f ca="1">VLOOKUP($B33,'[10]Analisys QBR By Machine Report'!$C$109:$BD$166,17,FALSE)</f>
        <v>0</v>
      </c>
      <c r="W33" s="13">
        <f ca="1">VLOOKUP($B33,'[10]Analisys QBR By Machine Report'!$C$109:$BD$166,18,FALSE)</f>
        <v>0</v>
      </c>
      <c r="X33" s="13">
        <f ca="1">VLOOKUP($B33,'[10]Analisys QBR By Machine Report'!$C$109:$BD$166,19,FALSE)</f>
        <v>0</v>
      </c>
      <c r="Y33" s="13">
        <f ca="1">VLOOKUP($B33,'[10]Analisys QBR By Machine Report'!$C$109:$BD$166,20,FALSE)</f>
        <v>0</v>
      </c>
      <c r="Z33" s="13">
        <f ca="1">VLOOKUP($B33,'[10]Analisys QBR By Machine Report'!$C$109:$BD$166,21,FALSE)</f>
        <v>2693</v>
      </c>
      <c r="AA33" s="13">
        <f ca="1">VLOOKUP($B33,'[10]Analisys QBR By Machine Report'!$C$109:$BD$166,22,FALSE)</f>
        <v>1854</v>
      </c>
      <c r="AB33" s="13">
        <f ca="1">VLOOKUP($B33,'[10]Analisys QBR By Machine Report'!$C$109:$BD$166,23,FALSE)</f>
        <v>734</v>
      </c>
      <c r="AC33" s="13">
        <f ca="1">VLOOKUP($B33,'[10]Analisys QBR By Machine Report'!$C$109:$BD$166,24,FALSE)</f>
        <v>0</v>
      </c>
      <c r="AD33" s="13">
        <f ca="1">VLOOKUP($B33,'[10]Analisys QBR By Machine Report'!$C$109:$BD$166,25,FALSE)</f>
        <v>0</v>
      </c>
      <c r="AE33" s="13">
        <f ca="1">VLOOKUP($B33,'[10]Analisys QBR By Machine Report'!$C$109:$BD$166,26,FALSE)</f>
        <v>105</v>
      </c>
      <c r="AF33" s="13">
        <f ca="1">VLOOKUP($B33,'[10]Analisys QBR By Machine Report'!$C$109:$BD$166,27,FALSE)</f>
        <v>0</v>
      </c>
      <c r="AG33" s="13">
        <f ca="1">VLOOKUP($B33,'[10]Analisys QBR By Machine Report'!$C$109:$BD$166,28,FALSE)</f>
        <v>0</v>
      </c>
      <c r="AH33" s="13">
        <f ca="1">VLOOKUP($B33,'[10]Analisys QBR By Machine Report'!$C$109:$BD$166,29,FALSE)</f>
        <v>0</v>
      </c>
      <c r="AI33" s="13">
        <f ca="1">VLOOKUP($B33,'[10]Analisys QBR By Machine Report'!$C$109:$BD$166,30,FALSE)</f>
        <v>5052</v>
      </c>
      <c r="AJ33" s="13">
        <f ca="1">VLOOKUP($B33,'[10]Analisys QBR By Machine Report'!$C$109:$BD$166,31,FALSE)</f>
        <v>0</v>
      </c>
      <c r="AK33" s="13">
        <f ca="1">VLOOKUP($B33,'[10]Analisys QBR By Machine Report'!$C$109:$BD$166,32,FALSE)</f>
        <v>0</v>
      </c>
      <c r="AL33" s="13">
        <f ca="1">VLOOKUP($B33,'[10]Analisys QBR By Machine Report'!$C$109:$BD$166,33,FALSE)</f>
        <v>248</v>
      </c>
      <c r="AM33" s="13">
        <f ca="1">VLOOKUP($B33,'[10]Analisys QBR By Machine Report'!$C$109:$BD$166,34,FALSE)</f>
        <v>0</v>
      </c>
      <c r="AN33" s="13">
        <f ca="1">VLOOKUP($B33,'[10]Analisys QBR By Machine Report'!$C$109:$BD$166,35,FALSE)</f>
        <v>133</v>
      </c>
      <c r="AO33" s="13">
        <f ca="1">VLOOKUP($B33,'[10]Analisys QBR By Machine Report'!$C$109:$BD$166,36,FALSE)</f>
        <v>0</v>
      </c>
      <c r="AP33" s="13">
        <f ca="1">VLOOKUP($B33,'[10]Analisys QBR By Machine Report'!$C$109:$BD$166,37,FALSE)</f>
        <v>0</v>
      </c>
      <c r="AQ33" s="13">
        <f ca="1">VLOOKUP($B33,'[10]Analisys QBR By Machine Report'!$C$109:$BD$166,38,FALSE)</f>
        <v>0</v>
      </c>
      <c r="AR33" s="13">
        <f ca="1">VLOOKUP($B33,'[10]Analisys QBR By Machine Report'!$C$109:$BD$166,39,FALSE)</f>
        <v>4671</v>
      </c>
      <c r="AS33" s="13">
        <f ca="1">VLOOKUP($B33,'[10]Analisys QBR By Machine Report'!$C$109:$BD$166,40,FALSE)</f>
        <v>0</v>
      </c>
      <c r="AT33" s="13">
        <f ca="1">VLOOKUP($B33,'[10]Analisys QBR By Machine Report'!$C$109:$BD$166,41,FALSE)</f>
        <v>0</v>
      </c>
      <c r="AU33" s="13">
        <f ca="1">VLOOKUP($B33,'[10]Analisys QBR By Machine Report'!$C$109:$BD$166,42,FALSE)</f>
        <v>0</v>
      </c>
      <c r="AV33" s="13">
        <f ca="1">VLOOKUP($B33,'[10]Analisys QBR By Machine Report'!$C$109:$BD$166,43,FALSE)</f>
        <v>0</v>
      </c>
      <c r="AW33" s="13">
        <f ca="1">VLOOKUP($B33,'[10]Analisys QBR By Machine Report'!$C$109:$BD$166,44,FALSE)</f>
        <v>0</v>
      </c>
      <c r="AX33" s="13">
        <f ca="1">VLOOKUP($B33,'[10]Analisys QBR By Machine Report'!$C$109:$BD$166,45,FALSE)</f>
        <v>0</v>
      </c>
      <c r="AY33" s="13">
        <f ca="1">VLOOKUP($B33,'[10]Analisys QBR By Machine Report'!$C$109:$BD$166,46,FALSE)</f>
        <v>0</v>
      </c>
      <c r="AZ33" s="13">
        <f ca="1">VLOOKUP($B33,'[10]Analisys QBR By Machine Report'!$C$109:$BD$166,47,FALSE)</f>
        <v>0</v>
      </c>
      <c r="BA33" s="13">
        <f ca="1">VLOOKUP($B33,'[10]Analisys QBR By Machine Report'!$C$109:$BD$166,48,FALSE)</f>
        <v>0</v>
      </c>
      <c r="BB33" s="13">
        <f ca="1">VLOOKUP($B33,'[10]Analisys QBR By Machine Report'!$C$109:$BD$166,49,FALSE)</f>
        <v>0</v>
      </c>
      <c r="BC33" s="13">
        <f ca="1">VLOOKUP($B33,'[10]Analisys QBR By Machine Report'!$C$109:$BD$166,50,FALSE)</f>
        <v>0</v>
      </c>
      <c r="BD33" s="13">
        <f ca="1">VLOOKUP($B33,'[10]Analisys QBR By Machine Report'!$C$109:$BD$166,51,FALSE)</f>
        <v>766</v>
      </c>
      <c r="BE33" s="13">
        <f ca="1">VLOOKUP($B33,'[10]Analisys QBR By Machine Report'!$C$109:$BD$166,52,FALSE)</f>
        <v>0</v>
      </c>
      <c r="BF33" s="13">
        <f ca="1">VLOOKUP($B33,'[10]Analisys QBR By Machine Report'!$C$109:$BD$166,53,FALSE)</f>
        <v>766</v>
      </c>
    </row>
    <row r="34" spans="1:58" x14ac:dyDescent="0.25">
      <c r="A34" s="12" t="s">
        <v>90</v>
      </c>
      <c r="B34" s="13">
        <f ca="1">VLOOKUP($B34,'[10]Analisys QBR By Machine Report'!$C$109:$BD$166,2,FALSE)</f>
        <v>34560</v>
      </c>
      <c r="C34" s="14">
        <f ca="1">VLOOKUP($B34,[10]Dasboard_QBR_Report!$B$109:$BL$166,3,FALSE)</f>
        <v>22320</v>
      </c>
      <c r="D34" s="13">
        <f ca="1">VLOOKUP($B34,'[10]Analisys QBR By Machine Report'!$C$109:$BD$166,3,FALSE)</f>
        <v>18713</v>
      </c>
      <c r="E34" s="14">
        <f ca="1">VLOOKUP($B34,[10]Dasboard_QBR_Report!$B$109:$BL$166,5,FALSE)</f>
        <v>6473</v>
      </c>
      <c r="F34" s="13">
        <f t="shared" ca="1" si="0"/>
        <v>15847</v>
      </c>
      <c r="G34" s="13">
        <f t="shared" ca="1" si="1"/>
        <v>829</v>
      </c>
      <c r="H34" s="13">
        <f ca="1">VLOOKUP($B34,'[10]Analisys QBR By Machine Report'!$C$109:$BD$166,4,FALSE)</f>
        <v>829</v>
      </c>
      <c r="I34" s="13">
        <f ca="1">VLOOKUP($B34,'[10]Analisys QBR By Machine Report'!$C$109:$BD$166,5,FALSE)</f>
        <v>253</v>
      </c>
      <c r="J34" s="13">
        <f ca="1">VLOOKUP($B34,'[10]Analisys QBR By Machine Report'!$C$109:$BD$166,6,FALSE)</f>
        <v>576</v>
      </c>
      <c r="K34" s="13">
        <f ca="1">VLOOKUP($B34,'[10]Analisys QBR By Machine Report'!$C$109:$BD$166,7,FALSE)</f>
        <v>0</v>
      </c>
      <c r="L34" s="13">
        <f ca="1">VLOOKUP($B34,'[10]Analisys QBR By Machine Report'!$C$109:$BD$166,8,FALSE)</f>
        <v>15018</v>
      </c>
      <c r="M34" s="13">
        <f ca="1">VLOOKUP($B34,'[10]Analisys QBR By Machine Report'!$C$109:$BD$166,9,FALSE)</f>
        <v>9598</v>
      </c>
      <c r="N34" s="13">
        <f ca="1">VLOOKUP($B34,[10]Dasboard_QBR_Report!$B$109:$BL$166,18,FALSE)</f>
        <v>5420</v>
      </c>
      <c r="O34" s="13">
        <f ca="1">VLOOKUP($B34,'[10]Analisys QBR By Machine Report'!$C$109:$BD$166,10,FALSE)</f>
        <v>398</v>
      </c>
      <c r="P34" s="13">
        <f ca="1">VLOOKUP($B34,'[10]Analisys QBR By Machine Report'!$C$109:$BD$166,11,FALSE)</f>
        <v>398</v>
      </c>
      <c r="Q34" s="13">
        <f ca="1">VLOOKUP($B34,'[10]Analisys QBR By Machine Report'!$C$109:$BD$166,12,FALSE)</f>
        <v>0</v>
      </c>
      <c r="R34" s="13">
        <f ca="1">VLOOKUP($B34,'[10]Analisys QBR By Machine Report'!$C$109:$BD$166,13,FALSE)</f>
        <v>0</v>
      </c>
      <c r="S34" s="13">
        <f ca="1">VLOOKUP($B34,'[10]Analisys QBR By Machine Report'!$C$109:$BD$166,14,FALSE)</f>
        <v>0</v>
      </c>
      <c r="T34" s="13">
        <f ca="1">VLOOKUP($B34,'[10]Analisys QBR By Machine Report'!$C$109:$BD$166,15,FALSE)</f>
        <v>0</v>
      </c>
      <c r="U34" s="13">
        <f ca="1">VLOOKUP($B34,'[10]Analisys QBR By Machine Report'!$C$109:$BD$166,16,FALSE)</f>
        <v>0</v>
      </c>
      <c r="V34" s="13">
        <f ca="1">VLOOKUP($B34,'[10]Analisys QBR By Machine Report'!$C$109:$BD$166,17,FALSE)</f>
        <v>0</v>
      </c>
      <c r="W34" s="13">
        <f ca="1">VLOOKUP($B34,'[10]Analisys QBR By Machine Report'!$C$109:$BD$166,18,FALSE)</f>
        <v>0</v>
      </c>
      <c r="X34" s="13">
        <f ca="1">VLOOKUP($B34,'[10]Analisys QBR By Machine Report'!$C$109:$BD$166,19,FALSE)</f>
        <v>0</v>
      </c>
      <c r="Y34" s="13">
        <f ca="1">VLOOKUP($B34,'[10]Analisys QBR By Machine Report'!$C$109:$BD$166,20,FALSE)</f>
        <v>0</v>
      </c>
      <c r="Z34" s="13">
        <f ca="1">VLOOKUP($B34,'[10]Analisys QBR By Machine Report'!$C$109:$BD$166,21,FALSE)</f>
        <v>4446</v>
      </c>
      <c r="AA34" s="13">
        <f ca="1">VLOOKUP($B34,'[10]Analisys QBR By Machine Report'!$C$109:$BD$166,22,FALSE)</f>
        <v>4163</v>
      </c>
      <c r="AB34" s="13">
        <f ca="1">VLOOKUP($B34,'[10]Analisys QBR By Machine Report'!$C$109:$BD$166,23,FALSE)</f>
        <v>252</v>
      </c>
      <c r="AC34" s="13">
        <f ca="1">VLOOKUP($B34,'[10]Analisys QBR By Machine Report'!$C$109:$BD$166,24,FALSE)</f>
        <v>0</v>
      </c>
      <c r="AD34" s="13">
        <f ca="1">VLOOKUP($B34,'[10]Analisys QBR By Machine Report'!$C$109:$BD$166,25,FALSE)</f>
        <v>0</v>
      </c>
      <c r="AE34" s="13">
        <f ca="1">VLOOKUP($B34,'[10]Analisys QBR By Machine Report'!$C$109:$BD$166,26,FALSE)</f>
        <v>31</v>
      </c>
      <c r="AF34" s="13">
        <f ca="1">VLOOKUP($B34,'[10]Analisys QBR By Machine Report'!$C$109:$BD$166,27,FALSE)</f>
        <v>0</v>
      </c>
      <c r="AG34" s="13">
        <f ca="1">VLOOKUP($B34,'[10]Analisys QBR By Machine Report'!$C$109:$BD$166,28,FALSE)</f>
        <v>0</v>
      </c>
      <c r="AH34" s="13">
        <f ca="1">VLOOKUP($B34,'[10]Analisys QBR By Machine Report'!$C$109:$BD$166,29,FALSE)</f>
        <v>0</v>
      </c>
      <c r="AI34" s="13">
        <f ca="1">VLOOKUP($B34,'[10]Analisys QBR By Machine Report'!$C$109:$BD$166,30,FALSE)</f>
        <v>576</v>
      </c>
      <c r="AJ34" s="13">
        <f ca="1">VLOOKUP($B34,'[10]Analisys QBR By Machine Report'!$C$109:$BD$166,31,FALSE)</f>
        <v>0</v>
      </c>
      <c r="AK34" s="13">
        <f ca="1">VLOOKUP($B34,'[10]Analisys QBR By Machine Report'!$C$109:$BD$166,32,FALSE)</f>
        <v>0</v>
      </c>
      <c r="AL34" s="13">
        <f ca="1">VLOOKUP($B34,'[10]Analisys QBR By Machine Report'!$C$109:$BD$166,33,FALSE)</f>
        <v>392</v>
      </c>
      <c r="AM34" s="13">
        <f ca="1">VLOOKUP($B34,'[10]Analisys QBR By Machine Report'!$C$109:$BD$166,34,FALSE)</f>
        <v>0</v>
      </c>
      <c r="AN34" s="13">
        <f ca="1">VLOOKUP($B34,'[10]Analisys QBR By Machine Report'!$C$109:$BD$166,35,FALSE)</f>
        <v>177</v>
      </c>
      <c r="AO34" s="13">
        <f ca="1">VLOOKUP($B34,'[10]Analisys QBR By Machine Report'!$C$109:$BD$166,36,FALSE)</f>
        <v>0</v>
      </c>
      <c r="AP34" s="13">
        <f ca="1">VLOOKUP($B34,'[10]Analisys QBR By Machine Report'!$C$109:$BD$166,37,FALSE)</f>
        <v>0</v>
      </c>
      <c r="AQ34" s="13">
        <f ca="1">VLOOKUP($B34,'[10]Analisys QBR By Machine Report'!$C$109:$BD$166,38,FALSE)</f>
        <v>0</v>
      </c>
      <c r="AR34" s="13">
        <f ca="1">VLOOKUP($B34,'[10]Analisys QBR By Machine Report'!$C$109:$BD$166,39,FALSE)</f>
        <v>0</v>
      </c>
      <c r="AS34" s="13">
        <f ca="1">VLOOKUP($B34,'[10]Analisys QBR By Machine Report'!$C$109:$BD$166,40,FALSE)</f>
        <v>7</v>
      </c>
      <c r="AT34" s="13">
        <f ca="1">VLOOKUP($B34,'[10]Analisys QBR By Machine Report'!$C$109:$BD$166,41,FALSE)</f>
        <v>0</v>
      </c>
      <c r="AU34" s="13">
        <f ca="1">VLOOKUP($B34,'[10]Analisys QBR By Machine Report'!$C$109:$BD$166,42,FALSE)</f>
        <v>0</v>
      </c>
      <c r="AV34" s="13">
        <f ca="1">VLOOKUP($B34,'[10]Analisys QBR By Machine Report'!$C$109:$BD$166,43,FALSE)</f>
        <v>0</v>
      </c>
      <c r="AW34" s="13">
        <f ca="1">VLOOKUP($B34,'[10]Analisys QBR By Machine Report'!$C$109:$BD$166,44,FALSE)</f>
        <v>0</v>
      </c>
      <c r="AX34" s="13">
        <f ca="1">VLOOKUP($B34,'[10]Analisys QBR By Machine Report'!$C$109:$BD$166,45,FALSE)</f>
        <v>0</v>
      </c>
      <c r="AY34" s="13">
        <f ca="1">VLOOKUP($B34,'[10]Analisys QBR By Machine Report'!$C$109:$BD$166,46,FALSE)</f>
        <v>0</v>
      </c>
      <c r="AZ34" s="13">
        <f ca="1">VLOOKUP($B34,'[10]Analisys QBR By Machine Report'!$C$109:$BD$166,47,FALSE)</f>
        <v>0</v>
      </c>
      <c r="BA34" s="13">
        <f ca="1">VLOOKUP($B34,'[10]Analisys QBR By Machine Report'!$C$109:$BD$166,48,FALSE)</f>
        <v>0</v>
      </c>
      <c r="BB34" s="13">
        <f ca="1">VLOOKUP($B34,'[10]Analisys QBR By Machine Report'!$C$109:$BD$166,49,FALSE)</f>
        <v>0</v>
      </c>
      <c r="BC34" s="13">
        <f ca="1">VLOOKUP($B34,'[10]Analisys QBR By Machine Report'!$C$109:$BD$166,50,FALSE)</f>
        <v>0</v>
      </c>
      <c r="BD34" s="13">
        <f ca="1">VLOOKUP($B34,'[10]Analisys QBR By Machine Report'!$C$109:$BD$166,51,FALSE)</f>
        <v>607</v>
      </c>
      <c r="BE34" s="13">
        <f ca="1">VLOOKUP($B34,'[10]Analisys QBR By Machine Report'!$C$109:$BD$166,52,FALSE)</f>
        <v>0</v>
      </c>
      <c r="BF34" s="13">
        <f ca="1">VLOOKUP($B34,'[10]Analisys QBR By Machine Report'!$C$109:$BD$166,53,FALSE)</f>
        <v>607</v>
      </c>
    </row>
    <row r="35" spans="1:58" x14ac:dyDescent="0.25">
      <c r="A35" s="12" t="s">
        <v>91</v>
      </c>
      <c r="B35" s="13">
        <f ca="1">VLOOKUP($B35,'[10]Analisys QBR By Machine Report'!$C$109:$BD$166,2,FALSE)</f>
        <v>34560</v>
      </c>
      <c r="C35" s="14">
        <f ca="1">VLOOKUP($B35,[10]Dasboard_QBR_Report!$B$109:$BL$166,3,FALSE)</f>
        <v>22320</v>
      </c>
      <c r="D35" s="13">
        <f ca="1">VLOOKUP($B35,'[10]Analisys QBR By Machine Report'!$C$109:$BD$166,3,FALSE)</f>
        <v>24155</v>
      </c>
      <c r="E35" s="14">
        <f ca="1">VLOOKUP($B35,[10]Dasboard_QBR_Report!$B$109:$BL$166,5,FALSE)</f>
        <v>11915</v>
      </c>
      <c r="F35" s="13">
        <f t="shared" ca="1" si="0"/>
        <v>10405</v>
      </c>
      <c r="G35" s="13">
        <f t="shared" ca="1" si="1"/>
        <v>1895</v>
      </c>
      <c r="H35" s="13">
        <f ca="1">VLOOKUP($B35,'[10]Analisys QBR By Machine Report'!$C$109:$BD$166,4,FALSE)</f>
        <v>1895</v>
      </c>
      <c r="I35" s="13">
        <f ca="1">VLOOKUP($B35,'[10]Analisys QBR By Machine Report'!$C$109:$BD$166,5,FALSE)</f>
        <v>35</v>
      </c>
      <c r="J35" s="13">
        <f ca="1">VLOOKUP($B35,'[10]Analisys QBR By Machine Report'!$C$109:$BD$166,6,FALSE)</f>
        <v>1860</v>
      </c>
      <c r="K35" s="13">
        <f ca="1">VLOOKUP($B35,'[10]Analisys QBR By Machine Report'!$C$109:$BD$166,7,FALSE)</f>
        <v>0</v>
      </c>
      <c r="L35" s="13">
        <f ca="1">VLOOKUP($B35,'[10]Analisys QBR By Machine Report'!$C$109:$BD$166,8,FALSE)</f>
        <v>8510</v>
      </c>
      <c r="M35" s="13">
        <f ca="1">VLOOKUP($B35,'[10]Analisys QBR By Machine Report'!$C$109:$BD$166,9,FALSE)</f>
        <v>1171</v>
      </c>
      <c r="N35" s="13">
        <f ca="1">VLOOKUP($B35,[10]Dasboard_QBR_Report!$B$109:$BL$166,18,FALSE)</f>
        <v>7339</v>
      </c>
      <c r="O35" s="13">
        <f ca="1">VLOOKUP($B35,'[10]Analisys QBR By Machine Report'!$C$109:$BD$166,10,FALSE)</f>
        <v>642</v>
      </c>
      <c r="P35" s="13">
        <f ca="1">VLOOKUP($B35,'[10]Analisys QBR By Machine Report'!$C$109:$BD$166,11,FALSE)</f>
        <v>597</v>
      </c>
      <c r="Q35" s="13">
        <f ca="1">VLOOKUP($B35,'[10]Analisys QBR By Machine Report'!$C$109:$BD$166,12,FALSE)</f>
        <v>0</v>
      </c>
      <c r="R35" s="13">
        <f ca="1">VLOOKUP($B35,'[10]Analisys QBR By Machine Report'!$C$109:$BD$166,13,FALSE)</f>
        <v>45</v>
      </c>
      <c r="S35" s="13">
        <f ca="1">VLOOKUP($B35,'[10]Analisys QBR By Machine Report'!$C$109:$BD$166,14,FALSE)</f>
        <v>0</v>
      </c>
      <c r="T35" s="13">
        <f ca="1">VLOOKUP($B35,'[10]Analisys QBR By Machine Report'!$C$109:$BD$166,15,FALSE)</f>
        <v>0</v>
      </c>
      <c r="U35" s="13">
        <f ca="1">VLOOKUP($B35,'[10]Analisys QBR By Machine Report'!$C$109:$BD$166,16,FALSE)</f>
        <v>0</v>
      </c>
      <c r="V35" s="13">
        <f ca="1">VLOOKUP($B35,'[10]Analisys QBR By Machine Report'!$C$109:$BD$166,17,FALSE)</f>
        <v>0</v>
      </c>
      <c r="W35" s="13">
        <f ca="1">VLOOKUP($B35,'[10]Analisys QBR By Machine Report'!$C$109:$BD$166,18,FALSE)</f>
        <v>0</v>
      </c>
      <c r="X35" s="13">
        <f ca="1">VLOOKUP($B35,'[10]Analisys QBR By Machine Report'!$C$109:$BD$166,19,FALSE)</f>
        <v>0</v>
      </c>
      <c r="Y35" s="13">
        <f ca="1">VLOOKUP($B35,'[10]Analisys QBR By Machine Report'!$C$109:$BD$166,20,FALSE)</f>
        <v>0</v>
      </c>
      <c r="Z35" s="13">
        <f ca="1">VLOOKUP($B35,'[10]Analisys QBR By Machine Report'!$C$109:$BD$166,21,FALSE)</f>
        <v>2019</v>
      </c>
      <c r="AA35" s="13">
        <f ca="1">VLOOKUP($B35,'[10]Analisys QBR By Machine Report'!$C$109:$BD$166,22,FALSE)</f>
        <v>1254</v>
      </c>
      <c r="AB35" s="13">
        <f ca="1">VLOOKUP($B35,'[10]Analisys QBR By Machine Report'!$C$109:$BD$166,23,FALSE)</f>
        <v>240</v>
      </c>
      <c r="AC35" s="13">
        <f ca="1">VLOOKUP($B35,'[10]Analisys QBR By Machine Report'!$C$109:$BD$166,24,FALSE)</f>
        <v>40</v>
      </c>
      <c r="AD35" s="13">
        <f ca="1">VLOOKUP($B35,'[10]Analisys QBR By Machine Report'!$C$109:$BD$166,25,FALSE)</f>
        <v>30</v>
      </c>
      <c r="AE35" s="13">
        <f ca="1">VLOOKUP($B35,'[10]Analisys QBR By Machine Report'!$C$109:$BD$166,26,FALSE)</f>
        <v>455</v>
      </c>
      <c r="AF35" s="13">
        <f ca="1">VLOOKUP($B35,'[10]Analisys QBR By Machine Report'!$C$109:$BD$166,27,FALSE)</f>
        <v>0</v>
      </c>
      <c r="AG35" s="13">
        <f ca="1">VLOOKUP($B35,'[10]Analisys QBR By Machine Report'!$C$109:$BD$166,28,FALSE)</f>
        <v>0</v>
      </c>
      <c r="AH35" s="13">
        <f ca="1">VLOOKUP($B35,'[10]Analisys QBR By Machine Report'!$C$109:$BD$166,29,FALSE)</f>
        <v>0</v>
      </c>
      <c r="AI35" s="13">
        <f ca="1">VLOOKUP($B35,'[10]Analisys QBR By Machine Report'!$C$109:$BD$166,30,FALSE)</f>
        <v>4678</v>
      </c>
      <c r="AJ35" s="13">
        <f ca="1">VLOOKUP($B35,'[10]Analisys QBR By Machine Report'!$C$109:$BD$166,31,FALSE)</f>
        <v>40</v>
      </c>
      <c r="AK35" s="13">
        <f ca="1">VLOOKUP($B35,'[10]Analisys QBR By Machine Report'!$C$109:$BD$166,32,FALSE)</f>
        <v>0</v>
      </c>
      <c r="AL35" s="13">
        <f ca="1">VLOOKUP($B35,'[10]Analisys QBR By Machine Report'!$C$109:$BD$166,33,FALSE)</f>
        <v>472</v>
      </c>
      <c r="AM35" s="13">
        <f ca="1">VLOOKUP($B35,'[10]Analisys QBR By Machine Report'!$C$109:$BD$166,34,FALSE)</f>
        <v>30</v>
      </c>
      <c r="AN35" s="13">
        <f ca="1">VLOOKUP($B35,'[10]Analisys QBR By Machine Report'!$C$109:$BD$166,35,FALSE)</f>
        <v>374</v>
      </c>
      <c r="AO35" s="13">
        <f ca="1">VLOOKUP($B35,'[10]Analisys QBR By Machine Report'!$C$109:$BD$166,36,FALSE)</f>
        <v>1732</v>
      </c>
      <c r="AP35" s="13">
        <f ca="1">VLOOKUP($B35,'[10]Analisys QBR By Machine Report'!$C$109:$BD$166,37,FALSE)</f>
        <v>0</v>
      </c>
      <c r="AQ35" s="13">
        <f ca="1">VLOOKUP($B35,'[10]Analisys QBR By Machine Report'!$C$109:$BD$166,38,FALSE)</f>
        <v>0</v>
      </c>
      <c r="AR35" s="13">
        <f ca="1">VLOOKUP($B35,'[10]Analisys QBR By Machine Report'!$C$109:$BD$166,39,FALSE)</f>
        <v>1680</v>
      </c>
      <c r="AS35" s="13">
        <f ca="1">VLOOKUP($B35,'[10]Analisys QBR By Machine Report'!$C$109:$BD$166,40,FALSE)</f>
        <v>350</v>
      </c>
      <c r="AT35" s="13">
        <f ca="1">VLOOKUP($B35,'[10]Analisys QBR By Machine Report'!$C$109:$BD$166,41,FALSE)</f>
        <v>0</v>
      </c>
      <c r="AU35" s="13">
        <f ca="1">VLOOKUP($B35,'[10]Analisys QBR By Machine Report'!$C$109:$BD$166,42,FALSE)</f>
        <v>0</v>
      </c>
      <c r="AV35" s="13">
        <f ca="1">VLOOKUP($B35,'[10]Analisys QBR By Machine Report'!$C$109:$BD$166,43,FALSE)</f>
        <v>0</v>
      </c>
      <c r="AW35" s="13">
        <f ca="1">VLOOKUP($B35,'[10]Analisys QBR By Machine Report'!$C$109:$BD$166,44,FALSE)</f>
        <v>0</v>
      </c>
      <c r="AX35" s="13">
        <f ca="1">VLOOKUP($B35,'[10]Analisys QBR By Machine Report'!$C$109:$BD$166,45,FALSE)</f>
        <v>0</v>
      </c>
      <c r="AY35" s="13">
        <f ca="1">VLOOKUP($B35,'[10]Analisys QBR By Machine Report'!$C$109:$BD$166,46,FALSE)</f>
        <v>0</v>
      </c>
      <c r="AZ35" s="13">
        <f ca="1">VLOOKUP($B35,'[10]Analisys QBR By Machine Report'!$C$109:$BD$166,47,FALSE)</f>
        <v>0</v>
      </c>
      <c r="BA35" s="13">
        <f ca="1">VLOOKUP($B35,'[10]Analisys QBR By Machine Report'!$C$109:$BD$166,48,FALSE)</f>
        <v>0</v>
      </c>
      <c r="BB35" s="13">
        <f ca="1">VLOOKUP($B35,'[10]Analisys QBR By Machine Report'!$C$109:$BD$166,49,FALSE)</f>
        <v>0</v>
      </c>
      <c r="BC35" s="13">
        <f ca="1">VLOOKUP($B35,'[10]Analisys QBR By Machine Report'!$C$109:$BD$166,50,FALSE)</f>
        <v>0</v>
      </c>
      <c r="BD35" s="13">
        <f ca="1">VLOOKUP($B35,'[10]Analisys QBR By Machine Report'!$C$109:$BD$166,51,FALSE)</f>
        <v>23</v>
      </c>
      <c r="BE35" s="13">
        <f ca="1">VLOOKUP($B35,'[10]Analisys QBR By Machine Report'!$C$109:$BD$166,52,FALSE)</f>
        <v>0</v>
      </c>
      <c r="BF35" s="13">
        <f ca="1">VLOOKUP($B35,'[10]Analisys QBR By Machine Report'!$C$109:$BD$166,53,FALSE)</f>
        <v>23</v>
      </c>
    </row>
    <row r="36" spans="1:58" x14ac:dyDescent="0.25">
      <c r="A36" s="9" t="s">
        <v>92</v>
      </c>
      <c r="B36" s="10">
        <f ca="1">VLOOKUP($B36,'[10]Analisys QBR By Machine Report'!$C$109:$BD$166,2,FALSE)</f>
        <v>207360</v>
      </c>
      <c r="C36" s="11">
        <f ca="1">VLOOKUP($B36,[10]Dasboard_QBR_Report!$B$109:$BL$166,3,FALSE)</f>
        <v>79920</v>
      </c>
      <c r="D36" s="10">
        <f ca="1">VLOOKUP($B36,'[10]Analisys QBR By Machine Report'!$C$109:$BD$166,3,FALSE)</f>
        <v>157770</v>
      </c>
      <c r="E36" s="11">
        <f ca="1">VLOOKUP($B36,[10]Dasboard_QBR_Report!$B$109:$BL$166,5,FALSE)</f>
        <v>30330</v>
      </c>
      <c r="F36" s="10">
        <f t="shared" ca="1" si="0"/>
        <v>49590</v>
      </c>
      <c r="G36" s="10">
        <f t="shared" ca="1" si="1"/>
        <v>7265</v>
      </c>
      <c r="H36" s="10">
        <f ca="1">VLOOKUP($B36,'[10]Analisys QBR By Machine Report'!$C$109:$BD$166,4,FALSE)</f>
        <v>7265</v>
      </c>
      <c r="I36" s="10">
        <f ca="1">VLOOKUP($B36,'[10]Analisys QBR By Machine Report'!$C$109:$BD$166,5,FALSE)</f>
        <v>1055</v>
      </c>
      <c r="J36" s="10">
        <f ca="1">VLOOKUP($B36,'[10]Analisys QBR By Machine Report'!$C$109:$BD$166,6,FALSE)</f>
        <v>6210</v>
      </c>
      <c r="K36" s="10">
        <f ca="1">VLOOKUP($B36,'[10]Analisys QBR By Machine Report'!$C$109:$BD$166,7,FALSE)</f>
        <v>0</v>
      </c>
      <c r="L36" s="10">
        <f ca="1">VLOOKUP($B36,'[10]Analisys QBR By Machine Report'!$C$109:$BD$166,8,FALSE)</f>
        <v>42325</v>
      </c>
      <c r="M36" s="10">
        <f ca="1">VLOOKUP($B36,'[10]Analisys QBR By Machine Report'!$C$109:$BD$166,9,FALSE)</f>
        <v>26590</v>
      </c>
      <c r="N36" s="10">
        <f ca="1">VLOOKUP($B36,[10]Dasboard_QBR_Report!$B$109:$BL$166,18,FALSE)</f>
        <v>15735</v>
      </c>
      <c r="O36" s="10">
        <f ca="1">VLOOKUP($B36,'[10]Analisys QBR By Machine Report'!$C$109:$BD$166,10,FALSE)</f>
        <v>3225</v>
      </c>
      <c r="P36" s="10">
        <f ca="1">VLOOKUP($B36,'[10]Analisys QBR By Machine Report'!$C$109:$BD$166,11,FALSE)</f>
        <v>1656</v>
      </c>
      <c r="Q36" s="10">
        <f ca="1">VLOOKUP($B36,'[10]Analisys QBR By Machine Report'!$C$109:$BD$166,12,FALSE)</f>
        <v>122</v>
      </c>
      <c r="R36" s="10">
        <f ca="1">VLOOKUP($B36,'[10]Analisys QBR By Machine Report'!$C$109:$BD$166,13,FALSE)</f>
        <v>823</v>
      </c>
      <c r="S36" s="10">
        <f ca="1">VLOOKUP($B36,'[10]Analisys QBR By Machine Report'!$C$109:$BD$166,14,FALSE)</f>
        <v>624</v>
      </c>
      <c r="T36" s="10">
        <f ca="1">VLOOKUP($B36,'[10]Analisys QBR By Machine Report'!$C$109:$BD$166,15,FALSE)</f>
        <v>252</v>
      </c>
      <c r="U36" s="10">
        <f ca="1">VLOOKUP($B36,'[10]Analisys QBR By Machine Report'!$C$109:$BD$166,16,FALSE)</f>
        <v>110</v>
      </c>
      <c r="V36" s="10">
        <f ca="1">VLOOKUP($B36,'[10]Analisys QBR By Machine Report'!$C$109:$BD$166,17,FALSE)</f>
        <v>142</v>
      </c>
      <c r="W36" s="10">
        <f ca="1">VLOOKUP($B36,'[10]Analisys QBR By Machine Report'!$C$109:$BD$166,18,FALSE)</f>
        <v>0</v>
      </c>
      <c r="X36" s="10">
        <f ca="1">VLOOKUP($B36,'[10]Analisys QBR By Machine Report'!$C$109:$BD$166,19,FALSE)</f>
        <v>0</v>
      </c>
      <c r="Y36" s="10">
        <f ca="1">VLOOKUP($B36,'[10]Analisys QBR By Machine Report'!$C$109:$BD$166,20,FALSE)</f>
        <v>0</v>
      </c>
      <c r="Z36" s="10">
        <f ca="1">VLOOKUP($B36,'[10]Analisys QBR By Machine Report'!$C$109:$BD$166,21,FALSE)</f>
        <v>3517</v>
      </c>
      <c r="AA36" s="10">
        <f ca="1">VLOOKUP($B36,'[10]Analisys QBR By Machine Report'!$C$109:$BD$166,22,FALSE)</f>
        <v>1295</v>
      </c>
      <c r="AB36" s="10">
        <f ca="1">VLOOKUP($B36,'[10]Analisys QBR By Machine Report'!$C$109:$BD$166,23,FALSE)</f>
        <v>1909</v>
      </c>
      <c r="AC36" s="10">
        <f ca="1">VLOOKUP($B36,'[10]Analisys QBR By Machine Report'!$C$109:$BD$166,24,FALSE)</f>
        <v>0</v>
      </c>
      <c r="AD36" s="10">
        <f ca="1">VLOOKUP($B36,'[10]Analisys QBR By Machine Report'!$C$109:$BD$166,25,FALSE)</f>
        <v>0</v>
      </c>
      <c r="AE36" s="10">
        <f ca="1">VLOOKUP($B36,'[10]Analisys QBR By Machine Report'!$C$109:$BD$166,26,FALSE)</f>
        <v>313</v>
      </c>
      <c r="AF36" s="10">
        <f ca="1">VLOOKUP($B36,'[10]Analisys QBR By Machine Report'!$C$109:$BD$166,27,FALSE)</f>
        <v>0</v>
      </c>
      <c r="AG36" s="10">
        <f ca="1">VLOOKUP($B36,'[10]Analisys QBR By Machine Report'!$C$109:$BD$166,28,FALSE)</f>
        <v>0</v>
      </c>
      <c r="AH36" s="10">
        <f ca="1">VLOOKUP($B36,'[10]Analisys QBR By Machine Report'!$C$109:$BD$166,29,FALSE)</f>
        <v>0</v>
      </c>
      <c r="AI36" s="10">
        <f ca="1">VLOOKUP($B36,'[10]Analisys QBR By Machine Report'!$C$109:$BD$166,30,FALSE)</f>
        <v>8741</v>
      </c>
      <c r="AJ36" s="10">
        <f ca="1">VLOOKUP($B36,'[10]Analisys QBR By Machine Report'!$C$109:$BD$166,31,FALSE)</f>
        <v>0</v>
      </c>
      <c r="AK36" s="10">
        <f ca="1">VLOOKUP($B36,'[10]Analisys QBR By Machine Report'!$C$109:$BD$166,32,FALSE)</f>
        <v>485</v>
      </c>
      <c r="AL36" s="10">
        <f ca="1">VLOOKUP($B36,'[10]Analisys QBR By Machine Report'!$C$109:$BD$166,33,FALSE)</f>
        <v>2485</v>
      </c>
      <c r="AM36" s="10">
        <f ca="1">VLOOKUP($B36,'[10]Analisys QBR By Machine Report'!$C$109:$BD$166,34,FALSE)</f>
        <v>0</v>
      </c>
      <c r="AN36" s="10">
        <f ca="1">VLOOKUP($B36,'[10]Analisys QBR By Machine Report'!$C$109:$BD$166,35,FALSE)</f>
        <v>1485</v>
      </c>
      <c r="AO36" s="10">
        <f ca="1">VLOOKUP($B36,'[10]Analisys QBR By Machine Report'!$C$109:$BD$166,36,FALSE)</f>
        <v>780</v>
      </c>
      <c r="AP36" s="10">
        <f ca="1">VLOOKUP($B36,'[10]Analisys QBR By Machine Report'!$C$109:$BD$166,37,FALSE)</f>
        <v>110</v>
      </c>
      <c r="AQ36" s="10">
        <f ca="1">VLOOKUP($B36,'[10]Analisys QBR By Machine Report'!$C$109:$BD$166,38,FALSE)</f>
        <v>0</v>
      </c>
      <c r="AR36" s="10">
        <f ca="1">VLOOKUP($B36,'[10]Analisys QBR By Machine Report'!$C$109:$BD$166,39,FALSE)</f>
        <v>1010</v>
      </c>
      <c r="AS36" s="10">
        <f ca="1">VLOOKUP($B36,'[10]Analisys QBR By Machine Report'!$C$109:$BD$166,40,FALSE)</f>
        <v>795</v>
      </c>
      <c r="AT36" s="10">
        <f ca="1">VLOOKUP($B36,'[10]Analisys QBR By Machine Report'!$C$109:$BD$166,41,FALSE)</f>
        <v>0</v>
      </c>
      <c r="AU36" s="10">
        <f ca="1">VLOOKUP($B36,'[10]Analisys QBR By Machine Report'!$C$109:$BD$166,42,FALSE)</f>
        <v>0</v>
      </c>
      <c r="AV36" s="10">
        <f ca="1">VLOOKUP($B36,'[10]Analisys QBR By Machine Report'!$C$109:$BD$166,43,FALSE)</f>
        <v>0</v>
      </c>
      <c r="AW36" s="10">
        <f ca="1">VLOOKUP($B36,'[10]Analisys QBR By Machine Report'!$C$109:$BD$166,44,FALSE)</f>
        <v>0</v>
      </c>
      <c r="AX36" s="10">
        <f ca="1">VLOOKUP($B36,'[10]Analisys QBR By Machine Report'!$C$109:$BD$166,45,FALSE)</f>
        <v>0</v>
      </c>
      <c r="AY36" s="10">
        <f ca="1">VLOOKUP($B36,'[10]Analisys QBR By Machine Report'!$C$109:$BD$166,46,FALSE)</f>
        <v>0</v>
      </c>
      <c r="AZ36" s="10">
        <f ca="1">VLOOKUP($B36,'[10]Analisys QBR By Machine Report'!$C$109:$BD$166,47,FALSE)</f>
        <v>1591</v>
      </c>
      <c r="BA36" s="10">
        <f ca="1">VLOOKUP($B36,'[10]Analisys QBR By Machine Report'!$C$109:$BD$166,48,FALSE)</f>
        <v>0</v>
      </c>
      <c r="BB36" s="10">
        <f ca="1">VLOOKUP($B36,'[10]Analisys QBR By Machine Report'!$C$109:$BD$166,49,FALSE)</f>
        <v>0</v>
      </c>
      <c r="BC36" s="10">
        <f ca="1">VLOOKUP($B36,'[10]Analisys QBR By Machine Report'!$C$109:$BD$166,50,FALSE)</f>
        <v>0</v>
      </c>
      <c r="BD36" s="10">
        <f ca="1">VLOOKUP($B36,'[10]Analisys QBR By Machine Report'!$C$109:$BD$166,51,FALSE)</f>
        <v>1349527</v>
      </c>
      <c r="BE36" s="10">
        <f ca="1">VLOOKUP($B36,'[10]Analisys QBR By Machine Report'!$C$109:$BD$166,52,FALSE)</f>
        <v>200</v>
      </c>
      <c r="BF36" s="10">
        <f ca="1">VLOOKUP($B36,'[10]Analisys QBR By Machine Report'!$C$109:$BD$166,53,FALSE)</f>
        <v>1349327</v>
      </c>
    </row>
    <row r="37" spans="1:58" x14ac:dyDescent="0.25">
      <c r="A37" s="12" t="s">
        <v>93</v>
      </c>
      <c r="B37" s="13">
        <f ca="1">VLOOKUP($B37,'[10]Analisys QBR By Machine Report'!$C$109:$BD$166,2,FALSE)</f>
        <v>34560</v>
      </c>
      <c r="C37" s="14">
        <f ca="1">VLOOKUP($B37,[10]Dasboard_QBR_Report!$B$109:$BL$166,3,FALSE)</f>
        <v>11520</v>
      </c>
      <c r="D37" s="13">
        <f ca="1">VLOOKUP($B37,'[10]Analisys QBR By Machine Report'!$C$109:$BD$166,3,FALSE)</f>
        <v>19020</v>
      </c>
      <c r="E37" s="14">
        <f ca="1">VLOOKUP($B37,[10]Dasboard_QBR_Report!$B$109:$BL$166,5,FALSE)</f>
        <v>-4020</v>
      </c>
      <c r="F37" s="13">
        <f t="shared" ca="1" si="0"/>
        <v>15540</v>
      </c>
      <c r="G37" s="13">
        <f t="shared" ca="1" si="1"/>
        <v>420</v>
      </c>
      <c r="H37" s="13">
        <f ca="1">VLOOKUP($B37,'[10]Analisys QBR By Machine Report'!$C$109:$BD$166,4,FALSE)</f>
        <v>420</v>
      </c>
      <c r="I37" s="13">
        <f ca="1">VLOOKUP($B37,'[10]Analisys QBR By Machine Report'!$C$109:$BD$166,5,FALSE)</f>
        <v>330</v>
      </c>
      <c r="J37" s="13">
        <f ca="1">VLOOKUP($B37,'[10]Analisys QBR By Machine Report'!$C$109:$BD$166,6,FALSE)</f>
        <v>90</v>
      </c>
      <c r="K37" s="13">
        <f ca="1">VLOOKUP($B37,'[10]Analisys QBR By Machine Report'!$C$109:$BD$166,7,FALSE)</f>
        <v>0</v>
      </c>
      <c r="L37" s="13">
        <f ca="1">VLOOKUP($B37,'[10]Analisys QBR By Machine Report'!$C$109:$BD$166,8,FALSE)</f>
        <v>15120</v>
      </c>
      <c r="M37" s="13">
        <f ca="1">VLOOKUP($B37,'[10]Analisys QBR By Machine Report'!$C$109:$BD$166,9,FALSE)</f>
        <v>10836</v>
      </c>
      <c r="N37" s="13">
        <f ca="1">VLOOKUP($B37,[10]Dasboard_QBR_Report!$B$109:$BL$166,18,FALSE)</f>
        <v>4284</v>
      </c>
      <c r="O37" s="13">
        <f ca="1">VLOOKUP($B37,'[10]Analisys QBR By Machine Report'!$C$109:$BD$166,10,FALSE)</f>
        <v>348</v>
      </c>
      <c r="P37" s="13">
        <f ca="1">VLOOKUP($B37,'[10]Analisys QBR By Machine Report'!$C$109:$BD$166,11,FALSE)</f>
        <v>348</v>
      </c>
      <c r="Q37" s="13">
        <f ca="1">VLOOKUP($B37,'[10]Analisys QBR By Machine Report'!$C$109:$BD$166,12,FALSE)</f>
        <v>0</v>
      </c>
      <c r="R37" s="13">
        <f ca="1">VLOOKUP($B37,'[10]Analisys QBR By Machine Report'!$C$109:$BD$166,13,FALSE)</f>
        <v>0</v>
      </c>
      <c r="S37" s="13">
        <f ca="1">VLOOKUP($B37,'[10]Analisys QBR By Machine Report'!$C$109:$BD$166,14,FALSE)</f>
        <v>0</v>
      </c>
      <c r="T37" s="13">
        <f ca="1">VLOOKUP($B37,'[10]Analisys QBR By Machine Report'!$C$109:$BD$166,15,FALSE)</f>
        <v>0</v>
      </c>
      <c r="U37" s="13">
        <f ca="1">VLOOKUP($B37,'[10]Analisys QBR By Machine Report'!$C$109:$BD$166,16,FALSE)</f>
        <v>0</v>
      </c>
      <c r="V37" s="13">
        <f ca="1">VLOOKUP($B37,'[10]Analisys QBR By Machine Report'!$C$109:$BD$166,17,FALSE)</f>
        <v>0</v>
      </c>
      <c r="W37" s="13">
        <f ca="1">VLOOKUP($B37,'[10]Analisys QBR By Machine Report'!$C$109:$BD$166,18,FALSE)</f>
        <v>0</v>
      </c>
      <c r="X37" s="13">
        <f ca="1">VLOOKUP($B37,'[10]Analisys QBR By Machine Report'!$C$109:$BD$166,19,FALSE)</f>
        <v>0</v>
      </c>
      <c r="Y37" s="13">
        <f ca="1">VLOOKUP($B37,'[10]Analisys QBR By Machine Report'!$C$109:$BD$166,20,FALSE)</f>
        <v>0</v>
      </c>
      <c r="Z37" s="13">
        <f ca="1">VLOOKUP($B37,'[10]Analisys QBR By Machine Report'!$C$109:$BD$166,21,FALSE)</f>
        <v>1222</v>
      </c>
      <c r="AA37" s="13">
        <f ca="1">VLOOKUP($B37,'[10]Analisys QBR By Machine Report'!$C$109:$BD$166,22,FALSE)</f>
        <v>364</v>
      </c>
      <c r="AB37" s="13">
        <f ca="1">VLOOKUP($B37,'[10]Analisys QBR By Machine Report'!$C$109:$BD$166,23,FALSE)</f>
        <v>768</v>
      </c>
      <c r="AC37" s="13">
        <f ca="1">VLOOKUP($B37,'[10]Analisys QBR By Machine Report'!$C$109:$BD$166,24,FALSE)</f>
        <v>0</v>
      </c>
      <c r="AD37" s="13">
        <f ca="1">VLOOKUP($B37,'[10]Analisys QBR By Machine Report'!$C$109:$BD$166,25,FALSE)</f>
        <v>0</v>
      </c>
      <c r="AE37" s="13">
        <f ca="1">VLOOKUP($B37,'[10]Analisys QBR By Machine Report'!$C$109:$BD$166,26,FALSE)</f>
        <v>90</v>
      </c>
      <c r="AF37" s="13">
        <f ca="1">VLOOKUP($B37,'[10]Analisys QBR By Machine Report'!$C$109:$BD$166,27,FALSE)</f>
        <v>0</v>
      </c>
      <c r="AG37" s="13">
        <f ca="1">VLOOKUP($B37,'[10]Analisys QBR By Machine Report'!$C$109:$BD$166,28,FALSE)</f>
        <v>0</v>
      </c>
      <c r="AH37" s="13">
        <f ca="1">VLOOKUP($B37,'[10]Analisys QBR By Machine Report'!$C$109:$BD$166,29,FALSE)</f>
        <v>0</v>
      </c>
      <c r="AI37" s="13">
        <f ca="1">VLOOKUP($B37,'[10]Analisys QBR By Machine Report'!$C$109:$BD$166,30,FALSE)</f>
        <v>2714</v>
      </c>
      <c r="AJ37" s="13">
        <f ca="1">VLOOKUP($B37,'[10]Analisys QBR By Machine Report'!$C$109:$BD$166,31,FALSE)</f>
        <v>0</v>
      </c>
      <c r="AK37" s="13">
        <f ca="1">VLOOKUP($B37,'[10]Analisys QBR By Machine Report'!$C$109:$BD$166,32,FALSE)</f>
        <v>135</v>
      </c>
      <c r="AL37" s="13">
        <f ca="1">VLOOKUP($B37,'[10]Analisys QBR By Machine Report'!$C$109:$BD$166,33,FALSE)</f>
        <v>935</v>
      </c>
      <c r="AM37" s="13">
        <f ca="1">VLOOKUP($B37,'[10]Analisys QBR By Machine Report'!$C$109:$BD$166,34,FALSE)</f>
        <v>0</v>
      </c>
      <c r="AN37" s="13">
        <f ca="1">VLOOKUP($B37,'[10]Analisys QBR By Machine Report'!$C$109:$BD$166,35,FALSE)</f>
        <v>600</v>
      </c>
      <c r="AO37" s="13">
        <f ca="1">VLOOKUP($B37,'[10]Analisys QBR By Machine Report'!$C$109:$BD$166,36,FALSE)</f>
        <v>0</v>
      </c>
      <c r="AP37" s="13">
        <f ca="1">VLOOKUP($B37,'[10]Analisys QBR By Machine Report'!$C$109:$BD$166,37,FALSE)</f>
        <v>45</v>
      </c>
      <c r="AQ37" s="13">
        <f ca="1">VLOOKUP($B37,'[10]Analisys QBR By Machine Report'!$C$109:$BD$166,38,FALSE)</f>
        <v>0</v>
      </c>
      <c r="AR37" s="13">
        <f ca="1">VLOOKUP($B37,'[10]Analisys QBR By Machine Report'!$C$109:$BD$166,39,FALSE)</f>
        <v>15</v>
      </c>
      <c r="AS37" s="13">
        <f ca="1">VLOOKUP($B37,'[10]Analisys QBR By Machine Report'!$C$109:$BD$166,40,FALSE)</f>
        <v>291</v>
      </c>
      <c r="AT37" s="13">
        <f ca="1">VLOOKUP($B37,'[10]Analisys QBR By Machine Report'!$C$109:$BD$166,41,FALSE)</f>
        <v>0</v>
      </c>
      <c r="AU37" s="13">
        <f ca="1">VLOOKUP($B37,'[10]Analisys QBR By Machine Report'!$C$109:$BD$166,42,FALSE)</f>
        <v>0</v>
      </c>
      <c r="AV37" s="13">
        <f ca="1">VLOOKUP($B37,'[10]Analisys QBR By Machine Report'!$C$109:$BD$166,43,FALSE)</f>
        <v>0</v>
      </c>
      <c r="AW37" s="13">
        <f ca="1">VLOOKUP($B37,'[10]Analisys QBR By Machine Report'!$C$109:$BD$166,44,FALSE)</f>
        <v>0</v>
      </c>
      <c r="AX37" s="13">
        <f ca="1">VLOOKUP($B37,'[10]Analisys QBR By Machine Report'!$C$109:$BD$166,45,FALSE)</f>
        <v>0</v>
      </c>
      <c r="AY37" s="13">
        <f ca="1">VLOOKUP($B37,'[10]Analisys QBR By Machine Report'!$C$109:$BD$166,46,FALSE)</f>
        <v>0</v>
      </c>
      <c r="AZ37" s="13">
        <f ca="1">VLOOKUP($B37,'[10]Analisys QBR By Machine Report'!$C$109:$BD$166,47,FALSE)</f>
        <v>693</v>
      </c>
      <c r="BA37" s="13">
        <f ca="1">VLOOKUP($B37,'[10]Analisys QBR By Machine Report'!$C$109:$BD$166,48,FALSE)</f>
        <v>0</v>
      </c>
      <c r="BB37" s="13">
        <f ca="1">VLOOKUP($B37,'[10]Analisys QBR By Machine Report'!$C$109:$BD$166,49,FALSE)</f>
        <v>0</v>
      </c>
      <c r="BC37" s="13">
        <f ca="1">VLOOKUP($B37,'[10]Analisys QBR By Machine Report'!$C$109:$BD$166,50,FALSE)</f>
        <v>0</v>
      </c>
      <c r="BD37" s="13">
        <f ca="1">VLOOKUP($B37,'[10]Analisys QBR By Machine Report'!$C$109:$BD$166,51,FALSE)</f>
        <v>360292</v>
      </c>
      <c r="BE37" s="13">
        <f ca="1">VLOOKUP($B37,'[10]Analisys QBR By Machine Report'!$C$109:$BD$166,52,FALSE)</f>
        <v>74</v>
      </c>
      <c r="BF37" s="13">
        <f ca="1">VLOOKUP($B37,'[10]Analisys QBR By Machine Report'!$C$109:$BD$166,53,FALSE)</f>
        <v>360218</v>
      </c>
    </row>
    <row r="38" spans="1:58" x14ac:dyDescent="0.25">
      <c r="A38" s="12" t="s">
        <v>94</v>
      </c>
      <c r="B38" s="13">
        <f ca="1">VLOOKUP($B38,'[10]Analisys QBR By Machine Report'!$C$109:$BD$166,2,FALSE)</f>
        <v>34560</v>
      </c>
      <c r="C38" s="14">
        <f ca="1">VLOOKUP($B38,[10]Dasboard_QBR_Report!$B$109:$BL$166,3,FALSE)</f>
        <v>11520</v>
      </c>
      <c r="D38" s="13">
        <f ca="1">VLOOKUP($B38,'[10]Analisys QBR By Machine Report'!$C$109:$BD$166,3,FALSE)</f>
        <v>34560</v>
      </c>
      <c r="E38" s="14">
        <f ca="1">VLOOKUP($B38,[10]Dasboard_QBR_Report!$B$109:$BL$166,5,FALSE)</f>
        <v>11520</v>
      </c>
      <c r="F38" s="13">
        <f t="shared" ca="1" si="0"/>
        <v>0</v>
      </c>
      <c r="G38" s="13">
        <f t="shared" ca="1" si="1"/>
        <v>0</v>
      </c>
      <c r="H38" s="13">
        <f ca="1">VLOOKUP($B38,'[10]Analisys QBR By Machine Report'!$C$109:$BD$166,4,FALSE)</f>
        <v>0</v>
      </c>
      <c r="I38" s="13">
        <f ca="1">VLOOKUP($B38,'[10]Analisys QBR By Machine Report'!$C$109:$BD$166,5,FALSE)</f>
        <v>0</v>
      </c>
      <c r="J38" s="13">
        <f ca="1">VLOOKUP($B38,'[10]Analisys QBR By Machine Report'!$C$109:$BD$166,6,FALSE)</f>
        <v>0</v>
      </c>
      <c r="K38" s="13">
        <f ca="1">VLOOKUP($B38,'[10]Analisys QBR By Machine Report'!$C$109:$BD$166,7,FALSE)</f>
        <v>0</v>
      </c>
      <c r="L38" s="13">
        <f ca="1">VLOOKUP($B38,'[10]Analisys QBR By Machine Report'!$C$109:$BD$166,8,FALSE)</f>
        <v>0</v>
      </c>
      <c r="M38" s="13">
        <f ca="1">VLOOKUP($B38,'[10]Analisys QBR By Machine Report'!$C$109:$BD$166,9,FALSE)</f>
        <v>0</v>
      </c>
      <c r="N38" s="13">
        <f ca="1">VLOOKUP($B38,[10]Dasboard_QBR_Report!$B$109:$BL$166,18,FALSE)</f>
        <v>0</v>
      </c>
      <c r="O38" s="13">
        <f ca="1">VLOOKUP($B38,'[10]Analisys QBR By Machine Report'!$C$109:$BD$166,10,FALSE)</f>
        <v>0</v>
      </c>
      <c r="P38" s="13">
        <f ca="1">VLOOKUP($B38,'[10]Analisys QBR By Machine Report'!$C$109:$BD$166,11,FALSE)</f>
        <v>0</v>
      </c>
      <c r="Q38" s="13">
        <f ca="1">VLOOKUP($B38,'[10]Analisys QBR By Machine Report'!$C$109:$BD$166,12,FALSE)</f>
        <v>0</v>
      </c>
      <c r="R38" s="13">
        <f ca="1">VLOOKUP($B38,'[10]Analisys QBR By Machine Report'!$C$109:$BD$166,13,FALSE)</f>
        <v>0</v>
      </c>
      <c r="S38" s="13">
        <f ca="1">VLOOKUP($B38,'[10]Analisys QBR By Machine Report'!$C$109:$BD$166,14,FALSE)</f>
        <v>0</v>
      </c>
      <c r="T38" s="13">
        <f ca="1">VLOOKUP($B38,'[10]Analisys QBR By Machine Report'!$C$109:$BD$166,15,FALSE)</f>
        <v>0</v>
      </c>
      <c r="U38" s="13">
        <f ca="1">VLOOKUP($B38,'[10]Analisys QBR By Machine Report'!$C$109:$BD$166,16,FALSE)</f>
        <v>0</v>
      </c>
      <c r="V38" s="13">
        <f ca="1">VLOOKUP($B38,'[10]Analisys QBR By Machine Report'!$C$109:$BD$166,17,FALSE)</f>
        <v>0</v>
      </c>
      <c r="W38" s="13">
        <f ca="1">VLOOKUP($B38,'[10]Analisys QBR By Machine Report'!$C$109:$BD$166,18,FALSE)</f>
        <v>0</v>
      </c>
      <c r="X38" s="13">
        <f ca="1">VLOOKUP($B38,'[10]Analisys QBR By Machine Report'!$C$109:$BD$166,19,FALSE)</f>
        <v>0</v>
      </c>
      <c r="Y38" s="13">
        <f ca="1">VLOOKUP($B38,'[10]Analisys QBR By Machine Report'!$C$109:$BD$166,20,FALSE)</f>
        <v>0</v>
      </c>
      <c r="Z38" s="13">
        <f ca="1">VLOOKUP($B38,'[10]Analisys QBR By Machine Report'!$C$109:$BD$166,21,FALSE)</f>
        <v>0</v>
      </c>
      <c r="AA38" s="13">
        <f ca="1">VLOOKUP($B38,'[10]Analisys QBR By Machine Report'!$C$109:$BD$166,22,FALSE)</f>
        <v>0</v>
      </c>
      <c r="AB38" s="13">
        <f ca="1">VLOOKUP($B38,'[10]Analisys QBR By Machine Report'!$C$109:$BD$166,23,FALSE)</f>
        <v>0</v>
      </c>
      <c r="AC38" s="13">
        <f ca="1">VLOOKUP($B38,'[10]Analisys QBR By Machine Report'!$C$109:$BD$166,24,FALSE)</f>
        <v>0</v>
      </c>
      <c r="AD38" s="13">
        <f ca="1">VLOOKUP($B38,'[10]Analisys QBR By Machine Report'!$C$109:$BD$166,25,FALSE)</f>
        <v>0</v>
      </c>
      <c r="AE38" s="13">
        <f ca="1">VLOOKUP($B38,'[10]Analisys QBR By Machine Report'!$C$109:$BD$166,26,FALSE)</f>
        <v>0</v>
      </c>
      <c r="AF38" s="13">
        <f ca="1">VLOOKUP($B38,'[10]Analisys QBR By Machine Report'!$C$109:$BD$166,27,FALSE)</f>
        <v>0</v>
      </c>
      <c r="AG38" s="13">
        <f ca="1">VLOOKUP($B38,'[10]Analisys QBR By Machine Report'!$C$109:$BD$166,28,FALSE)</f>
        <v>0</v>
      </c>
      <c r="AH38" s="13">
        <f ca="1">VLOOKUP($B38,'[10]Analisys QBR By Machine Report'!$C$109:$BD$166,29,FALSE)</f>
        <v>0</v>
      </c>
      <c r="AI38" s="13">
        <f ca="1">VLOOKUP($B38,'[10]Analisys QBR By Machine Report'!$C$109:$BD$166,30,FALSE)</f>
        <v>0</v>
      </c>
      <c r="AJ38" s="13">
        <f ca="1">VLOOKUP($B38,'[10]Analisys QBR By Machine Report'!$C$109:$BD$166,31,FALSE)</f>
        <v>0</v>
      </c>
      <c r="AK38" s="13">
        <f ca="1">VLOOKUP($B38,'[10]Analisys QBR By Machine Report'!$C$109:$BD$166,32,FALSE)</f>
        <v>0</v>
      </c>
      <c r="AL38" s="13">
        <f ca="1">VLOOKUP($B38,'[10]Analisys QBR By Machine Report'!$C$109:$BD$166,33,FALSE)</f>
        <v>0</v>
      </c>
      <c r="AM38" s="13">
        <f ca="1">VLOOKUP($B38,'[10]Analisys QBR By Machine Report'!$C$109:$BD$166,34,FALSE)</f>
        <v>0</v>
      </c>
      <c r="AN38" s="13">
        <f ca="1">VLOOKUP($B38,'[10]Analisys QBR By Machine Report'!$C$109:$BD$166,35,FALSE)</f>
        <v>0</v>
      </c>
      <c r="AO38" s="13">
        <f ca="1">VLOOKUP($B38,'[10]Analisys QBR By Machine Report'!$C$109:$BD$166,36,FALSE)</f>
        <v>0</v>
      </c>
      <c r="AP38" s="13">
        <f ca="1">VLOOKUP($B38,'[10]Analisys QBR By Machine Report'!$C$109:$BD$166,37,FALSE)</f>
        <v>0</v>
      </c>
      <c r="AQ38" s="13">
        <f ca="1">VLOOKUP($B38,'[10]Analisys QBR By Machine Report'!$C$109:$BD$166,38,FALSE)</f>
        <v>0</v>
      </c>
      <c r="AR38" s="13">
        <f ca="1">VLOOKUP($B38,'[10]Analisys QBR By Machine Report'!$C$109:$BD$166,39,FALSE)</f>
        <v>0</v>
      </c>
      <c r="AS38" s="13">
        <f ca="1">VLOOKUP($B38,'[10]Analisys QBR By Machine Report'!$C$109:$BD$166,40,FALSE)</f>
        <v>0</v>
      </c>
      <c r="AT38" s="13">
        <f ca="1">VLOOKUP($B38,'[10]Analisys QBR By Machine Report'!$C$109:$BD$166,41,FALSE)</f>
        <v>0</v>
      </c>
      <c r="AU38" s="13">
        <f ca="1">VLOOKUP($B38,'[10]Analisys QBR By Machine Report'!$C$109:$BD$166,42,FALSE)</f>
        <v>0</v>
      </c>
      <c r="AV38" s="13">
        <f ca="1">VLOOKUP($B38,'[10]Analisys QBR By Machine Report'!$C$109:$BD$166,43,FALSE)</f>
        <v>0</v>
      </c>
      <c r="AW38" s="13">
        <f ca="1">VLOOKUP($B38,'[10]Analisys QBR By Machine Report'!$C$109:$BD$166,44,FALSE)</f>
        <v>0</v>
      </c>
      <c r="AX38" s="13">
        <f ca="1">VLOOKUP($B38,'[10]Analisys QBR By Machine Report'!$C$109:$BD$166,45,FALSE)</f>
        <v>0</v>
      </c>
      <c r="AY38" s="13">
        <f ca="1">VLOOKUP($B38,'[10]Analisys QBR By Machine Report'!$C$109:$BD$166,46,FALSE)</f>
        <v>0</v>
      </c>
      <c r="AZ38" s="13">
        <f ca="1">VLOOKUP($B38,'[10]Analisys QBR By Machine Report'!$C$109:$BD$166,47,FALSE)</f>
        <v>0</v>
      </c>
      <c r="BA38" s="13">
        <f ca="1">VLOOKUP($B38,'[10]Analisys QBR By Machine Report'!$C$109:$BD$166,48,FALSE)</f>
        <v>0</v>
      </c>
      <c r="BB38" s="13">
        <f ca="1">VLOOKUP($B38,'[10]Analisys QBR By Machine Report'!$C$109:$BD$166,49,FALSE)</f>
        <v>0</v>
      </c>
      <c r="BC38" s="13">
        <f ca="1">VLOOKUP($B38,'[10]Analisys QBR By Machine Report'!$C$109:$BD$166,50,FALSE)</f>
        <v>0</v>
      </c>
      <c r="BD38" s="13">
        <f ca="1">VLOOKUP($B38,'[10]Analisys QBR By Machine Report'!$C$109:$BD$166,51,FALSE)</f>
        <v>0</v>
      </c>
      <c r="BE38" s="13">
        <f ca="1">VLOOKUP($B38,'[10]Analisys QBR By Machine Report'!$C$109:$BD$166,52,FALSE)</f>
        <v>0</v>
      </c>
      <c r="BF38" s="13">
        <f ca="1">VLOOKUP($B38,'[10]Analisys QBR By Machine Report'!$C$109:$BD$166,53,FALSE)</f>
        <v>0</v>
      </c>
    </row>
    <row r="39" spans="1:58" x14ac:dyDescent="0.25">
      <c r="A39" s="12" t="s">
        <v>95</v>
      </c>
      <c r="B39" s="13">
        <f ca="1">VLOOKUP($B39,'[10]Analisys QBR By Machine Report'!$C$109:$BD$166,2,FALSE)</f>
        <v>34560</v>
      </c>
      <c r="C39" s="14">
        <f ca="1">VLOOKUP($B39,[10]Dasboard_QBR_Report!$B$109:$BL$166,3,FALSE)</f>
        <v>11520</v>
      </c>
      <c r="D39" s="13">
        <f ca="1">VLOOKUP($B39,'[10]Analisys QBR By Machine Report'!$C$109:$BD$166,3,FALSE)</f>
        <v>20760</v>
      </c>
      <c r="E39" s="14">
        <f ca="1">VLOOKUP($B39,[10]Dasboard_QBR_Report!$B$109:$BL$166,5,FALSE)</f>
        <v>-2280</v>
      </c>
      <c r="F39" s="13">
        <f t="shared" ca="1" si="0"/>
        <v>13800</v>
      </c>
      <c r="G39" s="13">
        <f t="shared" ca="1" si="1"/>
        <v>1220</v>
      </c>
      <c r="H39" s="13">
        <f ca="1">VLOOKUP($B39,'[10]Analisys QBR By Machine Report'!$C$109:$BD$166,4,FALSE)</f>
        <v>1220</v>
      </c>
      <c r="I39" s="13">
        <f ca="1">VLOOKUP($B39,'[10]Analisys QBR By Machine Report'!$C$109:$BD$166,5,FALSE)</f>
        <v>285</v>
      </c>
      <c r="J39" s="13">
        <f ca="1">VLOOKUP($B39,'[10]Analisys QBR By Machine Report'!$C$109:$BD$166,6,FALSE)</f>
        <v>935</v>
      </c>
      <c r="K39" s="13">
        <f ca="1">VLOOKUP($B39,'[10]Analisys QBR By Machine Report'!$C$109:$BD$166,7,FALSE)</f>
        <v>0</v>
      </c>
      <c r="L39" s="13">
        <f ca="1">VLOOKUP($B39,'[10]Analisys QBR By Machine Report'!$C$109:$BD$166,8,FALSE)</f>
        <v>12580</v>
      </c>
      <c r="M39" s="13">
        <f ca="1">VLOOKUP($B39,'[10]Analisys QBR By Machine Report'!$C$109:$BD$166,9,FALSE)</f>
        <v>8885</v>
      </c>
      <c r="N39" s="13">
        <f ca="1">VLOOKUP($B39,[10]Dasboard_QBR_Report!$B$109:$BL$166,18,FALSE)</f>
        <v>3695</v>
      </c>
      <c r="O39" s="13">
        <f ca="1">VLOOKUP($B39,'[10]Analisys QBR By Machine Report'!$C$109:$BD$166,10,FALSE)</f>
        <v>239</v>
      </c>
      <c r="P39" s="13">
        <f ca="1">VLOOKUP($B39,'[10]Analisys QBR By Machine Report'!$C$109:$BD$166,11,FALSE)</f>
        <v>239</v>
      </c>
      <c r="Q39" s="13">
        <f ca="1">VLOOKUP($B39,'[10]Analisys QBR By Machine Report'!$C$109:$BD$166,12,FALSE)</f>
        <v>0</v>
      </c>
      <c r="R39" s="13">
        <f ca="1">VLOOKUP($B39,'[10]Analisys QBR By Machine Report'!$C$109:$BD$166,13,FALSE)</f>
        <v>0</v>
      </c>
      <c r="S39" s="13">
        <f ca="1">VLOOKUP($B39,'[10]Analisys QBR By Machine Report'!$C$109:$BD$166,14,FALSE)</f>
        <v>0</v>
      </c>
      <c r="T39" s="13">
        <f ca="1">VLOOKUP($B39,'[10]Analisys QBR By Machine Report'!$C$109:$BD$166,15,FALSE)</f>
        <v>0</v>
      </c>
      <c r="U39" s="13">
        <f ca="1">VLOOKUP($B39,'[10]Analisys QBR By Machine Report'!$C$109:$BD$166,16,FALSE)</f>
        <v>0</v>
      </c>
      <c r="V39" s="13">
        <f ca="1">VLOOKUP($B39,'[10]Analisys QBR By Machine Report'!$C$109:$BD$166,17,FALSE)</f>
        <v>0</v>
      </c>
      <c r="W39" s="13">
        <f ca="1">VLOOKUP($B39,'[10]Analisys QBR By Machine Report'!$C$109:$BD$166,18,FALSE)</f>
        <v>0</v>
      </c>
      <c r="X39" s="13">
        <f ca="1">VLOOKUP($B39,'[10]Analisys QBR By Machine Report'!$C$109:$BD$166,19,FALSE)</f>
        <v>0</v>
      </c>
      <c r="Y39" s="13">
        <f ca="1">VLOOKUP($B39,'[10]Analisys QBR By Machine Report'!$C$109:$BD$166,20,FALSE)</f>
        <v>0</v>
      </c>
      <c r="Z39" s="13">
        <f ca="1">VLOOKUP($B39,'[10]Analisys QBR By Machine Report'!$C$109:$BD$166,21,FALSE)</f>
        <v>799</v>
      </c>
      <c r="AA39" s="13">
        <f ca="1">VLOOKUP($B39,'[10]Analisys QBR By Machine Report'!$C$109:$BD$166,22,FALSE)</f>
        <v>214</v>
      </c>
      <c r="AB39" s="13">
        <f ca="1">VLOOKUP($B39,'[10]Analisys QBR By Machine Report'!$C$109:$BD$166,23,FALSE)</f>
        <v>525</v>
      </c>
      <c r="AC39" s="13">
        <f ca="1">VLOOKUP($B39,'[10]Analisys QBR By Machine Report'!$C$109:$BD$166,24,FALSE)</f>
        <v>0</v>
      </c>
      <c r="AD39" s="13">
        <f ca="1">VLOOKUP($B39,'[10]Analisys QBR By Machine Report'!$C$109:$BD$166,25,FALSE)</f>
        <v>0</v>
      </c>
      <c r="AE39" s="13">
        <f ca="1">VLOOKUP($B39,'[10]Analisys QBR By Machine Report'!$C$109:$BD$166,26,FALSE)</f>
        <v>60</v>
      </c>
      <c r="AF39" s="13">
        <f ca="1">VLOOKUP($B39,'[10]Analisys QBR By Machine Report'!$C$109:$BD$166,27,FALSE)</f>
        <v>0</v>
      </c>
      <c r="AG39" s="13">
        <f ca="1">VLOOKUP($B39,'[10]Analisys QBR By Machine Report'!$C$109:$BD$166,28,FALSE)</f>
        <v>0</v>
      </c>
      <c r="AH39" s="13">
        <f ca="1">VLOOKUP($B39,'[10]Analisys QBR By Machine Report'!$C$109:$BD$166,29,FALSE)</f>
        <v>0</v>
      </c>
      <c r="AI39" s="13">
        <f ca="1">VLOOKUP($B39,'[10]Analisys QBR By Machine Report'!$C$109:$BD$166,30,FALSE)</f>
        <v>2657</v>
      </c>
      <c r="AJ39" s="13">
        <f ca="1">VLOOKUP($B39,'[10]Analisys QBR By Machine Report'!$C$109:$BD$166,31,FALSE)</f>
        <v>0</v>
      </c>
      <c r="AK39" s="13">
        <f ca="1">VLOOKUP($B39,'[10]Analisys QBR By Machine Report'!$C$109:$BD$166,32,FALSE)</f>
        <v>350</v>
      </c>
      <c r="AL39" s="13">
        <f ca="1">VLOOKUP($B39,'[10]Analisys QBR By Machine Report'!$C$109:$BD$166,33,FALSE)</f>
        <v>715</v>
      </c>
      <c r="AM39" s="13">
        <f ca="1">VLOOKUP($B39,'[10]Analisys QBR By Machine Report'!$C$109:$BD$166,34,FALSE)</f>
        <v>0</v>
      </c>
      <c r="AN39" s="13">
        <f ca="1">VLOOKUP($B39,'[10]Analisys QBR By Machine Report'!$C$109:$BD$166,35,FALSE)</f>
        <v>420</v>
      </c>
      <c r="AO39" s="13">
        <f ca="1">VLOOKUP($B39,'[10]Analisys QBR By Machine Report'!$C$109:$BD$166,36,FALSE)</f>
        <v>330</v>
      </c>
      <c r="AP39" s="13">
        <f ca="1">VLOOKUP($B39,'[10]Analisys QBR By Machine Report'!$C$109:$BD$166,37,FALSE)</f>
        <v>55</v>
      </c>
      <c r="AQ39" s="13">
        <f ca="1">VLOOKUP($B39,'[10]Analisys QBR By Machine Report'!$C$109:$BD$166,38,FALSE)</f>
        <v>0</v>
      </c>
      <c r="AR39" s="13">
        <f ca="1">VLOOKUP($B39,'[10]Analisys QBR By Machine Report'!$C$109:$BD$166,39,FALSE)</f>
        <v>15</v>
      </c>
      <c r="AS39" s="13">
        <f ca="1">VLOOKUP($B39,'[10]Analisys QBR By Machine Report'!$C$109:$BD$166,40,FALSE)</f>
        <v>189</v>
      </c>
      <c r="AT39" s="13">
        <f ca="1">VLOOKUP($B39,'[10]Analisys QBR By Machine Report'!$C$109:$BD$166,41,FALSE)</f>
        <v>0</v>
      </c>
      <c r="AU39" s="13">
        <f ca="1">VLOOKUP($B39,'[10]Analisys QBR By Machine Report'!$C$109:$BD$166,42,FALSE)</f>
        <v>0</v>
      </c>
      <c r="AV39" s="13">
        <f ca="1">VLOOKUP($B39,'[10]Analisys QBR By Machine Report'!$C$109:$BD$166,43,FALSE)</f>
        <v>0</v>
      </c>
      <c r="AW39" s="13">
        <f ca="1">VLOOKUP($B39,'[10]Analisys QBR By Machine Report'!$C$109:$BD$166,44,FALSE)</f>
        <v>0</v>
      </c>
      <c r="AX39" s="13">
        <f ca="1">VLOOKUP($B39,'[10]Analisys QBR By Machine Report'!$C$109:$BD$166,45,FALSE)</f>
        <v>0</v>
      </c>
      <c r="AY39" s="13">
        <f ca="1">VLOOKUP($B39,'[10]Analisys QBR By Machine Report'!$C$109:$BD$166,46,FALSE)</f>
        <v>0</v>
      </c>
      <c r="AZ39" s="13">
        <f ca="1">VLOOKUP($B39,'[10]Analisys QBR By Machine Report'!$C$109:$BD$166,47,FALSE)</f>
        <v>583</v>
      </c>
      <c r="BA39" s="13">
        <f ca="1">VLOOKUP($B39,'[10]Analisys QBR By Machine Report'!$C$109:$BD$166,48,FALSE)</f>
        <v>0</v>
      </c>
      <c r="BB39" s="13">
        <f ca="1">VLOOKUP($B39,'[10]Analisys QBR By Machine Report'!$C$109:$BD$166,49,FALSE)</f>
        <v>0</v>
      </c>
      <c r="BC39" s="13">
        <f ca="1">VLOOKUP($B39,'[10]Analisys QBR By Machine Report'!$C$109:$BD$166,50,FALSE)</f>
        <v>0</v>
      </c>
      <c r="BD39" s="13">
        <f ca="1">VLOOKUP($B39,'[10]Analisys QBR By Machine Report'!$C$109:$BD$166,51,FALSE)</f>
        <v>375797</v>
      </c>
      <c r="BE39" s="13">
        <f ca="1">VLOOKUP($B39,'[10]Analisys QBR By Machine Report'!$C$109:$BD$166,52,FALSE)</f>
        <v>88</v>
      </c>
      <c r="BF39" s="13">
        <f ca="1">VLOOKUP($B39,'[10]Analisys QBR By Machine Report'!$C$109:$BD$166,53,FALSE)</f>
        <v>375709</v>
      </c>
    </row>
    <row r="40" spans="1:58" x14ac:dyDescent="0.25">
      <c r="A40" s="12" t="s">
        <v>96</v>
      </c>
      <c r="B40" s="13">
        <f ca="1">VLOOKUP($B40,'[10]Analisys QBR By Machine Report'!$C$109:$BD$166,2,FALSE)</f>
        <v>34560</v>
      </c>
      <c r="C40" s="14">
        <f ca="1">VLOOKUP($B40,[10]Dasboard_QBR_Report!$B$109:$BL$166,3,FALSE)</f>
        <v>11520</v>
      </c>
      <c r="D40" s="13">
        <f ca="1">VLOOKUP($B40,'[10]Analisys QBR By Machine Report'!$C$109:$BD$166,3,FALSE)</f>
        <v>34560</v>
      </c>
      <c r="E40" s="14">
        <f ca="1">VLOOKUP($B40,[10]Dasboard_QBR_Report!$B$109:$BL$166,5,FALSE)</f>
        <v>11520</v>
      </c>
      <c r="F40" s="13">
        <f t="shared" ca="1" si="0"/>
        <v>0</v>
      </c>
      <c r="G40" s="13">
        <f t="shared" ca="1" si="1"/>
        <v>0</v>
      </c>
      <c r="H40" s="13">
        <f ca="1">VLOOKUP($B40,'[10]Analisys QBR By Machine Report'!$C$109:$BD$166,4,FALSE)</f>
        <v>0</v>
      </c>
      <c r="I40" s="13">
        <f ca="1">VLOOKUP($B40,'[10]Analisys QBR By Machine Report'!$C$109:$BD$166,5,FALSE)</f>
        <v>0</v>
      </c>
      <c r="J40" s="13">
        <f ca="1">VLOOKUP($B40,'[10]Analisys QBR By Machine Report'!$C$109:$BD$166,6,FALSE)</f>
        <v>0</v>
      </c>
      <c r="K40" s="13">
        <f ca="1">VLOOKUP($B40,'[10]Analisys QBR By Machine Report'!$C$109:$BD$166,7,FALSE)</f>
        <v>0</v>
      </c>
      <c r="L40" s="13">
        <f ca="1">VLOOKUP($B40,'[10]Analisys QBR By Machine Report'!$C$109:$BD$166,8,FALSE)</f>
        <v>0</v>
      </c>
      <c r="M40" s="13">
        <f ca="1">VLOOKUP($B40,'[10]Analisys QBR By Machine Report'!$C$109:$BD$166,9,FALSE)</f>
        <v>0</v>
      </c>
      <c r="N40" s="13">
        <f ca="1">VLOOKUP($B40,[10]Dasboard_QBR_Report!$B$109:$BL$166,18,FALSE)</f>
        <v>0</v>
      </c>
      <c r="O40" s="13">
        <f ca="1">VLOOKUP($B40,'[10]Analisys QBR By Machine Report'!$C$109:$BD$166,10,FALSE)</f>
        <v>0</v>
      </c>
      <c r="P40" s="13">
        <f ca="1">VLOOKUP($B40,'[10]Analisys QBR By Machine Report'!$C$109:$BD$166,11,FALSE)</f>
        <v>0</v>
      </c>
      <c r="Q40" s="13">
        <f ca="1">VLOOKUP($B40,'[10]Analisys QBR By Machine Report'!$C$109:$BD$166,12,FALSE)</f>
        <v>0</v>
      </c>
      <c r="R40" s="13">
        <f ca="1">VLOOKUP($B40,'[10]Analisys QBR By Machine Report'!$C$109:$BD$166,13,FALSE)</f>
        <v>0</v>
      </c>
      <c r="S40" s="13">
        <f ca="1">VLOOKUP($B40,'[10]Analisys QBR By Machine Report'!$C$109:$BD$166,14,FALSE)</f>
        <v>0</v>
      </c>
      <c r="T40" s="13">
        <f ca="1">VLOOKUP($B40,'[10]Analisys QBR By Machine Report'!$C$109:$BD$166,15,FALSE)</f>
        <v>0</v>
      </c>
      <c r="U40" s="13">
        <f ca="1">VLOOKUP($B40,'[10]Analisys QBR By Machine Report'!$C$109:$BD$166,16,FALSE)</f>
        <v>0</v>
      </c>
      <c r="V40" s="13">
        <f ca="1">VLOOKUP($B40,'[10]Analisys QBR By Machine Report'!$C$109:$BD$166,17,FALSE)</f>
        <v>0</v>
      </c>
      <c r="W40" s="13">
        <f ca="1">VLOOKUP($B40,'[10]Analisys QBR By Machine Report'!$C$109:$BD$166,18,FALSE)</f>
        <v>0</v>
      </c>
      <c r="X40" s="13">
        <f ca="1">VLOOKUP($B40,'[10]Analisys QBR By Machine Report'!$C$109:$BD$166,19,FALSE)</f>
        <v>0</v>
      </c>
      <c r="Y40" s="13">
        <f ca="1">VLOOKUP($B40,'[10]Analisys QBR By Machine Report'!$C$109:$BD$166,20,FALSE)</f>
        <v>0</v>
      </c>
      <c r="Z40" s="13">
        <f ca="1">VLOOKUP($B40,'[10]Analisys QBR By Machine Report'!$C$109:$BD$166,21,FALSE)</f>
        <v>0</v>
      </c>
      <c r="AA40" s="13">
        <f ca="1">VLOOKUP($B40,'[10]Analisys QBR By Machine Report'!$C$109:$BD$166,22,FALSE)</f>
        <v>0</v>
      </c>
      <c r="AB40" s="13">
        <f ca="1">VLOOKUP($B40,'[10]Analisys QBR By Machine Report'!$C$109:$BD$166,23,FALSE)</f>
        <v>0</v>
      </c>
      <c r="AC40" s="13">
        <f ca="1">VLOOKUP($B40,'[10]Analisys QBR By Machine Report'!$C$109:$BD$166,24,FALSE)</f>
        <v>0</v>
      </c>
      <c r="AD40" s="13">
        <f ca="1">VLOOKUP($B40,'[10]Analisys QBR By Machine Report'!$C$109:$BD$166,25,FALSE)</f>
        <v>0</v>
      </c>
      <c r="AE40" s="13">
        <f ca="1">VLOOKUP($B40,'[10]Analisys QBR By Machine Report'!$C$109:$BD$166,26,FALSE)</f>
        <v>0</v>
      </c>
      <c r="AF40" s="13">
        <f ca="1">VLOOKUP($B40,'[10]Analisys QBR By Machine Report'!$C$109:$BD$166,27,FALSE)</f>
        <v>0</v>
      </c>
      <c r="AG40" s="13">
        <f ca="1">VLOOKUP($B40,'[10]Analisys QBR By Machine Report'!$C$109:$BD$166,28,FALSE)</f>
        <v>0</v>
      </c>
      <c r="AH40" s="13">
        <f ca="1">VLOOKUP($B40,'[10]Analisys QBR By Machine Report'!$C$109:$BD$166,29,FALSE)</f>
        <v>0</v>
      </c>
      <c r="AI40" s="13">
        <f ca="1">VLOOKUP($B40,'[10]Analisys QBR By Machine Report'!$C$109:$BD$166,30,FALSE)</f>
        <v>0</v>
      </c>
      <c r="AJ40" s="13">
        <f ca="1">VLOOKUP($B40,'[10]Analisys QBR By Machine Report'!$C$109:$BD$166,31,FALSE)</f>
        <v>0</v>
      </c>
      <c r="AK40" s="13">
        <f ca="1">VLOOKUP($B40,'[10]Analisys QBR By Machine Report'!$C$109:$BD$166,32,FALSE)</f>
        <v>0</v>
      </c>
      <c r="AL40" s="13">
        <f ca="1">VLOOKUP($B40,'[10]Analisys QBR By Machine Report'!$C$109:$BD$166,33,FALSE)</f>
        <v>0</v>
      </c>
      <c r="AM40" s="13">
        <f ca="1">VLOOKUP($B40,'[10]Analisys QBR By Machine Report'!$C$109:$BD$166,34,FALSE)</f>
        <v>0</v>
      </c>
      <c r="AN40" s="13">
        <f ca="1">VLOOKUP($B40,'[10]Analisys QBR By Machine Report'!$C$109:$BD$166,35,FALSE)</f>
        <v>0</v>
      </c>
      <c r="AO40" s="13">
        <f ca="1">VLOOKUP($B40,'[10]Analisys QBR By Machine Report'!$C$109:$BD$166,36,FALSE)</f>
        <v>0</v>
      </c>
      <c r="AP40" s="13">
        <f ca="1">VLOOKUP($B40,'[10]Analisys QBR By Machine Report'!$C$109:$BD$166,37,FALSE)</f>
        <v>0</v>
      </c>
      <c r="AQ40" s="13">
        <f ca="1">VLOOKUP($B40,'[10]Analisys QBR By Machine Report'!$C$109:$BD$166,38,FALSE)</f>
        <v>0</v>
      </c>
      <c r="AR40" s="13">
        <f ca="1">VLOOKUP($B40,'[10]Analisys QBR By Machine Report'!$C$109:$BD$166,39,FALSE)</f>
        <v>0</v>
      </c>
      <c r="AS40" s="13">
        <f ca="1">VLOOKUP($B40,'[10]Analisys QBR By Machine Report'!$C$109:$BD$166,40,FALSE)</f>
        <v>0</v>
      </c>
      <c r="AT40" s="13">
        <f ca="1">VLOOKUP($B40,'[10]Analisys QBR By Machine Report'!$C$109:$BD$166,41,FALSE)</f>
        <v>0</v>
      </c>
      <c r="AU40" s="13">
        <f ca="1">VLOOKUP($B40,'[10]Analisys QBR By Machine Report'!$C$109:$BD$166,42,FALSE)</f>
        <v>0</v>
      </c>
      <c r="AV40" s="13">
        <f ca="1">VLOOKUP($B40,'[10]Analisys QBR By Machine Report'!$C$109:$BD$166,43,FALSE)</f>
        <v>0</v>
      </c>
      <c r="AW40" s="13">
        <f ca="1">VLOOKUP($B40,'[10]Analisys QBR By Machine Report'!$C$109:$BD$166,44,FALSE)</f>
        <v>0</v>
      </c>
      <c r="AX40" s="13">
        <f ca="1">VLOOKUP($B40,'[10]Analisys QBR By Machine Report'!$C$109:$BD$166,45,FALSE)</f>
        <v>0</v>
      </c>
      <c r="AY40" s="13">
        <f ca="1">VLOOKUP($B40,'[10]Analisys QBR By Machine Report'!$C$109:$BD$166,46,FALSE)</f>
        <v>0</v>
      </c>
      <c r="AZ40" s="13">
        <f ca="1">VLOOKUP($B40,'[10]Analisys QBR By Machine Report'!$C$109:$BD$166,47,FALSE)</f>
        <v>0</v>
      </c>
      <c r="BA40" s="13">
        <f ca="1">VLOOKUP($B40,'[10]Analisys QBR By Machine Report'!$C$109:$BD$166,48,FALSE)</f>
        <v>0</v>
      </c>
      <c r="BB40" s="13">
        <f ca="1">VLOOKUP($B40,'[10]Analisys QBR By Machine Report'!$C$109:$BD$166,49,FALSE)</f>
        <v>0</v>
      </c>
      <c r="BC40" s="13">
        <f ca="1">VLOOKUP($B40,'[10]Analisys QBR By Machine Report'!$C$109:$BD$166,50,FALSE)</f>
        <v>0</v>
      </c>
      <c r="BD40" s="13">
        <f ca="1">VLOOKUP($B40,'[10]Analisys QBR By Machine Report'!$C$109:$BD$166,51,FALSE)</f>
        <v>0</v>
      </c>
      <c r="BE40" s="13">
        <f ca="1">VLOOKUP($B40,'[10]Analisys QBR By Machine Report'!$C$109:$BD$166,52,FALSE)</f>
        <v>0</v>
      </c>
      <c r="BF40" s="13">
        <f ca="1">VLOOKUP($B40,'[10]Analisys QBR By Machine Report'!$C$109:$BD$166,53,FALSE)</f>
        <v>0</v>
      </c>
    </row>
    <row r="41" spans="1:58" x14ac:dyDescent="0.25">
      <c r="A41" s="12" t="s">
        <v>97</v>
      </c>
      <c r="B41" s="13">
        <f ca="1">VLOOKUP($B41,'[10]Analisys QBR By Machine Report'!$C$109:$BD$166,2,FALSE)</f>
        <v>34560</v>
      </c>
      <c r="C41" s="14">
        <f ca="1">VLOOKUP($B41,[10]Dasboard_QBR_Report!$B$109:$BL$166,3,FALSE)</f>
        <v>22320</v>
      </c>
      <c r="D41" s="13">
        <f ca="1">VLOOKUP($B41,'[10]Analisys QBR By Machine Report'!$C$109:$BD$166,3,FALSE)</f>
        <v>22890</v>
      </c>
      <c r="E41" s="14">
        <f ca="1">VLOOKUP($B41,[10]Dasboard_QBR_Report!$B$109:$BL$166,5,FALSE)</f>
        <v>10650</v>
      </c>
      <c r="F41" s="13">
        <f t="shared" ca="1" si="0"/>
        <v>11670</v>
      </c>
      <c r="G41" s="13">
        <f t="shared" ca="1" si="1"/>
        <v>3840</v>
      </c>
      <c r="H41" s="13">
        <f ca="1">VLOOKUP($B41,'[10]Analisys QBR By Machine Report'!$C$109:$BD$166,4,FALSE)</f>
        <v>3840</v>
      </c>
      <c r="I41" s="13">
        <f ca="1">VLOOKUP($B41,'[10]Analisys QBR By Machine Report'!$C$109:$BD$166,5,FALSE)</f>
        <v>60</v>
      </c>
      <c r="J41" s="13">
        <f ca="1">VLOOKUP($B41,'[10]Analisys QBR By Machine Report'!$C$109:$BD$166,6,FALSE)</f>
        <v>3780</v>
      </c>
      <c r="K41" s="13">
        <f ca="1">VLOOKUP($B41,'[10]Analisys QBR By Machine Report'!$C$109:$BD$166,7,FALSE)</f>
        <v>0</v>
      </c>
      <c r="L41" s="13">
        <f ca="1">VLOOKUP($B41,'[10]Analisys QBR By Machine Report'!$C$109:$BD$166,8,FALSE)</f>
        <v>7830</v>
      </c>
      <c r="M41" s="13">
        <f ca="1">VLOOKUP($B41,'[10]Analisys QBR By Machine Report'!$C$109:$BD$166,9,FALSE)</f>
        <v>3735</v>
      </c>
      <c r="N41" s="13">
        <f ca="1">VLOOKUP($B41,[10]Dasboard_QBR_Report!$B$109:$BL$166,18,FALSE)</f>
        <v>4095</v>
      </c>
      <c r="O41" s="13">
        <f ca="1">VLOOKUP($B41,'[10]Analisys QBR By Machine Report'!$C$109:$BD$166,10,FALSE)</f>
        <v>1407</v>
      </c>
      <c r="P41" s="13">
        <f ca="1">VLOOKUP($B41,'[10]Analisys QBR By Machine Report'!$C$109:$BD$166,11,FALSE)</f>
        <v>625</v>
      </c>
      <c r="Q41" s="13">
        <f ca="1">VLOOKUP($B41,'[10]Analisys QBR By Machine Report'!$C$109:$BD$166,12,FALSE)</f>
        <v>0</v>
      </c>
      <c r="R41" s="13">
        <f ca="1">VLOOKUP($B41,'[10]Analisys QBR By Machine Report'!$C$109:$BD$166,13,FALSE)</f>
        <v>635</v>
      </c>
      <c r="S41" s="13">
        <f ca="1">VLOOKUP($B41,'[10]Analisys QBR By Machine Report'!$C$109:$BD$166,14,FALSE)</f>
        <v>147</v>
      </c>
      <c r="T41" s="13">
        <f ca="1">VLOOKUP($B41,'[10]Analisys QBR By Machine Report'!$C$109:$BD$166,15,FALSE)</f>
        <v>0</v>
      </c>
      <c r="U41" s="13">
        <f ca="1">VLOOKUP($B41,'[10]Analisys QBR By Machine Report'!$C$109:$BD$166,16,FALSE)</f>
        <v>0</v>
      </c>
      <c r="V41" s="13">
        <f ca="1">VLOOKUP($B41,'[10]Analisys QBR By Machine Report'!$C$109:$BD$166,17,FALSE)</f>
        <v>0</v>
      </c>
      <c r="W41" s="13">
        <f ca="1">VLOOKUP($B41,'[10]Analisys QBR By Machine Report'!$C$109:$BD$166,18,FALSE)</f>
        <v>0</v>
      </c>
      <c r="X41" s="13">
        <f ca="1">VLOOKUP($B41,'[10]Analisys QBR By Machine Report'!$C$109:$BD$166,19,FALSE)</f>
        <v>0</v>
      </c>
      <c r="Y41" s="13">
        <f ca="1">VLOOKUP($B41,'[10]Analisys QBR By Machine Report'!$C$109:$BD$166,20,FALSE)</f>
        <v>0</v>
      </c>
      <c r="Z41" s="13">
        <f ca="1">VLOOKUP($B41,'[10]Analisys QBR By Machine Report'!$C$109:$BD$166,21,FALSE)</f>
        <v>318</v>
      </c>
      <c r="AA41" s="13">
        <f ca="1">VLOOKUP($B41,'[10]Analisys QBR By Machine Report'!$C$109:$BD$166,22,FALSE)</f>
        <v>85</v>
      </c>
      <c r="AB41" s="13">
        <f ca="1">VLOOKUP($B41,'[10]Analisys QBR By Machine Report'!$C$109:$BD$166,23,FALSE)</f>
        <v>233</v>
      </c>
      <c r="AC41" s="13">
        <f ca="1">VLOOKUP($B41,'[10]Analisys QBR By Machine Report'!$C$109:$BD$166,24,FALSE)</f>
        <v>0</v>
      </c>
      <c r="AD41" s="13">
        <f ca="1">VLOOKUP($B41,'[10]Analisys QBR By Machine Report'!$C$109:$BD$166,25,FALSE)</f>
        <v>0</v>
      </c>
      <c r="AE41" s="13">
        <f ca="1">VLOOKUP($B41,'[10]Analisys QBR By Machine Report'!$C$109:$BD$166,26,FALSE)</f>
        <v>0</v>
      </c>
      <c r="AF41" s="13">
        <f ca="1">VLOOKUP($B41,'[10]Analisys QBR By Machine Report'!$C$109:$BD$166,27,FALSE)</f>
        <v>0</v>
      </c>
      <c r="AG41" s="13">
        <f ca="1">VLOOKUP($B41,'[10]Analisys QBR By Machine Report'!$C$109:$BD$166,28,FALSE)</f>
        <v>0</v>
      </c>
      <c r="AH41" s="13">
        <f ca="1">VLOOKUP($B41,'[10]Analisys QBR By Machine Report'!$C$109:$BD$166,29,FALSE)</f>
        <v>0</v>
      </c>
      <c r="AI41" s="13">
        <f ca="1">VLOOKUP($B41,'[10]Analisys QBR By Machine Report'!$C$109:$BD$166,30,FALSE)</f>
        <v>2370</v>
      </c>
      <c r="AJ41" s="13">
        <f ca="1">VLOOKUP($B41,'[10]Analisys QBR By Machine Report'!$C$109:$BD$166,31,FALSE)</f>
        <v>0</v>
      </c>
      <c r="AK41" s="13">
        <f ca="1">VLOOKUP($B41,'[10]Analisys QBR By Machine Report'!$C$109:$BD$166,32,FALSE)</f>
        <v>0</v>
      </c>
      <c r="AL41" s="13">
        <f ca="1">VLOOKUP($B41,'[10]Analisys QBR By Machine Report'!$C$109:$BD$166,33,FALSE)</f>
        <v>420</v>
      </c>
      <c r="AM41" s="13">
        <f ca="1">VLOOKUP($B41,'[10]Analisys QBR By Machine Report'!$C$109:$BD$166,34,FALSE)</f>
        <v>0</v>
      </c>
      <c r="AN41" s="13">
        <f ca="1">VLOOKUP($B41,'[10]Analisys QBR By Machine Report'!$C$109:$BD$166,35,FALSE)</f>
        <v>210</v>
      </c>
      <c r="AO41" s="13">
        <f ca="1">VLOOKUP($B41,'[10]Analisys QBR By Machine Report'!$C$109:$BD$166,36,FALSE)</f>
        <v>450</v>
      </c>
      <c r="AP41" s="13">
        <f ca="1">VLOOKUP($B41,'[10]Analisys QBR By Machine Report'!$C$109:$BD$166,37,FALSE)</f>
        <v>0</v>
      </c>
      <c r="AQ41" s="13">
        <f ca="1">VLOOKUP($B41,'[10]Analisys QBR By Machine Report'!$C$109:$BD$166,38,FALSE)</f>
        <v>0</v>
      </c>
      <c r="AR41" s="13">
        <f ca="1">VLOOKUP($B41,'[10]Analisys QBR By Machine Report'!$C$109:$BD$166,39,FALSE)</f>
        <v>965</v>
      </c>
      <c r="AS41" s="13">
        <f ca="1">VLOOKUP($B41,'[10]Analisys QBR By Machine Report'!$C$109:$BD$166,40,FALSE)</f>
        <v>150</v>
      </c>
      <c r="AT41" s="13">
        <f ca="1">VLOOKUP($B41,'[10]Analisys QBR By Machine Report'!$C$109:$BD$166,41,FALSE)</f>
        <v>0</v>
      </c>
      <c r="AU41" s="13">
        <f ca="1">VLOOKUP($B41,'[10]Analisys QBR By Machine Report'!$C$109:$BD$166,42,FALSE)</f>
        <v>0</v>
      </c>
      <c r="AV41" s="13">
        <f ca="1">VLOOKUP($B41,'[10]Analisys QBR By Machine Report'!$C$109:$BD$166,43,FALSE)</f>
        <v>0</v>
      </c>
      <c r="AW41" s="13">
        <f ca="1">VLOOKUP($B41,'[10]Analisys QBR By Machine Report'!$C$109:$BD$166,44,FALSE)</f>
        <v>0</v>
      </c>
      <c r="AX41" s="13">
        <f ca="1">VLOOKUP($B41,'[10]Analisys QBR By Machine Report'!$C$109:$BD$166,45,FALSE)</f>
        <v>0</v>
      </c>
      <c r="AY41" s="13">
        <f ca="1">VLOOKUP($B41,'[10]Analisys QBR By Machine Report'!$C$109:$BD$166,46,FALSE)</f>
        <v>0</v>
      </c>
      <c r="AZ41" s="13">
        <f ca="1">VLOOKUP($B41,'[10]Analisys QBR By Machine Report'!$C$109:$BD$166,47,FALSE)</f>
        <v>175</v>
      </c>
      <c r="BA41" s="13">
        <f ca="1">VLOOKUP($B41,'[10]Analisys QBR By Machine Report'!$C$109:$BD$166,48,FALSE)</f>
        <v>0</v>
      </c>
      <c r="BB41" s="13">
        <f ca="1">VLOOKUP($B41,'[10]Analisys QBR By Machine Report'!$C$109:$BD$166,49,FALSE)</f>
        <v>0</v>
      </c>
      <c r="BC41" s="13">
        <f ca="1">VLOOKUP($B41,'[10]Analisys QBR By Machine Report'!$C$109:$BD$166,50,FALSE)</f>
        <v>0</v>
      </c>
      <c r="BD41" s="13">
        <f ca="1">VLOOKUP($B41,'[10]Analisys QBR By Machine Report'!$C$109:$BD$166,51,FALSE)</f>
        <v>241866</v>
      </c>
      <c r="BE41" s="13">
        <f ca="1">VLOOKUP($B41,'[10]Analisys QBR By Machine Report'!$C$109:$BD$166,52,FALSE)</f>
        <v>0</v>
      </c>
      <c r="BF41" s="13">
        <f ca="1">VLOOKUP($B41,'[10]Analisys QBR By Machine Report'!$C$109:$BD$166,53,FALSE)</f>
        <v>241866</v>
      </c>
    </row>
    <row r="42" spans="1:58" x14ac:dyDescent="0.25">
      <c r="A42" s="12" t="s">
        <v>98</v>
      </c>
      <c r="B42" s="13">
        <f ca="1">VLOOKUP($B42,'[10]Analisys QBR By Machine Report'!$C$109:$BD$166,2,FALSE)</f>
        <v>34560</v>
      </c>
      <c r="C42" s="14">
        <f ca="1">VLOOKUP($B42,[10]Dasboard_QBR_Report!$B$109:$BL$166,3,FALSE)</f>
        <v>11520</v>
      </c>
      <c r="D42" s="13">
        <f ca="1">VLOOKUP($B42,'[10]Analisys QBR By Machine Report'!$C$109:$BD$166,3,FALSE)</f>
        <v>25980</v>
      </c>
      <c r="E42" s="14">
        <f ca="1">VLOOKUP($B42,[10]Dasboard_QBR_Report!$B$109:$BL$166,5,FALSE)</f>
        <v>2940</v>
      </c>
      <c r="F42" s="13">
        <f t="shared" ca="1" si="0"/>
        <v>8580</v>
      </c>
      <c r="G42" s="13">
        <f t="shared" ca="1" si="1"/>
        <v>1785</v>
      </c>
      <c r="H42" s="13">
        <f ca="1">VLOOKUP($B42,'[10]Analisys QBR By Machine Report'!$C$109:$BD$166,4,FALSE)</f>
        <v>1785</v>
      </c>
      <c r="I42" s="13">
        <f ca="1">VLOOKUP($B42,'[10]Analisys QBR By Machine Report'!$C$109:$BD$166,5,FALSE)</f>
        <v>380</v>
      </c>
      <c r="J42" s="13">
        <f ca="1">VLOOKUP($B42,'[10]Analisys QBR By Machine Report'!$C$109:$BD$166,6,FALSE)</f>
        <v>1405</v>
      </c>
      <c r="K42" s="13">
        <f ca="1">VLOOKUP($B42,'[10]Analisys QBR By Machine Report'!$C$109:$BD$166,7,FALSE)</f>
        <v>0</v>
      </c>
      <c r="L42" s="13">
        <f ca="1">VLOOKUP($B42,'[10]Analisys QBR By Machine Report'!$C$109:$BD$166,8,FALSE)</f>
        <v>6795</v>
      </c>
      <c r="M42" s="13">
        <f ca="1">VLOOKUP($B42,'[10]Analisys QBR By Machine Report'!$C$109:$BD$166,9,FALSE)</f>
        <v>3134</v>
      </c>
      <c r="N42" s="13">
        <f ca="1">VLOOKUP($B42,[10]Dasboard_QBR_Report!$B$109:$BL$166,18,FALSE)</f>
        <v>3661</v>
      </c>
      <c r="O42" s="13">
        <f ca="1">VLOOKUP($B42,'[10]Analisys QBR By Machine Report'!$C$109:$BD$166,10,FALSE)</f>
        <v>1231</v>
      </c>
      <c r="P42" s="13">
        <f ca="1">VLOOKUP($B42,'[10]Analisys QBR By Machine Report'!$C$109:$BD$166,11,FALSE)</f>
        <v>444</v>
      </c>
      <c r="Q42" s="13">
        <f ca="1">VLOOKUP($B42,'[10]Analisys QBR By Machine Report'!$C$109:$BD$166,12,FALSE)</f>
        <v>122</v>
      </c>
      <c r="R42" s="13">
        <f ca="1">VLOOKUP($B42,'[10]Analisys QBR By Machine Report'!$C$109:$BD$166,13,FALSE)</f>
        <v>188</v>
      </c>
      <c r="S42" s="13">
        <f ca="1">VLOOKUP($B42,'[10]Analisys QBR By Machine Report'!$C$109:$BD$166,14,FALSE)</f>
        <v>477</v>
      </c>
      <c r="T42" s="13">
        <f ca="1">VLOOKUP($B42,'[10]Analisys QBR By Machine Report'!$C$109:$BD$166,15,FALSE)</f>
        <v>252</v>
      </c>
      <c r="U42" s="13">
        <f ca="1">VLOOKUP($B42,'[10]Analisys QBR By Machine Report'!$C$109:$BD$166,16,FALSE)</f>
        <v>110</v>
      </c>
      <c r="V42" s="13">
        <f ca="1">VLOOKUP($B42,'[10]Analisys QBR By Machine Report'!$C$109:$BD$166,17,FALSE)</f>
        <v>142</v>
      </c>
      <c r="W42" s="13">
        <f ca="1">VLOOKUP($B42,'[10]Analisys QBR By Machine Report'!$C$109:$BD$166,18,FALSE)</f>
        <v>0</v>
      </c>
      <c r="X42" s="13">
        <f ca="1">VLOOKUP($B42,'[10]Analisys QBR By Machine Report'!$C$109:$BD$166,19,FALSE)</f>
        <v>0</v>
      </c>
      <c r="Y42" s="13">
        <f ca="1">VLOOKUP($B42,'[10]Analisys QBR By Machine Report'!$C$109:$BD$166,20,FALSE)</f>
        <v>0</v>
      </c>
      <c r="Z42" s="13">
        <f ca="1">VLOOKUP($B42,'[10]Analisys QBR By Machine Report'!$C$109:$BD$166,21,FALSE)</f>
        <v>1178</v>
      </c>
      <c r="AA42" s="13">
        <f ca="1">VLOOKUP($B42,'[10]Analisys QBR By Machine Report'!$C$109:$BD$166,22,FALSE)</f>
        <v>632</v>
      </c>
      <c r="AB42" s="13">
        <f ca="1">VLOOKUP($B42,'[10]Analisys QBR By Machine Report'!$C$109:$BD$166,23,FALSE)</f>
        <v>383</v>
      </c>
      <c r="AC42" s="13">
        <f ca="1">VLOOKUP($B42,'[10]Analisys QBR By Machine Report'!$C$109:$BD$166,24,FALSE)</f>
        <v>0</v>
      </c>
      <c r="AD42" s="13">
        <f ca="1">VLOOKUP($B42,'[10]Analisys QBR By Machine Report'!$C$109:$BD$166,25,FALSE)</f>
        <v>0</v>
      </c>
      <c r="AE42" s="13">
        <f ca="1">VLOOKUP($B42,'[10]Analisys QBR By Machine Report'!$C$109:$BD$166,26,FALSE)</f>
        <v>163</v>
      </c>
      <c r="AF42" s="13">
        <f ca="1">VLOOKUP($B42,'[10]Analisys QBR By Machine Report'!$C$109:$BD$166,27,FALSE)</f>
        <v>0</v>
      </c>
      <c r="AG42" s="13">
        <f ca="1">VLOOKUP($B42,'[10]Analisys QBR By Machine Report'!$C$109:$BD$166,28,FALSE)</f>
        <v>0</v>
      </c>
      <c r="AH42" s="13">
        <f ca="1">VLOOKUP($B42,'[10]Analisys QBR By Machine Report'!$C$109:$BD$166,29,FALSE)</f>
        <v>0</v>
      </c>
      <c r="AI42" s="13">
        <f ca="1">VLOOKUP($B42,'[10]Analisys QBR By Machine Report'!$C$109:$BD$166,30,FALSE)</f>
        <v>1000</v>
      </c>
      <c r="AJ42" s="13">
        <f ca="1">VLOOKUP($B42,'[10]Analisys QBR By Machine Report'!$C$109:$BD$166,31,FALSE)</f>
        <v>0</v>
      </c>
      <c r="AK42" s="13">
        <f ca="1">VLOOKUP($B42,'[10]Analisys QBR By Machine Report'!$C$109:$BD$166,32,FALSE)</f>
        <v>0</v>
      </c>
      <c r="AL42" s="13">
        <f ca="1">VLOOKUP($B42,'[10]Analisys QBR By Machine Report'!$C$109:$BD$166,33,FALSE)</f>
        <v>415</v>
      </c>
      <c r="AM42" s="13">
        <f ca="1">VLOOKUP($B42,'[10]Analisys QBR By Machine Report'!$C$109:$BD$166,34,FALSE)</f>
        <v>0</v>
      </c>
      <c r="AN42" s="13">
        <f ca="1">VLOOKUP($B42,'[10]Analisys QBR By Machine Report'!$C$109:$BD$166,35,FALSE)</f>
        <v>255</v>
      </c>
      <c r="AO42" s="13">
        <f ca="1">VLOOKUP($B42,'[10]Analisys QBR By Machine Report'!$C$109:$BD$166,36,FALSE)</f>
        <v>0</v>
      </c>
      <c r="AP42" s="13">
        <f ca="1">VLOOKUP($B42,'[10]Analisys QBR By Machine Report'!$C$109:$BD$166,37,FALSE)</f>
        <v>10</v>
      </c>
      <c r="AQ42" s="13">
        <f ca="1">VLOOKUP($B42,'[10]Analisys QBR By Machine Report'!$C$109:$BD$166,38,FALSE)</f>
        <v>0</v>
      </c>
      <c r="AR42" s="13">
        <f ca="1">VLOOKUP($B42,'[10]Analisys QBR By Machine Report'!$C$109:$BD$166,39,FALSE)</f>
        <v>15</v>
      </c>
      <c r="AS42" s="13">
        <f ca="1">VLOOKUP($B42,'[10]Analisys QBR By Machine Report'!$C$109:$BD$166,40,FALSE)</f>
        <v>165</v>
      </c>
      <c r="AT42" s="13">
        <f ca="1">VLOOKUP($B42,'[10]Analisys QBR By Machine Report'!$C$109:$BD$166,41,FALSE)</f>
        <v>0</v>
      </c>
      <c r="AU42" s="13">
        <f ca="1">VLOOKUP($B42,'[10]Analisys QBR By Machine Report'!$C$109:$BD$166,42,FALSE)</f>
        <v>0</v>
      </c>
      <c r="AV42" s="13">
        <f ca="1">VLOOKUP($B42,'[10]Analisys QBR By Machine Report'!$C$109:$BD$166,43,FALSE)</f>
        <v>0</v>
      </c>
      <c r="AW42" s="13">
        <f ca="1">VLOOKUP($B42,'[10]Analisys QBR By Machine Report'!$C$109:$BD$166,44,FALSE)</f>
        <v>0</v>
      </c>
      <c r="AX42" s="13">
        <f ca="1">VLOOKUP($B42,'[10]Analisys QBR By Machine Report'!$C$109:$BD$166,45,FALSE)</f>
        <v>0</v>
      </c>
      <c r="AY42" s="13">
        <f ca="1">VLOOKUP($B42,'[10]Analisys QBR By Machine Report'!$C$109:$BD$166,46,FALSE)</f>
        <v>0</v>
      </c>
      <c r="AZ42" s="13">
        <f ca="1">VLOOKUP($B42,'[10]Analisys QBR By Machine Report'!$C$109:$BD$166,47,FALSE)</f>
        <v>140</v>
      </c>
      <c r="BA42" s="13">
        <f ca="1">VLOOKUP($B42,'[10]Analisys QBR By Machine Report'!$C$109:$BD$166,48,FALSE)</f>
        <v>0</v>
      </c>
      <c r="BB42" s="13">
        <f ca="1">VLOOKUP($B42,'[10]Analisys QBR By Machine Report'!$C$109:$BD$166,49,FALSE)</f>
        <v>0</v>
      </c>
      <c r="BC42" s="13">
        <f ca="1">VLOOKUP($B42,'[10]Analisys QBR By Machine Report'!$C$109:$BD$166,50,FALSE)</f>
        <v>0</v>
      </c>
      <c r="BD42" s="13">
        <f ca="1">VLOOKUP($B42,'[10]Analisys QBR By Machine Report'!$C$109:$BD$166,51,FALSE)</f>
        <v>371572</v>
      </c>
      <c r="BE42" s="13">
        <f ca="1">VLOOKUP($B42,'[10]Analisys QBR By Machine Report'!$C$109:$BD$166,52,FALSE)</f>
        <v>38</v>
      </c>
      <c r="BF42" s="13">
        <f ca="1">VLOOKUP($B42,'[10]Analisys QBR By Machine Report'!$C$109:$BD$166,53,FALSE)</f>
        <v>371534</v>
      </c>
    </row>
    <row r="43" spans="1:58" x14ac:dyDescent="0.25">
      <c r="A43" s="9" t="s">
        <v>99</v>
      </c>
      <c r="B43" s="10">
        <f ca="1">VLOOKUP($B43,'[10]Analisys QBR By Machine Report'!$C$109:$BD$166,2,FALSE)</f>
        <v>34560</v>
      </c>
      <c r="C43" s="11">
        <f ca="1">VLOOKUP($B43,[10]Dasboard_QBR_Report!$B$109:$BL$166,3,FALSE)</f>
        <v>11520</v>
      </c>
      <c r="D43" s="10">
        <f ca="1">VLOOKUP($B43,'[10]Analisys QBR By Machine Report'!$C$109:$BD$166,3,FALSE)</f>
        <v>33060</v>
      </c>
      <c r="E43" s="11">
        <f ca="1">VLOOKUP($B43,[10]Dasboard_QBR_Report!$B$109:$BL$166,5,FALSE)</f>
        <v>10020</v>
      </c>
      <c r="F43" s="10">
        <f t="shared" ca="1" si="0"/>
        <v>1500</v>
      </c>
      <c r="G43" s="10">
        <f t="shared" ca="1" si="1"/>
        <v>705</v>
      </c>
      <c r="H43" s="10">
        <f ca="1">VLOOKUP($B43,'[10]Analisys QBR By Machine Report'!$C$109:$BD$166,4,FALSE)</f>
        <v>705</v>
      </c>
      <c r="I43" s="10">
        <f ca="1">VLOOKUP($B43,'[10]Analisys QBR By Machine Report'!$C$109:$BD$166,5,FALSE)</f>
        <v>0</v>
      </c>
      <c r="J43" s="10">
        <f ca="1">VLOOKUP($B43,'[10]Analisys QBR By Machine Report'!$C$109:$BD$166,6,FALSE)</f>
        <v>705</v>
      </c>
      <c r="K43" s="10">
        <f ca="1">VLOOKUP($B43,'[10]Analisys QBR By Machine Report'!$C$109:$BD$166,7,FALSE)</f>
        <v>0</v>
      </c>
      <c r="L43" s="10">
        <f ca="1">VLOOKUP($B43,'[10]Analisys QBR By Machine Report'!$C$109:$BD$166,8,FALSE)</f>
        <v>795</v>
      </c>
      <c r="M43" s="10">
        <f ca="1">VLOOKUP($B43,'[10]Analisys QBR By Machine Report'!$C$109:$BD$166,9,FALSE)</f>
        <v>63</v>
      </c>
      <c r="N43" s="10">
        <f ca="1">VLOOKUP($B43,[10]Dasboard_QBR_Report!$B$109:$BL$166,18,FALSE)</f>
        <v>732</v>
      </c>
      <c r="O43" s="10">
        <f ca="1">VLOOKUP($B43,'[10]Analisys QBR By Machine Report'!$C$109:$BD$166,10,FALSE)</f>
        <v>35</v>
      </c>
      <c r="P43" s="10">
        <f ca="1">VLOOKUP($B43,'[10]Analisys QBR By Machine Report'!$C$109:$BD$166,11,FALSE)</f>
        <v>20</v>
      </c>
      <c r="Q43" s="10">
        <f ca="1">VLOOKUP($B43,'[10]Analisys QBR By Machine Report'!$C$109:$BD$166,12,FALSE)</f>
        <v>15</v>
      </c>
      <c r="R43" s="10">
        <f ca="1">VLOOKUP($B43,'[10]Analisys QBR By Machine Report'!$C$109:$BD$166,13,FALSE)</f>
        <v>0</v>
      </c>
      <c r="S43" s="10">
        <f ca="1">VLOOKUP($B43,'[10]Analisys QBR By Machine Report'!$C$109:$BD$166,14,FALSE)</f>
        <v>0</v>
      </c>
      <c r="T43" s="10">
        <f ca="1">VLOOKUP($B43,'[10]Analisys QBR By Machine Report'!$C$109:$BD$166,15,FALSE)</f>
        <v>0</v>
      </c>
      <c r="U43" s="10">
        <f ca="1">VLOOKUP($B43,'[10]Analisys QBR By Machine Report'!$C$109:$BD$166,16,FALSE)</f>
        <v>0</v>
      </c>
      <c r="V43" s="10">
        <f ca="1">VLOOKUP($B43,'[10]Analisys QBR By Machine Report'!$C$109:$BD$166,17,FALSE)</f>
        <v>0</v>
      </c>
      <c r="W43" s="10">
        <f ca="1">VLOOKUP($B43,'[10]Analisys QBR By Machine Report'!$C$109:$BD$166,18,FALSE)</f>
        <v>0</v>
      </c>
      <c r="X43" s="10">
        <f ca="1">VLOOKUP($B43,'[10]Analisys QBR By Machine Report'!$C$109:$BD$166,19,FALSE)</f>
        <v>0</v>
      </c>
      <c r="Y43" s="10">
        <f ca="1">VLOOKUP($B43,'[10]Analisys QBR By Machine Report'!$C$109:$BD$166,20,FALSE)</f>
        <v>0</v>
      </c>
      <c r="Z43" s="10">
        <f ca="1">VLOOKUP($B43,'[10]Analisys QBR By Machine Report'!$C$109:$BD$166,21,FALSE)</f>
        <v>311</v>
      </c>
      <c r="AA43" s="10">
        <f ca="1">VLOOKUP($B43,'[10]Analisys QBR By Machine Report'!$C$109:$BD$166,22,FALSE)</f>
        <v>122</v>
      </c>
      <c r="AB43" s="10">
        <f ca="1">VLOOKUP($B43,'[10]Analisys QBR By Machine Report'!$C$109:$BD$166,23,FALSE)</f>
        <v>149</v>
      </c>
      <c r="AC43" s="10">
        <f ca="1">VLOOKUP($B43,'[10]Analisys QBR By Machine Report'!$C$109:$BD$166,24,FALSE)</f>
        <v>0</v>
      </c>
      <c r="AD43" s="10">
        <f ca="1">VLOOKUP($B43,'[10]Analisys QBR By Machine Report'!$C$109:$BD$166,25,FALSE)</f>
        <v>0</v>
      </c>
      <c r="AE43" s="10">
        <f ca="1">VLOOKUP($B43,'[10]Analisys QBR By Machine Report'!$C$109:$BD$166,26,FALSE)</f>
        <v>40</v>
      </c>
      <c r="AF43" s="10">
        <f ca="1">VLOOKUP($B43,'[10]Analisys QBR By Machine Report'!$C$109:$BD$166,27,FALSE)</f>
        <v>0</v>
      </c>
      <c r="AG43" s="10">
        <f ca="1">VLOOKUP($B43,'[10]Analisys QBR By Machine Report'!$C$109:$BD$166,28,FALSE)</f>
        <v>0</v>
      </c>
      <c r="AH43" s="10">
        <f ca="1">VLOOKUP($B43,'[10]Analisys QBR By Machine Report'!$C$109:$BD$166,29,FALSE)</f>
        <v>0</v>
      </c>
      <c r="AI43" s="10">
        <f ca="1">VLOOKUP($B43,'[10]Analisys QBR By Machine Report'!$C$109:$BD$166,30,FALSE)</f>
        <v>386</v>
      </c>
      <c r="AJ43" s="10">
        <f ca="1">VLOOKUP($B43,'[10]Analisys QBR By Machine Report'!$C$109:$BD$166,31,FALSE)</f>
        <v>255</v>
      </c>
      <c r="AK43" s="10">
        <f ca="1">VLOOKUP($B43,'[10]Analisys QBR By Machine Report'!$C$109:$BD$166,32,FALSE)</f>
        <v>0</v>
      </c>
      <c r="AL43" s="10">
        <f ca="1">VLOOKUP($B43,'[10]Analisys QBR By Machine Report'!$C$109:$BD$166,33,FALSE)</f>
        <v>60</v>
      </c>
      <c r="AM43" s="10">
        <f ca="1">VLOOKUP($B43,'[10]Analisys QBR By Machine Report'!$C$109:$BD$166,34,FALSE)</f>
        <v>0</v>
      </c>
      <c r="AN43" s="10">
        <f ca="1">VLOOKUP($B43,'[10]Analisys QBR By Machine Report'!$C$109:$BD$166,35,FALSE)</f>
        <v>30</v>
      </c>
      <c r="AO43" s="10">
        <f ca="1">VLOOKUP($B43,'[10]Analisys QBR By Machine Report'!$C$109:$BD$166,36,FALSE)</f>
        <v>0</v>
      </c>
      <c r="AP43" s="10">
        <f ca="1">VLOOKUP($B43,'[10]Analisys QBR By Machine Report'!$C$109:$BD$166,37,FALSE)</f>
        <v>0</v>
      </c>
      <c r="AQ43" s="10">
        <f ca="1">VLOOKUP($B43,'[10]Analisys QBR By Machine Report'!$C$109:$BD$166,38,FALSE)</f>
        <v>0</v>
      </c>
      <c r="AR43" s="10">
        <f ca="1">VLOOKUP($B43,'[10]Analisys QBR By Machine Report'!$C$109:$BD$166,39,FALSE)</f>
        <v>0</v>
      </c>
      <c r="AS43" s="10">
        <f ca="1">VLOOKUP($B43,'[10]Analisys QBR By Machine Report'!$C$109:$BD$166,40,FALSE)</f>
        <v>0</v>
      </c>
      <c r="AT43" s="10">
        <f ca="1">VLOOKUP($B43,'[10]Analisys QBR By Machine Report'!$C$109:$BD$166,41,FALSE)</f>
        <v>0</v>
      </c>
      <c r="AU43" s="10">
        <f ca="1">VLOOKUP($B43,'[10]Analisys QBR By Machine Report'!$C$109:$BD$166,42,FALSE)</f>
        <v>0</v>
      </c>
      <c r="AV43" s="10">
        <f ca="1">VLOOKUP($B43,'[10]Analisys QBR By Machine Report'!$C$109:$BD$166,43,FALSE)</f>
        <v>0</v>
      </c>
      <c r="AW43" s="10">
        <f ca="1">VLOOKUP($B43,'[10]Analisys QBR By Machine Report'!$C$109:$BD$166,44,FALSE)</f>
        <v>0</v>
      </c>
      <c r="AX43" s="10">
        <f ca="1">VLOOKUP($B43,'[10]Analisys QBR By Machine Report'!$C$109:$BD$166,45,FALSE)</f>
        <v>0</v>
      </c>
      <c r="AY43" s="10">
        <f ca="1">VLOOKUP($B43,'[10]Analisys QBR By Machine Report'!$C$109:$BD$166,46,FALSE)</f>
        <v>0</v>
      </c>
      <c r="AZ43" s="10">
        <f ca="1">VLOOKUP($B43,'[10]Analisys QBR By Machine Report'!$C$109:$BD$166,47,FALSE)</f>
        <v>41</v>
      </c>
      <c r="BA43" s="10">
        <f ca="1">VLOOKUP($B43,'[10]Analisys QBR By Machine Report'!$C$109:$BD$166,48,FALSE)</f>
        <v>0</v>
      </c>
      <c r="BB43" s="10">
        <f ca="1">VLOOKUP($B43,'[10]Analisys QBR By Machine Report'!$C$109:$BD$166,49,FALSE)</f>
        <v>0</v>
      </c>
      <c r="BC43" s="10">
        <f ca="1">VLOOKUP($B43,'[10]Analisys QBR By Machine Report'!$C$109:$BD$166,50,FALSE)</f>
        <v>0</v>
      </c>
      <c r="BD43" s="10">
        <f ca="1">VLOOKUP($B43,'[10]Analisys QBR By Machine Report'!$C$109:$BD$166,51,FALSE)</f>
        <v>426.67</v>
      </c>
      <c r="BE43" s="10">
        <f ca="1">VLOOKUP($B43,'[10]Analisys QBR By Machine Report'!$C$109:$BD$166,52,FALSE)</f>
        <v>1.07</v>
      </c>
      <c r="BF43" s="10">
        <f ca="1">VLOOKUP($B43,'[10]Analisys QBR By Machine Report'!$C$109:$BD$166,53,FALSE)</f>
        <v>425.6</v>
      </c>
    </row>
    <row r="44" spans="1:58" x14ac:dyDescent="0.25">
      <c r="A44" s="12" t="s">
        <v>100</v>
      </c>
      <c r="B44" s="13">
        <f ca="1">VLOOKUP($B44,'[10]Analisys QBR By Machine Report'!$C$109:$BD$166,2,FALSE)</f>
        <v>34560</v>
      </c>
      <c r="C44" s="14">
        <f ca="1">VLOOKUP($B44,[10]Dasboard_QBR_Report!$B$109:$BL$166,3,FALSE)</f>
        <v>11520</v>
      </c>
      <c r="D44" s="13">
        <f ca="1">VLOOKUP($B44,'[10]Analisys QBR By Machine Report'!$C$109:$BD$166,3,FALSE)</f>
        <v>33060</v>
      </c>
      <c r="E44" s="14">
        <f ca="1">VLOOKUP($B44,[10]Dasboard_QBR_Report!$B$109:$BL$166,5,FALSE)</f>
        <v>10020</v>
      </c>
      <c r="F44" s="13">
        <f t="shared" ca="1" si="0"/>
        <v>1500</v>
      </c>
      <c r="G44" s="13">
        <f t="shared" ca="1" si="1"/>
        <v>705</v>
      </c>
      <c r="H44" s="13">
        <f ca="1">VLOOKUP($B44,'[10]Analisys QBR By Machine Report'!$C$109:$BD$166,4,FALSE)</f>
        <v>705</v>
      </c>
      <c r="I44" s="13">
        <f ca="1">VLOOKUP($B44,'[10]Analisys QBR By Machine Report'!$C$109:$BD$166,5,FALSE)</f>
        <v>0</v>
      </c>
      <c r="J44" s="13">
        <f ca="1">VLOOKUP($B44,'[10]Analisys QBR By Machine Report'!$C$109:$BD$166,6,FALSE)</f>
        <v>705</v>
      </c>
      <c r="K44" s="13">
        <f ca="1">VLOOKUP($B44,'[10]Analisys QBR By Machine Report'!$C$109:$BD$166,7,FALSE)</f>
        <v>0</v>
      </c>
      <c r="L44" s="13">
        <f ca="1">VLOOKUP($B44,'[10]Analisys QBR By Machine Report'!$C$109:$BD$166,8,FALSE)</f>
        <v>795</v>
      </c>
      <c r="M44" s="13">
        <f ca="1">VLOOKUP($B44,'[10]Analisys QBR By Machine Report'!$C$109:$BD$166,9,FALSE)</f>
        <v>63</v>
      </c>
      <c r="N44" s="13">
        <f ca="1">VLOOKUP($B44,[10]Dasboard_QBR_Report!$B$109:$BL$166,18,FALSE)</f>
        <v>732</v>
      </c>
      <c r="O44" s="13">
        <f ca="1">VLOOKUP($B44,'[10]Analisys QBR By Machine Report'!$C$109:$BD$166,10,FALSE)</f>
        <v>35</v>
      </c>
      <c r="P44" s="13">
        <f ca="1">VLOOKUP($B44,'[10]Analisys QBR By Machine Report'!$C$109:$BD$166,11,FALSE)</f>
        <v>20</v>
      </c>
      <c r="Q44" s="13">
        <f ca="1">VLOOKUP($B44,'[10]Analisys QBR By Machine Report'!$C$109:$BD$166,12,FALSE)</f>
        <v>15</v>
      </c>
      <c r="R44" s="13">
        <f ca="1">VLOOKUP($B44,'[10]Analisys QBR By Machine Report'!$C$109:$BD$166,13,FALSE)</f>
        <v>0</v>
      </c>
      <c r="S44" s="13">
        <f ca="1">VLOOKUP($B44,'[10]Analisys QBR By Machine Report'!$C$109:$BD$166,14,FALSE)</f>
        <v>0</v>
      </c>
      <c r="T44" s="13">
        <f ca="1">VLOOKUP($B44,'[10]Analisys QBR By Machine Report'!$C$109:$BD$166,15,FALSE)</f>
        <v>0</v>
      </c>
      <c r="U44" s="13">
        <f ca="1">VLOOKUP($B44,'[10]Analisys QBR By Machine Report'!$C$109:$BD$166,16,FALSE)</f>
        <v>0</v>
      </c>
      <c r="V44" s="13">
        <f ca="1">VLOOKUP($B44,'[10]Analisys QBR By Machine Report'!$C$109:$BD$166,17,FALSE)</f>
        <v>0</v>
      </c>
      <c r="W44" s="13">
        <f ca="1">VLOOKUP($B44,'[10]Analisys QBR By Machine Report'!$C$109:$BD$166,18,FALSE)</f>
        <v>0</v>
      </c>
      <c r="X44" s="13">
        <f ca="1">VLOOKUP($B44,'[10]Analisys QBR By Machine Report'!$C$109:$BD$166,19,FALSE)</f>
        <v>0</v>
      </c>
      <c r="Y44" s="13">
        <f ca="1">VLOOKUP($B44,'[10]Analisys QBR By Machine Report'!$C$109:$BD$166,20,FALSE)</f>
        <v>0</v>
      </c>
      <c r="Z44" s="13">
        <f ca="1">VLOOKUP($B44,'[10]Analisys QBR By Machine Report'!$C$109:$BD$166,21,FALSE)</f>
        <v>311</v>
      </c>
      <c r="AA44" s="13">
        <f ca="1">VLOOKUP($B44,'[10]Analisys QBR By Machine Report'!$C$109:$BD$166,22,FALSE)</f>
        <v>122</v>
      </c>
      <c r="AB44" s="13">
        <f ca="1">VLOOKUP($B44,'[10]Analisys QBR By Machine Report'!$C$109:$BD$166,23,FALSE)</f>
        <v>149</v>
      </c>
      <c r="AC44" s="13">
        <f ca="1">VLOOKUP($B44,'[10]Analisys QBR By Machine Report'!$C$109:$BD$166,24,FALSE)</f>
        <v>0</v>
      </c>
      <c r="AD44" s="13">
        <f ca="1">VLOOKUP($B44,'[10]Analisys QBR By Machine Report'!$C$109:$BD$166,25,FALSE)</f>
        <v>0</v>
      </c>
      <c r="AE44" s="13">
        <f ca="1">VLOOKUP($B44,'[10]Analisys QBR By Machine Report'!$C$109:$BD$166,26,FALSE)</f>
        <v>40</v>
      </c>
      <c r="AF44" s="13">
        <f ca="1">VLOOKUP($B44,'[10]Analisys QBR By Machine Report'!$C$109:$BD$166,27,FALSE)</f>
        <v>0</v>
      </c>
      <c r="AG44" s="13">
        <f ca="1">VLOOKUP($B44,'[10]Analisys QBR By Machine Report'!$C$109:$BD$166,28,FALSE)</f>
        <v>0</v>
      </c>
      <c r="AH44" s="13">
        <f ca="1">VLOOKUP($B44,'[10]Analisys QBR By Machine Report'!$C$109:$BD$166,29,FALSE)</f>
        <v>0</v>
      </c>
      <c r="AI44" s="13">
        <f ca="1">VLOOKUP($B44,'[10]Analisys QBR By Machine Report'!$C$109:$BD$166,30,FALSE)</f>
        <v>386</v>
      </c>
      <c r="AJ44" s="13">
        <f ca="1">VLOOKUP($B44,'[10]Analisys QBR By Machine Report'!$C$109:$BD$166,31,FALSE)</f>
        <v>255</v>
      </c>
      <c r="AK44" s="13">
        <f ca="1">VLOOKUP($B44,'[10]Analisys QBR By Machine Report'!$C$109:$BD$166,32,FALSE)</f>
        <v>0</v>
      </c>
      <c r="AL44" s="13">
        <f ca="1">VLOOKUP($B44,'[10]Analisys QBR By Machine Report'!$C$109:$BD$166,33,FALSE)</f>
        <v>60</v>
      </c>
      <c r="AM44" s="13">
        <f ca="1">VLOOKUP($B44,'[10]Analisys QBR By Machine Report'!$C$109:$BD$166,34,FALSE)</f>
        <v>0</v>
      </c>
      <c r="AN44" s="13">
        <f ca="1">VLOOKUP($B44,'[10]Analisys QBR By Machine Report'!$C$109:$BD$166,35,FALSE)</f>
        <v>30</v>
      </c>
      <c r="AO44" s="13">
        <f ca="1">VLOOKUP($B44,'[10]Analisys QBR By Machine Report'!$C$109:$BD$166,36,FALSE)</f>
        <v>0</v>
      </c>
      <c r="AP44" s="13">
        <f ca="1">VLOOKUP($B44,'[10]Analisys QBR By Machine Report'!$C$109:$BD$166,37,FALSE)</f>
        <v>0</v>
      </c>
      <c r="AQ44" s="13">
        <f ca="1">VLOOKUP($B44,'[10]Analisys QBR By Machine Report'!$C$109:$BD$166,38,FALSE)</f>
        <v>0</v>
      </c>
      <c r="AR44" s="13">
        <f ca="1">VLOOKUP($B44,'[10]Analisys QBR By Machine Report'!$C$109:$BD$166,39,FALSE)</f>
        <v>0</v>
      </c>
      <c r="AS44" s="13">
        <f ca="1">VLOOKUP($B44,'[10]Analisys QBR By Machine Report'!$C$109:$BD$166,40,FALSE)</f>
        <v>0</v>
      </c>
      <c r="AT44" s="13">
        <f ca="1">VLOOKUP($B44,'[10]Analisys QBR By Machine Report'!$C$109:$BD$166,41,FALSE)</f>
        <v>0</v>
      </c>
      <c r="AU44" s="13">
        <f ca="1">VLOOKUP($B44,'[10]Analisys QBR By Machine Report'!$C$109:$BD$166,42,FALSE)</f>
        <v>0</v>
      </c>
      <c r="AV44" s="13">
        <f ca="1">VLOOKUP($B44,'[10]Analisys QBR By Machine Report'!$C$109:$BD$166,43,FALSE)</f>
        <v>0</v>
      </c>
      <c r="AW44" s="13">
        <f ca="1">VLOOKUP($B44,'[10]Analisys QBR By Machine Report'!$C$109:$BD$166,44,FALSE)</f>
        <v>0</v>
      </c>
      <c r="AX44" s="13">
        <f ca="1">VLOOKUP($B44,'[10]Analisys QBR By Machine Report'!$C$109:$BD$166,45,FALSE)</f>
        <v>0</v>
      </c>
      <c r="AY44" s="13">
        <f ca="1">VLOOKUP($B44,'[10]Analisys QBR By Machine Report'!$C$109:$BD$166,46,FALSE)</f>
        <v>0</v>
      </c>
      <c r="AZ44" s="13">
        <f ca="1">VLOOKUP($B44,'[10]Analisys QBR By Machine Report'!$C$109:$BD$166,47,FALSE)</f>
        <v>41</v>
      </c>
      <c r="BA44" s="13">
        <f ca="1">VLOOKUP($B44,'[10]Analisys QBR By Machine Report'!$C$109:$BD$166,48,FALSE)</f>
        <v>0</v>
      </c>
      <c r="BB44" s="13">
        <f ca="1">VLOOKUP($B44,'[10]Analisys QBR By Machine Report'!$C$109:$BD$166,49,FALSE)</f>
        <v>0</v>
      </c>
      <c r="BC44" s="13">
        <f ca="1">VLOOKUP($B44,'[10]Analisys QBR By Machine Report'!$C$109:$BD$166,50,FALSE)</f>
        <v>0</v>
      </c>
      <c r="BD44" s="13">
        <f ca="1">VLOOKUP($B44,'[10]Analisys QBR By Machine Report'!$C$109:$BD$166,51,FALSE)</f>
        <v>426.67</v>
      </c>
      <c r="BE44" s="13">
        <f ca="1">VLOOKUP($B44,'[10]Analisys QBR By Machine Report'!$C$109:$BD$166,52,FALSE)</f>
        <v>1.07</v>
      </c>
      <c r="BF44" s="13">
        <f ca="1">VLOOKUP($B44,'[10]Analisys QBR By Machine Report'!$C$109:$BD$166,53,FALSE)</f>
        <v>425.6</v>
      </c>
    </row>
    <row r="45" spans="1:58" x14ac:dyDescent="0.25">
      <c r="A45" s="9" t="s">
        <v>101</v>
      </c>
      <c r="B45" s="10">
        <f ca="1">VLOOKUP($B45,'[10]Analisys QBR By Machine Report'!$C$109:$BD$166,2,FALSE)</f>
        <v>34560</v>
      </c>
      <c r="C45" s="11">
        <f ca="1">VLOOKUP($B45,[10]Dasboard_QBR_Report!$B$109:$BL$166,3,FALSE)</f>
        <v>11520</v>
      </c>
      <c r="D45" s="10">
        <f ca="1">VLOOKUP($B45,'[10]Analisys QBR By Machine Report'!$C$109:$BD$166,3,FALSE)</f>
        <v>33540</v>
      </c>
      <c r="E45" s="11">
        <f ca="1">VLOOKUP($B45,[10]Dasboard_QBR_Report!$B$109:$BL$166,5,FALSE)</f>
        <v>10500</v>
      </c>
      <c r="F45" s="10">
        <f t="shared" ca="1" si="0"/>
        <v>1020</v>
      </c>
      <c r="G45" s="10">
        <f t="shared" ca="1" si="1"/>
        <v>30</v>
      </c>
      <c r="H45" s="10">
        <f ca="1">VLOOKUP($B45,'[10]Analisys QBR By Machine Report'!$C$109:$BD$166,4,FALSE)</f>
        <v>30</v>
      </c>
      <c r="I45" s="10">
        <f ca="1">VLOOKUP($B45,'[10]Analisys QBR By Machine Report'!$C$109:$BD$166,5,FALSE)</f>
        <v>30</v>
      </c>
      <c r="J45" s="10">
        <f ca="1">VLOOKUP($B45,'[10]Analisys QBR By Machine Report'!$C$109:$BD$166,6,FALSE)</f>
        <v>0</v>
      </c>
      <c r="K45" s="10">
        <f ca="1">VLOOKUP($B45,'[10]Analisys QBR By Machine Report'!$C$109:$BD$166,7,FALSE)</f>
        <v>0</v>
      </c>
      <c r="L45" s="10">
        <f ca="1">VLOOKUP($B45,'[10]Analisys QBR By Machine Report'!$C$109:$BD$166,8,FALSE)</f>
        <v>990</v>
      </c>
      <c r="M45" s="10">
        <f ca="1">VLOOKUP($B45,'[10]Analisys QBR By Machine Report'!$C$109:$BD$166,9,FALSE)</f>
        <v>340</v>
      </c>
      <c r="N45" s="10">
        <f ca="1">VLOOKUP($B45,[10]Dasboard_QBR_Report!$B$109:$BL$166,18,FALSE)</f>
        <v>650</v>
      </c>
      <c r="O45" s="10">
        <f ca="1">VLOOKUP($B45,'[10]Analisys QBR By Machine Report'!$C$109:$BD$166,10,FALSE)</f>
        <v>80</v>
      </c>
      <c r="P45" s="10">
        <f ca="1">VLOOKUP($B45,'[10]Analisys QBR By Machine Report'!$C$109:$BD$166,11,FALSE)</f>
        <v>65</v>
      </c>
      <c r="Q45" s="10">
        <f ca="1">VLOOKUP($B45,'[10]Analisys QBR By Machine Report'!$C$109:$BD$166,12,FALSE)</f>
        <v>0</v>
      </c>
      <c r="R45" s="10">
        <f ca="1">VLOOKUP($B45,'[10]Analisys QBR By Machine Report'!$C$109:$BD$166,13,FALSE)</f>
        <v>15</v>
      </c>
      <c r="S45" s="10">
        <f ca="1">VLOOKUP($B45,'[10]Analisys QBR By Machine Report'!$C$109:$BD$166,14,FALSE)</f>
        <v>0</v>
      </c>
      <c r="T45" s="10">
        <f ca="1">VLOOKUP($B45,'[10]Analisys QBR By Machine Report'!$C$109:$BD$166,15,FALSE)</f>
        <v>0</v>
      </c>
      <c r="U45" s="10">
        <f ca="1">VLOOKUP($B45,'[10]Analisys QBR By Machine Report'!$C$109:$BD$166,16,FALSE)</f>
        <v>0</v>
      </c>
      <c r="V45" s="10">
        <f ca="1">VLOOKUP($B45,'[10]Analisys QBR By Machine Report'!$C$109:$BD$166,17,FALSE)</f>
        <v>0</v>
      </c>
      <c r="W45" s="10">
        <f ca="1">VLOOKUP($B45,'[10]Analisys QBR By Machine Report'!$C$109:$BD$166,18,FALSE)</f>
        <v>0</v>
      </c>
      <c r="X45" s="10">
        <f ca="1">VLOOKUP($B45,'[10]Analisys QBR By Machine Report'!$C$109:$BD$166,19,FALSE)</f>
        <v>0</v>
      </c>
      <c r="Y45" s="10">
        <f ca="1">VLOOKUP($B45,'[10]Analisys QBR By Machine Report'!$C$109:$BD$166,20,FALSE)</f>
        <v>0</v>
      </c>
      <c r="Z45" s="10">
        <f ca="1">VLOOKUP($B45,'[10]Analisys QBR By Machine Report'!$C$109:$BD$166,21,FALSE)</f>
        <v>315</v>
      </c>
      <c r="AA45" s="10">
        <f ca="1">VLOOKUP($B45,'[10]Analisys QBR By Machine Report'!$C$109:$BD$166,22,FALSE)</f>
        <v>255</v>
      </c>
      <c r="AB45" s="10">
        <f ca="1">VLOOKUP($B45,'[10]Analisys QBR By Machine Report'!$C$109:$BD$166,23,FALSE)</f>
        <v>45</v>
      </c>
      <c r="AC45" s="10">
        <f ca="1">VLOOKUP($B45,'[10]Analisys QBR By Machine Report'!$C$109:$BD$166,24,FALSE)</f>
        <v>0</v>
      </c>
      <c r="AD45" s="10">
        <f ca="1">VLOOKUP($B45,'[10]Analisys QBR By Machine Report'!$C$109:$BD$166,25,FALSE)</f>
        <v>0</v>
      </c>
      <c r="AE45" s="10">
        <f ca="1">VLOOKUP($B45,'[10]Analisys QBR By Machine Report'!$C$109:$BD$166,26,FALSE)</f>
        <v>15</v>
      </c>
      <c r="AF45" s="10">
        <f ca="1">VLOOKUP($B45,'[10]Analisys QBR By Machine Report'!$C$109:$BD$166,27,FALSE)</f>
        <v>0</v>
      </c>
      <c r="AG45" s="10">
        <f ca="1">VLOOKUP($B45,'[10]Analisys QBR By Machine Report'!$C$109:$BD$166,28,FALSE)</f>
        <v>0</v>
      </c>
      <c r="AH45" s="10">
        <f ca="1">VLOOKUP($B45,'[10]Analisys QBR By Machine Report'!$C$109:$BD$166,29,FALSE)</f>
        <v>0</v>
      </c>
      <c r="AI45" s="10">
        <f ca="1">VLOOKUP($B45,'[10]Analisys QBR By Machine Report'!$C$109:$BD$166,30,FALSE)</f>
        <v>255</v>
      </c>
      <c r="AJ45" s="10">
        <f ca="1">VLOOKUP($B45,'[10]Analisys QBR By Machine Report'!$C$109:$BD$166,31,FALSE)</f>
        <v>0</v>
      </c>
      <c r="AK45" s="10">
        <f ca="1">VLOOKUP($B45,'[10]Analisys QBR By Machine Report'!$C$109:$BD$166,32,FALSE)</f>
        <v>0</v>
      </c>
      <c r="AL45" s="10">
        <f ca="1">VLOOKUP($B45,'[10]Analisys QBR By Machine Report'!$C$109:$BD$166,33,FALSE)</f>
        <v>60</v>
      </c>
      <c r="AM45" s="10">
        <f ca="1">VLOOKUP($B45,'[10]Analisys QBR By Machine Report'!$C$109:$BD$166,34,FALSE)</f>
        <v>0</v>
      </c>
      <c r="AN45" s="10">
        <f ca="1">VLOOKUP($B45,'[10]Analisys QBR By Machine Report'!$C$109:$BD$166,35,FALSE)</f>
        <v>45</v>
      </c>
      <c r="AO45" s="10">
        <f ca="1">VLOOKUP($B45,'[10]Analisys QBR By Machine Report'!$C$109:$BD$166,36,FALSE)</f>
        <v>0</v>
      </c>
      <c r="AP45" s="10">
        <f ca="1">VLOOKUP($B45,'[10]Analisys QBR By Machine Report'!$C$109:$BD$166,37,FALSE)</f>
        <v>0</v>
      </c>
      <c r="AQ45" s="10">
        <f ca="1">VLOOKUP($B45,'[10]Analisys QBR By Machine Report'!$C$109:$BD$166,38,FALSE)</f>
        <v>15</v>
      </c>
      <c r="AR45" s="10">
        <f ca="1">VLOOKUP($B45,'[10]Analisys QBR By Machine Report'!$C$109:$BD$166,39,FALSE)</f>
        <v>15</v>
      </c>
      <c r="AS45" s="10">
        <f ca="1">VLOOKUP($B45,'[10]Analisys QBR By Machine Report'!$C$109:$BD$166,40,FALSE)</f>
        <v>20</v>
      </c>
      <c r="AT45" s="10">
        <f ca="1">VLOOKUP($B45,'[10]Analisys QBR By Machine Report'!$C$109:$BD$166,41,FALSE)</f>
        <v>0</v>
      </c>
      <c r="AU45" s="10">
        <f ca="1">VLOOKUP($B45,'[10]Analisys QBR By Machine Report'!$C$109:$BD$166,42,FALSE)</f>
        <v>0</v>
      </c>
      <c r="AV45" s="10">
        <f ca="1">VLOOKUP($B45,'[10]Analisys QBR By Machine Report'!$C$109:$BD$166,43,FALSE)</f>
        <v>0</v>
      </c>
      <c r="AW45" s="10">
        <f ca="1">VLOOKUP($B45,'[10]Analisys QBR By Machine Report'!$C$109:$BD$166,44,FALSE)</f>
        <v>0</v>
      </c>
      <c r="AX45" s="10">
        <f ca="1">VLOOKUP($B45,'[10]Analisys QBR By Machine Report'!$C$109:$BD$166,45,FALSE)</f>
        <v>0</v>
      </c>
      <c r="AY45" s="10">
        <f ca="1">VLOOKUP($B45,'[10]Analisys QBR By Machine Report'!$C$109:$BD$166,46,FALSE)</f>
        <v>0</v>
      </c>
      <c r="AZ45" s="10">
        <f ca="1">VLOOKUP($B45,'[10]Analisys QBR By Machine Report'!$C$109:$BD$166,47,FALSE)</f>
        <v>20</v>
      </c>
      <c r="BA45" s="10">
        <f ca="1">VLOOKUP($B45,'[10]Analisys QBR By Machine Report'!$C$109:$BD$166,48,FALSE)</f>
        <v>80</v>
      </c>
      <c r="BB45" s="10">
        <f ca="1">VLOOKUP($B45,'[10]Analisys QBR By Machine Report'!$C$109:$BD$166,49,FALSE)</f>
        <v>0</v>
      </c>
      <c r="BC45" s="10">
        <f ca="1">VLOOKUP($B45,'[10]Analisys QBR By Machine Report'!$C$109:$BD$166,50,FALSE)</f>
        <v>0</v>
      </c>
      <c r="BD45" s="10">
        <f ca="1">VLOOKUP($B45,'[10]Analisys QBR By Machine Report'!$C$109:$BD$166,51,FALSE)</f>
        <v>12203</v>
      </c>
      <c r="BE45" s="10">
        <f ca="1">VLOOKUP($B45,'[10]Analisys QBR By Machine Report'!$C$109:$BD$166,52,FALSE)</f>
        <v>31</v>
      </c>
      <c r="BF45" s="10">
        <f ca="1">VLOOKUP($B45,'[10]Analisys QBR By Machine Report'!$C$109:$BD$166,53,FALSE)</f>
        <v>12172</v>
      </c>
    </row>
    <row r="46" spans="1:58" x14ac:dyDescent="0.25">
      <c r="A46" s="12" t="s">
        <v>102</v>
      </c>
      <c r="B46" s="13">
        <f ca="1">VLOOKUP($B46,'[10]Analisys QBR By Machine Report'!$C$109:$BD$166,2,FALSE)</f>
        <v>34560</v>
      </c>
      <c r="C46" s="14">
        <f ca="1">VLOOKUP($B46,[10]Dasboard_QBR_Report!$B$109:$BL$166,3,FALSE)</f>
        <v>11520</v>
      </c>
      <c r="D46" s="13">
        <f ca="1">VLOOKUP($B46,'[10]Analisys QBR By Machine Report'!$C$109:$BD$166,3,FALSE)</f>
        <v>33540</v>
      </c>
      <c r="E46" s="14">
        <f ca="1">VLOOKUP($B46,[10]Dasboard_QBR_Report!$B$109:$BL$166,5,FALSE)</f>
        <v>10500</v>
      </c>
      <c r="F46" s="13">
        <f t="shared" ca="1" si="0"/>
        <v>1020</v>
      </c>
      <c r="G46" s="13">
        <f t="shared" ca="1" si="1"/>
        <v>30</v>
      </c>
      <c r="H46" s="13">
        <f ca="1">VLOOKUP($B46,'[10]Analisys QBR By Machine Report'!$C$109:$BD$166,4,FALSE)</f>
        <v>30</v>
      </c>
      <c r="I46" s="13">
        <f ca="1">VLOOKUP($B46,'[10]Analisys QBR By Machine Report'!$C$109:$BD$166,5,FALSE)</f>
        <v>30</v>
      </c>
      <c r="J46" s="13">
        <f ca="1">VLOOKUP($B46,'[10]Analisys QBR By Machine Report'!$C$109:$BD$166,6,FALSE)</f>
        <v>0</v>
      </c>
      <c r="K46" s="13">
        <f ca="1">VLOOKUP($B46,'[10]Analisys QBR By Machine Report'!$C$109:$BD$166,7,FALSE)</f>
        <v>0</v>
      </c>
      <c r="L46" s="13">
        <f ca="1">VLOOKUP($B46,'[10]Analisys QBR By Machine Report'!$C$109:$BD$166,8,FALSE)</f>
        <v>990</v>
      </c>
      <c r="M46" s="13">
        <f ca="1">VLOOKUP($B46,'[10]Analisys QBR By Machine Report'!$C$109:$BD$166,9,FALSE)</f>
        <v>340</v>
      </c>
      <c r="N46" s="13">
        <f ca="1">VLOOKUP($B46,[10]Dasboard_QBR_Report!$B$109:$BL$166,18,FALSE)</f>
        <v>650</v>
      </c>
      <c r="O46" s="13">
        <f ca="1">VLOOKUP($B46,'[10]Analisys QBR By Machine Report'!$C$109:$BD$166,10,FALSE)</f>
        <v>80</v>
      </c>
      <c r="P46" s="13">
        <f ca="1">VLOOKUP($B46,'[10]Analisys QBR By Machine Report'!$C$109:$BD$166,11,FALSE)</f>
        <v>65</v>
      </c>
      <c r="Q46" s="13">
        <f ca="1">VLOOKUP($B46,'[10]Analisys QBR By Machine Report'!$C$109:$BD$166,12,FALSE)</f>
        <v>0</v>
      </c>
      <c r="R46" s="13">
        <f ca="1">VLOOKUP($B46,'[10]Analisys QBR By Machine Report'!$C$109:$BD$166,13,FALSE)</f>
        <v>15</v>
      </c>
      <c r="S46" s="13">
        <f ca="1">VLOOKUP($B46,'[10]Analisys QBR By Machine Report'!$C$109:$BD$166,14,FALSE)</f>
        <v>0</v>
      </c>
      <c r="T46" s="13">
        <f ca="1">VLOOKUP($B46,'[10]Analisys QBR By Machine Report'!$C$109:$BD$166,15,FALSE)</f>
        <v>0</v>
      </c>
      <c r="U46" s="13">
        <f ca="1">VLOOKUP($B46,'[10]Analisys QBR By Machine Report'!$C$109:$BD$166,16,FALSE)</f>
        <v>0</v>
      </c>
      <c r="V46" s="13">
        <f ca="1">VLOOKUP($B46,'[10]Analisys QBR By Machine Report'!$C$109:$BD$166,17,FALSE)</f>
        <v>0</v>
      </c>
      <c r="W46" s="13">
        <f ca="1">VLOOKUP($B46,'[10]Analisys QBR By Machine Report'!$C$109:$BD$166,18,FALSE)</f>
        <v>0</v>
      </c>
      <c r="X46" s="13">
        <f ca="1">VLOOKUP($B46,'[10]Analisys QBR By Machine Report'!$C$109:$BD$166,19,FALSE)</f>
        <v>0</v>
      </c>
      <c r="Y46" s="13">
        <f ca="1">VLOOKUP($B46,'[10]Analisys QBR By Machine Report'!$C$109:$BD$166,20,FALSE)</f>
        <v>0</v>
      </c>
      <c r="Z46" s="13">
        <f ca="1">VLOOKUP($B46,'[10]Analisys QBR By Machine Report'!$C$109:$BD$166,21,FALSE)</f>
        <v>315</v>
      </c>
      <c r="AA46" s="13">
        <f ca="1">VLOOKUP($B46,'[10]Analisys QBR By Machine Report'!$C$109:$BD$166,22,FALSE)</f>
        <v>255</v>
      </c>
      <c r="AB46" s="13">
        <f ca="1">VLOOKUP($B46,'[10]Analisys QBR By Machine Report'!$C$109:$BD$166,23,FALSE)</f>
        <v>45</v>
      </c>
      <c r="AC46" s="13">
        <f ca="1">VLOOKUP($B46,'[10]Analisys QBR By Machine Report'!$C$109:$BD$166,24,FALSE)</f>
        <v>0</v>
      </c>
      <c r="AD46" s="13">
        <f ca="1">VLOOKUP($B46,'[10]Analisys QBR By Machine Report'!$C$109:$BD$166,25,FALSE)</f>
        <v>0</v>
      </c>
      <c r="AE46" s="13">
        <f ca="1">VLOOKUP($B46,'[10]Analisys QBR By Machine Report'!$C$109:$BD$166,26,FALSE)</f>
        <v>15</v>
      </c>
      <c r="AF46" s="13">
        <f ca="1">VLOOKUP($B46,'[10]Analisys QBR By Machine Report'!$C$109:$BD$166,27,FALSE)</f>
        <v>0</v>
      </c>
      <c r="AG46" s="13">
        <f ca="1">VLOOKUP($B46,'[10]Analisys QBR By Machine Report'!$C$109:$BD$166,28,FALSE)</f>
        <v>0</v>
      </c>
      <c r="AH46" s="13">
        <f ca="1">VLOOKUP($B46,'[10]Analisys QBR By Machine Report'!$C$109:$BD$166,29,FALSE)</f>
        <v>0</v>
      </c>
      <c r="AI46" s="13">
        <f ca="1">VLOOKUP($B46,'[10]Analisys QBR By Machine Report'!$C$109:$BD$166,30,FALSE)</f>
        <v>255</v>
      </c>
      <c r="AJ46" s="13">
        <f ca="1">VLOOKUP($B46,'[10]Analisys QBR By Machine Report'!$C$109:$BD$166,31,FALSE)</f>
        <v>0</v>
      </c>
      <c r="AK46" s="13">
        <f ca="1">VLOOKUP($B46,'[10]Analisys QBR By Machine Report'!$C$109:$BD$166,32,FALSE)</f>
        <v>0</v>
      </c>
      <c r="AL46" s="13">
        <f ca="1">VLOOKUP($B46,'[10]Analisys QBR By Machine Report'!$C$109:$BD$166,33,FALSE)</f>
        <v>60</v>
      </c>
      <c r="AM46" s="13">
        <f ca="1">VLOOKUP($B46,'[10]Analisys QBR By Machine Report'!$C$109:$BD$166,34,FALSE)</f>
        <v>0</v>
      </c>
      <c r="AN46" s="13">
        <f ca="1">VLOOKUP($B46,'[10]Analisys QBR By Machine Report'!$C$109:$BD$166,35,FALSE)</f>
        <v>45</v>
      </c>
      <c r="AO46" s="13">
        <f ca="1">VLOOKUP($B46,'[10]Analisys QBR By Machine Report'!$C$109:$BD$166,36,FALSE)</f>
        <v>0</v>
      </c>
      <c r="AP46" s="13">
        <f ca="1">VLOOKUP($B46,'[10]Analisys QBR By Machine Report'!$C$109:$BD$166,37,FALSE)</f>
        <v>0</v>
      </c>
      <c r="AQ46" s="13">
        <f ca="1">VLOOKUP($B46,'[10]Analisys QBR By Machine Report'!$C$109:$BD$166,38,FALSE)</f>
        <v>15</v>
      </c>
      <c r="AR46" s="13">
        <f ca="1">VLOOKUP($B46,'[10]Analisys QBR By Machine Report'!$C$109:$BD$166,39,FALSE)</f>
        <v>15</v>
      </c>
      <c r="AS46" s="13">
        <f ca="1">VLOOKUP($B46,'[10]Analisys QBR By Machine Report'!$C$109:$BD$166,40,FALSE)</f>
        <v>20</v>
      </c>
      <c r="AT46" s="13">
        <f ca="1">VLOOKUP($B46,'[10]Analisys QBR By Machine Report'!$C$109:$BD$166,41,FALSE)</f>
        <v>0</v>
      </c>
      <c r="AU46" s="13">
        <f ca="1">VLOOKUP($B46,'[10]Analisys QBR By Machine Report'!$C$109:$BD$166,42,FALSE)</f>
        <v>0</v>
      </c>
      <c r="AV46" s="13">
        <f ca="1">VLOOKUP($B46,'[10]Analisys QBR By Machine Report'!$C$109:$BD$166,43,FALSE)</f>
        <v>0</v>
      </c>
      <c r="AW46" s="13">
        <f ca="1">VLOOKUP($B46,'[10]Analisys QBR By Machine Report'!$C$109:$BD$166,44,FALSE)</f>
        <v>0</v>
      </c>
      <c r="AX46" s="13">
        <f ca="1">VLOOKUP($B46,'[10]Analisys QBR By Machine Report'!$C$109:$BD$166,45,FALSE)</f>
        <v>0</v>
      </c>
      <c r="AY46" s="13">
        <f ca="1">VLOOKUP($B46,'[10]Analisys QBR By Machine Report'!$C$109:$BD$166,46,FALSE)</f>
        <v>0</v>
      </c>
      <c r="AZ46" s="13">
        <f ca="1">VLOOKUP($B46,'[10]Analisys QBR By Machine Report'!$C$109:$BD$166,47,FALSE)</f>
        <v>20</v>
      </c>
      <c r="BA46" s="13">
        <f ca="1">VLOOKUP($B46,'[10]Analisys QBR By Machine Report'!$C$109:$BD$166,48,FALSE)</f>
        <v>80</v>
      </c>
      <c r="BB46" s="13">
        <f ca="1">VLOOKUP($B46,'[10]Analisys QBR By Machine Report'!$C$109:$BD$166,49,FALSE)</f>
        <v>0</v>
      </c>
      <c r="BC46" s="13">
        <f ca="1">VLOOKUP($B46,'[10]Analisys QBR By Machine Report'!$C$109:$BD$166,50,FALSE)</f>
        <v>0</v>
      </c>
      <c r="BD46" s="13">
        <f ca="1">VLOOKUP($B46,'[10]Analisys QBR By Machine Report'!$C$109:$BD$166,51,FALSE)</f>
        <v>12203</v>
      </c>
      <c r="BE46" s="13">
        <f ca="1">VLOOKUP($B46,'[10]Analisys QBR By Machine Report'!$C$109:$BD$166,52,FALSE)</f>
        <v>31</v>
      </c>
      <c r="BF46" s="13">
        <f ca="1">VLOOKUP($B46,'[10]Analisys QBR By Machine Report'!$C$109:$BD$166,53,FALSE)</f>
        <v>12172</v>
      </c>
    </row>
    <row r="47" spans="1:58" x14ac:dyDescent="0.25">
      <c r="A47" s="9" t="s">
        <v>103</v>
      </c>
      <c r="B47" s="10">
        <f ca="1">VLOOKUP($B47,'[10]Analisys QBR By Machine Report'!$C$109:$BD$166,2,FALSE)</f>
        <v>34560</v>
      </c>
      <c r="C47" s="11">
        <f ca="1">VLOOKUP($B47,[10]Dasboard_QBR_Report!$B$109:$BL$166,3,FALSE)</f>
        <v>11520</v>
      </c>
      <c r="D47" s="10">
        <f ca="1">VLOOKUP($B47,'[10]Analisys QBR By Machine Report'!$C$109:$BD$166,3,FALSE)</f>
        <v>31500</v>
      </c>
      <c r="E47" s="11">
        <f ca="1">VLOOKUP($B47,[10]Dasboard_QBR_Report!$B$109:$BL$166,5,FALSE)</f>
        <v>8460</v>
      </c>
      <c r="F47" s="10">
        <f t="shared" ca="1" si="0"/>
        <v>3060</v>
      </c>
      <c r="G47" s="10">
        <f t="shared" ca="1" si="1"/>
        <v>195</v>
      </c>
      <c r="H47" s="10">
        <f ca="1">VLOOKUP($B47,'[10]Analisys QBR By Machine Report'!$C$109:$BD$166,4,FALSE)</f>
        <v>195</v>
      </c>
      <c r="I47" s="10">
        <f ca="1">VLOOKUP($B47,'[10]Analisys QBR By Machine Report'!$C$109:$BD$166,5,FALSE)</f>
        <v>150</v>
      </c>
      <c r="J47" s="10">
        <f ca="1">VLOOKUP($B47,'[10]Analisys QBR By Machine Report'!$C$109:$BD$166,6,FALSE)</f>
        <v>45</v>
      </c>
      <c r="K47" s="10">
        <f ca="1">VLOOKUP($B47,'[10]Analisys QBR By Machine Report'!$C$109:$BD$166,7,FALSE)</f>
        <v>0</v>
      </c>
      <c r="L47" s="10">
        <f ca="1">VLOOKUP($B47,'[10]Analisys QBR By Machine Report'!$C$109:$BD$166,8,FALSE)</f>
        <v>2865</v>
      </c>
      <c r="M47" s="10">
        <f ca="1">VLOOKUP($B47,'[10]Analisys QBR By Machine Report'!$C$109:$BD$166,9,FALSE)</f>
        <v>985</v>
      </c>
      <c r="N47" s="10">
        <f ca="1">VLOOKUP($B47,[10]Dasboard_QBR_Report!$B$109:$BL$166,18,FALSE)</f>
        <v>1880</v>
      </c>
      <c r="O47" s="10">
        <f ca="1">VLOOKUP($B47,'[10]Analisys QBR By Machine Report'!$C$109:$BD$166,10,FALSE)</f>
        <v>550</v>
      </c>
      <c r="P47" s="10">
        <f ca="1">VLOOKUP($B47,'[10]Analisys QBR By Machine Report'!$C$109:$BD$166,11,FALSE)</f>
        <v>235</v>
      </c>
      <c r="Q47" s="10">
        <f ca="1">VLOOKUP($B47,'[10]Analisys QBR By Machine Report'!$C$109:$BD$166,12,FALSE)</f>
        <v>0</v>
      </c>
      <c r="R47" s="10">
        <f ca="1">VLOOKUP($B47,'[10]Analisys QBR By Machine Report'!$C$109:$BD$166,13,FALSE)</f>
        <v>20</v>
      </c>
      <c r="S47" s="10">
        <f ca="1">VLOOKUP($B47,'[10]Analisys QBR By Machine Report'!$C$109:$BD$166,14,FALSE)</f>
        <v>295</v>
      </c>
      <c r="T47" s="10">
        <f ca="1">VLOOKUP($B47,'[10]Analisys QBR By Machine Report'!$C$109:$BD$166,15,FALSE)</f>
        <v>0</v>
      </c>
      <c r="U47" s="10">
        <f ca="1">VLOOKUP($B47,'[10]Analisys QBR By Machine Report'!$C$109:$BD$166,16,FALSE)</f>
        <v>0</v>
      </c>
      <c r="V47" s="10">
        <f ca="1">VLOOKUP($B47,'[10]Analisys QBR By Machine Report'!$C$109:$BD$166,17,FALSE)</f>
        <v>0</v>
      </c>
      <c r="W47" s="10">
        <f ca="1">VLOOKUP($B47,'[10]Analisys QBR By Machine Report'!$C$109:$BD$166,18,FALSE)</f>
        <v>0</v>
      </c>
      <c r="X47" s="10">
        <f ca="1">VLOOKUP($B47,'[10]Analisys QBR By Machine Report'!$C$109:$BD$166,19,FALSE)</f>
        <v>0</v>
      </c>
      <c r="Y47" s="10">
        <f ca="1">VLOOKUP($B47,'[10]Analisys QBR By Machine Report'!$C$109:$BD$166,20,FALSE)</f>
        <v>0</v>
      </c>
      <c r="Z47" s="10">
        <f ca="1">VLOOKUP($B47,'[10]Analisys QBR By Machine Report'!$C$109:$BD$166,21,FALSE)</f>
        <v>810</v>
      </c>
      <c r="AA47" s="10">
        <f ca="1">VLOOKUP($B47,'[10]Analisys QBR By Machine Report'!$C$109:$BD$166,22,FALSE)</f>
        <v>190</v>
      </c>
      <c r="AB47" s="10">
        <f ca="1">VLOOKUP($B47,'[10]Analisys QBR By Machine Report'!$C$109:$BD$166,23,FALSE)</f>
        <v>0</v>
      </c>
      <c r="AC47" s="10">
        <f ca="1">VLOOKUP($B47,'[10]Analisys QBR By Machine Report'!$C$109:$BD$166,24,FALSE)</f>
        <v>0</v>
      </c>
      <c r="AD47" s="10">
        <f ca="1">VLOOKUP($B47,'[10]Analisys QBR By Machine Report'!$C$109:$BD$166,25,FALSE)</f>
        <v>0</v>
      </c>
      <c r="AE47" s="10">
        <f ca="1">VLOOKUP($B47,'[10]Analisys QBR By Machine Report'!$C$109:$BD$166,26,FALSE)</f>
        <v>620</v>
      </c>
      <c r="AF47" s="10">
        <f ca="1">VLOOKUP($B47,'[10]Analisys QBR By Machine Report'!$C$109:$BD$166,27,FALSE)</f>
        <v>0</v>
      </c>
      <c r="AG47" s="10">
        <f ca="1">VLOOKUP($B47,'[10]Analisys QBR By Machine Report'!$C$109:$BD$166,28,FALSE)</f>
        <v>0</v>
      </c>
      <c r="AH47" s="10">
        <f ca="1">VLOOKUP($B47,'[10]Analisys QBR By Machine Report'!$C$109:$BD$166,29,FALSE)</f>
        <v>0</v>
      </c>
      <c r="AI47" s="10">
        <f ca="1">VLOOKUP($B47,'[10]Analisys QBR By Machine Report'!$C$109:$BD$166,30,FALSE)</f>
        <v>520</v>
      </c>
      <c r="AJ47" s="10">
        <f ca="1">VLOOKUP($B47,'[10]Analisys QBR By Machine Report'!$C$109:$BD$166,31,FALSE)</f>
        <v>0</v>
      </c>
      <c r="AK47" s="10">
        <f ca="1">VLOOKUP($B47,'[10]Analisys QBR By Machine Report'!$C$109:$BD$166,32,FALSE)</f>
        <v>0</v>
      </c>
      <c r="AL47" s="10">
        <f ca="1">VLOOKUP($B47,'[10]Analisys QBR By Machine Report'!$C$109:$BD$166,33,FALSE)</f>
        <v>180</v>
      </c>
      <c r="AM47" s="10">
        <f ca="1">VLOOKUP($B47,'[10]Analisys QBR By Machine Report'!$C$109:$BD$166,34,FALSE)</f>
        <v>0</v>
      </c>
      <c r="AN47" s="10">
        <f ca="1">VLOOKUP($B47,'[10]Analisys QBR By Machine Report'!$C$109:$BD$166,35,FALSE)</f>
        <v>90</v>
      </c>
      <c r="AO47" s="10">
        <f ca="1">VLOOKUP($B47,'[10]Analisys QBR By Machine Report'!$C$109:$BD$166,36,FALSE)</f>
        <v>0</v>
      </c>
      <c r="AP47" s="10">
        <f ca="1">VLOOKUP($B47,'[10]Analisys QBR By Machine Report'!$C$109:$BD$166,37,FALSE)</f>
        <v>0</v>
      </c>
      <c r="AQ47" s="10">
        <f ca="1">VLOOKUP($B47,'[10]Analisys QBR By Machine Report'!$C$109:$BD$166,38,FALSE)</f>
        <v>0</v>
      </c>
      <c r="AR47" s="10">
        <f ca="1">VLOOKUP($B47,'[10]Analisys QBR By Machine Report'!$C$109:$BD$166,39,FALSE)</f>
        <v>195</v>
      </c>
      <c r="AS47" s="10">
        <f ca="1">VLOOKUP($B47,'[10]Analisys QBR By Machine Report'!$C$109:$BD$166,40,FALSE)</f>
        <v>35</v>
      </c>
      <c r="AT47" s="10">
        <f ca="1">VLOOKUP($B47,'[10]Analisys QBR By Machine Report'!$C$109:$BD$166,41,FALSE)</f>
        <v>0</v>
      </c>
      <c r="AU47" s="10">
        <f ca="1">VLOOKUP($B47,'[10]Analisys QBR By Machine Report'!$C$109:$BD$166,42,FALSE)</f>
        <v>0</v>
      </c>
      <c r="AV47" s="10">
        <f ca="1">VLOOKUP($B47,'[10]Analisys QBR By Machine Report'!$C$109:$BD$166,43,FALSE)</f>
        <v>0</v>
      </c>
      <c r="AW47" s="10">
        <f ca="1">VLOOKUP($B47,'[10]Analisys QBR By Machine Report'!$C$109:$BD$166,44,FALSE)</f>
        <v>0</v>
      </c>
      <c r="AX47" s="10">
        <f ca="1">VLOOKUP($B47,'[10]Analisys QBR By Machine Report'!$C$109:$BD$166,45,FALSE)</f>
        <v>0</v>
      </c>
      <c r="AY47" s="10">
        <f ca="1">VLOOKUP($B47,'[10]Analisys QBR By Machine Report'!$C$109:$BD$166,46,FALSE)</f>
        <v>0</v>
      </c>
      <c r="AZ47" s="10">
        <f ca="1">VLOOKUP($B47,'[10]Analisys QBR By Machine Report'!$C$109:$BD$166,47,FALSE)</f>
        <v>20</v>
      </c>
      <c r="BA47" s="10">
        <f ca="1">VLOOKUP($B47,'[10]Analisys QBR By Machine Report'!$C$109:$BD$166,48,FALSE)</f>
        <v>0</v>
      </c>
      <c r="BB47" s="10">
        <f ca="1">VLOOKUP($B47,'[10]Analisys QBR By Machine Report'!$C$109:$BD$166,49,FALSE)</f>
        <v>0</v>
      </c>
      <c r="BC47" s="10">
        <f ca="1">VLOOKUP($B47,'[10]Analisys QBR By Machine Report'!$C$109:$BD$166,50,FALSE)</f>
        <v>0</v>
      </c>
      <c r="BD47" s="10">
        <f ca="1">VLOOKUP($B47,'[10]Analisys QBR By Machine Report'!$C$109:$BD$166,51,FALSE)</f>
        <v>811160</v>
      </c>
      <c r="BE47" s="10">
        <f ca="1">VLOOKUP($B47,'[10]Analisys QBR By Machine Report'!$C$109:$BD$166,52,FALSE)</f>
        <v>0</v>
      </c>
      <c r="BF47" s="10">
        <f ca="1">VLOOKUP($B47,'[10]Analisys QBR By Machine Report'!$C$109:$BD$166,53,FALSE)</f>
        <v>811160</v>
      </c>
    </row>
    <row r="48" spans="1:58" x14ac:dyDescent="0.25">
      <c r="A48" s="12" t="s">
        <v>104</v>
      </c>
      <c r="B48" s="13">
        <f ca="1">VLOOKUP($B48,'[10]Analisys QBR By Machine Report'!$C$109:$BD$166,2,FALSE)</f>
        <v>34560</v>
      </c>
      <c r="C48" s="14">
        <f ca="1">VLOOKUP($B48,[10]Dasboard_QBR_Report!$B$109:$BL$166,3,FALSE)</f>
        <v>11520</v>
      </c>
      <c r="D48" s="13">
        <f ca="1">VLOOKUP($B48,'[10]Analisys QBR By Machine Report'!$C$109:$BD$166,3,FALSE)</f>
        <v>31500</v>
      </c>
      <c r="E48" s="14">
        <f ca="1">VLOOKUP($B48,[10]Dasboard_QBR_Report!$B$109:$BL$166,5,FALSE)</f>
        <v>8460</v>
      </c>
      <c r="F48" s="13">
        <f t="shared" ca="1" si="0"/>
        <v>3060</v>
      </c>
      <c r="G48" s="13">
        <f t="shared" ca="1" si="1"/>
        <v>195</v>
      </c>
      <c r="H48" s="13">
        <f ca="1">VLOOKUP($B48,'[10]Analisys QBR By Machine Report'!$C$109:$BD$166,4,FALSE)</f>
        <v>195</v>
      </c>
      <c r="I48" s="13">
        <f ca="1">VLOOKUP($B48,'[10]Analisys QBR By Machine Report'!$C$109:$BD$166,5,FALSE)</f>
        <v>150</v>
      </c>
      <c r="J48" s="13">
        <f ca="1">VLOOKUP($B48,'[10]Analisys QBR By Machine Report'!$C$109:$BD$166,6,FALSE)</f>
        <v>45</v>
      </c>
      <c r="K48" s="13">
        <f ca="1">VLOOKUP($B48,'[10]Analisys QBR By Machine Report'!$C$109:$BD$166,7,FALSE)</f>
        <v>0</v>
      </c>
      <c r="L48" s="13">
        <f ca="1">VLOOKUP($B48,'[10]Analisys QBR By Machine Report'!$C$109:$BD$166,8,FALSE)</f>
        <v>2865</v>
      </c>
      <c r="M48" s="13">
        <f ca="1">VLOOKUP($B48,'[10]Analisys QBR By Machine Report'!$C$109:$BD$166,9,FALSE)</f>
        <v>985</v>
      </c>
      <c r="N48" s="13">
        <f ca="1">VLOOKUP($B48,[10]Dasboard_QBR_Report!$B$109:$BL$166,18,FALSE)</f>
        <v>1880</v>
      </c>
      <c r="O48" s="13">
        <f ca="1">VLOOKUP($B48,'[10]Analisys QBR By Machine Report'!$C$109:$BD$166,10,FALSE)</f>
        <v>550</v>
      </c>
      <c r="P48" s="13">
        <f ca="1">VLOOKUP($B48,'[10]Analisys QBR By Machine Report'!$C$109:$BD$166,11,FALSE)</f>
        <v>235</v>
      </c>
      <c r="Q48" s="13">
        <f ca="1">VLOOKUP($B48,'[10]Analisys QBR By Machine Report'!$C$109:$BD$166,12,FALSE)</f>
        <v>0</v>
      </c>
      <c r="R48" s="13">
        <f ca="1">VLOOKUP($B48,'[10]Analisys QBR By Machine Report'!$C$109:$BD$166,13,FALSE)</f>
        <v>20</v>
      </c>
      <c r="S48" s="13">
        <f ca="1">VLOOKUP($B48,'[10]Analisys QBR By Machine Report'!$C$109:$BD$166,14,FALSE)</f>
        <v>295</v>
      </c>
      <c r="T48" s="13">
        <f ca="1">VLOOKUP($B48,'[10]Analisys QBR By Machine Report'!$C$109:$BD$166,15,FALSE)</f>
        <v>0</v>
      </c>
      <c r="U48" s="13">
        <f ca="1">VLOOKUP($B48,'[10]Analisys QBR By Machine Report'!$C$109:$BD$166,16,FALSE)</f>
        <v>0</v>
      </c>
      <c r="V48" s="13">
        <f ca="1">VLOOKUP($B48,'[10]Analisys QBR By Machine Report'!$C$109:$BD$166,17,FALSE)</f>
        <v>0</v>
      </c>
      <c r="W48" s="13">
        <f ca="1">VLOOKUP($B48,'[10]Analisys QBR By Machine Report'!$C$109:$BD$166,18,FALSE)</f>
        <v>0</v>
      </c>
      <c r="X48" s="13">
        <f ca="1">VLOOKUP($B48,'[10]Analisys QBR By Machine Report'!$C$109:$BD$166,19,FALSE)</f>
        <v>0</v>
      </c>
      <c r="Y48" s="13">
        <f ca="1">VLOOKUP($B48,'[10]Analisys QBR By Machine Report'!$C$109:$BD$166,20,FALSE)</f>
        <v>0</v>
      </c>
      <c r="Z48" s="13">
        <f ca="1">VLOOKUP($B48,'[10]Analisys QBR By Machine Report'!$C$109:$BD$166,21,FALSE)</f>
        <v>810</v>
      </c>
      <c r="AA48" s="13">
        <f ca="1">VLOOKUP($B48,'[10]Analisys QBR By Machine Report'!$C$109:$BD$166,22,FALSE)</f>
        <v>190</v>
      </c>
      <c r="AB48" s="13">
        <f ca="1">VLOOKUP($B48,'[10]Analisys QBR By Machine Report'!$C$109:$BD$166,23,FALSE)</f>
        <v>0</v>
      </c>
      <c r="AC48" s="13">
        <f ca="1">VLOOKUP($B48,'[10]Analisys QBR By Machine Report'!$C$109:$BD$166,24,FALSE)</f>
        <v>0</v>
      </c>
      <c r="AD48" s="13">
        <f ca="1">VLOOKUP($B48,'[10]Analisys QBR By Machine Report'!$C$109:$BD$166,25,FALSE)</f>
        <v>0</v>
      </c>
      <c r="AE48" s="13">
        <f ca="1">VLOOKUP($B48,'[10]Analisys QBR By Machine Report'!$C$109:$BD$166,26,FALSE)</f>
        <v>620</v>
      </c>
      <c r="AF48" s="13">
        <f ca="1">VLOOKUP($B48,'[10]Analisys QBR By Machine Report'!$C$109:$BD$166,27,FALSE)</f>
        <v>0</v>
      </c>
      <c r="AG48" s="13">
        <f ca="1">VLOOKUP($B48,'[10]Analisys QBR By Machine Report'!$C$109:$BD$166,28,FALSE)</f>
        <v>0</v>
      </c>
      <c r="AH48" s="13">
        <f ca="1">VLOOKUP($B48,'[10]Analisys QBR By Machine Report'!$C$109:$BD$166,29,FALSE)</f>
        <v>0</v>
      </c>
      <c r="AI48" s="13">
        <f ca="1">VLOOKUP($B48,'[10]Analisys QBR By Machine Report'!$C$109:$BD$166,30,FALSE)</f>
        <v>520</v>
      </c>
      <c r="AJ48" s="13">
        <f ca="1">VLOOKUP($B48,'[10]Analisys QBR By Machine Report'!$C$109:$BD$166,31,FALSE)</f>
        <v>0</v>
      </c>
      <c r="AK48" s="13">
        <f ca="1">VLOOKUP($B48,'[10]Analisys QBR By Machine Report'!$C$109:$BD$166,32,FALSE)</f>
        <v>0</v>
      </c>
      <c r="AL48" s="13">
        <f ca="1">VLOOKUP($B48,'[10]Analisys QBR By Machine Report'!$C$109:$BD$166,33,FALSE)</f>
        <v>180</v>
      </c>
      <c r="AM48" s="13">
        <f ca="1">VLOOKUP($B48,'[10]Analisys QBR By Machine Report'!$C$109:$BD$166,34,FALSE)</f>
        <v>0</v>
      </c>
      <c r="AN48" s="13">
        <f ca="1">VLOOKUP($B48,'[10]Analisys QBR By Machine Report'!$C$109:$BD$166,35,FALSE)</f>
        <v>90</v>
      </c>
      <c r="AO48" s="13">
        <f ca="1">VLOOKUP($B48,'[10]Analisys QBR By Machine Report'!$C$109:$BD$166,36,FALSE)</f>
        <v>0</v>
      </c>
      <c r="AP48" s="13">
        <f ca="1">VLOOKUP($B48,'[10]Analisys QBR By Machine Report'!$C$109:$BD$166,37,FALSE)</f>
        <v>0</v>
      </c>
      <c r="AQ48" s="13">
        <f ca="1">VLOOKUP($B48,'[10]Analisys QBR By Machine Report'!$C$109:$BD$166,38,FALSE)</f>
        <v>0</v>
      </c>
      <c r="AR48" s="13">
        <f ca="1">VLOOKUP($B48,'[10]Analisys QBR By Machine Report'!$C$109:$BD$166,39,FALSE)</f>
        <v>195</v>
      </c>
      <c r="AS48" s="13">
        <f ca="1">VLOOKUP($B48,'[10]Analisys QBR By Machine Report'!$C$109:$BD$166,40,FALSE)</f>
        <v>35</v>
      </c>
      <c r="AT48" s="13">
        <f ca="1">VLOOKUP($B48,'[10]Analisys QBR By Machine Report'!$C$109:$BD$166,41,FALSE)</f>
        <v>0</v>
      </c>
      <c r="AU48" s="13">
        <f ca="1">VLOOKUP($B48,'[10]Analisys QBR By Machine Report'!$C$109:$BD$166,42,FALSE)</f>
        <v>0</v>
      </c>
      <c r="AV48" s="13">
        <f ca="1">VLOOKUP($B48,'[10]Analisys QBR By Machine Report'!$C$109:$BD$166,43,FALSE)</f>
        <v>0</v>
      </c>
      <c r="AW48" s="13">
        <f ca="1">VLOOKUP($B48,'[10]Analisys QBR By Machine Report'!$C$109:$BD$166,44,FALSE)</f>
        <v>0</v>
      </c>
      <c r="AX48" s="13">
        <f ca="1">VLOOKUP($B48,'[10]Analisys QBR By Machine Report'!$C$109:$BD$166,45,FALSE)</f>
        <v>0</v>
      </c>
      <c r="AY48" s="13">
        <f ca="1">VLOOKUP($B48,'[10]Analisys QBR By Machine Report'!$C$109:$BD$166,46,FALSE)</f>
        <v>0</v>
      </c>
      <c r="AZ48" s="13">
        <f ca="1">VLOOKUP($B48,'[10]Analisys QBR By Machine Report'!$C$109:$BD$166,47,FALSE)</f>
        <v>20</v>
      </c>
      <c r="BA48" s="13">
        <f ca="1">VLOOKUP($B48,'[10]Analisys QBR By Machine Report'!$C$109:$BD$166,48,FALSE)</f>
        <v>0</v>
      </c>
      <c r="BB48" s="13">
        <f ca="1">VLOOKUP($B48,'[10]Analisys QBR By Machine Report'!$C$109:$BD$166,49,FALSE)</f>
        <v>0</v>
      </c>
      <c r="BC48" s="13">
        <f ca="1">VLOOKUP($B48,'[10]Analisys QBR By Machine Report'!$C$109:$BD$166,50,FALSE)</f>
        <v>0</v>
      </c>
      <c r="BD48" s="13">
        <f ca="1">VLOOKUP($B48,'[10]Analisys QBR By Machine Report'!$C$109:$BD$166,51,FALSE)</f>
        <v>811160</v>
      </c>
      <c r="BE48" s="13">
        <f ca="1">VLOOKUP($B48,'[10]Analisys QBR By Machine Report'!$C$109:$BD$166,52,FALSE)</f>
        <v>0</v>
      </c>
      <c r="BF48" s="13">
        <f ca="1">VLOOKUP($B48,'[10]Analisys QBR By Machine Report'!$C$109:$BD$166,53,FALSE)</f>
        <v>811160</v>
      </c>
    </row>
    <row r="49" spans="1:58" x14ac:dyDescent="0.25">
      <c r="A49" s="9" t="s">
        <v>105</v>
      </c>
      <c r="B49" s="10">
        <f ca="1">VLOOKUP($B49,'[10]Analisys QBR By Machine Report'!$C$109:$BD$166,2,FALSE)</f>
        <v>34560</v>
      </c>
      <c r="C49" s="11">
        <f ca="1">VLOOKUP($B49,[10]Dasboard_QBR_Report!$B$109:$BL$166,3,FALSE)</f>
        <v>11520</v>
      </c>
      <c r="D49" s="10">
        <f ca="1">VLOOKUP($B49,'[10]Analisys QBR By Machine Report'!$C$109:$BD$166,3,FALSE)</f>
        <v>31500</v>
      </c>
      <c r="E49" s="11">
        <f ca="1">VLOOKUP($B49,[10]Dasboard_QBR_Report!$B$109:$BL$166,5,FALSE)</f>
        <v>8460</v>
      </c>
      <c r="F49" s="10">
        <f t="shared" ca="1" si="0"/>
        <v>3060</v>
      </c>
      <c r="G49" s="10">
        <f t="shared" ca="1" si="1"/>
        <v>180</v>
      </c>
      <c r="H49" s="10">
        <f ca="1">VLOOKUP($B49,'[10]Analisys QBR By Machine Report'!$C$109:$BD$166,4,FALSE)</f>
        <v>180</v>
      </c>
      <c r="I49" s="10">
        <f ca="1">VLOOKUP($B49,'[10]Analisys QBR By Machine Report'!$C$109:$BD$166,5,FALSE)</f>
        <v>180</v>
      </c>
      <c r="J49" s="10">
        <f ca="1">VLOOKUP($B49,'[10]Analisys QBR By Machine Report'!$C$109:$BD$166,6,FALSE)</f>
        <v>0</v>
      </c>
      <c r="K49" s="10">
        <f ca="1">VLOOKUP($B49,'[10]Analisys QBR By Machine Report'!$C$109:$BD$166,7,FALSE)</f>
        <v>0</v>
      </c>
      <c r="L49" s="10">
        <f ca="1">VLOOKUP($B49,'[10]Analisys QBR By Machine Report'!$C$109:$BD$166,8,FALSE)</f>
        <v>2880</v>
      </c>
      <c r="M49" s="10">
        <f ca="1">VLOOKUP($B49,'[10]Analisys QBR By Machine Report'!$C$109:$BD$166,9,FALSE)</f>
        <v>1125</v>
      </c>
      <c r="N49" s="10">
        <f ca="1">VLOOKUP($B49,[10]Dasboard_QBR_Report!$B$109:$BL$166,18,FALSE)</f>
        <v>1755</v>
      </c>
      <c r="O49" s="10">
        <f ca="1">VLOOKUP($B49,'[10]Analisys QBR By Machine Report'!$C$109:$BD$166,10,FALSE)</f>
        <v>360</v>
      </c>
      <c r="P49" s="10">
        <f ca="1">VLOOKUP($B49,'[10]Analisys QBR By Machine Report'!$C$109:$BD$166,11,FALSE)</f>
        <v>335</v>
      </c>
      <c r="Q49" s="10">
        <f ca="1">VLOOKUP($B49,'[10]Analisys QBR By Machine Report'!$C$109:$BD$166,12,FALSE)</f>
        <v>0</v>
      </c>
      <c r="R49" s="10">
        <f ca="1">VLOOKUP($B49,'[10]Analisys QBR By Machine Report'!$C$109:$BD$166,13,FALSE)</f>
        <v>25</v>
      </c>
      <c r="S49" s="10">
        <f ca="1">VLOOKUP($B49,'[10]Analisys QBR By Machine Report'!$C$109:$BD$166,14,FALSE)</f>
        <v>0</v>
      </c>
      <c r="T49" s="10">
        <f ca="1">VLOOKUP($B49,'[10]Analisys QBR By Machine Report'!$C$109:$BD$166,15,FALSE)</f>
        <v>0</v>
      </c>
      <c r="U49" s="10">
        <f ca="1">VLOOKUP($B49,'[10]Analisys QBR By Machine Report'!$C$109:$BD$166,16,FALSE)</f>
        <v>0</v>
      </c>
      <c r="V49" s="10">
        <f ca="1">VLOOKUP($B49,'[10]Analisys QBR By Machine Report'!$C$109:$BD$166,17,FALSE)</f>
        <v>0</v>
      </c>
      <c r="W49" s="10">
        <f ca="1">VLOOKUP($B49,'[10]Analisys QBR By Machine Report'!$C$109:$BD$166,18,FALSE)</f>
        <v>0</v>
      </c>
      <c r="X49" s="10">
        <f ca="1">VLOOKUP($B49,'[10]Analisys QBR By Machine Report'!$C$109:$BD$166,19,FALSE)</f>
        <v>0</v>
      </c>
      <c r="Y49" s="10">
        <f ca="1">VLOOKUP($B49,'[10]Analisys QBR By Machine Report'!$C$109:$BD$166,20,FALSE)</f>
        <v>0</v>
      </c>
      <c r="Z49" s="10">
        <f ca="1">VLOOKUP($B49,'[10]Analisys QBR By Machine Report'!$C$109:$BD$166,21,FALSE)</f>
        <v>895</v>
      </c>
      <c r="AA49" s="10">
        <f ca="1">VLOOKUP($B49,'[10]Analisys QBR By Machine Report'!$C$109:$BD$166,22,FALSE)</f>
        <v>430</v>
      </c>
      <c r="AB49" s="10">
        <f ca="1">VLOOKUP($B49,'[10]Analisys QBR By Machine Report'!$C$109:$BD$166,23,FALSE)</f>
        <v>295</v>
      </c>
      <c r="AC49" s="10">
        <f ca="1">VLOOKUP($B49,'[10]Analisys QBR By Machine Report'!$C$109:$BD$166,24,FALSE)</f>
        <v>0</v>
      </c>
      <c r="AD49" s="10">
        <f ca="1">VLOOKUP($B49,'[10]Analisys QBR By Machine Report'!$C$109:$BD$166,25,FALSE)</f>
        <v>0</v>
      </c>
      <c r="AE49" s="10">
        <f ca="1">VLOOKUP($B49,'[10]Analisys QBR By Machine Report'!$C$109:$BD$166,26,FALSE)</f>
        <v>170</v>
      </c>
      <c r="AF49" s="10">
        <f ca="1">VLOOKUP($B49,'[10]Analisys QBR By Machine Report'!$C$109:$BD$166,27,FALSE)</f>
        <v>0</v>
      </c>
      <c r="AG49" s="10">
        <f ca="1">VLOOKUP($B49,'[10]Analisys QBR By Machine Report'!$C$109:$BD$166,28,FALSE)</f>
        <v>0</v>
      </c>
      <c r="AH49" s="10">
        <f ca="1">VLOOKUP($B49,'[10]Analisys QBR By Machine Report'!$C$109:$BD$166,29,FALSE)</f>
        <v>0</v>
      </c>
      <c r="AI49" s="10">
        <f ca="1">VLOOKUP($B49,'[10]Analisys QBR By Machine Report'!$C$109:$BD$166,30,FALSE)</f>
        <v>500</v>
      </c>
      <c r="AJ49" s="10">
        <f ca="1">VLOOKUP($B49,'[10]Analisys QBR By Machine Report'!$C$109:$BD$166,31,FALSE)</f>
        <v>0</v>
      </c>
      <c r="AK49" s="10">
        <f ca="1">VLOOKUP($B49,'[10]Analisys QBR By Machine Report'!$C$109:$BD$166,32,FALSE)</f>
        <v>0</v>
      </c>
      <c r="AL49" s="10">
        <f ca="1">VLOOKUP($B49,'[10]Analisys QBR By Machine Report'!$C$109:$BD$166,33,FALSE)</f>
        <v>180</v>
      </c>
      <c r="AM49" s="10">
        <f ca="1">VLOOKUP($B49,'[10]Analisys QBR By Machine Report'!$C$109:$BD$166,34,FALSE)</f>
        <v>0</v>
      </c>
      <c r="AN49" s="10">
        <f ca="1">VLOOKUP($B49,'[10]Analisys QBR By Machine Report'!$C$109:$BD$166,35,FALSE)</f>
        <v>90</v>
      </c>
      <c r="AO49" s="10">
        <f ca="1">VLOOKUP($B49,'[10]Analisys QBR By Machine Report'!$C$109:$BD$166,36,FALSE)</f>
        <v>0</v>
      </c>
      <c r="AP49" s="10">
        <f ca="1">VLOOKUP($B49,'[10]Analisys QBR By Machine Report'!$C$109:$BD$166,37,FALSE)</f>
        <v>0</v>
      </c>
      <c r="AQ49" s="10">
        <f ca="1">VLOOKUP($B49,'[10]Analisys QBR By Machine Report'!$C$109:$BD$166,38,FALSE)</f>
        <v>0</v>
      </c>
      <c r="AR49" s="10">
        <f ca="1">VLOOKUP($B49,'[10]Analisys QBR By Machine Report'!$C$109:$BD$166,39,FALSE)</f>
        <v>0</v>
      </c>
      <c r="AS49" s="10">
        <f ca="1">VLOOKUP($B49,'[10]Analisys QBR By Machine Report'!$C$109:$BD$166,40,FALSE)</f>
        <v>100</v>
      </c>
      <c r="AT49" s="10">
        <f ca="1">VLOOKUP($B49,'[10]Analisys QBR By Machine Report'!$C$109:$BD$166,41,FALSE)</f>
        <v>0</v>
      </c>
      <c r="AU49" s="10">
        <f ca="1">VLOOKUP($B49,'[10]Analisys QBR By Machine Report'!$C$109:$BD$166,42,FALSE)</f>
        <v>0</v>
      </c>
      <c r="AV49" s="10">
        <f ca="1">VLOOKUP($B49,'[10]Analisys QBR By Machine Report'!$C$109:$BD$166,43,FALSE)</f>
        <v>0</v>
      </c>
      <c r="AW49" s="10">
        <f ca="1">VLOOKUP($B49,'[10]Analisys QBR By Machine Report'!$C$109:$BD$166,44,FALSE)</f>
        <v>0</v>
      </c>
      <c r="AX49" s="10">
        <f ca="1">VLOOKUP($B49,'[10]Analisys QBR By Machine Report'!$C$109:$BD$166,45,FALSE)</f>
        <v>0</v>
      </c>
      <c r="AY49" s="10">
        <f ca="1">VLOOKUP($B49,'[10]Analisys QBR By Machine Report'!$C$109:$BD$166,46,FALSE)</f>
        <v>0</v>
      </c>
      <c r="AZ49" s="10">
        <f ca="1">VLOOKUP($B49,'[10]Analisys QBR By Machine Report'!$C$109:$BD$166,47,FALSE)</f>
        <v>130</v>
      </c>
      <c r="BA49" s="10">
        <f ca="1">VLOOKUP($B49,'[10]Analisys QBR By Machine Report'!$C$109:$BD$166,48,FALSE)</f>
        <v>0</v>
      </c>
      <c r="BB49" s="10">
        <f ca="1">VLOOKUP($B49,'[10]Analisys QBR By Machine Report'!$C$109:$BD$166,49,FALSE)</f>
        <v>0</v>
      </c>
      <c r="BC49" s="10">
        <f ca="1">VLOOKUP($B49,'[10]Analisys QBR By Machine Report'!$C$109:$BD$166,50,FALSE)</f>
        <v>0</v>
      </c>
      <c r="BD49" s="10">
        <f ca="1">VLOOKUP($B49,'[10]Analisys QBR By Machine Report'!$C$109:$BD$166,51,FALSE)</f>
        <v>813188</v>
      </c>
      <c r="BE49" s="10">
        <f ca="1">VLOOKUP($B49,'[10]Analisys QBR By Machine Report'!$C$109:$BD$166,52,FALSE)</f>
        <v>2908</v>
      </c>
      <c r="BF49" s="10">
        <f ca="1">VLOOKUP($B49,'[10]Analisys QBR By Machine Report'!$C$109:$BD$166,53,FALSE)</f>
        <v>810280</v>
      </c>
    </row>
    <row r="50" spans="1:58" x14ac:dyDescent="0.25">
      <c r="A50" s="12" t="s">
        <v>106</v>
      </c>
      <c r="B50" s="13">
        <f ca="1">VLOOKUP($B50,'[10]Analisys QBR By Machine Report'!$C$109:$BD$166,2,FALSE)</f>
        <v>34560</v>
      </c>
      <c r="C50" s="14">
        <f ca="1">VLOOKUP($B50,[10]Dasboard_QBR_Report!$B$109:$BL$166,3,FALSE)</f>
        <v>11520</v>
      </c>
      <c r="D50" s="13">
        <f ca="1">VLOOKUP($B50,'[10]Analisys QBR By Machine Report'!$C$109:$BD$166,3,FALSE)</f>
        <v>31500</v>
      </c>
      <c r="E50" s="14">
        <f ca="1">VLOOKUP($B50,[10]Dasboard_QBR_Report!$B$109:$BL$166,5,FALSE)</f>
        <v>8460</v>
      </c>
      <c r="F50" s="13">
        <f t="shared" ca="1" si="0"/>
        <v>3060</v>
      </c>
      <c r="G50" s="13">
        <f t="shared" ca="1" si="1"/>
        <v>180</v>
      </c>
      <c r="H50" s="13">
        <f ca="1">VLOOKUP($B50,'[10]Analisys QBR By Machine Report'!$C$109:$BD$166,4,FALSE)</f>
        <v>180</v>
      </c>
      <c r="I50" s="13">
        <f ca="1">VLOOKUP($B50,'[10]Analisys QBR By Machine Report'!$C$109:$BD$166,5,FALSE)</f>
        <v>180</v>
      </c>
      <c r="J50" s="13">
        <f ca="1">VLOOKUP($B50,'[10]Analisys QBR By Machine Report'!$C$109:$BD$166,6,FALSE)</f>
        <v>0</v>
      </c>
      <c r="K50" s="13">
        <f ca="1">VLOOKUP($B50,'[10]Analisys QBR By Machine Report'!$C$109:$BD$166,7,FALSE)</f>
        <v>0</v>
      </c>
      <c r="L50" s="13">
        <f ca="1">VLOOKUP($B50,'[10]Analisys QBR By Machine Report'!$C$109:$BD$166,8,FALSE)</f>
        <v>2880</v>
      </c>
      <c r="M50" s="13">
        <f ca="1">VLOOKUP($B50,'[10]Analisys QBR By Machine Report'!$C$109:$BD$166,9,FALSE)</f>
        <v>1125</v>
      </c>
      <c r="N50" s="13">
        <f ca="1">VLOOKUP($B50,[10]Dasboard_QBR_Report!$B$109:$BL$166,18,FALSE)</f>
        <v>1755</v>
      </c>
      <c r="O50" s="13">
        <f ca="1">VLOOKUP($B50,'[10]Analisys QBR By Machine Report'!$C$109:$BD$166,10,FALSE)</f>
        <v>360</v>
      </c>
      <c r="P50" s="13">
        <f ca="1">VLOOKUP($B50,'[10]Analisys QBR By Machine Report'!$C$109:$BD$166,11,FALSE)</f>
        <v>335</v>
      </c>
      <c r="Q50" s="13">
        <f ca="1">VLOOKUP($B50,'[10]Analisys QBR By Machine Report'!$C$109:$BD$166,12,FALSE)</f>
        <v>0</v>
      </c>
      <c r="R50" s="13">
        <f ca="1">VLOOKUP($B50,'[10]Analisys QBR By Machine Report'!$C$109:$BD$166,13,FALSE)</f>
        <v>25</v>
      </c>
      <c r="S50" s="13">
        <f ca="1">VLOOKUP($B50,'[10]Analisys QBR By Machine Report'!$C$109:$BD$166,14,FALSE)</f>
        <v>0</v>
      </c>
      <c r="T50" s="13">
        <f ca="1">VLOOKUP($B50,'[10]Analisys QBR By Machine Report'!$C$109:$BD$166,15,FALSE)</f>
        <v>0</v>
      </c>
      <c r="U50" s="13">
        <f ca="1">VLOOKUP($B50,'[10]Analisys QBR By Machine Report'!$C$109:$BD$166,16,FALSE)</f>
        <v>0</v>
      </c>
      <c r="V50" s="13">
        <f ca="1">VLOOKUP($B50,'[10]Analisys QBR By Machine Report'!$C$109:$BD$166,17,FALSE)</f>
        <v>0</v>
      </c>
      <c r="W50" s="13">
        <f ca="1">VLOOKUP($B50,'[10]Analisys QBR By Machine Report'!$C$109:$BD$166,18,FALSE)</f>
        <v>0</v>
      </c>
      <c r="X50" s="13">
        <f ca="1">VLOOKUP($B50,'[10]Analisys QBR By Machine Report'!$C$109:$BD$166,19,FALSE)</f>
        <v>0</v>
      </c>
      <c r="Y50" s="13">
        <f ca="1">VLOOKUP($B50,'[10]Analisys QBR By Machine Report'!$C$109:$BD$166,20,FALSE)</f>
        <v>0</v>
      </c>
      <c r="Z50" s="13">
        <f ca="1">VLOOKUP($B50,'[10]Analisys QBR By Machine Report'!$C$109:$BD$166,21,FALSE)</f>
        <v>895</v>
      </c>
      <c r="AA50" s="13">
        <f ca="1">VLOOKUP($B50,'[10]Analisys QBR By Machine Report'!$C$109:$BD$166,22,FALSE)</f>
        <v>430</v>
      </c>
      <c r="AB50" s="13">
        <f ca="1">VLOOKUP($B50,'[10]Analisys QBR By Machine Report'!$C$109:$BD$166,23,FALSE)</f>
        <v>295</v>
      </c>
      <c r="AC50" s="13">
        <f ca="1">VLOOKUP($B50,'[10]Analisys QBR By Machine Report'!$C$109:$BD$166,24,FALSE)</f>
        <v>0</v>
      </c>
      <c r="AD50" s="13">
        <f ca="1">VLOOKUP($B50,'[10]Analisys QBR By Machine Report'!$C$109:$BD$166,25,FALSE)</f>
        <v>0</v>
      </c>
      <c r="AE50" s="13">
        <f ca="1">VLOOKUP($B50,'[10]Analisys QBR By Machine Report'!$C$109:$BD$166,26,FALSE)</f>
        <v>170</v>
      </c>
      <c r="AF50" s="13">
        <f ca="1">VLOOKUP($B50,'[10]Analisys QBR By Machine Report'!$C$109:$BD$166,27,FALSE)</f>
        <v>0</v>
      </c>
      <c r="AG50" s="13">
        <f ca="1">VLOOKUP($B50,'[10]Analisys QBR By Machine Report'!$C$109:$BD$166,28,FALSE)</f>
        <v>0</v>
      </c>
      <c r="AH50" s="13">
        <f ca="1">VLOOKUP($B50,'[10]Analisys QBR By Machine Report'!$C$109:$BD$166,29,FALSE)</f>
        <v>0</v>
      </c>
      <c r="AI50" s="13">
        <f ca="1">VLOOKUP($B50,'[10]Analisys QBR By Machine Report'!$C$109:$BD$166,30,FALSE)</f>
        <v>500</v>
      </c>
      <c r="AJ50" s="13">
        <f ca="1">VLOOKUP($B50,'[10]Analisys QBR By Machine Report'!$C$109:$BD$166,31,FALSE)</f>
        <v>0</v>
      </c>
      <c r="AK50" s="13">
        <f ca="1">VLOOKUP($B50,'[10]Analisys QBR By Machine Report'!$C$109:$BD$166,32,FALSE)</f>
        <v>0</v>
      </c>
      <c r="AL50" s="13">
        <f ca="1">VLOOKUP($B50,'[10]Analisys QBR By Machine Report'!$C$109:$BD$166,33,FALSE)</f>
        <v>180</v>
      </c>
      <c r="AM50" s="13">
        <f ca="1">VLOOKUP($B50,'[10]Analisys QBR By Machine Report'!$C$109:$BD$166,34,FALSE)</f>
        <v>0</v>
      </c>
      <c r="AN50" s="13">
        <f ca="1">VLOOKUP($B50,'[10]Analisys QBR By Machine Report'!$C$109:$BD$166,35,FALSE)</f>
        <v>90</v>
      </c>
      <c r="AO50" s="13">
        <f ca="1">VLOOKUP($B50,'[10]Analisys QBR By Machine Report'!$C$109:$BD$166,36,FALSE)</f>
        <v>0</v>
      </c>
      <c r="AP50" s="13">
        <f ca="1">VLOOKUP($B50,'[10]Analisys QBR By Machine Report'!$C$109:$BD$166,37,FALSE)</f>
        <v>0</v>
      </c>
      <c r="AQ50" s="13">
        <f ca="1">VLOOKUP($B50,'[10]Analisys QBR By Machine Report'!$C$109:$BD$166,38,FALSE)</f>
        <v>0</v>
      </c>
      <c r="AR50" s="13">
        <f ca="1">VLOOKUP($B50,'[10]Analisys QBR By Machine Report'!$C$109:$BD$166,39,FALSE)</f>
        <v>0</v>
      </c>
      <c r="AS50" s="13">
        <f ca="1">VLOOKUP($B50,'[10]Analisys QBR By Machine Report'!$C$109:$BD$166,40,FALSE)</f>
        <v>100</v>
      </c>
      <c r="AT50" s="13">
        <f ca="1">VLOOKUP($B50,'[10]Analisys QBR By Machine Report'!$C$109:$BD$166,41,FALSE)</f>
        <v>0</v>
      </c>
      <c r="AU50" s="13">
        <f ca="1">VLOOKUP($B50,'[10]Analisys QBR By Machine Report'!$C$109:$BD$166,42,FALSE)</f>
        <v>0</v>
      </c>
      <c r="AV50" s="13">
        <f ca="1">VLOOKUP($B50,'[10]Analisys QBR By Machine Report'!$C$109:$BD$166,43,FALSE)</f>
        <v>0</v>
      </c>
      <c r="AW50" s="13">
        <f ca="1">VLOOKUP($B50,'[10]Analisys QBR By Machine Report'!$C$109:$BD$166,44,FALSE)</f>
        <v>0</v>
      </c>
      <c r="AX50" s="13">
        <f ca="1">VLOOKUP($B50,'[10]Analisys QBR By Machine Report'!$C$109:$BD$166,45,FALSE)</f>
        <v>0</v>
      </c>
      <c r="AY50" s="13">
        <f ca="1">VLOOKUP($B50,'[10]Analisys QBR By Machine Report'!$C$109:$BD$166,46,FALSE)</f>
        <v>0</v>
      </c>
      <c r="AZ50" s="13">
        <f ca="1">VLOOKUP($B50,'[10]Analisys QBR By Machine Report'!$C$109:$BD$166,47,FALSE)</f>
        <v>130</v>
      </c>
      <c r="BA50" s="13">
        <f ca="1">VLOOKUP($B50,'[10]Analisys QBR By Machine Report'!$C$109:$BD$166,48,FALSE)</f>
        <v>0</v>
      </c>
      <c r="BB50" s="13">
        <f ca="1">VLOOKUP($B50,'[10]Analisys QBR By Machine Report'!$C$109:$BD$166,49,FALSE)</f>
        <v>0</v>
      </c>
      <c r="BC50" s="13">
        <f ca="1">VLOOKUP($B50,'[10]Analisys QBR By Machine Report'!$C$109:$BD$166,50,FALSE)</f>
        <v>0</v>
      </c>
      <c r="BD50" s="13">
        <f ca="1">VLOOKUP($B50,'[10]Analisys QBR By Machine Report'!$C$109:$BD$166,51,FALSE)</f>
        <v>813188</v>
      </c>
      <c r="BE50" s="13">
        <f ca="1">VLOOKUP($B50,'[10]Analisys QBR By Machine Report'!$C$109:$BD$166,52,FALSE)</f>
        <v>2908</v>
      </c>
      <c r="BF50" s="13">
        <f ca="1">VLOOKUP($B50,'[10]Analisys QBR By Machine Report'!$C$109:$BD$166,53,FALSE)</f>
        <v>810280</v>
      </c>
    </row>
    <row r="51" spans="1:58" x14ac:dyDescent="0.25">
      <c r="A51" s="9" t="s">
        <v>107</v>
      </c>
      <c r="B51" s="10">
        <f ca="1">VLOOKUP($B51,'[10]Analisys QBR By Machine Report'!$C$109:$BD$166,2,FALSE)</f>
        <v>34560</v>
      </c>
      <c r="C51" s="11">
        <f ca="1">VLOOKUP($B51,[10]Dasboard_QBR_Report!$B$109:$BL$166,3,FALSE)</f>
        <v>22320</v>
      </c>
      <c r="D51" s="10">
        <f ca="1">VLOOKUP($B51,'[10]Analisys QBR By Machine Report'!$C$109:$BD$166,3,FALSE)</f>
        <v>26190</v>
      </c>
      <c r="E51" s="11">
        <f ca="1">VLOOKUP($B51,[10]Dasboard_QBR_Report!$B$109:$BL$166,5,FALSE)</f>
        <v>13950</v>
      </c>
      <c r="F51" s="10">
        <f t="shared" ca="1" si="0"/>
        <v>8370</v>
      </c>
      <c r="G51" s="10">
        <f t="shared" ca="1" si="1"/>
        <v>810</v>
      </c>
      <c r="H51" s="10">
        <f ca="1">VLOOKUP($B51,'[10]Analisys QBR By Machine Report'!$C$109:$BD$166,4,FALSE)</f>
        <v>810</v>
      </c>
      <c r="I51" s="10">
        <f ca="1">VLOOKUP($B51,'[10]Analisys QBR By Machine Report'!$C$109:$BD$166,5,FALSE)</f>
        <v>5</v>
      </c>
      <c r="J51" s="10">
        <f ca="1">VLOOKUP($B51,'[10]Analisys QBR By Machine Report'!$C$109:$BD$166,6,FALSE)</f>
        <v>805</v>
      </c>
      <c r="K51" s="10">
        <f ca="1">VLOOKUP($B51,'[10]Analisys QBR By Machine Report'!$C$109:$BD$166,7,FALSE)</f>
        <v>0</v>
      </c>
      <c r="L51" s="10">
        <f ca="1">VLOOKUP($B51,'[10]Analisys QBR By Machine Report'!$C$109:$BD$166,8,FALSE)</f>
        <v>7560</v>
      </c>
      <c r="M51" s="10">
        <f ca="1">VLOOKUP($B51,'[10]Analisys QBR By Machine Report'!$C$109:$BD$166,9,FALSE)</f>
        <v>2972</v>
      </c>
      <c r="N51" s="10">
        <f ca="1">VLOOKUP($B51,[10]Dasboard_QBR_Report!$B$109:$BL$166,18,FALSE)</f>
        <v>4588</v>
      </c>
      <c r="O51" s="10">
        <f ca="1">VLOOKUP($B51,'[10]Analisys QBR By Machine Report'!$C$109:$BD$166,10,FALSE)</f>
        <v>754</v>
      </c>
      <c r="P51" s="10">
        <f ca="1">VLOOKUP($B51,'[10]Analisys QBR By Machine Report'!$C$109:$BD$166,11,FALSE)</f>
        <v>625</v>
      </c>
      <c r="Q51" s="10">
        <f ca="1">VLOOKUP($B51,'[10]Analisys QBR By Machine Report'!$C$109:$BD$166,12,FALSE)</f>
        <v>0</v>
      </c>
      <c r="R51" s="10">
        <f ca="1">VLOOKUP($B51,'[10]Analisys QBR By Machine Report'!$C$109:$BD$166,13,FALSE)</f>
        <v>124</v>
      </c>
      <c r="S51" s="10">
        <f ca="1">VLOOKUP($B51,'[10]Analisys QBR By Machine Report'!$C$109:$BD$166,14,FALSE)</f>
        <v>5</v>
      </c>
      <c r="T51" s="10">
        <f ca="1">VLOOKUP($B51,'[10]Analisys QBR By Machine Report'!$C$109:$BD$166,15,FALSE)</f>
        <v>72</v>
      </c>
      <c r="U51" s="10">
        <f ca="1">VLOOKUP($B51,'[10]Analisys QBR By Machine Report'!$C$109:$BD$166,16,FALSE)</f>
        <v>0</v>
      </c>
      <c r="V51" s="10">
        <f ca="1">VLOOKUP($B51,'[10]Analisys QBR By Machine Report'!$C$109:$BD$166,17,FALSE)</f>
        <v>0</v>
      </c>
      <c r="W51" s="10">
        <f ca="1">VLOOKUP($B51,'[10]Analisys QBR By Machine Report'!$C$109:$BD$166,18,FALSE)</f>
        <v>0</v>
      </c>
      <c r="X51" s="10">
        <f ca="1">VLOOKUP($B51,'[10]Analisys QBR By Machine Report'!$C$109:$BD$166,19,FALSE)</f>
        <v>72</v>
      </c>
      <c r="Y51" s="10">
        <f ca="1">VLOOKUP($B51,'[10]Analisys QBR By Machine Report'!$C$109:$BD$166,20,FALSE)</f>
        <v>0</v>
      </c>
      <c r="Z51" s="10">
        <f ca="1">VLOOKUP($B51,'[10]Analisys QBR By Machine Report'!$C$109:$BD$166,21,FALSE)</f>
        <v>1992</v>
      </c>
      <c r="AA51" s="10">
        <f ca="1">VLOOKUP($B51,'[10]Analisys QBR By Machine Report'!$C$109:$BD$166,22,FALSE)</f>
        <v>607</v>
      </c>
      <c r="AB51" s="10">
        <f ca="1">VLOOKUP($B51,'[10]Analisys QBR By Machine Report'!$C$109:$BD$166,23,FALSE)</f>
        <v>1385</v>
      </c>
      <c r="AC51" s="10">
        <f ca="1">VLOOKUP($B51,'[10]Analisys QBR By Machine Report'!$C$109:$BD$166,24,FALSE)</f>
        <v>0</v>
      </c>
      <c r="AD51" s="10">
        <f ca="1">VLOOKUP($B51,'[10]Analisys QBR By Machine Report'!$C$109:$BD$166,25,FALSE)</f>
        <v>0</v>
      </c>
      <c r="AE51" s="10">
        <f ca="1">VLOOKUP($B51,'[10]Analisys QBR By Machine Report'!$C$109:$BD$166,26,FALSE)</f>
        <v>0</v>
      </c>
      <c r="AF51" s="10">
        <f ca="1">VLOOKUP($B51,'[10]Analisys QBR By Machine Report'!$C$109:$BD$166,27,FALSE)</f>
        <v>0</v>
      </c>
      <c r="AG51" s="10">
        <f ca="1">VLOOKUP($B51,'[10]Analisys QBR By Machine Report'!$C$109:$BD$166,28,FALSE)</f>
        <v>0</v>
      </c>
      <c r="AH51" s="10">
        <f ca="1">VLOOKUP($B51,'[10]Analisys QBR By Machine Report'!$C$109:$BD$166,29,FALSE)</f>
        <v>0</v>
      </c>
      <c r="AI51" s="10">
        <f ca="1">VLOOKUP($B51,'[10]Analisys QBR By Machine Report'!$C$109:$BD$166,30,FALSE)</f>
        <v>1770</v>
      </c>
      <c r="AJ51" s="10">
        <f ca="1">VLOOKUP($B51,'[10]Analisys QBR By Machine Report'!$C$109:$BD$166,31,FALSE)</f>
        <v>0</v>
      </c>
      <c r="AK51" s="10">
        <f ca="1">VLOOKUP($B51,'[10]Analisys QBR By Machine Report'!$C$109:$BD$166,32,FALSE)</f>
        <v>0</v>
      </c>
      <c r="AL51" s="10">
        <f ca="1">VLOOKUP($B51,'[10]Analisys QBR By Machine Report'!$C$109:$BD$166,33,FALSE)</f>
        <v>530</v>
      </c>
      <c r="AM51" s="10">
        <f ca="1">VLOOKUP($B51,'[10]Analisys QBR By Machine Report'!$C$109:$BD$166,34,FALSE)</f>
        <v>0</v>
      </c>
      <c r="AN51" s="10">
        <f ca="1">VLOOKUP($B51,'[10]Analisys QBR By Machine Report'!$C$109:$BD$166,35,FALSE)</f>
        <v>495</v>
      </c>
      <c r="AO51" s="10">
        <f ca="1">VLOOKUP($B51,'[10]Analisys QBR By Machine Report'!$C$109:$BD$166,36,FALSE)</f>
        <v>0</v>
      </c>
      <c r="AP51" s="10">
        <f ca="1">VLOOKUP($B51,'[10]Analisys QBR By Machine Report'!$C$109:$BD$166,37,FALSE)</f>
        <v>0</v>
      </c>
      <c r="AQ51" s="10">
        <f ca="1">VLOOKUP($B51,'[10]Analisys QBR By Machine Report'!$C$109:$BD$166,38,FALSE)</f>
        <v>138</v>
      </c>
      <c r="AR51" s="10">
        <f ca="1">VLOOKUP($B51,'[10]Analisys QBR By Machine Report'!$C$109:$BD$166,39,FALSE)</f>
        <v>0</v>
      </c>
      <c r="AS51" s="10">
        <f ca="1">VLOOKUP($B51,'[10]Analisys QBR By Machine Report'!$C$109:$BD$166,40,FALSE)</f>
        <v>124</v>
      </c>
      <c r="AT51" s="10">
        <f ca="1">VLOOKUP($B51,'[10]Analisys QBR By Machine Report'!$C$109:$BD$166,41,FALSE)</f>
        <v>0</v>
      </c>
      <c r="AU51" s="10">
        <f ca="1">VLOOKUP($B51,'[10]Analisys QBR By Machine Report'!$C$109:$BD$166,42,FALSE)</f>
        <v>0</v>
      </c>
      <c r="AV51" s="10">
        <f ca="1">VLOOKUP($B51,'[10]Analisys QBR By Machine Report'!$C$109:$BD$166,43,FALSE)</f>
        <v>432</v>
      </c>
      <c r="AW51" s="10">
        <f ca="1">VLOOKUP($B51,'[10]Analisys QBR By Machine Report'!$C$109:$BD$166,44,FALSE)</f>
        <v>0</v>
      </c>
      <c r="AX51" s="10">
        <f ca="1">VLOOKUP($B51,'[10]Analisys QBR By Machine Report'!$C$109:$BD$166,45,FALSE)</f>
        <v>0</v>
      </c>
      <c r="AY51" s="10">
        <f ca="1">VLOOKUP($B51,'[10]Analisys QBR By Machine Report'!$C$109:$BD$166,46,FALSE)</f>
        <v>0</v>
      </c>
      <c r="AZ51" s="10">
        <f ca="1">VLOOKUP($B51,'[10]Analisys QBR By Machine Report'!$C$109:$BD$166,47,FALSE)</f>
        <v>51</v>
      </c>
      <c r="BA51" s="10">
        <f ca="1">VLOOKUP($B51,'[10]Analisys QBR By Machine Report'!$C$109:$BD$166,48,FALSE)</f>
        <v>0</v>
      </c>
      <c r="BB51" s="10">
        <f ca="1">VLOOKUP($B51,'[10]Analisys QBR By Machine Report'!$C$109:$BD$166,49,FALSE)</f>
        <v>0</v>
      </c>
      <c r="BC51" s="10">
        <f ca="1">VLOOKUP($B51,'[10]Analisys QBR By Machine Report'!$C$109:$BD$166,50,FALSE)</f>
        <v>0</v>
      </c>
      <c r="BD51" s="10">
        <f ca="1">VLOOKUP($B51,'[10]Analisys QBR By Machine Report'!$C$109:$BD$166,51,FALSE)</f>
        <v>434816</v>
      </c>
      <c r="BE51" s="10">
        <f ca="1">VLOOKUP($B51,'[10]Analisys QBR By Machine Report'!$C$109:$BD$166,52,FALSE)</f>
        <v>46</v>
      </c>
      <c r="BF51" s="10">
        <f ca="1">VLOOKUP($B51,'[10]Analisys QBR By Machine Report'!$C$109:$BD$166,53,FALSE)</f>
        <v>434770</v>
      </c>
    </row>
    <row r="52" spans="1:58" x14ac:dyDescent="0.25">
      <c r="A52" s="12" t="s">
        <v>108</v>
      </c>
      <c r="B52" s="13">
        <f ca="1">VLOOKUP($B52,'[10]Analisys QBR By Machine Report'!$C$109:$BD$166,2,FALSE)</f>
        <v>34560</v>
      </c>
      <c r="C52" s="14">
        <f ca="1">VLOOKUP($B52,[10]Dasboard_QBR_Report!$B$109:$BL$166,3,FALSE)</f>
        <v>22320</v>
      </c>
      <c r="D52" s="13">
        <f ca="1">VLOOKUP($B52,'[10]Analisys QBR By Machine Report'!$C$109:$BD$166,3,FALSE)</f>
        <v>26190</v>
      </c>
      <c r="E52" s="14">
        <f ca="1">VLOOKUP($B52,[10]Dasboard_QBR_Report!$B$109:$BL$166,5,FALSE)</f>
        <v>13950</v>
      </c>
      <c r="F52" s="13">
        <f t="shared" ca="1" si="0"/>
        <v>8370</v>
      </c>
      <c r="G52" s="13">
        <f t="shared" ca="1" si="1"/>
        <v>810</v>
      </c>
      <c r="H52" s="13">
        <f ca="1">VLOOKUP($B52,'[10]Analisys QBR By Machine Report'!$C$109:$BD$166,4,FALSE)</f>
        <v>810</v>
      </c>
      <c r="I52" s="13">
        <f ca="1">VLOOKUP($B52,'[10]Analisys QBR By Machine Report'!$C$109:$BD$166,5,FALSE)</f>
        <v>5</v>
      </c>
      <c r="J52" s="13">
        <f ca="1">VLOOKUP($B52,'[10]Analisys QBR By Machine Report'!$C$109:$BD$166,6,FALSE)</f>
        <v>805</v>
      </c>
      <c r="K52" s="13">
        <f ca="1">VLOOKUP($B52,'[10]Analisys QBR By Machine Report'!$C$109:$BD$166,7,FALSE)</f>
        <v>0</v>
      </c>
      <c r="L52" s="13">
        <f ca="1">VLOOKUP($B52,'[10]Analisys QBR By Machine Report'!$C$109:$BD$166,8,FALSE)</f>
        <v>7560</v>
      </c>
      <c r="M52" s="13">
        <f ca="1">VLOOKUP($B52,'[10]Analisys QBR By Machine Report'!$C$109:$BD$166,9,FALSE)</f>
        <v>2972</v>
      </c>
      <c r="N52" s="13">
        <f ca="1">VLOOKUP($B52,[10]Dasboard_QBR_Report!$B$109:$BL$166,18,FALSE)</f>
        <v>4588</v>
      </c>
      <c r="O52" s="13">
        <f ca="1">VLOOKUP($B52,'[10]Analisys QBR By Machine Report'!$C$109:$BD$166,10,FALSE)</f>
        <v>754</v>
      </c>
      <c r="P52" s="13">
        <f ca="1">VLOOKUP($B52,'[10]Analisys QBR By Machine Report'!$C$109:$BD$166,11,FALSE)</f>
        <v>625</v>
      </c>
      <c r="Q52" s="13">
        <f ca="1">VLOOKUP($B52,'[10]Analisys QBR By Machine Report'!$C$109:$BD$166,12,FALSE)</f>
        <v>0</v>
      </c>
      <c r="R52" s="13">
        <f ca="1">VLOOKUP($B52,'[10]Analisys QBR By Machine Report'!$C$109:$BD$166,13,FALSE)</f>
        <v>124</v>
      </c>
      <c r="S52" s="13">
        <f ca="1">VLOOKUP($B52,'[10]Analisys QBR By Machine Report'!$C$109:$BD$166,14,FALSE)</f>
        <v>5</v>
      </c>
      <c r="T52" s="13">
        <f ca="1">VLOOKUP($B52,'[10]Analisys QBR By Machine Report'!$C$109:$BD$166,15,FALSE)</f>
        <v>72</v>
      </c>
      <c r="U52" s="13">
        <f ca="1">VLOOKUP($B52,'[10]Analisys QBR By Machine Report'!$C$109:$BD$166,16,FALSE)</f>
        <v>0</v>
      </c>
      <c r="V52" s="13">
        <f ca="1">VLOOKUP($B52,'[10]Analisys QBR By Machine Report'!$C$109:$BD$166,17,FALSE)</f>
        <v>0</v>
      </c>
      <c r="W52" s="13">
        <f ca="1">VLOOKUP($B52,'[10]Analisys QBR By Machine Report'!$C$109:$BD$166,18,FALSE)</f>
        <v>0</v>
      </c>
      <c r="X52" s="13">
        <f ca="1">VLOOKUP($B52,'[10]Analisys QBR By Machine Report'!$C$109:$BD$166,19,FALSE)</f>
        <v>72</v>
      </c>
      <c r="Y52" s="13">
        <f ca="1">VLOOKUP($B52,'[10]Analisys QBR By Machine Report'!$C$109:$BD$166,20,FALSE)</f>
        <v>0</v>
      </c>
      <c r="Z52" s="13">
        <f ca="1">VLOOKUP($B52,'[10]Analisys QBR By Machine Report'!$C$109:$BD$166,21,FALSE)</f>
        <v>1992</v>
      </c>
      <c r="AA52" s="13">
        <f ca="1">VLOOKUP($B52,'[10]Analisys QBR By Machine Report'!$C$109:$BD$166,22,FALSE)</f>
        <v>607</v>
      </c>
      <c r="AB52" s="13">
        <f ca="1">VLOOKUP($B52,'[10]Analisys QBR By Machine Report'!$C$109:$BD$166,23,FALSE)</f>
        <v>1385</v>
      </c>
      <c r="AC52" s="13">
        <f ca="1">VLOOKUP($B52,'[10]Analisys QBR By Machine Report'!$C$109:$BD$166,24,FALSE)</f>
        <v>0</v>
      </c>
      <c r="AD52" s="13">
        <f ca="1">VLOOKUP($B52,'[10]Analisys QBR By Machine Report'!$C$109:$BD$166,25,FALSE)</f>
        <v>0</v>
      </c>
      <c r="AE52" s="13">
        <f ca="1">VLOOKUP($B52,'[10]Analisys QBR By Machine Report'!$C$109:$BD$166,26,FALSE)</f>
        <v>0</v>
      </c>
      <c r="AF52" s="13">
        <f ca="1">VLOOKUP($B52,'[10]Analisys QBR By Machine Report'!$C$109:$BD$166,27,FALSE)</f>
        <v>0</v>
      </c>
      <c r="AG52" s="13">
        <f ca="1">VLOOKUP($B52,'[10]Analisys QBR By Machine Report'!$C$109:$BD$166,28,FALSE)</f>
        <v>0</v>
      </c>
      <c r="AH52" s="13">
        <f ca="1">VLOOKUP($B52,'[10]Analisys QBR By Machine Report'!$C$109:$BD$166,29,FALSE)</f>
        <v>0</v>
      </c>
      <c r="AI52" s="13">
        <f ca="1">VLOOKUP($B52,'[10]Analisys QBR By Machine Report'!$C$109:$BD$166,30,FALSE)</f>
        <v>1770</v>
      </c>
      <c r="AJ52" s="13">
        <f ca="1">VLOOKUP($B52,'[10]Analisys QBR By Machine Report'!$C$109:$BD$166,31,FALSE)</f>
        <v>0</v>
      </c>
      <c r="AK52" s="13">
        <f ca="1">VLOOKUP($B52,'[10]Analisys QBR By Machine Report'!$C$109:$BD$166,32,FALSE)</f>
        <v>0</v>
      </c>
      <c r="AL52" s="13">
        <f ca="1">VLOOKUP($B52,'[10]Analisys QBR By Machine Report'!$C$109:$BD$166,33,FALSE)</f>
        <v>530</v>
      </c>
      <c r="AM52" s="13">
        <f ca="1">VLOOKUP($B52,'[10]Analisys QBR By Machine Report'!$C$109:$BD$166,34,FALSE)</f>
        <v>0</v>
      </c>
      <c r="AN52" s="13">
        <f ca="1">VLOOKUP($B52,'[10]Analisys QBR By Machine Report'!$C$109:$BD$166,35,FALSE)</f>
        <v>495</v>
      </c>
      <c r="AO52" s="13">
        <f ca="1">VLOOKUP($B52,'[10]Analisys QBR By Machine Report'!$C$109:$BD$166,36,FALSE)</f>
        <v>0</v>
      </c>
      <c r="AP52" s="13">
        <f ca="1">VLOOKUP($B52,'[10]Analisys QBR By Machine Report'!$C$109:$BD$166,37,FALSE)</f>
        <v>0</v>
      </c>
      <c r="AQ52" s="13">
        <f ca="1">VLOOKUP($B52,'[10]Analisys QBR By Machine Report'!$C$109:$BD$166,38,FALSE)</f>
        <v>138</v>
      </c>
      <c r="AR52" s="13">
        <f ca="1">VLOOKUP($B52,'[10]Analisys QBR By Machine Report'!$C$109:$BD$166,39,FALSE)</f>
        <v>0</v>
      </c>
      <c r="AS52" s="13">
        <f ca="1">VLOOKUP($B52,'[10]Analisys QBR By Machine Report'!$C$109:$BD$166,40,FALSE)</f>
        <v>124</v>
      </c>
      <c r="AT52" s="13">
        <f ca="1">VLOOKUP($B52,'[10]Analisys QBR By Machine Report'!$C$109:$BD$166,41,FALSE)</f>
        <v>0</v>
      </c>
      <c r="AU52" s="13">
        <f ca="1">VLOOKUP($B52,'[10]Analisys QBR By Machine Report'!$C$109:$BD$166,42,FALSE)</f>
        <v>0</v>
      </c>
      <c r="AV52" s="13">
        <f ca="1">VLOOKUP($B52,'[10]Analisys QBR By Machine Report'!$C$109:$BD$166,43,FALSE)</f>
        <v>432</v>
      </c>
      <c r="AW52" s="13">
        <f ca="1">VLOOKUP($B52,'[10]Analisys QBR By Machine Report'!$C$109:$BD$166,44,FALSE)</f>
        <v>0</v>
      </c>
      <c r="AX52" s="13">
        <f ca="1">VLOOKUP($B52,'[10]Analisys QBR By Machine Report'!$C$109:$BD$166,45,FALSE)</f>
        <v>0</v>
      </c>
      <c r="AY52" s="13">
        <f ca="1">VLOOKUP($B52,'[10]Analisys QBR By Machine Report'!$C$109:$BD$166,46,FALSE)</f>
        <v>0</v>
      </c>
      <c r="AZ52" s="13">
        <f ca="1">VLOOKUP($B52,'[10]Analisys QBR By Machine Report'!$C$109:$BD$166,47,FALSE)</f>
        <v>51</v>
      </c>
      <c r="BA52" s="13">
        <f ca="1">VLOOKUP($B52,'[10]Analisys QBR By Machine Report'!$C$109:$BD$166,48,FALSE)</f>
        <v>0</v>
      </c>
      <c r="BB52" s="13">
        <f ca="1">VLOOKUP($B52,'[10]Analisys QBR By Machine Report'!$C$109:$BD$166,49,FALSE)</f>
        <v>0</v>
      </c>
      <c r="BC52" s="13">
        <f ca="1">VLOOKUP($B52,'[10]Analisys QBR By Machine Report'!$C$109:$BD$166,50,FALSE)</f>
        <v>0</v>
      </c>
      <c r="BD52" s="13">
        <f ca="1">VLOOKUP($B52,'[10]Analisys QBR By Machine Report'!$C$109:$BD$166,51,FALSE)</f>
        <v>434816</v>
      </c>
      <c r="BE52" s="13">
        <f ca="1">VLOOKUP($B52,'[10]Analisys QBR By Machine Report'!$C$109:$BD$166,52,FALSE)</f>
        <v>46</v>
      </c>
      <c r="BF52" s="13">
        <f ca="1">VLOOKUP($B52,'[10]Analisys QBR By Machine Report'!$C$109:$BD$166,53,FALSE)</f>
        <v>434770</v>
      </c>
    </row>
    <row r="53" spans="1:58" x14ac:dyDescent="0.25">
      <c r="A53" s="9" t="s">
        <v>109</v>
      </c>
      <c r="B53" s="10">
        <f ca="1">VLOOKUP($B53,'[10]Analisys QBR By Machine Report'!$C$109:$BD$166,2,FALSE)</f>
        <v>69120</v>
      </c>
      <c r="C53" s="11">
        <f ca="1">VLOOKUP($B53,[10]Dasboard_QBR_Report!$B$109:$BL$166,3,FALSE)</f>
        <v>44640</v>
      </c>
      <c r="D53" s="10">
        <f ca="1">VLOOKUP($B53,'[10]Analisys QBR By Machine Report'!$C$109:$BD$166,3,FALSE)</f>
        <v>51352</v>
      </c>
      <c r="E53" s="11">
        <f ca="1">VLOOKUP($B53,[10]Dasboard_QBR_Report!$B$109:$BL$166,5,FALSE)</f>
        <v>26872</v>
      </c>
      <c r="F53" s="10">
        <f t="shared" ca="1" si="0"/>
        <v>17768</v>
      </c>
      <c r="G53" s="10">
        <f t="shared" ca="1" si="1"/>
        <v>1417</v>
      </c>
      <c r="H53" s="10">
        <f ca="1">VLOOKUP($B53,'[10]Analisys QBR By Machine Report'!$C$109:$BD$166,4,FALSE)</f>
        <v>1417</v>
      </c>
      <c r="I53" s="10">
        <f ca="1">VLOOKUP($B53,'[10]Analisys QBR By Machine Report'!$C$109:$BD$166,5,FALSE)</f>
        <v>472</v>
      </c>
      <c r="J53" s="10">
        <f ca="1">VLOOKUP($B53,'[10]Analisys QBR By Machine Report'!$C$109:$BD$166,6,FALSE)</f>
        <v>945</v>
      </c>
      <c r="K53" s="10">
        <f ca="1">VLOOKUP($B53,'[10]Analisys QBR By Machine Report'!$C$109:$BD$166,7,FALSE)</f>
        <v>0</v>
      </c>
      <c r="L53" s="10">
        <f ca="1">VLOOKUP($B53,'[10]Analisys QBR By Machine Report'!$C$109:$BD$166,8,FALSE)</f>
        <v>16351</v>
      </c>
      <c r="M53" s="10">
        <f ca="1">VLOOKUP($B53,'[10]Analisys QBR By Machine Report'!$C$109:$BD$166,9,FALSE)</f>
        <v>8061</v>
      </c>
      <c r="N53" s="10">
        <f ca="1">VLOOKUP($B53,[10]Dasboard_QBR_Report!$B$109:$BL$166,18,FALSE)</f>
        <v>8290</v>
      </c>
      <c r="O53" s="10">
        <f ca="1">VLOOKUP($B53,'[10]Analisys QBR By Machine Report'!$C$109:$BD$166,10,FALSE)</f>
        <v>583</v>
      </c>
      <c r="P53" s="10">
        <f ca="1">VLOOKUP($B53,'[10]Analisys QBR By Machine Report'!$C$109:$BD$166,11,FALSE)</f>
        <v>428</v>
      </c>
      <c r="Q53" s="10">
        <f ca="1">VLOOKUP($B53,'[10]Analisys QBR By Machine Report'!$C$109:$BD$166,12,FALSE)</f>
        <v>0</v>
      </c>
      <c r="R53" s="10">
        <f ca="1">VLOOKUP($B53,'[10]Analisys QBR By Machine Report'!$C$109:$BD$166,13,FALSE)</f>
        <v>155</v>
      </c>
      <c r="S53" s="10">
        <f ca="1">VLOOKUP($B53,'[10]Analisys QBR By Machine Report'!$C$109:$BD$166,14,FALSE)</f>
        <v>0</v>
      </c>
      <c r="T53" s="10">
        <f ca="1">VLOOKUP($B53,'[10]Analisys QBR By Machine Report'!$C$109:$BD$166,15,FALSE)</f>
        <v>0</v>
      </c>
      <c r="U53" s="10">
        <f ca="1">VLOOKUP($B53,'[10]Analisys QBR By Machine Report'!$C$109:$BD$166,16,FALSE)</f>
        <v>0</v>
      </c>
      <c r="V53" s="10">
        <f ca="1">VLOOKUP($B53,'[10]Analisys QBR By Machine Report'!$C$109:$BD$166,17,FALSE)</f>
        <v>0</v>
      </c>
      <c r="W53" s="10">
        <f ca="1">VLOOKUP($B53,'[10]Analisys QBR By Machine Report'!$C$109:$BD$166,18,FALSE)</f>
        <v>0</v>
      </c>
      <c r="X53" s="10">
        <f ca="1">VLOOKUP($B53,'[10]Analisys QBR By Machine Report'!$C$109:$BD$166,19,FALSE)</f>
        <v>0</v>
      </c>
      <c r="Y53" s="10">
        <f ca="1">VLOOKUP($B53,'[10]Analisys QBR By Machine Report'!$C$109:$BD$166,20,FALSE)</f>
        <v>0</v>
      </c>
      <c r="Z53" s="10">
        <f ca="1">VLOOKUP($B53,'[10]Analisys QBR By Machine Report'!$C$109:$BD$166,21,FALSE)</f>
        <v>5317</v>
      </c>
      <c r="AA53" s="10">
        <f ca="1">VLOOKUP($B53,'[10]Analisys QBR By Machine Report'!$C$109:$BD$166,22,FALSE)</f>
        <v>4869</v>
      </c>
      <c r="AB53" s="10">
        <f ca="1">VLOOKUP($B53,'[10]Analisys QBR By Machine Report'!$C$109:$BD$166,23,FALSE)</f>
        <v>448</v>
      </c>
      <c r="AC53" s="10">
        <f ca="1">VLOOKUP($B53,'[10]Analisys QBR By Machine Report'!$C$109:$BD$166,24,FALSE)</f>
        <v>0</v>
      </c>
      <c r="AD53" s="10">
        <f ca="1">VLOOKUP($B53,'[10]Analisys QBR By Machine Report'!$C$109:$BD$166,25,FALSE)</f>
        <v>0</v>
      </c>
      <c r="AE53" s="10">
        <f ca="1">VLOOKUP($B53,'[10]Analisys QBR By Machine Report'!$C$109:$BD$166,26,FALSE)</f>
        <v>0</v>
      </c>
      <c r="AF53" s="10">
        <f ca="1">VLOOKUP($B53,'[10]Analisys QBR By Machine Report'!$C$109:$BD$166,27,FALSE)</f>
        <v>0</v>
      </c>
      <c r="AG53" s="10">
        <f ca="1">VLOOKUP($B53,'[10]Analisys QBR By Machine Report'!$C$109:$BD$166,28,FALSE)</f>
        <v>0</v>
      </c>
      <c r="AH53" s="10">
        <f ca="1">VLOOKUP($B53,'[10]Analisys QBR By Machine Report'!$C$109:$BD$166,29,FALSE)</f>
        <v>0</v>
      </c>
      <c r="AI53" s="10">
        <f ca="1">VLOOKUP($B53,'[10]Analisys QBR By Machine Report'!$C$109:$BD$166,30,FALSE)</f>
        <v>2390</v>
      </c>
      <c r="AJ53" s="10">
        <f ca="1">VLOOKUP($B53,'[10]Analisys QBR By Machine Report'!$C$109:$BD$166,31,FALSE)</f>
        <v>0</v>
      </c>
      <c r="AK53" s="10">
        <f ca="1">VLOOKUP($B53,'[10]Analisys QBR By Machine Report'!$C$109:$BD$166,32,FALSE)</f>
        <v>0</v>
      </c>
      <c r="AL53" s="10">
        <f ca="1">VLOOKUP($B53,'[10]Analisys QBR By Machine Report'!$C$109:$BD$166,33,FALSE)</f>
        <v>25</v>
      </c>
      <c r="AM53" s="10">
        <f ca="1">VLOOKUP($B53,'[10]Analisys QBR By Machine Report'!$C$109:$BD$166,34,FALSE)</f>
        <v>0</v>
      </c>
      <c r="AN53" s="10">
        <f ca="1">VLOOKUP($B53,'[10]Analisys QBR By Machine Report'!$C$109:$BD$166,35,FALSE)</f>
        <v>0</v>
      </c>
      <c r="AO53" s="10">
        <f ca="1">VLOOKUP($B53,'[10]Analisys QBR By Machine Report'!$C$109:$BD$166,36,FALSE)</f>
        <v>0</v>
      </c>
      <c r="AP53" s="10">
        <f ca="1">VLOOKUP($B53,'[10]Analisys QBR By Machine Report'!$C$109:$BD$166,37,FALSE)</f>
        <v>0</v>
      </c>
      <c r="AQ53" s="10">
        <f ca="1">VLOOKUP($B53,'[10]Analisys QBR By Machine Report'!$C$109:$BD$166,38,FALSE)</f>
        <v>121</v>
      </c>
      <c r="AR53" s="10">
        <f ca="1">VLOOKUP($B53,'[10]Analisys QBR By Machine Report'!$C$109:$BD$166,39,FALSE)</f>
        <v>2244</v>
      </c>
      <c r="AS53" s="10">
        <f ca="1">VLOOKUP($B53,'[10]Analisys QBR By Machine Report'!$C$109:$BD$166,40,FALSE)</f>
        <v>0</v>
      </c>
      <c r="AT53" s="10">
        <f ca="1">VLOOKUP($B53,'[10]Analisys QBR By Machine Report'!$C$109:$BD$166,41,FALSE)</f>
        <v>0</v>
      </c>
      <c r="AU53" s="10">
        <f ca="1">VLOOKUP($B53,'[10]Analisys QBR By Machine Report'!$C$109:$BD$166,42,FALSE)</f>
        <v>0</v>
      </c>
      <c r="AV53" s="10">
        <f ca="1">VLOOKUP($B53,'[10]Analisys QBR By Machine Report'!$C$109:$BD$166,43,FALSE)</f>
        <v>0</v>
      </c>
      <c r="AW53" s="10">
        <f ca="1">VLOOKUP($B53,'[10]Analisys QBR By Machine Report'!$C$109:$BD$166,44,FALSE)</f>
        <v>0</v>
      </c>
      <c r="AX53" s="10">
        <f ca="1">VLOOKUP($B53,'[10]Analisys QBR By Machine Report'!$C$109:$BD$166,45,FALSE)</f>
        <v>0</v>
      </c>
      <c r="AY53" s="10">
        <f ca="1">VLOOKUP($B53,'[10]Analisys QBR By Machine Report'!$C$109:$BD$166,46,FALSE)</f>
        <v>0</v>
      </c>
      <c r="AZ53" s="10">
        <f ca="1">VLOOKUP($B53,'[10]Analisys QBR By Machine Report'!$C$109:$BD$166,47,FALSE)</f>
        <v>0</v>
      </c>
      <c r="BA53" s="10">
        <f ca="1">VLOOKUP($B53,'[10]Analisys QBR By Machine Report'!$C$109:$BD$166,48,FALSE)</f>
        <v>0</v>
      </c>
      <c r="BB53" s="10">
        <f ca="1">VLOOKUP($B53,'[10]Analisys QBR By Machine Report'!$C$109:$BD$166,49,FALSE)</f>
        <v>0</v>
      </c>
      <c r="BC53" s="10">
        <f ca="1">VLOOKUP($B53,'[10]Analisys QBR By Machine Report'!$C$109:$BD$166,50,FALSE)</f>
        <v>0</v>
      </c>
      <c r="BD53" s="10">
        <f ca="1">VLOOKUP($B53,'[10]Analisys QBR By Machine Report'!$C$109:$BD$166,51,FALSE)</f>
        <v>735</v>
      </c>
      <c r="BE53" s="10">
        <f ca="1">VLOOKUP($B53,'[10]Analisys QBR By Machine Report'!$C$109:$BD$166,52,FALSE)</f>
        <v>0</v>
      </c>
      <c r="BF53" s="10">
        <f ca="1">VLOOKUP($B53,'[10]Analisys QBR By Machine Report'!$C$109:$BD$166,53,FALSE)</f>
        <v>735</v>
      </c>
    </row>
    <row r="54" spans="1:58" x14ac:dyDescent="0.25">
      <c r="A54" s="12" t="s">
        <v>110</v>
      </c>
      <c r="B54" s="13">
        <f ca="1">VLOOKUP($B54,'[10]Analisys QBR By Machine Report'!$C$109:$BD$166,2,FALSE)</f>
        <v>34560</v>
      </c>
      <c r="C54" s="14">
        <f ca="1">VLOOKUP($B54,[10]Dasboard_QBR_Report!$B$109:$BL$166,3,FALSE)</f>
        <v>22320</v>
      </c>
      <c r="D54" s="13">
        <f ca="1">VLOOKUP($B54,'[10]Analisys QBR By Machine Report'!$C$109:$BD$166,3,FALSE)</f>
        <v>25230</v>
      </c>
      <c r="E54" s="14">
        <f ca="1">VLOOKUP($B54,[10]Dasboard_QBR_Report!$B$109:$BL$166,5,FALSE)</f>
        <v>12990</v>
      </c>
      <c r="F54" s="13">
        <f t="shared" ca="1" si="0"/>
        <v>9330</v>
      </c>
      <c r="G54" s="13">
        <f t="shared" ca="1" si="1"/>
        <v>662</v>
      </c>
      <c r="H54" s="13">
        <f ca="1">VLOOKUP($B54,'[10]Analisys QBR By Machine Report'!$C$109:$BD$166,4,FALSE)</f>
        <v>662</v>
      </c>
      <c r="I54" s="13">
        <f ca="1">VLOOKUP($B54,'[10]Analisys QBR By Machine Report'!$C$109:$BD$166,5,FALSE)</f>
        <v>248</v>
      </c>
      <c r="J54" s="13">
        <f ca="1">VLOOKUP($B54,'[10]Analisys QBR By Machine Report'!$C$109:$BD$166,6,FALSE)</f>
        <v>414</v>
      </c>
      <c r="K54" s="13">
        <f ca="1">VLOOKUP($B54,'[10]Analisys QBR By Machine Report'!$C$109:$BD$166,7,FALSE)</f>
        <v>0</v>
      </c>
      <c r="L54" s="13">
        <f ca="1">VLOOKUP($B54,'[10]Analisys QBR By Machine Report'!$C$109:$BD$166,8,FALSE)</f>
        <v>8668</v>
      </c>
      <c r="M54" s="13">
        <f ca="1">VLOOKUP($B54,'[10]Analisys QBR By Machine Report'!$C$109:$BD$166,9,FALSE)</f>
        <v>4174</v>
      </c>
      <c r="N54" s="13">
        <f ca="1">VLOOKUP($B54,[10]Dasboard_QBR_Report!$B$109:$BL$166,18,FALSE)</f>
        <v>4494</v>
      </c>
      <c r="O54" s="13">
        <f ca="1">VLOOKUP($B54,'[10]Analisys QBR By Machine Report'!$C$109:$BD$166,10,FALSE)</f>
        <v>285</v>
      </c>
      <c r="P54" s="13">
        <f ca="1">VLOOKUP($B54,'[10]Analisys QBR By Machine Report'!$C$109:$BD$166,11,FALSE)</f>
        <v>226</v>
      </c>
      <c r="Q54" s="13">
        <f ca="1">VLOOKUP($B54,'[10]Analisys QBR By Machine Report'!$C$109:$BD$166,12,FALSE)</f>
        <v>0</v>
      </c>
      <c r="R54" s="13">
        <f ca="1">VLOOKUP($B54,'[10]Analisys QBR By Machine Report'!$C$109:$BD$166,13,FALSE)</f>
        <v>59</v>
      </c>
      <c r="S54" s="13">
        <f ca="1">VLOOKUP($B54,'[10]Analisys QBR By Machine Report'!$C$109:$BD$166,14,FALSE)</f>
        <v>0</v>
      </c>
      <c r="T54" s="13">
        <f ca="1">VLOOKUP($B54,'[10]Analisys QBR By Machine Report'!$C$109:$BD$166,15,FALSE)</f>
        <v>0</v>
      </c>
      <c r="U54" s="13">
        <f ca="1">VLOOKUP($B54,'[10]Analisys QBR By Machine Report'!$C$109:$BD$166,16,FALSE)</f>
        <v>0</v>
      </c>
      <c r="V54" s="13">
        <f ca="1">VLOOKUP($B54,'[10]Analisys QBR By Machine Report'!$C$109:$BD$166,17,FALSE)</f>
        <v>0</v>
      </c>
      <c r="W54" s="13">
        <f ca="1">VLOOKUP($B54,'[10]Analisys QBR By Machine Report'!$C$109:$BD$166,18,FALSE)</f>
        <v>0</v>
      </c>
      <c r="X54" s="13">
        <f ca="1">VLOOKUP($B54,'[10]Analisys QBR By Machine Report'!$C$109:$BD$166,19,FALSE)</f>
        <v>0</v>
      </c>
      <c r="Y54" s="13">
        <f ca="1">VLOOKUP($B54,'[10]Analisys QBR By Machine Report'!$C$109:$BD$166,20,FALSE)</f>
        <v>0</v>
      </c>
      <c r="Z54" s="13">
        <f ca="1">VLOOKUP($B54,'[10]Analisys QBR By Machine Report'!$C$109:$BD$166,21,FALSE)</f>
        <v>3670</v>
      </c>
      <c r="AA54" s="13">
        <f ca="1">VLOOKUP($B54,'[10]Analisys QBR By Machine Report'!$C$109:$BD$166,22,FALSE)</f>
        <v>3552</v>
      </c>
      <c r="AB54" s="13">
        <f ca="1">VLOOKUP($B54,'[10]Analisys QBR By Machine Report'!$C$109:$BD$166,23,FALSE)</f>
        <v>118</v>
      </c>
      <c r="AC54" s="13">
        <f ca="1">VLOOKUP($B54,'[10]Analisys QBR By Machine Report'!$C$109:$BD$166,24,FALSE)</f>
        <v>0</v>
      </c>
      <c r="AD54" s="13">
        <f ca="1">VLOOKUP($B54,'[10]Analisys QBR By Machine Report'!$C$109:$BD$166,25,FALSE)</f>
        <v>0</v>
      </c>
      <c r="AE54" s="13">
        <f ca="1">VLOOKUP($B54,'[10]Analisys QBR By Machine Report'!$C$109:$BD$166,26,FALSE)</f>
        <v>0</v>
      </c>
      <c r="AF54" s="13">
        <f ca="1">VLOOKUP($B54,'[10]Analisys QBR By Machine Report'!$C$109:$BD$166,27,FALSE)</f>
        <v>0</v>
      </c>
      <c r="AG54" s="13">
        <f ca="1">VLOOKUP($B54,'[10]Analisys QBR By Machine Report'!$C$109:$BD$166,28,FALSE)</f>
        <v>0</v>
      </c>
      <c r="AH54" s="13">
        <f ca="1">VLOOKUP($B54,'[10]Analisys QBR By Machine Report'!$C$109:$BD$166,29,FALSE)</f>
        <v>0</v>
      </c>
      <c r="AI54" s="13">
        <f ca="1">VLOOKUP($B54,'[10]Analisys QBR By Machine Report'!$C$109:$BD$166,30,FALSE)</f>
        <v>539</v>
      </c>
      <c r="AJ54" s="13">
        <f ca="1">VLOOKUP($B54,'[10]Analisys QBR By Machine Report'!$C$109:$BD$166,31,FALSE)</f>
        <v>0</v>
      </c>
      <c r="AK54" s="13">
        <f ca="1">VLOOKUP($B54,'[10]Analisys QBR By Machine Report'!$C$109:$BD$166,32,FALSE)</f>
        <v>0</v>
      </c>
      <c r="AL54" s="13">
        <f ca="1">VLOOKUP($B54,'[10]Analisys QBR By Machine Report'!$C$109:$BD$166,33,FALSE)</f>
        <v>25</v>
      </c>
      <c r="AM54" s="13">
        <f ca="1">VLOOKUP($B54,'[10]Analisys QBR By Machine Report'!$C$109:$BD$166,34,FALSE)</f>
        <v>0</v>
      </c>
      <c r="AN54" s="13">
        <f ca="1">VLOOKUP($B54,'[10]Analisys QBR By Machine Report'!$C$109:$BD$166,35,FALSE)</f>
        <v>0</v>
      </c>
      <c r="AO54" s="13">
        <f ca="1">VLOOKUP($B54,'[10]Analisys QBR By Machine Report'!$C$109:$BD$166,36,FALSE)</f>
        <v>0</v>
      </c>
      <c r="AP54" s="13">
        <f ca="1">VLOOKUP($B54,'[10]Analisys QBR By Machine Report'!$C$109:$BD$166,37,FALSE)</f>
        <v>0</v>
      </c>
      <c r="AQ54" s="13">
        <f ca="1">VLOOKUP($B54,'[10]Analisys QBR By Machine Report'!$C$109:$BD$166,38,FALSE)</f>
        <v>80</v>
      </c>
      <c r="AR54" s="13">
        <f ca="1">VLOOKUP($B54,'[10]Analisys QBR By Machine Report'!$C$109:$BD$166,39,FALSE)</f>
        <v>434</v>
      </c>
      <c r="AS54" s="13">
        <f ca="1">VLOOKUP($B54,'[10]Analisys QBR By Machine Report'!$C$109:$BD$166,40,FALSE)</f>
        <v>0</v>
      </c>
      <c r="AT54" s="13">
        <f ca="1">VLOOKUP($B54,'[10]Analisys QBR By Machine Report'!$C$109:$BD$166,41,FALSE)</f>
        <v>0</v>
      </c>
      <c r="AU54" s="13">
        <f ca="1">VLOOKUP($B54,'[10]Analisys QBR By Machine Report'!$C$109:$BD$166,42,FALSE)</f>
        <v>0</v>
      </c>
      <c r="AV54" s="13">
        <f ca="1">VLOOKUP($B54,'[10]Analisys QBR By Machine Report'!$C$109:$BD$166,43,FALSE)</f>
        <v>0</v>
      </c>
      <c r="AW54" s="13">
        <f ca="1">VLOOKUP($B54,'[10]Analisys QBR By Machine Report'!$C$109:$BD$166,44,FALSE)</f>
        <v>0</v>
      </c>
      <c r="AX54" s="13">
        <f ca="1">VLOOKUP($B54,'[10]Analisys QBR By Machine Report'!$C$109:$BD$166,45,FALSE)</f>
        <v>0</v>
      </c>
      <c r="AY54" s="13">
        <f ca="1">VLOOKUP($B54,'[10]Analisys QBR By Machine Report'!$C$109:$BD$166,46,FALSE)</f>
        <v>0</v>
      </c>
      <c r="AZ54" s="13">
        <f ca="1">VLOOKUP($B54,'[10]Analisys QBR By Machine Report'!$C$109:$BD$166,47,FALSE)</f>
        <v>0</v>
      </c>
      <c r="BA54" s="13">
        <f ca="1">VLOOKUP($B54,'[10]Analisys QBR By Machine Report'!$C$109:$BD$166,48,FALSE)</f>
        <v>0</v>
      </c>
      <c r="BB54" s="13">
        <f ca="1">VLOOKUP($B54,'[10]Analisys QBR By Machine Report'!$C$109:$BD$166,49,FALSE)</f>
        <v>0</v>
      </c>
      <c r="BC54" s="13">
        <f ca="1">VLOOKUP($B54,'[10]Analisys QBR By Machine Report'!$C$109:$BD$166,50,FALSE)</f>
        <v>0</v>
      </c>
      <c r="BD54" s="13">
        <f ca="1">VLOOKUP($B54,'[10]Analisys QBR By Machine Report'!$C$109:$BD$166,51,FALSE)</f>
        <v>461</v>
      </c>
      <c r="BE54" s="13">
        <f ca="1">VLOOKUP($B54,'[10]Analisys QBR By Machine Report'!$C$109:$BD$166,52,FALSE)</f>
        <v>0</v>
      </c>
      <c r="BF54" s="13">
        <f ca="1">VLOOKUP($B54,'[10]Analisys QBR By Machine Report'!$C$109:$BD$166,53,FALSE)</f>
        <v>461</v>
      </c>
    </row>
    <row r="55" spans="1:58" x14ac:dyDescent="0.25">
      <c r="A55" s="12" t="s">
        <v>111</v>
      </c>
      <c r="B55" s="13">
        <f ca="1">VLOOKUP($B55,'[10]Analisys QBR By Machine Report'!$C$109:$BD$166,2,FALSE)</f>
        <v>34560</v>
      </c>
      <c r="C55" s="14">
        <f ca="1">VLOOKUP($B55,[10]Dasboard_QBR_Report!$B$109:$BL$166,3,FALSE)</f>
        <v>22320</v>
      </c>
      <c r="D55" s="13">
        <f ca="1">VLOOKUP($B55,'[10]Analisys QBR By Machine Report'!$C$109:$BD$166,3,FALSE)</f>
        <v>26122</v>
      </c>
      <c r="E55" s="14">
        <f ca="1">VLOOKUP($B55,[10]Dasboard_QBR_Report!$B$109:$BL$166,5,FALSE)</f>
        <v>13882</v>
      </c>
      <c r="F55" s="13">
        <f t="shared" ca="1" si="0"/>
        <v>8438</v>
      </c>
      <c r="G55" s="13">
        <f t="shared" ca="1" si="1"/>
        <v>755</v>
      </c>
      <c r="H55" s="13">
        <f ca="1">VLOOKUP($B55,'[10]Analisys QBR By Machine Report'!$C$109:$BD$166,4,FALSE)</f>
        <v>755</v>
      </c>
      <c r="I55" s="13">
        <f ca="1">VLOOKUP($B55,'[10]Analisys QBR By Machine Report'!$C$109:$BD$166,5,FALSE)</f>
        <v>224</v>
      </c>
      <c r="J55" s="13">
        <f ca="1">VLOOKUP($B55,'[10]Analisys QBR By Machine Report'!$C$109:$BD$166,6,FALSE)</f>
        <v>531</v>
      </c>
      <c r="K55" s="13">
        <f ca="1">VLOOKUP($B55,'[10]Analisys QBR By Machine Report'!$C$109:$BD$166,7,FALSE)</f>
        <v>0</v>
      </c>
      <c r="L55" s="13">
        <f ca="1">VLOOKUP($B55,'[10]Analisys QBR By Machine Report'!$C$109:$BD$166,8,FALSE)</f>
        <v>7683</v>
      </c>
      <c r="M55" s="13">
        <f ca="1">VLOOKUP($B55,'[10]Analisys QBR By Machine Report'!$C$109:$BD$166,9,FALSE)</f>
        <v>3887</v>
      </c>
      <c r="N55" s="13">
        <f ca="1">VLOOKUP($B55,[10]Dasboard_QBR_Report!$B$109:$BL$166,18,FALSE)</f>
        <v>3796</v>
      </c>
      <c r="O55" s="13">
        <f ca="1">VLOOKUP($B55,'[10]Analisys QBR By Machine Report'!$C$109:$BD$166,10,FALSE)</f>
        <v>298</v>
      </c>
      <c r="P55" s="13">
        <f ca="1">VLOOKUP($B55,'[10]Analisys QBR By Machine Report'!$C$109:$BD$166,11,FALSE)</f>
        <v>202</v>
      </c>
      <c r="Q55" s="13">
        <f ca="1">VLOOKUP($B55,'[10]Analisys QBR By Machine Report'!$C$109:$BD$166,12,FALSE)</f>
        <v>0</v>
      </c>
      <c r="R55" s="13">
        <f ca="1">VLOOKUP($B55,'[10]Analisys QBR By Machine Report'!$C$109:$BD$166,13,FALSE)</f>
        <v>96</v>
      </c>
      <c r="S55" s="13">
        <f ca="1">VLOOKUP($B55,'[10]Analisys QBR By Machine Report'!$C$109:$BD$166,14,FALSE)</f>
        <v>0</v>
      </c>
      <c r="T55" s="13">
        <f ca="1">VLOOKUP($B55,'[10]Analisys QBR By Machine Report'!$C$109:$BD$166,15,FALSE)</f>
        <v>0</v>
      </c>
      <c r="U55" s="13">
        <f ca="1">VLOOKUP($B55,'[10]Analisys QBR By Machine Report'!$C$109:$BD$166,16,FALSE)</f>
        <v>0</v>
      </c>
      <c r="V55" s="13">
        <f ca="1">VLOOKUP($B55,'[10]Analisys QBR By Machine Report'!$C$109:$BD$166,17,FALSE)</f>
        <v>0</v>
      </c>
      <c r="W55" s="13">
        <f ca="1">VLOOKUP($B55,'[10]Analisys QBR By Machine Report'!$C$109:$BD$166,18,FALSE)</f>
        <v>0</v>
      </c>
      <c r="X55" s="13">
        <f ca="1">VLOOKUP($B55,'[10]Analisys QBR By Machine Report'!$C$109:$BD$166,19,FALSE)</f>
        <v>0</v>
      </c>
      <c r="Y55" s="13">
        <f ca="1">VLOOKUP($B55,'[10]Analisys QBR By Machine Report'!$C$109:$BD$166,20,FALSE)</f>
        <v>0</v>
      </c>
      <c r="Z55" s="13">
        <f ca="1">VLOOKUP($B55,'[10]Analisys QBR By Machine Report'!$C$109:$BD$166,21,FALSE)</f>
        <v>1647</v>
      </c>
      <c r="AA55" s="13">
        <f ca="1">VLOOKUP($B55,'[10]Analisys QBR By Machine Report'!$C$109:$BD$166,22,FALSE)</f>
        <v>1317</v>
      </c>
      <c r="AB55" s="13">
        <f ca="1">VLOOKUP($B55,'[10]Analisys QBR By Machine Report'!$C$109:$BD$166,23,FALSE)</f>
        <v>330</v>
      </c>
      <c r="AC55" s="13">
        <f ca="1">VLOOKUP($B55,'[10]Analisys QBR By Machine Report'!$C$109:$BD$166,24,FALSE)</f>
        <v>0</v>
      </c>
      <c r="AD55" s="13">
        <f ca="1">VLOOKUP($B55,'[10]Analisys QBR By Machine Report'!$C$109:$BD$166,25,FALSE)</f>
        <v>0</v>
      </c>
      <c r="AE55" s="13">
        <f ca="1">VLOOKUP($B55,'[10]Analisys QBR By Machine Report'!$C$109:$BD$166,26,FALSE)</f>
        <v>0</v>
      </c>
      <c r="AF55" s="13">
        <f ca="1">VLOOKUP($B55,'[10]Analisys QBR By Machine Report'!$C$109:$BD$166,27,FALSE)</f>
        <v>0</v>
      </c>
      <c r="AG55" s="13">
        <f ca="1">VLOOKUP($B55,'[10]Analisys QBR By Machine Report'!$C$109:$BD$166,28,FALSE)</f>
        <v>0</v>
      </c>
      <c r="AH55" s="13">
        <f ca="1">VLOOKUP($B55,'[10]Analisys QBR By Machine Report'!$C$109:$BD$166,29,FALSE)</f>
        <v>0</v>
      </c>
      <c r="AI55" s="13">
        <f ca="1">VLOOKUP($B55,'[10]Analisys QBR By Machine Report'!$C$109:$BD$166,30,FALSE)</f>
        <v>1851</v>
      </c>
      <c r="AJ55" s="13">
        <f ca="1">VLOOKUP($B55,'[10]Analisys QBR By Machine Report'!$C$109:$BD$166,31,FALSE)</f>
        <v>0</v>
      </c>
      <c r="AK55" s="13">
        <f ca="1">VLOOKUP($B55,'[10]Analisys QBR By Machine Report'!$C$109:$BD$166,32,FALSE)</f>
        <v>0</v>
      </c>
      <c r="AL55" s="13">
        <f ca="1">VLOOKUP($B55,'[10]Analisys QBR By Machine Report'!$C$109:$BD$166,33,FALSE)</f>
        <v>0</v>
      </c>
      <c r="AM55" s="13">
        <f ca="1">VLOOKUP($B55,'[10]Analisys QBR By Machine Report'!$C$109:$BD$166,34,FALSE)</f>
        <v>0</v>
      </c>
      <c r="AN55" s="13">
        <f ca="1">VLOOKUP($B55,'[10]Analisys QBR By Machine Report'!$C$109:$BD$166,35,FALSE)</f>
        <v>0</v>
      </c>
      <c r="AO55" s="13">
        <f ca="1">VLOOKUP($B55,'[10]Analisys QBR By Machine Report'!$C$109:$BD$166,36,FALSE)</f>
        <v>0</v>
      </c>
      <c r="AP55" s="13">
        <f ca="1">VLOOKUP($B55,'[10]Analisys QBR By Machine Report'!$C$109:$BD$166,37,FALSE)</f>
        <v>0</v>
      </c>
      <c r="AQ55" s="13">
        <f ca="1">VLOOKUP($B55,'[10]Analisys QBR By Machine Report'!$C$109:$BD$166,38,FALSE)</f>
        <v>41</v>
      </c>
      <c r="AR55" s="13">
        <f ca="1">VLOOKUP($B55,'[10]Analisys QBR By Machine Report'!$C$109:$BD$166,39,FALSE)</f>
        <v>1810</v>
      </c>
      <c r="AS55" s="13">
        <f ca="1">VLOOKUP($B55,'[10]Analisys QBR By Machine Report'!$C$109:$BD$166,40,FALSE)</f>
        <v>0</v>
      </c>
      <c r="AT55" s="13">
        <f ca="1">VLOOKUP($B55,'[10]Analisys QBR By Machine Report'!$C$109:$BD$166,41,FALSE)</f>
        <v>0</v>
      </c>
      <c r="AU55" s="13">
        <f ca="1">VLOOKUP($B55,'[10]Analisys QBR By Machine Report'!$C$109:$BD$166,42,FALSE)</f>
        <v>0</v>
      </c>
      <c r="AV55" s="13">
        <f ca="1">VLOOKUP($B55,'[10]Analisys QBR By Machine Report'!$C$109:$BD$166,43,FALSE)</f>
        <v>0</v>
      </c>
      <c r="AW55" s="13">
        <f ca="1">VLOOKUP($B55,'[10]Analisys QBR By Machine Report'!$C$109:$BD$166,44,FALSE)</f>
        <v>0</v>
      </c>
      <c r="AX55" s="13">
        <f ca="1">VLOOKUP($B55,'[10]Analisys QBR By Machine Report'!$C$109:$BD$166,45,FALSE)</f>
        <v>0</v>
      </c>
      <c r="AY55" s="13">
        <f ca="1">VLOOKUP($B55,'[10]Analisys QBR By Machine Report'!$C$109:$BD$166,46,FALSE)</f>
        <v>0</v>
      </c>
      <c r="AZ55" s="13">
        <f ca="1">VLOOKUP($B55,'[10]Analisys QBR By Machine Report'!$C$109:$BD$166,47,FALSE)</f>
        <v>0</v>
      </c>
      <c r="BA55" s="13">
        <f ca="1">VLOOKUP($B55,'[10]Analisys QBR By Machine Report'!$C$109:$BD$166,48,FALSE)</f>
        <v>0</v>
      </c>
      <c r="BB55" s="13">
        <f ca="1">VLOOKUP($B55,'[10]Analisys QBR By Machine Report'!$C$109:$BD$166,49,FALSE)</f>
        <v>0</v>
      </c>
      <c r="BC55" s="13">
        <f ca="1">VLOOKUP($B55,'[10]Analisys QBR By Machine Report'!$C$109:$BD$166,50,FALSE)</f>
        <v>0</v>
      </c>
      <c r="BD55" s="13">
        <f ca="1">VLOOKUP($B55,'[10]Analisys QBR By Machine Report'!$C$109:$BD$166,51,FALSE)</f>
        <v>274</v>
      </c>
      <c r="BE55" s="13">
        <f ca="1">VLOOKUP($B55,'[10]Analisys QBR By Machine Report'!$C$109:$BD$166,52,FALSE)</f>
        <v>0</v>
      </c>
      <c r="BF55" s="13">
        <f ca="1">VLOOKUP($B55,'[10]Analisys QBR By Machine Report'!$C$109:$BD$166,53,FALSE)</f>
        <v>274</v>
      </c>
    </row>
    <row r="56" spans="1:58" x14ac:dyDescent="0.25">
      <c r="A56" s="9" t="s">
        <v>112</v>
      </c>
      <c r="B56" s="10">
        <f ca="1">VLOOKUP($B56,'[10]Analisys QBR By Machine Report'!$C$109:$BD$166,2,FALSE)</f>
        <v>69120</v>
      </c>
      <c r="C56" s="11">
        <f ca="1">VLOOKUP($B56,[10]Dasboard_QBR_Report!$B$109:$BL$166,3,FALSE)</f>
        <v>23040</v>
      </c>
      <c r="D56" s="10">
        <f ca="1">VLOOKUP($B56,'[10]Analisys QBR By Machine Report'!$C$109:$BD$166,3,FALSE)</f>
        <v>49260</v>
      </c>
      <c r="E56" s="11">
        <f ca="1">VLOOKUP($B56,[10]Dasboard_QBR_Report!$B$109:$BL$166,5,FALSE)</f>
        <v>3180</v>
      </c>
      <c r="F56" s="10">
        <f t="shared" ca="1" si="0"/>
        <v>19860</v>
      </c>
      <c r="G56" s="10">
        <f t="shared" ca="1" si="1"/>
        <v>1876</v>
      </c>
      <c r="H56" s="10">
        <f ca="1">VLOOKUP($B56,'[10]Analisys QBR By Machine Report'!$C$109:$BD$166,4,FALSE)</f>
        <v>1876</v>
      </c>
      <c r="I56" s="10">
        <f ca="1">VLOOKUP($B56,'[10]Analisys QBR By Machine Report'!$C$109:$BD$166,5,FALSE)</f>
        <v>530</v>
      </c>
      <c r="J56" s="10">
        <f ca="1">VLOOKUP($B56,'[10]Analisys QBR By Machine Report'!$C$109:$BD$166,6,FALSE)</f>
        <v>1346</v>
      </c>
      <c r="K56" s="10">
        <f ca="1">VLOOKUP($B56,'[10]Analisys QBR By Machine Report'!$C$109:$BD$166,7,FALSE)</f>
        <v>0</v>
      </c>
      <c r="L56" s="10">
        <f ca="1">VLOOKUP($B56,'[10]Analisys QBR By Machine Report'!$C$109:$BD$166,8,FALSE)</f>
        <v>17984</v>
      </c>
      <c r="M56" s="10">
        <f ca="1">VLOOKUP($B56,'[10]Analisys QBR By Machine Report'!$C$109:$BD$166,9,FALSE)</f>
        <v>7330</v>
      </c>
      <c r="N56" s="10">
        <f ca="1">VLOOKUP($B56,[10]Dasboard_QBR_Report!$B$109:$BL$166,18,FALSE)</f>
        <v>10654</v>
      </c>
      <c r="O56" s="10">
        <f ca="1">VLOOKUP($B56,'[10]Analisys QBR By Machine Report'!$C$109:$BD$166,10,FALSE)</f>
        <v>4151</v>
      </c>
      <c r="P56" s="10">
        <f ca="1">VLOOKUP($B56,'[10]Analisys QBR By Machine Report'!$C$109:$BD$166,11,FALSE)</f>
        <v>1706</v>
      </c>
      <c r="Q56" s="10">
        <f ca="1">VLOOKUP($B56,'[10]Analisys QBR By Machine Report'!$C$109:$BD$166,12,FALSE)</f>
        <v>260</v>
      </c>
      <c r="R56" s="10">
        <f ca="1">VLOOKUP($B56,'[10]Analisys QBR By Machine Report'!$C$109:$BD$166,13,FALSE)</f>
        <v>857</v>
      </c>
      <c r="S56" s="10">
        <f ca="1">VLOOKUP($B56,'[10]Analisys QBR By Machine Report'!$C$109:$BD$166,14,FALSE)</f>
        <v>1328</v>
      </c>
      <c r="T56" s="10">
        <f ca="1">VLOOKUP($B56,'[10]Analisys QBR By Machine Report'!$C$109:$BD$166,15,FALSE)</f>
        <v>85</v>
      </c>
      <c r="U56" s="10">
        <f ca="1">VLOOKUP($B56,'[10]Analisys QBR By Machine Report'!$C$109:$BD$166,16,FALSE)</f>
        <v>85</v>
      </c>
      <c r="V56" s="10">
        <f ca="1">VLOOKUP($B56,'[10]Analisys QBR By Machine Report'!$C$109:$BD$166,17,FALSE)</f>
        <v>0</v>
      </c>
      <c r="W56" s="10">
        <f ca="1">VLOOKUP($B56,'[10]Analisys QBR By Machine Report'!$C$109:$BD$166,18,FALSE)</f>
        <v>0</v>
      </c>
      <c r="X56" s="10">
        <f ca="1">VLOOKUP($B56,'[10]Analisys QBR By Machine Report'!$C$109:$BD$166,19,FALSE)</f>
        <v>0</v>
      </c>
      <c r="Y56" s="10">
        <f ca="1">VLOOKUP($B56,'[10]Analisys QBR By Machine Report'!$C$109:$BD$166,20,FALSE)</f>
        <v>0</v>
      </c>
      <c r="Z56" s="10">
        <f ca="1">VLOOKUP($B56,'[10]Analisys QBR By Machine Report'!$C$109:$BD$166,21,FALSE)</f>
        <v>2230</v>
      </c>
      <c r="AA56" s="10">
        <f ca="1">VLOOKUP($B56,'[10]Analisys QBR By Machine Report'!$C$109:$BD$166,22,FALSE)</f>
        <v>699</v>
      </c>
      <c r="AB56" s="10">
        <f ca="1">VLOOKUP($B56,'[10]Analisys QBR By Machine Report'!$C$109:$BD$166,23,FALSE)</f>
        <v>762</v>
      </c>
      <c r="AC56" s="10">
        <f ca="1">VLOOKUP($B56,'[10]Analisys QBR By Machine Report'!$C$109:$BD$166,24,FALSE)</f>
        <v>359</v>
      </c>
      <c r="AD56" s="10">
        <f ca="1">VLOOKUP($B56,'[10]Analisys QBR By Machine Report'!$C$109:$BD$166,25,FALSE)</f>
        <v>0</v>
      </c>
      <c r="AE56" s="10">
        <f ca="1">VLOOKUP($B56,'[10]Analisys QBR By Machine Report'!$C$109:$BD$166,26,FALSE)</f>
        <v>410</v>
      </c>
      <c r="AF56" s="10">
        <f ca="1">VLOOKUP($B56,'[10]Analisys QBR By Machine Report'!$C$109:$BD$166,27,FALSE)</f>
        <v>0</v>
      </c>
      <c r="AG56" s="10">
        <f ca="1">VLOOKUP($B56,'[10]Analisys QBR By Machine Report'!$C$109:$BD$166,28,FALSE)</f>
        <v>0</v>
      </c>
      <c r="AH56" s="10">
        <f ca="1">VLOOKUP($B56,'[10]Analisys QBR By Machine Report'!$C$109:$BD$166,29,FALSE)</f>
        <v>0</v>
      </c>
      <c r="AI56" s="10">
        <f ca="1">VLOOKUP($B56,'[10]Analisys QBR By Machine Report'!$C$109:$BD$166,30,FALSE)</f>
        <v>4188</v>
      </c>
      <c r="AJ56" s="10">
        <f ca="1">VLOOKUP($B56,'[10]Analisys QBR By Machine Report'!$C$109:$BD$166,31,FALSE)</f>
        <v>0</v>
      </c>
      <c r="AK56" s="10">
        <f ca="1">VLOOKUP($B56,'[10]Analisys QBR By Machine Report'!$C$109:$BD$166,32,FALSE)</f>
        <v>52</v>
      </c>
      <c r="AL56" s="10">
        <f ca="1">VLOOKUP($B56,'[10]Analisys QBR By Machine Report'!$C$109:$BD$166,33,FALSE)</f>
        <v>1137</v>
      </c>
      <c r="AM56" s="10">
        <f ca="1">VLOOKUP($B56,'[10]Analisys QBR By Machine Report'!$C$109:$BD$166,34,FALSE)</f>
        <v>0</v>
      </c>
      <c r="AN56" s="10">
        <f ca="1">VLOOKUP($B56,'[10]Analisys QBR By Machine Report'!$C$109:$BD$166,35,FALSE)</f>
        <v>640</v>
      </c>
      <c r="AO56" s="10">
        <f ca="1">VLOOKUP($B56,'[10]Analisys QBR By Machine Report'!$C$109:$BD$166,36,FALSE)</f>
        <v>0</v>
      </c>
      <c r="AP56" s="10">
        <f ca="1">VLOOKUP($B56,'[10]Analisys QBR By Machine Report'!$C$109:$BD$166,37,FALSE)</f>
        <v>60</v>
      </c>
      <c r="AQ56" s="10">
        <f ca="1">VLOOKUP($B56,'[10]Analisys QBR By Machine Report'!$C$109:$BD$166,38,FALSE)</f>
        <v>0</v>
      </c>
      <c r="AR56" s="10">
        <f ca="1">VLOOKUP($B56,'[10]Analisys QBR By Machine Report'!$C$109:$BD$166,39,FALSE)</f>
        <v>440</v>
      </c>
      <c r="AS56" s="10">
        <f ca="1">VLOOKUP($B56,'[10]Analisys QBR By Machine Report'!$C$109:$BD$166,40,FALSE)</f>
        <v>1018</v>
      </c>
      <c r="AT56" s="10">
        <f ca="1">VLOOKUP($B56,'[10]Analisys QBR By Machine Report'!$C$109:$BD$166,41,FALSE)</f>
        <v>0</v>
      </c>
      <c r="AU56" s="10">
        <f ca="1">VLOOKUP($B56,'[10]Analisys QBR By Machine Report'!$C$109:$BD$166,42,FALSE)</f>
        <v>13</v>
      </c>
      <c r="AV56" s="10">
        <f ca="1">VLOOKUP($B56,'[10]Analisys QBR By Machine Report'!$C$109:$BD$166,43,FALSE)</f>
        <v>0</v>
      </c>
      <c r="AW56" s="10">
        <f ca="1">VLOOKUP($B56,'[10]Analisys QBR By Machine Report'!$C$109:$BD$166,44,FALSE)</f>
        <v>0</v>
      </c>
      <c r="AX56" s="10">
        <f ca="1">VLOOKUP($B56,'[10]Analisys QBR By Machine Report'!$C$109:$BD$166,45,FALSE)</f>
        <v>0</v>
      </c>
      <c r="AY56" s="10">
        <f ca="1">VLOOKUP($B56,'[10]Analisys QBR By Machine Report'!$C$109:$BD$166,46,FALSE)</f>
        <v>0</v>
      </c>
      <c r="AZ56" s="10">
        <f ca="1">VLOOKUP($B56,'[10]Analisys QBR By Machine Report'!$C$109:$BD$166,47,FALSE)</f>
        <v>792</v>
      </c>
      <c r="BA56" s="10">
        <f ca="1">VLOOKUP($B56,'[10]Analisys QBR By Machine Report'!$C$109:$BD$166,48,FALSE)</f>
        <v>36</v>
      </c>
      <c r="BB56" s="10">
        <f ca="1">VLOOKUP($B56,'[10]Analisys QBR By Machine Report'!$C$109:$BD$166,49,FALSE)</f>
        <v>0</v>
      </c>
      <c r="BC56" s="10">
        <f ca="1">VLOOKUP($B56,'[10]Analisys QBR By Machine Report'!$C$109:$BD$166,50,FALSE)</f>
        <v>0</v>
      </c>
      <c r="BD56" s="10">
        <f ca="1">VLOOKUP($B56,'[10]Analisys QBR By Machine Report'!$C$109:$BD$166,51,FALSE)</f>
        <v>740756</v>
      </c>
      <c r="BE56" s="10">
        <f ca="1">VLOOKUP($B56,'[10]Analisys QBR By Machine Report'!$C$109:$BD$166,52,FALSE)</f>
        <v>745</v>
      </c>
      <c r="BF56" s="10">
        <f ca="1">VLOOKUP($B56,'[10]Analisys QBR By Machine Report'!$C$109:$BD$166,53,FALSE)</f>
        <v>740011</v>
      </c>
    </row>
    <row r="57" spans="1:58" x14ac:dyDescent="0.25">
      <c r="A57" s="15" t="s">
        <v>113</v>
      </c>
      <c r="B57" s="13">
        <f ca="1">VLOOKUP($B57,'[10]Analisys QBR By Machine Report'!$C$109:$BD$166,2,FALSE)</f>
        <v>34560</v>
      </c>
      <c r="C57" s="14">
        <f ca="1">VLOOKUP($B57,[10]Dasboard_QBR_Report!$B$109:$BL$166,3,FALSE)</f>
        <v>11520</v>
      </c>
      <c r="D57" s="13">
        <f ca="1">VLOOKUP($B57,'[10]Analisys QBR By Machine Report'!$C$109:$BD$166,3,FALSE)</f>
        <v>22350</v>
      </c>
      <c r="E57" s="14">
        <f ca="1">VLOOKUP($B57,[10]Dasboard_QBR_Report!$B$109:$BL$166,5,FALSE)</f>
        <v>-690</v>
      </c>
      <c r="F57" s="13">
        <f t="shared" ca="1" si="0"/>
        <v>12210</v>
      </c>
      <c r="G57" s="13">
        <f t="shared" ca="1" si="1"/>
        <v>931</v>
      </c>
      <c r="H57" s="13">
        <f ca="1">VLOOKUP($B57,'[10]Analisys QBR By Machine Report'!$C$109:$BD$166,4,FALSE)</f>
        <v>931</v>
      </c>
      <c r="I57" s="13">
        <f ca="1">VLOOKUP($B57,'[10]Analisys QBR By Machine Report'!$C$109:$BD$166,5,FALSE)</f>
        <v>235</v>
      </c>
      <c r="J57" s="13">
        <f ca="1">VLOOKUP($B57,'[10]Analisys QBR By Machine Report'!$C$109:$BD$166,6,FALSE)</f>
        <v>696</v>
      </c>
      <c r="K57" s="13">
        <f ca="1">VLOOKUP($B57,'[10]Analisys QBR By Machine Report'!$C$109:$BD$166,7,FALSE)</f>
        <v>0</v>
      </c>
      <c r="L57" s="13">
        <f ca="1">VLOOKUP($B57,'[10]Analisys QBR By Machine Report'!$C$109:$BD$166,8,FALSE)</f>
        <v>11279</v>
      </c>
      <c r="M57" s="13">
        <f ca="1">VLOOKUP($B57,'[10]Analisys QBR By Machine Report'!$C$109:$BD$166,9,FALSE)</f>
        <v>3545</v>
      </c>
      <c r="N57" s="13">
        <f ca="1">VLOOKUP($B57,[10]Dasboard_QBR_Report!$B$109:$BL$166,18,FALSE)</f>
        <v>7734</v>
      </c>
      <c r="O57" s="13">
        <f ca="1">VLOOKUP($B57,'[10]Analisys QBR By Machine Report'!$C$109:$BD$166,10,FALSE)</f>
        <v>3816</v>
      </c>
      <c r="P57" s="13">
        <f ca="1">VLOOKUP($B57,'[10]Analisys QBR By Machine Report'!$C$109:$BD$166,11,FALSE)</f>
        <v>1371</v>
      </c>
      <c r="Q57" s="13">
        <f ca="1">VLOOKUP($B57,'[10]Analisys QBR By Machine Report'!$C$109:$BD$166,12,FALSE)</f>
        <v>260</v>
      </c>
      <c r="R57" s="13">
        <f ca="1">VLOOKUP($B57,'[10]Analisys QBR By Machine Report'!$C$109:$BD$166,13,FALSE)</f>
        <v>857</v>
      </c>
      <c r="S57" s="13">
        <f ca="1">VLOOKUP($B57,'[10]Analisys QBR By Machine Report'!$C$109:$BD$166,14,FALSE)</f>
        <v>1328</v>
      </c>
      <c r="T57" s="13">
        <f ca="1">VLOOKUP($B57,'[10]Analisys QBR By Machine Report'!$C$109:$BD$166,15,FALSE)</f>
        <v>0</v>
      </c>
      <c r="U57" s="13">
        <f ca="1">VLOOKUP($B57,'[10]Analisys QBR By Machine Report'!$C$109:$BD$166,16,FALSE)</f>
        <v>0</v>
      </c>
      <c r="V57" s="13">
        <f ca="1">VLOOKUP($B57,'[10]Analisys QBR By Machine Report'!$C$109:$BD$166,17,FALSE)</f>
        <v>0</v>
      </c>
      <c r="W57" s="13">
        <f ca="1">VLOOKUP($B57,'[10]Analisys QBR By Machine Report'!$C$109:$BD$166,18,FALSE)</f>
        <v>0</v>
      </c>
      <c r="X57" s="13">
        <f ca="1">VLOOKUP($B57,'[10]Analisys QBR By Machine Report'!$C$109:$BD$166,19,FALSE)</f>
        <v>0</v>
      </c>
      <c r="Y57" s="13">
        <f ca="1">VLOOKUP($B57,'[10]Analisys QBR By Machine Report'!$C$109:$BD$166,20,FALSE)</f>
        <v>0</v>
      </c>
      <c r="Z57" s="13">
        <f ca="1">VLOOKUP($B57,'[10]Analisys QBR By Machine Report'!$C$109:$BD$166,21,FALSE)</f>
        <v>1340</v>
      </c>
      <c r="AA57" s="13">
        <f ca="1">VLOOKUP($B57,'[10]Analisys QBR By Machine Report'!$C$109:$BD$166,22,FALSE)</f>
        <v>624</v>
      </c>
      <c r="AB57" s="13">
        <f ca="1">VLOOKUP($B57,'[10]Analisys QBR By Machine Report'!$C$109:$BD$166,23,FALSE)</f>
        <v>357</v>
      </c>
      <c r="AC57" s="13">
        <f ca="1">VLOOKUP($B57,'[10]Analisys QBR By Machine Report'!$C$109:$BD$166,24,FALSE)</f>
        <v>359</v>
      </c>
      <c r="AD57" s="13">
        <f ca="1">VLOOKUP($B57,'[10]Analisys QBR By Machine Report'!$C$109:$BD$166,25,FALSE)</f>
        <v>0</v>
      </c>
      <c r="AE57" s="13">
        <f ca="1">VLOOKUP($B57,'[10]Analisys QBR By Machine Report'!$C$109:$BD$166,26,FALSE)</f>
        <v>0</v>
      </c>
      <c r="AF57" s="13">
        <f ca="1">VLOOKUP($B57,'[10]Analisys QBR By Machine Report'!$C$109:$BD$166,27,FALSE)</f>
        <v>0</v>
      </c>
      <c r="AG57" s="13">
        <f ca="1">VLOOKUP($B57,'[10]Analisys QBR By Machine Report'!$C$109:$BD$166,28,FALSE)</f>
        <v>0</v>
      </c>
      <c r="AH57" s="13">
        <f ca="1">VLOOKUP($B57,'[10]Analisys QBR By Machine Report'!$C$109:$BD$166,29,FALSE)</f>
        <v>0</v>
      </c>
      <c r="AI57" s="13">
        <f ca="1">VLOOKUP($B57,'[10]Analisys QBR By Machine Report'!$C$109:$BD$166,30,FALSE)</f>
        <v>2578</v>
      </c>
      <c r="AJ57" s="13">
        <f ca="1">VLOOKUP($B57,'[10]Analisys QBR By Machine Report'!$C$109:$BD$166,31,FALSE)</f>
        <v>0</v>
      </c>
      <c r="AK57" s="13">
        <f ca="1">VLOOKUP($B57,'[10]Analisys QBR By Machine Report'!$C$109:$BD$166,32,FALSE)</f>
        <v>52</v>
      </c>
      <c r="AL57" s="13">
        <f ca="1">VLOOKUP($B57,'[10]Analisys QBR By Machine Report'!$C$109:$BD$166,33,FALSE)</f>
        <v>747</v>
      </c>
      <c r="AM57" s="13">
        <f ca="1">VLOOKUP($B57,'[10]Analisys QBR By Machine Report'!$C$109:$BD$166,34,FALSE)</f>
        <v>0</v>
      </c>
      <c r="AN57" s="13">
        <f ca="1">VLOOKUP($B57,'[10]Analisys QBR By Machine Report'!$C$109:$BD$166,35,FALSE)</f>
        <v>445</v>
      </c>
      <c r="AO57" s="13">
        <f ca="1">VLOOKUP($B57,'[10]Analisys QBR By Machine Report'!$C$109:$BD$166,36,FALSE)</f>
        <v>0</v>
      </c>
      <c r="AP57" s="13">
        <f ca="1">VLOOKUP($B57,'[10]Analisys QBR By Machine Report'!$C$109:$BD$166,37,FALSE)</f>
        <v>0</v>
      </c>
      <c r="AQ57" s="13">
        <f ca="1">VLOOKUP($B57,'[10]Analisys QBR By Machine Report'!$C$109:$BD$166,38,FALSE)</f>
        <v>0</v>
      </c>
      <c r="AR57" s="13">
        <f ca="1">VLOOKUP($B57,'[10]Analisys QBR By Machine Report'!$C$109:$BD$166,39,FALSE)</f>
        <v>155</v>
      </c>
      <c r="AS57" s="13">
        <f ca="1">VLOOKUP($B57,'[10]Analisys QBR By Machine Report'!$C$109:$BD$166,40,FALSE)</f>
        <v>850</v>
      </c>
      <c r="AT57" s="13">
        <f ca="1">VLOOKUP($B57,'[10]Analisys QBR By Machine Report'!$C$109:$BD$166,41,FALSE)</f>
        <v>0</v>
      </c>
      <c r="AU57" s="13">
        <f ca="1">VLOOKUP($B57,'[10]Analisys QBR By Machine Report'!$C$109:$BD$166,42,FALSE)</f>
        <v>13</v>
      </c>
      <c r="AV57" s="13">
        <f ca="1">VLOOKUP($B57,'[10]Analisys QBR By Machine Report'!$C$109:$BD$166,43,FALSE)</f>
        <v>0</v>
      </c>
      <c r="AW57" s="13">
        <f ca="1">VLOOKUP($B57,'[10]Analisys QBR By Machine Report'!$C$109:$BD$166,44,FALSE)</f>
        <v>0</v>
      </c>
      <c r="AX57" s="13">
        <f ca="1">VLOOKUP($B57,'[10]Analisys QBR By Machine Report'!$C$109:$BD$166,45,FALSE)</f>
        <v>0</v>
      </c>
      <c r="AY57" s="13">
        <f ca="1">VLOOKUP($B57,'[10]Analisys QBR By Machine Report'!$C$109:$BD$166,46,FALSE)</f>
        <v>0</v>
      </c>
      <c r="AZ57" s="13">
        <f ca="1">VLOOKUP($B57,'[10]Analisys QBR By Machine Report'!$C$109:$BD$166,47,FALSE)</f>
        <v>280</v>
      </c>
      <c r="BA57" s="13">
        <f ca="1">VLOOKUP($B57,'[10]Analisys QBR By Machine Report'!$C$109:$BD$166,48,FALSE)</f>
        <v>36</v>
      </c>
      <c r="BB57" s="13">
        <f ca="1">VLOOKUP($B57,'[10]Analisys QBR By Machine Report'!$C$109:$BD$166,49,FALSE)</f>
        <v>0</v>
      </c>
      <c r="BC57" s="13">
        <f ca="1">VLOOKUP($B57,'[10]Analisys QBR By Machine Report'!$C$109:$BD$166,50,FALSE)</f>
        <v>0</v>
      </c>
      <c r="BD57" s="13">
        <f ca="1">VLOOKUP($B57,'[10]Analisys QBR By Machine Report'!$C$109:$BD$166,51,FALSE)</f>
        <v>612417</v>
      </c>
      <c r="BE57" s="13">
        <f ca="1">VLOOKUP($B57,'[10]Analisys QBR By Machine Report'!$C$109:$BD$166,52,FALSE)</f>
        <v>144</v>
      </c>
      <c r="BF57" s="13">
        <f ca="1">VLOOKUP($B57,'[10]Analisys QBR By Machine Report'!$C$109:$BD$166,53,FALSE)</f>
        <v>612273</v>
      </c>
    </row>
    <row r="58" spans="1:58" x14ac:dyDescent="0.25">
      <c r="A58" s="15" t="s">
        <v>114</v>
      </c>
      <c r="B58" s="13">
        <f ca="1">VLOOKUP($B58,'[10]Analisys QBR By Machine Report'!$C$109:$BD$166,2,FALSE)</f>
        <v>34560</v>
      </c>
      <c r="C58" s="14">
        <f ca="1">VLOOKUP($B58,[10]Dasboard_QBR_Report!$B$109:$BL$166,3,FALSE)</f>
        <v>11520</v>
      </c>
      <c r="D58" s="13">
        <f ca="1">VLOOKUP($B58,'[10]Analisys QBR By Machine Report'!$C$109:$BD$166,3,FALSE)</f>
        <v>26910</v>
      </c>
      <c r="E58" s="14">
        <f ca="1">VLOOKUP($B58,[10]Dasboard_QBR_Report!$B$109:$BL$166,5,FALSE)</f>
        <v>3870</v>
      </c>
      <c r="F58" s="13">
        <f t="shared" ca="1" si="0"/>
        <v>7650</v>
      </c>
      <c r="G58" s="13">
        <f t="shared" ca="1" si="1"/>
        <v>945</v>
      </c>
      <c r="H58" s="13">
        <f ca="1">VLOOKUP($B58,'[10]Analisys QBR By Machine Report'!$C$109:$BD$166,4,FALSE)</f>
        <v>945</v>
      </c>
      <c r="I58" s="13">
        <f ca="1">VLOOKUP($B58,'[10]Analisys QBR By Machine Report'!$C$109:$BD$166,5,FALSE)</f>
        <v>295</v>
      </c>
      <c r="J58" s="13">
        <f ca="1">VLOOKUP($B58,'[10]Analisys QBR By Machine Report'!$C$109:$BD$166,6,FALSE)</f>
        <v>650</v>
      </c>
      <c r="K58" s="13">
        <f ca="1">VLOOKUP($B58,'[10]Analisys QBR By Machine Report'!$C$109:$BD$166,7,FALSE)</f>
        <v>0</v>
      </c>
      <c r="L58" s="13">
        <f ca="1">VLOOKUP($B58,'[10]Analisys QBR By Machine Report'!$C$109:$BD$166,8,FALSE)</f>
        <v>6705</v>
      </c>
      <c r="M58" s="13">
        <f ca="1">VLOOKUP($B58,'[10]Analisys QBR By Machine Report'!$C$109:$BD$166,9,FALSE)</f>
        <v>3785</v>
      </c>
      <c r="N58" s="13">
        <f ca="1">VLOOKUP($B58,[10]Dasboard_QBR_Report!$B$109:$BL$166,18,FALSE)</f>
        <v>2920</v>
      </c>
      <c r="O58" s="13">
        <f ca="1">VLOOKUP($B58,'[10]Analisys QBR By Machine Report'!$C$109:$BD$166,10,FALSE)</f>
        <v>335</v>
      </c>
      <c r="P58" s="13">
        <f ca="1">VLOOKUP($B58,'[10]Analisys QBR By Machine Report'!$C$109:$BD$166,11,FALSE)</f>
        <v>335</v>
      </c>
      <c r="Q58" s="13">
        <f ca="1">VLOOKUP($B58,'[10]Analisys QBR By Machine Report'!$C$109:$BD$166,12,FALSE)</f>
        <v>0</v>
      </c>
      <c r="R58" s="13">
        <f ca="1">VLOOKUP($B58,'[10]Analisys QBR By Machine Report'!$C$109:$BD$166,13,FALSE)</f>
        <v>0</v>
      </c>
      <c r="S58" s="13">
        <f ca="1">VLOOKUP($B58,'[10]Analisys QBR By Machine Report'!$C$109:$BD$166,14,FALSE)</f>
        <v>0</v>
      </c>
      <c r="T58" s="13">
        <f ca="1">VLOOKUP($B58,'[10]Analisys QBR By Machine Report'!$C$109:$BD$166,15,FALSE)</f>
        <v>85</v>
      </c>
      <c r="U58" s="13">
        <f ca="1">VLOOKUP($B58,'[10]Analisys QBR By Machine Report'!$C$109:$BD$166,16,FALSE)</f>
        <v>85</v>
      </c>
      <c r="V58" s="13">
        <f ca="1">VLOOKUP($B58,'[10]Analisys QBR By Machine Report'!$C$109:$BD$166,17,FALSE)</f>
        <v>0</v>
      </c>
      <c r="W58" s="13">
        <f ca="1">VLOOKUP($B58,'[10]Analisys QBR By Machine Report'!$C$109:$BD$166,18,FALSE)</f>
        <v>0</v>
      </c>
      <c r="X58" s="13">
        <f ca="1">VLOOKUP($B58,'[10]Analisys QBR By Machine Report'!$C$109:$BD$166,19,FALSE)</f>
        <v>0</v>
      </c>
      <c r="Y58" s="13">
        <f ca="1">VLOOKUP($B58,'[10]Analisys QBR By Machine Report'!$C$109:$BD$166,20,FALSE)</f>
        <v>0</v>
      </c>
      <c r="Z58" s="13">
        <f ca="1">VLOOKUP($B58,'[10]Analisys QBR By Machine Report'!$C$109:$BD$166,21,FALSE)</f>
        <v>890</v>
      </c>
      <c r="AA58" s="13">
        <f ca="1">VLOOKUP($B58,'[10]Analisys QBR By Machine Report'!$C$109:$BD$166,22,FALSE)</f>
        <v>75</v>
      </c>
      <c r="AB58" s="13">
        <f ca="1">VLOOKUP($B58,'[10]Analisys QBR By Machine Report'!$C$109:$BD$166,23,FALSE)</f>
        <v>405</v>
      </c>
      <c r="AC58" s="13">
        <f ca="1">VLOOKUP($B58,'[10]Analisys QBR By Machine Report'!$C$109:$BD$166,24,FALSE)</f>
        <v>0</v>
      </c>
      <c r="AD58" s="13">
        <f ca="1">VLOOKUP($B58,'[10]Analisys QBR By Machine Report'!$C$109:$BD$166,25,FALSE)</f>
        <v>0</v>
      </c>
      <c r="AE58" s="13">
        <f ca="1">VLOOKUP($B58,'[10]Analisys QBR By Machine Report'!$C$109:$BD$166,26,FALSE)</f>
        <v>410</v>
      </c>
      <c r="AF58" s="13">
        <f ca="1">VLOOKUP($B58,'[10]Analisys QBR By Machine Report'!$C$109:$BD$166,27,FALSE)</f>
        <v>0</v>
      </c>
      <c r="AG58" s="13">
        <f ca="1">VLOOKUP($B58,'[10]Analisys QBR By Machine Report'!$C$109:$BD$166,28,FALSE)</f>
        <v>0</v>
      </c>
      <c r="AH58" s="13">
        <f ca="1">VLOOKUP($B58,'[10]Analisys QBR By Machine Report'!$C$109:$BD$166,29,FALSE)</f>
        <v>0</v>
      </c>
      <c r="AI58" s="13">
        <f ca="1">VLOOKUP($B58,'[10]Analisys QBR By Machine Report'!$C$109:$BD$166,30,FALSE)</f>
        <v>1610</v>
      </c>
      <c r="AJ58" s="13">
        <f ca="1">VLOOKUP($B58,'[10]Analisys QBR By Machine Report'!$C$109:$BD$166,31,FALSE)</f>
        <v>0</v>
      </c>
      <c r="AK58" s="13">
        <f ca="1">VLOOKUP($B58,'[10]Analisys QBR By Machine Report'!$C$109:$BD$166,32,FALSE)</f>
        <v>0</v>
      </c>
      <c r="AL58" s="13">
        <f ca="1">VLOOKUP($B58,'[10]Analisys QBR By Machine Report'!$C$109:$BD$166,33,FALSE)</f>
        <v>390</v>
      </c>
      <c r="AM58" s="13">
        <f ca="1">VLOOKUP($B58,'[10]Analisys QBR By Machine Report'!$C$109:$BD$166,34,FALSE)</f>
        <v>0</v>
      </c>
      <c r="AN58" s="13">
        <f ca="1">VLOOKUP($B58,'[10]Analisys QBR By Machine Report'!$C$109:$BD$166,35,FALSE)</f>
        <v>195</v>
      </c>
      <c r="AO58" s="13">
        <f ca="1">VLOOKUP($B58,'[10]Analisys QBR By Machine Report'!$C$109:$BD$166,36,FALSE)</f>
        <v>0</v>
      </c>
      <c r="AP58" s="13">
        <f ca="1">VLOOKUP($B58,'[10]Analisys QBR By Machine Report'!$C$109:$BD$166,37,FALSE)</f>
        <v>60</v>
      </c>
      <c r="AQ58" s="13">
        <f ca="1">VLOOKUP($B58,'[10]Analisys QBR By Machine Report'!$C$109:$BD$166,38,FALSE)</f>
        <v>0</v>
      </c>
      <c r="AR58" s="13">
        <f ca="1">VLOOKUP($B58,'[10]Analisys QBR By Machine Report'!$C$109:$BD$166,39,FALSE)</f>
        <v>285</v>
      </c>
      <c r="AS58" s="13">
        <f ca="1">VLOOKUP($B58,'[10]Analisys QBR By Machine Report'!$C$109:$BD$166,40,FALSE)</f>
        <v>168</v>
      </c>
      <c r="AT58" s="13">
        <f ca="1">VLOOKUP($B58,'[10]Analisys QBR By Machine Report'!$C$109:$BD$166,41,FALSE)</f>
        <v>0</v>
      </c>
      <c r="AU58" s="13">
        <f ca="1">VLOOKUP($B58,'[10]Analisys QBR By Machine Report'!$C$109:$BD$166,42,FALSE)</f>
        <v>0</v>
      </c>
      <c r="AV58" s="13">
        <f ca="1">VLOOKUP($B58,'[10]Analisys QBR By Machine Report'!$C$109:$BD$166,43,FALSE)</f>
        <v>0</v>
      </c>
      <c r="AW58" s="13">
        <f ca="1">VLOOKUP($B58,'[10]Analisys QBR By Machine Report'!$C$109:$BD$166,44,FALSE)</f>
        <v>0</v>
      </c>
      <c r="AX58" s="13">
        <f ca="1">VLOOKUP($B58,'[10]Analisys QBR By Machine Report'!$C$109:$BD$166,45,FALSE)</f>
        <v>0</v>
      </c>
      <c r="AY58" s="13">
        <f ca="1">VLOOKUP($B58,'[10]Analisys QBR By Machine Report'!$C$109:$BD$166,46,FALSE)</f>
        <v>0</v>
      </c>
      <c r="AZ58" s="13">
        <f ca="1">VLOOKUP($B58,'[10]Analisys QBR By Machine Report'!$C$109:$BD$166,47,FALSE)</f>
        <v>512</v>
      </c>
      <c r="BA58" s="13">
        <f ca="1">VLOOKUP($B58,'[10]Analisys QBR By Machine Report'!$C$109:$BD$166,48,FALSE)</f>
        <v>0</v>
      </c>
      <c r="BB58" s="13">
        <f ca="1">VLOOKUP($B58,'[10]Analisys QBR By Machine Report'!$C$109:$BD$166,49,FALSE)</f>
        <v>0</v>
      </c>
      <c r="BC58" s="13">
        <f ca="1">VLOOKUP($B58,'[10]Analisys QBR By Machine Report'!$C$109:$BD$166,50,FALSE)</f>
        <v>0</v>
      </c>
      <c r="BD58" s="13">
        <f ca="1">VLOOKUP($B58,'[10]Analisys QBR By Machine Report'!$C$109:$BD$166,51,FALSE)</f>
        <v>128339</v>
      </c>
      <c r="BE58" s="13">
        <f ca="1">VLOOKUP($B58,'[10]Analisys QBR By Machine Report'!$C$109:$BD$166,52,FALSE)</f>
        <v>601</v>
      </c>
      <c r="BF58" s="13">
        <f ca="1">VLOOKUP($B58,'[10]Analisys QBR By Machine Report'!$C$109:$BD$166,53,FALSE)</f>
        <v>127738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4296D-A7C5-44A0-B72C-1C832D0C021F}">
  <dimension ref="A1:BF58"/>
  <sheetViews>
    <sheetView workbookViewId="0">
      <selection sqref="A1:BF58"/>
    </sheetView>
  </sheetViews>
  <sheetFormatPr defaultRowHeight="15" x14ac:dyDescent="0.25"/>
  <sheetData>
    <row r="1" spans="1:58" ht="60" x14ac:dyDescent="0.25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8" t="s">
        <v>55</v>
      </c>
      <c r="BE1" s="8" t="s">
        <v>56</v>
      </c>
      <c r="BF1" s="8" t="s">
        <v>57</v>
      </c>
    </row>
    <row r="2" spans="1:58" x14ac:dyDescent="0.25">
      <c r="A2" s="9" t="s">
        <v>58</v>
      </c>
      <c r="B2" s="10">
        <f ca="1">VLOOKUP($B2,'[11]Analisys QBR By Machine Report'!$C$109:$BD$166,2,FALSE)</f>
        <v>90720</v>
      </c>
      <c r="C2" s="11">
        <f ca="1">VLOOKUP($B2,[11]Dasboard_QBR_Report!$B$109:$BL$166,3,FALSE)</f>
        <v>58590</v>
      </c>
      <c r="D2" s="10">
        <f ca="1">VLOOKUP($B2,'[11]Analisys QBR By Machine Report'!$C$109:$BD$166,3,FALSE)</f>
        <v>63180</v>
      </c>
      <c r="E2" s="11">
        <f ca="1">VLOOKUP($B2,[11]Dasboard_QBR_Report!$B$109:$BL$166,5,FALSE)</f>
        <v>31050</v>
      </c>
      <c r="F2" s="10">
        <f t="shared" ref="F2:F58" ca="1" si="0">SUM(G2,L2)</f>
        <v>27540</v>
      </c>
      <c r="G2" s="10">
        <f t="shared" ref="G2:G58" ca="1" si="1">SUM($I2,$L2)</f>
        <v>3976</v>
      </c>
      <c r="H2" s="10">
        <f ca="1">VLOOKUP($B2,'[11]Analisys QBR By Machine Report'!$C$109:$BD$166,4,FALSE)</f>
        <v>3624</v>
      </c>
      <c r="I2" s="10">
        <f ca="1">VLOOKUP($B2,'[11]Analisys QBR By Machine Report'!$C$109:$BD$166,5,FALSE)</f>
        <v>75</v>
      </c>
      <c r="J2" s="10">
        <f ca="1">VLOOKUP($B2,'[11]Analisys QBR By Machine Report'!$C$109:$BD$166,6,FALSE)</f>
        <v>3549</v>
      </c>
      <c r="K2" s="10">
        <f ca="1">VLOOKUP($B2,'[11]Analisys QBR By Machine Report'!$C$109:$BD$166,7,FALSE)</f>
        <v>352</v>
      </c>
      <c r="L2" s="10">
        <f ca="1">VLOOKUP($B2,'[11]Analisys QBR By Machine Report'!$C$109:$BD$166,8,FALSE)</f>
        <v>23564</v>
      </c>
      <c r="M2" s="10">
        <f ca="1">VLOOKUP($B2,'[11]Analisys QBR By Machine Report'!$C$109:$BD$166,9,FALSE)</f>
        <v>3745</v>
      </c>
      <c r="N2" s="10">
        <f ca="1">VLOOKUP($B2,[11]Dasboard_QBR_Report!$B$109:$BL$166,18,FALSE)</f>
        <v>19819</v>
      </c>
      <c r="O2" s="10">
        <f ca="1">VLOOKUP($B2,'[11]Analisys QBR By Machine Report'!$C$109:$BD$166,10,FALSE)</f>
        <v>801</v>
      </c>
      <c r="P2" s="10">
        <f ca="1">VLOOKUP($B2,'[11]Analisys QBR By Machine Report'!$C$109:$BD$166,11,FALSE)</f>
        <v>798</v>
      </c>
      <c r="Q2" s="10">
        <f ca="1">VLOOKUP($B2,'[11]Analisys QBR By Machine Report'!$C$109:$BD$166,12,FALSE)</f>
        <v>0</v>
      </c>
      <c r="R2" s="10">
        <f ca="1">VLOOKUP($B2,'[11]Analisys QBR By Machine Report'!$C$109:$BD$166,13,FALSE)</f>
        <v>3</v>
      </c>
      <c r="S2" s="10">
        <f ca="1">VLOOKUP($B2,'[11]Analisys QBR By Machine Report'!$C$109:$BD$166,14,FALSE)</f>
        <v>0</v>
      </c>
      <c r="T2" s="10">
        <f ca="1">VLOOKUP($B2,'[11]Analisys QBR By Machine Report'!$C$109:$BD$166,15,FALSE)</f>
        <v>299</v>
      </c>
      <c r="U2" s="10">
        <f ca="1">VLOOKUP($B2,'[11]Analisys QBR By Machine Report'!$C$109:$BD$166,16,FALSE)</f>
        <v>0</v>
      </c>
      <c r="V2" s="10">
        <f ca="1">VLOOKUP($B2,'[11]Analisys QBR By Machine Report'!$C$109:$BD$166,17,FALSE)</f>
        <v>0</v>
      </c>
      <c r="W2" s="10">
        <f ca="1">VLOOKUP($B2,'[11]Analisys QBR By Machine Report'!$C$109:$BD$166,18,FALSE)</f>
        <v>0</v>
      </c>
      <c r="X2" s="10">
        <f ca="1">VLOOKUP($B2,'[11]Analisys QBR By Machine Report'!$C$109:$BD$166,19,FALSE)</f>
        <v>299</v>
      </c>
      <c r="Y2" s="10">
        <f ca="1">VLOOKUP($B2,'[11]Analisys QBR By Machine Report'!$C$109:$BD$166,20,FALSE)</f>
        <v>0</v>
      </c>
      <c r="Z2" s="10">
        <f ca="1">VLOOKUP($B2,'[11]Analisys QBR By Machine Report'!$C$109:$BD$166,21,FALSE)</f>
        <v>10702</v>
      </c>
      <c r="AA2" s="10">
        <f ca="1">VLOOKUP($B2,'[11]Analisys QBR By Machine Report'!$C$109:$BD$166,22,FALSE)</f>
        <v>6044</v>
      </c>
      <c r="AB2" s="10">
        <f ca="1">VLOOKUP($B2,'[11]Analisys QBR By Machine Report'!$C$109:$BD$166,23,FALSE)</f>
        <v>4082</v>
      </c>
      <c r="AC2" s="10">
        <f ca="1">VLOOKUP($B2,'[11]Analisys QBR By Machine Report'!$C$109:$BD$166,24,FALSE)</f>
        <v>21</v>
      </c>
      <c r="AD2" s="10">
        <f ca="1">VLOOKUP($B2,'[11]Analisys QBR By Machine Report'!$C$109:$BD$166,25,FALSE)</f>
        <v>0</v>
      </c>
      <c r="AE2" s="10">
        <f ca="1">VLOOKUP($B2,'[11]Analisys QBR By Machine Report'!$C$109:$BD$166,26,FALSE)</f>
        <v>555</v>
      </c>
      <c r="AF2" s="10">
        <f ca="1">VLOOKUP($B2,'[11]Analisys QBR By Machine Report'!$C$109:$BD$166,27,FALSE)</f>
        <v>0</v>
      </c>
      <c r="AG2" s="10">
        <f ca="1">VLOOKUP($B2,'[11]Analisys QBR By Machine Report'!$C$109:$BD$166,28,FALSE)</f>
        <v>0</v>
      </c>
      <c r="AH2" s="10">
        <f ca="1">VLOOKUP($B2,'[11]Analisys QBR By Machine Report'!$C$109:$BD$166,29,FALSE)</f>
        <v>0</v>
      </c>
      <c r="AI2" s="10">
        <f ca="1">VLOOKUP($B2,'[11]Analisys QBR By Machine Report'!$C$109:$BD$166,30,FALSE)</f>
        <v>8017</v>
      </c>
      <c r="AJ2" s="10">
        <f ca="1">VLOOKUP($B2,'[11]Analisys QBR By Machine Report'!$C$109:$BD$166,31,FALSE)</f>
        <v>90</v>
      </c>
      <c r="AK2" s="10">
        <f ca="1">VLOOKUP($B2,'[11]Analisys QBR By Machine Report'!$C$109:$BD$166,32,FALSE)</f>
        <v>0</v>
      </c>
      <c r="AL2" s="10">
        <f ca="1">VLOOKUP($B2,'[11]Analisys QBR By Machine Report'!$C$109:$BD$166,33,FALSE)</f>
        <v>1610</v>
      </c>
      <c r="AM2" s="10">
        <f ca="1">VLOOKUP($B2,'[11]Analisys QBR By Machine Report'!$C$109:$BD$166,34,FALSE)</f>
        <v>0</v>
      </c>
      <c r="AN2" s="10">
        <f ca="1">VLOOKUP($B2,'[11]Analisys QBR By Machine Report'!$C$109:$BD$166,35,FALSE)</f>
        <v>1440</v>
      </c>
      <c r="AO2" s="10">
        <f ca="1">VLOOKUP($B2,'[11]Analisys QBR By Machine Report'!$C$109:$BD$166,36,FALSE)</f>
        <v>0</v>
      </c>
      <c r="AP2" s="10">
        <f ca="1">VLOOKUP($B2,'[11]Analisys QBR By Machine Report'!$C$109:$BD$166,37,FALSE)</f>
        <v>0</v>
      </c>
      <c r="AQ2" s="10">
        <f ca="1">VLOOKUP($B2,'[11]Analisys QBR By Machine Report'!$C$109:$BD$166,38,FALSE)</f>
        <v>0</v>
      </c>
      <c r="AR2" s="10">
        <f ca="1">VLOOKUP($B2,'[11]Analisys QBR By Machine Report'!$C$109:$BD$166,39,FALSE)</f>
        <v>4045</v>
      </c>
      <c r="AS2" s="10">
        <f ca="1">VLOOKUP($B2,'[11]Analisys QBR By Machine Report'!$C$109:$BD$166,40,FALSE)</f>
        <v>20</v>
      </c>
      <c r="AT2" s="10">
        <f ca="1">VLOOKUP($B2,'[11]Analisys QBR By Machine Report'!$C$109:$BD$166,41,FALSE)</f>
        <v>0</v>
      </c>
      <c r="AU2" s="10">
        <f ca="1">VLOOKUP($B2,'[11]Analisys QBR By Machine Report'!$C$109:$BD$166,42,FALSE)</f>
        <v>314</v>
      </c>
      <c r="AV2" s="10">
        <f ca="1">VLOOKUP($B2,'[11]Analisys QBR By Machine Report'!$C$109:$BD$166,43,FALSE)</f>
        <v>0</v>
      </c>
      <c r="AW2" s="10">
        <f ca="1">VLOOKUP($B2,'[11]Analisys QBR By Machine Report'!$C$109:$BD$166,44,FALSE)</f>
        <v>0</v>
      </c>
      <c r="AX2" s="10">
        <f ca="1">VLOOKUP($B2,'[11]Analisys QBR By Machine Report'!$C$109:$BD$166,45,FALSE)</f>
        <v>0</v>
      </c>
      <c r="AY2" s="10">
        <f ca="1">VLOOKUP($B2,'[11]Analisys QBR By Machine Report'!$C$109:$BD$166,46,FALSE)</f>
        <v>0</v>
      </c>
      <c r="AZ2" s="10">
        <f ca="1">VLOOKUP($B2,'[11]Analisys QBR By Machine Report'!$C$109:$BD$166,47,FALSE)</f>
        <v>498</v>
      </c>
      <c r="BA2" s="10">
        <f ca="1">VLOOKUP($B2,'[11]Analisys QBR By Machine Report'!$C$109:$BD$166,48,FALSE)</f>
        <v>0</v>
      </c>
      <c r="BB2" s="10">
        <f ca="1">VLOOKUP($B2,'[11]Analisys QBR By Machine Report'!$C$109:$BD$166,49,FALSE)</f>
        <v>0</v>
      </c>
      <c r="BC2" s="10">
        <f ca="1">VLOOKUP($B2,'[11]Analisys QBR By Machine Report'!$C$109:$BD$166,50,FALSE)</f>
        <v>0</v>
      </c>
      <c r="BD2" s="10">
        <f ca="1">VLOOKUP($B2,'[11]Analisys QBR By Machine Report'!$C$109:$BD$166,51,FALSE)</f>
        <v>7465.38</v>
      </c>
      <c r="BE2" s="10">
        <f ca="1">VLOOKUP($B2,'[11]Analisys QBR By Machine Report'!$C$109:$BD$166,52,FALSE)</f>
        <v>0</v>
      </c>
      <c r="BF2" s="10">
        <f ca="1">VLOOKUP($B2,'[11]Analisys QBR By Machine Report'!$C$109:$BD$166,53,FALSE)</f>
        <v>7465.38</v>
      </c>
    </row>
    <row r="3" spans="1:58" x14ac:dyDescent="0.25">
      <c r="A3" s="12" t="s">
        <v>59</v>
      </c>
      <c r="B3" s="13">
        <f ca="1">VLOOKUP($B3,'[11]Analisys QBR By Machine Report'!$C$109:$BD$166,2,FALSE)</f>
        <v>30240</v>
      </c>
      <c r="C3" s="14">
        <f ca="1">VLOOKUP($B3,[11]Dasboard_QBR_Report!$B$109:$BL$166,3,FALSE)</f>
        <v>19530</v>
      </c>
      <c r="D3" s="13">
        <f ca="1">VLOOKUP($B3,'[11]Analisys QBR By Machine Report'!$C$109:$BD$166,3,FALSE)</f>
        <v>21930</v>
      </c>
      <c r="E3" s="14">
        <f ca="1">VLOOKUP($B3,[11]Dasboard_QBR_Report!$B$109:$BL$166,5,FALSE)</f>
        <v>11220</v>
      </c>
      <c r="F3" s="13">
        <f t="shared" ca="1" si="0"/>
        <v>8310</v>
      </c>
      <c r="G3" s="13">
        <f t="shared" ca="1" si="1"/>
        <v>1272</v>
      </c>
      <c r="H3" s="13">
        <f ca="1">VLOOKUP($B3,'[11]Analisys QBR By Machine Report'!$C$109:$BD$166,4,FALSE)</f>
        <v>1245</v>
      </c>
      <c r="I3" s="13">
        <f ca="1">VLOOKUP($B3,'[11]Analisys QBR By Machine Report'!$C$109:$BD$166,5,FALSE)</f>
        <v>20</v>
      </c>
      <c r="J3" s="13">
        <f ca="1">VLOOKUP($B3,'[11]Analisys QBR By Machine Report'!$C$109:$BD$166,6,FALSE)</f>
        <v>1225</v>
      </c>
      <c r="K3" s="13">
        <f ca="1">VLOOKUP($B3,'[11]Analisys QBR By Machine Report'!$C$109:$BD$166,7,FALSE)</f>
        <v>27</v>
      </c>
      <c r="L3" s="13">
        <f ca="1">VLOOKUP($B3,'[11]Analisys QBR By Machine Report'!$C$109:$BD$166,8,FALSE)</f>
        <v>7038</v>
      </c>
      <c r="M3" s="13">
        <f ca="1">VLOOKUP($B3,'[11]Analisys QBR By Machine Report'!$C$109:$BD$166,9,FALSE)</f>
        <v>1496</v>
      </c>
      <c r="N3" s="13">
        <f ca="1">VLOOKUP($B3,[11]Dasboard_QBR_Report!$B$109:$BL$166,18,FALSE)</f>
        <v>5542</v>
      </c>
      <c r="O3" s="13">
        <f ca="1">VLOOKUP($B3,'[11]Analisys QBR By Machine Report'!$C$109:$BD$166,10,FALSE)</f>
        <v>210</v>
      </c>
      <c r="P3" s="13">
        <f ca="1">VLOOKUP($B3,'[11]Analisys QBR By Machine Report'!$C$109:$BD$166,11,FALSE)</f>
        <v>210</v>
      </c>
      <c r="Q3" s="13">
        <f ca="1">VLOOKUP($B3,'[11]Analisys QBR By Machine Report'!$C$109:$BD$166,12,FALSE)</f>
        <v>0</v>
      </c>
      <c r="R3" s="13">
        <f ca="1">VLOOKUP($B3,'[11]Analisys QBR By Machine Report'!$C$109:$BD$166,13,FALSE)</f>
        <v>0</v>
      </c>
      <c r="S3" s="13">
        <f ca="1">VLOOKUP($B3,'[11]Analisys QBR By Machine Report'!$C$109:$BD$166,14,FALSE)</f>
        <v>0</v>
      </c>
      <c r="T3" s="13">
        <f ca="1">VLOOKUP($B3,'[11]Analisys QBR By Machine Report'!$C$109:$BD$166,15,FALSE)</f>
        <v>0</v>
      </c>
      <c r="U3" s="13">
        <f ca="1">VLOOKUP($B3,'[11]Analisys QBR By Machine Report'!$C$109:$BD$166,16,FALSE)</f>
        <v>0</v>
      </c>
      <c r="V3" s="13">
        <f ca="1">VLOOKUP($B3,'[11]Analisys QBR By Machine Report'!$C$109:$BD$166,17,FALSE)</f>
        <v>0</v>
      </c>
      <c r="W3" s="13">
        <f ca="1">VLOOKUP($B3,'[11]Analisys QBR By Machine Report'!$C$109:$BD$166,18,FALSE)</f>
        <v>0</v>
      </c>
      <c r="X3" s="13">
        <f ca="1">VLOOKUP($B3,'[11]Analisys QBR By Machine Report'!$C$109:$BD$166,19,FALSE)</f>
        <v>0</v>
      </c>
      <c r="Y3" s="13">
        <f ca="1">VLOOKUP($B3,'[11]Analisys QBR By Machine Report'!$C$109:$BD$166,20,FALSE)</f>
        <v>0</v>
      </c>
      <c r="Z3" s="13">
        <f ca="1">VLOOKUP($B3,'[11]Analisys QBR By Machine Report'!$C$109:$BD$166,21,FALSE)</f>
        <v>4071</v>
      </c>
      <c r="AA3" s="13">
        <f ca="1">VLOOKUP($B3,'[11]Analisys QBR By Machine Report'!$C$109:$BD$166,22,FALSE)</f>
        <v>2609</v>
      </c>
      <c r="AB3" s="13">
        <f ca="1">VLOOKUP($B3,'[11]Analisys QBR By Machine Report'!$C$109:$BD$166,23,FALSE)</f>
        <v>1265</v>
      </c>
      <c r="AC3" s="13">
        <f ca="1">VLOOKUP($B3,'[11]Analisys QBR By Machine Report'!$C$109:$BD$166,24,FALSE)</f>
        <v>2</v>
      </c>
      <c r="AD3" s="13">
        <f ca="1">VLOOKUP($B3,'[11]Analisys QBR By Machine Report'!$C$109:$BD$166,25,FALSE)</f>
        <v>0</v>
      </c>
      <c r="AE3" s="13">
        <f ca="1">VLOOKUP($B3,'[11]Analisys QBR By Machine Report'!$C$109:$BD$166,26,FALSE)</f>
        <v>195</v>
      </c>
      <c r="AF3" s="13">
        <f ca="1">VLOOKUP($B3,'[11]Analisys QBR By Machine Report'!$C$109:$BD$166,27,FALSE)</f>
        <v>0</v>
      </c>
      <c r="AG3" s="13">
        <f ca="1">VLOOKUP($B3,'[11]Analisys QBR By Machine Report'!$C$109:$BD$166,28,FALSE)</f>
        <v>0</v>
      </c>
      <c r="AH3" s="13">
        <f ca="1">VLOOKUP($B3,'[11]Analisys QBR By Machine Report'!$C$109:$BD$166,29,FALSE)</f>
        <v>0</v>
      </c>
      <c r="AI3" s="13">
        <f ca="1">VLOOKUP($B3,'[11]Analisys QBR By Machine Report'!$C$109:$BD$166,30,FALSE)</f>
        <v>1261</v>
      </c>
      <c r="AJ3" s="13">
        <f ca="1">VLOOKUP($B3,'[11]Analisys QBR By Machine Report'!$C$109:$BD$166,31,FALSE)</f>
        <v>25</v>
      </c>
      <c r="AK3" s="13">
        <f ca="1">VLOOKUP($B3,'[11]Analisys QBR By Machine Report'!$C$109:$BD$166,32,FALSE)</f>
        <v>0</v>
      </c>
      <c r="AL3" s="13">
        <f ca="1">VLOOKUP($B3,'[11]Analisys QBR By Machine Report'!$C$109:$BD$166,33,FALSE)</f>
        <v>480</v>
      </c>
      <c r="AM3" s="13">
        <f ca="1">VLOOKUP($B3,'[11]Analisys QBR By Machine Report'!$C$109:$BD$166,34,FALSE)</f>
        <v>0</v>
      </c>
      <c r="AN3" s="13">
        <f ca="1">VLOOKUP($B3,'[11]Analisys QBR By Machine Report'!$C$109:$BD$166,35,FALSE)</f>
        <v>405</v>
      </c>
      <c r="AO3" s="13">
        <f ca="1">VLOOKUP($B3,'[11]Analisys QBR By Machine Report'!$C$109:$BD$166,36,FALSE)</f>
        <v>0</v>
      </c>
      <c r="AP3" s="13">
        <f ca="1">VLOOKUP($B3,'[11]Analisys QBR By Machine Report'!$C$109:$BD$166,37,FALSE)</f>
        <v>0</v>
      </c>
      <c r="AQ3" s="13">
        <f ca="1">VLOOKUP($B3,'[11]Analisys QBR By Machine Report'!$C$109:$BD$166,38,FALSE)</f>
        <v>0</v>
      </c>
      <c r="AR3" s="13">
        <f ca="1">VLOOKUP($B3,'[11]Analisys QBR By Machine Report'!$C$109:$BD$166,39,FALSE)</f>
        <v>0</v>
      </c>
      <c r="AS3" s="13">
        <f ca="1">VLOOKUP($B3,'[11]Analisys QBR By Machine Report'!$C$109:$BD$166,40,FALSE)</f>
        <v>0</v>
      </c>
      <c r="AT3" s="13">
        <f ca="1">VLOOKUP($B3,'[11]Analisys QBR By Machine Report'!$C$109:$BD$166,41,FALSE)</f>
        <v>0</v>
      </c>
      <c r="AU3" s="13">
        <f ca="1">VLOOKUP($B3,'[11]Analisys QBR By Machine Report'!$C$109:$BD$166,42,FALSE)</f>
        <v>247</v>
      </c>
      <c r="AV3" s="13">
        <f ca="1">VLOOKUP($B3,'[11]Analisys QBR By Machine Report'!$C$109:$BD$166,43,FALSE)</f>
        <v>0</v>
      </c>
      <c r="AW3" s="13">
        <f ca="1">VLOOKUP($B3,'[11]Analisys QBR By Machine Report'!$C$109:$BD$166,44,FALSE)</f>
        <v>0</v>
      </c>
      <c r="AX3" s="13">
        <f ca="1">VLOOKUP($B3,'[11]Analisys QBR By Machine Report'!$C$109:$BD$166,45,FALSE)</f>
        <v>0</v>
      </c>
      <c r="AY3" s="13">
        <f ca="1">VLOOKUP($B3,'[11]Analisys QBR By Machine Report'!$C$109:$BD$166,46,FALSE)</f>
        <v>0</v>
      </c>
      <c r="AZ3" s="13">
        <f ca="1">VLOOKUP($B3,'[11]Analisys QBR By Machine Report'!$C$109:$BD$166,47,FALSE)</f>
        <v>104</v>
      </c>
      <c r="BA3" s="13">
        <f ca="1">VLOOKUP($B3,'[11]Analisys QBR By Machine Report'!$C$109:$BD$166,48,FALSE)</f>
        <v>0</v>
      </c>
      <c r="BB3" s="13">
        <f ca="1">VLOOKUP($B3,'[11]Analisys QBR By Machine Report'!$C$109:$BD$166,49,FALSE)</f>
        <v>0</v>
      </c>
      <c r="BC3" s="13">
        <f ca="1">VLOOKUP($B3,'[11]Analisys QBR By Machine Report'!$C$109:$BD$166,50,FALSE)</f>
        <v>0</v>
      </c>
      <c r="BD3" s="13">
        <f ca="1">VLOOKUP($B3,'[11]Analisys QBR By Machine Report'!$C$109:$BD$166,51,FALSE)</f>
        <v>871.59</v>
      </c>
      <c r="BE3" s="13">
        <f ca="1">VLOOKUP($B3,'[11]Analisys QBR By Machine Report'!$C$109:$BD$166,52,FALSE)</f>
        <v>0</v>
      </c>
      <c r="BF3" s="13">
        <f ca="1">VLOOKUP($B3,'[11]Analisys QBR By Machine Report'!$C$109:$BD$166,53,FALSE)</f>
        <v>871.59</v>
      </c>
    </row>
    <row r="4" spans="1:58" x14ac:dyDescent="0.25">
      <c r="A4" s="12" t="s">
        <v>60</v>
      </c>
      <c r="B4" s="13">
        <f ca="1">VLOOKUP($B4,'[11]Analisys QBR By Machine Report'!$C$109:$BD$166,2,FALSE)</f>
        <v>30240</v>
      </c>
      <c r="C4" s="14">
        <f ca="1">VLOOKUP($B4,[11]Dasboard_QBR_Report!$B$109:$BL$166,3,FALSE)</f>
        <v>19530</v>
      </c>
      <c r="D4" s="13">
        <f ca="1">VLOOKUP($B4,'[11]Analisys QBR By Machine Report'!$C$109:$BD$166,3,FALSE)</f>
        <v>24510</v>
      </c>
      <c r="E4" s="14">
        <f ca="1">VLOOKUP($B4,[11]Dasboard_QBR_Report!$B$109:$BL$166,5,FALSE)</f>
        <v>13800</v>
      </c>
      <c r="F4" s="13">
        <f t="shared" ca="1" si="0"/>
        <v>5730</v>
      </c>
      <c r="G4" s="13">
        <f t="shared" ca="1" si="1"/>
        <v>204</v>
      </c>
      <c r="H4" s="13">
        <f ca="1">VLOOKUP($B4,'[11]Analisys QBR By Machine Report'!$C$109:$BD$166,4,FALSE)</f>
        <v>204</v>
      </c>
      <c r="I4" s="13">
        <f ca="1">VLOOKUP($B4,'[11]Analisys QBR By Machine Report'!$C$109:$BD$166,5,FALSE)</f>
        <v>20</v>
      </c>
      <c r="J4" s="13">
        <f ca="1">VLOOKUP($B4,'[11]Analisys QBR By Machine Report'!$C$109:$BD$166,6,FALSE)</f>
        <v>184</v>
      </c>
      <c r="K4" s="13">
        <f ca="1">VLOOKUP($B4,'[11]Analisys QBR By Machine Report'!$C$109:$BD$166,7,FALSE)</f>
        <v>0</v>
      </c>
      <c r="L4" s="13">
        <f ca="1">VLOOKUP($B4,'[11]Analisys QBR By Machine Report'!$C$109:$BD$166,8,FALSE)</f>
        <v>5526</v>
      </c>
      <c r="M4" s="13">
        <f ca="1">VLOOKUP($B4,'[11]Analisys QBR By Machine Report'!$C$109:$BD$166,9,FALSE)</f>
        <v>1555</v>
      </c>
      <c r="N4" s="13">
        <f ca="1">VLOOKUP($B4,[11]Dasboard_QBR_Report!$B$109:$BL$166,18,FALSE)</f>
        <v>3971</v>
      </c>
      <c r="O4" s="13">
        <f ca="1">VLOOKUP($B4,'[11]Analisys QBR By Machine Report'!$C$109:$BD$166,10,FALSE)</f>
        <v>164</v>
      </c>
      <c r="P4" s="13">
        <f ca="1">VLOOKUP($B4,'[11]Analisys QBR By Machine Report'!$C$109:$BD$166,11,FALSE)</f>
        <v>161</v>
      </c>
      <c r="Q4" s="13">
        <f ca="1">VLOOKUP($B4,'[11]Analisys QBR By Machine Report'!$C$109:$BD$166,12,FALSE)</f>
        <v>0</v>
      </c>
      <c r="R4" s="13">
        <f ca="1">VLOOKUP($B4,'[11]Analisys QBR By Machine Report'!$C$109:$BD$166,13,FALSE)</f>
        <v>3</v>
      </c>
      <c r="S4" s="13">
        <f ca="1">VLOOKUP($B4,'[11]Analisys QBR By Machine Report'!$C$109:$BD$166,14,FALSE)</f>
        <v>0</v>
      </c>
      <c r="T4" s="13">
        <f ca="1">VLOOKUP($B4,'[11]Analisys QBR By Machine Report'!$C$109:$BD$166,15,FALSE)</f>
        <v>299</v>
      </c>
      <c r="U4" s="13">
        <f ca="1">VLOOKUP($B4,'[11]Analisys QBR By Machine Report'!$C$109:$BD$166,16,FALSE)</f>
        <v>0</v>
      </c>
      <c r="V4" s="13">
        <f ca="1">VLOOKUP($B4,'[11]Analisys QBR By Machine Report'!$C$109:$BD$166,17,FALSE)</f>
        <v>0</v>
      </c>
      <c r="W4" s="13">
        <f ca="1">VLOOKUP($B4,'[11]Analisys QBR By Machine Report'!$C$109:$BD$166,18,FALSE)</f>
        <v>0</v>
      </c>
      <c r="X4" s="13">
        <f ca="1">VLOOKUP($B4,'[11]Analisys QBR By Machine Report'!$C$109:$BD$166,19,FALSE)</f>
        <v>299</v>
      </c>
      <c r="Y4" s="13">
        <f ca="1">VLOOKUP($B4,'[11]Analisys QBR By Machine Report'!$C$109:$BD$166,20,FALSE)</f>
        <v>0</v>
      </c>
      <c r="Z4" s="13">
        <f ca="1">VLOOKUP($B4,'[11]Analisys QBR By Machine Report'!$C$109:$BD$166,21,FALSE)</f>
        <v>2588</v>
      </c>
      <c r="AA4" s="13">
        <f ca="1">VLOOKUP($B4,'[11]Analisys QBR By Machine Report'!$C$109:$BD$166,22,FALSE)</f>
        <v>1789</v>
      </c>
      <c r="AB4" s="13">
        <f ca="1">VLOOKUP($B4,'[11]Analisys QBR By Machine Report'!$C$109:$BD$166,23,FALSE)</f>
        <v>705</v>
      </c>
      <c r="AC4" s="13">
        <f ca="1">VLOOKUP($B4,'[11]Analisys QBR By Machine Report'!$C$109:$BD$166,24,FALSE)</f>
        <v>19</v>
      </c>
      <c r="AD4" s="13">
        <f ca="1">VLOOKUP($B4,'[11]Analisys QBR By Machine Report'!$C$109:$BD$166,25,FALSE)</f>
        <v>0</v>
      </c>
      <c r="AE4" s="13">
        <f ca="1">VLOOKUP($B4,'[11]Analisys QBR By Machine Report'!$C$109:$BD$166,26,FALSE)</f>
        <v>75</v>
      </c>
      <c r="AF4" s="13">
        <f ca="1">VLOOKUP($B4,'[11]Analisys QBR By Machine Report'!$C$109:$BD$166,27,FALSE)</f>
        <v>0</v>
      </c>
      <c r="AG4" s="13">
        <f ca="1">VLOOKUP($B4,'[11]Analisys QBR By Machine Report'!$C$109:$BD$166,28,FALSE)</f>
        <v>0</v>
      </c>
      <c r="AH4" s="13">
        <f ca="1">VLOOKUP($B4,'[11]Analisys QBR By Machine Report'!$C$109:$BD$166,29,FALSE)</f>
        <v>0</v>
      </c>
      <c r="AI4" s="13">
        <f ca="1">VLOOKUP($B4,'[11]Analisys QBR By Machine Report'!$C$109:$BD$166,30,FALSE)</f>
        <v>920</v>
      </c>
      <c r="AJ4" s="13">
        <f ca="1">VLOOKUP($B4,'[11]Analisys QBR By Machine Report'!$C$109:$BD$166,31,FALSE)</f>
        <v>0</v>
      </c>
      <c r="AK4" s="13">
        <f ca="1">VLOOKUP($B4,'[11]Analisys QBR By Machine Report'!$C$109:$BD$166,32,FALSE)</f>
        <v>0</v>
      </c>
      <c r="AL4" s="13">
        <f ca="1">VLOOKUP($B4,'[11]Analisys QBR By Machine Report'!$C$109:$BD$166,33,FALSE)</f>
        <v>365</v>
      </c>
      <c r="AM4" s="13">
        <f ca="1">VLOOKUP($B4,'[11]Analisys QBR By Machine Report'!$C$109:$BD$166,34,FALSE)</f>
        <v>0</v>
      </c>
      <c r="AN4" s="13">
        <f ca="1">VLOOKUP($B4,'[11]Analisys QBR By Machine Report'!$C$109:$BD$166,35,FALSE)</f>
        <v>345</v>
      </c>
      <c r="AO4" s="13">
        <f ca="1">VLOOKUP($B4,'[11]Analisys QBR By Machine Report'!$C$109:$BD$166,36,FALSE)</f>
        <v>0</v>
      </c>
      <c r="AP4" s="13">
        <f ca="1">VLOOKUP($B4,'[11]Analisys QBR By Machine Report'!$C$109:$BD$166,37,FALSE)</f>
        <v>0</v>
      </c>
      <c r="AQ4" s="13">
        <f ca="1">VLOOKUP($B4,'[11]Analisys QBR By Machine Report'!$C$109:$BD$166,38,FALSE)</f>
        <v>0</v>
      </c>
      <c r="AR4" s="13">
        <f ca="1">VLOOKUP($B4,'[11]Analisys QBR By Machine Report'!$C$109:$BD$166,39,FALSE)</f>
        <v>0</v>
      </c>
      <c r="AS4" s="13">
        <f ca="1">VLOOKUP($B4,'[11]Analisys QBR By Machine Report'!$C$109:$BD$166,40,FALSE)</f>
        <v>0</v>
      </c>
      <c r="AT4" s="13">
        <f ca="1">VLOOKUP($B4,'[11]Analisys QBR By Machine Report'!$C$109:$BD$166,41,FALSE)</f>
        <v>0</v>
      </c>
      <c r="AU4" s="13">
        <f ca="1">VLOOKUP($B4,'[11]Analisys QBR By Machine Report'!$C$109:$BD$166,42,FALSE)</f>
        <v>47</v>
      </c>
      <c r="AV4" s="13">
        <f ca="1">VLOOKUP($B4,'[11]Analisys QBR By Machine Report'!$C$109:$BD$166,43,FALSE)</f>
        <v>0</v>
      </c>
      <c r="AW4" s="13">
        <f ca="1">VLOOKUP($B4,'[11]Analisys QBR By Machine Report'!$C$109:$BD$166,44,FALSE)</f>
        <v>0</v>
      </c>
      <c r="AX4" s="13">
        <f ca="1">VLOOKUP($B4,'[11]Analisys QBR By Machine Report'!$C$109:$BD$166,45,FALSE)</f>
        <v>0</v>
      </c>
      <c r="AY4" s="13">
        <f ca="1">VLOOKUP($B4,'[11]Analisys QBR By Machine Report'!$C$109:$BD$166,46,FALSE)</f>
        <v>0</v>
      </c>
      <c r="AZ4" s="13">
        <f ca="1">VLOOKUP($B4,'[11]Analisys QBR By Machine Report'!$C$109:$BD$166,47,FALSE)</f>
        <v>163</v>
      </c>
      <c r="BA4" s="13">
        <f ca="1">VLOOKUP($B4,'[11]Analisys QBR By Machine Report'!$C$109:$BD$166,48,FALSE)</f>
        <v>0</v>
      </c>
      <c r="BB4" s="13">
        <f ca="1">VLOOKUP($B4,'[11]Analisys QBR By Machine Report'!$C$109:$BD$166,49,FALSE)</f>
        <v>0</v>
      </c>
      <c r="BC4" s="13">
        <f ca="1">VLOOKUP($B4,'[11]Analisys QBR By Machine Report'!$C$109:$BD$166,50,FALSE)</f>
        <v>0</v>
      </c>
      <c r="BD4" s="13">
        <f ca="1">VLOOKUP($B4,'[11]Analisys QBR By Machine Report'!$C$109:$BD$166,51,FALSE)</f>
        <v>1808.99</v>
      </c>
      <c r="BE4" s="13">
        <f ca="1">VLOOKUP($B4,'[11]Analisys QBR By Machine Report'!$C$109:$BD$166,52,FALSE)</f>
        <v>0</v>
      </c>
      <c r="BF4" s="13">
        <f ca="1">VLOOKUP($B4,'[11]Analisys QBR By Machine Report'!$C$109:$BD$166,53,FALSE)</f>
        <v>1808.99</v>
      </c>
    </row>
    <row r="5" spans="1:58" x14ac:dyDescent="0.25">
      <c r="A5" s="12" t="s">
        <v>61</v>
      </c>
      <c r="B5" s="13">
        <f ca="1">VLOOKUP($B5,'[11]Analisys QBR By Machine Report'!$C$109:$BD$166,2,FALSE)</f>
        <v>30240</v>
      </c>
      <c r="C5" s="14">
        <f ca="1">VLOOKUP($B5,[11]Dasboard_QBR_Report!$B$109:$BL$166,3,FALSE)</f>
        <v>19530</v>
      </c>
      <c r="D5" s="13">
        <f ca="1">VLOOKUP($B5,'[11]Analisys QBR By Machine Report'!$C$109:$BD$166,3,FALSE)</f>
        <v>16740</v>
      </c>
      <c r="E5" s="14">
        <f ca="1">VLOOKUP($B5,[11]Dasboard_QBR_Report!$B$109:$BL$166,5,FALSE)</f>
        <v>6030</v>
      </c>
      <c r="F5" s="13">
        <f t="shared" ca="1" si="0"/>
        <v>13500</v>
      </c>
      <c r="G5" s="13">
        <f t="shared" ca="1" si="1"/>
        <v>2500</v>
      </c>
      <c r="H5" s="13">
        <f ca="1">VLOOKUP($B5,'[11]Analisys QBR By Machine Report'!$C$109:$BD$166,4,FALSE)</f>
        <v>2175</v>
      </c>
      <c r="I5" s="13">
        <f ca="1">VLOOKUP($B5,'[11]Analisys QBR By Machine Report'!$C$109:$BD$166,5,FALSE)</f>
        <v>35</v>
      </c>
      <c r="J5" s="13">
        <f ca="1">VLOOKUP($B5,'[11]Analisys QBR By Machine Report'!$C$109:$BD$166,6,FALSE)</f>
        <v>2140</v>
      </c>
      <c r="K5" s="13">
        <f ca="1">VLOOKUP($B5,'[11]Analisys QBR By Machine Report'!$C$109:$BD$166,7,FALSE)</f>
        <v>325</v>
      </c>
      <c r="L5" s="13">
        <f ca="1">VLOOKUP($B5,'[11]Analisys QBR By Machine Report'!$C$109:$BD$166,8,FALSE)</f>
        <v>11000</v>
      </c>
      <c r="M5" s="13">
        <f ca="1">VLOOKUP($B5,'[11]Analisys QBR By Machine Report'!$C$109:$BD$166,9,FALSE)</f>
        <v>694</v>
      </c>
      <c r="N5" s="13">
        <f ca="1">VLOOKUP($B5,[11]Dasboard_QBR_Report!$B$109:$BL$166,18,FALSE)</f>
        <v>10306</v>
      </c>
      <c r="O5" s="13">
        <f ca="1">VLOOKUP($B5,'[11]Analisys QBR By Machine Report'!$C$109:$BD$166,10,FALSE)</f>
        <v>427</v>
      </c>
      <c r="P5" s="13">
        <f ca="1">VLOOKUP($B5,'[11]Analisys QBR By Machine Report'!$C$109:$BD$166,11,FALSE)</f>
        <v>427</v>
      </c>
      <c r="Q5" s="13">
        <f ca="1">VLOOKUP($B5,'[11]Analisys QBR By Machine Report'!$C$109:$BD$166,12,FALSE)</f>
        <v>0</v>
      </c>
      <c r="R5" s="13">
        <f ca="1">VLOOKUP($B5,'[11]Analisys QBR By Machine Report'!$C$109:$BD$166,13,FALSE)</f>
        <v>0</v>
      </c>
      <c r="S5" s="13">
        <f ca="1">VLOOKUP($B5,'[11]Analisys QBR By Machine Report'!$C$109:$BD$166,14,FALSE)</f>
        <v>0</v>
      </c>
      <c r="T5" s="13">
        <f ca="1">VLOOKUP($B5,'[11]Analisys QBR By Machine Report'!$C$109:$BD$166,15,FALSE)</f>
        <v>0</v>
      </c>
      <c r="U5" s="13">
        <f ca="1">VLOOKUP($B5,'[11]Analisys QBR By Machine Report'!$C$109:$BD$166,16,FALSE)</f>
        <v>0</v>
      </c>
      <c r="V5" s="13">
        <f ca="1">VLOOKUP($B5,'[11]Analisys QBR By Machine Report'!$C$109:$BD$166,17,FALSE)</f>
        <v>0</v>
      </c>
      <c r="W5" s="13">
        <f ca="1">VLOOKUP($B5,'[11]Analisys QBR By Machine Report'!$C$109:$BD$166,18,FALSE)</f>
        <v>0</v>
      </c>
      <c r="X5" s="13">
        <f ca="1">VLOOKUP($B5,'[11]Analisys QBR By Machine Report'!$C$109:$BD$166,19,FALSE)</f>
        <v>0</v>
      </c>
      <c r="Y5" s="13">
        <f ca="1">VLOOKUP($B5,'[11]Analisys QBR By Machine Report'!$C$109:$BD$166,20,FALSE)</f>
        <v>0</v>
      </c>
      <c r="Z5" s="13">
        <f ca="1">VLOOKUP($B5,'[11]Analisys QBR By Machine Report'!$C$109:$BD$166,21,FALSE)</f>
        <v>4043</v>
      </c>
      <c r="AA5" s="13">
        <f ca="1">VLOOKUP($B5,'[11]Analisys QBR By Machine Report'!$C$109:$BD$166,22,FALSE)</f>
        <v>1646</v>
      </c>
      <c r="AB5" s="13">
        <f ca="1">VLOOKUP($B5,'[11]Analisys QBR By Machine Report'!$C$109:$BD$166,23,FALSE)</f>
        <v>2112</v>
      </c>
      <c r="AC5" s="13">
        <f ca="1">VLOOKUP($B5,'[11]Analisys QBR By Machine Report'!$C$109:$BD$166,24,FALSE)</f>
        <v>0</v>
      </c>
      <c r="AD5" s="13">
        <f ca="1">VLOOKUP($B5,'[11]Analisys QBR By Machine Report'!$C$109:$BD$166,25,FALSE)</f>
        <v>0</v>
      </c>
      <c r="AE5" s="13">
        <f ca="1">VLOOKUP($B5,'[11]Analisys QBR By Machine Report'!$C$109:$BD$166,26,FALSE)</f>
        <v>285</v>
      </c>
      <c r="AF5" s="13">
        <f ca="1">VLOOKUP($B5,'[11]Analisys QBR By Machine Report'!$C$109:$BD$166,27,FALSE)</f>
        <v>0</v>
      </c>
      <c r="AG5" s="13">
        <f ca="1">VLOOKUP($B5,'[11]Analisys QBR By Machine Report'!$C$109:$BD$166,28,FALSE)</f>
        <v>0</v>
      </c>
      <c r="AH5" s="13">
        <f ca="1">VLOOKUP($B5,'[11]Analisys QBR By Machine Report'!$C$109:$BD$166,29,FALSE)</f>
        <v>0</v>
      </c>
      <c r="AI5" s="13">
        <f ca="1">VLOOKUP($B5,'[11]Analisys QBR By Machine Report'!$C$109:$BD$166,30,FALSE)</f>
        <v>5836</v>
      </c>
      <c r="AJ5" s="13">
        <f ca="1">VLOOKUP($B5,'[11]Analisys QBR By Machine Report'!$C$109:$BD$166,31,FALSE)</f>
        <v>65</v>
      </c>
      <c r="AK5" s="13">
        <f ca="1">VLOOKUP($B5,'[11]Analisys QBR By Machine Report'!$C$109:$BD$166,32,FALSE)</f>
        <v>0</v>
      </c>
      <c r="AL5" s="13">
        <f ca="1">VLOOKUP($B5,'[11]Analisys QBR By Machine Report'!$C$109:$BD$166,33,FALSE)</f>
        <v>765</v>
      </c>
      <c r="AM5" s="13">
        <f ca="1">VLOOKUP($B5,'[11]Analisys QBR By Machine Report'!$C$109:$BD$166,34,FALSE)</f>
        <v>0</v>
      </c>
      <c r="AN5" s="13">
        <f ca="1">VLOOKUP($B5,'[11]Analisys QBR By Machine Report'!$C$109:$BD$166,35,FALSE)</f>
        <v>690</v>
      </c>
      <c r="AO5" s="13">
        <f ca="1">VLOOKUP($B5,'[11]Analisys QBR By Machine Report'!$C$109:$BD$166,36,FALSE)</f>
        <v>0</v>
      </c>
      <c r="AP5" s="13">
        <f ca="1">VLOOKUP($B5,'[11]Analisys QBR By Machine Report'!$C$109:$BD$166,37,FALSE)</f>
        <v>0</v>
      </c>
      <c r="AQ5" s="13">
        <f ca="1">VLOOKUP($B5,'[11]Analisys QBR By Machine Report'!$C$109:$BD$166,38,FALSE)</f>
        <v>0</v>
      </c>
      <c r="AR5" s="13">
        <f ca="1">VLOOKUP($B5,'[11]Analisys QBR By Machine Report'!$C$109:$BD$166,39,FALSE)</f>
        <v>4045</v>
      </c>
      <c r="AS5" s="13">
        <f ca="1">VLOOKUP($B5,'[11]Analisys QBR By Machine Report'!$C$109:$BD$166,40,FALSE)</f>
        <v>20</v>
      </c>
      <c r="AT5" s="13">
        <f ca="1">VLOOKUP($B5,'[11]Analisys QBR By Machine Report'!$C$109:$BD$166,41,FALSE)</f>
        <v>0</v>
      </c>
      <c r="AU5" s="13">
        <f ca="1">VLOOKUP($B5,'[11]Analisys QBR By Machine Report'!$C$109:$BD$166,42,FALSE)</f>
        <v>20</v>
      </c>
      <c r="AV5" s="13">
        <f ca="1">VLOOKUP($B5,'[11]Analisys QBR By Machine Report'!$C$109:$BD$166,43,FALSE)</f>
        <v>0</v>
      </c>
      <c r="AW5" s="13">
        <f ca="1">VLOOKUP($B5,'[11]Analisys QBR By Machine Report'!$C$109:$BD$166,44,FALSE)</f>
        <v>0</v>
      </c>
      <c r="AX5" s="13">
        <f ca="1">VLOOKUP($B5,'[11]Analisys QBR By Machine Report'!$C$109:$BD$166,45,FALSE)</f>
        <v>0</v>
      </c>
      <c r="AY5" s="13">
        <f ca="1">VLOOKUP($B5,'[11]Analisys QBR By Machine Report'!$C$109:$BD$166,46,FALSE)</f>
        <v>0</v>
      </c>
      <c r="AZ5" s="13">
        <f ca="1">VLOOKUP($B5,'[11]Analisys QBR By Machine Report'!$C$109:$BD$166,47,FALSE)</f>
        <v>231</v>
      </c>
      <c r="BA5" s="13">
        <f ca="1">VLOOKUP($B5,'[11]Analisys QBR By Machine Report'!$C$109:$BD$166,48,FALSE)</f>
        <v>0</v>
      </c>
      <c r="BB5" s="13">
        <f ca="1">VLOOKUP($B5,'[11]Analisys QBR By Machine Report'!$C$109:$BD$166,49,FALSE)</f>
        <v>0</v>
      </c>
      <c r="BC5" s="13">
        <f ca="1">VLOOKUP($B5,'[11]Analisys QBR By Machine Report'!$C$109:$BD$166,50,FALSE)</f>
        <v>0</v>
      </c>
      <c r="BD5" s="13">
        <f ca="1">VLOOKUP($B5,'[11]Analisys QBR By Machine Report'!$C$109:$BD$166,51,FALSE)</f>
        <v>4784.8</v>
      </c>
      <c r="BE5" s="13">
        <f ca="1">VLOOKUP($B5,'[11]Analisys QBR By Machine Report'!$C$109:$BD$166,52,FALSE)</f>
        <v>0</v>
      </c>
      <c r="BF5" s="13">
        <f ca="1">VLOOKUP($B5,'[11]Analisys QBR By Machine Report'!$C$109:$BD$166,53,FALSE)</f>
        <v>4784.8</v>
      </c>
    </row>
    <row r="6" spans="1:58" x14ac:dyDescent="0.25">
      <c r="A6" s="9" t="s">
        <v>62</v>
      </c>
      <c r="B6" s="10">
        <f ca="1">VLOOKUP($B6,'[11]Analisys QBR By Machine Report'!$C$109:$BD$166,2,FALSE)</f>
        <v>60480</v>
      </c>
      <c r="C6" s="11">
        <f ca="1">VLOOKUP($B6,[11]Dasboard_QBR_Report!$B$109:$BL$166,3,FALSE)</f>
        <v>20160</v>
      </c>
      <c r="D6" s="10">
        <f ca="1">VLOOKUP($B6,'[11]Analisys QBR By Machine Report'!$C$109:$BD$166,3,FALSE)</f>
        <v>53850</v>
      </c>
      <c r="E6" s="11">
        <f ca="1">VLOOKUP($B6,[11]Dasboard_QBR_Report!$B$109:$BL$166,5,FALSE)</f>
        <v>13530</v>
      </c>
      <c r="F6" s="10">
        <f t="shared" ca="1" si="0"/>
        <v>6630</v>
      </c>
      <c r="G6" s="10">
        <f t="shared" ca="1" si="1"/>
        <v>665</v>
      </c>
      <c r="H6" s="10">
        <f ca="1">VLOOKUP($B6,'[11]Analisys QBR By Machine Report'!$C$109:$BD$166,4,FALSE)</f>
        <v>665</v>
      </c>
      <c r="I6" s="10">
        <f ca="1">VLOOKUP($B6,'[11]Analisys QBR By Machine Report'!$C$109:$BD$166,5,FALSE)</f>
        <v>100</v>
      </c>
      <c r="J6" s="10">
        <f ca="1">VLOOKUP($B6,'[11]Analisys QBR By Machine Report'!$C$109:$BD$166,6,FALSE)</f>
        <v>565</v>
      </c>
      <c r="K6" s="10">
        <f ca="1">VLOOKUP($B6,'[11]Analisys QBR By Machine Report'!$C$109:$BD$166,7,FALSE)</f>
        <v>0</v>
      </c>
      <c r="L6" s="10">
        <f ca="1">VLOOKUP($B6,'[11]Analisys QBR By Machine Report'!$C$109:$BD$166,8,FALSE)</f>
        <v>5965</v>
      </c>
      <c r="M6" s="10">
        <f ca="1">VLOOKUP($B6,'[11]Analisys QBR By Machine Report'!$C$109:$BD$166,9,FALSE)</f>
        <v>2215</v>
      </c>
      <c r="N6" s="10">
        <f ca="1">VLOOKUP($B6,[11]Dasboard_QBR_Report!$B$109:$BL$166,18,FALSE)</f>
        <v>3750</v>
      </c>
      <c r="O6" s="10">
        <f ca="1">VLOOKUP($B6,'[11]Analisys QBR By Machine Report'!$C$109:$BD$166,10,FALSE)</f>
        <v>535</v>
      </c>
      <c r="P6" s="10">
        <f ca="1">VLOOKUP($B6,'[11]Analisys QBR By Machine Report'!$C$109:$BD$166,11,FALSE)</f>
        <v>510</v>
      </c>
      <c r="Q6" s="10">
        <f ca="1">VLOOKUP($B6,'[11]Analisys QBR By Machine Report'!$C$109:$BD$166,12,FALSE)</f>
        <v>10</v>
      </c>
      <c r="R6" s="10">
        <f ca="1">VLOOKUP($B6,'[11]Analisys QBR By Machine Report'!$C$109:$BD$166,13,FALSE)</f>
        <v>15</v>
      </c>
      <c r="S6" s="10">
        <f ca="1">VLOOKUP($B6,'[11]Analisys QBR By Machine Report'!$C$109:$BD$166,14,FALSE)</f>
        <v>0</v>
      </c>
      <c r="T6" s="10">
        <f ca="1">VLOOKUP($B6,'[11]Analisys QBR By Machine Report'!$C$109:$BD$166,15,FALSE)</f>
        <v>0</v>
      </c>
      <c r="U6" s="10">
        <f ca="1">VLOOKUP($B6,'[11]Analisys QBR By Machine Report'!$C$109:$BD$166,16,FALSE)</f>
        <v>0</v>
      </c>
      <c r="V6" s="10">
        <f ca="1">VLOOKUP($B6,'[11]Analisys QBR By Machine Report'!$C$109:$BD$166,17,FALSE)</f>
        <v>0</v>
      </c>
      <c r="W6" s="10">
        <f ca="1">VLOOKUP($B6,'[11]Analisys QBR By Machine Report'!$C$109:$BD$166,18,FALSE)</f>
        <v>0</v>
      </c>
      <c r="X6" s="10">
        <f ca="1">VLOOKUP($B6,'[11]Analisys QBR By Machine Report'!$C$109:$BD$166,19,FALSE)</f>
        <v>0</v>
      </c>
      <c r="Y6" s="10">
        <f ca="1">VLOOKUP($B6,'[11]Analisys QBR By Machine Report'!$C$109:$BD$166,20,FALSE)</f>
        <v>0</v>
      </c>
      <c r="Z6" s="10">
        <f ca="1">VLOOKUP($B6,'[11]Analisys QBR By Machine Report'!$C$109:$BD$166,21,FALSE)</f>
        <v>1935</v>
      </c>
      <c r="AA6" s="10">
        <f ca="1">VLOOKUP($B6,'[11]Analisys QBR By Machine Report'!$C$109:$BD$166,22,FALSE)</f>
        <v>885</v>
      </c>
      <c r="AB6" s="10">
        <f ca="1">VLOOKUP($B6,'[11]Analisys QBR By Machine Report'!$C$109:$BD$166,23,FALSE)</f>
        <v>880</v>
      </c>
      <c r="AC6" s="10">
        <f ca="1">VLOOKUP($B6,'[11]Analisys QBR By Machine Report'!$C$109:$BD$166,24,FALSE)</f>
        <v>65</v>
      </c>
      <c r="AD6" s="10">
        <f ca="1">VLOOKUP($B6,'[11]Analisys QBR By Machine Report'!$C$109:$BD$166,25,FALSE)</f>
        <v>0</v>
      </c>
      <c r="AE6" s="10">
        <f ca="1">VLOOKUP($B6,'[11]Analisys QBR By Machine Report'!$C$109:$BD$166,26,FALSE)</f>
        <v>105</v>
      </c>
      <c r="AF6" s="10">
        <f ca="1">VLOOKUP($B6,'[11]Analisys QBR By Machine Report'!$C$109:$BD$166,27,FALSE)</f>
        <v>0</v>
      </c>
      <c r="AG6" s="10">
        <f ca="1">VLOOKUP($B6,'[11]Analisys QBR By Machine Report'!$C$109:$BD$166,28,FALSE)</f>
        <v>0</v>
      </c>
      <c r="AH6" s="10">
        <f ca="1">VLOOKUP($B6,'[11]Analisys QBR By Machine Report'!$C$109:$BD$166,29,FALSE)</f>
        <v>0</v>
      </c>
      <c r="AI6" s="10">
        <f ca="1">VLOOKUP($B6,'[11]Analisys QBR By Machine Report'!$C$109:$BD$166,30,FALSE)</f>
        <v>1280</v>
      </c>
      <c r="AJ6" s="10">
        <f ca="1">VLOOKUP($B6,'[11]Analisys QBR By Machine Report'!$C$109:$BD$166,31,FALSE)</f>
        <v>0</v>
      </c>
      <c r="AK6" s="10">
        <f ca="1">VLOOKUP($B6,'[11]Analisys QBR By Machine Report'!$C$109:$BD$166,32,FALSE)</f>
        <v>0</v>
      </c>
      <c r="AL6" s="10">
        <f ca="1">VLOOKUP($B6,'[11]Analisys QBR By Machine Report'!$C$109:$BD$166,33,FALSE)</f>
        <v>340</v>
      </c>
      <c r="AM6" s="10">
        <f ca="1">VLOOKUP($B6,'[11]Analisys QBR By Machine Report'!$C$109:$BD$166,34,FALSE)</f>
        <v>0</v>
      </c>
      <c r="AN6" s="10">
        <f ca="1">VLOOKUP($B6,'[11]Analisys QBR By Machine Report'!$C$109:$BD$166,35,FALSE)</f>
        <v>230</v>
      </c>
      <c r="AO6" s="10">
        <f ca="1">VLOOKUP($B6,'[11]Analisys QBR By Machine Report'!$C$109:$BD$166,36,FALSE)</f>
        <v>390</v>
      </c>
      <c r="AP6" s="10">
        <f ca="1">VLOOKUP($B6,'[11]Analisys QBR By Machine Report'!$C$109:$BD$166,37,FALSE)</f>
        <v>75</v>
      </c>
      <c r="AQ6" s="10">
        <f ca="1">VLOOKUP($B6,'[11]Analisys QBR By Machine Report'!$C$109:$BD$166,38,FALSE)</f>
        <v>0</v>
      </c>
      <c r="AR6" s="10">
        <f ca="1">VLOOKUP($B6,'[11]Analisys QBR By Machine Report'!$C$109:$BD$166,39,FALSE)</f>
        <v>0</v>
      </c>
      <c r="AS6" s="10">
        <f ca="1">VLOOKUP($B6,'[11]Analisys QBR By Machine Report'!$C$109:$BD$166,40,FALSE)</f>
        <v>85</v>
      </c>
      <c r="AT6" s="10">
        <f ca="1">VLOOKUP($B6,'[11]Analisys QBR By Machine Report'!$C$109:$BD$166,41,FALSE)</f>
        <v>0</v>
      </c>
      <c r="AU6" s="10">
        <f ca="1">VLOOKUP($B6,'[11]Analisys QBR By Machine Report'!$C$109:$BD$166,42,FALSE)</f>
        <v>0</v>
      </c>
      <c r="AV6" s="10">
        <f ca="1">VLOOKUP($B6,'[11]Analisys QBR By Machine Report'!$C$109:$BD$166,43,FALSE)</f>
        <v>0</v>
      </c>
      <c r="AW6" s="10">
        <f ca="1">VLOOKUP($B6,'[11]Analisys QBR By Machine Report'!$C$109:$BD$166,44,FALSE)</f>
        <v>0</v>
      </c>
      <c r="AX6" s="10">
        <f ca="1">VLOOKUP($B6,'[11]Analisys QBR By Machine Report'!$C$109:$BD$166,45,FALSE)</f>
        <v>0</v>
      </c>
      <c r="AY6" s="10">
        <f ca="1">VLOOKUP($B6,'[11]Analisys QBR By Machine Report'!$C$109:$BD$166,46,FALSE)</f>
        <v>0</v>
      </c>
      <c r="AZ6" s="10">
        <f ca="1">VLOOKUP($B6,'[11]Analisys QBR By Machine Report'!$C$109:$BD$166,47,FALSE)</f>
        <v>160</v>
      </c>
      <c r="BA6" s="10">
        <f ca="1">VLOOKUP($B6,'[11]Analisys QBR By Machine Report'!$C$109:$BD$166,48,FALSE)</f>
        <v>0</v>
      </c>
      <c r="BB6" s="10">
        <f ca="1">VLOOKUP($B6,'[11]Analisys QBR By Machine Report'!$C$109:$BD$166,49,FALSE)</f>
        <v>0</v>
      </c>
      <c r="BC6" s="10">
        <f ca="1">VLOOKUP($B6,'[11]Analisys QBR By Machine Report'!$C$109:$BD$166,50,FALSE)</f>
        <v>0</v>
      </c>
      <c r="BD6" s="10">
        <f ca="1">VLOOKUP($B6,'[11]Analisys QBR By Machine Report'!$C$109:$BD$166,51,FALSE)</f>
        <v>1369858</v>
      </c>
      <c r="BE6" s="10">
        <f ca="1">VLOOKUP($B6,'[11]Analisys QBR By Machine Report'!$C$109:$BD$166,52,FALSE)</f>
        <v>0</v>
      </c>
      <c r="BF6" s="10">
        <f ca="1">VLOOKUP($B6,'[11]Analisys QBR By Machine Report'!$C$109:$BD$166,53,FALSE)</f>
        <v>1369858</v>
      </c>
    </row>
    <row r="7" spans="1:58" x14ac:dyDescent="0.25">
      <c r="A7" s="12" t="s">
        <v>63</v>
      </c>
      <c r="B7" s="13">
        <f ca="1">VLOOKUP($B7,'[11]Analisys QBR By Machine Report'!$C$109:$BD$166,2,FALSE)</f>
        <v>30240</v>
      </c>
      <c r="C7" s="14">
        <f ca="1">VLOOKUP($B7,[11]Dasboard_QBR_Report!$B$109:$BL$166,3,FALSE)</f>
        <v>10080</v>
      </c>
      <c r="D7" s="13">
        <f ca="1">VLOOKUP($B7,'[11]Analisys QBR By Machine Report'!$C$109:$BD$166,3,FALSE)</f>
        <v>25140</v>
      </c>
      <c r="E7" s="14">
        <f ca="1">VLOOKUP($B7,[11]Dasboard_QBR_Report!$B$109:$BL$166,5,FALSE)</f>
        <v>4980</v>
      </c>
      <c r="F7" s="13">
        <f t="shared" ca="1" si="0"/>
        <v>5100</v>
      </c>
      <c r="G7" s="13">
        <f t="shared" ca="1" si="1"/>
        <v>100</v>
      </c>
      <c r="H7" s="13">
        <f ca="1">VLOOKUP($B7,'[11]Analisys QBR By Machine Report'!$C$109:$BD$166,4,FALSE)</f>
        <v>100</v>
      </c>
      <c r="I7" s="13">
        <f ca="1">VLOOKUP($B7,'[11]Analisys QBR By Machine Report'!$C$109:$BD$166,5,FALSE)</f>
        <v>100</v>
      </c>
      <c r="J7" s="13">
        <f ca="1">VLOOKUP($B7,'[11]Analisys QBR By Machine Report'!$C$109:$BD$166,6,FALSE)</f>
        <v>0</v>
      </c>
      <c r="K7" s="13">
        <f ca="1">VLOOKUP($B7,'[11]Analisys QBR By Machine Report'!$C$109:$BD$166,7,FALSE)</f>
        <v>0</v>
      </c>
      <c r="L7" s="13">
        <f ca="1">VLOOKUP($B7,'[11]Analisys QBR By Machine Report'!$C$109:$BD$166,8,FALSE)</f>
        <v>5000</v>
      </c>
      <c r="M7" s="13">
        <f ca="1">VLOOKUP($B7,'[11]Analisys QBR By Machine Report'!$C$109:$BD$166,9,FALSE)</f>
        <v>1605</v>
      </c>
      <c r="N7" s="13">
        <f ca="1">VLOOKUP($B7,[11]Dasboard_QBR_Report!$B$109:$BL$166,18,FALSE)</f>
        <v>3395</v>
      </c>
      <c r="O7" s="13">
        <f ca="1">VLOOKUP($B7,'[11]Analisys QBR By Machine Report'!$C$109:$BD$166,10,FALSE)</f>
        <v>445</v>
      </c>
      <c r="P7" s="13">
        <f ca="1">VLOOKUP($B7,'[11]Analisys QBR By Machine Report'!$C$109:$BD$166,11,FALSE)</f>
        <v>420</v>
      </c>
      <c r="Q7" s="13">
        <f ca="1">VLOOKUP($B7,'[11]Analisys QBR By Machine Report'!$C$109:$BD$166,12,FALSE)</f>
        <v>10</v>
      </c>
      <c r="R7" s="13">
        <f ca="1">VLOOKUP($B7,'[11]Analisys QBR By Machine Report'!$C$109:$BD$166,13,FALSE)</f>
        <v>15</v>
      </c>
      <c r="S7" s="13">
        <f ca="1">VLOOKUP($B7,'[11]Analisys QBR By Machine Report'!$C$109:$BD$166,14,FALSE)</f>
        <v>0</v>
      </c>
      <c r="T7" s="13">
        <f ca="1">VLOOKUP($B7,'[11]Analisys QBR By Machine Report'!$C$109:$BD$166,15,FALSE)</f>
        <v>0</v>
      </c>
      <c r="U7" s="13">
        <f ca="1">VLOOKUP($B7,'[11]Analisys QBR By Machine Report'!$C$109:$BD$166,16,FALSE)</f>
        <v>0</v>
      </c>
      <c r="V7" s="13">
        <f ca="1">VLOOKUP($B7,'[11]Analisys QBR By Machine Report'!$C$109:$BD$166,17,FALSE)</f>
        <v>0</v>
      </c>
      <c r="W7" s="13">
        <f ca="1">VLOOKUP($B7,'[11]Analisys QBR By Machine Report'!$C$109:$BD$166,18,FALSE)</f>
        <v>0</v>
      </c>
      <c r="X7" s="13">
        <f ca="1">VLOOKUP($B7,'[11]Analisys QBR By Machine Report'!$C$109:$BD$166,19,FALSE)</f>
        <v>0</v>
      </c>
      <c r="Y7" s="13">
        <f ca="1">VLOOKUP($B7,'[11]Analisys QBR By Machine Report'!$C$109:$BD$166,20,FALSE)</f>
        <v>0</v>
      </c>
      <c r="Z7" s="13">
        <f ca="1">VLOOKUP($B7,'[11]Analisys QBR By Machine Report'!$C$109:$BD$166,21,FALSE)</f>
        <v>1780</v>
      </c>
      <c r="AA7" s="13">
        <f ca="1">VLOOKUP($B7,'[11]Analisys QBR By Machine Report'!$C$109:$BD$166,22,FALSE)</f>
        <v>845</v>
      </c>
      <c r="AB7" s="13">
        <f ca="1">VLOOKUP($B7,'[11]Analisys QBR By Machine Report'!$C$109:$BD$166,23,FALSE)</f>
        <v>790</v>
      </c>
      <c r="AC7" s="13">
        <f ca="1">VLOOKUP($B7,'[11]Analisys QBR By Machine Report'!$C$109:$BD$166,24,FALSE)</f>
        <v>65</v>
      </c>
      <c r="AD7" s="13">
        <f ca="1">VLOOKUP($B7,'[11]Analisys QBR By Machine Report'!$C$109:$BD$166,25,FALSE)</f>
        <v>0</v>
      </c>
      <c r="AE7" s="13">
        <f ca="1">VLOOKUP($B7,'[11]Analisys QBR By Machine Report'!$C$109:$BD$166,26,FALSE)</f>
        <v>80</v>
      </c>
      <c r="AF7" s="13">
        <f ca="1">VLOOKUP($B7,'[11]Analisys QBR By Machine Report'!$C$109:$BD$166,27,FALSE)</f>
        <v>0</v>
      </c>
      <c r="AG7" s="13">
        <f ca="1">VLOOKUP($B7,'[11]Analisys QBR By Machine Report'!$C$109:$BD$166,28,FALSE)</f>
        <v>0</v>
      </c>
      <c r="AH7" s="13">
        <f ca="1">VLOOKUP($B7,'[11]Analisys QBR By Machine Report'!$C$109:$BD$166,29,FALSE)</f>
        <v>0</v>
      </c>
      <c r="AI7" s="13">
        <f ca="1">VLOOKUP($B7,'[11]Analisys QBR By Machine Report'!$C$109:$BD$166,30,FALSE)</f>
        <v>1170</v>
      </c>
      <c r="AJ7" s="13">
        <f ca="1">VLOOKUP($B7,'[11]Analisys QBR By Machine Report'!$C$109:$BD$166,31,FALSE)</f>
        <v>0</v>
      </c>
      <c r="AK7" s="13">
        <f ca="1">VLOOKUP($B7,'[11]Analisys QBR By Machine Report'!$C$109:$BD$166,32,FALSE)</f>
        <v>0</v>
      </c>
      <c r="AL7" s="13">
        <f ca="1">VLOOKUP($B7,'[11]Analisys QBR By Machine Report'!$C$109:$BD$166,33,FALSE)</f>
        <v>270</v>
      </c>
      <c r="AM7" s="13">
        <f ca="1">VLOOKUP($B7,'[11]Analisys QBR By Machine Report'!$C$109:$BD$166,34,FALSE)</f>
        <v>0</v>
      </c>
      <c r="AN7" s="13">
        <f ca="1">VLOOKUP($B7,'[11]Analisys QBR By Machine Report'!$C$109:$BD$166,35,FALSE)</f>
        <v>195</v>
      </c>
      <c r="AO7" s="13">
        <f ca="1">VLOOKUP($B7,'[11]Analisys QBR By Machine Report'!$C$109:$BD$166,36,FALSE)</f>
        <v>390</v>
      </c>
      <c r="AP7" s="13">
        <f ca="1">VLOOKUP($B7,'[11]Analisys QBR By Machine Report'!$C$109:$BD$166,37,FALSE)</f>
        <v>75</v>
      </c>
      <c r="AQ7" s="13">
        <f ca="1">VLOOKUP($B7,'[11]Analisys QBR By Machine Report'!$C$109:$BD$166,38,FALSE)</f>
        <v>0</v>
      </c>
      <c r="AR7" s="13">
        <f ca="1">VLOOKUP($B7,'[11]Analisys QBR By Machine Report'!$C$109:$BD$166,39,FALSE)</f>
        <v>0</v>
      </c>
      <c r="AS7" s="13">
        <f ca="1">VLOOKUP($B7,'[11]Analisys QBR By Machine Report'!$C$109:$BD$166,40,FALSE)</f>
        <v>80</v>
      </c>
      <c r="AT7" s="13">
        <f ca="1">VLOOKUP($B7,'[11]Analisys QBR By Machine Report'!$C$109:$BD$166,41,FALSE)</f>
        <v>0</v>
      </c>
      <c r="AU7" s="13">
        <f ca="1">VLOOKUP($B7,'[11]Analisys QBR By Machine Report'!$C$109:$BD$166,42,FALSE)</f>
        <v>0</v>
      </c>
      <c r="AV7" s="13">
        <f ca="1">VLOOKUP($B7,'[11]Analisys QBR By Machine Report'!$C$109:$BD$166,43,FALSE)</f>
        <v>0</v>
      </c>
      <c r="AW7" s="13">
        <f ca="1">VLOOKUP($B7,'[11]Analisys QBR By Machine Report'!$C$109:$BD$166,44,FALSE)</f>
        <v>0</v>
      </c>
      <c r="AX7" s="13">
        <f ca="1">VLOOKUP($B7,'[11]Analisys QBR By Machine Report'!$C$109:$BD$166,45,FALSE)</f>
        <v>0</v>
      </c>
      <c r="AY7" s="13">
        <f ca="1">VLOOKUP($B7,'[11]Analisys QBR By Machine Report'!$C$109:$BD$166,46,FALSE)</f>
        <v>0</v>
      </c>
      <c r="AZ7" s="13">
        <f ca="1">VLOOKUP($B7,'[11]Analisys QBR By Machine Report'!$C$109:$BD$166,47,FALSE)</f>
        <v>160</v>
      </c>
      <c r="BA7" s="13">
        <f ca="1">VLOOKUP($B7,'[11]Analisys QBR By Machine Report'!$C$109:$BD$166,48,FALSE)</f>
        <v>0</v>
      </c>
      <c r="BB7" s="13">
        <f ca="1">VLOOKUP($B7,'[11]Analisys QBR By Machine Report'!$C$109:$BD$166,49,FALSE)</f>
        <v>0</v>
      </c>
      <c r="BC7" s="13">
        <f ca="1">VLOOKUP($B7,'[11]Analisys QBR By Machine Report'!$C$109:$BD$166,50,FALSE)</f>
        <v>0</v>
      </c>
      <c r="BD7" s="13">
        <f ca="1">VLOOKUP($B7,'[11]Analisys QBR By Machine Report'!$C$109:$BD$166,51,FALSE)</f>
        <v>488973</v>
      </c>
      <c r="BE7" s="13">
        <f ca="1">VLOOKUP($B7,'[11]Analisys QBR By Machine Report'!$C$109:$BD$166,52,FALSE)</f>
        <v>0</v>
      </c>
      <c r="BF7" s="13">
        <f ca="1">VLOOKUP($B7,'[11]Analisys QBR By Machine Report'!$C$109:$BD$166,53,FALSE)</f>
        <v>488973</v>
      </c>
    </row>
    <row r="8" spans="1:58" x14ac:dyDescent="0.25">
      <c r="A8" s="12" t="s">
        <v>64</v>
      </c>
      <c r="B8" s="13">
        <f ca="1">VLOOKUP($B8,'[11]Analisys QBR By Machine Report'!$C$109:$BD$166,2,FALSE)</f>
        <v>30240</v>
      </c>
      <c r="C8" s="14">
        <f ca="1">VLOOKUP($B8,[11]Dasboard_QBR_Report!$B$109:$BL$166,3,FALSE)</f>
        <v>10080</v>
      </c>
      <c r="D8" s="13">
        <f ca="1">VLOOKUP($B8,'[11]Analisys QBR By Machine Report'!$C$109:$BD$166,3,FALSE)</f>
        <v>28710</v>
      </c>
      <c r="E8" s="14">
        <f ca="1">VLOOKUP($B8,[11]Dasboard_QBR_Report!$B$109:$BL$166,5,FALSE)</f>
        <v>8550</v>
      </c>
      <c r="F8" s="13">
        <f t="shared" ca="1" si="0"/>
        <v>1530</v>
      </c>
      <c r="G8" s="13">
        <f t="shared" ca="1" si="1"/>
        <v>565</v>
      </c>
      <c r="H8" s="13">
        <f ca="1">VLOOKUP($B8,'[11]Analisys QBR By Machine Report'!$C$109:$BD$166,4,FALSE)</f>
        <v>565</v>
      </c>
      <c r="I8" s="13">
        <f ca="1">VLOOKUP($B8,'[11]Analisys QBR By Machine Report'!$C$109:$BD$166,5,FALSE)</f>
        <v>0</v>
      </c>
      <c r="J8" s="13">
        <f ca="1">VLOOKUP($B8,'[11]Analisys QBR By Machine Report'!$C$109:$BD$166,6,FALSE)</f>
        <v>565</v>
      </c>
      <c r="K8" s="13">
        <f ca="1">VLOOKUP($B8,'[11]Analisys QBR By Machine Report'!$C$109:$BD$166,7,FALSE)</f>
        <v>0</v>
      </c>
      <c r="L8" s="13">
        <f ca="1">VLOOKUP($B8,'[11]Analisys QBR By Machine Report'!$C$109:$BD$166,8,FALSE)</f>
        <v>965</v>
      </c>
      <c r="M8" s="13">
        <f ca="1">VLOOKUP($B8,'[11]Analisys QBR By Machine Report'!$C$109:$BD$166,9,FALSE)</f>
        <v>610</v>
      </c>
      <c r="N8" s="13">
        <f ca="1">VLOOKUP($B8,[11]Dasboard_QBR_Report!$B$109:$BL$166,18,FALSE)</f>
        <v>355</v>
      </c>
      <c r="O8" s="13">
        <f ca="1">VLOOKUP($B8,'[11]Analisys QBR By Machine Report'!$C$109:$BD$166,10,FALSE)</f>
        <v>90</v>
      </c>
      <c r="P8" s="13">
        <f ca="1">VLOOKUP($B8,'[11]Analisys QBR By Machine Report'!$C$109:$BD$166,11,FALSE)</f>
        <v>90</v>
      </c>
      <c r="Q8" s="13">
        <f ca="1">VLOOKUP($B8,'[11]Analisys QBR By Machine Report'!$C$109:$BD$166,12,FALSE)</f>
        <v>0</v>
      </c>
      <c r="R8" s="13">
        <f ca="1">VLOOKUP($B8,'[11]Analisys QBR By Machine Report'!$C$109:$BD$166,13,FALSE)</f>
        <v>0</v>
      </c>
      <c r="S8" s="13">
        <f ca="1">VLOOKUP($B8,'[11]Analisys QBR By Machine Report'!$C$109:$BD$166,14,FALSE)</f>
        <v>0</v>
      </c>
      <c r="T8" s="13">
        <f ca="1">VLOOKUP($B8,'[11]Analisys QBR By Machine Report'!$C$109:$BD$166,15,FALSE)</f>
        <v>0</v>
      </c>
      <c r="U8" s="13">
        <f ca="1">VLOOKUP($B8,'[11]Analisys QBR By Machine Report'!$C$109:$BD$166,16,FALSE)</f>
        <v>0</v>
      </c>
      <c r="V8" s="13">
        <f ca="1">VLOOKUP($B8,'[11]Analisys QBR By Machine Report'!$C$109:$BD$166,17,FALSE)</f>
        <v>0</v>
      </c>
      <c r="W8" s="13">
        <f ca="1">VLOOKUP($B8,'[11]Analisys QBR By Machine Report'!$C$109:$BD$166,18,FALSE)</f>
        <v>0</v>
      </c>
      <c r="X8" s="13">
        <f ca="1">VLOOKUP($B8,'[11]Analisys QBR By Machine Report'!$C$109:$BD$166,19,FALSE)</f>
        <v>0</v>
      </c>
      <c r="Y8" s="13">
        <f ca="1">VLOOKUP($B8,'[11]Analisys QBR By Machine Report'!$C$109:$BD$166,20,FALSE)</f>
        <v>0</v>
      </c>
      <c r="Z8" s="13">
        <f ca="1">VLOOKUP($B8,'[11]Analisys QBR By Machine Report'!$C$109:$BD$166,21,FALSE)</f>
        <v>155</v>
      </c>
      <c r="AA8" s="13">
        <f ca="1">VLOOKUP($B8,'[11]Analisys QBR By Machine Report'!$C$109:$BD$166,22,FALSE)</f>
        <v>40</v>
      </c>
      <c r="AB8" s="13">
        <f ca="1">VLOOKUP($B8,'[11]Analisys QBR By Machine Report'!$C$109:$BD$166,23,FALSE)</f>
        <v>90</v>
      </c>
      <c r="AC8" s="13">
        <f ca="1">VLOOKUP($B8,'[11]Analisys QBR By Machine Report'!$C$109:$BD$166,24,FALSE)</f>
        <v>0</v>
      </c>
      <c r="AD8" s="13">
        <f ca="1">VLOOKUP($B8,'[11]Analisys QBR By Machine Report'!$C$109:$BD$166,25,FALSE)</f>
        <v>0</v>
      </c>
      <c r="AE8" s="13">
        <f ca="1">VLOOKUP($B8,'[11]Analisys QBR By Machine Report'!$C$109:$BD$166,26,FALSE)</f>
        <v>25</v>
      </c>
      <c r="AF8" s="13">
        <f ca="1">VLOOKUP($B8,'[11]Analisys QBR By Machine Report'!$C$109:$BD$166,27,FALSE)</f>
        <v>0</v>
      </c>
      <c r="AG8" s="13">
        <f ca="1">VLOOKUP($B8,'[11]Analisys QBR By Machine Report'!$C$109:$BD$166,28,FALSE)</f>
        <v>0</v>
      </c>
      <c r="AH8" s="13">
        <f ca="1">VLOOKUP($B8,'[11]Analisys QBR By Machine Report'!$C$109:$BD$166,29,FALSE)</f>
        <v>0</v>
      </c>
      <c r="AI8" s="13">
        <f ca="1">VLOOKUP($B8,'[11]Analisys QBR By Machine Report'!$C$109:$BD$166,30,FALSE)</f>
        <v>110</v>
      </c>
      <c r="AJ8" s="13">
        <f ca="1">VLOOKUP($B8,'[11]Analisys QBR By Machine Report'!$C$109:$BD$166,31,FALSE)</f>
        <v>0</v>
      </c>
      <c r="AK8" s="13">
        <f ca="1">VLOOKUP($B8,'[11]Analisys QBR By Machine Report'!$C$109:$BD$166,32,FALSE)</f>
        <v>0</v>
      </c>
      <c r="AL8" s="13">
        <f ca="1">VLOOKUP($B8,'[11]Analisys QBR By Machine Report'!$C$109:$BD$166,33,FALSE)</f>
        <v>70</v>
      </c>
      <c r="AM8" s="13">
        <f ca="1">VLOOKUP($B8,'[11]Analisys QBR By Machine Report'!$C$109:$BD$166,34,FALSE)</f>
        <v>0</v>
      </c>
      <c r="AN8" s="13">
        <f ca="1">VLOOKUP($B8,'[11]Analisys QBR By Machine Report'!$C$109:$BD$166,35,FALSE)</f>
        <v>35</v>
      </c>
      <c r="AO8" s="13">
        <f ca="1">VLOOKUP($B8,'[11]Analisys QBR By Machine Report'!$C$109:$BD$166,36,FALSE)</f>
        <v>0</v>
      </c>
      <c r="AP8" s="13">
        <f ca="1">VLOOKUP($B8,'[11]Analisys QBR By Machine Report'!$C$109:$BD$166,37,FALSE)</f>
        <v>0</v>
      </c>
      <c r="AQ8" s="13">
        <f ca="1">VLOOKUP($B8,'[11]Analisys QBR By Machine Report'!$C$109:$BD$166,38,FALSE)</f>
        <v>0</v>
      </c>
      <c r="AR8" s="13">
        <f ca="1">VLOOKUP($B8,'[11]Analisys QBR By Machine Report'!$C$109:$BD$166,39,FALSE)</f>
        <v>0</v>
      </c>
      <c r="AS8" s="13">
        <f ca="1">VLOOKUP($B8,'[11]Analisys QBR By Machine Report'!$C$109:$BD$166,40,FALSE)</f>
        <v>5</v>
      </c>
      <c r="AT8" s="13">
        <f ca="1">VLOOKUP($B8,'[11]Analisys QBR By Machine Report'!$C$109:$BD$166,41,FALSE)</f>
        <v>0</v>
      </c>
      <c r="AU8" s="13">
        <f ca="1">VLOOKUP($B8,'[11]Analisys QBR By Machine Report'!$C$109:$BD$166,42,FALSE)</f>
        <v>0</v>
      </c>
      <c r="AV8" s="13">
        <f ca="1">VLOOKUP($B8,'[11]Analisys QBR By Machine Report'!$C$109:$BD$166,43,FALSE)</f>
        <v>0</v>
      </c>
      <c r="AW8" s="13">
        <f ca="1">VLOOKUP($B8,'[11]Analisys QBR By Machine Report'!$C$109:$BD$166,44,FALSE)</f>
        <v>0</v>
      </c>
      <c r="AX8" s="13">
        <f ca="1">VLOOKUP($B8,'[11]Analisys QBR By Machine Report'!$C$109:$BD$166,45,FALSE)</f>
        <v>0</v>
      </c>
      <c r="AY8" s="13">
        <f ca="1">VLOOKUP($B8,'[11]Analisys QBR By Machine Report'!$C$109:$BD$166,46,FALSE)</f>
        <v>0</v>
      </c>
      <c r="AZ8" s="13">
        <f ca="1">VLOOKUP($B8,'[11]Analisys QBR By Machine Report'!$C$109:$BD$166,47,FALSE)</f>
        <v>0</v>
      </c>
      <c r="BA8" s="13">
        <f ca="1">VLOOKUP($B8,'[11]Analisys QBR By Machine Report'!$C$109:$BD$166,48,FALSE)</f>
        <v>0</v>
      </c>
      <c r="BB8" s="13">
        <f ca="1">VLOOKUP($B8,'[11]Analisys QBR By Machine Report'!$C$109:$BD$166,49,FALSE)</f>
        <v>0</v>
      </c>
      <c r="BC8" s="13">
        <f ca="1">VLOOKUP($B8,'[11]Analisys QBR By Machine Report'!$C$109:$BD$166,50,FALSE)</f>
        <v>0</v>
      </c>
      <c r="BD8" s="13">
        <f ca="1">VLOOKUP($B8,'[11]Analisys QBR By Machine Report'!$C$109:$BD$166,51,FALSE)</f>
        <v>880885</v>
      </c>
      <c r="BE8" s="13">
        <f ca="1">VLOOKUP($B8,'[11]Analisys QBR By Machine Report'!$C$109:$BD$166,52,FALSE)</f>
        <v>0</v>
      </c>
      <c r="BF8" s="13">
        <f ca="1">VLOOKUP($B8,'[11]Analisys QBR By Machine Report'!$C$109:$BD$166,53,FALSE)</f>
        <v>880885</v>
      </c>
    </row>
    <row r="9" spans="1:58" x14ac:dyDescent="0.25">
      <c r="A9" s="9" t="s">
        <v>65</v>
      </c>
      <c r="B9" s="10">
        <f ca="1">VLOOKUP($B9,'[11]Analisys QBR By Machine Report'!$C$109:$BD$166,2,FALSE)</f>
        <v>92160</v>
      </c>
      <c r="C9" s="11">
        <f ca="1">VLOOKUP($B9,[11]Dasboard_QBR_Report!$B$109:$BL$166,3,FALSE)</f>
        <v>50070</v>
      </c>
      <c r="D9" s="10">
        <f ca="1">VLOOKUP($B9,'[11]Analisys QBR By Machine Report'!$C$109:$BD$166,3,FALSE)</f>
        <v>61830</v>
      </c>
      <c r="E9" s="11">
        <f ca="1">VLOOKUP($B9,[11]Dasboard_QBR_Report!$B$109:$BL$166,5,FALSE)</f>
        <v>19740</v>
      </c>
      <c r="F9" s="10">
        <f t="shared" ca="1" si="0"/>
        <v>30330</v>
      </c>
      <c r="G9" s="10">
        <f t="shared" ca="1" si="1"/>
        <v>3585</v>
      </c>
      <c r="H9" s="10">
        <f ca="1">VLOOKUP($B9,'[11]Analisys QBR By Machine Report'!$C$109:$BD$166,4,FALSE)</f>
        <v>3585</v>
      </c>
      <c r="I9" s="10">
        <f ca="1">VLOOKUP($B9,'[11]Analisys QBR By Machine Report'!$C$109:$BD$166,5,FALSE)</f>
        <v>220</v>
      </c>
      <c r="J9" s="10">
        <f ca="1">VLOOKUP($B9,'[11]Analisys QBR By Machine Report'!$C$109:$BD$166,6,FALSE)</f>
        <v>3365</v>
      </c>
      <c r="K9" s="10">
        <f ca="1">VLOOKUP($B9,'[11]Analisys QBR By Machine Report'!$C$109:$BD$166,7,FALSE)</f>
        <v>0</v>
      </c>
      <c r="L9" s="10">
        <f ca="1">VLOOKUP($B9,'[11]Analisys QBR By Machine Report'!$C$109:$BD$166,8,FALSE)</f>
        <v>26745</v>
      </c>
      <c r="M9" s="10">
        <f ca="1">VLOOKUP($B9,'[11]Analisys QBR By Machine Report'!$C$109:$BD$166,9,FALSE)</f>
        <v>8735</v>
      </c>
      <c r="N9" s="10">
        <f ca="1">VLOOKUP($B9,[11]Dasboard_QBR_Report!$B$109:$BL$166,18,FALSE)</f>
        <v>18010</v>
      </c>
      <c r="O9" s="10">
        <f ca="1">VLOOKUP($B9,'[11]Analisys QBR By Machine Report'!$C$109:$BD$166,10,FALSE)</f>
        <v>3305</v>
      </c>
      <c r="P9" s="10">
        <f ca="1">VLOOKUP($B9,'[11]Analisys QBR By Machine Report'!$C$109:$BD$166,11,FALSE)</f>
        <v>2115</v>
      </c>
      <c r="Q9" s="10">
        <f ca="1">VLOOKUP($B9,'[11]Analisys QBR By Machine Report'!$C$109:$BD$166,12,FALSE)</f>
        <v>0</v>
      </c>
      <c r="R9" s="10">
        <f ca="1">VLOOKUP($B9,'[11]Analisys QBR By Machine Report'!$C$109:$BD$166,13,FALSE)</f>
        <v>160</v>
      </c>
      <c r="S9" s="10">
        <f ca="1">VLOOKUP($B9,'[11]Analisys QBR By Machine Report'!$C$109:$BD$166,14,FALSE)</f>
        <v>1030</v>
      </c>
      <c r="T9" s="10">
        <f ca="1">VLOOKUP($B9,'[11]Analisys QBR By Machine Report'!$C$109:$BD$166,15,FALSE)</f>
        <v>225</v>
      </c>
      <c r="U9" s="10">
        <f ca="1">VLOOKUP($B9,'[11]Analisys QBR By Machine Report'!$C$109:$BD$166,16,FALSE)</f>
        <v>90</v>
      </c>
      <c r="V9" s="10">
        <f ca="1">VLOOKUP($B9,'[11]Analisys QBR By Machine Report'!$C$109:$BD$166,17,FALSE)</f>
        <v>135</v>
      </c>
      <c r="W9" s="10">
        <f ca="1">VLOOKUP($B9,'[11]Analisys QBR By Machine Report'!$C$109:$BD$166,18,FALSE)</f>
        <v>0</v>
      </c>
      <c r="X9" s="10">
        <f ca="1">VLOOKUP($B9,'[11]Analisys QBR By Machine Report'!$C$109:$BD$166,19,FALSE)</f>
        <v>0</v>
      </c>
      <c r="Y9" s="10">
        <f ca="1">VLOOKUP($B9,'[11]Analisys QBR By Machine Report'!$C$109:$BD$166,20,FALSE)</f>
        <v>0</v>
      </c>
      <c r="Z9" s="10">
        <f ca="1">VLOOKUP($B9,'[11]Analisys QBR By Machine Report'!$C$109:$BD$166,21,FALSE)</f>
        <v>4035</v>
      </c>
      <c r="AA9" s="10">
        <f ca="1">VLOOKUP($B9,'[11]Analisys QBR By Machine Report'!$C$109:$BD$166,22,FALSE)</f>
        <v>560</v>
      </c>
      <c r="AB9" s="10">
        <f ca="1">VLOOKUP($B9,'[11]Analisys QBR By Machine Report'!$C$109:$BD$166,23,FALSE)</f>
        <v>2430</v>
      </c>
      <c r="AC9" s="10">
        <f ca="1">VLOOKUP($B9,'[11]Analisys QBR By Machine Report'!$C$109:$BD$166,24,FALSE)</f>
        <v>45</v>
      </c>
      <c r="AD9" s="10">
        <f ca="1">VLOOKUP($B9,'[11]Analisys QBR By Machine Report'!$C$109:$BD$166,25,FALSE)</f>
        <v>0</v>
      </c>
      <c r="AE9" s="10">
        <f ca="1">VLOOKUP($B9,'[11]Analisys QBR By Machine Report'!$C$109:$BD$166,26,FALSE)</f>
        <v>1000</v>
      </c>
      <c r="AF9" s="10">
        <f ca="1">VLOOKUP($B9,'[11]Analisys QBR By Machine Report'!$C$109:$BD$166,27,FALSE)</f>
        <v>705</v>
      </c>
      <c r="AG9" s="10">
        <f ca="1">VLOOKUP($B9,'[11]Analisys QBR By Machine Report'!$C$109:$BD$166,28,FALSE)</f>
        <v>405</v>
      </c>
      <c r="AH9" s="10">
        <f ca="1">VLOOKUP($B9,'[11]Analisys QBR By Machine Report'!$C$109:$BD$166,29,FALSE)</f>
        <v>300</v>
      </c>
      <c r="AI9" s="10">
        <f ca="1">VLOOKUP($B9,'[11]Analisys QBR By Machine Report'!$C$109:$BD$166,30,FALSE)</f>
        <v>9740</v>
      </c>
      <c r="AJ9" s="10">
        <f ca="1">VLOOKUP($B9,'[11]Analisys QBR By Machine Report'!$C$109:$BD$166,31,FALSE)</f>
        <v>0</v>
      </c>
      <c r="AK9" s="10">
        <f ca="1">VLOOKUP($B9,'[11]Analisys QBR By Machine Report'!$C$109:$BD$166,32,FALSE)</f>
        <v>0</v>
      </c>
      <c r="AL9" s="10">
        <f ca="1">VLOOKUP($B9,'[11]Analisys QBR By Machine Report'!$C$109:$BD$166,33,FALSE)</f>
        <v>1640</v>
      </c>
      <c r="AM9" s="10">
        <f ca="1">VLOOKUP($B9,'[11]Analisys QBR By Machine Report'!$C$109:$BD$166,34,FALSE)</f>
        <v>0</v>
      </c>
      <c r="AN9" s="10">
        <f ca="1">VLOOKUP($B9,'[11]Analisys QBR By Machine Report'!$C$109:$BD$166,35,FALSE)</f>
        <v>1465</v>
      </c>
      <c r="AO9" s="10">
        <f ca="1">VLOOKUP($B9,'[11]Analisys QBR By Machine Report'!$C$109:$BD$166,36,FALSE)</f>
        <v>0</v>
      </c>
      <c r="AP9" s="10">
        <f ca="1">VLOOKUP($B9,'[11]Analisys QBR By Machine Report'!$C$109:$BD$166,37,FALSE)</f>
        <v>80</v>
      </c>
      <c r="AQ9" s="10">
        <f ca="1">VLOOKUP($B9,'[11]Analisys QBR By Machine Report'!$C$109:$BD$166,38,FALSE)</f>
        <v>0</v>
      </c>
      <c r="AR9" s="10">
        <f ca="1">VLOOKUP($B9,'[11]Analisys QBR By Machine Report'!$C$109:$BD$166,39,FALSE)</f>
        <v>2285</v>
      </c>
      <c r="AS9" s="10">
        <f ca="1">VLOOKUP($B9,'[11]Analisys QBR By Machine Report'!$C$109:$BD$166,40,FALSE)</f>
        <v>560</v>
      </c>
      <c r="AT9" s="10">
        <f ca="1">VLOOKUP($B9,'[11]Analisys QBR By Machine Report'!$C$109:$BD$166,41,FALSE)</f>
        <v>0</v>
      </c>
      <c r="AU9" s="10">
        <f ca="1">VLOOKUP($B9,'[11]Analisys QBR By Machine Report'!$C$109:$BD$166,42,FALSE)</f>
        <v>0</v>
      </c>
      <c r="AV9" s="10">
        <f ca="1">VLOOKUP($B9,'[11]Analisys QBR By Machine Report'!$C$109:$BD$166,43,FALSE)</f>
        <v>0</v>
      </c>
      <c r="AW9" s="10">
        <f ca="1">VLOOKUP($B9,'[11]Analisys QBR By Machine Report'!$C$109:$BD$166,44,FALSE)</f>
        <v>0</v>
      </c>
      <c r="AX9" s="10">
        <f ca="1">VLOOKUP($B9,'[11]Analisys QBR By Machine Report'!$C$109:$BD$166,45,FALSE)</f>
        <v>0</v>
      </c>
      <c r="AY9" s="10">
        <f ca="1">VLOOKUP($B9,'[11]Analisys QBR By Machine Report'!$C$109:$BD$166,46,FALSE)</f>
        <v>0</v>
      </c>
      <c r="AZ9" s="10">
        <f ca="1">VLOOKUP($B9,'[11]Analisys QBR By Machine Report'!$C$109:$BD$166,47,FALSE)</f>
        <v>2505</v>
      </c>
      <c r="BA9" s="10">
        <f ca="1">VLOOKUP($B9,'[11]Analisys QBR By Machine Report'!$C$109:$BD$166,48,FALSE)</f>
        <v>1205</v>
      </c>
      <c r="BB9" s="10">
        <f ca="1">VLOOKUP($B9,'[11]Analisys QBR By Machine Report'!$C$109:$BD$166,49,FALSE)</f>
        <v>0</v>
      </c>
      <c r="BC9" s="10">
        <f ca="1">VLOOKUP($B9,'[11]Analisys QBR By Machine Report'!$C$109:$BD$166,50,FALSE)</f>
        <v>0</v>
      </c>
      <c r="BD9" s="10">
        <f ca="1">VLOOKUP($B9,'[11]Analisys QBR By Machine Report'!$C$109:$BD$166,51,FALSE)</f>
        <v>6197892</v>
      </c>
      <c r="BE9" s="10">
        <f ca="1">VLOOKUP($B9,'[11]Analisys QBR By Machine Report'!$C$109:$BD$166,52,FALSE)</f>
        <v>47661</v>
      </c>
      <c r="BF9" s="10">
        <f ca="1">VLOOKUP($B9,'[11]Analisys QBR By Machine Report'!$C$109:$BD$166,53,FALSE)</f>
        <v>6150231</v>
      </c>
    </row>
    <row r="10" spans="1:58" x14ac:dyDescent="0.25">
      <c r="A10" s="12" t="s">
        <v>66</v>
      </c>
      <c r="B10" s="13">
        <f ca="1">VLOOKUP($B10,'[11]Analisys QBR By Machine Report'!$C$109:$BD$166,2,FALSE)</f>
        <v>31680</v>
      </c>
      <c r="C10" s="14">
        <f ca="1">VLOOKUP($B10,[11]Dasboard_QBR_Report!$B$109:$BL$166,3,FALSE)</f>
        <v>20460</v>
      </c>
      <c r="D10" s="13">
        <f ca="1">VLOOKUP($B10,'[11]Analisys QBR By Machine Report'!$C$109:$BD$166,3,FALSE)</f>
        <v>22740</v>
      </c>
      <c r="E10" s="14">
        <f ca="1">VLOOKUP($B10,[11]Dasboard_QBR_Report!$B$109:$BL$166,5,FALSE)</f>
        <v>11520</v>
      </c>
      <c r="F10" s="13">
        <f t="shared" ca="1" si="0"/>
        <v>8940</v>
      </c>
      <c r="G10" s="13">
        <f t="shared" ca="1" si="1"/>
        <v>780</v>
      </c>
      <c r="H10" s="13">
        <f ca="1">VLOOKUP($B10,'[11]Analisys QBR By Machine Report'!$C$109:$BD$166,4,FALSE)</f>
        <v>780</v>
      </c>
      <c r="I10" s="13">
        <f ca="1">VLOOKUP($B10,'[11]Analisys QBR By Machine Report'!$C$109:$BD$166,5,FALSE)</f>
        <v>60</v>
      </c>
      <c r="J10" s="13">
        <f ca="1">VLOOKUP($B10,'[11]Analisys QBR By Machine Report'!$C$109:$BD$166,6,FALSE)</f>
        <v>720</v>
      </c>
      <c r="K10" s="13">
        <f ca="1">VLOOKUP($B10,'[11]Analisys QBR By Machine Report'!$C$109:$BD$166,7,FALSE)</f>
        <v>0</v>
      </c>
      <c r="L10" s="13">
        <f ca="1">VLOOKUP($B10,'[11]Analisys QBR By Machine Report'!$C$109:$BD$166,8,FALSE)</f>
        <v>8160</v>
      </c>
      <c r="M10" s="13">
        <f ca="1">VLOOKUP($B10,'[11]Analisys QBR By Machine Report'!$C$109:$BD$166,9,FALSE)</f>
        <v>2550</v>
      </c>
      <c r="N10" s="13">
        <f ca="1">VLOOKUP($B10,[11]Dasboard_QBR_Report!$B$109:$BL$166,18,FALSE)</f>
        <v>5610</v>
      </c>
      <c r="O10" s="13">
        <f ca="1">VLOOKUP($B10,'[11]Analisys QBR By Machine Report'!$C$109:$BD$166,10,FALSE)</f>
        <v>710</v>
      </c>
      <c r="P10" s="13">
        <f ca="1">VLOOKUP($B10,'[11]Analisys QBR By Machine Report'!$C$109:$BD$166,11,FALSE)</f>
        <v>465</v>
      </c>
      <c r="Q10" s="13">
        <f ca="1">VLOOKUP($B10,'[11]Analisys QBR By Machine Report'!$C$109:$BD$166,12,FALSE)</f>
        <v>0</v>
      </c>
      <c r="R10" s="13">
        <f ca="1">VLOOKUP($B10,'[11]Analisys QBR By Machine Report'!$C$109:$BD$166,13,FALSE)</f>
        <v>25</v>
      </c>
      <c r="S10" s="13">
        <f ca="1">VLOOKUP($B10,'[11]Analisys QBR By Machine Report'!$C$109:$BD$166,14,FALSE)</f>
        <v>220</v>
      </c>
      <c r="T10" s="13">
        <f ca="1">VLOOKUP($B10,'[11]Analisys QBR By Machine Report'!$C$109:$BD$166,15,FALSE)</f>
        <v>225</v>
      </c>
      <c r="U10" s="13">
        <f ca="1">VLOOKUP($B10,'[11]Analisys QBR By Machine Report'!$C$109:$BD$166,16,FALSE)</f>
        <v>90</v>
      </c>
      <c r="V10" s="13">
        <f ca="1">VLOOKUP($B10,'[11]Analisys QBR By Machine Report'!$C$109:$BD$166,17,FALSE)</f>
        <v>135</v>
      </c>
      <c r="W10" s="13">
        <f ca="1">VLOOKUP($B10,'[11]Analisys QBR By Machine Report'!$C$109:$BD$166,18,FALSE)</f>
        <v>0</v>
      </c>
      <c r="X10" s="13">
        <f ca="1">VLOOKUP($B10,'[11]Analisys QBR By Machine Report'!$C$109:$BD$166,19,FALSE)</f>
        <v>0</v>
      </c>
      <c r="Y10" s="13">
        <f ca="1">VLOOKUP($B10,'[11]Analisys QBR By Machine Report'!$C$109:$BD$166,20,FALSE)</f>
        <v>0</v>
      </c>
      <c r="Z10" s="13">
        <f ca="1">VLOOKUP($B10,'[11]Analisys QBR By Machine Report'!$C$109:$BD$166,21,FALSE)</f>
        <v>1270</v>
      </c>
      <c r="AA10" s="13">
        <f ca="1">VLOOKUP($B10,'[11]Analisys QBR By Machine Report'!$C$109:$BD$166,22,FALSE)</f>
        <v>125</v>
      </c>
      <c r="AB10" s="13">
        <f ca="1">VLOOKUP($B10,'[11]Analisys QBR By Machine Report'!$C$109:$BD$166,23,FALSE)</f>
        <v>710</v>
      </c>
      <c r="AC10" s="13">
        <f ca="1">VLOOKUP($B10,'[11]Analisys QBR By Machine Report'!$C$109:$BD$166,24,FALSE)</f>
        <v>10</v>
      </c>
      <c r="AD10" s="13">
        <f ca="1">VLOOKUP($B10,'[11]Analisys QBR By Machine Report'!$C$109:$BD$166,25,FALSE)</f>
        <v>0</v>
      </c>
      <c r="AE10" s="13">
        <f ca="1">VLOOKUP($B10,'[11]Analisys QBR By Machine Report'!$C$109:$BD$166,26,FALSE)</f>
        <v>425</v>
      </c>
      <c r="AF10" s="13">
        <f ca="1">VLOOKUP($B10,'[11]Analisys QBR By Machine Report'!$C$109:$BD$166,27,FALSE)</f>
        <v>170</v>
      </c>
      <c r="AG10" s="13">
        <f ca="1">VLOOKUP($B10,'[11]Analisys QBR By Machine Report'!$C$109:$BD$166,28,FALSE)</f>
        <v>170</v>
      </c>
      <c r="AH10" s="13">
        <f ca="1">VLOOKUP($B10,'[11]Analisys QBR By Machine Report'!$C$109:$BD$166,29,FALSE)</f>
        <v>0</v>
      </c>
      <c r="AI10" s="13">
        <f ca="1">VLOOKUP($B10,'[11]Analisys QBR By Machine Report'!$C$109:$BD$166,30,FALSE)</f>
        <v>3235</v>
      </c>
      <c r="AJ10" s="13">
        <f ca="1">VLOOKUP($B10,'[11]Analisys QBR By Machine Report'!$C$109:$BD$166,31,FALSE)</f>
        <v>0</v>
      </c>
      <c r="AK10" s="13">
        <f ca="1">VLOOKUP($B10,'[11]Analisys QBR By Machine Report'!$C$109:$BD$166,32,FALSE)</f>
        <v>0</v>
      </c>
      <c r="AL10" s="13">
        <f ca="1">VLOOKUP($B10,'[11]Analisys QBR By Machine Report'!$C$109:$BD$166,33,FALSE)</f>
        <v>470</v>
      </c>
      <c r="AM10" s="13">
        <f ca="1">VLOOKUP($B10,'[11]Analisys QBR By Machine Report'!$C$109:$BD$166,34,FALSE)</f>
        <v>0</v>
      </c>
      <c r="AN10" s="13">
        <f ca="1">VLOOKUP($B10,'[11]Analisys QBR By Machine Report'!$C$109:$BD$166,35,FALSE)</f>
        <v>430</v>
      </c>
      <c r="AO10" s="13">
        <f ca="1">VLOOKUP($B10,'[11]Analisys QBR By Machine Report'!$C$109:$BD$166,36,FALSE)</f>
        <v>0</v>
      </c>
      <c r="AP10" s="13">
        <f ca="1">VLOOKUP($B10,'[11]Analisys QBR By Machine Report'!$C$109:$BD$166,37,FALSE)</f>
        <v>80</v>
      </c>
      <c r="AQ10" s="13">
        <f ca="1">VLOOKUP($B10,'[11]Analisys QBR By Machine Report'!$C$109:$BD$166,38,FALSE)</f>
        <v>0</v>
      </c>
      <c r="AR10" s="13">
        <f ca="1">VLOOKUP($B10,'[11]Analisys QBR By Machine Report'!$C$109:$BD$166,39,FALSE)</f>
        <v>1405</v>
      </c>
      <c r="AS10" s="13">
        <f ca="1">VLOOKUP($B10,'[11]Analisys QBR By Machine Report'!$C$109:$BD$166,40,FALSE)</f>
        <v>310</v>
      </c>
      <c r="AT10" s="13">
        <f ca="1">VLOOKUP($B10,'[11]Analisys QBR By Machine Report'!$C$109:$BD$166,41,FALSE)</f>
        <v>0</v>
      </c>
      <c r="AU10" s="13">
        <f ca="1">VLOOKUP($B10,'[11]Analisys QBR By Machine Report'!$C$109:$BD$166,42,FALSE)</f>
        <v>0</v>
      </c>
      <c r="AV10" s="13">
        <f ca="1">VLOOKUP($B10,'[11]Analisys QBR By Machine Report'!$C$109:$BD$166,43,FALSE)</f>
        <v>0</v>
      </c>
      <c r="AW10" s="13">
        <f ca="1">VLOOKUP($B10,'[11]Analisys QBR By Machine Report'!$C$109:$BD$166,44,FALSE)</f>
        <v>0</v>
      </c>
      <c r="AX10" s="13">
        <f ca="1">VLOOKUP($B10,'[11]Analisys QBR By Machine Report'!$C$109:$BD$166,45,FALSE)</f>
        <v>0</v>
      </c>
      <c r="AY10" s="13">
        <f ca="1">VLOOKUP($B10,'[11]Analisys QBR By Machine Report'!$C$109:$BD$166,46,FALSE)</f>
        <v>0</v>
      </c>
      <c r="AZ10" s="13">
        <f ca="1">VLOOKUP($B10,'[11]Analisys QBR By Machine Report'!$C$109:$BD$166,47,FALSE)</f>
        <v>540</v>
      </c>
      <c r="BA10" s="13">
        <f ca="1">VLOOKUP($B10,'[11]Analisys QBR By Machine Report'!$C$109:$BD$166,48,FALSE)</f>
        <v>0</v>
      </c>
      <c r="BB10" s="13">
        <f ca="1">VLOOKUP($B10,'[11]Analisys QBR By Machine Report'!$C$109:$BD$166,49,FALSE)</f>
        <v>0</v>
      </c>
      <c r="BC10" s="13">
        <f ca="1">VLOOKUP($B10,'[11]Analisys QBR By Machine Report'!$C$109:$BD$166,50,FALSE)</f>
        <v>0</v>
      </c>
      <c r="BD10" s="13">
        <f ca="1">VLOOKUP($B10,'[11]Analisys QBR By Machine Report'!$C$109:$BD$166,51,FALSE)</f>
        <v>2619210</v>
      </c>
      <c r="BE10" s="13">
        <f ca="1">VLOOKUP($B10,'[11]Analisys QBR By Machine Report'!$C$109:$BD$166,52,FALSE)</f>
        <v>2661</v>
      </c>
      <c r="BF10" s="13">
        <f ca="1">VLOOKUP($B10,'[11]Analisys QBR By Machine Report'!$C$109:$BD$166,53,FALSE)</f>
        <v>2616549</v>
      </c>
    </row>
    <row r="11" spans="1:58" x14ac:dyDescent="0.25">
      <c r="A11" s="12" t="s">
        <v>67</v>
      </c>
      <c r="B11" s="13">
        <f ca="1">VLOOKUP($B11,'[11]Analisys QBR By Machine Report'!$C$109:$BD$166,2,FALSE)</f>
        <v>30240</v>
      </c>
      <c r="C11" s="14">
        <f ca="1">VLOOKUP($B11,[11]Dasboard_QBR_Report!$B$109:$BL$166,3,FALSE)</f>
        <v>10080</v>
      </c>
      <c r="D11" s="13">
        <f ca="1">VLOOKUP($B11,'[11]Analisys QBR By Machine Report'!$C$109:$BD$166,3,FALSE)</f>
        <v>21840</v>
      </c>
      <c r="E11" s="14">
        <f ca="1">VLOOKUP($B11,[11]Dasboard_QBR_Report!$B$109:$BL$166,5,FALSE)</f>
        <v>1680</v>
      </c>
      <c r="F11" s="13">
        <f t="shared" ca="1" si="0"/>
        <v>8400</v>
      </c>
      <c r="G11" s="13">
        <f t="shared" ca="1" si="1"/>
        <v>815</v>
      </c>
      <c r="H11" s="13">
        <f ca="1">VLOOKUP($B11,'[11]Analisys QBR By Machine Report'!$C$109:$BD$166,4,FALSE)</f>
        <v>815</v>
      </c>
      <c r="I11" s="13">
        <f ca="1">VLOOKUP($B11,'[11]Analisys QBR By Machine Report'!$C$109:$BD$166,5,FALSE)</f>
        <v>20</v>
      </c>
      <c r="J11" s="13">
        <f ca="1">VLOOKUP($B11,'[11]Analisys QBR By Machine Report'!$C$109:$BD$166,6,FALSE)</f>
        <v>795</v>
      </c>
      <c r="K11" s="13">
        <f ca="1">VLOOKUP($B11,'[11]Analisys QBR By Machine Report'!$C$109:$BD$166,7,FALSE)</f>
        <v>0</v>
      </c>
      <c r="L11" s="13">
        <f ca="1">VLOOKUP($B11,'[11]Analisys QBR By Machine Report'!$C$109:$BD$166,8,FALSE)</f>
        <v>7585</v>
      </c>
      <c r="M11" s="13">
        <f ca="1">VLOOKUP($B11,'[11]Analisys QBR By Machine Report'!$C$109:$BD$166,9,FALSE)</f>
        <v>1850</v>
      </c>
      <c r="N11" s="13">
        <f ca="1">VLOOKUP($B11,[11]Dasboard_QBR_Report!$B$109:$BL$166,18,FALSE)</f>
        <v>5735</v>
      </c>
      <c r="O11" s="13">
        <f ca="1">VLOOKUP($B11,'[11]Analisys QBR By Machine Report'!$C$109:$BD$166,10,FALSE)</f>
        <v>900</v>
      </c>
      <c r="P11" s="13">
        <f ca="1">VLOOKUP($B11,'[11]Analisys QBR By Machine Report'!$C$109:$BD$166,11,FALSE)</f>
        <v>545</v>
      </c>
      <c r="Q11" s="13">
        <f ca="1">VLOOKUP($B11,'[11]Analisys QBR By Machine Report'!$C$109:$BD$166,12,FALSE)</f>
        <v>0</v>
      </c>
      <c r="R11" s="13">
        <f ca="1">VLOOKUP($B11,'[11]Analisys QBR By Machine Report'!$C$109:$BD$166,13,FALSE)</f>
        <v>60</v>
      </c>
      <c r="S11" s="13">
        <f ca="1">VLOOKUP($B11,'[11]Analisys QBR By Machine Report'!$C$109:$BD$166,14,FALSE)</f>
        <v>295</v>
      </c>
      <c r="T11" s="13">
        <f ca="1">VLOOKUP($B11,'[11]Analisys QBR By Machine Report'!$C$109:$BD$166,15,FALSE)</f>
        <v>0</v>
      </c>
      <c r="U11" s="13">
        <f ca="1">VLOOKUP($B11,'[11]Analisys QBR By Machine Report'!$C$109:$BD$166,16,FALSE)</f>
        <v>0</v>
      </c>
      <c r="V11" s="13">
        <f ca="1">VLOOKUP($B11,'[11]Analisys QBR By Machine Report'!$C$109:$BD$166,17,FALSE)</f>
        <v>0</v>
      </c>
      <c r="W11" s="13">
        <f ca="1">VLOOKUP($B11,'[11]Analisys QBR By Machine Report'!$C$109:$BD$166,18,FALSE)</f>
        <v>0</v>
      </c>
      <c r="X11" s="13">
        <f ca="1">VLOOKUP($B11,'[11]Analisys QBR By Machine Report'!$C$109:$BD$166,19,FALSE)</f>
        <v>0</v>
      </c>
      <c r="Y11" s="13">
        <f ca="1">VLOOKUP($B11,'[11]Analisys QBR By Machine Report'!$C$109:$BD$166,20,FALSE)</f>
        <v>0</v>
      </c>
      <c r="Z11" s="13">
        <f ca="1">VLOOKUP($B11,'[11]Analisys QBR By Machine Report'!$C$109:$BD$166,21,FALSE)</f>
        <v>1380</v>
      </c>
      <c r="AA11" s="13">
        <f ca="1">VLOOKUP($B11,'[11]Analisys QBR By Machine Report'!$C$109:$BD$166,22,FALSE)</f>
        <v>245</v>
      </c>
      <c r="AB11" s="13">
        <f ca="1">VLOOKUP($B11,'[11]Analisys QBR By Machine Report'!$C$109:$BD$166,23,FALSE)</f>
        <v>885</v>
      </c>
      <c r="AC11" s="13">
        <f ca="1">VLOOKUP($B11,'[11]Analisys QBR By Machine Report'!$C$109:$BD$166,24,FALSE)</f>
        <v>0</v>
      </c>
      <c r="AD11" s="13">
        <f ca="1">VLOOKUP($B11,'[11]Analisys QBR By Machine Report'!$C$109:$BD$166,25,FALSE)</f>
        <v>0</v>
      </c>
      <c r="AE11" s="13">
        <f ca="1">VLOOKUP($B11,'[11]Analisys QBR By Machine Report'!$C$109:$BD$166,26,FALSE)</f>
        <v>250</v>
      </c>
      <c r="AF11" s="13">
        <f ca="1">VLOOKUP($B11,'[11]Analisys QBR By Machine Report'!$C$109:$BD$166,27,FALSE)</f>
        <v>0</v>
      </c>
      <c r="AG11" s="13">
        <f ca="1">VLOOKUP($B11,'[11]Analisys QBR By Machine Report'!$C$109:$BD$166,28,FALSE)</f>
        <v>0</v>
      </c>
      <c r="AH11" s="13">
        <f ca="1">VLOOKUP($B11,'[11]Analisys QBR By Machine Report'!$C$109:$BD$166,29,FALSE)</f>
        <v>0</v>
      </c>
      <c r="AI11" s="13">
        <f ca="1">VLOOKUP($B11,'[11]Analisys QBR By Machine Report'!$C$109:$BD$166,30,FALSE)</f>
        <v>3455</v>
      </c>
      <c r="AJ11" s="13">
        <f ca="1">VLOOKUP($B11,'[11]Analisys QBR By Machine Report'!$C$109:$BD$166,31,FALSE)</f>
        <v>0</v>
      </c>
      <c r="AK11" s="13">
        <f ca="1">VLOOKUP($B11,'[11]Analisys QBR By Machine Report'!$C$109:$BD$166,32,FALSE)</f>
        <v>0</v>
      </c>
      <c r="AL11" s="13">
        <f ca="1">VLOOKUP($B11,'[11]Analisys QBR By Machine Report'!$C$109:$BD$166,33,FALSE)</f>
        <v>450</v>
      </c>
      <c r="AM11" s="13">
        <f ca="1">VLOOKUP($B11,'[11]Analisys QBR By Machine Report'!$C$109:$BD$166,34,FALSE)</f>
        <v>0</v>
      </c>
      <c r="AN11" s="13">
        <f ca="1">VLOOKUP($B11,'[11]Analisys QBR By Machine Report'!$C$109:$BD$166,35,FALSE)</f>
        <v>360</v>
      </c>
      <c r="AO11" s="13">
        <f ca="1">VLOOKUP($B11,'[11]Analisys QBR By Machine Report'!$C$109:$BD$166,36,FALSE)</f>
        <v>0</v>
      </c>
      <c r="AP11" s="13">
        <f ca="1">VLOOKUP($B11,'[11]Analisys QBR By Machine Report'!$C$109:$BD$166,37,FALSE)</f>
        <v>0</v>
      </c>
      <c r="AQ11" s="13">
        <f ca="1">VLOOKUP($B11,'[11]Analisys QBR By Machine Report'!$C$109:$BD$166,38,FALSE)</f>
        <v>0</v>
      </c>
      <c r="AR11" s="13">
        <f ca="1">VLOOKUP($B11,'[11]Analisys QBR By Machine Report'!$C$109:$BD$166,39,FALSE)</f>
        <v>200</v>
      </c>
      <c r="AS11" s="13">
        <f ca="1">VLOOKUP($B11,'[11]Analisys QBR By Machine Report'!$C$109:$BD$166,40,FALSE)</f>
        <v>105</v>
      </c>
      <c r="AT11" s="13">
        <f ca="1">VLOOKUP($B11,'[11]Analisys QBR By Machine Report'!$C$109:$BD$166,41,FALSE)</f>
        <v>0</v>
      </c>
      <c r="AU11" s="13">
        <f ca="1">VLOOKUP($B11,'[11]Analisys QBR By Machine Report'!$C$109:$BD$166,42,FALSE)</f>
        <v>0</v>
      </c>
      <c r="AV11" s="13">
        <f ca="1">VLOOKUP($B11,'[11]Analisys QBR By Machine Report'!$C$109:$BD$166,43,FALSE)</f>
        <v>0</v>
      </c>
      <c r="AW11" s="13">
        <f ca="1">VLOOKUP($B11,'[11]Analisys QBR By Machine Report'!$C$109:$BD$166,44,FALSE)</f>
        <v>0</v>
      </c>
      <c r="AX11" s="13">
        <f ca="1">VLOOKUP($B11,'[11]Analisys QBR By Machine Report'!$C$109:$BD$166,45,FALSE)</f>
        <v>0</v>
      </c>
      <c r="AY11" s="13">
        <f ca="1">VLOOKUP($B11,'[11]Analisys QBR By Machine Report'!$C$109:$BD$166,46,FALSE)</f>
        <v>0</v>
      </c>
      <c r="AZ11" s="13">
        <f ca="1">VLOOKUP($B11,'[11]Analisys QBR By Machine Report'!$C$109:$BD$166,47,FALSE)</f>
        <v>1240</v>
      </c>
      <c r="BA11" s="13">
        <f ca="1">VLOOKUP($B11,'[11]Analisys QBR By Machine Report'!$C$109:$BD$166,48,FALSE)</f>
        <v>1100</v>
      </c>
      <c r="BB11" s="13">
        <f ca="1">VLOOKUP($B11,'[11]Analisys QBR By Machine Report'!$C$109:$BD$166,49,FALSE)</f>
        <v>0</v>
      </c>
      <c r="BC11" s="13">
        <f ca="1">VLOOKUP($B11,'[11]Analisys QBR By Machine Report'!$C$109:$BD$166,50,FALSE)</f>
        <v>0</v>
      </c>
      <c r="BD11" s="13">
        <f ca="1">VLOOKUP($B11,'[11]Analisys QBR By Machine Report'!$C$109:$BD$166,51,FALSE)</f>
        <v>1634287</v>
      </c>
      <c r="BE11" s="13">
        <f ca="1">VLOOKUP($B11,'[11]Analisys QBR By Machine Report'!$C$109:$BD$166,52,FALSE)</f>
        <v>42348</v>
      </c>
      <c r="BF11" s="13">
        <f ca="1">VLOOKUP($B11,'[11]Analisys QBR By Machine Report'!$C$109:$BD$166,53,FALSE)</f>
        <v>1591939</v>
      </c>
    </row>
    <row r="12" spans="1:58" x14ac:dyDescent="0.25">
      <c r="A12" s="12" t="s">
        <v>68</v>
      </c>
      <c r="B12" s="13">
        <f ca="1">VLOOKUP($B12,'[11]Analisys QBR By Machine Report'!$C$109:$BD$166,2,FALSE)</f>
        <v>30240</v>
      </c>
      <c r="C12" s="14">
        <f ca="1">VLOOKUP($B12,[11]Dasboard_QBR_Report!$B$109:$BL$166,3,FALSE)</f>
        <v>19530</v>
      </c>
      <c r="D12" s="13">
        <f ca="1">VLOOKUP($B12,'[11]Analisys QBR By Machine Report'!$C$109:$BD$166,3,FALSE)</f>
        <v>17250</v>
      </c>
      <c r="E12" s="14">
        <f ca="1">VLOOKUP($B12,[11]Dasboard_QBR_Report!$B$109:$BL$166,5,FALSE)</f>
        <v>6540</v>
      </c>
      <c r="F12" s="13">
        <f t="shared" ca="1" si="0"/>
        <v>12990</v>
      </c>
      <c r="G12" s="13">
        <f t="shared" ca="1" si="1"/>
        <v>1990</v>
      </c>
      <c r="H12" s="13">
        <f ca="1">VLOOKUP($B12,'[11]Analisys QBR By Machine Report'!$C$109:$BD$166,4,FALSE)</f>
        <v>1990</v>
      </c>
      <c r="I12" s="13">
        <f ca="1">VLOOKUP($B12,'[11]Analisys QBR By Machine Report'!$C$109:$BD$166,5,FALSE)</f>
        <v>140</v>
      </c>
      <c r="J12" s="13">
        <f ca="1">VLOOKUP($B12,'[11]Analisys QBR By Machine Report'!$C$109:$BD$166,6,FALSE)</f>
        <v>1850</v>
      </c>
      <c r="K12" s="13">
        <f ca="1">VLOOKUP($B12,'[11]Analisys QBR By Machine Report'!$C$109:$BD$166,7,FALSE)</f>
        <v>0</v>
      </c>
      <c r="L12" s="13">
        <f ca="1">VLOOKUP($B12,'[11]Analisys QBR By Machine Report'!$C$109:$BD$166,8,FALSE)</f>
        <v>11000</v>
      </c>
      <c r="M12" s="13">
        <f ca="1">VLOOKUP($B12,'[11]Analisys QBR By Machine Report'!$C$109:$BD$166,9,FALSE)</f>
        <v>4335</v>
      </c>
      <c r="N12" s="13">
        <f ca="1">VLOOKUP($B12,[11]Dasboard_QBR_Report!$B$109:$BL$166,18,FALSE)</f>
        <v>6665</v>
      </c>
      <c r="O12" s="13">
        <f ca="1">VLOOKUP($B12,'[11]Analisys QBR By Machine Report'!$C$109:$BD$166,10,FALSE)</f>
        <v>1695</v>
      </c>
      <c r="P12" s="13">
        <f ca="1">VLOOKUP($B12,'[11]Analisys QBR By Machine Report'!$C$109:$BD$166,11,FALSE)</f>
        <v>1105</v>
      </c>
      <c r="Q12" s="13">
        <f ca="1">VLOOKUP($B12,'[11]Analisys QBR By Machine Report'!$C$109:$BD$166,12,FALSE)</f>
        <v>0</v>
      </c>
      <c r="R12" s="13">
        <f ca="1">VLOOKUP($B12,'[11]Analisys QBR By Machine Report'!$C$109:$BD$166,13,FALSE)</f>
        <v>75</v>
      </c>
      <c r="S12" s="13">
        <f ca="1">VLOOKUP($B12,'[11]Analisys QBR By Machine Report'!$C$109:$BD$166,14,FALSE)</f>
        <v>515</v>
      </c>
      <c r="T12" s="13">
        <f ca="1">VLOOKUP($B12,'[11]Analisys QBR By Machine Report'!$C$109:$BD$166,15,FALSE)</f>
        <v>0</v>
      </c>
      <c r="U12" s="13">
        <f ca="1">VLOOKUP($B12,'[11]Analisys QBR By Machine Report'!$C$109:$BD$166,16,FALSE)</f>
        <v>0</v>
      </c>
      <c r="V12" s="13">
        <f ca="1">VLOOKUP($B12,'[11]Analisys QBR By Machine Report'!$C$109:$BD$166,17,FALSE)</f>
        <v>0</v>
      </c>
      <c r="W12" s="13">
        <f ca="1">VLOOKUP($B12,'[11]Analisys QBR By Machine Report'!$C$109:$BD$166,18,FALSE)</f>
        <v>0</v>
      </c>
      <c r="X12" s="13">
        <f ca="1">VLOOKUP($B12,'[11]Analisys QBR By Machine Report'!$C$109:$BD$166,19,FALSE)</f>
        <v>0</v>
      </c>
      <c r="Y12" s="13">
        <f ca="1">VLOOKUP($B12,'[11]Analisys QBR By Machine Report'!$C$109:$BD$166,20,FALSE)</f>
        <v>0</v>
      </c>
      <c r="Z12" s="13">
        <f ca="1">VLOOKUP($B12,'[11]Analisys QBR By Machine Report'!$C$109:$BD$166,21,FALSE)</f>
        <v>1385</v>
      </c>
      <c r="AA12" s="13">
        <f ca="1">VLOOKUP($B12,'[11]Analisys QBR By Machine Report'!$C$109:$BD$166,22,FALSE)</f>
        <v>190</v>
      </c>
      <c r="AB12" s="13">
        <f ca="1">VLOOKUP($B12,'[11]Analisys QBR By Machine Report'!$C$109:$BD$166,23,FALSE)</f>
        <v>835</v>
      </c>
      <c r="AC12" s="13">
        <f ca="1">VLOOKUP($B12,'[11]Analisys QBR By Machine Report'!$C$109:$BD$166,24,FALSE)</f>
        <v>35</v>
      </c>
      <c r="AD12" s="13">
        <f ca="1">VLOOKUP($B12,'[11]Analisys QBR By Machine Report'!$C$109:$BD$166,25,FALSE)</f>
        <v>0</v>
      </c>
      <c r="AE12" s="13">
        <f ca="1">VLOOKUP($B12,'[11]Analisys QBR By Machine Report'!$C$109:$BD$166,26,FALSE)</f>
        <v>325</v>
      </c>
      <c r="AF12" s="13">
        <f ca="1">VLOOKUP($B12,'[11]Analisys QBR By Machine Report'!$C$109:$BD$166,27,FALSE)</f>
        <v>535</v>
      </c>
      <c r="AG12" s="13">
        <f ca="1">VLOOKUP($B12,'[11]Analisys QBR By Machine Report'!$C$109:$BD$166,28,FALSE)</f>
        <v>235</v>
      </c>
      <c r="AH12" s="13">
        <f ca="1">VLOOKUP($B12,'[11]Analisys QBR By Machine Report'!$C$109:$BD$166,29,FALSE)</f>
        <v>300</v>
      </c>
      <c r="AI12" s="13">
        <f ca="1">VLOOKUP($B12,'[11]Analisys QBR By Machine Report'!$C$109:$BD$166,30,FALSE)</f>
        <v>3050</v>
      </c>
      <c r="AJ12" s="13">
        <f ca="1">VLOOKUP($B12,'[11]Analisys QBR By Machine Report'!$C$109:$BD$166,31,FALSE)</f>
        <v>0</v>
      </c>
      <c r="AK12" s="13">
        <f ca="1">VLOOKUP($B12,'[11]Analisys QBR By Machine Report'!$C$109:$BD$166,32,FALSE)</f>
        <v>0</v>
      </c>
      <c r="AL12" s="13">
        <f ca="1">VLOOKUP($B12,'[11]Analisys QBR By Machine Report'!$C$109:$BD$166,33,FALSE)</f>
        <v>720</v>
      </c>
      <c r="AM12" s="13">
        <f ca="1">VLOOKUP($B12,'[11]Analisys QBR By Machine Report'!$C$109:$BD$166,34,FALSE)</f>
        <v>0</v>
      </c>
      <c r="AN12" s="13">
        <f ca="1">VLOOKUP($B12,'[11]Analisys QBR By Machine Report'!$C$109:$BD$166,35,FALSE)</f>
        <v>675</v>
      </c>
      <c r="AO12" s="13">
        <f ca="1">VLOOKUP($B12,'[11]Analisys QBR By Machine Report'!$C$109:$BD$166,36,FALSE)</f>
        <v>0</v>
      </c>
      <c r="AP12" s="13">
        <f ca="1">VLOOKUP($B12,'[11]Analisys QBR By Machine Report'!$C$109:$BD$166,37,FALSE)</f>
        <v>0</v>
      </c>
      <c r="AQ12" s="13">
        <f ca="1">VLOOKUP($B12,'[11]Analisys QBR By Machine Report'!$C$109:$BD$166,38,FALSE)</f>
        <v>0</v>
      </c>
      <c r="AR12" s="13">
        <f ca="1">VLOOKUP($B12,'[11]Analisys QBR By Machine Report'!$C$109:$BD$166,39,FALSE)</f>
        <v>680</v>
      </c>
      <c r="AS12" s="13">
        <f ca="1">VLOOKUP($B12,'[11]Analisys QBR By Machine Report'!$C$109:$BD$166,40,FALSE)</f>
        <v>145</v>
      </c>
      <c r="AT12" s="13">
        <f ca="1">VLOOKUP($B12,'[11]Analisys QBR By Machine Report'!$C$109:$BD$166,41,FALSE)</f>
        <v>0</v>
      </c>
      <c r="AU12" s="13">
        <f ca="1">VLOOKUP($B12,'[11]Analisys QBR By Machine Report'!$C$109:$BD$166,42,FALSE)</f>
        <v>0</v>
      </c>
      <c r="AV12" s="13">
        <f ca="1">VLOOKUP($B12,'[11]Analisys QBR By Machine Report'!$C$109:$BD$166,43,FALSE)</f>
        <v>0</v>
      </c>
      <c r="AW12" s="13">
        <f ca="1">VLOOKUP($B12,'[11]Analisys QBR By Machine Report'!$C$109:$BD$166,44,FALSE)</f>
        <v>0</v>
      </c>
      <c r="AX12" s="13">
        <f ca="1">VLOOKUP($B12,'[11]Analisys QBR By Machine Report'!$C$109:$BD$166,45,FALSE)</f>
        <v>0</v>
      </c>
      <c r="AY12" s="13">
        <f ca="1">VLOOKUP($B12,'[11]Analisys QBR By Machine Report'!$C$109:$BD$166,46,FALSE)</f>
        <v>0</v>
      </c>
      <c r="AZ12" s="13">
        <f ca="1">VLOOKUP($B12,'[11]Analisys QBR By Machine Report'!$C$109:$BD$166,47,FALSE)</f>
        <v>725</v>
      </c>
      <c r="BA12" s="13">
        <f ca="1">VLOOKUP($B12,'[11]Analisys QBR By Machine Report'!$C$109:$BD$166,48,FALSE)</f>
        <v>105</v>
      </c>
      <c r="BB12" s="13">
        <f ca="1">VLOOKUP($B12,'[11]Analisys QBR By Machine Report'!$C$109:$BD$166,49,FALSE)</f>
        <v>0</v>
      </c>
      <c r="BC12" s="13">
        <f ca="1">VLOOKUP($B12,'[11]Analisys QBR By Machine Report'!$C$109:$BD$166,50,FALSE)</f>
        <v>0</v>
      </c>
      <c r="BD12" s="13">
        <f ca="1">VLOOKUP($B12,'[11]Analisys QBR By Machine Report'!$C$109:$BD$166,51,FALSE)</f>
        <v>1944395</v>
      </c>
      <c r="BE12" s="13">
        <f ca="1">VLOOKUP($B12,'[11]Analisys QBR By Machine Report'!$C$109:$BD$166,52,FALSE)</f>
        <v>2652</v>
      </c>
      <c r="BF12" s="13">
        <f ca="1">VLOOKUP($B12,'[11]Analisys QBR By Machine Report'!$C$109:$BD$166,53,FALSE)</f>
        <v>1941743</v>
      </c>
    </row>
    <row r="13" spans="1:58" x14ac:dyDescent="0.25">
      <c r="A13" s="9" t="s">
        <v>69</v>
      </c>
      <c r="B13" s="10">
        <f ca="1">VLOOKUP($B13,'[11]Analisys QBR By Machine Report'!$C$109:$BD$166,2,FALSE)</f>
        <v>60480</v>
      </c>
      <c r="C13" s="11">
        <f ca="1">VLOOKUP($B13,[11]Dasboard_QBR_Report!$B$109:$BL$166,3,FALSE)</f>
        <v>20160</v>
      </c>
      <c r="D13" s="10">
        <f ca="1">VLOOKUP($B13,'[11]Analisys QBR By Machine Report'!$C$109:$BD$166,3,FALSE)</f>
        <v>49410</v>
      </c>
      <c r="E13" s="11">
        <f ca="1">VLOOKUP($B13,[11]Dasboard_QBR_Report!$B$109:$BL$166,5,FALSE)</f>
        <v>9090</v>
      </c>
      <c r="F13" s="10">
        <f t="shared" ca="1" si="0"/>
        <v>11070</v>
      </c>
      <c r="G13" s="10">
        <f t="shared" ca="1" si="1"/>
        <v>0</v>
      </c>
      <c r="H13" s="10">
        <f ca="1">VLOOKUP($B13,'[11]Analisys QBR By Machine Report'!$C$109:$BD$166,4,FALSE)</f>
        <v>0</v>
      </c>
      <c r="I13" s="10">
        <f ca="1">VLOOKUP($B13,'[11]Analisys QBR By Machine Report'!$C$109:$BD$166,5,FALSE)</f>
        <v>0</v>
      </c>
      <c r="J13" s="10">
        <f ca="1">VLOOKUP($B13,'[11]Analisys QBR By Machine Report'!$C$109:$BD$166,6,FALSE)</f>
        <v>0</v>
      </c>
      <c r="K13" s="10">
        <f ca="1">VLOOKUP($B13,'[11]Analisys QBR By Machine Report'!$C$109:$BD$166,7,FALSE)</f>
        <v>0</v>
      </c>
      <c r="L13" s="10">
        <f ca="1">VLOOKUP($B13,'[11]Analisys QBR By Machine Report'!$C$109:$BD$166,8,FALSE)</f>
        <v>11070</v>
      </c>
      <c r="M13" s="10">
        <f ca="1">VLOOKUP($B13,'[11]Analisys QBR By Machine Report'!$C$109:$BD$166,9,FALSE)</f>
        <v>4745</v>
      </c>
      <c r="N13" s="10">
        <f ca="1">VLOOKUP($B13,[11]Dasboard_QBR_Report!$B$109:$BL$166,18,FALSE)</f>
        <v>6325</v>
      </c>
      <c r="O13" s="10">
        <f ca="1">VLOOKUP($B13,'[11]Analisys QBR By Machine Report'!$C$109:$BD$166,10,FALSE)</f>
        <v>255</v>
      </c>
      <c r="P13" s="10">
        <f ca="1">VLOOKUP($B13,'[11]Analisys QBR By Machine Report'!$C$109:$BD$166,11,FALSE)</f>
        <v>155</v>
      </c>
      <c r="Q13" s="10">
        <f ca="1">VLOOKUP($B13,'[11]Analisys QBR By Machine Report'!$C$109:$BD$166,12,FALSE)</f>
        <v>0</v>
      </c>
      <c r="R13" s="10">
        <f ca="1">VLOOKUP($B13,'[11]Analisys QBR By Machine Report'!$C$109:$BD$166,13,FALSE)</f>
        <v>100</v>
      </c>
      <c r="S13" s="10">
        <f ca="1">VLOOKUP($B13,'[11]Analisys QBR By Machine Report'!$C$109:$BD$166,14,FALSE)</f>
        <v>0</v>
      </c>
      <c r="T13" s="10">
        <f ca="1">VLOOKUP($B13,'[11]Analisys QBR By Machine Report'!$C$109:$BD$166,15,FALSE)</f>
        <v>30</v>
      </c>
      <c r="U13" s="10">
        <f ca="1">VLOOKUP($B13,'[11]Analisys QBR By Machine Report'!$C$109:$BD$166,16,FALSE)</f>
        <v>0</v>
      </c>
      <c r="V13" s="10">
        <f ca="1">VLOOKUP($B13,'[11]Analisys QBR By Machine Report'!$C$109:$BD$166,17,FALSE)</f>
        <v>0</v>
      </c>
      <c r="W13" s="10">
        <f ca="1">VLOOKUP($B13,'[11]Analisys QBR By Machine Report'!$C$109:$BD$166,18,FALSE)</f>
        <v>0</v>
      </c>
      <c r="X13" s="10">
        <f ca="1">VLOOKUP($B13,'[11]Analisys QBR By Machine Report'!$C$109:$BD$166,19,FALSE)</f>
        <v>30</v>
      </c>
      <c r="Y13" s="10">
        <f ca="1">VLOOKUP($B13,'[11]Analisys QBR By Machine Report'!$C$109:$BD$166,20,FALSE)</f>
        <v>0</v>
      </c>
      <c r="Z13" s="10">
        <f ca="1">VLOOKUP($B13,'[11]Analisys QBR By Machine Report'!$C$109:$BD$166,21,FALSE)</f>
        <v>3790</v>
      </c>
      <c r="AA13" s="10">
        <f ca="1">VLOOKUP($B13,'[11]Analisys QBR By Machine Report'!$C$109:$BD$166,22,FALSE)</f>
        <v>1065</v>
      </c>
      <c r="AB13" s="10">
        <f ca="1">VLOOKUP($B13,'[11]Analisys QBR By Machine Report'!$C$109:$BD$166,23,FALSE)</f>
        <v>2400</v>
      </c>
      <c r="AC13" s="10">
        <f ca="1">VLOOKUP($B13,'[11]Analisys QBR By Machine Report'!$C$109:$BD$166,24,FALSE)</f>
        <v>0</v>
      </c>
      <c r="AD13" s="10">
        <f ca="1">VLOOKUP($B13,'[11]Analisys QBR By Machine Report'!$C$109:$BD$166,25,FALSE)</f>
        <v>0</v>
      </c>
      <c r="AE13" s="10">
        <f ca="1">VLOOKUP($B13,'[11]Analisys QBR By Machine Report'!$C$109:$BD$166,26,FALSE)</f>
        <v>325</v>
      </c>
      <c r="AF13" s="10">
        <f ca="1">VLOOKUP($B13,'[11]Analisys QBR By Machine Report'!$C$109:$BD$166,27,FALSE)</f>
        <v>0</v>
      </c>
      <c r="AG13" s="10">
        <f ca="1">VLOOKUP($B13,'[11]Analisys QBR By Machine Report'!$C$109:$BD$166,28,FALSE)</f>
        <v>0</v>
      </c>
      <c r="AH13" s="10">
        <f ca="1">VLOOKUP($B13,'[11]Analisys QBR By Machine Report'!$C$109:$BD$166,29,FALSE)</f>
        <v>0</v>
      </c>
      <c r="AI13" s="10">
        <f ca="1">VLOOKUP($B13,'[11]Analisys QBR By Machine Report'!$C$109:$BD$166,30,FALSE)</f>
        <v>2250</v>
      </c>
      <c r="AJ13" s="10">
        <f ca="1">VLOOKUP($B13,'[11]Analisys QBR By Machine Report'!$C$109:$BD$166,31,FALSE)</f>
        <v>0</v>
      </c>
      <c r="AK13" s="10">
        <f ca="1">VLOOKUP($B13,'[11]Analisys QBR By Machine Report'!$C$109:$BD$166,32,FALSE)</f>
        <v>0</v>
      </c>
      <c r="AL13" s="10">
        <f ca="1">VLOOKUP($B13,'[11]Analisys QBR By Machine Report'!$C$109:$BD$166,33,FALSE)</f>
        <v>635</v>
      </c>
      <c r="AM13" s="10">
        <f ca="1">VLOOKUP($B13,'[11]Analisys QBR By Machine Report'!$C$109:$BD$166,34,FALSE)</f>
        <v>0</v>
      </c>
      <c r="AN13" s="10">
        <f ca="1">VLOOKUP($B13,'[11]Analisys QBR By Machine Report'!$C$109:$BD$166,35,FALSE)</f>
        <v>585</v>
      </c>
      <c r="AO13" s="10">
        <f ca="1">VLOOKUP($B13,'[11]Analisys QBR By Machine Report'!$C$109:$BD$166,36,FALSE)</f>
        <v>0</v>
      </c>
      <c r="AP13" s="10">
        <f ca="1">VLOOKUP($B13,'[11]Analisys QBR By Machine Report'!$C$109:$BD$166,37,FALSE)</f>
        <v>30</v>
      </c>
      <c r="AQ13" s="10">
        <f ca="1">VLOOKUP($B13,'[11]Analisys QBR By Machine Report'!$C$109:$BD$166,38,FALSE)</f>
        <v>0</v>
      </c>
      <c r="AR13" s="10">
        <f ca="1">VLOOKUP($B13,'[11]Analisys QBR By Machine Report'!$C$109:$BD$166,39,FALSE)</f>
        <v>425</v>
      </c>
      <c r="AS13" s="10">
        <f ca="1">VLOOKUP($B13,'[11]Analisys QBR By Machine Report'!$C$109:$BD$166,40,FALSE)</f>
        <v>395</v>
      </c>
      <c r="AT13" s="10">
        <f ca="1">VLOOKUP($B13,'[11]Analisys QBR By Machine Report'!$C$109:$BD$166,41,FALSE)</f>
        <v>0</v>
      </c>
      <c r="AU13" s="10">
        <f ca="1">VLOOKUP($B13,'[11]Analisys QBR By Machine Report'!$C$109:$BD$166,42,FALSE)</f>
        <v>0</v>
      </c>
      <c r="AV13" s="10">
        <f ca="1">VLOOKUP($B13,'[11]Analisys QBR By Machine Report'!$C$109:$BD$166,43,FALSE)</f>
        <v>0</v>
      </c>
      <c r="AW13" s="10">
        <f ca="1">VLOOKUP($B13,'[11]Analisys QBR By Machine Report'!$C$109:$BD$166,44,FALSE)</f>
        <v>0</v>
      </c>
      <c r="AX13" s="10">
        <f ca="1">VLOOKUP($B13,'[11]Analisys QBR By Machine Report'!$C$109:$BD$166,45,FALSE)</f>
        <v>0</v>
      </c>
      <c r="AY13" s="10">
        <f ca="1">VLOOKUP($B13,'[11]Analisys QBR By Machine Report'!$C$109:$BD$166,46,FALSE)</f>
        <v>0</v>
      </c>
      <c r="AZ13" s="10">
        <f ca="1">VLOOKUP($B13,'[11]Analisys QBR By Machine Report'!$C$109:$BD$166,47,FALSE)</f>
        <v>170</v>
      </c>
      <c r="BA13" s="10">
        <f ca="1">VLOOKUP($B13,'[11]Analisys QBR By Machine Report'!$C$109:$BD$166,48,FALSE)</f>
        <v>10</v>
      </c>
      <c r="BB13" s="10">
        <f ca="1">VLOOKUP($B13,'[11]Analisys QBR By Machine Report'!$C$109:$BD$166,49,FALSE)</f>
        <v>0</v>
      </c>
      <c r="BC13" s="10">
        <f ca="1">VLOOKUP($B13,'[11]Analisys QBR By Machine Report'!$C$109:$BD$166,50,FALSE)</f>
        <v>0</v>
      </c>
      <c r="BD13" s="10">
        <f ca="1">VLOOKUP($B13,'[11]Analisys QBR By Machine Report'!$C$109:$BD$166,51,FALSE)</f>
        <v>2540.4299999999998</v>
      </c>
      <c r="BE13" s="10">
        <f ca="1">VLOOKUP($B13,'[11]Analisys QBR By Machine Report'!$C$109:$BD$166,52,FALSE)</f>
        <v>1.05</v>
      </c>
      <c r="BF13" s="10">
        <f ca="1">VLOOKUP($B13,'[11]Analisys QBR By Machine Report'!$C$109:$BD$166,53,FALSE)</f>
        <v>2539.38</v>
      </c>
    </row>
    <row r="14" spans="1:58" x14ac:dyDescent="0.25">
      <c r="A14" s="12" t="s">
        <v>70</v>
      </c>
      <c r="B14" s="13">
        <f ca="1">VLOOKUP($B14,'[11]Analisys QBR By Machine Report'!$C$109:$BD$166,2,FALSE)</f>
        <v>30240</v>
      </c>
      <c r="C14" s="14">
        <f ca="1">VLOOKUP($B14,[11]Dasboard_QBR_Report!$B$109:$BL$166,3,FALSE)</f>
        <v>10080</v>
      </c>
      <c r="D14" s="13">
        <f ca="1">VLOOKUP($B14,'[11]Analisys QBR By Machine Report'!$C$109:$BD$166,3,FALSE)</f>
        <v>25560</v>
      </c>
      <c r="E14" s="14">
        <f ca="1">VLOOKUP($B14,[11]Dasboard_QBR_Report!$B$109:$BL$166,5,FALSE)</f>
        <v>5400</v>
      </c>
      <c r="F14" s="13">
        <f t="shared" ca="1" si="0"/>
        <v>4680</v>
      </c>
      <c r="G14" s="13">
        <f t="shared" ca="1" si="1"/>
        <v>0</v>
      </c>
      <c r="H14" s="13">
        <f ca="1">VLOOKUP($B14,'[11]Analisys QBR By Machine Report'!$C$109:$BD$166,4,FALSE)</f>
        <v>0</v>
      </c>
      <c r="I14" s="13">
        <f ca="1">VLOOKUP($B14,'[11]Analisys QBR By Machine Report'!$C$109:$BD$166,5,FALSE)</f>
        <v>0</v>
      </c>
      <c r="J14" s="13">
        <f ca="1">VLOOKUP($B14,'[11]Analisys QBR By Machine Report'!$C$109:$BD$166,6,FALSE)</f>
        <v>0</v>
      </c>
      <c r="K14" s="13">
        <f ca="1">VLOOKUP($B14,'[11]Analisys QBR By Machine Report'!$C$109:$BD$166,7,FALSE)</f>
        <v>0</v>
      </c>
      <c r="L14" s="13">
        <f ca="1">VLOOKUP($B14,'[11]Analisys QBR By Machine Report'!$C$109:$BD$166,8,FALSE)</f>
        <v>4680</v>
      </c>
      <c r="M14" s="13">
        <f ca="1">VLOOKUP($B14,'[11]Analisys QBR By Machine Report'!$C$109:$BD$166,9,FALSE)</f>
        <v>1825</v>
      </c>
      <c r="N14" s="13">
        <f ca="1">VLOOKUP($B14,[11]Dasboard_QBR_Report!$B$109:$BL$166,18,FALSE)</f>
        <v>2855</v>
      </c>
      <c r="O14" s="13">
        <f ca="1">VLOOKUP($B14,'[11]Analisys QBR By Machine Report'!$C$109:$BD$166,10,FALSE)</f>
        <v>170</v>
      </c>
      <c r="P14" s="13">
        <f ca="1">VLOOKUP($B14,'[11]Analisys QBR By Machine Report'!$C$109:$BD$166,11,FALSE)</f>
        <v>100</v>
      </c>
      <c r="Q14" s="13">
        <f ca="1">VLOOKUP($B14,'[11]Analisys QBR By Machine Report'!$C$109:$BD$166,12,FALSE)</f>
        <v>0</v>
      </c>
      <c r="R14" s="13">
        <f ca="1">VLOOKUP($B14,'[11]Analisys QBR By Machine Report'!$C$109:$BD$166,13,FALSE)</f>
        <v>70</v>
      </c>
      <c r="S14" s="13">
        <f ca="1">VLOOKUP($B14,'[11]Analisys QBR By Machine Report'!$C$109:$BD$166,14,FALSE)</f>
        <v>0</v>
      </c>
      <c r="T14" s="13">
        <f ca="1">VLOOKUP($B14,'[11]Analisys QBR By Machine Report'!$C$109:$BD$166,15,FALSE)</f>
        <v>30</v>
      </c>
      <c r="U14" s="13">
        <f ca="1">VLOOKUP($B14,'[11]Analisys QBR By Machine Report'!$C$109:$BD$166,16,FALSE)</f>
        <v>0</v>
      </c>
      <c r="V14" s="13">
        <f ca="1">VLOOKUP($B14,'[11]Analisys QBR By Machine Report'!$C$109:$BD$166,17,FALSE)</f>
        <v>0</v>
      </c>
      <c r="W14" s="13">
        <f ca="1">VLOOKUP($B14,'[11]Analisys QBR By Machine Report'!$C$109:$BD$166,18,FALSE)</f>
        <v>0</v>
      </c>
      <c r="X14" s="13">
        <f ca="1">VLOOKUP($B14,'[11]Analisys QBR By Machine Report'!$C$109:$BD$166,19,FALSE)</f>
        <v>30</v>
      </c>
      <c r="Y14" s="13">
        <f ca="1">VLOOKUP($B14,'[11]Analisys QBR By Machine Report'!$C$109:$BD$166,20,FALSE)</f>
        <v>0</v>
      </c>
      <c r="Z14" s="13">
        <f ca="1">VLOOKUP($B14,'[11]Analisys QBR By Machine Report'!$C$109:$BD$166,21,FALSE)</f>
        <v>1695</v>
      </c>
      <c r="AA14" s="13">
        <f ca="1">VLOOKUP($B14,'[11]Analisys QBR By Machine Report'!$C$109:$BD$166,22,FALSE)</f>
        <v>465</v>
      </c>
      <c r="AB14" s="13">
        <f ca="1">VLOOKUP($B14,'[11]Analisys QBR By Machine Report'!$C$109:$BD$166,23,FALSE)</f>
        <v>1095</v>
      </c>
      <c r="AC14" s="13">
        <f ca="1">VLOOKUP($B14,'[11]Analisys QBR By Machine Report'!$C$109:$BD$166,24,FALSE)</f>
        <v>0</v>
      </c>
      <c r="AD14" s="13">
        <f ca="1">VLOOKUP($B14,'[11]Analisys QBR By Machine Report'!$C$109:$BD$166,25,FALSE)</f>
        <v>0</v>
      </c>
      <c r="AE14" s="13">
        <f ca="1">VLOOKUP($B14,'[11]Analisys QBR By Machine Report'!$C$109:$BD$166,26,FALSE)</f>
        <v>135</v>
      </c>
      <c r="AF14" s="13">
        <f ca="1">VLOOKUP($B14,'[11]Analisys QBR By Machine Report'!$C$109:$BD$166,27,FALSE)</f>
        <v>0</v>
      </c>
      <c r="AG14" s="13">
        <f ca="1">VLOOKUP($B14,'[11]Analisys QBR By Machine Report'!$C$109:$BD$166,28,FALSE)</f>
        <v>0</v>
      </c>
      <c r="AH14" s="13">
        <f ca="1">VLOOKUP($B14,'[11]Analisys QBR By Machine Report'!$C$109:$BD$166,29,FALSE)</f>
        <v>0</v>
      </c>
      <c r="AI14" s="13">
        <f ca="1">VLOOKUP($B14,'[11]Analisys QBR By Machine Report'!$C$109:$BD$166,30,FALSE)</f>
        <v>960</v>
      </c>
      <c r="AJ14" s="13">
        <f ca="1">VLOOKUP($B14,'[11]Analisys QBR By Machine Report'!$C$109:$BD$166,31,FALSE)</f>
        <v>0</v>
      </c>
      <c r="AK14" s="13">
        <f ca="1">VLOOKUP($B14,'[11]Analisys QBR By Machine Report'!$C$109:$BD$166,32,FALSE)</f>
        <v>0</v>
      </c>
      <c r="AL14" s="13">
        <f ca="1">VLOOKUP($B14,'[11]Analisys QBR By Machine Report'!$C$109:$BD$166,33,FALSE)</f>
        <v>240</v>
      </c>
      <c r="AM14" s="13">
        <f ca="1">VLOOKUP($B14,'[11]Analisys QBR By Machine Report'!$C$109:$BD$166,34,FALSE)</f>
        <v>0</v>
      </c>
      <c r="AN14" s="13">
        <f ca="1">VLOOKUP($B14,'[11]Analisys QBR By Machine Report'!$C$109:$BD$166,35,FALSE)</f>
        <v>290</v>
      </c>
      <c r="AO14" s="13">
        <f ca="1">VLOOKUP($B14,'[11]Analisys QBR By Machine Report'!$C$109:$BD$166,36,FALSE)</f>
        <v>0</v>
      </c>
      <c r="AP14" s="13">
        <f ca="1">VLOOKUP($B14,'[11]Analisys QBR By Machine Report'!$C$109:$BD$166,37,FALSE)</f>
        <v>30</v>
      </c>
      <c r="AQ14" s="13">
        <f ca="1">VLOOKUP($B14,'[11]Analisys QBR By Machine Report'!$C$109:$BD$166,38,FALSE)</f>
        <v>0</v>
      </c>
      <c r="AR14" s="13">
        <f ca="1">VLOOKUP($B14,'[11]Analisys QBR By Machine Report'!$C$109:$BD$166,39,FALSE)</f>
        <v>165</v>
      </c>
      <c r="AS14" s="13">
        <f ca="1">VLOOKUP($B14,'[11]Analisys QBR By Machine Report'!$C$109:$BD$166,40,FALSE)</f>
        <v>185</v>
      </c>
      <c r="AT14" s="13">
        <f ca="1">VLOOKUP($B14,'[11]Analisys QBR By Machine Report'!$C$109:$BD$166,41,FALSE)</f>
        <v>0</v>
      </c>
      <c r="AU14" s="13">
        <f ca="1">VLOOKUP($B14,'[11]Analisys QBR By Machine Report'!$C$109:$BD$166,42,FALSE)</f>
        <v>0</v>
      </c>
      <c r="AV14" s="13">
        <f ca="1">VLOOKUP($B14,'[11]Analisys QBR By Machine Report'!$C$109:$BD$166,43,FALSE)</f>
        <v>0</v>
      </c>
      <c r="AW14" s="13">
        <f ca="1">VLOOKUP($B14,'[11]Analisys QBR By Machine Report'!$C$109:$BD$166,44,FALSE)</f>
        <v>0</v>
      </c>
      <c r="AX14" s="13">
        <f ca="1">VLOOKUP($B14,'[11]Analisys QBR By Machine Report'!$C$109:$BD$166,45,FALSE)</f>
        <v>0</v>
      </c>
      <c r="AY14" s="13">
        <f ca="1">VLOOKUP($B14,'[11]Analisys QBR By Machine Report'!$C$109:$BD$166,46,FALSE)</f>
        <v>0</v>
      </c>
      <c r="AZ14" s="13">
        <f ca="1">VLOOKUP($B14,'[11]Analisys QBR By Machine Report'!$C$109:$BD$166,47,FALSE)</f>
        <v>50</v>
      </c>
      <c r="BA14" s="13">
        <f ca="1">VLOOKUP($B14,'[11]Analisys QBR By Machine Report'!$C$109:$BD$166,48,FALSE)</f>
        <v>0</v>
      </c>
      <c r="BB14" s="13">
        <f ca="1">VLOOKUP($B14,'[11]Analisys QBR By Machine Report'!$C$109:$BD$166,49,FALSE)</f>
        <v>0</v>
      </c>
      <c r="BC14" s="13">
        <f ca="1">VLOOKUP($B14,'[11]Analisys QBR By Machine Report'!$C$109:$BD$166,50,FALSE)</f>
        <v>0</v>
      </c>
      <c r="BD14" s="13">
        <f ca="1">VLOOKUP($B14,'[11]Analisys QBR By Machine Report'!$C$109:$BD$166,51,FALSE)</f>
        <v>423.32</v>
      </c>
      <c r="BE14" s="13">
        <f ca="1">VLOOKUP($B14,'[11]Analisys QBR By Machine Report'!$C$109:$BD$166,52,FALSE)</f>
        <v>0.26</v>
      </c>
      <c r="BF14" s="13">
        <f ca="1">VLOOKUP($B14,'[11]Analisys QBR By Machine Report'!$C$109:$BD$166,53,FALSE)</f>
        <v>423.06</v>
      </c>
    </row>
    <row r="15" spans="1:58" x14ac:dyDescent="0.25">
      <c r="A15" s="12" t="s">
        <v>71</v>
      </c>
      <c r="B15" s="13">
        <f ca="1">VLOOKUP($B15,'[11]Analisys QBR By Machine Report'!$C$109:$BD$166,2,FALSE)</f>
        <v>30240</v>
      </c>
      <c r="C15" s="14">
        <f ca="1">VLOOKUP($B15,[11]Dasboard_QBR_Report!$B$109:$BL$166,3,FALSE)</f>
        <v>10080</v>
      </c>
      <c r="D15" s="13">
        <f ca="1">VLOOKUP($B15,'[11]Analisys QBR By Machine Report'!$C$109:$BD$166,3,FALSE)</f>
        <v>23850</v>
      </c>
      <c r="E15" s="14">
        <f ca="1">VLOOKUP($B15,[11]Dasboard_QBR_Report!$B$109:$BL$166,5,FALSE)</f>
        <v>3690</v>
      </c>
      <c r="F15" s="13">
        <f t="shared" ca="1" si="0"/>
        <v>6390</v>
      </c>
      <c r="G15" s="13">
        <f t="shared" ca="1" si="1"/>
        <v>0</v>
      </c>
      <c r="H15" s="13">
        <f ca="1">VLOOKUP($B15,'[11]Analisys QBR By Machine Report'!$C$109:$BD$166,4,FALSE)</f>
        <v>0</v>
      </c>
      <c r="I15" s="13">
        <f ca="1">VLOOKUP($B15,'[11]Analisys QBR By Machine Report'!$C$109:$BD$166,5,FALSE)</f>
        <v>0</v>
      </c>
      <c r="J15" s="13">
        <f ca="1">VLOOKUP($B15,'[11]Analisys QBR By Machine Report'!$C$109:$BD$166,6,FALSE)</f>
        <v>0</v>
      </c>
      <c r="K15" s="13">
        <f ca="1">VLOOKUP($B15,'[11]Analisys QBR By Machine Report'!$C$109:$BD$166,7,FALSE)</f>
        <v>0</v>
      </c>
      <c r="L15" s="13">
        <f ca="1">VLOOKUP($B15,'[11]Analisys QBR By Machine Report'!$C$109:$BD$166,8,FALSE)</f>
        <v>6390</v>
      </c>
      <c r="M15" s="13">
        <f ca="1">VLOOKUP($B15,'[11]Analisys QBR By Machine Report'!$C$109:$BD$166,9,FALSE)</f>
        <v>2920</v>
      </c>
      <c r="N15" s="13">
        <f ca="1">VLOOKUP($B15,[11]Dasboard_QBR_Report!$B$109:$BL$166,18,FALSE)</f>
        <v>3470</v>
      </c>
      <c r="O15" s="13">
        <f ca="1">VLOOKUP($B15,'[11]Analisys QBR By Machine Report'!$C$109:$BD$166,10,FALSE)</f>
        <v>85</v>
      </c>
      <c r="P15" s="13">
        <f ca="1">VLOOKUP($B15,'[11]Analisys QBR By Machine Report'!$C$109:$BD$166,11,FALSE)</f>
        <v>55</v>
      </c>
      <c r="Q15" s="13">
        <f ca="1">VLOOKUP($B15,'[11]Analisys QBR By Machine Report'!$C$109:$BD$166,12,FALSE)</f>
        <v>0</v>
      </c>
      <c r="R15" s="13">
        <f ca="1">VLOOKUP($B15,'[11]Analisys QBR By Machine Report'!$C$109:$BD$166,13,FALSE)</f>
        <v>30</v>
      </c>
      <c r="S15" s="13">
        <f ca="1">VLOOKUP($B15,'[11]Analisys QBR By Machine Report'!$C$109:$BD$166,14,FALSE)</f>
        <v>0</v>
      </c>
      <c r="T15" s="13">
        <f ca="1">VLOOKUP($B15,'[11]Analisys QBR By Machine Report'!$C$109:$BD$166,15,FALSE)</f>
        <v>0</v>
      </c>
      <c r="U15" s="13">
        <f ca="1">VLOOKUP($B15,'[11]Analisys QBR By Machine Report'!$C$109:$BD$166,16,FALSE)</f>
        <v>0</v>
      </c>
      <c r="V15" s="13">
        <f ca="1">VLOOKUP($B15,'[11]Analisys QBR By Machine Report'!$C$109:$BD$166,17,FALSE)</f>
        <v>0</v>
      </c>
      <c r="W15" s="13">
        <f ca="1">VLOOKUP($B15,'[11]Analisys QBR By Machine Report'!$C$109:$BD$166,18,FALSE)</f>
        <v>0</v>
      </c>
      <c r="X15" s="13">
        <f ca="1">VLOOKUP($B15,'[11]Analisys QBR By Machine Report'!$C$109:$BD$166,19,FALSE)</f>
        <v>0</v>
      </c>
      <c r="Y15" s="13">
        <f ca="1">VLOOKUP($B15,'[11]Analisys QBR By Machine Report'!$C$109:$BD$166,20,FALSE)</f>
        <v>0</v>
      </c>
      <c r="Z15" s="13">
        <f ca="1">VLOOKUP($B15,'[11]Analisys QBR By Machine Report'!$C$109:$BD$166,21,FALSE)</f>
        <v>2095</v>
      </c>
      <c r="AA15" s="13">
        <f ca="1">VLOOKUP($B15,'[11]Analisys QBR By Machine Report'!$C$109:$BD$166,22,FALSE)</f>
        <v>600</v>
      </c>
      <c r="AB15" s="13">
        <f ca="1">VLOOKUP($B15,'[11]Analisys QBR By Machine Report'!$C$109:$BD$166,23,FALSE)</f>
        <v>1305</v>
      </c>
      <c r="AC15" s="13">
        <f ca="1">VLOOKUP($B15,'[11]Analisys QBR By Machine Report'!$C$109:$BD$166,24,FALSE)</f>
        <v>0</v>
      </c>
      <c r="AD15" s="13">
        <f ca="1">VLOOKUP($B15,'[11]Analisys QBR By Machine Report'!$C$109:$BD$166,25,FALSE)</f>
        <v>0</v>
      </c>
      <c r="AE15" s="13">
        <f ca="1">VLOOKUP($B15,'[11]Analisys QBR By Machine Report'!$C$109:$BD$166,26,FALSE)</f>
        <v>190</v>
      </c>
      <c r="AF15" s="13">
        <f ca="1">VLOOKUP($B15,'[11]Analisys QBR By Machine Report'!$C$109:$BD$166,27,FALSE)</f>
        <v>0</v>
      </c>
      <c r="AG15" s="13">
        <f ca="1">VLOOKUP($B15,'[11]Analisys QBR By Machine Report'!$C$109:$BD$166,28,FALSE)</f>
        <v>0</v>
      </c>
      <c r="AH15" s="13">
        <f ca="1">VLOOKUP($B15,'[11]Analisys QBR By Machine Report'!$C$109:$BD$166,29,FALSE)</f>
        <v>0</v>
      </c>
      <c r="AI15" s="13">
        <f ca="1">VLOOKUP($B15,'[11]Analisys QBR By Machine Report'!$C$109:$BD$166,30,FALSE)</f>
        <v>1290</v>
      </c>
      <c r="AJ15" s="13">
        <f ca="1">VLOOKUP($B15,'[11]Analisys QBR By Machine Report'!$C$109:$BD$166,31,FALSE)</f>
        <v>0</v>
      </c>
      <c r="AK15" s="13">
        <f ca="1">VLOOKUP($B15,'[11]Analisys QBR By Machine Report'!$C$109:$BD$166,32,FALSE)</f>
        <v>0</v>
      </c>
      <c r="AL15" s="13">
        <f ca="1">VLOOKUP($B15,'[11]Analisys QBR By Machine Report'!$C$109:$BD$166,33,FALSE)</f>
        <v>395</v>
      </c>
      <c r="AM15" s="13">
        <f ca="1">VLOOKUP($B15,'[11]Analisys QBR By Machine Report'!$C$109:$BD$166,34,FALSE)</f>
        <v>0</v>
      </c>
      <c r="AN15" s="13">
        <f ca="1">VLOOKUP($B15,'[11]Analisys QBR By Machine Report'!$C$109:$BD$166,35,FALSE)</f>
        <v>295</v>
      </c>
      <c r="AO15" s="13">
        <f ca="1">VLOOKUP($B15,'[11]Analisys QBR By Machine Report'!$C$109:$BD$166,36,FALSE)</f>
        <v>0</v>
      </c>
      <c r="AP15" s="13">
        <f ca="1">VLOOKUP($B15,'[11]Analisys QBR By Machine Report'!$C$109:$BD$166,37,FALSE)</f>
        <v>0</v>
      </c>
      <c r="AQ15" s="13">
        <f ca="1">VLOOKUP($B15,'[11]Analisys QBR By Machine Report'!$C$109:$BD$166,38,FALSE)</f>
        <v>0</v>
      </c>
      <c r="AR15" s="13">
        <f ca="1">VLOOKUP($B15,'[11]Analisys QBR By Machine Report'!$C$109:$BD$166,39,FALSE)</f>
        <v>260</v>
      </c>
      <c r="AS15" s="13">
        <f ca="1">VLOOKUP($B15,'[11]Analisys QBR By Machine Report'!$C$109:$BD$166,40,FALSE)</f>
        <v>210</v>
      </c>
      <c r="AT15" s="13">
        <f ca="1">VLOOKUP($B15,'[11]Analisys QBR By Machine Report'!$C$109:$BD$166,41,FALSE)</f>
        <v>0</v>
      </c>
      <c r="AU15" s="13">
        <f ca="1">VLOOKUP($B15,'[11]Analisys QBR By Machine Report'!$C$109:$BD$166,42,FALSE)</f>
        <v>0</v>
      </c>
      <c r="AV15" s="13">
        <f ca="1">VLOOKUP($B15,'[11]Analisys QBR By Machine Report'!$C$109:$BD$166,43,FALSE)</f>
        <v>0</v>
      </c>
      <c r="AW15" s="13">
        <f ca="1">VLOOKUP($B15,'[11]Analisys QBR By Machine Report'!$C$109:$BD$166,44,FALSE)</f>
        <v>0</v>
      </c>
      <c r="AX15" s="13">
        <f ca="1">VLOOKUP($B15,'[11]Analisys QBR By Machine Report'!$C$109:$BD$166,45,FALSE)</f>
        <v>0</v>
      </c>
      <c r="AY15" s="13">
        <f ca="1">VLOOKUP($B15,'[11]Analisys QBR By Machine Report'!$C$109:$BD$166,46,FALSE)</f>
        <v>0</v>
      </c>
      <c r="AZ15" s="13">
        <f ca="1">VLOOKUP($B15,'[11]Analisys QBR By Machine Report'!$C$109:$BD$166,47,FALSE)</f>
        <v>120</v>
      </c>
      <c r="BA15" s="13">
        <f ca="1">VLOOKUP($B15,'[11]Analisys QBR By Machine Report'!$C$109:$BD$166,48,FALSE)</f>
        <v>10</v>
      </c>
      <c r="BB15" s="13">
        <f ca="1">VLOOKUP($B15,'[11]Analisys QBR By Machine Report'!$C$109:$BD$166,49,FALSE)</f>
        <v>0</v>
      </c>
      <c r="BC15" s="13">
        <f ca="1">VLOOKUP($B15,'[11]Analisys QBR By Machine Report'!$C$109:$BD$166,50,FALSE)</f>
        <v>0</v>
      </c>
      <c r="BD15" s="13">
        <f ca="1">VLOOKUP($B15,'[11]Analisys QBR By Machine Report'!$C$109:$BD$166,51,FALSE)</f>
        <v>2117.11</v>
      </c>
      <c r="BE15" s="13">
        <f ca="1">VLOOKUP($B15,'[11]Analisys QBR By Machine Report'!$C$109:$BD$166,52,FALSE)</f>
        <v>0.79</v>
      </c>
      <c r="BF15" s="13">
        <f ca="1">VLOOKUP($B15,'[11]Analisys QBR By Machine Report'!$C$109:$BD$166,53,FALSE)</f>
        <v>2116.3200000000002</v>
      </c>
    </row>
    <row r="16" spans="1:58" x14ac:dyDescent="0.25">
      <c r="A16" s="9" t="s">
        <v>72</v>
      </c>
      <c r="B16" s="10">
        <f ca="1">VLOOKUP($B16,'[11]Analisys QBR By Machine Report'!$C$109:$BD$166,2,FALSE)</f>
        <v>151200</v>
      </c>
      <c r="C16" s="11">
        <f ca="1">VLOOKUP($B16,[11]Dasboard_QBR_Report!$B$109:$BL$166,3,FALSE)</f>
        <v>69300</v>
      </c>
      <c r="D16" s="10">
        <f ca="1">VLOOKUP($B16,'[11]Analisys QBR By Machine Report'!$C$109:$BD$166,3,FALSE)</f>
        <v>96600</v>
      </c>
      <c r="E16" s="11">
        <f ca="1">VLOOKUP($B16,[11]Dasboard_QBR_Report!$B$109:$BL$166,5,FALSE)</f>
        <v>14700</v>
      </c>
      <c r="F16" s="10">
        <f t="shared" ca="1" si="0"/>
        <v>54600</v>
      </c>
      <c r="G16" s="10">
        <f t="shared" ca="1" si="1"/>
        <v>1820</v>
      </c>
      <c r="H16" s="10">
        <f ca="1">VLOOKUP($B16,'[11]Analisys QBR By Machine Report'!$C$109:$BD$166,4,FALSE)</f>
        <v>1820</v>
      </c>
      <c r="I16" s="10">
        <f ca="1">VLOOKUP($B16,'[11]Analisys QBR By Machine Report'!$C$109:$BD$166,5,FALSE)</f>
        <v>0</v>
      </c>
      <c r="J16" s="10">
        <f ca="1">VLOOKUP($B16,'[11]Analisys QBR By Machine Report'!$C$109:$BD$166,6,FALSE)</f>
        <v>1820</v>
      </c>
      <c r="K16" s="10">
        <f ca="1">VLOOKUP($B16,'[11]Analisys QBR By Machine Report'!$C$109:$BD$166,7,FALSE)</f>
        <v>0</v>
      </c>
      <c r="L16" s="10">
        <f ca="1">VLOOKUP($B16,'[11]Analisys QBR By Machine Report'!$C$109:$BD$166,8,FALSE)</f>
        <v>52780</v>
      </c>
      <c r="M16" s="10">
        <f ca="1">VLOOKUP($B16,'[11]Analisys QBR By Machine Report'!$C$109:$BD$166,9,FALSE)</f>
        <v>20270</v>
      </c>
      <c r="N16" s="10">
        <f ca="1">VLOOKUP($B16,[11]Dasboard_QBR_Report!$B$109:$BL$166,18,FALSE)</f>
        <v>32510</v>
      </c>
      <c r="O16" s="10">
        <f ca="1">VLOOKUP($B16,'[11]Analisys QBR By Machine Report'!$C$109:$BD$166,10,FALSE)</f>
        <v>7915</v>
      </c>
      <c r="P16" s="10">
        <f ca="1">VLOOKUP($B16,'[11]Analisys QBR By Machine Report'!$C$109:$BD$166,11,FALSE)</f>
        <v>4090</v>
      </c>
      <c r="Q16" s="10">
        <f ca="1">VLOOKUP($B16,'[11]Analisys QBR By Machine Report'!$C$109:$BD$166,12,FALSE)</f>
        <v>0</v>
      </c>
      <c r="R16" s="10">
        <f ca="1">VLOOKUP($B16,'[11]Analisys QBR By Machine Report'!$C$109:$BD$166,13,FALSE)</f>
        <v>3825</v>
      </c>
      <c r="S16" s="10">
        <f ca="1">VLOOKUP($B16,'[11]Analisys QBR By Machine Report'!$C$109:$BD$166,14,FALSE)</f>
        <v>0</v>
      </c>
      <c r="T16" s="10">
        <f ca="1">VLOOKUP($B16,'[11]Analisys QBR By Machine Report'!$C$109:$BD$166,15,FALSE)</f>
        <v>50</v>
      </c>
      <c r="U16" s="10">
        <f ca="1">VLOOKUP($B16,'[11]Analisys QBR By Machine Report'!$C$109:$BD$166,16,FALSE)</f>
        <v>50</v>
      </c>
      <c r="V16" s="10">
        <f ca="1">VLOOKUP($B16,'[11]Analisys QBR By Machine Report'!$C$109:$BD$166,17,FALSE)</f>
        <v>0</v>
      </c>
      <c r="W16" s="10">
        <f ca="1">VLOOKUP($B16,'[11]Analisys QBR By Machine Report'!$C$109:$BD$166,18,FALSE)</f>
        <v>0</v>
      </c>
      <c r="X16" s="10">
        <f ca="1">VLOOKUP($B16,'[11]Analisys QBR By Machine Report'!$C$109:$BD$166,19,FALSE)</f>
        <v>0</v>
      </c>
      <c r="Y16" s="10">
        <f ca="1">VLOOKUP($B16,'[11]Analisys QBR By Machine Report'!$C$109:$BD$166,20,FALSE)</f>
        <v>0</v>
      </c>
      <c r="Z16" s="10">
        <f ca="1">VLOOKUP($B16,'[11]Analisys QBR By Machine Report'!$C$109:$BD$166,21,FALSE)</f>
        <v>10400</v>
      </c>
      <c r="AA16" s="10">
        <f ca="1">VLOOKUP($B16,'[11]Analisys QBR By Machine Report'!$C$109:$BD$166,22,FALSE)</f>
        <v>5910</v>
      </c>
      <c r="AB16" s="10">
        <f ca="1">VLOOKUP($B16,'[11]Analisys QBR By Machine Report'!$C$109:$BD$166,23,FALSE)</f>
        <v>1800</v>
      </c>
      <c r="AC16" s="10">
        <f ca="1">VLOOKUP($B16,'[11]Analisys QBR By Machine Report'!$C$109:$BD$166,24,FALSE)</f>
        <v>1990</v>
      </c>
      <c r="AD16" s="10">
        <f ca="1">VLOOKUP($B16,'[11]Analisys QBR By Machine Report'!$C$109:$BD$166,25,FALSE)</f>
        <v>0</v>
      </c>
      <c r="AE16" s="10">
        <f ca="1">VLOOKUP($B16,'[11]Analisys QBR By Machine Report'!$C$109:$BD$166,26,FALSE)</f>
        <v>700</v>
      </c>
      <c r="AF16" s="10">
        <f ca="1">VLOOKUP($B16,'[11]Analisys QBR By Machine Report'!$C$109:$BD$166,27,FALSE)</f>
        <v>3515</v>
      </c>
      <c r="AG16" s="10">
        <f ca="1">VLOOKUP($B16,'[11]Analisys QBR By Machine Report'!$C$109:$BD$166,28,FALSE)</f>
        <v>0</v>
      </c>
      <c r="AH16" s="10">
        <f ca="1">VLOOKUP($B16,'[11]Analisys QBR By Machine Report'!$C$109:$BD$166,29,FALSE)</f>
        <v>3515</v>
      </c>
      <c r="AI16" s="10">
        <f ca="1">VLOOKUP($B16,'[11]Analisys QBR By Machine Report'!$C$109:$BD$166,30,FALSE)</f>
        <v>10630</v>
      </c>
      <c r="AJ16" s="10">
        <f ca="1">VLOOKUP($B16,'[11]Analisys QBR By Machine Report'!$C$109:$BD$166,31,FALSE)</f>
        <v>100</v>
      </c>
      <c r="AK16" s="10">
        <f ca="1">VLOOKUP($B16,'[11]Analisys QBR By Machine Report'!$C$109:$BD$166,32,FALSE)</f>
        <v>635</v>
      </c>
      <c r="AL16" s="10">
        <f ca="1">VLOOKUP($B16,'[11]Analisys QBR By Machine Report'!$C$109:$BD$166,33,FALSE)</f>
        <v>3120</v>
      </c>
      <c r="AM16" s="10">
        <f ca="1">VLOOKUP($B16,'[11]Analisys QBR By Machine Report'!$C$109:$BD$166,34,FALSE)</f>
        <v>0</v>
      </c>
      <c r="AN16" s="10">
        <f ca="1">VLOOKUP($B16,'[11]Analisys QBR By Machine Report'!$C$109:$BD$166,35,FALSE)</f>
        <v>2810</v>
      </c>
      <c r="AO16" s="10">
        <f ca="1">VLOOKUP($B16,'[11]Analisys QBR By Machine Report'!$C$109:$BD$166,36,FALSE)</f>
        <v>550</v>
      </c>
      <c r="AP16" s="10">
        <f ca="1">VLOOKUP($B16,'[11]Analisys QBR By Machine Report'!$C$109:$BD$166,37,FALSE)</f>
        <v>30</v>
      </c>
      <c r="AQ16" s="10">
        <f ca="1">VLOOKUP($B16,'[11]Analisys QBR By Machine Report'!$C$109:$BD$166,38,FALSE)</f>
        <v>0</v>
      </c>
      <c r="AR16" s="10">
        <f ca="1">VLOOKUP($B16,'[11]Analisys QBR By Machine Report'!$C$109:$BD$166,39,FALSE)</f>
        <v>0</v>
      </c>
      <c r="AS16" s="10">
        <f ca="1">VLOOKUP($B16,'[11]Analisys QBR By Machine Report'!$C$109:$BD$166,40,FALSE)</f>
        <v>1595</v>
      </c>
      <c r="AT16" s="10">
        <f ca="1">VLOOKUP($B16,'[11]Analisys QBR By Machine Report'!$C$109:$BD$166,41,FALSE)</f>
        <v>0</v>
      </c>
      <c r="AU16" s="10">
        <f ca="1">VLOOKUP($B16,'[11]Analisys QBR By Machine Report'!$C$109:$BD$166,42,FALSE)</f>
        <v>0</v>
      </c>
      <c r="AV16" s="10">
        <f ca="1">VLOOKUP($B16,'[11]Analisys QBR By Machine Report'!$C$109:$BD$166,43,FALSE)</f>
        <v>0</v>
      </c>
      <c r="AW16" s="10">
        <f ca="1">VLOOKUP($B16,'[11]Analisys QBR By Machine Report'!$C$109:$BD$166,44,FALSE)</f>
        <v>0</v>
      </c>
      <c r="AX16" s="10">
        <f ca="1">VLOOKUP($B16,'[11]Analisys QBR By Machine Report'!$C$109:$BD$166,45,FALSE)</f>
        <v>0</v>
      </c>
      <c r="AY16" s="10">
        <f ca="1">VLOOKUP($B16,'[11]Analisys QBR By Machine Report'!$C$109:$BD$166,46,FALSE)</f>
        <v>0</v>
      </c>
      <c r="AZ16" s="10">
        <f ca="1">VLOOKUP($B16,'[11]Analisys QBR By Machine Report'!$C$109:$BD$166,47,FALSE)</f>
        <v>1790</v>
      </c>
      <c r="BA16" s="10">
        <f ca="1">VLOOKUP($B16,'[11]Analisys QBR By Machine Report'!$C$109:$BD$166,48,FALSE)</f>
        <v>0</v>
      </c>
      <c r="BB16" s="10">
        <f ca="1">VLOOKUP($B16,'[11]Analisys QBR By Machine Report'!$C$109:$BD$166,49,FALSE)</f>
        <v>0</v>
      </c>
      <c r="BC16" s="10">
        <f ca="1">VLOOKUP($B16,'[11]Analisys QBR By Machine Report'!$C$109:$BD$166,50,FALSE)</f>
        <v>0</v>
      </c>
      <c r="BD16" s="10">
        <f ca="1">VLOOKUP($B16,'[11]Analisys QBR By Machine Report'!$C$109:$BD$166,51,FALSE)</f>
        <v>11997378</v>
      </c>
      <c r="BE16" s="10">
        <f ca="1">VLOOKUP($B16,'[11]Analisys QBR By Machine Report'!$C$109:$BD$166,52,FALSE)</f>
        <v>43838</v>
      </c>
      <c r="BF16" s="10">
        <f ca="1">VLOOKUP($B16,'[11]Analisys QBR By Machine Report'!$C$109:$BD$166,53,FALSE)</f>
        <v>11953540</v>
      </c>
    </row>
    <row r="17" spans="1:58" x14ac:dyDescent="0.25">
      <c r="A17" s="12" t="s">
        <v>73</v>
      </c>
      <c r="B17" s="13">
        <f ca="1">VLOOKUP($B17,'[11]Analisys QBR By Machine Report'!$C$109:$BD$166,2,FALSE)</f>
        <v>30240</v>
      </c>
      <c r="C17" s="14">
        <f ca="1">VLOOKUP($B17,[11]Dasboard_QBR_Report!$B$109:$BL$166,3,FALSE)</f>
        <v>19530</v>
      </c>
      <c r="D17" s="13">
        <f ca="1">VLOOKUP($B17,'[11]Analisys QBR By Machine Report'!$C$109:$BD$166,3,FALSE)</f>
        <v>14670</v>
      </c>
      <c r="E17" s="14">
        <f ca="1">VLOOKUP($B17,[11]Dasboard_QBR_Report!$B$109:$BL$166,5,FALSE)</f>
        <v>3960</v>
      </c>
      <c r="F17" s="13">
        <f t="shared" ca="1" si="0"/>
        <v>15570</v>
      </c>
      <c r="G17" s="13">
        <f t="shared" ca="1" si="1"/>
        <v>0</v>
      </c>
      <c r="H17" s="13">
        <f ca="1">VLOOKUP($B17,'[11]Analisys QBR By Machine Report'!$C$109:$BD$166,4,FALSE)</f>
        <v>0</v>
      </c>
      <c r="I17" s="13">
        <f ca="1">VLOOKUP($B17,'[11]Analisys QBR By Machine Report'!$C$109:$BD$166,5,FALSE)</f>
        <v>0</v>
      </c>
      <c r="J17" s="13">
        <f ca="1">VLOOKUP($B17,'[11]Analisys QBR By Machine Report'!$C$109:$BD$166,6,FALSE)</f>
        <v>0</v>
      </c>
      <c r="K17" s="13">
        <f ca="1">VLOOKUP($B17,'[11]Analisys QBR By Machine Report'!$C$109:$BD$166,7,FALSE)</f>
        <v>0</v>
      </c>
      <c r="L17" s="13">
        <f ca="1">VLOOKUP($B17,'[11]Analisys QBR By Machine Report'!$C$109:$BD$166,8,FALSE)</f>
        <v>15570</v>
      </c>
      <c r="M17" s="13">
        <f ca="1">VLOOKUP($B17,'[11]Analisys QBR By Machine Report'!$C$109:$BD$166,9,FALSE)</f>
        <v>6350</v>
      </c>
      <c r="N17" s="13">
        <f ca="1">VLOOKUP($B17,[11]Dasboard_QBR_Report!$B$109:$BL$166,18,FALSE)</f>
        <v>9220</v>
      </c>
      <c r="O17" s="13">
        <f ca="1">VLOOKUP($B17,'[11]Analisys QBR By Machine Report'!$C$109:$BD$166,10,FALSE)</f>
        <v>2305</v>
      </c>
      <c r="P17" s="13">
        <f ca="1">VLOOKUP($B17,'[11]Analisys QBR By Machine Report'!$C$109:$BD$166,11,FALSE)</f>
        <v>945</v>
      </c>
      <c r="Q17" s="13">
        <f ca="1">VLOOKUP($B17,'[11]Analisys QBR By Machine Report'!$C$109:$BD$166,12,FALSE)</f>
        <v>0</v>
      </c>
      <c r="R17" s="13">
        <f ca="1">VLOOKUP($B17,'[11]Analisys QBR By Machine Report'!$C$109:$BD$166,13,FALSE)</f>
        <v>1360</v>
      </c>
      <c r="S17" s="13">
        <f ca="1">VLOOKUP($B17,'[11]Analisys QBR By Machine Report'!$C$109:$BD$166,14,FALSE)</f>
        <v>0</v>
      </c>
      <c r="T17" s="13">
        <f ca="1">VLOOKUP($B17,'[11]Analisys QBR By Machine Report'!$C$109:$BD$166,15,FALSE)</f>
        <v>50</v>
      </c>
      <c r="U17" s="13">
        <f ca="1">VLOOKUP($B17,'[11]Analisys QBR By Machine Report'!$C$109:$BD$166,16,FALSE)</f>
        <v>50</v>
      </c>
      <c r="V17" s="13">
        <f ca="1">VLOOKUP($B17,'[11]Analisys QBR By Machine Report'!$C$109:$BD$166,17,FALSE)</f>
        <v>0</v>
      </c>
      <c r="W17" s="13">
        <f ca="1">VLOOKUP($B17,'[11]Analisys QBR By Machine Report'!$C$109:$BD$166,18,FALSE)</f>
        <v>0</v>
      </c>
      <c r="X17" s="13">
        <f ca="1">VLOOKUP($B17,'[11]Analisys QBR By Machine Report'!$C$109:$BD$166,19,FALSE)</f>
        <v>0</v>
      </c>
      <c r="Y17" s="13">
        <f ca="1">VLOOKUP($B17,'[11]Analisys QBR By Machine Report'!$C$109:$BD$166,20,FALSE)</f>
        <v>0</v>
      </c>
      <c r="Z17" s="13">
        <f ca="1">VLOOKUP($B17,'[11]Analisys QBR By Machine Report'!$C$109:$BD$166,21,FALSE)</f>
        <v>2825</v>
      </c>
      <c r="AA17" s="13">
        <f ca="1">VLOOKUP($B17,'[11]Analisys QBR By Machine Report'!$C$109:$BD$166,22,FALSE)</f>
        <v>1740</v>
      </c>
      <c r="AB17" s="13">
        <f ca="1">VLOOKUP($B17,'[11]Analisys QBR By Machine Report'!$C$109:$BD$166,23,FALSE)</f>
        <v>420</v>
      </c>
      <c r="AC17" s="13">
        <f ca="1">VLOOKUP($B17,'[11]Analisys QBR By Machine Report'!$C$109:$BD$166,24,FALSE)</f>
        <v>500</v>
      </c>
      <c r="AD17" s="13">
        <f ca="1">VLOOKUP($B17,'[11]Analisys QBR By Machine Report'!$C$109:$BD$166,25,FALSE)</f>
        <v>0</v>
      </c>
      <c r="AE17" s="13">
        <f ca="1">VLOOKUP($B17,'[11]Analisys QBR By Machine Report'!$C$109:$BD$166,26,FALSE)</f>
        <v>165</v>
      </c>
      <c r="AF17" s="13">
        <f ca="1">VLOOKUP($B17,'[11]Analisys QBR By Machine Report'!$C$109:$BD$166,27,FALSE)</f>
        <v>980</v>
      </c>
      <c r="AG17" s="13">
        <f ca="1">VLOOKUP($B17,'[11]Analisys QBR By Machine Report'!$C$109:$BD$166,28,FALSE)</f>
        <v>0</v>
      </c>
      <c r="AH17" s="13">
        <f ca="1">VLOOKUP($B17,'[11]Analisys QBR By Machine Report'!$C$109:$BD$166,29,FALSE)</f>
        <v>980</v>
      </c>
      <c r="AI17" s="13">
        <f ca="1">VLOOKUP($B17,'[11]Analisys QBR By Machine Report'!$C$109:$BD$166,30,FALSE)</f>
        <v>3060</v>
      </c>
      <c r="AJ17" s="13">
        <f ca="1">VLOOKUP($B17,'[11]Analisys QBR By Machine Report'!$C$109:$BD$166,31,FALSE)</f>
        <v>0</v>
      </c>
      <c r="AK17" s="13">
        <f ca="1">VLOOKUP($B17,'[11]Analisys QBR By Machine Report'!$C$109:$BD$166,32,FALSE)</f>
        <v>0</v>
      </c>
      <c r="AL17" s="13">
        <f ca="1">VLOOKUP($B17,'[11]Analisys QBR By Machine Report'!$C$109:$BD$166,33,FALSE)</f>
        <v>930</v>
      </c>
      <c r="AM17" s="13">
        <f ca="1">VLOOKUP($B17,'[11]Analisys QBR By Machine Report'!$C$109:$BD$166,34,FALSE)</f>
        <v>0</v>
      </c>
      <c r="AN17" s="13">
        <f ca="1">VLOOKUP($B17,'[11]Analisys QBR By Machine Report'!$C$109:$BD$166,35,FALSE)</f>
        <v>995</v>
      </c>
      <c r="AO17" s="13">
        <f ca="1">VLOOKUP($B17,'[11]Analisys QBR By Machine Report'!$C$109:$BD$166,36,FALSE)</f>
        <v>0</v>
      </c>
      <c r="AP17" s="13">
        <f ca="1">VLOOKUP($B17,'[11]Analisys QBR By Machine Report'!$C$109:$BD$166,37,FALSE)</f>
        <v>0</v>
      </c>
      <c r="AQ17" s="13">
        <f ca="1">VLOOKUP($B17,'[11]Analisys QBR By Machine Report'!$C$109:$BD$166,38,FALSE)</f>
        <v>0</v>
      </c>
      <c r="AR17" s="13">
        <f ca="1">VLOOKUP($B17,'[11]Analisys QBR By Machine Report'!$C$109:$BD$166,39,FALSE)</f>
        <v>0</v>
      </c>
      <c r="AS17" s="13">
        <f ca="1">VLOOKUP($B17,'[11]Analisys QBR By Machine Report'!$C$109:$BD$166,40,FALSE)</f>
        <v>500</v>
      </c>
      <c r="AT17" s="13">
        <f ca="1">VLOOKUP($B17,'[11]Analisys QBR By Machine Report'!$C$109:$BD$166,41,FALSE)</f>
        <v>0</v>
      </c>
      <c r="AU17" s="13">
        <f ca="1">VLOOKUP($B17,'[11]Analisys QBR By Machine Report'!$C$109:$BD$166,42,FALSE)</f>
        <v>0</v>
      </c>
      <c r="AV17" s="13">
        <f ca="1">VLOOKUP($B17,'[11]Analisys QBR By Machine Report'!$C$109:$BD$166,43,FALSE)</f>
        <v>0</v>
      </c>
      <c r="AW17" s="13">
        <f ca="1">VLOOKUP($B17,'[11]Analisys QBR By Machine Report'!$C$109:$BD$166,44,FALSE)</f>
        <v>0</v>
      </c>
      <c r="AX17" s="13">
        <f ca="1">VLOOKUP($B17,'[11]Analisys QBR By Machine Report'!$C$109:$BD$166,45,FALSE)</f>
        <v>0</v>
      </c>
      <c r="AY17" s="13">
        <f ca="1">VLOOKUP($B17,'[11]Analisys QBR By Machine Report'!$C$109:$BD$166,46,FALSE)</f>
        <v>0</v>
      </c>
      <c r="AZ17" s="13">
        <f ca="1">VLOOKUP($B17,'[11]Analisys QBR By Machine Report'!$C$109:$BD$166,47,FALSE)</f>
        <v>635</v>
      </c>
      <c r="BA17" s="13">
        <f ca="1">VLOOKUP($B17,'[11]Analisys QBR By Machine Report'!$C$109:$BD$166,48,FALSE)</f>
        <v>0</v>
      </c>
      <c r="BB17" s="13">
        <f ca="1">VLOOKUP($B17,'[11]Analisys QBR By Machine Report'!$C$109:$BD$166,49,FALSE)</f>
        <v>0</v>
      </c>
      <c r="BC17" s="13">
        <f ca="1">VLOOKUP($B17,'[11]Analisys QBR By Machine Report'!$C$109:$BD$166,50,FALSE)</f>
        <v>0</v>
      </c>
      <c r="BD17" s="13">
        <f ca="1">VLOOKUP($B17,'[11]Analisys QBR By Machine Report'!$C$109:$BD$166,51,FALSE)</f>
        <v>3381968</v>
      </c>
      <c r="BE17" s="13">
        <f ca="1">VLOOKUP($B17,'[11]Analisys QBR By Machine Report'!$C$109:$BD$166,52,FALSE)</f>
        <v>13908</v>
      </c>
      <c r="BF17" s="13">
        <f ca="1">VLOOKUP($B17,'[11]Analisys QBR By Machine Report'!$C$109:$BD$166,53,FALSE)</f>
        <v>3368060</v>
      </c>
    </row>
    <row r="18" spans="1:58" x14ac:dyDescent="0.25">
      <c r="A18" s="12" t="s">
        <v>74</v>
      </c>
      <c r="B18" s="13">
        <f ca="1">VLOOKUP($B18,'[11]Analisys QBR By Machine Report'!$C$109:$BD$166,2,FALSE)</f>
        <v>30240</v>
      </c>
      <c r="C18" s="14">
        <f ca="1">VLOOKUP($B18,[11]Dasboard_QBR_Report!$B$109:$BL$166,3,FALSE)</f>
        <v>19530</v>
      </c>
      <c r="D18" s="13">
        <f ca="1">VLOOKUP($B18,'[11]Analisys QBR By Machine Report'!$C$109:$BD$166,3,FALSE)</f>
        <v>14070</v>
      </c>
      <c r="E18" s="14">
        <f ca="1">VLOOKUP($B18,[11]Dasboard_QBR_Report!$B$109:$BL$166,5,FALSE)</f>
        <v>3360</v>
      </c>
      <c r="F18" s="13">
        <f t="shared" ca="1" si="0"/>
        <v>16170</v>
      </c>
      <c r="G18" s="13">
        <f t="shared" ca="1" si="1"/>
        <v>0</v>
      </c>
      <c r="H18" s="13">
        <f ca="1">VLOOKUP($B18,'[11]Analisys QBR By Machine Report'!$C$109:$BD$166,4,FALSE)</f>
        <v>0</v>
      </c>
      <c r="I18" s="13">
        <f ca="1">VLOOKUP($B18,'[11]Analisys QBR By Machine Report'!$C$109:$BD$166,5,FALSE)</f>
        <v>0</v>
      </c>
      <c r="J18" s="13">
        <f ca="1">VLOOKUP($B18,'[11]Analisys QBR By Machine Report'!$C$109:$BD$166,6,FALSE)</f>
        <v>0</v>
      </c>
      <c r="K18" s="13">
        <f ca="1">VLOOKUP($B18,'[11]Analisys QBR By Machine Report'!$C$109:$BD$166,7,FALSE)</f>
        <v>0</v>
      </c>
      <c r="L18" s="13">
        <f ca="1">VLOOKUP($B18,'[11]Analisys QBR By Machine Report'!$C$109:$BD$166,8,FALSE)</f>
        <v>16170</v>
      </c>
      <c r="M18" s="13">
        <f ca="1">VLOOKUP($B18,'[11]Analisys QBR By Machine Report'!$C$109:$BD$166,9,FALSE)</f>
        <v>4970</v>
      </c>
      <c r="N18" s="13">
        <f ca="1">VLOOKUP($B18,[11]Dasboard_QBR_Report!$B$109:$BL$166,18,FALSE)</f>
        <v>11200</v>
      </c>
      <c r="O18" s="13">
        <f ca="1">VLOOKUP($B18,'[11]Analisys QBR By Machine Report'!$C$109:$BD$166,10,FALSE)</f>
        <v>2605</v>
      </c>
      <c r="P18" s="13">
        <f ca="1">VLOOKUP($B18,'[11]Analisys QBR By Machine Report'!$C$109:$BD$166,11,FALSE)</f>
        <v>1570</v>
      </c>
      <c r="Q18" s="13">
        <f ca="1">VLOOKUP($B18,'[11]Analisys QBR By Machine Report'!$C$109:$BD$166,12,FALSE)</f>
        <v>0</v>
      </c>
      <c r="R18" s="13">
        <f ca="1">VLOOKUP($B18,'[11]Analisys QBR By Machine Report'!$C$109:$BD$166,13,FALSE)</f>
        <v>1035</v>
      </c>
      <c r="S18" s="13">
        <f ca="1">VLOOKUP($B18,'[11]Analisys QBR By Machine Report'!$C$109:$BD$166,14,FALSE)</f>
        <v>0</v>
      </c>
      <c r="T18" s="13">
        <f ca="1">VLOOKUP($B18,'[11]Analisys QBR By Machine Report'!$C$109:$BD$166,15,FALSE)</f>
        <v>0</v>
      </c>
      <c r="U18" s="13">
        <f ca="1">VLOOKUP($B18,'[11]Analisys QBR By Machine Report'!$C$109:$BD$166,16,FALSE)</f>
        <v>0</v>
      </c>
      <c r="V18" s="13">
        <f ca="1">VLOOKUP($B18,'[11]Analisys QBR By Machine Report'!$C$109:$BD$166,17,FALSE)</f>
        <v>0</v>
      </c>
      <c r="W18" s="13">
        <f ca="1">VLOOKUP($B18,'[11]Analisys QBR By Machine Report'!$C$109:$BD$166,18,FALSE)</f>
        <v>0</v>
      </c>
      <c r="X18" s="13">
        <f ca="1">VLOOKUP($B18,'[11]Analisys QBR By Machine Report'!$C$109:$BD$166,19,FALSE)</f>
        <v>0</v>
      </c>
      <c r="Y18" s="13">
        <f ca="1">VLOOKUP($B18,'[11]Analisys QBR By Machine Report'!$C$109:$BD$166,20,FALSE)</f>
        <v>0</v>
      </c>
      <c r="Z18" s="13">
        <f ca="1">VLOOKUP($B18,'[11]Analisys QBR By Machine Report'!$C$109:$BD$166,21,FALSE)</f>
        <v>3090</v>
      </c>
      <c r="AA18" s="13">
        <f ca="1">VLOOKUP($B18,'[11]Analisys QBR By Machine Report'!$C$109:$BD$166,22,FALSE)</f>
        <v>1330</v>
      </c>
      <c r="AB18" s="13">
        <f ca="1">VLOOKUP($B18,'[11]Analisys QBR By Machine Report'!$C$109:$BD$166,23,FALSE)</f>
        <v>925</v>
      </c>
      <c r="AC18" s="13">
        <f ca="1">VLOOKUP($B18,'[11]Analisys QBR By Machine Report'!$C$109:$BD$166,24,FALSE)</f>
        <v>625</v>
      </c>
      <c r="AD18" s="13">
        <f ca="1">VLOOKUP($B18,'[11]Analisys QBR By Machine Report'!$C$109:$BD$166,25,FALSE)</f>
        <v>0</v>
      </c>
      <c r="AE18" s="13">
        <f ca="1">VLOOKUP($B18,'[11]Analisys QBR By Machine Report'!$C$109:$BD$166,26,FALSE)</f>
        <v>210</v>
      </c>
      <c r="AF18" s="13">
        <f ca="1">VLOOKUP($B18,'[11]Analisys QBR By Machine Report'!$C$109:$BD$166,27,FALSE)</f>
        <v>2535</v>
      </c>
      <c r="AG18" s="13">
        <f ca="1">VLOOKUP($B18,'[11]Analisys QBR By Machine Report'!$C$109:$BD$166,28,FALSE)</f>
        <v>0</v>
      </c>
      <c r="AH18" s="13">
        <f ca="1">VLOOKUP($B18,'[11]Analisys QBR By Machine Report'!$C$109:$BD$166,29,FALSE)</f>
        <v>2535</v>
      </c>
      <c r="AI18" s="13">
        <f ca="1">VLOOKUP($B18,'[11]Analisys QBR By Machine Report'!$C$109:$BD$166,30,FALSE)</f>
        <v>2970</v>
      </c>
      <c r="AJ18" s="13">
        <f ca="1">VLOOKUP($B18,'[11]Analisys QBR By Machine Report'!$C$109:$BD$166,31,FALSE)</f>
        <v>0</v>
      </c>
      <c r="AK18" s="13">
        <f ca="1">VLOOKUP($B18,'[11]Analisys QBR By Machine Report'!$C$109:$BD$166,32,FALSE)</f>
        <v>0</v>
      </c>
      <c r="AL18" s="13">
        <f ca="1">VLOOKUP($B18,'[11]Analisys QBR By Machine Report'!$C$109:$BD$166,33,FALSE)</f>
        <v>900</v>
      </c>
      <c r="AM18" s="13">
        <f ca="1">VLOOKUP($B18,'[11]Analisys QBR By Machine Report'!$C$109:$BD$166,34,FALSE)</f>
        <v>0</v>
      </c>
      <c r="AN18" s="13">
        <f ca="1">VLOOKUP($B18,'[11]Analisys QBR By Machine Report'!$C$109:$BD$166,35,FALSE)</f>
        <v>760</v>
      </c>
      <c r="AO18" s="13">
        <f ca="1">VLOOKUP($B18,'[11]Analisys QBR By Machine Report'!$C$109:$BD$166,36,FALSE)</f>
        <v>210</v>
      </c>
      <c r="AP18" s="13">
        <f ca="1">VLOOKUP($B18,'[11]Analisys QBR By Machine Report'!$C$109:$BD$166,37,FALSE)</f>
        <v>0</v>
      </c>
      <c r="AQ18" s="13">
        <f ca="1">VLOOKUP($B18,'[11]Analisys QBR By Machine Report'!$C$109:$BD$166,38,FALSE)</f>
        <v>0</v>
      </c>
      <c r="AR18" s="13">
        <f ca="1">VLOOKUP($B18,'[11]Analisys QBR By Machine Report'!$C$109:$BD$166,39,FALSE)</f>
        <v>0</v>
      </c>
      <c r="AS18" s="13">
        <f ca="1">VLOOKUP($B18,'[11]Analisys QBR By Machine Report'!$C$109:$BD$166,40,FALSE)</f>
        <v>505</v>
      </c>
      <c r="AT18" s="13">
        <f ca="1">VLOOKUP($B18,'[11]Analisys QBR By Machine Report'!$C$109:$BD$166,41,FALSE)</f>
        <v>0</v>
      </c>
      <c r="AU18" s="13">
        <f ca="1">VLOOKUP($B18,'[11]Analisys QBR By Machine Report'!$C$109:$BD$166,42,FALSE)</f>
        <v>0</v>
      </c>
      <c r="AV18" s="13">
        <f ca="1">VLOOKUP($B18,'[11]Analisys QBR By Machine Report'!$C$109:$BD$166,43,FALSE)</f>
        <v>0</v>
      </c>
      <c r="AW18" s="13">
        <f ca="1">VLOOKUP($B18,'[11]Analisys QBR By Machine Report'!$C$109:$BD$166,44,FALSE)</f>
        <v>0</v>
      </c>
      <c r="AX18" s="13">
        <f ca="1">VLOOKUP($B18,'[11]Analisys QBR By Machine Report'!$C$109:$BD$166,45,FALSE)</f>
        <v>0</v>
      </c>
      <c r="AY18" s="13">
        <f ca="1">VLOOKUP($B18,'[11]Analisys QBR By Machine Report'!$C$109:$BD$166,46,FALSE)</f>
        <v>0</v>
      </c>
      <c r="AZ18" s="13">
        <f ca="1">VLOOKUP($B18,'[11]Analisys QBR By Machine Report'!$C$109:$BD$166,47,FALSE)</f>
        <v>595</v>
      </c>
      <c r="BA18" s="13">
        <f ca="1">VLOOKUP($B18,'[11]Analisys QBR By Machine Report'!$C$109:$BD$166,48,FALSE)</f>
        <v>0</v>
      </c>
      <c r="BB18" s="13">
        <f ca="1">VLOOKUP($B18,'[11]Analisys QBR By Machine Report'!$C$109:$BD$166,49,FALSE)</f>
        <v>0</v>
      </c>
      <c r="BC18" s="13">
        <f ca="1">VLOOKUP($B18,'[11]Analisys QBR By Machine Report'!$C$109:$BD$166,50,FALSE)</f>
        <v>0</v>
      </c>
      <c r="BD18" s="13">
        <f ca="1">VLOOKUP($B18,'[11]Analisys QBR By Machine Report'!$C$109:$BD$166,51,FALSE)</f>
        <v>5885726</v>
      </c>
      <c r="BE18" s="13">
        <f ca="1">VLOOKUP($B18,'[11]Analisys QBR By Machine Report'!$C$109:$BD$166,52,FALSE)</f>
        <v>17426</v>
      </c>
      <c r="BF18" s="13">
        <f ca="1">VLOOKUP($B18,'[11]Analisys QBR By Machine Report'!$C$109:$BD$166,53,FALSE)</f>
        <v>5868300</v>
      </c>
    </row>
    <row r="19" spans="1:58" x14ac:dyDescent="0.25">
      <c r="A19" s="12" t="s">
        <v>75</v>
      </c>
      <c r="B19" s="13">
        <f ca="1">VLOOKUP($B19,'[11]Analisys QBR By Machine Report'!$C$109:$BD$166,2,FALSE)</f>
        <v>30240</v>
      </c>
      <c r="C19" s="14">
        <f ca="1">VLOOKUP($B19,[11]Dasboard_QBR_Report!$B$109:$BL$166,3,FALSE)</f>
        <v>10080</v>
      </c>
      <c r="D19" s="13">
        <f ca="1">VLOOKUP($B19,'[11]Analisys QBR By Machine Report'!$C$109:$BD$166,3,FALSE)</f>
        <v>22320</v>
      </c>
      <c r="E19" s="14">
        <f ca="1">VLOOKUP($B19,[11]Dasboard_QBR_Report!$B$109:$BL$166,5,FALSE)</f>
        <v>2160</v>
      </c>
      <c r="F19" s="13">
        <f t="shared" ca="1" si="0"/>
        <v>7920</v>
      </c>
      <c r="G19" s="13">
        <f t="shared" ca="1" si="1"/>
        <v>630</v>
      </c>
      <c r="H19" s="13">
        <f ca="1">VLOOKUP($B19,'[11]Analisys QBR By Machine Report'!$C$109:$BD$166,4,FALSE)</f>
        <v>630</v>
      </c>
      <c r="I19" s="13">
        <f ca="1">VLOOKUP($B19,'[11]Analisys QBR By Machine Report'!$C$109:$BD$166,5,FALSE)</f>
        <v>0</v>
      </c>
      <c r="J19" s="13">
        <f ca="1">VLOOKUP($B19,'[11]Analisys QBR By Machine Report'!$C$109:$BD$166,6,FALSE)</f>
        <v>630</v>
      </c>
      <c r="K19" s="13">
        <f ca="1">VLOOKUP($B19,'[11]Analisys QBR By Machine Report'!$C$109:$BD$166,7,FALSE)</f>
        <v>0</v>
      </c>
      <c r="L19" s="13">
        <f ca="1">VLOOKUP($B19,'[11]Analisys QBR By Machine Report'!$C$109:$BD$166,8,FALSE)</f>
        <v>7290</v>
      </c>
      <c r="M19" s="13">
        <f ca="1">VLOOKUP($B19,'[11]Analisys QBR By Machine Report'!$C$109:$BD$166,9,FALSE)</f>
        <v>2885</v>
      </c>
      <c r="N19" s="13">
        <f ca="1">VLOOKUP($B19,[11]Dasboard_QBR_Report!$B$109:$BL$166,18,FALSE)</f>
        <v>4405</v>
      </c>
      <c r="O19" s="13">
        <f ca="1">VLOOKUP($B19,'[11]Analisys QBR By Machine Report'!$C$109:$BD$166,10,FALSE)</f>
        <v>1695</v>
      </c>
      <c r="P19" s="13">
        <f ca="1">VLOOKUP($B19,'[11]Analisys QBR By Machine Report'!$C$109:$BD$166,11,FALSE)</f>
        <v>980</v>
      </c>
      <c r="Q19" s="13">
        <f ca="1">VLOOKUP($B19,'[11]Analisys QBR By Machine Report'!$C$109:$BD$166,12,FALSE)</f>
        <v>0</v>
      </c>
      <c r="R19" s="13">
        <f ca="1">VLOOKUP($B19,'[11]Analisys QBR By Machine Report'!$C$109:$BD$166,13,FALSE)</f>
        <v>715</v>
      </c>
      <c r="S19" s="13">
        <f ca="1">VLOOKUP($B19,'[11]Analisys QBR By Machine Report'!$C$109:$BD$166,14,FALSE)</f>
        <v>0</v>
      </c>
      <c r="T19" s="13">
        <f ca="1">VLOOKUP($B19,'[11]Analisys QBR By Machine Report'!$C$109:$BD$166,15,FALSE)</f>
        <v>0</v>
      </c>
      <c r="U19" s="13">
        <f ca="1">VLOOKUP($B19,'[11]Analisys QBR By Machine Report'!$C$109:$BD$166,16,FALSE)</f>
        <v>0</v>
      </c>
      <c r="V19" s="13">
        <f ca="1">VLOOKUP($B19,'[11]Analisys QBR By Machine Report'!$C$109:$BD$166,17,FALSE)</f>
        <v>0</v>
      </c>
      <c r="W19" s="13">
        <f ca="1">VLOOKUP($B19,'[11]Analisys QBR By Machine Report'!$C$109:$BD$166,18,FALSE)</f>
        <v>0</v>
      </c>
      <c r="X19" s="13">
        <f ca="1">VLOOKUP($B19,'[11]Analisys QBR By Machine Report'!$C$109:$BD$166,19,FALSE)</f>
        <v>0</v>
      </c>
      <c r="Y19" s="13">
        <f ca="1">VLOOKUP($B19,'[11]Analisys QBR By Machine Report'!$C$109:$BD$166,20,FALSE)</f>
        <v>0</v>
      </c>
      <c r="Z19" s="13">
        <f ca="1">VLOOKUP($B19,'[11]Analisys QBR By Machine Report'!$C$109:$BD$166,21,FALSE)</f>
        <v>1325</v>
      </c>
      <c r="AA19" s="13">
        <f ca="1">VLOOKUP($B19,'[11]Analisys QBR By Machine Report'!$C$109:$BD$166,22,FALSE)</f>
        <v>785</v>
      </c>
      <c r="AB19" s="13">
        <f ca="1">VLOOKUP($B19,'[11]Analisys QBR By Machine Report'!$C$109:$BD$166,23,FALSE)</f>
        <v>170</v>
      </c>
      <c r="AC19" s="13">
        <f ca="1">VLOOKUP($B19,'[11]Analisys QBR By Machine Report'!$C$109:$BD$166,24,FALSE)</f>
        <v>275</v>
      </c>
      <c r="AD19" s="13">
        <f ca="1">VLOOKUP($B19,'[11]Analisys QBR By Machine Report'!$C$109:$BD$166,25,FALSE)</f>
        <v>0</v>
      </c>
      <c r="AE19" s="13">
        <f ca="1">VLOOKUP($B19,'[11]Analisys QBR By Machine Report'!$C$109:$BD$166,26,FALSE)</f>
        <v>95</v>
      </c>
      <c r="AF19" s="13">
        <f ca="1">VLOOKUP($B19,'[11]Analisys QBR By Machine Report'!$C$109:$BD$166,27,FALSE)</f>
        <v>0</v>
      </c>
      <c r="AG19" s="13">
        <f ca="1">VLOOKUP($B19,'[11]Analisys QBR By Machine Report'!$C$109:$BD$166,28,FALSE)</f>
        <v>0</v>
      </c>
      <c r="AH19" s="13">
        <f ca="1">VLOOKUP($B19,'[11]Analisys QBR By Machine Report'!$C$109:$BD$166,29,FALSE)</f>
        <v>0</v>
      </c>
      <c r="AI19" s="13">
        <f ca="1">VLOOKUP($B19,'[11]Analisys QBR By Machine Report'!$C$109:$BD$166,30,FALSE)</f>
        <v>1385</v>
      </c>
      <c r="AJ19" s="13">
        <f ca="1">VLOOKUP($B19,'[11]Analisys QBR By Machine Report'!$C$109:$BD$166,31,FALSE)</f>
        <v>0</v>
      </c>
      <c r="AK19" s="13">
        <f ca="1">VLOOKUP($B19,'[11]Analisys QBR By Machine Report'!$C$109:$BD$166,32,FALSE)</f>
        <v>0</v>
      </c>
      <c r="AL19" s="13">
        <f ca="1">VLOOKUP($B19,'[11]Analisys QBR By Machine Report'!$C$109:$BD$166,33,FALSE)</f>
        <v>480</v>
      </c>
      <c r="AM19" s="13">
        <f ca="1">VLOOKUP($B19,'[11]Analisys QBR By Machine Report'!$C$109:$BD$166,34,FALSE)</f>
        <v>0</v>
      </c>
      <c r="AN19" s="13">
        <f ca="1">VLOOKUP($B19,'[11]Analisys QBR By Machine Report'!$C$109:$BD$166,35,FALSE)</f>
        <v>410</v>
      </c>
      <c r="AO19" s="13">
        <f ca="1">VLOOKUP($B19,'[11]Analisys QBR By Machine Report'!$C$109:$BD$166,36,FALSE)</f>
        <v>70</v>
      </c>
      <c r="AP19" s="13">
        <f ca="1">VLOOKUP($B19,'[11]Analisys QBR By Machine Report'!$C$109:$BD$166,37,FALSE)</f>
        <v>30</v>
      </c>
      <c r="AQ19" s="13">
        <f ca="1">VLOOKUP($B19,'[11]Analisys QBR By Machine Report'!$C$109:$BD$166,38,FALSE)</f>
        <v>0</v>
      </c>
      <c r="AR19" s="13">
        <f ca="1">VLOOKUP($B19,'[11]Analisys QBR By Machine Report'!$C$109:$BD$166,39,FALSE)</f>
        <v>0</v>
      </c>
      <c r="AS19" s="13">
        <f ca="1">VLOOKUP($B19,'[11]Analisys QBR By Machine Report'!$C$109:$BD$166,40,FALSE)</f>
        <v>170</v>
      </c>
      <c r="AT19" s="13">
        <f ca="1">VLOOKUP($B19,'[11]Analisys QBR By Machine Report'!$C$109:$BD$166,41,FALSE)</f>
        <v>0</v>
      </c>
      <c r="AU19" s="13">
        <f ca="1">VLOOKUP($B19,'[11]Analisys QBR By Machine Report'!$C$109:$BD$166,42,FALSE)</f>
        <v>0</v>
      </c>
      <c r="AV19" s="13">
        <f ca="1">VLOOKUP($B19,'[11]Analisys QBR By Machine Report'!$C$109:$BD$166,43,FALSE)</f>
        <v>0</v>
      </c>
      <c r="AW19" s="13">
        <f ca="1">VLOOKUP($B19,'[11]Analisys QBR By Machine Report'!$C$109:$BD$166,44,FALSE)</f>
        <v>0</v>
      </c>
      <c r="AX19" s="13">
        <f ca="1">VLOOKUP($B19,'[11]Analisys QBR By Machine Report'!$C$109:$BD$166,45,FALSE)</f>
        <v>0</v>
      </c>
      <c r="AY19" s="13">
        <f ca="1">VLOOKUP($B19,'[11]Analisys QBR By Machine Report'!$C$109:$BD$166,46,FALSE)</f>
        <v>0</v>
      </c>
      <c r="AZ19" s="13">
        <f ca="1">VLOOKUP($B19,'[11]Analisys QBR By Machine Report'!$C$109:$BD$166,47,FALSE)</f>
        <v>225</v>
      </c>
      <c r="BA19" s="13">
        <f ca="1">VLOOKUP($B19,'[11]Analisys QBR By Machine Report'!$C$109:$BD$166,48,FALSE)</f>
        <v>0</v>
      </c>
      <c r="BB19" s="13">
        <f ca="1">VLOOKUP($B19,'[11]Analisys QBR By Machine Report'!$C$109:$BD$166,49,FALSE)</f>
        <v>0</v>
      </c>
      <c r="BC19" s="13">
        <f ca="1">VLOOKUP($B19,'[11]Analisys QBR By Machine Report'!$C$109:$BD$166,50,FALSE)</f>
        <v>0</v>
      </c>
      <c r="BD19" s="13">
        <f ca="1">VLOOKUP($B19,'[11]Analisys QBR By Machine Report'!$C$109:$BD$166,51,FALSE)</f>
        <v>1569075</v>
      </c>
      <c r="BE19" s="13">
        <f ca="1">VLOOKUP($B19,'[11]Analisys QBR By Machine Report'!$C$109:$BD$166,52,FALSE)</f>
        <v>6699</v>
      </c>
      <c r="BF19" s="13">
        <f ca="1">VLOOKUP($B19,'[11]Analisys QBR By Machine Report'!$C$109:$BD$166,53,FALSE)</f>
        <v>1562376</v>
      </c>
    </row>
    <row r="20" spans="1:58" x14ac:dyDescent="0.25">
      <c r="A20" s="12" t="s">
        <v>76</v>
      </c>
      <c r="B20" s="13">
        <f ca="1">VLOOKUP($B20,'[11]Analisys QBR By Machine Report'!$C$109:$BD$166,2,FALSE)</f>
        <v>30240</v>
      </c>
      <c r="C20" s="14">
        <f ca="1">VLOOKUP($B20,[11]Dasboard_QBR_Report!$B$109:$BL$166,3,FALSE)</f>
        <v>10080</v>
      </c>
      <c r="D20" s="13">
        <f ca="1">VLOOKUP($B20,'[11]Analisys QBR By Machine Report'!$C$109:$BD$166,3,FALSE)</f>
        <v>24120</v>
      </c>
      <c r="E20" s="14">
        <f ca="1">VLOOKUP($B20,[11]Dasboard_QBR_Report!$B$109:$BL$166,5,FALSE)</f>
        <v>3960</v>
      </c>
      <c r="F20" s="13">
        <f t="shared" ca="1" si="0"/>
        <v>6120</v>
      </c>
      <c r="G20" s="13">
        <f t="shared" ca="1" si="1"/>
        <v>440</v>
      </c>
      <c r="H20" s="13">
        <f ca="1">VLOOKUP($B20,'[11]Analisys QBR By Machine Report'!$C$109:$BD$166,4,FALSE)</f>
        <v>440</v>
      </c>
      <c r="I20" s="13">
        <f ca="1">VLOOKUP($B20,'[11]Analisys QBR By Machine Report'!$C$109:$BD$166,5,FALSE)</f>
        <v>0</v>
      </c>
      <c r="J20" s="13">
        <f ca="1">VLOOKUP($B20,'[11]Analisys QBR By Machine Report'!$C$109:$BD$166,6,FALSE)</f>
        <v>440</v>
      </c>
      <c r="K20" s="13">
        <f ca="1">VLOOKUP($B20,'[11]Analisys QBR By Machine Report'!$C$109:$BD$166,7,FALSE)</f>
        <v>0</v>
      </c>
      <c r="L20" s="13">
        <f ca="1">VLOOKUP($B20,'[11]Analisys QBR By Machine Report'!$C$109:$BD$166,8,FALSE)</f>
        <v>5680</v>
      </c>
      <c r="M20" s="13">
        <f ca="1">VLOOKUP($B20,'[11]Analisys QBR By Machine Report'!$C$109:$BD$166,9,FALSE)</f>
        <v>2770</v>
      </c>
      <c r="N20" s="13">
        <f ca="1">VLOOKUP($B20,[11]Dasboard_QBR_Report!$B$109:$BL$166,18,FALSE)</f>
        <v>2910</v>
      </c>
      <c r="O20" s="13">
        <f ca="1">VLOOKUP($B20,'[11]Analisys QBR By Machine Report'!$C$109:$BD$166,10,FALSE)</f>
        <v>30</v>
      </c>
      <c r="P20" s="13">
        <f ca="1">VLOOKUP($B20,'[11]Analisys QBR By Machine Report'!$C$109:$BD$166,11,FALSE)</f>
        <v>30</v>
      </c>
      <c r="Q20" s="13">
        <f ca="1">VLOOKUP($B20,'[11]Analisys QBR By Machine Report'!$C$109:$BD$166,12,FALSE)</f>
        <v>0</v>
      </c>
      <c r="R20" s="13">
        <f ca="1">VLOOKUP($B20,'[11]Analisys QBR By Machine Report'!$C$109:$BD$166,13,FALSE)</f>
        <v>0</v>
      </c>
      <c r="S20" s="13">
        <f ca="1">VLOOKUP($B20,'[11]Analisys QBR By Machine Report'!$C$109:$BD$166,14,FALSE)</f>
        <v>0</v>
      </c>
      <c r="T20" s="13">
        <f ca="1">VLOOKUP($B20,'[11]Analisys QBR By Machine Report'!$C$109:$BD$166,15,FALSE)</f>
        <v>0</v>
      </c>
      <c r="U20" s="13">
        <f ca="1">VLOOKUP($B20,'[11]Analisys QBR By Machine Report'!$C$109:$BD$166,16,FALSE)</f>
        <v>0</v>
      </c>
      <c r="V20" s="13">
        <f ca="1">VLOOKUP($B20,'[11]Analisys QBR By Machine Report'!$C$109:$BD$166,17,FALSE)</f>
        <v>0</v>
      </c>
      <c r="W20" s="13">
        <f ca="1">VLOOKUP($B20,'[11]Analisys QBR By Machine Report'!$C$109:$BD$166,18,FALSE)</f>
        <v>0</v>
      </c>
      <c r="X20" s="13">
        <f ca="1">VLOOKUP($B20,'[11]Analisys QBR By Machine Report'!$C$109:$BD$166,19,FALSE)</f>
        <v>0</v>
      </c>
      <c r="Y20" s="13">
        <f ca="1">VLOOKUP($B20,'[11]Analisys QBR By Machine Report'!$C$109:$BD$166,20,FALSE)</f>
        <v>0</v>
      </c>
      <c r="Z20" s="13">
        <f ca="1">VLOOKUP($B20,'[11]Analisys QBR By Machine Report'!$C$109:$BD$166,21,FALSE)</f>
        <v>1845</v>
      </c>
      <c r="AA20" s="13">
        <f ca="1">VLOOKUP($B20,'[11]Analisys QBR By Machine Report'!$C$109:$BD$166,22,FALSE)</f>
        <v>1325</v>
      </c>
      <c r="AB20" s="13">
        <f ca="1">VLOOKUP($B20,'[11]Analisys QBR By Machine Report'!$C$109:$BD$166,23,FALSE)</f>
        <v>70</v>
      </c>
      <c r="AC20" s="13">
        <f ca="1">VLOOKUP($B20,'[11]Analisys QBR By Machine Report'!$C$109:$BD$166,24,FALSE)</f>
        <v>300</v>
      </c>
      <c r="AD20" s="13">
        <f ca="1">VLOOKUP($B20,'[11]Analisys QBR By Machine Report'!$C$109:$BD$166,25,FALSE)</f>
        <v>0</v>
      </c>
      <c r="AE20" s="13">
        <f ca="1">VLOOKUP($B20,'[11]Analisys QBR By Machine Report'!$C$109:$BD$166,26,FALSE)</f>
        <v>150</v>
      </c>
      <c r="AF20" s="13">
        <f ca="1">VLOOKUP($B20,'[11]Analisys QBR By Machine Report'!$C$109:$BD$166,27,FALSE)</f>
        <v>0</v>
      </c>
      <c r="AG20" s="13">
        <f ca="1">VLOOKUP($B20,'[11]Analisys QBR By Machine Report'!$C$109:$BD$166,28,FALSE)</f>
        <v>0</v>
      </c>
      <c r="AH20" s="13">
        <f ca="1">VLOOKUP($B20,'[11]Analisys QBR By Machine Report'!$C$109:$BD$166,29,FALSE)</f>
        <v>0</v>
      </c>
      <c r="AI20" s="13">
        <f ca="1">VLOOKUP($B20,'[11]Analisys QBR By Machine Report'!$C$109:$BD$166,30,FALSE)</f>
        <v>1035</v>
      </c>
      <c r="AJ20" s="13">
        <f ca="1">VLOOKUP($B20,'[11]Analisys QBR By Machine Report'!$C$109:$BD$166,31,FALSE)</f>
        <v>0</v>
      </c>
      <c r="AK20" s="13">
        <f ca="1">VLOOKUP($B20,'[11]Analisys QBR By Machine Report'!$C$109:$BD$166,32,FALSE)</f>
        <v>300</v>
      </c>
      <c r="AL20" s="13">
        <f ca="1">VLOOKUP($B20,'[11]Analisys QBR By Machine Report'!$C$109:$BD$166,33,FALSE)</f>
        <v>330</v>
      </c>
      <c r="AM20" s="13">
        <f ca="1">VLOOKUP($B20,'[11]Analisys QBR By Machine Report'!$C$109:$BD$166,34,FALSE)</f>
        <v>0</v>
      </c>
      <c r="AN20" s="13">
        <f ca="1">VLOOKUP($B20,'[11]Analisys QBR By Machine Report'!$C$109:$BD$166,35,FALSE)</f>
        <v>240</v>
      </c>
      <c r="AO20" s="13">
        <f ca="1">VLOOKUP($B20,'[11]Analisys QBR By Machine Report'!$C$109:$BD$166,36,FALSE)</f>
        <v>0</v>
      </c>
      <c r="AP20" s="13">
        <f ca="1">VLOOKUP($B20,'[11]Analisys QBR By Machine Report'!$C$109:$BD$166,37,FALSE)</f>
        <v>0</v>
      </c>
      <c r="AQ20" s="13">
        <f ca="1">VLOOKUP($B20,'[11]Analisys QBR By Machine Report'!$C$109:$BD$166,38,FALSE)</f>
        <v>0</v>
      </c>
      <c r="AR20" s="13">
        <f ca="1">VLOOKUP($B20,'[11]Analisys QBR By Machine Report'!$C$109:$BD$166,39,FALSE)</f>
        <v>0</v>
      </c>
      <c r="AS20" s="13">
        <f ca="1">VLOOKUP($B20,'[11]Analisys QBR By Machine Report'!$C$109:$BD$166,40,FALSE)</f>
        <v>120</v>
      </c>
      <c r="AT20" s="13">
        <f ca="1">VLOOKUP($B20,'[11]Analisys QBR By Machine Report'!$C$109:$BD$166,41,FALSE)</f>
        <v>0</v>
      </c>
      <c r="AU20" s="13">
        <f ca="1">VLOOKUP($B20,'[11]Analisys QBR By Machine Report'!$C$109:$BD$166,42,FALSE)</f>
        <v>0</v>
      </c>
      <c r="AV20" s="13">
        <f ca="1">VLOOKUP($B20,'[11]Analisys QBR By Machine Report'!$C$109:$BD$166,43,FALSE)</f>
        <v>0</v>
      </c>
      <c r="AW20" s="13">
        <f ca="1">VLOOKUP($B20,'[11]Analisys QBR By Machine Report'!$C$109:$BD$166,44,FALSE)</f>
        <v>0</v>
      </c>
      <c r="AX20" s="13">
        <f ca="1">VLOOKUP($B20,'[11]Analisys QBR By Machine Report'!$C$109:$BD$166,45,FALSE)</f>
        <v>0</v>
      </c>
      <c r="AY20" s="13">
        <f ca="1">VLOOKUP($B20,'[11]Analisys QBR By Machine Report'!$C$109:$BD$166,46,FALSE)</f>
        <v>0</v>
      </c>
      <c r="AZ20" s="13">
        <f ca="1">VLOOKUP($B20,'[11]Analisys QBR By Machine Report'!$C$109:$BD$166,47,FALSE)</f>
        <v>45</v>
      </c>
      <c r="BA20" s="13">
        <f ca="1">VLOOKUP($B20,'[11]Analisys QBR By Machine Report'!$C$109:$BD$166,48,FALSE)</f>
        <v>0</v>
      </c>
      <c r="BB20" s="13">
        <f ca="1">VLOOKUP($B20,'[11]Analisys QBR By Machine Report'!$C$109:$BD$166,49,FALSE)</f>
        <v>0</v>
      </c>
      <c r="BC20" s="13">
        <f ca="1">VLOOKUP($B20,'[11]Analisys QBR By Machine Report'!$C$109:$BD$166,50,FALSE)</f>
        <v>0</v>
      </c>
      <c r="BD20" s="13">
        <f ca="1">VLOOKUP($B20,'[11]Analisys QBR By Machine Report'!$C$109:$BD$166,51,FALSE)</f>
        <v>17864</v>
      </c>
      <c r="BE20" s="13">
        <f ca="1">VLOOKUP($B20,'[11]Analisys QBR By Machine Report'!$C$109:$BD$166,52,FALSE)</f>
        <v>41</v>
      </c>
      <c r="BF20" s="13">
        <f ca="1">VLOOKUP($B20,'[11]Analisys QBR By Machine Report'!$C$109:$BD$166,53,FALSE)</f>
        <v>17823</v>
      </c>
    </row>
    <row r="21" spans="1:58" x14ac:dyDescent="0.25">
      <c r="A21" s="12" t="s">
        <v>77</v>
      </c>
      <c r="B21" s="13">
        <f ca="1">VLOOKUP($B21,'[11]Analisys QBR By Machine Report'!$C$109:$BD$166,2,FALSE)</f>
        <v>30240</v>
      </c>
      <c r="C21" s="14">
        <f ca="1">VLOOKUP($B21,[11]Dasboard_QBR_Report!$B$109:$BL$166,3,FALSE)</f>
        <v>10080</v>
      </c>
      <c r="D21" s="13">
        <f ca="1">VLOOKUP($B21,'[11]Analisys QBR By Machine Report'!$C$109:$BD$166,3,FALSE)</f>
        <v>21420</v>
      </c>
      <c r="E21" s="14">
        <f ca="1">VLOOKUP($B21,[11]Dasboard_QBR_Report!$B$109:$BL$166,5,FALSE)</f>
        <v>1260</v>
      </c>
      <c r="F21" s="13">
        <f t="shared" ca="1" si="0"/>
        <v>8820</v>
      </c>
      <c r="G21" s="13">
        <f t="shared" ca="1" si="1"/>
        <v>750</v>
      </c>
      <c r="H21" s="13">
        <f ca="1">VLOOKUP($B21,'[11]Analisys QBR By Machine Report'!$C$109:$BD$166,4,FALSE)</f>
        <v>750</v>
      </c>
      <c r="I21" s="13">
        <f ca="1">VLOOKUP($B21,'[11]Analisys QBR By Machine Report'!$C$109:$BD$166,5,FALSE)</f>
        <v>0</v>
      </c>
      <c r="J21" s="13">
        <f ca="1">VLOOKUP($B21,'[11]Analisys QBR By Machine Report'!$C$109:$BD$166,6,FALSE)</f>
        <v>750</v>
      </c>
      <c r="K21" s="13">
        <f ca="1">VLOOKUP($B21,'[11]Analisys QBR By Machine Report'!$C$109:$BD$166,7,FALSE)</f>
        <v>0</v>
      </c>
      <c r="L21" s="13">
        <f ca="1">VLOOKUP($B21,'[11]Analisys QBR By Machine Report'!$C$109:$BD$166,8,FALSE)</f>
        <v>8070</v>
      </c>
      <c r="M21" s="13">
        <f ca="1">VLOOKUP($B21,'[11]Analisys QBR By Machine Report'!$C$109:$BD$166,9,FALSE)</f>
        <v>3295</v>
      </c>
      <c r="N21" s="13">
        <f ca="1">VLOOKUP($B21,[11]Dasboard_QBR_Report!$B$109:$BL$166,18,FALSE)</f>
        <v>4775</v>
      </c>
      <c r="O21" s="13">
        <f ca="1">VLOOKUP($B21,'[11]Analisys QBR By Machine Report'!$C$109:$BD$166,10,FALSE)</f>
        <v>1280</v>
      </c>
      <c r="P21" s="13">
        <f ca="1">VLOOKUP($B21,'[11]Analisys QBR By Machine Report'!$C$109:$BD$166,11,FALSE)</f>
        <v>565</v>
      </c>
      <c r="Q21" s="13">
        <f ca="1">VLOOKUP($B21,'[11]Analisys QBR By Machine Report'!$C$109:$BD$166,12,FALSE)</f>
        <v>0</v>
      </c>
      <c r="R21" s="13">
        <f ca="1">VLOOKUP($B21,'[11]Analisys QBR By Machine Report'!$C$109:$BD$166,13,FALSE)</f>
        <v>715</v>
      </c>
      <c r="S21" s="13">
        <f ca="1">VLOOKUP($B21,'[11]Analisys QBR By Machine Report'!$C$109:$BD$166,14,FALSE)</f>
        <v>0</v>
      </c>
      <c r="T21" s="13">
        <f ca="1">VLOOKUP($B21,'[11]Analisys QBR By Machine Report'!$C$109:$BD$166,15,FALSE)</f>
        <v>0</v>
      </c>
      <c r="U21" s="13">
        <f ca="1">VLOOKUP($B21,'[11]Analisys QBR By Machine Report'!$C$109:$BD$166,16,FALSE)</f>
        <v>0</v>
      </c>
      <c r="V21" s="13">
        <f ca="1">VLOOKUP($B21,'[11]Analisys QBR By Machine Report'!$C$109:$BD$166,17,FALSE)</f>
        <v>0</v>
      </c>
      <c r="W21" s="13">
        <f ca="1">VLOOKUP($B21,'[11]Analisys QBR By Machine Report'!$C$109:$BD$166,18,FALSE)</f>
        <v>0</v>
      </c>
      <c r="X21" s="13">
        <f ca="1">VLOOKUP($B21,'[11]Analisys QBR By Machine Report'!$C$109:$BD$166,19,FALSE)</f>
        <v>0</v>
      </c>
      <c r="Y21" s="13">
        <f ca="1">VLOOKUP($B21,'[11]Analisys QBR By Machine Report'!$C$109:$BD$166,20,FALSE)</f>
        <v>0</v>
      </c>
      <c r="Z21" s="13">
        <f ca="1">VLOOKUP($B21,'[11]Analisys QBR By Machine Report'!$C$109:$BD$166,21,FALSE)</f>
        <v>1315</v>
      </c>
      <c r="AA21" s="13">
        <f ca="1">VLOOKUP($B21,'[11]Analisys QBR By Machine Report'!$C$109:$BD$166,22,FALSE)</f>
        <v>730</v>
      </c>
      <c r="AB21" s="13">
        <f ca="1">VLOOKUP($B21,'[11]Analisys QBR By Machine Report'!$C$109:$BD$166,23,FALSE)</f>
        <v>215</v>
      </c>
      <c r="AC21" s="13">
        <f ca="1">VLOOKUP($B21,'[11]Analisys QBR By Machine Report'!$C$109:$BD$166,24,FALSE)</f>
        <v>290</v>
      </c>
      <c r="AD21" s="13">
        <f ca="1">VLOOKUP($B21,'[11]Analisys QBR By Machine Report'!$C$109:$BD$166,25,FALSE)</f>
        <v>0</v>
      </c>
      <c r="AE21" s="13">
        <f ca="1">VLOOKUP($B21,'[11]Analisys QBR By Machine Report'!$C$109:$BD$166,26,FALSE)</f>
        <v>80</v>
      </c>
      <c r="AF21" s="13">
        <f ca="1">VLOOKUP($B21,'[11]Analisys QBR By Machine Report'!$C$109:$BD$166,27,FALSE)</f>
        <v>0</v>
      </c>
      <c r="AG21" s="13">
        <f ca="1">VLOOKUP($B21,'[11]Analisys QBR By Machine Report'!$C$109:$BD$166,28,FALSE)</f>
        <v>0</v>
      </c>
      <c r="AH21" s="13">
        <f ca="1">VLOOKUP($B21,'[11]Analisys QBR By Machine Report'!$C$109:$BD$166,29,FALSE)</f>
        <v>0</v>
      </c>
      <c r="AI21" s="13">
        <f ca="1">VLOOKUP($B21,'[11]Analisys QBR By Machine Report'!$C$109:$BD$166,30,FALSE)</f>
        <v>2180</v>
      </c>
      <c r="AJ21" s="13">
        <f ca="1">VLOOKUP($B21,'[11]Analisys QBR By Machine Report'!$C$109:$BD$166,31,FALSE)</f>
        <v>100</v>
      </c>
      <c r="AK21" s="13">
        <f ca="1">VLOOKUP($B21,'[11]Analisys QBR By Machine Report'!$C$109:$BD$166,32,FALSE)</f>
        <v>335</v>
      </c>
      <c r="AL21" s="13">
        <f ca="1">VLOOKUP($B21,'[11]Analisys QBR By Machine Report'!$C$109:$BD$166,33,FALSE)</f>
        <v>480</v>
      </c>
      <c r="AM21" s="13">
        <f ca="1">VLOOKUP($B21,'[11]Analisys QBR By Machine Report'!$C$109:$BD$166,34,FALSE)</f>
        <v>0</v>
      </c>
      <c r="AN21" s="13">
        <f ca="1">VLOOKUP($B21,'[11]Analisys QBR By Machine Report'!$C$109:$BD$166,35,FALSE)</f>
        <v>405</v>
      </c>
      <c r="AO21" s="13">
        <f ca="1">VLOOKUP($B21,'[11]Analisys QBR By Machine Report'!$C$109:$BD$166,36,FALSE)</f>
        <v>270</v>
      </c>
      <c r="AP21" s="13">
        <f ca="1">VLOOKUP($B21,'[11]Analisys QBR By Machine Report'!$C$109:$BD$166,37,FALSE)</f>
        <v>0</v>
      </c>
      <c r="AQ21" s="13">
        <f ca="1">VLOOKUP($B21,'[11]Analisys QBR By Machine Report'!$C$109:$BD$166,38,FALSE)</f>
        <v>0</v>
      </c>
      <c r="AR21" s="13">
        <f ca="1">VLOOKUP($B21,'[11]Analisys QBR By Machine Report'!$C$109:$BD$166,39,FALSE)</f>
        <v>0</v>
      </c>
      <c r="AS21" s="13">
        <f ca="1">VLOOKUP($B21,'[11]Analisys QBR By Machine Report'!$C$109:$BD$166,40,FALSE)</f>
        <v>300</v>
      </c>
      <c r="AT21" s="13">
        <f ca="1">VLOOKUP($B21,'[11]Analisys QBR By Machine Report'!$C$109:$BD$166,41,FALSE)</f>
        <v>0</v>
      </c>
      <c r="AU21" s="13">
        <f ca="1">VLOOKUP($B21,'[11]Analisys QBR By Machine Report'!$C$109:$BD$166,42,FALSE)</f>
        <v>0</v>
      </c>
      <c r="AV21" s="13">
        <f ca="1">VLOOKUP($B21,'[11]Analisys QBR By Machine Report'!$C$109:$BD$166,43,FALSE)</f>
        <v>0</v>
      </c>
      <c r="AW21" s="13">
        <f ca="1">VLOOKUP($B21,'[11]Analisys QBR By Machine Report'!$C$109:$BD$166,44,FALSE)</f>
        <v>0</v>
      </c>
      <c r="AX21" s="13">
        <f ca="1">VLOOKUP($B21,'[11]Analisys QBR By Machine Report'!$C$109:$BD$166,45,FALSE)</f>
        <v>0</v>
      </c>
      <c r="AY21" s="13">
        <f ca="1">VLOOKUP($B21,'[11]Analisys QBR By Machine Report'!$C$109:$BD$166,46,FALSE)</f>
        <v>0</v>
      </c>
      <c r="AZ21" s="13">
        <f ca="1">VLOOKUP($B21,'[11]Analisys QBR By Machine Report'!$C$109:$BD$166,47,FALSE)</f>
        <v>290</v>
      </c>
      <c r="BA21" s="13">
        <f ca="1">VLOOKUP($B21,'[11]Analisys QBR By Machine Report'!$C$109:$BD$166,48,FALSE)</f>
        <v>0</v>
      </c>
      <c r="BB21" s="13">
        <f ca="1">VLOOKUP($B21,'[11]Analisys QBR By Machine Report'!$C$109:$BD$166,49,FALSE)</f>
        <v>0</v>
      </c>
      <c r="BC21" s="13">
        <f ca="1">VLOOKUP($B21,'[11]Analisys QBR By Machine Report'!$C$109:$BD$166,50,FALSE)</f>
        <v>0</v>
      </c>
      <c r="BD21" s="13">
        <f ca="1">VLOOKUP($B21,'[11]Analisys QBR By Machine Report'!$C$109:$BD$166,51,FALSE)</f>
        <v>1142745</v>
      </c>
      <c r="BE21" s="13">
        <f ca="1">VLOOKUP($B21,'[11]Analisys QBR By Machine Report'!$C$109:$BD$166,52,FALSE)</f>
        <v>5764</v>
      </c>
      <c r="BF21" s="13">
        <f ca="1">VLOOKUP($B21,'[11]Analisys QBR By Machine Report'!$C$109:$BD$166,53,FALSE)</f>
        <v>1136981</v>
      </c>
    </row>
    <row r="22" spans="1:58" x14ac:dyDescent="0.25">
      <c r="A22" s="9" t="s">
        <v>78</v>
      </c>
      <c r="B22" s="10">
        <f ca="1">VLOOKUP($B22,'[11]Analisys QBR By Machine Report'!$C$109:$BD$166,2,FALSE)</f>
        <v>30240</v>
      </c>
      <c r="C22" s="11">
        <f ca="1">VLOOKUP($B22,[11]Dasboard_QBR_Report!$B$109:$BL$166,3,FALSE)</f>
        <v>19530</v>
      </c>
      <c r="D22" s="10">
        <f ca="1">VLOOKUP($B22,'[11]Analisys QBR By Machine Report'!$C$109:$BD$166,3,FALSE)</f>
        <v>23190</v>
      </c>
      <c r="E22" s="11">
        <f ca="1">VLOOKUP($B22,[11]Dasboard_QBR_Report!$B$109:$BL$166,5,FALSE)</f>
        <v>12480</v>
      </c>
      <c r="F22" s="10">
        <f t="shared" ca="1" si="0"/>
        <v>7050</v>
      </c>
      <c r="G22" s="10">
        <f t="shared" ca="1" si="1"/>
        <v>657</v>
      </c>
      <c r="H22" s="10">
        <f ca="1">VLOOKUP($B22,'[11]Analisys QBR By Machine Report'!$C$109:$BD$166,4,FALSE)</f>
        <v>657</v>
      </c>
      <c r="I22" s="10">
        <f ca="1">VLOOKUP($B22,'[11]Analisys QBR By Machine Report'!$C$109:$BD$166,5,FALSE)</f>
        <v>40</v>
      </c>
      <c r="J22" s="10">
        <f ca="1">VLOOKUP($B22,'[11]Analisys QBR By Machine Report'!$C$109:$BD$166,6,FALSE)</f>
        <v>617</v>
      </c>
      <c r="K22" s="10">
        <f ca="1">VLOOKUP($B22,'[11]Analisys QBR By Machine Report'!$C$109:$BD$166,7,FALSE)</f>
        <v>0</v>
      </c>
      <c r="L22" s="10">
        <f ca="1">VLOOKUP($B22,'[11]Analisys QBR By Machine Report'!$C$109:$BD$166,8,FALSE)</f>
        <v>6393</v>
      </c>
      <c r="M22" s="10">
        <f ca="1">VLOOKUP($B22,'[11]Analisys QBR By Machine Report'!$C$109:$BD$166,9,FALSE)</f>
        <v>2506</v>
      </c>
      <c r="N22" s="10">
        <f ca="1">VLOOKUP($B22,[11]Dasboard_QBR_Report!$B$109:$BL$166,18,FALSE)</f>
        <v>3887</v>
      </c>
      <c r="O22" s="10">
        <f ca="1">VLOOKUP($B22,'[11]Analisys QBR By Machine Report'!$C$109:$BD$166,10,FALSE)</f>
        <v>201</v>
      </c>
      <c r="P22" s="10">
        <f ca="1">VLOOKUP($B22,'[11]Analisys QBR By Machine Report'!$C$109:$BD$166,11,FALSE)</f>
        <v>201</v>
      </c>
      <c r="Q22" s="10">
        <f ca="1">VLOOKUP($B22,'[11]Analisys QBR By Machine Report'!$C$109:$BD$166,12,FALSE)</f>
        <v>0</v>
      </c>
      <c r="R22" s="10">
        <f ca="1">VLOOKUP($B22,'[11]Analisys QBR By Machine Report'!$C$109:$BD$166,13,FALSE)</f>
        <v>0</v>
      </c>
      <c r="S22" s="10">
        <f ca="1">VLOOKUP($B22,'[11]Analisys QBR By Machine Report'!$C$109:$BD$166,14,FALSE)</f>
        <v>0</v>
      </c>
      <c r="T22" s="10">
        <f ca="1">VLOOKUP($B22,'[11]Analisys QBR By Machine Report'!$C$109:$BD$166,15,FALSE)</f>
        <v>0</v>
      </c>
      <c r="U22" s="10">
        <f ca="1">VLOOKUP($B22,'[11]Analisys QBR By Machine Report'!$C$109:$BD$166,16,FALSE)</f>
        <v>0</v>
      </c>
      <c r="V22" s="10">
        <f ca="1">VLOOKUP($B22,'[11]Analisys QBR By Machine Report'!$C$109:$BD$166,17,FALSE)</f>
        <v>0</v>
      </c>
      <c r="W22" s="10">
        <f ca="1">VLOOKUP($B22,'[11]Analisys QBR By Machine Report'!$C$109:$BD$166,18,FALSE)</f>
        <v>0</v>
      </c>
      <c r="X22" s="10">
        <f ca="1">VLOOKUP($B22,'[11]Analisys QBR By Machine Report'!$C$109:$BD$166,19,FALSE)</f>
        <v>0</v>
      </c>
      <c r="Y22" s="10">
        <f ca="1">VLOOKUP($B22,'[11]Analisys QBR By Machine Report'!$C$109:$BD$166,20,FALSE)</f>
        <v>0</v>
      </c>
      <c r="Z22" s="10">
        <f ca="1">VLOOKUP($B22,'[11]Analisys QBR By Machine Report'!$C$109:$BD$166,21,FALSE)</f>
        <v>2657</v>
      </c>
      <c r="AA22" s="10">
        <f ca="1">VLOOKUP($B22,'[11]Analisys QBR By Machine Report'!$C$109:$BD$166,22,FALSE)</f>
        <v>184</v>
      </c>
      <c r="AB22" s="10">
        <f ca="1">VLOOKUP($B22,'[11]Analisys QBR By Machine Report'!$C$109:$BD$166,23,FALSE)</f>
        <v>2458</v>
      </c>
      <c r="AC22" s="10">
        <f ca="1">VLOOKUP($B22,'[11]Analisys QBR By Machine Report'!$C$109:$BD$166,24,FALSE)</f>
        <v>0</v>
      </c>
      <c r="AD22" s="10">
        <f ca="1">VLOOKUP($B22,'[11]Analisys QBR By Machine Report'!$C$109:$BD$166,25,FALSE)</f>
        <v>0</v>
      </c>
      <c r="AE22" s="10">
        <f ca="1">VLOOKUP($B22,'[11]Analisys QBR By Machine Report'!$C$109:$BD$166,26,FALSE)</f>
        <v>15</v>
      </c>
      <c r="AF22" s="10">
        <f ca="1">VLOOKUP($B22,'[11]Analisys QBR By Machine Report'!$C$109:$BD$166,27,FALSE)</f>
        <v>0</v>
      </c>
      <c r="AG22" s="10">
        <f ca="1">VLOOKUP($B22,'[11]Analisys QBR By Machine Report'!$C$109:$BD$166,28,FALSE)</f>
        <v>0</v>
      </c>
      <c r="AH22" s="10">
        <f ca="1">VLOOKUP($B22,'[11]Analisys QBR By Machine Report'!$C$109:$BD$166,29,FALSE)</f>
        <v>0</v>
      </c>
      <c r="AI22" s="10">
        <f ca="1">VLOOKUP($B22,'[11]Analisys QBR By Machine Report'!$C$109:$BD$166,30,FALSE)</f>
        <v>1029</v>
      </c>
      <c r="AJ22" s="10">
        <f ca="1">VLOOKUP($B22,'[11]Analisys QBR By Machine Report'!$C$109:$BD$166,31,FALSE)</f>
        <v>87</v>
      </c>
      <c r="AK22" s="10">
        <f ca="1">VLOOKUP($B22,'[11]Analisys QBR By Machine Report'!$C$109:$BD$166,32,FALSE)</f>
        <v>0</v>
      </c>
      <c r="AL22" s="10">
        <f ca="1">VLOOKUP($B22,'[11]Analisys QBR By Machine Report'!$C$109:$BD$166,33,FALSE)</f>
        <v>373</v>
      </c>
      <c r="AM22" s="10">
        <f ca="1">VLOOKUP($B22,'[11]Analisys QBR By Machine Report'!$C$109:$BD$166,34,FALSE)</f>
        <v>0</v>
      </c>
      <c r="AN22" s="10">
        <f ca="1">VLOOKUP($B22,'[11]Analisys QBR By Machine Report'!$C$109:$BD$166,35,FALSE)</f>
        <v>221</v>
      </c>
      <c r="AO22" s="10">
        <f ca="1">VLOOKUP($B22,'[11]Analisys QBR By Machine Report'!$C$109:$BD$166,36,FALSE)</f>
        <v>0</v>
      </c>
      <c r="AP22" s="10">
        <f ca="1">VLOOKUP($B22,'[11]Analisys QBR By Machine Report'!$C$109:$BD$166,37,FALSE)</f>
        <v>0</v>
      </c>
      <c r="AQ22" s="10">
        <f ca="1">VLOOKUP($B22,'[11]Analisys QBR By Machine Report'!$C$109:$BD$166,38,FALSE)</f>
        <v>0</v>
      </c>
      <c r="AR22" s="10">
        <f ca="1">VLOOKUP($B22,'[11]Analisys QBR By Machine Report'!$C$109:$BD$166,39,FALSE)</f>
        <v>0</v>
      </c>
      <c r="AS22" s="10">
        <f ca="1">VLOOKUP($B22,'[11]Analisys QBR By Machine Report'!$C$109:$BD$166,40,FALSE)</f>
        <v>0</v>
      </c>
      <c r="AT22" s="10">
        <f ca="1">VLOOKUP($B22,'[11]Analisys QBR By Machine Report'!$C$109:$BD$166,41,FALSE)</f>
        <v>0</v>
      </c>
      <c r="AU22" s="10">
        <f ca="1">VLOOKUP($B22,'[11]Analisys QBR By Machine Report'!$C$109:$BD$166,42,FALSE)</f>
        <v>0</v>
      </c>
      <c r="AV22" s="10">
        <f ca="1">VLOOKUP($B22,'[11]Analisys QBR By Machine Report'!$C$109:$BD$166,43,FALSE)</f>
        <v>15</v>
      </c>
      <c r="AW22" s="10">
        <f ca="1">VLOOKUP($B22,'[11]Analisys QBR By Machine Report'!$C$109:$BD$166,44,FALSE)</f>
        <v>0</v>
      </c>
      <c r="AX22" s="10">
        <f ca="1">VLOOKUP($B22,'[11]Analisys QBR By Machine Report'!$C$109:$BD$166,45,FALSE)</f>
        <v>0</v>
      </c>
      <c r="AY22" s="10">
        <f ca="1">VLOOKUP($B22,'[11]Analisys QBR By Machine Report'!$C$109:$BD$166,46,FALSE)</f>
        <v>0</v>
      </c>
      <c r="AZ22" s="10">
        <f ca="1">VLOOKUP($B22,'[11]Analisys QBR By Machine Report'!$C$109:$BD$166,47,FALSE)</f>
        <v>45</v>
      </c>
      <c r="BA22" s="10">
        <f ca="1">VLOOKUP($B22,'[11]Analisys QBR By Machine Report'!$C$109:$BD$166,48,FALSE)</f>
        <v>213</v>
      </c>
      <c r="BB22" s="10">
        <f ca="1">VLOOKUP($B22,'[11]Analisys QBR By Machine Report'!$C$109:$BD$166,49,FALSE)</f>
        <v>0</v>
      </c>
      <c r="BC22" s="10">
        <f ca="1">VLOOKUP($B22,'[11]Analisys QBR By Machine Report'!$C$109:$BD$166,50,FALSE)</f>
        <v>75</v>
      </c>
      <c r="BD22" s="10">
        <f ca="1">VLOOKUP($B22,'[11]Analisys QBR By Machine Report'!$C$109:$BD$166,51,FALSE)</f>
        <v>9820.08</v>
      </c>
      <c r="BE22" s="10">
        <f ca="1">VLOOKUP($B22,'[11]Analisys QBR By Machine Report'!$C$109:$BD$166,52,FALSE)</f>
        <v>1.3</v>
      </c>
      <c r="BF22" s="10">
        <f ca="1">VLOOKUP($B22,'[11]Analisys QBR By Machine Report'!$C$109:$BD$166,53,FALSE)</f>
        <v>9818.7800000000007</v>
      </c>
    </row>
    <row r="23" spans="1:58" x14ac:dyDescent="0.25">
      <c r="A23" s="12" t="s">
        <v>79</v>
      </c>
      <c r="B23" s="13">
        <f ca="1">VLOOKUP($B23,'[11]Analisys QBR By Machine Report'!$C$109:$BD$166,2,FALSE)</f>
        <v>30240</v>
      </c>
      <c r="C23" s="14">
        <f ca="1">VLOOKUP($B23,[11]Dasboard_QBR_Report!$B$109:$BL$166,3,FALSE)</f>
        <v>19530</v>
      </c>
      <c r="D23" s="13">
        <f ca="1">VLOOKUP($B23,'[11]Analisys QBR By Machine Report'!$C$109:$BD$166,3,FALSE)</f>
        <v>23190</v>
      </c>
      <c r="E23" s="14">
        <f ca="1">VLOOKUP($B23,[11]Dasboard_QBR_Report!$B$109:$BL$166,5,FALSE)</f>
        <v>12480</v>
      </c>
      <c r="F23" s="13">
        <f t="shared" ca="1" si="0"/>
        <v>7050</v>
      </c>
      <c r="G23" s="13">
        <f t="shared" ca="1" si="1"/>
        <v>657</v>
      </c>
      <c r="H23" s="13">
        <f ca="1">VLOOKUP($B23,'[11]Analisys QBR By Machine Report'!$C$109:$BD$166,4,FALSE)</f>
        <v>657</v>
      </c>
      <c r="I23" s="13">
        <f ca="1">VLOOKUP($B23,'[11]Analisys QBR By Machine Report'!$C$109:$BD$166,5,FALSE)</f>
        <v>40</v>
      </c>
      <c r="J23" s="13">
        <f ca="1">VLOOKUP($B23,'[11]Analisys QBR By Machine Report'!$C$109:$BD$166,6,FALSE)</f>
        <v>617</v>
      </c>
      <c r="K23" s="13">
        <f ca="1">VLOOKUP($B23,'[11]Analisys QBR By Machine Report'!$C$109:$BD$166,7,FALSE)</f>
        <v>0</v>
      </c>
      <c r="L23" s="13">
        <f ca="1">VLOOKUP($B23,'[11]Analisys QBR By Machine Report'!$C$109:$BD$166,8,FALSE)</f>
        <v>6393</v>
      </c>
      <c r="M23" s="13">
        <f ca="1">VLOOKUP($B23,'[11]Analisys QBR By Machine Report'!$C$109:$BD$166,9,FALSE)</f>
        <v>2506</v>
      </c>
      <c r="N23" s="13">
        <f ca="1">VLOOKUP($B23,[11]Dasboard_QBR_Report!$B$109:$BL$166,18,FALSE)</f>
        <v>3887</v>
      </c>
      <c r="O23" s="13">
        <f ca="1">VLOOKUP($B23,'[11]Analisys QBR By Machine Report'!$C$109:$BD$166,10,FALSE)</f>
        <v>201</v>
      </c>
      <c r="P23" s="13">
        <f ca="1">VLOOKUP($B23,'[11]Analisys QBR By Machine Report'!$C$109:$BD$166,11,FALSE)</f>
        <v>201</v>
      </c>
      <c r="Q23" s="13">
        <f ca="1">VLOOKUP($B23,'[11]Analisys QBR By Machine Report'!$C$109:$BD$166,12,FALSE)</f>
        <v>0</v>
      </c>
      <c r="R23" s="13">
        <f ca="1">VLOOKUP($B23,'[11]Analisys QBR By Machine Report'!$C$109:$BD$166,13,FALSE)</f>
        <v>0</v>
      </c>
      <c r="S23" s="13">
        <f ca="1">VLOOKUP($B23,'[11]Analisys QBR By Machine Report'!$C$109:$BD$166,14,FALSE)</f>
        <v>0</v>
      </c>
      <c r="T23" s="13">
        <f ca="1">VLOOKUP($B23,'[11]Analisys QBR By Machine Report'!$C$109:$BD$166,15,FALSE)</f>
        <v>0</v>
      </c>
      <c r="U23" s="13">
        <f ca="1">VLOOKUP($B23,'[11]Analisys QBR By Machine Report'!$C$109:$BD$166,16,FALSE)</f>
        <v>0</v>
      </c>
      <c r="V23" s="13">
        <f ca="1">VLOOKUP($B23,'[11]Analisys QBR By Machine Report'!$C$109:$BD$166,17,FALSE)</f>
        <v>0</v>
      </c>
      <c r="W23" s="13">
        <f ca="1">VLOOKUP($B23,'[11]Analisys QBR By Machine Report'!$C$109:$BD$166,18,FALSE)</f>
        <v>0</v>
      </c>
      <c r="X23" s="13">
        <f ca="1">VLOOKUP($B23,'[11]Analisys QBR By Machine Report'!$C$109:$BD$166,19,FALSE)</f>
        <v>0</v>
      </c>
      <c r="Y23" s="13">
        <f ca="1">VLOOKUP($B23,'[11]Analisys QBR By Machine Report'!$C$109:$BD$166,20,FALSE)</f>
        <v>0</v>
      </c>
      <c r="Z23" s="13">
        <f ca="1">VLOOKUP($B23,'[11]Analisys QBR By Machine Report'!$C$109:$BD$166,21,FALSE)</f>
        <v>2657</v>
      </c>
      <c r="AA23" s="13">
        <f ca="1">VLOOKUP($B23,'[11]Analisys QBR By Machine Report'!$C$109:$BD$166,22,FALSE)</f>
        <v>184</v>
      </c>
      <c r="AB23" s="13">
        <f ca="1">VLOOKUP($B23,'[11]Analisys QBR By Machine Report'!$C$109:$BD$166,23,FALSE)</f>
        <v>2458</v>
      </c>
      <c r="AC23" s="13">
        <f ca="1">VLOOKUP($B23,'[11]Analisys QBR By Machine Report'!$C$109:$BD$166,24,FALSE)</f>
        <v>0</v>
      </c>
      <c r="AD23" s="13">
        <f ca="1">VLOOKUP($B23,'[11]Analisys QBR By Machine Report'!$C$109:$BD$166,25,FALSE)</f>
        <v>0</v>
      </c>
      <c r="AE23" s="13">
        <f ca="1">VLOOKUP($B23,'[11]Analisys QBR By Machine Report'!$C$109:$BD$166,26,FALSE)</f>
        <v>15</v>
      </c>
      <c r="AF23" s="13">
        <f ca="1">VLOOKUP($B23,'[11]Analisys QBR By Machine Report'!$C$109:$BD$166,27,FALSE)</f>
        <v>0</v>
      </c>
      <c r="AG23" s="13">
        <f ca="1">VLOOKUP($B23,'[11]Analisys QBR By Machine Report'!$C$109:$BD$166,28,FALSE)</f>
        <v>0</v>
      </c>
      <c r="AH23" s="13">
        <f ca="1">VLOOKUP($B23,'[11]Analisys QBR By Machine Report'!$C$109:$BD$166,29,FALSE)</f>
        <v>0</v>
      </c>
      <c r="AI23" s="13">
        <f ca="1">VLOOKUP($B23,'[11]Analisys QBR By Machine Report'!$C$109:$BD$166,30,FALSE)</f>
        <v>1029</v>
      </c>
      <c r="AJ23" s="13">
        <f ca="1">VLOOKUP($B23,'[11]Analisys QBR By Machine Report'!$C$109:$BD$166,31,FALSE)</f>
        <v>87</v>
      </c>
      <c r="AK23" s="13">
        <f ca="1">VLOOKUP($B23,'[11]Analisys QBR By Machine Report'!$C$109:$BD$166,32,FALSE)</f>
        <v>0</v>
      </c>
      <c r="AL23" s="13">
        <f ca="1">VLOOKUP($B23,'[11]Analisys QBR By Machine Report'!$C$109:$BD$166,33,FALSE)</f>
        <v>373</v>
      </c>
      <c r="AM23" s="13">
        <f ca="1">VLOOKUP($B23,'[11]Analisys QBR By Machine Report'!$C$109:$BD$166,34,FALSE)</f>
        <v>0</v>
      </c>
      <c r="AN23" s="13">
        <f ca="1">VLOOKUP($B23,'[11]Analisys QBR By Machine Report'!$C$109:$BD$166,35,FALSE)</f>
        <v>221</v>
      </c>
      <c r="AO23" s="13">
        <f ca="1">VLOOKUP($B23,'[11]Analisys QBR By Machine Report'!$C$109:$BD$166,36,FALSE)</f>
        <v>0</v>
      </c>
      <c r="AP23" s="13">
        <f ca="1">VLOOKUP($B23,'[11]Analisys QBR By Machine Report'!$C$109:$BD$166,37,FALSE)</f>
        <v>0</v>
      </c>
      <c r="AQ23" s="13">
        <f ca="1">VLOOKUP($B23,'[11]Analisys QBR By Machine Report'!$C$109:$BD$166,38,FALSE)</f>
        <v>0</v>
      </c>
      <c r="AR23" s="13">
        <f ca="1">VLOOKUP($B23,'[11]Analisys QBR By Machine Report'!$C$109:$BD$166,39,FALSE)</f>
        <v>0</v>
      </c>
      <c r="AS23" s="13">
        <f ca="1">VLOOKUP($B23,'[11]Analisys QBR By Machine Report'!$C$109:$BD$166,40,FALSE)</f>
        <v>0</v>
      </c>
      <c r="AT23" s="13">
        <f ca="1">VLOOKUP($B23,'[11]Analisys QBR By Machine Report'!$C$109:$BD$166,41,FALSE)</f>
        <v>0</v>
      </c>
      <c r="AU23" s="13">
        <f ca="1">VLOOKUP($B23,'[11]Analisys QBR By Machine Report'!$C$109:$BD$166,42,FALSE)</f>
        <v>0</v>
      </c>
      <c r="AV23" s="13">
        <f ca="1">VLOOKUP($B23,'[11]Analisys QBR By Machine Report'!$C$109:$BD$166,43,FALSE)</f>
        <v>15</v>
      </c>
      <c r="AW23" s="13">
        <f ca="1">VLOOKUP($B23,'[11]Analisys QBR By Machine Report'!$C$109:$BD$166,44,FALSE)</f>
        <v>0</v>
      </c>
      <c r="AX23" s="13">
        <f ca="1">VLOOKUP($B23,'[11]Analisys QBR By Machine Report'!$C$109:$BD$166,45,FALSE)</f>
        <v>0</v>
      </c>
      <c r="AY23" s="13">
        <f ca="1">VLOOKUP($B23,'[11]Analisys QBR By Machine Report'!$C$109:$BD$166,46,FALSE)</f>
        <v>0</v>
      </c>
      <c r="AZ23" s="13">
        <f ca="1">VLOOKUP($B23,'[11]Analisys QBR By Machine Report'!$C$109:$BD$166,47,FALSE)</f>
        <v>45</v>
      </c>
      <c r="BA23" s="13">
        <f ca="1">VLOOKUP($B23,'[11]Analisys QBR By Machine Report'!$C$109:$BD$166,48,FALSE)</f>
        <v>213</v>
      </c>
      <c r="BB23" s="13">
        <f ca="1">VLOOKUP($B23,'[11]Analisys QBR By Machine Report'!$C$109:$BD$166,49,FALSE)</f>
        <v>0</v>
      </c>
      <c r="BC23" s="13">
        <f ca="1">VLOOKUP($B23,'[11]Analisys QBR By Machine Report'!$C$109:$BD$166,50,FALSE)</f>
        <v>75</v>
      </c>
      <c r="BD23" s="13">
        <f ca="1">VLOOKUP($B23,'[11]Analisys QBR By Machine Report'!$C$109:$BD$166,51,FALSE)</f>
        <v>9820.08</v>
      </c>
      <c r="BE23" s="13">
        <f ca="1">VLOOKUP($B23,'[11]Analisys QBR By Machine Report'!$C$109:$BD$166,52,FALSE)</f>
        <v>1.3</v>
      </c>
      <c r="BF23" s="13">
        <f ca="1">VLOOKUP($B23,'[11]Analisys QBR By Machine Report'!$C$109:$BD$166,53,FALSE)</f>
        <v>9818.7800000000007</v>
      </c>
    </row>
    <row r="24" spans="1:58" x14ac:dyDescent="0.25">
      <c r="A24" s="9" t="s">
        <v>80</v>
      </c>
      <c r="B24" s="10">
        <f ca="1">VLOOKUP($B24,'[11]Analisys QBR By Machine Report'!$C$109:$BD$166,2,FALSE)</f>
        <v>60480</v>
      </c>
      <c r="C24" s="11">
        <f ca="1">VLOOKUP($B24,[11]Dasboard_QBR_Report!$B$109:$BL$166,3,FALSE)</f>
        <v>39060</v>
      </c>
      <c r="D24" s="10">
        <f ca="1">VLOOKUP($B24,'[11]Analisys QBR By Machine Report'!$C$109:$BD$166,3,FALSE)</f>
        <v>49770</v>
      </c>
      <c r="E24" s="11">
        <f ca="1">VLOOKUP($B24,[11]Dasboard_QBR_Report!$B$109:$BL$166,5,FALSE)</f>
        <v>28350</v>
      </c>
      <c r="F24" s="10">
        <f t="shared" ca="1" si="0"/>
        <v>10710</v>
      </c>
      <c r="G24" s="10">
        <f t="shared" ca="1" si="1"/>
        <v>2465</v>
      </c>
      <c r="H24" s="10">
        <f ca="1">VLOOKUP($B24,'[11]Analisys QBR By Machine Report'!$C$109:$BD$166,4,FALSE)</f>
        <v>2465</v>
      </c>
      <c r="I24" s="10">
        <f ca="1">VLOOKUP($B24,'[11]Analisys QBR By Machine Report'!$C$109:$BD$166,5,FALSE)</f>
        <v>50</v>
      </c>
      <c r="J24" s="10">
        <f ca="1">VLOOKUP($B24,'[11]Analisys QBR By Machine Report'!$C$109:$BD$166,6,FALSE)</f>
        <v>2415</v>
      </c>
      <c r="K24" s="10">
        <f ca="1">VLOOKUP($B24,'[11]Analisys QBR By Machine Report'!$C$109:$BD$166,7,FALSE)</f>
        <v>0</v>
      </c>
      <c r="L24" s="10">
        <f ca="1">VLOOKUP($B24,'[11]Analisys QBR By Machine Report'!$C$109:$BD$166,8,FALSE)</f>
        <v>8245</v>
      </c>
      <c r="M24" s="10">
        <f ca="1">VLOOKUP($B24,'[11]Analisys QBR By Machine Report'!$C$109:$BD$166,9,FALSE)</f>
        <v>2920</v>
      </c>
      <c r="N24" s="10">
        <f ca="1">VLOOKUP($B24,[11]Dasboard_QBR_Report!$B$109:$BL$166,18,FALSE)</f>
        <v>5325</v>
      </c>
      <c r="O24" s="10">
        <f ca="1">VLOOKUP($B24,'[11]Analisys QBR By Machine Report'!$C$109:$BD$166,10,FALSE)</f>
        <v>840</v>
      </c>
      <c r="P24" s="10">
        <f ca="1">VLOOKUP($B24,'[11]Analisys QBR By Machine Report'!$C$109:$BD$166,11,FALSE)</f>
        <v>600</v>
      </c>
      <c r="Q24" s="10">
        <f ca="1">VLOOKUP($B24,'[11]Analisys QBR By Machine Report'!$C$109:$BD$166,12,FALSE)</f>
        <v>0</v>
      </c>
      <c r="R24" s="10">
        <f ca="1">VLOOKUP($B24,'[11]Analisys QBR By Machine Report'!$C$109:$BD$166,13,FALSE)</f>
        <v>120</v>
      </c>
      <c r="S24" s="10">
        <f ca="1">VLOOKUP($B24,'[11]Analisys QBR By Machine Report'!$C$109:$BD$166,14,FALSE)</f>
        <v>120</v>
      </c>
      <c r="T24" s="10">
        <f ca="1">VLOOKUP($B24,'[11]Analisys QBR By Machine Report'!$C$109:$BD$166,15,FALSE)</f>
        <v>15</v>
      </c>
      <c r="U24" s="10">
        <f ca="1">VLOOKUP($B24,'[11]Analisys QBR By Machine Report'!$C$109:$BD$166,16,FALSE)</f>
        <v>0</v>
      </c>
      <c r="V24" s="10">
        <f ca="1">VLOOKUP($B24,'[11]Analisys QBR By Machine Report'!$C$109:$BD$166,17,FALSE)</f>
        <v>0</v>
      </c>
      <c r="W24" s="10">
        <f ca="1">VLOOKUP($B24,'[11]Analisys QBR By Machine Report'!$C$109:$BD$166,18,FALSE)</f>
        <v>0</v>
      </c>
      <c r="X24" s="10">
        <f ca="1">VLOOKUP($B24,'[11]Analisys QBR By Machine Report'!$C$109:$BD$166,19,FALSE)</f>
        <v>15</v>
      </c>
      <c r="Y24" s="10">
        <f ca="1">VLOOKUP($B24,'[11]Analisys QBR By Machine Report'!$C$109:$BD$166,20,FALSE)</f>
        <v>0</v>
      </c>
      <c r="Z24" s="10">
        <f ca="1">VLOOKUP($B24,'[11]Analisys QBR By Machine Report'!$C$109:$BD$166,21,FALSE)</f>
        <v>2485</v>
      </c>
      <c r="AA24" s="10">
        <f ca="1">VLOOKUP($B24,'[11]Analisys QBR By Machine Report'!$C$109:$BD$166,22,FALSE)</f>
        <v>175</v>
      </c>
      <c r="AB24" s="10">
        <f ca="1">VLOOKUP($B24,'[11]Analisys QBR By Machine Report'!$C$109:$BD$166,23,FALSE)</f>
        <v>1600</v>
      </c>
      <c r="AC24" s="10">
        <f ca="1">VLOOKUP($B24,'[11]Analisys QBR By Machine Report'!$C$109:$BD$166,24,FALSE)</f>
        <v>30</v>
      </c>
      <c r="AD24" s="10">
        <f ca="1">VLOOKUP($B24,'[11]Analisys QBR By Machine Report'!$C$109:$BD$166,25,FALSE)</f>
        <v>0</v>
      </c>
      <c r="AE24" s="10">
        <f ca="1">VLOOKUP($B24,'[11]Analisys QBR By Machine Report'!$C$109:$BD$166,26,FALSE)</f>
        <v>680</v>
      </c>
      <c r="AF24" s="10">
        <f ca="1">VLOOKUP($B24,'[11]Analisys QBR By Machine Report'!$C$109:$BD$166,27,FALSE)</f>
        <v>0</v>
      </c>
      <c r="AG24" s="10">
        <f ca="1">VLOOKUP($B24,'[11]Analisys QBR By Machine Report'!$C$109:$BD$166,28,FALSE)</f>
        <v>0</v>
      </c>
      <c r="AH24" s="10">
        <f ca="1">VLOOKUP($B24,'[11]Analisys QBR By Machine Report'!$C$109:$BD$166,29,FALSE)</f>
        <v>0</v>
      </c>
      <c r="AI24" s="10">
        <f ca="1">VLOOKUP($B24,'[11]Analisys QBR By Machine Report'!$C$109:$BD$166,30,FALSE)</f>
        <v>1985</v>
      </c>
      <c r="AJ24" s="10">
        <f ca="1">VLOOKUP($B24,'[11]Analisys QBR By Machine Report'!$C$109:$BD$166,31,FALSE)</f>
        <v>0</v>
      </c>
      <c r="AK24" s="10">
        <f ca="1">VLOOKUP($B24,'[11]Analisys QBR By Machine Report'!$C$109:$BD$166,32,FALSE)</f>
        <v>0</v>
      </c>
      <c r="AL24" s="10">
        <f ca="1">VLOOKUP($B24,'[11]Analisys QBR By Machine Report'!$C$109:$BD$166,33,FALSE)</f>
        <v>420</v>
      </c>
      <c r="AM24" s="10">
        <f ca="1">VLOOKUP($B24,'[11]Analisys QBR By Machine Report'!$C$109:$BD$166,34,FALSE)</f>
        <v>0</v>
      </c>
      <c r="AN24" s="10">
        <f ca="1">VLOOKUP($B24,'[11]Analisys QBR By Machine Report'!$C$109:$BD$166,35,FALSE)</f>
        <v>300</v>
      </c>
      <c r="AO24" s="10">
        <f ca="1">VLOOKUP($B24,'[11]Analisys QBR By Machine Report'!$C$109:$BD$166,36,FALSE)</f>
        <v>0</v>
      </c>
      <c r="AP24" s="10">
        <f ca="1">VLOOKUP($B24,'[11]Analisys QBR By Machine Report'!$C$109:$BD$166,37,FALSE)</f>
        <v>0</v>
      </c>
      <c r="AQ24" s="10">
        <f ca="1">VLOOKUP($B24,'[11]Analisys QBR By Machine Report'!$C$109:$BD$166,38,FALSE)</f>
        <v>0</v>
      </c>
      <c r="AR24" s="10">
        <f ca="1">VLOOKUP($B24,'[11]Analisys QBR By Machine Report'!$C$109:$BD$166,39,FALSE)</f>
        <v>1265</v>
      </c>
      <c r="AS24" s="10">
        <f ca="1">VLOOKUP($B24,'[11]Analisys QBR By Machine Report'!$C$109:$BD$166,40,FALSE)</f>
        <v>0</v>
      </c>
      <c r="AT24" s="10">
        <f ca="1">VLOOKUP($B24,'[11]Analisys QBR By Machine Report'!$C$109:$BD$166,41,FALSE)</f>
        <v>0</v>
      </c>
      <c r="AU24" s="10">
        <f ca="1">VLOOKUP($B24,'[11]Analisys QBR By Machine Report'!$C$109:$BD$166,42,FALSE)</f>
        <v>0</v>
      </c>
      <c r="AV24" s="10">
        <f ca="1">VLOOKUP($B24,'[11]Analisys QBR By Machine Report'!$C$109:$BD$166,43,FALSE)</f>
        <v>0</v>
      </c>
      <c r="AW24" s="10">
        <f ca="1">VLOOKUP($B24,'[11]Analisys QBR By Machine Report'!$C$109:$BD$166,44,FALSE)</f>
        <v>0</v>
      </c>
      <c r="AX24" s="10">
        <f ca="1">VLOOKUP($B24,'[11]Analisys QBR By Machine Report'!$C$109:$BD$166,45,FALSE)</f>
        <v>0</v>
      </c>
      <c r="AY24" s="10">
        <f ca="1">VLOOKUP($B24,'[11]Analisys QBR By Machine Report'!$C$109:$BD$166,46,FALSE)</f>
        <v>0</v>
      </c>
      <c r="AZ24" s="10">
        <f ca="1">VLOOKUP($B24,'[11]Analisys QBR By Machine Report'!$C$109:$BD$166,47,FALSE)</f>
        <v>0</v>
      </c>
      <c r="BA24" s="10">
        <f ca="1">VLOOKUP($B24,'[11]Analisys QBR By Machine Report'!$C$109:$BD$166,48,FALSE)</f>
        <v>0</v>
      </c>
      <c r="BB24" s="10">
        <f ca="1">VLOOKUP($B24,'[11]Analisys QBR By Machine Report'!$C$109:$BD$166,49,FALSE)</f>
        <v>0</v>
      </c>
      <c r="BC24" s="10">
        <f ca="1">VLOOKUP($B24,'[11]Analisys QBR By Machine Report'!$C$109:$BD$166,50,FALSE)</f>
        <v>0</v>
      </c>
      <c r="BD24" s="10">
        <f ca="1">VLOOKUP($B24,'[11]Analisys QBR By Machine Report'!$C$109:$BD$166,51,FALSE)</f>
        <v>147044</v>
      </c>
      <c r="BE24" s="10">
        <f ca="1">VLOOKUP($B24,'[11]Analisys QBR By Machine Report'!$C$109:$BD$166,52,FALSE)</f>
        <v>298</v>
      </c>
      <c r="BF24" s="10">
        <f ca="1">VLOOKUP($B24,'[11]Analisys QBR By Machine Report'!$C$109:$BD$166,53,FALSE)</f>
        <v>146746</v>
      </c>
    </row>
    <row r="25" spans="1:58" x14ac:dyDescent="0.25">
      <c r="A25" s="12" t="s">
        <v>81</v>
      </c>
      <c r="B25" s="13">
        <f ca="1">VLOOKUP($B25,'[11]Analisys QBR By Machine Report'!$C$109:$BD$166,2,FALSE)</f>
        <v>30240</v>
      </c>
      <c r="C25" s="14">
        <f ca="1">VLOOKUP($B25,[11]Dasboard_QBR_Report!$B$109:$BL$166,3,FALSE)</f>
        <v>19530</v>
      </c>
      <c r="D25" s="13">
        <f ca="1">VLOOKUP($B25,'[11]Analisys QBR By Machine Report'!$C$109:$BD$166,3,FALSE)</f>
        <v>21570</v>
      </c>
      <c r="E25" s="14">
        <f ca="1">VLOOKUP($B25,[11]Dasboard_QBR_Report!$B$109:$BL$166,5,FALSE)</f>
        <v>10860</v>
      </c>
      <c r="F25" s="13">
        <f t="shared" ca="1" si="0"/>
        <v>8670</v>
      </c>
      <c r="G25" s="13">
        <f t="shared" ca="1" si="1"/>
        <v>1820</v>
      </c>
      <c r="H25" s="13">
        <f ca="1">VLOOKUP($B25,'[11]Analisys QBR By Machine Report'!$C$109:$BD$166,4,FALSE)</f>
        <v>1820</v>
      </c>
      <c r="I25" s="13">
        <f ca="1">VLOOKUP($B25,'[11]Analisys QBR By Machine Report'!$C$109:$BD$166,5,FALSE)</f>
        <v>50</v>
      </c>
      <c r="J25" s="13">
        <f ca="1">VLOOKUP($B25,'[11]Analisys QBR By Machine Report'!$C$109:$BD$166,6,FALSE)</f>
        <v>1770</v>
      </c>
      <c r="K25" s="13">
        <f ca="1">VLOOKUP($B25,'[11]Analisys QBR By Machine Report'!$C$109:$BD$166,7,FALSE)</f>
        <v>0</v>
      </c>
      <c r="L25" s="13">
        <f ca="1">VLOOKUP($B25,'[11]Analisys QBR By Machine Report'!$C$109:$BD$166,8,FALSE)</f>
        <v>6850</v>
      </c>
      <c r="M25" s="13">
        <f ca="1">VLOOKUP($B25,'[11]Analisys QBR By Machine Report'!$C$109:$BD$166,9,FALSE)</f>
        <v>2335</v>
      </c>
      <c r="N25" s="13">
        <f ca="1">VLOOKUP($B25,[11]Dasboard_QBR_Report!$B$109:$BL$166,18,FALSE)</f>
        <v>4515</v>
      </c>
      <c r="O25" s="13">
        <f ca="1">VLOOKUP($B25,'[11]Analisys QBR By Machine Report'!$C$109:$BD$166,10,FALSE)</f>
        <v>655</v>
      </c>
      <c r="P25" s="13">
        <f ca="1">VLOOKUP($B25,'[11]Analisys QBR By Machine Report'!$C$109:$BD$166,11,FALSE)</f>
        <v>510</v>
      </c>
      <c r="Q25" s="13">
        <f ca="1">VLOOKUP($B25,'[11]Analisys QBR By Machine Report'!$C$109:$BD$166,12,FALSE)</f>
        <v>0</v>
      </c>
      <c r="R25" s="13">
        <f ca="1">VLOOKUP($B25,'[11]Analisys QBR By Machine Report'!$C$109:$BD$166,13,FALSE)</f>
        <v>110</v>
      </c>
      <c r="S25" s="13">
        <f ca="1">VLOOKUP($B25,'[11]Analisys QBR By Machine Report'!$C$109:$BD$166,14,FALSE)</f>
        <v>35</v>
      </c>
      <c r="T25" s="13">
        <f ca="1">VLOOKUP($B25,'[11]Analisys QBR By Machine Report'!$C$109:$BD$166,15,FALSE)</f>
        <v>0</v>
      </c>
      <c r="U25" s="13">
        <f ca="1">VLOOKUP($B25,'[11]Analisys QBR By Machine Report'!$C$109:$BD$166,16,FALSE)</f>
        <v>0</v>
      </c>
      <c r="V25" s="13">
        <f ca="1">VLOOKUP($B25,'[11]Analisys QBR By Machine Report'!$C$109:$BD$166,17,FALSE)</f>
        <v>0</v>
      </c>
      <c r="W25" s="13">
        <f ca="1">VLOOKUP($B25,'[11]Analisys QBR By Machine Report'!$C$109:$BD$166,18,FALSE)</f>
        <v>0</v>
      </c>
      <c r="X25" s="13">
        <f ca="1">VLOOKUP($B25,'[11]Analisys QBR By Machine Report'!$C$109:$BD$166,19,FALSE)</f>
        <v>0</v>
      </c>
      <c r="Y25" s="13">
        <f ca="1">VLOOKUP($B25,'[11]Analisys QBR By Machine Report'!$C$109:$BD$166,20,FALSE)</f>
        <v>0</v>
      </c>
      <c r="Z25" s="13">
        <f ca="1">VLOOKUP($B25,'[11]Analisys QBR By Machine Report'!$C$109:$BD$166,21,FALSE)</f>
        <v>2025</v>
      </c>
      <c r="AA25" s="13">
        <f ca="1">VLOOKUP($B25,'[11]Analisys QBR By Machine Report'!$C$109:$BD$166,22,FALSE)</f>
        <v>130</v>
      </c>
      <c r="AB25" s="13">
        <f ca="1">VLOOKUP($B25,'[11]Analisys QBR By Machine Report'!$C$109:$BD$166,23,FALSE)</f>
        <v>1290</v>
      </c>
      <c r="AC25" s="13">
        <f ca="1">VLOOKUP($B25,'[11]Analisys QBR By Machine Report'!$C$109:$BD$166,24,FALSE)</f>
        <v>30</v>
      </c>
      <c r="AD25" s="13">
        <f ca="1">VLOOKUP($B25,'[11]Analisys QBR By Machine Report'!$C$109:$BD$166,25,FALSE)</f>
        <v>0</v>
      </c>
      <c r="AE25" s="13">
        <f ca="1">VLOOKUP($B25,'[11]Analisys QBR By Machine Report'!$C$109:$BD$166,26,FALSE)</f>
        <v>575</v>
      </c>
      <c r="AF25" s="13">
        <f ca="1">VLOOKUP($B25,'[11]Analisys QBR By Machine Report'!$C$109:$BD$166,27,FALSE)</f>
        <v>0</v>
      </c>
      <c r="AG25" s="13">
        <f ca="1">VLOOKUP($B25,'[11]Analisys QBR By Machine Report'!$C$109:$BD$166,28,FALSE)</f>
        <v>0</v>
      </c>
      <c r="AH25" s="13">
        <f ca="1">VLOOKUP($B25,'[11]Analisys QBR By Machine Report'!$C$109:$BD$166,29,FALSE)</f>
        <v>0</v>
      </c>
      <c r="AI25" s="13">
        <f ca="1">VLOOKUP($B25,'[11]Analisys QBR By Machine Report'!$C$109:$BD$166,30,FALSE)</f>
        <v>1835</v>
      </c>
      <c r="AJ25" s="13">
        <f ca="1">VLOOKUP($B25,'[11]Analisys QBR By Machine Report'!$C$109:$BD$166,31,FALSE)</f>
        <v>0</v>
      </c>
      <c r="AK25" s="13">
        <f ca="1">VLOOKUP($B25,'[11]Analisys QBR By Machine Report'!$C$109:$BD$166,32,FALSE)</f>
        <v>0</v>
      </c>
      <c r="AL25" s="13">
        <f ca="1">VLOOKUP($B25,'[11]Analisys QBR By Machine Report'!$C$109:$BD$166,33,FALSE)</f>
        <v>330</v>
      </c>
      <c r="AM25" s="13">
        <f ca="1">VLOOKUP($B25,'[11]Analisys QBR By Machine Report'!$C$109:$BD$166,34,FALSE)</f>
        <v>0</v>
      </c>
      <c r="AN25" s="13">
        <f ca="1">VLOOKUP($B25,'[11]Analisys QBR By Machine Report'!$C$109:$BD$166,35,FALSE)</f>
        <v>255</v>
      </c>
      <c r="AO25" s="13">
        <f ca="1">VLOOKUP($B25,'[11]Analisys QBR By Machine Report'!$C$109:$BD$166,36,FALSE)</f>
        <v>0</v>
      </c>
      <c r="AP25" s="13">
        <f ca="1">VLOOKUP($B25,'[11]Analisys QBR By Machine Report'!$C$109:$BD$166,37,FALSE)</f>
        <v>0</v>
      </c>
      <c r="AQ25" s="13">
        <f ca="1">VLOOKUP($B25,'[11]Analisys QBR By Machine Report'!$C$109:$BD$166,38,FALSE)</f>
        <v>0</v>
      </c>
      <c r="AR25" s="13">
        <f ca="1">VLOOKUP($B25,'[11]Analisys QBR By Machine Report'!$C$109:$BD$166,39,FALSE)</f>
        <v>1250</v>
      </c>
      <c r="AS25" s="13">
        <f ca="1">VLOOKUP($B25,'[11]Analisys QBR By Machine Report'!$C$109:$BD$166,40,FALSE)</f>
        <v>0</v>
      </c>
      <c r="AT25" s="13">
        <f ca="1">VLOOKUP($B25,'[11]Analisys QBR By Machine Report'!$C$109:$BD$166,41,FALSE)</f>
        <v>0</v>
      </c>
      <c r="AU25" s="13">
        <f ca="1">VLOOKUP($B25,'[11]Analisys QBR By Machine Report'!$C$109:$BD$166,42,FALSE)</f>
        <v>0</v>
      </c>
      <c r="AV25" s="13">
        <f ca="1">VLOOKUP($B25,'[11]Analisys QBR By Machine Report'!$C$109:$BD$166,43,FALSE)</f>
        <v>0</v>
      </c>
      <c r="AW25" s="13">
        <f ca="1">VLOOKUP($B25,'[11]Analisys QBR By Machine Report'!$C$109:$BD$166,44,FALSE)</f>
        <v>0</v>
      </c>
      <c r="AX25" s="13">
        <f ca="1">VLOOKUP($B25,'[11]Analisys QBR By Machine Report'!$C$109:$BD$166,45,FALSE)</f>
        <v>0</v>
      </c>
      <c r="AY25" s="13">
        <f ca="1">VLOOKUP($B25,'[11]Analisys QBR By Machine Report'!$C$109:$BD$166,46,FALSE)</f>
        <v>0</v>
      </c>
      <c r="AZ25" s="13">
        <f ca="1">VLOOKUP($B25,'[11]Analisys QBR By Machine Report'!$C$109:$BD$166,47,FALSE)</f>
        <v>0</v>
      </c>
      <c r="BA25" s="13">
        <f ca="1">VLOOKUP($B25,'[11]Analisys QBR By Machine Report'!$C$109:$BD$166,48,FALSE)</f>
        <v>0</v>
      </c>
      <c r="BB25" s="13">
        <f ca="1">VLOOKUP($B25,'[11]Analisys QBR By Machine Report'!$C$109:$BD$166,49,FALSE)</f>
        <v>0</v>
      </c>
      <c r="BC25" s="13">
        <f ca="1">VLOOKUP($B25,'[11]Analisys QBR By Machine Report'!$C$109:$BD$166,50,FALSE)</f>
        <v>0</v>
      </c>
      <c r="BD25" s="13">
        <f ca="1">VLOOKUP($B25,'[11]Analisys QBR By Machine Report'!$C$109:$BD$166,51,FALSE)</f>
        <v>120486</v>
      </c>
      <c r="BE25" s="13">
        <f ca="1">VLOOKUP($B25,'[11]Analisys QBR By Machine Report'!$C$109:$BD$166,52,FALSE)</f>
        <v>238</v>
      </c>
      <c r="BF25" s="13">
        <f ca="1">VLOOKUP($B25,'[11]Analisys QBR By Machine Report'!$C$109:$BD$166,53,FALSE)</f>
        <v>120248</v>
      </c>
    </row>
    <row r="26" spans="1:58" x14ac:dyDescent="0.25">
      <c r="A26" s="12" t="s">
        <v>82</v>
      </c>
      <c r="B26" s="13">
        <f ca="1">VLOOKUP($B26,'[11]Analisys QBR By Machine Report'!$C$109:$BD$166,2,FALSE)</f>
        <v>30240</v>
      </c>
      <c r="C26" s="14">
        <f ca="1">VLOOKUP($B26,[11]Dasboard_QBR_Report!$B$109:$BL$166,3,FALSE)</f>
        <v>19530</v>
      </c>
      <c r="D26" s="13">
        <f ca="1">VLOOKUP($B26,'[11]Analisys QBR By Machine Report'!$C$109:$BD$166,3,FALSE)</f>
        <v>28200</v>
      </c>
      <c r="E26" s="14">
        <f ca="1">VLOOKUP($B26,[11]Dasboard_QBR_Report!$B$109:$BL$166,5,FALSE)</f>
        <v>17490</v>
      </c>
      <c r="F26" s="13">
        <f t="shared" ca="1" si="0"/>
        <v>2040</v>
      </c>
      <c r="G26" s="13">
        <f t="shared" ca="1" si="1"/>
        <v>645</v>
      </c>
      <c r="H26" s="13">
        <f ca="1">VLOOKUP($B26,'[11]Analisys QBR By Machine Report'!$C$109:$BD$166,4,FALSE)</f>
        <v>645</v>
      </c>
      <c r="I26" s="13">
        <f ca="1">VLOOKUP($B26,'[11]Analisys QBR By Machine Report'!$C$109:$BD$166,5,FALSE)</f>
        <v>0</v>
      </c>
      <c r="J26" s="13">
        <f ca="1">VLOOKUP($B26,'[11]Analisys QBR By Machine Report'!$C$109:$BD$166,6,FALSE)</f>
        <v>645</v>
      </c>
      <c r="K26" s="13">
        <f ca="1">VLOOKUP($B26,'[11]Analisys QBR By Machine Report'!$C$109:$BD$166,7,FALSE)</f>
        <v>0</v>
      </c>
      <c r="L26" s="13">
        <f ca="1">VLOOKUP($B26,'[11]Analisys QBR By Machine Report'!$C$109:$BD$166,8,FALSE)</f>
        <v>1395</v>
      </c>
      <c r="M26" s="13">
        <f ca="1">VLOOKUP($B26,'[11]Analisys QBR By Machine Report'!$C$109:$BD$166,9,FALSE)</f>
        <v>585</v>
      </c>
      <c r="N26" s="13">
        <f ca="1">VLOOKUP($B26,[11]Dasboard_QBR_Report!$B$109:$BL$166,18,FALSE)</f>
        <v>810</v>
      </c>
      <c r="O26" s="13">
        <f ca="1">VLOOKUP($B26,'[11]Analisys QBR By Machine Report'!$C$109:$BD$166,10,FALSE)</f>
        <v>185</v>
      </c>
      <c r="P26" s="13">
        <f ca="1">VLOOKUP($B26,'[11]Analisys QBR By Machine Report'!$C$109:$BD$166,11,FALSE)</f>
        <v>90</v>
      </c>
      <c r="Q26" s="13">
        <f ca="1">VLOOKUP($B26,'[11]Analisys QBR By Machine Report'!$C$109:$BD$166,12,FALSE)</f>
        <v>0</v>
      </c>
      <c r="R26" s="13">
        <f ca="1">VLOOKUP($B26,'[11]Analisys QBR By Machine Report'!$C$109:$BD$166,13,FALSE)</f>
        <v>10</v>
      </c>
      <c r="S26" s="13">
        <f ca="1">VLOOKUP($B26,'[11]Analisys QBR By Machine Report'!$C$109:$BD$166,14,FALSE)</f>
        <v>85</v>
      </c>
      <c r="T26" s="13">
        <f ca="1">VLOOKUP($B26,'[11]Analisys QBR By Machine Report'!$C$109:$BD$166,15,FALSE)</f>
        <v>15</v>
      </c>
      <c r="U26" s="13">
        <f ca="1">VLOOKUP($B26,'[11]Analisys QBR By Machine Report'!$C$109:$BD$166,16,FALSE)</f>
        <v>0</v>
      </c>
      <c r="V26" s="13">
        <f ca="1">VLOOKUP($B26,'[11]Analisys QBR By Machine Report'!$C$109:$BD$166,17,FALSE)</f>
        <v>0</v>
      </c>
      <c r="W26" s="13">
        <f ca="1">VLOOKUP($B26,'[11]Analisys QBR By Machine Report'!$C$109:$BD$166,18,FALSE)</f>
        <v>0</v>
      </c>
      <c r="X26" s="13">
        <f ca="1">VLOOKUP($B26,'[11]Analisys QBR By Machine Report'!$C$109:$BD$166,19,FALSE)</f>
        <v>15</v>
      </c>
      <c r="Y26" s="13">
        <f ca="1">VLOOKUP($B26,'[11]Analisys QBR By Machine Report'!$C$109:$BD$166,20,FALSE)</f>
        <v>0</v>
      </c>
      <c r="Z26" s="13">
        <f ca="1">VLOOKUP($B26,'[11]Analisys QBR By Machine Report'!$C$109:$BD$166,21,FALSE)</f>
        <v>460</v>
      </c>
      <c r="AA26" s="13">
        <f ca="1">VLOOKUP($B26,'[11]Analisys QBR By Machine Report'!$C$109:$BD$166,22,FALSE)</f>
        <v>45</v>
      </c>
      <c r="AB26" s="13">
        <f ca="1">VLOOKUP($B26,'[11]Analisys QBR By Machine Report'!$C$109:$BD$166,23,FALSE)</f>
        <v>310</v>
      </c>
      <c r="AC26" s="13">
        <f ca="1">VLOOKUP($B26,'[11]Analisys QBR By Machine Report'!$C$109:$BD$166,24,FALSE)</f>
        <v>0</v>
      </c>
      <c r="AD26" s="13">
        <f ca="1">VLOOKUP($B26,'[11]Analisys QBR By Machine Report'!$C$109:$BD$166,25,FALSE)</f>
        <v>0</v>
      </c>
      <c r="AE26" s="13">
        <f ca="1">VLOOKUP($B26,'[11]Analisys QBR By Machine Report'!$C$109:$BD$166,26,FALSE)</f>
        <v>105</v>
      </c>
      <c r="AF26" s="13">
        <f ca="1">VLOOKUP($B26,'[11]Analisys QBR By Machine Report'!$C$109:$BD$166,27,FALSE)</f>
        <v>0</v>
      </c>
      <c r="AG26" s="13">
        <f ca="1">VLOOKUP($B26,'[11]Analisys QBR By Machine Report'!$C$109:$BD$166,28,FALSE)</f>
        <v>0</v>
      </c>
      <c r="AH26" s="13">
        <f ca="1">VLOOKUP($B26,'[11]Analisys QBR By Machine Report'!$C$109:$BD$166,29,FALSE)</f>
        <v>0</v>
      </c>
      <c r="AI26" s="13">
        <f ca="1">VLOOKUP($B26,'[11]Analisys QBR By Machine Report'!$C$109:$BD$166,30,FALSE)</f>
        <v>150</v>
      </c>
      <c r="AJ26" s="13">
        <f ca="1">VLOOKUP($B26,'[11]Analisys QBR By Machine Report'!$C$109:$BD$166,31,FALSE)</f>
        <v>0</v>
      </c>
      <c r="AK26" s="13">
        <f ca="1">VLOOKUP($B26,'[11]Analisys QBR By Machine Report'!$C$109:$BD$166,32,FALSE)</f>
        <v>0</v>
      </c>
      <c r="AL26" s="13">
        <f ca="1">VLOOKUP($B26,'[11]Analisys QBR By Machine Report'!$C$109:$BD$166,33,FALSE)</f>
        <v>90</v>
      </c>
      <c r="AM26" s="13">
        <f ca="1">VLOOKUP($B26,'[11]Analisys QBR By Machine Report'!$C$109:$BD$166,34,FALSE)</f>
        <v>0</v>
      </c>
      <c r="AN26" s="13">
        <f ca="1">VLOOKUP($B26,'[11]Analisys QBR By Machine Report'!$C$109:$BD$166,35,FALSE)</f>
        <v>45</v>
      </c>
      <c r="AO26" s="13">
        <f ca="1">VLOOKUP($B26,'[11]Analisys QBR By Machine Report'!$C$109:$BD$166,36,FALSE)</f>
        <v>0</v>
      </c>
      <c r="AP26" s="13">
        <f ca="1">VLOOKUP($B26,'[11]Analisys QBR By Machine Report'!$C$109:$BD$166,37,FALSE)</f>
        <v>0</v>
      </c>
      <c r="AQ26" s="13">
        <f ca="1">VLOOKUP($B26,'[11]Analisys QBR By Machine Report'!$C$109:$BD$166,38,FALSE)</f>
        <v>0</v>
      </c>
      <c r="AR26" s="13">
        <f ca="1">VLOOKUP($B26,'[11]Analisys QBR By Machine Report'!$C$109:$BD$166,39,FALSE)</f>
        <v>15</v>
      </c>
      <c r="AS26" s="13">
        <f ca="1">VLOOKUP($B26,'[11]Analisys QBR By Machine Report'!$C$109:$BD$166,40,FALSE)</f>
        <v>0</v>
      </c>
      <c r="AT26" s="13">
        <f ca="1">VLOOKUP($B26,'[11]Analisys QBR By Machine Report'!$C$109:$BD$166,41,FALSE)</f>
        <v>0</v>
      </c>
      <c r="AU26" s="13">
        <f ca="1">VLOOKUP($B26,'[11]Analisys QBR By Machine Report'!$C$109:$BD$166,42,FALSE)</f>
        <v>0</v>
      </c>
      <c r="AV26" s="13">
        <f ca="1">VLOOKUP($B26,'[11]Analisys QBR By Machine Report'!$C$109:$BD$166,43,FALSE)</f>
        <v>0</v>
      </c>
      <c r="AW26" s="13">
        <f ca="1">VLOOKUP($B26,'[11]Analisys QBR By Machine Report'!$C$109:$BD$166,44,FALSE)</f>
        <v>0</v>
      </c>
      <c r="AX26" s="13">
        <f ca="1">VLOOKUP($B26,'[11]Analisys QBR By Machine Report'!$C$109:$BD$166,45,FALSE)</f>
        <v>0</v>
      </c>
      <c r="AY26" s="13">
        <f ca="1">VLOOKUP($B26,'[11]Analisys QBR By Machine Report'!$C$109:$BD$166,46,FALSE)</f>
        <v>0</v>
      </c>
      <c r="AZ26" s="13">
        <f ca="1">VLOOKUP($B26,'[11]Analisys QBR By Machine Report'!$C$109:$BD$166,47,FALSE)</f>
        <v>0</v>
      </c>
      <c r="BA26" s="13">
        <f ca="1">VLOOKUP($B26,'[11]Analisys QBR By Machine Report'!$C$109:$BD$166,48,FALSE)</f>
        <v>0</v>
      </c>
      <c r="BB26" s="13">
        <f ca="1">VLOOKUP($B26,'[11]Analisys QBR By Machine Report'!$C$109:$BD$166,49,FALSE)</f>
        <v>0</v>
      </c>
      <c r="BC26" s="13">
        <f ca="1">VLOOKUP($B26,'[11]Analisys QBR By Machine Report'!$C$109:$BD$166,50,FALSE)</f>
        <v>0</v>
      </c>
      <c r="BD26" s="13">
        <f ca="1">VLOOKUP($B26,'[11]Analisys QBR By Machine Report'!$C$109:$BD$166,51,FALSE)</f>
        <v>26558</v>
      </c>
      <c r="BE26" s="13">
        <f ca="1">VLOOKUP($B26,'[11]Analisys QBR By Machine Report'!$C$109:$BD$166,52,FALSE)</f>
        <v>60</v>
      </c>
      <c r="BF26" s="13">
        <f ca="1">VLOOKUP($B26,'[11]Analisys QBR By Machine Report'!$C$109:$BD$166,53,FALSE)</f>
        <v>26498</v>
      </c>
    </row>
    <row r="27" spans="1:58" x14ac:dyDescent="0.25">
      <c r="A27" s="9" t="s">
        <v>83</v>
      </c>
      <c r="B27" s="10">
        <f ca="1">VLOOKUP($B27,'[11]Analisys QBR By Machine Report'!$C$109:$BD$166,2,FALSE)</f>
        <v>30240</v>
      </c>
      <c r="C27" s="11">
        <f ca="1">VLOOKUP($B27,[11]Dasboard_QBR_Report!$B$109:$BL$166,3,FALSE)</f>
        <v>19530</v>
      </c>
      <c r="D27" s="10">
        <f ca="1">VLOOKUP($B27,'[11]Analisys QBR By Machine Report'!$C$109:$BD$166,3,FALSE)</f>
        <v>25380</v>
      </c>
      <c r="E27" s="11">
        <f ca="1">VLOOKUP($B27,[11]Dasboard_QBR_Report!$B$109:$BL$166,5,FALSE)</f>
        <v>14670</v>
      </c>
      <c r="F27" s="10">
        <f t="shared" ca="1" si="0"/>
        <v>4860</v>
      </c>
      <c r="G27" s="10">
        <f t="shared" ca="1" si="1"/>
        <v>0</v>
      </c>
      <c r="H27" s="10">
        <f ca="1">VLOOKUP($B27,'[11]Analisys QBR By Machine Report'!$C$109:$BD$166,4,FALSE)</f>
        <v>0</v>
      </c>
      <c r="I27" s="10">
        <f ca="1">VLOOKUP($B27,'[11]Analisys QBR By Machine Report'!$C$109:$BD$166,5,FALSE)</f>
        <v>0</v>
      </c>
      <c r="J27" s="10">
        <f ca="1">VLOOKUP($B27,'[11]Analisys QBR By Machine Report'!$C$109:$BD$166,6,FALSE)</f>
        <v>0</v>
      </c>
      <c r="K27" s="10">
        <f ca="1">VLOOKUP($B27,'[11]Analisys QBR By Machine Report'!$C$109:$BD$166,7,FALSE)</f>
        <v>0</v>
      </c>
      <c r="L27" s="10">
        <f ca="1">VLOOKUP($B27,'[11]Analisys QBR By Machine Report'!$C$109:$BD$166,8,FALSE)</f>
        <v>4860</v>
      </c>
      <c r="M27" s="10">
        <f ca="1">VLOOKUP($B27,'[11]Analisys QBR By Machine Report'!$C$109:$BD$166,9,FALSE)</f>
        <v>1657</v>
      </c>
      <c r="N27" s="10">
        <f ca="1">VLOOKUP($B27,[11]Dasboard_QBR_Report!$B$109:$BL$166,18,FALSE)</f>
        <v>3203</v>
      </c>
      <c r="O27" s="10">
        <f ca="1">VLOOKUP($B27,'[11]Analisys QBR By Machine Report'!$C$109:$BD$166,10,FALSE)</f>
        <v>120</v>
      </c>
      <c r="P27" s="10">
        <f ca="1">VLOOKUP($B27,'[11]Analisys QBR By Machine Report'!$C$109:$BD$166,11,FALSE)</f>
        <v>120</v>
      </c>
      <c r="Q27" s="10">
        <f ca="1">VLOOKUP($B27,'[11]Analisys QBR By Machine Report'!$C$109:$BD$166,12,FALSE)</f>
        <v>0</v>
      </c>
      <c r="R27" s="10">
        <f ca="1">VLOOKUP($B27,'[11]Analisys QBR By Machine Report'!$C$109:$BD$166,13,FALSE)</f>
        <v>0</v>
      </c>
      <c r="S27" s="10">
        <f ca="1">VLOOKUP($B27,'[11]Analisys QBR By Machine Report'!$C$109:$BD$166,14,FALSE)</f>
        <v>0</v>
      </c>
      <c r="T27" s="10">
        <f ca="1">VLOOKUP($B27,'[11]Analisys QBR By Machine Report'!$C$109:$BD$166,15,FALSE)</f>
        <v>0</v>
      </c>
      <c r="U27" s="10">
        <f ca="1">VLOOKUP($B27,'[11]Analisys QBR By Machine Report'!$C$109:$BD$166,16,FALSE)</f>
        <v>0</v>
      </c>
      <c r="V27" s="10">
        <f ca="1">VLOOKUP($B27,'[11]Analisys QBR By Machine Report'!$C$109:$BD$166,17,FALSE)</f>
        <v>0</v>
      </c>
      <c r="W27" s="10">
        <f ca="1">VLOOKUP($B27,'[11]Analisys QBR By Machine Report'!$C$109:$BD$166,18,FALSE)</f>
        <v>0</v>
      </c>
      <c r="X27" s="10">
        <f ca="1">VLOOKUP($B27,'[11]Analisys QBR By Machine Report'!$C$109:$BD$166,19,FALSE)</f>
        <v>0</v>
      </c>
      <c r="Y27" s="10">
        <f ca="1">VLOOKUP($B27,'[11]Analisys QBR By Machine Report'!$C$109:$BD$166,20,FALSE)</f>
        <v>0</v>
      </c>
      <c r="Z27" s="10">
        <f ca="1">VLOOKUP($B27,'[11]Analisys QBR By Machine Report'!$C$109:$BD$166,21,FALSE)</f>
        <v>1795</v>
      </c>
      <c r="AA27" s="10">
        <f ca="1">VLOOKUP($B27,'[11]Analisys QBR By Machine Report'!$C$109:$BD$166,22,FALSE)</f>
        <v>320</v>
      </c>
      <c r="AB27" s="10">
        <f ca="1">VLOOKUP($B27,'[11]Analisys QBR By Machine Report'!$C$109:$BD$166,23,FALSE)</f>
        <v>1188</v>
      </c>
      <c r="AC27" s="10">
        <f ca="1">VLOOKUP($B27,'[11]Analisys QBR By Machine Report'!$C$109:$BD$166,24,FALSE)</f>
        <v>0</v>
      </c>
      <c r="AD27" s="10">
        <f ca="1">VLOOKUP($B27,'[11]Analisys QBR By Machine Report'!$C$109:$BD$166,25,FALSE)</f>
        <v>287</v>
      </c>
      <c r="AE27" s="10">
        <f ca="1">VLOOKUP($B27,'[11]Analisys QBR By Machine Report'!$C$109:$BD$166,26,FALSE)</f>
        <v>0</v>
      </c>
      <c r="AF27" s="10">
        <f ca="1">VLOOKUP($B27,'[11]Analisys QBR By Machine Report'!$C$109:$BD$166,27,FALSE)</f>
        <v>0</v>
      </c>
      <c r="AG27" s="10">
        <f ca="1">VLOOKUP($B27,'[11]Analisys QBR By Machine Report'!$C$109:$BD$166,28,FALSE)</f>
        <v>0</v>
      </c>
      <c r="AH27" s="10">
        <f ca="1">VLOOKUP($B27,'[11]Analisys QBR By Machine Report'!$C$109:$BD$166,29,FALSE)</f>
        <v>0</v>
      </c>
      <c r="AI27" s="10">
        <f ca="1">VLOOKUP($B27,'[11]Analisys QBR By Machine Report'!$C$109:$BD$166,30,FALSE)</f>
        <v>1288</v>
      </c>
      <c r="AJ27" s="10">
        <f ca="1">VLOOKUP($B27,'[11]Analisys QBR By Machine Report'!$C$109:$BD$166,31,FALSE)</f>
        <v>0</v>
      </c>
      <c r="AK27" s="10">
        <f ca="1">VLOOKUP($B27,'[11]Analisys QBR By Machine Report'!$C$109:$BD$166,32,FALSE)</f>
        <v>0</v>
      </c>
      <c r="AL27" s="10">
        <f ca="1">VLOOKUP($B27,'[11]Analisys QBR By Machine Report'!$C$109:$BD$166,33,FALSE)</f>
        <v>345</v>
      </c>
      <c r="AM27" s="10">
        <f ca="1">VLOOKUP($B27,'[11]Analisys QBR By Machine Report'!$C$109:$BD$166,34,FALSE)</f>
        <v>0</v>
      </c>
      <c r="AN27" s="10">
        <f ca="1">VLOOKUP($B27,'[11]Analisys QBR By Machine Report'!$C$109:$BD$166,35,FALSE)</f>
        <v>290</v>
      </c>
      <c r="AO27" s="10">
        <f ca="1">VLOOKUP($B27,'[11]Analisys QBR By Machine Report'!$C$109:$BD$166,36,FALSE)</f>
        <v>0</v>
      </c>
      <c r="AP27" s="10">
        <f ca="1">VLOOKUP($B27,'[11]Analisys QBR By Machine Report'!$C$109:$BD$166,37,FALSE)</f>
        <v>0</v>
      </c>
      <c r="AQ27" s="10">
        <f ca="1">VLOOKUP($B27,'[11]Analisys QBR By Machine Report'!$C$109:$BD$166,38,FALSE)</f>
        <v>0</v>
      </c>
      <c r="AR27" s="10">
        <f ca="1">VLOOKUP($B27,'[11]Analisys QBR By Machine Report'!$C$109:$BD$166,39,FALSE)</f>
        <v>0</v>
      </c>
      <c r="AS27" s="10">
        <f ca="1">VLOOKUP($B27,'[11]Analisys QBR By Machine Report'!$C$109:$BD$166,40,FALSE)</f>
        <v>0</v>
      </c>
      <c r="AT27" s="10">
        <f ca="1">VLOOKUP($B27,'[11]Analisys QBR By Machine Report'!$C$109:$BD$166,41,FALSE)</f>
        <v>0</v>
      </c>
      <c r="AU27" s="10">
        <f ca="1">VLOOKUP($B27,'[11]Analisys QBR By Machine Report'!$C$109:$BD$166,42,FALSE)</f>
        <v>0</v>
      </c>
      <c r="AV27" s="10">
        <f ca="1">VLOOKUP($B27,'[11]Analisys QBR By Machine Report'!$C$109:$BD$166,43,FALSE)</f>
        <v>0</v>
      </c>
      <c r="AW27" s="10">
        <f ca="1">VLOOKUP($B27,'[11]Analisys QBR By Machine Report'!$C$109:$BD$166,44,FALSE)</f>
        <v>0</v>
      </c>
      <c r="AX27" s="10">
        <f ca="1">VLOOKUP($B27,'[11]Analisys QBR By Machine Report'!$C$109:$BD$166,45,FALSE)</f>
        <v>0</v>
      </c>
      <c r="AY27" s="10">
        <f ca="1">VLOOKUP($B27,'[11]Analisys QBR By Machine Report'!$C$109:$BD$166,46,FALSE)</f>
        <v>0</v>
      </c>
      <c r="AZ27" s="10">
        <f ca="1">VLOOKUP($B27,'[11]Analisys QBR By Machine Report'!$C$109:$BD$166,47,FALSE)</f>
        <v>653</v>
      </c>
      <c r="BA27" s="10">
        <f ca="1">VLOOKUP($B27,'[11]Analisys QBR By Machine Report'!$C$109:$BD$166,48,FALSE)</f>
        <v>0</v>
      </c>
      <c r="BB27" s="10">
        <f ca="1">VLOOKUP($B27,'[11]Analisys QBR By Machine Report'!$C$109:$BD$166,49,FALSE)</f>
        <v>0</v>
      </c>
      <c r="BC27" s="10">
        <f ca="1">VLOOKUP($B27,'[11]Analisys QBR By Machine Report'!$C$109:$BD$166,50,FALSE)</f>
        <v>0</v>
      </c>
      <c r="BD27" s="10">
        <f ca="1">VLOOKUP($B27,'[11]Analisys QBR By Machine Report'!$C$109:$BD$166,51,FALSE)</f>
        <v>776</v>
      </c>
      <c r="BE27" s="10">
        <f ca="1">VLOOKUP($B27,'[11]Analisys QBR By Machine Report'!$C$109:$BD$166,52,FALSE)</f>
        <v>0</v>
      </c>
      <c r="BF27" s="10">
        <f ca="1">VLOOKUP($B27,'[11]Analisys QBR By Machine Report'!$C$109:$BD$166,53,FALSE)</f>
        <v>776</v>
      </c>
    </row>
    <row r="28" spans="1:58" x14ac:dyDescent="0.25">
      <c r="A28" s="12" t="s">
        <v>84</v>
      </c>
      <c r="B28" s="13">
        <f ca="1">VLOOKUP($B28,'[11]Analisys QBR By Machine Report'!$C$109:$BD$166,2,FALSE)</f>
        <v>30240</v>
      </c>
      <c r="C28" s="14">
        <f ca="1">VLOOKUP($B28,[11]Dasboard_QBR_Report!$B$109:$BL$166,3,FALSE)</f>
        <v>19530</v>
      </c>
      <c r="D28" s="13">
        <f ca="1">VLOOKUP($B28,'[11]Analisys QBR By Machine Report'!$C$109:$BD$166,3,FALSE)</f>
        <v>25380</v>
      </c>
      <c r="E28" s="14">
        <f ca="1">VLOOKUP($B28,[11]Dasboard_QBR_Report!$B$109:$BL$166,5,FALSE)</f>
        <v>14670</v>
      </c>
      <c r="F28" s="13">
        <f t="shared" ca="1" si="0"/>
        <v>4860</v>
      </c>
      <c r="G28" s="13">
        <f t="shared" ca="1" si="1"/>
        <v>0</v>
      </c>
      <c r="H28" s="13">
        <f ca="1">VLOOKUP($B28,'[11]Analisys QBR By Machine Report'!$C$109:$BD$166,4,FALSE)</f>
        <v>0</v>
      </c>
      <c r="I28" s="13">
        <f ca="1">VLOOKUP($B28,'[11]Analisys QBR By Machine Report'!$C$109:$BD$166,5,FALSE)</f>
        <v>0</v>
      </c>
      <c r="J28" s="13">
        <f ca="1">VLOOKUP($B28,'[11]Analisys QBR By Machine Report'!$C$109:$BD$166,6,FALSE)</f>
        <v>0</v>
      </c>
      <c r="K28" s="13">
        <f ca="1">VLOOKUP($B28,'[11]Analisys QBR By Machine Report'!$C$109:$BD$166,7,FALSE)</f>
        <v>0</v>
      </c>
      <c r="L28" s="13">
        <f ca="1">VLOOKUP($B28,'[11]Analisys QBR By Machine Report'!$C$109:$BD$166,8,FALSE)</f>
        <v>4860</v>
      </c>
      <c r="M28" s="13">
        <f ca="1">VLOOKUP($B28,'[11]Analisys QBR By Machine Report'!$C$109:$BD$166,9,FALSE)</f>
        <v>1657</v>
      </c>
      <c r="N28" s="13">
        <f ca="1">VLOOKUP($B28,[11]Dasboard_QBR_Report!$B$109:$BL$166,18,FALSE)</f>
        <v>3203</v>
      </c>
      <c r="O28" s="13">
        <f ca="1">VLOOKUP($B28,'[11]Analisys QBR By Machine Report'!$C$109:$BD$166,10,FALSE)</f>
        <v>120</v>
      </c>
      <c r="P28" s="13">
        <f ca="1">VLOOKUP($B28,'[11]Analisys QBR By Machine Report'!$C$109:$BD$166,11,FALSE)</f>
        <v>120</v>
      </c>
      <c r="Q28" s="13">
        <f ca="1">VLOOKUP($B28,'[11]Analisys QBR By Machine Report'!$C$109:$BD$166,12,FALSE)</f>
        <v>0</v>
      </c>
      <c r="R28" s="13">
        <f ca="1">VLOOKUP($B28,'[11]Analisys QBR By Machine Report'!$C$109:$BD$166,13,FALSE)</f>
        <v>0</v>
      </c>
      <c r="S28" s="13">
        <f ca="1">VLOOKUP($B28,'[11]Analisys QBR By Machine Report'!$C$109:$BD$166,14,FALSE)</f>
        <v>0</v>
      </c>
      <c r="T28" s="13">
        <f ca="1">VLOOKUP($B28,'[11]Analisys QBR By Machine Report'!$C$109:$BD$166,15,FALSE)</f>
        <v>0</v>
      </c>
      <c r="U28" s="13">
        <f ca="1">VLOOKUP($B28,'[11]Analisys QBR By Machine Report'!$C$109:$BD$166,16,FALSE)</f>
        <v>0</v>
      </c>
      <c r="V28" s="13">
        <f ca="1">VLOOKUP($B28,'[11]Analisys QBR By Machine Report'!$C$109:$BD$166,17,FALSE)</f>
        <v>0</v>
      </c>
      <c r="W28" s="13">
        <f ca="1">VLOOKUP($B28,'[11]Analisys QBR By Machine Report'!$C$109:$BD$166,18,FALSE)</f>
        <v>0</v>
      </c>
      <c r="X28" s="13">
        <f ca="1">VLOOKUP($B28,'[11]Analisys QBR By Machine Report'!$C$109:$BD$166,19,FALSE)</f>
        <v>0</v>
      </c>
      <c r="Y28" s="13">
        <f ca="1">VLOOKUP($B28,'[11]Analisys QBR By Machine Report'!$C$109:$BD$166,20,FALSE)</f>
        <v>0</v>
      </c>
      <c r="Z28" s="13">
        <f ca="1">VLOOKUP($B28,'[11]Analisys QBR By Machine Report'!$C$109:$BD$166,21,FALSE)</f>
        <v>1795</v>
      </c>
      <c r="AA28" s="13">
        <f ca="1">VLOOKUP($B28,'[11]Analisys QBR By Machine Report'!$C$109:$BD$166,22,FALSE)</f>
        <v>320</v>
      </c>
      <c r="AB28" s="13">
        <f ca="1">VLOOKUP($B28,'[11]Analisys QBR By Machine Report'!$C$109:$BD$166,23,FALSE)</f>
        <v>1188</v>
      </c>
      <c r="AC28" s="13">
        <f ca="1">VLOOKUP($B28,'[11]Analisys QBR By Machine Report'!$C$109:$BD$166,24,FALSE)</f>
        <v>0</v>
      </c>
      <c r="AD28" s="13">
        <f ca="1">VLOOKUP($B28,'[11]Analisys QBR By Machine Report'!$C$109:$BD$166,25,FALSE)</f>
        <v>287</v>
      </c>
      <c r="AE28" s="13">
        <f ca="1">VLOOKUP($B28,'[11]Analisys QBR By Machine Report'!$C$109:$BD$166,26,FALSE)</f>
        <v>0</v>
      </c>
      <c r="AF28" s="13">
        <f ca="1">VLOOKUP($B28,'[11]Analisys QBR By Machine Report'!$C$109:$BD$166,27,FALSE)</f>
        <v>0</v>
      </c>
      <c r="AG28" s="13">
        <f ca="1">VLOOKUP($B28,'[11]Analisys QBR By Machine Report'!$C$109:$BD$166,28,FALSE)</f>
        <v>0</v>
      </c>
      <c r="AH28" s="13">
        <f ca="1">VLOOKUP($B28,'[11]Analisys QBR By Machine Report'!$C$109:$BD$166,29,FALSE)</f>
        <v>0</v>
      </c>
      <c r="AI28" s="13">
        <f ca="1">VLOOKUP($B28,'[11]Analisys QBR By Machine Report'!$C$109:$BD$166,30,FALSE)</f>
        <v>1288</v>
      </c>
      <c r="AJ28" s="13">
        <f ca="1">VLOOKUP($B28,'[11]Analisys QBR By Machine Report'!$C$109:$BD$166,31,FALSE)</f>
        <v>0</v>
      </c>
      <c r="AK28" s="13">
        <f ca="1">VLOOKUP($B28,'[11]Analisys QBR By Machine Report'!$C$109:$BD$166,32,FALSE)</f>
        <v>0</v>
      </c>
      <c r="AL28" s="13">
        <f ca="1">VLOOKUP($B28,'[11]Analisys QBR By Machine Report'!$C$109:$BD$166,33,FALSE)</f>
        <v>345</v>
      </c>
      <c r="AM28" s="13">
        <f ca="1">VLOOKUP($B28,'[11]Analisys QBR By Machine Report'!$C$109:$BD$166,34,FALSE)</f>
        <v>0</v>
      </c>
      <c r="AN28" s="13">
        <f ca="1">VLOOKUP($B28,'[11]Analisys QBR By Machine Report'!$C$109:$BD$166,35,FALSE)</f>
        <v>290</v>
      </c>
      <c r="AO28" s="13">
        <f ca="1">VLOOKUP($B28,'[11]Analisys QBR By Machine Report'!$C$109:$BD$166,36,FALSE)</f>
        <v>0</v>
      </c>
      <c r="AP28" s="13">
        <f ca="1">VLOOKUP($B28,'[11]Analisys QBR By Machine Report'!$C$109:$BD$166,37,FALSE)</f>
        <v>0</v>
      </c>
      <c r="AQ28" s="13">
        <f ca="1">VLOOKUP($B28,'[11]Analisys QBR By Machine Report'!$C$109:$BD$166,38,FALSE)</f>
        <v>0</v>
      </c>
      <c r="AR28" s="13">
        <f ca="1">VLOOKUP($B28,'[11]Analisys QBR By Machine Report'!$C$109:$BD$166,39,FALSE)</f>
        <v>0</v>
      </c>
      <c r="AS28" s="13">
        <f ca="1">VLOOKUP($B28,'[11]Analisys QBR By Machine Report'!$C$109:$BD$166,40,FALSE)</f>
        <v>0</v>
      </c>
      <c r="AT28" s="13">
        <f ca="1">VLOOKUP($B28,'[11]Analisys QBR By Machine Report'!$C$109:$BD$166,41,FALSE)</f>
        <v>0</v>
      </c>
      <c r="AU28" s="13">
        <f ca="1">VLOOKUP($B28,'[11]Analisys QBR By Machine Report'!$C$109:$BD$166,42,FALSE)</f>
        <v>0</v>
      </c>
      <c r="AV28" s="13">
        <f ca="1">VLOOKUP($B28,'[11]Analisys QBR By Machine Report'!$C$109:$BD$166,43,FALSE)</f>
        <v>0</v>
      </c>
      <c r="AW28" s="13">
        <f ca="1">VLOOKUP($B28,'[11]Analisys QBR By Machine Report'!$C$109:$BD$166,44,FALSE)</f>
        <v>0</v>
      </c>
      <c r="AX28" s="13">
        <f ca="1">VLOOKUP($B28,'[11]Analisys QBR By Machine Report'!$C$109:$BD$166,45,FALSE)</f>
        <v>0</v>
      </c>
      <c r="AY28" s="13">
        <f ca="1">VLOOKUP($B28,'[11]Analisys QBR By Machine Report'!$C$109:$BD$166,46,FALSE)</f>
        <v>0</v>
      </c>
      <c r="AZ28" s="13">
        <f ca="1">VLOOKUP($B28,'[11]Analisys QBR By Machine Report'!$C$109:$BD$166,47,FALSE)</f>
        <v>653</v>
      </c>
      <c r="BA28" s="13">
        <f ca="1">VLOOKUP($B28,'[11]Analisys QBR By Machine Report'!$C$109:$BD$166,48,FALSE)</f>
        <v>0</v>
      </c>
      <c r="BB28" s="13">
        <f ca="1">VLOOKUP($B28,'[11]Analisys QBR By Machine Report'!$C$109:$BD$166,49,FALSE)</f>
        <v>0</v>
      </c>
      <c r="BC28" s="13">
        <f ca="1">VLOOKUP($B28,'[11]Analisys QBR By Machine Report'!$C$109:$BD$166,50,FALSE)</f>
        <v>0</v>
      </c>
      <c r="BD28" s="13">
        <f ca="1">VLOOKUP($B28,'[11]Analisys QBR By Machine Report'!$C$109:$BD$166,51,FALSE)</f>
        <v>776</v>
      </c>
      <c r="BE28" s="13">
        <f ca="1">VLOOKUP($B28,'[11]Analisys QBR By Machine Report'!$C$109:$BD$166,52,FALSE)</f>
        <v>0</v>
      </c>
      <c r="BF28" s="13">
        <f ca="1">VLOOKUP($B28,'[11]Analisys QBR By Machine Report'!$C$109:$BD$166,53,FALSE)</f>
        <v>776</v>
      </c>
    </row>
    <row r="29" spans="1:58" x14ac:dyDescent="0.25">
      <c r="A29" s="9" t="s">
        <v>85</v>
      </c>
      <c r="B29" s="10">
        <f ca="1">VLOOKUP($B29,'[11]Analisys QBR By Machine Report'!$C$109:$BD$166,2,FALSE)</f>
        <v>60480</v>
      </c>
      <c r="C29" s="11">
        <f ca="1">VLOOKUP($B29,[11]Dasboard_QBR_Report!$B$109:$BL$166,3,FALSE)</f>
        <v>39060</v>
      </c>
      <c r="D29" s="10">
        <f ca="1">VLOOKUP($B29,'[11]Analisys QBR By Machine Report'!$C$109:$BD$166,3,FALSE)</f>
        <v>41140</v>
      </c>
      <c r="E29" s="11">
        <f ca="1">VLOOKUP($B29,[11]Dasboard_QBR_Report!$B$109:$BL$166,5,FALSE)</f>
        <v>19720</v>
      </c>
      <c r="F29" s="10">
        <f t="shared" ca="1" si="0"/>
        <v>19340</v>
      </c>
      <c r="G29" s="10">
        <f t="shared" ca="1" si="1"/>
        <v>2710</v>
      </c>
      <c r="H29" s="10">
        <f ca="1">VLOOKUP($B29,'[11]Analisys QBR By Machine Report'!$C$109:$BD$166,4,FALSE)</f>
        <v>2710</v>
      </c>
      <c r="I29" s="10">
        <f ca="1">VLOOKUP($B29,'[11]Analisys QBR By Machine Report'!$C$109:$BD$166,5,FALSE)</f>
        <v>170</v>
      </c>
      <c r="J29" s="10">
        <f ca="1">VLOOKUP($B29,'[11]Analisys QBR By Machine Report'!$C$109:$BD$166,6,FALSE)</f>
        <v>2540</v>
      </c>
      <c r="K29" s="10">
        <f ca="1">VLOOKUP($B29,'[11]Analisys QBR By Machine Report'!$C$109:$BD$166,7,FALSE)</f>
        <v>0</v>
      </c>
      <c r="L29" s="10">
        <f ca="1">VLOOKUP($B29,'[11]Analisys QBR By Machine Report'!$C$109:$BD$166,8,FALSE)</f>
        <v>16630</v>
      </c>
      <c r="M29" s="10">
        <f ca="1">VLOOKUP($B29,'[11]Analisys QBR By Machine Report'!$C$109:$BD$166,9,FALSE)</f>
        <v>5959</v>
      </c>
      <c r="N29" s="10">
        <f ca="1">VLOOKUP($B29,[11]Dasboard_QBR_Report!$B$109:$BL$166,18,FALSE)</f>
        <v>10671</v>
      </c>
      <c r="O29" s="10">
        <f ca="1">VLOOKUP($B29,'[11]Analisys QBR By Machine Report'!$C$109:$BD$166,10,FALSE)</f>
        <v>2164</v>
      </c>
      <c r="P29" s="10">
        <f ca="1">VLOOKUP($B29,'[11]Analisys QBR By Machine Report'!$C$109:$BD$166,11,FALSE)</f>
        <v>1827</v>
      </c>
      <c r="Q29" s="10">
        <f ca="1">VLOOKUP($B29,'[11]Analisys QBR By Machine Report'!$C$109:$BD$166,12,FALSE)</f>
        <v>237</v>
      </c>
      <c r="R29" s="10">
        <f ca="1">VLOOKUP($B29,'[11]Analisys QBR By Machine Report'!$C$109:$BD$166,13,FALSE)</f>
        <v>55</v>
      </c>
      <c r="S29" s="10">
        <f ca="1">VLOOKUP($B29,'[11]Analisys QBR By Machine Report'!$C$109:$BD$166,14,FALSE)</f>
        <v>45</v>
      </c>
      <c r="T29" s="10">
        <f ca="1">VLOOKUP($B29,'[11]Analisys QBR By Machine Report'!$C$109:$BD$166,15,FALSE)</f>
        <v>354</v>
      </c>
      <c r="U29" s="10">
        <f ca="1">VLOOKUP($B29,'[11]Analisys QBR By Machine Report'!$C$109:$BD$166,16,FALSE)</f>
        <v>240</v>
      </c>
      <c r="V29" s="10">
        <f ca="1">VLOOKUP($B29,'[11]Analisys QBR By Machine Report'!$C$109:$BD$166,17,FALSE)</f>
        <v>94</v>
      </c>
      <c r="W29" s="10">
        <f ca="1">VLOOKUP($B29,'[11]Analisys QBR By Machine Report'!$C$109:$BD$166,18,FALSE)</f>
        <v>0</v>
      </c>
      <c r="X29" s="10">
        <f ca="1">VLOOKUP($B29,'[11]Analisys QBR By Machine Report'!$C$109:$BD$166,19,FALSE)</f>
        <v>5</v>
      </c>
      <c r="Y29" s="10">
        <f ca="1">VLOOKUP($B29,'[11]Analisys QBR By Machine Report'!$C$109:$BD$166,20,FALSE)</f>
        <v>15</v>
      </c>
      <c r="Z29" s="10">
        <f ca="1">VLOOKUP($B29,'[11]Analisys QBR By Machine Report'!$C$109:$BD$166,21,FALSE)</f>
        <v>3832</v>
      </c>
      <c r="AA29" s="10">
        <f ca="1">VLOOKUP($B29,'[11]Analisys QBR By Machine Report'!$C$109:$BD$166,22,FALSE)</f>
        <v>690</v>
      </c>
      <c r="AB29" s="10">
        <f ca="1">VLOOKUP($B29,'[11]Analisys QBR By Machine Report'!$C$109:$BD$166,23,FALSE)</f>
        <v>3142</v>
      </c>
      <c r="AC29" s="10">
        <f ca="1">VLOOKUP($B29,'[11]Analisys QBR By Machine Report'!$C$109:$BD$166,24,FALSE)</f>
        <v>0</v>
      </c>
      <c r="AD29" s="10">
        <f ca="1">VLOOKUP($B29,'[11]Analisys QBR By Machine Report'!$C$109:$BD$166,25,FALSE)</f>
        <v>0</v>
      </c>
      <c r="AE29" s="10">
        <f ca="1">VLOOKUP($B29,'[11]Analisys QBR By Machine Report'!$C$109:$BD$166,26,FALSE)</f>
        <v>0</v>
      </c>
      <c r="AF29" s="10">
        <f ca="1">VLOOKUP($B29,'[11]Analisys QBR By Machine Report'!$C$109:$BD$166,27,FALSE)</f>
        <v>0</v>
      </c>
      <c r="AG29" s="10">
        <f ca="1">VLOOKUP($B29,'[11]Analisys QBR By Machine Report'!$C$109:$BD$166,28,FALSE)</f>
        <v>0</v>
      </c>
      <c r="AH29" s="10">
        <f ca="1">VLOOKUP($B29,'[11]Analisys QBR By Machine Report'!$C$109:$BD$166,29,FALSE)</f>
        <v>0</v>
      </c>
      <c r="AI29" s="10">
        <f ca="1">VLOOKUP($B29,'[11]Analisys QBR By Machine Report'!$C$109:$BD$166,30,FALSE)</f>
        <v>4321</v>
      </c>
      <c r="AJ29" s="10">
        <f ca="1">VLOOKUP($B29,'[11]Analisys QBR By Machine Report'!$C$109:$BD$166,31,FALSE)</f>
        <v>0</v>
      </c>
      <c r="AK29" s="10">
        <f ca="1">VLOOKUP($B29,'[11]Analisys QBR By Machine Report'!$C$109:$BD$166,32,FALSE)</f>
        <v>0</v>
      </c>
      <c r="AL29" s="10">
        <f ca="1">VLOOKUP($B29,'[11]Analisys QBR By Machine Report'!$C$109:$BD$166,33,FALSE)</f>
        <v>1105</v>
      </c>
      <c r="AM29" s="10">
        <f ca="1">VLOOKUP($B29,'[11]Analisys QBR By Machine Report'!$C$109:$BD$166,34,FALSE)</f>
        <v>0</v>
      </c>
      <c r="AN29" s="10">
        <f ca="1">VLOOKUP($B29,'[11]Analisys QBR By Machine Report'!$C$109:$BD$166,35,FALSE)</f>
        <v>1290</v>
      </c>
      <c r="AO29" s="10">
        <f ca="1">VLOOKUP($B29,'[11]Analisys QBR By Machine Report'!$C$109:$BD$166,36,FALSE)</f>
        <v>0</v>
      </c>
      <c r="AP29" s="10">
        <f ca="1">VLOOKUP($B29,'[11]Analisys QBR By Machine Report'!$C$109:$BD$166,37,FALSE)</f>
        <v>105</v>
      </c>
      <c r="AQ29" s="10">
        <f ca="1">VLOOKUP($B29,'[11]Analisys QBR By Machine Report'!$C$109:$BD$166,38,FALSE)</f>
        <v>0</v>
      </c>
      <c r="AR29" s="10">
        <f ca="1">VLOOKUP($B29,'[11]Analisys QBR By Machine Report'!$C$109:$BD$166,39,FALSE)</f>
        <v>0</v>
      </c>
      <c r="AS29" s="10">
        <f ca="1">VLOOKUP($B29,'[11]Analisys QBR By Machine Report'!$C$109:$BD$166,40,FALSE)</f>
        <v>103</v>
      </c>
      <c r="AT29" s="10">
        <f ca="1">VLOOKUP($B29,'[11]Analisys QBR By Machine Report'!$C$109:$BD$166,41,FALSE)</f>
        <v>0</v>
      </c>
      <c r="AU29" s="10">
        <f ca="1">VLOOKUP($B29,'[11]Analisys QBR By Machine Report'!$C$109:$BD$166,42,FALSE)</f>
        <v>0</v>
      </c>
      <c r="AV29" s="10">
        <f ca="1">VLOOKUP($B29,'[11]Analisys QBR By Machine Report'!$C$109:$BD$166,43,FALSE)</f>
        <v>1573</v>
      </c>
      <c r="AW29" s="10">
        <f ca="1">VLOOKUP($B29,'[11]Analisys QBR By Machine Report'!$C$109:$BD$166,44,FALSE)</f>
        <v>0</v>
      </c>
      <c r="AX29" s="10">
        <f ca="1">VLOOKUP($B29,'[11]Analisys QBR By Machine Report'!$C$109:$BD$166,45,FALSE)</f>
        <v>0</v>
      </c>
      <c r="AY29" s="10">
        <f ca="1">VLOOKUP($B29,'[11]Analisys QBR By Machine Report'!$C$109:$BD$166,46,FALSE)</f>
        <v>5</v>
      </c>
      <c r="AZ29" s="10">
        <f ca="1">VLOOKUP($B29,'[11]Analisys QBR By Machine Report'!$C$109:$BD$166,47,FALSE)</f>
        <v>130</v>
      </c>
      <c r="BA29" s="10">
        <f ca="1">VLOOKUP($B29,'[11]Analisys QBR By Machine Report'!$C$109:$BD$166,48,FALSE)</f>
        <v>10</v>
      </c>
      <c r="BB29" s="10">
        <f ca="1">VLOOKUP($B29,'[11]Analisys QBR By Machine Report'!$C$109:$BD$166,49,FALSE)</f>
        <v>0</v>
      </c>
      <c r="BC29" s="10">
        <f ca="1">VLOOKUP($B29,'[11]Analisys QBR By Machine Report'!$C$109:$BD$166,50,FALSE)</f>
        <v>0</v>
      </c>
      <c r="BD29" s="10">
        <f ca="1">VLOOKUP($B29,'[11]Analisys QBR By Machine Report'!$C$109:$BD$166,51,FALSE)</f>
        <v>584878</v>
      </c>
      <c r="BE29" s="10">
        <f ca="1">VLOOKUP($B29,'[11]Analisys QBR By Machine Report'!$C$109:$BD$166,52,FALSE)</f>
        <v>52</v>
      </c>
      <c r="BF29" s="10">
        <f ca="1">VLOOKUP($B29,'[11]Analisys QBR By Machine Report'!$C$109:$BD$166,53,FALSE)</f>
        <v>584826</v>
      </c>
    </row>
    <row r="30" spans="1:58" x14ac:dyDescent="0.25">
      <c r="A30" s="12" t="s">
        <v>86</v>
      </c>
      <c r="B30" s="13">
        <f ca="1">VLOOKUP($B30,'[11]Analisys QBR By Machine Report'!$C$109:$BD$166,2,FALSE)</f>
        <v>30240</v>
      </c>
      <c r="C30" s="14">
        <f ca="1">VLOOKUP($B30,[11]Dasboard_QBR_Report!$B$109:$BL$166,3,FALSE)</f>
        <v>19530</v>
      </c>
      <c r="D30" s="13">
        <f ca="1">VLOOKUP($B30,'[11]Analisys QBR By Machine Report'!$C$109:$BD$166,3,FALSE)</f>
        <v>22510</v>
      </c>
      <c r="E30" s="14">
        <f ca="1">VLOOKUP($B30,[11]Dasboard_QBR_Report!$B$109:$BL$166,5,FALSE)</f>
        <v>11800</v>
      </c>
      <c r="F30" s="13">
        <f t="shared" ca="1" si="0"/>
        <v>7730</v>
      </c>
      <c r="G30" s="13">
        <f t="shared" ca="1" si="1"/>
        <v>1170</v>
      </c>
      <c r="H30" s="13">
        <f ca="1">VLOOKUP($B30,'[11]Analisys QBR By Machine Report'!$C$109:$BD$166,4,FALSE)</f>
        <v>1170</v>
      </c>
      <c r="I30" s="13">
        <f ca="1">VLOOKUP($B30,'[11]Analisys QBR By Machine Report'!$C$109:$BD$166,5,FALSE)</f>
        <v>120</v>
      </c>
      <c r="J30" s="13">
        <f ca="1">VLOOKUP($B30,'[11]Analisys QBR By Machine Report'!$C$109:$BD$166,6,FALSE)</f>
        <v>1050</v>
      </c>
      <c r="K30" s="13">
        <f ca="1">VLOOKUP($B30,'[11]Analisys QBR By Machine Report'!$C$109:$BD$166,7,FALSE)</f>
        <v>0</v>
      </c>
      <c r="L30" s="13">
        <f ca="1">VLOOKUP($B30,'[11]Analisys QBR By Machine Report'!$C$109:$BD$166,8,FALSE)</f>
        <v>6560</v>
      </c>
      <c r="M30" s="13">
        <f ca="1">VLOOKUP($B30,'[11]Analisys QBR By Machine Report'!$C$109:$BD$166,9,FALSE)</f>
        <v>1615</v>
      </c>
      <c r="N30" s="13">
        <f ca="1">VLOOKUP($B30,[11]Dasboard_QBR_Report!$B$109:$BL$166,18,FALSE)</f>
        <v>4945</v>
      </c>
      <c r="O30" s="13">
        <f ca="1">VLOOKUP($B30,'[11]Analisys QBR By Machine Report'!$C$109:$BD$166,10,FALSE)</f>
        <v>989</v>
      </c>
      <c r="P30" s="13">
        <f ca="1">VLOOKUP($B30,'[11]Analisys QBR By Machine Report'!$C$109:$BD$166,11,FALSE)</f>
        <v>747</v>
      </c>
      <c r="Q30" s="13">
        <f ca="1">VLOOKUP($B30,'[11]Analisys QBR By Machine Report'!$C$109:$BD$166,12,FALSE)</f>
        <v>237</v>
      </c>
      <c r="R30" s="13">
        <f ca="1">VLOOKUP($B30,'[11]Analisys QBR By Machine Report'!$C$109:$BD$166,13,FALSE)</f>
        <v>5</v>
      </c>
      <c r="S30" s="13">
        <f ca="1">VLOOKUP($B30,'[11]Analisys QBR By Machine Report'!$C$109:$BD$166,14,FALSE)</f>
        <v>0</v>
      </c>
      <c r="T30" s="13">
        <f ca="1">VLOOKUP($B30,'[11]Analisys QBR By Machine Report'!$C$109:$BD$166,15,FALSE)</f>
        <v>71</v>
      </c>
      <c r="U30" s="13">
        <f ca="1">VLOOKUP($B30,'[11]Analisys QBR By Machine Report'!$C$109:$BD$166,16,FALSE)</f>
        <v>0</v>
      </c>
      <c r="V30" s="13">
        <f ca="1">VLOOKUP($B30,'[11]Analisys QBR By Machine Report'!$C$109:$BD$166,17,FALSE)</f>
        <v>69</v>
      </c>
      <c r="W30" s="13">
        <f ca="1">VLOOKUP($B30,'[11]Analisys QBR By Machine Report'!$C$109:$BD$166,18,FALSE)</f>
        <v>0</v>
      </c>
      <c r="X30" s="13">
        <f ca="1">VLOOKUP($B30,'[11]Analisys QBR By Machine Report'!$C$109:$BD$166,19,FALSE)</f>
        <v>2</v>
      </c>
      <c r="Y30" s="13">
        <f ca="1">VLOOKUP($B30,'[11]Analisys QBR By Machine Report'!$C$109:$BD$166,20,FALSE)</f>
        <v>0</v>
      </c>
      <c r="Z30" s="13">
        <f ca="1">VLOOKUP($B30,'[11]Analisys QBR By Machine Report'!$C$109:$BD$166,21,FALSE)</f>
        <v>2024</v>
      </c>
      <c r="AA30" s="13">
        <f ca="1">VLOOKUP($B30,'[11]Analisys QBR By Machine Report'!$C$109:$BD$166,22,FALSE)</f>
        <v>680</v>
      </c>
      <c r="AB30" s="13">
        <f ca="1">VLOOKUP($B30,'[11]Analisys QBR By Machine Report'!$C$109:$BD$166,23,FALSE)</f>
        <v>1344</v>
      </c>
      <c r="AC30" s="13">
        <f ca="1">VLOOKUP($B30,'[11]Analisys QBR By Machine Report'!$C$109:$BD$166,24,FALSE)</f>
        <v>0</v>
      </c>
      <c r="AD30" s="13">
        <f ca="1">VLOOKUP($B30,'[11]Analisys QBR By Machine Report'!$C$109:$BD$166,25,FALSE)</f>
        <v>0</v>
      </c>
      <c r="AE30" s="13">
        <f ca="1">VLOOKUP($B30,'[11]Analisys QBR By Machine Report'!$C$109:$BD$166,26,FALSE)</f>
        <v>0</v>
      </c>
      <c r="AF30" s="13">
        <f ca="1">VLOOKUP($B30,'[11]Analisys QBR By Machine Report'!$C$109:$BD$166,27,FALSE)</f>
        <v>0</v>
      </c>
      <c r="AG30" s="13">
        <f ca="1">VLOOKUP($B30,'[11]Analisys QBR By Machine Report'!$C$109:$BD$166,28,FALSE)</f>
        <v>0</v>
      </c>
      <c r="AH30" s="13">
        <f ca="1">VLOOKUP($B30,'[11]Analisys QBR By Machine Report'!$C$109:$BD$166,29,FALSE)</f>
        <v>0</v>
      </c>
      <c r="AI30" s="13">
        <f ca="1">VLOOKUP($B30,'[11]Analisys QBR By Machine Report'!$C$109:$BD$166,30,FALSE)</f>
        <v>1861</v>
      </c>
      <c r="AJ30" s="13">
        <f ca="1">VLOOKUP($B30,'[11]Analisys QBR By Machine Report'!$C$109:$BD$166,31,FALSE)</f>
        <v>0</v>
      </c>
      <c r="AK30" s="13">
        <f ca="1">VLOOKUP($B30,'[11]Analisys QBR By Machine Report'!$C$109:$BD$166,32,FALSE)</f>
        <v>0</v>
      </c>
      <c r="AL30" s="13">
        <f ca="1">VLOOKUP($B30,'[11]Analisys QBR By Machine Report'!$C$109:$BD$166,33,FALSE)</f>
        <v>435</v>
      </c>
      <c r="AM30" s="13">
        <f ca="1">VLOOKUP($B30,'[11]Analisys QBR By Machine Report'!$C$109:$BD$166,34,FALSE)</f>
        <v>0</v>
      </c>
      <c r="AN30" s="13">
        <f ca="1">VLOOKUP($B30,'[11]Analisys QBR By Machine Report'!$C$109:$BD$166,35,FALSE)</f>
        <v>425</v>
      </c>
      <c r="AO30" s="13">
        <f ca="1">VLOOKUP($B30,'[11]Analisys QBR By Machine Report'!$C$109:$BD$166,36,FALSE)</f>
        <v>0</v>
      </c>
      <c r="AP30" s="13">
        <f ca="1">VLOOKUP($B30,'[11]Analisys QBR By Machine Report'!$C$109:$BD$166,37,FALSE)</f>
        <v>45</v>
      </c>
      <c r="AQ30" s="13">
        <f ca="1">VLOOKUP($B30,'[11]Analisys QBR By Machine Report'!$C$109:$BD$166,38,FALSE)</f>
        <v>0</v>
      </c>
      <c r="AR30" s="13">
        <f ca="1">VLOOKUP($B30,'[11]Analisys QBR By Machine Report'!$C$109:$BD$166,39,FALSE)</f>
        <v>0</v>
      </c>
      <c r="AS30" s="13">
        <f ca="1">VLOOKUP($B30,'[11]Analisys QBR By Machine Report'!$C$109:$BD$166,40,FALSE)</f>
        <v>93</v>
      </c>
      <c r="AT30" s="13">
        <f ca="1">VLOOKUP($B30,'[11]Analisys QBR By Machine Report'!$C$109:$BD$166,41,FALSE)</f>
        <v>0</v>
      </c>
      <c r="AU30" s="13">
        <f ca="1">VLOOKUP($B30,'[11]Analisys QBR By Machine Report'!$C$109:$BD$166,42,FALSE)</f>
        <v>0</v>
      </c>
      <c r="AV30" s="13">
        <f ca="1">VLOOKUP($B30,'[11]Analisys QBR By Machine Report'!$C$109:$BD$166,43,FALSE)</f>
        <v>820</v>
      </c>
      <c r="AW30" s="13">
        <f ca="1">VLOOKUP($B30,'[11]Analisys QBR By Machine Report'!$C$109:$BD$166,44,FALSE)</f>
        <v>0</v>
      </c>
      <c r="AX30" s="13">
        <f ca="1">VLOOKUP($B30,'[11]Analisys QBR By Machine Report'!$C$109:$BD$166,45,FALSE)</f>
        <v>0</v>
      </c>
      <c r="AY30" s="13">
        <f ca="1">VLOOKUP($B30,'[11]Analisys QBR By Machine Report'!$C$109:$BD$166,46,FALSE)</f>
        <v>0</v>
      </c>
      <c r="AZ30" s="13">
        <f ca="1">VLOOKUP($B30,'[11]Analisys QBR By Machine Report'!$C$109:$BD$166,47,FALSE)</f>
        <v>43</v>
      </c>
      <c r="BA30" s="13">
        <f ca="1">VLOOKUP($B30,'[11]Analisys QBR By Machine Report'!$C$109:$BD$166,48,FALSE)</f>
        <v>0</v>
      </c>
      <c r="BB30" s="13">
        <f ca="1">VLOOKUP($B30,'[11]Analisys QBR By Machine Report'!$C$109:$BD$166,49,FALSE)</f>
        <v>0</v>
      </c>
      <c r="BC30" s="13">
        <f ca="1">VLOOKUP($B30,'[11]Analisys QBR By Machine Report'!$C$109:$BD$166,50,FALSE)</f>
        <v>0</v>
      </c>
      <c r="BD30" s="13">
        <f ca="1">VLOOKUP($B30,'[11]Analisys QBR By Machine Report'!$C$109:$BD$166,51,FALSE)</f>
        <v>231901</v>
      </c>
      <c r="BE30" s="13">
        <f ca="1">VLOOKUP($B30,'[11]Analisys QBR By Machine Report'!$C$109:$BD$166,52,FALSE)</f>
        <v>0</v>
      </c>
      <c r="BF30" s="13">
        <f ca="1">VLOOKUP($B30,'[11]Analisys QBR By Machine Report'!$C$109:$BD$166,53,FALSE)</f>
        <v>231901</v>
      </c>
    </row>
    <row r="31" spans="1:58" x14ac:dyDescent="0.25">
      <c r="A31" s="12" t="s">
        <v>87</v>
      </c>
      <c r="B31" s="13">
        <f ca="1">VLOOKUP($B31,'[11]Analisys QBR By Machine Report'!$C$109:$BD$166,2,FALSE)</f>
        <v>30240</v>
      </c>
      <c r="C31" s="14">
        <f ca="1">VLOOKUP($B31,[11]Dasboard_QBR_Report!$B$109:$BL$166,3,FALSE)</f>
        <v>19530</v>
      </c>
      <c r="D31" s="13">
        <f ca="1">VLOOKUP($B31,'[11]Analisys QBR By Machine Report'!$C$109:$BD$166,3,FALSE)</f>
        <v>18630</v>
      </c>
      <c r="E31" s="14">
        <f ca="1">VLOOKUP($B31,[11]Dasboard_QBR_Report!$B$109:$BL$166,5,FALSE)</f>
        <v>7920</v>
      </c>
      <c r="F31" s="13">
        <f t="shared" ca="1" si="0"/>
        <v>11610</v>
      </c>
      <c r="G31" s="13">
        <f t="shared" ca="1" si="1"/>
        <v>1540</v>
      </c>
      <c r="H31" s="13">
        <f ca="1">VLOOKUP($B31,'[11]Analisys QBR By Machine Report'!$C$109:$BD$166,4,FALSE)</f>
        <v>1540</v>
      </c>
      <c r="I31" s="13">
        <f ca="1">VLOOKUP($B31,'[11]Analisys QBR By Machine Report'!$C$109:$BD$166,5,FALSE)</f>
        <v>50</v>
      </c>
      <c r="J31" s="13">
        <f ca="1">VLOOKUP($B31,'[11]Analisys QBR By Machine Report'!$C$109:$BD$166,6,FALSE)</f>
        <v>1490</v>
      </c>
      <c r="K31" s="13">
        <f ca="1">VLOOKUP($B31,'[11]Analisys QBR By Machine Report'!$C$109:$BD$166,7,FALSE)</f>
        <v>0</v>
      </c>
      <c r="L31" s="13">
        <f ca="1">VLOOKUP($B31,'[11]Analisys QBR By Machine Report'!$C$109:$BD$166,8,FALSE)</f>
        <v>10070</v>
      </c>
      <c r="M31" s="13">
        <f ca="1">VLOOKUP($B31,'[11]Analisys QBR By Machine Report'!$C$109:$BD$166,9,FALSE)</f>
        <v>4344</v>
      </c>
      <c r="N31" s="13">
        <f ca="1">VLOOKUP($B31,[11]Dasboard_QBR_Report!$B$109:$BL$166,18,FALSE)</f>
        <v>5726</v>
      </c>
      <c r="O31" s="13">
        <f ca="1">VLOOKUP($B31,'[11]Analisys QBR By Machine Report'!$C$109:$BD$166,10,FALSE)</f>
        <v>1175</v>
      </c>
      <c r="P31" s="13">
        <f ca="1">VLOOKUP($B31,'[11]Analisys QBR By Machine Report'!$C$109:$BD$166,11,FALSE)</f>
        <v>1080</v>
      </c>
      <c r="Q31" s="13">
        <f ca="1">VLOOKUP($B31,'[11]Analisys QBR By Machine Report'!$C$109:$BD$166,12,FALSE)</f>
        <v>0</v>
      </c>
      <c r="R31" s="13">
        <f ca="1">VLOOKUP($B31,'[11]Analisys QBR By Machine Report'!$C$109:$BD$166,13,FALSE)</f>
        <v>50</v>
      </c>
      <c r="S31" s="13">
        <f ca="1">VLOOKUP($B31,'[11]Analisys QBR By Machine Report'!$C$109:$BD$166,14,FALSE)</f>
        <v>45</v>
      </c>
      <c r="T31" s="13">
        <f ca="1">VLOOKUP($B31,'[11]Analisys QBR By Machine Report'!$C$109:$BD$166,15,FALSE)</f>
        <v>283</v>
      </c>
      <c r="U31" s="13">
        <f ca="1">VLOOKUP($B31,'[11]Analisys QBR By Machine Report'!$C$109:$BD$166,16,FALSE)</f>
        <v>240</v>
      </c>
      <c r="V31" s="13">
        <f ca="1">VLOOKUP($B31,'[11]Analisys QBR By Machine Report'!$C$109:$BD$166,17,FALSE)</f>
        <v>25</v>
      </c>
      <c r="W31" s="13">
        <f ca="1">VLOOKUP($B31,'[11]Analisys QBR By Machine Report'!$C$109:$BD$166,18,FALSE)</f>
        <v>0</v>
      </c>
      <c r="X31" s="13">
        <f ca="1">VLOOKUP($B31,'[11]Analisys QBR By Machine Report'!$C$109:$BD$166,19,FALSE)</f>
        <v>3</v>
      </c>
      <c r="Y31" s="13">
        <f ca="1">VLOOKUP($B31,'[11]Analisys QBR By Machine Report'!$C$109:$BD$166,20,FALSE)</f>
        <v>15</v>
      </c>
      <c r="Z31" s="13">
        <f ca="1">VLOOKUP($B31,'[11]Analisys QBR By Machine Report'!$C$109:$BD$166,21,FALSE)</f>
        <v>1808</v>
      </c>
      <c r="AA31" s="13">
        <f ca="1">VLOOKUP($B31,'[11]Analisys QBR By Machine Report'!$C$109:$BD$166,22,FALSE)</f>
        <v>10</v>
      </c>
      <c r="AB31" s="13">
        <f ca="1">VLOOKUP($B31,'[11]Analisys QBR By Machine Report'!$C$109:$BD$166,23,FALSE)</f>
        <v>1798</v>
      </c>
      <c r="AC31" s="13">
        <f ca="1">VLOOKUP($B31,'[11]Analisys QBR By Machine Report'!$C$109:$BD$166,24,FALSE)</f>
        <v>0</v>
      </c>
      <c r="AD31" s="13">
        <f ca="1">VLOOKUP($B31,'[11]Analisys QBR By Machine Report'!$C$109:$BD$166,25,FALSE)</f>
        <v>0</v>
      </c>
      <c r="AE31" s="13">
        <f ca="1">VLOOKUP($B31,'[11]Analisys QBR By Machine Report'!$C$109:$BD$166,26,FALSE)</f>
        <v>0</v>
      </c>
      <c r="AF31" s="13">
        <f ca="1">VLOOKUP($B31,'[11]Analisys QBR By Machine Report'!$C$109:$BD$166,27,FALSE)</f>
        <v>0</v>
      </c>
      <c r="AG31" s="13">
        <f ca="1">VLOOKUP($B31,'[11]Analisys QBR By Machine Report'!$C$109:$BD$166,28,FALSE)</f>
        <v>0</v>
      </c>
      <c r="AH31" s="13">
        <f ca="1">VLOOKUP($B31,'[11]Analisys QBR By Machine Report'!$C$109:$BD$166,29,FALSE)</f>
        <v>0</v>
      </c>
      <c r="AI31" s="13">
        <f ca="1">VLOOKUP($B31,'[11]Analisys QBR By Machine Report'!$C$109:$BD$166,30,FALSE)</f>
        <v>2460</v>
      </c>
      <c r="AJ31" s="13">
        <f ca="1">VLOOKUP($B31,'[11]Analisys QBR By Machine Report'!$C$109:$BD$166,31,FALSE)</f>
        <v>0</v>
      </c>
      <c r="AK31" s="13">
        <f ca="1">VLOOKUP($B31,'[11]Analisys QBR By Machine Report'!$C$109:$BD$166,32,FALSE)</f>
        <v>0</v>
      </c>
      <c r="AL31" s="13">
        <f ca="1">VLOOKUP($B31,'[11]Analisys QBR By Machine Report'!$C$109:$BD$166,33,FALSE)</f>
        <v>670</v>
      </c>
      <c r="AM31" s="13">
        <f ca="1">VLOOKUP($B31,'[11]Analisys QBR By Machine Report'!$C$109:$BD$166,34,FALSE)</f>
        <v>0</v>
      </c>
      <c r="AN31" s="13">
        <f ca="1">VLOOKUP($B31,'[11]Analisys QBR By Machine Report'!$C$109:$BD$166,35,FALSE)</f>
        <v>865</v>
      </c>
      <c r="AO31" s="13">
        <f ca="1">VLOOKUP($B31,'[11]Analisys QBR By Machine Report'!$C$109:$BD$166,36,FALSE)</f>
        <v>0</v>
      </c>
      <c r="AP31" s="13">
        <f ca="1">VLOOKUP($B31,'[11]Analisys QBR By Machine Report'!$C$109:$BD$166,37,FALSE)</f>
        <v>60</v>
      </c>
      <c r="AQ31" s="13">
        <f ca="1">VLOOKUP($B31,'[11]Analisys QBR By Machine Report'!$C$109:$BD$166,38,FALSE)</f>
        <v>0</v>
      </c>
      <c r="AR31" s="13">
        <f ca="1">VLOOKUP($B31,'[11]Analisys QBR By Machine Report'!$C$109:$BD$166,39,FALSE)</f>
        <v>0</v>
      </c>
      <c r="AS31" s="13">
        <f ca="1">VLOOKUP($B31,'[11]Analisys QBR By Machine Report'!$C$109:$BD$166,40,FALSE)</f>
        <v>10</v>
      </c>
      <c r="AT31" s="13">
        <f ca="1">VLOOKUP($B31,'[11]Analisys QBR By Machine Report'!$C$109:$BD$166,41,FALSE)</f>
        <v>0</v>
      </c>
      <c r="AU31" s="13">
        <f ca="1">VLOOKUP($B31,'[11]Analisys QBR By Machine Report'!$C$109:$BD$166,42,FALSE)</f>
        <v>0</v>
      </c>
      <c r="AV31" s="13">
        <f ca="1">VLOOKUP($B31,'[11]Analisys QBR By Machine Report'!$C$109:$BD$166,43,FALSE)</f>
        <v>753</v>
      </c>
      <c r="AW31" s="13">
        <f ca="1">VLOOKUP($B31,'[11]Analisys QBR By Machine Report'!$C$109:$BD$166,44,FALSE)</f>
        <v>0</v>
      </c>
      <c r="AX31" s="13">
        <f ca="1">VLOOKUP($B31,'[11]Analisys QBR By Machine Report'!$C$109:$BD$166,45,FALSE)</f>
        <v>0</v>
      </c>
      <c r="AY31" s="13">
        <f ca="1">VLOOKUP($B31,'[11]Analisys QBR By Machine Report'!$C$109:$BD$166,46,FALSE)</f>
        <v>5</v>
      </c>
      <c r="AZ31" s="13">
        <f ca="1">VLOOKUP($B31,'[11]Analisys QBR By Machine Report'!$C$109:$BD$166,47,FALSE)</f>
        <v>87</v>
      </c>
      <c r="BA31" s="13">
        <f ca="1">VLOOKUP($B31,'[11]Analisys QBR By Machine Report'!$C$109:$BD$166,48,FALSE)</f>
        <v>10</v>
      </c>
      <c r="BB31" s="13">
        <f ca="1">VLOOKUP($B31,'[11]Analisys QBR By Machine Report'!$C$109:$BD$166,49,FALSE)</f>
        <v>0</v>
      </c>
      <c r="BC31" s="13">
        <f ca="1">VLOOKUP($B31,'[11]Analisys QBR By Machine Report'!$C$109:$BD$166,50,FALSE)</f>
        <v>0</v>
      </c>
      <c r="BD31" s="13">
        <f ca="1">VLOOKUP($B31,'[11]Analisys QBR By Machine Report'!$C$109:$BD$166,51,FALSE)</f>
        <v>352977</v>
      </c>
      <c r="BE31" s="13">
        <f ca="1">VLOOKUP($B31,'[11]Analisys QBR By Machine Report'!$C$109:$BD$166,52,FALSE)</f>
        <v>52</v>
      </c>
      <c r="BF31" s="13">
        <f ca="1">VLOOKUP($B31,'[11]Analisys QBR By Machine Report'!$C$109:$BD$166,53,FALSE)</f>
        <v>352925</v>
      </c>
    </row>
    <row r="32" spans="1:58" x14ac:dyDescent="0.25">
      <c r="A32" s="9" t="s">
        <v>88</v>
      </c>
      <c r="B32" s="10">
        <f ca="1">VLOOKUP($B32,'[11]Analisys QBR By Machine Report'!$C$109:$BD$166,2,FALSE)</f>
        <v>93600</v>
      </c>
      <c r="C32" s="11">
        <f ca="1">VLOOKUP($B32,[11]Dasboard_QBR_Report!$B$109:$BL$166,3,FALSE)</f>
        <v>60450</v>
      </c>
      <c r="D32" s="10">
        <f ca="1">VLOOKUP($B32,'[11]Analisys QBR By Machine Report'!$C$109:$BD$166,3,FALSE)</f>
        <v>57949</v>
      </c>
      <c r="E32" s="11">
        <f ca="1">VLOOKUP($B32,[11]Dasboard_QBR_Report!$B$109:$BL$166,5,FALSE)</f>
        <v>24799</v>
      </c>
      <c r="F32" s="10">
        <f t="shared" ca="1" si="0"/>
        <v>35651</v>
      </c>
      <c r="G32" s="10">
        <f t="shared" ca="1" si="1"/>
        <v>3076</v>
      </c>
      <c r="H32" s="10">
        <f ca="1">VLOOKUP($B32,'[11]Analisys QBR By Machine Report'!$C$109:$BD$166,4,FALSE)</f>
        <v>3076</v>
      </c>
      <c r="I32" s="10">
        <f ca="1">VLOOKUP($B32,'[11]Analisys QBR By Machine Report'!$C$109:$BD$166,5,FALSE)</f>
        <v>579</v>
      </c>
      <c r="J32" s="10">
        <f ca="1">VLOOKUP($B32,'[11]Analisys QBR By Machine Report'!$C$109:$BD$166,6,FALSE)</f>
        <v>2497</v>
      </c>
      <c r="K32" s="10">
        <f ca="1">VLOOKUP($B32,'[11]Analisys QBR By Machine Report'!$C$109:$BD$166,7,FALSE)</f>
        <v>0</v>
      </c>
      <c r="L32" s="10">
        <f ca="1">VLOOKUP($B32,'[11]Analisys QBR By Machine Report'!$C$109:$BD$166,8,FALSE)</f>
        <v>32575</v>
      </c>
      <c r="M32" s="10">
        <f ca="1">VLOOKUP($B32,'[11]Analisys QBR By Machine Report'!$C$109:$BD$166,9,FALSE)</f>
        <v>15375</v>
      </c>
      <c r="N32" s="10">
        <f ca="1">VLOOKUP($B32,[11]Dasboard_QBR_Report!$B$109:$BL$166,18,FALSE)</f>
        <v>17200</v>
      </c>
      <c r="O32" s="10">
        <f ca="1">VLOOKUP($B32,'[11]Analisys QBR By Machine Report'!$C$109:$BD$166,10,FALSE)</f>
        <v>1081</v>
      </c>
      <c r="P32" s="10">
        <f ca="1">VLOOKUP($B32,'[11]Analisys QBR By Machine Report'!$C$109:$BD$166,11,FALSE)</f>
        <v>1081</v>
      </c>
      <c r="Q32" s="10">
        <f ca="1">VLOOKUP($B32,'[11]Analisys QBR By Machine Report'!$C$109:$BD$166,12,FALSE)</f>
        <v>0</v>
      </c>
      <c r="R32" s="10">
        <f ca="1">VLOOKUP($B32,'[11]Analisys QBR By Machine Report'!$C$109:$BD$166,13,FALSE)</f>
        <v>0</v>
      </c>
      <c r="S32" s="10">
        <f ca="1">VLOOKUP($B32,'[11]Analisys QBR By Machine Report'!$C$109:$BD$166,14,FALSE)</f>
        <v>0</v>
      </c>
      <c r="T32" s="10">
        <f ca="1">VLOOKUP($B32,'[11]Analisys QBR By Machine Report'!$C$109:$BD$166,15,FALSE)</f>
        <v>262</v>
      </c>
      <c r="U32" s="10">
        <f ca="1">VLOOKUP($B32,'[11]Analisys QBR By Machine Report'!$C$109:$BD$166,16,FALSE)</f>
        <v>77</v>
      </c>
      <c r="V32" s="10">
        <f ca="1">VLOOKUP($B32,'[11]Analisys QBR By Machine Report'!$C$109:$BD$166,17,FALSE)</f>
        <v>0</v>
      </c>
      <c r="W32" s="10">
        <f ca="1">VLOOKUP($B32,'[11]Analisys QBR By Machine Report'!$C$109:$BD$166,18,FALSE)</f>
        <v>0</v>
      </c>
      <c r="X32" s="10">
        <f ca="1">VLOOKUP($B32,'[11]Analisys QBR By Machine Report'!$C$109:$BD$166,19,FALSE)</f>
        <v>185</v>
      </c>
      <c r="Y32" s="10">
        <f ca="1">VLOOKUP($B32,'[11]Analisys QBR By Machine Report'!$C$109:$BD$166,20,FALSE)</f>
        <v>0</v>
      </c>
      <c r="Z32" s="10">
        <f ca="1">VLOOKUP($B32,'[11]Analisys QBR By Machine Report'!$C$109:$BD$166,21,FALSE)</f>
        <v>8012</v>
      </c>
      <c r="AA32" s="10">
        <f ca="1">VLOOKUP($B32,'[11]Analisys QBR By Machine Report'!$C$109:$BD$166,22,FALSE)</f>
        <v>6838</v>
      </c>
      <c r="AB32" s="10">
        <f ca="1">VLOOKUP($B32,'[11]Analisys QBR By Machine Report'!$C$109:$BD$166,23,FALSE)</f>
        <v>258</v>
      </c>
      <c r="AC32" s="10">
        <f ca="1">VLOOKUP($B32,'[11]Analisys QBR By Machine Report'!$C$109:$BD$166,24,FALSE)</f>
        <v>65</v>
      </c>
      <c r="AD32" s="10">
        <f ca="1">VLOOKUP($B32,'[11]Analisys QBR By Machine Report'!$C$109:$BD$166,25,FALSE)</f>
        <v>100</v>
      </c>
      <c r="AE32" s="10">
        <f ca="1">VLOOKUP($B32,'[11]Analisys QBR By Machine Report'!$C$109:$BD$166,26,FALSE)</f>
        <v>751</v>
      </c>
      <c r="AF32" s="10">
        <f ca="1">VLOOKUP($B32,'[11]Analisys QBR By Machine Report'!$C$109:$BD$166,27,FALSE)</f>
        <v>0</v>
      </c>
      <c r="AG32" s="10">
        <f ca="1">VLOOKUP($B32,'[11]Analisys QBR By Machine Report'!$C$109:$BD$166,28,FALSE)</f>
        <v>0</v>
      </c>
      <c r="AH32" s="10">
        <f ca="1">VLOOKUP($B32,'[11]Analisys QBR By Machine Report'!$C$109:$BD$166,29,FALSE)</f>
        <v>0</v>
      </c>
      <c r="AI32" s="10">
        <f ca="1">VLOOKUP($B32,'[11]Analisys QBR By Machine Report'!$C$109:$BD$166,30,FALSE)</f>
        <v>7845</v>
      </c>
      <c r="AJ32" s="10">
        <f ca="1">VLOOKUP($B32,'[11]Analisys QBR By Machine Report'!$C$109:$BD$166,31,FALSE)</f>
        <v>60</v>
      </c>
      <c r="AK32" s="10">
        <f ca="1">VLOOKUP($B32,'[11]Analisys QBR By Machine Report'!$C$109:$BD$166,32,FALSE)</f>
        <v>0</v>
      </c>
      <c r="AL32" s="10">
        <f ca="1">VLOOKUP($B32,'[11]Analisys QBR By Machine Report'!$C$109:$BD$166,33,FALSE)</f>
        <v>985</v>
      </c>
      <c r="AM32" s="10">
        <f ca="1">VLOOKUP($B32,'[11]Analisys QBR By Machine Report'!$C$109:$BD$166,34,FALSE)</f>
        <v>125</v>
      </c>
      <c r="AN32" s="10">
        <f ca="1">VLOOKUP($B32,'[11]Analisys QBR By Machine Report'!$C$109:$BD$166,35,FALSE)</f>
        <v>710</v>
      </c>
      <c r="AO32" s="10">
        <f ca="1">VLOOKUP($B32,'[11]Analisys QBR By Machine Report'!$C$109:$BD$166,36,FALSE)</f>
        <v>1717</v>
      </c>
      <c r="AP32" s="10">
        <f ca="1">VLOOKUP($B32,'[11]Analisys QBR By Machine Report'!$C$109:$BD$166,37,FALSE)</f>
        <v>0</v>
      </c>
      <c r="AQ32" s="10">
        <f ca="1">VLOOKUP($B32,'[11]Analisys QBR By Machine Report'!$C$109:$BD$166,38,FALSE)</f>
        <v>10</v>
      </c>
      <c r="AR32" s="10">
        <f ca="1">VLOOKUP($B32,'[11]Analisys QBR By Machine Report'!$C$109:$BD$166,39,FALSE)</f>
        <v>3806</v>
      </c>
      <c r="AS32" s="10">
        <f ca="1">VLOOKUP($B32,'[11]Analisys QBR By Machine Report'!$C$109:$BD$166,40,FALSE)</f>
        <v>400</v>
      </c>
      <c r="AT32" s="10">
        <f ca="1">VLOOKUP($B32,'[11]Analisys QBR By Machine Report'!$C$109:$BD$166,41,FALSE)</f>
        <v>0</v>
      </c>
      <c r="AU32" s="10">
        <f ca="1">VLOOKUP($B32,'[11]Analisys QBR By Machine Report'!$C$109:$BD$166,42,FALSE)</f>
        <v>0</v>
      </c>
      <c r="AV32" s="10">
        <f ca="1">VLOOKUP($B32,'[11]Analisys QBR By Machine Report'!$C$109:$BD$166,43,FALSE)</f>
        <v>0</v>
      </c>
      <c r="AW32" s="10">
        <f ca="1">VLOOKUP($B32,'[11]Analisys QBR By Machine Report'!$C$109:$BD$166,44,FALSE)</f>
        <v>0</v>
      </c>
      <c r="AX32" s="10">
        <f ca="1">VLOOKUP($B32,'[11]Analisys QBR By Machine Report'!$C$109:$BD$166,45,FALSE)</f>
        <v>0</v>
      </c>
      <c r="AY32" s="10">
        <f ca="1">VLOOKUP($B32,'[11]Analisys QBR By Machine Report'!$C$109:$BD$166,46,FALSE)</f>
        <v>0</v>
      </c>
      <c r="AZ32" s="10">
        <f ca="1">VLOOKUP($B32,'[11]Analisys QBR By Machine Report'!$C$109:$BD$166,47,FALSE)</f>
        <v>32</v>
      </c>
      <c r="BA32" s="10">
        <f ca="1">VLOOKUP($B32,'[11]Analisys QBR By Machine Report'!$C$109:$BD$166,48,FALSE)</f>
        <v>0</v>
      </c>
      <c r="BB32" s="10">
        <f ca="1">VLOOKUP($B32,'[11]Analisys QBR By Machine Report'!$C$109:$BD$166,49,FALSE)</f>
        <v>0</v>
      </c>
      <c r="BC32" s="10">
        <f ca="1">VLOOKUP($B32,'[11]Analisys QBR By Machine Report'!$C$109:$BD$166,50,FALSE)</f>
        <v>0</v>
      </c>
      <c r="BD32" s="10">
        <f ca="1">VLOOKUP($B32,'[11]Analisys QBR By Machine Report'!$C$109:$BD$166,51,FALSE)</f>
        <v>1111</v>
      </c>
      <c r="BE32" s="10">
        <f ca="1">VLOOKUP($B32,'[11]Analisys QBR By Machine Report'!$C$109:$BD$166,52,FALSE)</f>
        <v>0</v>
      </c>
      <c r="BF32" s="10">
        <f ca="1">VLOOKUP($B32,'[11]Analisys QBR By Machine Report'!$C$109:$BD$166,53,FALSE)</f>
        <v>1111</v>
      </c>
    </row>
    <row r="33" spans="1:58" x14ac:dyDescent="0.25">
      <c r="A33" s="12" t="s">
        <v>89</v>
      </c>
      <c r="B33" s="13">
        <f ca="1">VLOOKUP($B33,'[11]Analisys QBR By Machine Report'!$C$109:$BD$166,2,FALSE)</f>
        <v>31680</v>
      </c>
      <c r="C33" s="14">
        <f ca="1">VLOOKUP($B33,[11]Dasboard_QBR_Report!$B$109:$BL$166,3,FALSE)</f>
        <v>20460</v>
      </c>
      <c r="D33" s="13">
        <f ca="1">VLOOKUP($B33,'[11]Analisys QBR By Machine Report'!$C$109:$BD$166,3,FALSE)</f>
        <v>17382</v>
      </c>
      <c r="E33" s="14">
        <f ca="1">VLOOKUP($B33,[11]Dasboard_QBR_Report!$B$109:$BL$166,5,FALSE)</f>
        <v>6162</v>
      </c>
      <c r="F33" s="13">
        <f t="shared" ca="1" si="0"/>
        <v>14298</v>
      </c>
      <c r="G33" s="13">
        <f t="shared" ca="1" si="1"/>
        <v>1784</v>
      </c>
      <c r="H33" s="13">
        <f ca="1">VLOOKUP($B33,'[11]Analisys QBR By Machine Report'!$C$109:$BD$166,4,FALSE)</f>
        <v>1784</v>
      </c>
      <c r="I33" s="13">
        <f ca="1">VLOOKUP($B33,'[11]Analisys QBR By Machine Report'!$C$109:$BD$166,5,FALSE)</f>
        <v>405</v>
      </c>
      <c r="J33" s="13">
        <f ca="1">VLOOKUP($B33,'[11]Analisys QBR By Machine Report'!$C$109:$BD$166,6,FALSE)</f>
        <v>1379</v>
      </c>
      <c r="K33" s="13">
        <f ca="1">VLOOKUP($B33,'[11]Analisys QBR By Machine Report'!$C$109:$BD$166,7,FALSE)</f>
        <v>0</v>
      </c>
      <c r="L33" s="13">
        <f ca="1">VLOOKUP($B33,'[11]Analisys QBR By Machine Report'!$C$109:$BD$166,8,FALSE)</f>
        <v>12514</v>
      </c>
      <c r="M33" s="13">
        <f ca="1">VLOOKUP($B33,'[11]Analisys QBR By Machine Report'!$C$109:$BD$166,9,FALSE)</f>
        <v>6445</v>
      </c>
      <c r="N33" s="13">
        <f ca="1">VLOOKUP($B33,[11]Dasboard_QBR_Report!$B$109:$BL$166,18,FALSE)</f>
        <v>6069</v>
      </c>
      <c r="O33" s="13">
        <f ca="1">VLOOKUP($B33,'[11]Analisys QBR By Machine Report'!$C$109:$BD$166,10,FALSE)</f>
        <v>477</v>
      </c>
      <c r="P33" s="13">
        <f ca="1">VLOOKUP($B33,'[11]Analisys QBR By Machine Report'!$C$109:$BD$166,11,FALSE)</f>
        <v>477</v>
      </c>
      <c r="Q33" s="13">
        <f ca="1">VLOOKUP($B33,'[11]Analisys QBR By Machine Report'!$C$109:$BD$166,12,FALSE)</f>
        <v>0</v>
      </c>
      <c r="R33" s="13">
        <f ca="1">VLOOKUP($B33,'[11]Analisys QBR By Machine Report'!$C$109:$BD$166,13,FALSE)</f>
        <v>0</v>
      </c>
      <c r="S33" s="13">
        <f ca="1">VLOOKUP($B33,'[11]Analisys QBR By Machine Report'!$C$109:$BD$166,14,FALSE)</f>
        <v>0</v>
      </c>
      <c r="T33" s="13">
        <f ca="1">VLOOKUP($B33,'[11]Analisys QBR By Machine Report'!$C$109:$BD$166,15,FALSE)</f>
        <v>147</v>
      </c>
      <c r="U33" s="13">
        <f ca="1">VLOOKUP($B33,'[11]Analisys QBR By Machine Report'!$C$109:$BD$166,16,FALSE)</f>
        <v>77</v>
      </c>
      <c r="V33" s="13">
        <f ca="1">VLOOKUP($B33,'[11]Analisys QBR By Machine Report'!$C$109:$BD$166,17,FALSE)</f>
        <v>0</v>
      </c>
      <c r="W33" s="13">
        <f ca="1">VLOOKUP($B33,'[11]Analisys QBR By Machine Report'!$C$109:$BD$166,18,FALSE)</f>
        <v>0</v>
      </c>
      <c r="X33" s="13">
        <f ca="1">VLOOKUP($B33,'[11]Analisys QBR By Machine Report'!$C$109:$BD$166,19,FALSE)</f>
        <v>70</v>
      </c>
      <c r="Y33" s="13">
        <f ca="1">VLOOKUP($B33,'[11]Analisys QBR By Machine Report'!$C$109:$BD$166,20,FALSE)</f>
        <v>0</v>
      </c>
      <c r="Z33" s="13">
        <f ca="1">VLOOKUP($B33,'[11]Analisys QBR By Machine Report'!$C$109:$BD$166,21,FALSE)</f>
        <v>2076</v>
      </c>
      <c r="AA33" s="13">
        <f ca="1">VLOOKUP($B33,'[11]Analisys QBR By Machine Report'!$C$109:$BD$166,22,FALSE)</f>
        <v>1525</v>
      </c>
      <c r="AB33" s="13">
        <f ca="1">VLOOKUP($B33,'[11]Analisys QBR By Machine Report'!$C$109:$BD$166,23,FALSE)</f>
        <v>150</v>
      </c>
      <c r="AC33" s="13">
        <f ca="1">VLOOKUP($B33,'[11]Analisys QBR By Machine Report'!$C$109:$BD$166,24,FALSE)</f>
        <v>0</v>
      </c>
      <c r="AD33" s="13">
        <f ca="1">VLOOKUP($B33,'[11]Analisys QBR By Machine Report'!$C$109:$BD$166,25,FALSE)</f>
        <v>0</v>
      </c>
      <c r="AE33" s="13">
        <f ca="1">VLOOKUP($B33,'[11]Analisys QBR By Machine Report'!$C$109:$BD$166,26,FALSE)</f>
        <v>401</v>
      </c>
      <c r="AF33" s="13">
        <f ca="1">VLOOKUP($B33,'[11]Analisys QBR By Machine Report'!$C$109:$BD$166,27,FALSE)</f>
        <v>0</v>
      </c>
      <c r="AG33" s="13">
        <f ca="1">VLOOKUP($B33,'[11]Analisys QBR By Machine Report'!$C$109:$BD$166,28,FALSE)</f>
        <v>0</v>
      </c>
      <c r="AH33" s="13">
        <f ca="1">VLOOKUP($B33,'[11]Analisys QBR By Machine Report'!$C$109:$BD$166,29,FALSE)</f>
        <v>0</v>
      </c>
      <c r="AI33" s="13">
        <f ca="1">VLOOKUP($B33,'[11]Analisys QBR By Machine Report'!$C$109:$BD$166,30,FALSE)</f>
        <v>3369</v>
      </c>
      <c r="AJ33" s="13">
        <f ca="1">VLOOKUP($B33,'[11]Analisys QBR By Machine Report'!$C$109:$BD$166,31,FALSE)</f>
        <v>0</v>
      </c>
      <c r="AK33" s="13">
        <f ca="1">VLOOKUP($B33,'[11]Analisys QBR By Machine Report'!$C$109:$BD$166,32,FALSE)</f>
        <v>0</v>
      </c>
      <c r="AL33" s="13">
        <f ca="1">VLOOKUP($B33,'[11]Analisys QBR By Machine Report'!$C$109:$BD$166,33,FALSE)</f>
        <v>250</v>
      </c>
      <c r="AM33" s="13">
        <f ca="1">VLOOKUP($B33,'[11]Analisys QBR By Machine Report'!$C$109:$BD$166,34,FALSE)</f>
        <v>0</v>
      </c>
      <c r="AN33" s="13">
        <f ca="1">VLOOKUP($B33,'[11]Analisys QBR By Machine Report'!$C$109:$BD$166,35,FALSE)</f>
        <v>125</v>
      </c>
      <c r="AO33" s="13">
        <f ca="1">VLOOKUP($B33,'[11]Analisys QBR By Machine Report'!$C$109:$BD$166,36,FALSE)</f>
        <v>0</v>
      </c>
      <c r="AP33" s="13">
        <f ca="1">VLOOKUP($B33,'[11]Analisys QBR By Machine Report'!$C$109:$BD$166,37,FALSE)</f>
        <v>0</v>
      </c>
      <c r="AQ33" s="13">
        <f ca="1">VLOOKUP($B33,'[11]Analisys QBR By Machine Report'!$C$109:$BD$166,38,FALSE)</f>
        <v>0</v>
      </c>
      <c r="AR33" s="13">
        <f ca="1">VLOOKUP($B33,'[11]Analisys QBR By Machine Report'!$C$109:$BD$166,39,FALSE)</f>
        <v>2994</v>
      </c>
      <c r="AS33" s="13">
        <f ca="1">VLOOKUP($B33,'[11]Analisys QBR By Machine Report'!$C$109:$BD$166,40,FALSE)</f>
        <v>0</v>
      </c>
      <c r="AT33" s="13">
        <f ca="1">VLOOKUP($B33,'[11]Analisys QBR By Machine Report'!$C$109:$BD$166,41,FALSE)</f>
        <v>0</v>
      </c>
      <c r="AU33" s="13">
        <f ca="1">VLOOKUP($B33,'[11]Analisys QBR By Machine Report'!$C$109:$BD$166,42,FALSE)</f>
        <v>0</v>
      </c>
      <c r="AV33" s="13">
        <f ca="1">VLOOKUP($B33,'[11]Analisys QBR By Machine Report'!$C$109:$BD$166,43,FALSE)</f>
        <v>0</v>
      </c>
      <c r="AW33" s="13">
        <f ca="1">VLOOKUP($B33,'[11]Analisys QBR By Machine Report'!$C$109:$BD$166,44,FALSE)</f>
        <v>0</v>
      </c>
      <c r="AX33" s="13">
        <f ca="1">VLOOKUP($B33,'[11]Analisys QBR By Machine Report'!$C$109:$BD$166,45,FALSE)</f>
        <v>0</v>
      </c>
      <c r="AY33" s="13">
        <f ca="1">VLOOKUP($B33,'[11]Analisys QBR By Machine Report'!$C$109:$BD$166,46,FALSE)</f>
        <v>0</v>
      </c>
      <c r="AZ33" s="13">
        <f ca="1">VLOOKUP($B33,'[11]Analisys QBR By Machine Report'!$C$109:$BD$166,47,FALSE)</f>
        <v>0</v>
      </c>
      <c r="BA33" s="13">
        <f ca="1">VLOOKUP($B33,'[11]Analisys QBR By Machine Report'!$C$109:$BD$166,48,FALSE)</f>
        <v>0</v>
      </c>
      <c r="BB33" s="13">
        <f ca="1">VLOOKUP($B33,'[11]Analisys QBR By Machine Report'!$C$109:$BD$166,49,FALSE)</f>
        <v>0</v>
      </c>
      <c r="BC33" s="13">
        <f ca="1">VLOOKUP($B33,'[11]Analisys QBR By Machine Report'!$C$109:$BD$166,50,FALSE)</f>
        <v>0</v>
      </c>
      <c r="BD33" s="13">
        <f ca="1">VLOOKUP($B33,'[11]Analisys QBR By Machine Report'!$C$109:$BD$166,51,FALSE)</f>
        <v>571</v>
      </c>
      <c r="BE33" s="13">
        <f ca="1">VLOOKUP($B33,'[11]Analisys QBR By Machine Report'!$C$109:$BD$166,52,FALSE)</f>
        <v>0</v>
      </c>
      <c r="BF33" s="13">
        <f ca="1">VLOOKUP($B33,'[11]Analisys QBR By Machine Report'!$C$109:$BD$166,53,FALSE)</f>
        <v>571</v>
      </c>
    </row>
    <row r="34" spans="1:58" x14ac:dyDescent="0.25">
      <c r="A34" s="12" t="s">
        <v>90</v>
      </c>
      <c r="B34" s="13">
        <f ca="1">VLOOKUP($B34,'[11]Analisys QBR By Machine Report'!$C$109:$BD$166,2,FALSE)</f>
        <v>31680</v>
      </c>
      <c r="C34" s="14">
        <f ca="1">VLOOKUP($B34,[11]Dasboard_QBR_Report!$B$109:$BL$166,3,FALSE)</f>
        <v>20460</v>
      </c>
      <c r="D34" s="13">
        <f ca="1">VLOOKUP($B34,'[11]Analisys QBR By Machine Report'!$C$109:$BD$166,3,FALSE)</f>
        <v>17407</v>
      </c>
      <c r="E34" s="14">
        <f ca="1">VLOOKUP($B34,[11]Dasboard_QBR_Report!$B$109:$BL$166,5,FALSE)</f>
        <v>6187</v>
      </c>
      <c r="F34" s="13">
        <f t="shared" ca="1" si="0"/>
        <v>14273</v>
      </c>
      <c r="G34" s="13">
        <f t="shared" ca="1" si="1"/>
        <v>687</v>
      </c>
      <c r="H34" s="13">
        <f ca="1">VLOOKUP($B34,'[11]Analisys QBR By Machine Report'!$C$109:$BD$166,4,FALSE)</f>
        <v>687</v>
      </c>
      <c r="I34" s="13">
        <f ca="1">VLOOKUP($B34,'[11]Analisys QBR By Machine Report'!$C$109:$BD$166,5,FALSE)</f>
        <v>124</v>
      </c>
      <c r="J34" s="13">
        <f ca="1">VLOOKUP($B34,'[11]Analisys QBR By Machine Report'!$C$109:$BD$166,6,FALSE)</f>
        <v>563</v>
      </c>
      <c r="K34" s="13">
        <f ca="1">VLOOKUP($B34,'[11]Analisys QBR By Machine Report'!$C$109:$BD$166,7,FALSE)</f>
        <v>0</v>
      </c>
      <c r="L34" s="13">
        <f ca="1">VLOOKUP($B34,'[11]Analisys QBR By Machine Report'!$C$109:$BD$166,8,FALSE)</f>
        <v>13586</v>
      </c>
      <c r="M34" s="13">
        <f ca="1">VLOOKUP($B34,'[11]Analisys QBR By Machine Report'!$C$109:$BD$166,9,FALSE)</f>
        <v>8277</v>
      </c>
      <c r="N34" s="13">
        <f ca="1">VLOOKUP($B34,[11]Dasboard_QBR_Report!$B$109:$BL$166,18,FALSE)</f>
        <v>5309</v>
      </c>
      <c r="O34" s="13">
        <f ca="1">VLOOKUP($B34,'[11]Analisys QBR By Machine Report'!$C$109:$BD$166,10,FALSE)</f>
        <v>289</v>
      </c>
      <c r="P34" s="13">
        <f ca="1">VLOOKUP($B34,'[11]Analisys QBR By Machine Report'!$C$109:$BD$166,11,FALSE)</f>
        <v>289</v>
      </c>
      <c r="Q34" s="13">
        <f ca="1">VLOOKUP($B34,'[11]Analisys QBR By Machine Report'!$C$109:$BD$166,12,FALSE)</f>
        <v>0</v>
      </c>
      <c r="R34" s="13">
        <f ca="1">VLOOKUP($B34,'[11]Analisys QBR By Machine Report'!$C$109:$BD$166,13,FALSE)</f>
        <v>0</v>
      </c>
      <c r="S34" s="13">
        <f ca="1">VLOOKUP($B34,'[11]Analisys QBR By Machine Report'!$C$109:$BD$166,14,FALSE)</f>
        <v>0</v>
      </c>
      <c r="T34" s="13">
        <f ca="1">VLOOKUP($B34,'[11]Analisys QBR By Machine Report'!$C$109:$BD$166,15,FALSE)</f>
        <v>90</v>
      </c>
      <c r="U34" s="13">
        <f ca="1">VLOOKUP($B34,'[11]Analisys QBR By Machine Report'!$C$109:$BD$166,16,FALSE)</f>
        <v>0</v>
      </c>
      <c r="V34" s="13">
        <f ca="1">VLOOKUP($B34,'[11]Analisys QBR By Machine Report'!$C$109:$BD$166,17,FALSE)</f>
        <v>0</v>
      </c>
      <c r="W34" s="13">
        <f ca="1">VLOOKUP($B34,'[11]Analisys QBR By Machine Report'!$C$109:$BD$166,18,FALSE)</f>
        <v>0</v>
      </c>
      <c r="X34" s="13">
        <f ca="1">VLOOKUP($B34,'[11]Analisys QBR By Machine Report'!$C$109:$BD$166,19,FALSE)</f>
        <v>90</v>
      </c>
      <c r="Y34" s="13">
        <f ca="1">VLOOKUP($B34,'[11]Analisys QBR By Machine Report'!$C$109:$BD$166,20,FALSE)</f>
        <v>0</v>
      </c>
      <c r="Z34" s="13">
        <f ca="1">VLOOKUP($B34,'[11]Analisys QBR By Machine Report'!$C$109:$BD$166,21,FALSE)</f>
        <v>4095</v>
      </c>
      <c r="AA34" s="13">
        <f ca="1">VLOOKUP($B34,'[11]Analisys QBR By Machine Report'!$C$109:$BD$166,22,FALSE)</f>
        <v>4095</v>
      </c>
      <c r="AB34" s="13">
        <f ca="1">VLOOKUP($B34,'[11]Analisys QBR By Machine Report'!$C$109:$BD$166,23,FALSE)</f>
        <v>0</v>
      </c>
      <c r="AC34" s="13">
        <f ca="1">VLOOKUP($B34,'[11]Analisys QBR By Machine Report'!$C$109:$BD$166,24,FALSE)</f>
        <v>0</v>
      </c>
      <c r="AD34" s="13">
        <f ca="1">VLOOKUP($B34,'[11]Analisys QBR By Machine Report'!$C$109:$BD$166,25,FALSE)</f>
        <v>0</v>
      </c>
      <c r="AE34" s="13">
        <f ca="1">VLOOKUP($B34,'[11]Analisys QBR By Machine Report'!$C$109:$BD$166,26,FALSE)</f>
        <v>0</v>
      </c>
      <c r="AF34" s="13">
        <f ca="1">VLOOKUP($B34,'[11]Analisys QBR By Machine Report'!$C$109:$BD$166,27,FALSE)</f>
        <v>0</v>
      </c>
      <c r="AG34" s="13">
        <f ca="1">VLOOKUP($B34,'[11]Analisys QBR By Machine Report'!$C$109:$BD$166,28,FALSE)</f>
        <v>0</v>
      </c>
      <c r="AH34" s="13">
        <f ca="1">VLOOKUP($B34,'[11]Analisys QBR By Machine Report'!$C$109:$BD$166,29,FALSE)</f>
        <v>0</v>
      </c>
      <c r="AI34" s="13">
        <f ca="1">VLOOKUP($B34,'[11]Analisys QBR By Machine Report'!$C$109:$BD$166,30,FALSE)</f>
        <v>835</v>
      </c>
      <c r="AJ34" s="13">
        <f ca="1">VLOOKUP($B34,'[11]Analisys QBR By Machine Report'!$C$109:$BD$166,31,FALSE)</f>
        <v>0</v>
      </c>
      <c r="AK34" s="13">
        <f ca="1">VLOOKUP($B34,'[11]Analisys QBR By Machine Report'!$C$109:$BD$166,32,FALSE)</f>
        <v>0</v>
      </c>
      <c r="AL34" s="13">
        <f ca="1">VLOOKUP($B34,'[11]Analisys QBR By Machine Report'!$C$109:$BD$166,33,FALSE)</f>
        <v>446</v>
      </c>
      <c r="AM34" s="13">
        <f ca="1">VLOOKUP($B34,'[11]Analisys QBR By Machine Report'!$C$109:$BD$166,34,FALSE)</f>
        <v>0</v>
      </c>
      <c r="AN34" s="13">
        <f ca="1">VLOOKUP($B34,'[11]Analisys QBR By Machine Report'!$C$109:$BD$166,35,FALSE)</f>
        <v>375</v>
      </c>
      <c r="AO34" s="13">
        <f ca="1">VLOOKUP($B34,'[11]Analisys QBR By Machine Report'!$C$109:$BD$166,36,FALSE)</f>
        <v>0</v>
      </c>
      <c r="AP34" s="13">
        <f ca="1">VLOOKUP($B34,'[11]Analisys QBR By Machine Report'!$C$109:$BD$166,37,FALSE)</f>
        <v>0</v>
      </c>
      <c r="AQ34" s="13">
        <f ca="1">VLOOKUP($B34,'[11]Analisys QBR By Machine Report'!$C$109:$BD$166,38,FALSE)</f>
        <v>10</v>
      </c>
      <c r="AR34" s="13">
        <f ca="1">VLOOKUP($B34,'[11]Analisys QBR By Machine Report'!$C$109:$BD$166,39,FALSE)</f>
        <v>4</v>
      </c>
      <c r="AS34" s="13">
        <f ca="1">VLOOKUP($B34,'[11]Analisys QBR By Machine Report'!$C$109:$BD$166,40,FALSE)</f>
        <v>0</v>
      </c>
      <c r="AT34" s="13">
        <f ca="1">VLOOKUP($B34,'[11]Analisys QBR By Machine Report'!$C$109:$BD$166,41,FALSE)</f>
        <v>0</v>
      </c>
      <c r="AU34" s="13">
        <f ca="1">VLOOKUP($B34,'[11]Analisys QBR By Machine Report'!$C$109:$BD$166,42,FALSE)</f>
        <v>0</v>
      </c>
      <c r="AV34" s="13">
        <f ca="1">VLOOKUP($B34,'[11]Analisys QBR By Machine Report'!$C$109:$BD$166,43,FALSE)</f>
        <v>0</v>
      </c>
      <c r="AW34" s="13">
        <f ca="1">VLOOKUP($B34,'[11]Analisys QBR By Machine Report'!$C$109:$BD$166,44,FALSE)</f>
        <v>0</v>
      </c>
      <c r="AX34" s="13">
        <f ca="1">VLOOKUP($B34,'[11]Analisys QBR By Machine Report'!$C$109:$BD$166,45,FALSE)</f>
        <v>0</v>
      </c>
      <c r="AY34" s="13">
        <f ca="1">VLOOKUP($B34,'[11]Analisys QBR By Machine Report'!$C$109:$BD$166,46,FALSE)</f>
        <v>0</v>
      </c>
      <c r="AZ34" s="13">
        <f ca="1">VLOOKUP($B34,'[11]Analisys QBR By Machine Report'!$C$109:$BD$166,47,FALSE)</f>
        <v>0</v>
      </c>
      <c r="BA34" s="13">
        <f ca="1">VLOOKUP($B34,'[11]Analisys QBR By Machine Report'!$C$109:$BD$166,48,FALSE)</f>
        <v>0</v>
      </c>
      <c r="BB34" s="13">
        <f ca="1">VLOOKUP($B34,'[11]Analisys QBR By Machine Report'!$C$109:$BD$166,49,FALSE)</f>
        <v>0</v>
      </c>
      <c r="BC34" s="13">
        <f ca="1">VLOOKUP($B34,'[11]Analisys QBR By Machine Report'!$C$109:$BD$166,50,FALSE)</f>
        <v>0</v>
      </c>
      <c r="BD34" s="13">
        <f ca="1">VLOOKUP($B34,'[11]Analisys QBR By Machine Report'!$C$109:$BD$166,51,FALSE)</f>
        <v>524</v>
      </c>
      <c r="BE34" s="13">
        <f ca="1">VLOOKUP($B34,'[11]Analisys QBR By Machine Report'!$C$109:$BD$166,52,FALSE)</f>
        <v>0</v>
      </c>
      <c r="BF34" s="13">
        <f ca="1">VLOOKUP($B34,'[11]Analisys QBR By Machine Report'!$C$109:$BD$166,53,FALSE)</f>
        <v>524</v>
      </c>
    </row>
    <row r="35" spans="1:58" x14ac:dyDescent="0.25">
      <c r="A35" s="12" t="s">
        <v>91</v>
      </c>
      <c r="B35" s="13">
        <f ca="1">VLOOKUP($B35,'[11]Analisys QBR By Machine Report'!$C$109:$BD$166,2,FALSE)</f>
        <v>30240</v>
      </c>
      <c r="C35" s="14">
        <f ca="1">VLOOKUP($B35,[11]Dasboard_QBR_Report!$B$109:$BL$166,3,FALSE)</f>
        <v>19530</v>
      </c>
      <c r="D35" s="13">
        <f ca="1">VLOOKUP($B35,'[11]Analisys QBR By Machine Report'!$C$109:$BD$166,3,FALSE)</f>
        <v>23160</v>
      </c>
      <c r="E35" s="14">
        <f ca="1">VLOOKUP($B35,[11]Dasboard_QBR_Report!$B$109:$BL$166,5,FALSE)</f>
        <v>12450</v>
      </c>
      <c r="F35" s="13">
        <f t="shared" ca="1" si="0"/>
        <v>7080</v>
      </c>
      <c r="G35" s="13">
        <f t="shared" ca="1" si="1"/>
        <v>605</v>
      </c>
      <c r="H35" s="13">
        <f ca="1">VLOOKUP($B35,'[11]Analisys QBR By Machine Report'!$C$109:$BD$166,4,FALSE)</f>
        <v>605</v>
      </c>
      <c r="I35" s="13">
        <f ca="1">VLOOKUP($B35,'[11]Analisys QBR By Machine Report'!$C$109:$BD$166,5,FALSE)</f>
        <v>50</v>
      </c>
      <c r="J35" s="13">
        <f ca="1">VLOOKUP($B35,'[11]Analisys QBR By Machine Report'!$C$109:$BD$166,6,FALSE)</f>
        <v>555</v>
      </c>
      <c r="K35" s="13">
        <f ca="1">VLOOKUP($B35,'[11]Analisys QBR By Machine Report'!$C$109:$BD$166,7,FALSE)</f>
        <v>0</v>
      </c>
      <c r="L35" s="13">
        <f ca="1">VLOOKUP($B35,'[11]Analisys QBR By Machine Report'!$C$109:$BD$166,8,FALSE)</f>
        <v>6475</v>
      </c>
      <c r="M35" s="13">
        <f ca="1">VLOOKUP($B35,'[11]Analisys QBR By Machine Report'!$C$109:$BD$166,9,FALSE)</f>
        <v>653</v>
      </c>
      <c r="N35" s="13">
        <f ca="1">VLOOKUP($B35,[11]Dasboard_QBR_Report!$B$109:$BL$166,18,FALSE)</f>
        <v>5822</v>
      </c>
      <c r="O35" s="13">
        <f ca="1">VLOOKUP($B35,'[11]Analisys QBR By Machine Report'!$C$109:$BD$166,10,FALSE)</f>
        <v>315</v>
      </c>
      <c r="P35" s="13">
        <f ca="1">VLOOKUP($B35,'[11]Analisys QBR By Machine Report'!$C$109:$BD$166,11,FALSE)</f>
        <v>315</v>
      </c>
      <c r="Q35" s="13">
        <f ca="1">VLOOKUP($B35,'[11]Analisys QBR By Machine Report'!$C$109:$BD$166,12,FALSE)</f>
        <v>0</v>
      </c>
      <c r="R35" s="13">
        <f ca="1">VLOOKUP($B35,'[11]Analisys QBR By Machine Report'!$C$109:$BD$166,13,FALSE)</f>
        <v>0</v>
      </c>
      <c r="S35" s="13">
        <f ca="1">VLOOKUP($B35,'[11]Analisys QBR By Machine Report'!$C$109:$BD$166,14,FALSE)</f>
        <v>0</v>
      </c>
      <c r="T35" s="13">
        <f ca="1">VLOOKUP($B35,'[11]Analisys QBR By Machine Report'!$C$109:$BD$166,15,FALSE)</f>
        <v>25</v>
      </c>
      <c r="U35" s="13">
        <f ca="1">VLOOKUP($B35,'[11]Analisys QBR By Machine Report'!$C$109:$BD$166,16,FALSE)</f>
        <v>0</v>
      </c>
      <c r="V35" s="13">
        <f ca="1">VLOOKUP($B35,'[11]Analisys QBR By Machine Report'!$C$109:$BD$166,17,FALSE)</f>
        <v>0</v>
      </c>
      <c r="W35" s="13">
        <f ca="1">VLOOKUP($B35,'[11]Analisys QBR By Machine Report'!$C$109:$BD$166,18,FALSE)</f>
        <v>0</v>
      </c>
      <c r="X35" s="13">
        <f ca="1">VLOOKUP($B35,'[11]Analisys QBR By Machine Report'!$C$109:$BD$166,19,FALSE)</f>
        <v>25</v>
      </c>
      <c r="Y35" s="13">
        <f ca="1">VLOOKUP($B35,'[11]Analisys QBR By Machine Report'!$C$109:$BD$166,20,FALSE)</f>
        <v>0</v>
      </c>
      <c r="Z35" s="13">
        <f ca="1">VLOOKUP($B35,'[11]Analisys QBR By Machine Report'!$C$109:$BD$166,21,FALSE)</f>
        <v>1841</v>
      </c>
      <c r="AA35" s="13">
        <f ca="1">VLOOKUP($B35,'[11]Analisys QBR By Machine Report'!$C$109:$BD$166,22,FALSE)</f>
        <v>1218</v>
      </c>
      <c r="AB35" s="13">
        <f ca="1">VLOOKUP($B35,'[11]Analisys QBR By Machine Report'!$C$109:$BD$166,23,FALSE)</f>
        <v>108</v>
      </c>
      <c r="AC35" s="13">
        <f ca="1">VLOOKUP($B35,'[11]Analisys QBR By Machine Report'!$C$109:$BD$166,24,FALSE)</f>
        <v>65</v>
      </c>
      <c r="AD35" s="13">
        <f ca="1">VLOOKUP($B35,'[11]Analisys QBR By Machine Report'!$C$109:$BD$166,25,FALSE)</f>
        <v>100</v>
      </c>
      <c r="AE35" s="13">
        <f ca="1">VLOOKUP($B35,'[11]Analisys QBR By Machine Report'!$C$109:$BD$166,26,FALSE)</f>
        <v>350</v>
      </c>
      <c r="AF35" s="13">
        <f ca="1">VLOOKUP($B35,'[11]Analisys QBR By Machine Report'!$C$109:$BD$166,27,FALSE)</f>
        <v>0</v>
      </c>
      <c r="AG35" s="13">
        <f ca="1">VLOOKUP($B35,'[11]Analisys QBR By Machine Report'!$C$109:$BD$166,28,FALSE)</f>
        <v>0</v>
      </c>
      <c r="AH35" s="13">
        <f ca="1">VLOOKUP($B35,'[11]Analisys QBR By Machine Report'!$C$109:$BD$166,29,FALSE)</f>
        <v>0</v>
      </c>
      <c r="AI35" s="13">
        <f ca="1">VLOOKUP($B35,'[11]Analisys QBR By Machine Report'!$C$109:$BD$166,30,FALSE)</f>
        <v>3641</v>
      </c>
      <c r="AJ35" s="13">
        <f ca="1">VLOOKUP($B35,'[11]Analisys QBR By Machine Report'!$C$109:$BD$166,31,FALSE)</f>
        <v>60</v>
      </c>
      <c r="AK35" s="13">
        <f ca="1">VLOOKUP($B35,'[11]Analisys QBR By Machine Report'!$C$109:$BD$166,32,FALSE)</f>
        <v>0</v>
      </c>
      <c r="AL35" s="13">
        <f ca="1">VLOOKUP($B35,'[11]Analisys QBR By Machine Report'!$C$109:$BD$166,33,FALSE)</f>
        <v>289</v>
      </c>
      <c r="AM35" s="13">
        <f ca="1">VLOOKUP($B35,'[11]Analisys QBR By Machine Report'!$C$109:$BD$166,34,FALSE)</f>
        <v>125</v>
      </c>
      <c r="AN35" s="13">
        <f ca="1">VLOOKUP($B35,'[11]Analisys QBR By Machine Report'!$C$109:$BD$166,35,FALSE)</f>
        <v>210</v>
      </c>
      <c r="AO35" s="13">
        <f ca="1">VLOOKUP($B35,'[11]Analisys QBR By Machine Report'!$C$109:$BD$166,36,FALSE)</f>
        <v>1717</v>
      </c>
      <c r="AP35" s="13">
        <f ca="1">VLOOKUP($B35,'[11]Analisys QBR By Machine Report'!$C$109:$BD$166,37,FALSE)</f>
        <v>0</v>
      </c>
      <c r="AQ35" s="13">
        <f ca="1">VLOOKUP($B35,'[11]Analisys QBR By Machine Report'!$C$109:$BD$166,38,FALSE)</f>
        <v>0</v>
      </c>
      <c r="AR35" s="13">
        <f ca="1">VLOOKUP($B35,'[11]Analisys QBR By Machine Report'!$C$109:$BD$166,39,FALSE)</f>
        <v>808</v>
      </c>
      <c r="AS35" s="13">
        <f ca="1">VLOOKUP($B35,'[11]Analisys QBR By Machine Report'!$C$109:$BD$166,40,FALSE)</f>
        <v>400</v>
      </c>
      <c r="AT35" s="13">
        <f ca="1">VLOOKUP($B35,'[11]Analisys QBR By Machine Report'!$C$109:$BD$166,41,FALSE)</f>
        <v>0</v>
      </c>
      <c r="AU35" s="13">
        <f ca="1">VLOOKUP($B35,'[11]Analisys QBR By Machine Report'!$C$109:$BD$166,42,FALSE)</f>
        <v>0</v>
      </c>
      <c r="AV35" s="13">
        <f ca="1">VLOOKUP($B35,'[11]Analisys QBR By Machine Report'!$C$109:$BD$166,43,FALSE)</f>
        <v>0</v>
      </c>
      <c r="AW35" s="13">
        <f ca="1">VLOOKUP($B35,'[11]Analisys QBR By Machine Report'!$C$109:$BD$166,44,FALSE)</f>
        <v>0</v>
      </c>
      <c r="AX35" s="13">
        <f ca="1">VLOOKUP($B35,'[11]Analisys QBR By Machine Report'!$C$109:$BD$166,45,FALSE)</f>
        <v>0</v>
      </c>
      <c r="AY35" s="13">
        <f ca="1">VLOOKUP($B35,'[11]Analisys QBR By Machine Report'!$C$109:$BD$166,46,FALSE)</f>
        <v>0</v>
      </c>
      <c r="AZ35" s="13">
        <f ca="1">VLOOKUP($B35,'[11]Analisys QBR By Machine Report'!$C$109:$BD$166,47,FALSE)</f>
        <v>32</v>
      </c>
      <c r="BA35" s="13">
        <f ca="1">VLOOKUP($B35,'[11]Analisys QBR By Machine Report'!$C$109:$BD$166,48,FALSE)</f>
        <v>0</v>
      </c>
      <c r="BB35" s="13">
        <f ca="1">VLOOKUP($B35,'[11]Analisys QBR By Machine Report'!$C$109:$BD$166,49,FALSE)</f>
        <v>0</v>
      </c>
      <c r="BC35" s="13">
        <f ca="1">VLOOKUP($B35,'[11]Analisys QBR By Machine Report'!$C$109:$BD$166,50,FALSE)</f>
        <v>0</v>
      </c>
      <c r="BD35" s="13">
        <f ca="1">VLOOKUP($B35,'[11]Analisys QBR By Machine Report'!$C$109:$BD$166,51,FALSE)</f>
        <v>16</v>
      </c>
      <c r="BE35" s="13">
        <f ca="1">VLOOKUP($B35,'[11]Analisys QBR By Machine Report'!$C$109:$BD$166,52,FALSE)</f>
        <v>0</v>
      </c>
      <c r="BF35" s="13">
        <f ca="1">VLOOKUP($B35,'[11]Analisys QBR By Machine Report'!$C$109:$BD$166,53,FALSE)</f>
        <v>16</v>
      </c>
    </row>
    <row r="36" spans="1:58" x14ac:dyDescent="0.25">
      <c r="A36" s="9" t="s">
        <v>92</v>
      </c>
      <c r="B36" s="10">
        <f ca="1">VLOOKUP($B36,'[11]Analisys QBR By Machine Report'!$C$109:$BD$166,2,FALSE)</f>
        <v>181440</v>
      </c>
      <c r="C36" s="11">
        <f ca="1">VLOOKUP($B36,[11]Dasboard_QBR_Report!$B$109:$BL$166,3,FALSE)</f>
        <v>69930</v>
      </c>
      <c r="D36" s="10">
        <f ca="1">VLOOKUP($B36,'[11]Analisys QBR By Machine Report'!$C$109:$BD$166,3,FALSE)</f>
        <v>135600</v>
      </c>
      <c r="E36" s="11">
        <f ca="1">VLOOKUP($B36,[11]Dasboard_QBR_Report!$B$109:$BL$166,5,FALSE)</f>
        <v>24090</v>
      </c>
      <c r="F36" s="10">
        <f t="shared" ca="1" si="0"/>
        <v>45840</v>
      </c>
      <c r="G36" s="10">
        <f t="shared" ca="1" si="1"/>
        <v>3421</v>
      </c>
      <c r="H36" s="10">
        <f ca="1">VLOOKUP($B36,'[11]Analisys QBR By Machine Report'!$C$109:$BD$166,4,FALSE)</f>
        <v>3421</v>
      </c>
      <c r="I36" s="10">
        <f ca="1">VLOOKUP($B36,'[11]Analisys QBR By Machine Report'!$C$109:$BD$166,5,FALSE)</f>
        <v>1011</v>
      </c>
      <c r="J36" s="10">
        <f ca="1">VLOOKUP($B36,'[11]Analisys QBR By Machine Report'!$C$109:$BD$166,6,FALSE)</f>
        <v>2410</v>
      </c>
      <c r="K36" s="10">
        <f ca="1">VLOOKUP($B36,'[11]Analisys QBR By Machine Report'!$C$109:$BD$166,7,FALSE)</f>
        <v>0</v>
      </c>
      <c r="L36" s="10">
        <f ca="1">VLOOKUP($B36,'[11]Analisys QBR By Machine Report'!$C$109:$BD$166,8,FALSE)</f>
        <v>42419</v>
      </c>
      <c r="M36" s="10">
        <f ca="1">VLOOKUP($B36,'[11]Analisys QBR By Machine Report'!$C$109:$BD$166,9,FALSE)</f>
        <v>26039</v>
      </c>
      <c r="N36" s="10">
        <f ca="1">VLOOKUP($B36,[11]Dasboard_QBR_Report!$B$109:$BL$166,18,FALSE)</f>
        <v>16380</v>
      </c>
      <c r="O36" s="10">
        <f ca="1">VLOOKUP($B36,'[11]Analisys QBR By Machine Report'!$C$109:$BD$166,10,FALSE)</f>
        <v>2891</v>
      </c>
      <c r="P36" s="10">
        <f ca="1">VLOOKUP($B36,'[11]Analisys QBR By Machine Report'!$C$109:$BD$166,11,FALSE)</f>
        <v>1648</v>
      </c>
      <c r="Q36" s="10">
        <f ca="1">VLOOKUP($B36,'[11]Analisys QBR By Machine Report'!$C$109:$BD$166,12,FALSE)</f>
        <v>78</v>
      </c>
      <c r="R36" s="10">
        <f ca="1">VLOOKUP($B36,'[11]Analisys QBR By Machine Report'!$C$109:$BD$166,13,FALSE)</f>
        <v>671</v>
      </c>
      <c r="S36" s="10">
        <f ca="1">VLOOKUP($B36,'[11]Analisys QBR By Machine Report'!$C$109:$BD$166,14,FALSE)</f>
        <v>494</v>
      </c>
      <c r="T36" s="10">
        <f ca="1">VLOOKUP($B36,'[11]Analisys QBR By Machine Report'!$C$109:$BD$166,15,FALSE)</f>
        <v>330</v>
      </c>
      <c r="U36" s="10">
        <f ca="1">VLOOKUP($B36,'[11]Analisys QBR By Machine Report'!$C$109:$BD$166,16,FALSE)</f>
        <v>170</v>
      </c>
      <c r="V36" s="10">
        <f ca="1">VLOOKUP($B36,'[11]Analisys QBR By Machine Report'!$C$109:$BD$166,17,FALSE)</f>
        <v>55</v>
      </c>
      <c r="W36" s="10">
        <f ca="1">VLOOKUP($B36,'[11]Analisys QBR By Machine Report'!$C$109:$BD$166,18,FALSE)</f>
        <v>0</v>
      </c>
      <c r="X36" s="10">
        <f ca="1">VLOOKUP($B36,'[11]Analisys QBR By Machine Report'!$C$109:$BD$166,19,FALSE)</f>
        <v>105</v>
      </c>
      <c r="Y36" s="10">
        <f ca="1">VLOOKUP($B36,'[11]Analisys QBR By Machine Report'!$C$109:$BD$166,20,FALSE)</f>
        <v>0</v>
      </c>
      <c r="Z36" s="10">
        <f ca="1">VLOOKUP($B36,'[11]Analisys QBR By Machine Report'!$C$109:$BD$166,21,FALSE)</f>
        <v>3558</v>
      </c>
      <c r="AA36" s="10">
        <f ca="1">VLOOKUP($B36,'[11]Analisys QBR By Machine Report'!$C$109:$BD$166,22,FALSE)</f>
        <v>1620</v>
      </c>
      <c r="AB36" s="10">
        <f ca="1">VLOOKUP($B36,'[11]Analisys QBR By Machine Report'!$C$109:$BD$166,23,FALSE)</f>
        <v>1763</v>
      </c>
      <c r="AC36" s="10">
        <f ca="1">VLOOKUP($B36,'[11]Analisys QBR By Machine Report'!$C$109:$BD$166,24,FALSE)</f>
        <v>67</v>
      </c>
      <c r="AD36" s="10">
        <f ca="1">VLOOKUP($B36,'[11]Analisys QBR By Machine Report'!$C$109:$BD$166,25,FALSE)</f>
        <v>0</v>
      </c>
      <c r="AE36" s="10">
        <f ca="1">VLOOKUP($B36,'[11]Analisys QBR By Machine Report'!$C$109:$BD$166,26,FALSE)</f>
        <v>108</v>
      </c>
      <c r="AF36" s="10">
        <f ca="1">VLOOKUP($B36,'[11]Analisys QBR By Machine Report'!$C$109:$BD$166,27,FALSE)</f>
        <v>70</v>
      </c>
      <c r="AG36" s="10">
        <f ca="1">VLOOKUP($B36,'[11]Analisys QBR By Machine Report'!$C$109:$BD$166,28,FALSE)</f>
        <v>70</v>
      </c>
      <c r="AH36" s="10">
        <f ca="1">VLOOKUP($B36,'[11]Analisys QBR By Machine Report'!$C$109:$BD$166,29,FALSE)</f>
        <v>0</v>
      </c>
      <c r="AI36" s="10">
        <f ca="1">VLOOKUP($B36,'[11]Analisys QBR By Machine Report'!$C$109:$BD$166,30,FALSE)</f>
        <v>9531</v>
      </c>
      <c r="AJ36" s="10">
        <f ca="1">VLOOKUP($B36,'[11]Analisys QBR By Machine Report'!$C$109:$BD$166,31,FALSE)</f>
        <v>0</v>
      </c>
      <c r="AK36" s="10">
        <f ca="1">VLOOKUP($B36,'[11]Analisys QBR By Machine Report'!$C$109:$BD$166,32,FALSE)</f>
        <v>855</v>
      </c>
      <c r="AL36" s="10">
        <f ca="1">VLOOKUP($B36,'[11]Analisys QBR By Machine Report'!$C$109:$BD$166,33,FALSE)</f>
        <v>2695</v>
      </c>
      <c r="AM36" s="10">
        <f ca="1">VLOOKUP($B36,'[11]Analisys QBR By Machine Report'!$C$109:$BD$166,34,FALSE)</f>
        <v>0</v>
      </c>
      <c r="AN36" s="10">
        <f ca="1">VLOOKUP($B36,'[11]Analisys QBR By Machine Report'!$C$109:$BD$166,35,FALSE)</f>
        <v>1620</v>
      </c>
      <c r="AO36" s="10">
        <f ca="1">VLOOKUP($B36,'[11]Analisys QBR By Machine Report'!$C$109:$BD$166,36,FALSE)</f>
        <v>405</v>
      </c>
      <c r="AP36" s="10">
        <f ca="1">VLOOKUP($B36,'[11]Analisys QBR By Machine Report'!$C$109:$BD$166,37,FALSE)</f>
        <v>0</v>
      </c>
      <c r="AQ36" s="10">
        <f ca="1">VLOOKUP($B36,'[11]Analisys QBR By Machine Report'!$C$109:$BD$166,38,FALSE)</f>
        <v>0</v>
      </c>
      <c r="AR36" s="10">
        <f ca="1">VLOOKUP($B36,'[11]Analisys QBR By Machine Report'!$C$109:$BD$166,39,FALSE)</f>
        <v>1729</v>
      </c>
      <c r="AS36" s="10">
        <f ca="1">VLOOKUP($B36,'[11]Analisys QBR By Machine Report'!$C$109:$BD$166,40,FALSE)</f>
        <v>755</v>
      </c>
      <c r="AT36" s="10">
        <f ca="1">VLOOKUP($B36,'[11]Analisys QBR By Machine Report'!$C$109:$BD$166,41,FALSE)</f>
        <v>0</v>
      </c>
      <c r="AU36" s="10">
        <f ca="1">VLOOKUP($B36,'[11]Analisys QBR By Machine Report'!$C$109:$BD$166,42,FALSE)</f>
        <v>0</v>
      </c>
      <c r="AV36" s="10">
        <f ca="1">VLOOKUP($B36,'[11]Analisys QBR By Machine Report'!$C$109:$BD$166,43,FALSE)</f>
        <v>0</v>
      </c>
      <c r="AW36" s="10">
        <f ca="1">VLOOKUP($B36,'[11]Analisys QBR By Machine Report'!$C$109:$BD$166,44,FALSE)</f>
        <v>0</v>
      </c>
      <c r="AX36" s="10">
        <f ca="1">VLOOKUP($B36,'[11]Analisys QBR By Machine Report'!$C$109:$BD$166,45,FALSE)</f>
        <v>0</v>
      </c>
      <c r="AY36" s="10">
        <f ca="1">VLOOKUP($B36,'[11]Analisys QBR By Machine Report'!$C$109:$BD$166,46,FALSE)</f>
        <v>0</v>
      </c>
      <c r="AZ36" s="10">
        <f ca="1">VLOOKUP($B36,'[11]Analisys QBR By Machine Report'!$C$109:$BD$166,47,FALSE)</f>
        <v>1472</v>
      </c>
      <c r="BA36" s="10">
        <f ca="1">VLOOKUP($B36,'[11]Analisys QBR By Machine Report'!$C$109:$BD$166,48,FALSE)</f>
        <v>0</v>
      </c>
      <c r="BB36" s="10">
        <f ca="1">VLOOKUP($B36,'[11]Analisys QBR By Machine Report'!$C$109:$BD$166,49,FALSE)</f>
        <v>0</v>
      </c>
      <c r="BC36" s="10">
        <f ca="1">VLOOKUP($B36,'[11]Analisys QBR By Machine Report'!$C$109:$BD$166,50,FALSE)</f>
        <v>0</v>
      </c>
      <c r="BD36" s="10">
        <f ca="1">VLOOKUP($B36,'[11]Analisys QBR By Machine Report'!$C$109:$BD$166,51,FALSE)</f>
        <v>1458718</v>
      </c>
      <c r="BE36" s="10">
        <f ca="1">VLOOKUP($B36,'[11]Analisys QBR By Machine Report'!$C$109:$BD$166,52,FALSE)</f>
        <v>212</v>
      </c>
      <c r="BF36" s="10">
        <f ca="1">VLOOKUP($B36,'[11]Analisys QBR By Machine Report'!$C$109:$BD$166,53,FALSE)</f>
        <v>1458506</v>
      </c>
    </row>
    <row r="37" spans="1:58" x14ac:dyDescent="0.25">
      <c r="A37" s="12" t="s">
        <v>93</v>
      </c>
      <c r="B37" s="13">
        <f ca="1">VLOOKUP($B37,'[11]Analisys QBR By Machine Report'!$C$109:$BD$166,2,FALSE)</f>
        <v>30240</v>
      </c>
      <c r="C37" s="14">
        <f ca="1">VLOOKUP($B37,[11]Dasboard_QBR_Report!$B$109:$BL$166,3,FALSE)</f>
        <v>10080</v>
      </c>
      <c r="D37" s="13">
        <f ca="1">VLOOKUP($B37,'[11]Analisys QBR By Machine Report'!$C$109:$BD$166,3,FALSE)</f>
        <v>17100</v>
      </c>
      <c r="E37" s="14">
        <f ca="1">VLOOKUP($B37,[11]Dasboard_QBR_Report!$B$109:$BL$166,5,FALSE)</f>
        <v>-3060</v>
      </c>
      <c r="F37" s="13">
        <f t="shared" ca="1" si="0"/>
        <v>13140</v>
      </c>
      <c r="G37" s="13">
        <f t="shared" ca="1" si="1"/>
        <v>270</v>
      </c>
      <c r="H37" s="13">
        <f ca="1">VLOOKUP($B37,'[11]Analisys QBR By Machine Report'!$C$109:$BD$166,4,FALSE)</f>
        <v>270</v>
      </c>
      <c r="I37" s="13">
        <f ca="1">VLOOKUP($B37,'[11]Analisys QBR By Machine Report'!$C$109:$BD$166,5,FALSE)</f>
        <v>270</v>
      </c>
      <c r="J37" s="13">
        <f ca="1">VLOOKUP($B37,'[11]Analisys QBR By Machine Report'!$C$109:$BD$166,6,FALSE)</f>
        <v>0</v>
      </c>
      <c r="K37" s="13">
        <f ca="1">VLOOKUP($B37,'[11]Analisys QBR By Machine Report'!$C$109:$BD$166,7,FALSE)</f>
        <v>0</v>
      </c>
      <c r="L37" s="13">
        <f ca="1">VLOOKUP($B37,'[11]Analisys QBR By Machine Report'!$C$109:$BD$166,8,FALSE)</f>
        <v>12870</v>
      </c>
      <c r="M37" s="13">
        <f ca="1">VLOOKUP($B37,'[11]Analisys QBR By Machine Report'!$C$109:$BD$166,9,FALSE)</f>
        <v>9130</v>
      </c>
      <c r="N37" s="13">
        <f ca="1">VLOOKUP($B37,[11]Dasboard_QBR_Report!$B$109:$BL$166,18,FALSE)</f>
        <v>3740</v>
      </c>
      <c r="O37" s="13">
        <f ca="1">VLOOKUP($B37,'[11]Analisys QBR By Machine Report'!$C$109:$BD$166,10,FALSE)</f>
        <v>263</v>
      </c>
      <c r="P37" s="13">
        <f ca="1">VLOOKUP($B37,'[11]Analisys QBR By Machine Report'!$C$109:$BD$166,11,FALSE)</f>
        <v>263</v>
      </c>
      <c r="Q37" s="13">
        <f ca="1">VLOOKUP($B37,'[11]Analisys QBR By Machine Report'!$C$109:$BD$166,12,FALSE)</f>
        <v>0</v>
      </c>
      <c r="R37" s="13">
        <f ca="1">VLOOKUP($B37,'[11]Analisys QBR By Machine Report'!$C$109:$BD$166,13,FALSE)</f>
        <v>0</v>
      </c>
      <c r="S37" s="13">
        <f ca="1">VLOOKUP($B37,'[11]Analisys QBR By Machine Report'!$C$109:$BD$166,14,FALSE)</f>
        <v>0</v>
      </c>
      <c r="T37" s="13">
        <f ca="1">VLOOKUP($B37,'[11]Analisys QBR By Machine Report'!$C$109:$BD$166,15,FALSE)</f>
        <v>195</v>
      </c>
      <c r="U37" s="13">
        <f ca="1">VLOOKUP($B37,'[11]Analisys QBR By Machine Report'!$C$109:$BD$166,16,FALSE)</f>
        <v>140</v>
      </c>
      <c r="V37" s="13">
        <f ca="1">VLOOKUP($B37,'[11]Analisys QBR By Machine Report'!$C$109:$BD$166,17,FALSE)</f>
        <v>55</v>
      </c>
      <c r="W37" s="13">
        <f ca="1">VLOOKUP($B37,'[11]Analisys QBR By Machine Report'!$C$109:$BD$166,18,FALSE)</f>
        <v>0</v>
      </c>
      <c r="X37" s="13">
        <f ca="1">VLOOKUP($B37,'[11]Analisys QBR By Machine Report'!$C$109:$BD$166,19,FALSE)</f>
        <v>0</v>
      </c>
      <c r="Y37" s="13">
        <f ca="1">VLOOKUP($B37,'[11]Analisys QBR By Machine Report'!$C$109:$BD$166,20,FALSE)</f>
        <v>0</v>
      </c>
      <c r="Z37" s="13">
        <f ca="1">VLOOKUP($B37,'[11]Analisys QBR By Machine Report'!$C$109:$BD$166,21,FALSE)</f>
        <v>801</v>
      </c>
      <c r="AA37" s="13">
        <f ca="1">VLOOKUP($B37,'[11]Analisys QBR By Machine Report'!$C$109:$BD$166,22,FALSE)</f>
        <v>271</v>
      </c>
      <c r="AB37" s="13">
        <f ca="1">VLOOKUP($B37,'[11]Analisys QBR By Machine Report'!$C$109:$BD$166,23,FALSE)</f>
        <v>530</v>
      </c>
      <c r="AC37" s="13">
        <f ca="1">VLOOKUP($B37,'[11]Analisys QBR By Machine Report'!$C$109:$BD$166,24,FALSE)</f>
        <v>0</v>
      </c>
      <c r="AD37" s="13">
        <f ca="1">VLOOKUP($B37,'[11]Analisys QBR By Machine Report'!$C$109:$BD$166,25,FALSE)</f>
        <v>0</v>
      </c>
      <c r="AE37" s="13">
        <f ca="1">VLOOKUP($B37,'[11]Analisys QBR By Machine Report'!$C$109:$BD$166,26,FALSE)</f>
        <v>0</v>
      </c>
      <c r="AF37" s="13">
        <f ca="1">VLOOKUP($B37,'[11]Analisys QBR By Machine Report'!$C$109:$BD$166,27,FALSE)</f>
        <v>70</v>
      </c>
      <c r="AG37" s="13">
        <f ca="1">VLOOKUP($B37,'[11]Analisys QBR By Machine Report'!$C$109:$BD$166,28,FALSE)</f>
        <v>70</v>
      </c>
      <c r="AH37" s="13">
        <f ca="1">VLOOKUP($B37,'[11]Analisys QBR By Machine Report'!$C$109:$BD$166,29,FALSE)</f>
        <v>0</v>
      </c>
      <c r="AI37" s="13">
        <f ca="1">VLOOKUP($B37,'[11]Analisys QBR By Machine Report'!$C$109:$BD$166,30,FALSE)</f>
        <v>2411</v>
      </c>
      <c r="AJ37" s="13">
        <f ca="1">VLOOKUP($B37,'[11]Analisys QBR By Machine Report'!$C$109:$BD$166,31,FALSE)</f>
        <v>0</v>
      </c>
      <c r="AK37" s="13">
        <f ca="1">VLOOKUP($B37,'[11]Analisys QBR By Machine Report'!$C$109:$BD$166,32,FALSE)</f>
        <v>285</v>
      </c>
      <c r="AL37" s="13">
        <f ca="1">VLOOKUP($B37,'[11]Analisys QBR By Machine Report'!$C$109:$BD$166,33,FALSE)</f>
        <v>810</v>
      </c>
      <c r="AM37" s="13">
        <f ca="1">VLOOKUP($B37,'[11]Analisys QBR By Machine Report'!$C$109:$BD$166,34,FALSE)</f>
        <v>0</v>
      </c>
      <c r="AN37" s="13">
        <f ca="1">VLOOKUP($B37,'[11]Analisys QBR By Machine Report'!$C$109:$BD$166,35,FALSE)</f>
        <v>510</v>
      </c>
      <c r="AO37" s="13">
        <f ca="1">VLOOKUP($B37,'[11]Analisys QBR By Machine Report'!$C$109:$BD$166,36,FALSE)</f>
        <v>65</v>
      </c>
      <c r="AP37" s="13">
        <f ca="1">VLOOKUP($B37,'[11]Analisys QBR By Machine Report'!$C$109:$BD$166,37,FALSE)</f>
        <v>0</v>
      </c>
      <c r="AQ37" s="13">
        <f ca="1">VLOOKUP($B37,'[11]Analisys QBR By Machine Report'!$C$109:$BD$166,38,FALSE)</f>
        <v>0</v>
      </c>
      <c r="AR37" s="13">
        <f ca="1">VLOOKUP($B37,'[11]Analisys QBR By Machine Report'!$C$109:$BD$166,39,FALSE)</f>
        <v>0</v>
      </c>
      <c r="AS37" s="13">
        <f ca="1">VLOOKUP($B37,'[11]Analisys QBR By Machine Report'!$C$109:$BD$166,40,FALSE)</f>
        <v>214</v>
      </c>
      <c r="AT37" s="13">
        <f ca="1">VLOOKUP($B37,'[11]Analisys QBR By Machine Report'!$C$109:$BD$166,41,FALSE)</f>
        <v>0</v>
      </c>
      <c r="AU37" s="13">
        <f ca="1">VLOOKUP($B37,'[11]Analisys QBR By Machine Report'!$C$109:$BD$166,42,FALSE)</f>
        <v>0</v>
      </c>
      <c r="AV37" s="13">
        <f ca="1">VLOOKUP($B37,'[11]Analisys QBR By Machine Report'!$C$109:$BD$166,43,FALSE)</f>
        <v>0</v>
      </c>
      <c r="AW37" s="13">
        <f ca="1">VLOOKUP($B37,'[11]Analisys QBR By Machine Report'!$C$109:$BD$166,44,FALSE)</f>
        <v>0</v>
      </c>
      <c r="AX37" s="13">
        <f ca="1">VLOOKUP($B37,'[11]Analisys QBR By Machine Report'!$C$109:$BD$166,45,FALSE)</f>
        <v>0</v>
      </c>
      <c r="AY37" s="13">
        <f ca="1">VLOOKUP($B37,'[11]Analisys QBR By Machine Report'!$C$109:$BD$166,46,FALSE)</f>
        <v>0</v>
      </c>
      <c r="AZ37" s="13">
        <f ca="1">VLOOKUP($B37,'[11]Analisys QBR By Machine Report'!$C$109:$BD$166,47,FALSE)</f>
        <v>527</v>
      </c>
      <c r="BA37" s="13">
        <f ca="1">VLOOKUP($B37,'[11]Analisys QBR By Machine Report'!$C$109:$BD$166,48,FALSE)</f>
        <v>0</v>
      </c>
      <c r="BB37" s="13">
        <f ca="1">VLOOKUP($B37,'[11]Analisys QBR By Machine Report'!$C$109:$BD$166,49,FALSE)</f>
        <v>0</v>
      </c>
      <c r="BC37" s="13">
        <f ca="1">VLOOKUP($B37,'[11]Analisys QBR By Machine Report'!$C$109:$BD$166,50,FALSE)</f>
        <v>0</v>
      </c>
      <c r="BD37" s="13">
        <f ca="1">VLOOKUP($B37,'[11]Analisys QBR By Machine Report'!$C$109:$BD$166,51,FALSE)</f>
        <v>364060</v>
      </c>
      <c r="BE37" s="13">
        <f ca="1">VLOOKUP($B37,'[11]Analisys QBR By Machine Report'!$C$109:$BD$166,52,FALSE)</f>
        <v>24</v>
      </c>
      <c r="BF37" s="13">
        <f ca="1">VLOOKUP($B37,'[11]Analisys QBR By Machine Report'!$C$109:$BD$166,53,FALSE)</f>
        <v>364036</v>
      </c>
    </row>
    <row r="38" spans="1:58" x14ac:dyDescent="0.25">
      <c r="A38" s="12" t="s">
        <v>94</v>
      </c>
      <c r="B38" s="13">
        <f ca="1">VLOOKUP($B38,'[11]Analisys QBR By Machine Report'!$C$109:$BD$166,2,FALSE)</f>
        <v>30240</v>
      </c>
      <c r="C38" s="14">
        <f ca="1">VLOOKUP($B38,[11]Dasboard_QBR_Report!$B$109:$BL$166,3,FALSE)</f>
        <v>10080</v>
      </c>
      <c r="D38" s="13">
        <f ca="1">VLOOKUP($B38,'[11]Analisys QBR By Machine Report'!$C$109:$BD$166,3,FALSE)</f>
        <v>30240</v>
      </c>
      <c r="E38" s="14">
        <f ca="1">VLOOKUP($B38,[11]Dasboard_QBR_Report!$B$109:$BL$166,5,FALSE)</f>
        <v>10080</v>
      </c>
      <c r="F38" s="13">
        <f t="shared" ca="1" si="0"/>
        <v>0</v>
      </c>
      <c r="G38" s="13">
        <f t="shared" ca="1" si="1"/>
        <v>0</v>
      </c>
      <c r="H38" s="13">
        <f ca="1">VLOOKUP($B38,'[11]Analisys QBR By Machine Report'!$C$109:$BD$166,4,FALSE)</f>
        <v>0</v>
      </c>
      <c r="I38" s="13">
        <f ca="1">VLOOKUP($B38,'[11]Analisys QBR By Machine Report'!$C$109:$BD$166,5,FALSE)</f>
        <v>0</v>
      </c>
      <c r="J38" s="13">
        <f ca="1">VLOOKUP($B38,'[11]Analisys QBR By Machine Report'!$C$109:$BD$166,6,FALSE)</f>
        <v>0</v>
      </c>
      <c r="K38" s="13">
        <f ca="1">VLOOKUP($B38,'[11]Analisys QBR By Machine Report'!$C$109:$BD$166,7,FALSE)</f>
        <v>0</v>
      </c>
      <c r="L38" s="13">
        <f ca="1">VLOOKUP($B38,'[11]Analisys QBR By Machine Report'!$C$109:$BD$166,8,FALSE)</f>
        <v>0</v>
      </c>
      <c r="M38" s="13">
        <f ca="1">VLOOKUP($B38,'[11]Analisys QBR By Machine Report'!$C$109:$BD$166,9,FALSE)</f>
        <v>0</v>
      </c>
      <c r="N38" s="13">
        <f ca="1">VLOOKUP($B38,[11]Dasboard_QBR_Report!$B$109:$BL$166,18,FALSE)</f>
        <v>0</v>
      </c>
      <c r="O38" s="13">
        <f ca="1">VLOOKUP($B38,'[11]Analisys QBR By Machine Report'!$C$109:$BD$166,10,FALSE)</f>
        <v>0</v>
      </c>
      <c r="P38" s="13">
        <f ca="1">VLOOKUP($B38,'[11]Analisys QBR By Machine Report'!$C$109:$BD$166,11,FALSE)</f>
        <v>0</v>
      </c>
      <c r="Q38" s="13">
        <f ca="1">VLOOKUP($B38,'[11]Analisys QBR By Machine Report'!$C$109:$BD$166,12,FALSE)</f>
        <v>0</v>
      </c>
      <c r="R38" s="13">
        <f ca="1">VLOOKUP($B38,'[11]Analisys QBR By Machine Report'!$C$109:$BD$166,13,FALSE)</f>
        <v>0</v>
      </c>
      <c r="S38" s="13">
        <f ca="1">VLOOKUP($B38,'[11]Analisys QBR By Machine Report'!$C$109:$BD$166,14,FALSE)</f>
        <v>0</v>
      </c>
      <c r="T38" s="13">
        <f ca="1">VLOOKUP($B38,'[11]Analisys QBR By Machine Report'!$C$109:$BD$166,15,FALSE)</f>
        <v>0</v>
      </c>
      <c r="U38" s="13">
        <f ca="1">VLOOKUP($B38,'[11]Analisys QBR By Machine Report'!$C$109:$BD$166,16,FALSE)</f>
        <v>0</v>
      </c>
      <c r="V38" s="13">
        <f ca="1">VLOOKUP($B38,'[11]Analisys QBR By Machine Report'!$C$109:$BD$166,17,FALSE)</f>
        <v>0</v>
      </c>
      <c r="W38" s="13">
        <f ca="1">VLOOKUP($B38,'[11]Analisys QBR By Machine Report'!$C$109:$BD$166,18,FALSE)</f>
        <v>0</v>
      </c>
      <c r="X38" s="13">
        <f ca="1">VLOOKUP($B38,'[11]Analisys QBR By Machine Report'!$C$109:$BD$166,19,FALSE)</f>
        <v>0</v>
      </c>
      <c r="Y38" s="13">
        <f ca="1">VLOOKUP($B38,'[11]Analisys QBR By Machine Report'!$C$109:$BD$166,20,FALSE)</f>
        <v>0</v>
      </c>
      <c r="Z38" s="13">
        <f ca="1">VLOOKUP($B38,'[11]Analisys QBR By Machine Report'!$C$109:$BD$166,21,FALSE)</f>
        <v>0</v>
      </c>
      <c r="AA38" s="13">
        <f ca="1">VLOOKUP($B38,'[11]Analisys QBR By Machine Report'!$C$109:$BD$166,22,FALSE)</f>
        <v>0</v>
      </c>
      <c r="AB38" s="13">
        <f ca="1">VLOOKUP($B38,'[11]Analisys QBR By Machine Report'!$C$109:$BD$166,23,FALSE)</f>
        <v>0</v>
      </c>
      <c r="AC38" s="13">
        <f ca="1">VLOOKUP($B38,'[11]Analisys QBR By Machine Report'!$C$109:$BD$166,24,FALSE)</f>
        <v>0</v>
      </c>
      <c r="AD38" s="13">
        <f ca="1">VLOOKUP($B38,'[11]Analisys QBR By Machine Report'!$C$109:$BD$166,25,FALSE)</f>
        <v>0</v>
      </c>
      <c r="AE38" s="13">
        <f ca="1">VLOOKUP($B38,'[11]Analisys QBR By Machine Report'!$C$109:$BD$166,26,FALSE)</f>
        <v>0</v>
      </c>
      <c r="AF38" s="13">
        <f ca="1">VLOOKUP($B38,'[11]Analisys QBR By Machine Report'!$C$109:$BD$166,27,FALSE)</f>
        <v>0</v>
      </c>
      <c r="AG38" s="13">
        <f ca="1">VLOOKUP($B38,'[11]Analisys QBR By Machine Report'!$C$109:$BD$166,28,FALSE)</f>
        <v>0</v>
      </c>
      <c r="AH38" s="13">
        <f ca="1">VLOOKUP($B38,'[11]Analisys QBR By Machine Report'!$C$109:$BD$166,29,FALSE)</f>
        <v>0</v>
      </c>
      <c r="AI38" s="13">
        <f ca="1">VLOOKUP($B38,'[11]Analisys QBR By Machine Report'!$C$109:$BD$166,30,FALSE)</f>
        <v>0</v>
      </c>
      <c r="AJ38" s="13">
        <f ca="1">VLOOKUP($B38,'[11]Analisys QBR By Machine Report'!$C$109:$BD$166,31,FALSE)</f>
        <v>0</v>
      </c>
      <c r="AK38" s="13">
        <f ca="1">VLOOKUP($B38,'[11]Analisys QBR By Machine Report'!$C$109:$BD$166,32,FALSE)</f>
        <v>0</v>
      </c>
      <c r="AL38" s="13">
        <f ca="1">VLOOKUP($B38,'[11]Analisys QBR By Machine Report'!$C$109:$BD$166,33,FALSE)</f>
        <v>0</v>
      </c>
      <c r="AM38" s="13">
        <f ca="1">VLOOKUP($B38,'[11]Analisys QBR By Machine Report'!$C$109:$BD$166,34,FALSE)</f>
        <v>0</v>
      </c>
      <c r="AN38" s="13">
        <f ca="1">VLOOKUP($B38,'[11]Analisys QBR By Machine Report'!$C$109:$BD$166,35,FALSE)</f>
        <v>0</v>
      </c>
      <c r="AO38" s="13">
        <f ca="1">VLOOKUP($B38,'[11]Analisys QBR By Machine Report'!$C$109:$BD$166,36,FALSE)</f>
        <v>0</v>
      </c>
      <c r="AP38" s="13">
        <f ca="1">VLOOKUP($B38,'[11]Analisys QBR By Machine Report'!$C$109:$BD$166,37,FALSE)</f>
        <v>0</v>
      </c>
      <c r="AQ38" s="13">
        <f ca="1">VLOOKUP($B38,'[11]Analisys QBR By Machine Report'!$C$109:$BD$166,38,FALSE)</f>
        <v>0</v>
      </c>
      <c r="AR38" s="13">
        <f ca="1">VLOOKUP($B38,'[11]Analisys QBR By Machine Report'!$C$109:$BD$166,39,FALSE)</f>
        <v>0</v>
      </c>
      <c r="AS38" s="13">
        <f ca="1">VLOOKUP($B38,'[11]Analisys QBR By Machine Report'!$C$109:$BD$166,40,FALSE)</f>
        <v>0</v>
      </c>
      <c r="AT38" s="13">
        <f ca="1">VLOOKUP($B38,'[11]Analisys QBR By Machine Report'!$C$109:$BD$166,41,FALSE)</f>
        <v>0</v>
      </c>
      <c r="AU38" s="13">
        <f ca="1">VLOOKUP($B38,'[11]Analisys QBR By Machine Report'!$C$109:$BD$166,42,FALSE)</f>
        <v>0</v>
      </c>
      <c r="AV38" s="13">
        <f ca="1">VLOOKUP($B38,'[11]Analisys QBR By Machine Report'!$C$109:$BD$166,43,FALSE)</f>
        <v>0</v>
      </c>
      <c r="AW38" s="13">
        <f ca="1">VLOOKUP($B38,'[11]Analisys QBR By Machine Report'!$C$109:$BD$166,44,FALSE)</f>
        <v>0</v>
      </c>
      <c r="AX38" s="13">
        <f ca="1">VLOOKUP($B38,'[11]Analisys QBR By Machine Report'!$C$109:$BD$166,45,FALSE)</f>
        <v>0</v>
      </c>
      <c r="AY38" s="13">
        <f ca="1">VLOOKUP($B38,'[11]Analisys QBR By Machine Report'!$C$109:$BD$166,46,FALSE)</f>
        <v>0</v>
      </c>
      <c r="AZ38" s="13">
        <f ca="1">VLOOKUP($B38,'[11]Analisys QBR By Machine Report'!$C$109:$BD$166,47,FALSE)</f>
        <v>0</v>
      </c>
      <c r="BA38" s="13">
        <f ca="1">VLOOKUP($B38,'[11]Analisys QBR By Machine Report'!$C$109:$BD$166,48,FALSE)</f>
        <v>0</v>
      </c>
      <c r="BB38" s="13">
        <f ca="1">VLOOKUP($B38,'[11]Analisys QBR By Machine Report'!$C$109:$BD$166,49,FALSE)</f>
        <v>0</v>
      </c>
      <c r="BC38" s="13">
        <f ca="1">VLOOKUP($B38,'[11]Analisys QBR By Machine Report'!$C$109:$BD$166,50,FALSE)</f>
        <v>0</v>
      </c>
      <c r="BD38" s="13">
        <f ca="1">VLOOKUP($B38,'[11]Analisys QBR By Machine Report'!$C$109:$BD$166,51,FALSE)</f>
        <v>0</v>
      </c>
      <c r="BE38" s="13">
        <f ca="1">VLOOKUP($B38,'[11]Analisys QBR By Machine Report'!$C$109:$BD$166,52,FALSE)</f>
        <v>0</v>
      </c>
      <c r="BF38" s="13">
        <f ca="1">VLOOKUP($B38,'[11]Analisys QBR By Machine Report'!$C$109:$BD$166,53,FALSE)</f>
        <v>0</v>
      </c>
    </row>
    <row r="39" spans="1:58" x14ac:dyDescent="0.25">
      <c r="A39" s="12" t="s">
        <v>95</v>
      </c>
      <c r="B39" s="13">
        <f ca="1">VLOOKUP($B39,'[11]Analisys QBR By Machine Report'!$C$109:$BD$166,2,FALSE)</f>
        <v>30240</v>
      </c>
      <c r="C39" s="14">
        <f ca="1">VLOOKUP($B39,[11]Dasboard_QBR_Report!$B$109:$BL$166,3,FALSE)</f>
        <v>10080</v>
      </c>
      <c r="D39" s="13">
        <f ca="1">VLOOKUP($B39,'[11]Analisys QBR By Machine Report'!$C$109:$BD$166,3,FALSE)</f>
        <v>16590</v>
      </c>
      <c r="E39" s="14">
        <f ca="1">VLOOKUP($B39,[11]Dasboard_QBR_Report!$B$109:$BL$166,5,FALSE)</f>
        <v>-3570</v>
      </c>
      <c r="F39" s="13">
        <f t="shared" ca="1" si="0"/>
        <v>13650</v>
      </c>
      <c r="G39" s="13">
        <f t="shared" ca="1" si="1"/>
        <v>285</v>
      </c>
      <c r="H39" s="13">
        <f ca="1">VLOOKUP($B39,'[11]Analisys QBR By Machine Report'!$C$109:$BD$166,4,FALSE)</f>
        <v>285</v>
      </c>
      <c r="I39" s="13">
        <f ca="1">VLOOKUP($B39,'[11]Analisys QBR By Machine Report'!$C$109:$BD$166,5,FALSE)</f>
        <v>285</v>
      </c>
      <c r="J39" s="13">
        <f ca="1">VLOOKUP($B39,'[11]Analisys QBR By Machine Report'!$C$109:$BD$166,6,FALSE)</f>
        <v>0</v>
      </c>
      <c r="K39" s="13">
        <f ca="1">VLOOKUP($B39,'[11]Analisys QBR By Machine Report'!$C$109:$BD$166,7,FALSE)</f>
        <v>0</v>
      </c>
      <c r="L39" s="13">
        <f ca="1">VLOOKUP($B39,'[11]Analisys QBR By Machine Report'!$C$109:$BD$166,8,FALSE)</f>
        <v>13365</v>
      </c>
      <c r="M39" s="13">
        <f ca="1">VLOOKUP($B39,'[11]Analisys QBR By Machine Report'!$C$109:$BD$166,9,FALSE)</f>
        <v>9475</v>
      </c>
      <c r="N39" s="13">
        <f ca="1">VLOOKUP($B39,[11]Dasboard_QBR_Report!$B$109:$BL$166,18,FALSE)</f>
        <v>3890</v>
      </c>
      <c r="O39" s="13">
        <f ca="1">VLOOKUP($B39,'[11]Analisys QBR By Machine Report'!$C$109:$BD$166,10,FALSE)</f>
        <v>252</v>
      </c>
      <c r="P39" s="13">
        <f ca="1">VLOOKUP($B39,'[11]Analisys QBR By Machine Report'!$C$109:$BD$166,11,FALSE)</f>
        <v>252</v>
      </c>
      <c r="Q39" s="13">
        <f ca="1">VLOOKUP($B39,'[11]Analisys QBR By Machine Report'!$C$109:$BD$166,12,FALSE)</f>
        <v>0</v>
      </c>
      <c r="R39" s="13">
        <f ca="1">VLOOKUP($B39,'[11]Analisys QBR By Machine Report'!$C$109:$BD$166,13,FALSE)</f>
        <v>0</v>
      </c>
      <c r="S39" s="13">
        <f ca="1">VLOOKUP($B39,'[11]Analisys QBR By Machine Report'!$C$109:$BD$166,14,FALSE)</f>
        <v>0</v>
      </c>
      <c r="T39" s="13">
        <f ca="1">VLOOKUP($B39,'[11]Analisys QBR By Machine Report'!$C$109:$BD$166,15,FALSE)</f>
        <v>0</v>
      </c>
      <c r="U39" s="13">
        <f ca="1">VLOOKUP($B39,'[11]Analisys QBR By Machine Report'!$C$109:$BD$166,16,FALSE)</f>
        <v>0</v>
      </c>
      <c r="V39" s="13">
        <f ca="1">VLOOKUP($B39,'[11]Analisys QBR By Machine Report'!$C$109:$BD$166,17,FALSE)</f>
        <v>0</v>
      </c>
      <c r="W39" s="13">
        <f ca="1">VLOOKUP($B39,'[11]Analisys QBR By Machine Report'!$C$109:$BD$166,18,FALSE)</f>
        <v>0</v>
      </c>
      <c r="X39" s="13">
        <f ca="1">VLOOKUP($B39,'[11]Analisys QBR By Machine Report'!$C$109:$BD$166,19,FALSE)</f>
        <v>0</v>
      </c>
      <c r="Y39" s="13">
        <f ca="1">VLOOKUP($B39,'[11]Analisys QBR By Machine Report'!$C$109:$BD$166,20,FALSE)</f>
        <v>0</v>
      </c>
      <c r="Z39" s="13">
        <f ca="1">VLOOKUP($B39,'[11]Analisys QBR By Machine Report'!$C$109:$BD$166,21,FALSE)</f>
        <v>815</v>
      </c>
      <c r="AA39" s="13">
        <f ca="1">VLOOKUP($B39,'[11]Analisys QBR By Machine Report'!$C$109:$BD$166,22,FALSE)</f>
        <v>250</v>
      </c>
      <c r="AB39" s="13">
        <f ca="1">VLOOKUP($B39,'[11]Analisys QBR By Machine Report'!$C$109:$BD$166,23,FALSE)</f>
        <v>565</v>
      </c>
      <c r="AC39" s="13">
        <f ca="1">VLOOKUP($B39,'[11]Analisys QBR By Machine Report'!$C$109:$BD$166,24,FALSE)</f>
        <v>0</v>
      </c>
      <c r="AD39" s="13">
        <f ca="1">VLOOKUP($B39,'[11]Analisys QBR By Machine Report'!$C$109:$BD$166,25,FALSE)</f>
        <v>0</v>
      </c>
      <c r="AE39" s="13">
        <f ca="1">VLOOKUP($B39,'[11]Analisys QBR By Machine Report'!$C$109:$BD$166,26,FALSE)</f>
        <v>0</v>
      </c>
      <c r="AF39" s="13">
        <f ca="1">VLOOKUP($B39,'[11]Analisys QBR By Machine Report'!$C$109:$BD$166,27,FALSE)</f>
        <v>0</v>
      </c>
      <c r="AG39" s="13">
        <f ca="1">VLOOKUP($B39,'[11]Analisys QBR By Machine Report'!$C$109:$BD$166,28,FALSE)</f>
        <v>0</v>
      </c>
      <c r="AH39" s="13">
        <f ca="1">VLOOKUP($B39,'[11]Analisys QBR By Machine Report'!$C$109:$BD$166,29,FALSE)</f>
        <v>0</v>
      </c>
      <c r="AI39" s="13">
        <f ca="1">VLOOKUP($B39,'[11]Analisys QBR By Machine Report'!$C$109:$BD$166,30,FALSE)</f>
        <v>2823</v>
      </c>
      <c r="AJ39" s="13">
        <f ca="1">VLOOKUP($B39,'[11]Analisys QBR By Machine Report'!$C$109:$BD$166,31,FALSE)</f>
        <v>0</v>
      </c>
      <c r="AK39" s="13">
        <f ca="1">VLOOKUP($B39,'[11]Analisys QBR By Machine Report'!$C$109:$BD$166,32,FALSE)</f>
        <v>570</v>
      </c>
      <c r="AL39" s="13">
        <f ca="1">VLOOKUP($B39,'[11]Analisys QBR By Machine Report'!$C$109:$BD$166,33,FALSE)</f>
        <v>805</v>
      </c>
      <c r="AM39" s="13">
        <f ca="1">VLOOKUP($B39,'[11]Analisys QBR By Machine Report'!$C$109:$BD$166,34,FALSE)</f>
        <v>0</v>
      </c>
      <c r="AN39" s="13">
        <f ca="1">VLOOKUP($B39,'[11]Analisys QBR By Machine Report'!$C$109:$BD$166,35,FALSE)</f>
        <v>510</v>
      </c>
      <c r="AO39" s="13">
        <f ca="1">VLOOKUP($B39,'[11]Analisys QBR By Machine Report'!$C$109:$BD$166,36,FALSE)</f>
        <v>70</v>
      </c>
      <c r="AP39" s="13">
        <f ca="1">VLOOKUP($B39,'[11]Analisys QBR By Machine Report'!$C$109:$BD$166,37,FALSE)</f>
        <v>0</v>
      </c>
      <c r="AQ39" s="13">
        <f ca="1">VLOOKUP($B39,'[11]Analisys QBR By Machine Report'!$C$109:$BD$166,38,FALSE)</f>
        <v>0</v>
      </c>
      <c r="AR39" s="13">
        <f ca="1">VLOOKUP($B39,'[11]Analisys QBR By Machine Report'!$C$109:$BD$166,39,FALSE)</f>
        <v>0</v>
      </c>
      <c r="AS39" s="13">
        <f ca="1">VLOOKUP($B39,'[11]Analisys QBR By Machine Report'!$C$109:$BD$166,40,FALSE)</f>
        <v>202</v>
      </c>
      <c r="AT39" s="13">
        <f ca="1">VLOOKUP($B39,'[11]Analisys QBR By Machine Report'!$C$109:$BD$166,41,FALSE)</f>
        <v>0</v>
      </c>
      <c r="AU39" s="13">
        <f ca="1">VLOOKUP($B39,'[11]Analisys QBR By Machine Report'!$C$109:$BD$166,42,FALSE)</f>
        <v>0</v>
      </c>
      <c r="AV39" s="13">
        <f ca="1">VLOOKUP($B39,'[11]Analisys QBR By Machine Report'!$C$109:$BD$166,43,FALSE)</f>
        <v>0</v>
      </c>
      <c r="AW39" s="13">
        <f ca="1">VLOOKUP($B39,'[11]Analisys QBR By Machine Report'!$C$109:$BD$166,44,FALSE)</f>
        <v>0</v>
      </c>
      <c r="AX39" s="13">
        <f ca="1">VLOOKUP($B39,'[11]Analisys QBR By Machine Report'!$C$109:$BD$166,45,FALSE)</f>
        <v>0</v>
      </c>
      <c r="AY39" s="13">
        <f ca="1">VLOOKUP($B39,'[11]Analisys QBR By Machine Report'!$C$109:$BD$166,46,FALSE)</f>
        <v>0</v>
      </c>
      <c r="AZ39" s="13">
        <f ca="1">VLOOKUP($B39,'[11]Analisys QBR By Machine Report'!$C$109:$BD$166,47,FALSE)</f>
        <v>666</v>
      </c>
      <c r="BA39" s="13">
        <f ca="1">VLOOKUP($B39,'[11]Analisys QBR By Machine Report'!$C$109:$BD$166,48,FALSE)</f>
        <v>0</v>
      </c>
      <c r="BB39" s="13">
        <f ca="1">VLOOKUP($B39,'[11]Analisys QBR By Machine Report'!$C$109:$BD$166,49,FALSE)</f>
        <v>0</v>
      </c>
      <c r="BC39" s="13">
        <f ca="1">VLOOKUP($B39,'[11]Analisys QBR By Machine Report'!$C$109:$BD$166,50,FALSE)</f>
        <v>0</v>
      </c>
      <c r="BD39" s="13">
        <f ca="1">VLOOKUP($B39,'[11]Analisys QBR By Machine Report'!$C$109:$BD$166,51,FALSE)</f>
        <v>402693</v>
      </c>
      <c r="BE39" s="13">
        <f ca="1">VLOOKUP($B39,'[11]Analisys QBR By Machine Report'!$C$109:$BD$166,52,FALSE)</f>
        <v>125</v>
      </c>
      <c r="BF39" s="13">
        <f ca="1">VLOOKUP($B39,'[11]Analisys QBR By Machine Report'!$C$109:$BD$166,53,FALSE)</f>
        <v>402568</v>
      </c>
    </row>
    <row r="40" spans="1:58" x14ac:dyDescent="0.25">
      <c r="A40" s="12" t="s">
        <v>96</v>
      </c>
      <c r="B40" s="13">
        <f ca="1">VLOOKUP($B40,'[11]Analisys QBR By Machine Report'!$C$109:$BD$166,2,FALSE)</f>
        <v>30240</v>
      </c>
      <c r="C40" s="14">
        <f ca="1">VLOOKUP($B40,[11]Dasboard_QBR_Report!$B$109:$BL$166,3,FALSE)</f>
        <v>10080</v>
      </c>
      <c r="D40" s="13">
        <f ca="1">VLOOKUP($B40,'[11]Analisys QBR By Machine Report'!$C$109:$BD$166,3,FALSE)</f>
        <v>28200</v>
      </c>
      <c r="E40" s="14">
        <f ca="1">VLOOKUP($B40,[11]Dasboard_QBR_Report!$B$109:$BL$166,5,FALSE)</f>
        <v>8040</v>
      </c>
      <c r="F40" s="13">
        <f t="shared" ca="1" si="0"/>
        <v>2040</v>
      </c>
      <c r="G40" s="13">
        <f t="shared" ca="1" si="1"/>
        <v>290</v>
      </c>
      <c r="H40" s="13">
        <f ca="1">VLOOKUP($B40,'[11]Analisys QBR By Machine Report'!$C$109:$BD$166,4,FALSE)</f>
        <v>290</v>
      </c>
      <c r="I40" s="13">
        <f ca="1">VLOOKUP($B40,'[11]Analisys QBR By Machine Report'!$C$109:$BD$166,5,FALSE)</f>
        <v>0</v>
      </c>
      <c r="J40" s="13">
        <f ca="1">VLOOKUP($B40,'[11]Analisys QBR By Machine Report'!$C$109:$BD$166,6,FALSE)</f>
        <v>290</v>
      </c>
      <c r="K40" s="13">
        <f ca="1">VLOOKUP($B40,'[11]Analisys QBR By Machine Report'!$C$109:$BD$166,7,FALSE)</f>
        <v>0</v>
      </c>
      <c r="L40" s="13">
        <f ca="1">VLOOKUP($B40,'[11]Analisys QBR By Machine Report'!$C$109:$BD$166,8,FALSE)</f>
        <v>1750</v>
      </c>
      <c r="M40" s="13">
        <f ca="1">VLOOKUP($B40,'[11]Analisys QBR By Machine Report'!$C$109:$BD$166,9,FALSE)</f>
        <v>465</v>
      </c>
      <c r="N40" s="13">
        <f ca="1">VLOOKUP($B40,[11]Dasboard_QBR_Report!$B$109:$BL$166,18,FALSE)</f>
        <v>1285</v>
      </c>
      <c r="O40" s="13">
        <f ca="1">VLOOKUP($B40,'[11]Analisys QBR By Machine Report'!$C$109:$BD$166,10,FALSE)</f>
        <v>240</v>
      </c>
      <c r="P40" s="13">
        <f ca="1">VLOOKUP($B40,'[11]Analisys QBR By Machine Report'!$C$109:$BD$166,11,FALSE)</f>
        <v>180</v>
      </c>
      <c r="Q40" s="13">
        <f ca="1">VLOOKUP($B40,'[11]Analisys QBR By Machine Report'!$C$109:$BD$166,12,FALSE)</f>
        <v>0</v>
      </c>
      <c r="R40" s="13">
        <f ca="1">VLOOKUP($B40,'[11]Analisys QBR By Machine Report'!$C$109:$BD$166,13,FALSE)</f>
        <v>60</v>
      </c>
      <c r="S40" s="13">
        <f ca="1">VLOOKUP($B40,'[11]Analisys QBR By Machine Report'!$C$109:$BD$166,14,FALSE)</f>
        <v>0</v>
      </c>
      <c r="T40" s="13">
        <f ca="1">VLOOKUP($B40,'[11]Analisys QBR By Machine Report'!$C$109:$BD$166,15,FALSE)</f>
        <v>135</v>
      </c>
      <c r="U40" s="13">
        <f ca="1">VLOOKUP($B40,'[11]Analisys QBR By Machine Report'!$C$109:$BD$166,16,FALSE)</f>
        <v>30</v>
      </c>
      <c r="V40" s="13">
        <f ca="1">VLOOKUP($B40,'[11]Analisys QBR By Machine Report'!$C$109:$BD$166,17,FALSE)</f>
        <v>0</v>
      </c>
      <c r="W40" s="13">
        <f ca="1">VLOOKUP($B40,'[11]Analisys QBR By Machine Report'!$C$109:$BD$166,18,FALSE)</f>
        <v>0</v>
      </c>
      <c r="X40" s="13">
        <f ca="1">VLOOKUP($B40,'[11]Analisys QBR By Machine Report'!$C$109:$BD$166,19,FALSE)</f>
        <v>105</v>
      </c>
      <c r="Y40" s="13">
        <f ca="1">VLOOKUP($B40,'[11]Analisys QBR By Machine Report'!$C$109:$BD$166,20,FALSE)</f>
        <v>0</v>
      </c>
      <c r="Z40" s="13">
        <f ca="1">VLOOKUP($B40,'[11]Analisys QBR By Machine Report'!$C$109:$BD$166,21,FALSE)</f>
        <v>250</v>
      </c>
      <c r="AA40" s="13">
        <f ca="1">VLOOKUP($B40,'[11]Analisys QBR By Machine Report'!$C$109:$BD$166,22,FALSE)</f>
        <v>100</v>
      </c>
      <c r="AB40" s="13">
        <f ca="1">VLOOKUP($B40,'[11]Analisys QBR By Machine Report'!$C$109:$BD$166,23,FALSE)</f>
        <v>130</v>
      </c>
      <c r="AC40" s="13">
        <f ca="1">VLOOKUP($B40,'[11]Analisys QBR By Machine Report'!$C$109:$BD$166,24,FALSE)</f>
        <v>20</v>
      </c>
      <c r="AD40" s="13">
        <f ca="1">VLOOKUP($B40,'[11]Analisys QBR By Machine Report'!$C$109:$BD$166,25,FALSE)</f>
        <v>0</v>
      </c>
      <c r="AE40" s="13">
        <f ca="1">VLOOKUP($B40,'[11]Analisys QBR By Machine Report'!$C$109:$BD$166,26,FALSE)</f>
        <v>0</v>
      </c>
      <c r="AF40" s="13">
        <f ca="1">VLOOKUP($B40,'[11]Analisys QBR By Machine Report'!$C$109:$BD$166,27,FALSE)</f>
        <v>0</v>
      </c>
      <c r="AG40" s="13">
        <f ca="1">VLOOKUP($B40,'[11]Analisys QBR By Machine Report'!$C$109:$BD$166,28,FALSE)</f>
        <v>0</v>
      </c>
      <c r="AH40" s="13">
        <f ca="1">VLOOKUP($B40,'[11]Analisys QBR By Machine Report'!$C$109:$BD$166,29,FALSE)</f>
        <v>0</v>
      </c>
      <c r="AI40" s="13">
        <f ca="1">VLOOKUP($B40,'[11]Analisys QBR By Machine Report'!$C$109:$BD$166,30,FALSE)</f>
        <v>660</v>
      </c>
      <c r="AJ40" s="13">
        <f ca="1">VLOOKUP($B40,'[11]Analisys QBR By Machine Report'!$C$109:$BD$166,31,FALSE)</f>
        <v>0</v>
      </c>
      <c r="AK40" s="13">
        <f ca="1">VLOOKUP($B40,'[11]Analisys QBR By Machine Report'!$C$109:$BD$166,32,FALSE)</f>
        <v>0</v>
      </c>
      <c r="AL40" s="13">
        <f ca="1">VLOOKUP($B40,'[11]Analisys QBR By Machine Report'!$C$109:$BD$166,33,FALSE)</f>
        <v>120</v>
      </c>
      <c r="AM40" s="13">
        <f ca="1">VLOOKUP($B40,'[11]Analisys QBR By Machine Report'!$C$109:$BD$166,34,FALSE)</f>
        <v>0</v>
      </c>
      <c r="AN40" s="13">
        <f ca="1">VLOOKUP($B40,'[11]Analisys QBR By Machine Report'!$C$109:$BD$166,35,FALSE)</f>
        <v>60</v>
      </c>
      <c r="AO40" s="13">
        <f ca="1">VLOOKUP($B40,'[11]Analisys QBR By Machine Report'!$C$109:$BD$166,36,FALSE)</f>
        <v>270</v>
      </c>
      <c r="AP40" s="13">
        <f ca="1">VLOOKUP($B40,'[11]Analisys QBR By Machine Report'!$C$109:$BD$166,37,FALSE)</f>
        <v>0</v>
      </c>
      <c r="AQ40" s="13">
        <f ca="1">VLOOKUP($B40,'[11]Analisys QBR By Machine Report'!$C$109:$BD$166,38,FALSE)</f>
        <v>0</v>
      </c>
      <c r="AR40" s="13">
        <f ca="1">VLOOKUP($B40,'[11]Analisys QBR By Machine Report'!$C$109:$BD$166,39,FALSE)</f>
        <v>145</v>
      </c>
      <c r="AS40" s="13">
        <f ca="1">VLOOKUP($B40,'[11]Analisys QBR By Machine Report'!$C$109:$BD$166,40,FALSE)</f>
        <v>30</v>
      </c>
      <c r="AT40" s="13">
        <f ca="1">VLOOKUP($B40,'[11]Analisys QBR By Machine Report'!$C$109:$BD$166,41,FALSE)</f>
        <v>0</v>
      </c>
      <c r="AU40" s="13">
        <f ca="1">VLOOKUP($B40,'[11]Analisys QBR By Machine Report'!$C$109:$BD$166,42,FALSE)</f>
        <v>0</v>
      </c>
      <c r="AV40" s="13">
        <f ca="1">VLOOKUP($B40,'[11]Analisys QBR By Machine Report'!$C$109:$BD$166,43,FALSE)</f>
        <v>0</v>
      </c>
      <c r="AW40" s="13">
        <f ca="1">VLOOKUP($B40,'[11]Analisys QBR By Machine Report'!$C$109:$BD$166,44,FALSE)</f>
        <v>0</v>
      </c>
      <c r="AX40" s="13">
        <f ca="1">VLOOKUP($B40,'[11]Analisys QBR By Machine Report'!$C$109:$BD$166,45,FALSE)</f>
        <v>0</v>
      </c>
      <c r="AY40" s="13">
        <f ca="1">VLOOKUP($B40,'[11]Analisys QBR By Machine Report'!$C$109:$BD$166,46,FALSE)</f>
        <v>0</v>
      </c>
      <c r="AZ40" s="13">
        <f ca="1">VLOOKUP($B40,'[11]Analisys QBR By Machine Report'!$C$109:$BD$166,47,FALSE)</f>
        <v>35</v>
      </c>
      <c r="BA40" s="13">
        <f ca="1">VLOOKUP($B40,'[11]Analisys QBR By Machine Report'!$C$109:$BD$166,48,FALSE)</f>
        <v>0</v>
      </c>
      <c r="BB40" s="13">
        <f ca="1">VLOOKUP($B40,'[11]Analisys QBR By Machine Report'!$C$109:$BD$166,49,FALSE)</f>
        <v>0</v>
      </c>
      <c r="BC40" s="13">
        <f ca="1">VLOOKUP($B40,'[11]Analisys QBR By Machine Report'!$C$109:$BD$166,50,FALSE)</f>
        <v>0</v>
      </c>
      <c r="BD40" s="13">
        <f ca="1">VLOOKUP($B40,'[11]Analisys QBR By Machine Report'!$C$109:$BD$166,51,FALSE)</f>
        <v>15527</v>
      </c>
      <c r="BE40" s="13">
        <f ca="1">VLOOKUP($B40,'[11]Analisys QBR By Machine Report'!$C$109:$BD$166,52,FALSE)</f>
        <v>0</v>
      </c>
      <c r="BF40" s="13">
        <f ca="1">VLOOKUP($B40,'[11]Analisys QBR By Machine Report'!$C$109:$BD$166,53,FALSE)</f>
        <v>15527</v>
      </c>
    </row>
    <row r="41" spans="1:58" x14ac:dyDescent="0.25">
      <c r="A41" s="12" t="s">
        <v>97</v>
      </c>
      <c r="B41" s="13">
        <f ca="1">VLOOKUP($B41,'[11]Analisys QBR By Machine Report'!$C$109:$BD$166,2,FALSE)</f>
        <v>30240</v>
      </c>
      <c r="C41" s="14">
        <f ca="1">VLOOKUP($B41,[11]Dasboard_QBR_Report!$B$109:$BL$166,3,FALSE)</f>
        <v>19530</v>
      </c>
      <c r="D41" s="13">
        <f ca="1">VLOOKUP($B41,'[11]Analisys QBR By Machine Report'!$C$109:$BD$166,3,FALSE)</f>
        <v>22590</v>
      </c>
      <c r="E41" s="14">
        <f ca="1">VLOOKUP($B41,[11]Dasboard_QBR_Report!$B$109:$BL$166,5,FALSE)</f>
        <v>11880</v>
      </c>
      <c r="F41" s="13">
        <f t="shared" ca="1" si="0"/>
        <v>7650</v>
      </c>
      <c r="G41" s="13">
        <f t="shared" ca="1" si="1"/>
        <v>1805</v>
      </c>
      <c r="H41" s="13">
        <f ca="1">VLOOKUP($B41,'[11]Analisys QBR By Machine Report'!$C$109:$BD$166,4,FALSE)</f>
        <v>1805</v>
      </c>
      <c r="I41" s="13">
        <f ca="1">VLOOKUP($B41,'[11]Analisys QBR By Machine Report'!$C$109:$BD$166,5,FALSE)</f>
        <v>0</v>
      </c>
      <c r="J41" s="13">
        <f ca="1">VLOOKUP($B41,'[11]Analisys QBR By Machine Report'!$C$109:$BD$166,6,FALSE)</f>
        <v>1805</v>
      </c>
      <c r="K41" s="13">
        <f ca="1">VLOOKUP($B41,'[11]Analisys QBR By Machine Report'!$C$109:$BD$166,7,FALSE)</f>
        <v>0</v>
      </c>
      <c r="L41" s="13">
        <f ca="1">VLOOKUP($B41,'[11]Analisys QBR By Machine Report'!$C$109:$BD$166,8,FALSE)</f>
        <v>5845</v>
      </c>
      <c r="M41" s="13">
        <f ca="1">VLOOKUP($B41,'[11]Analisys QBR By Machine Report'!$C$109:$BD$166,9,FALSE)</f>
        <v>2480</v>
      </c>
      <c r="N41" s="13">
        <f ca="1">VLOOKUP($B41,[11]Dasboard_QBR_Report!$B$109:$BL$166,18,FALSE)</f>
        <v>3365</v>
      </c>
      <c r="O41" s="13">
        <f ca="1">VLOOKUP($B41,'[11]Analisys QBR By Machine Report'!$C$109:$BD$166,10,FALSE)</f>
        <v>940</v>
      </c>
      <c r="P41" s="13">
        <f ca="1">VLOOKUP($B41,'[11]Analisys QBR By Machine Report'!$C$109:$BD$166,11,FALSE)</f>
        <v>370</v>
      </c>
      <c r="Q41" s="13">
        <f ca="1">VLOOKUP($B41,'[11]Analisys QBR By Machine Report'!$C$109:$BD$166,12,FALSE)</f>
        <v>0</v>
      </c>
      <c r="R41" s="13">
        <f ca="1">VLOOKUP($B41,'[11]Analisys QBR By Machine Report'!$C$109:$BD$166,13,FALSE)</f>
        <v>370</v>
      </c>
      <c r="S41" s="13">
        <f ca="1">VLOOKUP($B41,'[11]Analisys QBR By Machine Report'!$C$109:$BD$166,14,FALSE)</f>
        <v>200</v>
      </c>
      <c r="T41" s="13">
        <f ca="1">VLOOKUP($B41,'[11]Analisys QBR By Machine Report'!$C$109:$BD$166,15,FALSE)</f>
        <v>0</v>
      </c>
      <c r="U41" s="13">
        <f ca="1">VLOOKUP($B41,'[11]Analisys QBR By Machine Report'!$C$109:$BD$166,16,FALSE)</f>
        <v>0</v>
      </c>
      <c r="V41" s="13">
        <f ca="1">VLOOKUP($B41,'[11]Analisys QBR By Machine Report'!$C$109:$BD$166,17,FALSE)</f>
        <v>0</v>
      </c>
      <c r="W41" s="13">
        <f ca="1">VLOOKUP($B41,'[11]Analisys QBR By Machine Report'!$C$109:$BD$166,18,FALSE)</f>
        <v>0</v>
      </c>
      <c r="X41" s="13">
        <f ca="1">VLOOKUP($B41,'[11]Analisys QBR By Machine Report'!$C$109:$BD$166,19,FALSE)</f>
        <v>0</v>
      </c>
      <c r="Y41" s="13">
        <f ca="1">VLOOKUP($B41,'[11]Analisys QBR By Machine Report'!$C$109:$BD$166,20,FALSE)</f>
        <v>0</v>
      </c>
      <c r="Z41" s="13">
        <f ca="1">VLOOKUP($B41,'[11]Analisys QBR By Machine Report'!$C$109:$BD$166,21,FALSE)</f>
        <v>240</v>
      </c>
      <c r="AA41" s="13">
        <f ca="1">VLOOKUP($B41,'[11]Analisys QBR By Machine Report'!$C$109:$BD$166,22,FALSE)</f>
        <v>80</v>
      </c>
      <c r="AB41" s="13">
        <f ca="1">VLOOKUP($B41,'[11]Analisys QBR By Machine Report'!$C$109:$BD$166,23,FALSE)</f>
        <v>145</v>
      </c>
      <c r="AC41" s="13">
        <f ca="1">VLOOKUP($B41,'[11]Analisys QBR By Machine Report'!$C$109:$BD$166,24,FALSE)</f>
        <v>15</v>
      </c>
      <c r="AD41" s="13">
        <f ca="1">VLOOKUP($B41,'[11]Analisys QBR By Machine Report'!$C$109:$BD$166,25,FALSE)</f>
        <v>0</v>
      </c>
      <c r="AE41" s="13">
        <f ca="1">VLOOKUP($B41,'[11]Analisys QBR By Machine Report'!$C$109:$BD$166,26,FALSE)</f>
        <v>0</v>
      </c>
      <c r="AF41" s="13">
        <f ca="1">VLOOKUP($B41,'[11]Analisys QBR By Machine Report'!$C$109:$BD$166,27,FALSE)</f>
        <v>0</v>
      </c>
      <c r="AG41" s="13">
        <f ca="1">VLOOKUP($B41,'[11]Analisys QBR By Machine Report'!$C$109:$BD$166,28,FALSE)</f>
        <v>0</v>
      </c>
      <c r="AH41" s="13">
        <f ca="1">VLOOKUP($B41,'[11]Analisys QBR By Machine Report'!$C$109:$BD$166,29,FALSE)</f>
        <v>0</v>
      </c>
      <c r="AI41" s="13">
        <f ca="1">VLOOKUP($B41,'[11]Analisys QBR By Machine Report'!$C$109:$BD$166,30,FALSE)</f>
        <v>2185</v>
      </c>
      <c r="AJ41" s="13">
        <f ca="1">VLOOKUP($B41,'[11]Analisys QBR By Machine Report'!$C$109:$BD$166,31,FALSE)</f>
        <v>0</v>
      </c>
      <c r="AK41" s="13">
        <f ca="1">VLOOKUP($B41,'[11]Analisys QBR By Machine Report'!$C$109:$BD$166,32,FALSE)</f>
        <v>0</v>
      </c>
      <c r="AL41" s="13">
        <f ca="1">VLOOKUP($B41,'[11]Analisys QBR By Machine Report'!$C$109:$BD$166,33,FALSE)</f>
        <v>390</v>
      </c>
      <c r="AM41" s="13">
        <f ca="1">VLOOKUP($B41,'[11]Analisys QBR By Machine Report'!$C$109:$BD$166,34,FALSE)</f>
        <v>0</v>
      </c>
      <c r="AN41" s="13">
        <f ca="1">VLOOKUP($B41,'[11]Analisys QBR By Machine Report'!$C$109:$BD$166,35,FALSE)</f>
        <v>195</v>
      </c>
      <c r="AO41" s="13">
        <f ca="1">VLOOKUP($B41,'[11]Analisys QBR By Machine Report'!$C$109:$BD$166,36,FALSE)</f>
        <v>0</v>
      </c>
      <c r="AP41" s="13">
        <f ca="1">VLOOKUP($B41,'[11]Analisys QBR By Machine Report'!$C$109:$BD$166,37,FALSE)</f>
        <v>0</v>
      </c>
      <c r="AQ41" s="13">
        <f ca="1">VLOOKUP($B41,'[11]Analisys QBR By Machine Report'!$C$109:$BD$166,38,FALSE)</f>
        <v>0</v>
      </c>
      <c r="AR41" s="13">
        <f ca="1">VLOOKUP($B41,'[11]Analisys QBR By Machine Report'!$C$109:$BD$166,39,FALSE)</f>
        <v>1400</v>
      </c>
      <c r="AS41" s="13">
        <f ca="1">VLOOKUP($B41,'[11]Analisys QBR By Machine Report'!$C$109:$BD$166,40,FALSE)</f>
        <v>105</v>
      </c>
      <c r="AT41" s="13">
        <f ca="1">VLOOKUP($B41,'[11]Analisys QBR By Machine Report'!$C$109:$BD$166,41,FALSE)</f>
        <v>0</v>
      </c>
      <c r="AU41" s="13">
        <f ca="1">VLOOKUP($B41,'[11]Analisys QBR By Machine Report'!$C$109:$BD$166,42,FALSE)</f>
        <v>0</v>
      </c>
      <c r="AV41" s="13">
        <f ca="1">VLOOKUP($B41,'[11]Analisys QBR By Machine Report'!$C$109:$BD$166,43,FALSE)</f>
        <v>0</v>
      </c>
      <c r="AW41" s="13">
        <f ca="1">VLOOKUP($B41,'[11]Analisys QBR By Machine Report'!$C$109:$BD$166,44,FALSE)</f>
        <v>0</v>
      </c>
      <c r="AX41" s="13">
        <f ca="1">VLOOKUP($B41,'[11]Analisys QBR By Machine Report'!$C$109:$BD$166,45,FALSE)</f>
        <v>0</v>
      </c>
      <c r="AY41" s="13">
        <f ca="1">VLOOKUP($B41,'[11]Analisys QBR By Machine Report'!$C$109:$BD$166,46,FALSE)</f>
        <v>0</v>
      </c>
      <c r="AZ41" s="13">
        <f ca="1">VLOOKUP($B41,'[11]Analisys QBR By Machine Report'!$C$109:$BD$166,47,FALSE)</f>
        <v>95</v>
      </c>
      <c r="BA41" s="13">
        <f ca="1">VLOOKUP($B41,'[11]Analisys QBR By Machine Report'!$C$109:$BD$166,48,FALSE)</f>
        <v>0</v>
      </c>
      <c r="BB41" s="13">
        <f ca="1">VLOOKUP($B41,'[11]Analisys QBR By Machine Report'!$C$109:$BD$166,49,FALSE)</f>
        <v>0</v>
      </c>
      <c r="BC41" s="13">
        <f ca="1">VLOOKUP($B41,'[11]Analisys QBR By Machine Report'!$C$109:$BD$166,50,FALSE)</f>
        <v>0</v>
      </c>
      <c r="BD41" s="13">
        <f ca="1">VLOOKUP($B41,'[11]Analisys QBR By Machine Report'!$C$109:$BD$166,51,FALSE)</f>
        <v>157726</v>
      </c>
      <c r="BE41" s="13">
        <f ca="1">VLOOKUP($B41,'[11]Analisys QBR By Machine Report'!$C$109:$BD$166,52,FALSE)</f>
        <v>0</v>
      </c>
      <c r="BF41" s="13">
        <f ca="1">VLOOKUP($B41,'[11]Analisys QBR By Machine Report'!$C$109:$BD$166,53,FALSE)</f>
        <v>157726</v>
      </c>
    </row>
    <row r="42" spans="1:58" x14ac:dyDescent="0.25">
      <c r="A42" s="12" t="s">
        <v>98</v>
      </c>
      <c r="B42" s="13">
        <f ca="1">VLOOKUP($B42,'[11]Analisys QBR By Machine Report'!$C$109:$BD$166,2,FALSE)</f>
        <v>30240</v>
      </c>
      <c r="C42" s="14">
        <f ca="1">VLOOKUP($B42,[11]Dasboard_QBR_Report!$B$109:$BL$166,3,FALSE)</f>
        <v>10080</v>
      </c>
      <c r="D42" s="13">
        <f ca="1">VLOOKUP($B42,'[11]Analisys QBR By Machine Report'!$C$109:$BD$166,3,FALSE)</f>
        <v>20880</v>
      </c>
      <c r="E42" s="14">
        <f ca="1">VLOOKUP($B42,[11]Dasboard_QBR_Report!$B$109:$BL$166,5,FALSE)</f>
        <v>720</v>
      </c>
      <c r="F42" s="13">
        <f t="shared" ca="1" si="0"/>
        <v>9360</v>
      </c>
      <c r="G42" s="13">
        <f t="shared" ca="1" si="1"/>
        <v>771</v>
      </c>
      <c r="H42" s="13">
        <f ca="1">VLOOKUP($B42,'[11]Analisys QBR By Machine Report'!$C$109:$BD$166,4,FALSE)</f>
        <v>771</v>
      </c>
      <c r="I42" s="13">
        <f ca="1">VLOOKUP($B42,'[11]Analisys QBR By Machine Report'!$C$109:$BD$166,5,FALSE)</f>
        <v>456</v>
      </c>
      <c r="J42" s="13">
        <f ca="1">VLOOKUP($B42,'[11]Analisys QBR By Machine Report'!$C$109:$BD$166,6,FALSE)</f>
        <v>315</v>
      </c>
      <c r="K42" s="13">
        <f ca="1">VLOOKUP($B42,'[11]Analisys QBR By Machine Report'!$C$109:$BD$166,7,FALSE)</f>
        <v>0</v>
      </c>
      <c r="L42" s="13">
        <f ca="1">VLOOKUP($B42,'[11]Analisys QBR By Machine Report'!$C$109:$BD$166,8,FALSE)</f>
        <v>8589</v>
      </c>
      <c r="M42" s="13">
        <f ca="1">VLOOKUP($B42,'[11]Analisys QBR By Machine Report'!$C$109:$BD$166,9,FALSE)</f>
        <v>4489</v>
      </c>
      <c r="N42" s="13">
        <f ca="1">VLOOKUP($B42,[11]Dasboard_QBR_Report!$B$109:$BL$166,18,FALSE)</f>
        <v>4100</v>
      </c>
      <c r="O42" s="13">
        <f ca="1">VLOOKUP($B42,'[11]Analisys QBR By Machine Report'!$C$109:$BD$166,10,FALSE)</f>
        <v>1196</v>
      </c>
      <c r="P42" s="13">
        <f ca="1">VLOOKUP($B42,'[11]Analisys QBR By Machine Report'!$C$109:$BD$166,11,FALSE)</f>
        <v>583</v>
      </c>
      <c r="Q42" s="13">
        <f ca="1">VLOOKUP($B42,'[11]Analisys QBR By Machine Report'!$C$109:$BD$166,12,FALSE)</f>
        <v>78</v>
      </c>
      <c r="R42" s="13">
        <f ca="1">VLOOKUP($B42,'[11]Analisys QBR By Machine Report'!$C$109:$BD$166,13,FALSE)</f>
        <v>241</v>
      </c>
      <c r="S42" s="13">
        <f ca="1">VLOOKUP($B42,'[11]Analisys QBR By Machine Report'!$C$109:$BD$166,14,FALSE)</f>
        <v>294</v>
      </c>
      <c r="T42" s="13">
        <f ca="1">VLOOKUP($B42,'[11]Analisys QBR By Machine Report'!$C$109:$BD$166,15,FALSE)</f>
        <v>0</v>
      </c>
      <c r="U42" s="13">
        <f ca="1">VLOOKUP($B42,'[11]Analisys QBR By Machine Report'!$C$109:$BD$166,16,FALSE)</f>
        <v>0</v>
      </c>
      <c r="V42" s="13">
        <f ca="1">VLOOKUP($B42,'[11]Analisys QBR By Machine Report'!$C$109:$BD$166,17,FALSE)</f>
        <v>0</v>
      </c>
      <c r="W42" s="13">
        <f ca="1">VLOOKUP($B42,'[11]Analisys QBR By Machine Report'!$C$109:$BD$166,18,FALSE)</f>
        <v>0</v>
      </c>
      <c r="X42" s="13">
        <f ca="1">VLOOKUP($B42,'[11]Analisys QBR By Machine Report'!$C$109:$BD$166,19,FALSE)</f>
        <v>0</v>
      </c>
      <c r="Y42" s="13">
        <f ca="1">VLOOKUP($B42,'[11]Analisys QBR By Machine Report'!$C$109:$BD$166,20,FALSE)</f>
        <v>0</v>
      </c>
      <c r="Z42" s="13">
        <f ca="1">VLOOKUP($B42,'[11]Analisys QBR By Machine Report'!$C$109:$BD$166,21,FALSE)</f>
        <v>1452</v>
      </c>
      <c r="AA42" s="13">
        <f ca="1">VLOOKUP($B42,'[11]Analisys QBR By Machine Report'!$C$109:$BD$166,22,FALSE)</f>
        <v>919</v>
      </c>
      <c r="AB42" s="13">
        <f ca="1">VLOOKUP($B42,'[11]Analisys QBR By Machine Report'!$C$109:$BD$166,23,FALSE)</f>
        <v>393</v>
      </c>
      <c r="AC42" s="13">
        <f ca="1">VLOOKUP($B42,'[11]Analisys QBR By Machine Report'!$C$109:$BD$166,24,FALSE)</f>
        <v>32</v>
      </c>
      <c r="AD42" s="13">
        <f ca="1">VLOOKUP($B42,'[11]Analisys QBR By Machine Report'!$C$109:$BD$166,25,FALSE)</f>
        <v>0</v>
      </c>
      <c r="AE42" s="13">
        <f ca="1">VLOOKUP($B42,'[11]Analisys QBR By Machine Report'!$C$109:$BD$166,26,FALSE)</f>
        <v>108</v>
      </c>
      <c r="AF42" s="13">
        <f ca="1">VLOOKUP($B42,'[11]Analisys QBR By Machine Report'!$C$109:$BD$166,27,FALSE)</f>
        <v>0</v>
      </c>
      <c r="AG42" s="13">
        <f ca="1">VLOOKUP($B42,'[11]Analisys QBR By Machine Report'!$C$109:$BD$166,28,FALSE)</f>
        <v>0</v>
      </c>
      <c r="AH42" s="13">
        <f ca="1">VLOOKUP($B42,'[11]Analisys QBR By Machine Report'!$C$109:$BD$166,29,FALSE)</f>
        <v>0</v>
      </c>
      <c r="AI42" s="13">
        <f ca="1">VLOOKUP($B42,'[11]Analisys QBR By Machine Report'!$C$109:$BD$166,30,FALSE)</f>
        <v>1452</v>
      </c>
      <c r="AJ42" s="13">
        <f ca="1">VLOOKUP($B42,'[11]Analisys QBR By Machine Report'!$C$109:$BD$166,31,FALSE)</f>
        <v>0</v>
      </c>
      <c r="AK42" s="13">
        <f ca="1">VLOOKUP($B42,'[11]Analisys QBR By Machine Report'!$C$109:$BD$166,32,FALSE)</f>
        <v>0</v>
      </c>
      <c r="AL42" s="13">
        <f ca="1">VLOOKUP($B42,'[11]Analisys QBR By Machine Report'!$C$109:$BD$166,33,FALSE)</f>
        <v>570</v>
      </c>
      <c r="AM42" s="13">
        <f ca="1">VLOOKUP($B42,'[11]Analisys QBR By Machine Report'!$C$109:$BD$166,34,FALSE)</f>
        <v>0</v>
      </c>
      <c r="AN42" s="13">
        <f ca="1">VLOOKUP($B42,'[11]Analisys QBR By Machine Report'!$C$109:$BD$166,35,FALSE)</f>
        <v>345</v>
      </c>
      <c r="AO42" s="13">
        <f ca="1">VLOOKUP($B42,'[11]Analisys QBR By Machine Report'!$C$109:$BD$166,36,FALSE)</f>
        <v>0</v>
      </c>
      <c r="AP42" s="13">
        <f ca="1">VLOOKUP($B42,'[11]Analisys QBR By Machine Report'!$C$109:$BD$166,37,FALSE)</f>
        <v>0</v>
      </c>
      <c r="AQ42" s="13">
        <f ca="1">VLOOKUP($B42,'[11]Analisys QBR By Machine Report'!$C$109:$BD$166,38,FALSE)</f>
        <v>0</v>
      </c>
      <c r="AR42" s="13">
        <f ca="1">VLOOKUP($B42,'[11]Analisys QBR By Machine Report'!$C$109:$BD$166,39,FALSE)</f>
        <v>184</v>
      </c>
      <c r="AS42" s="13">
        <f ca="1">VLOOKUP($B42,'[11]Analisys QBR By Machine Report'!$C$109:$BD$166,40,FALSE)</f>
        <v>204</v>
      </c>
      <c r="AT42" s="13">
        <f ca="1">VLOOKUP($B42,'[11]Analisys QBR By Machine Report'!$C$109:$BD$166,41,FALSE)</f>
        <v>0</v>
      </c>
      <c r="AU42" s="13">
        <f ca="1">VLOOKUP($B42,'[11]Analisys QBR By Machine Report'!$C$109:$BD$166,42,FALSE)</f>
        <v>0</v>
      </c>
      <c r="AV42" s="13">
        <f ca="1">VLOOKUP($B42,'[11]Analisys QBR By Machine Report'!$C$109:$BD$166,43,FALSE)</f>
        <v>0</v>
      </c>
      <c r="AW42" s="13">
        <f ca="1">VLOOKUP($B42,'[11]Analisys QBR By Machine Report'!$C$109:$BD$166,44,FALSE)</f>
        <v>0</v>
      </c>
      <c r="AX42" s="13">
        <f ca="1">VLOOKUP($B42,'[11]Analisys QBR By Machine Report'!$C$109:$BD$166,45,FALSE)</f>
        <v>0</v>
      </c>
      <c r="AY42" s="13">
        <f ca="1">VLOOKUP($B42,'[11]Analisys QBR By Machine Report'!$C$109:$BD$166,46,FALSE)</f>
        <v>0</v>
      </c>
      <c r="AZ42" s="13">
        <f ca="1">VLOOKUP($B42,'[11]Analisys QBR By Machine Report'!$C$109:$BD$166,47,FALSE)</f>
        <v>149</v>
      </c>
      <c r="BA42" s="13">
        <f ca="1">VLOOKUP($B42,'[11]Analisys QBR By Machine Report'!$C$109:$BD$166,48,FALSE)</f>
        <v>0</v>
      </c>
      <c r="BB42" s="13">
        <f ca="1">VLOOKUP($B42,'[11]Analisys QBR By Machine Report'!$C$109:$BD$166,49,FALSE)</f>
        <v>0</v>
      </c>
      <c r="BC42" s="13">
        <f ca="1">VLOOKUP($B42,'[11]Analisys QBR By Machine Report'!$C$109:$BD$166,50,FALSE)</f>
        <v>0</v>
      </c>
      <c r="BD42" s="13">
        <f ca="1">VLOOKUP($B42,'[11]Analisys QBR By Machine Report'!$C$109:$BD$166,51,FALSE)</f>
        <v>518712</v>
      </c>
      <c r="BE42" s="13">
        <f ca="1">VLOOKUP($B42,'[11]Analisys QBR By Machine Report'!$C$109:$BD$166,52,FALSE)</f>
        <v>63</v>
      </c>
      <c r="BF42" s="13">
        <f ca="1">VLOOKUP($B42,'[11]Analisys QBR By Machine Report'!$C$109:$BD$166,53,FALSE)</f>
        <v>518649</v>
      </c>
    </row>
    <row r="43" spans="1:58" x14ac:dyDescent="0.25">
      <c r="A43" s="9" t="s">
        <v>99</v>
      </c>
      <c r="B43" s="10">
        <f ca="1">VLOOKUP($B43,'[11]Analisys QBR By Machine Report'!$C$109:$BD$166,2,FALSE)</f>
        <v>30240</v>
      </c>
      <c r="C43" s="11">
        <f ca="1">VLOOKUP($B43,[11]Dasboard_QBR_Report!$B$109:$BL$166,3,FALSE)</f>
        <v>10080</v>
      </c>
      <c r="D43" s="10">
        <f ca="1">VLOOKUP($B43,'[11]Analisys QBR By Machine Report'!$C$109:$BD$166,3,FALSE)</f>
        <v>27690</v>
      </c>
      <c r="E43" s="11">
        <f ca="1">VLOOKUP($B43,[11]Dasboard_QBR_Report!$B$109:$BL$166,5,FALSE)</f>
        <v>7530</v>
      </c>
      <c r="F43" s="10">
        <f t="shared" ca="1" si="0"/>
        <v>2550</v>
      </c>
      <c r="G43" s="10">
        <f t="shared" ca="1" si="1"/>
        <v>970</v>
      </c>
      <c r="H43" s="10">
        <f ca="1">VLOOKUP($B43,'[11]Analisys QBR By Machine Report'!$C$109:$BD$166,4,FALSE)</f>
        <v>970</v>
      </c>
      <c r="I43" s="10">
        <f ca="1">VLOOKUP($B43,'[11]Analisys QBR By Machine Report'!$C$109:$BD$166,5,FALSE)</f>
        <v>0</v>
      </c>
      <c r="J43" s="10">
        <f ca="1">VLOOKUP($B43,'[11]Analisys QBR By Machine Report'!$C$109:$BD$166,6,FALSE)</f>
        <v>970</v>
      </c>
      <c r="K43" s="10">
        <f ca="1">VLOOKUP($B43,'[11]Analisys QBR By Machine Report'!$C$109:$BD$166,7,FALSE)</f>
        <v>0</v>
      </c>
      <c r="L43" s="10">
        <f ca="1">VLOOKUP($B43,'[11]Analisys QBR By Machine Report'!$C$109:$BD$166,8,FALSE)</f>
        <v>1580</v>
      </c>
      <c r="M43" s="10">
        <f ca="1">VLOOKUP($B43,'[11]Analisys QBR By Machine Report'!$C$109:$BD$166,9,FALSE)</f>
        <v>133</v>
      </c>
      <c r="N43" s="10">
        <f ca="1">VLOOKUP($B43,[11]Dasboard_QBR_Report!$B$109:$BL$166,18,FALSE)</f>
        <v>1447</v>
      </c>
      <c r="O43" s="10">
        <f ca="1">VLOOKUP($B43,'[11]Analisys QBR By Machine Report'!$C$109:$BD$166,10,FALSE)</f>
        <v>55</v>
      </c>
      <c r="P43" s="10">
        <f ca="1">VLOOKUP($B43,'[11]Analisys QBR By Machine Report'!$C$109:$BD$166,11,FALSE)</f>
        <v>30</v>
      </c>
      <c r="Q43" s="10">
        <f ca="1">VLOOKUP($B43,'[11]Analisys QBR By Machine Report'!$C$109:$BD$166,12,FALSE)</f>
        <v>25</v>
      </c>
      <c r="R43" s="10">
        <f ca="1">VLOOKUP($B43,'[11]Analisys QBR By Machine Report'!$C$109:$BD$166,13,FALSE)</f>
        <v>0</v>
      </c>
      <c r="S43" s="10">
        <f ca="1">VLOOKUP($B43,'[11]Analisys QBR By Machine Report'!$C$109:$BD$166,14,FALSE)</f>
        <v>0</v>
      </c>
      <c r="T43" s="10">
        <f ca="1">VLOOKUP($B43,'[11]Analisys QBR By Machine Report'!$C$109:$BD$166,15,FALSE)</f>
        <v>0</v>
      </c>
      <c r="U43" s="10">
        <f ca="1">VLOOKUP($B43,'[11]Analisys QBR By Machine Report'!$C$109:$BD$166,16,FALSE)</f>
        <v>0</v>
      </c>
      <c r="V43" s="10">
        <f ca="1">VLOOKUP($B43,'[11]Analisys QBR By Machine Report'!$C$109:$BD$166,17,FALSE)</f>
        <v>0</v>
      </c>
      <c r="W43" s="10">
        <f ca="1">VLOOKUP($B43,'[11]Analisys QBR By Machine Report'!$C$109:$BD$166,18,FALSE)</f>
        <v>0</v>
      </c>
      <c r="X43" s="10">
        <f ca="1">VLOOKUP($B43,'[11]Analisys QBR By Machine Report'!$C$109:$BD$166,19,FALSE)</f>
        <v>0</v>
      </c>
      <c r="Y43" s="10">
        <f ca="1">VLOOKUP($B43,'[11]Analisys QBR By Machine Report'!$C$109:$BD$166,20,FALSE)</f>
        <v>0</v>
      </c>
      <c r="Z43" s="10">
        <f ca="1">VLOOKUP($B43,'[11]Analisys QBR By Machine Report'!$C$109:$BD$166,21,FALSE)</f>
        <v>636</v>
      </c>
      <c r="AA43" s="10">
        <f ca="1">VLOOKUP($B43,'[11]Analisys QBR By Machine Report'!$C$109:$BD$166,22,FALSE)</f>
        <v>248</v>
      </c>
      <c r="AB43" s="10">
        <f ca="1">VLOOKUP($B43,'[11]Analisys QBR By Machine Report'!$C$109:$BD$166,23,FALSE)</f>
        <v>348</v>
      </c>
      <c r="AC43" s="10">
        <f ca="1">VLOOKUP($B43,'[11]Analisys QBR By Machine Report'!$C$109:$BD$166,24,FALSE)</f>
        <v>0</v>
      </c>
      <c r="AD43" s="10">
        <f ca="1">VLOOKUP($B43,'[11]Analisys QBR By Machine Report'!$C$109:$BD$166,25,FALSE)</f>
        <v>0</v>
      </c>
      <c r="AE43" s="10">
        <f ca="1">VLOOKUP($B43,'[11]Analisys QBR By Machine Report'!$C$109:$BD$166,26,FALSE)</f>
        <v>40</v>
      </c>
      <c r="AF43" s="10">
        <f ca="1">VLOOKUP($B43,'[11]Analisys QBR By Machine Report'!$C$109:$BD$166,27,FALSE)</f>
        <v>0</v>
      </c>
      <c r="AG43" s="10">
        <f ca="1">VLOOKUP($B43,'[11]Analisys QBR By Machine Report'!$C$109:$BD$166,28,FALSE)</f>
        <v>0</v>
      </c>
      <c r="AH43" s="10">
        <f ca="1">VLOOKUP($B43,'[11]Analisys QBR By Machine Report'!$C$109:$BD$166,29,FALSE)</f>
        <v>0</v>
      </c>
      <c r="AI43" s="10">
        <f ca="1">VLOOKUP($B43,'[11]Analisys QBR By Machine Report'!$C$109:$BD$166,30,FALSE)</f>
        <v>756</v>
      </c>
      <c r="AJ43" s="10">
        <f ca="1">VLOOKUP($B43,'[11]Analisys QBR By Machine Report'!$C$109:$BD$166,31,FALSE)</f>
        <v>465</v>
      </c>
      <c r="AK43" s="10">
        <f ca="1">VLOOKUP($B43,'[11]Analisys QBR By Machine Report'!$C$109:$BD$166,32,FALSE)</f>
        <v>0</v>
      </c>
      <c r="AL43" s="10">
        <f ca="1">VLOOKUP($B43,'[11]Analisys QBR By Machine Report'!$C$109:$BD$166,33,FALSE)</f>
        <v>150</v>
      </c>
      <c r="AM43" s="10">
        <f ca="1">VLOOKUP($B43,'[11]Analisys QBR By Machine Report'!$C$109:$BD$166,34,FALSE)</f>
        <v>0</v>
      </c>
      <c r="AN43" s="10">
        <f ca="1">VLOOKUP($B43,'[11]Analisys QBR By Machine Report'!$C$109:$BD$166,35,FALSE)</f>
        <v>75</v>
      </c>
      <c r="AO43" s="10">
        <f ca="1">VLOOKUP($B43,'[11]Analisys QBR By Machine Report'!$C$109:$BD$166,36,FALSE)</f>
        <v>0</v>
      </c>
      <c r="AP43" s="10">
        <f ca="1">VLOOKUP($B43,'[11]Analisys QBR By Machine Report'!$C$109:$BD$166,37,FALSE)</f>
        <v>0</v>
      </c>
      <c r="AQ43" s="10">
        <f ca="1">VLOOKUP($B43,'[11]Analisys QBR By Machine Report'!$C$109:$BD$166,38,FALSE)</f>
        <v>0</v>
      </c>
      <c r="AR43" s="10">
        <f ca="1">VLOOKUP($B43,'[11]Analisys QBR By Machine Report'!$C$109:$BD$166,39,FALSE)</f>
        <v>0</v>
      </c>
      <c r="AS43" s="10">
        <f ca="1">VLOOKUP($B43,'[11]Analisys QBR By Machine Report'!$C$109:$BD$166,40,FALSE)</f>
        <v>0</v>
      </c>
      <c r="AT43" s="10">
        <f ca="1">VLOOKUP($B43,'[11]Analisys QBR By Machine Report'!$C$109:$BD$166,41,FALSE)</f>
        <v>0</v>
      </c>
      <c r="AU43" s="10">
        <f ca="1">VLOOKUP($B43,'[11]Analisys QBR By Machine Report'!$C$109:$BD$166,42,FALSE)</f>
        <v>0</v>
      </c>
      <c r="AV43" s="10">
        <f ca="1">VLOOKUP($B43,'[11]Analisys QBR By Machine Report'!$C$109:$BD$166,43,FALSE)</f>
        <v>0</v>
      </c>
      <c r="AW43" s="10">
        <f ca="1">VLOOKUP($B43,'[11]Analisys QBR By Machine Report'!$C$109:$BD$166,44,FALSE)</f>
        <v>0</v>
      </c>
      <c r="AX43" s="10">
        <f ca="1">VLOOKUP($B43,'[11]Analisys QBR By Machine Report'!$C$109:$BD$166,45,FALSE)</f>
        <v>0</v>
      </c>
      <c r="AY43" s="10">
        <f ca="1">VLOOKUP($B43,'[11]Analisys QBR By Machine Report'!$C$109:$BD$166,46,FALSE)</f>
        <v>0</v>
      </c>
      <c r="AZ43" s="10">
        <f ca="1">VLOOKUP($B43,'[11]Analisys QBR By Machine Report'!$C$109:$BD$166,47,FALSE)</f>
        <v>66</v>
      </c>
      <c r="BA43" s="10">
        <f ca="1">VLOOKUP($B43,'[11]Analisys QBR By Machine Report'!$C$109:$BD$166,48,FALSE)</f>
        <v>0</v>
      </c>
      <c r="BB43" s="10">
        <f ca="1">VLOOKUP($B43,'[11]Analisys QBR By Machine Report'!$C$109:$BD$166,49,FALSE)</f>
        <v>0</v>
      </c>
      <c r="BC43" s="10">
        <f ca="1">VLOOKUP($B43,'[11]Analisys QBR By Machine Report'!$C$109:$BD$166,50,FALSE)</f>
        <v>0</v>
      </c>
      <c r="BD43" s="10">
        <f ca="1">VLOOKUP($B43,'[11]Analisys QBR By Machine Report'!$C$109:$BD$166,51,FALSE)</f>
        <v>527.78</v>
      </c>
      <c r="BE43" s="10">
        <f ca="1">VLOOKUP($B43,'[11]Analisys QBR By Machine Report'!$C$109:$BD$166,52,FALSE)</f>
        <v>1.46</v>
      </c>
      <c r="BF43" s="10">
        <f ca="1">VLOOKUP($B43,'[11]Analisys QBR By Machine Report'!$C$109:$BD$166,53,FALSE)</f>
        <v>526.32000000000005</v>
      </c>
    </row>
    <row r="44" spans="1:58" x14ac:dyDescent="0.25">
      <c r="A44" s="12" t="s">
        <v>100</v>
      </c>
      <c r="B44" s="13">
        <f ca="1">VLOOKUP($B44,'[11]Analisys QBR By Machine Report'!$C$109:$BD$166,2,FALSE)</f>
        <v>30240</v>
      </c>
      <c r="C44" s="14">
        <f ca="1">VLOOKUP($B44,[11]Dasboard_QBR_Report!$B$109:$BL$166,3,FALSE)</f>
        <v>10080</v>
      </c>
      <c r="D44" s="13">
        <f ca="1">VLOOKUP($B44,'[11]Analisys QBR By Machine Report'!$C$109:$BD$166,3,FALSE)</f>
        <v>27690</v>
      </c>
      <c r="E44" s="14">
        <f ca="1">VLOOKUP($B44,[11]Dasboard_QBR_Report!$B$109:$BL$166,5,FALSE)</f>
        <v>7530</v>
      </c>
      <c r="F44" s="13">
        <f t="shared" ca="1" si="0"/>
        <v>2550</v>
      </c>
      <c r="G44" s="13">
        <f t="shared" ca="1" si="1"/>
        <v>970</v>
      </c>
      <c r="H44" s="13">
        <f ca="1">VLOOKUP($B44,'[11]Analisys QBR By Machine Report'!$C$109:$BD$166,4,FALSE)</f>
        <v>970</v>
      </c>
      <c r="I44" s="13">
        <f ca="1">VLOOKUP($B44,'[11]Analisys QBR By Machine Report'!$C$109:$BD$166,5,FALSE)</f>
        <v>0</v>
      </c>
      <c r="J44" s="13">
        <f ca="1">VLOOKUP($B44,'[11]Analisys QBR By Machine Report'!$C$109:$BD$166,6,FALSE)</f>
        <v>970</v>
      </c>
      <c r="K44" s="13">
        <f ca="1">VLOOKUP($B44,'[11]Analisys QBR By Machine Report'!$C$109:$BD$166,7,FALSE)</f>
        <v>0</v>
      </c>
      <c r="L44" s="13">
        <f ca="1">VLOOKUP($B44,'[11]Analisys QBR By Machine Report'!$C$109:$BD$166,8,FALSE)</f>
        <v>1580</v>
      </c>
      <c r="M44" s="13">
        <f ca="1">VLOOKUP($B44,'[11]Analisys QBR By Machine Report'!$C$109:$BD$166,9,FALSE)</f>
        <v>133</v>
      </c>
      <c r="N44" s="13">
        <f ca="1">VLOOKUP($B44,[11]Dasboard_QBR_Report!$B$109:$BL$166,18,FALSE)</f>
        <v>1447</v>
      </c>
      <c r="O44" s="13">
        <f ca="1">VLOOKUP($B44,'[11]Analisys QBR By Machine Report'!$C$109:$BD$166,10,FALSE)</f>
        <v>55</v>
      </c>
      <c r="P44" s="13">
        <f ca="1">VLOOKUP($B44,'[11]Analisys QBR By Machine Report'!$C$109:$BD$166,11,FALSE)</f>
        <v>30</v>
      </c>
      <c r="Q44" s="13">
        <f ca="1">VLOOKUP($B44,'[11]Analisys QBR By Machine Report'!$C$109:$BD$166,12,FALSE)</f>
        <v>25</v>
      </c>
      <c r="R44" s="13">
        <f ca="1">VLOOKUP($B44,'[11]Analisys QBR By Machine Report'!$C$109:$BD$166,13,FALSE)</f>
        <v>0</v>
      </c>
      <c r="S44" s="13">
        <f ca="1">VLOOKUP($B44,'[11]Analisys QBR By Machine Report'!$C$109:$BD$166,14,FALSE)</f>
        <v>0</v>
      </c>
      <c r="T44" s="13">
        <f ca="1">VLOOKUP($B44,'[11]Analisys QBR By Machine Report'!$C$109:$BD$166,15,FALSE)</f>
        <v>0</v>
      </c>
      <c r="U44" s="13">
        <f ca="1">VLOOKUP($B44,'[11]Analisys QBR By Machine Report'!$C$109:$BD$166,16,FALSE)</f>
        <v>0</v>
      </c>
      <c r="V44" s="13">
        <f ca="1">VLOOKUP($B44,'[11]Analisys QBR By Machine Report'!$C$109:$BD$166,17,FALSE)</f>
        <v>0</v>
      </c>
      <c r="W44" s="13">
        <f ca="1">VLOOKUP($B44,'[11]Analisys QBR By Machine Report'!$C$109:$BD$166,18,FALSE)</f>
        <v>0</v>
      </c>
      <c r="X44" s="13">
        <f ca="1">VLOOKUP($B44,'[11]Analisys QBR By Machine Report'!$C$109:$BD$166,19,FALSE)</f>
        <v>0</v>
      </c>
      <c r="Y44" s="13">
        <f ca="1">VLOOKUP($B44,'[11]Analisys QBR By Machine Report'!$C$109:$BD$166,20,FALSE)</f>
        <v>0</v>
      </c>
      <c r="Z44" s="13">
        <f ca="1">VLOOKUP($B44,'[11]Analisys QBR By Machine Report'!$C$109:$BD$166,21,FALSE)</f>
        <v>636</v>
      </c>
      <c r="AA44" s="13">
        <f ca="1">VLOOKUP($B44,'[11]Analisys QBR By Machine Report'!$C$109:$BD$166,22,FALSE)</f>
        <v>248</v>
      </c>
      <c r="AB44" s="13">
        <f ca="1">VLOOKUP($B44,'[11]Analisys QBR By Machine Report'!$C$109:$BD$166,23,FALSE)</f>
        <v>348</v>
      </c>
      <c r="AC44" s="13">
        <f ca="1">VLOOKUP($B44,'[11]Analisys QBR By Machine Report'!$C$109:$BD$166,24,FALSE)</f>
        <v>0</v>
      </c>
      <c r="AD44" s="13">
        <f ca="1">VLOOKUP($B44,'[11]Analisys QBR By Machine Report'!$C$109:$BD$166,25,FALSE)</f>
        <v>0</v>
      </c>
      <c r="AE44" s="13">
        <f ca="1">VLOOKUP($B44,'[11]Analisys QBR By Machine Report'!$C$109:$BD$166,26,FALSE)</f>
        <v>40</v>
      </c>
      <c r="AF44" s="13">
        <f ca="1">VLOOKUP($B44,'[11]Analisys QBR By Machine Report'!$C$109:$BD$166,27,FALSE)</f>
        <v>0</v>
      </c>
      <c r="AG44" s="13">
        <f ca="1">VLOOKUP($B44,'[11]Analisys QBR By Machine Report'!$C$109:$BD$166,28,FALSE)</f>
        <v>0</v>
      </c>
      <c r="AH44" s="13">
        <f ca="1">VLOOKUP($B44,'[11]Analisys QBR By Machine Report'!$C$109:$BD$166,29,FALSE)</f>
        <v>0</v>
      </c>
      <c r="AI44" s="13">
        <f ca="1">VLOOKUP($B44,'[11]Analisys QBR By Machine Report'!$C$109:$BD$166,30,FALSE)</f>
        <v>756</v>
      </c>
      <c r="AJ44" s="13">
        <f ca="1">VLOOKUP($B44,'[11]Analisys QBR By Machine Report'!$C$109:$BD$166,31,FALSE)</f>
        <v>465</v>
      </c>
      <c r="AK44" s="13">
        <f ca="1">VLOOKUP($B44,'[11]Analisys QBR By Machine Report'!$C$109:$BD$166,32,FALSE)</f>
        <v>0</v>
      </c>
      <c r="AL44" s="13">
        <f ca="1">VLOOKUP($B44,'[11]Analisys QBR By Machine Report'!$C$109:$BD$166,33,FALSE)</f>
        <v>150</v>
      </c>
      <c r="AM44" s="13">
        <f ca="1">VLOOKUP($B44,'[11]Analisys QBR By Machine Report'!$C$109:$BD$166,34,FALSE)</f>
        <v>0</v>
      </c>
      <c r="AN44" s="13">
        <f ca="1">VLOOKUP($B44,'[11]Analisys QBR By Machine Report'!$C$109:$BD$166,35,FALSE)</f>
        <v>75</v>
      </c>
      <c r="AO44" s="13">
        <f ca="1">VLOOKUP($B44,'[11]Analisys QBR By Machine Report'!$C$109:$BD$166,36,FALSE)</f>
        <v>0</v>
      </c>
      <c r="AP44" s="13">
        <f ca="1">VLOOKUP($B44,'[11]Analisys QBR By Machine Report'!$C$109:$BD$166,37,FALSE)</f>
        <v>0</v>
      </c>
      <c r="AQ44" s="13">
        <f ca="1">VLOOKUP($B44,'[11]Analisys QBR By Machine Report'!$C$109:$BD$166,38,FALSE)</f>
        <v>0</v>
      </c>
      <c r="AR44" s="13">
        <f ca="1">VLOOKUP($B44,'[11]Analisys QBR By Machine Report'!$C$109:$BD$166,39,FALSE)</f>
        <v>0</v>
      </c>
      <c r="AS44" s="13">
        <f ca="1">VLOOKUP($B44,'[11]Analisys QBR By Machine Report'!$C$109:$BD$166,40,FALSE)</f>
        <v>0</v>
      </c>
      <c r="AT44" s="13">
        <f ca="1">VLOOKUP($B44,'[11]Analisys QBR By Machine Report'!$C$109:$BD$166,41,FALSE)</f>
        <v>0</v>
      </c>
      <c r="AU44" s="13">
        <f ca="1">VLOOKUP($B44,'[11]Analisys QBR By Machine Report'!$C$109:$BD$166,42,FALSE)</f>
        <v>0</v>
      </c>
      <c r="AV44" s="13">
        <f ca="1">VLOOKUP($B44,'[11]Analisys QBR By Machine Report'!$C$109:$BD$166,43,FALSE)</f>
        <v>0</v>
      </c>
      <c r="AW44" s="13">
        <f ca="1">VLOOKUP($B44,'[11]Analisys QBR By Machine Report'!$C$109:$BD$166,44,FALSE)</f>
        <v>0</v>
      </c>
      <c r="AX44" s="13">
        <f ca="1">VLOOKUP($B44,'[11]Analisys QBR By Machine Report'!$C$109:$BD$166,45,FALSE)</f>
        <v>0</v>
      </c>
      <c r="AY44" s="13">
        <f ca="1">VLOOKUP($B44,'[11]Analisys QBR By Machine Report'!$C$109:$BD$166,46,FALSE)</f>
        <v>0</v>
      </c>
      <c r="AZ44" s="13">
        <f ca="1">VLOOKUP($B44,'[11]Analisys QBR By Machine Report'!$C$109:$BD$166,47,FALSE)</f>
        <v>66</v>
      </c>
      <c r="BA44" s="13">
        <f ca="1">VLOOKUP($B44,'[11]Analisys QBR By Machine Report'!$C$109:$BD$166,48,FALSE)</f>
        <v>0</v>
      </c>
      <c r="BB44" s="13">
        <f ca="1">VLOOKUP($B44,'[11]Analisys QBR By Machine Report'!$C$109:$BD$166,49,FALSE)</f>
        <v>0</v>
      </c>
      <c r="BC44" s="13">
        <f ca="1">VLOOKUP($B44,'[11]Analisys QBR By Machine Report'!$C$109:$BD$166,50,FALSE)</f>
        <v>0</v>
      </c>
      <c r="BD44" s="13">
        <f ca="1">VLOOKUP($B44,'[11]Analisys QBR By Machine Report'!$C$109:$BD$166,51,FALSE)</f>
        <v>527.78</v>
      </c>
      <c r="BE44" s="13">
        <f ca="1">VLOOKUP($B44,'[11]Analisys QBR By Machine Report'!$C$109:$BD$166,52,FALSE)</f>
        <v>1.46</v>
      </c>
      <c r="BF44" s="13">
        <f ca="1">VLOOKUP($B44,'[11]Analisys QBR By Machine Report'!$C$109:$BD$166,53,FALSE)</f>
        <v>526.32000000000005</v>
      </c>
    </row>
    <row r="45" spans="1:58" x14ac:dyDescent="0.25">
      <c r="A45" s="9" t="s">
        <v>101</v>
      </c>
      <c r="B45" s="10">
        <f ca="1">VLOOKUP($B45,'[11]Analisys QBR By Machine Report'!$C$109:$BD$166,2,FALSE)</f>
        <v>30240</v>
      </c>
      <c r="C45" s="11">
        <f ca="1">VLOOKUP($B45,[11]Dasboard_QBR_Report!$B$109:$BL$166,3,FALSE)</f>
        <v>10080</v>
      </c>
      <c r="D45" s="10">
        <f ca="1">VLOOKUP($B45,'[11]Analisys QBR By Machine Report'!$C$109:$BD$166,3,FALSE)</f>
        <v>28200</v>
      </c>
      <c r="E45" s="11">
        <f ca="1">VLOOKUP($B45,[11]Dasboard_QBR_Report!$B$109:$BL$166,5,FALSE)</f>
        <v>8040</v>
      </c>
      <c r="F45" s="10">
        <f t="shared" ca="1" si="0"/>
        <v>2040</v>
      </c>
      <c r="G45" s="10">
        <f t="shared" ca="1" si="1"/>
        <v>100</v>
      </c>
      <c r="H45" s="10">
        <f ca="1">VLOOKUP($B45,'[11]Analisys QBR By Machine Report'!$C$109:$BD$166,4,FALSE)</f>
        <v>100</v>
      </c>
      <c r="I45" s="10">
        <f ca="1">VLOOKUP($B45,'[11]Analisys QBR By Machine Report'!$C$109:$BD$166,5,FALSE)</f>
        <v>30</v>
      </c>
      <c r="J45" s="10">
        <f ca="1">VLOOKUP($B45,'[11]Analisys QBR By Machine Report'!$C$109:$BD$166,6,FALSE)</f>
        <v>70</v>
      </c>
      <c r="K45" s="10">
        <f ca="1">VLOOKUP($B45,'[11]Analisys QBR By Machine Report'!$C$109:$BD$166,7,FALSE)</f>
        <v>0</v>
      </c>
      <c r="L45" s="10">
        <f ca="1">VLOOKUP($B45,'[11]Analisys QBR By Machine Report'!$C$109:$BD$166,8,FALSE)</f>
        <v>1940</v>
      </c>
      <c r="M45" s="10">
        <f ca="1">VLOOKUP($B45,'[11]Analisys QBR By Machine Report'!$C$109:$BD$166,9,FALSE)</f>
        <v>570</v>
      </c>
      <c r="N45" s="10">
        <f ca="1">VLOOKUP($B45,[11]Dasboard_QBR_Report!$B$109:$BL$166,18,FALSE)</f>
        <v>1370</v>
      </c>
      <c r="O45" s="10">
        <f ca="1">VLOOKUP($B45,'[11]Analisys QBR By Machine Report'!$C$109:$BD$166,10,FALSE)</f>
        <v>180</v>
      </c>
      <c r="P45" s="10">
        <f ca="1">VLOOKUP($B45,'[11]Analisys QBR By Machine Report'!$C$109:$BD$166,11,FALSE)</f>
        <v>85</v>
      </c>
      <c r="Q45" s="10">
        <f ca="1">VLOOKUP($B45,'[11]Analisys QBR By Machine Report'!$C$109:$BD$166,12,FALSE)</f>
        <v>0</v>
      </c>
      <c r="R45" s="10">
        <f ca="1">VLOOKUP($B45,'[11]Analisys QBR By Machine Report'!$C$109:$BD$166,13,FALSE)</f>
        <v>95</v>
      </c>
      <c r="S45" s="10">
        <f ca="1">VLOOKUP($B45,'[11]Analisys QBR By Machine Report'!$C$109:$BD$166,14,FALSE)</f>
        <v>0</v>
      </c>
      <c r="T45" s="10">
        <f ca="1">VLOOKUP($B45,'[11]Analisys QBR By Machine Report'!$C$109:$BD$166,15,FALSE)</f>
        <v>0</v>
      </c>
      <c r="U45" s="10">
        <f ca="1">VLOOKUP($B45,'[11]Analisys QBR By Machine Report'!$C$109:$BD$166,16,FALSE)</f>
        <v>0</v>
      </c>
      <c r="V45" s="10">
        <f ca="1">VLOOKUP($B45,'[11]Analisys QBR By Machine Report'!$C$109:$BD$166,17,FALSE)</f>
        <v>0</v>
      </c>
      <c r="W45" s="10">
        <f ca="1">VLOOKUP($B45,'[11]Analisys QBR By Machine Report'!$C$109:$BD$166,18,FALSE)</f>
        <v>0</v>
      </c>
      <c r="X45" s="10">
        <f ca="1">VLOOKUP($B45,'[11]Analisys QBR By Machine Report'!$C$109:$BD$166,19,FALSE)</f>
        <v>0</v>
      </c>
      <c r="Y45" s="10">
        <f ca="1">VLOOKUP($B45,'[11]Analisys QBR By Machine Report'!$C$109:$BD$166,20,FALSE)</f>
        <v>0</v>
      </c>
      <c r="Z45" s="10">
        <f ca="1">VLOOKUP($B45,'[11]Analisys QBR By Machine Report'!$C$109:$BD$166,21,FALSE)</f>
        <v>810</v>
      </c>
      <c r="AA45" s="10">
        <f ca="1">VLOOKUP($B45,'[11]Analisys QBR By Machine Report'!$C$109:$BD$166,22,FALSE)</f>
        <v>340</v>
      </c>
      <c r="AB45" s="10">
        <f ca="1">VLOOKUP($B45,'[11]Analisys QBR By Machine Report'!$C$109:$BD$166,23,FALSE)</f>
        <v>450</v>
      </c>
      <c r="AC45" s="10">
        <f ca="1">VLOOKUP($B45,'[11]Analisys QBR By Machine Report'!$C$109:$BD$166,24,FALSE)</f>
        <v>0</v>
      </c>
      <c r="AD45" s="10">
        <f ca="1">VLOOKUP($B45,'[11]Analisys QBR By Machine Report'!$C$109:$BD$166,25,FALSE)</f>
        <v>0</v>
      </c>
      <c r="AE45" s="10">
        <f ca="1">VLOOKUP($B45,'[11]Analisys QBR By Machine Report'!$C$109:$BD$166,26,FALSE)</f>
        <v>20</v>
      </c>
      <c r="AF45" s="10">
        <f ca="1">VLOOKUP($B45,'[11]Analisys QBR By Machine Report'!$C$109:$BD$166,27,FALSE)</f>
        <v>0</v>
      </c>
      <c r="AG45" s="10">
        <f ca="1">VLOOKUP($B45,'[11]Analisys QBR By Machine Report'!$C$109:$BD$166,28,FALSE)</f>
        <v>0</v>
      </c>
      <c r="AH45" s="10">
        <f ca="1">VLOOKUP($B45,'[11]Analisys QBR By Machine Report'!$C$109:$BD$166,29,FALSE)</f>
        <v>0</v>
      </c>
      <c r="AI45" s="10">
        <f ca="1">VLOOKUP($B45,'[11]Analisys QBR By Machine Report'!$C$109:$BD$166,30,FALSE)</f>
        <v>380</v>
      </c>
      <c r="AJ45" s="10">
        <f ca="1">VLOOKUP($B45,'[11]Analisys QBR By Machine Report'!$C$109:$BD$166,31,FALSE)</f>
        <v>0</v>
      </c>
      <c r="AK45" s="10">
        <f ca="1">VLOOKUP($B45,'[11]Analisys QBR By Machine Report'!$C$109:$BD$166,32,FALSE)</f>
        <v>0</v>
      </c>
      <c r="AL45" s="10">
        <f ca="1">VLOOKUP($B45,'[11]Analisys QBR By Machine Report'!$C$109:$BD$166,33,FALSE)</f>
        <v>125</v>
      </c>
      <c r="AM45" s="10">
        <f ca="1">VLOOKUP($B45,'[11]Analisys QBR By Machine Report'!$C$109:$BD$166,34,FALSE)</f>
        <v>0</v>
      </c>
      <c r="AN45" s="10">
        <f ca="1">VLOOKUP($B45,'[11]Analisys QBR By Machine Report'!$C$109:$BD$166,35,FALSE)</f>
        <v>80</v>
      </c>
      <c r="AO45" s="10">
        <f ca="1">VLOOKUP($B45,'[11]Analisys QBR By Machine Report'!$C$109:$BD$166,36,FALSE)</f>
        <v>0</v>
      </c>
      <c r="AP45" s="10">
        <f ca="1">VLOOKUP($B45,'[11]Analisys QBR By Machine Report'!$C$109:$BD$166,37,FALSE)</f>
        <v>30</v>
      </c>
      <c r="AQ45" s="10">
        <f ca="1">VLOOKUP($B45,'[11]Analisys QBR By Machine Report'!$C$109:$BD$166,38,FALSE)</f>
        <v>15</v>
      </c>
      <c r="AR45" s="10">
        <f ca="1">VLOOKUP($B45,'[11]Analisys QBR By Machine Report'!$C$109:$BD$166,39,FALSE)</f>
        <v>0</v>
      </c>
      <c r="AS45" s="10">
        <f ca="1">VLOOKUP($B45,'[11]Analisys QBR By Machine Report'!$C$109:$BD$166,40,FALSE)</f>
        <v>30</v>
      </c>
      <c r="AT45" s="10">
        <f ca="1">VLOOKUP($B45,'[11]Analisys QBR By Machine Report'!$C$109:$BD$166,41,FALSE)</f>
        <v>0</v>
      </c>
      <c r="AU45" s="10">
        <f ca="1">VLOOKUP($B45,'[11]Analisys QBR By Machine Report'!$C$109:$BD$166,42,FALSE)</f>
        <v>0</v>
      </c>
      <c r="AV45" s="10">
        <f ca="1">VLOOKUP($B45,'[11]Analisys QBR By Machine Report'!$C$109:$BD$166,43,FALSE)</f>
        <v>0</v>
      </c>
      <c r="AW45" s="10">
        <f ca="1">VLOOKUP($B45,'[11]Analisys QBR By Machine Report'!$C$109:$BD$166,44,FALSE)</f>
        <v>0</v>
      </c>
      <c r="AX45" s="10">
        <f ca="1">VLOOKUP($B45,'[11]Analisys QBR By Machine Report'!$C$109:$BD$166,45,FALSE)</f>
        <v>0</v>
      </c>
      <c r="AY45" s="10">
        <f ca="1">VLOOKUP($B45,'[11]Analisys QBR By Machine Report'!$C$109:$BD$166,46,FALSE)</f>
        <v>0</v>
      </c>
      <c r="AZ45" s="10">
        <f ca="1">VLOOKUP($B45,'[11]Analisys QBR By Machine Report'!$C$109:$BD$166,47,FALSE)</f>
        <v>75</v>
      </c>
      <c r="BA45" s="10">
        <f ca="1">VLOOKUP($B45,'[11]Analisys QBR By Machine Report'!$C$109:$BD$166,48,FALSE)</f>
        <v>25</v>
      </c>
      <c r="BB45" s="10">
        <f ca="1">VLOOKUP($B45,'[11]Analisys QBR By Machine Report'!$C$109:$BD$166,49,FALSE)</f>
        <v>0</v>
      </c>
      <c r="BC45" s="10">
        <f ca="1">VLOOKUP($B45,'[11]Analisys QBR By Machine Report'!$C$109:$BD$166,50,FALSE)</f>
        <v>0</v>
      </c>
      <c r="BD45" s="10">
        <f ca="1">VLOOKUP($B45,'[11]Analisys QBR By Machine Report'!$C$109:$BD$166,51,FALSE)</f>
        <v>16924</v>
      </c>
      <c r="BE45" s="10">
        <f ca="1">VLOOKUP($B45,'[11]Analisys QBR By Machine Report'!$C$109:$BD$166,52,FALSE)</f>
        <v>73</v>
      </c>
      <c r="BF45" s="10">
        <f ca="1">VLOOKUP($B45,'[11]Analisys QBR By Machine Report'!$C$109:$BD$166,53,FALSE)</f>
        <v>16851</v>
      </c>
    </row>
    <row r="46" spans="1:58" x14ac:dyDescent="0.25">
      <c r="A46" s="12" t="s">
        <v>102</v>
      </c>
      <c r="B46" s="13">
        <f ca="1">VLOOKUP($B46,'[11]Analisys QBR By Machine Report'!$C$109:$BD$166,2,FALSE)</f>
        <v>30240</v>
      </c>
      <c r="C46" s="14">
        <f ca="1">VLOOKUP($B46,[11]Dasboard_QBR_Report!$B$109:$BL$166,3,FALSE)</f>
        <v>10080</v>
      </c>
      <c r="D46" s="13">
        <f ca="1">VLOOKUP($B46,'[11]Analisys QBR By Machine Report'!$C$109:$BD$166,3,FALSE)</f>
        <v>28200</v>
      </c>
      <c r="E46" s="14">
        <f ca="1">VLOOKUP($B46,[11]Dasboard_QBR_Report!$B$109:$BL$166,5,FALSE)</f>
        <v>8040</v>
      </c>
      <c r="F46" s="13">
        <f t="shared" ca="1" si="0"/>
        <v>2040</v>
      </c>
      <c r="G46" s="13">
        <f t="shared" ca="1" si="1"/>
        <v>100</v>
      </c>
      <c r="H46" s="13">
        <f ca="1">VLOOKUP($B46,'[11]Analisys QBR By Machine Report'!$C$109:$BD$166,4,FALSE)</f>
        <v>100</v>
      </c>
      <c r="I46" s="13">
        <f ca="1">VLOOKUP($B46,'[11]Analisys QBR By Machine Report'!$C$109:$BD$166,5,FALSE)</f>
        <v>30</v>
      </c>
      <c r="J46" s="13">
        <f ca="1">VLOOKUP($B46,'[11]Analisys QBR By Machine Report'!$C$109:$BD$166,6,FALSE)</f>
        <v>70</v>
      </c>
      <c r="K46" s="13">
        <f ca="1">VLOOKUP($B46,'[11]Analisys QBR By Machine Report'!$C$109:$BD$166,7,FALSE)</f>
        <v>0</v>
      </c>
      <c r="L46" s="13">
        <f ca="1">VLOOKUP($B46,'[11]Analisys QBR By Machine Report'!$C$109:$BD$166,8,FALSE)</f>
        <v>1940</v>
      </c>
      <c r="M46" s="13">
        <f ca="1">VLOOKUP($B46,'[11]Analisys QBR By Machine Report'!$C$109:$BD$166,9,FALSE)</f>
        <v>570</v>
      </c>
      <c r="N46" s="13">
        <f ca="1">VLOOKUP($B46,[11]Dasboard_QBR_Report!$B$109:$BL$166,18,FALSE)</f>
        <v>1370</v>
      </c>
      <c r="O46" s="13">
        <f ca="1">VLOOKUP($B46,'[11]Analisys QBR By Machine Report'!$C$109:$BD$166,10,FALSE)</f>
        <v>180</v>
      </c>
      <c r="P46" s="13">
        <f ca="1">VLOOKUP($B46,'[11]Analisys QBR By Machine Report'!$C$109:$BD$166,11,FALSE)</f>
        <v>85</v>
      </c>
      <c r="Q46" s="13">
        <f ca="1">VLOOKUP($B46,'[11]Analisys QBR By Machine Report'!$C$109:$BD$166,12,FALSE)</f>
        <v>0</v>
      </c>
      <c r="R46" s="13">
        <f ca="1">VLOOKUP($B46,'[11]Analisys QBR By Machine Report'!$C$109:$BD$166,13,FALSE)</f>
        <v>95</v>
      </c>
      <c r="S46" s="13">
        <f ca="1">VLOOKUP($B46,'[11]Analisys QBR By Machine Report'!$C$109:$BD$166,14,FALSE)</f>
        <v>0</v>
      </c>
      <c r="T46" s="13">
        <f ca="1">VLOOKUP($B46,'[11]Analisys QBR By Machine Report'!$C$109:$BD$166,15,FALSE)</f>
        <v>0</v>
      </c>
      <c r="U46" s="13">
        <f ca="1">VLOOKUP($B46,'[11]Analisys QBR By Machine Report'!$C$109:$BD$166,16,FALSE)</f>
        <v>0</v>
      </c>
      <c r="V46" s="13">
        <f ca="1">VLOOKUP($B46,'[11]Analisys QBR By Machine Report'!$C$109:$BD$166,17,FALSE)</f>
        <v>0</v>
      </c>
      <c r="W46" s="13">
        <f ca="1">VLOOKUP($B46,'[11]Analisys QBR By Machine Report'!$C$109:$BD$166,18,FALSE)</f>
        <v>0</v>
      </c>
      <c r="X46" s="13">
        <f ca="1">VLOOKUP($B46,'[11]Analisys QBR By Machine Report'!$C$109:$BD$166,19,FALSE)</f>
        <v>0</v>
      </c>
      <c r="Y46" s="13">
        <f ca="1">VLOOKUP($B46,'[11]Analisys QBR By Machine Report'!$C$109:$BD$166,20,FALSE)</f>
        <v>0</v>
      </c>
      <c r="Z46" s="13">
        <f ca="1">VLOOKUP($B46,'[11]Analisys QBR By Machine Report'!$C$109:$BD$166,21,FALSE)</f>
        <v>810</v>
      </c>
      <c r="AA46" s="13">
        <f ca="1">VLOOKUP($B46,'[11]Analisys QBR By Machine Report'!$C$109:$BD$166,22,FALSE)</f>
        <v>340</v>
      </c>
      <c r="AB46" s="13">
        <f ca="1">VLOOKUP($B46,'[11]Analisys QBR By Machine Report'!$C$109:$BD$166,23,FALSE)</f>
        <v>450</v>
      </c>
      <c r="AC46" s="13">
        <f ca="1">VLOOKUP($B46,'[11]Analisys QBR By Machine Report'!$C$109:$BD$166,24,FALSE)</f>
        <v>0</v>
      </c>
      <c r="AD46" s="13">
        <f ca="1">VLOOKUP($B46,'[11]Analisys QBR By Machine Report'!$C$109:$BD$166,25,FALSE)</f>
        <v>0</v>
      </c>
      <c r="AE46" s="13">
        <f ca="1">VLOOKUP($B46,'[11]Analisys QBR By Machine Report'!$C$109:$BD$166,26,FALSE)</f>
        <v>20</v>
      </c>
      <c r="AF46" s="13">
        <f ca="1">VLOOKUP($B46,'[11]Analisys QBR By Machine Report'!$C$109:$BD$166,27,FALSE)</f>
        <v>0</v>
      </c>
      <c r="AG46" s="13">
        <f ca="1">VLOOKUP($B46,'[11]Analisys QBR By Machine Report'!$C$109:$BD$166,28,FALSE)</f>
        <v>0</v>
      </c>
      <c r="AH46" s="13">
        <f ca="1">VLOOKUP($B46,'[11]Analisys QBR By Machine Report'!$C$109:$BD$166,29,FALSE)</f>
        <v>0</v>
      </c>
      <c r="AI46" s="13">
        <f ca="1">VLOOKUP($B46,'[11]Analisys QBR By Machine Report'!$C$109:$BD$166,30,FALSE)</f>
        <v>380</v>
      </c>
      <c r="AJ46" s="13">
        <f ca="1">VLOOKUP($B46,'[11]Analisys QBR By Machine Report'!$C$109:$BD$166,31,FALSE)</f>
        <v>0</v>
      </c>
      <c r="AK46" s="13">
        <f ca="1">VLOOKUP($B46,'[11]Analisys QBR By Machine Report'!$C$109:$BD$166,32,FALSE)</f>
        <v>0</v>
      </c>
      <c r="AL46" s="13">
        <f ca="1">VLOOKUP($B46,'[11]Analisys QBR By Machine Report'!$C$109:$BD$166,33,FALSE)</f>
        <v>125</v>
      </c>
      <c r="AM46" s="13">
        <f ca="1">VLOOKUP($B46,'[11]Analisys QBR By Machine Report'!$C$109:$BD$166,34,FALSE)</f>
        <v>0</v>
      </c>
      <c r="AN46" s="13">
        <f ca="1">VLOOKUP($B46,'[11]Analisys QBR By Machine Report'!$C$109:$BD$166,35,FALSE)</f>
        <v>80</v>
      </c>
      <c r="AO46" s="13">
        <f ca="1">VLOOKUP($B46,'[11]Analisys QBR By Machine Report'!$C$109:$BD$166,36,FALSE)</f>
        <v>0</v>
      </c>
      <c r="AP46" s="13">
        <f ca="1">VLOOKUP($B46,'[11]Analisys QBR By Machine Report'!$C$109:$BD$166,37,FALSE)</f>
        <v>30</v>
      </c>
      <c r="AQ46" s="13">
        <f ca="1">VLOOKUP($B46,'[11]Analisys QBR By Machine Report'!$C$109:$BD$166,38,FALSE)</f>
        <v>15</v>
      </c>
      <c r="AR46" s="13">
        <f ca="1">VLOOKUP($B46,'[11]Analisys QBR By Machine Report'!$C$109:$BD$166,39,FALSE)</f>
        <v>0</v>
      </c>
      <c r="AS46" s="13">
        <f ca="1">VLOOKUP($B46,'[11]Analisys QBR By Machine Report'!$C$109:$BD$166,40,FALSE)</f>
        <v>30</v>
      </c>
      <c r="AT46" s="13">
        <f ca="1">VLOOKUP($B46,'[11]Analisys QBR By Machine Report'!$C$109:$BD$166,41,FALSE)</f>
        <v>0</v>
      </c>
      <c r="AU46" s="13">
        <f ca="1">VLOOKUP($B46,'[11]Analisys QBR By Machine Report'!$C$109:$BD$166,42,FALSE)</f>
        <v>0</v>
      </c>
      <c r="AV46" s="13">
        <f ca="1">VLOOKUP($B46,'[11]Analisys QBR By Machine Report'!$C$109:$BD$166,43,FALSE)</f>
        <v>0</v>
      </c>
      <c r="AW46" s="13">
        <f ca="1">VLOOKUP($B46,'[11]Analisys QBR By Machine Report'!$C$109:$BD$166,44,FALSE)</f>
        <v>0</v>
      </c>
      <c r="AX46" s="13">
        <f ca="1">VLOOKUP($B46,'[11]Analisys QBR By Machine Report'!$C$109:$BD$166,45,FALSE)</f>
        <v>0</v>
      </c>
      <c r="AY46" s="13">
        <f ca="1">VLOOKUP($B46,'[11]Analisys QBR By Machine Report'!$C$109:$BD$166,46,FALSE)</f>
        <v>0</v>
      </c>
      <c r="AZ46" s="13">
        <f ca="1">VLOOKUP($B46,'[11]Analisys QBR By Machine Report'!$C$109:$BD$166,47,FALSE)</f>
        <v>75</v>
      </c>
      <c r="BA46" s="13">
        <f ca="1">VLOOKUP($B46,'[11]Analisys QBR By Machine Report'!$C$109:$BD$166,48,FALSE)</f>
        <v>25</v>
      </c>
      <c r="BB46" s="13">
        <f ca="1">VLOOKUP($B46,'[11]Analisys QBR By Machine Report'!$C$109:$BD$166,49,FALSE)</f>
        <v>0</v>
      </c>
      <c r="BC46" s="13">
        <f ca="1">VLOOKUP($B46,'[11]Analisys QBR By Machine Report'!$C$109:$BD$166,50,FALSE)</f>
        <v>0</v>
      </c>
      <c r="BD46" s="13">
        <f ca="1">VLOOKUP($B46,'[11]Analisys QBR By Machine Report'!$C$109:$BD$166,51,FALSE)</f>
        <v>16924</v>
      </c>
      <c r="BE46" s="13">
        <f ca="1">VLOOKUP($B46,'[11]Analisys QBR By Machine Report'!$C$109:$BD$166,52,FALSE)</f>
        <v>73</v>
      </c>
      <c r="BF46" s="13">
        <f ca="1">VLOOKUP($B46,'[11]Analisys QBR By Machine Report'!$C$109:$BD$166,53,FALSE)</f>
        <v>16851</v>
      </c>
    </row>
    <row r="47" spans="1:58" x14ac:dyDescent="0.25">
      <c r="A47" s="9" t="s">
        <v>103</v>
      </c>
      <c r="B47" s="10">
        <f ca="1">VLOOKUP($B47,'[11]Analisys QBR By Machine Report'!$C$109:$BD$166,2,FALSE)</f>
        <v>30240</v>
      </c>
      <c r="C47" s="11">
        <f ca="1">VLOOKUP($B47,[11]Dasboard_QBR_Report!$B$109:$BL$166,3,FALSE)</f>
        <v>10080</v>
      </c>
      <c r="D47" s="10">
        <f ca="1">VLOOKUP($B47,'[11]Analisys QBR By Machine Report'!$C$109:$BD$166,3,FALSE)</f>
        <v>28200</v>
      </c>
      <c r="E47" s="11">
        <f ca="1">VLOOKUP($B47,[11]Dasboard_QBR_Report!$B$109:$BL$166,5,FALSE)</f>
        <v>8040</v>
      </c>
      <c r="F47" s="10">
        <f t="shared" ca="1" si="0"/>
        <v>2040</v>
      </c>
      <c r="G47" s="10">
        <f t="shared" ca="1" si="1"/>
        <v>120</v>
      </c>
      <c r="H47" s="10">
        <f ca="1">VLOOKUP($B47,'[11]Analisys QBR By Machine Report'!$C$109:$BD$166,4,FALSE)</f>
        <v>120</v>
      </c>
      <c r="I47" s="10">
        <f ca="1">VLOOKUP($B47,'[11]Analisys QBR By Machine Report'!$C$109:$BD$166,5,FALSE)</f>
        <v>120</v>
      </c>
      <c r="J47" s="10">
        <f ca="1">VLOOKUP($B47,'[11]Analisys QBR By Machine Report'!$C$109:$BD$166,6,FALSE)</f>
        <v>0</v>
      </c>
      <c r="K47" s="10">
        <f ca="1">VLOOKUP($B47,'[11]Analisys QBR By Machine Report'!$C$109:$BD$166,7,FALSE)</f>
        <v>0</v>
      </c>
      <c r="L47" s="10">
        <f ca="1">VLOOKUP($B47,'[11]Analisys QBR By Machine Report'!$C$109:$BD$166,8,FALSE)</f>
        <v>1920</v>
      </c>
      <c r="M47" s="10">
        <f ca="1">VLOOKUP($B47,'[11]Analisys QBR By Machine Report'!$C$109:$BD$166,9,FALSE)</f>
        <v>625</v>
      </c>
      <c r="N47" s="10">
        <f ca="1">VLOOKUP($B47,[11]Dasboard_QBR_Report!$B$109:$BL$166,18,FALSE)</f>
        <v>1295</v>
      </c>
      <c r="O47" s="10">
        <f ca="1">VLOOKUP($B47,'[11]Analisys QBR By Machine Report'!$C$109:$BD$166,10,FALSE)</f>
        <v>120</v>
      </c>
      <c r="P47" s="10">
        <f ca="1">VLOOKUP($B47,'[11]Analisys QBR By Machine Report'!$C$109:$BD$166,11,FALSE)</f>
        <v>95</v>
      </c>
      <c r="Q47" s="10">
        <f ca="1">VLOOKUP($B47,'[11]Analisys QBR By Machine Report'!$C$109:$BD$166,12,FALSE)</f>
        <v>0</v>
      </c>
      <c r="R47" s="10">
        <f ca="1">VLOOKUP($B47,'[11]Analisys QBR By Machine Report'!$C$109:$BD$166,13,FALSE)</f>
        <v>25</v>
      </c>
      <c r="S47" s="10">
        <f ca="1">VLOOKUP($B47,'[11]Analisys QBR By Machine Report'!$C$109:$BD$166,14,FALSE)</f>
        <v>0</v>
      </c>
      <c r="T47" s="10">
        <f ca="1">VLOOKUP($B47,'[11]Analisys QBR By Machine Report'!$C$109:$BD$166,15,FALSE)</f>
        <v>0</v>
      </c>
      <c r="U47" s="10">
        <f ca="1">VLOOKUP($B47,'[11]Analisys QBR By Machine Report'!$C$109:$BD$166,16,FALSE)</f>
        <v>0</v>
      </c>
      <c r="V47" s="10">
        <f ca="1">VLOOKUP($B47,'[11]Analisys QBR By Machine Report'!$C$109:$BD$166,17,FALSE)</f>
        <v>0</v>
      </c>
      <c r="W47" s="10">
        <f ca="1">VLOOKUP($B47,'[11]Analisys QBR By Machine Report'!$C$109:$BD$166,18,FALSE)</f>
        <v>0</v>
      </c>
      <c r="X47" s="10">
        <f ca="1">VLOOKUP($B47,'[11]Analisys QBR By Machine Report'!$C$109:$BD$166,19,FALSE)</f>
        <v>0</v>
      </c>
      <c r="Y47" s="10">
        <f ca="1">VLOOKUP($B47,'[11]Analisys QBR By Machine Report'!$C$109:$BD$166,20,FALSE)</f>
        <v>0</v>
      </c>
      <c r="Z47" s="10">
        <f ca="1">VLOOKUP($B47,'[11]Analisys QBR By Machine Report'!$C$109:$BD$166,21,FALSE)</f>
        <v>630</v>
      </c>
      <c r="AA47" s="10">
        <f ca="1">VLOOKUP($B47,'[11]Analisys QBR By Machine Report'!$C$109:$BD$166,22,FALSE)</f>
        <v>190</v>
      </c>
      <c r="AB47" s="10">
        <f ca="1">VLOOKUP($B47,'[11]Analisys QBR By Machine Report'!$C$109:$BD$166,23,FALSE)</f>
        <v>225</v>
      </c>
      <c r="AC47" s="10">
        <f ca="1">VLOOKUP($B47,'[11]Analisys QBR By Machine Report'!$C$109:$BD$166,24,FALSE)</f>
        <v>0</v>
      </c>
      <c r="AD47" s="10">
        <f ca="1">VLOOKUP($B47,'[11]Analisys QBR By Machine Report'!$C$109:$BD$166,25,FALSE)</f>
        <v>0</v>
      </c>
      <c r="AE47" s="10">
        <f ca="1">VLOOKUP($B47,'[11]Analisys QBR By Machine Report'!$C$109:$BD$166,26,FALSE)</f>
        <v>215</v>
      </c>
      <c r="AF47" s="10">
        <f ca="1">VLOOKUP($B47,'[11]Analisys QBR By Machine Report'!$C$109:$BD$166,27,FALSE)</f>
        <v>0</v>
      </c>
      <c r="AG47" s="10">
        <f ca="1">VLOOKUP($B47,'[11]Analisys QBR By Machine Report'!$C$109:$BD$166,28,FALSE)</f>
        <v>0</v>
      </c>
      <c r="AH47" s="10">
        <f ca="1">VLOOKUP($B47,'[11]Analisys QBR By Machine Report'!$C$109:$BD$166,29,FALSE)</f>
        <v>0</v>
      </c>
      <c r="AI47" s="10">
        <f ca="1">VLOOKUP($B47,'[11]Analisys QBR By Machine Report'!$C$109:$BD$166,30,FALSE)</f>
        <v>545</v>
      </c>
      <c r="AJ47" s="10">
        <f ca="1">VLOOKUP($B47,'[11]Analisys QBR By Machine Report'!$C$109:$BD$166,31,FALSE)</f>
        <v>0</v>
      </c>
      <c r="AK47" s="10">
        <f ca="1">VLOOKUP($B47,'[11]Analisys QBR By Machine Report'!$C$109:$BD$166,32,FALSE)</f>
        <v>0</v>
      </c>
      <c r="AL47" s="10">
        <f ca="1">VLOOKUP($B47,'[11]Analisys QBR By Machine Report'!$C$109:$BD$166,33,FALSE)</f>
        <v>120</v>
      </c>
      <c r="AM47" s="10">
        <f ca="1">VLOOKUP($B47,'[11]Analisys QBR By Machine Report'!$C$109:$BD$166,34,FALSE)</f>
        <v>0</v>
      </c>
      <c r="AN47" s="10">
        <f ca="1">VLOOKUP($B47,'[11]Analisys QBR By Machine Report'!$C$109:$BD$166,35,FALSE)</f>
        <v>105</v>
      </c>
      <c r="AO47" s="10">
        <f ca="1">VLOOKUP($B47,'[11]Analisys QBR By Machine Report'!$C$109:$BD$166,36,FALSE)</f>
        <v>0</v>
      </c>
      <c r="AP47" s="10">
        <f ca="1">VLOOKUP($B47,'[11]Analisys QBR By Machine Report'!$C$109:$BD$166,37,FALSE)</f>
        <v>35</v>
      </c>
      <c r="AQ47" s="10">
        <f ca="1">VLOOKUP($B47,'[11]Analisys QBR By Machine Report'!$C$109:$BD$166,38,FALSE)</f>
        <v>0</v>
      </c>
      <c r="AR47" s="10">
        <f ca="1">VLOOKUP($B47,'[11]Analisys QBR By Machine Report'!$C$109:$BD$166,39,FALSE)</f>
        <v>150</v>
      </c>
      <c r="AS47" s="10">
        <f ca="1">VLOOKUP($B47,'[11]Analisys QBR By Machine Report'!$C$109:$BD$166,40,FALSE)</f>
        <v>55</v>
      </c>
      <c r="AT47" s="10">
        <f ca="1">VLOOKUP($B47,'[11]Analisys QBR By Machine Report'!$C$109:$BD$166,41,FALSE)</f>
        <v>0</v>
      </c>
      <c r="AU47" s="10">
        <f ca="1">VLOOKUP($B47,'[11]Analisys QBR By Machine Report'!$C$109:$BD$166,42,FALSE)</f>
        <v>0</v>
      </c>
      <c r="AV47" s="10">
        <f ca="1">VLOOKUP($B47,'[11]Analisys QBR By Machine Report'!$C$109:$BD$166,43,FALSE)</f>
        <v>0</v>
      </c>
      <c r="AW47" s="10">
        <f ca="1">VLOOKUP($B47,'[11]Analisys QBR By Machine Report'!$C$109:$BD$166,44,FALSE)</f>
        <v>0</v>
      </c>
      <c r="AX47" s="10">
        <f ca="1">VLOOKUP($B47,'[11]Analisys QBR By Machine Report'!$C$109:$BD$166,45,FALSE)</f>
        <v>0</v>
      </c>
      <c r="AY47" s="10">
        <f ca="1">VLOOKUP($B47,'[11]Analisys QBR By Machine Report'!$C$109:$BD$166,46,FALSE)</f>
        <v>0</v>
      </c>
      <c r="AZ47" s="10">
        <f ca="1">VLOOKUP($B47,'[11]Analisys QBR By Machine Report'!$C$109:$BD$166,47,FALSE)</f>
        <v>20</v>
      </c>
      <c r="BA47" s="10">
        <f ca="1">VLOOKUP($B47,'[11]Analisys QBR By Machine Report'!$C$109:$BD$166,48,FALSE)</f>
        <v>60</v>
      </c>
      <c r="BB47" s="10">
        <f ca="1">VLOOKUP($B47,'[11]Analisys QBR By Machine Report'!$C$109:$BD$166,49,FALSE)</f>
        <v>0</v>
      </c>
      <c r="BC47" s="10">
        <f ca="1">VLOOKUP($B47,'[11]Analisys QBR By Machine Report'!$C$109:$BD$166,50,FALSE)</f>
        <v>0</v>
      </c>
      <c r="BD47" s="10">
        <f ca="1">VLOOKUP($B47,'[11]Analisys QBR By Machine Report'!$C$109:$BD$166,51,FALSE)</f>
        <v>496629</v>
      </c>
      <c r="BE47" s="10">
        <f ca="1">VLOOKUP($B47,'[11]Analisys QBR By Machine Report'!$C$109:$BD$166,52,FALSE)</f>
        <v>0</v>
      </c>
      <c r="BF47" s="10">
        <f ca="1">VLOOKUP($B47,'[11]Analisys QBR By Machine Report'!$C$109:$BD$166,53,FALSE)</f>
        <v>496629</v>
      </c>
    </row>
    <row r="48" spans="1:58" x14ac:dyDescent="0.25">
      <c r="A48" s="12" t="s">
        <v>104</v>
      </c>
      <c r="B48" s="13">
        <f ca="1">VLOOKUP($B48,'[11]Analisys QBR By Machine Report'!$C$109:$BD$166,2,FALSE)</f>
        <v>30240</v>
      </c>
      <c r="C48" s="14">
        <f ca="1">VLOOKUP($B48,[11]Dasboard_QBR_Report!$B$109:$BL$166,3,FALSE)</f>
        <v>10080</v>
      </c>
      <c r="D48" s="13">
        <f ca="1">VLOOKUP($B48,'[11]Analisys QBR By Machine Report'!$C$109:$BD$166,3,FALSE)</f>
        <v>28200</v>
      </c>
      <c r="E48" s="14">
        <f ca="1">VLOOKUP($B48,[11]Dasboard_QBR_Report!$B$109:$BL$166,5,FALSE)</f>
        <v>8040</v>
      </c>
      <c r="F48" s="13">
        <f t="shared" ca="1" si="0"/>
        <v>2040</v>
      </c>
      <c r="G48" s="13">
        <f t="shared" ca="1" si="1"/>
        <v>120</v>
      </c>
      <c r="H48" s="13">
        <f ca="1">VLOOKUP($B48,'[11]Analisys QBR By Machine Report'!$C$109:$BD$166,4,FALSE)</f>
        <v>120</v>
      </c>
      <c r="I48" s="13">
        <f ca="1">VLOOKUP($B48,'[11]Analisys QBR By Machine Report'!$C$109:$BD$166,5,FALSE)</f>
        <v>120</v>
      </c>
      <c r="J48" s="13">
        <f ca="1">VLOOKUP($B48,'[11]Analisys QBR By Machine Report'!$C$109:$BD$166,6,FALSE)</f>
        <v>0</v>
      </c>
      <c r="K48" s="13">
        <f ca="1">VLOOKUP($B48,'[11]Analisys QBR By Machine Report'!$C$109:$BD$166,7,FALSE)</f>
        <v>0</v>
      </c>
      <c r="L48" s="13">
        <f ca="1">VLOOKUP($B48,'[11]Analisys QBR By Machine Report'!$C$109:$BD$166,8,FALSE)</f>
        <v>1920</v>
      </c>
      <c r="M48" s="13">
        <f ca="1">VLOOKUP($B48,'[11]Analisys QBR By Machine Report'!$C$109:$BD$166,9,FALSE)</f>
        <v>625</v>
      </c>
      <c r="N48" s="13">
        <f ca="1">VLOOKUP($B48,[11]Dasboard_QBR_Report!$B$109:$BL$166,18,FALSE)</f>
        <v>1295</v>
      </c>
      <c r="O48" s="13">
        <f ca="1">VLOOKUP($B48,'[11]Analisys QBR By Machine Report'!$C$109:$BD$166,10,FALSE)</f>
        <v>120</v>
      </c>
      <c r="P48" s="13">
        <f ca="1">VLOOKUP($B48,'[11]Analisys QBR By Machine Report'!$C$109:$BD$166,11,FALSE)</f>
        <v>95</v>
      </c>
      <c r="Q48" s="13">
        <f ca="1">VLOOKUP($B48,'[11]Analisys QBR By Machine Report'!$C$109:$BD$166,12,FALSE)</f>
        <v>0</v>
      </c>
      <c r="R48" s="13">
        <f ca="1">VLOOKUP($B48,'[11]Analisys QBR By Machine Report'!$C$109:$BD$166,13,FALSE)</f>
        <v>25</v>
      </c>
      <c r="S48" s="13">
        <f ca="1">VLOOKUP($B48,'[11]Analisys QBR By Machine Report'!$C$109:$BD$166,14,FALSE)</f>
        <v>0</v>
      </c>
      <c r="T48" s="13">
        <f ca="1">VLOOKUP($B48,'[11]Analisys QBR By Machine Report'!$C$109:$BD$166,15,FALSE)</f>
        <v>0</v>
      </c>
      <c r="U48" s="13">
        <f ca="1">VLOOKUP($B48,'[11]Analisys QBR By Machine Report'!$C$109:$BD$166,16,FALSE)</f>
        <v>0</v>
      </c>
      <c r="V48" s="13">
        <f ca="1">VLOOKUP($B48,'[11]Analisys QBR By Machine Report'!$C$109:$BD$166,17,FALSE)</f>
        <v>0</v>
      </c>
      <c r="W48" s="13">
        <f ca="1">VLOOKUP($B48,'[11]Analisys QBR By Machine Report'!$C$109:$BD$166,18,FALSE)</f>
        <v>0</v>
      </c>
      <c r="X48" s="13">
        <f ca="1">VLOOKUP($B48,'[11]Analisys QBR By Machine Report'!$C$109:$BD$166,19,FALSE)</f>
        <v>0</v>
      </c>
      <c r="Y48" s="13">
        <f ca="1">VLOOKUP($B48,'[11]Analisys QBR By Machine Report'!$C$109:$BD$166,20,FALSE)</f>
        <v>0</v>
      </c>
      <c r="Z48" s="13">
        <f ca="1">VLOOKUP($B48,'[11]Analisys QBR By Machine Report'!$C$109:$BD$166,21,FALSE)</f>
        <v>630</v>
      </c>
      <c r="AA48" s="13">
        <f ca="1">VLOOKUP($B48,'[11]Analisys QBR By Machine Report'!$C$109:$BD$166,22,FALSE)</f>
        <v>190</v>
      </c>
      <c r="AB48" s="13">
        <f ca="1">VLOOKUP($B48,'[11]Analisys QBR By Machine Report'!$C$109:$BD$166,23,FALSE)</f>
        <v>225</v>
      </c>
      <c r="AC48" s="13">
        <f ca="1">VLOOKUP($B48,'[11]Analisys QBR By Machine Report'!$C$109:$BD$166,24,FALSE)</f>
        <v>0</v>
      </c>
      <c r="AD48" s="13">
        <f ca="1">VLOOKUP($B48,'[11]Analisys QBR By Machine Report'!$C$109:$BD$166,25,FALSE)</f>
        <v>0</v>
      </c>
      <c r="AE48" s="13">
        <f ca="1">VLOOKUP($B48,'[11]Analisys QBR By Machine Report'!$C$109:$BD$166,26,FALSE)</f>
        <v>215</v>
      </c>
      <c r="AF48" s="13">
        <f ca="1">VLOOKUP($B48,'[11]Analisys QBR By Machine Report'!$C$109:$BD$166,27,FALSE)</f>
        <v>0</v>
      </c>
      <c r="AG48" s="13">
        <f ca="1">VLOOKUP($B48,'[11]Analisys QBR By Machine Report'!$C$109:$BD$166,28,FALSE)</f>
        <v>0</v>
      </c>
      <c r="AH48" s="13">
        <f ca="1">VLOOKUP($B48,'[11]Analisys QBR By Machine Report'!$C$109:$BD$166,29,FALSE)</f>
        <v>0</v>
      </c>
      <c r="AI48" s="13">
        <f ca="1">VLOOKUP($B48,'[11]Analisys QBR By Machine Report'!$C$109:$BD$166,30,FALSE)</f>
        <v>545</v>
      </c>
      <c r="AJ48" s="13">
        <f ca="1">VLOOKUP($B48,'[11]Analisys QBR By Machine Report'!$C$109:$BD$166,31,FALSE)</f>
        <v>0</v>
      </c>
      <c r="AK48" s="13">
        <f ca="1">VLOOKUP($B48,'[11]Analisys QBR By Machine Report'!$C$109:$BD$166,32,FALSE)</f>
        <v>0</v>
      </c>
      <c r="AL48" s="13">
        <f ca="1">VLOOKUP($B48,'[11]Analisys QBR By Machine Report'!$C$109:$BD$166,33,FALSE)</f>
        <v>120</v>
      </c>
      <c r="AM48" s="13">
        <f ca="1">VLOOKUP($B48,'[11]Analisys QBR By Machine Report'!$C$109:$BD$166,34,FALSE)</f>
        <v>0</v>
      </c>
      <c r="AN48" s="13">
        <f ca="1">VLOOKUP($B48,'[11]Analisys QBR By Machine Report'!$C$109:$BD$166,35,FALSE)</f>
        <v>105</v>
      </c>
      <c r="AO48" s="13">
        <f ca="1">VLOOKUP($B48,'[11]Analisys QBR By Machine Report'!$C$109:$BD$166,36,FALSE)</f>
        <v>0</v>
      </c>
      <c r="AP48" s="13">
        <f ca="1">VLOOKUP($B48,'[11]Analisys QBR By Machine Report'!$C$109:$BD$166,37,FALSE)</f>
        <v>35</v>
      </c>
      <c r="AQ48" s="13">
        <f ca="1">VLOOKUP($B48,'[11]Analisys QBR By Machine Report'!$C$109:$BD$166,38,FALSE)</f>
        <v>0</v>
      </c>
      <c r="AR48" s="13">
        <f ca="1">VLOOKUP($B48,'[11]Analisys QBR By Machine Report'!$C$109:$BD$166,39,FALSE)</f>
        <v>150</v>
      </c>
      <c r="AS48" s="13">
        <f ca="1">VLOOKUP($B48,'[11]Analisys QBR By Machine Report'!$C$109:$BD$166,40,FALSE)</f>
        <v>55</v>
      </c>
      <c r="AT48" s="13">
        <f ca="1">VLOOKUP($B48,'[11]Analisys QBR By Machine Report'!$C$109:$BD$166,41,FALSE)</f>
        <v>0</v>
      </c>
      <c r="AU48" s="13">
        <f ca="1">VLOOKUP($B48,'[11]Analisys QBR By Machine Report'!$C$109:$BD$166,42,FALSE)</f>
        <v>0</v>
      </c>
      <c r="AV48" s="13">
        <f ca="1">VLOOKUP($B48,'[11]Analisys QBR By Machine Report'!$C$109:$BD$166,43,FALSE)</f>
        <v>0</v>
      </c>
      <c r="AW48" s="13">
        <f ca="1">VLOOKUP($B48,'[11]Analisys QBR By Machine Report'!$C$109:$BD$166,44,FALSE)</f>
        <v>0</v>
      </c>
      <c r="AX48" s="13">
        <f ca="1">VLOOKUP($B48,'[11]Analisys QBR By Machine Report'!$C$109:$BD$166,45,FALSE)</f>
        <v>0</v>
      </c>
      <c r="AY48" s="13">
        <f ca="1">VLOOKUP($B48,'[11]Analisys QBR By Machine Report'!$C$109:$BD$166,46,FALSE)</f>
        <v>0</v>
      </c>
      <c r="AZ48" s="13">
        <f ca="1">VLOOKUP($B48,'[11]Analisys QBR By Machine Report'!$C$109:$BD$166,47,FALSE)</f>
        <v>20</v>
      </c>
      <c r="BA48" s="13">
        <f ca="1">VLOOKUP($B48,'[11]Analisys QBR By Machine Report'!$C$109:$BD$166,48,FALSE)</f>
        <v>60</v>
      </c>
      <c r="BB48" s="13">
        <f ca="1">VLOOKUP($B48,'[11]Analisys QBR By Machine Report'!$C$109:$BD$166,49,FALSE)</f>
        <v>0</v>
      </c>
      <c r="BC48" s="13">
        <f ca="1">VLOOKUP($B48,'[11]Analisys QBR By Machine Report'!$C$109:$BD$166,50,FALSE)</f>
        <v>0</v>
      </c>
      <c r="BD48" s="13">
        <f ca="1">VLOOKUP($B48,'[11]Analisys QBR By Machine Report'!$C$109:$BD$166,51,FALSE)</f>
        <v>496629</v>
      </c>
      <c r="BE48" s="13">
        <f ca="1">VLOOKUP($B48,'[11]Analisys QBR By Machine Report'!$C$109:$BD$166,52,FALSE)</f>
        <v>0</v>
      </c>
      <c r="BF48" s="13">
        <f ca="1">VLOOKUP($B48,'[11]Analisys QBR By Machine Report'!$C$109:$BD$166,53,FALSE)</f>
        <v>496629</v>
      </c>
    </row>
    <row r="49" spans="1:58" x14ac:dyDescent="0.25">
      <c r="A49" s="9" t="s">
        <v>105</v>
      </c>
      <c r="B49" s="10">
        <f ca="1">VLOOKUP($B49,'[11]Analisys QBR By Machine Report'!$C$109:$BD$166,2,FALSE)</f>
        <v>30240</v>
      </c>
      <c r="C49" s="11">
        <f ca="1">VLOOKUP($B49,[11]Dasboard_QBR_Report!$B$109:$BL$166,3,FALSE)</f>
        <v>10080</v>
      </c>
      <c r="D49" s="10">
        <f ca="1">VLOOKUP($B49,'[11]Analisys QBR By Machine Report'!$C$109:$BD$166,3,FALSE)</f>
        <v>27690</v>
      </c>
      <c r="E49" s="11">
        <f ca="1">VLOOKUP($B49,[11]Dasboard_QBR_Report!$B$109:$BL$166,5,FALSE)</f>
        <v>7530</v>
      </c>
      <c r="F49" s="10">
        <f t="shared" ca="1" si="0"/>
        <v>2550</v>
      </c>
      <c r="G49" s="10">
        <f t="shared" ca="1" si="1"/>
        <v>360</v>
      </c>
      <c r="H49" s="10">
        <f ca="1">VLOOKUP($B49,'[11]Analisys QBR By Machine Report'!$C$109:$BD$166,4,FALSE)</f>
        <v>360</v>
      </c>
      <c r="I49" s="10">
        <f ca="1">VLOOKUP($B49,'[11]Analisys QBR By Machine Report'!$C$109:$BD$166,5,FALSE)</f>
        <v>120</v>
      </c>
      <c r="J49" s="10">
        <f ca="1">VLOOKUP($B49,'[11]Analisys QBR By Machine Report'!$C$109:$BD$166,6,FALSE)</f>
        <v>240</v>
      </c>
      <c r="K49" s="10">
        <f ca="1">VLOOKUP($B49,'[11]Analisys QBR By Machine Report'!$C$109:$BD$166,7,FALSE)</f>
        <v>0</v>
      </c>
      <c r="L49" s="10">
        <f ca="1">VLOOKUP($B49,'[11]Analisys QBR By Machine Report'!$C$109:$BD$166,8,FALSE)</f>
        <v>2190</v>
      </c>
      <c r="M49" s="10">
        <f ca="1">VLOOKUP($B49,'[11]Analisys QBR By Machine Report'!$C$109:$BD$166,9,FALSE)</f>
        <v>570</v>
      </c>
      <c r="N49" s="10">
        <f ca="1">VLOOKUP($B49,[11]Dasboard_QBR_Report!$B$109:$BL$166,18,FALSE)</f>
        <v>1620</v>
      </c>
      <c r="O49" s="10">
        <f ca="1">VLOOKUP($B49,'[11]Analisys QBR By Machine Report'!$C$109:$BD$166,10,FALSE)</f>
        <v>505</v>
      </c>
      <c r="P49" s="10">
        <f ca="1">VLOOKUP($B49,'[11]Analisys QBR By Machine Report'!$C$109:$BD$166,11,FALSE)</f>
        <v>445</v>
      </c>
      <c r="Q49" s="10">
        <f ca="1">VLOOKUP($B49,'[11]Analisys QBR By Machine Report'!$C$109:$BD$166,12,FALSE)</f>
        <v>0</v>
      </c>
      <c r="R49" s="10">
        <f ca="1">VLOOKUP($B49,'[11]Analisys QBR By Machine Report'!$C$109:$BD$166,13,FALSE)</f>
        <v>60</v>
      </c>
      <c r="S49" s="10">
        <f ca="1">VLOOKUP($B49,'[11]Analisys QBR By Machine Report'!$C$109:$BD$166,14,FALSE)</f>
        <v>0</v>
      </c>
      <c r="T49" s="10">
        <f ca="1">VLOOKUP($B49,'[11]Analisys QBR By Machine Report'!$C$109:$BD$166,15,FALSE)</f>
        <v>0</v>
      </c>
      <c r="U49" s="10">
        <f ca="1">VLOOKUP($B49,'[11]Analisys QBR By Machine Report'!$C$109:$BD$166,16,FALSE)</f>
        <v>0</v>
      </c>
      <c r="V49" s="10">
        <f ca="1">VLOOKUP($B49,'[11]Analisys QBR By Machine Report'!$C$109:$BD$166,17,FALSE)</f>
        <v>0</v>
      </c>
      <c r="W49" s="10">
        <f ca="1">VLOOKUP($B49,'[11]Analisys QBR By Machine Report'!$C$109:$BD$166,18,FALSE)</f>
        <v>0</v>
      </c>
      <c r="X49" s="10">
        <f ca="1">VLOOKUP($B49,'[11]Analisys QBR By Machine Report'!$C$109:$BD$166,19,FALSE)</f>
        <v>0</v>
      </c>
      <c r="Y49" s="10">
        <f ca="1">VLOOKUP($B49,'[11]Analisys QBR By Machine Report'!$C$109:$BD$166,20,FALSE)</f>
        <v>0</v>
      </c>
      <c r="Z49" s="10">
        <f ca="1">VLOOKUP($B49,'[11]Analisys QBR By Machine Report'!$C$109:$BD$166,21,FALSE)</f>
        <v>705</v>
      </c>
      <c r="AA49" s="10">
        <f ca="1">VLOOKUP($B49,'[11]Analisys QBR By Machine Report'!$C$109:$BD$166,22,FALSE)</f>
        <v>565</v>
      </c>
      <c r="AB49" s="10">
        <f ca="1">VLOOKUP($B49,'[11]Analisys QBR By Machine Report'!$C$109:$BD$166,23,FALSE)</f>
        <v>90</v>
      </c>
      <c r="AC49" s="10">
        <f ca="1">VLOOKUP($B49,'[11]Analisys QBR By Machine Report'!$C$109:$BD$166,24,FALSE)</f>
        <v>0</v>
      </c>
      <c r="AD49" s="10">
        <f ca="1">VLOOKUP($B49,'[11]Analisys QBR By Machine Report'!$C$109:$BD$166,25,FALSE)</f>
        <v>0</v>
      </c>
      <c r="AE49" s="10">
        <f ca="1">VLOOKUP($B49,'[11]Analisys QBR By Machine Report'!$C$109:$BD$166,26,FALSE)</f>
        <v>50</v>
      </c>
      <c r="AF49" s="10">
        <f ca="1">VLOOKUP($B49,'[11]Analisys QBR By Machine Report'!$C$109:$BD$166,27,FALSE)</f>
        <v>0</v>
      </c>
      <c r="AG49" s="10">
        <f ca="1">VLOOKUP($B49,'[11]Analisys QBR By Machine Report'!$C$109:$BD$166,28,FALSE)</f>
        <v>0</v>
      </c>
      <c r="AH49" s="10">
        <f ca="1">VLOOKUP($B49,'[11]Analisys QBR By Machine Report'!$C$109:$BD$166,29,FALSE)</f>
        <v>0</v>
      </c>
      <c r="AI49" s="10">
        <f ca="1">VLOOKUP($B49,'[11]Analisys QBR By Machine Report'!$C$109:$BD$166,30,FALSE)</f>
        <v>410</v>
      </c>
      <c r="AJ49" s="10">
        <f ca="1">VLOOKUP($B49,'[11]Analisys QBR By Machine Report'!$C$109:$BD$166,31,FALSE)</f>
        <v>0</v>
      </c>
      <c r="AK49" s="10">
        <f ca="1">VLOOKUP($B49,'[11]Analisys QBR By Machine Report'!$C$109:$BD$166,32,FALSE)</f>
        <v>0</v>
      </c>
      <c r="AL49" s="10">
        <f ca="1">VLOOKUP($B49,'[11]Analisys QBR By Machine Report'!$C$109:$BD$166,33,FALSE)</f>
        <v>150</v>
      </c>
      <c r="AM49" s="10">
        <f ca="1">VLOOKUP($B49,'[11]Analisys QBR By Machine Report'!$C$109:$BD$166,34,FALSE)</f>
        <v>0</v>
      </c>
      <c r="AN49" s="10">
        <f ca="1">VLOOKUP($B49,'[11]Analisys QBR By Machine Report'!$C$109:$BD$166,35,FALSE)</f>
        <v>75</v>
      </c>
      <c r="AO49" s="10">
        <f ca="1">VLOOKUP($B49,'[11]Analisys QBR By Machine Report'!$C$109:$BD$166,36,FALSE)</f>
        <v>0</v>
      </c>
      <c r="AP49" s="10">
        <f ca="1">VLOOKUP($B49,'[11]Analisys QBR By Machine Report'!$C$109:$BD$166,37,FALSE)</f>
        <v>0</v>
      </c>
      <c r="AQ49" s="10">
        <f ca="1">VLOOKUP($B49,'[11]Analisys QBR By Machine Report'!$C$109:$BD$166,38,FALSE)</f>
        <v>0</v>
      </c>
      <c r="AR49" s="10">
        <f ca="1">VLOOKUP($B49,'[11]Analisys QBR By Machine Report'!$C$109:$BD$166,39,FALSE)</f>
        <v>60</v>
      </c>
      <c r="AS49" s="10">
        <f ca="1">VLOOKUP($B49,'[11]Analisys QBR By Machine Report'!$C$109:$BD$166,40,FALSE)</f>
        <v>50</v>
      </c>
      <c r="AT49" s="10">
        <f ca="1">VLOOKUP($B49,'[11]Analisys QBR By Machine Report'!$C$109:$BD$166,41,FALSE)</f>
        <v>0</v>
      </c>
      <c r="AU49" s="10">
        <f ca="1">VLOOKUP($B49,'[11]Analisys QBR By Machine Report'!$C$109:$BD$166,42,FALSE)</f>
        <v>0</v>
      </c>
      <c r="AV49" s="10">
        <f ca="1">VLOOKUP($B49,'[11]Analisys QBR By Machine Report'!$C$109:$BD$166,43,FALSE)</f>
        <v>0</v>
      </c>
      <c r="AW49" s="10">
        <f ca="1">VLOOKUP($B49,'[11]Analisys QBR By Machine Report'!$C$109:$BD$166,44,FALSE)</f>
        <v>0</v>
      </c>
      <c r="AX49" s="10">
        <f ca="1">VLOOKUP($B49,'[11]Analisys QBR By Machine Report'!$C$109:$BD$166,45,FALSE)</f>
        <v>0</v>
      </c>
      <c r="AY49" s="10">
        <f ca="1">VLOOKUP($B49,'[11]Analisys QBR By Machine Report'!$C$109:$BD$166,46,FALSE)</f>
        <v>0</v>
      </c>
      <c r="AZ49" s="10">
        <f ca="1">VLOOKUP($B49,'[11]Analisys QBR By Machine Report'!$C$109:$BD$166,47,FALSE)</f>
        <v>75</v>
      </c>
      <c r="BA49" s="10">
        <f ca="1">VLOOKUP($B49,'[11]Analisys QBR By Machine Report'!$C$109:$BD$166,48,FALSE)</f>
        <v>0</v>
      </c>
      <c r="BB49" s="10">
        <f ca="1">VLOOKUP($B49,'[11]Analisys QBR By Machine Report'!$C$109:$BD$166,49,FALSE)</f>
        <v>0</v>
      </c>
      <c r="BC49" s="10">
        <f ca="1">VLOOKUP($B49,'[11]Analisys QBR By Machine Report'!$C$109:$BD$166,50,FALSE)</f>
        <v>0</v>
      </c>
      <c r="BD49" s="10">
        <f ca="1">VLOOKUP($B49,'[11]Analisys QBR By Machine Report'!$C$109:$BD$166,51,FALSE)</f>
        <v>410775</v>
      </c>
      <c r="BE49" s="10">
        <f ca="1">VLOOKUP($B49,'[11]Analisys QBR By Machine Report'!$C$109:$BD$166,52,FALSE)</f>
        <v>2795</v>
      </c>
      <c r="BF49" s="10">
        <f ca="1">VLOOKUP($B49,'[11]Analisys QBR By Machine Report'!$C$109:$BD$166,53,FALSE)</f>
        <v>407980</v>
      </c>
    </row>
    <row r="50" spans="1:58" x14ac:dyDescent="0.25">
      <c r="A50" s="12" t="s">
        <v>106</v>
      </c>
      <c r="B50" s="13">
        <f ca="1">VLOOKUP($B50,'[11]Analisys QBR By Machine Report'!$C$109:$BD$166,2,FALSE)</f>
        <v>30240</v>
      </c>
      <c r="C50" s="14">
        <f ca="1">VLOOKUP($B50,[11]Dasboard_QBR_Report!$B$109:$BL$166,3,FALSE)</f>
        <v>10080</v>
      </c>
      <c r="D50" s="13">
        <f ca="1">VLOOKUP($B50,'[11]Analisys QBR By Machine Report'!$C$109:$BD$166,3,FALSE)</f>
        <v>27690</v>
      </c>
      <c r="E50" s="14">
        <f ca="1">VLOOKUP($B50,[11]Dasboard_QBR_Report!$B$109:$BL$166,5,FALSE)</f>
        <v>7530</v>
      </c>
      <c r="F50" s="13">
        <f t="shared" ca="1" si="0"/>
        <v>2550</v>
      </c>
      <c r="G50" s="13">
        <f t="shared" ca="1" si="1"/>
        <v>360</v>
      </c>
      <c r="H50" s="13">
        <f ca="1">VLOOKUP($B50,'[11]Analisys QBR By Machine Report'!$C$109:$BD$166,4,FALSE)</f>
        <v>360</v>
      </c>
      <c r="I50" s="13">
        <f ca="1">VLOOKUP($B50,'[11]Analisys QBR By Machine Report'!$C$109:$BD$166,5,FALSE)</f>
        <v>120</v>
      </c>
      <c r="J50" s="13">
        <f ca="1">VLOOKUP($B50,'[11]Analisys QBR By Machine Report'!$C$109:$BD$166,6,FALSE)</f>
        <v>240</v>
      </c>
      <c r="K50" s="13">
        <f ca="1">VLOOKUP($B50,'[11]Analisys QBR By Machine Report'!$C$109:$BD$166,7,FALSE)</f>
        <v>0</v>
      </c>
      <c r="L50" s="13">
        <f ca="1">VLOOKUP($B50,'[11]Analisys QBR By Machine Report'!$C$109:$BD$166,8,FALSE)</f>
        <v>2190</v>
      </c>
      <c r="M50" s="13">
        <f ca="1">VLOOKUP($B50,'[11]Analisys QBR By Machine Report'!$C$109:$BD$166,9,FALSE)</f>
        <v>570</v>
      </c>
      <c r="N50" s="13">
        <f ca="1">VLOOKUP($B50,[11]Dasboard_QBR_Report!$B$109:$BL$166,18,FALSE)</f>
        <v>1620</v>
      </c>
      <c r="O50" s="13">
        <f ca="1">VLOOKUP($B50,'[11]Analisys QBR By Machine Report'!$C$109:$BD$166,10,FALSE)</f>
        <v>505</v>
      </c>
      <c r="P50" s="13">
        <f ca="1">VLOOKUP($B50,'[11]Analisys QBR By Machine Report'!$C$109:$BD$166,11,FALSE)</f>
        <v>445</v>
      </c>
      <c r="Q50" s="13">
        <f ca="1">VLOOKUP($B50,'[11]Analisys QBR By Machine Report'!$C$109:$BD$166,12,FALSE)</f>
        <v>0</v>
      </c>
      <c r="R50" s="13">
        <f ca="1">VLOOKUP($B50,'[11]Analisys QBR By Machine Report'!$C$109:$BD$166,13,FALSE)</f>
        <v>60</v>
      </c>
      <c r="S50" s="13">
        <f ca="1">VLOOKUP($B50,'[11]Analisys QBR By Machine Report'!$C$109:$BD$166,14,FALSE)</f>
        <v>0</v>
      </c>
      <c r="T50" s="13">
        <f ca="1">VLOOKUP($B50,'[11]Analisys QBR By Machine Report'!$C$109:$BD$166,15,FALSE)</f>
        <v>0</v>
      </c>
      <c r="U50" s="13">
        <f ca="1">VLOOKUP($B50,'[11]Analisys QBR By Machine Report'!$C$109:$BD$166,16,FALSE)</f>
        <v>0</v>
      </c>
      <c r="V50" s="13">
        <f ca="1">VLOOKUP($B50,'[11]Analisys QBR By Machine Report'!$C$109:$BD$166,17,FALSE)</f>
        <v>0</v>
      </c>
      <c r="W50" s="13">
        <f ca="1">VLOOKUP($B50,'[11]Analisys QBR By Machine Report'!$C$109:$BD$166,18,FALSE)</f>
        <v>0</v>
      </c>
      <c r="X50" s="13">
        <f ca="1">VLOOKUP($B50,'[11]Analisys QBR By Machine Report'!$C$109:$BD$166,19,FALSE)</f>
        <v>0</v>
      </c>
      <c r="Y50" s="13">
        <f ca="1">VLOOKUP($B50,'[11]Analisys QBR By Machine Report'!$C$109:$BD$166,20,FALSE)</f>
        <v>0</v>
      </c>
      <c r="Z50" s="13">
        <f ca="1">VLOOKUP($B50,'[11]Analisys QBR By Machine Report'!$C$109:$BD$166,21,FALSE)</f>
        <v>705</v>
      </c>
      <c r="AA50" s="13">
        <f ca="1">VLOOKUP($B50,'[11]Analisys QBR By Machine Report'!$C$109:$BD$166,22,FALSE)</f>
        <v>565</v>
      </c>
      <c r="AB50" s="13">
        <f ca="1">VLOOKUP($B50,'[11]Analisys QBR By Machine Report'!$C$109:$BD$166,23,FALSE)</f>
        <v>90</v>
      </c>
      <c r="AC50" s="13">
        <f ca="1">VLOOKUP($B50,'[11]Analisys QBR By Machine Report'!$C$109:$BD$166,24,FALSE)</f>
        <v>0</v>
      </c>
      <c r="AD50" s="13">
        <f ca="1">VLOOKUP($B50,'[11]Analisys QBR By Machine Report'!$C$109:$BD$166,25,FALSE)</f>
        <v>0</v>
      </c>
      <c r="AE50" s="13">
        <f ca="1">VLOOKUP($B50,'[11]Analisys QBR By Machine Report'!$C$109:$BD$166,26,FALSE)</f>
        <v>50</v>
      </c>
      <c r="AF50" s="13">
        <f ca="1">VLOOKUP($B50,'[11]Analisys QBR By Machine Report'!$C$109:$BD$166,27,FALSE)</f>
        <v>0</v>
      </c>
      <c r="AG50" s="13">
        <f ca="1">VLOOKUP($B50,'[11]Analisys QBR By Machine Report'!$C$109:$BD$166,28,FALSE)</f>
        <v>0</v>
      </c>
      <c r="AH50" s="13">
        <f ca="1">VLOOKUP($B50,'[11]Analisys QBR By Machine Report'!$C$109:$BD$166,29,FALSE)</f>
        <v>0</v>
      </c>
      <c r="AI50" s="13">
        <f ca="1">VLOOKUP($B50,'[11]Analisys QBR By Machine Report'!$C$109:$BD$166,30,FALSE)</f>
        <v>410</v>
      </c>
      <c r="AJ50" s="13">
        <f ca="1">VLOOKUP($B50,'[11]Analisys QBR By Machine Report'!$C$109:$BD$166,31,FALSE)</f>
        <v>0</v>
      </c>
      <c r="AK50" s="13">
        <f ca="1">VLOOKUP($B50,'[11]Analisys QBR By Machine Report'!$C$109:$BD$166,32,FALSE)</f>
        <v>0</v>
      </c>
      <c r="AL50" s="13">
        <f ca="1">VLOOKUP($B50,'[11]Analisys QBR By Machine Report'!$C$109:$BD$166,33,FALSE)</f>
        <v>150</v>
      </c>
      <c r="AM50" s="13">
        <f ca="1">VLOOKUP($B50,'[11]Analisys QBR By Machine Report'!$C$109:$BD$166,34,FALSE)</f>
        <v>0</v>
      </c>
      <c r="AN50" s="13">
        <f ca="1">VLOOKUP($B50,'[11]Analisys QBR By Machine Report'!$C$109:$BD$166,35,FALSE)</f>
        <v>75</v>
      </c>
      <c r="AO50" s="13">
        <f ca="1">VLOOKUP($B50,'[11]Analisys QBR By Machine Report'!$C$109:$BD$166,36,FALSE)</f>
        <v>0</v>
      </c>
      <c r="AP50" s="13">
        <f ca="1">VLOOKUP($B50,'[11]Analisys QBR By Machine Report'!$C$109:$BD$166,37,FALSE)</f>
        <v>0</v>
      </c>
      <c r="AQ50" s="13">
        <f ca="1">VLOOKUP($B50,'[11]Analisys QBR By Machine Report'!$C$109:$BD$166,38,FALSE)</f>
        <v>0</v>
      </c>
      <c r="AR50" s="13">
        <f ca="1">VLOOKUP($B50,'[11]Analisys QBR By Machine Report'!$C$109:$BD$166,39,FALSE)</f>
        <v>60</v>
      </c>
      <c r="AS50" s="13">
        <f ca="1">VLOOKUP($B50,'[11]Analisys QBR By Machine Report'!$C$109:$BD$166,40,FALSE)</f>
        <v>50</v>
      </c>
      <c r="AT50" s="13">
        <f ca="1">VLOOKUP($B50,'[11]Analisys QBR By Machine Report'!$C$109:$BD$166,41,FALSE)</f>
        <v>0</v>
      </c>
      <c r="AU50" s="13">
        <f ca="1">VLOOKUP($B50,'[11]Analisys QBR By Machine Report'!$C$109:$BD$166,42,FALSE)</f>
        <v>0</v>
      </c>
      <c r="AV50" s="13">
        <f ca="1">VLOOKUP($B50,'[11]Analisys QBR By Machine Report'!$C$109:$BD$166,43,FALSE)</f>
        <v>0</v>
      </c>
      <c r="AW50" s="13">
        <f ca="1">VLOOKUP($B50,'[11]Analisys QBR By Machine Report'!$C$109:$BD$166,44,FALSE)</f>
        <v>0</v>
      </c>
      <c r="AX50" s="13">
        <f ca="1">VLOOKUP($B50,'[11]Analisys QBR By Machine Report'!$C$109:$BD$166,45,FALSE)</f>
        <v>0</v>
      </c>
      <c r="AY50" s="13">
        <f ca="1">VLOOKUP($B50,'[11]Analisys QBR By Machine Report'!$C$109:$BD$166,46,FALSE)</f>
        <v>0</v>
      </c>
      <c r="AZ50" s="13">
        <f ca="1">VLOOKUP($B50,'[11]Analisys QBR By Machine Report'!$C$109:$BD$166,47,FALSE)</f>
        <v>75</v>
      </c>
      <c r="BA50" s="13">
        <f ca="1">VLOOKUP($B50,'[11]Analisys QBR By Machine Report'!$C$109:$BD$166,48,FALSE)</f>
        <v>0</v>
      </c>
      <c r="BB50" s="13">
        <f ca="1">VLOOKUP($B50,'[11]Analisys QBR By Machine Report'!$C$109:$BD$166,49,FALSE)</f>
        <v>0</v>
      </c>
      <c r="BC50" s="13">
        <f ca="1">VLOOKUP($B50,'[11]Analisys QBR By Machine Report'!$C$109:$BD$166,50,FALSE)</f>
        <v>0</v>
      </c>
      <c r="BD50" s="13">
        <f ca="1">VLOOKUP($B50,'[11]Analisys QBR By Machine Report'!$C$109:$BD$166,51,FALSE)</f>
        <v>410775</v>
      </c>
      <c r="BE50" s="13">
        <f ca="1">VLOOKUP($B50,'[11]Analisys QBR By Machine Report'!$C$109:$BD$166,52,FALSE)</f>
        <v>2795</v>
      </c>
      <c r="BF50" s="13">
        <f ca="1">VLOOKUP($B50,'[11]Analisys QBR By Machine Report'!$C$109:$BD$166,53,FALSE)</f>
        <v>407980</v>
      </c>
    </row>
    <row r="51" spans="1:58" x14ac:dyDescent="0.25">
      <c r="A51" s="9" t="s">
        <v>107</v>
      </c>
      <c r="B51" s="10">
        <f ca="1">VLOOKUP($B51,'[11]Analisys QBR By Machine Report'!$C$109:$BD$166,2,FALSE)</f>
        <v>30240</v>
      </c>
      <c r="C51" s="11">
        <f ca="1">VLOOKUP($B51,[11]Dasboard_QBR_Report!$B$109:$BL$166,3,FALSE)</f>
        <v>19530</v>
      </c>
      <c r="D51" s="10">
        <f ca="1">VLOOKUP($B51,'[11]Analisys QBR By Machine Report'!$C$109:$BD$166,3,FALSE)</f>
        <v>22800</v>
      </c>
      <c r="E51" s="11">
        <f ca="1">VLOOKUP($B51,[11]Dasboard_QBR_Report!$B$109:$BL$166,5,FALSE)</f>
        <v>12090</v>
      </c>
      <c r="F51" s="10">
        <f t="shared" ca="1" si="0"/>
        <v>7440</v>
      </c>
      <c r="G51" s="10">
        <f t="shared" ca="1" si="1"/>
        <v>655</v>
      </c>
      <c r="H51" s="10">
        <f ca="1">VLOOKUP($B51,'[11]Analisys QBR By Machine Report'!$C$109:$BD$166,4,FALSE)</f>
        <v>655</v>
      </c>
      <c r="I51" s="10">
        <f ca="1">VLOOKUP($B51,'[11]Analisys QBR By Machine Report'!$C$109:$BD$166,5,FALSE)</f>
        <v>45</v>
      </c>
      <c r="J51" s="10">
        <f ca="1">VLOOKUP($B51,'[11]Analisys QBR By Machine Report'!$C$109:$BD$166,6,FALSE)</f>
        <v>610</v>
      </c>
      <c r="K51" s="10">
        <f ca="1">VLOOKUP($B51,'[11]Analisys QBR By Machine Report'!$C$109:$BD$166,7,FALSE)</f>
        <v>0</v>
      </c>
      <c r="L51" s="10">
        <f ca="1">VLOOKUP($B51,'[11]Analisys QBR By Machine Report'!$C$109:$BD$166,8,FALSE)</f>
        <v>6785</v>
      </c>
      <c r="M51" s="10">
        <f ca="1">VLOOKUP($B51,'[11]Analisys QBR By Machine Report'!$C$109:$BD$166,9,FALSE)</f>
        <v>2703</v>
      </c>
      <c r="N51" s="10">
        <f ca="1">VLOOKUP($B51,[11]Dasboard_QBR_Report!$B$109:$BL$166,18,FALSE)</f>
        <v>4082</v>
      </c>
      <c r="O51" s="10">
        <f ca="1">VLOOKUP($B51,'[11]Analisys QBR By Machine Report'!$C$109:$BD$166,10,FALSE)</f>
        <v>628</v>
      </c>
      <c r="P51" s="10">
        <f ca="1">VLOOKUP($B51,'[11]Analisys QBR By Machine Report'!$C$109:$BD$166,11,FALSE)</f>
        <v>450</v>
      </c>
      <c r="Q51" s="10">
        <f ca="1">VLOOKUP($B51,'[11]Analisys QBR By Machine Report'!$C$109:$BD$166,12,FALSE)</f>
        <v>0</v>
      </c>
      <c r="R51" s="10">
        <f ca="1">VLOOKUP($B51,'[11]Analisys QBR By Machine Report'!$C$109:$BD$166,13,FALSE)</f>
        <v>155</v>
      </c>
      <c r="S51" s="10">
        <f ca="1">VLOOKUP($B51,'[11]Analisys QBR By Machine Report'!$C$109:$BD$166,14,FALSE)</f>
        <v>23</v>
      </c>
      <c r="T51" s="10">
        <f ca="1">VLOOKUP($B51,'[11]Analisys QBR By Machine Report'!$C$109:$BD$166,15,FALSE)</f>
        <v>84</v>
      </c>
      <c r="U51" s="10">
        <f ca="1">VLOOKUP($B51,'[11]Analisys QBR By Machine Report'!$C$109:$BD$166,16,FALSE)</f>
        <v>0</v>
      </c>
      <c r="V51" s="10">
        <f ca="1">VLOOKUP($B51,'[11]Analisys QBR By Machine Report'!$C$109:$BD$166,17,FALSE)</f>
        <v>84</v>
      </c>
      <c r="W51" s="10">
        <f ca="1">VLOOKUP($B51,'[11]Analisys QBR By Machine Report'!$C$109:$BD$166,18,FALSE)</f>
        <v>0</v>
      </c>
      <c r="X51" s="10">
        <f ca="1">VLOOKUP($B51,'[11]Analisys QBR By Machine Report'!$C$109:$BD$166,19,FALSE)</f>
        <v>0</v>
      </c>
      <c r="Y51" s="10">
        <f ca="1">VLOOKUP($B51,'[11]Analisys QBR By Machine Report'!$C$109:$BD$166,20,FALSE)</f>
        <v>0</v>
      </c>
      <c r="Z51" s="10">
        <f ca="1">VLOOKUP($B51,'[11]Analisys QBR By Machine Report'!$C$109:$BD$166,21,FALSE)</f>
        <v>2040</v>
      </c>
      <c r="AA51" s="10">
        <f ca="1">VLOOKUP($B51,'[11]Analisys QBR By Machine Report'!$C$109:$BD$166,22,FALSE)</f>
        <v>897</v>
      </c>
      <c r="AB51" s="10">
        <f ca="1">VLOOKUP($B51,'[11]Analisys QBR By Machine Report'!$C$109:$BD$166,23,FALSE)</f>
        <v>1143</v>
      </c>
      <c r="AC51" s="10">
        <f ca="1">VLOOKUP($B51,'[11]Analisys QBR By Machine Report'!$C$109:$BD$166,24,FALSE)</f>
        <v>0</v>
      </c>
      <c r="AD51" s="10">
        <f ca="1">VLOOKUP($B51,'[11]Analisys QBR By Machine Report'!$C$109:$BD$166,25,FALSE)</f>
        <v>0</v>
      </c>
      <c r="AE51" s="10">
        <f ca="1">VLOOKUP($B51,'[11]Analisys QBR By Machine Report'!$C$109:$BD$166,26,FALSE)</f>
        <v>0</v>
      </c>
      <c r="AF51" s="10">
        <f ca="1">VLOOKUP($B51,'[11]Analisys QBR By Machine Report'!$C$109:$BD$166,27,FALSE)</f>
        <v>0</v>
      </c>
      <c r="AG51" s="10">
        <f ca="1">VLOOKUP($B51,'[11]Analisys QBR By Machine Report'!$C$109:$BD$166,28,FALSE)</f>
        <v>0</v>
      </c>
      <c r="AH51" s="10">
        <f ca="1">VLOOKUP($B51,'[11]Analisys QBR By Machine Report'!$C$109:$BD$166,29,FALSE)</f>
        <v>0</v>
      </c>
      <c r="AI51" s="10">
        <f ca="1">VLOOKUP($B51,'[11]Analisys QBR By Machine Report'!$C$109:$BD$166,30,FALSE)</f>
        <v>1330</v>
      </c>
      <c r="AJ51" s="10">
        <f ca="1">VLOOKUP($B51,'[11]Analisys QBR By Machine Report'!$C$109:$BD$166,31,FALSE)</f>
        <v>0</v>
      </c>
      <c r="AK51" s="10">
        <f ca="1">VLOOKUP($B51,'[11]Analisys QBR By Machine Report'!$C$109:$BD$166,32,FALSE)</f>
        <v>0</v>
      </c>
      <c r="AL51" s="10">
        <f ca="1">VLOOKUP($B51,'[11]Analisys QBR By Machine Report'!$C$109:$BD$166,33,FALSE)</f>
        <v>541</v>
      </c>
      <c r="AM51" s="10">
        <f ca="1">VLOOKUP($B51,'[11]Analisys QBR By Machine Report'!$C$109:$BD$166,34,FALSE)</f>
        <v>5</v>
      </c>
      <c r="AN51" s="10">
        <f ca="1">VLOOKUP($B51,'[11]Analisys QBR By Machine Report'!$C$109:$BD$166,35,FALSE)</f>
        <v>370</v>
      </c>
      <c r="AO51" s="10">
        <f ca="1">VLOOKUP($B51,'[11]Analisys QBR By Machine Report'!$C$109:$BD$166,36,FALSE)</f>
        <v>0</v>
      </c>
      <c r="AP51" s="10">
        <f ca="1">VLOOKUP($B51,'[11]Analisys QBR By Machine Report'!$C$109:$BD$166,37,FALSE)</f>
        <v>0</v>
      </c>
      <c r="AQ51" s="10">
        <f ca="1">VLOOKUP($B51,'[11]Analisys QBR By Machine Report'!$C$109:$BD$166,38,FALSE)</f>
        <v>96</v>
      </c>
      <c r="AR51" s="10">
        <f ca="1">VLOOKUP($B51,'[11]Analisys QBR By Machine Report'!$C$109:$BD$166,39,FALSE)</f>
        <v>0</v>
      </c>
      <c r="AS51" s="10">
        <f ca="1">VLOOKUP($B51,'[11]Analisys QBR By Machine Report'!$C$109:$BD$166,40,FALSE)</f>
        <v>44</v>
      </c>
      <c r="AT51" s="10">
        <f ca="1">VLOOKUP($B51,'[11]Analisys QBR By Machine Report'!$C$109:$BD$166,41,FALSE)</f>
        <v>0</v>
      </c>
      <c r="AU51" s="10">
        <f ca="1">VLOOKUP($B51,'[11]Analisys QBR By Machine Report'!$C$109:$BD$166,42,FALSE)</f>
        <v>0</v>
      </c>
      <c r="AV51" s="10">
        <f ca="1">VLOOKUP($B51,'[11]Analisys QBR By Machine Report'!$C$109:$BD$166,43,FALSE)</f>
        <v>260</v>
      </c>
      <c r="AW51" s="10">
        <f ca="1">VLOOKUP($B51,'[11]Analisys QBR By Machine Report'!$C$109:$BD$166,44,FALSE)</f>
        <v>0</v>
      </c>
      <c r="AX51" s="10">
        <f ca="1">VLOOKUP($B51,'[11]Analisys QBR By Machine Report'!$C$109:$BD$166,45,FALSE)</f>
        <v>0</v>
      </c>
      <c r="AY51" s="10">
        <f ca="1">VLOOKUP($B51,'[11]Analisys QBR By Machine Report'!$C$109:$BD$166,46,FALSE)</f>
        <v>0</v>
      </c>
      <c r="AZ51" s="10">
        <f ca="1">VLOOKUP($B51,'[11]Analisys QBR By Machine Report'!$C$109:$BD$166,47,FALSE)</f>
        <v>14</v>
      </c>
      <c r="BA51" s="10">
        <f ca="1">VLOOKUP($B51,'[11]Analisys QBR By Machine Report'!$C$109:$BD$166,48,FALSE)</f>
        <v>0</v>
      </c>
      <c r="BB51" s="10">
        <f ca="1">VLOOKUP($B51,'[11]Analisys QBR By Machine Report'!$C$109:$BD$166,49,FALSE)</f>
        <v>0</v>
      </c>
      <c r="BC51" s="10">
        <f ca="1">VLOOKUP($B51,'[11]Analisys QBR By Machine Report'!$C$109:$BD$166,50,FALSE)</f>
        <v>0</v>
      </c>
      <c r="BD51" s="10">
        <f ca="1">VLOOKUP($B51,'[11]Analisys QBR By Machine Report'!$C$109:$BD$166,51,FALSE)</f>
        <v>393976</v>
      </c>
      <c r="BE51" s="10">
        <f ca="1">VLOOKUP($B51,'[11]Analisys QBR By Machine Report'!$C$109:$BD$166,52,FALSE)</f>
        <v>261</v>
      </c>
      <c r="BF51" s="10">
        <f ca="1">VLOOKUP($B51,'[11]Analisys QBR By Machine Report'!$C$109:$BD$166,53,FALSE)</f>
        <v>393715</v>
      </c>
    </row>
    <row r="52" spans="1:58" x14ac:dyDescent="0.25">
      <c r="A52" s="12" t="s">
        <v>108</v>
      </c>
      <c r="B52" s="13">
        <f ca="1">VLOOKUP($B52,'[11]Analisys QBR By Machine Report'!$C$109:$BD$166,2,FALSE)</f>
        <v>30240</v>
      </c>
      <c r="C52" s="14">
        <f ca="1">VLOOKUP($B52,[11]Dasboard_QBR_Report!$B$109:$BL$166,3,FALSE)</f>
        <v>19530</v>
      </c>
      <c r="D52" s="13">
        <f ca="1">VLOOKUP($B52,'[11]Analisys QBR By Machine Report'!$C$109:$BD$166,3,FALSE)</f>
        <v>22800</v>
      </c>
      <c r="E52" s="14">
        <f ca="1">VLOOKUP($B52,[11]Dasboard_QBR_Report!$B$109:$BL$166,5,FALSE)</f>
        <v>12090</v>
      </c>
      <c r="F52" s="13">
        <f t="shared" ca="1" si="0"/>
        <v>7440</v>
      </c>
      <c r="G52" s="13">
        <f t="shared" ca="1" si="1"/>
        <v>655</v>
      </c>
      <c r="H52" s="13">
        <f ca="1">VLOOKUP($B52,'[11]Analisys QBR By Machine Report'!$C$109:$BD$166,4,FALSE)</f>
        <v>655</v>
      </c>
      <c r="I52" s="13">
        <f ca="1">VLOOKUP($B52,'[11]Analisys QBR By Machine Report'!$C$109:$BD$166,5,FALSE)</f>
        <v>45</v>
      </c>
      <c r="J52" s="13">
        <f ca="1">VLOOKUP($B52,'[11]Analisys QBR By Machine Report'!$C$109:$BD$166,6,FALSE)</f>
        <v>610</v>
      </c>
      <c r="K52" s="13">
        <f ca="1">VLOOKUP($B52,'[11]Analisys QBR By Machine Report'!$C$109:$BD$166,7,FALSE)</f>
        <v>0</v>
      </c>
      <c r="L52" s="13">
        <f ca="1">VLOOKUP($B52,'[11]Analisys QBR By Machine Report'!$C$109:$BD$166,8,FALSE)</f>
        <v>6785</v>
      </c>
      <c r="M52" s="13">
        <f ca="1">VLOOKUP($B52,'[11]Analisys QBR By Machine Report'!$C$109:$BD$166,9,FALSE)</f>
        <v>2703</v>
      </c>
      <c r="N52" s="13">
        <f ca="1">VLOOKUP($B52,[11]Dasboard_QBR_Report!$B$109:$BL$166,18,FALSE)</f>
        <v>4082</v>
      </c>
      <c r="O52" s="13">
        <f ca="1">VLOOKUP($B52,'[11]Analisys QBR By Machine Report'!$C$109:$BD$166,10,FALSE)</f>
        <v>628</v>
      </c>
      <c r="P52" s="13">
        <f ca="1">VLOOKUP($B52,'[11]Analisys QBR By Machine Report'!$C$109:$BD$166,11,FALSE)</f>
        <v>450</v>
      </c>
      <c r="Q52" s="13">
        <f ca="1">VLOOKUP($B52,'[11]Analisys QBR By Machine Report'!$C$109:$BD$166,12,FALSE)</f>
        <v>0</v>
      </c>
      <c r="R52" s="13">
        <f ca="1">VLOOKUP($B52,'[11]Analisys QBR By Machine Report'!$C$109:$BD$166,13,FALSE)</f>
        <v>155</v>
      </c>
      <c r="S52" s="13">
        <f ca="1">VLOOKUP($B52,'[11]Analisys QBR By Machine Report'!$C$109:$BD$166,14,FALSE)</f>
        <v>23</v>
      </c>
      <c r="T52" s="13">
        <f ca="1">VLOOKUP($B52,'[11]Analisys QBR By Machine Report'!$C$109:$BD$166,15,FALSE)</f>
        <v>84</v>
      </c>
      <c r="U52" s="13">
        <f ca="1">VLOOKUP($B52,'[11]Analisys QBR By Machine Report'!$C$109:$BD$166,16,FALSE)</f>
        <v>0</v>
      </c>
      <c r="V52" s="13">
        <f ca="1">VLOOKUP($B52,'[11]Analisys QBR By Machine Report'!$C$109:$BD$166,17,FALSE)</f>
        <v>84</v>
      </c>
      <c r="W52" s="13">
        <f ca="1">VLOOKUP($B52,'[11]Analisys QBR By Machine Report'!$C$109:$BD$166,18,FALSE)</f>
        <v>0</v>
      </c>
      <c r="X52" s="13">
        <f ca="1">VLOOKUP($B52,'[11]Analisys QBR By Machine Report'!$C$109:$BD$166,19,FALSE)</f>
        <v>0</v>
      </c>
      <c r="Y52" s="13">
        <f ca="1">VLOOKUP($B52,'[11]Analisys QBR By Machine Report'!$C$109:$BD$166,20,FALSE)</f>
        <v>0</v>
      </c>
      <c r="Z52" s="13">
        <f ca="1">VLOOKUP($B52,'[11]Analisys QBR By Machine Report'!$C$109:$BD$166,21,FALSE)</f>
        <v>2040</v>
      </c>
      <c r="AA52" s="13">
        <f ca="1">VLOOKUP($B52,'[11]Analisys QBR By Machine Report'!$C$109:$BD$166,22,FALSE)</f>
        <v>897</v>
      </c>
      <c r="AB52" s="13">
        <f ca="1">VLOOKUP($B52,'[11]Analisys QBR By Machine Report'!$C$109:$BD$166,23,FALSE)</f>
        <v>1143</v>
      </c>
      <c r="AC52" s="13">
        <f ca="1">VLOOKUP($B52,'[11]Analisys QBR By Machine Report'!$C$109:$BD$166,24,FALSE)</f>
        <v>0</v>
      </c>
      <c r="AD52" s="13">
        <f ca="1">VLOOKUP($B52,'[11]Analisys QBR By Machine Report'!$C$109:$BD$166,25,FALSE)</f>
        <v>0</v>
      </c>
      <c r="AE52" s="13">
        <f ca="1">VLOOKUP($B52,'[11]Analisys QBR By Machine Report'!$C$109:$BD$166,26,FALSE)</f>
        <v>0</v>
      </c>
      <c r="AF52" s="13">
        <f ca="1">VLOOKUP($B52,'[11]Analisys QBR By Machine Report'!$C$109:$BD$166,27,FALSE)</f>
        <v>0</v>
      </c>
      <c r="AG52" s="13">
        <f ca="1">VLOOKUP($B52,'[11]Analisys QBR By Machine Report'!$C$109:$BD$166,28,FALSE)</f>
        <v>0</v>
      </c>
      <c r="AH52" s="13">
        <f ca="1">VLOOKUP($B52,'[11]Analisys QBR By Machine Report'!$C$109:$BD$166,29,FALSE)</f>
        <v>0</v>
      </c>
      <c r="AI52" s="13">
        <f ca="1">VLOOKUP($B52,'[11]Analisys QBR By Machine Report'!$C$109:$BD$166,30,FALSE)</f>
        <v>1330</v>
      </c>
      <c r="AJ52" s="13">
        <f ca="1">VLOOKUP($B52,'[11]Analisys QBR By Machine Report'!$C$109:$BD$166,31,FALSE)</f>
        <v>0</v>
      </c>
      <c r="AK52" s="13">
        <f ca="1">VLOOKUP($B52,'[11]Analisys QBR By Machine Report'!$C$109:$BD$166,32,FALSE)</f>
        <v>0</v>
      </c>
      <c r="AL52" s="13">
        <f ca="1">VLOOKUP($B52,'[11]Analisys QBR By Machine Report'!$C$109:$BD$166,33,FALSE)</f>
        <v>541</v>
      </c>
      <c r="AM52" s="13">
        <f ca="1">VLOOKUP($B52,'[11]Analisys QBR By Machine Report'!$C$109:$BD$166,34,FALSE)</f>
        <v>5</v>
      </c>
      <c r="AN52" s="13">
        <f ca="1">VLOOKUP($B52,'[11]Analisys QBR By Machine Report'!$C$109:$BD$166,35,FALSE)</f>
        <v>370</v>
      </c>
      <c r="AO52" s="13">
        <f ca="1">VLOOKUP($B52,'[11]Analisys QBR By Machine Report'!$C$109:$BD$166,36,FALSE)</f>
        <v>0</v>
      </c>
      <c r="AP52" s="13">
        <f ca="1">VLOOKUP($B52,'[11]Analisys QBR By Machine Report'!$C$109:$BD$166,37,FALSE)</f>
        <v>0</v>
      </c>
      <c r="AQ52" s="13">
        <f ca="1">VLOOKUP($B52,'[11]Analisys QBR By Machine Report'!$C$109:$BD$166,38,FALSE)</f>
        <v>96</v>
      </c>
      <c r="AR52" s="13">
        <f ca="1">VLOOKUP($B52,'[11]Analisys QBR By Machine Report'!$C$109:$BD$166,39,FALSE)</f>
        <v>0</v>
      </c>
      <c r="AS52" s="13">
        <f ca="1">VLOOKUP($B52,'[11]Analisys QBR By Machine Report'!$C$109:$BD$166,40,FALSE)</f>
        <v>44</v>
      </c>
      <c r="AT52" s="13">
        <f ca="1">VLOOKUP($B52,'[11]Analisys QBR By Machine Report'!$C$109:$BD$166,41,FALSE)</f>
        <v>0</v>
      </c>
      <c r="AU52" s="13">
        <f ca="1">VLOOKUP($B52,'[11]Analisys QBR By Machine Report'!$C$109:$BD$166,42,FALSE)</f>
        <v>0</v>
      </c>
      <c r="AV52" s="13">
        <f ca="1">VLOOKUP($B52,'[11]Analisys QBR By Machine Report'!$C$109:$BD$166,43,FALSE)</f>
        <v>260</v>
      </c>
      <c r="AW52" s="13">
        <f ca="1">VLOOKUP($B52,'[11]Analisys QBR By Machine Report'!$C$109:$BD$166,44,FALSE)</f>
        <v>0</v>
      </c>
      <c r="AX52" s="13">
        <f ca="1">VLOOKUP($B52,'[11]Analisys QBR By Machine Report'!$C$109:$BD$166,45,FALSE)</f>
        <v>0</v>
      </c>
      <c r="AY52" s="13">
        <f ca="1">VLOOKUP($B52,'[11]Analisys QBR By Machine Report'!$C$109:$BD$166,46,FALSE)</f>
        <v>0</v>
      </c>
      <c r="AZ52" s="13">
        <f ca="1">VLOOKUP($B52,'[11]Analisys QBR By Machine Report'!$C$109:$BD$166,47,FALSE)</f>
        <v>14</v>
      </c>
      <c r="BA52" s="13">
        <f ca="1">VLOOKUP($B52,'[11]Analisys QBR By Machine Report'!$C$109:$BD$166,48,FALSE)</f>
        <v>0</v>
      </c>
      <c r="BB52" s="13">
        <f ca="1">VLOOKUP($B52,'[11]Analisys QBR By Machine Report'!$C$109:$BD$166,49,FALSE)</f>
        <v>0</v>
      </c>
      <c r="BC52" s="13">
        <f ca="1">VLOOKUP($B52,'[11]Analisys QBR By Machine Report'!$C$109:$BD$166,50,FALSE)</f>
        <v>0</v>
      </c>
      <c r="BD52" s="13">
        <f ca="1">VLOOKUP($B52,'[11]Analisys QBR By Machine Report'!$C$109:$BD$166,51,FALSE)</f>
        <v>393976</v>
      </c>
      <c r="BE52" s="13">
        <f ca="1">VLOOKUP($B52,'[11]Analisys QBR By Machine Report'!$C$109:$BD$166,52,FALSE)</f>
        <v>261</v>
      </c>
      <c r="BF52" s="13">
        <f ca="1">VLOOKUP($B52,'[11]Analisys QBR By Machine Report'!$C$109:$BD$166,53,FALSE)</f>
        <v>393715</v>
      </c>
    </row>
    <row r="53" spans="1:58" x14ac:dyDescent="0.25">
      <c r="A53" s="9" t="s">
        <v>109</v>
      </c>
      <c r="B53" s="10">
        <f ca="1">VLOOKUP($B53,'[11]Analisys QBR By Machine Report'!$C$109:$BD$166,2,FALSE)</f>
        <v>60480</v>
      </c>
      <c r="C53" s="11">
        <f ca="1">VLOOKUP($B53,[11]Dasboard_QBR_Report!$B$109:$BL$166,3,FALSE)</f>
        <v>39060</v>
      </c>
      <c r="D53" s="10">
        <f ca="1">VLOOKUP($B53,'[11]Analisys QBR By Machine Report'!$C$109:$BD$166,3,FALSE)</f>
        <v>45540</v>
      </c>
      <c r="E53" s="11">
        <f ca="1">VLOOKUP($B53,[11]Dasboard_QBR_Report!$B$109:$BL$166,5,FALSE)</f>
        <v>24120</v>
      </c>
      <c r="F53" s="10">
        <f t="shared" ca="1" si="0"/>
        <v>14940</v>
      </c>
      <c r="G53" s="10">
        <f t="shared" ca="1" si="1"/>
        <v>1466</v>
      </c>
      <c r="H53" s="10">
        <f ca="1">VLOOKUP($B53,'[11]Analisys QBR By Machine Report'!$C$109:$BD$166,4,FALSE)</f>
        <v>1466</v>
      </c>
      <c r="I53" s="10">
        <f ca="1">VLOOKUP($B53,'[11]Analisys QBR By Machine Report'!$C$109:$BD$166,5,FALSE)</f>
        <v>188</v>
      </c>
      <c r="J53" s="10">
        <f ca="1">VLOOKUP($B53,'[11]Analisys QBR By Machine Report'!$C$109:$BD$166,6,FALSE)</f>
        <v>1278</v>
      </c>
      <c r="K53" s="10">
        <f ca="1">VLOOKUP($B53,'[11]Analisys QBR By Machine Report'!$C$109:$BD$166,7,FALSE)</f>
        <v>0</v>
      </c>
      <c r="L53" s="10">
        <f ca="1">VLOOKUP($B53,'[11]Analisys QBR By Machine Report'!$C$109:$BD$166,8,FALSE)</f>
        <v>13474</v>
      </c>
      <c r="M53" s="10">
        <f ca="1">VLOOKUP($B53,'[11]Analisys QBR By Machine Report'!$C$109:$BD$166,9,FALSE)</f>
        <v>6971</v>
      </c>
      <c r="N53" s="10">
        <f ca="1">VLOOKUP($B53,[11]Dasboard_QBR_Report!$B$109:$BL$166,18,FALSE)</f>
        <v>6503</v>
      </c>
      <c r="O53" s="10">
        <f ca="1">VLOOKUP($B53,'[11]Analisys QBR By Machine Report'!$C$109:$BD$166,10,FALSE)</f>
        <v>464</v>
      </c>
      <c r="P53" s="10">
        <f ca="1">VLOOKUP($B53,'[11]Analisys QBR By Machine Report'!$C$109:$BD$166,11,FALSE)</f>
        <v>354</v>
      </c>
      <c r="Q53" s="10">
        <f ca="1">VLOOKUP($B53,'[11]Analisys QBR By Machine Report'!$C$109:$BD$166,12,FALSE)</f>
        <v>0</v>
      </c>
      <c r="R53" s="10">
        <f ca="1">VLOOKUP($B53,'[11]Analisys QBR By Machine Report'!$C$109:$BD$166,13,FALSE)</f>
        <v>110</v>
      </c>
      <c r="S53" s="10">
        <f ca="1">VLOOKUP($B53,'[11]Analisys QBR By Machine Report'!$C$109:$BD$166,14,FALSE)</f>
        <v>0</v>
      </c>
      <c r="T53" s="10">
        <f ca="1">VLOOKUP($B53,'[11]Analisys QBR By Machine Report'!$C$109:$BD$166,15,FALSE)</f>
        <v>0</v>
      </c>
      <c r="U53" s="10">
        <f ca="1">VLOOKUP($B53,'[11]Analisys QBR By Machine Report'!$C$109:$BD$166,16,FALSE)</f>
        <v>0</v>
      </c>
      <c r="V53" s="10">
        <f ca="1">VLOOKUP($B53,'[11]Analisys QBR By Machine Report'!$C$109:$BD$166,17,FALSE)</f>
        <v>0</v>
      </c>
      <c r="W53" s="10">
        <f ca="1">VLOOKUP($B53,'[11]Analisys QBR By Machine Report'!$C$109:$BD$166,18,FALSE)</f>
        <v>0</v>
      </c>
      <c r="X53" s="10">
        <f ca="1">VLOOKUP($B53,'[11]Analisys QBR By Machine Report'!$C$109:$BD$166,19,FALSE)</f>
        <v>0</v>
      </c>
      <c r="Y53" s="10">
        <f ca="1">VLOOKUP($B53,'[11]Analisys QBR By Machine Report'!$C$109:$BD$166,20,FALSE)</f>
        <v>0</v>
      </c>
      <c r="Z53" s="10">
        <f ca="1">VLOOKUP($B53,'[11]Analisys QBR By Machine Report'!$C$109:$BD$166,21,FALSE)</f>
        <v>3999</v>
      </c>
      <c r="AA53" s="10">
        <f ca="1">VLOOKUP($B53,'[11]Analisys QBR By Machine Report'!$C$109:$BD$166,22,FALSE)</f>
        <v>3681</v>
      </c>
      <c r="AB53" s="10">
        <f ca="1">VLOOKUP($B53,'[11]Analisys QBR By Machine Report'!$C$109:$BD$166,23,FALSE)</f>
        <v>318</v>
      </c>
      <c r="AC53" s="10">
        <f ca="1">VLOOKUP($B53,'[11]Analisys QBR By Machine Report'!$C$109:$BD$166,24,FALSE)</f>
        <v>0</v>
      </c>
      <c r="AD53" s="10">
        <f ca="1">VLOOKUP($B53,'[11]Analisys QBR By Machine Report'!$C$109:$BD$166,25,FALSE)</f>
        <v>0</v>
      </c>
      <c r="AE53" s="10">
        <f ca="1">VLOOKUP($B53,'[11]Analisys QBR By Machine Report'!$C$109:$BD$166,26,FALSE)</f>
        <v>0</v>
      </c>
      <c r="AF53" s="10">
        <f ca="1">VLOOKUP($B53,'[11]Analisys QBR By Machine Report'!$C$109:$BD$166,27,FALSE)</f>
        <v>0</v>
      </c>
      <c r="AG53" s="10">
        <f ca="1">VLOOKUP($B53,'[11]Analisys QBR By Machine Report'!$C$109:$BD$166,28,FALSE)</f>
        <v>0</v>
      </c>
      <c r="AH53" s="10">
        <f ca="1">VLOOKUP($B53,'[11]Analisys QBR By Machine Report'!$C$109:$BD$166,29,FALSE)</f>
        <v>0</v>
      </c>
      <c r="AI53" s="10">
        <f ca="1">VLOOKUP($B53,'[11]Analisys QBR By Machine Report'!$C$109:$BD$166,30,FALSE)</f>
        <v>2040</v>
      </c>
      <c r="AJ53" s="10">
        <f ca="1">VLOOKUP($B53,'[11]Analisys QBR By Machine Report'!$C$109:$BD$166,31,FALSE)</f>
        <v>0</v>
      </c>
      <c r="AK53" s="10">
        <f ca="1">VLOOKUP($B53,'[11]Analisys QBR By Machine Report'!$C$109:$BD$166,32,FALSE)</f>
        <v>0</v>
      </c>
      <c r="AL53" s="10">
        <f ca="1">VLOOKUP($B53,'[11]Analisys QBR By Machine Report'!$C$109:$BD$166,33,FALSE)</f>
        <v>45</v>
      </c>
      <c r="AM53" s="10">
        <f ca="1">VLOOKUP($B53,'[11]Analisys QBR By Machine Report'!$C$109:$BD$166,34,FALSE)</f>
        <v>0</v>
      </c>
      <c r="AN53" s="10">
        <f ca="1">VLOOKUP($B53,'[11]Analisys QBR By Machine Report'!$C$109:$BD$166,35,FALSE)</f>
        <v>15</v>
      </c>
      <c r="AO53" s="10">
        <f ca="1">VLOOKUP($B53,'[11]Analisys QBR By Machine Report'!$C$109:$BD$166,36,FALSE)</f>
        <v>0</v>
      </c>
      <c r="AP53" s="10">
        <f ca="1">VLOOKUP($B53,'[11]Analisys QBR By Machine Report'!$C$109:$BD$166,37,FALSE)</f>
        <v>0</v>
      </c>
      <c r="AQ53" s="10">
        <f ca="1">VLOOKUP($B53,'[11]Analisys QBR By Machine Report'!$C$109:$BD$166,38,FALSE)</f>
        <v>100</v>
      </c>
      <c r="AR53" s="10">
        <f ca="1">VLOOKUP($B53,'[11]Analisys QBR By Machine Report'!$C$109:$BD$166,39,FALSE)</f>
        <v>1880</v>
      </c>
      <c r="AS53" s="10">
        <f ca="1">VLOOKUP($B53,'[11]Analisys QBR By Machine Report'!$C$109:$BD$166,40,FALSE)</f>
        <v>0</v>
      </c>
      <c r="AT53" s="10">
        <f ca="1">VLOOKUP($B53,'[11]Analisys QBR By Machine Report'!$C$109:$BD$166,41,FALSE)</f>
        <v>0</v>
      </c>
      <c r="AU53" s="10">
        <f ca="1">VLOOKUP($B53,'[11]Analisys QBR By Machine Report'!$C$109:$BD$166,42,FALSE)</f>
        <v>0</v>
      </c>
      <c r="AV53" s="10">
        <f ca="1">VLOOKUP($B53,'[11]Analisys QBR By Machine Report'!$C$109:$BD$166,43,FALSE)</f>
        <v>0</v>
      </c>
      <c r="AW53" s="10">
        <f ca="1">VLOOKUP($B53,'[11]Analisys QBR By Machine Report'!$C$109:$BD$166,44,FALSE)</f>
        <v>0</v>
      </c>
      <c r="AX53" s="10">
        <f ca="1">VLOOKUP($B53,'[11]Analisys QBR By Machine Report'!$C$109:$BD$166,45,FALSE)</f>
        <v>0</v>
      </c>
      <c r="AY53" s="10">
        <f ca="1">VLOOKUP($B53,'[11]Analisys QBR By Machine Report'!$C$109:$BD$166,46,FALSE)</f>
        <v>0</v>
      </c>
      <c r="AZ53" s="10">
        <f ca="1">VLOOKUP($B53,'[11]Analisys QBR By Machine Report'!$C$109:$BD$166,47,FALSE)</f>
        <v>0</v>
      </c>
      <c r="BA53" s="10">
        <f ca="1">VLOOKUP($B53,'[11]Analisys QBR By Machine Report'!$C$109:$BD$166,48,FALSE)</f>
        <v>0</v>
      </c>
      <c r="BB53" s="10">
        <f ca="1">VLOOKUP($B53,'[11]Analisys QBR By Machine Report'!$C$109:$BD$166,49,FALSE)</f>
        <v>0</v>
      </c>
      <c r="BC53" s="10">
        <f ca="1">VLOOKUP($B53,'[11]Analisys QBR By Machine Report'!$C$109:$BD$166,50,FALSE)</f>
        <v>0</v>
      </c>
      <c r="BD53" s="10">
        <f ca="1">VLOOKUP($B53,'[11]Analisys QBR By Machine Report'!$C$109:$BD$166,51,FALSE)</f>
        <v>631</v>
      </c>
      <c r="BE53" s="10">
        <f ca="1">VLOOKUP($B53,'[11]Analisys QBR By Machine Report'!$C$109:$BD$166,52,FALSE)</f>
        <v>0</v>
      </c>
      <c r="BF53" s="10">
        <f ca="1">VLOOKUP($B53,'[11]Analisys QBR By Machine Report'!$C$109:$BD$166,53,FALSE)</f>
        <v>631</v>
      </c>
    </row>
    <row r="54" spans="1:58" x14ac:dyDescent="0.25">
      <c r="A54" s="12" t="s">
        <v>110</v>
      </c>
      <c r="B54" s="13">
        <f ca="1">VLOOKUP($B54,'[11]Analisys QBR By Machine Report'!$C$109:$BD$166,2,FALSE)</f>
        <v>30240</v>
      </c>
      <c r="C54" s="14">
        <f ca="1">VLOOKUP($B54,[11]Dasboard_QBR_Report!$B$109:$BL$166,3,FALSE)</f>
        <v>19530</v>
      </c>
      <c r="D54" s="13">
        <f ca="1">VLOOKUP($B54,'[11]Analisys QBR By Machine Report'!$C$109:$BD$166,3,FALSE)</f>
        <v>22770</v>
      </c>
      <c r="E54" s="14">
        <f ca="1">VLOOKUP($B54,[11]Dasboard_QBR_Report!$B$109:$BL$166,5,FALSE)</f>
        <v>12060</v>
      </c>
      <c r="F54" s="13">
        <f t="shared" ca="1" si="0"/>
        <v>7470</v>
      </c>
      <c r="G54" s="13">
        <f t="shared" ca="1" si="1"/>
        <v>441</v>
      </c>
      <c r="H54" s="13">
        <f ca="1">VLOOKUP($B54,'[11]Analisys QBR By Machine Report'!$C$109:$BD$166,4,FALSE)</f>
        <v>441</v>
      </c>
      <c r="I54" s="13">
        <f ca="1">VLOOKUP($B54,'[11]Analisys QBR By Machine Report'!$C$109:$BD$166,5,FALSE)</f>
        <v>128</v>
      </c>
      <c r="J54" s="13">
        <f ca="1">VLOOKUP($B54,'[11]Analisys QBR By Machine Report'!$C$109:$BD$166,6,FALSE)</f>
        <v>313</v>
      </c>
      <c r="K54" s="13">
        <f ca="1">VLOOKUP($B54,'[11]Analisys QBR By Machine Report'!$C$109:$BD$166,7,FALSE)</f>
        <v>0</v>
      </c>
      <c r="L54" s="13">
        <f ca="1">VLOOKUP($B54,'[11]Analisys QBR By Machine Report'!$C$109:$BD$166,8,FALSE)</f>
        <v>7029</v>
      </c>
      <c r="M54" s="13">
        <f ca="1">VLOOKUP($B54,'[11]Analisys QBR By Machine Report'!$C$109:$BD$166,9,FALSE)</f>
        <v>3583</v>
      </c>
      <c r="N54" s="13">
        <f ca="1">VLOOKUP($B54,[11]Dasboard_QBR_Report!$B$109:$BL$166,18,FALSE)</f>
        <v>3446</v>
      </c>
      <c r="O54" s="13">
        <f ca="1">VLOOKUP($B54,'[11]Analisys QBR By Machine Report'!$C$109:$BD$166,10,FALSE)</f>
        <v>218</v>
      </c>
      <c r="P54" s="13">
        <f ca="1">VLOOKUP($B54,'[11]Analisys QBR By Machine Report'!$C$109:$BD$166,11,FALSE)</f>
        <v>168</v>
      </c>
      <c r="Q54" s="13">
        <f ca="1">VLOOKUP($B54,'[11]Analisys QBR By Machine Report'!$C$109:$BD$166,12,FALSE)</f>
        <v>0</v>
      </c>
      <c r="R54" s="13">
        <f ca="1">VLOOKUP($B54,'[11]Analisys QBR By Machine Report'!$C$109:$BD$166,13,FALSE)</f>
        <v>50</v>
      </c>
      <c r="S54" s="13">
        <f ca="1">VLOOKUP($B54,'[11]Analisys QBR By Machine Report'!$C$109:$BD$166,14,FALSE)</f>
        <v>0</v>
      </c>
      <c r="T54" s="13">
        <f ca="1">VLOOKUP($B54,'[11]Analisys QBR By Machine Report'!$C$109:$BD$166,15,FALSE)</f>
        <v>0</v>
      </c>
      <c r="U54" s="13">
        <f ca="1">VLOOKUP($B54,'[11]Analisys QBR By Machine Report'!$C$109:$BD$166,16,FALSE)</f>
        <v>0</v>
      </c>
      <c r="V54" s="13">
        <f ca="1">VLOOKUP($B54,'[11]Analisys QBR By Machine Report'!$C$109:$BD$166,17,FALSE)</f>
        <v>0</v>
      </c>
      <c r="W54" s="13">
        <f ca="1">VLOOKUP($B54,'[11]Analisys QBR By Machine Report'!$C$109:$BD$166,18,FALSE)</f>
        <v>0</v>
      </c>
      <c r="X54" s="13">
        <f ca="1">VLOOKUP($B54,'[11]Analisys QBR By Machine Report'!$C$109:$BD$166,19,FALSE)</f>
        <v>0</v>
      </c>
      <c r="Y54" s="13">
        <f ca="1">VLOOKUP($B54,'[11]Analisys QBR By Machine Report'!$C$109:$BD$166,20,FALSE)</f>
        <v>0</v>
      </c>
      <c r="Z54" s="13">
        <f ca="1">VLOOKUP($B54,'[11]Analisys QBR By Machine Report'!$C$109:$BD$166,21,FALSE)</f>
        <v>2613</v>
      </c>
      <c r="AA54" s="13">
        <f ca="1">VLOOKUP($B54,'[11]Analisys QBR By Machine Report'!$C$109:$BD$166,22,FALSE)</f>
        <v>2567</v>
      </c>
      <c r="AB54" s="13">
        <f ca="1">VLOOKUP($B54,'[11]Analisys QBR By Machine Report'!$C$109:$BD$166,23,FALSE)</f>
        <v>46</v>
      </c>
      <c r="AC54" s="13">
        <f ca="1">VLOOKUP($B54,'[11]Analisys QBR By Machine Report'!$C$109:$BD$166,24,FALSE)</f>
        <v>0</v>
      </c>
      <c r="AD54" s="13">
        <f ca="1">VLOOKUP($B54,'[11]Analisys QBR By Machine Report'!$C$109:$BD$166,25,FALSE)</f>
        <v>0</v>
      </c>
      <c r="AE54" s="13">
        <f ca="1">VLOOKUP($B54,'[11]Analisys QBR By Machine Report'!$C$109:$BD$166,26,FALSE)</f>
        <v>0</v>
      </c>
      <c r="AF54" s="13">
        <f ca="1">VLOOKUP($B54,'[11]Analisys QBR By Machine Report'!$C$109:$BD$166,27,FALSE)</f>
        <v>0</v>
      </c>
      <c r="AG54" s="13">
        <f ca="1">VLOOKUP($B54,'[11]Analisys QBR By Machine Report'!$C$109:$BD$166,28,FALSE)</f>
        <v>0</v>
      </c>
      <c r="AH54" s="13">
        <f ca="1">VLOOKUP($B54,'[11]Analisys QBR By Machine Report'!$C$109:$BD$166,29,FALSE)</f>
        <v>0</v>
      </c>
      <c r="AI54" s="13">
        <f ca="1">VLOOKUP($B54,'[11]Analisys QBR By Machine Report'!$C$109:$BD$166,30,FALSE)</f>
        <v>615</v>
      </c>
      <c r="AJ54" s="13">
        <f ca="1">VLOOKUP($B54,'[11]Analisys QBR By Machine Report'!$C$109:$BD$166,31,FALSE)</f>
        <v>0</v>
      </c>
      <c r="AK54" s="13">
        <f ca="1">VLOOKUP($B54,'[11]Analisys QBR By Machine Report'!$C$109:$BD$166,32,FALSE)</f>
        <v>0</v>
      </c>
      <c r="AL54" s="13">
        <f ca="1">VLOOKUP($B54,'[11]Analisys QBR By Machine Report'!$C$109:$BD$166,33,FALSE)</f>
        <v>45</v>
      </c>
      <c r="AM54" s="13">
        <f ca="1">VLOOKUP($B54,'[11]Analisys QBR By Machine Report'!$C$109:$BD$166,34,FALSE)</f>
        <v>0</v>
      </c>
      <c r="AN54" s="13">
        <f ca="1">VLOOKUP($B54,'[11]Analisys QBR By Machine Report'!$C$109:$BD$166,35,FALSE)</f>
        <v>15</v>
      </c>
      <c r="AO54" s="13">
        <f ca="1">VLOOKUP($B54,'[11]Analisys QBR By Machine Report'!$C$109:$BD$166,36,FALSE)</f>
        <v>0</v>
      </c>
      <c r="AP54" s="13">
        <f ca="1">VLOOKUP($B54,'[11]Analisys QBR By Machine Report'!$C$109:$BD$166,37,FALSE)</f>
        <v>0</v>
      </c>
      <c r="AQ54" s="13">
        <f ca="1">VLOOKUP($B54,'[11]Analisys QBR By Machine Report'!$C$109:$BD$166,38,FALSE)</f>
        <v>60</v>
      </c>
      <c r="AR54" s="13">
        <f ca="1">VLOOKUP($B54,'[11]Analisys QBR By Machine Report'!$C$109:$BD$166,39,FALSE)</f>
        <v>495</v>
      </c>
      <c r="AS54" s="13">
        <f ca="1">VLOOKUP($B54,'[11]Analisys QBR By Machine Report'!$C$109:$BD$166,40,FALSE)</f>
        <v>0</v>
      </c>
      <c r="AT54" s="13">
        <f ca="1">VLOOKUP($B54,'[11]Analisys QBR By Machine Report'!$C$109:$BD$166,41,FALSE)</f>
        <v>0</v>
      </c>
      <c r="AU54" s="13">
        <f ca="1">VLOOKUP($B54,'[11]Analisys QBR By Machine Report'!$C$109:$BD$166,42,FALSE)</f>
        <v>0</v>
      </c>
      <c r="AV54" s="13">
        <f ca="1">VLOOKUP($B54,'[11]Analisys QBR By Machine Report'!$C$109:$BD$166,43,FALSE)</f>
        <v>0</v>
      </c>
      <c r="AW54" s="13">
        <f ca="1">VLOOKUP($B54,'[11]Analisys QBR By Machine Report'!$C$109:$BD$166,44,FALSE)</f>
        <v>0</v>
      </c>
      <c r="AX54" s="13">
        <f ca="1">VLOOKUP($B54,'[11]Analisys QBR By Machine Report'!$C$109:$BD$166,45,FALSE)</f>
        <v>0</v>
      </c>
      <c r="AY54" s="13">
        <f ca="1">VLOOKUP($B54,'[11]Analisys QBR By Machine Report'!$C$109:$BD$166,46,FALSE)</f>
        <v>0</v>
      </c>
      <c r="AZ54" s="13">
        <f ca="1">VLOOKUP($B54,'[11]Analisys QBR By Machine Report'!$C$109:$BD$166,47,FALSE)</f>
        <v>0</v>
      </c>
      <c r="BA54" s="13">
        <f ca="1">VLOOKUP($B54,'[11]Analisys QBR By Machine Report'!$C$109:$BD$166,48,FALSE)</f>
        <v>0</v>
      </c>
      <c r="BB54" s="13">
        <f ca="1">VLOOKUP($B54,'[11]Analisys QBR By Machine Report'!$C$109:$BD$166,49,FALSE)</f>
        <v>0</v>
      </c>
      <c r="BC54" s="13">
        <f ca="1">VLOOKUP($B54,'[11]Analisys QBR By Machine Report'!$C$109:$BD$166,50,FALSE)</f>
        <v>0</v>
      </c>
      <c r="BD54" s="13">
        <f ca="1">VLOOKUP($B54,'[11]Analisys QBR By Machine Report'!$C$109:$BD$166,51,FALSE)</f>
        <v>366</v>
      </c>
      <c r="BE54" s="13">
        <f ca="1">VLOOKUP($B54,'[11]Analisys QBR By Machine Report'!$C$109:$BD$166,52,FALSE)</f>
        <v>0</v>
      </c>
      <c r="BF54" s="13">
        <f ca="1">VLOOKUP($B54,'[11]Analisys QBR By Machine Report'!$C$109:$BD$166,53,FALSE)</f>
        <v>366</v>
      </c>
    </row>
    <row r="55" spans="1:58" x14ac:dyDescent="0.25">
      <c r="A55" s="12" t="s">
        <v>111</v>
      </c>
      <c r="B55" s="13">
        <f ca="1">VLOOKUP($B55,'[11]Analisys QBR By Machine Report'!$C$109:$BD$166,2,FALSE)</f>
        <v>30240</v>
      </c>
      <c r="C55" s="14">
        <f ca="1">VLOOKUP($B55,[11]Dasboard_QBR_Report!$B$109:$BL$166,3,FALSE)</f>
        <v>19530</v>
      </c>
      <c r="D55" s="13">
        <f ca="1">VLOOKUP($B55,'[11]Analisys QBR By Machine Report'!$C$109:$BD$166,3,FALSE)</f>
        <v>22770</v>
      </c>
      <c r="E55" s="14">
        <f ca="1">VLOOKUP($B55,[11]Dasboard_QBR_Report!$B$109:$BL$166,5,FALSE)</f>
        <v>12060</v>
      </c>
      <c r="F55" s="13">
        <f t="shared" ca="1" si="0"/>
        <v>7470</v>
      </c>
      <c r="G55" s="13">
        <f t="shared" ca="1" si="1"/>
        <v>1025</v>
      </c>
      <c r="H55" s="13">
        <f ca="1">VLOOKUP($B55,'[11]Analisys QBR By Machine Report'!$C$109:$BD$166,4,FALSE)</f>
        <v>1025</v>
      </c>
      <c r="I55" s="13">
        <f ca="1">VLOOKUP($B55,'[11]Analisys QBR By Machine Report'!$C$109:$BD$166,5,FALSE)</f>
        <v>60</v>
      </c>
      <c r="J55" s="13">
        <f ca="1">VLOOKUP($B55,'[11]Analisys QBR By Machine Report'!$C$109:$BD$166,6,FALSE)</f>
        <v>965</v>
      </c>
      <c r="K55" s="13">
        <f ca="1">VLOOKUP($B55,'[11]Analisys QBR By Machine Report'!$C$109:$BD$166,7,FALSE)</f>
        <v>0</v>
      </c>
      <c r="L55" s="13">
        <f ca="1">VLOOKUP($B55,'[11]Analisys QBR By Machine Report'!$C$109:$BD$166,8,FALSE)</f>
        <v>6445</v>
      </c>
      <c r="M55" s="13">
        <f ca="1">VLOOKUP($B55,'[11]Analisys QBR By Machine Report'!$C$109:$BD$166,9,FALSE)</f>
        <v>3388</v>
      </c>
      <c r="N55" s="13">
        <f ca="1">VLOOKUP($B55,[11]Dasboard_QBR_Report!$B$109:$BL$166,18,FALSE)</f>
        <v>3057</v>
      </c>
      <c r="O55" s="13">
        <f ca="1">VLOOKUP($B55,'[11]Analisys QBR By Machine Report'!$C$109:$BD$166,10,FALSE)</f>
        <v>246</v>
      </c>
      <c r="P55" s="13">
        <f ca="1">VLOOKUP($B55,'[11]Analisys QBR By Machine Report'!$C$109:$BD$166,11,FALSE)</f>
        <v>186</v>
      </c>
      <c r="Q55" s="13">
        <f ca="1">VLOOKUP($B55,'[11]Analisys QBR By Machine Report'!$C$109:$BD$166,12,FALSE)</f>
        <v>0</v>
      </c>
      <c r="R55" s="13">
        <f ca="1">VLOOKUP($B55,'[11]Analisys QBR By Machine Report'!$C$109:$BD$166,13,FALSE)</f>
        <v>60</v>
      </c>
      <c r="S55" s="13">
        <f ca="1">VLOOKUP($B55,'[11]Analisys QBR By Machine Report'!$C$109:$BD$166,14,FALSE)</f>
        <v>0</v>
      </c>
      <c r="T55" s="13">
        <f ca="1">VLOOKUP($B55,'[11]Analisys QBR By Machine Report'!$C$109:$BD$166,15,FALSE)</f>
        <v>0</v>
      </c>
      <c r="U55" s="13">
        <f ca="1">VLOOKUP($B55,'[11]Analisys QBR By Machine Report'!$C$109:$BD$166,16,FALSE)</f>
        <v>0</v>
      </c>
      <c r="V55" s="13">
        <f ca="1">VLOOKUP($B55,'[11]Analisys QBR By Machine Report'!$C$109:$BD$166,17,FALSE)</f>
        <v>0</v>
      </c>
      <c r="W55" s="13">
        <f ca="1">VLOOKUP($B55,'[11]Analisys QBR By Machine Report'!$C$109:$BD$166,18,FALSE)</f>
        <v>0</v>
      </c>
      <c r="X55" s="13">
        <f ca="1">VLOOKUP($B55,'[11]Analisys QBR By Machine Report'!$C$109:$BD$166,19,FALSE)</f>
        <v>0</v>
      </c>
      <c r="Y55" s="13">
        <f ca="1">VLOOKUP($B55,'[11]Analisys QBR By Machine Report'!$C$109:$BD$166,20,FALSE)</f>
        <v>0</v>
      </c>
      <c r="Z55" s="13">
        <f ca="1">VLOOKUP($B55,'[11]Analisys QBR By Machine Report'!$C$109:$BD$166,21,FALSE)</f>
        <v>1386</v>
      </c>
      <c r="AA55" s="13">
        <f ca="1">VLOOKUP($B55,'[11]Analisys QBR By Machine Report'!$C$109:$BD$166,22,FALSE)</f>
        <v>1114</v>
      </c>
      <c r="AB55" s="13">
        <f ca="1">VLOOKUP($B55,'[11]Analisys QBR By Machine Report'!$C$109:$BD$166,23,FALSE)</f>
        <v>272</v>
      </c>
      <c r="AC55" s="13">
        <f ca="1">VLOOKUP($B55,'[11]Analisys QBR By Machine Report'!$C$109:$BD$166,24,FALSE)</f>
        <v>0</v>
      </c>
      <c r="AD55" s="13">
        <f ca="1">VLOOKUP($B55,'[11]Analisys QBR By Machine Report'!$C$109:$BD$166,25,FALSE)</f>
        <v>0</v>
      </c>
      <c r="AE55" s="13">
        <f ca="1">VLOOKUP($B55,'[11]Analisys QBR By Machine Report'!$C$109:$BD$166,26,FALSE)</f>
        <v>0</v>
      </c>
      <c r="AF55" s="13">
        <f ca="1">VLOOKUP($B55,'[11]Analisys QBR By Machine Report'!$C$109:$BD$166,27,FALSE)</f>
        <v>0</v>
      </c>
      <c r="AG55" s="13">
        <f ca="1">VLOOKUP($B55,'[11]Analisys QBR By Machine Report'!$C$109:$BD$166,28,FALSE)</f>
        <v>0</v>
      </c>
      <c r="AH55" s="13">
        <f ca="1">VLOOKUP($B55,'[11]Analisys QBR By Machine Report'!$C$109:$BD$166,29,FALSE)</f>
        <v>0</v>
      </c>
      <c r="AI55" s="13">
        <f ca="1">VLOOKUP($B55,'[11]Analisys QBR By Machine Report'!$C$109:$BD$166,30,FALSE)</f>
        <v>1425</v>
      </c>
      <c r="AJ55" s="13">
        <f ca="1">VLOOKUP($B55,'[11]Analisys QBR By Machine Report'!$C$109:$BD$166,31,FALSE)</f>
        <v>0</v>
      </c>
      <c r="AK55" s="13">
        <f ca="1">VLOOKUP($B55,'[11]Analisys QBR By Machine Report'!$C$109:$BD$166,32,FALSE)</f>
        <v>0</v>
      </c>
      <c r="AL55" s="13">
        <f ca="1">VLOOKUP($B55,'[11]Analisys QBR By Machine Report'!$C$109:$BD$166,33,FALSE)</f>
        <v>0</v>
      </c>
      <c r="AM55" s="13">
        <f ca="1">VLOOKUP($B55,'[11]Analisys QBR By Machine Report'!$C$109:$BD$166,34,FALSE)</f>
        <v>0</v>
      </c>
      <c r="AN55" s="13">
        <f ca="1">VLOOKUP($B55,'[11]Analisys QBR By Machine Report'!$C$109:$BD$166,35,FALSE)</f>
        <v>0</v>
      </c>
      <c r="AO55" s="13">
        <f ca="1">VLOOKUP($B55,'[11]Analisys QBR By Machine Report'!$C$109:$BD$166,36,FALSE)</f>
        <v>0</v>
      </c>
      <c r="AP55" s="13">
        <f ca="1">VLOOKUP($B55,'[11]Analisys QBR By Machine Report'!$C$109:$BD$166,37,FALSE)</f>
        <v>0</v>
      </c>
      <c r="AQ55" s="13">
        <f ca="1">VLOOKUP($B55,'[11]Analisys QBR By Machine Report'!$C$109:$BD$166,38,FALSE)</f>
        <v>40</v>
      </c>
      <c r="AR55" s="13">
        <f ca="1">VLOOKUP($B55,'[11]Analisys QBR By Machine Report'!$C$109:$BD$166,39,FALSE)</f>
        <v>1385</v>
      </c>
      <c r="AS55" s="13">
        <f ca="1">VLOOKUP($B55,'[11]Analisys QBR By Machine Report'!$C$109:$BD$166,40,FALSE)</f>
        <v>0</v>
      </c>
      <c r="AT55" s="13">
        <f ca="1">VLOOKUP($B55,'[11]Analisys QBR By Machine Report'!$C$109:$BD$166,41,FALSE)</f>
        <v>0</v>
      </c>
      <c r="AU55" s="13">
        <f ca="1">VLOOKUP($B55,'[11]Analisys QBR By Machine Report'!$C$109:$BD$166,42,FALSE)</f>
        <v>0</v>
      </c>
      <c r="AV55" s="13">
        <f ca="1">VLOOKUP($B55,'[11]Analisys QBR By Machine Report'!$C$109:$BD$166,43,FALSE)</f>
        <v>0</v>
      </c>
      <c r="AW55" s="13">
        <f ca="1">VLOOKUP($B55,'[11]Analisys QBR By Machine Report'!$C$109:$BD$166,44,FALSE)</f>
        <v>0</v>
      </c>
      <c r="AX55" s="13">
        <f ca="1">VLOOKUP($B55,'[11]Analisys QBR By Machine Report'!$C$109:$BD$166,45,FALSE)</f>
        <v>0</v>
      </c>
      <c r="AY55" s="13">
        <f ca="1">VLOOKUP($B55,'[11]Analisys QBR By Machine Report'!$C$109:$BD$166,46,FALSE)</f>
        <v>0</v>
      </c>
      <c r="AZ55" s="13">
        <f ca="1">VLOOKUP($B55,'[11]Analisys QBR By Machine Report'!$C$109:$BD$166,47,FALSE)</f>
        <v>0</v>
      </c>
      <c r="BA55" s="13">
        <f ca="1">VLOOKUP($B55,'[11]Analisys QBR By Machine Report'!$C$109:$BD$166,48,FALSE)</f>
        <v>0</v>
      </c>
      <c r="BB55" s="13">
        <f ca="1">VLOOKUP($B55,'[11]Analisys QBR By Machine Report'!$C$109:$BD$166,49,FALSE)</f>
        <v>0</v>
      </c>
      <c r="BC55" s="13">
        <f ca="1">VLOOKUP($B55,'[11]Analisys QBR By Machine Report'!$C$109:$BD$166,50,FALSE)</f>
        <v>0</v>
      </c>
      <c r="BD55" s="13">
        <f ca="1">VLOOKUP($B55,'[11]Analisys QBR By Machine Report'!$C$109:$BD$166,51,FALSE)</f>
        <v>265</v>
      </c>
      <c r="BE55" s="13">
        <f ca="1">VLOOKUP($B55,'[11]Analisys QBR By Machine Report'!$C$109:$BD$166,52,FALSE)</f>
        <v>0</v>
      </c>
      <c r="BF55" s="13">
        <f ca="1">VLOOKUP($B55,'[11]Analisys QBR By Machine Report'!$C$109:$BD$166,53,FALSE)</f>
        <v>265</v>
      </c>
    </row>
    <row r="56" spans="1:58" x14ac:dyDescent="0.25">
      <c r="A56" s="9" t="s">
        <v>112</v>
      </c>
      <c r="B56" s="10">
        <f ca="1">VLOOKUP($B56,'[11]Analisys QBR By Machine Report'!$C$109:$BD$166,2,FALSE)</f>
        <v>60480</v>
      </c>
      <c r="C56" s="11">
        <f ca="1">VLOOKUP($B56,[11]Dasboard_QBR_Report!$B$109:$BL$166,3,FALSE)</f>
        <v>20160</v>
      </c>
      <c r="D56" s="10">
        <f ca="1">VLOOKUP($B56,'[11]Analisys QBR By Machine Report'!$C$109:$BD$166,3,FALSE)</f>
        <v>41190</v>
      </c>
      <c r="E56" s="11">
        <f ca="1">VLOOKUP($B56,[11]Dasboard_QBR_Report!$B$109:$BL$166,5,FALSE)</f>
        <v>870</v>
      </c>
      <c r="F56" s="10">
        <f t="shared" ca="1" si="0"/>
        <v>19290</v>
      </c>
      <c r="G56" s="10">
        <f t="shared" ca="1" si="1"/>
        <v>1605</v>
      </c>
      <c r="H56" s="10">
        <f ca="1">VLOOKUP($B56,'[11]Analisys QBR By Machine Report'!$C$109:$BD$166,4,FALSE)</f>
        <v>1605</v>
      </c>
      <c r="I56" s="10">
        <f ca="1">VLOOKUP($B56,'[11]Analisys QBR By Machine Report'!$C$109:$BD$166,5,FALSE)</f>
        <v>490</v>
      </c>
      <c r="J56" s="10">
        <f ca="1">VLOOKUP($B56,'[11]Analisys QBR By Machine Report'!$C$109:$BD$166,6,FALSE)</f>
        <v>1115</v>
      </c>
      <c r="K56" s="10">
        <f ca="1">VLOOKUP($B56,'[11]Analisys QBR By Machine Report'!$C$109:$BD$166,7,FALSE)</f>
        <v>0</v>
      </c>
      <c r="L56" s="10">
        <f ca="1">VLOOKUP($B56,'[11]Analisys QBR By Machine Report'!$C$109:$BD$166,8,FALSE)</f>
        <v>17685</v>
      </c>
      <c r="M56" s="10">
        <f ca="1">VLOOKUP($B56,'[11]Analisys QBR By Machine Report'!$C$109:$BD$166,9,FALSE)</f>
        <v>7407</v>
      </c>
      <c r="N56" s="10">
        <f ca="1">VLOOKUP($B56,[11]Dasboard_QBR_Report!$B$109:$BL$166,18,FALSE)</f>
        <v>10278</v>
      </c>
      <c r="O56" s="10">
        <f ca="1">VLOOKUP($B56,'[11]Analisys QBR By Machine Report'!$C$109:$BD$166,10,FALSE)</f>
        <v>4494</v>
      </c>
      <c r="P56" s="10">
        <f ca="1">VLOOKUP($B56,'[11]Analisys QBR By Machine Report'!$C$109:$BD$166,11,FALSE)</f>
        <v>1384</v>
      </c>
      <c r="Q56" s="10">
        <f ca="1">VLOOKUP($B56,'[11]Analisys QBR By Machine Report'!$C$109:$BD$166,12,FALSE)</f>
        <v>180</v>
      </c>
      <c r="R56" s="10">
        <f ca="1">VLOOKUP($B56,'[11]Analisys QBR By Machine Report'!$C$109:$BD$166,13,FALSE)</f>
        <v>1292</v>
      </c>
      <c r="S56" s="10">
        <f ca="1">VLOOKUP($B56,'[11]Analisys QBR By Machine Report'!$C$109:$BD$166,14,FALSE)</f>
        <v>1638</v>
      </c>
      <c r="T56" s="10">
        <f ca="1">VLOOKUP($B56,'[11]Analisys QBR By Machine Report'!$C$109:$BD$166,15,FALSE)</f>
        <v>60</v>
      </c>
      <c r="U56" s="10">
        <f ca="1">VLOOKUP($B56,'[11]Analisys QBR By Machine Report'!$C$109:$BD$166,16,FALSE)</f>
        <v>60</v>
      </c>
      <c r="V56" s="10">
        <f ca="1">VLOOKUP($B56,'[11]Analisys QBR By Machine Report'!$C$109:$BD$166,17,FALSE)</f>
        <v>0</v>
      </c>
      <c r="W56" s="10">
        <f ca="1">VLOOKUP($B56,'[11]Analisys QBR By Machine Report'!$C$109:$BD$166,18,FALSE)</f>
        <v>0</v>
      </c>
      <c r="X56" s="10">
        <f ca="1">VLOOKUP($B56,'[11]Analisys QBR By Machine Report'!$C$109:$BD$166,19,FALSE)</f>
        <v>0</v>
      </c>
      <c r="Y56" s="10">
        <f ca="1">VLOOKUP($B56,'[11]Analisys QBR By Machine Report'!$C$109:$BD$166,20,FALSE)</f>
        <v>0</v>
      </c>
      <c r="Z56" s="10">
        <f ca="1">VLOOKUP($B56,'[11]Analisys QBR By Machine Report'!$C$109:$BD$166,21,FALSE)</f>
        <v>1993</v>
      </c>
      <c r="AA56" s="10">
        <f ca="1">VLOOKUP($B56,'[11]Analisys QBR By Machine Report'!$C$109:$BD$166,22,FALSE)</f>
        <v>678</v>
      </c>
      <c r="AB56" s="10">
        <f ca="1">VLOOKUP($B56,'[11]Analisys QBR By Machine Report'!$C$109:$BD$166,23,FALSE)</f>
        <v>529</v>
      </c>
      <c r="AC56" s="10">
        <f ca="1">VLOOKUP($B56,'[11]Analisys QBR By Machine Report'!$C$109:$BD$166,24,FALSE)</f>
        <v>456</v>
      </c>
      <c r="AD56" s="10">
        <f ca="1">VLOOKUP($B56,'[11]Analisys QBR By Machine Report'!$C$109:$BD$166,25,FALSE)</f>
        <v>0</v>
      </c>
      <c r="AE56" s="10">
        <f ca="1">VLOOKUP($B56,'[11]Analisys QBR By Machine Report'!$C$109:$BD$166,26,FALSE)</f>
        <v>330</v>
      </c>
      <c r="AF56" s="10">
        <f ca="1">VLOOKUP($B56,'[11]Analisys QBR By Machine Report'!$C$109:$BD$166,27,FALSE)</f>
        <v>0</v>
      </c>
      <c r="AG56" s="10">
        <f ca="1">VLOOKUP($B56,'[11]Analisys QBR By Machine Report'!$C$109:$BD$166,28,FALSE)</f>
        <v>0</v>
      </c>
      <c r="AH56" s="10">
        <f ca="1">VLOOKUP($B56,'[11]Analisys QBR By Machine Report'!$C$109:$BD$166,29,FALSE)</f>
        <v>0</v>
      </c>
      <c r="AI56" s="10">
        <f ca="1">VLOOKUP($B56,'[11]Analisys QBR By Machine Report'!$C$109:$BD$166,30,FALSE)</f>
        <v>3731</v>
      </c>
      <c r="AJ56" s="10">
        <f ca="1">VLOOKUP($B56,'[11]Analisys QBR By Machine Report'!$C$109:$BD$166,31,FALSE)</f>
        <v>17</v>
      </c>
      <c r="AK56" s="10">
        <f ca="1">VLOOKUP($B56,'[11]Analisys QBR By Machine Report'!$C$109:$BD$166,32,FALSE)</f>
        <v>30</v>
      </c>
      <c r="AL56" s="10">
        <f ca="1">VLOOKUP($B56,'[11]Analisys QBR By Machine Report'!$C$109:$BD$166,33,FALSE)</f>
        <v>1140</v>
      </c>
      <c r="AM56" s="10">
        <f ca="1">VLOOKUP($B56,'[11]Analisys QBR By Machine Report'!$C$109:$BD$166,34,FALSE)</f>
        <v>17</v>
      </c>
      <c r="AN56" s="10">
        <f ca="1">VLOOKUP($B56,'[11]Analisys QBR By Machine Report'!$C$109:$BD$166,35,FALSE)</f>
        <v>690</v>
      </c>
      <c r="AO56" s="10">
        <f ca="1">VLOOKUP($B56,'[11]Analisys QBR By Machine Report'!$C$109:$BD$166,36,FALSE)</f>
        <v>0</v>
      </c>
      <c r="AP56" s="10">
        <f ca="1">VLOOKUP($B56,'[11]Analisys QBR By Machine Report'!$C$109:$BD$166,37,FALSE)</f>
        <v>55</v>
      </c>
      <c r="AQ56" s="10">
        <f ca="1">VLOOKUP($B56,'[11]Analisys QBR By Machine Report'!$C$109:$BD$166,38,FALSE)</f>
        <v>0</v>
      </c>
      <c r="AR56" s="10">
        <f ca="1">VLOOKUP($B56,'[11]Analisys QBR By Machine Report'!$C$109:$BD$166,39,FALSE)</f>
        <v>81</v>
      </c>
      <c r="AS56" s="10">
        <f ca="1">VLOOKUP($B56,'[11]Analisys QBR By Machine Report'!$C$109:$BD$166,40,FALSE)</f>
        <v>1014</v>
      </c>
      <c r="AT56" s="10">
        <f ca="1">VLOOKUP($B56,'[11]Analisys QBR By Machine Report'!$C$109:$BD$166,41,FALSE)</f>
        <v>0</v>
      </c>
      <c r="AU56" s="10">
        <f ca="1">VLOOKUP($B56,'[11]Analisys QBR By Machine Report'!$C$109:$BD$166,42,FALSE)</f>
        <v>0</v>
      </c>
      <c r="AV56" s="10">
        <f ca="1">VLOOKUP($B56,'[11]Analisys QBR By Machine Report'!$C$109:$BD$166,43,FALSE)</f>
        <v>0</v>
      </c>
      <c r="AW56" s="10">
        <f ca="1">VLOOKUP($B56,'[11]Analisys QBR By Machine Report'!$C$109:$BD$166,44,FALSE)</f>
        <v>0</v>
      </c>
      <c r="AX56" s="10">
        <f ca="1">VLOOKUP($B56,'[11]Analisys QBR By Machine Report'!$C$109:$BD$166,45,FALSE)</f>
        <v>0</v>
      </c>
      <c r="AY56" s="10">
        <f ca="1">VLOOKUP($B56,'[11]Analisys QBR By Machine Report'!$C$109:$BD$166,46,FALSE)</f>
        <v>0</v>
      </c>
      <c r="AZ56" s="10">
        <f ca="1">VLOOKUP($B56,'[11]Analisys QBR By Machine Report'!$C$109:$BD$166,47,FALSE)</f>
        <v>672</v>
      </c>
      <c r="BA56" s="10">
        <f ca="1">VLOOKUP($B56,'[11]Analisys QBR By Machine Report'!$C$109:$BD$166,48,FALSE)</f>
        <v>15</v>
      </c>
      <c r="BB56" s="10">
        <f ca="1">VLOOKUP($B56,'[11]Analisys QBR By Machine Report'!$C$109:$BD$166,49,FALSE)</f>
        <v>0</v>
      </c>
      <c r="BC56" s="10">
        <f ca="1">VLOOKUP($B56,'[11]Analisys QBR By Machine Report'!$C$109:$BD$166,50,FALSE)</f>
        <v>0</v>
      </c>
      <c r="BD56" s="10">
        <f ca="1">VLOOKUP($B56,'[11]Analisys QBR By Machine Report'!$C$109:$BD$166,51,FALSE)</f>
        <v>911770</v>
      </c>
      <c r="BE56" s="10">
        <f ca="1">VLOOKUP($B56,'[11]Analisys QBR By Machine Report'!$C$109:$BD$166,52,FALSE)</f>
        <v>560</v>
      </c>
      <c r="BF56" s="10">
        <f ca="1">VLOOKUP($B56,'[11]Analisys QBR By Machine Report'!$C$109:$BD$166,53,FALSE)</f>
        <v>911210</v>
      </c>
    </row>
    <row r="57" spans="1:58" x14ac:dyDescent="0.25">
      <c r="A57" s="15" t="s">
        <v>113</v>
      </c>
      <c r="B57" s="13">
        <f ca="1">VLOOKUP($B57,'[11]Analisys QBR By Machine Report'!$C$109:$BD$166,2,FALSE)</f>
        <v>30240</v>
      </c>
      <c r="C57" s="14">
        <f ca="1">VLOOKUP($B57,[11]Dasboard_QBR_Report!$B$109:$BL$166,3,FALSE)</f>
        <v>10080</v>
      </c>
      <c r="D57" s="13">
        <f ca="1">VLOOKUP($B57,'[11]Analisys QBR By Machine Report'!$C$109:$BD$166,3,FALSE)</f>
        <v>17910</v>
      </c>
      <c r="E57" s="14">
        <f ca="1">VLOOKUP($B57,[11]Dasboard_QBR_Report!$B$109:$BL$166,5,FALSE)</f>
        <v>-2250</v>
      </c>
      <c r="F57" s="13">
        <f t="shared" ca="1" si="0"/>
        <v>12330</v>
      </c>
      <c r="G57" s="13">
        <f t="shared" ca="1" si="1"/>
        <v>815</v>
      </c>
      <c r="H57" s="13">
        <f ca="1">VLOOKUP($B57,'[11]Analisys QBR By Machine Report'!$C$109:$BD$166,4,FALSE)</f>
        <v>815</v>
      </c>
      <c r="I57" s="13">
        <f ca="1">VLOOKUP($B57,'[11]Analisys QBR By Machine Report'!$C$109:$BD$166,5,FALSE)</f>
        <v>295</v>
      </c>
      <c r="J57" s="13">
        <f ca="1">VLOOKUP($B57,'[11]Analisys QBR By Machine Report'!$C$109:$BD$166,6,FALSE)</f>
        <v>520</v>
      </c>
      <c r="K57" s="13">
        <f ca="1">VLOOKUP($B57,'[11]Analisys QBR By Machine Report'!$C$109:$BD$166,7,FALSE)</f>
        <v>0</v>
      </c>
      <c r="L57" s="13">
        <f ca="1">VLOOKUP($B57,'[11]Analisys QBR By Machine Report'!$C$109:$BD$166,8,FALSE)</f>
        <v>11515</v>
      </c>
      <c r="M57" s="13">
        <f ca="1">VLOOKUP($B57,'[11]Analisys QBR By Machine Report'!$C$109:$BD$166,9,FALSE)</f>
        <v>3932</v>
      </c>
      <c r="N57" s="13">
        <f ca="1">VLOOKUP($B57,[11]Dasboard_QBR_Report!$B$109:$BL$166,18,FALSE)</f>
        <v>7583</v>
      </c>
      <c r="O57" s="13">
        <f ca="1">VLOOKUP($B57,'[11]Analisys QBR By Machine Report'!$C$109:$BD$166,10,FALSE)</f>
        <v>3801</v>
      </c>
      <c r="P57" s="13">
        <f ca="1">VLOOKUP($B57,'[11]Analisys QBR By Machine Report'!$C$109:$BD$166,11,FALSE)</f>
        <v>826</v>
      </c>
      <c r="Q57" s="13">
        <f ca="1">VLOOKUP($B57,'[11]Analisys QBR By Machine Report'!$C$109:$BD$166,12,FALSE)</f>
        <v>180</v>
      </c>
      <c r="R57" s="13">
        <f ca="1">VLOOKUP($B57,'[11]Analisys QBR By Machine Report'!$C$109:$BD$166,13,FALSE)</f>
        <v>1157</v>
      </c>
      <c r="S57" s="13">
        <f ca="1">VLOOKUP($B57,'[11]Analisys QBR By Machine Report'!$C$109:$BD$166,14,FALSE)</f>
        <v>1638</v>
      </c>
      <c r="T57" s="13">
        <f ca="1">VLOOKUP($B57,'[11]Analisys QBR By Machine Report'!$C$109:$BD$166,15,FALSE)</f>
        <v>60</v>
      </c>
      <c r="U57" s="13">
        <f ca="1">VLOOKUP($B57,'[11]Analisys QBR By Machine Report'!$C$109:$BD$166,16,FALSE)</f>
        <v>60</v>
      </c>
      <c r="V57" s="13">
        <f ca="1">VLOOKUP($B57,'[11]Analisys QBR By Machine Report'!$C$109:$BD$166,17,FALSE)</f>
        <v>0</v>
      </c>
      <c r="W57" s="13">
        <f ca="1">VLOOKUP($B57,'[11]Analisys QBR By Machine Report'!$C$109:$BD$166,18,FALSE)</f>
        <v>0</v>
      </c>
      <c r="X57" s="13">
        <f ca="1">VLOOKUP($B57,'[11]Analisys QBR By Machine Report'!$C$109:$BD$166,19,FALSE)</f>
        <v>0</v>
      </c>
      <c r="Y57" s="13">
        <f ca="1">VLOOKUP($B57,'[11]Analisys QBR By Machine Report'!$C$109:$BD$166,20,FALSE)</f>
        <v>0</v>
      </c>
      <c r="Z57" s="13">
        <f ca="1">VLOOKUP($B57,'[11]Analisys QBR By Machine Report'!$C$109:$BD$166,21,FALSE)</f>
        <v>1246</v>
      </c>
      <c r="AA57" s="13">
        <f ca="1">VLOOKUP($B57,'[11]Analisys QBR By Machine Report'!$C$109:$BD$166,22,FALSE)</f>
        <v>553</v>
      </c>
      <c r="AB57" s="13">
        <f ca="1">VLOOKUP($B57,'[11]Analisys QBR By Machine Report'!$C$109:$BD$166,23,FALSE)</f>
        <v>384</v>
      </c>
      <c r="AC57" s="13">
        <f ca="1">VLOOKUP($B57,'[11]Analisys QBR By Machine Report'!$C$109:$BD$166,24,FALSE)</f>
        <v>309</v>
      </c>
      <c r="AD57" s="13">
        <f ca="1">VLOOKUP($B57,'[11]Analisys QBR By Machine Report'!$C$109:$BD$166,25,FALSE)</f>
        <v>0</v>
      </c>
      <c r="AE57" s="13">
        <f ca="1">VLOOKUP($B57,'[11]Analisys QBR By Machine Report'!$C$109:$BD$166,26,FALSE)</f>
        <v>0</v>
      </c>
      <c r="AF57" s="13">
        <f ca="1">VLOOKUP($B57,'[11]Analisys QBR By Machine Report'!$C$109:$BD$166,27,FALSE)</f>
        <v>0</v>
      </c>
      <c r="AG57" s="13">
        <f ca="1">VLOOKUP($B57,'[11]Analisys QBR By Machine Report'!$C$109:$BD$166,28,FALSE)</f>
        <v>0</v>
      </c>
      <c r="AH57" s="13">
        <f ca="1">VLOOKUP($B57,'[11]Analisys QBR By Machine Report'!$C$109:$BD$166,29,FALSE)</f>
        <v>0</v>
      </c>
      <c r="AI57" s="13">
        <f ca="1">VLOOKUP($B57,'[11]Analisys QBR By Machine Report'!$C$109:$BD$166,30,FALSE)</f>
        <v>2476</v>
      </c>
      <c r="AJ57" s="13">
        <f ca="1">VLOOKUP($B57,'[11]Analisys QBR By Machine Report'!$C$109:$BD$166,31,FALSE)</f>
        <v>17</v>
      </c>
      <c r="AK57" s="13">
        <f ca="1">VLOOKUP($B57,'[11]Analisys QBR By Machine Report'!$C$109:$BD$166,32,FALSE)</f>
        <v>0</v>
      </c>
      <c r="AL57" s="13">
        <f ca="1">VLOOKUP($B57,'[11]Analisys QBR By Machine Report'!$C$109:$BD$166,33,FALSE)</f>
        <v>750</v>
      </c>
      <c r="AM57" s="13">
        <f ca="1">VLOOKUP($B57,'[11]Analisys QBR By Machine Report'!$C$109:$BD$166,34,FALSE)</f>
        <v>12</v>
      </c>
      <c r="AN57" s="13">
        <f ca="1">VLOOKUP($B57,'[11]Analisys QBR By Machine Report'!$C$109:$BD$166,35,FALSE)</f>
        <v>465</v>
      </c>
      <c r="AO57" s="13">
        <f ca="1">VLOOKUP($B57,'[11]Analisys QBR By Machine Report'!$C$109:$BD$166,36,FALSE)</f>
        <v>0</v>
      </c>
      <c r="AP57" s="13">
        <f ca="1">VLOOKUP($B57,'[11]Analisys QBR By Machine Report'!$C$109:$BD$166,37,FALSE)</f>
        <v>0</v>
      </c>
      <c r="AQ57" s="13">
        <f ca="1">VLOOKUP($B57,'[11]Analisys QBR By Machine Report'!$C$109:$BD$166,38,FALSE)</f>
        <v>0</v>
      </c>
      <c r="AR57" s="13">
        <f ca="1">VLOOKUP($B57,'[11]Analisys QBR By Machine Report'!$C$109:$BD$166,39,FALSE)</f>
        <v>81</v>
      </c>
      <c r="AS57" s="13">
        <f ca="1">VLOOKUP($B57,'[11]Analisys QBR By Machine Report'!$C$109:$BD$166,40,FALSE)</f>
        <v>835</v>
      </c>
      <c r="AT57" s="13">
        <f ca="1">VLOOKUP($B57,'[11]Analisys QBR By Machine Report'!$C$109:$BD$166,41,FALSE)</f>
        <v>0</v>
      </c>
      <c r="AU57" s="13">
        <f ca="1">VLOOKUP($B57,'[11]Analisys QBR By Machine Report'!$C$109:$BD$166,42,FALSE)</f>
        <v>0</v>
      </c>
      <c r="AV57" s="13">
        <f ca="1">VLOOKUP($B57,'[11]Analisys QBR By Machine Report'!$C$109:$BD$166,43,FALSE)</f>
        <v>0</v>
      </c>
      <c r="AW57" s="13">
        <f ca="1">VLOOKUP($B57,'[11]Analisys QBR By Machine Report'!$C$109:$BD$166,44,FALSE)</f>
        <v>0</v>
      </c>
      <c r="AX57" s="13">
        <f ca="1">VLOOKUP($B57,'[11]Analisys QBR By Machine Report'!$C$109:$BD$166,45,FALSE)</f>
        <v>0</v>
      </c>
      <c r="AY57" s="13">
        <f ca="1">VLOOKUP($B57,'[11]Analisys QBR By Machine Report'!$C$109:$BD$166,46,FALSE)</f>
        <v>0</v>
      </c>
      <c r="AZ57" s="13">
        <f ca="1">VLOOKUP($B57,'[11]Analisys QBR By Machine Report'!$C$109:$BD$166,47,FALSE)</f>
        <v>301</v>
      </c>
      <c r="BA57" s="13">
        <f ca="1">VLOOKUP($B57,'[11]Analisys QBR By Machine Report'!$C$109:$BD$166,48,FALSE)</f>
        <v>15</v>
      </c>
      <c r="BB57" s="13">
        <f ca="1">VLOOKUP($B57,'[11]Analisys QBR By Machine Report'!$C$109:$BD$166,49,FALSE)</f>
        <v>0</v>
      </c>
      <c r="BC57" s="13">
        <f ca="1">VLOOKUP($B57,'[11]Analisys QBR By Machine Report'!$C$109:$BD$166,50,FALSE)</f>
        <v>0</v>
      </c>
      <c r="BD57" s="13">
        <f ca="1">VLOOKUP($B57,'[11]Analisys QBR By Machine Report'!$C$109:$BD$166,51,FALSE)</f>
        <v>810603</v>
      </c>
      <c r="BE57" s="13">
        <f ca="1">VLOOKUP($B57,'[11]Analisys QBR By Machine Report'!$C$109:$BD$166,52,FALSE)</f>
        <v>192</v>
      </c>
      <c r="BF57" s="13">
        <f ca="1">VLOOKUP($B57,'[11]Analisys QBR By Machine Report'!$C$109:$BD$166,53,FALSE)</f>
        <v>810411</v>
      </c>
    </row>
    <row r="58" spans="1:58" x14ac:dyDescent="0.25">
      <c r="A58" s="15" t="s">
        <v>114</v>
      </c>
      <c r="B58" s="13">
        <f ca="1">VLOOKUP($B58,'[11]Analisys QBR By Machine Report'!$C$109:$BD$166,2,FALSE)</f>
        <v>30240</v>
      </c>
      <c r="C58" s="14">
        <f ca="1">VLOOKUP($B58,[11]Dasboard_QBR_Report!$B$109:$BL$166,3,FALSE)</f>
        <v>10080</v>
      </c>
      <c r="D58" s="13">
        <f ca="1">VLOOKUP($B58,'[11]Analisys QBR By Machine Report'!$C$109:$BD$166,3,FALSE)</f>
        <v>23280</v>
      </c>
      <c r="E58" s="14">
        <f ca="1">VLOOKUP($B58,[11]Dasboard_QBR_Report!$B$109:$BL$166,5,FALSE)</f>
        <v>3120</v>
      </c>
      <c r="F58" s="13">
        <f t="shared" ca="1" si="0"/>
        <v>6960</v>
      </c>
      <c r="G58" s="13">
        <f t="shared" ca="1" si="1"/>
        <v>790</v>
      </c>
      <c r="H58" s="13">
        <f ca="1">VLOOKUP($B58,'[11]Analisys QBR By Machine Report'!$C$109:$BD$166,4,FALSE)</f>
        <v>790</v>
      </c>
      <c r="I58" s="13">
        <f ca="1">VLOOKUP($B58,'[11]Analisys QBR By Machine Report'!$C$109:$BD$166,5,FALSE)</f>
        <v>195</v>
      </c>
      <c r="J58" s="13">
        <f ca="1">VLOOKUP($B58,'[11]Analisys QBR By Machine Report'!$C$109:$BD$166,6,FALSE)</f>
        <v>595</v>
      </c>
      <c r="K58" s="13">
        <f ca="1">VLOOKUP($B58,'[11]Analisys QBR By Machine Report'!$C$109:$BD$166,7,FALSE)</f>
        <v>0</v>
      </c>
      <c r="L58" s="13">
        <f ca="1">VLOOKUP($B58,'[11]Analisys QBR By Machine Report'!$C$109:$BD$166,8,FALSE)</f>
        <v>6170</v>
      </c>
      <c r="M58" s="13">
        <f ca="1">VLOOKUP($B58,'[11]Analisys QBR By Machine Report'!$C$109:$BD$166,9,FALSE)</f>
        <v>3475</v>
      </c>
      <c r="N58" s="13">
        <f ca="1">VLOOKUP($B58,[11]Dasboard_QBR_Report!$B$109:$BL$166,18,FALSE)</f>
        <v>2695</v>
      </c>
      <c r="O58" s="13">
        <f ca="1">VLOOKUP($B58,'[11]Analisys QBR By Machine Report'!$C$109:$BD$166,10,FALSE)</f>
        <v>693</v>
      </c>
      <c r="P58" s="13">
        <f ca="1">VLOOKUP($B58,'[11]Analisys QBR By Machine Report'!$C$109:$BD$166,11,FALSE)</f>
        <v>558</v>
      </c>
      <c r="Q58" s="13">
        <f ca="1">VLOOKUP($B58,'[11]Analisys QBR By Machine Report'!$C$109:$BD$166,12,FALSE)</f>
        <v>0</v>
      </c>
      <c r="R58" s="13">
        <f ca="1">VLOOKUP($B58,'[11]Analisys QBR By Machine Report'!$C$109:$BD$166,13,FALSE)</f>
        <v>135</v>
      </c>
      <c r="S58" s="13">
        <f ca="1">VLOOKUP($B58,'[11]Analisys QBR By Machine Report'!$C$109:$BD$166,14,FALSE)</f>
        <v>0</v>
      </c>
      <c r="T58" s="13">
        <f ca="1">VLOOKUP($B58,'[11]Analisys QBR By Machine Report'!$C$109:$BD$166,15,FALSE)</f>
        <v>0</v>
      </c>
      <c r="U58" s="13">
        <f ca="1">VLOOKUP($B58,'[11]Analisys QBR By Machine Report'!$C$109:$BD$166,16,FALSE)</f>
        <v>0</v>
      </c>
      <c r="V58" s="13">
        <f ca="1">VLOOKUP($B58,'[11]Analisys QBR By Machine Report'!$C$109:$BD$166,17,FALSE)</f>
        <v>0</v>
      </c>
      <c r="W58" s="13">
        <f ca="1">VLOOKUP($B58,'[11]Analisys QBR By Machine Report'!$C$109:$BD$166,18,FALSE)</f>
        <v>0</v>
      </c>
      <c r="X58" s="13">
        <f ca="1">VLOOKUP($B58,'[11]Analisys QBR By Machine Report'!$C$109:$BD$166,19,FALSE)</f>
        <v>0</v>
      </c>
      <c r="Y58" s="13">
        <f ca="1">VLOOKUP($B58,'[11]Analisys QBR By Machine Report'!$C$109:$BD$166,20,FALSE)</f>
        <v>0</v>
      </c>
      <c r="Z58" s="13">
        <f ca="1">VLOOKUP($B58,'[11]Analisys QBR By Machine Report'!$C$109:$BD$166,21,FALSE)</f>
        <v>747</v>
      </c>
      <c r="AA58" s="13">
        <f ca="1">VLOOKUP($B58,'[11]Analisys QBR By Machine Report'!$C$109:$BD$166,22,FALSE)</f>
        <v>125</v>
      </c>
      <c r="AB58" s="13">
        <f ca="1">VLOOKUP($B58,'[11]Analisys QBR By Machine Report'!$C$109:$BD$166,23,FALSE)</f>
        <v>145</v>
      </c>
      <c r="AC58" s="13">
        <f ca="1">VLOOKUP($B58,'[11]Analisys QBR By Machine Report'!$C$109:$BD$166,24,FALSE)</f>
        <v>147</v>
      </c>
      <c r="AD58" s="13">
        <f ca="1">VLOOKUP($B58,'[11]Analisys QBR By Machine Report'!$C$109:$BD$166,25,FALSE)</f>
        <v>0</v>
      </c>
      <c r="AE58" s="13">
        <f ca="1">VLOOKUP($B58,'[11]Analisys QBR By Machine Report'!$C$109:$BD$166,26,FALSE)</f>
        <v>330</v>
      </c>
      <c r="AF58" s="13">
        <f ca="1">VLOOKUP($B58,'[11]Analisys QBR By Machine Report'!$C$109:$BD$166,27,FALSE)</f>
        <v>0</v>
      </c>
      <c r="AG58" s="13">
        <f ca="1">VLOOKUP($B58,'[11]Analisys QBR By Machine Report'!$C$109:$BD$166,28,FALSE)</f>
        <v>0</v>
      </c>
      <c r="AH58" s="13">
        <f ca="1">VLOOKUP($B58,'[11]Analisys QBR By Machine Report'!$C$109:$BD$166,29,FALSE)</f>
        <v>0</v>
      </c>
      <c r="AI58" s="13">
        <f ca="1">VLOOKUP($B58,'[11]Analisys QBR By Machine Report'!$C$109:$BD$166,30,FALSE)</f>
        <v>1255</v>
      </c>
      <c r="AJ58" s="13">
        <f ca="1">VLOOKUP($B58,'[11]Analisys QBR By Machine Report'!$C$109:$BD$166,31,FALSE)</f>
        <v>0</v>
      </c>
      <c r="AK58" s="13">
        <f ca="1">VLOOKUP($B58,'[11]Analisys QBR By Machine Report'!$C$109:$BD$166,32,FALSE)</f>
        <v>30</v>
      </c>
      <c r="AL58" s="13">
        <f ca="1">VLOOKUP($B58,'[11]Analisys QBR By Machine Report'!$C$109:$BD$166,33,FALSE)</f>
        <v>390</v>
      </c>
      <c r="AM58" s="13">
        <f ca="1">VLOOKUP($B58,'[11]Analisys QBR By Machine Report'!$C$109:$BD$166,34,FALSE)</f>
        <v>5</v>
      </c>
      <c r="AN58" s="13">
        <f ca="1">VLOOKUP($B58,'[11]Analisys QBR By Machine Report'!$C$109:$BD$166,35,FALSE)</f>
        <v>225</v>
      </c>
      <c r="AO58" s="13">
        <f ca="1">VLOOKUP($B58,'[11]Analisys QBR By Machine Report'!$C$109:$BD$166,36,FALSE)</f>
        <v>0</v>
      </c>
      <c r="AP58" s="13">
        <f ca="1">VLOOKUP($B58,'[11]Analisys QBR By Machine Report'!$C$109:$BD$166,37,FALSE)</f>
        <v>55</v>
      </c>
      <c r="AQ58" s="13">
        <f ca="1">VLOOKUP($B58,'[11]Analisys QBR By Machine Report'!$C$109:$BD$166,38,FALSE)</f>
        <v>0</v>
      </c>
      <c r="AR58" s="13">
        <f ca="1">VLOOKUP($B58,'[11]Analisys QBR By Machine Report'!$C$109:$BD$166,39,FALSE)</f>
        <v>0</v>
      </c>
      <c r="AS58" s="13">
        <f ca="1">VLOOKUP($B58,'[11]Analisys QBR By Machine Report'!$C$109:$BD$166,40,FALSE)</f>
        <v>179</v>
      </c>
      <c r="AT58" s="13">
        <f ca="1">VLOOKUP($B58,'[11]Analisys QBR By Machine Report'!$C$109:$BD$166,41,FALSE)</f>
        <v>0</v>
      </c>
      <c r="AU58" s="13">
        <f ca="1">VLOOKUP($B58,'[11]Analisys QBR By Machine Report'!$C$109:$BD$166,42,FALSE)</f>
        <v>0</v>
      </c>
      <c r="AV58" s="13">
        <f ca="1">VLOOKUP($B58,'[11]Analisys QBR By Machine Report'!$C$109:$BD$166,43,FALSE)</f>
        <v>0</v>
      </c>
      <c r="AW58" s="13">
        <f ca="1">VLOOKUP($B58,'[11]Analisys QBR By Machine Report'!$C$109:$BD$166,44,FALSE)</f>
        <v>0</v>
      </c>
      <c r="AX58" s="13">
        <f ca="1">VLOOKUP($B58,'[11]Analisys QBR By Machine Report'!$C$109:$BD$166,45,FALSE)</f>
        <v>0</v>
      </c>
      <c r="AY58" s="13">
        <f ca="1">VLOOKUP($B58,'[11]Analisys QBR By Machine Report'!$C$109:$BD$166,46,FALSE)</f>
        <v>0</v>
      </c>
      <c r="AZ58" s="13">
        <f ca="1">VLOOKUP($B58,'[11]Analisys QBR By Machine Report'!$C$109:$BD$166,47,FALSE)</f>
        <v>371</v>
      </c>
      <c r="BA58" s="13">
        <f ca="1">VLOOKUP($B58,'[11]Analisys QBR By Machine Report'!$C$109:$BD$166,48,FALSE)</f>
        <v>0</v>
      </c>
      <c r="BB58" s="13">
        <f ca="1">VLOOKUP($B58,'[11]Analisys QBR By Machine Report'!$C$109:$BD$166,49,FALSE)</f>
        <v>0</v>
      </c>
      <c r="BC58" s="13">
        <f ca="1">VLOOKUP($B58,'[11]Analisys QBR By Machine Report'!$C$109:$BD$166,50,FALSE)</f>
        <v>0</v>
      </c>
      <c r="BD58" s="13">
        <f ca="1">VLOOKUP($B58,'[11]Analisys QBR By Machine Report'!$C$109:$BD$166,51,FALSE)</f>
        <v>101167</v>
      </c>
      <c r="BE58" s="13">
        <f ca="1">VLOOKUP($B58,'[11]Analisys QBR By Machine Report'!$C$109:$BD$166,52,FALSE)</f>
        <v>368</v>
      </c>
      <c r="BF58" s="13">
        <f ca="1">VLOOKUP($B58,'[11]Analisys QBR By Machine Report'!$C$109:$BD$166,53,FALSE)</f>
        <v>100799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23C92-D1FA-46F1-B31D-56333A4D1C6A}">
  <dimension ref="A1:BF58"/>
  <sheetViews>
    <sheetView tabSelected="1" workbookViewId="0">
      <selection sqref="A1:BF58"/>
    </sheetView>
  </sheetViews>
  <sheetFormatPr defaultRowHeight="15" x14ac:dyDescent="0.25"/>
  <sheetData>
    <row r="1" spans="1:58" ht="60" x14ac:dyDescent="0.25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8" t="s">
        <v>55</v>
      </c>
      <c r="BE1" s="8" t="s">
        <v>56</v>
      </c>
      <c r="BF1" s="8" t="s">
        <v>57</v>
      </c>
    </row>
    <row r="2" spans="1:58" x14ac:dyDescent="0.25">
      <c r="A2" s="9" t="s">
        <v>58</v>
      </c>
      <c r="B2" s="10">
        <f ca="1">VLOOKUP($B2,'[12]Analisys QBR By Machine Report'!$C$109:$BD$166,2,FALSE)</f>
        <v>77760</v>
      </c>
      <c r="C2" s="11">
        <f ca="1">VLOOKUP($B2,[12]Dasboard_QBR_Report!$B$109:$BL$166,3,FALSE)</f>
        <v>50220</v>
      </c>
      <c r="D2" s="10">
        <f ca="1">VLOOKUP($B2,'[12]Analisys QBR By Machine Report'!$C$109:$BD$166,3,FALSE)</f>
        <v>54360</v>
      </c>
      <c r="E2" s="11">
        <f ca="1">VLOOKUP($B2,[12]Dasboard_QBR_Report!$B$109:$BL$166,5,FALSE)</f>
        <v>26820</v>
      </c>
      <c r="F2" s="10">
        <f t="shared" ref="F2:F58" ca="1" si="0">SUM(G2,L2)</f>
        <v>23400</v>
      </c>
      <c r="G2" s="10">
        <f t="shared" ref="G2:G58" ca="1" si="1">SUM($I2,$L2)</f>
        <v>4087</v>
      </c>
      <c r="H2" s="10">
        <f ca="1">VLOOKUP($B2,'[12]Analisys QBR By Machine Report'!$C$109:$BD$166,4,FALSE)</f>
        <v>4087</v>
      </c>
      <c r="I2" s="10">
        <f ca="1">VLOOKUP($B2,'[12]Analisys QBR By Machine Report'!$C$109:$BD$166,5,FALSE)</f>
        <v>1272</v>
      </c>
      <c r="J2" s="10">
        <f ca="1">VLOOKUP($B2,'[12]Analisys QBR By Machine Report'!$C$109:$BD$166,6,FALSE)</f>
        <v>2815</v>
      </c>
      <c r="K2" s="10">
        <f ca="1">VLOOKUP($B2,'[12]Analisys QBR By Machine Report'!$C$109:$BD$166,7,FALSE)</f>
        <v>0</v>
      </c>
      <c r="L2" s="10">
        <f ca="1">VLOOKUP($B2,'[12]Analisys QBR By Machine Report'!$C$109:$BD$166,8,FALSE)</f>
        <v>19313</v>
      </c>
      <c r="M2" s="10">
        <f ca="1">VLOOKUP($B2,'[12]Analisys QBR By Machine Report'!$C$109:$BD$166,9,FALSE)</f>
        <v>2821</v>
      </c>
      <c r="N2" s="10">
        <f ca="1">VLOOKUP($B2,[12]Dasboard_QBR_Report!$B$109:$BL$166,18,FALSE)</f>
        <v>16492</v>
      </c>
      <c r="O2" s="10">
        <f ca="1">VLOOKUP($B2,'[12]Analisys QBR By Machine Report'!$C$109:$BD$166,10,FALSE)</f>
        <v>610</v>
      </c>
      <c r="P2" s="10">
        <f ca="1">VLOOKUP($B2,'[12]Analisys QBR By Machine Report'!$C$109:$BD$166,11,FALSE)</f>
        <v>605</v>
      </c>
      <c r="Q2" s="10">
        <f ca="1">VLOOKUP($B2,'[12]Analisys QBR By Machine Report'!$C$109:$BD$166,12,FALSE)</f>
        <v>0</v>
      </c>
      <c r="R2" s="10">
        <f ca="1">VLOOKUP($B2,'[12]Analisys QBR By Machine Report'!$C$109:$BD$166,13,FALSE)</f>
        <v>5</v>
      </c>
      <c r="S2" s="10">
        <f ca="1">VLOOKUP($B2,'[12]Analisys QBR By Machine Report'!$C$109:$BD$166,14,FALSE)</f>
        <v>0</v>
      </c>
      <c r="T2" s="10">
        <f ca="1">VLOOKUP($B2,'[12]Analisys QBR By Machine Report'!$C$109:$BD$166,15,FALSE)</f>
        <v>248</v>
      </c>
      <c r="U2" s="10">
        <f ca="1">VLOOKUP($B2,'[12]Analisys QBR By Machine Report'!$C$109:$BD$166,16,FALSE)</f>
        <v>248</v>
      </c>
      <c r="V2" s="10">
        <f ca="1">VLOOKUP($B2,'[12]Analisys QBR By Machine Report'!$C$109:$BD$166,17,FALSE)</f>
        <v>0</v>
      </c>
      <c r="W2" s="10">
        <f ca="1">VLOOKUP($B2,'[12]Analisys QBR By Machine Report'!$C$109:$BD$166,18,FALSE)</f>
        <v>0</v>
      </c>
      <c r="X2" s="10">
        <f ca="1">VLOOKUP($B2,'[12]Analisys QBR By Machine Report'!$C$109:$BD$166,19,FALSE)</f>
        <v>0</v>
      </c>
      <c r="Y2" s="10">
        <f ca="1">VLOOKUP($B2,'[12]Analisys QBR By Machine Report'!$C$109:$BD$166,20,FALSE)</f>
        <v>0</v>
      </c>
      <c r="Z2" s="10">
        <f ca="1">VLOOKUP($B2,'[12]Analisys QBR By Machine Report'!$C$109:$BD$166,21,FALSE)</f>
        <v>8104</v>
      </c>
      <c r="AA2" s="10">
        <f ca="1">VLOOKUP($B2,'[12]Analisys QBR By Machine Report'!$C$109:$BD$166,22,FALSE)</f>
        <v>4056</v>
      </c>
      <c r="AB2" s="10">
        <f ca="1">VLOOKUP($B2,'[12]Analisys QBR By Machine Report'!$C$109:$BD$166,23,FALSE)</f>
        <v>3481</v>
      </c>
      <c r="AC2" s="10">
        <f ca="1">VLOOKUP($B2,'[12]Analisys QBR By Machine Report'!$C$109:$BD$166,24,FALSE)</f>
        <v>0</v>
      </c>
      <c r="AD2" s="10">
        <f ca="1">VLOOKUP($B2,'[12]Analisys QBR By Machine Report'!$C$109:$BD$166,25,FALSE)</f>
        <v>0</v>
      </c>
      <c r="AE2" s="10">
        <f ca="1">VLOOKUP($B2,'[12]Analisys QBR By Machine Report'!$C$109:$BD$166,26,FALSE)</f>
        <v>567</v>
      </c>
      <c r="AF2" s="10">
        <f ca="1">VLOOKUP($B2,'[12]Analisys QBR By Machine Report'!$C$109:$BD$166,27,FALSE)</f>
        <v>270</v>
      </c>
      <c r="AG2" s="10">
        <f ca="1">VLOOKUP($B2,'[12]Analisys QBR By Machine Report'!$C$109:$BD$166,28,FALSE)</f>
        <v>0</v>
      </c>
      <c r="AH2" s="10">
        <f ca="1">VLOOKUP($B2,'[12]Analisys QBR By Machine Report'!$C$109:$BD$166,29,FALSE)</f>
        <v>270</v>
      </c>
      <c r="AI2" s="10">
        <f ca="1">VLOOKUP($B2,'[12]Analisys QBR By Machine Report'!$C$109:$BD$166,30,FALSE)</f>
        <v>7260</v>
      </c>
      <c r="AJ2" s="10">
        <f ca="1">VLOOKUP($B2,'[12]Analisys QBR By Machine Report'!$C$109:$BD$166,31,FALSE)</f>
        <v>40</v>
      </c>
      <c r="AK2" s="10">
        <f ca="1">VLOOKUP($B2,'[12]Analisys QBR By Machine Report'!$C$109:$BD$166,32,FALSE)</f>
        <v>0</v>
      </c>
      <c r="AL2" s="10">
        <f ca="1">VLOOKUP($B2,'[12]Analisys QBR By Machine Report'!$C$109:$BD$166,33,FALSE)</f>
        <v>1410</v>
      </c>
      <c r="AM2" s="10">
        <f ca="1">VLOOKUP($B2,'[12]Analisys QBR By Machine Report'!$C$109:$BD$166,34,FALSE)</f>
        <v>0</v>
      </c>
      <c r="AN2" s="10">
        <f ca="1">VLOOKUP($B2,'[12]Analisys QBR By Machine Report'!$C$109:$BD$166,35,FALSE)</f>
        <v>1110</v>
      </c>
      <c r="AO2" s="10">
        <f ca="1">VLOOKUP($B2,'[12]Analisys QBR By Machine Report'!$C$109:$BD$166,36,FALSE)</f>
        <v>0</v>
      </c>
      <c r="AP2" s="10">
        <f ca="1">VLOOKUP($B2,'[12]Analisys QBR By Machine Report'!$C$109:$BD$166,37,FALSE)</f>
        <v>0</v>
      </c>
      <c r="AQ2" s="10">
        <f ca="1">VLOOKUP($B2,'[12]Analisys QBR By Machine Report'!$C$109:$BD$166,38,FALSE)</f>
        <v>0</v>
      </c>
      <c r="AR2" s="10">
        <f ca="1">VLOOKUP($B2,'[12]Analisys QBR By Machine Report'!$C$109:$BD$166,39,FALSE)</f>
        <v>4037</v>
      </c>
      <c r="AS2" s="10">
        <f ca="1">VLOOKUP($B2,'[12]Analisys QBR By Machine Report'!$C$109:$BD$166,40,FALSE)</f>
        <v>0</v>
      </c>
      <c r="AT2" s="10">
        <f ca="1">VLOOKUP($B2,'[12]Analisys QBR By Machine Report'!$C$109:$BD$166,41,FALSE)</f>
        <v>0</v>
      </c>
      <c r="AU2" s="10">
        <f ca="1">VLOOKUP($B2,'[12]Analisys QBR By Machine Report'!$C$109:$BD$166,42,FALSE)</f>
        <v>0</v>
      </c>
      <c r="AV2" s="10">
        <f ca="1">VLOOKUP($B2,'[12]Analisys QBR By Machine Report'!$C$109:$BD$166,43,FALSE)</f>
        <v>0</v>
      </c>
      <c r="AW2" s="10">
        <f ca="1">VLOOKUP($B2,'[12]Analisys QBR By Machine Report'!$C$109:$BD$166,44,FALSE)</f>
        <v>0</v>
      </c>
      <c r="AX2" s="10">
        <f ca="1">VLOOKUP($B2,'[12]Analisys QBR By Machine Report'!$C$109:$BD$166,45,FALSE)</f>
        <v>0</v>
      </c>
      <c r="AY2" s="10">
        <f ca="1">VLOOKUP($B2,'[12]Analisys QBR By Machine Report'!$C$109:$BD$166,46,FALSE)</f>
        <v>0</v>
      </c>
      <c r="AZ2" s="10">
        <f ca="1">VLOOKUP($B2,'[12]Analisys QBR By Machine Report'!$C$109:$BD$166,47,FALSE)</f>
        <v>663</v>
      </c>
      <c r="BA2" s="10">
        <f ca="1">VLOOKUP($B2,'[12]Analisys QBR By Machine Report'!$C$109:$BD$166,48,FALSE)</f>
        <v>0</v>
      </c>
      <c r="BB2" s="10">
        <f ca="1">VLOOKUP($B2,'[12]Analisys QBR By Machine Report'!$C$109:$BD$166,49,FALSE)</f>
        <v>0</v>
      </c>
      <c r="BC2" s="10">
        <f ca="1">VLOOKUP($B2,'[12]Analisys QBR By Machine Report'!$C$109:$BD$166,50,FALSE)</f>
        <v>0</v>
      </c>
      <c r="BD2" s="10">
        <f ca="1">VLOOKUP($B2,'[12]Analisys QBR By Machine Report'!$C$109:$BD$166,51,FALSE)</f>
        <v>3611.75</v>
      </c>
      <c r="BE2" s="10">
        <f ca="1">VLOOKUP($B2,'[12]Analisys QBR By Machine Report'!$C$109:$BD$166,52,FALSE)</f>
        <v>0</v>
      </c>
      <c r="BF2" s="10">
        <f ca="1">VLOOKUP($B2,'[12]Analisys QBR By Machine Report'!$C$109:$BD$166,53,FALSE)</f>
        <v>3611.75</v>
      </c>
    </row>
    <row r="3" spans="1:58" x14ac:dyDescent="0.25">
      <c r="A3" s="12" t="s">
        <v>59</v>
      </c>
      <c r="B3" s="13">
        <f ca="1">VLOOKUP($B3,'[12]Analisys QBR By Machine Report'!$C$109:$BD$166,2,FALSE)</f>
        <v>25920</v>
      </c>
      <c r="C3" s="14">
        <f ca="1">VLOOKUP($B3,[12]Dasboard_QBR_Report!$B$109:$BL$166,3,FALSE)</f>
        <v>16740</v>
      </c>
      <c r="D3" s="13">
        <f ca="1">VLOOKUP($B3,'[12]Analisys QBR By Machine Report'!$C$109:$BD$166,3,FALSE)</f>
        <v>16440</v>
      </c>
      <c r="E3" s="14">
        <f ca="1">VLOOKUP($B3,[12]Dasboard_QBR_Report!$B$109:$BL$166,5,FALSE)</f>
        <v>7260</v>
      </c>
      <c r="F3" s="13">
        <f t="shared" ca="1" si="0"/>
        <v>9480</v>
      </c>
      <c r="G3" s="13">
        <f t="shared" ca="1" si="1"/>
        <v>1782</v>
      </c>
      <c r="H3" s="13">
        <f ca="1">VLOOKUP($B3,'[12]Analisys QBR By Machine Report'!$C$109:$BD$166,4,FALSE)</f>
        <v>1782</v>
      </c>
      <c r="I3" s="13">
        <f ca="1">VLOOKUP($B3,'[12]Analisys QBR By Machine Report'!$C$109:$BD$166,5,FALSE)</f>
        <v>802</v>
      </c>
      <c r="J3" s="13">
        <f ca="1">VLOOKUP($B3,'[12]Analisys QBR By Machine Report'!$C$109:$BD$166,6,FALSE)</f>
        <v>980</v>
      </c>
      <c r="K3" s="13">
        <f ca="1">VLOOKUP($B3,'[12]Analisys QBR By Machine Report'!$C$109:$BD$166,7,FALSE)</f>
        <v>0</v>
      </c>
      <c r="L3" s="13">
        <f ca="1">VLOOKUP($B3,'[12]Analisys QBR By Machine Report'!$C$109:$BD$166,8,FALSE)</f>
        <v>7698</v>
      </c>
      <c r="M3" s="13">
        <f ca="1">VLOOKUP($B3,'[12]Analisys QBR By Machine Report'!$C$109:$BD$166,9,FALSE)</f>
        <v>1856</v>
      </c>
      <c r="N3" s="13">
        <f ca="1">VLOOKUP($B3,[12]Dasboard_QBR_Report!$B$109:$BL$166,18,FALSE)</f>
        <v>5842</v>
      </c>
      <c r="O3" s="13">
        <f ca="1">VLOOKUP($B3,'[12]Analisys QBR By Machine Report'!$C$109:$BD$166,10,FALSE)</f>
        <v>242</v>
      </c>
      <c r="P3" s="13">
        <f ca="1">VLOOKUP($B3,'[12]Analisys QBR By Machine Report'!$C$109:$BD$166,11,FALSE)</f>
        <v>237</v>
      </c>
      <c r="Q3" s="13">
        <f ca="1">VLOOKUP($B3,'[12]Analisys QBR By Machine Report'!$C$109:$BD$166,12,FALSE)</f>
        <v>0</v>
      </c>
      <c r="R3" s="13">
        <f ca="1">VLOOKUP($B3,'[12]Analisys QBR By Machine Report'!$C$109:$BD$166,13,FALSE)</f>
        <v>5</v>
      </c>
      <c r="S3" s="13">
        <f ca="1">VLOOKUP($B3,'[12]Analisys QBR By Machine Report'!$C$109:$BD$166,14,FALSE)</f>
        <v>0</v>
      </c>
      <c r="T3" s="13">
        <f ca="1">VLOOKUP($B3,'[12]Analisys QBR By Machine Report'!$C$109:$BD$166,15,FALSE)</f>
        <v>248</v>
      </c>
      <c r="U3" s="13">
        <f ca="1">VLOOKUP($B3,'[12]Analisys QBR By Machine Report'!$C$109:$BD$166,16,FALSE)</f>
        <v>248</v>
      </c>
      <c r="V3" s="13">
        <f ca="1">VLOOKUP($B3,'[12]Analisys QBR By Machine Report'!$C$109:$BD$166,17,FALSE)</f>
        <v>0</v>
      </c>
      <c r="W3" s="13">
        <f ca="1">VLOOKUP($B3,'[12]Analisys QBR By Machine Report'!$C$109:$BD$166,18,FALSE)</f>
        <v>0</v>
      </c>
      <c r="X3" s="13">
        <f ca="1">VLOOKUP($B3,'[12]Analisys QBR By Machine Report'!$C$109:$BD$166,19,FALSE)</f>
        <v>0</v>
      </c>
      <c r="Y3" s="13">
        <f ca="1">VLOOKUP($B3,'[12]Analisys QBR By Machine Report'!$C$109:$BD$166,20,FALSE)</f>
        <v>0</v>
      </c>
      <c r="Z3" s="13">
        <f ca="1">VLOOKUP($B3,'[12]Analisys QBR By Machine Report'!$C$109:$BD$166,21,FALSE)</f>
        <v>3999</v>
      </c>
      <c r="AA3" s="13">
        <f ca="1">VLOOKUP($B3,'[12]Analisys QBR By Machine Report'!$C$109:$BD$166,22,FALSE)</f>
        <v>2014</v>
      </c>
      <c r="AB3" s="13">
        <f ca="1">VLOOKUP($B3,'[12]Analisys QBR By Machine Report'!$C$109:$BD$166,23,FALSE)</f>
        <v>1730</v>
      </c>
      <c r="AC3" s="13">
        <f ca="1">VLOOKUP($B3,'[12]Analisys QBR By Machine Report'!$C$109:$BD$166,24,FALSE)</f>
        <v>0</v>
      </c>
      <c r="AD3" s="13">
        <f ca="1">VLOOKUP($B3,'[12]Analisys QBR By Machine Report'!$C$109:$BD$166,25,FALSE)</f>
        <v>0</v>
      </c>
      <c r="AE3" s="13">
        <f ca="1">VLOOKUP($B3,'[12]Analisys QBR By Machine Report'!$C$109:$BD$166,26,FALSE)</f>
        <v>255</v>
      </c>
      <c r="AF3" s="13">
        <f ca="1">VLOOKUP($B3,'[12]Analisys QBR By Machine Report'!$C$109:$BD$166,27,FALSE)</f>
        <v>0</v>
      </c>
      <c r="AG3" s="13">
        <f ca="1">VLOOKUP($B3,'[12]Analisys QBR By Machine Report'!$C$109:$BD$166,28,FALSE)</f>
        <v>0</v>
      </c>
      <c r="AH3" s="13">
        <f ca="1">VLOOKUP($B3,'[12]Analisys QBR By Machine Report'!$C$109:$BD$166,29,FALSE)</f>
        <v>0</v>
      </c>
      <c r="AI3" s="13">
        <f ca="1">VLOOKUP($B3,'[12]Analisys QBR By Machine Report'!$C$109:$BD$166,30,FALSE)</f>
        <v>1353</v>
      </c>
      <c r="AJ3" s="13">
        <f ca="1">VLOOKUP($B3,'[12]Analisys QBR By Machine Report'!$C$109:$BD$166,31,FALSE)</f>
        <v>0</v>
      </c>
      <c r="AK3" s="13">
        <f ca="1">VLOOKUP($B3,'[12]Analisys QBR By Machine Report'!$C$109:$BD$166,32,FALSE)</f>
        <v>0</v>
      </c>
      <c r="AL3" s="13">
        <f ca="1">VLOOKUP($B3,'[12]Analisys QBR By Machine Report'!$C$109:$BD$166,33,FALSE)</f>
        <v>630</v>
      </c>
      <c r="AM3" s="13">
        <f ca="1">VLOOKUP($B3,'[12]Analisys QBR By Machine Report'!$C$109:$BD$166,34,FALSE)</f>
        <v>0</v>
      </c>
      <c r="AN3" s="13">
        <f ca="1">VLOOKUP($B3,'[12]Analisys QBR By Machine Report'!$C$109:$BD$166,35,FALSE)</f>
        <v>450</v>
      </c>
      <c r="AO3" s="13">
        <f ca="1">VLOOKUP($B3,'[12]Analisys QBR By Machine Report'!$C$109:$BD$166,36,FALSE)</f>
        <v>0</v>
      </c>
      <c r="AP3" s="13">
        <f ca="1">VLOOKUP($B3,'[12]Analisys QBR By Machine Report'!$C$109:$BD$166,37,FALSE)</f>
        <v>0</v>
      </c>
      <c r="AQ3" s="13">
        <f ca="1">VLOOKUP($B3,'[12]Analisys QBR By Machine Report'!$C$109:$BD$166,38,FALSE)</f>
        <v>0</v>
      </c>
      <c r="AR3" s="13">
        <f ca="1">VLOOKUP($B3,'[12]Analisys QBR By Machine Report'!$C$109:$BD$166,39,FALSE)</f>
        <v>0</v>
      </c>
      <c r="AS3" s="13">
        <f ca="1">VLOOKUP($B3,'[12]Analisys QBR By Machine Report'!$C$109:$BD$166,40,FALSE)</f>
        <v>0</v>
      </c>
      <c r="AT3" s="13">
        <f ca="1">VLOOKUP($B3,'[12]Analisys QBR By Machine Report'!$C$109:$BD$166,41,FALSE)</f>
        <v>0</v>
      </c>
      <c r="AU3" s="13">
        <f ca="1">VLOOKUP($B3,'[12]Analisys QBR By Machine Report'!$C$109:$BD$166,42,FALSE)</f>
        <v>0</v>
      </c>
      <c r="AV3" s="13">
        <f ca="1">VLOOKUP($B3,'[12]Analisys QBR By Machine Report'!$C$109:$BD$166,43,FALSE)</f>
        <v>0</v>
      </c>
      <c r="AW3" s="13">
        <f ca="1">VLOOKUP($B3,'[12]Analisys QBR By Machine Report'!$C$109:$BD$166,44,FALSE)</f>
        <v>0</v>
      </c>
      <c r="AX3" s="13">
        <f ca="1">VLOOKUP($B3,'[12]Analisys QBR By Machine Report'!$C$109:$BD$166,45,FALSE)</f>
        <v>0</v>
      </c>
      <c r="AY3" s="13">
        <f ca="1">VLOOKUP($B3,'[12]Analisys QBR By Machine Report'!$C$109:$BD$166,46,FALSE)</f>
        <v>0</v>
      </c>
      <c r="AZ3" s="13">
        <f ca="1">VLOOKUP($B3,'[12]Analisys QBR By Machine Report'!$C$109:$BD$166,47,FALSE)</f>
        <v>273</v>
      </c>
      <c r="BA3" s="13">
        <f ca="1">VLOOKUP($B3,'[12]Analisys QBR By Machine Report'!$C$109:$BD$166,48,FALSE)</f>
        <v>0</v>
      </c>
      <c r="BB3" s="13">
        <f ca="1">VLOOKUP($B3,'[12]Analisys QBR By Machine Report'!$C$109:$BD$166,49,FALSE)</f>
        <v>0</v>
      </c>
      <c r="BC3" s="13">
        <f ca="1">VLOOKUP($B3,'[12]Analisys QBR By Machine Report'!$C$109:$BD$166,50,FALSE)</f>
        <v>0</v>
      </c>
      <c r="BD3" s="13">
        <f ca="1">VLOOKUP($B3,'[12]Analisys QBR By Machine Report'!$C$109:$BD$166,51,FALSE)</f>
        <v>852.86</v>
      </c>
      <c r="BE3" s="13">
        <f ca="1">VLOOKUP($B3,'[12]Analisys QBR By Machine Report'!$C$109:$BD$166,52,FALSE)</f>
        <v>0</v>
      </c>
      <c r="BF3" s="13">
        <f ca="1">VLOOKUP($B3,'[12]Analisys QBR By Machine Report'!$C$109:$BD$166,53,FALSE)</f>
        <v>852.86</v>
      </c>
    </row>
    <row r="4" spans="1:58" x14ac:dyDescent="0.25">
      <c r="A4" s="12" t="s">
        <v>60</v>
      </c>
      <c r="B4" s="13">
        <f ca="1">VLOOKUP($B4,'[12]Analisys QBR By Machine Report'!$C$109:$BD$166,2,FALSE)</f>
        <v>25920</v>
      </c>
      <c r="C4" s="14">
        <f ca="1">VLOOKUP($B4,[12]Dasboard_QBR_Report!$B$109:$BL$166,3,FALSE)</f>
        <v>16740</v>
      </c>
      <c r="D4" s="13">
        <f ca="1">VLOOKUP($B4,'[12]Analisys QBR By Machine Report'!$C$109:$BD$166,3,FALSE)</f>
        <v>23970</v>
      </c>
      <c r="E4" s="14">
        <f ca="1">VLOOKUP($B4,[12]Dasboard_QBR_Report!$B$109:$BL$166,5,FALSE)</f>
        <v>14790</v>
      </c>
      <c r="F4" s="13">
        <f t="shared" ca="1" si="0"/>
        <v>1950</v>
      </c>
      <c r="G4" s="13">
        <f t="shared" ca="1" si="1"/>
        <v>0</v>
      </c>
      <c r="H4" s="13">
        <f ca="1">VLOOKUP($B4,'[12]Analisys QBR By Machine Report'!$C$109:$BD$166,4,FALSE)</f>
        <v>0</v>
      </c>
      <c r="I4" s="13">
        <f ca="1">VLOOKUP($B4,'[12]Analisys QBR By Machine Report'!$C$109:$BD$166,5,FALSE)</f>
        <v>0</v>
      </c>
      <c r="J4" s="13">
        <f ca="1">VLOOKUP($B4,'[12]Analisys QBR By Machine Report'!$C$109:$BD$166,6,FALSE)</f>
        <v>0</v>
      </c>
      <c r="K4" s="13">
        <f ca="1">VLOOKUP($B4,'[12]Analisys QBR By Machine Report'!$C$109:$BD$166,7,FALSE)</f>
        <v>0</v>
      </c>
      <c r="L4" s="13">
        <f ca="1">VLOOKUP($B4,'[12]Analisys QBR By Machine Report'!$C$109:$BD$166,8,FALSE)</f>
        <v>1950</v>
      </c>
      <c r="M4" s="13">
        <f ca="1">VLOOKUP($B4,'[12]Analisys QBR By Machine Report'!$C$109:$BD$166,9,FALSE)</f>
        <v>586</v>
      </c>
      <c r="N4" s="13">
        <f ca="1">VLOOKUP($B4,[12]Dasboard_QBR_Report!$B$109:$BL$166,18,FALSE)</f>
        <v>1364</v>
      </c>
      <c r="O4" s="13">
        <f ca="1">VLOOKUP($B4,'[12]Analisys QBR By Machine Report'!$C$109:$BD$166,10,FALSE)</f>
        <v>70</v>
      </c>
      <c r="P4" s="13">
        <f ca="1">VLOOKUP($B4,'[12]Analisys QBR By Machine Report'!$C$109:$BD$166,11,FALSE)</f>
        <v>70</v>
      </c>
      <c r="Q4" s="13">
        <f ca="1">VLOOKUP($B4,'[12]Analisys QBR By Machine Report'!$C$109:$BD$166,12,FALSE)</f>
        <v>0</v>
      </c>
      <c r="R4" s="13">
        <f ca="1">VLOOKUP($B4,'[12]Analisys QBR By Machine Report'!$C$109:$BD$166,13,FALSE)</f>
        <v>0</v>
      </c>
      <c r="S4" s="13">
        <f ca="1">VLOOKUP($B4,'[12]Analisys QBR By Machine Report'!$C$109:$BD$166,14,FALSE)</f>
        <v>0</v>
      </c>
      <c r="T4" s="13">
        <f ca="1">VLOOKUP($B4,'[12]Analisys QBR By Machine Report'!$C$109:$BD$166,15,FALSE)</f>
        <v>0</v>
      </c>
      <c r="U4" s="13">
        <f ca="1">VLOOKUP($B4,'[12]Analisys QBR By Machine Report'!$C$109:$BD$166,16,FALSE)</f>
        <v>0</v>
      </c>
      <c r="V4" s="13">
        <f ca="1">VLOOKUP($B4,'[12]Analisys QBR By Machine Report'!$C$109:$BD$166,17,FALSE)</f>
        <v>0</v>
      </c>
      <c r="W4" s="13">
        <f ca="1">VLOOKUP($B4,'[12]Analisys QBR By Machine Report'!$C$109:$BD$166,18,FALSE)</f>
        <v>0</v>
      </c>
      <c r="X4" s="13">
        <f ca="1">VLOOKUP($B4,'[12]Analisys QBR By Machine Report'!$C$109:$BD$166,19,FALSE)</f>
        <v>0</v>
      </c>
      <c r="Y4" s="13">
        <f ca="1">VLOOKUP($B4,'[12]Analisys QBR By Machine Report'!$C$109:$BD$166,20,FALSE)</f>
        <v>0</v>
      </c>
      <c r="Z4" s="13">
        <f ca="1">VLOOKUP($B4,'[12]Analisys QBR By Machine Report'!$C$109:$BD$166,21,FALSE)</f>
        <v>904</v>
      </c>
      <c r="AA4" s="13">
        <f ca="1">VLOOKUP($B4,'[12]Analisys QBR By Machine Report'!$C$109:$BD$166,22,FALSE)</f>
        <v>829</v>
      </c>
      <c r="AB4" s="13">
        <f ca="1">VLOOKUP($B4,'[12]Analisys QBR By Machine Report'!$C$109:$BD$166,23,FALSE)</f>
        <v>30</v>
      </c>
      <c r="AC4" s="13">
        <f ca="1">VLOOKUP($B4,'[12]Analisys QBR By Machine Report'!$C$109:$BD$166,24,FALSE)</f>
        <v>0</v>
      </c>
      <c r="AD4" s="13">
        <f ca="1">VLOOKUP($B4,'[12]Analisys QBR By Machine Report'!$C$109:$BD$166,25,FALSE)</f>
        <v>0</v>
      </c>
      <c r="AE4" s="13">
        <f ca="1">VLOOKUP($B4,'[12]Analisys QBR By Machine Report'!$C$109:$BD$166,26,FALSE)</f>
        <v>45</v>
      </c>
      <c r="AF4" s="13">
        <f ca="1">VLOOKUP($B4,'[12]Analisys QBR By Machine Report'!$C$109:$BD$166,27,FALSE)</f>
        <v>0</v>
      </c>
      <c r="AG4" s="13">
        <f ca="1">VLOOKUP($B4,'[12]Analisys QBR By Machine Report'!$C$109:$BD$166,28,FALSE)</f>
        <v>0</v>
      </c>
      <c r="AH4" s="13">
        <f ca="1">VLOOKUP($B4,'[12]Analisys QBR By Machine Report'!$C$109:$BD$166,29,FALSE)</f>
        <v>0</v>
      </c>
      <c r="AI4" s="13">
        <f ca="1">VLOOKUP($B4,'[12]Analisys QBR By Machine Report'!$C$109:$BD$166,30,FALSE)</f>
        <v>390</v>
      </c>
      <c r="AJ4" s="13">
        <f ca="1">VLOOKUP($B4,'[12]Analisys QBR By Machine Report'!$C$109:$BD$166,31,FALSE)</f>
        <v>0</v>
      </c>
      <c r="AK4" s="13">
        <f ca="1">VLOOKUP($B4,'[12]Analisys QBR By Machine Report'!$C$109:$BD$166,32,FALSE)</f>
        <v>0</v>
      </c>
      <c r="AL4" s="13">
        <f ca="1">VLOOKUP($B4,'[12]Analisys QBR By Machine Report'!$C$109:$BD$166,33,FALSE)</f>
        <v>90</v>
      </c>
      <c r="AM4" s="13">
        <f ca="1">VLOOKUP($B4,'[12]Analisys QBR By Machine Report'!$C$109:$BD$166,34,FALSE)</f>
        <v>0</v>
      </c>
      <c r="AN4" s="13">
        <f ca="1">VLOOKUP($B4,'[12]Analisys QBR By Machine Report'!$C$109:$BD$166,35,FALSE)</f>
        <v>90</v>
      </c>
      <c r="AO4" s="13">
        <f ca="1">VLOOKUP($B4,'[12]Analisys QBR By Machine Report'!$C$109:$BD$166,36,FALSE)</f>
        <v>0</v>
      </c>
      <c r="AP4" s="13">
        <f ca="1">VLOOKUP($B4,'[12]Analisys QBR By Machine Report'!$C$109:$BD$166,37,FALSE)</f>
        <v>0</v>
      </c>
      <c r="AQ4" s="13">
        <f ca="1">VLOOKUP($B4,'[12]Analisys QBR By Machine Report'!$C$109:$BD$166,38,FALSE)</f>
        <v>0</v>
      </c>
      <c r="AR4" s="13">
        <f ca="1">VLOOKUP($B4,'[12]Analisys QBR By Machine Report'!$C$109:$BD$166,39,FALSE)</f>
        <v>0</v>
      </c>
      <c r="AS4" s="13">
        <f ca="1">VLOOKUP($B4,'[12]Analisys QBR By Machine Report'!$C$109:$BD$166,40,FALSE)</f>
        <v>0</v>
      </c>
      <c r="AT4" s="13">
        <f ca="1">VLOOKUP($B4,'[12]Analisys QBR By Machine Report'!$C$109:$BD$166,41,FALSE)</f>
        <v>0</v>
      </c>
      <c r="AU4" s="13">
        <f ca="1">VLOOKUP($B4,'[12]Analisys QBR By Machine Report'!$C$109:$BD$166,42,FALSE)</f>
        <v>0</v>
      </c>
      <c r="AV4" s="13">
        <f ca="1">VLOOKUP($B4,'[12]Analisys QBR By Machine Report'!$C$109:$BD$166,43,FALSE)</f>
        <v>0</v>
      </c>
      <c r="AW4" s="13">
        <f ca="1">VLOOKUP($B4,'[12]Analisys QBR By Machine Report'!$C$109:$BD$166,44,FALSE)</f>
        <v>0</v>
      </c>
      <c r="AX4" s="13">
        <f ca="1">VLOOKUP($B4,'[12]Analisys QBR By Machine Report'!$C$109:$BD$166,45,FALSE)</f>
        <v>0</v>
      </c>
      <c r="AY4" s="13">
        <f ca="1">VLOOKUP($B4,'[12]Analisys QBR By Machine Report'!$C$109:$BD$166,46,FALSE)</f>
        <v>0</v>
      </c>
      <c r="AZ4" s="13">
        <f ca="1">VLOOKUP($B4,'[12]Analisys QBR By Machine Report'!$C$109:$BD$166,47,FALSE)</f>
        <v>210</v>
      </c>
      <c r="BA4" s="13">
        <f ca="1">VLOOKUP($B4,'[12]Analisys QBR By Machine Report'!$C$109:$BD$166,48,FALSE)</f>
        <v>0</v>
      </c>
      <c r="BB4" s="13">
        <f ca="1">VLOOKUP($B4,'[12]Analisys QBR By Machine Report'!$C$109:$BD$166,49,FALSE)</f>
        <v>0</v>
      </c>
      <c r="BC4" s="13">
        <f ca="1">VLOOKUP($B4,'[12]Analisys QBR By Machine Report'!$C$109:$BD$166,50,FALSE)</f>
        <v>0</v>
      </c>
      <c r="BD4" s="13">
        <f ca="1">VLOOKUP($B4,'[12]Analisys QBR By Machine Report'!$C$109:$BD$166,51,FALSE)</f>
        <v>427.71</v>
      </c>
      <c r="BE4" s="13">
        <f ca="1">VLOOKUP($B4,'[12]Analisys QBR By Machine Report'!$C$109:$BD$166,52,FALSE)</f>
        <v>0</v>
      </c>
      <c r="BF4" s="13">
        <f ca="1">VLOOKUP($B4,'[12]Analisys QBR By Machine Report'!$C$109:$BD$166,53,FALSE)</f>
        <v>427.71</v>
      </c>
    </row>
    <row r="5" spans="1:58" x14ac:dyDescent="0.25">
      <c r="A5" s="12" t="s">
        <v>61</v>
      </c>
      <c r="B5" s="13">
        <f ca="1">VLOOKUP($B5,'[12]Analisys QBR By Machine Report'!$C$109:$BD$166,2,FALSE)</f>
        <v>25920</v>
      </c>
      <c r="C5" s="14">
        <f ca="1">VLOOKUP($B5,[12]Dasboard_QBR_Report!$B$109:$BL$166,3,FALSE)</f>
        <v>16740</v>
      </c>
      <c r="D5" s="13">
        <f ca="1">VLOOKUP($B5,'[12]Analisys QBR By Machine Report'!$C$109:$BD$166,3,FALSE)</f>
        <v>13950</v>
      </c>
      <c r="E5" s="14">
        <f ca="1">VLOOKUP($B5,[12]Dasboard_QBR_Report!$B$109:$BL$166,5,FALSE)</f>
        <v>4770</v>
      </c>
      <c r="F5" s="13">
        <f t="shared" ca="1" si="0"/>
        <v>11970</v>
      </c>
      <c r="G5" s="13">
        <f t="shared" ca="1" si="1"/>
        <v>2305</v>
      </c>
      <c r="H5" s="13">
        <f ca="1">VLOOKUP($B5,'[12]Analisys QBR By Machine Report'!$C$109:$BD$166,4,FALSE)</f>
        <v>2305</v>
      </c>
      <c r="I5" s="13">
        <f ca="1">VLOOKUP($B5,'[12]Analisys QBR By Machine Report'!$C$109:$BD$166,5,FALSE)</f>
        <v>470</v>
      </c>
      <c r="J5" s="13">
        <f ca="1">VLOOKUP($B5,'[12]Analisys QBR By Machine Report'!$C$109:$BD$166,6,FALSE)</f>
        <v>1835</v>
      </c>
      <c r="K5" s="13">
        <f ca="1">VLOOKUP($B5,'[12]Analisys QBR By Machine Report'!$C$109:$BD$166,7,FALSE)</f>
        <v>0</v>
      </c>
      <c r="L5" s="13">
        <f ca="1">VLOOKUP($B5,'[12]Analisys QBR By Machine Report'!$C$109:$BD$166,8,FALSE)</f>
        <v>9665</v>
      </c>
      <c r="M5" s="13">
        <f ca="1">VLOOKUP($B5,'[12]Analisys QBR By Machine Report'!$C$109:$BD$166,9,FALSE)</f>
        <v>379</v>
      </c>
      <c r="N5" s="13">
        <f ca="1">VLOOKUP($B5,[12]Dasboard_QBR_Report!$B$109:$BL$166,18,FALSE)</f>
        <v>9286</v>
      </c>
      <c r="O5" s="13">
        <f ca="1">VLOOKUP($B5,'[12]Analisys QBR By Machine Report'!$C$109:$BD$166,10,FALSE)</f>
        <v>298</v>
      </c>
      <c r="P5" s="13">
        <f ca="1">VLOOKUP($B5,'[12]Analisys QBR By Machine Report'!$C$109:$BD$166,11,FALSE)</f>
        <v>298</v>
      </c>
      <c r="Q5" s="13">
        <f ca="1">VLOOKUP($B5,'[12]Analisys QBR By Machine Report'!$C$109:$BD$166,12,FALSE)</f>
        <v>0</v>
      </c>
      <c r="R5" s="13">
        <f ca="1">VLOOKUP($B5,'[12]Analisys QBR By Machine Report'!$C$109:$BD$166,13,FALSE)</f>
        <v>0</v>
      </c>
      <c r="S5" s="13">
        <f ca="1">VLOOKUP($B5,'[12]Analisys QBR By Machine Report'!$C$109:$BD$166,14,FALSE)</f>
        <v>0</v>
      </c>
      <c r="T5" s="13">
        <f ca="1">VLOOKUP($B5,'[12]Analisys QBR By Machine Report'!$C$109:$BD$166,15,FALSE)</f>
        <v>0</v>
      </c>
      <c r="U5" s="13">
        <f ca="1">VLOOKUP($B5,'[12]Analisys QBR By Machine Report'!$C$109:$BD$166,16,FALSE)</f>
        <v>0</v>
      </c>
      <c r="V5" s="13">
        <f ca="1">VLOOKUP($B5,'[12]Analisys QBR By Machine Report'!$C$109:$BD$166,17,FALSE)</f>
        <v>0</v>
      </c>
      <c r="W5" s="13">
        <f ca="1">VLOOKUP($B5,'[12]Analisys QBR By Machine Report'!$C$109:$BD$166,18,FALSE)</f>
        <v>0</v>
      </c>
      <c r="X5" s="13">
        <f ca="1">VLOOKUP($B5,'[12]Analisys QBR By Machine Report'!$C$109:$BD$166,19,FALSE)</f>
        <v>0</v>
      </c>
      <c r="Y5" s="13">
        <f ca="1">VLOOKUP($B5,'[12]Analisys QBR By Machine Report'!$C$109:$BD$166,20,FALSE)</f>
        <v>0</v>
      </c>
      <c r="Z5" s="13">
        <f ca="1">VLOOKUP($B5,'[12]Analisys QBR By Machine Report'!$C$109:$BD$166,21,FALSE)</f>
        <v>3201</v>
      </c>
      <c r="AA5" s="13">
        <f ca="1">VLOOKUP($B5,'[12]Analisys QBR By Machine Report'!$C$109:$BD$166,22,FALSE)</f>
        <v>1213</v>
      </c>
      <c r="AB5" s="13">
        <f ca="1">VLOOKUP($B5,'[12]Analisys QBR By Machine Report'!$C$109:$BD$166,23,FALSE)</f>
        <v>1721</v>
      </c>
      <c r="AC5" s="13">
        <f ca="1">VLOOKUP($B5,'[12]Analisys QBR By Machine Report'!$C$109:$BD$166,24,FALSE)</f>
        <v>0</v>
      </c>
      <c r="AD5" s="13">
        <f ca="1">VLOOKUP($B5,'[12]Analisys QBR By Machine Report'!$C$109:$BD$166,25,FALSE)</f>
        <v>0</v>
      </c>
      <c r="AE5" s="13">
        <f ca="1">VLOOKUP($B5,'[12]Analisys QBR By Machine Report'!$C$109:$BD$166,26,FALSE)</f>
        <v>267</v>
      </c>
      <c r="AF5" s="13">
        <f ca="1">VLOOKUP($B5,'[12]Analisys QBR By Machine Report'!$C$109:$BD$166,27,FALSE)</f>
        <v>270</v>
      </c>
      <c r="AG5" s="13">
        <f ca="1">VLOOKUP($B5,'[12]Analisys QBR By Machine Report'!$C$109:$BD$166,28,FALSE)</f>
        <v>0</v>
      </c>
      <c r="AH5" s="13">
        <f ca="1">VLOOKUP($B5,'[12]Analisys QBR By Machine Report'!$C$109:$BD$166,29,FALSE)</f>
        <v>270</v>
      </c>
      <c r="AI5" s="13">
        <f ca="1">VLOOKUP($B5,'[12]Analisys QBR By Machine Report'!$C$109:$BD$166,30,FALSE)</f>
        <v>5517</v>
      </c>
      <c r="AJ5" s="13">
        <f ca="1">VLOOKUP($B5,'[12]Analisys QBR By Machine Report'!$C$109:$BD$166,31,FALSE)</f>
        <v>40</v>
      </c>
      <c r="AK5" s="13">
        <f ca="1">VLOOKUP($B5,'[12]Analisys QBR By Machine Report'!$C$109:$BD$166,32,FALSE)</f>
        <v>0</v>
      </c>
      <c r="AL5" s="13">
        <f ca="1">VLOOKUP($B5,'[12]Analisys QBR By Machine Report'!$C$109:$BD$166,33,FALSE)</f>
        <v>690</v>
      </c>
      <c r="AM5" s="13">
        <f ca="1">VLOOKUP($B5,'[12]Analisys QBR By Machine Report'!$C$109:$BD$166,34,FALSE)</f>
        <v>0</v>
      </c>
      <c r="AN5" s="13">
        <f ca="1">VLOOKUP($B5,'[12]Analisys QBR By Machine Report'!$C$109:$BD$166,35,FALSE)</f>
        <v>570</v>
      </c>
      <c r="AO5" s="13">
        <f ca="1">VLOOKUP($B5,'[12]Analisys QBR By Machine Report'!$C$109:$BD$166,36,FALSE)</f>
        <v>0</v>
      </c>
      <c r="AP5" s="13">
        <f ca="1">VLOOKUP($B5,'[12]Analisys QBR By Machine Report'!$C$109:$BD$166,37,FALSE)</f>
        <v>0</v>
      </c>
      <c r="AQ5" s="13">
        <f ca="1">VLOOKUP($B5,'[12]Analisys QBR By Machine Report'!$C$109:$BD$166,38,FALSE)</f>
        <v>0</v>
      </c>
      <c r="AR5" s="13">
        <f ca="1">VLOOKUP($B5,'[12]Analisys QBR By Machine Report'!$C$109:$BD$166,39,FALSE)</f>
        <v>4037</v>
      </c>
      <c r="AS5" s="13">
        <f ca="1">VLOOKUP($B5,'[12]Analisys QBR By Machine Report'!$C$109:$BD$166,40,FALSE)</f>
        <v>0</v>
      </c>
      <c r="AT5" s="13">
        <f ca="1">VLOOKUP($B5,'[12]Analisys QBR By Machine Report'!$C$109:$BD$166,41,FALSE)</f>
        <v>0</v>
      </c>
      <c r="AU5" s="13">
        <f ca="1">VLOOKUP($B5,'[12]Analisys QBR By Machine Report'!$C$109:$BD$166,42,FALSE)</f>
        <v>0</v>
      </c>
      <c r="AV5" s="13">
        <f ca="1">VLOOKUP($B5,'[12]Analisys QBR By Machine Report'!$C$109:$BD$166,43,FALSE)</f>
        <v>0</v>
      </c>
      <c r="AW5" s="13">
        <f ca="1">VLOOKUP($B5,'[12]Analisys QBR By Machine Report'!$C$109:$BD$166,44,FALSE)</f>
        <v>0</v>
      </c>
      <c r="AX5" s="13">
        <f ca="1">VLOOKUP($B5,'[12]Analisys QBR By Machine Report'!$C$109:$BD$166,45,FALSE)</f>
        <v>0</v>
      </c>
      <c r="AY5" s="13">
        <f ca="1">VLOOKUP($B5,'[12]Analisys QBR By Machine Report'!$C$109:$BD$166,46,FALSE)</f>
        <v>0</v>
      </c>
      <c r="AZ5" s="13">
        <f ca="1">VLOOKUP($B5,'[12]Analisys QBR By Machine Report'!$C$109:$BD$166,47,FALSE)</f>
        <v>180</v>
      </c>
      <c r="BA5" s="13">
        <f ca="1">VLOOKUP($B5,'[12]Analisys QBR By Machine Report'!$C$109:$BD$166,48,FALSE)</f>
        <v>0</v>
      </c>
      <c r="BB5" s="13">
        <f ca="1">VLOOKUP($B5,'[12]Analisys QBR By Machine Report'!$C$109:$BD$166,49,FALSE)</f>
        <v>0</v>
      </c>
      <c r="BC5" s="13">
        <f ca="1">VLOOKUP($B5,'[12]Analisys QBR By Machine Report'!$C$109:$BD$166,50,FALSE)</f>
        <v>0</v>
      </c>
      <c r="BD5" s="13">
        <f ca="1">VLOOKUP($B5,'[12]Analisys QBR By Machine Report'!$C$109:$BD$166,51,FALSE)</f>
        <v>2331.1799999999998</v>
      </c>
      <c r="BE5" s="13">
        <f ca="1">VLOOKUP($B5,'[12]Analisys QBR By Machine Report'!$C$109:$BD$166,52,FALSE)</f>
        <v>0</v>
      </c>
      <c r="BF5" s="13">
        <f ca="1">VLOOKUP($B5,'[12]Analisys QBR By Machine Report'!$C$109:$BD$166,53,FALSE)</f>
        <v>2331.1799999999998</v>
      </c>
    </row>
    <row r="6" spans="1:58" x14ac:dyDescent="0.25">
      <c r="A6" s="9" t="s">
        <v>62</v>
      </c>
      <c r="B6" s="10">
        <f ca="1">VLOOKUP($B6,'[12]Analisys QBR By Machine Report'!$C$109:$BD$166,2,FALSE)</f>
        <v>51840</v>
      </c>
      <c r="C6" s="11">
        <f ca="1">VLOOKUP($B6,[12]Dasboard_QBR_Report!$B$109:$BL$166,3,FALSE)</f>
        <v>17280</v>
      </c>
      <c r="D6" s="10">
        <f ca="1">VLOOKUP($B6,'[12]Analisys QBR By Machine Report'!$C$109:$BD$166,3,FALSE)</f>
        <v>45990</v>
      </c>
      <c r="E6" s="11">
        <f ca="1">VLOOKUP($B6,[12]Dasboard_QBR_Report!$B$109:$BL$166,5,FALSE)</f>
        <v>11430</v>
      </c>
      <c r="F6" s="10">
        <f t="shared" ca="1" si="0"/>
        <v>5850</v>
      </c>
      <c r="G6" s="10">
        <f t="shared" ca="1" si="1"/>
        <v>660</v>
      </c>
      <c r="H6" s="10">
        <f ca="1">VLOOKUP($B6,'[12]Analisys QBR By Machine Report'!$C$109:$BD$166,4,FALSE)</f>
        <v>660</v>
      </c>
      <c r="I6" s="10">
        <f ca="1">VLOOKUP($B6,'[12]Analisys QBR By Machine Report'!$C$109:$BD$166,5,FALSE)</f>
        <v>30</v>
      </c>
      <c r="J6" s="10">
        <f ca="1">VLOOKUP($B6,'[12]Analisys QBR By Machine Report'!$C$109:$BD$166,6,FALSE)</f>
        <v>630</v>
      </c>
      <c r="K6" s="10">
        <f ca="1">VLOOKUP($B6,'[12]Analisys QBR By Machine Report'!$C$109:$BD$166,7,FALSE)</f>
        <v>0</v>
      </c>
      <c r="L6" s="10">
        <f ca="1">VLOOKUP($B6,'[12]Analisys QBR By Machine Report'!$C$109:$BD$166,8,FALSE)</f>
        <v>5190</v>
      </c>
      <c r="M6" s="10">
        <f ca="1">VLOOKUP($B6,'[12]Analisys QBR By Machine Report'!$C$109:$BD$166,9,FALSE)</f>
        <v>2155</v>
      </c>
      <c r="N6" s="10">
        <f ca="1">VLOOKUP($B6,[12]Dasboard_QBR_Report!$B$109:$BL$166,18,FALSE)</f>
        <v>3035</v>
      </c>
      <c r="O6" s="10">
        <f ca="1">VLOOKUP($B6,'[12]Analisys QBR By Machine Report'!$C$109:$BD$166,10,FALSE)</f>
        <v>485</v>
      </c>
      <c r="P6" s="10">
        <f ca="1">VLOOKUP($B6,'[12]Analisys QBR By Machine Report'!$C$109:$BD$166,11,FALSE)</f>
        <v>485</v>
      </c>
      <c r="Q6" s="10">
        <f ca="1">VLOOKUP($B6,'[12]Analisys QBR By Machine Report'!$C$109:$BD$166,12,FALSE)</f>
        <v>0</v>
      </c>
      <c r="R6" s="10">
        <f ca="1">VLOOKUP($B6,'[12]Analisys QBR By Machine Report'!$C$109:$BD$166,13,FALSE)</f>
        <v>0</v>
      </c>
      <c r="S6" s="10">
        <f ca="1">VLOOKUP($B6,'[12]Analisys QBR By Machine Report'!$C$109:$BD$166,14,FALSE)</f>
        <v>0</v>
      </c>
      <c r="T6" s="10">
        <f ca="1">VLOOKUP($B6,'[12]Analisys QBR By Machine Report'!$C$109:$BD$166,15,FALSE)</f>
        <v>0</v>
      </c>
      <c r="U6" s="10">
        <f ca="1">VLOOKUP($B6,'[12]Analisys QBR By Machine Report'!$C$109:$BD$166,16,FALSE)</f>
        <v>0</v>
      </c>
      <c r="V6" s="10">
        <f ca="1">VLOOKUP($B6,'[12]Analisys QBR By Machine Report'!$C$109:$BD$166,17,FALSE)</f>
        <v>0</v>
      </c>
      <c r="W6" s="10">
        <f ca="1">VLOOKUP($B6,'[12]Analisys QBR By Machine Report'!$C$109:$BD$166,18,FALSE)</f>
        <v>0</v>
      </c>
      <c r="X6" s="10">
        <f ca="1">VLOOKUP($B6,'[12]Analisys QBR By Machine Report'!$C$109:$BD$166,19,FALSE)</f>
        <v>0</v>
      </c>
      <c r="Y6" s="10">
        <f ca="1">VLOOKUP($B6,'[12]Analisys QBR By Machine Report'!$C$109:$BD$166,20,FALSE)</f>
        <v>0</v>
      </c>
      <c r="Z6" s="10">
        <f ca="1">VLOOKUP($B6,'[12]Analisys QBR By Machine Report'!$C$109:$BD$166,21,FALSE)</f>
        <v>1345</v>
      </c>
      <c r="AA6" s="10">
        <f ca="1">VLOOKUP($B6,'[12]Analisys QBR By Machine Report'!$C$109:$BD$166,22,FALSE)</f>
        <v>730</v>
      </c>
      <c r="AB6" s="10">
        <f ca="1">VLOOKUP($B6,'[12]Analisys QBR By Machine Report'!$C$109:$BD$166,23,FALSE)</f>
        <v>435</v>
      </c>
      <c r="AC6" s="10">
        <f ca="1">VLOOKUP($B6,'[12]Analisys QBR By Machine Report'!$C$109:$BD$166,24,FALSE)</f>
        <v>0</v>
      </c>
      <c r="AD6" s="10">
        <f ca="1">VLOOKUP($B6,'[12]Analisys QBR By Machine Report'!$C$109:$BD$166,25,FALSE)</f>
        <v>0</v>
      </c>
      <c r="AE6" s="10">
        <f ca="1">VLOOKUP($B6,'[12]Analisys QBR By Machine Report'!$C$109:$BD$166,26,FALSE)</f>
        <v>180</v>
      </c>
      <c r="AF6" s="10">
        <f ca="1">VLOOKUP($B6,'[12]Analisys QBR By Machine Report'!$C$109:$BD$166,27,FALSE)</f>
        <v>0</v>
      </c>
      <c r="AG6" s="10">
        <f ca="1">VLOOKUP($B6,'[12]Analisys QBR By Machine Report'!$C$109:$BD$166,28,FALSE)</f>
        <v>0</v>
      </c>
      <c r="AH6" s="10">
        <f ca="1">VLOOKUP($B6,'[12]Analisys QBR By Machine Report'!$C$109:$BD$166,29,FALSE)</f>
        <v>0</v>
      </c>
      <c r="AI6" s="10">
        <f ca="1">VLOOKUP($B6,'[12]Analisys QBR By Machine Report'!$C$109:$BD$166,30,FALSE)</f>
        <v>1205</v>
      </c>
      <c r="AJ6" s="10">
        <f ca="1">VLOOKUP($B6,'[12]Analisys QBR By Machine Report'!$C$109:$BD$166,31,FALSE)</f>
        <v>0</v>
      </c>
      <c r="AK6" s="10">
        <f ca="1">VLOOKUP($B6,'[12]Analisys QBR By Machine Report'!$C$109:$BD$166,32,FALSE)</f>
        <v>0</v>
      </c>
      <c r="AL6" s="10">
        <f ca="1">VLOOKUP($B6,'[12]Analisys QBR By Machine Report'!$C$109:$BD$166,33,FALSE)</f>
        <v>330</v>
      </c>
      <c r="AM6" s="10">
        <f ca="1">VLOOKUP($B6,'[12]Analisys QBR By Machine Report'!$C$109:$BD$166,34,FALSE)</f>
        <v>0</v>
      </c>
      <c r="AN6" s="10">
        <f ca="1">VLOOKUP($B6,'[12]Analisys QBR By Machine Report'!$C$109:$BD$166,35,FALSE)</f>
        <v>220</v>
      </c>
      <c r="AO6" s="10">
        <f ca="1">VLOOKUP($B6,'[12]Analisys QBR By Machine Report'!$C$109:$BD$166,36,FALSE)</f>
        <v>0</v>
      </c>
      <c r="AP6" s="10">
        <f ca="1">VLOOKUP($B6,'[12]Analisys QBR By Machine Report'!$C$109:$BD$166,37,FALSE)</f>
        <v>0</v>
      </c>
      <c r="AQ6" s="10">
        <f ca="1">VLOOKUP($B6,'[12]Analisys QBR By Machine Report'!$C$109:$BD$166,38,FALSE)</f>
        <v>0</v>
      </c>
      <c r="AR6" s="10">
        <f ca="1">VLOOKUP($B6,'[12]Analisys QBR By Machine Report'!$C$109:$BD$166,39,FALSE)</f>
        <v>405</v>
      </c>
      <c r="AS6" s="10">
        <f ca="1">VLOOKUP($B6,'[12]Analisys QBR By Machine Report'!$C$109:$BD$166,40,FALSE)</f>
        <v>70</v>
      </c>
      <c r="AT6" s="10">
        <f ca="1">VLOOKUP($B6,'[12]Analisys QBR By Machine Report'!$C$109:$BD$166,41,FALSE)</f>
        <v>0</v>
      </c>
      <c r="AU6" s="10">
        <f ca="1">VLOOKUP($B6,'[12]Analisys QBR By Machine Report'!$C$109:$BD$166,42,FALSE)</f>
        <v>0</v>
      </c>
      <c r="AV6" s="10">
        <f ca="1">VLOOKUP($B6,'[12]Analisys QBR By Machine Report'!$C$109:$BD$166,43,FALSE)</f>
        <v>0</v>
      </c>
      <c r="AW6" s="10">
        <f ca="1">VLOOKUP($B6,'[12]Analisys QBR By Machine Report'!$C$109:$BD$166,44,FALSE)</f>
        <v>0</v>
      </c>
      <c r="AX6" s="10">
        <f ca="1">VLOOKUP($B6,'[12]Analisys QBR By Machine Report'!$C$109:$BD$166,45,FALSE)</f>
        <v>0</v>
      </c>
      <c r="AY6" s="10">
        <f ca="1">VLOOKUP($B6,'[12]Analisys QBR By Machine Report'!$C$109:$BD$166,46,FALSE)</f>
        <v>0</v>
      </c>
      <c r="AZ6" s="10">
        <f ca="1">VLOOKUP($B6,'[12]Analisys QBR By Machine Report'!$C$109:$BD$166,47,FALSE)</f>
        <v>180</v>
      </c>
      <c r="BA6" s="10">
        <f ca="1">VLOOKUP($B6,'[12]Analisys QBR By Machine Report'!$C$109:$BD$166,48,FALSE)</f>
        <v>0</v>
      </c>
      <c r="BB6" s="10">
        <f ca="1">VLOOKUP($B6,'[12]Analisys QBR By Machine Report'!$C$109:$BD$166,49,FALSE)</f>
        <v>0</v>
      </c>
      <c r="BC6" s="10">
        <f ca="1">VLOOKUP($B6,'[12]Analisys QBR By Machine Report'!$C$109:$BD$166,50,FALSE)</f>
        <v>0</v>
      </c>
      <c r="BD6" s="10">
        <f ca="1">VLOOKUP($B6,'[12]Analisys QBR By Machine Report'!$C$109:$BD$166,51,FALSE)</f>
        <v>1013027</v>
      </c>
      <c r="BE6" s="10">
        <f ca="1">VLOOKUP($B6,'[12]Analisys QBR By Machine Report'!$C$109:$BD$166,52,FALSE)</f>
        <v>0</v>
      </c>
      <c r="BF6" s="10">
        <f ca="1">VLOOKUP($B6,'[12]Analisys QBR By Machine Report'!$C$109:$BD$166,53,FALSE)</f>
        <v>1013027</v>
      </c>
    </row>
    <row r="7" spans="1:58" x14ac:dyDescent="0.25">
      <c r="A7" s="12" t="s">
        <v>63</v>
      </c>
      <c r="B7" s="13">
        <f ca="1">VLOOKUP($B7,'[12]Analisys QBR By Machine Report'!$C$109:$BD$166,2,FALSE)</f>
        <v>25920</v>
      </c>
      <c r="C7" s="14">
        <f ca="1">VLOOKUP($B7,[12]Dasboard_QBR_Report!$B$109:$BL$166,3,FALSE)</f>
        <v>8640</v>
      </c>
      <c r="D7" s="13">
        <f ca="1">VLOOKUP($B7,'[12]Analisys QBR By Machine Report'!$C$109:$BD$166,3,FALSE)</f>
        <v>21600</v>
      </c>
      <c r="E7" s="14">
        <f ca="1">VLOOKUP($B7,[12]Dasboard_QBR_Report!$B$109:$BL$166,5,FALSE)</f>
        <v>4320</v>
      </c>
      <c r="F7" s="13">
        <f t="shared" ca="1" si="0"/>
        <v>4320</v>
      </c>
      <c r="G7" s="13">
        <f t="shared" ca="1" si="1"/>
        <v>330</v>
      </c>
      <c r="H7" s="13">
        <f ca="1">VLOOKUP($B7,'[12]Analisys QBR By Machine Report'!$C$109:$BD$166,4,FALSE)</f>
        <v>330</v>
      </c>
      <c r="I7" s="13">
        <f ca="1">VLOOKUP($B7,'[12]Analisys QBR By Machine Report'!$C$109:$BD$166,5,FALSE)</f>
        <v>30</v>
      </c>
      <c r="J7" s="13">
        <f ca="1">VLOOKUP($B7,'[12]Analisys QBR By Machine Report'!$C$109:$BD$166,6,FALSE)</f>
        <v>300</v>
      </c>
      <c r="K7" s="13">
        <f ca="1">VLOOKUP($B7,'[12]Analisys QBR By Machine Report'!$C$109:$BD$166,7,FALSE)</f>
        <v>0</v>
      </c>
      <c r="L7" s="13">
        <f ca="1">VLOOKUP($B7,'[12]Analisys QBR By Machine Report'!$C$109:$BD$166,8,FALSE)</f>
        <v>3990</v>
      </c>
      <c r="M7" s="13">
        <f ca="1">VLOOKUP($B7,'[12]Analisys QBR By Machine Report'!$C$109:$BD$166,9,FALSE)</f>
        <v>1715</v>
      </c>
      <c r="N7" s="13">
        <f ca="1">VLOOKUP($B7,[12]Dasboard_QBR_Report!$B$109:$BL$166,18,FALSE)</f>
        <v>2275</v>
      </c>
      <c r="O7" s="13">
        <f ca="1">VLOOKUP($B7,'[12]Analisys QBR By Machine Report'!$C$109:$BD$166,10,FALSE)</f>
        <v>420</v>
      </c>
      <c r="P7" s="13">
        <f ca="1">VLOOKUP($B7,'[12]Analisys QBR By Machine Report'!$C$109:$BD$166,11,FALSE)</f>
        <v>420</v>
      </c>
      <c r="Q7" s="13">
        <f ca="1">VLOOKUP($B7,'[12]Analisys QBR By Machine Report'!$C$109:$BD$166,12,FALSE)</f>
        <v>0</v>
      </c>
      <c r="R7" s="13">
        <f ca="1">VLOOKUP($B7,'[12]Analisys QBR By Machine Report'!$C$109:$BD$166,13,FALSE)</f>
        <v>0</v>
      </c>
      <c r="S7" s="13">
        <f ca="1">VLOOKUP($B7,'[12]Analisys QBR By Machine Report'!$C$109:$BD$166,14,FALSE)</f>
        <v>0</v>
      </c>
      <c r="T7" s="13">
        <f ca="1">VLOOKUP($B7,'[12]Analisys QBR By Machine Report'!$C$109:$BD$166,15,FALSE)</f>
        <v>0</v>
      </c>
      <c r="U7" s="13">
        <f ca="1">VLOOKUP($B7,'[12]Analisys QBR By Machine Report'!$C$109:$BD$166,16,FALSE)</f>
        <v>0</v>
      </c>
      <c r="V7" s="13">
        <f ca="1">VLOOKUP($B7,'[12]Analisys QBR By Machine Report'!$C$109:$BD$166,17,FALSE)</f>
        <v>0</v>
      </c>
      <c r="W7" s="13">
        <f ca="1">VLOOKUP($B7,'[12]Analisys QBR By Machine Report'!$C$109:$BD$166,18,FALSE)</f>
        <v>0</v>
      </c>
      <c r="X7" s="13">
        <f ca="1">VLOOKUP($B7,'[12]Analisys QBR By Machine Report'!$C$109:$BD$166,19,FALSE)</f>
        <v>0</v>
      </c>
      <c r="Y7" s="13">
        <f ca="1">VLOOKUP($B7,'[12]Analisys QBR By Machine Report'!$C$109:$BD$166,20,FALSE)</f>
        <v>0</v>
      </c>
      <c r="Z7" s="13">
        <f ca="1">VLOOKUP($B7,'[12]Analisys QBR By Machine Report'!$C$109:$BD$166,21,FALSE)</f>
        <v>1210</v>
      </c>
      <c r="AA7" s="13">
        <f ca="1">VLOOKUP($B7,'[12]Analisys QBR By Machine Report'!$C$109:$BD$166,22,FALSE)</f>
        <v>695</v>
      </c>
      <c r="AB7" s="13">
        <f ca="1">VLOOKUP($B7,'[12]Analisys QBR By Machine Report'!$C$109:$BD$166,23,FALSE)</f>
        <v>380</v>
      </c>
      <c r="AC7" s="13">
        <f ca="1">VLOOKUP($B7,'[12]Analisys QBR By Machine Report'!$C$109:$BD$166,24,FALSE)</f>
        <v>0</v>
      </c>
      <c r="AD7" s="13">
        <f ca="1">VLOOKUP($B7,'[12]Analisys QBR By Machine Report'!$C$109:$BD$166,25,FALSE)</f>
        <v>0</v>
      </c>
      <c r="AE7" s="13">
        <f ca="1">VLOOKUP($B7,'[12]Analisys QBR By Machine Report'!$C$109:$BD$166,26,FALSE)</f>
        <v>135</v>
      </c>
      <c r="AF7" s="13">
        <f ca="1">VLOOKUP($B7,'[12]Analisys QBR By Machine Report'!$C$109:$BD$166,27,FALSE)</f>
        <v>0</v>
      </c>
      <c r="AG7" s="13">
        <f ca="1">VLOOKUP($B7,'[12]Analisys QBR By Machine Report'!$C$109:$BD$166,28,FALSE)</f>
        <v>0</v>
      </c>
      <c r="AH7" s="13">
        <f ca="1">VLOOKUP($B7,'[12]Analisys QBR By Machine Report'!$C$109:$BD$166,29,FALSE)</f>
        <v>0</v>
      </c>
      <c r="AI7" s="13">
        <f ca="1">VLOOKUP($B7,'[12]Analisys QBR By Machine Report'!$C$109:$BD$166,30,FALSE)</f>
        <v>645</v>
      </c>
      <c r="AJ7" s="13">
        <f ca="1">VLOOKUP($B7,'[12]Analisys QBR By Machine Report'!$C$109:$BD$166,31,FALSE)</f>
        <v>0</v>
      </c>
      <c r="AK7" s="13">
        <f ca="1">VLOOKUP($B7,'[12]Analisys QBR By Machine Report'!$C$109:$BD$166,32,FALSE)</f>
        <v>0</v>
      </c>
      <c r="AL7" s="13">
        <f ca="1">VLOOKUP($B7,'[12]Analisys QBR By Machine Report'!$C$109:$BD$166,33,FALSE)</f>
        <v>260</v>
      </c>
      <c r="AM7" s="13">
        <f ca="1">VLOOKUP($B7,'[12]Analisys QBR By Machine Report'!$C$109:$BD$166,34,FALSE)</f>
        <v>0</v>
      </c>
      <c r="AN7" s="13">
        <f ca="1">VLOOKUP($B7,'[12]Analisys QBR By Machine Report'!$C$109:$BD$166,35,FALSE)</f>
        <v>135</v>
      </c>
      <c r="AO7" s="13">
        <f ca="1">VLOOKUP($B7,'[12]Analisys QBR By Machine Report'!$C$109:$BD$166,36,FALSE)</f>
        <v>0</v>
      </c>
      <c r="AP7" s="13">
        <f ca="1">VLOOKUP($B7,'[12]Analisys QBR By Machine Report'!$C$109:$BD$166,37,FALSE)</f>
        <v>0</v>
      </c>
      <c r="AQ7" s="13">
        <f ca="1">VLOOKUP($B7,'[12]Analisys QBR By Machine Report'!$C$109:$BD$166,38,FALSE)</f>
        <v>0</v>
      </c>
      <c r="AR7" s="13">
        <f ca="1">VLOOKUP($B7,'[12]Analisys QBR By Machine Report'!$C$109:$BD$166,39,FALSE)</f>
        <v>0</v>
      </c>
      <c r="AS7" s="13">
        <f ca="1">VLOOKUP($B7,'[12]Analisys QBR By Machine Report'!$C$109:$BD$166,40,FALSE)</f>
        <v>70</v>
      </c>
      <c r="AT7" s="13">
        <f ca="1">VLOOKUP($B7,'[12]Analisys QBR By Machine Report'!$C$109:$BD$166,41,FALSE)</f>
        <v>0</v>
      </c>
      <c r="AU7" s="13">
        <f ca="1">VLOOKUP($B7,'[12]Analisys QBR By Machine Report'!$C$109:$BD$166,42,FALSE)</f>
        <v>0</v>
      </c>
      <c r="AV7" s="13">
        <f ca="1">VLOOKUP($B7,'[12]Analisys QBR By Machine Report'!$C$109:$BD$166,43,FALSE)</f>
        <v>0</v>
      </c>
      <c r="AW7" s="13">
        <f ca="1">VLOOKUP($B7,'[12]Analisys QBR By Machine Report'!$C$109:$BD$166,44,FALSE)</f>
        <v>0</v>
      </c>
      <c r="AX7" s="13">
        <f ca="1">VLOOKUP($B7,'[12]Analisys QBR By Machine Report'!$C$109:$BD$166,45,FALSE)</f>
        <v>0</v>
      </c>
      <c r="AY7" s="13">
        <f ca="1">VLOOKUP($B7,'[12]Analisys QBR By Machine Report'!$C$109:$BD$166,46,FALSE)</f>
        <v>0</v>
      </c>
      <c r="AZ7" s="13">
        <f ca="1">VLOOKUP($B7,'[12]Analisys QBR By Machine Report'!$C$109:$BD$166,47,FALSE)</f>
        <v>180</v>
      </c>
      <c r="BA7" s="13">
        <f ca="1">VLOOKUP($B7,'[12]Analisys QBR By Machine Report'!$C$109:$BD$166,48,FALSE)</f>
        <v>0</v>
      </c>
      <c r="BB7" s="13">
        <f ca="1">VLOOKUP($B7,'[12]Analisys QBR By Machine Report'!$C$109:$BD$166,49,FALSE)</f>
        <v>0</v>
      </c>
      <c r="BC7" s="13">
        <f ca="1">VLOOKUP($B7,'[12]Analisys QBR By Machine Report'!$C$109:$BD$166,50,FALSE)</f>
        <v>0</v>
      </c>
      <c r="BD7" s="13">
        <f ca="1">VLOOKUP($B7,'[12]Analisys QBR By Machine Report'!$C$109:$BD$166,51,FALSE)</f>
        <v>487021</v>
      </c>
      <c r="BE7" s="13">
        <f ca="1">VLOOKUP($B7,'[12]Analisys QBR By Machine Report'!$C$109:$BD$166,52,FALSE)</f>
        <v>0</v>
      </c>
      <c r="BF7" s="13">
        <f ca="1">VLOOKUP($B7,'[12]Analisys QBR By Machine Report'!$C$109:$BD$166,53,FALSE)</f>
        <v>487021</v>
      </c>
    </row>
    <row r="8" spans="1:58" x14ac:dyDescent="0.25">
      <c r="A8" s="12" t="s">
        <v>64</v>
      </c>
      <c r="B8" s="13">
        <f ca="1">VLOOKUP($B8,'[12]Analisys QBR By Machine Report'!$C$109:$BD$166,2,FALSE)</f>
        <v>25920</v>
      </c>
      <c r="C8" s="14">
        <f ca="1">VLOOKUP($B8,[12]Dasboard_QBR_Report!$B$109:$BL$166,3,FALSE)</f>
        <v>8640</v>
      </c>
      <c r="D8" s="13">
        <f ca="1">VLOOKUP($B8,'[12]Analisys QBR By Machine Report'!$C$109:$BD$166,3,FALSE)</f>
        <v>24390</v>
      </c>
      <c r="E8" s="14">
        <f ca="1">VLOOKUP($B8,[12]Dasboard_QBR_Report!$B$109:$BL$166,5,FALSE)</f>
        <v>7110</v>
      </c>
      <c r="F8" s="13">
        <f t="shared" ca="1" si="0"/>
        <v>1530</v>
      </c>
      <c r="G8" s="13">
        <f t="shared" ca="1" si="1"/>
        <v>330</v>
      </c>
      <c r="H8" s="13">
        <f ca="1">VLOOKUP($B8,'[12]Analisys QBR By Machine Report'!$C$109:$BD$166,4,FALSE)</f>
        <v>330</v>
      </c>
      <c r="I8" s="13">
        <f ca="1">VLOOKUP($B8,'[12]Analisys QBR By Machine Report'!$C$109:$BD$166,5,FALSE)</f>
        <v>0</v>
      </c>
      <c r="J8" s="13">
        <f ca="1">VLOOKUP($B8,'[12]Analisys QBR By Machine Report'!$C$109:$BD$166,6,FALSE)</f>
        <v>330</v>
      </c>
      <c r="K8" s="13">
        <f ca="1">VLOOKUP($B8,'[12]Analisys QBR By Machine Report'!$C$109:$BD$166,7,FALSE)</f>
        <v>0</v>
      </c>
      <c r="L8" s="13">
        <f ca="1">VLOOKUP($B8,'[12]Analisys QBR By Machine Report'!$C$109:$BD$166,8,FALSE)</f>
        <v>1200</v>
      </c>
      <c r="M8" s="13">
        <f ca="1">VLOOKUP($B8,'[12]Analisys QBR By Machine Report'!$C$109:$BD$166,9,FALSE)</f>
        <v>440</v>
      </c>
      <c r="N8" s="13">
        <f ca="1">VLOOKUP($B8,[12]Dasboard_QBR_Report!$B$109:$BL$166,18,FALSE)</f>
        <v>760</v>
      </c>
      <c r="O8" s="13">
        <f ca="1">VLOOKUP($B8,'[12]Analisys QBR By Machine Report'!$C$109:$BD$166,10,FALSE)</f>
        <v>65</v>
      </c>
      <c r="P8" s="13">
        <f ca="1">VLOOKUP($B8,'[12]Analisys QBR By Machine Report'!$C$109:$BD$166,11,FALSE)</f>
        <v>65</v>
      </c>
      <c r="Q8" s="13">
        <f ca="1">VLOOKUP($B8,'[12]Analisys QBR By Machine Report'!$C$109:$BD$166,12,FALSE)</f>
        <v>0</v>
      </c>
      <c r="R8" s="13">
        <f ca="1">VLOOKUP($B8,'[12]Analisys QBR By Machine Report'!$C$109:$BD$166,13,FALSE)</f>
        <v>0</v>
      </c>
      <c r="S8" s="13">
        <f ca="1">VLOOKUP($B8,'[12]Analisys QBR By Machine Report'!$C$109:$BD$166,14,FALSE)</f>
        <v>0</v>
      </c>
      <c r="T8" s="13">
        <f ca="1">VLOOKUP($B8,'[12]Analisys QBR By Machine Report'!$C$109:$BD$166,15,FALSE)</f>
        <v>0</v>
      </c>
      <c r="U8" s="13">
        <f ca="1">VLOOKUP($B8,'[12]Analisys QBR By Machine Report'!$C$109:$BD$166,16,FALSE)</f>
        <v>0</v>
      </c>
      <c r="V8" s="13">
        <f ca="1">VLOOKUP($B8,'[12]Analisys QBR By Machine Report'!$C$109:$BD$166,17,FALSE)</f>
        <v>0</v>
      </c>
      <c r="W8" s="13">
        <f ca="1">VLOOKUP($B8,'[12]Analisys QBR By Machine Report'!$C$109:$BD$166,18,FALSE)</f>
        <v>0</v>
      </c>
      <c r="X8" s="13">
        <f ca="1">VLOOKUP($B8,'[12]Analisys QBR By Machine Report'!$C$109:$BD$166,19,FALSE)</f>
        <v>0</v>
      </c>
      <c r="Y8" s="13">
        <f ca="1">VLOOKUP($B8,'[12]Analisys QBR By Machine Report'!$C$109:$BD$166,20,FALSE)</f>
        <v>0</v>
      </c>
      <c r="Z8" s="13">
        <f ca="1">VLOOKUP($B8,'[12]Analisys QBR By Machine Report'!$C$109:$BD$166,21,FALSE)</f>
        <v>135</v>
      </c>
      <c r="AA8" s="13">
        <f ca="1">VLOOKUP($B8,'[12]Analisys QBR By Machine Report'!$C$109:$BD$166,22,FALSE)</f>
        <v>35</v>
      </c>
      <c r="AB8" s="13">
        <f ca="1">VLOOKUP($B8,'[12]Analisys QBR By Machine Report'!$C$109:$BD$166,23,FALSE)</f>
        <v>55</v>
      </c>
      <c r="AC8" s="13">
        <f ca="1">VLOOKUP($B8,'[12]Analisys QBR By Machine Report'!$C$109:$BD$166,24,FALSE)</f>
        <v>0</v>
      </c>
      <c r="AD8" s="13">
        <f ca="1">VLOOKUP($B8,'[12]Analisys QBR By Machine Report'!$C$109:$BD$166,25,FALSE)</f>
        <v>0</v>
      </c>
      <c r="AE8" s="13">
        <f ca="1">VLOOKUP($B8,'[12]Analisys QBR By Machine Report'!$C$109:$BD$166,26,FALSE)</f>
        <v>45</v>
      </c>
      <c r="AF8" s="13">
        <f ca="1">VLOOKUP($B8,'[12]Analisys QBR By Machine Report'!$C$109:$BD$166,27,FALSE)</f>
        <v>0</v>
      </c>
      <c r="AG8" s="13">
        <f ca="1">VLOOKUP($B8,'[12]Analisys QBR By Machine Report'!$C$109:$BD$166,28,FALSE)</f>
        <v>0</v>
      </c>
      <c r="AH8" s="13">
        <f ca="1">VLOOKUP($B8,'[12]Analisys QBR By Machine Report'!$C$109:$BD$166,29,FALSE)</f>
        <v>0</v>
      </c>
      <c r="AI8" s="13">
        <f ca="1">VLOOKUP($B8,'[12]Analisys QBR By Machine Report'!$C$109:$BD$166,30,FALSE)</f>
        <v>560</v>
      </c>
      <c r="AJ8" s="13">
        <f ca="1">VLOOKUP($B8,'[12]Analisys QBR By Machine Report'!$C$109:$BD$166,31,FALSE)</f>
        <v>0</v>
      </c>
      <c r="AK8" s="13">
        <f ca="1">VLOOKUP($B8,'[12]Analisys QBR By Machine Report'!$C$109:$BD$166,32,FALSE)</f>
        <v>0</v>
      </c>
      <c r="AL8" s="13">
        <f ca="1">VLOOKUP($B8,'[12]Analisys QBR By Machine Report'!$C$109:$BD$166,33,FALSE)</f>
        <v>70</v>
      </c>
      <c r="AM8" s="13">
        <f ca="1">VLOOKUP($B8,'[12]Analisys QBR By Machine Report'!$C$109:$BD$166,34,FALSE)</f>
        <v>0</v>
      </c>
      <c r="AN8" s="13">
        <f ca="1">VLOOKUP($B8,'[12]Analisys QBR By Machine Report'!$C$109:$BD$166,35,FALSE)</f>
        <v>85</v>
      </c>
      <c r="AO8" s="13">
        <f ca="1">VLOOKUP($B8,'[12]Analisys QBR By Machine Report'!$C$109:$BD$166,36,FALSE)</f>
        <v>0</v>
      </c>
      <c r="AP8" s="13">
        <f ca="1">VLOOKUP($B8,'[12]Analisys QBR By Machine Report'!$C$109:$BD$166,37,FALSE)</f>
        <v>0</v>
      </c>
      <c r="AQ8" s="13">
        <f ca="1">VLOOKUP($B8,'[12]Analisys QBR By Machine Report'!$C$109:$BD$166,38,FALSE)</f>
        <v>0</v>
      </c>
      <c r="AR8" s="13">
        <f ca="1">VLOOKUP($B8,'[12]Analisys QBR By Machine Report'!$C$109:$BD$166,39,FALSE)</f>
        <v>405</v>
      </c>
      <c r="AS8" s="13">
        <f ca="1">VLOOKUP($B8,'[12]Analisys QBR By Machine Report'!$C$109:$BD$166,40,FALSE)</f>
        <v>0</v>
      </c>
      <c r="AT8" s="13">
        <f ca="1">VLOOKUP($B8,'[12]Analisys QBR By Machine Report'!$C$109:$BD$166,41,FALSE)</f>
        <v>0</v>
      </c>
      <c r="AU8" s="13">
        <f ca="1">VLOOKUP($B8,'[12]Analisys QBR By Machine Report'!$C$109:$BD$166,42,FALSE)</f>
        <v>0</v>
      </c>
      <c r="AV8" s="13">
        <f ca="1">VLOOKUP($B8,'[12]Analisys QBR By Machine Report'!$C$109:$BD$166,43,FALSE)</f>
        <v>0</v>
      </c>
      <c r="AW8" s="13">
        <f ca="1">VLOOKUP($B8,'[12]Analisys QBR By Machine Report'!$C$109:$BD$166,44,FALSE)</f>
        <v>0</v>
      </c>
      <c r="AX8" s="13">
        <f ca="1">VLOOKUP($B8,'[12]Analisys QBR By Machine Report'!$C$109:$BD$166,45,FALSE)</f>
        <v>0</v>
      </c>
      <c r="AY8" s="13">
        <f ca="1">VLOOKUP($B8,'[12]Analisys QBR By Machine Report'!$C$109:$BD$166,46,FALSE)</f>
        <v>0</v>
      </c>
      <c r="AZ8" s="13">
        <f ca="1">VLOOKUP($B8,'[12]Analisys QBR By Machine Report'!$C$109:$BD$166,47,FALSE)</f>
        <v>0</v>
      </c>
      <c r="BA8" s="13">
        <f ca="1">VLOOKUP($B8,'[12]Analisys QBR By Machine Report'!$C$109:$BD$166,48,FALSE)</f>
        <v>0</v>
      </c>
      <c r="BB8" s="13">
        <f ca="1">VLOOKUP($B8,'[12]Analisys QBR By Machine Report'!$C$109:$BD$166,49,FALSE)</f>
        <v>0</v>
      </c>
      <c r="BC8" s="13">
        <f ca="1">VLOOKUP($B8,'[12]Analisys QBR By Machine Report'!$C$109:$BD$166,50,FALSE)</f>
        <v>0</v>
      </c>
      <c r="BD8" s="13">
        <f ca="1">VLOOKUP($B8,'[12]Analisys QBR By Machine Report'!$C$109:$BD$166,51,FALSE)</f>
        <v>526006</v>
      </c>
      <c r="BE8" s="13">
        <f ca="1">VLOOKUP($B8,'[12]Analisys QBR By Machine Report'!$C$109:$BD$166,52,FALSE)</f>
        <v>0</v>
      </c>
      <c r="BF8" s="13">
        <f ca="1">VLOOKUP($B8,'[12]Analisys QBR By Machine Report'!$C$109:$BD$166,53,FALSE)</f>
        <v>526006</v>
      </c>
    </row>
    <row r="9" spans="1:58" x14ac:dyDescent="0.25">
      <c r="A9" s="9" t="s">
        <v>65</v>
      </c>
      <c r="B9" s="10">
        <f ca="1">VLOOKUP($B9,'[12]Analisys QBR By Machine Report'!$C$109:$BD$166,2,FALSE)</f>
        <v>77760</v>
      </c>
      <c r="C9" s="11">
        <f ca="1">VLOOKUP($B9,[12]Dasboard_QBR_Report!$B$109:$BL$166,3,FALSE)</f>
        <v>42120</v>
      </c>
      <c r="D9" s="10">
        <f ca="1">VLOOKUP($B9,'[12]Analisys QBR By Machine Report'!$C$109:$BD$166,3,FALSE)</f>
        <v>55800</v>
      </c>
      <c r="E9" s="11">
        <f ca="1">VLOOKUP($B9,[12]Dasboard_QBR_Report!$B$109:$BL$166,5,FALSE)</f>
        <v>20160</v>
      </c>
      <c r="F9" s="10">
        <f t="shared" ca="1" si="0"/>
        <v>21960</v>
      </c>
      <c r="G9" s="10">
        <f t="shared" ca="1" si="1"/>
        <v>2325</v>
      </c>
      <c r="H9" s="10">
        <f ca="1">VLOOKUP($B9,'[12]Analisys QBR By Machine Report'!$C$109:$BD$166,4,FALSE)</f>
        <v>2325</v>
      </c>
      <c r="I9" s="10">
        <f ca="1">VLOOKUP($B9,'[12]Analisys QBR By Machine Report'!$C$109:$BD$166,5,FALSE)</f>
        <v>0</v>
      </c>
      <c r="J9" s="10">
        <f ca="1">VLOOKUP($B9,'[12]Analisys QBR By Machine Report'!$C$109:$BD$166,6,FALSE)</f>
        <v>2325</v>
      </c>
      <c r="K9" s="10">
        <f ca="1">VLOOKUP($B9,'[12]Analisys QBR By Machine Report'!$C$109:$BD$166,7,FALSE)</f>
        <v>0</v>
      </c>
      <c r="L9" s="10">
        <f ca="1">VLOOKUP($B9,'[12]Analisys QBR By Machine Report'!$C$109:$BD$166,8,FALSE)</f>
        <v>19635</v>
      </c>
      <c r="M9" s="10">
        <f ca="1">VLOOKUP($B9,'[12]Analisys QBR By Machine Report'!$C$109:$BD$166,9,FALSE)</f>
        <v>7285</v>
      </c>
      <c r="N9" s="10">
        <f ca="1">VLOOKUP($B9,[12]Dasboard_QBR_Report!$B$109:$BL$166,18,FALSE)</f>
        <v>12350</v>
      </c>
      <c r="O9" s="10">
        <f ca="1">VLOOKUP($B9,'[12]Analisys QBR By Machine Report'!$C$109:$BD$166,10,FALSE)</f>
        <v>2080</v>
      </c>
      <c r="P9" s="10">
        <f ca="1">VLOOKUP($B9,'[12]Analisys QBR By Machine Report'!$C$109:$BD$166,11,FALSE)</f>
        <v>1715</v>
      </c>
      <c r="Q9" s="10">
        <f ca="1">VLOOKUP($B9,'[12]Analisys QBR By Machine Report'!$C$109:$BD$166,12,FALSE)</f>
        <v>0</v>
      </c>
      <c r="R9" s="10">
        <f ca="1">VLOOKUP($B9,'[12]Analisys QBR By Machine Report'!$C$109:$BD$166,13,FALSE)</f>
        <v>45</v>
      </c>
      <c r="S9" s="10">
        <f ca="1">VLOOKUP($B9,'[12]Analisys QBR By Machine Report'!$C$109:$BD$166,14,FALSE)</f>
        <v>320</v>
      </c>
      <c r="T9" s="10">
        <f ca="1">VLOOKUP($B9,'[12]Analisys QBR By Machine Report'!$C$109:$BD$166,15,FALSE)</f>
        <v>0</v>
      </c>
      <c r="U9" s="10">
        <f ca="1">VLOOKUP($B9,'[12]Analisys QBR By Machine Report'!$C$109:$BD$166,16,FALSE)</f>
        <v>0</v>
      </c>
      <c r="V9" s="10">
        <f ca="1">VLOOKUP($B9,'[12]Analisys QBR By Machine Report'!$C$109:$BD$166,17,FALSE)</f>
        <v>0</v>
      </c>
      <c r="W9" s="10">
        <f ca="1">VLOOKUP($B9,'[12]Analisys QBR By Machine Report'!$C$109:$BD$166,18,FALSE)</f>
        <v>0</v>
      </c>
      <c r="X9" s="10">
        <f ca="1">VLOOKUP($B9,'[12]Analisys QBR By Machine Report'!$C$109:$BD$166,19,FALSE)</f>
        <v>0</v>
      </c>
      <c r="Y9" s="10">
        <f ca="1">VLOOKUP($B9,'[12]Analisys QBR By Machine Report'!$C$109:$BD$166,20,FALSE)</f>
        <v>0</v>
      </c>
      <c r="Z9" s="10">
        <f ca="1">VLOOKUP($B9,'[12]Analisys QBR By Machine Report'!$C$109:$BD$166,21,FALSE)</f>
        <v>3565</v>
      </c>
      <c r="AA9" s="10">
        <f ca="1">VLOOKUP($B9,'[12]Analisys QBR By Machine Report'!$C$109:$BD$166,22,FALSE)</f>
        <v>550</v>
      </c>
      <c r="AB9" s="10">
        <f ca="1">VLOOKUP($B9,'[12]Analisys QBR By Machine Report'!$C$109:$BD$166,23,FALSE)</f>
        <v>2480</v>
      </c>
      <c r="AC9" s="10">
        <f ca="1">VLOOKUP($B9,'[12]Analisys QBR By Machine Report'!$C$109:$BD$166,24,FALSE)</f>
        <v>50</v>
      </c>
      <c r="AD9" s="10">
        <f ca="1">VLOOKUP($B9,'[12]Analisys QBR By Machine Report'!$C$109:$BD$166,25,FALSE)</f>
        <v>0</v>
      </c>
      <c r="AE9" s="10">
        <f ca="1">VLOOKUP($B9,'[12]Analisys QBR By Machine Report'!$C$109:$BD$166,26,FALSE)</f>
        <v>485</v>
      </c>
      <c r="AF9" s="10">
        <f ca="1">VLOOKUP($B9,'[12]Analisys QBR By Machine Report'!$C$109:$BD$166,27,FALSE)</f>
        <v>930</v>
      </c>
      <c r="AG9" s="10">
        <f ca="1">VLOOKUP($B9,'[12]Analisys QBR By Machine Report'!$C$109:$BD$166,28,FALSE)</f>
        <v>0</v>
      </c>
      <c r="AH9" s="10">
        <f ca="1">VLOOKUP($B9,'[12]Analisys QBR By Machine Report'!$C$109:$BD$166,29,FALSE)</f>
        <v>930</v>
      </c>
      <c r="AI9" s="10">
        <f ca="1">VLOOKUP($B9,'[12]Analisys QBR By Machine Report'!$C$109:$BD$166,30,FALSE)</f>
        <v>5775</v>
      </c>
      <c r="AJ9" s="10">
        <f ca="1">VLOOKUP($B9,'[12]Analisys QBR By Machine Report'!$C$109:$BD$166,31,FALSE)</f>
        <v>0</v>
      </c>
      <c r="AK9" s="10">
        <f ca="1">VLOOKUP($B9,'[12]Analisys QBR By Machine Report'!$C$109:$BD$166,32,FALSE)</f>
        <v>0</v>
      </c>
      <c r="AL9" s="10">
        <f ca="1">VLOOKUP($B9,'[12]Analisys QBR By Machine Report'!$C$109:$BD$166,33,FALSE)</f>
        <v>1310</v>
      </c>
      <c r="AM9" s="10">
        <f ca="1">VLOOKUP($B9,'[12]Analisys QBR By Machine Report'!$C$109:$BD$166,34,FALSE)</f>
        <v>0</v>
      </c>
      <c r="AN9" s="10">
        <f ca="1">VLOOKUP($B9,'[12]Analisys QBR By Machine Report'!$C$109:$BD$166,35,FALSE)</f>
        <v>1055</v>
      </c>
      <c r="AO9" s="10">
        <f ca="1">VLOOKUP($B9,'[12]Analisys QBR By Machine Report'!$C$109:$BD$166,36,FALSE)</f>
        <v>80</v>
      </c>
      <c r="AP9" s="10">
        <f ca="1">VLOOKUP($B9,'[12]Analisys QBR By Machine Report'!$C$109:$BD$166,37,FALSE)</f>
        <v>0</v>
      </c>
      <c r="AQ9" s="10">
        <f ca="1">VLOOKUP($B9,'[12]Analisys QBR By Machine Report'!$C$109:$BD$166,38,FALSE)</f>
        <v>0</v>
      </c>
      <c r="AR9" s="10">
        <f ca="1">VLOOKUP($B9,'[12]Analisys QBR By Machine Report'!$C$109:$BD$166,39,FALSE)</f>
        <v>350</v>
      </c>
      <c r="AS9" s="10">
        <f ca="1">VLOOKUP($B9,'[12]Analisys QBR By Machine Report'!$C$109:$BD$166,40,FALSE)</f>
        <v>345</v>
      </c>
      <c r="AT9" s="10">
        <f ca="1">VLOOKUP($B9,'[12]Analisys QBR By Machine Report'!$C$109:$BD$166,41,FALSE)</f>
        <v>0</v>
      </c>
      <c r="AU9" s="10">
        <f ca="1">VLOOKUP($B9,'[12]Analisys QBR By Machine Report'!$C$109:$BD$166,42,FALSE)</f>
        <v>0</v>
      </c>
      <c r="AV9" s="10">
        <f ca="1">VLOOKUP($B9,'[12]Analisys QBR By Machine Report'!$C$109:$BD$166,43,FALSE)</f>
        <v>0</v>
      </c>
      <c r="AW9" s="10">
        <f ca="1">VLOOKUP($B9,'[12]Analisys QBR By Machine Report'!$C$109:$BD$166,44,FALSE)</f>
        <v>0</v>
      </c>
      <c r="AX9" s="10">
        <f ca="1">VLOOKUP($B9,'[12]Analisys QBR By Machine Report'!$C$109:$BD$166,45,FALSE)</f>
        <v>0</v>
      </c>
      <c r="AY9" s="10">
        <f ca="1">VLOOKUP($B9,'[12]Analisys QBR By Machine Report'!$C$109:$BD$166,46,FALSE)</f>
        <v>0</v>
      </c>
      <c r="AZ9" s="10">
        <f ca="1">VLOOKUP($B9,'[12]Analisys QBR By Machine Report'!$C$109:$BD$166,47,FALSE)</f>
        <v>1665</v>
      </c>
      <c r="BA9" s="10">
        <f ca="1">VLOOKUP($B9,'[12]Analisys QBR By Machine Report'!$C$109:$BD$166,48,FALSE)</f>
        <v>970</v>
      </c>
      <c r="BB9" s="10">
        <f ca="1">VLOOKUP($B9,'[12]Analisys QBR By Machine Report'!$C$109:$BD$166,49,FALSE)</f>
        <v>0</v>
      </c>
      <c r="BC9" s="10">
        <f ca="1">VLOOKUP($B9,'[12]Analisys QBR By Machine Report'!$C$109:$BD$166,50,FALSE)</f>
        <v>0</v>
      </c>
      <c r="BD9" s="10">
        <f ca="1">VLOOKUP($B9,'[12]Analisys QBR By Machine Report'!$C$109:$BD$166,51,FALSE)</f>
        <v>4865371</v>
      </c>
      <c r="BE9" s="10">
        <f ca="1">VLOOKUP($B9,'[12]Analisys QBR By Machine Report'!$C$109:$BD$166,52,FALSE)</f>
        <v>830</v>
      </c>
      <c r="BF9" s="10">
        <f ca="1">VLOOKUP($B9,'[12]Analisys QBR By Machine Report'!$C$109:$BD$166,53,FALSE)</f>
        <v>4864541</v>
      </c>
    </row>
    <row r="10" spans="1:58" x14ac:dyDescent="0.25">
      <c r="A10" s="12" t="s">
        <v>66</v>
      </c>
      <c r="B10" s="13">
        <f ca="1">VLOOKUP($B10,'[12]Analisys QBR By Machine Report'!$C$109:$BD$166,2,FALSE)</f>
        <v>25920</v>
      </c>
      <c r="C10" s="14">
        <f ca="1">VLOOKUP($B10,[12]Dasboard_QBR_Report!$B$109:$BL$166,3,FALSE)</f>
        <v>16740</v>
      </c>
      <c r="D10" s="13">
        <f ca="1">VLOOKUP($B10,'[12]Analisys QBR By Machine Report'!$C$109:$BD$166,3,FALSE)</f>
        <v>22230</v>
      </c>
      <c r="E10" s="14">
        <f ca="1">VLOOKUP($B10,[12]Dasboard_QBR_Report!$B$109:$BL$166,5,FALSE)</f>
        <v>13050</v>
      </c>
      <c r="F10" s="13">
        <f t="shared" ca="1" si="0"/>
        <v>3690</v>
      </c>
      <c r="G10" s="13">
        <f t="shared" ca="1" si="1"/>
        <v>330</v>
      </c>
      <c r="H10" s="13">
        <f ca="1">VLOOKUP($B10,'[12]Analisys QBR By Machine Report'!$C$109:$BD$166,4,FALSE)</f>
        <v>330</v>
      </c>
      <c r="I10" s="13">
        <f ca="1">VLOOKUP($B10,'[12]Analisys QBR By Machine Report'!$C$109:$BD$166,5,FALSE)</f>
        <v>0</v>
      </c>
      <c r="J10" s="13">
        <f ca="1">VLOOKUP($B10,'[12]Analisys QBR By Machine Report'!$C$109:$BD$166,6,FALSE)</f>
        <v>330</v>
      </c>
      <c r="K10" s="13">
        <f ca="1">VLOOKUP($B10,'[12]Analisys QBR By Machine Report'!$C$109:$BD$166,7,FALSE)</f>
        <v>0</v>
      </c>
      <c r="L10" s="13">
        <f ca="1">VLOOKUP($B10,'[12]Analisys QBR By Machine Report'!$C$109:$BD$166,8,FALSE)</f>
        <v>3360</v>
      </c>
      <c r="M10" s="13">
        <f ca="1">VLOOKUP($B10,'[12]Analisys QBR By Machine Report'!$C$109:$BD$166,9,FALSE)</f>
        <v>1180</v>
      </c>
      <c r="N10" s="13">
        <f ca="1">VLOOKUP($B10,[12]Dasboard_QBR_Report!$B$109:$BL$166,18,FALSE)</f>
        <v>2180</v>
      </c>
      <c r="O10" s="13">
        <f ca="1">VLOOKUP($B10,'[12]Analisys QBR By Machine Report'!$C$109:$BD$166,10,FALSE)</f>
        <v>515</v>
      </c>
      <c r="P10" s="13">
        <f ca="1">VLOOKUP($B10,'[12]Analisys QBR By Machine Report'!$C$109:$BD$166,11,FALSE)</f>
        <v>445</v>
      </c>
      <c r="Q10" s="13">
        <f ca="1">VLOOKUP($B10,'[12]Analisys QBR By Machine Report'!$C$109:$BD$166,12,FALSE)</f>
        <v>0</v>
      </c>
      <c r="R10" s="13">
        <f ca="1">VLOOKUP($B10,'[12]Analisys QBR By Machine Report'!$C$109:$BD$166,13,FALSE)</f>
        <v>0</v>
      </c>
      <c r="S10" s="13">
        <f ca="1">VLOOKUP($B10,'[12]Analisys QBR By Machine Report'!$C$109:$BD$166,14,FALSE)</f>
        <v>70</v>
      </c>
      <c r="T10" s="13">
        <f ca="1">VLOOKUP($B10,'[12]Analisys QBR By Machine Report'!$C$109:$BD$166,15,FALSE)</f>
        <v>0</v>
      </c>
      <c r="U10" s="13">
        <f ca="1">VLOOKUP($B10,'[12]Analisys QBR By Machine Report'!$C$109:$BD$166,16,FALSE)</f>
        <v>0</v>
      </c>
      <c r="V10" s="13">
        <f ca="1">VLOOKUP($B10,'[12]Analisys QBR By Machine Report'!$C$109:$BD$166,17,FALSE)</f>
        <v>0</v>
      </c>
      <c r="W10" s="13">
        <f ca="1">VLOOKUP($B10,'[12]Analisys QBR By Machine Report'!$C$109:$BD$166,18,FALSE)</f>
        <v>0</v>
      </c>
      <c r="X10" s="13">
        <f ca="1">VLOOKUP($B10,'[12]Analisys QBR By Machine Report'!$C$109:$BD$166,19,FALSE)</f>
        <v>0</v>
      </c>
      <c r="Y10" s="13">
        <f ca="1">VLOOKUP($B10,'[12]Analisys QBR By Machine Report'!$C$109:$BD$166,20,FALSE)</f>
        <v>0</v>
      </c>
      <c r="Z10" s="13">
        <f ca="1">VLOOKUP($B10,'[12]Analisys QBR By Machine Report'!$C$109:$BD$166,21,FALSE)</f>
        <v>625</v>
      </c>
      <c r="AA10" s="13">
        <f ca="1">VLOOKUP($B10,'[12]Analisys QBR By Machine Report'!$C$109:$BD$166,22,FALSE)</f>
        <v>80</v>
      </c>
      <c r="AB10" s="13">
        <f ca="1">VLOOKUP($B10,'[12]Analisys QBR By Machine Report'!$C$109:$BD$166,23,FALSE)</f>
        <v>480</v>
      </c>
      <c r="AC10" s="13">
        <f ca="1">VLOOKUP($B10,'[12]Analisys QBR By Machine Report'!$C$109:$BD$166,24,FALSE)</f>
        <v>0</v>
      </c>
      <c r="AD10" s="13">
        <f ca="1">VLOOKUP($B10,'[12]Analisys QBR By Machine Report'!$C$109:$BD$166,25,FALSE)</f>
        <v>0</v>
      </c>
      <c r="AE10" s="13">
        <f ca="1">VLOOKUP($B10,'[12]Analisys QBR By Machine Report'!$C$109:$BD$166,26,FALSE)</f>
        <v>65</v>
      </c>
      <c r="AF10" s="13">
        <f ca="1">VLOOKUP($B10,'[12]Analisys QBR By Machine Report'!$C$109:$BD$166,27,FALSE)</f>
        <v>0</v>
      </c>
      <c r="AG10" s="13">
        <f ca="1">VLOOKUP($B10,'[12]Analisys QBR By Machine Report'!$C$109:$BD$166,28,FALSE)</f>
        <v>0</v>
      </c>
      <c r="AH10" s="13">
        <f ca="1">VLOOKUP($B10,'[12]Analisys QBR By Machine Report'!$C$109:$BD$166,29,FALSE)</f>
        <v>0</v>
      </c>
      <c r="AI10" s="13">
        <f ca="1">VLOOKUP($B10,'[12]Analisys QBR By Machine Report'!$C$109:$BD$166,30,FALSE)</f>
        <v>1040</v>
      </c>
      <c r="AJ10" s="13">
        <f ca="1">VLOOKUP($B10,'[12]Analisys QBR By Machine Report'!$C$109:$BD$166,31,FALSE)</f>
        <v>0</v>
      </c>
      <c r="AK10" s="13">
        <f ca="1">VLOOKUP($B10,'[12]Analisys QBR By Machine Report'!$C$109:$BD$166,32,FALSE)</f>
        <v>0</v>
      </c>
      <c r="AL10" s="13">
        <f ca="1">VLOOKUP($B10,'[12]Analisys QBR By Machine Report'!$C$109:$BD$166,33,FALSE)</f>
        <v>240</v>
      </c>
      <c r="AM10" s="13">
        <f ca="1">VLOOKUP($B10,'[12]Analisys QBR By Machine Report'!$C$109:$BD$166,34,FALSE)</f>
        <v>0</v>
      </c>
      <c r="AN10" s="13">
        <f ca="1">VLOOKUP($B10,'[12]Analisys QBR By Machine Report'!$C$109:$BD$166,35,FALSE)</f>
        <v>150</v>
      </c>
      <c r="AO10" s="13">
        <f ca="1">VLOOKUP($B10,'[12]Analisys QBR By Machine Report'!$C$109:$BD$166,36,FALSE)</f>
        <v>0</v>
      </c>
      <c r="AP10" s="13">
        <f ca="1">VLOOKUP($B10,'[12]Analisys QBR By Machine Report'!$C$109:$BD$166,37,FALSE)</f>
        <v>0</v>
      </c>
      <c r="AQ10" s="13">
        <f ca="1">VLOOKUP($B10,'[12]Analisys QBR By Machine Report'!$C$109:$BD$166,38,FALSE)</f>
        <v>0</v>
      </c>
      <c r="AR10" s="13">
        <f ca="1">VLOOKUP($B10,'[12]Analisys QBR By Machine Report'!$C$109:$BD$166,39,FALSE)</f>
        <v>180</v>
      </c>
      <c r="AS10" s="13">
        <f ca="1">VLOOKUP($B10,'[12]Analisys QBR By Machine Report'!$C$109:$BD$166,40,FALSE)</f>
        <v>65</v>
      </c>
      <c r="AT10" s="13">
        <f ca="1">VLOOKUP($B10,'[12]Analisys QBR By Machine Report'!$C$109:$BD$166,41,FALSE)</f>
        <v>0</v>
      </c>
      <c r="AU10" s="13">
        <f ca="1">VLOOKUP($B10,'[12]Analisys QBR By Machine Report'!$C$109:$BD$166,42,FALSE)</f>
        <v>0</v>
      </c>
      <c r="AV10" s="13">
        <f ca="1">VLOOKUP($B10,'[12]Analisys QBR By Machine Report'!$C$109:$BD$166,43,FALSE)</f>
        <v>0</v>
      </c>
      <c r="AW10" s="13">
        <f ca="1">VLOOKUP($B10,'[12]Analisys QBR By Machine Report'!$C$109:$BD$166,44,FALSE)</f>
        <v>0</v>
      </c>
      <c r="AX10" s="13">
        <f ca="1">VLOOKUP($B10,'[12]Analisys QBR By Machine Report'!$C$109:$BD$166,45,FALSE)</f>
        <v>0</v>
      </c>
      <c r="AY10" s="13">
        <f ca="1">VLOOKUP($B10,'[12]Analisys QBR By Machine Report'!$C$109:$BD$166,46,FALSE)</f>
        <v>0</v>
      </c>
      <c r="AZ10" s="13">
        <f ca="1">VLOOKUP($B10,'[12]Analisys QBR By Machine Report'!$C$109:$BD$166,47,FALSE)</f>
        <v>315</v>
      </c>
      <c r="BA10" s="13">
        <f ca="1">VLOOKUP($B10,'[12]Analisys QBR By Machine Report'!$C$109:$BD$166,48,FALSE)</f>
        <v>90</v>
      </c>
      <c r="BB10" s="13">
        <f ca="1">VLOOKUP($B10,'[12]Analisys QBR By Machine Report'!$C$109:$BD$166,49,FALSE)</f>
        <v>0</v>
      </c>
      <c r="BC10" s="13">
        <f ca="1">VLOOKUP($B10,'[12]Analisys QBR By Machine Report'!$C$109:$BD$166,50,FALSE)</f>
        <v>0</v>
      </c>
      <c r="BD10" s="13">
        <f ca="1">VLOOKUP($B10,'[12]Analisys QBR By Machine Report'!$C$109:$BD$166,51,FALSE)</f>
        <v>1050305</v>
      </c>
      <c r="BE10" s="13">
        <f ca="1">VLOOKUP($B10,'[12]Analisys QBR By Machine Report'!$C$109:$BD$166,52,FALSE)</f>
        <v>0</v>
      </c>
      <c r="BF10" s="13">
        <f ca="1">VLOOKUP($B10,'[12]Analisys QBR By Machine Report'!$C$109:$BD$166,53,FALSE)</f>
        <v>1050305</v>
      </c>
    </row>
    <row r="11" spans="1:58" x14ac:dyDescent="0.25">
      <c r="A11" s="12" t="s">
        <v>67</v>
      </c>
      <c r="B11" s="13">
        <f ca="1">VLOOKUP($B11,'[12]Analisys QBR By Machine Report'!$C$109:$BD$166,2,FALSE)</f>
        <v>25920</v>
      </c>
      <c r="C11" s="14">
        <f ca="1">VLOOKUP($B11,[12]Dasboard_QBR_Report!$B$109:$BL$166,3,FALSE)</f>
        <v>8640</v>
      </c>
      <c r="D11" s="13">
        <f ca="1">VLOOKUP($B11,'[12]Analisys QBR By Machine Report'!$C$109:$BD$166,3,FALSE)</f>
        <v>19380</v>
      </c>
      <c r="E11" s="14">
        <f ca="1">VLOOKUP($B11,[12]Dasboard_QBR_Report!$B$109:$BL$166,5,FALSE)</f>
        <v>2100</v>
      </c>
      <c r="F11" s="13">
        <f t="shared" ca="1" si="0"/>
        <v>6540</v>
      </c>
      <c r="G11" s="13">
        <f t="shared" ca="1" si="1"/>
        <v>780</v>
      </c>
      <c r="H11" s="13">
        <f ca="1">VLOOKUP($B11,'[12]Analisys QBR By Machine Report'!$C$109:$BD$166,4,FALSE)</f>
        <v>780</v>
      </c>
      <c r="I11" s="13">
        <f ca="1">VLOOKUP($B11,'[12]Analisys QBR By Machine Report'!$C$109:$BD$166,5,FALSE)</f>
        <v>0</v>
      </c>
      <c r="J11" s="13">
        <f ca="1">VLOOKUP($B11,'[12]Analisys QBR By Machine Report'!$C$109:$BD$166,6,FALSE)</f>
        <v>780</v>
      </c>
      <c r="K11" s="13">
        <f ca="1">VLOOKUP($B11,'[12]Analisys QBR By Machine Report'!$C$109:$BD$166,7,FALSE)</f>
        <v>0</v>
      </c>
      <c r="L11" s="13">
        <f ca="1">VLOOKUP($B11,'[12]Analisys QBR By Machine Report'!$C$109:$BD$166,8,FALSE)</f>
        <v>5760</v>
      </c>
      <c r="M11" s="13">
        <f ca="1">VLOOKUP($B11,'[12]Analisys QBR By Machine Report'!$C$109:$BD$166,9,FALSE)</f>
        <v>1995</v>
      </c>
      <c r="N11" s="13">
        <f ca="1">VLOOKUP($B11,[12]Dasboard_QBR_Report!$B$109:$BL$166,18,FALSE)</f>
        <v>3765</v>
      </c>
      <c r="O11" s="13">
        <f ca="1">VLOOKUP($B11,'[12]Analisys QBR By Machine Report'!$C$109:$BD$166,10,FALSE)</f>
        <v>690</v>
      </c>
      <c r="P11" s="13">
        <f ca="1">VLOOKUP($B11,'[12]Analisys QBR By Machine Report'!$C$109:$BD$166,11,FALSE)</f>
        <v>555</v>
      </c>
      <c r="Q11" s="13">
        <f ca="1">VLOOKUP($B11,'[12]Analisys QBR By Machine Report'!$C$109:$BD$166,12,FALSE)</f>
        <v>0</v>
      </c>
      <c r="R11" s="13">
        <f ca="1">VLOOKUP($B11,'[12]Analisys QBR By Machine Report'!$C$109:$BD$166,13,FALSE)</f>
        <v>0</v>
      </c>
      <c r="S11" s="13">
        <f ca="1">VLOOKUP($B11,'[12]Analisys QBR By Machine Report'!$C$109:$BD$166,14,FALSE)</f>
        <v>135</v>
      </c>
      <c r="T11" s="13">
        <f ca="1">VLOOKUP($B11,'[12]Analisys QBR By Machine Report'!$C$109:$BD$166,15,FALSE)</f>
        <v>0</v>
      </c>
      <c r="U11" s="13">
        <f ca="1">VLOOKUP($B11,'[12]Analisys QBR By Machine Report'!$C$109:$BD$166,16,FALSE)</f>
        <v>0</v>
      </c>
      <c r="V11" s="13">
        <f ca="1">VLOOKUP($B11,'[12]Analisys QBR By Machine Report'!$C$109:$BD$166,17,FALSE)</f>
        <v>0</v>
      </c>
      <c r="W11" s="13">
        <f ca="1">VLOOKUP($B11,'[12]Analisys QBR By Machine Report'!$C$109:$BD$166,18,FALSE)</f>
        <v>0</v>
      </c>
      <c r="X11" s="13">
        <f ca="1">VLOOKUP($B11,'[12]Analisys QBR By Machine Report'!$C$109:$BD$166,19,FALSE)</f>
        <v>0</v>
      </c>
      <c r="Y11" s="13">
        <f ca="1">VLOOKUP($B11,'[12]Analisys QBR By Machine Report'!$C$109:$BD$166,20,FALSE)</f>
        <v>0</v>
      </c>
      <c r="Z11" s="13">
        <f ca="1">VLOOKUP($B11,'[12]Analisys QBR By Machine Report'!$C$109:$BD$166,21,FALSE)</f>
        <v>1070</v>
      </c>
      <c r="AA11" s="13">
        <f ca="1">VLOOKUP($B11,'[12]Analisys QBR By Machine Report'!$C$109:$BD$166,22,FALSE)</f>
        <v>195</v>
      </c>
      <c r="AB11" s="13">
        <f ca="1">VLOOKUP($B11,'[12]Analisys QBR By Machine Report'!$C$109:$BD$166,23,FALSE)</f>
        <v>655</v>
      </c>
      <c r="AC11" s="13">
        <f ca="1">VLOOKUP($B11,'[12]Analisys QBR By Machine Report'!$C$109:$BD$166,24,FALSE)</f>
        <v>50</v>
      </c>
      <c r="AD11" s="13">
        <f ca="1">VLOOKUP($B11,'[12]Analisys QBR By Machine Report'!$C$109:$BD$166,25,FALSE)</f>
        <v>0</v>
      </c>
      <c r="AE11" s="13">
        <f ca="1">VLOOKUP($B11,'[12]Analisys QBR By Machine Report'!$C$109:$BD$166,26,FALSE)</f>
        <v>170</v>
      </c>
      <c r="AF11" s="13">
        <f ca="1">VLOOKUP($B11,'[12]Analisys QBR By Machine Report'!$C$109:$BD$166,27,FALSE)</f>
        <v>0</v>
      </c>
      <c r="AG11" s="13">
        <f ca="1">VLOOKUP($B11,'[12]Analisys QBR By Machine Report'!$C$109:$BD$166,28,FALSE)</f>
        <v>0</v>
      </c>
      <c r="AH11" s="13">
        <f ca="1">VLOOKUP($B11,'[12]Analisys QBR By Machine Report'!$C$109:$BD$166,29,FALSE)</f>
        <v>0</v>
      </c>
      <c r="AI11" s="13">
        <f ca="1">VLOOKUP($B11,'[12]Analisys QBR By Machine Report'!$C$109:$BD$166,30,FALSE)</f>
        <v>2005</v>
      </c>
      <c r="AJ11" s="13">
        <f ca="1">VLOOKUP($B11,'[12]Analisys QBR By Machine Report'!$C$109:$BD$166,31,FALSE)</f>
        <v>0</v>
      </c>
      <c r="AK11" s="13">
        <f ca="1">VLOOKUP($B11,'[12]Analisys QBR By Machine Report'!$C$109:$BD$166,32,FALSE)</f>
        <v>0</v>
      </c>
      <c r="AL11" s="13">
        <f ca="1">VLOOKUP($B11,'[12]Analisys QBR By Machine Report'!$C$109:$BD$166,33,FALSE)</f>
        <v>370</v>
      </c>
      <c r="AM11" s="13">
        <f ca="1">VLOOKUP($B11,'[12]Analisys QBR By Machine Report'!$C$109:$BD$166,34,FALSE)</f>
        <v>0</v>
      </c>
      <c r="AN11" s="13">
        <f ca="1">VLOOKUP($B11,'[12]Analisys QBR By Machine Report'!$C$109:$BD$166,35,FALSE)</f>
        <v>275</v>
      </c>
      <c r="AO11" s="13">
        <f ca="1">VLOOKUP($B11,'[12]Analisys QBR By Machine Report'!$C$109:$BD$166,36,FALSE)</f>
        <v>0</v>
      </c>
      <c r="AP11" s="13">
        <f ca="1">VLOOKUP($B11,'[12]Analisys QBR By Machine Report'!$C$109:$BD$166,37,FALSE)</f>
        <v>0</v>
      </c>
      <c r="AQ11" s="13">
        <f ca="1">VLOOKUP($B11,'[12]Analisys QBR By Machine Report'!$C$109:$BD$166,38,FALSE)</f>
        <v>0</v>
      </c>
      <c r="AR11" s="13">
        <f ca="1">VLOOKUP($B11,'[12]Analisys QBR By Machine Report'!$C$109:$BD$166,39,FALSE)</f>
        <v>0</v>
      </c>
      <c r="AS11" s="13">
        <f ca="1">VLOOKUP($B11,'[12]Analisys QBR By Machine Report'!$C$109:$BD$166,40,FALSE)</f>
        <v>155</v>
      </c>
      <c r="AT11" s="13">
        <f ca="1">VLOOKUP($B11,'[12]Analisys QBR By Machine Report'!$C$109:$BD$166,41,FALSE)</f>
        <v>0</v>
      </c>
      <c r="AU11" s="13">
        <f ca="1">VLOOKUP($B11,'[12]Analisys QBR By Machine Report'!$C$109:$BD$166,42,FALSE)</f>
        <v>0</v>
      </c>
      <c r="AV11" s="13">
        <f ca="1">VLOOKUP($B11,'[12]Analisys QBR By Machine Report'!$C$109:$BD$166,43,FALSE)</f>
        <v>0</v>
      </c>
      <c r="AW11" s="13">
        <f ca="1">VLOOKUP($B11,'[12]Analisys QBR By Machine Report'!$C$109:$BD$166,44,FALSE)</f>
        <v>0</v>
      </c>
      <c r="AX11" s="13">
        <f ca="1">VLOOKUP($B11,'[12]Analisys QBR By Machine Report'!$C$109:$BD$166,45,FALSE)</f>
        <v>0</v>
      </c>
      <c r="AY11" s="13">
        <f ca="1">VLOOKUP($B11,'[12]Analisys QBR By Machine Report'!$C$109:$BD$166,46,FALSE)</f>
        <v>0</v>
      </c>
      <c r="AZ11" s="13">
        <f ca="1">VLOOKUP($B11,'[12]Analisys QBR By Machine Report'!$C$109:$BD$166,47,FALSE)</f>
        <v>675</v>
      </c>
      <c r="BA11" s="13">
        <f ca="1">VLOOKUP($B11,'[12]Analisys QBR By Machine Report'!$C$109:$BD$166,48,FALSE)</f>
        <v>530</v>
      </c>
      <c r="BB11" s="13">
        <f ca="1">VLOOKUP($B11,'[12]Analisys QBR By Machine Report'!$C$109:$BD$166,49,FALSE)</f>
        <v>0</v>
      </c>
      <c r="BC11" s="13">
        <f ca="1">VLOOKUP($B11,'[12]Analisys QBR By Machine Report'!$C$109:$BD$166,50,FALSE)</f>
        <v>0</v>
      </c>
      <c r="BD11" s="13">
        <f ca="1">VLOOKUP($B11,'[12]Analisys QBR By Machine Report'!$C$109:$BD$166,51,FALSE)</f>
        <v>1473636</v>
      </c>
      <c r="BE11" s="13">
        <f ca="1">VLOOKUP($B11,'[12]Analisys QBR By Machine Report'!$C$109:$BD$166,52,FALSE)</f>
        <v>0</v>
      </c>
      <c r="BF11" s="13">
        <f ca="1">VLOOKUP($B11,'[12]Analisys QBR By Machine Report'!$C$109:$BD$166,53,FALSE)</f>
        <v>1473636</v>
      </c>
    </row>
    <row r="12" spans="1:58" x14ac:dyDescent="0.25">
      <c r="A12" s="12" t="s">
        <v>68</v>
      </c>
      <c r="B12" s="13">
        <f ca="1">VLOOKUP($B12,'[12]Analisys QBR By Machine Report'!$C$109:$BD$166,2,FALSE)</f>
        <v>25920</v>
      </c>
      <c r="C12" s="14">
        <f ca="1">VLOOKUP($B12,[12]Dasboard_QBR_Report!$B$109:$BL$166,3,FALSE)</f>
        <v>16740</v>
      </c>
      <c r="D12" s="13">
        <f ca="1">VLOOKUP($B12,'[12]Analisys QBR By Machine Report'!$C$109:$BD$166,3,FALSE)</f>
        <v>14190</v>
      </c>
      <c r="E12" s="14">
        <f ca="1">VLOOKUP($B12,[12]Dasboard_QBR_Report!$B$109:$BL$166,5,FALSE)</f>
        <v>5010</v>
      </c>
      <c r="F12" s="13">
        <f t="shared" ca="1" si="0"/>
        <v>11730</v>
      </c>
      <c r="G12" s="13">
        <f t="shared" ca="1" si="1"/>
        <v>1215</v>
      </c>
      <c r="H12" s="13">
        <f ca="1">VLOOKUP($B12,'[12]Analisys QBR By Machine Report'!$C$109:$BD$166,4,FALSE)</f>
        <v>1215</v>
      </c>
      <c r="I12" s="13">
        <f ca="1">VLOOKUP($B12,'[12]Analisys QBR By Machine Report'!$C$109:$BD$166,5,FALSE)</f>
        <v>0</v>
      </c>
      <c r="J12" s="13">
        <f ca="1">VLOOKUP($B12,'[12]Analisys QBR By Machine Report'!$C$109:$BD$166,6,FALSE)</f>
        <v>1215</v>
      </c>
      <c r="K12" s="13">
        <f ca="1">VLOOKUP($B12,'[12]Analisys QBR By Machine Report'!$C$109:$BD$166,7,FALSE)</f>
        <v>0</v>
      </c>
      <c r="L12" s="13">
        <f ca="1">VLOOKUP($B12,'[12]Analisys QBR By Machine Report'!$C$109:$BD$166,8,FALSE)</f>
        <v>10515</v>
      </c>
      <c r="M12" s="13">
        <f ca="1">VLOOKUP($B12,'[12]Analisys QBR By Machine Report'!$C$109:$BD$166,9,FALSE)</f>
        <v>4110</v>
      </c>
      <c r="N12" s="13">
        <f ca="1">VLOOKUP($B12,[12]Dasboard_QBR_Report!$B$109:$BL$166,18,FALSE)</f>
        <v>6405</v>
      </c>
      <c r="O12" s="13">
        <f ca="1">VLOOKUP($B12,'[12]Analisys QBR By Machine Report'!$C$109:$BD$166,10,FALSE)</f>
        <v>875</v>
      </c>
      <c r="P12" s="13">
        <f ca="1">VLOOKUP($B12,'[12]Analisys QBR By Machine Report'!$C$109:$BD$166,11,FALSE)</f>
        <v>715</v>
      </c>
      <c r="Q12" s="13">
        <f ca="1">VLOOKUP($B12,'[12]Analisys QBR By Machine Report'!$C$109:$BD$166,12,FALSE)</f>
        <v>0</v>
      </c>
      <c r="R12" s="13">
        <f ca="1">VLOOKUP($B12,'[12]Analisys QBR By Machine Report'!$C$109:$BD$166,13,FALSE)</f>
        <v>45</v>
      </c>
      <c r="S12" s="13">
        <f ca="1">VLOOKUP($B12,'[12]Analisys QBR By Machine Report'!$C$109:$BD$166,14,FALSE)</f>
        <v>115</v>
      </c>
      <c r="T12" s="13">
        <f ca="1">VLOOKUP($B12,'[12]Analisys QBR By Machine Report'!$C$109:$BD$166,15,FALSE)</f>
        <v>0</v>
      </c>
      <c r="U12" s="13">
        <f ca="1">VLOOKUP($B12,'[12]Analisys QBR By Machine Report'!$C$109:$BD$166,16,FALSE)</f>
        <v>0</v>
      </c>
      <c r="V12" s="13">
        <f ca="1">VLOOKUP($B12,'[12]Analisys QBR By Machine Report'!$C$109:$BD$166,17,FALSE)</f>
        <v>0</v>
      </c>
      <c r="W12" s="13">
        <f ca="1">VLOOKUP($B12,'[12]Analisys QBR By Machine Report'!$C$109:$BD$166,18,FALSE)</f>
        <v>0</v>
      </c>
      <c r="X12" s="13">
        <f ca="1">VLOOKUP($B12,'[12]Analisys QBR By Machine Report'!$C$109:$BD$166,19,FALSE)</f>
        <v>0</v>
      </c>
      <c r="Y12" s="13">
        <f ca="1">VLOOKUP($B12,'[12]Analisys QBR By Machine Report'!$C$109:$BD$166,20,FALSE)</f>
        <v>0</v>
      </c>
      <c r="Z12" s="13">
        <f ca="1">VLOOKUP($B12,'[12]Analisys QBR By Machine Report'!$C$109:$BD$166,21,FALSE)</f>
        <v>1870</v>
      </c>
      <c r="AA12" s="13">
        <f ca="1">VLOOKUP($B12,'[12]Analisys QBR By Machine Report'!$C$109:$BD$166,22,FALSE)</f>
        <v>275</v>
      </c>
      <c r="AB12" s="13">
        <f ca="1">VLOOKUP($B12,'[12]Analisys QBR By Machine Report'!$C$109:$BD$166,23,FALSE)</f>
        <v>1345</v>
      </c>
      <c r="AC12" s="13">
        <f ca="1">VLOOKUP($B12,'[12]Analisys QBR By Machine Report'!$C$109:$BD$166,24,FALSE)</f>
        <v>0</v>
      </c>
      <c r="AD12" s="13">
        <f ca="1">VLOOKUP($B12,'[12]Analisys QBR By Machine Report'!$C$109:$BD$166,25,FALSE)</f>
        <v>0</v>
      </c>
      <c r="AE12" s="13">
        <f ca="1">VLOOKUP($B12,'[12]Analisys QBR By Machine Report'!$C$109:$BD$166,26,FALSE)</f>
        <v>250</v>
      </c>
      <c r="AF12" s="13">
        <f ca="1">VLOOKUP($B12,'[12]Analisys QBR By Machine Report'!$C$109:$BD$166,27,FALSE)</f>
        <v>930</v>
      </c>
      <c r="AG12" s="13">
        <f ca="1">VLOOKUP($B12,'[12]Analisys QBR By Machine Report'!$C$109:$BD$166,28,FALSE)</f>
        <v>0</v>
      </c>
      <c r="AH12" s="13">
        <f ca="1">VLOOKUP($B12,'[12]Analisys QBR By Machine Report'!$C$109:$BD$166,29,FALSE)</f>
        <v>930</v>
      </c>
      <c r="AI12" s="13">
        <f ca="1">VLOOKUP($B12,'[12]Analisys QBR By Machine Report'!$C$109:$BD$166,30,FALSE)</f>
        <v>2730</v>
      </c>
      <c r="AJ12" s="13">
        <f ca="1">VLOOKUP($B12,'[12]Analisys QBR By Machine Report'!$C$109:$BD$166,31,FALSE)</f>
        <v>0</v>
      </c>
      <c r="AK12" s="13">
        <f ca="1">VLOOKUP($B12,'[12]Analisys QBR By Machine Report'!$C$109:$BD$166,32,FALSE)</f>
        <v>0</v>
      </c>
      <c r="AL12" s="13">
        <f ca="1">VLOOKUP($B12,'[12]Analisys QBR By Machine Report'!$C$109:$BD$166,33,FALSE)</f>
        <v>700</v>
      </c>
      <c r="AM12" s="13">
        <f ca="1">VLOOKUP($B12,'[12]Analisys QBR By Machine Report'!$C$109:$BD$166,34,FALSE)</f>
        <v>0</v>
      </c>
      <c r="AN12" s="13">
        <f ca="1">VLOOKUP($B12,'[12]Analisys QBR By Machine Report'!$C$109:$BD$166,35,FALSE)</f>
        <v>630</v>
      </c>
      <c r="AO12" s="13">
        <f ca="1">VLOOKUP($B12,'[12]Analisys QBR By Machine Report'!$C$109:$BD$166,36,FALSE)</f>
        <v>80</v>
      </c>
      <c r="AP12" s="13">
        <f ca="1">VLOOKUP($B12,'[12]Analisys QBR By Machine Report'!$C$109:$BD$166,37,FALSE)</f>
        <v>0</v>
      </c>
      <c r="AQ12" s="13">
        <f ca="1">VLOOKUP($B12,'[12]Analisys QBR By Machine Report'!$C$109:$BD$166,38,FALSE)</f>
        <v>0</v>
      </c>
      <c r="AR12" s="13">
        <f ca="1">VLOOKUP($B12,'[12]Analisys QBR By Machine Report'!$C$109:$BD$166,39,FALSE)</f>
        <v>170</v>
      </c>
      <c r="AS12" s="13">
        <f ca="1">VLOOKUP($B12,'[12]Analisys QBR By Machine Report'!$C$109:$BD$166,40,FALSE)</f>
        <v>125</v>
      </c>
      <c r="AT12" s="13">
        <f ca="1">VLOOKUP($B12,'[12]Analisys QBR By Machine Report'!$C$109:$BD$166,41,FALSE)</f>
        <v>0</v>
      </c>
      <c r="AU12" s="13">
        <f ca="1">VLOOKUP($B12,'[12]Analisys QBR By Machine Report'!$C$109:$BD$166,42,FALSE)</f>
        <v>0</v>
      </c>
      <c r="AV12" s="13">
        <f ca="1">VLOOKUP($B12,'[12]Analisys QBR By Machine Report'!$C$109:$BD$166,43,FALSE)</f>
        <v>0</v>
      </c>
      <c r="AW12" s="13">
        <f ca="1">VLOOKUP($B12,'[12]Analisys QBR By Machine Report'!$C$109:$BD$166,44,FALSE)</f>
        <v>0</v>
      </c>
      <c r="AX12" s="13">
        <f ca="1">VLOOKUP($B12,'[12]Analisys QBR By Machine Report'!$C$109:$BD$166,45,FALSE)</f>
        <v>0</v>
      </c>
      <c r="AY12" s="13">
        <f ca="1">VLOOKUP($B12,'[12]Analisys QBR By Machine Report'!$C$109:$BD$166,46,FALSE)</f>
        <v>0</v>
      </c>
      <c r="AZ12" s="13">
        <f ca="1">VLOOKUP($B12,'[12]Analisys QBR By Machine Report'!$C$109:$BD$166,47,FALSE)</f>
        <v>675</v>
      </c>
      <c r="BA12" s="13">
        <f ca="1">VLOOKUP($B12,'[12]Analisys QBR By Machine Report'!$C$109:$BD$166,48,FALSE)</f>
        <v>350</v>
      </c>
      <c r="BB12" s="13">
        <f ca="1">VLOOKUP($B12,'[12]Analisys QBR By Machine Report'!$C$109:$BD$166,49,FALSE)</f>
        <v>0</v>
      </c>
      <c r="BC12" s="13">
        <f ca="1">VLOOKUP($B12,'[12]Analisys QBR By Machine Report'!$C$109:$BD$166,50,FALSE)</f>
        <v>0</v>
      </c>
      <c r="BD12" s="13">
        <f ca="1">VLOOKUP($B12,'[12]Analisys QBR By Machine Report'!$C$109:$BD$166,51,FALSE)</f>
        <v>2341430</v>
      </c>
      <c r="BE12" s="13">
        <f ca="1">VLOOKUP($B12,'[12]Analisys QBR By Machine Report'!$C$109:$BD$166,52,FALSE)</f>
        <v>830</v>
      </c>
      <c r="BF12" s="13">
        <f ca="1">VLOOKUP($B12,'[12]Analisys QBR By Machine Report'!$C$109:$BD$166,53,FALSE)</f>
        <v>2340600</v>
      </c>
    </row>
    <row r="13" spans="1:58" x14ac:dyDescent="0.25">
      <c r="A13" s="9" t="s">
        <v>69</v>
      </c>
      <c r="B13" s="10">
        <f ca="1">VLOOKUP($B13,'[12]Analisys QBR By Machine Report'!$C$109:$BD$166,2,FALSE)</f>
        <v>51840</v>
      </c>
      <c r="C13" s="11">
        <f ca="1">VLOOKUP($B13,[12]Dasboard_QBR_Report!$B$109:$BL$166,3,FALSE)</f>
        <v>17280</v>
      </c>
      <c r="D13" s="10">
        <f ca="1">VLOOKUP($B13,'[12]Analisys QBR By Machine Report'!$C$109:$BD$166,3,FALSE)</f>
        <v>40830</v>
      </c>
      <c r="E13" s="11">
        <f ca="1">VLOOKUP($B13,[12]Dasboard_QBR_Report!$B$109:$BL$166,5,FALSE)</f>
        <v>6270</v>
      </c>
      <c r="F13" s="10">
        <f t="shared" ca="1" si="0"/>
        <v>11010</v>
      </c>
      <c r="G13" s="10">
        <f t="shared" ca="1" si="1"/>
        <v>90</v>
      </c>
      <c r="H13" s="10">
        <f ca="1">VLOOKUP($B13,'[12]Analisys QBR By Machine Report'!$C$109:$BD$166,4,FALSE)</f>
        <v>90</v>
      </c>
      <c r="I13" s="10">
        <f ca="1">VLOOKUP($B13,'[12]Analisys QBR By Machine Report'!$C$109:$BD$166,5,FALSE)</f>
        <v>15</v>
      </c>
      <c r="J13" s="10">
        <f ca="1">VLOOKUP($B13,'[12]Analisys QBR By Machine Report'!$C$109:$BD$166,6,FALSE)</f>
        <v>75</v>
      </c>
      <c r="K13" s="10">
        <f ca="1">VLOOKUP($B13,'[12]Analisys QBR By Machine Report'!$C$109:$BD$166,7,FALSE)</f>
        <v>0</v>
      </c>
      <c r="L13" s="10">
        <f ca="1">VLOOKUP($B13,'[12]Analisys QBR By Machine Report'!$C$109:$BD$166,8,FALSE)</f>
        <v>10920</v>
      </c>
      <c r="M13" s="10">
        <f ca="1">VLOOKUP($B13,'[12]Analisys QBR By Machine Report'!$C$109:$BD$166,9,FALSE)</f>
        <v>4250</v>
      </c>
      <c r="N13" s="10">
        <f ca="1">VLOOKUP($B13,[12]Dasboard_QBR_Report!$B$109:$BL$166,18,FALSE)</f>
        <v>6670</v>
      </c>
      <c r="O13" s="10">
        <f ca="1">VLOOKUP($B13,'[12]Analisys QBR By Machine Report'!$C$109:$BD$166,10,FALSE)</f>
        <v>270</v>
      </c>
      <c r="P13" s="10">
        <f ca="1">VLOOKUP($B13,'[12]Analisys QBR By Machine Report'!$C$109:$BD$166,11,FALSE)</f>
        <v>210</v>
      </c>
      <c r="Q13" s="10">
        <f ca="1">VLOOKUP($B13,'[12]Analisys QBR By Machine Report'!$C$109:$BD$166,12,FALSE)</f>
        <v>0</v>
      </c>
      <c r="R13" s="10">
        <f ca="1">VLOOKUP($B13,'[12]Analisys QBR By Machine Report'!$C$109:$BD$166,13,FALSE)</f>
        <v>60</v>
      </c>
      <c r="S13" s="10">
        <f ca="1">VLOOKUP($B13,'[12]Analisys QBR By Machine Report'!$C$109:$BD$166,14,FALSE)</f>
        <v>0</v>
      </c>
      <c r="T13" s="10">
        <f ca="1">VLOOKUP($B13,'[12]Analisys QBR By Machine Report'!$C$109:$BD$166,15,FALSE)</f>
        <v>65</v>
      </c>
      <c r="U13" s="10">
        <f ca="1">VLOOKUP($B13,'[12]Analisys QBR By Machine Report'!$C$109:$BD$166,16,FALSE)</f>
        <v>65</v>
      </c>
      <c r="V13" s="10">
        <f ca="1">VLOOKUP($B13,'[12]Analisys QBR By Machine Report'!$C$109:$BD$166,17,FALSE)</f>
        <v>0</v>
      </c>
      <c r="W13" s="10">
        <f ca="1">VLOOKUP($B13,'[12]Analisys QBR By Machine Report'!$C$109:$BD$166,18,FALSE)</f>
        <v>0</v>
      </c>
      <c r="X13" s="10">
        <f ca="1">VLOOKUP($B13,'[12]Analisys QBR By Machine Report'!$C$109:$BD$166,19,FALSE)</f>
        <v>0</v>
      </c>
      <c r="Y13" s="10">
        <f ca="1">VLOOKUP($B13,'[12]Analisys QBR By Machine Report'!$C$109:$BD$166,20,FALSE)</f>
        <v>0</v>
      </c>
      <c r="Z13" s="10">
        <f ca="1">VLOOKUP($B13,'[12]Analisys QBR By Machine Report'!$C$109:$BD$166,21,FALSE)</f>
        <v>4490</v>
      </c>
      <c r="AA13" s="10">
        <f ca="1">VLOOKUP($B13,'[12]Analisys QBR By Machine Report'!$C$109:$BD$166,22,FALSE)</f>
        <v>960</v>
      </c>
      <c r="AB13" s="10">
        <f ca="1">VLOOKUP($B13,'[12]Analisys QBR By Machine Report'!$C$109:$BD$166,23,FALSE)</f>
        <v>3220</v>
      </c>
      <c r="AC13" s="10">
        <f ca="1">VLOOKUP($B13,'[12]Analisys QBR By Machine Report'!$C$109:$BD$166,24,FALSE)</f>
        <v>0</v>
      </c>
      <c r="AD13" s="10">
        <f ca="1">VLOOKUP($B13,'[12]Analisys QBR By Machine Report'!$C$109:$BD$166,25,FALSE)</f>
        <v>0</v>
      </c>
      <c r="AE13" s="10">
        <f ca="1">VLOOKUP($B13,'[12]Analisys QBR By Machine Report'!$C$109:$BD$166,26,FALSE)</f>
        <v>310</v>
      </c>
      <c r="AF13" s="10">
        <f ca="1">VLOOKUP($B13,'[12]Analisys QBR By Machine Report'!$C$109:$BD$166,27,FALSE)</f>
        <v>0</v>
      </c>
      <c r="AG13" s="10">
        <f ca="1">VLOOKUP($B13,'[12]Analisys QBR By Machine Report'!$C$109:$BD$166,28,FALSE)</f>
        <v>0</v>
      </c>
      <c r="AH13" s="10">
        <f ca="1">VLOOKUP($B13,'[12]Analisys QBR By Machine Report'!$C$109:$BD$166,29,FALSE)</f>
        <v>0</v>
      </c>
      <c r="AI13" s="10">
        <f ca="1">VLOOKUP($B13,'[12]Analisys QBR By Machine Report'!$C$109:$BD$166,30,FALSE)</f>
        <v>1845</v>
      </c>
      <c r="AJ13" s="10">
        <f ca="1">VLOOKUP($B13,'[12]Analisys QBR By Machine Report'!$C$109:$BD$166,31,FALSE)</f>
        <v>0</v>
      </c>
      <c r="AK13" s="10">
        <f ca="1">VLOOKUP($B13,'[12]Analisys QBR By Machine Report'!$C$109:$BD$166,32,FALSE)</f>
        <v>0</v>
      </c>
      <c r="AL13" s="10">
        <f ca="1">VLOOKUP($B13,'[12]Analisys QBR By Machine Report'!$C$109:$BD$166,33,FALSE)</f>
        <v>570</v>
      </c>
      <c r="AM13" s="10">
        <f ca="1">VLOOKUP($B13,'[12]Analisys QBR By Machine Report'!$C$109:$BD$166,34,FALSE)</f>
        <v>0</v>
      </c>
      <c r="AN13" s="10">
        <f ca="1">VLOOKUP($B13,'[12]Analisys QBR By Machine Report'!$C$109:$BD$166,35,FALSE)</f>
        <v>490</v>
      </c>
      <c r="AO13" s="10">
        <f ca="1">VLOOKUP($B13,'[12]Analisys QBR By Machine Report'!$C$109:$BD$166,36,FALSE)</f>
        <v>25</v>
      </c>
      <c r="AP13" s="10">
        <f ca="1">VLOOKUP($B13,'[12]Analisys QBR By Machine Report'!$C$109:$BD$166,37,FALSE)</f>
        <v>0</v>
      </c>
      <c r="AQ13" s="10">
        <f ca="1">VLOOKUP($B13,'[12]Analisys QBR By Machine Report'!$C$109:$BD$166,38,FALSE)</f>
        <v>0</v>
      </c>
      <c r="AR13" s="10">
        <f ca="1">VLOOKUP($B13,'[12]Analisys QBR By Machine Report'!$C$109:$BD$166,39,FALSE)</f>
        <v>365</v>
      </c>
      <c r="AS13" s="10">
        <f ca="1">VLOOKUP($B13,'[12]Analisys QBR By Machine Report'!$C$109:$BD$166,40,FALSE)</f>
        <v>200</v>
      </c>
      <c r="AT13" s="10">
        <f ca="1">VLOOKUP($B13,'[12]Analisys QBR By Machine Report'!$C$109:$BD$166,41,FALSE)</f>
        <v>0</v>
      </c>
      <c r="AU13" s="10">
        <f ca="1">VLOOKUP($B13,'[12]Analisys QBR By Machine Report'!$C$109:$BD$166,42,FALSE)</f>
        <v>0</v>
      </c>
      <c r="AV13" s="10">
        <f ca="1">VLOOKUP($B13,'[12]Analisys QBR By Machine Report'!$C$109:$BD$166,43,FALSE)</f>
        <v>0</v>
      </c>
      <c r="AW13" s="10">
        <f ca="1">VLOOKUP($B13,'[12]Analisys QBR By Machine Report'!$C$109:$BD$166,44,FALSE)</f>
        <v>0</v>
      </c>
      <c r="AX13" s="10">
        <f ca="1">VLOOKUP($B13,'[12]Analisys QBR By Machine Report'!$C$109:$BD$166,45,FALSE)</f>
        <v>0</v>
      </c>
      <c r="AY13" s="10">
        <f ca="1">VLOOKUP($B13,'[12]Analisys QBR By Machine Report'!$C$109:$BD$166,46,FALSE)</f>
        <v>0</v>
      </c>
      <c r="AZ13" s="10">
        <f ca="1">VLOOKUP($B13,'[12]Analisys QBR By Machine Report'!$C$109:$BD$166,47,FALSE)</f>
        <v>110</v>
      </c>
      <c r="BA13" s="10">
        <f ca="1">VLOOKUP($B13,'[12]Analisys QBR By Machine Report'!$C$109:$BD$166,48,FALSE)</f>
        <v>85</v>
      </c>
      <c r="BB13" s="10">
        <f ca="1">VLOOKUP($B13,'[12]Analisys QBR By Machine Report'!$C$109:$BD$166,49,FALSE)</f>
        <v>0</v>
      </c>
      <c r="BC13" s="10">
        <f ca="1">VLOOKUP($B13,'[12]Analisys QBR By Machine Report'!$C$109:$BD$166,50,FALSE)</f>
        <v>0</v>
      </c>
      <c r="BD13" s="10">
        <f ca="1">VLOOKUP($B13,'[12]Analisys QBR By Machine Report'!$C$109:$BD$166,51,FALSE)</f>
        <v>1444.62</v>
      </c>
      <c r="BE13" s="10">
        <f ca="1">VLOOKUP($B13,'[12]Analisys QBR By Machine Report'!$C$109:$BD$166,52,FALSE)</f>
        <v>0.45</v>
      </c>
      <c r="BF13" s="10">
        <f ca="1">VLOOKUP($B13,'[12]Analisys QBR By Machine Report'!$C$109:$BD$166,53,FALSE)</f>
        <v>1444.17</v>
      </c>
    </row>
    <row r="14" spans="1:58" x14ac:dyDescent="0.25">
      <c r="A14" s="12" t="s">
        <v>70</v>
      </c>
      <c r="B14" s="13">
        <f ca="1">VLOOKUP($B14,'[12]Analisys QBR By Machine Report'!$C$109:$BD$166,2,FALSE)</f>
        <v>25920</v>
      </c>
      <c r="C14" s="14">
        <f ca="1">VLOOKUP($B14,[12]Dasboard_QBR_Report!$B$109:$BL$166,3,FALSE)</f>
        <v>8640</v>
      </c>
      <c r="D14" s="13">
        <f ca="1">VLOOKUP($B14,'[12]Analisys QBR By Machine Report'!$C$109:$BD$166,3,FALSE)</f>
        <v>19230</v>
      </c>
      <c r="E14" s="14">
        <f ca="1">VLOOKUP($B14,[12]Dasboard_QBR_Report!$B$109:$BL$166,5,FALSE)</f>
        <v>1950</v>
      </c>
      <c r="F14" s="13">
        <f t="shared" ca="1" si="0"/>
        <v>6690</v>
      </c>
      <c r="G14" s="13">
        <f t="shared" ca="1" si="1"/>
        <v>15</v>
      </c>
      <c r="H14" s="13">
        <f ca="1">VLOOKUP($B14,'[12]Analisys QBR By Machine Report'!$C$109:$BD$166,4,FALSE)</f>
        <v>15</v>
      </c>
      <c r="I14" s="13">
        <f ca="1">VLOOKUP($B14,'[12]Analisys QBR By Machine Report'!$C$109:$BD$166,5,FALSE)</f>
        <v>15</v>
      </c>
      <c r="J14" s="13">
        <f ca="1">VLOOKUP($B14,'[12]Analisys QBR By Machine Report'!$C$109:$BD$166,6,FALSE)</f>
        <v>0</v>
      </c>
      <c r="K14" s="13">
        <f ca="1">VLOOKUP($B14,'[12]Analisys QBR By Machine Report'!$C$109:$BD$166,7,FALSE)</f>
        <v>0</v>
      </c>
      <c r="L14" s="13">
        <f ca="1">VLOOKUP($B14,'[12]Analisys QBR By Machine Report'!$C$109:$BD$166,8,FALSE)</f>
        <v>6675</v>
      </c>
      <c r="M14" s="13">
        <f ca="1">VLOOKUP($B14,'[12]Analisys QBR By Machine Report'!$C$109:$BD$166,9,FALSE)</f>
        <v>2335</v>
      </c>
      <c r="N14" s="13">
        <f ca="1">VLOOKUP($B14,[12]Dasboard_QBR_Report!$B$109:$BL$166,18,FALSE)</f>
        <v>4340</v>
      </c>
      <c r="O14" s="13">
        <f ca="1">VLOOKUP($B14,'[12]Analisys QBR By Machine Report'!$C$109:$BD$166,10,FALSE)</f>
        <v>165</v>
      </c>
      <c r="P14" s="13">
        <f ca="1">VLOOKUP($B14,'[12]Analisys QBR By Machine Report'!$C$109:$BD$166,11,FALSE)</f>
        <v>125</v>
      </c>
      <c r="Q14" s="13">
        <f ca="1">VLOOKUP($B14,'[12]Analisys QBR By Machine Report'!$C$109:$BD$166,12,FALSE)</f>
        <v>0</v>
      </c>
      <c r="R14" s="13">
        <f ca="1">VLOOKUP($B14,'[12]Analisys QBR By Machine Report'!$C$109:$BD$166,13,FALSE)</f>
        <v>40</v>
      </c>
      <c r="S14" s="13">
        <f ca="1">VLOOKUP($B14,'[12]Analisys QBR By Machine Report'!$C$109:$BD$166,14,FALSE)</f>
        <v>0</v>
      </c>
      <c r="T14" s="13">
        <f ca="1">VLOOKUP($B14,'[12]Analisys QBR By Machine Report'!$C$109:$BD$166,15,FALSE)</f>
        <v>15</v>
      </c>
      <c r="U14" s="13">
        <f ca="1">VLOOKUP($B14,'[12]Analisys QBR By Machine Report'!$C$109:$BD$166,16,FALSE)</f>
        <v>15</v>
      </c>
      <c r="V14" s="13">
        <f ca="1">VLOOKUP($B14,'[12]Analisys QBR By Machine Report'!$C$109:$BD$166,17,FALSE)</f>
        <v>0</v>
      </c>
      <c r="W14" s="13">
        <f ca="1">VLOOKUP($B14,'[12]Analisys QBR By Machine Report'!$C$109:$BD$166,18,FALSE)</f>
        <v>0</v>
      </c>
      <c r="X14" s="13">
        <f ca="1">VLOOKUP($B14,'[12]Analisys QBR By Machine Report'!$C$109:$BD$166,19,FALSE)</f>
        <v>0</v>
      </c>
      <c r="Y14" s="13">
        <f ca="1">VLOOKUP($B14,'[12]Analisys QBR By Machine Report'!$C$109:$BD$166,20,FALSE)</f>
        <v>0</v>
      </c>
      <c r="Z14" s="13">
        <f ca="1">VLOOKUP($B14,'[12]Analisys QBR By Machine Report'!$C$109:$BD$166,21,FALSE)</f>
        <v>2940</v>
      </c>
      <c r="AA14" s="13">
        <f ca="1">VLOOKUP($B14,'[12]Analisys QBR By Machine Report'!$C$109:$BD$166,22,FALSE)</f>
        <v>610</v>
      </c>
      <c r="AB14" s="13">
        <f ca="1">VLOOKUP($B14,'[12]Analisys QBR By Machine Report'!$C$109:$BD$166,23,FALSE)</f>
        <v>2100</v>
      </c>
      <c r="AC14" s="13">
        <f ca="1">VLOOKUP($B14,'[12]Analisys QBR By Machine Report'!$C$109:$BD$166,24,FALSE)</f>
        <v>0</v>
      </c>
      <c r="AD14" s="13">
        <f ca="1">VLOOKUP($B14,'[12]Analisys QBR By Machine Report'!$C$109:$BD$166,25,FALSE)</f>
        <v>0</v>
      </c>
      <c r="AE14" s="13">
        <f ca="1">VLOOKUP($B14,'[12]Analisys QBR By Machine Report'!$C$109:$BD$166,26,FALSE)</f>
        <v>230</v>
      </c>
      <c r="AF14" s="13">
        <f ca="1">VLOOKUP($B14,'[12]Analisys QBR By Machine Report'!$C$109:$BD$166,27,FALSE)</f>
        <v>0</v>
      </c>
      <c r="AG14" s="13">
        <f ca="1">VLOOKUP($B14,'[12]Analisys QBR By Machine Report'!$C$109:$BD$166,28,FALSE)</f>
        <v>0</v>
      </c>
      <c r="AH14" s="13">
        <f ca="1">VLOOKUP($B14,'[12]Analisys QBR By Machine Report'!$C$109:$BD$166,29,FALSE)</f>
        <v>0</v>
      </c>
      <c r="AI14" s="13">
        <f ca="1">VLOOKUP($B14,'[12]Analisys QBR By Machine Report'!$C$109:$BD$166,30,FALSE)</f>
        <v>1220</v>
      </c>
      <c r="AJ14" s="13">
        <f ca="1">VLOOKUP($B14,'[12]Analisys QBR By Machine Report'!$C$109:$BD$166,31,FALSE)</f>
        <v>0</v>
      </c>
      <c r="AK14" s="13">
        <f ca="1">VLOOKUP($B14,'[12]Analisys QBR By Machine Report'!$C$109:$BD$166,32,FALSE)</f>
        <v>0</v>
      </c>
      <c r="AL14" s="13">
        <f ca="1">VLOOKUP($B14,'[12]Analisys QBR By Machine Report'!$C$109:$BD$166,33,FALSE)</f>
        <v>420</v>
      </c>
      <c r="AM14" s="13">
        <f ca="1">VLOOKUP($B14,'[12]Analisys QBR By Machine Report'!$C$109:$BD$166,34,FALSE)</f>
        <v>0</v>
      </c>
      <c r="AN14" s="13">
        <f ca="1">VLOOKUP($B14,'[12]Analisys QBR By Machine Report'!$C$109:$BD$166,35,FALSE)</f>
        <v>325</v>
      </c>
      <c r="AO14" s="13">
        <f ca="1">VLOOKUP($B14,'[12]Analisys QBR By Machine Report'!$C$109:$BD$166,36,FALSE)</f>
        <v>0</v>
      </c>
      <c r="AP14" s="13">
        <f ca="1">VLOOKUP($B14,'[12]Analisys QBR By Machine Report'!$C$109:$BD$166,37,FALSE)</f>
        <v>0</v>
      </c>
      <c r="AQ14" s="13">
        <f ca="1">VLOOKUP($B14,'[12]Analisys QBR By Machine Report'!$C$109:$BD$166,38,FALSE)</f>
        <v>0</v>
      </c>
      <c r="AR14" s="13">
        <f ca="1">VLOOKUP($B14,'[12]Analisys QBR By Machine Report'!$C$109:$BD$166,39,FALSE)</f>
        <v>210</v>
      </c>
      <c r="AS14" s="13">
        <f ca="1">VLOOKUP($B14,'[12]Analisys QBR By Machine Report'!$C$109:$BD$166,40,FALSE)</f>
        <v>125</v>
      </c>
      <c r="AT14" s="13">
        <f ca="1">VLOOKUP($B14,'[12]Analisys QBR By Machine Report'!$C$109:$BD$166,41,FALSE)</f>
        <v>0</v>
      </c>
      <c r="AU14" s="13">
        <f ca="1">VLOOKUP($B14,'[12]Analisys QBR By Machine Report'!$C$109:$BD$166,42,FALSE)</f>
        <v>0</v>
      </c>
      <c r="AV14" s="13">
        <f ca="1">VLOOKUP($B14,'[12]Analisys QBR By Machine Report'!$C$109:$BD$166,43,FALSE)</f>
        <v>0</v>
      </c>
      <c r="AW14" s="13">
        <f ca="1">VLOOKUP($B14,'[12]Analisys QBR By Machine Report'!$C$109:$BD$166,44,FALSE)</f>
        <v>0</v>
      </c>
      <c r="AX14" s="13">
        <f ca="1">VLOOKUP($B14,'[12]Analisys QBR By Machine Report'!$C$109:$BD$166,45,FALSE)</f>
        <v>0</v>
      </c>
      <c r="AY14" s="13">
        <f ca="1">VLOOKUP($B14,'[12]Analisys QBR By Machine Report'!$C$109:$BD$166,46,FALSE)</f>
        <v>0</v>
      </c>
      <c r="AZ14" s="13">
        <f ca="1">VLOOKUP($B14,'[12]Analisys QBR By Machine Report'!$C$109:$BD$166,47,FALSE)</f>
        <v>85</v>
      </c>
      <c r="BA14" s="13">
        <f ca="1">VLOOKUP($B14,'[12]Analisys QBR By Machine Report'!$C$109:$BD$166,48,FALSE)</f>
        <v>55</v>
      </c>
      <c r="BB14" s="13">
        <f ca="1">VLOOKUP($B14,'[12]Analisys QBR By Machine Report'!$C$109:$BD$166,49,FALSE)</f>
        <v>0</v>
      </c>
      <c r="BC14" s="13">
        <f ca="1">VLOOKUP($B14,'[12]Analisys QBR By Machine Report'!$C$109:$BD$166,50,FALSE)</f>
        <v>0</v>
      </c>
      <c r="BD14" s="13">
        <f ca="1">VLOOKUP($B14,'[12]Analisys QBR By Machine Report'!$C$109:$BD$166,51,FALSE)</f>
        <v>544.79</v>
      </c>
      <c r="BE14" s="13">
        <f ca="1">VLOOKUP($B14,'[12]Analisys QBR By Machine Report'!$C$109:$BD$166,52,FALSE)</f>
        <v>0.33</v>
      </c>
      <c r="BF14" s="13">
        <f ca="1">VLOOKUP($B14,'[12]Analisys QBR By Machine Report'!$C$109:$BD$166,53,FALSE)</f>
        <v>544.46</v>
      </c>
    </row>
    <row r="15" spans="1:58" x14ac:dyDescent="0.25">
      <c r="A15" s="12" t="s">
        <v>71</v>
      </c>
      <c r="B15" s="13">
        <f ca="1">VLOOKUP($B15,'[12]Analisys QBR By Machine Report'!$C$109:$BD$166,2,FALSE)</f>
        <v>25920</v>
      </c>
      <c r="C15" s="14">
        <f ca="1">VLOOKUP($B15,[12]Dasboard_QBR_Report!$B$109:$BL$166,3,FALSE)</f>
        <v>8640</v>
      </c>
      <c r="D15" s="13">
        <f ca="1">VLOOKUP($B15,'[12]Analisys QBR By Machine Report'!$C$109:$BD$166,3,FALSE)</f>
        <v>21600</v>
      </c>
      <c r="E15" s="14">
        <f ca="1">VLOOKUP($B15,[12]Dasboard_QBR_Report!$B$109:$BL$166,5,FALSE)</f>
        <v>4320</v>
      </c>
      <c r="F15" s="13">
        <f t="shared" ca="1" si="0"/>
        <v>4320</v>
      </c>
      <c r="G15" s="13">
        <f t="shared" ca="1" si="1"/>
        <v>75</v>
      </c>
      <c r="H15" s="13">
        <f ca="1">VLOOKUP($B15,'[12]Analisys QBR By Machine Report'!$C$109:$BD$166,4,FALSE)</f>
        <v>75</v>
      </c>
      <c r="I15" s="13">
        <f ca="1">VLOOKUP($B15,'[12]Analisys QBR By Machine Report'!$C$109:$BD$166,5,FALSE)</f>
        <v>0</v>
      </c>
      <c r="J15" s="13">
        <f ca="1">VLOOKUP($B15,'[12]Analisys QBR By Machine Report'!$C$109:$BD$166,6,FALSE)</f>
        <v>75</v>
      </c>
      <c r="K15" s="13">
        <f ca="1">VLOOKUP($B15,'[12]Analisys QBR By Machine Report'!$C$109:$BD$166,7,FALSE)</f>
        <v>0</v>
      </c>
      <c r="L15" s="13">
        <f ca="1">VLOOKUP($B15,'[12]Analisys QBR By Machine Report'!$C$109:$BD$166,8,FALSE)</f>
        <v>4245</v>
      </c>
      <c r="M15" s="13">
        <f ca="1">VLOOKUP($B15,'[12]Analisys QBR By Machine Report'!$C$109:$BD$166,9,FALSE)</f>
        <v>1915</v>
      </c>
      <c r="N15" s="13">
        <f ca="1">VLOOKUP($B15,[12]Dasboard_QBR_Report!$B$109:$BL$166,18,FALSE)</f>
        <v>2330</v>
      </c>
      <c r="O15" s="13">
        <f ca="1">VLOOKUP($B15,'[12]Analisys QBR By Machine Report'!$C$109:$BD$166,10,FALSE)</f>
        <v>105</v>
      </c>
      <c r="P15" s="13">
        <f ca="1">VLOOKUP($B15,'[12]Analisys QBR By Machine Report'!$C$109:$BD$166,11,FALSE)</f>
        <v>85</v>
      </c>
      <c r="Q15" s="13">
        <f ca="1">VLOOKUP($B15,'[12]Analisys QBR By Machine Report'!$C$109:$BD$166,12,FALSE)</f>
        <v>0</v>
      </c>
      <c r="R15" s="13">
        <f ca="1">VLOOKUP($B15,'[12]Analisys QBR By Machine Report'!$C$109:$BD$166,13,FALSE)</f>
        <v>20</v>
      </c>
      <c r="S15" s="13">
        <f ca="1">VLOOKUP($B15,'[12]Analisys QBR By Machine Report'!$C$109:$BD$166,14,FALSE)</f>
        <v>0</v>
      </c>
      <c r="T15" s="13">
        <f ca="1">VLOOKUP($B15,'[12]Analisys QBR By Machine Report'!$C$109:$BD$166,15,FALSE)</f>
        <v>50</v>
      </c>
      <c r="U15" s="13">
        <f ca="1">VLOOKUP($B15,'[12]Analisys QBR By Machine Report'!$C$109:$BD$166,16,FALSE)</f>
        <v>50</v>
      </c>
      <c r="V15" s="13">
        <f ca="1">VLOOKUP($B15,'[12]Analisys QBR By Machine Report'!$C$109:$BD$166,17,FALSE)</f>
        <v>0</v>
      </c>
      <c r="W15" s="13">
        <f ca="1">VLOOKUP($B15,'[12]Analisys QBR By Machine Report'!$C$109:$BD$166,18,FALSE)</f>
        <v>0</v>
      </c>
      <c r="X15" s="13">
        <f ca="1">VLOOKUP($B15,'[12]Analisys QBR By Machine Report'!$C$109:$BD$166,19,FALSE)</f>
        <v>0</v>
      </c>
      <c r="Y15" s="13">
        <f ca="1">VLOOKUP($B15,'[12]Analisys QBR By Machine Report'!$C$109:$BD$166,20,FALSE)</f>
        <v>0</v>
      </c>
      <c r="Z15" s="13">
        <f ca="1">VLOOKUP($B15,'[12]Analisys QBR By Machine Report'!$C$109:$BD$166,21,FALSE)</f>
        <v>1550</v>
      </c>
      <c r="AA15" s="13">
        <f ca="1">VLOOKUP($B15,'[12]Analisys QBR By Machine Report'!$C$109:$BD$166,22,FALSE)</f>
        <v>350</v>
      </c>
      <c r="AB15" s="13">
        <f ca="1">VLOOKUP($B15,'[12]Analisys QBR By Machine Report'!$C$109:$BD$166,23,FALSE)</f>
        <v>1120</v>
      </c>
      <c r="AC15" s="13">
        <f ca="1">VLOOKUP($B15,'[12]Analisys QBR By Machine Report'!$C$109:$BD$166,24,FALSE)</f>
        <v>0</v>
      </c>
      <c r="AD15" s="13">
        <f ca="1">VLOOKUP($B15,'[12]Analisys QBR By Machine Report'!$C$109:$BD$166,25,FALSE)</f>
        <v>0</v>
      </c>
      <c r="AE15" s="13">
        <f ca="1">VLOOKUP($B15,'[12]Analisys QBR By Machine Report'!$C$109:$BD$166,26,FALSE)</f>
        <v>80</v>
      </c>
      <c r="AF15" s="13">
        <f ca="1">VLOOKUP($B15,'[12]Analisys QBR By Machine Report'!$C$109:$BD$166,27,FALSE)</f>
        <v>0</v>
      </c>
      <c r="AG15" s="13">
        <f ca="1">VLOOKUP($B15,'[12]Analisys QBR By Machine Report'!$C$109:$BD$166,28,FALSE)</f>
        <v>0</v>
      </c>
      <c r="AH15" s="13">
        <f ca="1">VLOOKUP($B15,'[12]Analisys QBR By Machine Report'!$C$109:$BD$166,29,FALSE)</f>
        <v>0</v>
      </c>
      <c r="AI15" s="13">
        <f ca="1">VLOOKUP($B15,'[12]Analisys QBR By Machine Report'!$C$109:$BD$166,30,FALSE)</f>
        <v>625</v>
      </c>
      <c r="AJ15" s="13">
        <f ca="1">VLOOKUP($B15,'[12]Analisys QBR By Machine Report'!$C$109:$BD$166,31,FALSE)</f>
        <v>0</v>
      </c>
      <c r="AK15" s="13">
        <f ca="1">VLOOKUP($B15,'[12]Analisys QBR By Machine Report'!$C$109:$BD$166,32,FALSE)</f>
        <v>0</v>
      </c>
      <c r="AL15" s="13">
        <f ca="1">VLOOKUP($B15,'[12]Analisys QBR By Machine Report'!$C$109:$BD$166,33,FALSE)</f>
        <v>150</v>
      </c>
      <c r="AM15" s="13">
        <f ca="1">VLOOKUP($B15,'[12]Analisys QBR By Machine Report'!$C$109:$BD$166,34,FALSE)</f>
        <v>0</v>
      </c>
      <c r="AN15" s="13">
        <f ca="1">VLOOKUP($B15,'[12]Analisys QBR By Machine Report'!$C$109:$BD$166,35,FALSE)</f>
        <v>165</v>
      </c>
      <c r="AO15" s="13">
        <f ca="1">VLOOKUP($B15,'[12]Analisys QBR By Machine Report'!$C$109:$BD$166,36,FALSE)</f>
        <v>25</v>
      </c>
      <c r="AP15" s="13">
        <f ca="1">VLOOKUP($B15,'[12]Analisys QBR By Machine Report'!$C$109:$BD$166,37,FALSE)</f>
        <v>0</v>
      </c>
      <c r="AQ15" s="13">
        <f ca="1">VLOOKUP($B15,'[12]Analisys QBR By Machine Report'!$C$109:$BD$166,38,FALSE)</f>
        <v>0</v>
      </c>
      <c r="AR15" s="13">
        <f ca="1">VLOOKUP($B15,'[12]Analisys QBR By Machine Report'!$C$109:$BD$166,39,FALSE)</f>
        <v>155</v>
      </c>
      <c r="AS15" s="13">
        <f ca="1">VLOOKUP($B15,'[12]Analisys QBR By Machine Report'!$C$109:$BD$166,40,FALSE)</f>
        <v>75</v>
      </c>
      <c r="AT15" s="13">
        <f ca="1">VLOOKUP($B15,'[12]Analisys QBR By Machine Report'!$C$109:$BD$166,41,FALSE)</f>
        <v>0</v>
      </c>
      <c r="AU15" s="13">
        <f ca="1">VLOOKUP($B15,'[12]Analisys QBR By Machine Report'!$C$109:$BD$166,42,FALSE)</f>
        <v>0</v>
      </c>
      <c r="AV15" s="13">
        <f ca="1">VLOOKUP($B15,'[12]Analisys QBR By Machine Report'!$C$109:$BD$166,43,FALSE)</f>
        <v>0</v>
      </c>
      <c r="AW15" s="13">
        <f ca="1">VLOOKUP($B15,'[12]Analisys QBR By Machine Report'!$C$109:$BD$166,44,FALSE)</f>
        <v>0</v>
      </c>
      <c r="AX15" s="13">
        <f ca="1">VLOOKUP($B15,'[12]Analisys QBR By Machine Report'!$C$109:$BD$166,45,FALSE)</f>
        <v>0</v>
      </c>
      <c r="AY15" s="13">
        <f ca="1">VLOOKUP($B15,'[12]Analisys QBR By Machine Report'!$C$109:$BD$166,46,FALSE)</f>
        <v>0</v>
      </c>
      <c r="AZ15" s="13">
        <f ca="1">VLOOKUP($B15,'[12]Analisys QBR By Machine Report'!$C$109:$BD$166,47,FALSE)</f>
        <v>25</v>
      </c>
      <c r="BA15" s="13">
        <f ca="1">VLOOKUP($B15,'[12]Analisys QBR By Machine Report'!$C$109:$BD$166,48,FALSE)</f>
        <v>30</v>
      </c>
      <c r="BB15" s="13">
        <f ca="1">VLOOKUP($B15,'[12]Analisys QBR By Machine Report'!$C$109:$BD$166,49,FALSE)</f>
        <v>0</v>
      </c>
      <c r="BC15" s="13">
        <f ca="1">VLOOKUP($B15,'[12]Analisys QBR By Machine Report'!$C$109:$BD$166,50,FALSE)</f>
        <v>0</v>
      </c>
      <c r="BD15" s="13">
        <f ca="1">VLOOKUP($B15,'[12]Analisys QBR By Machine Report'!$C$109:$BD$166,51,FALSE)</f>
        <v>899.83</v>
      </c>
      <c r="BE15" s="13">
        <f ca="1">VLOOKUP($B15,'[12]Analisys QBR By Machine Report'!$C$109:$BD$166,52,FALSE)</f>
        <v>0.12</v>
      </c>
      <c r="BF15" s="13">
        <f ca="1">VLOOKUP($B15,'[12]Analisys QBR By Machine Report'!$C$109:$BD$166,53,FALSE)</f>
        <v>899.71</v>
      </c>
    </row>
    <row r="16" spans="1:58" x14ac:dyDescent="0.25">
      <c r="A16" s="9" t="s">
        <v>72</v>
      </c>
      <c r="B16" s="10">
        <f ca="1">VLOOKUP($B16,'[12]Analisys QBR By Machine Report'!$C$109:$BD$166,2,FALSE)</f>
        <v>129600</v>
      </c>
      <c r="C16" s="11">
        <f ca="1">VLOOKUP($B16,[12]Dasboard_QBR_Report!$B$109:$BL$166,3,FALSE)</f>
        <v>59400</v>
      </c>
      <c r="D16" s="10">
        <f ca="1">VLOOKUP($B16,'[12]Analisys QBR By Machine Report'!$C$109:$BD$166,3,FALSE)</f>
        <v>81450</v>
      </c>
      <c r="E16" s="11">
        <f ca="1">VLOOKUP($B16,[12]Dasboard_QBR_Report!$B$109:$BL$166,5,FALSE)</f>
        <v>11250</v>
      </c>
      <c r="F16" s="10">
        <f t="shared" ca="1" si="0"/>
        <v>48150</v>
      </c>
      <c r="G16" s="10">
        <f t="shared" ca="1" si="1"/>
        <v>3360</v>
      </c>
      <c r="H16" s="10">
        <f ca="1">VLOOKUP($B16,'[12]Analisys QBR By Machine Report'!$C$109:$BD$166,4,FALSE)</f>
        <v>3360</v>
      </c>
      <c r="I16" s="10">
        <f ca="1">VLOOKUP($B16,'[12]Analisys QBR By Machine Report'!$C$109:$BD$166,5,FALSE)</f>
        <v>30</v>
      </c>
      <c r="J16" s="10">
        <f ca="1">VLOOKUP($B16,'[12]Analisys QBR By Machine Report'!$C$109:$BD$166,6,FALSE)</f>
        <v>3330</v>
      </c>
      <c r="K16" s="10">
        <f ca="1">VLOOKUP($B16,'[12]Analisys QBR By Machine Report'!$C$109:$BD$166,7,FALSE)</f>
        <v>0</v>
      </c>
      <c r="L16" s="10">
        <f ca="1">VLOOKUP($B16,'[12]Analisys QBR By Machine Report'!$C$109:$BD$166,8,FALSE)</f>
        <v>44790</v>
      </c>
      <c r="M16" s="10">
        <f ca="1">VLOOKUP($B16,'[12]Analisys QBR By Machine Report'!$C$109:$BD$166,9,FALSE)</f>
        <v>18790</v>
      </c>
      <c r="N16" s="10">
        <f ca="1">VLOOKUP($B16,[12]Dasboard_QBR_Report!$B$109:$BL$166,18,FALSE)</f>
        <v>26000</v>
      </c>
      <c r="O16" s="10">
        <f ca="1">VLOOKUP($B16,'[12]Analisys QBR By Machine Report'!$C$109:$BD$166,10,FALSE)</f>
        <v>7310</v>
      </c>
      <c r="P16" s="10">
        <f ca="1">VLOOKUP($B16,'[12]Analisys QBR By Machine Report'!$C$109:$BD$166,11,FALSE)</f>
        <v>3835</v>
      </c>
      <c r="Q16" s="10">
        <f ca="1">VLOOKUP($B16,'[12]Analisys QBR By Machine Report'!$C$109:$BD$166,12,FALSE)</f>
        <v>0</v>
      </c>
      <c r="R16" s="10">
        <f ca="1">VLOOKUP($B16,'[12]Analisys QBR By Machine Report'!$C$109:$BD$166,13,FALSE)</f>
        <v>3455</v>
      </c>
      <c r="S16" s="10">
        <f ca="1">VLOOKUP($B16,'[12]Analisys QBR By Machine Report'!$C$109:$BD$166,14,FALSE)</f>
        <v>20</v>
      </c>
      <c r="T16" s="10">
        <f ca="1">VLOOKUP($B16,'[12]Analisys QBR By Machine Report'!$C$109:$BD$166,15,FALSE)</f>
        <v>90</v>
      </c>
      <c r="U16" s="10">
        <f ca="1">VLOOKUP($B16,'[12]Analisys QBR By Machine Report'!$C$109:$BD$166,16,FALSE)</f>
        <v>0</v>
      </c>
      <c r="V16" s="10">
        <f ca="1">VLOOKUP($B16,'[12]Analisys QBR By Machine Report'!$C$109:$BD$166,17,FALSE)</f>
        <v>0</v>
      </c>
      <c r="W16" s="10">
        <f ca="1">VLOOKUP($B16,'[12]Analisys QBR By Machine Report'!$C$109:$BD$166,18,FALSE)</f>
        <v>0</v>
      </c>
      <c r="X16" s="10">
        <f ca="1">VLOOKUP($B16,'[12]Analisys QBR By Machine Report'!$C$109:$BD$166,19,FALSE)</f>
        <v>0</v>
      </c>
      <c r="Y16" s="10">
        <f ca="1">VLOOKUP($B16,'[12]Analisys QBR By Machine Report'!$C$109:$BD$166,20,FALSE)</f>
        <v>90</v>
      </c>
      <c r="Z16" s="10">
        <f ca="1">VLOOKUP($B16,'[12]Analisys QBR By Machine Report'!$C$109:$BD$166,21,FALSE)</f>
        <v>9075</v>
      </c>
      <c r="AA16" s="10">
        <f ca="1">VLOOKUP($B16,'[12]Analisys QBR By Machine Report'!$C$109:$BD$166,22,FALSE)</f>
        <v>4860</v>
      </c>
      <c r="AB16" s="10">
        <f ca="1">VLOOKUP($B16,'[12]Analisys QBR By Machine Report'!$C$109:$BD$166,23,FALSE)</f>
        <v>1510</v>
      </c>
      <c r="AC16" s="10">
        <f ca="1">VLOOKUP($B16,'[12]Analisys QBR By Machine Report'!$C$109:$BD$166,24,FALSE)</f>
        <v>1855</v>
      </c>
      <c r="AD16" s="10">
        <f ca="1">VLOOKUP($B16,'[12]Analisys QBR By Machine Report'!$C$109:$BD$166,25,FALSE)</f>
        <v>35</v>
      </c>
      <c r="AE16" s="10">
        <f ca="1">VLOOKUP($B16,'[12]Analisys QBR By Machine Report'!$C$109:$BD$166,26,FALSE)</f>
        <v>815</v>
      </c>
      <c r="AF16" s="10">
        <f ca="1">VLOOKUP($B16,'[12]Analisys QBR By Machine Report'!$C$109:$BD$166,27,FALSE)</f>
        <v>505</v>
      </c>
      <c r="AG16" s="10">
        <f ca="1">VLOOKUP($B16,'[12]Analisys QBR By Machine Report'!$C$109:$BD$166,28,FALSE)</f>
        <v>0</v>
      </c>
      <c r="AH16" s="10">
        <f ca="1">VLOOKUP($B16,'[12]Analisys QBR By Machine Report'!$C$109:$BD$166,29,FALSE)</f>
        <v>505</v>
      </c>
      <c r="AI16" s="10">
        <f ca="1">VLOOKUP($B16,'[12]Analisys QBR By Machine Report'!$C$109:$BD$166,30,FALSE)</f>
        <v>9020</v>
      </c>
      <c r="AJ16" s="10">
        <f ca="1">VLOOKUP($B16,'[12]Analisys QBR By Machine Report'!$C$109:$BD$166,31,FALSE)</f>
        <v>0</v>
      </c>
      <c r="AK16" s="10">
        <f ca="1">VLOOKUP($B16,'[12]Analisys QBR By Machine Report'!$C$109:$BD$166,32,FALSE)</f>
        <v>0</v>
      </c>
      <c r="AL16" s="10">
        <f ca="1">VLOOKUP($B16,'[12]Analisys QBR By Machine Report'!$C$109:$BD$166,33,FALSE)</f>
        <v>2830</v>
      </c>
      <c r="AM16" s="10">
        <f ca="1">VLOOKUP($B16,'[12]Analisys QBR By Machine Report'!$C$109:$BD$166,34,FALSE)</f>
        <v>0</v>
      </c>
      <c r="AN16" s="10">
        <f ca="1">VLOOKUP($B16,'[12]Analisys QBR By Machine Report'!$C$109:$BD$166,35,FALSE)</f>
        <v>2495</v>
      </c>
      <c r="AO16" s="10">
        <f ca="1">VLOOKUP($B16,'[12]Analisys QBR By Machine Report'!$C$109:$BD$166,36,FALSE)</f>
        <v>45</v>
      </c>
      <c r="AP16" s="10">
        <f ca="1">VLOOKUP($B16,'[12]Analisys QBR By Machine Report'!$C$109:$BD$166,37,FALSE)</f>
        <v>90</v>
      </c>
      <c r="AQ16" s="10">
        <f ca="1">VLOOKUP($B16,'[12]Analisys QBR By Machine Report'!$C$109:$BD$166,38,FALSE)</f>
        <v>0</v>
      </c>
      <c r="AR16" s="10">
        <f ca="1">VLOOKUP($B16,'[12]Analisys QBR By Machine Report'!$C$109:$BD$166,39,FALSE)</f>
        <v>135</v>
      </c>
      <c r="AS16" s="10">
        <f ca="1">VLOOKUP($B16,'[12]Analisys QBR By Machine Report'!$C$109:$BD$166,40,FALSE)</f>
        <v>1440</v>
      </c>
      <c r="AT16" s="10">
        <f ca="1">VLOOKUP($B16,'[12]Analisys QBR By Machine Report'!$C$109:$BD$166,41,FALSE)</f>
        <v>0</v>
      </c>
      <c r="AU16" s="10">
        <f ca="1">VLOOKUP($B16,'[12]Analisys QBR By Machine Report'!$C$109:$BD$166,42,FALSE)</f>
        <v>0</v>
      </c>
      <c r="AV16" s="10">
        <f ca="1">VLOOKUP($B16,'[12]Analisys QBR By Machine Report'!$C$109:$BD$166,43,FALSE)</f>
        <v>0</v>
      </c>
      <c r="AW16" s="10">
        <f ca="1">VLOOKUP($B16,'[12]Analisys QBR By Machine Report'!$C$109:$BD$166,44,FALSE)</f>
        <v>0</v>
      </c>
      <c r="AX16" s="10">
        <f ca="1">VLOOKUP($B16,'[12]Analisys QBR By Machine Report'!$C$109:$BD$166,45,FALSE)</f>
        <v>0</v>
      </c>
      <c r="AY16" s="10">
        <f ca="1">VLOOKUP($B16,'[12]Analisys QBR By Machine Report'!$C$109:$BD$166,46,FALSE)</f>
        <v>0</v>
      </c>
      <c r="AZ16" s="10">
        <f ca="1">VLOOKUP($B16,'[12]Analisys QBR By Machine Report'!$C$109:$BD$166,47,FALSE)</f>
        <v>1900</v>
      </c>
      <c r="BA16" s="10">
        <f ca="1">VLOOKUP($B16,'[12]Analisys QBR By Machine Report'!$C$109:$BD$166,48,FALSE)</f>
        <v>85</v>
      </c>
      <c r="BB16" s="10">
        <f ca="1">VLOOKUP($B16,'[12]Analisys QBR By Machine Report'!$C$109:$BD$166,49,FALSE)</f>
        <v>0</v>
      </c>
      <c r="BC16" s="10">
        <f ca="1">VLOOKUP($B16,'[12]Analisys QBR By Machine Report'!$C$109:$BD$166,50,FALSE)</f>
        <v>0</v>
      </c>
      <c r="BD16" s="10">
        <f ca="1">VLOOKUP($B16,'[12]Analisys QBR By Machine Report'!$C$109:$BD$166,51,FALSE)</f>
        <v>10294460</v>
      </c>
      <c r="BE16" s="10">
        <f ca="1">VLOOKUP($B16,'[12]Analisys QBR By Machine Report'!$C$109:$BD$166,52,FALSE)</f>
        <v>48151</v>
      </c>
      <c r="BF16" s="10">
        <f ca="1">VLOOKUP($B16,'[12]Analisys QBR By Machine Report'!$C$109:$BD$166,53,FALSE)</f>
        <v>10246309</v>
      </c>
    </row>
    <row r="17" spans="1:58" x14ac:dyDescent="0.25">
      <c r="A17" s="12" t="s">
        <v>73</v>
      </c>
      <c r="B17" s="13">
        <f ca="1">VLOOKUP($B17,'[12]Analisys QBR By Machine Report'!$C$109:$BD$166,2,FALSE)</f>
        <v>25920</v>
      </c>
      <c r="C17" s="14">
        <f ca="1">VLOOKUP($B17,[12]Dasboard_QBR_Report!$B$109:$BL$166,3,FALSE)</f>
        <v>16740</v>
      </c>
      <c r="D17" s="13">
        <f ca="1">VLOOKUP($B17,'[12]Analisys QBR By Machine Report'!$C$109:$BD$166,3,FALSE)</f>
        <v>10500</v>
      </c>
      <c r="E17" s="14">
        <f ca="1">VLOOKUP($B17,[12]Dasboard_QBR_Report!$B$109:$BL$166,5,FALSE)</f>
        <v>1320</v>
      </c>
      <c r="F17" s="13">
        <f t="shared" ca="1" si="0"/>
        <v>15420</v>
      </c>
      <c r="G17" s="13">
        <f t="shared" ca="1" si="1"/>
        <v>645</v>
      </c>
      <c r="H17" s="13">
        <f ca="1">VLOOKUP($B17,'[12]Analisys QBR By Machine Report'!$C$109:$BD$166,4,FALSE)</f>
        <v>645</v>
      </c>
      <c r="I17" s="13">
        <f ca="1">VLOOKUP($B17,'[12]Analisys QBR By Machine Report'!$C$109:$BD$166,5,FALSE)</f>
        <v>30</v>
      </c>
      <c r="J17" s="13">
        <f ca="1">VLOOKUP($B17,'[12]Analisys QBR By Machine Report'!$C$109:$BD$166,6,FALSE)</f>
        <v>615</v>
      </c>
      <c r="K17" s="13">
        <f ca="1">VLOOKUP($B17,'[12]Analisys QBR By Machine Report'!$C$109:$BD$166,7,FALSE)</f>
        <v>0</v>
      </c>
      <c r="L17" s="13">
        <f ca="1">VLOOKUP($B17,'[12]Analisys QBR By Machine Report'!$C$109:$BD$166,8,FALSE)</f>
        <v>14775</v>
      </c>
      <c r="M17" s="13">
        <f ca="1">VLOOKUP($B17,'[12]Analisys QBR By Machine Report'!$C$109:$BD$166,9,FALSE)</f>
        <v>6810</v>
      </c>
      <c r="N17" s="13">
        <f ca="1">VLOOKUP($B17,[12]Dasboard_QBR_Report!$B$109:$BL$166,18,FALSE)</f>
        <v>7965</v>
      </c>
      <c r="O17" s="13">
        <f ca="1">VLOOKUP($B17,'[12]Analisys QBR By Machine Report'!$C$109:$BD$166,10,FALSE)</f>
        <v>2545</v>
      </c>
      <c r="P17" s="13">
        <f ca="1">VLOOKUP($B17,'[12]Analisys QBR By Machine Report'!$C$109:$BD$166,11,FALSE)</f>
        <v>1125</v>
      </c>
      <c r="Q17" s="13">
        <f ca="1">VLOOKUP($B17,'[12]Analisys QBR By Machine Report'!$C$109:$BD$166,12,FALSE)</f>
        <v>0</v>
      </c>
      <c r="R17" s="13">
        <f ca="1">VLOOKUP($B17,'[12]Analisys QBR By Machine Report'!$C$109:$BD$166,13,FALSE)</f>
        <v>1420</v>
      </c>
      <c r="S17" s="13">
        <f ca="1">VLOOKUP($B17,'[12]Analisys QBR By Machine Report'!$C$109:$BD$166,14,FALSE)</f>
        <v>0</v>
      </c>
      <c r="T17" s="13">
        <f ca="1">VLOOKUP($B17,'[12]Analisys QBR By Machine Report'!$C$109:$BD$166,15,FALSE)</f>
        <v>65</v>
      </c>
      <c r="U17" s="13">
        <f ca="1">VLOOKUP($B17,'[12]Analisys QBR By Machine Report'!$C$109:$BD$166,16,FALSE)</f>
        <v>0</v>
      </c>
      <c r="V17" s="13">
        <f ca="1">VLOOKUP($B17,'[12]Analisys QBR By Machine Report'!$C$109:$BD$166,17,FALSE)</f>
        <v>0</v>
      </c>
      <c r="W17" s="13">
        <f ca="1">VLOOKUP($B17,'[12]Analisys QBR By Machine Report'!$C$109:$BD$166,18,FALSE)</f>
        <v>0</v>
      </c>
      <c r="X17" s="13">
        <f ca="1">VLOOKUP($B17,'[12]Analisys QBR By Machine Report'!$C$109:$BD$166,19,FALSE)</f>
        <v>0</v>
      </c>
      <c r="Y17" s="13">
        <f ca="1">VLOOKUP($B17,'[12]Analisys QBR By Machine Report'!$C$109:$BD$166,20,FALSE)</f>
        <v>65</v>
      </c>
      <c r="Z17" s="13">
        <f ca="1">VLOOKUP($B17,'[12]Analisys QBR By Machine Report'!$C$109:$BD$166,21,FALSE)</f>
        <v>2365</v>
      </c>
      <c r="AA17" s="13">
        <f ca="1">VLOOKUP($B17,'[12]Analisys QBR By Machine Report'!$C$109:$BD$166,22,FALSE)</f>
        <v>1205</v>
      </c>
      <c r="AB17" s="13">
        <f ca="1">VLOOKUP($B17,'[12]Analisys QBR By Machine Report'!$C$109:$BD$166,23,FALSE)</f>
        <v>415</v>
      </c>
      <c r="AC17" s="13">
        <f ca="1">VLOOKUP($B17,'[12]Analisys QBR By Machine Report'!$C$109:$BD$166,24,FALSE)</f>
        <v>505</v>
      </c>
      <c r="AD17" s="13">
        <f ca="1">VLOOKUP($B17,'[12]Analisys QBR By Machine Report'!$C$109:$BD$166,25,FALSE)</f>
        <v>0</v>
      </c>
      <c r="AE17" s="13">
        <f ca="1">VLOOKUP($B17,'[12]Analisys QBR By Machine Report'!$C$109:$BD$166,26,FALSE)</f>
        <v>240</v>
      </c>
      <c r="AF17" s="13">
        <f ca="1">VLOOKUP($B17,'[12]Analisys QBR By Machine Report'!$C$109:$BD$166,27,FALSE)</f>
        <v>0</v>
      </c>
      <c r="AG17" s="13">
        <f ca="1">VLOOKUP($B17,'[12]Analisys QBR By Machine Report'!$C$109:$BD$166,28,FALSE)</f>
        <v>0</v>
      </c>
      <c r="AH17" s="13">
        <f ca="1">VLOOKUP($B17,'[12]Analisys QBR By Machine Report'!$C$109:$BD$166,29,FALSE)</f>
        <v>0</v>
      </c>
      <c r="AI17" s="13">
        <f ca="1">VLOOKUP($B17,'[12]Analisys QBR By Machine Report'!$C$109:$BD$166,30,FALSE)</f>
        <v>2990</v>
      </c>
      <c r="AJ17" s="13">
        <f ca="1">VLOOKUP($B17,'[12]Analisys QBR By Machine Report'!$C$109:$BD$166,31,FALSE)</f>
        <v>0</v>
      </c>
      <c r="AK17" s="13">
        <f ca="1">VLOOKUP($B17,'[12]Analisys QBR By Machine Report'!$C$109:$BD$166,32,FALSE)</f>
        <v>0</v>
      </c>
      <c r="AL17" s="13">
        <f ca="1">VLOOKUP($B17,'[12]Analisys QBR By Machine Report'!$C$109:$BD$166,33,FALSE)</f>
        <v>930</v>
      </c>
      <c r="AM17" s="13">
        <f ca="1">VLOOKUP($B17,'[12]Analisys QBR By Machine Report'!$C$109:$BD$166,34,FALSE)</f>
        <v>0</v>
      </c>
      <c r="AN17" s="13">
        <f ca="1">VLOOKUP($B17,'[12]Analisys QBR By Machine Report'!$C$109:$BD$166,35,FALSE)</f>
        <v>895</v>
      </c>
      <c r="AO17" s="13">
        <f ca="1">VLOOKUP($B17,'[12]Analisys QBR By Machine Report'!$C$109:$BD$166,36,FALSE)</f>
        <v>0</v>
      </c>
      <c r="AP17" s="13">
        <f ca="1">VLOOKUP($B17,'[12]Analisys QBR By Machine Report'!$C$109:$BD$166,37,FALSE)</f>
        <v>45</v>
      </c>
      <c r="AQ17" s="13">
        <f ca="1">VLOOKUP($B17,'[12]Analisys QBR By Machine Report'!$C$109:$BD$166,38,FALSE)</f>
        <v>0</v>
      </c>
      <c r="AR17" s="13">
        <f ca="1">VLOOKUP($B17,'[12]Analisys QBR By Machine Report'!$C$109:$BD$166,39,FALSE)</f>
        <v>0</v>
      </c>
      <c r="AS17" s="13">
        <f ca="1">VLOOKUP($B17,'[12]Analisys QBR By Machine Report'!$C$109:$BD$166,40,FALSE)</f>
        <v>545</v>
      </c>
      <c r="AT17" s="13">
        <f ca="1">VLOOKUP($B17,'[12]Analisys QBR By Machine Report'!$C$109:$BD$166,41,FALSE)</f>
        <v>0</v>
      </c>
      <c r="AU17" s="13">
        <f ca="1">VLOOKUP($B17,'[12]Analisys QBR By Machine Report'!$C$109:$BD$166,42,FALSE)</f>
        <v>0</v>
      </c>
      <c r="AV17" s="13">
        <f ca="1">VLOOKUP($B17,'[12]Analisys QBR By Machine Report'!$C$109:$BD$166,43,FALSE)</f>
        <v>0</v>
      </c>
      <c r="AW17" s="13">
        <f ca="1">VLOOKUP($B17,'[12]Analisys QBR By Machine Report'!$C$109:$BD$166,44,FALSE)</f>
        <v>0</v>
      </c>
      <c r="AX17" s="13">
        <f ca="1">VLOOKUP($B17,'[12]Analisys QBR By Machine Report'!$C$109:$BD$166,45,FALSE)</f>
        <v>0</v>
      </c>
      <c r="AY17" s="13">
        <f ca="1">VLOOKUP($B17,'[12]Analisys QBR By Machine Report'!$C$109:$BD$166,46,FALSE)</f>
        <v>0</v>
      </c>
      <c r="AZ17" s="13">
        <f ca="1">VLOOKUP($B17,'[12]Analisys QBR By Machine Report'!$C$109:$BD$166,47,FALSE)</f>
        <v>515</v>
      </c>
      <c r="BA17" s="13">
        <f ca="1">VLOOKUP($B17,'[12]Analisys QBR By Machine Report'!$C$109:$BD$166,48,FALSE)</f>
        <v>60</v>
      </c>
      <c r="BB17" s="13">
        <f ca="1">VLOOKUP($B17,'[12]Analisys QBR By Machine Report'!$C$109:$BD$166,49,FALSE)</f>
        <v>0</v>
      </c>
      <c r="BC17" s="13">
        <f ca="1">VLOOKUP($B17,'[12]Analisys QBR By Machine Report'!$C$109:$BD$166,50,FALSE)</f>
        <v>0</v>
      </c>
      <c r="BD17" s="13">
        <f ca="1">VLOOKUP($B17,'[12]Analisys QBR By Machine Report'!$C$109:$BD$166,51,FALSE)</f>
        <v>3628176</v>
      </c>
      <c r="BE17" s="13">
        <f ca="1">VLOOKUP($B17,'[12]Analisys QBR By Machine Report'!$C$109:$BD$166,52,FALSE)</f>
        <v>17836</v>
      </c>
      <c r="BF17" s="13">
        <f ca="1">VLOOKUP($B17,'[12]Analisys QBR By Machine Report'!$C$109:$BD$166,53,FALSE)</f>
        <v>3610340</v>
      </c>
    </row>
    <row r="18" spans="1:58" x14ac:dyDescent="0.25">
      <c r="A18" s="12" t="s">
        <v>74</v>
      </c>
      <c r="B18" s="13">
        <f ca="1">VLOOKUP($B18,'[12]Analisys QBR By Machine Report'!$C$109:$BD$166,2,FALSE)</f>
        <v>25920</v>
      </c>
      <c r="C18" s="14">
        <f ca="1">VLOOKUP($B18,[12]Dasboard_QBR_Report!$B$109:$BL$166,3,FALSE)</f>
        <v>16740</v>
      </c>
      <c r="D18" s="13">
        <f ca="1">VLOOKUP($B18,'[12]Analisys QBR By Machine Report'!$C$109:$BD$166,3,FALSE)</f>
        <v>15150</v>
      </c>
      <c r="E18" s="14">
        <f ca="1">VLOOKUP($B18,[12]Dasboard_QBR_Report!$B$109:$BL$166,5,FALSE)</f>
        <v>5970</v>
      </c>
      <c r="F18" s="13">
        <f t="shared" ca="1" si="0"/>
        <v>10770</v>
      </c>
      <c r="G18" s="13">
        <f t="shared" ca="1" si="1"/>
        <v>885</v>
      </c>
      <c r="H18" s="13">
        <f ca="1">VLOOKUP($B18,'[12]Analisys QBR By Machine Report'!$C$109:$BD$166,4,FALSE)</f>
        <v>885</v>
      </c>
      <c r="I18" s="13">
        <f ca="1">VLOOKUP($B18,'[12]Analisys QBR By Machine Report'!$C$109:$BD$166,5,FALSE)</f>
        <v>0</v>
      </c>
      <c r="J18" s="13">
        <f ca="1">VLOOKUP($B18,'[12]Analisys QBR By Machine Report'!$C$109:$BD$166,6,FALSE)</f>
        <v>885</v>
      </c>
      <c r="K18" s="13">
        <f ca="1">VLOOKUP($B18,'[12]Analisys QBR By Machine Report'!$C$109:$BD$166,7,FALSE)</f>
        <v>0</v>
      </c>
      <c r="L18" s="13">
        <f ca="1">VLOOKUP($B18,'[12]Analisys QBR By Machine Report'!$C$109:$BD$166,8,FALSE)</f>
        <v>9885</v>
      </c>
      <c r="M18" s="13">
        <f ca="1">VLOOKUP($B18,'[12]Analisys QBR By Machine Report'!$C$109:$BD$166,9,FALSE)</f>
        <v>4260</v>
      </c>
      <c r="N18" s="13">
        <f ca="1">VLOOKUP($B18,[12]Dasboard_QBR_Report!$B$109:$BL$166,18,FALSE)</f>
        <v>5625</v>
      </c>
      <c r="O18" s="13">
        <f ca="1">VLOOKUP($B18,'[12]Analisys QBR By Machine Report'!$C$109:$BD$166,10,FALSE)</f>
        <v>1495</v>
      </c>
      <c r="P18" s="13">
        <f ca="1">VLOOKUP($B18,'[12]Analisys QBR By Machine Report'!$C$109:$BD$166,11,FALSE)</f>
        <v>860</v>
      </c>
      <c r="Q18" s="13">
        <f ca="1">VLOOKUP($B18,'[12]Analisys QBR By Machine Report'!$C$109:$BD$166,12,FALSE)</f>
        <v>0</v>
      </c>
      <c r="R18" s="13">
        <f ca="1">VLOOKUP($B18,'[12]Analisys QBR By Machine Report'!$C$109:$BD$166,13,FALSE)</f>
        <v>615</v>
      </c>
      <c r="S18" s="13">
        <f ca="1">VLOOKUP($B18,'[12]Analisys QBR By Machine Report'!$C$109:$BD$166,14,FALSE)</f>
        <v>20</v>
      </c>
      <c r="T18" s="13">
        <f ca="1">VLOOKUP($B18,'[12]Analisys QBR By Machine Report'!$C$109:$BD$166,15,FALSE)</f>
        <v>25</v>
      </c>
      <c r="U18" s="13">
        <f ca="1">VLOOKUP($B18,'[12]Analisys QBR By Machine Report'!$C$109:$BD$166,16,FALSE)</f>
        <v>0</v>
      </c>
      <c r="V18" s="13">
        <f ca="1">VLOOKUP($B18,'[12]Analisys QBR By Machine Report'!$C$109:$BD$166,17,FALSE)</f>
        <v>0</v>
      </c>
      <c r="W18" s="13">
        <f ca="1">VLOOKUP($B18,'[12]Analisys QBR By Machine Report'!$C$109:$BD$166,18,FALSE)</f>
        <v>0</v>
      </c>
      <c r="X18" s="13">
        <f ca="1">VLOOKUP($B18,'[12]Analisys QBR By Machine Report'!$C$109:$BD$166,19,FALSE)</f>
        <v>0</v>
      </c>
      <c r="Y18" s="13">
        <f ca="1">VLOOKUP($B18,'[12]Analisys QBR By Machine Report'!$C$109:$BD$166,20,FALSE)</f>
        <v>25</v>
      </c>
      <c r="Z18" s="13">
        <f ca="1">VLOOKUP($B18,'[12]Analisys QBR By Machine Report'!$C$109:$BD$166,21,FALSE)</f>
        <v>2235</v>
      </c>
      <c r="AA18" s="13">
        <f ca="1">VLOOKUP($B18,'[12]Analisys QBR By Machine Report'!$C$109:$BD$166,22,FALSE)</f>
        <v>1060</v>
      </c>
      <c r="AB18" s="13">
        <f ca="1">VLOOKUP($B18,'[12]Analisys QBR By Machine Report'!$C$109:$BD$166,23,FALSE)</f>
        <v>570</v>
      </c>
      <c r="AC18" s="13">
        <f ca="1">VLOOKUP($B18,'[12]Analisys QBR By Machine Report'!$C$109:$BD$166,24,FALSE)</f>
        <v>425</v>
      </c>
      <c r="AD18" s="13">
        <f ca="1">VLOOKUP($B18,'[12]Analisys QBR By Machine Report'!$C$109:$BD$166,25,FALSE)</f>
        <v>0</v>
      </c>
      <c r="AE18" s="13">
        <f ca="1">VLOOKUP($B18,'[12]Analisys QBR By Machine Report'!$C$109:$BD$166,26,FALSE)</f>
        <v>180</v>
      </c>
      <c r="AF18" s="13">
        <f ca="1">VLOOKUP($B18,'[12]Analisys QBR By Machine Report'!$C$109:$BD$166,27,FALSE)</f>
        <v>0</v>
      </c>
      <c r="AG18" s="13">
        <f ca="1">VLOOKUP($B18,'[12]Analisys QBR By Machine Report'!$C$109:$BD$166,28,FALSE)</f>
        <v>0</v>
      </c>
      <c r="AH18" s="13">
        <f ca="1">VLOOKUP($B18,'[12]Analisys QBR By Machine Report'!$C$109:$BD$166,29,FALSE)</f>
        <v>0</v>
      </c>
      <c r="AI18" s="13">
        <f ca="1">VLOOKUP($B18,'[12]Analisys QBR By Machine Report'!$C$109:$BD$166,30,FALSE)</f>
        <v>1870</v>
      </c>
      <c r="AJ18" s="13">
        <f ca="1">VLOOKUP($B18,'[12]Analisys QBR By Machine Report'!$C$109:$BD$166,31,FALSE)</f>
        <v>0</v>
      </c>
      <c r="AK18" s="13">
        <f ca="1">VLOOKUP($B18,'[12]Analisys QBR By Machine Report'!$C$109:$BD$166,32,FALSE)</f>
        <v>0</v>
      </c>
      <c r="AL18" s="13">
        <f ca="1">VLOOKUP($B18,'[12]Analisys QBR By Machine Report'!$C$109:$BD$166,33,FALSE)</f>
        <v>660</v>
      </c>
      <c r="AM18" s="13">
        <f ca="1">VLOOKUP($B18,'[12]Analisys QBR By Machine Report'!$C$109:$BD$166,34,FALSE)</f>
        <v>0</v>
      </c>
      <c r="AN18" s="13">
        <f ca="1">VLOOKUP($B18,'[12]Analisys QBR By Machine Report'!$C$109:$BD$166,35,FALSE)</f>
        <v>525</v>
      </c>
      <c r="AO18" s="13">
        <f ca="1">VLOOKUP($B18,'[12]Analisys QBR By Machine Report'!$C$109:$BD$166,36,FALSE)</f>
        <v>40</v>
      </c>
      <c r="AP18" s="13">
        <f ca="1">VLOOKUP($B18,'[12]Analisys QBR By Machine Report'!$C$109:$BD$166,37,FALSE)</f>
        <v>0</v>
      </c>
      <c r="AQ18" s="13">
        <f ca="1">VLOOKUP($B18,'[12]Analisys QBR By Machine Report'!$C$109:$BD$166,38,FALSE)</f>
        <v>0</v>
      </c>
      <c r="AR18" s="13">
        <f ca="1">VLOOKUP($B18,'[12]Analisys QBR By Machine Report'!$C$109:$BD$166,39,FALSE)</f>
        <v>0</v>
      </c>
      <c r="AS18" s="13">
        <f ca="1">VLOOKUP($B18,'[12]Analisys QBR By Machine Report'!$C$109:$BD$166,40,FALSE)</f>
        <v>275</v>
      </c>
      <c r="AT18" s="13">
        <f ca="1">VLOOKUP($B18,'[12]Analisys QBR By Machine Report'!$C$109:$BD$166,41,FALSE)</f>
        <v>0</v>
      </c>
      <c r="AU18" s="13">
        <f ca="1">VLOOKUP($B18,'[12]Analisys QBR By Machine Report'!$C$109:$BD$166,42,FALSE)</f>
        <v>0</v>
      </c>
      <c r="AV18" s="13">
        <f ca="1">VLOOKUP($B18,'[12]Analisys QBR By Machine Report'!$C$109:$BD$166,43,FALSE)</f>
        <v>0</v>
      </c>
      <c r="AW18" s="13">
        <f ca="1">VLOOKUP($B18,'[12]Analisys QBR By Machine Report'!$C$109:$BD$166,44,FALSE)</f>
        <v>0</v>
      </c>
      <c r="AX18" s="13">
        <f ca="1">VLOOKUP($B18,'[12]Analisys QBR By Machine Report'!$C$109:$BD$166,45,FALSE)</f>
        <v>0</v>
      </c>
      <c r="AY18" s="13">
        <f ca="1">VLOOKUP($B18,'[12]Analisys QBR By Machine Report'!$C$109:$BD$166,46,FALSE)</f>
        <v>0</v>
      </c>
      <c r="AZ18" s="13">
        <f ca="1">VLOOKUP($B18,'[12]Analisys QBR By Machine Report'!$C$109:$BD$166,47,FALSE)</f>
        <v>370</v>
      </c>
      <c r="BA18" s="13">
        <f ca="1">VLOOKUP($B18,'[12]Analisys QBR By Machine Report'!$C$109:$BD$166,48,FALSE)</f>
        <v>0</v>
      </c>
      <c r="BB18" s="13">
        <f ca="1">VLOOKUP($B18,'[12]Analisys QBR By Machine Report'!$C$109:$BD$166,49,FALSE)</f>
        <v>0</v>
      </c>
      <c r="BC18" s="13">
        <f ca="1">VLOOKUP($B18,'[12]Analisys QBR By Machine Report'!$C$109:$BD$166,50,FALSE)</f>
        <v>0</v>
      </c>
      <c r="BD18" s="13">
        <f ca="1">VLOOKUP($B18,'[12]Analisys QBR By Machine Report'!$C$109:$BD$166,51,FALSE)</f>
        <v>4711984</v>
      </c>
      <c r="BE18" s="13">
        <f ca="1">VLOOKUP($B18,'[12]Analisys QBR By Machine Report'!$C$109:$BD$166,52,FALSE)</f>
        <v>15584</v>
      </c>
      <c r="BF18" s="13">
        <f ca="1">VLOOKUP($B18,'[12]Analisys QBR By Machine Report'!$C$109:$BD$166,53,FALSE)</f>
        <v>4696400</v>
      </c>
    </row>
    <row r="19" spans="1:58" x14ac:dyDescent="0.25">
      <c r="A19" s="12" t="s">
        <v>75</v>
      </c>
      <c r="B19" s="13">
        <f ca="1">VLOOKUP($B19,'[12]Analisys QBR By Machine Report'!$C$109:$BD$166,2,FALSE)</f>
        <v>25920</v>
      </c>
      <c r="C19" s="14">
        <f ca="1">VLOOKUP($B19,[12]Dasboard_QBR_Report!$B$109:$BL$166,3,FALSE)</f>
        <v>8640</v>
      </c>
      <c r="D19" s="13">
        <f ca="1">VLOOKUP($B19,'[12]Analisys QBR By Machine Report'!$C$109:$BD$166,3,FALSE)</f>
        <v>16950</v>
      </c>
      <c r="E19" s="14">
        <f ca="1">VLOOKUP($B19,[12]Dasboard_QBR_Report!$B$109:$BL$166,5,FALSE)</f>
        <v>-330</v>
      </c>
      <c r="F19" s="13">
        <f t="shared" ca="1" si="0"/>
        <v>8970</v>
      </c>
      <c r="G19" s="13">
        <f t="shared" ca="1" si="1"/>
        <v>350</v>
      </c>
      <c r="H19" s="13">
        <f ca="1">VLOOKUP($B19,'[12]Analisys QBR By Machine Report'!$C$109:$BD$166,4,FALSE)</f>
        <v>350</v>
      </c>
      <c r="I19" s="13">
        <f ca="1">VLOOKUP($B19,'[12]Analisys QBR By Machine Report'!$C$109:$BD$166,5,FALSE)</f>
        <v>0</v>
      </c>
      <c r="J19" s="13">
        <f ca="1">VLOOKUP($B19,'[12]Analisys QBR By Machine Report'!$C$109:$BD$166,6,FALSE)</f>
        <v>350</v>
      </c>
      <c r="K19" s="13">
        <f ca="1">VLOOKUP($B19,'[12]Analisys QBR By Machine Report'!$C$109:$BD$166,7,FALSE)</f>
        <v>0</v>
      </c>
      <c r="L19" s="13">
        <f ca="1">VLOOKUP($B19,'[12]Analisys QBR By Machine Report'!$C$109:$BD$166,8,FALSE)</f>
        <v>8620</v>
      </c>
      <c r="M19" s="13">
        <f ca="1">VLOOKUP($B19,'[12]Analisys QBR By Machine Report'!$C$109:$BD$166,9,FALSE)</f>
        <v>2975</v>
      </c>
      <c r="N19" s="13">
        <f ca="1">VLOOKUP($B19,[12]Dasboard_QBR_Report!$B$109:$BL$166,18,FALSE)</f>
        <v>5645</v>
      </c>
      <c r="O19" s="13">
        <f ca="1">VLOOKUP($B19,'[12]Analisys QBR By Machine Report'!$C$109:$BD$166,10,FALSE)</f>
        <v>1865</v>
      </c>
      <c r="P19" s="13">
        <f ca="1">VLOOKUP($B19,'[12]Analisys QBR By Machine Report'!$C$109:$BD$166,11,FALSE)</f>
        <v>1200</v>
      </c>
      <c r="Q19" s="13">
        <f ca="1">VLOOKUP($B19,'[12]Analisys QBR By Machine Report'!$C$109:$BD$166,12,FALSE)</f>
        <v>0</v>
      </c>
      <c r="R19" s="13">
        <f ca="1">VLOOKUP($B19,'[12]Analisys QBR By Machine Report'!$C$109:$BD$166,13,FALSE)</f>
        <v>665</v>
      </c>
      <c r="S19" s="13">
        <f ca="1">VLOOKUP($B19,'[12]Analisys QBR By Machine Report'!$C$109:$BD$166,14,FALSE)</f>
        <v>0</v>
      </c>
      <c r="T19" s="13">
        <f ca="1">VLOOKUP($B19,'[12]Analisys QBR By Machine Report'!$C$109:$BD$166,15,FALSE)</f>
        <v>0</v>
      </c>
      <c r="U19" s="13">
        <f ca="1">VLOOKUP($B19,'[12]Analisys QBR By Machine Report'!$C$109:$BD$166,16,FALSE)</f>
        <v>0</v>
      </c>
      <c r="V19" s="13">
        <f ca="1">VLOOKUP($B19,'[12]Analisys QBR By Machine Report'!$C$109:$BD$166,17,FALSE)</f>
        <v>0</v>
      </c>
      <c r="W19" s="13">
        <f ca="1">VLOOKUP($B19,'[12]Analisys QBR By Machine Report'!$C$109:$BD$166,18,FALSE)</f>
        <v>0</v>
      </c>
      <c r="X19" s="13">
        <f ca="1">VLOOKUP($B19,'[12]Analisys QBR By Machine Report'!$C$109:$BD$166,19,FALSE)</f>
        <v>0</v>
      </c>
      <c r="Y19" s="13">
        <f ca="1">VLOOKUP($B19,'[12]Analisys QBR By Machine Report'!$C$109:$BD$166,20,FALSE)</f>
        <v>0</v>
      </c>
      <c r="Z19" s="13">
        <f ca="1">VLOOKUP($B19,'[12]Analisys QBR By Machine Report'!$C$109:$BD$166,21,FALSE)</f>
        <v>1725</v>
      </c>
      <c r="AA19" s="13">
        <f ca="1">VLOOKUP($B19,'[12]Analisys QBR By Machine Report'!$C$109:$BD$166,22,FALSE)</f>
        <v>1040</v>
      </c>
      <c r="AB19" s="13">
        <f ca="1">VLOOKUP($B19,'[12]Analisys QBR By Machine Report'!$C$109:$BD$166,23,FALSE)</f>
        <v>230</v>
      </c>
      <c r="AC19" s="13">
        <f ca="1">VLOOKUP($B19,'[12]Analisys QBR By Machine Report'!$C$109:$BD$166,24,FALSE)</f>
        <v>325</v>
      </c>
      <c r="AD19" s="13">
        <f ca="1">VLOOKUP($B19,'[12]Analisys QBR By Machine Report'!$C$109:$BD$166,25,FALSE)</f>
        <v>0</v>
      </c>
      <c r="AE19" s="13">
        <f ca="1">VLOOKUP($B19,'[12]Analisys QBR By Machine Report'!$C$109:$BD$166,26,FALSE)</f>
        <v>130</v>
      </c>
      <c r="AF19" s="13">
        <f ca="1">VLOOKUP($B19,'[12]Analisys QBR By Machine Report'!$C$109:$BD$166,27,FALSE)</f>
        <v>505</v>
      </c>
      <c r="AG19" s="13">
        <f ca="1">VLOOKUP($B19,'[12]Analisys QBR By Machine Report'!$C$109:$BD$166,28,FALSE)</f>
        <v>0</v>
      </c>
      <c r="AH19" s="13">
        <f ca="1">VLOOKUP($B19,'[12]Analisys QBR By Machine Report'!$C$109:$BD$166,29,FALSE)</f>
        <v>505</v>
      </c>
      <c r="AI19" s="13">
        <f ca="1">VLOOKUP($B19,'[12]Analisys QBR By Machine Report'!$C$109:$BD$166,30,FALSE)</f>
        <v>1550</v>
      </c>
      <c r="AJ19" s="13">
        <f ca="1">VLOOKUP($B19,'[12]Analisys QBR By Machine Report'!$C$109:$BD$166,31,FALSE)</f>
        <v>0</v>
      </c>
      <c r="AK19" s="13">
        <f ca="1">VLOOKUP($B19,'[12]Analisys QBR By Machine Report'!$C$109:$BD$166,32,FALSE)</f>
        <v>0</v>
      </c>
      <c r="AL19" s="13">
        <f ca="1">VLOOKUP($B19,'[12]Analisys QBR By Machine Report'!$C$109:$BD$166,33,FALSE)</f>
        <v>540</v>
      </c>
      <c r="AM19" s="13">
        <f ca="1">VLOOKUP($B19,'[12]Analisys QBR By Machine Report'!$C$109:$BD$166,34,FALSE)</f>
        <v>0</v>
      </c>
      <c r="AN19" s="13">
        <f ca="1">VLOOKUP($B19,'[12]Analisys QBR By Machine Report'!$C$109:$BD$166,35,FALSE)</f>
        <v>450</v>
      </c>
      <c r="AO19" s="13">
        <f ca="1">VLOOKUP($B19,'[12]Analisys QBR By Machine Report'!$C$109:$BD$166,36,FALSE)</f>
        <v>0</v>
      </c>
      <c r="AP19" s="13">
        <f ca="1">VLOOKUP($B19,'[12]Analisys QBR By Machine Report'!$C$109:$BD$166,37,FALSE)</f>
        <v>45</v>
      </c>
      <c r="AQ19" s="13">
        <f ca="1">VLOOKUP($B19,'[12]Analisys QBR By Machine Report'!$C$109:$BD$166,38,FALSE)</f>
        <v>0</v>
      </c>
      <c r="AR19" s="13">
        <f ca="1">VLOOKUP($B19,'[12]Analisys QBR By Machine Report'!$C$109:$BD$166,39,FALSE)</f>
        <v>0</v>
      </c>
      <c r="AS19" s="13">
        <f ca="1">VLOOKUP($B19,'[12]Analisys QBR By Machine Report'!$C$109:$BD$166,40,FALSE)</f>
        <v>275</v>
      </c>
      <c r="AT19" s="13">
        <f ca="1">VLOOKUP($B19,'[12]Analisys QBR By Machine Report'!$C$109:$BD$166,41,FALSE)</f>
        <v>0</v>
      </c>
      <c r="AU19" s="13">
        <f ca="1">VLOOKUP($B19,'[12]Analisys QBR By Machine Report'!$C$109:$BD$166,42,FALSE)</f>
        <v>0</v>
      </c>
      <c r="AV19" s="13">
        <f ca="1">VLOOKUP($B19,'[12]Analisys QBR By Machine Report'!$C$109:$BD$166,43,FALSE)</f>
        <v>0</v>
      </c>
      <c r="AW19" s="13">
        <f ca="1">VLOOKUP($B19,'[12]Analisys QBR By Machine Report'!$C$109:$BD$166,44,FALSE)</f>
        <v>0</v>
      </c>
      <c r="AX19" s="13">
        <f ca="1">VLOOKUP($B19,'[12]Analisys QBR By Machine Report'!$C$109:$BD$166,45,FALSE)</f>
        <v>0</v>
      </c>
      <c r="AY19" s="13">
        <f ca="1">VLOOKUP($B19,'[12]Analisys QBR By Machine Report'!$C$109:$BD$166,46,FALSE)</f>
        <v>0</v>
      </c>
      <c r="AZ19" s="13">
        <f ca="1">VLOOKUP($B19,'[12]Analisys QBR By Machine Report'!$C$109:$BD$166,47,FALSE)</f>
        <v>215</v>
      </c>
      <c r="BA19" s="13">
        <f ca="1">VLOOKUP($B19,'[12]Analisys QBR By Machine Report'!$C$109:$BD$166,48,FALSE)</f>
        <v>25</v>
      </c>
      <c r="BB19" s="13">
        <f ca="1">VLOOKUP($B19,'[12]Analisys QBR By Machine Report'!$C$109:$BD$166,49,FALSE)</f>
        <v>0</v>
      </c>
      <c r="BC19" s="13">
        <f ca="1">VLOOKUP($B19,'[12]Analisys QBR By Machine Report'!$C$109:$BD$166,50,FALSE)</f>
        <v>0</v>
      </c>
      <c r="BD19" s="13">
        <f ca="1">VLOOKUP($B19,'[12]Analisys QBR By Machine Report'!$C$109:$BD$166,51,FALSE)</f>
        <v>1095992</v>
      </c>
      <c r="BE19" s="13">
        <f ca="1">VLOOKUP($B19,'[12]Analisys QBR By Machine Report'!$C$109:$BD$166,52,FALSE)</f>
        <v>7310</v>
      </c>
      <c r="BF19" s="13">
        <f ca="1">VLOOKUP($B19,'[12]Analisys QBR By Machine Report'!$C$109:$BD$166,53,FALSE)</f>
        <v>1088682</v>
      </c>
    </row>
    <row r="20" spans="1:58" x14ac:dyDescent="0.25">
      <c r="A20" s="12" t="s">
        <v>76</v>
      </c>
      <c r="B20" s="13">
        <f ca="1">VLOOKUP($B20,'[12]Analisys QBR By Machine Report'!$C$109:$BD$166,2,FALSE)</f>
        <v>25920</v>
      </c>
      <c r="C20" s="14">
        <f ca="1">VLOOKUP($B20,[12]Dasboard_QBR_Report!$B$109:$BL$166,3,FALSE)</f>
        <v>8640</v>
      </c>
      <c r="D20" s="13">
        <f ca="1">VLOOKUP($B20,'[12]Analisys QBR By Machine Report'!$C$109:$BD$166,3,FALSE)</f>
        <v>21510</v>
      </c>
      <c r="E20" s="14">
        <f ca="1">VLOOKUP($B20,[12]Dasboard_QBR_Report!$B$109:$BL$166,5,FALSE)</f>
        <v>4230</v>
      </c>
      <c r="F20" s="13">
        <f t="shared" ca="1" si="0"/>
        <v>4410</v>
      </c>
      <c r="G20" s="13">
        <f t="shared" ca="1" si="1"/>
        <v>165</v>
      </c>
      <c r="H20" s="13">
        <f ca="1">VLOOKUP($B20,'[12]Analisys QBR By Machine Report'!$C$109:$BD$166,4,FALSE)</f>
        <v>165</v>
      </c>
      <c r="I20" s="13">
        <f ca="1">VLOOKUP($B20,'[12]Analisys QBR By Machine Report'!$C$109:$BD$166,5,FALSE)</f>
        <v>0</v>
      </c>
      <c r="J20" s="13">
        <f ca="1">VLOOKUP($B20,'[12]Analisys QBR By Machine Report'!$C$109:$BD$166,6,FALSE)</f>
        <v>165</v>
      </c>
      <c r="K20" s="13">
        <f ca="1">VLOOKUP($B20,'[12]Analisys QBR By Machine Report'!$C$109:$BD$166,7,FALSE)</f>
        <v>0</v>
      </c>
      <c r="L20" s="13">
        <f ca="1">VLOOKUP($B20,'[12]Analisys QBR By Machine Report'!$C$109:$BD$166,8,FALSE)</f>
        <v>4245</v>
      </c>
      <c r="M20" s="13">
        <f ca="1">VLOOKUP($B20,'[12]Analisys QBR By Machine Report'!$C$109:$BD$166,9,FALSE)</f>
        <v>2235</v>
      </c>
      <c r="N20" s="13">
        <f ca="1">VLOOKUP($B20,[12]Dasboard_QBR_Report!$B$109:$BL$166,18,FALSE)</f>
        <v>2010</v>
      </c>
      <c r="O20" s="13">
        <f ca="1">VLOOKUP($B20,'[12]Analisys QBR By Machine Report'!$C$109:$BD$166,10,FALSE)</f>
        <v>25</v>
      </c>
      <c r="P20" s="13">
        <f ca="1">VLOOKUP($B20,'[12]Analisys QBR By Machine Report'!$C$109:$BD$166,11,FALSE)</f>
        <v>25</v>
      </c>
      <c r="Q20" s="13">
        <f ca="1">VLOOKUP($B20,'[12]Analisys QBR By Machine Report'!$C$109:$BD$166,12,FALSE)</f>
        <v>0</v>
      </c>
      <c r="R20" s="13">
        <f ca="1">VLOOKUP($B20,'[12]Analisys QBR By Machine Report'!$C$109:$BD$166,13,FALSE)</f>
        <v>0</v>
      </c>
      <c r="S20" s="13">
        <f ca="1">VLOOKUP($B20,'[12]Analisys QBR By Machine Report'!$C$109:$BD$166,14,FALSE)</f>
        <v>0</v>
      </c>
      <c r="T20" s="13">
        <f ca="1">VLOOKUP($B20,'[12]Analisys QBR By Machine Report'!$C$109:$BD$166,15,FALSE)</f>
        <v>0</v>
      </c>
      <c r="U20" s="13">
        <f ca="1">VLOOKUP($B20,'[12]Analisys QBR By Machine Report'!$C$109:$BD$166,16,FALSE)</f>
        <v>0</v>
      </c>
      <c r="V20" s="13">
        <f ca="1">VLOOKUP($B20,'[12]Analisys QBR By Machine Report'!$C$109:$BD$166,17,FALSE)</f>
        <v>0</v>
      </c>
      <c r="W20" s="13">
        <f ca="1">VLOOKUP($B20,'[12]Analisys QBR By Machine Report'!$C$109:$BD$166,18,FALSE)</f>
        <v>0</v>
      </c>
      <c r="X20" s="13">
        <f ca="1">VLOOKUP($B20,'[12]Analisys QBR By Machine Report'!$C$109:$BD$166,19,FALSE)</f>
        <v>0</v>
      </c>
      <c r="Y20" s="13">
        <f ca="1">VLOOKUP($B20,'[12]Analisys QBR By Machine Report'!$C$109:$BD$166,20,FALSE)</f>
        <v>0</v>
      </c>
      <c r="Z20" s="13">
        <f ca="1">VLOOKUP($B20,'[12]Analisys QBR By Machine Report'!$C$109:$BD$166,21,FALSE)</f>
        <v>1390</v>
      </c>
      <c r="AA20" s="13">
        <f ca="1">VLOOKUP($B20,'[12]Analisys QBR By Machine Report'!$C$109:$BD$166,22,FALSE)</f>
        <v>950</v>
      </c>
      <c r="AB20" s="13">
        <f ca="1">VLOOKUP($B20,'[12]Analisys QBR By Machine Report'!$C$109:$BD$166,23,FALSE)</f>
        <v>85</v>
      </c>
      <c r="AC20" s="13">
        <f ca="1">VLOOKUP($B20,'[12]Analisys QBR By Machine Report'!$C$109:$BD$166,24,FALSE)</f>
        <v>240</v>
      </c>
      <c r="AD20" s="13">
        <f ca="1">VLOOKUP($B20,'[12]Analisys QBR By Machine Report'!$C$109:$BD$166,25,FALSE)</f>
        <v>0</v>
      </c>
      <c r="AE20" s="13">
        <f ca="1">VLOOKUP($B20,'[12]Analisys QBR By Machine Report'!$C$109:$BD$166,26,FALSE)</f>
        <v>115</v>
      </c>
      <c r="AF20" s="13">
        <f ca="1">VLOOKUP($B20,'[12]Analisys QBR By Machine Report'!$C$109:$BD$166,27,FALSE)</f>
        <v>0</v>
      </c>
      <c r="AG20" s="13">
        <f ca="1">VLOOKUP($B20,'[12]Analisys QBR By Machine Report'!$C$109:$BD$166,28,FALSE)</f>
        <v>0</v>
      </c>
      <c r="AH20" s="13">
        <f ca="1">VLOOKUP($B20,'[12]Analisys QBR By Machine Report'!$C$109:$BD$166,29,FALSE)</f>
        <v>0</v>
      </c>
      <c r="AI20" s="13">
        <f ca="1">VLOOKUP($B20,'[12]Analisys QBR By Machine Report'!$C$109:$BD$166,30,FALSE)</f>
        <v>595</v>
      </c>
      <c r="AJ20" s="13">
        <f ca="1">VLOOKUP($B20,'[12]Analisys QBR By Machine Report'!$C$109:$BD$166,31,FALSE)</f>
        <v>0</v>
      </c>
      <c r="AK20" s="13">
        <f ca="1">VLOOKUP($B20,'[12]Analisys QBR By Machine Report'!$C$109:$BD$166,32,FALSE)</f>
        <v>0</v>
      </c>
      <c r="AL20" s="13">
        <f ca="1">VLOOKUP($B20,'[12]Analisys QBR By Machine Report'!$C$109:$BD$166,33,FALSE)</f>
        <v>270</v>
      </c>
      <c r="AM20" s="13">
        <f ca="1">VLOOKUP($B20,'[12]Analisys QBR By Machine Report'!$C$109:$BD$166,34,FALSE)</f>
        <v>0</v>
      </c>
      <c r="AN20" s="13">
        <f ca="1">VLOOKUP($B20,'[12]Analisys QBR By Machine Report'!$C$109:$BD$166,35,FALSE)</f>
        <v>165</v>
      </c>
      <c r="AO20" s="13">
        <f ca="1">VLOOKUP($B20,'[12]Analisys QBR By Machine Report'!$C$109:$BD$166,36,FALSE)</f>
        <v>0</v>
      </c>
      <c r="AP20" s="13">
        <f ca="1">VLOOKUP($B20,'[12]Analisys QBR By Machine Report'!$C$109:$BD$166,37,FALSE)</f>
        <v>0</v>
      </c>
      <c r="AQ20" s="13">
        <f ca="1">VLOOKUP($B20,'[12]Analisys QBR By Machine Report'!$C$109:$BD$166,38,FALSE)</f>
        <v>0</v>
      </c>
      <c r="AR20" s="13">
        <f ca="1">VLOOKUP($B20,'[12]Analisys QBR By Machine Report'!$C$109:$BD$166,39,FALSE)</f>
        <v>0</v>
      </c>
      <c r="AS20" s="13">
        <f ca="1">VLOOKUP($B20,'[12]Analisys QBR By Machine Report'!$C$109:$BD$166,40,FALSE)</f>
        <v>120</v>
      </c>
      <c r="AT20" s="13">
        <f ca="1">VLOOKUP($B20,'[12]Analisys QBR By Machine Report'!$C$109:$BD$166,41,FALSE)</f>
        <v>0</v>
      </c>
      <c r="AU20" s="13">
        <f ca="1">VLOOKUP($B20,'[12]Analisys QBR By Machine Report'!$C$109:$BD$166,42,FALSE)</f>
        <v>0</v>
      </c>
      <c r="AV20" s="13">
        <f ca="1">VLOOKUP($B20,'[12]Analisys QBR By Machine Report'!$C$109:$BD$166,43,FALSE)</f>
        <v>0</v>
      </c>
      <c r="AW20" s="13">
        <f ca="1">VLOOKUP($B20,'[12]Analisys QBR By Machine Report'!$C$109:$BD$166,44,FALSE)</f>
        <v>0</v>
      </c>
      <c r="AX20" s="13">
        <f ca="1">VLOOKUP($B20,'[12]Analisys QBR By Machine Report'!$C$109:$BD$166,45,FALSE)</f>
        <v>0</v>
      </c>
      <c r="AY20" s="13">
        <f ca="1">VLOOKUP($B20,'[12]Analisys QBR By Machine Report'!$C$109:$BD$166,46,FALSE)</f>
        <v>0</v>
      </c>
      <c r="AZ20" s="13">
        <f ca="1">VLOOKUP($B20,'[12]Analisys QBR By Machine Report'!$C$109:$BD$166,47,FALSE)</f>
        <v>40</v>
      </c>
      <c r="BA20" s="13">
        <f ca="1">VLOOKUP($B20,'[12]Analisys QBR By Machine Report'!$C$109:$BD$166,48,FALSE)</f>
        <v>0</v>
      </c>
      <c r="BB20" s="13">
        <f ca="1">VLOOKUP($B20,'[12]Analisys QBR By Machine Report'!$C$109:$BD$166,49,FALSE)</f>
        <v>0</v>
      </c>
      <c r="BC20" s="13">
        <f ca="1">VLOOKUP($B20,'[12]Analisys QBR By Machine Report'!$C$109:$BD$166,50,FALSE)</f>
        <v>0</v>
      </c>
      <c r="BD20" s="13">
        <f ca="1">VLOOKUP($B20,'[12]Analisys QBR By Machine Report'!$C$109:$BD$166,51,FALSE)</f>
        <v>18079</v>
      </c>
      <c r="BE20" s="13">
        <f ca="1">VLOOKUP($B20,'[12]Analisys QBR By Machine Report'!$C$109:$BD$166,52,FALSE)</f>
        <v>62</v>
      </c>
      <c r="BF20" s="13">
        <f ca="1">VLOOKUP($B20,'[12]Analisys QBR By Machine Report'!$C$109:$BD$166,53,FALSE)</f>
        <v>18017</v>
      </c>
    </row>
    <row r="21" spans="1:58" x14ac:dyDescent="0.25">
      <c r="A21" s="12" t="s">
        <v>77</v>
      </c>
      <c r="B21" s="13">
        <f ca="1">VLOOKUP($B21,'[12]Analisys QBR By Machine Report'!$C$109:$BD$166,2,FALSE)</f>
        <v>25920</v>
      </c>
      <c r="C21" s="14">
        <f ca="1">VLOOKUP($B21,[12]Dasboard_QBR_Report!$B$109:$BL$166,3,FALSE)</f>
        <v>8640</v>
      </c>
      <c r="D21" s="13">
        <f ca="1">VLOOKUP($B21,'[12]Analisys QBR By Machine Report'!$C$109:$BD$166,3,FALSE)</f>
        <v>17340</v>
      </c>
      <c r="E21" s="14">
        <f ca="1">VLOOKUP($B21,[12]Dasboard_QBR_Report!$B$109:$BL$166,5,FALSE)</f>
        <v>60</v>
      </c>
      <c r="F21" s="13">
        <f t="shared" ca="1" si="0"/>
        <v>8580</v>
      </c>
      <c r="G21" s="13">
        <f t="shared" ca="1" si="1"/>
        <v>1315</v>
      </c>
      <c r="H21" s="13">
        <f ca="1">VLOOKUP($B21,'[12]Analisys QBR By Machine Report'!$C$109:$BD$166,4,FALSE)</f>
        <v>1315</v>
      </c>
      <c r="I21" s="13">
        <f ca="1">VLOOKUP($B21,'[12]Analisys QBR By Machine Report'!$C$109:$BD$166,5,FALSE)</f>
        <v>0</v>
      </c>
      <c r="J21" s="13">
        <f ca="1">VLOOKUP($B21,'[12]Analisys QBR By Machine Report'!$C$109:$BD$166,6,FALSE)</f>
        <v>1315</v>
      </c>
      <c r="K21" s="13">
        <f ca="1">VLOOKUP($B21,'[12]Analisys QBR By Machine Report'!$C$109:$BD$166,7,FALSE)</f>
        <v>0</v>
      </c>
      <c r="L21" s="13">
        <f ca="1">VLOOKUP($B21,'[12]Analisys QBR By Machine Report'!$C$109:$BD$166,8,FALSE)</f>
        <v>7265</v>
      </c>
      <c r="M21" s="13">
        <f ca="1">VLOOKUP($B21,'[12]Analisys QBR By Machine Report'!$C$109:$BD$166,9,FALSE)</f>
        <v>2510</v>
      </c>
      <c r="N21" s="13">
        <f ca="1">VLOOKUP($B21,[12]Dasboard_QBR_Report!$B$109:$BL$166,18,FALSE)</f>
        <v>4755</v>
      </c>
      <c r="O21" s="13">
        <f ca="1">VLOOKUP($B21,'[12]Analisys QBR By Machine Report'!$C$109:$BD$166,10,FALSE)</f>
        <v>1380</v>
      </c>
      <c r="P21" s="13">
        <f ca="1">VLOOKUP($B21,'[12]Analisys QBR By Machine Report'!$C$109:$BD$166,11,FALSE)</f>
        <v>625</v>
      </c>
      <c r="Q21" s="13">
        <f ca="1">VLOOKUP($B21,'[12]Analisys QBR By Machine Report'!$C$109:$BD$166,12,FALSE)</f>
        <v>0</v>
      </c>
      <c r="R21" s="13">
        <f ca="1">VLOOKUP($B21,'[12]Analisys QBR By Machine Report'!$C$109:$BD$166,13,FALSE)</f>
        <v>755</v>
      </c>
      <c r="S21" s="13">
        <f ca="1">VLOOKUP($B21,'[12]Analisys QBR By Machine Report'!$C$109:$BD$166,14,FALSE)</f>
        <v>0</v>
      </c>
      <c r="T21" s="13">
        <f ca="1">VLOOKUP($B21,'[12]Analisys QBR By Machine Report'!$C$109:$BD$166,15,FALSE)</f>
        <v>0</v>
      </c>
      <c r="U21" s="13">
        <f ca="1">VLOOKUP($B21,'[12]Analisys QBR By Machine Report'!$C$109:$BD$166,16,FALSE)</f>
        <v>0</v>
      </c>
      <c r="V21" s="13">
        <f ca="1">VLOOKUP($B21,'[12]Analisys QBR By Machine Report'!$C$109:$BD$166,17,FALSE)</f>
        <v>0</v>
      </c>
      <c r="W21" s="13">
        <f ca="1">VLOOKUP($B21,'[12]Analisys QBR By Machine Report'!$C$109:$BD$166,18,FALSE)</f>
        <v>0</v>
      </c>
      <c r="X21" s="13">
        <f ca="1">VLOOKUP($B21,'[12]Analisys QBR By Machine Report'!$C$109:$BD$166,19,FALSE)</f>
        <v>0</v>
      </c>
      <c r="Y21" s="13">
        <f ca="1">VLOOKUP($B21,'[12]Analisys QBR By Machine Report'!$C$109:$BD$166,20,FALSE)</f>
        <v>0</v>
      </c>
      <c r="Z21" s="13">
        <f ca="1">VLOOKUP($B21,'[12]Analisys QBR By Machine Report'!$C$109:$BD$166,21,FALSE)</f>
        <v>1360</v>
      </c>
      <c r="AA21" s="13">
        <f ca="1">VLOOKUP($B21,'[12]Analisys QBR By Machine Report'!$C$109:$BD$166,22,FALSE)</f>
        <v>605</v>
      </c>
      <c r="AB21" s="13">
        <f ca="1">VLOOKUP($B21,'[12]Analisys QBR By Machine Report'!$C$109:$BD$166,23,FALSE)</f>
        <v>210</v>
      </c>
      <c r="AC21" s="13">
        <f ca="1">VLOOKUP($B21,'[12]Analisys QBR By Machine Report'!$C$109:$BD$166,24,FALSE)</f>
        <v>360</v>
      </c>
      <c r="AD21" s="13">
        <f ca="1">VLOOKUP($B21,'[12]Analisys QBR By Machine Report'!$C$109:$BD$166,25,FALSE)</f>
        <v>35</v>
      </c>
      <c r="AE21" s="13">
        <f ca="1">VLOOKUP($B21,'[12]Analisys QBR By Machine Report'!$C$109:$BD$166,26,FALSE)</f>
        <v>150</v>
      </c>
      <c r="AF21" s="13">
        <f ca="1">VLOOKUP($B21,'[12]Analisys QBR By Machine Report'!$C$109:$BD$166,27,FALSE)</f>
        <v>0</v>
      </c>
      <c r="AG21" s="13">
        <f ca="1">VLOOKUP($B21,'[12]Analisys QBR By Machine Report'!$C$109:$BD$166,28,FALSE)</f>
        <v>0</v>
      </c>
      <c r="AH21" s="13">
        <f ca="1">VLOOKUP($B21,'[12]Analisys QBR By Machine Report'!$C$109:$BD$166,29,FALSE)</f>
        <v>0</v>
      </c>
      <c r="AI21" s="13">
        <f ca="1">VLOOKUP($B21,'[12]Analisys QBR By Machine Report'!$C$109:$BD$166,30,FALSE)</f>
        <v>2015</v>
      </c>
      <c r="AJ21" s="13">
        <f ca="1">VLOOKUP($B21,'[12]Analisys QBR By Machine Report'!$C$109:$BD$166,31,FALSE)</f>
        <v>0</v>
      </c>
      <c r="AK21" s="13">
        <f ca="1">VLOOKUP($B21,'[12]Analisys QBR By Machine Report'!$C$109:$BD$166,32,FALSE)</f>
        <v>0</v>
      </c>
      <c r="AL21" s="13">
        <f ca="1">VLOOKUP($B21,'[12]Analisys QBR By Machine Report'!$C$109:$BD$166,33,FALSE)</f>
        <v>430</v>
      </c>
      <c r="AM21" s="13">
        <f ca="1">VLOOKUP($B21,'[12]Analisys QBR By Machine Report'!$C$109:$BD$166,34,FALSE)</f>
        <v>0</v>
      </c>
      <c r="AN21" s="13">
        <f ca="1">VLOOKUP($B21,'[12]Analisys QBR By Machine Report'!$C$109:$BD$166,35,FALSE)</f>
        <v>460</v>
      </c>
      <c r="AO21" s="13">
        <f ca="1">VLOOKUP($B21,'[12]Analisys QBR By Machine Report'!$C$109:$BD$166,36,FALSE)</f>
        <v>5</v>
      </c>
      <c r="AP21" s="13">
        <f ca="1">VLOOKUP($B21,'[12]Analisys QBR By Machine Report'!$C$109:$BD$166,37,FALSE)</f>
        <v>0</v>
      </c>
      <c r="AQ21" s="13">
        <f ca="1">VLOOKUP($B21,'[12]Analisys QBR By Machine Report'!$C$109:$BD$166,38,FALSE)</f>
        <v>0</v>
      </c>
      <c r="AR21" s="13">
        <f ca="1">VLOOKUP($B21,'[12]Analisys QBR By Machine Report'!$C$109:$BD$166,39,FALSE)</f>
        <v>135</v>
      </c>
      <c r="AS21" s="13">
        <f ca="1">VLOOKUP($B21,'[12]Analisys QBR By Machine Report'!$C$109:$BD$166,40,FALSE)</f>
        <v>225</v>
      </c>
      <c r="AT21" s="13">
        <f ca="1">VLOOKUP($B21,'[12]Analisys QBR By Machine Report'!$C$109:$BD$166,41,FALSE)</f>
        <v>0</v>
      </c>
      <c r="AU21" s="13">
        <f ca="1">VLOOKUP($B21,'[12]Analisys QBR By Machine Report'!$C$109:$BD$166,42,FALSE)</f>
        <v>0</v>
      </c>
      <c r="AV21" s="13">
        <f ca="1">VLOOKUP($B21,'[12]Analisys QBR By Machine Report'!$C$109:$BD$166,43,FALSE)</f>
        <v>0</v>
      </c>
      <c r="AW21" s="13">
        <f ca="1">VLOOKUP($B21,'[12]Analisys QBR By Machine Report'!$C$109:$BD$166,44,FALSE)</f>
        <v>0</v>
      </c>
      <c r="AX21" s="13">
        <f ca="1">VLOOKUP($B21,'[12]Analisys QBR By Machine Report'!$C$109:$BD$166,45,FALSE)</f>
        <v>0</v>
      </c>
      <c r="AY21" s="13">
        <f ca="1">VLOOKUP($B21,'[12]Analisys QBR By Machine Report'!$C$109:$BD$166,46,FALSE)</f>
        <v>0</v>
      </c>
      <c r="AZ21" s="13">
        <f ca="1">VLOOKUP($B21,'[12]Analisys QBR By Machine Report'!$C$109:$BD$166,47,FALSE)</f>
        <v>760</v>
      </c>
      <c r="BA21" s="13">
        <f ca="1">VLOOKUP($B21,'[12]Analisys QBR By Machine Report'!$C$109:$BD$166,48,FALSE)</f>
        <v>0</v>
      </c>
      <c r="BB21" s="13">
        <f ca="1">VLOOKUP($B21,'[12]Analisys QBR By Machine Report'!$C$109:$BD$166,49,FALSE)</f>
        <v>0</v>
      </c>
      <c r="BC21" s="13">
        <f ca="1">VLOOKUP($B21,'[12]Analisys QBR By Machine Report'!$C$109:$BD$166,50,FALSE)</f>
        <v>0</v>
      </c>
      <c r="BD21" s="13">
        <f ca="1">VLOOKUP($B21,'[12]Analisys QBR By Machine Report'!$C$109:$BD$166,51,FALSE)</f>
        <v>840229</v>
      </c>
      <c r="BE21" s="13">
        <f ca="1">VLOOKUP($B21,'[12]Analisys QBR By Machine Report'!$C$109:$BD$166,52,FALSE)</f>
        <v>7359</v>
      </c>
      <c r="BF21" s="13">
        <f ca="1">VLOOKUP($B21,'[12]Analisys QBR By Machine Report'!$C$109:$BD$166,53,FALSE)</f>
        <v>832870</v>
      </c>
    </row>
    <row r="22" spans="1:58" x14ac:dyDescent="0.25">
      <c r="A22" s="9" t="s">
        <v>78</v>
      </c>
      <c r="B22" s="10">
        <f ca="1">VLOOKUP($B22,'[12]Analisys QBR By Machine Report'!$C$109:$BD$166,2,FALSE)</f>
        <v>25920</v>
      </c>
      <c r="C22" s="11">
        <f ca="1">VLOOKUP($B22,[12]Dasboard_QBR_Report!$B$109:$BL$166,3,FALSE)</f>
        <v>16740</v>
      </c>
      <c r="D22" s="10">
        <f ca="1">VLOOKUP($B22,'[12]Analisys QBR By Machine Report'!$C$109:$BD$166,3,FALSE)</f>
        <v>19590</v>
      </c>
      <c r="E22" s="11">
        <f ca="1">VLOOKUP($B22,[12]Dasboard_QBR_Report!$B$109:$BL$166,5,FALSE)</f>
        <v>10410</v>
      </c>
      <c r="F22" s="10">
        <f t="shared" ca="1" si="0"/>
        <v>6330</v>
      </c>
      <c r="G22" s="10">
        <f t="shared" ca="1" si="1"/>
        <v>493</v>
      </c>
      <c r="H22" s="10">
        <f ca="1">VLOOKUP($B22,'[12]Analisys QBR By Machine Report'!$C$109:$BD$166,4,FALSE)</f>
        <v>493</v>
      </c>
      <c r="I22" s="10">
        <f ca="1">VLOOKUP($B22,'[12]Analisys QBR By Machine Report'!$C$109:$BD$166,5,FALSE)</f>
        <v>65</v>
      </c>
      <c r="J22" s="10">
        <f ca="1">VLOOKUP($B22,'[12]Analisys QBR By Machine Report'!$C$109:$BD$166,6,FALSE)</f>
        <v>428</v>
      </c>
      <c r="K22" s="10">
        <f ca="1">VLOOKUP($B22,'[12]Analisys QBR By Machine Report'!$C$109:$BD$166,7,FALSE)</f>
        <v>0</v>
      </c>
      <c r="L22" s="10">
        <f ca="1">VLOOKUP($B22,'[12]Analisys QBR By Machine Report'!$C$109:$BD$166,8,FALSE)</f>
        <v>5837</v>
      </c>
      <c r="M22" s="10">
        <f ca="1">VLOOKUP($B22,'[12]Analisys QBR By Machine Report'!$C$109:$BD$166,9,FALSE)</f>
        <v>1854</v>
      </c>
      <c r="N22" s="10">
        <f ca="1">VLOOKUP($B22,[12]Dasboard_QBR_Report!$B$109:$BL$166,18,FALSE)</f>
        <v>3983</v>
      </c>
      <c r="O22" s="10">
        <f ca="1">VLOOKUP($B22,'[12]Analisys QBR By Machine Report'!$C$109:$BD$166,10,FALSE)</f>
        <v>61</v>
      </c>
      <c r="P22" s="10">
        <f ca="1">VLOOKUP($B22,'[12]Analisys QBR By Machine Report'!$C$109:$BD$166,11,FALSE)</f>
        <v>61</v>
      </c>
      <c r="Q22" s="10">
        <f ca="1">VLOOKUP($B22,'[12]Analisys QBR By Machine Report'!$C$109:$BD$166,12,FALSE)</f>
        <v>0</v>
      </c>
      <c r="R22" s="10">
        <f ca="1">VLOOKUP($B22,'[12]Analisys QBR By Machine Report'!$C$109:$BD$166,13,FALSE)</f>
        <v>0</v>
      </c>
      <c r="S22" s="10">
        <f ca="1">VLOOKUP($B22,'[12]Analisys QBR By Machine Report'!$C$109:$BD$166,14,FALSE)</f>
        <v>0</v>
      </c>
      <c r="T22" s="10">
        <f ca="1">VLOOKUP($B22,'[12]Analisys QBR By Machine Report'!$C$109:$BD$166,15,FALSE)</f>
        <v>0</v>
      </c>
      <c r="U22" s="10">
        <f ca="1">VLOOKUP($B22,'[12]Analisys QBR By Machine Report'!$C$109:$BD$166,16,FALSE)</f>
        <v>0</v>
      </c>
      <c r="V22" s="10">
        <f ca="1">VLOOKUP($B22,'[12]Analisys QBR By Machine Report'!$C$109:$BD$166,17,FALSE)</f>
        <v>0</v>
      </c>
      <c r="W22" s="10">
        <f ca="1">VLOOKUP($B22,'[12]Analisys QBR By Machine Report'!$C$109:$BD$166,18,FALSE)</f>
        <v>0</v>
      </c>
      <c r="X22" s="10">
        <f ca="1">VLOOKUP($B22,'[12]Analisys QBR By Machine Report'!$C$109:$BD$166,19,FALSE)</f>
        <v>0</v>
      </c>
      <c r="Y22" s="10">
        <f ca="1">VLOOKUP($B22,'[12]Analisys QBR By Machine Report'!$C$109:$BD$166,20,FALSE)</f>
        <v>0</v>
      </c>
      <c r="Z22" s="10">
        <f ca="1">VLOOKUP($B22,'[12]Analisys QBR By Machine Report'!$C$109:$BD$166,21,FALSE)</f>
        <v>2720</v>
      </c>
      <c r="AA22" s="10">
        <f ca="1">VLOOKUP($B22,'[12]Analisys QBR By Machine Report'!$C$109:$BD$166,22,FALSE)</f>
        <v>180</v>
      </c>
      <c r="AB22" s="10">
        <f ca="1">VLOOKUP($B22,'[12]Analisys QBR By Machine Report'!$C$109:$BD$166,23,FALSE)</f>
        <v>2465</v>
      </c>
      <c r="AC22" s="10">
        <f ca="1">VLOOKUP($B22,'[12]Analisys QBR By Machine Report'!$C$109:$BD$166,24,FALSE)</f>
        <v>0</v>
      </c>
      <c r="AD22" s="10">
        <f ca="1">VLOOKUP($B22,'[12]Analisys QBR By Machine Report'!$C$109:$BD$166,25,FALSE)</f>
        <v>0</v>
      </c>
      <c r="AE22" s="10">
        <f ca="1">VLOOKUP($B22,'[12]Analisys QBR By Machine Report'!$C$109:$BD$166,26,FALSE)</f>
        <v>75</v>
      </c>
      <c r="AF22" s="10">
        <f ca="1">VLOOKUP($B22,'[12]Analisys QBR By Machine Report'!$C$109:$BD$166,27,FALSE)</f>
        <v>0</v>
      </c>
      <c r="AG22" s="10">
        <f ca="1">VLOOKUP($B22,'[12]Analisys QBR By Machine Report'!$C$109:$BD$166,28,FALSE)</f>
        <v>0</v>
      </c>
      <c r="AH22" s="10">
        <f ca="1">VLOOKUP($B22,'[12]Analisys QBR By Machine Report'!$C$109:$BD$166,29,FALSE)</f>
        <v>0</v>
      </c>
      <c r="AI22" s="10">
        <f ca="1">VLOOKUP($B22,'[12]Analisys QBR By Machine Report'!$C$109:$BD$166,30,FALSE)</f>
        <v>1202</v>
      </c>
      <c r="AJ22" s="10">
        <f ca="1">VLOOKUP($B22,'[12]Analisys QBR By Machine Report'!$C$109:$BD$166,31,FALSE)</f>
        <v>40</v>
      </c>
      <c r="AK22" s="10">
        <f ca="1">VLOOKUP($B22,'[12]Analisys QBR By Machine Report'!$C$109:$BD$166,32,FALSE)</f>
        <v>0</v>
      </c>
      <c r="AL22" s="10">
        <f ca="1">VLOOKUP($B22,'[12]Analisys QBR By Machine Report'!$C$109:$BD$166,33,FALSE)</f>
        <v>280</v>
      </c>
      <c r="AM22" s="10">
        <f ca="1">VLOOKUP($B22,'[12]Analisys QBR By Machine Report'!$C$109:$BD$166,34,FALSE)</f>
        <v>0</v>
      </c>
      <c r="AN22" s="10">
        <f ca="1">VLOOKUP($B22,'[12]Analisys QBR By Machine Report'!$C$109:$BD$166,35,FALSE)</f>
        <v>135</v>
      </c>
      <c r="AO22" s="10">
        <f ca="1">VLOOKUP($B22,'[12]Analisys QBR By Machine Report'!$C$109:$BD$166,36,FALSE)</f>
        <v>0</v>
      </c>
      <c r="AP22" s="10">
        <f ca="1">VLOOKUP($B22,'[12]Analisys QBR By Machine Report'!$C$109:$BD$166,37,FALSE)</f>
        <v>0</v>
      </c>
      <c r="AQ22" s="10">
        <f ca="1">VLOOKUP($B22,'[12]Analisys QBR By Machine Report'!$C$109:$BD$166,38,FALSE)</f>
        <v>0</v>
      </c>
      <c r="AR22" s="10">
        <f ca="1">VLOOKUP($B22,'[12]Analisys QBR By Machine Report'!$C$109:$BD$166,39,FALSE)</f>
        <v>0</v>
      </c>
      <c r="AS22" s="10">
        <f ca="1">VLOOKUP($B22,'[12]Analisys QBR By Machine Report'!$C$109:$BD$166,40,FALSE)</f>
        <v>0</v>
      </c>
      <c r="AT22" s="10">
        <f ca="1">VLOOKUP($B22,'[12]Analisys QBR By Machine Report'!$C$109:$BD$166,41,FALSE)</f>
        <v>0</v>
      </c>
      <c r="AU22" s="10">
        <f ca="1">VLOOKUP($B22,'[12]Analisys QBR By Machine Report'!$C$109:$BD$166,42,FALSE)</f>
        <v>0</v>
      </c>
      <c r="AV22" s="10">
        <f ca="1">VLOOKUP($B22,'[12]Analisys QBR By Machine Report'!$C$109:$BD$166,43,FALSE)</f>
        <v>115</v>
      </c>
      <c r="AW22" s="10">
        <f ca="1">VLOOKUP($B22,'[12]Analisys QBR By Machine Report'!$C$109:$BD$166,44,FALSE)</f>
        <v>0</v>
      </c>
      <c r="AX22" s="10">
        <f ca="1">VLOOKUP($B22,'[12]Analisys QBR By Machine Report'!$C$109:$BD$166,45,FALSE)</f>
        <v>0</v>
      </c>
      <c r="AY22" s="10">
        <f ca="1">VLOOKUP($B22,'[12]Analisys QBR By Machine Report'!$C$109:$BD$166,46,FALSE)</f>
        <v>0</v>
      </c>
      <c r="AZ22" s="10">
        <f ca="1">VLOOKUP($B22,'[12]Analisys QBR By Machine Report'!$C$109:$BD$166,47,FALSE)</f>
        <v>397</v>
      </c>
      <c r="BA22" s="10">
        <f ca="1">VLOOKUP($B22,'[12]Analisys QBR By Machine Report'!$C$109:$BD$166,48,FALSE)</f>
        <v>225</v>
      </c>
      <c r="BB22" s="10">
        <f ca="1">VLOOKUP($B22,'[12]Analisys QBR By Machine Report'!$C$109:$BD$166,49,FALSE)</f>
        <v>10</v>
      </c>
      <c r="BC22" s="10">
        <f ca="1">VLOOKUP($B22,'[12]Analisys QBR By Machine Report'!$C$109:$BD$166,50,FALSE)</f>
        <v>0</v>
      </c>
      <c r="BD22" s="10">
        <f ca="1">VLOOKUP($B22,'[12]Analisys QBR By Machine Report'!$C$109:$BD$166,51,FALSE)</f>
        <v>7910</v>
      </c>
      <c r="BE22" s="10">
        <f ca="1">VLOOKUP($B22,'[12]Analisys QBR By Machine Report'!$C$109:$BD$166,52,FALSE)</f>
        <v>2.42</v>
      </c>
      <c r="BF22" s="10">
        <f ca="1">VLOOKUP($B22,'[12]Analisys QBR By Machine Report'!$C$109:$BD$166,53,FALSE)</f>
        <v>7907.58</v>
      </c>
    </row>
    <row r="23" spans="1:58" x14ac:dyDescent="0.25">
      <c r="A23" s="12" t="s">
        <v>79</v>
      </c>
      <c r="B23" s="13">
        <f ca="1">VLOOKUP($B23,'[12]Analisys QBR By Machine Report'!$C$109:$BD$166,2,FALSE)</f>
        <v>25920</v>
      </c>
      <c r="C23" s="14">
        <f ca="1">VLOOKUP($B23,[12]Dasboard_QBR_Report!$B$109:$BL$166,3,FALSE)</f>
        <v>16740</v>
      </c>
      <c r="D23" s="13">
        <f ca="1">VLOOKUP($B23,'[12]Analisys QBR By Machine Report'!$C$109:$BD$166,3,FALSE)</f>
        <v>19590</v>
      </c>
      <c r="E23" s="14">
        <f ca="1">VLOOKUP($B23,[12]Dasboard_QBR_Report!$B$109:$BL$166,5,FALSE)</f>
        <v>10410</v>
      </c>
      <c r="F23" s="13">
        <f t="shared" ca="1" si="0"/>
        <v>6330</v>
      </c>
      <c r="G23" s="13">
        <f t="shared" ca="1" si="1"/>
        <v>493</v>
      </c>
      <c r="H23" s="13">
        <f ca="1">VLOOKUP($B23,'[12]Analisys QBR By Machine Report'!$C$109:$BD$166,4,FALSE)</f>
        <v>493</v>
      </c>
      <c r="I23" s="13">
        <f ca="1">VLOOKUP($B23,'[12]Analisys QBR By Machine Report'!$C$109:$BD$166,5,FALSE)</f>
        <v>65</v>
      </c>
      <c r="J23" s="13">
        <f ca="1">VLOOKUP($B23,'[12]Analisys QBR By Machine Report'!$C$109:$BD$166,6,FALSE)</f>
        <v>428</v>
      </c>
      <c r="K23" s="13">
        <f ca="1">VLOOKUP($B23,'[12]Analisys QBR By Machine Report'!$C$109:$BD$166,7,FALSE)</f>
        <v>0</v>
      </c>
      <c r="L23" s="13">
        <f ca="1">VLOOKUP($B23,'[12]Analisys QBR By Machine Report'!$C$109:$BD$166,8,FALSE)</f>
        <v>5837</v>
      </c>
      <c r="M23" s="13">
        <f ca="1">VLOOKUP($B23,'[12]Analisys QBR By Machine Report'!$C$109:$BD$166,9,FALSE)</f>
        <v>1854</v>
      </c>
      <c r="N23" s="13">
        <f ca="1">VLOOKUP($B23,[12]Dasboard_QBR_Report!$B$109:$BL$166,18,FALSE)</f>
        <v>3983</v>
      </c>
      <c r="O23" s="13">
        <f ca="1">VLOOKUP($B23,'[12]Analisys QBR By Machine Report'!$C$109:$BD$166,10,FALSE)</f>
        <v>61</v>
      </c>
      <c r="P23" s="13">
        <f ca="1">VLOOKUP($B23,'[12]Analisys QBR By Machine Report'!$C$109:$BD$166,11,FALSE)</f>
        <v>61</v>
      </c>
      <c r="Q23" s="13">
        <f ca="1">VLOOKUP($B23,'[12]Analisys QBR By Machine Report'!$C$109:$BD$166,12,FALSE)</f>
        <v>0</v>
      </c>
      <c r="R23" s="13">
        <f ca="1">VLOOKUP($B23,'[12]Analisys QBR By Machine Report'!$C$109:$BD$166,13,FALSE)</f>
        <v>0</v>
      </c>
      <c r="S23" s="13">
        <f ca="1">VLOOKUP($B23,'[12]Analisys QBR By Machine Report'!$C$109:$BD$166,14,FALSE)</f>
        <v>0</v>
      </c>
      <c r="T23" s="13">
        <f ca="1">VLOOKUP($B23,'[12]Analisys QBR By Machine Report'!$C$109:$BD$166,15,FALSE)</f>
        <v>0</v>
      </c>
      <c r="U23" s="13">
        <f ca="1">VLOOKUP($B23,'[12]Analisys QBR By Machine Report'!$C$109:$BD$166,16,FALSE)</f>
        <v>0</v>
      </c>
      <c r="V23" s="13">
        <f ca="1">VLOOKUP($B23,'[12]Analisys QBR By Machine Report'!$C$109:$BD$166,17,FALSE)</f>
        <v>0</v>
      </c>
      <c r="W23" s="13">
        <f ca="1">VLOOKUP($B23,'[12]Analisys QBR By Machine Report'!$C$109:$BD$166,18,FALSE)</f>
        <v>0</v>
      </c>
      <c r="X23" s="13">
        <f ca="1">VLOOKUP($B23,'[12]Analisys QBR By Machine Report'!$C$109:$BD$166,19,FALSE)</f>
        <v>0</v>
      </c>
      <c r="Y23" s="13">
        <f ca="1">VLOOKUP($B23,'[12]Analisys QBR By Machine Report'!$C$109:$BD$166,20,FALSE)</f>
        <v>0</v>
      </c>
      <c r="Z23" s="13">
        <f ca="1">VLOOKUP($B23,'[12]Analisys QBR By Machine Report'!$C$109:$BD$166,21,FALSE)</f>
        <v>2720</v>
      </c>
      <c r="AA23" s="13">
        <f ca="1">VLOOKUP($B23,'[12]Analisys QBR By Machine Report'!$C$109:$BD$166,22,FALSE)</f>
        <v>180</v>
      </c>
      <c r="AB23" s="13">
        <f ca="1">VLOOKUP($B23,'[12]Analisys QBR By Machine Report'!$C$109:$BD$166,23,FALSE)</f>
        <v>2465</v>
      </c>
      <c r="AC23" s="13">
        <f ca="1">VLOOKUP($B23,'[12]Analisys QBR By Machine Report'!$C$109:$BD$166,24,FALSE)</f>
        <v>0</v>
      </c>
      <c r="AD23" s="13">
        <f ca="1">VLOOKUP($B23,'[12]Analisys QBR By Machine Report'!$C$109:$BD$166,25,FALSE)</f>
        <v>0</v>
      </c>
      <c r="AE23" s="13">
        <f ca="1">VLOOKUP($B23,'[12]Analisys QBR By Machine Report'!$C$109:$BD$166,26,FALSE)</f>
        <v>75</v>
      </c>
      <c r="AF23" s="13">
        <f ca="1">VLOOKUP($B23,'[12]Analisys QBR By Machine Report'!$C$109:$BD$166,27,FALSE)</f>
        <v>0</v>
      </c>
      <c r="AG23" s="13">
        <f ca="1">VLOOKUP($B23,'[12]Analisys QBR By Machine Report'!$C$109:$BD$166,28,FALSE)</f>
        <v>0</v>
      </c>
      <c r="AH23" s="13">
        <f ca="1">VLOOKUP($B23,'[12]Analisys QBR By Machine Report'!$C$109:$BD$166,29,FALSE)</f>
        <v>0</v>
      </c>
      <c r="AI23" s="13">
        <f ca="1">VLOOKUP($B23,'[12]Analisys QBR By Machine Report'!$C$109:$BD$166,30,FALSE)</f>
        <v>1202</v>
      </c>
      <c r="AJ23" s="13">
        <f ca="1">VLOOKUP($B23,'[12]Analisys QBR By Machine Report'!$C$109:$BD$166,31,FALSE)</f>
        <v>40</v>
      </c>
      <c r="AK23" s="13">
        <f ca="1">VLOOKUP($B23,'[12]Analisys QBR By Machine Report'!$C$109:$BD$166,32,FALSE)</f>
        <v>0</v>
      </c>
      <c r="AL23" s="13">
        <f ca="1">VLOOKUP($B23,'[12]Analisys QBR By Machine Report'!$C$109:$BD$166,33,FALSE)</f>
        <v>280</v>
      </c>
      <c r="AM23" s="13">
        <f ca="1">VLOOKUP($B23,'[12]Analisys QBR By Machine Report'!$C$109:$BD$166,34,FALSE)</f>
        <v>0</v>
      </c>
      <c r="AN23" s="13">
        <f ca="1">VLOOKUP($B23,'[12]Analisys QBR By Machine Report'!$C$109:$BD$166,35,FALSE)</f>
        <v>135</v>
      </c>
      <c r="AO23" s="13">
        <f ca="1">VLOOKUP($B23,'[12]Analisys QBR By Machine Report'!$C$109:$BD$166,36,FALSE)</f>
        <v>0</v>
      </c>
      <c r="AP23" s="13">
        <f ca="1">VLOOKUP($B23,'[12]Analisys QBR By Machine Report'!$C$109:$BD$166,37,FALSE)</f>
        <v>0</v>
      </c>
      <c r="AQ23" s="13">
        <f ca="1">VLOOKUP($B23,'[12]Analisys QBR By Machine Report'!$C$109:$BD$166,38,FALSE)</f>
        <v>0</v>
      </c>
      <c r="AR23" s="13">
        <f ca="1">VLOOKUP($B23,'[12]Analisys QBR By Machine Report'!$C$109:$BD$166,39,FALSE)</f>
        <v>0</v>
      </c>
      <c r="AS23" s="13">
        <f ca="1">VLOOKUP($B23,'[12]Analisys QBR By Machine Report'!$C$109:$BD$166,40,FALSE)</f>
        <v>0</v>
      </c>
      <c r="AT23" s="13">
        <f ca="1">VLOOKUP($B23,'[12]Analisys QBR By Machine Report'!$C$109:$BD$166,41,FALSE)</f>
        <v>0</v>
      </c>
      <c r="AU23" s="13">
        <f ca="1">VLOOKUP($B23,'[12]Analisys QBR By Machine Report'!$C$109:$BD$166,42,FALSE)</f>
        <v>0</v>
      </c>
      <c r="AV23" s="13">
        <f ca="1">VLOOKUP($B23,'[12]Analisys QBR By Machine Report'!$C$109:$BD$166,43,FALSE)</f>
        <v>115</v>
      </c>
      <c r="AW23" s="13">
        <f ca="1">VLOOKUP($B23,'[12]Analisys QBR By Machine Report'!$C$109:$BD$166,44,FALSE)</f>
        <v>0</v>
      </c>
      <c r="AX23" s="13">
        <f ca="1">VLOOKUP($B23,'[12]Analisys QBR By Machine Report'!$C$109:$BD$166,45,FALSE)</f>
        <v>0</v>
      </c>
      <c r="AY23" s="13">
        <f ca="1">VLOOKUP($B23,'[12]Analisys QBR By Machine Report'!$C$109:$BD$166,46,FALSE)</f>
        <v>0</v>
      </c>
      <c r="AZ23" s="13">
        <f ca="1">VLOOKUP($B23,'[12]Analisys QBR By Machine Report'!$C$109:$BD$166,47,FALSE)</f>
        <v>397</v>
      </c>
      <c r="BA23" s="13">
        <f ca="1">VLOOKUP($B23,'[12]Analisys QBR By Machine Report'!$C$109:$BD$166,48,FALSE)</f>
        <v>225</v>
      </c>
      <c r="BB23" s="13">
        <f ca="1">VLOOKUP($B23,'[12]Analisys QBR By Machine Report'!$C$109:$BD$166,49,FALSE)</f>
        <v>10</v>
      </c>
      <c r="BC23" s="13">
        <f ca="1">VLOOKUP($B23,'[12]Analisys QBR By Machine Report'!$C$109:$BD$166,50,FALSE)</f>
        <v>0</v>
      </c>
      <c r="BD23" s="13">
        <f ca="1">VLOOKUP($B23,'[12]Analisys QBR By Machine Report'!$C$109:$BD$166,51,FALSE)</f>
        <v>7910</v>
      </c>
      <c r="BE23" s="13">
        <f ca="1">VLOOKUP($B23,'[12]Analisys QBR By Machine Report'!$C$109:$BD$166,52,FALSE)</f>
        <v>2.42</v>
      </c>
      <c r="BF23" s="13">
        <f ca="1">VLOOKUP($B23,'[12]Analisys QBR By Machine Report'!$C$109:$BD$166,53,FALSE)</f>
        <v>7907.58</v>
      </c>
    </row>
    <row r="24" spans="1:58" x14ac:dyDescent="0.25">
      <c r="A24" s="9" t="s">
        <v>80</v>
      </c>
      <c r="B24" s="10">
        <f ca="1">VLOOKUP($B24,'[12]Analisys QBR By Machine Report'!$C$109:$BD$166,2,FALSE)</f>
        <v>51840</v>
      </c>
      <c r="C24" s="11">
        <f ca="1">VLOOKUP($B24,[12]Dasboard_QBR_Report!$B$109:$BL$166,3,FALSE)</f>
        <v>33480</v>
      </c>
      <c r="D24" s="10">
        <f ca="1">VLOOKUP($B24,'[12]Analisys QBR By Machine Report'!$C$109:$BD$166,3,FALSE)</f>
        <v>43680</v>
      </c>
      <c r="E24" s="11">
        <f ca="1">VLOOKUP($B24,[12]Dasboard_QBR_Report!$B$109:$BL$166,5,FALSE)</f>
        <v>25320</v>
      </c>
      <c r="F24" s="10">
        <f t="shared" ca="1" si="0"/>
        <v>8160</v>
      </c>
      <c r="G24" s="10">
        <f t="shared" ca="1" si="1"/>
        <v>1450</v>
      </c>
      <c r="H24" s="10">
        <f ca="1">VLOOKUP($B24,'[12]Analisys QBR By Machine Report'!$C$109:$BD$166,4,FALSE)</f>
        <v>1450</v>
      </c>
      <c r="I24" s="10">
        <f ca="1">VLOOKUP($B24,'[12]Analisys QBR By Machine Report'!$C$109:$BD$166,5,FALSE)</f>
        <v>0</v>
      </c>
      <c r="J24" s="10">
        <f ca="1">VLOOKUP($B24,'[12]Analisys QBR By Machine Report'!$C$109:$BD$166,6,FALSE)</f>
        <v>1450</v>
      </c>
      <c r="K24" s="10">
        <f ca="1">VLOOKUP($B24,'[12]Analisys QBR By Machine Report'!$C$109:$BD$166,7,FALSE)</f>
        <v>0</v>
      </c>
      <c r="L24" s="10">
        <f ca="1">VLOOKUP($B24,'[12]Analisys QBR By Machine Report'!$C$109:$BD$166,8,FALSE)</f>
        <v>6710</v>
      </c>
      <c r="M24" s="10">
        <f ca="1">VLOOKUP($B24,'[12]Analisys QBR By Machine Report'!$C$109:$BD$166,9,FALSE)</f>
        <v>2385</v>
      </c>
      <c r="N24" s="10">
        <f ca="1">VLOOKUP($B24,[12]Dasboard_QBR_Report!$B$109:$BL$166,18,FALSE)</f>
        <v>4325</v>
      </c>
      <c r="O24" s="10">
        <f ca="1">VLOOKUP($B24,'[12]Analisys QBR By Machine Report'!$C$109:$BD$166,10,FALSE)</f>
        <v>635</v>
      </c>
      <c r="P24" s="10">
        <f ca="1">VLOOKUP($B24,'[12]Analisys QBR By Machine Report'!$C$109:$BD$166,11,FALSE)</f>
        <v>480</v>
      </c>
      <c r="Q24" s="10">
        <f ca="1">VLOOKUP($B24,'[12]Analisys QBR By Machine Report'!$C$109:$BD$166,12,FALSE)</f>
        <v>0</v>
      </c>
      <c r="R24" s="10">
        <f ca="1">VLOOKUP($B24,'[12]Analisys QBR By Machine Report'!$C$109:$BD$166,13,FALSE)</f>
        <v>105</v>
      </c>
      <c r="S24" s="10">
        <f ca="1">VLOOKUP($B24,'[12]Analisys QBR By Machine Report'!$C$109:$BD$166,14,FALSE)</f>
        <v>50</v>
      </c>
      <c r="T24" s="10">
        <f ca="1">VLOOKUP($B24,'[12]Analisys QBR By Machine Report'!$C$109:$BD$166,15,FALSE)</f>
        <v>295</v>
      </c>
      <c r="U24" s="10">
        <f ca="1">VLOOKUP($B24,'[12]Analisys QBR By Machine Report'!$C$109:$BD$166,16,FALSE)</f>
        <v>270</v>
      </c>
      <c r="V24" s="10">
        <f ca="1">VLOOKUP($B24,'[12]Analisys QBR By Machine Report'!$C$109:$BD$166,17,FALSE)</f>
        <v>0</v>
      </c>
      <c r="W24" s="10">
        <f ca="1">VLOOKUP($B24,'[12]Analisys QBR By Machine Report'!$C$109:$BD$166,18,FALSE)</f>
        <v>0</v>
      </c>
      <c r="X24" s="10">
        <f ca="1">VLOOKUP($B24,'[12]Analisys QBR By Machine Report'!$C$109:$BD$166,19,FALSE)</f>
        <v>0</v>
      </c>
      <c r="Y24" s="10">
        <f ca="1">VLOOKUP($B24,'[12]Analisys QBR By Machine Report'!$C$109:$BD$166,20,FALSE)</f>
        <v>25</v>
      </c>
      <c r="Z24" s="10">
        <f ca="1">VLOOKUP($B24,'[12]Analisys QBR By Machine Report'!$C$109:$BD$166,21,FALSE)</f>
        <v>2130</v>
      </c>
      <c r="AA24" s="10">
        <f ca="1">VLOOKUP($B24,'[12]Analisys QBR By Machine Report'!$C$109:$BD$166,22,FALSE)</f>
        <v>125</v>
      </c>
      <c r="AB24" s="10">
        <f ca="1">VLOOKUP($B24,'[12]Analisys QBR By Machine Report'!$C$109:$BD$166,23,FALSE)</f>
        <v>1505</v>
      </c>
      <c r="AC24" s="10">
        <f ca="1">VLOOKUP($B24,'[12]Analisys QBR By Machine Report'!$C$109:$BD$166,24,FALSE)</f>
        <v>30</v>
      </c>
      <c r="AD24" s="10">
        <f ca="1">VLOOKUP($B24,'[12]Analisys QBR By Machine Report'!$C$109:$BD$166,25,FALSE)</f>
        <v>0</v>
      </c>
      <c r="AE24" s="10">
        <f ca="1">VLOOKUP($B24,'[12]Analisys QBR By Machine Report'!$C$109:$BD$166,26,FALSE)</f>
        <v>470</v>
      </c>
      <c r="AF24" s="10">
        <f ca="1">VLOOKUP($B24,'[12]Analisys QBR By Machine Report'!$C$109:$BD$166,27,FALSE)</f>
        <v>0</v>
      </c>
      <c r="AG24" s="10">
        <f ca="1">VLOOKUP($B24,'[12]Analisys QBR By Machine Report'!$C$109:$BD$166,28,FALSE)</f>
        <v>0</v>
      </c>
      <c r="AH24" s="10">
        <f ca="1">VLOOKUP($B24,'[12]Analisys QBR By Machine Report'!$C$109:$BD$166,29,FALSE)</f>
        <v>0</v>
      </c>
      <c r="AI24" s="10">
        <f ca="1">VLOOKUP($B24,'[12]Analisys QBR By Machine Report'!$C$109:$BD$166,30,FALSE)</f>
        <v>1265</v>
      </c>
      <c r="AJ24" s="10">
        <f ca="1">VLOOKUP($B24,'[12]Analisys QBR By Machine Report'!$C$109:$BD$166,31,FALSE)</f>
        <v>0</v>
      </c>
      <c r="AK24" s="10">
        <f ca="1">VLOOKUP($B24,'[12]Analisys QBR By Machine Report'!$C$109:$BD$166,32,FALSE)</f>
        <v>0</v>
      </c>
      <c r="AL24" s="10">
        <f ca="1">VLOOKUP($B24,'[12]Analisys QBR By Machine Report'!$C$109:$BD$166,33,FALSE)</f>
        <v>420</v>
      </c>
      <c r="AM24" s="10">
        <f ca="1">VLOOKUP($B24,'[12]Analisys QBR By Machine Report'!$C$109:$BD$166,34,FALSE)</f>
        <v>0</v>
      </c>
      <c r="AN24" s="10">
        <f ca="1">VLOOKUP($B24,'[12]Analisys QBR By Machine Report'!$C$109:$BD$166,35,FALSE)</f>
        <v>330</v>
      </c>
      <c r="AO24" s="10">
        <f ca="1">VLOOKUP($B24,'[12]Analisys QBR By Machine Report'!$C$109:$BD$166,36,FALSE)</f>
        <v>0</v>
      </c>
      <c r="AP24" s="10">
        <f ca="1">VLOOKUP($B24,'[12]Analisys QBR By Machine Report'!$C$109:$BD$166,37,FALSE)</f>
        <v>0</v>
      </c>
      <c r="AQ24" s="10">
        <f ca="1">VLOOKUP($B24,'[12]Analisys QBR By Machine Report'!$C$109:$BD$166,38,FALSE)</f>
        <v>0</v>
      </c>
      <c r="AR24" s="10">
        <f ca="1">VLOOKUP($B24,'[12]Analisys QBR By Machine Report'!$C$109:$BD$166,39,FALSE)</f>
        <v>485</v>
      </c>
      <c r="AS24" s="10">
        <f ca="1">VLOOKUP($B24,'[12]Analisys QBR By Machine Report'!$C$109:$BD$166,40,FALSE)</f>
        <v>0</v>
      </c>
      <c r="AT24" s="10">
        <f ca="1">VLOOKUP($B24,'[12]Analisys QBR By Machine Report'!$C$109:$BD$166,41,FALSE)</f>
        <v>0</v>
      </c>
      <c r="AU24" s="10">
        <f ca="1">VLOOKUP($B24,'[12]Analisys QBR By Machine Report'!$C$109:$BD$166,42,FALSE)</f>
        <v>0</v>
      </c>
      <c r="AV24" s="10">
        <f ca="1">VLOOKUP($B24,'[12]Analisys QBR By Machine Report'!$C$109:$BD$166,43,FALSE)</f>
        <v>0</v>
      </c>
      <c r="AW24" s="10">
        <f ca="1">VLOOKUP($B24,'[12]Analisys QBR By Machine Report'!$C$109:$BD$166,44,FALSE)</f>
        <v>0</v>
      </c>
      <c r="AX24" s="10">
        <f ca="1">VLOOKUP($B24,'[12]Analisys QBR By Machine Report'!$C$109:$BD$166,45,FALSE)</f>
        <v>0</v>
      </c>
      <c r="AY24" s="10">
        <f ca="1">VLOOKUP($B24,'[12]Analisys QBR By Machine Report'!$C$109:$BD$166,46,FALSE)</f>
        <v>0</v>
      </c>
      <c r="AZ24" s="10">
        <f ca="1">VLOOKUP($B24,'[12]Analisys QBR By Machine Report'!$C$109:$BD$166,47,FALSE)</f>
        <v>0</v>
      </c>
      <c r="BA24" s="10">
        <f ca="1">VLOOKUP($B24,'[12]Analisys QBR By Machine Report'!$C$109:$BD$166,48,FALSE)</f>
        <v>30</v>
      </c>
      <c r="BB24" s="10">
        <f ca="1">VLOOKUP($B24,'[12]Analisys QBR By Machine Report'!$C$109:$BD$166,49,FALSE)</f>
        <v>0</v>
      </c>
      <c r="BC24" s="10">
        <f ca="1">VLOOKUP($B24,'[12]Analisys QBR By Machine Report'!$C$109:$BD$166,50,FALSE)</f>
        <v>0</v>
      </c>
      <c r="BD24" s="10">
        <f ca="1">VLOOKUP($B24,'[12]Analisys QBR By Machine Report'!$C$109:$BD$166,51,FALSE)</f>
        <v>125631</v>
      </c>
      <c r="BE24" s="10">
        <f ca="1">VLOOKUP($B24,'[12]Analisys QBR By Machine Report'!$C$109:$BD$166,52,FALSE)</f>
        <v>294</v>
      </c>
      <c r="BF24" s="10">
        <f ca="1">VLOOKUP($B24,'[12]Analisys QBR By Machine Report'!$C$109:$BD$166,53,FALSE)</f>
        <v>125337</v>
      </c>
    </row>
    <row r="25" spans="1:58" x14ac:dyDescent="0.25">
      <c r="A25" s="12" t="s">
        <v>81</v>
      </c>
      <c r="B25" s="13">
        <f ca="1">VLOOKUP($B25,'[12]Analisys QBR By Machine Report'!$C$109:$BD$166,2,FALSE)</f>
        <v>25920</v>
      </c>
      <c r="C25" s="14">
        <f ca="1">VLOOKUP($B25,[12]Dasboard_QBR_Report!$B$109:$BL$166,3,FALSE)</f>
        <v>16740</v>
      </c>
      <c r="D25" s="13">
        <f ca="1">VLOOKUP($B25,'[12]Analisys QBR By Machine Report'!$C$109:$BD$166,3,FALSE)</f>
        <v>19290</v>
      </c>
      <c r="E25" s="14">
        <f ca="1">VLOOKUP($B25,[12]Dasboard_QBR_Report!$B$109:$BL$166,5,FALSE)</f>
        <v>10110</v>
      </c>
      <c r="F25" s="13">
        <f t="shared" ca="1" si="0"/>
        <v>6630</v>
      </c>
      <c r="G25" s="13">
        <f t="shared" ca="1" si="1"/>
        <v>715</v>
      </c>
      <c r="H25" s="13">
        <f ca="1">VLOOKUP($B25,'[12]Analisys QBR By Machine Report'!$C$109:$BD$166,4,FALSE)</f>
        <v>715</v>
      </c>
      <c r="I25" s="13">
        <f ca="1">VLOOKUP($B25,'[12]Analisys QBR By Machine Report'!$C$109:$BD$166,5,FALSE)</f>
        <v>0</v>
      </c>
      <c r="J25" s="13">
        <f ca="1">VLOOKUP($B25,'[12]Analisys QBR By Machine Report'!$C$109:$BD$166,6,FALSE)</f>
        <v>715</v>
      </c>
      <c r="K25" s="13">
        <f ca="1">VLOOKUP($B25,'[12]Analisys QBR By Machine Report'!$C$109:$BD$166,7,FALSE)</f>
        <v>0</v>
      </c>
      <c r="L25" s="13">
        <f ca="1">VLOOKUP($B25,'[12]Analisys QBR By Machine Report'!$C$109:$BD$166,8,FALSE)</f>
        <v>5915</v>
      </c>
      <c r="M25" s="13">
        <f ca="1">VLOOKUP($B25,'[12]Analisys QBR By Machine Report'!$C$109:$BD$166,9,FALSE)</f>
        <v>1960</v>
      </c>
      <c r="N25" s="13">
        <f ca="1">VLOOKUP($B25,[12]Dasboard_QBR_Report!$B$109:$BL$166,18,FALSE)</f>
        <v>3955</v>
      </c>
      <c r="O25" s="13">
        <f ca="1">VLOOKUP($B25,'[12]Analisys QBR By Machine Report'!$C$109:$BD$166,10,FALSE)</f>
        <v>575</v>
      </c>
      <c r="P25" s="13">
        <f ca="1">VLOOKUP($B25,'[12]Analisys QBR By Machine Report'!$C$109:$BD$166,11,FALSE)</f>
        <v>435</v>
      </c>
      <c r="Q25" s="13">
        <f ca="1">VLOOKUP($B25,'[12]Analisys QBR By Machine Report'!$C$109:$BD$166,12,FALSE)</f>
        <v>0</v>
      </c>
      <c r="R25" s="13">
        <f ca="1">VLOOKUP($B25,'[12]Analisys QBR By Machine Report'!$C$109:$BD$166,13,FALSE)</f>
        <v>105</v>
      </c>
      <c r="S25" s="13">
        <f ca="1">VLOOKUP($B25,'[12]Analisys QBR By Machine Report'!$C$109:$BD$166,14,FALSE)</f>
        <v>35</v>
      </c>
      <c r="T25" s="13">
        <f ca="1">VLOOKUP($B25,'[12]Analisys QBR By Machine Report'!$C$109:$BD$166,15,FALSE)</f>
        <v>295</v>
      </c>
      <c r="U25" s="13">
        <f ca="1">VLOOKUP($B25,'[12]Analisys QBR By Machine Report'!$C$109:$BD$166,16,FALSE)</f>
        <v>270</v>
      </c>
      <c r="V25" s="13">
        <f ca="1">VLOOKUP($B25,'[12]Analisys QBR By Machine Report'!$C$109:$BD$166,17,FALSE)</f>
        <v>0</v>
      </c>
      <c r="W25" s="13">
        <f ca="1">VLOOKUP($B25,'[12]Analisys QBR By Machine Report'!$C$109:$BD$166,18,FALSE)</f>
        <v>0</v>
      </c>
      <c r="X25" s="13">
        <f ca="1">VLOOKUP($B25,'[12]Analisys QBR By Machine Report'!$C$109:$BD$166,19,FALSE)</f>
        <v>0</v>
      </c>
      <c r="Y25" s="13">
        <f ca="1">VLOOKUP($B25,'[12]Analisys QBR By Machine Report'!$C$109:$BD$166,20,FALSE)</f>
        <v>25</v>
      </c>
      <c r="Z25" s="13">
        <f ca="1">VLOOKUP($B25,'[12]Analisys QBR By Machine Report'!$C$109:$BD$166,21,FALSE)</f>
        <v>1865</v>
      </c>
      <c r="AA25" s="13">
        <f ca="1">VLOOKUP($B25,'[12]Analisys QBR By Machine Report'!$C$109:$BD$166,22,FALSE)</f>
        <v>100</v>
      </c>
      <c r="AB25" s="13">
        <f ca="1">VLOOKUP($B25,'[12]Analisys QBR By Machine Report'!$C$109:$BD$166,23,FALSE)</f>
        <v>1370</v>
      </c>
      <c r="AC25" s="13">
        <f ca="1">VLOOKUP($B25,'[12]Analisys QBR By Machine Report'!$C$109:$BD$166,24,FALSE)</f>
        <v>30</v>
      </c>
      <c r="AD25" s="13">
        <f ca="1">VLOOKUP($B25,'[12]Analisys QBR By Machine Report'!$C$109:$BD$166,25,FALSE)</f>
        <v>0</v>
      </c>
      <c r="AE25" s="13">
        <f ca="1">VLOOKUP($B25,'[12]Analisys QBR By Machine Report'!$C$109:$BD$166,26,FALSE)</f>
        <v>365</v>
      </c>
      <c r="AF25" s="13">
        <f ca="1">VLOOKUP($B25,'[12]Analisys QBR By Machine Report'!$C$109:$BD$166,27,FALSE)</f>
        <v>0</v>
      </c>
      <c r="AG25" s="13">
        <f ca="1">VLOOKUP($B25,'[12]Analisys QBR By Machine Report'!$C$109:$BD$166,28,FALSE)</f>
        <v>0</v>
      </c>
      <c r="AH25" s="13">
        <f ca="1">VLOOKUP($B25,'[12]Analisys QBR By Machine Report'!$C$109:$BD$166,29,FALSE)</f>
        <v>0</v>
      </c>
      <c r="AI25" s="13">
        <f ca="1">VLOOKUP($B25,'[12]Analisys QBR By Machine Report'!$C$109:$BD$166,30,FALSE)</f>
        <v>1220</v>
      </c>
      <c r="AJ25" s="13">
        <f ca="1">VLOOKUP($B25,'[12]Analisys QBR By Machine Report'!$C$109:$BD$166,31,FALSE)</f>
        <v>0</v>
      </c>
      <c r="AK25" s="13">
        <f ca="1">VLOOKUP($B25,'[12]Analisys QBR By Machine Report'!$C$109:$BD$166,32,FALSE)</f>
        <v>0</v>
      </c>
      <c r="AL25" s="13">
        <f ca="1">VLOOKUP($B25,'[12]Analisys QBR By Machine Report'!$C$109:$BD$166,33,FALSE)</f>
        <v>390</v>
      </c>
      <c r="AM25" s="13">
        <f ca="1">VLOOKUP($B25,'[12]Analisys QBR By Machine Report'!$C$109:$BD$166,34,FALSE)</f>
        <v>0</v>
      </c>
      <c r="AN25" s="13">
        <f ca="1">VLOOKUP($B25,'[12]Analisys QBR By Machine Report'!$C$109:$BD$166,35,FALSE)</f>
        <v>315</v>
      </c>
      <c r="AO25" s="13">
        <f ca="1">VLOOKUP($B25,'[12]Analisys QBR By Machine Report'!$C$109:$BD$166,36,FALSE)</f>
        <v>0</v>
      </c>
      <c r="AP25" s="13">
        <f ca="1">VLOOKUP($B25,'[12]Analisys QBR By Machine Report'!$C$109:$BD$166,37,FALSE)</f>
        <v>0</v>
      </c>
      <c r="AQ25" s="13">
        <f ca="1">VLOOKUP($B25,'[12]Analisys QBR By Machine Report'!$C$109:$BD$166,38,FALSE)</f>
        <v>0</v>
      </c>
      <c r="AR25" s="13">
        <f ca="1">VLOOKUP($B25,'[12]Analisys QBR By Machine Report'!$C$109:$BD$166,39,FALSE)</f>
        <v>485</v>
      </c>
      <c r="AS25" s="13">
        <f ca="1">VLOOKUP($B25,'[12]Analisys QBR By Machine Report'!$C$109:$BD$166,40,FALSE)</f>
        <v>0</v>
      </c>
      <c r="AT25" s="13">
        <f ca="1">VLOOKUP($B25,'[12]Analisys QBR By Machine Report'!$C$109:$BD$166,41,FALSE)</f>
        <v>0</v>
      </c>
      <c r="AU25" s="13">
        <f ca="1">VLOOKUP($B25,'[12]Analisys QBR By Machine Report'!$C$109:$BD$166,42,FALSE)</f>
        <v>0</v>
      </c>
      <c r="AV25" s="13">
        <f ca="1">VLOOKUP($B25,'[12]Analisys QBR By Machine Report'!$C$109:$BD$166,43,FALSE)</f>
        <v>0</v>
      </c>
      <c r="AW25" s="13">
        <f ca="1">VLOOKUP($B25,'[12]Analisys QBR By Machine Report'!$C$109:$BD$166,44,FALSE)</f>
        <v>0</v>
      </c>
      <c r="AX25" s="13">
        <f ca="1">VLOOKUP($B25,'[12]Analisys QBR By Machine Report'!$C$109:$BD$166,45,FALSE)</f>
        <v>0</v>
      </c>
      <c r="AY25" s="13">
        <f ca="1">VLOOKUP($B25,'[12]Analisys QBR By Machine Report'!$C$109:$BD$166,46,FALSE)</f>
        <v>0</v>
      </c>
      <c r="AZ25" s="13">
        <f ca="1">VLOOKUP($B25,'[12]Analisys QBR By Machine Report'!$C$109:$BD$166,47,FALSE)</f>
        <v>0</v>
      </c>
      <c r="BA25" s="13">
        <f ca="1">VLOOKUP($B25,'[12]Analisys QBR By Machine Report'!$C$109:$BD$166,48,FALSE)</f>
        <v>30</v>
      </c>
      <c r="BB25" s="13">
        <f ca="1">VLOOKUP($B25,'[12]Analisys QBR By Machine Report'!$C$109:$BD$166,49,FALSE)</f>
        <v>0</v>
      </c>
      <c r="BC25" s="13">
        <f ca="1">VLOOKUP($B25,'[12]Analisys QBR By Machine Report'!$C$109:$BD$166,50,FALSE)</f>
        <v>0</v>
      </c>
      <c r="BD25" s="13">
        <f ca="1">VLOOKUP($B25,'[12]Analisys QBR By Machine Report'!$C$109:$BD$166,51,FALSE)</f>
        <v>103883</v>
      </c>
      <c r="BE25" s="13">
        <f ca="1">VLOOKUP($B25,'[12]Analisys QBR By Machine Report'!$C$109:$BD$166,52,FALSE)</f>
        <v>264</v>
      </c>
      <c r="BF25" s="13">
        <f ca="1">VLOOKUP($B25,'[12]Analisys QBR By Machine Report'!$C$109:$BD$166,53,FALSE)</f>
        <v>103619</v>
      </c>
    </row>
    <row r="26" spans="1:58" x14ac:dyDescent="0.25">
      <c r="A26" s="12" t="s">
        <v>82</v>
      </c>
      <c r="B26" s="13">
        <f ca="1">VLOOKUP($B26,'[12]Analisys QBR By Machine Report'!$C$109:$BD$166,2,FALSE)</f>
        <v>25920</v>
      </c>
      <c r="C26" s="14">
        <f ca="1">VLOOKUP($B26,[12]Dasboard_QBR_Report!$B$109:$BL$166,3,FALSE)</f>
        <v>16740</v>
      </c>
      <c r="D26" s="13">
        <f ca="1">VLOOKUP($B26,'[12]Analisys QBR By Machine Report'!$C$109:$BD$166,3,FALSE)</f>
        <v>24390</v>
      </c>
      <c r="E26" s="14">
        <f ca="1">VLOOKUP($B26,[12]Dasboard_QBR_Report!$B$109:$BL$166,5,FALSE)</f>
        <v>15210</v>
      </c>
      <c r="F26" s="13">
        <f t="shared" ca="1" si="0"/>
        <v>1530</v>
      </c>
      <c r="G26" s="13">
        <f t="shared" ca="1" si="1"/>
        <v>735</v>
      </c>
      <c r="H26" s="13">
        <f ca="1">VLOOKUP($B26,'[12]Analisys QBR By Machine Report'!$C$109:$BD$166,4,FALSE)</f>
        <v>735</v>
      </c>
      <c r="I26" s="13">
        <f ca="1">VLOOKUP($B26,'[12]Analisys QBR By Machine Report'!$C$109:$BD$166,5,FALSE)</f>
        <v>0</v>
      </c>
      <c r="J26" s="13">
        <f ca="1">VLOOKUP($B26,'[12]Analisys QBR By Machine Report'!$C$109:$BD$166,6,FALSE)</f>
        <v>735</v>
      </c>
      <c r="K26" s="13">
        <f ca="1">VLOOKUP($B26,'[12]Analisys QBR By Machine Report'!$C$109:$BD$166,7,FALSE)</f>
        <v>0</v>
      </c>
      <c r="L26" s="13">
        <f ca="1">VLOOKUP($B26,'[12]Analisys QBR By Machine Report'!$C$109:$BD$166,8,FALSE)</f>
        <v>795</v>
      </c>
      <c r="M26" s="13">
        <f ca="1">VLOOKUP($B26,'[12]Analisys QBR By Machine Report'!$C$109:$BD$166,9,FALSE)</f>
        <v>425</v>
      </c>
      <c r="N26" s="13">
        <f ca="1">VLOOKUP($B26,[12]Dasboard_QBR_Report!$B$109:$BL$166,18,FALSE)</f>
        <v>370</v>
      </c>
      <c r="O26" s="13">
        <f ca="1">VLOOKUP($B26,'[12]Analisys QBR By Machine Report'!$C$109:$BD$166,10,FALSE)</f>
        <v>60</v>
      </c>
      <c r="P26" s="13">
        <f ca="1">VLOOKUP($B26,'[12]Analisys QBR By Machine Report'!$C$109:$BD$166,11,FALSE)</f>
        <v>45</v>
      </c>
      <c r="Q26" s="13">
        <f ca="1">VLOOKUP($B26,'[12]Analisys QBR By Machine Report'!$C$109:$BD$166,12,FALSE)</f>
        <v>0</v>
      </c>
      <c r="R26" s="13">
        <f ca="1">VLOOKUP($B26,'[12]Analisys QBR By Machine Report'!$C$109:$BD$166,13,FALSE)</f>
        <v>0</v>
      </c>
      <c r="S26" s="13">
        <f ca="1">VLOOKUP($B26,'[12]Analisys QBR By Machine Report'!$C$109:$BD$166,14,FALSE)</f>
        <v>15</v>
      </c>
      <c r="T26" s="13">
        <f ca="1">VLOOKUP($B26,'[12]Analisys QBR By Machine Report'!$C$109:$BD$166,15,FALSE)</f>
        <v>0</v>
      </c>
      <c r="U26" s="13">
        <f ca="1">VLOOKUP($B26,'[12]Analisys QBR By Machine Report'!$C$109:$BD$166,16,FALSE)</f>
        <v>0</v>
      </c>
      <c r="V26" s="13">
        <f ca="1">VLOOKUP($B26,'[12]Analisys QBR By Machine Report'!$C$109:$BD$166,17,FALSE)</f>
        <v>0</v>
      </c>
      <c r="W26" s="13">
        <f ca="1">VLOOKUP($B26,'[12]Analisys QBR By Machine Report'!$C$109:$BD$166,18,FALSE)</f>
        <v>0</v>
      </c>
      <c r="X26" s="13">
        <f ca="1">VLOOKUP($B26,'[12]Analisys QBR By Machine Report'!$C$109:$BD$166,19,FALSE)</f>
        <v>0</v>
      </c>
      <c r="Y26" s="13">
        <f ca="1">VLOOKUP($B26,'[12]Analisys QBR By Machine Report'!$C$109:$BD$166,20,FALSE)</f>
        <v>0</v>
      </c>
      <c r="Z26" s="13">
        <f ca="1">VLOOKUP($B26,'[12]Analisys QBR By Machine Report'!$C$109:$BD$166,21,FALSE)</f>
        <v>265</v>
      </c>
      <c r="AA26" s="13">
        <f ca="1">VLOOKUP($B26,'[12]Analisys QBR By Machine Report'!$C$109:$BD$166,22,FALSE)</f>
        <v>25</v>
      </c>
      <c r="AB26" s="13">
        <f ca="1">VLOOKUP($B26,'[12]Analisys QBR By Machine Report'!$C$109:$BD$166,23,FALSE)</f>
        <v>135</v>
      </c>
      <c r="AC26" s="13">
        <f ca="1">VLOOKUP($B26,'[12]Analisys QBR By Machine Report'!$C$109:$BD$166,24,FALSE)</f>
        <v>0</v>
      </c>
      <c r="AD26" s="13">
        <f ca="1">VLOOKUP($B26,'[12]Analisys QBR By Machine Report'!$C$109:$BD$166,25,FALSE)</f>
        <v>0</v>
      </c>
      <c r="AE26" s="13">
        <f ca="1">VLOOKUP($B26,'[12]Analisys QBR By Machine Report'!$C$109:$BD$166,26,FALSE)</f>
        <v>105</v>
      </c>
      <c r="AF26" s="13">
        <f ca="1">VLOOKUP($B26,'[12]Analisys QBR By Machine Report'!$C$109:$BD$166,27,FALSE)</f>
        <v>0</v>
      </c>
      <c r="AG26" s="13">
        <f ca="1">VLOOKUP($B26,'[12]Analisys QBR By Machine Report'!$C$109:$BD$166,28,FALSE)</f>
        <v>0</v>
      </c>
      <c r="AH26" s="13">
        <f ca="1">VLOOKUP($B26,'[12]Analisys QBR By Machine Report'!$C$109:$BD$166,29,FALSE)</f>
        <v>0</v>
      </c>
      <c r="AI26" s="13">
        <f ca="1">VLOOKUP($B26,'[12]Analisys QBR By Machine Report'!$C$109:$BD$166,30,FALSE)</f>
        <v>45</v>
      </c>
      <c r="AJ26" s="13">
        <f ca="1">VLOOKUP($B26,'[12]Analisys QBR By Machine Report'!$C$109:$BD$166,31,FALSE)</f>
        <v>0</v>
      </c>
      <c r="AK26" s="13">
        <f ca="1">VLOOKUP($B26,'[12]Analisys QBR By Machine Report'!$C$109:$BD$166,32,FALSE)</f>
        <v>0</v>
      </c>
      <c r="AL26" s="13">
        <f ca="1">VLOOKUP($B26,'[12]Analisys QBR By Machine Report'!$C$109:$BD$166,33,FALSE)</f>
        <v>30</v>
      </c>
      <c r="AM26" s="13">
        <f ca="1">VLOOKUP($B26,'[12]Analisys QBR By Machine Report'!$C$109:$BD$166,34,FALSE)</f>
        <v>0</v>
      </c>
      <c r="AN26" s="13">
        <f ca="1">VLOOKUP($B26,'[12]Analisys QBR By Machine Report'!$C$109:$BD$166,35,FALSE)</f>
        <v>15</v>
      </c>
      <c r="AO26" s="13">
        <f ca="1">VLOOKUP($B26,'[12]Analisys QBR By Machine Report'!$C$109:$BD$166,36,FALSE)</f>
        <v>0</v>
      </c>
      <c r="AP26" s="13">
        <f ca="1">VLOOKUP($B26,'[12]Analisys QBR By Machine Report'!$C$109:$BD$166,37,FALSE)</f>
        <v>0</v>
      </c>
      <c r="AQ26" s="13">
        <f ca="1">VLOOKUP($B26,'[12]Analisys QBR By Machine Report'!$C$109:$BD$166,38,FALSE)</f>
        <v>0</v>
      </c>
      <c r="AR26" s="13">
        <f ca="1">VLOOKUP($B26,'[12]Analisys QBR By Machine Report'!$C$109:$BD$166,39,FALSE)</f>
        <v>0</v>
      </c>
      <c r="AS26" s="13">
        <f ca="1">VLOOKUP($B26,'[12]Analisys QBR By Machine Report'!$C$109:$BD$166,40,FALSE)</f>
        <v>0</v>
      </c>
      <c r="AT26" s="13">
        <f ca="1">VLOOKUP($B26,'[12]Analisys QBR By Machine Report'!$C$109:$BD$166,41,FALSE)</f>
        <v>0</v>
      </c>
      <c r="AU26" s="13">
        <f ca="1">VLOOKUP($B26,'[12]Analisys QBR By Machine Report'!$C$109:$BD$166,42,FALSE)</f>
        <v>0</v>
      </c>
      <c r="AV26" s="13">
        <f ca="1">VLOOKUP($B26,'[12]Analisys QBR By Machine Report'!$C$109:$BD$166,43,FALSE)</f>
        <v>0</v>
      </c>
      <c r="AW26" s="13">
        <f ca="1">VLOOKUP($B26,'[12]Analisys QBR By Machine Report'!$C$109:$BD$166,44,FALSE)</f>
        <v>0</v>
      </c>
      <c r="AX26" s="13">
        <f ca="1">VLOOKUP($B26,'[12]Analisys QBR By Machine Report'!$C$109:$BD$166,45,FALSE)</f>
        <v>0</v>
      </c>
      <c r="AY26" s="13">
        <f ca="1">VLOOKUP($B26,'[12]Analisys QBR By Machine Report'!$C$109:$BD$166,46,FALSE)</f>
        <v>0</v>
      </c>
      <c r="AZ26" s="13">
        <f ca="1">VLOOKUP($B26,'[12]Analisys QBR By Machine Report'!$C$109:$BD$166,47,FALSE)</f>
        <v>0</v>
      </c>
      <c r="BA26" s="13">
        <f ca="1">VLOOKUP($B26,'[12]Analisys QBR By Machine Report'!$C$109:$BD$166,48,FALSE)</f>
        <v>0</v>
      </c>
      <c r="BB26" s="13">
        <f ca="1">VLOOKUP($B26,'[12]Analisys QBR By Machine Report'!$C$109:$BD$166,49,FALSE)</f>
        <v>0</v>
      </c>
      <c r="BC26" s="13">
        <f ca="1">VLOOKUP($B26,'[12]Analisys QBR By Machine Report'!$C$109:$BD$166,50,FALSE)</f>
        <v>0</v>
      </c>
      <c r="BD26" s="13">
        <f ca="1">VLOOKUP($B26,'[12]Analisys QBR By Machine Report'!$C$109:$BD$166,51,FALSE)</f>
        <v>21748</v>
      </c>
      <c r="BE26" s="13">
        <f ca="1">VLOOKUP($B26,'[12]Analisys QBR By Machine Report'!$C$109:$BD$166,52,FALSE)</f>
        <v>30</v>
      </c>
      <c r="BF26" s="13">
        <f ca="1">VLOOKUP($B26,'[12]Analisys QBR By Machine Report'!$C$109:$BD$166,53,FALSE)</f>
        <v>21718</v>
      </c>
    </row>
    <row r="27" spans="1:58" x14ac:dyDescent="0.25">
      <c r="A27" s="9" t="s">
        <v>83</v>
      </c>
      <c r="B27" s="10">
        <f ca="1">VLOOKUP($B27,'[12]Analisys QBR By Machine Report'!$C$109:$BD$166,2,FALSE)</f>
        <v>25920</v>
      </c>
      <c r="C27" s="11">
        <f ca="1">VLOOKUP($B27,[12]Dasboard_QBR_Report!$B$109:$BL$166,3,FALSE)</f>
        <v>16740</v>
      </c>
      <c r="D27" s="10">
        <f ca="1">VLOOKUP($B27,'[12]Analisys QBR By Machine Report'!$C$109:$BD$166,3,FALSE)</f>
        <v>21990</v>
      </c>
      <c r="E27" s="11">
        <f ca="1">VLOOKUP($B27,[12]Dasboard_QBR_Report!$B$109:$BL$166,5,FALSE)</f>
        <v>12810</v>
      </c>
      <c r="F27" s="10">
        <f t="shared" ca="1" si="0"/>
        <v>3930</v>
      </c>
      <c r="G27" s="10">
        <f t="shared" ca="1" si="1"/>
        <v>10</v>
      </c>
      <c r="H27" s="10">
        <f ca="1">VLOOKUP($B27,'[12]Analisys QBR By Machine Report'!$C$109:$BD$166,4,FALSE)</f>
        <v>10</v>
      </c>
      <c r="I27" s="10">
        <f ca="1">VLOOKUP($B27,'[12]Analisys QBR By Machine Report'!$C$109:$BD$166,5,FALSE)</f>
        <v>10</v>
      </c>
      <c r="J27" s="10">
        <f ca="1">VLOOKUP($B27,'[12]Analisys QBR By Machine Report'!$C$109:$BD$166,6,FALSE)</f>
        <v>0</v>
      </c>
      <c r="K27" s="10">
        <f ca="1">VLOOKUP($B27,'[12]Analisys QBR By Machine Report'!$C$109:$BD$166,7,FALSE)</f>
        <v>0</v>
      </c>
      <c r="L27" s="10">
        <f ca="1">VLOOKUP($B27,'[12]Analisys QBR By Machine Report'!$C$109:$BD$166,8,FALSE)</f>
        <v>3920</v>
      </c>
      <c r="M27" s="10">
        <f ca="1">VLOOKUP($B27,'[12]Analisys QBR By Machine Report'!$C$109:$BD$166,9,FALSE)</f>
        <v>1177</v>
      </c>
      <c r="N27" s="10">
        <f ca="1">VLOOKUP($B27,[12]Dasboard_QBR_Report!$B$109:$BL$166,18,FALSE)</f>
        <v>2743</v>
      </c>
      <c r="O27" s="10">
        <f ca="1">VLOOKUP($B27,'[12]Analisys QBR By Machine Report'!$C$109:$BD$166,10,FALSE)</f>
        <v>114</v>
      </c>
      <c r="P27" s="10">
        <f ca="1">VLOOKUP($B27,'[12]Analisys QBR By Machine Report'!$C$109:$BD$166,11,FALSE)</f>
        <v>114</v>
      </c>
      <c r="Q27" s="10">
        <f ca="1">VLOOKUP($B27,'[12]Analisys QBR By Machine Report'!$C$109:$BD$166,12,FALSE)</f>
        <v>0</v>
      </c>
      <c r="R27" s="10">
        <f ca="1">VLOOKUP($B27,'[12]Analisys QBR By Machine Report'!$C$109:$BD$166,13,FALSE)</f>
        <v>0</v>
      </c>
      <c r="S27" s="10">
        <f ca="1">VLOOKUP($B27,'[12]Analisys QBR By Machine Report'!$C$109:$BD$166,14,FALSE)</f>
        <v>0</v>
      </c>
      <c r="T27" s="10">
        <f ca="1">VLOOKUP($B27,'[12]Analisys QBR By Machine Report'!$C$109:$BD$166,15,FALSE)</f>
        <v>75</v>
      </c>
      <c r="U27" s="10">
        <f ca="1">VLOOKUP($B27,'[12]Analisys QBR By Machine Report'!$C$109:$BD$166,16,FALSE)</f>
        <v>0</v>
      </c>
      <c r="V27" s="10">
        <f ca="1">VLOOKUP($B27,'[12]Analisys QBR By Machine Report'!$C$109:$BD$166,17,FALSE)</f>
        <v>0</v>
      </c>
      <c r="W27" s="10">
        <f ca="1">VLOOKUP($B27,'[12]Analisys QBR By Machine Report'!$C$109:$BD$166,18,FALSE)</f>
        <v>0</v>
      </c>
      <c r="X27" s="10">
        <f ca="1">VLOOKUP($B27,'[12]Analisys QBR By Machine Report'!$C$109:$BD$166,19,FALSE)</f>
        <v>0</v>
      </c>
      <c r="Y27" s="10">
        <f ca="1">VLOOKUP($B27,'[12]Analisys QBR By Machine Report'!$C$109:$BD$166,20,FALSE)</f>
        <v>75</v>
      </c>
      <c r="Z27" s="10">
        <f ca="1">VLOOKUP($B27,'[12]Analisys QBR By Machine Report'!$C$109:$BD$166,21,FALSE)</f>
        <v>1568</v>
      </c>
      <c r="AA27" s="10">
        <f ca="1">VLOOKUP($B27,'[12]Analisys QBR By Machine Report'!$C$109:$BD$166,22,FALSE)</f>
        <v>281</v>
      </c>
      <c r="AB27" s="10">
        <f ca="1">VLOOKUP($B27,'[12]Analisys QBR By Machine Report'!$C$109:$BD$166,23,FALSE)</f>
        <v>1052</v>
      </c>
      <c r="AC27" s="10">
        <f ca="1">VLOOKUP($B27,'[12]Analisys QBR By Machine Report'!$C$109:$BD$166,24,FALSE)</f>
        <v>0</v>
      </c>
      <c r="AD27" s="10">
        <f ca="1">VLOOKUP($B27,'[12]Analisys QBR By Machine Report'!$C$109:$BD$166,25,FALSE)</f>
        <v>235</v>
      </c>
      <c r="AE27" s="10">
        <f ca="1">VLOOKUP($B27,'[12]Analisys QBR By Machine Report'!$C$109:$BD$166,26,FALSE)</f>
        <v>0</v>
      </c>
      <c r="AF27" s="10">
        <f ca="1">VLOOKUP($B27,'[12]Analisys QBR By Machine Report'!$C$109:$BD$166,27,FALSE)</f>
        <v>0</v>
      </c>
      <c r="AG27" s="10">
        <f ca="1">VLOOKUP($B27,'[12]Analisys QBR By Machine Report'!$C$109:$BD$166,28,FALSE)</f>
        <v>0</v>
      </c>
      <c r="AH27" s="10">
        <f ca="1">VLOOKUP($B27,'[12]Analisys QBR By Machine Report'!$C$109:$BD$166,29,FALSE)</f>
        <v>0</v>
      </c>
      <c r="AI27" s="10">
        <f ca="1">VLOOKUP($B27,'[12]Analisys QBR By Machine Report'!$C$109:$BD$166,30,FALSE)</f>
        <v>986</v>
      </c>
      <c r="AJ27" s="10">
        <f ca="1">VLOOKUP($B27,'[12]Analisys QBR By Machine Report'!$C$109:$BD$166,31,FALSE)</f>
        <v>0</v>
      </c>
      <c r="AK27" s="10">
        <f ca="1">VLOOKUP($B27,'[12]Analisys QBR By Machine Report'!$C$109:$BD$166,32,FALSE)</f>
        <v>0</v>
      </c>
      <c r="AL27" s="10">
        <f ca="1">VLOOKUP($B27,'[12]Analisys QBR By Machine Report'!$C$109:$BD$166,33,FALSE)</f>
        <v>220</v>
      </c>
      <c r="AM27" s="10">
        <f ca="1">VLOOKUP($B27,'[12]Analisys QBR By Machine Report'!$C$109:$BD$166,34,FALSE)</f>
        <v>0</v>
      </c>
      <c r="AN27" s="10">
        <f ca="1">VLOOKUP($B27,'[12]Analisys QBR By Machine Report'!$C$109:$BD$166,35,FALSE)</f>
        <v>215</v>
      </c>
      <c r="AO27" s="10">
        <f ca="1">VLOOKUP($B27,'[12]Analisys QBR By Machine Report'!$C$109:$BD$166,36,FALSE)</f>
        <v>0</v>
      </c>
      <c r="AP27" s="10">
        <f ca="1">VLOOKUP($B27,'[12]Analisys QBR By Machine Report'!$C$109:$BD$166,37,FALSE)</f>
        <v>0</v>
      </c>
      <c r="AQ27" s="10">
        <f ca="1">VLOOKUP($B27,'[12]Analisys QBR By Machine Report'!$C$109:$BD$166,38,FALSE)</f>
        <v>0</v>
      </c>
      <c r="AR27" s="10">
        <f ca="1">VLOOKUP($B27,'[12]Analisys QBR By Machine Report'!$C$109:$BD$166,39,FALSE)</f>
        <v>0</v>
      </c>
      <c r="AS27" s="10">
        <f ca="1">VLOOKUP($B27,'[12]Analisys QBR By Machine Report'!$C$109:$BD$166,40,FALSE)</f>
        <v>8</v>
      </c>
      <c r="AT27" s="10">
        <f ca="1">VLOOKUP($B27,'[12]Analisys QBR By Machine Report'!$C$109:$BD$166,41,FALSE)</f>
        <v>0</v>
      </c>
      <c r="AU27" s="10">
        <f ca="1">VLOOKUP($B27,'[12]Analisys QBR By Machine Report'!$C$109:$BD$166,42,FALSE)</f>
        <v>0</v>
      </c>
      <c r="AV27" s="10">
        <f ca="1">VLOOKUP($B27,'[12]Analisys QBR By Machine Report'!$C$109:$BD$166,43,FALSE)</f>
        <v>0</v>
      </c>
      <c r="AW27" s="10">
        <f ca="1">VLOOKUP($B27,'[12]Analisys QBR By Machine Report'!$C$109:$BD$166,44,FALSE)</f>
        <v>0</v>
      </c>
      <c r="AX27" s="10">
        <f ca="1">VLOOKUP($B27,'[12]Analisys QBR By Machine Report'!$C$109:$BD$166,45,FALSE)</f>
        <v>0</v>
      </c>
      <c r="AY27" s="10">
        <f ca="1">VLOOKUP($B27,'[12]Analisys QBR By Machine Report'!$C$109:$BD$166,46,FALSE)</f>
        <v>0</v>
      </c>
      <c r="AZ27" s="10">
        <f ca="1">VLOOKUP($B27,'[12]Analisys QBR By Machine Report'!$C$109:$BD$166,47,FALSE)</f>
        <v>543</v>
      </c>
      <c r="BA27" s="10">
        <f ca="1">VLOOKUP($B27,'[12]Analisys QBR By Machine Report'!$C$109:$BD$166,48,FALSE)</f>
        <v>0</v>
      </c>
      <c r="BB27" s="10">
        <f ca="1">VLOOKUP($B27,'[12]Analisys QBR By Machine Report'!$C$109:$BD$166,49,FALSE)</f>
        <v>0</v>
      </c>
      <c r="BC27" s="10">
        <f ca="1">VLOOKUP($B27,'[12]Analisys QBR By Machine Report'!$C$109:$BD$166,50,FALSE)</f>
        <v>0</v>
      </c>
      <c r="BD27" s="10">
        <f ca="1">VLOOKUP($B27,'[12]Analisys QBR By Machine Report'!$C$109:$BD$166,51,FALSE)</f>
        <v>85644</v>
      </c>
      <c r="BE27" s="10">
        <f ca="1">VLOOKUP($B27,'[12]Analisys QBR By Machine Report'!$C$109:$BD$166,52,FALSE)</f>
        <v>0</v>
      </c>
      <c r="BF27" s="10">
        <f ca="1">VLOOKUP($B27,'[12]Analisys QBR By Machine Report'!$C$109:$BD$166,53,FALSE)</f>
        <v>85644</v>
      </c>
    </row>
    <row r="28" spans="1:58" x14ac:dyDescent="0.25">
      <c r="A28" s="12" t="s">
        <v>84</v>
      </c>
      <c r="B28" s="13">
        <f ca="1">VLOOKUP($B28,'[12]Analisys QBR By Machine Report'!$C$109:$BD$166,2,FALSE)</f>
        <v>25920</v>
      </c>
      <c r="C28" s="14">
        <f ca="1">VLOOKUP($B28,[12]Dasboard_QBR_Report!$B$109:$BL$166,3,FALSE)</f>
        <v>16740</v>
      </c>
      <c r="D28" s="13">
        <f ca="1">VLOOKUP($B28,'[12]Analisys QBR By Machine Report'!$C$109:$BD$166,3,FALSE)</f>
        <v>21990</v>
      </c>
      <c r="E28" s="14">
        <f ca="1">VLOOKUP($B28,[12]Dasboard_QBR_Report!$B$109:$BL$166,5,FALSE)</f>
        <v>12810</v>
      </c>
      <c r="F28" s="13">
        <f t="shared" ca="1" si="0"/>
        <v>3930</v>
      </c>
      <c r="G28" s="13">
        <f t="shared" ca="1" si="1"/>
        <v>10</v>
      </c>
      <c r="H28" s="13">
        <f ca="1">VLOOKUP($B28,'[12]Analisys QBR By Machine Report'!$C$109:$BD$166,4,FALSE)</f>
        <v>10</v>
      </c>
      <c r="I28" s="13">
        <f ca="1">VLOOKUP($B28,'[12]Analisys QBR By Machine Report'!$C$109:$BD$166,5,FALSE)</f>
        <v>10</v>
      </c>
      <c r="J28" s="13">
        <f ca="1">VLOOKUP($B28,'[12]Analisys QBR By Machine Report'!$C$109:$BD$166,6,FALSE)</f>
        <v>0</v>
      </c>
      <c r="K28" s="13">
        <f ca="1">VLOOKUP($B28,'[12]Analisys QBR By Machine Report'!$C$109:$BD$166,7,FALSE)</f>
        <v>0</v>
      </c>
      <c r="L28" s="13">
        <f ca="1">VLOOKUP($B28,'[12]Analisys QBR By Machine Report'!$C$109:$BD$166,8,FALSE)</f>
        <v>3920</v>
      </c>
      <c r="M28" s="13">
        <f ca="1">VLOOKUP($B28,'[12]Analisys QBR By Machine Report'!$C$109:$BD$166,9,FALSE)</f>
        <v>1177</v>
      </c>
      <c r="N28" s="13">
        <f ca="1">VLOOKUP($B28,[12]Dasboard_QBR_Report!$B$109:$BL$166,18,FALSE)</f>
        <v>2743</v>
      </c>
      <c r="O28" s="13">
        <f ca="1">VLOOKUP($B28,'[12]Analisys QBR By Machine Report'!$C$109:$BD$166,10,FALSE)</f>
        <v>114</v>
      </c>
      <c r="P28" s="13">
        <f ca="1">VLOOKUP($B28,'[12]Analisys QBR By Machine Report'!$C$109:$BD$166,11,FALSE)</f>
        <v>114</v>
      </c>
      <c r="Q28" s="13">
        <f ca="1">VLOOKUP($B28,'[12]Analisys QBR By Machine Report'!$C$109:$BD$166,12,FALSE)</f>
        <v>0</v>
      </c>
      <c r="R28" s="13">
        <f ca="1">VLOOKUP($B28,'[12]Analisys QBR By Machine Report'!$C$109:$BD$166,13,FALSE)</f>
        <v>0</v>
      </c>
      <c r="S28" s="13">
        <f ca="1">VLOOKUP($B28,'[12]Analisys QBR By Machine Report'!$C$109:$BD$166,14,FALSE)</f>
        <v>0</v>
      </c>
      <c r="T28" s="13">
        <f ca="1">VLOOKUP($B28,'[12]Analisys QBR By Machine Report'!$C$109:$BD$166,15,FALSE)</f>
        <v>75</v>
      </c>
      <c r="U28" s="13">
        <f ca="1">VLOOKUP($B28,'[12]Analisys QBR By Machine Report'!$C$109:$BD$166,16,FALSE)</f>
        <v>0</v>
      </c>
      <c r="V28" s="13">
        <f ca="1">VLOOKUP($B28,'[12]Analisys QBR By Machine Report'!$C$109:$BD$166,17,FALSE)</f>
        <v>0</v>
      </c>
      <c r="W28" s="13">
        <f ca="1">VLOOKUP($B28,'[12]Analisys QBR By Machine Report'!$C$109:$BD$166,18,FALSE)</f>
        <v>0</v>
      </c>
      <c r="X28" s="13">
        <f ca="1">VLOOKUP($B28,'[12]Analisys QBR By Machine Report'!$C$109:$BD$166,19,FALSE)</f>
        <v>0</v>
      </c>
      <c r="Y28" s="13">
        <f ca="1">VLOOKUP($B28,'[12]Analisys QBR By Machine Report'!$C$109:$BD$166,20,FALSE)</f>
        <v>75</v>
      </c>
      <c r="Z28" s="13">
        <f ca="1">VLOOKUP($B28,'[12]Analisys QBR By Machine Report'!$C$109:$BD$166,21,FALSE)</f>
        <v>1568</v>
      </c>
      <c r="AA28" s="13">
        <f ca="1">VLOOKUP($B28,'[12]Analisys QBR By Machine Report'!$C$109:$BD$166,22,FALSE)</f>
        <v>281</v>
      </c>
      <c r="AB28" s="13">
        <f ca="1">VLOOKUP($B28,'[12]Analisys QBR By Machine Report'!$C$109:$BD$166,23,FALSE)</f>
        <v>1052</v>
      </c>
      <c r="AC28" s="13">
        <f ca="1">VLOOKUP($B28,'[12]Analisys QBR By Machine Report'!$C$109:$BD$166,24,FALSE)</f>
        <v>0</v>
      </c>
      <c r="AD28" s="13">
        <f ca="1">VLOOKUP($B28,'[12]Analisys QBR By Machine Report'!$C$109:$BD$166,25,FALSE)</f>
        <v>235</v>
      </c>
      <c r="AE28" s="13">
        <f ca="1">VLOOKUP($B28,'[12]Analisys QBR By Machine Report'!$C$109:$BD$166,26,FALSE)</f>
        <v>0</v>
      </c>
      <c r="AF28" s="13">
        <f ca="1">VLOOKUP($B28,'[12]Analisys QBR By Machine Report'!$C$109:$BD$166,27,FALSE)</f>
        <v>0</v>
      </c>
      <c r="AG28" s="13">
        <f ca="1">VLOOKUP($B28,'[12]Analisys QBR By Machine Report'!$C$109:$BD$166,28,FALSE)</f>
        <v>0</v>
      </c>
      <c r="AH28" s="13">
        <f ca="1">VLOOKUP($B28,'[12]Analisys QBR By Machine Report'!$C$109:$BD$166,29,FALSE)</f>
        <v>0</v>
      </c>
      <c r="AI28" s="13">
        <f ca="1">VLOOKUP($B28,'[12]Analisys QBR By Machine Report'!$C$109:$BD$166,30,FALSE)</f>
        <v>986</v>
      </c>
      <c r="AJ28" s="13">
        <f ca="1">VLOOKUP($B28,'[12]Analisys QBR By Machine Report'!$C$109:$BD$166,31,FALSE)</f>
        <v>0</v>
      </c>
      <c r="AK28" s="13">
        <f ca="1">VLOOKUP($B28,'[12]Analisys QBR By Machine Report'!$C$109:$BD$166,32,FALSE)</f>
        <v>0</v>
      </c>
      <c r="AL28" s="13">
        <f ca="1">VLOOKUP($B28,'[12]Analisys QBR By Machine Report'!$C$109:$BD$166,33,FALSE)</f>
        <v>220</v>
      </c>
      <c r="AM28" s="13">
        <f ca="1">VLOOKUP($B28,'[12]Analisys QBR By Machine Report'!$C$109:$BD$166,34,FALSE)</f>
        <v>0</v>
      </c>
      <c r="AN28" s="13">
        <f ca="1">VLOOKUP($B28,'[12]Analisys QBR By Machine Report'!$C$109:$BD$166,35,FALSE)</f>
        <v>215</v>
      </c>
      <c r="AO28" s="13">
        <f ca="1">VLOOKUP($B28,'[12]Analisys QBR By Machine Report'!$C$109:$BD$166,36,FALSE)</f>
        <v>0</v>
      </c>
      <c r="AP28" s="13">
        <f ca="1">VLOOKUP($B28,'[12]Analisys QBR By Machine Report'!$C$109:$BD$166,37,FALSE)</f>
        <v>0</v>
      </c>
      <c r="AQ28" s="13">
        <f ca="1">VLOOKUP($B28,'[12]Analisys QBR By Machine Report'!$C$109:$BD$166,38,FALSE)</f>
        <v>0</v>
      </c>
      <c r="AR28" s="13">
        <f ca="1">VLOOKUP($B28,'[12]Analisys QBR By Machine Report'!$C$109:$BD$166,39,FALSE)</f>
        <v>0</v>
      </c>
      <c r="AS28" s="13">
        <f ca="1">VLOOKUP($B28,'[12]Analisys QBR By Machine Report'!$C$109:$BD$166,40,FALSE)</f>
        <v>8</v>
      </c>
      <c r="AT28" s="13">
        <f ca="1">VLOOKUP($B28,'[12]Analisys QBR By Machine Report'!$C$109:$BD$166,41,FALSE)</f>
        <v>0</v>
      </c>
      <c r="AU28" s="13">
        <f ca="1">VLOOKUP($B28,'[12]Analisys QBR By Machine Report'!$C$109:$BD$166,42,FALSE)</f>
        <v>0</v>
      </c>
      <c r="AV28" s="13">
        <f ca="1">VLOOKUP($B28,'[12]Analisys QBR By Machine Report'!$C$109:$BD$166,43,FALSE)</f>
        <v>0</v>
      </c>
      <c r="AW28" s="13">
        <f ca="1">VLOOKUP($B28,'[12]Analisys QBR By Machine Report'!$C$109:$BD$166,44,FALSE)</f>
        <v>0</v>
      </c>
      <c r="AX28" s="13">
        <f ca="1">VLOOKUP($B28,'[12]Analisys QBR By Machine Report'!$C$109:$BD$166,45,FALSE)</f>
        <v>0</v>
      </c>
      <c r="AY28" s="13">
        <f ca="1">VLOOKUP($B28,'[12]Analisys QBR By Machine Report'!$C$109:$BD$166,46,FALSE)</f>
        <v>0</v>
      </c>
      <c r="AZ28" s="13">
        <f ca="1">VLOOKUP($B28,'[12]Analisys QBR By Machine Report'!$C$109:$BD$166,47,FALSE)</f>
        <v>543</v>
      </c>
      <c r="BA28" s="13">
        <f ca="1">VLOOKUP($B28,'[12]Analisys QBR By Machine Report'!$C$109:$BD$166,48,FALSE)</f>
        <v>0</v>
      </c>
      <c r="BB28" s="13">
        <f ca="1">VLOOKUP($B28,'[12]Analisys QBR By Machine Report'!$C$109:$BD$166,49,FALSE)</f>
        <v>0</v>
      </c>
      <c r="BC28" s="13">
        <f ca="1">VLOOKUP($B28,'[12]Analisys QBR By Machine Report'!$C$109:$BD$166,50,FALSE)</f>
        <v>0</v>
      </c>
      <c r="BD28" s="13">
        <f ca="1">VLOOKUP($B28,'[12]Analisys QBR By Machine Report'!$C$109:$BD$166,51,FALSE)</f>
        <v>85644</v>
      </c>
      <c r="BE28" s="13">
        <f ca="1">VLOOKUP($B28,'[12]Analisys QBR By Machine Report'!$C$109:$BD$166,52,FALSE)</f>
        <v>0</v>
      </c>
      <c r="BF28" s="13">
        <f ca="1">VLOOKUP($B28,'[12]Analisys QBR By Machine Report'!$C$109:$BD$166,53,FALSE)</f>
        <v>85644</v>
      </c>
    </row>
    <row r="29" spans="1:58" x14ac:dyDescent="0.25">
      <c r="A29" s="9" t="s">
        <v>85</v>
      </c>
      <c r="B29" s="10">
        <f ca="1">VLOOKUP($B29,'[12]Analisys QBR By Machine Report'!$C$109:$BD$166,2,FALSE)</f>
        <v>53280</v>
      </c>
      <c r="C29" s="11">
        <f ca="1">VLOOKUP($B29,[12]Dasboard_QBR_Report!$B$109:$BL$166,3,FALSE)</f>
        <v>34410</v>
      </c>
      <c r="D29" s="10">
        <f ca="1">VLOOKUP($B29,'[12]Analisys QBR By Machine Report'!$C$109:$BD$166,3,FALSE)</f>
        <v>35760</v>
      </c>
      <c r="E29" s="11">
        <f ca="1">VLOOKUP($B29,[12]Dasboard_QBR_Report!$B$109:$BL$166,5,FALSE)</f>
        <v>16890</v>
      </c>
      <c r="F29" s="10">
        <f t="shared" ca="1" si="0"/>
        <v>17520</v>
      </c>
      <c r="G29" s="10">
        <f t="shared" ca="1" si="1"/>
        <v>804</v>
      </c>
      <c r="H29" s="10">
        <f ca="1">VLOOKUP($B29,'[12]Analisys QBR By Machine Report'!$C$109:$BD$166,4,FALSE)</f>
        <v>777</v>
      </c>
      <c r="I29" s="10">
        <f ca="1">VLOOKUP($B29,'[12]Analisys QBR By Machine Report'!$C$109:$BD$166,5,FALSE)</f>
        <v>60</v>
      </c>
      <c r="J29" s="10">
        <f ca="1">VLOOKUP($B29,'[12]Analisys QBR By Machine Report'!$C$109:$BD$166,6,FALSE)</f>
        <v>717</v>
      </c>
      <c r="K29" s="10">
        <f ca="1">VLOOKUP($B29,'[12]Analisys QBR By Machine Report'!$C$109:$BD$166,7,FALSE)</f>
        <v>27</v>
      </c>
      <c r="L29" s="10">
        <f ca="1">VLOOKUP($B29,'[12]Analisys QBR By Machine Report'!$C$109:$BD$166,8,FALSE)</f>
        <v>16716</v>
      </c>
      <c r="M29" s="10">
        <f ca="1">VLOOKUP($B29,'[12]Analisys QBR By Machine Report'!$C$109:$BD$166,9,FALSE)</f>
        <v>7269</v>
      </c>
      <c r="N29" s="10">
        <f ca="1">VLOOKUP($B29,[12]Dasboard_QBR_Report!$B$109:$BL$166,18,FALSE)</f>
        <v>9447</v>
      </c>
      <c r="O29" s="10">
        <f ca="1">VLOOKUP($B29,'[12]Analisys QBR By Machine Report'!$C$109:$BD$166,10,FALSE)</f>
        <v>1405</v>
      </c>
      <c r="P29" s="10">
        <f ca="1">VLOOKUP($B29,'[12]Analisys QBR By Machine Report'!$C$109:$BD$166,11,FALSE)</f>
        <v>1285</v>
      </c>
      <c r="Q29" s="10">
        <f ca="1">VLOOKUP($B29,'[12]Analisys QBR By Machine Report'!$C$109:$BD$166,12,FALSE)</f>
        <v>0</v>
      </c>
      <c r="R29" s="10">
        <f ca="1">VLOOKUP($B29,'[12]Analisys QBR By Machine Report'!$C$109:$BD$166,13,FALSE)</f>
        <v>65</v>
      </c>
      <c r="S29" s="10">
        <f ca="1">VLOOKUP($B29,'[12]Analisys QBR By Machine Report'!$C$109:$BD$166,14,FALSE)</f>
        <v>55</v>
      </c>
      <c r="T29" s="10">
        <f ca="1">VLOOKUP($B29,'[12]Analisys QBR By Machine Report'!$C$109:$BD$166,15,FALSE)</f>
        <v>722</v>
      </c>
      <c r="U29" s="10">
        <f ca="1">VLOOKUP($B29,'[12]Analisys QBR By Machine Report'!$C$109:$BD$166,16,FALSE)</f>
        <v>391</v>
      </c>
      <c r="V29" s="10">
        <f ca="1">VLOOKUP($B29,'[12]Analisys QBR By Machine Report'!$C$109:$BD$166,17,FALSE)</f>
        <v>96</v>
      </c>
      <c r="W29" s="10">
        <f ca="1">VLOOKUP($B29,'[12]Analisys QBR By Machine Report'!$C$109:$BD$166,18,FALSE)</f>
        <v>0</v>
      </c>
      <c r="X29" s="10">
        <f ca="1">VLOOKUP($B29,'[12]Analisys QBR By Machine Report'!$C$109:$BD$166,19,FALSE)</f>
        <v>14</v>
      </c>
      <c r="Y29" s="10">
        <f ca="1">VLOOKUP($B29,'[12]Analisys QBR By Machine Report'!$C$109:$BD$166,20,FALSE)</f>
        <v>221</v>
      </c>
      <c r="Z29" s="10">
        <f ca="1">VLOOKUP($B29,'[12]Analisys QBR By Machine Report'!$C$109:$BD$166,21,FALSE)</f>
        <v>3259</v>
      </c>
      <c r="AA29" s="10">
        <f ca="1">VLOOKUP($B29,'[12]Analisys QBR By Machine Report'!$C$109:$BD$166,22,FALSE)</f>
        <v>728</v>
      </c>
      <c r="AB29" s="10">
        <f ca="1">VLOOKUP($B29,'[12]Analisys QBR By Machine Report'!$C$109:$BD$166,23,FALSE)</f>
        <v>2501</v>
      </c>
      <c r="AC29" s="10">
        <f ca="1">VLOOKUP($B29,'[12]Analisys QBR By Machine Report'!$C$109:$BD$166,24,FALSE)</f>
        <v>30</v>
      </c>
      <c r="AD29" s="10">
        <f ca="1">VLOOKUP($B29,'[12]Analisys QBR By Machine Report'!$C$109:$BD$166,25,FALSE)</f>
        <v>0</v>
      </c>
      <c r="AE29" s="10">
        <f ca="1">VLOOKUP($B29,'[12]Analisys QBR By Machine Report'!$C$109:$BD$166,26,FALSE)</f>
        <v>0</v>
      </c>
      <c r="AF29" s="10">
        <f ca="1">VLOOKUP($B29,'[12]Analisys QBR By Machine Report'!$C$109:$BD$166,27,FALSE)</f>
        <v>0</v>
      </c>
      <c r="AG29" s="10">
        <f ca="1">VLOOKUP($B29,'[12]Analisys QBR By Machine Report'!$C$109:$BD$166,28,FALSE)</f>
        <v>0</v>
      </c>
      <c r="AH29" s="10">
        <f ca="1">VLOOKUP($B29,'[12]Analisys QBR By Machine Report'!$C$109:$BD$166,29,FALSE)</f>
        <v>0</v>
      </c>
      <c r="AI29" s="10">
        <f ca="1">VLOOKUP($B29,'[12]Analisys QBR By Machine Report'!$C$109:$BD$166,30,FALSE)</f>
        <v>4061</v>
      </c>
      <c r="AJ29" s="10">
        <f ca="1">VLOOKUP($B29,'[12]Analisys QBR By Machine Report'!$C$109:$BD$166,31,FALSE)</f>
        <v>0</v>
      </c>
      <c r="AK29" s="10">
        <f ca="1">VLOOKUP($B29,'[12]Analisys QBR By Machine Report'!$C$109:$BD$166,32,FALSE)</f>
        <v>0</v>
      </c>
      <c r="AL29" s="10">
        <f ca="1">VLOOKUP($B29,'[12]Analisys QBR By Machine Report'!$C$109:$BD$166,33,FALSE)</f>
        <v>960</v>
      </c>
      <c r="AM29" s="10">
        <f ca="1">VLOOKUP($B29,'[12]Analisys QBR By Machine Report'!$C$109:$BD$166,34,FALSE)</f>
        <v>0</v>
      </c>
      <c r="AN29" s="10">
        <f ca="1">VLOOKUP($B29,'[12]Analisys QBR By Machine Report'!$C$109:$BD$166,35,FALSE)</f>
        <v>1085</v>
      </c>
      <c r="AO29" s="10">
        <f ca="1">VLOOKUP($B29,'[12]Analisys QBR By Machine Report'!$C$109:$BD$166,36,FALSE)</f>
        <v>0</v>
      </c>
      <c r="AP29" s="10">
        <f ca="1">VLOOKUP($B29,'[12]Analisys QBR By Machine Report'!$C$109:$BD$166,37,FALSE)</f>
        <v>0</v>
      </c>
      <c r="AQ29" s="10">
        <f ca="1">VLOOKUP($B29,'[12]Analisys QBR By Machine Report'!$C$109:$BD$166,38,FALSE)</f>
        <v>10</v>
      </c>
      <c r="AR29" s="10">
        <f ca="1">VLOOKUP($B29,'[12]Analisys QBR By Machine Report'!$C$109:$BD$166,39,FALSE)</f>
        <v>0</v>
      </c>
      <c r="AS29" s="10">
        <f ca="1">VLOOKUP($B29,'[12]Analisys QBR By Machine Report'!$C$109:$BD$166,40,FALSE)</f>
        <v>231</v>
      </c>
      <c r="AT29" s="10">
        <f ca="1">VLOOKUP($B29,'[12]Analisys QBR By Machine Report'!$C$109:$BD$166,41,FALSE)</f>
        <v>0</v>
      </c>
      <c r="AU29" s="10">
        <f ca="1">VLOOKUP($B29,'[12]Analisys QBR By Machine Report'!$C$109:$BD$166,42,FALSE)</f>
        <v>0</v>
      </c>
      <c r="AV29" s="10">
        <f ca="1">VLOOKUP($B29,'[12]Analisys QBR By Machine Report'!$C$109:$BD$166,43,FALSE)</f>
        <v>1658</v>
      </c>
      <c r="AW29" s="10">
        <f ca="1">VLOOKUP($B29,'[12]Analisys QBR By Machine Report'!$C$109:$BD$166,44,FALSE)</f>
        <v>0</v>
      </c>
      <c r="AX29" s="10">
        <f ca="1">VLOOKUP($B29,'[12]Analisys QBR By Machine Report'!$C$109:$BD$166,45,FALSE)</f>
        <v>0</v>
      </c>
      <c r="AY29" s="10">
        <f ca="1">VLOOKUP($B29,'[12]Analisys QBR By Machine Report'!$C$109:$BD$166,46,FALSE)</f>
        <v>0</v>
      </c>
      <c r="AZ29" s="10">
        <f ca="1">VLOOKUP($B29,'[12]Analisys QBR By Machine Report'!$C$109:$BD$166,47,FALSE)</f>
        <v>117</v>
      </c>
      <c r="BA29" s="10">
        <f ca="1">VLOOKUP($B29,'[12]Analisys QBR By Machine Report'!$C$109:$BD$166,48,FALSE)</f>
        <v>0</v>
      </c>
      <c r="BB29" s="10">
        <f ca="1">VLOOKUP($B29,'[12]Analisys QBR By Machine Report'!$C$109:$BD$166,49,FALSE)</f>
        <v>0</v>
      </c>
      <c r="BC29" s="10">
        <f ca="1">VLOOKUP($B29,'[12]Analisys QBR By Machine Report'!$C$109:$BD$166,50,FALSE)</f>
        <v>0</v>
      </c>
      <c r="BD29" s="10">
        <f ca="1">VLOOKUP($B29,'[12]Analisys QBR By Machine Report'!$C$109:$BD$166,51,FALSE)</f>
        <v>706634</v>
      </c>
      <c r="BE29" s="10">
        <f ca="1">VLOOKUP($B29,'[12]Analisys QBR By Machine Report'!$C$109:$BD$166,52,FALSE)</f>
        <v>47</v>
      </c>
      <c r="BF29" s="10">
        <f ca="1">VLOOKUP($B29,'[12]Analisys QBR By Machine Report'!$C$109:$BD$166,53,FALSE)</f>
        <v>706587</v>
      </c>
    </row>
    <row r="30" spans="1:58" x14ac:dyDescent="0.25">
      <c r="A30" s="12" t="s">
        <v>86</v>
      </c>
      <c r="B30" s="13">
        <f ca="1">VLOOKUP($B30,'[12]Analisys QBR By Machine Report'!$C$109:$BD$166,2,FALSE)</f>
        <v>25920</v>
      </c>
      <c r="C30" s="14">
        <f ca="1">VLOOKUP($B30,[12]Dasboard_QBR_Report!$B$109:$BL$166,3,FALSE)</f>
        <v>16740</v>
      </c>
      <c r="D30" s="13">
        <f ca="1">VLOOKUP($B30,'[12]Analisys QBR By Machine Report'!$C$109:$BD$166,3,FALSE)</f>
        <v>20280</v>
      </c>
      <c r="E30" s="14">
        <f ca="1">VLOOKUP($B30,[12]Dasboard_QBR_Report!$B$109:$BL$166,5,FALSE)</f>
        <v>11100</v>
      </c>
      <c r="F30" s="13">
        <f t="shared" ca="1" si="0"/>
        <v>5640</v>
      </c>
      <c r="G30" s="13">
        <f t="shared" ca="1" si="1"/>
        <v>579</v>
      </c>
      <c r="H30" s="13">
        <f ca="1">VLOOKUP($B30,'[12]Analisys QBR By Machine Report'!$C$109:$BD$166,4,FALSE)</f>
        <v>552</v>
      </c>
      <c r="I30" s="13">
        <f ca="1">VLOOKUP($B30,'[12]Analisys QBR By Machine Report'!$C$109:$BD$166,5,FALSE)</f>
        <v>0</v>
      </c>
      <c r="J30" s="13">
        <f ca="1">VLOOKUP($B30,'[12]Analisys QBR By Machine Report'!$C$109:$BD$166,6,FALSE)</f>
        <v>552</v>
      </c>
      <c r="K30" s="13">
        <f ca="1">VLOOKUP($B30,'[12]Analisys QBR By Machine Report'!$C$109:$BD$166,7,FALSE)</f>
        <v>27</v>
      </c>
      <c r="L30" s="13">
        <f ca="1">VLOOKUP($B30,'[12]Analisys QBR By Machine Report'!$C$109:$BD$166,8,FALSE)</f>
        <v>5061</v>
      </c>
      <c r="M30" s="13">
        <f ca="1">VLOOKUP($B30,'[12]Analisys QBR By Machine Report'!$C$109:$BD$166,9,FALSE)</f>
        <v>1369</v>
      </c>
      <c r="N30" s="13">
        <f ca="1">VLOOKUP($B30,[12]Dasboard_QBR_Report!$B$109:$BL$166,18,FALSE)</f>
        <v>3692</v>
      </c>
      <c r="O30" s="13">
        <f ca="1">VLOOKUP($B30,'[12]Analisys QBR By Machine Report'!$C$109:$BD$166,10,FALSE)</f>
        <v>565</v>
      </c>
      <c r="P30" s="13">
        <f ca="1">VLOOKUP($B30,'[12]Analisys QBR By Machine Report'!$C$109:$BD$166,11,FALSE)</f>
        <v>560</v>
      </c>
      <c r="Q30" s="13">
        <f ca="1">VLOOKUP($B30,'[12]Analisys QBR By Machine Report'!$C$109:$BD$166,12,FALSE)</f>
        <v>0</v>
      </c>
      <c r="R30" s="13">
        <f ca="1">VLOOKUP($B30,'[12]Analisys QBR By Machine Report'!$C$109:$BD$166,13,FALSE)</f>
        <v>0</v>
      </c>
      <c r="S30" s="13">
        <f ca="1">VLOOKUP($B30,'[12]Analisys QBR By Machine Report'!$C$109:$BD$166,14,FALSE)</f>
        <v>5</v>
      </c>
      <c r="T30" s="13">
        <f ca="1">VLOOKUP($B30,'[12]Analisys QBR By Machine Report'!$C$109:$BD$166,15,FALSE)</f>
        <v>216</v>
      </c>
      <c r="U30" s="13">
        <f ca="1">VLOOKUP($B30,'[12]Analisys QBR By Machine Report'!$C$109:$BD$166,16,FALSE)</f>
        <v>0</v>
      </c>
      <c r="V30" s="13">
        <f ca="1">VLOOKUP($B30,'[12]Analisys QBR By Machine Report'!$C$109:$BD$166,17,FALSE)</f>
        <v>81</v>
      </c>
      <c r="W30" s="13">
        <f ca="1">VLOOKUP($B30,'[12]Analisys QBR By Machine Report'!$C$109:$BD$166,18,FALSE)</f>
        <v>0</v>
      </c>
      <c r="X30" s="13">
        <f ca="1">VLOOKUP($B30,'[12]Analisys QBR By Machine Report'!$C$109:$BD$166,19,FALSE)</f>
        <v>14</v>
      </c>
      <c r="Y30" s="13">
        <f ca="1">VLOOKUP($B30,'[12]Analisys QBR By Machine Report'!$C$109:$BD$166,20,FALSE)</f>
        <v>121</v>
      </c>
      <c r="Z30" s="13">
        <f ca="1">VLOOKUP($B30,'[12]Analisys QBR By Machine Report'!$C$109:$BD$166,21,FALSE)</f>
        <v>1364</v>
      </c>
      <c r="AA30" s="13">
        <f ca="1">VLOOKUP($B30,'[12]Analisys QBR By Machine Report'!$C$109:$BD$166,22,FALSE)</f>
        <v>303</v>
      </c>
      <c r="AB30" s="13">
        <f ca="1">VLOOKUP($B30,'[12]Analisys QBR By Machine Report'!$C$109:$BD$166,23,FALSE)</f>
        <v>1061</v>
      </c>
      <c r="AC30" s="13">
        <f ca="1">VLOOKUP($B30,'[12]Analisys QBR By Machine Report'!$C$109:$BD$166,24,FALSE)</f>
        <v>0</v>
      </c>
      <c r="AD30" s="13">
        <f ca="1">VLOOKUP($B30,'[12]Analisys QBR By Machine Report'!$C$109:$BD$166,25,FALSE)</f>
        <v>0</v>
      </c>
      <c r="AE30" s="13">
        <f ca="1">VLOOKUP($B30,'[12]Analisys QBR By Machine Report'!$C$109:$BD$166,26,FALSE)</f>
        <v>0</v>
      </c>
      <c r="AF30" s="13">
        <f ca="1">VLOOKUP($B30,'[12]Analisys QBR By Machine Report'!$C$109:$BD$166,27,FALSE)</f>
        <v>0</v>
      </c>
      <c r="AG30" s="13">
        <f ca="1">VLOOKUP($B30,'[12]Analisys QBR By Machine Report'!$C$109:$BD$166,28,FALSE)</f>
        <v>0</v>
      </c>
      <c r="AH30" s="13">
        <f ca="1">VLOOKUP($B30,'[12]Analisys QBR By Machine Report'!$C$109:$BD$166,29,FALSE)</f>
        <v>0</v>
      </c>
      <c r="AI30" s="13">
        <f ca="1">VLOOKUP($B30,'[12]Analisys QBR By Machine Report'!$C$109:$BD$166,30,FALSE)</f>
        <v>1547</v>
      </c>
      <c r="AJ30" s="13">
        <f ca="1">VLOOKUP($B30,'[12]Analisys QBR By Machine Report'!$C$109:$BD$166,31,FALSE)</f>
        <v>0</v>
      </c>
      <c r="AK30" s="13">
        <f ca="1">VLOOKUP($B30,'[12]Analisys QBR By Machine Report'!$C$109:$BD$166,32,FALSE)</f>
        <v>0</v>
      </c>
      <c r="AL30" s="13">
        <f ca="1">VLOOKUP($B30,'[12]Analisys QBR By Machine Report'!$C$109:$BD$166,33,FALSE)</f>
        <v>300</v>
      </c>
      <c r="AM30" s="13">
        <f ca="1">VLOOKUP($B30,'[12]Analisys QBR By Machine Report'!$C$109:$BD$166,34,FALSE)</f>
        <v>0</v>
      </c>
      <c r="AN30" s="13">
        <f ca="1">VLOOKUP($B30,'[12]Analisys QBR By Machine Report'!$C$109:$BD$166,35,FALSE)</f>
        <v>320</v>
      </c>
      <c r="AO30" s="13">
        <f ca="1">VLOOKUP($B30,'[12]Analisys QBR By Machine Report'!$C$109:$BD$166,36,FALSE)</f>
        <v>0</v>
      </c>
      <c r="AP30" s="13">
        <f ca="1">VLOOKUP($B30,'[12]Analisys QBR By Machine Report'!$C$109:$BD$166,37,FALSE)</f>
        <v>0</v>
      </c>
      <c r="AQ30" s="13">
        <f ca="1">VLOOKUP($B30,'[12]Analisys QBR By Machine Report'!$C$109:$BD$166,38,FALSE)</f>
        <v>0</v>
      </c>
      <c r="AR30" s="13">
        <f ca="1">VLOOKUP($B30,'[12]Analisys QBR By Machine Report'!$C$109:$BD$166,39,FALSE)</f>
        <v>0</v>
      </c>
      <c r="AS30" s="13">
        <f ca="1">VLOOKUP($B30,'[12]Analisys QBR By Machine Report'!$C$109:$BD$166,40,FALSE)</f>
        <v>166</v>
      </c>
      <c r="AT30" s="13">
        <f ca="1">VLOOKUP($B30,'[12]Analisys QBR By Machine Report'!$C$109:$BD$166,41,FALSE)</f>
        <v>0</v>
      </c>
      <c r="AU30" s="13">
        <f ca="1">VLOOKUP($B30,'[12]Analisys QBR By Machine Report'!$C$109:$BD$166,42,FALSE)</f>
        <v>0</v>
      </c>
      <c r="AV30" s="13">
        <f ca="1">VLOOKUP($B30,'[12]Analisys QBR By Machine Report'!$C$109:$BD$166,43,FALSE)</f>
        <v>731</v>
      </c>
      <c r="AW30" s="13">
        <f ca="1">VLOOKUP($B30,'[12]Analisys QBR By Machine Report'!$C$109:$BD$166,44,FALSE)</f>
        <v>0</v>
      </c>
      <c r="AX30" s="13">
        <f ca="1">VLOOKUP($B30,'[12]Analisys QBR By Machine Report'!$C$109:$BD$166,45,FALSE)</f>
        <v>0</v>
      </c>
      <c r="AY30" s="13">
        <f ca="1">VLOOKUP($B30,'[12]Analisys QBR By Machine Report'!$C$109:$BD$166,46,FALSE)</f>
        <v>0</v>
      </c>
      <c r="AZ30" s="13">
        <f ca="1">VLOOKUP($B30,'[12]Analisys QBR By Machine Report'!$C$109:$BD$166,47,FALSE)</f>
        <v>30</v>
      </c>
      <c r="BA30" s="13">
        <f ca="1">VLOOKUP($B30,'[12]Analisys QBR By Machine Report'!$C$109:$BD$166,48,FALSE)</f>
        <v>0</v>
      </c>
      <c r="BB30" s="13">
        <f ca="1">VLOOKUP($B30,'[12]Analisys QBR By Machine Report'!$C$109:$BD$166,49,FALSE)</f>
        <v>0</v>
      </c>
      <c r="BC30" s="13">
        <f ca="1">VLOOKUP($B30,'[12]Analisys QBR By Machine Report'!$C$109:$BD$166,50,FALSE)</f>
        <v>0</v>
      </c>
      <c r="BD30" s="13">
        <f ca="1">VLOOKUP($B30,'[12]Analisys QBR By Machine Report'!$C$109:$BD$166,51,FALSE)</f>
        <v>198264</v>
      </c>
      <c r="BE30" s="13">
        <f ca="1">VLOOKUP($B30,'[12]Analisys QBR By Machine Report'!$C$109:$BD$166,52,FALSE)</f>
        <v>0</v>
      </c>
      <c r="BF30" s="13">
        <f ca="1">VLOOKUP($B30,'[12]Analisys QBR By Machine Report'!$C$109:$BD$166,53,FALSE)</f>
        <v>198264</v>
      </c>
    </row>
    <row r="31" spans="1:58" x14ac:dyDescent="0.25">
      <c r="A31" s="12" t="s">
        <v>87</v>
      </c>
      <c r="B31" s="13">
        <f ca="1">VLOOKUP($B31,'[12]Analisys QBR By Machine Report'!$C$109:$BD$166,2,FALSE)</f>
        <v>27360</v>
      </c>
      <c r="C31" s="14">
        <f ca="1">VLOOKUP($B31,[12]Dasboard_QBR_Report!$B$109:$BL$166,3,FALSE)</f>
        <v>17670</v>
      </c>
      <c r="D31" s="13">
        <f ca="1">VLOOKUP($B31,'[12]Analisys QBR By Machine Report'!$C$109:$BD$166,3,FALSE)</f>
        <v>15480</v>
      </c>
      <c r="E31" s="14">
        <f ca="1">VLOOKUP($B31,[12]Dasboard_QBR_Report!$B$109:$BL$166,5,FALSE)</f>
        <v>5790</v>
      </c>
      <c r="F31" s="13">
        <f t="shared" ca="1" si="0"/>
        <v>11880</v>
      </c>
      <c r="G31" s="13">
        <f t="shared" ca="1" si="1"/>
        <v>225</v>
      </c>
      <c r="H31" s="13">
        <f ca="1">VLOOKUP($B31,'[12]Analisys QBR By Machine Report'!$C$109:$BD$166,4,FALSE)</f>
        <v>225</v>
      </c>
      <c r="I31" s="13">
        <f ca="1">VLOOKUP($B31,'[12]Analisys QBR By Machine Report'!$C$109:$BD$166,5,FALSE)</f>
        <v>60</v>
      </c>
      <c r="J31" s="13">
        <f ca="1">VLOOKUP($B31,'[12]Analisys QBR By Machine Report'!$C$109:$BD$166,6,FALSE)</f>
        <v>165</v>
      </c>
      <c r="K31" s="13">
        <f ca="1">VLOOKUP($B31,'[12]Analisys QBR By Machine Report'!$C$109:$BD$166,7,FALSE)</f>
        <v>0</v>
      </c>
      <c r="L31" s="13">
        <f ca="1">VLOOKUP($B31,'[12]Analisys QBR By Machine Report'!$C$109:$BD$166,8,FALSE)</f>
        <v>11655</v>
      </c>
      <c r="M31" s="13">
        <f ca="1">VLOOKUP($B31,'[12]Analisys QBR By Machine Report'!$C$109:$BD$166,9,FALSE)</f>
        <v>5900</v>
      </c>
      <c r="N31" s="13">
        <f ca="1">VLOOKUP($B31,[12]Dasboard_QBR_Report!$B$109:$BL$166,18,FALSE)</f>
        <v>5755</v>
      </c>
      <c r="O31" s="13">
        <f ca="1">VLOOKUP($B31,'[12]Analisys QBR By Machine Report'!$C$109:$BD$166,10,FALSE)</f>
        <v>840</v>
      </c>
      <c r="P31" s="13">
        <f ca="1">VLOOKUP($B31,'[12]Analisys QBR By Machine Report'!$C$109:$BD$166,11,FALSE)</f>
        <v>725</v>
      </c>
      <c r="Q31" s="13">
        <f ca="1">VLOOKUP($B31,'[12]Analisys QBR By Machine Report'!$C$109:$BD$166,12,FALSE)</f>
        <v>0</v>
      </c>
      <c r="R31" s="13">
        <f ca="1">VLOOKUP($B31,'[12]Analisys QBR By Machine Report'!$C$109:$BD$166,13,FALSE)</f>
        <v>65</v>
      </c>
      <c r="S31" s="13">
        <f ca="1">VLOOKUP($B31,'[12]Analisys QBR By Machine Report'!$C$109:$BD$166,14,FALSE)</f>
        <v>50</v>
      </c>
      <c r="T31" s="13">
        <f ca="1">VLOOKUP($B31,'[12]Analisys QBR By Machine Report'!$C$109:$BD$166,15,FALSE)</f>
        <v>506</v>
      </c>
      <c r="U31" s="13">
        <f ca="1">VLOOKUP($B31,'[12]Analisys QBR By Machine Report'!$C$109:$BD$166,16,FALSE)</f>
        <v>391</v>
      </c>
      <c r="V31" s="13">
        <f ca="1">VLOOKUP($B31,'[12]Analisys QBR By Machine Report'!$C$109:$BD$166,17,FALSE)</f>
        <v>15</v>
      </c>
      <c r="W31" s="13">
        <f ca="1">VLOOKUP($B31,'[12]Analisys QBR By Machine Report'!$C$109:$BD$166,18,FALSE)</f>
        <v>0</v>
      </c>
      <c r="X31" s="13">
        <f ca="1">VLOOKUP($B31,'[12]Analisys QBR By Machine Report'!$C$109:$BD$166,19,FALSE)</f>
        <v>0</v>
      </c>
      <c r="Y31" s="13">
        <f ca="1">VLOOKUP($B31,'[12]Analisys QBR By Machine Report'!$C$109:$BD$166,20,FALSE)</f>
        <v>100</v>
      </c>
      <c r="Z31" s="13">
        <f ca="1">VLOOKUP($B31,'[12]Analisys QBR By Machine Report'!$C$109:$BD$166,21,FALSE)</f>
        <v>1895</v>
      </c>
      <c r="AA31" s="13">
        <f ca="1">VLOOKUP($B31,'[12]Analisys QBR By Machine Report'!$C$109:$BD$166,22,FALSE)</f>
        <v>425</v>
      </c>
      <c r="AB31" s="13">
        <f ca="1">VLOOKUP($B31,'[12]Analisys QBR By Machine Report'!$C$109:$BD$166,23,FALSE)</f>
        <v>1440</v>
      </c>
      <c r="AC31" s="13">
        <f ca="1">VLOOKUP($B31,'[12]Analisys QBR By Machine Report'!$C$109:$BD$166,24,FALSE)</f>
        <v>30</v>
      </c>
      <c r="AD31" s="13">
        <f ca="1">VLOOKUP($B31,'[12]Analisys QBR By Machine Report'!$C$109:$BD$166,25,FALSE)</f>
        <v>0</v>
      </c>
      <c r="AE31" s="13">
        <f ca="1">VLOOKUP($B31,'[12]Analisys QBR By Machine Report'!$C$109:$BD$166,26,FALSE)</f>
        <v>0</v>
      </c>
      <c r="AF31" s="13">
        <f ca="1">VLOOKUP($B31,'[12]Analisys QBR By Machine Report'!$C$109:$BD$166,27,FALSE)</f>
        <v>0</v>
      </c>
      <c r="AG31" s="13">
        <f ca="1">VLOOKUP($B31,'[12]Analisys QBR By Machine Report'!$C$109:$BD$166,28,FALSE)</f>
        <v>0</v>
      </c>
      <c r="AH31" s="13">
        <f ca="1">VLOOKUP($B31,'[12]Analisys QBR By Machine Report'!$C$109:$BD$166,29,FALSE)</f>
        <v>0</v>
      </c>
      <c r="AI31" s="13">
        <f ca="1">VLOOKUP($B31,'[12]Analisys QBR By Machine Report'!$C$109:$BD$166,30,FALSE)</f>
        <v>2514</v>
      </c>
      <c r="AJ31" s="13">
        <f ca="1">VLOOKUP($B31,'[12]Analisys QBR By Machine Report'!$C$109:$BD$166,31,FALSE)</f>
        <v>0</v>
      </c>
      <c r="AK31" s="13">
        <f ca="1">VLOOKUP($B31,'[12]Analisys QBR By Machine Report'!$C$109:$BD$166,32,FALSE)</f>
        <v>0</v>
      </c>
      <c r="AL31" s="13">
        <f ca="1">VLOOKUP($B31,'[12]Analisys QBR By Machine Report'!$C$109:$BD$166,33,FALSE)</f>
        <v>660</v>
      </c>
      <c r="AM31" s="13">
        <f ca="1">VLOOKUP($B31,'[12]Analisys QBR By Machine Report'!$C$109:$BD$166,34,FALSE)</f>
        <v>0</v>
      </c>
      <c r="AN31" s="13">
        <f ca="1">VLOOKUP($B31,'[12]Analisys QBR By Machine Report'!$C$109:$BD$166,35,FALSE)</f>
        <v>765</v>
      </c>
      <c r="AO31" s="13">
        <f ca="1">VLOOKUP($B31,'[12]Analisys QBR By Machine Report'!$C$109:$BD$166,36,FALSE)</f>
        <v>0</v>
      </c>
      <c r="AP31" s="13">
        <f ca="1">VLOOKUP($B31,'[12]Analisys QBR By Machine Report'!$C$109:$BD$166,37,FALSE)</f>
        <v>0</v>
      </c>
      <c r="AQ31" s="13">
        <f ca="1">VLOOKUP($B31,'[12]Analisys QBR By Machine Report'!$C$109:$BD$166,38,FALSE)</f>
        <v>10</v>
      </c>
      <c r="AR31" s="13">
        <f ca="1">VLOOKUP($B31,'[12]Analisys QBR By Machine Report'!$C$109:$BD$166,39,FALSE)</f>
        <v>0</v>
      </c>
      <c r="AS31" s="13">
        <f ca="1">VLOOKUP($B31,'[12]Analisys QBR By Machine Report'!$C$109:$BD$166,40,FALSE)</f>
        <v>65</v>
      </c>
      <c r="AT31" s="13">
        <f ca="1">VLOOKUP($B31,'[12]Analisys QBR By Machine Report'!$C$109:$BD$166,41,FALSE)</f>
        <v>0</v>
      </c>
      <c r="AU31" s="13">
        <f ca="1">VLOOKUP($B31,'[12]Analisys QBR By Machine Report'!$C$109:$BD$166,42,FALSE)</f>
        <v>0</v>
      </c>
      <c r="AV31" s="13">
        <f ca="1">VLOOKUP($B31,'[12]Analisys QBR By Machine Report'!$C$109:$BD$166,43,FALSE)</f>
        <v>927</v>
      </c>
      <c r="AW31" s="13">
        <f ca="1">VLOOKUP($B31,'[12]Analisys QBR By Machine Report'!$C$109:$BD$166,44,FALSE)</f>
        <v>0</v>
      </c>
      <c r="AX31" s="13">
        <f ca="1">VLOOKUP($B31,'[12]Analisys QBR By Machine Report'!$C$109:$BD$166,45,FALSE)</f>
        <v>0</v>
      </c>
      <c r="AY31" s="13">
        <f ca="1">VLOOKUP($B31,'[12]Analisys QBR By Machine Report'!$C$109:$BD$166,46,FALSE)</f>
        <v>0</v>
      </c>
      <c r="AZ31" s="13">
        <f ca="1">VLOOKUP($B31,'[12]Analisys QBR By Machine Report'!$C$109:$BD$166,47,FALSE)</f>
        <v>87</v>
      </c>
      <c r="BA31" s="13">
        <f ca="1">VLOOKUP($B31,'[12]Analisys QBR By Machine Report'!$C$109:$BD$166,48,FALSE)</f>
        <v>0</v>
      </c>
      <c r="BB31" s="13">
        <f ca="1">VLOOKUP($B31,'[12]Analisys QBR By Machine Report'!$C$109:$BD$166,49,FALSE)</f>
        <v>0</v>
      </c>
      <c r="BC31" s="13">
        <f ca="1">VLOOKUP($B31,'[12]Analisys QBR By Machine Report'!$C$109:$BD$166,50,FALSE)</f>
        <v>0</v>
      </c>
      <c r="BD31" s="13">
        <f ca="1">VLOOKUP($B31,'[12]Analisys QBR By Machine Report'!$C$109:$BD$166,51,FALSE)</f>
        <v>508370</v>
      </c>
      <c r="BE31" s="13">
        <f ca="1">VLOOKUP($B31,'[12]Analisys QBR By Machine Report'!$C$109:$BD$166,52,FALSE)</f>
        <v>47</v>
      </c>
      <c r="BF31" s="13">
        <f ca="1">VLOOKUP($B31,'[12]Analisys QBR By Machine Report'!$C$109:$BD$166,53,FALSE)</f>
        <v>508323</v>
      </c>
    </row>
    <row r="32" spans="1:58" x14ac:dyDescent="0.25">
      <c r="A32" s="9" t="s">
        <v>88</v>
      </c>
      <c r="B32" s="10">
        <f ca="1">VLOOKUP($B32,'[12]Analisys QBR By Machine Report'!$C$109:$BD$166,2,FALSE)</f>
        <v>83520</v>
      </c>
      <c r="C32" s="11">
        <f ca="1">VLOOKUP($B32,[12]Dasboard_QBR_Report!$B$109:$BL$166,3,FALSE)</f>
        <v>53940</v>
      </c>
      <c r="D32" s="10">
        <f ca="1">VLOOKUP($B32,'[12]Analisys QBR By Machine Report'!$C$109:$BD$166,3,FALSE)</f>
        <v>55798</v>
      </c>
      <c r="E32" s="11">
        <f ca="1">VLOOKUP($B32,[12]Dasboard_QBR_Report!$B$109:$BL$166,5,FALSE)</f>
        <v>26218</v>
      </c>
      <c r="F32" s="10">
        <f t="shared" ca="1" si="0"/>
        <v>27722</v>
      </c>
      <c r="G32" s="10">
        <f t="shared" ca="1" si="1"/>
        <v>2001</v>
      </c>
      <c r="H32" s="10">
        <f ca="1">VLOOKUP($B32,'[12]Analisys QBR By Machine Report'!$C$109:$BD$166,4,FALSE)</f>
        <v>2001</v>
      </c>
      <c r="I32" s="10">
        <f ca="1">VLOOKUP($B32,'[12]Analisys QBR By Machine Report'!$C$109:$BD$166,5,FALSE)</f>
        <v>690</v>
      </c>
      <c r="J32" s="10">
        <f ca="1">VLOOKUP($B32,'[12]Analisys QBR By Machine Report'!$C$109:$BD$166,6,FALSE)</f>
        <v>1311</v>
      </c>
      <c r="K32" s="10">
        <f ca="1">VLOOKUP($B32,'[12]Analisys QBR By Machine Report'!$C$109:$BD$166,7,FALSE)</f>
        <v>0</v>
      </c>
      <c r="L32" s="10">
        <f ca="1">VLOOKUP($B32,'[12]Analisys QBR By Machine Report'!$C$109:$BD$166,8,FALSE)</f>
        <v>25721</v>
      </c>
      <c r="M32" s="10">
        <f ca="1">VLOOKUP($B32,'[12]Analisys QBR By Machine Report'!$C$109:$BD$166,9,FALSE)</f>
        <v>13470</v>
      </c>
      <c r="N32" s="10">
        <f ca="1">VLOOKUP($B32,[12]Dasboard_QBR_Report!$B$109:$BL$166,18,FALSE)</f>
        <v>12251</v>
      </c>
      <c r="O32" s="10">
        <f ca="1">VLOOKUP($B32,'[12]Analisys QBR By Machine Report'!$C$109:$BD$166,10,FALSE)</f>
        <v>666</v>
      </c>
      <c r="P32" s="10">
        <f ca="1">VLOOKUP($B32,'[12]Analisys QBR By Machine Report'!$C$109:$BD$166,11,FALSE)</f>
        <v>666</v>
      </c>
      <c r="Q32" s="10">
        <f ca="1">VLOOKUP($B32,'[12]Analisys QBR By Machine Report'!$C$109:$BD$166,12,FALSE)</f>
        <v>0</v>
      </c>
      <c r="R32" s="10">
        <f ca="1">VLOOKUP($B32,'[12]Analisys QBR By Machine Report'!$C$109:$BD$166,13,FALSE)</f>
        <v>0</v>
      </c>
      <c r="S32" s="10">
        <f ca="1">VLOOKUP($B32,'[12]Analisys QBR By Machine Report'!$C$109:$BD$166,14,FALSE)</f>
        <v>0</v>
      </c>
      <c r="T32" s="10">
        <f ca="1">VLOOKUP($B32,'[12]Analisys QBR By Machine Report'!$C$109:$BD$166,15,FALSE)</f>
        <v>437</v>
      </c>
      <c r="U32" s="10">
        <f ca="1">VLOOKUP($B32,'[12]Analisys QBR By Machine Report'!$C$109:$BD$166,16,FALSE)</f>
        <v>405</v>
      </c>
      <c r="V32" s="10">
        <f ca="1">VLOOKUP($B32,'[12]Analisys QBR By Machine Report'!$C$109:$BD$166,17,FALSE)</f>
        <v>0</v>
      </c>
      <c r="W32" s="10">
        <f ca="1">VLOOKUP($B32,'[12]Analisys QBR By Machine Report'!$C$109:$BD$166,18,FALSE)</f>
        <v>0</v>
      </c>
      <c r="X32" s="10">
        <f ca="1">VLOOKUP($B32,'[12]Analisys QBR By Machine Report'!$C$109:$BD$166,19,FALSE)</f>
        <v>0</v>
      </c>
      <c r="Y32" s="10">
        <f ca="1">VLOOKUP($B32,'[12]Analisys QBR By Machine Report'!$C$109:$BD$166,20,FALSE)</f>
        <v>32</v>
      </c>
      <c r="Z32" s="10">
        <f ca="1">VLOOKUP($B32,'[12]Analisys QBR By Machine Report'!$C$109:$BD$166,21,FALSE)</f>
        <v>4163</v>
      </c>
      <c r="AA32" s="10">
        <f ca="1">VLOOKUP($B32,'[12]Analisys QBR By Machine Report'!$C$109:$BD$166,22,FALSE)</f>
        <v>3432</v>
      </c>
      <c r="AB32" s="10">
        <f ca="1">VLOOKUP($B32,'[12]Analisys QBR By Machine Report'!$C$109:$BD$166,23,FALSE)</f>
        <v>298</v>
      </c>
      <c r="AC32" s="10">
        <f ca="1">VLOOKUP($B32,'[12]Analisys QBR By Machine Report'!$C$109:$BD$166,24,FALSE)</f>
        <v>93</v>
      </c>
      <c r="AD32" s="10">
        <f ca="1">VLOOKUP($B32,'[12]Analisys QBR By Machine Report'!$C$109:$BD$166,25,FALSE)</f>
        <v>85</v>
      </c>
      <c r="AE32" s="10">
        <f ca="1">VLOOKUP($B32,'[12]Analisys QBR By Machine Report'!$C$109:$BD$166,26,FALSE)</f>
        <v>255</v>
      </c>
      <c r="AF32" s="10">
        <f ca="1">VLOOKUP($B32,'[12]Analisys QBR By Machine Report'!$C$109:$BD$166,27,FALSE)</f>
        <v>0</v>
      </c>
      <c r="AG32" s="10">
        <f ca="1">VLOOKUP($B32,'[12]Analisys QBR By Machine Report'!$C$109:$BD$166,28,FALSE)</f>
        <v>0</v>
      </c>
      <c r="AH32" s="10">
        <f ca="1">VLOOKUP($B32,'[12]Analisys QBR By Machine Report'!$C$109:$BD$166,29,FALSE)</f>
        <v>0</v>
      </c>
      <c r="AI32" s="10">
        <f ca="1">VLOOKUP($B32,'[12]Analisys QBR By Machine Report'!$C$109:$BD$166,30,FALSE)</f>
        <v>6985</v>
      </c>
      <c r="AJ32" s="10">
        <f ca="1">VLOOKUP($B32,'[12]Analisys QBR By Machine Report'!$C$109:$BD$166,31,FALSE)</f>
        <v>0</v>
      </c>
      <c r="AK32" s="10">
        <f ca="1">VLOOKUP($B32,'[12]Analisys QBR By Machine Report'!$C$109:$BD$166,32,FALSE)</f>
        <v>0</v>
      </c>
      <c r="AL32" s="10">
        <f ca="1">VLOOKUP($B32,'[12]Analisys QBR By Machine Report'!$C$109:$BD$166,33,FALSE)</f>
        <v>737</v>
      </c>
      <c r="AM32" s="10">
        <f ca="1">VLOOKUP($B32,'[12]Analisys QBR By Machine Report'!$C$109:$BD$166,34,FALSE)</f>
        <v>95</v>
      </c>
      <c r="AN32" s="10">
        <f ca="1">VLOOKUP($B32,'[12]Analisys QBR By Machine Report'!$C$109:$BD$166,35,FALSE)</f>
        <v>616</v>
      </c>
      <c r="AO32" s="10">
        <f ca="1">VLOOKUP($B32,'[12]Analisys QBR By Machine Report'!$C$109:$BD$166,36,FALSE)</f>
        <v>790</v>
      </c>
      <c r="AP32" s="10">
        <f ca="1">VLOOKUP($B32,'[12]Analisys QBR By Machine Report'!$C$109:$BD$166,37,FALSE)</f>
        <v>0</v>
      </c>
      <c r="AQ32" s="10">
        <f ca="1">VLOOKUP($B32,'[12]Analisys QBR By Machine Report'!$C$109:$BD$166,38,FALSE)</f>
        <v>0</v>
      </c>
      <c r="AR32" s="10">
        <f ca="1">VLOOKUP($B32,'[12]Analisys QBR By Machine Report'!$C$109:$BD$166,39,FALSE)</f>
        <v>4573</v>
      </c>
      <c r="AS32" s="10">
        <f ca="1">VLOOKUP($B32,'[12]Analisys QBR By Machine Report'!$C$109:$BD$166,40,FALSE)</f>
        <v>174</v>
      </c>
      <c r="AT32" s="10">
        <f ca="1">VLOOKUP($B32,'[12]Analisys QBR By Machine Report'!$C$109:$BD$166,41,FALSE)</f>
        <v>0</v>
      </c>
      <c r="AU32" s="10">
        <f ca="1">VLOOKUP($B32,'[12]Analisys QBR By Machine Report'!$C$109:$BD$166,42,FALSE)</f>
        <v>0</v>
      </c>
      <c r="AV32" s="10">
        <f ca="1">VLOOKUP($B32,'[12]Analisys QBR By Machine Report'!$C$109:$BD$166,43,FALSE)</f>
        <v>0</v>
      </c>
      <c r="AW32" s="10">
        <f ca="1">VLOOKUP($B32,'[12]Analisys QBR By Machine Report'!$C$109:$BD$166,44,FALSE)</f>
        <v>0</v>
      </c>
      <c r="AX32" s="10">
        <f ca="1">VLOOKUP($B32,'[12]Analisys QBR By Machine Report'!$C$109:$BD$166,45,FALSE)</f>
        <v>0</v>
      </c>
      <c r="AY32" s="10">
        <f ca="1">VLOOKUP($B32,'[12]Analisys QBR By Machine Report'!$C$109:$BD$166,46,FALSE)</f>
        <v>0</v>
      </c>
      <c r="AZ32" s="10">
        <f ca="1">VLOOKUP($B32,'[12]Analisys QBR By Machine Report'!$C$109:$BD$166,47,FALSE)</f>
        <v>0</v>
      </c>
      <c r="BA32" s="10">
        <f ca="1">VLOOKUP($B32,'[12]Analisys QBR By Machine Report'!$C$109:$BD$166,48,FALSE)</f>
        <v>0</v>
      </c>
      <c r="BB32" s="10">
        <f ca="1">VLOOKUP($B32,'[12]Analisys QBR By Machine Report'!$C$109:$BD$166,49,FALSE)</f>
        <v>0</v>
      </c>
      <c r="BC32" s="10">
        <f ca="1">VLOOKUP($B32,'[12]Analisys QBR By Machine Report'!$C$109:$BD$166,50,FALSE)</f>
        <v>0</v>
      </c>
      <c r="BD32" s="10">
        <f ca="1">VLOOKUP($B32,'[12]Analisys QBR By Machine Report'!$C$109:$BD$166,51,FALSE)</f>
        <v>1061</v>
      </c>
      <c r="BE32" s="10">
        <f ca="1">VLOOKUP($B32,'[12]Analisys QBR By Machine Report'!$C$109:$BD$166,52,FALSE)</f>
        <v>0</v>
      </c>
      <c r="BF32" s="10">
        <f ca="1">VLOOKUP($B32,'[12]Analisys QBR By Machine Report'!$C$109:$BD$166,53,FALSE)</f>
        <v>1061</v>
      </c>
    </row>
    <row r="33" spans="1:58" x14ac:dyDescent="0.25">
      <c r="A33" s="12" t="s">
        <v>89</v>
      </c>
      <c r="B33" s="13">
        <f ca="1">VLOOKUP($B33,'[12]Analisys QBR By Machine Report'!$C$109:$BD$166,2,FALSE)</f>
        <v>30240</v>
      </c>
      <c r="C33" s="14">
        <f ca="1">VLOOKUP($B33,[12]Dasboard_QBR_Report!$B$109:$BL$166,3,FALSE)</f>
        <v>19530</v>
      </c>
      <c r="D33" s="13">
        <f ca="1">VLOOKUP($B33,'[12]Analisys QBR By Machine Report'!$C$109:$BD$166,3,FALSE)</f>
        <v>18810</v>
      </c>
      <c r="E33" s="14">
        <f ca="1">VLOOKUP($B33,[12]Dasboard_QBR_Report!$B$109:$BL$166,5,FALSE)</f>
        <v>8100</v>
      </c>
      <c r="F33" s="13">
        <f t="shared" ca="1" si="0"/>
        <v>11430</v>
      </c>
      <c r="G33" s="13">
        <f t="shared" ca="1" si="1"/>
        <v>1104</v>
      </c>
      <c r="H33" s="13">
        <f ca="1">VLOOKUP($B33,'[12]Analisys QBR By Machine Report'!$C$109:$BD$166,4,FALSE)</f>
        <v>1104</v>
      </c>
      <c r="I33" s="13">
        <f ca="1">VLOOKUP($B33,'[12]Analisys QBR By Machine Report'!$C$109:$BD$166,5,FALSE)</f>
        <v>458</v>
      </c>
      <c r="J33" s="13">
        <f ca="1">VLOOKUP($B33,'[12]Analisys QBR By Machine Report'!$C$109:$BD$166,6,FALSE)</f>
        <v>646</v>
      </c>
      <c r="K33" s="13">
        <f ca="1">VLOOKUP($B33,'[12]Analisys QBR By Machine Report'!$C$109:$BD$166,7,FALSE)</f>
        <v>0</v>
      </c>
      <c r="L33" s="13">
        <f ca="1">VLOOKUP($B33,'[12]Analisys QBR By Machine Report'!$C$109:$BD$166,8,FALSE)</f>
        <v>10326</v>
      </c>
      <c r="M33" s="13">
        <f ca="1">VLOOKUP($B33,'[12]Analisys QBR By Machine Report'!$C$109:$BD$166,9,FALSE)</f>
        <v>5204</v>
      </c>
      <c r="N33" s="13">
        <f ca="1">VLOOKUP($B33,[12]Dasboard_QBR_Report!$B$109:$BL$166,18,FALSE)</f>
        <v>5122</v>
      </c>
      <c r="O33" s="13">
        <f ca="1">VLOOKUP($B33,'[12]Analisys QBR By Machine Report'!$C$109:$BD$166,10,FALSE)</f>
        <v>212</v>
      </c>
      <c r="P33" s="13">
        <f ca="1">VLOOKUP($B33,'[12]Analisys QBR By Machine Report'!$C$109:$BD$166,11,FALSE)</f>
        <v>212</v>
      </c>
      <c r="Q33" s="13">
        <f ca="1">VLOOKUP($B33,'[12]Analisys QBR By Machine Report'!$C$109:$BD$166,12,FALSE)</f>
        <v>0</v>
      </c>
      <c r="R33" s="13">
        <f ca="1">VLOOKUP($B33,'[12]Analisys QBR By Machine Report'!$C$109:$BD$166,13,FALSE)</f>
        <v>0</v>
      </c>
      <c r="S33" s="13">
        <f ca="1">VLOOKUP($B33,'[12]Analisys QBR By Machine Report'!$C$109:$BD$166,14,FALSE)</f>
        <v>0</v>
      </c>
      <c r="T33" s="13">
        <f ca="1">VLOOKUP($B33,'[12]Analisys QBR By Machine Report'!$C$109:$BD$166,15,FALSE)</f>
        <v>0</v>
      </c>
      <c r="U33" s="13">
        <f ca="1">VLOOKUP($B33,'[12]Analisys QBR By Machine Report'!$C$109:$BD$166,16,FALSE)</f>
        <v>0</v>
      </c>
      <c r="V33" s="13">
        <f ca="1">VLOOKUP($B33,'[12]Analisys QBR By Machine Report'!$C$109:$BD$166,17,FALSE)</f>
        <v>0</v>
      </c>
      <c r="W33" s="13">
        <f ca="1">VLOOKUP($B33,'[12]Analisys QBR By Machine Report'!$C$109:$BD$166,18,FALSE)</f>
        <v>0</v>
      </c>
      <c r="X33" s="13">
        <f ca="1">VLOOKUP($B33,'[12]Analisys QBR By Machine Report'!$C$109:$BD$166,19,FALSE)</f>
        <v>0</v>
      </c>
      <c r="Y33" s="13">
        <f ca="1">VLOOKUP($B33,'[12]Analisys QBR By Machine Report'!$C$109:$BD$166,20,FALSE)</f>
        <v>0</v>
      </c>
      <c r="Z33" s="13">
        <f ca="1">VLOOKUP($B33,'[12]Analisys QBR By Machine Report'!$C$109:$BD$166,21,FALSE)</f>
        <v>1333</v>
      </c>
      <c r="AA33" s="13">
        <f ca="1">VLOOKUP($B33,'[12]Analisys QBR By Machine Report'!$C$109:$BD$166,22,FALSE)</f>
        <v>1048</v>
      </c>
      <c r="AB33" s="13">
        <f ca="1">VLOOKUP($B33,'[12]Analisys QBR By Machine Report'!$C$109:$BD$166,23,FALSE)</f>
        <v>195</v>
      </c>
      <c r="AC33" s="13">
        <f ca="1">VLOOKUP($B33,'[12]Analisys QBR By Machine Report'!$C$109:$BD$166,24,FALSE)</f>
        <v>0</v>
      </c>
      <c r="AD33" s="13">
        <f ca="1">VLOOKUP($B33,'[12]Analisys QBR By Machine Report'!$C$109:$BD$166,25,FALSE)</f>
        <v>0</v>
      </c>
      <c r="AE33" s="13">
        <f ca="1">VLOOKUP($B33,'[12]Analisys QBR By Machine Report'!$C$109:$BD$166,26,FALSE)</f>
        <v>90</v>
      </c>
      <c r="AF33" s="13">
        <f ca="1">VLOOKUP($B33,'[12]Analisys QBR By Machine Report'!$C$109:$BD$166,27,FALSE)</f>
        <v>0</v>
      </c>
      <c r="AG33" s="13">
        <f ca="1">VLOOKUP($B33,'[12]Analisys QBR By Machine Report'!$C$109:$BD$166,28,FALSE)</f>
        <v>0</v>
      </c>
      <c r="AH33" s="13">
        <f ca="1">VLOOKUP($B33,'[12]Analisys QBR By Machine Report'!$C$109:$BD$166,29,FALSE)</f>
        <v>0</v>
      </c>
      <c r="AI33" s="13">
        <f ca="1">VLOOKUP($B33,'[12]Analisys QBR By Machine Report'!$C$109:$BD$166,30,FALSE)</f>
        <v>3577</v>
      </c>
      <c r="AJ33" s="13">
        <f ca="1">VLOOKUP($B33,'[12]Analisys QBR By Machine Report'!$C$109:$BD$166,31,FALSE)</f>
        <v>0</v>
      </c>
      <c r="AK33" s="13">
        <f ca="1">VLOOKUP($B33,'[12]Analisys QBR By Machine Report'!$C$109:$BD$166,32,FALSE)</f>
        <v>0</v>
      </c>
      <c r="AL33" s="13">
        <f ca="1">VLOOKUP($B33,'[12]Analisys QBR By Machine Report'!$C$109:$BD$166,33,FALSE)</f>
        <v>213</v>
      </c>
      <c r="AM33" s="13">
        <f ca="1">VLOOKUP($B33,'[12]Analisys QBR By Machine Report'!$C$109:$BD$166,34,FALSE)</f>
        <v>0</v>
      </c>
      <c r="AN33" s="13">
        <f ca="1">VLOOKUP($B33,'[12]Analisys QBR By Machine Report'!$C$109:$BD$166,35,FALSE)</f>
        <v>210</v>
      </c>
      <c r="AO33" s="13">
        <f ca="1">VLOOKUP($B33,'[12]Analisys QBR By Machine Report'!$C$109:$BD$166,36,FALSE)</f>
        <v>0</v>
      </c>
      <c r="AP33" s="13">
        <f ca="1">VLOOKUP($B33,'[12]Analisys QBR By Machine Report'!$C$109:$BD$166,37,FALSE)</f>
        <v>0</v>
      </c>
      <c r="AQ33" s="13">
        <f ca="1">VLOOKUP($B33,'[12]Analisys QBR By Machine Report'!$C$109:$BD$166,38,FALSE)</f>
        <v>0</v>
      </c>
      <c r="AR33" s="13">
        <f ca="1">VLOOKUP($B33,'[12]Analisys QBR By Machine Report'!$C$109:$BD$166,39,FALSE)</f>
        <v>3154</v>
      </c>
      <c r="AS33" s="13">
        <f ca="1">VLOOKUP($B33,'[12]Analisys QBR By Machine Report'!$C$109:$BD$166,40,FALSE)</f>
        <v>0</v>
      </c>
      <c r="AT33" s="13">
        <f ca="1">VLOOKUP($B33,'[12]Analisys QBR By Machine Report'!$C$109:$BD$166,41,FALSE)</f>
        <v>0</v>
      </c>
      <c r="AU33" s="13">
        <f ca="1">VLOOKUP($B33,'[12]Analisys QBR By Machine Report'!$C$109:$BD$166,42,FALSE)</f>
        <v>0</v>
      </c>
      <c r="AV33" s="13">
        <f ca="1">VLOOKUP($B33,'[12]Analisys QBR By Machine Report'!$C$109:$BD$166,43,FALSE)</f>
        <v>0</v>
      </c>
      <c r="AW33" s="13">
        <f ca="1">VLOOKUP($B33,'[12]Analisys QBR By Machine Report'!$C$109:$BD$166,44,FALSE)</f>
        <v>0</v>
      </c>
      <c r="AX33" s="13">
        <f ca="1">VLOOKUP($B33,'[12]Analisys QBR By Machine Report'!$C$109:$BD$166,45,FALSE)</f>
        <v>0</v>
      </c>
      <c r="AY33" s="13">
        <f ca="1">VLOOKUP($B33,'[12]Analisys QBR By Machine Report'!$C$109:$BD$166,46,FALSE)</f>
        <v>0</v>
      </c>
      <c r="AZ33" s="13">
        <f ca="1">VLOOKUP($B33,'[12]Analisys QBR By Machine Report'!$C$109:$BD$166,47,FALSE)</f>
        <v>0</v>
      </c>
      <c r="BA33" s="13">
        <f ca="1">VLOOKUP($B33,'[12]Analisys QBR By Machine Report'!$C$109:$BD$166,48,FALSE)</f>
        <v>0</v>
      </c>
      <c r="BB33" s="13">
        <f ca="1">VLOOKUP($B33,'[12]Analisys QBR By Machine Report'!$C$109:$BD$166,49,FALSE)</f>
        <v>0</v>
      </c>
      <c r="BC33" s="13">
        <f ca="1">VLOOKUP($B33,'[12]Analisys QBR By Machine Report'!$C$109:$BD$166,50,FALSE)</f>
        <v>0</v>
      </c>
      <c r="BD33" s="13">
        <f ca="1">VLOOKUP($B33,'[12]Analisys QBR By Machine Report'!$C$109:$BD$166,51,FALSE)</f>
        <v>481</v>
      </c>
      <c r="BE33" s="13">
        <f ca="1">VLOOKUP($B33,'[12]Analisys QBR By Machine Report'!$C$109:$BD$166,52,FALSE)</f>
        <v>0</v>
      </c>
      <c r="BF33" s="13">
        <f ca="1">VLOOKUP($B33,'[12]Analisys QBR By Machine Report'!$C$109:$BD$166,53,FALSE)</f>
        <v>481</v>
      </c>
    </row>
    <row r="34" spans="1:58" x14ac:dyDescent="0.25">
      <c r="A34" s="12" t="s">
        <v>90</v>
      </c>
      <c r="B34" s="13">
        <f ca="1">VLOOKUP($B34,'[12]Analisys QBR By Machine Report'!$C$109:$BD$166,2,FALSE)</f>
        <v>27360</v>
      </c>
      <c r="C34" s="14">
        <f ca="1">VLOOKUP($B34,[12]Dasboard_QBR_Report!$B$109:$BL$166,3,FALSE)</f>
        <v>17670</v>
      </c>
      <c r="D34" s="13">
        <f ca="1">VLOOKUP($B34,'[12]Analisys QBR By Machine Report'!$C$109:$BD$166,3,FALSE)</f>
        <v>15808</v>
      </c>
      <c r="E34" s="14">
        <f ca="1">VLOOKUP($B34,[12]Dasboard_QBR_Report!$B$109:$BL$166,5,FALSE)</f>
        <v>6118</v>
      </c>
      <c r="F34" s="13">
        <f t="shared" ca="1" si="0"/>
        <v>11552</v>
      </c>
      <c r="G34" s="13">
        <f t="shared" ca="1" si="1"/>
        <v>358</v>
      </c>
      <c r="H34" s="13">
        <f ca="1">VLOOKUP($B34,'[12]Analisys QBR By Machine Report'!$C$109:$BD$166,4,FALSE)</f>
        <v>358</v>
      </c>
      <c r="I34" s="13">
        <f ca="1">VLOOKUP($B34,'[12]Analisys QBR By Machine Report'!$C$109:$BD$166,5,FALSE)</f>
        <v>178</v>
      </c>
      <c r="J34" s="13">
        <f ca="1">VLOOKUP($B34,'[12]Analisys QBR By Machine Report'!$C$109:$BD$166,6,FALSE)</f>
        <v>180</v>
      </c>
      <c r="K34" s="13">
        <f ca="1">VLOOKUP($B34,'[12]Analisys QBR By Machine Report'!$C$109:$BD$166,7,FALSE)</f>
        <v>0</v>
      </c>
      <c r="L34" s="13">
        <f ca="1">VLOOKUP($B34,'[12]Analisys QBR By Machine Report'!$C$109:$BD$166,8,FALSE)</f>
        <v>11194</v>
      </c>
      <c r="M34" s="13">
        <f ca="1">VLOOKUP($B34,'[12]Analisys QBR By Machine Report'!$C$109:$BD$166,9,FALSE)</f>
        <v>7383</v>
      </c>
      <c r="N34" s="13">
        <f ca="1">VLOOKUP($B34,[12]Dasboard_QBR_Report!$B$109:$BL$166,18,FALSE)</f>
        <v>3811</v>
      </c>
      <c r="O34" s="13">
        <f ca="1">VLOOKUP($B34,'[12]Analisys QBR By Machine Report'!$C$109:$BD$166,10,FALSE)</f>
        <v>176</v>
      </c>
      <c r="P34" s="13">
        <f ca="1">VLOOKUP($B34,'[12]Analisys QBR By Machine Report'!$C$109:$BD$166,11,FALSE)</f>
        <v>176</v>
      </c>
      <c r="Q34" s="13">
        <f ca="1">VLOOKUP($B34,'[12]Analisys QBR By Machine Report'!$C$109:$BD$166,12,FALSE)</f>
        <v>0</v>
      </c>
      <c r="R34" s="13">
        <f ca="1">VLOOKUP($B34,'[12]Analisys QBR By Machine Report'!$C$109:$BD$166,13,FALSE)</f>
        <v>0</v>
      </c>
      <c r="S34" s="13">
        <f ca="1">VLOOKUP($B34,'[12]Analisys QBR By Machine Report'!$C$109:$BD$166,14,FALSE)</f>
        <v>0</v>
      </c>
      <c r="T34" s="13">
        <f ca="1">VLOOKUP($B34,'[12]Analisys QBR By Machine Report'!$C$109:$BD$166,15,FALSE)</f>
        <v>437</v>
      </c>
      <c r="U34" s="13">
        <f ca="1">VLOOKUP($B34,'[12]Analisys QBR By Machine Report'!$C$109:$BD$166,16,FALSE)</f>
        <v>405</v>
      </c>
      <c r="V34" s="13">
        <f ca="1">VLOOKUP($B34,'[12]Analisys QBR By Machine Report'!$C$109:$BD$166,17,FALSE)</f>
        <v>0</v>
      </c>
      <c r="W34" s="13">
        <f ca="1">VLOOKUP($B34,'[12]Analisys QBR By Machine Report'!$C$109:$BD$166,18,FALSE)</f>
        <v>0</v>
      </c>
      <c r="X34" s="13">
        <f ca="1">VLOOKUP($B34,'[12]Analisys QBR By Machine Report'!$C$109:$BD$166,19,FALSE)</f>
        <v>0</v>
      </c>
      <c r="Y34" s="13">
        <f ca="1">VLOOKUP($B34,'[12]Analisys QBR By Machine Report'!$C$109:$BD$166,20,FALSE)</f>
        <v>32</v>
      </c>
      <c r="Z34" s="13">
        <f ca="1">VLOOKUP($B34,'[12]Analisys QBR By Machine Report'!$C$109:$BD$166,21,FALSE)</f>
        <v>1566</v>
      </c>
      <c r="AA34" s="13">
        <f ca="1">VLOOKUP($B34,'[12]Analisys QBR By Machine Report'!$C$109:$BD$166,22,FALSE)</f>
        <v>1483</v>
      </c>
      <c r="AB34" s="13">
        <f ca="1">VLOOKUP($B34,'[12]Analisys QBR By Machine Report'!$C$109:$BD$166,23,FALSE)</f>
        <v>83</v>
      </c>
      <c r="AC34" s="13">
        <f ca="1">VLOOKUP($B34,'[12]Analisys QBR By Machine Report'!$C$109:$BD$166,24,FALSE)</f>
        <v>0</v>
      </c>
      <c r="AD34" s="13">
        <f ca="1">VLOOKUP($B34,'[12]Analisys QBR By Machine Report'!$C$109:$BD$166,25,FALSE)</f>
        <v>0</v>
      </c>
      <c r="AE34" s="13">
        <f ca="1">VLOOKUP($B34,'[12]Analisys QBR By Machine Report'!$C$109:$BD$166,26,FALSE)</f>
        <v>0</v>
      </c>
      <c r="AF34" s="13">
        <f ca="1">VLOOKUP($B34,'[12]Analisys QBR By Machine Report'!$C$109:$BD$166,27,FALSE)</f>
        <v>0</v>
      </c>
      <c r="AG34" s="13">
        <f ca="1">VLOOKUP($B34,'[12]Analisys QBR By Machine Report'!$C$109:$BD$166,28,FALSE)</f>
        <v>0</v>
      </c>
      <c r="AH34" s="13">
        <f ca="1">VLOOKUP($B34,'[12]Analisys QBR By Machine Report'!$C$109:$BD$166,29,FALSE)</f>
        <v>0</v>
      </c>
      <c r="AI34" s="13">
        <f ca="1">VLOOKUP($B34,'[12]Analisys QBR By Machine Report'!$C$109:$BD$166,30,FALSE)</f>
        <v>1632</v>
      </c>
      <c r="AJ34" s="13">
        <f ca="1">VLOOKUP($B34,'[12]Analisys QBR By Machine Report'!$C$109:$BD$166,31,FALSE)</f>
        <v>0</v>
      </c>
      <c r="AK34" s="13">
        <f ca="1">VLOOKUP($B34,'[12]Analisys QBR By Machine Report'!$C$109:$BD$166,32,FALSE)</f>
        <v>0</v>
      </c>
      <c r="AL34" s="13">
        <f ca="1">VLOOKUP($B34,'[12]Analisys QBR By Machine Report'!$C$109:$BD$166,33,FALSE)</f>
        <v>299</v>
      </c>
      <c r="AM34" s="13">
        <f ca="1">VLOOKUP($B34,'[12]Analisys QBR By Machine Report'!$C$109:$BD$166,34,FALSE)</f>
        <v>0</v>
      </c>
      <c r="AN34" s="13">
        <f ca="1">VLOOKUP($B34,'[12]Analisys QBR By Machine Report'!$C$109:$BD$166,35,FALSE)</f>
        <v>205</v>
      </c>
      <c r="AO34" s="13">
        <f ca="1">VLOOKUP($B34,'[12]Analisys QBR By Machine Report'!$C$109:$BD$166,36,FALSE)</f>
        <v>0</v>
      </c>
      <c r="AP34" s="13">
        <f ca="1">VLOOKUP($B34,'[12]Analisys QBR By Machine Report'!$C$109:$BD$166,37,FALSE)</f>
        <v>0</v>
      </c>
      <c r="AQ34" s="13">
        <f ca="1">VLOOKUP($B34,'[12]Analisys QBR By Machine Report'!$C$109:$BD$166,38,FALSE)</f>
        <v>0</v>
      </c>
      <c r="AR34" s="13">
        <f ca="1">VLOOKUP($B34,'[12]Analisys QBR By Machine Report'!$C$109:$BD$166,39,FALSE)</f>
        <v>1109</v>
      </c>
      <c r="AS34" s="13">
        <f ca="1">VLOOKUP($B34,'[12]Analisys QBR By Machine Report'!$C$109:$BD$166,40,FALSE)</f>
        <v>19</v>
      </c>
      <c r="AT34" s="13">
        <f ca="1">VLOOKUP($B34,'[12]Analisys QBR By Machine Report'!$C$109:$BD$166,41,FALSE)</f>
        <v>0</v>
      </c>
      <c r="AU34" s="13">
        <f ca="1">VLOOKUP($B34,'[12]Analisys QBR By Machine Report'!$C$109:$BD$166,42,FALSE)</f>
        <v>0</v>
      </c>
      <c r="AV34" s="13">
        <f ca="1">VLOOKUP($B34,'[12]Analisys QBR By Machine Report'!$C$109:$BD$166,43,FALSE)</f>
        <v>0</v>
      </c>
      <c r="AW34" s="13">
        <f ca="1">VLOOKUP($B34,'[12]Analisys QBR By Machine Report'!$C$109:$BD$166,44,FALSE)</f>
        <v>0</v>
      </c>
      <c r="AX34" s="13">
        <f ca="1">VLOOKUP($B34,'[12]Analisys QBR By Machine Report'!$C$109:$BD$166,45,FALSE)</f>
        <v>0</v>
      </c>
      <c r="AY34" s="13">
        <f ca="1">VLOOKUP($B34,'[12]Analisys QBR By Machine Report'!$C$109:$BD$166,46,FALSE)</f>
        <v>0</v>
      </c>
      <c r="AZ34" s="13">
        <f ca="1">VLOOKUP($B34,'[12]Analisys QBR By Machine Report'!$C$109:$BD$166,47,FALSE)</f>
        <v>0</v>
      </c>
      <c r="BA34" s="13">
        <f ca="1">VLOOKUP($B34,'[12]Analisys QBR By Machine Report'!$C$109:$BD$166,48,FALSE)</f>
        <v>0</v>
      </c>
      <c r="BB34" s="13">
        <f ca="1">VLOOKUP($B34,'[12]Analisys QBR By Machine Report'!$C$109:$BD$166,49,FALSE)</f>
        <v>0</v>
      </c>
      <c r="BC34" s="13">
        <f ca="1">VLOOKUP($B34,'[12]Analisys QBR By Machine Report'!$C$109:$BD$166,50,FALSE)</f>
        <v>0</v>
      </c>
      <c r="BD34" s="13">
        <f ca="1">VLOOKUP($B34,'[12]Analisys QBR By Machine Report'!$C$109:$BD$166,51,FALSE)</f>
        <v>568</v>
      </c>
      <c r="BE34" s="13">
        <f ca="1">VLOOKUP($B34,'[12]Analisys QBR By Machine Report'!$C$109:$BD$166,52,FALSE)</f>
        <v>0</v>
      </c>
      <c r="BF34" s="13">
        <f ca="1">VLOOKUP($B34,'[12]Analisys QBR By Machine Report'!$C$109:$BD$166,53,FALSE)</f>
        <v>568</v>
      </c>
    </row>
    <row r="35" spans="1:58" x14ac:dyDescent="0.25">
      <c r="A35" s="12" t="s">
        <v>91</v>
      </c>
      <c r="B35" s="13">
        <f ca="1">VLOOKUP($B35,'[12]Analisys QBR By Machine Report'!$C$109:$BD$166,2,FALSE)</f>
        <v>25920</v>
      </c>
      <c r="C35" s="14">
        <f ca="1">VLOOKUP($B35,[12]Dasboard_QBR_Report!$B$109:$BL$166,3,FALSE)</f>
        <v>16740</v>
      </c>
      <c r="D35" s="13">
        <f ca="1">VLOOKUP($B35,'[12]Analisys QBR By Machine Report'!$C$109:$BD$166,3,FALSE)</f>
        <v>21180</v>
      </c>
      <c r="E35" s="14">
        <f ca="1">VLOOKUP($B35,[12]Dasboard_QBR_Report!$B$109:$BL$166,5,FALSE)</f>
        <v>12000</v>
      </c>
      <c r="F35" s="13">
        <f t="shared" ca="1" si="0"/>
        <v>4740</v>
      </c>
      <c r="G35" s="13">
        <f t="shared" ca="1" si="1"/>
        <v>539</v>
      </c>
      <c r="H35" s="13">
        <f ca="1">VLOOKUP($B35,'[12]Analisys QBR By Machine Report'!$C$109:$BD$166,4,FALSE)</f>
        <v>539</v>
      </c>
      <c r="I35" s="13">
        <f ca="1">VLOOKUP($B35,'[12]Analisys QBR By Machine Report'!$C$109:$BD$166,5,FALSE)</f>
        <v>54</v>
      </c>
      <c r="J35" s="13">
        <f ca="1">VLOOKUP($B35,'[12]Analisys QBR By Machine Report'!$C$109:$BD$166,6,FALSE)</f>
        <v>485</v>
      </c>
      <c r="K35" s="13">
        <f ca="1">VLOOKUP($B35,'[12]Analisys QBR By Machine Report'!$C$109:$BD$166,7,FALSE)</f>
        <v>0</v>
      </c>
      <c r="L35" s="13">
        <f ca="1">VLOOKUP($B35,'[12]Analisys QBR By Machine Report'!$C$109:$BD$166,8,FALSE)</f>
        <v>4201</v>
      </c>
      <c r="M35" s="13">
        <f ca="1">VLOOKUP($B35,'[12]Analisys QBR By Machine Report'!$C$109:$BD$166,9,FALSE)</f>
        <v>883</v>
      </c>
      <c r="N35" s="13">
        <f ca="1">VLOOKUP($B35,[12]Dasboard_QBR_Report!$B$109:$BL$166,18,FALSE)</f>
        <v>3318</v>
      </c>
      <c r="O35" s="13">
        <f ca="1">VLOOKUP($B35,'[12]Analisys QBR By Machine Report'!$C$109:$BD$166,10,FALSE)</f>
        <v>278</v>
      </c>
      <c r="P35" s="13">
        <f ca="1">VLOOKUP($B35,'[12]Analisys QBR By Machine Report'!$C$109:$BD$166,11,FALSE)</f>
        <v>278</v>
      </c>
      <c r="Q35" s="13">
        <f ca="1">VLOOKUP($B35,'[12]Analisys QBR By Machine Report'!$C$109:$BD$166,12,FALSE)</f>
        <v>0</v>
      </c>
      <c r="R35" s="13">
        <f ca="1">VLOOKUP($B35,'[12]Analisys QBR By Machine Report'!$C$109:$BD$166,13,FALSE)</f>
        <v>0</v>
      </c>
      <c r="S35" s="13">
        <f ca="1">VLOOKUP($B35,'[12]Analisys QBR By Machine Report'!$C$109:$BD$166,14,FALSE)</f>
        <v>0</v>
      </c>
      <c r="T35" s="13">
        <f ca="1">VLOOKUP($B35,'[12]Analisys QBR By Machine Report'!$C$109:$BD$166,15,FALSE)</f>
        <v>0</v>
      </c>
      <c r="U35" s="13">
        <f ca="1">VLOOKUP($B35,'[12]Analisys QBR By Machine Report'!$C$109:$BD$166,16,FALSE)</f>
        <v>0</v>
      </c>
      <c r="V35" s="13">
        <f ca="1">VLOOKUP($B35,'[12]Analisys QBR By Machine Report'!$C$109:$BD$166,17,FALSE)</f>
        <v>0</v>
      </c>
      <c r="W35" s="13">
        <f ca="1">VLOOKUP($B35,'[12]Analisys QBR By Machine Report'!$C$109:$BD$166,18,FALSE)</f>
        <v>0</v>
      </c>
      <c r="X35" s="13">
        <f ca="1">VLOOKUP($B35,'[12]Analisys QBR By Machine Report'!$C$109:$BD$166,19,FALSE)</f>
        <v>0</v>
      </c>
      <c r="Y35" s="13">
        <f ca="1">VLOOKUP($B35,'[12]Analisys QBR By Machine Report'!$C$109:$BD$166,20,FALSE)</f>
        <v>0</v>
      </c>
      <c r="Z35" s="13">
        <f ca="1">VLOOKUP($B35,'[12]Analisys QBR By Machine Report'!$C$109:$BD$166,21,FALSE)</f>
        <v>1264</v>
      </c>
      <c r="AA35" s="13">
        <f ca="1">VLOOKUP($B35,'[12]Analisys QBR By Machine Report'!$C$109:$BD$166,22,FALSE)</f>
        <v>901</v>
      </c>
      <c r="AB35" s="13">
        <f ca="1">VLOOKUP($B35,'[12]Analisys QBR By Machine Report'!$C$109:$BD$166,23,FALSE)</f>
        <v>20</v>
      </c>
      <c r="AC35" s="13">
        <f ca="1">VLOOKUP($B35,'[12]Analisys QBR By Machine Report'!$C$109:$BD$166,24,FALSE)</f>
        <v>93</v>
      </c>
      <c r="AD35" s="13">
        <f ca="1">VLOOKUP($B35,'[12]Analisys QBR By Machine Report'!$C$109:$BD$166,25,FALSE)</f>
        <v>85</v>
      </c>
      <c r="AE35" s="13">
        <f ca="1">VLOOKUP($B35,'[12]Analisys QBR By Machine Report'!$C$109:$BD$166,26,FALSE)</f>
        <v>165</v>
      </c>
      <c r="AF35" s="13">
        <f ca="1">VLOOKUP($B35,'[12]Analisys QBR By Machine Report'!$C$109:$BD$166,27,FALSE)</f>
        <v>0</v>
      </c>
      <c r="AG35" s="13">
        <f ca="1">VLOOKUP($B35,'[12]Analisys QBR By Machine Report'!$C$109:$BD$166,28,FALSE)</f>
        <v>0</v>
      </c>
      <c r="AH35" s="13">
        <f ca="1">VLOOKUP($B35,'[12]Analisys QBR By Machine Report'!$C$109:$BD$166,29,FALSE)</f>
        <v>0</v>
      </c>
      <c r="AI35" s="13">
        <f ca="1">VLOOKUP($B35,'[12]Analisys QBR By Machine Report'!$C$109:$BD$166,30,FALSE)</f>
        <v>1776</v>
      </c>
      <c r="AJ35" s="13">
        <f ca="1">VLOOKUP($B35,'[12]Analisys QBR By Machine Report'!$C$109:$BD$166,31,FALSE)</f>
        <v>0</v>
      </c>
      <c r="AK35" s="13">
        <f ca="1">VLOOKUP($B35,'[12]Analisys QBR By Machine Report'!$C$109:$BD$166,32,FALSE)</f>
        <v>0</v>
      </c>
      <c r="AL35" s="13">
        <f ca="1">VLOOKUP($B35,'[12]Analisys QBR By Machine Report'!$C$109:$BD$166,33,FALSE)</f>
        <v>225</v>
      </c>
      <c r="AM35" s="13">
        <f ca="1">VLOOKUP($B35,'[12]Analisys QBR By Machine Report'!$C$109:$BD$166,34,FALSE)</f>
        <v>95</v>
      </c>
      <c r="AN35" s="13">
        <f ca="1">VLOOKUP($B35,'[12]Analisys QBR By Machine Report'!$C$109:$BD$166,35,FALSE)</f>
        <v>201</v>
      </c>
      <c r="AO35" s="13">
        <f ca="1">VLOOKUP($B35,'[12]Analisys QBR By Machine Report'!$C$109:$BD$166,36,FALSE)</f>
        <v>790</v>
      </c>
      <c r="AP35" s="13">
        <f ca="1">VLOOKUP($B35,'[12]Analisys QBR By Machine Report'!$C$109:$BD$166,37,FALSE)</f>
        <v>0</v>
      </c>
      <c r="AQ35" s="13">
        <f ca="1">VLOOKUP($B35,'[12]Analisys QBR By Machine Report'!$C$109:$BD$166,38,FALSE)</f>
        <v>0</v>
      </c>
      <c r="AR35" s="13">
        <f ca="1">VLOOKUP($B35,'[12]Analisys QBR By Machine Report'!$C$109:$BD$166,39,FALSE)</f>
        <v>310</v>
      </c>
      <c r="AS35" s="13">
        <f ca="1">VLOOKUP($B35,'[12]Analisys QBR By Machine Report'!$C$109:$BD$166,40,FALSE)</f>
        <v>155</v>
      </c>
      <c r="AT35" s="13">
        <f ca="1">VLOOKUP($B35,'[12]Analisys QBR By Machine Report'!$C$109:$BD$166,41,FALSE)</f>
        <v>0</v>
      </c>
      <c r="AU35" s="13">
        <f ca="1">VLOOKUP($B35,'[12]Analisys QBR By Machine Report'!$C$109:$BD$166,42,FALSE)</f>
        <v>0</v>
      </c>
      <c r="AV35" s="13">
        <f ca="1">VLOOKUP($B35,'[12]Analisys QBR By Machine Report'!$C$109:$BD$166,43,FALSE)</f>
        <v>0</v>
      </c>
      <c r="AW35" s="13">
        <f ca="1">VLOOKUP($B35,'[12]Analisys QBR By Machine Report'!$C$109:$BD$166,44,FALSE)</f>
        <v>0</v>
      </c>
      <c r="AX35" s="13">
        <f ca="1">VLOOKUP($B35,'[12]Analisys QBR By Machine Report'!$C$109:$BD$166,45,FALSE)</f>
        <v>0</v>
      </c>
      <c r="AY35" s="13">
        <f ca="1">VLOOKUP($B35,'[12]Analisys QBR By Machine Report'!$C$109:$BD$166,46,FALSE)</f>
        <v>0</v>
      </c>
      <c r="AZ35" s="13">
        <f ca="1">VLOOKUP($B35,'[12]Analisys QBR By Machine Report'!$C$109:$BD$166,47,FALSE)</f>
        <v>0</v>
      </c>
      <c r="BA35" s="13">
        <f ca="1">VLOOKUP($B35,'[12]Analisys QBR By Machine Report'!$C$109:$BD$166,48,FALSE)</f>
        <v>0</v>
      </c>
      <c r="BB35" s="13">
        <f ca="1">VLOOKUP($B35,'[12]Analisys QBR By Machine Report'!$C$109:$BD$166,49,FALSE)</f>
        <v>0</v>
      </c>
      <c r="BC35" s="13">
        <f ca="1">VLOOKUP($B35,'[12]Analisys QBR By Machine Report'!$C$109:$BD$166,50,FALSE)</f>
        <v>0</v>
      </c>
      <c r="BD35" s="13">
        <f ca="1">VLOOKUP($B35,'[12]Analisys QBR By Machine Report'!$C$109:$BD$166,51,FALSE)</f>
        <v>12</v>
      </c>
      <c r="BE35" s="13">
        <f ca="1">VLOOKUP($B35,'[12]Analisys QBR By Machine Report'!$C$109:$BD$166,52,FALSE)</f>
        <v>0</v>
      </c>
      <c r="BF35" s="13">
        <f ca="1">VLOOKUP($B35,'[12]Analisys QBR By Machine Report'!$C$109:$BD$166,53,FALSE)</f>
        <v>12</v>
      </c>
    </row>
    <row r="36" spans="1:58" x14ac:dyDescent="0.25">
      <c r="A36" s="9" t="s">
        <v>92</v>
      </c>
      <c r="B36" s="10">
        <f ca="1">VLOOKUP($B36,'[12]Analisys QBR By Machine Report'!$C$109:$BD$166,2,FALSE)</f>
        <v>155520</v>
      </c>
      <c r="C36" s="11">
        <f ca="1">VLOOKUP($B36,[12]Dasboard_QBR_Report!$B$109:$BL$166,3,FALSE)</f>
        <v>59940</v>
      </c>
      <c r="D36" s="10">
        <f ca="1">VLOOKUP($B36,'[12]Analisys QBR By Machine Report'!$C$109:$BD$166,3,FALSE)</f>
        <v>121350</v>
      </c>
      <c r="E36" s="11">
        <f ca="1">VLOOKUP($B36,[12]Dasboard_QBR_Report!$B$109:$BL$166,5,FALSE)</f>
        <v>25770</v>
      </c>
      <c r="F36" s="10">
        <f t="shared" ca="1" si="0"/>
        <v>34170</v>
      </c>
      <c r="G36" s="10">
        <f t="shared" ca="1" si="1"/>
        <v>4545</v>
      </c>
      <c r="H36" s="10">
        <f ca="1">VLOOKUP($B36,'[12]Analisys QBR By Machine Report'!$C$109:$BD$166,4,FALSE)</f>
        <v>4545</v>
      </c>
      <c r="I36" s="10">
        <f ca="1">VLOOKUP($B36,'[12]Analisys QBR By Machine Report'!$C$109:$BD$166,5,FALSE)</f>
        <v>705</v>
      </c>
      <c r="J36" s="10">
        <f ca="1">VLOOKUP($B36,'[12]Analisys QBR By Machine Report'!$C$109:$BD$166,6,FALSE)</f>
        <v>3840</v>
      </c>
      <c r="K36" s="10">
        <f ca="1">VLOOKUP($B36,'[12]Analisys QBR By Machine Report'!$C$109:$BD$166,7,FALSE)</f>
        <v>0</v>
      </c>
      <c r="L36" s="10">
        <f ca="1">VLOOKUP($B36,'[12]Analisys QBR By Machine Report'!$C$109:$BD$166,8,FALSE)</f>
        <v>29625</v>
      </c>
      <c r="M36" s="10">
        <f ca="1">VLOOKUP($B36,'[12]Analisys QBR By Machine Report'!$C$109:$BD$166,9,FALSE)</f>
        <v>18146</v>
      </c>
      <c r="N36" s="10">
        <f ca="1">VLOOKUP($B36,[12]Dasboard_QBR_Report!$B$109:$BL$166,18,FALSE)</f>
        <v>11479</v>
      </c>
      <c r="O36" s="10">
        <f ca="1">VLOOKUP($B36,'[12]Analisys QBR By Machine Report'!$C$109:$BD$166,10,FALSE)</f>
        <v>2301</v>
      </c>
      <c r="P36" s="10">
        <f ca="1">VLOOKUP($B36,'[12]Analisys QBR By Machine Report'!$C$109:$BD$166,11,FALSE)</f>
        <v>1244</v>
      </c>
      <c r="Q36" s="10">
        <f ca="1">VLOOKUP($B36,'[12]Analisys QBR By Machine Report'!$C$109:$BD$166,12,FALSE)</f>
        <v>15</v>
      </c>
      <c r="R36" s="10">
        <f ca="1">VLOOKUP($B36,'[12]Analisys QBR By Machine Report'!$C$109:$BD$166,13,FALSE)</f>
        <v>761</v>
      </c>
      <c r="S36" s="10">
        <f ca="1">VLOOKUP($B36,'[12]Analisys QBR By Machine Report'!$C$109:$BD$166,14,FALSE)</f>
        <v>281</v>
      </c>
      <c r="T36" s="10">
        <f ca="1">VLOOKUP($B36,'[12]Analisys QBR By Machine Report'!$C$109:$BD$166,15,FALSE)</f>
        <v>255</v>
      </c>
      <c r="U36" s="10">
        <f ca="1">VLOOKUP($B36,'[12]Analisys QBR By Machine Report'!$C$109:$BD$166,16,FALSE)</f>
        <v>0</v>
      </c>
      <c r="V36" s="10">
        <f ca="1">VLOOKUP($B36,'[12]Analisys QBR By Machine Report'!$C$109:$BD$166,17,FALSE)</f>
        <v>0</v>
      </c>
      <c r="W36" s="10">
        <f ca="1">VLOOKUP($B36,'[12]Analisys QBR By Machine Report'!$C$109:$BD$166,18,FALSE)</f>
        <v>0</v>
      </c>
      <c r="X36" s="10">
        <f ca="1">VLOOKUP($B36,'[12]Analisys QBR By Machine Report'!$C$109:$BD$166,19,FALSE)</f>
        <v>255</v>
      </c>
      <c r="Y36" s="10">
        <f ca="1">VLOOKUP($B36,'[12]Analisys QBR By Machine Report'!$C$109:$BD$166,20,FALSE)</f>
        <v>0</v>
      </c>
      <c r="Z36" s="10">
        <f ca="1">VLOOKUP($B36,'[12]Analisys QBR By Machine Report'!$C$109:$BD$166,21,FALSE)</f>
        <v>2663</v>
      </c>
      <c r="AA36" s="10">
        <f ca="1">VLOOKUP($B36,'[12]Analisys QBR By Machine Report'!$C$109:$BD$166,22,FALSE)</f>
        <v>992</v>
      </c>
      <c r="AB36" s="10">
        <f ca="1">VLOOKUP($B36,'[12]Analisys QBR By Machine Report'!$C$109:$BD$166,23,FALSE)</f>
        <v>1241</v>
      </c>
      <c r="AC36" s="10">
        <f ca="1">VLOOKUP($B36,'[12]Analisys QBR By Machine Report'!$C$109:$BD$166,24,FALSE)</f>
        <v>40</v>
      </c>
      <c r="AD36" s="10">
        <f ca="1">VLOOKUP($B36,'[12]Analisys QBR By Machine Report'!$C$109:$BD$166,25,FALSE)</f>
        <v>0</v>
      </c>
      <c r="AE36" s="10">
        <f ca="1">VLOOKUP($B36,'[12]Analisys QBR By Machine Report'!$C$109:$BD$166,26,FALSE)</f>
        <v>390</v>
      </c>
      <c r="AF36" s="10">
        <f ca="1">VLOOKUP($B36,'[12]Analisys QBR By Machine Report'!$C$109:$BD$166,27,FALSE)</f>
        <v>515</v>
      </c>
      <c r="AG36" s="10">
        <f ca="1">VLOOKUP($B36,'[12]Analisys QBR By Machine Report'!$C$109:$BD$166,28,FALSE)</f>
        <v>0</v>
      </c>
      <c r="AH36" s="10">
        <f ca="1">VLOOKUP($B36,'[12]Analisys QBR By Machine Report'!$C$109:$BD$166,29,FALSE)</f>
        <v>515</v>
      </c>
      <c r="AI36" s="10">
        <f ca="1">VLOOKUP($B36,'[12]Analisys QBR By Machine Report'!$C$109:$BD$166,30,FALSE)</f>
        <v>5745</v>
      </c>
      <c r="AJ36" s="10">
        <f ca="1">VLOOKUP($B36,'[12]Analisys QBR By Machine Report'!$C$109:$BD$166,31,FALSE)</f>
        <v>0</v>
      </c>
      <c r="AK36" s="10">
        <f ca="1">VLOOKUP($B36,'[12]Analisys QBR By Machine Report'!$C$109:$BD$166,32,FALSE)</f>
        <v>600</v>
      </c>
      <c r="AL36" s="10">
        <f ca="1">VLOOKUP($B36,'[12]Analisys QBR By Machine Report'!$C$109:$BD$166,33,FALSE)</f>
        <v>1797</v>
      </c>
      <c r="AM36" s="10">
        <f ca="1">VLOOKUP($B36,'[12]Analisys QBR By Machine Report'!$C$109:$BD$166,34,FALSE)</f>
        <v>0</v>
      </c>
      <c r="AN36" s="10">
        <f ca="1">VLOOKUP($B36,'[12]Analisys QBR By Machine Report'!$C$109:$BD$166,35,FALSE)</f>
        <v>990</v>
      </c>
      <c r="AO36" s="10">
        <f ca="1">VLOOKUP($B36,'[12]Analisys QBR By Machine Report'!$C$109:$BD$166,36,FALSE)</f>
        <v>0</v>
      </c>
      <c r="AP36" s="10">
        <f ca="1">VLOOKUP($B36,'[12]Analisys QBR By Machine Report'!$C$109:$BD$166,37,FALSE)</f>
        <v>130</v>
      </c>
      <c r="AQ36" s="10">
        <f ca="1">VLOOKUP($B36,'[12]Analisys QBR By Machine Report'!$C$109:$BD$166,38,FALSE)</f>
        <v>0</v>
      </c>
      <c r="AR36" s="10">
        <f ca="1">VLOOKUP($B36,'[12]Analisys QBR By Machine Report'!$C$109:$BD$166,39,FALSE)</f>
        <v>622</v>
      </c>
      <c r="AS36" s="10">
        <f ca="1">VLOOKUP($B36,'[12]Analisys QBR By Machine Report'!$C$109:$BD$166,40,FALSE)</f>
        <v>509</v>
      </c>
      <c r="AT36" s="10">
        <f ca="1">VLOOKUP($B36,'[12]Analisys QBR By Machine Report'!$C$109:$BD$166,41,FALSE)</f>
        <v>0</v>
      </c>
      <c r="AU36" s="10">
        <f ca="1">VLOOKUP($B36,'[12]Analisys QBR By Machine Report'!$C$109:$BD$166,42,FALSE)</f>
        <v>0</v>
      </c>
      <c r="AV36" s="10">
        <f ca="1">VLOOKUP($B36,'[12]Analisys QBR By Machine Report'!$C$109:$BD$166,43,FALSE)</f>
        <v>0</v>
      </c>
      <c r="AW36" s="10">
        <f ca="1">VLOOKUP($B36,'[12]Analisys QBR By Machine Report'!$C$109:$BD$166,44,FALSE)</f>
        <v>0</v>
      </c>
      <c r="AX36" s="10">
        <f ca="1">VLOOKUP($B36,'[12]Analisys QBR By Machine Report'!$C$109:$BD$166,45,FALSE)</f>
        <v>0</v>
      </c>
      <c r="AY36" s="10">
        <f ca="1">VLOOKUP($B36,'[12]Analisys QBR By Machine Report'!$C$109:$BD$166,46,FALSE)</f>
        <v>0</v>
      </c>
      <c r="AZ36" s="10">
        <f ca="1">VLOOKUP($B36,'[12]Analisys QBR By Machine Report'!$C$109:$BD$166,47,FALSE)</f>
        <v>1097</v>
      </c>
      <c r="BA36" s="10">
        <f ca="1">VLOOKUP($B36,'[12]Analisys QBR By Machine Report'!$C$109:$BD$166,48,FALSE)</f>
        <v>0</v>
      </c>
      <c r="BB36" s="10">
        <f ca="1">VLOOKUP($B36,'[12]Analisys QBR By Machine Report'!$C$109:$BD$166,49,FALSE)</f>
        <v>0</v>
      </c>
      <c r="BC36" s="10">
        <f ca="1">VLOOKUP($B36,'[12]Analisys QBR By Machine Report'!$C$109:$BD$166,50,FALSE)</f>
        <v>0</v>
      </c>
      <c r="BD36" s="10">
        <f ca="1">VLOOKUP($B36,'[12]Analisys QBR By Machine Report'!$C$109:$BD$166,51,FALSE)</f>
        <v>901052</v>
      </c>
      <c r="BE36" s="10">
        <f ca="1">VLOOKUP($B36,'[12]Analisys QBR By Machine Report'!$C$109:$BD$166,52,FALSE)</f>
        <v>41</v>
      </c>
      <c r="BF36" s="10">
        <f ca="1">VLOOKUP($B36,'[12]Analisys QBR By Machine Report'!$C$109:$BD$166,53,FALSE)</f>
        <v>901011</v>
      </c>
    </row>
    <row r="37" spans="1:58" x14ac:dyDescent="0.25">
      <c r="A37" s="12" t="s">
        <v>93</v>
      </c>
      <c r="B37" s="13">
        <f ca="1">VLOOKUP($B37,'[12]Analisys QBR By Machine Report'!$C$109:$BD$166,2,FALSE)</f>
        <v>25920</v>
      </c>
      <c r="C37" s="14">
        <f ca="1">VLOOKUP($B37,[12]Dasboard_QBR_Report!$B$109:$BL$166,3,FALSE)</f>
        <v>8640</v>
      </c>
      <c r="D37" s="13">
        <f ca="1">VLOOKUP($B37,'[12]Analisys QBR By Machine Report'!$C$109:$BD$166,3,FALSE)</f>
        <v>15570</v>
      </c>
      <c r="E37" s="14">
        <f ca="1">VLOOKUP($B37,[12]Dasboard_QBR_Report!$B$109:$BL$166,5,FALSE)</f>
        <v>-1710</v>
      </c>
      <c r="F37" s="13">
        <f t="shared" ca="1" si="0"/>
        <v>10350</v>
      </c>
      <c r="G37" s="13">
        <f t="shared" ca="1" si="1"/>
        <v>625</v>
      </c>
      <c r="H37" s="13">
        <f ca="1">VLOOKUP($B37,'[12]Analisys QBR By Machine Report'!$C$109:$BD$166,4,FALSE)</f>
        <v>625</v>
      </c>
      <c r="I37" s="13">
        <f ca="1">VLOOKUP($B37,'[12]Analisys QBR By Machine Report'!$C$109:$BD$166,5,FALSE)</f>
        <v>275</v>
      </c>
      <c r="J37" s="13">
        <f ca="1">VLOOKUP($B37,'[12]Analisys QBR By Machine Report'!$C$109:$BD$166,6,FALSE)</f>
        <v>350</v>
      </c>
      <c r="K37" s="13">
        <f ca="1">VLOOKUP($B37,'[12]Analisys QBR By Machine Report'!$C$109:$BD$166,7,FALSE)</f>
        <v>0</v>
      </c>
      <c r="L37" s="13">
        <f ca="1">VLOOKUP($B37,'[12]Analisys QBR By Machine Report'!$C$109:$BD$166,8,FALSE)</f>
        <v>9725</v>
      </c>
      <c r="M37" s="13">
        <f ca="1">VLOOKUP($B37,'[12]Analisys QBR By Machine Report'!$C$109:$BD$166,9,FALSE)</f>
        <v>7115</v>
      </c>
      <c r="N37" s="13">
        <f ca="1">VLOOKUP($B37,[12]Dasboard_QBR_Report!$B$109:$BL$166,18,FALSE)</f>
        <v>2610</v>
      </c>
      <c r="O37" s="13">
        <f ca="1">VLOOKUP($B37,'[12]Analisys QBR By Machine Report'!$C$109:$BD$166,10,FALSE)</f>
        <v>206</v>
      </c>
      <c r="P37" s="13">
        <f ca="1">VLOOKUP($B37,'[12]Analisys QBR By Machine Report'!$C$109:$BD$166,11,FALSE)</f>
        <v>206</v>
      </c>
      <c r="Q37" s="13">
        <f ca="1">VLOOKUP($B37,'[12]Analisys QBR By Machine Report'!$C$109:$BD$166,12,FALSE)</f>
        <v>0</v>
      </c>
      <c r="R37" s="13">
        <f ca="1">VLOOKUP($B37,'[12]Analisys QBR By Machine Report'!$C$109:$BD$166,13,FALSE)</f>
        <v>0</v>
      </c>
      <c r="S37" s="13">
        <f ca="1">VLOOKUP($B37,'[12]Analisys QBR By Machine Report'!$C$109:$BD$166,14,FALSE)</f>
        <v>0</v>
      </c>
      <c r="T37" s="13">
        <f ca="1">VLOOKUP($B37,'[12]Analisys QBR By Machine Report'!$C$109:$BD$166,15,FALSE)</f>
        <v>0</v>
      </c>
      <c r="U37" s="13">
        <f ca="1">VLOOKUP($B37,'[12]Analisys QBR By Machine Report'!$C$109:$BD$166,16,FALSE)</f>
        <v>0</v>
      </c>
      <c r="V37" s="13">
        <f ca="1">VLOOKUP($B37,'[12]Analisys QBR By Machine Report'!$C$109:$BD$166,17,FALSE)</f>
        <v>0</v>
      </c>
      <c r="W37" s="13">
        <f ca="1">VLOOKUP($B37,'[12]Analisys QBR By Machine Report'!$C$109:$BD$166,18,FALSE)</f>
        <v>0</v>
      </c>
      <c r="X37" s="13">
        <f ca="1">VLOOKUP($B37,'[12]Analisys QBR By Machine Report'!$C$109:$BD$166,19,FALSE)</f>
        <v>0</v>
      </c>
      <c r="Y37" s="13">
        <f ca="1">VLOOKUP($B37,'[12]Analisys QBR By Machine Report'!$C$109:$BD$166,20,FALSE)</f>
        <v>0</v>
      </c>
      <c r="Z37" s="13">
        <f ca="1">VLOOKUP($B37,'[12]Analisys QBR By Machine Report'!$C$109:$BD$166,21,FALSE)</f>
        <v>704</v>
      </c>
      <c r="AA37" s="13">
        <f ca="1">VLOOKUP($B37,'[12]Analisys QBR By Machine Report'!$C$109:$BD$166,22,FALSE)</f>
        <v>184</v>
      </c>
      <c r="AB37" s="13">
        <f ca="1">VLOOKUP($B37,'[12]Analisys QBR By Machine Report'!$C$109:$BD$166,23,FALSE)</f>
        <v>400</v>
      </c>
      <c r="AC37" s="13">
        <f ca="1">VLOOKUP($B37,'[12]Analisys QBR By Machine Report'!$C$109:$BD$166,24,FALSE)</f>
        <v>0</v>
      </c>
      <c r="AD37" s="13">
        <f ca="1">VLOOKUP($B37,'[12]Analisys QBR By Machine Report'!$C$109:$BD$166,25,FALSE)</f>
        <v>0</v>
      </c>
      <c r="AE37" s="13">
        <f ca="1">VLOOKUP($B37,'[12]Analisys QBR By Machine Report'!$C$109:$BD$166,26,FALSE)</f>
        <v>120</v>
      </c>
      <c r="AF37" s="13">
        <f ca="1">VLOOKUP($B37,'[12]Analisys QBR By Machine Report'!$C$109:$BD$166,27,FALSE)</f>
        <v>0</v>
      </c>
      <c r="AG37" s="13">
        <f ca="1">VLOOKUP($B37,'[12]Analisys QBR By Machine Report'!$C$109:$BD$166,28,FALSE)</f>
        <v>0</v>
      </c>
      <c r="AH37" s="13">
        <f ca="1">VLOOKUP($B37,'[12]Analisys QBR By Machine Report'!$C$109:$BD$166,29,FALSE)</f>
        <v>0</v>
      </c>
      <c r="AI37" s="13">
        <f ca="1">VLOOKUP($B37,'[12]Analisys QBR By Machine Report'!$C$109:$BD$166,30,FALSE)</f>
        <v>1700</v>
      </c>
      <c r="AJ37" s="13">
        <f ca="1">VLOOKUP($B37,'[12]Analisys QBR By Machine Report'!$C$109:$BD$166,31,FALSE)</f>
        <v>0</v>
      </c>
      <c r="AK37" s="13">
        <f ca="1">VLOOKUP($B37,'[12]Analisys QBR By Machine Report'!$C$109:$BD$166,32,FALSE)</f>
        <v>160</v>
      </c>
      <c r="AL37" s="13">
        <f ca="1">VLOOKUP($B37,'[12]Analisys QBR By Machine Report'!$C$109:$BD$166,33,FALSE)</f>
        <v>600</v>
      </c>
      <c r="AM37" s="13">
        <f ca="1">VLOOKUP($B37,'[12]Analisys QBR By Machine Report'!$C$109:$BD$166,34,FALSE)</f>
        <v>0</v>
      </c>
      <c r="AN37" s="13">
        <f ca="1">VLOOKUP($B37,'[12]Analisys QBR By Machine Report'!$C$109:$BD$166,35,FALSE)</f>
        <v>360</v>
      </c>
      <c r="AO37" s="13">
        <f ca="1">VLOOKUP($B37,'[12]Analisys QBR By Machine Report'!$C$109:$BD$166,36,FALSE)</f>
        <v>0</v>
      </c>
      <c r="AP37" s="13">
        <f ca="1">VLOOKUP($B37,'[12]Analisys QBR By Machine Report'!$C$109:$BD$166,37,FALSE)</f>
        <v>55</v>
      </c>
      <c r="AQ37" s="13">
        <f ca="1">VLOOKUP($B37,'[12]Analisys QBR By Machine Report'!$C$109:$BD$166,38,FALSE)</f>
        <v>0</v>
      </c>
      <c r="AR37" s="13">
        <f ca="1">VLOOKUP($B37,'[12]Analisys QBR By Machine Report'!$C$109:$BD$166,39,FALSE)</f>
        <v>0</v>
      </c>
      <c r="AS37" s="13">
        <f ca="1">VLOOKUP($B37,'[12]Analisys QBR By Machine Report'!$C$109:$BD$166,40,FALSE)</f>
        <v>165</v>
      </c>
      <c r="AT37" s="13">
        <f ca="1">VLOOKUP($B37,'[12]Analisys QBR By Machine Report'!$C$109:$BD$166,41,FALSE)</f>
        <v>0</v>
      </c>
      <c r="AU37" s="13">
        <f ca="1">VLOOKUP($B37,'[12]Analisys QBR By Machine Report'!$C$109:$BD$166,42,FALSE)</f>
        <v>0</v>
      </c>
      <c r="AV37" s="13">
        <f ca="1">VLOOKUP($B37,'[12]Analisys QBR By Machine Report'!$C$109:$BD$166,43,FALSE)</f>
        <v>0</v>
      </c>
      <c r="AW37" s="13">
        <f ca="1">VLOOKUP($B37,'[12]Analisys QBR By Machine Report'!$C$109:$BD$166,44,FALSE)</f>
        <v>0</v>
      </c>
      <c r="AX37" s="13">
        <f ca="1">VLOOKUP($B37,'[12]Analisys QBR By Machine Report'!$C$109:$BD$166,45,FALSE)</f>
        <v>0</v>
      </c>
      <c r="AY37" s="13">
        <f ca="1">VLOOKUP($B37,'[12]Analisys QBR By Machine Report'!$C$109:$BD$166,46,FALSE)</f>
        <v>0</v>
      </c>
      <c r="AZ37" s="13">
        <f ca="1">VLOOKUP($B37,'[12]Analisys QBR By Machine Report'!$C$109:$BD$166,47,FALSE)</f>
        <v>360</v>
      </c>
      <c r="BA37" s="13">
        <f ca="1">VLOOKUP($B37,'[12]Analisys QBR By Machine Report'!$C$109:$BD$166,48,FALSE)</f>
        <v>0</v>
      </c>
      <c r="BB37" s="13">
        <f ca="1">VLOOKUP($B37,'[12]Analisys QBR By Machine Report'!$C$109:$BD$166,49,FALSE)</f>
        <v>0</v>
      </c>
      <c r="BC37" s="13">
        <f ca="1">VLOOKUP($B37,'[12]Analisys QBR By Machine Report'!$C$109:$BD$166,50,FALSE)</f>
        <v>0</v>
      </c>
      <c r="BD37" s="13">
        <f ca="1">VLOOKUP($B37,'[12]Analisys QBR By Machine Report'!$C$109:$BD$166,51,FALSE)</f>
        <v>238167</v>
      </c>
      <c r="BE37" s="13">
        <f ca="1">VLOOKUP($B37,'[12]Analisys QBR By Machine Report'!$C$109:$BD$166,52,FALSE)</f>
        <v>11</v>
      </c>
      <c r="BF37" s="13">
        <f ca="1">VLOOKUP($B37,'[12]Analisys QBR By Machine Report'!$C$109:$BD$166,53,FALSE)</f>
        <v>238156</v>
      </c>
    </row>
    <row r="38" spans="1:58" x14ac:dyDescent="0.25">
      <c r="A38" s="12" t="s">
        <v>94</v>
      </c>
      <c r="B38" s="13">
        <f ca="1">VLOOKUP($B38,'[12]Analisys QBR By Machine Report'!$C$109:$BD$166,2,FALSE)</f>
        <v>25920</v>
      </c>
      <c r="C38" s="14">
        <f ca="1">VLOOKUP($B38,[12]Dasboard_QBR_Report!$B$109:$BL$166,3,FALSE)</f>
        <v>8640</v>
      </c>
      <c r="D38" s="13">
        <f ca="1">VLOOKUP($B38,'[12]Analisys QBR By Machine Report'!$C$109:$BD$166,3,FALSE)</f>
        <v>25920</v>
      </c>
      <c r="E38" s="14">
        <f ca="1">VLOOKUP($B38,[12]Dasboard_QBR_Report!$B$109:$BL$166,5,FALSE)</f>
        <v>8640</v>
      </c>
      <c r="F38" s="13">
        <f t="shared" ca="1" si="0"/>
        <v>0</v>
      </c>
      <c r="G38" s="13">
        <f t="shared" ca="1" si="1"/>
        <v>0</v>
      </c>
      <c r="H38" s="13">
        <f ca="1">VLOOKUP($B38,'[12]Analisys QBR By Machine Report'!$C$109:$BD$166,4,FALSE)</f>
        <v>0</v>
      </c>
      <c r="I38" s="13">
        <f ca="1">VLOOKUP($B38,'[12]Analisys QBR By Machine Report'!$C$109:$BD$166,5,FALSE)</f>
        <v>0</v>
      </c>
      <c r="J38" s="13">
        <f ca="1">VLOOKUP($B38,'[12]Analisys QBR By Machine Report'!$C$109:$BD$166,6,FALSE)</f>
        <v>0</v>
      </c>
      <c r="K38" s="13">
        <f ca="1">VLOOKUP($B38,'[12]Analisys QBR By Machine Report'!$C$109:$BD$166,7,FALSE)</f>
        <v>0</v>
      </c>
      <c r="L38" s="13">
        <f ca="1">VLOOKUP($B38,'[12]Analisys QBR By Machine Report'!$C$109:$BD$166,8,FALSE)</f>
        <v>0</v>
      </c>
      <c r="M38" s="13">
        <f ca="1">VLOOKUP($B38,'[12]Analisys QBR By Machine Report'!$C$109:$BD$166,9,FALSE)</f>
        <v>0</v>
      </c>
      <c r="N38" s="13">
        <f ca="1">VLOOKUP($B38,[12]Dasboard_QBR_Report!$B$109:$BL$166,18,FALSE)</f>
        <v>0</v>
      </c>
      <c r="O38" s="13">
        <f ca="1">VLOOKUP($B38,'[12]Analisys QBR By Machine Report'!$C$109:$BD$166,10,FALSE)</f>
        <v>0</v>
      </c>
      <c r="P38" s="13">
        <f ca="1">VLOOKUP($B38,'[12]Analisys QBR By Machine Report'!$C$109:$BD$166,11,FALSE)</f>
        <v>0</v>
      </c>
      <c r="Q38" s="13">
        <f ca="1">VLOOKUP($B38,'[12]Analisys QBR By Machine Report'!$C$109:$BD$166,12,FALSE)</f>
        <v>0</v>
      </c>
      <c r="R38" s="13">
        <f ca="1">VLOOKUP($B38,'[12]Analisys QBR By Machine Report'!$C$109:$BD$166,13,FALSE)</f>
        <v>0</v>
      </c>
      <c r="S38" s="13">
        <f ca="1">VLOOKUP($B38,'[12]Analisys QBR By Machine Report'!$C$109:$BD$166,14,FALSE)</f>
        <v>0</v>
      </c>
      <c r="T38" s="13">
        <f ca="1">VLOOKUP($B38,'[12]Analisys QBR By Machine Report'!$C$109:$BD$166,15,FALSE)</f>
        <v>0</v>
      </c>
      <c r="U38" s="13">
        <f ca="1">VLOOKUP($B38,'[12]Analisys QBR By Machine Report'!$C$109:$BD$166,16,FALSE)</f>
        <v>0</v>
      </c>
      <c r="V38" s="13">
        <f ca="1">VLOOKUP($B38,'[12]Analisys QBR By Machine Report'!$C$109:$BD$166,17,FALSE)</f>
        <v>0</v>
      </c>
      <c r="W38" s="13">
        <f ca="1">VLOOKUP($B38,'[12]Analisys QBR By Machine Report'!$C$109:$BD$166,18,FALSE)</f>
        <v>0</v>
      </c>
      <c r="X38" s="13">
        <f ca="1">VLOOKUP($B38,'[12]Analisys QBR By Machine Report'!$C$109:$BD$166,19,FALSE)</f>
        <v>0</v>
      </c>
      <c r="Y38" s="13">
        <f ca="1">VLOOKUP($B38,'[12]Analisys QBR By Machine Report'!$C$109:$BD$166,20,FALSE)</f>
        <v>0</v>
      </c>
      <c r="Z38" s="13">
        <f ca="1">VLOOKUP($B38,'[12]Analisys QBR By Machine Report'!$C$109:$BD$166,21,FALSE)</f>
        <v>0</v>
      </c>
      <c r="AA38" s="13">
        <f ca="1">VLOOKUP($B38,'[12]Analisys QBR By Machine Report'!$C$109:$BD$166,22,FALSE)</f>
        <v>0</v>
      </c>
      <c r="AB38" s="13">
        <f ca="1">VLOOKUP($B38,'[12]Analisys QBR By Machine Report'!$C$109:$BD$166,23,FALSE)</f>
        <v>0</v>
      </c>
      <c r="AC38" s="13">
        <f ca="1">VLOOKUP($B38,'[12]Analisys QBR By Machine Report'!$C$109:$BD$166,24,FALSE)</f>
        <v>0</v>
      </c>
      <c r="AD38" s="13">
        <f ca="1">VLOOKUP($B38,'[12]Analisys QBR By Machine Report'!$C$109:$BD$166,25,FALSE)</f>
        <v>0</v>
      </c>
      <c r="AE38" s="13">
        <f ca="1">VLOOKUP($B38,'[12]Analisys QBR By Machine Report'!$C$109:$BD$166,26,FALSE)</f>
        <v>0</v>
      </c>
      <c r="AF38" s="13">
        <f ca="1">VLOOKUP($B38,'[12]Analisys QBR By Machine Report'!$C$109:$BD$166,27,FALSE)</f>
        <v>0</v>
      </c>
      <c r="AG38" s="13">
        <f ca="1">VLOOKUP($B38,'[12]Analisys QBR By Machine Report'!$C$109:$BD$166,28,FALSE)</f>
        <v>0</v>
      </c>
      <c r="AH38" s="13">
        <f ca="1">VLOOKUP($B38,'[12]Analisys QBR By Machine Report'!$C$109:$BD$166,29,FALSE)</f>
        <v>0</v>
      </c>
      <c r="AI38" s="13">
        <f ca="1">VLOOKUP($B38,'[12]Analisys QBR By Machine Report'!$C$109:$BD$166,30,FALSE)</f>
        <v>0</v>
      </c>
      <c r="AJ38" s="13">
        <f ca="1">VLOOKUP($B38,'[12]Analisys QBR By Machine Report'!$C$109:$BD$166,31,FALSE)</f>
        <v>0</v>
      </c>
      <c r="AK38" s="13">
        <f ca="1">VLOOKUP($B38,'[12]Analisys QBR By Machine Report'!$C$109:$BD$166,32,FALSE)</f>
        <v>0</v>
      </c>
      <c r="AL38" s="13">
        <f ca="1">VLOOKUP($B38,'[12]Analisys QBR By Machine Report'!$C$109:$BD$166,33,FALSE)</f>
        <v>0</v>
      </c>
      <c r="AM38" s="13">
        <f ca="1">VLOOKUP($B38,'[12]Analisys QBR By Machine Report'!$C$109:$BD$166,34,FALSE)</f>
        <v>0</v>
      </c>
      <c r="AN38" s="13">
        <f ca="1">VLOOKUP($B38,'[12]Analisys QBR By Machine Report'!$C$109:$BD$166,35,FALSE)</f>
        <v>0</v>
      </c>
      <c r="AO38" s="13">
        <f ca="1">VLOOKUP($B38,'[12]Analisys QBR By Machine Report'!$C$109:$BD$166,36,FALSE)</f>
        <v>0</v>
      </c>
      <c r="AP38" s="13">
        <f ca="1">VLOOKUP($B38,'[12]Analisys QBR By Machine Report'!$C$109:$BD$166,37,FALSE)</f>
        <v>0</v>
      </c>
      <c r="AQ38" s="13">
        <f ca="1">VLOOKUP($B38,'[12]Analisys QBR By Machine Report'!$C$109:$BD$166,38,FALSE)</f>
        <v>0</v>
      </c>
      <c r="AR38" s="13">
        <f ca="1">VLOOKUP($B38,'[12]Analisys QBR By Machine Report'!$C$109:$BD$166,39,FALSE)</f>
        <v>0</v>
      </c>
      <c r="AS38" s="13">
        <f ca="1">VLOOKUP($B38,'[12]Analisys QBR By Machine Report'!$C$109:$BD$166,40,FALSE)</f>
        <v>0</v>
      </c>
      <c r="AT38" s="13">
        <f ca="1">VLOOKUP($B38,'[12]Analisys QBR By Machine Report'!$C$109:$BD$166,41,FALSE)</f>
        <v>0</v>
      </c>
      <c r="AU38" s="13">
        <f ca="1">VLOOKUP($B38,'[12]Analisys QBR By Machine Report'!$C$109:$BD$166,42,FALSE)</f>
        <v>0</v>
      </c>
      <c r="AV38" s="13">
        <f ca="1">VLOOKUP($B38,'[12]Analisys QBR By Machine Report'!$C$109:$BD$166,43,FALSE)</f>
        <v>0</v>
      </c>
      <c r="AW38" s="13">
        <f ca="1">VLOOKUP($B38,'[12]Analisys QBR By Machine Report'!$C$109:$BD$166,44,FALSE)</f>
        <v>0</v>
      </c>
      <c r="AX38" s="13">
        <f ca="1">VLOOKUP($B38,'[12]Analisys QBR By Machine Report'!$C$109:$BD$166,45,FALSE)</f>
        <v>0</v>
      </c>
      <c r="AY38" s="13">
        <f ca="1">VLOOKUP($B38,'[12]Analisys QBR By Machine Report'!$C$109:$BD$166,46,FALSE)</f>
        <v>0</v>
      </c>
      <c r="AZ38" s="13">
        <f ca="1">VLOOKUP($B38,'[12]Analisys QBR By Machine Report'!$C$109:$BD$166,47,FALSE)</f>
        <v>0</v>
      </c>
      <c r="BA38" s="13">
        <f ca="1">VLOOKUP($B38,'[12]Analisys QBR By Machine Report'!$C$109:$BD$166,48,FALSE)</f>
        <v>0</v>
      </c>
      <c r="BB38" s="13">
        <f ca="1">VLOOKUP($B38,'[12]Analisys QBR By Machine Report'!$C$109:$BD$166,49,FALSE)</f>
        <v>0</v>
      </c>
      <c r="BC38" s="13">
        <f ca="1">VLOOKUP($B38,'[12]Analisys QBR By Machine Report'!$C$109:$BD$166,50,FALSE)</f>
        <v>0</v>
      </c>
      <c r="BD38" s="13">
        <f ca="1">VLOOKUP($B38,'[12]Analisys QBR By Machine Report'!$C$109:$BD$166,51,FALSE)</f>
        <v>0</v>
      </c>
      <c r="BE38" s="13">
        <f ca="1">VLOOKUP($B38,'[12]Analisys QBR By Machine Report'!$C$109:$BD$166,52,FALSE)</f>
        <v>0</v>
      </c>
      <c r="BF38" s="13">
        <f ca="1">VLOOKUP($B38,'[12]Analisys QBR By Machine Report'!$C$109:$BD$166,53,FALSE)</f>
        <v>0</v>
      </c>
    </row>
    <row r="39" spans="1:58" x14ac:dyDescent="0.25">
      <c r="A39" s="12" t="s">
        <v>95</v>
      </c>
      <c r="B39" s="13">
        <f ca="1">VLOOKUP($B39,'[12]Analisys QBR By Machine Report'!$C$109:$BD$166,2,FALSE)</f>
        <v>25920</v>
      </c>
      <c r="C39" s="14">
        <f ca="1">VLOOKUP($B39,[12]Dasboard_QBR_Report!$B$109:$BL$166,3,FALSE)</f>
        <v>8640</v>
      </c>
      <c r="D39" s="13">
        <f ca="1">VLOOKUP($B39,'[12]Analisys QBR By Machine Report'!$C$109:$BD$166,3,FALSE)</f>
        <v>16320</v>
      </c>
      <c r="E39" s="14">
        <f ca="1">VLOOKUP($B39,[12]Dasboard_QBR_Report!$B$109:$BL$166,5,FALSE)</f>
        <v>-960</v>
      </c>
      <c r="F39" s="13">
        <f t="shared" ca="1" si="0"/>
        <v>9600</v>
      </c>
      <c r="G39" s="13">
        <f t="shared" ca="1" si="1"/>
        <v>225</v>
      </c>
      <c r="H39" s="13">
        <f ca="1">VLOOKUP($B39,'[12]Analisys QBR By Machine Report'!$C$109:$BD$166,4,FALSE)</f>
        <v>225</v>
      </c>
      <c r="I39" s="13">
        <f ca="1">VLOOKUP($B39,'[12]Analisys QBR By Machine Report'!$C$109:$BD$166,5,FALSE)</f>
        <v>225</v>
      </c>
      <c r="J39" s="13">
        <f ca="1">VLOOKUP($B39,'[12]Analisys QBR By Machine Report'!$C$109:$BD$166,6,FALSE)</f>
        <v>0</v>
      </c>
      <c r="K39" s="13">
        <f ca="1">VLOOKUP($B39,'[12]Analisys QBR By Machine Report'!$C$109:$BD$166,7,FALSE)</f>
        <v>0</v>
      </c>
      <c r="L39" s="13">
        <f ca="1">VLOOKUP($B39,'[12]Analisys QBR By Machine Report'!$C$109:$BD$166,8,FALSE)</f>
        <v>9375</v>
      </c>
      <c r="M39" s="13">
        <f ca="1">VLOOKUP($B39,'[12]Analisys QBR By Machine Report'!$C$109:$BD$166,9,FALSE)</f>
        <v>5960</v>
      </c>
      <c r="N39" s="13">
        <f ca="1">VLOOKUP($B39,[12]Dasboard_QBR_Report!$B$109:$BL$166,18,FALSE)</f>
        <v>3415</v>
      </c>
      <c r="O39" s="13">
        <f ca="1">VLOOKUP($B39,'[12]Analisys QBR By Machine Report'!$C$109:$BD$166,10,FALSE)</f>
        <v>186</v>
      </c>
      <c r="P39" s="13">
        <f ca="1">VLOOKUP($B39,'[12]Analisys QBR By Machine Report'!$C$109:$BD$166,11,FALSE)</f>
        <v>186</v>
      </c>
      <c r="Q39" s="13">
        <f ca="1">VLOOKUP($B39,'[12]Analisys QBR By Machine Report'!$C$109:$BD$166,12,FALSE)</f>
        <v>0</v>
      </c>
      <c r="R39" s="13">
        <f ca="1">VLOOKUP($B39,'[12]Analisys QBR By Machine Report'!$C$109:$BD$166,13,FALSE)</f>
        <v>0</v>
      </c>
      <c r="S39" s="13">
        <f ca="1">VLOOKUP($B39,'[12]Analisys QBR By Machine Report'!$C$109:$BD$166,14,FALSE)</f>
        <v>0</v>
      </c>
      <c r="T39" s="13">
        <f ca="1">VLOOKUP($B39,'[12]Analisys QBR By Machine Report'!$C$109:$BD$166,15,FALSE)</f>
        <v>0</v>
      </c>
      <c r="U39" s="13">
        <f ca="1">VLOOKUP($B39,'[12]Analisys QBR By Machine Report'!$C$109:$BD$166,16,FALSE)</f>
        <v>0</v>
      </c>
      <c r="V39" s="13">
        <f ca="1">VLOOKUP($B39,'[12]Analisys QBR By Machine Report'!$C$109:$BD$166,17,FALSE)</f>
        <v>0</v>
      </c>
      <c r="W39" s="13">
        <f ca="1">VLOOKUP($B39,'[12]Analisys QBR By Machine Report'!$C$109:$BD$166,18,FALSE)</f>
        <v>0</v>
      </c>
      <c r="X39" s="13">
        <f ca="1">VLOOKUP($B39,'[12]Analisys QBR By Machine Report'!$C$109:$BD$166,19,FALSE)</f>
        <v>0</v>
      </c>
      <c r="Y39" s="13">
        <f ca="1">VLOOKUP($B39,'[12]Analisys QBR By Machine Report'!$C$109:$BD$166,20,FALSE)</f>
        <v>0</v>
      </c>
      <c r="Z39" s="13">
        <f ca="1">VLOOKUP($B39,'[12]Analisys QBR By Machine Report'!$C$109:$BD$166,21,FALSE)</f>
        <v>721</v>
      </c>
      <c r="AA39" s="13">
        <f ca="1">VLOOKUP($B39,'[12]Analisys QBR By Machine Report'!$C$109:$BD$166,22,FALSE)</f>
        <v>158</v>
      </c>
      <c r="AB39" s="13">
        <f ca="1">VLOOKUP($B39,'[12]Analisys QBR By Machine Report'!$C$109:$BD$166,23,FALSE)</f>
        <v>443</v>
      </c>
      <c r="AC39" s="13">
        <f ca="1">VLOOKUP($B39,'[12]Analisys QBR By Machine Report'!$C$109:$BD$166,24,FALSE)</f>
        <v>0</v>
      </c>
      <c r="AD39" s="13">
        <f ca="1">VLOOKUP($B39,'[12]Analisys QBR By Machine Report'!$C$109:$BD$166,25,FALSE)</f>
        <v>0</v>
      </c>
      <c r="AE39" s="13">
        <f ca="1">VLOOKUP($B39,'[12]Analisys QBR By Machine Report'!$C$109:$BD$166,26,FALSE)</f>
        <v>120</v>
      </c>
      <c r="AF39" s="13">
        <f ca="1">VLOOKUP($B39,'[12]Analisys QBR By Machine Report'!$C$109:$BD$166,27,FALSE)</f>
        <v>515</v>
      </c>
      <c r="AG39" s="13">
        <f ca="1">VLOOKUP($B39,'[12]Analisys QBR By Machine Report'!$C$109:$BD$166,28,FALSE)</f>
        <v>0</v>
      </c>
      <c r="AH39" s="13">
        <f ca="1">VLOOKUP($B39,'[12]Analisys QBR By Machine Report'!$C$109:$BD$166,29,FALSE)</f>
        <v>515</v>
      </c>
      <c r="AI39" s="13">
        <f ca="1">VLOOKUP($B39,'[12]Analisys QBR By Machine Report'!$C$109:$BD$166,30,FALSE)</f>
        <v>1993</v>
      </c>
      <c r="AJ39" s="13">
        <f ca="1">VLOOKUP($B39,'[12]Analisys QBR By Machine Report'!$C$109:$BD$166,31,FALSE)</f>
        <v>0</v>
      </c>
      <c r="AK39" s="13">
        <f ca="1">VLOOKUP($B39,'[12]Analisys QBR By Machine Report'!$C$109:$BD$166,32,FALSE)</f>
        <v>440</v>
      </c>
      <c r="AL39" s="13">
        <f ca="1">VLOOKUP($B39,'[12]Analisys QBR By Machine Report'!$C$109:$BD$166,33,FALSE)</f>
        <v>507</v>
      </c>
      <c r="AM39" s="13">
        <f ca="1">VLOOKUP($B39,'[12]Analisys QBR By Machine Report'!$C$109:$BD$166,34,FALSE)</f>
        <v>0</v>
      </c>
      <c r="AN39" s="13">
        <f ca="1">VLOOKUP($B39,'[12]Analisys QBR By Machine Report'!$C$109:$BD$166,35,FALSE)</f>
        <v>270</v>
      </c>
      <c r="AO39" s="13">
        <f ca="1">VLOOKUP($B39,'[12]Analisys QBR By Machine Report'!$C$109:$BD$166,36,FALSE)</f>
        <v>0</v>
      </c>
      <c r="AP39" s="13">
        <f ca="1">VLOOKUP($B39,'[12]Analisys QBR By Machine Report'!$C$109:$BD$166,37,FALSE)</f>
        <v>55</v>
      </c>
      <c r="AQ39" s="13">
        <f ca="1">VLOOKUP($B39,'[12]Analisys QBR By Machine Report'!$C$109:$BD$166,38,FALSE)</f>
        <v>0</v>
      </c>
      <c r="AR39" s="13">
        <f ca="1">VLOOKUP($B39,'[12]Analisys QBR By Machine Report'!$C$109:$BD$166,39,FALSE)</f>
        <v>0</v>
      </c>
      <c r="AS39" s="13">
        <f ca="1">VLOOKUP($B39,'[12]Analisys QBR By Machine Report'!$C$109:$BD$166,40,FALSE)</f>
        <v>158</v>
      </c>
      <c r="AT39" s="13">
        <f ca="1">VLOOKUP($B39,'[12]Analisys QBR By Machine Report'!$C$109:$BD$166,41,FALSE)</f>
        <v>0</v>
      </c>
      <c r="AU39" s="13">
        <f ca="1">VLOOKUP($B39,'[12]Analisys QBR By Machine Report'!$C$109:$BD$166,42,FALSE)</f>
        <v>0</v>
      </c>
      <c r="AV39" s="13">
        <f ca="1">VLOOKUP($B39,'[12]Analisys QBR By Machine Report'!$C$109:$BD$166,43,FALSE)</f>
        <v>0</v>
      </c>
      <c r="AW39" s="13">
        <f ca="1">VLOOKUP($B39,'[12]Analisys QBR By Machine Report'!$C$109:$BD$166,44,FALSE)</f>
        <v>0</v>
      </c>
      <c r="AX39" s="13">
        <f ca="1">VLOOKUP($B39,'[12]Analisys QBR By Machine Report'!$C$109:$BD$166,45,FALSE)</f>
        <v>0</v>
      </c>
      <c r="AY39" s="13">
        <f ca="1">VLOOKUP($B39,'[12]Analisys QBR By Machine Report'!$C$109:$BD$166,46,FALSE)</f>
        <v>0</v>
      </c>
      <c r="AZ39" s="13">
        <f ca="1">VLOOKUP($B39,'[12]Analisys QBR By Machine Report'!$C$109:$BD$166,47,FALSE)</f>
        <v>563</v>
      </c>
      <c r="BA39" s="13">
        <f ca="1">VLOOKUP($B39,'[12]Analisys QBR By Machine Report'!$C$109:$BD$166,48,FALSE)</f>
        <v>0</v>
      </c>
      <c r="BB39" s="13">
        <f ca="1">VLOOKUP($B39,'[12]Analisys QBR By Machine Report'!$C$109:$BD$166,49,FALSE)</f>
        <v>0</v>
      </c>
      <c r="BC39" s="13">
        <f ca="1">VLOOKUP($B39,'[12]Analisys QBR By Machine Report'!$C$109:$BD$166,50,FALSE)</f>
        <v>0</v>
      </c>
      <c r="BD39" s="13">
        <f ca="1">VLOOKUP($B39,'[12]Analisys QBR By Machine Report'!$C$109:$BD$166,51,FALSE)</f>
        <v>218837</v>
      </c>
      <c r="BE39" s="13">
        <f ca="1">VLOOKUP($B39,'[12]Analisys QBR By Machine Report'!$C$109:$BD$166,52,FALSE)</f>
        <v>4</v>
      </c>
      <c r="BF39" s="13">
        <f ca="1">VLOOKUP($B39,'[12]Analisys QBR By Machine Report'!$C$109:$BD$166,53,FALSE)</f>
        <v>218833</v>
      </c>
    </row>
    <row r="40" spans="1:58" x14ac:dyDescent="0.25">
      <c r="A40" s="12" t="s">
        <v>96</v>
      </c>
      <c r="B40" s="13">
        <f ca="1">VLOOKUP($B40,'[12]Analisys QBR By Machine Report'!$C$109:$BD$166,2,FALSE)</f>
        <v>25920</v>
      </c>
      <c r="C40" s="14">
        <f ca="1">VLOOKUP($B40,[12]Dasboard_QBR_Report!$B$109:$BL$166,3,FALSE)</f>
        <v>8640</v>
      </c>
      <c r="D40" s="13">
        <f ca="1">VLOOKUP($B40,'[12]Analisys QBR By Machine Report'!$C$109:$BD$166,3,FALSE)</f>
        <v>23880</v>
      </c>
      <c r="E40" s="14">
        <f ca="1">VLOOKUP($B40,[12]Dasboard_QBR_Report!$B$109:$BL$166,5,FALSE)</f>
        <v>6600</v>
      </c>
      <c r="F40" s="13">
        <f t="shared" ca="1" si="0"/>
        <v>2040</v>
      </c>
      <c r="G40" s="13">
        <f t="shared" ca="1" si="1"/>
        <v>930</v>
      </c>
      <c r="H40" s="13">
        <f ca="1">VLOOKUP($B40,'[12]Analisys QBR By Machine Report'!$C$109:$BD$166,4,FALSE)</f>
        <v>930</v>
      </c>
      <c r="I40" s="13">
        <f ca="1">VLOOKUP($B40,'[12]Analisys QBR By Machine Report'!$C$109:$BD$166,5,FALSE)</f>
        <v>30</v>
      </c>
      <c r="J40" s="13">
        <f ca="1">VLOOKUP($B40,'[12]Analisys QBR By Machine Report'!$C$109:$BD$166,6,FALSE)</f>
        <v>900</v>
      </c>
      <c r="K40" s="13">
        <f ca="1">VLOOKUP($B40,'[12]Analisys QBR By Machine Report'!$C$109:$BD$166,7,FALSE)</f>
        <v>0</v>
      </c>
      <c r="L40" s="13">
        <f ca="1">VLOOKUP($B40,'[12]Analisys QBR By Machine Report'!$C$109:$BD$166,8,FALSE)</f>
        <v>1110</v>
      </c>
      <c r="M40" s="13">
        <f ca="1">VLOOKUP($B40,'[12]Analisys QBR By Machine Report'!$C$109:$BD$166,9,FALSE)</f>
        <v>340</v>
      </c>
      <c r="N40" s="13">
        <f ca="1">VLOOKUP($B40,[12]Dasboard_QBR_Report!$B$109:$BL$166,18,FALSE)</f>
        <v>770</v>
      </c>
      <c r="O40" s="13">
        <f ca="1">VLOOKUP($B40,'[12]Analisys QBR By Machine Report'!$C$109:$BD$166,10,FALSE)</f>
        <v>215</v>
      </c>
      <c r="P40" s="13">
        <f ca="1">VLOOKUP($B40,'[12]Analisys QBR By Machine Report'!$C$109:$BD$166,11,FALSE)</f>
        <v>80</v>
      </c>
      <c r="Q40" s="13">
        <f ca="1">VLOOKUP($B40,'[12]Analisys QBR By Machine Report'!$C$109:$BD$166,12,FALSE)</f>
        <v>0</v>
      </c>
      <c r="R40" s="13">
        <f ca="1">VLOOKUP($B40,'[12]Analisys QBR By Machine Report'!$C$109:$BD$166,13,FALSE)</f>
        <v>135</v>
      </c>
      <c r="S40" s="13">
        <f ca="1">VLOOKUP($B40,'[12]Analisys QBR By Machine Report'!$C$109:$BD$166,14,FALSE)</f>
        <v>0</v>
      </c>
      <c r="T40" s="13">
        <f ca="1">VLOOKUP($B40,'[12]Analisys QBR By Machine Report'!$C$109:$BD$166,15,FALSE)</f>
        <v>255</v>
      </c>
      <c r="U40" s="13">
        <f ca="1">VLOOKUP($B40,'[12]Analisys QBR By Machine Report'!$C$109:$BD$166,16,FALSE)</f>
        <v>0</v>
      </c>
      <c r="V40" s="13">
        <f ca="1">VLOOKUP($B40,'[12]Analisys QBR By Machine Report'!$C$109:$BD$166,17,FALSE)</f>
        <v>0</v>
      </c>
      <c r="W40" s="13">
        <f ca="1">VLOOKUP($B40,'[12]Analisys QBR By Machine Report'!$C$109:$BD$166,18,FALSE)</f>
        <v>0</v>
      </c>
      <c r="X40" s="13">
        <f ca="1">VLOOKUP($B40,'[12]Analisys QBR By Machine Report'!$C$109:$BD$166,19,FALSE)</f>
        <v>255</v>
      </c>
      <c r="Y40" s="13">
        <f ca="1">VLOOKUP($B40,'[12]Analisys QBR By Machine Report'!$C$109:$BD$166,20,FALSE)</f>
        <v>0</v>
      </c>
      <c r="Z40" s="13">
        <f ca="1">VLOOKUP($B40,'[12]Analisys QBR By Machine Report'!$C$109:$BD$166,21,FALSE)</f>
        <v>190</v>
      </c>
      <c r="AA40" s="13">
        <f ca="1">VLOOKUP($B40,'[12]Analisys QBR By Machine Report'!$C$109:$BD$166,22,FALSE)</f>
        <v>70</v>
      </c>
      <c r="AB40" s="13">
        <f ca="1">VLOOKUP($B40,'[12]Analisys QBR By Machine Report'!$C$109:$BD$166,23,FALSE)</f>
        <v>120</v>
      </c>
      <c r="AC40" s="13">
        <f ca="1">VLOOKUP($B40,'[12]Analisys QBR By Machine Report'!$C$109:$BD$166,24,FALSE)</f>
        <v>0</v>
      </c>
      <c r="AD40" s="13">
        <f ca="1">VLOOKUP($B40,'[12]Analisys QBR By Machine Report'!$C$109:$BD$166,25,FALSE)</f>
        <v>0</v>
      </c>
      <c r="AE40" s="13">
        <f ca="1">VLOOKUP($B40,'[12]Analisys QBR By Machine Report'!$C$109:$BD$166,26,FALSE)</f>
        <v>0</v>
      </c>
      <c r="AF40" s="13">
        <f ca="1">VLOOKUP($B40,'[12]Analisys QBR By Machine Report'!$C$109:$BD$166,27,FALSE)</f>
        <v>0</v>
      </c>
      <c r="AG40" s="13">
        <f ca="1">VLOOKUP($B40,'[12]Analisys QBR By Machine Report'!$C$109:$BD$166,28,FALSE)</f>
        <v>0</v>
      </c>
      <c r="AH40" s="13">
        <f ca="1">VLOOKUP($B40,'[12]Analisys QBR By Machine Report'!$C$109:$BD$166,29,FALSE)</f>
        <v>0</v>
      </c>
      <c r="AI40" s="13">
        <f ca="1">VLOOKUP($B40,'[12]Analisys QBR By Machine Report'!$C$109:$BD$166,30,FALSE)</f>
        <v>110</v>
      </c>
      <c r="AJ40" s="13">
        <f ca="1">VLOOKUP($B40,'[12]Analisys QBR By Machine Report'!$C$109:$BD$166,31,FALSE)</f>
        <v>0</v>
      </c>
      <c r="AK40" s="13">
        <f ca="1">VLOOKUP($B40,'[12]Analisys QBR By Machine Report'!$C$109:$BD$166,32,FALSE)</f>
        <v>0</v>
      </c>
      <c r="AL40" s="13">
        <f ca="1">VLOOKUP($B40,'[12]Analisys QBR By Machine Report'!$C$109:$BD$166,33,FALSE)</f>
        <v>60</v>
      </c>
      <c r="AM40" s="13">
        <f ca="1">VLOOKUP($B40,'[12]Analisys QBR By Machine Report'!$C$109:$BD$166,34,FALSE)</f>
        <v>0</v>
      </c>
      <c r="AN40" s="13">
        <f ca="1">VLOOKUP($B40,'[12]Analisys QBR By Machine Report'!$C$109:$BD$166,35,FALSE)</f>
        <v>30</v>
      </c>
      <c r="AO40" s="13">
        <f ca="1">VLOOKUP($B40,'[12]Analisys QBR By Machine Report'!$C$109:$BD$166,36,FALSE)</f>
        <v>0</v>
      </c>
      <c r="AP40" s="13">
        <f ca="1">VLOOKUP($B40,'[12]Analisys QBR By Machine Report'!$C$109:$BD$166,37,FALSE)</f>
        <v>0</v>
      </c>
      <c r="AQ40" s="13">
        <f ca="1">VLOOKUP($B40,'[12]Analisys QBR By Machine Report'!$C$109:$BD$166,38,FALSE)</f>
        <v>0</v>
      </c>
      <c r="AR40" s="13">
        <f ca="1">VLOOKUP($B40,'[12]Analisys QBR By Machine Report'!$C$109:$BD$166,39,FALSE)</f>
        <v>0</v>
      </c>
      <c r="AS40" s="13">
        <f ca="1">VLOOKUP($B40,'[12]Analisys QBR By Machine Report'!$C$109:$BD$166,40,FALSE)</f>
        <v>10</v>
      </c>
      <c r="AT40" s="13">
        <f ca="1">VLOOKUP($B40,'[12]Analisys QBR By Machine Report'!$C$109:$BD$166,41,FALSE)</f>
        <v>0</v>
      </c>
      <c r="AU40" s="13">
        <f ca="1">VLOOKUP($B40,'[12]Analisys QBR By Machine Report'!$C$109:$BD$166,42,FALSE)</f>
        <v>0</v>
      </c>
      <c r="AV40" s="13">
        <f ca="1">VLOOKUP($B40,'[12]Analisys QBR By Machine Report'!$C$109:$BD$166,43,FALSE)</f>
        <v>0</v>
      </c>
      <c r="AW40" s="13">
        <f ca="1">VLOOKUP($B40,'[12]Analisys QBR By Machine Report'!$C$109:$BD$166,44,FALSE)</f>
        <v>0</v>
      </c>
      <c r="AX40" s="13">
        <f ca="1">VLOOKUP($B40,'[12]Analisys QBR By Machine Report'!$C$109:$BD$166,45,FALSE)</f>
        <v>0</v>
      </c>
      <c r="AY40" s="13">
        <f ca="1">VLOOKUP($B40,'[12]Analisys QBR By Machine Report'!$C$109:$BD$166,46,FALSE)</f>
        <v>0</v>
      </c>
      <c r="AZ40" s="13">
        <f ca="1">VLOOKUP($B40,'[12]Analisys QBR By Machine Report'!$C$109:$BD$166,47,FALSE)</f>
        <v>10</v>
      </c>
      <c r="BA40" s="13">
        <f ca="1">VLOOKUP($B40,'[12]Analisys QBR By Machine Report'!$C$109:$BD$166,48,FALSE)</f>
        <v>0</v>
      </c>
      <c r="BB40" s="13">
        <f ca="1">VLOOKUP($B40,'[12]Analisys QBR By Machine Report'!$C$109:$BD$166,49,FALSE)</f>
        <v>0</v>
      </c>
      <c r="BC40" s="13">
        <f ca="1">VLOOKUP($B40,'[12]Analisys QBR By Machine Report'!$C$109:$BD$166,50,FALSE)</f>
        <v>0</v>
      </c>
      <c r="BD40" s="13">
        <f ca="1">VLOOKUP($B40,'[12]Analisys QBR By Machine Report'!$C$109:$BD$166,51,FALSE)</f>
        <v>7660</v>
      </c>
      <c r="BE40" s="13">
        <f ca="1">VLOOKUP($B40,'[12]Analisys QBR By Machine Report'!$C$109:$BD$166,52,FALSE)</f>
        <v>0</v>
      </c>
      <c r="BF40" s="13">
        <f ca="1">VLOOKUP($B40,'[12]Analisys QBR By Machine Report'!$C$109:$BD$166,53,FALSE)</f>
        <v>7660</v>
      </c>
    </row>
    <row r="41" spans="1:58" x14ac:dyDescent="0.25">
      <c r="A41" s="12" t="s">
        <v>97</v>
      </c>
      <c r="B41" s="13">
        <f ca="1">VLOOKUP($B41,'[12]Analisys QBR By Machine Report'!$C$109:$BD$166,2,FALSE)</f>
        <v>25920</v>
      </c>
      <c r="C41" s="14">
        <f ca="1">VLOOKUP($B41,[12]Dasboard_QBR_Report!$B$109:$BL$166,3,FALSE)</f>
        <v>16740</v>
      </c>
      <c r="D41" s="13">
        <f ca="1">VLOOKUP($B41,'[12]Analisys QBR By Machine Report'!$C$109:$BD$166,3,FALSE)</f>
        <v>19800</v>
      </c>
      <c r="E41" s="14">
        <f ca="1">VLOOKUP($B41,[12]Dasboard_QBR_Report!$B$109:$BL$166,5,FALSE)</f>
        <v>10620</v>
      </c>
      <c r="F41" s="13">
        <f t="shared" ca="1" si="0"/>
        <v>6120</v>
      </c>
      <c r="G41" s="13">
        <f t="shared" ca="1" si="1"/>
        <v>1230</v>
      </c>
      <c r="H41" s="13">
        <f ca="1">VLOOKUP($B41,'[12]Analisys QBR By Machine Report'!$C$109:$BD$166,4,FALSE)</f>
        <v>1230</v>
      </c>
      <c r="I41" s="13">
        <f ca="1">VLOOKUP($B41,'[12]Analisys QBR By Machine Report'!$C$109:$BD$166,5,FALSE)</f>
        <v>0</v>
      </c>
      <c r="J41" s="13">
        <f ca="1">VLOOKUP($B41,'[12]Analisys QBR By Machine Report'!$C$109:$BD$166,6,FALSE)</f>
        <v>1230</v>
      </c>
      <c r="K41" s="13">
        <f ca="1">VLOOKUP($B41,'[12]Analisys QBR By Machine Report'!$C$109:$BD$166,7,FALSE)</f>
        <v>0</v>
      </c>
      <c r="L41" s="13">
        <f ca="1">VLOOKUP($B41,'[12]Analisys QBR By Machine Report'!$C$109:$BD$166,8,FALSE)</f>
        <v>4890</v>
      </c>
      <c r="M41" s="13">
        <f ca="1">VLOOKUP($B41,'[12]Analisys QBR By Machine Report'!$C$109:$BD$166,9,FALSE)</f>
        <v>2520</v>
      </c>
      <c r="N41" s="13">
        <f ca="1">VLOOKUP($B41,[12]Dasboard_QBR_Report!$B$109:$BL$166,18,FALSE)</f>
        <v>2370</v>
      </c>
      <c r="O41" s="13">
        <f ca="1">VLOOKUP($B41,'[12]Analisys QBR By Machine Report'!$C$109:$BD$166,10,FALSE)</f>
        <v>935</v>
      </c>
      <c r="P41" s="13">
        <f ca="1">VLOOKUP($B41,'[12]Analisys QBR By Machine Report'!$C$109:$BD$166,11,FALSE)</f>
        <v>400</v>
      </c>
      <c r="Q41" s="13">
        <f ca="1">VLOOKUP($B41,'[12]Analisys QBR By Machine Report'!$C$109:$BD$166,12,FALSE)</f>
        <v>0</v>
      </c>
      <c r="R41" s="13">
        <f ca="1">VLOOKUP($B41,'[12]Analisys QBR By Machine Report'!$C$109:$BD$166,13,FALSE)</f>
        <v>405</v>
      </c>
      <c r="S41" s="13">
        <f ca="1">VLOOKUP($B41,'[12]Analisys QBR By Machine Report'!$C$109:$BD$166,14,FALSE)</f>
        <v>130</v>
      </c>
      <c r="T41" s="13">
        <f ca="1">VLOOKUP($B41,'[12]Analisys QBR By Machine Report'!$C$109:$BD$166,15,FALSE)</f>
        <v>0</v>
      </c>
      <c r="U41" s="13">
        <f ca="1">VLOOKUP($B41,'[12]Analisys QBR By Machine Report'!$C$109:$BD$166,16,FALSE)</f>
        <v>0</v>
      </c>
      <c r="V41" s="13">
        <f ca="1">VLOOKUP($B41,'[12]Analisys QBR By Machine Report'!$C$109:$BD$166,17,FALSE)</f>
        <v>0</v>
      </c>
      <c r="W41" s="13">
        <f ca="1">VLOOKUP($B41,'[12]Analisys QBR By Machine Report'!$C$109:$BD$166,18,FALSE)</f>
        <v>0</v>
      </c>
      <c r="X41" s="13">
        <f ca="1">VLOOKUP($B41,'[12]Analisys QBR By Machine Report'!$C$109:$BD$166,19,FALSE)</f>
        <v>0</v>
      </c>
      <c r="Y41" s="13">
        <f ca="1">VLOOKUP($B41,'[12]Analisys QBR By Machine Report'!$C$109:$BD$166,20,FALSE)</f>
        <v>0</v>
      </c>
      <c r="Z41" s="13">
        <f ca="1">VLOOKUP($B41,'[12]Analisys QBR By Machine Report'!$C$109:$BD$166,21,FALSE)</f>
        <v>250</v>
      </c>
      <c r="AA41" s="13">
        <f ca="1">VLOOKUP($B41,'[12]Analisys QBR By Machine Report'!$C$109:$BD$166,22,FALSE)</f>
        <v>110</v>
      </c>
      <c r="AB41" s="13">
        <f ca="1">VLOOKUP($B41,'[12]Analisys QBR By Machine Report'!$C$109:$BD$166,23,FALSE)</f>
        <v>130</v>
      </c>
      <c r="AC41" s="13">
        <f ca="1">VLOOKUP($B41,'[12]Analisys QBR By Machine Report'!$C$109:$BD$166,24,FALSE)</f>
        <v>10</v>
      </c>
      <c r="AD41" s="13">
        <f ca="1">VLOOKUP($B41,'[12]Analisys QBR By Machine Report'!$C$109:$BD$166,25,FALSE)</f>
        <v>0</v>
      </c>
      <c r="AE41" s="13">
        <f ca="1">VLOOKUP($B41,'[12]Analisys QBR By Machine Report'!$C$109:$BD$166,26,FALSE)</f>
        <v>0</v>
      </c>
      <c r="AF41" s="13">
        <f ca="1">VLOOKUP($B41,'[12]Analisys QBR By Machine Report'!$C$109:$BD$166,27,FALSE)</f>
        <v>0</v>
      </c>
      <c r="AG41" s="13">
        <f ca="1">VLOOKUP($B41,'[12]Analisys QBR By Machine Report'!$C$109:$BD$166,28,FALSE)</f>
        <v>0</v>
      </c>
      <c r="AH41" s="13">
        <f ca="1">VLOOKUP($B41,'[12]Analisys QBR By Machine Report'!$C$109:$BD$166,29,FALSE)</f>
        <v>0</v>
      </c>
      <c r="AI41" s="13">
        <f ca="1">VLOOKUP($B41,'[12]Analisys QBR By Machine Report'!$C$109:$BD$166,30,FALSE)</f>
        <v>1185</v>
      </c>
      <c r="AJ41" s="13">
        <f ca="1">VLOOKUP($B41,'[12]Analisys QBR By Machine Report'!$C$109:$BD$166,31,FALSE)</f>
        <v>0</v>
      </c>
      <c r="AK41" s="13">
        <f ca="1">VLOOKUP($B41,'[12]Analisys QBR By Machine Report'!$C$109:$BD$166,32,FALSE)</f>
        <v>0</v>
      </c>
      <c r="AL41" s="13">
        <f ca="1">VLOOKUP($B41,'[12]Analisys QBR By Machine Report'!$C$109:$BD$166,33,FALSE)</f>
        <v>330</v>
      </c>
      <c r="AM41" s="13">
        <f ca="1">VLOOKUP($B41,'[12]Analisys QBR By Machine Report'!$C$109:$BD$166,34,FALSE)</f>
        <v>0</v>
      </c>
      <c r="AN41" s="13">
        <f ca="1">VLOOKUP($B41,'[12]Analisys QBR By Machine Report'!$C$109:$BD$166,35,FALSE)</f>
        <v>165</v>
      </c>
      <c r="AO41" s="13">
        <f ca="1">VLOOKUP($B41,'[12]Analisys QBR By Machine Report'!$C$109:$BD$166,36,FALSE)</f>
        <v>0</v>
      </c>
      <c r="AP41" s="13">
        <f ca="1">VLOOKUP($B41,'[12]Analisys QBR By Machine Report'!$C$109:$BD$166,37,FALSE)</f>
        <v>0</v>
      </c>
      <c r="AQ41" s="13">
        <f ca="1">VLOOKUP($B41,'[12]Analisys QBR By Machine Report'!$C$109:$BD$166,38,FALSE)</f>
        <v>0</v>
      </c>
      <c r="AR41" s="13">
        <f ca="1">VLOOKUP($B41,'[12]Analisys QBR By Machine Report'!$C$109:$BD$166,39,FALSE)</f>
        <v>480</v>
      </c>
      <c r="AS41" s="13">
        <f ca="1">VLOOKUP($B41,'[12]Analisys QBR By Machine Report'!$C$109:$BD$166,40,FALSE)</f>
        <v>105</v>
      </c>
      <c r="AT41" s="13">
        <f ca="1">VLOOKUP($B41,'[12]Analisys QBR By Machine Report'!$C$109:$BD$166,41,FALSE)</f>
        <v>0</v>
      </c>
      <c r="AU41" s="13">
        <f ca="1">VLOOKUP($B41,'[12]Analisys QBR By Machine Report'!$C$109:$BD$166,42,FALSE)</f>
        <v>0</v>
      </c>
      <c r="AV41" s="13">
        <f ca="1">VLOOKUP($B41,'[12]Analisys QBR By Machine Report'!$C$109:$BD$166,43,FALSE)</f>
        <v>0</v>
      </c>
      <c r="AW41" s="13">
        <f ca="1">VLOOKUP($B41,'[12]Analisys QBR By Machine Report'!$C$109:$BD$166,44,FALSE)</f>
        <v>0</v>
      </c>
      <c r="AX41" s="13">
        <f ca="1">VLOOKUP($B41,'[12]Analisys QBR By Machine Report'!$C$109:$BD$166,45,FALSE)</f>
        <v>0</v>
      </c>
      <c r="AY41" s="13">
        <f ca="1">VLOOKUP($B41,'[12]Analisys QBR By Machine Report'!$C$109:$BD$166,46,FALSE)</f>
        <v>0</v>
      </c>
      <c r="AZ41" s="13">
        <f ca="1">VLOOKUP($B41,'[12]Analisys QBR By Machine Report'!$C$109:$BD$166,47,FALSE)</f>
        <v>105</v>
      </c>
      <c r="BA41" s="13">
        <f ca="1">VLOOKUP($B41,'[12]Analisys QBR By Machine Report'!$C$109:$BD$166,48,FALSE)</f>
        <v>0</v>
      </c>
      <c r="BB41" s="13">
        <f ca="1">VLOOKUP($B41,'[12]Analisys QBR By Machine Report'!$C$109:$BD$166,49,FALSE)</f>
        <v>0</v>
      </c>
      <c r="BC41" s="13">
        <f ca="1">VLOOKUP($B41,'[12]Analisys QBR By Machine Report'!$C$109:$BD$166,50,FALSE)</f>
        <v>0</v>
      </c>
      <c r="BD41" s="13">
        <f ca="1">VLOOKUP($B41,'[12]Analisys QBR By Machine Report'!$C$109:$BD$166,51,FALSE)</f>
        <v>143837</v>
      </c>
      <c r="BE41" s="13">
        <f ca="1">VLOOKUP($B41,'[12]Analisys QBR By Machine Report'!$C$109:$BD$166,52,FALSE)</f>
        <v>0</v>
      </c>
      <c r="BF41" s="13">
        <f ca="1">VLOOKUP($B41,'[12]Analisys QBR By Machine Report'!$C$109:$BD$166,53,FALSE)</f>
        <v>143837</v>
      </c>
    </row>
    <row r="42" spans="1:58" x14ac:dyDescent="0.25">
      <c r="A42" s="12" t="s">
        <v>98</v>
      </c>
      <c r="B42" s="13">
        <f ca="1">VLOOKUP($B42,'[12]Analisys QBR By Machine Report'!$C$109:$BD$166,2,FALSE)</f>
        <v>25920</v>
      </c>
      <c r="C42" s="14">
        <f ca="1">VLOOKUP($B42,[12]Dasboard_QBR_Report!$B$109:$BL$166,3,FALSE)</f>
        <v>8640</v>
      </c>
      <c r="D42" s="13">
        <f ca="1">VLOOKUP($B42,'[12]Analisys QBR By Machine Report'!$C$109:$BD$166,3,FALSE)</f>
        <v>19860</v>
      </c>
      <c r="E42" s="14">
        <f ca="1">VLOOKUP($B42,[12]Dasboard_QBR_Report!$B$109:$BL$166,5,FALSE)</f>
        <v>2580</v>
      </c>
      <c r="F42" s="13">
        <f t="shared" ca="1" si="0"/>
        <v>6060</v>
      </c>
      <c r="G42" s="13">
        <f t="shared" ca="1" si="1"/>
        <v>1535</v>
      </c>
      <c r="H42" s="13">
        <f ca="1">VLOOKUP($B42,'[12]Analisys QBR By Machine Report'!$C$109:$BD$166,4,FALSE)</f>
        <v>1535</v>
      </c>
      <c r="I42" s="13">
        <f ca="1">VLOOKUP($B42,'[12]Analisys QBR By Machine Report'!$C$109:$BD$166,5,FALSE)</f>
        <v>175</v>
      </c>
      <c r="J42" s="13">
        <f ca="1">VLOOKUP($B42,'[12]Analisys QBR By Machine Report'!$C$109:$BD$166,6,FALSE)</f>
        <v>1360</v>
      </c>
      <c r="K42" s="13">
        <f ca="1">VLOOKUP($B42,'[12]Analisys QBR By Machine Report'!$C$109:$BD$166,7,FALSE)</f>
        <v>0</v>
      </c>
      <c r="L42" s="13">
        <f ca="1">VLOOKUP($B42,'[12]Analisys QBR By Machine Report'!$C$109:$BD$166,8,FALSE)</f>
        <v>4525</v>
      </c>
      <c r="M42" s="13">
        <f ca="1">VLOOKUP($B42,'[12]Analisys QBR By Machine Report'!$C$109:$BD$166,9,FALSE)</f>
        <v>2211</v>
      </c>
      <c r="N42" s="13">
        <f ca="1">VLOOKUP($B42,[12]Dasboard_QBR_Report!$B$109:$BL$166,18,FALSE)</f>
        <v>2314</v>
      </c>
      <c r="O42" s="13">
        <f ca="1">VLOOKUP($B42,'[12]Analisys QBR By Machine Report'!$C$109:$BD$166,10,FALSE)</f>
        <v>759</v>
      </c>
      <c r="P42" s="13">
        <f ca="1">VLOOKUP($B42,'[12]Analisys QBR By Machine Report'!$C$109:$BD$166,11,FALSE)</f>
        <v>372</v>
      </c>
      <c r="Q42" s="13">
        <f ca="1">VLOOKUP($B42,'[12]Analisys QBR By Machine Report'!$C$109:$BD$166,12,FALSE)</f>
        <v>15</v>
      </c>
      <c r="R42" s="13">
        <f ca="1">VLOOKUP($B42,'[12]Analisys QBR By Machine Report'!$C$109:$BD$166,13,FALSE)</f>
        <v>221</v>
      </c>
      <c r="S42" s="13">
        <f ca="1">VLOOKUP($B42,'[12]Analisys QBR By Machine Report'!$C$109:$BD$166,14,FALSE)</f>
        <v>151</v>
      </c>
      <c r="T42" s="13">
        <f ca="1">VLOOKUP($B42,'[12]Analisys QBR By Machine Report'!$C$109:$BD$166,15,FALSE)</f>
        <v>0</v>
      </c>
      <c r="U42" s="13">
        <f ca="1">VLOOKUP($B42,'[12]Analisys QBR By Machine Report'!$C$109:$BD$166,16,FALSE)</f>
        <v>0</v>
      </c>
      <c r="V42" s="13">
        <f ca="1">VLOOKUP($B42,'[12]Analisys QBR By Machine Report'!$C$109:$BD$166,17,FALSE)</f>
        <v>0</v>
      </c>
      <c r="W42" s="13">
        <f ca="1">VLOOKUP($B42,'[12]Analisys QBR By Machine Report'!$C$109:$BD$166,18,FALSE)</f>
        <v>0</v>
      </c>
      <c r="X42" s="13">
        <f ca="1">VLOOKUP($B42,'[12]Analisys QBR By Machine Report'!$C$109:$BD$166,19,FALSE)</f>
        <v>0</v>
      </c>
      <c r="Y42" s="13">
        <f ca="1">VLOOKUP($B42,'[12]Analisys QBR By Machine Report'!$C$109:$BD$166,20,FALSE)</f>
        <v>0</v>
      </c>
      <c r="Z42" s="13">
        <f ca="1">VLOOKUP($B42,'[12]Analisys QBR By Machine Report'!$C$109:$BD$166,21,FALSE)</f>
        <v>798</v>
      </c>
      <c r="AA42" s="13">
        <f ca="1">VLOOKUP($B42,'[12]Analisys QBR By Machine Report'!$C$109:$BD$166,22,FALSE)</f>
        <v>470</v>
      </c>
      <c r="AB42" s="13">
        <f ca="1">VLOOKUP($B42,'[12]Analisys QBR By Machine Report'!$C$109:$BD$166,23,FALSE)</f>
        <v>148</v>
      </c>
      <c r="AC42" s="13">
        <f ca="1">VLOOKUP($B42,'[12]Analisys QBR By Machine Report'!$C$109:$BD$166,24,FALSE)</f>
        <v>30</v>
      </c>
      <c r="AD42" s="13">
        <f ca="1">VLOOKUP($B42,'[12]Analisys QBR By Machine Report'!$C$109:$BD$166,25,FALSE)</f>
        <v>0</v>
      </c>
      <c r="AE42" s="13">
        <f ca="1">VLOOKUP($B42,'[12]Analisys QBR By Machine Report'!$C$109:$BD$166,26,FALSE)</f>
        <v>150</v>
      </c>
      <c r="AF42" s="13">
        <f ca="1">VLOOKUP($B42,'[12]Analisys QBR By Machine Report'!$C$109:$BD$166,27,FALSE)</f>
        <v>0</v>
      </c>
      <c r="AG42" s="13">
        <f ca="1">VLOOKUP($B42,'[12]Analisys QBR By Machine Report'!$C$109:$BD$166,28,FALSE)</f>
        <v>0</v>
      </c>
      <c r="AH42" s="13">
        <f ca="1">VLOOKUP($B42,'[12]Analisys QBR By Machine Report'!$C$109:$BD$166,29,FALSE)</f>
        <v>0</v>
      </c>
      <c r="AI42" s="13">
        <f ca="1">VLOOKUP($B42,'[12]Analisys QBR By Machine Report'!$C$109:$BD$166,30,FALSE)</f>
        <v>757</v>
      </c>
      <c r="AJ42" s="13">
        <f ca="1">VLOOKUP($B42,'[12]Analisys QBR By Machine Report'!$C$109:$BD$166,31,FALSE)</f>
        <v>0</v>
      </c>
      <c r="AK42" s="13">
        <f ca="1">VLOOKUP($B42,'[12]Analisys QBR By Machine Report'!$C$109:$BD$166,32,FALSE)</f>
        <v>0</v>
      </c>
      <c r="AL42" s="13">
        <f ca="1">VLOOKUP($B42,'[12]Analisys QBR By Machine Report'!$C$109:$BD$166,33,FALSE)</f>
        <v>300</v>
      </c>
      <c r="AM42" s="13">
        <f ca="1">VLOOKUP($B42,'[12]Analisys QBR By Machine Report'!$C$109:$BD$166,34,FALSE)</f>
        <v>0</v>
      </c>
      <c r="AN42" s="13">
        <f ca="1">VLOOKUP($B42,'[12]Analisys QBR By Machine Report'!$C$109:$BD$166,35,FALSE)</f>
        <v>165</v>
      </c>
      <c r="AO42" s="13">
        <f ca="1">VLOOKUP($B42,'[12]Analisys QBR By Machine Report'!$C$109:$BD$166,36,FALSE)</f>
        <v>0</v>
      </c>
      <c r="AP42" s="13">
        <f ca="1">VLOOKUP($B42,'[12]Analisys QBR By Machine Report'!$C$109:$BD$166,37,FALSE)</f>
        <v>20</v>
      </c>
      <c r="AQ42" s="13">
        <f ca="1">VLOOKUP($B42,'[12]Analisys QBR By Machine Report'!$C$109:$BD$166,38,FALSE)</f>
        <v>0</v>
      </c>
      <c r="AR42" s="13">
        <f ca="1">VLOOKUP($B42,'[12]Analisys QBR By Machine Report'!$C$109:$BD$166,39,FALSE)</f>
        <v>142</v>
      </c>
      <c r="AS42" s="13">
        <f ca="1">VLOOKUP($B42,'[12]Analisys QBR By Machine Report'!$C$109:$BD$166,40,FALSE)</f>
        <v>71</v>
      </c>
      <c r="AT42" s="13">
        <f ca="1">VLOOKUP($B42,'[12]Analisys QBR By Machine Report'!$C$109:$BD$166,41,FALSE)</f>
        <v>0</v>
      </c>
      <c r="AU42" s="13">
        <f ca="1">VLOOKUP($B42,'[12]Analisys QBR By Machine Report'!$C$109:$BD$166,42,FALSE)</f>
        <v>0</v>
      </c>
      <c r="AV42" s="13">
        <f ca="1">VLOOKUP($B42,'[12]Analisys QBR By Machine Report'!$C$109:$BD$166,43,FALSE)</f>
        <v>0</v>
      </c>
      <c r="AW42" s="13">
        <f ca="1">VLOOKUP($B42,'[12]Analisys QBR By Machine Report'!$C$109:$BD$166,44,FALSE)</f>
        <v>0</v>
      </c>
      <c r="AX42" s="13">
        <f ca="1">VLOOKUP($B42,'[12]Analisys QBR By Machine Report'!$C$109:$BD$166,45,FALSE)</f>
        <v>0</v>
      </c>
      <c r="AY42" s="13">
        <f ca="1">VLOOKUP($B42,'[12]Analisys QBR By Machine Report'!$C$109:$BD$166,46,FALSE)</f>
        <v>0</v>
      </c>
      <c r="AZ42" s="13">
        <f ca="1">VLOOKUP($B42,'[12]Analisys QBR By Machine Report'!$C$109:$BD$166,47,FALSE)</f>
        <v>59</v>
      </c>
      <c r="BA42" s="13">
        <f ca="1">VLOOKUP($B42,'[12]Analisys QBR By Machine Report'!$C$109:$BD$166,48,FALSE)</f>
        <v>0</v>
      </c>
      <c r="BB42" s="13">
        <f ca="1">VLOOKUP($B42,'[12]Analisys QBR By Machine Report'!$C$109:$BD$166,49,FALSE)</f>
        <v>0</v>
      </c>
      <c r="BC42" s="13">
        <f ca="1">VLOOKUP($B42,'[12]Analisys QBR By Machine Report'!$C$109:$BD$166,50,FALSE)</f>
        <v>0</v>
      </c>
      <c r="BD42" s="13">
        <f ca="1">VLOOKUP($B42,'[12]Analisys QBR By Machine Report'!$C$109:$BD$166,51,FALSE)</f>
        <v>292551</v>
      </c>
      <c r="BE42" s="13">
        <f ca="1">VLOOKUP($B42,'[12]Analisys QBR By Machine Report'!$C$109:$BD$166,52,FALSE)</f>
        <v>26</v>
      </c>
      <c r="BF42" s="13">
        <f ca="1">VLOOKUP($B42,'[12]Analisys QBR By Machine Report'!$C$109:$BD$166,53,FALSE)</f>
        <v>292525</v>
      </c>
    </row>
    <row r="43" spans="1:58" x14ac:dyDescent="0.25">
      <c r="A43" s="9" t="s">
        <v>99</v>
      </c>
      <c r="B43" s="10">
        <f ca="1">VLOOKUP($B43,'[12]Analisys QBR By Machine Report'!$C$109:$BD$166,2,FALSE)</f>
        <v>25920</v>
      </c>
      <c r="C43" s="11">
        <f ca="1">VLOOKUP($B43,[12]Dasboard_QBR_Report!$B$109:$BL$166,3,FALSE)</f>
        <v>8640</v>
      </c>
      <c r="D43" s="10">
        <f ca="1">VLOOKUP($B43,'[12]Analisys QBR By Machine Report'!$C$109:$BD$166,3,FALSE)</f>
        <v>24900</v>
      </c>
      <c r="E43" s="11">
        <f ca="1">VLOOKUP($B43,[12]Dasboard_QBR_Report!$B$109:$BL$166,5,FALSE)</f>
        <v>7620</v>
      </c>
      <c r="F43" s="10">
        <f t="shared" ca="1" si="0"/>
        <v>1020</v>
      </c>
      <c r="G43" s="10">
        <f t="shared" ca="1" si="1"/>
        <v>360</v>
      </c>
      <c r="H43" s="10">
        <f ca="1">VLOOKUP($B43,'[12]Analisys QBR By Machine Report'!$C$109:$BD$166,4,FALSE)</f>
        <v>360</v>
      </c>
      <c r="I43" s="10">
        <f ca="1">VLOOKUP($B43,'[12]Analisys QBR By Machine Report'!$C$109:$BD$166,5,FALSE)</f>
        <v>0</v>
      </c>
      <c r="J43" s="10">
        <f ca="1">VLOOKUP($B43,'[12]Analisys QBR By Machine Report'!$C$109:$BD$166,6,FALSE)</f>
        <v>360</v>
      </c>
      <c r="K43" s="10">
        <f ca="1">VLOOKUP($B43,'[12]Analisys QBR By Machine Report'!$C$109:$BD$166,7,FALSE)</f>
        <v>0</v>
      </c>
      <c r="L43" s="10">
        <f ca="1">VLOOKUP($B43,'[12]Analisys QBR By Machine Report'!$C$109:$BD$166,8,FALSE)</f>
        <v>660</v>
      </c>
      <c r="M43" s="10">
        <f ca="1">VLOOKUP($B43,'[12]Analisys QBR By Machine Report'!$C$109:$BD$166,9,FALSE)</f>
        <v>100</v>
      </c>
      <c r="N43" s="10">
        <f ca="1">VLOOKUP($B43,[12]Dasboard_QBR_Report!$B$109:$BL$166,18,FALSE)</f>
        <v>560</v>
      </c>
      <c r="O43" s="10">
        <f ca="1">VLOOKUP($B43,'[12]Analisys QBR By Machine Report'!$C$109:$BD$166,10,FALSE)</f>
        <v>17</v>
      </c>
      <c r="P43" s="10">
        <f ca="1">VLOOKUP($B43,'[12]Analisys QBR By Machine Report'!$C$109:$BD$166,11,FALSE)</f>
        <v>6</v>
      </c>
      <c r="Q43" s="10">
        <f ca="1">VLOOKUP($B43,'[12]Analisys QBR By Machine Report'!$C$109:$BD$166,12,FALSE)</f>
        <v>6</v>
      </c>
      <c r="R43" s="10">
        <f ca="1">VLOOKUP($B43,'[12]Analisys QBR By Machine Report'!$C$109:$BD$166,13,FALSE)</f>
        <v>5</v>
      </c>
      <c r="S43" s="10">
        <f ca="1">VLOOKUP($B43,'[12]Analisys QBR By Machine Report'!$C$109:$BD$166,14,FALSE)</f>
        <v>0</v>
      </c>
      <c r="T43" s="10">
        <f ca="1">VLOOKUP($B43,'[12]Analisys QBR By Machine Report'!$C$109:$BD$166,15,FALSE)</f>
        <v>0</v>
      </c>
      <c r="U43" s="10">
        <f ca="1">VLOOKUP($B43,'[12]Analisys QBR By Machine Report'!$C$109:$BD$166,16,FALSE)</f>
        <v>0</v>
      </c>
      <c r="V43" s="10">
        <f ca="1">VLOOKUP($B43,'[12]Analisys QBR By Machine Report'!$C$109:$BD$166,17,FALSE)</f>
        <v>0</v>
      </c>
      <c r="W43" s="10">
        <f ca="1">VLOOKUP($B43,'[12]Analisys QBR By Machine Report'!$C$109:$BD$166,18,FALSE)</f>
        <v>0</v>
      </c>
      <c r="X43" s="10">
        <f ca="1">VLOOKUP($B43,'[12]Analisys QBR By Machine Report'!$C$109:$BD$166,19,FALSE)</f>
        <v>0</v>
      </c>
      <c r="Y43" s="10">
        <f ca="1">VLOOKUP($B43,'[12]Analisys QBR By Machine Report'!$C$109:$BD$166,20,FALSE)</f>
        <v>0</v>
      </c>
      <c r="Z43" s="10">
        <f ca="1">VLOOKUP($B43,'[12]Analisys QBR By Machine Report'!$C$109:$BD$166,21,FALSE)</f>
        <v>333</v>
      </c>
      <c r="AA43" s="10">
        <f ca="1">VLOOKUP($B43,'[12]Analisys QBR By Machine Report'!$C$109:$BD$166,22,FALSE)</f>
        <v>125</v>
      </c>
      <c r="AB43" s="10">
        <f ca="1">VLOOKUP($B43,'[12]Analisys QBR By Machine Report'!$C$109:$BD$166,23,FALSE)</f>
        <v>145</v>
      </c>
      <c r="AC43" s="10">
        <f ca="1">VLOOKUP($B43,'[12]Analisys QBR By Machine Report'!$C$109:$BD$166,24,FALSE)</f>
        <v>3</v>
      </c>
      <c r="AD43" s="10">
        <f ca="1">VLOOKUP($B43,'[12]Analisys QBR By Machine Report'!$C$109:$BD$166,25,FALSE)</f>
        <v>0</v>
      </c>
      <c r="AE43" s="10">
        <f ca="1">VLOOKUP($B43,'[12]Analisys QBR By Machine Report'!$C$109:$BD$166,26,FALSE)</f>
        <v>60</v>
      </c>
      <c r="AF43" s="10">
        <f ca="1">VLOOKUP($B43,'[12]Analisys QBR By Machine Report'!$C$109:$BD$166,27,FALSE)</f>
        <v>0</v>
      </c>
      <c r="AG43" s="10">
        <f ca="1">VLOOKUP($B43,'[12]Analisys QBR By Machine Report'!$C$109:$BD$166,28,FALSE)</f>
        <v>0</v>
      </c>
      <c r="AH43" s="10">
        <f ca="1">VLOOKUP($B43,'[12]Analisys QBR By Machine Report'!$C$109:$BD$166,29,FALSE)</f>
        <v>0</v>
      </c>
      <c r="AI43" s="10">
        <f ca="1">VLOOKUP($B43,'[12]Analisys QBR By Machine Report'!$C$109:$BD$166,30,FALSE)</f>
        <v>210</v>
      </c>
      <c r="AJ43" s="10">
        <f ca="1">VLOOKUP($B43,'[12]Analisys QBR By Machine Report'!$C$109:$BD$166,31,FALSE)</f>
        <v>150</v>
      </c>
      <c r="AK43" s="10">
        <f ca="1">VLOOKUP($B43,'[12]Analisys QBR By Machine Report'!$C$109:$BD$166,32,FALSE)</f>
        <v>0</v>
      </c>
      <c r="AL43" s="10">
        <f ca="1">VLOOKUP($B43,'[12]Analisys QBR By Machine Report'!$C$109:$BD$166,33,FALSE)</f>
        <v>30</v>
      </c>
      <c r="AM43" s="10">
        <f ca="1">VLOOKUP($B43,'[12]Analisys QBR By Machine Report'!$C$109:$BD$166,34,FALSE)</f>
        <v>0</v>
      </c>
      <c r="AN43" s="10">
        <f ca="1">VLOOKUP($B43,'[12]Analisys QBR By Machine Report'!$C$109:$BD$166,35,FALSE)</f>
        <v>15</v>
      </c>
      <c r="AO43" s="10">
        <f ca="1">VLOOKUP($B43,'[12]Analisys QBR By Machine Report'!$C$109:$BD$166,36,FALSE)</f>
        <v>0</v>
      </c>
      <c r="AP43" s="10">
        <f ca="1">VLOOKUP($B43,'[12]Analisys QBR By Machine Report'!$C$109:$BD$166,37,FALSE)</f>
        <v>0</v>
      </c>
      <c r="AQ43" s="10">
        <f ca="1">VLOOKUP($B43,'[12]Analisys QBR By Machine Report'!$C$109:$BD$166,38,FALSE)</f>
        <v>0</v>
      </c>
      <c r="AR43" s="10">
        <f ca="1">VLOOKUP($B43,'[12]Analisys QBR By Machine Report'!$C$109:$BD$166,39,FALSE)</f>
        <v>0</v>
      </c>
      <c r="AS43" s="10">
        <f ca="1">VLOOKUP($B43,'[12]Analisys QBR By Machine Report'!$C$109:$BD$166,40,FALSE)</f>
        <v>0</v>
      </c>
      <c r="AT43" s="10">
        <f ca="1">VLOOKUP($B43,'[12]Analisys QBR By Machine Report'!$C$109:$BD$166,41,FALSE)</f>
        <v>0</v>
      </c>
      <c r="AU43" s="10">
        <f ca="1">VLOOKUP($B43,'[12]Analisys QBR By Machine Report'!$C$109:$BD$166,42,FALSE)</f>
        <v>0</v>
      </c>
      <c r="AV43" s="10">
        <f ca="1">VLOOKUP($B43,'[12]Analisys QBR By Machine Report'!$C$109:$BD$166,43,FALSE)</f>
        <v>0</v>
      </c>
      <c r="AW43" s="10">
        <f ca="1">VLOOKUP($B43,'[12]Analisys QBR By Machine Report'!$C$109:$BD$166,44,FALSE)</f>
        <v>0</v>
      </c>
      <c r="AX43" s="10">
        <f ca="1">VLOOKUP($B43,'[12]Analisys QBR By Machine Report'!$C$109:$BD$166,45,FALSE)</f>
        <v>0</v>
      </c>
      <c r="AY43" s="10">
        <f ca="1">VLOOKUP($B43,'[12]Analisys QBR By Machine Report'!$C$109:$BD$166,46,FALSE)</f>
        <v>0</v>
      </c>
      <c r="AZ43" s="10">
        <f ca="1">VLOOKUP($B43,'[12]Analisys QBR By Machine Report'!$C$109:$BD$166,47,FALSE)</f>
        <v>15</v>
      </c>
      <c r="BA43" s="10">
        <f ca="1">VLOOKUP($B43,'[12]Analisys QBR By Machine Report'!$C$109:$BD$166,48,FALSE)</f>
        <v>0</v>
      </c>
      <c r="BB43" s="10">
        <f ca="1">VLOOKUP($B43,'[12]Analisys QBR By Machine Report'!$C$109:$BD$166,49,FALSE)</f>
        <v>0</v>
      </c>
      <c r="BC43" s="10">
        <f ca="1">VLOOKUP($B43,'[12]Analisys QBR By Machine Report'!$C$109:$BD$166,50,FALSE)</f>
        <v>0</v>
      </c>
      <c r="BD43" s="10">
        <f ca="1">VLOOKUP($B43,'[12]Analisys QBR By Machine Report'!$C$109:$BD$166,51,FALSE)</f>
        <v>127.1</v>
      </c>
      <c r="BE43" s="10">
        <f ca="1">VLOOKUP($B43,'[12]Analisys QBR By Machine Report'!$C$109:$BD$166,52,FALSE)</f>
        <v>0.93</v>
      </c>
      <c r="BF43" s="10">
        <f ca="1">VLOOKUP($B43,'[12]Analisys QBR By Machine Report'!$C$109:$BD$166,53,FALSE)</f>
        <v>126.17</v>
      </c>
    </row>
    <row r="44" spans="1:58" x14ac:dyDescent="0.25">
      <c r="A44" s="12" t="s">
        <v>100</v>
      </c>
      <c r="B44" s="13">
        <f ca="1">VLOOKUP($B44,'[12]Analisys QBR By Machine Report'!$C$109:$BD$166,2,FALSE)</f>
        <v>25920</v>
      </c>
      <c r="C44" s="14">
        <f ca="1">VLOOKUP($B44,[12]Dasboard_QBR_Report!$B$109:$BL$166,3,FALSE)</f>
        <v>8640</v>
      </c>
      <c r="D44" s="13">
        <f ca="1">VLOOKUP($B44,'[12]Analisys QBR By Machine Report'!$C$109:$BD$166,3,FALSE)</f>
        <v>24900</v>
      </c>
      <c r="E44" s="14">
        <f ca="1">VLOOKUP($B44,[12]Dasboard_QBR_Report!$B$109:$BL$166,5,FALSE)</f>
        <v>7620</v>
      </c>
      <c r="F44" s="13">
        <f t="shared" ca="1" si="0"/>
        <v>1020</v>
      </c>
      <c r="G44" s="13">
        <f t="shared" ca="1" si="1"/>
        <v>360</v>
      </c>
      <c r="H44" s="13">
        <f ca="1">VLOOKUP($B44,'[12]Analisys QBR By Machine Report'!$C$109:$BD$166,4,FALSE)</f>
        <v>360</v>
      </c>
      <c r="I44" s="13">
        <f ca="1">VLOOKUP($B44,'[12]Analisys QBR By Machine Report'!$C$109:$BD$166,5,FALSE)</f>
        <v>0</v>
      </c>
      <c r="J44" s="13">
        <f ca="1">VLOOKUP($B44,'[12]Analisys QBR By Machine Report'!$C$109:$BD$166,6,FALSE)</f>
        <v>360</v>
      </c>
      <c r="K44" s="13">
        <f ca="1">VLOOKUP($B44,'[12]Analisys QBR By Machine Report'!$C$109:$BD$166,7,FALSE)</f>
        <v>0</v>
      </c>
      <c r="L44" s="13">
        <f ca="1">VLOOKUP($B44,'[12]Analisys QBR By Machine Report'!$C$109:$BD$166,8,FALSE)</f>
        <v>660</v>
      </c>
      <c r="M44" s="13">
        <f ca="1">VLOOKUP($B44,'[12]Analisys QBR By Machine Report'!$C$109:$BD$166,9,FALSE)</f>
        <v>100</v>
      </c>
      <c r="N44" s="13">
        <f ca="1">VLOOKUP($B44,[12]Dasboard_QBR_Report!$B$109:$BL$166,18,FALSE)</f>
        <v>560</v>
      </c>
      <c r="O44" s="13">
        <f ca="1">VLOOKUP($B44,'[12]Analisys QBR By Machine Report'!$C$109:$BD$166,10,FALSE)</f>
        <v>17</v>
      </c>
      <c r="P44" s="13">
        <f ca="1">VLOOKUP($B44,'[12]Analisys QBR By Machine Report'!$C$109:$BD$166,11,FALSE)</f>
        <v>6</v>
      </c>
      <c r="Q44" s="13">
        <f ca="1">VLOOKUP($B44,'[12]Analisys QBR By Machine Report'!$C$109:$BD$166,12,FALSE)</f>
        <v>6</v>
      </c>
      <c r="R44" s="13">
        <f ca="1">VLOOKUP($B44,'[12]Analisys QBR By Machine Report'!$C$109:$BD$166,13,FALSE)</f>
        <v>5</v>
      </c>
      <c r="S44" s="13">
        <f ca="1">VLOOKUP($B44,'[12]Analisys QBR By Machine Report'!$C$109:$BD$166,14,FALSE)</f>
        <v>0</v>
      </c>
      <c r="T44" s="13">
        <f ca="1">VLOOKUP($B44,'[12]Analisys QBR By Machine Report'!$C$109:$BD$166,15,FALSE)</f>
        <v>0</v>
      </c>
      <c r="U44" s="13">
        <f ca="1">VLOOKUP($B44,'[12]Analisys QBR By Machine Report'!$C$109:$BD$166,16,FALSE)</f>
        <v>0</v>
      </c>
      <c r="V44" s="13">
        <f ca="1">VLOOKUP($B44,'[12]Analisys QBR By Machine Report'!$C$109:$BD$166,17,FALSE)</f>
        <v>0</v>
      </c>
      <c r="W44" s="13">
        <f ca="1">VLOOKUP($B44,'[12]Analisys QBR By Machine Report'!$C$109:$BD$166,18,FALSE)</f>
        <v>0</v>
      </c>
      <c r="X44" s="13">
        <f ca="1">VLOOKUP($B44,'[12]Analisys QBR By Machine Report'!$C$109:$BD$166,19,FALSE)</f>
        <v>0</v>
      </c>
      <c r="Y44" s="13">
        <f ca="1">VLOOKUP($B44,'[12]Analisys QBR By Machine Report'!$C$109:$BD$166,20,FALSE)</f>
        <v>0</v>
      </c>
      <c r="Z44" s="13">
        <f ca="1">VLOOKUP($B44,'[12]Analisys QBR By Machine Report'!$C$109:$BD$166,21,FALSE)</f>
        <v>333</v>
      </c>
      <c r="AA44" s="13">
        <f ca="1">VLOOKUP($B44,'[12]Analisys QBR By Machine Report'!$C$109:$BD$166,22,FALSE)</f>
        <v>125</v>
      </c>
      <c r="AB44" s="13">
        <f ca="1">VLOOKUP($B44,'[12]Analisys QBR By Machine Report'!$C$109:$BD$166,23,FALSE)</f>
        <v>145</v>
      </c>
      <c r="AC44" s="13">
        <f ca="1">VLOOKUP($B44,'[12]Analisys QBR By Machine Report'!$C$109:$BD$166,24,FALSE)</f>
        <v>3</v>
      </c>
      <c r="AD44" s="13">
        <f ca="1">VLOOKUP($B44,'[12]Analisys QBR By Machine Report'!$C$109:$BD$166,25,FALSE)</f>
        <v>0</v>
      </c>
      <c r="AE44" s="13">
        <f ca="1">VLOOKUP($B44,'[12]Analisys QBR By Machine Report'!$C$109:$BD$166,26,FALSE)</f>
        <v>60</v>
      </c>
      <c r="AF44" s="13">
        <f ca="1">VLOOKUP($B44,'[12]Analisys QBR By Machine Report'!$C$109:$BD$166,27,FALSE)</f>
        <v>0</v>
      </c>
      <c r="AG44" s="13">
        <f ca="1">VLOOKUP($B44,'[12]Analisys QBR By Machine Report'!$C$109:$BD$166,28,FALSE)</f>
        <v>0</v>
      </c>
      <c r="AH44" s="13">
        <f ca="1">VLOOKUP($B44,'[12]Analisys QBR By Machine Report'!$C$109:$BD$166,29,FALSE)</f>
        <v>0</v>
      </c>
      <c r="AI44" s="13">
        <f ca="1">VLOOKUP($B44,'[12]Analisys QBR By Machine Report'!$C$109:$BD$166,30,FALSE)</f>
        <v>210</v>
      </c>
      <c r="AJ44" s="13">
        <f ca="1">VLOOKUP($B44,'[12]Analisys QBR By Machine Report'!$C$109:$BD$166,31,FALSE)</f>
        <v>150</v>
      </c>
      <c r="AK44" s="13">
        <f ca="1">VLOOKUP($B44,'[12]Analisys QBR By Machine Report'!$C$109:$BD$166,32,FALSE)</f>
        <v>0</v>
      </c>
      <c r="AL44" s="13">
        <f ca="1">VLOOKUP($B44,'[12]Analisys QBR By Machine Report'!$C$109:$BD$166,33,FALSE)</f>
        <v>30</v>
      </c>
      <c r="AM44" s="13">
        <f ca="1">VLOOKUP($B44,'[12]Analisys QBR By Machine Report'!$C$109:$BD$166,34,FALSE)</f>
        <v>0</v>
      </c>
      <c r="AN44" s="13">
        <f ca="1">VLOOKUP($B44,'[12]Analisys QBR By Machine Report'!$C$109:$BD$166,35,FALSE)</f>
        <v>15</v>
      </c>
      <c r="AO44" s="13">
        <f ca="1">VLOOKUP($B44,'[12]Analisys QBR By Machine Report'!$C$109:$BD$166,36,FALSE)</f>
        <v>0</v>
      </c>
      <c r="AP44" s="13">
        <f ca="1">VLOOKUP($B44,'[12]Analisys QBR By Machine Report'!$C$109:$BD$166,37,FALSE)</f>
        <v>0</v>
      </c>
      <c r="AQ44" s="13">
        <f ca="1">VLOOKUP($B44,'[12]Analisys QBR By Machine Report'!$C$109:$BD$166,38,FALSE)</f>
        <v>0</v>
      </c>
      <c r="AR44" s="13">
        <f ca="1">VLOOKUP($B44,'[12]Analisys QBR By Machine Report'!$C$109:$BD$166,39,FALSE)</f>
        <v>0</v>
      </c>
      <c r="AS44" s="13">
        <f ca="1">VLOOKUP($B44,'[12]Analisys QBR By Machine Report'!$C$109:$BD$166,40,FALSE)</f>
        <v>0</v>
      </c>
      <c r="AT44" s="13">
        <f ca="1">VLOOKUP($B44,'[12]Analisys QBR By Machine Report'!$C$109:$BD$166,41,FALSE)</f>
        <v>0</v>
      </c>
      <c r="AU44" s="13">
        <f ca="1">VLOOKUP($B44,'[12]Analisys QBR By Machine Report'!$C$109:$BD$166,42,FALSE)</f>
        <v>0</v>
      </c>
      <c r="AV44" s="13">
        <f ca="1">VLOOKUP($B44,'[12]Analisys QBR By Machine Report'!$C$109:$BD$166,43,FALSE)</f>
        <v>0</v>
      </c>
      <c r="AW44" s="13">
        <f ca="1">VLOOKUP($B44,'[12]Analisys QBR By Machine Report'!$C$109:$BD$166,44,FALSE)</f>
        <v>0</v>
      </c>
      <c r="AX44" s="13">
        <f ca="1">VLOOKUP($B44,'[12]Analisys QBR By Machine Report'!$C$109:$BD$166,45,FALSE)</f>
        <v>0</v>
      </c>
      <c r="AY44" s="13">
        <f ca="1">VLOOKUP($B44,'[12]Analisys QBR By Machine Report'!$C$109:$BD$166,46,FALSE)</f>
        <v>0</v>
      </c>
      <c r="AZ44" s="13">
        <f ca="1">VLOOKUP($B44,'[12]Analisys QBR By Machine Report'!$C$109:$BD$166,47,FALSE)</f>
        <v>15</v>
      </c>
      <c r="BA44" s="13">
        <f ca="1">VLOOKUP($B44,'[12]Analisys QBR By Machine Report'!$C$109:$BD$166,48,FALSE)</f>
        <v>0</v>
      </c>
      <c r="BB44" s="13">
        <f ca="1">VLOOKUP($B44,'[12]Analisys QBR By Machine Report'!$C$109:$BD$166,49,FALSE)</f>
        <v>0</v>
      </c>
      <c r="BC44" s="13">
        <f ca="1">VLOOKUP($B44,'[12]Analisys QBR By Machine Report'!$C$109:$BD$166,50,FALSE)</f>
        <v>0</v>
      </c>
      <c r="BD44" s="13">
        <f ca="1">VLOOKUP($B44,'[12]Analisys QBR By Machine Report'!$C$109:$BD$166,51,FALSE)</f>
        <v>127.1</v>
      </c>
      <c r="BE44" s="13">
        <f ca="1">VLOOKUP($B44,'[12]Analisys QBR By Machine Report'!$C$109:$BD$166,52,FALSE)</f>
        <v>0.93</v>
      </c>
      <c r="BF44" s="13">
        <f ca="1">VLOOKUP($B44,'[12]Analisys QBR By Machine Report'!$C$109:$BD$166,53,FALSE)</f>
        <v>126.17</v>
      </c>
    </row>
    <row r="45" spans="1:58" x14ac:dyDescent="0.25">
      <c r="A45" s="9" t="s">
        <v>101</v>
      </c>
      <c r="B45" s="10">
        <f ca="1">VLOOKUP($B45,'[12]Analisys QBR By Machine Report'!$C$109:$BD$166,2,FALSE)</f>
        <v>25920</v>
      </c>
      <c r="C45" s="11">
        <f ca="1">VLOOKUP($B45,[12]Dasboard_QBR_Report!$B$109:$BL$166,3,FALSE)</f>
        <v>8640</v>
      </c>
      <c r="D45" s="10">
        <f ca="1">VLOOKUP($B45,'[12]Analisys QBR By Machine Report'!$C$109:$BD$166,3,FALSE)</f>
        <v>24390</v>
      </c>
      <c r="E45" s="11">
        <f ca="1">VLOOKUP($B45,[12]Dasboard_QBR_Report!$B$109:$BL$166,5,FALSE)</f>
        <v>7110</v>
      </c>
      <c r="F45" s="10">
        <f t="shared" ca="1" si="0"/>
        <v>1530</v>
      </c>
      <c r="G45" s="10">
        <f t="shared" ca="1" si="1"/>
        <v>60</v>
      </c>
      <c r="H45" s="10">
        <f ca="1">VLOOKUP($B45,'[12]Analisys QBR By Machine Report'!$C$109:$BD$166,4,FALSE)</f>
        <v>60</v>
      </c>
      <c r="I45" s="10">
        <f ca="1">VLOOKUP($B45,'[12]Analisys QBR By Machine Report'!$C$109:$BD$166,5,FALSE)</f>
        <v>60</v>
      </c>
      <c r="J45" s="10">
        <f ca="1">VLOOKUP($B45,'[12]Analisys QBR By Machine Report'!$C$109:$BD$166,6,FALSE)</f>
        <v>0</v>
      </c>
      <c r="K45" s="10">
        <f ca="1">VLOOKUP($B45,'[12]Analisys QBR By Machine Report'!$C$109:$BD$166,7,FALSE)</f>
        <v>0</v>
      </c>
      <c r="L45" s="10">
        <f ca="1">VLOOKUP($B45,'[12]Analisys QBR By Machine Report'!$C$109:$BD$166,8,FALSE)</f>
        <v>1470</v>
      </c>
      <c r="M45" s="10">
        <f ca="1">VLOOKUP($B45,'[12]Analisys QBR By Machine Report'!$C$109:$BD$166,9,FALSE)</f>
        <v>265</v>
      </c>
      <c r="N45" s="10">
        <f ca="1">VLOOKUP($B45,[12]Dasboard_QBR_Report!$B$109:$BL$166,18,FALSE)</f>
        <v>1205</v>
      </c>
      <c r="O45" s="10">
        <f ca="1">VLOOKUP($B45,'[12]Analisys QBR By Machine Report'!$C$109:$BD$166,10,FALSE)</f>
        <v>145</v>
      </c>
      <c r="P45" s="10">
        <f ca="1">VLOOKUP($B45,'[12]Analisys QBR By Machine Report'!$C$109:$BD$166,11,FALSE)</f>
        <v>105</v>
      </c>
      <c r="Q45" s="10">
        <f ca="1">VLOOKUP($B45,'[12]Analisys QBR By Machine Report'!$C$109:$BD$166,12,FALSE)</f>
        <v>0</v>
      </c>
      <c r="R45" s="10">
        <f ca="1">VLOOKUP($B45,'[12]Analisys QBR By Machine Report'!$C$109:$BD$166,13,FALSE)</f>
        <v>40</v>
      </c>
      <c r="S45" s="10">
        <f ca="1">VLOOKUP($B45,'[12]Analisys QBR By Machine Report'!$C$109:$BD$166,14,FALSE)</f>
        <v>0</v>
      </c>
      <c r="T45" s="10">
        <f ca="1">VLOOKUP($B45,'[12]Analisys QBR By Machine Report'!$C$109:$BD$166,15,FALSE)</f>
        <v>0</v>
      </c>
      <c r="U45" s="10">
        <f ca="1">VLOOKUP($B45,'[12]Analisys QBR By Machine Report'!$C$109:$BD$166,16,FALSE)</f>
        <v>0</v>
      </c>
      <c r="V45" s="10">
        <f ca="1">VLOOKUP($B45,'[12]Analisys QBR By Machine Report'!$C$109:$BD$166,17,FALSE)</f>
        <v>0</v>
      </c>
      <c r="W45" s="10">
        <f ca="1">VLOOKUP($B45,'[12]Analisys QBR By Machine Report'!$C$109:$BD$166,18,FALSE)</f>
        <v>0</v>
      </c>
      <c r="X45" s="10">
        <f ca="1">VLOOKUP($B45,'[12]Analisys QBR By Machine Report'!$C$109:$BD$166,19,FALSE)</f>
        <v>0</v>
      </c>
      <c r="Y45" s="10">
        <f ca="1">VLOOKUP($B45,'[12]Analisys QBR By Machine Report'!$C$109:$BD$166,20,FALSE)</f>
        <v>0</v>
      </c>
      <c r="Z45" s="10">
        <f ca="1">VLOOKUP($B45,'[12]Analisys QBR By Machine Report'!$C$109:$BD$166,21,FALSE)</f>
        <v>650</v>
      </c>
      <c r="AA45" s="10">
        <f ca="1">VLOOKUP($B45,'[12]Analisys QBR By Machine Report'!$C$109:$BD$166,22,FALSE)</f>
        <v>255</v>
      </c>
      <c r="AB45" s="10">
        <f ca="1">VLOOKUP($B45,'[12]Analisys QBR By Machine Report'!$C$109:$BD$166,23,FALSE)</f>
        <v>375</v>
      </c>
      <c r="AC45" s="10">
        <f ca="1">VLOOKUP($B45,'[12]Analisys QBR By Machine Report'!$C$109:$BD$166,24,FALSE)</f>
        <v>0</v>
      </c>
      <c r="AD45" s="10">
        <f ca="1">VLOOKUP($B45,'[12]Analisys QBR By Machine Report'!$C$109:$BD$166,25,FALSE)</f>
        <v>0</v>
      </c>
      <c r="AE45" s="10">
        <f ca="1">VLOOKUP($B45,'[12]Analisys QBR By Machine Report'!$C$109:$BD$166,26,FALSE)</f>
        <v>20</v>
      </c>
      <c r="AF45" s="10">
        <f ca="1">VLOOKUP($B45,'[12]Analisys QBR By Machine Report'!$C$109:$BD$166,27,FALSE)</f>
        <v>0</v>
      </c>
      <c r="AG45" s="10">
        <f ca="1">VLOOKUP($B45,'[12]Analisys QBR By Machine Report'!$C$109:$BD$166,28,FALSE)</f>
        <v>0</v>
      </c>
      <c r="AH45" s="10">
        <f ca="1">VLOOKUP($B45,'[12]Analisys QBR By Machine Report'!$C$109:$BD$166,29,FALSE)</f>
        <v>0</v>
      </c>
      <c r="AI45" s="10">
        <f ca="1">VLOOKUP($B45,'[12]Analisys QBR By Machine Report'!$C$109:$BD$166,30,FALSE)</f>
        <v>410</v>
      </c>
      <c r="AJ45" s="10">
        <f ca="1">VLOOKUP($B45,'[12]Analisys QBR By Machine Report'!$C$109:$BD$166,31,FALSE)</f>
        <v>0</v>
      </c>
      <c r="AK45" s="10">
        <f ca="1">VLOOKUP($B45,'[12]Analisys QBR By Machine Report'!$C$109:$BD$166,32,FALSE)</f>
        <v>0</v>
      </c>
      <c r="AL45" s="10">
        <f ca="1">VLOOKUP($B45,'[12]Analisys QBR By Machine Report'!$C$109:$BD$166,33,FALSE)</f>
        <v>90</v>
      </c>
      <c r="AM45" s="10">
        <f ca="1">VLOOKUP($B45,'[12]Analisys QBR By Machine Report'!$C$109:$BD$166,34,FALSE)</f>
        <v>0</v>
      </c>
      <c r="AN45" s="10">
        <f ca="1">VLOOKUP($B45,'[12]Analisys QBR By Machine Report'!$C$109:$BD$166,35,FALSE)</f>
        <v>60</v>
      </c>
      <c r="AO45" s="10">
        <f ca="1">VLOOKUP($B45,'[12]Analisys QBR By Machine Report'!$C$109:$BD$166,36,FALSE)</f>
        <v>0</v>
      </c>
      <c r="AP45" s="10">
        <f ca="1">VLOOKUP($B45,'[12]Analisys QBR By Machine Report'!$C$109:$BD$166,37,FALSE)</f>
        <v>0</v>
      </c>
      <c r="AQ45" s="10">
        <f ca="1">VLOOKUP($B45,'[12]Analisys QBR By Machine Report'!$C$109:$BD$166,38,FALSE)</f>
        <v>15</v>
      </c>
      <c r="AR45" s="10">
        <f ca="1">VLOOKUP($B45,'[12]Analisys QBR By Machine Report'!$C$109:$BD$166,39,FALSE)</f>
        <v>30</v>
      </c>
      <c r="AS45" s="10">
        <f ca="1">VLOOKUP($B45,'[12]Analisys QBR By Machine Report'!$C$109:$BD$166,40,FALSE)</f>
        <v>45</v>
      </c>
      <c r="AT45" s="10">
        <f ca="1">VLOOKUP($B45,'[12]Analisys QBR By Machine Report'!$C$109:$BD$166,41,FALSE)</f>
        <v>0</v>
      </c>
      <c r="AU45" s="10">
        <f ca="1">VLOOKUP($B45,'[12]Analisys QBR By Machine Report'!$C$109:$BD$166,42,FALSE)</f>
        <v>0</v>
      </c>
      <c r="AV45" s="10">
        <f ca="1">VLOOKUP($B45,'[12]Analisys QBR By Machine Report'!$C$109:$BD$166,43,FALSE)</f>
        <v>0</v>
      </c>
      <c r="AW45" s="10">
        <f ca="1">VLOOKUP($B45,'[12]Analisys QBR By Machine Report'!$C$109:$BD$166,44,FALSE)</f>
        <v>0</v>
      </c>
      <c r="AX45" s="10">
        <f ca="1">VLOOKUP($B45,'[12]Analisys QBR By Machine Report'!$C$109:$BD$166,45,FALSE)</f>
        <v>0</v>
      </c>
      <c r="AY45" s="10">
        <f ca="1">VLOOKUP($B45,'[12]Analisys QBR By Machine Report'!$C$109:$BD$166,46,FALSE)</f>
        <v>0</v>
      </c>
      <c r="AZ45" s="10">
        <f ca="1">VLOOKUP($B45,'[12]Analisys QBR By Machine Report'!$C$109:$BD$166,47,FALSE)</f>
        <v>50</v>
      </c>
      <c r="BA45" s="10">
        <f ca="1">VLOOKUP($B45,'[12]Analisys QBR By Machine Report'!$C$109:$BD$166,48,FALSE)</f>
        <v>120</v>
      </c>
      <c r="BB45" s="10">
        <f ca="1">VLOOKUP($B45,'[12]Analisys QBR By Machine Report'!$C$109:$BD$166,49,FALSE)</f>
        <v>0</v>
      </c>
      <c r="BC45" s="10">
        <f ca="1">VLOOKUP($B45,'[12]Analisys QBR By Machine Report'!$C$109:$BD$166,50,FALSE)</f>
        <v>0</v>
      </c>
      <c r="BD45" s="10">
        <f ca="1">VLOOKUP($B45,'[12]Analisys QBR By Machine Report'!$C$109:$BD$166,51,FALSE)</f>
        <v>7924</v>
      </c>
      <c r="BE45" s="10">
        <f ca="1">VLOOKUP($B45,'[12]Analisys QBR By Machine Report'!$C$109:$BD$166,52,FALSE)</f>
        <v>70</v>
      </c>
      <c r="BF45" s="10">
        <f ca="1">VLOOKUP($B45,'[12]Analisys QBR By Machine Report'!$C$109:$BD$166,53,FALSE)</f>
        <v>7854</v>
      </c>
    </row>
    <row r="46" spans="1:58" x14ac:dyDescent="0.25">
      <c r="A46" s="12" t="s">
        <v>102</v>
      </c>
      <c r="B46" s="13">
        <f ca="1">VLOOKUP($B46,'[12]Analisys QBR By Machine Report'!$C$109:$BD$166,2,FALSE)</f>
        <v>25920</v>
      </c>
      <c r="C46" s="14">
        <f ca="1">VLOOKUP($B46,[12]Dasboard_QBR_Report!$B$109:$BL$166,3,FALSE)</f>
        <v>8640</v>
      </c>
      <c r="D46" s="13">
        <f ca="1">VLOOKUP($B46,'[12]Analisys QBR By Machine Report'!$C$109:$BD$166,3,FALSE)</f>
        <v>24390</v>
      </c>
      <c r="E46" s="14">
        <f ca="1">VLOOKUP($B46,[12]Dasboard_QBR_Report!$B$109:$BL$166,5,FALSE)</f>
        <v>7110</v>
      </c>
      <c r="F46" s="13">
        <f t="shared" ca="1" si="0"/>
        <v>1530</v>
      </c>
      <c r="G46" s="13">
        <f t="shared" ca="1" si="1"/>
        <v>60</v>
      </c>
      <c r="H46" s="13">
        <f ca="1">VLOOKUP($B46,'[12]Analisys QBR By Machine Report'!$C$109:$BD$166,4,FALSE)</f>
        <v>60</v>
      </c>
      <c r="I46" s="13">
        <f ca="1">VLOOKUP($B46,'[12]Analisys QBR By Machine Report'!$C$109:$BD$166,5,FALSE)</f>
        <v>60</v>
      </c>
      <c r="J46" s="13">
        <f ca="1">VLOOKUP($B46,'[12]Analisys QBR By Machine Report'!$C$109:$BD$166,6,FALSE)</f>
        <v>0</v>
      </c>
      <c r="K46" s="13">
        <f ca="1">VLOOKUP($B46,'[12]Analisys QBR By Machine Report'!$C$109:$BD$166,7,FALSE)</f>
        <v>0</v>
      </c>
      <c r="L46" s="13">
        <f ca="1">VLOOKUP($B46,'[12]Analisys QBR By Machine Report'!$C$109:$BD$166,8,FALSE)</f>
        <v>1470</v>
      </c>
      <c r="M46" s="13">
        <f ca="1">VLOOKUP($B46,'[12]Analisys QBR By Machine Report'!$C$109:$BD$166,9,FALSE)</f>
        <v>265</v>
      </c>
      <c r="N46" s="13">
        <f ca="1">VLOOKUP($B46,[12]Dasboard_QBR_Report!$B$109:$BL$166,18,FALSE)</f>
        <v>1205</v>
      </c>
      <c r="O46" s="13">
        <f ca="1">VLOOKUP($B46,'[12]Analisys QBR By Machine Report'!$C$109:$BD$166,10,FALSE)</f>
        <v>145</v>
      </c>
      <c r="P46" s="13">
        <f ca="1">VLOOKUP($B46,'[12]Analisys QBR By Machine Report'!$C$109:$BD$166,11,FALSE)</f>
        <v>105</v>
      </c>
      <c r="Q46" s="13">
        <f ca="1">VLOOKUP($B46,'[12]Analisys QBR By Machine Report'!$C$109:$BD$166,12,FALSE)</f>
        <v>0</v>
      </c>
      <c r="R46" s="13">
        <f ca="1">VLOOKUP($B46,'[12]Analisys QBR By Machine Report'!$C$109:$BD$166,13,FALSE)</f>
        <v>40</v>
      </c>
      <c r="S46" s="13">
        <f ca="1">VLOOKUP($B46,'[12]Analisys QBR By Machine Report'!$C$109:$BD$166,14,FALSE)</f>
        <v>0</v>
      </c>
      <c r="T46" s="13">
        <f ca="1">VLOOKUP($B46,'[12]Analisys QBR By Machine Report'!$C$109:$BD$166,15,FALSE)</f>
        <v>0</v>
      </c>
      <c r="U46" s="13">
        <f ca="1">VLOOKUP($B46,'[12]Analisys QBR By Machine Report'!$C$109:$BD$166,16,FALSE)</f>
        <v>0</v>
      </c>
      <c r="V46" s="13">
        <f ca="1">VLOOKUP($B46,'[12]Analisys QBR By Machine Report'!$C$109:$BD$166,17,FALSE)</f>
        <v>0</v>
      </c>
      <c r="W46" s="13">
        <f ca="1">VLOOKUP($B46,'[12]Analisys QBR By Machine Report'!$C$109:$BD$166,18,FALSE)</f>
        <v>0</v>
      </c>
      <c r="X46" s="13">
        <f ca="1">VLOOKUP($B46,'[12]Analisys QBR By Machine Report'!$C$109:$BD$166,19,FALSE)</f>
        <v>0</v>
      </c>
      <c r="Y46" s="13">
        <f ca="1">VLOOKUP($B46,'[12]Analisys QBR By Machine Report'!$C$109:$BD$166,20,FALSE)</f>
        <v>0</v>
      </c>
      <c r="Z46" s="13">
        <f ca="1">VLOOKUP($B46,'[12]Analisys QBR By Machine Report'!$C$109:$BD$166,21,FALSE)</f>
        <v>650</v>
      </c>
      <c r="AA46" s="13">
        <f ca="1">VLOOKUP($B46,'[12]Analisys QBR By Machine Report'!$C$109:$BD$166,22,FALSE)</f>
        <v>255</v>
      </c>
      <c r="AB46" s="13">
        <f ca="1">VLOOKUP($B46,'[12]Analisys QBR By Machine Report'!$C$109:$BD$166,23,FALSE)</f>
        <v>375</v>
      </c>
      <c r="AC46" s="13">
        <f ca="1">VLOOKUP($B46,'[12]Analisys QBR By Machine Report'!$C$109:$BD$166,24,FALSE)</f>
        <v>0</v>
      </c>
      <c r="AD46" s="13">
        <f ca="1">VLOOKUP($B46,'[12]Analisys QBR By Machine Report'!$C$109:$BD$166,25,FALSE)</f>
        <v>0</v>
      </c>
      <c r="AE46" s="13">
        <f ca="1">VLOOKUP($B46,'[12]Analisys QBR By Machine Report'!$C$109:$BD$166,26,FALSE)</f>
        <v>20</v>
      </c>
      <c r="AF46" s="13">
        <f ca="1">VLOOKUP($B46,'[12]Analisys QBR By Machine Report'!$C$109:$BD$166,27,FALSE)</f>
        <v>0</v>
      </c>
      <c r="AG46" s="13">
        <f ca="1">VLOOKUP($B46,'[12]Analisys QBR By Machine Report'!$C$109:$BD$166,28,FALSE)</f>
        <v>0</v>
      </c>
      <c r="AH46" s="13">
        <f ca="1">VLOOKUP($B46,'[12]Analisys QBR By Machine Report'!$C$109:$BD$166,29,FALSE)</f>
        <v>0</v>
      </c>
      <c r="AI46" s="13">
        <f ca="1">VLOOKUP($B46,'[12]Analisys QBR By Machine Report'!$C$109:$BD$166,30,FALSE)</f>
        <v>410</v>
      </c>
      <c r="AJ46" s="13">
        <f ca="1">VLOOKUP($B46,'[12]Analisys QBR By Machine Report'!$C$109:$BD$166,31,FALSE)</f>
        <v>0</v>
      </c>
      <c r="AK46" s="13">
        <f ca="1">VLOOKUP($B46,'[12]Analisys QBR By Machine Report'!$C$109:$BD$166,32,FALSE)</f>
        <v>0</v>
      </c>
      <c r="AL46" s="13">
        <f ca="1">VLOOKUP($B46,'[12]Analisys QBR By Machine Report'!$C$109:$BD$166,33,FALSE)</f>
        <v>90</v>
      </c>
      <c r="AM46" s="13">
        <f ca="1">VLOOKUP($B46,'[12]Analisys QBR By Machine Report'!$C$109:$BD$166,34,FALSE)</f>
        <v>0</v>
      </c>
      <c r="AN46" s="13">
        <f ca="1">VLOOKUP($B46,'[12]Analisys QBR By Machine Report'!$C$109:$BD$166,35,FALSE)</f>
        <v>60</v>
      </c>
      <c r="AO46" s="13">
        <f ca="1">VLOOKUP($B46,'[12]Analisys QBR By Machine Report'!$C$109:$BD$166,36,FALSE)</f>
        <v>0</v>
      </c>
      <c r="AP46" s="13">
        <f ca="1">VLOOKUP($B46,'[12]Analisys QBR By Machine Report'!$C$109:$BD$166,37,FALSE)</f>
        <v>0</v>
      </c>
      <c r="AQ46" s="13">
        <f ca="1">VLOOKUP($B46,'[12]Analisys QBR By Machine Report'!$C$109:$BD$166,38,FALSE)</f>
        <v>15</v>
      </c>
      <c r="AR46" s="13">
        <f ca="1">VLOOKUP($B46,'[12]Analisys QBR By Machine Report'!$C$109:$BD$166,39,FALSE)</f>
        <v>30</v>
      </c>
      <c r="AS46" s="13">
        <f ca="1">VLOOKUP($B46,'[12]Analisys QBR By Machine Report'!$C$109:$BD$166,40,FALSE)</f>
        <v>45</v>
      </c>
      <c r="AT46" s="13">
        <f ca="1">VLOOKUP($B46,'[12]Analisys QBR By Machine Report'!$C$109:$BD$166,41,FALSE)</f>
        <v>0</v>
      </c>
      <c r="AU46" s="13">
        <f ca="1">VLOOKUP($B46,'[12]Analisys QBR By Machine Report'!$C$109:$BD$166,42,FALSE)</f>
        <v>0</v>
      </c>
      <c r="AV46" s="13">
        <f ca="1">VLOOKUP($B46,'[12]Analisys QBR By Machine Report'!$C$109:$BD$166,43,FALSE)</f>
        <v>0</v>
      </c>
      <c r="AW46" s="13">
        <f ca="1">VLOOKUP($B46,'[12]Analisys QBR By Machine Report'!$C$109:$BD$166,44,FALSE)</f>
        <v>0</v>
      </c>
      <c r="AX46" s="13">
        <f ca="1">VLOOKUP($B46,'[12]Analisys QBR By Machine Report'!$C$109:$BD$166,45,FALSE)</f>
        <v>0</v>
      </c>
      <c r="AY46" s="13">
        <f ca="1">VLOOKUP($B46,'[12]Analisys QBR By Machine Report'!$C$109:$BD$166,46,FALSE)</f>
        <v>0</v>
      </c>
      <c r="AZ46" s="13">
        <f ca="1">VLOOKUP($B46,'[12]Analisys QBR By Machine Report'!$C$109:$BD$166,47,FALSE)</f>
        <v>50</v>
      </c>
      <c r="BA46" s="13">
        <f ca="1">VLOOKUP($B46,'[12]Analisys QBR By Machine Report'!$C$109:$BD$166,48,FALSE)</f>
        <v>120</v>
      </c>
      <c r="BB46" s="13">
        <f ca="1">VLOOKUP($B46,'[12]Analisys QBR By Machine Report'!$C$109:$BD$166,49,FALSE)</f>
        <v>0</v>
      </c>
      <c r="BC46" s="13">
        <f ca="1">VLOOKUP($B46,'[12]Analisys QBR By Machine Report'!$C$109:$BD$166,50,FALSE)</f>
        <v>0</v>
      </c>
      <c r="BD46" s="13">
        <f ca="1">VLOOKUP($B46,'[12]Analisys QBR By Machine Report'!$C$109:$BD$166,51,FALSE)</f>
        <v>7924</v>
      </c>
      <c r="BE46" s="13">
        <f ca="1">VLOOKUP($B46,'[12]Analisys QBR By Machine Report'!$C$109:$BD$166,52,FALSE)</f>
        <v>70</v>
      </c>
      <c r="BF46" s="13">
        <f ca="1">VLOOKUP($B46,'[12]Analisys QBR By Machine Report'!$C$109:$BD$166,53,FALSE)</f>
        <v>7854</v>
      </c>
    </row>
    <row r="47" spans="1:58" x14ac:dyDescent="0.25">
      <c r="A47" s="9" t="s">
        <v>103</v>
      </c>
      <c r="B47" s="10">
        <f ca="1">VLOOKUP($B47,'[12]Analisys QBR By Machine Report'!$C$109:$BD$166,2,FALSE)</f>
        <v>25920</v>
      </c>
      <c r="C47" s="11">
        <f ca="1">VLOOKUP($B47,[12]Dasboard_QBR_Report!$B$109:$BL$166,3,FALSE)</f>
        <v>8640</v>
      </c>
      <c r="D47" s="10">
        <f ca="1">VLOOKUP($B47,'[12]Analisys QBR By Machine Report'!$C$109:$BD$166,3,FALSE)</f>
        <v>25920</v>
      </c>
      <c r="E47" s="11">
        <f ca="1">VLOOKUP($B47,[12]Dasboard_QBR_Report!$B$109:$BL$166,5,FALSE)</f>
        <v>8640</v>
      </c>
      <c r="F47" s="10">
        <f t="shared" ca="1" si="0"/>
        <v>0</v>
      </c>
      <c r="G47" s="10">
        <f t="shared" ca="1" si="1"/>
        <v>0</v>
      </c>
      <c r="H47" s="10">
        <f ca="1">VLOOKUP($B47,'[12]Analisys QBR By Machine Report'!$C$109:$BD$166,4,FALSE)</f>
        <v>0</v>
      </c>
      <c r="I47" s="10">
        <f ca="1">VLOOKUP($B47,'[12]Analisys QBR By Machine Report'!$C$109:$BD$166,5,FALSE)</f>
        <v>0</v>
      </c>
      <c r="J47" s="10">
        <f ca="1">VLOOKUP($B47,'[12]Analisys QBR By Machine Report'!$C$109:$BD$166,6,FALSE)</f>
        <v>0</v>
      </c>
      <c r="K47" s="10">
        <f ca="1">VLOOKUP($B47,'[12]Analisys QBR By Machine Report'!$C$109:$BD$166,7,FALSE)</f>
        <v>0</v>
      </c>
      <c r="L47" s="10">
        <f ca="1">VLOOKUP($B47,'[12]Analisys QBR By Machine Report'!$C$109:$BD$166,8,FALSE)</f>
        <v>0</v>
      </c>
      <c r="M47" s="10">
        <f ca="1">VLOOKUP($B47,'[12]Analisys QBR By Machine Report'!$C$109:$BD$166,9,FALSE)</f>
        <v>0</v>
      </c>
      <c r="N47" s="10">
        <f ca="1">VLOOKUP($B47,[12]Dasboard_QBR_Report!$B$109:$BL$166,18,FALSE)</f>
        <v>0</v>
      </c>
      <c r="O47" s="10">
        <f ca="1">VLOOKUP($B47,'[12]Analisys QBR By Machine Report'!$C$109:$BD$166,10,FALSE)</f>
        <v>0</v>
      </c>
      <c r="P47" s="10">
        <f ca="1">VLOOKUP($B47,'[12]Analisys QBR By Machine Report'!$C$109:$BD$166,11,FALSE)</f>
        <v>0</v>
      </c>
      <c r="Q47" s="10">
        <f ca="1">VLOOKUP($B47,'[12]Analisys QBR By Machine Report'!$C$109:$BD$166,12,FALSE)</f>
        <v>0</v>
      </c>
      <c r="R47" s="10">
        <f ca="1">VLOOKUP($B47,'[12]Analisys QBR By Machine Report'!$C$109:$BD$166,13,FALSE)</f>
        <v>0</v>
      </c>
      <c r="S47" s="10">
        <f ca="1">VLOOKUP($B47,'[12]Analisys QBR By Machine Report'!$C$109:$BD$166,14,FALSE)</f>
        <v>0</v>
      </c>
      <c r="T47" s="10">
        <f ca="1">VLOOKUP($B47,'[12]Analisys QBR By Machine Report'!$C$109:$BD$166,15,FALSE)</f>
        <v>0</v>
      </c>
      <c r="U47" s="10">
        <f ca="1">VLOOKUP($B47,'[12]Analisys QBR By Machine Report'!$C$109:$BD$166,16,FALSE)</f>
        <v>0</v>
      </c>
      <c r="V47" s="10">
        <f ca="1">VLOOKUP($B47,'[12]Analisys QBR By Machine Report'!$C$109:$BD$166,17,FALSE)</f>
        <v>0</v>
      </c>
      <c r="W47" s="10">
        <f ca="1">VLOOKUP($B47,'[12]Analisys QBR By Machine Report'!$C$109:$BD$166,18,FALSE)</f>
        <v>0</v>
      </c>
      <c r="X47" s="10">
        <f ca="1">VLOOKUP($B47,'[12]Analisys QBR By Machine Report'!$C$109:$BD$166,19,FALSE)</f>
        <v>0</v>
      </c>
      <c r="Y47" s="10">
        <f ca="1">VLOOKUP($B47,'[12]Analisys QBR By Machine Report'!$C$109:$BD$166,20,FALSE)</f>
        <v>0</v>
      </c>
      <c r="Z47" s="10">
        <f ca="1">VLOOKUP($B47,'[12]Analisys QBR By Machine Report'!$C$109:$BD$166,21,FALSE)</f>
        <v>0</v>
      </c>
      <c r="AA47" s="10">
        <f ca="1">VLOOKUP($B47,'[12]Analisys QBR By Machine Report'!$C$109:$BD$166,22,FALSE)</f>
        <v>0</v>
      </c>
      <c r="AB47" s="10">
        <f ca="1">VLOOKUP($B47,'[12]Analisys QBR By Machine Report'!$C$109:$BD$166,23,FALSE)</f>
        <v>0</v>
      </c>
      <c r="AC47" s="10">
        <f ca="1">VLOOKUP($B47,'[12]Analisys QBR By Machine Report'!$C$109:$BD$166,24,FALSE)</f>
        <v>0</v>
      </c>
      <c r="AD47" s="10">
        <f ca="1">VLOOKUP($B47,'[12]Analisys QBR By Machine Report'!$C$109:$BD$166,25,FALSE)</f>
        <v>0</v>
      </c>
      <c r="AE47" s="10">
        <f ca="1">VLOOKUP($B47,'[12]Analisys QBR By Machine Report'!$C$109:$BD$166,26,FALSE)</f>
        <v>0</v>
      </c>
      <c r="AF47" s="10">
        <f ca="1">VLOOKUP($B47,'[12]Analisys QBR By Machine Report'!$C$109:$BD$166,27,FALSE)</f>
        <v>0</v>
      </c>
      <c r="AG47" s="10">
        <f ca="1">VLOOKUP($B47,'[12]Analisys QBR By Machine Report'!$C$109:$BD$166,28,FALSE)</f>
        <v>0</v>
      </c>
      <c r="AH47" s="10">
        <f ca="1">VLOOKUP($B47,'[12]Analisys QBR By Machine Report'!$C$109:$BD$166,29,FALSE)</f>
        <v>0</v>
      </c>
      <c r="AI47" s="10">
        <f ca="1">VLOOKUP($B47,'[12]Analisys QBR By Machine Report'!$C$109:$BD$166,30,FALSE)</f>
        <v>0</v>
      </c>
      <c r="AJ47" s="10">
        <f ca="1">VLOOKUP($B47,'[12]Analisys QBR By Machine Report'!$C$109:$BD$166,31,FALSE)</f>
        <v>0</v>
      </c>
      <c r="AK47" s="10">
        <f ca="1">VLOOKUP($B47,'[12]Analisys QBR By Machine Report'!$C$109:$BD$166,32,FALSE)</f>
        <v>0</v>
      </c>
      <c r="AL47" s="10">
        <f ca="1">VLOOKUP($B47,'[12]Analisys QBR By Machine Report'!$C$109:$BD$166,33,FALSE)</f>
        <v>0</v>
      </c>
      <c r="AM47" s="10">
        <f ca="1">VLOOKUP($B47,'[12]Analisys QBR By Machine Report'!$C$109:$BD$166,34,FALSE)</f>
        <v>0</v>
      </c>
      <c r="AN47" s="10">
        <f ca="1">VLOOKUP($B47,'[12]Analisys QBR By Machine Report'!$C$109:$BD$166,35,FALSE)</f>
        <v>0</v>
      </c>
      <c r="AO47" s="10">
        <f ca="1">VLOOKUP($B47,'[12]Analisys QBR By Machine Report'!$C$109:$BD$166,36,FALSE)</f>
        <v>0</v>
      </c>
      <c r="AP47" s="10">
        <f ca="1">VLOOKUP($B47,'[12]Analisys QBR By Machine Report'!$C$109:$BD$166,37,FALSE)</f>
        <v>0</v>
      </c>
      <c r="AQ47" s="10">
        <f ca="1">VLOOKUP($B47,'[12]Analisys QBR By Machine Report'!$C$109:$BD$166,38,FALSE)</f>
        <v>0</v>
      </c>
      <c r="AR47" s="10">
        <f ca="1">VLOOKUP($B47,'[12]Analisys QBR By Machine Report'!$C$109:$BD$166,39,FALSE)</f>
        <v>0</v>
      </c>
      <c r="AS47" s="10">
        <f ca="1">VLOOKUP($B47,'[12]Analisys QBR By Machine Report'!$C$109:$BD$166,40,FALSE)</f>
        <v>0</v>
      </c>
      <c r="AT47" s="10">
        <f ca="1">VLOOKUP($B47,'[12]Analisys QBR By Machine Report'!$C$109:$BD$166,41,FALSE)</f>
        <v>0</v>
      </c>
      <c r="AU47" s="10">
        <f ca="1">VLOOKUP($B47,'[12]Analisys QBR By Machine Report'!$C$109:$BD$166,42,FALSE)</f>
        <v>0</v>
      </c>
      <c r="AV47" s="10">
        <f ca="1">VLOOKUP($B47,'[12]Analisys QBR By Machine Report'!$C$109:$BD$166,43,FALSE)</f>
        <v>0</v>
      </c>
      <c r="AW47" s="10">
        <f ca="1">VLOOKUP($B47,'[12]Analisys QBR By Machine Report'!$C$109:$BD$166,44,FALSE)</f>
        <v>0</v>
      </c>
      <c r="AX47" s="10">
        <f ca="1">VLOOKUP($B47,'[12]Analisys QBR By Machine Report'!$C$109:$BD$166,45,FALSE)</f>
        <v>0</v>
      </c>
      <c r="AY47" s="10">
        <f ca="1">VLOOKUP($B47,'[12]Analisys QBR By Machine Report'!$C$109:$BD$166,46,FALSE)</f>
        <v>0</v>
      </c>
      <c r="AZ47" s="10">
        <f ca="1">VLOOKUP($B47,'[12]Analisys QBR By Machine Report'!$C$109:$BD$166,47,FALSE)</f>
        <v>0</v>
      </c>
      <c r="BA47" s="10">
        <f ca="1">VLOOKUP($B47,'[12]Analisys QBR By Machine Report'!$C$109:$BD$166,48,FALSE)</f>
        <v>0</v>
      </c>
      <c r="BB47" s="10">
        <f ca="1">VLOOKUP($B47,'[12]Analisys QBR By Machine Report'!$C$109:$BD$166,49,FALSE)</f>
        <v>0</v>
      </c>
      <c r="BC47" s="10">
        <f ca="1">VLOOKUP($B47,'[12]Analisys QBR By Machine Report'!$C$109:$BD$166,50,FALSE)</f>
        <v>0</v>
      </c>
      <c r="BD47" s="10">
        <f ca="1">VLOOKUP($B47,'[12]Analisys QBR By Machine Report'!$C$109:$BD$166,51,FALSE)</f>
        <v>0</v>
      </c>
      <c r="BE47" s="10">
        <f ca="1">VLOOKUP($B47,'[12]Analisys QBR By Machine Report'!$C$109:$BD$166,52,FALSE)</f>
        <v>0</v>
      </c>
      <c r="BF47" s="10">
        <f ca="1">VLOOKUP($B47,'[12]Analisys QBR By Machine Report'!$C$109:$BD$166,53,FALSE)</f>
        <v>0</v>
      </c>
    </row>
    <row r="48" spans="1:58" x14ac:dyDescent="0.25">
      <c r="A48" s="12" t="s">
        <v>104</v>
      </c>
      <c r="B48" s="13">
        <f ca="1">VLOOKUP($B48,'[12]Analisys QBR By Machine Report'!$C$109:$BD$166,2,FALSE)</f>
        <v>25920</v>
      </c>
      <c r="C48" s="14">
        <f ca="1">VLOOKUP($B48,[12]Dasboard_QBR_Report!$B$109:$BL$166,3,FALSE)</f>
        <v>8640</v>
      </c>
      <c r="D48" s="13">
        <f ca="1">VLOOKUP($B48,'[12]Analisys QBR By Machine Report'!$C$109:$BD$166,3,FALSE)</f>
        <v>25920</v>
      </c>
      <c r="E48" s="14">
        <f ca="1">VLOOKUP($B48,[12]Dasboard_QBR_Report!$B$109:$BL$166,5,FALSE)</f>
        <v>8640</v>
      </c>
      <c r="F48" s="13">
        <f t="shared" ca="1" si="0"/>
        <v>0</v>
      </c>
      <c r="G48" s="13">
        <f t="shared" ca="1" si="1"/>
        <v>0</v>
      </c>
      <c r="H48" s="13">
        <f ca="1">VLOOKUP($B48,'[12]Analisys QBR By Machine Report'!$C$109:$BD$166,4,FALSE)</f>
        <v>0</v>
      </c>
      <c r="I48" s="13">
        <f ca="1">VLOOKUP($B48,'[12]Analisys QBR By Machine Report'!$C$109:$BD$166,5,FALSE)</f>
        <v>0</v>
      </c>
      <c r="J48" s="13">
        <f ca="1">VLOOKUP($B48,'[12]Analisys QBR By Machine Report'!$C$109:$BD$166,6,FALSE)</f>
        <v>0</v>
      </c>
      <c r="K48" s="13">
        <f ca="1">VLOOKUP($B48,'[12]Analisys QBR By Machine Report'!$C$109:$BD$166,7,FALSE)</f>
        <v>0</v>
      </c>
      <c r="L48" s="13">
        <f ca="1">VLOOKUP($B48,'[12]Analisys QBR By Machine Report'!$C$109:$BD$166,8,FALSE)</f>
        <v>0</v>
      </c>
      <c r="M48" s="13">
        <f ca="1">VLOOKUP($B48,'[12]Analisys QBR By Machine Report'!$C$109:$BD$166,9,FALSE)</f>
        <v>0</v>
      </c>
      <c r="N48" s="13">
        <f ca="1">VLOOKUP($B48,[12]Dasboard_QBR_Report!$B$109:$BL$166,18,FALSE)</f>
        <v>0</v>
      </c>
      <c r="O48" s="13">
        <f ca="1">VLOOKUP($B48,'[12]Analisys QBR By Machine Report'!$C$109:$BD$166,10,FALSE)</f>
        <v>0</v>
      </c>
      <c r="P48" s="13">
        <f ca="1">VLOOKUP($B48,'[12]Analisys QBR By Machine Report'!$C$109:$BD$166,11,FALSE)</f>
        <v>0</v>
      </c>
      <c r="Q48" s="13">
        <f ca="1">VLOOKUP($B48,'[12]Analisys QBR By Machine Report'!$C$109:$BD$166,12,FALSE)</f>
        <v>0</v>
      </c>
      <c r="R48" s="13">
        <f ca="1">VLOOKUP($B48,'[12]Analisys QBR By Machine Report'!$C$109:$BD$166,13,FALSE)</f>
        <v>0</v>
      </c>
      <c r="S48" s="13">
        <f ca="1">VLOOKUP($B48,'[12]Analisys QBR By Machine Report'!$C$109:$BD$166,14,FALSE)</f>
        <v>0</v>
      </c>
      <c r="T48" s="13">
        <f ca="1">VLOOKUP($B48,'[12]Analisys QBR By Machine Report'!$C$109:$BD$166,15,FALSE)</f>
        <v>0</v>
      </c>
      <c r="U48" s="13">
        <f ca="1">VLOOKUP($B48,'[12]Analisys QBR By Machine Report'!$C$109:$BD$166,16,FALSE)</f>
        <v>0</v>
      </c>
      <c r="V48" s="13">
        <f ca="1">VLOOKUP($B48,'[12]Analisys QBR By Machine Report'!$C$109:$BD$166,17,FALSE)</f>
        <v>0</v>
      </c>
      <c r="W48" s="13">
        <f ca="1">VLOOKUP($B48,'[12]Analisys QBR By Machine Report'!$C$109:$BD$166,18,FALSE)</f>
        <v>0</v>
      </c>
      <c r="X48" s="13">
        <f ca="1">VLOOKUP($B48,'[12]Analisys QBR By Machine Report'!$C$109:$BD$166,19,FALSE)</f>
        <v>0</v>
      </c>
      <c r="Y48" s="13">
        <f ca="1">VLOOKUP($B48,'[12]Analisys QBR By Machine Report'!$C$109:$BD$166,20,FALSE)</f>
        <v>0</v>
      </c>
      <c r="Z48" s="13">
        <f ca="1">VLOOKUP($B48,'[12]Analisys QBR By Machine Report'!$C$109:$BD$166,21,FALSE)</f>
        <v>0</v>
      </c>
      <c r="AA48" s="13">
        <f ca="1">VLOOKUP($B48,'[12]Analisys QBR By Machine Report'!$C$109:$BD$166,22,FALSE)</f>
        <v>0</v>
      </c>
      <c r="AB48" s="13">
        <f ca="1">VLOOKUP($B48,'[12]Analisys QBR By Machine Report'!$C$109:$BD$166,23,FALSE)</f>
        <v>0</v>
      </c>
      <c r="AC48" s="13">
        <f ca="1">VLOOKUP($B48,'[12]Analisys QBR By Machine Report'!$C$109:$BD$166,24,FALSE)</f>
        <v>0</v>
      </c>
      <c r="AD48" s="13">
        <f ca="1">VLOOKUP($B48,'[12]Analisys QBR By Machine Report'!$C$109:$BD$166,25,FALSE)</f>
        <v>0</v>
      </c>
      <c r="AE48" s="13">
        <f ca="1">VLOOKUP($B48,'[12]Analisys QBR By Machine Report'!$C$109:$BD$166,26,FALSE)</f>
        <v>0</v>
      </c>
      <c r="AF48" s="13">
        <f ca="1">VLOOKUP($B48,'[12]Analisys QBR By Machine Report'!$C$109:$BD$166,27,FALSE)</f>
        <v>0</v>
      </c>
      <c r="AG48" s="13">
        <f ca="1">VLOOKUP($B48,'[12]Analisys QBR By Machine Report'!$C$109:$BD$166,28,FALSE)</f>
        <v>0</v>
      </c>
      <c r="AH48" s="13">
        <f ca="1">VLOOKUP($B48,'[12]Analisys QBR By Machine Report'!$C$109:$BD$166,29,FALSE)</f>
        <v>0</v>
      </c>
      <c r="AI48" s="13">
        <f ca="1">VLOOKUP($B48,'[12]Analisys QBR By Machine Report'!$C$109:$BD$166,30,FALSE)</f>
        <v>0</v>
      </c>
      <c r="AJ48" s="13">
        <f ca="1">VLOOKUP($B48,'[12]Analisys QBR By Machine Report'!$C$109:$BD$166,31,FALSE)</f>
        <v>0</v>
      </c>
      <c r="AK48" s="13">
        <f ca="1">VLOOKUP($B48,'[12]Analisys QBR By Machine Report'!$C$109:$BD$166,32,FALSE)</f>
        <v>0</v>
      </c>
      <c r="AL48" s="13">
        <f ca="1">VLOOKUP($B48,'[12]Analisys QBR By Machine Report'!$C$109:$BD$166,33,FALSE)</f>
        <v>0</v>
      </c>
      <c r="AM48" s="13">
        <f ca="1">VLOOKUP($B48,'[12]Analisys QBR By Machine Report'!$C$109:$BD$166,34,FALSE)</f>
        <v>0</v>
      </c>
      <c r="AN48" s="13">
        <f ca="1">VLOOKUP($B48,'[12]Analisys QBR By Machine Report'!$C$109:$BD$166,35,FALSE)</f>
        <v>0</v>
      </c>
      <c r="AO48" s="13">
        <f ca="1">VLOOKUP($B48,'[12]Analisys QBR By Machine Report'!$C$109:$BD$166,36,FALSE)</f>
        <v>0</v>
      </c>
      <c r="AP48" s="13">
        <f ca="1">VLOOKUP($B48,'[12]Analisys QBR By Machine Report'!$C$109:$BD$166,37,FALSE)</f>
        <v>0</v>
      </c>
      <c r="AQ48" s="13">
        <f ca="1">VLOOKUP($B48,'[12]Analisys QBR By Machine Report'!$C$109:$BD$166,38,FALSE)</f>
        <v>0</v>
      </c>
      <c r="AR48" s="13">
        <f ca="1">VLOOKUP($B48,'[12]Analisys QBR By Machine Report'!$C$109:$BD$166,39,FALSE)</f>
        <v>0</v>
      </c>
      <c r="AS48" s="13">
        <f ca="1">VLOOKUP($B48,'[12]Analisys QBR By Machine Report'!$C$109:$BD$166,40,FALSE)</f>
        <v>0</v>
      </c>
      <c r="AT48" s="13">
        <f ca="1">VLOOKUP($B48,'[12]Analisys QBR By Machine Report'!$C$109:$BD$166,41,FALSE)</f>
        <v>0</v>
      </c>
      <c r="AU48" s="13">
        <f ca="1">VLOOKUP($B48,'[12]Analisys QBR By Machine Report'!$C$109:$BD$166,42,FALSE)</f>
        <v>0</v>
      </c>
      <c r="AV48" s="13">
        <f ca="1">VLOOKUP($B48,'[12]Analisys QBR By Machine Report'!$C$109:$BD$166,43,FALSE)</f>
        <v>0</v>
      </c>
      <c r="AW48" s="13">
        <f ca="1">VLOOKUP($B48,'[12]Analisys QBR By Machine Report'!$C$109:$BD$166,44,FALSE)</f>
        <v>0</v>
      </c>
      <c r="AX48" s="13">
        <f ca="1">VLOOKUP($B48,'[12]Analisys QBR By Machine Report'!$C$109:$BD$166,45,FALSE)</f>
        <v>0</v>
      </c>
      <c r="AY48" s="13">
        <f ca="1">VLOOKUP($B48,'[12]Analisys QBR By Machine Report'!$C$109:$BD$166,46,FALSE)</f>
        <v>0</v>
      </c>
      <c r="AZ48" s="13">
        <f ca="1">VLOOKUP($B48,'[12]Analisys QBR By Machine Report'!$C$109:$BD$166,47,FALSE)</f>
        <v>0</v>
      </c>
      <c r="BA48" s="13">
        <f ca="1">VLOOKUP($B48,'[12]Analisys QBR By Machine Report'!$C$109:$BD$166,48,FALSE)</f>
        <v>0</v>
      </c>
      <c r="BB48" s="13">
        <f ca="1">VLOOKUP($B48,'[12]Analisys QBR By Machine Report'!$C$109:$BD$166,49,FALSE)</f>
        <v>0</v>
      </c>
      <c r="BC48" s="13">
        <f ca="1">VLOOKUP($B48,'[12]Analisys QBR By Machine Report'!$C$109:$BD$166,50,FALSE)</f>
        <v>0</v>
      </c>
      <c r="BD48" s="13">
        <f ca="1">VLOOKUP($B48,'[12]Analisys QBR By Machine Report'!$C$109:$BD$166,51,FALSE)</f>
        <v>0</v>
      </c>
      <c r="BE48" s="13">
        <f ca="1">VLOOKUP($B48,'[12]Analisys QBR By Machine Report'!$C$109:$BD$166,52,FALSE)</f>
        <v>0</v>
      </c>
      <c r="BF48" s="13">
        <f ca="1">VLOOKUP($B48,'[12]Analisys QBR By Machine Report'!$C$109:$BD$166,53,FALSE)</f>
        <v>0</v>
      </c>
    </row>
    <row r="49" spans="1:58" x14ac:dyDescent="0.25">
      <c r="A49" s="9" t="s">
        <v>105</v>
      </c>
      <c r="B49" s="10">
        <f ca="1">VLOOKUP($B49,'[12]Analisys QBR By Machine Report'!$C$109:$BD$166,2,FALSE)</f>
        <v>25920</v>
      </c>
      <c r="C49" s="11">
        <f ca="1">VLOOKUP($B49,[12]Dasboard_QBR_Report!$B$109:$BL$166,3,FALSE)</f>
        <v>8640</v>
      </c>
      <c r="D49" s="10">
        <f ca="1">VLOOKUP($B49,'[12]Analisys QBR By Machine Report'!$C$109:$BD$166,3,FALSE)</f>
        <v>25920</v>
      </c>
      <c r="E49" s="11">
        <f ca="1">VLOOKUP($B49,[12]Dasboard_QBR_Report!$B$109:$BL$166,5,FALSE)</f>
        <v>8640</v>
      </c>
      <c r="F49" s="10">
        <f t="shared" ca="1" si="0"/>
        <v>0</v>
      </c>
      <c r="G49" s="10">
        <f t="shared" ca="1" si="1"/>
        <v>0</v>
      </c>
      <c r="H49" s="10">
        <f ca="1">VLOOKUP($B49,'[12]Analisys QBR By Machine Report'!$C$109:$BD$166,4,FALSE)</f>
        <v>0</v>
      </c>
      <c r="I49" s="10">
        <f ca="1">VLOOKUP($B49,'[12]Analisys QBR By Machine Report'!$C$109:$BD$166,5,FALSE)</f>
        <v>0</v>
      </c>
      <c r="J49" s="10">
        <f ca="1">VLOOKUP($B49,'[12]Analisys QBR By Machine Report'!$C$109:$BD$166,6,FALSE)</f>
        <v>0</v>
      </c>
      <c r="K49" s="10">
        <f ca="1">VLOOKUP($B49,'[12]Analisys QBR By Machine Report'!$C$109:$BD$166,7,FALSE)</f>
        <v>0</v>
      </c>
      <c r="L49" s="10">
        <f ca="1">VLOOKUP($B49,'[12]Analisys QBR By Machine Report'!$C$109:$BD$166,8,FALSE)</f>
        <v>0</v>
      </c>
      <c r="M49" s="10">
        <f ca="1">VLOOKUP($B49,'[12]Analisys QBR By Machine Report'!$C$109:$BD$166,9,FALSE)</f>
        <v>0</v>
      </c>
      <c r="N49" s="10">
        <f ca="1">VLOOKUP($B49,[12]Dasboard_QBR_Report!$B$109:$BL$166,18,FALSE)</f>
        <v>0</v>
      </c>
      <c r="O49" s="10">
        <f ca="1">VLOOKUP($B49,'[12]Analisys QBR By Machine Report'!$C$109:$BD$166,10,FALSE)</f>
        <v>0</v>
      </c>
      <c r="P49" s="10">
        <f ca="1">VLOOKUP($B49,'[12]Analisys QBR By Machine Report'!$C$109:$BD$166,11,FALSE)</f>
        <v>0</v>
      </c>
      <c r="Q49" s="10">
        <f ca="1">VLOOKUP($B49,'[12]Analisys QBR By Machine Report'!$C$109:$BD$166,12,FALSE)</f>
        <v>0</v>
      </c>
      <c r="R49" s="10">
        <f ca="1">VLOOKUP($B49,'[12]Analisys QBR By Machine Report'!$C$109:$BD$166,13,FALSE)</f>
        <v>0</v>
      </c>
      <c r="S49" s="10">
        <f ca="1">VLOOKUP($B49,'[12]Analisys QBR By Machine Report'!$C$109:$BD$166,14,FALSE)</f>
        <v>0</v>
      </c>
      <c r="T49" s="10">
        <f ca="1">VLOOKUP($B49,'[12]Analisys QBR By Machine Report'!$C$109:$BD$166,15,FALSE)</f>
        <v>0</v>
      </c>
      <c r="U49" s="10">
        <f ca="1">VLOOKUP($B49,'[12]Analisys QBR By Machine Report'!$C$109:$BD$166,16,FALSE)</f>
        <v>0</v>
      </c>
      <c r="V49" s="10">
        <f ca="1">VLOOKUP($B49,'[12]Analisys QBR By Machine Report'!$C$109:$BD$166,17,FALSE)</f>
        <v>0</v>
      </c>
      <c r="W49" s="10">
        <f ca="1">VLOOKUP($B49,'[12]Analisys QBR By Machine Report'!$C$109:$BD$166,18,FALSE)</f>
        <v>0</v>
      </c>
      <c r="X49" s="10">
        <f ca="1">VLOOKUP($B49,'[12]Analisys QBR By Machine Report'!$C$109:$BD$166,19,FALSE)</f>
        <v>0</v>
      </c>
      <c r="Y49" s="10">
        <f ca="1">VLOOKUP($B49,'[12]Analisys QBR By Machine Report'!$C$109:$BD$166,20,FALSE)</f>
        <v>0</v>
      </c>
      <c r="Z49" s="10">
        <f ca="1">VLOOKUP($B49,'[12]Analisys QBR By Machine Report'!$C$109:$BD$166,21,FALSE)</f>
        <v>0</v>
      </c>
      <c r="AA49" s="10">
        <f ca="1">VLOOKUP($B49,'[12]Analisys QBR By Machine Report'!$C$109:$BD$166,22,FALSE)</f>
        <v>0</v>
      </c>
      <c r="AB49" s="10">
        <f ca="1">VLOOKUP($B49,'[12]Analisys QBR By Machine Report'!$C$109:$BD$166,23,FALSE)</f>
        <v>0</v>
      </c>
      <c r="AC49" s="10">
        <f ca="1">VLOOKUP($B49,'[12]Analisys QBR By Machine Report'!$C$109:$BD$166,24,FALSE)</f>
        <v>0</v>
      </c>
      <c r="AD49" s="10">
        <f ca="1">VLOOKUP($B49,'[12]Analisys QBR By Machine Report'!$C$109:$BD$166,25,FALSE)</f>
        <v>0</v>
      </c>
      <c r="AE49" s="10">
        <f ca="1">VLOOKUP($B49,'[12]Analisys QBR By Machine Report'!$C$109:$BD$166,26,FALSE)</f>
        <v>0</v>
      </c>
      <c r="AF49" s="10">
        <f ca="1">VLOOKUP($B49,'[12]Analisys QBR By Machine Report'!$C$109:$BD$166,27,FALSE)</f>
        <v>0</v>
      </c>
      <c r="AG49" s="10">
        <f ca="1">VLOOKUP($B49,'[12]Analisys QBR By Machine Report'!$C$109:$BD$166,28,FALSE)</f>
        <v>0</v>
      </c>
      <c r="AH49" s="10">
        <f ca="1">VLOOKUP($B49,'[12]Analisys QBR By Machine Report'!$C$109:$BD$166,29,FALSE)</f>
        <v>0</v>
      </c>
      <c r="AI49" s="10">
        <f ca="1">VLOOKUP($B49,'[12]Analisys QBR By Machine Report'!$C$109:$BD$166,30,FALSE)</f>
        <v>0</v>
      </c>
      <c r="AJ49" s="10">
        <f ca="1">VLOOKUP($B49,'[12]Analisys QBR By Machine Report'!$C$109:$BD$166,31,FALSE)</f>
        <v>0</v>
      </c>
      <c r="AK49" s="10">
        <f ca="1">VLOOKUP($B49,'[12]Analisys QBR By Machine Report'!$C$109:$BD$166,32,FALSE)</f>
        <v>0</v>
      </c>
      <c r="AL49" s="10">
        <f ca="1">VLOOKUP($B49,'[12]Analisys QBR By Machine Report'!$C$109:$BD$166,33,FALSE)</f>
        <v>0</v>
      </c>
      <c r="AM49" s="10">
        <f ca="1">VLOOKUP($B49,'[12]Analisys QBR By Machine Report'!$C$109:$BD$166,34,FALSE)</f>
        <v>0</v>
      </c>
      <c r="AN49" s="10">
        <f ca="1">VLOOKUP($B49,'[12]Analisys QBR By Machine Report'!$C$109:$BD$166,35,FALSE)</f>
        <v>0</v>
      </c>
      <c r="AO49" s="10">
        <f ca="1">VLOOKUP($B49,'[12]Analisys QBR By Machine Report'!$C$109:$BD$166,36,FALSE)</f>
        <v>0</v>
      </c>
      <c r="AP49" s="10">
        <f ca="1">VLOOKUP($B49,'[12]Analisys QBR By Machine Report'!$C$109:$BD$166,37,FALSE)</f>
        <v>0</v>
      </c>
      <c r="AQ49" s="10">
        <f ca="1">VLOOKUP($B49,'[12]Analisys QBR By Machine Report'!$C$109:$BD$166,38,FALSE)</f>
        <v>0</v>
      </c>
      <c r="AR49" s="10">
        <f ca="1">VLOOKUP($B49,'[12]Analisys QBR By Machine Report'!$C$109:$BD$166,39,FALSE)</f>
        <v>0</v>
      </c>
      <c r="AS49" s="10">
        <f ca="1">VLOOKUP($B49,'[12]Analisys QBR By Machine Report'!$C$109:$BD$166,40,FALSE)</f>
        <v>0</v>
      </c>
      <c r="AT49" s="10">
        <f ca="1">VLOOKUP($B49,'[12]Analisys QBR By Machine Report'!$C$109:$BD$166,41,FALSE)</f>
        <v>0</v>
      </c>
      <c r="AU49" s="10">
        <f ca="1">VLOOKUP($B49,'[12]Analisys QBR By Machine Report'!$C$109:$BD$166,42,FALSE)</f>
        <v>0</v>
      </c>
      <c r="AV49" s="10">
        <f ca="1">VLOOKUP($B49,'[12]Analisys QBR By Machine Report'!$C$109:$BD$166,43,FALSE)</f>
        <v>0</v>
      </c>
      <c r="AW49" s="10">
        <f ca="1">VLOOKUP($B49,'[12]Analisys QBR By Machine Report'!$C$109:$BD$166,44,FALSE)</f>
        <v>0</v>
      </c>
      <c r="AX49" s="10">
        <f ca="1">VLOOKUP($B49,'[12]Analisys QBR By Machine Report'!$C$109:$BD$166,45,FALSE)</f>
        <v>0</v>
      </c>
      <c r="AY49" s="10">
        <f ca="1">VLOOKUP($B49,'[12]Analisys QBR By Machine Report'!$C$109:$BD$166,46,FALSE)</f>
        <v>0</v>
      </c>
      <c r="AZ49" s="10">
        <f ca="1">VLOOKUP($B49,'[12]Analisys QBR By Machine Report'!$C$109:$BD$166,47,FALSE)</f>
        <v>0</v>
      </c>
      <c r="BA49" s="10">
        <f ca="1">VLOOKUP($B49,'[12]Analisys QBR By Machine Report'!$C$109:$BD$166,48,FALSE)</f>
        <v>0</v>
      </c>
      <c r="BB49" s="10">
        <f ca="1">VLOOKUP($B49,'[12]Analisys QBR By Machine Report'!$C$109:$BD$166,49,FALSE)</f>
        <v>0</v>
      </c>
      <c r="BC49" s="10">
        <f ca="1">VLOOKUP($B49,'[12]Analisys QBR By Machine Report'!$C$109:$BD$166,50,FALSE)</f>
        <v>0</v>
      </c>
      <c r="BD49" s="10">
        <f ca="1">VLOOKUP($B49,'[12]Analisys QBR By Machine Report'!$C$109:$BD$166,51,FALSE)</f>
        <v>0</v>
      </c>
      <c r="BE49" s="10">
        <f ca="1">VLOOKUP($B49,'[12]Analisys QBR By Machine Report'!$C$109:$BD$166,52,FALSE)</f>
        <v>0</v>
      </c>
      <c r="BF49" s="10">
        <f ca="1">VLOOKUP($B49,'[12]Analisys QBR By Machine Report'!$C$109:$BD$166,53,FALSE)</f>
        <v>0</v>
      </c>
    </row>
    <row r="50" spans="1:58" x14ac:dyDescent="0.25">
      <c r="A50" s="12" t="s">
        <v>106</v>
      </c>
      <c r="B50" s="13">
        <f ca="1">VLOOKUP($B50,'[12]Analisys QBR By Machine Report'!$C$109:$BD$166,2,FALSE)</f>
        <v>25920</v>
      </c>
      <c r="C50" s="14">
        <f ca="1">VLOOKUP($B50,[12]Dasboard_QBR_Report!$B$109:$BL$166,3,FALSE)</f>
        <v>8640</v>
      </c>
      <c r="D50" s="13">
        <f ca="1">VLOOKUP($B50,'[12]Analisys QBR By Machine Report'!$C$109:$BD$166,3,FALSE)</f>
        <v>25920</v>
      </c>
      <c r="E50" s="14">
        <f ca="1">VLOOKUP($B50,[12]Dasboard_QBR_Report!$B$109:$BL$166,5,FALSE)</f>
        <v>8640</v>
      </c>
      <c r="F50" s="13">
        <f t="shared" ca="1" si="0"/>
        <v>0</v>
      </c>
      <c r="G50" s="13">
        <f t="shared" ca="1" si="1"/>
        <v>0</v>
      </c>
      <c r="H50" s="13">
        <f ca="1">VLOOKUP($B50,'[12]Analisys QBR By Machine Report'!$C$109:$BD$166,4,FALSE)</f>
        <v>0</v>
      </c>
      <c r="I50" s="13">
        <f ca="1">VLOOKUP($B50,'[12]Analisys QBR By Machine Report'!$C$109:$BD$166,5,FALSE)</f>
        <v>0</v>
      </c>
      <c r="J50" s="13">
        <f ca="1">VLOOKUP($B50,'[12]Analisys QBR By Machine Report'!$C$109:$BD$166,6,FALSE)</f>
        <v>0</v>
      </c>
      <c r="K50" s="13">
        <f ca="1">VLOOKUP($B50,'[12]Analisys QBR By Machine Report'!$C$109:$BD$166,7,FALSE)</f>
        <v>0</v>
      </c>
      <c r="L50" s="13">
        <f ca="1">VLOOKUP($B50,'[12]Analisys QBR By Machine Report'!$C$109:$BD$166,8,FALSE)</f>
        <v>0</v>
      </c>
      <c r="M50" s="13">
        <f ca="1">VLOOKUP($B50,'[12]Analisys QBR By Machine Report'!$C$109:$BD$166,9,FALSE)</f>
        <v>0</v>
      </c>
      <c r="N50" s="13">
        <f ca="1">VLOOKUP($B50,[12]Dasboard_QBR_Report!$B$109:$BL$166,18,FALSE)</f>
        <v>0</v>
      </c>
      <c r="O50" s="13">
        <f ca="1">VLOOKUP($B50,'[12]Analisys QBR By Machine Report'!$C$109:$BD$166,10,FALSE)</f>
        <v>0</v>
      </c>
      <c r="P50" s="13">
        <f ca="1">VLOOKUP($B50,'[12]Analisys QBR By Machine Report'!$C$109:$BD$166,11,FALSE)</f>
        <v>0</v>
      </c>
      <c r="Q50" s="13">
        <f ca="1">VLOOKUP($B50,'[12]Analisys QBR By Machine Report'!$C$109:$BD$166,12,FALSE)</f>
        <v>0</v>
      </c>
      <c r="R50" s="13">
        <f ca="1">VLOOKUP($B50,'[12]Analisys QBR By Machine Report'!$C$109:$BD$166,13,FALSE)</f>
        <v>0</v>
      </c>
      <c r="S50" s="13">
        <f ca="1">VLOOKUP($B50,'[12]Analisys QBR By Machine Report'!$C$109:$BD$166,14,FALSE)</f>
        <v>0</v>
      </c>
      <c r="T50" s="13">
        <f ca="1">VLOOKUP($B50,'[12]Analisys QBR By Machine Report'!$C$109:$BD$166,15,FALSE)</f>
        <v>0</v>
      </c>
      <c r="U50" s="13">
        <f ca="1">VLOOKUP($B50,'[12]Analisys QBR By Machine Report'!$C$109:$BD$166,16,FALSE)</f>
        <v>0</v>
      </c>
      <c r="V50" s="13">
        <f ca="1">VLOOKUP($B50,'[12]Analisys QBR By Machine Report'!$C$109:$BD$166,17,FALSE)</f>
        <v>0</v>
      </c>
      <c r="W50" s="13">
        <f ca="1">VLOOKUP($B50,'[12]Analisys QBR By Machine Report'!$C$109:$BD$166,18,FALSE)</f>
        <v>0</v>
      </c>
      <c r="X50" s="13">
        <f ca="1">VLOOKUP($B50,'[12]Analisys QBR By Machine Report'!$C$109:$BD$166,19,FALSE)</f>
        <v>0</v>
      </c>
      <c r="Y50" s="13">
        <f ca="1">VLOOKUP($B50,'[12]Analisys QBR By Machine Report'!$C$109:$BD$166,20,FALSE)</f>
        <v>0</v>
      </c>
      <c r="Z50" s="13">
        <f ca="1">VLOOKUP($B50,'[12]Analisys QBR By Machine Report'!$C$109:$BD$166,21,FALSE)</f>
        <v>0</v>
      </c>
      <c r="AA50" s="13">
        <f ca="1">VLOOKUP($B50,'[12]Analisys QBR By Machine Report'!$C$109:$BD$166,22,FALSE)</f>
        <v>0</v>
      </c>
      <c r="AB50" s="13">
        <f ca="1">VLOOKUP($B50,'[12]Analisys QBR By Machine Report'!$C$109:$BD$166,23,FALSE)</f>
        <v>0</v>
      </c>
      <c r="AC50" s="13">
        <f ca="1">VLOOKUP($B50,'[12]Analisys QBR By Machine Report'!$C$109:$BD$166,24,FALSE)</f>
        <v>0</v>
      </c>
      <c r="AD50" s="13">
        <f ca="1">VLOOKUP($B50,'[12]Analisys QBR By Machine Report'!$C$109:$BD$166,25,FALSE)</f>
        <v>0</v>
      </c>
      <c r="AE50" s="13">
        <f ca="1">VLOOKUP($B50,'[12]Analisys QBR By Machine Report'!$C$109:$BD$166,26,FALSE)</f>
        <v>0</v>
      </c>
      <c r="AF50" s="13">
        <f ca="1">VLOOKUP($B50,'[12]Analisys QBR By Machine Report'!$C$109:$BD$166,27,FALSE)</f>
        <v>0</v>
      </c>
      <c r="AG50" s="13">
        <f ca="1">VLOOKUP($B50,'[12]Analisys QBR By Machine Report'!$C$109:$BD$166,28,FALSE)</f>
        <v>0</v>
      </c>
      <c r="AH50" s="13">
        <f ca="1">VLOOKUP($B50,'[12]Analisys QBR By Machine Report'!$C$109:$BD$166,29,FALSE)</f>
        <v>0</v>
      </c>
      <c r="AI50" s="13">
        <f ca="1">VLOOKUP($B50,'[12]Analisys QBR By Machine Report'!$C$109:$BD$166,30,FALSE)</f>
        <v>0</v>
      </c>
      <c r="AJ50" s="13">
        <f ca="1">VLOOKUP($B50,'[12]Analisys QBR By Machine Report'!$C$109:$BD$166,31,FALSE)</f>
        <v>0</v>
      </c>
      <c r="AK50" s="13">
        <f ca="1">VLOOKUP($B50,'[12]Analisys QBR By Machine Report'!$C$109:$BD$166,32,FALSE)</f>
        <v>0</v>
      </c>
      <c r="AL50" s="13">
        <f ca="1">VLOOKUP($B50,'[12]Analisys QBR By Machine Report'!$C$109:$BD$166,33,FALSE)</f>
        <v>0</v>
      </c>
      <c r="AM50" s="13">
        <f ca="1">VLOOKUP($B50,'[12]Analisys QBR By Machine Report'!$C$109:$BD$166,34,FALSE)</f>
        <v>0</v>
      </c>
      <c r="AN50" s="13">
        <f ca="1">VLOOKUP($B50,'[12]Analisys QBR By Machine Report'!$C$109:$BD$166,35,FALSE)</f>
        <v>0</v>
      </c>
      <c r="AO50" s="13">
        <f ca="1">VLOOKUP($B50,'[12]Analisys QBR By Machine Report'!$C$109:$BD$166,36,FALSE)</f>
        <v>0</v>
      </c>
      <c r="AP50" s="13">
        <f ca="1">VLOOKUP($B50,'[12]Analisys QBR By Machine Report'!$C$109:$BD$166,37,FALSE)</f>
        <v>0</v>
      </c>
      <c r="AQ50" s="13">
        <f ca="1">VLOOKUP($B50,'[12]Analisys QBR By Machine Report'!$C$109:$BD$166,38,FALSE)</f>
        <v>0</v>
      </c>
      <c r="AR50" s="13">
        <f ca="1">VLOOKUP($B50,'[12]Analisys QBR By Machine Report'!$C$109:$BD$166,39,FALSE)</f>
        <v>0</v>
      </c>
      <c r="AS50" s="13">
        <f ca="1">VLOOKUP($B50,'[12]Analisys QBR By Machine Report'!$C$109:$BD$166,40,FALSE)</f>
        <v>0</v>
      </c>
      <c r="AT50" s="13">
        <f ca="1">VLOOKUP($B50,'[12]Analisys QBR By Machine Report'!$C$109:$BD$166,41,FALSE)</f>
        <v>0</v>
      </c>
      <c r="AU50" s="13">
        <f ca="1">VLOOKUP($B50,'[12]Analisys QBR By Machine Report'!$C$109:$BD$166,42,FALSE)</f>
        <v>0</v>
      </c>
      <c r="AV50" s="13">
        <f ca="1">VLOOKUP($B50,'[12]Analisys QBR By Machine Report'!$C$109:$BD$166,43,FALSE)</f>
        <v>0</v>
      </c>
      <c r="AW50" s="13">
        <f ca="1">VLOOKUP($B50,'[12]Analisys QBR By Machine Report'!$C$109:$BD$166,44,FALSE)</f>
        <v>0</v>
      </c>
      <c r="AX50" s="13">
        <f ca="1">VLOOKUP($B50,'[12]Analisys QBR By Machine Report'!$C$109:$BD$166,45,FALSE)</f>
        <v>0</v>
      </c>
      <c r="AY50" s="13">
        <f ca="1">VLOOKUP($B50,'[12]Analisys QBR By Machine Report'!$C$109:$BD$166,46,FALSE)</f>
        <v>0</v>
      </c>
      <c r="AZ50" s="13">
        <f ca="1">VLOOKUP($B50,'[12]Analisys QBR By Machine Report'!$C$109:$BD$166,47,FALSE)</f>
        <v>0</v>
      </c>
      <c r="BA50" s="13">
        <f ca="1">VLOOKUP($B50,'[12]Analisys QBR By Machine Report'!$C$109:$BD$166,48,FALSE)</f>
        <v>0</v>
      </c>
      <c r="BB50" s="13">
        <f ca="1">VLOOKUP($B50,'[12]Analisys QBR By Machine Report'!$C$109:$BD$166,49,FALSE)</f>
        <v>0</v>
      </c>
      <c r="BC50" s="13">
        <f ca="1">VLOOKUP($B50,'[12]Analisys QBR By Machine Report'!$C$109:$BD$166,50,FALSE)</f>
        <v>0</v>
      </c>
      <c r="BD50" s="13">
        <f ca="1">VLOOKUP($B50,'[12]Analisys QBR By Machine Report'!$C$109:$BD$166,51,FALSE)</f>
        <v>0</v>
      </c>
      <c r="BE50" s="13">
        <f ca="1">VLOOKUP($B50,'[12]Analisys QBR By Machine Report'!$C$109:$BD$166,52,FALSE)</f>
        <v>0</v>
      </c>
      <c r="BF50" s="13">
        <f ca="1">VLOOKUP($B50,'[12]Analisys QBR By Machine Report'!$C$109:$BD$166,53,FALSE)</f>
        <v>0</v>
      </c>
    </row>
    <row r="51" spans="1:58" x14ac:dyDescent="0.25">
      <c r="A51" s="9" t="s">
        <v>107</v>
      </c>
      <c r="B51" s="10">
        <f ca="1">VLOOKUP($B51,'[12]Analisys QBR By Machine Report'!$C$109:$BD$166,2,FALSE)</f>
        <v>25920</v>
      </c>
      <c r="C51" s="11">
        <f ca="1">VLOOKUP($B51,[12]Dasboard_QBR_Report!$B$109:$BL$166,3,FALSE)</f>
        <v>16740</v>
      </c>
      <c r="D51" s="10">
        <f ca="1">VLOOKUP($B51,'[12]Analisys QBR By Machine Report'!$C$109:$BD$166,3,FALSE)</f>
        <v>18480</v>
      </c>
      <c r="E51" s="11">
        <f ca="1">VLOOKUP($B51,[12]Dasboard_QBR_Report!$B$109:$BL$166,5,FALSE)</f>
        <v>9300</v>
      </c>
      <c r="F51" s="10">
        <f t="shared" ca="1" si="0"/>
        <v>7440</v>
      </c>
      <c r="G51" s="10">
        <f t="shared" ca="1" si="1"/>
        <v>815</v>
      </c>
      <c r="H51" s="10">
        <f ca="1">VLOOKUP($B51,'[12]Analisys QBR By Machine Report'!$C$109:$BD$166,4,FALSE)</f>
        <v>815</v>
      </c>
      <c r="I51" s="10">
        <f ca="1">VLOOKUP($B51,'[12]Analisys QBR By Machine Report'!$C$109:$BD$166,5,FALSE)</f>
        <v>0</v>
      </c>
      <c r="J51" s="10">
        <f ca="1">VLOOKUP($B51,'[12]Analisys QBR By Machine Report'!$C$109:$BD$166,6,FALSE)</f>
        <v>815</v>
      </c>
      <c r="K51" s="10">
        <f ca="1">VLOOKUP($B51,'[12]Analisys QBR By Machine Report'!$C$109:$BD$166,7,FALSE)</f>
        <v>0</v>
      </c>
      <c r="L51" s="10">
        <f ca="1">VLOOKUP($B51,'[12]Analisys QBR By Machine Report'!$C$109:$BD$166,8,FALSE)</f>
        <v>6625</v>
      </c>
      <c r="M51" s="10">
        <f ca="1">VLOOKUP($B51,'[12]Analisys QBR By Machine Report'!$C$109:$BD$166,9,FALSE)</f>
        <v>2326</v>
      </c>
      <c r="N51" s="10">
        <f ca="1">VLOOKUP($B51,[12]Dasboard_QBR_Report!$B$109:$BL$166,18,FALSE)</f>
        <v>4299</v>
      </c>
      <c r="O51" s="10">
        <f ca="1">VLOOKUP($B51,'[12]Analisys QBR By Machine Report'!$C$109:$BD$166,10,FALSE)</f>
        <v>594</v>
      </c>
      <c r="P51" s="10">
        <f ca="1">VLOOKUP($B51,'[12]Analisys QBR By Machine Report'!$C$109:$BD$166,11,FALSE)</f>
        <v>472</v>
      </c>
      <c r="Q51" s="10">
        <f ca="1">VLOOKUP($B51,'[12]Analisys QBR By Machine Report'!$C$109:$BD$166,12,FALSE)</f>
        <v>0</v>
      </c>
      <c r="R51" s="10">
        <f ca="1">VLOOKUP($B51,'[12]Analisys QBR By Machine Report'!$C$109:$BD$166,13,FALSE)</f>
        <v>108</v>
      </c>
      <c r="S51" s="10">
        <f ca="1">VLOOKUP($B51,'[12]Analisys QBR By Machine Report'!$C$109:$BD$166,14,FALSE)</f>
        <v>14</v>
      </c>
      <c r="T51" s="10">
        <f ca="1">VLOOKUP($B51,'[12]Analisys QBR By Machine Report'!$C$109:$BD$166,15,FALSE)</f>
        <v>10</v>
      </c>
      <c r="U51" s="10">
        <f ca="1">VLOOKUP($B51,'[12]Analisys QBR By Machine Report'!$C$109:$BD$166,16,FALSE)</f>
        <v>0</v>
      </c>
      <c r="V51" s="10">
        <f ca="1">VLOOKUP($B51,'[12]Analisys QBR By Machine Report'!$C$109:$BD$166,17,FALSE)</f>
        <v>10</v>
      </c>
      <c r="W51" s="10">
        <f ca="1">VLOOKUP($B51,'[12]Analisys QBR By Machine Report'!$C$109:$BD$166,18,FALSE)</f>
        <v>0</v>
      </c>
      <c r="X51" s="10">
        <f ca="1">VLOOKUP($B51,'[12]Analisys QBR By Machine Report'!$C$109:$BD$166,19,FALSE)</f>
        <v>0</v>
      </c>
      <c r="Y51" s="10">
        <f ca="1">VLOOKUP($B51,'[12]Analisys QBR By Machine Report'!$C$109:$BD$166,20,FALSE)</f>
        <v>0</v>
      </c>
      <c r="Z51" s="10">
        <f ca="1">VLOOKUP($B51,'[12]Analisys QBR By Machine Report'!$C$109:$BD$166,21,FALSE)</f>
        <v>1927</v>
      </c>
      <c r="AA51" s="10">
        <f ca="1">VLOOKUP($B51,'[12]Analisys QBR By Machine Report'!$C$109:$BD$166,22,FALSE)</f>
        <v>683</v>
      </c>
      <c r="AB51" s="10">
        <f ca="1">VLOOKUP($B51,'[12]Analisys QBR By Machine Report'!$C$109:$BD$166,23,FALSE)</f>
        <v>1244</v>
      </c>
      <c r="AC51" s="10">
        <f ca="1">VLOOKUP($B51,'[12]Analisys QBR By Machine Report'!$C$109:$BD$166,24,FALSE)</f>
        <v>0</v>
      </c>
      <c r="AD51" s="10">
        <f ca="1">VLOOKUP($B51,'[12]Analisys QBR By Machine Report'!$C$109:$BD$166,25,FALSE)</f>
        <v>0</v>
      </c>
      <c r="AE51" s="10">
        <f ca="1">VLOOKUP($B51,'[12]Analisys QBR By Machine Report'!$C$109:$BD$166,26,FALSE)</f>
        <v>0</v>
      </c>
      <c r="AF51" s="10">
        <f ca="1">VLOOKUP($B51,'[12]Analisys QBR By Machine Report'!$C$109:$BD$166,27,FALSE)</f>
        <v>0</v>
      </c>
      <c r="AG51" s="10">
        <f ca="1">VLOOKUP($B51,'[12]Analisys QBR By Machine Report'!$C$109:$BD$166,28,FALSE)</f>
        <v>0</v>
      </c>
      <c r="AH51" s="10">
        <f ca="1">VLOOKUP($B51,'[12]Analisys QBR By Machine Report'!$C$109:$BD$166,29,FALSE)</f>
        <v>0</v>
      </c>
      <c r="AI51" s="10">
        <f ca="1">VLOOKUP($B51,'[12]Analisys QBR By Machine Report'!$C$109:$BD$166,30,FALSE)</f>
        <v>1768</v>
      </c>
      <c r="AJ51" s="10">
        <f ca="1">VLOOKUP($B51,'[12]Analisys QBR By Machine Report'!$C$109:$BD$166,31,FALSE)</f>
        <v>0</v>
      </c>
      <c r="AK51" s="10">
        <f ca="1">VLOOKUP($B51,'[12]Analisys QBR By Machine Report'!$C$109:$BD$166,32,FALSE)</f>
        <v>0</v>
      </c>
      <c r="AL51" s="10">
        <f ca="1">VLOOKUP($B51,'[12]Analisys QBR By Machine Report'!$C$109:$BD$166,33,FALSE)</f>
        <v>532</v>
      </c>
      <c r="AM51" s="10">
        <f ca="1">VLOOKUP($B51,'[12]Analisys QBR By Machine Report'!$C$109:$BD$166,34,FALSE)</f>
        <v>28</v>
      </c>
      <c r="AN51" s="10">
        <f ca="1">VLOOKUP($B51,'[12]Analisys QBR By Machine Report'!$C$109:$BD$166,35,FALSE)</f>
        <v>450</v>
      </c>
      <c r="AO51" s="10">
        <f ca="1">VLOOKUP($B51,'[12]Analisys QBR By Machine Report'!$C$109:$BD$166,36,FALSE)</f>
        <v>0</v>
      </c>
      <c r="AP51" s="10">
        <f ca="1">VLOOKUP($B51,'[12]Analisys QBR By Machine Report'!$C$109:$BD$166,37,FALSE)</f>
        <v>10</v>
      </c>
      <c r="AQ51" s="10">
        <f ca="1">VLOOKUP($B51,'[12]Analisys QBR By Machine Report'!$C$109:$BD$166,38,FALSE)</f>
        <v>115</v>
      </c>
      <c r="AR51" s="10">
        <f ca="1">VLOOKUP($B51,'[12]Analisys QBR By Machine Report'!$C$109:$BD$166,39,FALSE)</f>
        <v>0</v>
      </c>
      <c r="AS51" s="10">
        <f ca="1">VLOOKUP($B51,'[12]Analisys QBR By Machine Report'!$C$109:$BD$166,40,FALSE)</f>
        <v>85</v>
      </c>
      <c r="AT51" s="10">
        <f ca="1">VLOOKUP($B51,'[12]Analisys QBR By Machine Report'!$C$109:$BD$166,41,FALSE)</f>
        <v>0</v>
      </c>
      <c r="AU51" s="10">
        <f ca="1">VLOOKUP($B51,'[12]Analisys QBR By Machine Report'!$C$109:$BD$166,42,FALSE)</f>
        <v>0</v>
      </c>
      <c r="AV51" s="10">
        <f ca="1">VLOOKUP($B51,'[12]Analisys QBR By Machine Report'!$C$109:$BD$166,43,FALSE)</f>
        <v>491</v>
      </c>
      <c r="AW51" s="10">
        <f ca="1">VLOOKUP($B51,'[12]Analisys QBR By Machine Report'!$C$109:$BD$166,44,FALSE)</f>
        <v>0</v>
      </c>
      <c r="AX51" s="10">
        <f ca="1">VLOOKUP($B51,'[12]Analisys QBR By Machine Report'!$C$109:$BD$166,45,FALSE)</f>
        <v>0</v>
      </c>
      <c r="AY51" s="10">
        <f ca="1">VLOOKUP($B51,'[12]Analisys QBR By Machine Report'!$C$109:$BD$166,46,FALSE)</f>
        <v>0</v>
      </c>
      <c r="AZ51" s="10">
        <f ca="1">VLOOKUP($B51,'[12]Analisys QBR By Machine Report'!$C$109:$BD$166,47,FALSE)</f>
        <v>57</v>
      </c>
      <c r="BA51" s="10">
        <f ca="1">VLOOKUP($B51,'[12]Analisys QBR By Machine Report'!$C$109:$BD$166,48,FALSE)</f>
        <v>0</v>
      </c>
      <c r="BB51" s="10">
        <f ca="1">VLOOKUP($B51,'[12]Analisys QBR By Machine Report'!$C$109:$BD$166,49,FALSE)</f>
        <v>0</v>
      </c>
      <c r="BC51" s="10">
        <f ca="1">VLOOKUP($B51,'[12]Analisys QBR By Machine Report'!$C$109:$BD$166,50,FALSE)</f>
        <v>0</v>
      </c>
      <c r="BD51" s="10">
        <f ca="1">VLOOKUP($B51,'[12]Analisys QBR By Machine Report'!$C$109:$BD$166,51,FALSE)</f>
        <v>372280</v>
      </c>
      <c r="BE51" s="10">
        <f ca="1">VLOOKUP($B51,'[12]Analisys QBR By Machine Report'!$C$109:$BD$166,52,FALSE)</f>
        <v>0</v>
      </c>
      <c r="BF51" s="10">
        <f ca="1">VLOOKUP($B51,'[12]Analisys QBR By Machine Report'!$C$109:$BD$166,53,FALSE)</f>
        <v>372280</v>
      </c>
    </row>
    <row r="52" spans="1:58" x14ac:dyDescent="0.25">
      <c r="A52" s="12" t="s">
        <v>108</v>
      </c>
      <c r="B52" s="13">
        <f ca="1">VLOOKUP($B52,'[12]Analisys QBR By Machine Report'!$C$109:$BD$166,2,FALSE)</f>
        <v>25920</v>
      </c>
      <c r="C52" s="14">
        <f ca="1">VLOOKUP($B52,[12]Dasboard_QBR_Report!$B$109:$BL$166,3,FALSE)</f>
        <v>16740</v>
      </c>
      <c r="D52" s="13">
        <f ca="1">VLOOKUP($B52,'[12]Analisys QBR By Machine Report'!$C$109:$BD$166,3,FALSE)</f>
        <v>18480</v>
      </c>
      <c r="E52" s="14">
        <f ca="1">VLOOKUP($B52,[12]Dasboard_QBR_Report!$B$109:$BL$166,5,FALSE)</f>
        <v>9300</v>
      </c>
      <c r="F52" s="13">
        <f t="shared" ca="1" si="0"/>
        <v>7440</v>
      </c>
      <c r="G52" s="13">
        <f t="shared" ca="1" si="1"/>
        <v>815</v>
      </c>
      <c r="H52" s="13">
        <f ca="1">VLOOKUP($B52,'[12]Analisys QBR By Machine Report'!$C$109:$BD$166,4,FALSE)</f>
        <v>815</v>
      </c>
      <c r="I52" s="13">
        <f ca="1">VLOOKUP($B52,'[12]Analisys QBR By Machine Report'!$C$109:$BD$166,5,FALSE)</f>
        <v>0</v>
      </c>
      <c r="J52" s="13">
        <f ca="1">VLOOKUP($B52,'[12]Analisys QBR By Machine Report'!$C$109:$BD$166,6,FALSE)</f>
        <v>815</v>
      </c>
      <c r="K52" s="13">
        <f ca="1">VLOOKUP($B52,'[12]Analisys QBR By Machine Report'!$C$109:$BD$166,7,FALSE)</f>
        <v>0</v>
      </c>
      <c r="L52" s="13">
        <f ca="1">VLOOKUP($B52,'[12]Analisys QBR By Machine Report'!$C$109:$BD$166,8,FALSE)</f>
        <v>6625</v>
      </c>
      <c r="M52" s="13">
        <f ca="1">VLOOKUP($B52,'[12]Analisys QBR By Machine Report'!$C$109:$BD$166,9,FALSE)</f>
        <v>2326</v>
      </c>
      <c r="N52" s="13">
        <f ca="1">VLOOKUP($B52,[12]Dasboard_QBR_Report!$B$109:$BL$166,18,FALSE)</f>
        <v>4299</v>
      </c>
      <c r="O52" s="13">
        <f ca="1">VLOOKUP($B52,'[12]Analisys QBR By Machine Report'!$C$109:$BD$166,10,FALSE)</f>
        <v>594</v>
      </c>
      <c r="P52" s="13">
        <f ca="1">VLOOKUP($B52,'[12]Analisys QBR By Machine Report'!$C$109:$BD$166,11,FALSE)</f>
        <v>472</v>
      </c>
      <c r="Q52" s="13">
        <f ca="1">VLOOKUP($B52,'[12]Analisys QBR By Machine Report'!$C$109:$BD$166,12,FALSE)</f>
        <v>0</v>
      </c>
      <c r="R52" s="13">
        <f ca="1">VLOOKUP($B52,'[12]Analisys QBR By Machine Report'!$C$109:$BD$166,13,FALSE)</f>
        <v>108</v>
      </c>
      <c r="S52" s="13">
        <f ca="1">VLOOKUP($B52,'[12]Analisys QBR By Machine Report'!$C$109:$BD$166,14,FALSE)</f>
        <v>14</v>
      </c>
      <c r="T52" s="13">
        <f ca="1">VLOOKUP($B52,'[12]Analisys QBR By Machine Report'!$C$109:$BD$166,15,FALSE)</f>
        <v>10</v>
      </c>
      <c r="U52" s="13">
        <f ca="1">VLOOKUP($B52,'[12]Analisys QBR By Machine Report'!$C$109:$BD$166,16,FALSE)</f>
        <v>0</v>
      </c>
      <c r="V52" s="13">
        <f ca="1">VLOOKUP($B52,'[12]Analisys QBR By Machine Report'!$C$109:$BD$166,17,FALSE)</f>
        <v>10</v>
      </c>
      <c r="W52" s="13">
        <f ca="1">VLOOKUP($B52,'[12]Analisys QBR By Machine Report'!$C$109:$BD$166,18,FALSE)</f>
        <v>0</v>
      </c>
      <c r="X52" s="13">
        <f ca="1">VLOOKUP($B52,'[12]Analisys QBR By Machine Report'!$C$109:$BD$166,19,FALSE)</f>
        <v>0</v>
      </c>
      <c r="Y52" s="13">
        <f ca="1">VLOOKUP($B52,'[12]Analisys QBR By Machine Report'!$C$109:$BD$166,20,FALSE)</f>
        <v>0</v>
      </c>
      <c r="Z52" s="13">
        <f ca="1">VLOOKUP($B52,'[12]Analisys QBR By Machine Report'!$C$109:$BD$166,21,FALSE)</f>
        <v>1927</v>
      </c>
      <c r="AA52" s="13">
        <f ca="1">VLOOKUP($B52,'[12]Analisys QBR By Machine Report'!$C$109:$BD$166,22,FALSE)</f>
        <v>683</v>
      </c>
      <c r="AB52" s="13">
        <f ca="1">VLOOKUP($B52,'[12]Analisys QBR By Machine Report'!$C$109:$BD$166,23,FALSE)</f>
        <v>1244</v>
      </c>
      <c r="AC52" s="13">
        <f ca="1">VLOOKUP($B52,'[12]Analisys QBR By Machine Report'!$C$109:$BD$166,24,FALSE)</f>
        <v>0</v>
      </c>
      <c r="AD52" s="13">
        <f ca="1">VLOOKUP($B52,'[12]Analisys QBR By Machine Report'!$C$109:$BD$166,25,FALSE)</f>
        <v>0</v>
      </c>
      <c r="AE52" s="13">
        <f ca="1">VLOOKUP($B52,'[12]Analisys QBR By Machine Report'!$C$109:$BD$166,26,FALSE)</f>
        <v>0</v>
      </c>
      <c r="AF52" s="13">
        <f ca="1">VLOOKUP($B52,'[12]Analisys QBR By Machine Report'!$C$109:$BD$166,27,FALSE)</f>
        <v>0</v>
      </c>
      <c r="AG52" s="13">
        <f ca="1">VLOOKUP($B52,'[12]Analisys QBR By Machine Report'!$C$109:$BD$166,28,FALSE)</f>
        <v>0</v>
      </c>
      <c r="AH52" s="13">
        <f ca="1">VLOOKUP($B52,'[12]Analisys QBR By Machine Report'!$C$109:$BD$166,29,FALSE)</f>
        <v>0</v>
      </c>
      <c r="AI52" s="13">
        <f ca="1">VLOOKUP($B52,'[12]Analisys QBR By Machine Report'!$C$109:$BD$166,30,FALSE)</f>
        <v>1768</v>
      </c>
      <c r="AJ52" s="13">
        <f ca="1">VLOOKUP($B52,'[12]Analisys QBR By Machine Report'!$C$109:$BD$166,31,FALSE)</f>
        <v>0</v>
      </c>
      <c r="AK52" s="13">
        <f ca="1">VLOOKUP($B52,'[12]Analisys QBR By Machine Report'!$C$109:$BD$166,32,FALSE)</f>
        <v>0</v>
      </c>
      <c r="AL52" s="13">
        <f ca="1">VLOOKUP($B52,'[12]Analisys QBR By Machine Report'!$C$109:$BD$166,33,FALSE)</f>
        <v>532</v>
      </c>
      <c r="AM52" s="13">
        <f ca="1">VLOOKUP($B52,'[12]Analisys QBR By Machine Report'!$C$109:$BD$166,34,FALSE)</f>
        <v>28</v>
      </c>
      <c r="AN52" s="13">
        <f ca="1">VLOOKUP($B52,'[12]Analisys QBR By Machine Report'!$C$109:$BD$166,35,FALSE)</f>
        <v>450</v>
      </c>
      <c r="AO52" s="13">
        <f ca="1">VLOOKUP($B52,'[12]Analisys QBR By Machine Report'!$C$109:$BD$166,36,FALSE)</f>
        <v>0</v>
      </c>
      <c r="AP52" s="13">
        <f ca="1">VLOOKUP($B52,'[12]Analisys QBR By Machine Report'!$C$109:$BD$166,37,FALSE)</f>
        <v>10</v>
      </c>
      <c r="AQ52" s="13">
        <f ca="1">VLOOKUP($B52,'[12]Analisys QBR By Machine Report'!$C$109:$BD$166,38,FALSE)</f>
        <v>115</v>
      </c>
      <c r="AR52" s="13">
        <f ca="1">VLOOKUP($B52,'[12]Analisys QBR By Machine Report'!$C$109:$BD$166,39,FALSE)</f>
        <v>0</v>
      </c>
      <c r="AS52" s="13">
        <f ca="1">VLOOKUP($B52,'[12]Analisys QBR By Machine Report'!$C$109:$BD$166,40,FALSE)</f>
        <v>85</v>
      </c>
      <c r="AT52" s="13">
        <f ca="1">VLOOKUP($B52,'[12]Analisys QBR By Machine Report'!$C$109:$BD$166,41,FALSE)</f>
        <v>0</v>
      </c>
      <c r="AU52" s="13">
        <f ca="1">VLOOKUP($B52,'[12]Analisys QBR By Machine Report'!$C$109:$BD$166,42,FALSE)</f>
        <v>0</v>
      </c>
      <c r="AV52" s="13">
        <f ca="1">VLOOKUP($B52,'[12]Analisys QBR By Machine Report'!$C$109:$BD$166,43,FALSE)</f>
        <v>491</v>
      </c>
      <c r="AW52" s="13">
        <f ca="1">VLOOKUP($B52,'[12]Analisys QBR By Machine Report'!$C$109:$BD$166,44,FALSE)</f>
        <v>0</v>
      </c>
      <c r="AX52" s="13">
        <f ca="1">VLOOKUP($B52,'[12]Analisys QBR By Machine Report'!$C$109:$BD$166,45,FALSE)</f>
        <v>0</v>
      </c>
      <c r="AY52" s="13">
        <f ca="1">VLOOKUP($B52,'[12]Analisys QBR By Machine Report'!$C$109:$BD$166,46,FALSE)</f>
        <v>0</v>
      </c>
      <c r="AZ52" s="13">
        <f ca="1">VLOOKUP($B52,'[12]Analisys QBR By Machine Report'!$C$109:$BD$166,47,FALSE)</f>
        <v>57</v>
      </c>
      <c r="BA52" s="13">
        <f ca="1">VLOOKUP($B52,'[12]Analisys QBR By Machine Report'!$C$109:$BD$166,48,FALSE)</f>
        <v>0</v>
      </c>
      <c r="BB52" s="13">
        <f ca="1">VLOOKUP($B52,'[12]Analisys QBR By Machine Report'!$C$109:$BD$166,49,FALSE)</f>
        <v>0</v>
      </c>
      <c r="BC52" s="13">
        <f ca="1">VLOOKUP($B52,'[12]Analisys QBR By Machine Report'!$C$109:$BD$166,50,FALSE)</f>
        <v>0</v>
      </c>
      <c r="BD52" s="13">
        <f ca="1">VLOOKUP($B52,'[12]Analisys QBR By Machine Report'!$C$109:$BD$166,51,FALSE)</f>
        <v>372280</v>
      </c>
      <c r="BE52" s="13">
        <f ca="1">VLOOKUP($B52,'[12]Analisys QBR By Machine Report'!$C$109:$BD$166,52,FALSE)</f>
        <v>0</v>
      </c>
      <c r="BF52" s="13">
        <f ca="1">VLOOKUP($B52,'[12]Analisys QBR By Machine Report'!$C$109:$BD$166,53,FALSE)</f>
        <v>372280</v>
      </c>
    </row>
    <row r="53" spans="1:58" x14ac:dyDescent="0.25">
      <c r="A53" s="9" t="s">
        <v>109</v>
      </c>
      <c r="B53" s="10">
        <f ca="1">VLOOKUP($B53,'[12]Analisys QBR By Machine Report'!$C$109:$BD$166,2,FALSE)</f>
        <v>51840</v>
      </c>
      <c r="C53" s="11">
        <f ca="1">VLOOKUP($B53,[12]Dasboard_QBR_Report!$B$109:$BL$166,3,FALSE)</f>
        <v>33480</v>
      </c>
      <c r="D53" s="10">
        <f ca="1">VLOOKUP($B53,'[12]Analisys QBR By Machine Report'!$C$109:$BD$166,3,FALSE)</f>
        <v>35004</v>
      </c>
      <c r="E53" s="11">
        <f ca="1">VLOOKUP($B53,[12]Dasboard_QBR_Report!$B$109:$BL$166,5,FALSE)</f>
        <v>16644</v>
      </c>
      <c r="F53" s="10">
        <f t="shared" ca="1" si="0"/>
        <v>16836</v>
      </c>
      <c r="G53" s="10">
        <f t="shared" ca="1" si="1"/>
        <v>2641</v>
      </c>
      <c r="H53" s="10">
        <f ca="1">VLOOKUP($B53,'[12]Analisys QBR By Machine Report'!$C$109:$BD$166,4,FALSE)</f>
        <v>2641</v>
      </c>
      <c r="I53" s="10">
        <f ca="1">VLOOKUP($B53,'[12]Analisys QBR By Machine Report'!$C$109:$BD$166,5,FALSE)</f>
        <v>288</v>
      </c>
      <c r="J53" s="10">
        <f ca="1">VLOOKUP($B53,'[12]Analisys QBR By Machine Report'!$C$109:$BD$166,6,FALSE)</f>
        <v>2353</v>
      </c>
      <c r="K53" s="10">
        <f ca="1">VLOOKUP($B53,'[12]Analisys QBR By Machine Report'!$C$109:$BD$166,7,FALSE)</f>
        <v>0</v>
      </c>
      <c r="L53" s="10">
        <f ca="1">VLOOKUP($B53,'[12]Analisys QBR By Machine Report'!$C$109:$BD$166,8,FALSE)</f>
        <v>14195</v>
      </c>
      <c r="M53" s="10">
        <f ca="1">VLOOKUP($B53,'[12]Analisys QBR By Machine Report'!$C$109:$BD$166,9,FALSE)</f>
        <v>6905</v>
      </c>
      <c r="N53" s="10">
        <f ca="1">VLOOKUP($B53,[12]Dasboard_QBR_Report!$B$109:$BL$166,18,FALSE)</f>
        <v>7290</v>
      </c>
      <c r="O53" s="10">
        <f ca="1">VLOOKUP($B53,'[12]Analisys QBR By Machine Report'!$C$109:$BD$166,10,FALSE)</f>
        <v>655</v>
      </c>
      <c r="P53" s="10">
        <f ca="1">VLOOKUP($B53,'[12]Analisys QBR By Machine Report'!$C$109:$BD$166,11,FALSE)</f>
        <v>435</v>
      </c>
      <c r="Q53" s="10">
        <f ca="1">VLOOKUP($B53,'[12]Analisys QBR By Machine Report'!$C$109:$BD$166,12,FALSE)</f>
        <v>0</v>
      </c>
      <c r="R53" s="10">
        <f ca="1">VLOOKUP($B53,'[12]Analisys QBR By Machine Report'!$C$109:$BD$166,13,FALSE)</f>
        <v>220</v>
      </c>
      <c r="S53" s="10">
        <f ca="1">VLOOKUP($B53,'[12]Analisys QBR By Machine Report'!$C$109:$BD$166,14,FALSE)</f>
        <v>0</v>
      </c>
      <c r="T53" s="10">
        <f ca="1">VLOOKUP($B53,'[12]Analisys QBR By Machine Report'!$C$109:$BD$166,15,FALSE)</f>
        <v>0</v>
      </c>
      <c r="U53" s="10">
        <f ca="1">VLOOKUP($B53,'[12]Analisys QBR By Machine Report'!$C$109:$BD$166,16,FALSE)</f>
        <v>0</v>
      </c>
      <c r="V53" s="10">
        <f ca="1">VLOOKUP($B53,'[12]Analisys QBR By Machine Report'!$C$109:$BD$166,17,FALSE)</f>
        <v>0</v>
      </c>
      <c r="W53" s="10">
        <f ca="1">VLOOKUP($B53,'[12]Analisys QBR By Machine Report'!$C$109:$BD$166,18,FALSE)</f>
        <v>0</v>
      </c>
      <c r="X53" s="10">
        <f ca="1">VLOOKUP($B53,'[12]Analisys QBR By Machine Report'!$C$109:$BD$166,19,FALSE)</f>
        <v>0</v>
      </c>
      <c r="Y53" s="10">
        <f ca="1">VLOOKUP($B53,'[12]Analisys QBR By Machine Report'!$C$109:$BD$166,20,FALSE)</f>
        <v>0</v>
      </c>
      <c r="Z53" s="10">
        <f ca="1">VLOOKUP($B53,'[12]Analisys QBR By Machine Report'!$C$109:$BD$166,21,FALSE)</f>
        <v>5457</v>
      </c>
      <c r="AA53" s="10">
        <f ca="1">VLOOKUP($B53,'[12]Analisys QBR By Machine Report'!$C$109:$BD$166,22,FALSE)</f>
        <v>4441</v>
      </c>
      <c r="AB53" s="10">
        <f ca="1">VLOOKUP($B53,'[12]Analisys QBR By Machine Report'!$C$109:$BD$166,23,FALSE)</f>
        <v>765</v>
      </c>
      <c r="AC53" s="10">
        <f ca="1">VLOOKUP($B53,'[12]Analisys QBR By Machine Report'!$C$109:$BD$166,24,FALSE)</f>
        <v>251</v>
      </c>
      <c r="AD53" s="10">
        <f ca="1">VLOOKUP($B53,'[12]Analisys QBR By Machine Report'!$C$109:$BD$166,25,FALSE)</f>
        <v>0</v>
      </c>
      <c r="AE53" s="10">
        <f ca="1">VLOOKUP($B53,'[12]Analisys QBR By Machine Report'!$C$109:$BD$166,26,FALSE)</f>
        <v>0</v>
      </c>
      <c r="AF53" s="10">
        <f ca="1">VLOOKUP($B53,'[12]Analisys QBR By Machine Report'!$C$109:$BD$166,27,FALSE)</f>
        <v>0</v>
      </c>
      <c r="AG53" s="10">
        <f ca="1">VLOOKUP($B53,'[12]Analisys QBR By Machine Report'!$C$109:$BD$166,28,FALSE)</f>
        <v>0</v>
      </c>
      <c r="AH53" s="10">
        <f ca="1">VLOOKUP($B53,'[12]Analisys QBR By Machine Report'!$C$109:$BD$166,29,FALSE)</f>
        <v>0</v>
      </c>
      <c r="AI53" s="10">
        <f ca="1">VLOOKUP($B53,'[12]Analisys QBR By Machine Report'!$C$109:$BD$166,30,FALSE)</f>
        <v>1178</v>
      </c>
      <c r="AJ53" s="10">
        <f ca="1">VLOOKUP($B53,'[12]Analisys QBR By Machine Report'!$C$109:$BD$166,31,FALSE)</f>
        <v>0</v>
      </c>
      <c r="AK53" s="10">
        <f ca="1">VLOOKUP($B53,'[12]Analisys QBR By Machine Report'!$C$109:$BD$166,32,FALSE)</f>
        <v>0</v>
      </c>
      <c r="AL53" s="10">
        <f ca="1">VLOOKUP($B53,'[12]Analisys QBR By Machine Report'!$C$109:$BD$166,33,FALSE)</f>
        <v>0</v>
      </c>
      <c r="AM53" s="10">
        <f ca="1">VLOOKUP($B53,'[12]Analisys QBR By Machine Report'!$C$109:$BD$166,34,FALSE)</f>
        <v>0</v>
      </c>
      <c r="AN53" s="10">
        <f ca="1">VLOOKUP($B53,'[12]Analisys QBR By Machine Report'!$C$109:$BD$166,35,FALSE)</f>
        <v>0</v>
      </c>
      <c r="AO53" s="10">
        <f ca="1">VLOOKUP($B53,'[12]Analisys QBR By Machine Report'!$C$109:$BD$166,36,FALSE)</f>
        <v>0</v>
      </c>
      <c r="AP53" s="10">
        <f ca="1">VLOOKUP($B53,'[12]Analisys QBR By Machine Report'!$C$109:$BD$166,37,FALSE)</f>
        <v>0</v>
      </c>
      <c r="AQ53" s="10">
        <f ca="1">VLOOKUP($B53,'[12]Analisys QBR By Machine Report'!$C$109:$BD$166,38,FALSE)</f>
        <v>80</v>
      </c>
      <c r="AR53" s="10">
        <f ca="1">VLOOKUP($B53,'[12]Analisys QBR By Machine Report'!$C$109:$BD$166,39,FALSE)</f>
        <v>1098</v>
      </c>
      <c r="AS53" s="10">
        <f ca="1">VLOOKUP($B53,'[12]Analisys QBR By Machine Report'!$C$109:$BD$166,40,FALSE)</f>
        <v>0</v>
      </c>
      <c r="AT53" s="10">
        <f ca="1">VLOOKUP($B53,'[12]Analisys QBR By Machine Report'!$C$109:$BD$166,41,FALSE)</f>
        <v>0</v>
      </c>
      <c r="AU53" s="10">
        <f ca="1">VLOOKUP($B53,'[12]Analisys QBR By Machine Report'!$C$109:$BD$166,42,FALSE)</f>
        <v>0</v>
      </c>
      <c r="AV53" s="10">
        <f ca="1">VLOOKUP($B53,'[12]Analisys QBR By Machine Report'!$C$109:$BD$166,43,FALSE)</f>
        <v>0</v>
      </c>
      <c r="AW53" s="10">
        <f ca="1">VLOOKUP($B53,'[12]Analisys QBR By Machine Report'!$C$109:$BD$166,44,FALSE)</f>
        <v>0</v>
      </c>
      <c r="AX53" s="10">
        <f ca="1">VLOOKUP($B53,'[12]Analisys QBR By Machine Report'!$C$109:$BD$166,45,FALSE)</f>
        <v>0</v>
      </c>
      <c r="AY53" s="10">
        <f ca="1">VLOOKUP($B53,'[12]Analisys QBR By Machine Report'!$C$109:$BD$166,46,FALSE)</f>
        <v>0</v>
      </c>
      <c r="AZ53" s="10">
        <f ca="1">VLOOKUP($B53,'[12]Analisys QBR By Machine Report'!$C$109:$BD$166,47,FALSE)</f>
        <v>0</v>
      </c>
      <c r="BA53" s="10">
        <f ca="1">VLOOKUP($B53,'[12]Analisys QBR By Machine Report'!$C$109:$BD$166,48,FALSE)</f>
        <v>0</v>
      </c>
      <c r="BB53" s="10">
        <f ca="1">VLOOKUP($B53,'[12]Analisys QBR By Machine Report'!$C$109:$BD$166,49,FALSE)</f>
        <v>0</v>
      </c>
      <c r="BC53" s="10">
        <f ca="1">VLOOKUP($B53,'[12]Analisys QBR By Machine Report'!$C$109:$BD$166,50,FALSE)</f>
        <v>0</v>
      </c>
      <c r="BD53" s="10">
        <f ca="1">VLOOKUP($B53,'[12]Analisys QBR By Machine Report'!$C$109:$BD$166,51,FALSE)</f>
        <v>652</v>
      </c>
      <c r="BE53" s="10">
        <f ca="1">VLOOKUP($B53,'[12]Analisys QBR By Machine Report'!$C$109:$BD$166,52,FALSE)</f>
        <v>0</v>
      </c>
      <c r="BF53" s="10">
        <f ca="1">VLOOKUP($B53,'[12]Analisys QBR By Machine Report'!$C$109:$BD$166,53,FALSE)</f>
        <v>652</v>
      </c>
    </row>
    <row r="54" spans="1:58" x14ac:dyDescent="0.25">
      <c r="A54" s="12" t="s">
        <v>110</v>
      </c>
      <c r="B54" s="13">
        <f ca="1">VLOOKUP($B54,'[12]Analisys QBR By Machine Report'!$C$109:$BD$166,2,FALSE)</f>
        <v>25920</v>
      </c>
      <c r="C54" s="14">
        <f ca="1">VLOOKUP($B54,[12]Dasboard_QBR_Report!$B$109:$BL$166,3,FALSE)</f>
        <v>16740</v>
      </c>
      <c r="D54" s="13">
        <f ca="1">VLOOKUP($B54,'[12]Analisys QBR By Machine Report'!$C$109:$BD$166,3,FALSE)</f>
        <v>17484</v>
      </c>
      <c r="E54" s="14">
        <f ca="1">VLOOKUP($B54,[12]Dasboard_QBR_Report!$B$109:$BL$166,5,FALSE)</f>
        <v>8304</v>
      </c>
      <c r="F54" s="13">
        <f t="shared" ca="1" si="0"/>
        <v>8436</v>
      </c>
      <c r="G54" s="13">
        <f t="shared" ca="1" si="1"/>
        <v>966</v>
      </c>
      <c r="H54" s="13">
        <f ca="1">VLOOKUP($B54,'[12]Analisys QBR By Machine Report'!$C$109:$BD$166,4,FALSE)</f>
        <v>966</v>
      </c>
      <c r="I54" s="13">
        <f ca="1">VLOOKUP($B54,'[12]Analisys QBR By Machine Report'!$C$109:$BD$166,5,FALSE)</f>
        <v>288</v>
      </c>
      <c r="J54" s="13">
        <f ca="1">VLOOKUP($B54,'[12]Analisys QBR By Machine Report'!$C$109:$BD$166,6,FALSE)</f>
        <v>678</v>
      </c>
      <c r="K54" s="13">
        <f ca="1">VLOOKUP($B54,'[12]Analisys QBR By Machine Report'!$C$109:$BD$166,7,FALSE)</f>
        <v>0</v>
      </c>
      <c r="L54" s="13">
        <f ca="1">VLOOKUP($B54,'[12]Analisys QBR By Machine Report'!$C$109:$BD$166,8,FALSE)</f>
        <v>7470</v>
      </c>
      <c r="M54" s="13">
        <f ca="1">VLOOKUP($B54,'[12]Analisys QBR By Machine Report'!$C$109:$BD$166,9,FALSE)</f>
        <v>3603</v>
      </c>
      <c r="N54" s="13">
        <f ca="1">VLOOKUP($B54,[12]Dasboard_QBR_Report!$B$109:$BL$166,18,FALSE)</f>
        <v>3867</v>
      </c>
      <c r="O54" s="13">
        <f ca="1">VLOOKUP($B54,'[12]Analisys QBR By Machine Report'!$C$109:$BD$166,10,FALSE)</f>
        <v>312</v>
      </c>
      <c r="P54" s="13">
        <f ca="1">VLOOKUP($B54,'[12]Analisys QBR By Machine Report'!$C$109:$BD$166,11,FALSE)</f>
        <v>227</v>
      </c>
      <c r="Q54" s="13">
        <f ca="1">VLOOKUP($B54,'[12]Analisys QBR By Machine Report'!$C$109:$BD$166,12,FALSE)</f>
        <v>0</v>
      </c>
      <c r="R54" s="13">
        <f ca="1">VLOOKUP($B54,'[12]Analisys QBR By Machine Report'!$C$109:$BD$166,13,FALSE)</f>
        <v>85</v>
      </c>
      <c r="S54" s="13">
        <f ca="1">VLOOKUP($B54,'[12]Analisys QBR By Machine Report'!$C$109:$BD$166,14,FALSE)</f>
        <v>0</v>
      </c>
      <c r="T54" s="13">
        <f ca="1">VLOOKUP($B54,'[12]Analisys QBR By Machine Report'!$C$109:$BD$166,15,FALSE)</f>
        <v>0</v>
      </c>
      <c r="U54" s="13">
        <f ca="1">VLOOKUP($B54,'[12]Analisys QBR By Machine Report'!$C$109:$BD$166,16,FALSE)</f>
        <v>0</v>
      </c>
      <c r="V54" s="13">
        <f ca="1">VLOOKUP($B54,'[12]Analisys QBR By Machine Report'!$C$109:$BD$166,17,FALSE)</f>
        <v>0</v>
      </c>
      <c r="W54" s="13">
        <f ca="1">VLOOKUP($B54,'[12]Analisys QBR By Machine Report'!$C$109:$BD$166,18,FALSE)</f>
        <v>0</v>
      </c>
      <c r="X54" s="13">
        <f ca="1">VLOOKUP($B54,'[12]Analisys QBR By Machine Report'!$C$109:$BD$166,19,FALSE)</f>
        <v>0</v>
      </c>
      <c r="Y54" s="13">
        <f ca="1">VLOOKUP($B54,'[12]Analisys QBR By Machine Report'!$C$109:$BD$166,20,FALSE)</f>
        <v>0</v>
      </c>
      <c r="Z54" s="13">
        <f ca="1">VLOOKUP($B54,'[12]Analisys QBR By Machine Report'!$C$109:$BD$166,21,FALSE)</f>
        <v>3276</v>
      </c>
      <c r="AA54" s="13">
        <f ca="1">VLOOKUP($B54,'[12]Analisys QBR By Machine Report'!$C$109:$BD$166,22,FALSE)</f>
        <v>2684</v>
      </c>
      <c r="AB54" s="13">
        <f ca="1">VLOOKUP($B54,'[12]Analisys QBR By Machine Report'!$C$109:$BD$166,23,FALSE)</f>
        <v>341</v>
      </c>
      <c r="AC54" s="13">
        <f ca="1">VLOOKUP($B54,'[12]Analisys QBR By Machine Report'!$C$109:$BD$166,24,FALSE)</f>
        <v>251</v>
      </c>
      <c r="AD54" s="13">
        <f ca="1">VLOOKUP($B54,'[12]Analisys QBR By Machine Report'!$C$109:$BD$166,25,FALSE)</f>
        <v>0</v>
      </c>
      <c r="AE54" s="13">
        <f ca="1">VLOOKUP($B54,'[12]Analisys QBR By Machine Report'!$C$109:$BD$166,26,FALSE)</f>
        <v>0</v>
      </c>
      <c r="AF54" s="13">
        <f ca="1">VLOOKUP($B54,'[12]Analisys QBR By Machine Report'!$C$109:$BD$166,27,FALSE)</f>
        <v>0</v>
      </c>
      <c r="AG54" s="13">
        <f ca="1">VLOOKUP($B54,'[12]Analisys QBR By Machine Report'!$C$109:$BD$166,28,FALSE)</f>
        <v>0</v>
      </c>
      <c r="AH54" s="13">
        <f ca="1">VLOOKUP($B54,'[12]Analisys QBR By Machine Report'!$C$109:$BD$166,29,FALSE)</f>
        <v>0</v>
      </c>
      <c r="AI54" s="13">
        <f ca="1">VLOOKUP($B54,'[12]Analisys QBR By Machine Report'!$C$109:$BD$166,30,FALSE)</f>
        <v>279</v>
      </c>
      <c r="AJ54" s="13">
        <f ca="1">VLOOKUP($B54,'[12]Analisys QBR By Machine Report'!$C$109:$BD$166,31,FALSE)</f>
        <v>0</v>
      </c>
      <c r="AK54" s="13">
        <f ca="1">VLOOKUP($B54,'[12]Analisys QBR By Machine Report'!$C$109:$BD$166,32,FALSE)</f>
        <v>0</v>
      </c>
      <c r="AL54" s="13">
        <f ca="1">VLOOKUP($B54,'[12]Analisys QBR By Machine Report'!$C$109:$BD$166,33,FALSE)</f>
        <v>0</v>
      </c>
      <c r="AM54" s="13">
        <f ca="1">VLOOKUP($B54,'[12]Analisys QBR By Machine Report'!$C$109:$BD$166,34,FALSE)</f>
        <v>0</v>
      </c>
      <c r="AN54" s="13">
        <f ca="1">VLOOKUP($B54,'[12]Analisys QBR By Machine Report'!$C$109:$BD$166,35,FALSE)</f>
        <v>0</v>
      </c>
      <c r="AO54" s="13">
        <f ca="1">VLOOKUP($B54,'[12]Analisys QBR By Machine Report'!$C$109:$BD$166,36,FALSE)</f>
        <v>0</v>
      </c>
      <c r="AP54" s="13">
        <f ca="1">VLOOKUP($B54,'[12]Analisys QBR By Machine Report'!$C$109:$BD$166,37,FALSE)</f>
        <v>0</v>
      </c>
      <c r="AQ54" s="13">
        <f ca="1">VLOOKUP($B54,'[12]Analisys QBR By Machine Report'!$C$109:$BD$166,38,FALSE)</f>
        <v>55</v>
      </c>
      <c r="AR54" s="13">
        <f ca="1">VLOOKUP($B54,'[12]Analisys QBR By Machine Report'!$C$109:$BD$166,39,FALSE)</f>
        <v>224</v>
      </c>
      <c r="AS54" s="13">
        <f ca="1">VLOOKUP($B54,'[12]Analisys QBR By Machine Report'!$C$109:$BD$166,40,FALSE)</f>
        <v>0</v>
      </c>
      <c r="AT54" s="13">
        <f ca="1">VLOOKUP($B54,'[12]Analisys QBR By Machine Report'!$C$109:$BD$166,41,FALSE)</f>
        <v>0</v>
      </c>
      <c r="AU54" s="13">
        <f ca="1">VLOOKUP($B54,'[12]Analisys QBR By Machine Report'!$C$109:$BD$166,42,FALSE)</f>
        <v>0</v>
      </c>
      <c r="AV54" s="13">
        <f ca="1">VLOOKUP($B54,'[12]Analisys QBR By Machine Report'!$C$109:$BD$166,43,FALSE)</f>
        <v>0</v>
      </c>
      <c r="AW54" s="13">
        <f ca="1">VLOOKUP($B54,'[12]Analisys QBR By Machine Report'!$C$109:$BD$166,44,FALSE)</f>
        <v>0</v>
      </c>
      <c r="AX54" s="13">
        <f ca="1">VLOOKUP($B54,'[12]Analisys QBR By Machine Report'!$C$109:$BD$166,45,FALSE)</f>
        <v>0</v>
      </c>
      <c r="AY54" s="13">
        <f ca="1">VLOOKUP($B54,'[12]Analisys QBR By Machine Report'!$C$109:$BD$166,46,FALSE)</f>
        <v>0</v>
      </c>
      <c r="AZ54" s="13">
        <f ca="1">VLOOKUP($B54,'[12]Analisys QBR By Machine Report'!$C$109:$BD$166,47,FALSE)</f>
        <v>0</v>
      </c>
      <c r="BA54" s="13">
        <f ca="1">VLOOKUP($B54,'[12]Analisys QBR By Machine Report'!$C$109:$BD$166,48,FALSE)</f>
        <v>0</v>
      </c>
      <c r="BB54" s="13">
        <f ca="1">VLOOKUP($B54,'[12]Analisys QBR By Machine Report'!$C$109:$BD$166,49,FALSE)</f>
        <v>0</v>
      </c>
      <c r="BC54" s="13">
        <f ca="1">VLOOKUP($B54,'[12]Analisys QBR By Machine Report'!$C$109:$BD$166,50,FALSE)</f>
        <v>0</v>
      </c>
      <c r="BD54" s="13">
        <f ca="1">VLOOKUP($B54,'[12]Analisys QBR By Machine Report'!$C$109:$BD$166,51,FALSE)</f>
        <v>388</v>
      </c>
      <c r="BE54" s="13">
        <f ca="1">VLOOKUP($B54,'[12]Analisys QBR By Machine Report'!$C$109:$BD$166,52,FALSE)</f>
        <v>0</v>
      </c>
      <c r="BF54" s="13">
        <f ca="1">VLOOKUP($B54,'[12]Analisys QBR By Machine Report'!$C$109:$BD$166,53,FALSE)</f>
        <v>388</v>
      </c>
    </row>
    <row r="55" spans="1:58" x14ac:dyDescent="0.25">
      <c r="A55" s="12" t="s">
        <v>111</v>
      </c>
      <c r="B55" s="13">
        <f ca="1">VLOOKUP($B55,'[12]Analisys QBR By Machine Report'!$C$109:$BD$166,2,FALSE)</f>
        <v>25920</v>
      </c>
      <c r="C55" s="14">
        <f ca="1">VLOOKUP($B55,[12]Dasboard_QBR_Report!$B$109:$BL$166,3,FALSE)</f>
        <v>16740</v>
      </c>
      <c r="D55" s="13">
        <f ca="1">VLOOKUP($B55,'[12]Analisys QBR By Machine Report'!$C$109:$BD$166,3,FALSE)</f>
        <v>17520</v>
      </c>
      <c r="E55" s="14">
        <f ca="1">VLOOKUP($B55,[12]Dasboard_QBR_Report!$B$109:$BL$166,5,FALSE)</f>
        <v>8340</v>
      </c>
      <c r="F55" s="13">
        <f t="shared" ca="1" si="0"/>
        <v>8400</v>
      </c>
      <c r="G55" s="13">
        <f t="shared" ca="1" si="1"/>
        <v>1675</v>
      </c>
      <c r="H55" s="13">
        <f ca="1">VLOOKUP($B55,'[12]Analisys QBR By Machine Report'!$C$109:$BD$166,4,FALSE)</f>
        <v>1675</v>
      </c>
      <c r="I55" s="13">
        <f ca="1">VLOOKUP($B55,'[12]Analisys QBR By Machine Report'!$C$109:$BD$166,5,FALSE)</f>
        <v>0</v>
      </c>
      <c r="J55" s="13">
        <f ca="1">VLOOKUP($B55,'[12]Analisys QBR By Machine Report'!$C$109:$BD$166,6,FALSE)</f>
        <v>1675</v>
      </c>
      <c r="K55" s="13">
        <f ca="1">VLOOKUP($B55,'[12]Analisys QBR By Machine Report'!$C$109:$BD$166,7,FALSE)</f>
        <v>0</v>
      </c>
      <c r="L55" s="13">
        <f ca="1">VLOOKUP($B55,'[12]Analisys QBR By Machine Report'!$C$109:$BD$166,8,FALSE)</f>
        <v>6725</v>
      </c>
      <c r="M55" s="13">
        <f ca="1">VLOOKUP($B55,'[12]Analisys QBR By Machine Report'!$C$109:$BD$166,9,FALSE)</f>
        <v>3302</v>
      </c>
      <c r="N55" s="13">
        <f ca="1">VLOOKUP($B55,[12]Dasboard_QBR_Report!$B$109:$BL$166,18,FALSE)</f>
        <v>3423</v>
      </c>
      <c r="O55" s="13">
        <f ca="1">VLOOKUP($B55,'[12]Analisys QBR By Machine Report'!$C$109:$BD$166,10,FALSE)</f>
        <v>343</v>
      </c>
      <c r="P55" s="13">
        <f ca="1">VLOOKUP($B55,'[12]Analisys QBR By Machine Report'!$C$109:$BD$166,11,FALSE)</f>
        <v>208</v>
      </c>
      <c r="Q55" s="13">
        <f ca="1">VLOOKUP($B55,'[12]Analisys QBR By Machine Report'!$C$109:$BD$166,12,FALSE)</f>
        <v>0</v>
      </c>
      <c r="R55" s="13">
        <f ca="1">VLOOKUP($B55,'[12]Analisys QBR By Machine Report'!$C$109:$BD$166,13,FALSE)</f>
        <v>135</v>
      </c>
      <c r="S55" s="13">
        <f ca="1">VLOOKUP($B55,'[12]Analisys QBR By Machine Report'!$C$109:$BD$166,14,FALSE)</f>
        <v>0</v>
      </c>
      <c r="T55" s="13">
        <f ca="1">VLOOKUP($B55,'[12]Analisys QBR By Machine Report'!$C$109:$BD$166,15,FALSE)</f>
        <v>0</v>
      </c>
      <c r="U55" s="13">
        <f ca="1">VLOOKUP($B55,'[12]Analisys QBR By Machine Report'!$C$109:$BD$166,16,FALSE)</f>
        <v>0</v>
      </c>
      <c r="V55" s="13">
        <f ca="1">VLOOKUP($B55,'[12]Analisys QBR By Machine Report'!$C$109:$BD$166,17,FALSE)</f>
        <v>0</v>
      </c>
      <c r="W55" s="13">
        <f ca="1">VLOOKUP($B55,'[12]Analisys QBR By Machine Report'!$C$109:$BD$166,18,FALSE)</f>
        <v>0</v>
      </c>
      <c r="X55" s="13">
        <f ca="1">VLOOKUP($B55,'[12]Analisys QBR By Machine Report'!$C$109:$BD$166,19,FALSE)</f>
        <v>0</v>
      </c>
      <c r="Y55" s="13">
        <f ca="1">VLOOKUP($B55,'[12]Analisys QBR By Machine Report'!$C$109:$BD$166,20,FALSE)</f>
        <v>0</v>
      </c>
      <c r="Z55" s="13">
        <f ca="1">VLOOKUP($B55,'[12]Analisys QBR By Machine Report'!$C$109:$BD$166,21,FALSE)</f>
        <v>2181</v>
      </c>
      <c r="AA55" s="13">
        <f ca="1">VLOOKUP($B55,'[12]Analisys QBR By Machine Report'!$C$109:$BD$166,22,FALSE)</f>
        <v>1757</v>
      </c>
      <c r="AB55" s="13">
        <f ca="1">VLOOKUP($B55,'[12]Analisys QBR By Machine Report'!$C$109:$BD$166,23,FALSE)</f>
        <v>424</v>
      </c>
      <c r="AC55" s="13">
        <f ca="1">VLOOKUP($B55,'[12]Analisys QBR By Machine Report'!$C$109:$BD$166,24,FALSE)</f>
        <v>0</v>
      </c>
      <c r="AD55" s="13">
        <f ca="1">VLOOKUP($B55,'[12]Analisys QBR By Machine Report'!$C$109:$BD$166,25,FALSE)</f>
        <v>0</v>
      </c>
      <c r="AE55" s="13">
        <f ca="1">VLOOKUP($B55,'[12]Analisys QBR By Machine Report'!$C$109:$BD$166,26,FALSE)</f>
        <v>0</v>
      </c>
      <c r="AF55" s="13">
        <f ca="1">VLOOKUP($B55,'[12]Analisys QBR By Machine Report'!$C$109:$BD$166,27,FALSE)</f>
        <v>0</v>
      </c>
      <c r="AG55" s="13">
        <f ca="1">VLOOKUP($B55,'[12]Analisys QBR By Machine Report'!$C$109:$BD$166,28,FALSE)</f>
        <v>0</v>
      </c>
      <c r="AH55" s="13">
        <f ca="1">VLOOKUP($B55,'[12]Analisys QBR By Machine Report'!$C$109:$BD$166,29,FALSE)</f>
        <v>0</v>
      </c>
      <c r="AI55" s="13">
        <f ca="1">VLOOKUP($B55,'[12]Analisys QBR By Machine Report'!$C$109:$BD$166,30,FALSE)</f>
        <v>899</v>
      </c>
      <c r="AJ55" s="13">
        <f ca="1">VLOOKUP($B55,'[12]Analisys QBR By Machine Report'!$C$109:$BD$166,31,FALSE)</f>
        <v>0</v>
      </c>
      <c r="AK55" s="13">
        <f ca="1">VLOOKUP($B55,'[12]Analisys QBR By Machine Report'!$C$109:$BD$166,32,FALSE)</f>
        <v>0</v>
      </c>
      <c r="AL55" s="13">
        <f ca="1">VLOOKUP($B55,'[12]Analisys QBR By Machine Report'!$C$109:$BD$166,33,FALSE)</f>
        <v>0</v>
      </c>
      <c r="AM55" s="13">
        <f ca="1">VLOOKUP($B55,'[12]Analisys QBR By Machine Report'!$C$109:$BD$166,34,FALSE)</f>
        <v>0</v>
      </c>
      <c r="AN55" s="13">
        <f ca="1">VLOOKUP($B55,'[12]Analisys QBR By Machine Report'!$C$109:$BD$166,35,FALSE)</f>
        <v>0</v>
      </c>
      <c r="AO55" s="13">
        <f ca="1">VLOOKUP($B55,'[12]Analisys QBR By Machine Report'!$C$109:$BD$166,36,FALSE)</f>
        <v>0</v>
      </c>
      <c r="AP55" s="13">
        <f ca="1">VLOOKUP($B55,'[12]Analisys QBR By Machine Report'!$C$109:$BD$166,37,FALSE)</f>
        <v>0</v>
      </c>
      <c r="AQ55" s="13">
        <f ca="1">VLOOKUP($B55,'[12]Analisys QBR By Machine Report'!$C$109:$BD$166,38,FALSE)</f>
        <v>25</v>
      </c>
      <c r="AR55" s="13">
        <f ca="1">VLOOKUP($B55,'[12]Analisys QBR By Machine Report'!$C$109:$BD$166,39,FALSE)</f>
        <v>874</v>
      </c>
      <c r="AS55" s="13">
        <f ca="1">VLOOKUP($B55,'[12]Analisys QBR By Machine Report'!$C$109:$BD$166,40,FALSE)</f>
        <v>0</v>
      </c>
      <c r="AT55" s="13">
        <f ca="1">VLOOKUP($B55,'[12]Analisys QBR By Machine Report'!$C$109:$BD$166,41,FALSE)</f>
        <v>0</v>
      </c>
      <c r="AU55" s="13">
        <f ca="1">VLOOKUP($B55,'[12]Analisys QBR By Machine Report'!$C$109:$BD$166,42,FALSE)</f>
        <v>0</v>
      </c>
      <c r="AV55" s="13">
        <f ca="1">VLOOKUP($B55,'[12]Analisys QBR By Machine Report'!$C$109:$BD$166,43,FALSE)</f>
        <v>0</v>
      </c>
      <c r="AW55" s="13">
        <f ca="1">VLOOKUP($B55,'[12]Analisys QBR By Machine Report'!$C$109:$BD$166,44,FALSE)</f>
        <v>0</v>
      </c>
      <c r="AX55" s="13">
        <f ca="1">VLOOKUP($B55,'[12]Analisys QBR By Machine Report'!$C$109:$BD$166,45,FALSE)</f>
        <v>0</v>
      </c>
      <c r="AY55" s="13">
        <f ca="1">VLOOKUP($B55,'[12]Analisys QBR By Machine Report'!$C$109:$BD$166,46,FALSE)</f>
        <v>0</v>
      </c>
      <c r="AZ55" s="13">
        <f ca="1">VLOOKUP($B55,'[12]Analisys QBR By Machine Report'!$C$109:$BD$166,47,FALSE)</f>
        <v>0</v>
      </c>
      <c r="BA55" s="13">
        <f ca="1">VLOOKUP($B55,'[12]Analisys QBR By Machine Report'!$C$109:$BD$166,48,FALSE)</f>
        <v>0</v>
      </c>
      <c r="BB55" s="13">
        <f ca="1">VLOOKUP($B55,'[12]Analisys QBR By Machine Report'!$C$109:$BD$166,49,FALSE)</f>
        <v>0</v>
      </c>
      <c r="BC55" s="13">
        <f ca="1">VLOOKUP($B55,'[12]Analisys QBR By Machine Report'!$C$109:$BD$166,50,FALSE)</f>
        <v>0</v>
      </c>
      <c r="BD55" s="13">
        <f ca="1">VLOOKUP($B55,'[12]Analisys QBR By Machine Report'!$C$109:$BD$166,51,FALSE)</f>
        <v>264</v>
      </c>
      <c r="BE55" s="13">
        <f ca="1">VLOOKUP($B55,'[12]Analisys QBR By Machine Report'!$C$109:$BD$166,52,FALSE)</f>
        <v>0</v>
      </c>
      <c r="BF55" s="13">
        <f ca="1">VLOOKUP($B55,'[12]Analisys QBR By Machine Report'!$C$109:$BD$166,53,FALSE)</f>
        <v>264</v>
      </c>
    </row>
    <row r="56" spans="1:58" x14ac:dyDescent="0.25">
      <c r="A56" s="9" t="s">
        <v>112</v>
      </c>
      <c r="B56" s="10">
        <f ca="1">VLOOKUP($B56,'[12]Analisys QBR By Machine Report'!$C$109:$BD$166,2,FALSE)</f>
        <v>51840</v>
      </c>
      <c r="C56" s="11">
        <f ca="1">VLOOKUP($B56,[12]Dasboard_QBR_Report!$B$109:$BL$166,3,FALSE)</f>
        <v>17280</v>
      </c>
      <c r="D56" s="10">
        <f ca="1">VLOOKUP($B56,'[12]Analisys QBR By Machine Report'!$C$109:$BD$166,3,FALSE)</f>
        <v>32790</v>
      </c>
      <c r="E56" s="11">
        <f ca="1">VLOOKUP($B56,[12]Dasboard_QBR_Report!$B$109:$BL$166,5,FALSE)</f>
        <v>-1770</v>
      </c>
      <c r="F56" s="10">
        <f t="shared" ca="1" si="0"/>
        <v>19050</v>
      </c>
      <c r="G56" s="10">
        <f t="shared" ca="1" si="1"/>
        <v>2715</v>
      </c>
      <c r="H56" s="10">
        <f ca="1">VLOOKUP($B56,'[12]Analisys QBR By Machine Report'!$C$109:$BD$166,4,FALSE)</f>
        <v>2715</v>
      </c>
      <c r="I56" s="10">
        <f ca="1">VLOOKUP($B56,'[12]Analisys QBR By Machine Report'!$C$109:$BD$166,5,FALSE)</f>
        <v>280</v>
      </c>
      <c r="J56" s="10">
        <f ca="1">VLOOKUP($B56,'[12]Analisys QBR By Machine Report'!$C$109:$BD$166,6,FALSE)</f>
        <v>2435</v>
      </c>
      <c r="K56" s="10">
        <f ca="1">VLOOKUP($B56,'[12]Analisys QBR By Machine Report'!$C$109:$BD$166,7,FALSE)</f>
        <v>0</v>
      </c>
      <c r="L56" s="10">
        <f ca="1">VLOOKUP($B56,'[12]Analisys QBR By Machine Report'!$C$109:$BD$166,8,FALSE)</f>
        <v>16335</v>
      </c>
      <c r="M56" s="10">
        <f ca="1">VLOOKUP($B56,'[12]Analisys QBR By Machine Report'!$C$109:$BD$166,9,FALSE)</f>
        <v>6631</v>
      </c>
      <c r="N56" s="10">
        <f ca="1">VLOOKUP($B56,[12]Dasboard_QBR_Report!$B$109:$BL$166,18,FALSE)</f>
        <v>9704</v>
      </c>
      <c r="O56" s="10">
        <f ca="1">VLOOKUP($B56,'[12]Analisys QBR By Machine Report'!$C$109:$BD$166,10,FALSE)</f>
        <v>3458</v>
      </c>
      <c r="P56" s="10">
        <f ca="1">VLOOKUP($B56,'[12]Analisys QBR By Machine Report'!$C$109:$BD$166,11,FALSE)</f>
        <v>1187</v>
      </c>
      <c r="Q56" s="10">
        <f ca="1">VLOOKUP($B56,'[12]Analisys QBR By Machine Report'!$C$109:$BD$166,12,FALSE)</f>
        <v>120</v>
      </c>
      <c r="R56" s="10">
        <f ca="1">VLOOKUP($B56,'[12]Analisys QBR By Machine Report'!$C$109:$BD$166,13,FALSE)</f>
        <v>803</v>
      </c>
      <c r="S56" s="10">
        <f ca="1">VLOOKUP($B56,'[12]Analisys QBR By Machine Report'!$C$109:$BD$166,14,FALSE)</f>
        <v>1348</v>
      </c>
      <c r="T56" s="10">
        <f ca="1">VLOOKUP($B56,'[12]Analisys QBR By Machine Report'!$C$109:$BD$166,15,FALSE)</f>
        <v>70</v>
      </c>
      <c r="U56" s="10">
        <f ca="1">VLOOKUP($B56,'[12]Analisys QBR By Machine Report'!$C$109:$BD$166,16,FALSE)</f>
        <v>20</v>
      </c>
      <c r="V56" s="10">
        <f ca="1">VLOOKUP($B56,'[12]Analisys QBR By Machine Report'!$C$109:$BD$166,17,FALSE)</f>
        <v>50</v>
      </c>
      <c r="W56" s="10">
        <f ca="1">VLOOKUP($B56,'[12]Analisys QBR By Machine Report'!$C$109:$BD$166,18,FALSE)</f>
        <v>0</v>
      </c>
      <c r="X56" s="10">
        <f ca="1">VLOOKUP($B56,'[12]Analisys QBR By Machine Report'!$C$109:$BD$166,19,FALSE)</f>
        <v>0</v>
      </c>
      <c r="Y56" s="10">
        <f ca="1">VLOOKUP($B56,'[12]Analisys QBR By Machine Report'!$C$109:$BD$166,20,FALSE)</f>
        <v>0</v>
      </c>
      <c r="Z56" s="10">
        <f ca="1">VLOOKUP($B56,'[12]Analisys QBR By Machine Report'!$C$109:$BD$166,21,FALSE)</f>
        <v>2129</v>
      </c>
      <c r="AA56" s="10">
        <f ca="1">VLOOKUP($B56,'[12]Analisys QBR By Machine Report'!$C$109:$BD$166,22,FALSE)</f>
        <v>712</v>
      </c>
      <c r="AB56" s="10">
        <f ca="1">VLOOKUP($B56,'[12]Analisys QBR By Machine Report'!$C$109:$BD$166,23,FALSE)</f>
        <v>459</v>
      </c>
      <c r="AC56" s="10">
        <f ca="1">VLOOKUP($B56,'[12]Analisys QBR By Machine Report'!$C$109:$BD$166,24,FALSE)</f>
        <v>530</v>
      </c>
      <c r="AD56" s="10">
        <f ca="1">VLOOKUP($B56,'[12]Analisys QBR By Machine Report'!$C$109:$BD$166,25,FALSE)</f>
        <v>0</v>
      </c>
      <c r="AE56" s="10">
        <f ca="1">VLOOKUP($B56,'[12]Analisys QBR By Machine Report'!$C$109:$BD$166,26,FALSE)</f>
        <v>428</v>
      </c>
      <c r="AF56" s="10">
        <f ca="1">VLOOKUP($B56,'[12]Analisys QBR By Machine Report'!$C$109:$BD$166,27,FALSE)</f>
        <v>0</v>
      </c>
      <c r="AG56" s="10">
        <f ca="1">VLOOKUP($B56,'[12]Analisys QBR By Machine Report'!$C$109:$BD$166,28,FALSE)</f>
        <v>0</v>
      </c>
      <c r="AH56" s="10">
        <f ca="1">VLOOKUP($B56,'[12]Analisys QBR By Machine Report'!$C$109:$BD$166,29,FALSE)</f>
        <v>0</v>
      </c>
      <c r="AI56" s="10">
        <f ca="1">VLOOKUP($B56,'[12]Analisys QBR By Machine Report'!$C$109:$BD$166,30,FALSE)</f>
        <v>4047</v>
      </c>
      <c r="AJ56" s="10">
        <f ca="1">VLOOKUP($B56,'[12]Analisys QBR By Machine Report'!$C$109:$BD$166,31,FALSE)</f>
        <v>155</v>
      </c>
      <c r="AK56" s="10">
        <f ca="1">VLOOKUP($B56,'[12]Analisys QBR By Machine Report'!$C$109:$BD$166,32,FALSE)</f>
        <v>0</v>
      </c>
      <c r="AL56" s="10">
        <f ca="1">VLOOKUP($B56,'[12]Analisys QBR By Machine Report'!$C$109:$BD$166,33,FALSE)</f>
        <v>1080</v>
      </c>
      <c r="AM56" s="10">
        <f ca="1">VLOOKUP($B56,'[12]Analisys QBR By Machine Report'!$C$109:$BD$166,34,FALSE)</f>
        <v>0</v>
      </c>
      <c r="AN56" s="10">
        <f ca="1">VLOOKUP($B56,'[12]Analisys QBR By Machine Report'!$C$109:$BD$166,35,FALSE)</f>
        <v>675</v>
      </c>
      <c r="AO56" s="10">
        <f ca="1">VLOOKUP($B56,'[12]Analisys QBR By Machine Report'!$C$109:$BD$166,36,FALSE)</f>
        <v>0</v>
      </c>
      <c r="AP56" s="10">
        <f ca="1">VLOOKUP($B56,'[12]Analisys QBR By Machine Report'!$C$109:$BD$166,37,FALSE)</f>
        <v>20</v>
      </c>
      <c r="AQ56" s="10">
        <f ca="1">VLOOKUP($B56,'[12]Analisys QBR By Machine Report'!$C$109:$BD$166,38,FALSE)</f>
        <v>0</v>
      </c>
      <c r="AR56" s="10">
        <f ca="1">VLOOKUP($B56,'[12]Analisys QBR By Machine Report'!$C$109:$BD$166,39,FALSE)</f>
        <v>380</v>
      </c>
      <c r="AS56" s="10">
        <f ca="1">VLOOKUP($B56,'[12]Analisys QBR By Machine Report'!$C$109:$BD$166,40,FALSE)</f>
        <v>1147</v>
      </c>
      <c r="AT56" s="10">
        <f ca="1">VLOOKUP($B56,'[12]Analisys QBR By Machine Report'!$C$109:$BD$166,41,FALSE)</f>
        <v>0</v>
      </c>
      <c r="AU56" s="10">
        <f ca="1">VLOOKUP($B56,'[12]Analisys QBR By Machine Report'!$C$109:$BD$166,42,FALSE)</f>
        <v>0</v>
      </c>
      <c r="AV56" s="10">
        <f ca="1">VLOOKUP($B56,'[12]Analisys QBR By Machine Report'!$C$109:$BD$166,43,FALSE)</f>
        <v>0</v>
      </c>
      <c r="AW56" s="10">
        <f ca="1">VLOOKUP($B56,'[12]Analisys QBR By Machine Report'!$C$109:$BD$166,44,FALSE)</f>
        <v>0</v>
      </c>
      <c r="AX56" s="10">
        <f ca="1">VLOOKUP($B56,'[12]Analisys QBR By Machine Report'!$C$109:$BD$166,45,FALSE)</f>
        <v>0</v>
      </c>
      <c r="AY56" s="10">
        <f ca="1">VLOOKUP($B56,'[12]Analisys QBR By Machine Report'!$C$109:$BD$166,46,FALSE)</f>
        <v>0</v>
      </c>
      <c r="AZ56" s="10">
        <f ca="1">VLOOKUP($B56,'[12]Analisys QBR By Machine Report'!$C$109:$BD$166,47,FALSE)</f>
        <v>590</v>
      </c>
      <c r="BA56" s="10">
        <f ca="1">VLOOKUP($B56,'[12]Analisys QBR By Machine Report'!$C$109:$BD$166,48,FALSE)</f>
        <v>0</v>
      </c>
      <c r="BB56" s="10">
        <f ca="1">VLOOKUP($B56,'[12]Analisys QBR By Machine Report'!$C$109:$BD$166,49,FALSE)</f>
        <v>0</v>
      </c>
      <c r="BC56" s="10">
        <f ca="1">VLOOKUP($B56,'[12]Analisys QBR By Machine Report'!$C$109:$BD$166,50,FALSE)</f>
        <v>0</v>
      </c>
      <c r="BD56" s="10">
        <f ca="1">VLOOKUP($B56,'[12]Analisys QBR By Machine Report'!$C$109:$BD$166,51,FALSE)</f>
        <v>840241</v>
      </c>
      <c r="BE56" s="10">
        <f ca="1">VLOOKUP($B56,'[12]Analisys QBR By Machine Report'!$C$109:$BD$166,52,FALSE)</f>
        <v>317</v>
      </c>
      <c r="BF56" s="10">
        <f ca="1">VLOOKUP($B56,'[12]Analisys QBR By Machine Report'!$C$109:$BD$166,53,FALSE)</f>
        <v>839924</v>
      </c>
    </row>
    <row r="57" spans="1:58" x14ac:dyDescent="0.25">
      <c r="A57" s="15" t="s">
        <v>113</v>
      </c>
      <c r="B57" s="13">
        <f ca="1">VLOOKUP($B57,'[12]Analisys QBR By Machine Report'!$C$109:$BD$166,2,FALSE)</f>
        <v>25920</v>
      </c>
      <c r="C57" s="14">
        <f ca="1">VLOOKUP($B57,[12]Dasboard_QBR_Report!$B$109:$BL$166,3,FALSE)</f>
        <v>8640</v>
      </c>
      <c r="D57" s="13">
        <f ca="1">VLOOKUP($B57,'[12]Analisys QBR By Machine Report'!$C$109:$BD$166,3,FALSE)</f>
        <v>13500</v>
      </c>
      <c r="E57" s="14">
        <f ca="1">VLOOKUP($B57,[12]Dasboard_QBR_Report!$B$109:$BL$166,5,FALSE)</f>
        <v>-3780</v>
      </c>
      <c r="F57" s="13">
        <f t="shared" ca="1" si="0"/>
        <v>12420</v>
      </c>
      <c r="G57" s="13">
        <f t="shared" ca="1" si="1"/>
        <v>590</v>
      </c>
      <c r="H57" s="13">
        <f ca="1">VLOOKUP($B57,'[12]Analisys QBR By Machine Report'!$C$109:$BD$166,4,FALSE)</f>
        <v>590</v>
      </c>
      <c r="I57" s="13">
        <f ca="1">VLOOKUP($B57,'[12]Analisys QBR By Machine Report'!$C$109:$BD$166,5,FALSE)</f>
        <v>140</v>
      </c>
      <c r="J57" s="13">
        <f ca="1">VLOOKUP($B57,'[12]Analisys QBR By Machine Report'!$C$109:$BD$166,6,FALSE)</f>
        <v>450</v>
      </c>
      <c r="K57" s="13">
        <f ca="1">VLOOKUP($B57,'[12]Analisys QBR By Machine Report'!$C$109:$BD$166,7,FALSE)</f>
        <v>0</v>
      </c>
      <c r="L57" s="13">
        <f ca="1">VLOOKUP($B57,'[12]Analisys QBR By Machine Report'!$C$109:$BD$166,8,FALSE)</f>
        <v>11830</v>
      </c>
      <c r="M57" s="13">
        <f ca="1">VLOOKUP($B57,'[12]Analisys QBR By Machine Report'!$C$109:$BD$166,9,FALSE)</f>
        <v>4206</v>
      </c>
      <c r="N57" s="13">
        <f ca="1">VLOOKUP($B57,[12]Dasboard_QBR_Report!$B$109:$BL$166,18,FALSE)</f>
        <v>7624</v>
      </c>
      <c r="O57" s="13">
        <f ca="1">VLOOKUP($B57,'[12]Analisys QBR By Machine Report'!$C$109:$BD$166,10,FALSE)</f>
        <v>2975</v>
      </c>
      <c r="P57" s="13">
        <f ca="1">VLOOKUP($B57,'[12]Analisys QBR By Machine Report'!$C$109:$BD$166,11,FALSE)</f>
        <v>759</v>
      </c>
      <c r="Q57" s="13">
        <f ca="1">VLOOKUP($B57,'[12]Analisys QBR By Machine Report'!$C$109:$BD$166,12,FALSE)</f>
        <v>120</v>
      </c>
      <c r="R57" s="13">
        <f ca="1">VLOOKUP($B57,'[12]Analisys QBR By Machine Report'!$C$109:$BD$166,13,FALSE)</f>
        <v>748</v>
      </c>
      <c r="S57" s="13">
        <f ca="1">VLOOKUP($B57,'[12]Analisys QBR By Machine Report'!$C$109:$BD$166,14,FALSE)</f>
        <v>1348</v>
      </c>
      <c r="T57" s="13">
        <f ca="1">VLOOKUP($B57,'[12]Analisys QBR By Machine Report'!$C$109:$BD$166,15,FALSE)</f>
        <v>20</v>
      </c>
      <c r="U57" s="13">
        <f ca="1">VLOOKUP($B57,'[12]Analisys QBR By Machine Report'!$C$109:$BD$166,16,FALSE)</f>
        <v>20</v>
      </c>
      <c r="V57" s="13">
        <f ca="1">VLOOKUP($B57,'[12]Analisys QBR By Machine Report'!$C$109:$BD$166,17,FALSE)</f>
        <v>0</v>
      </c>
      <c r="W57" s="13">
        <f ca="1">VLOOKUP($B57,'[12]Analisys QBR By Machine Report'!$C$109:$BD$166,18,FALSE)</f>
        <v>0</v>
      </c>
      <c r="X57" s="13">
        <f ca="1">VLOOKUP($B57,'[12]Analisys QBR By Machine Report'!$C$109:$BD$166,19,FALSE)</f>
        <v>0</v>
      </c>
      <c r="Y57" s="13">
        <f ca="1">VLOOKUP($B57,'[12]Analisys QBR By Machine Report'!$C$109:$BD$166,20,FALSE)</f>
        <v>0</v>
      </c>
      <c r="Z57" s="13">
        <f ca="1">VLOOKUP($B57,'[12]Analisys QBR By Machine Report'!$C$109:$BD$166,21,FALSE)</f>
        <v>1574</v>
      </c>
      <c r="AA57" s="13">
        <f ca="1">VLOOKUP($B57,'[12]Analisys QBR By Machine Report'!$C$109:$BD$166,22,FALSE)</f>
        <v>657</v>
      </c>
      <c r="AB57" s="13">
        <f ca="1">VLOOKUP($B57,'[12]Analisys QBR By Machine Report'!$C$109:$BD$166,23,FALSE)</f>
        <v>379</v>
      </c>
      <c r="AC57" s="13">
        <f ca="1">VLOOKUP($B57,'[12]Analisys QBR By Machine Report'!$C$109:$BD$166,24,FALSE)</f>
        <v>490</v>
      </c>
      <c r="AD57" s="13">
        <f ca="1">VLOOKUP($B57,'[12]Analisys QBR By Machine Report'!$C$109:$BD$166,25,FALSE)</f>
        <v>0</v>
      </c>
      <c r="AE57" s="13">
        <f ca="1">VLOOKUP($B57,'[12]Analisys QBR By Machine Report'!$C$109:$BD$166,26,FALSE)</f>
        <v>48</v>
      </c>
      <c r="AF57" s="13">
        <f ca="1">VLOOKUP($B57,'[12]Analisys QBR By Machine Report'!$C$109:$BD$166,27,FALSE)</f>
        <v>0</v>
      </c>
      <c r="AG57" s="13">
        <f ca="1">VLOOKUP($B57,'[12]Analisys QBR By Machine Report'!$C$109:$BD$166,28,FALSE)</f>
        <v>0</v>
      </c>
      <c r="AH57" s="13">
        <f ca="1">VLOOKUP($B57,'[12]Analisys QBR By Machine Report'!$C$109:$BD$166,29,FALSE)</f>
        <v>0</v>
      </c>
      <c r="AI57" s="13">
        <f ca="1">VLOOKUP($B57,'[12]Analisys QBR By Machine Report'!$C$109:$BD$166,30,FALSE)</f>
        <v>3055</v>
      </c>
      <c r="AJ57" s="13">
        <f ca="1">VLOOKUP($B57,'[12]Analisys QBR By Machine Report'!$C$109:$BD$166,31,FALSE)</f>
        <v>0</v>
      </c>
      <c r="AK57" s="13">
        <f ca="1">VLOOKUP($B57,'[12]Analisys QBR By Machine Report'!$C$109:$BD$166,32,FALSE)</f>
        <v>0</v>
      </c>
      <c r="AL57" s="13">
        <f ca="1">VLOOKUP($B57,'[12]Analisys QBR By Machine Report'!$C$109:$BD$166,33,FALSE)</f>
        <v>780</v>
      </c>
      <c r="AM57" s="13">
        <f ca="1">VLOOKUP($B57,'[12]Analisys QBR By Machine Report'!$C$109:$BD$166,34,FALSE)</f>
        <v>0</v>
      </c>
      <c r="AN57" s="13">
        <f ca="1">VLOOKUP($B57,'[12]Analisys QBR By Machine Report'!$C$109:$BD$166,35,FALSE)</f>
        <v>525</v>
      </c>
      <c r="AO57" s="13">
        <f ca="1">VLOOKUP($B57,'[12]Analisys QBR By Machine Report'!$C$109:$BD$166,36,FALSE)</f>
        <v>0</v>
      </c>
      <c r="AP57" s="13">
        <f ca="1">VLOOKUP($B57,'[12]Analisys QBR By Machine Report'!$C$109:$BD$166,37,FALSE)</f>
        <v>0</v>
      </c>
      <c r="AQ57" s="13">
        <f ca="1">VLOOKUP($B57,'[12]Analisys QBR By Machine Report'!$C$109:$BD$166,38,FALSE)</f>
        <v>0</v>
      </c>
      <c r="AR57" s="13">
        <f ca="1">VLOOKUP($B57,'[12]Analisys QBR By Machine Report'!$C$109:$BD$166,39,FALSE)</f>
        <v>380</v>
      </c>
      <c r="AS57" s="13">
        <f ca="1">VLOOKUP($B57,'[12]Analisys QBR By Machine Report'!$C$109:$BD$166,40,FALSE)</f>
        <v>1025</v>
      </c>
      <c r="AT57" s="13">
        <f ca="1">VLOOKUP($B57,'[12]Analisys QBR By Machine Report'!$C$109:$BD$166,41,FALSE)</f>
        <v>0</v>
      </c>
      <c r="AU57" s="13">
        <f ca="1">VLOOKUP($B57,'[12]Analisys QBR By Machine Report'!$C$109:$BD$166,42,FALSE)</f>
        <v>0</v>
      </c>
      <c r="AV57" s="13">
        <f ca="1">VLOOKUP($B57,'[12]Analisys QBR By Machine Report'!$C$109:$BD$166,43,FALSE)</f>
        <v>0</v>
      </c>
      <c r="AW57" s="13">
        <f ca="1">VLOOKUP($B57,'[12]Analisys QBR By Machine Report'!$C$109:$BD$166,44,FALSE)</f>
        <v>0</v>
      </c>
      <c r="AX57" s="13">
        <f ca="1">VLOOKUP($B57,'[12]Analisys QBR By Machine Report'!$C$109:$BD$166,45,FALSE)</f>
        <v>0</v>
      </c>
      <c r="AY57" s="13">
        <f ca="1">VLOOKUP($B57,'[12]Analisys QBR By Machine Report'!$C$109:$BD$166,46,FALSE)</f>
        <v>0</v>
      </c>
      <c r="AZ57" s="13">
        <f ca="1">VLOOKUP($B57,'[12]Analisys QBR By Machine Report'!$C$109:$BD$166,47,FALSE)</f>
        <v>345</v>
      </c>
      <c r="BA57" s="13">
        <f ca="1">VLOOKUP($B57,'[12]Analisys QBR By Machine Report'!$C$109:$BD$166,48,FALSE)</f>
        <v>0</v>
      </c>
      <c r="BB57" s="13">
        <f ca="1">VLOOKUP($B57,'[12]Analisys QBR By Machine Report'!$C$109:$BD$166,49,FALSE)</f>
        <v>0</v>
      </c>
      <c r="BC57" s="13">
        <f ca="1">VLOOKUP($B57,'[12]Analisys QBR By Machine Report'!$C$109:$BD$166,50,FALSE)</f>
        <v>0</v>
      </c>
      <c r="BD57" s="13">
        <f ca="1">VLOOKUP($B57,'[12]Analisys QBR By Machine Report'!$C$109:$BD$166,51,FALSE)</f>
        <v>769681</v>
      </c>
      <c r="BE57" s="13">
        <f ca="1">VLOOKUP($B57,'[12]Analisys QBR By Machine Report'!$C$109:$BD$166,52,FALSE)</f>
        <v>95</v>
      </c>
      <c r="BF57" s="13">
        <f ca="1">VLOOKUP($B57,'[12]Analisys QBR By Machine Report'!$C$109:$BD$166,53,FALSE)</f>
        <v>769586</v>
      </c>
    </row>
    <row r="58" spans="1:58" x14ac:dyDescent="0.25">
      <c r="A58" s="15" t="s">
        <v>114</v>
      </c>
      <c r="B58" s="13">
        <f ca="1">VLOOKUP($B58,'[12]Analisys QBR By Machine Report'!$C$109:$BD$166,2,FALSE)</f>
        <v>25920</v>
      </c>
      <c r="C58" s="14">
        <f ca="1">VLOOKUP($B58,[12]Dasboard_QBR_Report!$B$109:$BL$166,3,FALSE)</f>
        <v>8640</v>
      </c>
      <c r="D58" s="13">
        <f ca="1">VLOOKUP($B58,'[12]Analisys QBR By Machine Report'!$C$109:$BD$166,3,FALSE)</f>
        <v>19290</v>
      </c>
      <c r="E58" s="14">
        <f ca="1">VLOOKUP($B58,[12]Dasboard_QBR_Report!$B$109:$BL$166,5,FALSE)</f>
        <v>2010</v>
      </c>
      <c r="F58" s="13">
        <f t="shared" ca="1" si="0"/>
        <v>6630</v>
      </c>
      <c r="G58" s="13">
        <f t="shared" ca="1" si="1"/>
        <v>2125</v>
      </c>
      <c r="H58" s="13">
        <f ca="1">VLOOKUP($B58,'[12]Analisys QBR By Machine Report'!$C$109:$BD$166,4,FALSE)</f>
        <v>2125</v>
      </c>
      <c r="I58" s="13">
        <f ca="1">VLOOKUP($B58,'[12]Analisys QBR By Machine Report'!$C$109:$BD$166,5,FALSE)</f>
        <v>140</v>
      </c>
      <c r="J58" s="13">
        <f ca="1">VLOOKUP($B58,'[12]Analisys QBR By Machine Report'!$C$109:$BD$166,6,FALSE)</f>
        <v>1985</v>
      </c>
      <c r="K58" s="13">
        <f ca="1">VLOOKUP($B58,'[12]Analisys QBR By Machine Report'!$C$109:$BD$166,7,FALSE)</f>
        <v>0</v>
      </c>
      <c r="L58" s="13">
        <f ca="1">VLOOKUP($B58,'[12]Analisys QBR By Machine Report'!$C$109:$BD$166,8,FALSE)</f>
        <v>4505</v>
      </c>
      <c r="M58" s="13">
        <f ca="1">VLOOKUP($B58,'[12]Analisys QBR By Machine Report'!$C$109:$BD$166,9,FALSE)</f>
        <v>2425</v>
      </c>
      <c r="N58" s="13">
        <f ca="1">VLOOKUP($B58,[12]Dasboard_QBR_Report!$B$109:$BL$166,18,FALSE)</f>
        <v>2080</v>
      </c>
      <c r="O58" s="13">
        <f ca="1">VLOOKUP($B58,'[12]Analisys QBR By Machine Report'!$C$109:$BD$166,10,FALSE)</f>
        <v>483</v>
      </c>
      <c r="P58" s="13">
        <f ca="1">VLOOKUP($B58,'[12]Analisys QBR By Machine Report'!$C$109:$BD$166,11,FALSE)</f>
        <v>428</v>
      </c>
      <c r="Q58" s="13">
        <f ca="1">VLOOKUP($B58,'[12]Analisys QBR By Machine Report'!$C$109:$BD$166,12,FALSE)</f>
        <v>0</v>
      </c>
      <c r="R58" s="13">
        <f ca="1">VLOOKUP($B58,'[12]Analisys QBR By Machine Report'!$C$109:$BD$166,13,FALSE)</f>
        <v>55</v>
      </c>
      <c r="S58" s="13">
        <f ca="1">VLOOKUP($B58,'[12]Analisys QBR By Machine Report'!$C$109:$BD$166,14,FALSE)</f>
        <v>0</v>
      </c>
      <c r="T58" s="13">
        <f ca="1">VLOOKUP($B58,'[12]Analisys QBR By Machine Report'!$C$109:$BD$166,15,FALSE)</f>
        <v>50</v>
      </c>
      <c r="U58" s="13">
        <f ca="1">VLOOKUP($B58,'[12]Analisys QBR By Machine Report'!$C$109:$BD$166,16,FALSE)</f>
        <v>0</v>
      </c>
      <c r="V58" s="13">
        <f ca="1">VLOOKUP($B58,'[12]Analisys QBR By Machine Report'!$C$109:$BD$166,17,FALSE)</f>
        <v>50</v>
      </c>
      <c r="W58" s="13">
        <f ca="1">VLOOKUP($B58,'[12]Analisys QBR By Machine Report'!$C$109:$BD$166,18,FALSE)</f>
        <v>0</v>
      </c>
      <c r="X58" s="13">
        <f ca="1">VLOOKUP($B58,'[12]Analisys QBR By Machine Report'!$C$109:$BD$166,19,FALSE)</f>
        <v>0</v>
      </c>
      <c r="Y58" s="13">
        <f ca="1">VLOOKUP($B58,'[12]Analisys QBR By Machine Report'!$C$109:$BD$166,20,FALSE)</f>
        <v>0</v>
      </c>
      <c r="Z58" s="13">
        <f ca="1">VLOOKUP($B58,'[12]Analisys QBR By Machine Report'!$C$109:$BD$166,21,FALSE)</f>
        <v>555</v>
      </c>
      <c r="AA58" s="13">
        <f ca="1">VLOOKUP($B58,'[12]Analisys QBR By Machine Report'!$C$109:$BD$166,22,FALSE)</f>
        <v>55</v>
      </c>
      <c r="AB58" s="13">
        <f ca="1">VLOOKUP($B58,'[12]Analisys QBR By Machine Report'!$C$109:$BD$166,23,FALSE)</f>
        <v>80</v>
      </c>
      <c r="AC58" s="13">
        <f ca="1">VLOOKUP($B58,'[12]Analisys QBR By Machine Report'!$C$109:$BD$166,24,FALSE)</f>
        <v>40</v>
      </c>
      <c r="AD58" s="13">
        <f ca="1">VLOOKUP($B58,'[12]Analisys QBR By Machine Report'!$C$109:$BD$166,25,FALSE)</f>
        <v>0</v>
      </c>
      <c r="AE58" s="13">
        <f ca="1">VLOOKUP($B58,'[12]Analisys QBR By Machine Report'!$C$109:$BD$166,26,FALSE)</f>
        <v>380</v>
      </c>
      <c r="AF58" s="13">
        <f ca="1">VLOOKUP($B58,'[12]Analisys QBR By Machine Report'!$C$109:$BD$166,27,FALSE)</f>
        <v>0</v>
      </c>
      <c r="AG58" s="13">
        <f ca="1">VLOOKUP($B58,'[12]Analisys QBR By Machine Report'!$C$109:$BD$166,28,FALSE)</f>
        <v>0</v>
      </c>
      <c r="AH58" s="13">
        <f ca="1">VLOOKUP($B58,'[12]Analisys QBR By Machine Report'!$C$109:$BD$166,29,FALSE)</f>
        <v>0</v>
      </c>
      <c r="AI58" s="13">
        <f ca="1">VLOOKUP($B58,'[12]Analisys QBR By Machine Report'!$C$109:$BD$166,30,FALSE)</f>
        <v>992</v>
      </c>
      <c r="AJ58" s="13">
        <f ca="1">VLOOKUP($B58,'[12]Analisys QBR By Machine Report'!$C$109:$BD$166,31,FALSE)</f>
        <v>155</v>
      </c>
      <c r="AK58" s="13">
        <f ca="1">VLOOKUP($B58,'[12]Analisys QBR By Machine Report'!$C$109:$BD$166,32,FALSE)</f>
        <v>0</v>
      </c>
      <c r="AL58" s="13">
        <f ca="1">VLOOKUP($B58,'[12]Analisys QBR By Machine Report'!$C$109:$BD$166,33,FALSE)</f>
        <v>300</v>
      </c>
      <c r="AM58" s="13">
        <f ca="1">VLOOKUP($B58,'[12]Analisys QBR By Machine Report'!$C$109:$BD$166,34,FALSE)</f>
        <v>0</v>
      </c>
      <c r="AN58" s="13">
        <f ca="1">VLOOKUP($B58,'[12]Analisys QBR By Machine Report'!$C$109:$BD$166,35,FALSE)</f>
        <v>150</v>
      </c>
      <c r="AO58" s="13">
        <f ca="1">VLOOKUP($B58,'[12]Analisys QBR By Machine Report'!$C$109:$BD$166,36,FALSE)</f>
        <v>0</v>
      </c>
      <c r="AP58" s="13">
        <f ca="1">VLOOKUP($B58,'[12]Analisys QBR By Machine Report'!$C$109:$BD$166,37,FALSE)</f>
        <v>20</v>
      </c>
      <c r="AQ58" s="13">
        <f ca="1">VLOOKUP($B58,'[12]Analisys QBR By Machine Report'!$C$109:$BD$166,38,FALSE)</f>
        <v>0</v>
      </c>
      <c r="AR58" s="13">
        <f ca="1">VLOOKUP($B58,'[12]Analisys QBR By Machine Report'!$C$109:$BD$166,39,FALSE)</f>
        <v>0</v>
      </c>
      <c r="AS58" s="13">
        <f ca="1">VLOOKUP($B58,'[12]Analisys QBR By Machine Report'!$C$109:$BD$166,40,FALSE)</f>
        <v>122</v>
      </c>
      <c r="AT58" s="13">
        <f ca="1">VLOOKUP($B58,'[12]Analisys QBR By Machine Report'!$C$109:$BD$166,41,FALSE)</f>
        <v>0</v>
      </c>
      <c r="AU58" s="13">
        <f ca="1">VLOOKUP($B58,'[12]Analisys QBR By Machine Report'!$C$109:$BD$166,42,FALSE)</f>
        <v>0</v>
      </c>
      <c r="AV58" s="13">
        <f ca="1">VLOOKUP($B58,'[12]Analisys QBR By Machine Report'!$C$109:$BD$166,43,FALSE)</f>
        <v>0</v>
      </c>
      <c r="AW58" s="13">
        <f ca="1">VLOOKUP($B58,'[12]Analisys QBR By Machine Report'!$C$109:$BD$166,44,FALSE)</f>
        <v>0</v>
      </c>
      <c r="AX58" s="13">
        <f ca="1">VLOOKUP($B58,'[12]Analisys QBR By Machine Report'!$C$109:$BD$166,45,FALSE)</f>
        <v>0</v>
      </c>
      <c r="AY58" s="13">
        <f ca="1">VLOOKUP($B58,'[12]Analisys QBR By Machine Report'!$C$109:$BD$166,46,FALSE)</f>
        <v>0</v>
      </c>
      <c r="AZ58" s="13">
        <f ca="1">VLOOKUP($B58,'[12]Analisys QBR By Machine Report'!$C$109:$BD$166,47,FALSE)</f>
        <v>245</v>
      </c>
      <c r="BA58" s="13">
        <f ca="1">VLOOKUP($B58,'[12]Analisys QBR By Machine Report'!$C$109:$BD$166,48,FALSE)</f>
        <v>0</v>
      </c>
      <c r="BB58" s="13">
        <f ca="1">VLOOKUP($B58,'[12]Analisys QBR By Machine Report'!$C$109:$BD$166,49,FALSE)</f>
        <v>0</v>
      </c>
      <c r="BC58" s="13">
        <f ca="1">VLOOKUP($B58,'[12]Analisys QBR By Machine Report'!$C$109:$BD$166,50,FALSE)</f>
        <v>0</v>
      </c>
      <c r="BD58" s="13">
        <f ca="1">VLOOKUP($B58,'[12]Analisys QBR By Machine Report'!$C$109:$BD$166,51,FALSE)</f>
        <v>70560</v>
      </c>
      <c r="BE58" s="13">
        <f ca="1">VLOOKUP($B58,'[12]Analisys QBR By Machine Report'!$C$109:$BD$166,52,FALSE)</f>
        <v>222</v>
      </c>
      <c r="BF58" s="13">
        <f ca="1">VLOOKUP($B58,'[12]Analisys QBR By Machine Report'!$C$109:$BD$166,53,FALSE)</f>
        <v>70338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Januari</vt:lpstr>
      <vt:lpstr>Februari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November</vt:lpstr>
      <vt:lpstr>Desember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Faliq Hendriana</dc:creator>
  <cp:lastModifiedBy>Faliq Hendriana</cp:lastModifiedBy>
  <dcterms:created xsi:type="dcterms:W3CDTF">2026-06-23T15:37:05Z</dcterms:created>
  <dcterms:modified xsi:type="dcterms:W3CDTF">2026-06-23T15:48:58Z</dcterms:modified>
</cp:coreProperties>
</file>